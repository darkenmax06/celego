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se\Downloads\"/>
    </mc:Choice>
  </mc:AlternateContent>
  <xr:revisionPtr revIDLastSave="0" documentId="8_{398ED551-8064-4058-A16F-99E27CAFE693}" xr6:coauthVersionLast="47" xr6:coauthVersionMax="47" xr10:uidLastSave="{00000000-0000-0000-0000-000000000000}"/>
  <bookViews>
    <workbookView xWindow="11424" yWindow="0" windowWidth="11712" windowHeight="12336" xr2:uid="{72A5A42B-6700-4719-8431-DD5E0F27797A}"/>
  </bookViews>
  <sheets>
    <sheet name="BASE_GENERAL" sheetId="2" r:id="rId1"/>
    <sheet name="Sheet1" sheetId="1" r:id="rId2"/>
  </sheets>
  <externalReferences>
    <externalReference r:id="rId3"/>
  </externalReferences>
  <definedNames>
    <definedName name="_xlnm._FilterDatabase" localSheetId="0" hidden="1">BASE_GENERAL!$A$1:$N$6724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2" i="2" l="1"/>
  <c r="L2" i="2" s="1"/>
  <c r="K2" i="2" s="1"/>
  <c r="AC2" i="2"/>
  <c r="AD2" i="2" s="1"/>
  <c r="Z3" i="2"/>
  <c r="AB3" i="2" s="1"/>
  <c r="Z4" i="2"/>
  <c r="Z5" i="2"/>
  <c r="AA5" i="2" s="1"/>
  <c r="Z6" i="2"/>
  <c r="Z7" i="2"/>
  <c r="Q8" i="2"/>
  <c r="Z8" i="2"/>
  <c r="AA8" i="2"/>
  <c r="Z9" i="2"/>
  <c r="AB9" i="2" s="1"/>
  <c r="Z10" i="2"/>
  <c r="AA10" i="2" s="1"/>
  <c r="AB10" i="2"/>
  <c r="Q11" i="2"/>
  <c r="R11" i="2"/>
  <c r="S11" i="2"/>
  <c r="T11" i="2"/>
  <c r="Z11" i="2"/>
  <c r="AB11" i="2"/>
  <c r="Z12" i="2"/>
  <c r="AA12" i="2" s="1"/>
  <c r="Z13" i="2"/>
  <c r="Z14" i="2"/>
  <c r="Z15" i="2"/>
  <c r="AB15" i="2" s="1"/>
  <c r="Z16" i="2"/>
  <c r="Z17" i="2"/>
  <c r="Z18" i="2"/>
  <c r="L18" i="2" s="1"/>
  <c r="K18" i="2" s="1"/>
  <c r="AC18" i="2"/>
  <c r="AD18" i="2" s="1"/>
  <c r="Z19" i="2"/>
  <c r="AB19" i="2" s="1"/>
  <c r="L20" i="2"/>
  <c r="K20" i="2" s="1"/>
  <c r="Z20" i="2"/>
  <c r="Z21" i="2"/>
  <c r="Z22" i="2"/>
  <c r="Z23" i="2"/>
  <c r="AA23" i="2" s="1"/>
  <c r="Z24" i="2"/>
  <c r="L24" i="2" s="1"/>
  <c r="K24" i="2" s="1"/>
  <c r="AA24" i="2"/>
  <c r="AC24" i="2"/>
  <c r="AD24" i="2" s="1"/>
  <c r="L25" i="2"/>
  <c r="K25" i="2" s="1"/>
  <c r="Z25" i="2"/>
  <c r="AC25" i="2"/>
  <c r="AD25" i="2" s="1"/>
  <c r="Z26" i="2"/>
  <c r="AC26" i="2"/>
  <c r="AD26" i="2" s="1"/>
  <c r="Z27" i="2"/>
  <c r="L28" i="2"/>
  <c r="K28" i="2" s="1"/>
  <c r="Z28" i="2"/>
  <c r="AA28" i="2"/>
  <c r="AB28" i="2"/>
  <c r="AC28" i="2"/>
  <c r="AD28" i="2" s="1"/>
  <c r="Z29" i="2"/>
  <c r="Z30" i="2"/>
  <c r="L30" i="2" s="1"/>
  <c r="K30" i="2" s="1"/>
  <c r="Z31" i="2"/>
  <c r="L32" i="2"/>
  <c r="K32" i="2" s="1"/>
  <c r="Z32" i="2"/>
  <c r="AC32" i="2" s="1"/>
  <c r="AB32" i="2"/>
  <c r="AD32" i="2"/>
  <c r="Z33" i="2"/>
  <c r="Z34" i="2"/>
  <c r="AC34" i="2" s="1"/>
  <c r="AD34" i="2" s="1"/>
  <c r="Z35" i="2"/>
  <c r="Z36" i="2"/>
  <c r="AC36" i="2"/>
  <c r="AD36" i="2" s="1"/>
  <c r="Z37" i="2"/>
  <c r="AC37" i="2" s="1"/>
  <c r="AD37" i="2" s="1"/>
  <c r="Z38" i="2"/>
  <c r="AA38" i="2" s="1"/>
  <c r="Z39" i="2"/>
  <c r="Z40" i="2"/>
  <c r="Z41" i="2"/>
  <c r="Z42" i="2"/>
  <c r="AC42" i="2" s="1"/>
  <c r="AD42" i="2" s="1"/>
  <c r="Z43" i="2"/>
  <c r="AC43" i="2" s="1"/>
  <c r="AD43" i="2" s="1"/>
  <c r="Z44" i="2"/>
  <c r="Z45" i="2"/>
  <c r="Z46" i="2"/>
  <c r="AA46" i="2" s="1"/>
  <c r="Z47" i="2"/>
  <c r="Z48" i="2"/>
  <c r="L48" i="2" s="1"/>
  <c r="K48" i="2" s="1"/>
  <c r="AC48" i="2"/>
  <c r="AD48" i="2" s="1"/>
  <c r="Z49" i="2"/>
  <c r="Z50" i="2"/>
  <c r="Z51" i="2"/>
  <c r="Z52" i="2"/>
  <c r="AA52" i="2"/>
  <c r="AC52" i="2"/>
  <c r="AD52" i="2" s="1"/>
  <c r="Z53" i="2"/>
  <c r="L53" i="2" s="1"/>
  <c r="K53" i="2" s="1"/>
  <c r="AC53" i="2"/>
  <c r="AD53" i="2" s="1"/>
  <c r="Z54" i="2"/>
  <c r="AB54" i="2" s="1"/>
  <c r="Z55" i="2"/>
  <c r="AA55" i="2" s="1"/>
  <c r="Z56" i="2"/>
  <c r="AC56" i="2" s="1"/>
  <c r="AB56" i="2"/>
  <c r="AD56" i="2"/>
  <c r="L57" i="2"/>
  <c r="K57" i="2" s="1"/>
  <c r="Z57" i="2"/>
  <c r="AB57" i="2"/>
  <c r="Z58" i="2"/>
  <c r="Z59" i="2"/>
  <c r="Z60" i="2"/>
  <c r="Z61" i="2"/>
  <c r="Z62" i="2"/>
  <c r="L62" i="2" s="1"/>
  <c r="K62" i="2" s="1"/>
  <c r="L63" i="2"/>
  <c r="K63" i="2" s="1"/>
  <c r="Z63" i="2"/>
  <c r="AB63" i="2" s="1"/>
  <c r="AA63" i="2"/>
  <c r="AC63" i="2"/>
  <c r="AD63" i="2" s="1"/>
  <c r="Z64" i="2"/>
  <c r="AA64" i="2"/>
  <c r="Z65" i="2"/>
  <c r="AA65" i="2" s="1"/>
  <c r="Z66" i="2"/>
  <c r="L67" i="2"/>
  <c r="K67" i="2" s="1"/>
  <c r="Z67" i="2"/>
  <c r="AA67" i="2"/>
  <c r="Z68" i="2"/>
  <c r="AC68" i="2" s="1"/>
  <c r="AA68" i="2"/>
  <c r="AB68" i="2"/>
  <c r="AD68" i="2"/>
  <c r="Z69" i="2"/>
  <c r="AC69" i="2" s="1"/>
  <c r="AD69" i="2" s="1"/>
  <c r="Z70" i="2"/>
  <c r="AB70" i="2" s="1"/>
  <c r="Z71" i="2"/>
  <c r="AB71" i="2" s="1"/>
  <c r="Z72" i="2"/>
  <c r="Z73" i="2"/>
  <c r="AB73" i="2" s="1"/>
  <c r="Z74" i="2"/>
  <c r="AA74" i="2" s="1"/>
  <c r="Z75" i="2"/>
  <c r="AA75" i="2"/>
  <c r="AC75" i="2"/>
  <c r="AD75" i="2" s="1"/>
  <c r="Z76" i="2"/>
  <c r="Z77" i="2"/>
  <c r="AA77" i="2" s="1"/>
  <c r="Z78" i="2"/>
  <c r="Z79" i="2"/>
  <c r="AB79" i="2" s="1"/>
  <c r="AC79" i="2"/>
  <c r="AD79" i="2" s="1"/>
  <c r="Z80" i="2"/>
  <c r="L80" i="2" s="1"/>
  <c r="K80" i="2" s="1"/>
  <c r="Z81" i="2"/>
  <c r="AA81" i="2" s="1"/>
  <c r="Z82" i="2"/>
  <c r="L82" i="2" s="1"/>
  <c r="K82" i="2" s="1"/>
  <c r="AC82" i="2"/>
  <c r="AD82" i="2" s="1"/>
  <c r="Z83" i="2"/>
  <c r="K84" i="2"/>
  <c r="Z84" i="2"/>
  <c r="L84" i="2" s="1"/>
  <c r="AA84" i="2"/>
  <c r="AB84" i="2"/>
  <c r="AC84" i="2"/>
  <c r="AD84" i="2" s="1"/>
  <c r="Z85" i="2"/>
  <c r="Z86" i="2"/>
  <c r="AB86" i="2" s="1"/>
  <c r="Z87" i="2"/>
  <c r="L87" i="2" s="1"/>
  <c r="K87" i="2" s="1"/>
  <c r="AA87" i="2"/>
  <c r="Z88" i="2"/>
  <c r="AC88" i="2" s="1"/>
  <c r="AA88" i="2"/>
  <c r="AB88" i="2"/>
  <c r="AD88" i="2"/>
  <c r="Z89" i="2"/>
  <c r="AA89" i="2" s="1"/>
  <c r="Z90" i="2"/>
  <c r="Z91" i="2"/>
  <c r="Z92" i="2"/>
  <c r="AC92" i="2" s="1"/>
  <c r="AD92" i="2" s="1"/>
  <c r="Z93" i="2"/>
  <c r="L93" i="2" s="1"/>
  <c r="K93" i="2" s="1"/>
  <c r="Z94" i="2"/>
  <c r="AB94" i="2" s="1"/>
  <c r="Z95" i="2"/>
  <c r="Z96" i="2"/>
  <c r="Z97" i="2"/>
  <c r="AB97" i="2" s="1"/>
  <c r="Z98" i="2"/>
  <c r="AA98" i="2" s="1"/>
  <c r="L99" i="2"/>
  <c r="K99" i="2" s="1"/>
  <c r="Z99" i="2"/>
  <c r="Z100" i="2"/>
  <c r="AB100" i="2"/>
  <c r="Z101" i="2"/>
  <c r="L101" i="2" s="1"/>
  <c r="K101" i="2" s="1"/>
  <c r="AA101" i="2"/>
  <c r="AB101" i="2"/>
  <c r="AC101" i="2"/>
  <c r="AD101" i="2" s="1"/>
  <c r="L102" i="2"/>
  <c r="K102" i="2" s="1"/>
  <c r="Z102" i="2"/>
  <c r="AA102" i="2"/>
  <c r="AB102" i="2"/>
  <c r="AC102" i="2"/>
  <c r="AD102" i="2" s="1"/>
  <c r="Z103" i="2"/>
  <c r="AB103" i="2" s="1"/>
  <c r="Z104" i="2"/>
  <c r="AC104" i="2" s="1"/>
  <c r="AB104" i="2"/>
  <c r="AD104" i="2"/>
  <c r="Z105" i="2"/>
  <c r="Z106" i="2"/>
  <c r="Z107" i="2"/>
  <c r="AC107" i="2" s="1"/>
  <c r="AD107" i="2" s="1"/>
  <c r="K108" i="2"/>
  <c r="Z108" i="2"/>
  <c r="L108" i="2" s="1"/>
  <c r="Z109" i="2"/>
  <c r="Z110" i="2"/>
  <c r="Z111" i="2"/>
  <c r="Z112" i="2"/>
  <c r="AB112" i="2"/>
  <c r="Z113" i="2"/>
  <c r="AB113" i="2" s="1"/>
  <c r="Z114" i="2"/>
  <c r="Z115" i="2"/>
  <c r="AB115" i="2" s="1"/>
  <c r="AA115" i="2"/>
  <c r="AC115" i="2"/>
  <c r="AD115" i="2" s="1"/>
  <c r="Z116" i="2"/>
  <c r="AC116" i="2" s="1"/>
  <c r="AD116" i="2"/>
  <c r="Z117" i="2"/>
  <c r="AB117" i="2" s="1"/>
  <c r="Z118" i="2"/>
  <c r="Z119" i="2"/>
  <c r="L119" i="2" s="1"/>
  <c r="K119" i="2" s="1"/>
  <c r="Z120" i="2"/>
  <c r="AB120" i="2" s="1"/>
  <c r="Z121" i="2"/>
  <c r="AA121" i="2" s="1"/>
  <c r="Z122" i="2"/>
  <c r="AB122" i="2"/>
  <c r="AC122" i="2"/>
  <c r="AD122" i="2" s="1"/>
  <c r="Z123" i="2"/>
  <c r="AB123" i="2" s="1"/>
  <c r="AA123" i="2"/>
  <c r="AC123" i="2"/>
  <c r="AD123" i="2" s="1"/>
  <c r="Z124" i="2"/>
  <c r="L125" i="2"/>
  <c r="K125" i="2" s="1"/>
  <c r="Z125" i="2"/>
  <c r="AA125" i="2" s="1"/>
  <c r="Z126" i="2"/>
  <c r="Z127" i="2"/>
  <c r="Z128" i="2"/>
  <c r="AA128" i="2" s="1"/>
  <c r="Z129" i="2"/>
  <c r="AC129" i="2" s="1"/>
  <c r="AD129" i="2" s="1"/>
  <c r="Z130" i="2"/>
  <c r="Z131" i="2"/>
  <c r="Z132" i="2"/>
  <c r="Z133" i="2"/>
  <c r="L133" i="2" s="1"/>
  <c r="K133" i="2" s="1"/>
  <c r="Z134" i="2"/>
  <c r="AC134" i="2" s="1"/>
  <c r="AD134" i="2" s="1"/>
  <c r="Z135" i="2"/>
  <c r="Z136" i="2"/>
  <c r="Z137" i="2"/>
  <c r="L137" i="2" s="1"/>
  <c r="K137" i="2" s="1"/>
  <c r="AC137" i="2"/>
  <c r="AD137" i="2" s="1"/>
  <c r="Z138" i="2"/>
  <c r="Z139" i="2"/>
  <c r="AA139" i="2"/>
  <c r="Z140" i="2"/>
  <c r="AC140" i="2" s="1"/>
  <c r="AD140" i="2" s="1"/>
  <c r="AA140" i="2"/>
  <c r="AB140" i="2"/>
  <c r="Z141" i="2"/>
  <c r="AB141" i="2" s="1"/>
  <c r="Z142" i="2"/>
  <c r="Z143" i="2"/>
  <c r="L143" i="2" s="1"/>
  <c r="K143" i="2" s="1"/>
  <c r="AA143" i="2"/>
  <c r="Z144" i="2"/>
  <c r="Z145" i="2"/>
  <c r="AB145" i="2" s="1"/>
  <c r="AA145" i="2"/>
  <c r="Z146" i="2"/>
  <c r="AA146" i="2" s="1"/>
  <c r="Z147" i="2"/>
  <c r="AC147" i="2" s="1"/>
  <c r="AD147" i="2" s="1"/>
  <c r="Z148" i="2"/>
  <c r="AA148" i="2"/>
  <c r="L149" i="2"/>
  <c r="K149" i="2" s="1"/>
  <c r="Z149" i="2"/>
  <c r="AC149" i="2" s="1"/>
  <c r="AD149" i="2" s="1"/>
  <c r="AA149" i="2"/>
  <c r="AB149" i="2"/>
  <c r="Z150" i="2"/>
  <c r="Z151" i="2"/>
  <c r="AB151" i="2" s="1"/>
  <c r="Z152" i="2"/>
  <c r="AA152" i="2"/>
  <c r="AB152" i="2"/>
  <c r="Z153" i="2"/>
  <c r="AC153" i="2" s="1"/>
  <c r="AD153" i="2" s="1"/>
  <c r="Z154" i="2"/>
  <c r="Z155" i="2"/>
  <c r="Z156" i="2"/>
  <c r="AA156" i="2" s="1"/>
  <c r="Z157" i="2"/>
  <c r="Z158" i="2"/>
  <c r="AC158" i="2"/>
  <c r="AD158" i="2" s="1"/>
  <c r="Z159" i="2"/>
  <c r="L159" i="2" s="1"/>
  <c r="K159" i="2" s="1"/>
  <c r="Z160" i="2"/>
  <c r="AB160" i="2" s="1"/>
  <c r="Z161" i="2"/>
  <c r="Z162" i="2"/>
  <c r="AA162" i="2" s="1"/>
  <c r="AB162" i="2"/>
  <c r="AC162" i="2"/>
  <c r="AD162" i="2" s="1"/>
  <c r="Z163" i="2"/>
  <c r="AA163" i="2"/>
  <c r="Z164" i="2"/>
  <c r="AC164" i="2"/>
  <c r="AD164" i="2" s="1"/>
  <c r="L165" i="2"/>
  <c r="K165" i="2" s="1"/>
  <c r="Z165" i="2"/>
  <c r="AA165" i="2" s="1"/>
  <c r="AB165" i="2"/>
  <c r="AC165" i="2"/>
  <c r="AD165" i="2"/>
  <c r="Z166" i="2"/>
  <c r="AC166" i="2" s="1"/>
  <c r="AD166" i="2" s="1"/>
  <c r="Z167" i="2"/>
  <c r="AA167" i="2" s="1"/>
  <c r="Z168" i="2"/>
  <c r="AC168" i="2" s="1"/>
  <c r="AD168" i="2" s="1"/>
  <c r="AB168" i="2"/>
  <c r="Z169" i="2"/>
  <c r="AB169" i="2" s="1"/>
  <c r="Z170" i="2"/>
  <c r="Z171" i="2"/>
  <c r="AA171" i="2"/>
  <c r="AB171" i="2"/>
  <c r="Z172" i="2"/>
  <c r="AB172" i="2" s="1"/>
  <c r="Z173" i="2"/>
  <c r="L174" i="2"/>
  <c r="K174" i="2" s="1"/>
  <c r="Z174" i="2"/>
  <c r="AA174" i="2" s="1"/>
  <c r="Z175" i="2"/>
  <c r="AA175" i="2"/>
  <c r="Z176" i="2"/>
  <c r="L176" i="2" s="1"/>
  <c r="K176" i="2" s="1"/>
  <c r="AA176" i="2"/>
  <c r="AB176" i="2"/>
  <c r="AC176" i="2"/>
  <c r="AD176" i="2" s="1"/>
  <c r="Z177" i="2"/>
  <c r="L177" i="2" s="1"/>
  <c r="K177" i="2" s="1"/>
  <c r="Z178" i="2"/>
  <c r="AB178" i="2"/>
  <c r="Z179" i="2"/>
  <c r="AC179" i="2" s="1"/>
  <c r="AD179" i="2" s="1"/>
  <c r="AA179" i="2"/>
  <c r="K180" i="2"/>
  <c r="L180" i="2"/>
  <c r="Z180" i="2"/>
  <c r="AA180" i="2"/>
  <c r="AB180" i="2"/>
  <c r="AC180" i="2"/>
  <c r="AD180" i="2" s="1"/>
  <c r="Z181" i="2"/>
  <c r="AC181" i="2"/>
  <c r="AD181" i="2" s="1"/>
  <c r="Z182" i="2"/>
  <c r="AA182" i="2" s="1"/>
  <c r="Z183" i="2"/>
  <c r="Z184" i="2"/>
  <c r="AA184" i="2" s="1"/>
  <c r="Z185" i="2"/>
  <c r="Z186" i="2"/>
  <c r="Z187" i="2"/>
  <c r="Z188" i="2"/>
  <c r="AC188" i="2" s="1"/>
  <c r="AD188" i="2" s="1"/>
  <c r="Z189" i="2"/>
  <c r="Z190" i="2"/>
  <c r="Z191" i="2"/>
  <c r="AC191" i="2" s="1"/>
  <c r="AA191" i="2"/>
  <c r="AB191" i="2"/>
  <c r="AD191" i="2"/>
  <c r="Z192" i="2"/>
  <c r="Z193" i="2"/>
  <c r="Z194" i="2"/>
  <c r="Z195" i="2"/>
  <c r="AB195" i="2" s="1"/>
  <c r="Z196" i="2"/>
  <c r="AA196" i="2" s="1"/>
  <c r="Z197" i="2"/>
  <c r="Z198" i="2"/>
  <c r="AB198" i="2" s="1"/>
  <c r="L199" i="2"/>
  <c r="K199" i="2" s="1"/>
  <c r="Z199" i="2"/>
  <c r="Z200" i="2"/>
  <c r="Z201" i="2"/>
  <c r="AC201" i="2" s="1"/>
  <c r="AD201" i="2" s="1"/>
  <c r="AA201" i="2"/>
  <c r="Z202" i="2"/>
  <c r="Z203" i="2"/>
  <c r="L203" i="2" s="1"/>
  <c r="K203" i="2" s="1"/>
  <c r="AC203" i="2"/>
  <c r="AD203" i="2" s="1"/>
  <c r="Z204" i="2"/>
  <c r="AC204" i="2" s="1"/>
  <c r="AD204" i="2" s="1"/>
  <c r="Z205" i="2"/>
  <c r="Z206" i="2"/>
  <c r="AA206" i="2" s="1"/>
  <c r="Z207" i="2"/>
  <c r="AB207" i="2" s="1"/>
  <c r="Z208" i="2"/>
  <c r="Z209" i="2"/>
  <c r="AA209" i="2"/>
  <c r="AC209" i="2"/>
  <c r="AD209" i="2" s="1"/>
  <c r="Z210" i="2"/>
  <c r="AB210" i="2" s="1"/>
  <c r="Z211" i="2"/>
  <c r="L211" i="2" s="1"/>
  <c r="K211" i="2" s="1"/>
  <c r="AC211" i="2"/>
  <c r="AD211" i="2" s="1"/>
  <c r="Z212" i="2"/>
  <c r="Z213" i="2"/>
  <c r="AB213" i="2" s="1"/>
  <c r="AA213" i="2"/>
  <c r="Z214" i="2"/>
  <c r="Z215" i="2"/>
  <c r="L215" i="2" s="1"/>
  <c r="K215" i="2" s="1"/>
  <c r="Z216" i="2"/>
  <c r="L216" i="2" s="1"/>
  <c r="K216" i="2" s="1"/>
  <c r="Z217" i="2"/>
  <c r="Z218" i="2"/>
  <c r="AB218" i="2" s="1"/>
  <c r="Z219" i="2"/>
  <c r="Z220" i="2"/>
  <c r="AB220" i="2" s="1"/>
  <c r="Z221" i="2"/>
  <c r="Z222" i="2"/>
  <c r="AB222" i="2" s="1"/>
  <c r="AC222" i="2"/>
  <c r="AD222" i="2" s="1"/>
  <c r="Z223" i="2"/>
  <c r="Z224" i="2"/>
  <c r="Z225" i="2"/>
  <c r="AA225" i="2" s="1"/>
  <c r="Z226" i="2"/>
  <c r="L227" i="2"/>
  <c r="K227" i="2" s="1"/>
  <c r="Z227" i="2"/>
  <c r="AC227" i="2"/>
  <c r="AD227" i="2" s="1"/>
  <c r="Z228" i="2"/>
  <c r="AA228" i="2" s="1"/>
  <c r="Z229" i="2"/>
  <c r="AB229" i="2" s="1"/>
  <c r="Z230" i="2"/>
  <c r="L230" i="2" s="1"/>
  <c r="K230" i="2" s="1"/>
  <c r="Z231" i="2"/>
  <c r="AB231" i="2" s="1"/>
  <c r="Z232" i="2"/>
  <c r="L232" i="2" s="1"/>
  <c r="K232" i="2" s="1"/>
  <c r="L233" i="2"/>
  <c r="K233" i="2" s="1"/>
  <c r="Z233" i="2"/>
  <c r="AA233" i="2"/>
  <c r="AB233" i="2"/>
  <c r="AC233" i="2"/>
  <c r="AD233" i="2" s="1"/>
  <c r="L234" i="2"/>
  <c r="K234" i="2" s="1"/>
  <c r="Z234" i="2"/>
  <c r="Z235" i="2"/>
  <c r="L235" i="2" s="1"/>
  <c r="K235" i="2" s="1"/>
  <c r="AA235" i="2"/>
  <c r="AB235" i="2"/>
  <c r="AC235" i="2"/>
  <c r="AD235" i="2" s="1"/>
  <c r="Z236" i="2"/>
  <c r="AA236" i="2" s="1"/>
  <c r="Z237" i="2"/>
  <c r="Z238" i="2"/>
  <c r="Z239" i="2"/>
  <c r="AA239" i="2" s="1"/>
  <c r="L240" i="2"/>
  <c r="K240" i="2" s="1"/>
  <c r="Z240" i="2"/>
  <c r="AA240" i="2"/>
  <c r="AB240" i="2"/>
  <c r="AC240" i="2"/>
  <c r="AD240" i="2" s="1"/>
  <c r="L241" i="2"/>
  <c r="K241" i="2" s="1"/>
  <c r="Z241" i="2"/>
  <c r="Z242" i="2"/>
  <c r="Z243" i="2"/>
  <c r="AB243" i="2" s="1"/>
  <c r="Z244" i="2"/>
  <c r="AA244" i="2" s="1"/>
  <c r="Z245" i="2"/>
  <c r="AB245" i="2" s="1"/>
  <c r="Z246" i="2"/>
  <c r="AA246" i="2" s="1"/>
  <c r="Z247" i="2"/>
  <c r="L247" i="2" s="1"/>
  <c r="K247" i="2" s="1"/>
  <c r="AC247" i="2"/>
  <c r="AD247" i="2" s="1"/>
  <c r="Z248" i="2"/>
  <c r="AA248" i="2" s="1"/>
  <c r="Z249" i="2"/>
  <c r="AA249" i="2" s="1"/>
  <c r="L250" i="2"/>
  <c r="K250" i="2" s="1"/>
  <c r="Z250" i="2"/>
  <c r="Z251" i="2"/>
  <c r="AC251" i="2" s="1"/>
  <c r="AD251" i="2" s="1"/>
  <c r="Z252" i="2"/>
  <c r="AA252" i="2"/>
  <c r="AB252" i="2"/>
  <c r="Z253" i="2"/>
  <c r="AC253" i="2" s="1"/>
  <c r="AD253" i="2" s="1"/>
  <c r="AB253" i="2"/>
  <c r="Z254" i="2"/>
  <c r="Z255" i="2"/>
  <c r="L255" i="2" s="1"/>
  <c r="K255" i="2" s="1"/>
  <c r="Z256" i="2"/>
  <c r="AA256" i="2" s="1"/>
  <c r="Z257" i="2"/>
  <c r="AB257" i="2"/>
  <c r="AC257" i="2"/>
  <c r="AD257" i="2" s="1"/>
  <c r="L258" i="2"/>
  <c r="K258" i="2" s="1"/>
  <c r="Z258" i="2"/>
  <c r="AA258" i="2" s="1"/>
  <c r="Z259" i="2"/>
  <c r="AA259" i="2" s="1"/>
  <c r="Z260" i="2"/>
  <c r="AA260" i="2" s="1"/>
  <c r="Z261" i="2"/>
  <c r="Z262" i="2"/>
  <c r="L262" i="2" s="1"/>
  <c r="K262" i="2" s="1"/>
  <c r="Z263" i="2"/>
  <c r="L263" i="2" s="1"/>
  <c r="K263" i="2" s="1"/>
  <c r="AA263" i="2"/>
  <c r="AB263" i="2"/>
  <c r="AC263" i="2"/>
  <c r="AD263" i="2" s="1"/>
  <c r="Z264" i="2"/>
  <c r="AA264" i="2" s="1"/>
  <c r="AC264" i="2"/>
  <c r="AD264" i="2" s="1"/>
  <c r="L265" i="2"/>
  <c r="K265" i="2" s="1"/>
  <c r="Z265" i="2"/>
  <c r="AA265" i="2"/>
  <c r="Z266" i="2"/>
  <c r="Z267" i="2"/>
  <c r="Z268" i="2"/>
  <c r="L268" i="2" s="1"/>
  <c r="K268" i="2" s="1"/>
  <c r="AB268" i="2"/>
  <c r="AC268" i="2"/>
  <c r="AD268" i="2" s="1"/>
  <c r="Z269" i="2"/>
  <c r="AB269" i="2" s="1"/>
  <c r="Z270" i="2"/>
  <c r="L270" i="2" s="1"/>
  <c r="K270" i="2" s="1"/>
  <c r="AA270" i="2"/>
  <c r="AB270" i="2"/>
  <c r="Z271" i="2"/>
  <c r="AA271" i="2" s="1"/>
  <c r="AB271" i="2"/>
  <c r="Z272" i="2"/>
  <c r="Z273" i="2"/>
  <c r="Z274" i="2"/>
  <c r="AA274" i="2" s="1"/>
  <c r="AC274" i="2"/>
  <c r="AD274" i="2"/>
  <c r="Z275" i="2"/>
  <c r="Z276" i="2"/>
  <c r="L276" i="2" s="1"/>
  <c r="K276" i="2" s="1"/>
  <c r="AC276" i="2"/>
  <c r="AD276" i="2" s="1"/>
  <c r="Z277" i="2"/>
  <c r="L277" i="2" s="1"/>
  <c r="K277" i="2" s="1"/>
  <c r="Z278" i="2"/>
  <c r="Z279" i="2"/>
  <c r="AB279" i="2" s="1"/>
  <c r="Z280" i="2"/>
  <c r="Z281" i="2"/>
  <c r="AB281" i="2"/>
  <c r="Z282" i="2"/>
  <c r="Z283" i="2"/>
  <c r="AB283" i="2" s="1"/>
  <c r="Z284" i="2"/>
  <c r="AA284" i="2" s="1"/>
  <c r="Z285" i="2"/>
  <c r="AA285" i="2" s="1"/>
  <c r="Z286" i="2"/>
  <c r="Z287" i="2"/>
  <c r="L287" i="2" s="1"/>
  <c r="K287" i="2" s="1"/>
  <c r="L288" i="2"/>
  <c r="K288" i="2" s="1"/>
  <c r="Z288" i="2"/>
  <c r="AA288" i="2"/>
  <c r="AB288" i="2"/>
  <c r="AC288" i="2"/>
  <c r="AD288" i="2" s="1"/>
  <c r="Z289" i="2"/>
  <c r="AA289" i="2" s="1"/>
  <c r="Z290" i="2"/>
  <c r="L290" i="2" s="1"/>
  <c r="K290" i="2" s="1"/>
  <c r="Z291" i="2"/>
  <c r="AB291" i="2" s="1"/>
  <c r="L292" i="2"/>
  <c r="K292" i="2" s="1"/>
  <c r="Z292" i="2"/>
  <c r="AC292" i="2" s="1"/>
  <c r="AD292" i="2" s="1"/>
  <c r="AA292" i="2"/>
  <c r="AB292" i="2"/>
  <c r="Z293" i="2"/>
  <c r="AA293" i="2" s="1"/>
  <c r="AB293" i="2"/>
  <c r="AC293" i="2"/>
  <c r="AD293" i="2" s="1"/>
  <c r="Z294" i="2"/>
  <c r="AA294" i="2"/>
  <c r="AC294" i="2"/>
  <c r="AD294" i="2" s="1"/>
  <c r="Z295" i="2"/>
  <c r="AA295" i="2" s="1"/>
  <c r="AB295" i="2"/>
  <c r="Z296" i="2"/>
  <c r="Z297" i="2"/>
  <c r="Z298" i="2"/>
  <c r="L298" i="2" s="1"/>
  <c r="K298" i="2" s="1"/>
  <c r="AC298" i="2"/>
  <c r="AD298" i="2" s="1"/>
  <c r="L299" i="2"/>
  <c r="K299" i="2" s="1"/>
  <c r="Z299" i="2"/>
  <c r="AA299" i="2"/>
  <c r="Z300" i="2"/>
  <c r="Z301" i="2"/>
  <c r="AB301" i="2" s="1"/>
  <c r="AC301" i="2"/>
  <c r="AD301" i="2" s="1"/>
  <c r="Z302" i="2"/>
  <c r="AA302" i="2" s="1"/>
  <c r="Z303" i="2"/>
  <c r="AA303" i="2" s="1"/>
  <c r="Z304" i="2"/>
  <c r="L304" i="2" s="1"/>
  <c r="K304" i="2" s="1"/>
  <c r="Z305" i="2"/>
  <c r="AC305" i="2" s="1"/>
  <c r="AD305" i="2" s="1"/>
  <c r="AA305" i="2"/>
  <c r="Z306" i="2"/>
  <c r="L306" i="2" s="1"/>
  <c r="K306" i="2" s="1"/>
  <c r="L307" i="2"/>
  <c r="K307" i="2" s="1"/>
  <c r="Z307" i="2"/>
  <c r="AA307" i="2" s="1"/>
  <c r="AC307" i="2"/>
  <c r="AD307" i="2" s="1"/>
  <c r="Z308" i="2"/>
  <c r="Z309" i="2"/>
  <c r="AA309" i="2" s="1"/>
  <c r="Z310" i="2"/>
  <c r="Z311" i="2"/>
  <c r="AA311" i="2"/>
  <c r="Z312" i="2"/>
  <c r="AA312" i="2"/>
  <c r="AB312" i="2"/>
  <c r="Z313" i="2"/>
  <c r="Z314" i="2"/>
  <c r="Z315" i="2"/>
  <c r="L315" i="2" s="1"/>
  <c r="K315" i="2" s="1"/>
  <c r="AB315" i="2"/>
  <c r="Z316" i="2"/>
  <c r="Z317" i="2"/>
  <c r="L317" i="2" s="1"/>
  <c r="K317" i="2" s="1"/>
  <c r="Z318" i="2"/>
  <c r="L318" i="2" s="1"/>
  <c r="K318" i="2" s="1"/>
  <c r="AC318" i="2"/>
  <c r="AD318" i="2" s="1"/>
  <c r="Z319" i="2"/>
  <c r="Z320" i="2"/>
  <c r="Z321" i="2"/>
  <c r="L321" i="2" s="1"/>
  <c r="K321" i="2" s="1"/>
  <c r="Z322" i="2"/>
  <c r="AA322" i="2" s="1"/>
  <c r="L323" i="2"/>
  <c r="K323" i="2" s="1"/>
  <c r="Z323" i="2"/>
  <c r="AB323" i="2" s="1"/>
  <c r="Z324" i="2"/>
  <c r="AC324" i="2" s="1"/>
  <c r="AD324" i="2" s="1"/>
  <c r="AA324" i="2"/>
  <c r="AB324" i="2"/>
  <c r="L325" i="2"/>
  <c r="K325" i="2" s="1"/>
  <c r="Z325" i="2"/>
  <c r="AA325" i="2"/>
  <c r="Z326" i="2"/>
  <c r="Z327" i="2"/>
  <c r="AA327" i="2" s="1"/>
  <c r="AB327" i="2"/>
  <c r="L328" i="2"/>
  <c r="K328" i="2" s="1"/>
  <c r="Z328" i="2"/>
  <c r="Z329" i="2"/>
  <c r="AB329" i="2"/>
  <c r="Z330" i="2"/>
  <c r="Z331" i="2"/>
  <c r="AC331" i="2" s="1"/>
  <c r="AD331" i="2" s="1"/>
  <c r="Z332" i="2"/>
  <c r="L332" i="2" s="1"/>
  <c r="K332" i="2" s="1"/>
  <c r="AA332" i="2"/>
  <c r="AB332" i="2"/>
  <c r="AC332" i="2"/>
  <c r="AD332" i="2" s="1"/>
  <c r="L333" i="2"/>
  <c r="K333" i="2" s="1"/>
  <c r="Z333" i="2"/>
  <c r="AA333" i="2"/>
  <c r="L334" i="2"/>
  <c r="K334" i="2" s="1"/>
  <c r="Z334" i="2"/>
  <c r="AA334" i="2"/>
  <c r="Z335" i="2"/>
  <c r="AA335" i="2"/>
  <c r="Z336" i="2"/>
  <c r="Z337" i="2"/>
  <c r="AC337" i="2" s="1"/>
  <c r="AD337" i="2" s="1"/>
  <c r="Z338" i="2"/>
  <c r="AA338" i="2"/>
  <c r="Z339" i="2"/>
  <c r="AA339" i="2" s="1"/>
  <c r="AB339" i="2"/>
  <c r="L340" i="2"/>
  <c r="K340" i="2" s="1"/>
  <c r="Z340" i="2"/>
  <c r="Z341" i="2"/>
  <c r="Z342" i="2"/>
  <c r="L342" i="2" s="1"/>
  <c r="K342" i="2" s="1"/>
  <c r="Z343" i="2"/>
  <c r="L343" i="2" s="1"/>
  <c r="K343" i="2" s="1"/>
  <c r="AA343" i="2"/>
  <c r="AB343" i="2"/>
  <c r="AC343" i="2"/>
  <c r="AD343" i="2" s="1"/>
  <c r="Z344" i="2"/>
  <c r="AC344" i="2" s="1"/>
  <c r="AD344" i="2" s="1"/>
  <c r="AB344" i="2"/>
  <c r="Z345" i="2"/>
  <c r="AA345" i="2" s="1"/>
  <c r="Z346" i="2"/>
  <c r="AB346" i="2" s="1"/>
  <c r="AC346" i="2"/>
  <c r="AD346" i="2" s="1"/>
  <c r="Z347" i="2"/>
  <c r="AB347" i="2" s="1"/>
  <c r="AC347" i="2"/>
  <c r="AD347" i="2" s="1"/>
  <c r="L348" i="2"/>
  <c r="K348" i="2" s="1"/>
  <c r="Z348" i="2"/>
  <c r="Z349" i="2"/>
  <c r="Z350" i="2"/>
  <c r="AA350" i="2" s="1"/>
  <c r="Z351" i="2"/>
  <c r="Z352" i="2"/>
  <c r="Z353" i="2"/>
  <c r="AC353" i="2" s="1"/>
  <c r="AD353" i="2" s="1"/>
  <c r="Z354" i="2"/>
  <c r="L354" i="2" s="1"/>
  <c r="K354" i="2" s="1"/>
  <c r="Z355" i="2"/>
  <c r="AA355" i="2" s="1"/>
  <c r="Z356" i="2"/>
  <c r="AC356" i="2"/>
  <c r="AD356" i="2" s="1"/>
  <c r="L357" i="2"/>
  <c r="K357" i="2" s="1"/>
  <c r="Z357" i="2"/>
  <c r="AA357" i="2" s="1"/>
  <c r="L358" i="2"/>
  <c r="K358" i="2" s="1"/>
  <c r="Z358" i="2"/>
  <c r="AA358" i="2" s="1"/>
  <c r="Z359" i="2"/>
  <c r="AC359" i="2" s="1"/>
  <c r="AD359" i="2" s="1"/>
  <c r="Z360" i="2"/>
  <c r="AA360" i="2" s="1"/>
  <c r="AB360" i="2"/>
  <c r="AC360" i="2"/>
  <c r="AD360" i="2"/>
  <c r="Z361" i="2"/>
  <c r="AA361" i="2"/>
  <c r="AC361" i="2"/>
  <c r="AD361" i="2" s="1"/>
  <c r="Z362" i="2"/>
  <c r="Z363" i="2"/>
  <c r="L364" i="2"/>
  <c r="K364" i="2" s="1"/>
  <c r="Z364" i="2"/>
  <c r="Z365" i="2"/>
  <c r="AB365" i="2" s="1"/>
  <c r="Z366" i="2"/>
  <c r="Z367" i="2"/>
  <c r="AC367" i="2" s="1"/>
  <c r="AD367" i="2" s="1"/>
  <c r="Z368" i="2"/>
  <c r="L368" i="2" s="1"/>
  <c r="K368" i="2" s="1"/>
  <c r="AC368" i="2"/>
  <c r="AD368" i="2" s="1"/>
  <c r="Z369" i="2"/>
  <c r="AA369" i="2" s="1"/>
  <c r="AC369" i="2"/>
  <c r="AD369" i="2" s="1"/>
  <c r="Z370" i="2"/>
  <c r="AB370" i="2" s="1"/>
  <c r="L371" i="2"/>
  <c r="K371" i="2" s="1"/>
  <c r="Z371" i="2"/>
  <c r="AC371" i="2"/>
  <c r="AD371" i="2" s="1"/>
  <c r="Z372" i="2"/>
  <c r="AA372" i="2"/>
  <c r="AC372" i="2"/>
  <c r="AD372" i="2"/>
  <c r="Z373" i="2"/>
  <c r="L374" i="2"/>
  <c r="K374" i="2" s="1"/>
  <c r="Z374" i="2"/>
  <c r="AC374" i="2" s="1"/>
  <c r="AD374" i="2"/>
  <c r="Z375" i="2"/>
  <c r="AC375" i="2" s="1"/>
  <c r="AD375" i="2" s="1"/>
  <c r="Z376" i="2"/>
  <c r="L376" i="2" s="1"/>
  <c r="K376" i="2" s="1"/>
  <c r="Z377" i="2"/>
  <c r="AA377" i="2" s="1"/>
  <c r="Z378" i="2"/>
  <c r="AC378" i="2" s="1"/>
  <c r="AD378" i="2" s="1"/>
  <c r="Z379" i="2"/>
  <c r="Z380" i="2"/>
  <c r="L380" i="2" s="1"/>
  <c r="K380" i="2" s="1"/>
  <c r="AC380" i="2"/>
  <c r="AD380" i="2" s="1"/>
  <c r="Z381" i="2"/>
  <c r="L381" i="2" s="1"/>
  <c r="K381" i="2" s="1"/>
  <c r="Z382" i="2"/>
  <c r="Z383" i="2"/>
  <c r="AA383" i="2" s="1"/>
  <c r="Z384" i="2"/>
  <c r="AC384" i="2" s="1"/>
  <c r="AD384" i="2" s="1"/>
  <c r="Z385" i="2"/>
  <c r="Z386" i="2"/>
  <c r="Z387" i="2"/>
  <c r="Z388" i="2"/>
  <c r="AB388" i="2" s="1"/>
  <c r="Z389" i="2"/>
  <c r="Z390" i="2"/>
  <c r="AC390" i="2" s="1"/>
  <c r="AD390" i="2"/>
  <c r="Z391" i="2"/>
  <c r="AA391" i="2" s="1"/>
  <c r="Z392" i="2"/>
  <c r="AA392" i="2"/>
  <c r="AB392" i="2"/>
  <c r="Z393" i="2"/>
  <c r="AA393" i="2" s="1"/>
  <c r="AC393" i="2"/>
  <c r="AD393" i="2" s="1"/>
  <c r="Z394" i="2"/>
  <c r="Z395" i="2"/>
  <c r="AB395" i="2" s="1"/>
  <c r="AA395" i="2"/>
  <c r="AC395" i="2"/>
  <c r="AD395" i="2" s="1"/>
  <c r="Z396" i="2"/>
  <c r="AB396" i="2" s="1"/>
  <c r="AC396" i="2"/>
  <c r="AD396" i="2" s="1"/>
  <c r="Z397" i="2"/>
  <c r="L397" i="2" s="1"/>
  <c r="K397" i="2" s="1"/>
  <c r="Z398" i="2"/>
  <c r="AB398" i="2" s="1"/>
  <c r="Z399" i="2"/>
  <c r="L399" i="2" s="1"/>
  <c r="K399" i="2" s="1"/>
  <c r="AA399" i="2"/>
  <c r="AC399" i="2"/>
  <c r="AD399" i="2" s="1"/>
  <c r="Z400" i="2"/>
  <c r="L400" i="2" s="1"/>
  <c r="K400" i="2" s="1"/>
  <c r="Z401" i="2"/>
  <c r="AA401" i="2"/>
  <c r="Z402" i="2"/>
  <c r="AB402" i="2" s="1"/>
  <c r="Z403" i="2"/>
  <c r="AA403" i="2" s="1"/>
  <c r="Z404" i="2"/>
  <c r="AA404" i="2" s="1"/>
  <c r="AB404" i="2"/>
  <c r="Z405" i="2"/>
  <c r="AC405" i="2" s="1"/>
  <c r="AD405" i="2" s="1"/>
  <c r="Z406" i="2"/>
  <c r="L407" i="2"/>
  <c r="K407" i="2" s="1"/>
  <c r="Z407" i="2"/>
  <c r="Z408" i="2"/>
  <c r="L408" i="2" s="1"/>
  <c r="K408" i="2" s="1"/>
  <c r="L409" i="2"/>
  <c r="K409" i="2" s="1"/>
  <c r="Z409" i="2"/>
  <c r="AB409" i="2"/>
  <c r="Z410" i="2"/>
  <c r="L410" i="2" s="1"/>
  <c r="K410" i="2" s="1"/>
  <c r="Z411" i="2"/>
  <c r="L411" i="2" s="1"/>
  <c r="K411" i="2" s="1"/>
  <c r="AA411" i="2"/>
  <c r="AB411" i="2"/>
  <c r="AC411" i="2"/>
  <c r="AD411" i="2" s="1"/>
  <c r="Z412" i="2"/>
  <c r="Z413" i="2"/>
  <c r="AC413" i="2"/>
  <c r="AD413" i="2" s="1"/>
  <c r="Z414" i="2"/>
  <c r="AB414" i="2" s="1"/>
  <c r="Z415" i="2"/>
  <c r="AA415" i="2" s="1"/>
  <c r="Z416" i="2"/>
  <c r="AA416" i="2" s="1"/>
  <c r="AB416" i="2"/>
  <c r="Z417" i="2"/>
  <c r="AC417" i="2" s="1"/>
  <c r="AD417" i="2" s="1"/>
  <c r="Z418" i="2"/>
  <c r="AC418" i="2" s="1"/>
  <c r="AD418" i="2" s="1"/>
  <c r="AB418" i="2"/>
  <c r="Z419" i="2"/>
  <c r="Z420" i="2"/>
  <c r="AB420" i="2" s="1"/>
  <c r="Z421" i="2"/>
  <c r="AA421" i="2"/>
  <c r="Z422" i="2"/>
  <c r="AB422" i="2" s="1"/>
  <c r="Z423" i="2"/>
  <c r="L423" i="2" s="1"/>
  <c r="K423" i="2" s="1"/>
  <c r="Z424" i="2"/>
  <c r="Z425" i="2"/>
  <c r="AB425" i="2" s="1"/>
  <c r="Z426" i="2"/>
  <c r="AB426" i="2" s="1"/>
  <c r="Z427" i="2"/>
  <c r="L427" i="2" s="1"/>
  <c r="K427" i="2" s="1"/>
  <c r="AC427" i="2"/>
  <c r="AD427" i="2" s="1"/>
  <c r="Z428" i="2"/>
  <c r="AA428" i="2" s="1"/>
  <c r="Z429" i="2"/>
  <c r="AA429" i="2"/>
  <c r="Z430" i="2"/>
  <c r="Z431" i="2"/>
  <c r="Z432" i="2"/>
  <c r="AB432" i="2" s="1"/>
  <c r="Z433" i="2"/>
  <c r="AA433" i="2" s="1"/>
  <c r="AC433" i="2"/>
  <c r="AD433" i="2" s="1"/>
  <c r="Z434" i="2"/>
  <c r="AB434" i="2" s="1"/>
  <c r="Z435" i="2"/>
  <c r="Z436" i="2"/>
  <c r="Z437" i="2"/>
  <c r="AA437" i="2"/>
  <c r="Z438" i="2"/>
  <c r="AB438" i="2" s="1"/>
  <c r="Z439" i="2"/>
  <c r="Z440" i="2"/>
  <c r="AA440" i="2" s="1"/>
  <c r="AB440" i="2"/>
  <c r="Z441" i="2"/>
  <c r="AC441" i="2" s="1"/>
  <c r="AD441" i="2" s="1"/>
  <c r="Z442" i="2"/>
  <c r="AA442" i="2" s="1"/>
  <c r="Z443" i="2"/>
  <c r="AC443" i="2" s="1"/>
  <c r="AD443" i="2" s="1"/>
  <c r="Z444" i="2"/>
  <c r="AC444" i="2" s="1"/>
  <c r="AD444" i="2"/>
  <c r="L445" i="2"/>
  <c r="K445" i="2" s="1"/>
  <c r="Z445" i="2"/>
  <c r="AC445" i="2" s="1"/>
  <c r="AD445" i="2" s="1"/>
  <c r="AA445" i="2"/>
  <c r="AB445" i="2"/>
  <c r="Z446" i="2"/>
  <c r="AB446" i="2" s="1"/>
  <c r="Z447" i="2"/>
  <c r="AC447" i="2" s="1"/>
  <c r="AD447" i="2" s="1"/>
  <c r="Z448" i="2"/>
  <c r="AB448" i="2" s="1"/>
  <c r="Z449" i="2"/>
  <c r="L449" i="2" s="1"/>
  <c r="K449" i="2" s="1"/>
  <c r="L450" i="2"/>
  <c r="K450" i="2" s="1"/>
  <c r="Z450" i="2"/>
  <c r="AA450" i="2" s="1"/>
  <c r="AB450" i="2"/>
  <c r="AC450" i="2"/>
  <c r="AD450" i="2" s="1"/>
  <c r="Z451" i="2"/>
  <c r="Z452" i="2"/>
  <c r="AB452" i="2"/>
  <c r="Z453" i="2"/>
  <c r="L453" i="2" s="1"/>
  <c r="K453" i="2" s="1"/>
  <c r="Z454" i="2"/>
  <c r="Z455" i="2"/>
  <c r="AA455" i="2" s="1"/>
  <c r="AC455" i="2"/>
  <c r="AD455" i="2" s="1"/>
  <c r="Z456" i="2"/>
  <c r="Z457" i="2"/>
  <c r="AA457" i="2"/>
  <c r="Z458" i="2"/>
  <c r="L458" i="2" s="1"/>
  <c r="K458" i="2" s="1"/>
  <c r="AB458" i="2"/>
  <c r="L459" i="2"/>
  <c r="K459" i="2" s="1"/>
  <c r="Z459" i="2"/>
  <c r="AA459" i="2"/>
  <c r="Z460" i="2"/>
  <c r="AC460" i="2" s="1"/>
  <c r="AD460" i="2" s="1"/>
  <c r="Z461" i="2"/>
  <c r="AA461" i="2" s="1"/>
  <c r="Z462" i="2"/>
  <c r="AA462" i="2" s="1"/>
  <c r="Z463" i="2"/>
  <c r="Z464" i="2"/>
  <c r="L464" i="2" s="1"/>
  <c r="K464" i="2" s="1"/>
  <c r="Z465" i="2"/>
  <c r="AC465" i="2" s="1"/>
  <c r="AD465" i="2" s="1"/>
  <c r="Z466" i="2"/>
  <c r="Z467" i="2"/>
  <c r="Z468" i="2"/>
  <c r="L469" i="2"/>
  <c r="K469" i="2" s="1"/>
  <c r="Z469" i="2"/>
  <c r="AC469" i="2" s="1"/>
  <c r="AD469" i="2" s="1"/>
  <c r="AA469" i="2"/>
  <c r="AB469" i="2"/>
  <c r="L470" i="2"/>
  <c r="K470" i="2" s="1"/>
  <c r="Z470" i="2"/>
  <c r="Z471" i="2"/>
  <c r="L472" i="2"/>
  <c r="K472" i="2" s="1"/>
  <c r="Z472" i="2"/>
  <c r="AB472" i="2"/>
  <c r="Z473" i="2"/>
  <c r="Z474" i="2"/>
  <c r="AC474" i="2"/>
  <c r="AD474" i="2" s="1"/>
  <c r="Z475" i="2"/>
  <c r="Z476" i="2"/>
  <c r="Z477" i="2"/>
  <c r="AC477" i="2" s="1"/>
  <c r="AD477" i="2" s="1"/>
  <c r="Z478" i="2"/>
  <c r="AA478" i="2"/>
  <c r="Z479" i="2"/>
  <c r="AB479" i="2" s="1"/>
  <c r="AA479" i="2"/>
  <c r="Z480" i="2"/>
  <c r="AB480" i="2" s="1"/>
  <c r="AA480" i="2"/>
  <c r="AC480" i="2"/>
  <c r="AD480" i="2" s="1"/>
  <c r="Z481" i="2"/>
  <c r="L481" i="2" s="1"/>
  <c r="K481" i="2" s="1"/>
  <c r="AB481" i="2"/>
  <c r="AC481" i="2"/>
  <c r="AD481" i="2" s="1"/>
  <c r="Z482" i="2"/>
  <c r="Z483" i="2"/>
  <c r="L483" i="2" s="1"/>
  <c r="K483" i="2" s="1"/>
  <c r="Z484" i="2"/>
  <c r="AC484" i="2" s="1"/>
  <c r="AD484" i="2" s="1"/>
  <c r="AA484" i="2"/>
  <c r="AB484" i="2"/>
  <c r="Z485" i="2"/>
  <c r="AB485" i="2"/>
  <c r="Z486" i="2"/>
  <c r="Z487" i="2"/>
  <c r="AB487" i="2" s="1"/>
  <c r="Z488" i="2"/>
  <c r="AB488" i="2" s="1"/>
  <c r="Z489" i="2"/>
  <c r="Z490" i="2"/>
  <c r="AA490" i="2" s="1"/>
  <c r="Z491" i="2"/>
  <c r="AA491" i="2" s="1"/>
  <c r="Z492" i="2"/>
  <c r="Z493" i="2"/>
  <c r="AA493" i="2"/>
  <c r="AB493" i="2"/>
  <c r="Z494" i="2"/>
  <c r="L495" i="2"/>
  <c r="K495" i="2" s="1"/>
  <c r="Z495" i="2"/>
  <c r="AA495" i="2" s="1"/>
  <c r="Z496" i="2"/>
  <c r="Z497" i="2"/>
  <c r="AA497" i="2" s="1"/>
  <c r="Z498" i="2"/>
  <c r="AC498" i="2" s="1"/>
  <c r="AD498" i="2" s="1"/>
  <c r="Z499" i="2"/>
  <c r="Z500" i="2"/>
  <c r="L500" i="2" s="1"/>
  <c r="K500" i="2" s="1"/>
  <c r="AA500" i="2"/>
  <c r="AB500" i="2"/>
  <c r="Z501" i="2"/>
  <c r="AA501" i="2" s="1"/>
  <c r="Z502" i="2"/>
  <c r="AB502" i="2" s="1"/>
  <c r="Z503" i="2"/>
  <c r="AB503" i="2" s="1"/>
  <c r="Z504" i="2"/>
  <c r="L505" i="2"/>
  <c r="K505" i="2" s="1"/>
  <c r="Z505" i="2"/>
  <c r="AC505" i="2" s="1"/>
  <c r="AD505" i="2" s="1"/>
  <c r="Z506" i="2"/>
  <c r="AB506" i="2"/>
  <c r="Z507" i="2"/>
  <c r="AC507" i="2" s="1"/>
  <c r="AD507" i="2" s="1"/>
  <c r="AB507" i="2"/>
  <c r="Z508" i="2"/>
  <c r="Z509" i="2"/>
  <c r="AC509" i="2" s="1"/>
  <c r="AD509" i="2" s="1"/>
  <c r="Z510" i="2"/>
  <c r="Z511" i="2"/>
  <c r="AC511" i="2" s="1"/>
  <c r="AD511" i="2" s="1"/>
  <c r="Z512" i="2"/>
  <c r="Z513" i="2"/>
  <c r="Z514" i="2"/>
  <c r="AC514" i="2" s="1"/>
  <c r="AD514" i="2" s="1"/>
  <c r="Z515" i="2"/>
  <c r="K516" i="2"/>
  <c r="Z516" i="2"/>
  <c r="L516" i="2" s="1"/>
  <c r="Z517" i="2"/>
  <c r="Z518" i="2"/>
  <c r="AB518" i="2"/>
  <c r="Z519" i="2"/>
  <c r="AB519" i="2" s="1"/>
  <c r="Z520" i="2"/>
  <c r="Z521" i="2"/>
  <c r="L521" i="2" s="1"/>
  <c r="K521" i="2" s="1"/>
  <c r="Z522" i="2"/>
  <c r="AB522" i="2" s="1"/>
  <c r="AC522" i="2"/>
  <c r="AD522" i="2" s="1"/>
  <c r="Z523" i="2"/>
  <c r="Z524" i="2"/>
  <c r="Z525" i="2"/>
  <c r="AA525" i="2" s="1"/>
  <c r="Z526" i="2"/>
  <c r="AA526" i="2" s="1"/>
  <c r="Z527" i="2"/>
  <c r="AB527" i="2" s="1"/>
  <c r="AC527" i="2"/>
  <c r="AD527" i="2" s="1"/>
  <c r="L528" i="2"/>
  <c r="K528" i="2" s="1"/>
  <c r="Z528" i="2"/>
  <c r="Z529" i="2"/>
  <c r="L529" i="2" s="1"/>
  <c r="K529" i="2" s="1"/>
  <c r="AA529" i="2"/>
  <c r="AB529" i="2"/>
  <c r="Z530" i="2"/>
  <c r="AA530" i="2"/>
  <c r="Z531" i="2"/>
  <c r="AC531" i="2" s="1"/>
  <c r="AB531" i="2"/>
  <c r="AD531" i="2"/>
  <c r="Z532" i="2"/>
  <c r="AA532" i="2" s="1"/>
  <c r="L533" i="2"/>
  <c r="K533" i="2" s="1"/>
  <c r="Z533" i="2"/>
  <c r="AC533" i="2" s="1"/>
  <c r="AD533" i="2" s="1"/>
  <c r="Z534" i="2"/>
  <c r="Z535" i="2"/>
  <c r="AA535" i="2" s="1"/>
  <c r="Z536" i="2"/>
  <c r="AB536" i="2" s="1"/>
  <c r="Z537" i="2"/>
  <c r="AA537" i="2" s="1"/>
  <c r="Z538" i="2"/>
  <c r="AA538" i="2" s="1"/>
  <c r="Z539" i="2"/>
  <c r="Z540" i="2"/>
  <c r="L541" i="2"/>
  <c r="K541" i="2" s="1"/>
  <c r="Z541" i="2"/>
  <c r="AC541" i="2" s="1"/>
  <c r="AD541" i="2" s="1"/>
  <c r="AA541" i="2"/>
  <c r="AB541" i="2"/>
  <c r="Z542" i="2"/>
  <c r="Z543" i="2"/>
  <c r="AB543" i="2" s="1"/>
  <c r="Z544" i="2"/>
  <c r="AC544" i="2" s="1"/>
  <c r="AD544" i="2" s="1"/>
  <c r="Z545" i="2"/>
  <c r="Z546" i="2"/>
  <c r="AB546" i="2" s="1"/>
  <c r="AC546" i="2"/>
  <c r="AD546" i="2" s="1"/>
  <c r="Z547" i="2"/>
  <c r="L547" i="2" s="1"/>
  <c r="K547" i="2" s="1"/>
  <c r="Z548" i="2"/>
  <c r="AB548" i="2" s="1"/>
  <c r="Z549" i="2"/>
  <c r="Z550" i="2"/>
  <c r="Z551" i="2"/>
  <c r="AC551" i="2" s="1"/>
  <c r="AD551" i="2" s="1"/>
  <c r="Z552" i="2"/>
  <c r="AC552" i="2" s="1"/>
  <c r="AD552" i="2" s="1"/>
  <c r="Z553" i="2"/>
  <c r="L553" i="2" s="1"/>
  <c r="K553" i="2" s="1"/>
  <c r="Z554" i="2"/>
  <c r="Z555" i="2"/>
  <c r="AB555" i="2" s="1"/>
  <c r="Z556" i="2"/>
  <c r="L557" i="2"/>
  <c r="K557" i="2" s="1"/>
  <c r="Z557" i="2"/>
  <c r="AB557" i="2" s="1"/>
  <c r="AA557" i="2"/>
  <c r="L558" i="2"/>
  <c r="K558" i="2" s="1"/>
  <c r="Z558" i="2"/>
  <c r="AC558" i="2"/>
  <c r="AD558" i="2" s="1"/>
  <c r="K559" i="2"/>
  <c r="Z559" i="2"/>
  <c r="L559" i="2" s="1"/>
  <c r="AB559" i="2"/>
  <c r="Z560" i="2"/>
  <c r="AB560" i="2"/>
  <c r="L561" i="2"/>
  <c r="K561" i="2" s="1"/>
  <c r="Z561" i="2"/>
  <c r="AA561" i="2" s="1"/>
  <c r="Z562" i="2"/>
  <c r="L563" i="2"/>
  <c r="K563" i="2" s="1"/>
  <c r="Z563" i="2"/>
  <c r="Z564" i="2"/>
  <c r="L565" i="2"/>
  <c r="K565" i="2" s="1"/>
  <c r="Z565" i="2"/>
  <c r="AC565" i="2" s="1"/>
  <c r="AD565" i="2" s="1"/>
  <c r="AA565" i="2"/>
  <c r="AB565" i="2"/>
  <c r="Z566" i="2"/>
  <c r="Z567" i="2"/>
  <c r="AC567" i="2" s="1"/>
  <c r="AD567" i="2" s="1"/>
  <c r="Z568" i="2"/>
  <c r="AB568" i="2" s="1"/>
  <c r="Z569" i="2"/>
  <c r="Z570" i="2"/>
  <c r="Z571" i="2"/>
  <c r="Z572" i="2"/>
  <c r="Z573" i="2"/>
  <c r="L573" i="2" s="1"/>
  <c r="K573" i="2" s="1"/>
  <c r="Z574" i="2"/>
  <c r="Z575" i="2"/>
  <c r="AC575" i="2" s="1"/>
  <c r="AD575" i="2" s="1"/>
  <c r="Z576" i="2"/>
  <c r="L577" i="2"/>
  <c r="K577" i="2" s="1"/>
  <c r="Z577" i="2"/>
  <c r="AC577" i="2" s="1"/>
  <c r="AD577" i="2" s="1"/>
  <c r="AB577" i="2"/>
  <c r="L578" i="2"/>
  <c r="K578" i="2" s="1"/>
  <c r="Z578" i="2"/>
  <c r="Z579" i="2"/>
  <c r="AB579" i="2"/>
  <c r="AC579" i="2"/>
  <c r="AD579" i="2" s="1"/>
  <c r="Z580" i="2"/>
  <c r="AA580" i="2"/>
  <c r="Z581" i="2"/>
  <c r="AB581" i="2" s="1"/>
  <c r="L582" i="2"/>
  <c r="K582" i="2" s="1"/>
  <c r="Z582" i="2"/>
  <c r="AC582" i="2" s="1"/>
  <c r="AD582" i="2" s="1"/>
  <c r="K583" i="2"/>
  <c r="Z583" i="2"/>
  <c r="L583" i="2" s="1"/>
  <c r="AA583" i="2"/>
  <c r="AB583" i="2"/>
  <c r="AC583" i="2"/>
  <c r="AD583" i="2" s="1"/>
  <c r="Z584" i="2"/>
  <c r="AB584" i="2" s="1"/>
  <c r="Z585" i="2"/>
  <c r="AA585" i="2" s="1"/>
  <c r="L586" i="2"/>
  <c r="K586" i="2" s="1"/>
  <c r="Z586" i="2"/>
  <c r="AB586" i="2" s="1"/>
  <c r="Z587" i="2"/>
  <c r="Z588" i="2"/>
  <c r="AB588" i="2" s="1"/>
  <c r="Z589" i="2"/>
  <c r="Z590" i="2"/>
  <c r="AB590" i="2" s="1"/>
  <c r="AC590" i="2"/>
  <c r="AD590" i="2" s="1"/>
  <c r="Z591" i="2"/>
  <c r="L591" i="2" s="1"/>
  <c r="K591" i="2" s="1"/>
  <c r="Z592" i="2"/>
  <c r="Z593" i="2"/>
  <c r="AB593" i="2" s="1"/>
  <c r="AC593" i="2"/>
  <c r="AD593" i="2" s="1"/>
  <c r="Z594" i="2"/>
  <c r="L595" i="2"/>
  <c r="K595" i="2" s="1"/>
  <c r="Z595" i="2"/>
  <c r="AC595" i="2" s="1"/>
  <c r="AD595" i="2" s="1"/>
  <c r="AA595" i="2"/>
  <c r="Z596" i="2"/>
  <c r="AB596" i="2" s="1"/>
  <c r="Z597" i="2"/>
  <c r="Z598" i="2"/>
  <c r="Z599" i="2"/>
  <c r="Z600" i="2"/>
  <c r="AB600" i="2" s="1"/>
  <c r="Z601" i="2"/>
  <c r="L601" i="2" s="1"/>
  <c r="K601" i="2" s="1"/>
  <c r="Z602" i="2"/>
  <c r="AB602" i="2" s="1"/>
  <c r="Z603" i="2"/>
  <c r="AC603" i="2" s="1"/>
  <c r="AD603" i="2" s="1"/>
  <c r="AA603" i="2"/>
  <c r="Z604" i="2"/>
  <c r="Z605" i="2"/>
  <c r="Z606" i="2"/>
  <c r="Z607" i="2"/>
  <c r="AB607" i="2"/>
  <c r="AC607" i="2"/>
  <c r="AD607" i="2" s="1"/>
  <c r="L608" i="2"/>
  <c r="K608" i="2" s="1"/>
  <c r="Z608" i="2"/>
  <c r="AC608" i="2" s="1"/>
  <c r="AD608" i="2" s="1"/>
  <c r="Z609" i="2"/>
  <c r="Z610" i="2"/>
  <c r="L610" i="2" s="1"/>
  <c r="K610" i="2" s="1"/>
  <c r="Z611" i="2"/>
  <c r="L611" i="2" s="1"/>
  <c r="K611" i="2" s="1"/>
  <c r="AC611" i="2"/>
  <c r="AD611" i="2" s="1"/>
  <c r="Z612" i="2"/>
  <c r="AB612" i="2" s="1"/>
  <c r="Z613" i="2"/>
  <c r="L613" i="2" s="1"/>
  <c r="K613" i="2" s="1"/>
  <c r="AB613" i="2"/>
  <c r="Z614" i="2"/>
  <c r="AB614" i="2" s="1"/>
  <c r="Z615" i="2"/>
  <c r="Z616" i="2"/>
  <c r="AA616" i="2" s="1"/>
  <c r="L617" i="2"/>
  <c r="K617" i="2" s="1"/>
  <c r="Z617" i="2"/>
  <c r="AB617" i="2" s="1"/>
  <c r="AC617" i="2"/>
  <c r="AD617" i="2" s="1"/>
  <c r="Z618" i="2"/>
  <c r="L618" i="2" s="1"/>
  <c r="K618" i="2" s="1"/>
  <c r="AC618" i="2"/>
  <c r="AD618" i="2" s="1"/>
  <c r="L619" i="2"/>
  <c r="K619" i="2" s="1"/>
  <c r="Z619" i="2"/>
  <c r="AC619" i="2" s="1"/>
  <c r="AD619" i="2" s="1"/>
  <c r="AA619" i="2"/>
  <c r="AB619" i="2"/>
  <c r="Z620" i="2"/>
  <c r="AA620" i="2" s="1"/>
  <c r="AB620" i="2"/>
  <c r="Z621" i="2"/>
  <c r="AA621" i="2" s="1"/>
  <c r="Z622" i="2"/>
  <c r="AB622" i="2" s="1"/>
  <c r="Z623" i="2"/>
  <c r="Z624" i="2"/>
  <c r="Z625" i="2"/>
  <c r="Z626" i="2"/>
  <c r="AB626" i="2"/>
  <c r="AC626" i="2"/>
  <c r="AD626" i="2" s="1"/>
  <c r="Z627" i="2"/>
  <c r="Z628" i="2"/>
  <c r="AA628" i="2" s="1"/>
  <c r="Z629" i="2"/>
  <c r="Z630" i="2"/>
  <c r="Z631" i="2"/>
  <c r="AB631" i="2" s="1"/>
  <c r="Z632" i="2"/>
  <c r="Z633" i="2"/>
  <c r="AA633" i="2" s="1"/>
  <c r="Z634" i="2"/>
  <c r="Z635" i="2"/>
  <c r="AC635" i="2" s="1"/>
  <c r="AD635" i="2" s="1"/>
  <c r="AA635" i="2"/>
  <c r="Z636" i="2"/>
  <c r="Z637" i="2"/>
  <c r="Z638" i="2"/>
  <c r="Z639" i="2"/>
  <c r="AB639" i="2" s="1"/>
  <c r="AA639" i="2"/>
  <c r="Z640" i="2"/>
  <c r="L640" i="2" s="1"/>
  <c r="K640" i="2" s="1"/>
  <c r="AC640" i="2"/>
  <c r="AD640" i="2" s="1"/>
  <c r="Z641" i="2"/>
  <c r="Z642" i="2"/>
  <c r="L642" i="2" s="1"/>
  <c r="K642" i="2" s="1"/>
  <c r="Z643" i="2"/>
  <c r="Z644" i="2"/>
  <c r="L645" i="2"/>
  <c r="K645" i="2" s="1"/>
  <c r="Z645" i="2"/>
  <c r="AA645" i="2"/>
  <c r="AB645" i="2"/>
  <c r="AC645" i="2"/>
  <c r="AD645" i="2" s="1"/>
  <c r="Z646" i="2"/>
  <c r="AB646" i="2" s="1"/>
  <c r="L647" i="2"/>
  <c r="K647" i="2" s="1"/>
  <c r="Z647" i="2"/>
  <c r="AA647" i="2"/>
  <c r="Z648" i="2"/>
  <c r="AB648" i="2" s="1"/>
  <c r="Z649" i="2"/>
  <c r="Z650" i="2"/>
  <c r="Z651" i="2"/>
  <c r="AA651" i="2" s="1"/>
  <c r="Z652" i="2"/>
  <c r="L653" i="2"/>
  <c r="K653" i="2" s="1"/>
  <c r="Z653" i="2"/>
  <c r="AA653" i="2"/>
  <c r="Z654" i="2"/>
  <c r="AC654" i="2" s="1"/>
  <c r="AD654" i="2" s="1"/>
  <c r="AA654" i="2"/>
  <c r="AB654" i="2"/>
  <c r="Z655" i="2"/>
  <c r="AC655" i="2" s="1"/>
  <c r="AD655" i="2" s="1"/>
  <c r="Z656" i="2"/>
  <c r="AC656" i="2" s="1"/>
  <c r="AA656" i="2"/>
  <c r="AD656" i="2"/>
  <c r="Z657" i="2"/>
  <c r="Z658" i="2"/>
  <c r="AB658" i="2" s="1"/>
  <c r="Z659" i="2"/>
  <c r="Z660" i="2"/>
  <c r="Z661" i="2"/>
  <c r="AA661" i="2" s="1"/>
  <c r="Z662" i="2"/>
  <c r="AC662" i="2" s="1"/>
  <c r="AD662" i="2" s="1"/>
  <c r="AB662" i="2"/>
  <c r="Z663" i="2"/>
  <c r="AA663" i="2" s="1"/>
  <c r="Z664" i="2"/>
  <c r="AA664" i="2" s="1"/>
  <c r="Z665" i="2"/>
  <c r="Z666" i="2"/>
  <c r="Z667" i="2"/>
  <c r="AC667" i="2" s="1"/>
  <c r="AD667" i="2" s="1"/>
  <c r="AB667" i="2"/>
  <c r="Z668" i="2"/>
  <c r="AC668" i="2" s="1"/>
  <c r="AD668" i="2" s="1"/>
  <c r="Z669" i="2"/>
  <c r="L670" i="2"/>
  <c r="K670" i="2" s="1"/>
  <c r="Z670" i="2"/>
  <c r="AB670" i="2" s="1"/>
  <c r="L671" i="2"/>
  <c r="K671" i="2" s="1"/>
  <c r="Z671" i="2"/>
  <c r="Z672" i="2"/>
  <c r="Z673" i="2"/>
  <c r="AC673" i="2"/>
  <c r="AD673" i="2" s="1"/>
  <c r="Z674" i="2"/>
  <c r="AC674" i="2" s="1"/>
  <c r="AD674" i="2" s="1"/>
  <c r="AB674" i="2"/>
  <c r="L675" i="2"/>
  <c r="K675" i="2" s="1"/>
  <c r="Z675" i="2"/>
  <c r="AA675" i="2"/>
  <c r="Z676" i="2"/>
  <c r="AB676" i="2" s="1"/>
  <c r="Z677" i="2"/>
  <c r="AA677" i="2" s="1"/>
  <c r="Z678" i="2"/>
  <c r="Z679" i="2"/>
  <c r="AB679" i="2"/>
  <c r="AC679" i="2"/>
  <c r="AD679" i="2" s="1"/>
  <c r="Z680" i="2"/>
  <c r="AC680" i="2" s="1"/>
  <c r="AD680" i="2" s="1"/>
  <c r="AB680" i="2"/>
  <c r="L681" i="2"/>
  <c r="K681" i="2" s="1"/>
  <c r="Z681" i="2"/>
  <c r="AC681" i="2" s="1"/>
  <c r="AD681" i="2" s="1"/>
  <c r="AB681" i="2"/>
  <c r="Z682" i="2"/>
  <c r="Z683" i="2"/>
  <c r="L683" i="2" s="1"/>
  <c r="K683" i="2" s="1"/>
  <c r="AB683" i="2"/>
  <c r="Z684" i="2"/>
  <c r="AB684" i="2" s="1"/>
  <c r="Z685" i="2"/>
  <c r="AB685" i="2" s="1"/>
  <c r="AA685" i="2"/>
  <c r="AC685" i="2"/>
  <c r="AD685" i="2" s="1"/>
  <c r="Z686" i="2"/>
  <c r="Z687" i="2"/>
  <c r="Z688" i="2"/>
  <c r="AB688" i="2" s="1"/>
  <c r="AA688" i="2"/>
  <c r="Z689" i="2"/>
  <c r="AC689" i="2" s="1"/>
  <c r="AD689" i="2" s="1"/>
  <c r="Z690" i="2"/>
  <c r="AA690" i="2" s="1"/>
  <c r="Z691" i="2"/>
  <c r="AC691" i="2" s="1"/>
  <c r="AD691" i="2" s="1"/>
  <c r="AB691" i="2"/>
  <c r="Z692" i="2"/>
  <c r="L693" i="2"/>
  <c r="K693" i="2" s="1"/>
  <c r="Z693" i="2"/>
  <c r="AC693" i="2" s="1"/>
  <c r="AD693" i="2" s="1"/>
  <c r="Z694" i="2"/>
  <c r="Z695" i="2"/>
  <c r="AA695" i="2" s="1"/>
  <c r="AB695" i="2"/>
  <c r="AC695" i="2"/>
  <c r="AD695" i="2" s="1"/>
  <c r="Z696" i="2"/>
  <c r="AC696" i="2" s="1"/>
  <c r="AD696" i="2" s="1"/>
  <c r="AB696" i="2"/>
  <c r="Z697" i="2"/>
  <c r="AC697" i="2" s="1"/>
  <c r="AD697" i="2" s="1"/>
  <c r="Z698" i="2"/>
  <c r="AC698" i="2" s="1"/>
  <c r="AD698" i="2" s="1"/>
  <c r="AB698" i="2"/>
  <c r="Z699" i="2"/>
  <c r="AA699" i="2" s="1"/>
  <c r="Z700" i="2"/>
  <c r="L700" i="2" s="1"/>
  <c r="K700" i="2" s="1"/>
  <c r="Z701" i="2"/>
  <c r="AA701" i="2" s="1"/>
  <c r="Z702" i="2"/>
  <c r="AC702" i="2" s="1"/>
  <c r="AD702" i="2" s="1"/>
  <c r="AA702" i="2"/>
  <c r="Z703" i="2"/>
  <c r="AC703" i="2" s="1"/>
  <c r="AD703" i="2" s="1"/>
  <c r="AA703" i="2"/>
  <c r="AB703" i="2"/>
  <c r="Z704" i="2"/>
  <c r="Z705" i="2"/>
  <c r="AB705" i="2"/>
  <c r="Z706" i="2"/>
  <c r="L706" i="2" s="1"/>
  <c r="K706" i="2" s="1"/>
  <c r="Z707" i="2"/>
  <c r="AC707" i="2"/>
  <c r="AD707" i="2" s="1"/>
  <c r="Z708" i="2"/>
  <c r="L709" i="2"/>
  <c r="K709" i="2" s="1"/>
  <c r="Z709" i="2"/>
  <c r="AC709" i="2" s="1"/>
  <c r="AD709" i="2" s="1"/>
  <c r="AB709" i="2"/>
  <c r="Z710" i="2"/>
  <c r="AA710" i="2" s="1"/>
  <c r="AB710" i="2"/>
  <c r="Z711" i="2"/>
  <c r="L712" i="2"/>
  <c r="K712" i="2" s="1"/>
  <c r="Z712" i="2"/>
  <c r="AA712" i="2"/>
  <c r="Z713" i="2"/>
  <c r="Z714" i="2"/>
  <c r="Z715" i="2"/>
  <c r="Z716" i="2"/>
  <c r="AA716" i="2"/>
  <c r="Z717" i="2"/>
  <c r="Z718" i="2"/>
  <c r="AB718" i="2" s="1"/>
  <c r="Z719" i="2"/>
  <c r="L719" i="2" s="1"/>
  <c r="K719" i="2" s="1"/>
  <c r="L720" i="2"/>
  <c r="K720" i="2" s="1"/>
  <c r="Z720" i="2"/>
  <c r="AA720" i="2" s="1"/>
  <c r="AB720" i="2"/>
  <c r="AC720" i="2"/>
  <c r="AD720" i="2" s="1"/>
  <c r="Z721" i="2"/>
  <c r="Z722" i="2"/>
  <c r="Z723" i="2"/>
  <c r="Z724" i="2"/>
  <c r="AA724" i="2" s="1"/>
  <c r="Z725" i="2"/>
  <c r="Z726" i="2"/>
  <c r="AC726" i="2"/>
  <c r="AD726" i="2" s="1"/>
  <c r="L727" i="2"/>
  <c r="K727" i="2" s="1"/>
  <c r="Z727" i="2"/>
  <c r="AA727" i="2" s="1"/>
  <c r="AB727" i="2"/>
  <c r="AC727" i="2"/>
  <c r="AD727" i="2" s="1"/>
  <c r="L728" i="2"/>
  <c r="K728" i="2" s="1"/>
  <c r="Z728" i="2"/>
  <c r="AC728" i="2" s="1"/>
  <c r="AD728" i="2" s="1"/>
  <c r="Z729" i="2"/>
  <c r="L729" i="2" s="1"/>
  <c r="K729" i="2" s="1"/>
  <c r="Z730" i="2"/>
  <c r="Z731" i="2"/>
  <c r="AC731" i="2" s="1"/>
  <c r="AD731" i="2" s="1"/>
  <c r="Z732" i="2"/>
  <c r="L732" i="2" s="1"/>
  <c r="K732" i="2" s="1"/>
  <c r="Z733" i="2"/>
  <c r="AB733" i="2" s="1"/>
  <c r="Z734" i="2"/>
  <c r="AB734" i="2" s="1"/>
  <c r="AA734" i="2"/>
  <c r="Z735" i="2"/>
  <c r="AB735" i="2" s="1"/>
  <c r="Z736" i="2"/>
  <c r="Z737" i="2"/>
  <c r="AC737" i="2" s="1"/>
  <c r="AD737" i="2" s="1"/>
  <c r="Z738" i="2"/>
  <c r="AC738" i="2" s="1"/>
  <c r="AD738" i="2" s="1"/>
  <c r="Z739" i="2"/>
  <c r="L739" i="2" s="1"/>
  <c r="K739" i="2" s="1"/>
  <c r="Z740" i="2"/>
  <c r="Z741" i="2"/>
  <c r="AB741" i="2" s="1"/>
  <c r="Z742" i="2"/>
  <c r="Z743" i="2"/>
  <c r="AB743" i="2" s="1"/>
  <c r="Z744" i="2"/>
  <c r="AB744" i="2"/>
  <c r="Z745" i="2"/>
  <c r="Z746" i="2"/>
  <c r="Z747" i="2"/>
  <c r="L747" i="2" s="1"/>
  <c r="K747" i="2" s="1"/>
  <c r="Z748" i="2"/>
  <c r="L748" i="2" s="1"/>
  <c r="K748" i="2" s="1"/>
  <c r="AB748" i="2"/>
  <c r="Z749" i="2"/>
  <c r="L749" i="2" s="1"/>
  <c r="K749" i="2" s="1"/>
  <c r="Z750" i="2"/>
  <c r="Z751" i="2"/>
  <c r="AC751" i="2" s="1"/>
  <c r="AD751" i="2" s="1"/>
  <c r="Z752" i="2"/>
  <c r="L752" i="2" s="1"/>
  <c r="K752" i="2" s="1"/>
  <c r="Z753" i="2"/>
  <c r="AA753" i="2" s="1"/>
  <c r="Z754" i="2"/>
  <c r="L755" i="2"/>
  <c r="K755" i="2" s="1"/>
  <c r="Z755" i="2"/>
  <c r="AC755" i="2" s="1"/>
  <c r="AD755" i="2" s="1"/>
  <c r="Z756" i="2"/>
  <c r="AB756" i="2"/>
  <c r="AC756" i="2"/>
  <c r="AD756" i="2" s="1"/>
  <c r="Z757" i="2"/>
  <c r="AC757" i="2" s="1"/>
  <c r="AD757" i="2" s="1"/>
  <c r="Z758" i="2"/>
  <c r="Z759" i="2"/>
  <c r="Z760" i="2"/>
  <c r="AC760" i="2"/>
  <c r="AD760" i="2" s="1"/>
  <c r="L761" i="2"/>
  <c r="K761" i="2" s="1"/>
  <c r="Z761" i="2"/>
  <c r="AB761" i="2" s="1"/>
  <c r="Z762" i="2"/>
  <c r="AB762" i="2"/>
  <c r="Z763" i="2"/>
  <c r="L763" i="2" s="1"/>
  <c r="K763" i="2" s="1"/>
  <c r="AC763" i="2"/>
  <c r="AD763" i="2" s="1"/>
  <c r="Z764" i="2"/>
  <c r="AC764" i="2" s="1"/>
  <c r="AD764" i="2" s="1"/>
  <c r="Z765" i="2"/>
  <c r="L765" i="2" s="1"/>
  <c r="K765" i="2" s="1"/>
  <c r="Z766" i="2"/>
  <c r="L766" i="2" s="1"/>
  <c r="K766" i="2" s="1"/>
  <c r="AB766" i="2"/>
  <c r="Z767" i="2"/>
  <c r="AA767" i="2" s="1"/>
  <c r="Z768" i="2"/>
  <c r="AA768" i="2" s="1"/>
  <c r="AB768" i="2"/>
  <c r="AC768" i="2"/>
  <c r="AD768" i="2" s="1"/>
  <c r="Z769" i="2"/>
  <c r="AB769" i="2" s="1"/>
  <c r="Z770" i="2"/>
  <c r="AC770" i="2" s="1"/>
  <c r="AD770" i="2" s="1"/>
  <c r="AB770" i="2"/>
  <c r="Z771" i="2"/>
  <c r="Z772" i="2"/>
  <c r="AA772" i="2" s="1"/>
  <c r="Z773" i="2"/>
  <c r="AC773" i="2" s="1"/>
  <c r="AD773" i="2" s="1"/>
  <c r="Z774" i="2"/>
  <c r="AB774" i="2" s="1"/>
  <c r="AC774" i="2"/>
  <c r="AD774" i="2" s="1"/>
  <c r="Z775" i="2"/>
  <c r="L775" i="2" s="1"/>
  <c r="K775" i="2" s="1"/>
  <c r="AA775" i="2"/>
  <c r="AB775" i="2"/>
  <c r="AC775" i="2"/>
  <c r="AD775" i="2" s="1"/>
  <c r="Z776" i="2"/>
  <c r="AA776" i="2"/>
  <c r="Z777" i="2"/>
  <c r="AC777" i="2" s="1"/>
  <c r="AD777" i="2" s="1"/>
  <c r="Z778" i="2"/>
  <c r="Z779" i="2"/>
  <c r="Z780" i="2"/>
  <c r="AB780" i="2" s="1"/>
  <c r="Z781" i="2"/>
  <c r="L781" i="2" s="1"/>
  <c r="K781" i="2" s="1"/>
  <c r="Z782" i="2"/>
  <c r="Z783" i="2"/>
  <c r="AC783" i="2" s="1"/>
  <c r="AD783" i="2" s="1"/>
  <c r="Z784" i="2"/>
  <c r="AA784" i="2" s="1"/>
  <c r="Z785" i="2"/>
  <c r="L785" i="2" s="1"/>
  <c r="K785" i="2" s="1"/>
  <c r="Z786" i="2"/>
  <c r="Z787" i="2"/>
  <c r="AC787" i="2"/>
  <c r="AD787" i="2" s="1"/>
  <c r="Z788" i="2"/>
  <c r="AA788" i="2" s="1"/>
  <c r="Z789" i="2"/>
  <c r="AC789" i="2" s="1"/>
  <c r="AD789" i="2" s="1"/>
  <c r="Z790" i="2"/>
  <c r="Z791" i="2"/>
  <c r="Z792" i="2"/>
  <c r="AA792" i="2" s="1"/>
  <c r="Z793" i="2"/>
  <c r="AC793" i="2" s="1"/>
  <c r="AD793" i="2" s="1"/>
  <c r="AB793" i="2"/>
  <c r="K794" i="2"/>
  <c r="Z794" i="2"/>
  <c r="L794" i="2" s="1"/>
  <c r="AA794" i="2"/>
  <c r="AB794" i="2"/>
  <c r="AC794" i="2"/>
  <c r="AD794" i="2"/>
  <c r="Z795" i="2"/>
  <c r="AB795" i="2" s="1"/>
  <c r="AC795" i="2"/>
  <c r="AD795" i="2" s="1"/>
  <c r="Z796" i="2"/>
  <c r="AC796" i="2" s="1"/>
  <c r="AD796" i="2" s="1"/>
  <c r="Z797" i="2"/>
  <c r="AC797" i="2" s="1"/>
  <c r="AD797" i="2" s="1"/>
  <c r="Z798" i="2"/>
  <c r="Z799" i="2"/>
  <c r="L799" i="2" s="1"/>
  <c r="K799" i="2" s="1"/>
  <c r="AA799" i="2"/>
  <c r="Z800" i="2"/>
  <c r="Z801" i="2"/>
  <c r="AA801" i="2" s="1"/>
  <c r="Z802" i="2"/>
  <c r="L802" i="2" s="1"/>
  <c r="K802" i="2" s="1"/>
  <c r="Z803" i="2"/>
  <c r="AC803" i="2" s="1"/>
  <c r="AD803" i="2"/>
  <c r="Z804" i="2"/>
  <c r="AA804" i="2" s="1"/>
  <c r="AB804" i="2"/>
  <c r="L805" i="2"/>
  <c r="K805" i="2" s="1"/>
  <c r="Z805" i="2"/>
  <c r="AA805" i="2"/>
  <c r="AB805" i="2"/>
  <c r="AC805" i="2"/>
  <c r="AD805" i="2" s="1"/>
  <c r="Z806" i="2"/>
  <c r="Z807" i="2"/>
  <c r="AB807" i="2"/>
  <c r="Z808" i="2"/>
  <c r="AC808" i="2" s="1"/>
  <c r="AD808" i="2" s="1"/>
  <c r="L809" i="2"/>
  <c r="K809" i="2" s="1"/>
  <c r="Z809" i="2"/>
  <c r="Z810" i="2"/>
  <c r="AA810" i="2" s="1"/>
  <c r="Z811" i="2"/>
  <c r="L811" i="2" s="1"/>
  <c r="K811" i="2" s="1"/>
  <c r="Z812" i="2"/>
  <c r="Z813" i="2"/>
  <c r="AA813" i="2" s="1"/>
  <c r="Z814" i="2"/>
  <c r="AB814" i="2" s="1"/>
  <c r="Z815" i="2"/>
  <c r="AA815" i="2" s="1"/>
  <c r="Z816" i="2"/>
  <c r="AA816" i="2" s="1"/>
  <c r="Z817" i="2"/>
  <c r="Z818" i="2"/>
  <c r="AB818" i="2" s="1"/>
  <c r="K819" i="2"/>
  <c r="L819" i="2"/>
  <c r="Z819" i="2"/>
  <c r="AB819" i="2" s="1"/>
  <c r="AA819" i="2"/>
  <c r="Z820" i="2"/>
  <c r="AC820" i="2" s="1"/>
  <c r="AD820" i="2" s="1"/>
  <c r="Z821" i="2"/>
  <c r="AC821" i="2" s="1"/>
  <c r="AD821" i="2" s="1"/>
  <c r="Z822" i="2"/>
  <c r="AB822" i="2" s="1"/>
  <c r="Z823" i="2"/>
  <c r="L823" i="2" s="1"/>
  <c r="K823" i="2" s="1"/>
  <c r="AA823" i="2"/>
  <c r="AB823" i="2"/>
  <c r="Z824" i="2"/>
  <c r="AA824" i="2" s="1"/>
  <c r="AC824" i="2"/>
  <c r="AD824" i="2" s="1"/>
  <c r="Z825" i="2"/>
  <c r="AA825" i="2" s="1"/>
  <c r="Z826" i="2"/>
  <c r="Z827" i="2"/>
  <c r="AC827" i="2" s="1"/>
  <c r="AD827" i="2" s="1"/>
  <c r="Z828" i="2"/>
  <c r="AB828" i="2"/>
  <c r="Z829" i="2"/>
  <c r="Z830" i="2"/>
  <c r="Z831" i="2"/>
  <c r="AA831" i="2" s="1"/>
  <c r="Z832" i="2"/>
  <c r="Z833" i="2"/>
  <c r="AA833" i="2" s="1"/>
  <c r="Z834" i="2"/>
  <c r="AA834" i="2" s="1"/>
  <c r="Z835" i="2"/>
  <c r="Z836" i="2"/>
  <c r="Z837" i="2"/>
  <c r="AC837" i="2" s="1"/>
  <c r="AD837" i="2" s="1"/>
  <c r="Z838" i="2"/>
  <c r="Z839" i="2"/>
  <c r="AB839" i="2" s="1"/>
  <c r="Z840" i="2"/>
  <c r="L840" i="2" s="1"/>
  <c r="K840" i="2" s="1"/>
  <c r="Z841" i="2"/>
  <c r="Z842" i="2"/>
  <c r="AB842" i="2" s="1"/>
  <c r="AC842" i="2"/>
  <c r="AD842" i="2" s="1"/>
  <c r="Z843" i="2"/>
  <c r="AC843" i="2" s="1"/>
  <c r="AD843" i="2" s="1"/>
  <c r="Z844" i="2"/>
  <c r="Z845" i="2"/>
  <c r="Z846" i="2"/>
  <c r="AC846" i="2"/>
  <c r="AD846" i="2" s="1"/>
  <c r="Z847" i="2"/>
  <c r="AA847" i="2"/>
  <c r="AC847" i="2"/>
  <c r="AD847" i="2" s="1"/>
  <c r="Z848" i="2"/>
  <c r="L849" i="2"/>
  <c r="K849" i="2" s="1"/>
  <c r="Z849" i="2"/>
  <c r="AB849" i="2" s="1"/>
  <c r="Z850" i="2"/>
  <c r="L850" i="2" s="1"/>
  <c r="K850" i="2" s="1"/>
  <c r="Z851" i="2"/>
  <c r="AC851" i="2" s="1"/>
  <c r="AD851" i="2" s="1"/>
  <c r="Z852" i="2"/>
  <c r="L853" i="2"/>
  <c r="K853" i="2" s="1"/>
  <c r="Z853" i="2"/>
  <c r="AC853" i="2" s="1"/>
  <c r="AD853" i="2" s="1"/>
  <c r="Z854" i="2"/>
  <c r="Z855" i="2"/>
  <c r="AC855" i="2" s="1"/>
  <c r="AD855" i="2" s="1"/>
  <c r="Z856" i="2"/>
  <c r="AA856" i="2"/>
  <c r="L857" i="2"/>
  <c r="K857" i="2" s="1"/>
  <c r="Z857" i="2"/>
  <c r="AA857" i="2" s="1"/>
  <c r="Z858" i="2"/>
  <c r="L858" i="2" s="1"/>
  <c r="K858" i="2" s="1"/>
  <c r="Z859" i="2"/>
  <c r="AC859" i="2" s="1"/>
  <c r="AB859" i="2"/>
  <c r="AD859" i="2"/>
  <c r="Z860" i="2"/>
  <c r="Z861" i="2"/>
  <c r="L861" i="2" s="1"/>
  <c r="K861" i="2" s="1"/>
  <c r="Z862" i="2"/>
  <c r="L862" i="2" s="1"/>
  <c r="K862" i="2" s="1"/>
  <c r="Z863" i="2"/>
  <c r="Z864" i="2"/>
  <c r="Z865" i="2"/>
  <c r="Z866" i="2"/>
  <c r="L866" i="2" s="1"/>
  <c r="K866" i="2" s="1"/>
  <c r="Z867" i="2"/>
  <c r="AC867" i="2" s="1"/>
  <c r="AD867" i="2" s="1"/>
  <c r="AA867" i="2"/>
  <c r="Z868" i="2"/>
  <c r="Z869" i="2"/>
  <c r="AC869" i="2"/>
  <c r="AD869" i="2"/>
  <c r="L870" i="2"/>
  <c r="K870" i="2" s="1"/>
  <c r="Z870" i="2"/>
  <c r="Z871" i="2"/>
  <c r="AB871" i="2" s="1"/>
  <c r="Z872" i="2"/>
  <c r="AC872" i="2" s="1"/>
  <c r="AD872" i="2" s="1"/>
  <c r="AB872" i="2"/>
  <c r="Z873" i="2"/>
  <c r="AC873" i="2" s="1"/>
  <c r="AD873" i="2" s="1"/>
  <c r="Z874" i="2"/>
  <c r="Z875" i="2"/>
  <c r="Z876" i="2"/>
  <c r="L876" i="2" s="1"/>
  <c r="K876" i="2" s="1"/>
  <c r="AC876" i="2"/>
  <c r="AD876" i="2" s="1"/>
  <c r="Z877" i="2"/>
  <c r="L878" i="2"/>
  <c r="K878" i="2" s="1"/>
  <c r="Z878" i="2"/>
  <c r="AB878" i="2" s="1"/>
  <c r="AA878" i="2"/>
  <c r="Z879" i="2"/>
  <c r="AA879" i="2" s="1"/>
  <c r="Z880" i="2"/>
  <c r="AA880" i="2"/>
  <c r="L881" i="2"/>
  <c r="K881" i="2" s="1"/>
  <c r="Z881" i="2"/>
  <c r="AA881" i="2"/>
  <c r="Z882" i="2"/>
  <c r="Z883" i="2"/>
  <c r="AA883" i="2" s="1"/>
  <c r="L884" i="2"/>
  <c r="K884" i="2" s="1"/>
  <c r="Z884" i="2"/>
  <c r="AB884" i="2" s="1"/>
  <c r="Z885" i="2"/>
  <c r="Z886" i="2"/>
  <c r="Z887" i="2"/>
  <c r="Z888" i="2"/>
  <c r="L888" i="2" s="1"/>
  <c r="K888" i="2" s="1"/>
  <c r="Z889" i="2"/>
  <c r="Z890" i="2"/>
  <c r="AA890" i="2" s="1"/>
  <c r="AC890" i="2"/>
  <c r="AD890" i="2" s="1"/>
  <c r="Z891" i="2"/>
  <c r="Z892" i="2"/>
  <c r="AB892" i="2" s="1"/>
  <c r="AC892" i="2"/>
  <c r="AD892" i="2" s="1"/>
  <c r="Z893" i="2"/>
  <c r="AC893" i="2" s="1"/>
  <c r="AD893" i="2" s="1"/>
  <c r="AA893" i="2"/>
  <c r="Z894" i="2"/>
  <c r="Z895" i="2"/>
  <c r="Z896" i="2"/>
  <c r="AC896" i="2" s="1"/>
  <c r="AD896" i="2" s="1"/>
  <c r="Z897" i="2"/>
  <c r="Z898" i="2"/>
  <c r="L898" i="2" s="1"/>
  <c r="K898" i="2" s="1"/>
  <c r="AB898" i="2"/>
  <c r="Z899" i="2"/>
  <c r="L899" i="2" s="1"/>
  <c r="K899" i="2" s="1"/>
  <c r="Z900" i="2"/>
  <c r="Z901" i="2"/>
  <c r="AA901" i="2" s="1"/>
  <c r="Z902" i="2"/>
  <c r="L902" i="2" s="1"/>
  <c r="K902" i="2" s="1"/>
  <c r="Z903" i="2"/>
  <c r="AB903" i="2" s="1"/>
  <c r="Z904" i="2"/>
  <c r="L905" i="2"/>
  <c r="K905" i="2" s="1"/>
  <c r="Z905" i="2"/>
  <c r="AC905" i="2" s="1"/>
  <c r="AD905" i="2" s="1"/>
  <c r="Z906" i="2"/>
  <c r="L906" i="2" s="1"/>
  <c r="K906" i="2" s="1"/>
  <c r="AA906" i="2"/>
  <c r="Z907" i="2"/>
  <c r="AA907" i="2" s="1"/>
  <c r="Z908" i="2"/>
  <c r="L909" i="2"/>
  <c r="K909" i="2" s="1"/>
  <c r="Z909" i="2"/>
  <c r="AB909" i="2" s="1"/>
  <c r="AA909" i="2"/>
  <c r="AC909" i="2"/>
  <c r="AD909" i="2" s="1"/>
  <c r="Z910" i="2"/>
  <c r="L910" i="2" s="1"/>
  <c r="K910" i="2" s="1"/>
  <c r="Z911" i="2"/>
  <c r="L911" i="2" s="1"/>
  <c r="K911" i="2" s="1"/>
  <c r="AA911" i="2"/>
  <c r="AB911" i="2"/>
  <c r="AC911" i="2"/>
  <c r="AD911" i="2" s="1"/>
  <c r="Z912" i="2"/>
  <c r="Z913" i="2"/>
  <c r="L913" i="2" s="1"/>
  <c r="K913" i="2" s="1"/>
  <c r="AB913" i="2"/>
  <c r="AC913" i="2"/>
  <c r="AD913" i="2" s="1"/>
  <c r="Z914" i="2"/>
  <c r="AC914" i="2" s="1"/>
  <c r="AD914" i="2" s="1"/>
  <c r="Z915" i="2"/>
  <c r="Z916" i="2"/>
  <c r="Z917" i="2"/>
  <c r="AA917" i="2" s="1"/>
  <c r="Z918" i="2"/>
  <c r="L918" i="2" s="1"/>
  <c r="K918" i="2" s="1"/>
  <c r="AB918" i="2"/>
  <c r="AC918" i="2"/>
  <c r="AD918" i="2" s="1"/>
  <c r="Z919" i="2"/>
  <c r="Z920" i="2"/>
  <c r="Z921" i="2"/>
  <c r="Z922" i="2"/>
  <c r="Z923" i="2"/>
  <c r="L923" i="2" s="1"/>
  <c r="K923" i="2" s="1"/>
  <c r="Z924" i="2"/>
  <c r="L925" i="2"/>
  <c r="K925" i="2" s="1"/>
  <c r="Z925" i="2"/>
  <c r="Z926" i="2"/>
  <c r="L926" i="2" s="1"/>
  <c r="K926" i="2" s="1"/>
  <c r="Z927" i="2"/>
  <c r="AC927" i="2" s="1"/>
  <c r="AD927" i="2" s="1"/>
  <c r="Z928" i="2"/>
  <c r="AA928" i="2" s="1"/>
  <c r="Z929" i="2"/>
  <c r="AB929" i="2" s="1"/>
  <c r="Z930" i="2"/>
  <c r="L930" i="2" s="1"/>
  <c r="K930" i="2" s="1"/>
  <c r="AA930" i="2"/>
  <c r="Z931" i="2"/>
  <c r="AA931" i="2" s="1"/>
  <c r="Z932" i="2"/>
  <c r="L933" i="2"/>
  <c r="K933" i="2" s="1"/>
  <c r="Z933" i="2"/>
  <c r="AA933" i="2"/>
  <c r="AB933" i="2"/>
  <c r="AC933" i="2"/>
  <c r="AD933" i="2" s="1"/>
  <c r="Z934" i="2"/>
  <c r="L934" i="2" s="1"/>
  <c r="K934" i="2" s="1"/>
  <c r="Z935" i="2"/>
  <c r="Z936" i="2"/>
  <c r="AA936" i="2"/>
  <c r="Z937" i="2"/>
  <c r="Z938" i="2"/>
  <c r="AC938" i="2" s="1"/>
  <c r="AD938" i="2" s="1"/>
  <c r="Z939" i="2"/>
  <c r="AC939" i="2" s="1"/>
  <c r="AD939" i="2" s="1"/>
  <c r="Z940" i="2"/>
  <c r="AB940" i="2" s="1"/>
  <c r="Z941" i="2"/>
  <c r="L941" i="2" s="1"/>
  <c r="K941" i="2" s="1"/>
  <c r="Z942" i="2"/>
  <c r="L942" i="2" s="1"/>
  <c r="K942" i="2" s="1"/>
  <c r="AB942" i="2"/>
  <c r="Z943" i="2"/>
  <c r="Z944" i="2"/>
  <c r="Z945" i="2"/>
  <c r="Z946" i="2"/>
  <c r="L946" i="2" s="1"/>
  <c r="K946" i="2" s="1"/>
  <c r="Z947" i="2"/>
  <c r="L947" i="2" s="1"/>
  <c r="K947" i="2" s="1"/>
  <c r="AB947" i="2"/>
  <c r="Z948" i="2"/>
  <c r="AC948" i="2" s="1"/>
  <c r="AD948" i="2" s="1"/>
  <c r="Z949" i="2"/>
  <c r="Z950" i="2"/>
  <c r="Z951" i="2"/>
  <c r="AC951" i="2" s="1"/>
  <c r="AD951" i="2" s="1"/>
  <c r="AB951" i="2"/>
  <c r="Z952" i="2"/>
  <c r="AA952" i="2" s="1"/>
  <c r="L953" i="2"/>
  <c r="K953" i="2" s="1"/>
  <c r="Z953" i="2"/>
  <c r="AA953" i="2"/>
  <c r="AB953" i="2"/>
  <c r="AC953" i="2"/>
  <c r="AD953" i="2" s="1"/>
  <c r="Z954" i="2"/>
  <c r="L954" i="2" s="1"/>
  <c r="K954" i="2" s="1"/>
  <c r="Z955" i="2"/>
  <c r="AA955" i="2" s="1"/>
  <c r="Z956" i="2"/>
  <c r="Z957" i="2"/>
  <c r="AB957" i="2" s="1"/>
  <c r="Z958" i="2"/>
  <c r="Z959" i="2"/>
  <c r="L959" i="2" s="1"/>
  <c r="K959" i="2" s="1"/>
  <c r="Z960" i="2"/>
  <c r="L960" i="2" s="1"/>
  <c r="K960" i="2" s="1"/>
  <c r="Z961" i="2"/>
  <c r="L961" i="2" s="1"/>
  <c r="K961" i="2" s="1"/>
  <c r="AA961" i="2"/>
  <c r="Z962" i="2"/>
  <c r="AC962" i="2" s="1"/>
  <c r="AD962" i="2" s="1"/>
  <c r="Z963" i="2"/>
  <c r="Z964" i="2"/>
  <c r="AB964" i="2" s="1"/>
  <c r="Z965" i="2"/>
  <c r="L965" i="2" s="1"/>
  <c r="K965" i="2" s="1"/>
  <c r="AA965" i="2"/>
  <c r="Z966" i="2"/>
  <c r="Z967" i="2"/>
  <c r="L967" i="2" s="1"/>
  <c r="K967" i="2" s="1"/>
  <c r="Z968" i="2"/>
  <c r="L968" i="2" s="1"/>
  <c r="K968" i="2" s="1"/>
  <c r="Z969" i="2"/>
  <c r="Z970" i="2"/>
  <c r="L970" i="2" s="1"/>
  <c r="K970" i="2" s="1"/>
  <c r="AA970" i="2"/>
  <c r="AC970" i="2"/>
  <c r="AD970" i="2" s="1"/>
  <c r="Z971" i="2"/>
  <c r="L971" i="2" s="1"/>
  <c r="K971" i="2" s="1"/>
  <c r="AB971" i="2"/>
  <c r="AC971" i="2"/>
  <c r="AD971" i="2" s="1"/>
  <c r="L972" i="2"/>
  <c r="K972" i="2" s="1"/>
  <c r="Z972" i="2"/>
  <c r="AC972" i="2" s="1"/>
  <c r="AD972" i="2" s="1"/>
  <c r="Z973" i="2"/>
  <c r="AA973" i="2" s="1"/>
  <c r="Z974" i="2"/>
  <c r="Z975" i="2"/>
  <c r="L975" i="2" s="1"/>
  <c r="K975" i="2" s="1"/>
  <c r="Z976" i="2"/>
  <c r="AB976" i="2" s="1"/>
  <c r="Z977" i="2"/>
  <c r="AC977" i="2"/>
  <c r="AD977" i="2" s="1"/>
  <c r="Z978" i="2"/>
  <c r="L978" i="2" s="1"/>
  <c r="K978" i="2" s="1"/>
  <c r="Z979" i="2"/>
  <c r="L979" i="2" s="1"/>
  <c r="K979" i="2" s="1"/>
  <c r="Z980" i="2"/>
  <c r="Z981" i="2"/>
  <c r="AB981" i="2" s="1"/>
  <c r="AC981" i="2"/>
  <c r="AD981" i="2"/>
  <c r="Z982" i="2"/>
  <c r="Z983" i="2"/>
  <c r="AA983" i="2" s="1"/>
  <c r="Z984" i="2"/>
  <c r="AB984" i="2"/>
  <c r="Z985" i="2"/>
  <c r="Z986" i="2"/>
  <c r="AB986" i="2"/>
  <c r="AC986" i="2"/>
  <c r="AD986" i="2" s="1"/>
  <c r="Z987" i="2"/>
  <c r="AC987" i="2" s="1"/>
  <c r="AD987" i="2" s="1"/>
  <c r="AA987" i="2"/>
  <c r="Z988" i="2"/>
  <c r="Z989" i="2"/>
  <c r="AA989" i="2" s="1"/>
  <c r="Z990" i="2"/>
  <c r="L990" i="2" s="1"/>
  <c r="K990" i="2" s="1"/>
  <c r="Z991" i="2"/>
  <c r="Z992" i="2"/>
  <c r="AB992" i="2" s="1"/>
  <c r="Z993" i="2"/>
  <c r="AC993" i="2" s="1"/>
  <c r="AD993" i="2" s="1"/>
  <c r="Z994" i="2"/>
  <c r="AB994" i="2" s="1"/>
  <c r="Z995" i="2"/>
  <c r="L995" i="2" s="1"/>
  <c r="K995" i="2" s="1"/>
  <c r="AC995" i="2"/>
  <c r="AD995" i="2" s="1"/>
  <c r="Z996" i="2"/>
  <c r="AB996" i="2" s="1"/>
  <c r="Z997" i="2"/>
  <c r="L997" i="2" s="1"/>
  <c r="K997" i="2" s="1"/>
  <c r="Z998" i="2"/>
  <c r="Z999" i="2"/>
  <c r="AA999" i="2" s="1"/>
  <c r="Z1000" i="2"/>
  <c r="AB1000" i="2"/>
  <c r="Z1001" i="2"/>
  <c r="AA1001" i="2" s="1"/>
  <c r="Z1002" i="2"/>
  <c r="L1002" i="2" s="1"/>
  <c r="K1002" i="2" s="1"/>
  <c r="AC1002" i="2"/>
  <c r="AD1002" i="2" s="1"/>
  <c r="Z1003" i="2"/>
  <c r="AA1003" i="2" s="1"/>
  <c r="K1004" i="2"/>
  <c r="Z1004" i="2"/>
  <c r="L1004" i="2" s="1"/>
  <c r="Z1005" i="2"/>
  <c r="AB1005" i="2" s="1"/>
  <c r="AC1005" i="2"/>
  <c r="AD1005" i="2" s="1"/>
  <c r="Z1006" i="2"/>
  <c r="AB1006" i="2" s="1"/>
  <c r="Z1007" i="2"/>
  <c r="AB1007" i="2" s="1"/>
  <c r="Z1008" i="2"/>
  <c r="AC1008" i="2" s="1"/>
  <c r="AD1008" i="2" s="1"/>
  <c r="Z1009" i="2"/>
  <c r="AA1009" i="2" s="1"/>
  <c r="Z1010" i="2"/>
  <c r="Z1011" i="2"/>
  <c r="Z1012" i="2"/>
  <c r="AC1012" i="2" s="1"/>
  <c r="AD1012" i="2" s="1"/>
  <c r="Z1013" i="2"/>
  <c r="AB1013" i="2" s="1"/>
  <c r="Z1014" i="2"/>
  <c r="L1015" i="2"/>
  <c r="K1015" i="2" s="1"/>
  <c r="Z1015" i="2"/>
  <c r="AA1015" i="2" s="1"/>
  <c r="Z1016" i="2"/>
  <c r="L1017" i="2"/>
  <c r="K1017" i="2" s="1"/>
  <c r="Z1017" i="2"/>
  <c r="AA1017" i="2"/>
  <c r="Z1018" i="2"/>
  <c r="L1018" i="2" s="1"/>
  <c r="K1018" i="2" s="1"/>
  <c r="Z1019" i="2"/>
  <c r="L1019" i="2" s="1"/>
  <c r="K1019" i="2" s="1"/>
  <c r="Z1020" i="2"/>
  <c r="Z1021" i="2"/>
  <c r="AB1021" i="2" s="1"/>
  <c r="Z1022" i="2"/>
  <c r="Z1023" i="2"/>
  <c r="AB1023" i="2" s="1"/>
  <c r="Z1024" i="2"/>
  <c r="AB1024" i="2"/>
  <c r="Z1025" i="2"/>
  <c r="Z1026" i="2"/>
  <c r="Z1027" i="2"/>
  <c r="AA1027" i="2"/>
  <c r="Z1028" i="2"/>
  <c r="L1028" i="2" s="1"/>
  <c r="K1028" i="2" s="1"/>
  <c r="AC1028" i="2"/>
  <c r="AD1028" i="2" s="1"/>
  <c r="Z1029" i="2"/>
  <c r="AC1029" i="2" s="1"/>
  <c r="AD1029" i="2" s="1"/>
  <c r="Z1030" i="2"/>
  <c r="L1030" i="2" s="1"/>
  <c r="K1030" i="2" s="1"/>
  <c r="Z1031" i="2"/>
  <c r="Z1032" i="2"/>
  <c r="AC1032" i="2" s="1"/>
  <c r="AD1032" i="2" s="1"/>
  <c r="AB1032" i="2"/>
  <c r="Z1033" i="2"/>
  <c r="L1033" i="2" s="1"/>
  <c r="K1033" i="2" s="1"/>
  <c r="AC1033" i="2"/>
  <c r="AD1033" i="2" s="1"/>
  <c r="Z1034" i="2"/>
  <c r="L1034" i="2" s="1"/>
  <c r="K1034" i="2" s="1"/>
  <c r="Z1035" i="2"/>
  <c r="AA1035" i="2" s="1"/>
  <c r="Z1036" i="2"/>
  <c r="AB1036" i="2" s="1"/>
  <c r="L1037" i="2"/>
  <c r="K1037" i="2" s="1"/>
  <c r="Z1037" i="2"/>
  <c r="Z1038" i="2"/>
  <c r="Z1039" i="2"/>
  <c r="AA1039" i="2" s="1"/>
  <c r="Z1040" i="2"/>
  <c r="L1040" i="2" s="1"/>
  <c r="K1040" i="2" s="1"/>
  <c r="AA1040" i="2"/>
  <c r="Z1041" i="2"/>
  <c r="AC1041" i="2" s="1"/>
  <c r="AD1041" i="2" s="1"/>
  <c r="Z1042" i="2"/>
  <c r="AB1042" i="2" s="1"/>
  <c r="Z1043" i="2"/>
  <c r="AA1043" i="2"/>
  <c r="AC1043" i="2"/>
  <c r="AD1043" i="2" s="1"/>
  <c r="Z1044" i="2"/>
  <c r="L1045" i="2"/>
  <c r="K1045" i="2" s="1"/>
  <c r="Z1045" i="2"/>
  <c r="AA1045" i="2" s="1"/>
  <c r="Z1046" i="2"/>
  <c r="Z1047" i="2"/>
  <c r="L1047" i="2" s="1"/>
  <c r="K1047" i="2" s="1"/>
  <c r="AC1047" i="2"/>
  <c r="AD1047" i="2" s="1"/>
  <c r="K1048" i="2"/>
  <c r="Z1048" i="2"/>
  <c r="L1048" i="2" s="1"/>
  <c r="AC1048" i="2"/>
  <c r="AD1048" i="2" s="1"/>
  <c r="Z1049" i="2"/>
  <c r="AB1049" i="2" s="1"/>
  <c r="Z1050" i="2"/>
  <c r="AA1050" i="2" s="1"/>
  <c r="Z1051" i="2"/>
  <c r="AA1051" i="2" s="1"/>
  <c r="Z1052" i="2"/>
  <c r="AA1052" i="2" s="1"/>
  <c r="Z1053" i="2"/>
  <c r="AB1053" i="2" s="1"/>
  <c r="Z1054" i="2"/>
  <c r="AA1054" i="2" s="1"/>
  <c r="Z1055" i="2"/>
  <c r="L1055" i="2" s="1"/>
  <c r="Z1056" i="2"/>
  <c r="L1056" i="2" s="1"/>
  <c r="L1057" i="2"/>
  <c r="Z1057" i="2"/>
  <c r="AB1057" i="2" s="1"/>
  <c r="AC1057" i="2"/>
  <c r="AD1057" i="2" s="1"/>
  <c r="Z1058" i="2"/>
  <c r="L1058" i="2" s="1"/>
  <c r="Z1059" i="2"/>
  <c r="AB1059" i="2" s="1"/>
  <c r="AC1059" i="2"/>
  <c r="AD1059" i="2" s="1"/>
  <c r="Z1060" i="2"/>
  <c r="L1060" i="2" s="1"/>
  <c r="Z1061" i="2"/>
  <c r="Z1062" i="2"/>
  <c r="Z1063" i="2"/>
  <c r="AA1063" i="2" s="1"/>
  <c r="Z1064" i="2"/>
  <c r="L1064" i="2" s="1"/>
  <c r="K1064" i="2" s="1"/>
  <c r="Z1065" i="2"/>
  <c r="AB1065" i="2" s="1"/>
  <c r="AC1065" i="2"/>
  <c r="AD1065" i="2" s="1"/>
  <c r="Z1066" i="2"/>
  <c r="L1066" i="2" s="1"/>
  <c r="K1066" i="2" s="1"/>
  <c r="Z1067" i="2"/>
  <c r="Z1068" i="2"/>
  <c r="AB1068" i="2" s="1"/>
  <c r="Z1069" i="2"/>
  <c r="AC1069" i="2" s="1"/>
  <c r="AD1069" i="2" s="1"/>
  <c r="Z1070" i="2"/>
  <c r="Z1071" i="2"/>
  <c r="Z1072" i="2"/>
  <c r="AB1072" i="2" s="1"/>
  <c r="Z1073" i="2"/>
  <c r="AA1073" i="2" s="1"/>
  <c r="Z1074" i="2"/>
  <c r="Z1075" i="2"/>
  <c r="Z1076" i="2"/>
  <c r="L1076" i="2" s="1"/>
  <c r="K1076" i="2" s="1"/>
  <c r="AA1076" i="2"/>
  <c r="L1077" i="2"/>
  <c r="K1077" i="2" s="1"/>
  <c r="Z1077" i="2"/>
  <c r="AB1077" i="2" s="1"/>
  <c r="Z1078" i="2"/>
  <c r="AC1078" i="2" s="1"/>
  <c r="AD1078" i="2" s="1"/>
  <c r="Z1079" i="2"/>
  <c r="Z1080" i="2"/>
  <c r="AB1080" i="2" s="1"/>
  <c r="Z1081" i="2"/>
  <c r="Z1082" i="2"/>
  <c r="Z1083" i="2"/>
  <c r="AC1083" i="2" s="1"/>
  <c r="AD1083" i="2" s="1"/>
  <c r="Z1084" i="2"/>
  <c r="L1084" i="2" s="1"/>
  <c r="K1084" i="2" s="1"/>
  <c r="AB1084" i="2"/>
  <c r="AC1084" i="2"/>
  <c r="AD1084" i="2" s="1"/>
  <c r="Z1085" i="2"/>
  <c r="AC1085" i="2" s="1"/>
  <c r="AD1085" i="2" s="1"/>
  <c r="Z1086" i="2"/>
  <c r="AA1086" i="2"/>
  <c r="Z1087" i="2"/>
  <c r="L1087" i="2" s="1"/>
  <c r="K1087" i="2" s="1"/>
  <c r="Z1088" i="2"/>
  <c r="AA1088" i="2" s="1"/>
  <c r="Z1089" i="2"/>
  <c r="Z1090" i="2"/>
  <c r="AA1090" i="2" s="1"/>
  <c r="Z1091" i="2"/>
  <c r="L1091" i="2" s="1"/>
  <c r="K1091" i="2" s="1"/>
  <c r="AA1091" i="2"/>
  <c r="AB1091" i="2"/>
  <c r="AC1091" i="2"/>
  <c r="AD1091" i="2" s="1"/>
  <c r="Z1092" i="2"/>
  <c r="Z1093" i="2"/>
  <c r="Z1094" i="2"/>
  <c r="Z1095" i="2"/>
  <c r="Z1096" i="2"/>
  <c r="L1096" i="2" s="1"/>
  <c r="K1096" i="2" s="1"/>
  <c r="Z1097" i="2"/>
  <c r="AC1097" i="2" s="1"/>
  <c r="AD1097" i="2" s="1"/>
  <c r="Z1098" i="2"/>
  <c r="AB1098" i="2" s="1"/>
  <c r="Z1099" i="2"/>
  <c r="AA1099" i="2" s="1"/>
  <c r="L1100" i="2"/>
  <c r="K1100" i="2" s="1"/>
  <c r="Z1100" i="2"/>
  <c r="AC1100" i="2" s="1"/>
  <c r="AD1100" i="2" s="1"/>
  <c r="L1101" i="2"/>
  <c r="K1101" i="2" s="1"/>
  <c r="Z1101" i="2"/>
  <c r="AC1101" i="2" s="1"/>
  <c r="AD1101" i="2" s="1"/>
  <c r="Z1102" i="2"/>
  <c r="AB1102" i="2" s="1"/>
  <c r="Z1103" i="2"/>
  <c r="AB1103" i="2" s="1"/>
  <c r="AA1103" i="2"/>
  <c r="AC1103" i="2"/>
  <c r="AD1103" i="2" s="1"/>
  <c r="Z1104" i="2"/>
  <c r="Z1105" i="2"/>
  <c r="AC1105" i="2" s="1"/>
  <c r="AD1105" i="2" s="1"/>
  <c r="Z1106" i="2"/>
  <c r="L1107" i="2"/>
  <c r="K1107" i="2" s="1"/>
  <c r="Z1107" i="2"/>
  <c r="AA1107" i="2" s="1"/>
  <c r="Z1108" i="2"/>
  <c r="AB1108" i="2" s="1"/>
  <c r="Z1109" i="2"/>
  <c r="AA1109" i="2"/>
  <c r="Z1110" i="2"/>
  <c r="Z1111" i="2"/>
  <c r="Z1112" i="2"/>
  <c r="AA1112" i="2"/>
  <c r="Z1113" i="2"/>
  <c r="AA1113" i="2"/>
  <c r="Z1114" i="2"/>
  <c r="AB1114" i="2"/>
  <c r="Z1115" i="2"/>
  <c r="Z1116" i="2"/>
  <c r="AB1116" i="2" s="1"/>
  <c r="Z1117" i="2"/>
  <c r="AA1117" i="2" s="1"/>
  <c r="AB1117" i="2"/>
  <c r="Z1118" i="2"/>
  <c r="Z1119" i="2"/>
  <c r="L1119" i="2" s="1"/>
  <c r="K1119" i="2" s="1"/>
  <c r="AC1119" i="2"/>
  <c r="AD1119" i="2" s="1"/>
  <c r="Z1120" i="2"/>
  <c r="AC1120" i="2" s="1"/>
  <c r="AD1120" i="2" s="1"/>
  <c r="Z1121" i="2"/>
  <c r="AC1121" i="2"/>
  <c r="AD1121" i="2" s="1"/>
  <c r="Z1122" i="2"/>
  <c r="AA1122" i="2" s="1"/>
  <c r="Z1123" i="2"/>
  <c r="AA1123" i="2" s="1"/>
  <c r="Z1124" i="2"/>
  <c r="AC1124" i="2" s="1"/>
  <c r="AD1124" i="2" s="1"/>
  <c r="L1125" i="2"/>
  <c r="K1125" i="2" s="1"/>
  <c r="Z1125" i="2"/>
  <c r="AC1125" i="2" s="1"/>
  <c r="AD1125" i="2" s="1"/>
  <c r="Z1126" i="2"/>
  <c r="AA1126" i="2" s="1"/>
  <c r="Z1127" i="2"/>
  <c r="AB1127" i="2" s="1"/>
  <c r="AA1127" i="2"/>
  <c r="AC1127" i="2"/>
  <c r="AD1127" i="2" s="1"/>
  <c r="Z1128" i="2"/>
  <c r="L1129" i="2"/>
  <c r="Z1129" i="2"/>
  <c r="Z1130" i="2"/>
  <c r="Z1131" i="2"/>
  <c r="AB1131" i="2" s="1"/>
  <c r="Z1132" i="2"/>
  <c r="L1132" i="2" s="1"/>
  <c r="K1046" i="2" s="1"/>
  <c r="AB1132" i="2"/>
  <c r="AC1132" i="2"/>
  <c r="AD1132" i="2" s="1"/>
  <c r="Z1133" i="2"/>
  <c r="AB1133" i="2" s="1"/>
  <c r="Z1134" i="2"/>
  <c r="AA1134" i="2" s="1"/>
  <c r="Z1135" i="2"/>
  <c r="AA1135" i="2" s="1"/>
  <c r="Z1136" i="2"/>
  <c r="Z1137" i="2"/>
  <c r="AA1137" i="2" s="1"/>
  <c r="Z1138" i="2"/>
  <c r="AA1138" i="2" s="1"/>
  <c r="Z1139" i="2"/>
  <c r="AA1139" i="2"/>
  <c r="Z1140" i="2"/>
  <c r="AB1140" i="2" s="1"/>
  <c r="L1141" i="2"/>
  <c r="Z1141" i="2"/>
  <c r="AC1141" i="2" s="1"/>
  <c r="AD1141" i="2" s="1"/>
  <c r="Z1142" i="2"/>
  <c r="Z1143" i="2"/>
  <c r="AA1143" i="2" s="1"/>
  <c r="Z1144" i="2"/>
  <c r="Z1145" i="2"/>
  <c r="AA1145" i="2" s="1"/>
  <c r="Z1146" i="2"/>
  <c r="AB1146" i="2" s="1"/>
  <c r="Z1147" i="2"/>
  <c r="AA1147" i="2" s="1"/>
  <c r="Z1148" i="2"/>
  <c r="AA1148" i="2" s="1"/>
  <c r="Z1149" i="2"/>
  <c r="AA1149" i="2" s="1"/>
  <c r="Z1150" i="2"/>
  <c r="AB1150" i="2" s="1"/>
  <c r="Z1151" i="2"/>
  <c r="Z1152" i="2"/>
  <c r="AA1152" i="2" s="1"/>
  <c r="Z1153" i="2"/>
  <c r="AB1153" i="2" s="1"/>
  <c r="Z1154" i="2"/>
  <c r="Z1155" i="2"/>
  <c r="Z1156" i="2"/>
  <c r="Z1157" i="2"/>
  <c r="Z1158" i="2"/>
  <c r="AA1158" i="2"/>
  <c r="Z1159" i="2"/>
  <c r="L1159" i="2" s="1"/>
  <c r="K1159" i="2" s="1"/>
  <c r="L1160" i="2"/>
  <c r="K1160" i="2" s="1"/>
  <c r="Z1160" i="2"/>
  <c r="Z1161" i="2"/>
  <c r="L1161" i="2" s="1"/>
  <c r="K1161" i="2" s="1"/>
  <c r="AC1161" i="2"/>
  <c r="AD1161" i="2" s="1"/>
  <c r="Z1162" i="2"/>
  <c r="L1163" i="2"/>
  <c r="K1163" i="2" s="1"/>
  <c r="Z1163" i="2"/>
  <c r="AA1163" i="2" s="1"/>
  <c r="Z1164" i="2"/>
  <c r="L1164" i="2" s="1"/>
  <c r="K1164" i="2" s="1"/>
  <c r="L1165" i="2"/>
  <c r="K1165" i="2" s="1"/>
  <c r="Z1165" i="2"/>
  <c r="AB1165" i="2" s="1"/>
  <c r="AA1165" i="2"/>
  <c r="AC1165" i="2"/>
  <c r="AD1165" i="2" s="1"/>
  <c r="Z1166" i="2"/>
  <c r="Z1167" i="2"/>
  <c r="AB1167" i="2" s="1"/>
  <c r="Z1168" i="2"/>
  <c r="L1168" i="2" s="1"/>
  <c r="K1168" i="2" s="1"/>
  <c r="AC1168" i="2"/>
  <c r="AD1168" i="2" s="1"/>
  <c r="Z1169" i="2"/>
  <c r="AB1169" i="2" s="1"/>
  <c r="Z1170" i="2"/>
  <c r="L1170" i="2" s="1"/>
  <c r="K1170" i="2" s="1"/>
  <c r="AA1170" i="2"/>
  <c r="AC1170" i="2"/>
  <c r="AD1170" i="2" s="1"/>
  <c r="Z1171" i="2"/>
  <c r="AA1171" i="2" s="1"/>
  <c r="Z1172" i="2"/>
  <c r="AB1172" i="2" s="1"/>
  <c r="Z1173" i="2"/>
  <c r="AC1173" i="2" s="1"/>
  <c r="AD1173" i="2" s="1"/>
  <c r="Z1174" i="2"/>
  <c r="Z1175" i="2"/>
  <c r="AB1175" i="2" s="1"/>
  <c r="Z1176" i="2"/>
  <c r="Z1177" i="2"/>
  <c r="AC1177" i="2" s="1"/>
  <c r="AD1177" i="2" s="1"/>
  <c r="Z1178" i="2"/>
  <c r="Z1179" i="2"/>
  <c r="Z1180" i="2"/>
  <c r="AC1180" i="2" s="1"/>
  <c r="AD1180" i="2" s="1"/>
  <c r="Z1181" i="2"/>
  <c r="Z1182" i="2"/>
  <c r="Z1183" i="2"/>
  <c r="L1183" i="2" s="1"/>
  <c r="K1183" i="2" s="1"/>
  <c r="Z1184" i="2"/>
  <c r="AA1184" i="2" s="1"/>
  <c r="Z1185" i="2"/>
  <c r="Z1186" i="2"/>
  <c r="AB1186" i="2" s="1"/>
  <c r="AC1186" i="2"/>
  <c r="AD1186" i="2" s="1"/>
  <c r="Z1187" i="2"/>
  <c r="Z1188" i="2"/>
  <c r="AA1188" i="2" s="1"/>
  <c r="Z1189" i="2"/>
  <c r="AB1189" i="2"/>
  <c r="Z1190" i="2"/>
  <c r="Z1191" i="2"/>
  <c r="AA1191" i="2" s="1"/>
  <c r="Z1192" i="2"/>
  <c r="AC1192" i="2" s="1"/>
  <c r="AD1192" i="2" s="1"/>
  <c r="Z1193" i="2"/>
  <c r="AA1193" i="2" s="1"/>
  <c r="Z1194" i="2"/>
  <c r="AA1194" i="2"/>
  <c r="Z1195" i="2"/>
  <c r="AA1195" i="2" s="1"/>
  <c r="Z1196" i="2"/>
  <c r="AB1196" i="2"/>
  <c r="Z1197" i="2"/>
  <c r="Z1198" i="2"/>
  <c r="L1199" i="2"/>
  <c r="K1199" i="2" s="1"/>
  <c r="Z1199" i="2"/>
  <c r="AB1199" i="2" s="1"/>
  <c r="AA1199" i="2"/>
  <c r="AC1199" i="2"/>
  <c r="AD1199" i="2" s="1"/>
  <c r="Z1200" i="2"/>
  <c r="L1200" i="2" s="1"/>
  <c r="K1200" i="2" s="1"/>
  <c r="Z1201" i="2"/>
  <c r="Z1202" i="2"/>
  <c r="Z1203" i="2"/>
  <c r="AB1203" i="2" s="1"/>
  <c r="Z1204" i="2"/>
  <c r="AC1204" i="2"/>
  <c r="AD1204" i="2" s="1"/>
  <c r="Z1205" i="2"/>
  <c r="Z1206" i="2"/>
  <c r="AB1206" i="2" s="1"/>
  <c r="Z1207" i="2"/>
  <c r="AA1207" i="2"/>
  <c r="L1208" i="2"/>
  <c r="K1208" i="2" s="1"/>
  <c r="Z1208" i="2"/>
  <c r="AC1208" i="2" s="1"/>
  <c r="AD1208" i="2" s="1"/>
  <c r="AA1208" i="2"/>
  <c r="AB1208" i="2"/>
  <c r="Z1209" i="2"/>
  <c r="AA1209" i="2"/>
  <c r="Z1210" i="2"/>
  <c r="AA1210" i="2" s="1"/>
  <c r="Z1211" i="2"/>
  <c r="Z1212" i="2"/>
  <c r="AB1212" i="2" s="1"/>
  <c r="AA1212" i="2"/>
  <c r="Z1213" i="2"/>
  <c r="AC1213" i="2" s="1"/>
  <c r="AD1213" i="2" s="1"/>
  <c r="Z1214" i="2"/>
  <c r="L1214" i="2" s="1"/>
  <c r="K1214" i="2" s="1"/>
  <c r="Z1215" i="2"/>
  <c r="Z1216" i="2"/>
  <c r="L1216" i="2" s="1"/>
  <c r="K1216" i="2" s="1"/>
  <c r="Z1217" i="2"/>
  <c r="AA1217" i="2" s="1"/>
  <c r="Z1218" i="2"/>
  <c r="AB1218" i="2" s="1"/>
  <c r="Z1219" i="2"/>
  <c r="AA1219" i="2" s="1"/>
  <c r="Z1220" i="2"/>
  <c r="L1220" i="2" s="1"/>
  <c r="K1220" i="2" s="1"/>
  <c r="Z1221" i="2"/>
  <c r="AA1221" i="2"/>
  <c r="Z1222" i="2"/>
  <c r="AB1222" i="2" s="1"/>
  <c r="Z1223" i="2"/>
  <c r="AA1223" i="2" s="1"/>
  <c r="Z1224" i="2"/>
  <c r="AA1224" i="2" s="1"/>
  <c r="Z1225" i="2"/>
  <c r="AA1225" i="2"/>
  <c r="Z1226" i="2"/>
  <c r="Z1227" i="2"/>
  <c r="AB1227" i="2" s="1"/>
  <c r="K1228" i="2"/>
  <c r="Z1228" i="2"/>
  <c r="L1228" i="2" s="1"/>
  <c r="AB1228" i="2"/>
  <c r="AC1228" i="2"/>
  <c r="AD1228" i="2" s="1"/>
  <c r="Z1229" i="2"/>
  <c r="AC1229" i="2" s="1"/>
  <c r="AD1229" i="2" s="1"/>
  <c r="Z1230" i="2"/>
  <c r="Z1231" i="2"/>
  <c r="Z1232" i="2"/>
  <c r="AA1232" i="2" s="1"/>
  <c r="Z1233" i="2"/>
  <c r="L1233" i="2" s="1"/>
  <c r="K1233" i="2" s="1"/>
  <c r="Z1234" i="2"/>
  <c r="AA1234" i="2" s="1"/>
  <c r="Z1235" i="2"/>
  <c r="AB1235" i="2" s="1"/>
  <c r="Z1236" i="2"/>
  <c r="Z1237" i="2"/>
  <c r="Z1238" i="2"/>
  <c r="Z1239" i="2"/>
  <c r="AB1239" i="2" s="1"/>
  <c r="Z1240" i="2"/>
  <c r="AC1240" i="2" s="1"/>
  <c r="AD1240" i="2" s="1"/>
  <c r="Z1241" i="2"/>
  <c r="Z1242" i="2"/>
  <c r="AA1242" i="2"/>
  <c r="Z1243" i="2"/>
  <c r="AA1243" i="2" s="1"/>
  <c r="Z1244" i="2"/>
  <c r="AC1244" i="2"/>
  <c r="AD1244" i="2" s="1"/>
  <c r="Z1245" i="2"/>
  <c r="AA1245" i="2" s="1"/>
  <c r="AC1245" i="2"/>
  <c r="AD1245" i="2" s="1"/>
  <c r="Z1246" i="2"/>
  <c r="L1246" i="2" s="1"/>
  <c r="K1246" i="2" s="1"/>
  <c r="AA1246" i="2"/>
  <c r="AC1246" i="2"/>
  <c r="AD1246" i="2" s="1"/>
  <c r="Z1247" i="2"/>
  <c r="AA1247" i="2" s="1"/>
  <c r="Z1248" i="2"/>
  <c r="AC1248" i="2" s="1"/>
  <c r="AD1248" i="2" s="1"/>
  <c r="Z1249" i="2"/>
  <c r="AC1249" i="2" s="1"/>
  <c r="AD1249" i="2" s="1"/>
  <c r="Z1250" i="2"/>
  <c r="Z1251" i="2"/>
  <c r="AA1251" i="2" s="1"/>
  <c r="Z1252" i="2"/>
  <c r="Z1253" i="2"/>
  <c r="Z1254" i="2"/>
  <c r="AC1254" i="2" s="1"/>
  <c r="AD1254" i="2" s="1"/>
  <c r="Z1255" i="2"/>
  <c r="Z1256" i="2"/>
  <c r="AC1256" i="2" s="1"/>
  <c r="AD1256" i="2" s="1"/>
  <c r="L1257" i="2"/>
  <c r="K1257" i="2" s="1"/>
  <c r="Z1257" i="2"/>
  <c r="AB1257" i="2" s="1"/>
  <c r="AC1257" i="2"/>
  <c r="AD1257" i="2" s="1"/>
  <c r="Z1258" i="2"/>
  <c r="AB1258" i="2" s="1"/>
  <c r="Z1259" i="2"/>
  <c r="AA1259" i="2" s="1"/>
  <c r="Z1260" i="2"/>
  <c r="AC1260" i="2" s="1"/>
  <c r="AD1260" i="2" s="1"/>
  <c r="Z1261" i="2"/>
  <c r="AA1261" i="2" s="1"/>
  <c r="Z1262" i="2"/>
  <c r="Z1263" i="2"/>
  <c r="L1263" i="2" s="1"/>
  <c r="K1263" i="2" s="1"/>
  <c r="AB1263" i="2"/>
  <c r="Z1264" i="2"/>
  <c r="L1264" i="2" s="1"/>
  <c r="K1264" i="2" s="1"/>
  <c r="Z1265" i="2"/>
  <c r="Z1266" i="2"/>
  <c r="Z1267" i="2"/>
  <c r="AA1267" i="2" s="1"/>
  <c r="Z1268" i="2"/>
  <c r="AC1268" i="2" s="1"/>
  <c r="AD1268" i="2" s="1"/>
  <c r="AA1268" i="2"/>
  <c r="AB1268" i="2"/>
  <c r="Z1269" i="2"/>
  <c r="AB1269" i="2" s="1"/>
  <c r="Z1270" i="2"/>
  <c r="AA1270" i="2" s="1"/>
  <c r="Z1271" i="2"/>
  <c r="AC1271" i="2"/>
  <c r="AD1271" i="2" s="1"/>
  <c r="Z1272" i="2"/>
  <c r="L1272" i="2" s="1"/>
  <c r="K1272" i="2" s="1"/>
  <c r="Z1273" i="2"/>
  <c r="AB1273" i="2" s="1"/>
  <c r="Z1274" i="2"/>
  <c r="L1274" i="2" s="1"/>
  <c r="K1274" i="2" s="1"/>
  <c r="Z1275" i="2"/>
  <c r="Z1276" i="2"/>
  <c r="L1276" i="2" s="1"/>
  <c r="K1276" i="2" s="1"/>
  <c r="AB1276" i="2"/>
  <c r="AC1276" i="2"/>
  <c r="AD1276" i="2" s="1"/>
  <c r="Z1277" i="2"/>
  <c r="Z1278" i="2"/>
  <c r="AA1278" i="2" s="1"/>
  <c r="AC1278" i="2"/>
  <c r="AD1278" i="2" s="1"/>
  <c r="Z1279" i="2"/>
  <c r="AC1279" i="2" s="1"/>
  <c r="AD1279" i="2" s="1"/>
  <c r="Z1280" i="2"/>
  <c r="AA1280" i="2" s="1"/>
  <c r="Z1281" i="2"/>
  <c r="Z1282" i="2"/>
  <c r="AB1282" i="2"/>
  <c r="Z1283" i="2"/>
  <c r="AA1283" i="2"/>
  <c r="AC1283" i="2"/>
  <c r="AD1283" i="2" s="1"/>
  <c r="L1284" i="2"/>
  <c r="K1284" i="2" s="1"/>
  <c r="Z1284" i="2"/>
  <c r="AC1284" i="2" s="1"/>
  <c r="AD1284" i="2" s="1"/>
  <c r="AB1284" i="2"/>
  <c r="Z1285" i="2"/>
  <c r="AB1285" i="2" s="1"/>
  <c r="Z1286" i="2"/>
  <c r="Z1287" i="2"/>
  <c r="AC1287" i="2" s="1"/>
  <c r="AD1287" i="2" s="1"/>
  <c r="AB1287" i="2"/>
  <c r="Z1288" i="2"/>
  <c r="AB1288" i="2" s="1"/>
  <c r="AC1288" i="2"/>
  <c r="AD1288" i="2" s="1"/>
  <c r="Z1289" i="2"/>
  <c r="AB1289" i="2" s="1"/>
  <c r="Z1290" i="2"/>
  <c r="L1290" i="2" s="1"/>
  <c r="K1290" i="2" s="1"/>
  <c r="AA1290" i="2"/>
  <c r="AC1290" i="2"/>
  <c r="AD1290" i="2" s="1"/>
  <c r="Z1291" i="2"/>
  <c r="AC1291" i="2"/>
  <c r="AD1291" i="2" s="1"/>
  <c r="Z1292" i="2"/>
  <c r="AA1292" i="2" s="1"/>
  <c r="Z1293" i="2"/>
  <c r="L1294" i="2"/>
  <c r="K1294" i="2" s="1"/>
  <c r="Z1294" i="2"/>
  <c r="AA1294" i="2" s="1"/>
  <c r="Z1295" i="2"/>
  <c r="AC1295" i="2" s="1"/>
  <c r="AD1295" i="2" s="1"/>
  <c r="Z1296" i="2"/>
  <c r="AA1296" i="2" s="1"/>
  <c r="Z1297" i="2"/>
  <c r="AC1297" i="2" s="1"/>
  <c r="AD1297" i="2" s="1"/>
  <c r="L1298" i="2"/>
  <c r="K1298" i="2" s="1"/>
  <c r="Z1298" i="2"/>
  <c r="AB1298" i="2" s="1"/>
  <c r="Z1299" i="2"/>
  <c r="AB1299" i="2" s="1"/>
  <c r="Z1300" i="2"/>
  <c r="AB1300" i="2" s="1"/>
  <c r="Z1301" i="2"/>
  <c r="AB1301" i="2" s="1"/>
  <c r="Z1302" i="2"/>
  <c r="AC1302" i="2" s="1"/>
  <c r="AD1302" i="2" s="1"/>
  <c r="Z1303" i="2"/>
  <c r="AC1303" i="2" s="1"/>
  <c r="AD1303" i="2" s="1"/>
  <c r="Z1304" i="2"/>
  <c r="Z1305" i="2"/>
  <c r="AA1305" i="2"/>
  <c r="Z1306" i="2"/>
  <c r="Z1307" i="2"/>
  <c r="AA1307" i="2" s="1"/>
  <c r="Z1308" i="2"/>
  <c r="AB1308" i="2" s="1"/>
  <c r="Z1309" i="2"/>
  <c r="Z1310" i="2"/>
  <c r="Z1311" i="2"/>
  <c r="AB1311" i="2" s="1"/>
  <c r="AC1311" i="2"/>
  <c r="AD1311" i="2" s="1"/>
  <c r="Z1312" i="2"/>
  <c r="Z1313" i="2"/>
  <c r="AC1313" i="2" s="1"/>
  <c r="AD1313" i="2" s="1"/>
  <c r="Z1314" i="2"/>
  <c r="AA1314" i="2" s="1"/>
  <c r="AB1314" i="2"/>
  <c r="Z1315" i="2"/>
  <c r="L1316" i="2"/>
  <c r="K1316" i="2" s="1"/>
  <c r="Z1316" i="2"/>
  <c r="AC1316" i="2" s="1"/>
  <c r="AD1316" i="2" s="1"/>
  <c r="Z1317" i="2"/>
  <c r="AB1317" i="2" s="1"/>
  <c r="AC1317" i="2"/>
  <c r="AD1317" i="2" s="1"/>
  <c r="L1318" i="2"/>
  <c r="K1318" i="2" s="1"/>
  <c r="Z1318" i="2"/>
  <c r="AB1318" i="2"/>
  <c r="Z1319" i="2"/>
  <c r="AA1319" i="2" s="1"/>
  <c r="Z1320" i="2"/>
  <c r="Z1321" i="2"/>
  <c r="AB1321" i="2" s="1"/>
  <c r="Z1322" i="2"/>
  <c r="Z1323" i="2"/>
  <c r="AC1323" i="2" s="1"/>
  <c r="AD1323" i="2" s="1"/>
  <c r="AB1323" i="2"/>
  <c r="Z1324" i="2"/>
  <c r="Z1325" i="2"/>
  <c r="Z1326" i="2"/>
  <c r="L1326" i="2" s="1"/>
  <c r="K1326" i="2" s="1"/>
  <c r="AA1326" i="2"/>
  <c r="AB1326" i="2"/>
  <c r="Z1327" i="2"/>
  <c r="AC1327" i="2" s="1"/>
  <c r="AD1327" i="2" s="1"/>
  <c r="Z1328" i="2"/>
  <c r="Z1329" i="2"/>
  <c r="AA1329" i="2"/>
  <c r="Z1330" i="2"/>
  <c r="AB1330" i="2" s="1"/>
  <c r="Z1331" i="2"/>
  <c r="AA1331" i="2"/>
  <c r="AC1331" i="2"/>
  <c r="AD1331" i="2" s="1"/>
  <c r="Z1332" i="2"/>
  <c r="AA1332" i="2" s="1"/>
  <c r="Z1333" i="2"/>
  <c r="Z1334" i="2"/>
  <c r="AB1334" i="2" s="1"/>
  <c r="Z1335" i="2"/>
  <c r="Z1336" i="2"/>
  <c r="Z1337" i="2"/>
  <c r="Z1338" i="2"/>
  <c r="AB1338" i="2"/>
  <c r="AC1338" i="2"/>
  <c r="AD1338" i="2" s="1"/>
  <c r="Z1339" i="2"/>
  <c r="AC1339" i="2"/>
  <c r="AD1339" i="2" s="1"/>
  <c r="Z1340" i="2"/>
  <c r="AB1340" i="2" s="1"/>
  <c r="Z1341" i="2"/>
  <c r="Z1342" i="2"/>
  <c r="AC1342" i="2" s="1"/>
  <c r="AD1342" i="2" s="1"/>
  <c r="Z1343" i="2"/>
  <c r="Z1344" i="2"/>
  <c r="AB1344" i="2"/>
  <c r="Z1345" i="2"/>
  <c r="AB1345" i="2" s="1"/>
  <c r="Z1346" i="2"/>
  <c r="Z1347" i="2"/>
  <c r="AC1347" i="2"/>
  <c r="AD1347" i="2" s="1"/>
  <c r="Z1348" i="2"/>
  <c r="Z1349" i="2"/>
  <c r="K1350" i="2"/>
  <c r="Z1350" i="2"/>
  <c r="L1350" i="2" s="1"/>
  <c r="AA1350" i="2"/>
  <c r="AB1350" i="2"/>
  <c r="AC1350" i="2"/>
  <c r="AD1350" i="2" s="1"/>
  <c r="Z1351" i="2"/>
  <c r="AC1351" i="2" s="1"/>
  <c r="AD1351" i="2" s="1"/>
  <c r="L1352" i="2"/>
  <c r="K1352" i="2" s="1"/>
  <c r="Z1352" i="2"/>
  <c r="AC1352" i="2" s="1"/>
  <c r="AD1352" i="2" s="1"/>
  <c r="AB1352" i="2"/>
  <c r="Z1353" i="2"/>
  <c r="Z1354" i="2"/>
  <c r="L1355" i="2"/>
  <c r="K1355" i="2" s="1"/>
  <c r="Z1355" i="2"/>
  <c r="AC1355" i="2" s="1"/>
  <c r="AA1355" i="2"/>
  <c r="AB1355" i="2"/>
  <c r="AD1355" i="2"/>
  <c r="Z1356" i="2"/>
  <c r="AA1356" i="2"/>
  <c r="Z1357" i="2"/>
  <c r="Z1358" i="2"/>
  <c r="Z1359" i="2"/>
  <c r="AC1359" i="2" s="1"/>
  <c r="AD1359" i="2" s="1"/>
  <c r="Z1360" i="2"/>
  <c r="Z1361" i="2"/>
  <c r="Z1362" i="2"/>
  <c r="Z1363" i="2"/>
  <c r="AC1363" i="2" s="1"/>
  <c r="AD1363" i="2" s="1"/>
  <c r="Z1364" i="2"/>
  <c r="AB1364" i="2"/>
  <c r="AC1364" i="2"/>
  <c r="AD1364" i="2" s="1"/>
  <c r="Z1365" i="2"/>
  <c r="Z1366" i="2"/>
  <c r="AB1366" i="2" s="1"/>
  <c r="Z1367" i="2"/>
  <c r="AB1367" i="2" s="1"/>
  <c r="Z1368" i="2"/>
  <c r="Z1369" i="2"/>
  <c r="Z1370" i="2"/>
  <c r="AB1370" i="2" s="1"/>
  <c r="Z1371" i="2"/>
  <c r="Z1372" i="2"/>
  <c r="AB1372" i="2" s="1"/>
  <c r="Z1373" i="2"/>
  <c r="AC1373" i="2"/>
  <c r="AD1373" i="2" s="1"/>
  <c r="Z1374" i="2"/>
  <c r="Z1375" i="2"/>
  <c r="Z1376" i="2"/>
  <c r="L1376" i="2" s="1"/>
  <c r="K1376" i="2" s="1"/>
  <c r="AA1376" i="2"/>
  <c r="AC1376" i="2"/>
  <c r="AD1376" i="2" s="1"/>
  <c r="Z1377" i="2"/>
  <c r="Z1378" i="2"/>
  <c r="Z1379" i="2"/>
  <c r="L1379" i="2" s="1"/>
  <c r="K1379" i="2" s="1"/>
  <c r="Z1380" i="2"/>
  <c r="AA1380" i="2" s="1"/>
  <c r="AB1380" i="2"/>
  <c r="Z1381" i="2"/>
  <c r="Z1382" i="2"/>
  <c r="Z1383" i="2"/>
  <c r="AA1383" i="2" s="1"/>
  <c r="AB1383" i="2"/>
  <c r="AC1383" i="2"/>
  <c r="AD1383" i="2" s="1"/>
  <c r="Z1384" i="2"/>
  <c r="Z1385" i="2"/>
  <c r="AC1385" i="2" s="1"/>
  <c r="AD1385" i="2" s="1"/>
  <c r="Z1386" i="2"/>
  <c r="Z1387" i="2"/>
  <c r="L1388" i="2"/>
  <c r="K1388" i="2" s="1"/>
  <c r="Z1388" i="2"/>
  <c r="Z1389" i="2"/>
  <c r="AC1389" i="2"/>
  <c r="AD1389" i="2" s="1"/>
  <c r="Z1390" i="2"/>
  <c r="AC1390" i="2" s="1"/>
  <c r="AD1390" i="2" s="1"/>
  <c r="Z1391" i="2"/>
  <c r="AC1391" i="2" s="1"/>
  <c r="AD1391" i="2" s="1"/>
  <c r="AA1391" i="2"/>
  <c r="AB1391" i="2"/>
  <c r="Z1392" i="2"/>
  <c r="AC1392" i="2" s="1"/>
  <c r="AD1392" i="2" s="1"/>
  <c r="AA1392" i="2"/>
  <c r="Z1393" i="2"/>
  <c r="Z1394" i="2"/>
  <c r="AB1394" i="2"/>
  <c r="Z1395" i="2"/>
  <c r="AA1395" i="2" s="1"/>
  <c r="AC1395" i="2"/>
  <c r="AD1395" i="2" s="1"/>
  <c r="Z1396" i="2"/>
  <c r="AC1396" i="2" s="1"/>
  <c r="AD1396" i="2" s="1"/>
  <c r="Z1397" i="2"/>
  <c r="AB1397" i="2" s="1"/>
  <c r="Z1398" i="2"/>
  <c r="AA1398" i="2" s="1"/>
  <c r="Z1399" i="2"/>
  <c r="AC1399" i="2" s="1"/>
  <c r="AD1399" i="2" s="1"/>
  <c r="L1400" i="2"/>
  <c r="K1400" i="2" s="1"/>
  <c r="Z1400" i="2"/>
  <c r="AA1400" i="2" s="1"/>
  <c r="AC1400" i="2"/>
  <c r="AD1400" i="2" s="1"/>
  <c r="L1401" i="2"/>
  <c r="K1401" i="2" s="1"/>
  <c r="Z1401" i="2"/>
  <c r="Z1402" i="2"/>
  <c r="Z1403" i="2"/>
  <c r="Z1404" i="2"/>
  <c r="Z1405" i="2"/>
  <c r="AC1405" i="2" s="1"/>
  <c r="AD1405" i="2" s="1"/>
  <c r="Z1406" i="2"/>
  <c r="L1406" i="2" s="1"/>
  <c r="K1406" i="2" s="1"/>
  <c r="Z1407" i="2"/>
  <c r="Z1408" i="2"/>
  <c r="Z1409" i="2"/>
  <c r="AB1409" i="2"/>
  <c r="K1410" i="2"/>
  <c r="Z1410" i="2"/>
  <c r="L1410" i="2" s="1"/>
  <c r="AA1410" i="2"/>
  <c r="Z1411" i="2"/>
  <c r="L1411" i="2" s="1"/>
  <c r="K1411" i="2" s="1"/>
  <c r="Z1412" i="2"/>
  <c r="L1412" i="2" s="1"/>
  <c r="K1412" i="2" s="1"/>
  <c r="Z1413" i="2"/>
  <c r="Z1414" i="2"/>
  <c r="AA1414" i="2" s="1"/>
  <c r="Z1415" i="2"/>
  <c r="AC1415" i="2" s="1"/>
  <c r="AD1415" i="2" s="1"/>
  <c r="AA1415" i="2"/>
  <c r="AB1415" i="2"/>
  <c r="Z1416" i="2"/>
  <c r="AA1416" i="2"/>
  <c r="Z1417" i="2"/>
  <c r="AC1417" i="2" s="1"/>
  <c r="AD1417" i="2" s="1"/>
  <c r="L1418" i="2"/>
  <c r="K1418" i="2" s="1"/>
  <c r="Z1418" i="2"/>
  <c r="AB1418" i="2" s="1"/>
  <c r="Z1419" i="2"/>
  <c r="Z1420" i="2"/>
  <c r="AB1420" i="2"/>
  <c r="AC1420" i="2"/>
  <c r="AD1420" i="2" s="1"/>
  <c r="Z1421" i="2"/>
  <c r="Z1422" i="2"/>
  <c r="Z1423" i="2"/>
  <c r="Z1424" i="2"/>
  <c r="Z1425" i="2"/>
  <c r="AB1425" i="2" s="1"/>
  <c r="Z1426" i="2"/>
  <c r="Z1427" i="2"/>
  <c r="AA1427" i="2" s="1"/>
  <c r="AB1427" i="2"/>
  <c r="AC1427" i="2"/>
  <c r="AD1427" i="2" s="1"/>
  <c r="Z1428" i="2"/>
  <c r="Z1429" i="2"/>
  <c r="AC1429" i="2" s="1"/>
  <c r="AD1429" i="2" s="1"/>
  <c r="Z1430" i="2"/>
  <c r="AB1430" i="2" s="1"/>
  <c r="Z1431" i="2"/>
  <c r="AC1431" i="2" s="1"/>
  <c r="AD1431" i="2" s="1"/>
  <c r="Z1432" i="2"/>
  <c r="AC1432" i="2"/>
  <c r="AD1432" i="2" s="1"/>
  <c r="L1433" i="2"/>
  <c r="K1433" i="2" s="1"/>
  <c r="Z1433" i="2"/>
  <c r="Z1434" i="2"/>
  <c r="AA1434" i="2" s="1"/>
  <c r="Z1435" i="2"/>
  <c r="Z1436" i="2"/>
  <c r="AA1436" i="2" s="1"/>
  <c r="AB1436" i="2"/>
  <c r="Z1437" i="2"/>
  <c r="Z1438" i="2"/>
  <c r="AA1438" i="2" s="1"/>
  <c r="Z1439" i="2"/>
  <c r="AA1439" i="2" s="1"/>
  <c r="Z1440" i="2"/>
  <c r="Z1441" i="2"/>
  <c r="AA1441" i="2"/>
  <c r="Z1442" i="2"/>
  <c r="AA1442" i="2" s="1"/>
  <c r="Z1443" i="2"/>
  <c r="AA1443" i="2"/>
  <c r="Z1444" i="2"/>
  <c r="L1445" i="2"/>
  <c r="K1445" i="2" s="1"/>
  <c r="Z1445" i="2"/>
  <c r="Z1446" i="2"/>
  <c r="Z1447" i="2"/>
  <c r="AC1447" i="2" s="1"/>
  <c r="AD1447" i="2" s="1"/>
  <c r="Z1448" i="2"/>
  <c r="Z1449" i="2"/>
  <c r="Z1450" i="2"/>
  <c r="AB1450" i="2"/>
  <c r="Z1451" i="2"/>
  <c r="AC1451" i="2" s="1"/>
  <c r="AD1451" i="2" s="1"/>
  <c r="Z1452" i="2"/>
  <c r="Z1453" i="2"/>
  <c r="AC1453" i="2" s="1"/>
  <c r="AD1453" i="2" s="1"/>
  <c r="Z1454" i="2"/>
  <c r="AA1454" i="2" s="1"/>
  <c r="Z1455" i="2"/>
  <c r="AC1455" i="2" s="1"/>
  <c r="AD1455" i="2" s="1"/>
  <c r="L1456" i="2"/>
  <c r="K1456" i="2" s="1"/>
  <c r="Z1456" i="2"/>
  <c r="AC1456" i="2" s="1"/>
  <c r="AD1456" i="2" s="1"/>
  <c r="AB1456" i="2"/>
  <c r="Z1457" i="2"/>
  <c r="AB1457" i="2" s="1"/>
  <c r="Z1458" i="2"/>
  <c r="AA1458" i="2"/>
  <c r="AC1458" i="2"/>
  <c r="AD1458" i="2" s="1"/>
  <c r="Z1459" i="2"/>
  <c r="AA1459" i="2"/>
  <c r="Z1460" i="2"/>
  <c r="L1461" i="2"/>
  <c r="K1461" i="2" s="1"/>
  <c r="Z1461" i="2"/>
  <c r="AA1461" i="2" s="1"/>
  <c r="AB1461" i="2"/>
  <c r="Z1462" i="2"/>
  <c r="Z1463" i="2"/>
  <c r="L1463" i="2" s="1"/>
  <c r="K1463" i="2" s="1"/>
  <c r="Z1464" i="2"/>
  <c r="Z1465" i="2"/>
  <c r="AB1465" i="2" s="1"/>
  <c r="Z1466" i="2"/>
  <c r="Z1467" i="2"/>
  <c r="AB1467" i="2"/>
  <c r="L1468" i="2"/>
  <c r="K1468" i="2" s="1"/>
  <c r="Z1468" i="2"/>
  <c r="AB1468" i="2" s="1"/>
  <c r="AA1468" i="2"/>
  <c r="L1469" i="2"/>
  <c r="K1469" i="2" s="1"/>
  <c r="Z1469" i="2"/>
  <c r="Z1470" i="2"/>
  <c r="AB1470" i="2" s="1"/>
  <c r="L1471" i="2"/>
  <c r="K1471" i="2" s="1"/>
  <c r="Z1471" i="2"/>
  <c r="Z1472" i="2"/>
  <c r="L1472" i="2" s="1"/>
  <c r="K1472" i="2" s="1"/>
  <c r="AB1472" i="2"/>
  <c r="Z1473" i="2"/>
  <c r="AC1473" i="2" s="1"/>
  <c r="AD1473" i="2" s="1"/>
  <c r="Z1474" i="2"/>
  <c r="K1475" i="2"/>
  <c r="Z1475" i="2"/>
  <c r="L1475" i="2" s="1"/>
  <c r="AA1475" i="2"/>
  <c r="AC1475" i="2"/>
  <c r="AD1475" i="2"/>
  <c r="Z1476" i="2"/>
  <c r="AA1476" i="2" s="1"/>
  <c r="Z1477" i="2"/>
  <c r="Z1478" i="2"/>
  <c r="AC1478" i="2" s="1"/>
  <c r="AD1478" i="2" s="1"/>
  <c r="AA1478" i="2"/>
  <c r="Z1479" i="2"/>
  <c r="AA1479" i="2" s="1"/>
  <c r="Z1480" i="2"/>
  <c r="L1480" i="2" s="1"/>
  <c r="K1480" i="2" s="1"/>
  <c r="AC1480" i="2"/>
  <c r="AD1480" i="2" s="1"/>
  <c r="Z1481" i="2"/>
  <c r="AC1481" i="2" s="1"/>
  <c r="AD1481" i="2" s="1"/>
  <c r="Z1482" i="2"/>
  <c r="Z1483" i="2"/>
  <c r="Z1484" i="2"/>
  <c r="AC1484" i="2" s="1"/>
  <c r="AD1484" i="2" s="1"/>
  <c r="AA1484" i="2"/>
  <c r="AB1484" i="2"/>
  <c r="L1485" i="2"/>
  <c r="K1485" i="2" s="1"/>
  <c r="Z1485" i="2"/>
  <c r="AB1485" i="2"/>
  <c r="L1486" i="2"/>
  <c r="K1486" i="2" s="1"/>
  <c r="Z1486" i="2"/>
  <c r="AC1486" i="2" s="1"/>
  <c r="AD1486" i="2" s="1"/>
  <c r="Z1487" i="2"/>
  <c r="AB1487" i="2"/>
  <c r="AC1487" i="2"/>
  <c r="AD1487" i="2" s="1"/>
  <c r="Z1488" i="2"/>
  <c r="AB1488" i="2" s="1"/>
  <c r="Z1489" i="2"/>
  <c r="AB1489" i="2"/>
  <c r="Z1490" i="2"/>
  <c r="AA1490" i="2" s="1"/>
  <c r="Z1491" i="2"/>
  <c r="AA1491" i="2" s="1"/>
  <c r="Z1492" i="2"/>
  <c r="L1492" i="2" s="1"/>
  <c r="K1492" i="2" s="1"/>
  <c r="Z1493" i="2"/>
  <c r="AA1493" i="2" s="1"/>
  <c r="Z1494" i="2"/>
  <c r="Z1495" i="2"/>
  <c r="Z1496" i="2"/>
  <c r="Z1497" i="2"/>
  <c r="AC1497" i="2" s="1"/>
  <c r="AD1497" i="2" s="1"/>
  <c r="Z1498" i="2"/>
  <c r="AA1498" i="2" s="1"/>
  <c r="Z1499" i="2"/>
  <c r="AC1499" i="2" s="1"/>
  <c r="AD1499" i="2" s="1"/>
  <c r="AB1499" i="2"/>
  <c r="Z1500" i="2"/>
  <c r="AB1500" i="2" s="1"/>
  <c r="Z1501" i="2"/>
  <c r="Z1502" i="2"/>
  <c r="AA1502" i="2" s="1"/>
  <c r="L1503" i="2"/>
  <c r="K1503" i="2" s="1"/>
  <c r="Z1503" i="2"/>
  <c r="AA1503" i="2" s="1"/>
  <c r="AB1503" i="2"/>
  <c r="AC1503" i="2"/>
  <c r="AD1503" i="2" s="1"/>
  <c r="Z1504" i="2"/>
  <c r="Z1505" i="2"/>
  <c r="AC1505" i="2" s="1"/>
  <c r="AD1505" i="2" s="1"/>
  <c r="AA1505" i="2"/>
  <c r="Z1506" i="2"/>
  <c r="AA1506" i="2"/>
  <c r="L1507" i="2"/>
  <c r="K1507" i="2" s="1"/>
  <c r="Z1507" i="2"/>
  <c r="AB1507" i="2" s="1"/>
  <c r="Z1508" i="2"/>
  <c r="Z1509" i="2"/>
  <c r="AA1509" i="2" s="1"/>
  <c r="AB1509" i="2"/>
  <c r="AC1509" i="2"/>
  <c r="AD1509" i="2" s="1"/>
  <c r="Z1510" i="2"/>
  <c r="Z1511" i="2"/>
  <c r="L1511" i="2" s="1"/>
  <c r="K1511" i="2" s="1"/>
  <c r="AC1511" i="2"/>
  <c r="AD1511" i="2" s="1"/>
  <c r="Z1512" i="2"/>
  <c r="AC1512" i="2"/>
  <c r="AD1512" i="2" s="1"/>
  <c r="Z1513" i="2"/>
  <c r="Z1514" i="2"/>
  <c r="AA1514" i="2"/>
  <c r="Z1515" i="2"/>
  <c r="AA1515" i="2" s="1"/>
  <c r="Z1516" i="2"/>
  <c r="AA1516" i="2" s="1"/>
  <c r="Z1517" i="2"/>
  <c r="AA1517" i="2" s="1"/>
  <c r="Z1518" i="2"/>
  <c r="Z1519" i="2"/>
  <c r="L1519" i="2" s="1"/>
  <c r="K1519" i="2" s="1"/>
  <c r="AB1519" i="2"/>
  <c r="Z1520" i="2"/>
  <c r="Z1521" i="2"/>
  <c r="Z1522" i="2"/>
  <c r="Z1523" i="2"/>
  <c r="Z1524" i="2"/>
  <c r="AA1524" i="2" s="1"/>
  <c r="Z1525" i="2"/>
  <c r="L1525" i="2" s="1"/>
  <c r="K1525" i="2" s="1"/>
  <c r="Z1526" i="2"/>
  <c r="L1527" i="2"/>
  <c r="K1527" i="2" s="1"/>
  <c r="Z1527" i="2"/>
  <c r="AA1527" i="2" s="1"/>
  <c r="AB1527" i="2"/>
  <c r="AC1527" i="2"/>
  <c r="AD1527" i="2" s="1"/>
  <c r="Z1528" i="2"/>
  <c r="Z1529" i="2"/>
  <c r="AB1529" i="2" s="1"/>
  <c r="AA1529" i="2"/>
  <c r="AC1529" i="2"/>
  <c r="AD1529" i="2" s="1"/>
  <c r="Z1530" i="2"/>
  <c r="Z1531" i="2"/>
  <c r="AA1531" i="2" s="1"/>
  <c r="Z1532" i="2"/>
  <c r="Z1533" i="2"/>
  <c r="AC1533" i="2" s="1"/>
  <c r="AD1533" i="2" s="1"/>
  <c r="Z1534" i="2"/>
  <c r="AA1534" i="2" s="1"/>
  <c r="Z1535" i="2"/>
  <c r="Z1536" i="2"/>
  <c r="AB1536" i="2" s="1"/>
  <c r="Z1537" i="2"/>
  <c r="AC1537" i="2" s="1"/>
  <c r="AD1537" i="2" s="1"/>
  <c r="AA1537" i="2"/>
  <c r="Z1538" i="2"/>
  <c r="AA1538" i="2" s="1"/>
  <c r="Z1539" i="2"/>
  <c r="L1539" i="2" s="1"/>
  <c r="K1539" i="2" s="1"/>
  <c r="AA1539" i="2"/>
  <c r="L1540" i="2"/>
  <c r="K1540" i="2" s="1"/>
  <c r="Z1540" i="2"/>
  <c r="AA1540" i="2" s="1"/>
  <c r="AB1540" i="2"/>
  <c r="AC1540" i="2"/>
  <c r="AD1540" i="2" s="1"/>
  <c r="Z1541" i="2"/>
  <c r="Z1542" i="2"/>
  <c r="L1543" i="2"/>
  <c r="K1543" i="2" s="1"/>
  <c r="Z1543" i="2"/>
  <c r="AA1543" i="2" s="1"/>
  <c r="AB1543" i="2"/>
  <c r="AC1543" i="2"/>
  <c r="AD1543" i="2" s="1"/>
  <c r="Z1544" i="2"/>
  <c r="AB1544" i="2" s="1"/>
  <c r="AC1544" i="2"/>
  <c r="AD1544" i="2" s="1"/>
  <c r="Z1545" i="2"/>
  <c r="Z1546" i="2"/>
  <c r="AB1546" i="2" s="1"/>
  <c r="Z1547" i="2"/>
  <c r="L1548" i="2"/>
  <c r="K1548" i="2" s="1"/>
  <c r="Z1548" i="2"/>
  <c r="AC1548" i="2"/>
  <c r="AD1548" i="2" s="1"/>
  <c r="L1549" i="2"/>
  <c r="K1549" i="2" s="1"/>
  <c r="Z1549" i="2"/>
  <c r="Z1550" i="2"/>
  <c r="AA1550" i="2"/>
  <c r="Z1551" i="2"/>
  <c r="L1551" i="2" s="1"/>
  <c r="K1551" i="2" s="1"/>
  <c r="Z1552" i="2"/>
  <c r="AC1552" i="2" s="1"/>
  <c r="AD1552" i="2" s="1"/>
  <c r="AA1552" i="2"/>
  <c r="AB1552" i="2"/>
  <c r="Z1553" i="2"/>
  <c r="L1553" i="2" s="1"/>
  <c r="K1553" i="2" s="1"/>
  <c r="AC1553" i="2"/>
  <c r="AD1553" i="2" s="1"/>
  <c r="Z1554" i="2"/>
  <c r="AA1554" i="2" s="1"/>
  <c r="Z1555" i="2"/>
  <c r="Z1556" i="2"/>
  <c r="Z1557" i="2"/>
  <c r="L1558" i="2"/>
  <c r="K1558" i="2" s="1"/>
  <c r="Z1558" i="2"/>
  <c r="AC1558" i="2" s="1"/>
  <c r="AD1558" i="2" s="1"/>
  <c r="AB1558" i="2"/>
  <c r="Z1559" i="2"/>
  <c r="L1560" i="2"/>
  <c r="K1560" i="2" s="1"/>
  <c r="Z1560" i="2"/>
  <c r="AC1560" i="2"/>
  <c r="AD1560" i="2" s="1"/>
  <c r="Z1561" i="2"/>
  <c r="Z1562" i="2"/>
  <c r="AC1562" i="2"/>
  <c r="AD1562" i="2" s="1"/>
  <c r="Z1563" i="2"/>
  <c r="L1564" i="2"/>
  <c r="K1564" i="2" s="1"/>
  <c r="Z1564" i="2"/>
  <c r="AC1564" i="2" s="1"/>
  <c r="AD1564" i="2" s="1"/>
  <c r="Z1565" i="2"/>
  <c r="L1566" i="2"/>
  <c r="K1566" i="2" s="1"/>
  <c r="Z1566" i="2"/>
  <c r="AB1566" i="2" s="1"/>
  <c r="AA1566" i="2"/>
  <c r="AC1566" i="2"/>
  <c r="AD1566" i="2" s="1"/>
  <c r="L1567" i="2"/>
  <c r="K1567" i="2" s="1"/>
  <c r="Z1567" i="2"/>
  <c r="AA1567" i="2"/>
  <c r="AB1567" i="2"/>
  <c r="AC1567" i="2"/>
  <c r="AD1567" i="2" s="1"/>
  <c r="Z1568" i="2"/>
  <c r="AB1568" i="2"/>
  <c r="Z1569" i="2"/>
  <c r="AB1569" i="2" s="1"/>
  <c r="Z1570" i="2"/>
  <c r="AA1570" i="2"/>
  <c r="Z1571" i="2"/>
  <c r="Z1572" i="2"/>
  <c r="AB1572" i="2" s="1"/>
  <c r="Z1573" i="2"/>
  <c r="AA1573" i="2" s="1"/>
  <c r="Z1574" i="2"/>
  <c r="AA1574" i="2" s="1"/>
  <c r="Z1575" i="2"/>
  <c r="Z1576" i="2"/>
  <c r="Z1577" i="2"/>
  <c r="Z1578" i="2"/>
  <c r="AC1578" i="2" s="1"/>
  <c r="AB1578" i="2"/>
  <c r="AD1578" i="2"/>
  <c r="Z1579" i="2"/>
  <c r="AB1579" i="2"/>
  <c r="L1580" i="2"/>
  <c r="K1580" i="2" s="1"/>
  <c r="Z1580" i="2"/>
  <c r="AA1580" i="2" s="1"/>
  <c r="AB1580" i="2"/>
  <c r="AC1580" i="2"/>
  <c r="AD1580" i="2" s="1"/>
  <c r="Z1581" i="2"/>
  <c r="Z1582" i="2"/>
  <c r="Z1583" i="2"/>
  <c r="AC1583" i="2" s="1"/>
  <c r="AD1583" i="2" s="1"/>
  <c r="AA1583" i="2"/>
  <c r="L1584" i="2"/>
  <c r="K1584" i="2" s="1"/>
  <c r="Z1584" i="2"/>
  <c r="AB1584" i="2" s="1"/>
  <c r="AA1584" i="2"/>
  <c r="AC1584" i="2"/>
  <c r="AD1584" i="2" s="1"/>
  <c r="Z1585" i="2"/>
  <c r="Z1586" i="2"/>
  <c r="Z1587" i="2"/>
  <c r="AB1587" i="2"/>
  <c r="Z1588" i="2"/>
  <c r="L1588" i="2" s="1"/>
  <c r="K1588" i="2" s="1"/>
  <c r="AA1588" i="2"/>
  <c r="AB1588" i="2"/>
  <c r="AC1588" i="2"/>
  <c r="AD1588" i="2" s="1"/>
  <c r="Z1589" i="2"/>
  <c r="Z1590" i="2"/>
  <c r="AA1590" i="2" s="1"/>
  <c r="AB1590" i="2"/>
  <c r="Z1591" i="2"/>
  <c r="L1591" i="2" s="1"/>
  <c r="K1591" i="2" s="1"/>
  <c r="AC1591" i="2"/>
  <c r="AD1591" i="2" s="1"/>
  <c r="Z1592" i="2"/>
  <c r="AA1592" i="2"/>
  <c r="AB1592" i="2"/>
  <c r="Z1593" i="2"/>
  <c r="L1593" i="2" s="1"/>
  <c r="K1593" i="2" s="1"/>
  <c r="Z1594" i="2"/>
  <c r="AA1594" i="2" s="1"/>
  <c r="Z1595" i="2"/>
  <c r="AA1595" i="2"/>
  <c r="AB1595" i="2"/>
  <c r="Z1596" i="2"/>
  <c r="AA1596" i="2"/>
  <c r="AC1596" i="2"/>
  <c r="AD1596" i="2" s="1"/>
  <c r="Z1597" i="2"/>
  <c r="AB1597" i="2" s="1"/>
  <c r="Z1598" i="2"/>
  <c r="Z1599" i="2"/>
  <c r="AC1599" i="2" s="1"/>
  <c r="AD1599" i="2" s="1"/>
  <c r="AA1599" i="2"/>
  <c r="Z1600" i="2"/>
  <c r="Z1601" i="2"/>
  <c r="Z1602" i="2"/>
  <c r="Z1603" i="2"/>
  <c r="AC1603" i="2" s="1"/>
  <c r="AD1603" i="2" s="1"/>
  <c r="Z1604" i="2"/>
  <c r="AA1604" i="2"/>
  <c r="Z1605" i="2"/>
  <c r="AA1605" i="2" s="1"/>
  <c r="Z1606" i="2"/>
  <c r="AB1606" i="2" s="1"/>
  <c r="AA1606" i="2"/>
  <c r="Z1607" i="2"/>
  <c r="AA1607" i="2"/>
  <c r="Z1608" i="2"/>
  <c r="L1608" i="2" s="1"/>
  <c r="K1608" i="2" s="1"/>
  <c r="AA1608" i="2"/>
  <c r="AB1608" i="2"/>
  <c r="AC1608" i="2"/>
  <c r="AD1608" i="2" s="1"/>
  <c r="Z1609" i="2"/>
  <c r="Z1610" i="2"/>
  <c r="AC1610" i="2"/>
  <c r="AD1610" i="2" s="1"/>
  <c r="Z1611" i="2"/>
  <c r="Z1612" i="2"/>
  <c r="AA1612" i="2" s="1"/>
  <c r="L1613" i="2"/>
  <c r="K1613" i="2" s="1"/>
  <c r="Z1613" i="2"/>
  <c r="AA1613" i="2" s="1"/>
  <c r="Z1614" i="2"/>
  <c r="Z1615" i="2"/>
  <c r="Z1616" i="2"/>
  <c r="L1617" i="2"/>
  <c r="K1617" i="2" s="1"/>
  <c r="Z1617" i="2"/>
  <c r="AB1617" i="2" s="1"/>
  <c r="AA1617" i="2"/>
  <c r="AC1617" i="2"/>
  <c r="AD1617" i="2" s="1"/>
  <c r="Z1618" i="2"/>
  <c r="AA1618" i="2" s="1"/>
  <c r="Z1619" i="2"/>
  <c r="L1619" i="2" s="1"/>
  <c r="K1619" i="2" s="1"/>
  <c r="AA1619" i="2"/>
  <c r="AC1619" i="2"/>
  <c r="AD1619" i="2" s="1"/>
  <c r="Z1620" i="2"/>
  <c r="L1620" i="2" s="1"/>
  <c r="K1620" i="2" s="1"/>
  <c r="Z1621" i="2"/>
  <c r="Z1622" i="2"/>
  <c r="Z1623" i="2"/>
  <c r="Z1624" i="2"/>
  <c r="Z1625" i="2"/>
  <c r="L1625" i="2" s="1"/>
  <c r="K1625" i="2" s="1"/>
  <c r="Z1626" i="2"/>
  <c r="AC1626" i="2" s="1"/>
  <c r="AD1626" i="2" s="1"/>
  <c r="Z1627" i="2"/>
  <c r="Z1628" i="2"/>
  <c r="L1628" i="2" s="1"/>
  <c r="K1628" i="2" s="1"/>
  <c r="AB1628" i="2"/>
  <c r="Z1629" i="2"/>
  <c r="AA1629" i="2" s="1"/>
  <c r="Z1630" i="2"/>
  <c r="Z1631" i="2"/>
  <c r="AB1631" i="2" s="1"/>
  <c r="AC1631" i="2"/>
  <c r="AD1631" i="2" s="1"/>
  <c r="Z1632" i="2"/>
  <c r="AA1632" i="2" s="1"/>
  <c r="Z1633" i="2"/>
  <c r="Z1634" i="2"/>
  <c r="L1634" i="2" s="1"/>
  <c r="K1634" i="2" s="1"/>
  <c r="AC1634" i="2"/>
  <c r="AD1634" i="2" s="1"/>
  <c r="Z1635" i="2"/>
  <c r="Z1636" i="2"/>
  <c r="L1636" i="2" s="1"/>
  <c r="K1636" i="2" s="1"/>
  <c r="AC1636" i="2"/>
  <c r="AD1636" i="2" s="1"/>
  <c r="Z1637" i="2"/>
  <c r="Z1638" i="2"/>
  <c r="L1638" i="2" s="1"/>
  <c r="K1638" i="2" s="1"/>
  <c r="AA1638" i="2"/>
  <c r="K1639" i="2"/>
  <c r="Z1639" i="2"/>
  <c r="L1639" i="2" s="1"/>
  <c r="AC1639" i="2"/>
  <c r="AD1639" i="2" s="1"/>
  <c r="Z1640" i="2"/>
  <c r="AC1640" i="2" s="1"/>
  <c r="AD1640" i="2" s="1"/>
  <c r="AA1640" i="2"/>
  <c r="AB1640" i="2"/>
  <c r="Z1641" i="2"/>
  <c r="Z1642" i="2"/>
  <c r="L1642" i="2" s="1"/>
  <c r="K1642" i="2" s="1"/>
  <c r="AA1642" i="2"/>
  <c r="Z1643" i="2"/>
  <c r="AB1643" i="2" s="1"/>
  <c r="Z1644" i="2"/>
  <c r="AC1644" i="2" s="1"/>
  <c r="AD1644" i="2" s="1"/>
  <c r="AA1644" i="2"/>
  <c r="Z1645" i="2"/>
  <c r="Z1646" i="2"/>
  <c r="Z1647" i="2"/>
  <c r="Z1648" i="2"/>
  <c r="Z1649" i="2"/>
  <c r="Z1650" i="2"/>
  <c r="AA1650" i="2" s="1"/>
  <c r="Z1651" i="2"/>
  <c r="Z1652" i="2"/>
  <c r="Z1653" i="2"/>
  <c r="AC1653" i="2" s="1"/>
  <c r="AD1653" i="2" s="1"/>
  <c r="AB1653" i="2"/>
  <c r="Z1654" i="2"/>
  <c r="AB1654" i="2" s="1"/>
  <c r="AA1654" i="2"/>
  <c r="AC1654" i="2"/>
  <c r="AD1654" i="2" s="1"/>
  <c r="Z1655" i="2"/>
  <c r="AC1655" i="2"/>
  <c r="AD1655" i="2" s="1"/>
  <c r="L1656" i="2"/>
  <c r="K1656" i="2" s="1"/>
  <c r="Z1656" i="2"/>
  <c r="Z1657" i="2"/>
  <c r="AB1657" i="2" s="1"/>
  <c r="Z1658" i="2"/>
  <c r="Z1659" i="2"/>
  <c r="Z1660" i="2"/>
  <c r="L1660" i="2" s="1"/>
  <c r="K1660" i="2" s="1"/>
  <c r="AA1660" i="2"/>
  <c r="AB1660" i="2"/>
  <c r="Z1661" i="2"/>
  <c r="AA1661" i="2" s="1"/>
  <c r="L1662" i="2"/>
  <c r="K1662" i="2" s="1"/>
  <c r="Z1662" i="2"/>
  <c r="AA1662" i="2" s="1"/>
  <c r="AB1662" i="2"/>
  <c r="K1663" i="2"/>
  <c r="Z1663" i="2"/>
  <c r="L1663" i="2" s="1"/>
  <c r="AC1663" i="2"/>
  <c r="AD1663" i="2" s="1"/>
  <c r="Z1664" i="2"/>
  <c r="AC1664" i="2" s="1"/>
  <c r="AD1664" i="2" s="1"/>
  <c r="AA1664" i="2"/>
  <c r="Z1665" i="2"/>
  <c r="AB1665" i="2" s="1"/>
  <c r="Z1666" i="2"/>
  <c r="AA1666" i="2" s="1"/>
  <c r="Z1667" i="2"/>
  <c r="AA1667" i="2"/>
  <c r="Z1668" i="2"/>
  <c r="AB1668" i="2"/>
  <c r="Z1669" i="2"/>
  <c r="AA1669" i="2" s="1"/>
  <c r="Z1670" i="2"/>
  <c r="Z1671" i="2"/>
  <c r="Z1672" i="2"/>
  <c r="Z1673" i="2"/>
  <c r="Z1674" i="2"/>
  <c r="Z1675" i="2"/>
  <c r="AA1675" i="2" s="1"/>
  <c r="Z1676" i="2"/>
  <c r="AB1676" i="2" s="1"/>
  <c r="Z1677" i="2"/>
  <c r="AA1677" i="2" s="1"/>
  <c r="Z1678" i="2"/>
  <c r="AB1678" i="2" s="1"/>
  <c r="Z1679" i="2"/>
  <c r="AB1679" i="2" s="1"/>
  <c r="AA1679" i="2"/>
  <c r="Z1680" i="2"/>
  <c r="AB1680" i="2" s="1"/>
  <c r="Z1681" i="2"/>
  <c r="AA1681" i="2" s="1"/>
  <c r="Z1682" i="2"/>
  <c r="Z1683" i="2"/>
  <c r="Z1684" i="2"/>
  <c r="AA1684" i="2" s="1"/>
  <c r="Z1685" i="2"/>
  <c r="Z1686" i="2"/>
  <c r="Z1687" i="2"/>
  <c r="Z1688" i="2"/>
  <c r="Z1689" i="2"/>
  <c r="L1690" i="2"/>
  <c r="K1690" i="2" s="1"/>
  <c r="Z1690" i="2"/>
  <c r="AA1690" i="2"/>
  <c r="Z1691" i="2"/>
  <c r="AA1691" i="2"/>
  <c r="AC1691" i="2"/>
  <c r="AD1691" i="2" s="1"/>
  <c r="Z1692" i="2"/>
  <c r="Z1693" i="2"/>
  <c r="L1694" i="2"/>
  <c r="K1694" i="2" s="1"/>
  <c r="Z1694" i="2"/>
  <c r="AC1694" i="2" s="1"/>
  <c r="AD1694" i="2" s="1"/>
  <c r="AA1694" i="2"/>
  <c r="AB1694" i="2"/>
  <c r="Z1695" i="2"/>
  <c r="Z1696" i="2"/>
  <c r="Z1697" i="2"/>
  <c r="AA1697" i="2" s="1"/>
  <c r="Z1698" i="2"/>
  <c r="L1698" i="2" s="1"/>
  <c r="K1698" i="2" s="1"/>
  <c r="K1699" i="2"/>
  <c r="Z1699" i="2"/>
  <c r="L1699" i="2" s="1"/>
  <c r="AA1699" i="2"/>
  <c r="AB1699" i="2"/>
  <c r="AC1699" i="2"/>
  <c r="AD1699" i="2" s="1"/>
  <c r="Z1700" i="2"/>
  <c r="AC1700" i="2" s="1"/>
  <c r="AD1700" i="2" s="1"/>
  <c r="AB1700" i="2"/>
  <c r="Z1701" i="2"/>
  <c r="AB1701" i="2" s="1"/>
  <c r="Z1702" i="2"/>
  <c r="AC1702" i="2"/>
  <c r="AD1702" i="2" s="1"/>
  <c r="Z1703" i="2"/>
  <c r="AA1703" i="2" s="1"/>
  <c r="L1704" i="2"/>
  <c r="K1704" i="2" s="1"/>
  <c r="Z1704" i="2"/>
  <c r="AA1704" i="2"/>
  <c r="AB1704" i="2"/>
  <c r="AC1704" i="2"/>
  <c r="AD1704" i="2" s="1"/>
  <c r="Z1705" i="2"/>
  <c r="Z1706" i="2"/>
  <c r="AA1706" i="2" s="1"/>
  <c r="Z1707" i="2"/>
  <c r="AA1707" i="2" s="1"/>
  <c r="Z1708" i="2"/>
  <c r="L1708" i="2" s="1"/>
  <c r="K1708" i="2" s="1"/>
  <c r="AC1708" i="2"/>
  <c r="AD1708" i="2" s="1"/>
  <c r="L1709" i="2"/>
  <c r="K1709" i="2" s="1"/>
  <c r="Z1709" i="2"/>
  <c r="Z1710" i="2"/>
  <c r="AA1710" i="2" s="1"/>
  <c r="Z1711" i="2"/>
  <c r="AC1711" i="2" s="1"/>
  <c r="AD1711" i="2" s="1"/>
  <c r="L1712" i="2"/>
  <c r="K1712" i="2" s="1"/>
  <c r="Z1712" i="2"/>
  <c r="AB1712" i="2"/>
  <c r="Z1713" i="2"/>
  <c r="L1713" i="2" s="1"/>
  <c r="K1713" i="2" s="1"/>
  <c r="AC1713" i="2"/>
  <c r="AD1713" i="2"/>
  <c r="Z1714" i="2"/>
  <c r="L1714" i="2" s="1"/>
  <c r="K1714" i="2" s="1"/>
  <c r="Z1715" i="2"/>
  <c r="AA1715" i="2" s="1"/>
  <c r="Z1716" i="2"/>
  <c r="Z1717" i="2"/>
  <c r="AC1717" i="2"/>
  <c r="AD1717" i="2" s="1"/>
  <c r="Z1718" i="2"/>
  <c r="Z1719" i="2"/>
  <c r="Z1720" i="2"/>
  <c r="AA1720" i="2"/>
  <c r="Z1721" i="2"/>
  <c r="Z1722" i="2"/>
  <c r="AC1722" i="2" s="1"/>
  <c r="AD1722" i="2" s="1"/>
  <c r="Z1723" i="2"/>
  <c r="L1723" i="2" s="1"/>
  <c r="K1723" i="2" s="1"/>
  <c r="AB1723" i="2"/>
  <c r="Z1724" i="2"/>
  <c r="AB1724" i="2" s="1"/>
  <c r="AA1724" i="2"/>
  <c r="AC1724" i="2"/>
  <c r="AD1724" i="2" s="1"/>
  <c r="Z1725" i="2"/>
  <c r="Z1726" i="2"/>
  <c r="AC1726" i="2" s="1"/>
  <c r="AD1726" i="2" s="1"/>
  <c r="Z1727" i="2"/>
  <c r="AA1727" i="2" s="1"/>
  <c r="AC1727" i="2"/>
  <c r="AD1727" i="2" s="1"/>
  <c r="Z1728" i="2"/>
  <c r="Z1729" i="2"/>
  <c r="Z1730" i="2"/>
  <c r="AC1730" i="2" s="1"/>
  <c r="AD1730" i="2" s="1"/>
  <c r="AB1730" i="2"/>
  <c r="Z1731" i="2"/>
  <c r="AA1731" i="2" s="1"/>
  <c r="Z1732" i="2"/>
  <c r="Z1733" i="2"/>
  <c r="Z1734" i="2"/>
  <c r="Z1735" i="2"/>
  <c r="AC1735" i="2" s="1"/>
  <c r="AD1735" i="2" s="1"/>
  <c r="Z1736" i="2"/>
  <c r="Z1737" i="2"/>
  <c r="AA1737" i="2"/>
  <c r="Z1738" i="2"/>
  <c r="K1739" i="2"/>
  <c r="Z1739" i="2"/>
  <c r="L1739" i="2" s="1"/>
  <c r="AA1739" i="2"/>
  <c r="AB1739" i="2"/>
  <c r="L1740" i="2"/>
  <c r="K1740" i="2" s="1"/>
  <c r="Z1740" i="2"/>
  <c r="AA1740" i="2" s="1"/>
  <c r="AB1740" i="2"/>
  <c r="AC1740" i="2"/>
  <c r="AD1740" i="2" s="1"/>
  <c r="Z1741" i="2"/>
  <c r="AA1741" i="2" s="1"/>
  <c r="Z1742" i="2"/>
  <c r="Z1743" i="2"/>
  <c r="Z1744" i="2"/>
  <c r="Z1745" i="2"/>
  <c r="AA1745" i="2" s="1"/>
  <c r="AB1745" i="2"/>
  <c r="Z1746" i="2"/>
  <c r="AC1746" i="2" s="1"/>
  <c r="AD1746" i="2" s="1"/>
  <c r="Z1747" i="2"/>
  <c r="L1747" i="2" s="1"/>
  <c r="K1747" i="2" s="1"/>
  <c r="Z1748" i="2"/>
  <c r="AA1748" i="2"/>
  <c r="AB1748" i="2"/>
  <c r="Z1749" i="2"/>
  <c r="AC1749" i="2" s="1"/>
  <c r="AD1749" i="2" s="1"/>
  <c r="AA1749" i="2"/>
  <c r="Z1750" i="2"/>
  <c r="Z1751" i="2"/>
  <c r="AB1751" i="2" s="1"/>
  <c r="AA1751" i="2"/>
  <c r="AC1751" i="2"/>
  <c r="AD1751" i="2" s="1"/>
  <c r="Z1752" i="2"/>
  <c r="Z1753" i="2"/>
  <c r="AB1753" i="2" s="1"/>
  <c r="Z1754" i="2"/>
  <c r="AC1754" i="2"/>
  <c r="AD1754" i="2" s="1"/>
  <c r="Z1755" i="2"/>
  <c r="AA1755" i="2" s="1"/>
  <c r="Z1756" i="2"/>
  <c r="Z1757" i="2"/>
  <c r="L1757" i="2" s="1"/>
  <c r="K1757" i="2" s="1"/>
  <c r="Z1758" i="2"/>
  <c r="AA1758" i="2"/>
  <c r="AC1758" i="2"/>
  <c r="AD1758" i="2" s="1"/>
  <c r="Z1759" i="2"/>
  <c r="AC1759" i="2" s="1"/>
  <c r="AD1759" i="2" s="1"/>
  <c r="Z1760" i="2"/>
  <c r="Z1761" i="2"/>
  <c r="AA1761" i="2" s="1"/>
  <c r="Z1762" i="2"/>
  <c r="L1762" i="2" s="1"/>
  <c r="K1762" i="2" s="1"/>
  <c r="Z1763" i="2"/>
  <c r="AA1763" i="2"/>
  <c r="AB1763" i="2"/>
  <c r="Z1764" i="2"/>
  <c r="AA1764" i="2"/>
  <c r="Z1765" i="2"/>
  <c r="L1765" i="2" s="1"/>
  <c r="K1765" i="2" s="1"/>
  <c r="AC1765" i="2"/>
  <c r="AD1765" i="2" s="1"/>
  <c r="L1766" i="2"/>
  <c r="K1766" i="2" s="1"/>
  <c r="Z1766" i="2"/>
  <c r="Z1767" i="2"/>
  <c r="AC1767" i="2" s="1"/>
  <c r="AD1767" i="2" s="1"/>
  <c r="AA1767" i="2"/>
  <c r="Z1768" i="2"/>
  <c r="AA1768" i="2" s="1"/>
  <c r="Z1769" i="2"/>
  <c r="L1769" i="2" s="1"/>
  <c r="K1769" i="2" s="1"/>
  <c r="Z1770" i="2"/>
  <c r="AC1770" i="2" s="1"/>
  <c r="AD1770" i="2" s="1"/>
  <c r="Z1771" i="2"/>
  <c r="L1772" i="2"/>
  <c r="K1772" i="2" s="1"/>
  <c r="Z1772" i="2"/>
  <c r="AC1772" i="2" s="1"/>
  <c r="AD1772" i="2" s="1"/>
  <c r="AB1772" i="2"/>
  <c r="Z1773" i="2"/>
  <c r="L1773" i="2" s="1"/>
  <c r="K1773" i="2" s="1"/>
  <c r="Z1774" i="2"/>
  <c r="Z1775" i="2"/>
  <c r="AB1775" i="2" s="1"/>
  <c r="L1776" i="2"/>
  <c r="K1776" i="2" s="1"/>
  <c r="Z1776" i="2"/>
  <c r="AA1776" i="2"/>
  <c r="AB1776" i="2"/>
  <c r="AC1776" i="2"/>
  <c r="AD1776" i="2" s="1"/>
  <c r="Z1777" i="2"/>
  <c r="AC1777" i="2" s="1"/>
  <c r="AD1777" i="2" s="1"/>
  <c r="AA1777" i="2"/>
  <c r="AB1777" i="2"/>
  <c r="Z1778" i="2"/>
  <c r="Z1779" i="2"/>
  <c r="AA1779" i="2"/>
  <c r="Z1780" i="2"/>
  <c r="AC1780" i="2" s="1"/>
  <c r="AD1780" i="2" s="1"/>
  <c r="Z1781" i="2"/>
  <c r="Z1782" i="2"/>
  <c r="Z1783" i="2"/>
  <c r="AC1783" i="2" s="1"/>
  <c r="AD1783" i="2" s="1"/>
  <c r="Z1784" i="2"/>
  <c r="AA1784" i="2" s="1"/>
  <c r="Z1785" i="2"/>
  <c r="AA1785" i="2" s="1"/>
  <c r="Z1786" i="2"/>
  <c r="AA1786" i="2"/>
  <c r="Z1787" i="2"/>
  <c r="AA1787" i="2" s="1"/>
  <c r="Z1788" i="2"/>
  <c r="AB1788" i="2" s="1"/>
  <c r="Z1789" i="2"/>
  <c r="Z1790" i="2"/>
  <c r="AC1790" i="2" s="1"/>
  <c r="AD1790" i="2" s="1"/>
  <c r="AB1790" i="2"/>
  <c r="Z1791" i="2"/>
  <c r="Z1792" i="2"/>
  <c r="AA1792" i="2" s="1"/>
  <c r="Z1793" i="2"/>
  <c r="AA1793" i="2" s="1"/>
  <c r="AC1793" i="2"/>
  <c r="AD1793" i="2" s="1"/>
  <c r="Z1794" i="2"/>
  <c r="Z1795" i="2"/>
  <c r="L1796" i="2"/>
  <c r="K1796" i="2" s="1"/>
  <c r="Z1796" i="2"/>
  <c r="AB1796" i="2" s="1"/>
  <c r="AA1796" i="2"/>
  <c r="AC1796" i="2"/>
  <c r="AD1796" i="2" s="1"/>
  <c r="Z1797" i="2"/>
  <c r="AB1797" i="2" s="1"/>
  <c r="Z1798" i="2"/>
  <c r="Z1799" i="2"/>
  <c r="AB1799" i="2" s="1"/>
  <c r="AA1799" i="2"/>
  <c r="Z1800" i="2"/>
  <c r="L1800" i="2" s="1"/>
  <c r="K1800" i="2" s="1"/>
  <c r="AB1800" i="2"/>
  <c r="L1801" i="2"/>
  <c r="K1801" i="2" s="1"/>
  <c r="Z1801" i="2"/>
  <c r="AA1801" i="2" s="1"/>
  <c r="Z1802" i="2"/>
  <c r="L1802" i="2" s="1"/>
  <c r="K1802" i="2" s="1"/>
  <c r="AA1802" i="2"/>
  <c r="AC1802" i="2"/>
  <c r="AD1802" i="2" s="1"/>
  <c r="Z1803" i="2"/>
  <c r="AA1803" i="2" s="1"/>
  <c r="Z1804" i="2"/>
  <c r="AC1804" i="2" s="1"/>
  <c r="AD1804" i="2" s="1"/>
  <c r="Z1805" i="2"/>
  <c r="Z1806" i="2"/>
  <c r="Z1807" i="2"/>
  <c r="AC1807" i="2" s="1"/>
  <c r="AD1807" i="2" s="1"/>
  <c r="Z1808" i="2"/>
  <c r="Z1809" i="2"/>
  <c r="AA1809" i="2" s="1"/>
  <c r="Z1810" i="2"/>
  <c r="L1810" i="2" s="1"/>
  <c r="K1810" i="2" s="1"/>
  <c r="AA1810" i="2"/>
  <c r="Z1811" i="2"/>
  <c r="AB1811" i="2" s="1"/>
  <c r="Z1812" i="2"/>
  <c r="L1813" i="2"/>
  <c r="K1813" i="2" s="1"/>
  <c r="Z1813" i="2"/>
  <c r="AA1813" i="2" s="1"/>
  <c r="AB1813" i="2"/>
  <c r="AC1813" i="2"/>
  <c r="AD1813" i="2" s="1"/>
  <c r="Z1814" i="2"/>
  <c r="Z1815" i="2"/>
  <c r="AB1815" i="2" s="1"/>
  <c r="Z1816" i="2"/>
  <c r="AA1816" i="2" s="1"/>
  <c r="Z1817" i="2"/>
  <c r="Z1818" i="2"/>
  <c r="Z1819" i="2"/>
  <c r="Z1820" i="2"/>
  <c r="L1820" i="2" s="1"/>
  <c r="K1820" i="2" s="1"/>
  <c r="AA1820" i="2"/>
  <c r="AC1820" i="2"/>
  <c r="AD1820" i="2" s="1"/>
  <c r="Z1821" i="2"/>
  <c r="AA1821" i="2" s="1"/>
  <c r="Z1822" i="2"/>
  <c r="Z1823" i="2"/>
  <c r="L1824" i="2"/>
  <c r="K1824" i="2" s="1"/>
  <c r="Z1824" i="2"/>
  <c r="Z1825" i="2"/>
  <c r="Z1826" i="2"/>
  <c r="Z1827" i="2"/>
  <c r="AA1827" i="2" s="1"/>
  <c r="Z1828" i="2"/>
  <c r="Z1829" i="2"/>
  <c r="L1830" i="2"/>
  <c r="K1830" i="2" s="1"/>
  <c r="Z1830" i="2"/>
  <c r="AC1830" i="2" s="1"/>
  <c r="AD1830" i="2" s="1"/>
  <c r="Z1831" i="2"/>
  <c r="AC1831" i="2" s="1"/>
  <c r="AD1831" i="2" s="1"/>
  <c r="Z1832" i="2"/>
  <c r="Z1833" i="2"/>
  <c r="AB1833" i="2" s="1"/>
  <c r="Z1834" i="2"/>
  <c r="AA1834" i="2" s="1"/>
  <c r="Z1835" i="2"/>
  <c r="AA1835" i="2" s="1"/>
  <c r="L1836" i="2"/>
  <c r="K1836" i="2" s="1"/>
  <c r="Z1836" i="2"/>
  <c r="AB1836" i="2" s="1"/>
  <c r="AA1836" i="2"/>
  <c r="AC1836" i="2"/>
  <c r="AD1836" i="2" s="1"/>
  <c r="Z1837" i="2"/>
  <c r="L1838" i="2"/>
  <c r="K1838" i="2" s="1"/>
  <c r="Z1838" i="2"/>
  <c r="AC1838" i="2" s="1"/>
  <c r="AD1838" i="2" s="1"/>
  <c r="AA1838" i="2"/>
  <c r="AB1838" i="2"/>
  <c r="Z1839" i="2"/>
  <c r="Z1840" i="2"/>
  <c r="Z1841" i="2"/>
  <c r="AB1841" i="2" s="1"/>
  <c r="Z1842" i="2"/>
  <c r="AC1842" i="2" s="1"/>
  <c r="AD1842" i="2" s="1"/>
  <c r="Z1843" i="2"/>
  <c r="L1843" i="2" s="1"/>
  <c r="K1843" i="2" s="1"/>
  <c r="AA1843" i="2"/>
  <c r="AC1843" i="2"/>
  <c r="AD1843" i="2" s="1"/>
  <c r="Z1844" i="2"/>
  <c r="Z1845" i="2"/>
  <c r="AB1845" i="2" s="1"/>
  <c r="AA1845" i="2"/>
  <c r="Z1846" i="2"/>
  <c r="AC1846" i="2"/>
  <c r="AD1846" i="2" s="1"/>
  <c r="L1847" i="2"/>
  <c r="K1847" i="2" s="1"/>
  <c r="Z1847" i="2"/>
  <c r="AB1847" i="2" s="1"/>
  <c r="AA1847" i="2"/>
  <c r="AC1847" i="2"/>
  <c r="AD1847" i="2" s="1"/>
  <c r="L1848" i="2"/>
  <c r="K1848" i="2" s="1"/>
  <c r="Z1848" i="2"/>
  <c r="AC1848" i="2" s="1"/>
  <c r="AA1848" i="2"/>
  <c r="AB1848" i="2"/>
  <c r="AD1848" i="2"/>
  <c r="L1849" i="2"/>
  <c r="K1849" i="2" s="1"/>
  <c r="Z1849" i="2"/>
  <c r="AC1849" i="2" s="1"/>
  <c r="AD1849" i="2" s="1"/>
  <c r="AA1849" i="2"/>
  <c r="Z1850" i="2"/>
  <c r="Z1851" i="2"/>
  <c r="AA1851" i="2" s="1"/>
  <c r="Z1852" i="2"/>
  <c r="Z1853" i="2"/>
  <c r="Z1854" i="2"/>
  <c r="AA1854" i="2" s="1"/>
  <c r="Z1855" i="2"/>
  <c r="Z1856" i="2"/>
  <c r="Z1857" i="2"/>
  <c r="AA1857" i="2" s="1"/>
  <c r="Z1858" i="2"/>
  <c r="Z1859" i="2"/>
  <c r="AB1859" i="2" s="1"/>
  <c r="Z1860" i="2"/>
  <c r="AA1860" i="2" s="1"/>
  <c r="Z1861" i="2"/>
  <c r="AC1861" i="2" s="1"/>
  <c r="AD1861" i="2" s="1"/>
  <c r="Z1862" i="2"/>
  <c r="L1863" i="2"/>
  <c r="K1863" i="2" s="1"/>
  <c r="Z1863" i="2"/>
  <c r="AA1863" i="2"/>
  <c r="Z1864" i="2"/>
  <c r="Z1865" i="2"/>
  <c r="Z1866" i="2"/>
  <c r="AC1866" i="2" s="1"/>
  <c r="AD1866" i="2" s="1"/>
  <c r="AA1866" i="2"/>
  <c r="AB1866" i="2"/>
  <c r="Z1867" i="2"/>
  <c r="L1867" i="2" s="1"/>
  <c r="K1867" i="2" s="1"/>
  <c r="AB1867" i="2"/>
  <c r="Z1868" i="2"/>
  <c r="Z1869" i="2"/>
  <c r="Z1870" i="2"/>
  <c r="AA1870" i="2" s="1"/>
  <c r="Z1871" i="2"/>
  <c r="Z1872" i="2"/>
  <c r="L1872" i="2" s="1"/>
  <c r="K1872" i="2" s="1"/>
  <c r="AA1872" i="2"/>
  <c r="AB1872" i="2"/>
  <c r="AC1872" i="2"/>
  <c r="AD1872" i="2" s="1"/>
  <c r="Z1873" i="2"/>
  <c r="Z1874" i="2"/>
  <c r="Z1875" i="2"/>
  <c r="AC1875" i="2" s="1"/>
  <c r="AD1875" i="2" s="1"/>
  <c r="AA1875" i="2"/>
  <c r="AB1875" i="2"/>
  <c r="Z1876" i="2"/>
  <c r="AA1876" i="2" s="1"/>
  <c r="Z1877" i="2"/>
  <c r="AC1877" i="2"/>
  <c r="AD1877" i="2" s="1"/>
  <c r="Z1878" i="2"/>
  <c r="Z1879" i="2"/>
  <c r="L1879" i="2" s="1"/>
  <c r="K1879" i="2" s="1"/>
  <c r="AA1879" i="2"/>
  <c r="AC1879" i="2"/>
  <c r="AD1879" i="2" s="1"/>
  <c r="Z1880" i="2"/>
  <c r="L1880" i="2" s="1"/>
  <c r="K1880" i="2" s="1"/>
  <c r="Z1881" i="2"/>
  <c r="Z1882" i="2"/>
  <c r="Z1883" i="2"/>
  <c r="L1884" i="2"/>
  <c r="K1884" i="2" s="1"/>
  <c r="Z1884" i="2"/>
  <c r="Z1885" i="2"/>
  <c r="Z1886" i="2"/>
  <c r="AB1886" i="2" s="1"/>
  <c r="Z1887" i="2"/>
  <c r="AC1887" i="2" s="1"/>
  <c r="AD1887" i="2" s="1"/>
  <c r="AA1887" i="2"/>
  <c r="Z1888" i="2"/>
  <c r="AB1888" i="2" s="1"/>
  <c r="AC1888" i="2"/>
  <c r="AD1888" i="2" s="1"/>
  <c r="L1889" i="2"/>
  <c r="K1889" i="2" s="1"/>
  <c r="Z1889" i="2"/>
  <c r="Z1890" i="2"/>
  <c r="Z1891" i="2"/>
  <c r="L1891" i="2" s="1"/>
  <c r="K1891" i="2" s="1"/>
  <c r="AA1891" i="2"/>
  <c r="AC1891" i="2"/>
  <c r="AD1891" i="2" s="1"/>
  <c r="Z1892" i="2"/>
  <c r="Z1893" i="2"/>
  <c r="AC1893" i="2"/>
  <c r="AD1893" i="2" s="1"/>
  <c r="Z1894" i="2"/>
  <c r="AA1894" i="2" s="1"/>
  <c r="Z1895" i="2"/>
  <c r="K1896" i="2"/>
  <c r="Z1896" i="2"/>
  <c r="L1896" i="2" s="1"/>
  <c r="Z1897" i="2"/>
  <c r="L1897" i="2" s="1"/>
  <c r="K1897" i="2" s="1"/>
  <c r="Z1898" i="2"/>
  <c r="Z1899" i="2"/>
  <c r="AC1899" i="2" s="1"/>
  <c r="AD1899" i="2" s="1"/>
  <c r="AA1899" i="2"/>
  <c r="Z1900" i="2"/>
  <c r="Z1901" i="2"/>
  <c r="L1901" i="2" s="1"/>
  <c r="K1901" i="2" s="1"/>
  <c r="AC1901" i="2"/>
  <c r="AD1901" i="2" s="1"/>
  <c r="Z1902" i="2"/>
  <c r="Z1903" i="2"/>
  <c r="AA1903" i="2" s="1"/>
  <c r="Z1904" i="2"/>
  <c r="Z1905" i="2"/>
  <c r="AB1905" i="2" s="1"/>
  <c r="Z1906" i="2"/>
  <c r="AA1906" i="2"/>
  <c r="Z1907" i="2"/>
  <c r="AC1907" i="2" s="1"/>
  <c r="AD1907" i="2" s="1"/>
  <c r="Z1908" i="2"/>
  <c r="L1908" i="2" s="1"/>
  <c r="K1908" i="2" s="1"/>
  <c r="AA1908" i="2"/>
  <c r="AC1908" i="2"/>
  <c r="AD1908" i="2" s="1"/>
  <c r="Z1909" i="2"/>
  <c r="AB1909" i="2" s="1"/>
  <c r="AA1909" i="2"/>
  <c r="AC1909" i="2"/>
  <c r="AD1909" i="2" s="1"/>
  <c r="Z1910" i="2"/>
  <c r="AA1910" i="2" s="1"/>
  <c r="Z1911" i="2"/>
  <c r="AB1911" i="2" s="1"/>
  <c r="Z1912" i="2"/>
  <c r="L1912" i="2" s="1"/>
  <c r="K1912" i="2" s="1"/>
  <c r="AB1912" i="2"/>
  <c r="AC1912" i="2"/>
  <c r="AD1912" i="2" s="1"/>
  <c r="Z1913" i="2"/>
  <c r="Z1914" i="2"/>
  <c r="AC1914" i="2" s="1"/>
  <c r="AD1914" i="2" s="1"/>
  <c r="Z1915" i="2"/>
  <c r="AB1915" i="2" s="1"/>
  <c r="L1916" i="2"/>
  <c r="K1916" i="2" s="1"/>
  <c r="Z1916" i="2"/>
  <c r="AA1916" i="2" s="1"/>
  <c r="AB1916" i="2"/>
  <c r="AC1916" i="2"/>
  <c r="AD1916" i="2" s="1"/>
  <c r="Z1917" i="2"/>
  <c r="Z1918" i="2"/>
  <c r="AA1918" i="2" s="1"/>
  <c r="Z1919" i="2"/>
  <c r="AB1919" i="2"/>
  <c r="Z1920" i="2"/>
  <c r="AB1920" i="2" s="1"/>
  <c r="L1921" i="2"/>
  <c r="K1921" i="2" s="1"/>
  <c r="Z1921" i="2"/>
  <c r="AC1921" i="2" s="1"/>
  <c r="AD1921" i="2" s="1"/>
  <c r="Z1922" i="2"/>
  <c r="AC1922" i="2" s="1"/>
  <c r="AD1922" i="2" s="1"/>
  <c r="Z1923" i="2"/>
  <c r="AC1923" i="2" s="1"/>
  <c r="AD1923" i="2" s="1"/>
  <c r="AA1923" i="2"/>
  <c r="AB1923" i="2"/>
  <c r="Z1924" i="2"/>
  <c r="Z1925" i="2"/>
  <c r="AC1925" i="2" s="1"/>
  <c r="AD1925" i="2" s="1"/>
  <c r="Z1926" i="2"/>
  <c r="Z1927" i="2"/>
  <c r="L1927" i="2" s="1"/>
  <c r="K1927" i="2" s="1"/>
  <c r="AA1927" i="2"/>
  <c r="AB1927" i="2"/>
  <c r="AC1927" i="2"/>
  <c r="AD1927" i="2" s="1"/>
  <c r="Z1928" i="2"/>
  <c r="Z1929" i="2"/>
  <c r="AC1929" i="2"/>
  <c r="AD1929" i="2" s="1"/>
  <c r="Z1930" i="2"/>
  <c r="AA1930" i="2" s="1"/>
  <c r="Z1931" i="2"/>
  <c r="K1932" i="2"/>
  <c r="L1932" i="2"/>
  <c r="Z1932" i="2"/>
  <c r="AD1932" i="2"/>
  <c r="K1933" i="2"/>
  <c r="L1933" i="2"/>
  <c r="Z1933" i="2"/>
  <c r="AD1933" i="2"/>
  <c r="K1934" i="2"/>
  <c r="L1934" i="2"/>
  <c r="Z1934" i="2"/>
  <c r="AC1934" i="2" s="1"/>
  <c r="AA1934" i="2"/>
  <c r="AB1934" i="2"/>
  <c r="AD1934" i="2"/>
  <c r="K1935" i="2"/>
  <c r="L1935" i="2"/>
  <c r="Z1935" i="2"/>
  <c r="AD1935" i="2"/>
  <c r="K1936" i="2"/>
  <c r="L1936" i="2"/>
  <c r="Z1936" i="2"/>
  <c r="AA1936" i="2" s="1"/>
  <c r="AD1936" i="2"/>
  <c r="K1937" i="2"/>
  <c r="L1937" i="2"/>
  <c r="Z1937" i="2"/>
  <c r="AC1937" i="2" s="1"/>
  <c r="AD1937" i="2"/>
  <c r="K1938" i="2"/>
  <c r="L1938" i="2"/>
  <c r="Z1938" i="2"/>
  <c r="AA1938" i="2" s="1"/>
  <c r="AD1938" i="2"/>
  <c r="K1939" i="2"/>
  <c r="L1939" i="2"/>
  <c r="Z1939" i="2"/>
  <c r="AD1939" i="2"/>
  <c r="K1940" i="2"/>
  <c r="L1940" i="2"/>
  <c r="Z1940" i="2"/>
  <c r="AD1940" i="2"/>
  <c r="K1941" i="2"/>
  <c r="L1941" i="2"/>
  <c r="Z1941" i="2"/>
  <c r="AB1941" i="2"/>
  <c r="AD1941" i="2"/>
  <c r="K1942" i="2"/>
  <c r="L1942" i="2"/>
  <c r="Z1942" i="2"/>
  <c r="AA1942" i="2" s="1"/>
  <c r="AD1942" i="2"/>
  <c r="K1943" i="2"/>
  <c r="L1943" i="2"/>
  <c r="Z1943" i="2"/>
  <c r="AB1943" i="2" s="1"/>
  <c r="AD1943" i="2"/>
  <c r="K1944" i="2"/>
  <c r="L1944" i="2"/>
  <c r="Z1944" i="2"/>
  <c r="AA1944" i="2" s="1"/>
  <c r="AB1944" i="2"/>
  <c r="AD1944" i="2"/>
  <c r="K1945" i="2"/>
  <c r="L1945" i="2"/>
  <c r="Z1945" i="2"/>
  <c r="AD1945" i="2"/>
  <c r="K1946" i="2"/>
  <c r="L1946" i="2"/>
  <c r="Z1946" i="2"/>
  <c r="AB1946" i="2"/>
  <c r="AD1946" i="2"/>
  <c r="K1947" i="2"/>
  <c r="L1947" i="2"/>
  <c r="Z1947" i="2"/>
  <c r="AD1947" i="2"/>
  <c r="K1948" i="2"/>
  <c r="L1948" i="2"/>
  <c r="Z1948" i="2"/>
  <c r="AD1948" i="2"/>
  <c r="K1949" i="2"/>
  <c r="L1949" i="2"/>
  <c r="Z1949" i="2"/>
  <c r="AC1949" i="2" s="1"/>
  <c r="AD1949" i="2"/>
  <c r="K1950" i="2"/>
  <c r="L1950" i="2"/>
  <c r="Z1950" i="2"/>
  <c r="AC1950" i="2" s="1"/>
  <c r="AA1950" i="2"/>
  <c r="AD1950" i="2"/>
  <c r="K1951" i="2"/>
  <c r="L1951" i="2"/>
  <c r="Z1951" i="2"/>
  <c r="AB1951" i="2" s="1"/>
  <c r="AA1951" i="2"/>
  <c r="AC1951" i="2"/>
  <c r="AD1951" i="2"/>
  <c r="K1952" i="2"/>
  <c r="L1952" i="2"/>
  <c r="Z1952" i="2"/>
  <c r="AC1952" i="2"/>
  <c r="AD1952" i="2"/>
  <c r="K1953" i="2"/>
  <c r="L1953" i="2"/>
  <c r="Z1953" i="2"/>
  <c r="AC1953" i="2" s="1"/>
  <c r="AA1953" i="2"/>
  <c r="AD1953" i="2"/>
  <c r="K1954" i="2"/>
  <c r="L1954" i="2"/>
  <c r="Z1954" i="2"/>
  <c r="AA1954" i="2" s="1"/>
  <c r="AD1954" i="2"/>
  <c r="K1955" i="2"/>
  <c r="L1955" i="2"/>
  <c r="Z1955" i="2"/>
  <c r="AB1955" i="2"/>
  <c r="AD1955" i="2"/>
  <c r="K1956" i="2"/>
  <c r="L1956" i="2"/>
  <c r="Z1956" i="2"/>
  <c r="AC1956" i="2" s="1"/>
  <c r="AA1956" i="2"/>
  <c r="AB1956" i="2"/>
  <c r="AD1956" i="2"/>
  <c r="K1957" i="2"/>
  <c r="L1957" i="2"/>
  <c r="Z1957" i="2"/>
  <c r="AD1957" i="2"/>
  <c r="K1958" i="2"/>
  <c r="L1958" i="2"/>
  <c r="Z1958" i="2"/>
  <c r="AA1958" i="2" s="1"/>
  <c r="AD1958" i="2"/>
  <c r="K1959" i="2"/>
  <c r="L1959" i="2"/>
  <c r="Z1959" i="2"/>
  <c r="AD1959" i="2"/>
  <c r="K1960" i="2"/>
  <c r="L1960" i="2"/>
  <c r="Z1960" i="2"/>
  <c r="AD1960" i="2"/>
  <c r="K1961" i="2"/>
  <c r="L1961" i="2"/>
  <c r="Z1961" i="2"/>
  <c r="AC1961" i="2"/>
  <c r="AD1961" i="2"/>
  <c r="K1962" i="2"/>
  <c r="L1962" i="2"/>
  <c r="Z1962" i="2"/>
  <c r="AD1962" i="2"/>
  <c r="K1963" i="2"/>
  <c r="L1963" i="2"/>
  <c r="Z1963" i="2"/>
  <c r="AB1963" i="2" s="1"/>
  <c r="AA1963" i="2"/>
  <c r="AC1963" i="2"/>
  <c r="AD1963" i="2"/>
  <c r="K1964" i="2"/>
  <c r="L1964" i="2"/>
  <c r="Z1964" i="2"/>
  <c r="AA1964" i="2" s="1"/>
  <c r="AD1964" i="2"/>
  <c r="K1965" i="2"/>
  <c r="L1965" i="2"/>
  <c r="Z1965" i="2"/>
  <c r="AA1965" i="2"/>
  <c r="AD1965" i="2"/>
  <c r="K1966" i="2"/>
  <c r="L1966" i="2"/>
  <c r="Z1966" i="2"/>
  <c r="AA1966" i="2" s="1"/>
  <c r="AD1966" i="2"/>
  <c r="K1967" i="2"/>
  <c r="L1967" i="2"/>
  <c r="Z1967" i="2"/>
  <c r="AC1967" i="2" s="1"/>
  <c r="AA1967" i="2"/>
  <c r="AD1967" i="2"/>
  <c r="K1968" i="2"/>
  <c r="L1968" i="2"/>
  <c r="Z1968" i="2"/>
  <c r="AB1968" i="2" s="1"/>
  <c r="AD1968" i="2"/>
  <c r="K1969" i="2"/>
  <c r="L1969" i="2"/>
  <c r="Z1969" i="2"/>
  <c r="AC1969" i="2" s="1"/>
  <c r="AD1969" i="2"/>
  <c r="K1970" i="2"/>
  <c r="L1970" i="2"/>
  <c r="Z1970" i="2"/>
  <c r="AD1970" i="2"/>
  <c r="K1971" i="2"/>
  <c r="L1971" i="2"/>
  <c r="Z1971" i="2"/>
  <c r="AC1971" i="2" s="1"/>
  <c r="AD1971" i="2"/>
  <c r="K1972" i="2"/>
  <c r="L1972" i="2"/>
  <c r="Z1972" i="2"/>
  <c r="AD1972" i="2"/>
  <c r="K1973" i="2"/>
  <c r="L1973" i="2"/>
  <c r="Z1973" i="2"/>
  <c r="AC1973" i="2" s="1"/>
  <c r="AD1973" i="2"/>
  <c r="K1974" i="2"/>
  <c r="L1974" i="2"/>
  <c r="Z1974" i="2"/>
  <c r="AA1974" i="2" s="1"/>
  <c r="AD1974" i="2"/>
  <c r="K1975" i="2"/>
  <c r="L1975" i="2"/>
  <c r="Z1975" i="2"/>
  <c r="AA1975" i="2" s="1"/>
  <c r="AB1975" i="2"/>
  <c r="AC1975" i="2"/>
  <c r="AD1975" i="2"/>
  <c r="K1976" i="2"/>
  <c r="L1976" i="2"/>
  <c r="Z1976" i="2"/>
  <c r="AD1976" i="2"/>
  <c r="K1977" i="2"/>
  <c r="L1977" i="2"/>
  <c r="Z1977" i="2"/>
  <c r="AD1977" i="2"/>
  <c r="K1978" i="2"/>
  <c r="L1978" i="2"/>
  <c r="Z1978" i="2"/>
  <c r="AA1978" i="2" s="1"/>
  <c r="AD1978" i="2"/>
  <c r="K1979" i="2"/>
  <c r="L1979" i="2"/>
  <c r="Z1979" i="2"/>
  <c r="AD1979" i="2"/>
  <c r="K1980" i="2"/>
  <c r="L1980" i="2"/>
  <c r="Z1980" i="2"/>
  <c r="AB1980" i="2" s="1"/>
  <c r="AC1980" i="2"/>
  <c r="AD1980" i="2"/>
  <c r="K1981" i="2"/>
  <c r="L1981" i="2"/>
  <c r="Z1981" i="2"/>
  <c r="AC1981" i="2" s="1"/>
  <c r="AD1981" i="2"/>
  <c r="K1982" i="2"/>
  <c r="L1982" i="2"/>
  <c r="Z1982" i="2"/>
  <c r="AB1982" i="2" s="1"/>
  <c r="AD1982" i="2"/>
  <c r="K1983" i="2"/>
  <c r="L1983" i="2"/>
  <c r="Z1983" i="2"/>
  <c r="AA1983" i="2"/>
  <c r="AD1983" i="2"/>
  <c r="K1984" i="2"/>
  <c r="L1984" i="2"/>
  <c r="Z1984" i="2"/>
  <c r="AC1984" i="2" s="1"/>
  <c r="AD1984" i="2"/>
  <c r="K1985" i="2"/>
  <c r="L1985" i="2"/>
  <c r="Z1985" i="2"/>
  <c r="AD1985" i="2"/>
  <c r="K1986" i="2"/>
  <c r="L1986" i="2"/>
  <c r="Z1986" i="2"/>
  <c r="AD1986" i="2"/>
  <c r="K1987" i="2"/>
  <c r="L1987" i="2"/>
  <c r="Z1987" i="2"/>
  <c r="AA1987" i="2" s="1"/>
  <c r="AD1987" i="2"/>
  <c r="K1988" i="2"/>
  <c r="L1988" i="2"/>
  <c r="Z1988" i="2"/>
  <c r="AC1988" i="2" s="1"/>
  <c r="AD1988" i="2"/>
  <c r="K1989" i="2"/>
  <c r="L1989" i="2"/>
  <c r="Z1989" i="2"/>
  <c r="AC1989" i="2" s="1"/>
  <c r="AA1989" i="2"/>
  <c r="AD1989" i="2"/>
  <c r="K1990" i="2"/>
  <c r="L1990" i="2"/>
  <c r="Z1990" i="2"/>
  <c r="AA1990" i="2" s="1"/>
  <c r="AD1990" i="2"/>
  <c r="K1991" i="2"/>
  <c r="L1991" i="2"/>
  <c r="Z1991" i="2"/>
  <c r="AD1991" i="2"/>
  <c r="K1992" i="2"/>
  <c r="L1992" i="2"/>
  <c r="Z1992" i="2"/>
  <c r="AB1992" i="2" s="1"/>
  <c r="AD1992" i="2"/>
  <c r="K1993" i="2"/>
  <c r="L1993" i="2"/>
  <c r="Z1993" i="2"/>
  <c r="AD1993" i="2"/>
  <c r="K1994" i="2"/>
  <c r="L1994" i="2"/>
  <c r="Z1994" i="2"/>
  <c r="AB1994" i="2" s="1"/>
  <c r="AD1994" i="2"/>
  <c r="K1995" i="2"/>
  <c r="L1995" i="2"/>
  <c r="Z1995" i="2"/>
  <c r="AB1995" i="2" s="1"/>
  <c r="AD1995" i="2"/>
  <c r="K1996" i="2"/>
  <c r="L1996" i="2"/>
  <c r="Z1996" i="2"/>
  <c r="AC1996" i="2"/>
  <c r="AD1996" i="2"/>
  <c r="K1997" i="2"/>
  <c r="L1997" i="2"/>
  <c r="Z1997" i="2"/>
  <c r="AC1997" i="2" s="1"/>
  <c r="AD1997" i="2"/>
  <c r="K1998" i="2"/>
  <c r="L1998" i="2"/>
  <c r="Z1998" i="2"/>
  <c r="AA1998" i="2" s="1"/>
  <c r="AD1998" i="2"/>
  <c r="K1999" i="2"/>
  <c r="L1999" i="2"/>
  <c r="Z1999" i="2"/>
  <c r="AB1999" i="2" s="1"/>
  <c r="AD1999" i="2"/>
  <c r="K2000" i="2"/>
  <c r="L2000" i="2"/>
  <c r="Z2000" i="2"/>
  <c r="AB2000" i="2" s="1"/>
  <c r="AD2000" i="2"/>
  <c r="K2001" i="2"/>
  <c r="L2001" i="2"/>
  <c r="Z2001" i="2"/>
  <c r="AA2001" i="2" s="1"/>
  <c r="AD2001" i="2"/>
  <c r="K2002" i="2"/>
  <c r="L2002" i="2"/>
  <c r="Z2002" i="2"/>
  <c r="AA2002" i="2" s="1"/>
  <c r="AD2002" i="2"/>
  <c r="K2003" i="2"/>
  <c r="L2003" i="2"/>
  <c r="Z2003" i="2"/>
  <c r="AB2003" i="2"/>
  <c r="AD2003" i="2"/>
  <c r="K2004" i="2"/>
  <c r="L2004" i="2"/>
  <c r="Z2004" i="2"/>
  <c r="AB2004" i="2" s="1"/>
  <c r="AC2004" i="2"/>
  <c r="AD2004" i="2"/>
  <c r="K2005" i="2"/>
  <c r="L2005" i="2"/>
  <c r="Z2005" i="2"/>
  <c r="AC2005" i="2"/>
  <c r="AD2005" i="2"/>
  <c r="K2006" i="2"/>
  <c r="L2006" i="2"/>
  <c r="Z2006" i="2"/>
  <c r="AC2006" i="2" s="1"/>
  <c r="AA2006" i="2"/>
  <c r="AD2006" i="2"/>
  <c r="K2007" i="2"/>
  <c r="L2007" i="2"/>
  <c r="Z2007" i="2"/>
  <c r="AD2007" i="2"/>
  <c r="K2008" i="2"/>
  <c r="L2008" i="2"/>
  <c r="Z2008" i="2"/>
  <c r="AA2008" i="2" s="1"/>
  <c r="AD2008" i="2"/>
  <c r="K2009" i="2"/>
  <c r="L2009" i="2"/>
  <c r="Z2009" i="2"/>
  <c r="AD2009" i="2"/>
  <c r="K2010" i="2"/>
  <c r="L2010" i="2"/>
  <c r="Z2010" i="2"/>
  <c r="AA2010" i="2" s="1"/>
  <c r="AD2010" i="2"/>
  <c r="K2011" i="2"/>
  <c r="L2011" i="2"/>
  <c r="Z2011" i="2"/>
  <c r="AC2011" i="2" s="1"/>
  <c r="AD2011" i="2"/>
  <c r="K2012" i="2"/>
  <c r="L2012" i="2"/>
  <c r="Z2012" i="2"/>
  <c r="AD2012" i="2"/>
  <c r="K2013" i="2"/>
  <c r="L2013" i="2"/>
  <c r="Z2013" i="2"/>
  <c r="AA2013" i="2"/>
  <c r="AD2013" i="2"/>
  <c r="K2014" i="2"/>
  <c r="L2014" i="2"/>
  <c r="Z2014" i="2"/>
  <c r="AA2014" i="2" s="1"/>
  <c r="AD2014" i="2"/>
  <c r="K2015" i="2"/>
  <c r="L2015" i="2"/>
  <c r="Z2015" i="2"/>
  <c r="AA2015" i="2" s="1"/>
  <c r="AD2015" i="2"/>
  <c r="K2016" i="2"/>
  <c r="L2016" i="2"/>
  <c r="Z2016" i="2"/>
  <c r="AA2016" i="2"/>
  <c r="AD2016" i="2"/>
  <c r="K2017" i="2"/>
  <c r="L2017" i="2"/>
  <c r="Z2017" i="2"/>
  <c r="AA2017" i="2" s="1"/>
  <c r="AD2017" i="2"/>
  <c r="K2018" i="2"/>
  <c r="L2018" i="2"/>
  <c r="Z2018" i="2"/>
  <c r="AC2018" i="2" s="1"/>
  <c r="AA2018" i="2"/>
  <c r="AD2018" i="2"/>
  <c r="K2019" i="2"/>
  <c r="L2019" i="2"/>
  <c r="Z2019" i="2"/>
  <c r="AB2019" i="2" s="1"/>
  <c r="AD2019" i="2"/>
  <c r="K2020" i="2"/>
  <c r="L2020" i="2"/>
  <c r="Z2020" i="2"/>
  <c r="AA2020" i="2"/>
  <c r="AD2020" i="2"/>
  <c r="K2021" i="2"/>
  <c r="L2021" i="2"/>
  <c r="Z2021" i="2"/>
  <c r="AD2021" i="2"/>
  <c r="K2022" i="2"/>
  <c r="L2022" i="2"/>
  <c r="Z2022" i="2"/>
  <c r="AC2022" i="2" s="1"/>
  <c r="AD2022" i="2"/>
  <c r="K2023" i="2"/>
  <c r="L2023" i="2"/>
  <c r="Z2023" i="2"/>
  <c r="AB2023" i="2" s="1"/>
  <c r="AD2023" i="2"/>
  <c r="K2024" i="2"/>
  <c r="L2024" i="2"/>
  <c r="Z2024" i="2"/>
  <c r="AD2024" i="2"/>
  <c r="K2025" i="2"/>
  <c r="L2025" i="2"/>
  <c r="Z2025" i="2"/>
  <c r="AD2025" i="2"/>
  <c r="K2026" i="2"/>
  <c r="L2026" i="2"/>
  <c r="Z2026" i="2"/>
  <c r="AA2026" i="2" s="1"/>
  <c r="AD2026" i="2"/>
  <c r="K2027" i="2"/>
  <c r="L2027" i="2"/>
  <c r="Z2027" i="2"/>
  <c r="AC2027" i="2" s="1"/>
  <c r="AD2027" i="2"/>
  <c r="K2028" i="2"/>
  <c r="L2028" i="2"/>
  <c r="Z2028" i="2"/>
  <c r="AA2028" i="2"/>
  <c r="AB2028" i="2"/>
  <c r="AC2028" i="2"/>
  <c r="AD2028" i="2"/>
  <c r="K2029" i="2"/>
  <c r="L2029" i="2"/>
  <c r="Z2029" i="2"/>
  <c r="AD2029" i="2"/>
  <c r="K2030" i="2"/>
  <c r="L2030" i="2"/>
  <c r="Z2030" i="2"/>
  <c r="AC2030" i="2" s="1"/>
  <c r="AD2030" i="2"/>
  <c r="K2031" i="2"/>
  <c r="L2031" i="2"/>
  <c r="Z2031" i="2"/>
  <c r="AC2031" i="2" s="1"/>
  <c r="AA2031" i="2"/>
  <c r="AB2031" i="2"/>
  <c r="AD2031" i="2"/>
  <c r="K2032" i="2"/>
  <c r="L2032" i="2"/>
  <c r="Z2032" i="2"/>
  <c r="AB2032" i="2" s="1"/>
  <c r="AD2032" i="2"/>
  <c r="K2033" i="2"/>
  <c r="L2033" i="2"/>
  <c r="Z2033" i="2"/>
  <c r="AC2033" i="2" s="1"/>
  <c r="AD2033" i="2"/>
  <c r="K2034" i="2"/>
  <c r="L2034" i="2"/>
  <c r="Z2034" i="2"/>
  <c r="AB2034" i="2" s="1"/>
  <c r="AD2034" i="2"/>
  <c r="K2035" i="2"/>
  <c r="L2035" i="2"/>
  <c r="Z2035" i="2"/>
  <c r="AA2035" i="2" s="1"/>
  <c r="AB2035" i="2"/>
  <c r="AC2035" i="2"/>
  <c r="AD2035" i="2"/>
  <c r="K2036" i="2"/>
  <c r="L2036" i="2"/>
  <c r="Z2036" i="2"/>
  <c r="AB2036" i="2"/>
  <c r="AD2036" i="2"/>
  <c r="K2037" i="2"/>
  <c r="L2037" i="2"/>
  <c r="Z2037" i="2"/>
  <c r="AC2037" i="2" s="1"/>
  <c r="AB2037" i="2"/>
  <c r="AD2037" i="2"/>
  <c r="K2038" i="2"/>
  <c r="L2038" i="2"/>
  <c r="Z2038" i="2"/>
  <c r="AA2038" i="2" s="1"/>
  <c r="AD2038" i="2"/>
  <c r="K2039" i="2"/>
  <c r="L2039" i="2"/>
  <c r="Z2039" i="2"/>
  <c r="AA2039" i="2"/>
  <c r="AD2039" i="2"/>
  <c r="K2040" i="2"/>
  <c r="L2040" i="2"/>
  <c r="Z2040" i="2"/>
  <c r="AB2040" i="2"/>
  <c r="AD2040" i="2"/>
  <c r="K2041" i="2"/>
  <c r="L2041" i="2"/>
  <c r="Z2041" i="2"/>
  <c r="AC2041" i="2" s="1"/>
  <c r="AD2041" i="2"/>
  <c r="K2042" i="2"/>
  <c r="L2042" i="2"/>
  <c r="Z2042" i="2"/>
  <c r="AA2042" i="2" s="1"/>
  <c r="AD2042" i="2"/>
  <c r="K2043" i="2"/>
  <c r="L2043" i="2"/>
  <c r="Z2043" i="2"/>
  <c r="AC2043" i="2" s="1"/>
  <c r="AA2043" i="2"/>
  <c r="AB2043" i="2"/>
  <c r="AD2043" i="2"/>
  <c r="K2044" i="2"/>
  <c r="L2044" i="2"/>
  <c r="Z2044" i="2"/>
  <c r="AA2044" i="2" s="1"/>
  <c r="AD2044" i="2"/>
  <c r="K2045" i="2"/>
  <c r="L2045" i="2"/>
  <c r="Z2045" i="2"/>
  <c r="AC2045" i="2" s="1"/>
  <c r="AD2045" i="2"/>
  <c r="K2046" i="2"/>
  <c r="L2046" i="2"/>
  <c r="Z2046" i="2"/>
  <c r="AD2046" i="2"/>
  <c r="K2047" i="2"/>
  <c r="L2047" i="2"/>
  <c r="Z2047" i="2"/>
  <c r="AA2047" i="2" s="1"/>
  <c r="AC2047" i="2"/>
  <c r="AD2047" i="2"/>
  <c r="K2048" i="2"/>
  <c r="L2048" i="2"/>
  <c r="Z2048" i="2"/>
  <c r="AD2048" i="2"/>
  <c r="K2049" i="2"/>
  <c r="L2049" i="2"/>
  <c r="Z2049" i="2"/>
  <c r="AB2049" i="2" s="1"/>
  <c r="AD2049" i="2"/>
  <c r="K2050" i="2"/>
  <c r="L2050" i="2"/>
  <c r="Z2050" i="2"/>
  <c r="AA2050" i="2" s="1"/>
  <c r="AD2050" i="2"/>
  <c r="K2051" i="2"/>
  <c r="L2051" i="2"/>
  <c r="Z2051" i="2"/>
  <c r="AB2051" i="2" s="1"/>
  <c r="AD2051" i="2"/>
  <c r="K2052" i="2"/>
  <c r="L2052" i="2"/>
  <c r="Z2052" i="2"/>
  <c r="AC2052" i="2" s="1"/>
  <c r="AA2052" i="2"/>
  <c r="AB2052" i="2"/>
  <c r="AD2052" i="2"/>
  <c r="K2053" i="2"/>
  <c r="L2053" i="2"/>
  <c r="Z2053" i="2"/>
  <c r="AC2053" i="2" s="1"/>
  <c r="AD2053" i="2"/>
  <c r="K2054" i="2"/>
  <c r="L2054" i="2"/>
  <c r="Z2054" i="2"/>
  <c r="AB2054" i="2"/>
  <c r="AD2054" i="2"/>
  <c r="K2055" i="2"/>
  <c r="L2055" i="2"/>
  <c r="Z2055" i="2"/>
  <c r="AA2055" i="2"/>
  <c r="AD2055" i="2"/>
  <c r="K2056" i="2"/>
  <c r="L2056" i="2"/>
  <c r="Z2056" i="2"/>
  <c r="AA2056" i="2"/>
  <c r="AD2056" i="2"/>
  <c r="K2057" i="2"/>
  <c r="L2057" i="2"/>
  <c r="Z2057" i="2"/>
  <c r="AD2057" i="2"/>
  <c r="K2058" i="2"/>
  <c r="L2058" i="2"/>
  <c r="Z2058" i="2"/>
  <c r="AC2058" i="2" s="1"/>
  <c r="AD2058" i="2"/>
  <c r="K2059" i="2"/>
  <c r="L2059" i="2"/>
  <c r="Z2059" i="2"/>
  <c r="AA2059" i="2"/>
  <c r="AB2059" i="2"/>
  <c r="AC2059" i="2"/>
  <c r="AD2059" i="2"/>
  <c r="K2060" i="2"/>
  <c r="L2060" i="2"/>
  <c r="Z2060" i="2"/>
  <c r="AC2060" i="2" s="1"/>
  <c r="AD2060" i="2"/>
  <c r="K2061" i="2"/>
  <c r="L2061" i="2"/>
  <c r="Z2061" i="2"/>
  <c r="AB2061" i="2" s="1"/>
  <c r="AD2061" i="2"/>
  <c r="K2062" i="2"/>
  <c r="L2062" i="2"/>
  <c r="Z2062" i="2"/>
  <c r="AA2062" i="2" s="1"/>
  <c r="AD2062" i="2"/>
  <c r="K2063" i="2"/>
  <c r="L2063" i="2"/>
  <c r="Z2063" i="2"/>
  <c r="AA2063" i="2" s="1"/>
  <c r="AD2063" i="2"/>
  <c r="K2064" i="2"/>
  <c r="L2064" i="2"/>
  <c r="Z2064" i="2"/>
  <c r="AD2064" i="2"/>
  <c r="K2065" i="2"/>
  <c r="L2065" i="2"/>
  <c r="Z2065" i="2"/>
  <c r="AD2065" i="2"/>
  <c r="K2066" i="2"/>
  <c r="L2066" i="2"/>
  <c r="Z2066" i="2"/>
  <c r="AA2066" i="2" s="1"/>
  <c r="AB2066" i="2"/>
  <c r="AC2066" i="2"/>
  <c r="AD2066" i="2"/>
  <c r="K2067" i="2"/>
  <c r="L2067" i="2"/>
  <c r="Z2067" i="2"/>
  <c r="AC2067" i="2" s="1"/>
  <c r="AA2067" i="2"/>
  <c r="AB2067" i="2"/>
  <c r="AD2067" i="2"/>
  <c r="K2068" i="2"/>
  <c r="L2068" i="2"/>
  <c r="Z2068" i="2"/>
  <c r="AC2068" i="2" s="1"/>
  <c r="AA2068" i="2"/>
  <c r="AB2068" i="2"/>
  <c r="AD2068" i="2"/>
  <c r="K2069" i="2"/>
  <c r="L2069" i="2"/>
  <c r="Z2069" i="2"/>
  <c r="AC2069" i="2"/>
  <c r="AD2069" i="2"/>
  <c r="K2070" i="2"/>
  <c r="L2070" i="2"/>
  <c r="Z2070" i="2"/>
  <c r="AB2070" i="2"/>
  <c r="AD2070" i="2"/>
  <c r="K2071" i="2"/>
  <c r="L2071" i="2"/>
  <c r="Z2071" i="2"/>
  <c r="AA2071" i="2" s="1"/>
  <c r="AC2071" i="2"/>
  <c r="AD2071" i="2"/>
  <c r="K2072" i="2"/>
  <c r="L2072" i="2"/>
  <c r="Z2072" i="2"/>
  <c r="AB2072" i="2" s="1"/>
  <c r="AD2072" i="2"/>
  <c r="K2073" i="2"/>
  <c r="L2073" i="2"/>
  <c r="Z2073" i="2"/>
  <c r="AC2073" i="2" s="1"/>
  <c r="AD2073" i="2"/>
  <c r="K2074" i="2"/>
  <c r="L2074" i="2"/>
  <c r="Z2074" i="2"/>
  <c r="AD2074" i="2"/>
  <c r="K2075" i="2"/>
  <c r="L2075" i="2"/>
  <c r="Z2075" i="2"/>
  <c r="AD2075" i="2"/>
  <c r="K2076" i="2"/>
  <c r="L2076" i="2"/>
  <c r="Z2076" i="2"/>
  <c r="AB2076" i="2" s="1"/>
  <c r="AD2076" i="2"/>
  <c r="K2077" i="2"/>
  <c r="L2077" i="2"/>
  <c r="Z2077" i="2"/>
  <c r="AD2077" i="2"/>
  <c r="K2078" i="2"/>
  <c r="L2078" i="2"/>
  <c r="Z2078" i="2"/>
  <c r="AD2078" i="2"/>
  <c r="K2079" i="2"/>
  <c r="L2079" i="2"/>
  <c r="Z2079" i="2"/>
  <c r="AB2079" i="2" s="1"/>
  <c r="AD2079" i="2"/>
  <c r="K2080" i="2"/>
  <c r="L2080" i="2"/>
  <c r="Z2080" i="2"/>
  <c r="AA2080" i="2" s="1"/>
  <c r="AD2080" i="2"/>
  <c r="K2081" i="2"/>
  <c r="L2081" i="2"/>
  <c r="Z2081" i="2"/>
  <c r="AC2081" i="2" s="1"/>
  <c r="AD2081" i="2"/>
  <c r="K2082" i="2"/>
  <c r="L2082" i="2"/>
  <c r="Z2082" i="2"/>
  <c r="AA2082" i="2" s="1"/>
  <c r="AD2082" i="2"/>
  <c r="K2083" i="2"/>
  <c r="L2083" i="2"/>
  <c r="Z2083" i="2"/>
  <c r="AD2083" i="2"/>
  <c r="K2084" i="2"/>
  <c r="L2084" i="2"/>
  <c r="Z2084" i="2"/>
  <c r="AD2084" i="2"/>
  <c r="K2085" i="2"/>
  <c r="L2085" i="2"/>
  <c r="Z2085" i="2"/>
  <c r="AA2085" i="2" s="1"/>
  <c r="AD2085" i="2"/>
  <c r="K2086" i="2"/>
  <c r="L2086" i="2"/>
  <c r="Z2086" i="2"/>
  <c r="AA2086" i="2" s="1"/>
  <c r="AD2086" i="2"/>
  <c r="K2087" i="2"/>
  <c r="L2087" i="2"/>
  <c r="Z2087" i="2"/>
  <c r="AA2087" i="2" s="1"/>
  <c r="AD2087" i="2"/>
  <c r="K2088" i="2"/>
  <c r="L2088" i="2"/>
  <c r="Z2088" i="2"/>
  <c r="AB2088" i="2" s="1"/>
  <c r="AC2088" i="2"/>
  <c r="AD2088" i="2"/>
  <c r="K2089" i="2"/>
  <c r="L2089" i="2"/>
  <c r="Z2089" i="2"/>
  <c r="AB2089" i="2" s="1"/>
  <c r="AD2089" i="2"/>
  <c r="K2090" i="2"/>
  <c r="L2090" i="2"/>
  <c r="Z2090" i="2"/>
  <c r="AD2090" i="2"/>
  <c r="K2091" i="2"/>
  <c r="L2091" i="2"/>
  <c r="Z2091" i="2"/>
  <c r="AD2091" i="2"/>
  <c r="K2092" i="2"/>
  <c r="L2092" i="2"/>
  <c r="Z2092" i="2"/>
  <c r="AA2092" i="2" s="1"/>
  <c r="AD2092" i="2"/>
  <c r="K2093" i="2"/>
  <c r="L2093" i="2"/>
  <c r="Z2093" i="2"/>
  <c r="AC2093" i="2" s="1"/>
  <c r="AD2093" i="2"/>
  <c r="K2094" i="2"/>
  <c r="L2094" i="2"/>
  <c r="Z2094" i="2"/>
  <c r="AD2094" i="2"/>
  <c r="K2095" i="2"/>
  <c r="L2095" i="2"/>
  <c r="Z2095" i="2"/>
  <c r="AD2095" i="2"/>
  <c r="K2096" i="2"/>
  <c r="L2096" i="2"/>
  <c r="Z2096" i="2"/>
  <c r="AD2096" i="2"/>
  <c r="K2097" i="2"/>
  <c r="L2097" i="2"/>
  <c r="Z2097" i="2"/>
  <c r="AA2097" i="2" s="1"/>
  <c r="AD2097" i="2"/>
  <c r="K2098" i="2"/>
  <c r="L2098" i="2"/>
  <c r="Z2098" i="2"/>
  <c r="AA2098" i="2"/>
  <c r="AD2098" i="2"/>
  <c r="K2099" i="2"/>
  <c r="L2099" i="2"/>
  <c r="Z2099" i="2"/>
  <c r="AA2099" i="2" s="1"/>
  <c r="AD2099" i="2"/>
  <c r="K2100" i="2"/>
  <c r="L2100" i="2"/>
  <c r="Z2100" i="2"/>
  <c r="AD2100" i="2"/>
  <c r="K2101" i="2"/>
  <c r="L2101" i="2"/>
  <c r="Z2101" i="2"/>
  <c r="AD2101" i="2"/>
  <c r="K2102" i="2"/>
  <c r="L2102" i="2"/>
  <c r="Z2102" i="2"/>
  <c r="AB2102" i="2" s="1"/>
  <c r="AA2102" i="2"/>
  <c r="AC2102" i="2"/>
  <c r="AD2102" i="2"/>
  <c r="K2103" i="2"/>
  <c r="L2103" i="2"/>
  <c r="Z2103" i="2"/>
  <c r="AB2103" i="2" s="1"/>
  <c r="AD2103" i="2"/>
  <c r="K2104" i="2"/>
  <c r="L2104" i="2"/>
  <c r="Z2104" i="2"/>
  <c r="AD2104" i="2"/>
  <c r="K2105" i="2"/>
  <c r="L2105" i="2"/>
  <c r="Z2105" i="2"/>
  <c r="AC2105" i="2" s="1"/>
  <c r="AD2105" i="2"/>
  <c r="K2106" i="2"/>
  <c r="L2106" i="2"/>
  <c r="Z2106" i="2"/>
  <c r="AB2106" i="2" s="1"/>
  <c r="AD2106" i="2"/>
  <c r="K2107" i="2"/>
  <c r="L2107" i="2"/>
  <c r="Z2107" i="2"/>
  <c r="AC2107" i="2" s="1"/>
  <c r="AB2107" i="2"/>
  <c r="AD2107" i="2"/>
  <c r="K2108" i="2"/>
  <c r="L2108" i="2"/>
  <c r="Z2108" i="2"/>
  <c r="AA2108" i="2" s="1"/>
  <c r="AB2108" i="2"/>
  <c r="AC2108" i="2"/>
  <c r="AD2108" i="2"/>
  <c r="K2109" i="2"/>
  <c r="L2109" i="2"/>
  <c r="Z2109" i="2"/>
  <c r="AC2109" i="2" s="1"/>
  <c r="AA2109" i="2"/>
  <c r="AD2109" i="2"/>
  <c r="K2110" i="2"/>
  <c r="L2110" i="2"/>
  <c r="Z2110" i="2"/>
  <c r="AA2110" i="2"/>
  <c r="AD2110" i="2"/>
  <c r="K2111" i="2"/>
  <c r="L2111" i="2"/>
  <c r="Z2111" i="2"/>
  <c r="AC2111" i="2" s="1"/>
  <c r="AB2111" i="2"/>
  <c r="AD2111" i="2"/>
  <c r="K2112" i="2"/>
  <c r="L2112" i="2"/>
  <c r="Z2112" i="2"/>
  <c r="AB2112" i="2" s="1"/>
  <c r="AD2112" i="2"/>
  <c r="K2113" i="2"/>
  <c r="L2113" i="2"/>
  <c r="Z2113" i="2"/>
  <c r="AC2113" i="2" s="1"/>
  <c r="AD2113" i="2"/>
  <c r="K2114" i="2"/>
  <c r="L2114" i="2"/>
  <c r="Z2114" i="2"/>
  <c r="AB2114" i="2" s="1"/>
  <c r="AD2114" i="2"/>
  <c r="K2115" i="2"/>
  <c r="L2115" i="2"/>
  <c r="Z2115" i="2"/>
  <c r="AD2115" i="2"/>
  <c r="K2116" i="2"/>
  <c r="L2116" i="2"/>
  <c r="Z2116" i="2"/>
  <c r="AD2116" i="2"/>
  <c r="K2117" i="2"/>
  <c r="L2117" i="2"/>
  <c r="Z2117" i="2"/>
  <c r="AD2117" i="2"/>
  <c r="K2118" i="2"/>
  <c r="L2118" i="2"/>
  <c r="Z2118" i="2"/>
  <c r="AD2118" i="2"/>
  <c r="K2119" i="2"/>
  <c r="L2119" i="2"/>
  <c r="Z2119" i="2"/>
  <c r="AA2119" i="2" s="1"/>
  <c r="AD2119" i="2"/>
  <c r="K2120" i="2"/>
  <c r="L2120" i="2"/>
  <c r="Z2120" i="2"/>
  <c r="AA2120" i="2" s="1"/>
  <c r="AD2120" i="2"/>
  <c r="K2121" i="2"/>
  <c r="L2121" i="2"/>
  <c r="Z2121" i="2"/>
  <c r="AC2121" i="2" s="1"/>
  <c r="AA2121" i="2"/>
  <c r="AB2121" i="2"/>
  <c r="AD2121" i="2"/>
  <c r="K2122" i="2"/>
  <c r="L2122" i="2"/>
  <c r="Z2122" i="2"/>
  <c r="AB2122" i="2" s="1"/>
  <c r="AD2122" i="2"/>
  <c r="K2123" i="2"/>
  <c r="L2123" i="2"/>
  <c r="Z2123" i="2"/>
  <c r="AB2123" i="2" s="1"/>
  <c r="AD2123" i="2"/>
  <c r="K2124" i="2"/>
  <c r="L2124" i="2"/>
  <c r="Z2124" i="2"/>
  <c r="AA2124" i="2" s="1"/>
  <c r="AD2124" i="2"/>
  <c r="K2125" i="2"/>
  <c r="L2125" i="2"/>
  <c r="Z2125" i="2"/>
  <c r="AA2125" i="2" s="1"/>
  <c r="AD2125" i="2"/>
  <c r="K2126" i="2"/>
  <c r="L2126" i="2"/>
  <c r="Z2126" i="2"/>
  <c r="AA2126" i="2" s="1"/>
  <c r="AD2126" i="2"/>
  <c r="K2127" i="2"/>
  <c r="L2127" i="2"/>
  <c r="Z2127" i="2"/>
  <c r="AD2127" i="2"/>
  <c r="K2128" i="2"/>
  <c r="L2128" i="2"/>
  <c r="Z2128" i="2"/>
  <c r="AA2128" i="2"/>
  <c r="AB2128" i="2"/>
  <c r="AC2128" i="2"/>
  <c r="AD2128" i="2"/>
  <c r="K2129" i="2"/>
  <c r="L2129" i="2"/>
  <c r="Z2129" i="2"/>
  <c r="AD2129" i="2"/>
  <c r="K2130" i="2"/>
  <c r="L2130" i="2"/>
  <c r="Z2130" i="2"/>
  <c r="AB2130" i="2" s="1"/>
  <c r="AD2130" i="2"/>
  <c r="K2131" i="2"/>
  <c r="L2131" i="2"/>
  <c r="Z2131" i="2"/>
  <c r="AD2131" i="2"/>
  <c r="K2132" i="2"/>
  <c r="L2132" i="2"/>
  <c r="Z2132" i="2"/>
  <c r="AA2132" i="2" s="1"/>
  <c r="AB2132" i="2"/>
  <c r="AC2132" i="2"/>
  <c r="AD2132" i="2"/>
  <c r="K2133" i="2"/>
  <c r="L2133" i="2"/>
  <c r="Z2133" i="2"/>
  <c r="AC2133" i="2" s="1"/>
  <c r="AD2133" i="2"/>
  <c r="K2134" i="2"/>
  <c r="L2134" i="2"/>
  <c r="Z2134" i="2"/>
  <c r="AA2134" i="2" s="1"/>
  <c r="AD2134" i="2"/>
  <c r="K2135" i="2"/>
  <c r="L2135" i="2"/>
  <c r="Z2135" i="2"/>
  <c r="AA2135" i="2"/>
  <c r="AD2135" i="2"/>
  <c r="K2136" i="2"/>
  <c r="L2136" i="2"/>
  <c r="Z2136" i="2"/>
  <c r="AB2136" i="2" s="1"/>
  <c r="AD2136" i="2"/>
  <c r="K2137" i="2"/>
  <c r="L2137" i="2"/>
  <c r="Z2137" i="2"/>
  <c r="AC2137" i="2" s="1"/>
  <c r="AD2137" i="2"/>
  <c r="K2138" i="2"/>
  <c r="L2138" i="2"/>
  <c r="Z2138" i="2"/>
  <c r="AD2138" i="2"/>
  <c r="K2139" i="2"/>
  <c r="L2139" i="2"/>
  <c r="Z2139" i="2"/>
  <c r="AC2139" i="2" s="1"/>
  <c r="AA2139" i="2"/>
  <c r="AB2139" i="2"/>
  <c r="AD2139" i="2"/>
  <c r="K2140" i="2"/>
  <c r="L2140" i="2"/>
  <c r="Z2140" i="2"/>
  <c r="AA2140" i="2" s="1"/>
  <c r="AD2140" i="2"/>
  <c r="K2141" i="2"/>
  <c r="L2141" i="2"/>
  <c r="Z2141" i="2"/>
  <c r="AA2141" i="2" s="1"/>
  <c r="AD2141" i="2"/>
  <c r="K2142" i="2"/>
  <c r="L2142" i="2"/>
  <c r="Z2142" i="2"/>
  <c r="AD2142" i="2"/>
  <c r="K2143" i="2"/>
  <c r="L2143" i="2"/>
  <c r="Z2143" i="2"/>
  <c r="AD2143" i="2"/>
  <c r="K2144" i="2"/>
  <c r="L2144" i="2"/>
  <c r="Z2144" i="2"/>
  <c r="AD2144" i="2"/>
  <c r="K2145" i="2"/>
  <c r="L2145" i="2"/>
  <c r="Z2145" i="2"/>
  <c r="AB2145" i="2" s="1"/>
  <c r="AD2145" i="2"/>
  <c r="K2146" i="2"/>
  <c r="L2146" i="2"/>
  <c r="Z2146" i="2"/>
  <c r="AB2146" i="2" s="1"/>
  <c r="AA2146" i="2"/>
  <c r="AD2146" i="2"/>
  <c r="K2147" i="2"/>
  <c r="L2147" i="2"/>
  <c r="Z2147" i="2"/>
  <c r="AA2147" i="2" s="1"/>
  <c r="AD2147" i="2"/>
  <c r="K2148" i="2"/>
  <c r="L2148" i="2"/>
  <c r="Z2148" i="2"/>
  <c r="AA2148" i="2" s="1"/>
  <c r="AD2148" i="2"/>
  <c r="K2149" i="2"/>
  <c r="L2149" i="2"/>
  <c r="Z2149" i="2"/>
  <c r="AC2149" i="2" s="1"/>
  <c r="AD2149" i="2"/>
  <c r="K2150" i="2"/>
  <c r="L2150" i="2"/>
  <c r="Z2150" i="2"/>
  <c r="AD2150" i="2"/>
  <c r="K2151" i="2"/>
  <c r="L2151" i="2"/>
  <c r="Z2151" i="2"/>
  <c r="AD2151" i="2"/>
  <c r="K2152" i="2"/>
  <c r="L2152" i="2"/>
  <c r="Z2152" i="2"/>
  <c r="AB2152" i="2" s="1"/>
  <c r="AD2152" i="2"/>
  <c r="K2153" i="2"/>
  <c r="L2153" i="2"/>
  <c r="Z2153" i="2"/>
  <c r="AD2153" i="2"/>
  <c r="K2154" i="2"/>
  <c r="L2154" i="2"/>
  <c r="Z2154" i="2"/>
  <c r="AA2154" i="2" s="1"/>
  <c r="AD2154" i="2"/>
  <c r="K2155" i="2"/>
  <c r="L2155" i="2"/>
  <c r="Z2155" i="2"/>
  <c r="AD2155" i="2"/>
  <c r="K2156" i="2"/>
  <c r="L2156" i="2"/>
  <c r="Z2156" i="2"/>
  <c r="AD2156" i="2"/>
  <c r="K2157" i="2"/>
  <c r="L2157" i="2"/>
  <c r="Z2157" i="2"/>
  <c r="AA2157" i="2" s="1"/>
  <c r="AB2157" i="2"/>
  <c r="AC2157" i="2"/>
  <c r="AD2157" i="2"/>
  <c r="K2158" i="2"/>
  <c r="L2158" i="2"/>
  <c r="Z2158" i="2"/>
  <c r="AC2158" i="2"/>
  <c r="AD2158" i="2"/>
  <c r="K2159" i="2"/>
  <c r="L2159" i="2"/>
  <c r="Z2159" i="2"/>
  <c r="AC2159" i="2" s="1"/>
  <c r="AA2159" i="2"/>
  <c r="AB2159" i="2"/>
  <c r="AD2159" i="2"/>
  <c r="K2160" i="2"/>
  <c r="L2160" i="2"/>
  <c r="Z2160" i="2"/>
  <c r="AA2160" i="2" s="1"/>
  <c r="AC2160" i="2"/>
  <c r="AD2160" i="2"/>
  <c r="K2161" i="2"/>
  <c r="L2161" i="2"/>
  <c r="Z2161" i="2"/>
  <c r="AC2161" i="2"/>
  <c r="AD2161" i="2"/>
  <c r="K2162" i="2"/>
  <c r="L2162" i="2"/>
  <c r="Z2162" i="2"/>
  <c r="AB2162" i="2" s="1"/>
  <c r="AD2162" i="2"/>
  <c r="K2163" i="2"/>
  <c r="L2163" i="2"/>
  <c r="Z2163" i="2"/>
  <c r="AA2163" i="2"/>
  <c r="AD2163" i="2"/>
  <c r="K2164" i="2"/>
  <c r="L2164" i="2"/>
  <c r="Z2164" i="2"/>
  <c r="AA2164" i="2" s="1"/>
  <c r="AD2164" i="2"/>
  <c r="K2165" i="2"/>
  <c r="L2165" i="2"/>
  <c r="Z2165" i="2"/>
  <c r="AD2165" i="2"/>
  <c r="K2166" i="2"/>
  <c r="L2166" i="2"/>
  <c r="Z2166" i="2"/>
  <c r="AD2166" i="2"/>
  <c r="K2167" i="2"/>
  <c r="L2167" i="2"/>
  <c r="Z2167" i="2"/>
  <c r="AB2167" i="2"/>
  <c r="AD2167" i="2"/>
  <c r="K2168" i="2"/>
  <c r="L2168" i="2"/>
  <c r="Z2168" i="2"/>
  <c r="AA2168" i="2" s="1"/>
  <c r="AB2168" i="2"/>
  <c r="AD2168" i="2"/>
  <c r="K2169" i="2"/>
  <c r="L2169" i="2"/>
  <c r="Z2169" i="2"/>
  <c r="AD2169" i="2"/>
  <c r="K2170" i="2"/>
  <c r="L2170" i="2"/>
  <c r="Z2170" i="2"/>
  <c r="AB2170" i="2" s="1"/>
  <c r="AC2170" i="2"/>
  <c r="AD2170" i="2"/>
  <c r="K2171" i="2"/>
  <c r="L2171" i="2"/>
  <c r="Z2171" i="2"/>
  <c r="AD2171" i="2"/>
  <c r="K2172" i="2"/>
  <c r="L2172" i="2"/>
  <c r="Z2172" i="2"/>
  <c r="AA2172" i="2"/>
  <c r="AB2172" i="2"/>
  <c r="AC2172" i="2"/>
  <c r="AD2172" i="2"/>
  <c r="K2173" i="2"/>
  <c r="L2173" i="2"/>
  <c r="Z2173" i="2"/>
  <c r="AA2173" i="2"/>
  <c r="AD2173" i="2"/>
  <c r="K2174" i="2"/>
  <c r="L2174" i="2"/>
  <c r="Z2174" i="2"/>
  <c r="AB2174" i="2" s="1"/>
  <c r="AD2174" i="2"/>
  <c r="K2175" i="2"/>
  <c r="L2175" i="2"/>
  <c r="Z2175" i="2"/>
  <c r="AC2175" i="2" s="1"/>
  <c r="AA2175" i="2"/>
  <c r="AD2175" i="2"/>
  <c r="K2176" i="2"/>
  <c r="L2176" i="2"/>
  <c r="Z2176" i="2"/>
  <c r="AC2176" i="2" s="1"/>
  <c r="AA2176" i="2"/>
  <c r="AB2176" i="2"/>
  <c r="AD2176" i="2"/>
  <c r="K2177" i="2"/>
  <c r="L2177" i="2"/>
  <c r="Z2177" i="2"/>
  <c r="AD2177" i="2"/>
  <c r="K2178" i="2"/>
  <c r="L2178" i="2"/>
  <c r="Z2178" i="2"/>
  <c r="AB2178" i="2" s="1"/>
  <c r="AD2178" i="2"/>
  <c r="K2179" i="2"/>
  <c r="L2179" i="2"/>
  <c r="Z2179" i="2"/>
  <c r="AD2179" i="2"/>
  <c r="K2180" i="2"/>
  <c r="L2180" i="2"/>
  <c r="Z2180" i="2"/>
  <c r="AD2180" i="2"/>
  <c r="K2181" i="2"/>
  <c r="L2181" i="2"/>
  <c r="Z2181" i="2"/>
  <c r="AA2181" i="2" s="1"/>
  <c r="AD2181" i="2"/>
  <c r="K2182" i="2"/>
  <c r="L2182" i="2"/>
  <c r="Z2182" i="2"/>
  <c r="AD2182" i="2"/>
  <c r="K2183" i="2"/>
  <c r="L2183" i="2"/>
  <c r="Z2183" i="2"/>
  <c r="AB2183" i="2" s="1"/>
  <c r="AD2183" i="2"/>
  <c r="K2184" i="2"/>
  <c r="L2184" i="2"/>
  <c r="Z2184" i="2"/>
  <c r="AB2184" i="2" s="1"/>
  <c r="AA2184" i="2"/>
  <c r="AD2184" i="2"/>
  <c r="K2185" i="2"/>
  <c r="L2185" i="2"/>
  <c r="Z2185" i="2"/>
  <c r="AC2185" i="2" s="1"/>
  <c r="AD2185" i="2"/>
  <c r="K2186" i="2"/>
  <c r="L2186" i="2"/>
  <c r="Z2186" i="2"/>
  <c r="AC2186" i="2" s="1"/>
  <c r="AD2186" i="2"/>
  <c r="K2187" i="2"/>
  <c r="L2187" i="2"/>
  <c r="Z2187" i="2"/>
  <c r="AB2187" i="2"/>
  <c r="AD2187" i="2"/>
  <c r="K2188" i="2"/>
  <c r="L2188" i="2"/>
  <c r="Z2188" i="2"/>
  <c r="AA2188" i="2" s="1"/>
  <c r="AD2188" i="2"/>
  <c r="K2189" i="2"/>
  <c r="L2189" i="2"/>
  <c r="Z2189" i="2"/>
  <c r="AD2189" i="2"/>
  <c r="K2190" i="2"/>
  <c r="L2190" i="2"/>
  <c r="Z2190" i="2"/>
  <c r="AD2190" i="2"/>
  <c r="K2191" i="2"/>
  <c r="L2191" i="2"/>
  <c r="Z2191" i="2"/>
  <c r="AA2191" i="2" s="1"/>
  <c r="AD2191" i="2"/>
  <c r="K2192" i="2"/>
  <c r="L2192" i="2"/>
  <c r="Z2192" i="2"/>
  <c r="AC2192" i="2" s="1"/>
  <c r="AD2192" i="2"/>
  <c r="K2193" i="2"/>
  <c r="L2193" i="2"/>
  <c r="Z2193" i="2"/>
  <c r="AA2193" i="2" s="1"/>
  <c r="AD2193" i="2"/>
  <c r="K2194" i="2"/>
  <c r="L2194" i="2"/>
  <c r="Z2194" i="2"/>
  <c r="AB2194" i="2" s="1"/>
  <c r="AD2194" i="2"/>
  <c r="K2195" i="2"/>
  <c r="L2195" i="2"/>
  <c r="Z2195" i="2"/>
  <c r="AA2195" i="2" s="1"/>
  <c r="AD2195" i="2"/>
  <c r="K2196" i="2"/>
  <c r="L2196" i="2"/>
  <c r="Z2196" i="2"/>
  <c r="AB2196" i="2" s="1"/>
  <c r="AA2196" i="2"/>
  <c r="AD2196" i="2"/>
  <c r="K2197" i="2"/>
  <c r="L2197" i="2"/>
  <c r="Z2197" i="2"/>
  <c r="AD2197" i="2"/>
  <c r="K2198" i="2"/>
  <c r="L2198" i="2"/>
  <c r="Z2198" i="2"/>
  <c r="AC2198" i="2"/>
  <c r="AD2198" i="2"/>
  <c r="K2199" i="2"/>
  <c r="L2199" i="2"/>
  <c r="Z2199" i="2"/>
  <c r="AA2199" i="2" s="1"/>
  <c r="AD2199" i="2"/>
  <c r="K2200" i="2"/>
  <c r="L2200" i="2"/>
  <c r="Z2200" i="2"/>
  <c r="AB2200" i="2" s="1"/>
  <c r="AD2200" i="2"/>
  <c r="K2201" i="2"/>
  <c r="L2201" i="2"/>
  <c r="Z2201" i="2"/>
  <c r="AD2201" i="2"/>
  <c r="K2202" i="2"/>
  <c r="L2202" i="2"/>
  <c r="Z2202" i="2"/>
  <c r="AC2202" i="2" s="1"/>
  <c r="AD2202" i="2"/>
  <c r="K2203" i="2"/>
  <c r="L2203" i="2"/>
  <c r="Z2203" i="2"/>
  <c r="AD2203" i="2"/>
  <c r="K2204" i="2"/>
  <c r="L2204" i="2"/>
  <c r="Z2204" i="2"/>
  <c r="AB2204" i="2"/>
  <c r="AD2204" i="2"/>
  <c r="K2205" i="2"/>
  <c r="L2205" i="2"/>
  <c r="Z2205" i="2"/>
  <c r="AC2205" i="2" s="1"/>
  <c r="AA2205" i="2"/>
  <c r="AB2205" i="2"/>
  <c r="AD2205" i="2"/>
  <c r="K2206" i="2"/>
  <c r="L2206" i="2"/>
  <c r="Z2206" i="2"/>
  <c r="AD2206" i="2"/>
  <c r="K2207" i="2"/>
  <c r="L2207" i="2"/>
  <c r="Z2207" i="2"/>
  <c r="AB2207" i="2" s="1"/>
  <c r="AD2207" i="2"/>
  <c r="K2208" i="2"/>
  <c r="L2208" i="2"/>
  <c r="Z2208" i="2"/>
  <c r="AC2208" i="2" s="1"/>
  <c r="AB2208" i="2"/>
  <c r="AD2208" i="2"/>
  <c r="K2209" i="2"/>
  <c r="L2209" i="2"/>
  <c r="Z2209" i="2"/>
  <c r="AC2209" i="2" s="1"/>
  <c r="AD2209" i="2"/>
  <c r="K2210" i="2"/>
  <c r="L2210" i="2"/>
  <c r="Z2210" i="2"/>
  <c r="AD2210" i="2"/>
  <c r="K2211" i="2"/>
  <c r="L2211" i="2"/>
  <c r="Z2211" i="2"/>
  <c r="AB2211" i="2"/>
  <c r="AD2211" i="2"/>
  <c r="K2212" i="2"/>
  <c r="L2212" i="2"/>
  <c r="Z2212" i="2"/>
  <c r="AD2212" i="2"/>
  <c r="K2213" i="2"/>
  <c r="L2213" i="2"/>
  <c r="Z2213" i="2"/>
  <c r="AA2213" i="2" s="1"/>
  <c r="AC2213" i="2"/>
  <c r="AD2213" i="2"/>
  <c r="K2214" i="2"/>
  <c r="L2214" i="2"/>
  <c r="Z2214" i="2"/>
  <c r="AD2214" i="2"/>
  <c r="K2215" i="2"/>
  <c r="L2215" i="2"/>
  <c r="Z2215" i="2"/>
  <c r="AB2215" i="2" s="1"/>
  <c r="AA2215" i="2"/>
  <c r="AD2215" i="2"/>
  <c r="K2216" i="2"/>
  <c r="L2216" i="2"/>
  <c r="Z2216" i="2"/>
  <c r="AB2216" i="2"/>
  <c r="AD2216" i="2"/>
  <c r="K2217" i="2"/>
  <c r="L2217" i="2"/>
  <c r="Z2217" i="2"/>
  <c r="AB2217" i="2"/>
  <c r="AD2217" i="2"/>
  <c r="K2218" i="2"/>
  <c r="L2218" i="2"/>
  <c r="Z2218" i="2"/>
  <c r="AA2218" i="2" s="1"/>
  <c r="AD2218" i="2"/>
  <c r="K2219" i="2"/>
  <c r="L2219" i="2"/>
  <c r="Z2219" i="2"/>
  <c r="AA2219" i="2" s="1"/>
  <c r="AB2219" i="2"/>
  <c r="AC2219" i="2"/>
  <c r="AD2219" i="2"/>
  <c r="K2220" i="2"/>
  <c r="L2220" i="2"/>
  <c r="Z2220" i="2"/>
  <c r="AB2220" i="2" s="1"/>
  <c r="AD2220" i="2"/>
  <c r="K2221" i="2"/>
  <c r="L2221" i="2"/>
  <c r="Z2221" i="2"/>
  <c r="AB2221" i="2" s="1"/>
  <c r="AD2221" i="2"/>
  <c r="K2222" i="2"/>
  <c r="L2222" i="2"/>
  <c r="Z2222" i="2"/>
  <c r="AA2222" i="2" s="1"/>
  <c r="AC2222" i="2"/>
  <c r="AD2222" i="2"/>
  <c r="K2223" i="2"/>
  <c r="L2223" i="2"/>
  <c r="Z2223" i="2"/>
  <c r="AC2223" i="2" s="1"/>
  <c r="AD2223" i="2"/>
  <c r="K2224" i="2"/>
  <c r="L2224" i="2"/>
  <c r="Z2224" i="2"/>
  <c r="AA2224" i="2" s="1"/>
  <c r="AB2224" i="2"/>
  <c r="AD2224" i="2"/>
  <c r="K2225" i="2"/>
  <c r="L2225" i="2"/>
  <c r="Z2225" i="2"/>
  <c r="AD2225" i="2"/>
  <c r="K2226" i="2"/>
  <c r="L2226" i="2"/>
  <c r="Z2226" i="2"/>
  <c r="AD2226" i="2"/>
  <c r="K2227" i="2"/>
  <c r="L2227" i="2"/>
  <c r="Z2227" i="2"/>
  <c r="AD2227" i="2"/>
  <c r="K2228" i="2"/>
  <c r="L2228" i="2"/>
  <c r="Z2228" i="2"/>
  <c r="AA2228" i="2" s="1"/>
  <c r="AD2228" i="2"/>
  <c r="K2229" i="2"/>
  <c r="L2229" i="2"/>
  <c r="Z2229" i="2"/>
  <c r="AB2229" i="2" s="1"/>
  <c r="AA2229" i="2"/>
  <c r="AC2229" i="2"/>
  <c r="AD2229" i="2"/>
  <c r="K2230" i="2"/>
  <c r="L2230" i="2"/>
  <c r="Z2230" i="2"/>
  <c r="AA2230" i="2" s="1"/>
  <c r="AD2230" i="2"/>
  <c r="K2231" i="2"/>
  <c r="L2231" i="2"/>
  <c r="Z2231" i="2"/>
  <c r="AB2231" i="2" s="1"/>
  <c r="AD2231" i="2"/>
  <c r="K2232" i="2"/>
  <c r="L2232" i="2"/>
  <c r="Z2232" i="2"/>
  <c r="AA2232" i="2" s="1"/>
  <c r="AD2232" i="2"/>
  <c r="K2233" i="2"/>
  <c r="L2233" i="2"/>
  <c r="Z2233" i="2"/>
  <c r="AC2233" i="2"/>
  <c r="AD2233" i="2"/>
  <c r="K2234" i="2"/>
  <c r="L2234" i="2"/>
  <c r="Z2234" i="2"/>
  <c r="AA2234" i="2" s="1"/>
  <c r="AD2234" i="2"/>
  <c r="K2235" i="2"/>
  <c r="L2235" i="2"/>
  <c r="Z2235" i="2"/>
  <c r="AA2235" i="2" s="1"/>
  <c r="AD2235" i="2"/>
  <c r="K2236" i="2"/>
  <c r="L2236" i="2"/>
  <c r="Z2236" i="2"/>
  <c r="AA2236" i="2" s="1"/>
  <c r="AD2236" i="2"/>
  <c r="K2237" i="2"/>
  <c r="L2237" i="2"/>
  <c r="Z2237" i="2"/>
  <c r="AD2237" i="2"/>
  <c r="K2238" i="2"/>
  <c r="L2238" i="2"/>
  <c r="Z2238" i="2"/>
  <c r="AD2238" i="2"/>
  <c r="K2239" i="2"/>
  <c r="L2239" i="2"/>
  <c r="Z2239" i="2"/>
  <c r="AA2239" i="2" s="1"/>
  <c r="AD2239" i="2"/>
  <c r="K2240" i="2"/>
  <c r="L2240" i="2"/>
  <c r="Z2240" i="2"/>
  <c r="AC2240" i="2" s="1"/>
  <c r="AD2240" i="2"/>
  <c r="K2241" i="2"/>
  <c r="L2241" i="2"/>
  <c r="Z2241" i="2"/>
  <c r="AC2241" i="2"/>
  <c r="AD2241" i="2"/>
  <c r="K2242" i="2"/>
  <c r="L2242" i="2"/>
  <c r="Z2242" i="2"/>
  <c r="AC2242" i="2" s="1"/>
  <c r="AD2242" i="2"/>
  <c r="K2243" i="2"/>
  <c r="L2243" i="2"/>
  <c r="Z2243" i="2"/>
  <c r="AA2243" i="2" s="1"/>
  <c r="AD2243" i="2"/>
  <c r="K2244" i="2"/>
  <c r="L2244" i="2"/>
  <c r="Z2244" i="2"/>
  <c r="AA2244" i="2" s="1"/>
  <c r="AD2244" i="2"/>
  <c r="K2245" i="2"/>
  <c r="L2245" i="2"/>
  <c r="Z2245" i="2"/>
  <c r="AA2245" i="2" s="1"/>
  <c r="AD2245" i="2"/>
  <c r="K2246" i="2"/>
  <c r="L2246" i="2"/>
  <c r="Z2246" i="2"/>
  <c r="AD2246" i="2"/>
  <c r="K2247" i="2"/>
  <c r="L2247" i="2"/>
  <c r="Z2247" i="2"/>
  <c r="AD2247" i="2"/>
  <c r="K2248" i="2"/>
  <c r="L2248" i="2"/>
  <c r="Z2248" i="2"/>
  <c r="AC2248" i="2" s="1"/>
  <c r="AD2248" i="2"/>
  <c r="K2249" i="2"/>
  <c r="L2249" i="2"/>
  <c r="Z2249" i="2"/>
  <c r="AD2249" i="2"/>
  <c r="K2250" i="2"/>
  <c r="L2250" i="2"/>
  <c r="Z2250" i="2"/>
  <c r="AA2250" i="2" s="1"/>
  <c r="AD2250" i="2"/>
  <c r="K2251" i="2"/>
  <c r="L2251" i="2"/>
  <c r="Z2251" i="2"/>
  <c r="AD2251" i="2"/>
  <c r="K2252" i="2"/>
  <c r="L2252" i="2"/>
  <c r="Z2252" i="2"/>
  <c r="AB2252" i="2" s="1"/>
  <c r="AD2252" i="2"/>
  <c r="K2253" i="2"/>
  <c r="L2253" i="2"/>
  <c r="Z2253" i="2"/>
  <c r="AC2253" i="2" s="1"/>
  <c r="AA2253" i="2"/>
  <c r="AB2253" i="2"/>
  <c r="AD2253" i="2"/>
  <c r="K2254" i="2"/>
  <c r="L2254" i="2"/>
  <c r="Z2254" i="2"/>
  <c r="AD2254" i="2"/>
  <c r="K2255" i="2"/>
  <c r="L2255" i="2"/>
  <c r="Z2255" i="2"/>
  <c r="AC2255" i="2" s="1"/>
  <c r="AD2255" i="2"/>
  <c r="K2256" i="2"/>
  <c r="L2256" i="2"/>
  <c r="Z2256" i="2"/>
  <c r="AD2256" i="2"/>
  <c r="K2257" i="2"/>
  <c r="L2257" i="2"/>
  <c r="Z2257" i="2"/>
  <c r="AC2257" i="2"/>
  <c r="AD2257" i="2"/>
  <c r="K2258" i="2"/>
  <c r="L2258" i="2"/>
  <c r="Z2258" i="2"/>
  <c r="AD2258" i="2"/>
  <c r="K2259" i="2"/>
  <c r="L2259" i="2"/>
  <c r="Z2259" i="2"/>
  <c r="AC2259" i="2" s="1"/>
  <c r="AD2259" i="2"/>
  <c r="K2260" i="2"/>
  <c r="L2260" i="2"/>
  <c r="Z2260" i="2"/>
  <c r="AD2260" i="2"/>
  <c r="K2261" i="2"/>
  <c r="L2261" i="2"/>
  <c r="Z2261" i="2"/>
  <c r="AB2261" i="2" s="1"/>
  <c r="AD2261" i="2"/>
  <c r="K2262" i="2"/>
  <c r="L2262" i="2"/>
  <c r="Z2262" i="2"/>
  <c r="AD2262" i="2"/>
  <c r="K2263" i="2"/>
  <c r="L2263" i="2"/>
  <c r="Z2263" i="2"/>
  <c r="AA2263" i="2" s="1"/>
  <c r="AB2263" i="2"/>
  <c r="AC2263" i="2"/>
  <c r="AD2263" i="2"/>
  <c r="K2264" i="2"/>
  <c r="L2264" i="2"/>
  <c r="Z2264" i="2"/>
  <c r="AA2264" i="2" s="1"/>
  <c r="AD2264" i="2"/>
  <c r="K2265" i="2"/>
  <c r="L2265" i="2"/>
  <c r="Z2265" i="2"/>
  <c r="AB2265" i="2"/>
  <c r="AD2265" i="2"/>
  <c r="K2266" i="2"/>
  <c r="L2266" i="2"/>
  <c r="Z2266" i="2"/>
  <c r="AD2266" i="2"/>
  <c r="K2267" i="2"/>
  <c r="L2267" i="2"/>
  <c r="Z2267" i="2"/>
  <c r="AB2267" i="2" s="1"/>
  <c r="AD2267" i="2"/>
  <c r="K2268" i="2"/>
  <c r="L2268" i="2"/>
  <c r="Z2268" i="2"/>
  <c r="AB2268" i="2" s="1"/>
  <c r="AD2268" i="2"/>
  <c r="K2269" i="2"/>
  <c r="L2269" i="2"/>
  <c r="Z2269" i="2"/>
  <c r="AB2269" i="2" s="1"/>
  <c r="AD2269" i="2"/>
  <c r="K2270" i="2"/>
  <c r="L2270" i="2"/>
  <c r="Z2270" i="2"/>
  <c r="AB2270" i="2" s="1"/>
  <c r="AD2270" i="2"/>
  <c r="K2271" i="2"/>
  <c r="L2271" i="2"/>
  <c r="Z2271" i="2"/>
  <c r="AC2271" i="2" s="1"/>
  <c r="AA2271" i="2"/>
  <c r="AB2271" i="2"/>
  <c r="AD2271" i="2"/>
  <c r="K2272" i="2"/>
  <c r="L2272" i="2"/>
  <c r="Z2272" i="2"/>
  <c r="AB2272" i="2" s="1"/>
  <c r="AD2272" i="2"/>
  <c r="K2273" i="2"/>
  <c r="L2273" i="2"/>
  <c r="Z2273" i="2"/>
  <c r="AD2273" i="2"/>
  <c r="K2274" i="2"/>
  <c r="L2274" i="2"/>
  <c r="Z2274" i="2"/>
  <c r="AD2274" i="2"/>
  <c r="K2275" i="2"/>
  <c r="L2275" i="2"/>
  <c r="Z2275" i="2"/>
  <c r="AD2275" i="2"/>
  <c r="K2276" i="2"/>
  <c r="L2276" i="2"/>
  <c r="Z2276" i="2"/>
  <c r="AB2276" i="2" s="1"/>
  <c r="AD2276" i="2"/>
  <c r="K2277" i="2"/>
  <c r="L2277" i="2"/>
  <c r="Z2277" i="2"/>
  <c r="AC2277" i="2" s="1"/>
  <c r="AA2277" i="2"/>
  <c r="AB2277" i="2"/>
  <c r="AD2277" i="2"/>
  <c r="K2278" i="2"/>
  <c r="L2278" i="2"/>
  <c r="Z2278" i="2"/>
  <c r="AB2278" i="2" s="1"/>
  <c r="AD2278" i="2"/>
  <c r="K2279" i="2"/>
  <c r="L2279" i="2"/>
  <c r="Z2279" i="2"/>
  <c r="AC2279" i="2" s="1"/>
  <c r="AD2279" i="2"/>
  <c r="K2280" i="2"/>
  <c r="L2280" i="2"/>
  <c r="Z2280" i="2"/>
  <c r="AC2280" i="2" s="1"/>
  <c r="AD2280" i="2"/>
  <c r="K2281" i="2"/>
  <c r="L2281" i="2"/>
  <c r="Z2281" i="2"/>
  <c r="AC2281" i="2"/>
  <c r="AD2281" i="2"/>
  <c r="K2282" i="2"/>
  <c r="L2282" i="2"/>
  <c r="Z2282" i="2"/>
  <c r="AC2282" i="2" s="1"/>
  <c r="AD2282" i="2"/>
  <c r="K2283" i="2"/>
  <c r="L2283" i="2"/>
  <c r="Z2283" i="2"/>
  <c r="AD2283" i="2"/>
  <c r="K2284" i="2"/>
  <c r="L2284" i="2"/>
  <c r="Z2284" i="2"/>
  <c r="AA2284" i="2" s="1"/>
  <c r="AD2284" i="2"/>
  <c r="K2285" i="2"/>
  <c r="L2285" i="2"/>
  <c r="Z2285" i="2"/>
  <c r="AD2285" i="2"/>
  <c r="K2286" i="2"/>
  <c r="L2286" i="2"/>
  <c r="Z2286" i="2"/>
  <c r="AC2286" i="2" s="1"/>
  <c r="AD2286" i="2"/>
  <c r="K2287" i="2"/>
  <c r="L2287" i="2"/>
  <c r="Z2287" i="2"/>
  <c r="AA2287" i="2" s="1"/>
  <c r="AC2287" i="2"/>
  <c r="AD2287" i="2"/>
  <c r="K2288" i="2"/>
  <c r="L2288" i="2"/>
  <c r="Z2288" i="2"/>
  <c r="AC2288" i="2" s="1"/>
  <c r="AD2288" i="2"/>
  <c r="K2289" i="2"/>
  <c r="L2289" i="2"/>
  <c r="Z2289" i="2"/>
  <c r="AA2289" i="2" s="1"/>
  <c r="AD2289" i="2"/>
  <c r="K2290" i="2"/>
  <c r="L2290" i="2"/>
  <c r="Z2290" i="2"/>
  <c r="AC2290" i="2" s="1"/>
  <c r="AD2290" i="2"/>
  <c r="K2291" i="2"/>
  <c r="L2291" i="2"/>
  <c r="Z2291" i="2"/>
  <c r="AA2291" i="2"/>
  <c r="AD2291" i="2"/>
  <c r="K2292" i="2"/>
  <c r="L2292" i="2"/>
  <c r="Z2292" i="2"/>
  <c r="AB2292" i="2" s="1"/>
  <c r="AA2292" i="2"/>
  <c r="AD2292" i="2"/>
  <c r="K2293" i="2"/>
  <c r="L2293" i="2"/>
  <c r="Z2293" i="2"/>
  <c r="AD2293" i="2"/>
  <c r="K2294" i="2"/>
  <c r="L2294" i="2"/>
  <c r="Z2294" i="2"/>
  <c r="AD2294" i="2"/>
  <c r="K2295" i="2"/>
  <c r="L2295" i="2"/>
  <c r="Z2295" i="2"/>
  <c r="AB2295" i="2"/>
  <c r="AD2295" i="2"/>
  <c r="K2296" i="2"/>
  <c r="L2296" i="2"/>
  <c r="Z2296" i="2"/>
  <c r="AA2296" i="2" s="1"/>
  <c r="AD2296" i="2"/>
  <c r="K2297" i="2"/>
  <c r="L2297" i="2"/>
  <c r="Z2297" i="2"/>
  <c r="AB2297" i="2" s="1"/>
  <c r="AD2297" i="2"/>
  <c r="K2298" i="2"/>
  <c r="L2298" i="2"/>
  <c r="Z2298" i="2"/>
  <c r="AC2298" i="2" s="1"/>
  <c r="AD2298" i="2"/>
  <c r="K2299" i="2"/>
  <c r="L2299" i="2"/>
  <c r="Z2299" i="2"/>
  <c r="AB2299" i="2" s="1"/>
  <c r="AD2299" i="2"/>
  <c r="K2300" i="2"/>
  <c r="L2300" i="2"/>
  <c r="Z2300" i="2"/>
  <c r="AA2300" i="2" s="1"/>
  <c r="AD2300" i="2"/>
  <c r="K2301" i="2"/>
  <c r="L2301" i="2"/>
  <c r="Z2301" i="2"/>
  <c r="AD2301" i="2"/>
  <c r="K2302" i="2"/>
  <c r="L2302" i="2"/>
  <c r="Z2302" i="2"/>
  <c r="AA2302" i="2"/>
  <c r="AD2302" i="2"/>
  <c r="K2303" i="2"/>
  <c r="L2303" i="2"/>
  <c r="Z2303" i="2"/>
  <c r="AD2303" i="2"/>
  <c r="K2304" i="2"/>
  <c r="L2304" i="2"/>
  <c r="Z2304" i="2"/>
  <c r="AA2304" i="2" s="1"/>
  <c r="AD2304" i="2"/>
  <c r="K2305" i="2"/>
  <c r="L2305" i="2"/>
  <c r="Z2305" i="2"/>
  <c r="AB2305" i="2" s="1"/>
  <c r="AD2305" i="2"/>
  <c r="K2306" i="2"/>
  <c r="L2306" i="2"/>
  <c r="Z2306" i="2"/>
  <c r="AA2306" i="2" s="1"/>
  <c r="AD2306" i="2"/>
  <c r="K2307" i="2"/>
  <c r="L2307" i="2"/>
  <c r="Z2307" i="2"/>
  <c r="AA2307" i="2" s="1"/>
  <c r="AD2307" i="2"/>
  <c r="K2308" i="2"/>
  <c r="L2308" i="2"/>
  <c r="Z2308" i="2"/>
  <c r="AA2308" i="2"/>
  <c r="AB2308" i="2"/>
  <c r="AC2308" i="2"/>
  <c r="AD2308" i="2"/>
  <c r="K2309" i="2"/>
  <c r="L2309" i="2"/>
  <c r="Z2309" i="2"/>
  <c r="AD2309" i="2"/>
  <c r="K2310" i="2"/>
  <c r="L2310" i="2"/>
  <c r="Z2310" i="2"/>
  <c r="AB2310" i="2" s="1"/>
  <c r="AA2310" i="2"/>
  <c r="AC2310" i="2"/>
  <c r="AD2310" i="2"/>
  <c r="K2311" i="2"/>
  <c r="L2311" i="2"/>
  <c r="Z2311" i="2"/>
  <c r="AD2311" i="2"/>
  <c r="K2312" i="2"/>
  <c r="L2312" i="2"/>
  <c r="Z2312" i="2"/>
  <c r="AA2312" i="2"/>
  <c r="AB2312" i="2"/>
  <c r="AC2312" i="2"/>
  <c r="AD2312" i="2"/>
  <c r="K2313" i="2"/>
  <c r="L2313" i="2"/>
  <c r="Z2313" i="2"/>
  <c r="AD2313" i="2"/>
  <c r="K2314" i="2"/>
  <c r="L2314" i="2"/>
  <c r="Z2314" i="2"/>
  <c r="AA2314" i="2" s="1"/>
  <c r="AD2314" i="2"/>
  <c r="K2315" i="2"/>
  <c r="L2315" i="2"/>
  <c r="Z2315" i="2"/>
  <c r="AA2315" i="2" s="1"/>
  <c r="AD2315" i="2"/>
  <c r="K2316" i="2"/>
  <c r="L2316" i="2"/>
  <c r="Z2316" i="2"/>
  <c r="AB2316" i="2" s="1"/>
  <c r="AA2316" i="2"/>
  <c r="AD2316" i="2"/>
  <c r="K2317" i="2"/>
  <c r="L2317" i="2"/>
  <c r="Z2317" i="2"/>
  <c r="AC2317" i="2" s="1"/>
  <c r="AB2317" i="2"/>
  <c r="AD2317" i="2"/>
  <c r="K2318" i="2"/>
  <c r="L2318" i="2"/>
  <c r="Z2318" i="2"/>
  <c r="AA2318" i="2" s="1"/>
  <c r="AC2318" i="2"/>
  <c r="AD2318" i="2"/>
  <c r="K2319" i="2"/>
  <c r="L2319" i="2"/>
  <c r="Z2319" i="2"/>
  <c r="AD2319" i="2"/>
  <c r="K2320" i="2"/>
  <c r="L2320" i="2"/>
  <c r="Z2320" i="2"/>
  <c r="AD2320" i="2"/>
  <c r="K2321" i="2"/>
  <c r="L2321" i="2"/>
  <c r="Z2321" i="2"/>
  <c r="AD2321" i="2"/>
  <c r="K2322" i="2"/>
  <c r="L2322" i="2"/>
  <c r="Z2322" i="2"/>
  <c r="AB2322" i="2" s="1"/>
  <c r="AD2322" i="2"/>
  <c r="K2323" i="2"/>
  <c r="L2323" i="2"/>
  <c r="Z2323" i="2"/>
  <c r="AA2323" i="2" s="1"/>
  <c r="AD2323" i="2"/>
  <c r="K2324" i="2"/>
  <c r="L2324" i="2"/>
  <c r="Z2324" i="2"/>
  <c r="AA2324" i="2" s="1"/>
  <c r="AC2324" i="2"/>
  <c r="AD2324" i="2"/>
  <c r="K2325" i="2"/>
  <c r="L2325" i="2"/>
  <c r="Z2325" i="2"/>
  <c r="AC2325" i="2" s="1"/>
  <c r="AD2325" i="2"/>
  <c r="K2326" i="2"/>
  <c r="L2326" i="2"/>
  <c r="Z2326" i="2"/>
  <c r="AB2326" i="2" s="1"/>
  <c r="AD2326" i="2"/>
  <c r="K2327" i="2"/>
  <c r="L2327" i="2"/>
  <c r="Z2327" i="2"/>
  <c r="AA2327" i="2" s="1"/>
  <c r="AD2327" i="2"/>
  <c r="K2328" i="2"/>
  <c r="L2328" i="2"/>
  <c r="Z2328" i="2"/>
  <c r="AC2328" i="2"/>
  <c r="AD2328" i="2"/>
  <c r="K2329" i="2"/>
  <c r="L2329" i="2"/>
  <c r="Z2329" i="2"/>
  <c r="AA2329" i="2" s="1"/>
  <c r="AD2329" i="2"/>
  <c r="K2330" i="2"/>
  <c r="L2330" i="2"/>
  <c r="Z2330" i="2"/>
  <c r="AC2330" i="2" s="1"/>
  <c r="AD2330" i="2"/>
  <c r="K2331" i="2"/>
  <c r="L2331" i="2"/>
  <c r="Z2331" i="2"/>
  <c r="AD2331" i="2"/>
  <c r="K2332" i="2"/>
  <c r="L2332" i="2"/>
  <c r="Z2332" i="2"/>
  <c r="AB2332" i="2" s="1"/>
  <c r="AD2332" i="2"/>
  <c r="K2333" i="2"/>
  <c r="L2333" i="2"/>
  <c r="Z2333" i="2"/>
  <c r="AB2333" i="2" s="1"/>
  <c r="AD2333" i="2"/>
  <c r="K2334" i="2"/>
  <c r="L2334" i="2"/>
  <c r="Z2334" i="2"/>
  <c r="AA2334" i="2" s="1"/>
  <c r="AD2334" i="2"/>
  <c r="K2335" i="2"/>
  <c r="L2335" i="2"/>
  <c r="Z2335" i="2"/>
  <c r="AB2335" i="2" s="1"/>
  <c r="AD2335" i="2"/>
  <c r="K2336" i="2"/>
  <c r="L2336" i="2"/>
  <c r="Z2336" i="2"/>
  <c r="AC2336" i="2" s="1"/>
  <c r="AB2336" i="2"/>
  <c r="AD2336" i="2"/>
  <c r="K2337" i="2"/>
  <c r="L2337" i="2"/>
  <c r="Z2337" i="2"/>
  <c r="AA2337" i="2" s="1"/>
  <c r="AD2337" i="2"/>
  <c r="K2338" i="2"/>
  <c r="L2338" i="2"/>
  <c r="Z2338" i="2"/>
  <c r="AC2338" i="2"/>
  <c r="AD2338" i="2"/>
  <c r="K2339" i="2"/>
  <c r="L2339" i="2"/>
  <c r="Z2339" i="2"/>
  <c r="AB2339" i="2"/>
  <c r="AD2339" i="2"/>
  <c r="K2340" i="2"/>
  <c r="L2340" i="2"/>
  <c r="Z2340" i="2"/>
  <c r="AD2340" i="2"/>
  <c r="K2341" i="2"/>
  <c r="L2341" i="2"/>
  <c r="Z2341" i="2"/>
  <c r="AC2341" i="2"/>
  <c r="AD2341" i="2"/>
  <c r="K2342" i="2"/>
  <c r="L2342" i="2"/>
  <c r="Z2342" i="2"/>
  <c r="AB2342" i="2"/>
  <c r="AD2342" i="2"/>
  <c r="K2343" i="2"/>
  <c r="L2343" i="2"/>
  <c r="Z2343" i="2"/>
  <c r="AC2343" i="2" s="1"/>
  <c r="AD2343" i="2"/>
  <c r="K2344" i="2"/>
  <c r="L2344" i="2"/>
  <c r="Z2344" i="2"/>
  <c r="AC2344" i="2" s="1"/>
  <c r="AD2344" i="2"/>
  <c r="K2345" i="2"/>
  <c r="L2345" i="2"/>
  <c r="Z2345" i="2"/>
  <c r="AB2345" i="2" s="1"/>
  <c r="AD2345" i="2"/>
  <c r="K2346" i="2"/>
  <c r="L2346" i="2"/>
  <c r="Z2346" i="2"/>
  <c r="AB2346" i="2" s="1"/>
  <c r="AD2346" i="2"/>
  <c r="K2347" i="2"/>
  <c r="L2347" i="2"/>
  <c r="Z2347" i="2"/>
  <c r="AA2347" i="2" s="1"/>
  <c r="AC2347" i="2"/>
  <c r="AD2347" i="2"/>
  <c r="K2348" i="2"/>
  <c r="L2348" i="2"/>
  <c r="Z2348" i="2"/>
  <c r="AC2348" i="2" s="1"/>
  <c r="AD2348" i="2"/>
  <c r="K2349" i="2"/>
  <c r="L2349" i="2"/>
  <c r="Z2349" i="2"/>
  <c r="AA2349" i="2" s="1"/>
  <c r="AD2349" i="2"/>
  <c r="K2350" i="2"/>
  <c r="L2350" i="2"/>
  <c r="Z2350" i="2"/>
  <c r="AB2350" i="2" s="1"/>
  <c r="AD2350" i="2"/>
  <c r="K2351" i="2"/>
  <c r="L2351" i="2"/>
  <c r="Z2351" i="2"/>
  <c r="AA2351" i="2" s="1"/>
  <c r="AB2351" i="2"/>
  <c r="AD2351" i="2"/>
  <c r="K2352" i="2"/>
  <c r="L2352" i="2"/>
  <c r="Z2352" i="2"/>
  <c r="AC2352" i="2" s="1"/>
  <c r="AB2352" i="2"/>
  <c r="AD2352" i="2"/>
  <c r="K2353" i="2"/>
  <c r="L2353" i="2"/>
  <c r="Z2353" i="2"/>
  <c r="AA2353" i="2" s="1"/>
  <c r="AB2353" i="2"/>
  <c r="AD2353" i="2"/>
  <c r="K2354" i="2"/>
  <c r="L2354" i="2"/>
  <c r="Z2354" i="2"/>
  <c r="AD2354" i="2"/>
  <c r="K2355" i="2"/>
  <c r="L2355" i="2"/>
  <c r="Z2355" i="2"/>
  <c r="AA2355" i="2" s="1"/>
  <c r="AD2355" i="2"/>
  <c r="K2356" i="2"/>
  <c r="L2356" i="2"/>
  <c r="Z2356" i="2"/>
  <c r="AD2356" i="2"/>
  <c r="K2357" i="2"/>
  <c r="L2357" i="2"/>
  <c r="Z2357" i="2"/>
  <c r="AC2357" i="2"/>
  <c r="AD2357" i="2"/>
  <c r="K2358" i="2"/>
  <c r="L2358" i="2"/>
  <c r="Z2358" i="2"/>
  <c r="AA2358" i="2" s="1"/>
  <c r="AD2358" i="2"/>
  <c r="K2359" i="2"/>
  <c r="L2359" i="2"/>
  <c r="Z2359" i="2"/>
  <c r="AB2359" i="2" s="1"/>
  <c r="AD2359" i="2"/>
  <c r="K2360" i="2"/>
  <c r="L2360" i="2"/>
  <c r="Z2360" i="2"/>
  <c r="AA2360" i="2" s="1"/>
  <c r="AD2360" i="2"/>
  <c r="K2361" i="2"/>
  <c r="L2361" i="2"/>
  <c r="Z2361" i="2"/>
  <c r="AC2361" i="2"/>
  <c r="AD2361" i="2"/>
  <c r="K2362" i="2"/>
  <c r="L2362" i="2"/>
  <c r="Z2362" i="2"/>
  <c r="AB2362" i="2" s="1"/>
  <c r="AD2362" i="2"/>
  <c r="K2363" i="2"/>
  <c r="L2363" i="2"/>
  <c r="Z2363" i="2"/>
  <c r="AC2363" i="2" s="1"/>
  <c r="AD2363" i="2"/>
  <c r="K2364" i="2"/>
  <c r="L2364" i="2"/>
  <c r="Z2364" i="2"/>
  <c r="AA2364" i="2" s="1"/>
  <c r="AD2364" i="2"/>
  <c r="K2365" i="2"/>
  <c r="L2365" i="2"/>
  <c r="Z2365" i="2"/>
  <c r="AD2365" i="2"/>
  <c r="K2366" i="2"/>
  <c r="L2366" i="2"/>
  <c r="Z2366" i="2"/>
  <c r="AA2366" i="2" s="1"/>
  <c r="AD2366" i="2"/>
  <c r="K2367" i="2"/>
  <c r="L2367" i="2"/>
  <c r="Z2367" i="2"/>
  <c r="AD2367" i="2"/>
  <c r="K2368" i="2"/>
  <c r="L2368" i="2"/>
  <c r="Z2368" i="2"/>
  <c r="AC2368" i="2" s="1"/>
  <c r="AD2368" i="2"/>
  <c r="K2369" i="2"/>
  <c r="L2369" i="2"/>
  <c r="Z2369" i="2"/>
  <c r="AD2369" i="2"/>
  <c r="K2370" i="2"/>
  <c r="L2370" i="2"/>
  <c r="Z2370" i="2"/>
  <c r="AB2370" i="2" s="1"/>
  <c r="AD2370" i="2"/>
  <c r="K2371" i="2"/>
  <c r="L2371" i="2"/>
  <c r="Z2371" i="2"/>
  <c r="AB2371" i="2" s="1"/>
  <c r="AD2371" i="2"/>
  <c r="K2372" i="2"/>
  <c r="L2372" i="2"/>
  <c r="Z2372" i="2"/>
  <c r="AD2372" i="2"/>
  <c r="K2373" i="2"/>
  <c r="L2373" i="2"/>
  <c r="Z2373" i="2"/>
  <c r="AA2373" i="2" s="1"/>
  <c r="AD2373" i="2"/>
  <c r="K2374" i="2"/>
  <c r="L2374" i="2"/>
  <c r="Z2374" i="2"/>
  <c r="AB2374" i="2" s="1"/>
  <c r="AD2374" i="2"/>
  <c r="K2375" i="2"/>
  <c r="L2375" i="2"/>
  <c r="Z2375" i="2"/>
  <c r="AA2375" i="2" s="1"/>
  <c r="AB2375" i="2"/>
  <c r="AD2375" i="2"/>
  <c r="K2376" i="2"/>
  <c r="L2376" i="2"/>
  <c r="Z2376" i="2"/>
  <c r="AB2376" i="2" s="1"/>
  <c r="AA2376" i="2"/>
  <c r="AD2376" i="2"/>
  <c r="K2377" i="2"/>
  <c r="L2377" i="2"/>
  <c r="Z2377" i="2"/>
  <c r="AD2377" i="2"/>
  <c r="K2378" i="2"/>
  <c r="L2378" i="2"/>
  <c r="Z2378" i="2"/>
  <c r="AB2378" i="2"/>
  <c r="AD2378" i="2"/>
  <c r="K2379" i="2"/>
  <c r="L2379" i="2"/>
  <c r="Z2379" i="2"/>
  <c r="AA2379" i="2" s="1"/>
  <c r="AD2379" i="2"/>
  <c r="K2380" i="2"/>
  <c r="L2380" i="2"/>
  <c r="Z2380" i="2"/>
  <c r="AC2380" i="2" s="1"/>
  <c r="AD2380" i="2"/>
  <c r="K2381" i="2"/>
  <c r="L2381" i="2"/>
  <c r="Z2381" i="2"/>
  <c r="AD2381" i="2"/>
  <c r="K2382" i="2"/>
  <c r="L2382" i="2"/>
  <c r="Z2382" i="2"/>
  <c r="AC2382" i="2" s="1"/>
  <c r="AD2382" i="2"/>
  <c r="K2383" i="2"/>
  <c r="L2383" i="2"/>
  <c r="Z2383" i="2"/>
  <c r="AA2383" i="2" s="1"/>
  <c r="AB2383" i="2"/>
  <c r="AD2383" i="2"/>
  <c r="K2384" i="2"/>
  <c r="L2384" i="2"/>
  <c r="Z2384" i="2"/>
  <c r="AC2384" i="2" s="1"/>
  <c r="AB2384" i="2"/>
  <c r="AD2384" i="2"/>
  <c r="K2385" i="2"/>
  <c r="L2385" i="2"/>
  <c r="Z2385" i="2"/>
  <c r="AC2385" i="2" s="1"/>
  <c r="AA2385" i="2"/>
  <c r="AD2385" i="2"/>
  <c r="K2386" i="2"/>
  <c r="L2386" i="2"/>
  <c r="Z2386" i="2"/>
  <c r="AC2386" i="2" s="1"/>
  <c r="AD2386" i="2"/>
  <c r="K2387" i="2"/>
  <c r="L2387" i="2"/>
  <c r="Z2387" i="2"/>
  <c r="AC2387" i="2" s="1"/>
  <c r="AD2387" i="2"/>
  <c r="K2388" i="2"/>
  <c r="L2388" i="2"/>
  <c r="Z2388" i="2"/>
  <c r="AB2388" i="2" s="1"/>
  <c r="AA2388" i="2"/>
  <c r="AD2388" i="2"/>
  <c r="K2389" i="2"/>
  <c r="L2389" i="2"/>
  <c r="Z2389" i="2"/>
  <c r="AD2389" i="2"/>
  <c r="K2390" i="2"/>
  <c r="L2390" i="2"/>
  <c r="Z2390" i="2"/>
  <c r="AD2390" i="2"/>
  <c r="K2391" i="2"/>
  <c r="L2391" i="2"/>
  <c r="Z2391" i="2"/>
  <c r="AD2391" i="2"/>
  <c r="K2392" i="2"/>
  <c r="L2392" i="2"/>
  <c r="Z2392" i="2"/>
  <c r="AA2392" i="2" s="1"/>
  <c r="AD2392" i="2"/>
  <c r="K2393" i="2"/>
  <c r="L2393" i="2"/>
  <c r="Z2393" i="2"/>
  <c r="AB2393" i="2" s="1"/>
  <c r="AD2393" i="2"/>
  <c r="K2394" i="2"/>
  <c r="L2394" i="2"/>
  <c r="Z2394" i="2"/>
  <c r="AA2394" i="2" s="1"/>
  <c r="AD2394" i="2"/>
  <c r="K2395" i="2"/>
  <c r="L2395" i="2"/>
  <c r="Z2395" i="2"/>
  <c r="AA2395" i="2" s="1"/>
  <c r="AC2395" i="2"/>
  <c r="AD2395" i="2"/>
  <c r="K2396" i="2"/>
  <c r="L2396" i="2"/>
  <c r="Z2396" i="2"/>
  <c r="AC2396" i="2"/>
  <c r="AD2396" i="2"/>
  <c r="K2397" i="2"/>
  <c r="L2397" i="2"/>
  <c r="Z2397" i="2"/>
  <c r="AC2397" i="2" s="1"/>
  <c r="AA2397" i="2"/>
  <c r="AD2397" i="2"/>
  <c r="K2398" i="2"/>
  <c r="L2398" i="2"/>
  <c r="Z2398" i="2"/>
  <c r="AC2398" i="2"/>
  <c r="AD2398" i="2"/>
  <c r="K2399" i="2"/>
  <c r="L2399" i="2"/>
  <c r="Z2399" i="2"/>
  <c r="AB2399" i="2" s="1"/>
  <c r="AA2399" i="2"/>
  <c r="AC2399" i="2"/>
  <c r="AD2399" i="2"/>
  <c r="K2400" i="2"/>
  <c r="L2400" i="2"/>
  <c r="Z2400" i="2"/>
  <c r="AD2400" i="2"/>
  <c r="K2401" i="2"/>
  <c r="L2401" i="2"/>
  <c r="Z2401" i="2"/>
  <c r="AB2401" i="2" s="1"/>
  <c r="AA2401" i="2"/>
  <c r="AD2401" i="2"/>
  <c r="K2402" i="2"/>
  <c r="L2402" i="2"/>
  <c r="Z2402" i="2"/>
  <c r="AA2402" i="2" s="1"/>
  <c r="AD2402" i="2"/>
  <c r="K2403" i="2"/>
  <c r="L2403" i="2"/>
  <c r="Z2403" i="2"/>
  <c r="AD2403" i="2"/>
  <c r="K2404" i="2"/>
  <c r="L2404" i="2"/>
  <c r="Z2404" i="2"/>
  <c r="AC2404" i="2" s="1"/>
  <c r="AB2404" i="2"/>
  <c r="AD2404" i="2"/>
  <c r="K2405" i="2"/>
  <c r="L2405" i="2"/>
  <c r="Z2405" i="2"/>
  <c r="AD2405" i="2"/>
  <c r="K2406" i="2"/>
  <c r="L2406" i="2"/>
  <c r="Z2406" i="2"/>
  <c r="AA2406" i="2" s="1"/>
  <c r="AC2406" i="2"/>
  <c r="AD2406" i="2"/>
  <c r="K2407" i="2"/>
  <c r="L2407" i="2"/>
  <c r="Z2407" i="2"/>
  <c r="AA2407" i="2" s="1"/>
  <c r="AB2407" i="2"/>
  <c r="AC2407" i="2"/>
  <c r="AD2407" i="2"/>
  <c r="K2408" i="2"/>
  <c r="L2408" i="2"/>
  <c r="Z2408" i="2"/>
  <c r="AA2408" i="2" s="1"/>
  <c r="AD2408" i="2"/>
  <c r="K2409" i="2"/>
  <c r="L2409" i="2"/>
  <c r="Z2409" i="2"/>
  <c r="AD2409" i="2"/>
  <c r="K2410" i="2"/>
  <c r="L2410" i="2"/>
  <c r="Z2410" i="2"/>
  <c r="AB2410" i="2" s="1"/>
  <c r="AA2410" i="2"/>
  <c r="AC2410" i="2"/>
  <c r="AD2410" i="2"/>
  <c r="K2411" i="2"/>
  <c r="L2411" i="2"/>
  <c r="Z2411" i="2"/>
  <c r="AA2411" i="2" s="1"/>
  <c r="AC2411" i="2"/>
  <c r="AD2411" i="2"/>
  <c r="K2412" i="2"/>
  <c r="L2412" i="2"/>
  <c r="Z2412" i="2"/>
  <c r="AA2412" i="2"/>
  <c r="AB2412" i="2"/>
  <c r="AC2412" i="2"/>
  <c r="AD2412" i="2"/>
  <c r="K2413" i="2"/>
  <c r="L2413" i="2"/>
  <c r="Z2413" i="2"/>
  <c r="AC2413" i="2" s="1"/>
  <c r="AA2413" i="2"/>
  <c r="AD2413" i="2"/>
  <c r="K2414" i="2"/>
  <c r="L2414" i="2"/>
  <c r="Z2414" i="2"/>
  <c r="AA2414" i="2"/>
  <c r="AB2414" i="2"/>
  <c r="AC2414" i="2"/>
  <c r="AD2414" i="2"/>
  <c r="K2415" i="2"/>
  <c r="L2415" i="2"/>
  <c r="Z2415" i="2"/>
  <c r="AD2415" i="2"/>
  <c r="K2416" i="2"/>
  <c r="L2416" i="2"/>
  <c r="Z2416" i="2"/>
  <c r="AD2416" i="2"/>
  <c r="K2417" i="2"/>
  <c r="L2417" i="2"/>
  <c r="Z2417" i="2"/>
  <c r="AA2417" i="2" s="1"/>
  <c r="AC2417" i="2"/>
  <c r="AD2417" i="2"/>
  <c r="K2418" i="2"/>
  <c r="L2418" i="2"/>
  <c r="Z2418" i="2"/>
  <c r="AB2418" i="2" s="1"/>
  <c r="AA2418" i="2"/>
  <c r="AC2418" i="2"/>
  <c r="AD2418" i="2"/>
  <c r="K2419" i="2"/>
  <c r="L2419" i="2"/>
  <c r="Z2419" i="2"/>
  <c r="AC2419" i="2" s="1"/>
  <c r="AD2419" i="2"/>
  <c r="K2420" i="2"/>
  <c r="L2420" i="2"/>
  <c r="Z2420" i="2"/>
  <c r="AD2420" i="2"/>
  <c r="K2421" i="2"/>
  <c r="L2421" i="2"/>
  <c r="Z2421" i="2"/>
  <c r="AA2421" i="2" s="1"/>
  <c r="AD2421" i="2"/>
  <c r="K2422" i="2"/>
  <c r="L2422" i="2"/>
  <c r="Z2422" i="2"/>
  <c r="AD2422" i="2"/>
  <c r="K2423" i="2"/>
  <c r="L2423" i="2"/>
  <c r="Z2423" i="2"/>
  <c r="AA2423" i="2" s="1"/>
  <c r="AD2423" i="2"/>
  <c r="K2424" i="2"/>
  <c r="L2424" i="2"/>
  <c r="Z2424" i="2"/>
  <c r="AA2424" i="2" s="1"/>
  <c r="AD2424" i="2"/>
  <c r="K2425" i="2"/>
  <c r="L2425" i="2"/>
  <c r="Z2425" i="2"/>
  <c r="AB2425" i="2" s="1"/>
  <c r="AD2425" i="2"/>
  <c r="K2426" i="2"/>
  <c r="L2426" i="2"/>
  <c r="Z2426" i="2"/>
  <c r="AD2426" i="2"/>
  <c r="K2427" i="2"/>
  <c r="L2427" i="2"/>
  <c r="Z2427" i="2"/>
  <c r="AC2427" i="2" s="1"/>
  <c r="AA2427" i="2"/>
  <c r="AB2427" i="2"/>
  <c r="AD2427" i="2"/>
  <c r="K2428" i="2"/>
  <c r="L2428" i="2"/>
  <c r="Z2428" i="2"/>
  <c r="AC2428" i="2"/>
  <c r="AD2428" i="2"/>
  <c r="K2429" i="2"/>
  <c r="L2429" i="2"/>
  <c r="Z2429" i="2"/>
  <c r="AA2429" i="2" s="1"/>
  <c r="AC2429" i="2"/>
  <c r="AD2429" i="2"/>
  <c r="K2430" i="2"/>
  <c r="L2430" i="2"/>
  <c r="Z2430" i="2"/>
  <c r="AB2430" i="2" s="1"/>
  <c r="AD2430" i="2"/>
  <c r="K2431" i="2"/>
  <c r="L2431" i="2"/>
  <c r="Z2431" i="2"/>
  <c r="AC2431" i="2" s="1"/>
  <c r="AB2431" i="2"/>
  <c r="AD2431" i="2"/>
  <c r="K2432" i="2"/>
  <c r="L2432" i="2"/>
  <c r="Z2432" i="2"/>
  <c r="AC2432" i="2" s="1"/>
  <c r="AD2432" i="2"/>
  <c r="K2433" i="2"/>
  <c r="L2433" i="2"/>
  <c r="Z2433" i="2"/>
  <c r="AB2433" i="2" s="1"/>
  <c r="AC2433" i="2"/>
  <c r="AD2433" i="2"/>
  <c r="K2434" i="2"/>
  <c r="L2434" i="2"/>
  <c r="Z2434" i="2"/>
  <c r="AC2434" i="2" s="1"/>
  <c r="AD2434" i="2"/>
  <c r="K2435" i="2"/>
  <c r="L2435" i="2"/>
  <c r="Z2435" i="2"/>
  <c r="AA2435" i="2" s="1"/>
  <c r="AD2435" i="2"/>
  <c r="K2436" i="2"/>
  <c r="L2436" i="2"/>
  <c r="Z2436" i="2"/>
  <c r="AB2436" i="2" s="1"/>
  <c r="AD2436" i="2"/>
  <c r="K2437" i="2"/>
  <c r="L2437" i="2"/>
  <c r="Z2437" i="2"/>
  <c r="AC2437" i="2" s="1"/>
  <c r="AD2437" i="2"/>
  <c r="K2438" i="2"/>
  <c r="L2438" i="2"/>
  <c r="Z2438" i="2"/>
  <c r="AA2438" i="2" s="1"/>
  <c r="AD2438" i="2"/>
  <c r="K2439" i="2"/>
  <c r="L2439" i="2"/>
  <c r="Z2439" i="2"/>
  <c r="AC2439" i="2" s="1"/>
  <c r="AD2439" i="2"/>
  <c r="K2440" i="2"/>
  <c r="L2440" i="2"/>
  <c r="Z2440" i="2"/>
  <c r="AD2440" i="2"/>
  <c r="K2441" i="2"/>
  <c r="L2441" i="2"/>
  <c r="Z2441" i="2"/>
  <c r="AB2441" i="2" s="1"/>
  <c r="AD2441" i="2"/>
  <c r="K2442" i="2"/>
  <c r="L2442" i="2"/>
  <c r="Z2442" i="2"/>
  <c r="AD2442" i="2"/>
  <c r="K2443" i="2"/>
  <c r="L2443" i="2"/>
  <c r="Z2443" i="2"/>
  <c r="AB2443" i="2" s="1"/>
  <c r="AD2443" i="2"/>
  <c r="K2444" i="2"/>
  <c r="L2444" i="2"/>
  <c r="Z2444" i="2"/>
  <c r="AD2444" i="2"/>
  <c r="K2445" i="2"/>
  <c r="L2445" i="2"/>
  <c r="Z2445" i="2"/>
  <c r="AA2445" i="2" s="1"/>
  <c r="AD2445" i="2"/>
  <c r="K2446" i="2"/>
  <c r="L2446" i="2"/>
  <c r="Z2446" i="2"/>
  <c r="AB2446" i="2" s="1"/>
  <c r="AD2446" i="2"/>
  <c r="K2447" i="2"/>
  <c r="L2447" i="2"/>
  <c r="Z2447" i="2"/>
  <c r="AB2447" i="2" s="1"/>
  <c r="AD2447" i="2"/>
  <c r="K2448" i="2"/>
  <c r="L2448" i="2"/>
  <c r="Z2448" i="2"/>
  <c r="AD2448" i="2"/>
  <c r="K2449" i="2"/>
  <c r="L2449" i="2"/>
  <c r="Z2449" i="2"/>
  <c r="AD2449" i="2"/>
  <c r="K2450" i="2"/>
  <c r="L2450" i="2"/>
  <c r="Z2450" i="2"/>
  <c r="AC2450" i="2" s="1"/>
  <c r="AD2450" i="2"/>
  <c r="K2451" i="2"/>
  <c r="L2451" i="2"/>
  <c r="Z2451" i="2"/>
  <c r="AA2451" i="2" s="1"/>
  <c r="AD2451" i="2"/>
  <c r="K2452" i="2"/>
  <c r="L2452" i="2"/>
  <c r="Z2452" i="2"/>
  <c r="AD2452" i="2"/>
  <c r="K2453" i="2"/>
  <c r="L2453" i="2"/>
  <c r="Z2453" i="2"/>
  <c r="AC2453" i="2" s="1"/>
  <c r="AD2453" i="2"/>
  <c r="K2454" i="2"/>
  <c r="L2454" i="2"/>
  <c r="Z2454" i="2"/>
  <c r="AD2454" i="2"/>
  <c r="K2455" i="2"/>
  <c r="L2455" i="2"/>
  <c r="Z2455" i="2"/>
  <c r="AB2455" i="2" s="1"/>
  <c r="AA2455" i="2"/>
  <c r="AD2455" i="2"/>
  <c r="K2456" i="2"/>
  <c r="L2456" i="2"/>
  <c r="Z2456" i="2"/>
  <c r="AD2456" i="2"/>
  <c r="K2457" i="2"/>
  <c r="L2457" i="2"/>
  <c r="Z2457" i="2"/>
  <c r="AD2457" i="2"/>
  <c r="K2458" i="2"/>
  <c r="L2458" i="2"/>
  <c r="Z2458" i="2"/>
  <c r="AA2458" i="2"/>
  <c r="AD2458" i="2"/>
  <c r="K2459" i="2"/>
  <c r="L2459" i="2"/>
  <c r="Z2459" i="2"/>
  <c r="AA2459" i="2" s="1"/>
  <c r="AC2459" i="2"/>
  <c r="AD2459" i="2"/>
  <c r="K2460" i="2"/>
  <c r="L2460" i="2"/>
  <c r="Z2460" i="2"/>
  <c r="AD2460" i="2"/>
  <c r="K2461" i="2"/>
  <c r="L2461" i="2"/>
  <c r="Z2461" i="2"/>
  <c r="AA2461" i="2" s="1"/>
  <c r="AC2461" i="2"/>
  <c r="AD2461" i="2"/>
  <c r="K2462" i="2"/>
  <c r="L2462" i="2"/>
  <c r="Z2462" i="2"/>
  <c r="AA2462" i="2"/>
  <c r="AD2462" i="2"/>
  <c r="K2463" i="2"/>
  <c r="L2463" i="2"/>
  <c r="Z2463" i="2"/>
  <c r="AA2463" i="2" s="1"/>
  <c r="AD2463" i="2"/>
  <c r="K2464" i="2"/>
  <c r="L2464" i="2"/>
  <c r="Z2464" i="2"/>
  <c r="AC2464" i="2" s="1"/>
  <c r="AA2464" i="2"/>
  <c r="AB2464" i="2"/>
  <c r="AD2464" i="2"/>
  <c r="K2465" i="2"/>
  <c r="L2465" i="2"/>
  <c r="Z2465" i="2"/>
  <c r="AB2465" i="2" s="1"/>
  <c r="AD2465" i="2"/>
  <c r="K2466" i="2"/>
  <c r="L2466" i="2"/>
  <c r="Z2466" i="2"/>
  <c r="AA2466" i="2" s="1"/>
  <c r="AD2466" i="2"/>
  <c r="K2467" i="2"/>
  <c r="L2467" i="2"/>
  <c r="Z2467" i="2"/>
  <c r="AA2467" i="2" s="1"/>
  <c r="AD2467" i="2"/>
  <c r="K2468" i="2"/>
  <c r="L2468" i="2"/>
  <c r="Z2468" i="2"/>
  <c r="AC2468" i="2" s="1"/>
  <c r="AD2468" i="2"/>
  <c r="K2469" i="2"/>
  <c r="L2469" i="2"/>
  <c r="Z2469" i="2"/>
  <c r="AC2469" i="2" s="1"/>
  <c r="AD2469" i="2"/>
  <c r="K2470" i="2"/>
  <c r="L2470" i="2"/>
  <c r="Z2470" i="2"/>
  <c r="AB2470" i="2" s="1"/>
  <c r="AD2470" i="2"/>
  <c r="K2471" i="2"/>
  <c r="L2471" i="2"/>
  <c r="Z2471" i="2"/>
  <c r="AC2471" i="2" s="1"/>
  <c r="AD2471" i="2"/>
  <c r="K2472" i="2"/>
  <c r="L2472" i="2"/>
  <c r="Z2472" i="2"/>
  <c r="AB2472" i="2" s="1"/>
  <c r="AA2472" i="2"/>
  <c r="AD2472" i="2"/>
  <c r="K2473" i="2"/>
  <c r="L2473" i="2"/>
  <c r="Z2473" i="2"/>
  <c r="AA2473" i="2" s="1"/>
  <c r="AD2473" i="2"/>
  <c r="K2474" i="2"/>
  <c r="L2474" i="2"/>
  <c r="Z2474" i="2"/>
  <c r="AB2474" i="2"/>
  <c r="AD2474" i="2"/>
  <c r="K2475" i="2"/>
  <c r="L2475" i="2"/>
  <c r="Z2475" i="2"/>
  <c r="AC2475" i="2" s="1"/>
  <c r="AB2475" i="2"/>
  <c r="AD2475" i="2"/>
  <c r="K2476" i="2"/>
  <c r="L2476" i="2"/>
  <c r="Z2476" i="2"/>
  <c r="AA2476" i="2" s="1"/>
  <c r="AD2476" i="2"/>
  <c r="K2477" i="2"/>
  <c r="L2477" i="2"/>
  <c r="Z2477" i="2"/>
  <c r="AB2477" i="2" s="1"/>
  <c r="AD2477" i="2"/>
  <c r="K2478" i="2"/>
  <c r="L2478" i="2"/>
  <c r="Z2478" i="2"/>
  <c r="AA2478" i="2" s="1"/>
  <c r="AD2478" i="2"/>
  <c r="K2479" i="2"/>
  <c r="L2479" i="2"/>
  <c r="Z2479" i="2"/>
  <c r="AB2479" i="2" s="1"/>
  <c r="AD2479" i="2"/>
  <c r="K2480" i="2"/>
  <c r="L2480" i="2"/>
  <c r="Z2480" i="2"/>
  <c r="AC2480" i="2" s="1"/>
  <c r="AD2480" i="2"/>
  <c r="K2481" i="2"/>
  <c r="L2481" i="2"/>
  <c r="Z2481" i="2"/>
  <c r="AD2481" i="2"/>
  <c r="K2482" i="2"/>
  <c r="L2482" i="2"/>
  <c r="Z2482" i="2"/>
  <c r="AC2482" i="2" s="1"/>
  <c r="AD2482" i="2"/>
  <c r="K2483" i="2"/>
  <c r="L2483" i="2"/>
  <c r="Z2483" i="2"/>
  <c r="AB2483" i="2" s="1"/>
  <c r="AD2483" i="2"/>
  <c r="K2484" i="2"/>
  <c r="L2484" i="2"/>
  <c r="Z2484" i="2"/>
  <c r="AD2484" i="2"/>
  <c r="K2485" i="2"/>
  <c r="L2485" i="2"/>
  <c r="Z2485" i="2"/>
  <c r="AD2485" i="2"/>
  <c r="K2486" i="2"/>
  <c r="L2486" i="2"/>
  <c r="Z2486" i="2"/>
  <c r="AD2486" i="2"/>
  <c r="K2487" i="2"/>
  <c r="L2487" i="2"/>
  <c r="Z2487" i="2"/>
  <c r="AC2487" i="2" s="1"/>
  <c r="AB2487" i="2"/>
  <c r="AD2487" i="2"/>
  <c r="K2488" i="2"/>
  <c r="L2488" i="2"/>
  <c r="Z2488" i="2"/>
  <c r="AD2488" i="2"/>
  <c r="K2489" i="2"/>
  <c r="L2489" i="2"/>
  <c r="Z2489" i="2"/>
  <c r="AB2489" i="2" s="1"/>
  <c r="AD2489" i="2"/>
  <c r="K2490" i="2"/>
  <c r="L2490" i="2"/>
  <c r="Z2490" i="2"/>
  <c r="AA2490" i="2" s="1"/>
  <c r="AD2490" i="2"/>
  <c r="K2491" i="2"/>
  <c r="L2491" i="2"/>
  <c r="Z2491" i="2"/>
  <c r="AD2491" i="2"/>
  <c r="K2492" i="2"/>
  <c r="L2492" i="2"/>
  <c r="Z2492" i="2"/>
  <c r="AC2492" i="2"/>
  <c r="AD2492" i="2"/>
  <c r="K2493" i="2"/>
  <c r="L2493" i="2"/>
  <c r="Z2493" i="2"/>
  <c r="AA2493" i="2" s="1"/>
  <c r="AC2493" i="2"/>
  <c r="AD2493" i="2"/>
  <c r="K2494" i="2"/>
  <c r="L2494" i="2"/>
  <c r="Z2494" i="2"/>
  <c r="AA2494" i="2" s="1"/>
  <c r="AC2494" i="2"/>
  <c r="AD2494" i="2"/>
  <c r="K2495" i="2"/>
  <c r="L2495" i="2"/>
  <c r="Z2495" i="2"/>
  <c r="AB2495" i="2" s="1"/>
  <c r="AA2495" i="2"/>
  <c r="AC2495" i="2"/>
  <c r="AD2495" i="2"/>
  <c r="K2496" i="2"/>
  <c r="L2496" i="2"/>
  <c r="Z2496" i="2"/>
  <c r="AC2496" i="2" s="1"/>
  <c r="AD2496" i="2"/>
  <c r="K2497" i="2"/>
  <c r="L2497" i="2"/>
  <c r="Z2497" i="2"/>
  <c r="AC2497" i="2" s="1"/>
  <c r="AB2497" i="2"/>
  <c r="AD2497" i="2"/>
  <c r="K2498" i="2"/>
  <c r="L2498" i="2"/>
  <c r="Z2498" i="2"/>
  <c r="AA2498" i="2" s="1"/>
  <c r="AD2498" i="2"/>
  <c r="K2499" i="2"/>
  <c r="L2499" i="2"/>
  <c r="Z2499" i="2"/>
  <c r="AA2499" i="2" s="1"/>
  <c r="AC2499" i="2"/>
  <c r="AD2499" i="2"/>
  <c r="K2500" i="2"/>
  <c r="L2500" i="2"/>
  <c r="Z2500" i="2"/>
  <c r="AA2500" i="2" s="1"/>
  <c r="AC2500" i="2"/>
  <c r="AD2500" i="2"/>
  <c r="K2501" i="2"/>
  <c r="L2501" i="2"/>
  <c r="Z2501" i="2"/>
  <c r="AA2501" i="2" s="1"/>
  <c r="AD2501" i="2"/>
  <c r="K2502" i="2"/>
  <c r="L2502" i="2"/>
  <c r="Z2502" i="2"/>
  <c r="AA2502" i="2" s="1"/>
  <c r="AD2502" i="2"/>
  <c r="K2503" i="2"/>
  <c r="L2503" i="2"/>
  <c r="Z2503" i="2"/>
  <c r="AC2503" i="2" s="1"/>
  <c r="AD2503" i="2"/>
  <c r="K2504" i="2"/>
  <c r="L2504" i="2"/>
  <c r="Z2504" i="2"/>
  <c r="AB2504" i="2" s="1"/>
  <c r="AD2504" i="2"/>
  <c r="K2505" i="2"/>
  <c r="L2505" i="2"/>
  <c r="Z2505" i="2"/>
  <c r="AD2505" i="2"/>
  <c r="K2506" i="2"/>
  <c r="L2506" i="2"/>
  <c r="Z2506" i="2"/>
  <c r="AA2506" i="2" s="1"/>
  <c r="AB2506" i="2"/>
  <c r="AC2506" i="2"/>
  <c r="AD2506" i="2"/>
  <c r="K2507" i="2"/>
  <c r="L2507" i="2"/>
  <c r="Z2507" i="2"/>
  <c r="AD2507" i="2"/>
  <c r="K2508" i="2"/>
  <c r="L2508" i="2"/>
  <c r="Z2508" i="2"/>
  <c r="AB2508" i="2" s="1"/>
  <c r="AD2508" i="2"/>
  <c r="K2509" i="2"/>
  <c r="L2509" i="2"/>
  <c r="Z2509" i="2"/>
  <c r="AA2509" i="2" s="1"/>
  <c r="AB2509" i="2"/>
  <c r="AC2509" i="2"/>
  <c r="AD2509" i="2"/>
  <c r="K2510" i="2"/>
  <c r="L2510" i="2"/>
  <c r="Z2510" i="2"/>
  <c r="AA2510" i="2" s="1"/>
  <c r="AD2510" i="2"/>
  <c r="K2511" i="2"/>
  <c r="L2511" i="2"/>
  <c r="Z2511" i="2"/>
  <c r="AD2511" i="2"/>
  <c r="K2512" i="2"/>
  <c r="L2512" i="2"/>
  <c r="Z2512" i="2"/>
  <c r="AA2512" i="2" s="1"/>
  <c r="AD2512" i="2"/>
  <c r="K2513" i="2"/>
  <c r="L2513" i="2"/>
  <c r="Z2513" i="2"/>
  <c r="AC2513" i="2" s="1"/>
  <c r="AD2513" i="2"/>
  <c r="K2514" i="2"/>
  <c r="L2514" i="2"/>
  <c r="Z2514" i="2"/>
  <c r="AD2514" i="2"/>
  <c r="K2515" i="2"/>
  <c r="L2515" i="2"/>
  <c r="Z2515" i="2"/>
  <c r="AB2515" i="2" s="1"/>
  <c r="AD2515" i="2"/>
  <c r="K2516" i="2"/>
  <c r="L2516" i="2"/>
  <c r="Z2516" i="2"/>
  <c r="AB2516" i="2" s="1"/>
  <c r="AD2516" i="2"/>
  <c r="K2517" i="2"/>
  <c r="L2517" i="2"/>
  <c r="Z2517" i="2"/>
  <c r="AD2517" i="2"/>
  <c r="K2518" i="2"/>
  <c r="L2518" i="2"/>
  <c r="Z2518" i="2"/>
  <c r="AD2518" i="2"/>
  <c r="K2519" i="2"/>
  <c r="L2519" i="2"/>
  <c r="Z2519" i="2"/>
  <c r="AB2519" i="2" s="1"/>
  <c r="AD2519" i="2"/>
  <c r="K2520" i="2"/>
  <c r="L2520" i="2"/>
  <c r="Z2520" i="2"/>
  <c r="AD2520" i="2"/>
  <c r="K2521" i="2"/>
  <c r="L2521" i="2"/>
  <c r="Z2521" i="2"/>
  <c r="AA2521" i="2" s="1"/>
  <c r="AD2521" i="2"/>
  <c r="K2522" i="2"/>
  <c r="L2522" i="2"/>
  <c r="Z2522" i="2"/>
  <c r="AB2522" i="2" s="1"/>
  <c r="AD2522" i="2"/>
  <c r="K2523" i="2"/>
  <c r="L2523" i="2"/>
  <c r="Z2523" i="2"/>
  <c r="AB2523" i="2" s="1"/>
  <c r="AD2523" i="2"/>
  <c r="K2524" i="2"/>
  <c r="L2524" i="2"/>
  <c r="Z2524" i="2"/>
  <c r="AB2524" i="2" s="1"/>
  <c r="AA2524" i="2"/>
  <c r="AC2524" i="2"/>
  <c r="AD2524" i="2"/>
  <c r="K2525" i="2"/>
  <c r="L2525" i="2"/>
  <c r="Z2525" i="2"/>
  <c r="AC2525" i="2" s="1"/>
  <c r="AD2525" i="2"/>
  <c r="K2526" i="2"/>
  <c r="L2526" i="2"/>
  <c r="Z2526" i="2"/>
  <c r="AC2526" i="2" s="1"/>
  <c r="AB2526" i="2"/>
  <c r="AD2526" i="2"/>
  <c r="K2527" i="2"/>
  <c r="L2527" i="2"/>
  <c r="Z2527" i="2"/>
  <c r="AA2527" i="2" s="1"/>
  <c r="AD2527" i="2"/>
  <c r="K2528" i="2"/>
  <c r="L2528" i="2"/>
  <c r="Z2528" i="2"/>
  <c r="AB2528" i="2" s="1"/>
  <c r="AD2528" i="2"/>
  <c r="K2529" i="2"/>
  <c r="L2529" i="2"/>
  <c r="Z2529" i="2"/>
  <c r="AD2529" i="2"/>
  <c r="K2530" i="2"/>
  <c r="L2530" i="2"/>
  <c r="Z2530" i="2"/>
  <c r="AD2530" i="2"/>
  <c r="K2531" i="2"/>
  <c r="L2531" i="2"/>
  <c r="Z2531" i="2"/>
  <c r="AA2531" i="2" s="1"/>
  <c r="AD2531" i="2"/>
  <c r="K2532" i="2"/>
  <c r="L2532" i="2"/>
  <c r="Z2532" i="2"/>
  <c r="AD2532" i="2"/>
  <c r="K2533" i="2"/>
  <c r="L2533" i="2"/>
  <c r="Z2533" i="2"/>
  <c r="AA2533" i="2" s="1"/>
  <c r="AB2533" i="2"/>
  <c r="AD2533" i="2"/>
  <c r="K2534" i="2"/>
  <c r="L2534" i="2"/>
  <c r="Z2534" i="2"/>
  <c r="AD2534" i="2"/>
  <c r="K2535" i="2"/>
  <c r="L2535" i="2"/>
  <c r="Z2535" i="2"/>
  <c r="AD2535" i="2"/>
  <c r="K2536" i="2"/>
  <c r="L2536" i="2"/>
  <c r="Z2536" i="2"/>
  <c r="AA2536" i="2" s="1"/>
  <c r="AC2536" i="2"/>
  <c r="AD2536" i="2"/>
  <c r="K2537" i="2"/>
  <c r="L2537" i="2"/>
  <c r="Z2537" i="2"/>
  <c r="AC2537" i="2" s="1"/>
  <c r="AD2537" i="2"/>
  <c r="K2538" i="2"/>
  <c r="L2538" i="2"/>
  <c r="Z2538" i="2"/>
  <c r="AC2538" i="2" s="1"/>
  <c r="AD2538" i="2"/>
  <c r="K2539" i="2"/>
  <c r="L2539" i="2"/>
  <c r="Z2539" i="2"/>
  <c r="AB2539" i="2" s="1"/>
  <c r="AD2539" i="2"/>
  <c r="K2540" i="2"/>
  <c r="L2540" i="2"/>
  <c r="Z2540" i="2"/>
  <c r="AA2540" i="2" s="1"/>
  <c r="AC2540" i="2"/>
  <c r="AD2540" i="2"/>
  <c r="K2541" i="2"/>
  <c r="L2541" i="2"/>
  <c r="Z2541" i="2"/>
  <c r="AA2541" i="2" s="1"/>
  <c r="AD2541" i="2"/>
  <c r="K2542" i="2"/>
  <c r="L2542" i="2"/>
  <c r="Z2542" i="2"/>
  <c r="AC2542" i="2" s="1"/>
  <c r="AD2542" i="2"/>
  <c r="K2543" i="2"/>
  <c r="L2543" i="2"/>
  <c r="Z2543" i="2"/>
  <c r="AB2543" i="2"/>
  <c r="AD2543" i="2"/>
  <c r="K2544" i="2"/>
  <c r="L2544" i="2"/>
  <c r="Z2544" i="2"/>
  <c r="AC2544" i="2" s="1"/>
  <c r="AD2544" i="2"/>
  <c r="K2545" i="2"/>
  <c r="L2545" i="2"/>
  <c r="Z2545" i="2"/>
  <c r="AD2545" i="2"/>
  <c r="K2546" i="2"/>
  <c r="L2546" i="2"/>
  <c r="Z2546" i="2"/>
  <c r="AD2546" i="2"/>
  <c r="K2547" i="2"/>
  <c r="L2547" i="2"/>
  <c r="Z2547" i="2"/>
  <c r="AD2547" i="2"/>
  <c r="K2548" i="2"/>
  <c r="L2548" i="2"/>
  <c r="Z2548" i="2"/>
  <c r="AD2548" i="2"/>
  <c r="K2549" i="2"/>
  <c r="L2549" i="2"/>
  <c r="Z2549" i="2"/>
  <c r="AD2549" i="2"/>
  <c r="K2550" i="2"/>
  <c r="L2550" i="2"/>
  <c r="Z2550" i="2"/>
  <c r="AA2550" i="2" s="1"/>
  <c r="AC2550" i="2"/>
  <c r="AD2550" i="2"/>
  <c r="K2551" i="2"/>
  <c r="L2551" i="2"/>
  <c r="Z2551" i="2"/>
  <c r="AB2551" i="2" s="1"/>
  <c r="AD2551" i="2"/>
  <c r="K2552" i="2"/>
  <c r="L2552" i="2"/>
  <c r="Z2552" i="2"/>
  <c r="AB2552" i="2" s="1"/>
  <c r="AA2552" i="2"/>
  <c r="AC2552" i="2"/>
  <c r="AD2552" i="2"/>
  <c r="K2553" i="2"/>
  <c r="L2553" i="2"/>
  <c r="Z2553" i="2"/>
  <c r="AA2553" i="2" s="1"/>
  <c r="AD2553" i="2"/>
  <c r="K2554" i="2"/>
  <c r="L2554" i="2"/>
  <c r="Z2554" i="2"/>
  <c r="AD2554" i="2"/>
  <c r="K2555" i="2"/>
  <c r="L2555" i="2"/>
  <c r="Z2555" i="2"/>
  <c r="AB2555" i="2" s="1"/>
  <c r="AC2555" i="2"/>
  <c r="AD2555" i="2"/>
  <c r="K2556" i="2"/>
  <c r="L2556" i="2"/>
  <c r="Z2556" i="2"/>
  <c r="AA2556" i="2"/>
  <c r="AD2556" i="2"/>
  <c r="K2557" i="2"/>
  <c r="L2557" i="2"/>
  <c r="Z2557" i="2"/>
  <c r="AA2557" i="2" s="1"/>
  <c r="AB2557" i="2"/>
  <c r="AC2557" i="2"/>
  <c r="AD2557" i="2"/>
  <c r="K2558" i="2"/>
  <c r="L2558" i="2"/>
  <c r="Z2558" i="2"/>
  <c r="AA2558" i="2" s="1"/>
  <c r="AD2558" i="2"/>
  <c r="K2559" i="2"/>
  <c r="L2559" i="2"/>
  <c r="Z2559" i="2"/>
  <c r="AD2559" i="2"/>
  <c r="K2560" i="2"/>
  <c r="L2560" i="2"/>
  <c r="Z2560" i="2"/>
  <c r="AD2560" i="2"/>
  <c r="K2561" i="2"/>
  <c r="L2561" i="2"/>
  <c r="Z2561" i="2"/>
  <c r="AC2561" i="2" s="1"/>
  <c r="AD2561" i="2"/>
  <c r="K2562" i="2"/>
  <c r="L2562" i="2"/>
  <c r="Z2562" i="2"/>
  <c r="AA2562" i="2" s="1"/>
  <c r="AD2562" i="2"/>
  <c r="K2563" i="2"/>
  <c r="L2563" i="2"/>
  <c r="Z2563" i="2"/>
  <c r="AA2563" i="2" s="1"/>
  <c r="AD2563" i="2"/>
  <c r="K2564" i="2"/>
  <c r="L2564" i="2"/>
  <c r="Z2564" i="2"/>
  <c r="AA2564" i="2" s="1"/>
  <c r="AD2564" i="2"/>
  <c r="K2565" i="2"/>
  <c r="L2565" i="2"/>
  <c r="Z2565" i="2"/>
  <c r="AD2565" i="2"/>
  <c r="K2566" i="2"/>
  <c r="L2566" i="2"/>
  <c r="Z2566" i="2"/>
  <c r="AA2566" i="2" s="1"/>
  <c r="AD2566" i="2"/>
  <c r="K2567" i="2"/>
  <c r="L2567" i="2"/>
  <c r="Z2567" i="2"/>
  <c r="AD2567" i="2"/>
  <c r="K2568" i="2"/>
  <c r="L2568" i="2"/>
  <c r="Z2568" i="2"/>
  <c r="AB2568" i="2" s="1"/>
  <c r="AD2568" i="2"/>
  <c r="K2569" i="2"/>
  <c r="L2569" i="2"/>
  <c r="Z2569" i="2"/>
  <c r="AD2569" i="2"/>
  <c r="K2570" i="2"/>
  <c r="L2570" i="2"/>
  <c r="Z2570" i="2"/>
  <c r="AB2570" i="2" s="1"/>
  <c r="AD2570" i="2"/>
  <c r="K2571" i="2"/>
  <c r="L2571" i="2"/>
  <c r="Z2571" i="2"/>
  <c r="AB2571" i="2" s="1"/>
  <c r="AD2571" i="2"/>
  <c r="K2572" i="2"/>
  <c r="L2572" i="2"/>
  <c r="Z2572" i="2"/>
  <c r="AC2572" i="2" s="1"/>
  <c r="AA2572" i="2"/>
  <c r="AB2572" i="2"/>
  <c r="AD2572" i="2"/>
  <c r="K2573" i="2"/>
  <c r="L2573" i="2"/>
  <c r="Z2573" i="2"/>
  <c r="AC2573" i="2" s="1"/>
  <c r="AD2573" i="2"/>
  <c r="K2574" i="2"/>
  <c r="L2574" i="2"/>
  <c r="Z2574" i="2"/>
  <c r="AC2574" i="2" s="1"/>
  <c r="AD2574" i="2"/>
  <c r="K2575" i="2"/>
  <c r="L2575" i="2"/>
  <c r="Z2575" i="2"/>
  <c r="AA2575" i="2" s="1"/>
  <c r="AC2575" i="2"/>
  <c r="AD2575" i="2"/>
  <c r="K2576" i="2"/>
  <c r="L2576" i="2"/>
  <c r="Z2576" i="2"/>
  <c r="AB2576" i="2" s="1"/>
  <c r="AD2576" i="2"/>
  <c r="K2577" i="2"/>
  <c r="L2577" i="2"/>
  <c r="Z2577" i="2"/>
  <c r="AB2577" i="2" s="1"/>
  <c r="AD2577" i="2"/>
  <c r="K2578" i="2"/>
  <c r="L2578" i="2"/>
  <c r="Z2578" i="2"/>
  <c r="AB2578" i="2" s="1"/>
  <c r="AD2578" i="2"/>
  <c r="K2579" i="2"/>
  <c r="L2579" i="2"/>
  <c r="Z2579" i="2"/>
  <c r="AD2579" i="2"/>
  <c r="K2580" i="2"/>
  <c r="L2580" i="2"/>
  <c r="Z2580" i="2"/>
  <c r="AC2580" i="2" s="1"/>
  <c r="AD2580" i="2"/>
  <c r="K2581" i="2"/>
  <c r="L2581" i="2"/>
  <c r="Z2581" i="2"/>
  <c r="AD2581" i="2"/>
  <c r="K2582" i="2"/>
  <c r="L2582" i="2"/>
  <c r="Z2582" i="2"/>
  <c r="AD2582" i="2"/>
  <c r="K2583" i="2"/>
  <c r="L2583" i="2"/>
  <c r="Z2583" i="2"/>
  <c r="AB2583" i="2" s="1"/>
  <c r="AD2583" i="2"/>
  <c r="K2584" i="2"/>
  <c r="L2584" i="2"/>
  <c r="Z2584" i="2"/>
  <c r="AC2584" i="2" s="1"/>
  <c r="AD2584" i="2"/>
  <c r="K2585" i="2"/>
  <c r="L2585" i="2"/>
  <c r="Z2585" i="2"/>
  <c r="AC2585" i="2" s="1"/>
  <c r="AD2585" i="2"/>
  <c r="K2586" i="2"/>
  <c r="L2586" i="2"/>
  <c r="Z2586" i="2"/>
  <c r="AC2586" i="2"/>
  <c r="AD2586" i="2"/>
  <c r="K2587" i="2"/>
  <c r="L2587" i="2"/>
  <c r="Z2587" i="2"/>
  <c r="AB2587" i="2" s="1"/>
  <c r="AD2587" i="2"/>
  <c r="K2588" i="2"/>
  <c r="L2588" i="2"/>
  <c r="Z2588" i="2"/>
  <c r="AC2588" i="2"/>
  <c r="AD2588" i="2"/>
  <c r="K2589" i="2"/>
  <c r="L2589" i="2"/>
  <c r="Z2589" i="2"/>
  <c r="AA2589" i="2" s="1"/>
  <c r="AD2589" i="2"/>
  <c r="K2590" i="2"/>
  <c r="L2590" i="2"/>
  <c r="Z2590" i="2"/>
  <c r="AC2590" i="2" s="1"/>
  <c r="AB2590" i="2"/>
  <c r="AD2590" i="2"/>
  <c r="K2591" i="2"/>
  <c r="L2591" i="2"/>
  <c r="Z2591" i="2"/>
  <c r="AB2591" i="2" s="1"/>
  <c r="AD2591" i="2"/>
  <c r="K2592" i="2"/>
  <c r="L2592" i="2"/>
  <c r="Z2592" i="2"/>
  <c r="AD2592" i="2"/>
  <c r="K2593" i="2"/>
  <c r="L2593" i="2"/>
  <c r="Z2593" i="2"/>
  <c r="AD2593" i="2"/>
  <c r="K2594" i="2"/>
  <c r="L2594" i="2"/>
  <c r="Z2594" i="2"/>
  <c r="AC2594" i="2" s="1"/>
  <c r="AA2594" i="2"/>
  <c r="AB2594" i="2"/>
  <c r="AD2594" i="2"/>
  <c r="K2595" i="2"/>
  <c r="L2595" i="2"/>
  <c r="Z2595" i="2"/>
  <c r="AD2595" i="2"/>
  <c r="K2596" i="2"/>
  <c r="L2596" i="2"/>
  <c r="Z2596" i="2"/>
  <c r="AD2596" i="2"/>
  <c r="K2597" i="2"/>
  <c r="L2597" i="2"/>
  <c r="Z2597" i="2"/>
  <c r="AC2597" i="2" s="1"/>
  <c r="AA2597" i="2"/>
  <c r="AB2597" i="2"/>
  <c r="AD2597" i="2"/>
  <c r="K2598" i="2"/>
  <c r="L2598" i="2"/>
  <c r="Z2598" i="2"/>
  <c r="AA2598" i="2" s="1"/>
  <c r="AB2598" i="2"/>
  <c r="AD2598" i="2"/>
  <c r="K2599" i="2"/>
  <c r="L2599" i="2"/>
  <c r="Z2599" i="2"/>
  <c r="AD2599" i="2"/>
  <c r="K2600" i="2"/>
  <c r="L2600" i="2"/>
  <c r="Z2600" i="2"/>
  <c r="AD2600" i="2"/>
  <c r="K2601" i="2"/>
  <c r="L2601" i="2"/>
  <c r="Z2601" i="2"/>
  <c r="AD2601" i="2"/>
  <c r="K2602" i="2"/>
  <c r="L2602" i="2"/>
  <c r="Z2602" i="2"/>
  <c r="AD2602" i="2"/>
  <c r="K2603" i="2"/>
  <c r="L2603" i="2"/>
  <c r="Z2603" i="2"/>
  <c r="AB2603" i="2" s="1"/>
  <c r="AD2603" i="2"/>
  <c r="K2604" i="2"/>
  <c r="L2604" i="2"/>
  <c r="Z2604" i="2"/>
  <c r="AB2604" i="2" s="1"/>
  <c r="AA2604" i="2"/>
  <c r="AC2604" i="2"/>
  <c r="AD2604" i="2"/>
  <c r="K2605" i="2"/>
  <c r="L2605" i="2"/>
  <c r="Z2605" i="2"/>
  <c r="AA2605" i="2" s="1"/>
  <c r="AC2605" i="2"/>
  <c r="AD2605" i="2"/>
  <c r="K2606" i="2"/>
  <c r="L2606" i="2"/>
  <c r="Z2606" i="2"/>
  <c r="AB2606" i="2"/>
  <c r="AD2606" i="2"/>
  <c r="K2607" i="2"/>
  <c r="L2607" i="2"/>
  <c r="Z2607" i="2"/>
  <c r="AA2607" i="2" s="1"/>
  <c r="AB2607" i="2"/>
  <c r="AC2607" i="2"/>
  <c r="AD2607" i="2"/>
  <c r="K2608" i="2"/>
  <c r="L2608" i="2"/>
  <c r="Z2608" i="2"/>
  <c r="AA2608" i="2" s="1"/>
  <c r="AD2608" i="2"/>
  <c r="K2609" i="2"/>
  <c r="L2609" i="2"/>
  <c r="Z2609" i="2"/>
  <c r="AA2609" i="2" s="1"/>
  <c r="AD2609" i="2"/>
  <c r="K2610" i="2"/>
  <c r="L2610" i="2"/>
  <c r="Z2610" i="2"/>
  <c r="AC2610" i="2" s="1"/>
  <c r="AD2610" i="2"/>
  <c r="K2611" i="2"/>
  <c r="L2611" i="2"/>
  <c r="Z2611" i="2"/>
  <c r="AD2611" i="2"/>
  <c r="K2612" i="2"/>
  <c r="L2612" i="2"/>
  <c r="Z2612" i="2"/>
  <c r="AB2612" i="2" s="1"/>
  <c r="AD2612" i="2"/>
  <c r="K2613" i="2"/>
  <c r="L2613" i="2"/>
  <c r="Z2613" i="2"/>
  <c r="AA2613" i="2" s="1"/>
  <c r="AD2613" i="2"/>
  <c r="K2614" i="2"/>
  <c r="L2614" i="2"/>
  <c r="Z2614" i="2"/>
  <c r="AD2614" i="2"/>
  <c r="K2615" i="2"/>
  <c r="L2615" i="2"/>
  <c r="Z2615" i="2"/>
  <c r="AB2615" i="2" s="1"/>
  <c r="AD2615" i="2"/>
  <c r="K2616" i="2"/>
  <c r="L2616" i="2"/>
  <c r="Z2616" i="2"/>
  <c r="AD2616" i="2"/>
  <c r="K2617" i="2"/>
  <c r="L2617" i="2"/>
  <c r="Z2617" i="2"/>
  <c r="AA2617" i="2" s="1"/>
  <c r="AD2617" i="2"/>
  <c r="K2618" i="2"/>
  <c r="L2618" i="2"/>
  <c r="Z2618" i="2"/>
  <c r="AA2618" i="2" s="1"/>
  <c r="AD2618" i="2"/>
  <c r="K2619" i="2"/>
  <c r="L2619" i="2"/>
  <c r="Z2619" i="2"/>
  <c r="AA2619" i="2" s="1"/>
  <c r="AD2619" i="2"/>
  <c r="K2620" i="2"/>
  <c r="L2620" i="2"/>
  <c r="Z2620" i="2"/>
  <c r="AC2620" i="2" s="1"/>
  <c r="AB2620" i="2"/>
  <c r="AD2620" i="2"/>
  <c r="K2621" i="2"/>
  <c r="L2621" i="2"/>
  <c r="Z2621" i="2"/>
  <c r="AC2621" i="2" s="1"/>
  <c r="AD2621" i="2"/>
  <c r="K2622" i="2"/>
  <c r="L2622" i="2"/>
  <c r="Z2622" i="2"/>
  <c r="AA2622" i="2" s="1"/>
  <c r="AD2622" i="2"/>
  <c r="K2623" i="2"/>
  <c r="L2623" i="2"/>
  <c r="Z2623" i="2"/>
  <c r="AA2623" i="2" s="1"/>
  <c r="AD2623" i="2"/>
  <c r="K2624" i="2"/>
  <c r="L2624" i="2"/>
  <c r="Z2624" i="2"/>
  <c r="AB2624" i="2" s="1"/>
  <c r="AD2624" i="2"/>
  <c r="K2625" i="2"/>
  <c r="L2625" i="2"/>
  <c r="Z2625" i="2"/>
  <c r="AD2625" i="2"/>
  <c r="K2626" i="2"/>
  <c r="L2626" i="2"/>
  <c r="Z2626" i="2"/>
  <c r="AC2626" i="2" s="1"/>
  <c r="AD2626" i="2"/>
  <c r="K2627" i="2"/>
  <c r="L2627" i="2"/>
  <c r="Z2627" i="2"/>
  <c r="AC2627" i="2" s="1"/>
  <c r="AD2627" i="2"/>
  <c r="K2628" i="2"/>
  <c r="L2628" i="2"/>
  <c r="Z2628" i="2"/>
  <c r="AB2628" i="2" s="1"/>
  <c r="AD2628" i="2"/>
  <c r="K2629" i="2"/>
  <c r="L2629" i="2"/>
  <c r="Z2629" i="2"/>
  <c r="AD2629" i="2"/>
  <c r="K2630" i="2"/>
  <c r="L2630" i="2"/>
  <c r="Z2630" i="2"/>
  <c r="AC2630" i="2" s="1"/>
  <c r="AA2630" i="2"/>
  <c r="AB2630" i="2"/>
  <c r="AD2630" i="2"/>
  <c r="K2631" i="2"/>
  <c r="L2631" i="2"/>
  <c r="Z2631" i="2"/>
  <c r="AC2631" i="2"/>
  <c r="AD2631" i="2"/>
  <c r="K2632" i="2"/>
  <c r="L2632" i="2"/>
  <c r="Z2632" i="2"/>
  <c r="AA2632" i="2" s="1"/>
  <c r="AD2632" i="2"/>
  <c r="K2633" i="2"/>
  <c r="L2633" i="2"/>
  <c r="Z2633" i="2"/>
  <c r="AB2633" i="2" s="1"/>
  <c r="AD2633" i="2"/>
  <c r="K2634" i="2"/>
  <c r="L2634" i="2"/>
  <c r="Z2634" i="2"/>
  <c r="AA2634" i="2" s="1"/>
  <c r="AD2634" i="2"/>
  <c r="K2635" i="2"/>
  <c r="L2635" i="2"/>
  <c r="Z2635" i="2"/>
  <c r="AB2635" i="2"/>
  <c r="AD2635" i="2"/>
  <c r="K2636" i="2"/>
  <c r="L2636" i="2"/>
  <c r="Z2636" i="2"/>
  <c r="AA2636" i="2" s="1"/>
  <c r="AB2636" i="2"/>
  <c r="AC2636" i="2"/>
  <c r="AD2636" i="2"/>
  <c r="K2637" i="2"/>
  <c r="L2637" i="2"/>
  <c r="Z2637" i="2"/>
  <c r="AD2637" i="2"/>
  <c r="K2638" i="2"/>
  <c r="L2638" i="2"/>
  <c r="Z2638" i="2"/>
  <c r="AD2638" i="2"/>
  <c r="K2639" i="2"/>
  <c r="L2639" i="2"/>
  <c r="Z2639" i="2"/>
  <c r="AA2639" i="2" s="1"/>
  <c r="AD2639" i="2"/>
  <c r="K2640" i="2"/>
  <c r="L2640" i="2"/>
  <c r="Z2640" i="2"/>
  <c r="AC2640" i="2"/>
  <c r="AD2640" i="2"/>
  <c r="K2641" i="2"/>
  <c r="L2641" i="2"/>
  <c r="Z2641" i="2"/>
  <c r="AA2641" i="2" s="1"/>
  <c r="AC2641" i="2"/>
  <c r="AD2641" i="2"/>
  <c r="K2642" i="2"/>
  <c r="L2642" i="2"/>
  <c r="Z2642" i="2"/>
  <c r="AB2642" i="2" s="1"/>
  <c r="AA2642" i="2"/>
  <c r="AD2642" i="2"/>
  <c r="K2643" i="2"/>
  <c r="L2643" i="2"/>
  <c r="Z2643" i="2"/>
  <c r="AC2643" i="2" s="1"/>
  <c r="AA2643" i="2"/>
  <c r="AB2643" i="2"/>
  <c r="AD2643" i="2"/>
  <c r="K2644" i="2"/>
  <c r="L2644" i="2"/>
  <c r="Z2644" i="2"/>
  <c r="AB2644" i="2" s="1"/>
  <c r="AD2644" i="2"/>
  <c r="K2645" i="2"/>
  <c r="L2645" i="2"/>
  <c r="Z2645" i="2"/>
  <c r="AC2645" i="2" s="1"/>
  <c r="AB2645" i="2"/>
  <c r="AD2645" i="2"/>
  <c r="K2646" i="2"/>
  <c r="L2646" i="2"/>
  <c r="Z2646" i="2"/>
  <c r="AA2646" i="2" s="1"/>
  <c r="AD2646" i="2"/>
  <c r="K2647" i="2"/>
  <c r="L2647" i="2"/>
  <c r="Z2647" i="2"/>
  <c r="AB2647" i="2" s="1"/>
  <c r="AD2647" i="2"/>
  <c r="K2648" i="2"/>
  <c r="L2648" i="2"/>
  <c r="Z2648" i="2"/>
  <c r="AA2648" i="2" s="1"/>
  <c r="AD2648" i="2"/>
  <c r="K2649" i="2"/>
  <c r="L2649" i="2"/>
  <c r="Z2649" i="2"/>
  <c r="AA2649" i="2" s="1"/>
  <c r="AD2649" i="2"/>
  <c r="K2650" i="2"/>
  <c r="L2650" i="2"/>
  <c r="Z2650" i="2"/>
  <c r="AD2650" i="2"/>
  <c r="K2651" i="2"/>
  <c r="L2651" i="2"/>
  <c r="Z2651" i="2"/>
  <c r="AD2651" i="2"/>
  <c r="K2652" i="2"/>
  <c r="L2652" i="2"/>
  <c r="Z2652" i="2"/>
  <c r="AC2652" i="2" s="1"/>
  <c r="AD2652" i="2"/>
  <c r="K2653" i="2"/>
  <c r="L2653" i="2"/>
  <c r="Z2653" i="2"/>
  <c r="AA2653" i="2" s="1"/>
  <c r="AD2653" i="2"/>
  <c r="K2654" i="2"/>
  <c r="L2654" i="2"/>
  <c r="Z2654" i="2"/>
  <c r="AA2654" i="2"/>
  <c r="AB2654" i="2"/>
  <c r="AC2654" i="2"/>
  <c r="AD2654" i="2"/>
  <c r="K2655" i="2"/>
  <c r="L2655" i="2"/>
  <c r="Z2655" i="2"/>
  <c r="AC2655" i="2" s="1"/>
  <c r="AD2655" i="2"/>
  <c r="K2656" i="2"/>
  <c r="L2656" i="2"/>
  <c r="Z2656" i="2"/>
  <c r="AA2656" i="2" s="1"/>
  <c r="AD2656" i="2"/>
  <c r="K2657" i="2"/>
  <c r="L2657" i="2"/>
  <c r="Z2657" i="2"/>
  <c r="AD2657" i="2"/>
  <c r="K2658" i="2"/>
  <c r="L2658" i="2"/>
  <c r="Z2658" i="2"/>
  <c r="AC2658" i="2" s="1"/>
  <c r="AD2658" i="2"/>
  <c r="K2659" i="2"/>
  <c r="L2659" i="2"/>
  <c r="Z2659" i="2"/>
  <c r="AD2659" i="2"/>
  <c r="K2660" i="2"/>
  <c r="L2660" i="2"/>
  <c r="Z2660" i="2"/>
  <c r="AA2660" i="2" s="1"/>
  <c r="AB2660" i="2"/>
  <c r="AC2660" i="2"/>
  <c r="AD2660" i="2"/>
  <c r="K2661" i="2"/>
  <c r="L2661" i="2"/>
  <c r="Z2661" i="2"/>
  <c r="AD2661" i="2"/>
  <c r="K2662" i="2"/>
  <c r="L2662" i="2"/>
  <c r="Z2662" i="2"/>
  <c r="AA2662" i="2" s="1"/>
  <c r="AC2662" i="2"/>
  <c r="AD2662" i="2"/>
  <c r="K2663" i="2"/>
  <c r="L2663" i="2"/>
  <c r="Z2663" i="2"/>
  <c r="AB2663" i="2" s="1"/>
  <c r="AA2663" i="2"/>
  <c r="AD2663" i="2"/>
  <c r="K2664" i="2"/>
  <c r="L2664" i="2"/>
  <c r="Z2664" i="2"/>
  <c r="AC2664" i="2" s="1"/>
  <c r="AD2664" i="2"/>
  <c r="K2665" i="2"/>
  <c r="L2665" i="2"/>
  <c r="Z2665" i="2"/>
  <c r="AD2665" i="2"/>
  <c r="K2666" i="2"/>
  <c r="L2666" i="2"/>
  <c r="Z2666" i="2"/>
  <c r="AA2666" i="2" s="1"/>
  <c r="AC2666" i="2"/>
  <c r="AD2666" i="2"/>
  <c r="K2667" i="2"/>
  <c r="L2667" i="2"/>
  <c r="Z2667" i="2"/>
  <c r="AD2667" i="2"/>
  <c r="K2668" i="2"/>
  <c r="L2668" i="2"/>
  <c r="Z2668" i="2"/>
  <c r="AA2668" i="2" s="1"/>
  <c r="AD2668" i="2"/>
  <c r="K2669" i="2"/>
  <c r="L2669" i="2"/>
  <c r="Z2669" i="2"/>
  <c r="AB2669" i="2"/>
  <c r="AD2669" i="2"/>
  <c r="K2670" i="2"/>
  <c r="L2670" i="2"/>
  <c r="Z2670" i="2"/>
  <c r="AD2670" i="2"/>
  <c r="K2671" i="2"/>
  <c r="L2671" i="2"/>
  <c r="Z2671" i="2"/>
  <c r="AB2671" i="2" s="1"/>
  <c r="AD2671" i="2"/>
  <c r="K2672" i="2"/>
  <c r="L2672" i="2"/>
  <c r="Z2672" i="2"/>
  <c r="AD2672" i="2"/>
  <c r="K2673" i="2"/>
  <c r="L2673" i="2"/>
  <c r="Z2673" i="2"/>
  <c r="AA2673" i="2" s="1"/>
  <c r="AB2673" i="2"/>
  <c r="AC2673" i="2"/>
  <c r="AD2673" i="2"/>
  <c r="K2674" i="2"/>
  <c r="L2674" i="2"/>
  <c r="Z2674" i="2"/>
  <c r="AD2674" i="2"/>
  <c r="K2675" i="2"/>
  <c r="L2675" i="2"/>
  <c r="Z2675" i="2"/>
  <c r="AB2675" i="2" s="1"/>
  <c r="AD2675" i="2"/>
  <c r="K2676" i="2"/>
  <c r="L2676" i="2"/>
  <c r="Z2676" i="2"/>
  <c r="AB2676" i="2" s="1"/>
  <c r="AD2676" i="2"/>
  <c r="K2677" i="2"/>
  <c r="L2677" i="2"/>
  <c r="Z2677" i="2"/>
  <c r="AD2677" i="2"/>
  <c r="K2678" i="2"/>
  <c r="L2678" i="2"/>
  <c r="Z2678" i="2"/>
  <c r="AA2678" i="2"/>
  <c r="AD2678" i="2"/>
  <c r="K2679" i="2"/>
  <c r="L2679" i="2"/>
  <c r="Z2679" i="2"/>
  <c r="AA2679" i="2" s="1"/>
  <c r="AD2679" i="2"/>
  <c r="K2680" i="2"/>
  <c r="L2680" i="2"/>
  <c r="Z2680" i="2"/>
  <c r="AA2680" i="2" s="1"/>
  <c r="AD2680" i="2"/>
  <c r="K2681" i="2"/>
  <c r="L2681" i="2"/>
  <c r="Z2681" i="2"/>
  <c r="AD2681" i="2"/>
  <c r="K2682" i="2"/>
  <c r="L2682" i="2"/>
  <c r="Z2682" i="2"/>
  <c r="AC2682" i="2" s="1"/>
  <c r="AA2682" i="2"/>
  <c r="AD2682" i="2"/>
  <c r="K2683" i="2"/>
  <c r="L2683" i="2"/>
  <c r="Z2683" i="2"/>
  <c r="AA2683" i="2" s="1"/>
  <c r="AD2683" i="2"/>
  <c r="K2684" i="2"/>
  <c r="L2684" i="2"/>
  <c r="Z2684" i="2"/>
  <c r="AC2684" i="2" s="1"/>
  <c r="AD2684" i="2"/>
  <c r="K2685" i="2"/>
  <c r="L2685" i="2"/>
  <c r="Z2685" i="2"/>
  <c r="AB2685" i="2" s="1"/>
  <c r="AA2685" i="2"/>
  <c r="AD2685" i="2"/>
  <c r="K2686" i="2"/>
  <c r="L2686" i="2"/>
  <c r="Z2686" i="2"/>
  <c r="AC2686" i="2" s="1"/>
  <c r="AD2686" i="2"/>
  <c r="K2687" i="2"/>
  <c r="L2687" i="2"/>
  <c r="Z2687" i="2"/>
  <c r="AB2687" i="2" s="1"/>
  <c r="AA2687" i="2"/>
  <c r="AD2687" i="2"/>
  <c r="K2688" i="2"/>
  <c r="L2688" i="2"/>
  <c r="Z2688" i="2"/>
  <c r="AD2688" i="2"/>
  <c r="K2689" i="2"/>
  <c r="L2689" i="2"/>
  <c r="Z2689" i="2"/>
  <c r="AB2689" i="2" s="1"/>
  <c r="AA2689" i="2"/>
  <c r="AD2689" i="2"/>
  <c r="K2690" i="2"/>
  <c r="L2690" i="2"/>
  <c r="Z2690" i="2"/>
  <c r="AC2690" i="2"/>
  <c r="AD2690" i="2"/>
  <c r="K2691" i="2"/>
  <c r="L2691" i="2"/>
  <c r="Z2691" i="2"/>
  <c r="AB2691" i="2" s="1"/>
  <c r="AD2691" i="2"/>
  <c r="K2692" i="2"/>
  <c r="L2692" i="2"/>
  <c r="Z2692" i="2"/>
  <c r="AD2692" i="2"/>
  <c r="K2693" i="2"/>
  <c r="L2693" i="2"/>
  <c r="Z2693" i="2"/>
  <c r="AB2693" i="2" s="1"/>
  <c r="AD2693" i="2"/>
  <c r="K2694" i="2"/>
  <c r="L2694" i="2"/>
  <c r="Z2694" i="2"/>
  <c r="AA2694" i="2" s="1"/>
  <c r="AD2694" i="2"/>
  <c r="K2695" i="2"/>
  <c r="L2695" i="2"/>
  <c r="Z2695" i="2"/>
  <c r="AB2695" i="2" s="1"/>
  <c r="AD2695" i="2"/>
  <c r="K2696" i="2"/>
  <c r="L2696" i="2"/>
  <c r="Z2696" i="2"/>
  <c r="AD2696" i="2"/>
  <c r="K2697" i="2"/>
  <c r="L2697" i="2"/>
  <c r="Z2697" i="2"/>
  <c r="AC2697" i="2" s="1"/>
  <c r="AD2697" i="2"/>
  <c r="K2698" i="2"/>
  <c r="L2698" i="2"/>
  <c r="Z2698" i="2"/>
  <c r="AA2698" i="2" s="1"/>
  <c r="AD2698" i="2"/>
  <c r="K2699" i="2"/>
  <c r="L2699" i="2"/>
  <c r="Z2699" i="2"/>
  <c r="AB2699" i="2" s="1"/>
  <c r="AD2699" i="2"/>
  <c r="K2700" i="2"/>
  <c r="L2700" i="2"/>
  <c r="Z2700" i="2"/>
  <c r="AB2700" i="2" s="1"/>
  <c r="AD2700" i="2"/>
  <c r="K2701" i="2"/>
  <c r="L2701" i="2"/>
  <c r="Z2701" i="2"/>
  <c r="AA2701" i="2"/>
  <c r="AD2701" i="2"/>
  <c r="K2702" i="2"/>
  <c r="L2702" i="2"/>
  <c r="Z2702" i="2"/>
  <c r="AD2702" i="2"/>
  <c r="K2703" i="2"/>
  <c r="L2703" i="2"/>
  <c r="Z2703" i="2"/>
  <c r="AD2703" i="2"/>
  <c r="K2704" i="2"/>
  <c r="L2704" i="2"/>
  <c r="Z2704" i="2"/>
  <c r="AC2704" i="2" s="1"/>
  <c r="AD2704" i="2"/>
  <c r="K2705" i="2"/>
  <c r="L2705" i="2"/>
  <c r="Z2705" i="2"/>
  <c r="AC2705" i="2" s="1"/>
  <c r="AD2705" i="2"/>
  <c r="K2706" i="2"/>
  <c r="L2706" i="2"/>
  <c r="Z2706" i="2"/>
  <c r="AA2706" i="2" s="1"/>
  <c r="AB2706" i="2"/>
  <c r="AC2706" i="2"/>
  <c r="AD2706" i="2"/>
  <c r="K2707" i="2"/>
  <c r="L2707" i="2"/>
  <c r="Z2707" i="2"/>
  <c r="AD2707" i="2"/>
  <c r="K2708" i="2"/>
  <c r="L2708" i="2"/>
  <c r="Z2708" i="2"/>
  <c r="AD2708" i="2"/>
  <c r="K2709" i="2"/>
  <c r="L2709" i="2"/>
  <c r="Z2709" i="2"/>
  <c r="AB2709" i="2" s="1"/>
  <c r="AD2709" i="2"/>
  <c r="K2710" i="2"/>
  <c r="L2710" i="2"/>
  <c r="Z2710" i="2"/>
  <c r="AD2710" i="2"/>
  <c r="K2711" i="2"/>
  <c r="L2711" i="2"/>
  <c r="Z2711" i="2"/>
  <c r="AB2711" i="2" s="1"/>
  <c r="AD2711" i="2"/>
  <c r="K2712" i="2"/>
  <c r="L2712" i="2"/>
  <c r="Z2712" i="2"/>
  <c r="AA2712" i="2" s="1"/>
  <c r="AD2712" i="2"/>
  <c r="K2713" i="2"/>
  <c r="L2713" i="2"/>
  <c r="Z2713" i="2"/>
  <c r="AD2713" i="2"/>
  <c r="K2714" i="2"/>
  <c r="L2714" i="2"/>
  <c r="Z2714" i="2"/>
  <c r="AC2714" i="2" s="1"/>
  <c r="AA2714" i="2"/>
  <c r="AB2714" i="2"/>
  <c r="AD2714" i="2"/>
  <c r="K2715" i="2"/>
  <c r="L2715" i="2"/>
  <c r="Z2715" i="2"/>
  <c r="AA2715" i="2" s="1"/>
  <c r="AC2715" i="2"/>
  <c r="AD2715" i="2"/>
  <c r="K2716" i="2"/>
  <c r="L2716" i="2"/>
  <c r="Z2716" i="2"/>
  <c r="AD2716" i="2"/>
  <c r="K2717" i="2"/>
  <c r="L2717" i="2"/>
  <c r="Z2717" i="2"/>
  <c r="AB2717" i="2" s="1"/>
  <c r="AD2717" i="2"/>
  <c r="K2718" i="2"/>
  <c r="L2718" i="2"/>
  <c r="Z2718" i="2"/>
  <c r="AA2718" i="2" s="1"/>
  <c r="AD2718" i="2"/>
  <c r="K2719" i="2"/>
  <c r="L2719" i="2"/>
  <c r="Z2719" i="2"/>
  <c r="AD2719" i="2"/>
  <c r="K2720" i="2"/>
  <c r="L2720" i="2"/>
  <c r="Z2720" i="2"/>
  <c r="AA2720" i="2" s="1"/>
  <c r="AD2720" i="2"/>
  <c r="K2721" i="2"/>
  <c r="L2721" i="2"/>
  <c r="Z2721" i="2"/>
  <c r="AA2721" i="2"/>
  <c r="AD2721" i="2"/>
  <c r="K2722" i="2"/>
  <c r="L2722" i="2"/>
  <c r="Z2722" i="2"/>
  <c r="AC2722" i="2" s="1"/>
  <c r="AD2722" i="2"/>
  <c r="K2723" i="2"/>
  <c r="L2723" i="2"/>
  <c r="Z2723" i="2"/>
  <c r="AC2723" i="2" s="1"/>
  <c r="AD2723" i="2"/>
  <c r="K2724" i="2"/>
  <c r="L2724" i="2"/>
  <c r="Z2724" i="2"/>
  <c r="AD2724" i="2"/>
  <c r="K2725" i="2"/>
  <c r="L2725" i="2"/>
  <c r="Z2725" i="2"/>
  <c r="AA2725" i="2"/>
  <c r="AD2725" i="2"/>
  <c r="K2726" i="2"/>
  <c r="L2726" i="2"/>
  <c r="Z2726" i="2"/>
  <c r="AD2726" i="2"/>
  <c r="K2727" i="2"/>
  <c r="L2727" i="2"/>
  <c r="Z2727" i="2"/>
  <c r="AB2727" i="2" s="1"/>
  <c r="AD2727" i="2"/>
  <c r="K2728" i="2"/>
  <c r="L2728" i="2"/>
  <c r="Z2728" i="2"/>
  <c r="AB2728" i="2" s="1"/>
  <c r="AD2728" i="2"/>
  <c r="K2729" i="2"/>
  <c r="L2729" i="2"/>
  <c r="Z2729" i="2"/>
  <c r="AD2729" i="2"/>
  <c r="K2730" i="2"/>
  <c r="L2730" i="2"/>
  <c r="Z2730" i="2"/>
  <c r="AA2730" i="2" s="1"/>
  <c r="AD2730" i="2"/>
  <c r="K2731" i="2"/>
  <c r="L2731" i="2"/>
  <c r="Z2731" i="2"/>
  <c r="AC2731" i="2" s="1"/>
  <c r="AD2731" i="2"/>
  <c r="K2732" i="2"/>
  <c r="L2732" i="2"/>
  <c r="Z2732" i="2"/>
  <c r="AB2732" i="2" s="1"/>
  <c r="AD2732" i="2"/>
  <c r="K2733" i="2"/>
  <c r="L2733" i="2"/>
  <c r="Z2733" i="2"/>
  <c r="AA2733" i="2" s="1"/>
  <c r="AC2733" i="2"/>
  <c r="AD2733" i="2"/>
  <c r="K2734" i="2"/>
  <c r="L2734" i="2"/>
  <c r="Z2734" i="2"/>
  <c r="AD2734" i="2"/>
  <c r="K2735" i="2"/>
  <c r="L2735" i="2"/>
  <c r="Z2735" i="2"/>
  <c r="AA2735" i="2" s="1"/>
  <c r="AC2735" i="2"/>
  <c r="AD2735" i="2"/>
  <c r="K2736" i="2"/>
  <c r="L2736" i="2"/>
  <c r="Z2736" i="2"/>
  <c r="AD2736" i="2"/>
  <c r="K2737" i="2"/>
  <c r="L2737" i="2"/>
  <c r="Z2737" i="2"/>
  <c r="AA2737" i="2" s="1"/>
  <c r="AD2737" i="2"/>
  <c r="K2738" i="2"/>
  <c r="L2738" i="2"/>
  <c r="Z2738" i="2"/>
  <c r="AB2738" i="2" s="1"/>
  <c r="AD2738" i="2"/>
  <c r="K2739" i="2"/>
  <c r="L2739" i="2"/>
  <c r="Z2739" i="2"/>
  <c r="AA2739" i="2" s="1"/>
  <c r="AD2739" i="2"/>
  <c r="K2740" i="2"/>
  <c r="L2740" i="2"/>
  <c r="Z2740" i="2"/>
  <c r="AA2740" i="2" s="1"/>
  <c r="AD2740" i="2"/>
  <c r="K2741" i="2"/>
  <c r="L2741" i="2"/>
  <c r="Z2741" i="2"/>
  <c r="AC2741" i="2" s="1"/>
  <c r="AD2741" i="2"/>
  <c r="K2742" i="2"/>
  <c r="L2742" i="2"/>
  <c r="Z2742" i="2"/>
  <c r="AB2742" i="2" s="1"/>
  <c r="AD2742" i="2"/>
  <c r="K2743" i="2"/>
  <c r="L2743" i="2"/>
  <c r="Z2743" i="2"/>
  <c r="AB2743" i="2" s="1"/>
  <c r="AD2743" i="2"/>
  <c r="K2744" i="2"/>
  <c r="L2744" i="2"/>
  <c r="Z2744" i="2"/>
  <c r="AB2744" i="2" s="1"/>
  <c r="AD2744" i="2"/>
  <c r="K2745" i="2"/>
  <c r="L2745" i="2"/>
  <c r="Z2745" i="2"/>
  <c r="AD2745" i="2"/>
  <c r="K2746" i="2"/>
  <c r="L2746" i="2"/>
  <c r="Z2746" i="2"/>
  <c r="AA2746" i="2" s="1"/>
  <c r="AC2746" i="2"/>
  <c r="AD2746" i="2"/>
  <c r="K2747" i="2"/>
  <c r="L2747" i="2"/>
  <c r="Z2747" i="2"/>
  <c r="AA2747" i="2"/>
  <c r="AD2747" i="2"/>
  <c r="K2748" i="2"/>
  <c r="L2748" i="2"/>
  <c r="Z2748" i="2"/>
  <c r="AD2748" i="2"/>
  <c r="K2749" i="2"/>
  <c r="L2749" i="2"/>
  <c r="Z2749" i="2"/>
  <c r="AD2749" i="2"/>
  <c r="K2750" i="2"/>
  <c r="L2750" i="2"/>
  <c r="Z2750" i="2"/>
  <c r="AA2750" i="2"/>
  <c r="AB2750" i="2"/>
  <c r="AC2750" i="2"/>
  <c r="AD2750" i="2"/>
  <c r="K2751" i="2"/>
  <c r="L2751" i="2"/>
  <c r="Z2751" i="2"/>
  <c r="AA2751" i="2" s="1"/>
  <c r="AD2751" i="2"/>
  <c r="K2752" i="2"/>
  <c r="L2752" i="2"/>
  <c r="Z2752" i="2"/>
  <c r="AD2752" i="2"/>
  <c r="K2753" i="2"/>
  <c r="L2753" i="2"/>
  <c r="Z2753" i="2"/>
  <c r="AC2753" i="2" s="1"/>
  <c r="AD2753" i="2"/>
  <c r="K2754" i="2"/>
  <c r="L2754" i="2"/>
  <c r="Z2754" i="2"/>
  <c r="AA2754" i="2" s="1"/>
  <c r="AB2754" i="2"/>
  <c r="AD2754" i="2"/>
  <c r="K2755" i="2"/>
  <c r="L2755" i="2"/>
  <c r="Z2755" i="2"/>
  <c r="AA2755" i="2" s="1"/>
  <c r="AD2755" i="2"/>
  <c r="K2756" i="2"/>
  <c r="L2756" i="2"/>
  <c r="Z2756" i="2"/>
  <c r="AC2756" i="2" s="1"/>
  <c r="AD2756" i="2"/>
  <c r="K2757" i="2"/>
  <c r="L2757" i="2"/>
  <c r="Z2757" i="2"/>
  <c r="AD2757" i="2"/>
  <c r="K2758" i="2"/>
  <c r="L2758" i="2"/>
  <c r="Z2758" i="2"/>
  <c r="AD2758" i="2"/>
  <c r="K2759" i="2"/>
  <c r="L2759" i="2"/>
  <c r="Z2759" i="2"/>
  <c r="AD2759" i="2"/>
  <c r="K2760" i="2"/>
  <c r="L2760" i="2"/>
  <c r="Z2760" i="2"/>
  <c r="AB2760" i="2" s="1"/>
  <c r="AD2760" i="2"/>
  <c r="K2761" i="2"/>
  <c r="L2761" i="2"/>
  <c r="Z2761" i="2"/>
  <c r="AA2761" i="2" s="1"/>
  <c r="AC2761" i="2"/>
  <c r="AD2761" i="2"/>
  <c r="K2762" i="2"/>
  <c r="L2762" i="2"/>
  <c r="Z2762" i="2"/>
  <c r="AA2762" i="2" s="1"/>
  <c r="AB2762" i="2"/>
  <c r="AD2762" i="2"/>
  <c r="K2763" i="2"/>
  <c r="L2763" i="2"/>
  <c r="Z2763" i="2"/>
  <c r="AB2763" i="2" s="1"/>
  <c r="AA2763" i="2"/>
  <c r="AD2763" i="2"/>
  <c r="K2764" i="2"/>
  <c r="L2764" i="2"/>
  <c r="Z2764" i="2"/>
  <c r="AB2764" i="2" s="1"/>
  <c r="AA2764" i="2"/>
  <c r="AD2764" i="2"/>
  <c r="K2765" i="2"/>
  <c r="L2765" i="2"/>
  <c r="Z2765" i="2"/>
  <c r="AA2765" i="2"/>
  <c r="AD2765" i="2"/>
  <c r="K2766" i="2"/>
  <c r="L2766" i="2"/>
  <c r="Z2766" i="2"/>
  <c r="AC2766" i="2" s="1"/>
  <c r="AD2766" i="2"/>
  <c r="K2767" i="2"/>
  <c r="L2767" i="2"/>
  <c r="Z2767" i="2"/>
  <c r="AD2767" i="2"/>
  <c r="K2768" i="2"/>
  <c r="L2768" i="2"/>
  <c r="Z2768" i="2"/>
  <c r="AB2768" i="2" s="1"/>
  <c r="AD2768" i="2"/>
  <c r="K2769" i="2"/>
  <c r="L2769" i="2"/>
  <c r="Z2769" i="2"/>
  <c r="AD2769" i="2"/>
  <c r="K2770" i="2"/>
  <c r="L2770" i="2"/>
  <c r="Z2770" i="2"/>
  <c r="AA2770" i="2" s="1"/>
  <c r="AB2770" i="2"/>
  <c r="AD2770" i="2"/>
  <c r="K2771" i="2"/>
  <c r="L2771" i="2"/>
  <c r="Z2771" i="2"/>
  <c r="AD2771" i="2"/>
  <c r="K2772" i="2"/>
  <c r="L2772" i="2"/>
  <c r="Z2772" i="2"/>
  <c r="AB2772" i="2" s="1"/>
  <c r="AD2772" i="2"/>
  <c r="K2773" i="2"/>
  <c r="L2773" i="2"/>
  <c r="Z2773" i="2"/>
  <c r="AD2773" i="2"/>
  <c r="K2774" i="2"/>
  <c r="L2774" i="2"/>
  <c r="Z2774" i="2"/>
  <c r="AB2774" i="2" s="1"/>
  <c r="AD2774" i="2"/>
  <c r="K2775" i="2"/>
  <c r="L2775" i="2"/>
  <c r="Z2775" i="2"/>
  <c r="AB2775" i="2" s="1"/>
  <c r="AA2775" i="2"/>
  <c r="AD2775" i="2"/>
  <c r="K2776" i="2"/>
  <c r="L2776" i="2"/>
  <c r="Z2776" i="2"/>
  <c r="AA2776" i="2" s="1"/>
  <c r="AB2776" i="2"/>
  <c r="AC2776" i="2"/>
  <c r="AD2776" i="2"/>
  <c r="K2777" i="2"/>
  <c r="L2777" i="2"/>
  <c r="Z2777" i="2"/>
  <c r="AC2777" i="2" s="1"/>
  <c r="AA2777" i="2"/>
  <c r="AB2777" i="2"/>
  <c r="AD2777" i="2"/>
  <c r="K2778" i="2"/>
  <c r="L2778" i="2"/>
  <c r="Z2778" i="2"/>
  <c r="AC2778" i="2" s="1"/>
  <c r="AB2778" i="2"/>
  <c r="AD2778" i="2"/>
  <c r="K2779" i="2"/>
  <c r="L2779" i="2"/>
  <c r="Z2779" i="2"/>
  <c r="AA2779" i="2" s="1"/>
  <c r="AD2779" i="2"/>
  <c r="K2780" i="2"/>
  <c r="L2780" i="2"/>
  <c r="Z2780" i="2"/>
  <c r="AA2780" i="2" s="1"/>
  <c r="AD2780" i="2"/>
  <c r="K2781" i="2"/>
  <c r="L2781" i="2"/>
  <c r="Z2781" i="2"/>
  <c r="AA2781" i="2" s="1"/>
  <c r="AB2781" i="2"/>
  <c r="AD2781" i="2"/>
  <c r="K2782" i="2"/>
  <c r="L2782" i="2"/>
  <c r="Z2782" i="2"/>
  <c r="AC2782" i="2" s="1"/>
  <c r="AD2782" i="2"/>
  <c r="K2783" i="2"/>
  <c r="L2783" i="2"/>
  <c r="Z2783" i="2"/>
  <c r="AB2783" i="2" s="1"/>
  <c r="AD2783" i="2"/>
  <c r="K2784" i="2"/>
  <c r="L2784" i="2"/>
  <c r="Z2784" i="2"/>
  <c r="AC2784" i="2" s="1"/>
  <c r="AD2784" i="2"/>
  <c r="K2785" i="2"/>
  <c r="L2785" i="2"/>
  <c r="Z2785" i="2"/>
  <c r="AB2785" i="2" s="1"/>
  <c r="AD2785" i="2"/>
  <c r="K2786" i="2"/>
  <c r="L2786" i="2"/>
  <c r="Z2786" i="2"/>
  <c r="AA2786" i="2" s="1"/>
  <c r="AD2786" i="2"/>
  <c r="K2787" i="2"/>
  <c r="L2787" i="2"/>
  <c r="Z2787" i="2"/>
  <c r="AB2787" i="2" s="1"/>
  <c r="AD2787" i="2"/>
  <c r="K2788" i="2"/>
  <c r="L2788" i="2"/>
  <c r="Z2788" i="2"/>
  <c r="AD2788" i="2"/>
  <c r="K2789" i="2"/>
  <c r="L2789" i="2"/>
  <c r="Z2789" i="2"/>
  <c r="AA2789" i="2"/>
  <c r="AD2789" i="2"/>
  <c r="K2790" i="2"/>
  <c r="L2790" i="2"/>
  <c r="Z2790" i="2"/>
  <c r="AA2790" i="2" s="1"/>
  <c r="AB2790" i="2"/>
  <c r="AC2790" i="2"/>
  <c r="AD2790" i="2"/>
  <c r="K2791" i="2"/>
  <c r="L2791" i="2"/>
  <c r="Z2791" i="2"/>
  <c r="AD2791" i="2"/>
  <c r="K2792" i="2"/>
  <c r="L2792" i="2"/>
  <c r="Z2792" i="2"/>
  <c r="AA2792" i="2" s="1"/>
  <c r="AB2792" i="2"/>
  <c r="AC2792" i="2"/>
  <c r="AD2792" i="2"/>
  <c r="K2793" i="2"/>
  <c r="L2793" i="2"/>
  <c r="Z2793" i="2"/>
  <c r="AD2793" i="2"/>
  <c r="K2794" i="2"/>
  <c r="L2794" i="2"/>
  <c r="Z2794" i="2"/>
  <c r="AA2794" i="2" s="1"/>
  <c r="AD2794" i="2"/>
  <c r="K2795" i="2"/>
  <c r="L2795" i="2"/>
  <c r="Z2795" i="2"/>
  <c r="AD2795" i="2"/>
  <c r="K2796" i="2"/>
  <c r="L2796" i="2"/>
  <c r="Z2796" i="2"/>
  <c r="AD2796" i="2"/>
  <c r="K2797" i="2"/>
  <c r="L2797" i="2"/>
  <c r="Z2797" i="2"/>
  <c r="AA2797" i="2" s="1"/>
  <c r="AC2797" i="2"/>
  <c r="AD2797" i="2"/>
  <c r="K2798" i="2"/>
  <c r="L2798" i="2"/>
  <c r="Z2798" i="2"/>
  <c r="AB2798" i="2" s="1"/>
  <c r="AA2798" i="2"/>
  <c r="AD2798" i="2"/>
  <c r="K2799" i="2"/>
  <c r="L2799" i="2"/>
  <c r="Z2799" i="2"/>
  <c r="AA2799" i="2" s="1"/>
  <c r="AD2799" i="2"/>
  <c r="K2800" i="2"/>
  <c r="L2800" i="2"/>
  <c r="Z2800" i="2"/>
  <c r="AB2800" i="2"/>
  <c r="AD2800" i="2"/>
  <c r="K2801" i="2"/>
  <c r="L2801" i="2"/>
  <c r="Z2801" i="2"/>
  <c r="AC2801" i="2" s="1"/>
  <c r="AD2801" i="2"/>
  <c r="K2802" i="2"/>
  <c r="L2802" i="2"/>
  <c r="Z2802" i="2"/>
  <c r="AA2802" i="2"/>
  <c r="AB2802" i="2"/>
  <c r="AC2802" i="2"/>
  <c r="AD2802" i="2"/>
  <c r="K2803" i="2"/>
  <c r="L2803" i="2"/>
  <c r="Z2803" i="2"/>
  <c r="AA2803" i="2" s="1"/>
  <c r="AD2803" i="2"/>
  <c r="K2804" i="2"/>
  <c r="L2804" i="2"/>
  <c r="Z2804" i="2"/>
  <c r="AD2804" i="2"/>
  <c r="K2805" i="2"/>
  <c r="L2805" i="2"/>
  <c r="Z2805" i="2"/>
  <c r="AA2805" i="2" s="1"/>
  <c r="AB2805" i="2"/>
  <c r="AD2805" i="2"/>
  <c r="K2806" i="2"/>
  <c r="L2806" i="2"/>
  <c r="Z2806" i="2"/>
  <c r="AA2806" i="2" s="1"/>
  <c r="AB2806" i="2"/>
  <c r="AD2806" i="2"/>
  <c r="K2807" i="2"/>
  <c r="L2807" i="2"/>
  <c r="Z2807" i="2"/>
  <c r="AB2807" i="2" s="1"/>
  <c r="AC2807" i="2"/>
  <c r="AD2807" i="2"/>
  <c r="K2808" i="2"/>
  <c r="L2808" i="2"/>
  <c r="Z2808" i="2"/>
  <c r="AB2808" i="2" s="1"/>
  <c r="AD2808" i="2"/>
  <c r="K2809" i="2"/>
  <c r="L2809" i="2"/>
  <c r="Z2809" i="2"/>
  <c r="AA2809" i="2" s="1"/>
  <c r="AD2809" i="2"/>
  <c r="K2810" i="2"/>
  <c r="L2810" i="2"/>
  <c r="Z2810" i="2"/>
  <c r="AD2810" i="2"/>
  <c r="K2811" i="2"/>
  <c r="L2811" i="2"/>
  <c r="Z2811" i="2"/>
  <c r="AC2811" i="2" s="1"/>
  <c r="AD2811" i="2"/>
  <c r="K2812" i="2"/>
  <c r="L2812" i="2"/>
  <c r="Z2812" i="2"/>
  <c r="AD2812" i="2"/>
  <c r="K2813" i="2"/>
  <c r="L2813" i="2"/>
  <c r="Z2813" i="2"/>
  <c r="AD2813" i="2"/>
  <c r="K2814" i="2"/>
  <c r="L2814" i="2"/>
  <c r="Z2814" i="2"/>
  <c r="AD2814" i="2"/>
  <c r="K2815" i="2"/>
  <c r="L2815" i="2"/>
  <c r="Z2815" i="2"/>
  <c r="AD2815" i="2"/>
  <c r="K2816" i="2"/>
  <c r="L2816" i="2"/>
  <c r="Z2816" i="2"/>
  <c r="AD2816" i="2"/>
  <c r="K2817" i="2"/>
  <c r="L2817" i="2"/>
  <c r="Z2817" i="2"/>
  <c r="AD2817" i="2"/>
  <c r="K2818" i="2"/>
  <c r="L2818" i="2"/>
  <c r="Z2818" i="2"/>
  <c r="AA2818" i="2" s="1"/>
  <c r="AC2818" i="2"/>
  <c r="AD2818" i="2"/>
  <c r="K2819" i="2"/>
  <c r="L2819" i="2"/>
  <c r="Z2819" i="2"/>
  <c r="AA2819" i="2" s="1"/>
  <c r="AD2819" i="2"/>
  <c r="K2820" i="2"/>
  <c r="L2820" i="2"/>
  <c r="Z2820" i="2"/>
  <c r="AB2820" i="2" s="1"/>
  <c r="AC2820" i="2"/>
  <c r="AD2820" i="2"/>
  <c r="K2821" i="2"/>
  <c r="L2821" i="2"/>
  <c r="Z2821" i="2"/>
  <c r="AB2821" i="2" s="1"/>
  <c r="AD2821" i="2"/>
  <c r="K2822" i="2"/>
  <c r="L2822" i="2"/>
  <c r="Z2822" i="2"/>
  <c r="AA2822" i="2" s="1"/>
  <c r="AC2822" i="2"/>
  <c r="AD2822" i="2"/>
  <c r="K2823" i="2"/>
  <c r="L2823" i="2"/>
  <c r="Z2823" i="2"/>
  <c r="AB2823" i="2" s="1"/>
  <c r="AD2823" i="2"/>
  <c r="K2824" i="2"/>
  <c r="L2824" i="2"/>
  <c r="Z2824" i="2"/>
  <c r="AA2824" i="2" s="1"/>
  <c r="AD2824" i="2"/>
  <c r="K2825" i="2"/>
  <c r="L2825" i="2"/>
  <c r="Z2825" i="2"/>
  <c r="AA2825" i="2" s="1"/>
  <c r="AD2825" i="2"/>
  <c r="K2826" i="2"/>
  <c r="L2826" i="2"/>
  <c r="Z2826" i="2"/>
  <c r="AD2826" i="2"/>
  <c r="K2827" i="2"/>
  <c r="L2827" i="2"/>
  <c r="Z2827" i="2"/>
  <c r="AC2827" i="2" s="1"/>
  <c r="AD2827" i="2"/>
  <c r="K2828" i="2"/>
  <c r="L2828" i="2"/>
  <c r="Z2828" i="2"/>
  <c r="AA2828" i="2" s="1"/>
  <c r="AD2828" i="2"/>
  <c r="K2829" i="2"/>
  <c r="L2829" i="2"/>
  <c r="Z2829" i="2"/>
  <c r="AB2829" i="2" s="1"/>
  <c r="AD2829" i="2"/>
  <c r="K2830" i="2"/>
  <c r="L2830" i="2"/>
  <c r="Z2830" i="2"/>
  <c r="AA2830" i="2"/>
  <c r="AD2830" i="2"/>
  <c r="K2831" i="2"/>
  <c r="L2831" i="2"/>
  <c r="Z2831" i="2"/>
  <c r="AB2831" i="2" s="1"/>
  <c r="AD2831" i="2"/>
  <c r="K2832" i="2"/>
  <c r="L2832" i="2"/>
  <c r="Z2832" i="2"/>
  <c r="AD2832" i="2"/>
  <c r="K2833" i="2"/>
  <c r="L2833" i="2"/>
  <c r="Z2833" i="2"/>
  <c r="AB2833" i="2" s="1"/>
  <c r="AD2833" i="2"/>
  <c r="K2834" i="2"/>
  <c r="L2834" i="2"/>
  <c r="Z2834" i="2"/>
  <c r="AA2834" i="2"/>
  <c r="AB2834" i="2"/>
  <c r="AC2834" i="2"/>
  <c r="AD2834" i="2"/>
  <c r="K2835" i="2"/>
  <c r="L2835" i="2"/>
  <c r="Z2835" i="2"/>
  <c r="AA2835" i="2" s="1"/>
  <c r="AD2835" i="2"/>
  <c r="K2836" i="2"/>
  <c r="L2836" i="2"/>
  <c r="Z2836" i="2"/>
  <c r="AA2836" i="2"/>
  <c r="AB2836" i="2"/>
  <c r="AC2836" i="2"/>
  <c r="AD2836" i="2"/>
  <c r="K2837" i="2"/>
  <c r="L2837" i="2"/>
  <c r="Z2837" i="2"/>
  <c r="AC2837" i="2" s="1"/>
  <c r="AD2837" i="2"/>
  <c r="K2838" i="2"/>
  <c r="L2838" i="2"/>
  <c r="Z2838" i="2"/>
  <c r="AB2838" i="2" s="1"/>
  <c r="AD2838" i="2"/>
  <c r="K2839" i="2"/>
  <c r="L2839" i="2"/>
  <c r="Z2839" i="2"/>
  <c r="AB2839" i="2" s="1"/>
  <c r="AD2839" i="2"/>
  <c r="K2840" i="2"/>
  <c r="L2840" i="2"/>
  <c r="Z2840" i="2"/>
  <c r="AB2840" i="2" s="1"/>
  <c r="AD2840" i="2"/>
  <c r="K2841" i="2"/>
  <c r="L2841" i="2"/>
  <c r="Z2841" i="2"/>
  <c r="AB2841" i="2" s="1"/>
  <c r="AD2841" i="2"/>
  <c r="K2842" i="2"/>
  <c r="L2842" i="2"/>
  <c r="Z2842" i="2"/>
  <c r="AA2842" i="2" s="1"/>
  <c r="AD2842" i="2"/>
  <c r="K2843" i="2"/>
  <c r="L2843" i="2"/>
  <c r="Z2843" i="2"/>
  <c r="AD2843" i="2"/>
  <c r="K2844" i="2"/>
  <c r="L2844" i="2"/>
  <c r="Z2844" i="2"/>
  <c r="AD2844" i="2"/>
  <c r="K2845" i="2"/>
  <c r="L2845" i="2"/>
  <c r="Z2845" i="2"/>
  <c r="AD2845" i="2"/>
  <c r="K2846" i="2"/>
  <c r="L2846" i="2"/>
  <c r="Z2846" i="2"/>
  <c r="AA2846" i="2" s="1"/>
  <c r="AD2846" i="2"/>
  <c r="K2847" i="2"/>
  <c r="L2847" i="2"/>
  <c r="Z2847" i="2"/>
  <c r="AA2847" i="2" s="1"/>
  <c r="AB2847" i="2"/>
  <c r="AC2847" i="2"/>
  <c r="AD2847" i="2"/>
  <c r="K2848" i="2"/>
  <c r="L2848" i="2"/>
  <c r="Z2848" i="2"/>
  <c r="AA2848" i="2" s="1"/>
  <c r="AD2848" i="2"/>
  <c r="K2849" i="2"/>
  <c r="L2849" i="2"/>
  <c r="Z2849" i="2"/>
  <c r="AA2849" i="2" s="1"/>
  <c r="AD2849" i="2"/>
  <c r="K2850" i="2"/>
  <c r="L2850" i="2"/>
  <c r="Z2850" i="2"/>
  <c r="AD2850" i="2"/>
  <c r="K2851" i="2"/>
  <c r="L2851" i="2"/>
  <c r="Z2851" i="2"/>
  <c r="AB2851" i="2" s="1"/>
  <c r="AD2851" i="2"/>
  <c r="K2852" i="2"/>
  <c r="L2852" i="2"/>
  <c r="Z2852" i="2"/>
  <c r="AD2852" i="2"/>
  <c r="K2853" i="2"/>
  <c r="L2853" i="2"/>
  <c r="Z2853" i="2"/>
  <c r="AB2853" i="2" s="1"/>
  <c r="AD2853" i="2"/>
  <c r="K2854" i="2"/>
  <c r="L2854" i="2"/>
  <c r="Z2854" i="2"/>
  <c r="AC2854" i="2" s="1"/>
  <c r="AD2854" i="2"/>
  <c r="K2855" i="2"/>
  <c r="L2855" i="2"/>
  <c r="Z2855" i="2"/>
  <c r="AB2855" i="2" s="1"/>
  <c r="AD2855" i="2"/>
  <c r="K2856" i="2"/>
  <c r="L2856" i="2"/>
  <c r="Z2856" i="2"/>
  <c r="AA2856" i="2" s="1"/>
  <c r="AB2856" i="2"/>
  <c r="AC2856" i="2"/>
  <c r="AD2856" i="2"/>
  <c r="K2857" i="2"/>
  <c r="L2857" i="2"/>
  <c r="Z2857" i="2"/>
  <c r="AD2857" i="2"/>
  <c r="K2858" i="2"/>
  <c r="L2858" i="2"/>
  <c r="Z2858" i="2"/>
  <c r="AD2858" i="2"/>
  <c r="K2859" i="2"/>
  <c r="L2859" i="2"/>
  <c r="Z2859" i="2"/>
  <c r="AA2859" i="2" s="1"/>
  <c r="AB2859" i="2"/>
  <c r="AC2859" i="2"/>
  <c r="AD2859" i="2"/>
  <c r="K2860" i="2"/>
  <c r="L2860" i="2"/>
  <c r="Z2860" i="2"/>
  <c r="AB2860" i="2" s="1"/>
  <c r="AD2860" i="2"/>
  <c r="K2861" i="2"/>
  <c r="L2861" i="2"/>
  <c r="Z2861" i="2"/>
  <c r="AB2861" i="2" s="1"/>
  <c r="AA2861" i="2"/>
  <c r="AD2861" i="2"/>
  <c r="K2862" i="2"/>
  <c r="L2862" i="2"/>
  <c r="Z2862" i="2"/>
  <c r="AA2862" i="2" s="1"/>
  <c r="AD2862" i="2"/>
  <c r="K2863" i="2"/>
  <c r="L2863" i="2"/>
  <c r="Z2863" i="2"/>
  <c r="AD2863" i="2"/>
  <c r="K2864" i="2"/>
  <c r="L2864" i="2"/>
  <c r="Z2864" i="2"/>
  <c r="AD2864" i="2"/>
  <c r="K2865" i="2"/>
  <c r="L2865" i="2"/>
  <c r="Z2865" i="2"/>
  <c r="AC2865" i="2" s="1"/>
  <c r="AD2865" i="2"/>
  <c r="K2866" i="2"/>
  <c r="L2866" i="2"/>
  <c r="Z2866" i="2"/>
  <c r="AA2866" i="2" s="1"/>
  <c r="AD2866" i="2"/>
  <c r="K2867" i="2"/>
  <c r="L2867" i="2"/>
  <c r="Z2867" i="2"/>
  <c r="AA2867" i="2" s="1"/>
  <c r="AB2867" i="2"/>
  <c r="AC2867" i="2"/>
  <c r="AD2867" i="2"/>
  <c r="K2868" i="2"/>
  <c r="L2868" i="2"/>
  <c r="Z2868" i="2"/>
  <c r="AC2868" i="2" s="1"/>
  <c r="AD2868" i="2"/>
  <c r="K2869" i="2"/>
  <c r="L2869" i="2"/>
  <c r="Z2869" i="2"/>
  <c r="AA2869" i="2" s="1"/>
  <c r="AD2869" i="2"/>
  <c r="K2870" i="2"/>
  <c r="L2870" i="2"/>
  <c r="Z2870" i="2"/>
  <c r="AC2870" i="2" s="1"/>
  <c r="AD2870" i="2"/>
  <c r="K2871" i="2"/>
  <c r="L2871" i="2"/>
  <c r="Z2871" i="2"/>
  <c r="AC2871" i="2" s="1"/>
  <c r="AD2871" i="2"/>
  <c r="K2872" i="2"/>
  <c r="L2872" i="2"/>
  <c r="Z2872" i="2"/>
  <c r="AD2872" i="2"/>
  <c r="K2873" i="2"/>
  <c r="L2873" i="2"/>
  <c r="Z2873" i="2"/>
  <c r="AA2873" i="2" s="1"/>
  <c r="AD2873" i="2"/>
  <c r="K2874" i="2"/>
  <c r="L2874" i="2"/>
  <c r="Z2874" i="2"/>
  <c r="AA2874" i="2" s="1"/>
  <c r="AB2874" i="2"/>
  <c r="AC2874" i="2"/>
  <c r="AD2874" i="2"/>
  <c r="K2875" i="2"/>
  <c r="L2875" i="2"/>
  <c r="Z2875" i="2"/>
  <c r="AD2875" i="2"/>
  <c r="K2876" i="2"/>
  <c r="L2876" i="2"/>
  <c r="Z2876" i="2"/>
  <c r="AD2876" i="2"/>
  <c r="K2877" i="2"/>
  <c r="L2877" i="2"/>
  <c r="Z2877" i="2"/>
  <c r="AD2877" i="2"/>
  <c r="K2878" i="2"/>
  <c r="L2878" i="2"/>
  <c r="Z2878" i="2"/>
  <c r="AD2878" i="2"/>
  <c r="K2879" i="2"/>
  <c r="L2879" i="2"/>
  <c r="Z2879" i="2"/>
  <c r="AD2879" i="2"/>
  <c r="K2880" i="2"/>
  <c r="L2880" i="2"/>
  <c r="Z2880" i="2"/>
  <c r="AD2880" i="2"/>
  <c r="K2881" i="2"/>
  <c r="L2881" i="2"/>
  <c r="Z2881" i="2"/>
  <c r="AB2881" i="2" s="1"/>
  <c r="AA2881" i="2"/>
  <c r="AD2881" i="2"/>
  <c r="K2882" i="2"/>
  <c r="L2882" i="2"/>
  <c r="Z2882" i="2"/>
  <c r="AC2882" i="2" s="1"/>
  <c r="AD2882" i="2"/>
  <c r="K2883" i="2"/>
  <c r="L2883" i="2"/>
  <c r="Z2883" i="2"/>
  <c r="AD2883" i="2"/>
  <c r="K2884" i="2"/>
  <c r="L2884" i="2"/>
  <c r="Z2884" i="2"/>
  <c r="AB2884" i="2" s="1"/>
  <c r="AD2884" i="2"/>
  <c r="K2885" i="2"/>
  <c r="L2885" i="2"/>
  <c r="Z2885" i="2"/>
  <c r="AD2885" i="2"/>
  <c r="K2886" i="2"/>
  <c r="L2886" i="2"/>
  <c r="Z2886" i="2"/>
  <c r="AB2886" i="2" s="1"/>
  <c r="AA2886" i="2"/>
  <c r="AD2886" i="2"/>
  <c r="K2887" i="2"/>
  <c r="L2887" i="2"/>
  <c r="Z2887" i="2"/>
  <c r="AD2887" i="2"/>
  <c r="K2888" i="2"/>
  <c r="L2888" i="2"/>
  <c r="Z2888" i="2"/>
  <c r="AA2888" i="2" s="1"/>
  <c r="AD2888" i="2"/>
  <c r="K2889" i="2"/>
  <c r="L2889" i="2"/>
  <c r="Z2889" i="2"/>
  <c r="AD2889" i="2"/>
  <c r="K2890" i="2"/>
  <c r="L2890" i="2"/>
  <c r="Z2890" i="2"/>
  <c r="AD2890" i="2"/>
  <c r="K2891" i="2"/>
  <c r="L2891" i="2"/>
  <c r="Z2891" i="2"/>
  <c r="AB2891" i="2"/>
  <c r="AD2891" i="2"/>
  <c r="K2892" i="2"/>
  <c r="L2892" i="2"/>
  <c r="Z2892" i="2"/>
  <c r="AA2892" i="2" s="1"/>
  <c r="AD2892" i="2"/>
  <c r="K2893" i="2"/>
  <c r="L2893" i="2"/>
  <c r="Z2893" i="2"/>
  <c r="AB2893" i="2" s="1"/>
  <c r="AD2893" i="2"/>
  <c r="K2894" i="2"/>
  <c r="L2894" i="2"/>
  <c r="Z2894" i="2"/>
  <c r="AA2894" i="2" s="1"/>
  <c r="AD2894" i="2"/>
  <c r="K2895" i="2"/>
  <c r="L2895" i="2"/>
  <c r="Z2895" i="2"/>
  <c r="AA2895" i="2" s="1"/>
  <c r="AB2895" i="2"/>
  <c r="AD2895" i="2"/>
  <c r="K2896" i="2"/>
  <c r="L2896" i="2"/>
  <c r="Z2896" i="2"/>
  <c r="AA2896" i="2" s="1"/>
  <c r="AD2896" i="2"/>
  <c r="K2897" i="2"/>
  <c r="L2897" i="2"/>
  <c r="Z2897" i="2"/>
  <c r="AA2897" i="2" s="1"/>
  <c r="AB2897" i="2"/>
  <c r="AD2897" i="2"/>
  <c r="K2898" i="2"/>
  <c r="L2898" i="2"/>
  <c r="Z2898" i="2"/>
  <c r="AA2898" i="2" s="1"/>
  <c r="AD2898" i="2"/>
  <c r="K2899" i="2"/>
  <c r="L2899" i="2"/>
  <c r="Z2899" i="2"/>
  <c r="AB2899" i="2" s="1"/>
  <c r="AD2899" i="2"/>
  <c r="K2900" i="2"/>
  <c r="L2900" i="2"/>
  <c r="Z2900" i="2"/>
  <c r="AB2900" i="2" s="1"/>
  <c r="AA2900" i="2"/>
  <c r="AD2900" i="2"/>
  <c r="K2901" i="2"/>
  <c r="L2901" i="2"/>
  <c r="Z2901" i="2"/>
  <c r="AB2901" i="2" s="1"/>
  <c r="AD2901" i="2"/>
  <c r="K2902" i="2"/>
  <c r="L2902" i="2"/>
  <c r="Z2902" i="2"/>
  <c r="AA2902" i="2" s="1"/>
  <c r="AD2902" i="2"/>
  <c r="K2903" i="2"/>
  <c r="L2903" i="2"/>
  <c r="Z2903" i="2"/>
  <c r="AA2903" i="2"/>
  <c r="AD2903" i="2"/>
  <c r="K2904" i="2"/>
  <c r="L2904" i="2"/>
  <c r="Z2904" i="2"/>
  <c r="AD2904" i="2"/>
  <c r="K2905" i="2"/>
  <c r="L2905" i="2"/>
  <c r="Z2905" i="2"/>
  <c r="AD2905" i="2"/>
  <c r="K2906" i="2"/>
  <c r="L2906" i="2"/>
  <c r="Z2906" i="2"/>
  <c r="AA2906" i="2" s="1"/>
  <c r="AD2906" i="2"/>
  <c r="K2907" i="2"/>
  <c r="L2907" i="2"/>
  <c r="Z2907" i="2"/>
  <c r="AC2907" i="2"/>
  <c r="AD2907" i="2"/>
  <c r="K2908" i="2"/>
  <c r="L2908" i="2"/>
  <c r="Z2908" i="2"/>
  <c r="AC2908" i="2" s="1"/>
  <c r="AB2908" i="2"/>
  <c r="AD2908" i="2"/>
  <c r="K2909" i="2"/>
  <c r="L2909" i="2"/>
  <c r="Z2909" i="2"/>
  <c r="AD2909" i="2"/>
  <c r="K2910" i="2"/>
  <c r="L2910" i="2"/>
  <c r="Z2910" i="2"/>
  <c r="AC2910" i="2"/>
  <c r="AD2910" i="2"/>
  <c r="K2911" i="2"/>
  <c r="L2911" i="2"/>
  <c r="Z2911" i="2"/>
  <c r="AD2911" i="2"/>
  <c r="K2912" i="2"/>
  <c r="L2912" i="2"/>
  <c r="Z2912" i="2"/>
  <c r="AB2912" i="2" s="1"/>
  <c r="AD2912" i="2"/>
  <c r="K2913" i="2"/>
  <c r="L2913" i="2"/>
  <c r="Z2913" i="2"/>
  <c r="AD2913" i="2"/>
  <c r="K2914" i="2"/>
  <c r="L2914" i="2"/>
  <c r="Z2914" i="2"/>
  <c r="AD2914" i="2"/>
  <c r="K2915" i="2"/>
  <c r="L2915" i="2"/>
  <c r="Z2915" i="2"/>
  <c r="AA2915" i="2" s="1"/>
  <c r="AD2915" i="2"/>
  <c r="K2916" i="2"/>
  <c r="L2916" i="2"/>
  <c r="Z2916" i="2"/>
  <c r="AA2916" i="2" s="1"/>
  <c r="AD2916" i="2"/>
  <c r="K2917" i="2"/>
  <c r="L2917" i="2"/>
  <c r="Z2917" i="2"/>
  <c r="AA2917" i="2" s="1"/>
  <c r="AB2917" i="2"/>
  <c r="AC2917" i="2"/>
  <c r="AD2917" i="2"/>
  <c r="K2918" i="2"/>
  <c r="L2918" i="2"/>
  <c r="Z2918" i="2"/>
  <c r="AC2918" i="2" s="1"/>
  <c r="AA2918" i="2"/>
  <c r="AD2918" i="2"/>
  <c r="K2919" i="2"/>
  <c r="L2919" i="2"/>
  <c r="Z2919" i="2"/>
  <c r="AC2919" i="2" s="1"/>
  <c r="AD2919" i="2"/>
  <c r="K2920" i="2"/>
  <c r="L2920" i="2"/>
  <c r="Z2920" i="2"/>
  <c r="AC2920" i="2" s="1"/>
  <c r="AB2920" i="2"/>
  <c r="AD2920" i="2"/>
  <c r="K2921" i="2"/>
  <c r="L2921" i="2"/>
  <c r="Z2921" i="2"/>
  <c r="AA2921" i="2"/>
  <c r="AD2921" i="2"/>
  <c r="K2922" i="2"/>
  <c r="L2922" i="2"/>
  <c r="Z2922" i="2"/>
  <c r="AC2922" i="2" s="1"/>
  <c r="AD2922" i="2"/>
  <c r="K2923" i="2"/>
  <c r="L2923" i="2"/>
  <c r="Z2923" i="2"/>
  <c r="AA2923" i="2" s="1"/>
  <c r="AD2923" i="2"/>
  <c r="K2924" i="2"/>
  <c r="L2924" i="2"/>
  <c r="Z2924" i="2"/>
  <c r="AB2924" i="2" s="1"/>
  <c r="AD2924" i="2"/>
  <c r="K2925" i="2"/>
  <c r="L2925" i="2"/>
  <c r="Z2925" i="2"/>
  <c r="AA2925" i="2" s="1"/>
  <c r="AD2925" i="2"/>
  <c r="K2926" i="2"/>
  <c r="L2926" i="2"/>
  <c r="Z2926" i="2"/>
  <c r="AA2926" i="2" s="1"/>
  <c r="AC2926" i="2"/>
  <c r="AD2926" i="2"/>
  <c r="K2927" i="2"/>
  <c r="L2927" i="2"/>
  <c r="Z2927" i="2"/>
  <c r="AA2927" i="2" s="1"/>
  <c r="AD2927" i="2"/>
  <c r="K2928" i="2"/>
  <c r="L2928" i="2"/>
  <c r="Z2928" i="2"/>
  <c r="AD2928" i="2"/>
  <c r="K2929" i="2"/>
  <c r="L2929" i="2"/>
  <c r="Z2929" i="2"/>
  <c r="AD2929" i="2"/>
  <c r="K2930" i="2"/>
  <c r="L2930" i="2"/>
  <c r="Z2930" i="2"/>
  <c r="AB2930" i="2"/>
  <c r="AD2930" i="2"/>
  <c r="K2931" i="2"/>
  <c r="L2931" i="2"/>
  <c r="Z2931" i="2"/>
  <c r="AC2931" i="2" s="1"/>
  <c r="AD2931" i="2"/>
  <c r="K2932" i="2"/>
  <c r="L2932" i="2"/>
  <c r="Z2932" i="2"/>
  <c r="AB2932" i="2" s="1"/>
  <c r="AD2932" i="2"/>
  <c r="K2933" i="2"/>
  <c r="L2933" i="2"/>
  <c r="Z2933" i="2"/>
  <c r="AA2933" i="2" s="1"/>
  <c r="AC2933" i="2"/>
  <c r="AD2933" i="2"/>
  <c r="K2934" i="2"/>
  <c r="L2934" i="2"/>
  <c r="Z2934" i="2"/>
  <c r="AC2934" i="2" s="1"/>
  <c r="AD2934" i="2"/>
  <c r="K2935" i="2"/>
  <c r="L2935" i="2"/>
  <c r="Z2935" i="2"/>
  <c r="AA2935" i="2" s="1"/>
  <c r="AD2935" i="2"/>
  <c r="K2936" i="2"/>
  <c r="L2936" i="2"/>
  <c r="Z2936" i="2"/>
  <c r="AD2936" i="2"/>
  <c r="K2937" i="2"/>
  <c r="L2937" i="2"/>
  <c r="Z2937" i="2"/>
  <c r="AD2937" i="2"/>
  <c r="K2938" i="2"/>
  <c r="L2938" i="2"/>
  <c r="Z2938" i="2"/>
  <c r="AD2938" i="2"/>
  <c r="K2939" i="2"/>
  <c r="L2939" i="2"/>
  <c r="Z2939" i="2"/>
  <c r="AA2939" i="2" s="1"/>
  <c r="AD2939" i="2"/>
  <c r="K2940" i="2"/>
  <c r="L2940" i="2"/>
  <c r="Z2940" i="2"/>
  <c r="AB2940" i="2" s="1"/>
  <c r="AD2940" i="2"/>
  <c r="K2941" i="2"/>
  <c r="L2941" i="2"/>
  <c r="Z2941" i="2"/>
  <c r="AA2941" i="2" s="1"/>
  <c r="AB2941" i="2"/>
  <c r="AC2941" i="2"/>
  <c r="AD2941" i="2"/>
  <c r="K2942" i="2"/>
  <c r="L2942" i="2"/>
  <c r="Z2942" i="2"/>
  <c r="AD2942" i="2"/>
  <c r="K2943" i="2"/>
  <c r="L2943" i="2"/>
  <c r="Z2943" i="2"/>
  <c r="AC2943" i="2" s="1"/>
  <c r="AD2943" i="2"/>
  <c r="K2944" i="2"/>
  <c r="L2944" i="2"/>
  <c r="Z2944" i="2"/>
  <c r="AD2944" i="2"/>
  <c r="K2945" i="2"/>
  <c r="L2945" i="2"/>
  <c r="Z2945" i="2"/>
  <c r="AA2945" i="2"/>
  <c r="AB2945" i="2"/>
  <c r="AC2945" i="2"/>
  <c r="AD2945" i="2"/>
  <c r="K2946" i="2"/>
  <c r="L2946" i="2"/>
  <c r="Z2946" i="2"/>
  <c r="AC2946" i="2" s="1"/>
  <c r="AD2946" i="2"/>
  <c r="K2947" i="2"/>
  <c r="L2947" i="2"/>
  <c r="Z2947" i="2"/>
  <c r="AA2947" i="2" s="1"/>
  <c r="AC2947" i="2"/>
  <c r="AD2947" i="2"/>
  <c r="K2948" i="2"/>
  <c r="L2948" i="2"/>
  <c r="Z2948" i="2"/>
  <c r="AC2948" i="2" s="1"/>
  <c r="AB2948" i="2"/>
  <c r="AD2948" i="2"/>
  <c r="K2949" i="2"/>
  <c r="L2949" i="2"/>
  <c r="Z2949" i="2"/>
  <c r="AD2949" i="2"/>
  <c r="K2950" i="2"/>
  <c r="L2950" i="2"/>
  <c r="Z2950" i="2"/>
  <c r="AA2950" i="2" s="1"/>
  <c r="AC2950" i="2"/>
  <c r="AD2950" i="2"/>
  <c r="K2951" i="2"/>
  <c r="L2951" i="2"/>
  <c r="Z2951" i="2"/>
  <c r="AD2951" i="2"/>
  <c r="K2952" i="2"/>
  <c r="L2952" i="2"/>
  <c r="Z2952" i="2"/>
  <c r="AA2952" i="2" s="1"/>
  <c r="AD2952" i="2"/>
  <c r="K2953" i="2"/>
  <c r="L2953" i="2"/>
  <c r="Z2953" i="2"/>
  <c r="AC2953" i="2" s="1"/>
  <c r="AA2953" i="2"/>
  <c r="AD2953" i="2"/>
  <c r="K2954" i="2"/>
  <c r="L2954" i="2"/>
  <c r="Z2954" i="2"/>
  <c r="AA2954" i="2" s="1"/>
  <c r="AD2954" i="2"/>
  <c r="K2955" i="2"/>
  <c r="L2955" i="2"/>
  <c r="Z2955" i="2"/>
  <c r="AC2955" i="2" s="1"/>
  <c r="AD2955" i="2"/>
  <c r="K2956" i="2"/>
  <c r="L2956" i="2"/>
  <c r="Z2956" i="2"/>
  <c r="AD2956" i="2"/>
  <c r="K2957" i="2"/>
  <c r="L2957" i="2"/>
  <c r="Z2957" i="2"/>
  <c r="AC2957" i="2" s="1"/>
  <c r="AB2957" i="2"/>
  <c r="AD2957" i="2"/>
  <c r="K2958" i="2"/>
  <c r="L2958" i="2"/>
  <c r="Z2958" i="2"/>
  <c r="AC2958" i="2"/>
  <c r="AD2958" i="2"/>
  <c r="K2959" i="2"/>
  <c r="L2959" i="2"/>
  <c r="Z2959" i="2"/>
  <c r="AB2959" i="2" s="1"/>
  <c r="AD2959" i="2"/>
  <c r="K2960" i="2"/>
  <c r="L2960" i="2"/>
  <c r="Z2960" i="2"/>
  <c r="AB2960" i="2" s="1"/>
  <c r="AD2960" i="2"/>
  <c r="K2961" i="2"/>
  <c r="L2961" i="2"/>
  <c r="Z2961" i="2"/>
  <c r="AB2961" i="2" s="1"/>
  <c r="AD2961" i="2"/>
  <c r="K2962" i="2"/>
  <c r="L2962" i="2"/>
  <c r="Z2962" i="2"/>
  <c r="AD2962" i="2"/>
  <c r="K2963" i="2"/>
  <c r="L2963" i="2"/>
  <c r="Z2963" i="2"/>
  <c r="AA2963" i="2" s="1"/>
  <c r="AD2963" i="2"/>
  <c r="K2964" i="2"/>
  <c r="L2964" i="2"/>
  <c r="Z2964" i="2"/>
  <c r="AA2964" i="2" s="1"/>
  <c r="AC2964" i="2"/>
  <c r="AD2964" i="2"/>
  <c r="K2965" i="2"/>
  <c r="L2965" i="2"/>
  <c r="Z2965" i="2"/>
  <c r="AB2965" i="2" s="1"/>
  <c r="AA2965" i="2"/>
  <c r="AD2965" i="2"/>
  <c r="K2966" i="2"/>
  <c r="L2966" i="2"/>
  <c r="Z2966" i="2"/>
  <c r="AB2966" i="2" s="1"/>
  <c r="AD2966" i="2"/>
  <c r="K2967" i="2"/>
  <c r="L2967" i="2"/>
  <c r="Z2967" i="2"/>
  <c r="AC2967" i="2" s="1"/>
  <c r="AD2967" i="2"/>
  <c r="K2968" i="2"/>
  <c r="L2968" i="2"/>
  <c r="Z2968" i="2"/>
  <c r="AC2968" i="2" s="1"/>
  <c r="AB2968" i="2"/>
  <c r="AD2968" i="2"/>
  <c r="K2969" i="2"/>
  <c r="L2969" i="2"/>
  <c r="Z2969" i="2"/>
  <c r="AD2969" i="2"/>
  <c r="K2970" i="2"/>
  <c r="L2970" i="2"/>
  <c r="Z2970" i="2"/>
  <c r="AC2970" i="2"/>
  <c r="AD2970" i="2"/>
  <c r="K2971" i="2"/>
  <c r="L2971" i="2"/>
  <c r="Z2971" i="2"/>
  <c r="AD2971" i="2"/>
  <c r="K2972" i="2"/>
  <c r="L2972" i="2"/>
  <c r="Z2972" i="2"/>
  <c r="AB2972" i="2" s="1"/>
  <c r="AA2972" i="2"/>
  <c r="AD2972" i="2"/>
  <c r="K2973" i="2"/>
  <c r="L2973" i="2"/>
  <c r="Z2973" i="2"/>
  <c r="AD2973" i="2"/>
  <c r="K2974" i="2"/>
  <c r="L2974" i="2"/>
  <c r="Z2974" i="2"/>
  <c r="AD2974" i="2"/>
  <c r="K2975" i="2"/>
  <c r="L2975" i="2"/>
  <c r="Z2975" i="2"/>
  <c r="AA2975" i="2"/>
  <c r="AD2975" i="2"/>
  <c r="K2976" i="2"/>
  <c r="L2976" i="2"/>
  <c r="Z2976" i="2"/>
  <c r="AA2976" i="2" s="1"/>
  <c r="AC2976" i="2"/>
  <c r="AD2976" i="2"/>
  <c r="K2977" i="2"/>
  <c r="L2977" i="2"/>
  <c r="Z2977" i="2"/>
  <c r="AD2977" i="2"/>
  <c r="K2978" i="2"/>
  <c r="L2978" i="2"/>
  <c r="Z2978" i="2"/>
  <c r="AC2978" i="2" s="1"/>
  <c r="AA2978" i="2"/>
  <c r="AB2978" i="2"/>
  <c r="AD2978" i="2"/>
  <c r="K2979" i="2"/>
  <c r="L2979" i="2"/>
  <c r="Z2979" i="2"/>
  <c r="AC2979" i="2"/>
  <c r="AD2979" i="2"/>
  <c r="K2980" i="2"/>
  <c r="L2980" i="2"/>
  <c r="Z2980" i="2"/>
  <c r="AC2980" i="2" s="1"/>
  <c r="AD2980" i="2"/>
  <c r="K2981" i="2"/>
  <c r="L2981" i="2"/>
  <c r="Z2981" i="2"/>
  <c r="AD2981" i="2"/>
  <c r="K2982" i="2"/>
  <c r="L2982" i="2"/>
  <c r="Z2982" i="2"/>
  <c r="AC2982" i="2" s="1"/>
  <c r="AD2982" i="2"/>
  <c r="K2983" i="2"/>
  <c r="L2983" i="2"/>
  <c r="Z2983" i="2"/>
  <c r="AA2983" i="2" s="1"/>
  <c r="AD2983" i="2"/>
  <c r="K2984" i="2"/>
  <c r="L2984" i="2"/>
  <c r="Z2984" i="2"/>
  <c r="AD2984" i="2"/>
  <c r="K2985" i="2"/>
  <c r="L2985" i="2"/>
  <c r="Z2985" i="2"/>
  <c r="AA2985" i="2" s="1"/>
  <c r="AD2985" i="2"/>
  <c r="K2986" i="2"/>
  <c r="L2986" i="2"/>
  <c r="Z2986" i="2"/>
  <c r="AA2986" i="2" s="1"/>
  <c r="AD2986" i="2"/>
  <c r="K2987" i="2"/>
  <c r="L2987" i="2"/>
  <c r="Z2987" i="2"/>
  <c r="AA2987" i="2" s="1"/>
  <c r="AD2987" i="2"/>
  <c r="K2988" i="2"/>
  <c r="L2988" i="2"/>
  <c r="Z2988" i="2"/>
  <c r="AD2988" i="2"/>
  <c r="K2989" i="2"/>
  <c r="L2989" i="2"/>
  <c r="Z2989" i="2"/>
  <c r="AD2989" i="2"/>
  <c r="K2990" i="2"/>
  <c r="L2990" i="2"/>
  <c r="Z2990" i="2"/>
  <c r="AB2990" i="2" s="1"/>
  <c r="AD2990" i="2"/>
  <c r="K2991" i="2"/>
  <c r="L2991" i="2"/>
  <c r="Z2991" i="2"/>
  <c r="AB2991" i="2" s="1"/>
  <c r="AD2991" i="2"/>
  <c r="K2992" i="2"/>
  <c r="L2992" i="2"/>
  <c r="Z2992" i="2"/>
  <c r="AC2992" i="2" s="1"/>
  <c r="AA2992" i="2"/>
  <c r="AD2992" i="2"/>
  <c r="K2993" i="2"/>
  <c r="L2993" i="2"/>
  <c r="Z2993" i="2"/>
  <c r="AD2993" i="2"/>
  <c r="K2994" i="2"/>
  <c r="L2994" i="2"/>
  <c r="Z2994" i="2"/>
  <c r="AD2994" i="2"/>
  <c r="K2995" i="2"/>
  <c r="L2995" i="2"/>
  <c r="Z2995" i="2"/>
  <c r="AD2995" i="2"/>
  <c r="K2996" i="2"/>
  <c r="L2996" i="2"/>
  <c r="Z2996" i="2"/>
  <c r="AD2996" i="2"/>
  <c r="K2997" i="2"/>
  <c r="L2997" i="2"/>
  <c r="Z2997" i="2"/>
  <c r="AA2997" i="2" s="1"/>
  <c r="AD2997" i="2"/>
  <c r="K2998" i="2"/>
  <c r="L2998" i="2"/>
  <c r="Z2998" i="2"/>
  <c r="AA2998" i="2" s="1"/>
  <c r="AD2998" i="2"/>
  <c r="K2999" i="2"/>
  <c r="L2999" i="2"/>
  <c r="Z2999" i="2"/>
  <c r="AD2999" i="2"/>
  <c r="K3000" i="2"/>
  <c r="L3000" i="2"/>
  <c r="Z3000" i="2"/>
  <c r="AA3000" i="2" s="1"/>
  <c r="AD3000" i="2"/>
  <c r="K3001" i="2"/>
  <c r="L3001" i="2"/>
  <c r="Z3001" i="2"/>
  <c r="AD3001" i="2"/>
  <c r="K3002" i="2"/>
  <c r="L3002" i="2"/>
  <c r="Z3002" i="2"/>
  <c r="AA3002" i="2" s="1"/>
  <c r="AC3002" i="2"/>
  <c r="AD3002" i="2"/>
  <c r="K3003" i="2"/>
  <c r="L3003" i="2"/>
  <c r="Z3003" i="2"/>
  <c r="AB3003" i="2" s="1"/>
  <c r="AA3003" i="2"/>
  <c r="AD3003" i="2"/>
  <c r="K3004" i="2"/>
  <c r="L3004" i="2"/>
  <c r="Z3004" i="2"/>
  <c r="AD3004" i="2"/>
  <c r="K3005" i="2"/>
  <c r="L3005" i="2"/>
  <c r="Z3005" i="2"/>
  <c r="AD3005" i="2"/>
  <c r="K3006" i="2"/>
  <c r="L3006" i="2"/>
  <c r="Z3006" i="2"/>
  <c r="AA3006" i="2" s="1"/>
  <c r="AD3006" i="2"/>
  <c r="K3007" i="2"/>
  <c r="L3007" i="2"/>
  <c r="Z3007" i="2"/>
  <c r="AD3007" i="2"/>
  <c r="K3008" i="2"/>
  <c r="L3008" i="2"/>
  <c r="Z3008" i="2"/>
  <c r="AD3008" i="2"/>
  <c r="K3009" i="2"/>
  <c r="L3009" i="2"/>
  <c r="Z3009" i="2"/>
  <c r="AB3009" i="2" s="1"/>
  <c r="AA3009" i="2"/>
  <c r="AC3009" i="2"/>
  <c r="AD3009" i="2"/>
  <c r="K3010" i="2"/>
  <c r="L3010" i="2"/>
  <c r="Z3010" i="2"/>
  <c r="AA3010" i="2" s="1"/>
  <c r="AD3010" i="2"/>
  <c r="K3011" i="2"/>
  <c r="L3011" i="2"/>
  <c r="Z3011" i="2"/>
  <c r="AB3011" i="2" s="1"/>
  <c r="AD3011" i="2"/>
  <c r="K3012" i="2"/>
  <c r="L3012" i="2"/>
  <c r="Z3012" i="2"/>
  <c r="AD3012" i="2"/>
  <c r="K3013" i="2"/>
  <c r="L3013" i="2"/>
  <c r="Z3013" i="2"/>
  <c r="AA3013" i="2" s="1"/>
  <c r="AD3013" i="2"/>
  <c r="K3014" i="2"/>
  <c r="L3014" i="2"/>
  <c r="Z3014" i="2"/>
  <c r="AD3014" i="2"/>
  <c r="K3015" i="2"/>
  <c r="L3015" i="2"/>
  <c r="Z3015" i="2"/>
  <c r="AD3015" i="2"/>
  <c r="K3016" i="2"/>
  <c r="L3016" i="2"/>
  <c r="Z3016" i="2"/>
  <c r="AD3016" i="2"/>
  <c r="K3017" i="2"/>
  <c r="L3017" i="2"/>
  <c r="Z3017" i="2"/>
  <c r="AA3017" i="2" s="1"/>
  <c r="AD3017" i="2"/>
  <c r="K3018" i="2"/>
  <c r="L3018" i="2"/>
  <c r="Z3018" i="2"/>
  <c r="AD3018" i="2"/>
  <c r="K3019" i="2"/>
  <c r="L3019" i="2"/>
  <c r="Z3019" i="2"/>
  <c r="AA3019" i="2" s="1"/>
  <c r="AB3019" i="2"/>
  <c r="AC3019" i="2"/>
  <c r="AD3019" i="2"/>
  <c r="K3020" i="2"/>
  <c r="L3020" i="2"/>
  <c r="Z3020" i="2"/>
  <c r="AA3020" i="2"/>
  <c r="AD3020" i="2"/>
  <c r="K3021" i="2"/>
  <c r="L3021" i="2"/>
  <c r="Z3021" i="2"/>
  <c r="AC3021" i="2" s="1"/>
  <c r="AA3021" i="2"/>
  <c r="AB3021" i="2"/>
  <c r="AD3021" i="2"/>
  <c r="K3022" i="2"/>
  <c r="L3022" i="2"/>
  <c r="Z3022" i="2"/>
  <c r="AA3022" i="2" s="1"/>
  <c r="AD3022" i="2"/>
  <c r="K3023" i="2"/>
  <c r="L3023" i="2"/>
  <c r="Z3023" i="2"/>
  <c r="AD3023" i="2"/>
  <c r="K3024" i="2"/>
  <c r="L3024" i="2"/>
  <c r="Z3024" i="2"/>
  <c r="AA3024" i="2" s="1"/>
  <c r="AD3024" i="2"/>
  <c r="K3025" i="2"/>
  <c r="L3025" i="2"/>
  <c r="Z3025" i="2"/>
  <c r="AA3025" i="2" s="1"/>
  <c r="AD3025" i="2"/>
  <c r="K3026" i="2"/>
  <c r="L3026" i="2"/>
  <c r="Z3026" i="2"/>
  <c r="AD3026" i="2"/>
  <c r="K3027" i="2"/>
  <c r="L3027" i="2"/>
  <c r="Z3027" i="2"/>
  <c r="AB3027" i="2" s="1"/>
  <c r="AA3027" i="2"/>
  <c r="AD3027" i="2"/>
  <c r="K3028" i="2"/>
  <c r="L3028" i="2"/>
  <c r="Z3028" i="2"/>
  <c r="AC3028" i="2" s="1"/>
  <c r="AB3028" i="2"/>
  <c r="AD3028" i="2"/>
  <c r="K3029" i="2"/>
  <c r="L3029" i="2"/>
  <c r="Z3029" i="2"/>
  <c r="AD3029" i="2"/>
  <c r="K3030" i="2"/>
  <c r="L3030" i="2"/>
  <c r="Z3030" i="2"/>
  <c r="AA3030" i="2" s="1"/>
  <c r="AC3030" i="2"/>
  <c r="AD3030" i="2"/>
  <c r="K3031" i="2"/>
  <c r="L3031" i="2"/>
  <c r="Z3031" i="2"/>
  <c r="AD3031" i="2"/>
  <c r="K3032" i="2"/>
  <c r="L3032" i="2"/>
  <c r="Z3032" i="2"/>
  <c r="AD3032" i="2"/>
  <c r="K3033" i="2"/>
  <c r="L3033" i="2"/>
  <c r="Z3033" i="2"/>
  <c r="AD3033" i="2"/>
  <c r="K3034" i="2"/>
  <c r="L3034" i="2"/>
  <c r="Z3034" i="2"/>
  <c r="AD3034" i="2"/>
  <c r="K3035" i="2"/>
  <c r="L3035" i="2"/>
  <c r="Z3035" i="2"/>
  <c r="AB3035" i="2" s="1"/>
  <c r="AD3035" i="2"/>
  <c r="K3036" i="2"/>
  <c r="L3036" i="2"/>
  <c r="Z3036" i="2"/>
  <c r="AA3036" i="2" s="1"/>
  <c r="AD3036" i="2"/>
  <c r="K3037" i="2"/>
  <c r="L3037" i="2"/>
  <c r="Z3037" i="2"/>
  <c r="AD3037" i="2"/>
  <c r="K3038" i="2"/>
  <c r="L3038" i="2"/>
  <c r="Z3038" i="2"/>
  <c r="AB3038" i="2" s="1"/>
  <c r="AD3038" i="2"/>
  <c r="K3039" i="2"/>
  <c r="L3039" i="2"/>
  <c r="Z3039" i="2"/>
  <c r="AB3039" i="2" s="1"/>
  <c r="AA3039" i="2"/>
  <c r="AD3039" i="2"/>
  <c r="K3040" i="2"/>
  <c r="L3040" i="2"/>
  <c r="Z3040" i="2"/>
  <c r="AC3040" i="2" s="1"/>
  <c r="AD3040" i="2"/>
  <c r="K3041" i="2"/>
  <c r="L3041" i="2"/>
  <c r="Z3041" i="2"/>
  <c r="AD3041" i="2"/>
  <c r="K3042" i="2"/>
  <c r="L3042" i="2"/>
  <c r="Z3042" i="2"/>
  <c r="AD3042" i="2"/>
  <c r="K3043" i="2"/>
  <c r="L3043" i="2"/>
  <c r="Z3043" i="2"/>
  <c r="AD3043" i="2"/>
  <c r="K3044" i="2"/>
  <c r="L3044" i="2"/>
  <c r="Z3044" i="2"/>
  <c r="AB3044" i="2"/>
  <c r="AD3044" i="2"/>
  <c r="K3045" i="2"/>
  <c r="L3045" i="2"/>
  <c r="Z3045" i="2"/>
  <c r="AD3045" i="2"/>
  <c r="K3046" i="2"/>
  <c r="L3046" i="2"/>
  <c r="Z3046" i="2"/>
  <c r="AA3046" i="2" s="1"/>
  <c r="AD3046" i="2"/>
  <c r="K3047" i="2"/>
  <c r="L3047" i="2"/>
  <c r="Z3047" i="2"/>
  <c r="AA3047" i="2"/>
  <c r="AD3047" i="2"/>
  <c r="K3048" i="2"/>
  <c r="L3048" i="2"/>
  <c r="Z3048" i="2"/>
  <c r="AA3048" i="2" s="1"/>
  <c r="AD3048" i="2"/>
  <c r="K3049" i="2"/>
  <c r="L3049" i="2"/>
  <c r="Z3049" i="2"/>
  <c r="AD3049" i="2"/>
  <c r="K3050" i="2"/>
  <c r="L3050" i="2"/>
  <c r="Z3050" i="2"/>
  <c r="AA3050" i="2" s="1"/>
  <c r="AC3050" i="2"/>
  <c r="AD3050" i="2"/>
  <c r="K3051" i="2"/>
  <c r="L3051" i="2"/>
  <c r="Z3051" i="2"/>
  <c r="AB3051" i="2" s="1"/>
  <c r="AD3051" i="2"/>
  <c r="K3052" i="2"/>
  <c r="L3052" i="2"/>
  <c r="Z3052" i="2"/>
  <c r="AC3052" i="2" s="1"/>
  <c r="AB3052" i="2"/>
  <c r="AD3052" i="2"/>
  <c r="K3053" i="2"/>
  <c r="L3053" i="2"/>
  <c r="Z3053" i="2"/>
  <c r="AD3053" i="2"/>
  <c r="K3054" i="2"/>
  <c r="L3054" i="2"/>
  <c r="Z3054" i="2"/>
  <c r="AA3054" i="2" s="1"/>
  <c r="AC3054" i="2"/>
  <c r="AD3054" i="2"/>
  <c r="K3055" i="2"/>
  <c r="L3055" i="2"/>
  <c r="Z3055" i="2"/>
  <c r="AD3055" i="2"/>
  <c r="K3056" i="2"/>
  <c r="L3056" i="2"/>
  <c r="Z3056" i="2"/>
  <c r="AD3056" i="2"/>
  <c r="K3057" i="2"/>
  <c r="L3057" i="2"/>
  <c r="Z3057" i="2"/>
  <c r="AD3057" i="2"/>
  <c r="K3058" i="2"/>
  <c r="L3058" i="2"/>
  <c r="Z3058" i="2"/>
  <c r="AB3058" i="2" s="1"/>
  <c r="AD3058" i="2"/>
  <c r="K3059" i="2"/>
  <c r="L3059" i="2"/>
  <c r="Z3059" i="2"/>
  <c r="AB3059" i="2" s="1"/>
  <c r="AD3059" i="2"/>
  <c r="K3060" i="2"/>
  <c r="L3060" i="2"/>
  <c r="Z3060" i="2"/>
  <c r="AD3060" i="2"/>
  <c r="K3061" i="2"/>
  <c r="L3061" i="2"/>
  <c r="Z3061" i="2"/>
  <c r="AA3061" i="2" s="1"/>
  <c r="AB3061" i="2"/>
  <c r="AC3061" i="2"/>
  <c r="AD3061" i="2"/>
  <c r="K3062" i="2"/>
  <c r="L3062" i="2"/>
  <c r="Z3062" i="2"/>
  <c r="AB3062" i="2"/>
  <c r="AD3062" i="2"/>
  <c r="K3063" i="2"/>
  <c r="L3063" i="2"/>
  <c r="Z3063" i="2"/>
  <c r="AB3063" i="2" s="1"/>
  <c r="AD3063" i="2"/>
  <c r="K3064" i="2"/>
  <c r="L3064" i="2"/>
  <c r="Z3064" i="2"/>
  <c r="AC3064" i="2" s="1"/>
  <c r="AD3064" i="2"/>
  <c r="K3065" i="2"/>
  <c r="L3065" i="2"/>
  <c r="Z3065" i="2"/>
  <c r="AB3065" i="2" s="1"/>
  <c r="AA3065" i="2"/>
  <c r="AC3065" i="2"/>
  <c r="AD3065" i="2"/>
  <c r="K3066" i="2"/>
  <c r="L3066" i="2"/>
  <c r="Z3066" i="2"/>
  <c r="AD3066" i="2"/>
  <c r="K3067" i="2"/>
  <c r="L3067" i="2"/>
  <c r="Z3067" i="2"/>
  <c r="AA3067" i="2" s="1"/>
  <c r="AC3067" i="2"/>
  <c r="AD3067" i="2"/>
  <c r="K3068" i="2"/>
  <c r="L3068" i="2"/>
  <c r="Z3068" i="2"/>
  <c r="AC3068" i="2" s="1"/>
  <c r="AB3068" i="2"/>
  <c r="AD3068" i="2"/>
  <c r="K3069" i="2"/>
  <c r="L3069" i="2"/>
  <c r="Z3069" i="2"/>
  <c r="AD3069" i="2"/>
  <c r="K3070" i="2"/>
  <c r="L3070" i="2"/>
  <c r="Z3070" i="2"/>
  <c r="AA3070" i="2" s="1"/>
  <c r="AD3070" i="2"/>
  <c r="K3071" i="2"/>
  <c r="L3071" i="2"/>
  <c r="Z3071" i="2"/>
  <c r="AD3071" i="2"/>
  <c r="K3072" i="2"/>
  <c r="L3072" i="2"/>
  <c r="Z3072" i="2"/>
  <c r="AA3072" i="2" s="1"/>
  <c r="AD3072" i="2"/>
  <c r="K3073" i="2"/>
  <c r="L3073" i="2"/>
  <c r="Z3073" i="2"/>
  <c r="AB3073" i="2" s="1"/>
  <c r="AA3073" i="2"/>
  <c r="AD3073" i="2"/>
  <c r="K3074" i="2"/>
  <c r="L3074" i="2"/>
  <c r="Z3074" i="2"/>
  <c r="AD3074" i="2"/>
  <c r="K3075" i="2"/>
  <c r="L3075" i="2"/>
  <c r="Z3075" i="2"/>
  <c r="AB3075" i="2" s="1"/>
  <c r="AD3075" i="2"/>
  <c r="K3076" i="2"/>
  <c r="L3076" i="2"/>
  <c r="Z3076" i="2"/>
  <c r="AC3076" i="2" s="1"/>
  <c r="AA3076" i="2"/>
  <c r="AD3076" i="2"/>
  <c r="K3077" i="2"/>
  <c r="L3077" i="2"/>
  <c r="Z3077" i="2"/>
  <c r="AA3077" i="2" s="1"/>
  <c r="AB3077" i="2"/>
  <c r="AC3077" i="2"/>
  <c r="AD3077" i="2"/>
  <c r="K3078" i="2"/>
  <c r="L3078" i="2"/>
  <c r="Z3078" i="2"/>
  <c r="AA3078" i="2" s="1"/>
  <c r="AD3078" i="2"/>
  <c r="K3079" i="2"/>
  <c r="L3079" i="2"/>
  <c r="Z3079" i="2"/>
  <c r="AD3079" i="2"/>
  <c r="K3080" i="2"/>
  <c r="L3080" i="2"/>
  <c r="Z3080" i="2"/>
  <c r="AD3080" i="2"/>
  <c r="K3081" i="2"/>
  <c r="L3081" i="2"/>
  <c r="Z3081" i="2"/>
  <c r="AA3081" i="2" s="1"/>
  <c r="AD3081" i="2"/>
  <c r="K3082" i="2"/>
  <c r="L3082" i="2"/>
  <c r="Z3082" i="2"/>
  <c r="AA3082" i="2" s="1"/>
  <c r="AD3082" i="2"/>
  <c r="K3083" i="2"/>
  <c r="L3083" i="2"/>
  <c r="Z3083" i="2"/>
  <c r="AB3083" i="2" s="1"/>
  <c r="AD3083" i="2"/>
  <c r="K3084" i="2"/>
  <c r="L3084" i="2"/>
  <c r="Z3084" i="2"/>
  <c r="AC3084" i="2" s="1"/>
  <c r="AA3084" i="2"/>
  <c r="AD3084" i="2"/>
  <c r="K3085" i="2"/>
  <c r="L3085" i="2"/>
  <c r="Z3085" i="2"/>
  <c r="AC3085" i="2"/>
  <c r="AD3085" i="2"/>
  <c r="K3086" i="2"/>
  <c r="L3086" i="2"/>
  <c r="Z3086" i="2"/>
  <c r="AD3086" i="2"/>
  <c r="K3087" i="2"/>
  <c r="L3087" i="2"/>
  <c r="Z3087" i="2"/>
  <c r="AB3087" i="2" s="1"/>
  <c r="AD3087" i="2"/>
  <c r="K3088" i="2"/>
  <c r="L3088" i="2"/>
  <c r="Z3088" i="2"/>
  <c r="AD3088" i="2"/>
  <c r="K3089" i="2"/>
  <c r="L3089" i="2"/>
  <c r="Z3089" i="2"/>
  <c r="AA3089" i="2" s="1"/>
  <c r="AD3089" i="2"/>
  <c r="K3090" i="2"/>
  <c r="L3090" i="2"/>
  <c r="Z3090" i="2"/>
  <c r="AD3090" i="2"/>
  <c r="K3091" i="2"/>
  <c r="L3091" i="2"/>
  <c r="Z3091" i="2"/>
  <c r="AD3091" i="2"/>
  <c r="K3092" i="2"/>
  <c r="L3092" i="2"/>
  <c r="Z3092" i="2"/>
  <c r="AD3092" i="2"/>
  <c r="K3093" i="2"/>
  <c r="L3093" i="2"/>
  <c r="Z3093" i="2"/>
  <c r="AD3093" i="2"/>
  <c r="K3094" i="2"/>
  <c r="L3094" i="2"/>
  <c r="Z3094" i="2"/>
  <c r="AA3094" i="2" s="1"/>
  <c r="AD3094" i="2"/>
  <c r="K3095" i="2"/>
  <c r="L3095" i="2"/>
  <c r="Z3095" i="2"/>
  <c r="AA3095" i="2" s="1"/>
  <c r="AD3095" i="2"/>
  <c r="K3096" i="2"/>
  <c r="L3096" i="2"/>
  <c r="Z3096" i="2"/>
  <c r="AA3096" i="2" s="1"/>
  <c r="AD3096" i="2"/>
  <c r="K3097" i="2"/>
  <c r="L3097" i="2"/>
  <c r="Z3097" i="2"/>
  <c r="AA3097" i="2"/>
  <c r="AB3097" i="2"/>
  <c r="AC3097" i="2"/>
  <c r="AD3097" i="2"/>
  <c r="K3098" i="2"/>
  <c r="L3098" i="2"/>
  <c r="Z3098" i="2"/>
  <c r="AC3098" i="2" s="1"/>
  <c r="AD3098" i="2"/>
  <c r="K3099" i="2"/>
  <c r="L3099" i="2"/>
  <c r="Z3099" i="2"/>
  <c r="AB3099" i="2" s="1"/>
  <c r="AA3099" i="2"/>
  <c r="AD3099" i="2"/>
  <c r="K3100" i="2"/>
  <c r="L3100" i="2"/>
  <c r="Z3100" i="2"/>
  <c r="AC3100" i="2" s="1"/>
  <c r="AB3100" i="2"/>
  <c r="AD3100" i="2"/>
  <c r="K3101" i="2"/>
  <c r="L3101" i="2"/>
  <c r="Z3101" i="2"/>
  <c r="AD3101" i="2"/>
  <c r="K3102" i="2"/>
  <c r="L3102" i="2"/>
  <c r="Z3102" i="2"/>
  <c r="AA3102" i="2" s="1"/>
  <c r="AD3102" i="2"/>
  <c r="K3103" i="2"/>
  <c r="L3103" i="2"/>
  <c r="Z3103" i="2"/>
  <c r="AD3103" i="2"/>
  <c r="K3104" i="2"/>
  <c r="L3104" i="2"/>
  <c r="Z3104" i="2"/>
  <c r="AD3104" i="2"/>
  <c r="K3105" i="2"/>
  <c r="L3105" i="2"/>
  <c r="Z3105" i="2"/>
  <c r="AA3105" i="2" s="1"/>
  <c r="AD3105" i="2"/>
  <c r="K3106" i="2"/>
  <c r="L3106" i="2"/>
  <c r="Z3106" i="2"/>
  <c r="AA3106" i="2"/>
  <c r="AD3106" i="2"/>
  <c r="K3107" i="2"/>
  <c r="L3107" i="2"/>
  <c r="Z3107" i="2"/>
  <c r="AD3107" i="2"/>
  <c r="K3108" i="2"/>
  <c r="L3108" i="2"/>
  <c r="Z3108" i="2"/>
  <c r="AB3108" i="2" s="1"/>
  <c r="AD3108" i="2"/>
  <c r="K3109" i="2"/>
  <c r="L3109" i="2"/>
  <c r="Z3109" i="2"/>
  <c r="AB3109" i="2" s="1"/>
  <c r="AA3109" i="2"/>
  <c r="AD3109" i="2"/>
  <c r="K3110" i="2"/>
  <c r="L3110" i="2"/>
  <c r="Z3110" i="2"/>
  <c r="AD3110" i="2"/>
  <c r="K3111" i="2"/>
  <c r="L3111" i="2"/>
  <c r="Z3111" i="2"/>
  <c r="AA3111" i="2" s="1"/>
  <c r="AB3111" i="2"/>
  <c r="AD3111" i="2"/>
  <c r="K3112" i="2"/>
  <c r="L3112" i="2"/>
  <c r="Z3112" i="2"/>
  <c r="AC3112" i="2" s="1"/>
  <c r="AD3112" i="2"/>
  <c r="K3113" i="2"/>
  <c r="L3113" i="2"/>
  <c r="Z3113" i="2"/>
  <c r="AC3113" i="2" s="1"/>
  <c r="AD3113" i="2"/>
  <c r="K3114" i="2"/>
  <c r="L3114" i="2"/>
  <c r="Z3114" i="2"/>
  <c r="AA3114" i="2" s="1"/>
  <c r="AD3114" i="2"/>
  <c r="K3115" i="2"/>
  <c r="L3115" i="2"/>
  <c r="Z3115" i="2"/>
  <c r="AD3115" i="2"/>
  <c r="K3116" i="2"/>
  <c r="L3116" i="2"/>
  <c r="Z3116" i="2"/>
  <c r="AA3116" i="2" s="1"/>
  <c r="AD3116" i="2"/>
  <c r="K3117" i="2"/>
  <c r="L3117" i="2"/>
  <c r="Z3117" i="2"/>
  <c r="AA3117" i="2"/>
  <c r="AD3117" i="2"/>
  <c r="K3118" i="2"/>
  <c r="L3118" i="2"/>
  <c r="Z3118" i="2"/>
  <c r="AA3118" i="2" s="1"/>
  <c r="AB3118" i="2"/>
  <c r="AD3118" i="2"/>
  <c r="K3119" i="2"/>
  <c r="L3119" i="2"/>
  <c r="Z3119" i="2"/>
  <c r="AB3119" i="2" s="1"/>
  <c r="AA3119" i="2"/>
  <c r="AC3119" i="2"/>
  <c r="AD3119" i="2"/>
  <c r="K3120" i="2"/>
  <c r="L3120" i="2"/>
  <c r="Z3120" i="2"/>
  <c r="AB3120" i="2" s="1"/>
  <c r="AA3120" i="2"/>
  <c r="AC3120" i="2"/>
  <c r="AD3120" i="2"/>
  <c r="K3121" i="2"/>
  <c r="L3121" i="2"/>
  <c r="Z3121" i="2"/>
  <c r="AA3121" i="2"/>
  <c r="AB3121" i="2"/>
  <c r="AC3121" i="2"/>
  <c r="AD3121" i="2"/>
  <c r="K3122" i="2"/>
  <c r="L3122" i="2"/>
  <c r="Z3122" i="2"/>
  <c r="AC3122" i="2" s="1"/>
  <c r="AD3122" i="2"/>
  <c r="K3123" i="2"/>
  <c r="L3123" i="2"/>
  <c r="Z3123" i="2"/>
  <c r="AD3123" i="2"/>
  <c r="K3124" i="2"/>
  <c r="L3124" i="2"/>
  <c r="Z3124" i="2"/>
  <c r="AC3124" i="2" s="1"/>
  <c r="AD3124" i="2"/>
  <c r="K3125" i="2"/>
  <c r="L3125" i="2"/>
  <c r="Z3125" i="2"/>
  <c r="AB3125" i="2" s="1"/>
  <c r="AA3125" i="2"/>
  <c r="AC3125" i="2"/>
  <c r="AD3125" i="2"/>
  <c r="K3126" i="2"/>
  <c r="L3126" i="2"/>
  <c r="Z3126" i="2"/>
  <c r="AD3126" i="2"/>
  <c r="K3127" i="2"/>
  <c r="L3127" i="2"/>
  <c r="Z3127" i="2"/>
  <c r="AC3127" i="2"/>
  <c r="AD3127" i="2"/>
  <c r="K3128" i="2"/>
  <c r="L3128" i="2"/>
  <c r="Z3128" i="2"/>
  <c r="AD3128" i="2"/>
  <c r="K3129" i="2"/>
  <c r="L3129" i="2"/>
  <c r="Z3129" i="2"/>
  <c r="AC3129" i="2" s="1"/>
  <c r="AD3129" i="2"/>
  <c r="K3130" i="2"/>
  <c r="L3130" i="2"/>
  <c r="Z3130" i="2"/>
  <c r="AA3130" i="2" s="1"/>
  <c r="AD3130" i="2"/>
  <c r="K3131" i="2"/>
  <c r="L3131" i="2"/>
  <c r="Z3131" i="2"/>
  <c r="AC3131" i="2" s="1"/>
  <c r="AD3131" i="2"/>
  <c r="K3132" i="2"/>
  <c r="L3132" i="2"/>
  <c r="Z3132" i="2"/>
  <c r="AA3132" i="2" s="1"/>
  <c r="AB3132" i="2"/>
  <c r="AC3132" i="2"/>
  <c r="AD3132" i="2"/>
  <c r="K3133" i="2"/>
  <c r="L3133" i="2"/>
  <c r="Z3133" i="2"/>
  <c r="AD3133" i="2"/>
  <c r="K3134" i="2"/>
  <c r="L3134" i="2"/>
  <c r="Z3134" i="2"/>
  <c r="AB3134" i="2" s="1"/>
  <c r="AD3134" i="2"/>
  <c r="K3135" i="2"/>
  <c r="L3135" i="2"/>
  <c r="Z3135" i="2"/>
  <c r="AC3135" i="2"/>
  <c r="AD3135" i="2"/>
  <c r="K3136" i="2"/>
  <c r="L3136" i="2"/>
  <c r="Z3136" i="2"/>
  <c r="AB3136" i="2" s="1"/>
  <c r="AD3136" i="2"/>
  <c r="K3137" i="2"/>
  <c r="L3137" i="2"/>
  <c r="Z3137" i="2"/>
  <c r="AD3137" i="2"/>
  <c r="K3138" i="2"/>
  <c r="L3138" i="2"/>
  <c r="Z3138" i="2"/>
  <c r="AB3138" i="2" s="1"/>
  <c r="AD3138" i="2"/>
  <c r="K3139" i="2"/>
  <c r="L3139" i="2"/>
  <c r="Z3139" i="2"/>
  <c r="AA3139" i="2" s="1"/>
  <c r="AC3139" i="2"/>
  <c r="AD3139" i="2"/>
  <c r="K3140" i="2"/>
  <c r="L3140" i="2"/>
  <c r="Z3140" i="2"/>
  <c r="AB3140" i="2" s="1"/>
  <c r="AD3140" i="2"/>
  <c r="K3141" i="2"/>
  <c r="L3141" i="2"/>
  <c r="Z3141" i="2"/>
  <c r="AD3141" i="2"/>
  <c r="K3142" i="2"/>
  <c r="L3142" i="2"/>
  <c r="Z3142" i="2"/>
  <c r="AB3142" i="2" s="1"/>
  <c r="AD3142" i="2"/>
  <c r="K3143" i="2"/>
  <c r="L3143" i="2"/>
  <c r="Z3143" i="2"/>
  <c r="AB3143" i="2" s="1"/>
  <c r="AD3143" i="2"/>
  <c r="K3144" i="2"/>
  <c r="L3144" i="2"/>
  <c r="Z3144" i="2"/>
  <c r="AB3144" i="2" s="1"/>
  <c r="AA3144" i="2"/>
  <c r="AC3144" i="2"/>
  <c r="AD3144" i="2"/>
  <c r="K3145" i="2"/>
  <c r="L3145" i="2"/>
  <c r="Z3145" i="2"/>
  <c r="AA3145" i="2" s="1"/>
  <c r="AD3145" i="2"/>
  <c r="K3146" i="2"/>
  <c r="L3146" i="2"/>
  <c r="Z3146" i="2"/>
  <c r="AA3146" i="2" s="1"/>
  <c r="AD3146" i="2"/>
  <c r="K3147" i="2"/>
  <c r="L3147" i="2"/>
  <c r="Z3147" i="2"/>
  <c r="AD3147" i="2"/>
  <c r="K3148" i="2"/>
  <c r="L3148" i="2"/>
  <c r="Z3148" i="2"/>
  <c r="AC3148" i="2" s="1"/>
  <c r="AB3148" i="2"/>
  <c r="AD3148" i="2"/>
  <c r="K3149" i="2"/>
  <c r="L3149" i="2"/>
  <c r="Z3149" i="2"/>
  <c r="AB3149" i="2" s="1"/>
  <c r="AA3149" i="2"/>
  <c r="AD3149" i="2"/>
  <c r="K3150" i="2"/>
  <c r="L3150" i="2"/>
  <c r="Z3150" i="2"/>
  <c r="AC3150" i="2" s="1"/>
  <c r="AD3150" i="2"/>
  <c r="K3151" i="2"/>
  <c r="L3151" i="2"/>
  <c r="Z3151" i="2"/>
  <c r="AD3151" i="2"/>
  <c r="K3152" i="2"/>
  <c r="L3152" i="2"/>
  <c r="Z3152" i="2"/>
  <c r="AD3152" i="2"/>
  <c r="K3153" i="2"/>
  <c r="L3153" i="2"/>
  <c r="Z3153" i="2"/>
  <c r="AD3153" i="2"/>
  <c r="K3154" i="2"/>
  <c r="L3154" i="2"/>
  <c r="Z3154" i="2"/>
  <c r="AD3154" i="2"/>
  <c r="K3155" i="2"/>
  <c r="L3155" i="2"/>
  <c r="Z3155" i="2"/>
  <c r="AB3155" i="2" s="1"/>
  <c r="AD3155" i="2"/>
  <c r="K3156" i="2"/>
  <c r="L3156" i="2"/>
  <c r="Z3156" i="2"/>
  <c r="AB3156" i="2" s="1"/>
  <c r="AD3156" i="2"/>
  <c r="K3157" i="2"/>
  <c r="L3157" i="2"/>
  <c r="Z3157" i="2"/>
  <c r="AA3157" i="2"/>
  <c r="AD3157" i="2"/>
  <c r="K3158" i="2"/>
  <c r="L3158" i="2"/>
  <c r="Z3158" i="2"/>
  <c r="AB3158" i="2" s="1"/>
  <c r="AD3158" i="2"/>
  <c r="K3159" i="2"/>
  <c r="L3159" i="2"/>
  <c r="Z3159" i="2"/>
  <c r="AA3159" i="2" s="1"/>
  <c r="AD3159" i="2"/>
  <c r="K3160" i="2"/>
  <c r="L3160" i="2"/>
  <c r="Z3160" i="2"/>
  <c r="AD3160" i="2"/>
  <c r="K3161" i="2"/>
  <c r="L3161" i="2"/>
  <c r="Z3161" i="2"/>
  <c r="AC3161" i="2" s="1"/>
  <c r="AB3161" i="2"/>
  <c r="AD3161" i="2"/>
  <c r="K3162" i="2"/>
  <c r="L3162" i="2"/>
  <c r="Z3162" i="2"/>
  <c r="AA3162" i="2" s="1"/>
  <c r="AD3162" i="2"/>
  <c r="K3163" i="2"/>
  <c r="L3163" i="2"/>
  <c r="Z3163" i="2"/>
  <c r="AC3163" i="2" s="1"/>
  <c r="AD3163" i="2"/>
  <c r="K3164" i="2"/>
  <c r="L3164" i="2"/>
  <c r="Z3164" i="2"/>
  <c r="AD3164" i="2"/>
  <c r="K3165" i="2"/>
  <c r="L3165" i="2"/>
  <c r="Z3165" i="2"/>
  <c r="AC3165" i="2"/>
  <c r="AD3165" i="2"/>
  <c r="K3166" i="2"/>
  <c r="L3166" i="2"/>
  <c r="Z3166" i="2"/>
  <c r="AD3166" i="2"/>
  <c r="K3167" i="2"/>
  <c r="L3167" i="2"/>
  <c r="Z3167" i="2"/>
  <c r="AA3167" i="2"/>
  <c r="AD3167" i="2"/>
  <c r="K3168" i="2"/>
  <c r="L3168" i="2"/>
  <c r="Z3168" i="2"/>
  <c r="AC3168" i="2" s="1"/>
  <c r="AB3168" i="2"/>
  <c r="AD3168" i="2"/>
  <c r="K3169" i="2"/>
  <c r="L3169" i="2"/>
  <c r="Z3169" i="2"/>
  <c r="AD3169" i="2"/>
  <c r="K3170" i="2"/>
  <c r="L3170" i="2"/>
  <c r="Z3170" i="2"/>
  <c r="AD3170" i="2"/>
  <c r="K3171" i="2"/>
  <c r="L3171" i="2"/>
  <c r="Z3171" i="2"/>
  <c r="AB3171" i="2" s="1"/>
  <c r="AD3171" i="2"/>
  <c r="K3172" i="2"/>
  <c r="L3172" i="2"/>
  <c r="Z3172" i="2"/>
  <c r="AD3172" i="2"/>
  <c r="K3173" i="2"/>
  <c r="L3173" i="2"/>
  <c r="Z3173" i="2"/>
  <c r="AA3173" i="2" s="1"/>
  <c r="AB3173" i="2"/>
  <c r="AC3173" i="2"/>
  <c r="AD3173" i="2"/>
  <c r="K3174" i="2"/>
  <c r="L3174" i="2"/>
  <c r="Z3174" i="2"/>
  <c r="AC3174" i="2" s="1"/>
  <c r="AD3174" i="2"/>
  <c r="K3175" i="2"/>
  <c r="L3175" i="2"/>
  <c r="Z3175" i="2"/>
  <c r="AA3175" i="2" s="1"/>
  <c r="AD3175" i="2"/>
  <c r="K3176" i="2"/>
  <c r="L3176" i="2"/>
  <c r="Z3176" i="2"/>
  <c r="AD3176" i="2"/>
  <c r="K3177" i="2"/>
  <c r="L3177" i="2"/>
  <c r="Z3177" i="2"/>
  <c r="AD3177" i="2"/>
  <c r="K3178" i="2"/>
  <c r="L3178" i="2"/>
  <c r="Z3178" i="2"/>
  <c r="AA3178" i="2" s="1"/>
  <c r="AD3178" i="2"/>
  <c r="K3179" i="2"/>
  <c r="L3179" i="2"/>
  <c r="Z3179" i="2"/>
  <c r="AC3179" i="2" s="1"/>
  <c r="AD3179" i="2"/>
  <c r="K3180" i="2"/>
  <c r="L3180" i="2"/>
  <c r="Z3180" i="2"/>
  <c r="AB3180" i="2" s="1"/>
  <c r="AD3180" i="2"/>
  <c r="K3181" i="2"/>
  <c r="L3181" i="2"/>
  <c r="Z3181" i="2"/>
  <c r="AA3181" i="2" s="1"/>
  <c r="AD3181" i="2"/>
  <c r="K3182" i="2"/>
  <c r="L3182" i="2"/>
  <c r="Z3182" i="2"/>
  <c r="AC3182" i="2" s="1"/>
  <c r="AD3182" i="2"/>
  <c r="K3183" i="2"/>
  <c r="L3183" i="2"/>
  <c r="Z3183" i="2"/>
  <c r="AA3183" i="2"/>
  <c r="AD3183" i="2"/>
  <c r="K3184" i="2"/>
  <c r="L3184" i="2"/>
  <c r="Z3184" i="2"/>
  <c r="AD3184" i="2"/>
  <c r="K3185" i="2"/>
  <c r="L3185" i="2"/>
  <c r="Z3185" i="2"/>
  <c r="AD3185" i="2"/>
  <c r="K3186" i="2"/>
  <c r="L3186" i="2"/>
  <c r="Z3186" i="2"/>
  <c r="AB3186" i="2" s="1"/>
  <c r="AD3186" i="2"/>
  <c r="K3187" i="2"/>
  <c r="L3187" i="2"/>
  <c r="Z3187" i="2"/>
  <c r="AA3187" i="2" s="1"/>
  <c r="AC3187" i="2"/>
  <c r="AD3187" i="2"/>
  <c r="K3188" i="2"/>
  <c r="L3188" i="2"/>
  <c r="Z3188" i="2"/>
  <c r="AB3188" i="2" s="1"/>
  <c r="AD3188" i="2"/>
  <c r="K3189" i="2"/>
  <c r="L3189" i="2"/>
  <c r="Z3189" i="2"/>
  <c r="AD3189" i="2"/>
  <c r="K3190" i="2"/>
  <c r="L3190" i="2"/>
  <c r="Z3190" i="2"/>
  <c r="AB3190" i="2" s="1"/>
  <c r="AD3190" i="2"/>
  <c r="K3191" i="2"/>
  <c r="L3191" i="2"/>
  <c r="Z3191" i="2"/>
  <c r="AD3191" i="2"/>
  <c r="K3192" i="2"/>
  <c r="L3192" i="2"/>
  <c r="Z3192" i="2"/>
  <c r="AD3192" i="2"/>
  <c r="K3193" i="2"/>
  <c r="L3193" i="2"/>
  <c r="Z3193" i="2"/>
  <c r="AB3193" i="2" s="1"/>
  <c r="AA3193" i="2"/>
  <c r="AC3193" i="2"/>
  <c r="AD3193" i="2"/>
  <c r="K3194" i="2"/>
  <c r="L3194" i="2"/>
  <c r="Z3194" i="2"/>
  <c r="AD3194" i="2"/>
  <c r="K3195" i="2"/>
  <c r="L3195" i="2"/>
  <c r="Z3195" i="2"/>
  <c r="AB3195" i="2" s="1"/>
  <c r="AD3195" i="2"/>
  <c r="K3196" i="2"/>
  <c r="L3196" i="2"/>
  <c r="Z3196" i="2"/>
  <c r="AD3196" i="2"/>
  <c r="K3197" i="2"/>
  <c r="L3197" i="2"/>
  <c r="Z3197" i="2"/>
  <c r="AC3197" i="2" s="1"/>
  <c r="AD3197" i="2"/>
  <c r="K3198" i="2"/>
  <c r="L3198" i="2"/>
  <c r="Z3198" i="2"/>
  <c r="AC3198" i="2" s="1"/>
  <c r="AD3198" i="2"/>
  <c r="K3199" i="2"/>
  <c r="L3199" i="2"/>
  <c r="Z3199" i="2"/>
  <c r="AB3199" i="2" s="1"/>
  <c r="AD3199" i="2"/>
  <c r="K3200" i="2"/>
  <c r="L3200" i="2"/>
  <c r="Z3200" i="2"/>
  <c r="AC3200" i="2" s="1"/>
  <c r="AA3200" i="2"/>
  <c r="AB3200" i="2"/>
  <c r="AD3200" i="2"/>
  <c r="K3201" i="2"/>
  <c r="L3201" i="2"/>
  <c r="Z3201" i="2"/>
  <c r="AD3201" i="2"/>
  <c r="K3202" i="2"/>
  <c r="L3202" i="2"/>
  <c r="Z3202" i="2"/>
  <c r="AC3202" i="2" s="1"/>
  <c r="AD3202" i="2"/>
  <c r="K3203" i="2"/>
  <c r="L3203" i="2"/>
  <c r="Z3203" i="2"/>
  <c r="AD3203" i="2"/>
  <c r="K3204" i="2"/>
  <c r="L3204" i="2"/>
  <c r="Z3204" i="2"/>
  <c r="AB3204" i="2" s="1"/>
  <c r="AD3204" i="2"/>
  <c r="K3205" i="2"/>
  <c r="L3205" i="2"/>
  <c r="Z3205" i="2"/>
  <c r="AC3205" i="2" s="1"/>
  <c r="AB3205" i="2"/>
  <c r="AD3205" i="2"/>
  <c r="K3206" i="2"/>
  <c r="L3206" i="2"/>
  <c r="Z3206" i="2"/>
  <c r="AB3206" i="2" s="1"/>
  <c r="AD3206" i="2"/>
  <c r="K3207" i="2"/>
  <c r="L3207" i="2"/>
  <c r="Z3207" i="2"/>
  <c r="AC3207" i="2" s="1"/>
  <c r="AA3207" i="2"/>
  <c r="AD3207" i="2"/>
  <c r="K3208" i="2"/>
  <c r="L3208" i="2"/>
  <c r="Z3208" i="2"/>
  <c r="AD3208" i="2"/>
  <c r="K3209" i="2"/>
  <c r="L3209" i="2"/>
  <c r="Z3209" i="2"/>
  <c r="AC3209" i="2" s="1"/>
  <c r="AD3209" i="2"/>
  <c r="K3210" i="2"/>
  <c r="L3210" i="2"/>
  <c r="Z3210" i="2"/>
  <c r="AD3210" i="2"/>
  <c r="K3211" i="2"/>
  <c r="L3211" i="2"/>
  <c r="Z3211" i="2"/>
  <c r="AB3211" i="2" s="1"/>
  <c r="AC3211" i="2"/>
  <c r="AD3211" i="2"/>
  <c r="K3212" i="2"/>
  <c r="L3212" i="2"/>
  <c r="Z3212" i="2"/>
  <c r="AA3212" i="2" s="1"/>
  <c r="AC3212" i="2"/>
  <c r="AD3212" i="2"/>
  <c r="K3213" i="2"/>
  <c r="L3213" i="2"/>
  <c r="Z3213" i="2"/>
  <c r="AB3213" i="2" s="1"/>
  <c r="AA3213" i="2"/>
  <c r="AC3213" i="2"/>
  <c r="AD3213" i="2"/>
  <c r="K3214" i="2"/>
  <c r="L3214" i="2"/>
  <c r="Z3214" i="2"/>
  <c r="AA3214" i="2" s="1"/>
  <c r="AD3214" i="2"/>
  <c r="K3215" i="2"/>
  <c r="L3215" i="2"/>
  <c r="Z3215" i="2"/>
  <c r="AC3215" i="2" s="1"/>
  <c r="AD3215" i="2"/>
  <c r="K3216" i="2"/>
  <c r="L3216" i="2"/>
  <c r="Z3216" i="2"/>
  <c r="AC3216" i="2"/>
  <c r="AD3216" i="2"/>
  <c r="K3217" i="2"/>
  <c r="L3217" i="2"/>
  <c r="Z3217" i="2"/>
  <c r="AB3217" i="2" s="1"/>
  <c r="AA3217" i="2"/>
  <c r="AD3217" i="2"/>
  <c r="K3218" i="2"/>
  <c r="L3218" i="2"/>
  <c r="Z3218" i="2"/>
  <c r="AB3218" i="2" s="1"/>
  <c r="AD3218" i="2"/>
  <c r="K3219" i="2"/>
  <c r="L3219" i="2"/>
  <c r="Z3219" i="2"/>
  <c r="AC3219" i="2"/>
  <c r="AD3219" i="2"/>
  <c r="K3220" i="2"/>
  <c r="L3220" i="2"/>
  <c r="Z3220" i="2"/>
  <c r="AD3220" i="2"/>
  <c r="K3221" i="2"/>
  <c r="L3221" i="2"/>
  <c r="Z3221" i="2"/>
  <c r="AD3221" i="2"/>
  <c r="K3222" i="2"/>
  <c r="L3222" i="2"/>
  <c r="Z3222" i="2"/>
  <c r="AA3222" i="2"/>
  <c r="AD3222" i="2"/>
  <c r="K3223" i="2"/>
  <c r="L3223" i="2"/>
  <c r="Z3223" i="2"/>
  <c r="AD3223" i="2"/>
  <c r="K3224" i="2"/>
  <c r="L3224" i="2"/>
  <c r="Z3224" i="2"/>
  <c r="AD3224" i="2"/>
  <c r="K3225" i="2"/>
  <c r="L3225" i="2"/>
  <c r="Z3225" i="2"/>
  <c r="AB3225" i="2" s="1"/>
  <c r="AD3225" i="2"/>
  <c r="K3226" i="2"/>
  <c r="L3226" i="2"/>
  <c r="Z3226" i="2"/>
  <c r="AA3226" i="2"/>
  <c r="AD3226" i="2"/>
  <c r="K3227" i="2"/>
  <c r="L3227" i="2"/>
  <c r="Z3227" i="2"/>
  <c r="AB3227" i="2" s="1"/>
  <c r="AD3227" i="2"/>
  <c r="K3228" i="2"/>
  <c r="L3228" i="2"/>
  <c r="Z3228" i="2"/>
  <c r="AA3228" i="2"/>
  <c r="AD3228" i="2"/>
  <c r="K3229" i="2"/>
  <c r="L3229" i="2"/>
  <c r="Z3229" i="2"/>
  <c r="AD3229" i="2"/>
  <c r="K3230" i="2"/>
  <c r="L3230" i="2"/>
  <c r="Z3230" i="2"/>
  <c r="AD3230" i="2"/>
  <c r="K3231" i="2"/>
  <c r="L3231" i="2"/>
  <c r="Z3231" i="2"/>
  <c r="AB3231" i="2"/>
  <c r="AD3231" i="2"/>
  <c r="K3232" i="2"/>
  <c r="L3232" i="2"/>
  <c r="Z3232" i="2"/>
  <c r="AA3232" i="2"/>
  <c r="AD3232" i="2"/>
  <c r="K3233" i="2"/>
  <c r="L3233" i="2"/>
  <c r="Z3233" i="2"/>
  <c r="AB3233" i="2"/>
  <c r="AD3233" i="2"/>
  <c r="K3234" i="2"/>
  <c r="L3234" i="2"/>
  <c r="Z3234" i="2"/>
  <c r="AC3234" i="2" s="1"/>
  <c r="AD3234" i="2"/>
  <c r="K3235" i="2"/>
  <c r="L3235" i="2"/>
  <c r="Z3235" i="2"/>
  <c r="AD3235" i="2"/>
  <c r="K3236" i="2"/>
  <c r="L3236" i="2"/>
  <c r="Z3236" i="2"/>
  <c r="AB3236" i="2" s="1"/>
  <c r="AD3236" i="2"/>
  <c r="K3237" i="2"/>
  <c r="L3237" i="2"/>
  <c r="Z3237" i="2"/>
  <c r="AC3237" i="2" s="1"/>
  <c r="AD3237" i="2"/>
  <c r="K3238" i="2"/>
  <c r="L3238" i="2"/>
  <c r="Z3238" i="2"/>
  <c r="AA3238" i="2"/>
  <c r="AB3238" i="2"/>
  <c r="AC3238" i="2"/>
  <c r="AD3238" i="2"/>
  <c r="K3239" i="2"/>
  <c r="L3239" i="2"/>
  <c r="Z3239" i="2"/>
  <c r="AB3239" i="2" s="1"/>
  <c r="AD3239" i="2"/>
  <c r="K3240" i="2"/>
  <c r="L3240" i="2"/>
  <c r="Z3240" i="2"/>
  <c r="AA3240" i="2"/>
  <c r="AB3240" i="2"/>
  <c r="AC3240" i="2"/>
  <c r="AD3240" i="2"/>
  <c r="K3241" i="2"/>
  <c r="L3241" i="2"/>
  <c r="Z3241" i="2"/>
  <c r="AD3241" i="2"/>
  <c r="K3242" i="2"/>
  <c r="L3242" i="2"/>
  <c r="Z3242" i="2"/>
  <c r="AD3242" i="2"/>
  <c r="K3243" i="2"/>
  <c r="L3243" i="2"/>
  <c r="Z3243" i="2"/>
  <c r="AA3243" i="2" s="1"/>
  <c r="AB3243" i="2"/>
  <c r="AC3243" i="2"/>
  <c r="AD3243" i="2"/>
  <c r="K3244" i="2"/>
  <c r="L3244" i="2"/>
  <c r="Z3244" i="2"/>
  <c r="AB3244" i="2" s="1"/>
  <c r="AD3244" i="2"/>
  <c r="K3245" i="2"/>
  <c r="L3245" i="2"/>
  <c r="Z3245" i="2"/>
  <c r="AA3245" i="2" s="1"/>
  <c r="AD3245" i="2"/>
  <c r="K3246" i="2"/>
  <c r="L3246" i="2"/>
  <c r="Z3246" i="2"/>
  <c r="AA3246" i="2" s="1"/>
  <c r="AD3246" i="2"/>
  <c r="K3247" i="2"/>
  <c r="L3247" i="2"/>
  <c r="Z3247" i="2"/>
  <c r="AD3247" i="2"/>
  <c r="K3248" i="2"/>
  <c r="L3248" i="2"/>
  <c r="Z3248" i="2"/>
  <c r="AC3248" i="2" s="1"/>
  <c r="AD3248" i="2"/>
  <c r="K3249" i="2"/>
  <c r="L3249" i="2"/>
  <c r="Z3249" i="2"/>
  <c r="AA3249" i="2" s="1"/>
  <c r="AD3249" i="2"/>
  <c r="K3250" i="2"/>
  <c r="L3250" i="2"/>
  <c r="Z3250" i="2"/>
  <c r="AA3250" i="2" s="1"/>
  <c r="AB3250" i="2"/>
  <c r="AD3250" i="2"/>
  <c r="K3251" i="2"/>
  <c r="L3251" i="2"/>
  <c r="Z3251" i="2"/>
  <c r="AD3251" i="2"/>
  <c r="K3252" i="2"/>
  <c r="L3252" i="2"/>
  <c r="Z3252" i="2"/>
  <c r="AC3252" i="2"/>
  <c r="AD3252" i="2"/>
  <c r="K3253" i="2"/>
  <c r="L3253" i="2"/>
  <c r="Z3253" i="2"/>
  <c r="AD3253" i="2"/>
  <c r="K3254" i="2"/>
  <c r="L3254" i="2"/>
  <c r="Z3254" i="2"/>
  <c r="AD3254" i="2"/>
  <c r="K3255" i="2"/>
  <c r="L3255" i="2"/>
  <c r="Z3255" i="2"/>
  <c r="AB3255" i="2"/>
  <c r="AD3255" i="2"/>
  <c r="K3256" i="2"/>
  <c r="L3256" i="2"/>
  <c r="Z3256" i="2"/>
  <c r="AA3256" i="2"/>
  <c r="AD3256" i="2"/>
  <c r="K3257" i="2"/>
  <c r="L3257" i="2"/>
  <c r="Z3257" i="2"/>
  <c r="AB3257" i="2" s="1"/>
  <c r="AD3257" i="2"/>
  <c r="K3258" i="2"/>
  <c r="L3258" i="2"/>
  <c r="Z3258" i="2"/>
  <c r="AD3258" i="2"/>
  <c r="K3259" i="2"/>
  <c r="L3259" i="2"/>
  <c r="Z3259" i="2"/>
  <c r="AB3259" i="2" s="1"/>
  <c r="AD3259" i="2"/>
  <c r="K3260" i="2"/>
  <c r="L3260" i="2"/>
  <c r="Z3260" i="2"/>
  <c r="AA3260" i="2" s="1"/>
  <c r="AC3260" i="2"/>
  <c r="AD3260" i="2"/>
  <c r="K3261" i="2"/>
  <c r="L3261" i="2"/>
  <c r="Z3261" i="2"/>
  <c r="AB3261" i="2" s="1"/>
  <c r="AD3261" i="2"/>
  <c r="K3262" i="2"/>
  <c r="L3262" i="2"/>
  <c r="Z3262" i="2"/>
  <c r="AD3262" i="2"/>
  <c r="K3263" i="2"/>
  <c r="L3263" i="2"/>
  <c r="Z3263" i="2"/>
  <c r="AB3263" i="2" s="1"/>
  <c r="AD3263" i="2"/>
  <c r="K3264" i="2"/>
  <c r="L3264" i="2"/>
  <c r="Z3264" i="2"/>
  <c r="AD3264" i="2"/>
  <c r="K3265" i="2"/>
  <c r="L3265" i="2"/>
  <c r="Z3265" i="2"/>
  <c r="AD3265" i="2"/>
  <c r="K3266" i="2"/>
  <c r="L3266" i="2"/>
  <c r="Z3266" i="2"/>
  <c r="AB3266" i="2" s="1"/>
  <c r="AD3266" i="2"/>
  <c r="K3267" i="2"/>
  <c r="L3267" i="2"/>
  <c r="Z3267" i="2"/>
  <c r="AD3267" i="2"/>
  <c r="K3268" i="2"/>
  <c r="L3268" i="2"/>
  <c r="Z3268" i="2"/>
  <c r="AB3268" i="2" s="1"/>
  <c r="AD3268" i="2"/>
  <c r="K3269" i="2"/>
  <c r="L3269" i="2"/>
  <c r="Z3269" i="2"/>
  <c r="AC3269" i="2" s="1"/>
  <c r="AD3269" i="2"/>
  <c r="K3270" i="2"/>
  <c r="L3270" i="2"/>
  <c r="Z3270" i="2"/>
  <c r="AD3270" i="2"/>
  <c r="K3271" i="2"/>
  <c r="L3271" i="2"/>
  <c r="Z3271" i="2"/>
  <c r="AB3271" i="2" s="1"/>
  <c r="AA3271" i="2"/>
  <c r="AD3271" i="2"/>
  <c r="K3272" i="2"/>
  <c r="L3272" i="2"/>
  <c r="Z3272" i="2"/>
  <c r="AA3272" i="2" s="1"/>
  <c r="AC3272" i="2"/>
  <c r="AD3272" i="2"/>
  <c r="K3273" i="2"/>
  <c r="L3273" i="2"/>
  <c r="Z3273" i="2"/>
  <c r="AC3273" i="2" s="1"/>
  <c r="AA3273" i="2"/>
  <c r="AD3273" i="2"/>
  <c r="K3274" i="2"/>
  <c r="L3274" i="2"/>
  <c r="Z3274" i="2"/>
  <c r="AC3274" i="2" s="1"/>
  <c r="AD3274" i="2"/>
  <c r="K3275" i="2"/>
  <c r="L3275" i="2"/>
  <c r="Z3275" i="2"/>
  <c r="AD3275" i="2"/>
  <c r="K3276" i="2"/>
  <c r="L3276" i="2"/>
  <c r="Z3276" i="2"/>
  <c r="AA3276" i="2" s="1"/>
  <c r="AD3276" i="2"/>
  <c r="K3277" i="2"/>
  <c r="L3277" i="2"/>
  <c r="Z3277" i="2"/>
  <c r="AD3277" i="2"/>
  <c r="K3278" i="2"/>
  <c r="L3278" i="2"/>
  <c r="Z3278" i="2"/>
  <c r="AA3278" i="2" s="1"/>
  <c r="AD3278" i="2"/>
  <c r="K3279" i="2"/>
  <c r="L3279" i="2"/>
  <c r="Z3279" i="2"/>
  <c r="AA3279" i="2" s="1"/>
  <c r="AB3279" i="2"/>
  <c r="AD3279" i="2"/>
  <c r="K3280" i="2"/>
  <c r="L3280" i="2"/>
  <c r="Z3280" i="2"/>
  <c r="AD3280" i="2"/>
  <c r="K3281" i="2"/>
  <c r="L3281" i="2"/>
  <c r="Z3281" i="2"/>
  <c r="AD3281" i="2"/>
  <c r="K3282" i="2"/>
  <c r="L3282" i="2"/>
  <c r="Z3282" i="2"/>
  <c r="AA3282" i="2" s="1"/>
  <c r="AD3282" i="2"/>
  <c r="K3283" i="2"/>
  <c r="L3283" i="2"/>
  <c r="Z3283" i="2"/>
  <c r="AD3283" i="2"/>
  <c r="K3284" i="2"/>
  <c r="L3284" i="2"/>
  <c r="Z3284" i="2"/>
  <c r="AB3284" i="2" s="1"/>
  <c r="AD3284" i="2"/>
  <c r="K3285" i="2"/>
  <c r="L3285" i="2"/>
  <c r="Z3285" i="2"/>
  <c r="AC3285" i="2" s="1"/>
  <c r="AD3285" i="2"/>
  <c r="K3286" i="2"/>
  <c r="L3286" i="2"/>
  <c r="Z3286" i="2"/>
  <c r="AA3286" i="2" s="1"/>
  <c r="AB3286" i="2"/>
  <c r="AC3286" i="2"/>
  <c r="AD3286" i="2"/>
  <c r="K3287" i="2"/>
  <c r="L3287" i="2"/>
  <c r="Z3287" i="2"/>
  <c r="AB3287" i="2" s="1"/>
  <c r="AD3287" i="2"/>
  <c r="K3288" i="2"/>
  <c r="L3288" i="2"/>
  <c r="Z3288" i="2"/>
  <c r="AB3288" i="2" s="1"/>
  <c r="AA3288" i="2"/>
  <c r="AC3288" i="2"/>
  <c r="AD3288" i="2"/>
  <c r="K3289" i="2"/>
  <c r="L3289" i="2"/>
  <c r="Z3289" i="2"/>
  <c r="AD3289" i="2"/>
  <c r="K3290" i="2"/>
  <c r="L3290" i="2"/>
  <c r="Z3290" i="2"/>
  <c r="AB3290" i="2"/>
  <c r="AD3290" i="2"/>
  <c r="K3291" i="2"/>
  <c r="L3291" i="2"/>
  <c r="Z3291" i="2"/>
  <c r="AA3291" i="2" s="1"/>
  <c r="AB3291" i="2"/>
  <c r="AD3291" i="2"/>
  <c r="K3292" i="2"/>
  <c r="L3292" i="2"/>
  <c r="Z3292" i="2"/>
  <c r="AD3292" i="2"/>
  <c r="K3293" i="2"/>
  <c r="L3293" i="2"/>
  <c r="Z3293" i="2"/>
  <c r="AA3293" i="2" s="1"/>
  <c r="AC3293" i="2"/>
  <c r="AD3293" i="2"/>
  <c r="K3294" i="2"/>
  <c r="L3294" i="2"/>
  <c r="Z3294" i="2"/>
  <c r="AA3294" i="2" s="1"/>
  <c r="AD3294" i="2"/>
  <c r="K3295" i="2"/>
  <c r="L3295" i="2"/>
  <c r="Z3295" i="2"/>
  <c r="AA3295" i="2"/>
  <c r="AD3295" i="2"/>
  <c r="K3296" i="2"/>
  <c r="L3296" i="2"/>
  <c r="Z3296" i="2"/>
  <c r="AD3296" i="2"/>
  <c r="K3297" i="2"/>
  <c r="L3297" i="2"/>
  <c r="Z3297" i="2"/>
  <c r="AC3297" i="2" s="1"/>
  <c r="AA3297" i="2"/>
  <c r="AD3297" i="2"/>
  <c r="K3298" i="2"/>
  <c r="L3298" i="2"/>
  <c r="Z3298" i="2"/>
  <c r="AD3298" i="2"/>
  <c r="K3299" i="2"/>
  <c r="L3299" i="2"/>
  <c r="Z3299" i="2"/>
  <c r="AB3299" i="2" s="1"/>
  <c r="AD3299" i="2"/>
  <c r="K3300" i="2"/>
  <c r="L3300" i="2"/>
  <c r="Z3300" i="2"/>
  <c r="AD3300" i="2"/>
  <c r="K3301" i="2"/>
  <c r="L3301" i="2"/>
  <c r="Z3301" i="2"/>
  <c r="AD3301" i="2"/>
  <c r="K3302" i="2"/>
  <c r="L3302" i="2"/>
  <c r="Z3302" i="2"/>
  <c r="AC3302" i="2" s="1"/>
  <c r="AA3302" i="2"/>
  <c r="AD3302" i="2"/>
  <c r="K3303" i="2"/>
  <c r="L3303" i="2"/>
  <c r="Z3303" i="2"/>
  <c r="AA3303" i="2" s="1"/>
  <c r="AB3303" i="2"/>
  <c r="AC3303" i="2"/>
  <c r="AD3303" i="2"/>
  <c r="K3304" i="2"/>
  <c r="L3304" i="2"/>
  <c r="Z3304" i="2"/>
  <c r="AA3304" i="2" s="1"/>
  <c r="AD3304" i="2"/>
  <c r="K3305" i="2"/>
  <c r="L3305" i="2"/>
  <c r="Z3305" i="2"/>
  <c r="AC3305" i="2" s="1"/>
  <c r="AA3305" i="2"/>
  <c r="AD3305" i="2"/>
  <c r="K3306" i="2"/>
  <c r="L3306" i="2"/>
  <c r="Z3306" i="2"/>
  <c r="AD3306" i="2"/>
  <c r="K3307" i="2"/>
  <c r="L3307" i="2"/>
  <c r="Z3307" i="2"/>
  <c r="AD3307" i="2"/>
  <c r="K3308" i="2"/>
  <c r="L3308" i="2"/>
  <c r="Z3308" i="2"/>
  <c r="AD3308" i="2"/>
  <c r="K3309" i="2"/>
  <c r="L3309" i="2"/>
  <c r="Z3309" i="2"/>
  <c r="AB3309" i="2" s="1"/>
  <c r="AD3309" i="2"/>
  <c r="K3310" i="2"/>
  <c r="L3310" i="2"/>
  <c r="Z3310" i="2"/>
  <c r="AB3310" i="2" s="1"/>
  <c r="AA3310" i="2"/>
  <c r="AD3310" i="2"/>
  <c r="K3311" i="2"/>
  <c r="L3311" i="2"/>
  <c r="Z3311" i="2"/>
  <c r="AB3311" i="2" s="1"/>
  <c r="AD3311" i="2"/>
  <c r="K3312" i="2"/>
  <c r="L3312" i="2"/>
  <c r="Z3312" i="2"/>
  <c r="AD3312" i="2"/>
  <c r="K3313" i="2"/>
  <c r="L3313" i="2"/>
  <c r="Z3313" i="2"/>
  <c r="AD3313" i="2"/>
  <c r="K3314" i="2"/>
  <c r="L3314" i="2"/>
  <c r="Z3314" i="2"/>
  <c r="AB3314" i="2" s="1"/>
  <c r="AD3314" i="2"/>
  <c r="K3315" i="2"/>
  <c r="L3315" i="2"/>
  <c r="Z3315" i="2"/>
  <c r="AD3315" i="2"/>
  <c r="K3316" i="2"/>
  <c r="L3316" i="2"/>
  <c r="Z3316" i="2"/>
  <c r="AD3316" i="2"/>
  <c r="K3317" i="2"/>
  <c r="L3317" i="2"/>
  <c r="Z3317" i="2"/>
  <c r="AA3317" i="2" s="1"/>
  <c r="AB3317" i="2"/>
  <c r="AC3317" i="2"/>
  <c r="AD3317" i="2"/>
  <c r="K3318" i="2"/>
  <c r="L3318" i="2"/>
  <c r="Z3318" i="2"/>
  <c r="AB3318" i="2" s="1"/>
  <c r="AA3318" i="2"/>
  <c r="AD3318" i="2"/>
  <c r="K3319" i="2"/>
  <c r="L3319" i="2"/>
  <c r="Z3319" i="2"/>
  <c r="AB3319" i="2" s="1"/>
  <c r="AD3319" i="2"/>
  <c r="K3320" i="2"/>
  <c r="L3320" i="2"/>
  <c r="Z3320" i="2"/>
  <c r="AB3320" i="2" s="1"/>
  <c r="AA3320" i="2"/>
  <c r="AD3320" i="2"/>
  <c r="K3321" i="2"/>
  <c r="L3321" i="2"/>
  <c r="Z3321" i="2"/>
  <c r="AA3321" i="2" s="1"/>
  <c r="AD3321" i="2"/>
  <c r="K3322" i="2"/>
  <c r="L3322" i="2"/>
  <c r="Z3322" i="2"/>
  <c r="AA3322" i="2" s="1"/>
  <c r="AC3322" i="2"/>
  <c r="AD3322" i="2"/>
  <c r="K3323" i="2"/>
  <c r="L3323" i="2"/>
  <c r="Z3323" i="2"/>
  <c r="AD3323" i="2"/>
  <c r="K3324" i="2"/>
  <c r="L3324" i="2"/>
  <c r="Z3324" i="2"/>
  <c r="AB3324" i="2" s="1"/>
  <c r="AD3324" i="2"/>
  <c r="K3325" i="2"/>
  <c r="L3325" i="2"/>
  <c r="Z3325" i="2"/>
  <c r="AD3325" i="2"/>
  <c r="K3326" i="2"/>
  <c r="L3326" i="2"/>
  <c r="Z3326" i="2"/>
  <c r="AD3326" i="2"/>
  <c r="K3327" i="2"/>
  <c r="L3327" i="2"/>
  <c r="Z3327" i="2"/>
  <c r="AD3327" i="2"/>
  <c r="K3328" i="2"/>
  <c r="L3328" i="2"/>
  <c r="Z3328" i="2"/>
  <c r="AD3328" i="2"/>
  <c r="K3329" i="2"/>
  <c r="L3329" i="2"/>
  <c r="Z3329" i="2"/>
  <c r="AB3329" i="2" s="1"/>
  <c r="AA3329" i="2"/>
  <c r="AD3329" i="2"/>
  <c r="K3330" i="2"/>
  <c r="L3330" i="2"/>
  <c r="Z3330" i="2"/>
  <c r="AD3330" i="2"/>
  <c r="K3331" i="2"/>
  <c r="L3331" i="2"/>
  <c r="Z3331" i="2"/>
  <c r="AB3331" i="2" s="1"/>
  <c r="AD3331" i="2"/>
  <c r="K3332" i="2"/>
  <c r="L3332" i="2"/>
  <c r="Z3332" i="2"/>
  <c r="AB3332" i="2" s="1"/>
  <c r="AA3332" i="2"/>
  <c r="AD3332" i="2"/>
  <c r="K3333" i="2"/>
  <c r="L3333" i="2"/>
  <c r="Z3333" i="2"/>
  <c r="AD3333" i="2"/>
  <c r="K3334" i="2"/>
  <c r="L3334" i="2"/>
  <c r="Z3334" i="2"/>
  <c r="AA3334" i="2" s="1"/>
  <c r="AC3334" i="2"/>
  <c r="AD3334" i="2"/>
  <c r="K3335" i="2"/>
  <c r="L3335" i="2"/>
  <c r="Z3335" i="2"/>
  <c r="AB3335" i="2" s="1"/>
  <c r="AD3335" i="2"/>
  <c r="K3336" i="2"/>
  <c r="L3336" i="2"/>
  <c r="Z3336" i="2"/>
  <c r="AD3336" i="2"/>
  <c r="K3337" i="2"/>
  <c r="L3337" i="2"/>
  <c r="Z3337" i="2"/>
  <c r="AD3337" i="2"/>
  <c r="K3338" i="2"/>
  <c r="L3338" i="2"/>
  <c r="Z3338" i="2"/>
  <c r="AB3338" i="2"/>
  <c r="AD3338" i="2"/>
  <c r="K3339" i="2"/>
  <c r="L3339" i="2"/>
  <c r="Z3339" i="2"/>
  <c r="AC3339" i="2" s="1"/>
  <c r="AD3339" i="2"/>
  <c r="K3340" i="2"/>
  <c r="L3340" i="2"/>
  <c r="Z3340" i="2"/>
  <c r="AB3340" i="2" s="1"/>
  <c r="AA3340" i="2"/>
  <c r="AC3340" i="2"/>
  <c r="AD3340" i="2"/>
  <c r="K3341" i="2"/>
  <c r="L3341" i="2"/>
  <c r="Z3341" i="2"/>
  <c r="AD3341" i="2"/>
  <c r="K3342" i="2"/>
  <c r="L3342" i="2"/>
  <c r="Z3342" i="2"/>
  <c r="AA3342" i="2" s="1"/>
  <c r="AD3342" i="2"/>
  <c r="K3343" i="2"/>
  <c r="L3343" i="2"/>
  <c r="Z3343" i="2"/>
  <c r="AB3343" i="2"/>
  <c r="AD3343" i="2"/>
  <c r="K3344" i="2"/>
  <c r="L3344" i="2"/>
  <c r="Z3344" i="2"/>
  <c r="AB3344" i="2" s="1"/>
  <c r="AD3344" i="2"/>
  <c r="K3345" i="2"/>
  <c r="L3345" i="2"/>
  <c r="Z3345" i="2"/>
  <c r="AA3345" i="2"/>
  <c r="AD3345" i="2"/>
  <c r="K3346" i="2"/>
  <c r="L3346" i="2"/>
  <c r="Z3346" i="2"/>
  <c r="AB3346" i="2" s="1"/>
  <c r="AA3346" i="2"/>
  <c r="AD3346" i="2"/>
  <c r="K3347" i="2"/>
  <c r="L3347" i="2"/>
  <c r="Z3347" i="2"/>
  <c r="AB3347" i="2" s="1"/>
  <c r="AD3347" i="2"/>
  <c r="K3348" i="2"/>
  <c r="L3348" i="2"/>
  <c r="Z3348" i="2"/>
  <c r="AB3348" i="2" s="1"/>
  <c r="AA3348" i="2"/>
  <c r="AC3348" i="2"/>
  <c r="AD3348" i="2"/>
  <c r="K3349" i="2"/>
  <c r="L3349" i="2"/>
  <c r="Z3349" i="2"/>
  <c r="AD3349" i="2"/>
  <c r="K3350" i="2"/>
  <c r="L3350" i="2"/>
  <c r="Z3350" i="2"/>
  <c r="AD3350" i="2"/>
  <c r="K3351" i="2"/>
  <c r="L3351" i="2"/>
  <c r="Z3351" i="2"/>
  <c r="AB3351" i="2" s="1"/>
  <c r="AD3351" i="2"/>
  <c r="K3352" i="2"/>
  <c r="L3352" i="2"/>
  <c r="Z3352" i="2"/>
  <c r="AA3352" i="2" s="1"/>
  <c r="AD3352" i="2"/>
  <c r="K3353" i="2"/>
  <c r="L3353" i="2"/>
  <c r="Z3353" i="2"/>
  <c r="AD3353" i="2"/>
  <c r="K3354" i="2"/>
  <c r="L3354" i="2"/>
  <c r="Z3354" i="2"/>
  <c r="AB3354" i="2" s="1"/>
  <c r="AA3354" i="2"/>
  <c r="AD3354" i="2"/>
  <c r="K3355" i="2"/>
  <c r="L3355" i="2"/>
  <c r="Z3355" i="2"/>
  <c r="AB3355" i="2"/>
  <c r="AD3355" i="2"/>
  <c r="K3356" i="2"/>
  <c r="L3356" i="2"/>
  <c r="Z3356" i="2"/>
  <c r="AD3356" i="2"/>
  <c r="K3357" i="2"/>
  <c r="L3357" i="2"/>
  <c r="Z3357" i="2"/>
  <c r="AC3357" i="2" s="1"/>
  <c r="AA3357" i="2"/>
  <c r="AD3357" i="2"/>
  <c r="K3358" i="2"/>
  <c r="L3358" i="2"/>
  <c r="Z3358" i="2"/>
  <c r="AD3358" i="2"/>
  <c r="K3359" i="2"/>
  <c r="L3359" i="2"/>
  <c r="Z3359" i="2"/>
  <c r="AB3359" i="2" s="1"/>
  <c r="AD3359" i="2"/>
  <c r="K3360" i="2"/>
  <c r="L3360" i="2"/>
  <c r="Z3360" i="2"/>
  <c r="AD3360" i="2"/>
  <c r="K3361" i="2"/>
  <c r="L3361" i="2"/>
  <c r="Z3361" i="2"/>
  <c r="AD3361" i="2"/>
  <c r="K3362" i="2"/>
  <c r="L3362" i="2"/>
  <c r="Z3362" i="2"/>
  <c r="AB3362" i="2" s="1"/>
  <c r="AA3362" i="2"/>
  <c r="AD3362" i="2"/>
  <c r="K3363" i="2"/>
  <c r="L3363" i="2"/>
  <c r="Z3363" i="2"/>
  <c r="AD3363" i="2"/>
  <c r="K3364" i="2"/>
  <c r="L3364" i="2"/>
  <c r="Z3364" i="2"/>
  <c r="AD3364" i="2"/>
  <c r="K3365" i="2"/>
  <c r="L3365" i="2"/>
  <c r="Z3365" i="2"/>
  <c r="AD3365" i="2"/>
  <c r="K3366" i="2"/>
  <c r="L3366" i="2"/>
  <c r="Z3366" i="2"/>
  <c r="AA3366" i="2"/>
  <c r="AB3366" i="2"/>
  <c r="AC3366" i="2"/>
  <c r="AD3366" i="2"/>
  <c r="K3367" i="2"/>
  <c r="L3367" i="2"/>
  <c r="Z3367" i="2"/>
  <c r="AD3367" i="2"/>
  <c r="K3368" i="2"/>
  <c r="L3368" i="2"/>
  <c r="Z3368" i="2"/>
  <c r="AB3368" i="2" s="1"/>
  <c r="AC3368" i="2"/>
  <c r="AD3368" i="2"/>
  <c r="K3369" i="2"/>
  <c r="L3369" i="2"/>
  <c r="Z3369" i="2"/>
  <c r="AA3369" i="2" s="1"/>
  <c r="AD3369" i="2"/>
  <c r="K3370" i="2"/>
  <c r="L3370" i="2"/>
  <c r="Z3370" i="2"/>
  <c r="AA3370" i="2" s="1"/>
  <c r="AD3370" i="2"/>
  <c r="K3371" i="2"/>
  <c r="L3371" i="2"/>
  <c r="Z3371" i="2"/>
  <c r="AD3371" i="2"/>
  <c r="K3372" i="2"/>
  <c r="L3372" i="2"/>
  <c r="Z3372" i="2"/>
  <c r="AC3372" i="2" s="1"/>
  <c r="AD3372" i="2"/>
  <c r="K3373" i="2"/>
  <c r="L3373" i="2"/>
  <c r="Z3373" i="2"/>
  <c r="AD3373" i="2"/>
  <c r="K3374" i="2"/>
  <c r="L3374" i="2"/>
  <c r="Z3374" i="2"/>
  <c r="AA3374" i="2" s="1"/>
  <c r="AB3374" i="2"/>
  <c r="AC3374" i="2"/>
  <c r="AD3374" i="2"/>
  <c r="K3375" i="2"/>
  <c r="L3375" i="2"/>
  <c r="Z3375" i="2"/>
  <c r="AD3375" i="2"/>
  <c r="K3376" i="2"/>
  <c r="L3376" i="2"/>
  <c r="Z3376" i="2"/>
  <c r="AB3376" i="2" s="1"/>
  <c r="AA3376" i="2"/>
  <c r="AD3376" i="2"/>
  <c r="K3377" i="2"/>
  <c r="L3377" i="2"/>
  <c r="Z3377" i="2"/>
  <c r="AA3377" i="2" s="1"/>
  <c r="AD3377" i="2"/>
  <c r="K3378" i="2"/>
  <c r="L3378" i="2"/>
  <c r="Z3378" i="2"/>
  <c r="AA3378" i="2"/>
  <c r="AB3378" i="2"/>
  <c r="AC3378" i="2"/>
  <c r="AD3378" i="2"/>
  <c r="K3379" i="2"/>
  <c r="L3379" i="2"/>
  <c r="Z3379" i="2"/>
  <c r="AD3379" i="2"/>
  <c r="K3380" i="2"/>
  <c r="L3380" i="2"/>
  <c r="Z3380" i="2"/>
  <c r="AB3380" i="2" s="1"/>
  <c r="AC3380" i="2"/>
  <c r="AD3380" i="2"/>
  <c r="K3381" i="2"/>
  <c r="L3381" i="2"/>
  <c r="Z3381" i="2"/>
  <c r="AD3381" i="2"/>
  <c r="K3382" i="2"/>
  <c r="L3382" i="2"/>
  <c r="Z3382" i="2"/>
  <c r="AD3382" i="2"/>
  <c r="K3383" i="2"/>
  <c r="L3383" i="2"/>
  <c r="Z3383" i="2"/>
  <c r="AB3383" i="2" s="1"/>
  <c r="AD3383" i="2"/>
  <c r="K3384" i="2"/>
  <c r="L3384" i="2"/>
  <c r="Z3384" i="2"/>
  <c r="AC3384" i="2" s="1"/>
  <c r="AB3384" i="2"/>
  <c r="AD3384" i="2"/>
  <c r="K3385" i="2"/>
  <c r="L3385" i="2"/>
  <c r="Z3385" i="2"/>
  <c r="AD3385" i="2"/>
  <c r="K3386" i="2"/>
  <c r="L3386" i="2"/>
  <c r="Z3386" i="2"/>
  <c r="AA3386" i="2" s="1"/>
  <c r="AC3386" i="2"/>
  <c r="AD3386" i="2"/>
  <c r="K3387" i="2"/>
  <c r="L3387" i="2"/>
  <c r="Z3387" i="2"/>
  <c r="AD3387" i="2"/>
  <c r="K3388" i="2"/>
  <c r="L3388" i="2"/>
  <c r="Z3388" i="2"/>
  <c r="AB3388" i="2" s="1"/>
  <c r="AD3388" i="2"/>
  <c r="K3389" i="2"/>
  <c r="L3389" i="2"/>
  <c r="Z3389" i="2"/>
  <c r="AD3389" i="2"/>
  <c r="K3390" i="2"/>
  <c r="L3390" i="2"/>
  <c r="Z3390" i="2"/>
  <c r="AA3390" i="2" s="1"/>
  <c r="AD3390" i="2"/>
  <c r="K3391" i="2"/>
  <c r="L3391" i="2"/>
  <c r="Z3391" i="2"/>
  <c r="AA3391" i="2" s="1"/>
  <c r="AB3391" i="2"/>
  <c r="AC3391" i="2"/>
  <c r="AD3391" i="2"/>
  <c r="K3392" i="2"/>
  <c r="L3392" i="2"/>
  <c r="Z3392" i="2"/>
  <c r="AD3392" i="2"/>
  <c r="K3393" i="2"/>
  <c r="L3393" i="2"/>
  <c r="Z3393" i="2"/>
  <c r="AC3393" i="2" s="1"/>
  <c r="AA3393" i="2"/>
  <c r="AD3393" i="2"/>
  <c r="K3394" i="2"/>
  <c r="L3394" i="2"/>
  <c r="Z3394" i="2"/>
  <c r="AD3394" i="2"/>
  <c r="K3395" i="2"/>
  <c r="L3395" i="2"/>
  <c r="Z3395" i="2"/>
  <c r="AB3395" i="2" s="1"/>
  <c r="AD3395" i="2"/>
  <c r="K3396" i="2"/>
  <c r="L3396" i="2"/>
  <c r="Z3396" i="2"/>
  <c r="AA3396" i="2"/>
  <c r="AD3396" i="2"/>
  <c r="K3397" i="2"/>
  <c r="L3397" i="2"/>
  <c r="Z3397" i="2"/>
  <c r="AD3397" i="2"/>
  <c r="K3398" i="2"/>
  <c r="L3398" i="2"/>
  <c r="Z3398" i="2"/>
  <c r="AC3398" i="2" s="1"/>
  <c r="AA3398" i="2"/>
  <c r="AB3398" i="2"/>
  <c r="AD3398" i="2"/>
  <c r="K3399" i="2"/>
  <c r="L3399" i="2"/>
  <c r="Z3399" i="2"/>
  <c r="AA3399" i="2" s="1"/>
  <c r="AB3399" i="2"/>
  <c r="AD3399" i="2"/>
  <c r="K3400" i="2"/>
  <c r="L3400" i="2"/>
  <c r="Z3400" i="2"/>
  <c r="AA3400" i="2" s="1"/>
  <c r="AD3400" i="2"/>
  <c r="K3401" i="2"/>
  <c r="L3401" i="2"/>
  <c r="Z3401" i="2"/>
  <c r="AC3401" i="2" s="1"/>
  <c r="AA3401" i="2"/>
  <c r="AB3401" i="2"/>
  <c r="AD3401" i="2"/>
  <c r="K3402" i="2"/>
  <c r="L3402" i="2"/>
  <c r="Z3402" i="2"/>
  <c r="AD3402" i="2"/>
  <c r="K3403" i="2"/>
  <c r="L3403" i="2"/>
  <c r="Z3403" i="2"/>
  <c r="AA3403" i="2" s="1"/>
  <c r="AB3403" i="2"/>
  <c r="AD3403" i="2"/>
  <c r="K3404" i="2"/>
  <c r="L3404" i="2"/>
  <c r="Z3404" i="2"/>
  <c r="AB3404" i="2" s="1"/>
  <c r="AA3404" i="2"/>
  <c r="AC3404" i="2"/>
  <c r="AD3404" i="2"/>
  <c r="K3405" i="2"/>
  <c r="L3405" i="2"/>
  <c r="Z3405" i="2"/>
  <c r="AD3405" i="2"/>
  <c r="K3406" i="2"/>
  <c r="L3406" i="2"/>
  <c r="Z3406" i="2"/>
  <c r="AA3406" i="2" s="1"/>
  <c r="AB3406" i="2"/>
  <c r="AC3406" i="2"/>
  <c r="AD3406" i="2"/>
  <c r="K3407" i="2"/>
  <c r="L3407" i="2"/>
  <c r="Z3407" i="2"/>
  <c r="AB3407" i="2" s="1"/>
  <c r="AD3407" i="2"/>
  <c r="K3408" i="2"/>
  <c r="L3408" i="2"/>
  <c r="Z3408" i="2"/>
  <c r="AD3408" i="2"/>
  <c r="K3409" i="2"/>
  <c r="L3409" i="2"/>
  <c r="Z3409" i="2"/>
  <c r="AD3409" i="2"/>
  <c r="K3410" i="2"/>
  <c r="L3410" i="2"/>
  <c r="Z3410" i="2"/>
  <c r="AD3410" i="2"/>
  <c r="K3411" i="2"/>
  <c r="L3411" i="2"/>
  <c r="Z3411" i="2"/>
  <c r="AA3411" i="2" s="1"/>
  <c r="AB3411" i="2"/>
  <c r="AD3411" i="2"/>
  <c r="K3412" i="2"/>
  <c r="L3412" i="2"/>
  <c r="Z3412" i="2"/>
  <c r="AD3412" i="2"/>
  <c r="K3413" i="2"/>
  <c r="L3413" i="2"/>
  <c r="Z3413" i="2"/>
  <c r="AB3413" i="2" s="1"/>
  <c r="AA3413" i="2"/>
  <c r="AD3413" i="2"/>
  <c r="K3414" i="2"/>
  <c r="L3414" i="2"/>
  <c r="Z3414" i="2"/>
  <c r="AD3414" i="2"/>
  <c r="K3415" i="2"/>
  <c r="L3415" i="2"/>
  <c r="Z3415" i="2"/>
  <c r="AC3415" i="2" s="1"/>
  <c r="AA3415" i="2"/>
  <c r="AB3415" i="2"/>
  <c r="AD3415" i="2"/>
  <c r="K3416" i="2"/>
  <c r="L3416" i="2"/>
  <c r="Z3416" i="2"/>
  <c r="AB3416" i="2" s="1"/>
  <c r="AA3416" i="2"/>
  <c r="AD3416" i="2"/>
  <c r="K3417" i="2"/>
  <c r="L3417" i="2"/>
  <c r="Z3417" i="2"/>
  <c r="AA3417" i="2" s="1"/>
  <c r="AD3417" i="2"/>
  <c r="K3418" i="2"/>
  <c r="L3418" i="2"/>
  <c r="Z3418" i="2"/>
  <c r="AC3418" i="2" s="1"/>
  <c r="AA3418" i="2"/>
  <c r="AB3418" i="2"/>
  <c r="AD3418" i="2"/>
  <c r="K3419" i="2"/>
  <c r="L3419" i="2"/>
  <c r="Z3419" i="2"/>
  <c r="AD3419" i="2"/>
  <c r="K3420" i="2"/>
  <c r="L3420" i="2"/>
  <c r="Z3420" i="2"/>
  <c r="AC3420" i="2" s="1"/>
  <c r="AB3420" i="2"/>
  <c r="AD3420" i="2"/>
  <c r="K3421" i="2"/>
  <c r="L3421" i="2"/>
  <c r="Z3421" i="2"/>
  <c r="AD3421" i="2"/>
  <c r="K3422" i="2"/>
  <c r="L3422" i="2"/>
  <c r="Z3422" i="2"/>
  <c r="AB3422" i="2" s="1"/>
  <c r="AD3422" i="2"/>
  <c r="K3423" i="2"/>
  <c r="L3423" i="2"/>
  <c r="Z3423" i="2"/>
  <c r="AA3423" i="2" s="1"/>
  <c r="AB3423" i="2"/>
  <c r="AC3423" i="2"/>
  <c r="AD3423" i="2"/>
  <c r="K3424" i="2"/>
  <c r="L3424" i="2"/>
  <c r="Z3424" i="2"/>
  <c r="AA3424" i="2"/>
  <c r="AD3424" i="2"/>
  <c r="K3425" i="2"/>
  <c r="L3425" i="2"/>
  <c r="Z3425" i="2"/>
  <c r="AD3425" i="2"/>
  <c r="K3426" i="2"/>
  <c r="L3426" i="2"/>
  <c r="Z3426" i="2"/>
  <c r="AD3426" i="2"/>
  <c r="K3427" i="2"/>
  <c r="L3427" i="2"/>
  <c r="Z3427" i="2"/>
  <c r="AD3427" i="2"/>
  <c r="K3428" i="2"/>
  <c r="L3428" i="2"/>
  <c r="Z3428" i="2"/>
  <c r="AA3428" i="2"/>
  <c r="AD3428" i="2"/>
  <c r="K3429" i="2"/>
  <c r="L3429" i="2"/>
  <c r="Z3429" i="2"/>
  <c r="AD3429" i="2"/>
  <c r="K3430" i="2"/>
  <c r="L3430" i="2"/>
  <c r="Z3430" i="2"/>
  <c r="AB3430" i="2" s="1"/>
  <c r="AD3430" i="2"/>
  <c r="K3431" i="2"/>
  <c r="L3431" i="2"/>
  <c r="Z3431" i="2"/>
  <c r="AB3431" i="2" s="1"/>
  <c r="AD3431" i="2"/>
  <c r="K3432" i="2"/>
  <c r="L3432" i="2"/>
  <c r="Z3432" i="2"/>
  <c r="AC3432" i="2" s="1"/>
  <c r="AA3432" i="2"/>
  <c r="AB3432" i="2"/>
  <c r="AD3432" i="2"/>
  <c r="K3433" i="2"/>
  <c r="L3433" i="2"/>
  <c r="Z3433" i="2"/>
  <c r="AD3433" i="2"/>
  <c r="K3434" i="2"/>
  <c r="L3434" i="2"/>
  <c r="Z3434" i="2"/>
  <c r="AD3434" i="2"/>
  <c r="K3435" i="2"/>
  <c r="L3435" i="2"/>
  <c r="Z3435" i="2"/>
  <c r="AD3435" i="2"/>
  <c r="K3436" i="2"/>
  <c r="L3436" i="2"/>
  <c r="Z3436" i="2"/>
  <c r="AB3436" i="2" s="1"/>
  <c r="AA3436" i="2"/>
  <c r="AC3436" i="2"/>
  <c r="AD3436" i="2"/>
  <c r="K3437" i="2"/>
  <c r="L3437" i="2"/>
  <c r="Z3437" i="2"/>
  <c r="AD3437" i="2"/>
  <c r="K3438" i="2"/>
  <c r="L3438" i="2"/>
  <c r="Z3438" i="2"/>
  <c r="AD3438" i="2"/>
  <c r="K3439" i="2"/>
  <c r="L3439" i="2"/>
  <c r="Z3439" i="2"/>
  <c r="AA3439" i="2" s="1"/>
  <c r="AB3439" i="2"/>
  <c r="AC3439" i="2"/>
  <c r="AD3439" i="2"/>
  <c r="K3440" i="2"/>
  <c r="L3440" i="2"/>
  <c r="Z3440" i="2"/>
  <c r="AD3440" i="2"/>
  <c r="K3441" i="2"/>
  <c r="L3441" i="2"/>
  <c r="Z3441" i="2"/>
  <c r="AC3441" i="2" s="1"/>
  <c r="AA3441" i="2"/>
  <c r="AD3441" i="2"/>
  <c r="K3442" i="2"/>
  <c r="L3442" i="2"/>
  <c r="Z3442" i="2"/>
  <c r="AD3442" i="2"/>
  <c r="K3443" i="2"/>
  <c r="L3443" i="2"/>
  <c r="Z3443" i="2"/>
  <c r="AB3443" i="2" s="1"/>
  <c r="AD3443" i="2"/>
  <c r="K3444" i="2"/>
  <c r="L3444" i="2"/>
  <c r="Z3444" i="2"/>
  <c r="AD3444" i="2"/>
  <c r="K3445" i="2"/>
  <c r="L3445" i="2"/>
  <c r="Z3445" i="2"/>
  <c r="AD3445" i="2"/>
  <c r="K3446" i="2"/>
  <c r="L3446" i="2"/>
  <c r="Z3446" i="2"/>
  <c r="AA3446" i="2" s="1"/>
  <c r="AD3446" i="2"/>
  <c r="K3447" i="2"/>
  <c r="L3447" i="2"/>
  <c r="Z3447" i="2"/>
  <c r="AA3447" i="2" s="1"/>
  <c r="AB3447" i="2"/>
  <c r="AC3447" i="2"/>
  <c r="AD3447" i="2"/>
  <c r="K3448" i="2"/>
  <c r="L3448" i="2"/>
  <c r="Z3448" i="2"/>
  <c r="AA3448" i="2" s="1"/>
  <c r="AD3448" i="2"/>
  <c r="K3449" i="2"/>
  <c r="L3449" i="2"/>
  <c r="Z3449" i="2"/>
  <c r="AC3449" i="2" s="1"/>
  <c r="AA3449" i="2"/>
  <c r="AD3449" i="2"/>
  <c r="K3450" i="2"/>
  <c r="L3450" i="2"/>
  <c r="Z3450" i="2"/>
  <c r="AA3450" i="2" s="1"/>
  <c r="AD3450" i="2"/>
  <c r="K3451" i="2"/>
  <c r="L3451" i="2"/>
  <c r="Z3451" i="2"/>
  <c r="AA3451" i="2" s="1"/>
  <c r="AB3451" i="2"/>
  <c r="AC3451" i="2"/>
  <c r="AD3451" i="2"/>
  <c r="K3452" i="2"/>
  <c r="L3452" i="2"/>
  <c r="Z3452" i="2"/>
  <c r="AD3452" i="2"/>
  <c r="K3453" i="2"/>
  <c r="L3453" i="2"/>
  <c r="Z3453" i="2"/>
  <c r="AD3453" i="2"/>
  <c r="K3454" i="2"/>
  <c r="L3454" i="2"/>
  <c r="Z3454" i="2"/>
  <c r="AD3454" i="2"/>
  <c r="K3455" i="2"/>
  <c r="L3455" i="2"/>
  <c r="Z3455" i="2"/>
  <c r="AB3455" i="2" s="1"/>
  <c r="AD3455" i="2"/>
  <c r="K3456" i="2"/>
  <c r="L3456" i="2"/>
  <c r="Z3456" i="2"/>
  <c r="AD3456" i="2"/>
  <c r="K3457" i="2"/>
  <c r="L3457" i="2"/>
  <c r="Z3457" i="2"/>
  <c r="AD3457" i="2"/>
  <c r="K3458" i="2"/>
  <c r="L3458" i="2"/>
  <c r="Z3458" i="2"/>
  <c r="AB3458" i="2" s="1"/>
  <c r="AA3458" i="2"/>
  <c r="AD3458" i="2"/>
  <c r="K3459" i="2"/>
  <c r="L3459" i="2"/>
  <c r="Z3459" i="2"/>
  <c r="AD3459" i="2"/>
  <c r="K3460" i="2"/>
  <c r="L3460" i="2"/>
  <c r="Z3460" i="2"/>
  <c r="AD3460" i="2"/>
  <c r="K3461" i="2"/>
  <c r="L3461" i="2"/>
  <c r="Z3461" i="2"/>
  <c r="AA3461" i="2" s="1"/>
  <c r="AD3461" i="2"/>
  <c r="K3462" i="2"/>
  <c r="L3462" i="2"/>
  <c r="Z3462" i="2"/>
  <c r="AA3462" i="2"/>
  <c r="AB3462" i="2"/>
  <c r="AC3462" i="2"/>
  <c r="AD3462" i="2"/>
  <c r="K3463" i="2"/>
  <c r="L3463" i="2"/>
  <c r="Z3463" i="2"/>
  <c r="AD3463" i="2"/>
  <c r="K3464" i="2"/>
  <c r="L3464" i="2"/>
  <c r="Z3464" i="2"/>
  <c r="AB3464" i="2" s="1"/>
  <c r="AA3464" i="2"/>
  <c r="AD3464" i="2"/>
  <c r="K3465" i="2"/>
  <c r="L3465" i="2"/>
  <c r="Z3465" i="2"/>
  <c r="AD3465" i="2"/>
  <c r="K3466" i="2"/>
  <c r="L3466" i="2"/>
  <c r="Z3466" i="2"/>
  <c r="AA3466" i="2"/>
  <c r="AB3466" i="2"/>
  <c r="AC3466" i="2"/>
  <c r="AD3466" i="2"/>
  <c r="K3467" i="2"/>
  <c r="L3467" i="2"/>
  <c r="Z3467" i="2"/>
  <c r="AD3467" i="2"/>
  <c r="K3468" i="2"/>
  <c r="L3468" i="2"/>
  <c r="Z3468" i="2"/>
  <c r="AD3468" i="2"/>
  <c r="K3469" i="2"/>
  <c r="L3469" i="2"/>
  <c r="Z3469" i="2"/>
  <c r="AD3469" i="2"/>
  <c r="K3470" i="2"/>
  <c r="L3470" i="2"/>
  <c r="Z3470" i="2"/>
  <c r="AC3470" i="2" s="1"/>
  <c r="AA3470" i="2"/>
  <c r="AB3470" i="2"/>
  <c r="AD3470" i="2"/>
  <c r="K3471" i="2"/>
  <c r="L3471" i="2"/>
  <c r="Z3471" i="2"/>
  <c r="AA3471" i="2" s="1"/>
  <c r="AB3471" i="2"/>
  <c r="AD3471" i="2"/>
  <c r="K3472" i="2"/>
  <c r="L3472" i="2"/>
  <c r="Z3472" i="2"/>
  <c r="AD3472" i="2"/>
  <c r="K3473" i="2"/>
  <c r="L3473" i="2"/>
  <c r="Z3473" i="2"/>
  <c r="AB3473" i="2" s="1"/>
  <c r="AA3473" i="2"/>
  <c r="AD3473" i="2"/>
  <c r="K3474" i="2"/>
  <c r="L3474" i="2"/>
  <c r="Z3474" i="2"/>
  <c r="AD3474" i="2"/>
  <c r="K3475" i="2"/>
  <c r="L3475" i="2"/>
  <c r="Z3475" i="2"/>
  <c r="AB3475" i="2" s="1"/>
  <c r="AD3475" i="2"/>
  <c r="K3476" i="2"/>
  <c r="L3476" i="2"/>
  <c r="Z3476" i="2"/>
  <c r="AB3476" i="2" s="1"/>
  <c r="AA3476" i="2"/>
  <c r="AC3476" i="2"/>
  <c r="AD3476" i="2"/>
  <c r="K3477" i="2"/>
  <c r="L3477" i="2"/>
  <c r="Z3477" i="2"/>
  <c r="AD3477" i="2"/>
  <c r="K3478" i="2"/>
  <c r="L3478" i="2"/>
  <c r="Z3478" i="2"/>
  <c r="AD3478" i="2"/>
  <c r="K3479" i="2"/>
  <c r="L3479" i="2"/>
  <c r="Z3479" i="2"/>
  <c r="AB3479" i="2" s="1"/>
  <c r="AD3479" i="2"/>
  <c r="K3480" i="2"/>
  <c r="L3480" i="2"/>
  <c r="Z3480" i="2"/>
  <c r="AA3480" i="2" s="1"/>
  <c r="AD3480" i="2"/>
  <c r="K3481" i="2"/>
  <c r="L3481" i="2"/>
  <c r="Z3481" i="2"/>
  <c r="AD3481" i="2"/>
  <c r="K3482" i="2"/>
  <c r="L3482" i="2"/>
  <c r="Z3482" i="2"/>
  <c r="AD3482" i="2"/>
  <c r="K3483" i="2"/>
  <c r="L3483" i="2"/>
  <c r="Z3483" i="2"/>
  <c r="AD3483" i="2"/>
  <c r="K3484" i="2"/>
  <c r="L3484" i="2"/>
  <c r="Z3484" i="2"/>
  <c r="AB3484" i="2" s="1"/>
  <c r="AA3484" i="2"/>
  <c r="AC3484" i="2"/>
  <c r="AD3484" i="2"/>
  <c r="K3485" i="2"/>
  <c r="L3485" i="2"/>
  <c r="Z3485" i="2"/>
  <c r="AD3485" i="2"/>
  <c r="K3486" i="2"/>
  <c r="L3486" i="2"/>
  <c r="Z3486" i="2"/>
  <c r="AD3486" i="2"/>
  <c r="K3487" i="2"/>
  <c r="L3487" i="2"/>
  <c r="Z3487" i="2"/>
  <c r="AD3487" i="2"/>
  <c r="K3488" i="2"/>
  <c r="L3488" i="2"/>
  <c r="Z3488" i="2"/>
  <c r="AB3488" i="2" s="1"/>
  <c r="AA3488" i="2"/>
  <c r="AC3488" i="2"/>
  <c r="AD3488" i="2"/>
  <c r="K3489" i="2"/>
  <c r="L3489" i="2"/>
  <c r="Z3489" i="2"/>
  <c r="AC3489" i="2" s="1"/>
  <c r="AA3489" i="2"/>
  <c r="AD3489" i="2"/>
  <c r="K3490" i="2"/>
  <c r="L3490" i="2"/>
  <c r="Z3490" i="2"/>
  <c r="AA3490" i="2" s="1"/>
  <c r="AB3490" i="2"/>
  <c r="AC3490" i="2"/>
  <c r="AD3490" i="2"/>
  <c r="K3491" i="2"/>
  <c r="L3491" i="2"/>
  <c r="Z3491" i="2"/>
  <c r="AB3491" i="2" s="1"/>
  <c r="AD3491" i="2"/>
  <c r="K3492" i="2"/>
  <c r="L3492" i="2"/>
  <c r="Z3492" i="2"/>
  <c r="AD3492" i="2"/>
  <c r="K3493" i="2"/>
  <c r="L3493" i="2"/>
  <c r="Z3493" i="2"/>
  <c r="AD3493" i="2"/>
  <c r="K3494" i="2"/>
  <c r="L3494" i="2"/>
  <c r="Z3494" i="2"/>
  <c r="AC3494" i="2" s="1"/>
  <c r="AA3494" i="2"/>
  <c r="AB3494" i="2"/>
  <c r="AD3494" i="2"/>
  <c r="K3495" i="2"/>
  <c r="L3495" i="2"/>
  <c r="Z3495" i="2"/>
  <c r="AD3495" i="2"/>
  <c r="K3496" i="2"/>
  <c r="L3496" i="2"/>
  <c r="Z3496" i="2"/>
  <c r="AA3496" i="2" s="1"/>
  <c r="AD3496" i="2"/>
  <c r="K3497" i="2"/>
  <c r="L3497" i="2"/>
  <c r="Z3497" i="2"/>
  <c r="AA3497" i="2" s="1"/>
  <c r="AD3497" i="2"/>
  <c r="K3498" i="2"/>
  <c r="L3498" i="2"/>
  <c r="Z3498" i="2"/>
  <c r="AD3498" i="2"/>
  <c r="K3499" i="2"/>
  <c r="L3499" i="2"/>
  <c r="Z3499" i="2"/>
  <c r="AB3499" i="2" s="1"/>
  <c r="AD3499" i="2"/>
  <c r="K3500" i="2"/>
  <c r="L3500" i="2"/>
  <c r="Z3500" i="2"/>
  <c r="AB3500" i="2" s="1"/>
  <c r="AA3500" i="2"/>
  <c r="AC3500" i="2"/>
  <c r="AD3500" i="2"/>
  <c r="K3501" i="2"/>
  <c r="L3501" i="2"/>
  <c r="Z3501" i="2"/>
  <c r="AA3501" i="2"/>
  <c r="AD3501" i="2"/>
  <c r="K3502" i="2"/>
  <c r="L3502" i="2"/>
  <c r="Z3502" i="2"/>
  <c r="AA3502" i="2" s="1"/>
  <c r="AB3502" i="2"/>
  <c r="AC3502" i="2"/>
  <c r="AD3502" i="2"/>
  <c r="K3503" i="2"/>
  <c r="L3503" i="2"/>
  <c r="Z3503" i="2"/>
  <c r="AD3503" i="2"/>
  <c r="K3504" i="2"/>
  <c r="L3504" i="2"/>
  <c r="Z3504" i="2"/>
  <c r="AD3504" i="2"/>
  <c r="K3505" i="2"/>
  <c r="L3505" i="2"/>
  <c r="Z3505" i="2"/>
  <c r="AC3505" i="2" s="1"/>
  <c r="AA3505" i="2"/>
  <c r="AB3505" i="2"/>
  <c r="AD3505" i="2"/>
  <c r="K3506" i="2"/>
  <c r="L3506" i="2"/>
  <c r="Z3506" i="2"/>
  <c r="AD3506" i="2"/>
  <c r="K3507" i="2"/>
  <c r="L3507" i="2"/>
  <c r="Z3507" i="2"/>
  <c r="AB3507" i="2" s="1"/>
  <c r="AD3507" i="2"/>
  <c r="K3508" i="2"/>
  <c r="L3508" i="2"/>
  <c r="Z3508" i="2"/>
  <c r="AB3508" i="2" s="1"/>
  <c r="AA3508" i="2"/>
  <c r="AD3508" i="2"/>
  <c r="K3509" i="2"/>
  <c r="L3509" i="2"/>
  <c r="Z3509" i="2"/>
  <c r="AB3509" i="2" s="1"/>
  <c r="AD3509" i="2"/>
  <c r="K3510" i="2"/>
  <c r="L3510" i="2"/>
  <c r="Z3510" i="2"/>
  <c r="AD3510" i="2"/>
  <c r="K3511" i="2"/>
  <c r="L3511" i="2"/>
  <c r="Z3511" i="2"/>
  <c r="AD3511" i="2"/>
  <c r="K3512" i="2"/>
  <c r="L3512" i="2"/>
  <c r="Z3512" i="2"/>
  <c r="AB3512" i="2" s="1"/>
  <c r="AC3512" i="2"/>
  <c r="AD3512" i="2"/>
  <c r="K3513" i="2"/>
  <c r="L3513" i="2"/>
  <c r="Z3513" i="2"/>
  <c r="AD3513" i="2"/>
  <c r="K3514" i="2"/>
  <c r="L3514" i="2"/>
  <c r="Z3514" i="2"/>
  <c r="AA3514" i="2" s="1"/>
  <c r="AD3514" i="2"/>
  <c r="K3515" i="2"/>
  <c r="L3515" i="2"/>
  <c r="Z3515" i="2"/>
  <c r="AA3515" i="2" s="1"/>
  <c r="AC3515" i="2"/>
  <c r="AD3515" i="2"/>
  <c r="K3516" i="2"/>
  <c r="L3516" i="2"/>
  <c r="Z3516" i="2"/>
  <c r="AB3516" i="2"/>
  <c r="AD3516" i="2"/>
  <c r="K3517" i="2"/>
  <c r="L3517" i="2"/>
  <c r="Z3517" i="2"/>
  <c r="AC3517" i="2" s="1"/>
  <c r="AB3517" i="2"/>
  <c r="AD3517" i="2"/>
  <c r="K3518" i="2"/>
  <c r="L3518" i="2"/>
  <c r="Z3518" i="2"/>
  <c r="AA3518" i="2"/>
  <c r="AD3518" i="2"/>
  <c r="K3519" i="2"/>
  <c r="L3519" i="2"/>
  <c r="Z3519" i="2"/>
  <c r="AD3519" i="2"/>
  <c r="K3520" i="2"/>
  <c r="L3520" i="2"/>
  <c r="Z3520" i="2"/>
  <c r="AA3520" i="2" s="1"/>
  <c r="AD3520" i="2"/>
  <c r="K3521" i="2"/>
  <c r="L3521" i="2"/>
  <c r="Z3521" i="2"/>
  <c r="AC3521" i="2" s="1"/>
  <c r="AA3521" i="2"/>
  <c r="AB3521" i="2"/>
  <c r="AD3521" i="2"/>
  <c r="K3522" i="2"/>
  <c r="L3522" i="2"/>
  <c r="Z3522" i="2"/>
  <c r="AD3522" i="2"/>
  <c r="K3523" i="2"/>
  <c r="L3523" i="2"/>
  <c r="Z3523" i="2"/>
  <c r="AD3523" i="2"/>
  <c r="K3524" i="2"/>
  <c r="L3524" i="2"/>
  <c r="Z3524" i="2"/>
  <c r="AD3524" i="2"/>
  <c r="K3525" i="2"/>
  <c r="L3525" i="2"/>
  <c r="Z3525" i="2"/>
  <c r="AD3525" i="2"/>
  <c r="K3526" i="2"/>
  <c r="L3526" i="2"/>
  <c r="Z3526" i="2"/>
  <c r="AC3526" i="2" s="1"/>
  <c r="AA3526" i="2"/>
  <c r="AB3526" i="2"/>
  <c r="AD3526" i="2"/>
  <c r="K3527" i="2"/>
  <c r="L3527" i="2"/>
  <c r="Z3527" i="2"/>
  <c r="AA3527" i="2" s="1"/>
  <c r="AC3527" i="2"/>
  <c r="AD3527" i="2"/>
  <c r="K3528" i="2"/>
  <c r="L3528" i="2"/>
  <c r="Z3528" i="2"/>
  <c r="AA3528" i="2" s="1"/>
  <c r="AB3528" i="2"/>
  <c r="AC3528" i="2"/>
  <c r="AD3528" i="2"/>
  <c r="K3529" i="2"/>
  <c r="L3529" i="2"/>
  <c r="Z3529" i="2"/>
  <c r="AD3529" i="2"/>
  <c r="K3530" i="2"/>
  <c r="L3530" i="2"/>
  <c r="Z3530" i="2"/>
  <c r="AA3530" i="2" s="1"/>
  <c r="AD3530" i="2"/>
  <c r="K3531" i="2"/>
  <c r="L3531" i="2"/>
  <c r="Z3531" i="2"/>
  <c r="AB3531" i="2"/>
  <c r="AD3531" i="2"/>
  <c r="K3532" i="2"/>
  <c r="L3532" i="2"/>
  <c r="Z3532" i="2"/>
  <c r="AA3532" i="2"/>
  <c r="AD3532" i="2"/>
  <c r="K3533" i="2"/>
  <c r="L3533" i="2"/>
  <c r="Z3533" i="2"/>
  <c r="AD3533" i="2"/>
  <c r="K3534" i="2"/>
  <c r="L3534" i="2"/>
  <c r="Z3534" i="2"/>
  <c r="AA3534" i="2"/>
  <c r="AB3534" i="2"/>
  <c r="AC3534" i="2"/>
  <c r="AD3534" i="2"/>
  <c r="K3535" i="2"/>
  <c r="L3535" i="2"/>
  <c r="Z3535" i="2"/>
  <c r="AD3535" i="2"/>
  <c r="K3536" i="2"/>
  <c r="L3536" i="2"/>
  <c r="Z3536" i="2"/>
  <c r="AB3536" i="2" s="1"/>
  <c r="AA3536" i="2"/>
  <c r="AC3536" i="2"/>
  <c r="AD3536" i="2"/>
  <c r="K3537" i="2"/>
  <c r="L3537" i="2"/>
  <c r="Z3537" i="2"/>
  <c r="AD3537" i="2"/>
  <c r="K3538" i="2"/>
  <c r="L3538" i="2"/>
  <c r="Z3538" i="2"/>
  <c r="AD3538" i="2"/>
  <c r="K3539" i="2"/>
  <c r="L3539" i="2"/>
  <c r="Z3539" i="2"/>
  <c r="AA3539" i="2" s="1"/>
  <c r="AC3539" i="2"/>
  <c r="AD3539" i="2"/>
  <c r="K3540" i="2"/>
  <c r="L3540" i="2"/>
  <c r="Z3540" i="2"/>
  <c r="AB3540" i="2" s="1"/>
  <c r="AD3540" i="2"/>
  <c r="K3541" i="2"/>
  <c r="L3541" i="2"/>
  <c r="Z3541" i="2"/>
  <c r="AC3541" i="2" s="1"/>
  <c r="AB3541" i="2"/>
  <c r="AD3541" i="2"/>
  <c r="K3542" i="2"/>
  <c r="L3542" i="2"/>
  <c r="Z3542" i="2"/>
  <c r="AA3542" i="2" s="1"/>
  <c r="AD3542" i="2"/>
  <c r="K3543" i="2"/>
  <c r="L3543" i="2"/>
  <c r="Z3543" i="2"/>
  <c r="AA3543" i="2" s="1"/>
  <c r="AB3543" i="2"/>
  <c r="AD3543" i="2"/>
  <c r="K3544" i="2"/>
  <c r="L3544" i="2"/>
  <c r="Z3544" i="2"/>
  <c r="AA3544" i="2" s="1"/>
  <c r="AD3544" i="2"/>
  <c r="K3545" i="2"/>
  <c r="L3545" i="2"/>
  <c r="Z3545" i="2"/>
  <c r="AD3545" i="2"/>
  <c r="K3546" i="2"/>
  <c r="L3546" i="2"/>
  <c r="Z3546" i="2"/>
  <c r="AC3546" i="2" s="1"/>
  <c r="AA3546" i="2"/>
  <c r="AB3546" i="2"/>
  <c r="AD3546" i="2"/>
  <c r="K3547" i="2"/>
  <c r="L3547" i="2"/>
  <c r="Z3547" i="2"/>
  <c r="AD3547" i="2"/>
  <c r="K3548" i="2"/>
  <c r="L3548" i="2"/>
  <c r="Z3548" i="2"/>
  <c r="AD3548" i="2"/>
  <c r="K3549" i="2"/>
  <c r="L3549" i="2"/>
  <c r="Z3549" i="2"/>
  <c r="AA3549" i="2" s="1"/>
  <c r="AD3549" i="2"/>
  <c r="K3550" i="2"/>
  <c r="L3550" i="2"/>
  <c r="Z3550" i="2"/>
  <c r="AD3550" i="2"/>
  <c r="K3551" i="2"/>
  <c r="L3551" i="2"/>
  <c r="Z3551" i="2"/>
  <c r="AD3551" i="2"/>
  <c r="K3552" i="2"/>
  <c r="L3552" i="2"/>
  <c r="Z3552" i="2"/>
  <c r="AA3552" i="2" s="1"/>
  <c r="AD3552" i="2"/>
  <c r="K3553" i="2"/>
  <c r="L3553" i="2"/>
  <c r="Z3553" i="2"/>
  <c r="AB3553" i="2" s="1"/>
  <c r="AD3553" i="2"/>
  <c r="K3554" i="2"/>
  <c r="L3554" i="2"/>
  <c r="Z3554" i="2"/>
  <c r="AA3554" i="2" s="1"/>
  <c r="AD3554" i="2"/>
  <c r="K3555" i="2"/>
  <c r="L3555" i="2"/>
  <c r="Z3555" i="2"/>
  <c r="AB3555" i="2" s="1"/>
  <c r="AD3555" i="2"/>
  <c r="K3556" i="2"/>
  <c r="L3556" i="2"/>
  <c r="Z3556" i="2"/>
  <c r="AB3556" i="2" s="1"/>
  <c r="AA3556" i="2"/>
  <c r="AD3556" i="2"/>
  <c r="K3557" i="2"/>
  <c r="L3557" i="2"/>
  <c r="Z3557" i="2"/>
  <c r="AB3557" i="2"/>
  <c r="AD3557" i="2"/>
  <c r="K3558" i="2"/>
  <c r="L3558" i="2"/>
  <c r="Z3558" i="2"/>
  <c r="AC3558" i="2"/>
  <c r="AD3558" i="2"/>
  <c r="K3559" i="2"/>
  <c r="L3559" i="2"/>
  <c r="Z3559" i="2"/>
  <c r="AA3559" i="2" s="1"/>
  <c r="AD3559" i="2"/>
  <c r="K3560" i="2"/>
  <c r="L3560" i="2"/>
  <c r="Z3560" i="2"/>
  <c r="AB3560" i="2" s="1"/>
  <c r="AD3560" i="2"/>
  <c r="K3561" i="2"/>
  <c r="L3561" i="2"/>
  <c r="Z3561" i="2"/>
  <c r="AA3561" i="2" s="1"/>
  <c r="AB3561" i="2"/>
  <c r="AC3561" i="2"/>
  <c r="AD3561" i="2"/>
  <c r="K3562" i="2"/>
  <c r="L3562" i="2"/>
  <c r="Z3562" i="2"/>
  <c r="AD3562" i="2"/>
  <c r="K3563" i="2"/>
  <c r="L3563" i="2"/>
  <c r="Z3563" i="2"/>
  <c r="AB3563" i="2" s="1"/>
  <c r="AD3563" i="2"/>
  <c r="K3564" i="2"/>
  <c r="L3564" i="2"/>
  <c r="Z3564" i="2"/>
  <c r="AA3564" i="2" s="1"/>
  <c r="AB3564" i="2"/>
  <c r="AC3564" i="2"/>
  <c r="AD3564" i="2"/>
  <c r="K3565" i="2"/>
  <c r="L3565" i="2"/>
  <c r="Z3565" i="2"/>
  <c r="AD3565" i="2"/>
  <c r="K3566" i="2"/>
  <c r="L3566" i="2"/>
  <c r="Z3566" i="2"/>
  <c r="AA3566" i="2" s="1"/>
  <c r="AD3566" i="2"/>
  <c r="K3567" i="2"/>
  <c r="L3567" i="2"/>
  <c r="Z3567" i="2"/>
  <c r="AD3567" i="2"/>
  <c r="K3568" i="2"/>
  <c r="L3568" i="2"/>
  <c r="Z3568" i="2"/>
  <c r="AA3568" i="2" s="1"/>
  <c r="AD3568" i="2"/>
  <c r="K3569" i="2"/>
  <c r="L3569" i="2"/>
  <c r="Z3569" i="2"/>
  <c r="AA3569" i="2" s="1"/>
  <c r="AB3569" i="2"/>
  <c r="AC3569" i="2"/>
  <c r="AD3569" i="2"/>
  <c r="K3570" i="2"/>
  <c r="L3570" i="2"/>
  <c r="Z3570" i="2"/>
  <c r="AD3570" i="2"/>
  <c r="K3571" i="2"/>
  <c r="L3571" i="2"/>
  <c r="Z3571" i="2"/>
  <c r="AA3571" i="2" s="1"/>
  <c r="AD3571" i="2"/>
  <c r="K3572" i="2"/>
  <c r="L3572" i="2"/>
  <c r="Z3572" i="2"/>
  <c r="AB3572" i="2" s="1"/>
  <c r="AD3572" i="2"/>
  <c r="K3573" i="2"/>
  <c r="L3573" i="2"/>
  <c r="Z3573" i="2"/>
  <c r="AD3573" i="2"/>
  <c r="K3574" i="2"/>
  <c r="L3574" i="2"/>
  <c r="Z3574" i="2"/>
  <c r="AD3574" i="2"/>
  <c r="K3575" i="2"/>
  <c r="L3575" i="2"/>
  <c r="Z3575" i="2"/>
  <c r="AD3575" i="2"/>
  <c r="K3576" i="2"/>
  <c r="L3576" i="2"/>
  <c r="Z3576" i="2"/>
  <c r="AA3576" i="2"/>
  <c r="AB3576" i="2"/>
  <c r="AC3576" i="2"/>
  <c r="AD3576" i="2"/>
  <c r="K3577" i="2"/>
  <c r="L3577" i="2"/>
  <c r="Z3577" i="2"/>
  <c r="AB3577" i="2" s="1"/>
  <c r="AD3577" i="2"/>
  <c r="K3578" i="2"/>
  <c r="L3578" i="2"/>
  <c r="Z3578" i="2"/>
  <c r="AA3578" i="2" s="1"/>
  <c r="AD3578" i="2"/>
  <c r="K3579" i="2"/>
  <c r="L3579" i="2"/>
  <c r="Z3579" i="2"/>
  <c r="AB3579" i="2" s="1"/>
  <c r="AD3579" i="2"/>
  <c r="K3580" i="2"/>
  <c r="L3580" i="2"/>
  <c r="Z3580" i="2"/>
  <c r="AC3580" i="2" s="1"/>
  <c r="AB3580" i="2"/>
  <c r="AD3580" i="2"/>
  <c r="K3581" i="2"/>
  <c r="L3581" i="2"/>
  <c r="Z3581" i="2"/>
  <c r="AA3581" i="2" s="1"/>
  <c r="AC3581" i="2"/>
  <c r="AD3581" i="2"/>
  <c r="K3582" i="2"/>
  <c r="L3582" i="2"/>
  <c r="Z3582" i="2"/>
  <c r="AD3582" i="2"/>
  <c r="K3583" i="2"/>
  <c r="L3583" i="2"/>
  <c r="Z3583" i="2"/>
  <c r="AD3583" i="2"/>
  <c r="K3584" i="2"/>
  <c r="L3584" i="2"/>
  <c r="Z3584" i="2"/>
  <c r="AB3584" i="2" s="1"/>
  <c r="AD3584" i="2"/>
  <c r="K3585" i="2"/>
  <c r="L3585" i="2"/>
  <c r="Z3585" i="2"/>
  <c r="AD3585" i="2"/>
  <c r="K3586" i="2"/>
  <c r="L3586" i="2"/>
  <c r="Z3586" i="2"/>
  <c r="AD3586" i="2"/>
  <c r="K3587" i="2"/>
  <c r="L3587" i="2"/>
  <c r="Z3587" i="2"/>
  <c r="AA3587" i="2" s="1"/>
  <c r="AD3587" i="2"/>
  <c r="K3588" i="2"/>
  <c r="L3588" i="2"/>
  <c r="Z3588" i="2"/>
  <c r="AC3588" i="2" s="1"/>
  <c r="AD3588" i="2"/>
  <c r="K3589" i="2"/>
  <c r="L3589" i="2"/>
  <c r="Z3589" i="2"/>
  <c r="AD3589" i="2"/>
  <c r="K3590" i="2"/>
  <c r="L3590" i="2"/>
  <c r="Z3590" i="2"/>
  <c r="AA3590" i="2" s="1"/>
  <c r="AD3590" i="2"/>
  <c r="K3591" i="2"/>
  <c r="L3591" i="2"/>
  <c r="Z3591" i="2"/>
  <c r="AB3591" i="2" s="1"/>
  <c r="AD3591" i="2"/>
  <c r="K3592" i="2"/>
  <c r="L3592" i="2"/>
  <c r="Z3592" i="2"/>
  <c r="AC3592" i="2"/>
  <c r="AD3592" i="2"/>
  <c r="K3593" i="2"/>
  <c r="L3593" i="2"/>
  <c r="Z3593" i="2"/>
  <c r="AB3593" i="2" s="1"/>
  <c r="AD3593" i="2"/>
  <c r="K3594" i="2"/>
  <c r="L3594" i="2"/>
  <c r="Z3594" i="2"/>
  <c r="AA3594" i="2" s="1"/>
  <c r="AB3594" i="2"/>
  <c r="AC3594" i="2"/>
  <c r="AD3594" i="2"/>
  <c r="K3595" i="2"/>
  <c r="L3595" i="2"/>
  <c r="Z3595" i="2"/>
  <c r="AD3595" i="2"/>
  <c r="K3596" i="2"/>
  <c r="L3596" i="2"/>
  <c r="Z3596" i="2"/>
  <c r="AB3596" i="2" s="1"/>
  <c r="AD3596" i="2"/>
  <c r="K3597" i="2"/>
  <c r="L3597" i="2"/>
  <c r="Z3597" i="2"/>
  <c r="AD3597" i="2"/>
  <c r="K3598" i="2"/>
  <c r="L3598" i="2"/>
  <c r="Z3598" i="2"/>
  <c r="AD3598" i="2"/>
  <c r="K3599" i="2"/>
  <c r="L3599" i="2"/>
  <c r="Z3599" i="2"/>
  <c r="AD3599" i="2"/>
  <c r="K3600" i="2"/>
  <c r="L3600" i="2"/>
  <c r="Z3600" i="2"/>
  <c r="AC3600" i="2" s="1"/>
  <c r="AA3600" i="2"/>
  <c r="AB3600" i="2"/>
  <c r="AD3600" i="2"/>
  <c r="K3601" i="2"/>
  <c r="L3601" i="2"/>
  <c r="Z3601" i="2"/>
  <c r="AB3601" i="2" s="1"/>
  <c r="AA3601" i="2"/>
  <c r="AD3601" i="2"/>
  <c r="K3602" i="2"/>
  <c r="L3602" i="2"/>
  <c r="Z3602" i="2"/>
  <c r="AA3602" i="2" s="1"/>
  <c r="AD3602" i="2"/>
  <c r="K3603" i="2"/>
  <c r="L3603" i="2"/>
  <c r="Z3603" i="2"/>
  <c r="AB3603" i="2" s="1"/>
  <c r="AA3603" i="2"/>
  <c r="AD3603" i="2"/>
  <c r="K3604" i="2"/>
  <c r="L3604" i="2"/>
  <c r="Z3604" i="2"/>
  <c r="AA3604" i="2" s="1"/>
  <c r="AD3604" i="2"/>
  <c r="K3605" i="2"/>
  <c r="L3605" i="2"/>
  <c r="Z3605" i="2"/>
  <c r="AD3605" i="2"/>
  <c r="K3606" i="2"/>
  <c r="L3606" i="2"/>
  <c r="Z3606" i="2"/>
  <c r="AC3606" i="2" s="1"/>
  <c r="AD3606" i="2"/>
  <c r="K3607" i="2"/>
  <c r="L3607" i="2"/>
  <c r="Z3607" i="2"/>
  <c r="AD3607" i="2"/>
  <c r="K3608" i="2"/>
  <c r="L3608" i="2"/>
  <c r="Z3608" i="2"/>
  <c r="AB3608" i="2" s="1"/>
  <c r="AD3608" i="2"/>
  <c r="K3609" i="2"/>
  <c r="L3609" i="2"/>
  <c r="Z3609" i="2"/>
  <c r="AD3609" i="2"/>
  <c r="K3610" i="2"/>
  <c r="L3610" i="2"/>
  <c r="Z3610" i="2"/>
  <c r="AD3610" i="2"/>
  <c r="K3611" i="2"/>
  <c r="L3611" i="2"/>
  <c r="Z3611" i="2"/>
  <c r="AA3611" i="2" s="1"/>
  <c r="AB3611" i="2"/>
  <c r="AC3611" i="2"/>
  <c r="AD3611" i="2"/>
  <c r="K3612" i="2"/>
  <c r="L3612" i="2"/>
  <c r="Z3612" i="2"/>
  <c r="AC3612" i="2"/>
  <c r="AD3612" i="2"/>
  <c r="K3613" i="2"/>
  <c r="L3613" i="2"/>
  <c r="Z3613" i="2"/>
  <c r="AB3613" i="2" s="1"/>
  <c r="AD3613" i="2"/>
  <c r="K3614" i="2"/>
  <c r="L3614" i="2"/>
  <c r="Z3614" i="2"/>
  <c r="AA3614" i="2" s="1"/>
  <c r="AD3614" i="2"/>
  <c r="K3615" i="2"/>
  <c r="L3615" i="2"/>
  <c r="Z3615" i="2"/>
  <c r="AD3615" i="2"/>
  <c r="K3616" i="2"/>
  <c r="L3616" i="2"/>
  <c r="Z3616" i="2"/>
  <c r="AA3616" i="2" s="1"/>
  <c r="AC3616" i="2"/>
  <c r="AD3616" i="2"/>
  <c r="K3617" i="2"/>
  <c r="L3617" i="2"/>
  <c r="Z3617" i="2"/>
  <c r="AD3617" i="2"/>
  <c r="K3618" i="2"/>
  <c r="L3618" i="2"/>
  <c r="Z3618" i="2"/>
  <c r="AA3618" i="2"/>
  <c r="AD3618" i="2"/>
  <c r="K3619" i="2"/>
  <c r="L3619" i="2"/>
  <c r="Z3619" i="2"/>
  <c r="AB3619" i="2" s="1"/>
  <c r="AA3619" i="2"/>
  <c r="AD3619" i="2"/>
  <c r="K3620" i="2"/>
  <c r="L3620" i="2"/>
  <c r="Z3620" i="2"/>
  <c r="AB3620" i="2"/>
  <c r="AD3620" i="2"/>
  <c r="K3621" i="2"/>
  <c r="L3621" i="2"/>
  <c r="Z3621" i="2"/>
  <c r="AB3621" i="2" s="1"/>
  <c r="AD3621" i="2"/>
  <c r="K3622" i="2"/>
  <c r="L3622" i="2"/>
  <c r="Z3622" i="2"/>
  <c r="AD3622" i="2"/>
  <c r="K3623" i="2"/>
  <c r="L3623" i="2"/>
  <c r="Z3623" i="2"/>
  <c r="AD3623" i="2"/>
  <c r="K3624" i="2"/>
  <c r="L3624" i="2"/>
  <c r="Z3624" i="2"/>
  <c r="AD3624" i="2"/>
  <c r="K3625" i="2"/>
  <c r="L3625" i="2"/>
  <c r="Z3625" i="2"/>
  <c r="AB3625" i="2" s="1"/>
  <c r="AD3625" i="2"/>
  <c r="K3626" i="2"/>
  <c r="L3626" i="2"/>
  <c r="Z3626" i="2"/>
  <c r="AA3626" i="2" s="1"/>
  <c r="AD3626" i="2"/>
  <c r="K3627" i="2"/>
  <c r="L3627" i="2"/>
  <c r="Z3627" i="2"/>
  <c r="AB3627" i="2" s="1"/>
  <c r="AA3627" i="2"/>
  <c r="AD3627" i="2"/>
  <c r="K3628" i="2"/>
  <c r="L3628" i="2"/>
  <c r="Z3628" i="2"/>
  <c r="AA3628" i="2" s="1"/>
  <c r="AD3628" i="2"/>
  <c r="K3629" i="2"/>
  <c r="L3629" i="2"/>
  <c r="Z3629" i="2"/>
  <c r="AA3629" i="2" s="1"/>
  <c r="AB3629" i="2"/>
  <c r="AC3629" i="2"/>
  <c r="AD3629" i="2"/>
  <c r="K3630" i="2"/>
  <c r="L3630" i="2"/>
  <c r="Z3630" i="2"/>
  <c r="AC3630" i="2" s="1"/>
  <c r="AD3630" i="2"/>
  <c r="K3631" i="2"/>
  <c r="L3631" i="2"/>
  <c r="Z3631" i="2"/>
  <c r="AD3631" i="2"/>
  <c r="K3632" i="2"/>
  <c r="L3632" i="2"/>
  <c r="Z3632" i="2"/>
  <c r="AB3632" i="2" s="1"/>
  <c r="AD3632" i="2"/>
  <c r="K3633" i="2"/>
  <c r="L3633" i="2"/>
  <c r="Z3633" i="2"/>
  <c r="AD3633" i="2"/>
  <c r="K3634" i="2"/>
  <c r="L3634" i="2"/>
  <c r="Z3634" i="2"/>
  <c r="AD3634" i="2"/>
  <c r="K3635" i="2"/>
  <c r="L3635" i="2"/>
  <c r="Z3635" i="2"/>
  <c r="AA3635" i="2" s="1"/>
  <c r="AB3635" i="2"/>
  <c r="AC3635" i="2"/>
  <c r="AD3635" i="2"/>
  <c r="K3636" i="2"/>
  <c r="L3636" i="2"/>
  <c r="Z3636" i="2"/>
  <c r="AB3636" i="2" s="1"/>
  <c r="AD3636" i="2"/>
  <c r="K3637" i="2"/>
  <c r="L3637" i="2"/>
  <c r="Z3637" i="2"/>
  <c r="AB3637" i="2" s="1"/>
  <c r="AD3637" i="2"/>
  <c r="K3638" i="2"/>
  <c r="L3638" i="2"/>
  <c r="Z3638" i="2"/>
  <c r="AA3638" i="2" s="1"/>
  <c r="AD3638" i="2"/>
  <c r="K3639" i="2"/>
  <c r="L3639" i="2"/>
  <c r="Z3639" i="2"/>
  <c r="AB3639" i="2" s="1"/>
  <c r="AA3639" i="2"/>
  <c r="AD3639" i="2"/>
  <c r="K3640" i="2"/>
  <c r="L3640" i="2"/>
  <c r="Z3640" i="2"/>
  <c r="AD3640" i="2"/>
  <c r="K3641" i="2"/>
  <c r="L3641" i="2"/>
  <c r="Z3641" i="2"/>
  <c r="AD3641" i="2"/>
  <c r="K3642" i="2"/>
  <c r="L3642" i="2"/>
  <c r="Z3642" i="2"/>
  <c r="AB3642" i="2" s="1"/>
  <c r="AA3642" i="2"/>
  <c r="AD3642" i="2"/>
  <c r="K3643" i="2"/>
  <c r="L3643" i="2"/>
  <c r="Z3643" i="2"/>
  <c r="AB3643" i="2" s="1"/>
  <c r="AD3643" i="2"/>
  <c r="K3644" i="2"/>
  <c r="L3644" i="2"/>
  <c r="Z3644" i="2"/>
  <c r="AD3644" i="2"/>
  <c r="K3645" i="2"/>
  <c r="L3645" i="2"/>
  <c r="Z3645" i="2"/>
  <c r="AC3645" i="2" s="1"/>
  <c r="AD3645" i="2"/>
  <c r="K3646" i="2"/>
  <c r="L3646" i="2"/>
  <c r="Z3646" i="2"/>
  <c r="AD3646" i="2"/>
  <c r="K3647" i="2"/>
  <c r="L3647" i="2"/>
  <c r="Z3647" i="2"/>
  <c r="AA3647" i="2" s="1"/>
  <c r="AC3647" i="2"/>
  <c r="AD3647" i="2"/>
  <c r="K3648" i="2"/>
  <c r="L3648" i="2"/>
  <c r="Z3648" i="2"/>
  <c r="AB3648" i="2" s="1"/>
  <c r="AD3648" i="2"/>
  <c r="K3649" i="2"/>
  <c r="L3649" i="2"/>
  <c r="Z3649" i="2"/>
  <c r="AB3649" i="2" s="1"/>
  <c r="AC3649" i="2"/>
  <c r="AD3649" i="2"/>
  <c r="K3650" i="2"/>
  <c r="L3650" i="2"/>
  <c r="Z3650" i="2"/>
  <c r="AA3650" i="2" s="1"/>
  <c r="AD3650" i="2"/>
  <c r="K3651" i="2"/>
  <c r="L3651" i="2"/>
  <c r="Z3651" i="2"/>
  <c r="AB3651" i="2" s="1"/>
  <c r="AA3651" i="2"/>
  <c r="AD3651" i="2"/>
  <c r="K3652" i="2"/>
  <c r="L3652" i="2"/>
  <c r="Z3652" i="2"/>
  <c r="AA3652" i="2" s="1"/>
  <c r="AC3652" i="2"/>
  <c r="AD3652" i="2"/>
  <c r="K3653" i="2"/>
  <c r="L3653" i="2"/>
  <c r="Z3653" i="2"/>
  <c r="AA3653" i="2" s="1"/>
  <c r="AB3653" i="2"/>
  <c r="AC3653" i="2"/>
  <c r="AD3653" i="2"/>
  <c r="K3654" i="2"/>
  <c r="L3654" i="2"/>
  <c r="Z3654" i="2"/>
  <c r="AA3654" i="2" s="1"/>
  <c r="AB3654" i="2"/>
  <c r="AC3654" i="2"/>
  <c r="AD3654" i="2"/>
  <c r="K3655" i="2"/>
  <c r="L3655" i="2"/>
  <c r="Z3655" i="2"/>
  <c r="AA3655" i="2"/>
  <c r="AD3655" i="2"/>
  <c r="K3656" i="2"/>
  <c r="L3656" i="2"/>
  <c r="Z3656" i="2"/>
  <c r="AB3656" i="2" s="1"/>
  <c r="AD3656" i="2"/>
  <c r="K3657" i="2"/>
  <c r="L3657" i="2"/>
  <c r="Z3657" i="2"/>
  <c r="AA3657" i="2"/>
  <c r="AB3657" i="2"/>
  <c r="AC3657" i="2"/>
  <c r="AD3657" i="2"/>
  <c r="K3658" i="2"/>
  <c r="L3658" i="2"/>
  <c r="Z3658" i="2"/>
  <c r="AD3658" i="2"/>
  <c r="K3659" i="2"/>
  <c r="L3659" i="2"/>
  <c r="Z3659" i="2"/>
  <c r="AD3659" i="2"/>
  <c r="K3660" i="2"/>
  <c r="L3660" i="2"/>
  <c r="Z3660" i="2"/>
  <c r="AA3660" i="2"/>
  <c r="AD3660" i="2"/>
  <c r="K3661" i="2"/>
  <c r="L3661" i="2"/>
  <c r="Z3661" i="2"/>
  <c r="AD3661" i="2"/>
  <c r="K3662" i="2"/>
  <c r="L3662" i="2"/>
  <c r="Z3662" i="2"/>
  <c r="AA3662" i="2" s="1"/>
  <c r="AD3662" i="2"/>
  <c r="K3663" i="2"/>
  <c r="L3663" i="2"/>
  <c r="Z3663" i="2"/>
  <c r="AB3663" i="2" s="1"/>
  <c r="AA3663" i="2"/>
  <c r="AD3663" i="2"/>
  <c r="K3664" i="2"/>
  <c r="L3664" i="2"/>
  <c r="Z3664" i="2"/>
  <c r="AD3664" i="2"/>
  <c r="K3665" i="2"/>
  <c r="L3665" i="2"/>
  <c r="Z3665" i="2"/>
  <c r="AD3665" i="2"/>
  <c r="K3666" i="2"/>
  <c r="L3666" i="2"/>
  <c r="Z3666" i="2"/>
  <c r="AC3666" i="2" s="1"/>
  <c r="AA3666" i="2"/>
  <c r="AB3666" i="2"/>
  <c r="AD3666" i="2"/>
  <c r="K3667" i="2"/>
  <c r="L3667" i="2"/>
  <c r="Z3667" i="2"/>
  <c r="AD3667" i="2"/>
  <c r="K3668" i="2"/>
  <c r="L3668" i="2"/>
  <c r="Z3668" i="2"/>
  <c r="AB3668" i="2" s="1"/>
  <c r="AD3668" i="2"/>
  <c r="K3669" i="2"/>
  <c r="L3669" i="2"/>
  <c r="Z3669" i="2"/>
  <c r="AC3669" i="2" s="1"/>
  <c r="AD3669" i="2"/>
  <c r="K3670" i="2"/>
  <c r="L3670" i="2"/>
  <c r="Z3670" i="2"/>
  <c r="AD3670" i="2"/>
  <c r="K3671" i="2"/>
  <c r="L3671" i="2"/>
  <c r="Z3671" i="2"/>
  <c r="AB3671" i="2" s="1"/>
  <c r="AD3671" i="2"/>
  <c r="K3672" i="2"/>
  <c r="L3672" i="2"/>
  <c r="Z3672" i="2"/>
  <c r="AC3672" i="2" s="1"/>
  <c r="AA3672" i="2"/>
  <c r="AB3672" i="2"/>
  <c r="AD3672" i="2"/>
  <c r="K3673" i="2"/>
  <c r="L3673" i="2"/>
  <c r="Z3673" i="2"/>
  <c r="AB3673" i="2" s="1"/>
  <c r="AD3673" i="2"/>
  <c r="K3674" i="2"/>
  <c r="L3674" i="2"/>
  <c r="Z3674" i="2"/>
  <c r="AA3674" i="2" s="1"/>
  <c r="AD3674" i="2"/>
  <c r="K3675" i="2"/>
  <c r="L3675" i="2"/>
  <c r="Z3675" i="2"/>
  <c r="AB3675" i="2" s="1"/>
  <c r="AD3675" i="2"/>
  <c r="K3676" i="2"/>
  <c r="L3676" i="2"/>
  <c r="Z3676" i="2"/>
  <c r="AB3676" i="2" s="1"/>
  <c r="AA3676" i="2"/>
  <c r="AD3676" i="2"/>
  <c r="K3677" i="2"/>
  <c r="L3677" i="2"/>
  <c r="Z3677" i="2"/>
  <c r="AB3677" i="2" s="1"/>
  <c r="AD3677" i="2"/>
  <c r="K3678" i="2"/>
  <c r="L3678" i="2"/>
  <c r="Z3678" i="2"/>
  <c r="AC3678" i="2" s="1"/>
  <c r="AA3678" i="2"/>
  <c r="AD3678" i="2"/>
  <c r="K3679" i="2"/>
  <c r="L3679" i="2"/>
  <c r="Z3679" i="2"/>
  <c r="AC3679" i="2" s="1"/>
  <c r="AD3679" i="2"/>
  <c r="K3680" i="2"/>
  <c r="L3680" i="2"/>
  <c r="Z3680" i="2"/>
  <c r="AB3680" i="2" s="1"/>
  <c r="AD3680" i="2"/>
  <c r="K3681" i="2"/>
  <c r="L3681" i="2"/>
  <c r="Z3681" i="2"/>
  <c r="AD3681" i="2"/>
  <c r="K3682" i="2"/>
  <c r="L3682" i="2"/>
  <c r="Z3682" i="2"/>
  <c r="AD3682" i="2"/>
  <c r="K3683" i="2"/>
  <c r="L3683" i="2"/>
  <c r="Z3683" i="2"/>
  <c r="AC3683" i="2"/>
  <c r="AD3683" i="2"/>
  <c r="K3684" i="2"/>
  <c r="L3684" i="2"/>
  <c r="Z3684" i="2"/>
  <c r="AB3684" i="2" s="1"/>
  <c r="AD3684" i="2"/>
  <c r="K3685" i="2"/>
  <c r="L3685" i="2"/>
  <c r="Z3685" i="2"/>
  <c r="AB3685" i="2" s="1"/>
  <c r="AA3685" i="2"/>
  <c r="AD3685" i="2"/>
  <c r="K3686" i="2"/>
  <c r="L3686" i="2"/>
  <c r="Z3686" i="2"/>
  <c r="AA3686" i="2" s="1"/>
  <c r="AD3686" i="2"/>
  <c r="K3687" i="2"/>
  <c r="L3687" i="2"/>
  <c r="Z3687" i="2"/>
  <c r="AD3687" i="2"/>
  <c r="K3688" i="2"/>
  <c r="L3688" i="2"/>
  <c r="Z3688" i="2"/>
  <c r="AA3688" i="2" s="1"/>
  <c r="AB3688" i="2"/>
  <c r="AD3688" i="2"/>
  <c r="K3689" i="2"/>
  <c r="L3689" i="2"/>
  <c r="Z3689" i="2"/>
  <c r="AA3689" i="2" s="1"/>
  <c r="AB3689" i="2"/>
  <c r="AC3689" i="2"/>
  <c r="AD3689" i="2"/>
  <c r="K3690" i="2"/>
  <c r="L3690" i="2"/>
  <c r="Z3690" i="2"/>
  <c r="AB3690" i="2" s="1"/>
  <c r="AA3690" i="2"/>
  <c r="AD3690" i="2"/>
  <c r="K3691" i="2"/>
  <c r="L3691" i="2"/>
  <c r="Z3691" i="2"/>
  <c r="AB3691" i="2" s="1"/>
  <c r="AC3691" i="2"/>
  <c r="AD3691" i="2"/>
  <c r="K3692" i="2"/>
  <c r="L3692" i="2"/>
  <c r="Z3692" i="2"/>
  <c r="AD3692" i="2"/>
  <c r="K3693" i="2"/>
  <c r="L3693" i="2"/>
  <c r="Z3693" i="2"/>
  <c r="AA3693" i="2" s="1"/>
  <c r="AD3693" i="2"/>
  <c r="K3694" i="2"/>
  <c r="L3694" i="2"/>
  <c r="Z3694" i="2"/>
  <c r="AD3694" i="2"/>
  <c r="K3695" i="2"/>
  <c r="L3695" i="2"/>
  <c r="Z3695" i="2"/>
  <c r="AB3695" i="2"/>
  <c r="AD3695" i="2"/>
  <c r="K3696" i="2"/>
  <c r="L3696" i="2"/>
  <c r="Z3696" i="2"/>
  <c r="AD3696" i="2"/>
  <c r="K3697" i="2"/>
  <c r="L3697" i="2"/>
  <c r="Z3697" i="2"/>
  <c r="AD3697" i="2"/>
  <c r="K3698" i="2"/>
  <c r="L3698" i="2"/>
  <c r="Z3698" i="2"/>
  <c r="AA3698" i="2" s="1"/>
  <c r="AD3698" i="2"/>
  <c r="K3699" i="2"/>
  <c r="L3699" i="2"/>
  <c r="Z3699" i="2"/>
  <c r="AB3699" i="2" s="1"/>
  <c r="AA3699" i="2"/>
  <c r="AD3699" i="2"/>
  <c r="K3700" i="2"/>
  <c r="L3700" i="2"/>
  <c r="Z3700" i="2"/>
  <c r="AC3700" i="2" s="1"/>
  <c r="AA3700" i="2"/>
  <c r="AB3700" i="2"/>
  <c r="AD3700" i="2"/>
  <c r="K3701" i="2"/>
  <c r="L3701" i="2"/>
  <c r="Z3701" i="2"/>
  <c r="AA3701" i="2" s="1"/>
  <c r="AC3701" i="2"/>
  <c r="AD3701" i="2"/>
  <c r="K3702" i="2"/>
  <c r="L3702" i="2"/>
  <c r="Z3702" i="2"/>
  <c r="AA3702" i="2" s="1"/>
  <c r="AD3702" i="2"/>
  <c r="K3703" i="2"/>
  <c r="L3703" i="2"/>
  <c r="Z3703" i="2"/>
  <c r="AC3703" i="2"/>
  <c r="AD3703" i="2"/>
  <c r="K3704" i="2"/>
  <c r="L3704" i="2"/>
  <c r="Z3704" i="2"/>
  <c r="AB3704" i="2" s="1"/>
  <c r="AD3704" i="2"/>
  <c r="K3705" i="2"/>
  <c r="L3705" i="2"/>
  <c r="Z3705" i="2"/>
  <c r="AA3705" i="2"/>
  <c r="AB3705" i="2"/>
  <c r="AC3705" i="2"/>
  <c r="AD3705" i="2"/>
  <c r="K3706" i="2"/>
  <c r="L3706" i="2"/>
  <c r="Z3706" i="2"/>
  <c r="AD3706" i="2"/>
  <c r="K3707" i="2"/>
  <c r="L3707" i="2"/>
  <c r="Z3707" i="2"/>
  <c r="AC3707" i="2" s="1"/>
  <c r="AD3707" i="2"/>
  <c r="K3708" i="2"/>
  <c r="L3708" i="2"/>
  <c r="Z3708" i="2"/>
  <c r="AD3708" i="2"/>
  <c r="K3709" i="2"/>
  <c r="L3709" i="2"/>
  <c r="Z3709" i="2"/>
  <c r="AB3709" i="2" s="1"/>
  <c r="AD3709" i="2"/>
  <c r="K3710" i="2"/>
  <c r="L3710" i="2"/>
  <c r="Z3710" i="2"/>
  <c r="AA3710" i="2" s="1"/>
  <c r="AD3710" i="2"/>
  <c r="K3711" i="2"/>
  <c r="L3711" i="2"/>
  <c r="Z3711" i="2"/>
  <c r="AB3711" i="2" s="1"/>
  <c r="AD3711" i="2"/>
  <c r="K3712" i="2"/>
  <c r="L3712" i="2"/>
  <c r="Z3712" i="2"/>
  <c r="AA3712" i="2"/>
  <c r="AB3712" i="2"/>
  <c r="AC3712" i="2"/>
  <c r="AD3712" i="2"/>
  <c r="K3713" i="2"/>
  <c r="L3713" i="2"/>
  <c r="Z3713" i="2"/>
  <c r="AA3713" i="2" s="1"/>
  <c r="AD3713" i="2"/>
  <c r="K3714" i="2"/>
  <c r="L3714" i="2"/>
  <c r="Z3714" i="2"/>
  <c r="AC3714" i="2" s="1"/>
  <c r="AA3714" i="2"/>
  <c r="AD3714" i="2"/>
  <c r="K3715" i="2"/>
  <c r="L3715" i="2"/>
  <c r="Z3715" i="2"/>
  <c r="AB3715" i="2" s="1"/>
  <c r="AD3715" i="2"/>
  <c r="K3716" i="2"/>
  <c r="L3716" i="2"/>
  <c r="Z3716" i="2"/>
  <c r="AB3716" i="2"/>
  <c r="AD3716" i="2"/>
  <c r="K3717" i="2"/>
  <c r="L3717" i="2"/>
  <c r="Z3717" i="2"/>
  <c r="AC3717" i="2" s="1"/>
  <c r="AA3717" i="2"/>
  <c r="AB3717" i="2"/>
  <c r="AD3717" i="2"/>
  <c r="K3718" i="2"/>
  <c r="L3718" i="2"/>
  <c r="Z3718" i="2"/>
  <c r="AD3718" i="2"/>
  <c r="K3719" i="2"/>
  <c r="L3719" i="2"/>
  <c r="Z3719" i="2"/>
  <c r="AA3719" i="2" s="1"/>
  <c r="AB3719" i="2"/>
  <c r="AC3719" i="2"/>
  <c r="AD3719" i="2"/>
  <c r="K3720" i="2"/>
  <c r="L3720" i="2"/>
  <c r="Z3720" i="2"/>
  <c r="AA3720" i="2" s="1"/>
  <c r="AD3720" i="2"/>
  <c r="K3721" i="2"/>
  <c r="L3721" i="2"/>
  <c r="Z3721" i="2"/>
  <c r="AB3721" i="2" s="1"/>
  <c r="AA3721" i="2"/>
  <c r="AC3721" i="2"/>
  <c r="AD3721" i="2"/>
  <c r="K3722" i="2"/>
  <c r="L3722" i="2"/>
  <c r="Z3722" i="2"/>
  <c r="AA3722" i="2" s="1"/>
  <c r="AD3722" i="2"/>
  <c r="K3723" i="2"/>
  <c r="L3723" i="2"/>
  <c r="Z3723" i="2"/>
  <c r="AD3723" i="2"/>
  <c r="K3724" i="2"/>
  <c r="L3724" i="2"/>
  <c r="Z3724" i="2"/>
  <c r="AB3724" i="2" s="1"/>
  <c r="AA3724" i="2"/>
  <c r="AC3724" i="2"/>
  <c r="AD3724" i="2"/>
  <c r="K3725" i="2"/>
  <c r="L3725" i="2"/>
  <c r="Z3725" i="2"/>
  <c r="AA3725" i="2" s="1"/>
  <c r="AB3725" i="2"/>
  <c r="AD3725" i="2"/>
  <c r="K3726" i="2"/>
  <c r="L3726" i="2"/>
  <c r="Z3726" i="2"/>
  <c r="AA3726" i="2" s="1"/>
  <c r="AB3726" i="2"/>
  <c r="AC3726" i="2"/>
  <c r="AD3726" i="2"/>
  <c r="K3727" i="2"/>
  <c r="L3727" i="2"/>
  <c r="Z3727" i="2"/>
  <c r="AB3727" i="2" s="1"/>
  <c r="AD3727" i="2"/>
  <c r="K3728" i="2"/>
  <c r="L3728" i="2"/>
  <c r="Z3728" i="2"/>
  <c r="AB3728" i="2" s="1"/>
  <c r="AD3728" i="2"/>
  <c r="K3729" i="2"/>
  <c r="L3729" i="2"/>
  <c r="Z3729" i="2"/>
  <c r="AA3729" i="2" s="1"/>
  <c r="AB3729" i="2"/>
  <c r="AC3729" i="2"/>
  <c r="AD3729" i="2"/>
  <c r="K3730" i="2"/>
  <c r="L3730" i="2"/>
  <c r="Z3730" i="2"/>
  <c r="AD3730" i="2"/>
  <c r="K3731" i="2"/>
  <c r="L3731" i="2"/>
  <c r="Z3731" i="2"/>
  <c r="AB3731" i="2"/>
  <c r="AD3731" i="2"/>
  <c r="K3732" i="2"/>
  <c r="L3732" i="2"/>
  <c r="Z3732" i="2"/>
  <c r="AB3732" i="2" s="1"/>
  <c r="AC3732" i="2"/>
  <c r="AD3732" i="2"/>
  <c r="K3733" i="2"/>
  <c r="L3733" i="2"/>
  <c r="Z3733" i="2"/>
  <c r="AB3733" i="2" s="1"/>
  <c r="AD3733" i="2"/>
  <c r="K3734" i="2"/>
  <c r="L3734" i="2"/>
  <c r="Z3734" i="2"/>
  <c r="AA3734" i="2" s="1"/>
  <c r="AD3734" i="2"/>
  <c r="K3735" i="2"/>
  <c r="L3735" i="2"/>
  <c r="Z3735" i="2"/>
  <c r="AD3735" i="2"/>
  <c r="K3736" i="2"/>
  <c r="L3736" i="2"/>
  <c r="Z3736" i="2"/>
  <c r="AA3736" i="2"/>
  <c r="AD3736" i="2"/>
  <c r="K3737" i="2"/>
  <c r="L3737" i="2"/>
  <c r="Z3737" i="2"/>
  <c r="AA3737" i="2" s="1"/>
  <c r="AB3737" i="2"/>
  <c r="AC3737" i="2"/>
  <c r="AD3737" i="2"/>
  <c r="K3738" i="2"/>
  <c r="L3738" i="2"/>
  <c r="Z3738" i="2"/>
  <c r="AD3738" i="2"/>
  <c r="K3739" i="2"/>
  <c r="L3739" i="2"/>
  <c r="Z3739" i="2"/>
  <c r="AB3739" i="2" s="1"/>
  <c r="AA3739" i="2"/>
  <c r="AD3739" i="2"/>
  <c r="K3740" i="2"/>
  <c r="L3740" i="2"/>
  <c r="Z3740" i="2"/>
  <c r="AB3740" i="2" s="1"/>
  <c r="AD3740" i="2"/>
  <c r="K3741" i="2"/>
  <c r="L3741" i="2"/>
  <c r="Z3741" i="2"/>
  <c r="AB3741" i="2" s="1"/>
  <c r="AA3741" i="2"/>
  <c r="AD3741" i="2"/>
  <c r="K3742" i="2"/>
  <c r="L3742" i="2"/>
  <c r="Z3742" i="2"/>
  <c r="AD3742" i="2"/>
  <c r="K3743" i="2"/>
  <c r="L3743" i="2"/>
  <c r="Z3743" i="2"/>
  <c r="AD3743" i="2"/>
  <c r="K3744" i="2"/>
  <c r="L3744" i="2"/>
  <c r="Z3744" i="2"/>
  <c r="AA3744" i="2" s="1"/>
  <c r="AD3744" i="2"/>
  <c r="K3745" i="2"/>
  <c r="L3745" i="2"/>
  <c r="Z3745" i="2"/>
  <c r="AA3745" i="2"/>
  <c r="AD3745" i="2"/>
  <c r="K3746" i="2"/>
  <c r="L3746" i="2"/>
  <c r="Z3746" i="2"/>
  <c r="AA3746" i="2" s="1"/>
  <c r="AD3746" i="2"/>
  <c r="K3747" i="2"/>
  <c r="L3747" i="2"/>
  <c r="Z3747" i="2"/>
  <c r="AB3747" i="2" s="1"/>
  <c r="AA3747" i="2"/>
  <c r="AD3747" i="2"/>
  <c r="K3748" i="2"/>
  <c r="L3748" i="2"/>
  <c r="Z3748" i="2"/>
  <c r="AC3748" i="2" s="1"/>
  <c r="AD3748" i="2"/>
  <c r="K3749" i="2"/>
  <c r="L3749" i="2"/>
  <c r="Z3749" i="2"/>
  <c r="AC3749" i="2"/>
  <c r="AD3749" i="2"/>
  <c r="K3750" i="2"/>
  <c r="L3750" i="2"/>
  <c r="Z3750" i="2"/>
  <c r="AD3750" i="2"/>
  <c r="K3751" i="2"/>
  <c r="L3751" i="2"/>
  <c r="Z3751" i="2"/>
  <c r="AB3751" i="2" s="1"/>
  <c r="AA3751" i="2"/>
  <c r="AD3751" i="2"/>
  <c r="K3752" i="2"/>
  <c r="L3752" i="2"/>
  <c r="Z3752" i="2"/>
  <c r="AB3752" i="2" s="1"/>
  <c r="AD3752" i="2"/>
  <c r="K3753" i="2"/>
  <c r="L3753" i="2"/>
  <c r="Z3753" i="2"/>
  <c r="AA3753" i="2" s="1"/>
  <c r="AD3753" i="2"/>
  <c r="K3754" i="2"/>
  <c r="L3754" i="2"/>
  <c r="Z3754" i="2"/>
  <c r="AD3754" i="2"/>
  <c r="K3755" i="2"/>
  <c r="L3755" i="2"/>
  <c r="Z3755" i="2"/>
  <c r="AD3755" i="2"/>
  <c r="K3756" i="2"/>
  <c r="L3756" i="2"/>
  <c r="Z3756" i="2"/>
  <c r="AA3756" i="2" s="1"/>
  <c r="AD3756" i="2"/>
  <c r="K3757" i="2"/>
  <c r="L3757" i="2"/>
  <c r="Z3757" i="2"/>
  <c r="AB3757" i="2" s="1"/>
  <c r="AD3757" i="2"/>
  <c r="K3758" i="2"/>
  <c r="L3758" i="2"/>
  <c r="Z3758" i="2"/>
  <c r="AA3758" i="2" s="1"/>
  <c r="AD3758" i="2"/>
  <c r="K3759" i="2"/>
  <c r="L3759" i="2"/>
  <c r="Z3759" i="2"/>
  <c r="AB3759" i="2" s="1"/>
  <c r="AD3759" i="2"/>
  <c r="K3760" i="2"/>
  <c r="L3760" i="2"/>
  <c r="Z3760" i="2"/>
  <c r="AC3760" i="2"/>
  <c r="AD3760" i="2"/>
  <c r="K3761" i="2"/>
  <c r="L3761" i="2"/>
  <c r="Z3761" i="2"/>
  <c r="AB3761" i="2"/>
  <c r="AD3761" i="2"/>
  <c r="K3762" i="2"/>
  <c r="L3762" i="2"/>
  <c r="Z3762" i="2"/>
  <c r="AC3762" i="2" s="1"/>
  <c r="AA3762" i="2"/>
  <c r="AB3762" i="2"/>
  <c r="AD3762" i="2"/>
  <c r="K3763" i="2"/>
  <c r="L3763" i="2"/>
  <c r="Z3763" i="2"/>
  <c r="AB3763" i="2" s="1"/>
  <c r="AA3763" i="2"/>
  <c r="AD3763" i="2"/>
  <c r="K3764" i="2"/>
  <c r="L3764" i="2"/>
  <c r="Z3764" i="2"/>
  <c r="AB3764" i="2" s="1"/>
  <c r="AD3764" i="2"/>
  <c r="K3765" i="2"/>
  <c r="L3765" i="2"/>
  <c r="Z3765" i="2"/>
  <c r="AC3765" i="2" s="1"/>
  <c r="AD3765" i="2"/>
  <c r="K3766" i="2"/>
  <c r="L3766" i="2"/>
  <c r="Z3766" i="2"/>
  <c r="AD3766" i="2"/>
  <c r="K3767" i="2"/>
  <c r="L3767" i="2"/>
  <c r="Z3767" i="2"/>
  <c r="AA3767" i="2" s="1"/>
  <c r="AD3767" i="2"/>
  <c r="K3768" i="2"/>
  <c r="L3768" i="2"/>
  <c r="Z3768" i="2"/>
  <c r="AD3768" i="2"/>
  <c r="K3769" i="2"/>
  <c r="L3769" i="2"/>
  <c r="Z3769" i="2"/>
  <c r="AB3769" i="2" s="1"/>
  <c r="AD3769" i="2"/>
  <c r="K3770" i="2"/>
  <c r="L3770" i="2"/>
  <c r="Z3770" i="2"/>
  <c r="AA3770" i="2" s="1"/>
  <c r="AD3770" i="2"/>
  <c r="K3771" i="2"/>
  <c r="L3771" i="2"/>
  <c r="Z3771" i="2"/>
  <c r="AD3771" i="2"/>
  <c r="K3772" i="2"/>
  <c r="L3772" i="2"/>
  <c r="Z3772" i="2"/>
  <c r="AB3772" i="2" s="1"/>
  <c r="AD3772" i="2"/>
  <c r="K3773" i="2"/>
  <c r="L3773" i="2"/>
  <c r="Z3773" i="2"/>
  <c r="AA3773" i="2" s="1"/>
  <c r="AC3773" i="2"/>
  <c r="AD3773" i="2"/>
  <c r="K3774" i="2"/>
  <c r="L3774" i="2"/>
  <c r="Z3774" i="2"/>
  <c r="AA3774" i="2"/>
  <c r="AD3774" i="2"/>
  <c r="K3775" i="2"/>
  <c r="L3775" i="2"/>
  <c r="Z3775" i="2"/>
  <c r="AB3775" i="2" s="1"/>
  <c r="AA3775" i="2"/>
  <c r="AC3775" i="2"/>
  <c r="AD3775" i="2"/>
  <c r="K3776" i="2"/>
  <c r="L3776" i="2"/>
  <c r="Z3776" i="2"/>
  <c r="AB3776" i="2" s="1"/>
  <c r="AD3776" i="2"/>
  <c r="K3777" i="2"/>
  <c r="L3777" i="2"/>
  <c r="Z3777" i="2"/>
  <c r="AB3777" i="2"/>
  <c r="AD3777" i="2"/>
  <c r="K3778" i="2"/>
  <c r="L3778" i="2"/>
  <c r="Z3778" i="2"/>
  <c r="AD3778" i="2"/>
  <c r="K3779" i="2"/>
  <c r="L3779" i="2"/>
  <c r="Z3779" i="2"/>
  <c r="AB3779" i="2" s="1"/>
  <c r="AD3779" i="2"/>
  <c r="K3780" i="2"/>
  <c r="L3780" i="2"/>
  <c r="Z3780" i="2"/>
  <c r="AA3780" i="2" s="1"/>
  <c r="AB3780" i="2"/>
  <c r="AD3780" i="2"/>
  <c r="K3781" i="2"/>
  <c r="L3781" i="2"/>
  <c r="Z3781" i="2"/>
  <c r="AB3781" i="2" s="1"/>
  <c r="AD3781" i="2"/>
  <c r="K3782" i="2"/>
  <c r="L3782" i="2"/>
  <c r="Z3782" i="2"/>
  <c r="AA3782" i="2" s="1"/>
  <c r="AD3782" i="2"/>
  <c r="K3783" i="2"/>
  <c r="L3783" i="2"/>
  <c r="Z3783" i="2"/>
  <c r="AD3783" i="2"/>
  <c r="K3784" i="2"/>
  <c r="L3784" i="2"/>
  <c r="Z3784" i="2"/>
  <c r="AB3784" i="2" s="1"/>
  <c r="AD3784" i="2"/>
  <c r="K3785" i="2"/>
  <c r="L3785" i="2"/>
  <c r="Z3785" i="2"/>
  <c r="AC3785" i="2" s="1"/>
  <c r="AA3785" i="2"/>
  <c r="AD3785" i="2"/>
  <c r="K3786" i="2"/>
  <c r="L3786" i="2"/>
  <c r="Z3786" i="2"/>
  <c r="AA3786" i="2"/>
  <c r="AB3786" i="2"/>
  <c r="AC3786" i="2"/>
  <c r="AD3786" i="2"/>
  <c r="K3787" i="2"/>
  <c r="L3787" i="2"/>
  <c r="Z3787" i="2"/>
  <c r="AD3787" i="2"/>
  <c r="K3788" i="2"/>
  <c r="L3788" i="2"/>
  <c r="Z3788" i="2"/>
  <c r="AB3788" i="2"/>
  <c r="AD3788" i="2"/>
  <c r="K3789" i="2"/>
  <c r="L3789" i="2"/>
  <c r="Z3789" i="2"/>
  <c r="AD3789" i="2"/>
  <c r="K3790" i="2"/>
  <c r="L3790" i="2"/>
  <c r="Z3790" i="2"/>
  <c r="AD3790" i="2"/>
  <c r="K3791" i="2"/>
  <c r="L3791" i="2"/>
  <c r="Z3791" i="2"/>
  <c r="AA3791" i="2" s="1"/>
  <c r="AB3791" i="2"/>
  <c r="AC3791" i="2"/>
  <c r="AD3791" i="2"/>
  <c r="K3792" i="2"/>
  <c r="L3792" i="2"/>
  <c r="Z3792" i="2"/>
  <c r="AA3792" i="2" s="1"/>
  <c r="AB3792" i="2"/>
  <c r="AD3792" i="2"/>
  <c r="K3793" i="2"/>
  <c r="L3793" i="2"/>
  <c r="Z3793" i="2"/>
  <c r="AB3793" i="2" s="1"/>
  <c r="AD3793" i="2"/>
  <c r="K3794" i="2"/>
  <c r="L3794" i="2"/>
  <c r="Z3794" i="2"/>
  <c r="AA3794" i="2" s="1"/>
  <c r="AD3794" i="2"/>
  <c r="K3795" i="2"/>
  <c r="L3795" i="2"/>
  <c r="Z3795" i="2"/>
  <c r="AD3795" i="2"/>
  <c r="K3796" i="2"/>
  <c r="L3796" i="2"/>
  <c r="Z3796" i="2"/>
  <c r="AA3796" i="2"/>
  <c r="AB3796" i="2"/>
  <c r="AC3796" i="2"/>
  <c r="AD3796" i="2"/>
  <c r="K3797" i="2"/>
  <c r="L3797" i="2"/>
  <c r="Z3797" i="2"/>
  <c r="AD3797" i="2"/>
  <c r="K3798" i="2"/>
  <c r="L3798" i="2"/>
  <c r="Z3798" i="2"/>
  <c r="AA3798" i="2"/>
  <c r="AB3798" i="2"/>
  <c r="AC3798" i="2"/>
  <c r="AD3798" i="2"/>
  <c r="K3799" i="2"/>
  <c r="L3799" i="2"/>
  <c r="Z3799" i="2"/>
  <c r="AD3799" i="2"/>
  <c r="K3800" i="2"/>
  <c r="L3800" i="2"/>
  <c r="Z3800" i="2"/>
  <c r="AD3800" i="2"/>
  <c r="K3801" i="2"/>
  <c r="L3801" i="2"/>
  <c r="Z3801" i="2"/>
  <c r="AC3801" i="2" s="1"/>
  <c r="AA3801" i="2"/>
  <c r="AB3801" i="2"/>
  <c r="AD3801" i="2"/>
  <c r="K3802" i="2"/>
  <c r="L3802" i="2"/>
  <c r="Z3802" i="2"/>
  <c r="AD3802" i="2"/>
  <c r="K3803" i="2"/>
  <c r="L3803" i="2"/>
  <c r="Z3803" i="2"/>
  <c r="AC3803" i="2" s="1"/>
  <c r="AD3803" i="2"/>
  <c r="K3804" i="2"/>
  <c r="L3804" i="2"/>
  <c r="Z3804" i="2"/>
  <c r="AD3804" i="2"/>
  <c r="K3805" i="2"/>
  <c r="L3805" i="2"/>
  <c r="Z3805" i="2"/>
  <c r="AB3805" i="2" s="1"/>
  <c r="AD3805" i="2"/>
  <c r="K3806" i="2"/>
  <c r="L3806" i="2"/>
  <c r="Z3806" i="2"/>
  <c r="AA3806" i="2" s="1"/>
  <c r="AD3806" i="2"/>
  <c r="K3807" i="2"/>
  <c r="L3807" i="2"/>
  <c r="Z3807" i="2"/>
  <c r="AD3807" i="2"/>
  <c r="K3808" i="2"/>
  <c r="L3808" i="2"/>
  <c r="Z3808" i="2"/>
  <c r="AA3808" i="2" s="1"/>
  <c r="AB3808" i="2"/>
  <c r="AC3808" i="2"/>
  <c r="AD3808" i="2"/>
  <c r="K3809" i="2"/>
  <c r="L3809" i="2"/>
  <c r="Z3809" i="2"/>
  <c r="AD3809" i="2"/>
  <c r="K3810" i="2"/>
  <c r="L3810" i="2"/>
  <c r="Z3810" i="2"/>
  <c r="AC3810" i="2" s="1"/>
  <c r="AD3810" i="2"/>
  <c r="K3811" i="2"/>
  <c r="L3811" i="2"/>
  <c r="Z3811" i="2"/>
  <c r="AD3811" i="2"/>
  <c r="K3812" i="2"/>
  <c r="L3812" i="2"/>
  <c r="Z3812" i="2"/>
  <c r="AB3812" i="2" s="1"/>
  <c r="AD3812" i="2"/>
  <c r="K3813" i="2"/>
  <c r="L3813" i="2"/>
  <c r="Z3813" i="2"/>
  <c r="AC3813" i="2" s="1"/>
  <c r="AD3813" i="2"/>
  <c r="K3814" i="2"/>
  <c r="L3814" i="2"/>
  <c r="Z3814" i="2"/>
  <c r="AD3814" i="2"/>
  <c r="K3815" i="2"/>
  <c r="L3815" i="2"/>
  <c r="Z3815" i="2"/>
  <c r="AC3815" i="2" s="1"/>
  <c r="AD3815" i="2"/>
  <c r="K3816" i="2"/>
  <c r="L3816" i="2"/>
  <c r="Z3816" i="2"/>
  <c r="AA3816" i="2" s="1"/>
  <c r="AB3816" i="2"/>
  <c r="AD3816" i="2"/>
  <c r="K3817" i="2"/>
  <c r="L3817" i="2"/>
  <c r="Z3817" i="2"/>
  <c r="AB3817" i="2" s="1"/>
  <c r="AC3817" i="2"/>
  <c r="AD3817" i="2"/>
  <c r="K3818" i="2"/>
  <c r="L3818" i="2"/>
  <c r="Z3818" i="2"/>
  <c r="AA3818" i="2" s="1"/>
  <c r="AD3818" i="2"/>
  <c r="K3819" i="2"/>
  <c r="L3819" i="2"/>
  <c r="Z3819" i="2"/>
  <c r="AD3819" i="2"/>
  <c r="K3820" i="2"/>
  <c r="L3820" i="2"/>
  <c r="Z3820" i="2"/>
  <c r="AC3820" i="2"/>
  <c r="AD3820" i="2"/>
  <c r="K3821" i="2"/>
  <c r="L3821" i="2"/>
  <c r="Z3821" i="2"/>
  <c r="AD3821" i="2"/>
  <c r="K3822" i="2"/>
  <c r="L3822" i="2"/>
  <c r="Z3822" i="2"/>
  <c r="AD3822" i="2"/>
  <c r="K3823" i="2"/>
  <c r="L3823" i="2"/>
  <c r="Z3823" i="2"/>
  <c r="AA3823" i="2" s="1"/>
  <c r="AB3823" i="2"/>
  <c r="AC3823" i="2"/>
  <c r="AD3823" i="2"/>
  <c r="K3824" i="2"/>
  <c r="L3824" i="2"/>
  <c r="Z3824" i="2"/>
  <c r="AB3824" i="2" s="1"/>
  <c r="AD3824" i="2"/>
  <c r="K3825" i="2"/>
  <c r="L3825" i="2"/>
  <c r="Z3825" i="2"/>
  <c r="AB3825" i="2" s="1"/>
  <c r="AD3825" i="2"/>
  <c r="K3826" i="2"/>
  <c r="L3826" i="2"/>
  <c r="Z3826" i="2"/>
  <c r="AD3826" i="2"/>
  <c r="K3827" i="2"/>
  <c r="L3827" i="2"/>
  <c r="Z3827" i="2"/>
  <c r="AA3827" i="2" s="1"/>
  <c r="AC3827" i="2"/>
  <c r="AD3827" i="2"/>
  <c r="K3828" i="2"/>
  <c r="L3828" i="2"/>
  <c r="Z3828" i="2"/>
  <c r="AB3828" i="2" s="1"/>
  <c r="AD3828" i="2"/>
  <c r="K3829" i="2"/>
  <c r="L3829" i="2"/>
  <c r="Z3829" i="2"/>
  <c r="AB3829" i="2" s="1"/>
  <c r="AD3829" i="2"/>
  <c r="K3830" i="2"/>
  <c r="L3830" i="2"/>
  <c r="Z3830" i="2"/>
  <c r="AA3830" i="2" s="1"/>
  <c r="AD3830" i="2"/>
  <c r="K3831" i="2"/>
  <c r="L3831" i="2"/>
  <c r="Z3831" i="2"/>
  <c r="AD3831" i="2"/>
  <c r="K3832" i="2"/>
  <c r="L3832" i="2"/>
  <c r="Z3832" i="2"/>
  <c r="AC3832" i="2" s="1"/>
  <c r="AD3832" i="2"/>
  <c r="K3833" i="2"/>
  <c r="L3833" i="2"/>
  <c r="Z3833" i="2"/>
  <c r="AA3833" i="2" s="1"/>
  <c r="AD3833" i="2"/>
  <c r="K3834" i="2"/>
  <c r="L3834" i="2"/>
  <c r="Z3834" i="2"/>
  <c r="AA3834" i="2" s="1"/>
  <c r="AB3834" i="2"/>
  <c r="AD3834" i="2"/>
  <c r="K3835" i="2"/>
  <c r="L3835" i="2"/>
  <c r="Z3835" i="2"/>
  <c r="AA3835" i="2" s="1"/>
  <c r="AD3835" i="2"/>
  <c r="K3836" i="2"/>
  <c r="L3836" i="2"/>
  <c r="Z3836" i="2"/>
  <c r="AB3836" i="2" s="1"/>
  <c r="AD3836" i="2"/>
  <c r="K3837" i="2"/>
  <c r="L3837" i="2"/>
  <c r="Z3837" i="2"/>
  <c r="AA3837" i="2" s="1"/>
  <c r="AD3837" i="2"/>
  <c r="K3838" i="2"/>
  <c r="L3838" i="2"/>
  <c r="Z3838" i="2"/>
  <c r="AD3838" i="2"/>
  <c r="K3839" i="2"/>
  <c r="L3839" i="2"/>
  <c r="Z3839" i="2"/>
  <c r="AA3839" i="2" s="1"/>
  <c r="AB3839" i="2"/>
  <c r="AC3839" i="2"/>
  <c r="AD3839" i="2"/>
  <c r="K3840" i="2"/>
  <c r="L3840" i="2"/>
  <c r="Z3840" i="2"/>
  <c r="AB3840" i="2" s="1"/>
  <c r="AD3840" i="2"/>
  <c r="K3841" i="2"/>
  <c r="L3841" i="2"/>
  <c r="Z3841" i="2"/>
  <c r="AB3841" i="2" s="1"/>
  <c r="AD3841" i="2"/>
  <c r="K3842" i="2"/>
  <c r="L3842" i="2"/>
  <c r="Z3842" i="2"/>
  <c r="AA3842" i="2" s="1"/>
  <c r="AD3842" i="2"/>
  <c r="K3843" i="2"/>
  <c r="L3843" i="2"/>
  <c r="Z3843" i="2"/>
  <c r="AB3843" i="2" s="1"/>
  <c r="AD3843" i="2"/>
  <c r="K3844" i="2"/>
  <c r="L3844" i="2"/>
  <c r="Z3844" i="2"/>
  <c r="AA3844" i="2"/>
  <c r="AB3844" i="2"/>
  <c r="AC3844" i="2"/>
  <c r="AD3844" i="2"/>
  <c r="K3845" i="2"/>
  <c r="L3845" i="2"/>
  <c r="Z3845" i="2"/>
  <c r="AA3845" i="2" s="1"/>
  <c r="AD3845" i="2"/>
  <c r="K3846" i="2"/>
  <c r="L3846" i="2"/>
  <c r="Z3846" i="2"/>
  <c r="AA3846" i="2"/>
  <c r="AB3846" i="2"/>
  <c r="AC3846" i="2"/>
  <c r="AD3846" i="2"/>
  <c r="K3847" i="2"/>
  <c r="L3847" i="2"/>
  <c r="Z3847" i="2"/>
  <c r="AA3847" i="2" s="1"/>
  <c r="AB3847" i="2"/>
  <c r="AC3847" i="2"/>
  <c r="AD3847" i="2"/>
  <c r="K3848" i="2"/>
  <c r="L3848" i="2"/>
  <c r="Z3848" i="2"/>
  <c r="AB3848" i="2" s="1"/>
  <c r="AD3848" i="2"/>
  <c r="K3849" i="2"/>
  <c r="L3849" i="2"/>
  <c r="Z3849" i="2"/>
  <c r="AD3849" i="2"/>
  <c r="K3850" i="2"/>
  <c r="L3850" i="2"/>
  <c r="Z3850" i="2"/>
  <c r="AD3850" i="2"/>
  <c r="K3851" i="2"/>
  <c r="L3851" i="2"/>
  <c r="Z3851" i="2"/>
  <c r="AB3851" i="2"/>
  <c r="AD3851" i="2"/>
  <c r="K3852" i="2"/>
  <c r="L3852" i="2"/>
  <c r="Z3852" i="2"/>
  <c r="AB3852" i="2"/>
  <c r="AD3852" i="2"/>
  <c r="K3853" i="2"/>
  <c r="L3853" i="2"/>
  <c r="Z3853" i="2"/>
  <c r="AB3853" i="2" s="1"/>
  <c r="AC3853" i="2"/>
  <c r="AD3853" i="2"/>
  <c r="K3854" i="2"/>
  <c r="L3854" i="2"/>
  <c r="Z3854" i="2"/>
  <c r="AD3854" i="2"/>
  <c r="K3855" i="2"/>
  <c r="L3855" i="2"/>
  <c r="Z3855" i="2"/>
  <c r="AB3855" i="2" s="1"/>
  <c r="AA3855" i="2"/>
  <c r="AD3855" i="2"/>
  <c r="K3856" i="2"/>
  <c r="L3856" i="2"/>
  <c r="Z3856" i="2"/>
  <c r="AA3856" i="2"/>
  <c r="AD3856" i="2"/>
  <c r="K3857" i="2"/>
  <c r="L3857" i="2"/>
  <c r="Z3857" i="2"/>
  <c r="AA3857" i="2" s="1"/>
  <c r="AC3857" i="2"/>
  <c r="AD3857" i="2"/>
  <c r="K3858" i="2"/>
  <c r="L3858" i="2"/>
  <c r="Z3858" i="2"/>
  <c r="AA3858" i="2"/>
  <c r="AD3858" i="2"/>
  <c r="K3859" i="2"/>
  <c r="L3859" i="2"/>
  <c r="Z3859" i="2"/>
  <c r="AC3859" i="2" s="1"/>
  <c r="AA3859" i="2"/>
  <c r="AB3859" i="2"/>
  <c r="AD3859" i="2"/>
  <c r="K3860" i="2"/>
  <c r="L3860" i="2"/>
  <c r="Z3860" i="2"/>
  <c r="AB3860" i="2" s="1"/>
  <c r="AD3860" i="2"/>
  <c r="K3861" i="2"/>
  <c r="L3861" i="2"/>
  <c r="Z3861" i="2"/>
  <c r="AD3861" i="2"/>
  <c r="K3862" i="2"/>
  <c r="L3862" i="2"/>
  <c r="Z3862" i="2"/>
  <c r="AD3862" i="2"/>
  <c r="K3863" i="2"/>
  <c r="L3863" i="2"/>
  <c r="Z3863" i="2"/>
  <c r="AA3863" i="2" s="1"/>
  <c r="AB3863" i="2"/>
  <c r="AC3863" i="2"/>
  <c r="AD3863" i="2"/>
  <c r="K3864" i="2"/>
  <c r="L3864" i="2"/>
  <c r="Z3864" i="2"/>
  <c r="AB3864" i="2" s="1"/>
  <c r="AD3864" i="2"/>
  <c r="K3865" i="2"/>
  <c r="L3865" i="2"/>
  <c r="Z3865" i="2"/>
  <c r="AB3865" i="2" s="1"/>
  <c r="AC3865" i="2"/>
  <c r="AD3865" i="2"/>
  <c r="K3866" i="2"/>
  <c r="L3866" i="2"/>
  <c r="Z3866" i="2"/>
  <c r="AD3866" i="2"/>
  <c r="K3867" i="2"/>
  <c r="L3867" i="2"/>
  <c r="Z3867" i="2"/>
  <c r="AB3867" i="2" s="1"/>
  <c r="AA3867" i="2"/>
  <c r="AD3867" i="2"/>
  <c r="K3868" i="2"/>
  <c r="L3868" i="2"/>
  <c r="Z3868" i="2"/>
  <c r="AC3868" i="2" s="1"/>
  <c r="AD3868" i="2"/>
  <c r="K3869" i="2"/>
  <c r="L3869" i="2"/>
  <c r="Z3869" i="2"/>
  <c r="AA3869" i="2" s="1"/>
  <c r="AD3869" i="2"/>
  <c r="K3870" i="2"/>
  <c r="L3870" i="2"/>
  <c r="Z3870" i="2"/>
  <c r="AC3870" i="2"/>
  <c r="AD3870" i="2"/>
  <c r="K3871" i="2"/>
  <c r="L3871" i="2"/>
  <c r="Z3871" i="2"/>
  <c r="AA3871" i="2"/>
  <c r="AD3871" i="2"/>
  <c r="K3872" i="2"/>
  <c r="L3872" i="2"/>
  <c r="Z3872" i="2"/>
  <c r="AB3872" i="2"/>
  <c r="AD3872" i="2"/>
  <c r="K3873" i="2"/>
  <c r="L3873" i="2"/>
  <c r="Z3873" i="2"/>
  <c r="AB3873" i="2" s="1"/>
  <c r="AD3873" i="2"/>
  <c r="K3874" i="2"/>
  <c r="L3874" i="2"/>
  <c r="Z3874" i="2"/>
  <c r="AD3874" i="2"/>
  <c r="K3875" i="2"/>
  <c r="L3875" i="2"/>
  <c r="Z3875" i="2"/>
  <c r="AA3875" i="2" s="1"/>
  <c r="AB3875" i="2"/>
  <c r="AC3875" i="2"/>
  <c r="AD3875" i="2"/>
  <c r="K3876" i="2"/>
  <c r="L3876" i="2"/>
  <c r="Z3876" i="2"/>
  <c r="AD3876" i="2"/>
  <c r="K3877" i="2"/>
  <c r="L3877" i="2"/>
  <c r="Z3877" i="2"/>
  <c r="AB3877" i="2" s="1"/>
  <c r="AD3877" i="2"/>
  <c r="K3878" i="2"/>
  <c r="L3878" i="2"/>
  <c r="Z3878" i="2"/>
  <c r="AD3878" i="2"/>
  <c r="K3879" i="2"/>
  <c r="L3879" i="2"/>
  <c r="Z3879" i="2"/>
  <c r="AD3879" i="2"/>
  <c r="K3880" i="2"/>
  <c r="L3880" i="2"/>
  <c r="Z3880" i="2"/>
  <c r="AA3880" i="2"/>
  <c r="AB3880" i="2"/>
  <c r="AC3880" i="2"/>
  <c r="AD3880" i="2"/>
  <c r="K3881" i="2"/>
  <c r="L3881" i="2"/>
  <c r="Z3881" i="2"/>
  <c r="AD3881" i="2"/>
  <c r="K3882" i="2"/>
  <c r="L3882" i="2"/>
  <c r="Z3882" i="2"/>
  <c r="AA3882" i="2"/>
  <c r="AB3882" i="2"/>
  <c r="AC3882" i="2"/>
  <c r="AD3882" i="2"/>
  <c r="K3883" i="2"/>
  <c r="L3883" i="2"/>
  <c r="Z3883" i="2"/>
  <c r="AD3883" i="2"/>
  <c r="K3884" i="2"/>
  <c r="L3884" i="2"/>
  <c r="Z3884" i="2"/>
  <c r="AB3884" i="2" s="1"/>
  <c r="AD3884" i="2"/>
  <c r="K3885" i="2"/>
  <c r="L3885" i="2"/>
  <c r="Z3885" i="2"/>
  <c r="AA3885" i="2" s="1"/>
  <c r="AB3885" i="2"/>
  <c r="AD3885" i="2"/>
  <c r="K3886" i="2"/>
  <c r="L3886" i="2"/>
  <c r="Z3886" i="2"/>
  <c r="AD3886" i="2"/>
  <c r="K3887" i="2"/>
  <c r="L3887" i="2"/>
  <c r="Z3887" i="2"/>
  <c r="AC3887" i="2" s="1"/>
  <c r="AD3887" i="2"/>
  <c r="K3888" i="2"/>
  <c r="L3888" i="2"/>
  <c r="Z3888" i="2"/>
  <c r="AD3888" i="2"/>
  <c r="K3889" i="2"/>
  <c r="L3889" i="2"/>
  <c r="Z3889" i="2"/>
  <c r="AB3889" i="2" s="1"/>
  <c r="AD3889" i="2"/>
  <c r="K3890" i="2"/>
  <c r="L3890" i="2"/>
  <c r="Z3890" i="2"/>
  <c r="AD3890" i="2"/>
  <c r="K3891" i="2"/>
  <c r="L3891" i="2"/>
  <c r="Z3891" i="2"/>
  <c r="AD3891" i="2"/>
  <c r="K3892" i="2"/>
  <c r="L3892" i="2"/>
  <c r="Z3892" i="2"/>
  <c r="AA3892" i="2"/>
  <c r="AB3892" i="2"/>
  <c r="AC3892" i="2"/>
  <c r="AD3892" i="2"/>
  <c r="K3893" i="2"/>
  <c r="L3893" i="2"/>
  <c r="Z3893" i="2"/>
  <c r="AA3893" i="2" s="1"/>
  <c r="AB3893" i="2"/>
  <c r="AC3893" i="2"/>
  <c r="AD3893" i="2"/>
  <c r="K3894" i="2"/>
  <c r="L3894" i="2"/>
  <c r="Z3894" i="2"/>
  <c r="AA3894" i="2" s="1"/>
  <c r="AC3894" i="2"/>
  <c r="AD3894" i="2"/>
  <c r="K3895" i="2"/>
  <c r="L3895" i="2"/>
  <c r="Z3895" i="2"/>
  <c r="AB3895" i="2" s="1"/>
  <c r="AA3895" i="2"/>
  <c r="AD3895" i="2"/>
  <c r="K3896" i="2"/>
  <c r="L3896" i="2"/>
  <c r="Z3896" i="2"/>
  <c r="AB3896" i="2" s="1"/>
  <c r="AD3896" i="2"/>
  <c r="K3897" i="2"/>
  <c r="L3897" i="2"/>
  <c r="Z3897" i="2"/>
  <c r="AB3897" i="2"/>
  <c r="AD3897" i="2"/>
  <c r="K3898" i="2"/>
  <c r="L3898" i="2"/>
  <c r="Z3898" i="2"/>
  <c r="AD3898" i="2"/>
  <c r="K3899" i="2"/>
  <c r="L3899" i="2"/>
  <c r="Z3899" i="2"/>
  <c r="AA3899" i="2" s="1"/>
  <c r="AB3899" i="2"/>
  <c r="AC3899" i="2"/>
  <c r="AD3899" i="2"/>
  <c r="K3900" i="2"/>
  <c r="L3900" i="2"/>
  <c r="Z3900" i="2"/>
  <c r="AA3900" i="2" s="1"/>
  <c r="AB3900" i="2"/>
  <c r="AD3900" i="2"/>
  <c r="K3901" i="2"/>
  <c r="L3901" i="2"/>
  <c r="Z3901" i="2"/>
  <c r="AB3901" i="2" s="1"/>
  <c r="AD3901" i="2"/>
  <c r="K3902" i="2"/>
  <c r="L3902" i="2"/>
  <c r="Z3902" i="2"/>
  <c r="AD3902" i="2"/>
  <c r="K3903" i="2"/>
  <c r="L3903" i="2"/>
  <c r="Z3903" i="2"/>
  <c r="AB3903" i="2" s="1"/>
  <c r="AA3903" i="2"/>
  <c r="AD3903" i="2"/>
  <c r="K3904" i="2"/>
  <c r="L3904" i="2"/>
  <c r="Z3904" i="2"/>
  <c r="AC3904" i="2" s="1"/>
  <c r="AA3904" i="2"/>
  <c r="AD3904" i="2"/>
  <c r="K3905" i="2"/>
  <c r="L3905" i="2"/>
  <c r="Z3905" i="2"/>
  <c r="AA3905" i="2" s="1"/>
  <c r="AC3905" i="2"/>
  <c r="AD3905" i="2"/>
  <c r="K3906" i="2"/>
  <c r="L3906" i="2"/>
  <c r="Z3906" i="2"/>
  <c r="AD3906" i="2"/>
  <c r="K3907" i="2"/>
  <c r="L3907" i="2"/>
  <c r="Z3907" i="2"/>
  <c r="AA3907" i="2"/>
  <c r="AB3907" i="2"/>
  <c r="AC3907" i="2"/>
  <c r="AD3907" i="2"/>
  <c r="K3908" i="2"/>
  <c r="L3908" i="2"/>
  <c r="Z3908" i="2"/>
  <c r="AB3908" i="2" s="1"/>
  <c r="AD3908" i="2"/>
  <c r="K3909" i="2"/>
  <c r="L3909" i="2"/>
  <c r="Z3909" i="2"/>
  <c r="AC3909" i="2"/>
  <c r="AD3909" i="2"/>
  <c r="K3910" i="2"/>
  <c r="L3910" i="2"/>
  <c r="Z3910" i="2"/>
  <c r="AD3910" i="2"/>
  <c r="K3911" i="2"/>
  <c r="L3911" i="2"/>
  <c r="Z3911" i="2"/>
  <c r="AC3911" i="2"/>
  <c r="AD3911" i="2"/>
  <c r="K3912" i="2"/>
  <c r="L3912" i="2"/>
  <c r="Z3912" i="2"/>
  <c r="AA3912" i="2" s="1"/>
  <c r="AD3912" i="2"/>
  <c r="K3913" i="2"/>
  <c r="L3913" i="2"/>
  <c r="Z3913" i="2"/>
  <c r="AB3913" i="2" s="1"/>
  <c r="AC3913" i="2"/>
  <c r="AD3913" i="2"/>
  <c r="K3914" i="2"/>
  <c r="L3914" i="2"/>
  <c r="Z3914" i="2"/>
  <c r="AD3914" i="2"/>
  <c r="K3915" i="2"/>
  <c r="L3915" i="2"/>
  <c r="Z3915" i="2"/>
  <c r="AD3915" i="2"/>
  <c r="K3916" i="2"/>
  <c r="L3916" i="2"/>
  <c r="Z3916" i="2"/>
  <c r="AB3916" i="2" s="1"/>
  <c r="AD3916" i="2"/>
  <c r="K3917" i="2"/>
  <c r="L3917" i="2"/>
  <c r="Z3917" i="2"/>
  <c r="AA3917" i="2" s="1"/>
  <c r="AC3917" i="2"/>
  <c r="AD3917" i="2"/>
  <c r="K3918" i="2"/>
  <c r="L3918" i="2"/>
  <c r="Z3918" i="2"/>
  <c r="AC3918" i="2" s="1"/>
  <c r="AD3918" i="2"/>
  <c r="K3919" i="2"/>
  <c r="L3919" i="2"/>
  <c r="Z3919" i="2"/>
  <c r="AB3919" i="2" s="1"/>
  <c r="AD3919" i="2"/>
  <c r="K3920" i="2"/>
  <c r="L3920" i="2"/>
  <c r="Z3920" i="2"/>
  <c r="AB3920" i="2" s="1"/>
  <c r="AD3920" i="2"/>
  <c r="K3921" i="2"/>
  <c r="L3921" i="2"/>
  <c r="Z3921" i="2"/>
  <c r="AB3921" i="2" s="1"/>
  <c r="AD3921" i="2"/>
  <c r="K3922" i="2"/>
  <c r="L3922" i="2"/>
  <c r="Z3922" i="2"/>
  <c r="AD3922" i="2"/>
  <c r="K3923" i="2"/>
  <c r="L3923" i="2"/>
  <c r="Z3923" i="2"/>
  <c r="AB3923" i="2"/>
  <c r="AD3923" i="2"/>
  <c r="K3924" i="2"/>
  <c r="L3924" i="2"/>
  <c r="Z3924" i="2"/>
  <c r="AA3924" i="2" s="1"/>
  <c r="AD3924" i="2"/>
  <c r="K3925" i="2"/>
  <c r="L3925" i="2"/>
  <c r="Z3925" i="2"/>
  <c r="AD3925" i="2"/>
  <c r="K3926" i="2"/>
  <c r="L3926" i="2"/>
  <c r="Z3926" i="2"/>
  <c r="AD3926" i="2"/>
  <c r="K3927" i="2"/>
  <c r="L3927" i="2"/>
  <c r="Z3927" i="2"/>
  <c r="AD3927" i="2"/>
  <c r="K3928" i="2"/>
  <c r="L3928" i="2"/>
  <c r="Z3928" i="2"/>
  <c r="AB3928" i="2" s="1"/>
  <c r="AA3928" i="2"/>
  <c r="AC3928" i="2"/>
  <c r="AD3928" i="2"/>
  <c r="K3929" i="2"/>
  <c r="L3929" i="2"/>
  <c r="Z3929" i="2"/>
  <c r="AA3929" i="2" s="1"/>
  <c r="AC3929" i="2"/>
  <c r="AD3929" i="2"/>
  <c r="K3930" i="2"/>
  <c r="L3930" i="2"/>
  <c r="Z3930" i="2"/>
  <c r="AB3930" i="2" s="1"/>
  <c r="AA3930" i="2"/>
  <c r="AC3930" i="2"/>
  <c r="AD3930" i="2"/>
  <c r="K3931" i="2"/>
  <c r="L3931" i="2"/>
  <c r="Z3931" i="2"/>
  <c r="AB3931" i="2" s="1"/>
  <c r="AA3931" i="2"/>
  <c r="AD3931" i="2"/>
  <c r="K3932" i="2"/>
  <c r="L3932" i="2"/>
  <c r="Z3932" i="2"/>
  <c r="AB3932" i="2"/>
  <c r="AD3932" i="2"/>
  <c r="K3933" i="2"/>
  <c r="L3933" i="2"/>
  <c r="Z3933" i="2"/>
  <c r="AA3933" i="2" s="1"/>
  <c r="AD3933" i="2"/>
  <c r="K3934" i="2"/>
  <c r="L3934" i="2"/>
  <c r="Z3934" i="2"/>
  <c r="AD3934" i="2"/>
  <c r="K3935" i="2"/>
  <c r="L3935" i="2"/>
  <c r="Z3935" i="2"/>
  <c r="AA3935" i="2" s="1"/>
  <c r="AB3935" i="2"/>
  <c r="AC3935" i="2"/>
  <c r="AD3935" i="2"/>
  <c r="K3936" i="2"/>
  <c r="L3936" i="2"/>
  <c r="Z3936" i="2"/>
  <c r="AA3936" i="2" s="1"/>
  <c r="AB3936" i="2"/>
  <c r="AD3936" i="2"/>
  <c r="K3937" i="2"/>
  <c r="L3937" i="2"/>
  <c r="Z3937" i="2"/>
  <c r="AB3937" i="2" s="1"/>
  <c r="AD3937" i="2"/>
  <c r="K3938" i="2"/>
  <c r="L3938" i="2"/>
  <c r="Z3938" i="2"/>
  <c r="AD3938" i="2"/>
  <c r="K3939" i="2"/>
  <c r="L3939" i="2"/>
  <c r="Z3939" i="2"/>
  <c r="AB3939" i="2" s="1"/>
  <c r="AA3939" i="2"/>
  <c r="AD3939" i="2"/>
  <c r="K3940" i="2"/>
  <c r="L3940" i="2"/>
  <c r="Z3940" i="2"/>
  <c r="AC3940" i="2" s="1"/>
  <c r="AA3940" i="2"/>
  <c r="AB3940" i="2"/>
  <c r="AD3940" i="2"/>
  <c r="K3941" i="2"/>
  <c r="L3941" i="2"/>
  <c r="Z3941" i="2"/>
  <c r="AA3941" i="2" s="1"/>
  <c r="AC3941" i="2"/>
  <c r="AD3941" i="2"/>
  <c r="K3942" i="2"/>
  <c r="L3942" i="2"/>
  <c r="Z3942" i="2"/>
  <c r="AC3942" i="2" s="1"/>
  <c r="AA3942" i="2"/>
  <c r="AB3942" i="2"/>
  <c r="AD3942" i="2"/>
  <c r="K3943" i="2"/>
  <c r="L3943" i="2"/>
  <c r="Z3943" i="2"/>
  <c r="AB3943" i="2" s="1"/>
  <c r="AC3943" i="2"/>
  <c r="AD3943" i="2"/>
  <c r="K3944" i="2"/>
  <c r="L3944" i="2"/>
  <c r="Z3944" i="2"/>
  <c r="AB3944" i="2" s="1"/>
  <c r="AD3944" i="2"/>
  <c r="K3945" i="2"/>
  <c r="L3945" i="2"/>
  <c r="Z3945" i="2"/>
  <c r="AB3945" i="2"/>
  <c r="AD3945" i="2"/>
  <c r="K3946" i="2"/>
  <c r="L3946" i="2"/>
  <c r="Z3946" i="2"/>
  <c r="AD3946" i="2"/>
  <c r="K3947" i="2"/>
  <c r="L3947" i="2"/>
  <c r="Z3947" i="2"/>
  <c r="AA3947" i="2" s="1"/>
  <c r="AB3947" i="2"/>
  <c r="AC3947" i="2"/>
  <c r="AD3947" i="2"/>
  <c r="K3948" i="2"/>
  <c r="L3948" i="2"/>
  <c r="Z3948" i="2"/>
  <c r="AD3948" i="2"/>
  <c r="K3949" i="2"/>
  <c r="L3949" i="2"/>
  <c r="Z3949" i="2"/>
  <c r="AA3949" i="2"/>
  <c r="AD3949" i="2"/>
  <c r="K3950" i="2"/>
  <c r="L3950" i="2"/>
  <c r="Z3950" i="2"/>
  <c r="AD3950" i="2"/>
  <c r="K3951" i="2"/>
  <c r="L3951" i="2"/>
  <c r="Z3951" i="2"/>
  <c r="AB3951" i="2" s="1"/>
  <c r="AD3951" i="2"/>
  <c r="K3952" i="2"/>
  <c r="L3952" i="2"/>
  <c r="Z3952" i="2"/>
  <c r="AB3952" i="2" s="1"/>
  <c r="AA3952" i="2"/>
  <c r="AC3952" i="2"/>
  <c r="AD3952" i="2"/>
  <c r="K3953" i="2"/>
  <c r="L3953" i="2"/>
  <c r="Z3953" i="2"/>
  <c r="AA3953" i="2" s="1"/>
  <c r="AD3953" i="2"/>
  <c r="K3954" i="2"/>
  <c r="L3954" i="2"/>
  <c r="Z3954" i="2"/>
  <c r="AD3954" i="2"/>
  <c r="K3955" i="2"/>
  <c r="L3955" i="2"/>
  <c r="Z3955" i="2"/>
  <c r="AA3955" i="2" s="1"/>
  <c r="AD3955" i="2"/>
  <c r="K3956" i="2"/>
  <c r="L3956" i="2"/>
  <c r="Z3956" i="2"/>
  <c r="AB3956" i="2"/>
  <c r="AD3956" i="2"/>
  <c r="K3957" i="2"/>
  <c r="L3957" i="2"/>
  <c r="Z3957" i="2"/>
  <c r="AA3957" i="2" s="1"/>
  <c r="AD3957" i="2"/>
  <c r="K3958" i="2"/>
  <c r="L3958" i="2"/>
  <c r="Z3958" i="2"/>
  <c r="AD3958" i="2"/>
  <c r="K3959" i="2"/>
  <c r="L3959" i="2"/>
  <c r="Z3959" i="2"/>
  <c r="AA3959" i="2" s="1"/>
  <c r="AC3959" i="2"/>
  <c r="AD3959" i="2"/>
  <c r="K3960" i="2"/>
  <c r="L3960" i="2"/>
  <c r="Z3960" i="2"/>
  <c r="AA3960" i="2" s="1"/>
  <c r="AD3960" i="2"/>
  <c r="K3961" i="2"/>
  <c r="L3961" i="2"/>
  <c r="Z3961" i="2"/>
  <c r="AB3961" i="2" s="1"/>
  <c r="AA3961" i="2"/>
  <c r="AC3961" i="2"/>
  <c r="AD3961" i="2"/>
  <c r="K3962" i="2"/>
  <c r="L3962" i="2"/>
  <c r="Z3962" i="2"/>
  <c r="AD3962" i="2"/>
  <c r="K3963" i="2"/>
  <c r="L3963" i="2"/>
  <c r="Z3963" i="2"/>
  <c r="AD3963" i="2"/>
  <c r="K3964" i="2"/>
  <c r="L3964" i="2"/>
  <c r="Z3964" i="2"/>
  <c r="AA3964" i="2" s="1"/>
  <c r="AD3964" i="2"/>
  <c r="K3965" i="2"/>
  <c r="L3965" i="2"/>
  <c r="Z3965" i="2"/>
  <c r="AA3965" i="2" s="1"/>
  <c r="AC3965" i="2"/>
  <c r="AD3965" i="2"/>
  <c r="K3966" i="2"/>
  <c r="L3966" i="2"/>
  <c r="Z3966" i="2"/>
  <c r="AA3966" i="2" s="1"/>
  <c r="AD3966" i="2"/>
  <c r="K3967" i="2"/>
  <c r="L3967" i="2"/>
  <c r="Z3967" i="2"/>
  <c r="AD3967" i="2"/>
  <c r="K3968" i="2"/>
  <c r="L3968" i="2"/>
  <c r="Z3968" i="2"/>
  <c r="AB3968" i="2" s="1"/>
  <c r="AD3968" i="2"/>
  <c r="K3969" i="2"/>
  <c r="L3969" i="2"/>
  <c r="Z3969" i="2"/>
  <c r="AA3969" i="2" s="1"/>
  <c r="AD3969" i="2"/>
  <c r="K3970" i="2"/>
  <c r="L3970" i="2"/>
  <c r="Z3970" i="2"/>
  <c r="AD3970" i="2"/>
  <c r="K3971" i="2"/>
  <c r="L3971" i="2"/>
  <c r="Z3971" i="2"/>
  <c r="AA3971" i="2" s="1"/>
  <c r="AB3971" i="2"/>
  <c r="AC3971" i="2"/>
  <c r="AD3971" i="2"/>
  <c r="K3972" i="2"/>
  <c r="L3972" i="2"/>
  <c r="Z3972" i="2"/>
  <c r="AD3972" i="2"/>
  <c r="K3973" i="2"/>
  <c r="L3973" i="2"/>
  <c r="Z3973" i="2"/>
  <c r="AB3973" i="2" s="1"/>
  <c r="AA3973" i="2"/>
  <c r="AC3973" i="2"/>
  <c r="AD3973" i="2"/>
  <c r="K3974" i="2"/>
  <c r="L3974" i="2"/>
  <c r="Z3974" i="2"/>
  <c r="AD3974" i="2"/>
  <c r="K3975" i="2"/>
  <c r="L3975" i="2"/>
  <c r="Z3975" i="2"/>
  <c r="AB3975" i="2" s="1"/>
  <c r="AD3975" i="2"/>
  <c r="K3976" i="2"/>
  <c r="L3976" i="2"/>
  <c r="Z3976" i="2"/>
  <c r="AC3976" i="2" s="1"/>
  <c r="AA3976" i="2"/>
  <c r="AB3976" i="2"/>
  <c r="AD3976" i="2"/>
  <c r="K3977" i="2"/>
  <c r="L3977" i="2"/>
  <c r="Z3977" i="2"/>
  <c r="AA3977" i="2" s="1"/>
  <c r="AD3977" i="2"/>
  <c r="K3978" i="2"/>
  <c r="L3978" i="2"/>
  <c r="Z3978" i="2"/>
  <c r="AC3978" i="2" s="1"/>
  <c r="AA3978" i="2"/>
  <c r="AB3978" i="2"/>
  <c r="AD3978" i="2"/>
  <c r="K3979" i="2"/>
  <c r="L3979" i="2"/>
  <c r="Z3979" i="2"/>
  <c r="AB3979" i="2" s="1"/>
  <c r="AD3979" i="2"/>
  <c r="K3980" i="2"/>
  <c r="L3980" i="2"/>
  <c r="Z3980" i="2"/>
  <c r="AB3980" i="2"/>
  <c r="AD3980" i="2"/>
  <c r="K3981" i="2"/>
  <c r="L3981" i="2"/>
  <c r="Z3981" i="2"/>
  <c r="AA3981" i="2" s="1"/>
  <c r="AD3981" i="2"/>
  <c r="K3982" i="2"/>
  <c r="L3982" i="2"/>
  <c r="Z3982" i="2"/>
  <c r="AD3982" i="2"/>
  <c r="K3983" i="2"/>
  <c r="L3983" i="2"/>
  <c r="Z3983" i="2"/>
  <c r="AA3983" i="2" s="1"/>
  <c r="AB3983" i="2"/>
  <c r="AD3983" i="2"/>
  <c r="K3984" i="2"/>
  <c r="L3984" i="2"/>
  <c r="Z3984" i="2"/>
  <c r="AA3984" i="2" s="1"/>
  <c r="AB3984" i="2"/>
  <c r="AD3984" i="2"/>
  <c r="K3985" i="2"/>
  <c r="L3985" i="2"/>
  <c r="Z3985" i="2"/>
  <c r="AD3985" i="2"/>
  <c r="K3986" i="2"/>
  <c r="L3986" i="2"/>
  <c r="Z3986" i="2"/>
  <c r="AD3986" i="2"/>
  <c r="K3987" i="2"/>
  <c r="L3987" i="2"/>
  <c r="Z3987" i="2"/>
  <c r="AB3987" i="2" s="1"/>
  <c r="AD3987" i="2"/>
  <c r="K3988" i="2"/>
  <c r="L3988" i="2"/>
  <c r="Z3988" i="2"/>
  <c r="AD3988" i="2"/>
  <c r="K3989" i="2"/>
  <c r="L3989" i="2"/>
  <c r="Z3989" i="2"/>
  <c r="AA3989" i="2" s="1"/>
  <c r="AD3989" i="2"/>
  <c r="K3990" i="2"/>
  <c r="L3990" i="2"/>
  <c r="Z3990" i="2"/>
  <c r="AD3990" i="2"/>
  <c r="K3991" i="2"/>
  <c r="L3991" i="2"/>
  <c r="Z3991" i="2"/>
  <c r="AB3991" i="2" s="1"/>
  <c r="AD3991" i="2"/>
  <c r="K3992" i="2"/>
  <c r="L3992" i="2"/>
  <c r="Z3992" i="2"/>
  <c r="AD3992" i="2"/>
  <c r="K3993" i="2"/>
  <c r="L3993" i="2"/>
  <c r="Z3993" i="2"/>
  <c r="AA3993" i="2" s="1"/>
  <c r="AD3993" i="2"/>
  <c r="K3994" i="2"/>
  <c r="L3994" i="2"/>
  <c r="Z3994" i="2"/>
  <c r="AD3994" i="2"/>
  <c r="K3995" i="2"/>
  <c r="L3995" i="2"/>
  <c r="Z3995" i="2"/>
  <c r="AA3995" i="2" s="1"/>
  <c r="AD3995" i="2"/>
  <c r="K3996" i="2"/>
  <c r="L3996" i="2"/>
  <c r="Z3996" i="2"/>
  <c r="AA3996" i="2" s="1"/>
  <c r="AB3996" i="2"/>
  <c r="AD3996" i="2"/>
  <c r="K3997" i="2"/>
  <c r="L3997" i="2"/>
  <c r="Z3997" i="2"/>
  <c r="AB3997" i="2" s="1"/>
  <c r="AD3997" i="2"/>
  <c r="K3998" i="2"/>
  <c r="L3998" i="2"/>
  <c r="Z3998" i="2"/>
  <c r="AD3998" i="2"/>
  <c r="K3999" i="2"/>
  <c r="L3999" i="2"/>
  <c r="Z3999" i="2"/>
  <c r="AB3999" i="2" s="1"/>
  <c r="AA3999" i="2"/>
  <c r="AD3999" i="2"/>
  <c r="K4000" i="2"/>
  <c r="L4000" i="2"/>
  <c r="Z4000" i="2"/>
  <c r="AC4000" i="2" s="1"/>
  <c r="AD4000" i="2"/>
  <c r="K4001" i="2"/>
  <c r="L4001" i="2"/>
  <c r="Z4001" i="2"/>
  <c r="AA4001" i="2" s="1"/>
  <c r="AC4001" i="2"/>
  <c r="AD4001" i="2"/>
  <c r="K4002" i="2"/>
  <c r="L4002" i="2"/>
  <c r="Z4002" i="2"/>
  <c r="AC4002" i="2" s="1"/>
  <c r="AA4002" i="2"/>
  <c r="AB4002" i="2"/>
  <c r="AD4002" i="2"/>
  <c r="K4003" i="2"/>
  <c r="L4003" i="2"/>
  <c r="Z4003" i="2"/>
  <c r="AB4003" i="2" s="1"/>
  <c r="AA4003" i="2"/>
  <c r="AC4003" i="2"/>
  <c r="AD4003" i="2"/>
  <c r="K4004" i="2"/>
  <c r="L4004" i="2"/>
  <c r="Z4004" i="2"/>
  <c r="AB4004" i="2" s="1"/>
  <c r="AD4004" i="2"/>
  <c r="K4005" i="2"/>
  <c r="L4005" i="2"/>
  <c r="Z4005" i="2"/>
  <c r="AA4005" i="2" s="1"/>
  <c r="AB4005" i="2"/>
  <c r="AD4005" i="2"/>
  <c r="K4006" i="2"/>
  <c r="L4006" i="2"/>
  <c r="Z4006" i="2"/>
  <c r="AD4006" i="2"/>
  <c r="K4007" i="2"/>
  <c r="L4007" i="2"/>
  <c r="Z4007" i="2"/>
  <c r="AA4007" i="2" s="1"/>
  <c r="AD4007" i="2"/>
  <c r="K4008" i="2"/>
  <c r="L4008" i="2"/>
  <c r="Z4008" i="2"/>
  <c r="AD4008" i="2"/>
  <c r="K4009" i="2"/>
  <c r="L4009" i="2"/>
  <c r="Z4009" i="2"/>
  <c r="AB4009" i="2" s="1"/>
  <c r="AD4009" i="2"/>
  <c r="K4010" i="2"/>
  <c r="L4010" i="2"/>
  <c r="Z4010" i="2"/>
  <c r="AD4010" i="2"/>
  <c r="K4011" i="2"/>
  <c r="L4011" i="2"/>
  <c r="Z4011" i="2"/>
  <c r="AB4011" i="2" s="1"/>
  <c r="AD4011" i="2"/>
  <c r="K4012" i="2"/>
  <c r="L4012" i="2"/>
  <c r="Z4012" i="2"/>
  <c r="AB4012" i="2" s="1"/>
  <c r="AA4012" i="2"/>
  <c r="AC4012" i="2"/>
  <c r="AD4012" i="2"/>
  <c r="K4013" i="2"/>
  <c r="L4013" i="2"/>
  <c r="Z4013" i="2"/>
  <c r="AA4013" i="2" s="1"/>
  <c r="AD4013" i="2"/>
  <c r="K4014" i="2"/>
  <c r="L4014" i="2"/>
  <c r="Z4014" i="2"/>
  <c r="AD4014" i="2"/>
  <c r="K4015" i="2"/>
  <c r="L4015" i="2"/>
  <c r="Z4015" i="2"/>
  <c r="AA4015" i="2" s="1"/>
  <c r="AC4015" i="2"/>
  <c r="AD4015" i="2"/>
  <c r="K4016" i="2"/>
  <c r="L4016" i="2"/>
  <c r="Z4016" i="2"/>
  <c r="AB4016" i="2" s="1"/>
  <c r="AD4016" i="2"/>
  <c r="K4017" i="2"/>
  <c r="L4017" i="2"/>
  <c r="Z4017" i="2"/>
  <c r="AA4017" i="2" s="1"/>
  <c r="AD4017" i="2"/>
  <c r="K4018" i="2"/>
  <c r="L4018" i="2"/>
  <c r="Z4018" i="2"/>
  <c r="AD4018" i="2"/>
  <c r="K4019" i="2"/>
  <c r="L4019" i="2"/>
  <c r="Z4019" i="2"/>
  <c r="AB4019" i="2"/>
  <c r="AD4019" i="2"/>
  <c r="K4020" i="2"/>
  <c r="L4020" i="2"/>
  <c r="Z4020" i="2"/>
  <c r="AA4020" i="2" s="1"/>
  <c r="AD4020" i="2"/>
  <c r="K4021" i="2"/>
  <c r="L4021" i="2"/>
  <c r="Z4021" i="2"/>
  <c r="AB4021" i="2" s="1"/>
  <c r="AA4021" i="2"/>
  <c r="AC4021" i="2"/>
  <c r="AD4021" i="2"/>
  <c r="K4022" i="2"/>
  <c r="L4022" i="2"/>
  <c r="Z4022" i="2"/>
  <c r="AD4022" i="2"/>
  <c r="K4023" i="2"/>
  <c r="L4023" i="2"/>
  <c r="Z4023" i="2"/>
  <c r="AB4023" i="2" s="1"/>
  <c r="AA4023" i="2"/>
  <c r="AD4023" i="2"/>
  <c r="K4024" i="2"/>
  <c r="L4024" i="2"/>
  <c r="Z4024" i="2"/>
  <c r="AD4024" i="2"/>
  <c r="K4025" i="2"/>
  <c r="L4025" i="2"/>
  <c r="Z4025" i="2"/>
  <c r="AA4025" i="2" s="1"/>
  <c r="AC4025" i="2"/>
  <c r="AD4025" i="2"/>
  <c r="K4026" i="2"/>
  <c r="L4026" i="2"/>
  <c r="Z4026" i="2"/>
  <c r="AA4026" i="2" s="1"/>
  <c r="AC4026" i="2"/>
  <c r="AD4026" i="2"/>
  <c r="K4027" i="2"/>
  <c r="L4027" i="2"/>
  <c r="Z4027" i="2"/>
  <c r="AB4027" i="2" s="1"/>
  <c r="AA4027" i="2"/>
  <c r="AC4027" i="2"/>
  <c r="AD4027" i="2"/>
  <c r="K4028" i="2"/>
  <c r="L4028" i="2"/>
  <c r="Z4028" i="2"/>
  <c r="AB4028" i="2"/>
  <c r="AD4028" i="2"/>
  <c r="K4029" i="2"/>
  <c r="L4029" i="2"/>
  <c r="Z4029" i="2"/>
  <c r="AA4029" i="2" s="1"/>
  <c r="AB4029" i="2"/>
  <c r="AD4029" i="2"/>
  <c r="K4030" i="2"/>
  <c r="L4030" i="2"/>
  <c r="Z4030" i="2"/>
  <c r="AD4030" i="2"/>
  <c r="K4031" i="2"/>
  <c r="L4031" i="2"/>
  <c r="Z4031" i="2"/>
  <c r="AA4031" i="2" s="1"/>
  <c r="AD4031" i="2"/>
  <c r="K4032" i="2"/>
  <c r="L4032" i="2"/>
  <c r="Z4032" i="2"/>
  <c r="AA4032" i="2" s="1"/>
  <c r="AD4032" i="2"/>
  <c r="K4033" i="2"/>
  <c r="L4033" i="2"/>
  <c r="Z4033" i="2"/>
  <c r="AB4033" i="2" s="1"/>
  <c r="AD4033" i="2"/>
  <c r="K4034" i="2"/>
  <c r="L4034" i="2"/>
  <c r="Z4034" i="2"/>
  <c r="AD4034" i="2"/>
  <c r="K4035" i="2"/>
  <c r="L4035" i="2"/>
  <c r="Z4035" i="2"/>
  <c r="AB4035" i="2" s="1"/>
  <c r="AA4035" i="2"/>
  <c r="AD4035" i="2"/>
  <c r="K4036" i="2"/>
  <c r="L4036" i="2"/>
  <c r="Z4036" i="2"/>
  <c r="AB4036" i="2"/>
  <c r="AD4036" i="2"/>
  <c r="K4037" i="2"/>
  <c r="L4037" i="2"/>
  <c r="Z4037" i="2"/>
  <c r="AA4037" i="2" s="1"/>
  <c r="AC4037" i="2"/>
  <c r="AD4037" i="2"/>
  <c r="K4038" i="2"/>
  <c r="L4038" i="2"/>
  <c r="Z4038" i="2"/>
  <c r="AB4038" i="2" s="1"/>
  <c r="AD4038" i="2"/>
  <c r="K4039" i="2"/>
  <c r="L4039" i="2"/>
  <c r="Z4039" i="2"/>
  <c r="AC4039" i="2" s="1"/>
  <c r="AD4039" i="2"/>
  <c r="K4040" i="2"/>
  <c r="L4040" i="2"/>
  <c r="Z4040" i="2"/>
  <c r="AB4040" i="2" s="1"/>
  <c r="AD4040" i="2"/>
  <c r="K4041" i="2"/>
  <c r="L4041" i="2"/>
  <c r="Z4041" i="2"/>
  <c r="AB4041" i="2"/>
  <c r="AD4041" i="2"/>
  <c r="K4042" i="2"/>
  <c r="L4042" i="2"/>
  <c r="Z4042" i="2"/>
  <c r="AD4042" i="2"/>
  <c r="K4043" i="2"/>
  <c r="L4043" i="2"/>
  <c r="Z4043" i="2"/>
  <c r="AA4043" i="2" s="1"/>
  <c r="AD4043" i="2"/>
  <c r="K4044" i="2"/>
  <c r="L4044" i="2"/>
  <c r="Z4044" i="2"/>
  <c r="AA4044" i="2" s="1"/>
  <c r="AB4044" i="2"/>
  <c r="AD4044" i="2"/>
  <c r="K4045" i="2"/>
  <c r="L4045" i="2"/>
  <c r="Z4045" i="2"/>
  <c r="AB4045" i="2" s="1"/>
  <c r="AD4045" i="2"/>
  <c r="K4046" i="2"/>
  <c r="L4046" i="2"/>
  <c r="Z4046" i="2"/>
  <c r="AD4046" i="2"/>
  <c r="K4047" i="2"/>
  <c r="L4047" i="2"/>
  <c r="Z4047" i="2"/>
  <c r="AD4047" i="2"/>
  <c r="K4048" i="2"/>
  <c r="L4048" i="2"/>
  <c r="Z4048" i="2"/>
  <c r="AC4048" i="2" s="1"/>
  <c r="AA4048" i="2"/>
  <c r="AB4048" i="2"/>
  <c r="AD4048" i="2"/>
  <c r="K4049" i="2"/>
  <c r="L4049" i="2"/>
  <c r="Z4049" i="2"/>
  <c r="AD4049" i="2"/>
  <c r="K4050" i="2"/>
  <c r="L4050" i="2"/>
  <c r="Z4050" i="2"/>
  <c r="AA4050" i="2" s="1"/>
  <c r="AD4050" i="2"/>
  <c r="K4051" i="2"/>
  <c r="L4051" i="2"/>
  <c r="Z4051" i="2"/>
  <c r="AD4051" i="2"/>
  <c r="K4052" i="2"/>
  <c r="L4052" i="2"/>
  <c r="Z4052" i="2"/>
  <c r="AB4052" i="2" s="1"/>
  <c r="AD4052" i="2"/>
  <c r="K4053" i="2"/>
  <c r="L4053" i="2"/>
  <c r="Z4053" i="2"/>
  <c r="AC4053" i="2"/>
  <c r="AD4053" i="2"/>
  <c r="K4054" i="2"/>
  <c r="L4054" i="2"/>
  <c r="Z4054" i="2"/>
  <c r="AD4054" i="2"/>
  <c r="K4055" i="2"/>
  <c r="L4055" i="2"/>
  <c r="Z4055" i="2"/>
  <c r="AB4055" i="2" s="1"/>
  <c r="AD4055" i="2"/>
  <c r="K4056" i="2"/>
  <c r="L4056" i="2"/>
  <c r="Z4056" i="2"/>
  <c r="AD4056" i="2"/>
  <c r="K4057" i="2"/>
  <c r="L4057" i="2"/>
  <c r="Z4057" i="2"/>
  <c r="AD4057" i="2"/>
  <c r="K4058" i="2"/>
  <c r="L4058" i="2"/>
  <c r="Z4058" i="2"/>
  <c r="AD4058" i="2"/>
  <c r="K4059" i="2"/>
  <c r="L4059" i="2"/>
  <c r="Z4059" i="2"/>
  <c r="AB4059" i="2" s="1"/>
  <c r="AD4059" i="2"/>
  <c r="K4060" i="2"/>
  <c r="L4060" i="2"/>
  <c r="Z4060" i="2"/>
  <c r="AA4060" i="2"/>
  <c r="AD4060" i="2"/>
  <c r="K4061" i="2"/>
  <c r="L4061" i="2"/>
  <c r="Z4061" i="2"/>
  <c r="AC4061" i="2" s="1"/>
  <c r="AA4061" i="2"/>
  <c r="AB4061" i="2"/>
  <c r="AD4061" i="2"/>
  <c r="K4062" i="2"/>
  <c r="L4062" i="2"/>
  <c r="Z4062" i="2"/>
  <c r="AC4062" i="2" s="1"/>
  <c r="AD4062" i="2"/>
  <c r="K4063" i="2"/>
  <c r="L4063" i="2"/>
  <c r="Z4063" i="2"/>
  <c r="AD4063" i="2"/>
  <c r="K4064" i="2"/>
  <c r="L4064" i="2"/>
  <c r="Z4064" i="2"/>
  <c r="AB4064" i="2" s="1"/>
  <c r="AD4064" i="2"/>
  <c r="K4065" i="2"/>
  <c r="L4065" i="2"/>
  <c r="Z4065" i="2"/>
  <c r="AA4065" i="2" s="1"/>
  <c r="AD4065" i="2"/>
  <c r="K4066" i="2"/>
  <c r="L4066" i="2"/>
  <c r="Z4066" i="2"/>
  <c r="AD4066" i="2"/>
  <c r="K4067" i="2"/>
  <c r="L4067" i="2"/>
  <c r="Z4067" i="2"/>
  <c r="AA4067" i="2" s="1"/>
  <c r="AB4067" i="2"/>
  <c r="AC4067" i="2"/>
  <c r="AD4067" i="2"/>
  <c r="K4068" i="2"/>
  <c r="L4068" i="2"/>
  <c r="Z4068" i="2"/>
  <c r="AD4068" i="2"/>
  <c r="K4069" i="2"/>
  <c r="L4069" i="2"/>
  <c r="Z4069" i="2"/>
  <c r="AB4069" i="2" s="1"/>
  <c r="AD4069" i="2"/>
  <c r="K4070" i="2"/>
  <c r="L4070" i="2"/>
  <c r="Z4070" i="2"/>
  <c r="AD4070" i="2"/>
  <c r="K4071" i="2"/>
  <c r="L4071" i="2"/>
  <c r="Z4071" i="2"/>
  <c r="AD4071" i="2"/>
  <c r="K4072" i="2"/>
  <c r="L4072" i="2"/>
  <c r="Z4072" i="2"/>
  <c r="AB4072" i="2" s="1"/>
  <c r="AA4072" i="2"/>
  <c r="AC4072" i="2"/>
  <c r="AD4072" i="2"/>
  <c r="K4073" i="2"/>
  <c r="L4073" i="2"/>
  <c r="Z4073" i="2"/>
  <c r="AD4073" i="2"/>
  <c r="K4074" i="2"/>
  <c r="L4074" i="2"/>
  <c r="Z4074" i="2"/>
  <c r="AA4074" i="2" s="1"/>
  <c r="AD4074" i="2"/>
  <c r="K4075" i="2"/>
  <c r="L4075" i="2"/>
  <c r="Z4075" i="2"/>
  <c r="AB4075" i="2" s="1"/>
  <c r="AA4075" i="2"/>
  <c r="AD4075" i="2"/>
  <c r="K4076" i="2"/>
  <c r="L4076" i="2"/>
  <c r="Z4076" i="2"/>
  <c r="AB4076" i="2" s="1"/>
  <c r="AD4076" i="2"/>
  <c r="K4077" i="2"/>
  <c r="L4077" i="2"/>
  <c r="Z4077" i="2"/>
  <c r="AD4077" i="2"/>
  <c r="K4078" i="2"/>
  <c r="L4078" i="2"/>
  <c r="Z4078" i="2"/>
  <c r="AD4078" i="2"/>
  <c r="K4079" i="2"/>
  <c r="L4079" i="2"/>
  <c r="Z4079" i="2"/>
  <c r="AC4079" i="2" s="1"/>
  <c r="AD4079" i="2"/>
  <c r="K4080" i="2"/>
  <c r="L4080" i="2"/>
  <c r="Z4080" i="2"/>
  <c r="AA4080" i="2" s="1"/>
  <c r="AD4080" i="2"/>
  <c r="K4081" i="2"/>
  <c r="L4081" i="2"/>
  <c r="Z4081" i="2"/>
  <c r="AB4081" i="2" s="1"/>
  <c r="AD4081" i="2"/>
  <c r="K4082" i="2"/>
  <c r="L4082" i="2"/>
  <c r="Z4082" i="2"/>
  <c r="AD4082" i="2"/>
  <c r="K4083" i="2"/>
  <c r="L4083" i="2"/>
  <c r="Z4083" i="2"/>
  <c r="AB4083" i="2" s="1"/>
  <c r="AA4083" i="2"/>
  <c r="AC4083" i="2"/>
  <c r="AD4083" i="2"/>
  <c r="K4084" i="2"/>
  <c r="L4084" i="2"/>
  <c r="Z4084" i="2"/>
  <c r="AD4084" i="2"/>
  <c r="K4085" i="2"/>
  <c r="L4085" i="2"/>
  <c r="Z4085" i="2"/>
  <c r="AA4085" i="2"/>
  <c r="AB4085" i="2"/>
  <c r="AC4085" i="2"/>
  <c r="AD4085" i="2"/>
  <c r="K4086" i="2"/>
  <c r="L4086" i="2"/>
  <c r="Z4086" i="2"/>
  <c r="AC4086" i="2" s="1"/>
  <c r="AA4086" i="2"/>
  <c r="AB4086" i="2"/>
  <c r="AD4086" i="2"/>
  <c r="K4087" i="2"/>
  <c r="L4087" i="2"/>
  <c r="Z4087" i="2"/>
  <c r="AB4087" i="2" s="1"/>
  <c r="AD4087" i="2"/>
  <c r="K4088" i="2"/>
  <c r="L4088" i="2"/>
  <c r="Z4088" i="2"/>
  <c r="AB4088" i="2" s="1"/>
  <c r="AD4088" i="2"/>
  <c r="K4089" i="2"/>
  <c r="L4089" i="2"/>
  <c r="Z4089" i="2"/>
  <c r="AA4089" i="2" s="1"/>
  <c r="AD4089" i="2"/>
  <c r="K4090" i="2"/>
  <c r="L4090" i="2"/>
  <c r="Z4090" i="2"/>
  <c r="AD4090" i="2"/>
  <c r="K4091" i="2"/>
  <c r="L4091" i="2"/>
  <c r="Z4091" i="2"/>
  <c r="AB4091" i="2"/>
  <c r="AD4091" i="2"/>
  <c r="K4092" i="2"/>
  <c r="L4092" i="2"/>
  <c r="Z4092" i="2"/>
  <c r="AA4092" i="2" s="1"/>
  <c r="AB4092" i="2"/>
  <c r="AD4092" i="2"/>
  <c r="K4093" i="2"/>
  <c r="L4093" i="2"/>
  <c r="Z4093" i="2"/>
  <c r="AB4093" i="2" s="1"/>
  <c r="AC4093" i="2"/>
  <c r="AD4093" i="2"/>
  <c r="K4094" i="2"/>
  <c r="L4094" i="2"/>
  <c r="Z4094" i="2"/>
  <c r="AD4094" i="2"/>
  <c r="K4095" i="2"/>
  <c r="L4095" i="2"/>
  <c r="Z4095" i="2"/>
  <c r="AD4095" i="2"/>
  <c r="K4096" i="2"/>
  <c r="L4096" i="2"/>
  <c r="Z4096" i="2"/>
  <c r="AA4096" i="2" s="1"/>
  <c r="AC4096" i="2"/>
  <c r="AD4096" i="2"/>
  <c r="K4097" i="2"/>
  <c r="L4097" i="2"/>
  <c r="Z4097" i="2"/>
  <c r="AD4097" i="2"/>
  <c r="K4098" i="2"/>
  <c r="L4098" i="2"/>
  <c r="Z4098" i="2"/>
  <c r="AC4098" i="2" s="1"/>
  <c r="AA4098" i="2"/>
  <c r="AB4098" i="2"/>
  <c r="AD4098" i="2"/>
  <c r="K4099" i="2"/>
  <c r="L4099" i="2"/>
  <c r="Z4099" i="2"/>
  <c r="AB4099" i="2" s="1"/>
  <c r="AA4099" i="2"/>
  <c r="AD4099" i="2"/>
  <c r="K4100" i="2"/>
  <c r="L4100" i="2"/>
  <c r="Z4100" i="2"/>
  <c r="AB4100" i="2" s="1"/>
  <c r="AD4100" i="2"/>
  <c r="K4101" i="2"/>
  <c r="L4101" i="2"/>
  <c r="Z4101" i="2"/>
  <c r="AA4101" i="2" s="1"/>
  <c r="AB4101" i="2"/>
  <c r="AD4101" i="2"/>
  <c r="K4102" i="2"/>
  <c r="L4102" i="2"/>
  <c r="Z4102" i="2"/>
  <c r="AD4102" i="2"/>
  <c r="K4103" i="2"/>
  <c r="L4103" i="2"/>
  <c r="Z4103" i="2"/>
  <c r="AA4103" i="2" s="1"/>
  <c r="AD4103" i="2"/>
  <c r="K4104" i="2"/>
  <c r="L4104" i="2"/>
  <c r="Z4104" i="2"/>
  <c r="AD4104" i="2"/>
  <c r="K4105" i="2"/>
  <c r="L4105" i="2"/>
  <c r="Z4105" i="2"/>
  <c r="AB4105" i="2" s="1"/>
  <c r="AA4105" i="2"/>
  <c r="AD4105" i="2"/>
  <c r="K4106" i="2"/>
  <c r="L4106" i="2"/>
  <c r="Z4106" i="2"/>
  <c r="AD4106" i="2"/>
  <c r="K4107" i="2"/>
  <c r="L4107" i="2"/>
  <c r="Z4107" i="2"/>
  <c r="AB4107" i="2" s="1"/>
  <c r="AD4107" i="2"/>
  <c r="K4108" i="2"/>
  <c r="L4108" i="2"/>
  <c r="Z4108" i="2"/>
  <c r="AA4108" i="2"/>
  <c r="AD4108" i="2"/>
  <c r="K4109" i="2"/>
  <c r="L4109" i="2"/>
  <c r="Z4109" i="2"/>
  <c r="AA4109" i="2" s="1"/>
  <c r="AC4109" i="2"/>
  <c r="AD4109" i="2"/>
  <c r="K4110" i="2"/>
  <c r="L4110" i="2"/>
  <c r="Z4110" i="2"/>
  <c r="AC4110" i="2" s="1"/>
  <c r="AA4110" i="2"/>
  <c r="AD4110" i="2"/>
  <c r="K4111" i="2"/>
  <c r="L4111" i="2"/>
  <c r="Z4111" i="2"/>
  <c r="AB4111" i="2" s="1"/>
  <c r="AA4111" i="2"/>
  <c r="AD4111" i="2"/>
  <c r="K4112" i="2"/>
  <c r="L4112" i="2"/>
  <c r="Z4112" i="2"/>
  <c r="AB4112" i="2" s="1"/>
  <c r="AD4112" i="2"/>
  <c r="K4113" i="2"/>
  <c r="L4113" i="2"/>
  <c r="Z4113" i="2"/>
  <c r="AD4113" i="2"/>
  <c r="K4114" i="2"/>
  <c r="L4114" i="2"/>
  <c r="Z4114" i="2"/>
  <c r="AD4114" i="2"/>
  <c r="K4115" i="2"/>
  <c r="L4115" i="2"/>
  <c r="Z4115" i="2"/>
  <c r="AD4115" i="2"/>
  <c r="K4116" i="2"/>
  <c r="L4116" i="2"/>
  <c r="Z4116" i="2"/>
  <c r="AA4116" i="2" s="1"/>
  <c r="AB4116" i="2"/>
  <c r="AD4116" i="2"/>
  <c r="K4117" i="2"/>
  <c r="L4117" i="2"/>
  <c r="Z4117" i="2"/>
  <c r="AB4117" i="2" s="1"/>
  <c r="AA4117" i="2"/>
  <c r="AD4117" i="2"/>
  <c r="K4118" i="2"/>
  <c r="L4118" i="2"/>
  <c r="Z4118" i="2"/>
  <c r="AD4118" i="2"/>
  <c r="K4119" i="2"/>
  <c r="L4119" i="2"/>
  <c r="Z4119" i="2"/>
  <c r="AB4119" i="2" s="1"/>
  <c r="AD4119" i="2"/>
  <c r="K4120" i="2"/>
  <c r="L4120" i="2"/>
  <c r="Z4120" i="2"/>
  <c r="AA4120" i="2" s="1"/>
  <c r="AD4120" i="2"/>
  <c r="K4121" i="2"/>
  <c r="L4121" i="2"/>
  <c r="Z4121" i="2"/>
  <c r="AB4121" i="2" s="1"/>
  <c r="AD4121" i="2"/>
  <c r="K4122" i="2"/>
  <c r="L4122" i="2"/>
  <c r="Z4122" i="2"/>
  <c r="AC4122" i="2" s="1"/>
  <c r="AA4122" i="2"/>
  <c r="AB4122" i="2"/>
  <c r="AD4122" i="2"/>
  <c r="K4123" i="2"/>
  <c r="L4123" i="2"/>
  <c r="Z4123" i="2"/>
  <c r="AB4123" i="2" s="1"/>
  <c r="AA4123" i="2"/>
  <c r="AD4123" i="2"/>
  <c r="K4124" i="2"/>
  <c r="L4124" i="2"/>
  <c r="Z4124" i="2"/>
  <c r="AB4124" i="2" s="1"/>
  <c r="AD4124" i="2"/>
  <c r="K4125" i="2"/>
  <c r="L4125" i="2"/>
  <c r="Z4125" i="2"/>
  <c r="AD4125" i="2"/>
  <c r="K4126" i="2"/>
  <c r="L4126" i="2"/>
  <c r="Z4126" i="2"/>
  <c r="AD4126" i="2"/>
  <c r="K4127" i="2"/>
  <c r="L4127" i="2"/>
  <c r="Z4127" i="2"/>
  <c r="AA4127" i="2" s="1"/>
  <c r="AD4127" i="2"/>
  <c r="K4128" i="2"/>
  <c r="L4128" i="2"/>
  <c r="Z4128" i="2"/>
  <c r="AA4128" i="2" s="1"/>
  <c r="AB4128" i="2"/>
  <c r="AD4128" i="2"/>
  <c r="K4129" i="2"/>
  <c r="L4129" i="2"/>
  <c r="Z4129" i="2"/>
  <c r="AB4129" i="2" s="1"/>
  <c r="AA4129" i="2"/>
  <c r="AC4129" i="2"/>
  <c r="AD4129" i="2"/>
  <c r="K4130" i="2"/>
  <c r="L4130" i="2"/>
  <c r="Z4130" i="2"/>
  <c r="AD4130" i="2"/>
  <c r="K4131" i="2"/>
  <c r="L4131" i="2"/>
  <c r="Z4131" i="2"/>
  <c r="AB4131" i="2" s="1"/>
  <c r="AD4131" i="2"/>
  <c r="K4132" i="2"/>
  <c r="L4132" i="2"/>
  <c r="Z4132" i="2"/>
  <c r="AB4132" i="2" s="1"/>
  <c r="AD4132" i="2"/>
  <c r="K4133" i="2"/>
  <c r="L4133" i="2"/>
  <c r="Z4133" i="2"/>
  <c r="AB4133" i="2" s="1"/>
  <c r="AA4133" i="2"/>
  <c r="AC4133" i="2"/>
  <c r="AD4133" i="2"/>
  <c r="K4134" i="2"/>
  <c r="L4134" i="2"/>
  <c r="Z4134" i="2"/>
  <c r="AC4134" i="2" s="1"/>
  <c r="AA4134" i="2"/>
  <c r="AD4134" i="2"/>
  <c r="K4135" i="2"/>
  <c r="L4135" i="2"/>
  <c r="Z4135" i="2"/>
  <c r="AD4135" i="2"/>
  <c r="K4136" i="2"/>
  <c r="L4136" i="2"/>
  <c r="Z4136" i="2"/>
  <c r="AB4136" i="2" s="1"/>
  <c r="AD4136" i="2"/>
  <c r="K4137" i="2"/>
  <c r="L4137" i="2"/>
  <c r="Z4137" i="2"/>
  <c r="AA4137" i="2" s="1"/>
  <c r="AD4137" i="2"/>
  <c r="K4138" i="2"/>
  <c r="L4138" i="2"/>
  <c r="Z4138" i="2"/>
  <c r="AD4138" i="2"/>
  <c r="K4139" i="2"/>
  <c r="L4139" i="2"/>
  <c r="Z4139" i="2"/>
  <c r="AD4139" i="2"/>
  <c r="K4140" i="2"/>
  <c r="L4140" i="2"/>
  <c r="Z4140" i="2"/>
  <c r="AA4140" i="2" s="1"/>
  <c r="AB4140" i="2"/>
  <c r="AD4140" i="2"/>
  <c r="K4141" i="2"/>
  <c r="L4141" i="2"/>
  <c r="Z4141" i="2"/>
  <c r="AD4141" i="2"/>
  <c r="K4142" i="2"/>
  <c r="L4142" i="2"/>
  <c r="Z4142" i="2"/>
  <c r="AD4142" i="2"/>
  <c r="K4143" i="2"/>
  <c r="L4143" i="2"/>
  <c r="Z4143" i="2"/>
  <c r="AB4143" i="2" s="1"/>
  <c r="AA4143" i="2"/>
  <c r="AC4143" i="2"/>
  <c r="AD4143" i="2"/>
  <c r="K4144" i="2"/>
  <c r="L4144" i="2"/>
  <c r="Z4144" i="2"/>
  <c r="AA4144" i="2"/>
  <c r="AD4144" i="2"/>
  <c r="K4145" i="2"/>
  <c r="L4145" i="2"/>
  <c r="Z4145" i="2"/>
  <c r="AB4145" i="2" s="1"/>
  <c r="AA4145" i="2"/>
  <c r="AC4145" i="2"/>
  <c r="AD4145" i="2"/>
  <c r="K4146" i="2"/>
  <c r="L4146" i="2"/>
  <c r="Z4146" i="2"/>
  <c r="AC4146" i="2" s="1"/>
  <c r="AD4146" i="2"/>
  <c r="K4147" i="2"/>
  <c r="L4147" i="2"/>
  <c r="Z4147" i="2"/>
  <c r="AD4147" i="2"/>
  <c r="K4148" i="2"/>
  <c r="L4148" i="2"/>
  <c r="Z4148" i="2"/>
  <c r="AB4148" i="2" s="1"/>
  <c r="AD4148" i="2"/>
  <c r="K4149" i="2"/>
  <c r="L4149" i="2"/>
  <c r="Z4149" i="2"/>
  <c r="AA4149" i="2" s="1"/>
  <c r="AD4149" i="2"/>
  <c r="K4150" i="2"/>
  <c r="L4150" i="2"/>
  <c r="Z4150" i="2"/>
  <c r="AD4150" i="2"/>
  <c r="K4151" i="2"/>
  <c r="L4151" i="2"/>
  <c r="Z4151" i="2"/>
  <c r="AA4151" i="2" s="1"/>
  <c r="AD4151" i="2"/>
  <c r="K4152" i="2"/>
  <c r="L4152" i="2"/>
  <c r="Z4152" i="2"/>
  <c r="AD4152" i="2"/>
  <c r="K4153" i="2"/>
  <c r="L4153" i="2"/>
  <c r="Z4153" i="2"/>
  <c r="AD4153" i="2"/>
  <c r="K4154" i="2"/>
  <c r="L4154" i="2"/>
  <c r="Z4154" i="2"/>
  <c r="AC4154" i="2" s="1"/>
  <c r="AD4154" i="2"/>
  <c r="K4155" i="2"/>
  <c r="L4155" i="2"/>
  <c r="Z4155" i="2"/>
  <c r="AD4155" i="2"/>
  <c r="K4156" i="2"/>
  <c r="L4156" i="2"/>
  <c r="Z4156" i="2"/>
  <c r="AA4156" i="2"/>
  <c r="AB4156" i="2"/>
  <c r="AC4156" i="2"/>
  <c r="AD4156" i="2"/>
  <c r="K4157" i="2"/>
  <c r="L4157" i="2"/>
  <c r="Z4157" i="2"/>
  <c r="AD4157" i="2"/>
  <c r="K4158" i="2"/>
  <c r="L4158" i="2"/>
  <c r="Z4158" i="2"/>
  <c r="AC4158" i="2" s="1"/>
  <c r="AD4158" i="2"/>
  <c r="K4159" i="2"/>
  <c r="L4159" i="2"/>
  <c r="Z4159" i="2"/>
  <c r="AA4159" i="2" s="1"/>
  <c r="AD4159" i="2"/>
  <c r="K4160" i="2"/>
  <c r="L4160" i="2"/>
  <c r="Z4160" i="2"/>
  <c r="AA4160" i="2" s="1"/>
  <c r="AD4160" i="2"/>
  <c r="K4161" i="2"/>
  <c r="L4161" i="2"/>
  <c r="Z4161" i="2"/>
  <c r="AA4161" i="2" s="1"/>
  <c r="AB4161" i="2"/>
  <c r="AD4161" i="2"/>
  <c r="K4162" i="2"/>
  <c r="L4162" i="2"/>
  <c r="Z4162" i="2"/>
  <c r="AC4162" i="2" s="1"/>
  <c r="AB4162" i="2"/>
  <c r="AD4162" i="2"/>
  <c r="K4163" i="2"/>
  <c r="L4163" i="2"/>
  <c r="Z4163" i="2"/>
  <c r="AB4163" i="2"/>
  <c r="AD4163" i="2"/>
  <c r="K4164" i="2"/>
  <c r="L4164" i="2"/>
  <c r="Z4164" i="2"/>
  <c r="AD4164" i="2"/>
  <c r="K4165" i="2"/>
  <c r="L4165" i="2"/>
  <c r="Z4165" i="2"/>
  <c r="AB4165" i="2" s="1"/>
  <c r="AD4165" i="2"/>
  <c r="K4166" i="2"/>
  <c r="L4166" i="2"/>
  <c r="Z4166" i="2"/>
  <c r="AA4166" i="2" s="1"/>
  <c r="AC4166" i="2"/>
  <c r="AD4166" i="2"/>
  <c r="K4167" i="2"/>
  <c r="L4167" i="2"/>
  <c r="Z4167" i="2"/>
  <c r="AB4167" i="2" s="1"/>
  <c r="AA4167" i="2"/>
  <c r="AC4167" i="2"/>
  <c r="AD4167" i="2"/>
  <c r="K4168" i="2"/>
  <c r="L4168" i="2"/>
  <c r="Z4168" i="2"/>
  <c r="AD4168" i="2"/>
  <c r="K4169" i="2"/>
  <c r="L4169" i="2"/>
  <c r="Z4169" i="2"/>
  <c r="AB4169" i="2" s="1"/>
  <c r="AA4169" i="2"/>
  <c r="AD4169" i="2"/>
  <c r="K4170" i="2"/>
  <c r="L4170" i="2"/>
  <c r="Z4170" i="2"/>
  <c r="AD4170" i="2"/>
  <c r="K4171" i="2"/>
  <c r="L4171" i="2"/>
  <c r="Z4171" i="2"/>
  <c r="AA4171" i="2" s="1"/>
  <c r="AD4171" i="2"/>
  <c r="K4172" i="2"/>
  <c r="L4172" i="2"/>
  <c r="Z4172" i="2"/>
  <c r="AA4172" i="2" s="1"/>
  <c r="AD4172" i="2"/>
  <c r="K4173" i="2"/>
  <c r="L4173" i="2"/>
  <c r="Z4173" i="2"/>
  <c r="AA4173" i="2" s="1"/>
  <c r="AD4173" i="2"/>
  <c r="K4174" i="2"/>
  <c r="L4174" i="2"/>
  <c r="Z4174" i="2"/>
  <c r="AD4174" i="2"/>
  <c r="K4175" i="2"/>
  <c r="L4175" i="2"/>
  <c r="Z4175" i="2"/>
  <c r="AA4175" i="2" s="1"/>
  <c r="AB4175" i="2"/>
  <c r="AD4175" i="2"/>
  <c r="K4176" i="2"/>
  <c r="L4176" i="2"/>
  <c r="Z4176" i="2"/>
  <c r="AD4176" i="2"/>
  <c r="K4177" i="2"/>
  <c r="L4177" i="2"/>
  <c r="Z4177" i="2"/>
  <c r="AB4177" i="2" s="1"/>
  <c r="AA4177" i="2"/>
  <c r="AD4177" i="2"/>
  <c r="K4178" i="2"/>
  <c r="L4178" i="2"/>
  <c r="Z4178" i="2"/>
  <c r="AA4178" i="2" s="1"/>
  <c r="AC4178" i="2"/>
  <c r="AD4178" i="2"/>
  <c r="K4179" i="2"/>
  <c r="L4179" i="2"/>
  <c r="Z4179" i="2"/>
  <c r="AD4179" i="2"/>
  <c r="K4180" i="2"/>
  <c r="L4180" i="2"/>
  <c r="Z4180" i="2"/>
  <c r="AD4180" i="2"/>
  <c r="K4181" i="2"/>
  <c r="L4181" i="2"/>
  <c r="Z4181" i="2"/>
  <c r="AA4181" i="2" s="1"/>
  <c r="AD4181" i="2"/>
  <c r="K4182" i="2"/>
  <c r="L4182" i="2"/>
  <c r="Z4182" i="2"/>
  <c r="AD4182" i="2"/>
  <c r="K4183" i="2"/>
  <c r="L4183" i="2"/>
  <c r="Z4183" i="2"/>
  <c r="AA4183" i="2" s="1"/>
  <c r="AD4183" i="2"/>
  <c r="K4184" i="2"/>
  <c r="L4184" i="2"/>
  <c r="Z4184" i="2"/>
  <c r="AA4184" i="2" s="1"/>
  <c r="AD4184" i="2"/>
  <c r="K4185" i="2"/>
  <c r="L4185" i="2"/>
  <c r="Z4185" i="2"/>
  <c r="AA4185" i="2" s="1"/>
  <c r="AB4185" i="2"/>
  <c r="AD4185" i="2"/>
  <c r="K4186" i="2"/>
  <c r="L4186" i="2"/>
  <c r="Z4186" i="2"/>
  <c r="AC4186" i="2" s="1"/>
  <c r="AB4186" i="2"/>
  <c r="AD4186" i="2"/>
  <c r="K4187" i="2"/>
  <c r="L4187" i="2"/>
  <c r="Z4187" i="2"/>
  <c r="AA4187" i="2" s="1"/>
  <c r="AD4187" i="2"/>
  <c r="K4188" i="2"/>
  <c r="L4188" i="2"/>
  <c r="Z4188" i="2"/>
  <c r="AD4188" i="2"/>
  <c r="K4189" i="2"/>
  <c r="L4189" i="2"/>
  <c r="Z4189" i="2"/>
  <c r="AD4189" i="2"/>
  <c r="K4190" i="2"/>
  <c r="L4190" i="2"/>
  <c r="Z4190" i="2"/>
  <c r="AD4190" i="2"/>
  <c r="K4191" i="2"/>
  <c r="L4191" i="2"/>
  <c r="Z4191" i="2"/>
  <c r="AD4191" i="2"/>
  <c r="K4192" i="2"/>
  <c r="L4192" i="2"/>
  <c r="Z4192" i="2"/>
  <c r="AA4192" i="2"/>
  <c r="AB4192" i="2"/>
  <c r="AC4192" i="2"/>
  <c r="AD4192" i="2"/>
  <c r="K4193" i="2"/>
  <c r="L4193" i="2"/>
  <c r="Z4193" i="2"/>
  <c r="AC4193" i="2"/>
  <c r="AD4193" i="2"/>
  <c r="K4194" i="2"/>
  <c r="L4194" i="2"/>
  <c r="Z4194" i="2"/>
  <c r="AC4194" i="2" s="1"/>
  <c r="AD4194" i="2"/>
  <c r="K4195" i="2"/>
  <c r="L4195" i="2"/>
  <c r="Z4195" i="2"/>
  <c r="AA4195" i="2" s="1"/>
  <c r="AD4195" i="2"/>
  <c r="K4196" i="2"/>
  <c r="L4196" i="2"/>
  <c r="Z4196" i="2"/>
  <c r="AA4196" i="2" s="1"/>
  <c r="AD4196" i="2"/>
  <c r="K4197" i="2"/>
  <c r="L4197" i="2"/>
  <c r="Z4197" i="2"/>
  <c r="AD4197" i="2"/>
  <c r="K4198" i="2"/>
  <c r="L4198" i="2"/>
  <c r="Z4198" i="2"/>
  <c r="AC4198" i="2" s="1"/>
  <c r="AD4198" i="2"/>
  <c r="K4199" i="2"/>
  <c r="L4199" i="2"/>
  <c r="Z4199" i="2"/>
  <c r="AA4199" i="2" s="1"/>
  <c r="AB4199" i="2"/>
  <c r="AD4199" i="2"/>
  <c r="K4200" i="2"/>
  <c r="L4200" i="2"/>
  <c r="Z4200" i="2"/>
  <c r="AD4200" i="2"/>
  <c r="K4201" i="2"/>
  <c r="L4201" i="2"/>
  <c r="Z4201" i="2"/>
  <c r="AD4201" i="2"/>
  <c r="K4202" i="2"/>
  <c r="L4202" i="2"/>
  <c r="Z4202" i="2"/>
  <c r="AD4202" i="2"/>
  <c r="K4203" i="2"/>
  <c r="L4203" i="2"/>
  <c r="Z4203" i="2"/>
  <c r="AA4203" i="2"/>
  <c r="AD4203" i="2"/>
  <c r="K4204" i="2"/>
  <c r="L4204" i="2"/>
  <c r="Z4204" i="2"/>
  <c r="AB4204" i="2" s="1"/>
  <c r="AA4204" i="2"/>
  <c r="AC4204" i="2"/>
  <c r="AD4204" i="2"/>
  <c r="K4205" i="2"/>
  <c r="L4205" i="2"/>
  <c r="Z4205" i="2"/>
  <c r="AA4205" i="2"/>
  <c r="AD4205" i="2"/>
  <c r="K4206" i="2"/>
  <c r="L4206" i="2"/>
  <c r="Z4206" i="2"/>
  <c r="AA4206" i="2"/>
  <c r="AB4206" i="2"/>
  <c r="AC4206" i="2"/>
  <c r="AD4206" i="2"/>
  <c r="K4207" i="2"/>
  <c r="L4207" i="2"/>
  <c r="Z4207" i="2"/>
  <c r="AA4207" i="2" s="1"/>
  <c r="AD4207" i="2"/>
  <c r="K4208" i="2"/>
  <c r="L4208" i="2"/>
  <c r="Z4208" i="2"/>
  <c r="AA4208" i="2" s="1"/>
  <c r="AD4208" i="2"/>
  <c r="K4209" i="2"/>
  <c r="L4209" i="2"/>
  <c r="Z4209" i="2"/>
  <c r="AA4209" i="2" s="1"/>
  <c r="AD4209" i="2"/>
  <c r="K4210" i="2"/>
  <c r="L4210" i="2"/>
  <c r="Z4210" i="2"/>
  <c r="AC4210" i="2" s="1"/>
  <c r="AB4210" i="2"/>
  <c r="AD4210" i="2"/>
  <c r="K4211" i="2"/>
  <c r="L4211" i="2"/>
  <c r="Z4211" i="2"/>
  <c r="AA4211" i="2" s="1"/>
  <c r="AB4211" i="2"/>
  <c r="AC4211" i="2"/>
  <c r="AD4211" i="2"/>
  <c r="K4212" i="2"/>
  <c r="L4212" i="2"/>
  <c r="Z4212" i="2"/>
  <c r="AD4212" i="2"/>
  <c r="K4213" i="2"/>
  <c r="L4213" i="2"/>
  <c r="Z4213" i="2"/>
  <c r="AD4213" i="2"/>
  <c r="K4214" i="2"/>
  <c r="L4214" i="2"/>
  <c r="Z4214" i="2"/>
  <c r="AD4214" i="2"/>
  <c r="K4215" i="2"/>
  <c r="L4215" i="2"/>
  <c r="Z4215" i="2"/>
  <c r="AC4215" i="2"/>
  <c r="AD4215" i="2"/>
  <c r="K4216" i="2"/>
  <c r="L4216" i="2"/>
  <c r="Z4216" i="2"/>
  <c r="AA4216" i="2" s="1"/>
  <c r="AC4216" i="2"/>
  <c r="AD4216" i="2"/>
  <c r="K4217" i="2"/>
  <c r="L4217" i="2"/>
  <c r="Z4217" i="2"/>
  <c r="AA4217" i="2"/>
  <c r="AD4217" i="2"/>
  <c r="K4218" i="2"/>
  <c r="L4218" i="2"/>
  <c r="Z4218" i="2"/>
  <c r="AA4218" i="2"/>
  <c r="AB4218" i="2"/>
  <c r="AC4218" i="2"/>
  <c r="AD4218" i="2"/>
  <c r="K4219" i="2"/>
  <c r="L4219" i="2"/>
  <c r="Z4219" i="2"/>
  <c r="AA4219" i="2" s="1"/>
  <c r="AD4219" i="2"/>
  <c r="K4220" i="2"/>
  <c r="L4220" i="2"/>
  <c r="Z4220" i="2"/>
  <c r="AA4220" i="2" s="1"/>
  <c r="AD4220" i="2"/>
  <c r="K4221" i="2"/>
  <c r="L4221" i="2"/>
  <c r="Z4221" i="2"/>
  <c r="AA4221" i="2" s="1"/>
  <c r="AB4221" i="2"/>
  <c r="AD4221" i="2"/>
  <c r="K4222" i="2"/>
  <c r="L4222" i="2"/>
  <c r="Z4222" i="2"/>
  <c r="AC4222" i="2" s="1"/>
  <c r="AB4222" i="2"/>
  <c r="AD4222" i="2"/>
  <c r="K4223" i="2"/>
  <c r="L4223" i="2"/>
  <c r="Z4223" i="2"/>
  <c r="AD4223" i="2"/>
  <c r="K4224" i="2"/>
  <c r="L4224" i="2"/>
  <c r="Z4224" i="2"/>
  <c r="AD4224" i="2"/>
  <c r="K4225" i="2"/>
  <c r="L4225" i="2"/>
  <c r="Z4225" i="2"/>
  <c r="AB4225" i="2" s="1"/>
  <c r="AA4225" i="2"/>
  <c r="AD4225" i="2"/>
  <c r="K4226" i="2"/>
  <c r="L4226" i="2"/>
  <c r="Z4226" i="2"/>
  <c r="AD4226" i="2"/>
  <c r="K4227" i="2"/>
  <c r="L4227" i="2"/>
  <c r="Z4227" i="2"/>
  <c r="AB4227" i="2" s="1"/>
  <c r="AA4227" i="2"/>
  <c r="AD4227" i="2"/>
  <c r="K4228" i="2"/>
  <c r="L4228" i="2"/>
  <c r="Z4228" i="2"/>
  <c r="AD4228" i="2"/>
  <c r="K4229" i="2"/>
  <c r="L4229" i="2"/>
  <c r="Z4229" i="2"/>
  <c r="AA4229" i="2" s="1"/>
  <c r="AC4229" i="2"/>
  <c r="AD4229" i="2"/>
  <c r="K4230" i="2"/>
  <c r="L4230" i="2"/>
  <c r="Z4230" i="2"/>
  <c r="AA4230" i="2" s="1"/>
  <c r="AD4230" i="2"/>
  <c r="K4231" i="2"/>
  <c r="L4231" i="2"/>
  <c r="Z4231" i="2"/>
  <c r="AA4231" i="2" s="1"/>
  <c r="AD4231" i="2"/>
  <c r="K4232" i="2"/>
  <c r="L4232" i="2"/>
  <c r="Z4232" i="2"/>
  <c r="AA4232" i="2" s="1"/>
  <c r="AD4232" i="2"/>
  <c r="K4233" i="2"/>
  <c r="L4233" i="2"/>
  <c r="Z4233" i="2"/>
  <c r="AA4233" i="2" s="1"/>
  <c r="AB4233" i="2"/>
  <c r="AD4233" i="2"/>
  <c r="K4234" i="2"/>
  <c r="L4234" i="2"/>
  <c r="Z4234" i="2"/>
  <c r="AD4234" i="2"/>
  <c r="K4235" i="2"/>
  <c r="L4235" i="2"/>
  <c r="Z4235" i="2"/>
  <c r="AA4235" i="2" s="1"/>
  <c r="AB4235" i="2"/>
  <c r="AC4235" i="2"/>
  <c r="AD4235" i="2"/>
  <c r="K4236" i="2"/>
  <c r="L4236" i="2"/>
  <c r="Z4236" i="2"/>
  <c r="AD4236" i="2"/>
  <c r="K4237" i="2"/>
  <c r="L4237" i="2"/>
  <c r="Z4237" i="2"/>
  <c r="AA4237" i="2" s="1"/>
  <c r="AD4237" i="2"/>
  <c r="K4238" i="2"/>
  <c r="L4238" i="2"/>
  <c r="Z4238" i="2"/>
  <c r="AD4238" i="2"/>
  <c r="K4239" i="2"/>
  <c r="L4239" i="2"/>
  <c r="Z4239" i="2"/>
  <c r="AB4239" i="2" s="1"/>
  <c r="AA4239" i="2"/>
  <c r="AC4239" i="2"/>
  <c r="AD4239" i="2"/>
  <c r="K4240" i="2"/>
  <c r="L4240" i="2"/>
  <c r="Z4240" i="2"/>
  <c r="AA4240" i="2"/>
  <c r="AD4240" i="2"/>
  <c r="K4241" i="2"/>
  <c r="L4241" i="2"/>
  <c r="Z4241" i="2"/>
  <c r="AD4241" i="2"/>
  <c r="K4242" i="2"/>
  <c r="L4242" i="2"/>
  <c r="Z4242" i="2"/>
  <c r="AA4242" i="2" s="1"/>
  <c r="AC4242" i="2"/>
  <c r="AD4242" i="2"/>
  <c r="K4243" i="2"/>
  <c r="L4243" i="2"/>
  <c r="Z4243" i="2"/>
  <c r="AA4243" i="2" s="1"/>
  <c r="AD4243" i="2"/>
  <c r="K4244" i="2"/>
  <c r="L4244" i="2"/>
  <c r="Z4244" i="2"/>
  <c r="AA4244" i="2" s="1"/>
  <c r="AD4244" i="2"/>
  <c r="K4245" i="2"/>
  <c r="L4245" i="2"/>
  <c r="Z4245" i="2"/>
  <c r="AD4245" i="2"/>
  <c r="K4246" i="2"/>
  <c r="L4246" i="2"/>
  <c r="Z4246" i="2"/>
  <c r="AD4246" i="2"/>
  <c r="K4247" i="2"/>
  <c r="L4247" i="2"/>
  <c r="Z4247" i="2"/>
  <c r="AD4247" i="2"/>
  <c r="K4248" i="2"/>
  <c r="L4248" i="2"/>
  <c r="Z4248" i="2"/>
  <c r="AD4248" i="2"/>
  <c r="K4249" i="2"/>
  <c r="L4249" i="2"/>
  <c r="Z4249" i="2"/>
  <c r="AA4249" i="2" s="1"/>
  <c r="AD4249" i="2"/>
  <c r="K4250" i="2"/>
  <c r="L4250" i="2"/>
  <c r="Z4250" i="2"/>
  <c r="AA4250" i="2" s="1"/>
  <c r="AC4250" i="2"/>
  <c r="AD4250" i="2"/>
  <c r="K4251" i="2"/>
  <c r="L4251" i="2"/>
  <c r="Z4251" i="2"/>
  <c r="AB4251" i="2" s="1"/>
  <c r="AA4251" i="2"/>
  <c r="AC4251" i="2"/>
  <c r="AD4251" i="2"/>
  <c r="K4252" i="2"/>
  <c r="L4252" i="2"/>
  <c r="Z4252" i="2"/>
  <c r="AC4252" i="2" s="1"/>
  <c r="AD4252" i="2"/>
  <c r="K4253" i="2"/>
  <c r="L4253" i="2"/>
  <c r="Z4253" i="2"/>
  <c r="AC4253" i="2" s="1"/>
  <c r="AA4253" i="2"/>
  <c r="AB4253" i="2"/>
  <c r="AD4253" i="2"/>
  <c r="K4254" i="2"/>
  <c r="L4254" i="2"/>
  <c r="Z4254" i="2"/>
  <c r="AD4254" i="2"/>
  <c r="K4255" i="2"/>
  <c r="L4255" i="2"/>
  <c r="Z4255" i="2"/>
  <c r="AA4255" i="2" s="1"/>
  <c r="AD4255" i="2"/>
  <c r="K4256" i="2"/>
  <c r="L4256" i="2"/>
  <c r="Z4256" i="2"/>
  <c r="AA4256" i="2" s="1"/>
  <c r="AD4256" i="2"/>
  <c r="K4257" i="2"/>
  <c r="L4257" i="2"/>
  <c r="Z4257" i="2"/>
  <c r="AD4257" i="2"/>
  <c r="K4258" i="2"/>
  <c r="L4258" i="2"/>
  <c r="Z4258" i="2"/>
  <c r="AA4258" i="2" s="1"/>
  <c r="AB4258" i="2"/>
  <c r="AC4258" i="2"/>
  <c r="AD4258" i="2"/>
  <c r="K4259" i="2"/>
  <c r="L4259" i="2"/>
  <c r="Z4259" i="2"/>
  <c r="AA4259" i="2" s="1"/>
  <c r="AB4259" i="2"/>
  <c r="AD4259" i="2"/>
  <c r="K4260" i="2"/>
  <c r="L4260" i="2"/>
  <c r="Z4260" i="2"/>
  <c r="AD4260" i="2"/>
  <c r="K4261" i="2"/>
  <c r="L4261" i="2"/>
  <c r="Z4261" i="2"/>
  <c r="AA4261" i="2" s="1"/>
  <c r="AD4261" i="2"/>
  <c r="K4262" i="2"/>
  <c r="L4262" i="2"/>
  <c r="Z4262" i="2"/>
  <c r="AD4262" i="2"/>
  <c r="K4263" i="2"/>
  <c r="L4263" i="2"/>
  <c r="Z4263" i="2"/>
  <c r="AB4263" i="2" s="1"/>
  <c r="AA4263" i="2"/>
  <c r="AC4263" i="2"/>
  <c r="AD4263" i="2"/>
  <c r="K4264" i="2"/>
  <c r="L4264" i="2"/>
  <c r="Z4264" i="2"/>
  <c r="AD4264" i="2"/>
  <c r="K4265" i="2"/>
  <c r="L4265" i="2"/>
  <c r="Z4265" i="2"/>
  <c r="AC4265" i="2" s="1"/>
  <c r="AD4265" i="2"/>
  <c r="K4266" i="2"/>
  <c r="L4266" i="2"/>
  <c r="Z4266" i="2"/>
  <c r="AC4266" i="2" s="1"/>
  <c r="AA4266" i="2"/>
  <c r="AB4266" i="2"/>
  <c r="AD4266" i="2"/>
  <c r="K4267" i="2"/>
  <c r="L4267" i="2"/>
  <c r="Z4267" i="2"/>
  <c r="AA4267" i="2" s="1"/>
  <c r="AD4267" i="2"/>
  <c r="K4268" i="2"/>
  <c r="L4268" i="2"/>
  <c r="Z4268" i="2"/>
  <c r="AA4268" i="2" s="1"/>
  <c r="AD4268" i="2"/>
  <c r="K4269" i="2"/>
  <c r="L4269" i="2"/>
  <c r="Z4269" i="2"/>
  <c r="AA4269" i="2" s="1"/>
  <c r="AD4269" i="2"/>
  <c r="K4270" i="2"/>
  <c r="L4270" i="2"/>
  <c r="Z4270" i="2"/>
  <c r="AC4270" i="2" s="1"/>
  <c r="AD4270" i="2"/>
  <c r="K4271" i="2"/>
  <c r="L4271" i="2"/>
  <c r="Z4271" i="2"/>
  <c r="AA4271" i="2" s="1"/>
  <c r="AD4271" i="2"/>
  <c r="K4272" i="2"/>
  <c r="L4272" i="2"/>
  <c r="Z4272" i="2"/>
  <c r="AD4272" i="2"/>
  <c r="K4273" i="2"/>
  <c r="L4273" i="2"/>
  <c r="Z4273" i="2"/>
  <c r="AA4273" i="2" s="1"/>
  <c r="AD4273" i="2"/>
  <c r="K4274" i="2"/>
  <c r="L4274" i="2"/>
  <c r="Z4274" i="2"/>
  <c r="AA4274" i="2" s="1"/>
  <c r="AC4274" i="2"/>
  <c r="AD4274" i="2"/>
  <c r="K4275" i="2"/>
  <c r="L4275" i="2"/>
  <c r="Z4275" i="2"/>
  <c r="AA4275" i="2" s="1"/>
  <c r="AC4275" i="2"/>
  <c r="AD4275" i="2"/>
  <c r="K4276" i="2"/>
  <c r="L4276" i="2"/>
  <c r="Z4276" i="2"/>
  <c r="AD4276" i="2"/>
  <c r="K4277" i="2"/>
  <c r="L4277" i="2"/>
  <c r="Z4277" i="2"/>
  <c r="AB4277" i="2" s="1"/>
  <c r="AA4277" i="2"/>
  <c r="AC4277" i="2"/>
  <c r="AD4277" i="2"/>
  <c r="K4278" i="2"/>
  <c r="L4278" i="2"/>
  <c r="Z4278" i="2"/>
  <c r="AA4278" i="2"/>
  <c r="AD4278" i="2"/>
  <c r="K4279" i="2"/>
  <c r="L4279" i="2"/>
  <c r="Z4279" i="2"/>
  <c r="AA4279" i="2" s="1"/>
  <c r="AD4279" i="2"/>
  <c r="K4280" i="2"/>
  <c r="L4280" i="2"/>
  <c r="Z4280" i="2"/>
  <c r="AA4280" i="2" s="1"/>
  <c r="AD4280" i="2"/>
  <c r="K4281" i="2"/>
  <c r="L4281" i="2"/>
  <c r="Z4281" i="2"/>
  <c r="AA4281" i="2" s="1"/>
  <c r="AB4281" i="2"/>
  <c r="AD4281" i="2"/>
  <c r="K4282" i="2"/>
  <c r="L4282" i="2"/>
  <c r="Z4282" i="2"/>
  <c r="AB4282" i="2"/>
  <c r="AD4282" i="2"/>
  <c r="K4283" i="2"/>
  <c r="L4283" i="2"/>
  <c r="Z4283" i="2"/>
  <c r="AA4283" i="2" s="1"/>
  <c r="AB4283" i="2"/>
  <c r="AC4283" i="2"/>
  <c r="AD4283" i="2"/>
  <c r="K4284" i="2"/>
  <c r="L4284" i="2"/>
  <c r="Z4284" i="2"/>
  <c r="AD4284" i="2"/>
  <c r="K4285" i="2"/>
  <c r="L4285" i="2"/>
  <c r="Z4285" i="2"/>
  <c r="AA4285" i="2" s="1"/>
  <c r="AD4285" i="2"/>
  <c r="K4286" i="2"/>
  <c r="L4286" i="2"/>
  <c r="Z4286" i="2"/>
  <c r="AD4286" i="2"/>
  <c r="K4287" i="2"/>
  <c r="L4287" i="2"/>
  <c r="Z4287" i="2"/>
  <c r="AA4287" i="2" s="1"/>
  <c r="AC4287" i="2"/>
  <c r="AD4287" i="2"/>
  <c r="K4288" i="2"/>
  <c r="L4288" i="2"/>
  <c r="Z4288" i="2"/>
  <c r="AB4288" i="2" s="1"/>
  <c r="AD4288" i="2"/>
  <c r="K4289" i="2"/>
  <c r="L4289" i="2"/>
  <c r="Z4289" i="2"/>
  <c r="AB4289" i="2" s="1"/>
  <c r="AD4289" i="2"/>
  <c r="K4290" i="2"/>
  <c r="L4290" i="2"/>
  <c r="Z4290" i="2"/>
  <c r="AB4290" i="2" s="1"/>
  <c r="AD4290" i="2"/>
  <c r="K4291" i="2"/>
  <c r="L4291" i="2"/>
  <c r="Z4291" i="2"/>
  <c r="AA4291" i="2" s="1"/>
  <c r="AD4291" i="2"/>
  <c r="K4292" i="2"/>
  <c r="L4292" i="2"/>
  <c r="Z4292" i="2"/>
  <c r="AA4292" i="2" s="1"/>
  <c r="AD4292" i="2"/>
  <c r="K4293" i="2"/>
  <c r="L4293" i="2"/>
  <c r="Z4293" i="2"/>
  <c r="AA4293" i="2" s="1"/>
  <c r="AD4293" i="2"/>
  <c r="K4294" i="2"/>
  <c r="L4294" i="2"/>
  <c r="Z4294" i="2"/>
  <c r="AA4294" i="2" s="1"/>
  <c r="AB4294" i="2"/>
  <c r="AC4294" i="2"/>
  <c r="AD4294" i="2"/>
  <c r="K4295" i="2"/>
  <c r="L4295" i="2"/>
  <c r="Z4295" i="2"/>
  <c r="AD4295" i="2"/>
  <c r="K4296" i="2"/>
  <c r="L4296" i="2"/>
  <c r="Z4296" i="2"/>
  <c r="AA4296" i="2" s="1"/>
  <c r="AD4296" i="2"/>
  <c r="K4297" i="2"/>
  <c r="L4297" i="2"/>
  <c r="Z4297" i="2"/>
  <c r="AA4297" i="2" s="1"/>
  <c r="AD4297" i="2"/>
  <c r="K4298" i="2"/>
  <c r="L4298" i="2"/>
  <c r="Z4298" i="2"/>
  <c r="AA4298" i="2" s="1"/>
  <c r="AC4298" i="2"/>
  <c r="AD4298" i="2"/>
  <c r="K4299" i="2"/>
  <c r="L4299" i="2"/>
  <c r="Z4299" i="2"/>
  <c r="AD4299" i="2"/>
  <c r="K4300" i="2"/>
  <c r="L4300" i="2"/>
  <c r="Z4300" i="2"/>
  <c r="AD4300" i="2"/>
  <c r="K4301" i="2"/>
  <c r="L4301" i="2"/>
  <c r="Z4301" i="2"/>
  <c r="AC4301" i="2" s="1"/>
  <c r="AD4301" i="2"/>
  <c r="K4302" i="2"/>
  <c r="L4302" i="2"/>
  <c r="Z4302" i="2"/>
  <c r="AC4302" i="2" s="1"/>
  <c r="AA4302" i="2"/>
  <c r="AB4302" i="2"/>
  <c r="AD4302" i="2"/>
  <c r="K4303" i="2"/>
  <c r="L4303" i="2"/>
  <c r="Z4303" i="2"/>
  <c r="AD4303" i="2"/>
  <c r="K4304" i="2"/>
  <c r="L4304" i="2"/>
  <c r="Z4304" i="2"/>
  <c r="AA4304" i="2" s="1"/>
  <c r="AD4304" i="2"/>
  <c r="K4305" i="2"/>
  <c r="L4305" i="2"/>
  <c r="Z4305" i="2"/>
  <c r="AA4305" i="2" s="1"/>
  <c r="AB4305" i="2"/>
  <c r="AD4305" i="2"/>
  <c r="K4306" i="2"/>
  <c r="L4306" i="2"/>
  <c r="Z4306" i="2"/>
  <c r="AC4306" i="2" s="1"/>
  <c r="AD4306" i="2"/>
  <c r="K4307" i="2"/>
  <c r="L4307" i="2"/>
  <c r="Z4307" i="2"/>
  <c r="AA4307" i="2" s="1"/>
  <c r="AD4307" i="2"/>
  <c r="K4308" i="2"/>
  <c r="L4308" i="2"/>
  <c r="Z4308" i="2"/>
  <c r="AA4308" i="2" s="1"/>
  <c r="AD4308" i="2"/>
  <c r="K4309" i="2"/>
  <c r="L4309" i="2"/>
  <c r="Z4309" i="2"/>
  <c r="AA4309" i="2" s="1"/>
  <c r="AD4309" i="2"/>
  <c r="K4310" i="2"/>
  <c r="L4310" i="2"/>
  <c r="Z4310" i="2"/>
  <c r="AD4310" i="2"/>
  <c r="K4311" i="2"/>
  <c r="L4311" i="2"/>
  <c r="Z4311" i="2"/>
  <c r="AD4311" i="2"/>
  <c r="K4312" i="2"/>
  <c r="L4312" i="2"/>
  <c r="Z4312" i="2"/>
  <c r="AA4312" i="2"/>
  <c r="AB4312" i="2"/>
  <c r="AC4312" i="2"/>
  <c r="AD4312" i="2"/>
  <c r="K4313" i="2"/>
  <c r="L4313" i="2"/>
  <c r="Z4313" i="2"/>
  <c r="AD4313" i="2"/>
  <c r="K4314" i="2"/>
  <c r="L4314" i="2"/>
  <c r="Z4314" i="2"/>
  <c r="AC4314" i="2" s="1"/>
  <c r="AD4314" i="2"/>
  <c r="K4315" i="2"/>
  <c r="L4315" i="2"/>
  <c r="Z4315" i="2"/>
  <c r="AD4315" i="2"/>
  <c r="K4316" i="2"/>
  <c r="L4316" i="2"/>
  <c r="Z4316" i="2"/>
  <c r="AA4316" i="2" s="1"/>
  <c r="AD4316" i="2"/>
  <c r="K4317" i="2"/>
  <c r="L4317" i="2"/>
  <c r="Z4317" i="2"/>
  <c r="AD4317" i="2"/>
  <c r="K4318" i="2"/>
  <c r="L4318" i="2"/>
  <c r="Z4318" i="2"/>
  <c r="AA4318" i="2" s="1"/>
  <c r="AB4318" i="2"/>
  <c r="AD4318" i="2"/>
  <c r="K4319" i="2"/>
  <c r="L4319" i="2"/>
  <c r="Z4319" i="2"/>
  <c r="AA4319" i="2" s="1"/>
  <c r="AD4319" i="2"/>
  <c r="K4320" i="2"/>
  <c r="L4320" i="2"/>
  <c r="Z4320" i="2"/>
  <c r="AA4320" i="2"/>
  <c r="AD4320" i="2"/>
  <c r="K4321" i="2"/>
  <c r="L4321" i="2"/>
  <c r="Z4321" i="2"/>
  <c r="AA4321" i="2" s="1"/>
  <c r="AD4321" i="2"/>
  <c r="K4322" i="2"/>
  <c r="L4322" i="2"/>
  <c r="Z4322" i="2"/>
  <c r="AD4322" i="2"/>
  <c r="K4323" i="2"/>
  <c r="L4323" i="2"/>
  <c r="Z4323" i="2"/>
  <c r="AD4323" i="2"/>
  <c r="K4324" i="2"/>
  <c r="L4324" i="2"/>
  <c r="Z4324" i="2"/>
  <c r="AB4324" i="2" s="1"/>
  <c r="AD4324" i="2"/>
  <c r="K4325" i="2"/>
  <c r="L4325" i="2"/>
  <c r="Z4325" i="2"/>
  <c r="AA4325" i="2"/>
  <c r="AB4325" i="2"/>
  <c r="AC4325" i="2"/>
  <c r="AD4325" i="2"/>
  <c r="K4326" i="2"/>
  <c r="L4326" i="2"/>
  <c r="Z4326" i="2"/>
  <c r="AD4326" i="2"/>
  <c r="K4327" i="2"/>
  <c r="L4327" i="2"/>
  <c r="Z4327" i="2"/>
  <c r="AD4327" i="2"/>
  <c r="K4328" i="2"/>
  <c r="L4328" i="2"/>
  <c r="Z4328" i="2"/>
  <c r="AA4328" i="2" s="1"/>
  <c r="AD4328" i="2"/>
  <c r="K4329" i="2"/>
  <c r="L4329" i="2"/>
  <c r="Z4329" i="2"/>
  <c r="AA4329" i="2" s="1"/>
  <c r="AB4329" i="2"/>
  <c r="AD4329" i="2"/>
  <c r="K4330" i="2"/>
  <c r="L4330" i="2"/>
  <c r="Z4330" i="2"/>
  <c r="AA4330" i="2" s="1"/>
  <c r="AB4330" i="2"/>
  <c r="AC4330" i="2"/>
  <c r="AD4330" i="2"/>
  <c r="K4331" i="2"/>
  <c r="L4331" i="2"/>
  <c r="Z4331" i="2"/>
  <c r="AD4331" i="2"/>
  <c r="K4332" i="2"/>
  <c r="L4332" i="2"/>
  <c r="Z4332" i="2"/>
  <c r="AD4332" i="2"/>
  <c r="K4333" i="2"/>
  <c r="L4333" i="2"/>
  <c r="Z4333" i="2"/>
  <c r="AA4333" i="2" s="1"/>
  <c r="AD4333" i="2"/>
  <c r="K4334" i="2"/>
  <c r="L4334" i="2"/>
  <c r="Z4334" i="2"/>
  <c r="AA4334" i="2" s="1"/>
  <c r="AD4334" i="2"/>
  <c r="K4335" i="2"/>
  <c r="L4335" i="2"/>
  <c r="Z4335" i="2"/>
  <c r="AA4335" i="2" s="1"/>
  <c r="AC4335" i="2"/>
  <c r="AD4335" i="2"/>
  <c r="K4336" i="2"/>
  <c r="L4336" i="2"/>
  <c r="Z4336" i="2"/>
  <c r="AA4336" i="2"/>
  <c r="AD4336" i="2"/>
  <c r="K4337" i="2"/>
  <c r="L4337" i="2"/>
  <c r="Z4337" i="2"/>
  <c r="AD4337" i="2"/>
  <c r="K4338" i="2"/>
  <c r="L4338" i="2"/>
  <c r="Z4338" i="2"/>
  <c r="AA4338" i="2" s="1"/>
  <c r="AD4338" i="2"/>
  <c r="K4339" i="2"/>
  <c r="L4339" i="2"/>
  <c r="Z4339" i="2"/>
  <c r="AD4339" i="2"/>
  <c r="K4340" i="2"/>
  <c r="L4340" i="2"/>
  <c r="Z4340" i="2"/>
  <c r="AA4340" i="2" s="1"/>
  <c r="AD4340" i="2"/>
  <c r="K4341" i="2"/>
  <c r="L4341" i="2"/>
  <c r="Z4341" i="2"/>
  <c r="AD4341" i="2"/>
  <c r="K4342" i="2"/>
  <c r="L4342" i="2"/>
  <c r="Z4342" i="2"/>
  <c r="AD4342" i="2"/>
  <c r="K4343" i="2"/>
  <c r="L4343" i="2"/>
  <c r="Z4343" i="2"/>
  <c r="AB4343" i="2"/>
  <c r="AD4343" i="2"/>
  <c r="K4344" i="2"/>
  <c r="L4344" i="2"/>
  <c r="Z4344" i="2"/>
  <c r="AA4344" i="2" s="1"/>
  <c r="AD4344" i="2"/>
  <c r="K4345" i="2"/>
  <c r="L4345" i="2"/>
  <c r="Z4345" i="2"/>
  <c r="AA4345" i="2" s="1"/>
  <c r="AD4345" i="2"/>
  <c r="K4346" i="2"/>
  <c r="L4346" i="2"/>
  <c r="Z4346" i="2"/>
  <c r="AA4346" i="2" s="1"/>
  <c r="AC4346" i="2"/>
  <c r="AD4346" i="2"/>
  <c r="K4347" i="2"/>
  <c r="L4347" i="2"/>
  <c r="Z4347" i="2"/>
  <c r="AD4347" i="2"/>
  <c r="K4348" i="2"/>
  <c r="L4348" i="2"/>
  <c r="Z4348" i="2"/>
  <c r="AD4348" i="2"/>
  <c r="K4349" i="2"/>
  <c r="L4349" i="2"/>
  <c r="Z4349" i="2"/>
  <c r="AD4349" i="2"/>
  <c r="K4350" i="2"/>
  <c r="L4350" i="2"/>
  <c r="Z4350" i="2"/>
  <c r="AA4350" i="2"/>
  <c r="AB4350" i="2"/>
  <c r="AC4350" i="2"/>
  <c r="AD4350" i="2"/>
  <c r="K4351" i="2"/>
  <c r="L4351" i="2"/>
  <c r="Z4351" i="2"/>
  <c r="AD4351" i="2"/>
  <c r="K4352" i="2"/>
  <c r="L4352" i="2"/>
  <c r="Z4352" i="2"/>
  <c r="AA4352" i="2" s="1"/>
  <c r="AD4352" i="2"/>
  <c r="K4353" i="2"/>
  <c r="L4353" i="2"/>
  <c r="Z4353" i="2"/>
  <c r="AA4353" i="2" s="1"/>
  <c r="AB4353" i="2"/>
  <c r="AD4353" i="2"/>
  <c r="K4354" i="2"/>
  <c r="L4354" i="2"/>
  <c r="Z4354" i="2"/>
  <c r="AA4354" i="2" s="1"/>
  <c r="AB4354" i="2"/>
  <c r="AC4354" i="2"/>
  <c r="AD4354" i="2"/>
  <c r="K4355" i="2"/>
  <c r="L4355" i="2"/>
  <c r="Z4355" i="2"/>
  <c r="AD4355" i="2"/>
  <c r="K4356" i="2"/>
  <c r="L4356" i="2"/>
  <c r="Z4356" i="2"/>
  <c r="AA4356" i="2" s="1"/>
  <c r="AD4356" i="2"/>
  <c r="K4357" i="2"/>
  <c r="L4357" i="2"/>
  <c r="Z4357" i="2"/>
  <c r="AA4357" i="2" s="1"/>
  <c r="AD4357" i="2"/>
  <c r="K4358" i="2"/>
  <c r="L4358" i="2"/>
  <c r="Z4358" i="2"/>
  <c r="AA4358" i="2" s="1"/>
  <c r="AC4358" i="2"/>
  <c r="AD4358" i="2"/>
  <c r="K4359" i="2"/>
  <c r="L4359" i="2"/>
  <c r="Z4359" i="2"/>
  <c r="AD4359" i="2"/>
  <c r="K4360" i="2"/>
  <c r="L4360" i="2"/>
  <c r="Z4360" i="2"/>
  <c r="AD4360" i="2"/>
  <c r="K4361" i="2"/>
  <c r="L4361" i="2"/>
  <c r="Z4361" i="2"/>
  <c r="AC4361" i="2"/>
  <c r="AD4361" i="2"/>
  <c r="K4362" i="2"/>
  <c r="L4362" i="2"/>
  <c r="Z4362" i="2"/>
  <c r="AC4362" i="2" s="1"/>
  <c r="AA4362" i="2"/>
  <c r="AB4362" i="2"/>
  <c r="AD4362" i="2"/>
  <c r="K4363" i="2"/>
  <c r="L4363" i="2"/>
  <c r="Z4363" i="2"/>
  <c r="AD4363" i="2"/>
  <c r="K4364" i="2"/>
  <c r="L4364" i="2"/>
  <c r="Z4364" i="2"/>
  <c r="AA4364" i="2" s="1"/>
  <c r="AD4364" i="2"/>
  <c r="K4365" i="2"/>
  <c r="L4365" i="2"/>
  <c r="Z4365" i="2"/>
  <c r="AD4365" i="2"/>
  <c r="K4366" i="2"/>
  <c r="L4366" i="2"/>
  <c r="Z4366" i="2"/>
  <c r="AC4366" i="2"/>
  <c r="AD4366" i="2"/>
  <c r="K4367" i="2"/>
  <c r="L4367" i="2"/>
  <c r="Z4367" i="2"/>
  <c r="AA4367" i="2" s="1"/>
  <c r="AD4367" i="2"/>
  <c r="K4368" i="2"/>
  <c r="L4368" i="2"/>
  <c r="Z4368" i="2"/>
  <c r="AA4368" i="2" s="1"/>
  <c r="AD4368" i="2"/>
  <c r="K4369" i="2"/>
  <c r="L4369" i="2"/>
  <c r="Z4369" i="2"/>
  <c r="AA4369" i="2" s="1"/>
  <c r="AD4369" i="2"/>
  <c r="K4370" i="2"/>
  <c r="L4370" i="2"/>
  <c r="Z4370" i="2"/>
  <c r="AA4370" i="2" s="1"/>
  <c r="AC4370" i="2"/>
  <c r="AD4370" i="2"/>
  <c r="K4371" i="2"/>
  <c r="L4371" i="2"/>
  <c r="Z4371" i="2"/>
  <c r="AA4371" i="2" s="1"/>
  <c r="AC4371" i="2"/>
  <c r="AD4371" i="2"/>
  <c r="K4372" i="2"/>
  <c r="L4372" i="2"/>
  <c r="Z4372" i="2"/>
  <c r="AA4372" i="2" s="1"/>
  <c r="AC4372" i="2"/>
  <c r="AD4372" i="2"/>
  <c r="K4373" i="2"/>
  <c r="L4373" i="2"/>
  <c r="Z4373" i="2"/>
  <c r="AB4373" i="2" s="1"/>
  <c r="AA4373" i="2"/>
  <c r="AD4373" i="2"/>
  <c r="K4374" i="2"/>
  <c r="L4374" i="2"/>
  <c r="Z4374" i="2"/>
  <c r="AA4374" i="2"/>
  <c r="AD4374" i="2"/>
  <c r="K4375" i="2"/>
  <c r="L4375" i="2"/>
  <c r="Z4375" i="2"/>
  <c r="AD4375" i="2"/>
  <c r="K4376" i="2"/>
  <c r="L4376" i="2"/>
  <c r="Z4376" i="2"/>
  <c r="AA4376" i="2" s="1"/>
  <c r="AD4376" i="2"/>
  <c r="K4377" i="2"/>
  <c r="L4377" i="2"/>
  <c r="Z4377" i="2"/>
  <c r="AA4377" i="2" s="1"/>
  <c r="AB4377" i="2"/>
  <c r="AD4377" i="2"/>
  <c r="K4378" i="2"/>
  <c r="L4378" i="2"/>
  <c r="Z4378" i="2"/>
  <c r="AD4378" i="2"/>
  <c r="K4379" i="2"/>
  <c r="L4379" i="2"/>
  <c r="Z4379" i="2"/>
  <c r="AD4379" i="2"/>
  <c r="K4380" i="2"/>
  <c r="L4380" i="2"/>
  <c r="Z4380" i="2"/>
  <c r="AA4380" i="2"/>
  <c r="AD4380" i="2"/>
  <c r="K4381" i="2"/>
  <c r="L4381" i="2"/>
  <c r="Z4381" i="2"/>
  <c r="AD4381" i="2"/>
  <c r="K4382" i="2"/>
  <c r="L4382" i="2"/>
  <c r="Z4382" i="2"/>
  <c r="AD4382" i="2"/>
  <c r="K4383" i="2"/>
  <c r="L4383" i="2"/>
  <c r="Z4383" i="2"/>
  <c r="AA4383" i="2" s="1"/>
  <c r="AC4383" i="2"/>
  <c r="AD4383" i="2"/>
  <c r="K4384" i="2"/>
  <c r="L4384" i="2"/>
  <c r="Z4384" i="2"/>
  <c r="AB4384" i="2" s="1"/>
  <c r="AD4384" i="2"/>
  <c r="K4385" i="2"/>
  <c r="L4385" i="2"/>
  <c r="Z4385" i="2"/>
  <c r="AD4385" i="2"/>
  <c r="K4386" i="2"/>
  <c r="L4386" i="2"/>
  <c r="Z4386" i="2"/>
  <c r="AD4386" i="2"/>
  <c r="K4387" i="2"/>
  <c r="L4387" i="2"/>
  <c r="Z4387" i="2"/>
  <c r="AD4387" i="2"/>
  <c r="K4388" i="2"/>
  <c r="L4388" i="2"/>
  <c r="Z4388" i="2"/>
  <c r="AA4388" i="2" s="1"/>
  <c r="AD4388" i="2"/>
  <c r="K4389" i="2"/>
  <c r="L4389" i="2"/>
  <c r="Z4389" i="2"/>
  <c r="AA4389" i="2" s="1"/>
  <c r="AB4389" i="2"/>
  <c r="AD4389" i="2"/>
  <c r="K4390" i="2"/>
  <c r="L4390" i="2"/>
  <c r="Z4390" i="2"/>
  <c r="AD4390" i="2"/>
  <c r="K4391" i="2"/>
  <c r="L4391" i="2"/>
  <c r="Z4391" i="2"/>
  <c r="AD4391" i="2"/>
  <c r="K4392" i="2"/>
  <c r="L4392" i="2"/>
  <c r="Z4392" i="2"/>
  <c r="AA4392" i="2" s="1"/>
  <c r="AD4392" i="2"/>
  <c r="K4393" i="2"/>
  <c r="L4393" i="2"/>
  <c r="Z4393" i="2"/>
  <c r="AA4393" i="2" s="1"/>
  <c r="AD4393" i="2"/>
  <c r="K4394" i="2"/>
  <c r="L4394" i="2"/>
  <c r="Z4394" i="2"/>
  <c r="AA4394" i="2" s="1"/>
  <c r="AC4394" i="2"/>
  <c r="AD4394" i="2"/>
  <c r="K4395" i="2"/>
  <c r="L4395" i="2"/>
  <c r="Z4395" i="2"/>
  <c r="AD4395" i="2"/>
  <c r="K4396" i="2"/>
  <c r="L4396" i="2"/>
  <c r="Z4396" i="2"/>
  <c r="AB4396" i="2" s="1"/>
  <c r="AA4396" i="2"/>
  <c r="AD4396" i="2"/>
  <c r="K4397" i="2"/>
  <c r="L4397" i="2"/>
  <c r="Z4397" i="2"/>
  <c r="AB4397" i="2" s="1"/>
  <c r="AD4397" i="2"/>
  <c r="K4398" i="2"/>
  <c r="L4398" i="2"/>
  <c r="Z4398" i="2"/>
  <c r="AA4398" i="2"/>
  <c r="AB4398" i="2"/>
  <c r="AC4398" i="2"/>
  <c r="AD4398" i="2"/>
  <c r="K4399" i="2"/>
  <c r="L4399" i="2"/>
  <c r="Z4399" i="2"/>
  <c r="AD4399" i="2"/>
  <c r="K4400" i="2"/>
  <c r="L4400" i="2"/>
  <c r="Z4400" i="2"/>
  <c r="AD4400" i="2"/>
  <c r="K4401" i="2"/>
  <c r="L4401" i="2"/>
  <c r="Z4401" i="2"/>
  <c r="AB4401" i="2"/>
  <c r="AD4401" i="2"/>
  <c r="K4402" i="2"/>
  <c r="L4402" i="2"/>
  <c r="Z4402" i="2"/>
  <c r="AA4402" i="2" s="1"/>
  <c r="AB4402" i="2"/>
  <c r="AC4402" i="2"/>
  <c r="AD4402" i="2"/>
  <c r="K4403" i="2"/>
  <c r="L4403" i="2"/>
  <c r="Z4403" i="2"/>
  <c r="AD4403" i="2"/>
  <c r="K4404" i="2"/>
  <c r="L4404" i="2"/>
  <c r="Z4404" i="2"/>
  <c r="AA4404" i="2"/>
  <c r="AD4404" i="2"/>
  <c r="K4405" i="2"/>
  <c r="L4405" i="2"/>
  <c r="Z4405" i="2"/>
  <c r="AA4405" i="2" s="1"/>
  <c r="AD4405" i="2"/>
  <c r="K4406" i="2"/>
  <c r="L4406" i="2"/>
  <c r="Z4406" i="2"/>
  <c r="AA4406" i="2" s="1"/>
  <c r="AC4406" i="2"/>
  <c r="AD4406" i="2"/>
  <c r="K4407" i="2"/>
  <c r="L4407" i="2"/>
  <c r="Z4407" i="2"/>
  <c r="AD4407" i="2"/>
  <c r="K4408" i="2"/>
  <c r="L4408" i="2"/>
  <c r="Z4408" i="2"/>
  <c r="AA4408" i="2"/>
  <c r="AD4408" i="2"/>
  <c r="K4409" i="2"/>
  <c r="L4409" i="2"/>
  <c r="Z4409" i="2"/>
  <c r="AD4409" i="2"/>
  <c r="K4410" i="2"/>
  <c r="L4410" i="2"/>
  <c r="Z4410" i="2"/>
  <c r="AB4410" i="2" s="1"/>
  <c r="AA4410" i="2"/>
  <c r="AC4410" i="2"/>
  <c r="AD4410" i="2"/>
  <c r="K4411" i="2"/>
  <c r="L4411" i="2"/>
  <c r="Z4411" i="2"/>
  <c r="AD4411" i="2"/>
  <c r="K4412" i="2"/>
  <c r="L4412" i="2"/>
  <c r="Z4412" i="2"/>
  <c r="AD4412" i="2"/>
  <c r="K4413" i="2"/>
  <c r="L4413" i="2"/>
  <c r="Z4413" i="2"/>
  <c r="AB4413" i="2"/>
  <c r="AD4413" i="2"/>
  <c r="K4414" i="2"/>
  <c r="L4414" i="2"/>
  <c r="Z4414" i="2"/>
  <c r="AA4414" i="2" s="1"/>
  <c r="AB4414" i="2"/>
  <c r="AC4414" i="2"/>
  <c r="AD4414" i="2"/>
  <c r="K4415" i="2"/>
  <c r="L4415" i="2"/>
  <c r="Z4415" i="2"/>
  <c r="AB4415" i="2"/>
  <c r="AD4415" i="2"/>
  <c r="K4416" i="2"/>
  <c r="L4416" i="2"/>
  <c r="Z4416" i="2"/>
  <c r="AA4416" i="2"/>
  <c r="AD4416" i="2"/>
  <c r="K4417" i="2"/>
  <c r="L4417" i="2"/>
  <c r="Z4417" i="2"/>
  <c r="AA4417" i="2"/>
  <c r="AD4417" i="2"/>
  <c r="K4418" i="2"/>
  <c r="L4418" i="2"/>
  <c r="Z4418" i="2"/>
  <c r="AD4418" i="2"/>
  <c r="K4419" i="2"/>
  <c r="L4419" i="2"/>
  <c r="Z4419" i="2"/>
  <c r="AA4419" i="2" s="1"/>
  <c r="AC4419" i="2"/>
  <c r="AD4419" i="2"/>
  <c r="K4420" i="2"/>
  <c r="L4420" i="2"/>
  <c r="Z4420" i="2"/>
  <c r="AC4420" i="2" s="1"/>
  <c r="AD4420" i="2"/>
  <c r="K4421" i="2"/>
  <c r="L4421" i="2"/>
  <c r="Z4421" i="2"/>
  <c r="AB4421" i="2" s="1"/>
  <c r="AA4421" i="2"/>
  <c r="AC4421" i="2"/>
  <c r="AD4421" i="2"/>
  <c r="K4422" i="2"/>
  <c r="L4422" i="2"/>
  <c r="Z4422" i="2"/>
  <c r="AB4422" i="2" s="1"/>
  <c r="AD4422" i="2"/>
  <c r="K4423" i="2"/>
  <c r="L4423" i="2"/>
  <c r="Z4423" i="2"/>
  <c r="AD4423" i="2"/>
  <c r="K4424" i="2"/>
  <c r="L4424" i="2"/>
  <c r="Z4424" i="2"/>
  <c r="AD4424" i="2"/>
  <c r="K4425" i="2"/>
  <c r="L4425" i="2"/>
  <c r="Z4425" i="2"/>
  <c r="AA4425" i="2" s="1"/>
  <c r="AB4425" i="2"/>
  <c r="AD4425" i="2"/>
  <c r="K4426" i="2"/>
  <c r="L4426" i="2"/>
  <c r="Z4426" i="2"/>
  <c r="AD4426" i="2"/>
  <c r="K4427" i="2"/>
  <c r="L4427" i="2"/>
  <c r="Z4427" i="2"/>
  <c r="AD4427" i="2"/>
  <c r="K4428" i="2"/>
  <c r="L4428" i="2"/>
  <c r="Z4428" i="2"/>
  <c r="AA4428" i="2" s="1"/>
  <c r="AD4428" i="2"/>
  <c r="K4429" i="2"/>
  <c r="L4429" i="2"/>
  <c r="Z4429" i="2"/>
  <c r="AA4429" i="2" s="1"/>
  <c r="AD4429" i="2"/>
  <c r="K4430" i="2"/>
  <c r="L4430" i="2"/>
  <c r="Z4430" i="2"/>
  <c r="AD4430" i="2"/>
  <c r="K4431" i="2"/>
  <c r="L4431" i="2"/>
  <c r="Z4431" i="2"/>
  <c r="AA4431" i="2" s="1"/>
  <c r="AC4431" i="2"/>
  <c r="AD4431" i="2"/>
  <c r="K4432" i="2"/>
  <c r="L4432" i="2"/>
  <c r="Z4432" i="2"/>
  <c r="AB4432" i="2" s="1"/>
  <c r="AD4432" i="2"/>
  <c r="K4433" i="2"/>
  <c r="L4433" i="2"/>
  <c r="Z4433" i="2"/>
  <c r="AC4433" i="2" s="1"/>
  <c r="AD4433" i="2"/>
  <c r="K4434" i="2"/>
  <c r="L4434" i="2"/>
  <c r="Z4434" i="2"/>
  <c r="AD4434" i="2"/>
  <c r="K4435" i="2"/>
  <c r="L4435" i="2"/>
  <c r="Z4435" i="2"/>
  <c r="AD4435" i="2"/>
  <c r="K4436" i="2"/>
  <c r="L4436" i="2"/>
  <c r="Z4436" i="2"/>
  <c r="AA4436" i="2"/>
  <c r="AD4436" i="2"/>
  <c r="K4437" i="2"/>
  <c r="L4437" i="2"/>
  <c r="Z4437" i="2"/>
  <c r="AD4437" i="2"/>
  <c r="K4438" i="2"/>
  <c r="L4438" i="2"/>
  <c r="Z4438" i="2"/>
  <c r="AD4438" i="2"/>
  <c r="K4439" i="2"/>
  <c r="L4439" i="2"/>
  <c r="Z4439" i="2"/>
  <c r="AA4439" i="2" s="1"/>
  <c r="AD4439" i="2"/>
  <c r="K4440" i="2"/>
  <c r="L4440" i="2"/>
  <c r="Z4440" i="2"/>
  <c r="AA4440" i="2" s="1"/>
  <c r="AD4440" i="2"/>
  <c r="K4441" i="2"/>
  <c r="L4441" i="2"/>
  <c r="Z4441" i="2"/>
  <c r="AD4441" i="2"/>
  <c r="K4442" i="2"/>
  <c r="L4442" i="2"/>
  <c r="Z4442" i="2"/>
  <c r="AA4442" i="2" s="1"/>
  <c r="AC4442" i="2"/>
  <c r="AD4442" i="2"/>
  <c r="K4443" i="2"/>
  <c r="L4443" i="2"/>
  <c r="Z4443" i="2"/>
  <c r="AC4443" i="2" s="1"/>
  <c r="AD4443" i="2"/>
  <c r="K4444" i="2"/>
  <c r="L4444" i="2"/>
  <c r="Z4444" i="2"/>
  <c r="AB4444" i="2" s="1"/>
  <c r="AD4444" i="2"/>
  <c r="K4445" i="2"/>
  <c r="L4445" i="2"/>
  <c r="Z4445" i="2"/>
  <c r="AB4445" i="2" s="1"/>
  <c r="AD4445" i="2"/>
  <c r="K4446" i="2"/>
  <c r="L4446" i="2"/>
  <c r="Z4446" i="2"/>
  <c r="AB4446" i="2" s="1"/>
  <c r="AC4446" i="2"/>
  <c r="AD4446" i="2"/>
  <c r="K4447" i="2"/>
  <c r="L4447" i="2"/>
  <c r="Z4447" i="2"/>
  <c r="AD4447" i="2"/>
  <c r="K4448" i="2"/>
  <c r="L4448" i="2"/>
  <c r="Z4448" i="2"/>
  <c r="AA4448" i="2" s="1"/>
  <c r="AD4448" i="2"/>
  <c r="K4449" i="2"/>
  <c r="L4449" i="2"/>
  <c r="Z4449" i="2"/>
  <c r="AA4449" i="2" s="1"/>
  <c r="AB4449" i="2"/>
  <c r="AD4449" i="2"/>
  <c r="K4450" i="2"/>
  <c r="L4450" i="2"/>
  <c r="Z4450" i="2"/>
  <c r="AD4450" i="2"/>
  <c r="K4451" i="2"/>
  <c r="L4451" i="2"/>
  <c r="Z4451" i="2"/>
  <c r="AA4451" i="2" s="1"/>
  <c r="AD4451" i="2"/>
  <c r="K4452" i="2"/>
  <c r="L4452" i="2"/>
  <c r="Z4452" i="2"/>
  <c r="AA4452" i="2"/>
  <c r="AD4452" i="2"/>
  <c r="K4453" i="2"/>
  <c r="L4453" i="2"/>
  <c r="Z4453" i="2"/>
  <c r="AC4453" i="2" s="1"/>
  <c r="AA4453" i="2"/>
  <c r="AD4453" i="2"/>
  <c r="K4454" i="2"/>
  <c r="L4454" i="2"/>
  <c r="Z4454" i="2"/>
  <c r="AA4454" i="2" s="1"/>
  <c r="AC4454" i="2"/>
  <c r="AD4454" i="2"/>
  <c r="K4455" i="2"/>
  <c r="L4455" i="2"/>
  <c r="Z4455" i="2"/>
  <c r="AC4455" i="2" s="1"/>
  <c r="AD4455" i="2"/>
  <c r="K4456" i="2"/>
  <c r="L4456" i="2"/>
  <c r="Z4456" i="2"/>
  <c r="AD4456" i="2"/>
  <c r="K4457" i="2"/>
  <c r="L4457" i="2"/>
  <c r="Z4457" i="2"/>
  <c r="AC4457" i="2" s="1"/>
  <c r="AD4457" i="2"/>
  <c r="K4458" i="2"/>
  <c r="L4458" i="2"/>
  <c r="Z4458" i="2"/>
  <c r="AD4458" i="2"/>
  <c r="K4459" i="2"/>
  <c r="L4459" i="2"/>
  <c r="Z4459" i="2"/>
  <c r="AD4459" i="2"/>
  <c r="K4460" i="2"/>
  <c r="L4460" i="2"/>
  <c r="Z4460" i="2"/>
  <c r="AA4460" i="2" s="1"/>
  <c r="AD4460" i="2"/>
  <c r="K4461" i="2"/>
  <c r="L4461" i="2"/>
  <c r="Z4461" i="2"/>
  <c r="AA4461" i="2" s="1"/>
  <c r="AB4461" i="2"/>
  <c r="AD4461" i="2"/>
  <c r="K4462" i="2"/>
  <c r="L4462" i="2"/>
  <c r="Z4462" i="2"/>
  <c r="AB4462" i="2" s="1"/>
  <c r="AD4462" i="2"/>
  <c r="K4463" i="2"/>
  <c r="L4463" i="2"/>
  <c r="Z4463" i="2"/>
  <c r="AA4463" i="2" s="1"/>
  <c r="AC4463" i="2"/>
  <c r="AD4463" i="2"/>
  <c r="K4464" i="2"/>
  <c r="L4464" i="2"/>
  <c r="Z4464" i="2"/>
  <c r="AA4464" i="2" s="1"/>
  <c r="AD4464" i="2"/>
  <c r="K4465" i="2"/>
  <c r="L4465" i="2"/>
  <c r="Z4465" i="2"/>
  <c r="AD4465" i="2"/>
  <c r="K4466" i="2"/>
  <c r="L4466" i="2"/>
  <c r="Z4466" i="2"/>
  <c r="AD4466" i="2"/>
  <c r="K4467" i="2"/>
  <c r="L4467" i="2"/>
  <c r="Z4467" i="2"/>
  <c r="AC4467" i="2" s="1"/>
  <c r="AD4467" i="2"/>
  <c r="K4468" i="2"/>
  <c r="L4468" i="2"/>
  <c r="Z4468" i="2"/>
  <c r="AB4468" i="2" s="1"/>
  <c r="AA4468" i="2"/>
  <c r="AD4468" i="2"/>
  <c r="K4469" i="2"/>
  <c r="L4469" i="2"/>
  <c r="Z4469" i="2"/>
  <c r="AD4469" i="2"/>
  <c r="K4470" i="2"/>
  <c r="L4470" i="2"/>
  <c r="Z4470" i="2"/>
  <c r="AC4470" i="2" s="1"/>
  <c r="AA4470" i="2"/>
  <c r="AB4470" i="2"/>
  <c r="AD4470" i="2"/>
  <c r="K4471" i="2"/>
  <c r="L4471" i="2"/>
  <c r="Z4471" i="2"/>
  <c r="AD4471" i="2"/>
  <c r="K4472" i="2"/>
  <c r="L4472" i="2"/>
  <c r="Z4472" i="2"/>
  <c r="AA4472" i="2" s="1"/>
  <c r="AD4472" i="2"/>
  <c r="K4473" i="2"/>
  <c r="L4473" i="2"/>
  <c r="Z4473" i="2"/>
  <c r="AA4473" i="2" s="1"/>
  <c r="AB4473" i="2"/>
  <c r="AC4473" i="2"/>
  <c r="AD4473" i="2"/>
  <c r="K4474" i="2"/>
  <c r="L4474" i="2"/>
  <c r="Z4474" i="2"/>
  <c r="AA4474" i="2" s="1"/>
  <c r="AB4474" i="2"/>
  <c r="AC4474" i="2"/>
  <c r="AD4474" i="2"/>
  <c r="K4475" i="2"/>
  <c r="L4475" i="2"/>
  <c r="Z4475" i="2"/>
  <c r="AA4475" i="2" s="1"/>
  <c r="AB4475" i="2"/>
  <c r="AC4475" i="2"/>
  <c r="AD4475" i="2"/>
  <c r="K4476" i="2"/>
  <c r="L4476" i="2"/>
  <c r="Z4476" i="2"/>
  <c r="AD4476" i="2"/>
  <c r="K4477" i="2"/>
  <c r="L4477" i="2"/>
  <c r="Z4477" i="2"/>
  <c r="AC4477" i="2" s="1"/>
  <c r="AB4477" i="2"/>
  <c r="AD4477" i="2"/>
  <c r="K4478" i="2"/>
  <c r="L4478" i="2"/>
  <c r="Z4478" i="2"/>
  <c r="AA4478" i="2" s="1"/>
  <c r="AC4478" i="2"/>
  <c r="AD4478" i="2"/>
  <c r="K4479" i="2"/>
  <c r="L4479" i="2"/>
  <c r="Z4479" i="2"/>
  <c r="AD4479" i="2"/>
  <c r="K4480" i="2"/>
  <c r="L4480" i="2"/>
  <c r="Z4480" i="2"/>
  <c r="AB4480" i="2" s="1"/>
  <c r="AA4480" i="2"/>
  <c r="AC4480" i="2"/>
  <c r="AD4480" i="2"/>
  <c r="K4481" i="2"/>
  <c r="L4481" i="2"/>
  <c r="Z4481" i="2"/>
  <c r="AC4481" i="2"/>
  <c r="AD4481" i="2"/>
  <c r="K4482" i="2"/>
  <c r="L4482" i="2"/>
  <c r="Z4482" i="2"/>
  <c r="AD4482" i="2"/>
  <c r="K4483" i="2"/>
  <c r="L4483" i="2"/>
  <c r="Z4483" i="2"/>
  <c r="AA4483" i="2"/>
  <c r="AD4483" i="2"/>
  <c r="K4484" i="2"/>
  <c r="L4484" i="2"/>
  <c r="Z4484" i="2"/>
  <c r="AC4484" i="2" s="1"/>
  <c r="AD4484" i="2"/>
  <c r="K4485" i="2"/>
  <c r="L4485" i="2"/>
  <c r="Z4485" i="2"/>
  <c r="AA4485" i="2" s="1"/>
  <c r="AB4485" i="2"/>
  <c r="AD4485" i="2"/>
  <c r="K4486" i="2"/>
  <c r="L4486" i="2"/>
  <c r="Z4486" i="2"/>
  <c r="AA4486" i="2" s="1"/>
  <c r="AD4486" i="2"/>
  <c r="K4487" i="2"/>
  <c r="L4487" i="2"/>
  <c r="Z4487" i="2"/>
  <c r="AD4487" i="2"/>
  <c r="K4488" i="2"/>
  <c r="L4488" i="2"/>
  <c r="Z4488" i="2"/>
  <c r="AC4488" i="2" s="1"/>
  <c r="AD4488" i="2"/>
  <c r="K4489" i="2"/>
  <c r="L4489" i="2"/>
  <c r="Z4489" i="2"/>
  <c r="AB4489" i="2" s="1"/>
  <c r="AA4489" i="2"/>
  <c r="AC4489" i="2"/>
  <c r="AD4489" i="2"/>
  <c r="K4490" i="2"/>
  <c r="L4490" i="2"/>
  <c r="Z4490" i="2"/>
  <c r="AC4490" i="2" s="1"/>
  <c r="AD4490" i="2"/>
  <c r="K4491" i="2"/>
  <c r="L4491" i="2"/>
  <c r="Z4491" i="2"/>
  <c r="AC4491" i="2"/>
  <c r="AD4491" i="2"/>
  <c r="K4492" i="2"/>
  <c r="L4492" i="2"/>
  <c r="Z4492" i="2"/>
  <c r="AC4492" i="2"/>
  <c r="AD4492" i="2"/>
  <c r="K4493" i="2"/>
  <c r="L4493" i="2"/>
  <c r="Z4493" i="2"/>
  <c r="AB4493" i="2" s="1"/>
  <c r="AC4493" i="2"/>
  <c r="AD4493" i="2"/>
  <c r="K4494" i="2"/>
  <c r="L4494" i="2"/>
  <c r="Z4494" i="2"/>
  <c r="AC4494" i="2"/>
  <c r="AD4494" i="2"/>
  <c r="K4495" i="2"/>
  <c r="L4495" i="2"/>
  <c r="Z4495" i="2"/>
  <c r="AA4495" i="2" s="1"/>
  <c r="AD4495" i="2"/>
  <c r="K4496" i="2"/>
  <c r="L4496" i="2"/>
  <c r="Z4496" i="2"/>
  <c r="AD4496" i="2"/>
  <c r="K4497" i="2"/>
  <c r="L4497" i="2"/>
  <c r="Z4497" i="2"/>
  <c r="AD4497" i="2"/>
  <c r="K4498" i="2"/>
  <c r="L4498" i="2"/>
  <c r="Z4498" i="2"/>
  <c r="AA4498" i="2" s="1"/>
  <c r="AB4498" i="2"/>
  <c r="AD4498" i="2"/>
  <c r="K4499" i="2"/>
  <c r="L4499" i="2"/>
  <c r="Z4499" i="2"/>
  <c r="AA4499" i="2" s="1"/>
  <c r="AD4499" i="2"/>
  <c r="K4500" i="2"/>
  <c r="L4500" i="2"/>
  <c r="Z4500" i="2"/>
  <c r="AC4500" i="2" s="1"/>
  <c r="AD4500" i="2"/>
  <c r="K4501" i="2"/>
  <c r="L4501" i="2"/>
  <c r="Z4501" i="2"/>
  <c r="AA4501" i="2" s="1"/>
  <c r="AB4501" i="2"/>
  <c r="AC4501" i="2"/>
  <c r="AD4501" i="2"/>
  <c r="K4502" i="2"/>
  <c r="L4502" i="2"/>
  <c r="Z4502" i="2"/>
  <c r="AC4502" i="2" s="1"/>
  <c r="AD4502" i="2"/>
  <c r="K4503" i="2"/>
  <c r="L4503" i="2"/>
  <c r="Z4503" i="2"/>
  <c r="AB4503" i="2" s="1"/>
  <c r="AD4503" i="2"/>
  <c r="K4504" i="2"/>
  <c r="L4504" i="2"/>
  <c r="Z4504" i="2"/>
  <c r="AA4504" i="2"/>
  <c r="AD4504" i="2"/>
  <c r="K4505" i="2"/>
  <c r="L4505" i="2"/>
  <c r="Z4505" i="2"/>
  <c r="AC4505" i="2" s="1"/>
  <c r="AB4505" i="2"/>
  <c r="AD4505" i="2"/>
  <c r="K4506" i="2"/>
  <c r="L4506" i="2"/>
  <c r="Z4506" i="2"/>
  <c r="AD4506" i="2"/>
  <c r="K4507" i="2"/>
  <c r="L4507" i="2"/>
  <c r="Z4507" i="2"/>
  <c r="AD4507" i="2"/>
  <c r="K4508" i="2"/>
  <c r="L4508" i="2"/>
  <c r="Z4508" i="2"/>
  <c r="AC4508" i="2" s="1"/>
  <c r="AB4508" i="2"/>
  <c r="AD4508" i="2"/>
  <c r="K4509" i="2"/>
  <c r="L4509" i="2"/>
  <c r="Z4509" i="2"/>
  <c r="AD4509" i="2"/>
  <c r="K4510" i="2"/>
  <c r="L4510" i="2"/>
  <c r="Z4510" i="2"/>
  <c r="AD4510" i="2"/>
  <c r="K4511" i="2"/>
  <c r="L4511" i="2"/>
  <c r="Z4511" i="2"/>
  <c r="AB4511" i="2" s="1"/>
  <c r="AA4511" i="2"/>
  <c r="AD4511" i="2"/>
  <c r="K4512" i="2"/>
  <c r="L4512" i="2"/>
  <c r="Z4512" i="2"/>
  <c r="AD4512" i="2"/>
  <c r="K4513" i="2"/>
  <c r="L4513" i="2"/>
  <c r="Z4513" i="2"/>
  <c r="AA4513" i="2" s="1"/>
  <c r="AD4513" i="2"/>
  <c r="K4514" i="2"/>
  <c r="L4514" i="2"/>
  <c r="Z4514" i="2"/>
  <c r="AC4514" i="2"/>
  <c r="AD4514" i="2"/>
  <c r="K4515" i="2"/>
  <c r="L4515" i="2"/>
  <c r="Z4515" i="2"/>
  <c r="AB4515" i="2" s="1"/>
  <c r="AD4515" i="2"/>
  <c r="K4516" i="2"/>
  <c r="L4516" i="2"/>
  <c r="Z4516" i="2"/>
  <c r="AB4516" i="2" s="1"/>
  <c r="AA4516" i="2"/>
  <c r="AD4516" i="2"/>
  <c r="K4517" i="2"/>
  <c r="L4517" i="2"/>
  <c r="Z4517" i="2"/>
  <c r="AB4517" i="2" s="1"/>
  <c r="AD4517" i="2"/>
  <c r="K4518" i="2"/>
  <c r="L4518" i="2"/>
  <c r="Z4518" i="2"/>
  <c r="AA4518" i="2" s="1"/>
  <c r="AC4518" i="2"/>
  <c r="AD4518" i="2"/>
  <c r="K4519" i="2"/>
  <c r="L4519" i="2"/>
  <c r="Z4519" i="2"/>
  <c r="AC4519" i="2" s="1"/>
  <c r="AD4519" i="2"/>
  <c r="K4520" i="2"/>
  <c r="L4520" i="2"/>
  <c r="Z4520" i="2"/>
  <c r="AC4520" i="2" s="1"/>
  <c r="AB4520" i="2"/>
  <c r="AD4520" i="2"/>
  <c r="K4521" i="2"/>
  <c r="L4521" i="2"/>
  <c r="Z4521" i="2"/>
  <c r="AA4521" i="2" s="1"/>
  <c r="AD4521" i="2"/>
  <c r="K4522" i="2"/>
  <c r="L4522" i="2"/>
  <c r="Z4522" i="2"/>
  <c r="AA4522" i="2" s="1"/>
  <c r="AC4522" i="2"/>
  <c r="AD4522" i="2"/>
  <c r="K4523" i="2"/>
  <c r="L4523" i="2"/>
  <c r="Z4523" i="2"/>
  <c r="AA4523" i="2" s="1"/>
  <c r="AD4523" i="2"/>
  <c r="K4524" i="2"/>
  <c r="L4524" i="2"/>
  <c r="Z4524" i="2"/>
  <c r="AC4524" i="2" s="1"/>
  <c r="AA4524" i="2"/>
  <c r="AB4524" i="2"/>
  <c r="AD4524" i="2"/>
  <c r="K4525" i="2"/>
  <c r="L4525" i="2"/>
  <c r="Z4525" i="2"/>
  <c r="AB4525" i="2" s="1"/>
  <c r="AD4525" i="2"/>
  <c r="K4526" i="2"/>
  <c r="L4526" i="2"/>
  <c r="Z4526" i="2"/>
  <c r="AB4526" i="2" s="1"/>
  <c r="AD4526" i="2"/>
  <c r="K4527" i="2"/>
  <c r="L4527" i="2"/>
  <c r="Z4527" i="2"/>
  <c r="AB4527" i="2" s="1"/>
  <c r="AA4527" i="2"/>
  <c r="AC4527" i="2"/>
  <c r="AD4527" i="2"/>
  <c r="K4528" i="2"/>
  <c r="L4528" i="2"/>
  <c r="Z4528" i="2"/>
  <c r="AD4528" i="2"/>
  <c r="K4529" i="2"/>
  <c r="L4529" i="2"/>
  <c r="Z4529" i="2"/>
  <c r="AC4529" i="2" s="1"/>
  <c r="AD4529" i="2"/>
  <c r="K4530" i="2"/>
  <c r="L4530" i="2"/>
  <c r="Z4530" i="2"/>
  <c r="AD4530" i="2"/>
  <c r="K4531" i="2"/>
  <c r="L4531" i="2"/>
  <c r="Z4531" i="2"/>
  <c r="AD4531" i="2"/>
  <c r="K4532" i="2"/>
  <c r="L4532" i="2"/>
  <c r="Z4532" i="2"/>
  <c r="AC4532" i="2" s="1"/>
  <c r="AD4532" i="2"/>
  <c r="K4533" i="2"/>
  <c r="L4533" i="2"/>
  <c r="Z4533" i="2"/>
  <c r="AA4533" i="2" s="1"/>
  <c r="AD4533" i="2"/>
  <c r="K4534" i="2"/>
  <c r="L4534" i="2"/>
  <c r="Z4534" i="2"/>
  <c r="AA4534" i="2" s="1"/>
  <c r="AD4534" i="2"/>
  <c r="K4535" i="2"/>
  <c r="L4535" i="2"/>
  <c r="Z4535" i="2"/>
  <c r="AC4535" i="2" s="1"/>
  <c r="AD4535" i="2"/>
  <c r="K4536" i="2"/>
  <c r="L4536" i="2"/>
  <c r="Z4536" i="2"/>
  <c r="AD4536" i="2"/>
  <c r="K4537" i="2"/>
  <c r="L4537" i="2"/>
  <c r="Z4537" i="2"/>
  <c r="AB4537" i="2" s="1"/>
  <c r="AA4537" i="2"/>
  <c r="AD4537" i="2"/>
  <c r="K4538" i="2"/>
  <c r="L4538" i="2"/>
  <c r="Z4538" i="2"/>
  <c r="AB4538" i="2" s="1"/>
  <c r="AA4538" i="2"/>
  <c r="AC4538" i="2"/>
  <c r="AD4538" i="2"/>
  <c r="K4539" i="2"/>
  <c r="L4539" i="2"/>
  <c r="Z4539" i="2"/>
  <c r="AB4539" i="2" s="1"/>
  <c r="AD4539" i="2"/>
  <c r="K4540" i="2"/>
  <c r="L4540" i="2"/>
  <c r="Z4540" i="2"/>
  <c r="AD4540" i="2"/>
  <c r="K4541" i="2"/>
  <c r="L4541" i="2"/>
  <c r="Z4541" i="2"/>
  <c r="AA4541" i="2" s="1"/>
  <c r="AD4541" i="2"/>
  <c r="K4542" i="2"/>
  <c r="L4542" i="2"/>
  <c r="Z4542" i="2"/>
  <c r="AB4542" i="2" s="1"/>
  <c r="AA4542" i="2"/>
  <c r="AD4542" i="2"/>
  <c r="K4543" i="2"/>
  <c r="L4543" i="2"/>
  <c r="Z4543" i="2"/>
  <c r="AC4543" i="2" s="1"/>
  <c r="AD4543" i="2"/>
  <c r="K4544" i="2"/>
  <c r="L4544" i="2"/>
  <c r="Z4544" i="2"/>
  <c r="AD4544" i="2"/>
  <c r="K4545" i="2"/>
  <c r="L4545" i="2"/>
  <c r="Z4545" i="2"/>
  <c r="AA4545" i="2" s="1"/>
  <c r="AD4545" i="2"/>
  <c r="K4546" i="2"/>
  <c r="L4546" i="2"/>
  <c r="Z4546" i="2"/>
  <c r="AA4546" i="2" s="1"/>
  <c r="AC4546" i="2"/>
  <c r="AD4546" i="2"/>
  <c r="K4547" i="2"/>
  <c r="L4547" i="2"/>
  <c r="Z4547" i="2"/>
  <c r="AA4547" i="2" s="1"/>
  <c r="AD4547" i="2"/>
  <c r="K4548" i="2"/>
  <c r="L4548" i="2"/>
  <c r="Z4548" i="2"/>
  <c r="AA4548" i="2" s="1"/>
  <c r="AB4548" i="2"/>
  <c r="AC4548" i="2"/>
  <c r="AD4548" i="2"/>
  <c r="K4549" i="2"/>
  <c r="L4549" i="2"/>
  <c r="Z4549" i="2"/>
  <c r="AA4549" i="2" s="1"/>
  <c r="AB4549" i="2"/>
  <c r="AC4549" i="2"/>
  <c r="AD4549" i="2"/>
  <c r="K4550" i="2"/>
  <c r="L4550" i="2"/>
  <c r="Z4550" i="2"/>
  <c r="AB4550" i="2" s="1"/>
  <c r="AD4550" i="2"/>
  <c r="K4551" i="2"/>
  <c r="L4551" i="2"/>
  <c r="Z4551" i="2"/>
  <c r="AB4551" i="2" s="1"/>
  <c r="AA4551" i="2"/>
  <c r="AD4551" i="2"/>
  <c r="K4552" i="2"/>
  <c r="L4552" i="2"/>
  <c r="Z4552" i="2"/>
  <c r="AC4552" i="2" s="1"/>
  <c r="AA4552" i="2"/>
  <c r="AB4552" i="2"/>
  <c r="AD4552" i="2"/>
  <c r="K4553" i="2"/>
  <c r="L4553" i="2"/>
  <c r="Z4553" i="2"/>
  <c r="AA4553" i="2" s="1"/>
  <c r="AD4553" i="2"/>
  <c r="K4554" i="2"/>
  <c r="L4554" i="2"/>
  <c r="Z4554" i="2"/>
  <c r="AB4554" i="2"/>
  <c r="AD4554" i="2"/>
  <c r="K4555" i="2"/>
  <c r="L4555" i="2"/>
  <c r="Z4555" i="2"/>
  <c r="AC4555" i="2" s="1"/>
  <c r="AB4555" i="2"/>
  <c r="AD4555" i="2"/>
  <c r="K4556" i="2"/>
  <c r="L4556" i="2"/>
  <c r="Z4556" i="2"/>
  <c r="AC4556" i="2" s="1"/>
  <c r="AD4556" i="2"/>
  <c r="K4557" i="2"/>
  <c r="L4557" i="2"/>
  <c r="Z4557" i="2"/>
  <c r="AD4557" i="2"/>
  <c r="K4558" i="2"/>
  <c r="L4558" i="2"/>
  <c r="Z4558" i="2"/>
  <c r="AA4558" i="2" s="1"/>
  <c r="AD4558" i="2"/>
  <c r="K4559" i="2"/>
  <c r="L4559" i="2"/>
  <c r="Z4559" i="2"/>
  <c r="AC4559" i="2"/>
  <c r="AD4559" i="2"/>
  <c r="K4560" i="2"/>
  <c r="L4560" i="2"/>
  <c r="Z4560" i="2"/>
  <c r="AD4560" i="2"/>
  <c r="K4561" i="2"/>
  <c r="L4561" i="2"/>
  <c r="Z4561" i="2"/>
  <c r="AB4561" i="2" s="1"/>
  <c r="AA4561" i="2"/>
  <c r="AD4561" i="2"/>
  <c r="K4562" i="2"/>
  <c r="L4562" i="2"/>
  <c r="Z4562" i="2"/>
  <c r="AB4562" i="2" s="1"/>
  <c r="AA4562" i="2"/>
  <c r="AD4562" i="2"/>
  <c r="K4563" i="2"/>
  <c r="L4563" i="2"/>
  <c r="Z4563" i="2"/>
  <c r="AB4563" i="2" s="1"/>
  <c r="AD4563" i="2"/>
  <c r="K4564" i="2"/>
  <c r="L4564" i="2"/>
  <c r="Z4564" i="2"/>
  <c r="AB4564" i="2" s="1"/>
  <c r="AA4564" i="2"/>
  <c r="AD4564" i="2"/>
  <c r="K4565" i="2"/>
  <c r="L4565" i="2"/>
  <c r="Z4565" i="2"/>
  <c r="AC4565" i="2" s="1"/>
  <c r="AD4565" i="2"/>
  <c r="K4566" i="2"/>
  <c r="L4566" i="2"/>
  <c r="Z4566" i="2"/>
  <c r="AB4566" i="2" s="1"/>
  <c r="AA4566" i="2"/>
  <c r="AD4566" i="2"/>
  <c r="K4567" i="2"/>
  <c r="L4567" i="2"/>
  <c r="Z4567" i="2"/>
  <c r="AC4567" i="2" s="1"/>
  <c r="AD4567" i="2"/>
  <c r="K4568" i="2"/>
  <c r="L4568" i="2"/>
  <c r="Z4568" i="2"/>
  <c r="AC4568" i="2" s="1"/>
  <c r="AD4568" i="2"/>
  <c r="K4569" i="2"/>
  <c r="L4569" i="2"/>
  <c r="Z4569" i="2"/>
  <c r="AA4569" i="2" s="1"/>
  <c r="AD4569" i="2"/>
  <c r="K4570" i="2"/>
  <c r="L4570" i="2"/>
  <c r="Z4570" i="2"/>
  <c r="AA4570" i="2" s="1"/>
  <c r="AC4570" i="2"/>
  <c r="AD4570" i="2"/>
  <c r="K4571" i="2"/>
  <c r="L4571" i="2"/>
  <c r="Z4571" i="2"/>
  <c r="AA4571" i="2" s="1"/>
  <c r="AD4571" i="2"/>
  <c r="K4572" i="2"/>
  <c r="L4572" i="2"/>
  <c r="Z4572" i="2"/>
  <c r="AA4572" i="2"/>
  <c r="AD4572" i="2"/>
  <c r="K4573" i="2"/>
  <c r="L4573" i="2"/>
  <c r="Z4573" i="2"/>
  <c r="AB4573" i="2" s="1"/>
  <c r="AD4573" i="2"/>
  <c r="K4574" i="2"/>
  <c r="L4574" i="2"/>
  <c r="Z4574" i="2"/>
  <c r="AB4574" i="2" s="1"/>
  <c r="AD4574" i="2"/>
  <c r="K4575" i="2"/>
  <c r="L4575" i="2"/>
  <c r="Z4575" i="2"/>
  <c r="AC4575" i="2" s="1"/>
  <c r="AD4575" i="2"/>
  <c r="K4576" i="2"/>
  <c r="L4576" i="2"/>
  <c r="Z4576" i="2"/>
  <c r="AA4576" i="2" s="1"/>
  <c r="AB4576" i="2"/>
  <c r="AC4576" i="2"/>
  <c r="AD4576" i="2"/>
  <c r="K4577" i="2"/>
  <c r="L4577" i="2"/>
  <c r="Z4577" i="2"/>
  <c r="AA4577" i="2"/>
  <c r="AB4577" i="2"/>
  <c r="AC4577" i="2"/>
  <c r="AD4577" i="2"/>
  <c r="K4578" i="2"/>
  <c r="L4578" i="2"/>
  <c r="Z4578" i="2"/>
  <c r="AA4578" i="2" s="1"/>
  <c r="AD4578" i="2"/>
  <c r="K4579" i="2"/>
  <c r="L4579" i="2"/>
  <c r="Z4579" i="2"/>
  <c r="AD4579" i="2"/>
  <c r="K4580" i="2"/>
  <c r="L4580" i="2"/>
  <c r="Z4580" i="2"/>
  <c r="AC4580" i="2" s="1"/>
  <c r="AD4580" i="2"/>
  <c r="K4581" i="2"/>
  <c r="L4581" i="2"/>
  <c r="Z4581" i="2"/>
  <c r="AD4581" i="2"/>
  <c r="K4582" i="2"/>
  <c r="L4582" i="2"/>
  <c r="Z4582" i="2"/>
  <c r="AA4582" i="2" s="1"/>
  <c r="AD4582" i="2"/>
  <c r="K4583" i="2"/>
  <c r="L4583" i="2"/>
  <c r="Z4583" i="2"/>
  <c r="AD4583" i="2"/>
  <c r="K4584" i="2"/>
  <c r="L4584" i="2"/>
  <c r="Z4584" i="2"/>
  <c r="AD4584" i="2"/>
  <c r="K4585" i="2"/>
  <c r="L4585" i="2"/>
  <c r="Z4585" i="2"/>
  <c r="AB4585" i="2" s="1"/>
  <c r="AD4585" i="2"/>
  <c r="K4586" i="2"/>
  <c r="L4586" i="2"/>
  <c r="Z4586" i="2"/>
  <c r="AD4586" i="2"/>
  <c r="K4587" i="2"/>
  <c r="L4587" i="2"/>
  <c r="Z4587" i="2"/>
  <c r="AB4587" i="2" s="1"/>
  <c r="AD4587" i="2"/>
  <c r="K4588" i="2"/>
  <c r="L4588" i="2"/>
  <c r="Z4588" i="2"/>
  <c r="AA4588" i="2"/>
  <c r="AB4588" i="2"/>
  <c r="AC4588" i="2"/>
  <c r="AD4588" i="2"/>
  <c r="K4589" i="2"/>
  <c r="L4589" i="2"/>
  <c r="Z4589" i="2"/>
  <c r="AC4589" i="2" s="1"/>
  <c r="AA4589" i="2"/>
  <c r="AD4589" i="2"/>
  <c r="K4590" i="2"/>
  <c r="L4590" i="2"/>
  <c r="Z4590" i="2"/>
  <c r="AB4590" i="2" s="1"/>
  <c r="AA4590" i="2"/>
  <c r="AC4590" i="2"/>
  <c r="AD4590" i="2"/>
  <c r="K4591" i="2"/>
  <c r="L4591" i="2"/>
  <c r="Z4591" i="2"/>
  <c r="AC4591" i="2" s="1"/>
  <c r="AD4591" i="2"/>
  <c r="K4592" i="2"/>
  <c r="L4592" i="2"/>
  <c r="Z4592" i="2"/>
  <c r="AC4592" i="2" s="1"/>
  <c r="AB4592" i="2"/>
  <c r="AD4592" i="2"/>
  <c r="K4593" i="2"/>
  <c r="L4593" i="2"/>
  <c r="Z4593" i="2"/>
  <c r="AA4593" i="2" s="1"/>
  <c r="AD4593" i="2"/>
  <c r="K4594" i="2"/>
  <c r="L4594" i="2"/>
  <c r="Z4594" i="2"/>
  <c r="AA4594" i="2" s="1"/>
  <c r="AD4594" i="2"/>
  <c r="K4595" i="2"/>
  <c r="L4595" i="2"/>
  <c r="Z4595" i="2"/>
  <c r="AA4595" i="2" s="1"/>
  <c r="AD4595" i="2"/>
  <c r="K4596" i="2"/>
  <c r="L4596" i="2"/>
  <c r="Z4596" i="2"/>
  <c r="AD4596" i="2"/>
  <c r="K4597" i="2"/>
  <c r="L4597" i="2"/>
  <c r="Z4597" i="2"/>
  <c r="AC4597" i="2" s="1"/>
  <c r="AD4597" i="2"/>
  <c r="K4598" i="2"/>
  <c r="L4598" i="2"/>
  <c r="Z4598" i="2"/>
  <c r="AB4598" i="2" s="1"/>
  <c r="AD4598" i="2"/>
  <c r="K4599" i="2"/>
  <c r="L4599" i="2"/>
  <c r="Z4599" i="2"/>
  <c r="AD4599" i="2"/>
  <c r="K4600" i="2"/>
  <c r="L4600" i="2"/>
  <c r="Z4600" i="2"/>
  <c r="AB4600" i="2" s="1"/>
  <c r="AD4600" i="2"/>
  <c r="K4601" i="2"/>
  <c r="L4601" i="2"/>
  <c r="Z4601" i="2"/>
  <c r="AC4601" i="2" s="1"/>
  <c r="AA4601" i="2"/>
  <c r="AB4601" i="2"/>
  <c r="AD4601" i="2"/>
  <c r="K4602" i="2"/>
  <c r="L4602" i="2"/>
  <c r="Z4602" i="2"/>
  <c r="AA4602" i="2" s="1"/>
  <c r="AD4602" i="2"/>
  <c r="K4603" i="2"/>
  <c r="L4603" i="2"/>
  <c r="Z4603" i="2"/>
  <c r="AD4603" i="2"/>
  <c r="K4604" i="2"/>
  <c r="L4604" i="2"/>
  <c r="Z4604" i="2"/>
  <c r="AC4604" i="2" s="1"/>
  <c r="AD4604" i="2"/>
  <c r="K4605" i="2"/>
  <c r="L4605" i="2"/>
  <c r="Z4605" i="2"/>
  <c r="AD4605" i="2"/>
  <c r="K4606" i="2"/>
  <c r="L4606" i="2"/>
  <c r="Z4606" i="2"/>
  <c r="AA4606" i="2" s="1"/>
  <c r="AD4606" i="2"/>
  <c r="K4607" i="2"/>
  <c r="L4607" i="2"/>
  <c r="Z4607" i="2"/>
  <c r="AA4607" i="2" s="1"/>
  <c r="AB4607" i="2"/>
  <c r="AC4607" i="2"/>
  <c r="AD4607" i="2"/>
  <c r="K4608" i="2"/>
  <c r="L4608" i="2"/>
  <c r="Z4608" i="2"/>
  <c r="AD4608" i="2"/>
  <c r="K4609" i="2"/>
  <c r="L4609" i="2"/>
  <c r="Z4609" i="2"/>
  <c r="AD4609" i="2"/>
  <c r="K4610" i="2"/>
  <c r="L4610" i="2"/>
  <c r="Z4610" i="2"/>
  <c r="AC4610" i="2"/>
  <c r="AD4610" i="2"/>
  <c r="K4611" i="2"/>
  <c r="L4611" i="2"/>
  <c r="Z4611" i="2"/>
  <c r="AB4611" i="2" s="1"/>
  <c r="AD4611" i="2"/>
  <c r="K4612" i="2"/>
  <c r="L4612" i="2"/>
  <c r="Z4612" i="2"/>
  <c r="AA4612" i="2"/>
  <c r="AD4612" i="2"/>
  <c r="K4613" i="2"/>
  <c r="L4613" i="2"/>
  <c r="Z4613" i="2"/>
  <c r="AA4613" i="2" s="1"/>
  <c r="AD4613" i="2"/>
  <c r="K4614" i="2"/>
  <c r="L4614" i="2"/>
  <c r="Z4614" i="2"/>
  <c r="AC4614" i="2" s="1"/>
  <c r="AD4614" i="2"/>
  <c r="K4615" i="2"/>
  <c r="L4615" i="2"/>
  <c r="Z4615" i="2"/>
  <c r="AC4615" i="2" s="1"/>
  <c r="AD4615" i="2"/>
  <c r="K4616" i="2"/>
  <c r="L4616" i="2"/>
  <c r="Z4616" i="2"/>
  <c r="AC4616" i="2" s="1"/>
  <c r="AB4616" i="2"/>
  <c r="AD4616" i="2"/>
  <c r="K4617" i="2"/>
  <c r="L4617" i="2"/>
  <c r="Z4617" i="2"/>
  <c r="AA4617" i="2" s="1"/>
  <c r="AD4617" i="2"/>
  <c r="K4618" i="2"/>
  <c r="L4618" i="2"/>
  <c r="Z4618" i="2"/>
  <c r="AA4618" i="2" s="1"/>
  <c r="AD4618" i="2"/>
  <c r="K4619" i="2"/>
  <c r="L4619" i="2"/>
  <c r="Z4619" i="2"/>
  <c r="AA4619" i="2" s="1"/>
  <c r="AD4619" i="2"/>
  <c r="K4620" i="2"/>
  <c r="L4620" i="2"/>
  <c r="Z4620" i="2"/>
  <c r="AC4620" i="2" s="1"/>
  <c r="AA4620" i="2"/>
  <c r="AD4620" i="2"/>
  <c r="K4621" i="2"/>
  <c r="L4621" i="2"/>
  <c r="Z4621" i="2"/>
  <c r="AD4621" i="2"/>
  <c r="K4622" i="2"/>
  <c r="L4622" i="2"/>
  <c r="Z4622" i="2"/>
  <c r="AB4622" i="2" s="1"/>
  <c r="AD4622" i="2"/>
  <c r="K4623" i="2"/>
  <c r="L4623" i="2"/>
  <c r="Z4623" i="2"/>
  <c r="AD4623" i="2"/>
  <c r="K4624" i="2"/>
  <c r="L4624" i="2"/>
  <c r="Z4624" i="2"/>
  <c r="AB4624" i="2" s="1"/>
  <c r="AD4624" i="2"/>
  <c r="K4625" i="2"/>
  <c r="L4625" i="2"/>
  <c r="Z4625" i="2"/>
  <c r="AC4625" i="2"/>
  <c r="AD4625" i="2"/>
  <c r="K4626" i="2"/>
  <c r="L4626" i="2"/>
  <c r="Z4626" i="2"/>
  <c r="AD4626" i="2"/>
  <c r="K4627" i="2"/>
  <c r="L4627" i="2"/>
  <c r="Z4627" i="2"/>
  <c r="AC4627" i="2" s="1"/>
  <c r="AD4627" i="2"/>
  <c r="K4628" i="2"/>
  <c r="L4628" i="2"/>
  <c r="Z4628" i="2"/>
  <c r="AC4628" i="2" s="1"/>
  <c r="AD4628" i="2"/>
  <c r="K4629" i="2"/>
  <c r="L4629" i="2"/>
  <c r="Z4629" i="2"/>
  <c r="AA4629" i="2" s="1"/>
  <c r="AC4629" i="2"/>
  <c r="AD4629" i="2"/>
  <c r="K4630" i="2"/>
  <c r="L4630" i="2"/>
  <c r="Z4630" i="2"/>
  <c r="AA4630" i="2" s="1"/>
  <c r="AD4630" i="2"/>
  <c r="K4631" i="2"/>
  <c r="L4631" i="2"/>
  <c r="Z4631" i="2"/>
  <c r="AA4631" i="2" s="1"/>
  <c r="AD4631" i="2"/>
  <c r="K4632" i="2"/>
  <c r="L4632" i="2"/>
  <c r="Z4632" i="2"/>
  <c r="AC4632" i="2" s="1"/>
  <c r="AA4632" i="2"/>
  <c r="AB4632" i="2"/>
  <c r="AD4632" i="2"/>
  <c r="K4633" i="2"/>
  <c r="L4633" i="2"/>
  <c r="Z4633" i="2"/>
  <c r="AD4633" i="2"/>
  <c r="K4634" i="2"/>
  <c r="L4634" i="2"/>
  <c r="Z4634" i="2"/>
  <c r="AB4634" i="2" s="1"/>
  <c r="AA4634" i="2"/>
  <c r="AC4634" i="2"/>
  <c r="AD4634" i="2"/>
  <c r="K4635" i="2"/>
  <c r="L4635" i="2"/>
  <c r="Z4635" i="2"/>
  <c r="AB4635" i="2" s="1"/>
  <c r="AD4635" i="2"/>
  <c r="K4636" i="2"/>
  <c r="L4636" i="2"/>
  <c r="Z4636" i="2"/>
  <c r="AA4636" i="2" s="1"/>
  <c r="AD4636" i="2"/>
  <c r="K4637" i="2"/>
  <c r="L4637" i="2"/>
  <c r="Z4637" i="2"/>
  <c r="AD4637" i="2"/>
  <c r="K4638" i="2"/>
  <c r="L4638" i="2"/>
  <c r="Z4638" i="2"/>
  <c r="AC4638" i="2"/>
  <c r="AD4638" i="2"/>
  <c r="K4639" i="2"/>
  <c r="L4639" i="2"/>
  <c r="Z4639" i="2"/>
  <c r="AC4639" i="2" s="1"/>
  <c r="AD4639" i="2"/>
  <c r="K4640" i="2"/>
  <c r="L4640" i="2"/>
  <c r="Z4640" i="2"/>
  <c r="AC4640" i="2" s="1"/>
  <c r="AD4640" i="2"/>
  <c r="K4641" i="2"/>
  <c r="L4641" i="2"/>
  <c r="Z4641" i="2"/>
  <c r="AA4641" i="2" s="1"/>
  <c r="AD4641" i="2"/>
  <c r="K4642" i="2"/>
  <c r="L4642" i="2"/>
  <c r="Z4642" i="2"/>
  <c r="AD4642" i="2"/>
  <c r="K4643" i="2"/>
  <c r="L4643" i="2"/>
  <c r="Z4643" i="2"/>
  <c r="AA4643" i="2" s="1"/>
  <c r="AD4643" i="2"/>
  <c r="K4644" i="2"/>
  <c r="L4644" i="2"/>
  <c r="Z4644" i="2"/>
  <c r="AA4644" i="2" s="1"/>
  <c r="AD4644" i="2"/>
  <c r="K4645" i="2"/>
  <c r="L4645" i="2"/>
  <c r="Z4645" i="2"/>
  <c r="AA4645" i="2"/>
  <c r="AD4645" i="2"/>
  <c r="K4646" i="2"/>
  <c r="L4646" i="2"/>
  <c r="Z4646" i="2"/>
  <c r="AA4646" i="2" s="1"/>
  <c r="AD4646" i="2"/>
  <c r="K4647" i="2"/>
  <c r="L4647" i="2"/>
  <c r="Z4647" i="2"/>
  <c r="AA4647" i="2" s="1"/>
  <c r="AD4647" i="2"/>
  <c r="K4648" i="2"/>
  <c r="L4648" i="2"/>
  <c r="Z4648" i="2"/>
  <c r="AD4648" i="2"/>
  <c r="K4649" i="2"/>
  <c r="L4649" i="2"/>
  <c r="Z4649" i="2"/>
  <c r="AA4649" i="2" s="1"/>
  <c r="AB4649" i="2"/>
  <c r="AC4649" i="2"/>
  <c r="AD4649" i="2"/>
  <c r="K4650" i="2"/>
  <c r="L4650" i="2"/>
  <c r="Z4650" i="2"/>
  <c r="AA4650" i="2" s="1"/>
  <c r="AC4650" i="2"/>
  <c r="AD4650" i="2"/>
  <c r="K4651" i="2"/>
  <c r="L4651" i="2"/>
  <c r="Z4651" i="2"/>
  <c r="AB4651" i="2" s="1"/>
  <c r="AD4651" i="2"/>
  <c r="K4652" i="2"/>
  <c r="L4652" i="2"/>
  <c r="Z4652" i="2"/>
  <c r="AA4652" i="2" s="1"/>
  <c r="AD4652" i="2"/>
  <c r="K4653" i="2"/>
  <c r="L4653" i="2"/>
  <c r="Z4653" i="2"/>
  <c r="AD4653" i="2"/>
  <c r="K4654" i="2"/>
  <c r="L4654" i="2"/>
  <c r="Z4654" i="2"/>
  <c r="AC4654" i="2"/>
  <c r="AD4654" i="2"/>
  <c r="K4655" i="2"/>
  <c r="L4655" i="2"/>
  <c r="Z4655" i="2"/>
  <c r="AA4655" i="2" s="1"/>
  <c r="AD4655" i="2"/>
  <c r="K4656" i="2"/>
  <c r="L4656" i="2"/>
  <c r="Z4656" i="2"/>
  <c r="AB4656" i="2"/>
  <c r="AD4656" i="2"/>
  <c r="K4657" i="2"/>
  <c r="L4657" i="2"/>
  <c r="Z4657" i="2"/>
  <c r="AD4657" i="2"/>
  <c r="K4658" i="2"/>
  <c r="L4658" i="2"/>
  <c r="Z4658" i="2"/>
  <c r="AA4658" i="2" s="1"/>
  <c r="AD4658" i="2"/>
  <c r="K4659" i="2"/>
  <c r="L4659" i="2"/>
  <c r="Z4659" i="2"/>
  <c r="AD4659" i="2"/>
  <c r="K4660" i="2"/>
  <c r="L4660" i="2"/>
  <c r="Z4660" i="2"/>
  <c r="AD4660" i="2"/>
  <c r="K4661" i="2"/>
  <c r="L4661" i="2"/>
  <c r="Z4661" i="2"/>
  <c r="AB4661" i="2" s="1"/>
  <c r="AD4661" i="2"/>
  <c r="K4662" i="2"/>
  <c r="L4662" i="2"/>
  <c r="Z4662" i="2"/>
  <c r="AA4662" i="2" s="1"/>
  <c r="AD4662" i="2"/>
  <c r="K4663" i="2"/>
  <c r="L4663" i="2"/>
  <c r="Z4663" i="2"/>
  <c r="AB4663" i="2" s="1"/>
  <c r="AA4663" i="2"/>
  <c r="AD4663" i="2"/>
  <c r="K4664" i="2"/>
  <c r="L4664" i="2"/>
  <c r="Z4664" i="2"/>
  <c r="AA4664" i="2" s="1"/>
  <c r="AB4664" i="2"/>
  <c r="AD4664" i="2"/>
  <c r="K4665" i="2"/>
  <c r="L4665" i="2"/>
  <c r="Z4665" i="2"/>
  <c r="AA4665" i="2" s="1"/>
  <c r="AB4665" i="2"/>
  <c r="AD4665" i="2"/>
  <c r="K4666" i="2"/>
  <c r="L4666" i="2"/>
  <c r="Z4666" i="2"/>
  <c r="AB4666" i="2" s="1"/>
  <c r="AC4666" i="2"/>
  <c r="AD4666" i="2"/>
  <c r="K4667" i="2"/>
  <c r="L4667" i="2"/>
  <c r="Z4667" i="2"/>
  <c r="AA4667" i="2" s="1"/>
  <c r="AD4667" i="2"/>
  <c r="K4668" i="2"/>
  <c r="L4668" i="2"/>
  <c r="Z4668" i="2"/>
  <c r="AC4668" i="2" s="1"/>
  <c r="AA4668" i="2"/>
  <c r="AD4668" i="2"/>
  <c r="K4669" i="2"/>
  <c r="L4669" i="2"/>
  <c r="Z4669" i="2"/>
  <c r="AB4669" i="2"/>
  <c r="AD4669" i="2"/>
  <c r="K4670" i="2"/>
  <c r="L4670" i="2"/>
  <c r="Z4670" i="2"/>
  <c r="AA4670" i="2" s="1"/>
  <c r="AD4670" i="2"/>
  <c r="K4671" i="2"/>
  <c r="L4671" i="2"/>
  <c r="Z4671" i="2"/>
  <c r="AA4671" i="2" s="1"/>
  <c r="AD4671" i="2"/>
  <c r="K4672" i="2"/>
  <c r="L4672" i="2"/>
  <c r="Z4672" i="2"/>
  <c r="AB4672" i="2" s="1"/>
  <c r="AA4672" i="2"/>
  <c r="AD4672" i="2"/>
  <c r="K4673" i="2"/>
  <c r="L4673" i="2"/>
  <c r="Z4673" i="2"/>
  <c r="AD4673" i="2"/>
  <c r="K4674" i="2"/>
  <c r="L4674" i="2"/>
  <c r="Z4674" i="2"/>
  <c r="AD4674" i="2"/>
  <c r="K4675" i="2"/>
  <c r="L4675" i="2"/>
  <c r="Z4675" i="2"/>
  <c r="AB4675" i="2" s="1"/>
  <c r="AA4675" i="2"/>
  <c r="AD4675" i="2"/>
  <c r="K4676" i="2"/>
  <c r="L4676" i="2"/>
  <c r="Z4676" i="2"/>
  <c r="AA4676" i="2"/>
  <c r="AB4676" i="2"/>
  <c r="AC4676" i="2"/>
  <c r="AD4676" i="2"/>
  <c r="K4677" i="2"/>
  <c r="L4677" i="2"/>
  <c r="Z4677" i="2"/>
  <c r="AA4677" i="2" s="1"/>
  <c r="AB4677" i="2"/>
  <c r="AD4677" i="2"/>
  <c r="K4678" i="2"/>
  <c r="L4678" i="2"/>
  <c r="Z4678" i="2"/>
  <c r="AB4678" i="2" s="1"/>
  <c r="AA4678" i="2"/>
  <c r="AC4678" i="2"/>
  <c r="AD4678" i="2"/>
  <c r="K4679" i="2"/>
  <c r="L4679" i="2"/>
  <c r="Z4679" i="2"/>
  <c r="AA4679" i="2" s="1"/>
  <c r="AD4679" i="2"/>
  <c r="K4680" i="2"/>
  <c r="L4680" i="2"/>
  <c r="Z4680" i="2"/>
  <c r="AB4680" i="2"/>
  <c r="AD4680" i="2"/>
  <c r="K4681" i="2"/>
  <c r="L4681" i="2"/>
  <c r="Z4681" i="2"/>
  <c r="AC4681" i="2" s="1"/>
  <c r="AD4681" i="2"/>
  <c r="K4682" i="2"/>
  <c r="L4682" i="2"/>
  <c r="Z4682" i="2"/>
  <c r="AA4682" i="2" s="1"/>
  <c r="AD4682" i="2"/>
  <c r="K4683" i="2"/>
  <c r="L4683" i="2"/>
  <c r="Z4683" i="2"/>
  <c r="AB4683" i="2" s="1"/>
  <c r="AD4683" i="2"/>
  <c r="K4684" i="2"/>
  <c r="L4684" i="2"/>
  <c r="Z4684" i="2"/>
  <c r="AD4684" i="2"/>
  <c r="K4685" i="2"/>
  <c r="L4685" i="2"/>
  <c r="Z4685" i="2"/>
  <c r="AB4685" i="2"/>
  <c r="AD4685" i="2"/>
  <c r="K4686" i="2"/>
  <c r="L4686" i="2"/>
  <c r="Z4686" i="2"/>
  <c r="AA4686" i="2" s="1"/>
  <c r="AD4686" i="2"/>
  <c r="K4687" i="2"/>
  <c r="L4687" i="2"/>
  <c r="Z4687" i="2"/>
  <c r="AB4687" i="2" s="1"/>
  <c r="AA4687" i="2"/>
  <c r="AD4687" i="2"/>
  <c r="K4688" i="2"/>
  <c r="L4688" i="2"/>
  <c r="Z4688" i="2"/>
  <c r="AA4688" i="2"/>
  <c r="AB4688" i="2"/>
  <c r="AC4688" i="2"/>
  <c r="AD4688" i="2"/>
  <c r="K4689" i="2"/>
  <c r="L4689" i="2"/>
  <c r="Z4689" i="2"/>
  <c r="AA4689" i="2" s="1"/>
  <c r="AB4689" i="2"/>
  <c r="AD4689" i="2"/>
  <c r="K4690" i="2"/>
  <c r="L4690" i="2"/>
  <c r="Z4690" i="2"/>
  <c r="AA4690" i="2" s="1"/>
  <c r="AC4690" i="2"/>
  <c r="AD4690" i="2"/>
  <c r="K4691" i="2"/>
  <c r="L4691" i="2"/>
  <c r="Z4691" i="2"/>
  <c r="AA4691" i="2" s="1"/>
  <c r="AD4691" i="2"/>
  <c r="K4692" i="2"/>
  <c r="L4692" i="2"/>
  <c r="Z4692" i="2"/>
  <c r="AB4692" i="2"/>
  <c r="AD4692" i="2"/>
  <c r="K4693" i="2"/>
  <c r="L4693" i="2"/>
  <c r="Z4693" i="2"/>
  <c r="AD4693" i="2"/>
  <c r="K4694" i="2"/>
  <c r="L4694" i="2"/>
  <c r="Z4694" i="2"/>
  <c r="AA4694" i="2" s="1"/>
  <c r="AD4694" i="2"/>
  <c r="K4695" i="2"/>
  <c r="L4695" i="2"/>
  <c r="Z4695" i="2"/>
  <c r="AC4695" i="2" s="1"/>
  <c r="AD4695" i="2"/>
  <c r="K4696" i="2"/>
  <c r="L4696" i="2"/>
  <c r="Z4696" i="2"/>
  <c r="AB4696" i="2" s="1"/>
  <c r="AA4696" i="2"/>
  <c r="AD4696" i="2"/>
  <c r="K4697" i="2"/>
  <c r="L4697" i="2"/>
  <c r="Z4697" i="2"/>
  <c r="AA4697" i="2" s="1"/>
  <c r="AB4697" i="2"/>
  <c r="AC4697" i="2"/>
  <c r="AD4697" i="2"/>
  <c r="K4698" i="2"/>
  <c r="L4698" i="2"/>
  <c r="Z4698" i="2"/>
  <c r="AD4698" i="2"/>
  <c r="K4699" i="2"/>
  <c r="L4699" i="2"/>
  <c r="Z4699" i="2"/>
  <c r="AD4699" i="2"/>
  <c r="K4700" i="2"/>
  <c r="L4700" i="2"/>
  <c r="Z4700" i="2"/>
  <c r="AC4700" i="2" s="1"/>
  <c r="AA4700" i="2"/>
  <c r="AB4700" i="2"/>
  <c r="AD4700" i="2"/>
  <c r="K4701" i="2"/>
  <c r="L4701" i="2"/>
  <c r="Z4701" i="2"/>
  <c r="AD4701" i="2"/>
  <c r="K4702" i="2"/>
  <c r="L4702" i="2"/>
  <c r="Z4702" i="2"/>
  <c r="AA4702" i="2" s="1"/>
  <c r="AC4702" i="2"/>
  <c r="AD4702" i="2"/>
  <c r="K4703" i="2"/>
  <c r="L4703" i="2"/>
  <c r="Z4703" i="2"/>
  <c r="AA4703" i="2" s="1"/>
  <c r="AD4703" i="2"/>
  <c r="K4704" i="2"/>
  <c r="L4704" i="2"/>
  <c r="Z4704" i="2"/>
  <c r="AC4704" i="2" s="1"/>
  <c r="AD4704" i="2"/>
  <c r="K4705" i="2"/>
  <c r="L4705" i="2"/>
  <c r="Z4705" i="2"/>
  <c r="AB4705" i="2"/>
  <c r="AD4705" i="2"/>
  <c r="K4706" i="2"/>
  <c r="L4706" i="2"/>
  <c r="Z4706" i="2"/>
  <c r="AA4706" i="2" s="1"/>
  <c r="AD4706" i="2"/>
  <c r="K4707" i="2"/>
  <c r="L4707" i="2"/>
  <c r="Z4707" i="2"/>
  <c r="AC4707" i="2" s="1"/>
  <c r="AA4707" i="2"/>
  <c r="AB4707" i="2"/>
  <c r="AD4707" i="2"/>
  <c r="K4708" i="2"/>
  <c r="L4708" i="2"/>
  <c r="Z4708" i="2"/>
  <c r="AD4708" i="2"/>
  <c r="K4709" i="2"/>
  <c r="L4709" i="2"/>
  <c r="Z4709" i="2"/>
  <c r="AD4709" i="2"/>
  <c r="K4710" i="2"/>
  <c r="L4710" i="2"/>
  <c r="Z4710" i="2"/>
  <c r="AA4710" i="2" s="1"/>
  <c r="AC4710" i="2"/>
  <c r="AD4710" i="2"/>
  <c r="K4711" i="2"/>
  <c r="L4711" i="2"/>
  <c r="Z4711" i="2"/>
  <c r="AD4711" i="2"/>
  <c r="K4712" i="2"/>
  <c r="L4712" i="2"/>
  <c r="Z4712" i="2"/>
  <c r="AB4712" i="2" s="1"/>
  <c r="AA4712" i="2"/>
  <c r="AD4712" i="2"/>
  <c r="K4713" i="2"/>
  <c r="L4713" i="2"/>
  <c r="Z4713" i="2"/>
  <c r="AD4713" i="2"/>
  <c r="K4714" i="2"/>
  <c r="L4714" i="2"/>
  <c r="Z4714" i="2"/>
  <c r="AA4714" i="2" s="1"/>
  <c r="AD4714" i="2"/>
  <c r="K4715" i="2"/>
  <c r="L4715" i="2"/>
  <c r="Z4715" i="2"/>
  <c r="AA4715" i="2" s="1"/>
  <c r="AD4715" i="2"/>
  <c r="K4716" i="2"/>
  <c r="L4716" i="2"/>
  <c r="Z4716" i="2"/>
  <c r="AC4716" i="2" s="1"/>
  <c r="AA4716" i="2"/>
  <c r="AB4716" i="2"/>
  <c r="AD4716" i="2"/>
  <c r="K4717" i="2"/>
  <c r="L4717" i="2"/>
  <c r="Z4717" i="2"/>
  <c r="AC4717" i="2"/>
  <c r="AD4717" i="2"/>
  <c r="K4718" i="2"/>
  <c r="L4718" i="2"/>
  <c r="Z4718" i="2"/>
  <c r="AA4718" i="2" s="1"/>
  <c r="AD4718" i="2"/>
  <c r="K4719" i="2"/>
  <c r="L4719" i="2"/>
  <c r="Z4719" i="2"/>
  <c r="AD4719" i="2"/>
  <c r="K4720" i="2"/>
  <c r="L4720" i="2"/>
  <c r="Z4720" i="2"/>
  <c r="AD4720" i="2"/>
  <c r="K4721" i="2"/>
  <c r="L4721" i="2"/>
  <c r="Z4721" i="2"/>
  <c r="AC4721" i="2"/>
  <c r="AD4721" i="2"/>
  <c r="K4722" i="2"/>
  <c r="L4722" i="2"/>
  <c r="Z4722" i="2"/>
  <c r="AC4722" i="2"/>
  <c r="AD4722" i="2"/>
  <c r="K4723" i="2"/>
  <c r="L4723" i="2"/>
  <c r="Z4723" i="2"/>
  <c r="AB4723" i="2" s="1"/>
  <c r="AA4723" i="2"/>
  <c r="AD4723" i="2"/>
  <c r="K4724" i="2"/>
  <c r="L4724" i="2"/>
  <c r="Z4724" i="2"/>
  <c r="AD4724" i="2"/>
  <c r="K4725" i="2"/>
  <c r="L4725" i="2"/>
  <c r="Z4725" i="2"/>
  <c r="AA4725" i="2" s="1"/>
  <c r="AD4725" i="2"/>
  <c r="K4726" i="2"/>
  <c r="L4726" i="2"/>
  <c r="Z4726" i="2"/>
  <c r="AD4726" i="2"/>
  <c r="K4727" i="2"/>
  <c r="L4727" i="2"/>
  <c r="Z4727" i="2"/>
  <c r="AA4727" i="2" s="1"/>
  <c r="AD4727" i="2"/>
  <c r="K4728" i="2"/>
  <c r="L4728" i="2"/>
  <c r="Z4728" i="2"/>
  <c r="AC4728" i="2" s="1"/>
  <c r="AA4728" i="2"/>
  <c r="AD4728" i="2"/>
  <c r="K4729" i="2"/>
  <c r="L4729" i="2"/>
  <c r="Z4729" i="2"/>
  <c r="AA4729" i="2" s="1"/>
  <c r="AD4729" i="2"/>
  <c r="K4730" i="2"/>
  <c r="L4730" i="2"/>
  <c r="Z4730" i="2"/>
  <c r="AA4730" i="2" s="1"/>
  <c r="AD4730" i="2"/>
  <c r="K4731" i="2"/>
  <c r="L4731" i="2"/>
  <c r="Z4731" i="2"/>
  <c r="AB4731" i="2"/>
  <c r="AD4731" i="2"/>
  <c r="K4732" i="2"/>
  <c r="L4732" i="2"/>
  <c r="Z4732" i="2"/>
  <c r="AA4732" i="2" s="1"/>
  <c r="AD4732" i="2"/>
  <c r="K4733" i="2"/>
  <c r="L4733" i="2"/>
  <c r="Z4733" i="2"/>
  <c r="AA4733" i="2" s="1"/>
  <c r="AC4733" i="2"/>
  <c r="AD4733" i="2"/>
  <c r="K4734" i="2"/>
  <c r="L4734" i="2"/>
  <c r="Z4734" i="2"/>
  <c r="AB4734" i="2" s="1"/>
  <c r="AA4734" i="2"/>
  <c r="AD4734" i="2"/>
  <c r="K4735" i="2"/>
  <c r="L4735" i="2"/>
  <c r="Z4735" i="2"/>
  <c r="AB4735" i="2" s="1"/>
  <c r="AA4735" i="2"/>
  <c r="AD4735" i="2"/>
  <c r="K4736" i="2"/>
  <c r="L4736" i="2"/>
  <c r="Z4736" i="2"/>
  <c r="AB4736" i="2" s="1"/>
  <c r="AD4736" i="2"/>
  <c r="K4737" i="2"/>
  <c r="L4737" i="2"/>
  <c r="Z4737" i="2"/>
  <c r="AA4737" i="2" s="1"/>
  <c r="AB4737" i="2"/>
  <c r="AD4737" i="2"/>
  <c r="K4738" i="2"/>
  <c r="L4738" i="2"/>
  <c r="Z4738" i="2"/>
  <c r="AA4738" i="2" s="1"/>
  <c r="AD4738" i="2"/>
  <c r="K4739" i="2"/>
  <c r="L4739" i="2"/>
  <c r="Z4739" i="2"/>
  <c r="AA4739" i="2" s="1"/>
  <c r="AD4739" i="2"/>
  <c r="K4740" i="2"/>
  <c r="L4740" i="2"/>
  <c r="Z4740" i="2"/>
  <c r="AD4740" i="2"/>
  <c r="K4741" i="2"/>
  <c r="L4741" i="2"/>
  <c r="Z4741" i="2"/>
  <c r="AA4741" i="2" s="1"/>
  <c r="AD4741" i="2"/>
  <c r="K4742" i="2"/>
  <c r="L4742" i="2"/>
  <c r="Z4742" i="2"/>
  <c r="AA4742" i="2" s="1"/>
  <c r="AD4742" i="2"/>
  <c r="K4743" i="2"/>
  <c r="L4743" i="2"/>
  <c r="Z4743" i="2"/>
  <c r="AB4743" i="2"/>
  <c r="AD4743" i="2"/>
  <c r="K4744" i="2"/>
  <c r="L4744" i="2"/>
  <c r="Z4744" i="2"/>
  <c r="AB4744" i="2" s="1"/>
  <c r="AD4744" i="2"/>
  <c r="K4745" i="2"/>
  <c r="L4745" i="2"/>
  <c r="Z4745" i="2"/>
  <c r="AC4745" i="2" s="1"/>
  <c r="AD4745" i="2"/>
  <c r="K4746" i="2"/>
  <c r="L4746" i="2"/>
  <c r="Z4746" i="2"/>
  <c r="AA4746" i="2" s="1"/>
  <c r="AC4746" i="2"/>
  <c r="AD4746" i="2"/>
  <c r="K4747" i="2"/>
  <c r="L4747" i="2"/>
  <c r="Z4747" i="2"/>
  <c r="AD4747" i="2"/>
  <c r="K4748" i="2"/>
  <c r="L4748" i="2"/>
  <c r="Z4748" i="2"/>
  <c r="AA4748" i="2" s="1"/>
  <c r="AC4748" i="2"/>
  <c r="AD4748" i="2"/>
  <c r="K4749" i="2"/>
  <c r="L4749" i="2"/>
  <c r="Z4749" i="2"/>
  <c r="AD4749" i="2"/>
  <c r="K4750" i="2"/>
  <c r="L4750" i="2"/>
  <c r="Z4750" i="2"/>
  <c r="AD4750" i="2"/>
  <c r="K4751" i="2"/>
  <c r="L4751" i="2"/>
  <c r="Z4751" i="2"/>
  <c r="AA4751" i="2" s="1"/>
  <c r="AD4751" i="2"/>
  <c r="K4752" i="2"/>
  <c r="L4752" i="2"/>
  <c r="Z4752" i="2"/>
  <c r="AA4752" i="2"/>
  <c r="AD4752" i="2"/>
  <c r="K4753" i="2"/>
  <c r="L4753" i="2"/>
  <c r="Z4753" i="2"/>
  <c r="AA4753" i="2" s="1"/>
  <c r="AB4753" i="2"/>
  <c r="AC4753" i="2"/>
  <c r="AD4753" i="2"/>
  <c r="K4754" i="2"/>
  <c r="L4754" i="2"/>
  <c r="Z4754" i="2"/>
  <c r="AA4754" i="2" s="1"/>
  <c r="AD4754" i="2"/>
  <c r="K4755" i="2"/>
  <c r="L4755" i="2"/>
  <c r="Z4755" i="2"/>
  <c r="AD4755" i="2"/>
  <c r="K4756" i="2"/>
  <c r="L4756" i="2"/>
  <c r="Z4756" i="2"/>
  <c r="AB4756" i="2" s="1"/>
  <c r="AA4756" i="2"/>
  <c r="AD4756" i="2"/>
  <c r="K4757" i="2"/>
  <c r="L4757" i="2"/>
  <c r="Z4757" i="2"/>
  <c r="AA4757" i="2" s="1"/>
  <c r="AD4757" i="2"/>
  <c r="K4758" i="2"/>
  <c r="L4758" i="2"/>
  <c r="Z4758" i="2"/>
  <c r="AC4758" i="2" s="1"/>
  <c r="AA4758" i="2"/>
  <c r="AB4758" i="2"/>
  <c r="AD4758" i="2"/>
  <c r="K4759" i="2"/>
  <c r="L4759" i="2"/>
  <c r="Z4759" i="2"/>
  <c r="AB4759" i="2" s="1"/>
  <c r="AD4759" i="2"/>
  <c r="K4760" i="2"/>
  <c r="L4760" i="2"/>
  <c r="Z4760" i="2"/>
  <c r="AA4760" i="2"/>
  <c r="AB4760" i="2"/>
  <c r="AC4760" i="2"/>
  <c r="AD4760" i="2"/>
  <c r="K4761" i="2"/>
  <c r="L4761" i="2"/>
  <c r="Z4761" i="2"/>
  <c r="AA4761" i="2" s="1"/>
  <c r="AD4761" i="2"/>
  <c r="K4762" i="2"/>
  <c r="L4762" i="2"/>
  <c r="Z4762" i="2"/>
  <c r="AA4762" i="2" s="1"/>
  <c r="AC4762" i="2"/>
  <c r="AD4762" i="2"/>
  <c r="K4763" i="2"/>
  <c r="L4763" i="2"/>
  <c r="Z4763" i="2"/>
  <c r="AA4763" i="2" s="1"/>
  <c r="AD4763" i="2"/>
  <c r="K4764" i="2"/>
  <c r="L4764" i="2"/>
  <c r="Z4764" i="2"/>
  <c r="AC4764" i="2" s="1"/>
  <c r="AA4764" i="2"/>
  <c r="AD4764" i="2"/>
  <c r="K4765" i="2"/>
  <c r="L4765" i="2"/>
  <c r="Z4765" i="2"/>
  <c r="AD4765" i="2"/>
  <c r="K4766" i="2"/>
  <c r="L4766" i="2"/>
  <c r="Z4766" i="2"/>
  <c r="AD4766" i="2"/>
  <c r="K4767" i="2"/>
  <c r="L4767" i="2"/>
  <c r="Z4767" i="2"/>
  <c r="AB4767" i="2" s="1"/>
  <c r="AD4767" i="2"/>
  <c r="K4768" i="2"/>
  <c r="L4768" i="2"/>
  <c r="Z4768" i="2"/>
  <c r="AB4768" i="2" s="1"/>
  <c r="AD4768" i="2"/>
  <c r="K4769" i="2"/>
  <c r="L4769" i="2"/>
  <c r="Z4769" i="2"/>
  <c r="AA4769" i="2" s="1"/>
  <c r="AB4769" i="2"/>
  <c r="AC4769" i="2"/>
  <c r="AD4769" i="2"/>
  <c r="K4770" i="2"/>
  <c r="L4770" i="2"/>
  <c r="Z4770" i="2"/>
  <c r="AA4770" i="2" s="1"/>
  <c r="AD4770" i="2"/>
  <c r="K4771" i="2"/>
  <c r="L4771" i="2"/>
  <c r="Z4771" i="2"/>
  <c r="AB4771" i="2" s="1"/>
  <c r="AD4771" i="2"/>
  <c r="K4772" i="2"/>
  <c r="L4772" i="2"/>
  <c r="Z4772" i="2"/>
  <c r="AA4772" i="2" s="1"/>
  <c r="AD4772" i="2"/>
  <c r="K4773" i="2"/>
  <c r="L4773" i="2"/>
  <c r="Z4773" i="2"/>
  <c r="AA4773" i="2" s="1"/>
  <c r="AD4773" i="2"/>
  <c r="K4774" i="2"/>
  <c r="L4774" i="2"/>
  <c r="Z4774" i="2"/>
  <c r="AA4774" i="2" s="1"/>
  <c r="AD4774" i="2"/>
  <c r="K4775" i="2"/>
  <c r="L4775" i="2"/>
  <c r="Z4775" i="2"/>
  <c r="AA4775" i="2" s="1"/>
  <c r="AD4775" i="2"/>
  <c r="K4776" i="2"/>
  <c r="L4776" i="2"/>
  <c r="Z4776" i="2"/>
  <c r="AC4776" i="2" s="1"/>
  <c r="AA4776" i="2"/>
  <c r="AB4776" i="2"/>
  <c r="AD4776" i="2"/>
  <c r="K4777" i="2"/>
  <c r="L4777" i="2"/>
  <c r="Z4777" i="2"/>
  <c r="AB4777" i="2"/>
  <c r="AD4777" i="2"/>
  <c r="K4778" i="2"/>
  <c r="L4778" i="2"/>
  <c r="Z4778" i="2"/>
  <c r="AD4778" i="2"/>
  <c r="K4779" i="2"/>
  <c r="L4779" i="2"/>
  <c r="Z4779" i="2"/>
  <c r="AC4779" i="2" s="1"/>
  <c r="AD4779" i="2"/>
  <c r="K4780" i="2"/>
  <c r="L4780" i="2"/>
  <c r="Z4780" i="2"/>
  <c r="AA4780" i="2"/>
  <c r="AD4780" i="2"/>
  <c r="K4781" i="2"/>
  <c r="L4781" i="2"/>
  <c r="Z4781" i="2"/>
  <c r="AA4781" i="2" s="1"/>
  <c r="AD4781" i="2"/>
  <c r="K4782" i="2"/>
  <c r="L4782" i="2"/>
  <c r="Z4782" i="2"/>
  <c r="AD4782" i="2"/>
  <c r="K4783" i="2"/>
  <c r="L4783" i="2"/>
  <c r="Z4783" i="2"/>
  <c r="AD4783" i="2"/>
  <c r="K4784" i="2"/>
  <c r="L4784" i="2"/>
  <c r="Z4784" i="2"/>
  <c r="AA4784" i="2" s="1"/>
  <c r="AD4784" i="2"/>
  <c r="K4785" i="2"/>
  <c r="L4785" i="2"/>
  <c r="Z4785" i="2"/>
  <c r="AA4785" i="2" s="1"/>
  <c r="AD4785" i="2"/>
  <c r="K4786" i="2"/>
  <c r="L4786" i="2"/>
  <c r="Z4786" i="2"/>
  <c r="AA4786" i="2" s="1"/>
  <c r="AD4786" i="2"/>
  <c r="K4787" i="2"/>
  <c r="L4787" i="2"/>
  <c r="Z4787" i="2"/>
  <c r="AA4787" i="2" s="1"/>
  <c r="AD4787" i="2"/>
  <c r="K4788" i="2"/>
  <c r="L4788" i="2"/>
  <c r="Z4788" i="2"/>
  <c r="AB4788" i="2"/>
  <c r="AD4788" i="2"/>
  <c r="K4789" i="2"/>
  <c r="L4789" i="2"/>
  <c r="Z4789" i="2"/>
  <c r="AB4789" i="2" s="1"/>
  <c r="AD4789" i="2"/>
  <c r="K4790" i="2"/>
  <c r="L4790" i="2"/>
  <c r="Z4790" i="2"/>
  <c r="AD4790" i="2"/>
  <c r="K4791" i="2"/>
  <c r="L4791" i="2"/>
  <c r="Z4791" i="2"/>
  <c r="AD4791" i="2"/>
  <c r="K4792" i="2"/>
  <c r="L4792" i="2"/>
  <c r="Z4792" i="2"/>
  <c r="AB4792" i="2" s="1"/>
  <c r="AA4792" i="2"/>
  <c r="AD4792" i="2"/>
  <c r="K4793" i="2"/>
  <c r="L4793" i="2"/>
  <c r="Z4793" i="2"/>
  <c r="AD4793" i="2"/>
  <c r="K4794" i="2"/>
  <c r="L4794" i="2"/>
  <c r="Z4794" i="2"/>
  <c r="AC4794" i="2" s="1"/>
  <c r="AB4794" i="2"/>
  <c r="AD4794" i="2"/>
  <c r="K4795" i="2"/>
  <c r="L4795" i="2"/>
  <c r="Z4795" i="2"/>
  <c r="AB4795" i="2" s="1"/>
  <c r="AA4795" i="2"/>
  <c r="AD4795" i="2"/>
  <c r="K4796" i="2"/>
  <c r="L4796" i="2"/>
  <c r="Z4796" i="2"/>
  <c r="AC4796" i="2" s="1"/>
  <c r="AD4796" i="2"/>
  <c r="K4797" i="2"/>
  <c r="L4797" i="2"/>
  <c r="Z4797" i="2"/>
  <c r="AA4797" i="2" s="1"/>
  <c r="AB4797" i="2"/>
  <c r="AD4797" i="2"/>
  <c r="K4798" i="2"/>
  <c r="L4798" i="2"/>
  <c r="Z4798" i="2"/>
  <c r="AA4798" i="2" s="1"/>
  <c r="AD4798" i="2"/>
  <c r="K4799" i="2"/>
  <c r="L4799" i="2"/>
  <c r="Z4799" i="2"/>
  <c r="AA4799" i="2" s="1"/>
  <c r="AD4799" i="2"/>
  <c r="K4800" i="2"/>
  <c r="L4800" i="2"/>
  <c r="Z4800" i="2"/>
  <c r="AC4800" i="2" s="1"/>
  <c r="AA4800" i="2"/>
  <c r="AB4800" i="2"/>
  <c r="AD4800" i="2"/>
  <c r="K4801" i="2"/>
  <c r="L4801" i="2"/>
  <c r="Z4801" i="2"/>
  <c r="AD4801" i="2"/>
  <c r="K4802" i="2"/>
  <c r="L4802" i="2"/>
  <c r="Z4802" i="2"/>
  <c r="AD4802" i="2"/>
  <c r="K4803" i="2"/>
  <c r="L4803" i="2"/>
  <c r="Z4803" i="2"/>
  <c r="AA4803" i="2"/>
  <c r="AD4803" i="2"/>
  <c r="K4804" i="2"/>
  <c r="L4804" i="2"/>
  <c r="Z4804" i="2"/>
  <c r="AB4804" i="2" s="1"/>
  <c r="AA4804" i="2"/>
  <c r="AC4804" i="2"/>
  <c r="AD4804" i="2"/>
  <c r="K4805" i="2"/>
  <c r="L4805" i="2"/>
  <c r="Z4805" i="2"/>
  <c r="AB4805" i="2" s="1"/>
  <c r="AD4805" i="2"/>
  <c r="K4806" i="2"/>
  <c r="L4806" i="2"/>
  <c r="Z4806" i="2"/>
  <c r="AD4806" i="2"/>
  <c r="K4807" i="2"/>
  <c r="L4807" i="2"/>
  <c r="Z4807" i="2"/>
  <c r="AB4807" i="2" s="1"/>
  <c r="AD4807" i="2"/>
  <c r="K4808" i="2"/>
  <c r="L4808" i="2"/>
  <c r="Z4808" i="2"/>
  <c r="AC4808" i="2" s="1"/>
  <c r="AD4808" i="2"/>
  <c r="K4809" i="2"/>
  <c r="L4809" i="2"/>
  <c r="Z4809" i="2"/>
  <c r="AA4809" i="2" s="1"/>
  <c r="AB4809" i="2"/>
  <c r="AD4809" i="2"/>
  <c r="K4810" i="2"/>
  <c r="L4810" i="2"/>
  <c r="Z4810" i="2"/>
  <c r="AD4810" i="2"/>
  <c r="K4811" i="2"/>
  <c r="L4811" i="2"/>
  <c r="Z4811" i="2"/>
  <c r="AA4811" i="2" s="1"/>
  <c r="AD4811" i="2"/>
  <c r="K4812" i="2"/>
  <c r="L4812" i="2"/>
  <c r="Z4812" i="2"/>
  <c r="AA4812" i="2"/>
  <c r="AD4812" i="2"/>
  <c r="K4813" i="2"/>
  <c r="L4813" i="2"/>
  <c r="Z4813" i="2"/>
  <c r="AA4813" i="2" s="1"/>
  <c r="AD4813" i="2"/>
  <c r="K4814" i="2"/>
  <c r="L4814" i="2"/>
  <c r="Z4814" i="2"/>
  <c r="AD4814" i="2"/>
  <c r="K4815" i="2"/>
  <c r="L4815" i="2"/>
  <c r="Z4815" i="2"/>
  <c r="AD4815" i="2"/>
  <c r="K4816" i="2"/>
  <c r="L4816" i="2"/>
  <c r="Z4816" i="2"/>
  <c r="AA4816" i="2" s="1"/>
  <c r="AD4816" i="2"/>
  <c r="K4817" i="2"/>
  <c r="L4817" i="2"/>
  <c r="Z4817" i="2"/>
  <c r="AA4817" i="2" s="1"/>
  <c r="AB4817" i="2"/>
  <c r="AD4817" i="2"/>
  <c r="K4818" i="2"/>
  <c r="L4818" i="2"/>
  <c r="Z4818" i="2"/>
  <c r="AB4818" i="2" s="1"/>
  <c r="AD4818" i="2"/>
  <c r="K4819" i="2"/>
  <c r="L4819" i="2"/>
  <c r="Z4819" i="2"/>
  <c r="AB4819" i="2" s="1"/>
  <c r="AA4819" i="2"/>
  <c r="AD4819" i="2"/>
  <c r="K4820" i="2"/>
  <c r="L4820" i="2"/>
  <c r="Z4820" i="2"/>
  <c r="AB4820" i="2" s="1"/>
  <c r="AA4820" i="2"/>
  <c r="AD4820" i="2"/>
  <c r="K4821" i="2"/>
  <c r="L4821" i="2"/>
  <c r="Z4821" i="2"/>
  <c r="AA4821" i="2" s="1"/>
  <c r="AD4821" i="2"/>
  <c r="K4822" i="2"/>
  <c r="L4822" i="2"/>
  <c r="Z4822" i="2"/>
  <c r="AD4822" i="2"/>
  <c r="K4823" i="2"/>
  <c r="L4823" i="2"/>
  <c r="Z4823" i="2"/>
  <c r="AA4823" i="2" s="1"/>
  <c r="AD4823" i="2"/>
  <c r="K4824" i="2"/>
  <c r="L4824" i="2"/>
  <c r="Z4824" i="2"/>
  <c r="AA4824" i="2" s="1"/>
  <c r="AB4824" i="2"/>
  <c r="AC4824" i="2"/>
  <c r="AD4824" i="2"/>
  <c r="K4825" i="2"/>
  <c r="L4825" i="2"/>
  <c r="Z4825" i="2"/>
  <c r="AC4825" i="2" s="1"/>
  <c r="AD4825" i="2"/>
  <c r="K4826" i="2"/>
  <c r="L4826" i="2"/>
  <c r="Z4826" i="2"/>
  <c r="AD4826" i="2"/>
  <c r="K4827" i="2"/>
  <c r="L4827" i="2"/>
  <c r="Z4827" i="2"/>
  <c r="AB4827" i="2" s="1"/>
  <c r="AA4827" i="2"/>
  <c r="AD4827" i="2"/>
  <c r="K4828" i="2"/>
  <c r="L4828" i="2"/>
  <c r="Z4828" i="2"/>
  <c r="AA4828" i="2" s="1"/>
  <c r="AD4828" i="2"/>
  <c r="K4829" i="2"/>
  <c r="L4829" i="2"/>
  <c r="Z4829" i="2"/>
  <c r="AA4829" i="2" s="1"/>
  <c r="AB4829" i="2"/>
  <c r="AD4829" i="2"/>
  <c r="K4830" i="2"/>
  <c r="L4830" i="2"/>
  <c r="Z4830" i="2"/>
  <c r="AA4830" i="2" s="1"/>
  <c r="AD4830" i="2"/>
  <c r="K4831" i="2"/>
  <c r="L4831" i="2"/>
  <c r="Z4831" i="2"/>
  <c r="AB4831" i="2" s="1"/>
  <c r="AA4831" i="2"/>
  <c r="AD4831" i="2"/>
  <c r="K4832" i="2"/>
  <c r="L4832" i="2"/>
  <c r="Z4832" i="2"/>
  <c r="AC4832" i="2" s="1"/>
  <c r="AA4832" i="2"/>
  <c r="AB4832" i="2"/>
  <c r="AD4832" i="2"/>
  <c r="K4833" i="2"/>
  <c r="L4833" i="2"/>
  <c r="Z4833" i="2"/>
  <c r="AA4833" i="2" s="1"/>
  <c r="AB4833" i="2"/>
  <c r="AC4833" i="2"/>
  <c r="AD4833" i="2"/>
  <c r="K4834" i="2"/>
  <c r="L4834" i="2"/>
  <c r="Z4834" i="2"/>
  <c r="AA4834" i="2" s="1"/>
  <c r="AD4834" i="2"/>
  <c r="K4835" i="2"/>
  <c r="L4835" i="2"/>
  <c r="Z4835" i="2"/>
  <c r="AA4835" i="2" s="1"/>
  <c r="AD4835" i="2"/>
  <c r="K4836" i="2"/>
  <c r="L4836" i="2"/>
  <c r="Z4836" i="2"/>
  <c r="AA4836" i="2" s="1"/>
  <c r="AD4836" i="2"/>
  <c r="K4837" i="2"/>
  <c r="L4837" i="2"/>
  <c r="Z4837" i="2"/>
  <c r="AB4837" i="2" s="1"/>
  <c r="AD4837" i="2"/>
  <c r="K4838" i="2"/>
  <c r="L4838" i="2"/>
  <c r="Z4838" i="2"/>
  <c r="AD4838" i="2"/>
  <c r="K4839" i="2"/>
  <c r="L4839" i="2"/>
  <c r="Z4839" i="2"/>
  <c r="AB4839" i="2" s="1"/>
  <c r="AD4839" i="2"/>
  <c r="K4840" i="2"/>
  <c r="L4840" i="2"/>
  <c r="Z4840" i="2"/>
  <c r="AC4840" i="2" s="1"/>
  <c r="AA4840" i="2"/>
  <c r="AD4840" i="2"/>
  <c r="K4841" i="2"/>
  <c r="L4841" i="2"/>
  <c r="Z4841" i="2"/>
  <c r="AA4841" i="2" s="1"/>
  <c r="AB4841" i="2"/>
  <c r="AC4841" i="2"/>
  <c r="AD4841" i="2"/>
  <c r="K4842" i="2"/>
  <c r="L4842" i="2"/>
  <c r="Z4842" i="2"/>
  <c r="AA4842" i="2" s="1"/>
  <c r="AC4842" i="2"/>
  <c r="AD4842" i="2"/>
  <c r="K4843" i="2"/>
  <c r="L4843" i="2"/>
  <c r="Z4843" i="2"/>
  <c r="AB4843" i="2" s="1"/>
  <c r="AA4843" i="2"/>
  <c r="AD4843" i="2"/>
  <c r="K4844" i="2"/>
  <c r="L4844" i="2"/>
  <c r="Z4844" i="2"/>
  <c r="AA4844" i="2"/>
  <c r="AB4844" i="2"/>
  <c r="AC4844" i="2"/>
  <c r="AD4844" i="2"/>
  <c r="K4845" i="2"/>
  <c r="L4845" i="2"/>
  <c r="Z4845" i="2"/>
  <c r="AA4845" i="2" s="1"/>
  <c r="AB4845" i="2"/>
  <c r="AD4845" i="2"/>
  <c r="K4846" i="2"/>
  <c r="L4846" i="2"/>
  <c r="Z4846" i="2"/>
  <c r="AA4846" i="2" s="1"/>
  <c r="AC4846" i="2"/>
  <c r="AD4846" i="2"/>
  <c r="K4847" i="2"/>
  <c r="L4847" i="2"/>
  <c r="Z4847" i="2"/>
  <c r="AA4847" i="2" s="1"/>
  <c r="AD4847" i="2"/>
  <c r="K4848" i="2"/>
  <c r="L4848" i="2"/>
  <c r="Z4848" i="2"/>
  <c r="AC4848" i="2" s="1"/>
  <c r="AD4848" i="2"/>
  <c r="K4849" i="2"/>
  <c r="L4849" i="2"/>
  <c r="Z4849" i="2"/>
  <c r="AD4849" i="2"/>
  <c r="K4850" i="2"/>
  <c r="L4850" i="2"/>
  <c r="Z4850" i="2"/>
  <c r="AD4850" i="2"/>
  <c r="K4851" i="2"/>
  <c r="L4851" i="2"/>
  <c r="Z4851" i="2"/>
  <c r="AB4851" i="2" s="1"/>
  <c r="AD4851" i="2"/>
  <c r="K4852" i="2"/>
  <c r="L4852" i="2"/>
  <c r="Z4852" i="2"/>
  <c r="AA4852" i="2" s="1"/>
  <c r="AD4852" i="2"/>
  <c r="K4853" i="2"/>
  <c r="L4853" i="2"/>
  <c r="Z4853" i="2"/>
  <c r="AA4853" i="2" s="1"/>
  <c r="AC4853" i="2"/>
  <c r="AD4853" i="2"/>
  <c r="K4854" i="2"/>
  <c r="L4854" i="2"/>
  <c r="Z4854" i="2"/>
  <c r="AA4854" i="2" s="1"/>
  <c r="AD4854" i="2"/>
  <c r="K4855" i="2"/>
  <c r="L4855" i="2"/>
  <c r="Z4855" i="2"/>
  <c r="AB4855" i="2" s="1"/>
  <c r="AA4855" i="2"/>
  <c r="AD4855" i="2"/>
  <c r="K4856" i="2"/>
  <c r="L4856" i="2"/>
  <c r="Z4856" i="2"/>
  <c r="AB4856" i="2" s="1"/>
  <c r="AA4856" i="2"/>
  <c r="AD4856" i="2"/>
  <c r="K4857" i="2"/>
  <c r="L4857" i="2"/>
  <c r="Z4857" i="2"/>
  <c r="AA4857" i="2" s="1"/>
  <c r="AB4857" i="2"/>
  <c r="AD4857" i="2"/>
  <c r="K4858" i="2"/>
  <c r="L4858" i="2"/>
  <c r="Z4858" i="2"/>
  <c r="AA4858" i="2" s="1"/>
  <c r="AC4858" i="2"/>
  <c r="AD4858" i="2"/>
  <c r="K4859" i="2"/>
  <c r="L4859" i="2"/>
  <c r="Z4859" i="2"/>
  <c r="AA4859" i="2" s="1"/>
  <c r="AD4859" i="2"/>
  <c r="K4860" i="2"/>
  <c r="L4860" i="2"/>
  <c r="Z4860" i="2"/>
  <c r="AA4860" i="2"/>
  <c r="AD4860" i="2"/>
  <c r="K4861" i="2"/>
  <c r="L4861" i="2"/>
  <c r="Z4861" i="2"/>
  <c r="AA4861" i="2" s="1"/>
  <c r="AC4861" i="2"/>
  <c r="AD4861" i="2"/>
  <c r="K4862" i="2"/>
  <c r="L4862" i="2"/>
  <c r="Z4862" i="2"/>
  <c r="AD4862" i="2"/>
  <c r="K4863" i="2"/>
  <c r="L4863" i="2"/>
  <c r="Z4863" i="2"/>
  <c r="AB4863" i="2" s="1"/>
  <c r="AA4863" i="2"/>
  <c r="AD4863" i="2"/>
  <c r="K4864" i="2"/>
  <c r="L4864" i="2"/>
  <c r="Z4864" i="2"/>
  <c r="AA4864" i="2" s="1"/>
  <c r="AD4864" i="2"/>
  <c r="K4865" i="2"/>
  <c r="L4865" i="2"/>
  <c r="Z4865" i="2"/>
  <c r="AD4865" i="2"/>
  <c r="K4866" i="2"/>
  <c r="L4866" i="2"/>
  <c r="Z4866" i="2"/>
  <c r="AA4866" i="2"/>
  <c r="AD4866" i="2"/>
  <c r="K4867" i="2"/>
  <c r="L4867" i="2"/>
  <c r="Z4867" i="2"/>
  <c r="AB4867" i="2" s="1"/>
  <c r="AA4867" i="2"/>
  <c r="AD4867" i="2"/>
  <c r="K4868" i="2"/>
  <c r="L4868" i="2"/>
  <c r="Z4868" i="2"/>
  <c r="AA4868" i="2"/>
  <c r="AD4868" i="2"/>
  <c r="K4869" i="2"/>
  <c r="L4869" i="2"/>
  <c r="Z4869" i="2"/>
  <c r="AA4869" i="2" s="1"/>
  <c r="AB4869" i="2"/>
  <c r="AD4869" i="2"/>
  <c r="K4870" i="2"/>
  <c r="L4870" i="2"/>
  <c r="Z4870" i="2"/>
  <c r="AA4870" i="2" s="1"/>
  <c r="AC4870" i="2"/>
  <c r="AD4870" i="2"/>
  <c r="K4871" i="2"/>
  <c r="L4871" i="2"/>
  <c r="Z4871" i="2"/>
  <c r="AA4871" i="2" s="1"/>
  <c r="AD4871" i="2"/>
  <c r="K4872" i="2"/>
  <c r="L4872" i="2"/>
  <c r="Z4872" i="2"/>
  <c r="AC4872" i="2" s="1"/>
  <c r="AD4872" i="2"/>
  <c r="K4873" i="2"/>
  <c r="L4873" i="2"/>
  <c r="Z4873" i="2"/>
  <c r="AC4873" i="2" s="1"/>
  <c r="AD4873" i="2"/>
  <c r="K4874" i="2"/>
  <c r="L4874" i="2"/>
  <c r="Z4874" i="2"/>
  <c r="AD4874" i="2"/>
  <c r="K4875" i="2"/>
  <c r="L4875" i="2"/>
  <c r="Z4875" i="2"/>
  <c r="AB4875" i="2" s="1"/>
  <c r="AD4875" i="2"/>
  <c r="K4876" i="2"/>
  <c r="L4876" i="2"/>
  <c r="Z4876" i="2"/>
  <c r="AB4876" i="2" s="1"/>
  <c r="AA4876" i="2"/>
  <c r="AD4876" i="2"/>
  <c r="K4877" i="2"/>
  <c r="L4877" i="2"/>
  <c r="Z4877" i="2"/>
  <c r="AA4877" i="2" s="1"/>
  <c r="AB4877" i="2"/>
  <c r="AC4877" i="2"/>
  <c r="AD4877" i="2"/>
  <c r="K4878" i="2"/>
  <c r="L4878" i="2"/>
  <c r="Z4878" i="2"/>
  <c r="AD4878" i="2"/>
  <c r="K4879" i="2"/>
  <c r="L4879" i="2"/>
  <c r="Z4879" i="2"/>
  <c r="AB4879" i="2" s="1"/>
  <c r="AD4879" i="2"/>
  <c r="K4880" i="2"/>
  <c r="L4880" i="2"/>
  <c r="Z4880" i="2"/>
  <c r="AB4880" i="2" s="1"/>
  <c r="AD4880" i="2"/>
  <c r="K4881" i="2"/>
  <c r="L4881" i="2"/>
  <c r="Z4881" i="2"/>
  <c r="AC4881" i="2" s="1"/>
  <c r="AD4881" i="2"/>
  <c r="K4882" i="2"/>
  <c r="L4882" i="2"/>
  <c r="Z4882" i="2"/>
  <c r="AD4882" i="2"/>
  <c r="K4883" i="2"/>
  <c r="L4883" i="2"/>
  <c r="Z4883" i="2"/>
  <c r="AA4883" i="2" s="1"/>
  <c r="AD4883" i="2"/>
  <c r="K4884" i="2"/>
  <c r="L4884" i="2"/>
  <c r="Z4884" i="2"/>
  <c r="AC4884" i="2" s="1"/>
  <c r="AB4884" i="2"/>
  <c r="AD4884" i="2"/>
  <c r="K4885" i="2"/>
  <c r="L4885" i="2"/>
  <c r="Z4885" i="2"/>
  <c r="AC4885" i="2" s="1"/>
  <c r="AD4885" i="2"/>
  <c r="K4886" i="2"/>
  <c r="L4886" i="2"/>
  <c r="Z4886" i="2"/>
  <c r="AD4886" i="2"/>
  <c r="K4887" i="2"/>
  <c r="L4887" i="2"/>
  <c r="Z4887" i="2"/>
  <c r="AD4887" i="2"/>
  <c r="K4888" i="2"/>
  <c r="L4888" i="2"/>
  <c r="Z4888" i="2"/>
  <c r="AB4888" i="2" s="1"/>
  <c r="AA4888" i="2"/>
  <c r="AD4888" i="2"/>
  <c r="K4889" i="2"/>
  <c r="L4889" i="2"/>
  <c r="Z4889" i="2"/>
  <c r="AA4889" i="2" s="1"/>
  <c r="AB4889" i="2"/>
  <c r="AD4889" i="2"/>
  <c r="K4890" i="2"/>
  <c r="L4890" i="2"/>
  <c r="Z4890" i="2"/>
  <c r="AC4890" i="2" s="1"/>
  <c r="AD4890" i="2"/>
  <c r="K4891" i="2"/>
  <c r="L4891" i="2"/>
  <c r="Z4891" i="2"/>
  <c r="AD4891" i="2"/>
  <c r="K4892" i="2"/>
  <c r="L4892" i="2"/>
  <c r="Z4892" i="2"/>
  <c r="AD4892" i="2"/>
  <c r="K4893" i="2"/>
  <c r="L4893" i="2"/>
  <c r="Z4893" i="2"/>
  <c r="AA4893" i="2" s="1"/>
  <c r="AC4893" i="2"/>
  <c r="AD4893" i="2"/>
  <c r="K4894" i="2"/>
  <c r="L4894" i="2"/>
  <c r="Z4894" i="2"/>
  <c r="AD4894" i="2"/>
  <c r="K4895" i="2"/>
  <c r="L4895" i="2"/>
  <c r="Z4895" i="2"/>
  <c r="AA4895" i="2" s="1"/>
  <c r="AD4895" i="2"/>
  <c r="K4896" i="2"/>
  <c r="L4896" i="2"/>
  <c r="Z4896" i="2"/>
  <c r="AA4896" i="2"/>
  <c r="AD4896" i="2"/>
  <c r="K4897" i="2"/>
  <c r="L4897" i="2"/>
  <c r="Z4897" i="2"/>
  <c r="AD4897" i="2"/>
  <c r="K4898" i="2"/>
  <c r="L4898" i="2"/>
  <c r="Z4898" i="2"/>
  <c r="AD4898" i="2"/>
  <c r="K4899" i="2"/>
  <c r="L4899" i="2"/>
  <c r="Z4899" i="2"/>
  <c r="AB4899" i="2" s="1"/>
  <c r="AA4899" i="2"/>
  <c r="AD4899" i="2"/>
  <c r="K4900" i="2"/>
  <c r="L4900" i="2"/>
  <c r="Z4900" i="2"/>
  <c r="AC4900" i="2" s="1"/>
  <c r="AD4900" i="2"/>
  <c r="K4901" i="2"/>
  <c r="L4901" i="2"/>
  <c r="Z4901" i="2"/>
  <c r="AA4901" i="2" s="1"/>
  <c r="AB4901" i="2"/>
  <c r="AC4901" i="2"/>
  <c r="AD4901" i="2"/>
  <c r="K4902" i="2"/>
  <c r="L4902" i="2"/>
  <c r="Z4902" i="2"/>
  <c r="AA4902" i="2" s="1"/>
  <c r="AD4902" i="2"/>
  <c r="K4903" i="2"/>
  <c r="L4903" i="2"/>
  <c r="Z4903" i="2"/>
  <c r="AD4903" i="2"/>
  <c r="K4904" i="2"/>
  <c r="L4904" i="2"/>
  <c r="Z4904" i="2"/>
  <c r="AB4904" i="2" s="1"/>
  <c r="AD4904" i="2"/>
  <c r="K4905" i="2"/>
  <c r="L4905" i="2"/>
  <c r="Z4905" i="2"/>
  <c r="AD4905" i="2"/>
  <c r="K4906" i="2"/>
  <c r="L4906" i="2"/>
  <c r="Z4906" i="2"/>
  <c r="AA4906" i="2" s="1"/>
  <c r="AC4906" i="2"/>
  <c r="AD4906" i="2"/>
  <c r="K4907" i="2"/>
  <c r="L4907" i="2"/>
  <c r="Z4907" i="2"/>
  <c r="AA4907" i="2" s="1"/>
  <c r="AD4907" i="2"/>
  <c r="K4908" i="2"/>
  <c r="L4908" i="2"/>
  <c r="Z4908" i="2"/>
  <c r="AC4908" i="2" s="1"/>
  <c r="AD4908" i="2"/>
  <c r="K4909" i="2"/>
  <c r="L4909" i="2"/>
  <c r="Z4909" i="2"/>
  <c r="AA4909" i="2" s="1"/>
  <c r="AB4909" i="2"/>
  <c r="AC4909" i="2"/>
  <c r="AD4909" i="2"/>
  <c r="K4910" i="2"/>
  <c r="L4910" i="2"/>
  <c r="Z4910" i="2"/>
  <c r="AD4910" i="2"/>
  <c r="K4911" i="2"/>
  <c r="L4911" i="2"/>
  <c r="Z4911" i="2"/>
  <c r="AB4911" i="2" s="1"/>
  <c r="AD4911" i="2"/>
  <c r="K4912" i="2"/>
  <c r="L4912" i="2"/>
  <c r="Z4912" i="2"/>
  <c r="AA4912" i="2" s="1"/>
  <c r="AD4912" i="2"/>
  <c r="K4913" i="2"/>
  <c r="L4913" i="2"/>
  <c r="Z4913" i="2"/>
  <c r="AB4913" i="2" s="1"/>
  <c r="AD4913" i="2"/>
  <c r="K4914" i="2"/>
  <c r="L4914" i="2"/>
  <c r="Z4914" i="2"/>
  <c r="AB4914" i="2" s="1"/>
  <c r="AA4914" i="2"/>
  <c r="AC4914" i="2"/>
  <c r="AD4914" i="2"/>
  <c r="K4915" i="2"/>
  <c r="L4915" i="2"/>
  <c r="Z4915" i="2"/>
  <c r="AB4915" i="2" s="1"/>
  <c r="AD4915" i="2"/>
  <c r="K4916" i="2"/>
  <c r="L4916" i="2"/>
  <c r="Z4916" i="2"/>
  <c r="AA4916" i="2" s="1"/>
  <c r="AB4916" i="2"/>
  <c r="AC4916" i="2"/>
  <c r="AD4916" i="2"/>
  <c r="K4917" i="2"/>
  <c r="L4917" i="2"/>
  <c r="Z4917" i="2"/>
  <c r="AB4917" i="2" s="1"/>
  <c r="AD4917" i="2"/>
  <c r="K4918" i="2"/>
  <c r="L4918" i="2"/>
  <c r="Z4918" i="2"/>
  <c r="AD4918" i="2"/>
  <c r="K4919" i="2"/>
  <c r="L4919" i="2"/>
  <c r="Z4919" i="2"/>
  <c r="AA4919" i="2" s="1"/>
  <c r="AD4919" i="2"/>
  <c r="K4920" i="2"/>
  <c r="L4920" i="2"/>
  <c r="Z4920" i="2"/>
  <c r="AC4920" i="2" s="1"/>
  <c r="AA4920" i="2"/>
  <c r="AD4920" i="2"/>
  <c r="K4921" i="2"/>
  <c r="L4921" i="2"/>
  <c r="Z4921" i="2"/>
  <c r="AA4921" i="2" s="1"/>
  <c r="AB4921" i="2"/>
  <c r="AD4921" i="2"/>
  <c r="K4922" i="2"/>
  <c r="L4922" i="2"/>
  <c r="Z4922" i="2"/>
  <c r="AD4922" i="2"/>
  <c r="K4923" i="2"/>
  <c r="L4923" i="2"/>
  <c r="Z4923" i="2"/>
  <c r="AB4923" i="2" s="1"/>
  <c r="AD4923" i="2"/>
  <c r="K4924" i="2"/>
  <c r="L4924" i="2"/>
  <c r="Z4924" i="2"/>
  <c r="AB4924" i="2" s="1"/>
  <c r="AD4924" i="2"/>
  <c r="K4925" i="2"/>
  <c r="L4925" i="2"/>
  <c r="Z4925" i="2"/>
  <c r="AA4925" i="2" s="1"/>
  <c r="AB4925" i="2"/>
  <c r="AC4925" i="2"/>
  <c r="AD4925" i="2"/>
  <c r="K4926" i="2"/>
  <c r="L4926" i="2"/>
  <c r="Z4926" i="2"/>
  <c r="AD4926" i="2"/>
  <c r="K4927" i="2"/>
  <c r="L4927" i="2"/>
  <c r="Z4927" i="2"/>
  <c r="AB4927" i="2" s="1"/>
  <c r="AD4927" i="2"/>
  <c r="K4928" i="2"/>
  <c r="L4928" i="2"/>
  <c r="Z4928" i="2"/>
  <c r="AD4928" i="2"/>
  <c r="K4929" i="2"/>
  <c r="L4929" i="2"/>
  <c r="Z4929" i="2"/>
  <c r="AA4929" i="2" s="1"/>
  <c r="AD4929" i="2"/>
  <c r="K4930" i="2"/>
  <c r="L4930" i="2"/>
  <c r="Z4930" i="2"/>
  <c r="AA4930" i="2" s="1"/>
  <c r="AD4930" i="2"/>
  <c r="K4931" i="2"/>
  <c r="L4931" i="2"/>
  <c r="Z4931" i="2"/>
  <c r="AD4931" i="2"/>
  <c r="K4932" i="2"/>
  <c r="L4932" i="2"/>
  <c r="Z4932" i="2"/>
  <c r="AC4932" i="2" s="1"/>
  <c r="AA4932" i="2"/>
  <c r="AB4932" i="2"/>
  <c r="AD4932" i="2"/>
  <c r="K4933" i="2"/>
  <c r="L4933" i="2"/>
  <c r="Z4933" i="2"/>
  <c r="AD4933" i="2"/>
  <c r="K4934" i="2"/>
  <c r="L4934" i="2"/>
  <c r="Z4934" i="2"/>
  <c r="AD4934" i="2"/>
  <c r="K4935" i="2"/>
  <c r="L4935" i="2"/>
  <c r="Z4935" i="2"/>
  <c r="AB4935" i="2" s="1"/>
  <c r="AA4935" i="2"/>
  <c r="AD4935" i="2"/>
  <c r="K4936" i="2"/>
  <c r="L4936" i="2"/>
  <c r="Z4936" i="2"/>
  <c r="AB4936" i="2" s="1"/>
  <c r="AA4936" i="2"/>
  <c r="AC4936" i="2"/>
  <c r="AD4936" i="2"/>
  <c r="K4937" i="2"/>
  <c r="L4937" i="2"/>
  <c r="Z4937" i="2"/>
  <c r="AC4937" i="2"/>
  <c r="AD4937" i="2"/>
  <c r="K4938" i="2"/>
  <c r="L4938" i="2"/>
  <c r="Z4938" i="2"/>
  <c r="AA4938" i="2" s="1"/>
  <c r="AD4938" i="2"/>
  <c r="K4939" i="2"/>
  <c r="L4939" i="2"/>
  <c r="Z4939" i="2"/>
  <c r="AB4939" i="2" s="1"/>
  <c r="AA4939" i="2"/>
  <c r="AD4939" i="2"/>
  <c r="K4940" i="2"/>
  <c r="L4940" i="2"/>
  <c r="Z4940" i="2"/>
  <c r="AA4940" i="2" s="1"/>
  <c r="AB4940" i="2"/>
  <c r="AC4940" i="2"/>
  <c r="AD4940" i="2"/>
  <c r="K4941" i="2"/>
  <c r="L4941" i="2"/>
  <c r="Z4941" i="2"/>
  <c r="AD4941" i="2"/>
  <c r="K4942" i="2"/>
  <c r="L4942" i="2"/>
  <c r="Z4942" i="2"/>
  <c r="AA4942" i="2" s="1"/>
  <c r="AD4942" i="2"/>
  <c r="K4943" i="2"/>
  <c r="L4943" i="2"/>
  <c r="Z4943" i="2"/>
  <c r="AA4943" i="2" s="1"/>
  <c r="AB4943" i="2"/>
  <c r="AD4943" i="2"/>
  <c r="K4944" i="2"/>
  <c r="L4944" i="2"/>
  <c r="Z4944" i="2"/>
  <c r="AA4944" i="2" s="1"/>
  <c r="AB4944" i="2"/>
  <c r="AD4944" i="2"/>
  <c r="K4945" i="2"/>
  <c r="L4945" i="2"/>
  <c r="Z4945" i="2"/>
  <c r="AA4945" i="2" s="1"/>
  <c r="AD4945" i="2"/>
  <c r="K4946" i="2"/>
  <c r="L4946" i="2"/>
  <c r="Z4946" i="2"/>
  <c r="AD4946" i="2"/>
  <c r="K4947" i="2"/>
  <c r="L4947" i="2"/>
  <c r="Z4947" i="2"/>
  <c r="AB4947" i="2" s="1"/>
  <c r="AD4947" i="2"/>
  <c r="K4948" i="2"/>
  <c r="L4948" i="2"/>
  <c r="Z4948" i="2"/>
  <c r="AC4948" i="2" s="1"/>
  <c r="AA4948" i="2"/>
  <c r="AD4948" i="2"/>
  <c r="K4949" i="2"/>
  <c r="L4949" i="2"/>
  <c r="Z4949" i="2"/>
  <c r="AA4949" i="2" s="1"/>
  <c r="AB4949" i="2"/>
  <c r="AD4949" i="2"/>
  <c r="K4950" i="2"/>
  <c r="L4950" i="2"/>
  <c r="Z4950" i="2"/>
  <c r="AB4950" i="2" s="1"/>
  <c r="AA4950" i="2"/>
  <c r="AC4950" i="2"/>
  <c r="AD4950" i="2"/>
  <c r="K4951" i="2"/>
  <c r="L4951" i="2"/>
  <c r="Z4951" i="2"/>
  <c r="AB4951" i="2" s="1"/>
  <c r="AD4951" i="2"/>
  <c r="K4952" i="2"/>
  <c r="L4952" i="2"/>
  <c r="Z4952" i="2"/>
  <c r="AC4952" i="2" s="1"/>
  <c r="AD4952" i="2"/>
  <c r="K4953" i="2"/>
  <c r="L4953" i="2"/>
  <c r="Z4953" i="2"/>
  <c r="AA4953" i="2" s="1"/>
  <c r="AD4953" i="2"/>
  <c r="K4954" i="2"/>
  <c r="L4954" i="2"/>
  <c r="Z4954" i="2"/>
  <c r="AA4954" i="2" s="1"/>
  <c r="AC4954" i="2"/>
  <c r="AD4954" i="2"/>
  <c r="K4955" i="2"/>
  <c r="L4955" i="2"/>
  <c r="Z4955" i="2"/>
  <c r="AA4955" i="2" s="1"/>
  <c r="AB4955" i="2"/>
  <c r="AD4955" i="2"/>
  <c r="K4956" i="2"/>
  <c r="L4956" i="2"/>
  <c r="Z4956" i="2"/>
  <c r="AA4956" i="2" s="1"/>
  <c r="AB4956" i="2"/>
  <c r="AC4956" i="2"/>
  <c r="AD4956" i="2"/>
  <c r="K4957" i="2"/>
  <c r="L4957" i="2"/>
  <c r="Z4957" i="2"/>
  <c r="AA4957" i="2" s="1"/>
  <c r="AB4957" i="2"/>
  <c r="AC4957" i="2"/>
  <c r="AD4957" i="2"/>
  <c r="K4958" i="2"/>
  <c r="L4958" i="2"/>
  <c r="Z4958" i="2"/>
  <c r="AD4958" i="2"/>
  <c r="K4959" i="2"/>
  <c r="L4959" i="2"/>
  <c r="Z4959" i="2"/>
  <c r="AB4959" i="2" s="1"/>
  <c r="AD4959" i="2"/>
  <c r="K4960" i="2"/>
  <c r="L4960" i="2"/>
  <c r="Z4960" i="2"/>
  <c r="AB4960" i="2" s="1"/>
  <c r="AD4960" i="2"/>
  <c r="K4961" i="2"/>
  <c r="L4961" i="2"/>
  <c r="Z4961" i="2"/>
  <c r="AA4961" i="2" s="1"/>
  <c r="AB4961" i="2"/>
  <c r="AD4961" i="2"/>
  <c r="K4962" i="2"/>
  <c r="L4962" i="2"/>
  <c r="Z4962" i="2"/>
  <c r="AA4962" i="2" s="1"/>
  <c r="AD4962" i="2"/>
  <c r="K4963" i="2"/>
  <c r="L4963" i="2"/>
  <c r="Z4963" i="2"/>
  <c r="AA4963" i="2" s="1"/>
  <c r="AD4963" i="2"/>
  <c r="K4964" i="2"/>
  <c r="L4964" i="2"/>
  <c r="Z4964" i="2"/>
  <c r="AA4964" i="2" s="1"/>
  <c r="AD4964" i="2"/>
  <c r="K4965" i="2"/>
  <c r="L4965" i="2"/>
  <c r="Z4965" i="2"/>
  <c r="AA4965" i="2" s="1"/>
  <c r="AD4965" i="2"/>
  <c r="K4966" i="2"/>
  <c r="L4966" i="2"/>
  <c r="Z4966" i="2"/>
  <c r="AA4966" i="2" s="1"/>
  <c r="AD4966" i="2"/>
  <c r="K4967" i="2"/>
  <c r="L4967" i="2"/>
  <c r="Z4967" i="2"/>
  <c r="AA4967" i="2" s="1"/>
  <c r="AC4967" i="2"/>
  <c r="AD4967" i="2"/>
  <c r="K4968" i="2"/>
  <c r="L4968" i="2"/>
  <c r="Z4968" i="2"/>
  <c r="AA4968" i="2"/>
  <c r="AB4968" i="2"/>
  <c r="AC4968" i="2"/>
  <c r="AD4968" i="2"/>
  <c r="K4969" i="2"/>
  <c r="L4969" i="2"/>
  <c r="Z4969" i="2"/>
  <c r="AA4969" i="2" s="1"/>
  <c r="AB4969" i="2"/>
  <c r="AD4969" i="2"/>
  <c r="K4970" i="2"/>
  <c r="L4970" i="2"/>
  <c r="Z4970" i="2"/>
  <c r="AD4970" i="2"/>
  <c r="K4971" i="2"/>
  <c r="L4971" i="2"/>
  <c r="Z4971" i="2"/>
  <c r="AB4971" i="2" s="1"/>
  <c r="AD4971" i="2"/>
  <c r="K4972" i="2"/>
  <c r="L4972" i="2"/>
  <c r="Z4972" i="2"/>
  <c r="AB4972" i="2" s="1"/>
  <c r="AD4972" i="2"/>
  <c r="K4973" i="2"/>
  <c r="L4973" i="2"/>
  <c r="Z4973" i="2"/>
  <c r="AA4973" i="2" s="1"/>
  <c r="AB4973" i="2"/>
  <c r="AC4973" i="2"/>
  <c r="AD4973" i="2"/>
  <c r="K4974" i="2"/>
  <c r="L4974" i="2"/>
  <c r="Z4974" i="2"/>
  <c r="AA4974" i="2" s="1"/>
  <c r="AD4974" i="2"/>
  <c r="K4975" i="2"/>
  <c r="L4975" i="2"/>
  <c r="Z4975" i="2"/>
  <c r="AA4975" i="2" s="1"/>
  <c r="AD4975" i="2"/>
  <c r="K4976" i="2"/>
  <c r="L4976" i="2"/>
  <c r="Z4976" i="2"/>
  <c r="AA4976" i="2" s="1"/>
  <c r="AD4976" i="2"/>
  <c r="K4977" i="2"/>
  <c r="L4977" i="2"/>
  <c r="Z4977" i="2"/>
  <c r="AA4977" i="2" s="1"/>
  <c r="AD4977" i="2"/>
  <c r="K4978" i="2"/>
  <c r="L4978" i="2"/>
  <c r="Z4978" i="2"/>
  <c r="AD4978" i="2"/>
  <c r="K4979" i="2"/>
  <c r="L4979" i="2"/>
  <c r="Z4979" i="2"/>
  <c r="AA4979" i="2" s="1"/>
  <c r="AD4979" i="2"/>
  <c r="K4980" i="2"/>
  <c r="L4980" i="2"/>
  <c r="Z4980" i="2"/>
  <c r="AC4980" i="2" s="1"/>
  <c r="AA4980" i="2"/>
  <c r="AD4980" i="2"/>
  <c r="K4981" i="2"/>
  <c r="L4981" i="2"/>
  <c r="Z4981" i="2"/>
  <c r="AB4981" i="2" s="1"/>
  <c r="AD4981" i="2"/>
  <c r="K4982" i="2"/>
  <c r="L4982" i="2"/>
  <c r="Z4982" i="2"/>
  <c r="AD4982" i="2"/>
  <c r="K4983" i="2"/>
  <c r="L4983" i="2"/>
  <c r="Z4983" i="2"/>
  <c r="AB4983" i="2" s="1"/>
  <c r="AA4983" i="2"/>
  <c r="AD4983" i="2"/>
  <c r="K4984" i="2"/>
  <c r="L4984" i="2"/>
  <c r="Z4984" i="2"/>
  <c r="AB4984" i="2" s="1"/>
  <c r="AD4984" i="2"/>
  <c r="K4985" i="2"/>
  <c r="L4985" i="2"/>
  <c r="Z4985" i="2"/>
  <c r="AA4985" i="2" s="1"/>
  <c r="AC4985" i="2"/>
  <c r="AD4985" i="2"/>
  <c r="K4986" i="2"/>
  <c r="L4986" i="2"/>
  <c r="Z4986" i="2"/>
  <c r="AA4986" i="2" s="1"/>
  <c r="AC4986" i="2"/>
  <c r="AD4986" i="2"/>
  <c r="K4987" i="2"/>
  <c r="L4987" i="2"/>
  <c r="Z4987" i="2"/>
  <c r="AA4987" i="2"/>
  <c r="AD4987" i="2"/>
  <c r="K4988" i="2"/>
  <c r="L4988" i="2"/>
  <c r="Z4988" i="2"/>
  <c r="AA4988" i="2" s="1"/>
  <c r="AB4988" i="2"/>
  <c r="AC4988" i="2"/>
  <c r="AD4988" i="2"/>
  <c r="K4989" i="2"/>
  <c r="L4989" i="2"/>
  <c r="Z4989" i="2"/>
  <c r="AA4989" i="2" s="1"/>
  <c r="AD4989" i="2"/>
  <c r="K4990" i="2"/>
  <c r="L4990" i="2"/>
  <c r="Z4990" i="2"/>
  <c r="AA4990" i="2" s="1"/>
  <c r="AC4990" i="2"/>
  <c r="AD4990" i="2"/>
  <c r="K4991" i="2"/>
  <c r="L4991" i="2"/>
  <c r="Z4991" i="2"/>
  <c r="AA4991" i="2" s="1"/>
  <c r="AB4991" i="2"/>
  <c r="AD4991" i="2"/>
  <c r="K4992" i="2"/>
  <c r="L4992" i="2"/>
  <c r="Z4992" i="2"/>
  <c r="AC4992" i="2" s="1"/>
  <c r="AD4992" i="2"/>
  <c r="K4993" i="2"/>
  <c r="L4993" i="2"/>
  <c r="Z4993" i="2"/>
  <c r="AD4993" i="2"/>
  <c r="K4994" i="2"/>
  <c r="L4994" i="2"/>
  <c r="Z4994" i="2"/>
  <c r="AD4994" i="2"/>
  <c r="K4995" i="2"/>
  <c r="L4995" i="2"/>
  <c r="Z4995" i="2"/>
  <c r="AB4995" i="2" s="1"/>
  <c r="AA4995" i="2"/>
  <c r="AD4995" i="2"/>
  <c r="K4996" i="2"/>
  <c r="L4996" i="2"/>
  <c r="Z4996" i="2"/>
  <c r="AB4996" i="2" s="1"/>
  <c r="AD4996" i="2"/>
  <c r="K4997" i="2"/>
  <c r="L4997" i="2"/>
  <c r="Z4997" i="2"/>
  <c r="AD4997" i="2"/>
  <c r="K4998" i="2"/>
  <c r="L4998" i="2"/>
  <c r="Z4998" i="2"/>
  <c r="AC4998" i="2"/>
  <c r="AD4998" i="2"/>
  <c r="K4999" i="2"/>
  <c r="L4999" i="2"/>
  <c r="Z4999" i="2"/>
  <c r="AA4999" i="2" s="1"/>
  <c r="AD4999" i="2"/>
  <c r="K5000" i="2"/>
  <c r="L5000" i="2"/>
  <c r="Z5000" i="2"/>
  <c r="AA5000" i="2" s="1"/>
  <c r="AD5000" i="2"/>
  <c r="K5001" i="2"/>
  <c r="L5001" i="2"/>
  <c r="Z5001" i="2"/>
  <c r="AA5001" i="2" s="1"/>
  <c r="AD5001" i="2"/>
  <c r="K5002" i="2"/>
  <c r="L5002" i="2"/>
  <c r="Z5002" i="2"/>
  <c r="AD5002" i="2"/>
  <c r="K5003" i="2"/>
  <c r="L5003" i="2"/>
  <c r="Z5003" i="2"/>
  <c r="AA5003" i="2" s="1"/>
  <c r="AD5003" i="2"/>
  <c r="K5004" i="2"/>
  <c r="L5004" i="2"/>
  <c r="Z5004" i="2"/>
  <c r="AD5004" i="2"/>
  <c r="K5005" i="2"/>
  <c r="L5005" i="2"/>
  <c r="Z5005" i="2"/>
  <c r="AA5005" i="2" s="1"/>
  <c r="AD5005" i="2"/>
  <c r="K5006" i="2"/>
  <c r="L5006" i="2"/>
  <c r="Z5006" i="2"/>
  <c r="AD5006" i="2"/>
  <c r="K5007" i="2"/>
  <c r="L5007" i="2"/>
  <c r="Z5007" i="2"/>
  <c r="AB5007" i="2" s="1"/>
  <c r="AD5007" i="2"/>
  <c r="K5008" i="2"/>
  <c r="L5008" i="2"/>
  <c r="Z5008" i="2"/>
  <c r="AD5008" i="2"/>
  <c r="K5009" i="2"/>
  <c r="L5009" i="2"/>
  <c r="Z5009" i="2"/>
  <c r="AD5009" i="2"/>
  <c r="K5010" i="2"/>
  <c r="L5010" i="2"/>
  <c r="Z5010" i="2"/>
  <c r="AA5010" i="2" s="1"/>
  <c r="AB5010" i="2"/>
  <c r="AD5010" i="2"/>
  <c r="K5011" i="2"/>
  <c r="L5011" i="2"/>
  <c r="Z5011" i="2"/>
  <c r="AA5011" i="2" s="1"/>
  <c r="AD5011" i="2"/>
  <c r="K5012" i="2"/>
  <c r="L5012" i="2"/>
  <c r="Z5012" i="2"/>
  <c r="AA5012" i="2"/>
  <c r="AB5012" i="2"/>
  <c r="AC5012" i="2"/>
  <c r="AD5012" i="2"/>
  <c r="K5013" i="2"/>
  <c r="L5013" i="2"/>
  <c r="Z5013" i="2"/>
  <c r="AA5013" i="2" s="1"/>
  <c r="AD5013" i="2"/>
  <c r="K5014" i="2"/>
  <c r="L5014" i="2"/>
  <c r="Z5014" i="2"/>
  <c r="AC5014" i="2"/>
  <c r="AD5014" i="2"/>
  <c r="K5015" i="2"/>
  <c r="L5015" i="2"/>
  <c r="Z5015" i="2"/>
  <c r="AA5015" i="2" s="1"/>
  <c r="AD5015" i="2"/>
  <c r="K5016" i="2"/>
  <c r="L5016" i="2"/>
  <c r="Z5016" i="2"/>
  <c r="AC5016" i="2" s="1"/>
  <c r="AA5016" i="2"/>
  <c r="AD5016" i="2"/>
  <c r="K5017" i="2"/>
  <c r="L5017" i="2"/>
  <c r="Z5017" i="2"/>
  <c r="AA5017" i="2" s="1"/>
  <c r="AD5017" i="2"/>
  <c r="K5018" i="2"/>
  <c r="L5018" i="2"/>
  <c r="Z5018" i="2"/>
  <c r="AD5018" i="2"/>
  <c r="K5019" i="2"/>
  <c r="L5019" i="2"/>
  <c r="Z5019" i="2"/>
  <c r="AB5019" i="2" s="1"/>
  <c r="AD5019" i="2"/>
  <c r="K5020" i="2"/>
  <c r="L5020" i="2"/>
  <c r="Z5020" i="2"/>
  <c r="AA5020" i="2" s="1"/>
  <c r="AD5020" i="2"/>
  <c r="K5021" i="2"/>
  <c r="L5021" i="2"/>
  <c r="Z5021" i="2"/>
  <c r="AA5021" i="2" s="1"/>
  <c r="AC5021" i="2"/>
  <c r="AD5021" i="2"/>
  <c r="K5022" i="2"/>
  <c r="L5022" i="2"/>
  <c r="Z5022" i="2"/>
  <c r="AA5022" i="2" s="1"/>
  <c r="AB5022" i="2"/>
  <c r="AC5022" i="2"/>
  <c r="AD5022" i="2"/>
  <c r="K5023" i="2"/>
  <c r="L5023" i="2"/>
  <c r="Z5023" i="2"/>
  <c r="AA5023" i="2" s="1"/>
  <c r="AD5023" i="2"/>
  <c r="K5024" i="2"/>
  <c r="L5024" i="2"/>
  <c r="Z5024" i="2"/>
  <c r="AA5024" i="2" s="1"/>
  <c r="AD5024" i="2"/>
  <c r="K5025" i="2"/>
  <c r="L5025" i="2"/>
  <c r="Z5025" i="2"/>
  <c r="AA5025" i="2" s="1"/>
  <c r="AD5025" i="2"/>
  <c r="K5026" i="2"/>
  <c r="L5026" i="2"/>
  <c r="Z5026" i="2"/>
  <c r="AC5026" i="2" s="1"/>
  <c r="AD5026" i="2"/>
  <c r="K5027" i="2"/>
  <c r="L5027" i="2"/>
  <c r="Z5027" i="2"/>
  <c r="AA5027" i="2" s="1"/>
  <c r="AD5027" i="2"/>
  <c r="K5028" i="2"/>
  <c r="L5028" i="2"/>
  <c r="Z5028" i="2"/>
  <c r="AC5028" i="2" s="1"/>
  <c r="AD5028" i="2"/>
  <c r="K5029" i="2"/>
  <c r="L5029" i="2"/>
  <c r="Z5029" i="2"/>
  <c r="AA5029" i="2" s="1"/>
  <c r="AD5029" i="2"/>
  <c r="K5030" i="2"/>
  <c r="L5030" i="2"/>
  <c r="Z5030" i="2"/>
  <c r="AD5030" i="2"/>
  <c r="K5031" i="2"/>
  <c r="L5031" i="2"/>
  <c r="Z5031" i="2"/>
  <c r="AB5031" i="2" s="1"/>
  <c r="AD5031" i="2"/>
  <c r="K5032" i="2"/>
  <c r="L5032" i="2"/>
  <c r="Z5032" i="2"/>
  <c r="AA5032" i="2" s="1"/>
  <c r="AD5032" i="2"/>
  <c r="K5033" i="2"/>
  <c r="L5033" i="2"/>
  <c r="Z5033" i="2"/>
  <c r="AA5033" i="2" s="1"/>
  <c r="AD5033" i="2"/>
  <c r="K5034" i="2"/>
  <c r="L5034" i="2"/>
  <c r="Z5034" i="2"/>
  <c r="AA5034" i="2"/>
  <c r="AB5034" i="2"/>
  <c r="AC5034" i="2"/>
  <c r="AD5034" i="2"/>
  <c r="K5035" i="2"/>
  <c r="L5035" i="2"/>
  <c r="Z5035" i="2"/>
  <c r="AA5035" i="2" s="1"/>
  <c r="AD5035" i="2"/>
  <c r="K5036" i="2"/>
  <c r="L5036" i="2"/>
  <c r="Z5036" i="2"/>
  <c r="AC5036" i="2"/>
  <c r="AD5036" i="2"/>
  <c r="K5037" i="2"/>
  <c r="L5037" i="2"/>
  <c r="Z5037" i="2"/>
  <c r="AA5037" i="2" s="1"/>
  <c r="AD5037" i="2"/>
  <c r="K5038" i="2"/>
  <c r="L5038" i="2"/>
  <c r="Z5038" i="2"/>
  <c r="AC5038" i="2" s="1"/>
  <c r="AD5038" i="2"/>
  <c r="K5039" i="2"/>
  <c r="L5039" i="2"/>
  <c r="Z5039" i="2"/>
  <c r="AA5039" i="2" s="1"/>
  <c r="AD5039" i="2"/>
  <c r="K5040" i="2"/>
  <c r="L5040" i="2"/>
  <c r="Z5040" i="2"/>
  <c r="AA5040" i="2" s="1"/>
  <c r="AD5040" i="2"/>
  <c r="K5041" i="2"/>
  <c r="L5041" i="2"/>
  <c r="Z5041" i="2"/>
  <c r="AA5041" i="2" s="1"/>
  <c r="AB5041" i="2"/>
  <c r="AC5041" i="2"/>
  <c r="AD5041" i="2"/>
  <c r="K5042" i="2"/>
  <c r="L5042" i="2"/>
  <c r="Z5042" i="2"/>
  <c r="AD5042" i="2"/>
  <c r="K5043" i="2"/>
  <c r="L5043" i="2"/>
  <c r="Z5043" i="2"/>
  <c r="AB5043" i="2" s="1"/>
  <c r="AD5043" i="2"/>
  <c r="K5044" i="2"/>
  <c r="L5044" i="2"/>
  <c r="Z5044" i="2"/>
  <c r="AB5044" i="2" s="1"/>
  <c r="AD5044" i="2"/>
  <c r="K5045" i="2"/>
  <c r="L5045" i="2"/>
  <c r="Z5045" i="2"/>
  <c r="AA5045" i="2" s="1"/>
  <c r="AD5045" i="2"/>
  <c r="K5046" i="2"/>
  <c r="L5046" i="2"/>
  <c r="Z5046" i="2"/>
  <c r="AB5046" i="2" s="1"/>
  <c r="AA5046" i="2"/>
  <c r="AD5046" i="2"/>
  <c r="K5047" i="2"/>
  <c r="L5047" i="2"/>
  <c r="Z5047" i="2"/>
  <c r="AA5047" i="2"/>
  <c r="AD5047" i="2"/>
  <c r="K5048" i="2"/>
  <c r="L5048" i="2"/>
  <c r="Z5048" i="2"/>
  <c r="AB5048" i="2" s="1"/>
  <c r="AD5048" i="2"/>
  <c r="K5049" i="2"/>
  <c r="L5049" i="2"/>
  <c r="Z5049" i="2"/>
  <c r="AA5049" i="2" s="1"/>
  <c r="AB5049" i="2"/>
  <c r="AD5049" i="2"/>
  <c r="K5050" i="2"/>
  <c r="L5050" i="2"/>
  <c r="Z5050" i="2"/>
  <c r="AC5050" i="2"/>
  <c r="AD5050" i="2"/>
  <c r="K5051" i="2"/>
  <c r="L5051" i="2"/>
  <c r="Z5051" i="2"/>
  <c r="AA5051" i="2" s="1"/>
  <c r="AD5051" i="2"/>
  <c r="K5052" i="2"/>
  <c r="L5052" i="2"/>
  <c r="Z5052" i="2"/>
  <c r="AC5052" i="2" s="1"/>
  <c r="AA5052" i="2"/>
  <c r="AB5052" i="2"/>
  <c r="AD5052" i="2"/>
  <c r="K5053" i="2"/>
  <c r="L5053" i="2"/>
  <c r="Z5053" i="2"/>
  <c r="AD5053" i="2"/>
  <c r="K5054" i="2"/>
  <c r="L5054" i="2"/>
  <c r="Z5054" i="2"/>
  <c r="AD5054" i="2"/>
  <c r="K5055" i="2"/>
  <c r="L5055" i="2"/>
  <c r="Z5055" i="2"/>
  <c r="AA5055" i="2" s="1"/>
  <c r="AD5055" i="2"/>
  <c r="K5056" i="2"/>
  <c r="L5056" i="2"/>
  <c r="Z5056" i="2"/>
  <c r="AB5056" i="2" s="1"/>
  <c r="AD5056" i="2"/>
  <c r="K5057" i="2"/>
  <c r="L5057" i="2"/>
  <c r="Z5057" i="2"/>
  <c r="AA5057" i="2" s="1"/>
  <c r="AB5057" i="2"/>
  <c r="AD5057" i="2"/>
  <c r="K5058" i="2"/>
  <c r="L5058" i="2"/>
  <c r="Z5058" i="2"/>
  <c r="AA5058" i="2" s="1"/>
  <c r="AD5058" i="2"/>
  <c r="K5059" i="2"/>
  <c r="L5059" i="2"/>
  <c r="Z5059" i="2"/>
  <c r="AA5059" i="2" s="1"/>
  <c r="AD5059" i="2"/>
  <c r="K5060" i="2"/>
  <c r="L5060" i="2"/>
  <c r="Z5060" i="2"/>
  <c r="AA5060" i="2" s="1"/>
  <c r="AD5060" i="2"/>
  <c r="K5061" i="2"/>
  <c r="L5061" i="2"/>
  <c r="Z5061" i="2"/>
  <c r="AD5061" i="2"/>
  <c r="K5062" i="2"/>
  <c r="L5062" i="2"/>
  <c r="Z5062" i="2"/>
  <c r="AC5062" i="2" s="1"/>
  <c r="AD5062" i="2"/>
  <c r="K5063" i="2"/>
  <c r="L5063" i="2"/>
  <c r="Z5063" i="2"/>
  <c r="AA5063" i="2" s="1"/>
  <c r="AD5063" i="2"/>
  <c r="K5064" i="2"/>
  <c r="L5064" i="2"/>
  <c r="Z5064" i="2"/>
  <c r="AA5064" i="2"/>
  <c r="AD5064" i="2"/>
  <c r="K5065" i="2"/>
  <c r="L5065" i="2"/>
  <c r="Z5065" i="2"/>
  <c r="AC5065" i="2"/>
  <c r="AD5065" i="2"/>
  <c r="K5066" i="2"/>
  <c r="L5066" i="2"/>
  <c r="Z5066" i="2"/>
  <c r="AD5066" i="2"/>
  <c r="K5067" i="2"/>
  <c r="L5067" i="2"/>
  <c r="Z5067" i="2"/>
  <c r="AA5067" i="2" s="1"/>
  <c r="AD5067" i="2"/>
  <c r="K5068" i="2"/>
  <c r="L5068" i="2"/>
  <c r="Z5068" i="2"/>
  <c r="AB5068" i="2" s="1"/>
  <c r="AA5068" i="2"/>
  <c r="AD5068" i="2"/>
  <c r="K5069" i="2"/>
  <c r="L5069" i="2"/>
  <c r="Z5069" i="2"/>
  <c r="AA5069" i="2" s="1"/>
  <c r="AD5069" i="2"/>
  <c r="K5070" i="2"/>
  <c r="L5070" i="2"/>
  <c r="Z5070" i="2"/>
  <c r="AD5070" i="2"/>
  <c r="K5071" i="2"/>
  <c r="L5071" i="2"/>
  <c r="Z5071" i="2"/>
  <c r="AA5071" i="2"/>
  <c r="AD5071" i="2"/>
  <c r="K5072" i="2"/>
  <c r="L5072" i="2"/>
  <c r="Z5072" i="2"/>
  <c r="AB5072" i="2" s="1"/>
  <c r="AA5072" i="2"/>
  <c r="AD5072" i="2"/>
  <c r="K5073" i="2"/>
  <c r="L5073" i="2"/>
  <c r="Z5073" i="2"/>
  <c r="AA5073" i="2" s="1"/>
  <c r="AB5073" i="2"/>
  <c r="AD5073" i="2"/>
  <c r="K5074" i="2"/>
  <c r="L5074" i="2"/>
  <c r="Z5074" i="2"/>
  <c r="AC5074" i="2"/>
  <c r="AD5074" i="2"/>
  <c r="K5075" i="2"/>
  <c r="L5075" i="2"/>
  <c r="Z5075" i="2"/>
  <c r="AA5075" i="2" s="1"/>
  <c r="AD5075" i="2"/>
  <c r="K5076" i="2"/>
  <c r="L5076" i="2"/>
  <c r="Z5076" i="2"/>
  <c r="AC5076" i="2" s="1"/>
  <c r="AA5076" i="2"/>
  <c r="AD5076" i="2"/>
  <c r="K5077" i="2"/>
  <c r="L5077" i="2"/>
  <c r="Z5077" i="2"/>
  <c r="AB5077" i="2" s="1"/>
  <c r="AD5077" i="2"/>
  <c r="K5078" i="2"/>
  <c r="L5078" i="2"/>
  <c r="Z5078" i="2"/>
  <c r="AD5078" i="2"/>
  <c r="K5079" i="2"/>
  <c r="L5079" i="2"/>
  <c r="Z5079" i="2"/>
  <c r="AA5079" i="2" s="1"/>
  <c r="AD5079" i="2"/>
  <c r="K5080" i="2"/>
  <c r="L5080" i="2"/>
  <c r="Z5080" i="2"/>
  <c r="AA5080" i="2" s="1"/>
  <c r="AD5080" i="2"/>
  <c r="K5081" i="2"/>
  <c r="L5081" i="2"/>
  <c r="Z5081" i="2"/>
  <c r="AD5081" i="2"/>
  <c r="K5082" i="2"/>
  <c r="L5082" i="2"/>
  <c r="Z5082" i="2"/>
  <c r="AA5082" i="2"/>
  <c r="AB5082" i="2"/>
  <c r="AC5082" i="2"/>
  <c r="AD5082" i="2"/>
  <c r="K5083" i="2"/>
  <c r="L5083" i="2"/>
  <c r="Z5083" i="2"/>
  <c r="AA5083" i="2"/>
  <c r="AD5083" i="2"/>
  <c r="K5084" i="2"/>
  <c r="L5084" i="2"/>
  <c r="Z5084" i="2"/>
  <c r="AA5084" i="2"/>
  <c r="AB5084" i="2"/>
  <c r="AC5084" i="2"/>
  <c r="AD5084" i="2"/>
  <c r="K5085" i="2"/>
  <c r="L5085" i="2"/>
  <c r="Z5085" i="2"/>
  <c r="AA5085" i="2" s="1"/>
  <c r="AD5085" i="2"/>
  <c r="K5086" i="2"/>
  <c r="L5086" i="2"/>
  <c r="Z5086" i="2"/>
  <c r="AC5086" i="2"/>
  <c r="AD5086" i="2"/>
  <c r="K5087" i="2"/>
  <c r="L5087" i="2"/>
  <c r="Z5087" i="2"/>
  <c r="AA5087" i="2" s="1"/>
  <c r="AD5087" i="2"/>
  <c r="K5088" i="2"/>
  <c r="L5088" i="2"/>
  <c r="Z5088" i="2"/>
  <c r="AC5088" i="2" s="1"/>
  <c r="AA5088" i="2"/>
  <c r="AD5088" i="2"/>
  <c r="K5089" i="2"/>
  <c r="L5089" i="2"/>
  <c r="Z5089" i="2"/>
  <c r="AA5089" i="2" s="1"/>
  <c r="AB5089" i="2"/>
  <c r="AD5089" i="2"/>
  <c r="K5090" i="2"/>
  <c r="L5090" i="2"/>
  <c r="Z5090" i="2"/>
  <c r="AD5090" i="2"/>
  <c r="K5091" i="2"/>
  <c r="L5091" i="2"/>
  <c r="Z5091" i="2"/>
  <c r="AD5091" i="2"/>
  <c r="K5092" i="2"/>
  <c r="L5092" i="2"/>
  <c r="Z5092" i="2"/>
  <c r="AB5092" i="2" s="1"/>
  <c r="AA5092" i="2"/>
  <c r="AD5092" i="2"/>
  <c r="K5093" i="2"/>
  <c r="L5093" i="2"/>
  <c r="Z5093" i="2"/>
  <c r="AA5093" i="2" s="1"/>
  <c r="AB5093" i="2"/>
  <c r="AC5093" i="2"/>
  <c r="AD5093" i="2"/>
  <c r="K5094" i="2"/>
  <c r="L5094" i="2"/>
  <c r="Z5094" i="2"/>
  <c r="AD5094" i="2"/>
  <c r="K5095" i="2"/>
  <c r="L5095" i="2"/>
  <c r="Z5095" i="2"/>
  <c r="AA5095" i="2" s="1"/>
  <c r="AD5095" i="2"/>
  <c r="K5096" i="2"/>
  <c r="L5096" i="2"/>
  <c r="Z5096" i="2"/>
  <c r="AD5096" i="2"/>
  <c r="K5097" i="2"/>
  <c r="L5097" i="2"/>
  <c r="Z5097" i="2"/>
  <c r="AA5097" i="2" s="1"/>
  <c r="AD5097" i="2"/>
  <c r="K5098" i="2"/>
  <c r="L5098" i="2"/>
  <c r="Z5098" i="2"/>
  <c r="AC5098" i="2" s="1"/>
  <c r="AD5098" i="2"/>
  <c r="K5099" i="2"/>
  <c r="L5099" i="2"/>
  <c r="Z5099" i="2"/>
  <c r="AA5099" i="2" s="1"/>
  <c r="AD5099" i="2"/>
  <c r="K5100" i="2"/>
  <c r="L5100" i="2"/>
  <c r="Z5100" i="2"/>
  <c r="AC5100" i="2" s="1"/>
  <c r="AA5100" i="2"/>
  <c r="AD5100" i="2"/>
  <c r="K5101" i="2"/>
  <c r="L5101" i="2"/>
  <c r="Z5101" i="2"/>
  <c r="AA5101" i="2" s="1"/>
  <c r="AB5101" i="2"/>
  <c r="AD5101" i="2"/>
  <c r="K5102" i="2"/>
  <c r="L5102" i="2"/>
  <c r="Z5102" i="2"/>
  <c r="AD5102" i="2"/>
  <c r="K5103" i="2"/>
  <c r="L5103" i="2"/>
  <c r="Z5103" i="2"/>
  <c r="AA5103" i="2" s="1"/>
  <c r="AD5103" i="2"/>
  <c r="K5104" i="2"/>
  <c r="L5104" i="2"/>
  <c r="Z5104" i="2"/>
  <c r="AA5104" i="2" s="1"/>
  <c r="AD5104" i="2"/>
  <c r="K5105" i="2"/>
  <c r="L5105" i="2"/>
  <c r="Z5105" i="2"/>
  <c r="AD5105" i="2"/>
  <c r="K5106" i="2"/>
  <c r="L5106" i="2"/>
  <c r="Z5106" i="2"/>
  <c r="AA5106" i="2" s="1"/>
  <c r="AD5106" i="2"/>
  <c r="K5107" i="2"/>
  <c r="L5107" i="2"/>
  <c r="Z5107" i="2"/>
  <c r="AA5107" i="2" s="1"/>
  <c r="AD5107" i="2"/>
  <c r="K5108" i="2"/>
  <c r="L5108" i="2"/>
  <c r="Z5108" i="2"/>
  <c r="AB5108" i="2" s="1"/>
  <c r="AA5108" i="2"/>
  <c r="AC5108" i="2"/>
  <c r="AD5108" i="2"/>
  <c r="K5109" i="2"/>
  <c r="L5109" i="2"/>
  <c r="Z5109" i="2"/>
  <c r="AA5109" i="2" s="1"/>
  <c r="AD5109" i="2"/>
  <c r="K5110" i="2"/>
  <c r="L5110" i="2"/>
  <c r="Z5110" i="2"/>
  <c r="AA5110" i="2"/>
  <c r="AD5110" i="2"/>
  <c r="K5111" i="2"/>
  <c r="L5111" i="2"/>
  <c r="Z5111" i="2"/>
  <c r="AA5111" i="2" s="1"/>
  <c r="AD5111" i="2"/>
  <c r="K5112" i="2"/>
  <c r="L5112" i="2"/>
  <c r="Z5112" i="2"/>
  <c r="AC5112" i="2" s="1"/>
  <c r="AD5112" i="2"/>
  <c r="K5113" i="2"/>
  <c r="L5113" i="2"/>
  <c r="Z5113" i="2"/>
  <c r="AC5113" i="2" s="1"/>
  <c r="AD5113" i="2"/>
  <c r="K5114" i="2"/>
  <c r="L5114" i="2"/>
  <c r="Z5114" i="2"/>
  <c r="AD5114" i="2"/>
  <c r="K5115" i="2"/>
  <c r="L5115" i="2"/>
  <c r="Z5115" i="2"/>
  <c r="AC5115" i="2" s="1"/>
  <c r="AD5115" i="2"/>
  <c r="K5116" i="2"/>
  <c r="L5116" i="2"/>
  <c r="Z5116" i="2"/>
  <c r="AD5116" i="2"/>
  <c r="K5117" i="2"/>
  <c r="L5117" i="2"/>
  <c r="Z5117" i="2"/>
  <c r="AA5117" i="2" s="1"/>
  <c r="AD5117" i="2"/>
  <c r="K5118" i="2"/>
  <c r="L5118" i="2"/>
  <c r="Z5118" i="2"/>
  <c r="AB5118" i="2" s="1"/>
  <c r="AD5118" i="2"/>
  <c r="K5119" i="2"/>
  <c r="L5119" i="2"/>
  <c r="Z5119" i="2"/>
  <c r="AA5119" i="2" s="1"/>
  <c r="AD5119" i="2"/>
  <c r="K5120" i="2"/>
  <c r="L5120" i="2"/>
  <c r="Z5120" i="2"/>
  <c r="AB5120" i="2" s="1"/>
  <c r="AD5120" i="2"/>
  <c r="K5121" i="2"/>
  <c r="L5121" i="2"/>
  <c r="Z5121" i="2"/>
  <c r="AA5121" i="2" s="1"/>
  <c r="AD5121" i="2"/>
  <c r="K5122" i="2"/>
  <c r="L5122" i="2"/>
  <c r="Z5122" i="2"/>
  <c r="AD5122" i="2"/>
  <c r="K5123" i="2"/>
  <c r="L5123" i="2"/>
  <c r="Z5123" i="2"/>
  <c r="AA5123" i="2" s="1"/>
  <c r="AD5123" i="2"/>
  <c r="K5124" i="2"/>
  <c r="L5124" i="2"/>
  <c r="Z5124" i="2"/>
  <c r="AC5124" i="2" s="1"/>
  <c r="AA5124" i="2"/>
  <c r="AB5124" i="2"/>
  <c r="AD5124" i="2"/>
  <c r="K5125" i="2"/>
  <c r="L5125" i="2"/>
  <c r="Z5125" i="2"/>
  <c r="AA5125" i="2" s="1"/>
  <c r="AB5125" i="2"/>
  <c r="AD5125" i="2"/>
  <c r="K5126" i="2"/>
  <c r="L5126" i="2"/>
  <c r="Z5126" i="2"/>
  <c r="AD5126" i="2"/>
  <c r="K5127" i="2"/>
  <c r="L5127" i="2"/>
  <c r="Z5127" i="2"/>
  <c r="AD5127" i="2"/>
  <c r="K5128" i="2"/>
  <c r="L5128" i="2"/>
  <c r="Z5128" i="2"/>
  <c r="AB5128" i="2" s="1"/>
  <c r="AD5128" i="2"/>
  <c r="K5129" i="2"/>
  <c r="L5129" i="2"/>
  <c r="Z5129" i="2"/>
  <c r="AA5129" i="2" s="1"/>
  <c r="AB5129" i="2"/>
  <c r="AD5129" i="2"/>
  <c r="K5130" i="2"/>
  <c r="L5130" i="2"/>
  <c r="Z5130" i="2"/>
  <c r="AA5130" i="2" s="1"/>
  <c r="AD5130" i="2"/>
  <c r="K5131" i="2"/>
  <c r="L5131" i="2"/>
  <c r="Z5131" i="2"/>
  <c r="AD5131" i="2"/>
  <c r="K5132" i="2"/>
  <c r="L5132" i="2"/>
  <c r="Z5132" i="2"/>
  <c r="AB5132" i="2" s="1"/>
  <c r="AA5132" i="2"/>
  <c r="AD5132" i="2"/>
  <c r="K5133" i="2"/>
  <c r="L5133" i="2"/>
  <c r="Z5133" i="2"/>
  <c r="AD5133" i="2"/>
  <c r="K5134" i="2"/>
  <c r="L5134" i="2"/>
  <c r="Z5134" i="2"/>
  <c r="AD5134" i="2"/>
  <c r="K5135" i="2"/>
  <c r="L5135" i="2"/>
  <c r="Z5135" i="2"/>
  <c r="AA5135" i="2" s="1"/>
  <c r="AD5135" i="2"/>
  <c r="K5136" i="2"/>
  <c r="L5136" i="2"/>
  <c r="Z5136" i="2"/>
  <c r="AC5136" i="2" s="1"/>
  <c r="AB5136" i="2"/>
  <c r="AD5136" i="2"/>
  <c r="K5137" i="2"/>
  <c r="L5137" i="2"/>
  <c r="Z5137" i="2"/>
  <c r="AA5137" i="2" s="1"/>
  <c r="AC5137" i="2"/>
  <c r="AD5137" i="2"/>
  <c r="K5138" i="2"/>
  <c r="L5138" i="2"/>
  <c r="Z5138" i="2"/>
  <c r="AD5138" i="2"/>
  <c r="K5139" i="2"/>
  <c r="L5139" i="2"/>
  <c r="Z5139" i="2"/>
  <c r="AC5139" i="2" s="1"/>
  <c r="AD5139" i="2"/>
  <c r="K5140" i="2"/>
  <c r="L5140" i="2"/>
  <c r="Z5140" i="2"/>
  <c r="AC5140" i="2"/>
  <c r="AD5140" i="2"/>
  <c r="K5141" i="2"/>
  <c r="L5141" i="2"/>
  <c r="Z5141" i="2"/>
  <c r="AA5141" i="2" s="1"/>
  <c r="AD5141" i="2"/>
  <c r="K5142" i="2"/>
  <c r="L5142" i="2"/>
  <c r="Z5142" i="2"/>
  <c r="AB5142" i="2" s="1"/>
  <c r="AA5142" i="2"/>
  <c r="AC5142" i="2"/>
  <c r="AD5142" i="2"/>
  <c r="K5143" i="2"/>
  <c r="L5143" i="2"/>
  <c r="Z5143" i="2"/>
  <c r="AA5143" i="2" s="1"/>
  <c r="AD5143" i="2"/>
  <c r="K5144" i="2"/>
  <c r="L5144" i="2"/>
  <c r="Z5144" i="2"/>
  <c r="AA5144" i="2"/>
  <c r="AD5144" i="2"/>
  <c r="K5145" i="2"/>
  <c r="L5145" i="2"/>
  <c r="Z5145" i="2"/>
  <c r="AA5145" i="2" s="1"/>
  <c r="AD5145" i="2"/>
  <c r="K5146" i="2"/>
  <c r="L5146" i="2"/>
  <c r="Z5146" i="2"/>
  <c r="AB5146" i="2" s="1"/>
  <c r="AD5146" i="2"/>
  <c r="K5147" i="2"/>
  <c r="L5147" i="2"/>
  <c r="Z5147" i="2"/>
  <c r="AA5147" i="2" s="1"/>
  <c r="AC5147" i="2"/>
  <c r="AD5147" i="2"/>
  <c r="K5148" i="2"/>
  <c r="L5148" i="2"/>
  <c r="Z5148" i="2"/>
  <c r="AC5148" i="2" s="1"/>
  <c r="AA5148" i="2"/>
  <c r="AB5148" i="2"/>
  <c r="AD5148" i="2"/>
  <c r="K5149" i="2"/>
  <c r="L5149" i="2"/>
  <c r="Z5149" i="2"/>
  <c r="AA5149" i="2" s="1"/>
  <c r="AB5149" i="2"/>
  <c r="AC5149" i="2"/>
  <c r="AD5149" i="2"/>
  <c r="K5150" i="2"/>
  <c r="L5150" i="2"/>
  <c r="Z5150" i="2"/>
  <c r="AD5150" i="2"/>
  <c r="K5151" i="2"/>
  <c r="L5151" i="2"/>
  <c r="Z5151" i="2"/>
  <c r="AD5151" i="2"/>
  <c r="K5152" i="2"/>
  <c r="L5152" i="2"/>
  <c r="Z5152" i="2"/>
  <c r="AB5152" i="2" s="1"/>
  <c r="AD5152" i="2"/>
  <c r="K5153" i="2"/>
  <c r="L5153" i="2"/>
  <c r="Z5153" i="2"/>
  <c r="AD5153" i="2"/>
  <c r="K5154" i="2"/>
  <c r="L5154" i="2"/>
  <c r="Z5154" i="2"/>
  <c r="AA5154" i="2"/>
  <c r="AB5154" i="2"/>
  <c r="AC5154" i="2"/>
  <c r="AD5154" i="2"/>
  <c r="K5155" i="2"/>
  <c r="L5155" i="2"/>
  <c r="Z5155" i="2"/>
  <c r="AA5155" i="2"/>
  <c r="AD5155" i="2"/>
  <c r="K5156" i="2"/>
  <c r="L5156" i="2"/>
  <c r="Z5156" i="2"/>
  <c r="AA5156" i="2" s="1"/>
  <c r="AD5156" i="2"/>
  <c r="K5157" i="2"/>
  <c r="L5157" i="2"/>
  <c r="Z5157" i="2"/>
  <c r="AD5157" i="2"/>
  <c r="K5158" i="2"/>
  <c r="L5158" i="2"/>
  <c r="Z5158" i="2"/>
  <c r="AA5158" i="2" s="1"/>
  <c r="AD5158" i="2"/>
  <c r="K5159" i="2"/>
  <c r="L5159" i="2"/>
  <c r="Z5159" i="2"/>
  <c r="AA5159" i="2" s="1"/>
  <c r="AB5159" i="2"/>
  <c r="AC5159" i="2"/>
  <c r="AD5159" i="2"/>
  <c r="K5160" i="2"/>
  <c r="L5160" i="2"/>
  <c r="Z5160" i="2"/>
  <c r="AC5160" i="2" s="1"/>
  <c r="AA5160" i="2"/>
  <c r="AB5160" i="2"/>
  <c r="AD5160" i="2"/>
  <c r="K5161" i="2"/>
  <c r="L5161" i="2"/>
  <c r="Z5161" i="2"/>
  <c r="AC5161" i="2" s="1"/>
  <c r="AA5161" i="2"/>
  <c r="AB5161" i="2"/>
  <c r="AD5161" i="2"/>
  <c r="K5162" i="2"/>
  <c r="L5162" i="2"/>
  <c r="Z5162" i="2"/>
  <c r="AC5162" i="2"/>
  <c r="AD5162" i="2"/>
  <c r="K5163" i="2"/>
  <c r="L5163" i="2"/>
  <c r="Z5163" i="2"/>
  <c r="AC5163" i="2" s="1"/>
  <c r="AA5163" i="2"/>
  <c r="AB5163" i="2"/>
  <c r="AD5163" i="2"/>
  <c r="K5164" i="2"/>
  <c r="L5164" i="2"/>
  <c r="Z5164" i="2"/>
  <c r="AD5164" i="2"/>
  <c r="K5165" i="2"/>
  <c r="L5165" i="2"/>
  <c r="Z5165" i="2"/>
  <c r="AC5165" i="2" s="1"/>
  <c r="AD5165" i="2"/>
  <c r="K5166" i="2"/>
  <c r="L5166" i="2"/>
  <c r="Z5166" i="2"/>
  <c r="AA5166" i="2" s="1"/>
  <c r="AB5166" i="2"/>
  <c r="AC5166" i="2"/>
  <c r="AD5166" i="2"/>
  <c r="K5167" i="2"/>
  <c r="L5167" i="2"/>
  <c r="Z5167" i="2"/>
  <c r="AA5167" i="2" s="1"/>
  <c r="AD5167" i="2"/>
  <c r="K5168" i="2"/>
  <c r="L5168" i="2"/>
  <c r="Z5168" i="2"/>
  <c r="AD5168" i="2"/>
  <c r="K5169" i="2"/>
  <c r="L5169" i="2"/>
  <c r="Z5169" i="2"/>
  <c r="AD5169" i="2"/>
  <c r="K5170" i="2"/>
  <c r="L5170" i="2"/>
  <c r="Z5170" i="2"/>
  <c r="AD5170" i="2"/>
  <c r="K5171" i="2"/>
  <c r="L5171" i="2"/>
  <c r="Z5171" i="2"/>
  <c r="AA5171" i="2" s="1"/>
  <c r="AB5171" i="2"/>
  <c r="AC5171" i="2"/>
  <c r="AD5171" i="2"/>
  <c r="K5172" i="2"/>
  <c r="L5172" i="2"/>
  <c r="Z5172" i="2"/>
  <c r="AD5172" i="2"/>
  <c r="K5173" i="2"/>
  <c r="L5173" i="2"/>
  <c r="Z5173" i="2"/>
  <c r="AC5173" i="2" s="1"/>
  <c r="AD5173" i="2"/>
  <c r="K5174" i="2"/>
  <c r="L5174" i="2"/>
  <c r="Z5174" i="2"/>
  <c r="AC5174" i="2"/>
  <c r="AD5174" i="2"/>
  <c r="K5175" i="2"/>
  <c r="L5175" i="2"/>
  <c r="Z5175" i="2"/>
  <c r="AC5175" i="2" s="1"/>
  <c r="AD5175" i="2"/>
  <c r="K5176" i="2"/>
  <c r="L5176" i="2"/>
  <c r="Z5176" i="2"/>
  <c r="AB5176" i="2" s="1"/>
  <c r="AD5176" i="2"/>
  <c r="K5177" i="2"/>
  <c r="L5177" i="2"/>
  <c r="Z5177" i="2"/>
  <c r="AA5177" i="2" s="1"/>
  <c r="AD5177" i="2"/>
  <c r="K5178" i="2"/>
  <c r="L5178" i="2"/>
  <c r="Z5178" i="2"/>
  <c r="AB5178" i="2" s="1"/>
  <c r="AA5178" i="2"/>
  <c r="AD5178" i="2"/>
  <c r="K5179" i="2"/>
  <c r="L5179" i="2"/>
  <c r="Z5179" i="2"/>
  <c r="AC5179" i="2" s="1"/>
  <c r="AD5179" i="2"/>
  <c r="K5180" i="2"/>
  <c r="L5180" i="2"/>
  <c r="Z5180" i="2"/>
  <c r="AC5180" i="2" s="1"/>
  <c r="AD5180" i="2"/>
  <c r="K5181" i="2"/>
  <c r="L5181" i="2"/>
  <c r="Z5181" i="2"/>
  <c r="AB5181" i="2" s="1"/>
  <c r="AD5181" i="2"/>
  <c r="K5182" i="2"/>
  <c r="L5182" i="2"/>
  <c r="Z5182" i="2"/>
  <c r="AB5182" i="2" s="1"/>
  <c r="AA5182" i="2"/>
  <c r="AD5182" i="2"/>
  <c r="K5183" i="2"/>
  <c r="L5183" i="2"/>
  <c r="Z5183" i="2"/>
  <c r="AA5183" i="2" s="1"/>
  <c r="AD5183" i="2"/>
  <c r="K5184" i="2"/>
  <c r="L5184" i="2"/>
  <c r="Z5184" i="2"/>
  <c r="AB5184" i="2" s="1"/>
  <c r="AD5184" i="2"/>
  <c r="K5185" i="2"/>
  <c r="L5185" i="2"/>
  <c r="Z5185" i="2"/>
  <c r="AD5185" i="2"/>
  <c r="K5186" i="2"/>
  <c r="L5186" i="2"/>
  <c r="Z5186" i="2"/>
  <c r="AD5186" i="2"/>
  <c r="K5187" i="2"/>
  <c r="L5187" i="2"/>
  <c r="Z5187" i="2"/>
  <c r="AB5187" i="2"/>
  <c r="AD5187" i="2"/>
  <c r="K5188" i="2"/>
  <c r="L5188" i="2"/>
  <c r="Z5188" i="2"/>
  <c r="AA5188" i="2" s="1"/>
  <c r="AD5188" i="2"/>
  <c r="K5189" i="2"/>
  <c r="L5189" i="2"/>
  <c r="Z5189" i="2"/>
  <c r="AD5189" i="2"/>
  <c r="K5190" i="2"/>
  <c r="L5190" i="2"/>
  <c r="Z5190" i="2"/>
  <c r="AB5190" i="2" s="1"/>
  <c r="AA5190" i="2"/>
  <c r="AD5190" i="2"/>
  <c r="K5191" i="2"/>
  <c r="L5191" i="2"/>
  <c r="Z5191" i="2"/>
  <c r="AD5191" i="2"/>
  <c r="K5192" i="2"/>
  <c r="L5192" i="2"/>
  <c r="Z5192" i="2"/>
  <c r="AA5192" i="2"/>
  <c r="AB5192" i="2"/>
  <c r="AC5192" i="2"/>
  <c r="AD5192" i="2"/>
  <c r="K5193" i="2"/>
  <c r="L5193" i="2"/>
  <c r="Z5193" i="2"/>
  <c r="AA5193" i="2" s="1"/>
  <c r="AD5193" i="2"/>
  <c r="K5194" i="2"/>
  <c r="L5194" i="2"/>
  <c r="Z5194" i="2"/>
  <c r="AC5194" i="2" s="1"/>
  <c r="AD5194" i="2"/>
  <c r="K5195" i="2"/>
  <c r="L5195" i="2"/>
  <c r="Z5195" i="2"/>
  <c r="AB5195" i="2" s="1"/>
  <c r="AD5195" i="2"/>
  <c r="K5196" i="2"/>
  <c r="L5196" i="2"/>
  <c r="Z5196" i="2"/>
  <c r="AB5196" i="2" s="1"/>
  <c r="AD5196" i="2"/>
  <c r="K5197" i="2"/>
  <c r="L5197" i="2"/>
  <c r="Z5197" i="2"/>
  <c r="AD5197" i="2"/>
  <c r="K5198" i="2"/>
  <c r="L5198" i="2"/>
  <c r="Z5198" i="2"/>
  <c r="AD5198" i="2"/>
  <c r="K5199" i="2"/>
  <c r="L5199" i="2"/>
  <c r="Z5199" i="2"/>
  <c r="AA5199" i="2" s="1"/>
  <c r="AD5199" i="2"/>
  <c r="K5200" i="2"/>
  <c r="L5200" i="2"/>
  <c r="Z5200" i="2"/>
  <c r="AA5200" i="2"/>
  <c r="AB5200" i="2"/>
  <c r="AC5200" i="2"/>
  <c r="AD5200" i="2"/>
  <c r="K5201" i="2"/>
  <c r="L5201" i="2"/>
  <c r="Z5201" i="2"/>
  <c r="AB5201" i="2" s="1"/>
  <c r="AA5201" i="2"/>
  <c r="AD5201" i="2"/>
  <c r="K5202" i="2"/>
  <c r="L5202" i="2"/>
  <c r="Z5202" i="2"/>
  <c r="AB5202" i="2" s="1"/>
  <c r="AA5202" i="2"/>
  <c r="AD5202" i="2"/>
  <c r="K5203" i="2"/>
  <c r="L5203" i="2"/>
  <c r="Z5203" i="2"/>
  <c r="AC5203" i="2" s="1"/>
  <c r="AA5203" i="2"/>
  <c r="AD5203" i="2"/>
  <c r="K5204" i="2"/>
  <c r="L5204" i="2"/>
  <c r="Z5204" i="2"/>
  <c r="AB5204" i="2" s="1"/>
  <c r="AA5204" i="2"/>
  <c r="AD5204" i="2"/>
  <c r="K5205" i="2"/>
  <c r="L5205" i="2"/>
  <c r="Z5205" i="2"/>
  <c r="AA5205" i="2" s="1"/>
  <c r="AD5205" i="2"/>
  <c r="K5206" i="2"/>
  <c r="L5206" i="2"/>
  <c r="Z5206" i="2"/>
  <c r="AC5206" i="2" s="1"/>
  <c r="AA5206" i="2"/>
  <c r="AD5206" i="2"/>
  <c r="K5207" i="2"/>
  <c r="L5207" i="2"/>
  <c r="Z5207" i="2"/>
  <c r="AC5207" i="2" s="1"/>
  <c r="AA5207" i="2"/>
  <c r="AB5207" i="2"/>
  <c r="AD5207" i="2"/>
  <c r="K5208" i="2"/>
  <c r="L5208" i="2"/>
  <c r="Z5208" i="2"/>
  <c r="AB5208" i="2" s="1"/>
  <c r="AD5208" i="2"/>
  <c r="K5209" i="2"/>
  <c r="L5209" i="2"/>
  <c r="Z5209" i="2"/>
  <c r="AA5209" i="2" s="1"/>
  <c r="AB5209" i="2"/>
  <c r="AC5209" i="2"/>
  <c r="AD5209" i="2"/>
  <c r="K5210" i="2"/>
  <c r="L5210" i="2"/>
  <c r="Z5210" i="2"/>
  <c r="AD5210" i="2"/>
  <c r="K5211" i="2"/>
  <c r="L5211" i="2"/>
  <c r="Z5211" i="2"/>
  <c r="AA5211" i="2" s="1"/>
  <c r="AD5211" i="2"/>
  <c r="K5212" i="2"/>
  <c r="L5212" i="2"/>
  <c r="Z5212" i="2"/>
  <c r="AD5212" i="2"/>
  <c r="K5213" i="2"/>
  <c r="L5213" i="2"/>
  <c r="Z5213" i="2"/>
  <c r="AB5213" i="2" s="1"/>
  <c r="AA5213" i="2"/>
  <c r="AC5213" i="2"/>
  <c r="AD5213" i="2"/>
  <c r="K5214" i="2"/>
  <c r="L5214" i="2"/>
  <c r="Z5214" i="2"/>
  <c r="AB5214" i="2" s="1"/>
  <c r="AA5214" i="2"/>
  <c r="AC5214" i="2"/>
  <c r="AD5214" i="2"/>
  <c r="K5215" i="2"/>
  <c r="L5215" i="2"/>
  <c r="Z5215" i="2"/>
  <c r="AC5215" i="2" s="1"/>
  <c r="AA5215" i="2"/>
  <c r="AB5215" i="2"/>
  <c r="AD5215" i="2"/>
  <c r="K5216" i="2"/>
  <c r="L5216" i="2"/>
  <c r="Z5216" i="2"/>
  <c r="AA5216" i="2" s="1"/>
  <c r="AB5216" i="2"/>
  <c r="AC5216" i="2"/>
  <c r="AD5216" i="2"/>
  <c r="K5217" i="2"/>
  <c r="L5217" i="2"/>
  <c r="Z5217" i="2"/>
  <c r="AA5217" i="2" s="1"/>
  <c r="AD5217" i="2"/>
  <c r="K5218" i="2"/>
  <c r="L5218" i="2"/>
  <c r="Z5218" i="2"/>
  <c r="AD5218" i="2"/>
  <c r="K5219" i="2"/>
  <c r="L5219" i="2"/>
  <c r="Z5219" i="2"/>
  <c r="AC5219" i="2" s="1"/>
  <c r="AA5219" i="2"/>
  <c r="AB5219" i="2"/>
  <c r="AD5219" i="2"/>
  <c r="K5220" i="2"/>
  <c r="L5220" i="2"/>
  <c r="Z5220" i="2"/>
  <c r="AB5220" i="2" s="1"/>
  <c r="AD5220" i="2"/>
  <c r="K5221" i="2"/>
  <c r="L5221" i="2"/>
  <c r="Z5221" i="2"/>
  <c r="AA5221" i="2" s="1"/>
  <c r="AD5221" i="2"/>
  <c r="K5222" i="2"/>
  <c r="L5222" i="2"/>
  <c r="Z5222" i="2"/>
  <c r="AD5222" i="2"/>
  <c r="K5223" i="2"/>
  <c r="L5223" i="2"/>
  <c r="Z5223" i="2"/>
  <c r="AB5223" i="2" s="1"/>
  <c r="AD5223" i="2"/>
  <c r="K5224" i="2"/>
  <c r="L5224" i="2"/>
  <c r="Z5224" i="2"/>
  <c r="AA5224" i="2" s="1"/>
  <c r="AB5224" i="2"/>
  <c r="AD5224" i="2"/>
  <c r="K5225" i="2"/>
  <c r="L5225" i="2"/>
  <c r="Z5225" i="2"/>
  <c r="AB5225" i="2" s="1"/>
  <c r="AD5225" i="2"/>
  <c r="K5226" i="2"/>
  <c r="L5226" i="2"/>
  <c r="Z5226" i="2"/>
  <c r="AB5226" i="2" s="1"/>
  <c r="AD5226" i="2"/>
  <c r="K5227" i="2"/>
  <c r="L5227" i="2"/>
  <c r="Z5227" i="2"/>
  <c r="AC5227" i="2" s="1"/>
  <c r="AA5227" i="2"/>
  <c r="AD5227" i="2"/>
  <c r="K5228" i="2"/>
  <c r="L5228" i="2"/>
  <c r="Z5228" i="2"/>
  <c r="AB5228" i="2" s="1"/>
  <c r="AA5228" i="2"/>
  <c r="AC5228" i="2"/>
  <c r="AD5228" i="2"/>
  <c r="K5229" i="2"/>
  <c r="L5229" i="2"/>
  <c r="Z5229" i="2"/>
  <c r="AA5229" i="2" s="1"/>
  <c r="AD5229" i="2"/>
  <c r="K5230" i="2"/>
  <c r="L5230" i="2"/>
  <c r="Z5230" i="2"/>
  <c r="AA5230" i="2"/>
  <c r="AD5230" i="2"/>
  <c r="K5231" i="2"/>
  <c r="L5231" i="2"/>
  <c r="Z5231" i="2"/>
  <c r="AA5231" i="2" s="1"/>
  <c r="AB5231" i="2"/>
  <c r="AC5231" i="2"/>
  <c r="AD5231" i="2"/>
  <c r="K5232" i="2"/>
  <c r="L5232" i="2"/>
  <c r="Z5232" i="2"/>
  <c r="AB5232" i="2" s="1"/>
  <c r="AD5232" i="2"/>
  <c r="K5233" i="2"/>
  <c r="L5233" i="2"/>
  <c r="Z5233" i="2"/>
  <c r="AA5233" i="2" s="1"/>
  <c r="AD5233" i="2"/>
  <c r="K5234" i="2"/>
  <c r="L5234" i="2"/>
  <c r="Z5234" i="2"/>
  <c r="AD5234" i="2"/>
  <c r="K5235" i="2"/>
  <c r="L5235" i="2"/>
  <c r="Z5235" i="2"/>
  <c r="AA5235" i="2" s="1"/>
  <c r="AC5235" i="2"/>
  <c r="AD5235" i="2"/>
  <c r="K5236" i="2"/>
  <c r="L5236" i="2"/>
  <c r="Z5236" i="2"/>
  <c r="AA5236" i="2" s="1"/>
  <c r="AD5236" i="2"/>
  <c r="K5237" i="2"/>
  <c r="L5237" i="2"/>
  <c r="Z5237" i="2"/>
  <c r="AD5237" i="2"/>
  <c r="K5238" i="2"/>
  <c r="L5238" i="2"/>
  <c r="Z5238" i="2"/>
  <c r="AB5238" i="2" s="1"/>
  <c r="AD5238" i="2"/>
  <c r="K5239" i="2"/>
  <c r="L5239" i="2"/>
  <c r="Z5239" i="2"/>
  <c r="AB5239" i="2" s="1"/>
  <c r="AD5239" i="2"/>
  <c r="K5240" i="2"/>
  <c r="L5240" i="2"/>
  <c r="Z5240" i="2"/>
  <c r="AA5240" i="2" s="1"/>
  <c r="AD5240" i="2"/>
  <c r="K5241" i="2"/>
  <c r="L5241" i="2"/>
  <c r="Z5241" i="2"/>
  <c r="AA5241" i="2" s="1"/>
  <c r="AD5241" i="2"/>
  <c r="K5242" i="2"/>
  <c r="L5242" i="2"/>
  <c r="Z5242" i="2"/>
  <c r="AC5242" i="2" s="1"/>
  <c r="AD5242" i="2"/>
  <c r="K5243" i="2"/>
  <c r="L5243" i="2"/>
  <c r="Z5243" i="2"/>
  <c r="AD5243" i="2"/>
  <c r="K5244" i="2"/>
  <c r="L5244" i="2"/>
  <c r="Z5244" i="2"/>
  <c r="AB5244" i="2" s="1"/>
  <c r="AD5244" i="2"/>
  <c r="K5245" i="2"/>
  <c r="L5245" i="2"/>
  <c r="Z5245" i="2"/>
  <c r="AC5245" i="2"/>
  <c r="AD5245" i="2"/>
  <c r="K5246" i="2"/>
  <c r="L5246" i="2"/>
  <c r="Z5246" i="2"/>
  <c r="AD5246" i="2"/>
  <c r="K5247" i="2"/>
  <c r="L5247" i="2"/>
  <c r="Z5247" i="2"/>
  <c r="AA5247" i="2" s="1"/>
  <c r="AC5247" i="2"/>
  <c r="AD5247" i="2"/>
  <c r="K5248" i="2"/>
  <c r="L5248" i="2"/>
  <c r="Z5248" i="2"/>
  <c r="AD5248" i="2"/>
  <c r="K5249" i="2"/>
  <c r="L5249" i="2"/>
  <c r="Z5249" i="2"/>
  <c r="AB5249" i="2" s="1"/>
  <c r="AA5249" i="2"/>
  <c r="AC5249" i="2"/>
  <c r="AD5249" i="2"/>
  <c r="K5250" i="2"/>
  <c r="L5250" i="2"/>
  <c r="Z5250" i="2"/>
  <c r="AD5250" i="2"/>
  <c r="K5251" i="2"/>
  <c r="L5251" i="2"/>
  <c r="Z5251" i="2"/>
  <c r="AA5251" i="2"/>
  <c r="AB5251" i="2"/>
  <c r="AC5251" i="2"/>
  <c r="AD5251" i="2"/>
  <c r="K5252" i="2"/>
  <c r="L5252" i="2"/>
  <c r="Z5252" i="2"/>
  <c r="AD5252" i="2"/>
  <c r="K5253" i="2"/>
  <c r="L5253" i="2"/>
  <c r="Z5253" i="2"/>
  <c r="AA5253" i="2" s="1"/>
  <c r="AD5253" i="2"/>
  <c r="K5254" i="2"/>
  <c r="L5254" i="2"/>
  <c r="Z5254" i="2"/>
  <c r="AC5254" i="2" s="1"/>
  <c r="AD5254" i="2"/>
  <c r="K5255" i="2"/>
  <c r="L5255" i="2"/>
  <c r="Z5255" i="2"/>
  <c r="AA5255" i="2" s="1"/>
  <c r="AB5255" i="2"/>
  <c r="AD5255" i="2"/>
  <c r="K5256" i="2"/>
  <c r="L5256" i="2"/>
  <c r="Z5256" i="2"/>
  <c r="AB5256" i="2" s="1"/>
  <c r="AD5256" i="2"/>
  <c r="K5257" i="2"/>
  <c r="L5257" i="2"/>
  <c r="Z5257" i="2"/>
  <c r="AB5257" i="2"/>
  <c r="AD5257" i="2"/>
  <c r="K5258" i="2"/>
  <c r="L5258" i="2"/>
  <c r="Z5258" i="2"/>
  <c r="AD5258" i="2"/>
  <c r="K5259" i="2"/>
  <c r="L5259" i="2"/>
  <c r="Z5259" i="2"/>
  <c r="AA5259" i="2" s="1"/>
  <c r="AD5259" i="2"/>
  <c r="K5260" i="2"/>
  <c r="L5260" i="2"/>
  <c r="Z5260" i="2"/>
  <c r="AA5260" i="2" s="1"/>
  <c r="AB5260" i="2"/>
  <c r="AD5260" i="2"/>
  <c r="K5261" i="2"/>
  <c r="L5261" i="2"/>
  <c r="Z5261" i="2"/>
  <c r="AB5261" i="2" s="1"/>
  <c r="AD5261" i="2"/>
  <c r="K5262" i="2"/>
  <c r="L5262" i="2"/>
  <c r="Z5262" i="2"/>
  <c r="AD5262" i="2"/>
  <c r="K5263" i="2"/>
  <c r="L5263" i="2"/>
  <c r="Z5263" i="2"/>
  <c r="AA5263" i="2" s="1"/>
  <c r="AD5263" i="2"/>
  <c r="K5264" i="2"/>
  <c r="L5264" i="2"/>
  <c r="Z5264" i="2"/>
  <c r="AD5264" i="2"/>
  <c r="K5265" i="2"/>
  <c r="L5265" i="2"/>
  <c r="Z5265" i="2"/>
  <c r="AA5265" i="2" s="1"/>
  <c r="AD5265" i="2"/>
  <c r="K5266" i="2"/>
  <c r="L5266" i="2"/>
  <c r="Z5266" i="2"/>
  <c r="AC5266" i="2" s="1"/>
  <c r="AD5266" i="2"/>
  <c r="K5267" i="2"/>
  <c r="L5267" i="2"/>
  <c r="Z5267" i="2"/>
  <c r="AA5267" i="2" s="1"/>
  <c r="AD5267" i="2"/>
  <c r="K5268" i="2"/>
  <c r="L5268" i="2"/>
  <c r="Z5268" i="2"/>
  <c r="AB5268" i="2" s="1"/>
  <c r="AD5268" i="2"/>
  <c r="K5269" i="2"/>
  <c r="L5269" i="2"/>
  <c r="Z5269" i="2"/>
  <c r="AA5269" i="2" s="1"/>
  <c r="AD5269" i="2"/>
  <c r="K5270" i="2"/>
  <c r="L5270" i="2"/>
  <c r="Z5270" i="2"/>
  <c r="AD5270" i="2"/>
  <c r="K5271" i="2"/>
  <c r="L5271" i="2"/>
  <c r="Z5271" i="2"/>
  <c r="AD5271" i="2"/>
  <c r="K5272" i="2"/>
  <c r="L5272" i="2"/>
  <c r="Z5272" i="2"/>
  <c r="AC5272" i="2"/>
  <c r="AD5272" i="2"/>
  <c r="K5273" i="2"/>
  <c r="L5273" i="2"/>
  <c r="Z5273" i="2"/>
  <c r="AB5273" i="2" s="1"/>
  <c r="AD5273" i="2"/>
  <c r="K5274" i="2"/>
  <c r="L5274" i="2"/>
  <c r="Z5274" i="2"/>
  <c r="AC5274" i="2" s="1"/>
  <c r="AD5274" i="2"/>
  <c r="K5275" i="2"/>
  <c r="L5275" i="2"/>
  <c r="Z5275" i="2"/>
  <c r="AA5275" i="2" s="1"/>
  <c r="AD5275" i="2"/>
  <c r="K5276" i="2"/>
  <c r="L5276" i="2"/>
  <c r="Z5276" i="2"/>
  <c r="AD5276" i="2"/>
  <c r="K5277" i="2"/>
  <c r="L5277" i="2"/>
  <c r="Z5277" i="2"/>
  <c r="AA5277" i="2" s="1"/>
  <c r="AD5277" i="2"/>
  <c r="K5278" i="2"/>
  <c r="L5278" i="2"/>
  <c r="Z5278" i="2"/>
  <c r="AB5278" i="2" s="1"/>
  <c r="AD5278" i="2"/>
  <c r="K5279" i="2"/>
  <c r="L5279" i="2"/>
  <c r="Z5279" i="2"/>
  <c r="AA5279" i="2" s="1"/>
  <c r="AD5279" i="2"/>
  <c r="K5280" i="2"/>
  <c r="L5280" i="2"/>
  <c r="Z5280" i="2"/>
  <c r="AB5280" i="2" s="1"/>
  <c r="AD5280" i="2"/>
  <c r="K5281" i="2"/>
  <c r="L5281" i="2"/>
  <c r="Z5281" i="2"/>
  <c r="AA5281" i="2" s="1"/>
  <c r="AB5281" i="2"/>
  <c r="AD5281" i="2"/>
  <c r="K5282" i="2"/>
  <c r="L5282" i="2"/>
  <c r="Z5282" i="2"/>
  <c r="AD5282" i="2"/>
  <c r="K5283" i="2"/>
  <c r="L5283" i="2"/>
  <c r="Z5283" i="2"/>
  <c r="AA5283" i="2" s="1"/>
  <c r="AB5283" i="2"/>
  <c r="AC5283" i="2"/>
  <c r="AD5283" i="2"/>
  <c r="K5284" i="2"/>
  <c r="L5284" i="2"/>
  <c r="Z5284" i="2"/>
  <c r="AD5284" i="2"/>
  <c r="K5285" i="2"/>
  <c r="L5285" i="2"/>
  <c r="Z5285" i="2"/>
  <c r="AB5285" i="2" s="1"/>
  <c r="AC5285" i="2"/>
  <c r="AD5285" i="2"/>
  <c r="K5286" i="2"/>
  <c r="L5286" i="2"/>
  <c r="Z5286" i="2"/>
  <c r="AA5286" i="2"/>
  <c r="AD5286" i="2"/>
  <c r="K5287" i="2"/>
  <c r="L5287" i="2"/>
  <c r="Z5287" i="2"/>
  <c r="AC5287" i="2" s="1"/>
  <c r="AA5287" i="2"/>
  <c r="AD5287" i="2"/>
  <c r="K5288" i="2"/>
  <c r="L5288" i="2"/>
  <c r="Z5288" i="2"/>
  <c r="AA5288" i="2" s="1"/>
  <c r="AD5288" i="2"/>
  <c r="K5289" i="2"/>
  <c r="L5289" i="2"/>
  <c r="Z5289" i="2"/>
  <c r="AA5289" i="2" s="1"/>
  <c r="AD5289" i="2"/>
  <c r="K5290" i="2"/>
  <c r="L5290" i="2"/>
  <c r="Z5290" i="2"/>
  <c r="AC5290" i="2" s="1"/>
  <c r="AB5290" i="2"/>
  <c r="AD5290" i="2"/>
  <c r="K5291" i="2"/>
  <c r="L5291" i="2"/>
  <c r="Z5291" i="2"/>
  <c r="AA5291" i="2"/>
  <c r="AB5291" i="2"/>
  <c r="AC5291" i="2"/>
  <c r="AD5291" i="2"/>
  <c r="K5292" i="2"/>
  <c r="L5292" i="2"/>
  <c r="Z5292" i="2"/>
  <c r="AD5292" i="2"/>
  <c r="K5293" i="2"/>
  <c r="L5293" i="2"/>
  <c r="Z5293" i="2"/>
  <c r="AD5293" i="2"/>
  <c r="K5294" i="2"/>
  <c r="L5294" i="2"/>
  <c r="Z5294" i="2"/>
  <c r="AD5294" i="2"/>
  <c r="K5295" i="2"/>
  <c r="L5295" i="2"/>
  <c r="Z5295" i="2"/>
  <c r="AB5295" i="2"/>
  <c r="AD5295" i="2"/>
  <c r="K5296" i="2"/>
  <c r="L5296" i="2"/>
  <c r="Z5296" i="2"/>
  <c r="AA5296" i="2" s="1"/>
  <c r="AD5296" i="2"/>
  <c r="K5297" i="2"/>
  <c r="L5297" i="2"/>
  <c r="Z5297" i="2"/>
  <c r="AB5297" i="2" s="1"/>
  <c r="AD5297" i="2"/>
  <c r="K5298" i="2"/>
  <c r="L5298" i="2"/>
  <c r="Z5298" i="2"/>
  <c r="AB5298" i="2" s="1"/>
  <c r="AD5298" i="2"/>
  <c r="K5299" i="2"/>
  <c r="L5299" i="2"/>
  <c r="Z5299" i="2"/>
  <c r="AC5299" i="2" s="1"/>
  <c r="AA5299" i="2"/>
  <c r="AD5299" i="2"/>
  <c r="K5300" i="2"/>
  <c r="L5300" i="2"/>
  <c r="Z5300" i="2"/>
  <c r="AA5300" i="2" s="1"/>
  <c r="AD5300" i="2"/>
  <c r="K5301" i="2"/>
  <c r="L5301" i="2"/>
  <c r="Z5301" i="2"/>
  <c r="AA5301" i="2" s="1"/>
  <c r="AD5301" i="2"/>
  <c r="K5302" i="2"/>
  <c r="L5302" i="2"/>
  <c r="Z5302" i="2"/>
  <c r="AC5302" i="2" s="1"/>
  <c r="AD5302" i="2"/>
  <c r="K5303" i="2"/>
  <c r="L5303" i="2"/>
  <c r="Z5303" i="2"/>
  <c r="AB5303" i="2" s="1"/>
  <c r="AD5303" i="2"/>
  <c r="K5304" i="2"/>
  <c r="L5304" i="2"/>
  <c r="Z5304" i="2"/>
  <c r="AB5304" i="2" s="1"/>
  <c r="AD5304" i="2"/>
  <c r="K5305" i="2"/>
  <c r="L5305" i="2"/>
  <c r="Z5305" i="2"/>
  <c r="AA5305" i="2" s="1"/>
  <c r="AB5305" i="2"/>
  <c r="AD5305" i="2"/>
  <c r="K5306" i="2"/>
  <c r="L5306" i="2"/>
  <c r="Z5306" i="2"/>
  <c r="AD5306" i="2"/>
  <c r="K5307" i="2"/>
  <c r="L5307" i="2"/>
  <c r="Z5307" i="2"/>
  <c r="AA5307" i="2"/>
  <c r="AB5307" i="2"/>
  <c r="AC5307" i="2"/>
  <c r="AD5307" i="2"/>
  <c r="K5308" i="2"/>
  <c r="L5308" i="2"/>
  <c r="Z5308" i="2"/>
  <c r="AA5308" i="2" s="1"/>
  <c r="AC5308" i="2"/>
  <c r="AD5308" i="2"/>
  <c r="K5309" i="2"/>
  <c r="L5309" i="2"/>
  <c r="Z5309" i="2"/>
  <c r="AB5309" i="2" s="1"/>
  <c r="AA5309" i="2"/>
  <c r="AC5309" i="2"/>
  <c r="AD5309" i="2"/>
  <c r="K5310" i="2"/>
  <c r="L5310" i="2"/>
  <c r="Z5310" i="2"/>
  <c r="AB5310" i="2" s="1"/>
  <c r="AC5310" i="2"/>
  <c r="AD5310" i="2"/>
  <c r="K5311" i="2"/>
  <c r="L5311" i="2"/>
  <c r="Z5311" i="2"/>
  <c r="AC5311" i="2" s="1"/>
  <c r="AA5311" i="2"/>
  <c r="AB5311" i="2"/>
  <c r="AD5311" i="2"/>
  <c r="K5312" i="2"/>
  <c r="L5312" i="2"/>
  <c r="Z5312" i="2"/>
  <c r="AC5312" i="2" s="1"/>
  <c r="AB5312" i="2"/>
  <c r="AD5312" i="2"/>
  <c r="K5313" i="2"/>
  <c r="L5313" i="2"/>
  <c r="Z5313" i="2"/>
  <c r="AA5313" i="2" s="1"/>
  <c r="AD5313" i="2"/>
  <c r="K5314" i="2"/>
  <c r="L5314" i="2"/>
  <c r="Z5314" i="2"/>
  <c r="AC5314" i="2" s="1"/>
  <c r="AA5314" i="2"/>
  <c r="AB5314" i="2"/>
  <c r="AD5314" i="2"/>
  <c r="K5315" i="2"/>
  <c r="L5315" i="2"/>
  <c r="Z5315" i="2"/>
  <c r="AD5315" i="2"/>
  <c r="K5316" i="2"/>
  <c r="L5316" i="2"/>
  <c r="Z5316" i="2"/>
  <c r="AB5316" i="2"/>
  <c r="AD5316" i="2"/>
  <c r="K5317" i="2"/>
  <c r="L5317" i="2"/>
  <c r="Z5317" i="2"/>
  <c r="AD5317" i="2"/>
  <c r="K5318" i="2"/>
  <c r="L5318" i="2"/>
  <c r="Z5318" i="2"/>
  <c r="AD5318" i="2"/>
  <c r="K5319" i="2"/>
  <c r="L5319" i="2"/>
  <c r="Z5319" i="2"/>
  <c r="AA5319" i="2" s="1"/>
  <c r="AD5319" i="2"/>
  <c r="K5320" i="2"/>
  <c r="L5320" i="2"/>
  <c r="Z5320" i="2"/>
  <c r="AD5320" i="2"/>
  <c r="K5321" i="2"/>
  <c r="L5321" i="2"/>
  <c r="Z5321" i="2"/>
  <c r="AB5321" i="2" s="1"/>
  <c r="AA5321" i="2"/>
  <c r="AC5321" i="2"/>
  <c r="AD5321" i="2"/>
  <c r="K5322" i="2"/>
  <c r="L5322" i="2"/>
  <c r="Z5322" i="2"/>
  <c r="AD5322" i="2"/>
  <c r="K5323" i="2"/>
  <c r="L5323" i="2"/>
  <c r="Z5323" i="2"/>
  <c r="AC5323" i="2" s="1"/>
  <c r="AD5323" i="2"/>
  <c r="K5324" i="2"/>
  <c r="L5324" i="2"/>
  <c r="Z5324" i="2"/>
  <c r="AD5324" i="2"/>
  <c r="K5325" i="2"/>
  <c r="L5325" i="2"/>
  <c r="Z5325" i="2"/>
  <c r="AA5325" i="2" s="1"/>
  <c r="AD5325" i="2"/>
  <c r="K5326" i="2"/>
  <c r="L5326" i="2"/>
  <c r="Z5326" i="2"/>
  <c r="AC5326" i="2" s="1"/>
  <c r="AD5326" i="2"/>
  <c r="K5327" i="2"/>
  <c r="L5327" i="2"/>
  <c r="Z5327" i="2"/>
  <c r="AA5327" i="2" s="1"/>
  <c r="AD5327" i="2"/>
  <c r="K5328" i="2"/>
  <c r="L5328" i="2"/>
  <c r="Z5328" i="2"/>
  <c r="AB5328" i="2" s="1"/>
  <c r="AD5328" i="2"/>
  <c r="K5329" i="2"/>
  <c r="L5329" i="2"/>
  <c r="Z5329" i="2"/>
  <c r="AA5329" i="2" s="1"/>
  <c r="AD5329" i="2"/>
  <c r="K5330" i="2"/>
  <c r="L5330" i="2"/>
  <c r="Z5330" i="2"/>
  <c r="AD5330" i="2"/>
  <c r="K5331" i="2"/>
  <c r="L5331" i="2"/>
  <c r="Z5331" i="2"/>
  <c r="AC5331" i="2" s="1"/>
  <c r="AA5331" i="2"/>
  <c r="AB5331" i="2"/>
  <c r="AD5331" i="2"/>
  <c r="K5332" i="2"/>
  <c r="L5332" i="2"/>
  <c r="Z5332" i="2"/>
  <c r="AC5332" i="2"/>
  <c r="AD5332" i="2"/>
  <c r="K5333" i="2"/>
  <c r="L5333" i="2"/>
  <c r="Z5333" i="2"/>
  <c r="AB5333" i="2" s="1"/>
  <c r="AD5333" i="2"/>
  <c r="K5334" i="2"/>
  <c r="L5334" i="2"/>
  <c r="Z5334" i="2"/>
  <c r="AD5334" i="2"/>
  <c r="K5335" i="2"/>
  <c r="L5335" i="2"/>
  <c r="Z5335" i="2"/>
  <c r="AC5335" i="2" s="1"/>
  <c r="AD5335" i="2"/>
  <c r="K5336" i="2"/>
  <c r="L5336" i="2"/>
  <c r="Z5336" i="2"/>
  <c r="AB5336" i="2"/>
  <c r="AD5336" i="2"/>
  <c r="K5337" i="2"/>
  <c r="L5337" i="2"/>
  <c r="Z5337" i="2"/>
  <c r="AA5337" i="2" s="1"/>
  <c r="AD5337" i="2"/>
  <c r="K5338" i="2"/>
  <c r="L5338" i="2"/>
  <c r="Z5338" i="2"/>
  <c r="AC5338" i="2" s="1"/>
  <c r="AA5338" i="2"/>
  <c r="AD5338" i="2"/>
  <c r="K5339" i="2"/>
  <c r="L5339" i="2"/>
  <c r="Z5339" i="2"/>
  <c r="AC5339" i="2" s="1"/>
  <c r="AD5339" i="2"/>
  <c r="K5340" i="2"/>
  <c r="L5340" i="2"/>
  <c r="Z5340" i="2"/>
  <c r="AB5340" i="2" s="1"/>
  <c r="AD5340" i="2"/>
  <c r="K5341" i="2"/>
  <c r="L5341" i="2"/>
  <c r="Z5341" i="2"/>
  <c r="AA5341" i="2" s="1"/>
  <c r="AB5341" i="2"/>
  <c r="AC5341" i="2"/>
  <c r="AD5341" i="2"/>
  <c r="K5342" i="2"/>
  <c r="L5342" i="2"/>
  <c r="Z5342" i="2"/>
  <c r="AD5342" i="2"/>
  <c r="K5343" i="2"/>
  <c r="L5343" i="2"/>
  <c r="Z5343" i="2"/>
  <c r="AD5343" i="2"/>
  <c r="K5344" i="2"/>
  <c r="L5344" i="2"/>
  <c r="Z5344" i="2"/>
  <c r="AA5344" i="2" s="1"/>
  <c r="AD5344" i="2"/>
  <c r="K5345" i="2"/>
  <c r="L5345" i="2"/>
  <c r="Z5345" i="2"/>
  <c r="AC5345" i="2"/>
  <c r="AD5345" i="2"/>
  <c r="K5346" i="2"/>
  <c r="L5346" i="2"/>
  <c r="Z5346" i="2"/>
  <c r="AB5346" i="2" s="1"/>
  <c r="AA5346" i="2"/>
  <c r="AC5346" i="2"/>
  <c r="AD5346" i="2"/>
  <c r="K5347" i="2"/>
  <c r="L5347" i="2"/>
  <c r="Z5347" i="2"/>
  <c r="AB5347" i="2"/>
  <c r="AD5347" i="2"/>
  <c r="K5348" i="2"/>
  <c r="L5348" i="2"/>
  <c r="Z5348" i="2"/>
  <c r="AA5348" i="2"/>
  <c r="AB5348" i="2"/>
  <c r="AC5348" i="2"/>
  <c r="AD5348" i="2"/>
  <c r="K5349" i="2"/>
  <c r="L5349" i="2"/>
  <c r="Z5349" i="2"/>
  <c r="AA5349" i="2" s="1"/>
  <c r="AD5349" i="2"/>
  <c r="K5350" i="2"/>
  <c r="L5350" i="2"/>
  <c r="Z5350" i="2"/>
  <c r="AD5350" i="2"/>
  <c r="K5351" i="2"/>
  <c r="L5351" i="2"/>
  <c r="Z5351" i="2"/>
  <c r="AD5351" i="2"/>
  <c r="K5352" i="2"/>
  <c r="L5352" i="2"/>
  <c r="Z5352" i="2"/>
  <c r="AB5352" i="2" s="1"/>
  <c r="AD5352" i="2"/>
  <c r="K5353" i="2"/>
  <c r="L5353" i="2"/>
  <c r="Z5353" i="2"/>
  <c r="AA5353" i="2" s="1"/>
  <c r="AB5353" i="2"/>
  <c r="AD5353" i="2"/>
  <c r="K5354" i="2"/>
  <c r="L5354" i="2"/>
  <c r="Z5354" i="2"/>
  <c r="AD5354" i="2"/>
  <c r="K5355" i="2"/>
  <c r="L5355" i="2"/>
  <c r="Z5355" i="2"/>
  <c r="AA5355" i="2"/>
  <c r="AD5355" i="2"/>
  <c r="K5356" i="2"/>
  <c r="L5356" i="2"/>
  <c r="Z5356" i="2"/>
  <c r="AA5356" i="2" s="1"/>
  <c r="AD5356" i="2"/>
  <c r="K5357" i="2"/>
  <c r="L5357" i="2"/>
  <c r="Z5357" i="2"/>
  <c r="AC5357" i="2" s="1"/>
  <c r="AD5357" i="2"/>
  <c r="K5358" i="2"/>
  <c r="L5358" i="2"/>
  <c r="Z5358" i="2"/>
  <c r="AB5358" i="2" s="1"/>
  <c r="AD5358" i="2"/>
  <c r="K5359" i="2"/>
  <c r="L5359" i="2"/>
  <c r="Z5359" i="2"/>
  <c r="AB5359" i="2" s="1"/>
  <c r="AD5359" i="2"/>
  <c r="K5360" i="2"/>
  <c r="L5360" i="2"/>
  <c r="Z5360" i="2"/>
  <c r="AA5360" i="2" s="1"/>
  <c r="AD5360" i="2"/>
  <c r="K5361" i="2"/>
  <c r="L5361" i="2"/>
  <c r="Z5361" i="2"/>
  <c r="AA5361" i="2" s="1"/>
  <c r="AD5361" i="2"/>
  <c r="K5362" i="2"/>
  <c r="L5362" i="2"/>
  <c r="Z5362" i="2"/>
  <c r="AC5362" i="2" s="1"/>
  <c r="AD5362" i="2"/>
  <c r="K5363" i="2"/>
  <c r="L5363" i="2"/>
  <c r="Z5363" i="2"/>
  <c r="AB5363" i="2" s="1"/>
  <c r="AD5363" i="2"/>
  <c r="K5364" i="2"/>
  <c r="L5364" i="2"/>
  <c r="Z5364" i="2"/>
  <c r="AD5364" i="2"/>
  <c r="K5365" i="2"/>
  <c r="L5365" i="2"/>
  <c r="Z5365" i="2"/>
  <c r="AA5365" i="2" s="1"/>
  <c r="AB5365" i="2"/>
  <c r="AC5365" i="2"/>
  <c r="AD5365" i="2"/>
  <c r="K5366" i="2"/>
  <c r="L5366" i="2"/>
  <c r="Z5366" i="2"/>
  <c r="AD5366" i="2"/>
  <c r="K5367" i="2"/>
  <c r="L5367" i="2"/>
  <c r="Z5367" i="2"/>
  <c r="AB5367" i="2" s="1"/>
  <c r="AA5367" i="2"/>
  <c r="AC5367" i="2"/>
  <c r="AD5367" i="2"/>
  <c r="K5368" i="2"/>
  <c r="L5368" i="2"/>
  <c r="Z5368" i="2"/>
  <c r="AD5368" i="2"/>
  <c r="K5369" i="2"/>
  <c r="L5369" i="2"/>
  <c r="Z5369" i="2"/>
  <c r="AC5369" i="2"/>
  <c r="AD5369" i="2"/>
  <c r="K5370" i="2"/>
  <c r="L5370" i="2"/>
  <c r="Z5370" i="2"/>
  <c r="AA5370" i="2"/>
  <c r="AD5370" i="2"/>
  <c r="K5371" i="2"/>
  <c r="L5371" i="2"/>
  <c r="Z5371" i="2"/>
  <c r="AB5371" i="2" s="1"/>
  <c r="AD5371" i="2"/>
  <c r="K5372" i="2"/>
  <c r="L5372" i="2"/>
  <c r="Z5372" i="2"/>
  <c r="AC5372" i="2" s="1"/>
  <c r="AA5372" i="2"/>
  <c r="AB5372" i="2"/>
  <c r="AD5372" i="2"/>
  <c r="K5373" i="2"/>
  <c r="L5373" i="2"/>
  <c r="Z5373" i="2"/>
  <c r="AA5373" i="2" s="1"/>
  <c r="AD5373" i="2"/>
  <c r="K5374" i="2"/>
  <c r="L5374" i="2"/>
  <c r="Z5374" i="2"/>
  <c r="AD5374" i="2"/>
  <c r="K5375" i="2"/>
  <c r="L5375" i="2"/>
  <c r="Z5375" i="2"/>
  <c r="AA5375" i="2" s="1"/>
  <c r="AD5375" i="2"/>
  <c r="K5376" i="2"/>
  <c r="L5376" i="2"/>
  <c r="Z5376" i="2"/>
  <c r="AB5376" i="2" s="1"/>
  <c r="AD5376" i="2"/>
  <c r="K5377" i="2"/>
  <c r="L5377" i="2"/>
  <c r="Z5377" i="2"/>
  <c r="AA5377" i="2" s="1"/>
  <c r="AD5377" i="2"/>
  <c r="K5378" i="2"/>
  <c r="L5378" i="2"/>
  <c r="Z5378" i="2"/>
  <c r="AD5378" i="2"/>
  <c r="K5379" i="2"/>
  <c r="L5379" i="2"/>
  <c r="Z5379" i="2"/>
  <c r="AB5379" i="2" s="1"/>
  <c r="AA5379" i="2"/>
  <c r="AD5379" i="2"/>
  <c r="K5380" i="2"/>
  <c r="L5380" i="2"/>
  <c r="Z5380" i="2"/>
  <c r="AD5380" i="2"/>
  <c r="K5381" i="2"/>
  <c r="L5381" i="2"/>
  <c r="Z5381" i="2"/>
  <c r="AB5381" i="2" s="1"/>
  <c r="AA5381" i="2"/>
  <c r="AD5381" i="2"/>
  <c r="K5382" i="2"/>
  <c r="L5382" i="2"/>
  <c r="Z5382" i="2"/>
  <c r="AB5382" i="2" s="1"/>
  <c r="AD5382" i="2"/>
  <c r="K5383" i="2"/>
  <c r="L5383" i="2"/>
  <c r="Z5383" i="2"/>
  <c r="AA5383" i="2" s="1"/>
  <c r="AD5383" i="2"/>
  <c r="K5384" i="2"/>
  <c r="L5384" i="2"/>
  <c r="Z5384" i="2"/>
  <c r="AB5384" i="2" s="1"/>
  <c r="AA5384" i="2"/>
  <c r="AC5384" i="2"/>
  <c r="AD5384" i="2"/>
  <c r="K5385" i="2"/>
  <c r="L5385" i="2"/>
  <c r="Z5385" i="2"/>
  <c r="AA5385" i="2" s="1"/>
  <c r="AD5385" i="2"/>
  <c r="K5386" i="2"/>
  <c r="L5386" i="2"/>
  <c r="Z5386" i="2"/>
  <c r="AD5386" i="2"/>
  <c r="K5387" i="2"/>
  <c r="L5387" i="2"/>
  <c r="Z5387" i="2"/>
  <c r="AB5387" i="2" s="1"/>
  <c r="AD5387" i="2"/>
  <c r="K5388" i="2"/>
  <c r="L5388" i="2"/>
  <c r="Z5388" i="2"/>
  <c r="AB5388" i="2" s="1"/>
  <c r="AD5388" i="2"/>
  <c r="K5389" i="2"/>
  <c r="L5389" i="2"/>
  <c r="Z5389" i="2"/>
  <c r="AD5389" i="2"/>
  <c r="K5390" i="2"/>
  <c r="L5390" i="2"/>
  <c r="Z5390" i="2"/>
  <c r="AD5390" i="2"/>
  <c r="K5391" i="2"/>
  <c r="L5391" i="2"/>
  <c r="Z5391" i="2"/>
  <c r="AD5391" i="2"/>
  <c r="K5392" i="2"/>
  <c r="L5392" i="2"/>
  <c r="Z5392" i="2"/>
  <c r="AA5392" i="2" s="1"/>
  <c r="AD5392" i="2"/>
  <c r="K5393" i="2"/>
  <c r="L5393" i="2"/>
  <c r="Z5393" i="2"/>
  <c r="AD5393" i="2"/>
  <c r="K5394" i="2"/>
  <c r="L5394" i="2"/>
  <c r="Z5394" i="2"/>
  <c r="AA5394" i="2"/>
  <c r="AB5394" i="2"/>
  <c r="AC5394" i="2"/>
  <c r="AD5394" i="2"/>
  <c r="K5395" i="2"/>
  <c r="L5395" i="2"/>
  <c r="Z5395" i="2"/>
  <c r="AC5395" i="2" s="1"/>
  <c r="AA5395" i="2"/>
  <c r="AB5395" i="2"/>
  <c r="AD5395" i="2"/>
  <c r="K5396" i="2"/>
  <c r="L5396" i="2"/>
  <c r="Z5396" i="2"/>
  <c r="AB5396" i="2" s="1"/>
  <c r="AA5396" i="2"/>
  <c r="AD5396" i="2"/>
  <c r="K5397" i="2"/>
  <c r="L5397" i="2"/>
  <c r="Z5397" i="2"/>
  <c r="AA5397" i="2" s="1"/>
  <c r="AD5397" i="2"/>
  <c r="K5398" i="2"/>
  <c r="L5398" i="2"/>
  <c r="Z5398" i="2"/>
  <c r="AA5398" i="2" s="1"/>
  <c r="AD5398" i="2"/>
  <c r="K5399" i="2"/>
  <c r="L5399" i="2"/>
  <c r="Z5399" i="2"/>
  <c r="AC5399" i="2" s="1"/>
  <c r="AB5399" i="2"/>
  <c r="AD5399" i="2"/>
  <c r="K5400" i="2"/>
  <c r="L5400" i="2"/>
  <c r="Z5400" i="2"/>
  <c r="AB5400" i="2" s="1"/>
  <c r="AD5400" i="2"/>
  <c r="K5401" i="2"/>
  <c r="L5401" i="2"/>
  <c r="Z5401" i="2"/>
  <c r="AD5401" i="2"/>
  <c r="K5402" i="2"/>
  <c r="L5402" i="2"/>
  <c r="Z5402" i="2"/>
  <c r="AD5402" i="2"/>
  <c r="K5403" i="2"/>
  <c r="L5403" i="2"/>
  <c r="Z5403" i="2"/>
  <c r="AD5403" i="2"/>
  <c r="K5404" i="2"/>
  <c r="L5404" i="2"/>
  <c r="Z5404" i="2"/>
  <c r="AA5404" i="2" s="1"/>
  <c r="AD5404" i="2"/>
  <c r="K5405" i="2"/>
  <c r="L5405" i="2"/>
  <c r="Z5405" i="2"/>
  <c r="AB5405" i="2" s="1"/>
  <c r="AA5405" i="2"/>
  <c r="AD5405" i="2"/>
  <c r="K5406" i="2"/>
  <c r="L5406" i="2"/>
  <c r="Z5406" i="2"/>
  <c r="AB5406" i="2" s="1"/>
  <c r="AD5406" i="2"/>
  <c r="K5407" i="2"/>
  <c r="L5407" i="2"/>
  <c r="Z5407" i="2"/>
  <c r="AC5407" i="2" s="1"/>
  <c r="AD5407" i="2"/>
  <c r="K5408" i="2"/>
  <c r="L5408" i="2"/>
  <c r="Z5408" i="2"/>
  <c r="AA5408" i="2" s="1"/>
  <c r="AD5408" i="2"/>
  <c r="K5409" i="2"/>
  <c r="L5409" i="2"/>
  <c r="Z5409" i="2"/>
  <c r="AA5409" i="2" s="1"/>
  <c r="AD5409" i="2"/>
  <c r="K5410" i="2"/>
  <c r="L5410" i="2"/>
  <c r="Z5410" i="2"/>
  <c r="AA5410" i="2" s="1"/>
  <c r="AD5410" i="2"/>
  <c r="K5411" i="2"/>
  <c r="L5411" i="2"/>
  <c r="Z5411" i="2"/>
  <c r="AB5411" i="2" s="1"/>
  <c r="AA5411" i="2"/>
  <c r="AC5411" i="2"/>
  <c r="AD5411" i="2"/>
  <c r="K5412" i="2"/>
  <c r="L5412" i="2"/>
  <c r="Z5412" i="2"/>
  <c r="AB5412" i="2" s="1"/>
  <c r="AD5412" i="2"/>
  <c r="K5413" i="2"/>
  <c r="L5413" i="2"/>
  <c r="Z5413" i="2"/>
  <c r="AB5413" i="2"/>
  <c r="AD5413" i="2"/>
  <c r="K5414" i="2"/>
  <c r="L5414" i="2"/>
  <c r="Z5414" i="2"/>
  <c r="AD5414" i="2"/>
  <c r="K5415" i="2"/>
  <c r="L5415" i="2"/>
  <c r="Z5415" i="2"/>
  <c r="AA5415" i="2" s="1"/>
  <c r="AD5415" i="2"/>
  <c r="K5416" i="2"/>
  <c r="L5416" i="2"/>
  <c r="Z5416" i="2"/>
  <c r="AA5416" i="2" s="1"/>
  <c r="AD5416" i="2"/>
  <c r="K5417" i="2"/>
  <c r="L5417" i="2"/>
  <c r="Z5417" i="2"/>
  <c r="AB5417" i="2" s="1"/>
  <c r="AA5417" i="2"/>
  <c r="AC5417" i="2"/>
  <c r="AD5417" i="2"/>
  <c r="K5418" i="2"/>
  <c r="L5418" i="2"/>
  <c r="Z5418" i="2"/>
  <c r="AB5418" i="2" s="1"/>
  <c r="AD5418" i="2"/>
  <c r="K5419" i="2"/>
  <c r="L5419" i="2"/>
  <c r="Z5419" i="2"/>
  <c r="AC5419" i="2" s="1"/>
  <c r="AA5419" i="2"/>
  <c r="AB5419" i="2"/>
  <c r="AD5419" i="2"/>
  <c r="K5420" i="2"/>
  <c r="L5420" i="2"/>
  <c r="Z5420" i="2"/>
  <c r="AA5420" i="2" s="1"/>
  <c r="AB5420" i="2"/>
  <c r="AC5420" i="2"/>
  <c r="AD5420" i="2"/>
  <c r="K5421" i="2"/>
  <c r="L5421" i="2"/>
  <c r="Z5421" i="2"/>
  <c r="AA5421" i="2" s="1"/>
  <c r="AD5421" i="2"/>
  <c r="K5422" i="2"/>
  <c r="L5422" i="2"/>
  <c r="Z5422" i="2"/>
  <c r="AA5422" i="2" s="1"/>
  <c r="AD5422" i="2"/>
  <c r="K5423" i="2"/>
  <c r="L5423" i="2"/>
  <c r="Z5423" i="2"/>
  <c r="AA5423" i="2" s="1"/>
  <c r="AD5423" i="2"/>
  <c r="K5424" i="2"/>
  <c r="L5424" i="2"/>
  <c r="Z5424" i="2"/>
  <c r="AD5424" i="2"/>
  <c r="K5425" i="2"/>
  <c r="L5425" i="2"/>
  <c r="Z5425" i="2"/>
  <c r="AA5425" i="2" s="1"/>
  <c r="AD5425" i="2"/>
  <c r="K5426" i="2"/>
  <c r="L5426" i="2"/>
  <c r="Z5426" i="2"/>
  <c r="AD5426" i="2"/>
  <c r="K5427" i="2"/>
  <c r="L5427" i="2"/>
  <c r="Z5427" i="2"/>
  <c r="AC5427" i="2" s="1"/>
  <c r="AD5427" i="2"/>
  <c r="K5428" i="2"/>
  <c r="L5428" i="2"/>
  <c r="Z5428" i="2"/>
  <c r="AD5428" i="2"/>
  <c r="K5429" i="2"/>
  <c r="L5429" i="2"/>
  <c r="Z5429" i="2"/>
  <c r="AC5429" i="2"/>
  <c r="AD5429" i="2"/>
  <c r="K5430" i="2"/>
  <c r="L5430" i="2"/>
  <c r="Z5430" i="2"/>
  <c r="AB5430" i="2" s="1"/>
  <c r="AA5430" i="2"/>
  <c r="AC5430" i="2"/>
  <c r="AD5430" i="2"/>
  <c r="K5431" i="2"/>
  <c r="L5431" i="2"/>
  <c r="Z5431" i="2"/>
  <c r="AA5431" i="2" s="1"/>
  <c r="AD5431" i="2"/>
  <c r="K5432" i="2"/>
  <c r="L5432" i="2"/>
  <c r="Z5432" i="2"/>
  <c r="AB5432" i="2" s="1"/>
  <c r="AD5432" i="2"/>
  <c r="K5433" i="2"/>
  <c r="L5433" i="2"/>
  <c r="Z5433" i="2"/>
  <c r="AA5433" i="2" s="1"/>
  <c r="AD5433" i="2"/>
  <c r="K5434" i="2"/>
  <c r="L5434" i="2"/>
  <c r="Z5434" i="2"/>
  <c r="AD5434" i="2"/>
  <c r="K5435" i="2"/>
  <c r="L5435" i="2"/>
  <c r="Z5435" i="2"/>
  <c r="AC5435" i="2" s="1"/>
  <c r="AA5435" i="2"/>
  <c r="AB5435" i="2"/>
  <c r="AD5435" i="2"/>
  <c r="K5436" i="2"/>
  <c r="L5436" i="2"/>
  <c r="Z5436" i="2"/>
  <c r="AB5436" i="2" s="1"/>
  <c r="AD5436" i="2"/>
  <c r="K5437" i="2"/>
  <c r="L5437" i="2"/>
  <c r="Z5437" i="2"/>
  <c r="AA5437" i="2" s="1"/>
  <c r="AD5437" i="2"/>
  <c r="K5438" i="2"/>
  <c r="L5438" i="2"/>
  <c r="Z5438" i="2"/>
  <c r="AD5438" i="2"/>
  <c r="K5439" i="2"/>
  <c r="L5439" i="2"/>
  <c r="Z5439" i="2"/>
  <c r="AD5439" i="2"/>
  <c r="K5440" i="2"/>
  <c r="L5440" i="2"/>
  <c r="Z5440" i="2"/>
  <c r="AA5440" i="2" s="1"/>
  <c r="AC5440" i="2"/>
  <c r="AD5440" i="2"/>
  <c r="K5441" i="2"/>
  <c r="L5441" i="2"/>
  <c r="Z5441" i="2"/>
  <c r="AD5441" i="2"/>
  <c r="K5442" i="2"/>
  <c r="L5442" i="2"/>
  <c r="Z5442" i="2"/>
  <c r="AA5442" i="2" s="1"/>
  <c r="AD5442" i="2"/>
  <c r="K5443" i="2"/>
  <c r="L5443" i="2"/>
  <c r="Z5443" i="2"/>
  <c r="AC5443" i="2" s="1"/>
  <c r="AA5443" i="2"/>
  <c r="AB5443" i="2"/>
  <c r="AD5443" i="2"/>
  <c r="K5444" i="2"/>
  <c r="L5444" i="2"/>
  <c r="Z5444" i="2"/>
  <c r="AC5444" i="2" s="1"/>
  <c r="AD5444" i="2"/>
  <c r="K5445" i="2"/>
  <c r="L5445" i="2"/>
  <c r="Z5445" i="2"/>
  <c r="AA5445" i="2" s="1"/>
  <c r="AD5445" i="2"/>
  <c r="K5446" i="2"/>
  <c r="L5446" i="2"/>
  <c r="Z5446" i="2"/>
  <c r="AA5446" i="2" s="1"/>
  <c r="AB5446" i="2"/>
  <c r="AD5446" i="2"/>
  <c r="K5447" i="2"/>
  <c r="L5447" i="2"/>
  <c r="Z5447" i="2"/>
  <c r="AD5447" i="2"/>
  <c r="K5448" i="2"/>
  <c r="L5448" i="2"/>
  <c r="Z5448" i="2"/>
  <c r="AB5448" i="2" s="1"/>
  <c r="AD5448" i="2"/>
  <c r="K5449" i="2"/>
  <c r="L5449" i="2"/>
  <c r="Z5449" i="2"/>
  <c r="AD5449" i="2"/>
  <c r="K5450" i="2"/>
  <c r="L5450" i="2"/>
  <c r="Z5450" i="2"/>
  <c r="AD5450" i="2"/>
  <c r="K5451" i="2"/>
  <c r="L5451" i="2"/>
  <c r="Z5451" i="2"/>
  <c r="AC5451" i="2"/>
  <c r="AD5451" i="2"/>
  <c r="K5452" i="2"/>
  <c r="L5452" i="2"/>
  <c r="Z5452" i="2"/>
  <c r="AA5452" i="2" s="1"/>
  <c r="AD5452" i="2"/>
  <c r="K5453" i="2"/>
  <c r="L5453" i="2"/>
  <c r="Z5453" i="2"/>
  <c r="AB5453" i="2" s="1"/>
  <c r="AD5453" i="2"/>
  <c r="K5454" i="2"/>
  <c r="L5454" i="2"/>
  <c r="Z5454" i="2"/>
  <c r="AC5454" i="2" s="1"/>
  <c r="AA5454" i="2"/>
  <c r="AB5454" i="2"/>
  <c r="AD5454" i="2"/>
  <c r="K5455" i="2"/>
  <c r="L5455" i="2"/>
  <c r="Z5455" i="2"/>
  <c r="AB5455" i="2"/>
  <c r="AD5455" i="2"/>
  <c r="K5456" i="2"/>
  <c r="L5456" i="2"/>
  <c r="Z5456" i="2"/>
  <c r="AA5456" i="2" s="1"/>
  <c r="AD5456" i="2"/>
  <c r="K5457" i="2"/>
  <c r="L5457" i="2"/>
  <c r="Z5457" i="2"/>
  <c r="AA5457" i="2" s="1"/>
  <c r="AD5457" i="2"/>
  <c r="K5458" i="2"/>
  <c r="L5458" i="2"/>
  <c r="Z5458" i="2"/>
  <c r="AA5458" i="2" s="1"/>
  <c r="AD5458" i="2"/>
  <c r="K5459" i="2"/>
  <c r="L5459" i="2"/>
  <c r="Z5459" i="2"/>
  <c r="AD5459" i="2"/>
  <c r="K5460" i="2"/>
  <c r="L5460" i="2"/>
  <c r="Z5460" i="2"/>
  <c r="AB5460" i="2" s="1"/>
  <c r="AD5460" i="2"/>
  <c r="K5461" i="2"/>
  <c r="L5461" i="2"/>
  <c r="Z5461" i="2"/>
  <c r="AC5461" i="2" s="1"/>
  <c r="AD5461" i="2"/>
  <c r="K5462" i="2"/>
  <c r="L5462" i="2"/>
  <c r="Z5462" i="2"/>
  <c r="AD5462" i="2"/>
  <c r="K5463" i="2"/>
  <c r="L5463" i="2"/>
  <c r="Z5463" i="2"/>
  <c r="AB5463" i="2" s="1"/>
  <c r="AD5463" i="2"/>
  <c r="K5464" i="2"/>
  <c r="L5464" i="2"/>
  <c r="Z5464" i="2"/>
  <c r="AD5464" i="2"/>
  <c r="K5465" i="2"/>
  <c r="L5465" i="2"/>
  <c r="Z5465" i="2"/>
  <c r="AB5465" i="2" s="1"/>
  <c r="AD5465" i="2"/>
  <c r="K5466" i="2"/>
  <c r="L5466" i="2"/>
  <c r="Z5466" i="2"/>
  <c r="AA5466" i="2"/>
  <c r="AD5466" i="2"/>
  <c r="K5467" i="2"/>
  <c r="L5467" i="2"/>
  <c r="Z5467" i="2"/>
  <c r="AA5467" i="2" s="1"/>
  <c r="AB5467" i="2"/>
  <c r="AC5467" i="2"/>
  <c r="AD5467" i="2"/>
  <c r="K5468" i="2"/>
  <c r="L5468" i="2"/>
  <c r="Z5468" i="2"/>
  <c r="AB5468" i="2" s="1"/>
  <c r="AC5468" i="2"/>
  <c r="AD5468" i="2"/>
  <c r="K5469" i="2"/>
  <c r="L5469" i="2"/>
  <c r="Z5469" i="2"/>
  <c r="AA5469" i="2" s="1"/>
  <c r="AD5469" i="2"/>
  <c r="K5470" i="2"/>
  <c r="L5470" i="2"/>
  <c r="Z5470" i="2"/>
  <c r="AD5470" i="2"/>
  <c r="K5471" i="2"/>
  <c r="L5471" i="2"/>
  <c r="Z5471" i="2"/>
  <c r="AA5471" i="2" s="1"/>
  <c r="AD5471" i="2"/>
  <c r="K5472" i="2"/>
  <c r="L5472" i="2"/>
  <c r="Z5472" i="2"/>
  <c r="AB5472" i="2" s="1"/>
  <c r="AD5472" i="2"/>
  <c r="K5473" i="2"/>
  <c r="L5473" i="2"/>
  <c r="Z5473" i="2"/>
  <c r="AA5473" i="2" s="1"/>
  <c r="AD5473" i="2"/>
  <c r="K5474" i="2"/>
  <c r="L5474" i="2"/>
  <c r="Z5474" i="2"/>
  <c r="AD5474" i="2"/>
  <c r="K5475" i="2"/>
  <c r="L5475" i="2"/>
  <c r="Z5475" i="2"/>
  <c r="AA5475" i="2" s="1"/>
  <c r="AC5475" i="2"/>
  <c r="AD5475" i="2"/>
  <c r="K5476" i="2"/>
  <c r="L5476" i="2"/>
  <c r="Z5476" i="2"/>
  <c r="AA5476" i="2" s="1"/>
  <c r="AC5476" i="2"/>
  <c r="AD5476" i="2"/>
  <c r="K5477" i="2"/>
  <c r="L5477" i="2"/>
  <c r="Z5477" i="2"/>
  <c r="AD5477" i="2"/>
  <c r="K5478" i="2"/>
  <c r="L5478" i="2"/>
  <c r="Z5478" i="2"/>
  <c r="AA5478" i="2" s="1"/>
  <c r="AD5478" i="2"/>
  <c r="K5479" i="2"/>
  <c r="L5479" i="2"/>
  <c r="Z5479" i="2"/>
  <c r="AC5479" i="2" s="1"/>
  <c r="AB5479" i="2"/>
  <c r="AD5479" i="2"/>
  <c r="K5480" i="2"/>
  <c r="L5480" i="2"/>
  <c r="Z5480" i="2"/>
  <c r="AC5480" i="2" s="1"/>
  <c r="AB5480" i="2"/>
  <c r="AD5480" i="2"/>
  <c r="K5481" i="2"/>
  <c r="L5481" i="2"/>
  <c r="Z5481" i="2"/>
  <c r="AA5481" i="2" s="1"/>
  <c r="AD5481" i="2"/>
  <c r="K5482" i="2"/>
  <c r="L5482" i="2"/>
  <c r="Z5482" i="2"/>
  <c r="AA5482" i="2" s="1"/>
  <c r="AD5482" i="2"/>
  <c r="K5483" i="2"/>
  <c r="L5483" i="2"/>
  <c r="Z5483" i="2"/>
  <c r="AD5483" i="2"/>
  <c r="K5484" i="2"/>
  <c r="L5484" i="2"/>
  <c r="Z5484" i="2"/>
  <c r="AB5484" i="2" s="1"/>
  <c r="AD5484" i="2"/>
  <c r="K5485" i="2"/>
  <c r="L5485" i="2"/>
  <c r="Z5485" i="2"/>
  <c r="AA5485" i="2" s="1"/>
  <c r="AD5485" i="2"/>
  <c r="K5486" i="2"/>
  <c r="L5486" i="2"/>
  <c r="Z5486" i="2"/>
  <c r="AD5486" i="2"/>
  <c r="K5487" i="2"/>
  <c r="L5487" i="2"/>
  <c r="Z5487" i="2"/>
  <c r="AA5487" i="2" s="1"/>
  <c r="AC5487" i="2"/>
  <c r="AD5487" i="2"/>
  <c r="K5488" i="2"/>
  <c r="L5488" i="2"/>
  <c r="Z5488" i="2"/>
  <c r="AA5488" i="2" s="1"/>
  <c r="AC5488" i="2"/>
  <c r="AD5488" i="2"/>
  <c r="K5489" i="2"/>
  <c r="L5489" i="2"/>
  <c r="Z5489" i="2"/>
  <c r="AA5489" i="2"/>
  <c r="AD5489" i="2"/>
  <c r="K5490" i="2"/>
  <c r="L5490" i="2"/>
  <c r="Z5490" i="2"/>
  <c r="AC5490" i="2" s="1"/>
  <c r="AB5490" i="2"/>
  <c r="AD5490" i="2"/>
  <c r="K5491" i="2"/>
  <c r="L5491" i="2"/>
  <c r="Z5491" i="2"/>
  <c r="AA5491" i="2"/>
  <c r="AD5491" i="2"/>
  <c r="K5492" i="2"/>
  <c r="L5492" i="2"/>
  <c r="Z5492" i="2"/>
  <c r="AA5492" i="2" s="1"/>
  <c r="AD5492" i="2"/>
  <c r="K5493" i="2"/>
  <c r="L5493" i="2"/>
  <c r="Z5493" i="2"/>
  <c r="AA5493" i="2" s="1"/>
  <c r="AD5493" i="2"/>
  <c r="K5494" i="2"/>
  <c r="L5494" i="2"/>
  <c r="Z5494" i="2"/>
  <c r="AA5494" i="2" s="1"/>
  <c r="AB5494" i="2"/>
  <c r="AD5494" i="2"/>
  <c r="K5495" i="2"/>
  <c r="L5495" i="2"/>
  <c r="Z5495" i="2"/>
  <c r="AA5495" i="2"/>
  <c r="AB5495" i="2"/>
  <c r="AC5495" i="2"/>
  <c r="AD5495" i="2"/>
  <c r="K5496" i="2"/>
  <c r="L5496" i="2"/>
  <c r="Z5496" i="2"/>
  <c r="AB5496" i="2"/>
  <c r="AD5496" i="2"/>
  <c r="K5497" i="2"/>
  <c r="L5497" i="2"/>
  <c r="Z5497" i="2"/>
  <c r="AA5497" i="2" s="1"/>
  <c r="AB5497" i="2"/>
  <c r="AC5497" i="2"/>
  <c r="AD5497" i="2"/>
  <c r="K5498" i="2"/>
  <c r="L5498" i="2"/>
  <c r="Z5498" i="2"/>
  <c r="AD5498" i="2"/>
  <c r="K5499" i="2"/>
  <c r="L5499" i="2"/>
  <c r="Z5499" i="2"/>
  <c r="AA5499" i="2" s="1"/>
  <c r="AD5499" i="2"/>
  <c r="K5500" i="2"/>
  <c r="L5500" i="2"/>
  <c r="Z5500" i="2"/>
  <c r="AD5500" i="2"/>
  <c r="K5501" i="2"/>
  <c r="L5501" i="2"/>
  <c r="Z5501" i="2"/>
  <c r="AB5501" i="2" s="1"/>
  <c r="AA5501" i="2"/>
  <c r="AC5501" i="2"/>
  <c r="AD5501" i="2"/>
  <c r="K5502" i="2"/>
  <c r="L5502" i="2"/>
  <c r="Z5502" i="2"/>
  <c r="AB5502" i="2" s="1"/>
  <c r="AA5502" i="2"/>
  <c r="AC5502" i="2"/>
  <c r="AD5502" i="2"/>
  <c r="K5503" i="2"/>
  <c r="L5503" i="2"/>
  <c r="Z5503" i="2"/>
  <c r="AA5503" i="2" s="1"/>
  <c r="AD5503" i="2"/>
  <c r="K5504" i="2"/>
  <c r="L5504" i="2"/>
  <c r="Z5504" i="2"/>
  <c r="AC5504" i="2" s="1"/>
  <c r="AD5504" i="2"/>
  <c r="K5505" i="2"/>
  <c r="L5505" i="2"/>
  <c r="Z5505" i="2"/>
  <c r="AA5505" i="2" s="1"/>
  <c r="AD5505" i="2"/>
  <c r="K5506" i="2"/>
  <c r="L5506" i="2"/>
  <c r="Z5506" i="2"/>
  <c r="AD5506" i="2"/>
  <c r="K5507" i="2"/>
  <c r="L5507" i="2"/>
  <c r="Z5507" i="2"/>
  <c r="AC5507" i="2" s="1"/>
  <c r="AA5507" i="2"/>
  <c r="AB5507" i="2"/>
  <c r="AD5507" i="2"/>
  <c r="K5508" i="2"/>
  <c r="L5508" i="2"/>
  <c r="Z5508" i="2"/>
  <c r="AB5508" i="2" s="1"/>
  <c r="AD5508" i="2"/>
  <c r="K5509" i="2"/>
  <c r="L5509" i="2"/>
  <c r="Z5509" i="2"/>
  <c r="AC5509" i="2" s="1"/>
  <c r="AD5509" i="2"/>
  <c r="K5510" i="2"/>
  <c r="L5510" i="2"/>
  <c r="Z5510" i="2"/>
  <c r="AD5510" i="2"/>
  <c r="K5511" i="2"/>
  <c r="L5511" i="2"/>
  <c r="Z5511" i="2"/>
  <c r="AD5511" i="2"/>
  <c r="K5512" i="2"/>
  <c r="L5512" i="2"/>
  <c r="Z5512" i="2"/>
  <c r="AA5512" i="2" s="1"/>
  <c r="AD5512" i="2"/>
  <c r="K5513" i="2"/>
  <c r="L5513" i="2"/>
  <c r="Z5513" i="2"/>
  <c r="AC5513" i="2" s="1"/>
  <c r="AD5513" i="2"/>
  <c r="K5514" i="2"/>
  <c r="L5514" i="2"/>
  <c r="Z5514" i="2"/>
  <c r="AB5514" i="2" s="1"/>
  <c r="AD5514" i="2"/>
  <c r="K5515" i="2"/>
  <c r="L5515" i="2"/>
  <c r="Z5515" i="2"/>
  <c r="AB5515" i="2" s="1"/>
  <c r="AD5515" i="2"/>
  <c r="K5516" i="2"/>
  <c r="L5516" i="2"/>
  <c r="Z5516" i="2"/>
  <c r="AA5516" i="2" s="1"/>
  <c r="AD5516" i="2"/>
  <c r="K5517" i="2"/>
  <c r="L5517" i="2"/>
  <c r="Z5517" i="2"/>
  <c r="AA5517" i="2" s="1"/>
  <c r="AD5517" i="2"/>
  <c r="K5518" i="2"/>
  <c r="L5518" i="2"/>
  <c r="Z5518" i="2"/>
  <c r="AA5518" i="2" s="1"/>
  <c r="AD5518" i="2"/>
  <c r="K5519" i="2"/>
  <c r="L5519" i="2"/>
  <c r="Z5519" i="2"/>
  <c r="AB5519" i="2" s="1"/>
  <c r="AA5519" i="2"/>
  <c r="AC5519" i="2"/>
  <c r="AD5519" i="2"/>
  <c r="K5520" i="2"/>
  <c r="L5520" i="2"/>
  <c r="Z5520" i="2"/>
  <c r="AB5520" i="2" s="1"/>
  <c r="AD5520" i="2"/>
  <c r="K5521" i="2"/>
  <c r="L5521" i="2"/>
  <c r="Z5521" i="2"/>
  <c r="AA5521" i="2" s="1"/>
  <c r="AD5521" i="2"/>
  <c r="K5522" i="2"/>
  <c r="L5522" i="2"/>
  <c r="Z5522" i="2"/>
  <c r="AD5522" i="2"/>
  <c r="K5523" i="2"/>
  <c r="L5523" i="2"/>
  <c r="Z5523" i="2"/>
  <c r="AA5523" i="2" s="1"/>
  <c r="AD5523" i="2"/>
  <c r="K5524" i="2"/>
  <c r="L5524" i="2"/>
  <c r="Z5524" i="2"/>
  <c r="AD5524" i="2"/>
  <c r="K5525" i="2"/>
  <c r="L5525" i="2"/>
  <c r="Z5525" i="2"/>
  <c r="AB5525" i="2" s="1"/>
  <c r="AA5525" i="2"/>
  <c r="AD5525" i="2"/>
  <c r="K5526" i="2"/>
  <c r="L5526" i="2"/>
  <c r="Z5526" i="2"/>
  <c r="AD5526" i="2"/>
  <c r="K5527" i="2"/>
  <c r="L5527" i="2"/>
  <c r="Z5527" i="2"/>
  <c r="AA5527" i="2" s="1"/>
  <c r="AC5527" i="2"/>
  <c r="AD5527" i="2"/>
  <c r="K5528" i="2"/>
  <c r="L5528" i="2"/>
  <c r="Z5528" i="2"/>
  <c r="AA5528" i="2" s="1"/>
  <c r="AD5528" i="2"/>
  <c r="K5529" i="2"/>
  <c r="L5529" i="2"/>
  <c r="Z5529" i="2"/>
  <c r="AA5529" i="2" s="1"/>
  <c r="AD5529" i="2"/>
  <c r="K5530" i="2"/>
  <c r="L5530" i="2"/>
  <c r="Z5530" i="2"/>
  <c r="AD5530" i="2"/>
  <c r="K5531" i="2"/>
  <c r="L5531" i="2"/>
  <c r="Z5531" i="2"/>
  <c r="AA5531" i="2" s="1"/>
  <c r="AD5531" i="2"/>
  <c r="K5532" i="2"/>
  <c r="L5532" i="2"/>
  <c r="Z5532" i="2"/>
  <c r="AB5532" i="2" s="1"/>
  <c r="AD5532" i="2"/>
  <c r="K5533" i="2"/>
  <c r="L5533" i="2"/>
  <c r="Z5533" i="2"/>
  <c r="AA5533" i="2" s="1"/>
  <c r="AD5533" i="2"/>
  <c r="K5534" i="2"/>
  <c r="L5534" i="2"/>
  <c r="Z5534" i="2"/>
  <c r="AD5534" i="2"/>
  <c r="K5535" i="2"/>
  <c r="L5535" i="2"/>
  <c r="Z5535" i="2"/>
  <c r="AA5535" i="2" s="1"/>
  <c r="AC5535" i="2"/>
  <c r="AD5535" i="2"/>
  <c r="K5536" i="2"/>
  <c r="L5536" i="2"/>
  <c r="Z5536" i="2"/>
  <c r="AD5536" i="2"/>
  <c r="K5537" i="2"/>
  <c r="L5537" i="2"/>
  <c r="Z5537" i="2"/>
  <c r="AB5537" i="2" s="1"/>
  <c r="AA5537" i="2"/>
  <c r="AC5537" i="2"/>
  <c r="AD5537" i="2"/>
  <c r="K5538" i="2"/>
  <c r="L5538" i="2"/>
  <c r="Z5538" i="2"/>
  <c r="AD5538" i="2"/>
  <c r="K5539" i="2"/>
  <c r="L5539" i="2"/>
  <c r="Z5539" i="2"/>
  <c r="AA5539" i="2" s="1"/>
  <c r="AB5539" i="2"/>
  <c r="AC5539" i="2"/>
  <c r="AD5539" i="2"/>
  <c r="K5540" i="2"/>
  <c r="L5540" i="2"/>
  <c r="Z5540" i="2"/>
  <c r="AD5540" i="2"/>
  <c r="K5541" i="2"/>
  <c r="L5541" i="2"/>
  <c r="Z5541" i="2"/>
  <c r="AA5541" i="2" s="1"/>
  <c r="AD5541" i="2"/>
  <c r="K5542" i="2"/>
  <c r="L5542" i="2"/>
  <c r="Z5542" i="2"/>
  <c r="AA5542" i="2" s="1"/>
  <c r="AD5542" i="2"/>
  <c r="K5543" i="2"/>
  <c r="L5543" i="2"/>
  <c r="Z5543" i="2"/>
  <c r="AD5543" i="2"/>
  <c r="K5544" i="2"/>
  <c r="L5544" i="2"/>
  <c r="Z5544" i="2"/>
  <c r="AB5544" i="2" s="1"/>
  <c r="AD5544" i="2"/>
  <c r="K5545" i="2"/>
  <c r="L5545" i="2"/>
  <c r="Z5545" i="2"/>
  <c r="AA5545" i="2" s="1"/>
  <c r="AB5545" i="2"/>
  <c r="AD5545" i="2"/>
  <c r="K5546" i="2"/>
  <c r="L5546" i="2"/>
  <c r="Z5546" i="2"/>
  <c r="AD5546" i="2"/>
  <c r="K5547" i="2"/>
  <c r="L5547" i="2"/>
  <c r="Z5547" i="2"/>
  <c r="AA5547" i="2" s="1"/>
  <c r="AC5547" i="2"/>
  <c r="AD5547" i="2"/>
  <c r="K5548" i="2"/>
  <c r="L5548" i="2"/>
  <c r="Z5548" i="2"/>
  <c r="AB5548" i="2"/>
  <c r="AD5548" i="2"/>
  <c r="K5549" i="2"/>
  <c r="L5549" i="2"/>
  <c r="Z5549" i="2"/>
  <c r="AB5549" i="2" s="1"/>
  <c r="AD5549" i="2"/>
  <c r="K5550" i="2"/>
  <c r="L5550" i="2"/>
  <c r="Z5550" i="2"/>
  <c r="AA5550" i="2"/>
  <c r="AD5550" i="2"/>
  <c r="K5551" i="2"/>
  <c r="L5551" i="2"/>
  <c r="Z5551" i="2"/>
  <c r="AC5551" i="2" s="1"/>
  <c r="AD5551" i="2"/>
  <c r="K5552" i="2"/>
  <c r="L5552" i="2"/>
  <c r="Z5552" i="2"/>
  <c r="AA5552" i="2" s="1"/>
  <c r="AD5552" i="2"/>
  <c r="K5553" i="2"/>
  <c r="L5553" i="2"/>
  <c r="Z5553" i="2"/>
  <c r="AA5553" i="2" s="1"/>
  <c r="AD5553" i="2"/>
  <c r="K5554" i="2"/>
  <c r="L5554" i="2"/>
  <c r="Z5554" i="2"/>
  <c r="AA5554" i="2" s="1"/>
  <c r="AB5554" i="2"/>
  <c r="AD5554" i="2"/>
  <c r="K5555" i="2"/>
  <c r="L5555" i="2"/>
  <c r="Z5555" i="2"/>
  <c r="AB5555" i="2"/>
  <c r="AD5555" i="2"/>
  <c r="K5556" i="2"/>
  <c r="L5556" i="2"/>
  <c r="Z5556" i="2"/>
  <c r="AB5556" i="2" s="1"/>
  <c r="AD5556" i="2"/>
  <c r="K5557" i="2"/>
  <c r="L5557" i="2"/>
  <c r="Z5557" i="2"/>
  <c r="AA5557" i="2" s="1"/>
  <c r="AC5557" i="2"/>
  <c r="AD5557" i="2"/>
  <c r="K5558" i="2"/>
  <c r="L5558" i="2"/>
  <c r="Z5558" i="2"/>
  <c r="AD5558" i="2"/>
  <c r="K5559" i="2"/>
  <c r="L5559" i="2"/>
  <c r="Z5559" i="2"/>
  <c r="AD5559" i="2"/>
  <c r="K5560" i="2"/>
  <c r="L5560" i="2"/>
  <c r="Z5560" i="2"/>
  <c r="AA5560" i="2" s="1"/>
  <c r="AD5560" i="2"/>
  <c r="K5561" i="2"/>
  <c r="L5561" i="2"/>
  <c r="Z5561" i="2"/>
  <c r="AB5561" i="2" s="1"/>
  <c r="AD5561" i="2"/>
  <c r="K5562" i="2"/>
  <c r="L5562" i="2"/>
  <c r="Z5562" i="2"/>
  <c r="AB5562" i="2" s="1"/>
  <c r="AA5562" i="2"/>
  <c r="AD5562" i="2"/>
  <c r="K5563" i="2"/>
  <c r="L5563" i="2"/>
  <c r="Z5563" i="2"/>
  <c r="AC5563" i="2" s="1"/>
  <c r="AD5563" i="2"/>
  <c r="K5564" i="2"/>
  <c r="L5564" i="2"/>
  <c r="Z5564" i="2"/>
  <c r="AB5564" i="2" s="1"/>
  <c r="AD5564" i="2"/>
  <c r="K5565" i="2"/>
  <c r="L5565" i="2"/>
  <c r="Z5565" i="2"/>
  <c r="AA5565" i="2" s="1"/>
  <c r="AD5565" i="2"/>
  <c r="K5566" i="2"/>
  <c r="L5566" i="2"/>
  <c r="Z5566" i="2"/>
  <c r="AA5566" i="2" s="1"/>
  <c r="AD5566" i="2"/>
  <c r="K5567" i="2"/>
  <c r="L5567" i="2"/>
  <c r="Z5567" i="2"/>
  <c r="AC5567" i="2" s="1"/>
  <c r="AA5567" i="2"/>
  <c r="AB5567" i="2"/>
  <c r="AD5567" i="2"/>
  <c r="K5568" i="2"/>
  <c r="L5568" i="2"/>
  <c r="Z5568" i="2"/>
  <c r="AB5568" i="2" s="1"/>
  <c r="AD5568" i="2"/>
  <c r="K5569" i="2"/>
  <c r="L5569" i="2"/>
  <c r="Z5569" i="2"/>
  <c r="AA5569" i="2" s="1"/>
  <c r="AB5569" i="2"/>
  <c r="AC5569" i="2"/>
  <c r="AD5569" i="2"/>
  <c r="K5570" i="2"/>
  <c r="L5570" i="2"/>
  <c r="Z5570" i="2"/>
  <c r="AD5570" i="2"/>
  <c r="K5571" i="2"/>
  <c r="L5571" i="2"/>
  <c r="Z5571" i="2"/>
  <c r="AB5571" i="2" s="1"/>
  <c r="AA5571" i="2"/>
  <c r="AD5571" i="2"/>
  <c r="K5572" i="2"/>
  <c r="L5572" i="2"/>
  <c r="Z5572" i="2"/>
  <c r="AA5572" i="2" s="1"/>
  <c r="AD5572" i="2"/>
  <c r="K5573" i="2"/>
  <c r="L5573" i="2"/>
  <c r="Z5573" i="2"/>
  <c r="AB5573" i="2" s="1"/>
  <c r="AD5573" i="2"/>
  <c r="K5574" i="2"/>
  <c r="L5574" i="2"/>
  <c r="Z5574" i="2"/>
  <c r="AB5574" i="2" s="1"/>
  <c r="AD5574" i="2"/>
  <c r="K5575" i="2"/>
  <c r="L5575" i="2"/>
  <c r="Z5575" i="2"/>
  <c r="AB5575" i="2" s="1"/>
  <c r="AA5575" i="2"/>
  <c r="AC5575" i="2"/>
  <c r="AD5575" i="2"/>
  <c r="K5576" i="2"/>
  <c r="L5576" i="2"/>
  <c r="Z5576" i="2"/>
  <c r="AB5576" i="2" s="1"/>
  <c r="AC5576" i="2"/>
  <c r="AD5576" i="2"/>
  <c r="K5577" i="2"/>
  <c r="L5577" i="2"/>
  <c r="Z5577" i="2"/>
  <c r="AA5577" i="2" s="1"/>
  <c r="AD5577" i="2"/>
  <c r="K5578" i="2"/>
  <c r="L5578" i="2"/>
  <c r="Z5578" i="2"/>
  <c r="AB5578" i="2" s="1"/>
  <c r="AD5578" i="2"/>
  <c r="K5579" i="2"/>
  <c r="L5579" i="2"/>
  <c r="Z5579" i="2"/>
  <c r="AB5579" i="2" s="1"/>
  <c r="AA5579" i="2"/>
  <c r="AD5579" i="2"/>
  <c r="K5580" i="2"/>
  <c r="L5580" i="2"/>
  <c r="Z5580" i="2"/>
  <c r="AB5580" i="2" s="1"/>
  <c r="AD5580" i="2"/>
  <c r="K5581" i="2"/>
  <c r="L5581" i="2"/>
  <c r="Z5581" i="2"/>
  <c r="AB5581" i="2"/>
  <c r="AD5581" i="2"/>
  <c r="K5582" i="2"/>
  <c r="L5582" i="2"/>
  <c r="Z5582" i="2"/>
  <c r="AD5582" i="2"/>
  <c r="K5583" i="2"/>
  <c r="L5583" i="2"/>
  <c r="Z5583" i="2"/>
  <c r="AA5583" i="2" s="1"/>
  <c r="AD5583" i="2"/>
  <c r="K5584" i="2"/>
  <c r="L5584" i="2"/>
  <c r="Z5584" i="2"/>
  <c r="AD5584" i="2"/>
  <c r="K5585" i="2"/>
  <c r="L5585" i="2"/>
  <c r="Z5585" i="2"/>
  <c r="AB5585" i="2" s="1"/>
  <c r="AA5585" i="2"/>
  <c r="AC5585" i="2"/>
  <c r="AD5585" i="2"/>
  <c r="K5586" i="2"/>
  <c r="L5586" i="2"/>
  <c r="Z5586" i="2"/>
  <c r="AD5586" i="2"/>
  <c r="K5587" i="2"/>
  <c r="L5587" i="2"/>
  <c r="Z5587" i="2"/>
  <c r="AA5587" i="2"/>
  <c r="AD5587" i="2"/>
  <c r="K5588" i="2"/>
  <c r="L5588" i="2"/>
  <c r="Z5588" i="2"/>
  <c r="AA5588" i="2" s="1"/>
  <c r="AB5588" i="2"/>
  <c r="AC5588" i="2"/>
  <c r="AD5588" i="2"/>
  <c r="K5589" i="2"/>
  <c r="L5589" i="2"/>
  <c r="Z5589" i="2"/>
  <c r="AA5589" i="2" s="1"/>
  <c r="AD5589" i="2"/>
  <c r="K5590" i="2"/>
  <c r="L5590" i="2"/>
  <c r="Z5590" i="2"/>
  <c r="AC5590" i="2" s="1"/>
  <c r="AD5590" i="2"/>
  <c r="K5591" i="2"/>
  <c r="L5591" i="2"/>
  <c r="Z5591" i="2"/>
  <c r="AA5591" i="2"/>
  <c r="AD5591" i="2"/>
  <c r="K5592" i="2"/>
  <c r="L5592" i="2"/>
  <c r="Z5592" i="2"/>
  <c r="AB5592" i="2" s="1"/>
  <c r="AD5592" i="2"/>
  <c r="K5593" i="2"/>
  <c r="L5593" i="2"/>
  <c r="Z5593" i="2"/>
  <c r="AC5593" i="2" s="1"/>
  <c r="AD5593" i="2"/>
  <c r="K5594" i="2"/>
  <c r="L5594" i="2"/>
  <c r="Z5594" i="2"/>
  <c r="AD5594" i="2"/>
  <c r="K5595" i="2"/>
  <c r="L5595" i="2"/>
  <c r="Z5595" i="2"/>
  <c r="AA5595" i="2" s="1"/>
  <c r="AD5595" i="2"/>
  <c r="K5596" i="2"/>
  <c r="L5596" i="2"/>
  <c r="Z5596" i="2"/>
  <c r="AD5596" i="2"/>
  <c r="K5597" i="2"/>
  <c r="L5597" i="2"/>
  <c r="Z5597" i="2"/>
  <c r="AB5597" i="2" s="1"/>
  <c r="AC5597" i="2"/>
  <c r="AD5597" i="2"/>
  <c r="K5598" i="2"/>
  <c r="L5598" i="2"/>
  <c r="Z5598" i="2"/>
  <c r="AA5598" i="2" s="1"/>
  <c r="AD5598" i="2"/>
  <c r="K5599" i="2"/>
  <c r="L5599" i="2"/>
  <c r="Z5599" i="2"/>
  <c r="AB5599" i="2" s="1"/>
  <c r="AD5599" i="2"/>
  <c r="K5600" i="2"/>
  <c r="L5600" i="2"/>
  <c r="Z5600" i="2"/>
  <c r="AD5600" i="2"/>
  <c r="K5601" i="2"/>
  <c r="L5601" i="2"/>
  <c r="Z5601" i="2"/>
  <c r="AA5601" i="2" s="1"/>
  <c r="AD5601" i="2"/>
  <c r="K5602" i="2"/>
  <c r="L5602" i="2"/>
  <c r="Z5602" i="2"/>
  <c r="AC5602" i="2" s="1"/>
  <c r="AD5602" i="2"/>
  <c r="K5603" i="2"/>
  <c r="L5603" i="2"/>
  <c r="Z5603" i="2"/>
  <c r="AB5603" i="2" s="1"/>
  <c r="AA5603" i="2"/>
  <c r="AC5603" i="2"/>
  <c r="AD5603" i="2"/>
  <c r="K5604" i="2"/>
  <c r="L5604" i="2"/>
  <c r="Z5604" i="2"/>
  <c r="AD5604" i="2"/>
  <c r="K5605" i="2"/>
  <c r="L5605" i="2"/>
  <c r="Z5605" i="2"/>
  <c r="AA5605" i="2" s="1"/>
  <c r="AC5605" i="2"/>
  <c r="AD5605" i="2"/>
  <c r="K5606" i="2"/>
  <c r="L5606" i="2"/>
  <c r="Z5606" i="2"/>
  <c r="AD5606" i="2"/>
  <c r="K5607" i="2"/>
  <c r="L5607" i="2"/>
  <c r="Z5607" i="2"/>
  <c r="AD5607" i="2"/>
  <c r="K5608" i="2"/>
  <c r="L5608" i="2"/>
  <c r="Z5608" i="2"/>
  <c r="AD5608" i="2"/>
  <c r="K5609" i="2"/>
  <c r="L5609" i="2"/>
  <c r="Z5609" i="2"/>
  <c r="AB5609" i="2" s="1"/>
  <c r="AD5609" i="2"/>
  <c r="K5610" i="2"/>
  <c r="L5610" i="2"/>
  <c r="Z5610" i="2"/>
  <c r="AA5610" i="2" s="1"/>
  <c r="AD5610" i="2"/>
  <c r="K5611" i="2"/>
  <c r="L5611" i="2"/>
  <c r="Z5611" i="2"/>
  <c r="AC5611" i="2" s="1"/>
  <c r="AA5611" i="2"/>
  <c r="AD5611" i="2"/>
  <c r="K5612" i="2"/>
  <c r="L5612" i="2"/>
  <c r="Z5612" i="2"/>
  <c r="AB5612" i="2"/>
  <c r="AD5612" i="2"/>
  <c r="K5613" i="2"/>
  <c r="L5613" i="2"/>
  <c r="Z5613" i="2"/>
  <c r="AA5613" i="2" s="1"/>
  <c r="AD5613" i="2"/>
  <c r="K5614" i="2"/>
  <c r="L5614" i="2"/>
  <c r="Z5614" i="2"/>
  <c r="AC5614" i="2" s="1"/>
  <c r="AD5614" i="2"/>
  <c r="K5615" i="2"/>
  <c r="L5615" i="2"/>
  <c r="Z5615" i="2"/>
  <c r="AC5615" i="2" s="1"/>
  <c r="AA5615" i="2"/>
  <c r="AB5615" i="2"/>
  <c r="AD5615" i="2"/>
  <c r="K5616" i="2"/>
  <c r="L5616" i="2"/>
  <c r="Z5616" i="2"/>
  <c r="AB5616" i="2"/>
  <c r="AD5616" i="2"/>
  <c r="K5617" i="2"/>
  <c r="L5617" i="2"/>
  <c r="Z5617" i="2"/>
  <c r="AA5617" i="2" s="1"/>
  <c r="AD5617" i="2"/>
  <c r="K5618" i="2"/>
  <c r="L5618" i="2"/>
  <c r="Z5618" i="2"/>
  <c r="AD5618" i="2"/>
  <c r="K5619" i="2"/>
  <c r="L5619" i="2"/>
  <c r="Z5619" i="2"/>
  <c r="AA5619" i="2" s="1"/>
  <c r="AD5619" i="2"/>
  <c r="K5620" i="2"/>
  <c r="L5620" i="2"/>
  <c r="Z5620" i="2"/>
  <c r="AA5620" i="2" s="1"/>
  <c r="AB5620" i="2"/>
  <c r="AC5620" i="2"/>
  <c r="AD5620" i="2"/>
  <c r="K5621" i="2"/>
  <c r="L5621" i="2"/>
  <c r="Z5621" i="2"/>
  <c r="AB5621" i="2" s="1"/>
  <c r="AA5621" i="2"/>
  <c r="AC5621" i="2"/>
  <c r="AD5621" i="2"/>
  <c r="K5622" i="2"/>
  <c r="L5622" i="2"/>
  <c r="Z5622" i="2"/>
  <c r="AB5622" i="2" s="1"/>
  <c r="AA5622" i="2"/>
  <c r="AC5622" i="2"/>
  <c r="AD5622" i="2"/>
  <c r="K5623" i="2"/>
  <c r="L5623" i="2"/>
  <c r="Z5623" i="2"/>
  <c r="AC5623" i="2" s="1"/>
  <c r="AA5623" i="2"/>
  <c r="AB5623" i="2"/>
  <c r="AD5623" i="2"/>
  <c r="K5624" i="2"/>
  <c r="L5624" i="2"/>
  <c r="Z5624" i="2"/>
  <c r="AC5624" i="2" s="1"/>
  <c r="AA5624" i="2"/>
  <c r="AB5624" i="2"/>
  <c r="AD5624" i="2"/>
  <c r="K5625" i="2"/>
  <c r="L5625" i="2"/>
  <c r="Z5625" i="2"/>
  <c r="AA5625" i="2" s="1"/>
  <c r="AD5625" i="2"/>
  <c r="K5626" i="2"/>
  <c r="L5626" i="2"/>
  <c r="Z5626" i="2"/>
  <c r="AC5626" i="2" s="1"/>
  <c r="AA5626" i="2"/>
  <c r="AD5626" i="2"/>
  <c r="K5627" i="2"/>
  <c r="L5627" i="2"/>
  <c r="Z5627" i="2"/>
  <c r="AA5627" i="2" s="1"/>
  <c r="AB5627" i="2"/>
  <c r="AC5627" i="2"/>
  <c r="AD5627" i="2"/>
  <c r="K5628" i="2"/>
  <c r="L5628" i="2"/>
  <c r="Z5628" i="2"/>
  <c r="AB5628" i="2" s="1"/>
  <c r="AD5628" i="2"/>
  <c r="K5629" i="2"/>
  <c r="L5629" i="2"/>
  <c r="Z5629" i="2"/>
  <c r="AA5629" i="2" s="1"/>
  <c r="AB5629" i="2"/>
  <c r="AD5629" i="2"/>
  <c r="K5630" i="2"/>
  <c r="L5630" i="2"/>
  <c r="Z5630" i="2"/>
  <c r="AD5630" i="2"/>
  <c r="K5631" i="2"/>
  <c r="L5631" i="2"/>
  <c r="Z5631" i="2"/>
  <c r="AA5631" i="2" s="1"/>
  <c r="AD5631" i="2"/>
  <c r="K5632" i="2"/>
  <c r="L5632" i="2"/>
  <c r="Z5632" i="2"/>
  <c r="AB5632" i="2"/>
  <c r="AD5632" i="2"/>
  <c r="K5633" i="2"/>
  <c r="L5633" i="2"/>
  <c r="Z5633" i="2"/>
  <c r="AB5633" i="2" s="1"/>
  <c r="AD5633" i="2"/>
  <c r="K5634" i="2"/>
  <c r="L5634" i="2"/>
  <c r="Z5634" i="2"/>
  <c r="AB5634" i="2" s="1"/>
  <c r="AA5634" i="2"/>
  <c r="AC5634" i="2"/>
  <c r="AD5634" i="2"/>
  <c r="K5635" i="2"/>
  <c r="L5635" i="2"/>
  <c r="Z5635" i="2"/>
  <c r="AC5635" i="2" s="1"/>
  <c r="AA5635" i="2"/>
  <c r="AB5635" i="2"/>
  <c r="AD5635" i="2"/>
  <c r="K5636" i="2"/>
  <c r="L5636" i="2"/>
  <c r="Z5636" i="2"/>
  <c r="AB5636" i="2" s="1"/>
  <c r="AA5636" i="2"/>
  <c r="AC5636" i="2"/>
  <c r="AD5636" i="2"/>
  <c r="K5637" i="2"/>
  <c r="L5637" i="2"/>
  <c r="Z5637" i="2"/>
  <c r="AA5637" i="2" s="1"/>
  <c r="AD5637" i="2"/>
  <c r="K5638" i="2"/>
  <c r="L5638" i="2"/>
  <c r="Z5638" i="2"/>
  <c r="AC5638" i="2" s="1"/>
  <c r="AA5638" i="2"/>
  <c r="AB5638" i="2"/>
  <c r="AD5638" i="2"/>
  <c r="K5639" i="2"/>
  <c r="L5639" i="2"/>
  <c r="Z5639" i="2"/>
  <c r="AD5639" i="2"/>
  <c r="K5640" i="2"/>
  <c r="L5640" i="2"/>
  <c r="Z5640" i="2"/>
  <c r="AB5640" i="2" s="1"/>
  <c r="AD5640" i="2"/>
  <c r="K5641" i="2"/>
  <c r="L5641" i="2"/>
  <c r="Z5641" i="2"/>
  <c r="AA5641" i="2" s="1"/>
  <c r="AC5641" i="2"/>
  <c r="AD5641" i="2"/>
  <c r="K5642" i="2"/>
  <c r="L5642" i="2"/>
  <c r="Z5642" i="2"/>
  <c r="AD5642" i="2"/>
  <c r="K5643" i="2"/>
  <c r="L5643" i="2"/>
  <c r="Z5643" i="2"/>
  <c r="AA5643" i="2" s="1"/>
  <c r="AD5643" i="2"/>
  <c r="K5644" i="2"/>
  <c r="L5644" i="2"/>
  <c r="Z5644" i="2"/>
  <c r="AD5644" i="2"/>
  <c r="K5645" i="2"/>
  <c r="L5645" i="2"/>
  <c r="Z5645" i="2"/>
  <c r="AB5645" i="2" s="1"/>
  <c r="AD5645" i="2"/>
  <c r="K5646" i="2"/>
  <c r="L5646" i="2"/>
  <c r="Z5646" i="2"/>
  <c r="AB5646" i="2" s="1"/>
  <c r="AA5646" i="2"/>
  <c r="AC5646" i="2"/>
  <c r="AD5646" i="2"/>
  <c r="K5647" i="2"/>
  <c r="L5647" i="2"/>
  <c r="Z5647" i="2"/>
  <c r="AA5647" i="2" s="1"/>
  <c r="AB5647" i="2"/>
  <c r="AC5647" i="2"/>
  <c r="AD5647" i="2"/>
  <c r="K5648" i="2"/>
  <c r="L5648" i="2"/>
  <c r="Z5648" i="2"/>
  <c r="AC5648" i="2" s="1"/>
  <c r="AA5648" i="2"/>
  <c r="AB5648" i="2"/>
  <c r="AD5648" i="2"/>
  <c r="K5649" i="2"/>
  <c r="L5649" i="2"/>
  <c r="Z5649" i="2"/>
  <c r="AA5649" i="2" s="1"/>
  <c r="AD5649" i="2"/>
  <c r="K5650" i="2"/>
  <c r="L5650" i="2"/>
  <c r="Z5650" i="2"/>
  <c r="AC5650" i="2" s="1"/>
  <c r="AB5650" i="2"/>
  <c r="AD5650" i="2"/>
  <c r="K5651" i="2"/>
  <c r="L5651" i="2"/>
  <c r="Z5651" i="2"/>
  <c r="AC5651" i="2" s="1"/>
  <c r="AD5651" i="2"/>
  <c r="K5652" i="2"/>
  <c r="L5652" i="2"/>
  <c r="Z5652" i="2"/>
  <c r="AB5652" i="2"/>
  <c r="AD5652" i="2"/>
  <c r="K5653" i="2"/>
  <c r="L5653" i="2"/>
  <c r="Z5653" i="2"/>
  <c r="AA5653" i="2" s="1"/>
  <c r="AD5653" i="2"/>
  <c r="K5654" i="2"/>
  <c r="L5654" i="2"/>
  <c r="Z5654" i="2"/>
  <c r="AD5654" i="2"/>
  <c r="K5655" i="2"/>
  <c r="L5655" i="2"/>
  <c r="Z5655" i="2"/>
  <c r="AB5655" i="2" s="1"/>
  <c r="AD5655" i="2"/>
  <c r="K5656" i="2"/>
  <c r="L5656" i="2"/>
  <c r="Z5656" i="2"/>
  <c r="AC5656" i="2"/>
  <c r="AD5656" i="2"/>
  <c r="K5657" i="2"/>
  <c r="L5657" i="2"/>
  <c r="Z5657" i="2"/>
  <c r="AB5657" i="2" s="1"/>
  <c r="AD5657" i="2"/>
  <c r="K5658" i="2"/>
  <c r="L5658" i="2"/>
  <c r="Z5658" i="2"/>
  <c r="AA5658" i="2"/>
  <c r="AD5658" i="2"/>
  <c r="K5659" i="2"/>
  <c r="L5659" i="2"/>
  <c r="Z5659" i="2"/>
  <c r="AC5659" i="2" s="1"/>
  <c r="AD5659" i="2"/>
  <c r="K5660" i="2"/>
  <c r="L5660" i="2"/>
  <c r="Z5660" i="2"/>
  <c r="AA5660" i="2" s="1"/>
  <c r="AB5660" i="2"/>
  <c r="AD5660" i="2"/>
  <c r="K5661" i="2"/>
  <c r="L5661" i="2"/>
  <c r="Z5661" i="2"/>
  <c r="AA5661" i="2" s="1"/>
  <c r="AD5661" i="2"/>
  <c r="K5662" i="2"/>
  <c r="L5662" i="2"/>
  <c r="Z5662" i="2"/>
  <c r="AC5662" i="2" s="1"/>
  <c r="AA5662" i="2"/>
  <c r="AB5662" i="2"/>
  <c r="AD5662" i="2"/>
  <c r="K5663" i="2"/>
  <c r="L5663" i="2"/>
  <c r="Z5663" i="2"/>
  <c r="AC5663" i="2"/>
  <c r="AD5663" i="2"/>
  <c r="K5664" i="2"/>
  <c r="L5664" i="2"/>
  <c r="Z5664" i="2"/>
  <c r="AB5664" i="2" s="1"/>
  <c r="AD5664" i="2"/>
  <c r="K5665" i="2"/>
  <c r="L5665" i="2"/>
  <c r="Z5665" i="2"/>
  <c r="AA5665" i="2" s="1"/>
  <c r="AD5665" i="2"/>
  <c r="K5666" i="2"/>
  <c r="L5666" i="2"/>
  <c r="Z5666" i="2"/>
  <c r="AD5666" i="2"/>
  <c r="K5667" i="2"/>
  <c r="L5667" i="2"/>
  <c r="Z5667" i="2"/>
  <c r="AC5667" i="2" s="1"/>
  <c r="AD5667" i="2"/>
  <c r="K5668" i="2"/>
  <c r="L5668" i="2"/>
  <c r="Z5668" i="2"/>
  <c r="AD5668" i="2"/>
  <c r="K5669" i="2"/>
  <c r="L5669" i="2"/>
  <c r="Z5669" i="2"/>
  <c r="AB5669" i="2" s="1"/>
  <c r="AD5669" i="2"/>
  <c r="K5670" i="2"/>
  <c r="L5670" i="2"/>
  <c r="Z5670" i="2"/>
  <c r="AB5670" i="2" s="1"/>
  <c r="AD5670" i="2"/>
  <c r="K5671" i="2"/>
  <c r="L5671" i="2"/>
  <c r="Z5671" i="2"/>
  <c r="AD5671" i="2"/>
  <c r="K5672" i="2"/>
  <c r="L5672" i="2"/>
  <c r="Z5672" i="2"/>
  <c r="AC5672" i="2" s="1"/>
  <c r="AD5672" i="2"/>
  <c r="K5673" i="2"/>
  <c r="L5673" i="2"/>
  <c r="Z5673" i="2"/>
  <c r="AA5673" i="2" s="1"/>
  <c r="AD5673" i="2"/>
  <c r="K5674" i="2"/>
  <c r="L5674" i="2"/>
  <c r="Z5674" i="2"/>
  <c r="AC5674" i="2" s="1"/>
  <c r="AB5674" i="2"/>
  <c r="AD5674" i="2"/>
  <c r="K5675" i="2"/>
  <c r="L5675" i="2"/>
  <c r="Z5675" i="2"/>
  <c r="AD5675" i="2"/>
  <c r="K5676" i="2"/>
  <c r="L5676" i="2"/>
  <c r="Z5676" i="2"/>
  <c r="AB5676" i="2"/>
  <c r="AD5676" i="2"/>
  <c r="K5677" i="2"/>
  <c r="L5677" i="2"/>
  <c r="Z5677" i="2"/>
  <c r="AA5677" i="2" s="1"/>
  <c r="AD5677" i="2"/>
  <c r="K5678" i="2"/>
  <c r="L5678" i="2"/>
  <c r="Z5678" i="2"/>
  <c r="AD5678" i="2"/>
  <c r="K5679" i="2"/>
  <c r="L5679" i="2"/>
  <c r="Z5679" i="2"/>
  <c r="AC5679" i="2" s="1"/>
  <c r="AD5679" i="2"/>
  <c r="K5680" i="2"/>
  <c r="L5680" i="2"/>
  <c r="Z5680" i="2"/>
  <c r="AA5680" i="2" s="1"/>
  <c r="AC5680" i="2"/>
  <c r="AD5680" i="2"/>
  <c r="K5681" i="2"/>
  <c r="L5681" i="2"/>
  <c r="Z5681" i="2"/>
  <c r="AB5681" i="2" s="1"/>
  <c r="AD5681" i="2"/>
  <c r="K5682" i="2"/>
  <c r="L5682" i="2"/>
  <c r="Z5682" i="2"/>
  <c r="AD5682" i="2"/>
  <c r="K5683" i="2"/>
  <c r="L5683" i="2"/>
  <c r="Z5683" i="2"/>
  <c r="AB5683" i="2" s="1"/>
  <c r="AA5683" i="2"/>
  <c r="AC5683" i="2"/>
  <c r="AD5683" i="2"/>
  <c r="K5684" i="2"/>
  <c r="L5684" i="2"/>
  <c r="Z5684" i="2"/>
  <c r="AA5684" i="2"/>
  <c r="AB5684" i="2"/>
  <c r="AC5684" i="2"/>
  <c r="AD5684" i="2"/>
  <c r="K5685" i="2"/>
  <c r="L5685" i="2"/>
  <c r="Z5685" i="2"/>
  <c r="AA5685" i="2" s="1"/>
  <c r="AD5685" i="2"/>
  <c r="K5686" i="2"/>
  <c r="L5686" i="2"/>
  <c r="Z5686" i="2"/>
  <c r="AC5686" i="2" s="1"/>
  <c r="AD5686" i="2"/>
  <c r="K5687" i="2"/>
  <c r="L5687" i="2"/>
  <c r="Z5687" i="2"/>
  <c r="AB5687" i="2" s="1"/>
  <c r="AD5687" i="2"/>
  <c r="K5688" i="2"/>
  <c r="L5688" i="2"/>
  <c r="Z5688" i="2"/>
  <c r="AB5688" i="2" s="1"/>
  <c r="AD5688" i="2"/>
  <c r="K5689" i="2"/>
  <c r="L5689" i="2"/>
  <c r="Z5689" i="2"/>
  <c r="AA5689" i="2" s="1"/>
  <c r="AD5689" i="2"/>
  <c r="K5690" i="2"/>
  <c r="L5690" i="2"/>
  <c r="Z5690" i="2"/>
  <c r="AD5690" i="2"/>
  <c r="K5691" i="2"/>
  <c r="L5691" i="2"/>
  <c r="Z5691" i="2"/>
  <c r="AA5691" i="2" s="1"/>
  <c r="AD5691" i="2"/>
  <c r="K5692" i="2"/>
  <c r="L5692" i="2"/>
  <c r="Z5692" i="2"/>
  <c r="AA5692" i="2" s="1"/>
  <c r="AB5692" i="2"/>
  <c r="AD5692" i="2"/>
  <c r="K5693" i="2"/>
  <c r="L5693" i="2"/>
  <c r="Z5693" i="2"/>
  <c r="AD5693" i="2"/>
  <c r="K5694" i="2"/>
  <c r="L5694" i="2"/>
  <c r="Z5694" i="2"/>
  <c r="AC5694" i="2"/>
  <c r="AD5694" i="2"/>
  <c r="K5695" i="2"/>
  <c r="L5695" i="2"/>
  <c r="Z5695" i="2"/>
  <c r="AD5695" i="2"/>
  <c r="K5696" i="2"/>
  <c r="L5696" i="2"/>
  <c r="Z5696" i="2"/>
  <c r="AB5696" i="2" s="1"/>
  <c r="AA5696" i="2"/>
  <c r="AC5696" i="2"/>
  <c r="AD5696" i="2"/>
  <c r="K5697" i="2"/>
  <c r="L5697" i="2"/>
  <c r="Z5697" i="2"/>
  <c r="AA5697" i="2" s="1"/>
  <c r="AD5697" i="2"/>
  <c r="K5698" i="2"/>
  <c r="L5698" i="2"/>
  <c r="Z5698" i="2"/>
  <c r="AB5698" i="2" s="1"/>
  <c r="AD5698" i="2"/>
  <c r="K5699" i="2"/>
  <c r="L5699" i="2"/>
  <c r="Z5699" i="2"/>
  <c r="AD5699" i="2"/>
  <c r="K5700" i="2"/>
  <c r="L5700" i="2"/>
  <c r="Z5700" i="2"/>
  <c r="AB5700" i="2" s="1"/>
  <c r="AD5700" i="2"/>
  <c r="K5701" i="2"/>
  <c r="L5701" i="2"/>
  <c r="Z5701" i="2"/>
  <c r="AA5701" i="2" s="1"/>
  <c r="AD5701" i="2"/>
  <c r="K5702" i="2"/>
  <c r="L5702" i="2"/>
  <c r="Z5702" i="2"/>
  <c r="AD5702" i="2"/>
  <c r="K5703" i="2"/>
  <c r="L5703" i="2"/>
  <c r="Z5703" i="2"/>
  <c r="AA5703" i="2" s="1"/>
  <c r="AD5703" i="2"/>
  <c r="K5704" i="2"/>
  <c r="L5704" i="2"/>
  <c r="Z5704" i="2"/>
  <c r="AC5704" i="2"/>
  <c r="AD5704" i="2"/>
  <c r="K5705" i="2"/>
  <c r="L5705" i="2"/>
  <c r="Z5705" i="2"/>
  <c r="AA5705" i="2"/>
  <c r="AD5705" i="2"/>
  <c r="K5706" i="2"/>
  <c r="L5706" i="2"/>
  <c r="Z5706" i="2"/>
  <c r="AD5706" i="2"/>
  <c r="K5707" i="2"/>
  <c r="L5707" i="2"/>
  <c r="Z5707" i="2"/>
  <c r="AA5707" i="2"/>
  <c r="AB5707" i="2"/>
  <c r="AC5707" i="2"/>
  <c r="AD5707" i="2"/>
  <c r="K5708" i="2"/>
  <c r="L5708" i="2"/>
  <c r="Z5708" i="2"/>
  <c r="AC5708" i="2" s="1"/>
  <c r="AD5708" i="2"/>
  <c r="K5709" i="2"/>
  <c r="L5709" i="2"/>
  <c r="Z5709" i="2"/>
  <c r="AA5709" i="2" s="1"/>
  <c r="AD5709" i="2"/>
  <c r="K5710" i="2"/>
  <c r="L5710" i="2"/>
  <c r="Z5710" i="2"/>
  <c r="AD5710" i="2"/>
  <c r="K5711" i="2"/>
  <c r="L5711" i="2"/>
  <c r="Z5711" i="2"/>
  <c r="AA5711" i="2" s="1"/>
  <c r="AD5711" i="2"/>
  <c r="K5712" i="2"/>
  <c r="L5712" i="2"/>
  <c r="Z5712" i="2"/>
  <c r="AB5712" i="2" s="1"/>
  <c r="AD5712" i="2"/>
  <c r="K5713" i="2"/>
  <c r="L5713" i="2"/>
  <c r="Z5713" i="2"/>
  <c r="AD5713" i="2"/>
  <c r="K5714" i="2"/>
  <c r="L5714" i="2"/>
  <c r="Z5714" i="2"/>
  <c r="AD5714" i="2"/>
  <c r="K5715" i="2"/>
  <c r="L5715" i="2"/>
  <c r="Z5715" i="2"/>
  <c r="AB5715" i="2" s="1"/>
  <c r="AD5715" i="2"/>
  <c r="K5716" i="2"/>
  <c r="L5716" i="2"/>
  <c r="Z5716" i="2"/>
  <c r="AC5716" i="2"/>
  <c r="AD5716" i="2"/>
  <c r="K5717" i="2"/>
  <c r="L5717" i="2"/>
  <c r="Z5717" i="2"/>
  <c r="AB5717" i="2" s="1"/>
  <c r="AA5717" i="2"/>
  <c r="AD5717" i="2"/>
  <c r="K5718" i="2"/>
  <c r="L5718" i="2"/>
  <c r="Z5718" i="2"/>
  <c r="AD5718" i="2"/>
  <c r="K5719" i="2"/>
  <c r="L5719" i="2"/>
  <c r="Z5719" i="2"/>
  <c r="AB5719" i="2" s="1"/>
  <c r="AD5719" i="2"/>
  <c r="K5720" i="2"/>
  <c r="L5720" i="2"/>
  <c r="Z5720" i="2"/>
  <c r="AB5720" i="2" s="1"/>
  <c r="AD5720" i="2"/>
  <c r="K5721" i="2"/>
  <c r="L5721" i="2"/>
  <c r="Z5721" i="2"/>
  <c r="AA5721" i="2" s="1"/>
  <c r="AD5721" i="2"/>
  <c r="K5722" i="2"/>
  <c r="L5722" i="2"/>
  <c r="Z5722" i="2"/>
  <c r="AC5722" i="2" s="1"/>
  <c r="AD5722" i="2"/>
  <c r="K5723" i="2"/>
  <c r="L5723" i="2"/>
  <c r="Z5723" i="2"/>
  <c r="AD5723" i="2"/>
  <c r="K5724" i="2"/>
  <c r="L5724" i="2"/>
  <c r="Z5724" i="2"/>
  <c r="AB5724" i="2" s="1"/>
  <c r="AD5724" i="2"/>
  <c r="K5725" i="2"/>
  <c r="L5725" i="2"/>
  <c r="Z5725" i="2"/>
  <c r="AD5725" i="2"/>
  <c r="K5726" i="2"/>
  <c r="L5726" i="2"/>
  <c r="Z5726" i="2"/>
  <c r="AD5726" i="2"/>
  <c r="K5727" i="2"/>
  <c r="L5727" i="2"/>
  <c r="Z5727" i="2"/>
  <c r="AA5727" i="2" s="1"/>
  <c r="AC5727" i="2"/>
  <c r="AD5727" i="2"/>
  <c r="K5728" i="2"/>
  <c r="L5728" i="2"/>
  <c r="Z5728" i="2"/>
  <c r="AC5728" i="2"/>
  <c r="AD5728" i="2"/>
  <c r="K5729" i="2"/>
  <c r="L5729" i="2"/>
  <c r="Z5729" i="2"/>
  <c r="AB5729" i="2" s="1"/>
  <c r="AD5729" i="2"/>
  <c r="K5730" i="2"/>
  <c r="L5730" i="2"/>
  <c r="Z5730" i="2"/>
  <c r="AD5730" i="2"/>
  <c r="K5731" i="2"/>
  <c r="L5731" i="2"/>
  <c r="Z5731" i="2"/>
  <c r="AA5731" i="2" s="1"/>
  <c r="AD5731" i="2"/>
  <c r="K5732" i="2"/>
  <c r="L5732" i="2"/>
  <c r="Z5732" i="2"/>
  <c r="AA5732" i="2" s="1"/>
  <c r="AC5732" i="2"/>
  <c r="AD5732" i="2"/>
  <c r="K5733" i="2"/>
  <c r="L5733" i="2"/>
  <c r="Z5733" i="2"/>
  <c r="AA5733" i="2" s="1"/>
  <c r="AD5733" i="2"/>
  <c r="K5734" i="2"/>
  <c r="L5734" i="2"/>
  <c r="Z5734" i="2"/>
  <c r="AC5734" i="2" s="1"/>
  <c r="AD5734" i="2"/>
  <c r="K5735" i="2"/>
  <c r="L5735" i="2"/>
  <c r="Z5735" i="2"/>
  <c r="AA5735" i="2"/>
  <c r="AB5735" i="2"/>
  <c r="AC5735" i="2"/>
  <c r="AD5735" i="2"/>
  <c r="K5736" i="2"/>
  <c r="L5736" i="2"/>
  <c r="Z5736" i="2"/>
  <c r="AB5736" i="2" s="1"/>
  <c r="AD5736" i="2"/>
  <c r="K5737" i="2"/>
  <c r="L5737" i="2"/>
  <c r="Z5737" i="2"/>
  <c r="AA5737" i="2" s="1"/>
  <c r="AC5737" i="2"/>
  <c r="AD5737" i="2"/>
  <c r="K5738" i="2"/>
  <c r="L5738" i="2"/>
  <c r="Z5738" i="2"/>
  <c r="AD5738" i="2"/>
  <c r="K5739" i="2"/>
  <c r="L5739" i="2"/>
  <c r="Z5739" i="2"/>
  <c r="AA5739" i="2" s="1"/>
  <c r="AD5739" i="2"/>
  <c r="K5740" i="2"/>
  <c r="L5740" i="2"/>
  <c r="Z5740" i="2"/>
  <c r="AA5740" i="2" s="1"/>
  <c r="AD5740" i="2"/>
  <c r="K5741" i="2"/>
  <c r="L5741" i="2"/>
  <c r="Z5741" i="2"/>
  <c r="AB5741" i="2" s="1"/>
  <c r="AC5741" i="2"/>
  <c r="AD5741" i="2"/>
  <c r="K5742" i="2"/>
  <c r="L5742" i="2"/>
  <c r="Z5742" i="2"/>
  <c r="AB5742" i="2" s="1"/>
  <c r="AD5742" i="2"/>
  <c r="K5743" i="2"/>
  <c r="L5743" i="2"/>
  <c r="Z5743" i="2"/>
  <c r="AD5743" i="2"/>
  <c r="K5744" i="2"/>
  <c r="L5744" i="2"/>
  <c r="Z5744" i="2"/>
  <c r="AA5744" i="2"/>
  <c r="AB5744" i="2"/>
  <c r="AC5744" i="2"/>
  <c r="AD5744" i="2"/>
  <c r="K5745" i="2"/>
  <c r="L5745" i="2"/>
  <c r="Z5745" i="2"/>
  <c r="AA5745" i="2" s="1"/>
  <c r="AD5745" i="2"/>
  <c r="K5746" i="2"/>
  <c r="L5746" i="2"/>
  <c r="Z5746" i="2"/>
  <c r="AC5746" i="2" s="1"/>
  <c r="AD5746" i="2"/>
  <c r="K5747" i="2"/>
  <c r="L5747" i="2"/>
  <c r="Z5747" i="2"/>
  <c r="AA5747" i="2" s="1"/>
  <c r="AB5747" i="2"/>
  <c r="AC5747" i="2"/>
  <c r="AD5747" i="2"/>
  <c r="K5748" i="2"/>
  <c r="L5748" i="2"/>
  <c r="Z5748" i="2"/>
  <c r="AD5748" i="2"/>
  <c r="K5749" i="2"/>
  <c r="L5749" i="2"/>
  <c r="Z5749" i="2"/>
  <c r="AA5749" i="2" s="1"/>
  <c r="AD5749" i="2"/>
  <c r="K5750" i="2"/>
  <c r="L5750" i="2"/>
  <c r="Z5750" i="2"/>
  <c r="AD5750" i="2"/>
  <c r="K5751" i="2"/>
  <c r="L5751" i="2"/>
  <c r="Z5751" i="2"/>
  <c r="AD5751" i="2"/>
  <c r="K5752" i="2"/>
  <c r="L5752" i="2"/>
  <c r="Z5752" i="2"/>
  <c r="AD5752" i="2"/>
  <c r="K5753" i="2"/>
  <c r="L5753" i="2"/>
  <c r="Z5753" i="2"/>
  <c r="AB5753" i="2" s="1"/>
  <c r="AD5753" i="2"/>
  <c r="K5754" i="2"/>
  <c r="L5754" i="2"/>
  <c r="Z5754" i="2"/>
  <c r="AB5754" i="2" s="1"/>
  <c r="AD5754" i="2"/>
  <c r="K5755" i="2"/>
  <c r="L5755" i="2"/>
  <c r="Z5755" i="2"/>
  <c r="AD5755" i="2"/>
  <c r="K5756" i="2"/>
  <c r="L5756" i="2"/>
  <c r="Z5756" i="2"/>
  <c r="AB5756" i="2"/>
  <c r="AD5756" i="2"/>
  <c r="K5757" i="2"/>
  <c r="L5757" i="2"/>
  <c r="Z5757" i="2"/>
  <c r="AA5757" i="2" s="1"/>
  <c r="AD5757" i="2"/>
  <c r="K5758" i="2"/>
  <c r="L5758" i="2"/>
  <c r="Z5758" i="2"/>
  <c r="AC5758" i="2" s="1"/>
  <c r="AD5758" i="2"/>
  <c r="K5759" i="2"/>
  <c r="L5759" i="2"/>
  <c r="Z5759" i="2"/>
  <c r="AA5759" i="2"/>
  <c r="AD5759" i="2"/>
  <c r="K5760" i="2"/>
  <c r="L5760" i="2"/>
  <c r="Z5760" i="2"/>
  <c r="AB5760" i="2"/>
  <c r="AD5760" i="2"/>
  <c r="K5761" i="2"/>
  <c r="L5761" i="2"/>
  <c r="Z5761" i="2"/>
  <c r="AA5761" i="2" s="1"/>
  <c r="AD5761" i="2"/>
  <c r="K5762" i="2"/>
  <c r="L5762" i="2"/>
  <c r="Z5762" i="2"/>
  <c r="AD5762" i="2"/>
  <c r="K5763" i="2"/>
  <c r="L5763" i="2"/>
  <c r="Z5763" i="2"/>
  <c r="AA5763" i="2" s="1"/>
  <c r="AD5763" i="2"/>
  <c r="K5764" i="2"/>
  <c r="L5764" i="2"/>
  <c r="Z5764" i="2"/>
  <c r="AB5764" i="2"/>
  <c r="AD5764" i="2"/>
  <c r="K5765" i="2"/>
  <c r="L5765" i="2"/>
  <c r="Z5765" i="2"/>
  <c r="AB5765" i="2" s="1"/>
  <c r="AD5765" i="2"/>
  <c r="K5766" i="2"/>
  <c r="L5766" i="2"/>
  <c r="Z5766" i="2"/>
  <c r="AB5766" i="2" s="1"/>
  <c r="AA5766" i="2"/>
  <c r="AC5766" i="2"/>
  <c r="AD5766" i="2"/>
  <c r="K5767" i="2"/>
  <c r="L5767" i="2"/>
  <c r="Z5767" i="2"/>
  <c r="AB5767" i="2" s="1"/>
  <c r="AD5767" i="2"/>
  <c r="K5768" i="2"/>
  <c r="L5768" i="2"/>
  <c r="Z5768" i="2"/>
  <c r="AD5768" i="2"/>
  <c r="K5769" i="2"/>
  <c r="L5769" i="2"/>
  <c r="Z5769" i="2"/>
  <c r="AA5769" i="2" s="1"/>
  <c r="AD5769" i="2"/>
  <c r="K5770" i="2"/>
  <c r="L5770" i="2"/>
  <c r="Z5770" i="2"/>
  <c r="AC5770" i="2" s="1"/>
  <c r="AD5770" i="2"/>
  <c r="K5771" i="2"/>
  <c r="L5771" i="2"/>
  <c r="Z5771" i="2"/>
  <c r="AC5771" i="2" s="1"/>
  <c r="AA5771" i="2"/>
  <c r="AB5771" i="2"/>
  <c r="AD5771" i="2"/>
  <c r="K5772" i="2"/>
  <c r="L5772" i="2"/>
  <c r="Z5772" i="2"/>
  <c r="AB5772" i="2" s="1"/>
  <c r="AD5772" i="2"/>
  <c r="K5773" i="2"/>
  <c r="L5773" i="2"/>
  <c r="Z5773" i="2"/>
  <c r="AA5773" i="2" s="1"/>
  <c r="AC5773" i="2"/>
  <c r="AD5773" i="2"/>
  <c r="K5774" i="2"/>
  <c r="L5774" i="2"/>
  <c r="Z5774" i="2"/>
  <c r="AD5774" i="2"/>
  <c r="K5775" i="2"/>
  <c r="L5775" i="2"/>
  <c r="Z5775" i="2"/>
  <c r="AD5775" i="2"/>
  <c r="K5776" i="2"/>
  <c r="L5776" i="2"/>
  <c r="Z5776" i="2"/>
  <c r="AA5776" i="2" s="1"/>
  <c r="AD5776" i="2"/>
  <c r="K5777" i="2"/>
  <c r="L5777" i="2"/>
  <c r="Z5777" i="2"/>
  <c r="AB5777" i="2" s="1"/>
  <c r="AC5777" i="2"/>
  <c r="AD5777" i="2"/>
  <c r="K5778" i="2"/>
  <c r="L5778" i="2"/>
  <c r="Z5778" i="2"/>
  <c r="AB5778" i="2" s="1"/>
  <c r="AA5778" i="2"/>
  <c r="AD5778" i="2"/>
  <c r="K5779" i="2"/>
  <c r="L5779" i="2"/>
  <c r="Z5779" i="2"/>
  <c r="AD5779" i="2"/>
  <c r="K5780" i="2"/>
  <c r="L5780" i="2"/>
  <c r="Z5780" i="2"/>
  <c r="AA5780" i="2" s="1"/>
  <c r="AD5780" i="2"/>
  <c r="K5781" i="2"/>
  <c r="L5781" i="2"/>
  <c r="Z5781" i="2"/>
  <c r="AA5781" i="2" s="1"/>
  <c r="AD5781" i="2"/>
  <c r="K5782" i="2"/>
  <c r="L5782" i="2"/>
  <c r="Z5782" i="2"/>
  <c r="AC5782" i="2" s="1"/>
  <c r="AA5782" i="2"/>
  <c r="AD5782" i="2"/>
  <c r="K5783" i="2"/>
  <c r="L5783" i="2"/>
  <c r="Z5783" i="2"/>
  <c r="AA5783" i="2"/>
  <c r="AD5783" i="2"/>
  <c r="K5784" i="2"/>
  <c r="L5784" i="2"/>
  <c r="Z5784" i="2"/>
  <c r="AB5784" i="2" s="1"/>
  <c r="AD5784" i="2"/>
  <c r="K5785" i="2"/>
  <c r="L5785" i="2"/>
  <c r="Z5785" i="2"/>
  <c r="AA5785" i="2" s="1"/>
  <c r="AD5785" i="2"/>
  <c r="K5786" i="2"/>
  <c r="L5786" i="2"/>
  <c r="Z5786" i="2"/>
  <c r="AD5786" i="2"/>
  <c r="K5787" i="2"/>
  <c r="L5787" i="2"/>
  <c r="Z5787" i="2"/>
  <c r="AA5787" i="2" s="1"/>
  <c r="AD5787" i="2"/>
  <c r="K5788" i="2"/>
  <c r="L5788" i="2"/>
  <c r="Z5788" i="2"/>
  <c r="AA5788" i="2" s="1"/>
  <c r="AD5788" i="2"/>
  <c r="K5789" i="2"/>
  <c r="L5789" i="2"/>
  <c r="Z5789" i="2"/>
  <c r="AB5789" i="2" s="1"/>
  <c r="AD5789" i="2"/>
  <c r="K5790" i="2"/>
  <c r="L5790" i="2"/>
  <c r="Z5790" i="2"/>
  <c r="AD5790" i="2"/>
  <c r="K5791" i="2"/>
  <c r="L5791" i="2"/>
  <c r="Z5791" i="2"/>
  <c r="AB5791" i="2" s="1"/>
  <c r="AA5791" i="2"/>
  <c r="AC5791" i="2"/>
  <c r="AD5791" i="2"/>
  <c r="K5792" i="2"/>
  <c r="L5792" i="2"/>
  <c r="Z5792" i="2"/>
  <c r="AD5792" i="2"/>
  <c r="K5793" i="2"/>
  <c r="L5793" i="2"/>
  <c r="Z5793" i="2"/>
  <c r="AA5793" i="2" s="1"/>
  <c r="AD5793" i="2"/>
  <c r="K5794" i="2"/>
  <c r="L5794" i="2"/>
  <c r="Z5794" i="2"/>
  <c r="AD5794" i="2"/>
  <c r="K5795" i="2"/>
  <c r="L5795" i="2"/>
  <c r="Z5795" i="2"/>
  <c r="AA5795" i="2"/>
  <c r="AB5795" i="2"/>
  <c r="AC5795" i="2"/>
  <c r="AD5795" i="2"/>
  <c r="K5796" i="2"/>
  <c r="L5796" i="2"/>
  <c r="Z5796" i="2"/>
  <c r="AB5796" i="2" s="1"/>
  <c r="AD5796" i="2"/>
  <c r="K5797" i="2"/>
  <c r="L5797" i="2"/>
  <c r="Z5797" i="2"/>
  <c r="AA5797" i="2" s="1"/>
  <c r="AD5797" i="2"/>
  <c r="K5798" i="2"/>
  <c r="L5798" i="2"/>
  <c r="Z5798" i="2"/>
  <c r="AD5798" i="2"/>
  <c r="K5799" i="2"/>
  <c r="L5799" i="2"/>
  <c r="Z5799" i="2"/>
  <c r="AB5799" i="2" s="1"/>
  <c r="AA5799" i="2"/>
  <c r="AD5799" i="2"/>
  <c r="K5800" i="2"/>
  <c r="L5800" i="2"/>
  <c r="Z5800" i="2"/>
  <c r="AA5800" i="2" s="1"/>
  <c r="AD5800" i="2"/>
  <c r="K5801" i="2"/>
  <c r="L5801" i="2"/>
  <c r="Z5801" i="2"/>
  <c r="AB5801" i="2" s="1"/>
  <c r="AD5801" i="2"/>
  <c r="K5802" i="2"/>
  <c r="L5802" i="2"/>
  <c r="Z5802" i="2"/>
  <c r="AD5802" i="2"/>
  <c r="K5803" i="2"/>
  <c r="L5803" i="2"/>
  <c r="Z5803" i="2"/>
  <c r="AC5803" i="2"/>
  <c r="AD5803" i="2"/>
  <c r="K5804" i="2"/>
  <c r="L5804" i="2"/>
  <c r="Z5804" i="2"/>
  <c r="AA5804" i="2" s="1"/>
  <c r="AD5804" i="2"/>
  <c r="K5805" i="2"/>
  <c r="L5805" i="2"/>
  <c r="Z5805" i="2"/>
  <c r="AA5805" i="2" s="1"/>
  <c r="AD5805" i="2"/>
  <c r="K5806" i="2"/>
  <c r="L5806" i="2"/>
  <c r="Z5806" i="2"/>
  <c r="AC5806" i="2" s="1"/>
  <c r="AA5806" i="2"/>
  <c r="AB5806" i="2"/>
  <c r="AD5806" i="2"/>
  <c r="K5807" i="2"/>
  <c r="L5807" i="2"/>
  <c r="Z5807" i="2"/>
  <c r="AA5807" i="2" s="1"/>
  <c r="AD5807" i="2"/>
  <c r="K5808" i="2"/>
  <c r="L5808" i="2"/>
  <c r="Z5808" i="2"/>
  <c r="AB5808" i="2"/>
  <c r="AD5808" i="2"/>
  <c r="K5809" i="2"/>
  <c r="L5809" i="2"/>
  <c r="Z5809" i="2"/>
  <c r="AA5809" i="2" s="1"/>
  <c r="AD5809" i="2"/>
  <c r="K5810" i="2"/>
  <c r="L5810" i="2"/>
  <c r="Z5810" i="2"/>
  <c r="AD5810" i="2"/>
  <c r="K5811" i="2"/>
  <c r="L5811" i="2"/>
  <c r="Z5811" i="2"/>
  <c r="AC5811" i="2" s="1"/>
  <c r="AD5811" i="2"/>
  <c r="K5812" i="2"/>
  <c r="L5812" i="2"/>
  <c r="Z5812" i="2"/>
  <c r="AA5812" i="2" s="1"/>
  <c r="AB5812" i="2"/>
  <c r="AD5812" i="2"/>
  <c r="K5813" i="2"/>
  <c r="L5813" i="2"/>
  <c r="Z5813" i="2"/>
  <c r="AB5813" i="2" s="1"/>
  <c r="AA5813" i="2"/>
  <c r="AD5813" i="2"/>
  <c r="K5814" i="2"/>
  <c r="L5814" i="2"/>
  <c r="Z5814" i="2"/>
  <c r="AD5814" i="2"/>
  <c r="K5815" i="2"/>
  <c r="L5815" i="2"/>
  <c r="Z5815" i="2"/>
  <c r="AA5815" i="2"/>
  <c r="AB5815" i="2"/>
  <c r="AC5815" i="2"/>
  <c r="AD5815" i="2"/>
  <c r="K5816" i="2"/>
  <c r="L5816" i="2"/>
  <c r="Z5816" i="2"/>
  <c r="AB5816" i="2" s="1"/>
  <c r="AA5816" i="2"/>
  <c r="AC5816" i="2"/>
  <c r="AD5816" i="2"/>
  <c r="K5817" i="2"/>
  <c r="L5817" i="2"/>
  <c r="Z5817" i="2"/>
  <c r="AA5817" i="2" s="1"/>
  <c r="AD5817" i="2"/>
  <c r="K5818" i="2"/>
  <c r="L5818" i="2"/>
  <c r="Z5818" i="2"/>
  <c r="AC5818" i="2" s="1"/>
  <c r="AB5818" i="2"/>
  <c r="AD5818" i="2"/>
  <c r="K5819" i="2"/>
  <c r="L5819" i="2"/>
  <c r="Z5819" i="2"/>
  <c r="AD5819" i="2"/>
  <c r="K5820" i="2"/>
  <c r="L5820" i="2"/>
  <c r="Z5820" i="2"/>
  <c r="AB5820" i="2"/>
  <c r="AD5820" i="2"/>
  <c r="K5821" i="2"/>
  <c r="L5821" i="2"/>
  <c r="Z5821" i="2"/>
  <c r="AD5821" i="2"/>
  <c r="K5822" i="2"/>
  <c r="L5822" i="2"/>
  <c r="Z5822" i="2"/>
  <c r="AD5822" i="2"/>
  <c r="K5823" i="2"/>
  <c r="L5823" i="2"/>
  <c r="Z5823" i="2"/>
  <c r="AD5823" i="2"/>
  <c r="K5824" i="2"/>
  <c r="L5824" i="2"/>
  <c r="Z5824" i="2"/>
  <c r="AA5824" i="2" s="1"/>
  <c r="AC5824" i="2"/>
  <c r="AD5824" i="2"/>
  <c r="K5825" i="2"/>
  <c r="L5825" i="2"/>
  <c r="Z5825" i="2"/>
  <c r="AB5825" i="2" s="1"/>
  <c r="AD5825" i="2"/>
  <c r="K5826" i="2"/>
  <c r="L5826" i="2"/>
  <c r="Z5826" i="2"/>
  <c r="AA5826" i="2"/>
  <c r="AD5826" i="2"/>
  <c r="K5827" i="2"/>
  <c r="L5827" i="2"/>
  <c r="Z5827" i="2"/>
  <c r="AA5827" i="2"/>
  <c r="AB5827" i="2"/>
  <c r="AC5827" i="2"/>
  <c r="AD5827" i="2"/>
  <c r="K5828" i="2"/>
  <c r="L5828" i="2"/>
  <c r="Z5828" i="2"/>
  <c r="AD5828" i="2"/>
  <c r="K5829" i="2"/>
  <c r="L5829" i="2"/>
  <c r="Z5829" i="2"/>
  <c r="AA5829" i="2" s="1"/>
  <c r="AD5829" i="2"/>
  <c r="K5830" i="2"/>
  <c r="L5830" i="2"/>
  <c r="Z5830" i="2"/>
  <c r="AC5830" i="2" s="1"/>
  <c r="AD5830" i="2"/>
  <c r="K5831" i="2"/>
  <c r="L5831" i="2"/>
  <c r="Z5831" i="2"/>
  <c r="AA5831" i="2" s="1"/>
  <c r="AD5831" i="2"/>
  <c r="K5832" i="2"/>
  <c r="L5832" i="2"/>
  <c r="Z5832" i="2"/>
  <c r="AB5832" i="2" s="1"/>
  <c r="AD5832" i="2"/>
  <c r="K5833" i="2"/>
  <c r="L5833" i="2"/>
  <c r="Z5833" i="2"/>
  <c r="AA5833" i="2" s="1"/>
  <c r="AD5833" i="2"/>
  <c r="K5834" i="2"/>
  <c r="L5834" i="2"/>
  <c r="Z5834" i="2"/>
  <c r="AD5834" i="2"/>
  <c r="K5835" i="2"/>
  <c r="L5835" i="2"/>
  <c r="Z5835" i="2"/>
  <c r="AD5835" i="2"/>
  <c r="K5836" i="2"/>
  <c r="L5836" i="2"/>
  <c r="Z5836" i="2"/>
  <c r="AB5836" i="2"/>
  <c r="AD5836" i="2"/>
  <c r="K5837" i="2"/>
  <c r="L5837" i="2"/>
  <c r="Z5837" i="2"/>
  <c r="AB5837" i="2" s="1"/>
  <c r="AA5837" i="2"/>
  <c r="AD5837" i="2"/>
  <c r="K5838" i="2"/>
  <c r="L5838" i="2"/>
  <c r="Z5838" i="2"/>
  <c r="AB5838" i="2" s="1"/>
  <c r="AD5838" i="2"/>
  <c r="K5839" i="2"/>
  <c r="L5839" i="2"/>
  <c r="Z5839" i="2"/>
  <c r="AD5839" i="2"/>
  <c r="K5840" i="2"/>
  <c r="L5840" i="2"/>
  <c r="Z5840" i="2"/>
  <c r="AA5840" i="2"/>
  <c r="AB5840" i="2"/>
  <c r="AC5840" i="2"/>
  <c r="AD5840" i="2"/>
  <c r="K5841" i="2"/>
  <c r="L5841" i="2"/>
  <c r="Z5841" i="2"/>
  <c r="AA5841" i="2" s="1"/>
  <c r="AD5841" i="2"/>
  <c r="K5842" i="2"/>
  <c r="L5842" i="2"/>
  <c r="Z5842" i="2"/>
  <c r="AC5842" i="2" s="1"/>
  <c r="AD5842" i="2"/>
  <c r="K5843" i="2"/>
  <c r="L5843" i="2"/>
  <c r="Z5843" i="2"/>
  <c r="AB5843" i="2" s="1"/>
  <c r="AA5843" i="2"/>
  <c r="AD5843" i="2"/>
  <c r="K5844" i="2"/>
  <c r="L5844" i="2"/>
  <c r="Z5844" i="2"/>
  <c r="AB5844" i="2" s="1"/>
  <c r="AD5844" i="2"/>
  <c r="K5845" i="2"/>
  <c r="L5845" i="2"/>
  <c r="Z5845" i="2"/>
  <c r="AA5845" i="2" s="1"/>
  <c r="AB5845" i="2"/>
  <c r="AD5845" i="2"/>
  <c r="K5846" i="2"/>
  <c r="L5846" i="2"/>
  <c r="Z5846" i="2"/>
  <c r="AD5846" i="2"/>
  <c r="K5847" i="2"/>
  <c r="L5847" i="2"/>
  <c r="Z5847" i="2"/>
  <c r="AB5847" i="2" s="1"/>
  <c r="AD5847" i="2"/>
  <c r="K5848" i="2"/>
  <c r="L5848" i="2"/>
  <c r="Z5848" i="2"/>
  <c r="AA5848" i="2" s="1"/>
  <c r="AC5848" i="2"/>
  <c r="AD5848" i="2"/>
  <c r="K5849" i="2"/>
  <c r="L5849" i="2"/>
  <c r="Z5849" i="2"/>
  <c r="AB5849" i="2" s="1"/>
  <c r="AA5849" i="2"/>
  <c r="AD5849" i="2"/>
  <c r="K5850" i="2"/>
  <c r="L5850" i="2"/>
  <c r="Z5850" i="2"/>
  <c r="AB5850" i="2" s="1"/>
  <c r="AC5850" i="2"/>
  <c r="AD5850" i="2"/>
  <c r="K5851" i="2"/>
  <c r="L5851" i="2"/>
  <c r="Z5851" i="2"/>
  <c r="AD5851" i="2"/>
  <c r="K5852" i="2"/>
  <c r="L5852" i="2"/>
  <c r="Z5852" i="2"/>
  <c r="AA5852" i="2"/>
  <c r="AB5852" i="2"/>
  <c r="AC5852" i="2"/>
  <c r="AD5852" i="2"/>
  <c r="K5853" i="2"/>
  <c r="L5853" i="2"/>
  <c r="Z5853" i="2"/>
  <c r="AA5853" i="2" s="1"/>
  <c r="AD5853" i="2"/>
  <c r="K5854" i="2"/>
  <c r="L5854" i="2"/>
  <c r="Z5854" i="2"/>
  <c r="AC5854" i="2" s="1"/>
  <c r="AD5854" i="2"/>
  <c r="K5855" i="2"/>
  <c r="L5855" i="2"/>
  <c r="Z5855" i="2"/>
  <c r="AB5855" i="2" s="1"/>
  <c r="AA5855" i="2"/>
  <c r="AD5855" i="2"/>
  <c r="K5856" i="2"/>
  <c r="L5856" i="2"/>
  <c r="Z5856" i="2"/>
  <c r="AB5856" i="2" s="1"/>
  <c r="AD5856" i="2"/>
  <c r="K5857" i="2"/>
  <c r="L5857" i="2"/>
  <c r="Z5857" i="2"/>
  <c r="AA5857" i="2" s="1"/>
  <c r="AB5857" i="2"/>
  <c r="AC5857" i="2"/>
  <c r="AD5857" i="2"/>
  <c r="K5858" i="2"/>
  <c r="L5858" i="2"/>
  <c r="Z5858" i="2"/>
  <c r="AD5858" i="2"/>
  <c r="K5859" i="2"/>
  <c r="L5859" i="2"/>
  <c r="Z5859" i="2"/>
  <c r="AA5859" i="2" s="1"/>
  <c r="AD5859" i="2"/>
  <c r="K5860" i="2"/>
  <c r="L5860" i="2"/>
  <c r="Z5860" i="2"/>
  <c r="AD5860" i="2"/>
  <c r="K5861" i="2"/>
  <c r="L5861" i="2"/>
  <c r="Z5861" i="2"/>
  <c r="AB5861" i="2" s="1"/>
  <c r="AD5861" i="2"/>
  <c r="K5862" i="2"/>
  <c r="L5862" i="2"/>
  <c r="Z5862" i="2"/>
  <c r="AD5862" i="2"/>
  <c r="K5863" i="2"/>
  <c r="L5863" i="2"/>
  <c r="Z5863" i="2"/>
  <c r="AA5863" i="2" s="1"/>
  <c r="AD5863" i="2"/>
  <c r="K5864" i="2"/>
  <c r="L5864" i="2"/>
  <c r="Z5864" i="2"/>
  <c r="AA5864" i="2" s="1"/>
  <c r="AD5864" i="2"/>
  <c r="K5865" i="2"/>
  <c r="L5865" i="2"/>
  <c r="Z5865" i="2"/>
  <c r="AA5865" i="2" s="1"/>
  <c r="AD5865" i="2"/>
  <c r="K5866" i="2"/>
  <c r="L5866" i="2"/>
  <c r="Z5866" i="2"/>
  <c r="AC5866" i="2" s="1"/>
  <c r="AD5866" i="2"/>
  <c r="K5867" i="2"/>
  <c r="L5867" i="2"/>
  <c r="Z5867" i="2"/>
  <c r="AB5867" i="2" s="1"/>
  <c r="AD5867" i="2"/>
  <c r="K5868" i="2"/>
  <c r="L5868" i="2"/>
  <c r="Z5868" i="2"/>
  <c r="AB5868" i="2" s="1"/>
  <c r="AD5868" i="2"/>
  <c r="K5869" i="2"/>
  <c r="L5869" i="2"/>
  <c r="Z5869" i="2"/>
  <c r="AC5869" i="2"/>
  <c r="AD5869" i="2"/>
  <c r="K5870" i="2"/>
  <c r="L5870" i="2"/>
  <c r="Z5870" i="2"/>
  <c r="AD5870" i="2"/>
  <c r="K5871" i="2"/>
  <c r="L5871" i="2"/>
  <c r="Z5871" i="2"/>
  <c r="AB5871" i="2"/>
  <c r="AD5871" i="2"/>
  <c r="K5872" i="2"/>
  <c r="L5872" i="2"/>
  <c r="Z5872" i="2"/>
  <c r="AA5872" i="2" s="1"/>
  <c r="AC5872" i="2"/>
  <c r="AD5872" i="2"/>
  <c r="K5873" i="2"/>
  <c r="L5873" i="2"/>
  <c r="Z5873" i="2"/>
  <c r="AA5873" i="2"/>
  <c r="AD5873" i="2"/>
  <c r="K5874" i="2"/>
  <c r="L5874" i="2"/>
  <c r="Z5874" i="2"/>
  <c r="AB5874" i="2" s="1"/>
  <c r="AC5874" i="2"/>
  <c r="AD5874" i="2"/>
  <c r="K5875" i="2"/>
  <c r="L5875" i="2"/>
  <c r="Z5875" i="2"/>
  <c r="AA5875" i="2"/>
  <c r="AD5875" i="2"/>
  <c r="K5876" i="2"/>
  <c r="L5876" i="2"/>
  <c r="Z5876" i="2"/>
  <c r="AB5876" i="2" s="1"/>
  <c r="AC5876" i="2"/>
  <c r="AD5876" i="2"/>
  <c r="K5877" i="2"/>
  <c r="L5877" i="2"/>
  <c r="Z5877" i="2"/>
  <c r="AA5877" i="2" s="1"/>
  <c r="AD5877" i="2"/>
  <c r="K5878" i="2"/>
  <c r="L5878" i="2"/>
  <c r="Z5878" i="2"/>
  <c r="AC5878" i="2" s="1"/>
  <c r="AD5878" i="2"/>
  <c r="K5879" i="2"/>
  <c r="L5879" i="2"/>
  <c r="Z5879" i="2"/>
  <c r="AB5879" i="2" s="1"/>
  <c r="AD5879" i="2"/>
  <c r="K5880" i="2"/>
  <c r="L5880" i="2"/>
  <c r="Z5880" i="2"/>
  <c r="AB5880" i="2" s="1"/>
  <c r="AD5880" i="2"/>
  <c r="K5881" i="2"/>
  <c r="L5881" i="2"/>
  <c r="Z5881" i="2"/>
  <c r="AA5881" i="2" s="1"/>
  <c r="AD5881" i="2"/>
  <c r="K5882" i="2"/>
  <c r="L5882" i="2"/>
  <c r="Z5882" i="2"/>
  <c r="AD5882" i="2"/>
  <c r="K5883" i="2"/>
  <c r="L5883" i="2"/>
  <c r="Z5883" i="2"/>
  <c r="AA5883" i="2" s="1"/>
  <c r="AD5883" i="2"/>
  <c r="K5884" i="2"/>
  <c r="L5884" i="2"/>
  <c r="Z5884" i="2"/>
  <c r="AD5884" i="2"/>
  <c r="K5885" i="2"/>
  <c r="L5885" i="2"/>
  <c r="Z5885" i="2"/>
  <c r="AB5885" i="2" s="1"/>
  <c r="AD5885" i="2"/>
  <c r="K5886" i="2"/>
  <c r="L5886" i="2"/>
  <c r="Z5886" i="2"/>
  <c r="AB5886" i="2" s="1"/>
  <c r="AA5886" i="2"/>
  <c r="AD5886" i="2"/>
  <c r="K5887" i="2"/>
  <c r="L5887" i="2"/>
  <c r="Z5887" i="2"/>
  <c r="AA5887" i="2" s="1"/>
  <c r="AD5887" i="2"/>
  <c r="K5888" i="2"/>
  <c r="L5888" i="2"/>
  <c r="Z5888" i="2"/>
  <c r="AD5888" i="2"/>
  <c r="K5889" i="2"/>
  <c r="L5889" i="2"/>
  <c r="Z5889" i="2"/>
  <c r="AA5889" i="2" s="1"/>
  <c r="AD5889" i="2"/>
  <c r="K5890" i="2"/>
  <c r="L5890" i="2"/>
  <c r="Z5890" i="2"/>
  <c r="AC5890" i="2" s="1"/>
  <c r="AA5890" i="2"/>
  <c r="AD5890" i="2"/>
  <c r="K5891" i="2"/>
  <c r="L5891" i="2"/>
  <c r="Z5891" i="2"/>
  <c r="AD5891" i="2"/>
  <c r="K5892" i="2"/>
  <c r="L5892" i="2"/>
  <c r="Z5892" i="2"/>
  <c r="AD5892" i="2"/>
  <c r="K5893" i="2"/>
  <c r="L5893" i="2"/>
  <c r="Z5893" i="2"/>
  <c r="AA5893" i="2" s="1"/>
  <c r="AC5893" i="2"/>
  <c r="AD5893" i="2"/>
  <c r="K5894" i="2"/>
  <c r="L5894" i="2"/>
  <c r="Z5894" i="2"/>
  <c r="AD5894" i="2"/>
  <c r="K5895" i="2"/>
  <c r="L5895" i="2"/>
  <c r="Z5895" i="2"/>
  <c r="AD5895" i="2"/>
  <c r="K5896" i="2"/>
  <c r="L5896" i="2"/>
  <c r="Z5896" i="2"/>
  <c r="AA5896" i="2" s="1"/>
  <c r="AD5896" i="2"/>
  <c r="K5897" i="2"/>
  <c r="L5897" i="2"/>
  <c r="Z5897" i="2"/>
  <c r="AB5897" i="2" s="1"/>
  <c r="AD5897" i="2"/>
  <c r="K5898" i="2"/>
  <c r="L5898" i="2"/>
  <c r="Z5898" i="2"/>
  <c r="AB5898" i="2" s="1"/>
  <c r="AD5898" i="2"/>
  <c r="K5899" i="2"/>
  <c r="L5899" i="2"/>
  <c r="Z5899" i="2"/>
  <c r="AD5899" i="2"/>
  <c r="K5900" i="2"/>
  <c r="L5900" i="2"/>
  <c r="Z5900" i="2"/>
  <c r="AA5900" i="2" s="1"/>
  <c r="AD5900" i="2"/>
  <c r="K5901" i="2"/>
  <c r="L5901" i="2"/>
  <c r="Z5901" i="2"/>
  <c r="AA5901" i="2" s="1"/>
  <c r="AD5901" i="2"/>
  <c r="K5902" i="2"/>
  <c r="L5902" i="2"/>
  <c r="Z5902" i="2"/>
  <c r="AC5902" i="2" s="1"/>
  <c r="AD5902" i="2"/>
  <c r="K5903" i="2"/>
  <c r="L5903" i="2"/>
  <c r="Z5903" i="2"/>
  <c r="AB5903" i="2" s="1"/>
  <c r="AD5903" i="2"/>
  <c r="K5904" i="2"/>
  <c r="L5904" i="2"/>
  <c r="Z5904" i="2"/>
  <c r="AB5904" i="2"/>
  <c r="AD5904" i="2"/>
  <c r="K5905" i="2"/>
  <c r="L5905" i="2"/>
  <c r="Z5905" i="2"/>
  <c r="AA5905" i="2" s="1"/>
  <c r="AD5905" i="2"/>
  <c r="K5906" i="2"/>
  <c r="L5906" i="2"/>
  <c r="Z5906" i="2"/>
  <c r="AD5906" i="2"/>
  <c r="K5907" i="2"/>
  <c r="L5907" i="2"/>
  <c r="Z5907" i="2"/>
  <c r="AD5907" i="2"/>
  <c r="K5908" i="2"/>
  <c r="L5908" i="2"/>
  <c r="Z5908" i="2"/>
  <c r="AD5908" i="2"/>
  <c r="K5909" i="2"/>
  <c r="L5909" i="2"/>
  <c r="Z5909" i="2"/>
  <c r="AB5909" i="2" s="1"/>
  <c r="AA5909" i="2"/>
  <c r="AC5909" i="2"/>
  <c r="AD5909" i="2"/>
  <c r="K5910" i="2"/>
  <c r="L5910" i="2"/>
  <c r="Z5910" i="2"/>
  <c r="AD5910" i="2"/>
  <c r="K5911" i="2"/>
  <c r="L5911" i="2"/>
  <c r="Z5911" i="2"/>
  <c r="AA5911" i="2" s="1"/>
  <c r="AC5911" i="2"/>
  <c r="AD5911" i="2"/>
  <c r="K5912" i="2"/>
  <c r="L5912" i="2"/>
  <c r="Z5912" i="2"/>
  <c r="AA5912" i="2"/>
  <c r="AD5912" i="2"/>
  <c r="K5913" i="2"/>
  <c r="L5913" i="2"/>
  <c r="Z5913" i="2"/>
  <c r="AA5913" i="2" s="1"/>
  <c r="AD5913" i="2"/>
  <c r="K5914" i="2"/>
  <c r="L5914" i="2"/>
  <c r="Z5914" i="2"/>
  <c r="AD5914" i="2"/>
  <c r="K5915" i="2"/>
  <c r="L5915" i="2"/>
  <c r="Z5915" i="2"/>
  <c r="AA5915" i="2"/>
  <c r="AB5915" i="2"/>
  <c r="AC5915" i="2"/>
  <c r="AD5915" i="2"/>
  <c r="K5916" i="2"/>
  <c r="L5916" i="2"/>
  <c r="Z5916" i="2"/>
  <c r="AB5916" i="2" s="1"/>
  <c r="AD5916" i="2"/>
  <c r="K5917" i="2"/>
  <c r="L5917" i="2"/>
  <c r="Z5917" i="2"/>
  <c r="AD5917" i="2"/>
  <c r="K5918" i="2"/>
  <c r="L5918" i="2"/>
  <c r="Z5918" i="2"/>
  <c r="AD5918" i="2"/>
  <c r="K5919" i="2"/>
  <c r="L5919" i="2"/>
  <c r="Z5919" i="2"/>
  <c r="AA5919" i="2" s="1"/>
  <c r="AD5919" i="2"/>
  <c r="K5920" i="2"/>
  <c r="L5920" i="2"/>
  <c r="Z5920" i="2"/>
  <c r="AA5920" i="2" s="1"/>
  <c r="AD5920" i="2"/>
  <c r="K5921" i="2"/>
  <c r="L5921" i="2"/>
  <c r="Z5921" i="2"/>
  <c r="AB5921" i="2" s="1"/>
  <c r="AC5921" i="2"/>
  <c r="AD5921" i="2"/>
  <c r="K5922" i="2"/>
  <c r="L5922" i="2"/>
  <c r="Z5922" i="2"/>
  <c r="AB5922" i="2" s="1"/>
  <c r="AA5922" i="2"/>
  <c r="AC5922" i="2"/>
  <c r="AD5922" i="2"/>
  <c r="K5923" i="2"/>
  <c r="L5923" i="2"/>
  <c r="Z5923" i="2"/>
  <c r="AC5923" i="2"/>
  <c r="AD5923" i="2"/>
  <c r="K5924" i="2"/>
  <c r="L5924" i="2"/>
  <c r="Z5924" i="2"/>
  <c r="AD5924" i="2"/>
  <c r="K5925" i="2"/>
  <c r="L5925" i="2"/>
  <c r="Z5925" i="2"/>
  <c r="AA5925" i="2" s="1"/>
  <c r="AD5925" i="2"/>
  <c r="K5926" i="2"/>
  <c r="L5926" i="2"/>
  <c r="Z5926" i="2"/>
  <c r="AC5926" i="2" s="1"/>
  <c r="AA5926" i="2"/>
  <c r="AD5926" i="2"/>
  <c r="K5927" i="2"/>
  <c r="L5927" i="2"/>
  <c r="Z5927" i="2"/>
  <c r="AC5927" i="2" s="1"/>
  <c r="AD5927" i="2"/>
  <c r="K5928" i="2"/>
  <c r="L5928" i="2"/>
  <c r="Z5928" i="2"/>
  <c r="AB5928" i="2" s="1"/>
  <c r="AD5928" i="2"/>
  <c r="K5929" i="2"/>
  <c r="L5929" i="2"/>
  <c r="Z5929" i="2"/>
  <c r="AA5929" i="2" s="1"/>
  <c r="AB5929" i="2"/>
  <c r="AD5929" i="2"/>
  <c r="K5930" i="2"/>
  <c r="L5930" i="2"/>
  <c r="Z5930" i="2"/>
  <c r="AD5930" i="2"/>
  <c r="K5931" i="2"/>
  <c r="L5931" i="2"/>
  <c r="Z5931" i="2"/>
  <c r="AA5931" i="2" s="1"/>
  <c r="AD5931" i="2"/>
  <c r="K5932" i="2"/>
  <c r="L5932" i="2"/>
  <c r="Z5932" i="2"/>
  <c r="AD5932" i="2"/>
  <c r="K5933" i="2"/>
  <c r="L5933" i="2"/>
  <c r="Z5933" i="2"/>
  <c r="AB5933" i="2" s="1"/>
  <c r="AC5933" i="2"/>
  <c r="AD5933" i="2"/>
  <c r="K5934" i="2"/>
  <c r="L5934" i="2"/>
  <c r="Z5934" i="2"/>
  <c r="AD5934" i="2"/>
  <c r="K5935" i="2"/>
  <c r="L5935" i="2"/>
  <c r="Z5935" i="2"/>
  <c r="AA5935" i="2" s="1"/>
  <c r="AD5935" i="2"/>
  <c r="K5936" i="2"/>
  <c r="L5936" i="2"/>
  <c r="Z5936" i="2"/>
  <c r="AC5936" i="2" s="1"/>
  <c r="AA5936" i="2"/>
  <c r="AB5936" i="2"/>
  <c r="AD5936" i="2"/>
  <c r="K5937" i="2"/>
  <c r="L5937" i="2"/>
  <c r="Z5937" i="2"/>
  <c r="AA5937" i="2" s="1"/>
  <c r="AD5937" i="2"/>
  <c r="K5938" i="2"/>
  <c r="L5938" i="2"/>
  <c r="Z5938" i="2"/>
  <c r="AC5938" i="2" s="1"/>
  <c r="AA5938" i="2"/>
  <c r="AD5938" i="2"/>
  <c r="K5939" i="2"/>
  <c r="L5939" i="2"/>
  <c r="Z5939" i="2"/>
  <c r="AA5939" i="2"/>
  <c r="AB5939" i="2"/>
  <c r="AC5939" i="2"/>
  <c r="AD5939" i="2"/>
  <c r="K5940" i="2"/>
  <c r="L5940" i="2"/>
  <c r="Z5940" i="2"/>
  <c r="AB5940" i="2" s="1"/>
  <c r="AD5940" i="2"/>
  <c r="K5941" i="2"/>
  <c r="L5941" i="2"/>
  <c r="Z5941" i="2"/>
  <c r="AD5941" i="2"/>
  <c r="K5942" i="2"/>
  <c r="L5942" i="2"/>
  <c r="Z5942" i="2"/>
  <c r="AD5942" i="2"/>
  <c r="K5943" i="2"/>
  <c r="L5943" i="2"/>
  <c r="Z5943" i="2"/>
  <c r="AA5943" i="2" s="1"/>
  <c r="AC5943" i="2"/>
  <c r="AD5943" i="2"/>
  <c r="K5944" i="2"/>
  <c r="L5944" i="2"/>
  <c r="Z5944" i="2"/>
  <c r="AA5944" i="2" s="1"/>
  <c r="AB5944" i="2"/>
  <c r="AD5944" i="2"/>
  <c r="K5945" i="2"/>
  <c r="L5945" i="2"/>
  <c r="Z5945" i="2"/>
  <c r="AB5945" i="2" s="1"/>
  <c r="AD5945" i="2"/>
  <c r="K5946" i="2"/>
  <c r="L5946" i="2"/>
  <c r="Z5946" i="2"/>
  <c r="AD5946" i="2"/>
  <c r="K5947" i="2"/>
  <c r="L5947" i="2"/>
  <c r="Z5947" i="2"/>
  <c r="AC5947" i="2"/>
  <c r="AD5947" i="2"/>
  <c r="K5948" i="2"/>
  <c r="L5948" i="2"/>
  <c r="Z5948" i="2"/>
  <c r="AB5948" i="2" s="1"/>
  <c r="AA5948" i="2"/>
  <c r="AD5948" i="2"/>
  <c r="K5949" i="2"/>
  <c r="L5949" i="2"/>
  <c r="Z5949" i="2"/>
  <c r="AA5949" i="2" s="1"/>
  <c r="AD5949" i="2"/>
  <c r="K5950" i="2"/>
  <c r="L5950" i="2"/>
  <c r="Z5950" i="2"/>
  <c r="AC5950" i="2" s="1"/>
  <c r="AD5950" i="2"/>
  <c r="K5951" i="2"/>
  <c r="L5951" i="2"/>
  <c r="Z5951" i="2"/>
  <c r="AC5951" i="2" s="1"/>
  <c r="AD5951" i="2"/>
  <c r="K5952" i="2"/>
  <c r="L5952" i="2"/>
  <c r="Z5952" i="2"/>
  <c r="AB5952" i="2" s="1"/>
  <c r="AD5952" i="2"/>
  <c r="K5953" i="2"/>
  <c r="L5953" i="2"/>
  <c r="Z5953" i="2"/>
  <c r="AA5953" i="2" s="1"/>
  <c r="AD5953" i="2"/>
  <c r="K5954" i="2"/>
  <c r="L5954" i="2"/>
  <c r="Z5954" i="2"/>
  <c r="AD5954" i="2"/>
  <c r="K5955" i="2"/>
  <c r="L5955" i="2"/>
  <c r="Z5955" i="2"/>
  <c r="AA5955" i="2" s="1"/>
  <c r="AD5955" i="2"/>
  <c r="K5956" i="2"/>
  <c r="L5956" i="2"/>
  <c r="Z5956" i="2"/>
  <c r="AB5956" i="2"/>
  <c r="AD5956" i="2"/>
  <c r="K5957" i="2"/>
  <c r="L5957" i="2"/>
  <c r="Z5957" i="2"/>
  <c r="AB5957" i="2" s="1"/>
  <c r="AD5957" i="2"/>
  <c r="K5958" i="2"/>
  <c r="L5958" i="2"/>
  <c r="Z5958" i="2"/>
  <c r="AD5958" i="2"/>
  <c r="K5959" i="2"/>
  <c r="L5959" i="2"/>
  <c r="Z5959" i="2"/>
  <c r="AA5959" i="2" s="1"/>
  <c r="AB5959" i="2"/>
  <c r="AC5959" i="2"/>
  <c r="AD5959" i="2"/>
  <c r="K5960" i="2"/>
  <c r="L5960" i="2"/>
  <c r="Z5960" i="2"/>
  <c r="AC5960" i="2" s="1"/>
  <c r="AA5960" i="2"/>
  <c r="AB5960" i="2"/>
  <c r="AD5960" i="2"/>
  <c r="K5961" i="2"/>
  <c r="L5961" i="2"/>
  <c r="Z5961" i="2"/>
  <c r="AA5961" i="2" s="1"/>
  <c r="AD5961" i="2"/>
  <c r="K5962" i="2"/>
  <c r="L5962" i="2"/>
  <c r="Z5962" i="2"/>
  <c r="AC5962" i="2" s="1"/>
  <c r="AA5962" i="2"/>
  <c r="AD5962" i="2"/>
  <c r="K5963" i="2"/>
  <c r="L5963" i="2"/>
  <c r="Z5963" i="2"/>
  <c r="AA5963" i="2" s="1"/>
  <c r="AD5963" i="2"/>
  <c r="K5964" i="2"/>
  <c r="L5964" i="2"/>
  <c r="Z5964" i="2"/>
  <c r="AB5964" i="2" s="1"/>
  <c r="AD5964" i="2"/>
  <c r="K5965" i="2"/>
  <c r="L5965" i="2"/>
  <c r="Z5965" i="2"/>
  <c r="AA5965" i="2" s="1"/>
  <c r="AB5965" i="2"/>
  <c r="AD5965" i="2"/>
  <c r="K5966" i="2"/>
  <c r="L5966" i="2"/>
  <c r="Z5966" i="2"/>
  <c r="AD5966" i="2"/>
  <c r="K5967" i="2"/>
  <c r="L5967" i="2"/>
  <c r="Z5967" i="2"/>
  <c r="AA5967" i="2" s="1"/>
  <c r="AC5967" i="2"/>
  <c r="AD5967" i="2"/>
  <c r="K5968" i="2"/>
  <c r="L5968" i="2"/>
  <c r="Z5968" i="2"/>
  <c r="AD5968" i="2"/>
  <c r="K5969" i="2"/>
  <c r="L5969" i="2"/>
  <c r="Z5969" i="2"/>
  <c r="AB5969" i="2" s="1"/>
  <c r="AD5969" i="2"/>
  <c r="K5970" i="2"/>
  <c r="L5970" i="2"/>
  <c r="Z5970" i="2"/>
  <c r="AB5970" i="2" s="1"/>
  <c r="AA5970" i="2"/>
  <c r="AD5970" i="2"/>
  <c r="K5971" i="2"/>
  <c r="L5971" i="2"/>
  <c r="Z5971" i="2"/>
  <c r="AC5971" i="2" s="1"/>
  <c r="AD5971" i="2"/>
  <c r="K5972" i="2"/>
  <c r="L5972" i="2"/>
  <c r="Z5972" i="2"/>
  <c r="AB5972" i="2" s="1"/>
  <c r="AA5972" i="2"/>
  <c r="AD5972" i="2"/>
  <c r="K5973" i="2"/>
  <c r="L5973" i="2"/>
  <c r="Z5973" i="2"/>
  <c r="AA5973" i="2" s="1"/>
  <c r="AC5973" i="2"/>
  <c r="AD5973" i="2"/>
  <c r="K5974" i="2"/>
  <c r="L5974" i="2"/>
  <c r="Z5974" i="2"/>
  <c r="AC5974" i="2" s="1"/>
  <c r="AA5974" i="2"/>
  <c r="AD5974" i="2"/>
  <c r="K5975" i="2"/>
  <c r="L5975" i="2"/>
  <c r="Z5975" i="2"/>
  <c r="AD5975" i="2"/>
  <c r="K5976" i="2"/>
  <c r="L5976" i="2"/>
  <c r="Z5976" i="2"/>
  <c r="AB5976" i="2" s="1"/>
  <c r="AD5976" i="2"/>
  <c r="K5977" i="2"/>
  <c r="L5977" i="2"/>
  <c r="Z5977" i="2"/>
  <c r="AA5977" i="2" s="1"/>
  <c r="AB5977" i="2"/>
  <c r="AD5977" i="2"/>
  <c r="K5978" i="2"/>
  <c r="L5978" i="2"/>
  <c r="Z5978" i="2"/>
  <c r="AD5978" i="2"/>
  <c r="K5979" i="2"/>
  <c r="L5979" i="2"/>
  <c r="Z5979" i="2"/>
  <c r="AA5979" i="2" s="1"/>
  <c r="AD5979" i="2"/>
  <c r="K5980" i="2"/>
  <c r="L5980" i="2"/>
  <c r="Z5980" i="2"/>
  <c r="AA5980" i="2" s="1"/>
  <c r="AB5980" i="2"/>
  <c r="AC5980" i="2"/>
  <c r="AD5980" i="2"/>
  <c r="K5981" i="2"/>
  <c r="L5981" i="2"/>
  <c r="Z5981" i="2"/>
  <c r="AB5981" i="2" s="1"/>
  <c r="AD5981" i="2"/>
  <c r="K5982" i="2"/>
  <c r="L5982" i="2"/>
  <c r="Z5982" i="2"/>
  <c r="AD5982" i="2"/>
  <c r="K5983" i="2"/>
  <c r="L5983" i="2"/>
  <c r="Z5983" i="2"/>
  <c r="AA5983" i="2"/>
  <c r="AD5983" i="2"/>
  <c r="K5984" i="2"/>
  <c r="L5984" i="2"/>
  <c r="Z5984" i="2"/>
  <c r="AC5984" i="2" s="1"/>
  <c r="AA5984" i="2"/>
  <c r="AB5984" i="2"/>
  <c r="AD5984" i="2"/>
  <c r="K5985" i="2"/>
  <c r="L5985" i="2"/>
  <c r="Z5985" i="2"/>
  <c r="AA5985" i="2" s="1"/>
  <c r="AD5985" i="2"/>
  <c r="K5986" i="2"/>
  <c r="L5986" i="2"/>
  <c r="Z5986" i="2"/>
  <c r="AC5986" i="2" s="1"/>
  <c r="AD5986" i="2"/>
  <c r="K5987" i="2"/>
  <c r="L5987" i="2"/>
  <c r="Z5987" i="2"/>
  <c r="AA5987" i="2"/>
  <c r="AB5987" i="2"/>
  <c r="AC5987" i="2"/>
  <c r="AD5987" i="2"/>
  <c r="K5988" i="2"/>
  <c r="L5988" i="2"/>
  <c r="Z5988" i="2"/>
  <c r="AB5988" i="2" s="1"/>
  <c r="AD5988" i="2"/>
  <c r="K5989" i="2"/>
  <c r="L5989" i="2"/>
  <c r="Z5989" i="2"/>
  <c r="AA5989" i="2" s="1"/>
  <c r="AD5989" i="2"/>
  <c r="K5990" i="2"/>
  <c r="L5990" i="2"/>
  <c r="Z5990" i="2"/>
  <c r="AD5990" i="2"/>
  <c r="K5991" i="2"/>
  <c r="L5991" i="2"/>
  <c r="Z5991" i="2"/>
  <c r="AA5991" i="2" s="1"/>
  <c r="AD5991" i="2"/>
  <c r="K5992" i="2"/>
  <c r="L5992" i="2"/>
  <c r="Z5992" i="2"/>
  <c r="AA5992" i="2" s="1"/>
  <c r="AD5992" i="2"/>
  <c r="K5993" i="2"/>
  <c r="L5993" i="2"/>
  <c r="Z5993" i="2"/>
  <c r="AB5993" i="2" s="1"/>
  <c r="AC5993" i="2"/>
  <c r="AD5993" i="2"/>
  <c r="K5994" i="2"/>
  <c r="L5994" i="2"/>
  <c r="Z5994" i="2"/>
  <c r="AB5994" i="2" s="1"/>
  <c r="AA5994" i="2"/>
  <c r="AD5994" i="2"/>
  <c r="K5995" i="2"/>
  <c r="L5995" i="2"/>
  <c r="Z5995" i="2"/>
  <c r="AC5995" i="2"/>
  <c r="AD5995" i="2"/>
  <c r="K5996" i="2"/>
  <c r="L5996" i="2"/>
  <c r="Z5996" i="2"/>
  <c r="AA5996" i="2" s="1"/>
  <c r="AD5996" i="2"/>
  <c r="K5997" i="2"/>
  <c r="L5997" i="2"/>
  <c r="Z5997" i="2"/>
  <c r="AA5997" i="2" s="1"/>
  <c r="AC5997" i="2"/>
  <c r="AD5997" i="2"/>
  <c r="K5998" i="2"/>
  <c r="L5998" i="2"/>
  <c r="Z5998" i="2"/>
  <c r="AC5998" i="2" s="1"/>
  <c r="AD5998" i="2"/>
  <c r="K5999" i="2"/>
  <c r="L5999" i="2"/>
  <c r="Z5999" i="2"/>
  <c r="AC5999" i="2" s="1"/>
  <c r="AD5999" i="2"/>
  <c r="K6000" i="2"/>
  <c r="L6000" i="2"/>
  <c r="Z6000" i="2"/>
  <c r="AB6000" i="2" s="1"/>
  <c r="AD6000" i="2"/>
  <c r="K6001" i="2"/>
  <c r="L6001" i="2"/>
  <c r="Z6001" i="2"/>
  <c r="AD6001" i="2"/>
  <c r="K6002" i="2"/>
  <c r="L6002" i="2"/>
  <c r="Z6002" i="2"/>
  <c r="AD6002" i="2"/>
  <c r="K6003" i="2"/>
  <c r="L6003" i="2"/>
  <c r="Z6003" i="2"/>
  <c r="AA6003" i="2" s="1"/>
  <c r="AD6003" i="2"/>
  <c r="K6004" i="2"/>
  <c r="L6004" i="2"/>
  <c r="Z6004" i="2"/>
  <c r="AA6004" i="2" s="1"/>
  <c r="AD6004" i="2"/>
  <c r="K6005" i="2"/>
  <c r="L6005" i="2"/>
  <c r="Z6005" i="2"/>
  <c r="AB6005" i="2" s="1"/>
  <c r="AD6005" i="2"/>
  <c r="K6006" i="2"/>
  <c r="L6006" i="2"/>
  <c r="Z6006" i="2"/>
  <c r="AD6006" i="2"/>
  <c r="K6007" i="2"/>
  <c r="L6007" i="2"/>
  <c r="Z6007" i="2"/>
  <c r="AA6007" i="2"/>
  <c r="AB6007" i="2"/>
  <c r="AC6007" i="2"/>
  <c r="AD6007" i="2"/>
  <c r="K6008" i="2"/>
  <c r="L6008" i="2"/>
  <c r="Z6008" i="2"/>
  <c r="AC6008" i="2" s="1"/>
  <c r="AA6008" i="2"/>
  <c r="AB6008" i="2"/>
  <c r="AD6008" i="2"/>
  <c r="K6009" i="2"/>
  <c r="L6009" i="2"/>
  <c r="Z6009" i="2"/>
  <c r="AA6009" i="2" s="1"/>
  <c r="AD6009" i="2"/>
  <c r="K6010" i="2"/>
  <c r="L6010" i="2"/>
  <c r="Z6010" i="2"/>
  <c r="AC6010" i="2" s="1"/>
  <c r="AD6010" i="2"/>
  <c r="K6011" i="2"/>
  <c r="L6011" i="2"/>
  <c r="Z6011" i="2"/>
  <c r="AA6011" i="2" s="1"/>
  <c r="AC6011" i="2"/>
  <c r="AD6011" i="2"/>
  <c r="K6012" i="2"/>
  <c r="L6012" i="2"/>
  <c r="Z6012" i="2"/>
  <c r="AB6012" i="2" s="1"/>
  <c r="AD6012" i="2"/>
  <c r="K6013" i="2"/>
  <c r="L6013" i="2"/>
  <c r="Z6013" i="2"/>
  <c r="AD6013" i="2"/>
  <c r="K6014" i="2"/>
  <c r="L6014" i="2"/>
  <c r="Z6014" i="2"/>
  <c r="AD6014" i="2"/>
  <c r="K6015" i="2"/>
  <c r="L6015" i="2"/>
  <c r="Z6015" i="2"/>
  <c r="AD6015" i="2"/>
  <c r="K6016" i="2"/>
  <c r="L6016" i="2"/>
  <c r="Z6016" i="2"/>
  <c r="AA6016" i="2" s="1"/>
  <c r="AD6016" i="2"/>
  <c r="K6017" i="2"/>
  <c r="L6017" i="2"/>
  <c r="Z6017" i="2"/>
  <c r="AB6017" i="2" s="1"/>
  <c r="AC6017" i="2"/>
  <c r="AD6017" i="2"/>
  <c r="K6018" i="2"/>
  <c r="L6018" i="2"/>
  <c r="Z6018" i="2"/>
  <c r="AB6018" i="2" s="1"/>
  <c r="AA6018" i="2"/>
  <c r="AC6018" i="2"/>
  <c r="AD6018" i="2"/>
  <c r="K6019" i="2"/>
  <c r="L6019" i="2"/>
  <c r="Z6019" i="2"/>
  <c r="AC6019" i="2" s="1"/>
  <c r="AD6019" i="2"/>
  <c r="K6020" i="2"/>
  <c r="L6020" i="2"/>
  <c r="Z6020" i="2"/>
  <c r="AA6020" i="2" s="1"/>
  <c r="AD6020" i="2"/>
  <c r="K6021" i="2"/>
  <c r="L6021" i="2"/>
  <c r="Z6021" i="2"/>
  <c r="AB6021" i="2" s="1"/>
  <c r="AD6021" i="2"/>
  <c r="K6022" i="2"/>
  <c r="L6022" i="2"/>
  <c r="Z6022" i="2"/>
  <c r="AC6022" i="2" s="1"/>
  <c r="AD6022" i="2"/>
  <c r="K6023" i="2"/>
  <c r="L6023" i="2"/>
  <c r="Z6023" i="2"/>
  <c r="AC6023" i="2"/>
  <c r="AD6023" i="2"/>
  <c r="K6024" i="2"/>
  <c r="L6024" i="2"/>
  <c r="Z6024" i="2"/>
  <c r="AB6024" i="2" s="1"/>
  <c r="AD6024" i="2"/>
  <c r="K6025" i="2"/>
  <c r="L6025" i="2"/>
  <c r="Z6025" i="2"/>
  <c r="AA6025" i="2" s="1"/>
  <c r="AD6025" i="2"/>
  <c r="K6026" i="2"/>
  <c r="L6026" i="2"/>
  <c r="Z6026" i="2"/>
  <c r="AD6026" i="2"/>
  <c r="K6027" i="2"/>
  <c r="L6027" i="2"/>
  <c r="Z6027" i="2"/>
  <c r="AA6027" i="2" s="1"/>
  <c r="AD6027" i="2"/>
  <c r="K6028" i="2"/>
  <c r="L6028" i="2"/>
  <c r="Z6028" i="2"/>
  <c r="AA6028" i="2" s="1"/>
  <c r="AB6028" i="2"/>
  <c r="AC6028" i="2"/>
  <c r="AD6028" i="2"/>
  <c r="K6029" i="2"/>
  <c r="L6029" i="2"/>
  <c r="Z6029" i="2"/>
  <c r="AB6029" i="2" s="1"/>
  <c r="AD6029" i="2"/>
  <c r="K6030" i="2"/>
  <c r="L6030" i="2"/>
  <c r="Z6030" i="2"/>
  <c r="AD6030" i="2"/>
  <c r="K6031" i="2"/>
  <c r="L6031" i="2"/>
  <c r="Z6031" i="2"/>
  <c r="AD6031" i="2"/>
  <c r="K6032" i="2"/>
  <c r="L6032" i="2"/>
  <c r="Z6032" i="2"/>
  <c r="AC6032" i="2" s="1"/>
  <c r="AB6032" i="2"/>
  <c r="AD6032" i="2"/>
  <c r="K6033" i="2"/>
  <c r="L6033" i="2"/>
  <c r="Z6033" i="2"/>
  <c r="AB6033" i="2" s="1"/>
  <c r="AD6033" i="2"/>
  <c r="K6034" i="2"/>
  <c r="L6034" i="2"/>
  <c r="Z6034" i="2"/>
  <c r="AC6034" i="2" s="1"/>
  <c r="AD6034" i="2"/>
  <c r="K6035" i="2"/>
  <c r="L6035" i="2"/>
  <c r="Z6035" i="2"/>
  <c r="AA6035" i="2" s="1"/>
  <c r="AD6035" i="2"/>
  <c r="K6036" i="2"/>
  <c r="L6036" i="2"/>
  <c r="Z6036" i="2"/>
  <c r="AD6036" i="2"/>
  <c r="K6037" i="2"/>
  <c r="L6037" i="2"/>
  <c r="Z6037" i="2"/>
  <c r="AA6037" i="2" s="1"/>
  <c r="AC6037" i="2"/>
  <c r="AD6037" i="2"/>
  <c r="K6038" i="2"/>
  <c r="L6038" i="2"/>
  <c r="Z6038" i="2"/>
  <c r="AD6038" i="2"/>
  <c r="K6039" i="2"/>
  <c r="L6039" i="2"/>
  <c r="Z6039" i="2"/>
  <c r="AD6039" i="2"/>
  <c r="K6040" i="2"/>
  <c r="L6040" i="2"/>
  <c r="Z6040" i="2"/>
  <c r="AA6040" i="2" s="1"/>
  <c r="AD6040" i="2"/>
  <c r="K6041" i="2"/>
  <c r="L6041" i="2"/>
  <c r="Z6041" i="2"/>
  <c r="AB6041" i="2" s="1"/>
  <c r="AD6041" i="2"/>
  <c r="K6042" i="2"/>
  <c r="L6042" i="2"/>
  <c r="Z6042" i="2"/>
  <c r="AD6042" i="2"/>
  <c r="K6043" i="2"/>
  <c r="L6043" i="2"/>
  <c r="Z6043" i="2"/>
  <c r="AD6043" i="2"/>
  <c r="K6044" i="2"/>
  <c r="L6044" i="2"/>
  <c r="Z6044" i="2"/>
  <c r="AA6044" i="2" s="1"/>
  <c r="AD6044" i="2"/>
  <c r="K6045" i="2"/>
  <c r="L6045" i="2"/>
  <c r="Z6045" i="2"/>
  <c r="AB6045" i="2" s="1"/>
  <c r="AD6045" i="2"/>
  <c r="K6046" i="2"/>
  <c r="L6046" i="2"/>
  <c r="Z6046" i="2"/>
  <c r="AC6046" i="2" s="1"/>
  <c r="AD6046" i="2"/>
  <c r="K6047" i="2"/>
  <c r="L6047" i="2"/>
  <c r="Z6047" i="2"/>
  <c r="AC6047" i="2" s="1"/>
  <c r="AD6047" i="2"/>
  <c r="K6048" i="2"/>
  <c r="L6048" i="2"/>
  <c r="Z6048" i="2"/>
  <c r="AB6048" i="2" s="1"/>
  <c r="AD6048" i="2"/>
  <c r="K6049" i="2"/>
  <c r="L6049" i="2"/>
  <c r="Z6049" i="2"/>
  <c r="AA6049" i="2" s="1"/>
  <c r="AD6049" i="2"/>
  <c r="K6050" i="2"/>
  <c r="L6050" i="2"/>
  <c r="Z6050" i="2"/>
  <c r="AD6050" i="2"/>
  <c r="K6051" i="2"/>
  <c r="L6051" i="2"/>
  <c r="Z6051" i="2"/>
  <c r="AA6051" i="2" s="1"/>
  <c r="AD6051" i="2"/>
  <c r="K6052" i="2"/>
  <c r="L6052" i="2"/>
  <c r="Z6052" i="2"/>
  <c r="AB6052" i="2" s="1"/>
  <c r="AD6052" i="2"/>
  <c r="K6053" i="2"/>
  <c r="L6053" i="2"/>
  <c r="Z6053" i="2"/>
  <c r="AB6053" i="2" s="1"/>
  <c r="AD6053" i="2"/>
  <c r="K6054" i="2"/>
  <c r="L6054" i="2"/>
  <c r="Z6054" i="2"/>
  <c r="AD6054" i="2"/>
  <c r="K6055" i="2"/>
  <c r="L6055" i="2"/>
  <c r="Z6055" i="2"/>
  <c r="AA6055" i="2" s="1"/>
  <c r="AB6055" i="2"/>
  <c r="AC6055" i="2"/>
  <c r="AD6055" i="2"/>
  <c r="K6056" i="2"/>
  <c r="L6056" i="2"/>
  <c r="Z6056" i="2"/>
  <c r="AC6056" i="2" s="1"/>
  <c r="AD6056" i="2"/>
  <c r="K6057" i="2"/>
  <c r="L6057" i="2"/>
  <c r="Z6057" i="2"/>
  <c r="AB6057" i="2" s="1"/>
  <c r="AD6057" i="2"/>
  <c r="K6058" i="2"/>
  <c r="L6058" i="2"/>
  <c r="Z6058" i="2"/>
  <c r="AC6058" i="2" s="1"/>
  <c r="AD6058" i="2"/>
  <c r="K6059" i="2"/>
  <c r="L6059" i="2"/>
  <c r="Z6059" i="2"/>
  <c r="AC6059" i="2" s="1"/>
  <c r="AA6059" i="2"/>
  <c r="AB6059" i="2"/>
  <c r="AD6059" i="2"/>
  <c r="K6060" i="2"/>
  <c r="L6060" i="2"/>
  <c r="Z6060" i="2"/>
  <c r="AB6060" i="2" s="1"/>
  <c r="AD6060" i="2"/>
  <c r="K6061" i="2"/>
  <c r="L6061" i="2"/>
  <c r="Z6061" i="2"/>
  <c r="AA6061" i="2" s="1"/>
  <c r="AD6061" i="2"/>
  <c r="K6062" i="2"/>
  <c r="L6062" i="2"/>
  <c r="Z6062" i="2"/>
  <c r="AD6062" i="2"/>
  <c r="K6063" i="2"/>
  <c r="L6063" i="2"/>
  <c r="Z6063" i="2"/>
  <c r="AD6063" i="2"/>
  <c r="K6064" i="2"/>
  <c r="L6064" i="2"/>
  <c r="Z6064" i="2"/>
  <c r="AA6064" i="2" s="1"/>
  <c r="AD6064" i="2"/>
  <c r="K6065" i="2"/>
  <c r="L6065" i="2"/>
  <c r="Z6065" i="2"/>
  <c r="AD6065" i="2"/>
  <c r="K6066" i="2"/>
  <c r="L6066" i="2"/>
  <c r="Z6066" i="2"/>
  <c r="AB6066" i="2" s="1"/>
  <c r="AD6066" i="2"/>
  <c r="K6067" i="2"/>
  <c r="L6067" i="2"/>
  <c r="Z6067" i="2"/>
  <c r="AD6067" i="2"/>
  <c r="K6068" i="2"/>
  <c r="L6068" i="2"/>
  <c r="Z6068" i="2"/>
  <c r="AD6068" i="2"/>
  <c r="K6069" i="2"/>
  <c r="L6069" i="2"/>
  <c r="Z6069" i="2"/>
  <c r="AB6069" i="2" s="1"/>
  <c r="AA6069" i="2"/>
  <c r="AC6069" i="2"/>
  <c r="AD6069" i="2"/>
  <c r="K6070" i="2"/>
  <c r="L6070" i="2"/>
  <c r="Z6070" i="2"/>
  <c r="AC6070" i="2" s="1"/>
  <c r="AD6070" i="2"/>
  <c r="K6071" i="2"/>
  <c r="L6071" i="2"/>
  <c r="Z6071" i="2"/>
  <c r="AA6071" i="2"/>
  <c r="AB6071" i="2"/>
  <c r="AC6071" i="2"/>
  <c r="AD6071" i="2"/>
  <c r="K6072" i="2"/>
  <c r="L6072" i="2"/>
  <c r="Z6072" i="2"/>
  <c r="AB6072" i="2" s="1"/>
  <c r="AD6072" i="2"/>
  <c r="K6073" i="2"/>
  <c r="L6073" i="2"/>
  <c r="Z6073" i="2"/>
  <c r="AA6073" i="2" s="1"/>
  <c r="AB6073" i="2"/>
  <c r="AC6073" i="2"/>
  <c r="AD6073" i="2"/>
  <c r="K6074" i="2"/>
  <c r="L6074" i="2"/>
  <c r="Z6074" i="2"/>
  <c r="AD6074" i="2"/>
  <c r="K6075" i="2"/>
  <c r="L6075" i="2"/>
  <c r="Z6075" i="2"/>
  <c r="AB6075" i="2" s="1"/>
  <c r="AD6075" i="2"/>
  <c r="K6076" i="2"/>
  <c r="L6076" i="2"/>
  <c r="Z6076" i="2"/>
  <c r="AA6076" i="2" s="1"/>
  <c r="AD6076" i="2"/>
  <c r="K6077" i="2"/>
  <c r="L6077" i="2"/>
  <c r="Z6077" i="2"/>
  <c r="AD6077" i="2"/>
  <c r="K6078" i="2"/>
  <c r="L6078" i="2"/>
  <c r="Z6078" i="2"/>
  <c r="AB6078" i="2" s="1"/>
  <c r="AD6078" i="2"/>
  <c r="K6079" i="2"/>
  <c r="L6079" i="2"/>
  <c r="Z6079" i="2"/>
  <c r="AD6079" i="2"/>
  <c r="K6080" i="2"/>
  <c r="L6080" i="2"/>
  <c r="Z6080" i="2"/>
  <c r="AA6080" i="2" s="1"/>
  <c r="AC6080" i="2"/>
  <c r="AD6080" i="2"/>
  <c r="K6081" i="2"/>
  <c r="L6081" i="2"/>
  <c r="Z6081" i="2"/>
  <c r="AA6081" i="2"/>
  <c r="AD6081" i="2"/>
  <c r="K6082" i="2"/>
  <c r="L6082" i="2"/>
  <c r="Z6082" i="2"/>
  <c r="AC6082" i="2" s="1"/>
  <c r="AD6082" i="2"/>
  <c r="K6083" i="2"/>
  <c r="L6083" i="2"/>
  <c r="Z6083" i="2"/>
  <c r="AC6083" i="2" s="1"/>
  <c r="AD6083" i="2"/>
  <c r="K6084" i="2"/>
  <c r="L6084" i="2"/>
  <c r="Z6084" i="2"/>
  <c r="AB6084" i="2" s="1"/>
  <c r="AD6084" i="2"/>
  <c r="K6085" i="2"/>
  <c r="L6085" i="2"/>
  <c r="Z6085" i="2"/>
  <c r="AD6085" i="2"/>
  <c r="K6086" i="2"/>
  <c r="L6086" i="2"/>
  <c r="Z6086" i="2"/>
  <c r="AD6086" i="2"/>
  <c r="K6087" i="2"/>
  <c r="L6087" i="2"/>
  <c r="Z6087" i="2"/>
  <c r="AC6087" i="2" s="1"/>
  <c r="AD6087" i="2"/>
  <c r="K6088" i="2"/>
  <c r="L6088" i="2"/>
  <c r="Z6088" i="2"/>
  <c r="AA6088" i="2" s="1"/>
  <c r="AD6088" i="2"/>
  <c r="K6089" i="2"/>
  <c r="L6089" i="2"/>
  <c r="Z6089" i="2"/>
  <c r="AB6089" i="2" s="1"/>
  <c r="AC6089" i="2"/>
  <c r="AD6089" i="2"/>
  <c r="K6090" i="2"/>
  <c r="L6090" i="2"/>
  <c r="Z6090" i="2"/>
  <c r="AB6090" i="2" s="1"/>
  <c r="AD6090" i="2"/>
  <c r="K6091" i="2"/>
  <c r="L6091" i="2"/>
  <c r="Z6091" i="2"/>
  <c r="AA6091" i="2"/>
  <c r="AD6091" i="2"/>
  <c r="K6092" i="2"/>
  <c r="L6092" i="2"/>
  <c r="Z6092" i="2"/>
  <c r="AA6092" i="2" s="1"/>
  <c r="AD6092" i="2"/>
  <c r="K6093" i="2"/>
  <c r="L6093" i="2"/>
  <c r="Z6093" i="2"/>
  <c r="AD6093" i="2"/>
  <c r="K6094" i="2"/>
  <c r="L6094" i="2"/>
  <c r="Z6094" i="2"/>
  <c r="AC6094" i="2" s="1"/>
  <c r="AD6094" i="2"/>
  <c r="K6095" i="2"/>
  <c r="L6095" i="2"/>
  <c r="Z6095" i="2"/>
  <c r="AC6095" i="2" s="1"/>
  <c r="AB6095" i="2"/>
  <c r="AD6095" i="2"/>
  <c r="K6096" i="2"/>
  <c r="L6096" i="2"/>
  <c r="Z6096" i="2"/>
  <c r="AB6096" i="2" s="1"/>
  <c r="AD6096" i="2"/>
  <c r="K6097" i="2"/>
  <c r="L6097" i="2"/>
  <c r="Z6097" i="2"/>
  <c r="AA6097" i="2" s="1"/>
  <c r="AD6097" i="2"/>
  <c r="K6098" i="2"/>
  <c r="L6098" i="2"/>
  <c r="Z6098" i="2"/>
  <c r="AD6098" i="2"/>
  <c r="K6099" i="2"/>
  <c r="L6099" i="2"/>
  <c r="Z6099" i="2"/>
  <c r="AA6099" i="2" s="1"/>
  <c r="AD6099" i="2"/>
  <c r="K6100" i="2"/>
  <c r="L6100" i="2"/>
  <c r="Z6100" i="2"/>
  <c r="AD6100" i="2"/>
  <c r="K6101" i="2"/>
  <c r="L6101" i="2"/>
  <c r="Z6101" i="2"/>
  <c r="AB6101" i="2" s="1"/>
  <c r="AD6101" i="2"/>
  <c r="K6102" i="2"/>
  <c r="L6102" i="2"/>
  <c r="Z6102" i="2"/>
  <c r="AB6102" i="2" s="1"/>
  <c r="AA6102" i="2"/>
  <c r="AD6102" i="2"/>
  <c r="K6103" i="2"/>
  <c r="L6103" i="2"/>
  <c r="Z6103" i="2"/>
  <c r="AA6103" i="2" s="1"/>
  <c r="AD6103" i="2"/>
  <c r="K6104" i="2"/>
  <c r="L6104" i="2"/>
  <c r="Z6104" i="2"/>
  <c r="AD6104" i="2"/>
  <c r="K6105" i="2"/>
  <c r="L6105" i="2"/>
  <c r="Z6105" i="2"/>
  <c r="AD6105" i="2"/>
  <c r="K6106" i="2"/>
  <c r="L6106" i="2"/>
  <c r="Z6106" i="2"/>
  <c r="AC6106" i="2" s="1"/>
  <c r="AB6106" i="2"/>
  <c r="AD6106" i="2"/>
  <c r="K6107" i="2"/>
  <c r="L6107" i="2"/>
  <c r="Z6107" i="2"/>
  <c r="AA6107" i="2" s="1"/>
  <c r="AC6107" i="2"/>
  <c r="AD6107" i="2"/>
  <c r="K6108" i="2"/>
  <c r="L6108" i="2"/>
  <c r="Z6108" i="2"/>
  <c r="AB6108" i="2" s="1"/>
  <c r="AD6108" i="2"/>
  <c r="K6109" i="2"/>
  <c r="L6109" i="2"/>
  <c r="Z6109" i="2"/>
  <c r="AA6109" i="2" s="1"/>
  <c r="AD6109" i="2"/>
  <c r="K6110" i="2"/>
  <c r="L6110" i="2"/>
  <c r="Z6110" i="2"/>
  <c r="AD6110" i="2"/>
  <c r="K6111" i="2"/>
  <c r="L6111" i="2"/>
  <c r="Z6111" i="2"/>
  <c r="AB6111" i="2" s="1"/>
  <c r="AC6111" i="2"/>
  <c r="AD6111" i="2"/>
  <c r="K6112" i="2"/>
  <c r="L6112" i="2"/>
  <c r="Z6112" i="2"/>
  <c r="AD6112" i="2"/>
  <c r="K6113" i="2"/>
  <c r="L6113" i="2"/>
  <c r="Z6113" i="2"/>
  <c r="AB6113" i="2" s="1"/>
  <c r="AD6113" i="2"/>
  <c r="K6114" i="2"/>
  <c r="L6114" i="2"/>
  <c r="Z6114" i="2"/>
  <c r="AB6114" i="2" s="1"/>
  <c r="AC6114" i="2"/>
  <c r="AD6114" i="2"/>
  <c r="K6115" i="2"/>
  <c r="L6115" i="2"/>
  <c r="Z6115" i="2"/>
  <c r="AA6115" i="2"/>
  <c r="AB6115" i="2"/>
  <c r="AC6115" i="2"/>
  <c r="AD6115" i="2"/>
  <c r="K6116" i="2"/>
  <c r="L6116" i="2"/>
  <c r="Z6116" i="2"/>
  <c r="AB6116" i="2" s="1"/>
  <c r="AA6116" i="2"/>
  <c r="AC6116" i="2"/>
  <c r="AD6116" i="2"/>
  <c r="K6117" i="2"/>
  <c r="L6117" i="2"/>
  <c r="Z6117" i="2"/>
  <c r="AB6117" i="2" s="1"/>
  <c r="AA6117" i="2"/>
  <c r="AC6117" i="2"/>
  <c r="AD6117" i="2"/>
  <c r="K6118" i="2"/>
  <c r="L6118" i="2"/>
  <c r="Z6118" i="2"/>
  <c r="AD6118" i="2"/>
  <c r="K6119" i="2"/>
  <c r="L6119" i="2"/>
  <c r="Z6119" i="2"/>
  <c r="AC6119" i="2"/>
  <c r="AD6119" i="2"/>
  <c r="K6120" i="2"/>
  <c r="L6120" i="2"/>
  <c r="Z6120" i="2"/>
  <c r="AB6120" i="2"/>
  <c r="AD6120" i="2"/>
  <c r="K6121" i="2"/>
  <c r="L6121" i="2"/>
  <c r="Z6121" i="2"/>
  <c r="AA6121" i="2" s="1"/>
  <c r="AD6121" i="2"/>
  <c r="K6122" i="2"/>
  <c r="L6122" i="2"/>
  <c r="Z6122" i="2"/>
  <c r="AD6122" i="2"/>
  <c r="K6123" i="2"/>
  <c r="L6123" i="2"/>
  <c r="Z6123" i="2"/>
  <c r="AC6123" i="2" s="1"/>
  <c r="AD6123" i="2"/>
  <c r="K6124" i="2"/>
  <c r="L6124" i="2"/>
  <c r="Z6124" i="2"/>
  <c r="AD6124" i="2"/>
  <c r="K6125" i="2"/>
  <c r="L6125" i="2"/>
  <c r="Z6125" i="2"/>
  <c r="AD6125" i="2"/>
  <c r="K6126" i="2"/>
  <c r="L6126" i="2"/>
  <c r="Z6126" i="2"/>
  <c r="AB6126" i="2" s="1"/>
  <c r="AD6126" i="2"/>
  <c r="K6127" i="2"/>
  <c r="L6127" i="2"/>
  <c r="Z6127" i="2"/>
  <c r="AB6127" i="2" s="1"/>
  <c r="AD6127" i="2"/>
  <c r="K6128" i="2"/>
  <c r="L6128" i="2"/>
  <c r="Z6128" i="2"/>
  <c r="AC6128" i="2" s="1"/>
  <c r="AA6128" i="2"/>
  <c r="AB6128" i="2"/>
  <c r="AD6128" i="2"/>
  <c r="K6129" i="2"/>
  <c r="L6129" i="2"/>
  <c r="Z6129" i="2"/>
  <c r="AB6129" i="2" s="1"/>
  <c r="AD6129" i="2"/>
  <c r="K6130" i="2"/>
  <c r="L6130" i="2"/>
  <c r="Z6130" i="2"/>
  <c r="AC6130" i="2" s="1"/>
  <c r="AD6130" i="2"/>
  <c r="K6131" i="2"/>
  <c r="L6131" i="2"/>
  <c r="Z6131" i="2"/>
  <c r="AC6131" i="2" s="1"/>
  <c r="AA6131" i="2"/>
  <c r="AB6131" i="2"/>
  <c r="AD6131" i="2"/>
  <c r="K6132" i="2"/>
  <c r="L6132" i="2"/>
  <c r="Z6132" i="2"/>
  <c r="AB6132" i="2" s="1"/>
  <c r="AD6132" i="2"/>
  <c r="K6133" i="2"/>
  <c r="L6133" i="2"/>
  <c r="Z6133" i="2"/>
  <c r="AA6133" i="2" s="1"/>
  <c r="AD6133" i="2"/>
  <c r="K6134" i="2"/>
  <c r="L6134" i="2"/>
  <c r="Z6134" i="2"/>
  <c r="AD6134" i="2"/>
  <c r="K6135" i="2"/>
  <c r="L6135" i="2"/>
  <c r="Z6135" i="2"/>
  <c r="AB6135" i="2" s="1"/>
  <c r="AD6135" i="2"/>
  <c r="K6136" i="2"/>
  <c r="L6136" i="2"/>
  <c r="Z6136" i="2"/>
  <c r="AD6136" i="2"/>
  <c r="K6137" i="2"/>
  <c r="L6137" i="2"/>
  <c r="Z6137" i="2"/>
  <c r="AB6137" i="2" s="1"/>
  <c r="AD6137" i="2"/>
  <c r="K6138" i="2"/>
  <c r="L6138" i="2"/>
  <c r="Z6138" i="2"/>
  <c r="AD6138" i="2"/>
  <c r="K6139" i="2"/>
  <c r="L6139" i="2"/>
  <c r="Z6139" i="2"/>
  <c r="AB6139" i="2" s="1"/>
  <c r="AC6139" i="2"/>
  <c r="AD6139" i="2"/>
  <c r="K6140" i="2"/>
  <c r="L6140" i="2"/>
  <c r="Z6140" i="2"/>
  <c r="AC6140" i="2" s="1"/>
  <c r="AD6140" i="2"/>
  <c r="K6141" i="2"/>
  <c r="L6141" i="2"/>
  <c r="Z6141" i="2"/>
  <c r="AB6141" i="2" s="1"/>
  <c r="AD6141" i="2"/>
  <c r="K6142" i="2"/>
  <c r="L6142" i="2"/>
  <c r="Z6142" i="2"/>
  <c r="AD6142" i="2"/>
  <c r="K6143" i="2"/>
  <c r="L6143" i="2"/>
  <c r="Z6143" i="2"/>
  <c r="AA6143" i="2" s="1"/>
  <c r="AD6143" i="2"/>
  <c r="K6144" i="2"/>
  <c r="L6144" i="2"/>
  <c r="Z6144" i="2"/>
  <c r="AB6144" i="2" s="1"/>
  <c r="AD6144" i="2"/>
  <c r="K6145" i="2"/>
  <c r="L6145" i="2"/>
  <c r="Z6145" i="2"/>
  <c r="AA6145" i="2" s="1"/>
  <c r="AD6145" i="2"/>
  <c r="K6146" i="2"/>
  <c r="L6146" i="2"/>
  <c r="Z6146" i="2"/>
  <c r="AD6146" i="2"/>
  <c r="K6147" i="2"/>
  <c r="L6147" i="2"/>
  <c r="Z6147" i="2"/>
  <c r="AD6147" i="2"/>
  <c r="K6148" i="2"/>
  <c r="L6148" i="2"/>
  <c r="Z6148" i="2"/>
  <c r="AA6148" i="2" s="1"/>
  <c r="AD6148" i="2"/>
  <c r="K6149" i="2"/>
  <c r="L6149" i="2"/>
  <c r="Z6149" i="2"/>
  <c r="AB6149" i="2" s="1"/>
  <c r="AD6149" i="2"/>
  <c r="K6150" i="2"/>
  <c r="L6150" i="2"/>
  <c r="Z6150" i="2"/>
  <c r="AB6150" i="2" s="1"/>
  <c r="AA6150" i="2"/>
  <c r="AC6150" i="2"/>
  <c r="AD6150" i="2"/>
  <c r="K6151" i="2"/>
  <c r="L6151" i="2"/>
  <c r="Z6151" i="2"/>
  <c r="AD6151" i="2"/>
  <c r="K6152" i="2"/>
  <c r="L6152" i="2"/>
  <c r="Z6152" i="2"/>
  <c r="AD6152" i="2"/>
  <c r="K6153" i="2"/>
  <c r="L6153" i="2"/>
  <c r="Z6153" i="2"/>
  <c r="AB6153" i="2" s="1"/>
  <c r="AA6153" i="2"/>
  <c r="AC6153" i="2"/>
  <c r="AD6153" i="2"/>
  <c r="K6154" i="2"/>
  <c r="L6154" i="2"/>
  <c r="Z6154" i="2"/>
  <c r="AC6154" i="2" s="1"/>
  <c r="AD6154" i="2"/>
  <c r="K6155" i="2"/>
  <c r="L6155" i="2"/>
  <c r="Z6155" i="2"/>
  <c r="AC6155" i="2" s="1"/>
  <c r="AD6155" i="2"/>
  <c r="K6156" i="2"/>
  <c r="L6156" i="2"/>
  <c r="Z6156" i="2"/>
  <c r="AB6156" i="2" s="1"/>
  <c r="AD6156" i="2"/>
  <c r="K6157" i="2"/>
  <c r="L6157" i="2"/>
  <c r="Z6157" i="2"/>
  <c r="AA6157" i="2" s="1"/>
  <c r="AD6157" i="2"/>
  <c r="K6158" i="2"/>
  <c r="L6158" i="2"/>
  <c r="Z6158" i="2"/>
  <c r="AD6158" i="2"/>
  <c r="K6159" i="2"/>
  <c r="L6159" i="2"/>
  <c r="Z6159" i="2"/>
  <c r="AB6159" i="2" s="1"/>
  <c r="AD6159" i="2"/>
  <c r="K6160" i="2"/>
  <c r="L6160" i="2"/>
  <c r="Z6160" i="2"/>
  <c r="AA6160" i="2" s="1"/>
  <c r="AB6160" i="2"/>
  <c r="AD6160" i="2"/>
  <c r="K6161" i="2"/>
  <c r="L6161" i="2"/>
  <c r="Z6161" i="2"/>
  <c r="AB6161" i="2" s="1"/>
  <c r="AD6161" i="2"/>
  <c r="K6162" i="2"/>
  <c r="L6162" i="2"/>
  <c r="Z6162" i="2"/>
  <c r="AD6162" i="2"/>
  <c r="K6163" i="2"/>
  <c r="L6163" i="2"/>
  <c r="Z6163" i="2"/>
  <c r="AD6163" i="2"/>
  <c r="K6164" i="2"/>
  <c r="L6164" i="2"/>
  <c r="Z6164" i="2"/>
  <c r="AC6164" i="2" s="1"/>
  <c r="AD6164" i="2"/>
  <c r="K6165" i="2"/>
  <c r="L6165" i="2"/>
  <c r="Z6165" i="2"/>
  <c r="AB6165" i="2" s="1"/>
  <c r="AD6165" i="2"/>
  <c r="K6166" i="2"/>
  <c r="L6166" i="2"/>
  <c r="Z6166" i="2"/>
  <c r="AC6166" i="2" s="1"/>
  <c r="AB6166" i="2"/>
  <c r="AD6166" i="2"/>
  <c r="K6167" i="2"/>
  <c r="L6167" i="2"/>
  <c r="Z6167" i="2"/>
  <c r="AA6167" i="2" s="1"/>
  <c r="AD6167" i="2"/>
  <c r="K6168" i="2"/>
  <c r="L6168" i="2"/>
  <c r="Z6168" i="2"/>
  <c r="AB6168" i="2" s="1"/>
  <c r="AD6168" i="2"/>
  <c r="K6169" i="2"/>
  <c r="L6169" i="2"/>
  <c r="Z6169" i="2"/>
  <c r="AA6169" i="2" s="1"/>
  <c r="AD6169" i="2"/>
  <c r="K6170" i="2"/>
  <c r="L6170" i="2"/>
  <c r="Z6170" i="2"/>
  <c r="AD6170" i="2"/>
  <c r="K6171" i="2"/>
  <c r="L6171" i="2"/>
  <c r="Z6171" i="2"/>
  <c r="AD6171" i="2"/>
  <c r="K6172" i="2"/>
  <c r="L6172" i="2"/>
  <c r="Z6172" i="2"/>
  <c r="AA6172" i="2" s="1"/>
  <c r="AD6172" i="2"/>
  <c r="K6173" i="2"/>
  <c r="L6173" i="2"/>
  <c r="Z6173" i="2"/>
  <c r="AB6173" i="2" s="1"/>
  <c r="AD6173" i="2"/>
  <c r="K6174" i="2"/>
  <c r="L6174" i="2"/>
  <c r="Z6174" i="2"/>
  <c r="AB6174" i="2" s="1"/>
  <c r="AD6174" i="2"/>
  <c r="K6175" i="2"/>
  <c r="L6175" i="2"/>
  <c r="Z6175" i="2"/>
  <c r="AD6175" i="2"/>
  <c r="K6176" i="2"/>
  <c r="L6176" i="2"/>
  <c r="Z6176" i="2"/>
  <c r="AC6176" i="2" s="1"/>
  <c r="AA6176" i="2"/>
  <c r="AB6176" i="2"/>
  <c r="AD6176" i="2"/>
  <c r="K6177" i="2"/>
  <c r="L6177" i="2"/>
  <c r="Z6177" i="2"/>
  <c r="AB6177" i="2" s="1"/>
  <c r="AA6177" i="2"/>
  <c r="AC6177" i="2"/>
  <c r="AD6177" i="2"/>
  <c r="K6178" i="2"/>
  <c r="L6178" i="2"/>
  <c r="Z6178" i="2"/>
  <c r="AC6178" i="2" s="1"/>
  <c r="AD6178" i="2"/>
  <c r="K6179" i="2"/>
  <c r="L6179" i="2"/>
  <c r="Z6179" i="2"/>
  <c r="AC6179" i="2" s="1"/>
  <c r="AA6179" i="2"/>
  <c r="AB6179" i="2"/>
  <c r="AD6179" i="2"/>
  <c r="K6180" i="2"/>
  <c r="L6180" i="2"/>
  <c r="Z6180" i="2"/>
  <c r="AB6180" i="2" s="1"/>
  <c r="AD6180" i="2"/>
  <c r="K6181" i="2"/>
  <c r="L6181" i="2"/>
  <c r="Z6181" i="2"/>
  <c r="AA6181" i="2" s="1"/>
  <c r="AD6181" i="2"/>
  <c r="K6182" i="2"/>
  <c r="L6182" i="2"/>
  <c r="Z6182" i="2"/>
  <c r="AD6182" i="2"/>
  <c r="K6183" i="2"/>
  <c r="L6183" i="2"/>
  <c r="Z6183" i="2"/>
  <c r="AB6183" i="2" s="1"/>
  <c r="AD6183" i="2"/>
  <c r="K6184" i="2"/>
  <c r="L6184" i="2"/>
  <c r="Z6184" i="2"/>
  <c r="AA6184" i="2" s="1"/>
  <c r="AD6184" i="2"/>
  <c r="K6185" i="2"/>
  <c r="L6185" i="2"/>
  <c r="Z6185" i="2"/>
  <c r="AB6185" i="2" s="1"/>
  <c r="AD6185" i="2"/>
  <c r="K6186" i="2"/>
  <c r="L6186" i="2"/>
  <c r="Z6186" i="2"/>
  <c r="AD6186" i="2"/>
  <c r="K6187" i="2"/>
  <c r="L6187" i="2"/>
  <c r="Z6187" i="2"/>
  <c r="AB6187" i="2" s="1"/>
  <c r="AC6187" i="2"/>
  <c r="AD6187" i="2"/>
  <c r="K6188" i="2"/>
  <c r="L6188" i="2"/>
  <c r="Z6188" i="2"/>
  <c r="AC6188" i="2"/>
  <c r="AD6188" i="2"/>
  <c r="K6189" i="2"/>
  <c r="L6189" i="2"/>
  <c r="Z6189" i="2"/>
  <c r="AB6189" i="2" s="1"/>
  <c r="AD6189" i="2"/>
  <c r="K6190" i="2"/>
  <c r="L6190" i="2"/>
  <c r="Z6190" i="2"/>
  <c r="AC6190" i="2" s="1"/>
  <c r="AB6190" i="2"/>
  <c r="AD6190" i="2"/>
  <c r="K6191" i="2"/>
  <c r="L6191" i="2"/>
  <c r="Z6191" i="2"/>
  <c r="AA6191" i="2" s="1"/>
  <c r="AD6191" i="2"/>
  <c r="K6192" i="2"/>
  <c r="L6192" i="2"/>
  <c r="Z6192" i="2"/>
  <c r="AB6192" i="2"/>
  <c r="AD6192" i="2"/>
  <c r="K6193" i="2"/>
  <c r="L6193" i="2"/>
  <c r="Z6193" i="2"/>
  <c r="AA6193" i="2" s="1"/>
  <c r="AD6193" i="2"/>
  <c r="K6194" i="2"/>
  <c r="L6194" i="2"/>
  <c r="Z6194" i="2"/>
  <c r="AD6194" i="2"/>
  <c r="K6195" i="2"/>
  <c r="L6195" i="2"/>
  <c r="Z6195" i="2"/>
  <c r="AD6195" i="2"/>
  <c r="K6196" i="2"/>
  <c r="L6196" i="2"/>
  <c r="Z6196" i="2"/>
  <c r="AA6196" i="2" s="1"/>
  <c r="AD6196" i="2"/>
  <c r="K6197" i="2"/>
  <c r="L6197" i="2"/>
  <c r="Z6197" i="2"/>
  <c r="AB6197" i="2" s="1"/>
  <c r="AD6197" i="2"/>
  <c r="K6198" i="2"/>
  <c r="L6198" i="2"/>
  <c r="Z6198" i="2"/>
  <c r="AB6198" i="2" s="1"/>
  <c r="AD6198" i="2"/>
  <c r="K6199" i="2"/>
  <c r="L6199" i="2"/>
  <c r="Z6199" i="2"/>
  <c r="AD6199" i="2"/>
  <c r="K6200" i="2"/>
  <c r="L6200" i="2"/>
  <c r="Z6200" i="2"/>
  <c r="AC6200" i="2" s="1"/>
  <c r="AB6200" i="2"/>
  <c r="AD6200" i="2"/>
  <c r="K6201" i="2"/>
  <c r="L6201" i="2"/>
  <c r="Z6201" i="2"/>
  <c r="AA6201" i="2"/>
  <c r="AD6201" i="2"/>
  <c r="K6202" i="2"/>
  <c r="L6202" i="2"/>
  <c r="Z6202" i="2"/>
  <c r="AC6202" i="2" s="1"/>
  <c r="AD6202" i="2"/>
  <c r="K6203" i="2"/>
  <c r="L6203" i="2"/>
  <c r="Z6203" i="2"/>
  <c r="AC6203" i="2" s="1"/>
  <c r="AD6203" i="2"/>
  <c r="K6204" i="2"/>
  <c r="L6204" i="2"/>
  <c r="Z6204" i="2"/>
  <c r="AB6204" i="2" s="1"/>
  <c r="AD6204" i="2"/>
  <c r="K6205" i="2"/>
  <c r="L6205" i="2"/>
  <c r="Z6205" i="2"/>
  <c r="AA6205" i="2" s="1"/>
  <c r="AD6205" i="2"/>
  <c r="K6206" i="2"/>
  <c r="L6206" i="2"/>
  <c r="Z6206" i="2"/>
  <c r="AD6206" i="2"/>
  <c r="K6207" i="2"/>
  <c r="L6207" i="2"/>
  <c r="Z6207" i="2"/>
  <c r="AB6207" i="2" s="1"/>
  <c r="AD6207" i="2"/>
  <c r="K6208" i="2"/>
  <c r="L6208" i="2"/>
  <c r="Z6208" i="2"/>
  <c r="AA6208" i="2" s="1"/>
  <c r="AB6208" i="2"/>
  <c r="AD6208" i="2"/>
  <c r="K6209" i="2"/>
  <c r="L6209" i="2"/>
  <c r="Z6209" i="2"/>
  <c r="AB6209" i="2" s="1"/>
  <c r="AD6209" i="2"/>
  <c r="K6210" i="2"/>
  <c r="L6210" i="2"/>
  <c r="Z6210" i="2"/>
  <c r="AD6210" i="2"/>
  <c r="K6211" i="2"/>
  <c r="L6211" i="2"/>
  <c r="Z6211" i="2"/>
  <c r="AB6211" i="2" s="1"/>
  <c r="AA6211" i="2"/>
  <c r="AD6211" i="2"/>
  <c r="K6212" i="2"/>
  <c r="L6212" i="2"/>
  <c r="Z6212" i="2"/>
  <c r="AC6212" i="2" s="1"/>
  <c r="AD6212" i="2"/>
  <c r="K6213" i="2"/>
  <c r="L6213" i="2"/>
  <c r="Z6213" i="2"/>
  <c r="AD6213" i="2"/>
  <c r="K6214" i="2"/>
  <c r="L6214" i="2"/>
  <c r="Z6214" i="2"/>
  <c r="AC6214" i="2" s="1"/>
  <c r="AB6214" i="2"/>
  <c r="AD6214" i="2"/>
  <c r="K6215" i="2"/>
  <c r="L6215" i="2"/>
  <c r="Z6215" i="2"/>
  <c r="AD6215" i="2"/>
  <c r="K6216" i="2"/>
  <c r="L6216" i="2"/>
  <c r="Z6216" i="2"/>
  <c r="AB6216" i="2"/>
  <c r="AD6216" i="2"/>
  <c r="K6217" i="2"/>
  <c r="L6217" i="2"/>
  <c r="Z6217" i="2"/>
  <c r="AA6217" i="2" s="1"/>
  <c r="AD6217" i="2"/>
  <c r="K6218" i="2"/>
  <c r="L6218" i="2"/>
  <c r="Z6218" i="2"/>
  <c r="AD6218" i="2"/>
  <c r="K6219" i="2"/>
  <c r="L6219" i="2"/>
  <c r="Z6219" i="2"/>
  <c r="AD6219" i="2"/>
  <c r="K6220" i="2"/>
  <c r="L6220" i="2"/>
  <c r="Z6220" i="2"/>
  <c r="AA6220" i="2" s="1"/>
  <c r="AD6220" i="2"/>
  <c r="K6221" i="2"/>
  <c r="L6221" i="2"/>
  <c r="Z6221" i="2"/>
  <c r="AB6221" i="2" s="1"/>
  <c r="AD6221" i="2"/>
  <c r="K6222" i="2"/>
  <c r="L6222" i="2"/>
  <c r="Z6222" i="2"/>
  <c r="AB6222" i="2" s="1"/>
  <c r="AD6222" i="2"/>
  <c r="K6223" i="2"/>
  <c r="L6223" i="2"/>
  <c r="Z6223" i="2"/>
  <c r="AD6223" i="2"/>
  <c r="K6224" i="2"/>
  <c r="L6224" i="2"/>
  <c r="Z6224" i="2"/>
  <c r="AC6224" i="2" s="1"/>
  <c r="AA6224" i="2"/>
  <c r="AB6224" i="2"/>
  <c r="AD6224" i="2"/>
  <c r="K6225" i="2"/>
  <c r="L6225" i="2"/>
  <c r="Z6225" i="2"/>
  <c r="AB6225" i="2" s="1"/>
  <c r="AC6225" i="2"/>
  <c r="AD6225" i="2"/>
  <c r="K6226" i="2"/>
  <c r="L6226" i="2"/>
  <c r="Z6226" i="2"/>
  <c r="AD6226" i="2"/>
  <c r="K6227" i="2"/>
  <c r="L6227" i="2"/>
  <c r="Z6227" i="2"/>
  <c r="AA6227" i="2" s="1"/>
  <c r="AD6227" i="2"/>
  <c r="K6228" i="2"/>
  <c r="L6228" i="2"/>
  <c r="Z6228" i="2"/>
  <c r="AB6228" i="2" s="1"/>
  <c r="AD6228" i="2"/>
  <c r="K6229" i="2"/>
  <c r="L6229" i="2"/>
  <c r="Z6229" i="2"/>
  <c r="AA6229" i="2" s="1"/>
  <c r="AD6229" i="2"/>
  <c r="K6230" i="2"/>
  <c r="L6230" i="2"/>
  <c r="Z6230" i="2"/>
  <c r="AB6230" i="2"/>
  <c r="AD6230" i="2"/>
  <c r="K6231" i="2"/>
  <c r="L6231" i="2"/>
  <c r="Z6231" i="2"/>
  <c r="AA6231" i="2" s="1"/>
  <c r="AD6231" i="2"/>
  <c r="K6232" i="2"/>
  <c r="L6232" i="2"/>
  <c r="Z6232" i="2"/>
  <c r="AB6232" i="2"/>
  <c r="AD6232" i="2"/>
  <c r="K6233" i="2"/>
  <c r="L6233" i="2"/>
  <c r="Z6233" i="2"/>
  <c r="AB6233" i="2" s="1"/>
  <c r="AD6233" i="2"/>
  <c r="K6234" i="2"/>
  <c r="L6234" i="2"/>
  <c r="Z6234" i="2"/>
  <c r="AC6234" i="2" s="1"/>
  <c r="AD6234" i="2"/>
  <c r="K6235" i="2"/>
  <c r="L6235" i="2"/>
  <c r="Z6235" i="2"/>
  <c r="AD6235" i="2"/>
  <c r="K6236" i="2"/>
  <c r="L6236" i="2"/>
  <c r="Z6236" i="2"/>
  <c r="AA6236" i="2" s="1"/>
  <c r="AD6236" i="2"/>
  <c r="K6237" i="2"/>
  <c r="L6237" i="2"/>
  <c r="Z6237" i="2"/>
  <c r="AD6237" i="2"/>
  <c r="K6238" i="2"/>
  <c r="L6238" i="2"/>
  <c r="Z6238" i="2"/>
  <c r="AC6238" i="2" s="1"/>
  <c r="AA6238" i="2"/>
  <c r="AB6238" i="2"/>
  <c r="AD6238" i="2"/>
  <c r="K6239" i="2"/>
  <c r="L6239" i="2"/>
  <c r="Z6239" i="2"/>
  <c r="AD6239" i="2"/>
  <c r="K6240" i="2"/>
  <c r="L6240" i="2"/>
  <c r="Z6240" i="2"/>
  <c r="AB6240" i="2" s="1"/>
  <c r="AD6240" i="2"/>
  <c r="K6241" i="2"/>
  <c r="L6241" i="2"/>
  <c r="Z6241" i="2"/>
  <c r="AD6241" i="2"/>
  <c r="K6242" i="2"/>
  <c r="L6242" i="2"/>
  <c r="Z6242" i="2"/>
  <c r="AB6242" i="2" s="1"/>
  <c r="AD6242" i="2"/>
  <c r="K6243" i="2"/>
  <c r="L6243" i="2"/>
  <c r="Z6243" i="2"/>
  <c r="AD6243" i="2"/>
  <c r="K6244" i="2"/>
  <c r="L6244" i="2"/>
  <c r="Z6244" i="2"/>
  <c r="AA6244" i="2" s="1"/>
  <c r="AD6244" i="2"/>
  <c r="K6245" i="2"/>
  <c r="L6245" i="2"/>
  <c r="Z6245" i="2"/>
  <c r="AD6245" i="2"/>
  <c r="K6246" i="2"/>
  <c r="L6246" i="2"/>
  <c r="Z6246" i="2"/>
  <c r="AD6246" i="2"/>
  <c r="K6247" i="2"/>
  <c r="L6247" i="2"/>
  <c r="Z6247" i="2"/>
  <c r="AA6247" i="2"/>
  <c r="AD6247" i="2"/>
  <c r="K6248" i="2"/>
  <c r="L6248" i="2"/>
  <c r="Z6248" i="2"/>
  <c r="AC6248" i="2" s="1"/>
  <c r="AD6248" i="2"/>
  <c r="K6249" i="2"/>
  <c r="L6249" i="2"/>
  <c r="Z6249" i="2"/>
  <c r="AC6249" i="2" s="1"/>
  <c r="AD6249" i="2"/>
  <c r="K6250" i="2"/>
  <c r="L6250" i="2"/>
  <c r="Z6250" i="2"/>
  <c r="AC6250" i="2" s="1"/>
  <c r="AA6250" i="2"/>
  <c r="AD6250" i="2"/>
  <c r="K6251" i="2"/>
  <c r="L6251" i="2"/>
  <c r="Z6251" i="2"/>
  <c r="AD6251" i="2"/>
  <c r="K6252" i="2"/>
  <c r="L6252" i="2"/>
  <c r="Z6252" i="2"/>
  <c r="AD6252" i="2"/>
  <c r="K6253" i="2"/>
  <c r="L6253" i="2"/>
  <c r="Z6253" i="2"/>
  <c r="AA6253" i="2" s="1"/>
  <c r="AB6253" i="2"/>
  <c r="AC6253" i="2"/>
  <c r="AD6253" i="2"/>
  <c r="K6254" i="2"/>
  <c r="L6254" i="2"/>
  <c r="Z6254" i="2"/>
  <c r="AD6254" i="2"/>
  <c r="K6255" i="2"/>
  <c r="L6255" i="2"/>
  <c r="Z6255" i="2"/>
  <c r="AD6255" i="2"/>
  <c r="K6256" i="2"/>
  <c r="L6256" i="2"/>
  <c r="Z6256" i="2"/>
  <c r="AA6256" i="2" s="1"/>
  <c r="AD6256" i="2"/>
  <c r="K6257" i="2"/>
  <c r="L6257" i="2"/>
  <c r="Z6257" i="2"/>
  <c r="AB6257" i="2" s="1"/>
  <c r="AD6257" i="2"/>
  <c r="K6258" i="2"/>
  <c r="L6258" i="2"/>
  <c r="Z6258" i="2"/>
  <c r="AA6258" i="2" s="1"/>
  <c r="AD6258" i="2"/>
  <c r="K6259" i="2"/>
  <c r="L6259" i="2"/>
  <c r="Z6259" i="2"/>
  <c r="AB6259" i="2" s="1"/>
  <c r="AA6259" i="2"/>
  <c r="AC6259" i="2"/>
  <c r="AD6259" i="2"/>
  <c r="K6260" i="2"/>
  <c r="L6260" i="2"/>
  <c r="Z6260" i="2"/>
  <c r="AA6260" i="2" s="1"/>
  <c r="AD6260" i="2"/>
  <c r="K6261" i="2"/>
  <c r="L6261" i="2"/>
  <c r="Z6261" i="2"/>
  <c r="AD6261" i="2"/>
  <c r="K6262" i="2"/>
  <c r="L6262" i="2"/>
  <c r="Z6262" i="2"/>
  <c r="AA6262" i="2" s="1"/>
  <c r="AD6262" i="2"/>
  <c r="K6263" i="2"/>
  <c r="L6263" i="2"/>
  <c r="Z6263" i="2"/>
  <c r="AA6263" i="2"/>
  <c r="AD6263" i="2"/>
  <c r="K6264" i="2"/>
  <c r="L6264" i="2"/>
  <c r="Z6264" i="2"/>
  <c r="AC6264" i="2" s="1"/>
  <c r="AD6264" i="2"/>
  <c r="K6265" i="2"/>
  <c r="L6265" i="2"/>
  <c r="Z6265" i="2"/>
  <c r="AC6265" i="2" s="1"/>
  <c r="AD6265" i="2"/>
  <c r="K6266" i="2"/>
  <c r="L6266" i="2"/>
  <c r="Z6266" i="2"/>
  <c r="AB6266" i="2" s="1"/>
  <c r="AD6266" i="2"/>
  <c r="K6267" i="2"/>
  <c r="L6267" i="2"/>
  <c r="Z6267" i="2"/>
  <c r="AC6267" i="2" s="1"/>
  <c r="AD6267" i="2"/>
  <c r="K6268" i="2"/>
  <c r="L6268" i="2"/>
  <c r="Z6268" i="2"/>
  <c r="AA6268" i="2" s="1"/>
  <c r="AC6268" i="2"/>
  <c r="AD6268" i="2"/>
  <c r="K6269" i="2"/>
  <c r="L6269" i="2"/>
  <c r="Z6269" i="2"/>
  <c r="AB6269" i="2" s="1"/>
  <c r="AD6269" i="2"/>
  <c r="K6270" i="2"/>
  <c r="L6270" i="2"/>
  <c r="Z6270" i="2"/>
  <c r="AA6270" i="2" s="1"/>
  <c r="AD6270" i="2"/>
  <c r="K6271" i="2"/>
  <c r="L6271" i="2"/>
  <c r="Z6271" i="2"/>
  <c r="AB6271" i="2" s="1"/>
  <c r="AD6271" i="2"/>
  <c r="K6272" i="2"/>
  <c r="L6272" i="2"/>
  <c r="Z6272" i="2"/>
  <c r="AA6272" i="2"/>
  <c r="AD6272" i="2"/>
  <c r="K6273" i="2"/>
  <c r="L6273" i="2"/>
  <c r="Z6273" i="2"/>
  <c r="AB6273" i="2" s="1"/>
  <c r="AA6273" i="2"/>
  <c r="AC6273" i="2"/>
  <c r="AD6273" i="2"/>
  <c r="K6274" i="2"/>
  <c r="L6274" i="2"/>
  <c r="Z6274" i="2"/>
  <c r="AA6274" i="2" s="1"/>
  <c r="AD6274" i="2"/>
  <c r="K6275" i="2"/>
  <c r="L6275" i="2"/>
  <c r="Z6275" i="2"/>
  <c r="AC6275" i="2" s="1"/>
  <c r="AD6275" i="2"/>
  <c r="K6276" i="2"/>
  <c r="L6276" i="2"/>
  <c r="Z6276" i="2"/>
  <c r="AC6276" i="2" s="1"/>
  <c r="AD6276" i="2"/>
  <c r="K6277" i="2"/>
  <c r="L6277" i="2"/>
  <c r="Z6277" i="2"/>
  <c r="AA6277" i="2" s="1"/>
  <c r="AD6277" i="2"/>
  <c r="K6278" i="2"/>
  <c r="L6278" i="2"/>
  <c r="Z6278" i="2"/>
  <c r="AB6278" i="2" s="1"/>
  <c r="AD6278" i="2"/>
  <c r="K6279" i="2"/>
  <c r="L6279" i="2"/>
  <c r="Z6279" i="2"/>
  <c r="AA6279" i="2" s="1"/>
  <c r="AD6279" i="2"/>
  <c r="K6280" i="2"/>
  <c r="L6280" i="2"/>
  <c r="Z6280" i="2"/>
  <c r="AA6280" i="2" s="1"/>
  <c r="AD6280" i="2"/>
  <c r="K6281" i="2"/>
  <c r="L6281" i="2"/>
  <c r="Z6281" i="2"/>
  <c r="AA6281" i="2" s="1"/>
  <c r="AD6281" i="2"/>
  <c r="K6282" i="2"/>
  <c r="L6282" i="2"/>
  <c r="Z6282" i="2"/>
  <c r="AA6282" i="2" s="1"/>
  <c r="AD6282" i="2"/>
  <c r="K6283" i="2"/>
  <c r="L6283" i="2"/>
  <c r="Z6283" i="2"/>
  <c r="AC6283" i="2"/>
  <c r="AD6283" i="2"/>
  <c r="K6284" i="2"/>
  <c r="L6284" i="2"/>
  <c r="Z6284" i="2"/>
  <c r="AD6284" i="2"/>
  <c r="K6285" i="2"/>
  <c r="L6285" i="2"/>
  <c r="Z6285" i="2"/>
  <c r="AA6285" i="2" s="1"/>
  <c r="AD6285" i="2"/>
  <c r="K6286" i="2"/>
  <c r="L6286" i="2"/>
  <c r="Z6286" i="2"/>
  <c r="AA6286" i="2" s="1"/>
  <c r="AD6286" i="2"/>
  <c r="K6287" i="2"/>
  <c r="L6287" i="2"/>
  <c r="Z6287" i="2"/>
  <c r="AC6287" i="2" s="1"/>
  <c r="AA6287" i="2"/>
  <c r="AD6287" i="2"/>
  <c r="K6288" i="2"/>
  <c r="L6288" i="2"/>
  <c r="Z6288" i="2"/>
  <c r="AC6288" i="2" s="1"/>
  <c r="AD6288" i="2"/>
  <c r="K6289" i="2"/>
  <c r="L6289" i="2"/>
  <c r="Z6289" i="2"/>
  <c r="AC6289" i="2" s="1"/>
  <c r="AD6289" i="2"/>
  <c r="K6290" i="2"/>
  <c r="L6290" i="2"/>
  <c r="Z6290" i="2"/>
  <c r="AC6290" i="2" s="1"/>
  <c r="AB6290" i="2"/>
  <c r="AD6290" i="2"/>
  <c r="K6291" i="2"/>
  <c r="L6291" i="2"/>
  <c r="Z6291" i="2"/>
  <c r="AD6291" i="2"/>
  <c r="K6292" i="2"/>
  <c r="L6292" i="2"/>
  <c r="Z6292" i="2"/>
  <c r="AB6292" i="2"/>
  <c r="AD6292" i="2"/>
  <c r="K6293" i="2"/>
  <c r="L6293" i="2"/>
  <c r="Z6293" i="2"/>
  <c r="AA6293" i="2" s="1"/>
  <c r="AD6293" i="2"/>
  <c r="K6294" i="2"/>
  <c r="L6294" i="2"/>
  <c r="Z6294" i="2"/>
  <c r="AD6294" i="2"/>
  <c r="K6295" i="2"/>
  <c r="L6295" i="2"/>
  <c r="Z6295" i="2"/>
  <c r="AA6295" i="2" s="1"/>
  <c r="AD6295" i="2"/>
  <c r="K6296" i="2"/>
  <c r="L6296" i="2"/>
  <c r="Z6296" i="2"/>
  <c r="AD6296" i="2"/>
  <c r="K6297" i="2"/>
  <c r="L6297" i="2"/>
  <c r="Z6297" i="2"/>
  <c r="AB6297" i="2" s="1"/>
  <c r="AD6297" i="2"/>
  <c r="K6298" i="2"/>
  <c r="L6298" i="2"/>
  <c r="Z6298" i="2"/>
  <c r="AC6298" i="2" s="1"/>
  <c r="AD6298" i="2"/>
  <c r="K6299" i="2"/>
  <c r="L6299" i="2"/>
  <c r="Z6299" i="2"/>
  <c r="AB6299" i="2" s="1"/>
  <c r="AC6299" i="2"/>
  <c r="AD6299" i="2"/>
  <c r="K6300" i="2"/>
  <c r="L6300" i="2"/>
  <c r="Z6300" i="2"/>
  <c r="AA6300" i="2" s="1"/>
  <c r="AD6300" i="2"/>
  <c r="K6301" i="2"/>
  <c r="L6301" i="2"/>
  <c r="Z6301" i="2"/>
  <c r="AC6301" i="2" s="1"/>
  <c r="AA6301" i="2"/>
  <c r="AD6301" i="2"/>
  <c r="K6302" i="2"/>
  <c r="L6302" i="2"/>
  <c r="Z6302" i="2"/>
  <c r="AC6302" i="2" s="1"/>
  <c r="AD6302" i="2"/>
  <c r="K6303" i="2"/>
  <c r="L6303" i="2"/>
  <c r="Z6303" i="2"/>
  <c r="AC6303" i="2" s="1"/>
  <c r="AD6303" i="2"/>
  <c r="K6304" i="2"/>
  <c r="L6304" i="2"/>
  <c r="Z6304" i="2"/>
  <c r="AA6304" i="2" s="1"/>
  <c r="AD6304" i="2"/>
  <c r="K6305" i="2"/>
  <c r="L6305" i="2"/>
  <c r="Z6305" i="2"/>
  <c r="AB6305" i="2" s="1"/>
  <c r="AD6305" i="2"/>
  <c r="K6306" i="2"/>
  <c r="L6306" i="2"/>
  <c r="Z6306" i="2"/>
  <c r="AA6306" i="2" s="1"/>
  <c r="AD6306" i="2"/>
  <c r="K6307" i="2"/>
  <c r="L6307" i="2"/>
  <c r="Z6307" i="2"/>
  <c r="AB6307" i="2" s="1"/>
  <c r="AA6307" i="2"/>
  <c r="AD6307" i="2"/>
  <c r="K6308" i="2"/>
  <c r="L6308" i="2"/>
  <c r="Z6308" i="2"/>
  <c r="AA6308" i="2"/>
  <c r="AB6308" i="2"/>
  <c r="AC6308" i="2"/>
  <c r="AD6308" i="2"/>
  <c r="K6309" i="2"/>
  <c r="L6309" i="2"/>
  <c r="Z6309" i="2"/>
  <c r="AB6309" i="2" s="1"/>
  <c r="AD6309" i="2"/>
  <c r="K6310" i="2"/>
  <c r="L6310" i="2"/>
  <c r="Z6310" i="2"/>
  <c r="AA6310" i="2" s="1"/>
  <c r="AB6310" i="2"/>
  <c r="AD6310" i="2"/>
  <c r="K6311" i="2"/>
  <c r="L6311" i="2"/>
  <c r="Z6311" i="2"/>
  <c r="AA6311" i="2"/>
  <c r="AD6311" i="2"/>
  <c r="K6312" i="2"/>
  <c r="L6312" i="2"/>
  <c r="Z6312" i="2"/>
  <c r="AB6312" i="2" s="1"/>
  <c r="AD6312" i="2"/>
  <c r="K6313" i="2"/>
  <c r="L6313" i="2"/>
  <c r="Z6313" i="2"/>
  <c r="AA6313" i="2" s="1"/>
  <c r="AD6313" i="2"/>
  <c r="K6314" i="2"/>
  <c r="L6314" i="2"/>
  <c r="Z6314" i="2"/>
  <c r="AD6314" i="2"/>
  <c r="K6315" i="2"/>
  <c r="L6315" i="2"/>
  <c r="Z6315" i="2"/>
  <c r="AB6315" i="2"/>
  <c r="AD6315" i="2"/>
  <c r="K6316" i="2"/>
  <c r="L6316" i="2"/>
  <c r="Z6316" i="2"/>
  <c r="AA6316" i="2" s="1"/>
  <c r="AD6316" i="2"/>
  <c r="K6317" i="2"/>
  <c r="L6317" i="2"/>
  <c r="Z6317" i="2"/>
  <c r="AD6317" i="2"/>
  <c r="K6318" i="2"/>
  <c r="L6318" i="2"/>
  <c r="Z6318" i="2"/>
  <c r="AA6318" i="2" s="1"/>
  <c r="AD6318" i="2"/>
  <c r="K6319" i="2"/>
  <c r="L6319" i="2"/>
  <c r="Z6319" i="2"/>
  <c r="AD6319" i="2"/>
  <c r="K6320" i="2"/>
  <c r="L6320" i="2"/>
  <c r="Z6320" i="2"/>
  <c r="AB6320" i="2" s="1"/>
  <c r="AD6320" i="2"/>
  <c r="K6321" i="2"/>
  <c r="L6321" i="2"/>
  <c r="Z6321" i="2"/>
  <c r="AB6321" i="2" s="1"/>
  <c r="AD6321" i="2"/>
  <c r="K6322" i="2"/>
  <c r="L6322" i="2"/>
  <c r="Z6322" i="2"/>
  <c r="AA6322" i="2" s="1"/>
  <c r="AD6322" i="2"/>
  <c r="K6323" i="2"/>
  <c r="L6323" i="2"/>
  <c r="Z6323" i="2"/>
  <c r="AB6323" i="2" s="1"/>
  <c r="AD6323" i="2"/>
  <c r="K6324" i="2"/>
  <c r="L6324" i="2"/>
  <c r="Z6324" i="2"/>
  <c r="AC6324" i="2" s="1"/>
  <c r="AD6324" i="2"/>
  <c r="K6325" i="2"/>
  <c r="L6325" i="2"/>
  <c r="Z6325" i="2"/>
  <c r="AD6325" i="2"/>
  <c r="K6326" i="2"/>
  <c r="L6326" i="2"/>
  <c r="Z6326" i="2"/>
  <c r="AD6326" i="2"/>
  <c r="K6327" i="2"/>
  <c r="L6327" i="2"/>
  <c r="Z6327" i="2"/>
  <c r="AD6327" i="2"/>
  <c r="K6328" i="2"/>
  <c r="L6328" i="2"/>
  <c r="Z6328" i="2"/>
  <c r="AA6328" i="2" s="1"/>
  <c r="AD6328" i="2"/>
  <c r="K6329" i="2"/>
  <c r="L6329" i="2"/>
  <c r="Z6329" i="2"/>
  <c r="AB6329" i="2" s="1"/>
  <c r="AD6329" i="2"/>
  <c r="K6330" i="2"/>
  <c r="L6330" i="2"/>
  <c r="Z6330" i="2"/>
  <c r="AC6330" i="2" s="1"/>
  <c r="AD6330" i="2"/>
  <c r="K6331" i="2"/>
  <c r="L6331" i="2"/>
  <c r="Z6331" i="2"/>
  <c r="AD6331" i="2"/>
  <c r="K6332" i="2"/>
  <c r="L6332" i="2"/>
  <c r="Z6332" i="2"/>
  <c r="AA6332" i="2" s="1"/>
  <c r="AD6332" i="2"/>
  <c r="K6333" i="2"/>
  <c r="L6333" i="2"/>
  <c r="Z6333" i="2"/>
  <c r="AA6333" i="2" s="1"/>
  <c r="AD6333" i="2"/>
  <c r="K6334" i="2"/>
  <c r="L6334" i="2"/>
  <c r="Z6334" i="2"/>
  <c r="AA6334" i="2" s="1"/>
  <c r="AD6334" i="2"/>
  <c r="K6335" i="2"/>
  <c r="L6335" i="2"/>
  <c r="Z6335" i="2"/>
  <c r="AC6335" i="2" s="1"/>
  <c r="AA6335" i="2"/>
  <c r="AB6335" i="2"/>
  <c r="AD6335" i="2"/>
  <c r="K6336" i="2"/>
  <c r="L6336" i="2"/>
  <c r="Z6336" i="2"/>
  <c r="AD6336" i="2"/>
  <c r="K6337" i="2"/>
  <c r="L6337" i="2"/>
  <c r="Z6337" i="2"/>
  <c r="AC6337" i="2" s="1"/>
  <c r="AD6337" i="2"/>
  <c r="K6338" i="2"/>
  <c r="L6338" i="2"/>
  <c r="Z6338" i="2"/>
  <c r="AC6338" i="2" s="1"/>
  <c r="AD6338" i="2"/>
  <c r="K6339" i="2"/>
  <c r="L6339" i="2"/>
  <c r="Z6339" i="2"/>
  <c r="AB6339" i="2" s="1"/>
  <c r="AA6339" i="2"/>
  <c r="AD6339" i="2"/>
  <c r="K6340" i="2"/>
  <c r="L6340" i="2"/>
  <c r="Z6340" i="2"/>
  <c r="AD6340" i="2"/>
  <c r="K6341" i="2"/>
  <c r="L6341" i="2"/>
  <c r="Z6341" i="2"/>
  <c r="AA6341" i="2" s="1"/>
  <c r="AD6341" i="2"/>
  <c r="K6342" i="2"/>
  <c r="L6342" i="2"/>
  <c r="Z6342" i="2"/>
  <c r="AC6342" i="2" s="1"/>
  <c r="AA6342" i="2"/>
  <c r="AD6342" i="2"/>
  <c r="K6343" i="2"/>
  <c r="L6343" i="2"/>
  <c r="Z6343" i="2"/>
  <c r="AD6343" i="2"/>
  <c r="K6344" i="2"/>
  <c r="L6344" i="2"/>
  <c r="Z6344" i="2"/>
  <c r="AB6344" i="2" s="1"/>
  <c r="AC6344" i="2"/>
  <c r="AD6344" i="2"/>
  <c r="K6345" i="2"/>
  <c r="L6345" i="2"/>
  <c r="Z6345" i="2"/>
  <c r="AB6345" i="2" s="1"/>
  <c r="AD6345" i="2"/>
  <c r="K6346" i="2"/>
  <c r="L6346" i="2"/>
  <c r="Z6346" i="2"/>
  <c r="AC6346" i="2" s="1"/>
  <c r="AD6346" i="2"/>
  <c r="K6347" i="2"/>
  <c r="L6347" i="2"/>
  <c r="Z6347" i="2"/>
  <c r="AA6347" i="2" s="1"/>
  <c r="AC6347" i="2"/>
  <c r="AD6347" i="2"/>
  <c r="K6348" i="2"/>
  <c r="L6348" i="2"/>
  <c r="Z6348" i="2"/>
  <c r="AA6348" i="2" s="1"/>
  <c r="AD6348" i="2"/>
  <c r="K6349" i="2"/>
  <c r="L6349" i="2"/>
  <c r="Z6349" i="2"/>
  <c r="AD6349" i="2"/>
  <c r="K6350" i="2"/>
  <c r="L6350" i="2"/>
  <c r="Z6350" i="2"/>
  <c r="AC6350" i="2" s="1"/>
  <c r="AB6350" i="2"/>
  <c r="AD6350" i="2"/>
  <c r="K6351" i="2"/>
  <c r="L6351" i="2"/>
  <c r="Z6351" i="2"/>
  <c r="AA6351" i="2"/>
  <c r="AD6351" i="2"/>
  <c r="K6352" i="2"/>
  <c r="L6352" i="2"/>
  <c r="Z6352" i="2"/>
  <c r="AA6352" i="2" s="1"/>
  <c r="AD6352" i="2"/>
  <c r="K6353" i="2"/>
  <c r="L6353" i="2"/>
  <c r="Z6353" i="2"/>
  <c r="AA6353" i="2" s="1"/>
  <c r="AD6353" i="2"/>
  <c r="K6354" i="2"/>
  <c r="L6354" i="2"/>
  <c r="Z6354" i="2"/>
  <c r="AA6354" i="2" s="1"/>
  <c r="AD6354" i="2"/>
  <c r="K6355" i="2"/>
  <c r="L6355" i="2"/>
  <c r="Z6355" i="2"/>
  <c r="AB6355" i="2" s="1"/>
  <c r="AA6355" i="2"/>
  <c r="AD6355" i="2"/>
  <c r="K6356" i="2"/>
  <c r="L6356" i="2"/>
  <c r="Z6356" i="2"/>
  <c r="AC6356" i="2" s="1"/>
  <c r="AA6356" i="2"/>
  <c r="AB6356" i="2"/>
  <c r="AD6356" i="2"/>
  <c r="K6357" i="2"/>
  <c r="L6357" i="2"/>
  <c r="Z6357" i="2"/>
  <c r="AB6357" i="2" s="1"/>
  <c r="AD6357" i="2"/>
  <c r="K6358" i="2"/>
  <c r="L6358" i="2"/>
  <c r="Z6358" i="2"/>
  <c r="AC6358" i="2"/>
  <c r="AD6358" i="2"/>
  <c r="K6359" i="2"/>
  <c r="L6359" i="2"/>
  <c r="Z6359" i="2"/>
  <c r="AC6359" i="2" s="1"/>
  <c r="AA6359" i="2"/>
  <c r="AB6359" i="2"/>
  <c r="AD6359" i="2"/>
  <c r="K6360" i="2"/>
  <c r="L6360" i="2"/>
  <c r="Z6360" i="2"/>
  <c r="AB6360" i="2" s="1"/>
  <c r="AA6360" i="2"/>
  <c r="AD6360" i="2"/>
  <c r="K6361" i="2"/>
  <c r="L6361" i="2"/>
  <c r="Z6361" i="2"/>
  <c r="AA6361" i="2" s="1"/>
  <c r="AD6361" i="2"/>
  <c r="K6362" i="2"/>
  <c r="L6362" i="2"/>
  <c r="Z6362" i="2"/>
  <c r="AC6362" i="2" s="1"/>
  <c r="AA6362" i="2"/>
  <c r="AD6362" i="2"/>
  <c r="K6363" i="2"/>
  <c r="L6363" i="2"/>
  <c r="Z6363" i="2"/>
  <c r="AA6363" i="2" s="1"/>
  <c r="AD6363" i="2"/>
  <c r="K6364" i="2"/>
  <c r="L6364" i="2"/>
  <c r="Z6364" i="2"/>
  <c r="AA6364" i="2" s="1"/>
  <c r="AD6364" i="2"/>
  <c r="K6365" i="2"/>
  <c r="L6365" i="2"/>
  <c r="Z6365" i="2"/>
  <c r="AD6365" i="2"/>
  <c r="K6366" i="2"/>
  <c r="L6366" i="2"/>
  <c r="Z6366" i="2"/>
  <c r="AA6366" i="2" s="1"/>
  <c r="AD6366" i="2"/>
  <c r="K6367" i="2"/>
  <c r="L6367" i="2"/>
  <c r="Z6367" i="2"/>
  <c r="AC6367" i="2" s="1"/>
  <c r="AB6367" i="2"/>
  <c r="AD6367" i="2"/>
  <c r="K6368" i="2"/>
  <c r="L6368" i="2"/>
  <c r="Z6368" i="2"/>
  <c r="AB6368" i="2" s="1"/>
  <c r="AA6368" i="2"/>
  <c r="AD6368" i="2"/>
  <c r="K6369" i="2"/>
  <c r="L6369" i="2"/>
  <c r="Z6369" i="2"/>
  <c r="AB6369" i="2" s="1"/>
  <c r="AD6369" i="2"/>
  <c r="K6370" i="2"/>
  <c r="L6370" i="2"/>
  <c r="Z6370" i="2"/>
  <c r="AA6370" i="2" s="1"/>
  <c r="AD6370" i="2"/>
  <c r="K6371" i="2"/>
  <c r="L6371" i="2"/>
  <c r="Z6371" i="2"/>
  <c r="AA6371" i="2" s="1"/>
  <c r="AD6371" i="2"/>
  <c r="K6372" i="2"/>
  <c r="L6372" i="2"/>
  <c r="Z6372" i="2"/>
  <c r="AA6372" i="2" s="1"/>
  <c r="AB6372" i="2"/>
  <c r="AC6372" i="2"/>
  <c r="AD6372" i="2"/>
  <c r="K6373" i="2"/>
  <c r="L6373" i="2"/>
  <c r="Z6373" i="2"/>
  <c r="AA6373" i="2" s="1"/>
  <c r="AC6373" i="2"/>
  <c r="AD6373" i="2"/>
  <c r="K6374" i="2"/>
  <c r="L6374" i="2"/>
  <c r="Z6374" i="2"/>
  <c r="AC6374" i="2" s="1"/>
  <c r="AD6374" i="2"/>
  <c r="K6375" i="2"/>
  <c r="L6375" i="2"/>
  <c r="Z6375" i="2"/>
  <c r="AD6375" i="2"/>
  <c r="K6376" i="2"/>
  <c r="L6376" i="2"/>
  <c r="Z6376" i="2"/>
  <c r="AA6376" i="2" s="1"/>
  <c r="AD6376" i="2"/>
  <c r="K6377" i="2"/>
  <c r="L6377" i="2"/>
  <c r="Z6377" i="2"/>
  <c r="AB6377" i="2" s="1"/>
  <c r="AA6377" i="2"/>
  <c r="AD6377" i="2"/>
  <c r="K6378" i="2"/>
  <c r="L6378" i="2"/>
  <c r="Z6378" i="2"/>
  <c r="AC6378" i="2" s="1"/>
  <c r="AD6378" i="2"/>
  <c r="K6379" i="2"/>
  <c r="L6379" i="2"/>
  <c r="Z6379" i="2"/>
  <c r="AA6379" i="2" s="1"/>
  <c r="AB6379" i="2"/>
  <c r="AC6379" i="2"/>
  <c r="AD6379" i="2"/>
  <c r="K6380" i="2"/>
  <c r="L6380" i="2"/>
  <c r="Z6380" i="2"/>
  <c r="AA6380" i="2" s="1"/>
  <c r="AD6380" i="2"/>
  <c r="K6381" i="2"/>
  <c r="L6381" i="2"/>
  <c r="Z6381" i="2"/>
  <c r="AB6381" i="2" s="1"/>
  <c r="AD6381" i="2"/>
  <c r="K6382" i="2"/>
  <c r="L6382" i="2"/>
  <c r="Z6382" i="2"/>
  <c r="AA6382" i="2" s="1"/>
  <c r="AD6382" i="2"/>
  <c r="K6383" i="2"/>
  <c r="L6383" i="2"/>
  <c r="Z6383" i="2"/>
  <c r="AC6383" i="2" s="1"/>
  <c r="AD6383" i="2"/>
  <c r="K6384" i="2"/>
  <c r="L6384" i="2"/>
  <c r="Z6384" i="2"/>
  <c r="AB6384" i="2" s="1"/>
  <c r="AD6384" i="2"/>
  <c r="K6385" i="2"/>
  <c r="L6385" i="2"/>
  <c r="Z6385" i="2"/>
  <c r="AC6385" i="2" s="1"/>
  <c r="AD6385" i="2"/>
  <c r="K6386" i="2"/>
  <c r="L6386" i="2"/>
  <c r="Z6386" i="2"/>
  <c r="AC6386" i="2" s="1"/>
  <c r="AD6386" i="2"/>
  <c r="K6387" i="2"/>
  <c r="L6387" i="2"/>
  <c r="Z6387" i="2"/>
  <c r="AB6387" i="2" s="1"/>
  <c r="AA6387" i="2"/>
  <c r="AD6387" i="2"/>
  <c r="K6388" i="2"/>
  <c r="L6388" i="2"/>
  <c r="Z6388" i="2"/>
  <c r="AA6388" i="2" s="1"/>
  <c r="AD6388" i="2"/>
  <c r="K6389" i="2"/>
  <c r="L6389" i="2"/>
  <c r="Z6389" i="2"/>
  <c r="AA6389" i="2" s="1"/>
  <c r="AD6389" i="2"/>
  <c r="K6390" i="2"/>
  <c r="L6390" i="2"/>
  <c r="Z6390" i="2"/>
  <c r="AC6390" i="2" s="1"/>
  <c r="AA6390" i="2"/>
  <c r="AD6390" i="2"/>
  <c r="K6391" i="2"/>
  <c r="L6391" i="2"/>
  <c r="Z6391" i="2"/>
  <c r="AA6391" i="2" s="1"/>
  <c r="AD6391" i="2"/>
  <c r="K6392" i="2"/>
  <c r="L6392" i="2"/>
  <c r="Z6392" i="2"/>
  <c r="AB6392" i="2" s="1"/>
  <c r="AA6392" i="2"/>
  <c r="AC6392" i="2"/>
  <c r="AD6392" i="2"/>
  <c r="K6393" i="2"/>
  <c r="L6393" i="2"/>
  <c r="Z6393" i="2"/>
  <c r="AB6393" i="2" s="1"/>
  <c r="AD6393" i="2"/>
  <c r="K6394" i="2"/>
  <c r="L6394" i="2"/>
  <c r="Z6394" i="2"/>
  <c r="AC6394" i="2" s="1"/>
  <c r="AD6394" i="2"/>
  <c r="K6395" i="2"/>
  <c r="L6395" i="2"/>
  <c r="Z6395" i="2"/>
  <c r="AB6395" i="2"/>
  <c r="AD6395" i="2"/>
  <c r="K6396" i="2"/>
  <c r="L6396" i="2"/>
  <c r="Z6396" i="2"/>
  <c r="AA6396" i="2" s="1"/>
  <c r="AD6396" i="2"/>
  <c r="K6397" i="2"/>
  <c r="L6397" i="2"/>
  <c r="Z6397" i="2"/>
  <c r="AA6397" i="2" s="1"/>
  <c r="AD6397" i="2"/>
  <c r="K6398" i="2"/>
  <c r="L6398" i="2"/>
  <c r="Z6398" i="2"/>
  <c r="AC6398" i="2" s="1"/>
  <c r="AB6398" i="2"/>
  <c r="AD6398" i="2"/>
  <c r="K6399" i="2"/>
  <c r="L6399" i="2"/>
  <c r="Z6399" i="2"/>
  <c r="AA6399" i="2" s="1"/>
  <c r="AD6399" i="2"/>
  <c r="K6400" i="2"/>
  <c r="L6400" i="2"/>
  <c r="Z6400" i="2"/>
  <c r="AA6400" i="2" s="1"/>
  <c r="AB6400" i="2"/>
  <c r="AD6400" i="2"/>
  <c r="K6401" i="2"/>
  <c r="L6401" i="2"/>
  <c r="Z6401" i="2"/>
  <c r="AB6401" i="2" s="1"/>
  <c r="AD6401" i="2"/>
  <c r="K6402" i="2"/>
  <c r="L6402" i="2"/>
  <c r="Z6402" i="2"/>
  <c r="AA6402" i="2" s="1"/>
  <c r="AD6402" i="2"/>
  <c r="K6403" i="2"/>
  <c r="L6403" i="2"/>
  <c r="Z6403" i="2"/>
  <c r="AB6403" i="2" s="1"/>
  <c r="AD6403" i="2"/>
  <c r="K6404" i="2"/>
  <c r="L6404" i="2"/>
  <c r="Z6404" i="2"/>
  <c r="AB6404" i="2" s="1"/>
  <c r="AA6404" i="2"/>
  <c r="AD6404" i="2"/>
  <c r="K6405" i="2"/>
  <c r="L6405" i="2"/>
  <c r="Z6405" i="2"/>
  <c r="AB6405" i="2" s="1"/>
  <c r="AD6405" i="2"/>
  <c r="K6406" i="2"/>
  <c r="L6406" i="2"/>
  <c r="Z6406" i="2"/>
  <c r="AC6406" i="2"/>
  <c r="AD6406" i="2"/>
  <c r="K6407" i="2"/>
  <c r="L6407" i="2"/>
  <c r="Z6407" i="2"/>
  <c r="AB6407" i="2" s="1"/>
  <c r="AD6407" i="2"/>
  <c r="K6408" i="2"/>
  <c r="L6408" i="2"/>
  <c r="Z6408" i="2"/>
  <c r="AB6408" i="2" s="1"/>
  <c r="AD6408" i="2"/>
  <c r="K6409" i="2"/>
  <c r="L6409" i="2"/>
  <c r="Z6409" i="2"/>
  <c r="AA6409" i="2" s="1"/>
  <c r="AD6409" i="2"/>
  <c r="K6410" i="2"/>
  <c r="L6410" i="2"/>
  <c r="Z6410" i="2"/>
  <c r="AC6410" i="2" s="1"/>
  <c r="AA6410" i="2"/>
  <c r="AD6410" i="2"/>
  <c r="K6411" i="2"/>
  <c r="L6411" i="2"/>
  <c r="Z6411" i="2"/>
  <c r="AA6411" i="2" s="1"/>
  <c r="AB6411" i="2"/>
  <c r="AC6411" i="2"/>
  <c r="AD6411" i="2"/>
  <c r="K6412" i="2"/>
  <c r="L6412" i="2"/>
  <c r="Z6412" i="2"/>
  <c r="AA6412" i="2" s="1"/>
  <c r="AD6412" i="2"/>
  <c r="K6413" i="2"/>
  <c r="L6413" i="2"/>
  <c r="Z6413" i="2"/>
  <c r="AD6413" i="2"/>
  <c r="K6414" i="2"/>
  <c r="L6414" i="2"/>
  <c r="Z6414" i="2"/>
  <c r="AA6414" i="2" s="1"/>
  <c r="AD6414" i="2"/>
  <c r="K6415" i="2"/>
  <c r="L6415" i="2"/>
  <c r="Z6415" i="2"/>
  <c r="AB6415" i="2" s="1"/>
  <c r="AD6415" i="2"/>
  <c r="K6416" i="2"/>
  <c r="L6416" i="2"/>
  <c r="Z6416" i="2"/>
  <c r="AB6416" i="2" s="1"/>
  <c r="AD6416" i="2"/>
  <c r="K6417" i="2"/>
  <c r="L6417" i="2"/>
  <c r="Z6417" i="2"/>
  <c r="AB6417" i="2" s="1"/>
  <c r="AD6417" i="2"/>
  <c r="K6418" i="2"/>
  <c r="L6418" i="2"/>
  <c r="Z6418" i="2"/>
  <c r="AA6418" i="2" s="1"/>
  <c r="AD6418" i="2"/>
  <c r="K6419" i="2"/>
  <c r="L6419" i="2"/>
  <c r="Z6419" i="2"/>
  <c r="AA6419" i="2" s="1"/>
  <c r="AB6419" i="2"/>
  <c r="AC6419" i="2"/>
  <c r="AD6419" i="2"/>
  <c r="K6420" i="2"/>
  <c r="L6420" i="2"/>
  <c r="Z6420" i="2"/>
  <c r="AC6420" i="2" s="1"/>
  <c r="AD6420" i="2"/>
  <c r="K6421" i="2"/>
  <c r="L6421" i="2"/>
  <c r="Z6421" i="2"/>
  <c r="AA6421" i="2" s="1"/>
  <c r="AC6421" i="2"/>
  <c r="AD6421" i="2"/>
  <c r="K6422" i="2"/>
  <c r="L6422" i="2"/>
  <c r="Z6422" i="2"/>
  <c r="AC6422" i="2" s="1"/>
  <c r="AA6422" i="2"/>
  <c r="AD6422" i="2"/>
  <c r="K6423" i="2"/>
  <c r="L6423" i="2"/>
  <c r="Z6423" i="2"/>
  <c r="AA6423" i="2" s="1"/>
  <c r="AD6423" i="2"/>
  <c r="K6424" i="2"/>
  <c r="L6424" i="2"/>
  <c r="Z6424" i="2"/>
  <c r="AA6424" i="2" s="1"/>
  <c r="AB6424" i="2"/>
  <c r="AD6424" i="2"/>
  <c r="K6425" i="2"/>
  <c r="L6425" i="2"/>
  <c r="Z6425" i="2"/>
  <c r="AB6425" i="2" s="1"/>
  <c r="AD6425" i="2"/>
  <c r="K6426" i="2"/>
  <c r="L6426" i="2"/>
  <c r="Z6426" i="2"/>
  <c r="AC6426" i="2" s="1"/>
  <c r="AD6426" i="2"/>
  <c r="K6427" i="2"/>
  <c r="L6427" i="2"/>
  <c r="Z6427" i="2"/>
  <c r="AA6427" i="2" s="1"/>
  <c r="AB6427" i="2"/>
  <c r="AD6427" i="2"/>
  <c r="K6428" i="2"/>
  <c r="L6428" i="2"/>
  <c r="Z6428" i="2"/>
  <c r="AA6428" i="2" s="1"/>
  <c r="AD6428" i="2"/>
  <c r="K6429" i="2"/>
  <c r="L6429" i="2"/>
  <c r="Z6429" i="2"/>
  <c r="AD6429" i="2"/>
  <c r="K6430" i="2"/>
  <c r="L6430" i="2"/>
  <c r="Z6430" i="2"/>
  <c r="AA6430" i="2" s="1"/>
  <c r="AD6430" i="2"/>
  <c r="K6431" i="2"/>
  <c r="L6431" i="2"/>
  <c r="Z6431" i="2"/>
  <c r="AA6431" i="2" s="1"/>
  <c r="AD6431" i="2"/>
  <c r="K6432" i="2"/>
  <c r="L6432" i="2"/>
  <c r="Z6432" i="2"/>
  <c r="AC6432" i="2" s="1"/>
  <c r="AB6432" i="2"/>
  <c r="AD6432" i="2"/>
  <c r="K6433" i="2"/>
  <c r="L6433" i="2"/>
  <c r="Z6433" i="2"/>
  <c r="AC6433" i="2" s="1"/>
  <c r="AD6433" i="2"/>
  <c r="K6434" i="2"/>
  <c r="L6434" i="2"/>
  <c r="Z6434" i="2"/>
  <c r="AC6434" i="2" s="1"/>
  <c r="AB6434" i="2"/>
  <c r="AD6434" i="2"/>
  <c r="K6435" i="2"/>
  <c r="L6435" i="2"/>
  <c r="Z6435" i="2"/>
  <c r="AB6435" i="2" s="1"/>
  <c r="AD6435" i="2"/>
  <c r="K6436" i="2"/>
  <c r="L6436" i="2"/>
  <c r="Z6436" i="2"/>
  <c r="AD6436" i="2"/>
  <c r="K6437" i="2"/>
  <c r="L6437" i="2"/>
  <c r="Z6437" i="2"/>
  <c r="AA6437" i="2" s="1"/>
  <c r="AD6437" i="2"/>
  <c r="K6438" i="2"/>
  <c r="L6438" i="2"/>
  <c r="Z6438" i="2"/>
  <c r="AA6438" i="2" s="1"/>
  <c r="AB6438" i="2"/>
  <c r="AC6438" i="2"/>
  <c r="AD6438" i="2"/>
  <c r="K6439" i="2"/>
  <c r="L6439" i="2"/>
  <c r="Z6439" i="2"/>
  <c r="AA6439" i="2" s="1"/>
  <c r="AB6439" i="2"/>
  <c r="AD6439" i="2"/>
  <c r="K6440" i="2"/>
  <c r="L6440" i="2"/>
  <c r="Z6440" i="2"/>
  <c r="AB6440" i="2" s="1"/>
  <c r="AD6440" i="2"/>
  <c r="K6441" i="2"/>
  <c r="L6441" i="2"/>
  <c r="Z6441" i="2"/>
  <c r="AB6441" i="2" s="1"/>
  <c r="AD6441" i="2"/>
  <c r="K6442" i="2"/>
  <c r="L6442" i="2"/>
  <c r="Z6442" i="2"/>
  <c r="AC6442" i="2" s="1"/>
  <c r="AD6442" i="2"/>
  <c r="K6443" i="2"/>
  <c r="L6443" i="2"/>
  <c r="Z6443" i="2"/>
  <c r="AB6443" i="2" s="1"/>
  <c r="AA6443" i="2"/>
  <c r="AC6443" i="2"/>
  <c r="AD6443" i="2"/>
  <c r="K6444" i="2"/>
  <c r="L6444" i="2"/>
  <c r="Z6444" i="2"/>
  <c r="AA6444" i="2" s="1"/>
  <c r="AD6444" i="2"/>
  <c r="K6445" i="2"/>
  <c r="L6445" i="2"/>
  <c r="Z6445" i="2"/>
  <c r="AC6445" i="2" s="1"/>
  <c r="AA6445" i="2"/>
  <c r="AD6445" i="2"/>
  <c r="K6446" i="2"/>
  <c r="L6446" i="2"/>
  <c r="Z6446" i="2"/>
  <c r="AC6446" i="2" s="1"/>
  <c r="AD6446" i="2"/>
  <c r="K6447" i="2"/>
  <c r="L6447" i="2"/>
  <c r="Z6447" i="2"/>
  <c r="AC6447" i="2" s="1"/>
  <c r="AA6447" i="2"/>
  <c r="AB6447" i="2"/>
  <c r="AD6447" i="2"/>
  <c r="K6448" i="2"/>
  <c r="L6448" i="2"/>
  <c r="Z6448" i="2"/>
  <c r="AD6448" i="2"/>
  <c r="K6449" i="2"/>
  <c r="L6449" i="2"/>
  <c r="Z6449" i="2"/>
  <c r="AB6449" i="2" s="1"/>
  <c r="AA6449" i="2"/>
  <c r="AD6449" i="2"/>
  <c r="K6450" i="2"/>
  <c r="L6450" i="2"/>
  <c r="Z6450" i="2"/>
  <c r="AA6450" i="2" s="1"/>
  <c r="AD6450" i="2"/>
  <c r="K6451" i="2"/>
  <c r="L6451" i="2"/>
  <c r="Z6451" i="2"/>
  <c r="AB6451" i="2" s="1"/>
  <c r="AD6451" i="2"/>
  <c r="K6452" i="2"/>
  <c r="L6452" i="2"/>
  <c r="Z6452" i="2"/>
  <c r="AA6452" i="2" s="1"/>
  <c r="AD6452" i="2"/>
  <c r="K6453" i="2"/>
  <c r="L6453" i="2"/>
  <c r="Z6453" i="2"/>
  <c r="AB6453" i="2" s="1"/>
  <c r="AD6453" i="2"/>
  <c r="K6454" i="2"/>
  <c r="L6454" i="2"/>
  <c r="Z6454" i="2"/>
  <c r="AA6454" i="2"/>
  <c r="AB6454" i="2"/>
  <c r="AC6454" i="2"/>
  <c r="AD6454" i="2"/>
  <c r="K6455" i="2"/>
  <c r="L6455" i="2"/>
  <c r="Z6455" i="2"/>
  <c r="AA6455" i="2" s="1"/>
  <c r="AD6455" i="2"/>
  <c r="K6456" i="2"/>
  <c r="L6456" i="2"/>
  <c r="Z6456" i="2"/>
  <c r="AB6456" i="2" s="1"/>
  <c r="AC6456" i="2"/>
  <c r="AD6456" i="2"/>
  <c r="K6457" i="2"/>
  <c r="L6457" i="2"/>
  <c r="Z6457" i="2"/>
  <c r="AA6457" i="2" s="1"/>
  <c r="AD6457" i="2"/>
  <c r="K6458" i="2"/>
  <c r="L6458" i="2"/>
  <c r="Z6458" i="2"/>
  <c r="AC6458" i="2" s="1"/>
  <c r="AD6458" i="2"/>
  <c r="K6459" i="2"/>
  <c r="L6459" i="2"/>
  <c r="Z6459" i="2"/>
  <c r="AA6459" i="2" s="1"/>
  <c r="AD6459" i="2"/>
  <c r="K6460" i="2"/>
  <c r="L6460" i="2"/>
  <c r="Z6460" i="2"/>
  <c r="AA6460" i="2" s="1"/>
  <c r="AD6460" i="2"/>
  <c r="K6461" i="2"/>
  <c r="L6461" i="2"/>
  <c r="Z6461" i="2"/>
  <c r="AA6461" i="2"/>
  <c r="AD6461" i="2"/>
  <c r="K6462" i="2"/>
  <c r="L6462" i="2"/>
  <c r="Z6462" i="2"/>
  <c r="AA6462" i="2" s="1"/>
  <c r="AC6462" i="2"/>
  <c r="AD6462" i="2"/>
  <c r="K6463" i="2"/>
  <c r="L6463" i="2"/>
  <c r="Z6463" i="2"/>
  <c r="AA6463" i="2"/>
  <c r="AD6463" i="2"/>
  <c r="K6464" i="2"/>
  <c r="L6464" i="2"/>
  <c r="Z6464" i="2"/>
  <c r="AC6464" i="2" s="1"/>
  <c r="AA6464" i="2"/>
  <c r="AD6464" i="2"/>
  <c r="K6465" i="2"/>
  <c r="L6465" i="2"/>
  <c r="Z6465" i="2"/>
  <c r="AB6465" i="2" s="1"/>
  <c r="AD6465" i="2"/>
  <c r="K6466" i="2"/>
  <c r="L6466" i="2"/>
  <c r="Z6466" i="2"/>
  <c r="AA6466" i="2" s="1"/>
  <c r="AD6466" i="2"/>
  <c r="K6467" i="2"/>
  <c r="L6467" i="2"/>
  <c r="Z6467" i="2"/>
  <c r="AA6467" i="2" s="1"/>
  <c r="AB6467" i="2"/>
  <c r="AC6467" i="2"/>
  <c r="AD6467" i="2"/>
  <c r="K6468" i="2"/>
  <c r="L6468" i="2"/>
  <c r="Z6468" i="2"/>
  <c r="AA6468" i="2" s="1"/>
  <c r="AD6468" i="2"/>
  <c r="K6469" i="2"/>
  <c r="L6469" i="2"/>
  <c r="Z6469" i="2"/>
  <c r="AA6469" i="2" s="1"/>
  <c r="AD6469" i="2"/>
  <c r="K6470" i="2"/>
  <c r="L6470" i="2"/>
  <c r="Z6470" i="2"/>
  <c r="AC6470" i="2" s="1"/>
  <c r="AD6470" i="2"/>
  <c r="K6471" i="2"/>
  <c r="L6471" i="2"/>
  <c r="Z6471" i="2"/>
  <c r="AA6471" i="2" s="1"/>
  <c r="AD6471" i="2"/>
  <c r="K6472" i="2"/>
  <c r="L6472" i="2"/>
  <c r="Z6472" i="2"/>
  <c r="AA6472" i="2" s="1"/>
  <c r="AB6472" i="2"/>
  <c r="AD6472" i="2"/>
  <c r="K6473" i="2"/>
  <c r="L6473" i="2"/>
  <c r="Z6473" i="2"/>
  <c r="AC6473" i="2" s="1"/>
  <c r="AB6473" i="2"/>
  <c r="AD6473" i="2"/>
  <c r="K6474" i="2"/>
  <c r="L6474" i="2"/>
  <c r="Z6474" i="2"/>
  <c r="AC6474" i="2" s="1"/>
  <c r="AD6474" i="2"/>
  <c r="K6475" i="2"/>
  <c r="L6475" i="2"/>
  <c r="Z6475" i="2"/>
  <c r="AA6475" i="2" s="1"/>
  <c r="AB6475" i="2"/>
  <c r="AC6475" i="2"/>
  <c r="AD6475" i="2"/>
  <c r="K6476" i="2"/>
  <c r="L6476" i="2"/>
  <c r="Z6476" i="2"/>
  <c r="AA6476" i="2" s="1"/>
  <c r="AD6476" i="2"/>
  <c r="K6477" i="2"/>
  <c r="L6477" i="2"/>
  <c r="Z6477" i="2"/>
  <c r="AB6477" i="2" s="1"/>
  <c r="AD6477" i="2"/>
  <c r="K6478" i="2"/>
  <c r="L6478" i="2"/>
  <c r="Z6478" i="2"/>
  <c r="AA6478" i="2" s="1"/>
  <c r="AD6478" i="2"/>
  <c r="K6479" i="2"/>
  <c r="L6479" i="2"/>
  <c r="Z6479" i="2"/>
  <c r="AB6479" i="2" s="1"/>
  <c r="AA6479" i="2"/>
  <c r="AD6479" i="2"/>
  <c r="K6480" i="2"/>
  <c r="L6480" i="2"/>
  <c r="Z6480" i="2"/>
  <c r="AC6480" i="2" s="1"/>
  <c r="AD6480" i="2"/>
  <c r="K6481" i="2"/>
  <c r="L6481" i="2"/>
  <c r="Z6481" i="2"/>
  <c r="AC6481" i="2" s="1"/>
  <c r="AD6481" i="2"/>
  <c r="K6482" i="2"/>
  <c r="L6482" i="2"/>
  <c r="Z6482" i="2"/>
  <c r="AC6482" i="2" s="1"/>
  <c r="AD6482" i="2"/>
  <c r="K6483" i="2"/>
  <c r="L6483" i="2"/>
  <c r="Z6483" i="2"/>
  <c r="AB6483" i="2" s="1"/>
  <c r="AA6483" i="2"/>
  <c r="AD6483" i="2"/>
  <c r="K6484" i="2"/>
  <c r="L6484" i="2"/>
  <c r="Z6484" i="2"/>
  <c r="AD6484" i="2"/>
  <c r="K6485" i="2"/>
  <c r="L6485" i="2"/>
  <c r="Z6485" i="2"/>
  <c r="AA6485" i="2" s="1"/>
  <c r="AD6485" i="2"/>
  <c r="K6486" i="2"/>
  <c r="L6486" i="2"/>
  <c r="Z6486" i="2"/>
  <c r="AA6486" i="2" s="1"/>
  <c r="AD6486" i="2"/>
  <c r="K6487" i="2"/>
  <c r="L6487" i="2"/>
  <c r="Z6487" i="2"/>
  <c r="AA6487" i="2" s="1"/>
  <c r="AD6487" i="2"/>
  <c r="K6488" i="2"/>
  <c r="L6488" i="2"/>
  <c r="Z6488" i="2"/>
  <c r="AB6488" i="2" s="1"/>
  <c r="AD6488" i="2"/>
  <c r="K6489" i="2"/>
  <c r="L6489" i="2"/>
  <c r="Z6489" i="2"/>
  <c r="AB6489" i="2" s="1"/>
  <c r="AD6489" i="2"/>
  <c r="K6490" i="2"/>
  <c r="L6490" i="2"/>
  <c r="Z6490" i="2"/>
  <c r="AC6490" i="2" s="1"/>
  <c r="AD6490" i="2"/>
  <c r="K6491" i="2"/>
  <c r="L6491" i="2"/>
  <c r="Z6491" i="2"/>
  <c r="AC6491" i="2" s="1"/>
  <c r="AA6491" i="2"/>
  <c r="AB6491" i="2"/>
  <c r="AD6491" i="2"/>
  <c r="K6492" i="2"/>
  <c r="L6492" i="2"/>
  <c r="Z6492" i="2"/>
  <c r="AA6492" i="2" s="1"/>
  <c r="AD6492" i="2"/>
  <c r="K6493" i="2"/>
  <c r="L6493" i="2"/>
  <c r="Z6493" i="2"/>
  <c r="AD6493" i="2"/>
  <c r="K6494" i="2"/>
  <c r="L6494" i="2"/>
  <c r="Z6494" i="2"/>
  <c r="AC6494" i="2" s="1"/>
  <c r="AD6494" i="2"/>
  <c r="K6495" i="2"/>
  <c r="L6495" i="2"/>
  <c r="Z6495" i="2"/>
  <c r="AA6495" i="2" s="1"/>
  <c r="AC6495" i="2"/>
  <c r="AD6495" i="2"/>
  <c r="K6496" i="2"/>
  <c r="L6496" i="2"/>
  <c r="Z6496" i="2"/>
  <c r="AA6496" i="2" s="1"/>
  <c r="AB6496" i="2"/>
  <c r="AC6496" i="2"/>
  <c r="AD6496" i="2"/>
  <c r="K6497" i="2"/>
  <c r="L6497" i="2"/>
  <c r="Z6497" i="2"/>
  <c r="AB6497" i="2" s="1"/>
  <c r="AA6497" i="2"/>
  <c r="AC6497" i="2"/>
  <c r="AD6497" i="2"/>
  <c r="K6498" i="2"/>
  <c r="L6498" i="2"/>
  <c r="Z6498" i="2"/>
  <c r="AA6498" i="2" s="1"/>
  <c r="AD6498" i="2"/>
  <c r="K6499" i="2"/>
  <c r="L6499" i="2"/>
  <c r="Z6499" i="2"/>
  <c r="AB6499" i="2" s="1"/>
  <c r="AD6499" i="2"/>
  <c r="K6500" i="2"/>
  <c r="L6500" i="2"/>
  <c r="Z6500" i="2"/>
  <c r="AA6500" i="2"/>
  <c r="AD6500" i="2"/>
  <c r="K6501" i="2"/>
  <c r="L6501" i="2"/>
  <c r="Z6501" i="2"/>
  <c r="AB6501" i="2" s="1"/>
  <c r="AD6501" i="2"/>
  <c r="K6502" i="2"/>
  <c r="L6502" i="2"/>
  <c r="Z6502" i="2"/>
  <c r="AC6502" i="2" s="1"/>
  <c r="AB6502" i="2"/>
  <c r="AD6502" i="2"/>
  <c r="K6503" i="2"/>
  <c r="L6503" i="2"/>
  <c r="Z6503" i="2"/>
  <c r="AB6503" i="2" s="1"/>
  <c r="AD6503" i="2"/>
  <c r="K6504" i="2"/>
  <c r="L6504" i="2"/>
  <c r="Z6504" i="2"/>
  <c r="AB6504" i="2" s="1"/>
  <c r="AD6504" i="2"/>
  <c r="K6505" i="2"/>
  <c r="L6505" i="2"/>
  <c r="Z6505" i="2"/>
  <c r="AA6505" i="2" s="1"/>
  <c r="AD6505" i="2"/>
  <c r="K6506" i="2"/>
  <c r="L6506" i="2"/>
  <c r="Z6506" i="2"/>
  <c r="AC6506" i="2" s="1"/>
  <c r="AD6506" i="2"/>
  <c r="K6507" i="2"/>
  <c r="L6507" i="2"/>
  <c r="Z6507" i="2"/>
  <c r="AD6507" i="2"/>
  <c r="K6508" i="2"/>
  <c r="L6508" i="2"/>
  <c r="Z6508" i="2"/>
  <c r="AA6508" i="2" s="1"/>
  <c r="AD6508" i="2"/>
  <c r="K6509" i="2"/>
  <c r="L6509" i="2"/>
  <c r="Z6509" i="2"/>
  <c r="AA6509" i="2" s="1"/>
  <c r="AB6509" i="2"/>
  <c r="AC6509" i="2"/>
  <c r="AD6509" i="2"/>
  <c r="K6510" i="2"/>
  <c r="L6510" i="2"/>
  <c r="Z6510" i="2"/>
  <c r="AA6510" i="2" s="1"/>
  <c r="AC6510" i="2"/>
  <c r="AD6510" i="2"/>
  <c r="K6511" i="2"/>
  <c r="L6511" i="2"/>
  <c r="Z6511" i="2"/>
  <c r="AA6511" i="2" s="1"/>
  <c r="AD6511" i="2"/>
  <c r="K6512" i="2"/>
  <c r="L6512" i="2"/>
  <c r="Z6512" i="2"/>
  <c r="AC6512" i="2" s="1"/>
  <c r="AA6512" i="2"/>
  <c r="AB6512" i="2"/>
  <c r="AD6512" i="2"/>
  <c r="K6513" i="2"/>
  <c r="L6513" i="2"/>
  <c r="Z6513" i="2"/>
  <c r="AB6513" i="2" s="1"/>
  <c r="AD6513" i="2"/>
  <c r="K6514" i="2"/>
  <c r="L6514" i="2"/>
  <c r="Z6514" i="2"/>
  <c r="AA6514" i="2" s="1"/>
  <c r="AD6514" i="2"/>
  <c r="K6515" i="2"/>
  <c r="L6515" i="2"/>
  <c r="Z6515" i="2"/>
  <c r="AD6515" i="2"/>
  <c r="K6516" i="2"/>
  <c r="L6516" i="2"/>
  <c r="Z6516" i="2"/>
  <c r="AB6516" i="2" s="1"/>
  <c r="AD6516" i="2"/>
  <c r="K6517" i="2"/>
  <c r="L6517" i="2"/>
  <c r="Z6517" i="2"/>
  <c r="AA6517" i="2" s="1"/>
  <c r="AD6517" i="2"/>
  <c r="K6518" i="2"/>
  <c r="L6518" i="2"/>
  <c r="Z6518" i="2"/>
  <c r="AC6518" i="2" s="1"/>
  <c r="AA6518" i="2"/>
  <c r="AD6518" i="2"/>
  <c r="K6519" i="2"/>
  <c r="L6519" i="2"/>
  <c r="Z6519" i="2"/>
  <c r="AA6519" i="2" s="1"/>
  <c r="AB6519" i="2"/>
  <c r="AD6519" i="2"/>
  <c r="K6520" i="2"/>
  <c r="L6520" i="2"/>
  <c r="Z6520" i="2"/>
  <c r="AA6520" i="2" s="1"/>
  <c r="AD6520" i="2"/>
  <c r="K6521" i="2"/>
  <c r="L6521" i="2"/>
  <c r="Z6521" i="2"/>
  <c r="AC6521" i="2" s="1"/>
  <c r="AA6521" i="2"/>
  <c r="AD6521" i="2"/>
  <c r="K6522" i="2"/>
  <c r="L6522" i="2"/>
  <c r="Z6522" i="2"/>
  <c r="AC6522" i="2" s="1"/>
  <c r="AD6522" i="2"/>
  <c r="K6523" i="2"/>
  <c r="L6523" i="2"/>
  <c r="Z6523" i="2"/>
  <c r="AA6523" i="2" s="1"/>
  <c r="AC6523" i="2"/>
  <c r="AD6523" i="2"/>
  <c r="K6524" i="2"/>
  <c r="L6524" i="2"/>
  <c r="Z6524" i="2"/>
  <c r="AA6524" i="2" s="1"/>
  <c r="AD6524" i="2"/>
  <c r="K6525" i="2"/>
  <c r="L6525" i="2"/>
  <c r="Z6525" i="2"/>
  <c r="AB6525" i="2" s="1"/>
  <c r="AA6525" i="2"/>
  <c r="AD6525" i="2"/>
  <c r="K6526" i="2"/>
  <c r="L6526" i="2"/>
  <c r="Z6526" i="2"/>
  <c r="AA6526" i="2" s="1"/>
  <c r="AC6526" i="2"/>
  <c r="AD6526" i="2"/>
  <c r="K6527" i="2"/>
  <c r="L6527" i="2"/>
  <c r="Z6527" i="2"/>
  <c r="AA6527" i="2" s="1"/>
  <c r="AD6527" i="2"/>
  <c r="K6528" i="2"/>
  <c r="L6528" i="2"/>
  <c r="Z6528" i="2"/>
  <c r="AD6528" i="2"/>
  <c r="K6529" i="2"/>
  <c r="L6529" i="2"/>
  <c r="Z6529" i="2"/>
  <c r="AC6529" i="2" s="1"/>
  <c r="AD6529" i="2"/>
  <c r="K6530" i="2"/>
  <c r="L6530" i="2"/>
  <c r="Z6530" i="2"/>
  <c r="AC6530" i="2" s="1"/>
  <c r="AB6530" i="2"/>
  <c r="AD6530" i="2"/>
  <c r="K6531" i="2"/>
  <c r="L6531" i="2"/>
  <c r="Z6531" i="2"/>
  <c r="AB6531" i="2" s="1"/>
  <c r="AA6531" i="2"/>
  <c r="AD6531" i="2"/>
  <c r="K6532" i="2"/>
  <c r="L6532" i="2"/>
  <c r="Z6532" i="2"/>
  <c r="AD6532" i="2"/>
  <c r="K6533" i="2"/>
  <c r="L6533" i="2"/>
  <c r="Z6533" i="2"/>
  <c r="AA6533" i="2" s="1"/>
  <c r="AC6533" i="2"/>
  <c r="AD6533" i="2"/>
  <c r="K6534" i="2"/>
  <c r="L6534" i="2"/>
  <c r="Z6534" i="2"/>
  <c r="AB6534" i="2"/>
  <c r="AD6534" i="2"/>
  <c r="K6535" i="2"/>
  <c r="L6535" i="2"/>
  <c r="Z6535" i="2"/>
  <c r="AC6535" i="2" s="1"/>
  <c r="AA6535" i="2"/>
  <c r="AB6535" i="2"/>
  <c r="AD6535" i="2"/>
  <c r="K6536" i="2"/>
  <c r="L6536" i="2"/>
  <c r="Z6536" i="2"/>
  <c r="AC6536" i="2" s="1"/>
  <c r="AD6536" i="2"/>
  <c r="K6537" i="2"/>
  <c r="L6537" i="2"/>
  <c r="Z6537" i="2"/>
  <c r="AA6537" i="2" s="1"/>
  <c r="AD6537" i="2"/>
  <c r="K6538" i="2"/>
  <c r="L6538" i="2"/>
  <c r="Z6538" i="2"/>
  <c r="AA6538" i="2" s="1"/>
  <c r="AD6538" i="2"/>
  <c r="K6539" i="2"/>
  <c r="L6539" i="2"/>
  <c r="Z6539" i="2"/>
  <c r="AC6539" i="2" s="1"/>
  <c r="AB6539" i="2"/>
  <c r="AD6539" i="2"/>
  <c r="K6540" i="2"/>
  <c r="L6540" i="2"/>
  <c r="Z6540" i="2"/>
  <c r="AD6540" i="2"/>
  <c r="K6541" i="2"/>
  <c r="L6541" i="2"/>
  <c r="Z6541" i="2"/>
  <c r="AB6541" i="2" s="1"/>
  <c r="AC6541" i="2"/>
  <c r="AD6541" i="2"/>
  <c r="K6542" i="2"/>
  <c r="L6542" i="2"/>
  <c r="Z6542" i="2"/>
  <c r="AA6542" i="2" s="1"/>
  <c r="AD6542" i="2"/>
  <c r="K6543" i="2"/>
  <c r="L6543" i="2"/>
  <c r="Z6543" i="2"/>
  <c r="AB6543" i="2" s="1"/>
  <c r="AA6543" i="2"/>
  <c r="AD6543" i="2"/>
  <c r="K6544" i="2"/>
  <c r="L6544" i="2"/>
  <c r="Z6544" i="2"/>
  <c r="AB6544" i="2"/>
  <c r="AD6544" i="2"/>
  <c r="K6545" i="2"/>
  <c r="L6545" i="2"/>
  <c r="Z6545" i="2"/>
  <c r="AA6545" i="2" s="1"/>
  <c r="AC6545" i="2"/>
  <c r="AD6545" i="2"/>
  <c r="K6546" i="2"/>
  <c r="L6546" i="2"/>
  <c r="Z6546" i="2"/>
  <c r="AA6546" i="2" s="1"/>
  <c r="AB6546" i="2"/>
  <c r="AC6546" i="2"/>
  <c r="AD6546" i="2"/>
  <c r="K6547" i="2"/>
  <c r="L6547" i="2"/>
  <c r="Z6547" i="2"/>
  <c r="AD6547" i="2"/>
  <c r="K6548" i="2"/>
  <c r="L6548" i="2"/>
  <c r="Z6548" i="2"/>
  <c r="AC6548" i="2" s="1"/>
  <c r="AD6548" i="2"/>
  <c r="K6549" i="2"/>
  <c r="L6549" i="2"/>
  <c r="Z6549" i="2"/>
  <c r="AA6549" i="2" s="1"/>
  <c r="AD6549" i="2"/>
  <c r="K6550" i="2"/>
  <c r="L6550" i="2"/>
  <c r="Z6550" i="2"/>
  <c r="AA6550" i="2" s="1"/>
  <c r="AD6550" i="2"/>
  <c r="K6551" i="2"/>
  <c r="L6551" i="2"/>
  <c r="Z6551" i="2"/>
  <c r="AA6551" i="2" s="1"/>
  <c r="AD6551" i="2"/>
  <c r="K6552" i="2"/>
  <c r="L6552" i="2"/>
  <c r="Z6552" i="2"/>
  <c r="AA6552" i="2" s="1"/>
  <c r="AB6552" i="2"/>
  <c r="AD6552" i="2"/>
  <c r="K6553" i="2"/>
  <c r="L6553" i="2"/>
  <c r="Z6553" i="2"/>
  <c r="AB6553" i="2" s="1"/>
  <c r="AD6553" i="2"/>
  <c r="K6554" i="2"/>
  <c r="L6554" i="2"/>
  <c r="Z6554" i="2"/>
  <c r="AA6554" i="2" s="1"/>
  <c r="AD6554" i="2"/>
  <c r="K6555" i="2"/>
  <c r="L6555" i="2"/>
  <c r="Z6555" i="2"/>
  <c r="AB6555" i="2" s="1"/>
  <c r="AA6555" i="2"/>
  <c r="AD6555" i="2"/>
  <c r="K6556" i="2"/>
  <c r="L6556" i="2"/>
  <c r="Z6556" i="2"/>
  <c r="AA6556" i="2" s="1"/>
  <c r="AB6556" i="2"/>
  <c r="AC6556" i="2"/>
  <c r="AD6556" i="2"/>
  <c r="K6557" i="2"/>
  <c r="L6557" i="2"/>
  <c r="Z6557" i="2"/>
  <c r="AA6557" i="2" s="1"/>
  <c r="AC6557" i="2"/>
  <c r="AD6557" i="2"/>
  <c r="K6558" i="2"/>
  <c r="L6558" i="2"/>
  <c r="Z6558" i="2"/>
  <c r="AA6558" i="2" s="1"/>
  <c r="AB6558" i="2"/>
  <c r="AC6558" i="2"/>
  <c r="AD6558" i="2"/>
  <c r="K6559" i="2"/>
  <c r="L6559" i="2"/>
  <c r="Z6559" i="2"/>
  <c r="AC6559" i="2" s="1"/>
  <c r="AB6559" i="2"/>
  <c r="AD6559" i="2"/>
  <c r="K6560" i="2"/>
  <c r="L6560" i="2"/>
  <c r="Z6560" i="2"/>
  <c r="AC6560" i="2" s="1"/>
  <c r="AD6560" i="2"/>
  <c r="K6561" i="2"/>
  <c r="L6561" i="2"/>
  <c r="Z6561" i="2"/>
  <c r="AA6561" i="2" s="1"/>
  <c r="AD6561" i="2"/>
  <c r="K6562" i="2"/>
  <c r="L6562" i="2"/>
  <c r="Z6562" i="2"/>
  <c r="AA6562" i="2" s="1"/>
  <c r="AD6562" i="2"/>
  <c r="K6563" i="2"/>
  <c r="L6563" i="2"/>
  <c r="Z6563" i="2"/>
  <c r="AC6563" i="2" s="1"/>
  <c r="AD6563" i="2"/>
  <c r="K6564" i="2"/>
  <c r="L6564" i="2"/>
  <c r="Z6564" i="2"/>
  <c r="AD6564" i="2"/>
  <c r="K6565" i="2"/>
  <c r="L6565" i="2"/>
  <c r="Z6565" i="2"/>
  <c r="AB6565" i="2" s="1"/>
  <c r="AC6565" i="2"/>
  <c r="AD6565" i="2"/>
  <c r="K6566" i="2"/>
  <c r="L6566" i="2"/>
  <c r="Z6566" i="2"/>
  <c r="AA6566" i="2" s="1"/>
  <c r="AD6566" i="2"/>
  <c r="K6567" i="2"/>
  <c r="L6567" i="2"/>
  <c r="Z6567" i="2"/>
  <c r="AB6567" i="2" s="1"/>
  <c r="AA6567" i="2"/>
  <c r="AD6567" i="2"/>
  <c r="K6568" i="2"/>
  <c r="L6568" i="2"/>
  <c r="Z6568" i="2"/>
  <c r="AA6568" i="2" s="1"/>
  <c r="AB6568" i="2"/>
  <c r="AD6568" i="2"/>
  <c r="K6569" i="2"/>
  <c r="L6569" i="2"/>
  <c r="Z6569" i="2"/>
  <c r="AA6569" i="2" s="1"/>
  <c r="AC6569" i="2"/>
  <c r="AD6569" i="2"/>
  <c r="K6570" i="2"/>
  <c r="L6570" i="2"/>
  <c r="Z6570" i="2"/>
  <c r="AA6570" i="2" s="1"/>
  <c r="AB6570" i="2"/>
  <c r="AC6570" i="2"/>
  <c r="AD6570" i="2"/>
  <c r="K6571" i="2"/>
  <c r="L6571" i="2"/>
  <c r="Z6571" i="2"/>
  <c r="AD6571" i="2"/>
  <c r="K6572" i="2"/>
  <c r="L6572" i="2"/>
  <c r="Z6572" i="2"/>
  <c r="AC6572" i="2" s="1"/>
  <c r="AD6572" i="2"/>
  <c r="K6573" i="2"/>
  <c r="L6573" i="2"/>
  <c r="Z6573" i="2"/>
  <c r="AA6573" i="2" s="1"/>
  <c r="AD6573" i="2"/>
  <c r="K6574" i="2"/>
  <c r="L6574" i="2"/>
  <c r="Z6574" i="2"/>
  <c r="AA6574" i="2" s="1"/>
  <c r="AD6574" i="2"/>
  <c r="K6575" i="2"/>
  <c r="L6575" i="2"/>
  <c r="Z6575" i="2"/>
  <c r="AA6575" i="2" s="1"/>
  <c r="AD6575" i="2"/>
  <c r="K6576" i="2"/>
  <c r="L6576" i="2"/>
  <c r="Z6576" i="2"/>
  <c r="AA6576" i="2" s="1"/>
  <c r="AD6576" i="2"/>
  <c r="K6577" i="2"/>
  <c r="L6577" i="2"/>
  <c r="Z6577" i="2"/>
  <c r="AB6577" i="2" s="1"/>
  <c r="AD6577" i="2"/>
  <c r="K6578" i="2"/>
  <c r="L6578" i="2"/>
  <c r="Z6578" i="2"/>
  <c r="AA6578" i="2" s="1"/>
  <c r="AD6578" i="2"/>
  <c r="K6579" i="2"/>
  <c r="L6579" i="2"/>
  <c r="Z6579" i="2"/>
  <c r="AB6579" i="2" s="1"/>
  <c r="AA6579" i="2"/>
  <c r="AD6579" i="2"/>
  <c r="K6580" i="2"/>
  <c r="L6580" i="2"/>
  <c r="Z6580" i="2"/>
  <c r="AC6580" i="2"/>
  <c r="AD6580" i="2"/>
  <c r="K6581" i="2"/>
  <c r="L6581" i="2"/>
  <c r="Z6581" i="2"/>
  <c r="AA6581" i="2" s="1"/>
  <c r="AC6581" i="2"/>
  <c r="AD6581" i="2"/>
  <c r="K6582" i="2"/>
  <c r="L6582" i="2"/>
  <c r="Z6582" i="2"/>
  <c r="AD6582" i="2"/>
  <c r="K6583" i="2"/>
  <c r="L6583" i="2"/>
  <c r="Z6583" i="2"/>
  <c r="AC6583" i="2" s="1"/>
  <c r="AA6583" i="2"/>
  <c r="AB6583" i="2"/>
  <c r="AD6583" i="2"/>
  <c r="K6584" i="2"/>
  <c r="L6584" i="2"/>
  <c r="Z6584" i="2"/>
  <c r="AC6584" i="2" s="1"/>
  <c r="AD6584" i="2"/>
  <c r="K6585" i="2"/>
  <c r="L6585" i="2"/>
  <c r="Z6585" i="2"/>
  <c r="AA6585" i="2" s="1"/>
  <c r="AD6585" i="2"/>
  <c r="K6586" i="2"/>
  <c r="L6586" i="2"/>
  <c r="Z6586" i="2"/>
  <c r="AA6586" i="2" s="1"/>
  <c r="AD6586" i="2"/>
  <c r="K6587" i="2"/>
  <c r="L6587" i="2"/>
  <c r="Z6587" i="2"/>
  <c r="AD6587" i="2"/>
  <c r="K6588" i="2"/>
  <c r="L6588" i="2"/>
  <c r="Z6588" i="2"/>
  <c r="AA6588" i="2" s="1"/>
  <c r="AB6588" i="2"/>
  <c r="AD6588" i="2"/>
  <c r="K6589" i="2"/>
  <c r="L6589" i="2"/>
  <c r="Z6589" i="2"/>
  <c r="AB6589" i="2" s="1"/>
  <c r="AC6589" i="2"/>
  <c r="AD6589" i="2"/>
  <c r="K6590" i="2"/>
  <c r="L6590" i="2"/>
  <c r="Z6590" i="2"/>
  <c r="AA6590" i="2" s="1"/>
  <c r="AD6590" i="2"/>
  <c r="K6591" i="2"/>
  <c r="L6591" i="2"/>
  <c r="Z6591" i="2"/>
  <c r="AB6591" i="2" s="1"/>
  <c r="AA6591" i="2"/>
  <c r="AD6591" i="2"/>
  <c r="K6592" i="2"/>
  <c r="L6592" i="2"/>
  <c r="Z6592" i="2"/>
  <c r="AD6592" i="2"/>
  <c r="K6593" i="2"/>
  <c r="L6593" i="2"/>
  <c r="Z6593" i="2"/>
  <c r="AA6593" i="2" s="1"/>
  <c r="AC6593" i="2"/>
  <c r="AD6593" i="2"/>
  <c r="K6594" i="2"/>
  <c r="L6594" i="2"/>
  <c r="Z6594" i="2"/>
  <c r="AB6594" i="2"/>
  <c r="AD6594" i="2"/>
  <c r="K6595" i="2"/>
  <c r="L6595" i="2"/>
  <c r="Z6595" i="2"/>
  <c r="AC6595" i="2" s="1"/>
  <c r="AB6595" i="2"/>
  <c r="AD6595" i="2"/>
  <c r="K6596" i="2"/>
  <c r="L6596" i="2"/>
  <c r="Z6596" i="2"/>
  <c r="AC6596" i="2" s="1"/>
  <c r="AD6596" i="2"/>
  <c r="K6597" i="2"/>
  <c r="L6597" i="2"/>
  <c r="Z6597" i="2"/>
  <c r="AA6597" i="2" s="1"/>
  <c r="AD6597" i="2"/>
  <c r="K6598" i="2"/>
  <c r="L6598" i="2"/>
  <c r="Z6598" i="2"/>
  <c r="AA6598" i="2" s="1"/>
  <c r="AD6598" i="2"/>
  <c r="K6599" i="2"/>
  <c r="L6599" i="2"/>
  <c r="Z6599" i="2"/>
  <c r="AA6599" i="2" s="1"/>
  <c r="AD6599" i="2"/>
  <c r="K6600" i="2"/>
  <c r="L6600" i="2"/>
  <c r="Z6600" i="2"/>
  <c r="AA6600" i="2" s="1"/>
  <c r="AB6600" i="2"/>
  <c r="AD6600" i="2"/>
  <c r="K6601" i="2"/>
  <c r="L6601" i="2"/>
  <c r="Z6601" i="2"/>
  <c r="AB6601" i="2" s="1"/>
  <c r="AD6601" i="2"/>
  <c r="K6602" i="2"/>
  <c r="L6602" i="2"/>
  <c r="Z6602" i="2"/>
  <c r="AA6602" i="2" s="1"/>
  <c r="AD6602" i="2"/>
  <c r="K6603" i="2"/>
  <c r="L6603" i="2"/>
  <c r="Z6603" i="2"/>
  <c r="AB6603" i="2" s="1"/>
  <c r="AA6603" i="2"/>
  <c r="AD6603" i="2"/>
  <c r="K6604" i="2"/>
  <c r="L6604" i="2"/>
  <c r="Z6604" i="2"/>
  <c r="AC6604" i="2"/>
  <c r="AD6604" i="2"/>
  <c r="K6605" i="2"/>
  <c r="L6605" i="2"/>
  <c r="Z6605" i="2"/>
  <c r="AA6605" i="2" s="1"/>
  <c r="AC6605" i="2"/>
  <c r="AD6605" i="2"/>
  <c r="K6606" i="2"/>
  <c r="L6606" i="2"/>
  <c r="Z6606" i="2"/>
  <c r="AC6606" i="2" s="1"/>
  <c r="AD6606" i="2"/>
  <c r="K6607" i="2"/>
  <c r="L6607" i="2"/>
  <c r="Z6607" i="2"/>
  <c r="AB6607" i="2" s="1"/>
  <c r="AA6607" i="2"/>
  <c r="AD6607" i="2"/>
  <c r="K6608" i="2"/>
  <c r="L6608" i="2"/>
  <c r="Z6608" i="2"/>
  <c r="AC6608" i="2" s="1"/>
  <c r="AD6608" i="2"/>
  <c r="K6609" i="2"/>
  <c r="L6609" i="2"/>
  <c r="Z6609" i="2"/>
  <c r="AD6609" i="2"/>
  <c r="K6610" i="2"/>
  <c r="L6610" i="2"/>
  <c r="Z6610" i="2"/>
  <c r="AA6610" i="2" s="1"/>
  <c r="AD6610" i="2"/>
  <c r="K6611" i="2"/>
  <c r="L6611" i="2"/>
  <c r="Z6611" i="2"/>
  <c r="AB6611" i="2" s="1"/>
  <c r="AA6611" i="2"/>
  <c r="AC6611" i="2"/>
  <c r="AD6611" i="2"/>
  <c r="K6612" i="2"/>
  <c r="L6612" i="2"/>
  <c r="Z6612" i="2"/>
  <c r="AA6612" i="2" s="1"/>
  <c r="AD6612" i="2"/>
  <c r="K6613" i="2"/>
  <c r="L6613" i="2"/>
  <c r="Z6613" i="2"/>
  <c r="AD6613" i="2"/>
  <c r="K6614" i="2"/>
  <c r="L6614" i="2"/>
  <c r="Z6614" i="2"/>
  <c r="AA6614" i="2" s="1"/>
  <c r="AD6614" i="2"/>
  <c r="K6615" i="2"/>
  <c r="L6615" i="2"/>
  <c r="Z6615" i="2"/>
  <c r="AB6615" i="2" s="1"/>
  <c r="AA6615" i="2"/>
  <c r="AD6615" i="2"/>
  <c r="K6616" i="2"/>
  <c r="L6616" i="2"/>
  <c r="Z6616" i="2"/>
  <c r="AA6616" i="2" s="1"/>
  <c r="AD6616" i="2"/>
  <c r="K6617" i="2"/>
  <c r="L6617" i="2"/>
  <c r="Z6617" i="2"/>
  <c r="AA6617" i="2" s="1"/>
  <c r="AC6617" i="2"/>
  <c r="AD6617" i="2"/>
  <c r="K6618" i="2"/>
  <c r="L6618" i="2"/>
  <c r="Z6618" i="2"/>
  <c r="AA6618" i="2" s="1"/>
  <c r="AD6618" i="2"/>
  <c r="K6619" i="2"/>
  <c r="L6619" i="2"/>
  <c r="Z6619" i="2"/>
  <c r="AB6619" i="2" s="1"/>
  <c r="AA6619" i="2"/>
  <c r="AD6619" i="2"/>
  <c r="K6620" i="2"/>
  <c r="L6620" i="2"/>
  <c r="Z6620" i="2"/>
  <c r="AC6620" i="2" s="1"/>
  <c r="AD6620" i="2"/>
  <c r="K6621" i="2"/>
  <c r="L6621" i="2"/>
  <c r="Z6621" i="2"/>
  <c r="AA6621" i="2" s="1"/>
  <c r="AD6621" i="2"/>
  <c r="K6622" i="2"/>
  <c r="L6622" i="2"/>
  <c r="Z6622" i="2"/>
  <c r="AA6622" i="2" s="1"/>
  <c r="AD6622" i="2"/>
  <c r="K6623" i="2"/>
  <c r="L6623" i="2"/>
  <c r="Z6623" i="2"/>
  <c r="AA6623" i="2"/>
  <c r="AB6623" i="2"/>
  <c r="AC6623" i="2"/>
  <c r="AD6623" i="2"/>
  <c r="K6624" i="2"/>
  <c r="L6624" i="2"/>
  <c r="Z6624" i="2"/>
  <c r="AA6624" i="2" s="1"/>
  <c r="AB6624" i="2"/>
  <c r="AD6624" i="2"/>
  <c r="K6625" i="2"/>
  <c r="L6625" i="2"/>
  <c r="Z6625" i="2"/>
  <c r="AB6625" i="2" s="1"/>
  <c r="AA6625" i="2"/>
  <c r="AC6625" i="2"/>
  <c r="AD6625" i="2"/>
  <c r="K6626" i="2"/>
  <c r="L6626" i="2"/>
  <c r="Z6626" i="2"/>
  <c r="AA6626" i="2" s="1"/>
  <c r="AD6626" i="2"/>
  <c r="K6627" i="2"/>
  <c r="L6627" i="2"/>
  <c r="Z6627" i="2"/>
  <c r="AB6627" i="2" s="1"/>
  <c r="AD6627" i="2"/>
  <c r="K6628" i="2"/>
  <c r="L6628" i="2"/>
  <c r="Z6628" i="2"/>
  <c r="AB6628" i="2" s="1"/>
  <c r="AA6628" i="2"/>
  <c r="AD6628" i="2"/>
  <c r="K6629" i="2"/>
  <c r="L6629" i="2"/>
  <c r="Z6629" i="2"/>
  <c r="AA6629" i="2" s="1"/>
  <c r="AD6629" i="2"/>
  <c r="K6630" i="2"/>
  <c r="L6630" i="2"/>
  <c r="Z6630" i="2"/>
  <c r="AB6630" i="2" s="1"/>
  <c r="AA6630" i="2"/>
  <c r="AD6630" i="2"/>
  <c r="K6631" i="2"/>
  <c r="L6631" i="2"/>
  <c r="Z6631" i="2"/>
  <c r="AC6631" i="2" s="1"/>
  <c r="AD6631" i="2"/>
  <c r="K6632" i="2"/>
  <c r="L6632" i="2"/>
  <c r="Z6632" i="2"/>
  <c r="AC6632" i="2" s="1"/>
  <c r="AD6632" i="2"/>
  <c r="K6633" i="2"/>
  <c r="L6633" i="2"/>
  <c r="Z6633" i="2"/>
  <c r="AA6633" i="2" s="1"/>
  <c r="AC6633" i="2"/>
  <c r="AD6633" i="2"/>
  <c r="K6634" i="2"/>
  <c r="L6634" i="2"/>
  <c r="Z6634" i="2"/>
  <c r="AA6634" i="2" s="1"/>
  <c r="AD6634" i="2"/>
  <c r="K6635" i="2"/>
  <c r="L6635" i="2"/>
  <c r="Z6635" i="2"/>
  <c r="AC6635" i="2" s="1"/>
  <c r="AB6635" i="2"/>
  <c r="AD6635" i="2"/>
  <c r="K6636" i="2"/>
  <c r="L6636" i="2"/>
  <c r="Z6636" i="2"/>
  <c r="AA6636" i="2" s="1"/>
  <c r="AB6636" i="2"/>
  <c r="AD6636" i="2"/>
  <c r="K6637" i="2"/>
  <c r="L6637" i="2"/>
  <c r="Z6637" i="2"/>
  <c r="AD6637" i="2"/>
  <c r="K6638" i="2"/>
  <c r="L6638" i="2"/>
  <c r="Z6638" i="2"/>
  <c r="AA6638" i="2" s="1"/>
  <c r="AD6638" i="2"/>
  <c r="K6639" i="2"/>
  <c r="L6639" i="2"/>
  <c r="Z6639" i="2"/>
  <c r="AB6639" i="2" s="1"/>
  <c r="AD6639" i="2"/>
  <c r="K6640" i="2"/>
  <c r="L6640" i="2"/>
  <c r="Z6640" i="2"/>
  <c r="AA6640" i="2"/>
  <c r="AB6640" i="2"/>
  <c r="AC6640" i="2"/>
  <c r="AD6640" i="2"/>
  <c r="K6641" i="2"/>
  <c r="L6641" i="2"/>
  <c r="Z6641" i="2"/>
  <c r="AA6641" i="2" s="1"/>
  <c r="AD6641" i="2"/>
  <c r="K6642" i="2"/>
  <c r="L6642" i="2"/>
  <c r="Z6642" i="2"/>
  <c r="AA6642" i="2" s="1"/>
  <c r="AB6642" i="2"/>
  <c r="AC6642" i="2"/>
  <c r="AD6642" i="2"/>
  <c r="K6643" i="2"/>
  <c r="L6643" i="2"/>
  <c r="Z6643" i="2"/>
  <c r="AC6643" i="2" s="1"/>
  <c r="AD6643" i="2"/>
  <c r="K6644" i="2"/>
  <c r="L6644" i="2"/>
  <c r="Z6644" i="2"/>
  <c r="AC6644" i="2" s="1"/>
  <c r="AD6644" i="2"/>
  <c r="K6645" i="2"/>
  <c r="L6645" i="2"/>
  <c r="Z6645" i="2"/>
  <c r="AA6645" i="2" s="1"/>
  <c r="AD6645" i="2"/>
  <c r="K6646" i="2"/>
  <c r="L6646" i="2"/>
  <c r="Z6646" i="2"/>
  <c r="AA6646" i="2" s="1"/>
  <c r="AD6646" i="2"/>
  <c r="K6647" i="2"/>
  <c r="L6647" i="2"/>
  <c r="Z6647" i="2"/>
  <c r="AC6647" i="2"/>
  <c r="AD6647" i="2"/>
  <c r="K6648" i="2"/>
  <c r="L6648" i="2"/>
  <c r="Z6648" i="2"/>
  <c r="AA6648" i="2" s="1"/>
  <c r="AD6648" i="2"/>
  <c r="K6649" i="2"/>
  <c r="L6649" i="2"/>
  <c r="Z6649" i="2"/>
  <c r="AD6649" i="2"/>
  <c r="K6650" i="2"/>
  <c r="L6650" i="2"/>
  <c r="Z6650" i="2"/>
  <c r="AA6650" i="2" s="1"/>
  <c r="AD6650" i="2"/>
  <c r="K6651" i="2"/>
  <c r="L6651" i="2"/>
  <c r="Z6651" i="2"/>
  <c r="AB6651" i="2" s="1"/>
  <c r="AD6651" i="2"/>
  <c r="K6652" i="2"/>
  <c r="L6652" i="2"/>
  <c r="Z6652" i="2"/>
  <c r="AB6652" i="2" s="1"/>
  <c r="AA6652" i="2"/>
  <c r="AD6652" i="2"/>
  <c r="K6653" i="2"/>
  <c r="L6653" i="2"/>
  <c r="Z6653" i="2"/>
  <c r="AA6653" i="2" s="1"/>
  <c r="AD6653" i="2"/>
  <c r="K6654" i="2"/>
  <c r="L6654" i="2"/>
  <c r="Z6654" i="2"/>
  <c r="AB6654" i="2" s="1"/>
  <c r="AA6654" i="2"/>
  <c r="AD6654" i="2"/>
  <c r="K6655" i="2"/>
  <c r="L6655" i="2"/>
  <c r="Z6655" i="2"/>
  <c r="AC6655" i="2" s="1"/>
  <c r="AD6655" i="2"/>
  <c r="K6656" i="2"/>
  <c r="L6656" i="2"/>
  <c r="Z6656" i="2"/>
  <c r="AC6656" i="2" s="1"/>
  <c r="AD6656" i="2"/>
  <c r="K6657" i="2"/>
  <c r="L6657" i="2"/>
  <c r="Z6657" i="2"/>
  <c r="AD6657" i="2"/>
  <c r="K6658" i="2"/>
  <c r="L6658" i="2"/>
  <c r="Z6658" i="2"/>
  <c r="AA6658" i="2" s="1"/>
  <c r="AD6658" i="2"/>
  <c r="K6659" i="2"/>
  <c r="L6659" i="2"/>
  <c r="Z6659" i="2"/>
  <c r="AC6659" i="2" s="1"/>
  <c r="AA6659" i="2"/>
  <c r="AB6659" i="2"/>
  <c r="AD6659" i="2"/>
  <c r="K6660" i="2"/>
  <c r="L6660" i="2"/>
  <c r="Z6660" i="2"/>
  <c r="AA6660" i="2" s="1"/>
  <c r="AB6660" i="2"/>
  <c r="AD6660" i="2"/>
  <c r="K6661" i="2"/>
  <c r="L6661" i="2"/>
  <c r="Z6661" i="2"/>
  <c r="AD6661" i="2"/>
  <c r="K6662" i="2"/>
  <c r="L6662" i="2"/>
  <c r="Z6662" i="2"/>
  <c r="AA6662" i="2" s="1"/>
  <c r="AD6662" i="2"/>
  <c r="K6663" i="2"/>
  <c r="L6663" i="2"/>
  <c r="Z6663" i="2"/>
  <c r="AB6663" i="2" s="1"/>
  <c r="AD6663" i="2"/>
  <c r="K6664" i="2"/>
  <c r="L6664" i="2"/>
  <c r="Z6664" i="2"/>
  <c r="AC6664" i="2" s="1"/>
  <c r="AA6664" i="2"/>
  <c r="AB6664" i="2"/>
  <c r="AD6664" i="2"/>
  <c r="K6665" i="2"/>
  <c r="L6665" i="2"/>
  <c r="Z6665" i="2"/>
  <c r="AA6665" i="2" s="1"/>
  <c r="AD6665" i="2"/>
  <c r="K6666" i="2"/>
  <c r="L6666" i="2"/>
  <c r="Z6666" i="2"/>
  <c r="AA6666" i="2"/>
  <c r="AB6666" i="2"/>
  <c r="AC6666" i="2"/>
  <c r="AD6666" i="2"/>
  <c r="K6667" i="2"/>
  <c r="L6667" i="2"/>
  <c r="Z6667" i="2"/>
  <c r="AC6667" i="2" s="1"/>
  <c r="AD6667" i="2"/>
  <c r="K6668" i="2"/>
  <c r="L6668" i="2"/>
  <c r="Z6668" i="2"/>
  <c r="AC6668" i="2" s="1"/>
  <c r="AD6668" i="2"/>
  <c r="K6669" i="2"/>
  <c r="L6669" i="2"/>
  <c r="Z6669" i="2"/>
  <c r="AA6669" i="2" s="1"/>
  <c r="AD6669" i="2"/>
  <c r="K6670" i="2"/>
  <c r="L6670" i="2"/>
  <c r="Z6670" i="2"/>
  <c r="AA6670" i="2" s="1"/>
  <c r="AD6670" i="2"/>
  <c r="K6671" i="2"/>
  <c r="L6671" i="2"/>
  <c r="Z6671" i="2"/>
  <c r="AC6671" i="2"/>
  <c r="AD6671" i="2"/>
  <c r="K6672" i="2"/>
  <c r="L6672" i="2"/>
  <c r="Z6672" i="2"/>
  <c r="AA6672" i="2" s="1"/>
  <c r="AD6672" i="2"/>
  <c r="K6673" i="2"/>
  <c r="L6673" i="2"/>
  <c r="Z6673" i="2"/>
  <c r="AD6673" i="2"/>
  <c r="K6674" i="2"/>
  <c r="L6674" i="2"/>
  <c r="Z6674" i="2"/>
  <c r="AA6674" i="2" s="1"/>
  <c r="AD6674" i="2"/>
  <c r="K6675" i="2"/>
  <c r="L6675" i="2"/>
  <c r="Z6675" i="2"/>
  <c r="AB6675" i="2" s="1"/>
  <c r="AD6675" i="2"/>
  <c r="K6676" i="2"/>
  <c r="L6676" i="2"/>
  <c r="Z6676" i="2"/>
  <c r="AB6676" i="2" s="1"/>
  <c r="AA6676" i="2"/>
  <c r="AD6676" i="2"/>
  <c r="K6677" i="2"/>
  <c r="L6677" i="2"/>
  <c r="Z6677" i="2"/>
  <c r="AA6677" i="2" s="1"/>
  <c r="AD6677" i="2"/>
  <c r="K6678" i="2"/>
  <c r="L6678" i="2"/>
  <c r="Z6678" i="2"/>
  <c r="AB6678" i="2" s="1"/>
  <c r="AA6678" i="2"/>
  <c r="AD6678" i="2"/>
  <c r="K6679" i="2"/>
  <c r="L6679" i="2"/>
  <c r="Z6679" i="2"/>
  <c r="AC6679" i="2" s="1"/>
  <c r="AD6679" i="2"/>
  <c r="K6680" i="2"/>
  <c r="L6680" i="2"/>
  <c r="Z6680" i="2"/>
  <c r="AC6680" i="2" s="1"/>
  <c r="AD6680" i="2"/>
  <c r="K6681" i="2"/>
  <c r="L6681" i="2"/>
  <c r="Z6681" i="2"/>
  <c r="AD6681" i="2"/>
  <c r="K6682" i="2"/>
  <c r="L6682" i="2"/>
  <c r="Z6682" i="2"/>
  <c r="AA6682" i="2" s="1"/>
  <c r="AD6682" i="2"/>
  <c r="K6683" i="2"/>
  <c r="L6683" i="2"/>
  <c r="Z6683" i="2"/>
  <c r="AC6683" i="2" s="1"/>
  <c r="AA6683" i="2"/>
  <c r="AD6683" i="2"/>
  <c r="K6684" i="2"/>
  <c r="L6684" i="2"/>
  <c r="Z6684" i="2"/>
  <c r="AA6684" i="2" s="1"/>
  <c r="AB6684" i="2"/>
  <c r="AD6684" i="2"/>
  <c r="K6685" i="2"/>
  <c r="L6685" i="2"/>
  <c r="Z6685" i="2"/>
  <c r="AB6685" i="2" s="1"/>
  <c r="AA6685" i="2"/>
  <c r="AC6685" i="2"/>
  <c r="AD6685" i="2"/>
  <c r="K6686" i="2"/>
  <c r="L6686" i="2"/>
  <c r="Z6686" i="2"/>
  <c r="AA6686" i="2" s="1"/>
  <c r="AD6686" i="2"/>
  <c r="K6687" i="2"/>
  <c r="L6687" i="2"/>
  <c r="Z6687" i="2"/>
  <c r="AB6687" i="2" s="1"/>
  <c r="AD6687" i="2"/>
  <c r="K6688" i="2"/>
  <c r="L6688" i="2"/>
  <c r="Z6688" i="2"/>
  <c r="AC6688" i="2" s="1"/>
  <c r="AD6688" i="2"/>
  <c r="K6689" i="2"/>
  <c r="L6689" i="2"/>
  <c r="Z6689" i="2"/>
  <c r="AA6689" i="2" s="1"/>
  <c r="AD6689" i="2"/>
  <c r="K6690" i="2"/>
  <c r="L6690" i="2"/>
  <c r="Z6690" i="2"/>
  <c r="AC6690" i="2" s="1"/>
  <c r="AA6690" i="2"/>
  <c r="AB6690" i="2"/>
  <c r="AD6690" i="2"/>
  <c r="K6691" i="2"/>
  <c r="L6691" i="2"/>
  <c r="Z6691" i="2"/>
  <c r="AC6691" i="2" s="1"/>
  <c r="AD6691" i="2"/>
  <c r="K6692" i="2"/>
  <c r="L6692" i="2"/>
  <c r="Z6692" i="2"/>
  <c r="AC6692" i="2" s="1"/>
  <c r="AD6692" i="2"/>
  <c r="K6693" i="2"/>
  <c r="L6693" i="2"/>
  <c r="Z6693" i="2"/>
  <c r="AA6693" i="2" s="1"/>
  <c r="AD6693" i="2"/>
  <c r="K6694" i="2"/>
  <c r="L6694" i="2"/>
  <c r="Z6694" i="2"/>
  <c r="AA6694" i="2" s="1"/>
  <c r="AD6694" i="2"/>
  <c r="K6695" i="2"/>
  <c r="L6695" i="2"/>
  <c r="Z6695" i="2"/>
  <c r="AA6695" i="2"/>
  <c r="AB6695" i="2"/>
  <c r="AC6695" i="2"/>
  <c r="AD6695" i="2"/>
  <c r="K6696" i="2"/>
  <c r="L6696" i="2"/>
  <c r="Z6696" i="2"/>
  <c r="AA6696" i="2" s="1"/>
  <c r="AB6696" i="2"/>
  <c r="AD6696" i="2"/>
  <c r="K6697" i="2"/>
  <c r="L6697" i="2"/>
  <c r="Z6697" i="2"/>
  <c r="AB6697" i="2" s="1"/>
  <c r="AA6697" i="2"/>
  <c r="AC6697" i="2"/>
  <c r="AD6697" i="2"/>
  <c r="K6698" i="2"/>
  <c r="L6698" i="2"/>
  <c r="Z6698" i="2"/>
  <c r="AA6698" i="2" s="1"/>
  <c r="AD6698" i="2"/>
  <c r="K6699" i="2"/>
  <c r="L6699" i="2"/>
  <c r="Z6699" i="2"/>
  <c r="AB6699" i="2" s="1"/>
  <c r="AD6699" i="2"/>
  <c r="K6700" i="2"/>
  <c r="L6700" i="2"/>
  <c r="Z6700" i="2"/>
  <c r="AB6700" i="2" s="1"/>
  <c r="AA6700" i="2"/>
  <c r="AD6700" i="2"/>
  <c r="K6701" i="2"/>
  <c r="L6701" i="2"/>
  <c r="Z6701" i="2"/>
  <c r="AA6701" i="2" s="1"/>
  <c r="AD6701" i="2"/>
  <c r="K6702" i="2"/>
  <c r="L6702" i="2"/>
  <c r="Z6702" i="2"/>
  <c r="AB6702" i="2" s="1"/>
  <c r="AD6702" i="2"/>
  <c r="K6703" i="2"/>
  <c r="L6703" i="2"/>
  <c r="Z6703" i="2"/>
  <c r="AC6703" i="2" s="1"/>
  <c r="AD6703" i="2"/>
  <c r="K6704" i="2"/>
  <c r="L6704" i="2"/>
  <c r="Z6704" i="2"/>
  <c r="AC6704" i="2" s="1"/>
  <c r="AD6704" i="2"/>
  <c r="K6705" i="2"/>
  <c r="L6705" i="2"/>
  <c r="Z6705" i="2"/>
  <c r="AA6705" i="2" s="1"/>
  <c r="AC6705" i="2"/>
  <c r="AD6705" i="2"/>
  <c r="K6706" i="2"/>
  <c r="L6706" i="2"/>
  <c r="Z6706" i="2"/>
  <c r="AA6706" i="2" s="1"/>
  <c r="AD6706" i="2"/>
  <c r="K6707" i="2"/>
  <c r="L6707" i="2"/>
  <c r="Z6707" i="2"/>
  <c r="AC6707" i="2" s="1"/>
  <c r="AB6707" i="2"/>
  <c r="AD6707" i="2"/>
  <c r="K6708" i="2"/>
  <c r="L6708" i="2"/>
  <c r="Z6708" i="2"/>
  <c r="AA6708" i="2" s="1"/>
  <c r="AB6708" i="2"/>
  <c r="AD6708" i="2"/>
  <c r="K6709" i="2"/>
  <c r="L6709" i="2"/>
  <c r="Z6709" i="2"/>
  <c r="AD6709" i="2"/>
  <c r="K6710" i="2"/>
  <c r="L6710" i="2"/>
  <c r="Z6710" i="2"/>
  <c r="AA6710" i="2" s="1"/>
  <c r="AD6710" i="2"/>
  <c r="K6711" i="2"/>
  <c r="L6711" i="2"/>
  <c r="Z6711" i="2"/>
  <c r="AB6711" i="2" s="1"/>
  <c r="AD6711" i="2"/>
  <c r="K6712" i="2"/>
  <c r="L6712" i="2"/>
  <c r="Z6712" i="2"/>
  <c r="AA6712" i="2"/>
  <c r="AB6712" i="2"/>
  <c r="AC6712" i="2"/>
  <c r="AD6712" i="2"/>
  <c r="K6713" i="2"/>
  <c r="L6713" i="2"/>
  <c r="Z6713" i="2"/>
  <c r="AA6713" i="2" s="1"/>
  <c r="AD6713" i="2"/>
  <c r="K6714" i="2"/>
  <c r="L6714" i="2"/>
  <c r="Z6714" i="2"/>
  <c r="AA6714" i="2" s="1"/>
  <c r="AB6714" i="2"/>
  <c r="AC6714" i="2"/>
  <c r="AD6714" i="2"/>
  <c r="K6715" i="2"/>
  <c r="L6715" i="2"/>
  <c r="Z6715" i="2"/>
  <c r="AC6715" i="2" s="1"/>
  <c r="AD6715" i="2"/>
  <c r="K6716" i="2"/>
  <c r="L6716" i="2"/>
  <c r="Z6716" i="2"/>
  <c r="AC6716" i="2" s="1"/>
  <c r="AD6716" i="2"/>
  <c r="K6717" i="2"/>
  <c r="L6717" i="2"/>
  <c r="Z6717" i="2"/>
  <c r="AA6717" i="2" s="1"/>
  <c r="AD6717" i="2"/>
  <c r="K6718" i="2"/>
  <c r="L6718" i="2"/>
  <c r="Z6718" i="2"/>
  <c r="AA6718" i="2" s="1"/>
  <c r="AD6718" i="2"/>
  <c r="K6719" i="2"/>
  <c r="L6719" i="2"/>
  <c r="Z6719" i="2"/>
  <c r="AC6719" i="2"/>
  <c r="AD6719" i="2"/>
  <c r="K6720" i="2"/>
  <c r="L6720" i="2"/>
  <c r="Z6720" i="2"/>
  <c r="AA6720" i="2" s="1"/>
  <c r="AB6720" i="2"/>
  <c r="AD6720" i="2"/>
  <c r="K6721" i="2"/>
  <c r="L6721" i="2"/>
  <c r="Z6721" i="2"/>
  <c r="AD6721" i="2"/>
  <c r="K6722" i="2"/>
  <c r="L6722" i="2"/>
  <c r="Z6722" i="2"/>
  <c r="AA6722" i="2" s="1"/>
  <c r="AD6722" i="2"/>
  <c r="K6723" i="2"/>
  <c r="L6723" i="2"/>
  <c r="Z6723" i="2"/>
  <c r="AB6723" i="2" s="1"/>
  <c r="AD6723" i="2"/>
  <c r="K6724" i="2"/>
  <c r="L6724" i="2"/>
  <c r="Z6724" i="2"/>
  <c r="AB6724" i="2" s="1"/>
  <c r="AA6724" i="2"/>
  <c r="AD6724" i="2"/>
  <c r="AC6547" i="2" l="1"/>
  <c r="AA6547" i="2"/>
  <c r="AB6547" i="2"/>
  <c r="AB4806" i="2"/>
  <c r="AA4806" i="2"/>
  <c r="AB3954" i="2"/>
  <c r="AC3954" i="2"/>
  <c r="AA2548" i="2"/>
  <c r="AC2548" i="2"/>
  <c r="AB2548" i="2"/>
  <c r="AA6406" i="2"/>
  <c r="AB6406" i="2"/>
  <c r="AC5751" i="2"/>
  <c r="AA5751" i="2"/>
  <c r="AB5751" i="2"/>
  <c r="AA4379" i="2"/>
  <c r="AB4379" i="2"/>
  <c r="AC4336" i="2"/>
  <c r="AB4336" i="2"/>
  <c r="AA3482" i="2"/>
  <c r="AB3482" i="2"/>
  <c r="AC3482" i="2"/>
  <c r="AA3387" i="2"/>
  <c r="AB3387" i="2"/>
  <c r="AA3133" i="2"/>
  <c r="AB3133" i="2"/>
  <c r="AC3133" i="2"/>
  <c r="AA3074" i="2"/>
  <c r="AC3074" i="2"/>
  <c r="AC1871" i="2"/>
  <c r="AD1871" i="2" s="1"/>
  <c r="AB1871" i="2"/>
  <c r="AC494" i="2"/>
  <c r="AD494" i="2" s="1"/>
  <c r="AA494" i="2"/>
  <c r="AA5391" i="2"/>
  <c r="AB5391" i="2"/>
  <c r="AC5391" i="2"/>
  <c r="AA5284" i="2"/>
  <c r="AC5284" i="2"/>
  <c r="AB5284" i="2"/>
  <c r="AA4997" i="2"/>
  <c r="AC4997" i="2"/>
  <c r="AC4984" i="2"/>
  <c r="AA4418" i="2"/>
  <c r="AC4418" i="2"/>
  <c r="AA4104" i="2"/>
  <c r="AB4104" i="2"/>
  <c r="AA4091" i="2"/>
  <c r="AC4091" i="2"/>
  <c r="AB3736" i="2"/>
  <c r="AC3736" i="2"/>
  <c r="AC3708" i="2"/>
  <c r="AA3708" i="2"/>
  <c r="AB3708" i="2"/>
  <c r="AB3631" i="2"/>
  <c r="AA3631" i="2"/>
  <c r="AA3487" i="2"/>
  <c r="AB3487" i="2"/>
  <c r="AC3141" i="2"/>
  <c r="AA3141" i="2"/>
  <c r="AB3141" i="2"/>
  <c r="AB3101" i="2"/>
  <c r="AA3101" i="2"/>
  <c r="AC3101" i="2"/>
  <c r="AC2944" i="2"/>
  <c r="AA2944" i="2"/>
  <c r="AA2707" i="2"/>
  <c r="AB2707" i="2"/>
  <c r="AA2311" i="2"/>
  <c r="AB2311" i="2"/>
  <c r="AC2311" i="2"/>
  <c r="AA2256" i="2"/>
  <c r="AB2256" i="2"/>
  <c r="AC2256" i="2"/>
  <c r="AB2160" i="2"/>
  <c r="AC1939" i="2"/>
  <c r="AA1939" i="2"/>
  <c r="AB1939" i="2"/>
  <c r="L1320" i="2"/>
  <c r="K1320" i="2" s="1"/>
  <c r="AA1320" i="2"/>
  <c r="L501" i="2"/>
  <c r="K501" i="2" s="1"/>
  <c r="AA6395" i="2"/>
  <c r="AC6395" i="2"/>
  <c r="AA6331" i="2"/>
  <c r="AB6331" i="2"/>
  <c r="AC6331" i="2"/>
  <c r="AA5907" i="2"/>
  <c r="AB5907" i="2"/>
  <c r="AB5110" i="2"/>
  <c r="AC5110" i="2"/>
  <c r="AC1155" i="2"/>
  <c r="AD1155" i="2" s="1"/>
  <c r="L1155" i="2"/>
  <c r="K1155" i="2" s="1"/>
  <c r="AB1155" i="2"/>
  <c r="AA6358" i="2"/>
  <c r="AB6358" i="2"/>
  <c r="AA5917" i="2"/>
  <c r="AB5917" i="2"/>
  <c r="AC5917" i="2"/>
  <c r="AB6709" i="2"/>
  <c r="AA6709" i="2"/>
  <c r="AC6709" i="2"/>
  <c r="AB4868" i="2"/>
  <c r="AC4868" i="2"/>
  <c r="AA4705" i="2"/>
  <c r="AC4705" i="2"/>
  <c r="AB4626" i="2"/>
  <c r="AA4626" i="2"/>
  <c r="AC4612" i="2"/>
  <c r="AB4612" i="2"/>
  <c r="AA4540" i="2"/>
  <c r="AB4540" i="2"/>
  <c r="AB4408" i="2"/>
  <c r="AC4408" i="2"/>
  <c r="AA4365" i="2"/>
  <c r="AB4365" i="2"/>
  <c r="AB3774" i="2"/>
  <c r="AC3774" i="2"/>
  <c r="AA3749" i="2"/>
  <c r="AB3749" i="2"/>
  <c r="AA3738" i="2"/>
  <c r="AB3738" i="2"/>
  <c r="AC3738" i="2"/>
  <c r="AA3029" i="2"/>
  <c r="AB3029" i="2"/>
  <c r="AC3029" i="2"/>
  <c r="AC2981" i="2"/>
  <c r="AA2981" i="2"/>
  <c r="AB2981" i="2"/>
  <c r="AC2721" i="2"/>
  <c r="AB2721" i="2"/>
  <c r="AA2189" i="2"/>
  <c r="AC2189" i="2"/>
  <c r="L1062" i="2"/>
  <c r="K1062" i="2" s="1"/>
  <c r="AB1062" i="2"/>
  <c r="AC1062" i="2"/>
  <c r="AD1062" i="2" s="1"/>
  <c r="AB629" i="2"/>
  <c r="AC629" i="2"/>
  <c r="AD629" i="2" s="1"/>
  <c r="AA629" i="2"/>
  <c r="AC542" i="2"/>
  <c r="AD542" i="2" s="1"/>
  <c r="AB542" i="2"/>
  <c r="AA6671" i="2"/>
  <c r="AB6671" i="2"/>
  <c r="AB6500" i="2"/>
  <c r="AC6500" i="2"/>
  <c r="AA5009" i="2"/>
  <c r="AC5009" i="2"/>
  <c r="AB4866" i="2"/>
  <c r="AC4866" i="2"/>
  <c r="AC6152" i="2"/>
  <c r="AA6152" i="2"/>
  <c r="AB6152" i="2"/>
  <c r="AC5912" i="2"/>
  <c r="AB5912" i="2"/>
  <c r="AB6336" i="2"/>
  <c r="AA6336" i="2"/>
  <c r="AC6365" i="2"/>
  <c r="AB6365" i="2"/>
  <c r="AB5802" i="2"/>
  <c r="AA5802" i="2"/>
  <c r="AC5802" i="2"/>
  <c r="AB5164" i="2"/>
  <c r="AC5164" i="2"/>
  <c r="AB4747" i="2"/>
  <c r="AA4747" i="2"/>
  <c r="AB4609" i="2"/>
  <c r="AA4609" i="2"/>
  <c r="AA4450" i="2"/>
  <c r="AB4450" i="2"/>
  <c r="AA4413" i="2"/>
  <c r="AC4413" i="2"/>
  <c r="AA4378" i="2"/>
  <c r="AB4378" i="2"/>
  <c r="AA4125" i="2"/>
  <c r="AB4125" i="2"/>
  <c r="AB6420" i="2"/>
  <c r="AA6415" i="2"/>
  <c r="AC6407" i="2"/>
  <c r="AB6386" i="2"/>
  <c r="AC6260" i="2"/>
  <c r="AC6222" i="2"/>
  <c r="AA6214" i="2"/>
  <c r="AB6203" i="2"/>
  <c r="AC6198" i="2"/>
  <c r="AA6190" i="2"/>
  <c r="AC6126" i="2"/>
  <c r="AA6114" i="2"/>
  <c r="AB6083" i="2"/>
  <c r="AA6075" i="2"/>
  <c r="AA6068" i="2"/>
  <c r="AB6068" i="2"/>
  <c r="AC6068" i="2"/>
  <c r="AA6032" i="2"/>
  <c r="AA6013" i="2"/>
  <c r="AB6013" i="2"/>
  <c r="AB5989" i="2"/>
  <c r="AA5956" i="2"/>
  <c r="AC5956" i="2"/>
  <c r="AB5953" i="2"/>
  <c r="AC5945" i="2"/>
  <c r="AB5924" i="2"/>
  <c r="AA5924" i="2"/>
  <c r="AC5919" i="2"/>
  <c r="AC5875" i="2"/>
  <c r="AB5875" i="2"/>
  <c r="AA5836" i="2"/>
  <c r="AC5836" i="2"/>
  <c r="AA5764" i="2"/>
  <c r="AC5764" i="2"/>
  <c r="AB5723" i="2"/>
  <c r="AA5723" i="2"/>
  <c r="AC5720" i="2"/>
  <c r="AB5658" i="2"/>
  <c r="AC5658" i="2"/>
  <c r="AA5650" i="2"/>
  <c r="AA5576" i="2"/>
  <c r="AA5555" i="2"/>
  <c r="AC5555" i="2"/>
  <c r="AC5423" i="2"/>
  <c r="AB5393" i="2"/>
  <c r="AA5393" i="2"/>
  <c r="AC5393" i="2"/>
  <c r="AC5382" i="2"/>
  <c r="AC5350" i="2"/>
  <c r="AA5350" i="2"/>
  <c r="AB5350" i="2"/>
  <c r="AB5286" i="2"/>
  <c r="AC5286" i="2"/>
  <c r="AB5250" i="2"/>
  <c r="AC5250" i="2"/>
  <c r="AA5157" i="2"/>
  <c r="AB5157" i="2"/>
  <c r="AC5152" i="2"/>
  <c r="AB5137" i="2"/>
  <c r="AB5008" i="2"/>
  <c r="AC5008" i="2"/>
  <c r="AA4918" i="2"/>
  <c r="AC4918" i="2"/>
  <c r="AB4900" i="2"/>
  <c r="AB4878" i="2"/>
  <c r="AA4878" i="2"/>
  <c r="AC4878" i="2"/>
  <c r="AC4744" i="2"/>
  <c r="AC4736" i="2"/>
  <c r="AB4631" i="2"/>
  <c r="AA4497" i="2"/>
  <c r="AB4497" i="2"/>
  <c r="AB4458" i="2"/>
  <c r="AA4458" i="2"/>
  <c r="AC4458" i="2"/>
  <c r="AB4433" i="2"/>
  <c r="AC4422" i="2"/>
  <c r="AA4415" i="2"/>
  <c r="AC4415" i="2"/>
  <c r="AA4197" i="2"/>
  <c r="AB4197" i="2"/>
  <c r="AB4194" i="2"/>
  <c r="AB4173" i="2"/>
  <c r="AB3858" i="2"/>
  <c r="AC3858" i="2"/>
  <c r="AA3789" i="2"/>
  <c r="AC3789" i="2"/>
  <c r="AA3760" i="2"/>
  <c r="AB3760" i="2"/>
  <c r="AA3504" i="2"/>
  <c r="AC3504" i="2"/>
  <c r="AB2723" i="2"/>
  <c r="AC2294" i="2"/>
  <c r="AA2294" i="2"/>
  <c r="AB2294" i="2"/>
  <c r="AB1996" i="2"/>
  <c r="AA1996" i="2"/>
  <c r="AB6042" i="2"/>
  <c r="AA6042" i="2"/>
  <c r="AC6042" i="2"/>
  <c r="AB6429" i="2"/>
  <c r="AA6429" i="2"/>
  <c r="AC6429" i="2"/>
  <c r="AB5983" i="2"/>
  <c r="AC5983" i="2"/>
  <c r="AA6484" i="2"/>
  <c r="AB6484" i="2"/>
  <c r="AC6484" i="2"/>
  <c r="AB5946" i="2"/>
  <c r="AA5946" i="2"/>
  <c r="AC5946" i="2"/>
  <c r="AA5871" i="2"/>
  <c r="AC5871" i="2"/>
  <c r="AB5276" i="2"/>
  <c r="AA5276" i="2"/>
  <c r="AB6649" i="2"/>
  <c r="AA6649" i="2"/>
  <c r="AC6649" i="2"/>
  <c r="AB5587" i="2"/>
  <c r="AC5587" i="2"/>
  <c r="AC4755" i="2"/>
  <c r="AA4755" i="2"/>
  <c r="AA4152" i="2"/>
  <c r="AB4152" i="2"/>
  <c r="AB2816" i="2"/>
  <c r="AA2816" i="2"/>
  <c r="AC2816" i="2"/>
  <c r="AC2283" i="2"/>
  <c r="AA2283" i="2"/>
  <c r="AB1641" i="2"/>
  <c r="L1641" i="2"/>
  <c r="K1641" i="2" s="1"/>
  <c r="AA1641" i="2"/>
  <c r="AC1641" i="2"/>
  <c r="AD1641" i="2" s="1"/>
  <c r="L1189" i="2"/>
  <c r="K1189" i="2" s="1"/>
  <c r="AC1189" i="2"/>
  <c r="AD1189" i="2" s="1"/>
  <c r="L848" i="2"/>
  <c r="K848" i="2" s="1"/>
  <c r="AA848" i="2"/>
  <c r="AB848" i="2"/>
  <c r="AC848" i="2"/>
  <c r="AD848" i="2" s="1"/>
  <c r="L629" i="2"/>
  <c r="K629" i="2" s="1"/>
  <c r="AB75" i="2"/>
  <c r="L75" i="2"/>
  <c r="K75" i="2" s="1"/>
  <c r="L33" i="2"/>
  <c r="K33" i="2" s="1"/>
  <c r="AC33" i="2"/>
  <c r="AD33" i="2" s="1"/>
  <c r="AB6688" i="2"/>
  <c r="AA6609" i="2"/>
  <c r="AB6609" i="2"/>
  <c r="AC6609" i="2"/>
  <c r="AA6604" i="2"/>
  <c r="AB6604" i="2"/>
  <c r="AA6580" i="2"/>
  <c r="AB6580" i="2"/>
  <c r="AA6719" i="2"/>
  <c r="AB6719" i="2"/>
  <c r="AA6688" i="2"/>
  <c r="AB6683" i="2"/>
  <c r="AB6672" i="2"/>
  <c r="AB6648" i="2"/>
  <c r="AA6564" i="2"/>
  <c r="AB6564" i="2"/>
  <c r="AA6507" i="2"/>
  <c r="AB6507" i="2"/>
  <c r="AB6494" i="2"/>
  <c r="AA6436" i="2"/>
  <c r="AB6436" i="2"/>
  <c r="AB6422" i="2"/>
  <c r="AA6420" i="2"/>
  <c r="AA6407" i="2"/>
  <c r="AA6375" i="2"/>
  <c r="AB6375" i="2"/>
  <c r="AB6235" i="2"/>
  <c r="AA6235" i="2"/>
  <c r="AC6235" i="2"/>
  <c r="AC6227" i="2"/>
  <c r="AB6227" i="2"/>
  <c r="AA6222" i="2"/>
  <c r="AC6211" i="2"/>
  <c r="AA6203" i="2"/>
  <c r="AA6198" i="2"/>
  <c r="AA6126" i="2"/>
  <c r="AA6083" i="2"/>
  <c r="AA6052" i="2"/>
  <c r="AC6052" i="2"/>
  <c r="AB6049" i="2"/>
  <c r="AA6010" i="2"/>
  <c r="AC5994" i="2"/>
  <c r="AA5950" i="2"/>
  <c r="AA5720" i="2"/>
  <c r="AC5660" i="2"/>
  <c r="AA5655" i="2"/>
  <c r="AB5560" i="2"/>
  <c r="AA5453" i="2"/>
  <c r="AB5423" i="2"/>
  <c r="AA5387" i="2"/>
  <c r="AA5382" i="2"/>
  <c r="AA5315" i="2"/>
  <c r="AB5315" i="2"/>
  <c r="AC5315" i="2"/>
  <c r="AA5252" i="2"/>
  <c r="AB5252" i="2"/>
  <c r="AC5252" i="2"/>
  <c r="AC5233" i="2"/>
  <c r="AA5226" i="2"/>
  <c r="AA5169" i="2"/>
  <c r="AB5169" i="2"/>
  <c r="AA5152" i="2"/>
  <c r="AC5040" i="2"/>
  <c r="AB5040" i="2"/>
  <c r="AC5029" i="2"/>
  <c r="AC4902" i="2"/>
  <c r="AA4900" i="2"/>
  <c r="AB4892" i="2"/>
  <c r="AC4892" i="2"/>
  <c r="AB4757" i="2"/>
  <c r="AA4744" i="2"/>
  <c r="AA4736" i="2"/>
  <c r="AC4647" i="2"/>
  <c r="AB4647" i="2"/>
  <c r="AA4444" i="2"/>
  <c r="AA4433" i="2"/>
  <c r="AA4422" i="2"/>
  <c r="AB4254" i="2"/>
  <c r="AC4254" i="2"/>
  <c r="AA4254" i="2"/>
  <c r="AA4194" i="2"/>
  <c r="AC4181" i="2"/>
  <c r="AB4181" i="2"/>
  <c r="AB4135" i="2"/>
  <c r="AA4135" i="2"/>
  <c r="AC3883" i="2"/>
  <c r="AA3883" i="2"/>
  <c r="AA3868" i="2"/>
  <c r="AB3868" i="2"/>
  <c r="AB3567" i="2"/>
  <c r="AA3567" i="2"/>
  <c r="AB3530" i="2"/>
  <c r="AC3530" i="2"/>
  <c r="AA3037" i="2"/>
  <c r="AB3037" i="2"/>
  <c r="AC3037" i="2"/>
  <c r="AC3012" i="2"/>
  <c r="AA3012" i="2"/>
  <c r="AA3001" i="2"/>
  <c r="AB3001" i="2"/>
  <c r="AC3001" i="2"/>
  <c r="AB2740" i="2"/>
  <c r="AC2740" i="2"/>
  <c r="AA2280" i="2"/>
  <c r="AB2280" i="2"/>
  <c r="AA1626" i="2"/>
  <c r="L1626" i="2"/>
  <c r="K1626" i="2" s="1"/>
  <c r="AB6613" i="2"/>
  <c r="AA6613" i="2"/>
  <c r="AA6493" i="2"/>
  <c r="AC6493" i="2"/>
  <c r="AC5899" i="2"/>
  <c r="AB5899" i="2"/>
  <c r="AC5540" i="2"/>
  <c r="AB5540" i="2"/>
  <c r="AA5540" i="2"/>
  <c r="AA4506" i="2"/>
  <c r="AC4506" i="2"/>
  <c r="AA4323" i="2"/>
  <c r="AC4323" i="2"/>
  <c r="AC3640" i="2"/>
  <c r="AA3640" i="2"/>
  <c r="AB3640" i="2"/>
  <c r="AC3353" i="2"/>
  <c r="AA3353" i="2"/>
  <c r="AB3353" i="2"/>
  <c r="AC3088" i="2"/>
  <c r="AA3088" i="2"/>
  <c r="AA2511" i="2"/>
  <c r="AB2511" i="2"/>
  <c r="AA6647" i="2"/>
  <c r="AB6647" i="2"/>
  <c r="AA5941" i="2"/>
  <c r="AB5941" i="2"/>
  <c r="AB5826" i="2"/>
  <c r="AC5826" i="2"/>
  <c r="AB5489" i="2"/>
  <c r="AC5489" i="2"/>
  <c r="AA4403" i="2"/>
  <c r="AC4403" i="2"/>
  <c r="AB4403" i="2"/>
  <c r="AC4056" i="2"/>
  <c r="AA4056" i="2"/>
  <c r="AB4056" i="2"/>
  <c r="AC3172" i="2"/>
  <c r="AA3172" i="2"/>
  <c r="AB1055" i="2"/>
  <c r="AC1055" i="2"/>
  <c r="AD1055" i="2" s="1"/>
  <c r="AA1055" i="2"/>
  <c r="AB6673" i="2"/>
  <c r="AA6673" i="2"/>
  <c r="AC6673" i="2"/>
  <c r="AB6319" i="2"/>
  <c r="AA6319" i="2"/>
  <c r="AC5491" i="2"/>
  <c r="AB5491" i="2"/>
  <c r="AB5459" i="2"/>
  <c r="AA5459" i="2"/>
  <c r="AC5459" i="2"/>
  <c r="AB6081" i="2"/>
  <c r="AC6081" i="2"/>
  <c r="AC5783" i="2"/>
  <c r="AB5783" i="2"/>
  <c r="AC6571" i="2"/>
  <c r="AA6571" i="2"/>
  <c r="AB6571" i="2"/>
  <c r="AB6349" i="2"/>
  <c r="AA6349" i="2"/>
  <c r="AC6349" i="2"/>
  <c r="AB6296" i="2"/>
  <c r="AA6296" i="2"/>
  <c r="AB5963" i="2"/>
  <c r="AC5963" i="2"/>
  <c r="AA5932" i="2"/>
  <c r="AB5932" i="2"/>
  <c r="AC5932" i="2"/>
  <c r="AB5851" i="2"/>
  <c r="AA5851" i="2"/>
  <c r="AC5851" i="2"/>
  <c r="AB5804" i="2"/>
  <c r="AC5804" i="2"/>
  <c r="AA5608" i="2"/>
  <c r="AB5608" i="2"/>
  <c r="AC5552" i="2"/>
  <c r="AB5552" i="2"/>
  <c r="AA5461" i="2"/>
  <c r="AB5461" i="2"/>
  <c r="AC5288" i="2"/>
  <c r="AB5288" i="2"/>
  <c r="AB5134" i="2"/>
  <c r="AA5134" i="2"/>
  <c r="AB5029" i="2"/>
  <c r="AA4915" i="2"/>
  <c r="AA4789" i="2"/>
  <c r="AC4789" i="2"/>
  <c r="AC4767" i="2"/>
  <c r="AA4767" i="2"/>
  <c r="AA4749" i="2"/>
  <c r="AB4749" i="2"/>
  <c r="AC4499" i="2"/>
  <c r="AA4466" i="2"/>
  <c r="AC4466" i="2"/>
  <c r="AA4262" i="2"/>
  <c r="AC4262" i="2"/>
  <c r="AA4238" i="2"/>
  <c r="AC4238" i="2"/>
  <c r="AB4230" i="2"/>
  <c r="AC4230" i="2"/>
  <c r="AB4189" i="2"/>
  <c r="AA4189" i="2"/>
  <c r="AC3906" i="2"/>
  <c r="AA3906" i="2"/>
  <c r="AB3906" i="2"/>
  <c r="AC3365" i="2"/>
  <c r="AA3365" i="2"/>
  <c r="AB3365" i="2"/>
  <c r="AB2340" i="2"/>
  <c r="AC2340" i="2"/>
  <c r="AA2340" i="2"/>
  <c r="L1844" i="2"/>
  <c r="K1844" i="2" s="1"/>
  <c r="AA1844" i="2"/>
  <c r="AC1844" i="2"/>
  <c r="AD1844" i="2" s="1"/>
  <c r="L1787" i="2"/>
  <c r="K1787" i="2" s="1"/>
  <c r="AB1787" i="2"/>
  <c r="AC1787" i="2"/>
  <c r="AD1787" i="2" s="1"/>
  <c r="AA6031" i="2"/>
  <c r="AB6031" i="2"/>
  <c r="AA4801" i="2"/>
  <c r="AC4801" i="2"/>
  <c r="AA5644" i="2"/>
  <c r="AB5644" i="2"/>
  <c r="AC5644" i="2"/>
  <c r="AA6594" i="2"/>
  <c r="AC6594" i="2"/>
  <c r="AC5792" i="2"/>
  <c r="AA5792" i="2"/>
  <c r="AB5792" i="2"/>
  <c r="AB6413" i="2"/>
  <c r="AA6413" i="2"/>
  <c r="AB6294" i="2"/>
  <c r="AA6294" i="2"/>
  <c r="AB5759" i="2"/>
  <c r="AC5759" i="2"/>
  <c r="AA5248" i="2"/>
  <c r="AB5248" i="2"/>
  <c r="AC5248" i="2"/>
  <c r="AA6657" i="2"/>
  <c r="AC6657" i="2"/>
  <c r="AB6201" i="2"/>
  <c r="AC6201" i="2"/>
  <c r="AC5756" i="2"/>
  <c r="AA5756" i="2"/>
  <c r="AA6606" i="2"/>
  <c r="AB6606" i="2"/>
  <c r="AA4897" i="2"/>
  <c r="AB4897" i="2"/>
  <c r="AB4783" i="2"/>
  <c r="AA4783" i="2"/>
  <c r="AB4657" i="2"/>
  <c r="AA4657" i="2"/>
  <c r="AC4657" i="2"/>
  <c r="AC4512" i="2"/>
  <c r="AA4512" i="2"/>
  <c r="AB4512" i="2"/>
  <c r="AA4427" i="2"/>
  <c r="AB4427" i="2"/>
  <c r="AC4288" i="2"/>
  <c r="AA4288" i="2"/>
  <c r="AB4217" i="2"/>
  <c r="AC4217" i="2"/>
  <c r="AA3597" i="2"/>
  <c r="AB3597" i="2"/>
  <c r="AC3597" i="2"/>
  <c r="AB3532" i="2"/>
  <c r="AC3532" i="2"/>
  <c r="AC3414" i="2"/>
  <c r="AB3414" i="2"/>
  <c r="AA3414" i="2"/>
  <c r="AC3056" i="2"/>
  <c r="AB3056" i="2"/>
  <c r="AB1795" i="2"/>
  <c r="AC1795" i="2"/>
  <c r="AD1795" i="2" s="1"/>
  <c r="AB4586" i="2"/>
  <c r="AC4586" i="2"/>
  <c r="AA4586" i="2"/>
  <c r="AA4355" i="2"/>
  <c r="AB4355" i="2"/>
  <c r="AB5370" i="2"/>
  <c r="AC5370" i="2"/>
  <c r="AA6119" i="2"/>
  <c r="AB6119" i="2"/>
  <c r="AA4390" i="2"/>
  <c r="AB4390" i="2"/>
  <c r="AA4347" i="2"/>
  <c r="AC4347" i="2"/>
  <c r="AA6544" i="2"/>
  <c r="AC6544" i="2"/>
  <c r="AC6515" i="2"/>
  <c r="AB6515" i="2"/>
  <c r="AB6272" i="2"/>
  <c r="AC6272" i="2"/>
  <c r="AA6681" i="2"/>
  <c r="AC6681" i="2"/>
  <c r="AC6528" i="2"/>
  <c r="AA6528" i="2"/>
  <c r="AB6528" i="2"/>
  <c r="AA6582" i="2"/>
  <c r="AB6582" i="2"/>
  <c r="AC6582" i="2"/>
  <c r="AC6142" i="2"/>
  <c r="AA6142" i="2"/>
  <c r="AB6142" i="2"/>
  <c r="AC6091" i="2"/>
  <c r="AB6091" i="2"/>
  <c r="AA5968" i="2"/>
  <c r="AB5968" i="2"/>
  <c r="AB5355" i="2"/>
  <c r="AC5355" i="2"/>
  <c r="AB6661" i="2"/>
  <c r="AA6661" i="2"/>
  <c r="AC6661" i="2"/>
  <c r="AB6637" i="2"/>
  <c r="AA6637" i="2"/>
  <c r="AC6637" i="2"/>
  <c r="AC6587" i="2"/>
  <c r="AB6587" i="2"/>
  <c r="AA6540" i="2"/>
  <c r="AB6540" i="2"/>
  <c r="AC6511" i="2"/>
  <c r="AA6343" i="2"/>
  <c r="AB6343" i="2"/>
  <c r="AA6136" i="2"/>
  <c r="AB6136" i="2"/>
  <c r="AB6105" i="2"/>
  <c r="AA6105" i="2"/>
  <c r="AC6105" i="2"/>
  <c r="AC6061" i="2"/>
  <c r="AB6056" i="2"/>
  <c r="AA6015" i="2"/>
  <c r="AC6015" i="2"/>
  <c r="AC5855" i="2"/>
  <c r="AB5814" i="2"/>
  <c r="AA5814" i="2"/>
  <c r="AC5814" i="2"/>
  <c r="AC5779" i="2"/>
  <c r="AA5779" i="2"/>
  <c r="AB5779" i="2"/>
  <c r="AA5639" i="2"/>
  <c r="AB5639" i="2"/>
  <c r="AC5639" i="2"/>
  <c r="AB5538" i="2"/>
  <c r="AC5538" i="2"/>
  <c r="AA5479" i="2"/>
  <c r="AA5468" i="2"/>
  <c r="AB5466" i="2"/>
  <c r="AC5466" i="2"/>
  <c r="AC5463" i="2"/>
  <c r="AC5415" i="2"/>
  <c r="AA5399" i="2"/>
  <c r="AC5392" i="2"/>
  <c r="AA5368" i="2"/>
  <c r="AB5368" i="2"/>
  <c r="AC5368" i="2"/>
  <c r="AC5363" i="2"/>
  <c r="AC5347" i="2"/>
  <c r="AA5347" i="2"/>
  <c r="AA5317" i="2"/>
  <c r="AB5317" i="2"/>
  <c r="AC5317" i="2"/>
  <c r="AA5312" i="2"/>
  <c r="AA5310" i="2"/>
  <c r="AB5308" i="2"/>
  <c r="AA5290" i="2"/>
  <c r="AB5254" i="2"/>
  <c r="AC4938" i="2"/>
  <c r="AC4812" i="2"/>
  <c r="AB4812" i="2"/>
  <c r="AB4638" i="2"/>
  <c r="AA4638" i="2"/>
  <c r="AB4504" i="2"/>
  <c r="AC4504" i="2"/>
  <c r="AC4496" i="2"/>
  <c r="AB4496" i="2"/>
  <c r="AA4496" i="2"/>
  <c r="AA4348" i="2"/>
  <c r="AB4348" i="2"/>
  <c r="AC4348" i="2"/>
  <c r="AA4331" i="2"/>
  <c r="AB4331" i="2"/>
  <c r="AC4331" i="2"/>
  <c r="AC4240" i="2"/>
  <c r="AB4240" i="2"/>
  <c r="AB4057" i="2"/>
  <c r="AA4057" i="2"/>
  <c r="AA3870" i="2"/>
  <c r="AB3870" i="2"/>
  <c r="AA3547" i="2"/>
  <c r="AC3547" i="2"/>
  <c r="L1855" i="2"/>
  <c r="K1855" i="2" s="1"/>
  <c r="AA1855" i="2"/>
  <c r="AC1855" i="2"/>
  <c r="AD1855" i="2" s="1"/>
  <c r="AB6463" i="2"/>
  <c r="AC6463" i="2"/>
  <c r="AB6311" i="2"/>
  <c r="AC6311" i="2"/>
  <c r="AA6001" i="2"/>
  <c r="AB6001" i="2"/>
  <c r="AA6534" i="2"/>
  <c r="AC6534" i="2"/>
  <c r="AA6325" i="2"/>
  <c r="AC6325" i="2"/>
  <c r="AA5828" i="2"/>
  <c r="AB5828" i="2"/>
  <c r="AC5828" i="2"/>
  <c r="AB5705" i="2"/>
  <c r="AC5705" i="2"/>
  <c r="AA5548" i="2"/>
  <c r="AC5548" i="2"/>
  <c r="AA3623" i="2"/>
  <c r="AC3623" i="2"/>
  <c r="AB3623" i="2"/>
  <c r="AB6163" i="2"/>
  <c r="AA6163" i="2"/>
  <c r="AC6163" i="2"/>
  <c r="AA6124" i="2"/>
  <c r="AB6124" i="2"/>
  <c r="AC6124" i="2"/>
  <c r="AB5873" i="2"/>
  <c r="AC5873" i="2"/>
  <c r="AB5550" i="2"/>
  <c r="AC5550" i="2"/>
  <c r="AA6383" i="2"/>
  <c r="AB6383" i="2"/>
  <c r="AB6721" i="2"/>
  <c r="AA6721" i="2"/>
  <c r="AC6721" i="2"/>
  <c r="AA6448" i="2"/>
  <c r="AB6448" i="2"/>
  <c r="AA6243" i="2"/>
  <c r="AB6243" i="2"/>
  <c r="AB5891" i="2"/>
  <c r="AA5891" i="2"/>
  <c r="AB5345" i="2"/>
  <c r="AA5345" i="2"/>
  <c r="AA6702" i="2"/>
  <c r="AA6592" i="2"/>
  <c r="AB6592" i="2"/>
  <c r="AC6592" i="2"/>
  <c r="AB6576" i="2"/>
  <c r="AC6568" i="2"/>
  <c r="AB6563" i="2"/>
  <c r="AA6532" i="2"/>
  <c r="AB6532" i="2"/>
  <c r="AC6532" i="2"/>
  <c r="AA6516" i="2"/>
  <c r="AB6511" i="2"/>
  <c r="AA6503" i="2"/>
  <c r="AB6461" i="2"/>
  <c r="AC6461" i="2"/>
  <c r="AA6458" i="2"/>
  <c r="AB6445" i="2"/>
  <c r="AC6440" i="2"/>
  <c r="AB6390" i="2"/>
  <c r="AB6374" i="2"/>
  <c r="AB6351" i="2"/>
  <c r="AC6351" i="2"/>
  <c r="AB6317" i="2"/>
  <c r="AA6317" i="2"/>
  <c r="AB6251" i="2"/>
  <c r="AA6251" i="2"/>
  <c r="AC6251" i="2"/>
  <c r="AB6061" i="2"/>
  <c r="AA6056" i="2"/>
  <c r="AC6031" i="2"/>
  <c r="AC5970" i="2"/>
  <c r="AA5899" i="2"/>
  <c r="AA5879" i="2"/>
  <c r="AC5863" i="2"/>
  <c r="AB5768" i="2"/>
  <c r="AA5768" i="2"/>
  <c r="AA5670" i="2"/>
  <c r="AC5629" i="2"/>
  <c r="AA5602" i="2"/>
  <c r="AB5521" i="2"/>
  <c r="AB5415" i="2"/>
  <c r="AA5407" i="2"/>
  <c r="AC5396" i="2"/>
  <c r="AA5363" i="2"/>
  <c r="AB5262" i="2"/>
  <c r="AA5262" i="2"/>
  <c r="AA5195" i="2"/>
  <c r="AC5190" i="2"/>
  <c r="AB5168" i="2"/>
  <c r="AC5168" i="2"/>
  <c r="AB5076" i="2"/>
  <c r="AA5044" i="2"/>
  <c r="AB4948" i="2"/>
  <c r="AB4938" i="2"/>
  <c r="AC4817" i="2"/>
  <c r="AC4806" i="2"/>
  <c r="AB4801" i="2"/>
  <c r="AA4796" i="2"/>
  <c r="AC4680" i="2"/>
  <c r="AA4680" i="2"/>
  <c r="AB4541" i="2"/>
  <c r="AC4533" i="2"/>
  <c r="AB4506" i="2"/>
  <c r="AB4293" i="2"/>
  <c r="AB4269" i="2"/>
  <c r="AA4214" i="2"/>
  <c r="AC4214" i="2"/>
  <c r="AA4180" i="2"/>
  <c r="AB4180" i="2"/>
  <c r="AC4180" i="2"/>
  <c r="AA4073" i="2"/>
  <c r="AB4073" i="2"/>
  <c r="AC4073" i="2"/>
  <c r="AB4051" i="2"/>
  <c r="AC4051" i="2"/>
  <c r="AA4051" i="2"/>
  <c r="AA4008" i="2"/>
  <c r="AB4008" i="2"/>
  <c r="AC4008" i="2"/>
  <c r="AA3954" i="2"/>
  <c r="AB3949" i="2"/>
  <c r="AC3949" i="2"/>
  <c r="AB3927" i="2"/>
  <c r="AA3927" i="2"/>
  <c r="AB3924" i="2"/>
  <c r="AC3474" i="2"/>
  <c r="AA3474" i="2"/>
  <c r="AB3474" i="2"/>
  <c r="AC3453" i="2"/>
  <c r="AA3453" i="2"/>
  <c r="AB3453" i="2"/>
  <c r="AB3382" i="2"/>
  <c r="AA3382" i="2"/>
  <c r="AA3372" i="2"/>
  <c r="AB3116" i="2"/>
  <c r="AC2895" i="2"/>
  <c r="AA2514" i="2"/>
  <c r="AC2514" i="2"/>
  <c r="AB2514" i="2"/>
  <c r="AC2511" i="2"/>
  <c r="AB2462" i="2"/>
  <c r="AC2462" i="2"/>
  <c r="AA2400" i="2"/>
  <c r="AB2400" i="2"/>
  <c r="AC2400" i="2"/>
  <c r="AA21" i="2"/>
  <c r="L21" i="2"/>
  <c r="K21" i="2" s="1"/>
  <c r="AC21" i="2"/>
  <c r="AD21" i="2" s="1"/>
  <c r="AA6707" i="2"/>
  <c r="AA6635" i="2"/>
  <c r="AC6366" i="2"/>
  <c r="AA6344" i="2"/>
  <c r="AC6323" i="2"/>
  <c r="AA6305" i="2"/>
  <c r="AC6257" i="2"/>
  <c r="AB6244" i="2"/>
  <c r="AA6200" i="2"/>
  <c r="AA6187" i="2"/>
  <c r="AC6174" i="2"/>
  <c r="AA6166" i="2"/>
  <c r="AB6155" i="2"/>
  <c r="AC6129" i="2"/>
  <c r="AC6127" i="2"/>
  <c r="AA6111" i="2"/>
  <c r="AA6095" i="2"/>
  <c r="AA6082" i="2"/>
  <c r="AB6080" i="2"/>
  <c r="AA6045" i="2"/>
  <c r="AA6034" i="2"/>
  <c r="AB6011" i="2"/>
  <c r="AC6004" i="2"/>
  <c r="AC5991" i="2"/>
  <c r="AC5969" i="2"/>
  <c r="AC5935" i="2"/>
  <c r="AC5925" i="2"/>
  <c r="AB5911" i="2"/>
  <c r="AA5898" i="2"/>
  <c r="AC5881" i="2"/>
  <c r="AA5876" i="2"/>
  <c r="AA5874" i="2"/>
  <c r="AB5872" i="2"/>
  <c r="AA5867" i="2"/>
  <c r="AB5803" i="2"/>
  <c r="AA5803" i="2"/>
  <c r="AB5788" i="2"/>
  <c r="AA5770" i="2"/>
  <c r="AA5765" i="2"/>
  <c r="AC5742" i="2"/>
  <c r="AB5732" i="2"/>
  <c r="AB5727" i="2"/>
  <c r="AC5719" i="2"/>
  <c r="AB5711" i="2"/>
  <c r="AB5701" i="2"/>
  <c r="AA5581" i="2"/>
  <c r="AC5581" i="2"/>
  <c r="AB5566" i="2"/>
  <c r="AC5561" i="2"/>
  <c r="AC5549" i="2"/>
  <c r="AA5490" i="2"/>
  <c r="AA5480" i="2"/>
  <c r="AC5478" i="2"/>
  <c r="AB5444" i="2"/>
  <c r="AC5442" i="2"/>
  <c r="AC5437" i="2"/>
  <c r="AC5432" i="2"/>
  <c r="AC5418" i="2"/>
  <c r="AC5416" i="2"/>
  <c r="AB5398" i="2"/>
  <c r="AB5369" i="2"/>
  <c r="AA5369" i="2"/>
  <c r="AA5362" i="2"/>
  <c r="AA5326" i="2"/>
  <c r="AA5297" i="2"/>
  <c r="AB5287" i="2"/>
  <c r="AA5285" i="2"/>
  <c r="AA5266" i="2"/>
  <c r="AC5255" i="2"/>
  <c r="AB5206" i="2"/>
  <c r="AC5178" i="2"/>
  <c r="AB5144" i="2"/>
  <c r="AC5144" i="2"/>
  <c r="AC5125" i="2"/>
  <c r="AA5065" i="2"/>
  <c r="AB5065" i="2"/>
  <c r="AA5036" i="2"/>
  <c r="AB5036" i="2"/>
  <c r="AC5010" i="2"/>
  <c r="AC4996" i="2"/>
  <c r="AB4986" i="2"/>
  <c r="AA4981" i="2"/>
  <c r="AC4930" i="2"/>
  <c r="AB4912" i="2"/>
  <c r="AA4904" i="2"/>
  <c r="AB4813" i="2"/>
  <c r="AC4756" i="2"/>
  <c r="AB4746" i="2"/>
  <c r="AC4731" i="2"/>
  <c r="AA4731" i="2"/>
  <c r="AB4728" i="2"/>
  <c r="AC4712" i="2"/>
  <c r="AA4669" i="2"/>
  <c r="AC4669" i="2"/>
  <c r="AC4664" i="2"/>
  <c r="AC4662" i="2"/>
  <c r="AB4627" i="2"/>
  <c r="AA4608" i="2"/>
  <c r="AB4608" i="2"/>
  <c r="AB4589" i="2"/>
  <c r="AC4503" i="2"/>
  <c r="AC4498" i="2"/>
  <c r="AA4493" i="2"/>
  <c r="AA4446" i="2"/>
  <c r="AC4349" i="2"/>
  <c r="AA4349" i="2"/>
  <c r="AB4349" i="2"/>
  <c r="AC4338" i="2"/>
  <c r="AA4282" i="2"/>
  <c r="AC4282" i="2"/>
  <c r="AC4137" i="2"/>
  <c r="AA4119" i="2"/>
  <c r="AA4024" i="2"/>
  <c r="AC4024" i="2"/>
  <c r="AA4019" i="2"/>
  <c r="AC4019" i="2"/>
  <c r="AC3969" i="2"/>
  <c r="AC3964" i="2"/>
  <c r="AB3959" i="2"/>
  <c r="AA3743" i="2"/>
  <c r="AB3743" i="2"/>
  <c r="AA3665" i="2"/>
  <c r="AC3665" i="2"/>
  <c r="AB3665" i="2"/>
  <c r="AA3384" i="2"/>
  <c r="AC3247" i="2"/>
  <c r="AB3247" i="2"/>
  <c r="AA3247" i="2"/>
  <c r="AB3234" i="2"/>
  <c r="AB3232" i="2"/>
  <c r="AC3232" i="2"/>
  <c r="AC3020" i="2"/>
  <c r="AB3020" i="2"/>
  <c r="AA2989" i="2"/>
  <c r="AB2989" i="2"/>
  <c r="AC2986" i="2"/>
  <c r="AA2742" i="2"/>
  <c r="AC2624" i="2"/>
  <c r="AA2555" i="2"/>
  <c r="AA2505" i="2"/>
  <c r="AC2505" i="2"/>
  <c r="AA2004" i="2"/>
  <c r="AA1824" i="2"/>
  <c r="AB1824" i="2"/>
  <c r="AC1824" i="2"/>
  <c r="AD1824" i="2" s="1"/>
  <c r="L1689" i="2"/>
  <c r="K1689" i="2" s="1"/>
  <c r="AA1689" i="2"/>
  <c r="AB1689" i="2"/>
  <c r="AC1689" i="2"/>
  <c r="AD1689" i="2" s="1"/>
  <c r="AC1662" i="2"/>
  <c r="AD1662" i="2" s="1"/>
  <c r="AC1633" i="2"/>
  <c r="AD1633" i="2" s="1"/>
  <c r="AA1633" i="2"/>
  <c r="AB1633" i="2"/>
  <c r="AA1197" i="2"/>
  <c r="AC1197" i="2"/>
  <c r="AD1197" i="2" s="1"/>
  <c r="AB638" i="2"/>
  <c r="AC638" i="2"/>
  <c r="AD638" i="2" s="1"/>
  <c r="AB6302" i="2"/>
  <c r="AB6275" i="2"/>
  <c r="AA6257" i="2"/>
  <c r="AB6184" i="2"/>
  <c r="AA6174" i="2"/>
  <c r="AA6155" i="2"/>
  <c r="AA6129" i="2"/>
  <c r="AA6127" i="2"/>
  <c r="AB6070" i="2"/>
  <c r="AA6021" i="2"/>
  <c r="AB6004" i="2"/>
  <c r="AA5986" i="2"/>
  <c r="AC5949" i="2"/>
  <c r="AB5935" i="2"/>
  <c r="AC5903" i="2"/>
  <c r="AB5881" i="2"/>
  <c r="AC5864" i="2"/>
  <c r="AC5847" i="2"/>
  <c r="AC5785" i="2"/>
  <c r="AA5767" i="2"/>
  <c r="AA5742" i="2"/>
  <c r="AA5719" i="2"/>
  <c r="AB5708" i="2"/>
  <c r="AA5687" i="2"/>
  <c r="AB5677" i="2"/>
  <c r="AA5593" i="2"/>
  <c r="AB5593" i="2"/>
  <c r="AC5583" i="2"/>
  <c r="AA5573" i="2"/>
  <c r="AB5563" i="2"/>
  <c r="AA5561" i="2"/>
  <c r="AB5551" i="2"/>
  <c r="AA5549" i="2"/>
  <c r="AC5528" i="2"/>
  <c r="AB5504" i="2"/>
  <c r="AA5504" i="2"/>
  <c r="AC5492" i="2"/>
  <c r="AB5492" i="2"/>
  <c r="AB5485" i="2"/>
  <c r="AB5478" i="2"/>
  <c r="AA5444" i="2"/>
  <c r="AB5442" i="2"/>
  <c r="AB5437" i="2"/>
  <c r="AA5432" i="2"/>
  <c r="AB5427" i="2"/>
  <c r="AB5422" i="2"/>
  <c r="AA5418" i="2"/>
  <c r="AB5416" i="2"/>
  <c r="AC5371" i="2"/>
  <c r="AA5371" i="2"/>
  <c r="AC5344" i="2"/>
  <c r="AB5339" i="2"/>
  <c r="AB5323" i="2"/>
  <c r="AA5223" i="2"/>
  <c r="AC5223" i="2"/>
  <c r="AC5199" i="2"/>
  <c r="AB5165" i="2"/>
  <c r="AA5165" i="2"/>
  <c r="AC5106" i="2"/>
  <c r="AB5070" i="2"/>
  <c r="AA5070" i="2"/>
  <c r="AB5028" i="2"/>
  <c r="AB4952" i="2"/>
  <c r="AA4952" i="2"/>
  <c r="AB4891" i="2"/>
  <c r="AA4891" i="2"/>
  <c r="AC4880" i="2"/>
  <c r="AA4597" i="2"/>
  <c r="AB4597" i="2"/>
  <c r="AB4137" i="2"/>
  <c r="AC4074" i="2"/>
  <c r="AB4074" i="2"/>
  <c r="AC4050" i="2"/>
  <c r="AB4050" i="2"/>
  <c r="AB4031" i="2"/>
  <c r="AB4000" i="2"/>
  <c r="AC3995" i="2"/>
  <c r="AC3981" i="2"/>
  <c r="AB3969" i="2"/>
  <c r="AA3921" i="2"/>
  <c r="AC3921" i="2"/>
  <c r="AB3831" i="2"/>
  <c r="AA3831" i="2"/>
  <c r="AA3759" i="2"/>
  <c r="AA3748" i="2"/>
  <c r="AB3720" i="2"/>
  <c r="AC3720" i="2"/>
  <c r="AC3587" i="2"/>
  <c r="AA3402" i="2"/>
  <c r="AC3402" i="2"/>
  <c r="AA3234" i="2"/>
  <c r="AB3191" i="2"/>
  <c r="AA3191" i="2"/>
  <c r="AC3191" i="2"/>
  <c r="AB3025" i="2"/>
  <c r="AC3025" i="2"/>
  <c r="AB2986" i="2"/>
  <c r="AB2844" i="2"/>
  <c r="AC2844" i="2"/>
  <c r="AA2788" i="2"/>
  <c r="AC2788" i="2"/>
  <c r="AC2769" i="2"/>
  <c r="AB2769" i="2"/>
  <c r="AA2731" i="2"/>
  <c r="AB2731" i="2"/>
  <c r="AA2577" i="2"/>
  <c r="AC2577" i="2"/>
  <c r="AC2296" i="2"/>
  <c r="AB2296" i="2"/>
  <c r="AC1678" i="2"/>
  <c r="AD1678" i="2" s="1"/>
  <c r="AA1211" i="2"/>
  <c r="AC1211" i="2"/>
  <c r="AD1211" i="2" s="1"/>
  <c r="AA1187" i="2"/>
  <c r="AC1187" i="2"/>
  <c r="AD1187" i="2" s="1"/>
  <c r="AC1176" i="2"/>
  <c r="AD1176" i="2" s="1"/>
  <c r="AB1176" i="2"/>
  <c r="L1176" i="2"/>
  <c r="K1176" i="2" s="1"/>
  <c r="AB5920" i="2"/>
  <c r="AA5903" i="2"/>
  <c r="AB5864" i="2"/>
  <c r="AA5847" i="2"/>
  <c r="AB5807" i="2"/>
  <c r="AC5807" i="2"/>
  <c r="AB5800" i="2"/>
  <c r="AA5708" i="2"/>
  <c r="AA5669" i="2"/>
  <c r="AC5633" i="2"/>
  <c r="AB5583" i="2"/>
  <c r="AA5563" i="2"/>
  <c r="AA5551" i="2"/>
  <c r="AB5528" i="2"/>
  <c r="AA5509" i="2"/>
  <c r="AB5509" i="2"/>
  <c r="AB5482" i="2"/>
  <c r="AA5427" i="2"/>
  <c r="AA5389" i="2"/>
  <c r="AB5389" i="2"/>
  <c r="AB5344" i="2"/>
  <c r="AA5339" i="2"/>
  <c r="AC5230" i="2"/>
  <c r="AB5230" i="2"/>
  <c r="AA5225" i="2"/>
  <c r="AB5199" i="2"/>
  <c r="AB5183" i="2"/>
  <c r="AA5146" i="2"/>
  <c r="AB5106" i="2"/>
  <c r="AA5053" i="2"/>
  <c r="AB5053" i="2"/>
  <c r="AC5053" i="2"/>
  <c r="AA5048" i="2"/>
  <c r="AA5043" i="2"/>
  <c r="AA5028" i="2"/>
  <c r="AB5017" i="2"/>
  <c r="AA5007" i="2"/>
  <c r="AA4978" i="2"/>
  <c r="AC4978" i="2"/>
  <c r="AA4947" i="2"/>
  <c r="AA4880" i="2"/>
  <c r="AB4872" i="2"/>
  <c r="AC4836" i="2"/>
  <c r="AB4748" i="2"/>
  <c r="AB4733" i="2"/>
  <c r="AA4704" i="2"/>
  <c r="AA4666" i="2"/>
  <c r="AC4656" i="2"/>
  <c r="AA4656" i="2"/>
  <c r="AB4648" i="2"/>
  <c r="AA4648" i="2"/>
  <c r="AA4560" i="2"/>
  <c r="AC4560" i="2"/>
  <c r="AA4505" i="2"/>
  <c r="AB4319" i="2"/>
  <c r="AA4289" i="2"/>
  <c r="AB4182" i="2"/>
  <c r="AA4182" i="2"/>
  <c r="AC4174" i="2"/>
  <c r="AB4174" i="2"/>
  <c r="AA4039" i="2"/>
  <c r="AB4039" i="2"/>
  <c r="AA4000" i="2"/>
  <c r="AB3995" i="2"/>
  <c r="AB3981" i="2"/>
  <c r="AC3966" i="2"/>
  <c r="AB3915" i="2"/>
  <c r="AA3915" i="2"/>
  <c r="AC3869" i="2"/>
  <c r="AA3849" i="2"/>
  <c r="AB3849" i="2"/>
  <c r="AC3849" i="2"/>
  <c r="AB3756" i="2"/>
  <c r="AB3587" i="2"/>
  <c r="AC3552" i="2"/>
  <c r="AB3552" i="2"/>
  <c r="AB3438" i="2"/>
  <c r="AA3438" i="2"/>
  <c r="AA3430" i="2"/>
  <c r="AA2885" i="2"/>
  <c r="AB2885" i="2"/>
  <c r="AC2885" i="2"/>
  <c r="AB2811" i="2"/>
  <c r="AA2661" i="2"/>
  <c r="AC2661" i="2"/>
  <c r="AC2642" i="2"/>
  <c r="AC2316" i="2"/>
  <c r="AA2104" i="2"/>
  <c r="AB2104" i="2"/>
  <c r="AC2104" i="2"/>
  <c r="AA1678" i="2"/>
  <c r="AB1655" i="2"/>
  <c r="L1655" i="2"/>
  <c r="K1655" i="2" s="1"/>
  <c r="AA5651" i="2"/>
  <c r="AB5651" i="2"/>
  <c r="AA5077" i="2"/>
  <c r="AC5077" i="2"/>
  <c r="AA4709" i="2"/>
  <c r="AB4709" i="2"/>
  <c r="AC4709" i="2"/>
  <c r="AA4653" i="2"/>
  <c r="AB4653" i="2"/>
  <c r="AA4621" i="2"/>
  <c r="AB4621" i="2"/>
  <c r="AC4621" i="2"/>
  <c r="AB4482" i="2"/>
  <c r="AA4482" i="2"/>
  <c r="AC4482" i="2"/>
  <c r="AA4426" i="2"/>
  <c r="AB4426" i="2"/>
  <c r="AA4391" i="2"/>
  <c r="AB4391" i="2"/>
  <c r="AA4055" i="2"/>
  <c r="AC4055" i="2"/>
  <c r="AA3641" i="2"/>
  <c r="AC3641" i="2"/>
  <c r="AB3472" i="2"/>
  <c r="AA3472" i="2"/>
  <c r="AB3298" i="2"/>
  <c r="AA3298" i="2"/>
  <c r="AC3298" i="2"/>
  <c r="AA2354" i="2"/>
  <c r="AB2354" i="2"/>
  <c r="AB2327" i="2"/>
  <c r="AC2327" i="2"/>
  <c r="AC1856" i="2"/>
  <c r="AD1856" i="2" s="1"/>
  <c r="AB1856" i="2"/>
  <c r="L1760" i="2"/>
  <c r="K1760" i="2" s="1"/>
  <c r="AA1760" i="2"/>
  <c r="AC1705" i="2"/>
  <c r="AD1705" i="2" s="1"/>
  <c r="AA1705" i="2"/>
  <c r="AB1705" i="2"/>
  <c r="AB1307" i="2"/>
  <c r="AC1307" i="2"/>
  <c r="AD1307" i="2" s="1"/>
  <c r="AA6559" i="2"/>
  <c r="AB6446" i="2"/>
  <c r="AB6423" i="2"/>
  <c r="AC6388" i="2"/>
  <c r="AB6338" i="2"/>
  <c r="AA6299" i="2"/>
  <c r="AB6280" i="2"/>
  <c r="AA6225" i="2"/>
  <c r="AA6139" i="2"/>
  <c r="AA6089" i="2"/>
  <c r="AA5869" i="2"/>
  <c r="AB5869" i="2"/>
  <c r="AB5824" i="2"/>
  <c r="AA5656" i="2"/>
  <c r="AB5656" i="2"/>
  <c r="AA5536" i="2"/>
  <c r="AC5536" i="2"/>
  <c r="AB5271" i="2"/>
  <c r="AA5271" i="2"/>
  <c r="AA5257" i="2"/>
  <c r="AC5257" i="2"/>
  <c r="AA4998" i="2"/>
  <c r="AB4998" i="2"/>
  <c r="AC4896" i="2"/>
  <c r="AB4896" i="2"/>
  <c r="AC4815" i="2"/>
  <c r="AA4815" i="2"/>
  <c r="AB4815" i="2"/>
  <c r="AA4385" i="2"/>
  <c r="AB4385" i="2"/>
  <c r="AC4385" i="2"/>
  <c r="AB4374" i="2"/>
  <c r="AC4374" i="2"/>
  <c r="AB4241" i="2"/>
  <c r="AA4241" i="2"/>
  <c r="AC4241" i="2"/>
  <c r="AB4228" i="2"/>
  <c r="AA4228" i="2"/>
  <c r="AC4228" i="2"/>
  <c r="AB4203" i="2"/>
  <c r="AC4203" i="2"/>
  <c r="AC4168" i="2"/>
  <c r="AA4168" i="2"/>
  <c r="AB4168" i="2"/>
  <c r="AA4163" i="2"/>
  <c r="AC4163" i="2"/>
  <c r="AB4097" i="2"/>
  <c r="AA4097" i="2"/>
  <c r="AA4068" i="2"/>
  <c r="AB4068" i="2"/>
  <c r="AA3923" i="2"/>
  <c r="AC3923" i="2"/>
  <c r="AB3811" i="2"/>
  <c r="AA3811" i="2"/>
  <c r="AA3777" i="2"/>
  <c r="AC3777" i="2"/>
  <c r="AA3761" i="2"/>
  <c r="AC3761" i="2"/>
  <c r="AA3664" i="2"/>
  <c r="AB3664" i="2"/>
  <c r="AC3664" i="2"/>
  <c r="AA3605" i="2"/>
  <c r="AB3605" i="2"/>
  <c r="AC3605" i="2"/>
  <c r="AA3573" i="2"/>
  <c r="AB3573" i="2"/>
  <c r="AC3573" i="2"/>
  <c r="AA3557" i="2"/>
  <c r="AC3557" i="2"/>
  <c r="AA3523" i="2"/>
  <c r="AB3523" i="2"/>
  <c r="AC3523" i="2"/>
  <c r="AA3319" i="2"/>
  <c r="AA3314" i="2"/>
  <c r="AB2862" i="2"/>
  <c r="AB2846" i="2"/>
  <c r="AC2833" i="2"/>
  <c r="AB2819" i="2"/>
  <c r="AB2368" i="2"/>
  <c r="L1686" i="2"/>
  <c r="K1686" i="2" s="1"/>
  <c r="AA1686" i="2"/>
  <c r="AB1686" i="2"/>
  <c r="AC1686" i="2"/>
  <c r="AD1686" i="2" s="1"/>
  <c r="AC1428" i="2"/>
  <c r="AD1428" i="2" s="1"/>
  <c r="L1428" i="2"/>
  <c r="K1428" i="2" s="1"/>
  <c r="L1307" i="2"/>
  <c r="K1307" i="2" s="1"/>
  <c r="AB5679" i="2"/>
  <c r="AA5679" i="2"/>
  <c r="AB5429" i="2"/>
  <c r="AA5429" i="2"/>
  <c r="AA5413" i="2"/>
  <c r="AC5413" i="2"/>
  <c r="AC5064" i="2"/>
  <c r="AB5064" i="2"/>
  <c r="AA4941" i="2"/>
  <c r="AB4941" i="2"/>
  <c r="AA4750" i="2"/>
  <c r="AC4750" i="2"/>
  <c r="AA4487" i="2"/>
  <c r="AB4487" i="2"/>
  <c r="AC4487" i="2"/>
  <c r="AA4401" i="2"/>
  <c r="AC4401" i="2"/>
  <c r="AB4337" i="2"/>
  <c r="AA4337" i="2"/>
  <c r="AC4337" i="2"/>
  <c r="AB4205" i="2"/>
  <c r="AC4205" i="2"/>
  <c r="AB4155" i="2"/>
  <c r="AA4155" i="2"/>
  <c r="AC4144" i="2"/>
  <c r="AB4144" i="2"/>
  <c r="AB4084" i="2"/>
  <c r="AA4084" i="2"/>
  <c r="AC4084" i="2"/>
  <c r="AB4060" i="2"/>
  <c r="AC4060" i="2"/>
  <c r="AA4041" i="2"/>
  <c r="AC4041" i="2"/>
  <c r="AA3945" i="2"/>
  <c r="AC3945" i="2"/>
  <c r="AB3822" i="2"/>
  <c r="AC3822" i="2"/>
  <c r="AA3822" i="2"/>
  <c r="AC3497" i="2"/>
  <c r="AB3497" i="2"/>
  <c r="AA3327" i="2"/>
  <c r="AB3327" i="2"/>
  <c r="AC3327" i="2"/>
  <c r="AB3282" i="2"/>
  <c r="AC3282" i="2"/>
  <c r="AC2928" i="2"/>
  <c r="AB2928" i="2"/>
  <c r="AB2898" i="2"/>
  <c r="AC2898" i="2"/>
  <c r="AB2843" i="2"/>
  <c r="AA2843" i="2"/>
  <c r="AC2702" i="2"/>
  <c r="AA2702" i="2"/>
  <c r="AB2702" i="2"/>
  <c r="AA2420" i="2"/>
  <c r="AC2420" i="2"/>
  <c r="AB2420" i="2"/>
  <c r="AC2163" i="2"/>
  <c r="AB2163" i="2"/>
  <c r="AB1924" i="2"/>
  <c r="L1924" i="2"/>
  <c r="K1924" i="2" s="1"/>
  <c r="AC1924" i="2"/>
  <c r="AD1924" i="2" s="1"/>
  <c r="AA1924" i="2"/>
  <c r="L1903" i="2"/>
  <c r="K1903" i="2" s="1"/>
  <c r="AC1903" i="2"/>
  <c r="AD1903" i="2" s="1"/>
  <c r="AB1774" i="2"/>
  <c r="AC1774" i="2"/>
  <c r="AD1774" i="2" s="1"/>
  <c r="AA1774" i="2"/>
  <c r="AA4343" i="2"/>
  <c r="AC4343" i="2"/>
  <c r="AA4113" i="2"/>
  <c r="AB4113" i="2"/>
  <c r="AC4113" i="2"/>
  <c r="AB4108" i="2"/>
  <c r="AC4108" i="2"/>
  <c r="AB3963" i="2"/>
  <c r="AA3963" i="2"/>
  <c r="AA3852" i="2"/>
  <c r="AC3852" i="2"/>
  <c r="AB3807" i="2"/>
  <c r="AA3807" i="2"/>
  <c r="AA3755" i="2"/>
  <c r="AB3755" i="2"/>
  <c r="AC3755" i="2"/>
  <c r="AC3618" i="2"/>
  <c r="AB3618" i="2"/>
  <c r="AC3583" i="2"/>
  <c r="AA3583" i="2"/>
  <c r="AB3583" i="2"/>
  <c r="AA3519" i="2"/>
  <c r="AB3519" i="2"/>
  <c r="AC3519" i="2"/>
  <c r="AA3486" i="2"/>
  <c r="AC3486" i="2"/>
  <c r="AC3411" i="2"/>
  <c r="AC3342" i="2"/>
  <c r="AC3329" i="2"/>
  <c r="AB3292" i="2"/>
  <c r="AC3292" i="2"/>
  <c r="AB3246" i="2"/>
  <c r="AB3135" i="2"/>
  <c r="AA3135" i="2"/>
  <c r="AA3087" i="2"/>
  <c r="AA3068" i="2"/>
  <c r="AC3063" i="2"/>
  <c r="AB3050" i="2"/>
  <c r="AA3026" i="2"/>
  <c r="AB3026" i="2"/>
  <c r="AC3026" i="2"/>
  <c r="AA3005" i="2"/>
  <c r="AB3005" i="2"/>
  <c r="AC3005" i="2"/>
  <c r="AC2991" i="2"/>
  <c r="AC2956" i="2"/>
  <c r="AB2956" i="2"/>
  <c r="AB2953" i="2"/>
  <c r="AA2948" i="2"/>
  <c r="AC2921" i="2"/>
  <c r="AB2921" i="2"/>
  <c r="AB2916" i="2"/>
  <c r="AC2875" i="2"/>
  <c r="AA2875" i="2"/>
  <c r="AB2875" i="2"/>
  <c r="AC2781" i="2"/>
  <c r="AC2763" i="2"/>
  <c r="AA2606" i="2"/>
  <c r="AC2606" i="2"/>
  <c r="AC2598" i="2"/>
  <c r="AA2588" i="2"/>
  <c r="AB2588" i="2"/>
  <c r="AB2397" i="2"/>
  <c r="AB2395" i="2"/>
  <c r="AA2384" i="2"/>
  <c r="AC2356" i="2"/>
  <c r="AB2356" i="2"/>
  <c r="AC2221" i="2"/>
  <c r="AC1964" i="2"/>
  <c r="AC1863" i="2"/>
  <c r="AD1863" i="2" s="1"/>
  <c r="AB1863" i="2"/>
  <c r="AC1581" i="2"/>
  <c r="AD1581" i="2" s="1"/>
  <c r="AA1581" i="2"/>
  <c r="AB1581" i="2"/>
  <c r="AA1575" i="2"/>
  <c r="L1575" i="2"/>
  <c r="K1575" i="2" s="1"/>
  <c r="AC1554" i="2"/>
  <c r="AD1554" i="2" s="1"/>
  <c r="AB1319" i="2"/>
  <c r="AA1306" i="2"/>
  <c r="AB1306" i="2"/>
  <c r="L1283" i="2"/>
  <c r="K1283" i="2" s="1"/>
  <c r="AB1283" i="2"/>
  <c r="AB3461" i="2"/>
  <c r="AC3461" i="2"/>
  <c r="AA3434" i="2"/>
  <c r="AB3434" i="2"/>
  <c r="AC3434" i="2"/>
  <c r="AA3426" i="2"/>
  <c r="AB3426" i="2"/>
  <c r="AC3426" i="2"/>
  <c r="AC2988" i="2"/>
  <c r="AB2988" i="2"/>
  <c r="AA2929" i="2"/>
  <c r="AB2929" i="2"/>
  <c r="AC2929" i="2"/>
  <c r="AA2774" i="2"/>
  <c r="AC2774" i="2"/>
  <c r="AA2614" i="2"/>
  <c r="AC2614" i="2"/>
  <c r="AB2614" i="2"/>
  <c r="AB2507" i="2"/>
  <c r="AC2507" i="2"/>
  <c r="AA2507" i="2"/>
  <c r="AC2416" i="2"/>
  <c r="AA2416" i="2"/>
  <c r="AB2416" i="2"/>
  <c r="AB2197" i="2"/>
  <c r="AA2197" i="2"/>
  <c r="AC2197" i="2"/>
  <c r="AC1876" i="2"/>
  <c r="AD1876" i="2" s="1"/>
  <c r="L1876" i="2"/>
  <c r="K1876" i="2" s="1"/>
  <c r="AB1876" i="2"/>
  <c r="AB1869" i="2"/>
  <c r="AA1869" i="2"/>
  <c r="AC1869" i="2"/>
  <c r="AD1869" i="2" s="1"/>
  <c r="AC1853" i="2"/>
  <c r="AD1853" i="2" s="1"/>
  <c r="L1853" i="2"/>
  <c r="K1853" i="2" s="1"/>
  <c r="AC1725" i="2"/>
  <c r="AD1725" i="2" s="1"/>
  <c r="L1725" i="2"/>
  <c r="K1725" i="2" s="1"/>
  <c r="AA1725" i="2"/>
  <c r="AA135" i="2"/>
  <c r="AC135" i="2"/>
  <c r="AD135" i="2" s="1"/>
  <c r="AA3355" i="2"/>
  <c r="AC3355" i="2"/>
  <c r="AA3262" i="2"/>
  <c r="AB3262" i="2"/>
  <c r="AC3262" i="2"/>
  <c r="AB3033" i="2"/>
  <c r="AA3033" i="2"/>
  <c r="AC3033" i="2"/>
  <c r="AA2977" i="2"/>
  <c r="AC2977" i="2"/>
  <c r="AA2969" i="2"/>
  <c r="AB2969" i="2"/>
  <c r="AC2969" i="2"/>
  <c r="AA2883" i="2"/>
  <c r="AB2883" i="2"/>
  <c r="AC2708" i="2"/>
  <c r="AB2708" i="2"/>
  <c r="AC2091" i="2"/>
  <c r="AB2091" i="2"/>
  <c r="AA2091" i="2"/>
  <c r="AA2064" i="2"/>
  <c r="AC2064" i="2"/>
  <c r="AB2056" i="2"/>
  <c r="AC2056" i="2"/>
  <c r="AA2040" i="2"/>
  <c r="AC2040" i="2"/>
  <c r="AC1983" i="2"/>
  <c r="AB1983" i="2"/>
  <c r="L1869" i="2"/>
  <c r="K1869" i="2" s="1"/>
  <c r="AA1464" i="2"/>
  <c r="AB1464" i="2"/>
  <c r="L1343" i="2"/>
  <c r="K1343" i="2" s="1"/>
  <c r="AA1343" i="2"/>
  <c r="AC1343" i="2"/>
  <c r="AD1343" i="2" s="1"/>
  <c r="L1319" i="2"/>
  <c r="K1319" i="2" s="1"/>
  <c r="AC886" i="2"/>
  <c r="AD886" i="2" s="1"/>
  <c r="AB886" i="2"/>
  <c r="AC142" i="2"/>
  <c r="AD142" i="2" s="1"/>
  <c r="AB142" i="2"/>
  <c r="AB81" i="2"/>
  <c r="AC81" i="2"/>
  <c r="AD81" i="2" s="1"/>
  <c r="L81" i="2"/>
  <c r="K81" i="2" s="1"/>
  <c r="AA4494" i="2"/>
  <c r="AB4494" i="2"/>
  <c r="AA4276" i="2"/>
  <c r="AC4276" i="2"/>
  <c r="AA4247" i="2"/>
  <c r="AB4247" i="2"/>
  <c r="AC4247" i="2"/>
  <c r="AA3820" i="2"/>
  <c r="AB3820" i="2"/>
  <c r="AC3370" i="2"/>
  <c r="AB3357" i="2"/>
  <c r="AA3331" i="2"/>
  <c r="AB3302" i="2"/>
  <c r="AC3145" i="2"/>
  <c r="AB3089" i="2"/>
  <c r="AB3023" i="2"/>
  <c r="AA3023" i="2"/>
  <c r="AA2937" i="2"/>
  <c r="AC2937" i="2"/>
  <c r="AC2799" i="2"/>
  <c r="AC2694" i="2"/>
  <c r="AC2675" i="2"/>
  <c r="AC2603" i="2"/>
  <c r="AA2452" i="2"/>
  <c r="AC2452" i="2"/>
  <c r="AB2409" i="2"/>
  <c r="AC2409" i="2"/>
  <c r="AA2404" i="2"/>
  <c r="AA2265" i="2"/>
  <c r="AC2265" i="2"/>
  <c r="AC2148" i="2"/>
  <c r="AA1980" i="2"/>
  <c r="AA1868" i="2"/>
  <c r="AB1868" i="2"/>
  <c r="AB1780" i="2"/>
  <c r="AC1748" i="2"/>
  <c r="AD1748" i="2" s="1"/>
  <c r="L1748" i="2"/>
  <c r="K1748" i="2" s="1"/>
  <c r="AC1606" i="2"/>
  <c r="AD1606" i="2" s="1"/>
  <c r="AA1560" i="2"/>
  <c r="AB1560" i="2"/>
  <c r="AC1470" i="2"/>
  <c r="AD1470" i="2" s="1"/>
  <c r="AB1463" i="2"/>
  <c r="AB1406" i="2"/>
  <c r="AA4193" i="2"/>
  <c r="AB4193" i="2"/>
  <c r="AB4141" i="2"/>
  <c r="AC4141" i="2"/>
  <c r="AB4014" i="2"/>
  <c r="AA4014" i="2"/>
  <c r="AC4014" i="2"/>
  <c r="AB3879" i="2"/>
  <c r="AA3879" i="2"/>
  <c r="AB3871" i="2"/>
  <c r="AC3871" i="2"/>
  <c r="AA3861" i="2"/>
  <c r="AB3861" i="2"/>
  <c r="AC3861" i="2"/>
  <c r="AA3659" i="2"/>
  <c r="AB3659" i="2"/>
  <c r="AC3659" i="2"/>
  <c r="AB3270" i="2"/>
  <c r="AA3270" i="2"/>
  <c r="AC3270" i="2"/>
  <c r="AA3057" i="2"/>
  <c r="AB3057" i="2"/>
  <c r="AC3057" i="2"/>
  <c r="AA2974" i="2"/>
  <c r="AB2974" i="2"/>
  <c r="AC2974" i="2"/>
  <c r="AA2904" i="2"/>
  <c r="AB2904" i="2"/>
  <c r="AC2904" i="2"/>
  <c r="AA2863" i="2"/>
  <c r="AB2863" i="2"/>
  <c r="AC2863" i="2"/>
  <c r="AA2675" i="2"/>
  <c r="AB2460" i="2"/>
  <c r="AC2460" i="2"/>
  <c r="AC2278" i="2"/>
  <c r="AA2276" i="2"/>
  <c r="AC2276" i="2"/>
  <c r="AC2115" i="2"/>
  <c r="AB2115" i="2"/>
  <c r="AA1977" i="2"/>
  <c r="AB1977" i="2"/>
  <c r="AC1977" i="2"/>
  <c r="AB1896" i="2"/>
  <c r="L1826" i="2"/>
  <c r="K1826" i="2" s="1"/>
  <c r="AA1826" i="2"/>
  <c r="L1761" i="2"/>
  <c r="K1761" i="2" s="1"/>
  <c r="AB1761" i="2"/>
  <c r="AA1747" i="2"/>
  <c r="AC1650" i="2"/>
  <c r="AD1650" i="2" s="1"/>
  <c r="L1181" i="2"/>
  <c r="K1181" i="2" s="1"/>
  <c r="AA1181" i="2"/>
  <c r="AC903" i="2"/>
  <c r="AD903" i="2" s="1"/>
  <c r="AB4278" i="2"/>
  <c r="AC4278" i="2"/>
  <c r="AB4063" i="2"/>
  <c r="AA4063" i="2"/>
  <c r="AB3967" i="2"/>
  <c r="AA3967" i="2"/>
  <c r="AA3881" i="2"/>
  <c r="AC3881" i="2"/>
  <c r="AB3856" i="2"/>
  <c r="AC3856" i="2"/>
  <c r="AC3696" i="2"/>
  <c r="AA3696" i="2"/>
  <c r="AB3696" i="2"/>
  <c r="AA3550" i="2"/>
  <c r="AB3550" i="2"/>
  <c r="AC3550" i="2"/>
  <c r="AA3510" i="2"/>
  <c r="AB3510" i="2"/>
  <c r="AC3510" i="2"/>
  <c r="AB3428" i="2"/>
  <c r="AC3428" i="2"/>
  <c r="AC3405" i="2"/>
  <c r="AA3405" i="2"/>
  <c r="AA3315" i="2"/>
  <c r="AB3315" i="2"/>
  <c r="AA3264" i="2"/>
  <c r="AB3264" i="2"/>
  <c r="AC3264" i="2"/>
  <c r="AB3167" i="2"/>
  <c r="AC3167" i="2"/>
  <c r="AA3123" i="2"/>
  <c r="AB3123" i="2"/>
  <c r="AC3123" i="2"/>
  <c r="AC2942" i="2"/>
  <c r="AA2942" i="2"/>
  <c r="AB2942" i="2"/>
  <c r="AC2415" i="2"/>
  <c r="AB2415" i="2"/>
  <c r="AC2099" i="2"/>
  <c r="AB2099" i="2"/>
  <c r="AC2076" i="2"/>
  <c r="AA2076" i="2"/>
  <c r="L1835" i="2"/>
  <c r="K1835" i="2" s="1"/>
  <c r="AB1835" i="2"/>
  <c r="AC1835" i="2"/>
  <c r="AD1835" i="2" s="1"/>
  <c r="AB1825" i="2"/>
  <c r="AA1825" i="2"/>
  <c r="L1809" i="2"/>
  <c r="K1809" i="2" s="1"/>
  <c r="AC1809" i="2"/>
  <c r="AD1809" i="2" s="1"/>
  <c r="AC1766" i="2"/>
  <c r="AD1766" i="2" s="1"/>
  <c r="AA1766" i="2"/>
  <c r="AB1766" i="2"/>
  <c r="L1715" i="2"/>
  <c r="K1715" i="2" s="1"/>
  <c r="AC1715" i="2"/>
  <c r="AD1715" i="2" s="1"/>
  <c r="AA1656" i="2"/>
  <c r="AB1656" i="2"/>
  <c r="L1627" i="2"/>
  <c r="K1627" i="2" s="1"/>
  <c r="AB1627" i="2"/>
  <c r="AA1627" i="2"/>
  <c r="AC1627" i="2"/>
  <c r="AD1627" i="2" s="1"/>
  <c r="AA1489" i="2"/>
  <c r="AC1489" i="2"/>
  <c r="AD1489" i="2" s="1"/>
  <c r="AC1163" i="2"/>
  <c r="AD1163" i="2" s="1"/>
  <c r="AB1163" i="2"/>
  <c r="L985" i="2"/>
  <c r="K985" i="2" s="1"/>
  <c r="AA985" i="2"/>
  <c r="AC985" i="2"/>
  <c r="AD985" i="2" s="1"/>
  <c r="AC16" i="2"/>
  <c r="AD16" i="2" s="1"/>
  <c r="AA16" i="2"/>
  <c r="AA22" i="2"/>
  <c r="AB22" i="2"/>
  <c r="AC3676" i="2"/>
  <c r="AC3318" i="2"/>
  <c r="AA3231" i="2"/>
  <c r="AC3231" i="2"/>
  <c r="AC3217" i="2"/>
  <c r="AA3205" i="2"/>
  <c r="AC3178" i="2"/>
  <c r="AA3168" i="2"/>
  <c r="AC3155" i="2"/>
  <c r="AA3124" i="2"/>
  <c r="AA3075" i="2"/>
  <c r="AC2965" i="2"/>
  <c r="AA2960" i="2"/>
  <c r="AB2950" i="2"/>
  <c r="AB2871" i="2"/>
  <c r="AC2866" i="2"/>
  <c r="AC2798" i="2"/>
  <c r="AA2709" i="2"/>
  <c r="AB2662" i="2"/>
  <c r="AC2649" i="2"/>
  <c r="AB2573" i="2"/>
  <c r="AC2562" i="2"/>
  <c r="AA2508" i="2"/>
  <c r="AC2474" i="2"/>
  <c r="AA2474" i="2"/>
  <c r="AB2461" i="2"/>
  <c r="AB2408" i="2"/>
  <c r="AB2406" i="2"/>
  <c r="AB2303" i="2"/>
  <c r="AA2303" i="2"/>
  <c r="AC2239" i="2"/>
  <c r="AC2194" i="2"/>
  <c r="AA2170" i="2"/>
  <c r="AC2152" i="2"/>
  <c r="AB2047" i="2"/>
  <c r="AA2037" i="2"/>
  <c r="AA2022" i="2"/>
  <c r="AA1971" i="2"/>
  <c r="AB1914" i="2"/>
  <c r="AA1867" i="2"/>
  <c r="AA1772" i="2"/>
  <c r="AA1765" i="2"/>
  <c r="AA1714" i="2"/>
  <c r="AB1684" i="2"/>
  <c r="L1667" i="2"/>
  <c r="K1667" i="2" s="1"/>
  <c r="AC1667" i="2"/>
  <c r="AD1667" i="2" s="1"/>
  <c r="AB1632" i="2"/>
  <c r="AA1530" i="2"/>
  <c r="AC1530" i="2"/>
  <c r="AD1530" i="2" s="1"/>
  <c r="AA1525" i="2"/>
  <c r="AC1516" i="2"/>
  <c r="AD1516" i="2" s="1"/>
  <c r="AA1419" i="2"/>
  <c r="AC1419" i="2"/>
  <c r="AD1419" i="2" s="1"/>
  <c r="L1419" i="2"/>
  <c r="K1419" i="2" s="1"/>
  <c r="AC1312" i="2"/>
  <c r="AD1312" i="2" s="1"/>
  <c r="AB1312" i="2"/>
  <c r="AC1196" i="2"/>
  <c r="AD1196" i="2" s="1"/>
  <c r="L1196" i="2"/>
  <c r="K1196" i="2" s="1"/>
  <c r="AB835" i="2"/>
  <c r="AA835" i="2"/>
  <c r="AC835" i="2"/>
  <c r="AD835" i="2" s="1"/>
  <c r="AB199" i="2"/>
  <c r="AC199" i="2"/>
  <c r="AD199" i="2" s="1"/>
  <c r="AC3642" i="2"/>
  <c r="AC3543" i="2"/>
  <c r="AC3471" i="2"/>
  <c r="AB3449" i="2"/>
  <c r="AB3441" i="2"/>
  <c r="AB3393" i="2"/>
  <c r="AC3376" i="2"/>
  <c r="AC3320" i="2"/>
  <c r="AB3305" i="2"/>
  <c r="AA3233" i="2"/>
  <c r="AC3233" i="2"/>
  <c r="AB3207" i="2"/>
  <c r="AC3149" i="2"/>
  <c r="AC3109" i="2"/>
  <c r="AA3041" i="2"/>
  <c r="AB3041" i="2"/>
  <c r="AC2886" i="2"/>
  <c r="AC2805" i="2"/>
  <c r="AC2770" i="2"/>
  <c r="AA2757" i="2"/>
  <c r="AC2757" i="2"/>
  <c r="AC2754" i="2"/>
  <c r="AC2685" i="2"/>
  <c r="AB2677" i="2"/>
  <c r="AC2677" i="2"/>
  <c r="AC2639" i="2"/>
  <c r="AC2634" i="2"/>
  <c r="AA2578" i="2"/>
  <c r="AC2578" i="2"/>
  <c r="AC2498" i="2"/>
  <c r="AA2350" i="2"/>
  <c r="AB2334" i="2"/>
  <c r="AC2320" i="2"/>
  <c r="AB2320" i="2"/>
  <c r="AB2266" i="2"/>
  <c r="AA2266" i="2"/>
  <c r="AC2244" i="2"/>
  <c r="AB2239" i="2"/>
  <c r="AA2194" i="2"/>
  <c r="AA2152" i="2"/>
  <c r="AC2075" i="2"/>
  <c r="AB2075" i="2"/>
  <c r="AC2001" i="2"/>
  <c r="AB2001" i="2"/>
  <c r="AA1979" i="2"/>
  <c r="AB1979" i="2"/>
  <c r="AC1979" i="2"/>
  <c r="AA1914" i="2"/>
  <c r="L1860" i="2"/>
  <c r="K1860" i="2" s="1"/>
  <c r="AC1860" i="2"/>
  <c r="AD1860" i="2" s="1"/>
  <c r="L1785" i="2"/>
  <c r="K1785" i="2" s="1"/>
  <c r="AC1785" i="2"/>
  <c r="AD1785" i="2" s="1"/>
  <c r="AC1676" i="2"/>
  <c r="AD1676" i="2" s="1"/>
  <c r="AA1676" i="2"/>
  <c r="L1676" i="2"/>
  <c r="K1676" i="2" s="1"/>
  <c r="AB1379" i="2"/>
  <c r="AB1341" i="2"/>
  <c r="AA1341" i="2"/>
  <c r="AC1341" i="2"/>
  <c r="AD1341" i="2" s="1"/>
  <c r="AC1218" i="2"/>
  <c r="AD1218" i="2" s="1"/>
  <c r="AA214" i="2"/>
  <c r="AC214" i="2"/>
  <c r="AD214" i="2" s="1"/>
  <c r="L132" i="2"/>
  <c r="K132" i="2" s="1"/>
  <c r="AA132" i="2"/>
  <c r="AB132" i="2"/>
  <c r="AA106" i="2"/>
  <c r="AB106" i="2"/>
  <c r="AC106" i="2"/>
  <c r="AD106" i="2" s="1"/>
  <c r="L106" i="2"/>
  <c r="K106" i="2" s="1"/>
  <c r="AB2664" i="2"/>
  <c r="AA2664" i="2"/>
  <c r="AA2538" i="2"/>
  <c r="AB2538" i="2"/>
  <c r="AB2476" i="2"/>
  <c r="AC2476" i="2"/>
  <c r="AA2471" i="2"/>
  <c r="AB2471" i="2"/>
  <c r="AC2199" i="2"/>
  <c r="AB2199" i="2"/>
  <c r="AA2011" i="2"/>
  <c r="AB2011" i="2"/>
  <c r="AC1878" i="2"/>
  <c r="AD1878" i="2" s="1"/>
  <c r="AB1878" i="2"/>
  <c r="L1728" i="2"/>
  <c r="K1728" i="2" s="1"/>
  <c r="AB1728" i="2"/>
  <c r="AC1695" i="2"/>
  <c r="AD1695" i="2" s="1"/>
  <c r="AB1695" i="2"/>
  <c r="L1516" i="2"/>
  <c r="K1516" i="2" s="1"/>
  <c r="AB1516" i="2"/>
  <c r="AB1401" i="2"/>
  <c r="AA1401" i="2"/>
  <c r="AC1401" i="2"/>
  <c r="AD1401" i="2" s="1"/>
  <c r="AA1379" i="2"/>
  <c r="L1363" i="2"/>
  <c r="K1363" i="2" s="1"/>
  <c r="AA1233" i="2"/>
  <c r="AB1129" i="2"/>
  <c r="AC1129" i="2"/>
  <c r="AD1129" i="2" s="1"/>
  <c r="AA1129" i="2"/>
  <c r="AA843" i="2"/>
  <c r="AA569" i="2"/>
  <c r="AC569" i="2"/>
  <c r="AD569" i="2" s="1"/>
  <c r="L468" i="2"/>
  <c r="K468" i="2" s="1"/>
  <c r="AB468" i="2"/>
  <c r="AB358" i="2"/>
  <c r="L205" i="2"/>
  <c r="K205" i="2" s="1"/>
  <c r="AA205" i="2"/>
  <c r="AB205" i="2"/>
  <c r="AA3069" i="2"/>
  <c r="AB3069" i="2"/>
  <c r="AA2767" i="2"/>
  <c r="AB2767" i="2"/>
  <c r="AB2690" i="2"/>
  <c r="AA2690" i="2"/>
  <c r="AC2669" i="2"/>
  <c r="AA2669" i="2"/>
  <c r="AA2328" i="2"/>
  <c r="AB2328" i="2"/>
  <c r="AC2167" i="2"/>
  <c r="AA2167" i="2"/>
  <c r="AC2135" i="2"/>
  <c r="AB2135" i="2"/>
  <c r="AC2100" i="2"/>
  <c r="AB2100" i="2"/>
  <c r="AC2083" i="2"/>
  <c r="AA2083" i="2"/>
  <c r="AB2083" i="2"/>
  <c r="L1914" i="2"/>
  <c r="K1914" i="2" s="1"/>
  <c r="L1893" i="2"/>
  <c r="K1893" i="2" s="1"/>
  <c r="AA1893" i="2"/>
  <c r="L1758" i="2"/>
  <c r="K1758" i="2" s="1"/>
  <c r="AB1758" i="2"/>
  <c r="AB1750" i="2"/>
  <c r="AC1750" i="2"/>
  <c r="AD1750" i="2" s="1"/>
  <c r="AA1601" i="2"/>
  <c r="AC1601" i="2"/>
  <c r="AD1601" i="2" s="1"/>
  <c r="L1595" i="2"/>
  <c r="K1595" i="2" s="1"/>
  <c r="AC1595" i="2"/>
  <c r="AD1595" i="2" s="1"/>
  <c r="L1524" i="2"/>
  <c r="K1524" i="2" s="1"/>
  <c r="L1393" i="2"/>
  <c r="K1393" i="2" s="1"/>
  <c r="AB1393" i="2"/>
  <c r="AA1201" i="2"/>
  <c r="AB1201" i="2"/>
  <c r="AC1201" i="2"/>
  <c r="AD1201" i="2" s="1"/>
  <c r="L473" i="2"/>
  <c r="K473" i="2" s="1"/>
  <c r="AA473" i="2"/>
  <c r="AB473" i="2"/>
  <c r="AB337" i="2"/>
  <c r="L337" i="2"/>
  <c r="K337" i="2" s="1"/>
  <c r="L237" i="2"/>
  <c r="K237" i="2" s="1"/>
  <c r="AA237" i="2"/>
  <c r="AB237" i="2"/>
  <c r="AC237" i="2"/>
  <c r="AD237" i="2" s="1"/>
  <c r="AB204" i="2"/>
  <c r="AB3960" i="2"/>
  <c r="AC3955" i="2"/>
  <c r="AA3943" i="2"/>
  <c r="AA3916" i="2"/>
  <c r="AA3865" i="2"/>
  <c r="AC3845" i="2"/>
  <c r="AA3843" i="2"/>
  <c r="AB3827" i="2"/>
  <c r="AA3769" i="2"/>
  <c r="AA3732" i="2"/>
  <c r="AA3727" i="2"/>
  <c r="AB3701" i="2"/>
  <c r="AA3691" i="2"/>
  <c r="AB3652" i="2"/>
  <c r="AB3647" i="2"/>
  <c r="AB3616" i="2"/>
  <c r="AA3580" i="2"/>
  <c r="AA3555" i="2"/>
  <c r="AA3517" i="2"/>
  <c r="AA3475" i="2"/>
  <c r="AA3380" i="2"/>
  <c r="AA3368" i="2"/>
  <c r="AB3322" i="2"/>
  <c r="AB3300" i="2"/>
  <c r="AA3300" i="2"/>
  <c r="AC3295" i="2"/>
  <c r="AB3295" i="2"/>
  <c r="AB3237" i="2"/>
  <c r="AA3209" i="2"/>
  <c r="AC3146" i="2"/>
  <c r="AA3085" i="2"/>
  <c r="AB3085" i="2"/>
  <c r="AB3013" i="2"/>
  <c r="AA2957" i="2"/>
  <c r="AB2947" i="2"/>
  <c r="AA2940" i="2"/>
  <c r="AA2891" i="2"/>
  <c r="AC2891" i="2"/>
  <c r="AB2888" i="2"/>
  <c r="AB2735" i="2"/>
  <c r="AB2666" i="2"/>
  <c r="AC2656" i="2"/>
  <c r="AA2586" i="2"/>
  <c r="AB2586" i="2"/>
  <c r="AA2543" i="2"/>
  <c r="AC2543" i="2"/>
  <c r="AB2396" i="2"/>
  <c r="AA2396" i="2"/>
  <c r="AB2241" i="2"/>
  <c r="AA2241" i="2"/>
  <c r="AC2143" i="2"/>
  <c r="AA2143" i="2"/>
  <c r="AB2143" i="2"/>
  <c r="AC2016" i="2"/>
  <c r="AB2016" i="2"/>
  <c r="AC1965" i="2"/>
  <c r="AB1965" i="2"/>
  <c r="L1925" i="2"/>
  <c r="K1925" i="2" s="1"/>
  <c r="L1737" i="2"/>
  <c r="K1737" i="2" s="1"/>
  <c r="AC1737" i="2"/>
  <c r="AD1737" i="2" s="1"/>
  <c r="L1529" i="2"/>
  <c r="K1529" i="2" s="1"/>
  <c r="AB1523" i="2"/>
  <c r="AA1523" i="2"/>
  <c r="L1459" i="2"/>
  <c r="K1459" i="2" s="1"/>
  <c r="AC1459" i="2"/>
  <c r="AD1459" i="2" s="1"/>
  <c r="AC1378" i="2"/>
  <c r="AD1378" i="2" s="1"/>
  <c r="AA1378" i="2"/>
  <c r="L1370" i="2"/>
  <c r="K1370" i="2" s="1"/>
  <c r="AC1348" i="2"/>
  <c r="AD1348" i="2" s="1"/>
  <c r="AB1348" i="2"/>
  <c r="AB1331" i="2"/>
  <c r="L1331" i="2"/>
  <c r="K1331" i="2" s="1"/>
  <c r="AB1095" i="2"/>
  <c r="AC1095" i="2"/>
  <c r="AD1095" i="2" s="1"/>
  <c r="AC880" i="2"/>
  <c r="AD880" i="2" s="1"/>
  <c r="AB880" i="2"/>
  <c r="AA212" i="2"/>
  <c r="AB212" i="2"/>
  <c r="AA3098" i="2"/>
  <c r="AB3098" i="2"/>
  <c r="AB2759" i="2"/>
  <c r="AC2759" i="2"/>
  <c r="AA2481" i="2"/>
  <c r="AC2481" i="2"/>
  <c r="AB2398" i="2"/>
  <c r="AA2398" i="2"/>
  <c r="AA2341" i="2"/>
  <c r="AB2341" i="2"/>
  <c r="AB2302" i="2"/>
  <c r="AC2302" i="2"/>
  <c r="AA2217" i="2"/>
  <c r="AC2217" i="2"/>
  <c r="AC2054" i="2"/>
  <c r="AA2054" i="2"/>
  <c r="AC1947" i="2"/>
  <c r="AA1947" i="2"/>
  <c r="AB1947" i="2"/>
  <c r="AA1884" i="2"/>
  <c r="AB1884" i="2"/>
  <c r="AC1884" i="2"/>
  <c r="AD1884" i="2" s="1"/>
  <c r="L1756" i="2"/>
  <c r="K1756" i="2" s="1"/>
  <c r="AA1756" i="2"/>
  <c r="AC1658" i="2"/>
  <c r="AD1658" i="2" s="1"/>
  <c r="AB1658" i="2"/>
  <c r="L1651" i="2"/>
  <c r="K1651" i="2" s="1"/>
  <c r="AB1651" i="2"/>
  <c r="AA904" i="2"/>
  <c r="AB904" i="2"/>
  <c r="L880" i="2"/>
  <c r="K880" i="2" s="1"/>
  <c r="AC856" i="2"/>
  <c r="AD856" i="2" s="1"/>
  <c r="AB856" i="2"/>
  <c r="AB528" i="2"/>
  <c r="AA528" i="2"/>
  <c r="AC528" i="2"/>
  <c r="AD528" i="2" s="1"/>
  <c r="L394" i="2"/>
  <c r="K394" i="2" s="1"/>
  <c r="AB394" i="2"/>
  <c r="AC252" i="2"/>
  <c r="AD252" i="2" s="1"/>
  <c r="L252" i="2"/>
  <c r="K252" i="2" s="1"/>
  <c r="L204" i="2"/>
  <c r="K204" i="2" s="1"/>
  <c r="L1764" i="2"/>
  <c r="K1764" i="2" s="1"/>
  <c r="AC1764" i="2"/>
  <c r="AD1764" i="2" s="1"/>
  <c r="AB1713" i="2"/>
  <c r="AB1708" i="2"/>
  <c r="AC1660" i="2"/>
  <c r="AD1660" i="2" s="1"/>
  <c r="AA1636" i="2"/>
  <c r="AB1603" i="2"/>
  <c r="AA1558" i="2"/>
  <c r="L1528" i="2"/>
  <c r="K1528" i="2" s="1"/>
  <c r="AA1528" i="2"/>
  <c r="AB1492" i="2"/>
  <c r="AB1480" i="2"/>
  <c r="AB1462" i="2"/>
  <c r="AA1462" i="2"/>
  <c r="AC1457" i="2"/>
  <c r="AD1457" i="2" s="1"/>
  <c r="AA1433" i="2"/>
  <c r="AC1433" i="2"/>
  <c r="AD1433" i="2" s="1"/>
  <c r="AC1425" i="2"/>
  <c r="AD1425" i="2" s="1"/>
  <c r="AA1352" i="2"/>
  <c r="AC1281" i="2"/>
  <c r="AD1281" i="2" s="1"/>
  <c r="L1281" i="2"/>
  <c r="K1281" i="2" s="1"/>
  <c r="AC1273" i="2"/>
  <c r="AD1273" i="2" s="1"/>
  <c r="AA1257" i="2"/>
  <c r="AB1247" i="2"/>
  <c r="AB1168" i="2"/>
  <c r="AA1162" i="2"/>
  <c r="L1162" i="2"/>
  <c r="K1162" i="2" s="1"/>
  <c r="L1112" i="2"/>
  <c r="K1112" i="2" s="1"/>
  <c r="AC1112" i="2"/>
  <c r="AD1112" i="2" s="1"/>
  <c r="AA1077" i="2"/>
  <c r="AC792" i="2"/>
  <c r="AD792" i="2" s="1"/>
  <c r="AB407" i="2"/>
  <c r="AA407" i="2"/>
  <c r="AC407" i="2"/>
  <c r="AD407" i="2" s="1"/>
  <c r="AA278" i="2"/>
  <c r="AB278" i="2"/>
  <c r="AC278" i="2"/>
  <c r="AD278" i="2" s="1"/>
  <c r="L148" i="2"/>
  <c r="K148" i="2" s="1"/>
  <c r="AB148" i="2"/>
  <c r="AC148" i="2"/>
  <c r="AD148" i="2" s="1"/>
  <c r="AA1713" i="2"/>
  <c r="AA1708" i="2"/>
  <c r="L1687" i="2"/>
  <c r="K1687" i="2" s="1"/>
  <c r="AC1687" i="2"/>
  <c r="AD1687" i="2" s="1"/>
  <c r="AC1681" i="2"/>
  <c r="AD1681" i="2" s="1"/>
  <c r="AB1681" i="2"/>
  <c r="L1586" i="2"/>
  <c r="K1586" i="2" s="1"/>
  <c r="AB1586" i="2"/>
  <c r="AB1574" i="2"/>
  <c r="AA1564" i="2"/>
  <c r="AB1564" i="2"/>
  <c r="AC1551" i="2"/>
  <c r="AD1551" i="2" s="1"/>
  <c r="AA1520" i="2"/>
  <c r="AB1520" i="2"/>
  <c r="AA1507" i="2"/>
  <c r="AC1507" i="2"/>
  <c r="AD1507" i="2" s="1"/>
  <c r="AA1480" i="2"/>
  <c r="L1440" i="2"/>
  <c r="K1440" i="2" s="1"/>
  <c r="AA1440" i="2"/>
  <c r="AB1440" i="2"/>
  <c r="AC1440" i="2"/>
  <c r="AD1440" i="2" s="1"/>
  <c r="AA1425" i="2"/>
  <c r="AC1411" i="2"/>
  <c r="AD1411" i="2" s="1"/>
  <c r="AB1405" i="2"/>
  <c r="AA1273" i="2"/>
  <c r="AA1111" i="2"/>
  <c r="L1111" i="2"/>
  <c r="K1111" i="2" s="1"/>
  <c r="AB1085" i="2"/>
  <c r="AB948" i="2"/>
  <c r="AC922" i="2"/>
  <c r="AD922" i="2" s="1"/>
  <c r="AA922" i="2"/>
  <c r="AB922" i="2"/>
  <c r="AC900" i="2"/>
  <c r="AD900" i="2" s="1"/>
  <c r="AA900" i="2"/>
  <c r="AB900" i="2"/>
  <c r="L900" i="2"/>
  <c r="K900" i="2" s="1"/>
  <c r="AB792" i="2"/>
  <c r="L753" i="2"/>
  <c r="K753" i="2" s="1"/>
  <c r="AC753" i="2"/>
  <c r="AD753" i="2" s="1"/>
  <c r="AC657" i="2"/>
  <c r="AD657" i="2" s="1"/>
  <c r="AA657" i="2"/>
  <c r="AB657" i="2"/>
  <c r="L550" i="2"/>
  <c r="K550" i="2" s="1"/>
  <c r="AA550" i="2"/>
  <c r="AC550" i="2"/>
  <c r="AD550" i="2" s="1"/>
  <c r="L314" i="2"/>
  <c r="K314" i="2" s="1"/>
  <c r="AA314" i="2"/>
  <c r="AC40" i="2"/>
  <c r="AD40" i="2" s="1"/>
  <c r="L40" i="2"/>
  <c r="K40" i="2" s="1"/>
  <c r="AA1533" i="2"/>
  <c r="AB1533" i="2"/>
  <c r="AA1397" i="2"/>
  <c r="L1397" i="2"/>
  <c r="K1397" i="2" s="1"/>
  <c r="AB1293" i="2"/>
  <c r="AC1293" i="2"/>
  <c r="AD1293" i="2" s="1"/>
  <c r="L922" i="2"/>
  <c r="K922" i="2" s="1"/>
  <c r="AA667" i="2"/>
  <c r="L667" i="2"/>
  <c r="K667" i="2" s="1"/>
  <c r="AC644" i="2"/>
  <c r="AD644" i="2" s="1"/>
  <c r="AB644" i="2"/>
  <c r="AC2533" i="2"/>
  <c r="AB2413" i="2"/>
  <c r="AB2385" i="2"/>
  <c r="AC2383" i="2"/>
  <c r="AC2375" i="2"/>
  <c r="AC2353" i="2"/>
  <c r="L1691" i="2"/>
  <c r="K1691" i="2" s="1"/>
  <c r="AB1691" i="2"/>
  <c r="AA1602" i="2"/>
  <c r="AC1602" i="2"/>
  <c r="AD1602" i="2" s="1"/>
  <c r="L1596" i="2"/>
  <c r="K1596" i="2" s="1"/>
  <c r="AB1596" i="2"/>
  <c r="AC1573" i="2"/>
  <c r="AD1573" i="2" s="1"/>
  <c r="L1533" i="2"/>
  <c r="K1533" i="2" s="1"/>
  <c r="L1491" i="2"/>
  <c r="K1491" i="2" s="1"/>
  <c r="AB1439" i="2"/>
  <c r="L1425" i="2"/>
  <c r="K1425" i="2" s="1"/>
  <c r="AC1337" i="2"/>
  <c r="AD1337" i="2" s="1"/>
  <c r="AB1337" i="2"/>
  <c r="AA1308" i="2"/>
  <c r="L1273" i="2"/>
  <c r="K1273" i="2" s="1"/>
  <c r="AA1124" i="2"/>
  <c r="AA845" i="2"/>
  <c r="AB845" i="2"/>
  <c r="AC845" i="2"/>
  <c r="AD845" i="2" s="1"/>
  <c r="L792" i="2"/>
  <c r="K792" i="2" s="1"/>
  <c r="L715" i="2"/>
  <c r="K715" i="2" s="1"/>
  <c r="AA715" i="2"/>
  <c r="AB715" i="2"/>
  <c r="AC715" i="2"/>
  <c r="AD715" i="2" s="1"/>
  <c r="L680" i="2"/>
  <c r="K680" i="2" s="1"/>
  <c r="AC643" i="2"/>
  <c r="AD643" i="2" s="1"/>
  <c r="AA643" i="2"/>
  <c r="AB643" i="2"/>
  <c r="L643" i="2"/>
  <c r="K643" i="2" s="1"/>
  <c r="L476" i="2"/>
  <c r="K476" i="2" s="1"/>
  <c r="AA476" i="2"/>
  <c r="AB476" i="2"/>
  <c r="AC192" i="2"/>
  <c r="AD192" i="2" s="1"/>
  <c r="AA192" i="2"/>
  <c r="AB192" i="2"/>
  <c r="AA161" i="2"/>
  <c r="AB161" i="2"/>
  <c r="AC161" i="2"/>
  <c r="AD161" i="2" s="1"/>
  <c r="L1923" i="2"/>
  <c r="K1923" i="2" s="1"/>
  <c r="L1875" i="2"/>
  <c r="K1875" i="2" s="1"/>
  <c r="L1866" i="2"/>
  <c r="K1866" i="2" s="1"/>
  <c r="L1777" i="2"/>
  <c r="K1777" i="2" s="1"/>
  <c r="L1751" i="2"/>
  <c r="K1751" i="2" s="1"/>
  <c r="AB1702" i="2"/>
  <c r="AA1702" i="2"/>
  <c r="L1640" i="2"/>
  <c r="K1640" i="2" s="1"/>
  <c r="L1614" i="2"/>
  <c r="K1614" i="2" s="1"/>
  <c r="AB1614" i="2"/>
  <c r="L1602" i="2"/>
  <c r="K1602" i="2" s="1"/>
  <c r="AA1544" i="2"/>
  <c r="L1544" i="2"/>
  <c r="K1544" i="2" s="1"/>
  <c r="L1403" i="2"/>
  <c r="K1403" i="2" s="1"/>
  <c r="AB1403" i="2"/>
  <c r="AA1403" i="2"/>
  <c r="AB1389" i="2"/>
  <c r="AA1389" i="2"/>
  <c r="AC1117" i="2"/>
  <c r="AD1117" i="2" s="1"/>
  <c r="L1117" i="2"/>
  <c r="K1117" i="2" s="1"/>
  <c r="L722" i="2"/>
  <c r="K722" i="2" s="1"/>
  <c r="AA722" i="2"/>
  <c r="AB722" i="2"/>
  <c r="AC722" i="2"/>
  <c r="AD722" i="2" s="1"/>
  <c r="L192" i="2"/>
  <c r="K192" i="2" s="1"/>
  <c r="L161" i="2"/>
  <c r="K161" i="2" s="1"/>
  <c r="L77" i="2"/>
  <c r="K77" i="2" s="1"/>
  <c r="AB77" i="2"/>
  <c r="AC77" i="2"/>
  <c r="AD77" i="2" s="1"/>
  <c r="L1850" i="2"/>
  <c r="K1850" i="2" s="1"/>
  <c r="AA1850" i="2"/>
  <c r="AC1712" i="2"/>
  <c r="AD1712" i="2" s="1"/>
  <c r="AA1712" i="2"/>
  <c r="L1679" i="2"/>
  <c r="K1679" i="2" s="1"/>
  <c r="L1644" i="2"/>
  <c r="K1644" i="2" s="1"/>
  <c r="L1439" i="2"/>
  <c r="K1439" i="2" s="1"/>
  <c r="L1328" i="2"/>
  <c r="K1328" i="2" s="1"/>
  <c r="AA1328" i="2"/>
  <c r="AB1328" i="2"/>
  <c r="AA1237" i="2"/>
  <c r="AB1237" i="2"/>
  <c r="AB707" i="2"/>
  <c r="L707" i="2"/>
  <c r="K707" i="2" s="1"/>
  <c r="L685" i="2"/>
  <c r="K685" i="2" s="1"/>
  <c r="L592" i="2"/>
  <c r="K592" i="2" s="1"/>
  <c r="AC592" i="2"/>
  <c r="AD592" i="2" s="1"/>
  <c r="AA592" i="2"/>
  <c r="L437" i="2"/>
  <c r="K437" i="2" s="1"/>
  <c r="AB437" i="2"/>
  <c r="AC437" i="2"/>
  <c r="AD437" i="2" s="1"/>
  <c r="AA1318" i="2"/>
  <c r="AC1318" i="2"/>
  <c r="AD1318" i="2" s="1"/>
  <c r="AC1133" i="2"/>
  <c r="AD1133" i="2" s="1"/>
  <c r="AB1100" i="2"/>
  <c r="AA1028" i="2"/>
  <c r="AB1019" i="2"/>
  <c r="AA892" i="2"/>
  <c r="AC801" i="2"/>
  <c r="AD801" i="2" s="1"/>
  <c r="AA697" i="2"/>
  <c r="AA679" i="2"/>
  <c r="L679" i="2"/>
  <c r="K679" i="2" s="1"/>
  <c r="AA577" i="2"/>
  <c r="AC283" i="2"/>
  <c r="AD283" i="2" s="1"/>
  <c r="AB249" i="2"/>
  <c r="AB80" i="2"/>
  <c r="AB61" i="2"/>
  <c r="AC61" i="2"/>
  <c r="AD61" i="2" s="1"/>
  <c r="AC20" i="2"/>
  <c r="AD20" i="2" s="1"/>
  <c r="AA20" i="2"/>
  <c r="AB20" i="2"/>
  <c r="L1223" i="2"/>
  <c r="K1223" i="2" s="1"/>
  <c r="AC1223" i="2"/>
  <c r="AD1223" i="2" s="1"/>
  <c r="AC1150" i="2"/>
  <c r="AD1150" i="2" s="1"/>
  <c r="AB975" i="2"/>
  <c r="AB927" i="2"/>
  <c r="AB899" i="2"/>
  <c r="AA806" i="2"/>
  <c r="AB806" i="2"/>
  <c r="AA757" i="2"/>
  <c r="AB642" i="2"/>
  <c r="AB477" i="2"/>
  <c r="AA381" i="2"/>
  <c r="AC54" i="2"/>
  <c r="AD54" i="2" s="1"/>
  <c r="AC815" i="2"/>
  <c r="AD815" i="2" s="1"/>
  <c r="L815" i="2"/>
  <c r="K815" i="2" s="1"/>
  <c r="AB800" i="2"/>
  <c r="L800" i="2"/>
  <c r="K800" i="2" s="1"/>
  <c r="AA751" i="2"/>
  <c r="L751" i="2"/>
  <c r="K751" i="2" s="1"/>
  <c r="L249" i="2"/>
  <c r="K249" i="2" s="1"/>
  <c r="AC249" i="2"/>
  <c r="AD249" i="2" s="1"/>
  <c r="AC219" i="2"/>
  <c r="AD219" i="2" s="1"/>
  <c r="L219" i="2"/>
  <c r="K219" i="2" s="1"/>
  <c r="AA189" i="2"/>
  <c r="AB189" i="2"/>
  <c r="AC189" i="2"/>
  <c r="AD189" i="2" s="1"/>
  <c r="AA54" i="2"/>
  <c r="AA48" i="2"/>
  <c r="AC31" i="2"/>
  <c r="AD31" i="2" s="1"/>
  <c r="L31" i="2"/>
  <c r="K31" i="2" s="1"/>
  <c r="AA1467" i="2"/>
  <c r="L1467" i="2"/>
  <c r="K1467" i="2" s="1"/>
  <c r="AA1362" i="2"/>
  <c r="AB1362" i="2"/>
  <c r="AB1329" i="2"/>
  <c r="AC1329" i="2"/>
  <c r="AD1329" i="2" s="1"/>
  <c r="AB1113" i="2"/>
  <c r="AC1113" i="2"/>
  <c r="AD1113" i="2" s="1"/>
  <c r="L646" i="2"/>
  <c r="K646" i="2" s="1"/>
  <c r="AC609" i="2"/>
  <c r="AD609" i="2" s="1"/>
  <c r="AA609" i="2"/>
  <c r="AB609" i="2"/>
  <c r="L581" i="2"/>
  <c r="K581" i="2" s="1"/>
  <c r="L477" i="2"/>
  <c r="K477" i="2" s="1"/>
  <c r="AA329" i="2"/>
  <c r="AC329" i="2"/>
  <c r="AD329" i="2" s="1"/>
  <c r="AA308" i="2"/>
  <c r="AC308" i="2"/>
  <c r="AD308" i="2" s="1"/>
  <c r="AA282" i="2"/>
  <c r="L282" i="2"/>
  <c r="K282" i="2" s="1"/>
  <c r="L189" i="2"/>
  <c r="K189" i="2" s="1"/>
  <c r="AA170" i="2"/>
  <c r="AB170" i="2"/>
  <c r="AC170" i="2"/>
  <c r="AD170" i="2" s="1"/>
  <c r="L126" i="2"/>
  <c r="K126" i="2" s="1"/>
  <c r="AA126" i="2"/>
  <c r="L120" i="2"/>
  <c r="K120" i="2" s="1"/>
  <c r="AC120" i="2"/>
  <c r="AD120" i="2" s="1"/>
  <c r="AB65" i="2"/>
  <c r="AC65" i="2"/>
  <c r="AD65" i="2" s="1"/>
  <c r="AA58" i="2"/>
  <c r="AB58" i="2"/>
  <c r="AC58" i="2"/>
  <c r="AD58" i="2" s="1"/>
  <c r="AC1515" i="2"/>
  <c r="AD1515" i="2" s="1"/>
  <c r="AA1456" i="2"/>
  <c r="L1415" i="2"/>
  <c r="K1415" i="2" s="1"/>
  <c r="AB1396" i="2"/>
  <c r="L1391" i="2"/>
  <c r="K1391" i="2" s="1"/>
  <c r="AA1369" i="2"/>
  <c r="L1369" i="2"/>
  <c r="K1369" i="2" s="1"/>
  <c r="AA1316" i="2"/>
  <c r="AC1259" i="2"/>
  <c r="AD1259" i="2" s="1"/>
  <c r="AA1206" i="2"/>
  <c r="L1140" i="2"/>
  <c r="K1054" i="2" s="1"/>
  <c r="AB1119" i="2"/>
  <c r="L1113" i="2"/>
  <c r="K1113" i="2" s="1"/>
  <c r="AB1048" i="2"/>
  <c r="L1000" i="2"/>
  <c r="K1000" i="2" s="1"/>
  <c r="AC1000" i="2"/>
  <c r="AD1000" i="2" s="1"/>
  <c r="AA869" i="2"/>
  <c r="L869" i="2"/>
  <c r="K869" i="2" s="1"/>
  <c r="AB786" i="2"/>
  <c r="AC786" i="2"/>
  <c r="AD786" i="2" s="1"/>
  <c r="L703" i="2"/>
  <c r="K703" i="2" s="1"/>
  <c r="AA669" i="2"/>
  <c r="AB669" i="2"/>
  <c r="AB653" i="2"/>
  <c r="AC653" i="2"/>
  <c r="AD653" i="2" s="1"/>
  <c r="L609" i="2"/>
  <c r="K609" i="2" s="1"/>
  <c r="AB535" i="2"/>
  <c r="AA487" i="2"/>
  <c r="AA481" i="2"/>
  <c r="L395" i="2"/>
  <c r="K395" i="2" s="1"/>
  <c r="L329" i="2"/>
  <c r="K329" i="2" s="1"/>
  <c r="L324" i="2"/>
  <c r="K324" i="2" s="1"/>
  <c r="AC267" i="2"/>
  <c r="AD267" i="2" s="1"/>
  <c r="L267" i="2"/>
  <c r="K267" i="2" s="1"/>
  <c r="AA267" i="2"/>
  <c r="L248" i="2"/>
  <c r="K248" i="2" s="1"/>
  <c r="L170" i="2"/>
  <c r="K170" i="2" s="1"/>
  <c r="L65" i="2"/>
  <c r="K65" i="2" s="1"/>
  <c r="L58" i="2"/>
  <c r="K58" i="2" s="1"/>
  <c r="AA1488" i="2"/>
  <c r="L1488" i="2"/>
  <c r="K1488" i="2" s="1"/>
  <c r="AB1471" i="2"/>
  <c r="AA1471" i="2"/>
  <c r="AA1185" i="2"/>
  <c r="AC1185" i="2"/>
  <c r="AD1185" i="2" s="1"/>
  <c r="L966" i="2"/>
  <c r="K966" i="2" s="1"/>
  <c r="AC966" i="2"/>
  <c r="AD966" i="2" s="1"/>
  <c r="AB881" i="2"/>
  <c r="AC881" i="2"/>
  <c r="AD881" i="2" s="1"/>
  <c r="AA454" i="2"/>
  <c r="AC454" i="2"/>
  <c r="AD454" i="2" s="1"/>
  <c r="AB299" i="2"/>
  <c r="AC299" i="2"/>
  <c r="AD299" i="2" s="1"/>
  <c r="L266" i="2"/>
  <c r="K266" i="2" s="1"/>
  <c r="AC266" i="2"/>
  <c r="AD266" i="2" s="1"/>
  <c r="L253" i="2"/>
  <c r="K253" i="2" s="1"/>
  <c r="L832" i="2"/>
  <c r="K832" i="2" s="1"/>
  <c r="AA832" i="2"/>
  <c r="AA750" i="2"/>
  <c r="AB750" i="2"/>
  <c r="AA607" i="2"/>
  <c r="L607" i="2"/>
  <c r="K607" i="2" s="1"/>
  <c r="AA597" i="2"/>
  <c r="AB597" i="2"/>
  <c r="AC597" i="2"/>
  <c r="AD597" i="2" s="1"/>
  <c r="L457" i="2"/>
  <c r="K457" i="2" s="1"/>
  <c r="AC457" i="2"/>
  <c r="AD457" i="2" s="1"/>
  <c r="AB368" i="2"/>
  <c r="AB311" i="2"/>
  <c r="AC311" i="2"/>
  <c r="AD311" i="2" s="1"/>
  <c r="AB298" i="2"/>
  <c r="L175" i="2"/>
  <c r="K175" i="2" s="1"/>
  <c r="AB175" i="2"/>
  <c r="AB1260" i="2"/>
  <c r="AB1254" i="2"/>
  <c r="K1132" i="2"/>
  <c r="L1127" i="2"/>
  <c r="K1127" i="2" s="1"/>
  <c r="L1121" i="2"/>
  <c r="K1121" i="2" s="1"/>
  <c r="AA1121" i="2"/>
  <c r="L1103" i="2"/>
  <c r="K1103" i="2" s="1"/>
  <c r="AB1096" i="2"/>
  <c r="AC1053" i="2"/>
  <c r="AD1053" i="2" s="1"/>
  <c r="AB1017" i="2"/>
  <c r="AC1017" i="2"/>
  <c r="AD1017" i="2" s="1"/>
  <c r="AB1002" i="2"/>
  <c r="AA995" i="2"/>
  <c r="AA981" i="2"/>
  <c r="AC973" i="2"/>
  <c r="AD973" i="2" s="1"/>
  <c r="AB939" i="2"/>
  <c r="AA918" i="2"/>
  <c r="AC888" i="2"/>
  <c r="AD888" i="2" s="1"/>
  <c r="L879" i="2"/>
  <c r="K879" i="2" s="1"/>
  <c r="AB847" i="2"/>
  <c r="L847" i="2"/>
  <c r="K847" i="2" s="1"/>
  <c r="AC810" i="2"/>
  <c r="AD810" i="2" s="1"/>
  <c r="AA789" i="2"/>
  <c r="AC781" i="2"/>
  <c r="AD781" i="2" s="1"/>
  <c r="L768" i="2"/>
  <c r="K768" i="2" s="1"/>
  <c r="AA762" i="2"/>
  <c r="L762" i="2"/>
  <c r="K762" i="2" s="1"/>
  <c r="AA739" i="2"/>
  <c r="AB706" i="2"/>
  <c r="L702" i="2"/>
  <c r="K702" i="2" s="1"/>
  <c r="L689" i="2"/>
  <c r="K689" i="2" s="1"/>
  <c r="AC671" i="2"/>
  <c r="AD671" i="2" s="1"/>
  <c r="AA671" i="2"/>
  <c r="AB671" i="2"/>
  <c r="AC651" i="2"/>
  <c r="AD651" i="2" s="1"/>
  <c r="AA640" i="2"/>
  <c r="L597" i="2"/>
  <c r="K597" i="2" s="1"/>
  <c r="AA573" i="2"/>
  <c r="L480" i="2"/>
  <c r="K480" i="2" s="1"/>
  <c r="L475" i="2"/>
  <c r="K475" i="2" s="1"/>
  <c r="AA475" i="2"/>
  <c r="AB475" i="2"/>
  <c r="AC475" i="2"/>
  <c r="AD475" i="2" s="1"/>
  <c r="AC462" i="2"/>
  <c r="AD462" i="2" s="1"/>
  <c r="AA417" i="2"/>
  <c r="AA405" i="2"/>
  <c r="AA368" i="2"/>
  <c r="AA347" i="2"/>
  <c r="AC342" i="2"/>
  <c r="AD342" i="2" s="1"/>
  <c r="AB322" i="2"/>
  <c r="AC315" i="2"/>
  <c r="AD315" i="2" s="1"/>
  <c r="L311" i="2"/>
  <c r="K311" i="2" s="1"/>
  <c r="AA298" i="2"/>
  <c r="AA281" i="2"/>
  <c r="AC281" i="2"/>
  <c r="AD281" i="2" s="1"/>
  <c r="AA268" i="2"/>
  <c r="L196" i="2"/>
  <c r="K196" i="2" s="1"/>
  <c r="AA185" i="2"/>
  <c r="AB185" i="2"/>
  <c r="L144" i="2"/>
  <c r="K144" i="2" s="1"/>
  <c r="AA144" i="2"/>
  <c r="AB144" i="2"/>
  <c r="AC144" i="2"/>
  <c r="AD144" i="2" s="1"/>
  <c r="AB139" i="2"/>
  <c r="AC139" i="2"/>
  <c r="AD139" i="2" s="1"/>
  <c r="L123" i="2"/>
  <c r="K123" i="2" s="1"/>
  <c r="AC67" i="2"/>
  <c r="AD67" i="2" s="1"/>
  <c r="AB67" i="2"/>
  <c r="L19" i="2"/>
  <c r="K19" i="2" s="1"/>
  <c r="AC1031" i="2"/>
  <c r="AD1031" i="2" s="1"/>
  <c r="AA1031" i="2"/>
  <c r="AB1031" i="2"/>
  <c r="AC946" i="2"/>
  <c r="AD946" i="2" s="1"/>
  <c r="AB901" i="2"/>
  <c r="AC901" i="2"/>
  <c r="AD901" i="2" s="1"/>
  <c r="AB888" i="2"/>
  <c r="AC878" i="2"/>
  <c r="AD878" i="2" s="1"/>
  <c r="AC822" i="2"/>
  <c r="AD822" i="2" s="1"/>
  <c r="AC816" i="2"/>
  <c r="AD816" i="2" s="1"/>
  <c r="AC799" i="2"/>
  <c r="AD799" i="2" s="1"/>
  <c r="AC729" i="2"/>
  <c r="AD729" i="2" s="1"/>
  <c r="AC701" i="2"/>
  <c r="AD701" i="2" s="1"/>
  <c r="AB655" i="2"/>
  <c r="AB544" i="2"/>
  <c r="AC386" i="2"/>
  <c r="AD386" i="2" s="1"/>
  <c r="AB386" i="2"/>
  <c r="AA79" i="2"/>
  <c r="L79" i="2"/>
  <c r="K79" i="2" s="1"/>
  <c r="L1260" i="2"/>
  <c r="K1260" i="2" s="1"/>
  <c r="AC1216" i="2"/>
  <c r="AD1216" i="2" s="1"/>
  <c r="L1144" i="2"/>
  <c r="AB1144" i="2"/>
  <c r="L1126" i="2"/>
  <c r="K1126" i="2" s="1"/>
  <c r="L1031" i="2"/>
  <c r="K1031" i="2" s="1"/>
  <c r="AB1008" i="2"/>
  <c r="AC994" i="2"/>
  <c r="AD994" i="2" s="1"/>
  <c r="L981" i="2"/>
  <c r="K981" i="2" s="1"/>
  <c r="AB972" i="2"/>
  <c r="AB946" i="2"/>
  <c r="AB905" i="2"/>
  <c r="L901" i="2"/>
  <c r="K901" i="2" s="1"/>
  <c r="AA888" i="2"/>
  <c r="AA822" i="2"/>
  <c r="AB816" i="2"/>
  <c r="AC804" i="2"/>
  <c r="AD804" i="2" s="1"/>
  <c r="AB799" i="2"/>
  <c r="AA729" i="2"/>
  <c r="AA655" i="2"/>
  <c r="L631" i="2"/>
  <c r="K631" i="2" s="1"/>
  <c r="AB595" i="2"/>
  <c r="AA544" i="2"/>
  <c r="AC461" i="2"/>
  <c r="AD461" i="2" s="1"/>
  <c r="AB325" i="2"/>
  <c r="AC325" i="2"/>
  <c r="AD325" i="2" s="1"/>
  <c r="AA321" i="2"/>
  <c r="AA315" i="2"/>
  <c r="AC287" i="2"/>
  <c r="AD287" i="2" s="1"/>
  <c r="L256" i="2"/>
  <c r="K256" i="2" s="1"/>
  <c r="AB250" i="2"/>
  <c r="AA250" i="2"/>
  <c r="AC250" i="2"/>
  <c r="AD250" i="2" s="1"/>
  <c r="L184" i="2"/>
  <c r="K184" i="2" s="1"/>
  <c r="AB52" i="2"/>
  <c r="L52" i="2"/>
  <c r="K52" i="2" s="1"/>
  <c r="L35" i="2"/>
  <c r="AA35" i="2"/>
  <c r="AA1030" i="2"/>
  <c r="AC1023" i="2"/>
  <c r="AD1023" i="2" s="1"/>
  <c r="AB959" i="2"/>
  <c r="AA946" i="2"/>
  <c r="AC931" i="2"/>
  <c r="AD931" i="2" s="1"/>
  <c r="AB923" i="2"/>
  <c r="AB910" i="2"/>
  <c r="AA905" i="2"/>
  <c r="AB701" i="2"/>
  <c r="L701" i="2"/>
  <c r="K701" i="2" s="1"/>
  <c r="AA297" i="2"/>
  <c r="L297" i="2"/>
  <c r="K297" i="2" s="1"/>
  <c r="L162" i="2"/>
  <c r="K162" i="2" s="1"/>
  <c r="AA154" i="2"/>
  <c r="AB154" i="2"/>
  <c r="AC154" i="2"/>
  <c r="AD154" i="2" s="1"/>
  <c r="AA122" i="2"/>
  <c r="L122" i="2"/>
  <c r="K122" i="2" s="1"/>
  <c r="AA114" i="2"/>
  <c r="AB114" i="2"/>
  <c r="AC114" i="2"/>
  <c r="AD114" i="2" s="1"/>
  <c r="AB51" i="2"/>
  <c r="AA51" i="2"/>
  <c r="AC51" i="2"/>
  <c r="AD51" i="2" s="1"/>
  <c r="AA872" i="2"/>
  <c r="L872" i="2"/>
  <c r="K872" i="2" s="1"/>
  <c r="AC865" i="2"/>
  <c r="AD865" i="2" s="1"/>
  <c r="AB865" i="2"/>
  <c r="L822" i="2"/>
  <c r="K822" i="2" s="1"/>
  <c r="L816" i="2"/>
  <c r="K816" i="2" s="1"/>
  <c r="AC778" i="2"/>
  <c r="AD778" i="2" s="1"/>
  <c r="AA778" i="2"/>
  <c r="L655" i="2"/>
  <c r="K655" i="2" s="1"/>
  <c r="L544" i="2"/>
  <c r="K544" i="2" s="1"/>
  <c r="L478" i="2"/>
  <c r="K478" i="2" s="1"/>
  <c r="AC478" i="2"/>
  <c r="AD478" i="2" s="1"/>
  <c r="L392" i="2"/>
  <c r="K392" i="2" s="1"/>
  <c r="AC392" i="2"/>
  <c r="AD392" i="2" s="1"/>
  <c r="AC334" i="2"/>
  <c r="AD334" i="2" s="1"/>
  <c r="AB334" i="2"/>
  <c r="L296" i="2"/>
  <c r="K296" i="2" s="1"/>
  <c r="AB296" i="2"/>
  <c r="AC296" i="2"/>
  <c r="AD296" i="2" s="1"/>
  <c r="L172" i="2"/>
  <c r="K172" i="2" s="1"/>
  <c r="L114" i="2"/>
  <c r="K114" i="2" s="1"/>
  <c r="L88" i="2"/>
  <c r="K88" i="2" s="1"/>
  <c r="L51" i="2"/>
  <c r="K51" i="2" s="1"/>
  <c r="AA1057" i="2"/>
  <c r="AA1004" i="2"/>
  <c r="AB803" i="2"/>
  <c r="AA709" i="2"/>
  <c r="AA681" i="2"/>
  <c r="AA617" i="2"/>
  <c r="AA611" i="2"/>
  <c r="AC586" i="2"/>
  <c r="AD586" i="2" s="1"/>
  <c r="AA559" i="2"/>
  <c r="AB553" i="2"/>
  <c r="AB533" i="2"/>
  <c r="AB505" i="2"/>
  <c r="AB423" i="2"/>
  <c r="AB397" i="2"/>
  <c r="AB380" i="2"/>
  <c r="AB374" i="2"/>
  <c r="AC323" i="2"/>
  <c r="AD323" i="2" s="1"/>
  <c r="AB307" i="2"/>
  <c r="AB247" i="2"/>
  <c r="AC125" i="2"/>
  <c r="AD125" i="2" s="1"/>
  <c r="AC108" i="2"/>
  <c r="AD108" i="2" s="1"/>
  <c r="AC15" i="2"/>
  <c r="AD15" i="2" s="1"/>
  <c r="L917" i="2"/>
  <c r="K917" i="2" s="1"/>
  <c r="L593" i="2"/>
  <c r="K593" i="2" s="1"/>
  <c r="AA586" i="2"/>
  <c r="AA553" i="2"/>
  <c r="AA533" i="2"/>
  <c r="AA505" i="2"/>
  <c r="AB464" i="2"/>
  <c r="AA423" i="2"/>
  <c r="AA397" i="2"/>
  <c r="AA380" i="2"/>
  <c r="AA374" i="2"/>
  <c r="L360" i="2"/>
  <c r="K360" i="2" s="1"/>
  <c r="L353" i="2"/>
  <c r="K353" i="2" s="1"/>
  <c r="AA323" i="2"/>
  <c r="L293" i="2"/>
  <c r="K293" i="2" s="1"/>
  <c r="AA247" i="2"/>
  <c r="L201" i="2"/>
  <c r="K201" i="2" s="1"/>
  <c r="L191" i="2"/>
  <c r="K191" i="2" s="1"/>
  <c r="AB125" i="2"/>
  <c r="AB108" i="2"/>
  <c r="L104" i="2"/>
  <c r="K104" i="2" s="1"/>
  <c r="L68" i="2"/>
  <c r="K68" i="2" s="1"/>
  <c r="L56" i="2"/>
  <c r="K56" i="2" s="1"/>
  <c r="AC30" i="2"/>
  <c r="AD30" i="2" s="1"/>
  <c r="AA15" i="2"/>
  <c r="AB2" i="2"/>
  <c r="AB6210" i="2"/>
  <c r="AA6210" i="2"/>
  <c r="AC6210" i="2"/>
  <c r="AB6171" i="2"/>
  <c r="AA6171" i="2"/>
  <c r="AA6063" i="2"/>
  <c r="AB6063" i="2"/>
  <c r="AC6063" i="2"/>
  <c r="AA6043" i="2"/>
  <c r="AB6043" i="2"/>
  <c r="AA5975" i="2"/>
  <c r="AB5975" i="2"/>
  <c r="AA5908" i="2"/>
  <c r="AB5908" i="2"/>
  <c r="AC5908" i="2"/>
  <c r="AB5823" i="2"/>
  <c r="AA5823" i="2"/>
  <c r="AC5823" i="2"/>
  <c r="AB5706" i="2"/>
  <c r="AA5706" i="2"/>
  <c r="AC5706" i="2"/>
  <c r="AB6705" i="2"/>
  <c r="AB6681" i="2"/>
  <c r="AB6657" i="2"/>
  <c r="AB6633" i="2"/>
  <c r="AC6613" i="2"/>
  <c r="AA6589" i="2"/>
  <c r="AA6587" i="2"/>
  <c r="AA6565" i="2"/>
  <c r="AA6563" i="2"/>
  <c r="AA6541" i="2"/>
  <c r="AA6539" i="2"/>
  <c r="AB6521" i="2"/>
  <c r="AA6515" i="2"/>
  <c r="AA6506" i="2"/>
  <c r="AA6502" i="2"/>
  <c r="AB6482" i="2"/>
  <c r="AA6473" i="2"/>
  <c r="AB6464" i="2"/>
  <c r="AC6449" i="2"/>
  <c r="AC6436" i="2"/>
  <c r="AC6427" i="2"/>
  <c r="AA6403" i="2"/>
  <c r="AA6367" i="2"/>
  <c r="AA6365" i="2"/>
  <c r="AC6360" i="2"/>
  <c r="AB6347" i="2"/>
  <c r="AB6342" i="2"/>
  <c r="AB6304" i="2"/>
  <c r="AB6287" i="2"/>
  <c r="AB6285" i="2"/>
  <c r="AC6285" i="2"/>
  <c r="AB6263" i="2"/>
  <c r="AC6263" i="2"/>
  <c r="AB6245" i="2"/>
  <c r="AA6245" i="2"/>
  <c r="AB6030" i="2"/>
  <c r="AA6030" i="2"/>
  <c r="AC6030" i="2"/>
  <c r="AC5794" i="2"/>
  <c r="AA5794" i="2"/>
  <c r="AB5794" i="2"/>
  <c r="AA6255" i="2"/>
  <c r="AB6255" i="2"/>
  <c r="AC6255" i="2"/>
  <c r="AA6212" i="2"/>
  <c r="AB6212" i="2"/>
  <c r="AA6087" i="2"/>
  <c r="AB6087" i="2"/>
  <c r="AA6019" i="2"/>
  <c r="AB6019" i="2"/>
  <c r="AB5934" i="2"/>
  <c r="AA5934" i="2"/>
  <c r="AC5934" i="2"/>
  <c r="AB5910" i="2"/>
  <c r="AA5910" i="2"/>
  <c r="AC5910" i="2"/>
  <c r="AC5835" i="2"/>
  <c r="AA5835" i="2"/>
  <c r="AB5835" i="2"/>
  <c r="AA5713" i="2"/>
  <c r="AB5713" i="2"/>
  <c r="AC5713" i="2"/>
  <c r="AB5695" i="2"/>
  <c r="AA5695" i="2"/>
  <c r="AC5695" i="2"/>
  <c r="AC5403" i="2"/>
  <c r="AA5403" i="2"/>
  <c r="AB5403" i="2"/>
  <c r="AB4928" i="2"/>
  <c r="AA4928" i="2"/>
  <c r="AC4928" i="2"/>
  <c r="AA4882" i="2"/>
  <c r="AC4882" i="2"/>
  <c r="AB6223" i="2"/>
  <c r="AA6223" i="2"/>
  <c r="AA6595" i="2"/>
  <c r="AB6495" i="2"/>
  <c r="AB6493" i="2"/>
  <c r="AC6486" i="2"/>
  <c r="AC6468" i="2"/>
  <c r="AC6455" i="2"/>
  <c r="AC6431" i="2"/>
  <c r="AC6371" i="2"/>
  <c r="AA6327" i="2"/>
  <c r="AB6327" i="2"/>
  <c r="AC6274" i="2"/>
  <c r="AC6270" i="2"/>
  <c r="AB6199" i="2"/>
  <c r="AA6199" i="2"/>
  <c r="AC6199" i="2"/>
  <c r="AB6186" i="2"/>
  <c r="AA6186" i="2"/>
  <c r="AC6186" i="2"/>
  <c r="AB6147" i="2"/>
  <c r="AA6147" i="2"/>
  <c r="AA6100" i="2"/>
  <c r="AB6100" i="2"/>
  <c r="AC6100" i="2"/>
  <c r="AB6077" i="2"/>
  <c r="AA6077" i="2"/>
  <c r="AC6077" i="2"/>
  <c r="AB5958" i="2"/>
  <c r="AA5958" i="2"/>
  <c r="AC5958" i="2"/>
  <c r="AA5439" i="2"/>
  <c r="AB5439" i="2"/>
  <c r="AC5439" i="2"/>
  <c r="AA5434" i="2"/>
  <c r="AB5434" i="2"/>
  <c r="AB6125" i="2"/>
  <c r="AA6125" i="2"/>
  <c r="AB6237" i="2"/>
  <c r="AA6237" i="2"/>
  <c r="AC6237" i="2"/>
  <c r="AB5862" i="2"/>
  <c r="AA5862" i="2"/>
  <c r="AC5862" i="2"/>
  <c r="AC6724" i="2"/>
  <c r="AC6702" i="2"/>
  <c r="AB6691" i="2"/>
  <c r="AC6678" i="2"/>
  <c r="AC6676" i="2"/>
  <c r="AB6667" i="2"/>
  <c r="AC6654" i="2"/>
  <c r="AC6652" i="2"/>
  <c r="AB6643" i="2"/>
  <c r="AC6630" i="2"/>
  <c r="AC6628" i="2"/>
  <c r="AC6597" i="2"/>
  <c r="AC6573" i="2"/>
  <c r="AC6549" i="2"/>
  <c r="AB6523" i="2"/>
  <c r="AC6516" i="2"/>
  <c r="AC6503" i="2"/>
  <c r="AC6488" i="2"/>
  <c r="AB6486" i="2"/>
  <c r="AC6479" i="2"/>
  <c r="AC6477" i="2"/>
  <c r="AB6470" i="2"/>
  <c r="AB6468" i="2"/>
  <c r="AB6455" i="2"/>
  <c r="AA6451" i="2"/>
  <c r="AA6440" i="2"/>
  <c r="AB6431" i="2"/>
  <c r="AC6415" i="2"/>
  <c r="AC6413" i="2"/>
  <c r="AB6371" i="2"/>
  <c r="AC6319" i="2"/>
  <c r="AC6317" i="2"/>
  <c r="AA6315" i="2"/>
  <c r="AC6315" i="2"/>
  <c r="AC6312" i="2"/>
  <c r="AC6294" i="2"/>
  <c r="AA6292" i="2"/>
  <c r="AC6292" i="2"/>
  <c r="AB6274" i="2"/>
  <c r="AB6270" i="2"/>
  <c r="AA6239" i="2"/>
  <c r="AB6239" i="2"/>
  <c r="AC6239" i="2"/>
  <c r="AA6232" i="2"/>
  <c r="AC6232" i="2"/>
  <c r="AB6065" i="2"/>
  <c r="AA6065" i="2"/>
  <c r="AC6065" i="2"/>
  <c r="AA5999" i="2"/>
  <c r="AB5999" i="2"/>
  <c r="AB5982" i="2"/>
  <c r="AA5982" i="2"/>
  <c r="AC5982" i="2"/>
  <c r="AB5718" i="2"/>
  <c r="AA5718" i="2"/>
  <c r="AC5718" i="2"/>
  <c r="AA5543" i="2"/>
  <c r="AB5543" i="2"/>
  <c r="AC5543" i="2"/>
  <c r="AB5122" i="2"/>
  <c r="AA5122" i="2"/>
  <c r="AC5122" i="2"/>
  <c r="AA6340" i="2"/>
  <c r="AB6340" i="2"/>
  <c r="AB6715" i="2"/>
  <c r="AC6700" i="2"/>
  <c r="AA6715" i="2"/>
  <c r="AC6713" i="2"/>
  <c r="AA6711" i="2"/>
  <c r="AA6691" i="2"/>
  <c r="AC6689" i="2"/>
  <c r="AA6687" i="2"/>
  <c r="AA6667" i="2"/>
  <c r="AC6665" i="2"/>
  <c r="AA6663" i="2"/>
  <c r="AA6643" i="2"/>
  <c r="AC6641" i="2"/>
  <c r="AA6639" i="2"/>
  <c r="AC6599" i="2"/>
  <c r="AB6597" i="2"/>
  <c r="AC6575" i="2"/>
  <c r="AB6573" i="2"/>
  <c r="AC6551" i="2"/>
  <c r="AB6549" i="2"/>
  <c r="AC6527" i="2"/>
  <c r="AC6525" i="2"/>
  <c r="AB6518" i="2"/>
  <c r="AA6499" i="2"/>
  <c r="AA6488" i="2"/>
  <c r="AA6477" i="2"/>
  <c r="AA6470" i="2"/>
  <c r="AB6391" i="2"/>
  <c r="AA6384" i="2"/>
  <c r="AC6382" i="2"/>
  <c r="AC6334" i="2"/>
  <c r="AA6329" i="2"/>
  <c r="AA6324" i="2"/>
  <c r="AB6324" i="2"/>
  <c r="AA6312" i="2"/>
  <c r="AC6310" i="2"/>
  <c r="AB6301" i="2"/>
  <c r="AC6296" i="2"/>
  <c r="AA6284" i="2"/>
  <c r="AC6284" i="2"/>
  <c r="AB6247" i="2"/>
  <c r="AC6247" i="2"/>
  <c r="AA6188" i="2"/>
  <c r="AB6188" i="2"/>
  <c r="AC5914" i="2"/>
  <c r="AA5914" i="2"/>
  <c r="AC5819" i="2"/>
  <c r="AA5819" i="2"/>
  <c r="AB5819" i="2"/>
  <c r="AC5743" i="2"/>
  <c r="AA5743" i="2"/>
  <c r="AB5743" i="2"/>
  <c r="AC6717" i="2"/>
  <c r="AC6693" i="2"/>
  <c r="AC6645" i="2"/>
  <c r="AC6621" i="2"/>
  <c r="AC6601" i="2"/>
  <c r="AB6599" i="2"/>
  <c r="AC6577" i="2"/>
  <c r="AB6575" i="2"/>
  <c r="AC6553" i="2"/>
  <c r="AB6551" i="2"/>
  <c r="AB6527" i="2"/>
  <c r="AC6459" i="2"/>
  <c r="AC6408" i="2"/>
  <c r="AC6404" i="2"/>
  <c r="AB6353" i="2"/>
  <c r="AC6353" i="2"/>
  <c r="AB6303" i="2"/>
  <c r="AC6281" i="2"/>
  <c r="AC6236" i="2"/>
  <c r="AB6219" i="2"/>
  <c r="AA6219" i="2"/>
  <c r="AB6175" i="2"/>
  <c r="AA6175" i="2"/>
  <c r="AC6175" i="2"/>
  <c r="AB6162" i="2"/>
  <c r="AA6162" i="2"/>
  <c r="AC6162" i="2"/>
  <c r="AA6047" i="2"/>
  <c r="AB6047" i="2"/>
  <c r="AB6039" i="2"/>
  <c r="AA6039" i="2"/>
  <c r="AC5888" i="2"/>
  <c r="AA5888" i="2"/>
  <c r="AB5888" i="2"/>
  <c r="AA5725" i="2"/>
  <c r="AB5725" i="2"/>
  <c r="AC5725" i="2"/>
  <c r="AB5189" i="2"/>
  <c r="AA5189" i="2"/>
  <c r="AC5189" i="2"/>
  <c r="AC6669" i="2"/>
  <c r="AB6717" i="2"/>
  <c r="AB6693" i="2"/>
  <c r="AB6669" i="2"/>
  <c r="AB6645" i="2"/>
  <c r="AB6621" i="2"/>
  <c r="AB6612" i="2"/>
  <c r="AA6601" i="2"/>
  <c r="AA6577" i="2"/>
  <c r="AA6553" i="2"/>
  <c r="AB6520" i="2"/>
  <c r="AC6507" i="2"/>
  <c r="AB6459" i="2"/>
  <c r="AC6448" i="2"/>
  <c r="AA6435" i="2"/>
  <c r="AA6408" i="2"/>
  <c r="AC6326" i="2"/>
  <c r="AA6326" i="2"/>
  <c r="AB6326" i="2"/>
  <c r="AC6305" i="2"/>
  <c r="AA6303" i="2"/>
  <c r="AB6286" i="2"/>
  <c r="AB6281" i="2"/>
  <c r="AA6241" i="2"/>
  <c r="AB6241" i="2"/>
  <c r="AB6236" i="2"/>
  <c r="AB6234" i="2"/>
  <c r="AA6234" i="2"/>
  <c r="AC6226" i="2"/>
  <c r="AA6226" i="2"/>
  <c r="AB6226" i="2"/>
  <c r="AA6112" i="2"/>
  <c r="AB6112" i="2"/>
  <c r="AC6112" i="2"/>
  <c r="AC6079" i="2"/>
  <c r="AA6079" i="2"/>
  <c r="AB6079" i="2"/>
  <c r="AA5947" i="2"/>
  <c r="AB5947" i="2"/>
  <c r="AA5923" i="2"/>
  <c r="AB5923" i="2"/>
  <c r="AC5839" i="2"/>
  <c r="AA5839" i="2"/>
  <c r="AB5839" i="2"/>
  <c r="AA5775" i="2"/>
  <c r="AC5775" i="2"/>
  <c r="AB5730" i="2"/>
  <c r="AA5730" i="2"/>
  <c r="AC5730" i="2"/>
  <c r="AB5237" i="2"/>
  <c r="AA5237" i="2"/>
  <c r="AC5237" i="2"/>
  <c r="AC6314" i="2"/>
  <c r="AA6314" i="2"/>
  <c r="AB6249" i="2"/>
  <c r="AA6249" i="2"/>
  <c r="AA6164" i="2"/>
  <c r="AB6164" i="2"/>
  <c r="AC6067" i="2"/>
  <c r="AA6067" i="2"/>
  <c r="AB6067" i="2"/>
  <c r="AA6023" i="2"/>
  <c r="AB6023" i="2"/>
  <c r="AB6006" i="2"/>
  <c r="AA6006" i="2"/>
  <c r="AC6006" i="2"/>
  <c r="AA5971" i="2"/>
  <c r="AB5971" i="2"/>
  <c r="AA5821" i="2"/>
  <c r="AB5821" i="2"/>
  <c r="AB5699" i="2"/>
  <c r="AA5699" i="2"/>
  <c r="AC5699" i="2"/>
  <c r="AC5755" i="2"/>
  <c r="AA5755" i="2"/>
  <c r="AB5755" i="2"/>
  <c r="AA5752" i="2"/>
  <c r="AC5752" i="2"/>
  <c r="AB5752" i="2"/>
  <c r="AB6291" i="2"/>
  <c r="AA6291" i="2"/>
  <c r="AB6213" i="2"/>
  <c r="AA6213" i="2"/>
  <c r="AC6213" i="2"/>
  <c r="AB6151" i="2"/>
  <c r="AA6151" i="2"/>
  <c r="AC6151" i="2"/>
  <c r="AB6138" i="2"/>
  <c r="AA6138" i="2"/>
  <c r="AC6138" i="2"/>
  <c r="AB6703" i="2"/>
  <c r="AB6679" i="2"/>
  <c r="AB6655" i="2"/>
  <c r="AB6631" i="2"/>
  <c r="AB6618" i="2"/>
  <c r="AB6616" i="2"/>
  <c r="AC6585" i="2"/>
  <c r="AC6561" i="2"/>
  <c r="AC6537" i="2"/>
  <c r="AC6504" i="2"/>
  <c r="AB6487" i="2"/>
  <c r="AB6480" i="2"/>
  <c r="AC6469" i="2"/>
  <c r="AA6456" i="2"/>
  <c r="AB6452" i="2"/>
  <c r="AA6432" i="2"/>
  <c r="AC6430" i="2"/>
  <c r="AC6401" i="2"/>
  <c r="AB6399" i="2"/>
  <c r="AB6397" i="2"/>
  <c r="AB6388" i="2"/>
  <c r="AC6381" i="2"/>
  <c r="AA6374" i="2"/>
  <c r="AC6363" i="2"/>
  <c r="AB6352" i="2"/>
  <c r="AB6328" i="2"/>
  <c r="AA6323" i="2"/>
  <c r="AB6283" i="2"/>
  <c r="AA6283" i="2"/>
  <c r="AA6275" i="2"/>
  <c r="AA6269" i="2"/>
  <c r="AC6118" i="2"/>
  <c r="AA6118" i="2"/>
  <c r="AB6118" i="2"/>
  <c r="AC6104" i="2"/>
  <c r="AA6104" i="2"/>
  <c r="AB6104" i="2"/>
  <c r="AA6085" i="2"/>
  <c r="AB6085" i="2"/>
  <c r="AB6054" i="2"/>
  <c r="AA6054" i="2"/>
  <c r="AC6054" i="2"/>
  <c r="AA5995" i="2"/>
  <c r="AB5995" i="2"/>
  <c r="AA5860" i="2"/>
  <c r="AB5860" i="2"/>
  <c r="AC5860" i="2"/>
  <c r="AB5790" i="2"/>
  <c r="AA5790" i="2"/>
  <c r="AC5790" i="2"/>
  <c r="AA5264" i="2"/>
  <c r="AB5264" i="2"/>
  <c r="AC5264" i="2"/>
  <c r="AC6618" i="2"/>
  <c r="AC6616" i="2"/>
  <c r="AC6452" i="2"/>
  <c r="AC6399" i="2"/>
  <c r="AC6397" i="2"/>
  <c r="AB6261" i="2"/>
  <c r="AA6261" i="2"/>
  <c r="AC6261" i="2"/>
  <c r="AB6246" i="2"/>
  <c r="AA6246" i="2"/>
  <c r="AC6246" i="2"/>
  <c r="AB6195" i="2"/>
  <c r="AA6195" i="2"/>
  <c r="AB6093" i="2"/>
  <c r="AA6093" i="2"/>
  <c r="AC6093" i="2"/>
  <c r="AA6723" i="2"/>
  <c r="AA6703" i="2"/>
  <c r="AC6701" i="2"/>
  <c r="AA6699" i="2"/>
  <c r="AA6679" i="2"/>
  <c r="AC6677" i="2"/>
  <c r="AA6675" i="2"/>
  <c r="AA6655" i="2"/>
  <c r="AC6653" i="2"/>
  <c r="AA6651" i="2"/>
  <c r="AA6631" i="2"/>
  <c r="AC6629" i="2"/>
  <c r="AA6627" i="2"/>
  <c r="AB6585" i="2"/>
  <c r="AB6561" i="2"/>
  <c r="AB6537" i="2"/>
  <c r="AC6517" i="2"/>
  <c r="AA6504" i="2"/>
  <c r="AA6480" i="2"/>
  <c r="AC6478" i="2"/>
  <c r="AB6471" i="2"/>
  <c r="AA6425" i="2"/>
  <c r="AA6416" i="2"/>
  <c r="AC6414" i="2"/>
  <c r="AA6401" i="2"/>
  <c r="AA6381" i="2"/>
  <c r="AB6376" i="2"/>
  <c r="AB6363" i="2"/>
  <c r="AC6340" i="2"/>
  <c r="AB6333" i="2"/>
  <c r="AC6333" i="2"/>
  <c r="AA6320" i="2"/>
  <c r="AC6318" i="2"/>
  <c r="AB6295" i="2"/>
  <c r="AC6223" i="2"/>
  <c r="AA6215" i="2"/>
  <c r="AB6215" i="2"/>
  <c r="AC6215" i="2"/>
  <c r="AA6140" i="2"/>
  <c r="AB6140" i="2"/>
  <c r="AC6043" i="2"/>
  <c r="AC5975" i="2"/>
  <c r="AA5951" i="2"/>
  <c r="AB5951" i="2"/>
  <c r="AA5927" i="2"/>
  <c r="AB5927" i="2"/>
  <c r="AC5895" i="2"/>
  <c r="AA5895" i="2"/>
  <c r="AB5895" i="2"/>
  <c r="AA5884" i="2"/>
  <c r="AB5884" i="2"/>
  <c r="AC5884" i="2"/>
  <c r="AB5675" i="2"/>
  <c r="AC5675" i="2"/>
  <c r="AA5675" i="2"/>
  <c r="AC6075" i="2"/>
  <c r="AC5879" i="2"/>
  <c r="AC5843" i="2"/>
  <c r="AC5768" i="2"/>
  <c r="AA5596" i="2"/>
  <c r="AB5596" i="2"/>
  <c r="AC5596" i="2"/>
  <c r="AB5526" i="2"/>
  <c r="AA5526" i="2"/>
  <c r="AC5526" i="2"/>
  <c r="AA5500" i="2"/>
  <c r="AC5500" i="2"/>
  <c r="AB5477" i="2"/>
  <c r="AA5477" i="2"/>
  <c r="AC5477" i="2"/>
  <c r="AA5374" i="2"/>
  <c r="AB5374" i="2"/>
  <c r="AB5334" i="2"/>
  <c r="AA5334" i="2"/>
  <c r="AC5243" i="2"/>
  <c r="AA5243" i="2"/>
  <c r="AC5218" i="2"/>
  <c r="AA5218" i="2"/>
  <c r="AB5218" i="2"/>
  <c r="AA5197" i="2"/>
  <c r="AB5197" i="2"/>
  <c r="AA5081" i="2"/>
  <c r="AB5081" i="2"/>
  <c r="AC5081" i="2"/>
  <c r="AC6208" i="2"/>
  <c r="AC6184" i="2"/>
  <c r="AC6160" i="2"/>
  <c r="AC6136" i="2"/>
  <c r="AC6102" i="2"/>
  <c r="AC6045" i="2"/>
  <c r="AC6021" i="2"/>
  <c r="AC5886" i="2"/>
  <c r="AC5788" i="2"/>
  <c r="AA5728" i="2"/>
  <c r="AB5728" i="2"/>
  <c r="AC5723" i="2"/>
  <c r="AC5711" i="2"/>
  <c r="AC5687" i="2"/>
  <c r="AB5611" i="2"/>
  <c r="AB5586" i="2"/>
  <c r="AA5586" i="2"/>
  <c r="AC5586" i="2"/>
  <c r="AC5515" i="2"/>
  <c r="AA5515" i="2"/>
  <c r="AA5464" i="2"/>
  <c r="AC5464" i="2"/>
  <c r="AC5278" i="2"/>
  <c r="AA5278" i="2"/>
  <c r="AC5176" i="2"/>
  <c r="AA5176" i="2"/>
  <c r="AC5127" i="2"/>
  <c r="AA5127" i="2"/>
  <c r="AA4905" i="2"/>
  <c r="AB4905" i="2"/>
  <c r="AC4905" i="2"/>
  <c r="AB3795" i="2"/>
  <c r="AA3795" i="2"/>
  <c r="AC3681" i="2"/>
  <c r="AA3681" i="2"/>
  <c r="AB3681" i="2"/>
  <c r="AB3538" i="2"/>
  <c r="AC3538" i="2"/>
  <c r="AA3538" i="2"/>
  <c r="AB3154" i="2"/>
  <c r="AC3154" i="2"/>
  <c r="AA3154" i="2"/>
  <c r="AB3015" i="2"/>
  <c r="AA3015" i="2"/>
  <c r="AC3015" i="2"/>
  <c r="AB2872" i="2"/>
  <c r="AA2872" i="2"/>
  <c r="AC2872" i="2"/>
  <c r="AA2773" i="2"/>
  <c r="AC2773" i="2"/>
  <c r="AA2726" i="2"/>
  <c r="AB2726" i="2"/>
  <c r="AC2726" i="2"/>
  <c r="AA5716" i="2"/>
  <c r="AB5716" i="2"/>
  <c r="AA5632" i="2"/>
  <c r="AC5632" i="2"/>
  <c r="AB5598" i="2"/>
  <c r="AC5598" i="2"/>
  <c r="AC5564" i="2"/>
  <c r="AA5564" i="2"/>
  <c r="AA5483" i="2"/>
  <c r="AB5483" i="2"/>
  <c r="AC5483" i="2"/>
  <c r="AB5451" i="2"/>
  <c r="AA5451" i="2"/>
  <c r="AC5336" i="2"/>
  <c r="AA5336" i="2"/>
  <c r="AA5320" i="2"/>
  <c r="AB5320" i="2"/>
  <c r="AC5320" i="2"/>
  <c r="AA5245" i="2"/>
  <c r="AB5245" i="2"/>
  <c r="AB5140" i="2"/>
  <c r="AA5140" i="2"/>
  <c r="AC5004" i="2"/>
  <c r="AA5004" i="2"/>
  <c r="AB5004" i="2"/>
  <c r="AA4865" i="2"/>
  <c r="AB4865" i="2"/>
  <c r="AC4865" i="2"/>
  <c r="AA4849" i="2"/>
  <c r="AB4849" i="2"/>
  <c r="AC4849" i="2"/>
  <c r="AA4726" i="2"/>
  <c r="AC4726" i="2"/>
  <c r="AA4382" i="2"/>
  <c r="AC4382" i="2"/>
  <c r="AA4359" i="2"/>
  <c r="AC4359" i="2"/>
  <c r="AA4077" i="2"/>
  <c r="AB4077" i="2"/>
  <c r="AC4077" i="2"/>
  <c r="AC6049" i="2"/>
  <c r="AC5849" i="2"/>
  <c r="AC5812" i="2"/>
  <c r="AA5704" i="2"/>
  <c r="AB5704" i="2"/>
  <c r="AB5682" i="2"/>
  <c r="AA5682" i="2"/>
  <c r="AC5682" i="2"/>
  <c r="AA5672" i="2"/>
  <c r="AB5672" i="2"/>
  <c r="AA5659" i="2"/>
  <c r="AB5659" i="2"/>
  <c r="AA5530" i="2"/>
  <c r="AB5530" i="2"/>
  <c r="AA5272" i="2"/>
  <c r="AB5272" i="2"/>
  <c r="AC5191" i="2"/>
  <c r="AA5191" i="2"/>
  <c r="AB5191" i="2"/>
  <c r="AB5170" i="2"/>
  <c r="AA5170" i="2"/>
  <c r="AC5170" i="2"/>
  <c r="AB5116" i="2"/>
  <c r="AA5116" i="2"/>
  <c r="AC5116" i="2"/>
  <c r="AA4993" i="2"/>
  <c r="AB4993" i="2"/>
  <c r="AC4993" i="2"/>
  <c r="AA4528" i="2"/>
  <c r="AB4528" i="2"/>
  <c r="AC4528" i="2"/>
  <c r="AA4409" i="2"/>
  <c r="AB4409" i="2"/>
  <c r="AC4409" i="2"/>
  <c r="AA5600" i="2"/>
  <c r="AB5600" i="2"/>
  <c r="AC5600" i="2"/>
  <c r="AB5441" i="2"/>
  <c r="AA5441" i="2"/>
  <c r="AC5441" i="2"/>
  <c r="AB5357" i="2"/>
  <c r="AA5357" i="2"/>
  <c r="AA5343" i="2"/>
  <c r="AB5343" i="2"/>
  <c r="AC5343" i="2"/>
  <c r="AB5322" i="2"/>
  <c r="AA5322" i="2"/>
  <c r="AC5322" i="2"/>
  <c r="AC5239" i="2"/>
  <c r="AA5239" i="2"/>
  <c r="AA5113" i="2"/>
  <c r="AB5113" i="2"/>
  <c r="AB4887" i="2"/>
  <c r="AA4887" i="2"/>
  <c r="AB6107" i="2"/>
  <c r="AC6103" i="2"/>
  <c r="AC6099" i="2"/>
  <c r="AC6092" i="2"/>
  <c r="AC6078" i="2"/>
  <c r="AC6076" i="2"/>
  <c r="AC6066" i="2"/>
  <c r="AC6064" i="2"/>
  <c r="AC5900" i="2"/>
  <c r="AC5896" i="2"/>
  <c r="AC5887" i="2"/>
  <c r="AB5863" i="2"/>
  <c r="AC5861" i="2"/>
  <c r="AC5859" i="2"/>
  <c r="AC5838" i="2"/>
  <c r="AC5831" i="2"/>
  <c r="AC5780" i="2"/>
  <c r="AC5754" i="2"/>
  <c r="AC5731" i="2"/>
  <c r="AC5729" i="2"/>
  <c r="AA5511" i="2"/>
  <c r="AC5511" i="2"/>
  <c r="AA5506" i="2"/>
  <c r="AB5506" i="2"/>
  <c r="AA5470" i="2"/>
  <c r="AB5470" i="2"/>
  <c r="AA5386" i="2"/>
  <c r="AB5386" i="2"/>
  <c r="AA5293" i="2"/>
  <c r="AB5293" i="2"/>
  <c r="AC5293" i="2"/>
  <c r="AB5180" i="2"/>
  <c r="AA5180" i="2"/>
  <c r="AC5172" i="2"/>
  <c r="AB5172" i="2"/>
  <c r="AC4170" i="2"/>
  <c r="AA4170" i="2"/>
  <c r="AB4170" i="2"/>
  <c r="AB4147" i="2"/>
  <c r="AA4147" i="2"/>
  <c r="AB6262" i="2"/>
  <c r="AC6220" i="2"/>
  <c r="AA6207" i="2"/>
  <c r="AC6196" i="2"/>
  <c r="AC6191" i="2"/>
  <c r="AA6183" i="2"/>
  <c r="AC6172" i="2"/>
  <c r="AC6167" i="2"/>
  <c r="AA6159" i="2"/>
  <c r="AC6148" i="2"/>
  <c r="AC6143" i="2"/>
  <c r="AA6135" i="2"/>
  <c r="AB6109" i="2"/>
  <c r="AB6103" i="2"/>
  <c r="AA6101" i="2"/>
  <c r="AB6099" i="2"/>
  <c r="AB6092" i="2"/>
  <c r="AA6078" i="2"/>
  <c r="AB6076" i="2"/>
  <c r="AA6066" i="2"/>
  <c r="AB6064" i="2"/>
  <c r="AC6057" i="2"/>
  <c r="AC6044" i="2"/>
  <c r="AC6040" i="2"/>
  <c r="AC6035" i="2"/>
  <c r="AC6033" i="2"/>
  <c r="AC6020" i="2"/>
  <c r="AC5996" i="2"/>
  <c r="AC5972" i="2"/>
  <c r="AC5948" i="2"/>
  <c r="AC5924" i="2"/>
  <c r="AB5900" i="2"/>
  <c r="AB5896" i="2"/>
  <c r="AC5891" i="2"/>
  <c r="AB5887" i="2"/>
  <c r="AC5885" i="2"/>
  <c r="AC5867" i="2"/>
  <c r="AA5861" i="2"/>
  <c r="AB5859" i="2"/>
  <c r="AA5842" i="2"/>
  <c r="AA5838" i="2"/>
  <c r="AB5831" i="2"/>
  <c r="AB5780" i="2"/>
  <c r="AC5776" i="2"/>
  <c r="AC5767" i="2"/>
  <c r="AA5754" i="2"/>
  <c r="AC5749" i="2"/>
  <c r="AB5731" i="2"/>
  <c r="AA5729" i="2"/>
  <c r="AC5710" i="2"/>
  <c r="AB5710" i="2"/>
  <c r="AB5694" i="2"/>
  <c r="AA5694" i="2"/>
  <c r="AA5663" i="2"/>
  <c r="AB5663" i="2"/>
  <c r="AC5631" i="2"/>
  <c r="AC5455" i="2"/>
  <c r="AA5455" i="2"/>
  <c r="AB5274" i="2"/>
  <c r="AA5274" i="2"/>
  <c r="AA5185" i="2"/>
  <c r="AB5185" i="2"/>
  <c r="AC5185" i="2"/>
  <c r="AA5094" i="2"/>
  <c r="AB5094" i="2"/>
  <c r="AC5094" i="2"/>
  <c r="AA4438" i="2"/>
  <c r="AB4438" i="2"/>
  <c r="AC4438" i="2"/>
  <c r="AA4234" i="2"/>
  <c r="AB4234" i="2"/>
  <c r="AC4234" i="2"/>
  <c r="AB6220" i="2"/>
  <c r="AB6202" i="2"/>
  <c r="AB6196" i="2"/>
  <c r="AB6191" i="2"/>
  <c r="AC6189" i="2"/>
  <c r="AB6178" i="2"/>
  <c r="AB6172" i="2"/>
  <c r="AB6167" i="2"/>
  <c r="AC6165" i="2"/>
  <c r="AB6154" i="2"/>
  <c r="AB6148" i="2"/>
  <c r="AB6143" i="2"/>
  <c r="AC6141" i="2"/>
  <c r="AB6130" i="2"/>
  <c r="AC6090" i="2"/>
  <c r="AC6088" i="2"/>
  <c r="AA6057" i="2"/>
  <c r="AB6044" i="2"/>
  <c r="AB6040" i="2"/>
  <c r="AB6035" i="2"/>
  <c r="AA6033" i="2"/>
  <c r="AB6027" i="2"/>
  <c r="AB6020" i="2"/>
  <c r="AC6016" i="2"/>
  <c r="AC6009" i="2"/>
  <c r="AC6003" i="2"/>
  <c r="AB5996" i="2"/>
  <c r="AC5992" i="2"/>
  <c r="AC5985" i="2"/>
  <c r="AC5979" i="2"/>
  <c r="AC5968" i="2"/>
  <c r="AC5961" i="2"/>
  <c r="AC5955" i="2"/>
  <c r="AC5944" i="2"/>
  <c r="AC5937" i="2"/>
  <c r="AC5931" i="2"/>
  <c r="AC5920" i="2"/>
  <c r="AC5898" i="2"/>
  <c r="AC5800" i="2"/>
  <c r="AB5782" i="2"/>
  <c r="AC5778" i="2"/>
  <c r="AB5776" i="2"/>
  <c r="AC5765" i="2"/>
  <c r="AB5763" i="2"/>
  <c r="AC5740" i="2"/>
  <c r="AC5715" i="2"/>
  <c r="AA5715" i="2"/>
  <c r="AC5703" i="2"/>
  <c r="AA5671" i="2"/>
  <c r="AB5671" i="2"/>
  <c r="AC5671" i="2"/>
  <c r="AB5610" i="2"/>
  <c r="AC5610" i="2"/>
  <c r="AA5447" i="2"/>
  <c r="AB5447" i="2"/>
  <c r="AC5447" i="2"/>
  <c r="AA5428" i="2"/>
  <c r="AC5428" i="2"/>
  <c r="AC5359" i="2"/>
  <c r="AA5359" i="2"/>
  <c r="AA5351" i="2"/>
  <c r="AB5351" i="2"/>
  <c r="AC5351" i="2"/>
  <c r="AA5324" i="2"/>
  <c r="AB5324" i="2"/>
  <c r="AC5324" i="2"/>
  <c r="AA5212" i="2"/>
  <c r="AB5212" i="2"/>
  <c r="AC5212" i="2"/>
  <c r="AA5151" i="2"/>
  <c r="AB5151" i="2"/>
  <c r="AC5151" i="2"/>
  <c r="AC5118" i="2"/>
  <c r="AA5118" i="2"/>
  <c r="AC4740" i="2"/>
  <c r="AA4740" i="2"/>
  <c r="AB4740" i="2"/>
  <c r="AB4530" i="2"/>
  <c r="AA4530" i="2"/>
  <c r="AC4530" i="2"/>
  <c r="AA6202" i="2"/>
  <c r="AA6189" i="2"/>
  <c r="AA6178" i="2"/>
  <c r="AA6165" i="2"/>
  <c r="AA6154" i="2"/>
  <c r="AA6141" i="2"/>
  <c r="AA6130" i="2"/>
  <c r="AA6090" i="2"/>
  <c r="AB6088" i="2"/>
  <c r="AC6053" i="2"/>
  <c r="AA6029" i="2"/>
  <c r="AB6016" i="2"/>
  <c r="AC6005" i="2"/>
  <c r="AA5998" i="2"/>
  <c r="AB5992" i="2"/>
  <c r="AC5981" i="2"/>
  <c r="AC5957" i="2"/>
  <c r="AB5740" i="2"/>
  <c r="AB5703" i="2"/>
  <c r="AB5691" i="2"/>
  <c r="AC5691" i="2"/>
  <c r="AC5612" i="2"/>
  <c r="AA5612" i="2"/>
  <c r="AC5607" i="2"/>
  <c r="AA5607" i="2"/>
  <c r="AB5607" i="2"/>
  <c r="AA5524" i="2"/>
  <c r="AB5524" i="2"/>
  <c r="AC5524" i="2"/>
  <c r="AA5332" i="2"/>
  <c r="AB5332" i="2"/>
  <c r="AA5105" i="2"/>
  <c r="AB5105" i="2"/>
  <c r="AC5105" i="2"/>
  <c r="AB4782" i="2"/>
  <c r="AA4782" i="2"/>
  <c r="AC4782" i="2"/>
  <c r="AC4637" i="2"/>
  <c r="AA4637" i="2"/>
  <c r="AB4637" i="2"/>
  <c r="AC4596" i="2"/>
  <c r="AA4596" i="2"/>
  <c r="AB4596" i="2"/>
  <c r="AB4456" i="2"/>
  <c r="AA4456" i="2"/>
  <c r="AC4456" i="2"/>
  <c r="AC5698" i="2"/>
  <c r="AA5698" i="2"/>
  <c r="AA5668" i="2"/>
  <c r="AB5668" i="2"/>
  <c r="AC5668" i="2"/>
  <c r="AC5599" i="2"/>
  <c r="AA5599" i="2"/>
  <c r="AB5513" i="2"/>
  <c r="AA5513" i="2"/>
  <c r="AA5401" i="2"/>
  <c r="AB5401" i="2"/>
  <c r="AC5401" i="2"/>
  <c r="AC5295" i="2"/>
  <c r="AA5295" i="2"/>
  <c r="AA5153" i="2"/>
  <c r="AB5153" i="2"/>
  <c r="AC5153" i="2"/>
  <c r="AA4286" i="2"/>
  <c r="AC4286" i="2"/>
  <c r="AB5854" i="2"/>
  <c r="AA5850" i="2"/>
  <c r="AB5848" i="2"/>
  <c r="AB5773" i="2"/>
  <c r="AA5746" i="2"/>
  <c r="AB5737" i="2"/>
  <c r="AB5693" i="2"/>
  <c r="AA5693" i="2"/>
  <c r="AB5619" i="2"/>
  <c r="AB5591" i="2"/>
  <c r="AC5591" i="2"/>
  <c r="AA5584" i="2"/>
  <c r="AB5584" i="2"/>
  <c r="AC5584" i="2"/>
  <c r="AC5579" i="2"/>
  <c r="AA5449" i="2"/>
  <c r="AB5449" i="2"/>
  <c r="AC5449" i="2"/>
  <c r="AA5380" i="2"/>
  <c r="AC5380" i="2"/>
  <c r="AC5334" i="2"/>
  <c r="AC5303" i="2"/>
  <c r="AA5303" i="2"/>
  <c r="AB5243" i="2"/>
  <c r="AC5197" i="2"/>
  <c r="AC5187" i="2"/>
  <c r="AA5187" i="2"/>
  <c r="AA5133" i="2"/>
  <c r="AB5133" i="2"/>
  <c r="AC5120" i="2"/>
  <c r="AA5120" i="2"/>
  <c r="AA5096" i="2"/>
  <c r="AB5096" i="2"/>
  <c r="AC5096" i="2"/>
  <c r="AA5061" i="2"/>
  <c r="AB5061" i="2"/>
  <c r="AB4711" i="2"/>
  <c r="AA4711" i="2"/>
  <c r="AA4642" i="2"/>
  <c r="AC4642" i="2"/>
  <c r="AA4933" i="2"/>
  <c r="AC4933" i="2"/>
  <c r="AB4926" i="2"/>
  <c r="AA4926" i="2"/>
  <c r="AA4724" i="2"/>
  <c r="AB4724" i="2"/>
  <c r="AC4719" i="2"/>
  <c r="AA4719" i="2"/>
  <c r="AA4673" i="2"/>
  <c r="AB4673" i="2"/>
  <c r="AC4673" i="2"/>
  <c r="AC4659" i="2"/>
  <c r="AA4659" i="2"/>
  <c r="AB4623" i="2"/>
  <c r="AC4623" i="2"/>
  <c r="AC4469" i="2"/>
  <c r="AA4469" i="2"/>
  <c r="AA4407" i="2"/>
  <c r="AC4407" i="2"/>
  <c r="AA4310" i="2"/>
  <c r="AC4310" i="2"/>
  <c r="AA4264" i="2"/>
  <c r="AB4264" i="2"/>
  <c r="AC4264" i="2"/>
  <c r="AA4115" i="2"/>
  <c r="AB4115" i="2"/>
  <c r="AC4115" i="2"/>
  <c r="AB4095" i="2"/>
  <c r="AA4095" i="2"/>
  <c r="AA3988" i="2"/>
  <c r="AB3988" i="2"/>
  <c r="AC3988" i="2"/>
  <c r="AB3985" i="2"/>
  <c r="AA3985" i="2"/>
  <c r="AB3624" i="2"/>
  <c r="AC3624" i="2"/>
  <c r="AA3624" i="2"/>
  <c r="AA3498" i="2"/>
  <c r="AB3498" i="2"/>
  <c r="AC3498" i="2"/>
  <c r="AB3053" i="2"/>
  <c r="AC3053" i="2"/>
  <c r="AA3053" i="2"/>
  <c r="AC3032" i="2"/>
  <c r="AB3032" i="2"/>
  <c r="AA3032" i="2"/>
  <c r="AA2962" i="2"/>
  <c r="AC2962" i="2"/>
  <c r="AB2962" i="2"/>
  <c r="AC2681" i="2"/>
  <c r="AB2681" i="2"/>
  <c r="AA2681" i="2"/>
  <c r="AC5562" i="2"/>
  <c r="AC5560" i="2"/>
  <c r="AC5521" i="2"/>
  <c r="AC5453" i="2"/>
  <c r="AB5338" i="2"/>
  <c r="AC5305" i="2"/>
  <c r="AC5226" i="2"/>
  <c r="AC5224" i="2"/>
  <c r="AB5203" i="2"/>
  <c r="AC5201" i="2"/>
  <c r="AC5182" i="2"/>
  <c r="AC5146" i="2"/>
  <c r="AB5100" i="2"/>
  <c r="AC5089" i="2"/>
  <c r="AC5017" i="2"/>
  <c r="AB4980" i="2"/>
  <c r="AC4969" i="2"/>
  <c r="AC4921" i="2"/>
  <c r="AC4912" i="2"/>
  <c r="AB4903" i="2"/>
  <c r="AA4903" i="2"/>
  <c r="AC4889" i="2"/>
  <c r="AC4876" i="2"/>
  <c r="AB4840" i="2"/>
  <c r="AA4822" i="2"/>
  <c r="AC4822" i="2"/>
  <c r="AC4813" i="2"/>
  <c r="AC4792" i="2"/>
  <c r="AB4780" i="2"/>
  <c r="AC4780" i="2"/>
  <c r="AB4764" i="2"/>
  <c r="AB4704" i="2"/>
  <c r="AC4692" i="2"/>
  <c r="AA4692" i="2"/>
  <c r="AA4685" i="2"/>
  <c r="AC4685" i="2"/>
  <c r="AB4654" i="2"/>
  <c r="AA4654" i="2"/>
  <c r="AB4645" i="2"/>
  <c r="AC4645" i="2"/>
  <c r="AA4625" i="2"/>
  <c r="AB4625" i="2"/>
  <c r="AC4608" i="2"/>
  <c r="AC4603" i="2"/>
  <c r="AB4603" i="2"/>
  <c r="AC4572" i="2"/>
  <c r="AB4572" i="2"/>
  <c r="AC4564" i="2"/>
  <c r="AC4554" i="2"/>
  <c r="AA4554" i="2"/>
  <c r="AC4542" i="2"/>
  <c r="AC4540" i="2"/>
  <c r="AC4441" i="2"/>
  <c r="AA4441" i="2"/>
  <c r="AB4441" i="2"/>
  <c r="AA4395" i="2"/>
  <c r="AC4395" i="2"/>
  <c r="AA4299" i="2"/>
  <c r="AC4299" i="2"/>
  <c r="AA3948" i="2"/>
  <c r="AB3948" i="2"/>
  <c r="AC3948" i="2"/>
  <c r="AA3813" i="2"/>
  <c r="AB3813" i="2"/>
  <c r="AB3723" i="2"/>
  <c r="AA3723" i="2"/>
  <c r="AB3522" i="2"/>
  <c r="AC3522" i="2"/>
  <c r="AA3522" i="2"/>
  <c r="AA4808" i="2"/>
  <c r="AB4808" i="2"/>
  <c r="AA4721" i="2"/>
  <c r="AB4721" i="2"/>
  <c r="AB4699" i="2"/>
  <c r="AA4699" i="2"/>
  <c r="AA4661" i="2"/>
  <c r="AC4661" i="2"/>
  <c r="AA4584" i="2"/>
  <c r="AC4584" i="2"/>
  <c r="AA4581" i="2"/>
  <c r="AC4581" i="2"/>
  <c r="AA4559" i="2"/>
  <c r="AB4559" i="2"/>
  <c r="AA4535" i="2"/>
  <c r="AB4535" i="2"/>
  <c r="AA4190" i="2"/>
  <c r="AC4190" i="2"/>
  <c r="AA4053" i="2"/>
  <c r="AB4053" i="2"/>
  <c r="AC4036" i="2"/>
  <c r="AA4036" i="2"/>
  <c r="AA3972" i="2"/>
  <c r="AB3972" i="2"/>
  <c r="AA3911" i="2"/>
  <c r="AB3911" i="2"/>
  <c r="AA3797" i="2"/>
  <c r="AC3797" i="2"/>
  <c r="AB3797" i="2"/>
  <c r="AB3787" i="2"/>
  <c r="AA3787" i="2"/>
  <c r="AA3575" i="2"/>
  <c r="AB3575" i="2"/>
  <c r="AC3575" i="2"/>
  <c r="AC3196" i="2"/>
  <c r="AA3196" i="2"/>
  <c r="AB3196" i="2"/>
  <c r="AC3060" i="2"/>
  <c r="AB3060" i="2"/>
  <c r="AB5680" i="2"/>
  <c r="AB5557" i="2"/>
  <c r="AB5542" i="2"/>
  <c r="AA5538" i="2"/>
  <c r="AB5536" i="2"/>
  <c r="AC5531" i="2"/>
  <c r="AB5527" i="2"/>
  <c r="AC5525" i="2"/>
  <c r="AC5523" i="2"/>
  <c r="AC5516" i="2"/>
  <c r="AC5471" i="2"/>
  <c r="AC5456" i="2"/>
  <c r="AC5408" i="2"/>
  <c r="AC5375" i="2"/>
  <c r="AC5327" i="2"/>
  <c r="AC5319" i="2"/>
  <c r="AC5300" i="2"/>
  <c r="AC5267" i="2"/>
  <c r="AC5263" i="2"/>
  <c r="AC5240" i="2"/>
  <c r="AC5211" i="2"/>
  <c r="AC5188" i="2"/>
  <c r="AC5104" i="2"/>
  <c r="AB5097" i="2"/>
  <c r="AC5080" i="2"/>
  <c r="AC5060" i="2"/>
  <c r="AC5058" i="2"/>
  <c r="AC5032" i="2"/>
  <c r="AB5025" i="2"/>
  <c r="AB5021" i="2"/>
  <c r="AA5019" i="2"/>
  <c r="AA5008" i="2"/>
  <c r="AB5001" i="2"/>
  <c r="AB4997" i="2"/>
  <c r="AA4984" i="2"/>
  <c r="AA4971" i="2"/>
  <c r="AC4964" i="2"/>
  <c r="AC4962" i="2"/>
  <c r="AA4937" i="2"/>
  <c r="AB4937" i="2"/>
  <c r="AA4923" i="2"/>
  <c r="AB4893" i="2"/>
  <c r="AA4884" i="2"/>
  <c r="AC4860" i="2"/>
  <c r="AB4860" i="2"/>
  <c r="AB4853" i="2"/>
  <c r="AA4851" i="2"/>
  <c r="AB4796" i="2"/>
  <c r="AA4794" i="2"/>
  <c r="AA4777" i="2"/>
  <c r="AC4777" i="2"/>
  <c r="AC4772" i="2"/>
  <c r="AC4770" i="2"/>
  <c r="AB4761" i="2"/>
  <c r="AA4759" i="2"/>
  <c r="AC4757" i="2"/>
  <c r="AB4755" i="2"/>
  <c r="AA4713" i="2"/>
  <c r="AB4713" i="2"/>
  <c r="AA4701" i="2"/>
  <c r="AB4701" i="2"/>
  <c r="AC4672" i="2"/>
  <c r="AA4651" i="2"/>
  <c r="AB4610" i="2"/>
  <c r="AA4610" i="2"/>
  <c r="AB4578" i="2"/>
  <c r="AC4578" i="2"/>
  <c r="AA4492" i="2"/>
  <c r="AB4492" i="2"/>
  <c r="AA4430" i="2"/>
  <c r="AC4430" i="2"/>
  <c r="AC4397" i="2"/>
  <c r="AA4397" i="2"/>
  <c r="AA4317" i="2"/>
  <c r="AB4317" i="2"/>
  <c r="AA4246" i="2"/>
  <c r="AB4246" i="2"/>
  <c r="AC4246" i="2"/>
  <c r="AA4157" i="2"/>
  <c r="AB4157" i="2"/>
  <c r="AC4157" i="2"/>
  <c r="AA3990" i="2"/>
  <c r="AB3990" i="2"/>
  <c r="AC3990" i="2"/>
  <c r="AA3832" i="2"/>
  <c r="AB3832" i="2"/>
  <c r="AB3799" i="2"/>
  <c r="AA3799" i="2"/>
  <c r="AC5574" i="2"/>
  <c r="AC5572" i="2"/>
  <c r="AB5531" i="2"/>
  <c r="AB5516" i="2"/>
  <c r="AC5503" i="2"/>
  <c r="AB5471" i="2"/>
  <c r="AC5465" i="2"/>
  <c r="AA5463" i="2"/>
  <c r="AB5456" i="2"/>
  <c r="AC5431" i="2"/>
  <c r="AC5425" i="2"/>
  <c r="AB5408" i="2"/>
  <c r="AC5406" i="2"/>
  <c r="AC5404" i="2"/>
  <c r="AC5383" i="2"/>
  <c r="AC5377" i="2"/>
  <c r="AB5375" i="2"/>
  <c r="AC5360" i="2"/>
  <c r="AC5329" i="2"/>
  <c r="AB5327" i="2"/>
  <c r="AA5323" i="2"/>
  <c r="AB5319" i="2"/>
  <c r="AB5300" i="2"/>
  <c r="AC5298" i="2"/>
  <c r="AC5296" i="2"/>
  <c r="AC5279" i="2"/>
  <c r="AC5275" i="2"/>
  <c r="AC5269" i="2"/>
  <c r="AB5267" i="2"/>
  <c r="AB5263" i="2"/>
  <c r="AC5261" i="2"/>
  <c r="AC5259" i="2"/>
  <c r="AB5240" i="2"/>
  <c r="AC5221" i="2"/>
  <c r="AB5211" i="2"/>
  <c r="AB5194" i="2"/>
  <c r="AB5188" i="2"/>
  <c r="AB5173" i="2"/>
  <c r="AC5130" i="2"/>
  <c r="AC5128" i="2"/>
  <c r="AB5104" i="2"/>
  <c r="AB5080" i="2"/>
  <c r="AC5069" i="2"/>
  <c r="AB5060" i="2"/>
  <c r="AB5058" i="2"/>
  <c r="AC5056" i="2"/>
  <c r="AC5045" i="2"/>
  <c r="AB5032" i="2"/>
  <c r="AB4964" i="2"/>
  <c r="AB4962" i="2"/>
  <c r="AC4960" i="2"/>
  <c r="AC4945" i="2"/>
  <c r="AA4873" i="2"/>
  <c r="AB4873" i="2"/>
  <c r="AA4837" i="2"/>
  <c r="AC4837" i="2"/>
  <c r="AC4828" i="2"/>
  <c r="AC4821" i="2"/>
  <c r="AA4810" i="2"/>
  <c r="AC4810" i="2"/>
  <c r="AB4784" i="2"/>
  <c r="AC4784" i="2"/>
  <c r="AB4779" i="2"/>
  <c r="AB4772" i="2"/>
  <c r="AB4770" i="2"/>
  <c r="AC4768" i="2"/>
  <c r="AB4708" i="2"/>
  <c r="AA4708" i="2"/>
  <c r="AB4684" i="2"/>
  <c r="AA4684" i="2"/>
  <c r="AC4624" i="2"/>
  <c r="AA4605" i="2"/>
  <c r="AC4605" i="2"/>
  <c r="AC4602" i="2"/>
  <c r="AC4553" i="2"/>
  <c r="AC4544" i="2"/>
  <c r="AB4544" i="2"/>
  <c r="AA4525" i="2"/>
  <c r="AC4525" i="2"/>
  <c r="AA4510" i="2"/>
  <c r="AC4510" i="2"/>
  <c r="AA4420" i="2"/>
  <c r="AB4420" i="2"/>
  <c r="AA4386" i="2"/>
  <c r="AB4386" i="2"/>
  <c r="AC4386" i="2"/>
  <c r="AC4384" i="2"/>
  <c r="AA4384" i="2"/>
  <c r="AA4342" i="2"/>
  <c r="AB4342" i="2"/>
  <c r="AC4342" i="2"/>
  <c r="AA4322" i="2"/>
  <c r="AC4322" i="2"/>
  <c r="AA4314" i="2"/>
  <c r="AB4314" i="2"/>
  <c r="AA4306" i="2"/>
  <c r="AB4306" i="2"/>
  <c r="AA4301" i="2"/>
  <c r="AB4301" i="2"/>
  <c r="AA4226" i="2"/>
  <c r="AC4226" i="2"/>
  <c r="AA4202" i="2"/>
  <c r="AC4202" i="2"/>
  <c r="AC4132" i="2"/>
  <c r="AA4132" i="2"/>
  <c r="AC4038" i="2"/>
  <c r="AA4038" i="2"/>
  <c r="AA3876" i="2"/>
  <c r="AB3876" i="2"/>
  <c r="AA3804" i="2"/>
  <c r="AB3804" i="2"/>
  <c r="AB3582" i="2"/>
  <c r="AC3582" i="2"/>
  <c r="AA3582" i="2"/>
  <c r="AA3350" i="2"/>
  <c r="AB3350" i="2"/>
  <c r="AC3350" i="2"/>
  <c r="AC3223" i="2"/>
  <c r="AA3223" i="2"/>
  <c r="AB3223" i="2"/>
  <c r="AA3164" i="2"/>
  <c r="AB3164" i="2"/>
  <c r="AC3164" i="2"/>
  <c r="AA5574" i="2"/>
  <c r="AB5572" i="2"/>
  <c r="AC5533" i="2"/>
  <c r="AC5514" i="2"/>
  <c r="AC5512" i="2"/>
  <c r="AB5503" i="2"/>
  <c r="AC5499" i="2"/>
  <c r="AC5473" i="2"/>
  <c r="AA5465" i="2"/>
  <c r="AB5431" i="2"/>
  <c r="AB5425" i="2"/>
  <c r="AA5406" i="2"/>
  <c r="AB5404" i="2"/>
  <c r="AC5387" i="2"/>
  <c r="AB5383" i="2"/>
  <c r="AC5379" i="2"/>
  <c r="AB5377" i="2"/>
  <c r="AB5360" i="2"/>
  <c r="AC5358" i="2"/>
  <c r="AC5356" i="2"/>
  <c r="AB5335" i="2"/>
  <c r="AC5333" i="2"/>
  <c r="AB5329" i="2"/>
  <c r="AB5302" i="2"/>
  <c r="AA5298" i="2"/>
  <c r="AB5296" i="2"/>
  <c r="AB5279" i="2"/>
  <c r="AB5275" i="2"/>
  <c r="AC5273" i="2"/>
  <c r="AC5271" i="2"/>
  <c r="AB5269" i="2"/>
  <c r="AA5261" i="2"/>
  <c r="AB5259" i="2"/>
  <c r="AB5242" i="2"/>
  <c r="AC5238" i="2"/>
  <c r="AC5236" i="2"/>
  <c r="AB5221" i="2"/>
  <c r="AC5204" i="2"/>
  <c r="AA5194" i="2"/>
  <c r="AB5179" i="2"/>
  <c r="AB5175" i="2"/>
  <c r="AA5173" i="2"/>
  <c r="AB5139" i="2"/>
  <c r="AC5132" i="2"/>
  <c r="AB5130" i="2"/>
  <c r="AA5128" i="2"/>
  <c r="AB5121" i="2"/>
  <c r="AB5112" i="2"/>
  <c r="AB5069" i="2"/>
  <c r="AA5056" i="2"/>
  <c r="AB5045" i="2"/>
  <c r="AC5005" i="2"/>
  <c r="AC5003" i="2"/>
  <c r="AB4992" i="2"/>
  <c r="AC4981" i="2"/>
  <c r="AA4960" i="2"/>
  <c r="AB4945" i="2"/>
  <c r="AA4927" i="2"/>
  <c r="AC4904" i="2"/>
  <c r="AB4881" i="2"/>
  <c r="AC4864" i="2"/>
  <c r="AB4848" i="2"/>
  <c r="AC4830" i="2"/>
  <c r="AB4828" i="2"/>
  <c r="AB4821" i="2"/>
  <c r="AC4803" i="2"/>
  <c r="AB4803" i="2"/>
  <c r="AC4798" i="2"/>
  <c r="AC4786" i="2"/>
  <c r="AC4781" i="2"/>
  <c r="AA4779" i="2"/>
  <c r="AC4774" i="2"/>
  <c r="AA4768" i="2"/>
  <c r="AC4741" i="2"/>
  <c r="AB4725" i="2"/>
  <c r="AC4644" i="2"/>
  <c r="AB4644" i="2"/>
  <c r="AA4624" i="2"/>
  <c r="AB4614" i="2"/>
  <c r="AA4614" i="2"/>
  <c r="AB4602" i="2"/>
  <c r="AB4568" i="2"/>
  <c r="AB4553" i="2"/>
  <c r="AB4529" i="2"/>
  <c r="AC4465" i="2"/>
  <c r="AA4465" i="2"/>
  <c r="AA4437" i="2"/>
  <c r="AB4437" i="2"/>
  <c r="AC4437" i="2"/>
  <c r="AA4366" i="2"/>
  <c r="AB4366" i="2"/>
  <c r="AA4361" i="2"/>
  <c r="AB4361" i="2"/>
  <c r="AA4295" i="2"/>
  <c r="AB4295" i="2"/>
  <c r="AC4295" i="2"/>
  <c r="AC4290" i="2"/>
  <c r="AA4290" i="2"/>
  <c r="AA4223" i="2"/>
  <c r="AB4223" i="2"/>
  <c r="AC4223" i="2"/>
  <c r="AA4139" i="2"/>
  <c r="AB4139" i="2"/>
  <c r="AC4139" i="2"/>
  <c r="AA4079" i="2"/>
  <c r="AB4079" i="2"/>
  <c r="AB3918" i="2"/>
  <c r="AA3918" i="2"/>
  <c r="AA3809" i="2"/>
  <c r="AB3809" i="2"/>
  <c r="AC3809" i="2"/>
  <c r="AB3703" i="2"/>
  <c r="AA3703" i="2"/>
  <c r="AA3683" i="2"/>
  <c r="AB3683" i="2"/>
  <c r="AB3667" i="2"/>
  <c r="AA3667" i="2"/>
  <c r="AC3667" i="2"/>
  <c r="AA3375" i="2"/>
  <c r="AC3375" i="2"/>
  <c r="AB3375" i="2"/>
  <c r="AA3307" i="2"/>
  <c r="AB3307" i="2"/>
  <c r="AC3307" i="2"/>
  <c r="AB5533" i="2"/>
  <c r="AB5518" i="2"/>
  <c r="AA5514" i="2"/>
  <c r="AB5473" i="2"/>
  <c r="AB5458" i="2"/>
  <c r="AC5452" i="2"/>
  <c r="AB5410" i="2"/>
  <c r="AC5389" i="2"/>
  <c r="AC5381" i="2"/>
  <c r="AB5362" i="2"/>
  <c r="AA5358" i="2"/>
  <c r="AB5356" i="2"/>
  <c r="AA5335" i="2"/>
  <c r="AA5333" i="2"/>
  <c r="AA5302" i="2"/>
  <c r="AC5281" i="2"/>
  <c r="AA5273" i="2"/>
  <c r="AA5242" i="2"/>
  <c r="AA5238" i="2"/>
  <c r="AB5236" i="2"/>
  <c r="AB5227" i="2"/>
  <c r="AC5225" i="2"/>
  <c r="AC5202" i="2"/>
  <c r="AA5179" i="2"/>
  <c r="AA5175" i="2"/>
  <c r="AB5145" i="2"/>
  <c r="AC5141" i="2"/>
  <c r="AC5134" i="2"/>
  <c r="AA5112" i="2"/>
  <c r="AC5101" i="2"/>
  <c r="AB5088" i="2"/>
  <c r="AB5016" i="2"/>
  <c r="AB5005" i="2"/>
  <c r="AB5003" i="2"/>
  <c r="AA4992" i="2"/>
  <c r="AC4979" i="2"/>
  <c r="AC4966" i="2"/>
  <c r="AB4953" i="2"/>
  <c r="AA4951" i="2"/>
  <c r="AC4949" i="2"/>
  <c r="AB4929" i="2"/>
  <c r="AB4920" i="2"/>
  <c r="AA4911" i="2"/>
  <c r="AC4897" i="2"/>
  <c r="AC4888" i="2"/>
  <c r="AA4881" i="2"/>
  <c r="AA4879" i="2"/>
  <c r="AA4875" i="2"/>
  <c r="AB4864" i="2"/>
  <c r="AA4848" i="2"/>
  <c r="AA4839" i="2"/>
  <c r="AC4834" i="2"/>
  <c r="AA4807" i="2"/>
  <c r="AA4805" i="2"/>
  <c r="AC4805" i="2"/>
  <c r="AC4791" i="2"/>
  <c r="AA4791" i="2"/>
  <c r="AB4791" i="2"/>
  <c r="AB4781" i="2"/>
  <c r="AB4741" i="2"/>
  <c r="AC4734" i="2"/>
  <c r="AB4720" i="2"/>
  <c r="AA4720" i="2"/>
  <c r="AC4720" i="2"/>
  <c r="AA4698" i="2"/>
  <c r="AC4698" i="2"/>
  <c r="AC4686" i="2"/>
  <c r="AA4681" i="2"/>
  <c r="AB4681" i="2"/>
  <c r="AB4660" i="2"/>
  <c r="AA4660" i="2"/>
  <c r="AB4636" i="2"/>
  <c r="AC4636" i="2"/>
  <c r="AC4600" i="2"/>
  <c r="AA4600" i="2"/>
  <c r="AA4583" i="2"/>
  <c r="AB4583" i="2"/>
  <c r="AC4583" i="2"/>
  <c r="AC4541" i="2"/>
  <c r="AA4529" i="2"/>
  <c r="AC4445" i="2"/>
  <c r="AA4445" i="2"/>
  <c r="AA4434" i="2"/>
  <c r="AB4434" i="2"/>
  <c r="AC4434" i="2"/>
  <c r="AC4432" i="2"/>
  <c r="AA4432" i="2"/>
  <c r="AA3888" i="2"/>
  <c r="AB3888" i="2"/>
  <c r="AC3888" i="2"/>
  <c r="AB3771" i="2"/>
  <c r="AA3771" i="2"/>
  <c r="AB3607" i="2"/>
  <c r="AA3607" i="2"/>
  <c r="AA3435" i="2"/>
  <c r="AC3435" i="2"/>
  <c r="AB3435" i="2"/>
  <c r="AB4732" i="2"/>
  <c r="AC4732" i="2"/>
  <c r="AA4693" i="2"/>
  <c r="AB4693" i="2"/>
  <c r="AC4693" i="2"/>
  <c r="AA4674" i="2"/>
  <c r="AC4674" i="2"/>
  <c r="AA4573" i="2"/>
  <c r="AC4573" i="2"/>
  <c r="AC4531" i="2"/>
  <c r="AB4531" i="2"/>
  <c r="AC4517" i="2"/>
  <c r="AA4517" i="2"/>
  <c r="AB4479" i="2"/>
  <c r="AA4479" i="2"/>
  <c r="AA4462" i="2"/>
  <c r="AC4462" i="2"/>
  <c r="AA4457" i="2"/>
  <c r="AB4457" i="2"/>
  <c r="AA4326" i="2"/>
  <c r="AB4326" i="2"/>
  <c r="AC4326" i="2"/>
  <c r="AC4324" i="2"/>
  <c r="AA4324" i="2"/>
  <c r="AA4311" i="2"/>
  <c r="AC4311" i="2"/>
  <c r="AA4270" i="2"/>
  <c r="AB4270" i="2"/>
  <c r="AA4265" i="2"/>
  <c r="AB4265" i="2"/>
  <c r="AA4245" i="2"/>
  <c r="AB4245" i="2"/>
  <c r="AB4213" i="2"/>
  <c r="AA4213" i="2"/>
  <c r="AB4179" i="2"/>
  <c r="AA4179" i="2"/>
  <c r="AC4179" i="2"/>
  <c r="AB3925" i="2"/>
  <c r="AC3925" i="2"/>
  <c r="AA3442" i="2"/>
  <c r="AB3442" i="2"/>
  <c r="AC3442" i="2"/>
  <c r="AC3367" i="2"/>
  <c r="AA3367" i="2"/>
  <c r="AB3367" i="2"/>
  <c r="AC5024" i="2"/>
  <c r="AC5020" i="2"/>
  <c r="AC5000" i="2"/>
  <c r="AC4976" i="2"/>
  <c r="AC4974" i="2"/>
  <c r="AA4913" i="2"/>
  <c r="AC4913" i="2"/>
  <c r="AB4890" i="2"/>
  <c r="AA4890" i="2"/>
  <c r="AC4852" i="2"/>
  <c r="AA4793" i="2"/>
  <c r="AB4793" i="2"/>
  <c r="AC4793" i="2"/>
  <c r="AA4765" i="2"/>
  <c r="AB4765" i="2"/>
  <c r="AC4765" i="2"/>
  <c r="AC4752" i="2"/>
  <c r="AB4752" i="2"/>
  <c r="AA4717" i="2"/>
  <c r="AB4717" i="2"/>
  <c r="AB4633" i="2"/>
  <c r="AA4633" i="2"/>
  <c r="AA4565" i="2"/>
  <c r="AB4565" i="2"/>
  <c r="AA4509" i="2"/>
  <c r="AB4509" i="2"/>
  <c r="AC4509" i="2"/>
  <c r="AB4491" i="2"/>
  <c r="AA4491" i="2"/>
  <c r="AA4341" i="2"/>
  <c r="AB4341" i="2"/>
  <c r="AA4313" i="2"/>
  <c r="AB4313" i="2"/>
  <c r="AC4313" i="2"/>
  <c r="AA4300" i="2"/>
  <c r="AB4300" i="2"/>
  <c r="AC4300" i="2"/>
  <c r="AB4201" i="2"/>
  <c r="AA4201" i="2"/>
  <c r="AC4121" i="2"/>
  <c r="AA4121" i="2"/>
  <c r="AB3452" i="2"/>
  <c r="AA3452" i="2"/>
  <c r="AC3452" i="2"/>
  <c r="AC5276" i="2"/>
  <c r="AA5254" i="2"/>
  <c r="AA5250" i="2"/>
  <c r="AB5233" i="2"/>
  <c r="AC5195" i="2"/>
  <c r="AA5168" i="2"/>
  <c r="AA5164" i="2"/>
  <c r="AA5136" i="2"/>
  <c r="AB5109" i="2"/>
  <c r="AC5092" i="2"/>
  <c r="AB5085" i="2"/>
  <c r="AC5072" i="2"/>
  <c r="AC5070" i="2"/>
  <c r="AC5048" i="2"/>
  <c r="AC5046" i="2"/>
  <c r="AB5037" i="2"/>
  <c r="AC5033" i="2"/>
  <c r="AB5024" i="2"/>
  <c r="AB5020" i="2"/>
  <c r="AB5013" i="2"/>
  <c r="AB5009" i="2"/>
  <c r="AB5000" i="2"/>
  <c r="AA4996" i="2"/>
  <c r="AB4985" i="2"/>
  <c r="AB4976" i="2"/>
  <c r="AB4974" i="2"/>
  <c r="AC4972" i="2"/>
  <c r="AC4942" i="2"/>
  <c r="AA4931" i="2"/>
  <c r="AB4931" i="2"/>
  <c r="AC4924" i="2"/>
  <c r="AB4908" i="2"/>
  <c r="AA4892" i="2"/>
  <c r="AA4872" i="2"/>
  <c r="AB4861" i="2"/>
  <c r="AC4856" i="2"/>
  <c r="AC4854" i="2"/>
  <c r="AB4852" i="2"/>
  <c r="AB4836" i="2"/>
  <c r="AA4825" i="2"/>
  <c r="AB4825" i="2"/>
  <c r="AC4818" i="2"/>
  <c r="AC4788" i="2"/>
  <c r="AA4788" i="2"/>
  <c r="AC4743" i="2"/>
  <c r="AA4743" i="2"/>
  <c r="AC4738" i="2"/>
  <c r="AC4729" i="2"/>
  <c r="AA4722" i="2"/>
  <c r="AB4722" i="2"/>
  <c r="AB4695" i="2"/>
  <c r="AC4683" i="2"/>
  <c r="AA4683" i="2"/>
  <c r="AC4652" i="2"/>
  <c r="AB4650" i="2"/>
  <c r="AB4640" i="2"/>
  <c r="AC4613" i="2"/>
  <c r="AC4594" i="2"/>
  <c r="AA4585" i="2"/>
  <c r="AA4536" i="2"/>
  <c r="AC4536" i="2"/>
  <c r="AA4481" i="2"/>
  <c r="AB4481" i="2"/>
  <c r="AA4360" i="2"/>
  <c r="AB4360" i="2"/>
  <c r="AC4360" i="2"/>
  <c r="AA4257" i="2"/>
  <c r="AB4257" i="2"/>
  <c r="AB4047" i="2"/>
  <c r="AA4047" i="2"/>
  <c r="AA3750" i="2"/>
  <c r="AB3750" i="2"/>
  <c r="AC3750" i="2"/>
  <c r="AA3669" i="2"/>
  <c r="AB3669" i="2"/>
  <c r="AC5717" i="2"/>
  <c r="AC5692" i="2"/>
  <c r="AC5670" i="2"/>
  <c r="AC5608" i="2"/>
  <c r="AC5573" i="2"/>
  <c r="AC5571" i="2"/>
  <c r="AC5545" i="2"/>
  <c r="AC5485" i="2"/>
  <c r="AB5407" i="2"/>
  <c r="AC5405" i="2"/>
  <c r="AC5353" i="2"/>
  <c r="AB5326" i="2"/>
  <c r="AB5299" i="2"/>
  <c r="AC5297" i="2"/>
  <c r="AB5266" i="2"/>
  <c r="AC5262" i="2"/>
  <c r="AC5260" i="2"/>
  <c r="AC5068" i="2"/>
  <c r="AC5057" i="2"/>
  <c r="AC5044" i="2"/>
  <c r="AB5033" i="2"/>
  <c r="AA5031" i="2"/>
  <c r="AA4972" i="2"/>
  <c r="AC4961" i="2"/>
  <c r="AA4959" i="2"/>
  <c r="AC4944" i="2"/>
  <c r="AB4933" i="2"/>
  <c r="AC4926" i="2"/>
  <c r="AA4924" i="2"/>
  <c r="AA4917" i="2"/>
  <c r="AC4917" i="2"/>
  <c r="AA4908" i="2"/>
  <c r="AA4894" i="2"/>
  <c r="AC4894" i="2"/>
  <c r="AA4885" i="2"/>
  <c r="AB4885" i="2"/>
  <c r="AC4829" i="2"/>
  <c r="AC4820" i="2"/>
  <c r="AA4818" i="2"/>
  <c r="AB4816" i="2"/>
  <c r="AC4816" i="2"/>
  <c r="AB4785" i="2"/>
  <c r="AB4773" i="2"/>
  <c r="AA4771" i="2"/>
  <c r="AA4745" i="2"/>
  <c r="AB4745" i="2"/>
  <c r="AB4729" i="2"/>
  <c r="AC4724" i="2"/>
  <c r="AB4719" i="2"/>
  <c r="AC4714" i="2"/>
  <c r="AA4695" i="2"/>
  <c r="AC4671" i="2"/>
  <c r="AB4671" i="2"/>
  <c r="AB4659" i="2"/>
  <c r="AB4652" i="2"/>
  <c r="AA4623" i="2"/>
  <c r="AC4618" i="2"/>
  <c r="AB4613" i="2"/>
  <c r="AB4599" i="2"/>
  <c r="AA4599" i="2"/>
  <c r="AC4599" i="2"/>
  <c r="AC4579" i="2"/>
  <c r="AB4579" i="2"/>
  <c r="AB4575" i="2"/>
  <c r="AA4575" i="2"/>
  <c r="AA4557" i="2"/>
  <c r="AC4557" i="2"/>
  <c r="AB4469" i="2"/>
  <c r="AA4252" i="2"/>
  <c r="AB4252" i="2"/>
  <c r="AB4215" i="2"/>
  <c r="AA4215" i="2"/>
  <c r="AB4191" i="2"/>
  <c r="AA4191" i="2"/>
  <c r="AC4191" i="2"/>
  <c r="AC4095" i="2"/>
  <c r="AB4071" i="2"/>
  <c r="AA4071" i="2"/>
  <c r="AC4071" i="2"/>
  <c r="AA4049" i="2"/>
  <c r="AC4049" i="2"/>
  <c r="AB3783" i="2"/>
  <c r="AA3783" i="2"/>
  <c r="AB3697" i="2"/>
  <c r="AC3697" i="2"/>
  <c r="AA3697" i="2"/>
  <c r="AA3454" i="2"/>
  <c r="AB3454" i="2"/>
  <c r="AC3454" i="2"/>
  <c r="AC4449" i="2"/>
  <c r="AC4427" i="2"/>
  <c r="AC4425" i="2"/>
  <c r="AC4390" i="2"/>
  <c r="AC4379" i="2"/>
  <c r="AC4377" i="2"/>
  <c r="AC4319" i="2"/>
  <c r="AC4199" i="2"/>
  <c r="AC4125" i="2"/>
  <c r="AC4119" i="2"/>
  <c r="AC4101" i="2"/>
  <c r="AC4057" i="2"/>
  <c r="AC4044" i="2"/>
  <c r="AC4031" i="2"/>
  <c r="AC4005" i="2"/>
  <c r="AB3904" i="2"/>
  <c r="AA3897" i="2"/>
  <c r="AC3897" i="2"/>
  <c r="AC3885" i="2"/>
  <c r="AC3834" i="2"/>
  <c r="AA3825" i="2"/>
  <c r="AC3825" i="2"/>
  <c r="AB3785" i="2"/>
  <c r="AC3743" i="2"/>
  <c r="AB3714" i="2"/>
  <c r="AC3685" i="2"/>
  <c r="AB3678" i="2"/>
  <c r="AC3660" i="2"/>
  <c r="AB3660" i="2"/>
  <c r="AA3617" i="2"/>
  <c r="AB3617" i="2"/>
  <c r="AC3617" i="2"/>
  <c r="AA3612" i="2"/>
  <c r="AB3612" i="2"/>
  <c r="AC3529" i="2"/>
  <c r="AA3529" i="2"/>
  <c r="AB3529" i="2"/>
  <c r="AA3394" i="2"/>
  <c r="AB3394" i="2"/>
  <c r="AC3394" i="2"/>
  <c r="AB3379" i="2"/>
  <c r="AA3379" i="2"/>
  <c r="AB3377" i="2"/>
  <c r="AC3377" i="2"/>
  <c r="AC3258" i="2"/>
  <c r="AA3258" i="2"/>
  <c r="AB3258" i="2"/>
  <c r="AB3169" i="2"/>
  <c r="AA3169" i="2"/>
  <c r="AC3169" i="2"/>
  <c r="AC3159" i="2"/>
  <c r="AB3159" i="2"/>
  <c r="AA3128" i="2"/>
  <c r="AB3128" i="2"/>
  <c r="AC3128" i="2"/>
  <c r="AB3117" i="2"/>
  <c r="AC3117" i="2"/>
  <c r="AC3080" i="2"/>
  <c r="AA3080" i="2"/>
  <c r="AB3080" i="2"/>
  <c r="AA2719" i="2"/>
  <c r="AB2719" i="2"/>
  <c r="AC2719" i="2"/>
  <c r="AC4149" i="2"/>
  <c r="AC4127" i="2"/>
  <c r="AC4103" i="2"/>
  <c r="AC4065" i="2"/>
  <c r="AC4059" i="2"/>
  <c r="AC4020" i="2"/>
  <c r="AC4007" i="2"/>
  <c r="AB3894" i="2"/>
  <c r="AC3829" i="2"/>
  <c r="AB3810" i="2"/>
  <c r="AA3768" i="2"/>
  <c r="AB3768" i="2"/>
  <c r="AB3745" i="2"/>
  <c r="AC3745" i="2"/>
  <c r="AB3655" i="2"/>
  <c r="AC3655" i="2"/>
  <c r="AA3609" i="2"/>
  <c r="AB3609" i="2"/>
  <c r="AC3609" i="2"/>
  <c r="AA3592" i="2"/>
  <c r="AB3592" i="2"/>
  <c r="AC3545" i="2"/>
  <c r="AA3545" i="2"/>
  <c r="AB3545" i="2"/>
  <c r="AB3533" i="2"/>
  <c r="AC3533" i="2"/>
  <c r="AB3427" i="2"/>
  <c r="AA3427" i="2"/>
  <c r="AB3280" i="2"/>
  <c r="AC3280" i="2"/>
  <c r="AA3267" i="2"/>
  <c r="AB3267" i="2"/>
  <c r="AC3267" i="2"/>
  <c r="AC3235" i="2"/>
  <c r="AB3235" i="2"/>
  <c r="AA3176" i="2"/>
  <c r="AB3176" i="2"/>
  <c r="AC3176" i="2"/>
  <c r="AA4158" i="2"/>
  <c r="AB4149" i="2"/>
  <c r="AB4127" i="2"/>
  <c r="AB4103" i="2"/>
  <c r="AA4087" i="2"/>
  <c r="AB4065" i="2"/>
  <c r="AA4059" i="2"/>
  <c r="AB4020" i="2"/>
  <c r="AC4009" i="2"/>
  <c r="AB4007" i="2"/>
  <c r="AA3991" i="2"/>
  <c r="AC3989" i="2"/>
  <c r="AA3987" i="2"/>
  <c r="AC3901" i="2"/>
  <c r="AA3829" i="2"/>
  <c r="AA3815" i="2"/>
  <c r="AB3815" i="2"/>
  <c r="AA3810" i="2"/>
  <c r="AB3789" i="2"/>
  <c r="AA3707" i="2"/>
  <c r="AB3707" i="2"/>
  <c r="AA3673" i="2"/>
  <c r="AA3671" i="2"/>
  <c r="AC3671" i="2"/>
  <c r="AA3643" i="2"/>
  <c r="AB3641" i="2"/>
  <c r="AB3604" i="2"/>
  <c r="AC3604" i="2"/>
  <c r="AA3540" i="2"/>
  <c r="AC3540" i="2"/>
  <c r="AB3535" i="2"/>
  <c r="AA3535" i="2"/>
  <c r="AA3495" i="2"/>
  <c r="AB3495" i="2"/>
  <c r="AC3495" i="2"/>
  <c r="AA3478" i="2"/>
  <c r="AB3478" i="2"/>
  <c r="AC3478" i="2"/>
  <c r="AA2909" i="2"/>
  <c r="AB2909" i="2"/>
  <c r="AC2909" i="2"/>
  <c r="AA2876" i="2"/>
  <c r="AB2876" i="2"/>
  <c r="AC2876" i="2"/>
  <c r="AB2534" i="2"/>
  <c r="AC2534" i="2"/>
  <c r="AA2534" i="2"/>
  <c r="AA2485" i="2"/>
  <c r="AB2485" i="2"/>
  <c r="AC2485" i="2"/>
  <c r="AB2457" i="2"/>
  <c r="AA2457" i="2"/>
  <c r="AC2457" i="2"/>
  <c r="AC2331" i="2"/>
  <c r="AA2331" i="2"/>
  <c r="AB2331" i="2"/>
  <c r="AA2301" i="2"/>
  <c r="AC2301" i="2"/>
  <c r="AC2090" i="2"/>
  <c r="AB2090" i="2"/>
  <c r="AA2090" i="2"/>
  <c r="AA3887" i="2"/>
  <c r="AB3887" i="2"/>
  <c r="AA3873" i="2"/>
  <c r="AC3873" i="2"/>
  <c r="AA3840" i="2"/>
  <c r="AC3840" i="2"/>
  <c r="AA3803" i="2"/>
  <c r="AB3803" i="2"/>
  <c r="AB3687" i="2"/>
  <c r="AA3687" i="2"/>
  <c r="AC3648" i="2"/>
  <c r="AA3648" i="2"/>
  <c r="AC3636" i="2"/>
  <c r="AA3636" i="2"/>
  <c r="AA3621" i="2"/>
  <c r="AC3621" i="2"/>
  <c r="AA3606" i="2"/>
  <c r="AB3606" i="2"/>
  <c r="AA3599" i="2"/>
  <c r="AB3599" i="2"/>
  <c r="AC3599" i="2"/>
  <c r="AC3559" i="2"/>
  <c r="AB3559" i="2"/>
  <c r="AA3483" i="2"/>
  <c r="AB3483" i="2"/>
  <c r="AC3483" i="2"/>
  <c r="AA3459" i="2"/>
  <c r="AB3459" i="2"/>
  <c r="AC3459" i="2"/>
  <c r="AB3396" i="2"/>
  <c r="AC3396" i="2"/>
  <c r="AA3326" i="2"/>
  <c r="AB3326" i="2"/>
  <c r="AC3326" i="2"/>
  <c r="AA2602" i="2"/>
  <c r="AC2602" i="2"/>
  <c r="AC4516" i="2"/>
  <c r="AC4468" i="2"/>
  <c r="AC4444" i="2"/>
  <c r="AC4396" i="2"/>
  <c r="AB4372" i="2"/>
  <c r="AC4367" i="2"/>
  <c r="AB4338" i="2"/>
  <c r="AC4307" i="2"/>
  <c r="AC4289" i="2"/>
  <c r="AB4276" i="2"/>
  <c r="AC4271" i="2"/>
  <c r="AB4242" i="2"/>
  <c r="AB4229" i="2"/>
  <c r="AB4216" i="2"/>
  <c r="AC4187" i="2"/>
  <c r="AC4182" i="2"/>
  <c r="AC4169" i="2"/>
  <c r="AB4146" i="2"/>
  <c r="AC4131" i="2"/>
  <c r="AC4120" i="2"/>
  <c r="AB4109" i="2"/>
  <c r="AB4096" i="2"/>
  <c r="AC4089" i="2"/>
  <c r="AB4026" i="2"/>
  <c r="AB4024" i="2"/>
  <c r="AB4015" i="2"/>
  <c r="AC3993" i="2"/>
  <c r="AB3966" i="2"/>
  <c r="AB3964" i="2"/>
  <c r="AC3957" i="2"/>
  <c r="AB3955" i="2"/>
  <c r="AC3933" i="2"/>
  <c r="AA3851" i="2"/>
  <c r="AC3851" i="2"/>
  <c r="AC3835" i="2"/>
  <c r="AA3765" i="2"/>
  <c r="AB3765" i="2"/>
  <c r="AA3731" i="2"/>
  <c r="AC3731" i="2"/>
  <c r="AC3702" i="2"/>
  <c r="AB3542" i="2"/>
  <c r="AC3542" i="2"/>
  <c r="AA3422" i="2"/>
  <c r="AC3422" i="2"/>
  <c r="AB3410" i="2"/>
  <c r="AA3410" i="2"/>
  <c r="AB3356" i="2"/>
  <c r="AA3356" i="2"/>
  <c r="AC3356" i="2"/>
  <c r="AA3336" i="2"/>
  <c r="AB3336" i="2"/>
  <c r="AC3336" i="2"/>
  <c r="AA3306" i="2"/>
  <c r="AB3306" i="2"/>
  <c r="AC3306" i="2"/>
  <c r="AC3192" i="2"/>
  <c r="AA3192" i="2"/>
  <c r="AB3192" i="2"/>
  <c r="AC3036" i="2"/>
  <c r="AB3036" i="2"/>
  <c r="AA2993" i="2"/>
  <c r="AB2993" i="2"/>
  <c r="AC2993" i="2"/>
  <c r="AC4485" i="2"/>
  <c r="AC4461" i="2"/>
  <c r="AC4450" i="2"/>
  <c r="AC4426" i="2"/>
  <c r="AC4391" i="2"/>
  <c r="AC4389" i="2"/>
  <c r="AC4378" i="2"/>
  <c r="AB4367" i="2"/>
  <c r="AC4334" i="2"/>
  <c r="AC4318" i="2"/>
  <c r="AB4307" i="2"/>
  <c r="AB4271" i="2"/>
  <c r="AC4227" i="2"/>
  <c r="AB4209" i="2"/>
  <c r="AB4198" i="2"/>
  <c r="AB4187" i="2"/>
  <c r="AA4165" i="2"/>
  <c r="AA4146" i="2"/>
  <c r="AA4131" i="2"/>
  <c r="AB4120" i="2"/>
  <c r="AC4107" i="2"/>
  <c r="AB4089" i="2"/>
  <c r="AB4080" i="2"/>
  <c r="AB4062" i="2"/>
  <c r="AC4043" i="2"/>
  <c r="AC4032" i="2"/>
  <c r="AC4017" i="2"/>
  <c r="AC4013" i="2"/>
  <c r="AA4011" i="2"/>
  <c r="AB3993" i="2"/>
  <c r="AB3957" i="2"/>
  <c r="AC3953" i="2"/>
  <c r="AA3951" i="2"/>
  <c r="AB3933" i="2"/>
  <c r="AA3919" i="2"/>
  <c r="AB3912" i="2"/>
  <c r="AA3864" i="2"/>
  <c r="AC3864" i="2"/>
  <c r="AC3837" i="2"/>
  <c r="AB3835" i="2"/>
  <c r="AC3833" i="2"/>
  <c r="AC3784" i="2"/>
  <c r="AC3772" i="2"/>
  <c r="AC3767" i="2"/>
  <c r="AC3753" i="2"/>
  <c r="AC3744" i="2"/>
  <c r="AC3715" i="2"/>
  <c r="AC3713" i="2"/>
  <c r="AB3702" i="2"/>
  <c r="AC3693" i="2"/>
  <c r="AA3675" i="2"/>
  <c r="AA3633" i="2"/>
  <c r="AB3633" i="2"/>
  <c r="AC3633" i="2"/>
  <c r="AC3613" i="2"/>
  <c r="AA3591" i="2"/>
  <c r="AC3571" i="2"/>
  <c r="AB3571" i="2"/>
  <c r="AB3492" i="2"/>
  <c r="AA3492" i="2"/>
  <c r="AC3468" i="2"/>
  <c r="AA3468" i="2"/>
  <c r="AB3468" i="2"/>
  <c r="AA3463" i="2"/>
  <c r="AB3463" i="2"/>
  <c r="AC3463" i="2"/>
  <c r="AB3424" i="2"/>
  <c r="AC3424" i="2"/>
  <c r="AB3328" i="2"/>
  <c r="AA3328" i="2"/>
  <c r="AC3328" i="2"/>
  <c r="AB3222" i="2"/>
  <c r="AC3222" i="2"/>
  <c r="AC3092" i="2"/>
  <c r="AA3092" i="2"/>
  <c r="AB3092" i="2"/>
  <c r="AA3049" i="2"/>
  <c r="AB3049" i="2"/>
  <c r="AC3049" i="2"/>
  <c r="AA2914" i="2"/>
  <c r="AB2914" i="2"/>
  <c r="AC2914" i="2"/>
  <c r="AA4107" i="2"/>
  <c r="AA4062" i="2"/>
  <c r="AC4045" i="2"/>
  <c r="AB4043" i="2"/>
  <c r="AB4032" i="2"/>
  <c r="AB4017" i="2"/>
  <c r="AA3979" i="2"/>
  <c r="AC3977" i="2"/>
  <c r="AA3975" i="2"/>
  <c r="AB3837" i="2"/>
  <c r="AA3784" i="2"/>
  <c r="AA3779" i="2"/>
  <c r="AC3779" i="2"/>
  <c r="AA3772" i="2"/>
  <c r="AB3767" i="2"/>
  <c r="AB3753" i="2"/>
  <c r="AB3744" i="2"/>
  <c r="AA3715" i="2"/>
  <c r="AB3713" i="2"/>
  <c r="AA3711" i="2"/>
  <c r="AB3693" i="2"/>
  <c r="AC3684" i="2"/>
  <c r="AA3684" i="2"/>
  <c r="AA3677" i="2"/>
  <c r="AC3677" i="2"/>
  <c r="AA3645" i="2"/>
  <c r="AB3645" i="2"/>
  <c r="AB3628" i="2"/>
  <c r="AC3628" i="2"/>
  <c r="AA3551" i="2"/>
  <c r="AB3551" i="2"/>
  <c r="AC3551" i="2"/>
  <c r="AC3549" i="2"/>
  <c r="AB3549" i="2"/>
  <c r="AB3514" i="2"/>
  <c r="AC3514" i="2"/>
  <c r="AA3506" i="2"/>
  <c r="AB3506" i="2"/>
  <c r="AC3506" i="2"/>
  <c r="AB3480" i="2"/>
  <c r="AC3480" i="2"/>
  <c r="AB3446" i="2"/>
  <c r="AC3446" i="2"/>
  <c r="AA3358" i="2"/>
  <c r="AB3358" i="2"/>
  <c r="AC3358" i="2"/>
  <c r="AA3351" i="2"/>
  <c r="AC3351" i="2"/>
  <c r="AB3294" i="2"/>
  <c r="AC3294" i="2"/>
  <c r="AA3254" i="2"/>
  <c r="AC3254" i="2"/>
  <c r="AB3254" i="2"/>
  <c r="AA3194" i="2"/>
  <c r="AC3194" i="2"/>
  <c r="AB3189" i="2"/>
  <c r="AA3189" i="2"/>
  <c r="AC3189" i="2"/>
  <c r="AA3152" i="2"/>
  <c r="AB3152" i="2"/>
  <c r="AC3152" i="2"/>
  <c r="AC2936" i="2"/>
  <c r="AB2936" i="2"/>
  <c r="AA2936" i="2"/>
  <c r="AA2674" i="2"/>
  <c r="AB2674" i="2"/>
  <c r="AC2674" i="2"/>
  <c r="AB3819" i="2"/>
  <c r="AA3819" i="2"/>
  <c r="AB3679" i="2"/>
  <c r="AA3679" i="2"/>
  <c r="AA3630" i="2"/>
  <c r="AB3630" i="2"/>
  <c r="AA3588" i="2"/>
  <c r="AB3588" i="2"/>
  <c r="AB3511" i="2"/>
  <c r="AA3511" i="2"/>
  <c r="AC3330" i="2"/>
  <c r="AA3330" i="2"/>
  <c r="AB3330" i="2"/>
  <c r="AB3308" i="2"/>
  <c r="AA3308" i="2"/>
  <c r="AC3308" i="2"/>
  <c r="AA3296" i="2"/>
  <c r="AC3296" i="2"/>
  <c r="AB3107" i="2"/>
  <c r="AC3107" i="2"/>
  <c r="AC2814" i="2"/>
  <c r="AA2814" i="2"/>
  <c r="AB2814" i="2"/>
  <c r="AC4373" i="2"/>
  <c r="AB3891" i="2"/>
  <c r="AA3891" i="2"/>
  <c r="AA3828" i="2"/>
  <c r="AC3828" i="2"/>
  <c r="AA3821" i="2"/>
  <c r="AC3821" i="2"/>
  <c r="AB3735" i="2"/>
  <c r="AA3735" i="2"/>
  <c r="AA3593" i="2"/>
  <c r="AC3593" i="2"/>
  <c r="AB3568" i="2"/>
  <c r="AC3568" i="2"/>
  <c r="AA3563" i="2"/>
  <c r="AC3563" i="2"/>
  <c r="AA3558" i="2"/>
  <c r="AB3558" i="2"/>
  <c r="AA3516" i="2"/>
  <c r="AC3516" i="2"/>
  <c r="AA3499" i="2"/>
  <c r="AC3499" i="2"/>
  <c r="AB3440" i="2"/>
  <c r="AA3440" i="2"/>
  <c r="AC3440" i="2"/>
  <c r="AB3390" i="2"/>
  <c r="AC3390" i="2"/>
  <c r="AA3338" i="2"/>
  <c r="AC3338" i="2"/>
  <c r="AB3115" i="2"/>
  <c r="AA3115" i="2"/>
  <c r="AC3115" i="2"/>
  <c r="AA3104" i="2"/>
  <c r="AB3104" i="2"/>
  <c r="AC3104" i="2"/>
  <c r="AC3016" i="2"/>
  <c r="AA3016" i="2"/>
  <c r="AA2995" i="2"/>
  <c r="AC2995" i="2"/>
  <c r="AB2995" i="2"/>
  <c r="AC2905" i="2"/>
  <c r="AA2905" i="2"/>
  <c r="AB2905" i="2"/>
  <c r="AB4668" i="2"/>
  <c r="AC4631" i="2"/>
  <c r="AC4626" i="2"/>
  <c r="AB4620" i="2"/>
  <c r="AC4566" i="2"/>
  <c r="AC4562" i="2"/>
  <c r="AC4551" i="2"/>
  <c r="AC4497" i="2"/>
  <c r="AC4355" i="2"/>
  <c r="AC4353" i="2"/>
  <c r="AC4259" i="2"/>
  <c r="AC4175" i="2"/>
  <c r="AC4155" i="2"/>
  <c r="AB4134" i="2"/>
  <c r="AC4117" i="2"/>
  <c r="AB4110" i="2"/>
  <c r="AC4097" i="2"/>
  <c r="AC4029" i="2"/>
  <c r="AC3983" i="2"/>
  <c r="AC3916" i="2"/>
  <c r="AA3909" i="2"/>
  <c r="AB3909" i="2"/>
  <c r="AB3883" i="2"/>
  <c r="AB3748" i="2"/>
  <c r="AC3741" i="2"/>
  <c r="AC3725" i="2"/>
  <c r="AA3695" i="2"/>
  <c r="AC3695" i="2"/>
  <c r="AC3690" i="2"/>
  <c r="AC3688" i="2"/>
  <c r="AB3615" i="2"/>
  <c r="AA3615" i="2"/>
  <c r="AC3595" i="2"/>
  <c r="AA3595" i="2"/>
  <c r="AB3595" i="2"/>
  <c r="AA3585" i="2"/>
  <c r="AB3585" i="2"/>
  <c r="AC3585" i="2"/>
  <c r="AA3570" i="2"/>
  <c r="AB3570" i="2"/>
  <c r="AC3570" i="2"/>
  <c r="AB3565" i="2"/>
  <c r="AA3565" i="2"/>
  <c r="AC3565" i="2"/>
  <c r="AC3525" i="2"/>
  <c r="AA3525" i="2"/>
  <c r="AB3525" i="2"/>
  <c r="AB3518" i="2"/>
  <c r="AC3518" i="2"/>
  <c r="AA3503" i="2"/>
  <c r="AC3503" i="2"/>
  <c r="AC3501" i="2"/>
  <c r="AB3501" i="2"/>
  <c r="AB3450" i="2"/>
  <c r="AC3450" i="2"/>
  <c r="AB3392" i="2"/>
  <c r="AA3392" i="2"/>
  <c r="AC3392" i="2"/>
  <c r="AA3363" i="2"/>
  <c r="AB3363" i="2"/>
  <c r="AC3363" i="2"/>
  <c r="AC3008" i="2"/>
  <c r="AA3008" i="2"/>
  <c r="AB3008" i="2"/>
  <c r="AC3388" i="2"/>
  <c r="AA3343" i="2"/>
  <c r="AC3343" i="2"/>
  <c r="AB3334" i="2"/>
  <c r="AB3220" i="2"/>
  <c r="AA3220" i="2"/>
  <c r="AC3220" i="2"/>
  <c r="AC3184" i="2"/>
  <c r="AA3184" i="2"/>
  <c r="AB3165" i="2"/>
  <c r="AA3165" i="2"/>
  <c r="AB3145" i="2"/>
  <c r="AC3143" i="2"/>
  <c r="AB3047" i="2"/>
  <c r="AC3047" i="2"/>
  <c r="AA3034" i="2"/>
  <c r="AC3034" i="2"/>
  <c r="AA2890" i="2"/>
  <c r="AB2890" i="2"/>
  <c r="AC2890" i="2"/>
  <c r="AB2852" i="2"/>
  <c r="AA2852" i="2"/>
  <c r="AC2803" i="2"/>
  <c r="AB2797" i="2"/>
  <c r="AC2729" i="2"/>
  <c r="AA2729" i="2"/>
  <c r="AB2729" i="2"/>
  <c r="AB2724" i="2"/>
  <c r="AC2724" i="2"/>
  <c r="AA2667" i="2"/>
  <c r="AC2667" i="2"/>
  <c r="AB2658" i="2"/>
  <c r="AA2545" i="2"/>
  <c r="AB2545" i="2"/>
  <c r="AC2545" i="2"/>
  <c r="AA2518" i="2"/>
  <c r="AB2518" i="2"/>
  <c r="AC2518" i="2"/>
  <c r="AB1621" i="2"/>
  <c r="AA1621" i="2"/>
  <c r="AB3581" i="2"/>
  <c r="AA3579" i="2"/>
  <c r="AA3553" i="2"/>
  <c r="AB3547" i="2"/>
  <c r="AA3541" i="2"/>
  <c r="AA3512" i="2"/>
  <c r="AA3420" i="2"/>
  <c r="AA3388" i="2"/>
  <c r="AB3386" i="2"/>
  <c r="AC3345" i="2"/>
  <c r="AB3345" i="2"/>
  <c r="AA3290" i="2"/>
  <c r="AC3290" i="2"/>
  <c r="AB3256" i="2"/>
  <c r="AC3256" i="2"/>
  <c r="AB3228" i="2"/>
  <c r="AC3228" i="2"/>
  <c r="AB3157" i="2"/>
  <c r="AC3157" i="2"/>
  <c r="AA3143" i="2"/>
  <c r="AA3051" i="2"/>
  <c r="AC3044" i="2"/>
  <c r="AA3044" i="2"/>
  <c r="AC3010" i="2"/>
  <c r="AA2966" i="2"/>
  <c r="AC2966" i="2"/>
  <c r="AB2964" i="2"/>
  <c r="AA2938" i="2"/>
  <c r="AB2938" i="2"/>
  <c r="AC2938" i="2"/>
  <c r="AB2803" i="2"/>
  <c r="AB2801" i="2"/>
  <c r="AC2779" i="2"/>
  <c r="AC2717" i="2"/>
  <c r="AA2717" i="2"/>
  <c r="AA2676" i="2"/>
  <c r="AA2658" i="2"/>
  <c r="AC1182" i="2"/>
  <c r="AD1182" i="2" s="1"/>
  <c r="AB1182" i="2"/>
  <c r="AB3248" i="2"/>
  <c r="AA3248" i="2"/>
  <c r="AB3215" i="2"/>
  <c r="AA3215" i="2"/>
  <c r="AA3210" i="2"/>
  <c r="AB3210" i="2"/>
  <c r="AB3203" i="2"/>
  <c r="AC3203" i="2"/>
  <c r="AB3181" i="2"/>
  <c r="AC3181" i="2"/>
  <c r="AB3095" i="2"/>
  <c r="AC3095" i="2"/>
  <c r="AB2918" i="2"/>
  <c r="AC2916" i="2"/>
  <c r="AA2752" i="2"/>
  <c r="AC2752" i="2"/>
  <c r="AC2365" i="2"/>
  <c r="AA2365" i="2"/>
  <c r="AB2365" i="2"/>
  <c r="AA2810" i="2"/>
  <c r="AB2810" i="2"/>
  <c r="AC2810" i="2"/>
  <c r="AB2678" i="2"/>
  <c r="AC2678" i="2"/>
  <c r="AA2565" i="2"/>
  <c r="AB2565" i="2"/>
  <c r="AC2565" i="2"/>
  <c r="AB3486" i="2"/>
  <c r="AC3430" i="2"/>
  <c r="AC3413" i="2"/>
  <c r="AB3402" i="2"/>
  <c r="AB3370" i="2"/>
  <c r="AC3346" i="2"/>
  <c r="AC3344" i="2"/>
  <c r="AB3342" i="2"/>
  <c r="AC3309" i="2"/>
  <c r="AA3309" i="2"/>
  <c r="AC3284" i="2"/>
  <c r="AC3236" i="2"/>
  <c r="AA3219" i="2"/>
  <c r="AB3219" i="2"/>
  <c r="AB3183" i="2"/>
  <c r="AC3183" i="2"/>
  <c r="AA3171" i="2"/>
  <c r="AC3171" i="2"/>
  <c r="AC3081" i="2"/>
  <c r="AA3043" i="2"/>
  <c r="AB3043" i="2"/>
  <c r="AC3043" i="2"/>
  <c r="AB2977" i="2"/>
  <c r="AB2868" i="2"/>
  <c r="AA2841" i="2"/>
  <c r="AC2841" i="2"/>
  <c r="AB2786" i="2"/>
  <c r="AC2786" i="2"/>
  <c r="AC3464" i="2"/>
  <c r="AC3387" i="2"/>
  <c r="AB3372" i="2"/>
  <c r="AA3344" i="2"/>
  <c r="AC3300" i="2"/>
  <c r="AC3291" i="2"/>
  <c r="AA3284" i="2"/>
  <c r="AA3274" i="2"/>
  <c r="AB3274" i="2"/>
  <c r="AA3255" i="2"/>
  <c r="AC3255" i="2"/>
  <c r="AC3245" i="2"/>
  <c r="AA3236" i="2"/>
  <c r="AB3224" i="2"/>
  <c r="AA3224" i="2"/>
  <c r="AC3224" i="2"/>
  <c r="AB3209" i="2"/>
  <c r="AC3130" i="2"/>
  <c r="AB3081" i="2"/>
  <c r="AA3064" i="2"/>
  <c r="AA3040" i="2"/>
  <c r="AB2997" i="2"/>
  <c r="AC2997" i="2"/>
  <c r="AB2984" i="2"/>
  <c r="AA2984" i="2"/>
  <c r="AB2944" i="2"/>
  <c r="AA2868" i="2"/>
  <c r="AC2619" i="2"/>
  <c r="AB2619" i="2"/>
  <c r="AB3202" i="2"/>
  <c r="AA3202" i="2"/>
  <c r="AA3180" i="2"/>
  <c r="AC3180" i="2"/>
  <c r="AA3091" i="2"/>
  <c r="AB3091" i="2"/>
  <c r="AC3091" i="2"/>
  <c r="AB3017" i="2"/>
  <c r="AC3017" i="2"/>
  <c r="AC2825" i="2"/>
  <c r="AB2825" i="2"/>
  <c r="AA2812" i="2"/>
  <c r="AB2812" i="2"/>
  <c r="AC2812" i="2"/>
  <c r="AA2738" i="2"/>
  <c r="AC2738" i="2"/>
  <c r="AC3324" i="2"/>
  <c r="AA3324" i="2"/>
  <c r="AC3266" i="2"/>
  <c r="AA3266" i="2"/>
  <c r="AA3252" i="2"/>
  <c r="AB3252" i="2"/>
  <c r="AA3221" i="2"/>
  <c r="AC3221" i="2"/>
  <c r="AC3177" i="2"/>
  <c r="AB3177" i="2"/>
  <c r="AA3127" i="2"/>
  <c r="AB3127" i="2"/>
  <c r="AB3106" i="2"/>
  <c r="AC3106" i="2"/>
  <c r="AA3045" i="2"/>
  <c r="AB3045" i="2"/>
  <c r="AC3045" i="2"/>
  <c r="AA2879" i="2"/>
  <c r="AC2879" i="2"/>
  <c r="AC3556" i="2"/>
  <c r="AC3438" i="2"/>
  <c r="AC3382" i="2"/>
  <c r="AC3354" i="2"/>
  <c r="AC3319" i="2"/>
  <c r="AC3310" i="2"/>
  <c r="AB3276" i="2"/>
  <c r="AC3276" i="2"/>
  <c r="AA3216" i="2"/>
  <c r="AB3216" i="2"/>
  <c r="AB3197" i="2"/>
  <c r="AA3197" i="2"/>
  <c r="AB3170" i="2"/>
  <c r="AA3170" i="2"/>
  <c r="AB3163" i="2"/>
  <c r="AA3163" i="2"/>
  <c r="AC3073" i="2"/>
  <c r="AC3004" i="2"/>
  <c r="AA3004" i="2"/>
  <c r="AB3004" i="2"/>
  <c r="AC2881" i="2"/>
  <c r="AA2850" i="2"/>
  <c r="AB2850" i="2"/>
  <c r="AC2850" i="2"/>
  <c r="AB2748" i="2"/>
  <c r="AA2748" i="2"/>
  <c r="AC2748" i="2"/>
  <c r="AC3508" i="2"/>
  <c r="AB3489" i="2"/>
  <c r="AC3487" i="2"/>
  <c r="AC3472" i="2"/>
  <c r="AC3416" i="2"/>
  <c r="AB3405" i="2"/>
  <c r="AC3403" i="2"/>
  <c r="AC3399" i="2"/>
  <c r="AA3339" i="2"/>
  <c r="AB3339" i="2"/>
  <c r="AC3332" i="2"/>
  <c r="AC3315" i="2"/>
  <c r="AB3297" i="2"/>
  <c r="AA3281" i="2"/>
  <c r="AB3281" i="2"/>
  <c r="AB3226" i="2"/>
  <c r="AC3226" i="2"/>
  <c r="AA3093" i="2"/>
  <c r="AB3093" i="2"/>
  <c r="AC3093" i="2"/>
  <c r="AC3023" i="2"/>
  <c r="AC2996" i="2"/>
  <c r="AA2996" i="2"/>
  <c r="AB2996" i="2"/>
  <c r="AC2883" i="2"/>
  <c r="AC2830" i="2"/>
  <c r="AB2830" i="2"/>
  <c r="AA2795" i="2"/>
  <c r="AC2795" i="2"/>
  <c r="AC2707" i="2"/>
  <c r="AC2529" i="2"/>
  <c r="AA2529" i="2"/>
  <c r="AB2529" i="2"/>
  <c r="AC2510" i="2"/>
  <c r="AB2510" i="2"/>
  <c r="AA2491" i="2"/>
  <c r="AC2491" i="2"/>
  <c r="AB2313" i="2"/>
  <c r="AC2313" i="2"/>
  <c r="AA2313" i="2"/>
  <c r="AC2247" i="2"/>
  <c r="AA2247" i="2"/>
  <c r="AB2247" i="2"/>
  <c r="AC2127" i="2"/>
  <c r="AB2127" i="2"/>
  <c r="AA2127" i="2"/>
  <c r="AC2838" i="2"/>
  <c r="AB2822" i="2"/>
  <c r="AB2818" i="2"/>
  <c r="AC2809" i="2"/>
  <c r="AC2794" i="2"/>
  <c r="AC2783" i="2"/>
  <c r="AC2751" i="2"/>
  <c r="AC2730" i="2"/>
  <c r="AA2697" i="2"/>
  <c r="AB2697" i="2"/>
  <c r="AC2680" i="2"/>
  <c r="AB2653" i="2"/>
  <c r="AC2653" i="2"/>
  <c r="AB2631" i="2"/>
  <c r="AA2631" i="2"/>
  <c r="AA2626" i="2"/>
  <c r="AB2626" i="2"/>
  <c r="AC2559" i="2"/>
  <c r="AA2559" i="2"/>
  <c r="AB2559" i="2"/>
  <c r="AC2426" i="2"/>
  <c r="AA2426" i="2"/>
  <c r="AB2426" i="2"/>
  <c r="AA2144" i="2"/>
  <c r="AB2144" i="2"/>
  <c r="AC2144" i="2"/>
  <c r="AA2095" i="2"/>
  <c r="AB2095" i="2"/>
  <c r="AC2095" i="2"/>
  <c r="AC2954" i="2"/>
  <c r="AB2937" i="2"/>
  <c r="AC2935" i="2"/>
  <c r="AB2933" i="2"/>
  <c r="AA2924" i="2"/>
  <c r="AC2906" i="2"/>
  <c r="AC2902" i="2"/>
  <c r="AC2869" i="2"/>
  <c r="AB2865" i="2"/>
  <c r="AC2842" i="2"/>
  <c r="AC2840" i="2"/>
  <c r="AA2838" i="2"/>
  <c r="AC2829" i="2"/>
  <c r="AB2809" i="2"/>
  <c r="AB2794" i="2"/>
  <c r="AA2787" i="2"/>
  <c r="AC2785" i="2"/>
  <c r="AA2783" i="2"/>
  <c r="AC2765" i="2"/>
  <c r="AB2765" i="2"/>
  <c r="AB2751" i="2"/>
  <c r="AC2737" i="2"/>
  <c r="AB2730" i="2"/>
  <c r="AA2716" i="2"/>
  <c r="AC2716" i="2"/>
  <c r="AC2711" i="2"/>
  <c r="AB2682" i="2"/>
  <c r="AB2680" i="2"/>
  <c r="AA2381" i="2"/>
  <c r="AB2381" i="2"/>
  <c r="AC2381" i="2"/>
  <c r="AB2954" i="2"/>
  <c r="AB2935" i="2"/>
  <c r="AB2906" i="2"/>
  <c r="AB2902" i="2"/>
  <c r="AA2893" i="2"/>
  <c r="AB2869" i="2"/>
  <c r="AB2842" i="2"/>
  <c r="AA2840" i="2"/>
  <c r="AA2785" i="2"/>
  <c r="AC2772" i="2"/>
  <c r="AA2753" i="2"/>
  <c r="AA2744" i="2"/>
  <c r="AB2737" i="2"/>
  <c r="AC2633" i="2"/>
  <c r="AA2633" i="2"/>
  <c r="AB2618" i="2"/>
  <c r="AC2618" i="2"/>
  <c r="AA2610" i="2"/>
  <c r="AB2610" i="2"/>
  <c r="AC2448" i="2"/>
  <c r="AA2448" i="2"/>
  <c r="AB2448" i="2"/>
  <c r="L1917" i="2"/>
  <c r="K1917" i="2" s="1"/>
  <c r="AB1917" i="2"/>
  <c r="AC1917" i="2"/>
  <c r="AD1917" i="2" s="1"/>
  <c r="AA2671" i="2"/>
  <c r="AC2671" i="2"/>
  <c r="AC2484" i="2"/>
  <c r="AA2484" i="2"/>
  <c r="AB2484" i="2"/>
  <c r="AA2456" i="2"/>
  <c r="AB2456" i="2"/>
  <c r="AC2456" i="2"/>
  <c r="AC3279" i="2"/>
  <c r="AC3250" i="2"/>
  <c r="AC3246" i="2"/>
  <c r="AC3118" i="2"/>
  <c r="AC3116" i="2"/>
  <c r="AC3111" i="2"/>
  <c r="AC3102" i="2"/>
  <c r="AA3100" i="2"/>
  <c r="AC3089" i="2"/>
  <c r="AC3087" i="2"/>
  <c r="AC3078" i="2"/>
  <c r="AB3076" i="2"/>
  <c r="AB3074" i="2"/>
  <c r="AC3069" i="2"/>
  <c r="AA3063" i="2"/>
  <c r="AA3052" i="2"/>
  <c r="AC3041" i="2"/>
  <c r="AC3039" i="2"/>
  <c r="AC3013" i="2"/>
  <c r="AC2989" i="2"/>
  <c r="AB2980" i="2"/>
  <c r="AB2976" i="2"/>
  <c r="AB2926" i="2"/>
  <c r="AC2897" i="2"/>
  <c r="AC2888" i="2"/>
  <c r="AA2884" i="2"/>
  <c r="AC2862" i="2"/>
  <c r="AC2846" i="2"/>
  <c r="AC2819" i="2"/>
  <c r="AC2806" i="2"/>
  <c r="AC2762" i="2"/>
  <c r="AA2741" i="2"/>
  <c r="AC2718" i="2"/>
  <c r="AB2718" i="2"/>
  <c r="AA2708" i="2"/>
  <c r="AA2696" i="2"/>
  <c r="AC2696" i="2"/>
  <c r="AA2691" i="2"/>
  <c r="AC2691" i="2"/>
  <c r="AA2686" i="2"/>
  <c r="AA2677" i="2"/>
  <c r="AA2625" i="2"/>
  <c r="AC2625" i="2"/>
  <c r="AC2612" i="2"/>
  <c r="AB2593" i="2"/>
  <c r="AA2593" i="2"/>
  <c r="AB2556" i="2"/>
  <c r="AC2556" i="2"/>
  <c r="AA2546" i="2"/>
  <c r="AB2546" i="2"/>
  <c r="AC2546" i="2"/>
  <c r="AC1670" i="2"/>
  <c r="AD1670" i="2" s="1"/>
  <c r="L1670" i="2"/>
  <c r="K1670" i="2" s="1"/>
  <c r="AA1670" i="2"/>
  <c r="AB1670" i="2"/>
  <c r="AA2713" i="2"/>
  <c r="AC2713" i="2"/>
  <c r="AB2652" i="2"/>
  <c r="AA2652" i="2"/>
  <c r="AA2595" i="2"/>
  <c r="AB2595" i="2"/>
  <c r="AC2595" i="2"/>
  <c r="AC2582" i="2"/>
  <c r="AA2582" i="2"/>
  <c r="AB2582" i="2"/>
  <c r="AB2558" i="2"/>
  <c r="AC2558" i="2"/>
  <c r="AC2530" i="2"/>
  <c r="AA2530" i="2"/>
  <c r="AB2530" i="2"/>
  <c r="AC2372" i="2"/>
  <c r="AA2372" i="2"/>
  <c r="AB2372" i="2"/>
  <c r="AB1932" i="2"/>
  <c r="AA1932" i="2"/>
  <c r="AC1932" i="2"/>
  <c r="AC1598" i="2"/>
  <c r="AD1598" i="2" s="1"/>
  <c r="L1598" i="2"/>
  <c r="K1598" i="2" s="1"/>
  <c r="AA1598" i="2"/>
  <c r="AB1598" i="2"/>
  <c r="AB3214" i="2"/>
  <c r="AB3212" i="2"/>
  <c r="AA3148" i="2"/>
  <c r="AC3082" i="2"/>
  <c r="AB3067" i="2"/>
  <c r="AA3056" i="2"/>
  <c r="AA3028" i="2"/>
  <c r="AC3006" i="2"/>
  <c r="AB3002" i="2"/>
  <c r="AA2991" i="2"/>
  <c r="AA2912" i="2"/>
  <c r="AA2833" i="2"/>
  <c r="AC2828" i="2"/>
  <c r="AC2823" i="2"/>
  <c r="AA2821" i="2"/>
  <c r="AA2808" i="2"/>
  <c r="AA2769" i="2"/>
  <c r="AB2757" i="2"/>
  <c r="AA2722" i="2"/>
  <c r="AB2722" i="2"/>
  <c r="AB2720" i="2"/>
  <c r="AC2720" i="2"/>
  <c r="AB2715" i="2"/>
  <c r="AB2649" i="2"/>
  <c r="AB2390" i="2"/>
  <c r="AC2390" i="2"/>
  <c r="AC2274" i="2"/>
  <c r="AA2274" i="2"/>
  <c r="AB2274" i="2"/>
  <c r="AC2151" i="2"/>
  <c r="AA2151" i="2"/>
  <c r="AB2151" i="2"/>
  <c r="AB2698" i="2"/>
  <c r="AC2698" i="2"/>
  <c r="AA2665" i="2"/>
  <c r="AB2665" i="2"/>
  <c r="AC2632" i="2"/>
  <c r="AB2632" i="2"/>
  <c r="AA2627" i="2"/>
  <c r="AB2627" i="2"/>
  <c r="AB2566" i="2"/>
  <c r="AC2566" i="2"/>
  <c r="AC1688" i="2"/>
  <c r="AD1688" i="2" s="1"/>
  <c r="AA1688" i="2"/>
  <c r="L1688" i="2"/>
  <c r="K1688" i="2" s="1"/>
  <c r="AB1688" i="2"/>
  <c r="L1615" i="2"/>
  <c r="K1615" i="2" s="1"/>
  <c r="AC1615" i="2"/>
  <c r="AD1615" i="2" s="1"/>
  <c r="AA2620" i="2"/>
  <c r="AA2570" i="2"/>
  <c r="AC2528" i="2"/>
  <c r="AA2522" i="2"/>
  <c r="AC2479" i="2"/>
  <c r="AC2472" i="2"/>
  <c r="AA2468" i="2"/>
  <c r="AC2455" i="2"/>
  <c r="AA2446" i="2"/>
  <c r="AA2436" i="2"/>
  <c r="AB2424" i="2"/>
  <c r="AC2401" i="2"/>
  <c r="AC2376" i="2"/>
  <c r="AB2358" i="2"/>
  <c r="AA2356" i="2"/>
  <c r="AA2352" i="2"/>
  <c r="AA2336" i="2"/>
  <c r="AC2303" i="2"/>
  <c r="AA2299" i="2"/>
  <c r="AC2299" i="2"/>
  <c r="AC2292" i="2"/>
  <c r="AA2272" i="2"/>
  <c r="AA2268" i="2"/>
  <c r="AB2264" i="2"/>
  <c r="AA2259" i="2"/>
  <c r="AB2213" i="2"/>
  <c r="AA2208" i="2"/>
  <c r="AC2187" i="2"/>
  <c r="AA2187" i="2"/>
  <c r="AB2182" i="2"/>
  <c r="AC2182" i="2"/>
  <c r="AA2123" i="2"/>
  <c r="AC2123" i="2"/>
  <c r="AA2111" i="2"/>
  <c r="AA2107" i="2"/>
  <c r="AA2100" i="2"/>
  <c r="AA2088" i="2"/>
  <c r="AA2075" i="2"/>
  <c r="AB2064" i="2"/>
  <c r="AC2042" i="2"/>
  <c r="AB2042" i="2"/>
  <c r="AC1959" i="2"/>
  <c r="AB1959" i="2"/>
  <c r="AA1959" i="2"/>
  <c r="AC1890" i="2"/>
  <c r="AD1890" i="2" s="1"/>
  <c r="AA1890" i="2"/>
  <c r="AC1874" i="2"/>
  <c r="AD1874" i="2" s="1"/>
  <c r="AB1874" i="2"/>
  <c r="AB1822" i="2"/>
  <c r="AA1822" i="2"/>
  <c r="AC1822" i="2"/>
  <c r="AD1822" i="2" s="1"/>
  <c r="L1693" i="2"/>
  <c r="K1693" i="2" s="1"/>
  <c r="AB1693" i="2"/>
  <c r="AC1693" i="2"/>
  <c r="AD1693" i="2" s="1"/>
  <c r="AC1623" i="2"/>
  <c r="AD1623" i="2" s="1"/>
  <c r="AB1623" i="2"/>
  <c r="AB1408" i="2"/>
  <c r="AC1408" i="2"/>
  <c r="AD1408" i="2" s="1"/>
  <c r="AC2508" i="2"/>
  <c r="AA2305" i="2"/>
  <c r="AC2305" i="2"/>
  <c r="AC2231" i="2"/>
  <c r="AA2231" i="2"/>
  <c r="AC2215" i="2"/>
  <c r="AC2196" i="2"/>
  <c r="AA2192" i="2"/>
  <c r="AB2192" i="2"/>
  <c r="AC2184" i="2"/>
  <c r="AA2156" i="2"/>
  <c r="AC2156" i="2"/>
  <c r="AC2146" i="2"/>
  <c r="AA2023" i="2"/>
  <c r="AC2023" i="2"/>
  <c r="AC1998" i="2"/>
  <c r="AB1998" i="2"/>
  <c r="AC1902" i="2"/>
  <c r="AD1902" i="2" s="1"/>
  <c r="AB1902" i="2"/>
  <c r="L1902" i="2"/>
  <c r="K1902" i="2" s="1"/>
  <c r="AB1873" i="2"/>
  <c r="AC1873" i="2"/>
  <c r="AD1873" i="2" s="1"/>
  <c r="L1873" i="2"/>
  <c r="K1873" i="2" s="1"/>
  <c r="AA1873" i="2"/>
  <c r="AC1808" i="2"/>
  <c r="AD1808" i="2" s="1"/>
  <c r="AA1808" i="2"/>
  <c r="L1808" i="2"/>
  <c r="K1808" i="2" s="1"/>
  <c r="AB1808" i="2"/>
  <c r="AC1788" i="2"/>
  <c r="AD1788" i="2" s="1"/>
  <c r="L1788" i="2"/>
  <c r="K1788" i="2" s="1"/>
  <c r="AA1788" i="2"/>
  <c r="L1752" i="2"/>
  <c r="K1752" i="2" s="1"/>
  <c r="AA1752" i="2"/>
  <c r="AB1752" i="2"/>
  <c r="AC1752" i="2"/>
  <c r="AD1752" i="2" s="1"/>
  <c r="AC1736" i="2"/>
  <c r="AD1736" i="2" s="1"/>
  <c r="AB1736" i="2"/>
  <c r="L1692" i="2"/>
  <c r="K1692" i="2" s="1"/>
  <c r="AA1692" i="2"/>
  <c r="AB1692" i="2"/>
  <c r="AC1692" i="2"/>
  <c r="AD1692" i="2" s="1"/>
  <c r="AC1671" i="2"/>
  <c r="AD1671" i="2" s="1"/>
  <c r="L1671" i="2"/>
  <c r="K1671" i="2" s="1"/>
  <c r="AA1671" i="2"/>
  <c r="AB1671" i="2"/>
  <c r="AC1622" i="2"/>
  <c r="AD1622" i="2" s="1"/>
  <c r="AB1622" i="2"/>
  <c r="L1622" i="2"/>
  <c r="K1622" i="2" s="1"/>
  <c r="AA1622" i="2"/>
  <c r="AB2428" i="2"/>
  <c r="AA2428" i="2"/>
  <c r="AA2240" i="2"/>
  <c r="AB2240" i="2"/>
  <c r="AC2235" i="2"/>
  <c r="AB2235" i="2"/>
  <c r="AA2198" i="2"/>
  <c r="AB2198" i="2"/>
  <c r="AB2158" i="2"/>
  <c r="AA2158" i="2"/>
  <c r="AC2136" i="2"/>
  <c r="AA2136" i="2"/>
  <c r="AB2092" i="2"/>
  <c r="AC2092" i="2"/>
  <c r="AC2039" i="2"/>
  <c r="AB2039" i="2"/>
  <c r="AA2030" i="2"/>
  <c r="AB2030" i="2"/>
  <c r="AB2020" i="2"/>
  <c r="AC2020" i="2"/>
  <c r="AC2007" i="2"/>
  <c r="AA2007" i="2"/>
  <c r="AB2007" i="2"/>
  <c r="L1922" i="2"/>
  <c r="K1922" i="2" s="1"/>
  <c r="AA1922" i="2"/>
  <c r="AB1922" i="2"/>
  <c r="AA1907" i="2"/>
  <c r="L1907" i="2"/>
  <c r="K1907" i="2" s="1"/>
  <c r="AB1907" i="2"/>
  <c r="L1864" i="2"/>
  <c r="K1864" i="2" s="1"/>
  <c r="AB1864" i="2"/>
  <c r="L1812" i="2"/>
  <c r="K1812" i="2" s="1"/>
  <c r="AA1812" i="2"/>
  <c r="AB1812" i="2"/>
  <c r="AC1812" i="2"/>
  <c r="AD1812" i="2" s="1"/>
  <c r="L1734" i="2"/>
  <c r="K1734" i="2" s="1"/>
  <c r="AB1734" i="2"/>
  <c r="AC1734" i="2"/>
  <c r="AD1734" i="2" s="1"/>
  <c r="AC1647" i="2"/>
  <c r="AD1647" i="2" s="1"/>
  <c r="AA1647" i="2"/>
  <c r="AA1637" i="2"/>
  <c r="L1637" i="2"/>
  <c r="K1637" i="2" s="1"/>
  <c r="L1563" i="2"/>
  <c r="K1563" i="2" s="1"/>
  <c r="AC1563" i="2"/>
  <c r="AD1563" i="2" s="1"/>
  <c r="AA1563" i="2"/>
  <c r="AB1563" i="2"/>
  <c r="L1444" i="2"/>
  <c r="K1444" i="2" s="1"/>
  <c r="AA1444" i="2"/>
  <c r="AB1444" i="2"/>
  <c r="AC1444" i="2"/>
  <c r="AD1444" i="2" s="1"/>
  <c r="AA2655" i="2"/>
  <c r="AA2624" i="2"/>
  <c r="AA2590" i="2"/>
  <c r="AB2575" i="2"/>
  <c r="AA2573" i="2"/>
  <c r="AC2571" i="2"/>
  <c r="AB2562" i="2"/>
  <c r="AB2542" i="2"/>
  <c r="AB2540" i="2"/>
  <c r="AB2525" i="2"/>
  <c r="AC2523" i="2"/>
  <c r="AC2516" i="2"/>
  <c r="AA2497" i="2"/>
  <c r="AB2452" i="2"/>
  <c r="AC2421" i="2"/>
  <c r="AB2419" i="2"/>
  <c r="AB2411" i="2"/>
  <c r="AA2409" i="2"/>
  <c r="AC2392" i="2"/>
  <c r="AB2387" i="2"/>
  <c r="AC2366" i="2"/>
  <c r="AC2349" i="2"/>
  <c r="AC2342" i="2"/>
  <c r="AA2342" i="2"/>
  <c r="AC2326" i="2"/>
  <c r="AB2324" i="2"/>
  <c r="AA2317" i="2"/>
  <c r="AC2315" i="2"/>
  <c r="AB2298" i="2"/>
  <c r="AB2287" i="2"/>
  <c r="AB2282" i="2"/>
  <c r="AC2269" i="2"/>
  <c r="AB2244" i="2"/>
  <c r="AB2242" i="2"/>
  <c r="AA2242" i="2"/>
  <c r="AC2228" i="2"/>
  <c r="AB2223" i="2"/>
  <c r="AA2221" i="2"/>
  <c r="AC2200" i="2"/>
  <c r="AA2200" i="2"/>
  <c r="AB2186" i="2"/>
  <c r="AC2181" i="2"/>
  <c r="AB2148" i="2"/>
  <c r="AC2124" i="2"/>
  <c r="AC2122" i="2"/>
  <c r="AC2120" i="2"/>
  <c r="AA2115" i="2"/>
  <c r="AC2070" i="2"/>
  <c r="AA2070" i="2"/>
  <c r="AC2032" i="2"/>
  <c r="AA2032" i="2"/>
  <c r="AC2025" i="2"/>
  <c r="AB2025" i="2"/>
  <c r="AC1987" i="2"/>
  <c r="AC1968" i="2"/>
  <c r="AA1968" i="2"/>
  <c r="AA1941" i="2"/>
  <c r="AC1941" i="2"/>
  <c r="L1806" i="2"/>
  <c r="K1806" i="2" s="1"/>
  <c r="AA1806" i="2"/>
  <c r="AC1806" i="2"/>
  <c r="AD1806" i="2" s="1"/>
  <c r="AB1726" i="2"/>
  <c r="AA1726" i="2"/>
  <c r="AC1646" i="2"/>
  <c r="AD1646" i="2" s="1"/>
  <c r="AA1646" i="2"/>
  <c r="AB1646" i="2"/>
  <c r="L1646" i="2"/>
  <c r="K1646" i="2" s="1"/>
  <c r="AC1587" i="2"/>
  <c r="AD1587" i="2" s="1"/>
  <c r="L1587" i="2"/>
  <c r="K1587" i="2" s="1"/>
  <c r="AA1587" i="2"/>
  <c r="L1547" i="2"/>
  <c r="K1547" i="2" s="1"/>
  <c r="AC1547" i="2"/>
  <c r="AD1547" i="2" s="1"/>
  <c r="AB1496" i="2"/>
  <c r="AA1496" i="2"/>
  <c r="L1496" i="2"/>
  <c r="K1496" i="2" s="1"/>
  <c r="AA2571" i="2"/>
  <c r="AA2542" i="2"/>
  <c r="AC2531" i="2"/>
  <c r="AC2527" i="2"/>
  <c r="AA2525" i="2"/>
  <c r="AA2523" i="2"/>
  <c r="AA2430" i="2"/>
  <c r="AC2430" i="2"/>
  <c r="AC2423" i="2"/>
  <c r="AB2421" i="2"/>
  <c r="AA2387" i="2"/>
  <c r="AC2373" i="2"/>
  <c r="AB2366" i="2"/>
  <c r="AB2349" i="2"/>
  <c r="AB2344" i="2"/>
  <c r="AA2344" i="2"/>
  <c r="AC2335" i="2"/>
  <c r="AA2326" i="2"/>
  <c r="AC2304" i="2"/>
  <c r="AA2298" i="2"/>
  <c r="AA2269" i="2"/>
  <c r="AA2267" i="2"/>
  <c r="AC2232" i="2"/>
  <c r="AB2228" i="2"/>
  <c r="AA2223" i="2"/>
  <c r="AC2193" i="2"/>
  <c r="AB2191" i="2"/>
  <c r="AB2181" i="2"/>
  <c r="AC2162" i="2"/>
  <c r="AA2162" i="2"/>
  <c r="AB2133" i="2"/>
  <c r="AB2124" i="2"/>
  <c r="AA2122" i="2"/>
  <c r="AB2120" i="2"/>
  <c r="AC2079" i="2"/>
  <c r="AA2079" i="2"/>
  <c r="AA2058" i="2"/>
  <c r="AC1995" i="2"/>
  <c r="AA1995" i="2"/>
  <c r="AB1987" i="2"/>
  <c r="AB1948" i="2"/>
  <c r="AA1948" i="2"/>
  <c r="AC1948" i="2"/>
  <c r="AC1943" i="2"/>
  <c r="L1931" i="2"/>
  <c r="K1931" i="2" s="1"/>
  <c r="AC1931" i="2"/>
  <c r="AD1931" i="2" s="1"/>
  <c r="AA1931" i="2"/>
  <c r="AB1921" i="2"/>
  <c r="AA1921" i="2"/>
  <c r="AA1900" i="2"/>
  <c r="L1900" i="2"/>
  <c r="K1900" i="2" s="1"/>
  <c r="AC1833" i="2"/>
  <c r="AD1833" i="2" s="1"/>
  <c r="L1833" i="2"/>
  <c r="K1833" i="2" s="1"/>
  <c r="AA1833" i="2"/>
  <c r="L1811" i="2"/>
  <c r="K1811" i="2" s="1"/>
  <c r="AC1811" i="2"/>
  <c r="AD1811" i="2" s="1"/>
  <c r="AA1811" i="2"/>
  <c r="AC1701" i="2"/>
  <c r="AD1701" i="2" s="1"/>
  <c r="L1701" i="2"/>
  <c r="K1701" i="2" s="1"/>
  <c r="AA1701" i="2"/>
  <c r="AC1668" i="2"/>
  <c r="AD1668" i="2" s="1"/>
  <c r="L1668" i="2"/>
  <c r="K1668" i="2" s="1"/>
  <c r="AA1668" i="2"/>
  <c r="AC1542" i="2"/>
  <c r="AD1542" i="2" s="1"/>
  <c r="L1542" i="2"/>
  <c r="K1542" i="2" s="1"/>
  <c r="AB1542" i="2"/>
  <c r="AA1542" i="2"/>
  <c r="AB2531" i="2"/>
  <c r="AB2527" i="2"/>
  <c r="AB2445" i="2"/>
  <c r="AC2445" i="2"/>
  <c r="AB2439" i="2"/>
  <c r="AC2425" i="2"/>
  <c r="AB2423" i="2"/>
  <c r="AC2402" i="2"/>
  <c r="AB2373" i="2"/>
  <c r="AC2364" i="2"/>
  <c r="AC2359" i="2"/>
  <c r="AC2337" i="2"/>
  <c r="AC2306" i="2"/>
  <c r="AB2304" i="2"/>
  <c r="AB2248" i="2"/>
  <c r="AB2232" i="2"/>
  <c r="AC2207" i="2"/>
  <c r="AA2207" i="2"/>
  <c r="AB2202" i="2"/>
  <c r="AB2193" i="2"/>
  <c r="AA2133" i="2"/>
  <c r="AC2126" i="2"/>
  <c r="AC2094" i="2"/>
  <c r="AA2094" i="2"/>
  <c r="AC2089" i="2"/>
  <c r="AC2034" i="2"/>
  <c r="AA2034" i="2"/>
  <c r="AB2027" i="2"/>
  <c r="AC1982" i="2"/>
  <c r="AA1982" i="2"/>
  <c r="AA1943" i="2"/>
  <c r="AC1911" i="2"/>
  <c r="AD1911" i="2" s="1"/>
  <c r="L1911" i="2"/>
  <c r="K1911" i="2" s="1"/>
  <c r="AA1911" i="2"/>
  <c r="AC1832" i="2"/>
  <c r="AD1832" i="2" s="1"/>
  <c r="AB1832" i="2"/>
  <c r="L1818" i="2"/>
  <c r="K1818" i="2" s="1"/>
  <c r="AC1818" i="2"/>
  <c r="AD1818" i="2" s="1"/>
  <c r="L1771" i="2"/>
  <c r="K1771" i="2" s="1"/>
  <c r="AB1771" i="2"/>
  <c r="AC1771" i="2"/>
  <c r="AD1771" i="2" s="1"/>
  <c r="L1645" i="2"/>
  <c r="K1645" i="2" s="1"/>
  <c r="AB1645" i="2"/>
  <c r="AC1645" i="2"/>
  <c r="AD1645" i="2" s="1"/>
  <c r="AB1577" i="2"/>
  <c r="AA1577" i="2"/>
  <c r="AC1577" i="2"/>
  <c r="AD1577" i="2" s="1"/>
  <c r="L1577" i="2"/>
  <c r="K1577" i="2" s="1"/>
  <c r="AC1571" i="2"/>
  <c r="AD1571" i="2" s="1"/>
  <c r="AB1571" i="2"/>
  <c r="L1571" i="2"/>
  <c r="K1571" i="2" s="1"/>
  <c r="AA1571" i="2"/>
  <c r="AA1556" i="2"/>
  <c r="AB1556" i="2"/>
  <c r="AC1556" i="2"/>
  <c r="AD1556" i="2" s="1"/>
  <c r="L1556" i="2"/>
  <c r="K1556" i="2" s="1"/>
  <c r="AA1545" i="2"/>
  <c r="AB1545" i="2"/>
  <c r="AC1545" i="2"/>
  <c r="AD1545" i="2" s="1"/>
  <c r="AA2449" i="2"/>
  <c r="AB2449" i="2"/>
  <c r="AA2447" i="2"/>
  <c r="AC2447" i="2"/>
  <c r="AA2439" i="2"/>
  <c r="AB2402" i="2"/>
  <c r="AB2364" i="2"/>
  <c r="AA2359" i="2"/>
  <c r="AB2306" i="2"/>
  <c r="AA2248" i="2"/>
  <c r="AC2178" i="2"/>
  <c r="AA2178" i="2"/>
  <c r="AA2145" i="2"/>
  <c r="AB2126" i="2"/>
  <c r="AA2117" i="2"/>
  <c r="AC2117" i="2"/>
  <c r="AC2112" i="2"/>
  <c r="AA2112" i="2"/>
  <c r="AA2027" i="2"/>
  <c r="AC1992" i="2"/>
  <c r="AA1992" i="2"/>
  <c r="AB1984" i="2"/>
  <c r="AA1984" i="2"/>
  <c r="AA1892" i="2"/>
  <c r="AB1892" i="2"/>
  <c r="AC1886" i="2"/>
  <c r="AD1886" i="2" s="1"/>
  <c r="AA1817" i="2"/>
  <c r="AB1817" i="2"/>
  <c r="AC1817" i="2"/>
  <c r="AD1817" i="2" s="1"/>
  <c r="AB1804" i="2"/>
  <c r="L1804" i="2"/>
  <c r="K1804" i="2" s="1"/>
  <c r="AA1804" i="2"/>
  <c r="AB1798" i="2"/>
  <c r="AC1798" i="2"/>
  <c r="AD1798" i="2" s="1"/>
  <c r="AA1798" i="2"/>
  <c r="AC1657" i="2"/>
  <c r="AD1657" i="2" s="1"/>
  <c r="L1657" i="2"/>
  <c r="K1657" i="2" s="1"/>
  <c r="AA1657" i="2"/>
  <c r="AB1630" i="2"/>
  <c r="AA1630" i="2"/>
  <c r="AC1630" i="2"/>
  <c r="AD1630" i="2" s="1"/>
  <c r="L1513" i="2"/>
  <c r="K1513" i="2" s="1"/>
  <c r="AA1513" i="2"/>
  <c r="AB1513" i="2"/>
  <c r="L1483" i="2"/>
  <c r="K1483" i="2" s="1"/>
  <c r="AB1483" i="2"/>
  <c r="AA1483" i="2"/>
  <c r="AC1483" i="2"/>
  <c r="AD1483" i="2" s="1"/>
  <c r="AC2183" i="2"/>
  <c r="AA2183" i="2"/>
  <c r="AC2103" i="2"/>
  <c r="AA2103" i="2"/>
  <c r="AC2019" i="2"/>
  <c r="AA2019" i="2"/>
  <c r="AA1999" i="2"/>
  <c r="AC1999" i="2"/>
  <c r="AB1945" i="2"/>
  <c r="AC1945" i="2"/>
  <c r="AC1920" i="2"/>
  <c r="AD1920" i="2" s="1"/>
  <c r="L1920" i="2"/>
  <c r="K1920" i="2" s="1"/>
  <c r="AA1920" i="2"/>
  <c r="L1915" i="2"/>
  <c r="K1915" i="2" s="1"/>
  <c r="AA1915" i="2"/>
  <c r="AC1915" i="2"/>
  <c r="AD1915" i="2" s="1"/>
  <c r="L1905" i="2"/>
  <c r="K1905" i="2" s="1"/>
  <c r="AA1905" i="2"/>
  <c r="L1862" i="2"/>
  <c r="K1862" i="2" s="1"/>
  <c r="AA1862" i="2"/>
  <c r="AB1862" i="2"/>
  <c r="AC1718" i="2"/>
  <c r="AD1718" i="2" s="1"/>
  <c r="AA1718" i="2"/>
  <c r="AB1718" i="2"/>
  <c r="L1718" i="2"/>
  <c r="K1718" i="2" s="1"/>
  <c r="AC1680" i="2"/>
  <c r="AD1680" i="2" s="1"/>
  <c r="L1680" i="2"/>
  <c r="K1680" i="2" s="1"/>
  <c r="AA1680" i="2"/>
  <c r="AC1652" i="2"/>
  <c r="AD1652" i="2" s="1"/>
  <c r="L1652" i="2"/>
  <c r="K1652" i="2" s="1"/>
  <c r="AA1652" i="2"/>
  <c r="AB1652" i="2"/>
  <c r="L1576" i="2"/>
  <c r="K1576" i="2" s="1"/>
  <c r="AC1576" i="2"/>
  <c r="AD1576" i="2" s="1"/>
  <c r="AA1576" i="2"/>
  <c r="AB1576" i="2"/>
  <c r="L1555" i="2"/>
  <c r="K1555" i="2" s="1"/>
  <c r="AC1555" i="2"/>
  <c r="AD1555" i="2" s="1"/>
  <c r="AA1555" i="2"/>
  <c r="AB1555" i="2"/>
  <c r="AB1518" i="2"/>
  <c r="AC1518" i="2"/>
  <c r="AD1518" i="2" s="1"/>
  <c r="L1518" i="2"/>
  <c r="K1518" i="2" s="1"/>
  <c r="AA1518" i="2"/>
  <c r="AA1482" i="2"/>
  <c r="L1482" i="2"/>
  <c r="K1482" i="2" s="1"/>
  <c r="AC1482" i="2"/>
  <c r="AD1482" i="2" s="1"/>
  <c r="AB2605" i="2"/>
  <c r="AA2603" i="2"/>
  <c r="AB2589" i="2"/>
  <c r="AB2585" i="2"/>
  <c r="AC2576" i="2"/>
  <c r="AB2574" i="2"/>
  <c r="AB2550" i="2"/>
  <c r="AB2537" i="2"/>
  <c r="AB2513" i="2"/>
  <c r="AB2500" i="2"/>
  <c r="AB2498" i="2"/>
  <c r="AB2494" i="2"/>
  <c r="AA2487" i="2"/>
  <c r="AA2475" i="2"/>
  <c r="AA2460" i="2"/>
  <c r="AB2343" i="2"/>
  <c r="AB2318" i="2"/>
  <c r="AC2295" i="2"/>
  <c r="AA2295" i="2"/>
  <c r="AB2288" i="2"/>
  <c r="AB2279" i="2"/>
  <c r="AB2255" i="2"/>
  <c r="AC2243" i="2"/>
  <c r="AA2216" i="2"/>
  <c r="AC2216" i="2"/>
  <c r="AB2173" i="2"/>
  <c r="AC2173" i="2"/>
  <c r="AC2078" i="2"/>
  <c r="AB2078" i="2"/>
  <c r="AB2073" i="2"/>
  <c r="AB2071" i="2"/>
  <c r="AC2055" i="2"/>
  <c r="AB2055" i="2"/>
  <c r="AA1904" i="2"/>
  <c r="L1904" i="2"/>
  <c r="K1904" i="2" s="1"/>
  <c r="AB1904" i="2"/>
  <c r="AC1904" i="2"/>
  <c r="AD1904" i="2" s="1"/>
  <c r="L1839" i="2"/>
  <c r="K1839" i="2" s="1"/>
  <c r="AA1839" i="2"/>
  <c r="AA1754" i="2"/>
  <c r="AB1754" i="2"/>
  <c r="L1754" i="2"/>
  <c r="K1754" i="2" s="1"/>
  <c r="AA1743" i="2"/>
  <c r="AB1743" i="2"/>
  <c r="AC1729" i="2"/>
  <c r="AD1729" i="2" s="1"/>
  <c r="AB1729" i="2"/>
  <c r="AA1729" i="2"/>
  <c r="L1729" i="2"/>
  <c r="K1729" i="2" s="1"/>
  <c r="AA1674" i="2"/>
  <c r="L1674" i="2"/>
  <c r="K1674" i="2" s="1"/>
  <c r="AC1674" i="2"/>
  <c r="AD1674" i="2" s="1"/>
  <c r="AA2591" i="2"/>
  <c r="AA2585" i="2"/>
  <c r="AA2576" i="2"/>
  <c r="AA2574" i="2"/>
  <c r="AC2570" i="2"/>
  <c r="AC2563" i="2"/>
  <c r="AC2541" i="2"/>
  <c r="AA2537" i="2"/>
  <c r="AC2522" i="2"/>
  <c r="AA2513" i="2"/>
  <c r="AC2502" i="2"/>
  <c r="AC2436" i="2"/>
  <c r="AC2388" i="2"/>
  <c r="AC2354" i="2"/>
  <c r="AC2350" i="2"/>
  <c r="AA2343" i="2"/>
  <c r="AC2334" i="2"/>
  <c r="AA2288" i="2"/>
  <c r="AB2283" i="2"/>
  <c r="AA2279" i="2"/>
  <c r="AC2272" i="2"/>
  <c r="AC2268" i="2"/>
  <c r="AC2266" i="2"/>
  <c r="AA2255" i="2"/>
  <c r="AB2243" i="2"/>
  <c r="AC2224" i="2"/>
  <c r="AC2220" i="2"/>
  <c r="AA2220" i="2"/>
  <c r="AB2218" i="2"/>
  <c r="AC2218" i="2"/>
  <c r="AC2211" i="2"/>
  <c r="AA2211" i="2"/>
  <c r="AB2175" i="2"/>
  <c r="AC2168" i="2"/>
  <c r="AB2119" i="2"/>
  <c r="AB2109" i="2"/>
  <c r="AA2073" i="2"/>
  <c r="AA1994" i="2"/>
  <c r="AC1994" i="2"/>
  <c r="AC1986" i="2"/>
  <c r="AA1986" i="2"/>
  <c r="AC1935" i="2"/>
  <c r="AA1935" i="2"/>
  <c r="AB1935" i="2"/>
  <c r="AC1814" i="2"/>
  <c r="AD1814" i="2" s="1"/>
  <c r="AA1814" i="2"/>
  <c r="AB1814" i="2"/>
  <c r="L1814" i="2"/>
  <c r="K1814" i="2" s="1"/>
  <c r="AC1742" i="2"/>
  <c r="AD1742" i="2" s="1"/>
  <c r="L1742" i="2"/>
  <c r="K1742" i="2" s="1"/>
  <c r="AA1742" i="2"/>
  <c r="AB1742" i="2"/>
  <c r="L1717" i="2"/>
  <c r="K1717" i="2" s="1"/>
  <c r="AA1717" i="2"/>
  <c r="AB1717" i="2"/>
  <c r="AA1685" i="2"/>
  <c r="L1685" i="2"/>
  <c r="K1685" i="2" s="1"/>
  <c r="AA1673" i="2"/>
  <c r="AC1673" i="2"/>
  <c r="AD1673" i="2" s="1"/>
  <c r="AB1673" i="2"/>
  <c r="L1610" i="2"/>
  <c r="K1610" i="2" s="1"/>
  <c r="AA1610" i="2"/>
  <c r="AB1610" i="2"/>
  <c r="AB2468" i="2"/>
  <c r="AB2466" i="2"/>
  <c r="AC2466" i="2"/>
  <c r="AC2446" i="2"/>
  <c r="AC2424" i="2"/>
  <c r="AC2379" i="2"/>
  <c r="AB2379" i="2"/>
  <c r="AC2264" i="2"/>
  <c r="AB2259" i="2"/>
  <c r="AB2149" i="2"/>
  <c r="AA2149" i="2"/>
  <c r="AC1991" i="2"/>
  <c r="AB1991" i="2"/>
  <c r="AB1823" i="2"/>
  <c r="AC1823" i="2"/>
  <c r="AD1823" i="2" s="1"/>
  <c r="AA1789" i="2"/>
  <c r="L1789" i="2"/>
  <c r="K1789" i="2" s="1"/>
  <c r="AB1716" i="2"/>
  <c r="L1716" i="2"/>
  <c r="K1716" i="2" s="1"/>
  <c r="AA1716" i="2"/>
  <c r="AC1716" i="2"/>
  <c r="AD1716" i="2" s="1"/>
  <c r="AC1665" i="2"/>
  <c r="AD1665" i="2" s="1"/>
  <c r="L1665" i="2"/>
  <c r="K1665" i="2" s="1"/>
  <c r="AA1665" i="2"/>
  <c r="L1643" i="2"/>
  <c r="K1643" i="2" s="1"/>
  <c r="AC1643" i="2"/>
  <c r="AD1643" i="2" s="1"/>
  <c r="AA1643" i="2"/>
  <c r="AC1609" i="2"/>
  <c r="AD1609" i="2" s="1"/>
  <c r="L1609" i="2"/>
  <c r="K1609" i="2" s="1"/>
  <c r="AA1609" i="2"/>
  <c r="AB1609" i="2"/>
  <c r="L1559" i="2"/>
  <c r="K1559" i="2" s="1"/>
  <c r="AA1559" i="2"/>
  <c r="AC1559" i="2"/>
  <c r="AD1559" i="2" s="1"/>
  <c r="L1386" i="2"/>
  <c r="K1386" i="2" s="1"/>
  <c r="AA1386" i="2"/>
  <c r="AB1386" i="2"/>
  <c r="AC1386" i="2"/>
  <c r="AD1386" i="2" s="1"/>
  <c r="AA1426" i="2"/>
  <c r="L1426" i="2"/>
  <c r="K1426" i="2" s="1"/>
  <c r="AB1426" i="2"/>
  <c r="L1375" i="2"/>
  <c r="K1375" i="2" s="1"/>
  <c r="AC1375" i="2"/>
  <c r="AD1375" i="2" s="1"/>
  <c r="AC1241" i="2"/>
  <c r="AD1241" i="2" s="1"/>
  <c r="AB1241" i="2"/>
  <c r="L1151" i="2"/>
  <c r="K1151" i="2" s="1"/>
  <c r="AB1151" i="2"/>
  <c r="AA1151" i="2"/>
  <c r="AC1151" i="2"/>
  <c r="AD1151" i="2" s="1"/>
  <c r="AB1967" i="2"/>
  <c r="AB1953" i="2"/>
  <c r="AC1944" i="2"/>
  <c r="AB1908" i="2"/>
  <c r="AC1867" i="2"/>
  <c r="AD1867" i="2" s="1"/>
  <c r="AB1860" i="2"/>
  <c r="AB1855" i="2"/>
  <c r="AC1850" i="2"/>
  <c r="AD1850" i="2" s="1"/>
  <c r="AB1844" i="2"/>
  <c r="AB1826" i="2"/>
  <c r="AC1801" i="2"/>
  <c r="AD1801" i="2" s="1"/>
  <c r="AB1801" i="2"/>
  <c r="AB1785" i="2"/>
  <c r="AB1767" i="2"/>
  <c r="AB1764" i="2"/>
  <c r="AC1761" i="2"/>
  <c r="AD1761" i="2" s="1"/>
  <c r="AC1739" i="2"/>
  <c r="AD1739" i="2" s="1"/>
  <c r="AC1723" i="2"/>
  <c r="AD1723" i="2" s="1"/>
  <c r="AB1715" i="2"/>
  <c r="AC1684" i="2"/>
  <c r="AD1684" i="2" s="1"/>
  <c r="AB1636" i="2"/>
  <c r="AC1632" i="2"/>
  <c r="AD1632" i="2" s="1"/>
  <c r="AB1619" i="2"/>
  <c r="AC1592" i="2"/>
  <c r="AD1592" i="2" s="1"/>
  <c r="L1592" i="2"/>
  <c r="K1592" i="2" s="1"/>
  <c r="AB1583" i="2"/>
  <c r="AB1477" i="2"/>
  <c r="AA1477" i="2"/>
  <c r="AC1477" i="2"/>
  <c r="AD1477" i="2" s="1"/>
  <c r="L1477" i="2"/>
  <c r="K1477" i="2" s="1"/>
  <c r="L1458" i="2"/>
  <c r="K1458" i="2" s="1"/>
  <c r="AB1458" i="2"/>
  <c r="AA1452" i="2"/>
  <c r="L1452" i="2"/>
  <c r="K1452" i="2" s="1"/>
  <c r="AB1275" i="2"/>
  <c r="AC1275" i="2"/>
  <c r="AD1275" i="2" s="1"/>
  <c r="AA1013" i="2"/>
  <c r="AC1013" i="2"/>
  <c r="AD1013" i="2" s="1"/>
  <c r="L1013" i="2"/>
  <c r="K1013" i="2" s="1"/>
  <c r="AB844" i="2"/>
  <c r="AA844" i="2"/>
  <c r="AC844" i="2"/>
  <c r="AD844" i="2" s="1"/>
  <c r="L844" i="2"/>
  <c r="K844" i="2" s="1"/>
  <c r="AA937" i="2"/>
  <c r="AB937" i="2"/>
  <c r="L852" i="2"/>
  <c r="K852" i="2" s="1"/>
  <c r="AA852" i="2"/>
  <c r="AC852" i="2"/>
  <c r="AD852" i="2" s="1"/>
  <c r="AC41" i="2"/>
  <c r="AD41" i="2" s="1"/>
  <c r="L41" i="2"/>
  <c r="K41" i="2" s="1"/>
  <c r="AB41" i="2"/>
  <c r="AA41" i="2"/>
  <c r="AC1753" i="2"/>
  <c r="AD1753" i="2" s="1"/>
  <c r="AA1753" i="2"/>
  <c r="AC1629" i="2"/>
  <c r="AD1629" i="2" s="1"/>
  <c r="AB1629" i="2"/>
  <c r="L1603" i="2"/>
  <c r="K1603" i="2" s="1"/>
  <c r="AA1603" i="2"/>
  <c r="AC1531" i="2"/>
  <c r="AD1531" i="2" s="1"/>
  <c r="L1523" i="2"/>
  <c r="K1523" i="2" s="1"/>
  <c r="AC1523" i="2"/>
  <c r="AD1523" i="2" s="1"/>
  <c r="AB1413" i="2"/>
  <c r="L1413" i="2"/>
  <c r="K1413" i="2" s="1"/>
  <c r="AA1413" i="2"/>
  <c r="AC1413" i="2"/>
  <c r="AD1413" i="2" s="1"/>
  <c r="AB1407" i="2"/>
  <c r="L1407" i="2"/>
  <c r="K1407" i="2" s="1"/>
  <c r="AC1367" i="2"/>
  <c r="AD1367" i="2" s="1"/>
  <c r="AA1367" i="2"/>
  <c r="AA1361" i="2"/>
  <c r="L1361" i="2"/>
  <c r="K1361" i="2" s="1"/>
  <c r="AB1361" i="2"/>
  <c r="AC1361" i="2"/>
  <c r="AD1361" i="2" s="1"/>
  <c r="AC1354" i="2"/>
  <c r="AD1354" i="2" s="1"/>
  <c r="AA1354" i="2"/>
  <c r="AB1354" i="2"/>
  <c r="AB1305" i="2"/>
  <c r="L1305" i="2"/>
  <c r="K1305" i="2" s="1"/>
  <c r="AC1305" i="2"/>
  <c r="AD1305" i="2" s="1"/>
  <c r="AA1175" i="2"/>
  <c r="L1175" i="2"/>
  <c r="K1175" i="2" s="1"/>
  <c r="AC1175" i="2"/>
  <c r="AD1175" i="2" s="1"/>
  <c r="AC1025" i="2"/>
  <c r="AD1025" i="2" s="1"/>
  <c r="AB1025" i="2"/>
  <c r="AB2018" i="2"/>
  <c r="AB2006" i="2"/>
  <c r="AB1989" i="2"/>
  <c r="AB1971" i="2"/>
  <c r="AC1946" i="2"/>
  <c r="AA1946" i="2"/>
  <c r="AC1896" i="2"/>
  <c r="AD1896" i="2" s="1"/>
  <c r="AB1879" i="2"/>
  <c r="AB1849" i="2"/>
  <c r="AC1800" i="2"/>
  <c r="AD1800" i="2" s="1"/>
  <c r="L1775" i="2"/>
  <c r="K1775" i="2" s="1"/>
  <c r="AC1756" i="2"/>
  <c r="AD1756" i="2" s="1"/>
  <c r="L1753" i="2"/>
  <c r="K1753" i="2" s="1"/>
  <c r="AB1747" i="2"/>
  <c r="AC1728" i="2"/>
  <c r="AD1728" i="2" s="1"/>
  <c r="AB1725" i="2"/>
  <c r="AA1698" i="2"/>
  <c r="AC1698" i="2"/>
  <c r="AD1698" i="2" s="1"/>
  <c r="L1684" i="2"/>
  <c r="K1684" i="2" s="1"/>
  <c r="AC1679" i="2"/>
  <c r="AD1679" i="2" s="1"/>
  <c r="L1661" i="2"/>
  <c r="K1661" i="2" s="1"/>
  <c r="L1650" i="2"/>
  <c r="K1650" i="2" s="1"/>
  <c r="L1632" i="2"/>
  <c r="K1632" i="2" s="1"/>
  <c r="AC1628" i="2"/>
  <c r="AD1628" i="2" s="1"/>
  <c r="AC1614" i="2"/>
  <c r="AD1614" i="2" s="1"/>
  <c r="L1583" i="2"/>
  <c r="K1583" i="2" s="1"/>
  <c r="L1579" i="2"/>
  <c r="K1579" i="2" s="1"/>
  <c r="AA1579" i="2"/>
  <c r="AB1551" i="2"/>
  <c r="AA1551" i="2"/>
  <c r="AC1522" i="2"/>
  <c r="AD1522" i="2" s="1"/>
  <c r="L1522" i="2"/>
  <c r="K1522" i="2" s="1"/>
  <c r="AA1522" i="2"/>
  <c r="AB1522" i="2"/>
  <c r="AC1372" i="2"/>
  <c r="AD1372" i="2" s="1"/>
  <c r="L1367" i="2"/>
  <c r="K1367" i="2" s="1"/>
  <c r="L1354" i="2"/>
  <c r="K1354" i="2" s="1"/>
  <c r="AC1304" i="2"/>
  <c r="AD1304" i="2" s="1"/>
  <c r="L1304" i="2"/>
  <c r="K1304" i="2" s="1"/>
  <c r="AA1304" i="2"/>
  <c r="AB1304" i="2"/>
  <c r="AA1231" i="2"/>
  <c r="L1231" i="2"/>
  <c r="K1231" i="2" s="1"/>
  <c r="AC1225" i="2"/>
  <c r="AD1225" i="2" s="1"/>
  <c r="AB1225" i="2"/>
  <c r="L1225" i="2"/>
  <c r="K1225" i="2" s="1"/>
  <c r="L1211" i="2"/>
  <c r="K1211" i="2" s="1"/>
  <c r="AB1211" i="2"/>
  <c r="L1156" i="2"/>
  <c r="K1156" i="2" s="1"/>
  <c r="AC1156" i="2"/>
  <c r="AD1156" i="2" s="1"/>
  <c r="AB1156" i="2"/>
  <c r="AA976" i="2"/>
  <c r="L944" i="2"/>
  <c r="K944" i="2" s="1"/>
  <c r="AA944" i="2"/>
  <c r="AC944" i="2"/>
  <c r="AD944" i="2" s="1"/>
  <c r="AB944" i="2"/>
  <c r="AB1531" i="2"/>
  <c r="L1531" i="2"/>
  <c r="K1531" i="2" s="1"/>
  <c r="AA1521" i="2"/>
  <c r="L1521" i="2"/>
  <c r="K1521" i="2" s="1"/>
  <c r="AB1521" i="2"/>
  <c r="AC1521" i="2"/>
  <c r="AD1521" i="2" s="1"/>
  <c r="AA1495" i="2"/>
  <c r="L1495" i="2"/>
  <c r="K1495" i="2" s="1"/>
  <c r="AB1495" i="2"/>
  <c r="AC1495" i="2"/>
  <c r="AD1495" i="2" s="1"/>
  <c r="AA1449" i="2"/>
  <c r="AC1449" i="2"/>
  <c r="AD1449" i="2" s="1"/>
  <c r="L1449" i="2"/>
  <c r="K1449" i="2" s="1"/>
  <c r="AA1424" i="2"/>
  <c r="AB1424" i="2"/>
  <c r="L1424" i="2"/>
  <c r="K1424" i="2" s="1"/>
  <c r="AB1353" i="2"/>
  <c r="L1353" i="2"/>
  <c r="K1353" i="2" s="1"/>
  <c r="AA1353" i="2"/>
  <c r="AC1353" i="2"/>
  <c r="AD1353" i="2" s="1"/>
  <c r="AB1325" i="2"/>
  <c r="AC1325" i="2"/>
  <c r="AD1325" i="2" s="1"/>
  <c r="AB1295" i="2"/>
  <c r="AA1295" i="2"/>
  <c r="L982" i="2"/>
  <c r="K982" i="2" s="1"/>
  <c r="AB982" i="2"/>
  <c r="AC982" i="2"/>
  <c r="AD982" i="2" s="1"/>
  <c r="AA1896" i="2"/>
  <c r="AC1825" i="2"/>
  <c r="AD1825" i="2" s="1"/>
  <c r="L1825" i="2"/>
  <c r="K1825" i="2" s="1"/>
  <c r="AA1800" i="2"/>
  <c r="AA1790" i="2"/>
  <c r="AB1784" i="2"/>
  <c r="AA1750" i="2"/>
  <c r="AA1728" i="2"/>
  <c r="AA1700" i="2"/>
  <c r="AC1697" i="2"/>
  <c r="AD1697" i="2" s="1"/>
  <c r="AB1667" i="2"/>
  <c r="AC1656" i="2"/>
  <c r="AD1656" i="2" s="1"/>
  <c r="AB1644" i="2"/>
  <c r="AC1638" i="2"/>
  <c r="AD1638" i="2" s="1"/>
  <c r="AB1634" i="2"/>
  <c r="AA1631" i="2"/>
  <c r="AA1628" i="2"/>
  <c r="AC1620" i="2"/>
  <c r="AD1620" i="2" s="1"/>
  <c r="AA1614" i="2"/>
  <c r="AA1597" i="2"/>
  <c r="AC1593" i="2"/>
  <c r="AD1593" i="2" s="1"/>
  <c r="AA1582" i="2"/>
  <c r="AC1582" i="2"/>
  <c r="AD1582" i="2" s="1"/>
  <c r="AB1541" i="2"/>
  <c r="AA1541" i="2"/>
  <c r="L1537" i="2"/>
  <c r="K1537" i="2" s="1"/>
  <c r="AB1537" i="2"/>
  <c r="AA1501" i="2"/>
  <c r="AB1501" i="2"/>
  <c r="AC1501" i="2"/>
  <c r="AD1501" i="2" s="1"/>
  <c r="L1501" i="2"/>
  <c r="K1501" i="2" s="1"/>
  <c r="L1494" i="2"/>
  <c r="K1494" i="2" s="1"/>
  <c r="AA1494" i="2"/>
  <c r="AC1494" i="2"/>
  <c r="AD1494" i="2" s="1"/>
  <c r="L1423" i="2"/>
  <c r="K1423" i="2" s="1"/>
  <c r="AC1423" i="2"/>
  <c r="AD1423" i="2" s="1"/>
  <c r="AB1365" i="2"/>
  <c r="L1365" i="2"/>
  <c r="K1365" i="2" s="1"/>
  <c r="AA1365" i="2"/>
  <c r="AC1365" i="2"/>
  <c r="AD1365" i="2" s="1"/>
  <c r="AB1358" i="2"/>
  <c r="L1358" i="2"/>
  <c r="K1358" i="2" s="1"/>
  <c r="L1295" i="2"/>
  <c r="K1295" i="2" s="1"/>
  <c r="L1252" i="2"/>
  <c r="K1252" i="2" s="1"/>
  <c r="AC1252" i="2"/>
  <c r="AD1252" i="2" s="1"/>
  <c r="AB1252" i="2"/>
  <c r="AB1205" i="2"/>
  <c r="AC1205" i="2"/>
  <c r="AD1205" i="2" s="1"/>
  <c r="L594" i="2"/>
  <c r="K594" i="2" s="1"/>
  <c r="AC594" i="2"/>
  <c r="AD594" i="2" s="1"/>
  <c r="AA594" i="2"/>
  <c r="L1706" i="2"/>
  <c r="K1706" i="2" s="1"/>
  <c r="AC1706" i="2"/>
  <c r="AD1706" i="2" s="1"/>
  <c r="AB1620" i="2"/>
  <c r="AC1605" i="2"/>
  <c r="AD1605" i="2" s="1"/>
  <c r="AB1605" i="2"/>
  <c r="AB1593" i="2"/>
  <c r="AA1589" i="2"/>
  <c r="L1589" i="2"/>
  <c r="K1589" i="2" s="1"/>
  <c r="AC1506" i="2"/>
  <c r="AD1506" i="2" s="1"/>
  <c r="AB1506" i="2"/>
  <c r="AC1493" i="2"/>
  <c r="AD1493" i="2" s="1"/>
  <c r="AA1465" i="2"/>
  <c r="L1465" i="2"/>
  <c r="K1465" i="2" s="1"/>
  <c r="AB1422" i="2"/>
  <c r="AC1422" i="2"/>
  <c r="AD1422" i="2" s="1"/>
  <c r="AB1377" i="2"/>
  <c r="AA1377" i="2"/>
  <c r="AC1377" i="2"/>
  <c r="AD1377" i="2" s="1"/>
  <c r="L1377" i="2"/>
  <c r="K1377" i="2" s="1"/>
  <c r="AB1089" i="2"/>
  <c r="L1089" i="2"/>
  <c r="K1089" i="2" s="1"/>
  <c r="AC1089" i="2"/>
  <c r="AD1089" i="2" s="1"/>
  <c r="AA1089" i="2"/>
  <c r="AB587" i="2"/>
  <c r="AA587" i="2"/>
  <c r="L587" i="2"/>
  <c r="K587" i="2" s="1"/>
  <c r="AC587" i="2"/>
  <c r="AD587" i="2" s="1"/>
  <c r="AB1903" i="2"/>
  <c r="AB1899" i="2"/>
  <c r="AB1891" i="2"/>
  <c r="AB1887" i="2"/>
  <c r="AC1868" i="2"/>
  <c r="AD1868" i="2" s="1"/>
  <c r="AB1846" i="2"/>
  <c r="AA1846" i="2"/>
  <c r="AB1820" i="2"/>
  <c r="AB1809" i="2"/>
  <c r="AB1802" i="2"/>
  <c r="L1790" i="2"/>
  <c r="K1790" i="2" s="1"/>
  <c r="L1770" i="2"/>
  <c r="K1770" i="2" s="1"/>
  <c r="L1763" i="2"/>
  <c r="K1763" i="2" s="1"/>
  <c r="AC1763" i="2"/>
  <c r="AD1763" i="2" s="1"/>
  <c r="AB1749" i="2"/>
  <c r="AC1745" i="2"/>
  <c r="AD1745" i="2" s="1"/>
  <c r="AB1737" i="2"/>
  <c r="L1700" i="2"/>
  <c r="K1700" i="2" s="1"/>
  <c r="L1631" i="2"/>
  <c r="K1631" i="2" s="1"/>
  <c r="AA1620" i="2"/>
  <c r="L1605" i="2"/>
  <c r="K1605" i="2" s="1"/>
  <c r="AA1593" i="2"/>
  <c r="AC1549" i="2"/>
  <c r="AD1549" i="2" s="1"/>
  <c r="AB1549" i="2"/>
  <c r="AA1549" i="2"/>
  <c r="AC1520" i="2"/>
  <c r="AD1520" i="2" s="1"/>
  <c r="L1520" i="2"/>
  <c r="K1520" i="2" s="1"/>
  <c r="L1506" i="2"/>
  <c r="K1506" i="2" s="1"/>
  <c r="AB1469" i="2"/>
  <c r="AA1469" i="2"/>
  <c r="AC1300" i="2"/>
  <c r="AD1300" i="2" s="1"/>
  <c r="L1204" i="2"/>
  <c r="K1204" i="2" s="1"/>
  <c r="AB1204" i="2"/>
  <c r="L1139" i="2"/>
  <c r="AB1139" i="2"/>
  <c r="AC1139" i="2"/>
  <c r="AD1139" i="2" s="1"/>
  <c r="AA779" i="2"/>
  <c r="AB779" i="2"/>
  <c r="L779" i="2"/>
  <c r="K779" i="2" s="1"/>
  <c r="AB1493" i="2"/>
  <c r="L1493" i="2"/>
  <c r="K1493" i="2" s="1"/>
  <c r="L1447" i="2"/>
  <c r="K1447" i="2" s="1"/>
  <c r="AA1447" i="2"/>
  <c r="AB1447" i="2"/>
  <c r="AB1435" i="2"/>
  <c r="L1435" i="2"/>
  <c r="K1435" i="2" s="1"/>
  <c r="AA1435" i="2"/>
  <c r="AC1435" i="2"/>
  <c r="AD1435" i="2" s="1"/>
  <c r="AB1322" i="2"/>
  <c r="L1322" i="2"/>
  <c r="K1322" i="2" s="1"/>
  <c r="AA1235" i="2"/>
  <c r="L1235" i="2"/>
  <c r="K1235" i="2" s="1"/>
  <c r="AC1235" i="2"/>
  <c r="AD1235" i="2" s="1"/>
  <c r="AC1093" i="2"/>
  <c r="AD1093" i="2" s="1"/>
  <c r="AA1093" i="2"/>
  <c r="AB1093" i="2"/>
  <c r="AC1865" i="2"/>
  <c r="AD1865" i="2" s="1"/>
  <c r="L1865" i="2"/>
  <c r="K1865" i="2" s="1"/>
  <c r="AC1852" i="2"/>
  <c r="AD1852" i="2" s="1"/>
  <c r="AB1852" i="2"/>
  <c r="AB1604" i="2"/>
  <c r="AC1604" i="2"/>
  <c r="AD1604" i="2" s="1"/>
  <c r="AA1569" i="2"/>
  <c r="AC1569" i="2"/>
  <c r="AD1569" i="2" s="1"/>
  <c r="AB1565" i="2"/>
  <c r="AA1565" i="2"/>
  <c r="AC1565" i="2"/>
  <c r="AD1565" i="2" s="1"/>
  <c r="AB1479" i="2"/>
  <c r="AC1479" i="2"/>
  <c r="AD1479" i="2" s="1"/>
  <c r="L1479" i="2"/>
  <c r="K1479" i="2" s="1"/>
  <c r="L1446" i="2"/>
  <c r="K1446" i="2" s="1"/>
  <c r="AA1446" i="2"/>
  <c r="AB1446" i="2"/>
  <c r="AC1446" i="2"/>
  <c r="AD1446" i="2" s="1"/>
  <c r="AC1282" i="2"/>
  <c r="AD1282" i="2" s="1"/>
  <c r="AA1282" i="2"/>
  <c r="AA1271" i="2"/>
  <c r="AB1271" i="2"/>
  <c r="L1093" i="2"/>
  <c r="K1093" i="2" s="1"/>
  <c r="AC2003" i="2"/>
  <c r="AA2003" i="2"/>
  <c r="L1899" i="2"/>
  <c r="K1899" i="2" s="1"/>
  <c r="L1887" i="2"/>
  <c r="K1887" i="2" s="1"/>
  <c r="L1878" i="2"/>
  <c r="K1878" i="2" s="1"/>
  <c r="L1868" i="2"/>
  <c r="K1868" i="2" s="1"/>
  <c r="L1745" i="2"/>
  <c r="K1745" i="2" s="1"/>
  <c r="L1724" i="2"/>
  <c r="K1724" i="2" s="1"/>
  <c r="L1705" i="2"/>
  <c r="K1705" i="2" s="1"/>
  <c r="L1681" i="2"/>
  <c r="K1681" i="2" s="1"/>
  <c r="L1633" i="2"/>
  <c r="K1633" i="2" s="1"/>
  <c r="AC1616" i="2"/>
  <c r="AD1616" i="2" s="1"/>
  <c r="AB1616" i="2"/>
  <c r="L1604" i="2"/>
  <c r="K1604" i="2" s="1"/>
  <c r="AA1504" i="2"/>
  <c r="AB1504" i="2"/>
  <c r="AC1504" i="2"/>
  <c r="AD1504" i="2" s="1"/>
  <c r="L1504" i="2"/>
  <c r="K1504" i="2" s="1"/>
  <c r="AC1285" i="2"/>
  <c r="AD1285" i="2" s="1"/>
  <c r="L1282" i="2"/>
  <c r="K1282" i="2" s="1"/>
  <c r="L1271" i="2"/>
  <c r="K1271" i="2" s="1"/>
  <c r="AB1221" i="2"/>
  <c r="L1221" i="2"/>
  <c r="K1221" i="2" s="1"/>
  <c r="AC1221" i="2"/>
  <c r="AD1221" i="2" s="1"/>
  <c r="AA1007" i="2"/>
  <c r="AC1007" i="2"/>
  <c r="AD1007" i="2" s="1"/>
  <c r="L1007" i="2"/>
  <c r="K1007" i="2" s="1"/>
  <c r="AB925" i="2"/>
  <c r="AA925" i="2"/>
  <c r="AC925" i="2"/>
  <c r="AD925" i="2" s="1"/>
  <c r="AA829" i="2"/>
  <c r="AB829" i="2"/>
  <c r="AC829" i="2"/>
  <c r="AD829" i="2" s="1"/>
  <c r="L829" i="2"/>
  <c r="K829" i="2" s="1"/>
  <c r="AC812" i="2"/>
  <c r="AD812" i="2" s="1"/>
  <c r="AA812" i="2"/>
  <c r="L1115" i="2"/>
  <c r="K1115" i="2" s="1"/>
  <c r="AA1115" i="2"/>
  <c r="AA1079" i="2"/>
  <c r="AC1079" i="2"/>
  <c r="AD1079" i="2" s="1"/>
  <c r="L1079" i="2"/>
  <c r="K1079" i="2" s="1"/>
  <c r="AA1067" i="2"/>
  <c r="AC1067" i="2"/>
  <c r="AD1067" i="2" s="1"/>
  <c r="L1067" i="2"/>
  <c r="K1067" i="2" s="1"/>
  <c r="AC1038" i="2"/>
  <c r="AD1038" i="2" s="1"/>
  <c r="AB1038" i="2"/>
  <c r="AB949" i="2"/>
  <c r="AA949" i="2"/>
  <c r="L945" i="2"/>
  <c r="K945" i="2" s="1"/>
  <c r="AA945" i="2"/>
  <c r="AC921" i="2"/>
  <c r="AD921" i="2" s="1"/>
  <c r="AA921" i="2"/>
  <c r="L897" i="2"/>
  <c r="K897" i="2" s="1"/>
  <c r="AB897" i="2"/>
  <c r="AC1472" i="2"/>
  <c r="AD1472" i="2" s="1"/>
  <c r="AA1472" i="2"/>
  <c r="AB1421" i="2"/>
  <c r="L1421" i="2"/>
  <c r="K1421" i="2" s="1"/>
  <c r="AC1403" i="2"/>
  <c r="AD1403" i="2" s="1"/>
  <c r="AC1379" i="2"/>
  <c r="AD1379" i="2" s="1"/>
  <c r="AC1326" i="2"/>
  <c r="AD1326" i="2" s="1"/>
  <c r="AC1110" i="2"/>
  <c r="AD1110" i="2" s="1"/>
  <c r="AB1110" i="2"/>
  <c r="L1043" i="2"/>
  <c r="AB1043" i="2"/>
  <c r="L1026" i="2"/>
  <c r="K1026" i="2" s="1"/>
  <c r="AA1026" i="2"/>
  <c r="AB1026" i="2"/>
  <c r="AC1026" i="2"/>
  <c r="AD1026" i="2" s="1"/>
  <c r="L977" i="2"/>
  <c r="K977" i="2" s="1"/>
  <c r="AA977" i="2"/>
  <c r="AC960" i="2"/>
  <c r="AD960" i="2" s="1"/>
  <c r="AA960" i="2"/>
  <c r="L949" i="2"/>
  <c r="K949" i="2" s="1"/>
  <c r="L921" i="2"/>
  <c r="K921" i="2" s="1"/>
  <c r="L890" i="2"/>
  <c r="K890" i="2" s="1"/>
  <c r="AB890" i="2"/>
  <c r="L787" i="2"/>
  <c r="K787" i="2" s="1"/>
  <c r="AB787" i="2"/>
  <c r="AA787" i="2"/>
  <c r="L682" i="2"/>
  <c r="K682" i="2" s="1"/>
  <c r="AB682" i="2"/>
  <c r="AA625" i="2"/>
  <c r="L625" i="2"/>
  <c r="K625" i="2" s="1"/>
  <c r="AC625" i="2"/>
  <c r="AD625" i="2" s="1"/>
  <c r="AB549" i="2"/>
  <c r="AA549" i="2"/>
  <c r="AC549" i="2"/>
  <c r="AD549" i="2" s="1"/>
  <c r="L549" i="2"/>
  <c r="K549" i="2" s="1"/>
  <c r="AA517" i="2"/>
  <c r="AC517" i="2"/>
  <c r="AD517" i="2" s="1"/>
  <c r="L517" i="2"/>
  <c r="K517" i="2" s="1"/>
  <c r="AB517" i="2"/>
  <c r="AC1356" i="2"/>
  <c r="AD1356" i="2" s="1"/>
  <c r="AB1356" i="2"/>
  <c r="AA1317" i="2"/>
  <c r="AA1284" i="2"/>
  <c r="L1265" i="2"/>
  <c r="K1265" i="2" s="1"/>
  <c r="AB1265" i="2"/>
  <c r="AA1260" i="2"/>
  <c r="L1240" i="2"/>
  <c r="K1240" i="2" s="1"/>
  <c r="AB1240" i="2"/>
  <c r="AB1229" i="2"/>
  <c r="AA1229" i="2"/>
  <c r="AB1216" i="2"/>
  <c r="AB1188" i="2"/>
  <c r="AB1185" i="2"/>
  <c r="L1185" i="2"/>
  <c r="K1185" i="2" s="1"/>
  <c r="AB1161" i="2"/>
  <c r="AA1161" i="2"/>
  <c r="AA1155" i="2"/>
  <c r="AC1138" i="2"/>
  <c r="AD1138" i="2" s="1"/>
  <c r="L1098" i="2"/>
  <c r="K1098" i="2" s="1"/>
  <c r="AA1098" i="2"/>
  <c r="L1072" i="2"/>
  <c r="K1072" i="2" s="1"/>
  <c r="AC1072" i="2"/>
  <c r="AD1072" i="2" s="1"/>
  <c r="AA1047" i="2"/>
  <c r="AB1047" i="2"/>
  <c r="L1036" i="2"/>
  <c r="K1036" i="2" s="1"/>
  <c r="AC1036" i="2"/>
  <c r="AD1036" i="2" s="1"/>
  <c r="L1024" i="2"/>
  <c r="K1024" i="2" s="1"/>
  <c r="AC1024" i="2"/>
  <c r="AD1024" i="2" s="1"/>
  <c r="AC936" i="2"/>
  <c r="AD936" i="2" s="1"/>
  <c r="L936" i="2"/>
  <c r="K936" i="2" s="1"/>
  <c r="AA871" i="2"/>
  <c r="L871" i="2"/>
  <c r="K871" i="2" s="1"/>
  <c r="AC871" i="2"/>
  <c r="AD871" i="2" s="1"/>
  <c r="AC721" i="2"/>
  <c r="AD721" i="2" s="1"/>
  <c r="L721" i="2"/>
  <c r="K721" i="2" s="1"/>
  <c r="AA721" i="2"/>
  <c r="L666" i="2"/>
  <c r="K666" i="2" s="1"/>
  <c r="AC666" i="2"/>
  <c r="AD666" i="2" s="1"/>
  <c r="AA666" i="2"/>
  <c r="AC554" i="2"/>
  <c r="AD554" i="2" s="1"/>
  <c r="AA554" i="2"/>
  <c r="L554" i="2"/>
  <c r="K554" i="2" s="1"/>
  <c r="AB554" i="2"/>
  <c r="L217" i="2"/>
  <c r="K217" i="2" s="1"/>
  <c r="AC217" i="2"/>
  <c r="AD217" i="2" s="1"/>
  <c r="AA217" i="2"/>
  <c r="AB217" i="2"/>
  <c r="AC1528" i="2"/>
  <c r="AD1528" i="2" s="1"/>
  <c r="AC1525" i="2"/>
  <c r="AD1525" i="2" s="1"/>
  <c r="AC1471" i="2"/>
  <c r="AD1471" i="2" s="1"/>
  <c r="AC1468" i="2"/>
  <c r="AD1468" i="2" s="1"/>
  <c r="L1427" i="2"/>
  <c r="K1427" i="2" s="1"/>
  <c r="L1389" i="2"/>
  <c r="K1389" i="2" s="1"/>
  <c r="L1356" i="2"/>
  <c r="K1356" i="2" s="1"/>
  <c r="L1341" i="2"/>
  <c r="K1341" i="2" s="1"/>
  <c r="L1278" i="2"/>
  <c r="K1278" i="2" s="1"/>
  <c r="AB1278" i="2"/>
  <c r="AC1269" i="2"/>
  <c r="AD1269" i="2" s="1"/>
  <c r="AC1264" i="2"/>
  <c r="AD1264" i="2" s="1"/>
  <c r="AB1245" i="2"/>
  <c r="L1245" i="2"/>
  <c r="K1245" i="2" s="1"/>
  <c r="AC1239" i="2"/>
  <c r="AD1239" i="2" s="1"/>
  <c r="AC1220" i="2"/>
  <c r="AD1220" i="2" s="1"/>
  <c r="AC1210" i="2"/>
  <c r="AD1210" i="2" s="1"/>
  <c r="L1180" i="2"/>
  <c r="K1180" i="2" s="1"/>
  <c r="AB1180" i="2"/>
  <c r="AC1169" i="2"/>
  <c r="AD1169" i="2" s="1"/>
  <c r="AB1097" i="2"/>
  <c r="AC1088" i="2"/>
  <c r="AD1088" i="2" s="1"/>
  <c r="L1088" i="2"/>
  <c r="K1088" i="2" s="1"/>
  <c r="AB1088" i="2"/>
  <c r="L1083" i="2"/>
  <c r="K1083" i="2" s="1"/>
  <c r="AA1083" i="2"/>
  <c r="L1071" i="2"/>
  <c r="K1071" i="2" s="1"/>
  <c r="AA1071" i="2"/>
  <c r="AB1041" i="2"/>
  <c r="AA1041" i="2"/>
  <c r="L1041" i="2"/>
  <c r="K1041" i="2" s="1"/>
  <c r="L958" i="2"/>
  <c r="K958" i="2" s="1"/>
  <c r="AB958" i="2"/>
  <c r="AC912" i="2"/>
  <c r="AD912" i="2" s="1"/>
  <c r="L912" i="2"/>
  <c r="K912" i="2" s="1"/>
  <c r="AA912" i="2"/>
  <c r="L864" i="2"/>
  <c r="K864" i="2" s="1"/>
  <c r="AA864" i="2"/>
  <c r="AB864" i="2"/>
  <c r="AC864" i="2"/>
  <c r="AD864" i="2" s="1"/>
  <c r="AC771" i="2"/>
  <c r="AD771" i="2" s="1"/>
  <c r="AA771" i="2"/>
  <c r="AC754" i="2"/>
  <c r="AD754" i="2" s="1"/>
  <c r="AA754" i="2"/>
  <c r="AB754" i="2"/>
  <c r="L754" i="2"/>
  <c r="K754" i="2" s="1"/>
  <c r="L740" i="2"/>
  <c r="K740" i="2" s="1"/>
  <c r="AA740" i="2"/>
  <c r="AC740" i="2"/>
  <c r="AD740" i="2" s="1"/>
  <c r="AB665" i="2"/>
  <c r="L665" i="2"/>
  <c r="K665" i="2" s="1"/>
  <c r="AC665" i="2"/>
  <c r="AD665" i="2" s="1"/>
  <c r="AA665" i="2"/>
  <c r="AC606" i="2"/>
  <c r="AD606" i="2" s="1"/>
  <c r="AB606" i="2"/>
  <c r="L1581" i="2"/>
  <c r="K1581" i="2" s="1"/>
  <c r="AC1539" i="2"/>
  <c r="AD1539" i="2" s="1"/>
  <c r="AB1528" i="2"/>
  <c r="AB1525" i="2"/>
  <c r="AC1492" i="2"/>
  <c r="AD1492" i="2" s="1"/>
  <c r="AC1488" i="2"/>
  <c r="AD1488" i="2" s="1"/>
  <c r="AA1485" i="2"/>
  <c r="AC1485" i="2"/>
  <c r="AD1485" i="2" s="1"/>
  <c r="AC1464" i="2"/>
  <c r="AD1464" i="2" s="1"/>
  <c r="L1457" i="2"/>
  <c r="K1457" i="2" s="1"/>
  <c r="AB1410" i="2"/>
  <c r="AC1397" i="2"/>
  <c r="AD1397" i="2" s="1"/>
  <c r="L1329" i="2"/>
  <c r="K1329" i="2" s="1"/>
  <c r="AC1319" i="2"/>
  <c r="AD1319" i="2" s="1"/>
  <c r="L1317" i="2"/>
  <c r="K1317" i="2" s="1"/>
  <c r="AB1281" i="2"/>
  <c r="AA1281" i="2"/>
  <c r="AA1269" i="2"/>
  <c r="AB1264" i="2"/>
  <c r="AB1248" i="2"/>
  <c r="AC1224" i="2"/>
  <c r="AD1224" i="2" s="1"/>
  <c r="L1224" i="2"/>
  <c r="K1224" i="2" s="1"/>
  <c r="AB1224" i="2"/>
  <c r="AA1220" i="2"/>
  <c r="AB1210" i="2"/>
  <c r="AC1193" i="2"/>
  <c r="AD1193" i="2" s="1"/>
  <c r="AB1193" i="2"/>
  <c r="AC1188" i="2"/>
  <c r="AD1188" i="2" s="1"/>
  <c r="L1188" i="2"/>
  <c r="K1188" i="2" s="1"/>
  <c r="L1108" i="2"/>
  <c r="K1108" i="2" s="1"/>
  <c r="AC1108" i="2"/>
  <c r="AD1108" i="2" s="1"/>
  <c r="AC1102" i="2"/>
  <c r="AD1102" i="2" s="1"/>
  <c r="L1102" i="2"/>
  <c r="K1102" i="2" s="1"/>
  <c r="AA1102" i="2"/>
  <c r="L1012" i="2"/>
  <c r="K1012" i="2" s="1"/>
  <c r="AB1012" i="2"/>
  <c r="AA974" i="2"/>
  <c r="L974" i="2"/>
  <c r="K974" i="2" s="1"/>
  <c r="AB974" i="2"/>
  <c r="AC974" i="2"/>
  <c r="AD974" i="2" s="1"/>
  <c r="AC964" i="2"/>
  <c r="AD964" i="2" s="1"/>
  <c r="AB952" i="2"/>
  <c r="L893" i="2"/>
  <c r="K893" i="2" s="1"/>
  <c r="AB893" i="2"/>
  <c r="AC730" i="2"/>
  <c r="AD730" i="2" s="1"/>
  <c r="AB730" i="2"/>
  <c r="AB605" i="2"/>
  <c r="AA605" i="2"/>
  <c r="L605" i="2"/>
  <c r="K605" i="2" s="1"/>
  <c r="AC605" i="2"/>
  <c r="AD605" i="2" s="1"/>
  <c r="L1256" i="2"/>
  <c r="K1256" i="2" s="1"/>
  <c r="AA1256" i="2"/>
  <c r="AB1173" i="2"/>
  <c r="AA1173" i="2"/>
  <c r="AB1149" i="2"/>
  <c r="L1149" i="2"/>
  <c r="K1149" i="2" s="1"/>
  <c r="AC1149" i="2"/>
  <c r="AD1149" i="2" s="1"/>
  <c r="AB1137" i="2"/>
  <c r="L1137" i="2"/>
  <c r="K1051" i="2" s="1"/>
  <c r="AC1137" i="2"/>
  <c r="AD1137" i="2" s="1"/>
  <c r="AB1029" i="2"/>
  <c r="AA1029" i="2"/>
  <c r="L1029" i="2"/>
  <c r="K1029" i="2" s="1"/>
  <c r="L1011" i="2"/>
  <c r="K1011" i="2" s="1"/>
  <c r="AA1011" i="2"/>
  <c r="AB1011" i="2"/>
  <c r="AC1011" i="2"/>
  <c r="AD1011" i="2" s="1"/>
  <c r="AB993" i="2"/>
  <c r="AA993" i="2"/>
  <c r="AC957" i="2"/>
  <c r="AD957" i="2" s="1"/>
  <c r="AA957" i="2"/>
  <c r="AC929" i="2"/>
  <c r="AD929" i="2" s="1"/>
  <c r="AA929" i="2"/>
  <c r="AB882" i="2"/>
  <c r="AC882" i="2"/>
  <c r="AD882" i="2" s="1"/>
  <c r="AB1530" i="2"/>
  <c r="AC1519" i="2"/>
  <c r="AD1519" i="2" s="1"/>
  <c r="L1499" i="2"/>
  <c r="K1499" i="2" s="1"/>
  <c r="AA1499" i="2"/>
  <c r="AA1492" i="2"/>
  <c r="AB1459" i="2"/>
  <c r="AC1439" i="2"/>
  <c r="AD1439" i="2" s="1"/>
  <c r="AA1381" i="2"/>
  <c r="AB1381" i="2"/>
  <c r="L1378" i="2"/>
  <c r="K1378" i="2" s="1"/>
  <c r="AB1378" i="2"/>
  <c r="AB1343" i="2"/>
  <c r="AC1306" i="2"/>
  <c r="AD1306" i="2" s="1"/>
  <c r="AB1297" i="2"/>
  <c r="AA1293" i="2"/>
  <c r="L1269" i="2"/>
  <c r="K1269" i="2" s="1"/>
  <c r="AB1259" i="2"/>
  <c r="AC1247" i="2"/>
  <c r="AD1247" i="2" s="1"/>
  <c r="L1244" i="2"/>
  <c r="K1244" i="2" s="1"/>
  <c r="AA1244" i="2"/>
  <c r="AC1237" i="2"/>
  <c r="AD1237" i="2" s="1"/>
  <c r="AB1233" i="2"/>
  <c r="AC1233" i="2"/>
  <c r="AD1233" i="2" s="1"/>
  <c r="AB1223" i="2"/>
  <c r="L1210" i="2"/>
  <c r="K1210" i="2" s="1"/>
  <c r="L1192" i="2"/>
  <c r="K1192" i="2" s="1"/>
  <c r="AB1192" i="2"/>
  <c r="AB1187" i="2"/>
  <c r="L1184" i="2"/>
  <c r="K1184" i="2" s="1"/>
  <c r="AC1184" i="2"/>
  <c r="AD1184" i="2" s="1"/>
  <c r="L1173" i="2"/>
  <c r="K1173" i="2" s="1"/>
  <c r="AB1136" i="2"/>
  <c r="L1136" i="2"/>
  <c r="K1136" i="2" s="1"/>
  <c r="AB1101" i="2"/>
  <c r="AA1101" i="2"/>
  <c r="L993" i="2"/>
  <c r="K993" i="2" s="1"/>
  <c r="AC963" i="2"/>
  <c r="AD963" i="2" s="1"/>
  <c r="AA963" i="2"/>
  <c r="L957" i="2"/>
  <c r="K957" i="2" s="1"/>
  <c r="AC940" i="2"/>
  <c r="AD940" i="2" s="1"/>
  <c r="L929" i="2"/>
  <c r="K929" i="2" s="1"/>
  <c r="AC849" i="2"/>
  <c r="AD849" i="2" s="1"/>
  <c r="AA849" i="2"/>
  <c r="AC833" i="2"/>
  <c r="AD833" i="2" s="1"/>
  <c r="AB758" i="2"/>
  <c r="AA758" i="2"/>
  <c r="AC1538" i="2"/>
  <c r="AD1538" i="2" s="1"/>
  <c r="AC1524" i="2"/>
  <c r="AD1524" i="2" s="1"/>
  <c r="AB1197" i="2"/>
  <c r="L1197" i="2"/>
  <c r="K1197" i="2" s="1"/>
  <c r="L1153" i="2"/>
  <c r="K1153" i="2" s="1"/>
  <c r="AA1153" i="2"/>
  <c r="AC1116" i="2"/>
  <c r="AD1116" i="2" s="1"/>
  <c r="L1116" i="2"/>
  <c r="K1116" i="2" s="1"/>
  <c r="AA1116" i="2"/>
  <c r="AC1080" i="2"/>
  <c r="AD1080" i="2" s="1"/>
  <c r="AA1080" i="2"/>
  <c r="AC1068" i="2"/>
  <c r="AD1068" i="2" s="1"/>
  <c r="L1068" i="2"/>
  <c r="K1068" i="2" s="1"/>
  <c r="AA1068" i="2"/>
  <c r="AA1021" i="2"/>
  <c r="AC1021" i="2"/>
  <c r="AD1021" i="2" s="1"/>
  <c r="L1021" i="2"/>
  <c r="K1021" i="2" s="1"/>
  <c r="L973" i="2"/>
  <c r="K973" i="2" s="1"/>
  <c r="AB973" i="2"/>
  <c r="L969" i="2"/>
  <c r="K969" i="2" s="1"/>
  <c r="AA969" i="2"/>
  <c r="AB969" i="2"/>
  <c r="AC969" i="2"/>
  <c r="AD969" i="2" s="1"/>
  <c r="L746" i="2"/>
  <c r="K746" i="2" s="1"/>
  <c r="AA746" i="2"/>
  <c r="AB746" i="2"/>
  <c r="AC746" i="2"/>
  <c r="AD746" i="2" s="1"/>
  <c r="AB641" i="2"/>
  <c r="AA641" i="2"/>
  <c r="L641" i="2"/>
  <c r="K641" i="2" s="1"/>
  <c r="AC641" i="2"/>
  <c r="AD641" i="2" s="1"/>
  <c r="L366" i="2"/>
  <c r="K366" i="2" s="1"/>
  <c r="AC366" i="2"/>
  <c r="AD366" i="2" s="1"/>
  <c r="L1552" i="2"/>
  <c r="K1552" i="2" s="1"/>
  <c r="L1530" i="2"/>
  <c r="K1530" i="2" s="1"/>
  <c r="AB1524" i="2"/>
  <c r="AA1519" i="2"/>
  <c r="AC1450" i="2"/>
  <c r="AD1450" i="2" s="1"/>
  <c r="AA1450" i="2"/>
  <c r="AB1428" i="2"/>
  <c r="AA1405" i="2"/>
  <c r="L1405" i="2"/>
  <c r="K1405" i="2" s="1"/>
  <c r="L1293" i="2"/>
  <c r="K1293" i="2" s="1"/>
  <c r="AC1280" i="2"/>
  <c r="AD1280" i="2" s="1"/>
  <c r="AB1280" i="2"/>
  <c r="L1259" i="2"/>
  <c r="K1259" i="2" s="1"/>
  <c r="AC1227" i="2"/>
  <c r="AD1227" i="2" s="1"/>
  <c r="AA1227" i="2"/>
  <c r="AB1209" i="2"/>
  <c r="AC1209" i="2"/>
  <c r="AD1209" i="2" s="1"/>
  <c r="L1187" i="2"/>
  <c r="K1187" i="2" s="1"/>
  <c r="L1148" i="2"/>
  <c r="K1148" i="2" s="1"/>
  <c r="AC1148" i="2"/>
  <c r="AD1148" i="2" s="1"/>
  <c r="AC1115" i="2"/>
  <c r="AD1115" i="2" s="1"/>
  <c r="L1080" i="2"/>
  <c r="K1080" i="2" s="1"/>
  <c r="AC1049" i="2"/>
  <c r="AD1049" i="2" s="1"/>
  <c r="L1049" i="2"/>
  <c r="K1049" i="2" s="1"/>
  <c r="AA1049" i="2"/>
  <c r="AC1044" i="2"/>
  <c r="AD1044" i="2" s="1"/>
  <c r="L1044" i="2"/>
  <c r="K1044" i="2" s="1"/>
  <c r="AA1044" i="2"/>
  <c r="AB1044" i="2"/>
  <c r="AA950" i="2"/>
  <c r="AB950" i="2"/>
  <c r="AC945" i="2"/>
  <c r="AD945" i="2" s="1"/>
  <c r="AC897" i="2"/>
  <c r="AD897" i="2" s="1"/>
  <c r="AA860" i="2"/>
  <c r="AB860" i="2"/>
  <c r="AC860" i="2"/>
  <c r="AD860" i="2" s="1"/>
  <c r="L860" i="2"/>
  <c r="K860" i="2" s="1"/>
  <c r="AB745" i="2"/>
  <c r="AA745" i="2"/>
  <c r="AB539" i="2"/>
  <c r="AA539" i="2"/>
  <c r="AC539" i="2"/>
  <c r="AD539" i="2" s="1"/>
  <c r="L539" i="2"/>
  <c r="K539" i="2" s="1"/>
  <c r="L387" i="2"/>
  <c r="K387" i="2" s="1"/>
  <c r="AA387" i="2"/>
  <c r="AC387" i="2"/>
  <c r="AD387" i="2" s="1"/>
  <c r="L1338" i="2"/>
  <c r="K1338" i="2" s="1"/>
  <c r="AA1338" i="2"/>
  <c r="L1306" i="2"/>
  <c r="K1306" i="2" s="1"/>
  <c r="L1280" i="2"/>
  <c r="K1280" i="2" s="1"/>
  <c r="AC1263" i="2"/>
  <c r="AD1263" i="2" s="1"/>
  <c r="AA1263" i="2"/>
  <c r="L1247" i="2"/>
  <c r="K1247" i="2" s="1"/>
  <c r="L1237" i="2"/>
  <c r="K1237" i="2" s="1"/>
  <c r="L1227" i="2"/>
  <c r="K1227" i="2" s="1"/>
  <c r="L1209" i="2"/>
  <c r="K1209" i="2" s="1"/>
  <c r="L1201" i="2"/>
  <c r="K1201" i="2" s="1"/>
  <c r="AA1172" i="2"/>
  <c r="L1172" i="2"/>
  <c r="K1172" i="2" s="1"/>
  <c r="AC1172" i="2"/>
  <c r="AD1172" i="2" s="1"/>
  <c r="AC1167" i="2"/>
  <c r="AD1167" i="2" s="1"/>
  <c r="AC1152" i="2"/>
  <c r="AD1152" i="2" s="1"/>
  <c r="L1152" i="2"/>
  <c r="K1152" i="2" s="1"/>
  <c r="AB1152" i="2"/>
  <c r="AB1125" i="2"/>
  <c r="AA1125" i="2"/>
  <c r="L1120" i="2"/>
  <c r="K1120" i="2" s="1"/>
  <c r="AB1120" i="2"/>
  <c r="AB1115" i="2"/>
  <c r="L1085" i="2"/>
  <c r="K1085" i="2" s="1"/>
  <c r="AA1085" i="2"/>
  <c r="AB1079" i="2"/>
  <c r="AB1067" i="2"/>
  <c r="AC1009" i="2"/>
  <c r="AD1009" i="2" s="1"/>
  <c r="L1009" i="2"/>
  <c r="K1009" i="2" s="1"/>
  <c r="AB1009" i="2"/>
  <c r="AC984" i="2"/>
  <c r="AD984" i="2" s="1"/>
  <c r="AA984" i="2"/>
  <c r="L984" i="2"/>
  <c r="K984" i="2" s="1"/>
  <c r="AC949" i="2"/>
  <c r="AD949" i="2" s="1"/>
  <c r="AB945" i="2"/>
  <c r="AB921" i="2"/>
  <c r="AB916" i="2"/>
  <c r="AC916" i="2"/>
  <c r="AD916" i="2" s="1"/>
  <c r="AA897" i="2"/>
  <c r="L824" i="2"/>
  <c r="K824" i="2" s="1"/>
  <c r="AB824" i="2"/>
  <c r="AC482" i="2"/>
  <c r="AD482" i="2" s="1"/>
  <c r="AA482" i="2"/>
  <c r="AB482" i="2"/>
  <c r="L482" i="2"/>
  <c r="K482" i="2" s="1"/>
  <c r="AA463" i="2"/>
  <c r="AB463" i="2"/>
  <c r="AC463" i="2"/>
  <c r="AD463" i="2" s="1"/>
  <c r="L463" i="2"/>
  <c r="K463" i="2" s="1"/>
  <c r="AA863" i="2"/>
  <c r="AB863" i="2"/>
  <c r="AC817" i="2"/>
  <c r="AD817" i="2" s="1"/>
  <c r="AB817" i="2"/>
  <c r="AA782" i="2"/>
  <c r="AB782" i="2"/>
  <c r="AB757" i="2"/>
  <c r="AB726" i="2"/>
  <c r="L726" i="2"/>
  <c r="K726" i="2" s="1"/>
  <c r="AA726" i="2"/>
  <c r="L716" i="2"/>
  <c r="K716" i="2" s="1"/>
  <c r="AC716" i="2"/>
  <c r="AD716" i="2" s="1"/>
  <c r="AA693" i="2"/>
  <c r="AB693" i="2"/>
  <c r="AC669" i="2"/>
  <c r="AD669" i="2" s="1"/>
  <c r="L616" i="2"/>
  <c r="K616" i="2" s="1"/>
  <c r="AC616" i="2"/>
  <c r="AD616" i="2" s="1"/>
  <c r="AB616" i="2"/>
  <c r="AC553" i="2"/>
  <c r="AD553" i="2" s="1"/>
  <c r="AA124" i="2"/>
  <c r="AB124" i="2"/>
  <c r="AC124" i="2"/>
  <c r="AD124" i="2" s="1"/>
  <c r="L124" i="2"/>
  <c r="K124" i="2" s="1"/>
  <c r="L791" i="2"/>
  <c r="K791" i="2" s="1"/>
  <c r="AB791" i="2"/>
  <c r="L770" i="2"/>
  <c r="K770" i="2" s="1"/>
  <c r="AA770" i="2"/>
  <c r="L697" i="2"/>
  <c r="K697" i="2" s="1"/>
  <c r="AB697" i="2"/>
  <c r="L635" i="2"/>
  <c r="K635" i="2" s="1"/>
  <c r="AB635" i="2"/>
  <c r="AC568" i="2"/>
  <c r="AD568" i="2" s="1"/>
  <c r="AA568" i="2"/>
  <c r="L568" i="2"/>
  <c r="K568" i="2" s="1"/>
  <c r="AB562" i="2"/>
  <c r="AA562" i="2"/>
  <c r="AC562" i="2"/>
  <c r="AD562" i="2" s="1"/>
  <c r="L562" i="2"/>
  <c r="K562" i="2" s="1"/>
  <c r="AB538" i="2"/>
  <c r="AC538" i="2"/>
  <c r="AD538" i="2" s="1"/>
  <c r="L504" i="2"/>
  <c r="K504" i="2" s="1"/>
  <c r="AC504" i="2"/>
  <c r="AD504" i="2" s="1"/>
  <c r="AA504" i="2"/>
  <c r="L487" i="2"/>
  <c r="K487" i="2" s="1"/>
  <c r="AC487" i="2"/>
  <c r="AD487" i="2" s="1"/>
  <c r="AA474" i="2"/>
  <c r="AB474" i="2"/>
  <c r="L474" i="2"/>
  <c r="K474" i="2" s="1"/>
  <c r="L439" i="2"/>
  <c r="K439" i="2" s="1"/>
  <c r="AC439" i="2"/>
  <c r="AD439" i="2" s="1"/>
  <c r="AA439" i="2"/>
  <c r="AB439" i="2"/>
  <c r="AB421" i="2"/>
  <c r="L421" i="2"/>
  <c r="K421" i="2" s="1"/>
  <c r="AC421" i="2"/>
  <c r="AD421" i="2" s="1"/>
  <c r="AA129" i="2"/>
  <c r="AB129" i="2"/>
  <c r="AC1144" i="2"/>
  <c r="AD1144" i="2" s="1"/>
  <c r="AC1096" i="2"/>
  <c r="AD1096" i="2" s="1"/>
  <c r="AC1077" i="2"/>
  <c r="AD1077" i="2" s="1"/>
  <c r="AC1040" i="2"/>
  <c r="AD1040" i="2" s="1"/>
  <c r="AC1019" i="2"/>
  <c r="AD1019" i="2" s="1"/>
  <c r="AC975" i="2"/>
  <c r="AD975" i="2" s="1"/>
  <c r="AC959" i="2"/>
  <c r="AD959" i="2" s="1"/>
  <c r="AC942" i="2"/>
  <c r="AD942" i="2" s="1"/>
  <c r="AA939" i="2"/>
  <c r="AB928" i="2"/>
  <c r="AB873" i="2"/>
  <c r="AA873" i="2"/>
  <c r="AC866" i="2"/>
  <c r="AD866" i="2" s="1"/>
  <c r="AA828" i="2"/>
  <c r="L828" i="2"/>
  <c r="K828" i="2" s="1"/>
  <c r="AC811" i="2"/>
  <c r="AD811" i="2" s="1"/>
  <c r="AB781" i="2"/>
  <c r="L778" i="2"/>
  <c r="K778" i="2" s="1"/>
  <c r="AC761" i="2"/>
  <c r="AD761" i="2" s="1"/>
  <c r="L757" i="2"/>
  <c r="K757" i="2" s="1"/>
  <c r="AA744" i="2"/>
  <c r="L744" i="2"/>
  <c r="K744" i="2" s="1"/>
  <c r="AC744" i="2"/>
  <c r="AD744" i="2" s="1"/>
  <c r="AC739" i="2"/>
  <c r="AD739" i="2" s="1"/>
  <c r="AC733" i="2"/>
  <c r="AD733" i="2" s="1"/>
  <c r="AC705" i="2"/>
  <c r="AD705" i="2" s="1"/>
  <c r="AA705" i="2"/>
  <c r="L687" i="2"/>
  <c r="K687" i="2" s="1"/>
  <c r="AA687" i="2"/>
  <c r="AC678" i="2"/>
  <c r="AD678" i="2" s="1"/>
  <c r="AB678" i="2"/>
  <c r="L669" i="2"/>
  <c r="K669" i="2" s="1"/>
  <c r="AC649" i="2"/>
  <c r="AD649" i="2" s="1"/>
  <c r="L649" i="2"/>
  <c r="K649" i="2" s="1"/>
  <c r="AA649" i="2"/>
  <c r="AB618" i="2"/>
  <c r="L538" i="2"/>
  <c r="K538" i="2" s="1"/>
  <c r="L509" i="2"/>
  <c r="K509" i="2" s="1"/>
  <c r="AB509" i="2"/>
  <c r="AA509" i="2"/>
  <c r="L493" i="2"/>
  <c r="K493" i="2" s="1"/>
  <c r="AC493" i="2"/>
  <c r="AD493" i="2" s="1"/>
  <c r="L370" i="2"/>
  <c r="K370" i="2" s="1"/>
  <c r="AA370" i="2"/>
  <c r="AC370" i="2"/>
  <c r="AD370" i="2" s="1"/>
  <c r="L320" i="2"/>
  <c r="K320" i="2" s="1"/>
  <c r="AA320" i="2"/>
  <c r="AC320" i="2"/>
  <c r="AD320" i="2" s="1"/>
  <c r="AB320" i="2"/>
  <c r="L129" i="2"/>
  <c r="K129" i="2" s="1"/>
  <c r="AC907" i="2"/>
  <c r="AD907" i="2" s="1"/>
  <c r="AC884" i="2"/>
  <c r="AD884" i="2" s="1"/>
  <c r="AA884" i="2"/>
  <c r="L873" i="2"/>
  <c r="K873" i="2" s="1"/>
  <c r="AA866" i="2"/>
  <c r="AC861" i="2"/>
  <c r="AD861" i="2" s="1"/>
  <c r="L856" i="2"/>
  <c r="K856" i="2" s="1"/>
  <c r="AB851" i="2"/>
  <c r="AC823" i="2"/>
  <c r="AD823" i="2" s="1"/>
  <c r="AB811" i="2"/>
  <c r="AB789" i="2"/>
  <c r="AC785" i="2"/>
  <c r="AD785" i="2" s="1"/>
  <c r="AA781" i="2"/>
  <c r="AA769" i="2"/>
  <c r="AA761" i="2"/>
  <c r="AC743" i="2"/>
  <c r="AD743" i="2" s="1"/>
  <c r="AB739" i="2"/>
  <c r="AB728" i="2"/>
  <c r="AA728" i="2"/>
  <c r="L724" i="2"/>
  <c r="K724" i="2" s="1"/>
  <c r="AC724" i="2"/>
  <c r="AD724" i="2" s="1"/>
  <c r="L705" i="2"/>
  <c r="K705" i="2" s="1"/>
  <c r="AA668" i="2"/>
  <c r="L657" i="2"/>
  <c r="K657" i="2" s="1"/>
  <c r="L654" i="2"/>
  <c r="K654" i="2" s="1"/>
  <c r="AC633" i="2"/>
  <c r="AD633" i="2" s="1"/>
  <c r="AB621" i="2"/>
  <c r="AA618" i="2"/>
  <c r="AB567" i="2"/>
  <c r="AC557" i="2"/>
  <c r="AD557" i="2" s="1"/>
  <c r="AA521" i="2"/>
  <c r="AC503" i="2"/>
  <c r="AD503" i="2" s="1"/>
  <c r="AA492" i="2"/>
  <c r="AB492" i="2"/>
  <c r="AC492" i="2"/>
  <c r="AD492" i="2" s="1"/>
  <c r="L492" i="2"/>
  <c r="K492" i="2" s="1"/>
  <c r="AA456" i="2"/>
  <c r="AB456" i="2"/>
  <c r="L456" i="2"/>
  <c r="K456" i="2" s="1"/>
  <c r="AB419" i="2"/>
  <c r="AA419" i="2"/>
  <c r="AC419" i="2"/>
  <c r="AD419" i="2" s="1"/>
  <c r="L419" i="2"/>
  <c r="K419" i="2" s="1"/>
  <c r="L385" i="2"/>
  <c r="K385" i="2" s="1"/>
  <c r="AA385" i="2"/>
  <c r="AB385" i="2"/>
  <c r="AC385" i="2"/>
  <c r="AD385" i="2" s="1"/>
  <c r="L336" i="2"/>
  <c r="K336" i="2" s="1"/>
  <c r="AB336" i="2"/>
  <c r="AA1065" i="2"/>
  <c r="AC1060" i="2"/>
  <c r="AD1060" i="2" s="1"/>
  <c r="AA1053" i="2"/>
  <c r="AC1042" i="2"/>
  <c r="AD1042" i="2" s="1"/>
  <c r="AC1030" i="2"/>
  <c r="AD1030" i="2" s="1"/>
  <c r="AA1019" i="2"/>
  <c r="AA1008" i="2"/>
  <c r="AA1005" i="2"/>
  <c r="AB995" i="2"/>
  <c r="AA990" i="2"/>
  <c r="AB985" i="2"/>
  <c r="AA978" i="2"/>
  <c r="AA975" i="2"/>
  <c r="AA972" i="2"/>
  <c r="AB966" i="2"/>
  <c r="AA959" i="2"/>
  <c r="AA942" i="2"/>
  <c r="L939" i="2"/>
  <c r="K939" i="2" s="1"/>
  <c r="AB934" i="2"/>
  <c r="AB896" i="2"/>
  <c r="AA861" i="2"/>
  <c r="AA858" i="2"/>
  <c r="AA851" i="2"/>
  <c r="AA811" i="2"/>
  <c r="AA747" i="2"/>
  <c r="L733" i="2"/>
  <c r="K733" i="2" s="1"/>
  <c r="AA733" i="2"/>
  <c r="AC714" i="2"/>
  <c r="AD714" i="2" s="1"/>
  <c r="L714" i="2"/>
  <c r="K714" i="2" s="1"/>
  <c r="AB677" i="2"/>
  <c r="AC677" i="2"/>
  <c r="AD677" i="2" s="1"/>
  <c r="AB663" i="2"/>
  <c r="AC663" i="2"/>
  <c r="AD663" i="2" s="1"/>
  <c r="L663" i="2"/>
  <c r="K663" i="2" s="1"/>
  <c r="AB633" i="2"/>
  <c r="AB515" i="2"/>
  <c r="AC515" i="2"/>
  <c r="AD515" i="2" s="1"/>
  <c r="AA498" i="2"/>
  <c r="AB498" i="2"/>
  <c r="L498" i="2"/>
  <c r="K498" i="2" s="1"/>
  <c r="AB373" i="2"/>
  <c r="AA373" i="2"/>
  <c r="AC373" i="2"/>
  <c r="AD373" i="2" s="1"/>
  <c r="L373" i="2"/>
  <c r="K373" i="2" s="1"/>
  <c r="AB359" i="2"/>
  <c r="L359" i="2"/>
  <c r="K359" i="2" s="1"/>
  <c r="AA359" i="2"/>
  <c r="AC150" i="2"/>
  <c r="AD150" i="2" s="1"/>
  <c r="AA150" i="2"/>
  <c r="AB150" i="2"/>
  <c r="L150" i="2"/>
  <c r="K150" i="2" s="1"/>
  <c r="AB1060" i="2"/>
  <c r="AA966" i="2"/>
  <c r="AA954" i="2"/>
  <c r="AC798" i="2"/>
  <c r="AD798" i="2" s="1"/>
  <c r="AA798" i="2"/>
  <c r="AB719" i="2"/>
  <c r="AB700" i="2"/>
  <c r="L691" i="2"/>
  <c r="K691" i="2" s="1"/>
  <c r="AA691" i="2"/>
  <c r="L677" i="2"/>
  <c r="K677" i="2" s="1"/>
  <c r="AC621" i="2"/>
  <c r="AD621" i="2" s="1"/>
  <c r="L621" i="2"/>
  <c r="K621" i="2" s="1"/>
  <c r="AB591" i="2"/>
  <c r="AA591" i="2"/>
  <c r="AC578" i="2"/>
  <c r="AD578" i="2" s="1"/>
  <c r="AA578" i="2"/>
  <c r="AB578" i="2"/>
  <c r="AB573" i="2"/>
  <c r="AC573" i="2"/>
  <c r="AD573" i="2" s="1"/>
  <c r="AB566" i="2"/>
  <c r="AC566" i="2"/>
  <c r="AD566" i="2" s="1"/>
  <c r="AB431" i="2"/>
  <c r="AA431" i="2"/>
  <c r="AC431" i="2"/>
  <c r="AD431" i="2" s="1"/>
  <c r="L431" i="2"/>
  <c r="K431" i="2" s="1"/>
  <c r="L1065" i="2"/>
  <c r="K1065" i="2" s="1"/>
  <c r="L1053" i="2"/>
  <c r="L1008" i="2"/>
  <c r="K1008" i="2" s="1"/>
  <c r="L1005" i="2"/>
  <c r="K1005" i="2" s="1"/>
  <c r="AA895" i="2"/>
  <c r="AB895" i="2"/>
  <c r="L851" i="2"/>
  <c r="K851" i="2" s="1"/>
  <c r="L798" i="2"/>
  <c r="K798" i="2" s="1"/>
  <c r="L789" i="2"/>
  <c r="K789" i="2" s="1"/>
  <c r="AB776" i="2"/>
  <c r="L776" i="2"/>
  <c r="K776" i="2" s="1"/>
  <c r="AC776" i="2"/>
  <c r="AD776" i="2" s="1"/>
  <c r="L773" i="2"/>
  <c r="K773" i="2" s="1"/>
  <c r="L633" i="2"/>
  <c r="K633" i="2" s="1"/>
  <c r="AB545" i="2"/>
  <c r="AA545" i="2"/>
  <c r="AB514" i="2"/>
  <c r="AA514" i="2"/>
  <c r="AC502" i="2"/>
  <c r="AD502" i="2" s="1"/>
  <c r="AA502" i="2"/>
  <c r="L502" i="2"/>
  <c r="K502" i="2" s="1"/>
  <c r="L490" i="2"/>
  <c r="K490" i="2" s="1"/>
  <c r="AC490" i="2"/>
  <c r="AD490" i="2" s="1"/>
  <c r="AB490" i="2"/>
  <c r="AB443" i="2"/>
  <c r="AA443" i="2"/>
  <c r="L425" i="2"/>
  <c r="K425" i="2" s="1"/>
  <c r="AA425" i="2"/>
  <c r="AC425" i="2"/>
  <c r="AD425" i="2" s="1"/>
  <c r="L391" i="2"/>
  <c r="K391" i="2" s="1"/>
  <c r="AB391" i="2"/>
  <c r="L109" i="2"/>
  <c r="K109" i="2" s="1"/>
  <c r="AC109" i="2"/>
  <c r="AD109" i="2" s="1"/>
  <c r="AA109" i="2"/>
  <c r="AB109" i="2"/>
  <c r="AC1076" i="2"/>
  <c r="AD1076" i="2" s="1"/>
  <c r="AC1004" i="2"/>
  <c r="AD1004" i="2" s="1"/>
  <c r="AB961" i="2"/>
  <c r="AA941" i="2"/>
  <c r="AC926" i="2"/>
  <c r="AD926" i="2" s="1"/>
  <c r="AC898" i="2"/>
  <c r="AD898" i="2" s="1"/>
  <c r="L895" i="2"/>
  <c r="K895" i="2" s="1"/>
  <c r="L892" i="2"/>
  <c r="K892" i="2" s="1"/>
  <c r="AB876" i="2"/>
  <c r="AB869" i="2"/>
  <c r="AC857" i="2"/>
  <c r="AD857" i="2" s="1"/>
  <c r="AA850" i="2"/>
  <c r="AB850" i="2"/>
  <c r="L845" i="2"/>
  <c r="K845" i="2" s="1"/>
  <c r="AC840" i="2"/>
  <c r="AD840" i="2" s="1"/>
  <c r="L835" i="2"/>
  <c r="K835" i="2" s="1"/>
  <c r="AC818" i="2"/>
  <c r="AD818" i="2" s="1"/>
  <c r="AC788" i="2"/>
  <c r="AD788" i="2" s="1"/>
  <c r="AB763" i="2"/>
  <c r="AB751" i="2"/>
  <c r="AC741" i="2"/>
  <c r="AD741" i="2" s="1"/>
  <c r="AB731" i="2"/>
  <c r="AA707" i="2"/>
  <c r="L695" i="2"/>
  <c r="K695" i="2" s="1"/>
  <c r="AC690" i="2"/>
  <c r="AD690" i="2" s="1"/>
  <c r="L690" i="2"/>
  <c r="K690" i="2" s="1"/>
  <c r="AA680" i="2"/>
  <c r="AC581" i="2"/>
  <c r="AD581" i="2" s="1"/>
  <c r="L556" i="2"/>
  <c r="K556" i="2" s="1"/>
  <c r="AA556" i="2"/>
  <c r="L534" i="2"/>
  <c r="K534" i="2" s="1"/>
  <c r="AC534" i="2"/>
  <c r="AD534" i="2" s="1"/>
  <c r="AC525" i="2"/>
  <c r="AD525" i="2" s="1"/>
  <c r="AC520" i="2"/>
  <c r="AD520" i="2" s="1"/>
  <c r="AA520" i="2"/>
  <c r="AB520" i="2"/>
  <c r="L520" i="2"/>
  <c r="K520" i="2" s="1"/>
  <c r="L514" i="2"/>
  <c r="K514" i="2" s="1"/>
  <c r="L466" i="2"/>
  <c r="K466" i="2" s="1"/>
  <c r="AB466" i="2"/>
  <c r="L443" i="2"/>
  <c r="K443" i="2" s="1"/>
  <c r="AB383" i="2"/>
  <c r="L383" i="2"/>
  <c r="K383" i="2" s="1"/>
  <c r="AC383" i="2"/>
  <c r="AD383" i="2" s="1"/>
  <c r="L351" i="2"/>
  <c r="K351" i="2" s="1"/>
  <c r="AB351" i="2"/>
  <c r="AA351" i="2"/>
  <c r="AC351" i="2"/>
  <c r="AD351" i="2" s="1"/>
  <c r="L330" i="2"/>
  <c r="K330" i="2" s="1"/>
  <c r="AC330" i="2"/>
  <c r="AD330" i="2" s="1"/>
  <c r="AA269" i="2"/>
  <c r="L269" i="2"/>
  <c r="K269" i="2" s="1"/>
  <c r="AA876" i="2"/>
  <c r="AB857" i="2"/>
  <c r="AA853" i="2"/>
  <c r="AB853" i="2"/>
  <c r="AA840" i="2"/>
  <c r="AC834" i="2"/>
  <c r="AD834" i="2" s="1"/>
  <c r="AB809" i="2"/>
  <c r="AA809" i="2"/>
  <c r="AA796" i="2"/>
  <c r="AA780" i="2"/>
  <c r="L780" i="2"/>
  <c r="K780" i="2" s="1"/>
  <c r="AC780" i="2"/>
  <c r="AD780" i="2" s="1"/>
  <c r="AA763" i="2"/>
  <c r="AC717" i="2"/>
  <c r="AD717" i="2" s="1"/>
  <c r="AB717" i="2"/>
  <c r="AB699" i="2"/>
  <c r="L699" i="2"/>
  <c r="K699" i="2" s="1"/>
  <c r="AC699" i="2"/>
  <c r="AD699" i="2" s="1"/>
  <c r="L694" i="2"/>
  <c r="K694" i="2" s="1"/>
  <c r="AB694" i="2"/>
  <c r="L652" i="2"/>
  <c r="K652" i="2" s="1"/>
  <c r="AA652" i="2"/>
  <c r="AB652" i="2"/>
  <c r="L585" i="2"/>
  <c r="K585" i="2" s="1"/>
  <c r="AC585" i="2"/>
  <c r="AD585" i="2" s="1"/>
  <c r="AA581" i="2"/>
  <c r="AC529" i="2"/>
  <c r="AD529" i="2" s="1"/>
  <c r="AC430" i="2"/>
  <c r="AD430" i="2" s="1"/>
  <c r="AB430" i="2"/>
  <c r="AA190" i="2"/>
  <c r="AB190" i="2"/>
  <c r="AC190" i="2"/>
  <c r="AD190" i="2" s="1"/>
  <c r="L190" i="2"/>
  <c r="K190" i="2" s="1"/>
  <c r="L818" i="2"/>
  <c r="K818" i="2" s="1"/>
  <c r="AA818" i="2"/>
  <c r="L783" i="2"/>
  <c r="K783" i="2" s="1"/>
  <c r="AA783" i="2"/>
  <c r="L741" i="2"/>
  <c r="K741" i="2" s="1"/>
  <c r="AA741" i="2"/>
  <c r="AB689" i="2"/>
  <c r="AA689" i="2"/>
  <c r="AC637" i="2"/>
  <c r="AD637" i="2" s="1"/>
  <c r="AB637" i="2"/>
  <c r="AA631" i="2"/>
  <c r="AC631" i="2"/>
  <c r="AD631" i="2" s="1"/>
  <c r="AB525" i="2"/>
  <c r="L525" i="2"/>
  <c r="K525" i="2" s="1"/>
  <c r="L488" i="2"/>
  <c r="K488" i="2" s="1"/>
  <c r="AC488" i="2"/>
  <c r="AD488" i="2" s="1"/>
  <c r="AA488" i="2"/>
  <c r="AB470" i="2"/>
  <c r="AA470" i="2"/>
  <c r="L465" i="2"/>
  <c r="K465" i="2" s="1"/>
  <c r="AA465" i="2"/>
  <c r="L447" i="2"/>
  <c r="K447" i="2" s="1"/>
  <c r="AA447" i="2"/>
  <c r="AA389" i="2"/>
  <c r="AB389" i="2"/>
  <c r="AC389" i="2"/>
  <c r="AD389" i="2" s="1"/>
  <c r="L389" i="2"/>
  <c r="K389" i="2" s="1"/>
  <c r="AB276" i="2"/>
  <c r="AA276" i="2"/>
  <c r="AB13" i="2"/>
  <c r="AC13" i="2"/>
  <c r="AD13" i="2" s="1"/>
  <c r="AC613" i="2"/>
  <c r="AD613" i="2" s="1"/>
  <c r="AA613" i="2"/>
  <c r="AA486" i="2"/>
  <c r="AB486" i="2"/>
  <c r="AC486" i="2"/>
  <c r="AD486" i="2" s="1"/>
  <c r="L486" i="2"/>
  <c r="K486" i="2" s="1"/>
  <c r="L452" i="2"/>
  <c r="K452" i="2" s="1"/>
  <c r="AC452" i="2"/>
  <c r="AD452" i="2" s="1"/>
  <c r="AA452" i="2"/>
  <c r="AC394" i="2"/>
  <c r="AD394" i="2" s="1"/>
  <c r="AA394" i="2"/>
  <c r="AA382" i="2"/>
  <c r="AB382" i="2"/>
  <c r="AC382" i="2"/>
  <c r="AD382" i="2" s="1"/>
  <c r="L382" i="2"/>
  <c r="K382" i="2" s="1"/>
  <c r="L372" i="2"/>
  <c r="K372" i="2" s="1"/>
  <c r="AB372" i="2"/>
  <c r="L310" i="2"/>
  <c r="K310" i="2" s="1"/>
  <c r="AB310" i="2"/>
  <c r="AC310" i="2"/>
  <c r="AD310" i="2" s="1"/>
  <c r="L251" i="2"/>
  <c r="K251" i="2" s="1"/>
  <c r="AB251" i="2"/>
  <c r="AA251" i="2"/>
  <c r="AA198" i="2"/>
  <c r="L198" i="2"/>
  <c r="K198" i="2" s="1"/>
  <c r="AC198" i="2"/>
  <c r="AD198" i="2" s="1"/>
  <c r="AA134" i="2"/>
  <c r="AA82" i="2"/>
  <c r="AB82" i="2"/>
  <c r="AA280" i="2"/>
  <c r="AB280" i="2"/>
  <c r="L280" i="2"/>
  <c r="K280" i="2" s="1"/>
  <c r="L117" i="2"/>
  <c r="K117" i="2" s="1"/>
  <c r="AC117" i="2"/>
  <c r="AD117" i="2" s="1"/>
  <c r="AA117" i="2"/>
  <c r="AC113" i="2"/>
  <c r="AD113" i="2" s="1"/>
  <c r="AA113" i="2"/>
  <c r="L113" i="2"/>
  <c r="K113" i="2" s="1"/>
  <c r="AC576" i="2"/>
  <c r="AD576" i="2" s="1"/>
  <c r="AB576" i="2"/>
  <c r="AB501" i="2"/>
  <c r="AC501" i="2"/>
  <c r="AD501" i="2" s="1"/>
  <c r="AC409" i="2"/>
  <c r="AD409" i="2" s="1"/>
  <c r="AA409" i="2"/>
  <c r="L361" i="2"/>
  <c r="K361" i="2" s="1"/>
  <c r="AB361" i="2"/>
  <c r="AB335" i="2"/>
  <c r="L335" i="2"/>
  <c r="K335" i="2" s="1"/>
  <c r="AC335" i="2"/>
  <c r="AD335" i="2" s="1"/>
  <c r="AC259" i="2"/>
  <c r="AD259" i="2" s="1"/>
  <c r="AC89" i="2"/>
  <c r="AD89" i="2" s="1"/>
  <c r="AA313" i="2"/>
  <c r="AB313" i="2"/>
  <c r="AC313" i="2"/>
  <c r="AD313" i="2" s="1"/>
  <c r="L313" i="2"/>
  <c r="K313" i="2" s="1"/>
  <c r="AB303" i="2"/>
  <c r="AC279" i="2"/>
  <c r="AD279" i="2" s="1"/>
  <c r="AA279" i="2"/>
  <c r="L279" i="2"/>
  <c r="K279" i="2" s="1"/>
  <c r="AC229" i="2"/>
  <c r="AD229" i="2" s="1"/>
  <c r="AA229" i="2"/>
  <c r="L229" i="2"/>
  <c r="K229" i="2" s="1"/>
  <c r="AC221" i="2"/>
  <c r="AD221" i="2" s="1"/>
  <c r="AB221" i="2"/>
  <c r="AC207" i="2"/>
  <c r="AD207" i="2" s="1"/>
  <c r="AB89" i="2"/>
  <c r="AC44" i="2"/>
  <c r="AD44" i="2" s="1"/>
  <c r="L44" i="2"/>
  <c r="K44" i="2" s="1"/>
  <c r="AA44" i="2"/>
  <c r="AB44" i="2"/>
  <c r="L259" i="2"/>
  <c r="K259" i="2" s="1"/>
  <c r="AB259" i="2"/>
  <c r="AC167" i="2"/>
  <c r="AD167" i="2" s="1"/>
  <c r="L167" i="2"/>
  <c r="K167" i="2" s="1"/>
  <c r="AB167" i="2"/>
  <c r="L73" i="2"/>
  <c r="K73" i="2" s="1"/>
  <c r="AC73" i="2"/>
  <c r="AD73" i="2" s="1"/>
  <c r="AA73" i="2"/>
  <c r="L599" i="2"/>
  <c r="K599" i="2" s="1"/>
  <c r="AB599" i="2"/>
  <c r="AC530" i="2"/>
  <c r="AD530" i="2" s="1"/>
  <c r="L530" i="2"/>
  <c r="K530" i="2" s="1"/>
  <c r="L433" i="2"/>
  <c r="K433" i="2" s="1"/>
  <c r="AB433" i="2"/>
  <c r="L413" i="2"/>
  <c r="K413" i="2" s="1"/>
  <c r="AA413" i="2"/>
  <c r="L344" i="2"/>
  <c r="K344" i="2" s="1"/>
  <c r="AA344" i="2"/>
  <c r="AB238" i="2"/>
  <c r="AA238" i="2"/>
  <c r="AC238" i="2"/>
  <c r="AD238" i="2" s="1"/>
  <c r="L238" i="2"/>
  <c r="K238" i="2" s="1"/>
  <c r="AA159" i="2"/>
  <c r="L89" i="2"/>
  <c r="K89" i="2" s="1"/>
  <c r="L349" i="2"/>
  <c r="K349" i="2" s="1"/>
  <c r="AA349" i="2"/>
  <c r="AB349" i="2"/>
  <c r="AC349" i="2"/>
  <c r="AD349" i="2" s="1"/>
  <c r="L264" i="2"/>
  <c r="K264" i="2" s="1"/>
  <c r="AB264" i="2"/>
  <c r="AA166" i="2"/>
  <c r="AB166" i="2"/>
  <c r="L166" i="2"/>
  <c r="K166" i="2" s="1"/>
  <c r="L131" i="2"/>
  <c r="K131" i="2" s="1"/>
  <c r="AC131" i="2"/>
  <c r="AD131" i="2" s="1"/>
  <c r="AA105" i="2"/>
  <c r="AB105" i="2"/>
  <c r="AC105" i="2"/>
  <c r="AD105" i="2" s="1"/>
  <c r="L105" i="2"/>
  <c r="K105" i="2" s="1"/>
  <c r="L356" i="2"/>
  <c r="K356" i="2" s="1"/>
  <c r="AA356" i="2"/>
  <c r="AB356" i="2"/>
  <c r="AC348" i="2"/>
  <c r="AD348" i="2" s="1"/>
  <c r="AA348" i="2"/>
  <c r="AB348" i="2"/>
  <c r="AC29" i="2"/>
  <c r="AD29" i="2" s="1"/>
  <c r="AA29" i="2"/>
  <c r="AB29" i="2"/>
  <c r="L29" i="2"/>
  <c r="K29" i="2" s="1"/>
  <c r="AC476" i="2"/>
  <c r="AD476" i="2" s="1"/>
  <c r="AC270" i="2"/>
  <c r="AD270" i="2" s="1"/>
  <c r="L224" i="2"/>
  <c r="K224" i="2" s="1"/>
  <c r="AA224" i="2"/>
  <c r="AC185" i="2"/>
  <c r="AD185" i="2" s="1"/>
  <c r="L185" i="2"/>
  <c r="K185" i="2" s="1"/>
  <c r="AA164" i="2"/>
  <c r="AB164" i="2"/>
  <c r="L164" i="2"/>
  <c r="K164" i="2" s="1"/>
  <c r="AB87" i="2"/>
  <c r="AC87" i="2"/>
  <c r="AD87" i="2" s="1"/>
  <c r="AB16" i="2"/>
  <c r="AC473" i="2"/>
  <c r="AD473" i="2" s="1"/>
  <c r="AC397" i="2"/>
  <c r="AD397" i="2" s="1"/>
  <c r="L308" i="2"/>
  <c r="K308" i="2" s="1"/>
  <c r="AB308" i="2"/>
  <c r="L283" i="2"/>
  <c r="K283" i="2" s="1"/>
  <c r="AA283" i="2"/>
  <c r="AC175" i="2"/>
  <c r="AD175" i="2" s="1"/>
  <c r="L171" i="2"/>
  <c r="K171" i="2" s="1"/>
  <c r="AC171" i="2"/>
  <c r="AD171" i="2" s="1"/>
  <c r="AA153" i="2"/>
  <c r="AB153" i="2"/>
  <c r="L153" i="2"/>
  <c r="K153" i="2" s="1"/>
  <c r="AA78" i="2"/>
  <c r="AB78" i="2"/>
  <c r="AC78" i="2"/>
  <c r="AD78" i="2" s="1"/>
  <c r="L78" i="2"/>
  <c r="K78" i="2" s="1"/>
  <c r="L16" i="2"/>
  <c r="K16" i="2" s="1"/>
  <c r="L11" i="2"/>
  <c r="K11" i="2" s="1"/>
  <c r="AC11" i="2"/>
  <c r="AD11" i="2" s="1"/>
  <c r="AA11" i="2"/>
  <c r="AB461" i="2"/>
  <c r="AB457" i="2"/>
  <c r="AA453" i="2"/>
  <c r="AA441" i="2"/>
  <c r="AA181" i="2"/>
  <c r="AB181" i="2"/>
  <c r="AA178" i="2"/>
  <c r="AC178" i="2"/>
  <c r="AD178" i="2" s="1"/>
  <c r="AC112" i="2"/>
  <c r="AD112" i="2" s="1"/>
  <c r="L112" i="2"/>
  <c r="K112" i="2" s="1"/>
  <c r="AA93" i="2"/>
  <c r="AA45" i="2"/>
  <c r="AB45" i="2"/>
  <c r="AC45" i="2"/>
  <c r="AD45" i="2" s="1"/>
  <c r="L45" i="2"/>
  <c r="K45" i="2" s="1"/>
  <c r="AA19" i="2"/>
  <c r="AC19" i="2"/>
  <c r="AD19" i="2" s="1"/>
  <c r="L484" i="2"/>
  <c r="K484" i="2" s="1"/>
  <c r="AC432" i="2"/>
  <c r="AD432" i="2" s="1"/>
  <c r="AC420" i="2"/>
  <c r="AD420" i="2" s="1"/>
  <c r="L386" i="2"/>
  <c r="K386" i="2" s="1"/>
  <c r="AB369" i="2"/>
  <c r="L369" i="2"/>
  <c r="K369" i="2" s="1"/>
  <c r="AC354" i="2"/>
  <c r="AD354" i="2" s="1"/>
  <c r="L347" i="2"/>
  <c r="K347" i="2" s="1"/>
  <c r="AC338" i="2"/>
  <c r="AD338" i="2" s="1"/>
  <c r="L338" i="2"/>
  <c r="K338" i="2" s="1"/>
  <c r="L322" i="2"/>
  <c r="K322" i="2" s="1"/>
  <c r="AC317" i="2"/>
  <c r="AD317" i="2" s="1"/>
  <c r="AA291" i="2"/>
  <c r="AA287" i="2"/>
  <c r="L278" i="2"/>
  <c r="K278" i="2" s="1"/>
  <c r="AC245" i="2"/>
  <c r="AD245" i="2" s="1"/>
  <c r="L195" i="2"/>
  <c r="K195" i="2" s="1"/>
  <c r="AA188" i="2"/>
  <c r="AB188" i="2"/>
  <c r="L188" i="2"/>
  <c r="K188" i="2" s="1"/>
  <c r="L181" i="2"/>
  <c r="K181" i="2" s="1"/>
  <c r="L178" i="2"/>
  <c r="K178" i="2" s="1"/>
  <c r="L158" i="2"/>
  <c r="K158" i="2" s="1"/>
  <c r="AA158" i="2"/>
  <c r="AB158" i="2"/>
  <c r="AA127" i="2"/>
  <c r="AB127" i="2"/>
  <c r="AC127" i="2"/>
  <c r="AD127" i="2" s="1"/>
  <c r="L127" i="2"/>
  <c r="K127" i="2" s="1"/>
  <c r="L115" i="2"/>
  <c r="K115" i="2" s="1"/>
  <c r="AA34" i="2"/>
  <c r="AB34" i="2"/>
  <c r="AA14" i="2"/>
  <c r="L14" i="2"/>
  <c r="K14" i="2" s="1"/>
  <c r="L461" i="2"/>
  <c r="K461" i="2" s="1"/>
  <c r="AA365" i="2"/>
  <c r="AC365" i="2"/>
  <c r="AD365" i="2" s="1"/>
  <c r="AC220" i="2"/>
  <c r="AD220" i="2" s="1"/>
  <c r="AA220" i="2"/>
  <c r="L220" i="2"/>
  <c r="K220" i="2" s="1"/>
  <c r="AC152" i="2"/>
  <c r="AD152" i="2" s="1"/>
  <c r="L152" i="2"/>
  <c r="K152" i="2" s="1"/>
  <c r="L139" i="2"/>
  <c r="K139" i="2" s="1"/>
  <c r="AA110" i="2"/>
  <c r="AB110" i="2"/>
  <c r="AC110" i="2"/>
  <c r="AD110" i="2" s="1"/>
  <c r="L110" i="2"/>
  <c r="K110" i="2" s="1"/>
  <c r="AC100" i="2"/>
  <c r="AD100" i="2" s="1"/>
  <c r="AA100" i="2"/>
  <c r="L34" i="2"/>
  <c r="K34" i="2" s="1"/>
  <c r="AB21" i="2"/>
  <c r="AC614" i="2"/>
  <c r="AD614" i="2" s="1"/>
  <c r="AA593" i="2"/>
  <c r="AC548" i="2"/>
  <c r="AD548" i="2" s="1"/>
  <c r="AB516" i="2"/>
  <c r="AC500" i="2"/>
  <c r="AD500" i="2" s="1"/>
  <c r="AA477" i="2"/>
  <c r="AB460" i="2"/>
  <c r="AA444" i="2"/>
  <c r="AA427" i="2"/>
  <c r="AC423" i="2"/>
  <c r="AD423" i="2" s="1"/>
  <c r="AB371" i="2"/>
  <c r="AA371" i="2"/>
  <c r="L365" i="2"/>
  <c r="K365" i="2" s="1"/>
  <c r="AA337" i="2"/>
  <c r="AC306" i="2"/>
  <c r="AD306" i="2" s="1"/>
  <c r="L294" i="2"/>
  <c r="K294" i="2" s="1"/>
  <c r="AB294" i="2"/>
  <c r="AC290" i="2"/>
  <c r="AD290" i="2" s="1"/>
  <c r="AC277" i="2"/>
  <c r="AD277" i="2" s="1"/>
  <c r="AA219" i="2"/>
  <c r="L209" i="2"/>
  <c r="K209" i="2" s="1"/>
  <c r="AB209" i="2"/>
  <c r="AA204" i="2"/>
  <c r="AA199" i="2"/>
  <c r="AC193" i="2"/>
  <c r="AD193" i="2" s="1"/>
  <c r="AB193" i="2"/>
  <c r="AB118" i="2"/>
  <c r="AC118" i="2"/>
  <c r="AD118" i="2" s="1"/>
  <c r="L100" i="2"/>
  <c r="K100" i="2" s="1"/>
  <c r="AA76" i="2"/>
  <c r="AB76" i="2"/>
  <c r="AC76" i="2"/>
  <c r="AD76" i="2" s="1"/>
  <c r="L76" i="2"/>
  <c r="K76" i="2" s="1"/>
  <c r="AC57" i="2"/>
  <c r="AD57" i="2" s="1"/>
  <c r="AA57" i="2"/>
  <c r="L54" i="2"/>
  <c r="K54" i="2" s="1"/>
  <c r="L346" i="2"/>
  <c r="K346" i="2" s="1"/>
  <c r="AA346" i="2"/>
  <c r="AA301" i="2"/>
  <c r="L301" i="2"/>
  <c r="K301" i="2" s="1"/>
  <c r="AB230" i="2"/>
  <c r="AA230" i="2"/>
  <c r="AB214" i="2"/>
  <c r="L214" i="2"/>
  <c r="K214" i="2" s="1"/>
  <c r="AC208" i="2"/>
  <c r="AD208" i="2" s="1"/>
  <c r="AB208" i="2"/>
  <c r="L208" i="2"/>
  <c r="K208" i="2" s="1"/>
  <c r="AB147" i="2"/>
  <c r="AA147" i="2"/>
  <c r="AA83" i="2"/>
  <c r="AC83" i="2"/>
  <c r="AD83" i="2" s="1"/>
  <c r="AB50" i="2"/>
  <c r="AC50" i="2"/>
  <c r="AD50" i="2" s="1"/>
  <c r="AB39" i="2"/>
  <c r="AA39" i="2"/>
  <c r="AC39" i="2"/>
  <c r="AD39" i="2" s="1"/>
  <c r="L39" i="2"/>
  <c r="K39" i="2" s="1"/>
  <c r="AA17" i="2"/>
  <c r="AB17" i="2"/>
  <c r="AC17" i="2"/>
  <c r="AD17" i="2" s="1"/>
  <c r="L17" i="2"/>
  <c r="K17" i="2" s="1"/>
  <c r="AC205" i="2"/>
  <c r="AD205" i="2" s="1"/>
  <c r="AB137" i="2"/>
  <c r="AC132" i="2"/>
  <c r="AD132" i="2" s="1"/>
  <c r="AC119" i="2"/>
  <c r="AD119" i="2" s="1"/>
  <c r="AB116" i="2"/>
  <c r="AC98" i="2"/>
  <c r="AD98" i="2" s="1"/>
  <c r="AB92" i="2"/>
  <c r="AC74" i="2"/>
  <c r="AD74" i="2" s="1"/>
  <c r="AB69" i="2"/>
  <c r="AB53" i="2"/>
  <c r="AB46" i="2"/>
  <c r="AB33" i="2"/>
  <c r="AB30" i="2"/>
  <c r="AC12" i="2"/>
  <c r="AD12" i="2" s="1"/>
  <c r="AA137" i="2"/>
  <c r="AA116" i="2"/>
  <c r="AB98" i="2"/>
  <c r="AA92" i="2"/>
  <c r="AB74" i="2"/>
  <c r="AA69" i="2"/>
  <c r="AA53" i="2"/>
  <c r="AC35" i="2"/>
  <c r="AD35" i="2" s="1"/>
  <c r="AA33" i="2"/>
  <c r="AA30" i="2"/>
  <c r="AC23" i="2"/>
  <c r="AD23" i="2" s="1"/>
  <c r="AB12" i="2"/>
  <c r="AB23" i="2"/>
  <c r="L116" i="2"/>
  <c r="K116" i="2" s="1"/>
  <c r="L98" i="2"/>
  <c r="K98" i="2" s="1"/>
  <c r="L92" i="2"/>
  <c r="K92" i="2" s="1"/>
  <c r="L74" i="2"/>
  <c r="K74" i="2" s="1"/>
  <c r="L12" i="2"/>
  <c r="K12" i="2" s="1"/>
  <c r="L213" i="2"/>
  <c r="K213" i="2" s="1"/>
  <c r="L140" i="2"/>
  <c r="K140" i="2" s="1"/>
  <c r="L55" i="2"/>
  <c r="K55" i="2" s="1"/>
  <c r="L42" i="2"/>
  <c r="K42" i="2" s="1"/>
  <c r="L23" i="2"/>
  <c r="K23" i="2" s="1"/>
  <c r="L15" i="2"/>
  <c r="K15" i="2" s="1"/>
  <c r="AA6026" i="2"/>
  <c r="AB6026" i="2"/>
  <c r="AC6026" i="2"/>
  <c r="AB6716" i="2"/>
  <c r="AB6704" i="2"/>
  <c r="AB6692" i="2"/>
  <c r="AB6680" i="2"/>
  <c r="AB6668" i="2"/>
  <c r="AB6656" i="2"/>
  <c r="AB6644" i="2"/>
  <c r="AB6632" i="2"/>
  <c r="AB6620" i="2"/>
  <c r="AB6608" i="2"/>
  <c r="AB6596" i="2"/>
  <c r="AB6584" i="2"/>
  <c r="AB6572" i="2"/>
  <c r="AB6560" i="2"/>
  <c r="AB6548" i="2"/>
  <c r="AB6536" i="2"/>
  <c r="AB6529" i="2"/>
  <c r="AB6522" i="2"/>
  <c r="AC6513" i="2"/>
  <c r="AB6490" i="2"/>
  <c r="AB6481" i="2"/>
  <c r="AB6474" i="2"/>
  <c r="AC6465" i="2"/>
  <c r="AB6442" i="2"/>
  <c r="AB6433" i="2"/>
  <c r="AB6426" i="2"/>
  <c r="AC6417" i="2"/>
  <c r="AB6394" i="2"/>
  <c r="AB6385" i="2"/>
  <c r="AB6378" i="2"/>
  <c r="AC6369" i="2"/>
  <c r="AB6346" i="2"/>
  <c r="AB6337" i="2"/>
  <c r="AB6330" i="2"/>
  <c r="AC6321" i="2"/>
  <c r="AB6298" i="2"/>
  <c r="AB6289" i="2"/>
  <c r="AB6276" i="2"/>
  <c r="AB6267" i="2"/>
  <c r="AB6265" i="2"/>
  <c r="AA6254" i="2"/>
  <c r="AC6254" i="2"/>
  <c r="AC6252" i="2"/>
  <c r="AA6252" i="2"/>
  <c r="AB6248" i="2"/>
  <c r="AB6123" i="2"/>
  <c r="AC6113" i="2"/>
  <c r="AC6097" i="2"/>
  <c r="AA6050" i="2"/>
  <c r="AB6050" i="2"/>
  <c r="AC6050" i="2"/>
  <c r="AC6036" i="2"/>
  <c r="AA6036" i="2"/>
  <c r="AB6022" i="2"/>
  <c r="AB5902" i="2"/>
  <c r="AC5892" i="2"/>
  <c r="AA5892" i="2"/>
  <c r="AA5882" i="2"/>
  <c r="AB5882" i="2"/>
  <c r="AC5882" i="2"/>
  <c r="AC5833" i="2"/>
  <c r="AC5825" i="2"/>
  <c r="AB5811" i="2"/>
  <c r="AB5758" i="2"/>
  <c r="AC5748" i="2"/>
  <c r="AA5748" i="2"/>
  <c r="AA5738" i="2"/>
  <c r="AB5738" i="2"/>
  <c r="AC5738" i="2"/>
  <c r="AC5689" i="2"/>
  <c r="AC5681" i="2"/>
  <c r="AB5667" i="2"/>
  <c r="AB5614" i="2"/>
  <c r="AC5604" i="2"/>
  <c r="AA5604" i="2"/>
  <c r="AA5594" i="2"/>
  <c r="AB5594" i="2"/>
  <c r="AC5594" i="2"/>
  <c r="AA5559" i="2"/>
  <c r="AB5559" i="2"/>
  <c r="AA5546" i="2"/>
  <c r="AB5546" i="2"/>
  <c r="AC5546" i="2"/>
  <c r="AC5424" i="2"/>
  <c r="AA5424" i="2"/>
  <c r="AC5364" i="2"/>
  <c r="AA5364" i="2"/>
  <c r="AC5292" i="2"/>
  <c r="AA5292" i="2"/>
  <c r="AA5222" i="2"/>
  <c r="AB5222" i="2"/>
  <c r="AC5222" i="2"/>
  <c r="AA4970" i="2"/>
  <c r="AB4970" i="2"/>
  <c r="AC4970" i="2"/>
  <c r="AA4934" i="2"/>
  <c r="AB4934" i="2"/>
  <c r="AC4934" i="2"/>
  <c r="AA6716" i="2"/>
  <c r="AA6704" i="2"/>
  <c r="AA6692" i="2"/>
  <c r="AA6680" i="2"/>
  <c r="AA6668" i="2"/>
  <c r="AA6656" i="2"/>
  <c r="AA6644" i="2"/>
  <c r="AA6632" i="2"/>
  <c r="AA6620" i="2"/>
  <c r="AA6608" i="2"/>
  <c r="AA6596" i="2"/>
  <c r="AA6584" i="2"/>
  <c r="AA6572" i="2"/>
  <c r="AA6560" i="2"/>
  <c r="AA6548" i="2"/>
  <c r="AA6536" i="2"/>
  <c r="AA6529" i="2"/>
  <c r="AA6522" i="2"/>
  <c r="AC6520" i="2"/>
  <c r="AA6513" i="2"/>
  <c r="AA6490" i="2"/>
  <c r="AA6481" i="2"/>
  <c r="AA6474" i="2"/>
  <c r="AC6472" i="2"/>
  <c r="AA6465" i="2"/>
  <c r="AA6442" i="2"/>
  <c r="AA6433" i="2"/>
  <c r="AA6426" i="2"/>
  <c r="AC6424" i="2"/>
  <c r="AA6417" i="2"/>
  <c r="AA6394" i="2"/>
  <c r="AA6385" i="2"/>
  <c r="AA6378" i="2"/>
  <c r="AC6376" i="2"/>
  <c r="AA6369" i="2"/>
  <c r="AA6346" i="2"/>
  <c r="AA6337" i="2"/>
  <c r="AA6330" i="2"/>
  <c r="AC6328" i="2"/>
  <c r="AA6321" i="2"/>
  <c r="AA6298" i="2"/>
  <c r="AA6289" i="2"/>
  <c r="AA6278" i="2"/>
  <c r="AC6278" i="2"/>
  <c r="AA6276" i="2"/>
  <c r="AA6267" i="2"/>
  <c r="AA6265" i="2"/>
  <c r="AA6248" i="2"/>
  <c r="AC6244" i="2"/>
  <c r="AA6123" i="2"/>
  <c r="AA6113" i="2"/>
  <c r="AC6101" i="2"/>
  <c r="AB6097" i="2"/>
  <c r="AC6085" i="2"/>
  <c r="AA6038" i="2"/>
  <c r="AB6038" i="2"/>
  <c r="AC6038" i="2"/>
  <c r="AC6024" i="2"/>
  <c r="AA6024" i="2"/>
  <c r="AA6022" i="2"/>
  <c r="AB6010" i="2"/>
  <c r="AB5998" i="2"/>
  <c r="AB5986" i="2"/>
  <c r="AB5974" i="2"/>
  <c r="AB5962" i="2"/>
  <c r="AB5950" i="2"/>
  <c r="AB5938" i="2"/>
  <c r="AB5926" i="2"/>
  <c r="AB5914" i="2"/>
  <c r="AC5904" i="2"/>
  <c r="AA5904" i="2"/>
  <c r="AA5902" i="2"/>
  <c r="AA5894" i="2"/>
  <c r="AB5894" i="2"/>
  <c r="AC5894" i="2"/>
  <c r="AC5845" i="2"/>
  <c r="AC5837" i="2"/>
  <c r="AB5833" i="2"/>
  <c r="AA5825" i="2"/>
  <c r="AA5811" i="2"/>
  <c r="AB5770" i="2"/>
  <c r="AC5760" i="2"/>
  <c r="AA5760" i="2"/>
  <c r="AA5758" i="2"/>
  <c r="AA5750" i="2"/>
  <c r="AB5750" i="2"/>
  <c r="AC5750" i="2"/>
  <c r="AC5701" i="2"/>
  <c r="AC5693" i="2"/>
  <c r="AB5689" i="2"/>
  <c r="AA5681" i="2"/>
  <c r="AA5667" i="2"/>
  <c r="AB5626" i="2"/>
  <c r="AC5616" i="2"/>
  <c r="AA5616" i="2"/>
  <c r="AA5614" i="2"/>
  <c r="AA5606" i="2"/>
  <c r="AB5606" i="2"/>
  <c r="AC5606" i="2"/>
  <c r="AA5426" i="2"/>
  <c r="AB5426" i="2"/>
  <c r="AC5426" i="2"/>
  <c r="AA5366" i="2"/>
  <c r="AB5366" i="2"/>
  <c r="AC5366" i="2"/>
  <c r="AA5294" i="2"/>
  <c r="AB5294" i="2"/>
  <c r="AC5294" i="2"/>
  <c r="AC6144" i="2"/>
  <c r="AA6144" i="2"/>
  <c r="AC6132" i="2"/>
  <c r="AA6132" i="2"/>
  <c r="AC5796" i="2"/>
  <c r="AA5796" i="2"/>
  <c r="AC5652" i="2"/>
  <c r="AA5652" i="2"/>
  <c r="AA5642" i="2"/>
  <c r="AB5642" i="2"/>
  <c r="AC5642" i="2"/>
  <c r="AA5558" i="2"/>
  <c r="AB5558" i="2"/>
  <c r="AC5558" i="2"/>
  <c r="AA5522" i="2"/>
  <c r="AB5522" i="2"/>
  <c r="AC5522" i="2"/>
  <c r="AC5448" i="2"/>
  <c r="AA5448" i="2"/>
  <c r="AA5378" i="2"/>
  <c r="AB5378" i="2"/>
  <c r="AC5378" i="2"/>
  <c r="AC5316" i="2"/>
  <c r="AA5316" i="2"/>
  <c r="AB5131" i="2"/>
  <c r="AC5131" i="2"/>
  <c r="AA5131" i="2"/>
  <c r="AC6228" i="2"/>
  <c r="AA6228" i="2"/>
  <c r="AC6216" i="2"/>
  <c r="AA6216" i="2"/>
  <c r="AC6156" i="2"/>
  <c r="AA6156" i="2"/>
  <c r="AA5786" i="2"/>
  <c r="AB5786" i="2"/>
  <c r="AC5786" i="2"/>
  <c r="AC6698" i="2"/>
  <c r="AC6590" i="2"/>
  <c r="AC6498" i="2"/>
  <c r="AC6457" i="2"/>
  <c r="AC6354" i="2"/>
  <c r="AA6230" i="2"/>
  <c r="AC6230" i="2"/>
  <c r="AA6218" i="2"/>
  <c r="AB6218" i="2"/>
  <c r="AC6218" i="2"/>
  <c r="AA6206" i="2"/>
  <c r="AB6206" i="2"/>
  <c r="AC6206" i="2"/>
  <c r="AA6182" i="2"/>
  <c r="AB6182" i="2"/>
  <c r="AC6182" i="2"/>
  <c r="AA6158" i="2"/>
  <c r="AB6158" i="2"/>
  <c r="AC6158" i="2"/>
  <c r="AC6120" i="2"/>
  <c r="AA6120" i="2"/>
  <c r="AC6051" i="2"/>
  <c r="AC5808" i="2"/>
  <c r="AA5808" i="2"/>
  <c r="AC5739" i="2"/>
  <c r="AA5450" i="2"/>
  <c r="AB5450" i="2"/>
  <c r="AC5450" i="2"/>
  <c r="AC5388" i="2"/>
  <c r="AA5388" i="2"/>
  <c r="AA5318" i="2"/>
  <c r="AB5318" i="2"/>
  <c r="AC5318" i="2"/>
  <c r="AC5244" i="2"/>
  <c r="AA5244" i="2"/>
  <c r="AC5928" i="2"/>
  <c r="AA5928" i="2"/>
  <c r="AC5772" i="2"/>
  <c r="AA5772" i="2"/>
  <c r="AA5762" i="2"/>
  <c r="AB5762" i="2"/>
  <c r="AC5762" i="2"/>
  <c r="AA5618" i="2"/>
  <c r="AB5618" i="2"/>
  <c r="AC5618" i="2"/>
  <c r="AA6014" i="2"/>
  <c r="AB6014" i="2"/>
  <c r="AC6014" i="2"/>
  <c r="AA5930" i="2"/>
  <c r="AB5930" i="2"/>
  <c r="AC5930" i="2"/>
  <c r="AA5918" i="2"/>
  <c r="AB5918" i="2"/>
  <c r="AC5918" i="2"/>
  <c r="AC5784" i="2"/>
  <c r="AA5784" i="2"/>
  <c r="AC5640" i="2"/>
  <c r="AA5640" i="2"/>
  <c r="AC6168" i="2"/>
  <c r="AA6168" i="2"/>
  <c r="AC6710" i="2"/>
  <c r="AC6662" i="2"/>
  <c r="AC6638" i="2"/>
  <c r="AC6626" i="2"/>
  <c r="AC6614" i="2"/>
  <c r="AC6578" i="2"/>
  <c r="AC6566" i="2"/>
  <c r="AC6554" i="2"/>
  <c r="AC6542" i="2"/>
  <c r="AC6505" i="2"/>
  <c r="AC6409" i="2"/>
  <c r="AC6402" i="2"/>
  <c r="AC6361" i="2"/>
  <c r="AC6306" i="2"/>
  <c r="AC6279" i="2"/>
  <c r="AC6277" i="2"/>
  <c r="AA6170" i="2"/>
  <c r="AB6170" i="2"/>
  <c r="AC6170" i="2"/>
  <c r="AC5883" i="2"/>
  <c r="AA5798" i="2"/>
  <c r="AB5798" i="2"/>
  <c r="AC5798" i="2"/>
  <c r="AC5664" i="2"/>
  <c r="AA5664" i="2"/>
  <c r="AA5654" i="2"/>
  <c r="AB5654" i="2"/>
  <c r="AC5654" i="2"/>
  <c r="AC5595" i="2"/>
  <c r="AB6722" i="2"/>
  <c r="AB6710" i="2"/>
  <c r="AB6698" i="2"/>
  <c r="AB6686" i="2"/>
  <c r="AB6674" i="2"/>
  <c r="AB6662" i="2"/>
  <c r="AB6650" i="2"/>
  <c r="AB6638" i="2"/>
  <c r="AB6626" i="2"/>
  <c r="AC6619" i="2"/>
  <c r="AB6614" i="2"/>
  <c r="AC6607" i="2"/>
  <c r="AB6602" i="2"/>
  <c r="AB6590" i="2"/>
  <c r="AB6578" i="2"/>
  <c r="AB6566" i="2"/>
  <c r="AB6554" i="2"/>
  <c r="AB6542" i="2"/>
  <c r="AA6530" i="2"/>
  <c r="AB6514" i="2"/>
  <c r="AB6505" i="2"/>
  <c r="AB6498" i="2"/>
  <c r="AC6489" i="2"/>
  <c r="AA6482" i="2"/>
  <c r="AB6466" i="2"/>
  <c r="AB6457" i="2"/>
  <c r="AB6450" i="2"/>
  <c r="AC6441" i="2"/>
  <c r="AA6434" i="2"/>
  <c r="AC6425" i="2"/>
  <c r="AB6418" i="2"/>
  <c r="AC6416" i="2"/>
  <c r="AB6409" i="2"/>
  <c r="AB6402" i="2"/>
  <c r="AC6393" i="2"/>
  <c r="AA6386" i="2"/>
  <c r="AC6384" i="2"/>
  <c r="AC6377" i="2"/>
  <c r="AB6370" i="2"/>
  <c r="AC6368" i="2"/>
  <c r="AB6361" i="2"/>
  <c r="AB6354" i="2"/>
  <c r="AC6345" i="2"/>
  <c r="AA6338" i="2"/>
  <c r="AC6336" i="2"/>
  <c r="AC6329" i="2"/>
  <c r="AB6322" i="2"/>
  <c r="AC6320" i="2"/>
  <c r="AB6313" i="2"/>
  <c r="AB6306" i="2"/>
  <c r="AC6297" i="2"/>
  <c r="AA6290" i="2"/>
  <c r="AB6288" i="2"/>
  <c r="AB6279" i="2"/>
  <c r="AB6277" i="2"/>
  <c r="AB6268" i="2"/>
  <c r="AB6264" i="2"/>
  <c r="AA6122" i="2"/>
  <c r="AB6122" i="2"/>
  <c r="AC6122" i="2"/>
  <c r="AC6108" i="2"/>
  <c r="AA6108" i="2"/>
  <c r="AA6106" i="2"/>
  <c r="AB6094" i="2"/>
  <c r="AA6053" i="2"/>
  <c r="AB6051" i="2"/>
  <c r="AC6041" i="2"/>
  <c r="AC6039" i="2"/>
  <c r="AB6037" i="2"/>
  <c r="AC6025" i="2"/>
  <c r="AC5905" i="2"/>
  <c r="AC5897" i="2"/>
  <c r="AB5893" i="2"/>
  <c r="AA5885" i="2"/>
  <c r="AB5883" i="2"/>
  <c r="AB5830" i="2"/>
  <c r="AC5820" i="2"/>
  <c r="AA5820" i="2"/>
  <c r="AA5818" i="2"/>
  <c r="AA5810" i="2"/>
  <c r="AB5810" i="2"/>
  <c r="AC5810" i="2"/>
  <c r="AC5761" i="2"/>
  <c r="AC5753" i="2"/>
  <c r="AB5749" i="2"/>
  <c r="AA5741" i="2"/>
  <c r="AB5739" i="2"/>
  <c r="AB5686" i="2"/>
  <c r="AC5676" i="2"/>
  <c r="AA5676" i="2"/>
  <c r="AA5674" i="2"/>
  <c r="AA5666" i="2"/>
  <c r="AB5666" i="2"/>
  <c r="AC5666" i="2"/>
  <c r="AC5617" i="2"/>
  <c r="AC5609" i="2"/>
  <c r="AB5605" i="2"/>
  <c r="AA5597" i="2"/>
  <c r="AB5595" i="2"/>
  <c r="AC5496" i="2"/>
  <c r="AA5496" i="2"/>
  <c r="AA5390" i="2"/>
  <c r="AB5390" i="2"/>
  <c r="AC5390" i="2"/>
  <c r="AC5328" i="2"/>
  <c r="AA5328" i="2"/>
  <c r="AA5246" i="2"/>
  <c r="AB5246" i="2"/>
  <c r="AC5246" i="2"/>
  <c r="AC5436" i="2"/>
  <c r="AA5436" i="2"/>
  <c r="AA4802" i="2"/>
  <c r="AB4802" i="2"/>
  <c r="AC4802" i="2"/>
  <c r="AC5556" i="2"/>
  <c r="AA5556" i="2"/>
  <c r="AC6722" i="2"/>
  <c r="AC6686" i="2"/>
  <c r="AC6674" i="2"/>
  <c r="AC6650" i="2"/>
  <c r="AC6602" i="2"/>
  <c r="AC6514" i="2"/>
  <c r="AC6466" i="2"/>
  <c r="AC6450" i="2"/>
  <c r="AC6418" i="2"/>
  <c r="AC6370" i="2"/>
  <c r="AC6322" i="2"/>
  <c r="AC6313" i="2"/>
  <c r="AA6194" i="2"/>
  <c r="AB6194" i="2"/>
  <c r="AC6194" i="2"/>
  <c r="AA6146" i="2"/>
  <c r="AB6146" i="2"/>
  <c r="AC6146" i="2"/>
  <c r="AA6134" i="2"/>
  <c r="AB6134" i="2"/>
  <c r="AC6134" i="2"/>
  <c r="AC6720" i="2"/>
  <c r="AC6708" i="2"/>
  <c r="AC6696" i="2"/>
  <c r="AC6684" i="2"/>
  <c r="AC6672" i="2"/>
  <c r="AC6660" i="2"/>
  <c r="AC6648" i="2"/>
  <c r="AC6636" i="2"/>
  <c r="AC6624" i="2"/>
  <c r="AC6612" i="2"/>
  <c r="AC6600" i="2"/>
  <c r="AC6588" i="2"/>
  <c r="AC6576" i="2"/>
  <c r="AC6564" i="2"/>
  <c r="AC6552" i="2"/>
  <c r="AC6540" i="2"/>
  <c r="AC6519" i="2"/>
  <c r="AA6489" i="2"/>
  <c r="AC6487" i="2"/>
  <c r="AC6471" i="2"/>
  <c r="AA6441" i="2"/>
  <c r="AC6439" i="2"/>
  <c r="AC6423" i="2"/>
  <c r="AC6400" i="2"/>
  <c r="AA6393" i="2"/>
  <c r="AC6391" i="2"/>
  <c r="AC6375" i="2"/>
  <c r="AC6352" i="2"/>
  <c r="AA6345" i="2"/>
  <c r="AC6343" i="2"/>
  <c r="AC6327" i="2"/>
  <c r="AC6304" i="2"/>
  <c r="AA6297" i="2"/>
  <c r="AC6295" i="2"/>
  <c r="AA6288" i="2"/>
  <c r="AC6286" i="2"/>
  <c r="AA6266" i="2"/>
  <c r="AC6266" i="2"/>
  <c r="AA6264" i="2"/>
  <c r="AC6262" i="2"/>
  <c r="AC6245" i="2"/>
  <c r="AC6243" i="2"/>
  <c r="AC6241" i="2"/>
  <c r="AA6110" i="2"/>
  <c r="AB6110" i="2"/>
  <c r="AC6110" i="2"/>
  <c r="AC6096" i="2"/>
  <c r="AA6096" i="2"/>
  <c r="AA6094" i="2"/>
  <c r="AB6082" i="2"/>
  <c r="AA6041" i="2"/>
  <c r="AC6029" i="2"/>
  <c r="AC6027" i="2"/>
  <c r="AB6025" i="2"/>
  <c r="AC6013" i="2"/>
  <c r="AC6001" i="2"/>
  <c r="AC5989" i="2"/>
  <c r="AC5977" i="2"/>
  <c r="AC5965" i="2"/>
  <c r="AC5953" i="2"/>
  <c r="AC5941" i="2"/>
  <c r="AC5929" i="2"/>
  <c r="AC5907" i="2"/>
  <c r="AB5905" i="2"/>
  <c r="AA5897" i="2"/>
  <c r="AB5842" i="2"/>
  <c r="AC5832" i="2"/>
  <c r="AA5832" i="2"/>
  <c r="AA5830" i="2"/>
  <c r="AA5822" i="2"/>
  <c r="AB5822" i="2"/>
  <c r="AC5822" i="2"/>
  <c r="AC5763" i="2"/>
  <c r="AB5761" i="2"/>
  <c r="AA5753" i="2"/>
  <c r="AC5688" i="2"/>
  <c r="AA5688" i="2"/>
  <c r="AA5686" i="2"/>
  <c r="AA5678" i="2"/>
  <c r="AB5678" i="2"/>
  <c r="AC5678" i="2"/>
  <c r="AC5619" i="2"/>
  <c r="AB5617" i="2"/>
  <c r="AA5609" i="2"/>
  <c r="AC5568" i="2"/>
  <c r="AA5568" i="2"/>
  <c r="AC5532" i="2"/>
  <c r="AA5532" i="2"/>
  <c r="AA5498" i="2"/>
  <c r="AB5498" i="2"/>
  <c r="AC5498" i="2"/>
  <c r="AC5460" i="2"/>
  <c r="AA5460" i="2"/>
  <c r="AC5400" i="2"/>
  <c r="AA5400" i="2"/>
  <c r="AA5330" i="2"/>
  <c r="AB5330" i="2"/>
  <c r="AC5330" i="2"/>
  <c r="AC5184" i="2"/>
  <c r="AA5184" i="2"/>
  <c r="AA5150" i="2"/>
  <c r="AB5150" i="2"/>
  <c r="AC5150" i="2"/>
  <c r="AA5030" i="2"/>
  <c r="AB5030" i="2"/>
  <c r="AC5030" i="2"/>
  <c r="AC5844" i="2"/>
  <c r="AA5844" i="2"/>
  <c r="AA5834" i="2"/>
  <c r="AB5834" i="2"/>
  <c r="AC5834" i="2"/>
  <c r="AC5700" i="2"/>
  <c r="AA5700" i="2"/>
  <c r="AA5690" i="2"/>
  <c r="AB5690" i="2"/>
  <c r="AC5690" i="2"/>
  <c r="AA5570" i="2"/>
  <c r="AB5570" i="2"/>
  <c r="AC5570" i="2"/>
  <c r="AA5534" i="2"/>
  <c r="AB5534" i="2"/>
  <c r="AC5534" i="2"/>
  <c r="AA5462" i="2"/>
  <c r="AB5462" i="2"/>
  <c r="AC5462" i="2"/>
  <c r="AA5402" i="2"/>
  <c r="AB5402" i="2"/>
  <c r="AC5402" i="2"/>
  <c r="AC5340" i="2"/>
  <c r="AA5340" i="2"/>
  <c r="AC5256" i="2"/>
  <c r="AA5256" i="2"/>
  <c r="AC5196" i="2"/>
  <c r="AA5196" i="2"/>
  <c r="AA5186" i="2"/>
  <c r="AB5186" i="2"/>
  <c r="AC5186" i="2"/>
  <c r="AB5091" i="2"/>
  <c r="AC5091" i="2"/>
  <c r="AA5091" i="2"/>
  <c r="AC6000" i="2"/>
  <c r="AA6000" i="2"/>
  <c r="AC5988" i="2"/>
  <c r="AA5988" i="2"/>
  <c r="AC5976" i="2"/>
  <c r="AA5976" i="2"/>
  <c r="AC5964" i="2"/>
  <c r="AA5964" i="2"/>
  <c r="AC5952" i="2"/>
  <c r="AA5952" i="2"/>
  <c r="AC5484" i="2"/>
  <c r="AA5484" i="2"/>
  <c r="AC5232" i="2"/>
  <c r="AA5232" i="2"/>
  <c r="AA4910" i="2"/>
  <c r="AB4910" i="2"/>
  <c r="AC4910" i="2"/>
  <c r="AC6240" i="2"/>
  <c r="AA6240" i="2"/>
  <c r="AA6002" i="2"/>
  <c r="AB6002" i="2"/>
  <c r="AC6002" i="2"/>
  <c r="AA5954" i="2"/>
  <c r="AB5954" i="2"/>
  <c r="AC5954" i="2"/>
  <c r="AA5942" i="2"/>
  <c r="AB5942" i="2"/>
  <c r="AC5942" i="2"/>
  <c r="AA5630" i="2"/>
  <c r="AB5630" i="2"/>
  <c r="AC5630" i="2"/>
  <c r="AA5438" i="2"/>
  <c r="AB5438" i="2"/>
  <c r="AC5438" i="2"/>
  <c r="AC6192" i="2"/>
  <c r="AA6192" i="2"/>
  <c r="AA6098" i="2"/>
  <c r="AB6098" i="2"/>
  <c r="AC6098" i="2"/>
  <c r="AC6718" i="2"/>
  <c r="AB6713" i="2"/>
  <c r="AC6706" i="2"/>
  <c r="AB6701" i="2"/>
  <c r="AC6694" i="2"/>
  <c r="AB6689" i="2"/>
  <c r="AC6682" i="2"/>
  <c r="AB6677" i="2"/>
  <c r="AC6670" i="2"/>
  <c r="AB6665" i="2"/>
  <c r="AC6658" i="2"/>
  <c r="AB6653" i="2"/>
  <c r="AC6646" i="2"/>
  <c r="AB6641" i="2"/>
  <c r="AC6634" i="2"/>
  <c r="AB6629" i="2"/>
  <c r="AC6622" i="2"/>
  <c r="AB6617" i="2"/>
  <c r="AC6610" i="2"/>
  <c r="AB6605" i="2"/>
  <c r="AC6598" i="2"/>
  <c r="AB6593" i="2"/>
  <c r="AC6586" i="2"/>
  <c r="AB6581" i="2"/>
  <c r="AC6574" i="2"/>
  <c r="AB6569" i="2"/>
  <c r="AC6562" i="2"/>
  <c r="AB6557" i="2"/>
  <c r="AC6550" i="2"/>
  <c r="AB6545" i="2"/>
  <c r="AC6538" i="2"/>
  <c r="AB6533" i="2"/>
  <c r="AB6526" i="2"/>
  <c r="AC6524" i="2"/>
  <c r="AB6517" i="2"/>
  <c r="AB6510" i="2"/>
  <c r="AC6501" i="2"/>
  <c r="AA6494" i="2"/>
  <c r="AC6492" i="2"/>
  <c r="AC6485" i="2"/>
  <c r="AB6478" i="2"/>
  <c r="AC6476" i="2"/>
  <c r="AB6469" i="2"/>
  <c r="AB6462" i="2"/>
  <c r="AC6453" i="2"/>
  <c r="AA6446" i="2"/>
  <c r="AC6444" i="2"/>
  <c r="AC6437" i="2"/>
  <c r="AB6430" i="2"/>
  <c r="AC6428" i="2"/>
  <c r="AB6421" i="2"/>
  <c r="AB6414" i="2"/>
  <c r="AC6405" i="2"/>
  <c r="AA6398" i="2"/>
  <c r="AC6396" i="2"/>
  <c r="AC6389" i="2"/>
  <c r="AB6382" i="2"/>
  <c r="AC6380" i="2"/>
  <c r="AB6373" i="2"/>
  <c r="AB6366" i="2"/>
  <c r="AC6357" i="2"/>
  <c r="AA6350" i="2"/>
  <c r="AC6348" i="2"/>
  <c r="AC6341" i="2"/>
  <c r="AB6334" i="2"/>
  <c r="AC6332" i="2"/>
  <c r="AB6325" i="2"/>
  <c r="AB6318" i="2"/>
  <c r="AC6309" i="2"/>
  <c r="AA6302" i="2"/>
  <c r="AC6300" i="2"/>
  <c r="AC6293" i="2"/>
  <c r="AB6284" i="2"/>
  <c r="AC6282" i="2"/>
  <c r="AC6271" i="2"/>
  <c r="AB6260" i="2"/>
  <c r="AC6258" i="2"/>
  <c r="AC6233" i="2"/>
  <c r="AC6231" i="2"/>
  <c r="AC6229" i="2"/>
  <c r="AC6217" i="2"/>
  <c r="AC6205" i="2"/>
  <c r="AC6193" i="2"/>
  <c r="AC6181" i="2"/>
  <c r="AC6169" i="2"/>
  <c r="AC6157" i="2"/>
  <c r="AC6145" i="2"/>
  <c r="AC6133" i="2"/>
  <c r="AA6086" i="2"/>
  <c r="AB6086" i="2"/>
  <c r="AC6086" i="2"/>
  <c r="AC6072" i="2"/>
  <c r="AA6072" i="2"/>
  <c r="AA6070" i="2"/>
  <c r="AB6058" i="2"/>
  <c r="AA6017" i="2"/>
  <c r="AB6015" i="2"/>
  <c r="AA6005" i="2"/>
  <c r="AB6003" i="2"/>
  <c r="AA5993" i="2"/>
  <c r="AB5991" i="2"/>
  <c r="AA5981" i="2"/>
  <c r="AB5979" i="2"/>
  <c r="AA5969" i="2"/>
  <c r="AB5967" i="2"/>
  <c r="AA5957" i="2"/>
  <c r="AB5955" i="2"/>
  <c r="AA5945" i="2"/>
  <c r="AB5943" i="2"/>
  <c r="AA5933" i="2"/>
  <c r="AB5931" i="2"/>
  <c r="AA5921" i="2"/>
  <c r="AB5919" i="2"/>
  <c r="AB5866" i="2"/>
  <c r="AC5856" i="2"/>
  <c r="AA5856" i="2"/>
  <c r="AA5854" i="2"/>
  <c r="AA5846" i="2"/>
  <c r="AB5846" i="2"/>
  <c r="AC5846" i="2"/>
  <c r="AC5797" i="2"/>
  <c r="AC5789" i="2"/>
  <c r="AC5787" i="2"/>
  <c r="AB5785" i="2"/>
  <c r="AA5777" i="2"/>
  <c r="AB5775" i="2"/>
  <c r="AB5722" i="2"/>
  <c r="AC5712" i="2"/>
  <c r="AA5712" i="2"/>
  <c r="AA5710" i="2"/>
  <c r="AA5702" i="2"/>
  <c r="AB5702" i="2"/>
  <c r="AC5702" i="2"/>
  <c r="AC5653" i="2"/>
  <c r="AC5645" i="2"/>
  <c r="AC5643" i="2"/>
  <c r="AB5641" i="2"/>
  <c r="AA5633" i="2"/>
  <c r="AB5631" i="2"/>
  <c r="AA5342" i="2"/>
  <c r="AB5342" i="2"/>
  <c r="AC5342" i="2"/>
  <c r="AC5268" i="2"/>
  <c r="AA5268" i="2"/>
  <c r="AA5258" i="2"/>
  <c r="AB5258" i="2"/>
  <c r="AC5258" i="2"/>
  <c r="AA5198" i="2"/>
  <c r="AB5198" i="2"/>
  <c r="AC5198" i="2"/>
  <c r="AC6012" i="2"/>
  <c r="AA6012" i="2"/>
  <c r="AC5628" i="2"/>
  <c r="AA5628" i="2"/>
  <c r="AA6242" i="2"/>
  <c r="AC6242" i="2"/>
  <c r="AA5966" i="2"/>
  <c r="AB5966" i="2"/>
  <c r="AC5966" i="2"/>
  <c r="AC5520" i="2"/>
  <c r="AA5520" i="2"/>
  <c r="AA5486" i="2"/>
  <c r="AB5486" i="2"/>
  <c r="AC5486" i="2"/>
  <c r="AA5002" i="2"/>
  <c r="AB5002" i="2"/>
  <c r="AC5002" i="2"/>
  <c r="AC6180" i="2"/>
  <c r="AA6180" i="2"/>
  <c r="AC6084" i="2"/>
  <c r="AA6084" i="2"/>
  <c r="AC6723" i="2"/>
  <c r="AB6718" i="2"/>
  <c r="AC6711" i="2"/>
  <c r="AB6706" i="2"/>
  <c r="AC6699" i="2"/>
  <c r="AB6694" i="2"/>
  <c r="AC6687" i="2"/>
  <c r="AB6682" i="2"/>
  <c r="AC6675" i="2"/>
  <c r="AB6670" i="2"/>
  <c r="AC6663" i="2"/>
  <c r="AB6658" i="2"/>
  <c r="AC6651" i="2"/>
  <c r="AB6646" i="2"/>
  <c r="AC6639" i="2"/>
  <c r="AB6634" i="2"/>
  <c r="AC6627" i="2"/>
  <c r="AB6622" i="2"/>
  <c r="AC6615" i="2"/>
  <c r="AB6610" i="2"/>
  <c r="AC6603" i="2"/>
  <c r="AB6598" i="2"/>
  <c r="AC6591" i="2"/>
  <c r="AB6586" i="2"/>
  <c r="AC6579" i="2"/>
  <c r="AB6574" i="2"/>
  <c r="AC6567" i="2"/>
  <c r="AB6562" i="2"/>
  <c r="AC6555" i="2"/>
  <c r="AB6550" i="2"/>
  <c r="AC6543" i="2"/>
  <c r="AB6538" i="2"/>
  <c r="AC6531" i="2"/>
  <c r="AB6524" i="2"/>
  <c r="AC6508" i="2"/>
  <c r="AA6501" i="2"/>
  <c r="AC6499" i="2"/>
  <c r="AB6492" i="2"/>
  <c r="AB6485" i="2"/>
  <c r="AC6483" i="2"/>
  <c r="AB6476" i="2"/>
  <c r="AC6460" i="2"/>
  <c r="AA6453" i="2"/>
  <c r="AC6451" i="2"/>
  <c r="AB6444" i="2"/>
  <c r="AB6437" i="2"/>
  <c r="AC6435" i="2"/>
  <c r="AB6428" i="2"/>
  <c r="AC6412" i="2"/>
  <c r="AA6405" i="2"/>
  <c r="AC6403" i="2"/>
  <c r="AB6396" i="2"/>
  <c r="AB6389" i="2"/>
  <c r="AC6387" i="2"/>
  <c r="AB6380" i="2"/>
  <c r="AC6364" i="2"/>
  <c r="AA6357" i="2"/>
  <c r="AC6355" i="2"/>
  <c r="AB6348" i="2"/>
  <c r="AB6341" i="2"/>
  <c r="AC6339" i="2"/>
  <c r="AB6332" i="2"/>
  <c r="AC6316" i="2"/>
  <c r="AA6309" i="2"/>
  <c r="AC6307" i="2"/>
  <c r="AB6300" i="2"/>
  <c r="AB6293" i="2"/>
  <c r="AC6291" i="2"/>
  <c r="AB6282" i="2"/>
  <c r="AA6271" i="2"/>
  <c r="AC6269" i="2"/>
  <c r="AB6258" i="2"/>
  <c r="AC6256" i="2"/>
  <c r="AA6233" i="2"/>
  <c r="AB6231" i="2"/>
  <c r="AB6229" i="2"/>
  <c r="AC6221" i="2"/>
  <c r="AC6219" i="2"/>
  <c r="AB6217" i="2"/>
  <c r="AC6209" i="2"/>
  <c r="AC6207" i="2"/>
  <c r="AB6205" i="2"/>
  <c r="AC6197" i="2"/>
  <c r="AC6195" i="2"/>
  <c r="AB6193" i="2"/>
  <c r="AC6185" i="2"/>
  <c r="AC6183" i="2"/>
  <c r="AB6181" i="2"/>
  <c r="AC6173" i="2"/>
  <c r="AC6171" i="2"/>
  <c r="AB6169" i="2"/>
  <c r="AC6161" i="2"/>
  <c r="AC6159" i="2"/>
  <c r="AB6157" i="2"/>
  <c r="AC6149" i="2"/>
  <c r="AC6147" i="2"/>
  <c r="AB6145" i="2"/>
  <c r="AC6137" i="2"/>
  <c r="AC6135" i="2"/>
  <c r="AB6133" i="2"/>
  <c r="AC6121" i="2"/>
  <c r="AA6074" i="2"/>
  <c r="AB6074" i="2"/>
  <c r="AC6074" i="2"/>
  <c r="AC6060" i="2"/>
  <c r="AA6060" i="2"/>
  <c r="AA6058" i="2"/>
  <c r="AB6046" i="2"/>
  <c r="AB5878" i="2"/>
  <c r="AC5868" i="2"/>
  <c r="AA5868" i="2"/>
  <c r="AA5866" i="2"/>
  <c r="AA5858" i="2"/>
  <c r="AB5858" i="2"/>
  <c r="AC5858" i="2"/>
  <c r="AC5809" i="2"/>
  <c r="AC5801" i="2"/>
  <c r="AC5799" i="2"/>
  <c r="AB5797" i="2"/>
  <c r="AA5789" i="2"/>
  <c r="AB5787" i="2"/>
  <c r="AB5734" i="2"/>
  <c r="AC5724" i="2"/>
  <c r="AA5724" i="2"/>
  <c r="AA5722" i="2"/>
  <c r="AA5714" i="2"/>
  <c r="AB5714" i="2"/>
  <c r="AC5714" i="2"/>
  <c r="AC5665" i="2"/>
  <c r="AC5657" i="2"/>
  <c r="AC5655" i="2"/>
  <c r="AB5653" i="2"/>
  <c r="AA5645" i="2"/>
  <c r="AB5643" i="2"/>
  <c r="AB5590" i="2"/>
  <c r="AC5580" i="2"/>
  <c r="AA5580" i="2"/>
  <c r="AA5578" i="2"/>
  <c r="AC5578" i="2"/>
  <c r="AC5508" i="2"/>
  <c r="AA5508" i="2"/>
  <c r="AC5472" i="2"/>
  <c r="AA5472" i="2"/>
  <c r="AC5412" i="2"/>
  <c r="AA5412" i="2"/>
  <c r="AC5352" i="2"/>
  <c r="AA5352" i="2"/>
  <c r="AC5280" i="2"/>
  <c r="AA5280" i="2"/>
  <c r="AA5270" i="2"/>
  <c r="AB5270" i="2"/>
  <c r="AC5270" i="2"/>
  <c r="AC5208" i="2"/>
  <c r="AA5208" i="2"/>
  <c r="AC5940" i="2"/>
  <c r="AA5940" i="2"/>
  <c r="AC5916" i="2"/>
  <c r="AA5916" i="2"/>
  <c r="AA5906" i="2"/>
  <c r="AB5906" i="2"/>
  <c r="AC5906" i="2"/>
  <c r="AC5304" i="2"/>
  <c r="AA5304" i="2"/>
  <c r="AA5990" i="2"/>
  <c r="AB5990" i="2"/>
  <c r="AC5990" i="2"/>
  <c r="AA5978" i="2"/>
  <c r="AB5978" i="2"/>
  <c r="AC5978" i="2"/>
  <c r="AA5774" i="2"/>
  <c r="AB5774" i="2"/>
  <c r="AC5774" i="2"/>
  <c r="AC5376" i="2"/>
  <c r="AA5376" i="2"/>
  <c r="AA5306" i="2"/>
  <c r="AB5306" i="2"/>
  <c r="AC5306" i="2"/>
  <c r="AA5234" i="2"/>
  <c r="AB5234" i="2"/>
  <c r="AC5234" i="2"/>
  <c r="AC6204" i="2"/>
  <c r="AA6204" i="2"/>
  <c r="AB6508" i="2"/>
  <c r="AB6506" i="2"/>
  <c r="AB6460" i="2"/>
  <c r="AB6458" i="2"/>
  <c r="AB6412" i="2"/>
  <c r="AB6410" i="2"/>
  <c r="AB6364" i="2"/>
  <c r="AB6362" i="2"/>
  <c r="AB6316" i="2"/>
  <c r="AB6314" i="2"/>
  <c r="AC6280" i="2"/>
  <c r="AB6256" i="2"/>
  <c r="AB6254" i="2"/>
  <c r="AB6252" i="2"/>
  <c r="AB6250" i="2"/>
  <c r="AA6221" i="2"/>
  <c r="AA6209" i="2"/>
  <c r="AA6197" i="2"/>
  <c r="AA6185" i="2"/>
  <c r="AA6173" i="2"/>
  <c r="AA6161" i="2"/>
  <c r="AA6149" i="2"/>
  <c r="AA6137" i="2"/>
  <c r="AC6125" i="2"/>
  <c r="AB6121" i="2"/>
  <c r="AC6109" i="2"/>
  <c r="AA6062" i="2"/>
  <c r="AB6062" i="2"/>
  <c r="AC6062" i="2"/>
  <c r="AC6048" i="2"/>
  <c r="AA6048" i="2"/>
  <c r="AA6046" i="2"/>
  <c r="AB6036" i="2"/>
  <c r="AB6034" i="2"/>
  <c r="AB5892" i="2"/>
  <c r="AB5890" i="2"/>
  <c r="AC5880" i="2"/>
  <c r="AA5880" i="2"/>
  <c r="AA5878" i="2"/>
  <c r="AA5870" i="2"/>
  <c r="AB5870" i="2"/>
  <c r="AC5870" i="2"/>
  <c r="AC5821" i="2"/>
  <c r="AC5813" i="2"/>
  <c r="AB5809" i="2"/>
  <c r="AA5801" i="2"/>
  <c r="AB5748" i="2"/>
  <c r="AB5746" i="2"/>
  <c r="AC5736" i="2"/>
  <c r="AA5736" i="2"/>
  <c r="AA5734" i="2"/>
  <c r="AA5726" i="2"/>
  <c r="AB5726" i="2"/>
  <c r="AC5726" i="2"/>
  <c r="AC5677" i="2"/>
  <c r="AC5669" i="2"/>
  <c r="AB5665" i="2"/>
  <c r="AA5657" i="2"/>
  <c r="AB5604" i="2"/>
  <c r="AB5602" i="2"/>
  <c r="AC5592" i="2"/>
  <c r="AA5592" i="2"/>
  <c r="AA5590" i="2"/>
  <c r="AA5582" i="2"/>
  <c r="AB5582" i="2"/>
  <c r="AC5582" i="2"/>
  <c r="AC5559" i="2"/>
  <c r="AC5544" i="2"/>
  <c r="AA5544" i="2"/>
  <c r="AA5510" i="2"/>
  <c r="AB5510" i="2"/>
  <c r="AC5510" i="2"/>
  <c r="AA5474" i="2"/>
  <c r="AB5474" i="2"/>
  <c r="AC5474" i="2"/>
  <c r="AB5424" i="2"/>
  <c r="AA5414" i="2"/>
  <c r="AB5414" i="2"/>
  <c r="AC5414" i="2"/>
  <c r="AB5364" i="2"/>
  <c r="AA5354" i="2"/>
  <c r="AB5354" i="2"/>
  <c r="AC5354" i="2"/>
  <c r="AB5292" i="2"/>
  <c r="AA5282" i="2"/>
  <c r="AB5282" i="2"/>
  <c r="AC5282" i="2"/>
  <c r="AC5220" i="2"/>
  <c r="AA5220" i="2"/>
  <c r="AA5210" i="2"/>
  <c r="AB5210" i="2"/>
  <c r="AC5210" i="2"/>
  <c r="AC5566" i="2"/>
  <c r="AC5554" i="2"/>
  <c r="AC5542" i="2"/>
  <c r="AC5530" i="2"/>
  <c r="AC5518" i="2"/>
  <c r="AC5506" i="2"/>
  <c r="AC5494" i="2"/>
  <c r="AC5482" i="2"/>
  <c r="AC5470" i="2"/>
  <c r="AC5458" i="2"/>
  <c r="AC5446" i="2"/>
  <c r="AC5434" i="2"/>
  <c r="AC5422" i="2"/>
  <c r="AC5410" i="2"/>
  <c r="AC5398" i="2"/>
  <c r="AC5386" i="2"/>
  <c r="AC5374" i="2"/>
  <c r="AB5167" i="2"/>
  <c r="AC5167" i="2"/>
  <c r="AC5129" i="2"/>
  <c r="AB5127" i="2"/>
  <c r="AB5095" i="2"/>
  <c r="AC5095" i="2"/>
  <c r="AA5078" i="2"/>
  <c r="AB5078" i="2"/>
  <c r="AC5078" i="2"/>
  <c r="AA5054" i="2"/>
  <c r="AB5054" i="2"/>
  <c r="AC5054" i="2"/>
  <c r="AB4987" i="2"/>
  <c r="AC4987" i="2"/>
  <c r="AB5547" i="2"/>
  <c r="AB5535" i="2"/>
  <c r="AB5523" i="2"/>
  <c r="AB5511" i="2"/>
  <c r="AB5499" i="2"/>
  <c r="AB5487" i="2"/>
  <c r="AB5475" i="2"/>
  <c r="AB5247" i="2"/>
  <c r="AB5235" i="2"/>
  <c r="AA5114" i="2"/>
  <c r="AB5114" i="2"/>
  <c r="AC5114" i="2"/>
  <c r="AA5086" i="2"/>
  <c r="AB5086" i="2"/>
  <c r="AB5071" i="2"/>
  <c r="AC5071" i="2"/>
  <c r="AB5067" i="2"/>
  <c r="AC5067" i="2"/>
  <c r="AB5047" i="2"/>
  <c r="AC5047" i="2"/>
  <c r="AA5006" i="2"/>
  <c r="AB5006" i="2"/>
  <c r="AC5006" i="2"/>
  <c r="AB4963" i="2"/>
  <c r="AC4963" i="2"/>
  <c r="AA4886" i="2"/>
  <c r="AB4886" i="2"/>
  <c r="AC4886" i="2"/>
  <c r="AB5155" i="2"/>
  <c r="AC5155" i="2"/>
  <c r="AA5062" i="2"/>
  <c r="AB5062" i="2"/>
  <c r="AA5038" i="2"/>
  <c r="AB5038" i="2"/>
  <c r="AB5023" i="2"/>
  <c r="AC5023" i="2"/>
  <c r="AA4946" i="2"/>
  <c r="AB4946" i="2"/>
  <c r="AC4946" i="2"/>
  <c r="AA4838" i="2"/>
  <c r="AB4838" i="2"/>
  <c r="AC4838" i="2"/>
  <c r="AA4778" i="2"/>
  <c r="AB4778" i="2"/>
  <c r="AC4778" i="2"/>
  <c r="AA4982" i="2"/>
  <c r="AB4982" i="2"/>
  <c r="AC4982" i="2"/>
  <c r="AC5183" i="2"/>
  <c r="AA5174" i="2"/>
  <c r="AB5174" i="2"/>
  <c r="AA5172" i="2"/>
  <c r="AB5147" i="2"/>
  <c r="AB5143" i="2"/>
  <c r="AC5143" i="2"/>
  <c r="AB5141" i="2"/>
  <c r="AA5139" i="2"/>
  <c r="AB5107" i="2"/>
  <c r="AC5107" i="2"/>
  <c r="AA5090" i="2"/>
  <c r="AB5090" i="2"/>
  <c r="AC5090" i="2"/>
  <c r="AA5014" i="2"/>
  <c r="AB5014" i="2"/>
  <c r="AA4862" i="2"/>
  <c r="AB4862" i="2"/>
  <c r="AC4862" i="2"/>
  <c r="AA5126" i="2"/>
  <c r="AB5126" i="2"/>
  <c r="AC5126" i="2"/>
  <c r="AB5103" i="2"/>
  <c r="AC5103" i="2"/>
  <c r="AA5066" i="2"/>
  <c r="AB5066" i="2"/>
  <c r="AC5066" i="2"/>
  <c r="AA5042" i="2"/>
  <c r="AB5042" i="2"/>
  <c r="AC5042" i="2"/>
  <c r="AB4999" i="2"/>
  <c r="AC4999" i="2"/>
  <c r="AA4958" i="2"/>
  <c r="AB4958" i="2"/>
  <c r="AC4958" i="2"/>
  <c r="AA4922" i="2"/>
  <c r="AB4922" i="2"/>
  <c r="AC4922" i="2"/>
  <c r="AC5913" i="2"/>
  <c r="AC5901" i="2"/>
  <c r="AC5889" i="2"/>
  <c r="AC5877" i="2"/>
  <c r="AC5865" i="2"/>
  <c r="AC5853" i="2"/>
  <c r="AC5841" i="2"/>
  <c r="AC5829" i="2"/>
  <c r="AC5817" i="2"/>
  <c r="AC5805" i="2"/>
  <c r="AC5793" i="2"/>
  <c r="AC5781" i="2"/>
  <c r="AC5769" i="2"/>
  <c r="AC5757" i="2"/>
  <c r="AC5745" i="2"/>
  <c r="AC5733" i="2"/>
  <c r="AC5721" i="2"/>
  <c r="AC5709" i="2"/>
  <c r="AC5697" i="2"/>
  <c r="AC5685" i="2"/>
  <c r="AC5673" i="2"/>
  <c r="AC5661" i="2"/>
  <c r="AC5649" i="2"/>
  <c r="AC5637" i="2"/>
  <c r="AC5625" i="2"/>
  <c r="AC5613" i="2"/>
  <c r="AC5601" i="2"/>
  <c r="AC5589" i="2"/>
  <c r="AC5577" i="2"/>
  <c r="AC5565" i="2"/>
  <c r="AC5553" i="2"/>
  <c r="AC5541" i="2"/>
  <c r="AC5529" i="2"/>
  <c r="AC5517" i="2"/>
  <c r="AB5512" i="2"/>
  <c r="AC5505" i="2"/>
  <c r="AB5500" i="2"/>
  <c r="AC5493" i="2"/>
  <c r="AB5488" i="2"/>
  <c r="AC5481" i="2"/>
  <c r="AB5476" i="2"/>
  <c r="AC5469" i="2"/>
  <c r="AB5464" i="2"/>
  <c r="AC5457" i="2"/>
  <c r="AB5452" i="2"/>
  <c r="AC5445" i="2"/>
  <c r="AB5440" i="2"/>
  <c r="AC5433" i="2"/>
  <c r="AB5428" i="2"/>
  <c r="AC5421" i="2"/>
  <c r="AC5409" i="2"/>
  <c r="AC5397" i="2"/>
  <c r="AB5392" i="2"/>
  <c r="AC5385" i="2"/>
  <c r="AB5380" i="2"/>
  <c r="AC5373" i="2"/>
  <c r="AC5361" i="2"/>
  <c r="AC5349" i="2"/>
  <c r="AC5337" i="2"/>
  <c r="AC5325" i="2"/>
  <c r="AC5313" i="2"/>
  <c r="AC5301" i="2"/>
  <c r="AC5289" i="2"/>
  <c r="AC5277" i="2"/>
  <c r="AC5265" i="2"/>
  <c r="AC5253" i="2"/>
  <c r="AC5241" i="2"/>
  <c r="AC5229" i="2"/>
  <c r="AC5217" i="2"/>
  <c r="AC5205" i="2"/>
  <c r="AC5193" i="2"/>
  <c r="AA5181" i="2"/>
  <c r="AC5181" i="2"/>
  <c r="AC5177" i="2"/>
  <c r="AC5158" i="2"/>
  <c r="AC5156" i="2"/>
  <c r="AA5098" i="2"/>
  <c r="AB5098" i="2"/>
  <c r="AB5083" i="2"/>
  <c r="AC5083" i="2"/>
  <c r="AB4975" i="2"/>
  <c r="AC4975" i="2"/>
  <c r="AA4898" i="2"/>
  <c r="AB4898" i="2"/>
  <c r="AC4898" i="2"/>
  <c r="AA4814" i="2"/>
  <c r="AB4814" i="2"/>
  <c r="AC4814" i="2"/>
  <c r="AB6009" i="2"/>
  <c r="AB5997" i="2"/>
  <c r="AB5985" i="2"/>
  <c r="AB5973" i="2"/>
  <c r="AB5961" i="2"/>
  <c r="AB5949" i="2"/>
  <c r="AB5937" i="2"/>
  <c r="AB5925" i="2"/>
  <c r="AB5913" i="2"/>
  <c r="AB5901" i="2"/>
  <c r="AB5889" i="2"/>
  <c r="AB5877" i="2"/>
  <c r="AB5865" i="2"/>
  <c r="AB5853" i="2"/>
  <c r="AB5841" i="2"/>
  <c r="AB5829" i="2"/>
  <c r="AB5817" i="2"/>
  <c r="AB5805" i="2"/>
  <c r="AB5793" i="2"/>
  <c r="AB5781" i="2"/>
  <c r="AB5769" i="2"/>
  <c r="AB5757" i="2"/>
  <c r="AB5745" i="2"/>
  <c r="AB5733" i="2"/>
  <c r="AB5721" i="2"/>
  <c r="AB5709" i="2"/>
  <c r="AB5697" i="2"/>
  <c r="AB5685" i="2"/>
  <c r="AB5673" i="2"/>
  <c r="AB5661" i="2"/>
  <c r="AB5649" i="2"/>
  <c r="AB5637" i="2"/>
  <c r="AB5625" i="2"/>
  <c r="AB5613" i="2"/>
  <c r="AB5601" i="2"/>
  <c r="AB5589" i="2"/>
  <c r="AB5577" i="2"/>
  <c r="AB5565" i="2"/>
  <c r="AB5553" i="2"/>
  <c r="AB5541" i="2"/>
  <c r="AB5529" i="2"/>
  <c r="AB5517" i="2"/>
  <c r="AB5505" i="2"/>
  <c r="AB5493" i="2"/>
  <c r="AB5481" i="2"/>
  <c r="AB5469" i="2"/>
  <c r="AB5457" i="2"/>
  <c r="AB5445" i="2"/>
  <c r="AB5433" i="2"/>
  <c r="AB5421" i="2"/>
  <c r="AB5409" i="2"/>
  <c r="AB5397" i="2"/>
  <c r="AB5385" i="2"/>
  <c r="AB5373" i="2"/>
  <c r="AB5361" i="2"/>
  <c r="AB5349" i="2"/>
  <c r="AB5337" i="2"/>
  <c r="AB5325" i="2"/>
  <c r="AB5313" i="2"/>
  <c r="AB5301" i="2"/>
  <c r="AB5289" i="2"/>
  <c r="AB5277" i="2"/>
  <c r="AB5265" i="2"/>
  <c r="AB5253" i="2"/>
  <c r="AB5241" i="2"/>
  <c r="AB5229" i="2"/>
  <c r="AB5217" i="2"/>
  <c r="AB5205" i="2"/>
  <c r="AB5193" i="2"/>
  <c r="AB5177" i="2"/>
  <c r="AA5162" i="2"/>
  <c r="AB5162" i="2"/>
  <c r="AB5158" i="2"/>
  <c r="AB5156" i="2"/>
  <c r="AC5117" i="2"/>
  <c r="AB5115" i="2"/>
  <c r="AB5079" i="2"/>
  <c r="AC5079" i="2"/>
  <c r="AB5059" i="2"/>
  <c r="AC5059" i="2"/>
  <c r="AB5055" i="2"/>
  <c r="AC5055" i="2"/>
  <c r="AB5035" i="2"/>
  <c r="AC5035" i="2"/>
  <c r="AA5018" i="2"/>
  <c r="AB5018" i="2"/>
  <c r="AC5018" i="2"/>
  <c r="AA4790" i="2"/>
  <c r="AB4790" i="2"/>
  <c r="AC4790" i="2"/>
  <c r="AB5119" i="2"/>
  <c r="AC5119" i="2"/>
  <c r="AB5117" i="2"/>
  <c r="AA5115" i="2"/>
  <c r="AA5074" i="2"/>
  <c r="AB5074" i="2"/>
  <c r="AA5050" i="2"/>
  <c r="AB5050" i="2"/>
  <c r="AA5138" i="2"/>
  <c r="AB5138" i="2"/>
  <c r="AC5138" i="2"/>
  <c r="AA5102" i="2"/>
  <c r="AB5102" i="2"/>
  <c r="AC5102" i="2"/>
  <c r="AA5026" i="2"/>
  <c r="AB5026" i="2"/>
  <c r="AB5011" i="2"/>
  <c r="AC5011" i="2"/>
  <c r="AA4994" i="2"/>
  <c r="AB4994" i="2"/>
  <c r="AC4994" i="2"/>
  <c r="AA4874" i="2"/>
  <c r="AB4874" i="2"/>
  <c r="AC4874" i="2"/>
  <c r="AA4850" i="2"/>
  <c r="AB4850" i="2"/>
  <c r="AC4850" i="2"/>
  <c r="AA4826" i="2"/>
  <c r="AB4826" i="2"/>
  <c r="AC4826" i="2"/>
  <c r="AA4766" i="2"/>
  <c r="AB4766" i="2"/>
  <c r="AC4766" i="2"/>
  <c r="AB4507" i="2"/>
  <c r="AC4507" i="2"/>
  <c r="AB4476" i="2"/>
  <c r="AC4476" i="2"/>
  <c r="AA4459" i="2"/>
  <c r="AB4459" i="2"/>
  <c r="AC4459" i="2"/>
  <c r="AB4332" i="2"/>
  <c r="AC4332" i="2"/>
  <c r="AA4423" i="2"/>
  <c r="AB4423" i="2"/>
  <c r="AC4423" i="2"/>
  <c r="AB4417" i="2"/>
  <c r="AC4417" i="2"/>
  <c r="AB4404" i="2"/>
  <c r="AC4404" i="2"/>
  <c r="AB4356" i="2"/>
  <c r="AC4356" i="2"/>
  <c r="AA4327" i="2"/>
  <c r="AB4327" i="2"/>
  <c r="AC4327" i="2"/>
  <c r="AA4212" i="2"/>
  <c r="AB4212" i="2"/>
  <c r="AC4212" i="2"/>
  <c r="AA2569" i="2"/>
  <c r="AB2569" i="2"/>
  <c r="AC2569" i="2"/>
  <c r="AC5043" i="2"/>
  <c r="AC5031" i="2"/>
  <c r="AC5019" i="2"/>
  <c r="AC5007" i="2"/>
  <c r="AC4995" i="2"/>
  <c r="AB4990" i="2"/>
  <c r="AC4983" i="2"/>
  <c r="AB4978" i="2"/>
  <c r="AC4971" i="2"/>
  <c r="AB4966" i="2"/>
  <c r="AC4959" i="2"/>
  <c r="AB4954" i="2"/>
  <c r="AC4947" i="2"/>
  <c r="AB4942" i="2"/>
  <c r="AC4935" i="2"/>
  <c r="AB4930" i="2"/>
  <c r="AC4923" i="2"/>
  <c r="AB4918" i="2"/>
  <c r="AC4911" i="2"/>
  <c r="AB4906" i="2"/>
  <c r="AC4899" i="2"/>
  <c r="AB4894" i="2"/>
  <c r="AC4887" i="2"/>
  <c r="AB4882" i="2"/>
  <c r="AC4875" i="2"/>
  <c r="AB4870" i="2"/>
  <c r="AC4863" i="2"/>
  <c r="AB4858" i="2"/>
  <c r="AC4851" i="2"/>
  <c r="AB4846" i="2"/>
  <c r="AC4839" i="2"/>
  <c r="AB4834" i="2"/>
  <c r="AC4827" i="2"/>
  <c r="AB4822" i="2"/>
  <c r="AB4810" i="2"/>
  <c r="AB4798" i="2"/>
  <c r="AB4786" i="2"/>
  <c r="AB4774" i="2"/>
  <c r="AB4762" i="2"/>
  <c r="AB4750" i="2"/>
  <c r="AB4738" i="2"/>
  <c r="AB4726" i="2"/>
  <c r="AB4714" i="2"/>
  <c r="AB4702" i="2"/>
  <c r="AB4690" i="2"/>
  <c r="AB4642" i="2"/>
  <c r="AA4640" i="2"/>
  <c r="AB4629" i="2"/>
  <c r="AA4627" i="2"/>
  <c r="AB4618" i="2"/>
  <c r="AA4616" i="2"/>
  <c r="AB4605" i="2"/>
  <c r="AA4603" i="2"/>
  <c r="AB4594" i="2"/>
  <c r="AA4592" i="2"/>
  <c r="AB4581" i="2"/>
  <c r="AA4579" i="2"/>
  <c r="AB4570" i="2"/>
  <c r="AA4568" i="2"/>
  <c r="AB4557" i="2"/>
  <c r="AA4555" i="2"/>
  <c r="AB4546" i="2"/>
  <c r="AA4544" i="2"/>
  <c r="AB4533" i="2"/>
  <c r="AA4531" i="2"/>
  <c r="AB4522" i="2"/>
  <c r="AA4520" i="2"/>
  <c r="AB4518" i="2"/>
  <c r="AA4503" i="2"/>
  <c r="AB4499" i="2"/>
  <c r="AB4465" i="2"/>
  <c r="AB4463" i="2"/>
  <c r="AA4455" i="2"/>
  <c r="AB4455" i="2"/>
  <c r="AB4436" i="2"/>
  <c r="AC4436" i="2"/>
  <c r="AB4380" i="2"/>
  <c r="AC4380" i="2"/>
  <c r="AA4236" i="2"/>
  <c r="AB4236" i="2"/>
  <c r="AC4236" i="2"/>
  <c r="AA4022" i="2"/>
  <c r="AB4022" i="2"/>
  <c r="AC4022" i="2"/>
  <c r="AA3610" i="2"/>
  <c r="AB3610" i="2"/>
  <c r="AC3610" i="2"/>
  <c r="AB4495" i="2"/>
  <c r="AC4495" i="2"/>
  <c r="AA4471" i="2"/>
  <c r="AB4471" i="2"/>
  <c r="AC4471" i="2"/>
  <c r="AB4440" i="2"/>
  <c r="AC4440" i="2"/>
  <c r="AA4399" i="2"/>
  <c r="AB4399" i="2"/>
  <c r="AC4399" i="2"/>
  <c r="AB4393" i="2"/>
  <c r="AC4393" i="2"/>
  <c r="AA4351" i="2"/>
  <c r="AB4351" i="2"/>
  <c r="AC4351" i="2"/>
  <c r="AB4296" i="2"/>
  <c r="AC4296" i="2"/>
  <c r="AA3922" i="2"/>
  <c r="AB3922" i="2"/>
  <c r="AC3922" i="2"/>
  <c r="AB3425" i="2"/>
  <c r="AA3425" i="2"/>
  <c r="AC3425" i="2"/>
  <c r="AC2949" i="2"/>
  <c r="AA2949" i="2"/>
  <c r="AB2949" i="2"/>
  <c r="AA4412" i="2"/>
  <c r="AB4412" i="2"/>
  <c r="AC4412" i="2"/>
  <c r="AA4375" i="2"/>
  <c r="AB4375" i="2"/>
  <c r="AC4375" i="2"/>
  <c r="AA4260" i="2"/>
  <c r="AB4260" i="2"/>
  <c r="AC4260" i="2"/>
  <c r="AA4176" i="2"/>
  <c r="AB4176" i="2"/>
  <c r="AC4176" i="2"/>
  <c r="AC3692" i="2"/>
  <c r="AA3692" i="2"/>
  <c r="AB3692" i="2"/>
  <c r="AA4514" i="2"/>
  <c r="AB4514" i="2"/>
  <c r="AB4483" i="2"/>
  <c r="AC4483" i="2"/>
  <c r="AA4467" i="2"/>
  <c r="AB4467" i="2"/>
  <c r="AB4448" i="2"/>
  <c r="AC4448" i="2"/>
  <c r="AB4320" i="2"/>
  <c r="AC4320" i="2"/>
  <c r="AA3866" i="2"/>
  <c r="AB3866" i="2"/>
  <c r="AC3866" i="2"/>
  <c r="AA3694" i="2"/>
  <c r="AB3694" i="2"/>
  <c r="AC3694" i="2"/>
  <c r="AB3444" i="2"/>
  <c r="AA3444" i="2"/>
  <c r="AC3444" i="2"/>
  <c r="AC3429" i="2"/>
  <c r="AA3429" i="2"/>
  <c r="AB3429" i="2"/>
  <c r="AA3126" i="2"/>
  <c r="AB3126" i="2"/>
  <c r="AC3126" i="2"/>
  <c r="AC5135" i="2"/>
  <c r="AC5123" i="2"/>
  <c r="AC5111" i="2"/>
  <c r="AC5099" i="2"/>
  <c r="AC5087" i="2"/>
  <c r="AC5075" i="2"/>
  <c r="AC5063" i="2"/>
  <c r="AC5051" i="2"/>
  <c r="AC5039" i="2"/>
  <c r="AC5027" i="2"/>
  <c r="AC5015" i="2"/>
  <c r="AC4991" i="2"/>
  <c r="AC4955" i="2"/>
  <c r="AC4943" i="2"/>
  <c r="AC4931" i="2"/>
  <c r="AC4919" i="2"/>
  <c r="AC4907" i="2"/>
  <c r="AB4902" i="2"/>
  <c r="AC4895" i="2"/>
  <c r="AC4883" i="2"/>
  <c r="AC4871" i="2"/>
  <c r="AC4859" i="2"/>
  <c r="AB4854" i="2"/>
  <c r="AC4847" i="2"/>
  <c r="AB4842" i="2"/>
  <c r="AC4835" i="2"/>
  <c r="AB4830" i="2"/>
  <c r="AC4823" i="2"/>
  <c r="AC4811" i="2"/>
  <c r="AC4799" i="2"/>
  <c r="AC4787" i="2"/>
  <c r="AC4775" i="2"/>
  <c r="AC4763" i="2"/>
  <c r="AC4751" i="2"/>
  <c r="AC4739" i="2"/>
  <c r="AC4727" i="2"/>
  <c r="AC4715" i="2"/>
  <c r="AB4710" i="2"/>
  <c r="AC4703" i="2"/>
  <c r="AB4698" i="2"/>
  <c r="AC4691" i="2"/>
  <c r="AB4686" i="2"/>
  <c r="AC4679" i="2"/>
  <c r="AB4674" i="2"/>
  <c r="AC4667" i="2"/>
  <c r="AB4662" i="2"/>
  <c r="AC4655" i="2"/>
  <c r="AC4643" i="2"/>
  <c r="AC4619" i="2"/>
  <c r="AC4595" i="2"/>
  <c r="AB4584" i="2"/>
  <c r="AC4571" i="2"/>
  <c r="AB4560" i="2"/>
  <c r="AC4547" i="2"/>
  <c r="AB4536" i="2"/>
  <c r="AC4523" i="2"/>
  <c r="AB4510" i="2"/>
  <c r="AA4508" i="2"/>
  <c r="AC4479" i="2"/>
  <c r="AA4477" i="2"/>
  <c r="AB4452" i="2"/>
  <c r="AC4452" i="2"/>
  <c r="AA4435" i="2"/>
  <c r="AB4435" i="2"/>
  <c r="AC4435" i="2"/>
  <c r="AB4429" i="2"/>
  <c r="AC4429" i="2"/>
  <c r="AB4416" i="2"/>
  <c r="AC4416" i="2"/>
  <c r="AA4315" i="2"/>
  <c r="AB4315" i="2"/>
  <c r="AC4315" i="2"/>
  <c r="AA4200" i="2"/>
  <c r="AB4200" i="2"/>
  <c r="AC4200" i="2"/>
  <c r="AA4058" i="2"/>
  <c r="AB4058" i="2"/>
  <c r="AC4058" i="2"/>
  <c r="AB5135" i="2"/>
  <c r="AB5123" i="2"/>
  <c r="AB5111" i="2"/>
  <c r="AB5099" i="2"/>
  <c r="AB5087" i="2"/>
  <c r="AB5075" i="2"/>
  <c r="AB5063" i="2"/>
  <c r="AB5051" i="2"/>
  <c r="AB5039" i="2"/>
  <c r="AB5027" i="2"/>
  <c r="AB5015" i="2"/>
  <c r="AB4979" i="2"/>
  <c r="AB4967" i="2"/>
  <c r="AB4919" i="2"/>
  <c r="AB4907" i="2"/>
  <c r="AB4895" i="2"/>
  <c r="AB4883" i="2"/>
  <c r="AB4871" i="2"/>
  <c r="AB4859" i="2"/>
  <c r="AB4847" i="2"/>
  <c r="AB4835" i="2"/>
  <c r="AB4823" i="2"/>
  <c r="AB4811" i="2"/>
  <c r="AB4799" i="2"/>
  <c r="AB4787" i="2"/>
  <c r="AB4775" i="2"/>
  <c r="AB4763" i="2"/>
  <c r="AB4751" i="2"/>
  <c r="AB4739" i="2"/>
  <c r="AB4727" i="2"/>
  <c r="AB4715" i="2"/>
  <c r="AC4708" i="2"/>
  <c r="AB4703" i="2"/>
  <c r="AC4696" i="2"/>
  <c r="AB4691" i="2"/>
  <c r="AC4684" i="2"/>
  <c r="AB4679" i="2"/>
  <c r="AB4667" i="2"/>
  <c r="AC4660" i="2"/>
  <c r="AB4655" i="2"/>
  <c r="AC4648" i="2"/>
  <c r="AB4643" i="2"/>
  <c r="AC4641" i="2"/>
  <c r="AB4639" i="2"/>
  <c r="AC4630" i="2"/>
  <c r="AB4628" i="2"/>
  <c r="AB4619" i="2"/>
  <c r="AC4617" i="2"/>
  <c r="AB4615" i="2"/>
  <c r="AC4606" i="2"/>
  <c r="AB4604" i="2"/>
  <c r="AB4595" i="2"/>
  <c r="AC4593" i="2"/>
  <c r="AB4591" i="2"/>
  <c r="AC4582" i="2"/>
  <c r="AB4580" i="2"/>
  <c r="AB4571" i="2"/>
  <c r="AC4569" i="2"/>
  <c r="AB4567" i="2"/>
  <c r="AC4558" i="2"/>
  <c r="AB4556" i="2"/>
  <c r="AB4547" i="2"/>
  <c r="AC4545" i="2"/>
  <c r="AB4543" i="2"/>
  <c r="AC4534" i="2"/>
  <c r="AB4532" i="2"/>
  <c r="AB4523" i="2"/>
  <c r="AC4521" i="2"/>
  <c r="AB4519" i="2"/>
  <c r="AB4500" i="2"/>
  <c r="AC4439" i="2"/>
  <c r="AB4344" i="2"/>
  <c r="AC4344" i="2"/>
  <c r="AA4284" i="2"/>
  <c r="AB4284" i="2"/>
  <c r="AC4284" i="2"/>
  <c r="AB4153" i="2"/>
  <c r="AA4153" i="2"/>
  <c r="AC4153" i="2"/>
  <c r="AA3946" i="2"/>
  <c r="AB3946" i="2"/>
  <c r="AC3946" i="2"/>
  <c r="AC3800" i="2"/>
  <c r="AA3800" i="2"/>
  <c r="AB3800" i="2"/>
  <c r="AC3465" i="2"/>
  <c r="AB3465" i="2"/>
  <c r="AA3465" i="2"/>
  <c r="AA3166" i="2"/>
  <c r="AC3166" i="2"/>
  <c r="AB3166" i="2"/>
  <c r="AC5169" i="2"/>
  <c r="AC5157" i="2"/>
  <c r="AC5145" i="2"/>
  <c r="AC5133" i="2"/>
  <c r="AC5121" i="2"/>
  <c r="AC5109" i="2"/>
  <c r="AC5097" i="2"/>
  <c r="AC5085" i="2"/>
  <c r="AC5073" i="2"/>
  <c r="AC5061" i="2"/>
  <c r="AC5049" i="2"/>
  <c r="AC5037" i="2"/>
  <c r="AC5025" i="2"/>
  <c r="AC5013" i="2"/>
  <c r="AC5001" i="2"/>
  <c r="AC4989" i="2"/>
  <c r="AC4977" i="2"/>
  <c r="AC4965" i="2"/>
  <c r="AC4953" i="2"/>
  <c r="AC4941" i="2"/>
  <c r="AC4929" i="2"/>
  <c r="AC4869" i="2"/>
  <c r="AC4857" i="2"/>
  <c r="AC4845" i="2"/>
  <c r="AC4809" i="2"/>
  <c r="AC4797" i="2"/>
  <c r="AC4785" i="2"/>
  <c r="AC4773" i="2"/>
  <c r="AC4761" i="2"/>
  <c r="AC4749" i="2"/>
  <c r="AC4737" i="2"/>
  <c r="AC4725" i="2"/>
  <c r="AC4713" i="2"/>
  <c r="AC4701" i="2"/>
  <c r="AC4689" i="2"/>
  <c r="AC4677" i="2"/>
  <c r="AC4665" i="2"/>
  <c r="AC4653" i="2"/>
  <c r="AB4641" i="2"/>
  <c r="AA4639" i="2"/>
  <c r="AB4630" i="2"/>
  <c r="AA4628" i="2"/>
  <c r="AB4617" i="2"/>
  <c r="AA4615" i="2"/>
  <c r="AB4606" i="2"/>
  <c r="AA4604" i="2"/>
  <c r="AB4593" i="2"/>
  <c r="AA4591" i="2"/>
  <c r="AB4582" i="2"/>
  <c r="AA4580" i="2"/>
  <c r="AB4569" i="2"/>
  <c r="AA4567" i="2"/>
  <c r="AB4558" i="2"/>
  <c r="AA4556" i="2"/>
  <c r="AB4545" i="2"/>
  <c r="AA4543" i="2"/>
  <c r="AB4534" i="2"/>
  <c r="AA4532" i="2"/>
  <c r="AB4521" i="2"/>
  <c r="AA4519" i="2"/>
  <c r="AA4502" i="2"/>
  <c r="AB4502" i="2"/>
  <c r="AA4500" i="2"/>
  <c r="AB4460" i="2"/>
  <c r="AC4460" i="2"/>
  <c r="AB4439" i="2"/>
  <c r="AA4411" i="2"/>
  <c r="AB4411" i="2"/>
  <c r="AC4411" i="2"/>
  <c r="AB4405" i="2"/>
  <c r="AC4405" i="2"/>
  <c r="AB4392" i="2"/>
  <c r="AC4392" i="2"/>
  <c r="AB4368" i="2"/>
  <c r="AC4368" i="2"/>
  <c r="AA4339" i="2"/>
  <c r="AB4339" i="2"/>
  <c r="AC4339" i="2"/>
  <c r="AA4224" i="2"/>
  <c r="AB4224" i="2"/>
  <c r="AC4224" i="2"/>
  <c r="AA3802" i="2"/>
  <c r="AB3802" i="2"/>
  <c r="AC3802" i="2"/>
  <c r="AC3644" i="2"/>
  <c r="AA3644" i="2"/>
  <c r="AB3644" i="2"/>
  <c r="AA3467" i="2"/>
  <c r="AC3467" i="2"/>
  <c r="AB3467" i="2"/>
  <c r="AB4989" i="2"/>
  <c r="AB4977" i="2"/>
  <c r="AB4965" i="2"/>
  <c r="AC4754" i="2"/>
  <c r="AC4742" i="2"/>
  <c r="AC4730" i="2"/>
  <c r="AC4718" i="2"/>
  <c r="AC4706" i="2"/>
  <c r="AC4694" i="2"/>
  <c r="AC4682" i="2"/>
  <c r="AC4670" i="2"/>
  <c r="AC4658" i="2"/>
  <c r="AC4646" i="2"/>
  <c r="AC4513" i="2"/>
  <c r="AB4464" i="2"/>
  <c r="AC4464" i="2"/>
  <c r="AA4447" i="2"/>
  <c r="AB4447" i="2"/>
  <c r="AC4447" i="2"/>
  <c r="AA4424" i="2"/>
  <c r="AB4424" i="2"/>
  <c r="AC4424" i="2"/>
  <c r="AA4381" i="2"/>
  <c r="AB4381" i="2"/>
  <c r="AC4381" i="2"/>
  <c r="AA4363" i="2"/>
  <c r="AB4363" i="2"/>
  <c r="AC4363" i="2"/>
  <c r="AA4248" i="2"/>
  <c r="AB4248" i="2"/>
  <c r="AC4248" i="2"/>
  <c r="AA4164" i="2"/>
  <c r="AB4164" i="2"/>
  <c r="AC4164" i="2"/>
  <c r="AC3992" i="2"/>
  <c r="AA3992" i="2"/>
  <c r="AB3992" i="2"/>
  <c r="AB3589" i="2"/>
  <c r="AA3589" i="2"/>
  <c r="AC3589" i="2"/>
  <c r="AC4951" i="2"/>
  <c r="AC4939" i="2"/>
  <c r="AC4927" i="2"/>
  <c r="AC4915" i="2"/>
  <c r="AC4903" i="2"/>
  <c r="AC4891" i="2"/>
  <c r="AC4879" i="2"/>
  <c r="AC4867" i="2"/>
  <c r="AC4855" i="2"/>
  <c r="AC4843" i="2"/>
  <c r="AC4831" i="2"/>
  <c r="AC4819" i="2"/>
  <c r="AC4807" i="2"/>
  <c r="AC4795" i="2"/>
  <c r="AC4783" i="2"/>
  <c r="AC4771" i="2"/>
  <c r="AC4759" i="2"/>
  <c r="AB4754" i="2"/>
  <c r="AC4747" i="2"/>
  <c r="AB4742" i="2"/>
  <c r="AC4735" i="2"/>
  <c r="AB4730" i="2"/>
  <c r="AC4723" i="2"/>
  <c r="AB4718" i="2"/>
  <c r="AC4711" i="2"/>
  <c r="AB4706" i="2"/>
  <c r="AC4699" i="2"/>
  <c r="AB4694" i="2"/>
  <c r="AC4687" i="2"/>
  <c r="AB4682" i="2"/>
  <c r="AC4675" i="2"/>
  <c r="AB4670" i="2"/>
  <c r="AC4663" i="2"/>
  <c r="AB4658" i="2"/>
  <c r="AC4651" i="2"/>
  <c r="AB4646" i="2"/>
  <c r="AC4635" i="2"/>
  <c r="AC4633" i="2"/>
  <c r="AC4622" i="2"/>
  <c r="AC4611" i="2"/>
  <c r="AC4609" i="2"/>
  <c r="AC4598" i="2"/>
  <c r="AC4587" i="2"/>
  <c r="AC4585" i="2"/>
  <c r="AC4574" i="2"/>
  <c r="AC4563" i="2"/>
  <c r="AC4561" i="2"/>
  <c r="AC4550" i="2"/>
  <c r="AC4539" i="2"/>
  <c r="AC4537" i="2"/>
  <c r="AC4526" i="2"/>
  <c r="AC4515" i="2"/>
  <c r="AB4513" i="2"/>
  <c r="AC4511" i="2"/>
  <c r="AB4488" i="2"/>
  <c r="AC4486" i="2"/>
  <c r="AB4484" i="2"/>
  <c r="AC4451" i="2"/>
  <c r="AA4387" i="2"/>
  <c r="AB4387" i="2"/>
  <c r="AC4387" i="2"/>
  <c r="AB4308" i="2"/>
  <c r="AC4308" i="2"/>
  <c r="AA4635" i="2"/>
  <c r="AA4622" i="2"/>
  <c r="AA4611" i="2"/>
  <c r="AA4598" i="2"/>
  <c r="AA4587" i="2"/>
  <c r="AA4574" i="2"/>
  <c r="AA4563" i="2"/>
  <c r="AA4550" i="2"/>
  <c r="AA4539" i="2"/>
  <c r="AA4526" i="2"/>
  <c r="AA4515" i="2"/>
  <c r="AA4507" i="2"/>
  <c r="AA4490" i="2"/>
  <c r="AB4490" i="2"/>
  <c r="AA4488" i="2"/>
  <c r="AB4486" i="2"/>
  <c r="AA4484" i="2"/>
  <c r="AA4476" i="2"/>
  <c r="AB4472" i="2"/>
  <c r="AC4472" i="2"/>
  <c r="AB4453" i="2"/>
  <c r="AB4451" i="2"/>
  <c r="AA4443" i="2"/>
  <c r="AB4443" i="2"/>
  <c r="AB4428" i="2"/>
  <c r="AC4428" i="2"/>
  <c r="AA4400" i="2"/>
  <c r="AB4400" i="2"/>
  <c r="AC4400" i="2"/>
  <c r="AA4332" i="2"/>
  <c r="AA4303" i="2"/>
  <c r="AB4303" i="2"/>
  <c r="AC4303" i="2"/>
  <c r="AA4272" i="2"/>
  <c r="AB4272" i="2"/>
  <c r="AC4272" i="2"/>
  <c r="AA4188" i="2"/>
  <c r="AB4188" i="2"/>
  <c r="AC4188" i="2"/>
  <c r="AA4090" i="2"/>
  <c r="AB4090" i="2"/>
  <c r="AC4090" i="2"/>
  <c r="AA3898" i="2"/>
  <c r="AB3898" i="2"/>
  <c r="AC3898" i="2"/>
  <c r="AB3661" i="2"/>
  <c r="AA3661" i="2"/>
  <c r="AC3661" i="2"/>
  <c r="AB4431" i="2"/>
  <c r="AB4419" i="2"/>
  <c r="AB4407" i="2"/>
  <c r="AB4395" i="2"/>
  <c r="AC4388" i="2"/>
  <c r="AB4383" i="2"/>
  <c r="AC4376" i="2"/>
  <c r="AB4371" i="2"/>
  <c r="AC4364" i="2"/>
  <c r="AB4359" i="2"/>
  <c r="AC4352" i="2"/>
  <c r="AB4347" i="2"/>
  <c r="AC4340" i="2"/>
  <c r="AB4335" i="2"/>
  <c r="AC4328" i="2"/>
  <c r="AB4323" i="2"/>
  <c r="AC4316" i="2"/>
  <c r="AB4311" i="2"/>
  <c r="AC4304" i="2"/>
  <c r="AB4299" i="2"/>
  <c r="AC4292" i="2"/>
  <c r="AB4287" i="2"/>
  <c r="AC4280" i="2"/>
  <c r="AB4275" i="2"/>
  <c r="AC4268" i="2"/>
  <c r="AC4256" i="2"/>
  <c r="AC4244" i="2"/>
  <c r="AC4232" i="2"/>
  <c r="AA4222" i="2"/>
  <c r="AC4220" i="2"/>
  <c r="AA4210" i="2"/>
  <c r="AC4208" i="2"/>
  <c r="AA4198" i="2"/>
  <c r="AC4196" i="2"/>
  <c r="AA4186" i="2"/>
  <c r="AC4184" i="2"/>
  <c r="AA4174" i="2"/>
  <c r="AC4172" i="2"/>
  <c r="AA4162" i="2"/>
  <c r="AC4160" i="2"/>
  <c r="AA4142" i="2"/>
  <c r="AB4142" i="2"/>
  <c r="AC4142" i="2"/>
  <c r="AC4105" i="2"/>
  <c r="AC4064" i="2"/>
  <c r="AA4064" i="2"/>
  <c r="AA4045" i="2"/>
  <c r="AC4028" i="2"/>
  <c r="AA4028" i="2"/>
  <c r="AA4009" i="2"/>
  <c r="AA3994" i="2"/>
  <c r="AB3994" i="2"/>
  <c r="AC3994" i="2"/>
  <c r="AC3985" i="2"/>
  <c r="AA3913" i="2"/>
  <c r="AC3872" i="2"/>
  <c r="AA3872" i="2"/>
  <c r="AA3853" i="2"/>
  <c r="AC3836" i="2"/>
  <c r="AA3836" i="2"/>
  <c r="AA3817" i="2"/>
  <c r="AC3776" i="2"/>
  <c r="AA3776" i="2"/>
  <c r="AC3752" i="2"/>
  <c r="AA3752" i="2"/>
  <c r="AC3673" i="2"/>
  <c r="AA3646" i="2"/>
  <c r="AB3646" i="2"/>
  <c r="AC3646" i="2"/>
  <c r="AC3601" i="2"/>
  <c r="AC3572" i="2"/>
  <c r="AA3572" i="2"/>
  <c r="AC3553" i="2"/>
  <c r="AA3533" i="2"/>
  <c r="AA3531" i="2"/>
  <c r="AC3531" i="2"/>
  <c r="AC3492" i="2"/>
  <c r="AC3473" i="2"/>
  <c r="AB3448" i="2"/>
  <c r="AC3448" i="2"/>
  <c r="AC3333" i="2"/>
  <c r="AA3333" i="2"/>
  <c r="AB3333" i="2"/>
  <c r="AA3275" i="2"/>
  <c r="AC3275" i="2"/>
  <c r="AB3275" i="2"/>
  <c r="AB3230" i="2"/>
  <c r="AA3230" i="2"/>
  <c r="AC3230" i="2"/>
  <c r="AB4388" i="2"/>
  <c r="AB4376" i="2"/>
  <c r="AC4369" i="2"/>
  <c r="AB4364" i="2"/>
  <c r="AC4357" i="2"/>
  <c r="AB4352" i="2"/>
  <c r="AC4345" i="2"/>
  <c r="AB4340" i="2"/>
  <c r="AC4333" i="2"/>
  <c r="AB4328" i="2"/>
  <c r="AC4321" i="2"/>
  <c r="AB4316" i="2"/>
  <c r="AC4309" i="2"/>
  <c r="AB4304" i="2"/>
  <c r="AC4297" i="2"/>
  <c r="AB4292" i="2"/>
  <c r="AC4285" i="2"/>
  <c r="AB4280" i="2"/>
  <c r="AC4273" i="2"/>
  <c r="AB4268" i="2"/>
  <c r="AC4261" i="2"/>
  <c r="AB4256" i="2"/>
  <c r="AC4249" i="2"/>
  <c r="AB4244" i="2"/>
  <c r="AC4237" i="2"/>
  <c r="AB4232" i="2"/>
  <c r="AC4225" i="2"/>
  <c r="AB4220" i="2"/>
  <c r="AC4213" i="2"/>
  <c r="AB4208" i="2"/>
  <c r="AC4201" i="2"/>
  <c r="AB4196" i="2"/>
  <c r="AC4189" i="2"/>
  <c r="AB4184" i="2"/>
  <c r="AC4177" i="2"/>
  <c r="AB4172" i="2"/>
  <c r="AC4165" i="2"/>
  <c r="AB4160" i="2"/>
  <c r="AC4148" i="2"/>
  <c r="AA4148" i="2"/>
  <c r="AA4118" i="2"/>
  <c r="AB4118" i="2"/>
  <c r="AC4118" i="2"/>
  <c r="AC4081" i="2"/>
  <c r="AA4066" i="2"/>
  <c r="AB4066" i="2"/>
  <c r="AC4066" i="2"/>
  <c r="AA4030" i="2"/>
  <c r="AB4030" i="2"/>
  <c r="AC4030" i="2"/>
  <c r="AA3974" i="2"/>
  <c r="AB3974" i="2"/>
  <c r="AC3974" i="2"/>
  <c r="AA3950" i="2"/>
  <c r="AB3950" i="2"/>
  <c r="AC3950" i="2"/>
  <c r="AC3937" i="2"/>
  <c r="AC3889" i="2"/>
  <c r="AA3874" i="2"/>
  <c r="AB3874" i="2"/>
  <c r="AC3874" i="2"/>
  <c r="AA3838" i="2"/>
  <c r="AB3838" i="2"/>
  <c r="AC3838" i="2"/>
  <c r="AC3793" i="2"/>
  <c r="AA3778" i="2"/>
  <c r="AB3778" i="2"/>
  <c r="AC3778" i="2"/>
  <c r="AA3754" i="2"/>
  <c r="AB3754" i="2"/>
  <c r="AC3754" i="2"/>
  <c r="AC3733" i="2"/>
  <c r="AC3637" i="2"/>
  <c r="AA3574" i="2"/>
  <c r="AB3574" i="2"/>
  <c r="AC3574" i="2"/>
  <c r="AC3537" i="2"/>
  <c r="AA3537" i="2"/>
  <c r="AB3537" i="2"/>
  <c r="AA3469" i="2"/>
  <c r="AB3469" i="2"/>
  <c r="AC3469" i="2"/>
  <c r="AA3456" i="2"/>
  <c r="AB3456" i="2"/>
  <c r="AC3456" i="2"/>
  <c r="AB3412" i="2"/>
  <c r="AA3412" i="2"/>
  <c r="AC3412" i="2"/>
  <c r="AA3371" i="2"/>
  <c r="AC3371" i="2"/>
  <c r="AB3371" i="2"/>
  <c r="AC3369" i="2"/>
  <c r="AB3369" i="2"/>
  <c r="AB3352" i="2"/>
  <c r="AC3352" i="2"/>
  <c r="AA3277" i="2"/>
  <c r="AB3277" i="2"/>
  <c r="AC3277" i="2"/>
  <c r="AA3251" i="2"/>
  <c r="AC3251" i="2"/>
  <c r="AB3251" i="2"/>
  <c r="AC3249" i="2"/>
  <c r="AB3249" i="2"/>
  <c r="AA3058" i="2"/>
  <c r="AC3058" i="2"/>
  <c r="AB2951" i="2"/>
  <c r="AC2951" i="2"/>
  <c r="AA2951" i="2"/>
  <c r="AC2657" i="2"/>
  <c r="AB2657" i="2"/>
  <c r="AA2657" i="2"/>
  <c r="AB4369" i="2"/>
  <c r="AB4357" i="2"/>
  <c r="AB4345" i="2"/>
  <c r="AB4333" i="2"/>
  <c r="AB4321" i="2"/>
  <c r="AB4309" i="2"/>
  <c r="AB4297" i="2"/>
  <c r="AB4285" i="2"/>
  <c r="AB4273" i="2"/>
  <c r="AB4261" i="2"/>
  <c r="AB4249" i="2"/>
  <c r="AB4237" i="2"/>
  <c r="AB4158" i="2"/>
  <c r="AA4150" i="2"/>
  <c r="AB4150" i="2"/>
  <c r="AC4150" i="2"/>
  <c r="AC4124" i="2"/>
  <c r="AA4124" i="2"/>
  <c r="AA4094" i="2"/>
  <c r="AB4094" i="2"/>
  <c r="AC4094" i="2"/>
  <c r="AA4081" i="2"/>
  <c r="AC3956" i="2"/>
  <c r="AA3956" i="2"/>
  <c r="AA3937" i="2"/>
  <c r="AA3926" i="2"/>
  <c r="AB3926" i="2"/>
  <c r="AC3926" i="2"/>
  <c r="AA3902" i="2"/>
  <c r="AB3902" i="2"/>
  <c r="AC3902" i="2"/>
  <c r="AA3889" i="2"/>
  <c r="AA3793" i="2"/>
  <c r="AC3769" i="2"/>
  <c r="AA3733" i="2"/>
  <c r="AA3706" i="2"/>
  <c r="AB3706" i="2"/>
  <c r="AC3706" i="2"/>
  <c r="AC3704" i="2"/>
  <c r="AA3704" i="2"/>
  <c r="AA3637" i="2"/>
  <c r="AC3620" i="2"/>
  <c r="AA3620" i="2"/>
  <c r="AC3477" i="2"/>
  <c r="AA3477" i="2"/>
  <c r="AB3477" i="2"/>
  <c r="AA3360" i="2"/>
  <c r="AB3360" i="2"/>
  <c r="AC3360" i="2"/>
  <c r="AA3253" i="2"/>
  <c r="AB3253" i="2"/>
  <c r="AC3253" i="2"/>
  <c r="AC3147" i="2"/>
  <c r="AA3147" i="2"/>
  <c r="AB3147" i="2"/>
  <c r="AB3071" i="2"/>
  <c r="AA3071" i="2"/>
  <c r="AC3071" i="2"/>
  <c r="AA2793" i="2"/>
  <c r="AB2793" i="2"/>
  <c r="AC2793" i="2"/>
  <c r="AB2672" i="2"/>
  <c r="AA2672" i="2"/>
  <c r="AC2672" i="2"/>
  <c r="AA2659" i="2"/>
  <c r="AB2659" i="2"/>
  <c r="AC2659" i="2"/>
  <c r="L1333" i="2"/>
  <c r="K1333" i="2" s="1"/>
  <c r="AA1333" i="2"/>
  <c r="AB1333" i="2"/>
  <c r="AC1333" i="2"/>
  <c r="AD1333" i="2" s="1"/>
  <c r="AA4126" i="2"/>
  <c r="AB4126" i="2"/>
  <c r="AC4126" i="2"/>
  <c r="AA4034" i="2"/>
  <c r="AB4034" i="2"/>
  <c r="AC4034" i="2"/>
  <c r="AA3998" i="2"/>
  <c r="AB3998" i="2"/>
  <c r="AC3998" i="2"/>
  <c r="AA3958" i="2"/>
  <c r="AB3958" i="2"/>
  <c r="AC3958" i="2"/>
  <c r="AC3908" i="2"/>
  <c r="AA3908" i="2"/>
  <c r="AC3812" i="2"/>
  <c r="AA3812" i="2"/>
  <c r="AA3658" i="2"/>
  <c r="AB3658" i="2"/>
  <c r="AC3658" i="2"/>
  <c r="AC3656" i="2"/>
  <c r="AA3656" i="2"/>
  <c r="AA3622" i="2"/>
  <c r="AB3622" i="2"/>
  <c r="AC3622" i="2"/>
  <c r="AC3584" i="2"/>
  <c r="AA3584" i="2"/>
  <c r="AB3496" i="2"/>
  <c r="AC3496" i="2"/>
  <c r="AA3437" i="2"/>
  <c r="AB3437" i="2"/>
  <c r="AC3437" i="2"/>
  <c r="AA3373" i="2"/>
  <c r="AB3373" i="2"/>
  <c r="AC3373" i="2"/>
  <c r="AB3316" i="2"/>
  <c r="AA3316" i="2"/>
  <c r="AC3316" i="2"/>
  <c r="AC3136" i="2"/>
  <c r="AA3136" i="2"/>
  <c r="AA3134" i="2"/>
  <c r="AC3134" i="2"/>
  <c r="AA2973" i="2"/>
  <c r="AB2973" i="2"/>
  <c r="AC2973" i="2"/>
  <c r="AC2732" i="2"/>
  <c r="AA2732" i="2"/>
  <c r="AA2728" i="2"/>
  <c r="AC2728" i="2"/>
  <c r="AC4100" i="2"/>
  <c r="AA4100" i="2"/>
  <c r="AA4070" i="2"/>
  <c r="AB4070" i="2"/>
  <c r="AC4070" i="2"/>
  <c r="AC4040" i="2"/>
  <c r="AA4040" i="2"/>
  <c r="AC4004" i="2"/>
  <c r="AA4004" i="2"/>
  <c r="AC3980" i="2"/>
  <c r="AA3980" i="2"/>
  <c r="AA3910" i="2"/>
  <c r="AB3910" i="2"/>
  <c r="AC3910" i="2"/>
  <c r="AA3878" i="2"/>
  <c r="AB3878" i="2"/>
  <c r="AC3878" i="2"/>
  <c r="AC3848" i="2"/>
  <c r="AA3848" i="2"/>
  <c r="AA3814" i="2"/>
  <c r="AB3814" i="2"/>
  <c r="AC3814" i="2"/>
  <c r="AA3586" i="2"/>
  <c r="AB3586" i="2"/>
  <c r="AC3586" i="2"/>
  <c r="AA3341" i="2"/>
  <c r="AB3341" i="2"/>
  <c r="AC3341" i="2"/>
  <c r="AC3259" i="2"/>
  <c r="AA3259" i="2"/>
  <c r="AA3257" i="2"/>
  <c r="AC3257" i="2"/>
  <c r="AA3242" i="2"/>
  <c r="AB3242" i="2"/>
  <c r="AC3242" i="2"/>
  <c r="AA3182" i="2"/>
  <c r="AB3182" i="2"/>
  <c r="AC4365" i="2"/>
  <c r="AC4341" i="2"/>
  <c r="AC4329" i="2"/>
  <c r="AC4317" i="2"/>
  <c r="AC4305" i="2"/>
  <c r="AC4293" i="2"/>
  <c r="AC4281" i="2"/>
  <c r="AC4269" i="2"/>
  <c r="AC4257" i="2"/>
  <c r="AC4245" i="2"/>
  <c r="AC4233" i="2"/>
  <c r="AC4221" i="2"/>
  <c r="AC4209" i="2"/>
  <c r="AC4197" i="2"/>
  <c r="AC4185" i="2"/>
  <c r="AC4173" i="2"/>
  <c r="AC4161" i="2"/>
  <c r="AA4154" i="2"/>
  <c r="AB4154" i="2"/>
  <c r="AA4141" i="2"/>
  <c r="AA4102" i="2"/>
  <c r="AB4102" i="2"/>
  <c r="AC4102" i="2"/>
  <c r="AC4076" i="2"/>
  <c r="AA4076" i="2"/>
  <c r="AA4042" i="2"/>
  <c r="AB4042" i="2"/>
  <c r="AC4042" i="2"/>
  <c r="AA4006" i="2"/>
  <c r="AB4006" i="2"/>
  <c r="AC4006" i="2"/>
  <c r="AA3982" i="2"/>
  <c r="AB3982" i="2"/>
  <c r="AC3982" i="2"/>
  <c r="AC3932" i="2"/>
  <c r="AA3932" i="2"/>
  <c r="AA3850" i="2"/>
  <c r="AB3850" i="2"/>
  <c r="AC3850" i="2"/>
  <c r="AC3788" i="2"/>
  <c r="AA3788" i="2"/>
  <c r="AA3718" i="2"/>
  <c r="AB3718" i="2"/>
  <c r="AC3718" i="2"/>
  <c r="AC3716" i="2"/>
  <c r="AA3716" i="2"/>
  <c r="AA3613" i="2"/>
  <c r="AB3524" i="2"/>
  <c r="AA3524" i="2"/>
  <c r="AC3524" i="2"/>
  <c r="AB3520" i="2"/>
  <c r="AC3520" i="2"/>
  <c r="AC3381" i="2"/>
  <c r="AA3381" i="2"/>
  <c r="AB3381" i="2"/>
  <c r="AB2999" i="2"/>
  <c r="AA2999" i="2"/>
  <c r="AC2999" i="2"/>
  <c r="AC2391" i="2"/>
  <c r="AB2391" i="2"/>
  <c r="AA2391" i="2"/>
  <c r="AA4130" i="2"/>
  <c r="AB4130" i="2"/>
  <c r="AC4130" i="2"/>
  <c r="AA4078" i="2"/>
  <c r="AB4078" i="2"/>
  <c r="AC4078" i="2"/>
  <c r="AA3962" i="2"/>
  <c r="AB3962" i="2"/>
  <c r="AC3962" i="2"/>
  <c r="AA3934" i="2"/>
  <c r="AB3934" i="2"/>
  <c r="AC3934" i="2"/>
  <c r="AC3884" i="2"/>
  <c r="AA3884" i="2"/>
  <c r="AC3805" i="2"/>
  <c r="AA3790" i="2"/>
  <c r="AB3790" i="2"/>
  <c r="AC3790" i="2"/>
  <c r="AC3764" i="2"/>
  <c r="AA3764" i="2"/>
  <c r="AA3670" i="2"/>
  <c r="AB3670" i="2"/>
  <c r="AC3670" i="2"/>
  <c r="AC3668" i="2"/>
  <c r="AA3668" i="2"/>
  <c r="AC3632" i="2"/>
  <c r="AA3632" i="2"/>
  <c r="AC3596" i="2"/>
  <c r="AA3596" i="2"/>
  <c r="AC3577" i="2"/>
  <c r="AA3485" i="2"/>
  <c r="AB3485" i="2"/>
  <c r="AC3485" i="2"/>
  <c r="AB3460" i="2"/>
  <c r="AA3460" i="2"/>
  <c r="AC3460" i="2"/>
  <c r="AA3283" i="2"/>
  <c r="AB3283" i="2"/>
  <c r="AC3283" i="2"/>
  <c r="AC3261" i="2"/>
  <c r="AA3261" i="2"/>
  <c r="AA3151" i="2"/>
  <c r="AC3151" i="2"/>
  <c r="AB3151" i="2"/>
  <c r="AC2887" i="2"/>
  <c r="AA2887" i="2"/>
  <c r="AB2887" i="2"/>
  <c r="AA2845" i="2"/>
  <c r="AB2845" i="2"/>
  <c r="AC2845" i="2"/>
  <c r="AB2517" i="2"/>
  <c r="AC2517" i="2"/>
  <c r="AA2517" i="2"/>
  <c r="AB4478" i="2"/>
  <c r="AB4466" i="2"/>
  <c r="AB4454" i="2"/>
  <c r="AB4442" i="2"/>
  <c r="AB4430" i="2"/>
  <c r="AB4418" i="2"/>
  <c r="AB4406" i="2"/>
  <c r="AB4394" i="2"/>
  <c r="AB4382" i="2"/>
  <c r="AB4370" i="2"/>
  <c r="AB4358" i="2"/>
  <c r="AB4346" i="2"/>
  <c r="AB4334" i="2"/>
  <c r="AB4322" i="2"/>
  <c r="AB4310" i="2"/>
  <c r="AB4298" i="2"/>
  <c r="AC4291" i="2"/>
  <c r="AB4286" i="2"/>
  <c r="AC4279" i="2"/>
  <c r="AB4274" i="2"/>
  <c r="AC4267" i="2"/>
  <c r="AB4262" i="2"/>
  <c r="AC4255" i="2"/>
  <c r="AB4250" i="2"/>
  <c r="AC4243" i="2"/>
  <c r="AB4238" i="2"/>
  <c r="AC4231" i="2"/>
  <c r="AB4226" i="2"/>
  <c r="AC4219" i="2"/>
  <c r="AB4214" i="2"/>
  <c r="AC4207" i="2"/>
  <c r="AB4202" i="2"/>
  <c r="AC4195" i="2"/>
  <c r="AB4190" i="2"/>
  <c r="AC4183" i="2"/>
  <c r="AB4178" i="2"/>
  <c r="AC4171" i="2"/>
  <c r="AB4166" i="2"/>
  <c r="AC4159" i="2"/>
  <c r="AA4093" i="2"/>
  <c r="AA4046" i="2"/>
  <c r="AB4046" i="2"/>
  <c r="AC4046" i="2"/>
  <c r="AC4033" i="2"/>
  <c r="AA4010" i="2"/>
  <c r="AB4010" i="2"/>
  <c r="AC4010" i="2"/>
  <c r="AC3997" i="2"/>
  <c r="AA3925" i="2"/>
  <c r="AA3914" i="2"/>
  <c r="AB3914" i="2"/>
  <c r="AC3914" i="2"/>
  <c r="AA3901" i="2"/>
  <c r="AA3886" i="2"/>
  <c r="AB3886" i="2"/>
  <c r="AC3886" i="2"/>
  <c r="AA3854" i="2"/>
  <c r="AB3854" i="2"/>
  <c r="AC3854" i="2"/>
  <c r="AC3841" i="2"/>
  <c r="AA3805" i="2"/>
  <c r="AA3766" i="2"/>
  <c r="AB3766" i="2"/>
  <c r="AC3766" i="2"/>
  <c r="AA3649" i="2"/>
  <c r="AA3634" i="2"/>
  <c r="AB3634" i="2"/>
  <c r="AC3634" i="2"/>
  <c r="AA3598" i="2"/>
  <c r="AB3598" i="2"/>
  <c r="AC3598" i="2"/>
  <c r="AA3577" i="2"/>
  <c r="AA3419" i="2"/>
  <c r="AC3419" i="2"/>
  <c r="AB3419" i="2"/>
  <c r="AC3417" i="2"/>
  <c r="AB3417" i="2"/>
  <c r="AB3400" i="2"/>
  <c r="AC3400" i="2"/>
  <c r="AB3364" i="2"/>
  <c r="AA3364" i="2"/>
  <c r="AC3364" i="2"/>
  <c r="AA3186" i="2"/>
  <c r="AC3186" i="2"/>
  <c r="AA3153" i="2"/>
  <c r="AB3153" i="2"/>
  <c r="AC3153" i="2"/>
  <c r="AA2878" i="2"/>
  <c r="AB2878" i="2"/>
  <c r="AC2878" i="2"/>
  <c r="AB2547" i="2"/>
  <c r="AC2547" i="2"/>
  <c r="AA2547" i="2"/>
  <c r="AB2532" i="2"/>
  <c r="AA2532" i="2"/>
  <c r="AC2532" i="2"/>
  <c r="AB2454" i="2"/>
  <c r="AA2454" i="2"/>
  <c r="AC2454" i="2"/>
  <c r="AB2422" i="2"/>
  <c r="AC2422" i="2"/>
  <c r="AA2422" i="2"/>
  <c r="AB4291" i="2"/>
  <c r="AB4279" i="2"/>
  <c r="AB4267" i="2"/>
  <c r="AB4255" i="2"/>
  <c r="AB4243" i="2"/>
  <c r="AB4231" i="2"/>
  <c r="AB4219" i="2"/>
  <c r="AB4207" i="2"/>
  <c r="AB4195" i="2"/>
  <c r="AB4183" i="2"/>
  <c r="AB4171" i="2"/>
  <c r="AB4159" i="2"/>
  <c r="AC4151" i="2"/>
  <c r="AC4136" i="2"/>
  <c r="AA4136" i="2"/>
  <c r="AA4106" i="2"/>
  <c r="AB4106" i="2"/>
  <c r="AC4106" i="2"/>
  <c r="AC4069" i="2"/>
  <c r="AA4033" i="2"/>
  <c r="AC4016" i="2"/>
  <c r="AA4016" i="2"/>
  <c r="AA3997" i="2"/>
  <c r="AA3986" i="2"/>
  <c r="AB3986" i="2"/>
  <c r="AC3986" i="2"/>
  <c r="AC3877" i="2"/>
  <c r="AC3860" i="2"/>
  <c r="AA3860" i="2"/>
  <c r="AA3841" i="2"/>
  <c r="AC3824" i="2"/>
  <c r="AA3824" i="2"/>
  <c r="AC3781" i="2"/>
  <c r="AC3757" i="2"/>
  <c r="AA3730" i="2"/>
  <c r="AB3730" i="2"/>
  <c r="AC3730" i="2"/>
  <c r="AC3728" i="2"/>
  <c r="AA3728" i="2"/>
  <c r="AC3709" i="2"/>
  <c r="AC3625" i="2"/>
  <c r="AB3548" i="2"/>
  <c r="AA3548" i="2"/>
  <c r="AC3548" i="2"/>
  <c r="AB3544" i="2"/>
  <c r="AC3544" i="2"/>
  <c r="AC3509" i="2"/>
  <c r="AA3408" i="2"/>
  <c r="AB3408" i="2"/>
  <c r="AC3408" i="2"/>
  <c r="AA3323" i="2"/>
  <c r="AC3323" i="2"/>
  <c r="AB3323" i="2"/>
  <c r="AC3321" i="2"/>
  <c r="AB3321" i="2"/>
  <c r="AA2560" i="2"/>
  <c r="AB2560" i="2"/>
  <c r="AC2560" i="2"/>
  <c r="AB4151" i="2"/>
  <c r="AA4138" i="2"/>
  <c r="AB4138" i="2"/>
  <c r="AC4138" i="2"/>
  <c r="AC4112" i="2"/>
  <c r="AA4112" i="2"/>
  <c r="AA4082" i="2"/>
  <c r="AB4082" i="2"/>
  <c r="AC4082" i="2"/>
  <c r="AA4069" i="2"/>
  <c r="AC4052" i="2"/>
  <c r="AA4052" i="2"/>
  <c r="AA4018" i="2"/>
  <c r="AB4018" i="2"/>
  <c r="AC4018" i="2"/>
  <c r="AC3968" i="2"/>
  <c r="AA3968" i="2"/>
  <c r="AA3938" i="2"/>
  <c r="AB3938" i="2"/>
  <c r="AC3938" i="2"/>
  <c r="AA3890" i="2"/>
  <c r="AB3890" i="2"/>
  <c r="AC3890" i="2"/>
  <c r="AA3877" i="2"/>
  <c r="AA3862" i="2"/>
  <c r="AB3862" i="2"/>
  <c r="AC3862" i="2"/>
  <c r="AA3826" i="2"/>
  <c r="AB3826" i="2"/>
  <c r="AC3826" i="2"/>
  <c r="AA3781" i="2"/>
  <c r="AA3757" i="2"/>
  <c r="AA3709" i="2"/>
  <c r="AA3682" i="2"/>
  <c r="AB3682" i="2"/>
  <c r="AC3682" i="2"/>
  <c r="AC3680" i="2"/>
  <c r="AA3680" i="2"/>
  <c r="AA3625" i="2"/>
  <c r="AC3560" i="2"/>
  <c r="AA3560" i="2"/>
  <c r="AA3509" i="2"/>
  <c r="AA3507" i="2"/>
  <c r="AC3507" i="2"/>
  <c r="AA3421" i="2"/>
  <c r="AB3421" i="2"/>
  <c r="AC3421" i="2"/>
  <c r="AA3389" i="2"/>
  <c r="AB3389" i="2"/>
  <c r="AC3389" i="2"/>
  <c r="AB3304" i="2"/>
  <c r="AC3304" i="2"/>
  <c r="AA2913" i="2"/>
  <c r="AB2913" i="2"/>
  <c r="AC2913" i="2"/>
  <c r="AC2549" i="2"/>
  <c r="AA2549" i="2"/>
  <c r="AB2549" i="2"/>
  <c r="AA4114" i="2"/>
  <c r="AB4114" i="2"/>
  <c r="AC4114" i="2"/>
  <c r="AC4088" i="2"/>
  <c r="AA4088" i="2"/>
  <c r="AA4054" i="2"/>
  <c r="AB4054" i="2"/>
  <c r="AC4054" i="2"/>
  <c r="AA3970" i="2"/>
  <c r="AB3970" i="2"/>
  <c r="AC3970" i="2"/>
  <c r="AC3944" i="2"/>
  <c r="AA3944" i="2"/>
  <c r="AC3920" i="2"/>
  <c r="AA3920" i="2"/>
  <c r="AC3896" i="2"/>
  <c r="AA3896" i="2"/>
  <c r="AA3742" i="2"/>
  <c r="AB3742" i="2"/>
  <c r="AC3742" i="2"/>
  <c r="AC3740" i="2"/>
  <c r="AA3740" i="2"/>
  <c r="AC3608" i="2"/>
  <c r="AA3608" i="2"/>
  <c r="AA3562" i="2"/>
  <c r="AB3562" i="2"/>
  <c r="AC3562" i="2"/>
  <c r="AC3513" i="2"/>
  <c r="AA3513" i="2"/>
  <c r="AB3513" i="2"/>
  <c r="AA3325" i="2"/>
  <c r="AB3325" i="2"/>
  <c r="AC3325" i="2"/>
  <c r="AA3312" i="2"/>
  <c r="AB3312" i="2"/>
  <c r="AC3312" i="2"/>
  <c r="AA3269" i="2"/>
  <c r="AB3269" i="2"/>
  <c r="AB3122" i="2"/>
  <c r="AA3122" i="2"/>
  <c r="AC3086" i="2"/>
  <c r="AA3086" i="2"/>
  <c r="AA3031" i="2"/>
  <c r="AB3031" i="2"/>
  <c r="AC3031" i="2"/>
  <c r="AC3014" i="2"/>
  <c r="AA3014" i="2"/>
  <c r="AA2804" i="2"/>
  <c r="AB2804" i="2"/>
  <c r="AC2804" i="2"/>
  <c r="AA2791" i="2"/>
  <c r="AC2791" i="2"/>
  <c r="AB2791" i="2"/>
  <c r="AA2749" i="2"/>
  <c r="AB2749" i="2"/>
  <c r="AC2749" i="2"/>
  <c r="AA2651" i="2"/>
  <c r="AB2651" i="2"/>
  <c r="AC2651" i="2"/>
  <c r="AA2369" i="2"/>
  <c r="AB2369" i="2"/>
  <c r="AA2321" i="2"/>
  <c r="AC2321" i="2"/>
  <c r="AA2285" i="2"/>
  <c r="AC2285" i="2"/>
  <c r="AB2285" i="2"/>
  <c r="AA3265" i="2"/>
  <c r="AB3265" i="2"/>
  <c r="AC3265" i="2"/>
  <c r="AA3263" i="2"/>
  <c r="AC3263" i="2"/>
  <c r="AA3201" i="2"/>
  <c r="AB3201" i="2"/>
  <c r="AC3201" i="2"/>
  <c r="AA3199" i="2"/>
  <c r="AC3199" i="2"/>
  <c r="AA3174" i="2"/>
  <c r="AB3174" i="2"/>
  <c r="AA3103" i="2"/>
  <c r="AB3103" i="2"/>
  <c r="AC3103" i="2"/>
  <c r="AA3090" i="2"/>
  <c r="AB3090" i="2"/>
  <c r="AC3090" i="2"/>
  <c r="AA3018" i="2"/>
  <c r="AB3018" i="2"/>
  <c r="AC3018" i="2"/>
  <c r="AA2943" i="2"/>
  <c r="AB2943" i="2"/>
  <c r="AC2889" i="2"/>
  <c r="AA2889" i="2"/>
  <c r="AB2889" i="2"/>
  <c r="AC2670" i="2"/>
  <c r="AA2670" i="2"/>
  <c r="AB2670" i="2"/>
  <c r="AB2646" i="2"/>
  <c r="AC2646" i="2"/>
  <c r="AB2579" i="2"/>
  <c r="AC2579" i="2"/>
  <c r="AA2579" i="2"/>
  <c r="AA2554" i="2"/>
  <c r="AB2554" i="2"/>
  <c r="AC2554" i="2"/>
  <c r="AA2440" i="2"/>
  <c r="AB2440" i="2"/>
  <c r="AC2440" i="2"/>
  <c r="AB3527" i="2"/>
  <c r="AB3503" i="2"/>
  <c r="AA3292" i="2"/>
  <c r="AB3245" i="2"/>
  <c r="AA3241" i="2"/>
  <c r="AB3241" i="2"/>
  <c r="AC3241" i="2"/>
  <c r="AA3239" i="2"/>
  <c r="AC3239" i="2"/>
  <c r="AA3237" i="2"/>
  <c r="AA3235" i="2"/>
  <c r="AA3229" i="2"/>
  <c r="AB3229" i="2"/>
  <c r="AC3229" i="2"/>
  <c r="AA3227" i="2"/>
  <c r="AC3227" i="2"/>
  <c r="AC3225" i="2"/>
  <c r="AA3225" i="2"/>
  <c r="AB3221" i="2"/>
  <c r="AA3138" i="2"/>
  <c r="AC3138" i="2"/>
  <c r="AA3079" i="2"/>
  <c r="AB3079" i="2"/>
  <c r="AC3079" i="2"/>
  <c r="AC3062" i="2"/>
  <c r="AA3062" i="2"/>
  <c r="AA3060" i="2"/>
  <c r="AA3007" i="2"/>
  <c r="AB3007" i="2"/>
  <c r="AC3007" i="2"/>
  <c r="AC2990" i="2"/>
  <c r="AA2990" i="2"/>
  <c r="AA2988" i="2"/>
  <c r="AC2930" i="2"/>
  <c r="AA2930" i="2"/>
  <c r="AA2928" i="2"/>
  <c r="AC2851" i="2"/>
  <c r="AA2851" i="2"/>
  <c r="AC2849" i="2"/>
  <c r="AB2849" i="2"/>
  <c r="AA2684" i="2"/>
  <c r="AB2684" i="2"/>
  <c r="AB2592" i="2"/>
  <c r="AA2592" i="2"/>
  <c r="AC2592" i="2"/>
  <c r="AB2581" i="2"/>
  <c r="AC2581" i="2"/>
  <c r="AA2581" i="2"/>
  <c r="AC3842" i="2"/>
  <c r="AC3830" i="2"/>
  <c r="AC3818" i="2"/>
  <c r="AC3806" i="2"/>
  <c r="AC3794" i="2"/>
  <c r="AC3782" i="2"/>
  <c r="AC3770" i="2"/>
  <c r="AC3758" i="2"/>
  <c r="AC3746" i="2"/>
  <c r="AC3734" i="2"/>
  <c r="AC3722" i="2"/>
  <c r="AC3710" i="2"/>
  <c r="AC3698" i="2"/>
  <c r="AC3686" i="2"/>
  <c r="AC3674" i="2"/>
  <c r="AC3662" i="2"/>
  <c r="AC3650" i="2"/>
  <c r="AC3638" i="2"/>
  <c r="AC3626" i="2"/>
  <c r="AC3614" i="2"/>
  <c r="AC3602" i="2"/>
  <c r="AC3590" i="2"/>
  <c r="AC3578" i="2"/>
  <c r="AC3566" i="2"/>
  <c r="AC3554" i="2"/>
  <c r="AA3457" i="2"/>
  <c r="AB3457" i="2"/>
  <c r="AC3457" i="2"/>
  <c r="AA3455" i="2"/>
  <c r="AC3455" i="2"/>
  <c r="AA3409" i="2"/>
  <c r="AB3409" i="2"/>
  <c r="AC3409" i="2"/>
  <c r="AA3407" i="2"/>
  <c r="AC3407" i="2"/>
  <c r="AA3361" i="2"/>
  <c r="AB3361" i="2"/>
  <c r="AC3361" i="2"/>
  <c r="AA3359" i="2"/>
  <c r="AC3359" i="2"/>
  <c r="AA3313" i="2"/>
  <c r="AB3313" i="2"/>
  <c r="AC3313" i="2"/>
  <c r="AA3311" i="2"/>
  <c r="AC3311" i="2"/>
  <c r="AC3278" i="2"/>
  <c r="AA3190" i="2"/>
  <c r="AC3190" i="2"/>
  <c r="AC3188" i="2"/>
  <c r="AA3188" i="2"/>
  <c r="AA3066" i="2"/>
  <c r="AB3066" i="2"/>
  <c r="AC3066" i="2"/>
  <c r="AA2994" i="2"/>
  <c r="AB2994" i="2"/>
  <c r="AC2994" i="2"/>
  <c r="AA2827" i="2"/>
  <c r="AB2827" i="2"/>
  <c r="AC2734" i="2"/>
  <c r="AB2734" i="2"/>
  <c r="AA2734" i="2"/>
  <c r="AA2601" i="2"/>
  <c r="AB2601" i="2"/>
  <c r="AC2601" i="2"/>
  <c r="AB2564" i="2"/>
  <c r="AC2564" i="2"/>
  <c r="AB1883" i="2"/>
  <c r="AC1883" i="2"/>
  <c r="AD1883" i="2" s="1"/>
  <c r="AA1883" i="2"/>
  <c r="AC4147" i="2"/>
  <c r="AC4135" i="2"/>
  <c r="AC4123" i="2"/>
  <c r="AC4111" i="2"/>
  <c r="AC4099" i="2"/>
  <c r="AC4087" i="2"/>
  <c r="AC4075" i="2"/>
  <c r="AC4063" i="2"/>
  <c r="AC3991" i="2"/>
  <c r="AC3979" i="2"/>
  <c r="AC3967" i="2"/>
  <c r="AC3931" i="2"/>
  <c r="AC3919" i="2"/>
  <c r="AC3895" i="2"/>
  <c r="AB3842" i="2"/>
  <c r="AB3830" i="2"/>
  <c r="AB3818" i="2"/>
  <c r="AC3811" i="2"/>
  <c r="AB3806" i="2"/>
  <c r="AC3799" i="2"/>
  <c r="AB3794" i="2"/>
  <c r="AC3787" i="2"/>
  <c r="AB3782" i="2"/>
  <c r="AB3770" i="2"/>
  <c r="AC3763" i="2"/>
  <c r="AB3758" i="2"/>
  <c r="AC3751" i="2"/>
  <c r="AB3746" i="2"/>
  <c r="AC3739" i="2"/>
  <c r="AB3734" i="2"/>
  <c r="AC3727" i="2"/>
  <c r="AB3722" i="2"/>
  <c r="AB3710" i="2"/>
  <c r="AB3698" i="2"/>
  <c r="AB3686" i="2"/>
  <c r="AB3674" i="2"/>
  <c r="AB3662" i="2"/>
  <c r="AB3650" i="2"/>
  <c r="AC3643" i="2"/>
  <c r="AB3638" i="2"/>
  <c r="AC3631" i="2"/>
  <c r="AB3626" i="2"/>
  <c r="AC3619" i="2"/>
  <c r="AB3614" i="2"/>
  <c r="AC3607" i="2"/>
  <c r="AB3602" i="2"/>
  <c r="AB3590" i="2"/>
  <c r="AB3578" i="2"/>
  <c r="AB3566" i="2"/>
  <c r="AB3554" i="2"/>
  <c r="AA3280" i="2"/>
  <c r="AB3278" i="2"/>
  <c r="AC3268" i="2"/>
  <c r="AA3211" i="2"/>
  <c r="AA3198" i="2"/>
  <c r="AB3198" i="2"/>
  <c r="AA3177" i="2"/>
  <c r="AC3175" i="2"/>
  <c r="AA3161" i="2"/>
  <c r="AA3142" i="2"/>
  <c r="AC3142" i="2"/>
  <c r="AC3140" i="2"/>
  <c r="AA3140" i="2"/>
  <c r="AB3129" i="2"/>
  <c r="AB3113" i="2"/>
  <c r="AB3034" i="2"/>
  <c r="AC2959" i="2"/>
  <c r="AA2959" i="2"/>
  <c r="AC2932" i="2"/>
  <c r="AA2932" i="2"/>
  <c r="AC2899" i="2"/>
  <c r="AA2899" i="2"/>
  <c r="AC2880" i="2"/>
  <c r="AA2880" i="2"/>
  <c r="AB2880" i="2"/>
  <c r="AA2858" i="2"/>
  <c r="AB2858" i="2"/>
  <c r="AC2858" i="2"/>
  <c r="AC2853" i="2"/>
  <c r="AA2853" i="2"/>
  <c r="AA2829" i="2"/>
  <c r="AA2820" i="2"/>
  <c r="AB2688" i="2"/>
  <c r="AA2688" i="2"/>
  <c r="AC2688" i="2"/>
  <c r="L1919" i="2"/>
  <c r="K1919" i="2" s="1"/>
  <c r="AA1919" i="2"/>
  <c r="AC1919" i="2"/>
  <c r="AD1919" i="2" s="1"/>
  <c r="L1883" i="2"/>
  <c r="K1883" i="2" s="1"/>
  <c r="AC4152" i="2"/>
  <c r="AC4140" i="2"/>
  <c r="AC4128" i="2"/>
  <c r="AC4116" i="2"/>
  <c r="AC4104" i="2"/>
  <c r="AC4092" i="2"/>
  <c r="AC4080" i="2"/>
  <c r="AC4068" i="2"/>
  <c r="AC3996" i="2"/>
  <c r="AC3984" i="2"/>
  <c r="AC3972" i="2"/>
  <c r="AC3960" i="2"/>
  <c r="AC3936" i="2"/>
  <c r="AC3924" i="2"/>
  <c r="AC3912" i="2"/>
  <c r="AC3900" i="2"/>
  <c r="AC3876" i="2"/>
  <c r="AC3816" i="2"/>
  <c r="AC3804" i="2"/>
  <c r="AC3792" i="2"/>
  <c r="AC3780" i="2"/>
  <c r="AC3768" i="2"/>
  <c r="AC3756" i="2"/>
  <c r="AA3268" i="2"/>
  <c r="AA3185" i="2"/>
  <c r="AB3185" i="2"/>
  <c r="AC3185" i="2"/>
  <c r="AB3175" i="2"/>
  <c r="AA3150" i="2"/>
  <c r="AB3150" i="2"/>
  <c r="AA3129" i="2"/>
  <c r="AA3113" i="2"/>
  <c r="AC2877" i="2"/>
  <c r="AA2877" i="2"/>
  <c r="AB2877" i="2"/>
  <c r="AC2831" i="2"/>
  <c r="AA2831" i="2"/>
  <c r="AB2736" i="2"/>
  <c r="AA2736" i="2"/>
  <c r="AC2736" i="2"/>
  <c r="AC2699" i="2"/>
  <c r="AA2699" i="2"/>
  <c r="AB2616" i="2"/>
  <c r="AA2616" i="2"/>
  <c r="AC2616" i="2"/>
  <c r="AB2074" i="2"/>
  <c r="AC2074" i="2"/>
  <c r="AA2074" i="2"/>
  <c r="AC1683" i="2"/>
  <c r="AD1683" i="2" s="1"/>
  <c r="L1683" i="2"/>
  <c r="K1683" i="2" s="1"/>
  <c r="AA1683" i="2"/>
  <c r="AB1683" i="2"/>
  <c r="AA3493" i="2"/>
  <c r="AB3493" i="2"/>
  <c r="AC3493" i="2"/>
  <c r="AA3491" i="2"/>
  <c r="AC3491" i="2"/>
  <c r="AA3445" i="2"/>
  <c r="AB3445" i="2"/>
  <c r="AC3445" i="2"/>
  <c r="AA3443" i="2"/>
  <c r="AC3443" i="2"/>
  <c r="AA3397" i="2"/>
  <c r="AB3397" i="2"/>
  <c r="AC3397" i="2"/>
  <c r="AA3395" i="2"/>
  <c r="AC3395" i="2"/>
  <c r="AA3349" i="2"/>
  <c r="AB3349" i="2"/>
  <c r="AC3349" i="2"/>
  <c r="AA3347" i="2"/>
  <c r="AC3347" i="2"/>
  <c r="AA3301" i="2"/>
  <c r="AB3301" i="2"/>
  <c r="AC3301" i="2"/>
  <c r="AA3299" i="2"/>
  <c r="AC3299" i="2"/>
  <c r="AB3179" i="2"/>
  <c r="AA3179" i="2"/>
  <c r="AA3137" i="2"/>
  <c r="AB3137" i="2"/>
  <c r="AC3137" i="2"/>
  <c r="AA3055" i="2"/>
  <c r="AB3055" i="2"/>
  <c r="AC3055" i="2"/>
  <c r="AC3038" i="2"/>
  <c r="AA3038" i="2"/>
  <c r="AC2961" i="2"/>
  <c r="AA2961" i="2"/>
  <c r="AC2901" i="2"/>
  <c r="AA2901" i="2"/>
  <c r="AA2745" i="2"/>
  <c r="AB2745" i="2"/>
  <c r="AC2745" i="2"/>
  <c r="AA2692" i="2"/>
  <c r="AB2692" i="2"/>
  <c r="AC2692" i="2"/>
  <c r="AA2629" i="2"/>
  <c r="AB2629" i="2"/>
  <c r="AC2629" i="2"/>
  <c r="AA2611" i="2"/>
  <c r="AC2611" i="2"/>
  <c r="AB2611" i="2"/>
  <c r="AC2609" i="2"/>
  <c r="AB2609" i="2"/>
  <c r="AB2169" i="2"/>
  <c r="AC2169" i="2"/>
  <c r="AA2169" i="2"/>
  <c r="AC2138" i="2"/>
  <c r="AB2138" i="2"/>
  <c r="AA2138" i="2"/>
  <c r="AA2021" i="2"/>
  <c r="AB2021" i="2"/>
  <c r="AC2021" i="2"/>
  <c r="AA1682" i="2"/>
  <c r="AB1682" i="2"/>
  <c r="AC1682" i="2"/>
  <c r="AD1682" i="2" s="1"/>
  <c r="L1682" i="2"/>
  <c r="K1682" i="2" s="1"/>
  <c r="AB4049" i="2"/>
  <c r="AB4037" i="2"/>
  <c r="AB4025" i="2"/>
  <c r="AB4013" i="2"/>
  <c r="AB4001" i="2"/>
  <c r="AB3989" i="2"/>
  <c r="AB3977" i="2"/>
  <c r="AB3965" i="2"/>
  <c r="AB3953" i="2"/>
  <c r="AB3941" i="2"/>
  <c r="AB3929" i="2"/>
  <c r="AB3917" i="2"/>
  <c r="AB3905" i="2"/>
  <c r="AB3881" i="2"/>
  <c r="AB3869" i="2"/>
  <c r="AB3857" i="2"/>
  <c r="AB3845" i="2"/>
  <c r="AB3833" i="2"/>
  <c r="AB3821" i="2"/>
  <c r="AB3773" i="2"/>
  <c r="AB3504" i="2"/>
  <c r="AB3293" i="2"/>
  <c r="AB3285" i="2"/>
  <c r="AC3244" i="2"/>
  <c r="AC3218" i="2"/>
  <c r="AB3131" i="2"/>
  <c r="AA3131" i="2"/>
  <c r="AA3042" i="2"/>
  <c r="AB3042" i="2"/>
  <c r="AC3042" i="2"/>
  <c r="AA2855" i="2"/>
  <c r="AC2855" i="2"/>
  <c r="AC2710" i="2"/>
  <c r="AA2710" i="2"/>
  <c r="AB2710" i="2"/>
  <c r="AA2600" i="2"/>
  <c r="AB2600" i="2"/>
  <c r="AC2600" i="2"/>
  <c r="AC4047" i="2"/>
  <c r="AC4035" i="2"/>
  <c r="AC4023" i="2"/>
  <c r="AC4011" i="2"/>
  <c r="AC3999" i="2"/>
  <c r="AC3987" i="2"/>
  <c r="AC3975" i="2"/>
  <c r="AC3963" i="2"/>
  <c r="AC3951" i="2"/>
  <c r="AC3939" i="2"/>
  <c r="AC3927" i="2"/>
  <c r="AC3915" i="2"/>
  <c r="AC3903" i="2"/>
  <c r="AC3891" i="2"/>
  <c r="AC3879" i="2"/>
  <c r="AC3867" i="2"/>
  <c r="AC3855" i="2"/>
  <c r="AC3843" i="2"/>
  <c r="AC3831" i="2"/>
  <c r="AC3819" i="2"/>
  <c r="AC3807" i="2"/>
  <c r="AC3795" i="2"/>
  <c r="AC3783" i="2"/>
  <c r="AC3771" i="2"/>
  <c r="AC3759" i="2"/>
  <c r="AC3747" i="2"/>
  <c r="AC3735" i="2"/>
  <c r="AC3723" i="2"/>
  <c r="AC3711" i="2"/>
  <c r="AC3699" i="2"/>
  <c r="AC3687" i="2"/>
  <c r="AC3675" i="2"/>
  <c r="AC3663" i="2"/>
  <c r="AC3651" i="2"/>
  <c r="AC3639" i="2"/>
  <c r="AC3627" i="2"/>
  <c r="AC3615" i="2"/>
  <c r="AC3603" i="2"/>
  <c r="AC3591" i="2"/>
  <c r="AC3579" i="2"/>
  <c r="AC3567" i="2"/>
  <c r="AC3555" i="2"/>
  <c r="AB3539" i="2"/>
  <c r="AC3535" i="2"/>
  <c r="AB3515" i="2"/>
  <c r="AC3511" i="2"/>
  <c r="AC3475" i="2"/>
  <c r="AC3458" i="2"/>
  <c r="AC3427" i="2"/>
  <c r="AC3410" i="2"/>
  <c r="AC3379" i="2"/>
  <c r="AC3362" i="2"/>
  <c r="AC3331" i="2"/>
  <c r="AC3314" i="2"/>
  <c r="AA3289" i="2"/>
  <c r="AB3289" i="2"/>
  <c r="AC3289" i="2"/>
  <c r="AA3287" i="2"/>
  <c r="AC3287" i="2"/>
  <c r="AA3285" i="2"/>
  <c r="AC3271" i="2"/>
  <c r="AA3244" i="2"/>
  <c r="AA3218" i="2"/>
  <c r="AC3208" i="2"/>
  <c r="AA3208" i="2"/>
  <c r="AB3208" i="2"/>
  <c r="AA3206" i="2"/>
  <c r="AC3206" i="2"/>
  <c r="AC3204" i="2"/>
  <c r="AA3204" i="2"/>
  <c r="AB3082" i="2"/>
  <c r="AB3010" i="2"/>
  <c r="AA2982" i="2"/>
  <c r="AB2982" i="2"/>
  <c r="AA2980" i="2"/>
  <c r="AA2922" i="2"/>
  <c r="AB2922" i="2"/>
  <c r="AA2920" i="2"/>
  <c r="AA2857" i="2"/>
  <c r="AB2857" i="2"/>
  <c r="AC2857" i="2"/>
  <c r="AB2796" i="2"/>
  <c r="AA2796" i="2"/>
  <c r="AC2796" i="2"/>
  <c r="AA2703" i="2"/>
  <c r="AB2703" i="2"/>
  <c r="AC2703" i="2"/>
  <c r="AC2701" i="2"/>
  <c r="AB2701" i="2"/>
  <c r="AC2622" i="2"/>
  <c r="AB2622" i="2"/>
  <c r="AA2237" i="2"/>
  <c r="AB2237" i="2"/>
  <c r="AC2237" i="2"/>
  <c r="AA2171" i="2"/>
  <c r="AB2171" i="2"/>
  <c r="AC2171" i="2"/>
  <c r="AB2140" i="2"/>
  <c r="AC2140" i="2"/>
  <c r="AA2096" i="2"/>
  <c r="AB2096" i="2"/>
  <c r="AC2096" i="2"/>
  <c r="AB2085" i="2"/>
  <c r="AC2085" i="2"/>
  <c r="AA3481" i="2"/>
  <c r="AB3481" i="2"/>
  <c r="AC3481" i="2"/>
  <c r="AA3479" i="2"/>
  <c r="AC3479" i="2"/>
  <c r="AA3433" i="2"/>
  <c r="AB3433" i="2"/>
  <c r="AC3433" i="2"/>
  <c r="AA3431" i="2"/>
  <c r="AC3431" i="2"/>
  <c r="AA3385" i="2"/>
  <c r="AB3385" i="2"/>
  <c r="AC3385" i="2"/>
  <c r="AA3383" i="2"/>
  <c r="AC3383" i="2"/>
  <c r="AA3337" i="2"/>
  <c r="AB3337" i="2"/>
  <c r="AC3337" i="2"/>
  <c r="AA3335" i="2"/>
  <c r="AC3335" i="2"/>
  <c r="AC3281" i="2"/>
  <c r="AB3273" i="2"/>
  <c r="AC3214" i="2"/>
  <c r="AC3195" i="2"/>
  <c r="AA3195" i="2"/>
  <c r="AB3184" i="2"/>
  <c r="AC3170" i="2"/>
  <c r="AC3160" i="2"/>
  <c r="AA3160" i="2"/>
  <c r="AB3160" i="2"/>
  <c r="AA3158" i="2"/>
  <c r="AC3158" i="2"/>
  <c r="AC3156" i="2"/>
  <c r="AA3156" i="2"/>
  <c r="AA3110" i="2"/>
  <c r="AB3110" i="2"/>
  <c r="AC3110" i="2"/>
  <c r="AC3108" i="2"/>
  <c r="AA3108" i="2"/>
  <c r="AB3086" i="2"/>
  <c r="AB3084" i="2"/>
  <c r="AB3014" i="2"/>
  <c r="AB3012" i="2"/>
  <c r="AA2971" i="2"/>
  <c r="AB2971" i="2"/>
  <c r="AC2971" i="2"/>
  <c r="AA2911" i="2"/>
  <c r="AB2911" i="2"/>
  <c r="AC2911" i="2"/>
  <c r="AC2644" i="2"/>
  <c r="AA2644" i="2"/>
  <c r="AA2637" i="2"/>
  <c r="AB2637" i="2"/>
  <c r="AC2637" i="2"/>
  <c r="AB2613" i="2"/>
  <c r="AC2613" i="2"/>
  <c r="AA2389" i="2"/>
  <c r="AC2389" i="2"/>
  <c r="AB2389" i="2"/>
  <c r="AC2369" i="2"/>
  <c r="AB2321" i="2"/>
  <c r="AC2367" i="2"/>
  <c r="AA2367" i="2"/>
  <c r="AB2367" i="2"/>
  <c r="AB2963" i="2"/>
  <c r="AC2963" i="2"/>
  <c r="AA2955" i="2"/>
  <c r="AB2955" i="2"/>
  <c r="AA2934" i="2"/>
  <c r="AB2934" i="2"/>
  <c r="AB2903" i="2"/>
  <c r="AC2903" i="2"/>
  <c r="AB2835" i="2"/>
  <c r="AC2835" i="2"/>
  <c r="AC2789" i="2"/>
  <c r="AB2789" i="2"/>
  <c r="AB2747" i="2"/>
  <c r="AC2747" i="2"/>
  <c r="AB2712" i="2"/>
  <c r="AC2712" i="2"/>
  <c r="AA2635" i="2"/>
  <c r="AC2635" i="2"/>
  <c r="AA2596" i="2"/>
  <c r="AB2596" i="2"/>
  <c r="AC2596" i="2"/>
  <c r="AA2515" i="2"/>
  <c r="AC2515" i="2"/>
  <c r="AB2492" i="2"/>
  <c r="AA2492" i="2"/>
  <c r="AB2438" i="2"/>
  <c r="AC2438" i="2"/>
  <c r="AC2319" i="2"/>
  <c r="AB2319" i="2"/>
  <c r="AA2319" i="2"/>
  <c r="AC2226" i="2"/>
  <c r="AA2226" i="2"/>
  <c r="AB2226" i="2"/>
  <c r="AA2129" i="2"/>
  <c r="AB2129" i="2"/>
  <c r="AC2129" i="2"/>
  <c r="AB2125" i="2"/>
  <c r="AC2125" i="2"/>
  <c r="AA2072" i="2"/>
  <c r="AC2072" i="2"/>
  <c r="AB2015" i="2"/>
  <c r="AC2015" i="2"/>
  <c r="AA1732" i="2"/>
  <c r="AB1732" i="2"/>
  <c r="AC1732" i="2"/>
  <c r="AD1732" i="2" s="1"/>
  <c r="L1732" i="2"/>
  <c r="K1732" i="2" s="1"/>
  <c r="AB3102" i="2"/>
  <c r="AB3078" i="2"/>
  <c r="AB3054" i="2"/>
  <c r="AB3030" i="2"/>
  <c r="AB3006" i="2"/>
  <c r="AA2970" i="2"/>
  <c r="AB2970" i="2"/>
  <c r="AA2968" i="2"/>
  <c r="AA2910" i="2"/>
  <c r="AB2910" i="2"/>
  <c r="AA2908" i="2"/>
  <c r="AA2871" i="2"/>
  <c r="AA2865" i="2"/>
  <c r="AB2824" i="2"/>
  <c r="AC2824" i="2"/>
  <c r="AA2811" i="2"/>
  <c r="AA2807" i="2"/>
  <c r="AA2778" i="2"/>
  <c r="AA2772" i="2"/>
  <c r="AA2759" i="2"/>
  <c r="AA2723" i="2"/>
  <c r="AB2648" i="2"/>
  <c r="AC2648" i="2"/>
  <c r="AB2245" i="2"/>
  <c r="AC2245" i="2"/>
  <c r="AB2939" i="2"/>
  <c r="AC2939" i="2"/>
  <c r="AB2873" i="2"/>
  <c r="AC2873" i="2"/>
  <c r="AA2826" i="2"/>
  <c r="AB2826" i="2"/>
  <c r="AC2826" i="2"/>
  <c r="AC2813" i="2"/>
  <c r="AA2813" i="2"/>
  <c r="AB2813" i="2"/>
  <c r="AB2679" i="2"/>
  <c r="AC2679" i="2"/>
  <c r="AA2650" i="2"/>
  <c r="AB2650" i="2"/>
  <c r="AC2650" i="2"/>
  <c r="AC2486" i="2"/>
  <c r="AA2486" i="2"/>
  <c r="AB2486" i="2"/>
  <c r="AA2442" i="2"/>
  <c r="AB2442" i="2"/>
  <c r="AC2442" i="2"/>
  <c r="AA2393" i="2"/>
  <c r="AC2393" i="2"/>
  <c r="AB2377" i="2"/>
  <c r="AA2377" i="2"/>
  <c r="AC2377" i="2"/>
  <c r="AB2329" i="2"/>
  <c r="AC2329" i="2"/>
  <c r="AB2254" i="2"/>
  <c r="AA2254" i="2"/>
  <c r="AC2254" i="2"/>
  <c r="AA2252" i="2"/>
  <c r="AC2252" i="2"/>
  <c r="AA2179" i="2"/>
  <c r="AB2179" i="2"/>
  <c r="AC2179" i="2"/>
  <c r="L1859" i="2"/>
  <c r="K1859" i="2" s="1"/>
  <c r="AA1859" i="2"/>
  <c r="AC1859" i="2"/>
  <c r="AD1859" i="2" s="1"/>
  <c r="AA1782" i="2"/>
  <c r="AB1782" i="2"/>
  <c r="AC1782" i="2"/>
  <c r="AD1782" i="2" s="1"/>
  <c r="AC1707" i="2"/>
  <c r="AD1707" i="2" s="1"/>
  <c r="L1707" i="2"/>
  <c r="K1707" i="2" s="1"/>
  <c r="AB1707" i="2"/>
  <c r="AB3296" i="2"/>
  <c r="AB3272" i="2"/>
  <c r="AB3260" i="2"/>
  <c r="AC3210" i="2"/>
  <c r="AA3203" i="2"/>
  <c r="AB3194" i="2"/>
  <c r="AB3187" i="2"/>
  <c r="AB3178" i="2"/>
  <c r="AC3162" i="2"/>
  <c r="AA3155" i="2"/>
  <c r="AB3146" i="2"/>
  <c r="AB3139" i="2"/>
  <c r="AB3130" i="2"/>
  <c r="AC3114" i="2"/>
  <c r="AA3107" i="2"/>
  <c r="AC3105" i="2"/>
  <c r="AC3096" i="2"/>
  <c r="AC3072" i="2"/>
  <c r="AC3048" i="2"/>
  <c r="AC3024" i="2"/>
  <c r="AC3000" i="2"/>
  <c r="AC2985" i="2"/>
  <c r="AC2983" i="2"/>
  <c r="AA2958" i="2"/>
  <c r="AB2958" i="2"/>
  <c r="AA2956" i="2"/>
  <c r="AC2952" i="2"/>
  <c r="AA2931" i="2"/>
  <c r="AB2931" i="2"/>
  <c r="AC2925" i="2"/>
  <c r="AC2923" i="2"/>
  <c r="AC2894" i="2"/>
  <c r="AC2892" i="2"/>
  <c r="AA2844" i="2"/>
  <c r="AB2832" i="2"/>
  <c r="AA2832" i="2"/>
  <c r="AC2832" i="2"/>
  <c r="AB2780" i="2"/>
  <c r="AC2780" i="2"/>
  <c r="AC2767" i="2"/>
  <c r="AB2761" i="2"/>
  <c r="AB2752" i="2"/>
  <c r="AB2741" i="2"/>
  <c r="AB2725" i="2"/>
  <c r="AC2725" i="2"/>
  <c r="AC2403" i="2"/>
  <c r="AB2403" i="2"/>
  <c r="AA2403" i="2"/>
  <c r="AB2289" i="2"/>
  <c r="AC2289" i="2"/>
  <c r="L1782" i="2"/>
  <c r="K1782" i="2" s="1"/>
  <c r="AB3162" i="2"/>
  <c r="AB3114" i="2"/>
  <c r="AB3112" i="2"/>
  <c r="AB3105" i="2"/>
  <c r="AB3096" i="2"/>
  <c r="AC3094" i="2"/>
  <c r="AC3083" i="2"/>
  <c r="AB3072" i="2"/>
  <c r="AC3070" i="2"/>
  <c r="AC3059" i="2"/>
  <c r="AB3048" i="2"/>
  <c r="AC3046" i="2"/>
  <c r="AC3035" i="2"/>
  <c r="AB3024" i="2"/>
  <c r="AC3022" i="2"/>
  <c r="AC3011" i="2"/>
  <c r="AB3000" i="2"/>
  <c r="AC2998" i="2"/>
  <c r="AB2985" i="2"/>
  <c r="AB2983" i="2"/>
  <c r="AB2952" i="2"/>
  <c r="AB2925" i="2"/>
  <c r="AB2923" i="2"/>
  <c r="AB2894" i="2"/>
  <c r="AB2892" i="2"/>
  <c r="AC2860" i="2"/>
  <c r="AA2854" i="2"/>
  <c r="AB2854" i="2"/>
  <c r="AA2815" i="2"/>
  <c r="AB2815" i="2"/>
  <c r="AC2815" i="2"/>
  <c r="AB2756" i="2"/>
  <c r="AC2739" i="2"/>
  <c r="AA2599" i="2"/>
  <c r="AC2599" i="2"/>
  <c r="AB2599" i="2"/>
  <c r="AB2488" i="2"/>
  <c r="AA2488" i="2"/>
  <c r="AC2488" i="2"/>
  <c r="AA2405" i="2"/>
  <c r="AB2405" i="2"/>
  <c r="AC2405" i="2"/>
  <c r="AC2258" i="2"/>
  <c r="AA2258" i="2"/>
  <c r="AB2258" i="2"/>
  <c r="L1819" i="2"/>
  <c r="K1819" i="2" s="1"/>
  <c r="AB1819" i="2"/>
  <c r="AC1819" i="2"/>
  <c r="AD1819" i="2" s="1"/>
  <c r="AA1819" i="2"/>
  <c r="AB1710" i="2"/>
  <c r="AC1710" i="2"/>
  <c r="AD1710" i="2" s="1"/>
  <c r="L1710" i="2"/>
  <c r="K1710" i="2" s="1"/>
  <c r="AA1649" i="2"/>
  <c r="AB1649" i="2"/>
  <c r="AC1649" i="2"/>
  <c r="AD1649" i="2" s="1"/>
  <c r="L1649" i="2"/>
  <c r="K1649" i="2" s="1"/>
  <c r="AA3112" i="2"/>
  <c r="AB3094" i="2"/>
  <c r="AA3083" i="2"/>
  <c r="AB3070" i="2"/>
  <c r="AA3059" i="2"/>
  <c r="AB3046" i="2"/>
  <c r="AA3035" i="2"/>
  <c r="AB3022" i="2"/>
  <c r="AA3011" i="2"/>
  <c r="AB2998" i="2"/>
  <c r="AB2987" i="2"/>
  <c r="AC2987" i="2"/>
  <c r="AA2979" i="2"/>
  <c r="AB2979" i="2"/>
  <c r="AB2927" i="2"/>
  <c r="AC2927" i="2"/>
  <c r="AA2919" i="2"/>
  <c r="AB2919" i="2"/>
  <c r="AB2896" i="2"/>
  <c r="AC2896" i="2"/>
  <c r="AA2860" i="2"/>
  <c r="AA2756" i="2"/>
  <c r="AB2739" i="2"/>
  <c r="AC2190" i="2"/>
  <c r="AA2190" i="2"/>
  <c r="AB2190" i="2"/>
  <c r="AB2053" i="2"/>
  <c r="AA2053" i="2"/>
  <c r="AA2051" i="2"/>
  <c r="AC2051" i="2"/>
  <c r="AA2946" i="2"/>
  <c r="AB2946" i="2"/>
  <c r="AC2940" i="2"/>
  <c r="AA2864" i="2"/>
  <c r="AB2864" i="2"/>
  <c r="AC2864" i="2"/>
  <c r="AA2817" i="2"/>
  <c r="AB2817" i="2"/>
  <c r="AC2817" i="2"/>
  <c r="AC2787" i="2"/>
  <c r="AA2771" i="2"/>
  <c r="AB2771" i="2"/>
  <c r="AC2771" i="2"/>
  <c r="AA2758" i="2"/>
  <c r="AB2758" i="2"/>
  <c r="AC2758" i="2"/>
  <c r="AA2743" i="2"/>
  <c r="AC2743" i="2"/>
  <c r="AA2704" i="2"/>
  <c r="AB2704" i="2"/>
  <c r="AC2638" i="2"/>
  <c r="AA2638" i="2"/>
  <c r="AB2638" i="2"/>
  <c r="AA2584" i="2"/>
  <c r="AB2584" i="2"/>
  <c r="AB2567" i="2"/>
  <c r="AA2567" i="2"/>
  <c r="AC2567" i="2"/>
  <c r="AB2535" i="2"/>
  <c r="AA2535" i="2"/>
  <c r="AC2535" i="2"/>
  <c r="AB2444" i="2"/>
  <c r="AA2444" i="2"/>
  <c r="AC2444" i="2"/>
  <c r="AB2260" i="2"/>
  <c r="AC2260" i="2"/>
  <c r="AA2260" i="2"/>
  <c r="AA2150" i="2"/>
  <c r="AB2150" i="2"/>
  <c r="AC2150" i="2"/>
  <c r="AA2000" i="2"/>
  <c r="AC2000" i="2"/>
  <c r="AB1981" i="2"/>
  <c r="AA1981" i="2"/>
  <c r="AC1791" i="2"/>
  <c r="AD1791" i="2" s="1"/>
  <c r="L1791" i="2"/>
  <c r="K1791" i="2" s="1"/>
  <c r="AA1791" i="2"/>
  <c r="AB1791" i="2"/>
  <c r="L1759" i="2"/>
  <c r="K1759" i="2" s="1"/>
  <c r="AA1759" i="2"/>
  <c r="AB1759" i="2"/>
  <c r="L1669" i="2"/>
  <c r="K1669" i="2" s="1"/>
  <c r="AB1669" i="2"/>
  <c r="AC1669" i="2"/>
  <c r="AD1669" i="2" s="1"/>
  <c r="AA1448" i="2"/>
  <c r="AB1448" i="2"/>
  <c r="AC1448" i="2"/>
  <c r="AD1448" i="2" s="1"/>
  <c r="L1448" i="2"/>
  <c r="K1448" i="2" s="1"/>
  <c r="L1266" i="2"/>
  <c r="K1266" i="2" s="1"/>
  <c r="AB1266" i="2"/>
  <c r="AC1266" i="2"/>
  <c r="AD1266" i="2" s="1"/>
  <c r="AA1266" i="2"/>
  <c r="AB3172" i="2"/>
  <c r="AB3124" i="2"/>
  <c r="AC3099" i="2"/>
  <c r="AB3088" i="2"/>
  <c r="AC3075" i="2"/>
  <c r="AB3064" i="2"/>
  <c r="AC3051" i="2"/>
  <c r="AB3040" i="2"/>
  <c r="AC3027" i="2"/>
  <c r="AB3016" i="2"/>
  <c r="AC3003" i="2"/>
  <c r="AB2992" i="2"/>
  <c r="AB2975" i="2"/>
  <c r="AC2975" i="2"/>
  <c r="AA2967" i="2"/>
  <c r="AB2967" i="2"/>
  <c r="AB2915" i="2"/>
  <c r="AC2915" i="2"/>
  <c r="AA2907" i="2"/>
  <c r="AB2907" i="2"/>
  <c r="AA2882" i="2"/>
  <c r="AB2882" i="2"/>
  <c r="AA2870" i="2"/>
  <c r="AB2870" i="2"/>
  <c r="AA2800" i="2"/>
  <c r="AC2800" i="2"/>
  <c r="AC2693" i="2"/>
  <c r="AA2693" i="2"/>
  <c r="AB2686" i="2"/>
  <c r="AB2668" i="2"/>
  <c r="AC2668" i="2"/>
  <c r="AB2655" i="2"/>
  <c r="AB2520" i="2"/>
  <c r="AA2520" i="2"/>
  <c r="AC2520" i="2"/>
  <c r="AB2490" i="2"/>
  <c r="AC2490" i="2"/>
  <c r="AB2361" i="2"/>
  <c r="AA2361" i="2"/>
  <c r="AA2165" i="2"/>
  <c r="AB2165" i="2"/>
  <c r="AC2165" i="2"/>
  <c r="AB2013" i="2"/>
  <c r="AC2013" i="2"/>
  <c r="AB2002" i="2"/>
  <c r="AC2002" i="2"/>
  <c r="AA1508" i="2"/>
  <c r="L1508" i="2"/>
  <c r="K1508" i="2" s="1"/>
  <c r="AB1508" i="2"/>
  <c r="AC1508" i="2"/>
  <c r="AD1508" i="2" s="1"/>
  <c r="AB2541" i="2"/>
  <c r="AA2528" i="2"/>
  <c r="AA2526" i="2"/>
  <c r="AC2463" i="2"/>
  <c r="AB2463" i="2"/>
  <c r="AC2449" i="2"/>
  <c r="AC2408" i="2"/>
  <c r="AC2371" i="2"/>
  <c r="AA2371" i="2"/>
  <c r="AA2363" i="2"/>
  <c r="AB2363" i="2"/>
  <c r="AA2357" i="2"/>
  <c r="AB2357" i="2"/>
  <c r="AC2355" i="2"/>
  <c r="AB2355" i="2"/>
  <c r="AC2351" i="2"/>
  <c r="AB2337" i="2"/>
  <c r="AA2335" i="2"/>
  <c r="AA2333" i="2"/>
  <c r="AC2333" i="2"/>
  <c r="AA2325" i="2"/>
  <c r="AB2325" i="2"/>
  <c r="AC2323" i="2"/>
  <c r="AB2323" i="2"/>
  <c r="AB2315" i="2"/>
  <c r="AA2309" i="2"/>
  <c r="AB2309" i="2"/>
  <c r="AC2309" i="2"/>
  <c r="AC2307" i="2"/>
  <c r="AB2307" i="2"/>
  <c r="AA2293" i="2"/>
  <c r="AB2293" i="2"/>
  <c r="AC2293" i="2"/>
  <c r="AC2291" i="2"/>
  <c r="AB2291" i="2"/>
  <c r="AA2270" i="2"/>
  <c r="AC2270" i="2"/>
  <c r="AC2262" i="2"/>
  <c r="AA2262" i="2"/>
  <c r="AB2262" i="2"/>
  <c r="AA2249" i="2"/>
  <c r="AB2249" i="2"/>
  <c r="AC2249" i="2"/>
  <c r="AC2154" i="2"/>
  <c r="AB2154" i="2"/>
  <c r="AC2119" i="2"/>
  <c r="AB2117" i="2"/>
  <c r="AA2078" i="2"/>
  <c r="AA2057" i="2"/>
  <c r="AB2057" i="2"/>
  <c r="AC2057" i="2"/>
  <c r="AC2046" i="2"/>
  <c r="AB2046" i="2"/>
  <c r="AA2046" i="2"/>
  <c r="AA2025" i="2"/>
  <c r="AA1985" i="2"/>
  <c r="AB1985" i="2"/>
  <c r="AC1985" i="2"/>
  <c r="AC1970" i="2"/>
  <c r="AA1970" i="2"/>
  <c r="AB1970" i="2"/>
  <c r="AA1912" i="2"/>
  <c r="AA1889" i="2"/>
  <c r="AB1889" i="2"/>
  <c r="AC1889" i="2"/>
  <c r="AD1889" i="2" s="1"/>
  <c r="L1886" i="2"/>
  <c r="K1886" i="2" s="1"/>
  <c r="AA1886" i="2"/>
  <c r="AA1852" i="2"/>
  <c r="L1795" i="2"/>
  <c r="K1795" i="2" s="1"/>
  <c r="AA1795" i="2"/>
  <c r="AC1743" i="2"/>
  <c r="AD1743" i="2" s="1"/>
  <c r="L1743" i="2"/>
  <c r="K1743" i="2" s="1"/>
  <c r="AC1474" i="2"/>
  <c r="AD1474" i="2" s="1"/>
  <c r="AA1474" i="2"/>
  <c r="AB1474" i="2"/>
  <c r="L1474" i="2"/>
  <c r="K1474" i="2" s="1"/>
  <c r="AA2539" i="2"/>
  <c r="AC2539" i="2"/>
  <c r="AB2473" i="2"/>
  <c r="AC2473" i="2"/>
  <c r="AA2465" i="2"/>
  <c r="AC2465" i="2"/>
  <c r="AB2230" i="2"/>
  <c r="AC2230" i="2"/>
  <c r="AB2185" i="2"/>
  <c r="AA2185" i="2"/>
  <c r="AB2087" i="2"/>
  <c r="AC2087" i="2"/>
  <c r="AB2080" i="2"/>
  <c r="AC2080" i="2"/>
  <c r="AA2048" i="2"/>
  <c r="AB2048" i="2"/>
  <c r="AC2048" i="2"/>
  <c r="AB2029" i="2"/>
  <c r="AA2029" i="2"/>
  <c r="AC2029" i="2"/>
  <c r="AB1933" i="2"/>
  <c r="AA1933" i="2"/>
  <c r="AC1933" i="2"/>
  <c r="AB1885" i="2"/>
  <c r="AA1885" i="2"/>
  <c r="AC1885" i="2"/>
  <c r="AD1885" i="2" s="1"/>
  <c r="AB1861" i="2"/>
  <c r="L1861" i="2"/>
  <c r="K1861" i="2" s="1"/>
  <c r="AA1861" i="2"/>
  <c r="AA1794" i="2"/>
  <c r="AB1794" i="2"/>
  <c r="AC1794" i="2"/>
  <c r="AD1794" i="2" s="1"/>
  <c r="AA1781" i="2"/>
  <c r="AB1781" i="2"/>
  <c r="AC1781" i="2"/>
  <c r="AD1781" i="2" s="1"/>
  <c r="L1781" i="2"/>
  <c r="K1781" i="2" s="1"/>
  <c r="L1442" i="2"/>
  <c r="K1442" i="2" s="1"/>
  <c r="AB1442" i="2"/>
  <c r="AC1442" i="2"/>
  <c r="AD1442" i="2" s="1"/>
  <c r="AC1332" i="2"/>
  <c r="AD1332" i="2" s="1"/>
  <c r="L1332" i="2"/>
  <c r="K1332" i="2" s="1"/>
  <c r="AB1332" i="2"/>
  <c r="L1131" i="2"/>
  <c r="K1131" i="2" s="1"/>
  <c r="AA1131" i="2"/>
  <c r="AC1131" i="2"/>
  <c r="AD1131" i="2" s="1"/>
  <c r="AA2695" i="2"/>
  <c r="AC2695" i="2"/>
  <c r="AB2640" i="2"/>
  <c r="AA2640" i="2"/>
  <c r="AB2505" i="2"/>
  <c r="AA2503" i="2"/>
  <c r="AB2503" i="2"/>
  <c r="AC2501" i="2"/>
  <c r="AB2501" i="2"/>
  <c r="AB2499" i="2"/>
  <c r="AB2481" i="2"/>
  <c r="AA2479" i="2"/>
  <c r="AA2477" i="2"/>
  <c r="AC2477" i="2"/>
  <c r="AA2469" i="2"/>
  <c r="AB2469" i="2"/>
  <c r="AC2467" i="2"/>
  <c r="AB2467" i="2"/>
  <c r="AB2459" i="2"/>
  <c r="AA2433" i="2"/>
  <c r="AA2431" i="2"/>
  <c r="AB2429" i="2"/>
  <c r="AA2425" i="2"/>
  <c r="AB2347" i="2"/>
  <c r="AA2345" i="2"/>
  <c r="AC2345" i="2"/>
  <c r="AC2339" i="2"/>
  <c r="AA2339" i="2"/>
  <c r="AB2301" i="2"/>
  <c r="AA2282" i="2"/>
  <c r="AA2278" i="2"/>
  <c r="AC2234" i="2"/>
  <c r="AB2234" i="2"/>
  <c r="AA2225" i="2"/>
  <c r="AB2225" i="2"/>
  <c r="AC2225" i="2"/>
  <c r="AB2206" i="2"/>
  <c r="AA2206" i="2"/>
  <c r="AC2206" i="2"/>
  <c r="AA2204" i="2"/>
  <c r="AC2204" i="2"/>
  <c r="AA2174" i="2"/>
  <c r="AC2174" i="2"/>
  <c r="AA2131" i="2"/>
  <c r="AB2131" i="2"/>
  <c r="AC2131" i="2"/>
  <c r="AB1972" i="2"/>
  <c r="AC1972" i="2"/>
  <c r="AA1972" i="2"/>
  <c r="L1885" i="2"/>
  <c r="K1885" i="2" s="1"/>
  <c r="L1882" i="2"/>
  <c r="K1882" i="2" s="1"/>
  <c r="AB1882" i="2"/>
  <c r="AC1882" i="2"/>
  <c r="AD1882" i="2" s="1"/>
  <c r="AA1882" i="2"/>
  <c r="L1852" i="2"/>
  <c r="K1852" i="2" s="1"/>
  <c r="AC1821" i="2"/>
  <c r="AD1821" i="2" s="1"/>
  <c r="AB1821" i="2"/>
  <c r="L1821" i="2"/>
  <c r="K1821" i="2" s="1"/>
  <c r="L1794" i="2"/>
  <c r="K1794" i="2" s="1"/>
  <c r="AC1773" i="2"/>
  <c r="AD1773" i="2" s="1"/>
  <c r="AA1773" i="2"/>
  <c r="AB1773" i="2"/>
  <c r="AB630" i="2"/>
  <c r="AC630" i="2"/>
  <c r="AD630" i="2" s="1"/>
  <c r="L630" i="2"/>
  <c r="K630" i="2" s="1"/>
  <c r="AA630" i="2"/>
  <c r="AA2453" i="2"/>
  <c r="AB2453" i="2"/>
  <c r="AC2451" i="2"/>
  <c r="AB2451" i="2"/>
  <c r="AA2443" i="2"/>
  <c r="AC2443" i="2"/>
  <c r="AA2441" i="2"/>
  <c r="AC2441" i="2"/>
  <c r="AC2360" i="2"/>
  <c r="AB2284" i="2"/>
  <c r="AC2284" i="2"/>
  <c r="AB2236" i="2"/>
  <c r="AC2236" i="2"/>
  <c r="AA2201" i="2"/>
  <c r="AB2201" i="2"/>
  <c r="AC2201" i="2"/>
  <c r="AC2195" i="2"/>
  <c r="AC2147" i="2"/>
  <c r="AB2137" i="2"/>
  <c r="AA2137" i="2"/>
  <c r="AC2106" i="2"/>
  <c r="AA2106" i="2"/>
  <c r="AA2084" i="2"/>
  <c r="AB2084" i="2"/>
  <c r="AC2084" i="2"/>
  <c r="AC2061" i="2"/>
  <c r="AA2061" i="2"/>
  <c r="AB2041" i="2"/>
  <c r="AA2041" i="2"/>
  <c r="AC1926" i="2"/>
  <c r="AD1926" i="2" s="1"/>
  <c r="AA1926" i="2"/>
  <c r="AB1926" i="2"/>
  <c r="L1926" i="2"/>
  <c r="K1926" i="2" s="1"/>
  <c r="AA1881" i="2"/>
  <c r="AB1881" i="2"/>
  <c r="AC1881" i="2"/>
  <c r="AD1881" i="2" s="1"/>
  <c r="L1881" i="2"/>
  <c r="K1881" i="2" s="1"/>
  <c r="AC1857" i="2"/>
  <c r="AD1857" i="2" s="1"/>
  <c r="AB1857" i="2"/>
  <c r="AC1827" i="2"/>
  <c r="AD1827" i="2" s="1"/>
  <c r="L1827" i="2"/>
  <c r="K1827" i="2" s="1"/>
  <c r="AB1827" i="2"/>
  <c r="AA1746" i="2"/>
  <c r="AB1746" i="2"/>
  <c r="L1746" i="2"/>
  <c r="K1746" i="2" s="1"/>
  <c r="AA1557" i="2"/>
  <c r="AC1557" i="2"/>
  <c r="AD1557" i="2" s="1"/>
  <c r="L1557" i="2"/>
  <c r="K1557" i="2" s="1"/>
  <c r="AB1557" i="2"/>
  <c r="L1289" i="2"/>
  <c r="K1289" i="2" s="1"/>
  <c r="AA1289" i="2"/>
  <c r="AC1289" i="2"/>
  <c r="AD1289" i="2" s="1"/>
  <c r="L1061" i="2"/>
  <c r="AA1061" i="2"/>
  <c r="AB1061" i="2"/>
  <c r="AC1061" i="2"/>
  <c r="AD1061" i="2" s="1"/>
  <c r="L983" i="2"/>
  <c r="K983" i="2" s="1"/>
  <c r="AB983" i="2"/>
  <c r="AC983" i="2"/>
  <c r="AD983" i="2" s="1"/>
  <c r="AC2984" i="2"/>
  <c r="AC2972" i="2"/>
  <c r="AC2960" i="2"/>
  <c r="AC2924" i="2"/>
  <c r="AC2912" i="2"/>
  <c r="AC2900" i="2"/>
  <c r="AC2893" i="2"/>
  <c r="AB2879" i="2"/>
  <c r="AC2861" i="2"/>
  <c r="AC2852" i="2"/>
  <c r="AC2843" i="2"/>
  <c r="AA2823" i="2"/>
  <c r="AC2821" i="2"/>
  <c r="AA2801" i="2"/>
  <c r="AB2799" i="2"/>
  <c r="AB2788" i="2"/>
  <c r="AB2779" i="2"/>
  <c r="AC2768" i="2"/>
  <c r="AB2766" i="2"/>
  <c r="AC2764" i="2"/>
  <c r="AC2755" i="2"/>
  <c r="AB2746" i="2"/>
  <c r="AC2744" i="2"/>
  <c r="AC2742" i="2"/>
  <c r="AB2733" i="2"/>
  <c r="AA2724" i="2"/>
  <c r="AB2713" i="2"/>
  <c r="AA2711" i="2"/>
  <c r="AC2709" i="2"/>
  <c r="AC2700" i="2"/>
  <c r="AC2689" i="2"/>
  <c r="AC2687" i="2"/>
  <c r="AB2667" i="2"/>
  <c r="AB2656" i="2"/>
  <c r="AA2647" i="2"/>
  <c r="AC2647" i="2"/>
  <c r="AA2645" i="2"/>
  <c r="AB2634" i="2"/>
  <c r="AB2625" i="2"/>
  <c r="AC2623" i="2"/>
  <c r="AB2621" i="2"/>
  <c r="AA2612" i="2"/>
  <c r="AC2608" i="2"/>
  <c r="AC2593" i="2"/>
  <c r="AC2591" i="2"/>
  <c r="AB2580" i="2"/>
  <c r="AA2580" i="2"/>
  <c r="AB2563" i="2"/>
  <c r="AB2561" i="2"/>
  <c r="AA2516" i="2"/>
  <c r="AC2512" i="2"/>
  <c r="AB2493" i="2"/>
  <c r="AB2491" i="2"/>
  <c r="AA2489" i="2"/>
  <c r="AC2489" i="2"/>
  <c r="AC2483" i="2"/>
  <c r="AA2483" i="2"/>
  <c r="AA2437" i="2"/>
  <c r="AB2437" i="2"/>
  <c r="AC2435" i="2"/>
  <c r="AB2435" i="2"/>
  <c r="AA2419" i="2"/>
  <c r="AB2417" i="2"/>
  <c r="AA2415" i="2"/>
  <c r="AC2394" i="2"/>
  <c r="AB2392" i="2"/>
  <c r="AA2390" i="2"/>
  <c r="AC2378" i="2"/>
  <c r="AA2378" i="2"/>
  <c r="AC2374" i="2"/>
  <c r="AC2370" i="2"/>
  <c r="AA2368" i="2"/>
  <c r="AC2362" i="2"/>
  <c r="AB2360" i="2"/>
  <c r="AC2332" i="2"/>
  <c r="AB2330" i="2"/>
  <c r="AC2322" i="2"/>
  <c r="AA2320" i="2"/>
  <c r="AC2210" i="2"/>
  <c r="AA2210" i="2"/>
  <c r="AB2210" i="2"/>
  <c r="AB2195" i="2"/>
  <c r="AB2189" i="2"/>
  <c r="AA2153" i="2"/>
  <c r="AB2153" i="2"/>
  <c r="AC2153" i="2"/>
  <c r="AB2147" i="2"/>
  <c r="AC2145" i="2"/>
  <c r="AC2141" i="2"/>
  <c r="AC2114" i="2"/>
  <c r="AA2114" i="2"/>
  <c r="AB1958" i="2"/>
  <c r="AC1958" i="2"/>
  <c r="AA1945" i="2"/>
  <c r="AA1937" i="2"/>
  <c r="AB1937" i="2"/>
  <c r="L1930" i="2"/>
  <c r="K1930" i="2" s="1"/>
  <c r="AB1930" i="2"/>
  <c r="AC1930" i="2"/>
  <c r="AD1930" i="2" s="1"/>
  <c r="AA1917" i="2"/>
  <c r="AA1902" i="2"/>
  <c r="AA1880" i="2"/>
  <c r="AB1880" i="2"/>
  <c r="AC1880" i="2"/>
  <c r="AD1880" i="2" s="1"/>
  <c r="L1857" i="2"/>
  <c r="K1857" i="2" s="1"/>
  <c r="AB1854" i="2"/>
  <c r="AC1789" i="2"/>
  <c r="AD1789" i="2" s="1"/>
  <c r="AB1789" i="2"/>
  <c r="AA1721" i="2"/>
  <c r="AB1721" i="2"/>
  <c r="AC1721" i="2"/>
  <c r="AD1721" i="2" s="1"/>
  <c r="AB1612" i="2"/>
  <c r="AC1612" i="2"/>
  <c r="AD1612" i="2" s="1"/>
  <c r="AB1399" i="2"/>
  <c r="AA1399" i="2"/>
  <c r="L1399" i="2"/>
  <c r="K1399" i="2" s="1"/>
  <c r="AC2884" i="2"/>
  <c r="AC2808" i="2"/>
  <c r="AC2775" i="2"/>
  <c r="AA2768" i="2"/>
  <c r="AA2766" i="2"/>
  <c r="AB2755" i="2"/>
  <c r="AB2753" i="2"/>
  <c r="AA2700" i="2"/>
  <c r="AC2676" i="2"/>
  <c r="AC2665" i="2"/>
  <c r="AC2663" i="2"/>
  <c r="AB2623" i="2"/>
  <c r="AA2621" i="2"/>
  <c r="AB2608" i="2"/>
  <c r="AC2589" i="2"/>
  <c r="AA2561" i="2"/>
  <c r="AB2512" i="2"/>
  <c r="AB2394" i="2"/>
  <c r="AB2386" i="2"/>
  <c r="AA2386" i="2"/>
  <c r="AB2380" i="2"/>
  <c r="AA2380" i="2"/>
  <c r="AA2374" i="2"/>
  <c r="AA2370" i="2"/>
  <c r="AA2362" i="2"/>
  <c r="AC2358" i="2"/>
  <c r="AA2332" i="2"/>
  <c r="AA2330" i="2"/>
  <c r="AA2322" i="2"/>
  <c r="AB2290" i="2"/>
  <c r="AA2290" i="2"/>
  <c r="AA2286" i="2"/>
  <c r="AB2286" i="2"/>
  <c r="AC2267" i="2"/>
  <c r="AA2261" i="2"/>
  <c r="AC2261" i="2"/>
  <c r="AA2246" i="2"/>
  <c r="AB2246" i="2"/>
  <c r="AC2246" i="2"/>
  <c r="AC2238" i="2"/>
  <c r="AA2238" i="2"/>
  <c r="AB2238" i="2"/>
  <c r="AC2191" i="2"/>
  <c r="AB2141" i="2"/>
  <c r="AB2116" i="2"/>
  <c r="AC2116" i="2"/>
  <c r="AA2116" i="2"/>
  <c r="AC2097" i="2"/>
  <c r="AB2097" i="2"/>
  <c r="AB2077" i="2"/>
  <c r="AA2077" i="2"/>
  <c r="AC2077" i="2"/>
  <c r="AB2065" i="2"/>
  <c r="AA2065" i="2"/>
  <c r="AC2065" i="2"/>
  <c r="AC2063" i="2"/>
  <c r="AB2063" i="2"/>
  <c r="AA2024" i="2"/>
  <c r="AB2024" i="2"/>
  <c r="AC2024" i="2"/>
  <c r="AA1976" i="2"/>
  <c r="AB1976" i="2"/>
  <c r="AC1976" i="2"/>
  <c r="AC1974" i="2"/>
  <c r="AB1974" i="2"/>
  <c r="AA1960" i="2"/>
  <c r="AB1960" i="2"/>
  <c r="AC1960" i="2"/>
  <c r="AA1949" i="2"/>
  <c r="AB1949" i="2"/>
  <c r="L1895" i="2"/>
  <c r="K1895" i="2" s="1"/>
  <c r="AA1895" i="2"/>
  <c r="AB1895" i="2"/>
  <c r="AC1895" i="2"/>
  <c r="AD1895" i="2" s="1"/>
  <c r="AA1805" i="2"/>
  <c r="AB1805" i="2"/>
  <c r="AC1805" i="2"/>
  <c r="AD1805" i="2" s="1"/>
  <c r="L1805" i="2"/>
  <c r="K1805" i="2" s="1"/>
  <c r="AC1784" i="2"/>
  <c r="AD1784" i="2" s="1"/>
  <c r="L1784" i="2"/>
  <c r="K1784" i="2" s="1"/>
  <c r="L1735" i="2"/>
  <c r="K1735" i="2" s="1"/>
  <c r="AA1735" i="2"/>
  <c r="AB1735" i="2"/>
  <c r="L1721" i="2"/>
  <c r="K1721" i="2" s="1"/>
  <c r="L1612" i="2"/>
  <c r="K1612" i="2" s="1"/>
  <c r="AC1590" i="2"/>
  <c r="AD1590" i="2" s="1"/>
  <c r="L1590" i="2"/>
  <c r="K1590" i="2" s="1"/>
  <c r="AA1406" i="2"/>
  <c r="AC1406" i="2"/>
  <c r="AD1406" i="2" s="1"/>
  <c r="L1374" i="2"/>
  <c r="K1374" i="2" s="1"/>
  <c r="AB1374" i="2"/>
  <c r="AA1374" i="2"/>
  <c r="AC1374" i="2"/>
  <c r="AD1374" i="2" s="1"/>
  <c r="AB2544" i="2"/>
  <c r="AA2544" i="2"/>
  <c r="AA2382" i="2"/>
  <c r="AB2382" i="2"/>
  <c r="AB2314" i="2"/>
  <c r="AC2314" i="2"/>
  <c r="AA2273" i="2"/>
  <c r="AB2273" i="2"/>
  <c r="AC2273" i="2"/>
  <c r="AA2227" i="2"/>
  <c r="AB2227" i="2"/>
  <c r="AC2227" i="2"/>
  <c r="AB2212" i="2"/>
  <c r="AC2212" i="2"/>
  <c r="AA2212" i="2"/>
  <c r="AA2203" i="2"/>
  <c r="AB2203" i="2"/>
  <c r="AC2203" i="2"/>
  <c r="AA2180" i="2"/>
  <c r="AB2180" i="2"/>
  <c r="AC2180" i="2"/>
  <c r="AB2101" i="2"/>
  <c r="AA2101" i="2"/>
  <c r="AC2101" i="2"/>
  <c r="AC1854" i="2"/>
  <c r="AD1854" i="2" s="1"/>
  <c r="L1854" i="2"/>
  <c r="K1854" i="2" s="1"/>
  <c r="AA1778" i="2"/>
  <c r="AB1778" i="2"/>
  <c r="AC1778" i="2"/>
  <c r="AD1778" i="2" s="1"/>
  <c r="AB1741" i="2"/>
  <c r="AC1741" i="2"/>
  <c r="AD1741" i="2" s="1"/>
  <c r="AC1677" i="2"/>
  <c r="AD1677" i="2" s="1"/>
  <c r="AB1677" i="2"/>
  <c r="L920" i="2"/>
  <c r="K920" i="2" s="1"/>
  <c r="AB920" i="2"/>
  <c r="AA920" i="2"/>
  <c r="AC920" i="2"/>
  <c r="AD920" i="2" s="1"/>
  <c r="AC915" i="2"/>
  <c r="AD915" i="2" s="1"/>
  <c r="AA915" i="2"/>
  <c r="AB915" i="2"/>
  <c r="L648" i="2"/>
  <c r="K648" i="2" s="1"/>
  <c r="AA648" i="2"/>
  <c r="AC648" i="2"/>
  <c r="AD648" i="2" s="1"/>
  <c r="AB2866" i="2"/>
  <c r="AC2848" i="2"/>
  <c r="AB2837" i="2"/>
  <c r="AB2828" i="2"/>
  <c r="AB2795" i="2"/>
  <c r="AB2782" i="2"/>
  <c r="AB2773" i="2"/>
  <c r="AC2760" i="2"/>
  <c r="AC2727" i="2"/>
  <c r="AB2716" i="2"/>
  <c r="AB2705" i="2"/>
  <c r="AB2696" i="2"/>
  <c r="AB2694" i="2"/>
  <c r="AC2683" i="2"/>
  <c r="AB2661" i="2"/>
  <c r="AB2641" i="2"/>
  <c r="AB2639" i="2"/>
  <c r="AC2628" i="2"/>
  <c r="AC2617" i="2"/>
  <c r="AC2615" i="2"/>
  <c r="AB2602" i="2"/>
  <c r="AA2587" i="2"/>
  <c r="AC2587" i="2"/>
  <c r="AC2583" i="2"/>
  <c r="AC2568" i="2"/>
  <c r="AC2553" i="2"/>
  <c r="AB2536" i="2"/>
  <c r="AC2521" i="2"/>
  <c r="AC2519" i="2"/>
  <c r="AC2504" i="2"/>
  <c r="AB2502" i="2"/>
  <c r="AB2480" i="2"/>
  <c r="AC2478" i="2"/>
  <c r="AC2470" i="2"/>
  <c r="AB2432" i="2"/>
  <c r="AC2346" i="2"/>
  <c r="AB2338" i="2"/>
  <c r="AA2338" i="2"/>
  <c r="AB2233" i="2"/>
  <c r="AA2233" i="2"/>
  <c r="AA2155" i="2"/>
  <c r="AB2155" i="2"/>
  <c r="AC2155" i="2"/>
  <c r="AC2130" i="2"/>
  <c r="AA2130" i="2"/>
  <c r="AC2118" i="2"/>
  <c r="AA2118" i="2"/>
  <c r="AB2118" i="2"/>
  <c r="AA2009" i="2"/>
  <c r="AB2009" i="2"/>
  <c r="AC2009" i="2"/>
  <c r="L1929" i="2"/>
  <c r="K1929" i="2" s="1"/>
  <c r="AA1929" i="2"/>
  <c r="AB1929" i="2"/>
  <c r="AB1910" i="2"/>
  <c r="L1898" i="2"/>
  <c r="K1898" i="2" s="1"/>
  <c r="AB1898" i="2"/>
  <c r="AC1898" i="2"/>
  <c r="AD1898" i="2" s="1"/>
  <c r="AA1898" i="2"/>
  <c r="L1874" i="2"/>
  <c r="K1874" i="2" s="1"/>
  <c r="AA1874" i="2"/>
  <c r="AC1841" i="2"/>
  <c r="AD1841" i="2" s="1"/>
  <c r="AB1830" i="2"/>
  <c r="AB1786" i="2"/>
  <c r="AC1786" i="2"/>
  <c r="AD1786" i="2" s="1"/>
  <c r="L1786" i="2"/>
  <c r="K1786" i="2" s="1"/>
  <c r="L1778" i="2"/>
  <c r="K1778" i="2" s="1"/>
  <c r="AC1775" i="2"/>
  <c r="AD1775" i="2" s="1"/>
  <c r="L1741" i="2"/>
  <c r="K1741" i="2" s="1"/>
  <c r="L1677" i="2"/>
  <c r="K1677" i="2" s="1"/>
  <c r="L1621" i="2"/>
  <c r="K1621" i="2" s="1"/>
  <c r="AC1621" i="2"/>
  <c r="AD1621" i="2" s="1"/>
  <c r="AB1179" i="2"/>
  <c r="AC1179" i="2"/>
  <c r="AD1179" i="2" s="1"/>
  <c r="AA1179" i="2"/>
  <c r="L1014" i="2"/>
  <c r="K1014" i="2" s="1"/>
  <c r="AB1014" i="2"/>
  <c r="AC1014" i="2"/>
  <c r="AD1014" i="2" s="1"/>
  <c r="AA1014" i="2"/>
  <c r="L915" i="2"/>
  <c r="K915" i="2" s="1"/>
  <c r="AB2848" i="2"/>
  <c r="AA2839" i="2"/>
  <c r="AC2839" i="2"/>
  <c r="AA2837" i="2"/>
  <c r="AB2784" i="2"/>
  <c r="AA2784" i="2"/>
  <c r="AA2782" i="2"/>
  <c r="AA2760" i="2"/>
  <c r="AA2727" i="2"/>
  <c r="AA2705" i="2"/>
  <c r="AB2683" i="2"/>
  <c r="AA2628" i="2"/>
  <c r="AB2617" i="2"/>
  <c r="AA2615" i="2"/>
  <c r="AA2583" i="2"/>
  <c r="AA2568" i="2"/>
  <c r="AB2553" i="2"/>
  <c r="AB2521" i="2"/>
  <c r="AA2519" i="2"/>
  <c r="AA2504" i="2"/>
  <c r="AA2480" i="2"/>
  <c r="AB2478" i="2"/>
  <c r="AA2470" i="2"/>
  <c r="AB2458" i="2"/>
  <c r="AC2458" i="2"/>
  <c r="AA2450" i="2"/>
  <c r="AB2450" i="2"/>
  <c r="AA2432" i="2"/>
  <c r="AA2346" i="2"/>
  <c r="AB2300" i="2"/>
  <c r="AC2300" i="2"/>
  <c r="AA2275" i="2"/>
  <c r="AB2275" i="2"/>
  <c r="AC2275" i="2"/>
  <c r="AC2250" i="2"/>
  <c r="AB2250" i="2"/>
  <c r="AC2214" i="2"/>
  <c r="AA2214" i="2"/>
  <c r="AB2214" i="2"/>
  <c r="AA2177" i="2"/>
  <c r="AB2177" i="2"/>
  <c r="AC2177" i="2"/>
  <c r="AB2161" i="2"/>
  <c r="AA2161" i="2"/>
  <c r="AA2060" i="2"/>
  <c r="AB2060" i="2"/>
  <c r="AA2036" i="2"/>
  <c r="AC2036" i="2"/>
  <c r="AA1988" i="2"/>
  <c r="AB1988" i="2"/>
  <c r="AC1962" i="2"/>
  <c r="AA1962" i="2"/>
  <c r="AB1962" i="2"/>
  <c r="AC1955" i="2"/>
  <c r="AA1955" i="2"/>
  <c r="AB1897" i="2"/>
  <c r="AA1897" i="2"/>
  <c r="AC1897" i="2"/>
  <c r="AD1897" i="2" s="1"/>
  <c r="AA1837" i="2"/>
  <c r="AB1837" i="2"/>
  <c r="AC1837" i="2"/>
  <c r="AD1837" i="2" s="1"/>
  <c r="L1837" i="2"/>
  <c r="K1837" i="2" s="1"/>
  <c r="AA1830" i="2"/>
  <c r="L1816" i="2"/>
  <c r="K1816" i="2" s="1"/>
  <c r="AB1816" i="2"/>
  <c r="AC1816" i="2"/>
  <c r="AD1816" i="2" s="1"/>
  <c r="AA1775" i="2"/>
  <c r="AB1762" i="2"/>
  <c r="AC1762" i="2"/>
  <c r="AD1762" i="2" s="1"/>
  <c r="AA1762" i="2"/>
  <c r="AB1738" i="2"/>
  <c r="AC1738" i="2"/>
  <c r="AD1738" i="2" s="1"/>
  <c r="L1738" i="2"/>
  <c r="K1738" i="2" s="1"/>
  <c r="AA1738" i="2"/>
  <c r="L1696" i="2"/>
  <c r="K1696" i="2" s="1"/>
  <c r="AA1696" i="2"/>
  <c r="AB1696" i="2"/>
  <c r="AC1696" i="2"/>
  <c r="AD1696" i="2" s="1"/>
  <c r="L1624" i="2"/>
  <c r="K1624" i="2" s="1"/>
  <c r="AA1624" i="2"/>
  <c r="AB1624" i="2"/>
  <c r="AC1624" i="2"/>
  <c r="AD1624" i="2" s="1"/>
  <c r="AC1462" i="2"/>
  <c r="AD1462" i="2" s="1"/>
  <c r="L1462" i="2"/>
  <c r="K1462" i="2" s="1"/>
  <c r="L1242" i="2"/>
  <c r="K1242" i="2" s="1"/>
  <c r="AB1242" i="2"/>
  <c r="AC1242" i="2"/>
  <c r="AD1242" i="2" s="1"/>
  <c r="AB1234" i="2"/>
  <c r="AC1234" i="2"/>
  <c r="AD1234" i="2" s="1"/>
  <c r="L1234" i="2"/>
  <c r="K1234" i="2" s="1"/>
  <c r="L1179" i="2"/>
  <c r="K1179" i="2" s="1"/>
  <c r="AB1018" i="2"/>
  <c r="AC1018" i="2"/>
  <c r="AD1018" i="2" s="1"/>
  <c r="AA1018" i="2"/>
  <c r="AC765" i="2"/>
  <c r="AD765" i="2" s="1"/>
  <c r="AA765" i="2"/>
  <c r="AB765" i="2"/>
  <c r="AA2551" i="2"/>
  <c r="AC2551" i="2"/>
  <c r="AB2496" i="2"/>
  <c r="AA2496" i="2"/>
  <c r="AB2482" i="2"/>
  <c r="AA2482" i="2"/>
  <c r="AB2434" i="2"/>
  <c r="AA2434" i="2"/>
  <c r="AB2348" i="2"/>
  <c r="AA2348" i="2"/>
  <c r="AB2209" i="2"/>
  <c r="AA2209" i="2"/>
  <c r="AB2134" i="2"/>
  <c r="AC2134" i="2"/>
  <c r="AB2113" i="2"/>
  <c r="AA2113" i="2"/>
  <c r="AA2049" i="2"/>
  <c r="AC2049" i="2"/>
  <c r="AB2038" i="2"/>
  <c r="AC2038" i="2"/>
  <c r="AB2017" i="2"/>
  <c r="AC2017" i="2"/>
  <c r="L1910" i="2"/>
  <c r="K1910" i="2" s="1"/>
  <c r="AC1910" i="2"/>
  <c r="AD1910" i="2" s="1"/>
  <c r="AA1865" i="2"/>
  <c r="AB1865" i="2"/>
  <c r="AA1841" i="2"/>
  <c r="L1841" i="2"/>
  <c r="K1841" i="2" s="1"/>
  <c r="AA1497" i="2"/>
  <c r="L1497" i="2"/>
  <c r="K1497" i="2" s="1"/>
  <c r="AB1497" i="2"/>
  <c r="AB1388" i="2"/>
  <c r="AA1388" i="2"/>
  <c r="AC1388" i="2"/>
  <c r="AD1388" i="2" s="1"/>
  <c r="AC1611" i="2"/>
  <c r="AD1611" i="2" s="1"/>
  <c r="L1611" i="2"/>
  <c r="K1611" i="2" s="1"/>
  <c r="AA1611" i="2"/>
  <c r="AB1611" i="2"/>
  <c r="AA1512" i="2"/>
  <c r="AB1512" i="2"/>
  <c r="AC1416" i="2"/>
  <c r="AD1416" i="2" s="1"/>
  <c r="AB1416" i="2"/>
  <c r="L1402" i="2"/>
  <c r="K1402" i="2" s="1"/>
  <c r="AA1402" i="2"/>
  <c r="AB1402" i="2"/>
  <c r="AC1402" i="2"/>
  <c r="AD1402" i="2" s="1"/>
  <c r="L1342" i="2"/>
  <c r="K1342" i="2" s="1"/>
  <c r="AA1342" i="2"/>
  <c r="AB1342" i="2"/>
  <c r="AB1253" i="2"/>
  <c r="AC1253" i="2"/>
  <c r="AD1253" i="2" s="1"/>
  <c r="AA1253" i="2"/>
  <c r="L1174" i="2"/>
  <c r="K1174" i="2" s="1"/>
  <c r="AA1174" i="2"/>
  <c r="AB1174" i="2"/>
  <c r="AC1174" i="2"/>
  <c r="AD1174" i="2" s="1"/>
  <c r="L1146" i="2"/>
  <c r="AA1146" i="2"/>
  <c r="AC1146" i="2"/>
  <c r="AD1146" i="2" s="1"/>
  <c r="AA1130" i="2"/>
  <c r="AB1130" i="2"/>
  <c r="AC1130" i="2"/>
  <c r="AD1130" i="2" s="1"/>
  <c r="L1130" i="2"/>
  <c r="K1130" i="2" s="1"/>
  <c r="L772" i="2"/>
  <c r="K772" i="2" s="1"/>
  <c r="AC772" i="2"/>
  <c r="AD772" i="2" s="1"/>
  <c r="AB772" i="2"/>
  <c r="AB27" i="2"/>
  <c r="AC27" i="2"/>
  <c r="AD27" i="2" s="1"/>
  <c r="AA27" i="2"/>
  <c r="AA1568" i="2"/>
  <c r="AC1568" i="2"/>
  <c r="AD1568" i="2" s="1"/>
  <c r="L1512" i="2"/>
  <c r="K1512" i="2" s="1"/>
  <c r="AC1476" i="2"/>
  <c r="AD1476" i="2" s="1"/>
  <c r="L1416" i="2"/>
  <c r="K1416" i="2" s="1"/>
  <c r="AB1390" i="2"/>
  <c r="AB1387" i="2"/>
  <c r="AA1387" i="2"/>
  <c r="L1387" i="2"/>
  <c r="K1387" i="2" s="1"/>
  <c r="AC1387" i="2"/>
  <c r="AD1387" i="2" s="1"/>
  <c r="AB1315" i="2"/>
  <c r="L1315" i="2"/>
  <c r="K1315" i="2" s="1"/>
  <c r="AA1315" i="2"/>
  <c r="AC1315" i="2"/>
  <c r="AD1315" i="2" s="1"/>
  <c r="AA1310" i="2"/>
  <c r="AC1310" i="2"/>
  <c r="AD1310" i="2" s="1"/>
  <c r="L1310" i="2"/>
  <c r="K1310" i="2" s="1"/>
  <c r="AB1310" i="2"/>
  <c r="L1253" i="2"/>
  <c r="K1253" i="2" s="1"/>
  <c r="AC1203" i="2"/>
  <c r="AD1203" i="2" s="1"/>
  <c r="L1182" i="2"/>
  <c r="K1182" i="2" s="1"/>
  <c r="AA1182" i="2"/>
  <c r="AC1020" i="2"/>
  <c r="AD1020" i="2" s="1"/>
  <c r="AA1020" i="2"/>
  <c r="AB1020" i="2"/>
  <c r="AC937" i="2"/>
  <c r="AD937" i="2" s="1"/>
  <c r="L937" i="2"/>
  <c r="K937" i="2" s="1"/>
  <c r="L868" i="2"/>
  <c r="K868" i="2" s="1"/>
  <c r="AA868" i="2"/>
  <c r="AB868" i="2"/>
  <c r="AC868" i="2"/>
  <c r="AD868" i="2" s="1"/>
  <c r="L836" i="2"/>
  <c r="K836" i="2" s="1"/>
  <c r="AB836" i="2"/>
  <c r="AA836" i="2"/>
  <c r="AC836" i="2"/>
  <c r="AD836" i="2" s="1"/>
  <c r="AB537" i="2"/>
  <c r="K35" i="2"/>
  <c r="L27" i="2"/>
  <c r="K27" i="2" s="1"/>
  <c r="AC2082" i="2"/>
  <c r="AB2082" i="2"/>
  <c r="AA2045" i="2"/>
  <c r="AB2045" i="2"/>
  <c r="AB2008" i="2"/>
  <c r="AC2008" i="2"/>
  <c r="AB1969" i="2"/>
  <c r="AA1969" i="2"/>
  <c r="AB1957" i="2"/>
  <c r="AA1957" i="2"/>
  <c r="AC1957" i="2"/>
  <c r="L1888" i="2"/>
  <c r="K1888" i="2" s="1"/>
  <c r="AA1888" i="2"/>
  <c r="AA1856" i="2"/>
  <c r="L1856" i="2"/>
  <c r="K1856" i="2" s="1"/>
  <c r="AA1818" i="2"/>
  <c r="AB1818" i="2"/>
  <c r="AC1815" i="2"/>
  <c r="AD1815" i="2" s="1"/>
  <c r="L1815" i="2"/>
  <c r="K1815" i="2" s="1"/>
  <c r="AA1815" i="2"/>
  <c r="AC1797" i="2"/>
  <c r="AD1797" i="2" s="1"/>
  <c r="L1797" i="2"/>
  <c r="K1797" i="2" s="1"/>
  <c r="AA1797" i="2"/>
  <c r="AA1780" i="2"/>
  <c r="AA1769" i="2"/>
  <c r="AB1769" i="2"/>
  <c r="AC1769" i="2"/>
  <c r="AD1769" i="2" s="1"/>
  <c r="AA1734" i="2"/>
  <c r="AA1730" i="2"/>
  <c r="AA1723" i="2"/>
  <c r="AA1709" i="2"/>
  <c r="AB1709" i="2"/>
  <c r="AC1709" i="2"/>
  <c r="AD1709" i="2" s="1"/>
  <c r="AA1693" i="2"/>
  <c r="AC1651" i="2"/>
  <c r="AD1651" i="2" s="1"/>
  <c r="AA1634" i="2"/>
  <c r="L1629" i="2"/>
  <c r="K1629" i="2" s="1"/>
  <c r="L1597" i="2"/>
  <c r="K1597" i="2" s="1"/>
  <c r="AC1597" i="2"/>
  <c r="AD1597" i="2" s="1"/>
  <c r="L1568" i="2"/>
  <c r="K1568" i="2" s="1"/>
  <c r="L1532" i="2"/>
  <c r="K1532" i="2" s="1"/>
  <c r="AB1532" i="2"/>
  <c r="AA1532" i="2"/>
  <c r="AC1532" i="2"/>
  <c r="AD1532" i="2" s="1"/>
  <c r="L1515" i="2"/>
  <c r="K1515" i="2" s="1"/>
  <c r="AB1515" i="2"/>
  <c r="AB1476" i="2"/>
  <c r="AB1441" i="2"/>
  <c r="AC1441" i="2"/>
  <c r="AD1441" i="2" s="1"/>
  <c r="L1441" i="2"/>
  <c r="K1441" i="2" s="1"/>
  <c r="L1420" i="2"/>
  <c r="K1420" i="2" s="1"/>
  <c r="AA1420" i="2"/>
  <c r="AA1409" i="2"/>
  <c r="AC1409" i="2"/>
  <c r="AD1409" i="2" s="1"/>
  <c r="L1409" i="2"/>
  <c r="K1409" i="2" s="1"/>
  <c r="AA1390" i="2"/>
  <c r="AA1382" i="2"/>
  <c r="AC1382" i="2"/>
  <c r="AD1382" i="2" s="1"/>
  <c r="L1382" i="2"/>
  <c r="K1382" i="2" s="1"/>
  <c r="AB1382" i="2"/>
  <c r="L1360" i="2"/>
  <c r="K1360" i="2" s="1"/>
  <c r="AA1360" i="2"/>
  <c r="AB1360" i="2"/>
  <c r="AC1360" i="2"/>
  <c r="AD1360" i="2" s="1"/>
  <c r="L1345" i="2"/>
  <c r="K1345" i="2" s="1"/>
  <c r="AA1345" i="2"/>
  <c r="AC1345" i="2"/>
  <c r="AD1345" i="2" s="1"/>
  <c r="AB1292" i="2"/>
  <c r="AC1292" i="2"/>
  <c r="AD1292" i="2" s="1"/>
  <c r="L1292" i="2"/>
  <c r="K1292" i="2" s="1"/>
  <c r="AB1138" i="2"/>
  <c r="L1138" i="2"/>
  <c r="K1138" i="2" s="1"/>
  <c r="AB1045" i="2"/>
  <c r="AC1045" i="2"/>
  <c r="AD1045" i="2" s="1"/>
  <c r="L1020" i="2"/>
  <c r="K1020" i="2" s="1"/>
  <c r="AB990" i="2"/>
  <c r="AC990" i="2"/>
  <c r="AD990" i="2" s="1"/>
  <c r="L894" i="2"/>
  <c r="K894" i="2" s="1"/>
  <c r="AB894" i="2"/>
  <c r="AC894" i="2"/>
  <c r="AD894" i="2" s="1"/>
  <c r="AA894" i="2"/>
  <c r="AA601" i="2"/>
  <c r="AB601" i="2"/>
  <c r="AC601" i="2"/>
  <c r="AD601" i="2" s="1"/>
  <c r="AB589" i="2"/>
  <c r="AC589" i="2"/>
  <c r="AD589" i="2" s="1"/>
  <c r="L589" i="2"/>
  <c r="K589" i="2" s="1"/>
  <c r="AA589" i="2"/>
  <c r="AC4" i="2"/>
  <c r="AD4" i="2" s="1"/>
  <c r="L4" i="2"/>
  <c r="K4" i="2" s="1"/>
  <c r="AA4" i="2"/>
  <c r="AB4" i="2"/>
  <c r="AC1755" i="2"/>
  <c r="AD1755" i="2" s="1"/>
  <c r="L1755" i="2"/>
  <c r="K1755" i="2" s="1"/>
  <c r="AB1755" i="2"/>
  <c r="AC1719" i="2"/>
  <c r="AD1719" i="2" s="1"/>
  <c r="AA1719" i="2"/>
  <c r="AB1719" i="2"/>
  <c r="L1648" i="2"/>
  <c r="K1648" i="2" s="1"/>
  <c r="AA1648" i="2"/>
  <c r="AB1648" i="2"/>
  <c r="AC1648" i="2"/>
  <c r="AD1648" i="2" s="1"/>
  <c r="AB1594" i="2"/>
  <c r="AC1594" i="2"/>
  <c r="AD1594" i="2" s="1"/>
  <c r="AB1517" i="2"/>
  <c r="AC1517" i="2"/>
  <c r="AD1517" i="2" s="1"/>
  <c r="L1490" i="2"/>
  <c r="K1490" i="2" s="1"/>
  <c r="AB1490" i="2"/>
  <c r="AC1490" i="2"/>
  <c r="AD1490" i="2" s="1"/>
  <c r="AB1481" i="2"/>
  <c r="L1481" i="2"/>
  <c r="K1481" i="2" s="1"/>
  <c r="AA1481" i="2"/>
  <c r="AA1460" i="2"/>
  <c r="AB1460" i="2"/>
  <c r="AC1460" i="2"/>
  <c r="AD1460" i="2" s="1"/>
  <c r="L1309" i="2"/>
  <c r="K1309" i="2" s="1"/>
  <c r="AA1309" i="2"/>
  <c r="AB1309" i="2"/>
  <c r="AC1309" i="2"/>
  <c r="AD1309" i="2" s="1"/>
  <c r="AB1215" i="2"/>
  <c r="AC1215" i="2"/>
  <c r="AD1215" i="2" s="1"/>
  <c r="L1215" i="2"/>
  <c r="K1215" i="2" s="1"/>
  <c r="AA1215" i="2"/>
  <c r="L1203" i="2"/>
  <c r="K1203" i="2" s="1"/>
  <c r="AA1203" i="2"/>
  <c r="AA1070" i="2"/>
  <c r="AB1070" i="2"/>
  <c r="AC1070" i="2"/>
  <c r="AD1070" i="2" s="1"/>
  <c r="AB627" i="2"/>
  <c r="L627" i="2"/>
  <c r="K627" i="2" s="1"/>
  <c r="AC627" i="2"/>
  <c r="AD627" i="2" s="1"/>
  <c r="AA627" i="2"/>
  <c r="AC543" i="2"/>
  <c r="AD543" i="2" s="1"/>
  <c r="L543" i="2"/>
  <c r="K543" i="2" s="1"/>
  <c r="AA543" i="2"/>
  <c r="L537" i="2"/>
  <c r="K537" i="2" s="1"/>
  <c r="AC537" i="2"/>
  <c r="AD537" i="2" s="1"/>
  <c r="AA2297" i="2"/>
  <c r="AC2297" i="2"/>
  <c r="AB2281" i="2"/>
  <c r="AA2281" i="2"/>
  <c r="AB2257" i="2"/>
  <c r="AA2257" i="2"/>
  <c r="AA2251" i="2"/>
  <c r="AB2251" i="2"/>
  <c r="AC2251" i="2"/>
  <c r="AB2110" i="2"/>
  <c r="AC2110" i="2"/>
  <c r="AA2012" i="2"/>
  <c r="AB2012" i="2"/>
  <c r="AC2012" i="2"/>
  <c r="AC2010" i="2"/>
  <c r="AB2010" i="2"/>
  <c r="AA1973" i="2"/>
  <c r="AB1973" i="2"/>
  <c r="AB1936" i="2"/>
  <c r="AC1936" i="2"/>
  <c r="AB1893" i="2"/>
  <c r="AB1850" i="2"/>
  <c r="AB1843" i="2"/>
  <c r="AA1832" i="2"/>
  <c r="AA1829" i="2"/>
  <c r="AB1829" i="2"/>
  <c r="AC1829" i="2"/>
  <c r="AD1829" i="2" s="1"/>
  <c r="L1829" i="2"/>
  <c r="K1829" i="2" s="1"/>
  <c r="AA1823" i="2"/>
  <c r="AB1793" i="2"/>
  <c r="L1780" i="2"/>
  <c r="K1780" i="2" s="1"/>
  <c r="L1730" i="2"/>
  <c r="K1730" i="2" s="1"/>
  <c r="L1719" i="2"/>
  <c r="K1719" i="2" s="1"/>
  <c r="AB1714" i="2"/>
  <c r="AC1714" i="2"/>
  <c r="AD1714" i="2" s="1"/>
  <c r="AA1695" i="2"/>
  <c r="AA1658" i="2"/>
  <c r="AA1653" i="2"/>
  <c r="AA1651" i="2"/>
  <c r="AB1599" i="2"/>
  <c r="L1594" i="2"/>
  <c r="K1594" i="2" s="1"/>
  <c r="L1574" i="2"/>
  <c r="K1574" i="2" s="1"/>
  <c r="AC1574" i="2"/>
  <c r="AD1574" i="2" s="1"/>
  <c r="AB1553" i="2"/>
  <c r="AA1553" i="2"/>
  <c r="AA1548" i="2"/>
  <c r="AB1548" i="2"/>
  <c r="L1517" i="2"/>
  <c r="K1517" i="2" s="1"/>
  <c r="L1487" i="2"/>
  <c r="K1487" i="2" s="1"/>
  <c r="AA1487" i="2"/>
  <c r="L1476" i="2"/>
  <c r="K1476" i="2" s="1"/>
  <c r="L1460" i="2"/>
  <c r="K1460" i="2" s="1"/>
  <c r="L1434" i="2"/>
  <c r="K1434" i="2" s="1"/>
  <c r="AB1434" i="2"/>
  <c r="AC1434" i="2"/>
  <c r="AD1434" i="2" s="1"/>
  <c r="AA1429" i="2"/>
  <c r="L1429" i="2"/>
  <c r="K1429" i="2" s="1"/>
  <c r="AB1429" i="2"/>
  <c r="AB1423" i="2"/>
  <c r="AA1423" i="2"/>
  <c r="AB1392" i="2"/>
  <c r="L1390" i="2"/>
  <c r="K1390" i="2" s="1"/>
  <c r="AA1371" i="2"/>
  <c r="L1371" i="2"/>
  <c r="K1371" i="2" s="1"/>
  <c r="AB1371" i="2"/>
  <c r="AC1371" i="2"/>
  <c r="AD1371" i="2" s="1"/>
  <c r="AC1320" i="2"/>
  <c r="AD1320" i="2" s="1"/>
  <c r="AB1320" i="2"/>
  <c r="L1206" i="2"/>
  <c r="K1206" i="2" s="1"/>
  <c r="AC1206" i="2"/>
  <c r="AD1206" i="2" s="1"/>
  <c r="AB1159" i="2"/>
  <c r="AC1159" i="2"/>
  <c r="AD1159" i="2" s="1"/>
  <c r="AA1159" i="2"/>
  <c r="L1070" i="2"/>
  <c r="K1070" i="2" s="1"/>
  <c r="L1042" i="2"/>
  <c r="AA1042" i="2"/>
  <c r="AA994" i="2"/>
  <c r="AB877" i="2"/>
  <c r="AC877" i="2"/>
  <c r="AD877" i="2" s="1"/>
  <c r="AA877" i="2"/>
  <c r="L877" i="2"/>
  <c r="K877" i="2" s="1"/>
  <c r="AA841" i="2"/>
  <c r="L841" i="2"/>
  <c r="K841" i="2" s="1"/>
  <c r="AB841" i="2"/>
  <c r="AC841" i="2"/>
  <c r="AD841" i="2" s="1"/>
  <c r="AC704" i="2"/>
  <c r="AD704" i="2" s="1"/>
  <c r="AB704" i="2"/>
  <c r="AA704" i="2"/>
  <c r="L704" i="2"/>
  <c r="K704" i="2" s="1"/>
  <c r="L72" i="2"/>
  <c r="K72" i="2" s="1"/>
  <c r="AB72" i="2"/>
  <c r="AC72" i="2"/>
  <c r="AD72" i="2" s="1"/>
  <c r="AA72" i="2"/>
  <c r="L1840" i="2"/>
  <c r="K1840" i="2" s="1"/>
  <c r="AB1840" i="2"/>
  <c r="AC1840" i="2"/>
  <c r="AD1840" i="2" s="1"/>
  <c r="AA1840" i="2"/>
  <c r="AB1703" i="2"/>
  <c r="AC1703" i="2"/>
  <c r="AD1703" i="2" s="1"/>
  <c r="AA1561" i="2"/>
  <c r="AB1561" i="2"/>
  <c r="AC1561" i="2"/>
  <c r="AD1561" i="2" s="1"/>
  <c r="L1535" i="2"/>
  <c r="K1535" i="2" s="1"/>
  <c r="AC1535" i="2"/>
  <c r="AD1535" i="2" s="1"/>
  <c r="AA1535" i="2"/>
  <c r="AB1535" i="2"/>
  <c r="L1454" i="2"/>
  <c r="K1454" i="2" s="1"/>
  <c r="AB1454" i="2"/>
  <c r="AC1454" i="2"/>
  <c r="AD1454" i="2" s="1"/>
  <c r="AA1359" i="2"/>
  <c r="L1359" i="2"/>
  <c r="K1359" i="2" s="1"/>
  <c r="AB1359" i="2"/>
  <c r="L1324" i="2"/>
  <c r="K1324" i="2" s="1"/>
  <c r="AA1324" i="2"/>
  <c r="AB1324" i="2"/>
  <c r="AC1324" i="2"/>
  <c r="AD1324" i="2" s="1"/>
  <c r="AA1202" i="2"/>
  <c r="AB1202" i="2"/>
  <c r="AC1202" i="2"/>
  <c r="AD1202" i="2" s="1"/>
  <c r="L1202" i="2"/>
  <c r="K1202" i="2" s="1"/>
  <c r="AC1052" i="2"/>
  <c r="AD1052" i="2" s="1"/>
  <c r="AB1052" i="2"/>
  <c r="AB1039" i="2"/>
  <c r="AC1039" i="2"/>
  <c r="AD1039" i="2" s="1"/>
  <c r="L1039" i="2"/>
  <c r="K1039" i="2" s="1"/>
  <c r="AA1940" i="2"/>
  <c r="AB1940" i="2"/>
  <c r="AC1940" i="2"/>
  <c r="AC1938" i="2"/>
  <c r="AB1938" i="2"/>
  <c r="AA1928" i="2"/>
  <c r="AB1928" i="2"/>
  <c r="AC1928" i="2"/>
  <c r="AD1928" i="2" s="1"/>
  <c r="AA1913" i="2"/>
  <c r="AB1913" i="2"/>
  <c r="AC1913" i="2"/>
  <c r="AD1913" i="2" s="1"/>
  <c r="L1906" i="2"/>
  <c r="K1906" i="2" s="1"/>
  <c r="AB1906" i="2"/>
  <c r="AC1906" i="2"/>
  <c r="AD1906" i="2" s="1"/>
  <c r="L1871" i="2"/>
  <c r="K1871" i="2" s="1"/>
  <c r="AA1871" i="2"/>
  <c r="AB1834" i="2"/>
  <c r="AC1834" i="2"/>
  <c r="AD1834" i="2" s="1"/>
  <c r="L1832" i="2"/>
  <c r="K1832" i="2" s="1"/>
  <c r="AA1828" i="2"/>
  <c r="AB1828" i="2"/>
  <c r="AC1828" i="2"/>
  <c r="AD1828" i="2" s="1"/>
  <c r="L1823" i="2"/>
  <c r="K1823" i="2" s="1"/>
  <c r="L1793" i="2"/>
  <c r="K1793" i="2" s="1"/>
  <c r="L1703" i="2"/>
  <c r="K1703" i="2" s="1"/>
  <c r="L1695" i="2"/>
  <c r="K1695" i="2" s="1"/>
  <c r="L1658" i="2"/>
  <c r="K1658" i="2" s="1"/>
  <c r="L1653" i="2"/>
  <c r="K1653" i="2" s="1"/>
  <c r="AB1607" i="2"/>
  <c r="AC1607" i="2"/>
  <c r="AD1607" i="2" s="1"/>
  <c r="L1561" i="2"/>
  <c r="K1561" i="2" s="1"/>
  <c r="L1478" i="2"/>
  <c r="K1478" i="2" s="1"/>
  <c r="AB1478" i="2"/>
  <c r="L1349" i="2"/>
  <c r="K1349" i="2" s="1"/>
  <c r="AA1349" i="2"/>
  <c r="AB1349" i="2"/>
  <c r="AC1349" i="2"/>
  <c r="AD1349" i="2" s="1"/>
  <c r="L1335" i="2"/>
  <c r="K1335" i="2" s="1"/>
  <c r="AA1335" i="2"/>
  <c r="AB1335" i="2"/>
  <c r="AC1335" i="2"/>
  <c r="AD1335" i="2" s="1"/>
  <c r="L1313" i="2"/>
  <c r="K1313" i="2" s="1"/>
  <c r="AA1313" i="2"/>
  <c r="AB1313" i="2"/>
  <c r="AC1308" i="2"/>
  <c r="AD1308" i="2" s="1"/>
  <c r="L1308" i="2"/>
  <c r="K1308" i="2" s="1"/>
  <c r="AA1286" i="2"/>
  <c r="AC1286" i="2"/>
  <c r="AD1286" i="2" s="1"/>
  <c r="AB1286" i="2"/>
  <c r="AC1232" i="2"/>
  <c r="AD1232" i="2" s="1"/>
  <c r="AB1232" i="2"/>
  <c r="AC1128" i="2"/>
  <c r="AD1128" i="2" s="1"/>
  <c r="AA1128" i="2"/>
  <c r="AB1128" i="2"/>
  <c r="AB1073" i="2"/>
  <c r="AC1073" i="2"/>
  <c r="AD1073" i="2" s="1"/>
  <c r="L1052" i="2"/>
  <c r="K1052" i="2" s="1"/>
  <c r="AC996" i="2"/>
  <c r="AD996" i="2" s="1"/>
  <c r="AA996" i="2"/>
  <c r="L994" i="2"/>
  <c r="K994" i="2" s="1"/>
  <c r="L988" i="2"/>
  <c r="K988" i="2" s="1"/>
  <c r="AC988" i="2"/>
  <c r="AD988" i="2" s="1"/>
  <c r="AA988" i="2"/>
  <c r="AB988" i="2"/>
  <c r="AA887" i="2"/>
  <c r="AB887" i="2"/>
  <c r="AC887" i="2"/>
  <c r="AD887" i="2" s="1"/>
  <c r="AB2222" i="2"/>
  <c r="AA2202" i="2"/>
  <c r="AA2186" i="2"/>
  <c r="AA2182" i="2"/>
  <c r="AB2164" i="2"/>
  <c r="AC2164" i="2"/>
  <c r="AB2156" i="2"/>
  <c r="AC2142" i="2"/>
  <c r="AA2142" i="2"/>
  <c r="AB2142" i="2"/>
  <c r="AA2089" i="2"/>
  <c r="AA2081" i="2"/>
  <c r="AB2081" i="2"/>
  <c r="AB2044" i="2"/>
  <c r="AC2044" i="2"/>
  <c r="AB2005" i="2"/>
  <c r="AA2005" i="2"/>
  <c r="AB1993" i="2"/>
  <c r="AA1993" i="2"/>
  <c r="AC1993" i="2"/>
  <c r="AA1991" i="2"/>
  <c r="AB1964" i="2"/>
  <c r="AA1952" i="2"/>
  <c r="AB1952" i="2"/>
  <c r="L1928" i="2"/>
  <c r="K1928" i="2" s="1"/>
  <c r="L1913" i="2"/>
  <c r="K1913" i="2" s="1"/>
  <c r="AA1878" i="2"/>
  <c r="L1858" i="2"/>
  <c r="K1858" i="2" s="1"/>
  <c r="AB1858" i="2"/>
  <c r="AC1858" i="2"/>
  <c r="AD1858" i="2" s="1"/>
  <c r="AA1858" i="2"/>
  <c r="AC1845" i="2"/>
  <c r="AD1845" i="2" s="1"/>
  <c r="L1845" i="2"/>
  <c r="K1845" i="2" s="1"/>
  <c r="AC1839" i="2"/>
  <c r="AD1839" i="2" s="1"/>
  <c r="AB1839" i="2"/>
  <c r="L1834" i="2"/>
  <c r="K1834" i="2" s="1"/>
  <c r="L1828" i="2"/>
  <c r="K1828" i="2" s="1"/>
  <c r="L1807" i="2"/>
  <c r="K1807" i="2" s="1"/>
  <c r="AA1807" i="2"/>
  <c r="AB1807" i="2"/>
  <c r="AC1779" i="2"/>
  <c r="AD1779" i="2" s="1"/>
  <c r="L1779" i="2"/>
  <c r="K1779" i="2" s="1"/>
  <c r="AB1779" i="2"/>
  <c r="AA1771" i="2"/>
  <c r="L1768" i="2"/>
  <c r="K1768" i="2" s="1"/>
  <c r="AB1768" i="2"/>
  <c r="AC1768" i="2"/>
  <c r="AD1768" i="2" s="1"/>
  <c r="AC1760" i="2"/>
  <c r="AD1760" i="2" s="1"/>
  <c r="AB1760" i="2"/>
  <c r="L1744" i="2"/>
  <c r="K1744" i="2" s="1"/>
  <c r="AB1744" i="2"/>
  <c r="AC1744" i="2"/>
  <c r="AD1744" i="2" s="1"/>
  <c r="AA1744" i="2"/>
  <c r="AB1727" i="2"/>
  <c r="L1727" i="2"/>
  <c r="K1727" i="2" s="1"/>
  <c r="L1672" i="2"/>
  <c r="K1672" i="2" s="1"/>
  <c r="AA1672" i="2"/>
  <c r="AB1672" i="2"/>
  <c r="AC1672" i="2"/>
  <c r="AD1672" i="2" s="1"/>
  <c r="AA1655" i="2"/>
  <c r="AA1625" i="2"/>
  <c r="AB1625" i="2"/>
  <c r="AC1625" i="2"/>
  <c r="AD1625" i="2" s="1"/>
  <c r="L1607" i="2"/>
  <c r="K1607" i="2" s="1"/>
  <c r="L1599" i="2"/>
  <c r="K1599" i="2" s="1"/>
  <c r="L1392" i="2"/>
  <c r="K1392" i="2" s="1"/>
  <c r="AA1358" i="2"/>
  <c r="AC1358" i="2"/>
  <c r="AD1358" i="2" s="1"/>
  <c r="L1286" i="2"/>
  <c r="K1286" i="2" s="1"/>
  <c r="L1232" i="2"/>
  <c r="K1232" i="2" s="1"/>
  <c r="AC1164" i="2"/>
  <c r="AD1164" i="2" s="1"/>
  <c r="AA1164" i="2"/>
  <c r="AB1164" i="2"/>
  <c r="L1128" i="2"/>
  <c r="L1122" i="2"/>
  <c r="K1122" i="2" s="1"/>
  <c r="AB1122" i="2"/>
  <c r="AC1122" i="2"/>
  <c r="AD1122" i="2" s="1"/>
  <c r="L1073" i="2"/>
  <c r="K1073" i="2" s="1"/>
  <c r="L996" i="2"/>
  <c r="K996" i="2" s="1"/>
  <c r="AA902" i="2"/>
  <c r="AB902" i="2"/>
  <c r="AC902" i="2"/>
  <c r="AD902" i="2" s="1"/>
  <c r="L887" i="2"/>
  <c r="K887" i="2" s="1"/>
  <c r="AB736" i="2"/>
  <c r="AC736" i="2"/>
  <c r="AD736" i="2" s="1"/>
  <c r="AA736" i="2"/>
  <c r="AB2188" i="2"/>
  <c r="AC2188" i="2"/>
  <c r="AC2166" i="2"/>
  <c r="AA2166" i="2"/>
  <c r="AB2166" i="2"/>
  <c r="AA2093" i="2"/>
  <c r="AB2093" i="2"/>
  <c r="AB1966" i="2"/>
  <c r="AC1966" i="2"/>
  <c r="AA1925" i="2"/>
  <c r="AB1925" i="2"/>
  <c r="AB1900" i="2"/>
  <c r="AC1900" i="2"/>
  <c r="AD1900" i="2" s="1"/>
  <c r="L1870" i="2"/>
  <c r="K1870" i="2" s="1"/>
  <c r="AB1870" i="2"/>
  <c r="AC1870" i="2"/>
  <c r="AD1870" i="2" s="1"/>
  <c r="AA1757" i="2"/>
  <c r="AB1757" i="2"/>
  <c r="AC1757" i="2"/>
  <c r="AD1757" i="2" s="1"/>
  <c r="L1675" i="2"/>
  <c r="K1675" i="2" s="1"/>
  <c r="AB1675" i="2"/>
  <c r="AC1675" i="2"/>
  <c r="AD1675" i="2" s="1"/>
  <c r="L1582" i="2"/>
  <c r="K1582" i="2" s="1"/>
  <c r="AB1582" i="2"/>
  <c r="L1466" i="2"/>
  <c r="K1466" i="2" s="1"/>
  <c r="AB1466" i="2"/>
  <c r="AA1466" i="2"/>
  <c r="AC1466" i="2"/>
  <c r="AD1466" i="2" s="1"/>
  <c r="AA1453" i="2"/>
  <c r="AB1453" i="2"/>
  <c r="L1453" i="2"/>
  <c r="K1453" i="2" s="1"/>
  <c r="AC1436" i="2"/>
  <c r="AD1436" i="2" s="1"/>
  <c r="L1436" i="2"/>
  <c r="K1436" i="2" s="1"/>
  <c r="L1384" i="2"/>
  <c r="K1384" i="2" s="1"/>
  <c r="AA1384" i="2"/>
  <c r="AB1384" i="2"/>
  <c r="AC1384" i="2"/>
  <c r="AD1384" i="2" s="1"/>
  <c r="L1330" i="2"/>
  <c r="K1330" i="2" s="1"/>
  <c r="AA1330" i="2"/>
  <c r="AC1330" i="2"/>
  <c r="AD1330" i="2" s="1"/>
  <c r="AA1213" i="2"/>
  <c r="AB1213" i="2"/>
  <c r="L1213" i="2"/>
  <c r="K1213" i="2" s="1"/>
  <c r="AA1136" i="2"/>
  <c r="AC1136" i="2"/>
  <c r="AD1136" i="2" s="1"/>
  <c r="AB1107" i="2"/>
  <c r="AC1107" i="2"/>
  <c r="AD1107" i="2" s="1"/>
  <c r="L736" i="2"/>
  <c r="K736" i="2" s="1"/>
  <c r="AA732" i="2"/>
  <c r="AB732" i="2"/>
  <c r="AC732" i="2"/>
  <c r="AD732" i="2" s="1"/>
  <c r="AB2098" i="2"/>
  <c r="AC2098" i="2"/>
  <c r="AB2094" i="2"/>
  <c r="AB2062" i="2"/>
  <c r="AC2062" i="2"/>
  <c r="AB2058" i="2"/>
  <c r="AB2026" i="2"/>
  <c r="AC2026" i="2"/>
  <c r="AB2022" i="2"/>
  <c r="AB1990" i="2"/>
  <c r="AC1990" i="2"/>
  <c r="AB1986" i="2"/>
  <c r="AB1954" i="2"/>
  <c r="AC1954" i="2"/>
  <c r="AB1950" i="2"/>
  <c r="AB1931" i="2"/>
  <c r="AC1905" i="2"/>
  <c r="AD1905" i="2" s="1"/>
  <c r="AA1901" i="2"/>
  <c r="AB1901" i="2"/>
  <c r="AC1892" i="2"/>
  <c r="AD1892" i="2" s="1"/>
  <c r="AB1890" i="2"/>
  <c r="AC1864" i="2"/>
  <c r="AD1864" i="2" s="1"/>
  <c r="AC1862" i="2"/>
  <c r="AD1862" i="2" s="1"/>
  <c r="AC1826" i="2"/>
  <c r="AD1826" i="2" s="1"/>
  <c r="AB1806" i="2"/>
  <c r="AC1799" i="2"/>
  <c r="AD1799" i="2" s="1"/>
  <c r="AA1770" i="2"/>
  <c r="AB1770" i="2"/>
  <c r="AB1765" i="2"/>
  <c r="AB1756" i="2"/>
  <c r="AC1747" i="2"/>
  <c r="AD1747" i="2" s="1"/>
  <c r="AA1736" i="2"/>
  <c r="L1720" i="2"/>
  <c r="K1720" i="2" s="1"/>
  <c r="AB1720" i="2"/>
  <c r="AC1720" i="2"/>
  <c r="AD1720" i="2" s="1"/>
  <c r="AB1706" i="2"/>
  <c r="AB1697" i="2"/>
  <c r="AB1690" i="2"/>
  <c r="AC1690" i="2"/>
  <c r="AD1690" i="2" s="1"/>
  <c r="AB1664" i="2"/>
  <c r="AB1647" i="2"/>
  <c r="AA1645" i="2"/>
  <c r="AB1638" i="2"/>
  <c r="AA1623" i="2"/>
  <c r="AA1616" i="2"/>
  <c r="AB1601" i="2"/>
  <c r="AC1586" i="2"/>
  <c r="AD1586" i="2" s="1"/>
  <c r="AA1578" i="2"/>
  <c r="AB1559" i="2"/>
  <c r="AC1541" i="2"/>
  <c r="AD1541" i="2" s="1"/>
  <c r="AB1539" i="2"/>
  <c r="L1526" i="2"/>
  <c r="K1526" i="2" s="1"/>
  <c r="AB1526" i="2"/>
  <c r="AA1526" i="2"/>
  <c r="AC1526" i="2"/>
  <c r="AD1526" i="2" s="1"/>
  <c r="L1514" i="2"/>
  <c r="K1514" i="2" s="1"/>
  <c r="AB1514" i="2"/>
  <c r="AC1514" i="2"/>
  <c r="AD1514" i="2" s="1"/>
  <c r="AB1505" i="2"/>
  <c r="L1505" i="2"/>
  <c r="K1505" i="2" s="1"/>
  <c r="AC1496" i="2"/>
  <c r="AD1496" i="2" s="1"/>
  <c r="AB1494" i="2"/>
  <c r="AA1470" i="2"/>
  <c r="L1432" i="2"/>
  <c r="K1432" i="2" s="1"/>
  <c r="AA1432" i="2"/>
  <c r="AB1432" i="2"/>
  <c r="AB1412" i="2"/>
  <c r="AC1412" i="2"/>
  <c r="AD1412" i="2" s="1"/>
  <c r="AA1412" i="2"/>
  <c r="AB1395" i="2"/>
  <c r="AC1381" i="2"/>
  <c r="AD1381" i="2" s="1"/>
  <c r="AB1376" i="2"/>
  <c r="AA1373" i="2"/>
  <c r="L1373" i="2"/>
  <c r="K1373" i="2" s="1"/>
  <c r="AB1373" i="2"/>
  <c r="L1362" i="2"/>
  <c r="K1362" i="2" s="1"/>
  <c r="AC1362" i="2"/>
  <c r="AD1362" i="2" s="1"/>
  <c r="AA1357" i="2"/>
  <c r="L1357" i="2"/>
  <c r="K1357" i="2" s="1"/>
  <c r="AB1357" i="2"/>
  <c r="AC1357" i="2"/>
  <c r="AD1357" i="2" s="1"/>
  <c r="AC1344" i="2"/>
  <c r="AD1344" i="2" s="1"/>
  <c r="L1344" i="2"/>
  <c r="K1344" i="2" s="1"/>
  <c r="AA1344" i="2"/>
  <c r="AB1316" i="2"/>
  <c r="AC1265" i="2"/>
  <c r="AD1265" i="2" s="1"/>
  <c r="AA1177" i="2"/>
  <c r="AB1177" i="2"/>
  <c r="L1177" i="2"/>
  <c r="K1177" i="2" s="1"/>
  <c r="AB1170" i="2"/>
  <c r="AA1157" i="2"/>
  <c r="AB1157" i="2"/>
  <c r="AC1157" i="2"/>
  <c r="AD1157" i="2" s="1"/>
  <c r="L1157" i="2"/>
  <c r="K1157" i="2" s="1"/>
  <c r="AC1140" i="2"/>
  <c r="AD1140" i="2" s="1"/>
  <c r="AA1140" i="2"/>
  <c r="L1134" i="2"/>
  <c r="K1134" i="2" s="1"/>
  <c r="AB1134" i="2"/>
  <c r="AC1134" i="2"/>
  <c r="AD1134" i="2" s="1"/>
  <c r="L1114" i="2"/>
  <c r="K1114" i="2" s="1"/>
  <c r="AA1114" i="2"/>
  <c r="AC1114" i="2"/>
  <c r="AD1114" i="2" s="1"/>
  <c r="L1086" i="2"/>
  <c r="K1086" i="2" s="1"/>
  <c r="AB1086" i="2"/>
  <c r="AC1086" i="2"/>
  <c r="AD1086" i="2" s="1"/>
  <c r="AB1083" i="2"/>
  <c r="AA1033" i="2"/>
  <c r="AB1033" i="2"/>
  <c r="AA926" i="2"/>
  <c r="AB926" i="2"/>
  <c r="AB784" i="2"/>
  <c r="L784" i="2"/>
  <c r="K784" i="2" s="1"/>
  <c r="AC784" i="2"/>
  <c r="AD784" i="2" s="1"/>
  <c r="AC471" i="2"/>
  <c r="AD471" i="2" s="1"/>
  <c r="AA471" i="2"/>
  <c r="AB471" i="2"/>
  <c r="L471" i="2"/>
  <c r="K471" i="2" s="1"/>
  <c r="AB467" i="2"/>
  <c r="AC467" i="2"/>
  <c r="AD467" i="2" s="1"/>
  <c r="L467" i="2"/>
  <c r="K467" i="2" s="1"/>
  <c r="AA467" i="2"/>
  <c r="AC64" i="2"/>
  <c r="AD64" i="2" s="1"/>
  <c r="AB64" i="2"/>
  <c r="L64" i="2"/>
  <c r="K64" i="2" s="1"/>
  <c r="AC1731" i="2"/>
  <c r="AD1731" i="2" s="1"/>
  <c r="L1731" i="2"/>
  <c r="K1731" i="2" s="1"/>
  <c r="AB1731" i="2"/>
  <c r="L1711" i="2"/>
  <c r="K1711" i="2" s="1"/>
  <c r="AA1711" i="2"/>
  <c r="AB1711" i="2"/>
  <c r="AC1659" i="2"/>
  <c r="AD1659" i="2" s="1"/>
  <c r="L1659" i="2"/>
  <c r="K1659" i="2" s="1"/>
  <c r="AA1659" i="2"/>
  <c r="AB1659" i="2"/>
  <c r="AB1618" i="2"/>
  <c r="AC1618" i="2"/>
  <c r="AD1618" i="2" s="1"/>
  <c r="AC1510" i="2"/>
  <c r="AD1510" i="2" s="1"/>
  <c r="AA1510" i="2"/>
  <c r="AB1510" i="2"/>
  <c r="L1398" i="2"/>
  <c r="K1398" i="2" s="1"/>
  <c r="AB1398" i="2"/>
  <c r="AC1398" i="2"/>
  <c r="AD1398" i="2" s="1"/>
  <c r="AC1368" i="2"/>
  <c r="AD1368" i="2" s="1"/>
  <c r="L1368" i="2"/>
  <c r="K1368" i="2" s="1"/>
  <c r="AA1368" i="2"/>
  <c r="AB1368" i="2"/>
  <c r="L1336" i="2"/>
  <c r="K1336" i="2" s="1"/>
  <c r="AA1336" i="2"/>
  <c r="AB1336" i="2"/>
  <c r="AC1336" i="2"/>
  <c r="AD1336" i="2" s="1"/>
  <c r="L1288" i="2"/>
  <c r="K1288" i="2" s="1"/>
  <c r="AA1288" i="2"/>
  <c r="AB1198" i="2"/>
  <c r="AC1198" i="2"/>
  <c r="AD1198" i="2" s="1"/>
  <c r="L1198" i="2"/>
  <c r="K1198" i="2" s="1"/>
  <c r="AA1198" i="2"/>
  <c r="AB1195" i="2"/>
  <c r="AC1195" i="2"/>
  <c r="AD1195" i="2" s="1"/>
  <c r="AB1191" i="2"/>
  <c r="AC1191" i="2"/>
  <c r="AD1191" i="2" s="1"/>
  <c r="L1167" i="2"/>
  <c r="K1167" i="2" s="1"/>
  <c r="AA1167" i="2"/>
  <c r="AB1054" i="2"/>
  <c r="AC1054" i="2"/>
  <c r="AD1054" i="2" s="1"/>
  <c r="L1054" i="2"/>
  <c r="AB1003" i="2"/>
  <c r="AC1003" i="2"/>
  <c r="AD1003" i="2" s="1"/>
  <c r="AC406" i="2"/>
  <c r="AD406" i="2" s="1"/>
  <c r="AA406" i="2"/>
  <c r="AB406" i="2"/>
  <c r="AA71" i="2"/>
  <c r="AC71" i="2"/>
  <c r="AD71" i="2" s="1"/>
  <c r="L71" i="2"/>
  <c r="K71" i="2" s="1"/>
  <c r="L1918" i="2"/>
  <c r="K1918" i="2" s="1"/>
  <c r="AB1918" i="2"/>
  <c r="AC1918" i="2"/>
  <c r="AD1918" i="2" s="1"/>
  <c r="AA1877" i="2"/>
  <c r="AB1877" i="2"/>
  <c r="AA1864" i="2"/>
  <c r="AC1851" i="2"/>
  <c r="AD1851" i="2" s="1"/>
  <c r="L1851" i="2"/>
  <c r="K1851" i="2" s="1"/>
  <c r="AB1851" i="2"/>
  <c r="L1831" i="2"/>
  <c r="K1831" i="2" s="1"/>
  <c r="AA1831" i="2"/>
  <c r="AB1831" i="2"/>
  <c r="L1736" i="2"/>
  <c r="K1736" i="2" s="1"/>
  <c r="AA1722" i="2"/>
  <c r="AB1722" i="2"/>
  <c r="L1697" i="2"/>
  <c r="K1697" i="2" s="1"/>
  <c r="AB1666" i="2"/>
  <c r="AC1666" i="2"/>
  <c r="AD1666" i="2" s="1"/>
  <c r="AC1635" i="2"/>
  <c r="AD1635" i="2" s="1"/>
  <c r="L1635" i="2"/>
  <c r="K1635" i="2" s="1"/>
  <c r="AA1635" i="2"/>
  <c r="AB1635" i="2"/>
  <c r="L1623" i="2"/>
  <c r="K1623" i="2" s="1"/>
  <c r="L1618" i="2"/>
  <c r="K1618" i="2" s="1"/>
  <c r="L1616" i="2"/>
  <c r="K1616" i="2" s="1"/>
  <c r="L1601" i="2"/>
  <c r="K1601" i="2" s="1"/>
  <c r="AA1586" i="2"/>
  <c r="L1578" i="2"/>
  <c r="K1578" i="2" s="1"/>
  <c r="AC1570" i="2"/>
  <c r="AD1570" i="2" s="1"/>
  <c r="AB1570" i="2"/>
  <c r="L1510" i="2"/>
  <c r="K1510" i="2" s="1"/>
  <c r="L1470" i="2"/>
  <c r="K1470" i="2" s="1"/>
  <c r="L1395" i="2"/>
  <c r="K1395" i="2" s="1"/>
  <c r="L1348" i="2"/>
  <c r="K1348" i="2" s="1"/>
  <c r="AA1348" i="2"/>
  <c r="AB1294" i="2"/>
  <c r="AC1294" i="2"/>
  <c r="AD1294" i="2" s="1"/>
  <c r="AA1265" i="2"/>
  <c r="AB1255" i="2"/>
  <c r="AC1255" i="2"/>
  <c r="AD1255" i="2" s="1"/>
  <c r="L1255" i="2"/>
  <c r="K1255" i="2" s="1"/>
  <c r="AA1255" i="2"/>
  <c r="L1195" i="2"/>
  <c r="K1195" i="2" s="1"/>
  <c r="L1191" i="2"/>
  <c r="K1191" i="2" s="1"/>
  <c r="K1140" i="2"/>
  <c r="L1110" i="2"/>
  <c r="K1110" i="2" s="1"/>
  <c r="AA1110" i="2"/>
  <c r="AB1075" i="2"/>
  <c r="AC1075" i="2"/>
  <c r="AD1075" i="2" s="1"/>
  <c r="AA1075" i="2"/>
  <c r="AC1016" i="2"/>
  <c r="AD1016" i="2" s="1"/>
  <c r="L1016" i="2"/>
  <c r="K1016" i="2" s="1"/>
  <c r="AA1016" i="2"/>
  <c r="AB1016" i="2"/>
  <c r="L1006" i="2"/>
  <c r="K1006" i="2" s="1"/>
  <c r="AA1006" i="2"/>
  <c r="AC1006" i="2"/>
  <c r="AD1006" i="2" s="1"/>
  <c r="L1003" i="2"/>
  <c r="K1003" i="2" s="1"/>
  <c r="AB935" i="2"/>
  <c r="AC935" i="2"/>
  <c r="AD935" i="2" s="1"/>
  <c r="AA935" i="2"/>
  <c r="AB813" i="2"/>
  <c r="L813" i="2"/>
  <c r="K813" i="2" s="1"/>
  <c r="AC813" i="2"/>
  <c r="AD813" i="2" s="1"/>
  <c r="L636" i="2"/>
  <c r="K636" i="2" s="1"/>
  <c r="AA636" i="2"/>
  <c r="AC636" i="2"/>
  <c r="AD636" i="2" s="1"/>
  <c r="AB636" i="2"/>
  <c r="L406" i="2"/>
  <c r="K406" i="2" s="1"/>
  <c r="AB254" i="2"/>
  <c r="AC254" i="2"/>
  <c r="AD254" i="2" s="1"/>
  <c r="AA254" i="2"/>
  <c r="L254" i="2"/>
  <c r="K254" i="2" s="1"/>
  <c r="AA2105" i="2"/>
  <c r="AB2105" i="2"/>
  <c r="AA2069" i="2"/>
  <c r="AB2069" i="2"/>
  <c r="AA2033" i="2"/>
  <c r="AB2033" i="2"/>
  <c r="AA1997" i="2"/>
  <c r="AB1997" i="2"/>
  <c r="AA1961" i="2"/>
  <c r="AB1961" i="2"/>
  <c r="L1892" i="2"/>
  <c r="K1892" i="2" s="1"/>
  <c r="L1890" i="2"/>
  <c r="K1890" i="2" s="1"/>
  <c r="L1877" i="2"/>
  <c r="K1877" i="2" s="1"/>
  <c r="AA1842" i="2"/>
  <c r="AB1842" i="2"/>
  <c r="L1799" i="2"/>
  <c r="K1799" i="2" s="1"/>
  <c r="L1792" i="2"/>
  <c r="K1792" i="2" s="1"/>
  <c r="AB1792" i="2"/>
  <c r="AC1792" i="2"/>
  <c r="AD1792" i="2" s="1"/>
  <c r="AA1733" i="2"/>
  <c r="AB1733" i="2"/>
  <c r="AC1733" i="2"/>
  <c r="AD1733" i="2" s="1"/>
  <c r="L1722" i="2"/>
  <c r="K1722" i="2" s="1"/>
  <c r="L1666" i="2"/>
  <c r="K1666" i="2" s="1"/>
  <c r="L1664" i="2"/>
  <c r="K1664" i="2" s="1"/>
  <c r="L1647" i="2"/>
  <c r="K1647" i="2" s="1"/>
  <c r="AA1572" i="2"/>
  <c r="AC1572" i="2"/>
  <c r="AD1572" i="2" s="1"/>
  <c r="L1570" i="2"/>
  <c r="K1570" i="2" s="1"/>
  <c r="AC1546" i="2"/>
  <c r="AD1546" i="2" s="1"/>
  <c r="AA1546" i="2"/>
  <c r="L1541" i="2"/>
  <c r="K1541" i="2" s="1"/>
  <c r="AB1437" i="2"/>
  <c r="L1437" i="2"/>
  <c r="K1437" i="2" s="1"/>
  <c r="AC1437" i="2"/>
  <c r="AD1437" i="2" s="1"/>
  <c r="AA1437" i="2"/>
  <c r="AB1414" i="2"/>
  <c r="AC1414" i="2"/>
  <c r="AD1414" i="2" s="1"/>
  <c r="AC1404" i="2"/>
  <c r="AD1404" i="2" s="1"/>
  <c r="L1404" i="2"/>
  <c r="K1404" i="2" s="1"/>
  <c r="AA1404" i="2"/>
  <c r="AB1404" i="2"/>
  <c r="AA1385" i="2"/>
  <c r="L1385" i="2"/>
  <c r="K1385" i="2" s="1"/>
  <c r="AB1385" i="2"/>
  <c r="L1381" i="2"/>
  <c r="K1381" i="2" s="1"/>
  <c r="L1321" i="2"/>
  <c r="K1321" i="2" s="1"/>
  <c r="AA1321" i="2"/>
  <c r="AC1321" i="2"/>
  <c r="AD1321" i="2" s="1"/>
  <c r="AA1250" i="2"/>
  <c r="AB1250" i="2"/>
  <c r="AC1250" i="2"/>
  <c r="AD1250" i="2" s="1"/>
  <c r="AA1226" i="2"/>
  <c r="AB1226" i="2"/>
  <c r="AC1226" i="2"/>
  <c r="AD1226" i="2" s="1"/>
  <c r="L1226" i="2"/>
  <c r="K1226" i="2" s="1"/>
  <c r="AA1166" i="2"/>
  <c r="AB1166" i="2"/>
  <c r="AC1166" i="2"/>
  <c r="AD1166" i="2" s="1"/>
  <c r="L1166" i="2"/>
  <c r="K1166" i="2" s="1"/>
  <c r="AB1143" i="2"/>
  <c r="AC1143" i="2"/>
  <c r="AD1143" i="2" s="1"/>
  <c r="AB1123" i="2"/>
  <c r="AC1123" i="2"/>
  <c r="AD1123" i="2" s="1"/>
  <c r="AC1104" i="2"/>
  <c r="AD1104" i="2" s="1"/>
  <c r="AB1104" i="2"/>
  <c r="AA1104" i="2"/>
  <c r="L1078" i="2"/>
  <c r="K1078" i="2" s="1"/>
  <c r="AA1078" i="2"/>
  <c r="AB1078" i="2"/>
  <c r="L1075" i="2"/>
  <c r="K1075" i="2" s="1"/>
  <c r="AB999" i="2"/>
  <c r="AC999" i="2"/>
  <c r="AD999" i="2" s="1"/>
  <c r="AA992" i="2"/>
  <c r="AC992" i="2"/>
  <c r="AD992" i="2" s="1"/>
  <c r="L935" i="2"/>
  <c r="K935" i="2" s="1"/>
  <c r="AA932" i="2"/>
  <c r="AB932" i="2"/>
  <c r="AC932" i="2"/>
  <c r="AD932" i="2" s="1"/>
  <c r="AA874" i="2"/>
  <c r="AB874" i="2"/>
  <c r="AC874" i="2"/>
  <c r="AD874" i="2" s="1"/>
  <c r="L830" i="2"/>
  <c r="K830" i="2" s="1"/>
  <c r="AC830" i="2"/>
  <c r="AD830" i="2" s="1"/>
  <c r="AA830" i="2"/>
  <c r="AB830" i="2"/>
  <c r="L711" i="2"/>
  <c r="K711" i="2" s="1"/>
  <c r="AA711" i="2"/>
  <c r="AB711" i="2"/>
  <c r="AC711" i="2"/>
  <c r="AD711" i="2" s="1"/>
  <c r="L672" i="2"/>
  <c r="K672" i="2" s="1"/>
  <c r="AA672" i="2"/>
  <c r="AC672" i="2"/>
  <c r="AD672" i="2" s="1"/>
  <c r="AB672" i="2"/>
  <c r="AB2086" i="2"/>
  <c r="AC2086" i="2"/>
  <c r="AB2050" i="2"/>
  <c r="AC2050" i="2"/>
  <c r="AB2014" i="2"/>
  <c r="AC2014" i="2"/>
  <c r="AB1978" i="2"/>
  <c r="AC1978" i="2"/>
  <c r="AB1942" i="2"/>
  <c r="AC1942" i="2"/>
  <c r="L1909" i="2"/>
  <c r="K1909" i="2" s="1"/>
  <c r="L1894" i="2"/>
  <c r="K1894" i="2" s="1"/>
  <c r="AB1894" i="2"/>
  <c r="AC1894" i="2"/>
  <c r="AD1894" i="2" s="1"/>
  <c r="AA1853" i="2"/>
  <c r="AB1853" i="2"/>
  <c r="L1842" i="2"/>
  <c r="K1842" i="2" s="1"/>
  <c r="L1817" i="2"/>
  <c r="K1817" i="2" s="1"/>
  <c r="AB1810" i="2"/>
  <c r="AC1810" i="2"/>
  <c r="AD1810" i="2" s="1"/>
  <c r="AC1803" i="2"/>
  <c r="AD1803" i="2" s="1"/>
  <c r="L1803" i="2"/>
  <c r="K1803" i="2" s="1"/>
  <c r="AB1803" i="2"/>
  <c r="L1783" i="2"/>
  <c r="K1783" i="2" s="1"/>
  <c r="AA1783" i="2"/>
  <c r="AB1783" i="2"/>
  <c r="L1767" i="2"/>
  <c r="K1767" i="2" s="1"/>
  <c r="L1749" i="2"/>
  <c r="K1749" i="2" s="1"/>
  <c r="L1733" i="2"/>
  <c r="K1733" i="2" s="1"/>
  <c r="L1673" i="2"/>
  <c r="K1673" i="2" s="1"/>
  <c r="AB1642" i="2"/>
  <c r="AC1642" i="2"/>
  <c r="AD1642" i="2" s="1"/>
  <c r="L1600" i="2"/>
  <c r="K1600" i="2" s="1"/>
  <c r="AA1600" i="2"/>
  <c r="AB1600" i="2"/>
  <c r="AC1600" i="2"/>
  <c r="AD1600" i="2" s="1"/>
  <c r="AB1585" i="2"/>
  <c r="L1585" i="2"/>
  <c r="K1585" i="2" s="1"/>
  <c r="AA1585" i="2"/>
  <c r="AC1585" i="2"/>
  <c r="AD1585" i="2" s="1"/>
  <c r="L1572" i="2"/>
  <c r="K1572" i="2" s="1"/>
  <c r="L1546" i="2"/>
  <c r="K1546" i="2" s="1"/>
  <c r="L1451" i="2"/>
  <c r="K1451" i="2" s="1"/>
  <c r="AA1451" i="2"/>
  <c r="AB1451" i="2"/>
  <c r="AA1431" i="2"/>
  <c r="L1431" i="2"/>
  <c r="K1431" i="2" s="1"/>
  <c r="AB1431" i="2"/>
  <c r="AA1417" i="2"/>
  <c r="L1417" i="2"/>
  <c r="K1417" i="2" s="1"/>
  <c r="AB1417" i="2"/>
  <c r="L1414" i="2"/>
  <c r="K1414" i="2" s="1"/>
  <c r="AB1411" i="2"/>
  <c r="AA1411" i="2"/>
  <c r="AB1351" i="2"/>
  <c r="L1351" i="2"/>
  <c r="K1351" i="2" s="1"/>
  <c r="AA1351" i="2"/>
  <c r="L1301" i="2"/>
  <c r="K1301" i="2" s="1"/>
  <c r="AA1301" i="2"/>
  <c r="AC1301" i="2"/>
  <c r="AD1301" i="2" s="1"/>
  <c r="L1250" i="2"/>
  <c r="K1250" i="2" s="1"/>
  <c r="L1229" i="2"/>
  <c r="K1229" i="2" s="1"/>
  <c r="L1143" i="2"/>
  <c r="L1123" i="2"/>
  <c r="K1123" i="2" s="1"/>
  <c r="L1104" i="2"/>
  <c r="K1104" i="2" s="1"/>
  <c r="L1081" i="2"/>
  <c r="K1081" i="2" s="1"/>
  <c r="AA1081" i="2"/>
  <c r="AB1081" i="2"/>
  <c r="AC1081" i="2"/>
  <c r="AD1081" i="2" s="1"/>
  <c r="L1074" i="2"/>
  <c r="K1074" i="2" s="1"/>
  <c r="AA1074" i="2"/>
  <c r="AB1074" i="2"/>
  <c r="AC1074" i="2"/>
  <c r="AD1074" i="2" s="1"/>
  <c r="AA1064" i="2"/>
  <c r="AB1064" i="2"/>
  <c r="AC1064" i="2"/>
  <c r="AD1064" i="2" s="1"/>
  <c r="L999" i="2"/>
  <c r="K999" i="2" s="1"/>
  <c r="L992" i="2"/>
  <c r="K992" i="2" s="1"/>
  <c r="L932" i="2"/>
  <c r="K932" i="2" s="1"/>
  <c r="L874" i="2"/>
  <c r="K874" i="2" s="1"/>
  <c r="AA827" i="2"/>
  <c r="L827" i="2"/>
  <c r="K827" i="2" s="1"/>
  <c r="AB827" i="2"/>
  <c r="L801" i="2"/>
  <c r="K801" i="2" s="1"/>
  <c r="AB801" i="2"/>
  <c r="AC790" i="2"/>
  <c r="AD790" i="2" s="1"/>
  <c r="AA790" i="2"/>
  <c r="L790" i="2"/>
  <c r="K790" i="2" s="1"/>
  <c r="AB790" i="2"/>
  <c r="AA694" i="2"/>
  <c r="AC694" i="2"/>
  <c r="AD694" i="2" s="1"/>
  <c r="AC451" i="2"/>
  <c r="AD451" i="2" s="1"/>
  <c r="L451" i="2"/>
  <c r="K451" i="2" s="1"/>
  <c r="AB451" i="2"/>
  <c r="AA451" i="2"/>
  <c r="L1550" i="2"/>
  <c r="K1550" i="2" s="1"/>
  <c r="AB1550" i="2"/>
  <c r="AC1550" i="2"/>
  <c r="AD1550" i="2" s="1"/>
  <c r="AC1534" i="2"/>
  <c r="AD1534" i="2" s="1"/>
  <c r="L1534" i="2"/>
  <c r="K1534" i="2" s="1"/>
  <c r="AB1534" i="2"/>
  <c r="AC1498" i="2"/>
  <c r="AD1498" i="2" s="1"/>
  <c r="AB1498" i="2"/>
  <c r="AA1430" i="2"/>
  <c r="AC1430" i="2"/>
  <c r="AD1430" i="2" s="1"/>
  <c r="AC1380" i="2"/>
  <c r="AD1380" i="2" s="1"/>
  <c r="L1380" i="2"/>
  <c r="K1380" i="2" s="1"/>
  <c r="L1364" i="2"/>
  <c r="K1364" i="2" s="1"/>
  <c r="AA1364" i="2"/>
  <c r="L1347" i="2"/>
  <c r="K1347" i="2" s="1"/>
  <c r="AA1347" i="2"/>
  <c r="AB1347" i="2"/>
  <c r="L1323" i="2"/>
  <c r="K1323" i="2" s="1"/>
  <c r="AA1323" i="2"/>
  <c r="AC1296" i="2"/>
  <c r="AD1296" i="2" s="1"/>
  <c r="AB1296" i="2"/>
  <c r="AB1291" i="2"/>
  <c r="L1291" i="2"/>
  <c r="K1291" i="2" s="1"/>
  <c r="AA1291" i="2"/>
  <c r="L1277" i="2"/>
  <c r="K1277" i="2" s="1"/>
  <c r="AA1277" i="2"/>
  <c r="AB1277" i="2"/>
  <c r="AC1277" i="2"/>
  <c r="AD1277" i="2" s="1"/>
  <c r="AA1249" i="2"/>
  <c r="AB1249" i="2"/>
  <c r="L1222" i="2"/>
  <c r="K1222" i="2" s="1"/>
  <c r="AA1222" i="2"/>
  <c r="AC1222" i="2"/>
  <c r="AD1222" i="2" s="1"/>
  <c r="AB1219" i="2"/>
  <c r="AC1219" i="2"/>
  <c r="AD1219" i="2" s="1"/>
  <c r="AA1190" i="2"/>
  <c r="AB1190" i="2"/>
  <c r="AC1190" i="2"/>
  <c r="AD1190" i="2" s="1"/>
  <c r="L1190" i="2"/>
  <c r="K1190" i="2" s="1"/>
  <c r="AA1154" i="2"/>
  <c r="AB1154" i="2"/>
  <c r="AC1154" i="2"/>
  <c r="AD1154" i="2" s="1"/>
  <c r="L1154" i="2"/>
  <c r="K1154" i="2" s="1"/>
  <c r="AB1145" i="2"/>
  <c r="AC1145" i="2"/>
  <c r="AD1145" i="2" s="1"/>
  <c r="AA1142" i="2"/>
  <c r="AB1142" i="2"/>
  <c r="AC1142" i="2"/>
  <c r="AD1142" i="2" s="1"/>
  <c r="L1142" i="2"/>
  <c r="AA1118" i="2"/>
  <c r="AB1118" i="2"/>
  <c r="AC1118" i="2"/>
  <c r="AD1118" i="2" s="1"/>
  <c r="L1118" i="2"/>
  <c r="K1118" i="2" s="1"/>
  <c r="AA1094" i="2"/>
  <c r="AB1094" i="2"/>
  <c r="AC1094" i="2"/>
  <c r="AD1094" i="2" s="1"/>
  <c r="L1023" i="2"/>
  <c r="K1023" i="2" s="1"/>
  <c r="AA1023" i="2"/>
  <c r="AA956" i="2"/>
  <c r="AB956" i="2"/>
  <c r="AC956" i="2"/>
  <c r="AD956" i="2" s="1"/>
  <c r="L956" i="2"/>
  <c r="K956" i="2" s="1"/>
  <c r="AB808" i="2"/>
  <c r="L808" i="2"/>
  <c r="K808" i="2" s="1"/>
  <c r="AA808" i="2"/>
  <c r="L574" i="2"/>
  <c r="K574" i="2" s="1"/>
  <c r="AC574" i="2"/>
  <c r="AD574" i="2" s="1"/>
  <c r="AB574" i="2"/>
  <c r="AA574" i="2"/>
  <c r="AA546" i="2"/>
  <c r="L546" i="2"/>
  <c r="K546" i="2" s="1"/>
  <c r="AC202" i="2"/>
  <c r="AD202" i="2" s="1"/>
  <c r="AA202" i="2"/>
  <c r="AB202" i="2"/>
  <c r="AA103" i="2"/>
  <c r="AC103" i="2"/>
  <c r="AD103" i="2" s="1"/>
  <c r="L103" i="2"/>
  <c r="K103" i="2" s="1"/>
  <c r="AB1698" i="2"/>
  <c r="AB1687" i="2"/>
  <c r="AC1685" i="2"/>
  <c r="AD1685" i="2" s="1"/>
  <c r="AB1674" i="2"/>
  <c r="AB1663" i="2"/>
  <c r="AC1661" i="2"/>
  <c r="AD1661" i="2" s="1"/>
  <c r="AB1650" i="2"/>
  <c r="AB1639" i="2"/>
  <c r="AC1637" i="2"/>
  <c r="AD1637" i="2" s="1"/>
  <c r="AB1626" i="2"/>
  <c r="AB1615" i="2"/>
  <c r="AC1613" i="2"/>
  <c r="AD1613" i="2" s="1"/>
  <c r="AB1602" i="2"/>
  <c r="AB1591" i="2"/>
  <c r="AC1589" i="2"/>
  <c r="AD1589" i="2" s="1"/>
  <c r="AC1575" i="2"/>
  <c r="AD1575" i="2" s="1"/>
  <c r="L1569" i="2"/>
  <c r="K1569" i="2" s="1"/>
  <c r="L1565" i="2"/>
  <c r="K1565" i="2" s="1"/>
  <c r="AB1547" i="2"/>
  <c r="L1545" i="2"/>
  <c r="K1545" i="2" s="1"/>
  <c r="AB1511" i="2"/>
  <c r="L1509" i="2"/>
  <c r="K1509" i="2" s="1"/>
  <c r="AC1502" i="2"/>
  <c r="AD1502" i="2" s="1"/>
  <c r="AA1500" i="2"/>
  <c r="AC1500" i="2"/>
  <c r="AD1500" i="2" s="1"/>
  <c r="L1498" i="2"/>
  <c r="K1498" i="2" s="1"/>
  <c r="AC1491" i="2"/>
  <c r="AD1491" i="2" s="1"/>
  <c r="AB1486" i="2"/>
  <c r="AB1482" i="2"/>
  <c r="AA1473" i="2"/>
  <c r="L1473" i="2"/>
  <c r="K1473" i="2" s="1"/>
  <c r="AB1473" i="2"/>
  <c r="AA1455" i="2"/>
  <c r="AB1455" i="2"/>
  <c r="AC1452" i="2"/>
  <c r="AD1452" i="2" s="1"/>
  <c r="L1450" i="2"/>
  <c r="K1450" i="2" s="1"/>
  <c r="AB1443" i="2"/>
  <c r="AC1443" i="2"/>
  <c r="AD1443" i="2" s="1"/>
  <c r="AC1438" i="2"/>
  <c r="AD1438" i="2" s="1"/>
  <c r="L1430" i="2"/>
  <c r="K1430" i="2" s="1"/>
  <c r="L1422" i="2"/>
  <c r="K1422" i="2" s="1"/>
  <c r="AA1422" i="2"/>
  <c r="AB1400" i="2"/>
  <c r="L1372" i="2"/>
  <c r="K1372" i="2" s="1"/>
  <c r="AA1372" i="2"/>
  <c r="AC1369" i="2"/>
  <c r="AD1369" i="2" s="1"/>
  <c r="AC1366" i="2"/>
  <c r="AD1366" i="2" s="1"/>
  <c r="AA1346" i="2"/>
  <c r="AC1346" i="2"/>
  <c r="AD1346" i="2" s="1"/>
  <c r="AB1346" i="2"/>
  <c r="AC1340" i="2"/>
  <c r="AD1340" i="2" s="1"/>
  <c r="L1311" i="2"/>
  <c r="K1311" i="2" s="1"/>
  <c r="AA1311" i="2"/>
  <c r="AB1303" i="2"/>
  <c r="L1303" i="2"/>
  <c r="K1303" i="2" s="1"/>
  <c r="AA1303" i="2"/>
  <c r="L1296" i="2"/>
  <c r="K1296" i="2" s="1"/>
  <c r="L1268" i="2"/>
  <c r="K1268" i="2" s="1"/>
  <c r="AB1261" i="2"/>
  <c r="AC1261" i="2"/>
  <c r="AD1261" i="2" s="1"/>
  <c r="AC1258" i="2"/>
  <c r="AD1258" i="2" s="1"/>
  <c r="L1249" i="2"/>
  <c r="K1249" i="2" s="1"/>
  <c r="AC1236" i="2"/>
  <c r="AD1236" i="2" s="1"/>
  <c r="AA1236" i="2"/>
  <c r="AB1236" i="2"/>
  <c r="L1219" i="2"/>
  <c r="K1219" i="2" s="1"/>
  <c r="AC1212" i="2"/>
  <c r="AD1212" i="2" s="1"/>
  <c r="L1212" i="2"/>
  <c r="K1212" i="2" s="1"/>
  <c r="L1169" i="2"/>
  <c r="K1169" i="2" s="1"/>
  <c r="AA1169" i="2"/>
  <c r="L1145" i="2"/>
  <c r="AB1109" i="2"/>
  <c r="AC1109" i="2"/>
  <c r="AD1109" i="2" s="1"/>
  <c r="AA1106" i="2"/>
  <c r="AB1106" i="2"/>
  <c r="AC1106" i="2"/>
  <c r="AD1106" i="2" s="1"/>
  <c r="L1094" i="2"/>
  <c r="K1094" i="2" s="1"/>
  <c r="L1050" i="2"/>
  <c r="K1050" i="2" s="1"/>
  <c r="AB1050" i="2"/>
  <c r="AC1050" i="2"/>
  <c r="AD1050" i="2" s="1"/>
  <c r="AB989" i="2"/>
  <c r="AC989" i="2"/>
  <c r="AD989" i="2" s="1"/>
  <c r="L989" i="2"/>
  <c r="K989" i="2" s="1"/>
  <c r="AA962" i="2"/>
  <c r="L962" i="2"/>
  <c r="K962" i="2" s="1"/>
  <c r="AB962" i="2"/>
  <c r="AC924" i="2"/>
  <c r="AD924" i="2" s="1"/>
  <c r="AA924" i="2"/>
  <c r="AB924" i="2"/>
  <c r="AA914" i="2"/>
  <c r="L914" i="2"/>
  <c r="K914" i="2" s="1"/>
  <c r="AB914" i="2"/>
  <c r="AA885" i="2"/>
  <c r="AB885" i="2"/>
  <c r="AC885" i="2"/>
  <c r="AD885" i="2" s="1"/>
  <c r="AA838" i="2"/>
  <c r="AB838" i="2"/>
  <c r="AC838" i="2"/>
  <c r="AD838" i="2" s="1"/>
  <c r="L831" i="2"/>
  <c r="K831" i="2" s="1"/>
  <c r="AB831" i="2"/>
  <c r="AC831" i="2"/>
  <c r="AD831" i="2" s="1"/>
  <c r="L804" i="2"/>
  <c r="K804" i="2" s="1"/>
  <c r="L767" i="2"/>
  <c r="K767" i="2" s="1"/>
  <c r="AB767" i="2"/>
  <c r="AC767" i="2"/>
  <c r="AD767" i="2" s="1"/>
  <c r="L759" i="2"/>
  <c r="K759" i="2" s="1"/>
  <c r="AC759" i="2"/>
  <c r="AD759" i="2" s="1"/>
  <c r="AA759" i="2"/>
  <c r="AB759" i="2"/>
  <c r="L743" i="2"/>
  <c r="K743" i="2" s="1"/>
  <c r="AA743" i="2"/>
  <c r="L735" i="2"/>
  <c r="K735" i="2" s="1"/>
  <c r="AA735" i="2"/>
  <c r="AC735" i="2"/>
  <c r="AD735" i="2" s="1"/>
  <c r="L676" i="2"/>
  <c r="K676" i="2" s="1"/>
  <c r="AA676" i="2"/>
  <c r="AC676" i="2"/>
  <c r="AD676" i="2" s="1"/>
  <c r="L604" i="2"/>
  <c r="K604" i="2" s="1"/>
  <c r="AA604" i="2"/>
  <c r="AB604" i="2"/>
  <c r="AC604" i="2"/>
  <c r="AD604" i="2" s="1"/>
  <c r="AA598" i="2"/>
  <c r="AC598" i="2"/>
  <c r="AD598" i="2" s="1"/>
  <c r="L598" i="2"/>
  <c r="K598" i="2" s="1"/>
  <c r="AB598" i="2"/>
  <c r="L542" i="2"/>
  <c r="K542" i="2" s="1"/>
  <c r="AA542" i="2"/>
  <c r="L272" i="2"/>
  <c r="K272" i="2" s="1"/>
  <c r="AB272" i="2"/>
  <c r="AC272" i="2"/>
  <c r="AD272" i="2" s="1"/>
  <c r="AA272" i="2"/>
  <c r="L202" i="2"/>
  <c r="K202" i="2" s="1"/>
  <c r="L1846" i="2"/>
  <c r="K1846" i="2" s="1"/>
  <c r="L1822" i="2"/>
  <c r="K1822" i="2" s="1"/>
  <c r="L1798" i="2"/>
  <c r="K1798" i="2" s="1"/>
  <c r="L1774" i="2"/>
  <c r="K1774" i="2" s="1"/>
  <c r="L1750" i="2"/>
  <c r="K1750" i="2" s="1"/>
  <c r="L1726" i="2"/>
  <c r="K1726" i="2" s="1"/>
  <c r="L1702" i="2"/>
  <c r="K1702" i="2" s="1"/>
  <c r="AA1687" i="2"/>
  <c r="AB1685" i="2"/>
  <c r="L1678" i="2"/>
  <c r="K1678" i="2" s="1"/>
  <c r="AA1663" i="2"/>
  <c r="AB1661" i="2"/>
  <c r="L1654" i="2"/>
  <c r="K1654" i="2" s="1"/>
  <c r="AA1639" i="2"/>
  <c r="AB1637" i="2"/>
  <c r="L1630" i="2"/>
  <c r="K1630" i="2" s="1"/>
  <c r="AA1615" i="2"/>
  <c r="AB1613" i="2"/>
  <c r="L1606" i="2"/>
  <c r="K1606" i="2" s="1"/>
  <c r="AA1591" i="2"/>
  <c r="AB1589" i="2"/>
  <c r="AC1579" i="2"/>
  <c r="AD1579" i="2" s="1"/>
  <c r="AB1575" i="2"/>
  <c r="L1573" i="2"/>
  <c r="K1573" i="2" s="1"/>
  <c r="AB1573" i="2"/>
  <c r="L1554" i="2"/>
  <c r="K1554" i="2" s="1"/>
  <c r="AB1554" i="2"/>
  <c r="AA1547" i="2"/>
  <c r="AA1536" i="2"/>
  <c r="L1536" i="2"/>
  <c r="K1536" i="2" s="1"/>
  <c r="AC1536" i="2"/>
  <c r="AD1536" i="2" s="1"/>
  <c r="AC1513" i="2"/>
  <c r="AD1513" i="2" s="1"/>
  <c r="AA1511" i="2"/>
  <c r="L1500" i="2"/>
  <c r="K1500" i="2" s="1"/>
  <c r="AB1491" i="2"/>
  <c r="L1489" i="2"/>
  <c r="K1489" i="2" s="1"/>
  <c r="AA1486" i="2"/>
  <c r="L1484" i="2"/>
  <c r="K1484" i="2" s="1"/>
  <c r="L1464" i="2"/>
  <c r="K1464" i="2" s="1"/>
  <c r="L1455" i="2"/>
  <c r="K1455" i="2" s="1"/>
  <c r="AB1452" i="2"/>
  <c r="AB1445" i="2"/>
  <c r="AA1445" i="2"/>
  <c r="AC1445" i="2"/>
  <c r="AD1445" i="2" s="1"/>
  <c r="L1443" i="2"/>
  <c r="K1443" i="2" s="1"/>
  <c r="AA1394" i="2"/>
  <c r="AC1394" i="2"/>
  <c r="AD1394" i="2" s="1"/>
  <c r="L1394" i="2"/>
  <c r="K1394" i="2" s="1"/>
  <c r="L1383" i="2"/>
  <c r="K1383" i="2" s="1"/>
  <c r="AB1369" i="2"/>
  <c r="AB1363" i="2"/>
  <c r="AA1363" i="2"/>
  <c r="L1346" i="2"/>
  <c r="K1346" i="2" s="1"/>
  <c r="AC1328" i="2"/>
  <c r="AD1328" i="2" s="1"/>
  <c r="L1314" i="2"/>
  <c r="K1314" i="2" s="1"/>
  <c r="AC1314" i="2"/>
  <c r="AD1314" i="2" s="1"/>
  <c r="L1299" i="2"/>
  <c r="K1299" i="2" s="1"/>
  <c r="AA1299" i="2"/>
  <c r="AC1299" i="2"/>
  <c r="AD1299" i="2" s="1"/>
  <c r="L1261" i="2"/>
  <c r="K1261" i="2" s="1"/>
  <c r="L1236" i="2"/>
  <c r="K1236" i="2" s="1"/>
  <c r="AA1196" i="2"/>
  <c r="L1193" i="2"/>
  <c r="K1193" i="2" s="1"/>
  <c r="AA1176" i="2"/>
  <c r="AC1160" i="2"/>
  <c r="AD1160" i="2" s="1"/>
  <c r="AA1160" i="2"/>
  <c r="AB1160" i="2"/>
  <c r="AC1153" i="2"/>
  <c r="AD1153" i="2" s="1"/>
  <c r="L1133" i="2"/>
  <c r="K1133" i="2" s="1"/>
  <c r="AA1133" i="2"/>
  <c r="L1109" i="2"/>
  <c r="K1109" i="2" s="1"/>
  <c r="L1106" i="2"/>
  <c r="K1106" i="2" s="1"/>
  <c r="AA1100" i="2"/>
  <c r="L1097" i="2"/>
  <c r="K1097" i="2" s="1"/>
  <c r="AA1097" i="2"/>
  <c r="AA1069" i="2"/>
  <c r="AB1069" i="2"/>
  <c r="L1069" i="2"/>
  <c r="K1069" i="2" s="1"/>
  <c r="AA1066" i="2"/>
  <c r="AB1066" i="2"/>
  <c r="AC1066" i="2"/>
  <c r="AD1066" i="2" s="1"/>
  <c r="AA997" i="2"/>
  <c r="AB997" i="2"/>
  <c r="AC997" i="2"/>
  <c r="AD997" i="2" s="1"/>
  <c r="AA968" i="2"/>
  <c r="AB968" i="2"/>
  <c r="AC968" i="2"/>
  <c r="AD968" i="2" s="1"/>
  <c r="AB965" i="2"/>
  <c r="AC965" i="2"/>
  <c r="AD965" i="2" s="1"/>
  <c r="AC961" i="2"/>
  <c r="AD961" i="2" s="1"/>
  <c r="AB955" i="2"/>
  <c r="L955" i="2"/>
  <c r="K955" i="2" s="1"/>
  <c r="AC955" i="2"/>
  <c r="AD955" i="2" s="1"/>
  <c r="L952" i="2"/>
  <c r="K952" i="2" s="1"/>
  <c r="AC952" i="2"/>
  <c r="AD952" i="2" s="1"/>
  <c r="L924" i="2"/>
  <c r="K924" i="2" s="1"/>
  <c r="L885" i="2"/>
  <c r="K885" i="2" s="1"/>
  <c r="AA882" i="2"/>
  <c r="L882" i="2"/>
  <c r="K882" i="2" s="1"/>
  <c r="AB870" i="2"/>
  <c r="AA870" i="2"/>
  <c r="AC870" i="2"/>
  <c r="AD870" i="2" s="1"/>
  <c r="L838" i="2"/>
  <c r="K838" i="2" s="1"/>
  <c r="L807" i="2"/>
  <c r="K807" i="2" s="1"/>
  <c r="AA807" i="2"/>
  <c r="AC807" i="2"/>
  <c r="AD807" i="2" s="1"/>
  <c r="AA756" i="2"/>
  <c r="L756" i="2"/>
  <c r="K756" i="2" s="1"/>
  <c r="L750" i="2"/>
  <c r="K750" i="2" s="1"/>
  <c r="AC750" i="2"/>
  <c r="AD750" i="2" s="1"/>
  <c r="L1502" i="2"/>
  <c r="K1502" i="2" s="1"/>
  <c r="AB1502" i="2"/>
  <c r="AB1438" i="2"/>
  <c r="L1438" i="2"/>
  <c r="K1438" i="2" s="1"/>
  <c r="AA1421" i="2"/>
  <c r="AC1421" i="2"/>
  <c r="AD1421" i="2" s="1"/>
  <c r="AA1418" i="2"/>
  <c r="AC1418" i="2"/>
  <c r="AD1418" i="2" s="1"/>
  <c r="AA1407" i="2"/>
  <c r="AC1407" i="2"/>
  <c r="AD1407" i="2" s="1"/>
  <c r="L1366" i="2"/>
  <c r="K1366" i="2" s="1"/>
  <c r="AA1366" i="2"/>
  <c r="L1340" i="2"/>
  <c r="K1340" i="2" s="1"/>
  <c r="AA1340" i="2"/>
  <c r="L1302" i="2"/>
  <c r="K1302" i="2" s="1"/>
  <c r="AA1302" i="2"/>
  <c r="AB1302" i="2"/>
  <c r="AB1270" i="2"/>
  <c r="AC1270" i="2"/>
  <c r="AD1270" i="2" s="1"/>
  <c r="L1270" i="2"/>
  <c r="K1270" i="2" s="1"/>
  <c r="L1258" i="2"/>
  <c r="K1258" i="2" s="1"/>
  <c r="AA1258" i="2"/>
  <c r="L1230" i="2"/>
  <c r="K1230" i="2" s="1"/>
  <c r="AB1230" i="2"/>
  <c r="AC1230" i="2"/>
  <c r="AD1230" i="2" s="1"/>
  <c r="AA1230" i="2"/>
  <c r="AB1183" i="2"/>
  <c r="AC1183" i="2"/>
  <c r="AD1183" i="2" s="1"/>
  <c r="AA1183" i="2"/>
  <c r="K1055" i="2"/>
  <c r="K1141" i="2"/>
  <c r="AA1034" i="2"/>
  <c r="AB1034" i="2"/>
  <c r="AC1034" i="2"/>
  <c r="AD1034" i="2" s="1"/>
  <c r="AA1010" i="2"/>
  <c r="AB1010" i="2"/>
  <c r="AC1010" i="2"/>
  <c r="AD1010" i="2" s="1"/>
  <c r="L1010" i="2"/>
  <c r="K1010" i="2" s="1"/>
  <c r="AB917" i="2"/>
  <c r="AC917" i="2"/>
  <c r="AD917" i="2" s="1"/>
  <c r="AB879" i="2"/>
  <c r="AC879" i="2"/>
  <c r="AD879" i="2" s="1"/>
  <c r="AA752" i="2"/>
  <c r="AB752" i="2"/>
  <c r="AC752" i="2"/>
  <c r="AD752" i="2" s="1"/>
  <c r="AB713" i="2"/>
  <c r="L713" i="2"/>
  <c r="K713" i="2" s="1"/>
  <c r="AA713" i="2"/>
  <c r="AC713" i="2"/>
  <c r="AD713" i="2" s="1"/>
  <c r="L661" i="2"/>
  <c r="K661" i="2" s="1"/>
  <c r="AB661" i="2"/>
  <c r="AC661" i="2"/>
  <c r="AD661" i="2" s="1"/>
  <c r="AA449" i="2"/>
  <c r="AB449" i="2"/>
  <c r="AC449" i="2"/>
  <c r="AD449" i="2" s="1"/>
  <c r="L403" i="2"/>
  <c r="K403" i="2" s="1"/>
  <c r="AC403" i="2"/>
  <c r="AD403" i="2" s="1"/>
  <c r="AB403" i="2"/>
  <c r="L1562" i="2"/>
  <c r="K1562" i="2" s="1"/>
  <c r="AB1562" i="2"/>
  <c r="AA1562" i="2"/>
  <c r="AA1393" i="2"/>
  <c r="AC1393" i="2"/>
  <c r="AD1393" i="2" s="1"/>
  <c r="AB1339" i="2"/>
  <c r="L1339" i="2"/>
  <c r="K1339" i="2" s="1"/>
  <c r="AA1339" i="2"/>
  <c r="AA1298" i="2"/>
  <c r="AC1298" i="2"/>
  <c r="AD1298" i="2" s="1"/>
  <c r="AB1279" i="2"/>
  <c r="L1279" i="2"/>
  <c r="K1279" i="2" s="1"/>
  <c r="AA1279" i="2"/>
  <c r="L1239" i="2"/>
  <c r="K1239" i="2" s="1"/>
  <c r="AA1239" i="2"/>
  <c r="AC1200" i="2"/>
  <c r="AD1200" i="2" s="1"/>
  <c r="AA1200" i="2"/>
  <c r="AB1200" i="2"/>
  <c r="AB1162" i="2"/>
  <c r="AC1162" i="2"/>
  <c r="AD1162" i="2" s="1"/>
  <c r="AB1087" i="2"/>
  <c r="AC1087" i="2"/>
  <c r="AD1087" i="2" s="1"/>
  <c r="AA1087" i="2"/>
  <c r="AB1037" i="2"/>
  <c r="AC1037" i="2"/>
  <c r="AD1037" i="2" s="1"/>
  <c r="AA1037" i="2"/>
  <c r="AB978" i="2"/>
  <c r="AC978" i="2"/>
  <c r="AD978" i="2" s="1"/>
  <c r="AB967" i="2"/>
  <c r="AA967" i="2"/>
  <c r="AC967" i="2"/>
  <c r="AD967" i="2" s="1"/>
  <c r="AA862" i="2"/>
  <c r="AB862" i="2"/>
  <c r="AC862" i="2"/>
  <c r="AD862" i="2" s="1"/>
  <c r="L837" i="2"/>
  <c r="K837" i="2" s="1"/>
  <c r="AA837" i="2"/>
  <c r="AB837" i="2"/>
  <c r="L708" i="2"/>
  <c r="K708" i="2" s="1"/>
  <c r="AA708" i="2"/>
  <c r="AC708" i="2"/>
  <c r="AD708" i="2" s="1"/>
  <c r="AB708" i="2"/>
  <c r="L572" i="2"/>
  <c r="K572" i="2" s="1"/>
  <c r="AA572" i="2"/>
  <c r="AB572" i="2"/>
  <c r="AC572" i="2"/>
  <c r="AD572" i="2" s="1"/>
  <c r="AB1475" i="2"/>
  <c r="AC1469" i="2"/>
  <c r="AD1469" i="2" s="1"/>
  <c r="AC1467" i="2"/>
  <c r="AD1467" i="2" s="1"/>
  <c r="AC1465" i="2"/>
  <c r="AD1465" i="2" s="1"/>
  <c r="AC1463" i="2"/>
  <c r="AD1463" i="2" s="1"/>
  <c r="AC1461" i="2"/>
  <c r="AD1461" i="2" s="1"/>
  <c r="AC1426" i="2"/>
  <c r="AD1426" i="2" s="1"/>
  <c r="AC1424" i="2"/>
  <c r="AD1424" i="2" s="1"/>
  <c r="AC1410" i="2"/>
  <c r="AD1410" i="2" s="1"/>
  <c r="L1408" i="2"/>
  <c r="K1408" i="2" s="1"/>
  <c r="AA1408" i="2"/>
  <c r="L1325" i="2"/>
  <c r="K1325" i="2" s="1"/>
  <c r="AA1325" i="2"/>
  <c r="AA1322" i="2"/>
  <c r="AC1322" i="2"/>
  <c r="AD1322" i="2" s="1"/>
  <c r="L1300" i="2"/>
  <c r="K1300" i="2" s="1"/>
  <c r="AA1300" i="2"/>
  <c r="AB1290" i="2"/>
  <c r="L1285" i="2"/>
  <c r="K1285" i="2" s="1"/>
  <c r="AA1285" i="2"/>
  <c r="AC1272" i="2"/>
  <c r="AD1272" i="2" s="1"/>
  <c r="AA1272" i="2"/>
  <c r="AB1272" i="2"/>
  <c r="AA1262" i="2"/>
  <c r="AB1262" i="2"/>
  <c r="AC1262" i="2"/>
  <c r="AD1262" i="2" s="1"/>
  <c r="L1262" i="2"/>
  <c r="K1262" i="2" s="1"/>
  <c r="AA1248" i="2"/>
  <c r="AB1246" i="2"/>
  <c r="AB1244" i="2"/>
  <c r="AB1231" i="2"/>
  <c r="AC1231" i="2"/>
  <c r="AD1231" i="2" s="1"/>
  <c r="L1218" i="2"/>
  <c r="K1218" i="2" s="1"/>
  <c r="AA1218" i="2"/>
  <c r="L1205" i="2"/>
  <c r="K1205" i="2" s="1"/>
  <c r="AA1205" i="2"/>
  <c r="AA1189" i="2"/>
  <c r="AB1181" i="2"/>
  <c r="AC1181" i="2"/>
  <c r="AD1181" i="2" s="1"/>
  <c r="L1158" i="2"/>
  <c r="K1158" i="2" s="1"/>
  <c r="AB1158" i="2"/>
  <c r="AC1158" i="2"/>
  <c r="AD1158" i="2" s="1"/>
  <c r="AB1124" i="2"/>
  <c r="AB1121" i="2"/>
  <c r="AA1119" i="2"/>
  <c r="AB1111" i="2"/>
  <c r="AC1111" i="2"/>
  <c r="AD1111" i="2" s="1"/>
  <c r="AC1098" i="2"/>
  <c r="AD1098" i="2" s="1"/>
  <c r="AA1062" i="2"/>
  <c r="AC1056" i="2"/>
  <c r="AD1056" i="2" s="1"/>
  <c r="AA1056" i="2"/>
  <c r="AB1056" i="2"/>
  <c r="AA1046" i="2"/>
  <c r="AB1046" i="2"/>
  <c r="AC1046" i="2"/>
  <c r="AD1046" i="2" s="1"/>
  <c r="L1046" i="2"/>
  <c r="AA1032" i="2"/>
  <c r="AB1030" i="2"/>
  <c r="AB1028" i="2"/>
  <c r="AB1015" i="2"/>
  <c r="AC1015" i="2"/>
  <c r="AD1015" i="2" s="1"/>
  <c r="AB987" i="2"/>
  <c r="AB954" i="2"/>
  <c r="AC954" i="2"/>
  <c r="AD954" i="2" s="1"/>
  <c r="L940" i="2"/>
  <c r="K940" i="2" s="1"/>
  <c r="AA940" i="2"/>
  <c r="AB907" i="2"/>
  <c r="L907" i="2"/>
  <c r="K907" i="2" s="1"/>
  <c r="L904" i="2"/>
  <c r="K904" i="2" s="1"/>
  <c r="AC904" i="2"/>
  <c r="AD904" i="2" s="1"/>
  <c r="AB840" i="2"/>
  <c r="AB833" i="2"/>
  <c r="L833" i="2"/>
  <c r="K833" i="2" s="1"/>
  <c r="L820" i="2"/>
  <c r="K820" i="2" s="1"/>
  <c r="AA820" i="2"/>
  <c r="AB820" i="2"/>
  <c r="AB651" i="2"/>
  <c r="L651" i="2"/>
  <c r="K651" i="2" s="1"/>
  <c r="AA570" i="2"/>
  <c r="L570" i="2"/>
  <c r="K570" i="2" s="1"/>
  <c r="AB570" i="2"/>
  <c r="AC570" i="2"/>
  <c r="AD570" i="2" s="1"/>
  <c r="L524" i="2"/>
  <c r="K524" i="2" s="1"/>
  <c r="AA524" i="2"/>
  <c r="AB524" i="2"/>
  <c r="AC524" i="2"/>
  <c r="AD524" i="2" s="1"/>
  <c r="L1275" i="2"/>
  <c r="K1275" i="2" s="1"/>
  <c r="AA1275" i="2"/>
  <c r="AB1251" i="2"/>
  <c r="AC1251" i="2"/>
  <c r="AD1251" i="2" s="1"/>
  <c r="AA1238" i="2"/>
  <c r="AB1238" i="2"/>
  <c r="AC1238" i="2"/>
  <c r="AD1238" i="2" s="1"/>
  <c r="AA1178" i="2"/>
  <c r="AB1178" i="2"/>
  <c r="AC1178" i="2"/>
  <c r="AD1178" i="2" s="1"/>
  <c r="L1150" i="2"/>
  <c r="K1150" i="2" s="1"/>
  <c r="AA1150" i="2"/>
  <c r="AA1105" i="2"/>
  <c r="AB1105" i="2"/>
  <c r="AB1090" i="2"/>
  <c r="AC1090" i="2"/>
  <c r="AD1090" i="2" s="1"/>
  <c r="L1059" i="2"/>
  <c r="AA1059" i="2"/>
  <c r="AB1035" i="2"/>
  <c r="AC1035" i="2"/>
  <c r="AD1035" i="2" s="1"/>
  <c r="AA1022" i="2"/>
  <c r="AB1022" i="2"/>
  <c r="AC1022" i="2"/>
  <c r="AD1022" i="2" s="1"/>
  <c r="AA980" i="2"/>
  <c r="AB980" i="2"/>
  <c r="AC980" i="2"/>
  <c r="AD980" i="2" s="1"/>
  <c r="L964" i="2"/>
  <c r="K964" i="2" s="1"/>
  <c r="AA964" i="2"/>
  <c r="AB919" i="2"/>
  <c r="AA919" i="2"/>
  <c r="AC919" i="2"/>
  <c r="AD919" i="2" s="1"/>
  <c r="AA854" i="2"/>
  <c r="AB854" i="2"/>
  <c r="AC854" i="2"/>
  <c r="AD854" i="2" s="1"/>
  <c r="AC814" i="2"/>
  <c r="AD814" i="2" s="1"/>
  <c r="AA814" i="2"/>
  <c r="L764" i="2"/>
  <c r="K764" i="2" s="1"/>
  <c r="AB764" i="2"/>
  <c r="AA764" i="2"/>
  <c r="L660" i="2"/>
  <c r="K660" i="2" s="1"/>
  <c r="AA660" i="2"/>
  <c r="AC660" i="2"/>
  <c r="AD660" i="2" s="1"/>
  <c r="AB660" i="2"/>
  <c r="AB615" i="2"/>
  <c r="AA615" i="2"/>
  <c r="AC615" i="2"/>
  <c r="AD615" i="2" s="1"/>
  <c r="AB497" i="2"/>
  <c r="AC497" i="2"/>
  <c r="AD497" i="2" s="1"/>
  <c r="L497" i="2"/>
  <c r="K497" i="2" s="1"/>
  <c r="AA1463" i="2"/>
  <c r="AA1457" i="2"/>
  <c r="AB1449" i="2"/>
  <c r="AB1433" i="2"/>
  <c r="AA1428" i="2"/>
  <c r="AB1419" i="2"/>
  <c r="L1396" i="2"/>
  <c r="K1396" i="2" s="1"/>
  <c r="AA1396" i="2"/>
  <c r="L1337" i="2"/>
  <c r="K1337" i="2" s="1"/>
  <c r="AA1337" i="2"/>
  <c r="AA1334" i="2"/>
  <c r="AC1334" i="2"/>
  <c r="AD1334" i="2" s="1"/>
  <c r="L1312" i="2"/>
  <c r="K1312" i="2" s="1"/>
  <c r="AA1312" i="2"/>
  <c r="L1297" i="2"/>
  <c r="K1297" i="2" s="1"/>
  <c r="AA1297" i="2"/>
  <c r="AB1267" i="2"/>
  <c r="AC1267" i="2"/>
  <c r="AD1267" i="2" s="1"/>
  <c r="L1254" i="2"/>
  <c r="K1254" i="2" s="1"/>
  <c r="AA1254" i="2"/>
  <c r="L1251" i="2"/>
  <c r="K1251" i="2" s="1"/>
  <c r="L1248" i="2"/>
  <c r="K1248" i="2" s="1"/>
  <c r="L1241" i="2"/>
  <c r="K1241" i="2" s="1"/>
  <c r="AA1241" i="2"/>
  <c r="L1238" i="2"/>
  <c r="K1238" i="2" s="1"/>
  <c r="AB1217" i="2"/>
  <c r="AC1217" i="2"/>
  <c r="AD1217" i="2" s="1"/>
  <c r="L1194" i="2"/>
  <c r="K1194" i="2" s="1"/>
  <c r="AB1194" i="2"/>
  <c r="AC1194" i="2"/>
  <c r="AD1194" i="2" s="1"/>
  <c r="L1178" i="2"/>
  <c r="K1178" i="2" s="1"/>
  <c r="AB1147" i="2"/>
  <c r="AC1147" i="2"/>
  <c r="AD1147" i="2" s="1"/>
  <c r="L1105" i="2"/>
  <c r="K1105" i="2" s="1"/>
  <c r="AC1092" i="2"/>
  <c r="AD1092" i="2" s="1"/>
  <c r="AA1092" i="2"/>
  <c r="AB1092" i="2"/>
  <c r="L1090" i="2"/>
  <c r="K1090" i="2" s="1"/>
  <c r="AA1082" i="2"/>
  <c r="AB1082" i="2"/>
  <c r="AC1082" i="2"/>
  <c r="AD1082" i="2" s="1"/>
  <c r="L1082" i="2"/>
  <c r="K1082" i="2" s="1"/>
  <c r="AB1051" i="2"/>
  <c r="AC1051" i="2"/>
  <c r="AD1051" i="2" s="1"/>
  <c r="L1038" i="2"/>
  <c r="K1038" i="2" s="1"/>
  <c r="AA1038" i="2"/>
  <c r="L1035" i="2"/>
  <c r="K1035" i="2" s="1"/>
  <c r="L1032" i="2"/>
  <c r="K1032" i="2" s="1"/>
  <c r="L1025" i="2"/>
  <c r="K1025" i="2" s="1"/>
  <c r="AA1025" i="2"/>
  <c r="L1022" i="2"/>
  <c r="K1022" i="2" s="1"/>
  <c r="AB1001" i="2"/>
  <c r="AC1001" i="2"/>
  <c r="AD1001" i="2" s="1"/>
  <c r="AA998" i="2"/>
  <c r="AB998" i="2"/>
  <c r="AC998" i="2"/>
  <c r="AD998" i="2" s="1"/>
  <c r="L980" i="2"/>
  <c r="K980" i="2" s="1"/>
  <c r="L919" i="2"/>
  <c r="K919" i="2" s="1"/>
  <c r="L854" i="2"/>
  <c r="K854" i="2" s="1"/>
  <c r="L825" i="2"/>
  <c r="K825" i="2" s="1"/>
  <c r="AB825" i="2"/>
  <c r="AC825" i="2"/>
  <c r="AD825" i="2" s="1"/>
  <c r="L814" i="2"/>
  <c r="K814" i="2" s="1"/>
  <c r="L796" i="2"/>
  <c r="K796" i="2" s="1"/>
  <c r="AB796" i="2"/>
  <c r="AB723" i="2"/>
  <c r="AC723" i="2"/>
  <c r="AD723" i="2" s="1"/>
  <c r="AA723" i="2"/>
  <c r="L723" i="2"/>
  <c r="K723" i="2" s="1"/>
  <c r="L664" i="2"/>
  <c r="K664" i="2" s="1"/>
  <c r="AB664" i="2"/>
  <c r="AC664" i="2"/>
  <c r="AD664" i="2" s="1"/>
  <c r="AA623" i="2"/>
  <c r="AB623" i="2"/>
  <c r="AC623" i="2"/>
  <c r="AD623" i="2" s="1"/>
  <c r="L615" i="2"/>
  <c r="K615" i="2" s="1"/>
  <c r="AA523" i="2"/>
  <c r="AB523" i="2"/>
  <c r="AC523" i="2"/>
  <c r="AD523" i="2" s="1"/>
  <c r="L523" i="2"/>
  <c r="K523" i="2" s="1"/>
  <c r="L1538" i="2"/>
  <c r="K1538" i="2" s="1"/>
  <c r="AB1538" i="2"/>
  <c r="AB1375" i="2"/>
  <c r="AA1375" i="2"/>
  <c r="AA1370" i="2"/>
  <c r="AC1370" i="2"/>
  <c r="AD1370" i="2" s="1"/>
  <c r="L1334" i="2"/>
  <c r="K1334" i="2" s="1"/>
  <c r="AB1327" i="2"/>
  <c r="L1327" i="2"/>
  <c r="K1327" i="2" s="1"/>
  <c r="AA1327" i="2"/>
  <c r="L1287" i="2"/>
  <c r="K1287" i="2" s="1"/>
  <c r="AA1287" i="2"/>
  <c r="AA1274" i="2"/>
  <c r="AB1274" i="2"/>
  <c r="AC1274" i="2"/>
  <c r="AD1274" i="2" s="1"/>
  <c r="L1267" i="2"/>
  <c r="K1267" i="2" s="1"/>
  <c r="L1217" i="2"/>
  <c r="K1217" i="2" s="1"/>
  <c r="AA1214" i="2"/>
  <c r="AB1214" i="2"/>
  <c r="AC1214" i="2"/>
  <c r="AD1214" i="2" s="1"/>
  <c r="L1186" i="2"/>
  <c r="K1186" i="2" s="1"/>
  <c r="AA1186" i="2"/>
  <c r="L1147" i="2"/>
  <c r="AA1141" i="2"/>
  <c r="AB1141" i="2"/>
  <c r="K1043" i="2"/>
  <c r="K1129" i="2"/>
  <c r="AB1126" i="2"/>
  <c r="AC1126" i="2"/>
  <c r="AD1126" i="2" s="1"/>
  <c r="L1124" i="2"/>
  <c r="K1124" i="2" s="1"/>
  <c r="L1095" i="2"/>
  <c r="K1095" i="2" s="1"/>
  <c r="AA1095" i="2"/>
  <c r="L1092" i="2"/>
  <c r="K1092" i="2" s="1"/>
  <c r="AB1071" i="2"/>
  <c r="AC1071" i="2"/>
  <c r="AD1071" i="2" s="1"/>
  <c r="AA1058" i="2"/>
  <c r="AB1058" i="2"/>
  <c r="AC1058" i="2"/>
  <c r="AD1058" i="2" s="1"/>
  <c r="L1051" i="2"/>
  <c r="L1001" i="2"/>
  <c r="K1001" i="2" s="1"/>
  <c r="L998" i="2"/>
  <c r="K998" i="2" s="1"/>
  <c r="L987" i="2"/>
  <c r="K987" i="2" s="1"/>
  <c r="AB979" i="2"/>
  <c r="AA979" i="2"/>
  <c r="AC979" i="2"/>
  <c r="AD979" i="2" s="1"/>
  <c r="L976" i="2"/>
  <c r="K976" i="2" s="1"/>
  <c r="AC976" i="2"/>
  <c r="AD976" i="2" s="1"/>
  <c r="L951" i="2"/>
  <c r="K951" i="2" s="1"/>
  <c r="AA951" i="2"/>
  <c r="L927" i="2"/>
  <c r="K927" i="2" s="1"/>
  <c r="AA927" i="2"/>
  <c r="AB906" i="2"/>
  <c r="AC906" i="2"/>
  <c r="AD906" i="2" s="1"/>
  <c r="AA889" i="2"/>
  <c r="AB889" i="2"/>
  <c r="AC889" i="2"/>
  <c r="AD889" i="2" s="1"/>
  <c r="L889" i="2"/>
  <c r="K889" i="2" s="1"/>
  <c r="AB846" i="2"/>
  <c r="L846" i="2"/>
  <c r="K846" i="2" s="1"/>
  <c r="AA846" i="2"/>
  <c r="AC802" i="2"/>
  <c r="AD802" i="2" s="1"/>
  <c r="AB802" i="2"/>
  <c r="AA802" i="2"/>
  <c r="AA659" i="2"/>
  <c r="AB659" i="2"/>
  <c r="AC659" i="2"/>
  <c r="AD659" i="2" s="1"/>
  <c r="L659" i="2"/>
  <c r="K659" i="2" s="1"/>
  <c r="L623" i="2"/>
  <c r="K623" i="2" s="1"/>
  <c r="AC620" i="2"/>
  <c r="AD620" i="2" s="1"/>
  <c r="L620" i="2"/>
  <c r="K620" i="2" s="1"/>
  <c r="AA610" i="2"/>
  <c r="AC610" i="2"/>
  <c r="AD610" i="2" s="1"/>
  <c r="AB610" i="2"/>
  <c r="L540" i="2"/>
  <c r="K540" i="2" s="1"/>
  <c r="AA540" i="2"/>
  <c r="AC540" i="2"/>
  <c r="AD540" i="2" s="1"/>
  <c r="AB540" i="2"/>
  <c r="AC496" i="2"/>
  <c r="AD496" i="2" s="1"/>
  <c r="AA496" i="2"/>
  <c r="L496" i="2"/>
  <c r="K496" i="2" s="1"/>
  <c r="AB496" i="2"/>
  <c r="L489" i="2"/>
  <c r="K489" i="2" s="1"/>
  <c r="AB489" i="2"/>
  <c r="AC489" i="2"/>
  <c r="AD489" i="2" s="1"/>
  <c r="AA489" i="2"/>
  <c r="AB483" i="2"/>
  <c r="AC483" i="2"/>
  <c r="AD483" i="2" s="1"/>
  <c r="AA483" i="2"/>
  <c r="AB1256" i="2"/>
  <c r="AB1220" i="2"/>
  <c r="AB1184" i="2"/>
  <c r="AB1148" i="2"/>
  <c r="AB1112" i="2"/>
  <c r="AB1076" i="2"/>
  <c r="AB1040" i="2"/>
  <c r="AB1004" i="2"/>
  <c r="AA1002" i="2"/>
  <c r="AB977" i="2"/>
  <c r="AB970" i="2"/>
  <c r="AB963" i="2"/>
  <c r="AC950" i="2"/>
  <c r="AD950" i="2" s="1"/>
  <c r="AA948" i="2"/>
  <c r="AB941" i="2"/>
  <c r="AC941" i="2"/>
  <c r="AD941" i="2" s="1"/>
  <c r="AB931" i="2"/>
  <c r="L931" i="2"/>
  <c r="K931" i="2" s="1"/>
  <c r="AA913" i="2"/>
  <c r="AA898" i="2"/>
  <c r="AA896" i="2"/>
  <c r="AB866" i="2"/>
  <c r="AB858" i="2"/>
  <c r="AC858" i="2"/>
  <c r="AD858" i="2" s="1"/>
  <c r="AC826" i="2"/>
  <c r="AD826" i="2" s="1"/>
  <c r="L826" i="2"/>
  <c r="K826" i="2" s="1"/>
  <c r="AA826" i="2"/>
  <c r="AB826" i="2"/>
  <c r="AB785" i="2"/>
  <c r="AA785" i="2"/>
  <c r="AB668" i="2"/>
  <c r="AB666" i="2"/>
  <c r="AC632" i="2"/>
  <c r="AD632" i="2" s="1"/>
  <c r="AA632" i="2"/>
  <c r="AB632" i="2"/>
  <c r="L632" i="2"/>
  <c r="K632" i="2" s="1"/>
  <c r="AC508" i="2"/>
  <c r="AD508" i="2" s="1"/>
  <c r="AB508" i="2"/>
  <c r="AA508" i="2"/>
  <c r="L508" i="2"/>
  <c r="K508" i="2" s="1"/>
  <c r="AA412" i="2"/>
  <c r="AC412" i="2"/>
  <c r="AD412" i="2" s="1"/>
  <c r="AB412" i="2"/>
  <c r="L412" i="2"/>
  <c r="K412" i="2" s="1"/>
  <c r="AA376" i="2"/>
  <c r="AC376" i="2"/>
  <c r="AD376" i="2" s="1"/>
  <c r="AB376" i="2"/>
  <c r="AB991" i="2"/>
  <c r="AA991" i="2"/>
  <c r="AC991" i="2"/>
  <c r="AD991" i="2" s="1"/>
  <c r="L928" i="2"/>
  <c r="K928" i="2" s="1"/>
  <c r="AC928" i="2"/>
  <c r="AD928" i="2" s="1"/>
  <c r="L916" i="2"/>
  <c r="K916" i="2" s="1"/>
  <c r="AA916" i="2"/>
  <c r="AA908" i="2"/>
  <c r="AB908" i="2"/>
  <c r="AC908" i="2"/>
  <c r="AD908" i="2" s="1"/>
  <c r="L903" i="2"/>
  <c r="K903" i="2" s="1"/>
  <c r="AA903" i="2"/>
  <c r="AB821" i="2"/>
  <c r="AA821" i="2"/>
  <c r="L806" i="2"/>
  <c r="K806" i="2" s="1"/>
  <c r="AC806" i="2"/>
  <c r="AD806" i="2" s="1"/>
  <c r="AB797" i="2"/>
  <c r="AA797" i="2"/>
  <c r="L782" i="2"/>
  <c r="K782" i="2" s="1"/>
  <c r="AC782" i="2"/>
  <c r="AD782" i="2" s="1"/>
  <c r="L777" i="2"/>
  <c r="K777" i="2" s="1"/>
  <c r="AB777" i="2"/>
  <c r="AA777" i="2"/>
  <c r="AC718" i="2"/>
  <c r="AD718" i="2" s="1"/>
  <c r="L718" i="2"/>
  <c r="K718" i="2" s="1"/>
  <c r="AA718" i="2"/>
  <c r="L555" i="2"/>
  <c r="K555" i="2" s="1"/>
  <c r="AA555" i="2"/>
  <c r="AC555" i="2"/>
  <c r="AD555" i="2" s="1"/>
  <c r="AA552" i="2"/>
  <c r="AB552" i="2"/>
  <c r="AA513" i="2"/>
  <c r="AB513" i="2"/>
  <c r="AC513" i="2"/>
  <c r="AD513" i="2" s="1"/>
  <c r="L440" i="2"/>
  <c r="K440" i="2" s="1"/>
  <c r="AC440" i="2"/>
  <c r="AD440" i="2" s="1"/>
  <c r="AA341" i="2"/>
  <c r="AB341" i="2"/>
  <c r="AC341" i="2"/>
  <c r="AD341" i="2" s="1"/>
  <c r="L341" i="2"/>
  <c r="K341" i="2" s="1"/>
  <c r="L300" i="2"/>
  <c r="K300" i="2" s="1"/>
  <c r="AA300" i="2"/>
  <c r="AB300" i="2"/>
  <c r="AC300" i="2"/>
  <c r="AD300" i="2" s="1"/>
  <c r="AB1243" i="2"/>
  <c r="AC1243" i="2"/>
  <c r="AD1243" i="2" s="1"/>
  <c r="AB1207" i="2"/>
  <c r="AC1207" i="2"/>
  <c r="AD1207" i="2" s="1"/>
  <c r="AB1171" i="2"/>
  <c r="AC1171" i="2"/>
  <c r="AD1171" i="2" s="1"/>
  <c r="AB1135" i="2"/>
  <c r="AC1135" i="2"/>
  <c r="AD1135" i="2" s="1"/>
  <c r="AB1099" i="2"/>
  <c r="AC1099" i="2"/>
  <c r="AD1099" i="2" s="1"/>
  <c r="AB1063" i="2"/>
  <c r="AC1063" i="2"/>
  <c r="AD1063" i="2" s="1"/>
  <c r="AB1027" i="2"/>
  <c r="AC1027" i="2"/>
  <c r="AD1027" i="2" s="1"/>
  <c r="L991" i="2"/>
  <c r="K991" i="2" s="1"/>
  <c r="L948" i="2"/>
  <c r="K948" i="2" s="1"/>
  <c r="AB943" i="2"/>
  <c r="AA943" i="2"/>
  <c r="AC943" i="2"/>
  <c r="AD943" i="2" s="1"/>
  <c r="AA938" i="2"/>
  <c r="L938" i="2"/>
  <c r="K938" i="2" s="1"/>
  <c r="AB938" i="2"/>
  <c r="L908" i="2"/>
  <c r="K908" i="2" s="1"/>
  <c r="L896" i="2"/>
  <c r="K896" i="2" s="1"/>
  <c r="AB891" i="2"/>
  <c r="AA891" i="2"/>
  <c r="AC891" i="2"/>
  <c r="AD891" i="2" s="1"/>
  <c r="AA886" i="2"/>
  <c r="L886" i="2"/>
  <c r="K886" i="2" s="1"/>
  <c r="AB883" i="2"/>
  <c r="AC883" i="2"/>
  <c r="AD883" i="2" s="1"/>
  <c r="AC875" i="2"/>
  <c r="AD875" i="2" s="1"/>
  <c r="AA875" i="2"/>
  <c r="AB875" i="2"/>
  <c r="L821" i="2"/>
  <c r="K821" i="2" s="1"/>
  <c r="L797" i="2"/>
  <c r="K797" i="2" s="1"/>
  <c r="AA738" i="2"/>
  <c r="AB738" i="2"/>
  <c r="L738" i="2"/>
  <c r="K738" i="2" s="1"/>
  <c r="L696" i="2"/>
  <c r="K696" i="2" s="1"/>
  <c r="AA696" i="2"/>
  <c r="AA673" i="2"/>
  <c r="AB673" i="2"/>
  <c r="L552" i="2"/>
  <c r="K552" i="2" s="1"/>
  <c r="L513" i="2"/>
  <c r="K513" i="2" s="1"/>
  <c r="L1243" i="2"/>
  <c r="K1243" i="2" s="1"/>
  <c r="L1207" i="2"/>
  <c r="K1207" i="2" s="1"/>
  <c r="L1171" i="2"/>
  <c r="K1171" i="2" s="1"/>
  <c r="L1135" i="2"/>
  <c r="K1135" i="2" s="1"/>
  <c r="L1099" i="2"/>
  <c r="K1099" i="2" s="1"/>
  <c r="L1063" i="2"/>
  <c r="K1063" i="2" s="1"/>
  <c r="L1027" i="2"/>
  <c r="K1027" i="2" s="1"/>
  <c r="AA986" i="2"/>
  <c r="L986" i="2"/>
  <c r="K986" i="2" s="1"/>
  <c r="L963" i="2"/>
  <c r="K963" i="2" s="1"/>
  <c r="L950" i="2"/>
  <c r="K950" i="2" s="1"/>
  <c r="L943" i="2"/>
  <c r="K943" i="2" s="1"/>
  <c r="AB930" i="2"/>
  <c r="AC930" i="2"/>
  <c r="AD930" i="2" s="1"/>
  <c r="L891" i="2"/>
  <c r="K891" i="2" s="1"/>
  <c r="L883" i="2"/>
  <c r="K883" i="2" s="1"/>
  <c r="L875" i="2"/>
  <c r="K875" i="2" s="1"/>
  <c r="L842" i="2"/>
  <c r="K842" i="2" s="1"/>
  <c r="AA842" i="2"/>
  <c r="L774" i="2"/>
  <c r="K774" i="2" s="1"/>
  <c r="AA774" i="2"/>
  <c r="L673" i="2"/>
  <c r="K673" i="2" s="1"/>
  <c r="AA670" i="2"/>
  <c r="AC670" i="2"/>
  <c r="AD670" i="2" s="1"/>
  <c r="L668" i="2"/>
  <c r="K668" i="2" s="1"/>
  <c r="L624" i="2"/>
  <c r="K624" i="2" s="1"/>
  <c r="AA624" i="2"/>
  <c r="AC624" i="2"/>
  <c r="AD624" i="2" s="1"/>
  <c r="AB624" i="2"/>
  <c r="AC291" i="2"/>
  <c r="AD291" i="2" s="1"/>
  <c r="L291" i="2"/>
  <c r="K291" i="2" s="1"/>
  <c r="AB960" i="2"/>
  <c r="AC958" i="2"/>
  <c r="AD958" i="2" s="1"/>
  <c r="AC947" i="2"/>
  <c r="AD947" i="2" s="1"/>
  <c r="AB936" i="2"/>
  <c r="AC934" i="2"/>
  <c r="AD934" i="2" s="1"/>
  <c r="AC923" i="2"/>
  <c r="AD923" i="2" s="1"/>
  <c r="AB912" i="2"/>
  <c r="AC910" i="2"/>
  <c r="AD910" i="2" s="1"/>
  <c r="AC899" i="2"/>
  <c r="AD899" i="2" s="1"/>
  <c r="AB861" i="2"/>
  <c r="L855" i="2"/>
  <c r="K855" i="2" s="1"/>
  <c r="AB855" i="2"/>
  <c r="AA855" i="2"/>
  <c r="AC850" i="2"/>
  <c r="AD850" i="2" s="1"/>
  <c r="AB832" i="2"/>
  <c r="AC832" i="2"/>
  <c r="AD832" i="2" s="1"/>
  <c r="AB815" i="2"/>
  <c r="AB798" i="2"/>
  <c r="AC791" i="2"/>
  <c r="AD791" i="2" s="1"/>
  <c r="AC769" i="2"/>
  <c r="AD769" i="2" s="1"/>
  <c r="L769" i="2"/>
  <c r="K769" i="2" s="1"/>
  <c r="AC748" i="2"/>
  <c r="AD748" i="2" s="1"/>
  <c r="L734" i="2"/>
  <c r="K734" i="2" s="1"/>
  <c r="AC734" i="2"/>
  <c r="AD734" i="2" s="1"/>
  <c r="AB687" i="2"/>
  <c r="AC687" i="2"/>
  <c r="AD687" i="2" s="1"/>
  <c r="AC683" i="2"/>
  <c r="AD683" i="2" s="1"/>
  <c r="AB675" i="2"/>
  <c r="AC675" i="2"/>
  <c r="AD675" i="2" s="1"/>
  <c r="AA622" i="2"/>
  <c r="AC622" i="2"/>
  <c r="AD622" i="2" s="1"/>
  <c r="L622" i="2"/>
  <c r="K622" i="2" s="1"/>
  <c r="L584" i="2"/>
  <c r="K584" i="2" s="1"/>
  <c r="AA584" i="2"/>
  <c r="AC584" i="2"/>
  <c r="AD584" i="2" s="1"/>
  <c r="L579" i="2"/>
  <c r="K579" i="2" s="1"/>
  <c r="AA579" i="2"/>
  <c r="AB453" i="2"/>
  <c r="AC453" i="2"/>
  <c r="AD453" i="2" s="1"/>
  <c r="AB111" i="2"/>
  <c r="AA111" i="2"/>
  <c r="AC111" i="2"/>
  <c r="AD111" i="2" s="1"/>
  <c r="L111" i="2"/>
  <c r="K111" i="2" s="1"/>
  <c r="AB737" i="2"/>
  <c r="AA737" i="2"/>
  <c r="AA571" i="2"/>
  <c r="AC571" i="2"/>
  <c r="AD571" i="2" s="1"/>
  <c r="L571" i="2"/>
  <c r="K571" i="2" s="1"/>
  <c r="AB571" i="2"/>
  <c r="L535" i="2"/>
  <c r="K535" i="2" s="1"/>
  <c r="AC535" i="2"/>
  <c r="AD535" i="2" s="1"/>
  <c r="AC532" i="2"/>
  <c r="AD532" i="2" s="1"/>
  <c r="AB532" i="2"/>
  <c r="L512" i="2"/>
  <c r="K512" i="2" s="1"/>
  <c r="AA512" i="2"/>
  <c r="AB512" i="2"/>
  <c r="AC512" i="2"/>
  <c r="AD512" i="2" s="1"/>
  <c r="AA1276" i="2"/>
  <c r="AA1264" i="2"/>
  <c r="AA1252" i="2"/>
  <c r="AA1240" i="2"/>
  <c r="AA1228" i="2"/>
  <c r="AA1216" i="2"/>
  <c r="AA1204" i="2"/>
  <c r="AA1192" i="2"/>
  <c r="AA1180" i="2"/>
  <c r="AA1168" i="2"/>
  <c r="AA1156" i="2"/>
  <c r="AA1144" i="2"/>
  <c r="AA1132" i="2"/>
  <c r="AA1120" i="2"/>
  <c r="AA1108" i="2"/>
  <c r="AA1096" i="2"/>
  <c r="AA1084" i="2"/>
  <c r="AA1072" i="2"/>
  <c r="AA1060" i="2"/>
  <c r="AA1048" i="2"/>
  <c r="AA1036" i="2"/>
  <c r="AA1024" i="2"/>
  <c r="AA1012" i="2"/>
  <c r="AA1000" i="2"/>
  <c r="AA982" i="2"/>
  <c r="AA971" i="2"/>
  <c r="AA958" i="2"/>
  <c r="AA947" i="2"/>
  <c r="AA934" i="2"/>
  <c r="AA923" i="2"/>
  <c r="AA910" i="2"/>
  <c r="AA899" i="2"/>
  <c r="AC895" i="2"/>
  <c r="AD895" i="2" s="1"/>
  <c r="L859" i="2"/>
  <c r="K859" i="2" s="1"/>
  <c r="AA859" i="2"/>
  <c r="AB852" i="2"/>
  <c r="AB834" i="2"/>
  <c r="AC819" i="2"/>
  <c r="AD819" i="2" s="1"/>
  <c r="AA817" i="2"/>
  <c r="AB810" i="2"/>
  <c r="AA803" i="2"/>
  <c r="L803" i="2"/>
  <c r="K803" i="2" s="1"/>
  <c r="AA800" i="2"/>
  <c r="AC800" i="2"/>
  <c r="AD800" i="2" s="1"/>
  <c r="AA795" i="2"/>
  <c r="AA793" i="2"/>
  <c r="AA791" i="2"/>
  <c r="AB778" i="2"/>
  <c r="AB771" i="2"/>
  <c r="L771" i="2"/>
  <c r="K771" i="2" s="1"/>
  <c r="AA755" i="2"/>
  <c r="AB755" i="2"/>
  <c r="AA748" i="2"/>
  <c r="L737" i="2"/>
  <c r="K737" i="2" s="1"/>
  <c r="L731" i="2"/>
  <c r="K731" i="2" s="1"/>
  <c r="AA731" i="2"/>
  <c r="L717" i="2"/>
  <c r="K717" i="2" s="1"/>
  <c r="AA717" i="2"/>
  <c r="AA706" i="2"/>
  <c r="AC706" i="2"/>
  <c r="AD706" i="2" s="1"/>
  <c r="L698" i="2"/>
  <c r="K698" i="2" s="1"/>
  <c r="AA698" i="2"/>
  <c r="AA683" i="2"/>
  <c r="L678" i="2"/>
  <c r="K678" i="2" s="1"/>
  <c r="AA678" i="2"/>
  <c r="AB625" i="2"/>
  <c r="AB608" i="2"/>
  <c r="AA606" i="2"/>
  <c r="AB603" i="2"/>
  <c r="L603" i="2"/>
  <c r="K603" i="2" s="1"/>
  <c r="L576" i="2"/>
  <c r="K576" i="2" s="1"/>
  <c r="AA576" i="2"/>
  <c r="AB563" i="2"/>
  <c r="AA563" i="2"/>
  <c r="AC563" i="2"/>
  <c r="AD563" i="2" s="1"/>
  <c r="L560" i="2"/>
  <c r="K560" i="2" s="1"/>
  <c r="AA560" i="2"/>
  <c r="AC560" i="2"/>
  <c r="AD560" i="2" s="1"/>
  <c r="AB551" i="2"/>
  <c r="L551" i="2"/>
  <c r="K551" i="2" s="1"/>
  <c r="AA551" i="2"/>
  <c r="L532" i="2"/>
  <c r="K532" i="2" s="1"/>
  <c r="AB526" i="2"/>
  <c r="AC526" i="2"/>
  <c r="AD526" i="2" s="1"/>
  <c r="L526" i="2"/>
  <c r="K526" i="2" s="1"/>
  <c r="AA515" i="2"/>
  <c r="AB459" i="2"/>
  <c r="AC459" i="2"/>
  <c r="AD459" i="2" s="1"/>
  <c r="AB215" i="2"/>
  <c r="AA215" i="2"/>
  <c r="AC215" i="2"/>
  <c r="AD215" i="2" s="1"/>
  <c r="AC863" i="2"/>
  <c r="AD863" i="2" s="1"/>
  <c r="L863" i="2"/>
  <c r="K863" i="2" s="1"/>
  <c r="AC839" i="2"/>
  <c r="AD839" i="2" s="1"/>
  <c r="L839" i="2"/>
  <c r="K839" i="2" s="1"/>
  <c r="AA839" i="2"/>
  <c r="AA786" i="2"/>
  <c r="L786" i="2"/>
  <c r="K786" i="2" s="1"/>
  <c r="AB725" i="2"/>
  <c r="AA725" i="2"/>
  <c r="AC725" i="2"/>
  <c r="AD725" i="2" s="1"/>
  <c r="AC692" i="2"/>
  <c r="AD692" i="2" s="1"/>
  <c r="AB692" i="2"/>
  <c r="AA692" i="2"/>
  <c r="L686" i="2"/>
  <c r="K686" i="2" s="1"/>
  <c r="AA686" i="2"/>
  <c r="AB686" i="2"/>
  <c r="AC686" i="2"/>
  <c r="AD686" i="2" s="1"/>
  <c r="L650" i="2"/>
  <c r="K650" i="2" s="1"/>
  <c r="AA650" i="2"/>
  <c r="AB650" i="2"/>
  <c r="AC650" i="2"/>
  <c r="AD650" i="2" s="1"/>
  <c r="L638" i="2"/>
  <c r="K638" i="2" s="1"/>
  <c r="AA638" i="2"/>
  <c r="AA634" i="2"/>
  <c r="AC634" i="2"/>
  <c r="AD634" i="2" s="1"/>
  <c r="AB634" i="2"/>
  <c r="L634" i="2"/>
  <c r="K634" i="2" s="1"/>
  <c r="L628" i="2"/>
  <c r="K628" i="2" s="1"/>
  <c r="AB628" i="2"/>
  <c r="AC628" i="2"/>
  <c r="AD628" i="2" s="1"/>
  <c r="AA608" i="2"/>
  <c r="L415" i="2"/>
  <c r="K415" i="2" s="1"/>
  <c r="AB415" i="2"/>
  <c r="AC415" i="2"/>
  <c r="AD415" i="2" s="1"/>
  <c r="AB244" i="2"/>
  <c r="AC244" i="2"/>
  <c r="AD244" i="2" s="1"/>
  <c r="AA865" i="2"/>
  <c r="L865" i="2"/>
  <c r="K865" i="2" s="1"/>
  <c r="L834" i="2"/>
  <c r="K834" i="2" s="1"/>
  <c r="L817" i="2"/>
  <c r="K817" i="2" s="1"/>
  <c r="L812" i="2"/>
  <c r="K812" i="2" s="1"/>
  <c r="AB812" i="2"/>
  <c r="L810" i="2"/>
  <c r="K810" i="2" s="1"/>
  <c r="L795" i="2"/>
  <c r="K795" i="2" s="1"/>
  <c r="L793" i="2"/>
  <c r="K793" i="2" s="1"/>
  <c r="AB760" i="2"/>
  <c r="L760" i="2"/>
  <c r="K760" i="2" s="1"/>
  <c r="AA760" i="2"/>
  <c r="AC745" i="2"/>
  <c r="AD745" i="2" s="1"/>
  <c r="L745" i="2"/>
  <c r="K745" i="2" s="1"/>
  <c r="AC742" i="2"/>
  <c r="AD742" i="2" s="1"/>
  <c r="L742" i="2"/>
  <c r="K742" i="2" s="1"/>
  <c r="AA742" i="2"/>
  <c r="AB742" i="2"/>
  <c r="L725" i="2"/>
  <c r="K725" i="2" s="1"/>
  <c r="L692" i="2"/>
  <c r="K692" i="2" s="1"/>
  <c r="L606" i="2"/>
  <c r="K606" i="2" s="1"/>
  <c r="AA534" i="2"/>
  <c r="AB534" i="2"/>
  <c r="L518" i="2"/>
  <c r="K518" i="2" s="1"/>
  <c r="AA518" i="2"/>
  <c r="AC518" i="2"/>
  <c r="AD518" i="2" s="1"/>
  <c r="L515" i="2"/>
  <c r="K515" i="2" s="1"/>
  <c r="L511" i="2"/>
  <c r="K511" i="2" s="1"/>
  <c r="AA511" i="2"/>
  <c r="AB511" i="2"/>
  <c r="AC506" i="2"/>
  <c r="AD506" i="2" s="1"/>
  <c r="L506" i="2"/>
  <c r="K506" i="2" s="1"/>
  <c r="AA506" i="2"/>
  <c r="AA485" i="2"/>
  <c r="AC485" i="2"/>
  <c r="AD485" i="2" s="1"/>
  <c r="L485" i="2"/>
  <c r="K485" i="2" s="1"/>
  <c r="AC442" i="2"/>
  <c r="AD442" i="2" s="1"/>
  <c r="L442" i="2"/>
  <c r="K442" i="2" s="1"/>
  <c r="AB442" i="2"/>
  <c r="AB381" i="2"/>
  <c r="AC381" i="2"/>
  <c r="AD381" i="2" s="1"/>
  <c r="L244" i="2"/>
  <c r="K244" i="2" s="1"/>
  <c r="L867" i="2"/>
  <c r="K867" i="2" s="1"/>
  <c r="AB867" i="2"/>
  <c r="AC828" i="2"/>
  <c r="AD828" i="2" s="1"/>
  <c r="AC809" i="2"/>
  <c r="AD809" i="2" s="1"/>
  <c r="L788" i="2"/>
  <c r="K788" i="2" s="1"/>
  <c r="AB788" i="2"/>
  <c r="AC779" i="2"/>
  <c r="AD779" i="2" s="1"/>
  <c r="AB773" i="2"/>
  <c r="AA773" i="2"/>
  <c r="AC762" i="2"/>
  <c r="AD762" i="2" s="1"/>
  <c r="L758" i="2"/>
  <c r="K758" i="2" s="1"/>
  <c r="AC758" i="2"/>
  <c r="AD758" i="2" s="1"/>
  <c r="AB747" i="2"/>
  <c r="AC747" i="2"/>
  <c r="AD747" i="2" s="1"/>
  <c r="AB724" i="2"/>
  <c r="AC719" i="2"/>
  <c r="AD719" i="2" s="1"/>
  <c r="L710" i="2"/>
  <c r="K710" i="2" s="1"/>
  <c r="AC710" i="2"/>
  <c r="AD710" i="2" s="1"/>
  <c r="AC700" i="2"/>
  <c r="AD700" i="2" s="1"/>
  <c r="AB647" i="2"/>
  <c r="AC647" i="2"/>
  <c r="AD647" i="2" s="1"/>
  <c r="AC642" i="2"/>
  <c r="AD642" i="2" s="1"/>
  <c r="AB640" i="2"/>
  <c r="L612" i="2"/>
  <c r="K612" i="2" s="1"/>
  <c r="AA612" i="2"/>
  <c r="AC612" i="2"/>
  <c r="AD612" i="2" s="1"/>
  <c r="L602" i="2"/>
  <c r="K602" i="2" s="1"/>
  <c r="AA602" i="2"/>
  <c r="AC602" i="2"/>
  <c r="AD602" i="2" s="1"/>
  <c r="AC599" i="2"/>
  <c r="AD599" i="2" s="1"/>
  <c r="AC591" i="2"/>
  <c r="AD591" i="2" s="1"/>
  <c r="AA567" i="2"/>
  <c r="AC556" i="2"/>
  <c r="AD556" i="2" s="1"/>
  <c r="AB556" i="2"/>
  <c r="AB455" i="2"/>
  <c r="L455" i="2"/>
  <c r="K455" i="2" s="1"/>
  <c r="AA310" i="2"/>
  <c r="AB286" i="2"/>
  <c r="AA286" i="2"/>
  <c r="AC286" i="2"/>
  <c r="AD286" i="2" s="1"/>
  <c r="L286" i="2"/>
  <c r="K286" i="2" s="1"/>
  <c r="AA221" i="2"/>
  <c r="AC136" i="2"/>
  <c r="AD136" i="2" s="1"/>
  <c r="L136" i="2"/>
  <c r="K136" i="2" s="1"/>
  <c r="AA136" i="2"/>
  <c r="AB136" i="2"/>
  <c r="AA85" i="2"/>
  <c r="AB85" i="2"/>
  <c r="AC85" i="2"/>
  <c r="AD85" i="2" s="1"/>
  <c r="L85" i="2"/>
  <c r="K85" i="2" s="1"/>
  <c r="AB575" i="2"/>
  <c r="L575" i="2"/>
  <c r="K575" i="2" s="1"/>
  <c r="AA575" i="2"/>
  <c r="L548" i="2"/>
  <c r="K548" i="2" s="1"/>
  <c r="AA548" i="2"/>
  <c r="AA510" i="2"/>
  <c r="AB510" i="2"/>
  <c r="AC510" i="2"/>
  <c r="AD510" i="2" s="1"/>
  <c r="AA499" i="2"/>
  <c r="AB499" i="2"/>
  <c r="AC499" i="2"/>
  <c r="AD499" i="2" s="1"/>
  <c r="L499" i="2"/>
  <c r="K499" i="2" s="1"/>
  <c r="AC446" i="2"/>
  <c r="AD446" i="2" s="1"/>
  <c r="AA446" i="2"/>
  <c r="L446" i="2"/>
  <c r="K446" i="2" s="1"/>
  <c r="L428" i="2"/>
  <c r="K428" i="2" s="1"/>
  <c r="AC428" i="2"/>
  <c r="AD428" i="2" s="1"/>
  <c r="AB428" i="2"/>
  <c r="AB319" i="2"/>
  <c r="AC319" i="2"/>
  <c r="AD319" i="2" s="1"/>
  <c r="AA319" i="2"/>
  <c r="L271" i="2"/>
  <c r="K271" i="2" s="1"/>
  <c r="AC271" i="2"/>
  <c r="AD271" i="2" s="1"/>
  <c r="AA210" i="2"/>
  <c r="AC210" i="2"/>
  <c r="AD210" i="2" s="1"/>
  <c r="L210" i="2"/>
  <c r="K210" i="2" s="1"/>
  <c r="L843" i="2"/>
  <c r="K843" i="2" s="1"/>
  <c r="AB843" i="2"/>
  <c r="AB783" i="2"/>
  <c r="AB749" i="2"/>
  <c r="AA749" i="2"/>
  <c r="AC749" i="2"/>
  <c r="AD749" i="2" s="1"/>
  <c r="AA730" i="2"/>
  <c r="AB721" i="2"/>
  <c r="AA719" i="2"/>
  <c r="AB712" i="2"/>
  <c r="AC712" i="2"/>
  <c r="AD712" i="2" s="1"/>
  <c r="AB702" i="2"/>
  <c r="AA700" i="2"/>
  <c r="AB690" i="2"/>
  <c r="L688" i="2"/>
  <c r="K688" i="2" s="1"/>
  <c r="AC688" i="2"/>
  <c r="AD688" i="2" s="1"/>
  <c r="AB649" i="2"/>
  <c r="AA644" i="2"/>
  <c r="AA642" i="2"/>
  <c r="L637" i="2"/>
  <c r="K637" i="2" s="1"/>
  <c r="AA637" i="2"/>
  <c r="AA599" i="2"/>
  <c r="L567" i="2"/>
  <c r="K567" i="2" s="1"/>
  <c r="L564" i="2"/>
  <c r="K564" i="2" s="1"/>
  <c r="AA564" i="2"/>
  <c r="AC564" i="2"/>
  <c r="AD564" i="2" s="1"/>
  <c r="AB564" i="2"/>
  <c r="AB561" i="2"/>
  <c r="AC561" i="2"/>
  <c r="AD561" i="2" s="1"/>
  <c r="AA558" i="2"/>
  <c r="AB558" i="2"/>
  <c r="AA547" i="2"/>
  <c r="AC547" i="2"/>
  <c r="AD547" i="2" s="1"/>
  <c r="AB547" i="2"/>
  <c r="AB530" i="2"/>
  <c r="L510" i="2"/>
  <c r="K510" i="2" s="1"/>
  <c r="AB495" i="2"/>
  <c r="AC495" i="2"/>
  <c r="AD495" i="2" s="1"/>
  <c r="L319" i="2"/>
  <c r="K319" i="2" s="1"/>
  <c r="AA226" i="2"/>
  <c r="AB226" i="2"/>
  <c r="AC226" i="2"/>
  <c r="AD226" i="2" s="1"/>
  <c r="L226" i="2"/>
  <c r="K226" i="2" s="1"/>
  <c r="L221" i="2"/>
  <c r="K221" i="2" s="1"/>
  <c r="AB186" i="2"/>
  <c r="AC186" i="2"/>
  <c r="AD186" i="2" s="1"/>
  <c r="L186" i="2"/>
  <c r="K186" i="2" s="1"/>
  <c r="AA186" i="2"/>
  <c r="AC143" i="2"/>
  <c r="AD143" i="2" s="1"/>
  <c r="AB143" i="2"/>
  <c r="L614" i="2"/>
  <c r="K614" i="2" s="1"/>
  <c r="AA614" i="2"/>
  <c r="AC596" i="2"/>
  <c r="AD596" i="2" s="1"/>
  <c r="L596" i="2"/>
  <c r="K596" i="2" s="1"/>
  <c r="AA596" i="2"/>
  <c r="AB569" i="2"/>
  <c r="L569" i="2"/>
  <c r="K569" i="2" s="1"/>
  <c r="AC519" i="2"/>
  <c r="AD519" i="2" s="1"/>
  <c r="L519" i="2"/>
  <c r="K519" i="2" s="1"/>
  <c r="AA519" i="2"/>
  <c r="AA424" i="2"/>
  <c r="AC424" i="2"/>
  <c r="AD424" i="2" s="1"/>
  <c r="AB424" i="2"/>
  <c r="AA275" i="2"/>
  <c r="AB275" i="2"/>
  <c r="AC275" i="2"/>
  <c r="AD275" i="2" s="1"/>
  <c r="AB157" i="2"/>
  <c r="AC157" i="2"/>
  <c r="AD157" i="2" s="1"/>
  <c r="AA157" i="2"/>
  <c r="L157" i="2"/>
  <c r="K157" i="2" s="1"/>
  <c r="AC766" i="2"/>
  <c r="AD766" i="2" s="1"/>
  <c r="AA766" i="2"/>
  <c r="L730" i="2"/>
  <c r="K730" i="2" s="1"/>
  <c r="AA714" i="2"/>
  <c r="AB714" i="2"/>
  <c r="L674" i="2"/>
  <c r="K674" i="2" s="1"/>
  <c r="AA674" i="2"/>
  <c r="L662" i="2"/>
  <c r="K662" i="2" s="1"/>
  <c r="AA662" i="2"/>
  <c r="AA646" i="2"/>
  <c r="AC646" i="2"/>
  <c r="AD646" i="2" s="1"/>
  <c r="L644" i="2"/>
  <c r="K644" i="2" s="1"/>
  <c r="L588" i="2"/>
  <c r="K588" i="2" s="1"/>
  <c r="AA588" i="2"/>
  <c r="AC588" i="2"/>
  <c r="AD588" i="2" s="1"/>
  <c r="L507" i="2"/>
  <c r="K507" i="2" s="1"/>
  <c r="AA507" i="2"/>
  <c r="L435" i="2"/>
  <c r="K435" i="2" s="1"/>
  <c r="AA435" i="2"/>
  <c r="AB435" i="2"/>
  <c r="AC435" i="2"/>
  <c r="AD435" i="2" s="1"/>
  <c r="L424" i="2"/>
  <c r="K424" i="2" s="1"/>
  <c r="AA400" i="2"/>
  <c r="AC400" i="2"/>
  <c r="AD400" i="2" s="1"/>
  <c r="AB400" i="2"/>
  <c r="AA353" i="2"/>
  <c r="AB353" i="2"/>
  <c r="L275" i="2"/>
  <c r="K275" i="2" s="1"/>
  <c r="AB225" i="2"/>
  <c r="L225" i="2"/>
  <c r="K225" i="2" s="1"/>
  <c r="AC225" i="2"/>
  <c r="AD225" i="2" s="1"/>
  <c r="AB177" i="2"/>
  <c r="AC177" i="2"/>
  <c r="AD177" i="2" s="1"/>
  <c r="AA177" i="2"/>
  <c r="AB163" i="2"/>
  <c r="AC163" i="2"/>
  <c r="AD163" i="2" s="1"/>
  <c r="L163" i="2"/>
  <c r="K163" i="2" s="1"/>
  <c r="L327" i="2"/>
  <c r="K327" i="2" s="1"/>
  <c r="AC327" i="2"/>
  <c r="AD327" i="2" s="1"/>
  <c r="AC312" i="2"/>
  <c r="AD312" i="2" s="1"/>
  <c r="L312" i="2"/>
  <c r="K312" i="2" s="1"/>
  <c r="AC302" i="2"/>
  <c r="AD302" i="2" s="1"/>
  <c r="AB302" i="2"/>
  <c r="L261" i="2"/>
  <c r="K261" i="2" s="1"/>
  <c r="AA261" i="2"/>
  <c r="AB261" i="2"/>
  <c r="AC261" i="2"/>
  <c r="AD261" i="2" s="1"/>
  <c r="L183" i="2"/>
  <c r="K183" i="2" s="1"/>
  <c r="AA183" i="2"/>
  <c r="AB183" i="2"/>
  <c r="AC183" i="2"/>
  <c r="AD183" i="2" s="1"/>
  <c r="AC38" i="2"/>
  <c r="AD38" i="2" s="1"/>
  <c r="L38" i="2"/>
  <c r="K38" i="2" s="1"/>
  <c r="AB38" i="2"/>
  <c r="AC9" i="2"/>
  <c r="AD9" i="2" s="1"/>
  <c r="L9" i="2"/>
  <c r="K9" i="2" s="1"/>
  <c r="AA9" i="2"/>
  <c r="AB753" i="2"/>
  <c r="AB740" i="2"/>
  <c r="AB729" i="2"/>
  <c r="AB716" i="2"/>
  <c r="AA682" i="2"/>
  <c r="AC682" i="2"/>
  <c r="AD682" i="2" s="1"/>
  <c r="AB656" i="2"/>
  <c r="AC652" i="2"/>
  <c r="AD652" i="2" s="1"/>
  <c r="AC639" i="2"/>
  <c r="AD639" i="2" s="1"/>
  <c r="AB611" i="2"/>
  <c r="AB594" i="2"/>
  <c r="AB592" i="2"/>
  <c r="L590" i="2"/>
  <c r="K590" i="2" s="1"/>
  <c r="AA590" i="2"/>
  <c r="AB585" i="2"/>
  <c r="AC559" i="2"/>
  <c r="AD559" i="2" s="1"/>
  <c r="AB550" i="2"/>
  <c r="AC545" i="2"/>
  <c r="AD545" i="2" s="1"/>
  <c r="L536" i="2"/>
  <c r="K536" i="2" s="1"/>
  <c r="AA536" i="2"/>
  <c r="AC536" i="2"/>
  <c r="AD536" i="2" s="1"/>
  <c r="AA522" i="2"/>
  <c r="L522" i="2"/>
  <c r="K522" i="2" s="1"/>
  <c r="AB504" i="2"/>
  <c r="AB494" i="2"/>
  <c r="L494" i="2"/>
  <c r="K494" i="2" s="1"/>
  <c r="AC479" i="2"/>
  <c r="AD479" i="2" s="1"/>
  <c r="AB465" i="2"/>
  <c r="AB447" i="2"/>
  <c r="AB429" i="2"/>
  <c r="L429" i="2"/>
  <c r="K429" i="2" s="1"/>
  <c r="AC429" i="2"/>
  <c r="AD429" i="2" s="1"/>
  <c r="L426" i="2"/>
  <c r="K426" i="2" s="1"/>
  <c r="AA426" i="2"/>
  <c r="AC426" i="2"/>
  <c r="AD426" i="2" s="1"/>
  <c r="L414" i="2"/>
  <c r="K414" i="2" s="1"/>
  <c r="AA414" i="2"/>
  <c r="AC414" i="2"/>
  <c r="AD414" i="2" s="1"/>
  <c r="AB408" i="2"/>
  <c r="AA408" i="2"/>
  <c r="AC408" i="2"/>
  <c r="AD408" i="2" s="1"/>
  <c r="AA396" i="2"/>
  <c r="AC391" i="2"/>
  <c r="AD391" i="2" s="1"/>
  <c r="AA388" i="2"/>
  <c r="AC388" i="2"/>
  <c r="AD388" i="2" s="1"/>
  <c r="L388" i="2"/>
  <c r="K388" i="2" s="1"/>
  <c r="L375" i="2"/>
  <c r="K375" i="2" s="1"/>
  <c r="AA375" i="2"/>
  <c r="AB375" i="2"/>
  <c r="AC326" i="2"/>
  <c r="AD326" i="2" s="1"/>
  <c r="L326" i="2"/>
  <c r="K326" i="2" s="1"/>
  <c r="AA326" i="2"/>
  <c r="AB326" i="2"/>
  <c r="AB321" i="2"/>
  <c r="AC321" i="2"/>
  <c r="AD321" i="2" s="1"/>
  <c r="AB305" i="2"/>
  <c r="L302" i="2"/>
  <c r="K302" i="2" s="1"/>
  <c r="AB287" i="2"/>
  <c r="AB179" i="2"/>
  <c r="L146" i="2"/>
  <c r="K146" i="2" s="1"/>
  <c r="AB146" i="2"/>
  <c r="AC146" i="2"/>
  <c r="AD146" i="2" s="1"/>
  <c r="L96" i="2"/>
  <c r="K96" i="2" s="1"/>
  <c r="AB96" i="2"/>
  <c r="AA96" i="2"/>
  <c r="AC96" i="2"/>
  <c r="AD96" i="2" s="1"/>
  <c r="L59" i="2"/>
  <c r="K59" i="2" s="1"/>
  <c r="AB59" i="2"/>
  <c r="AA59" i="2"/>
  <c r="AC59" i="2"/>
  <c r="AD59" i="2" s="1"/>
  <c r="AC379" i="2"/>
  <c r="AD379" i="2" s="1"/>
  <c r="AA379" i="2"/>
  <c r="AB379" i="2"/>
  <c r="AC289" i="2"/>
  <c r="AD289" i="2" s="1"/>
  <c r="AB289" i="2"/>
  <c r="AB260" i="2"/>
  <c r="AC260" i="2"/>
  <c r="AD260" i="2" s="1"/>
  <c r="AC95" i="2"/>
  <c r="AD95" i="2" s="1"/>
  <c r="L95" i="2"/>
  <c r="K95" i="2" s="1"/>
  <c r="AA95" i="2"/>
  <c r="AB95" i="2"/>
  <c r="AC91" i="2"/>
  <c r="AD91" i="2" s="1"/>
  <c r="AA91" i="2"/>
  <c r="AB91" i="2"/>
  <c r="L684" i="2"/>
  <c r="K684" i="2" s="1"/>
  <c r="AA684" i="2"/>
  <c r="AC684" i="2"/>
  <c r="AD684" i="2" s="1"/>
  <c r="AA658" i="2"/>
  <c r="AC658" i="2"/>
  <c r="AD658" i="2" s="1"/>
  <c r="AC580" i="2"/>
  <c r="AD580" i="2" s="1"/>
  <c r="AB580" i="2"/>
  <c r="L531" i="2"/>
  <c r="K531" i="2" s="1"/>
  <c r="AA531" i="2"/>
  <c r="AB491" i="2"/>
  <c r="AC491" i="2"/>
  <c r="AD491" i="2" s="1"/>
  <c r="AB444" i="2"/>
  <c r="L444" i="2"/>
  <c r="K444" i="2" s="1"/>
  <c r="L438" i="2"/>
  <c r="K438" i="2" s="1"/>
  <c r="AA438" i="2"/>
  <c r="AC438" i="2"/>
  <c r="AD438" i="2" s="1"/>
  <c r="AB417" i="2"/>
  <c r="L417" i="2"/>
  <c r="K417" i="2" s="1"/>
  <c r="AB405" i="2"/>
  <c r="L405" i="2"/>
  <c r="K405" i="2" s="1"/>
  <c r="AC398" i="2"/>
  <c r="AD398" i="2" s="1"/>
  <c r="AA398" i="2"/>
  <c r="L396" i="2"/>
  <c r="K396" i="2" s="1"/>
  <c r="L379" i="2"/>
  <c r="K379" i="2" s="1"/>
  <c r="L363" i="2"/>
  <c r="AA363" i="2"/>
  <c r="AB363" i="2"/>
  <c r="AC363" i="2"/>
  <c r="AD363" i="2" s="1"/>
  <c r="AC350" i="2"/>
  <c r="AD350" i="2" s="1"/>
  <c r="AB350" i="2"/>
  <c r="AB345" i="2"/>
  <c r="AC345" i="2"/>
  <c r="AD345" i="2" s="1"/>
  <c r="L345" i="2"/>
  <c r="K345" i="2" s="1"/>
  <c r="L289" i="2"/>
  <c r="K289" i="2" s="1"/>
  <c r="L260" i="2"/>
  <c r="K260" i="2" s="1"/>
  <c r="L231" i="2"/>
  <c r="K231" i="2" s="1"/>
  <c r="AA231" i="2"/>
  <c r="AC231" i="2"/>
  <c r="AD231" i="2" s="1"/>
  <c r="AB228" i="2"/>
  <c r="AC228" i="2"/>
  <c r="AD228" i="2" s="1"/>
  <c r="L91" i="2"/>
  <c r="K91" i="2" s="1"/>
  <c r="L658" i="2"/>
  <c r="K658" i="2" s="1"/>
  <c r="L656" i="2"/>
  <c r="K656" i="2" s="1"/>
  <c r="L639" i="2"/>
  <c r="K639" i="2" s="1"/>
  <c r="L626" i="2"/>
  <c r="K626" i="2" s="1"/>
  <c r="AA626" i="2"/>
  <c r="L600" i="2"/>
  <c r="K600" i="2" s="1"/>
  <c r="AA600" i="2"/>
  <c r="AC600" i="2"/>
  <c r="AD600" i="2" s="1"/>
  <c r="AA582" i="2"/>
  <c r="AB582" i="2"/>
  <c r="L580" i="2"/>
  <c r="K580" i="2" s="1"/>
  <c r="L566" i="2"/>
  <c r="K566" i="2" s="1"/>
  <c r="AA566" i="2"/>
  <c r="L545" i="2"/>
  <c r="K545" i="2" s="1"/>
  <c r="AB521" i="2"/>
  <c r="AC521" i="2"/>
  <c r="AD521" i="2" s="1"/>
  <c r="L491" i="2"/>
  <c r="K491" i="2" s="1"/>
  <c r="L479" i="2"/>
  <c r="K479" i="2" s="1"/>
  <c r="AC410" i="2"/>
  <c r="AD410" i="2" s="1"/>
  <c r="AA410" i="2"/>
  <c r="AB410" i="2"/>
  <c r="L401" i="2"/>
  <c r="K401" i="2" s="1"/>
  <c r="AB401" i="2"/>
  <c r="AC401" i="2"/>
  <c r="AD401" i="2" s="1"/>
  <c r="L398" i="2"/>
  <c r="K398" i="2" s="1"/>
  <c r="AC362" i="2"/>
  <c r="AD362" i="2" s="1"/>
  <c r="L362" i="2"/>
  <c r="K362" i="2" s="1"/>
  <c r="AA362" i="2"/>
  <c r="AB362" i="2"/>
  <c r="AB357" i="2"/>
  <c r="AC357" i="2"/>
  <c r="AD357" i="2" s="1"/>
  <c r="L350" i="2"/>
  <c r="K350" i="2" s="1"/>
  <c r="L305" i="2"/>
  <c r="K305" i="2" s="1"/>
  <c r="L257" i="2"/>
  <c r="K257" i="2" s="1"/>
  <c r="AA257" i="2"/>
  <c r="AC241" i="2"/>
  <c r="AD241" i="2" s="1"/>
  <c r="AA241" i="2"/>
  <c r="AB241" i="2"/>
  <c r="L228" i="2"/>
  <c r="K228" i="2" s="1"/>
  <c r="L179" i="2"/>
  <c r="K179" i="2" s="1"/>
  <c r="L173" i="2"/>
  <c r="K173" i="2" s="1"/>
  <c r="AA173" i="2"/>
  <c r="AB173" i="2"/>
  <c r="AC173" i="2"/>
  <c r="AD173" i="2" s="1"/>
  <c r="AB99" i="2"/>
  <c r="AA99" i="2"/>
  <c r="AC99" i="2"/>
  <c r="AD99" i="2" s="1"/>
  <c r="AA90" i="2"/>
  <c r="L90" i="2"/>
  <c r="K90" i="2" s="1"/>
  <c r="AB90" i="2"/>
  <c r="AC90" i="2"/>
  <c r="AD90" i="2" s="1"/>
  <c r="AC516" i="2"/>
  <c r="AD516" i="2" s="1"/>
  <c r="AB478" i="2"/>
  <c r="AC470" i="2"/>
  <c r="AD470" i="2" s="1"/>
  <c r="AC468" i="2"/>
  <c r="AD468" i="2" s="1"/>
  <c r="AC466" i="2"/>
  <c r="AD466" i="2" s="1"/>
  <c r="AC464" i="2"/>
  <c r="AD464" i="2" s="1"/>
  <c r="AC458" i="2"/>
  <c r="AD458" i="2" s="1"/>
  <c r="AA432" i="2"/>
  <c r="AA430" i="2"/>
  <c r="L402" i="2"/>
  <c r="K402" i="2" s="1"/>
  <c r="AA402" i="2"/>
  <c r="AC402" i="2"/>
  <c r="AD402" i="2" s="1"/>
  <c r="AB393" i="2"/>
  <c r="L393" i="2"/>
  <c r="K393" i="2" s="1"/>
  <c r="L367" i="2"/>
  <c r="K367" i="2" s="1"/>
  <c r="AA367" i="2"/>
  <c r="AB367" i="2"/>
  <c r="AC336" i="2"/>
  <c r="AD336" i="2" s="1"/>
  <c r="AA317" i="2"/>
  <c r="AB317" i="2"/>
  <c r="AC314" i="2"/>
  <c r="AD314" i="2" s="1"/>
  <c r="AB314" i="2"/>
  <c r="AA296" i="2"/>
  <c r="AC282" i="2"/>
  <c r="AD282" i="2" s="1"/>
  <c r="AB282" i="2"/>
  <c r="AB265" i="2"/>
  <c r="AC265" i="2"/>
  <c r="AD265" i="2" s="1"/>
  <c r="L194" i="2"/>
  <c r="K194" i="2" s="1"/>
  <c r="AB194" i="2"/>
  <c r="AA194" i="2"/>
  <c r="AC194" i="2"/>
  <c r="AD194" i="2" s="1"/>
  <c r="AA130" i="2"/>
  <c r="L130" i="2"/>
  <c r="K130" i="2" s="1"/>
  <c r="AB130" i="2"/>
  <c r="AC130" i="2"/>
  <c r="AD130" i="2" s="1"/>
  <c r="AC448" i="2"/>
  <c r="AD448" i="2" s="1"/>
  <c r="AA448" i="2"/>
  <c r="AC434" i="2"/>
  <c r="AD434" i="2" s="1"/>
  <c r="AA434" i="2"/>
  <c r="L416" i="2"/>
  <c r="K416" i="2" s="1"/>
  <c r="AC416" i="2"/>
  <c r="AD416" i="2" s="1"/>
  <c r="AB377" i="2"/>
  <c r="AC377" i="2"/>
  <c r="AD377" i="2" s="1"/>
  <c r="AA352" i="2"/>
  <c r="AB352" i="2"/>
  <c r="AC352" i="2"/>
  <c r="AD352" i="2" s="1"/>
  <c r="L339" i="2"/>
  <c r="K339" i="2" s="1"/>
  <c r="AC339" i="2"/>
  <c r="AD339" i="2" s="1"/>
  <c r="AB309" i="2"/>
  <c r="AC309" i="2"/>
  <c r="AD309" i="2" s="1"/>
  <c r="L309" i="2"/>
  <c r="K309" i="2" s="1"/>
  <c r="L285" i="2"/>
  <c r="K285" i="2" s="1"/>
  <c r="AB285" i="2"/>
  <c r="AC285" i="2"/>
  <c r="AD285" i="2" s="1"/>
  <c r="AB274" i="2"/>
  <c r="L274" i="2"/>
  <c r="K274" i="2" s="1"/>
  <c r="AA243" i="2"/>
  <c r="AC243" i="2"/>
  <c r="AD243" i="2" s="1"/>
  <c r="L243" i="2"/>
  <c r="K243" i="2" s="1"/>
  <c r="AB236" i="2"/>
  <c r="AC236" i="2"/>
  <c r="AD236" i="2" s="1"/>
  <c r="AC223" i="2"/>
  <c r="AD223" i="2" s="1"/>
  <c r="L223" i="2"/>
  <c r="K223" i="2" s="1"/>
  <c r="AA223" i="2"/>
  <c r="AB223" i="2"/>
  <c r="AA47" i="2"/>
  <c r="AB47" i="2"/>
  <c r="AC47" i="2"/>
  <c r="AD47" i="2" s="1"/>
  <c r="L47" i="2"/>
  <c r="K47" i="2" s="1"/>
  <c r="AA527" i="2"/>
  <c r="AA516" i="2"/>
  <c r="AA503" i="2"/>
  <c r="AC472" i="2"/>
  <c r="AD472" i="2" s="1"/>
  <c r="AA472" i="2"/>
  <c r="AA468" i="2"/>
  <c r="AA466" i="2"/>
  <c r="AA464" i="2"/>
  <c r="AB462" i="2"/>
  <c r="AA460" i="2"/>
  <c r="AA458" i="2"/>
  <c r="AC456" i="2"/>
  <c r="AD456" i="2" s="1"/>
  <c r="L448" i="2"/>
  <c r="K448" i="2" s="1"/>
  <c r="L434" i="2"/>
  <c r="K434" i="2" s="1"/>
  <c r="L432" i="2"/>
  <c r="K432" i="2" s="1"/>
  <c r="L430" i="2"/>
  <c r="K430" i="2" s="1"/>
  <c r="AB427" i="2"/>
  <c r="AA420" i="2"/>
  <c r="AA418" i="2"/>
  <c r="AB413" i="2"/>
  <c r="AB399" i="2"/>
  <c r="AB387" i="2"/>
  <c r="L377" i="2"/>
  <c r="K377" i="2" s="1"/>
  <c r="L352" i="2"/>
  <c r="K352" i="2" s="1"/>
  <c r="AB338" i="2"/>
  <c r="AA336" i="2"/>
  <c r="L331" i="2"/>
  <c r="K331" i="2" s="1"/>
  <c r="AA331" i="2"/>
  <c r="AB331" i="2"/>
  <c r="AB273" i="2"/>
  <c r="AC273" i="2"/>
  <c r="AD273" i="2" s="1"/>
  <c r="L273" i="2"/>
  <c r="K273" i="2" s="1"/>
  <c r="AA273" i="2"/>
  <c r="AC269" i="2"/>
  <c r="AD269" i="2" s="1"/>
  <c r="AB267" i="2"/>
  <c r="AB262" i="2"/>
  <c r="AA262" i="2"/>
  <c r="AC262" i="2"/>
  <c r="AD262" i="2" s="1"/>
  <c r="AA255" i="2"/>
  <c r="AC255" i="2"/>
  <c r="AD255" i="2" s="1"/>
  <c r="AB255" i="2"/>
  <c r="AB242" i="2"/>
  <c r="AC242" i="2"/>
  <c r="AD242" i="2" s="1"/>
  <c r="L242" i="2"/>
  <c r="K242" i="2" s="1"/>
  <c r="AA242" i="2"/>
  <c r="L239" i="2"/>
  <c r="K239" i="2" s="1"/>
  <c r="AB239" i="2"/>
  <c r="AC239" i="2"/>
  <c r="AD239" i="2" s="1"/>
  <c r="L236" i="2"/>
  <c r="K236" i="2" s="1"/>
  <c r="AB219" i="2"/>
  <c r="AC145" i="2"/>
  <c r="AD145" i="2" s="1"/>
  <c r="L145" i="2"/>
  <c r="K145" i="2" s="1"/>
  <c r="AA138" i="2"/>
  <c r="L138" i="2"/>
  <c r="K138" i="2" s="1"/>
  <c r="AB138" i="2"/>
  <c r="AC138" i="2"/>
  <c r="AD138" i="2" s="1"/>
  <c r="AA133" i="2"/>
  <c r="AB133" i="2"/>
  <c r="AC133" i="2"/>
  <c r="AD133" i="2" s="1"/>
  <c r="L121" i="2"/>
  <c r="K121" i="2" s="1"/>
  <c r="AB121" i="2"/>
  <c r="AC121" i="2"/>
  <c r="AD121" i="2" s="1"/>
  <c r="L454" i="2"/>
  <c r="K454" i="2" s="1"/>
  <c r="AB454" i="2"/>
  <c r="AA436" i="2"/>
  <c r="AC436" i="2"/>
  <c r="AD436" i="2" s="1"/>
  <c r="AB436" i="2"/>
  <c r="AC422" i="2"/>
  <c r="AD422" i="2" s="1"/>
  <c r="AA422" i="2"/>
  <c r="L404" i="2"/>
  <c r="K404" i="2" s="1"/>
  <c r="AC404" i="2"/>
  <c r="AD404" i="2" s="1"/>
  <c r="AB355" i="2"/>
  <c r="AC355" i="2"/>
  <c r="AD355" i="2" s="1"/>
  <c r="AA316" i="2"/>
  <c r="AB316" i="2"/>
  <c r="AC316" i="2"/>
  <c r="AD316" i="2" s="1"/>
  <c r="L303" i="2"/>
  <c r="K303" i="2" s="1"/>
  <c r="AC303" i="2"/>
  <c r="AD303" i="2" s="1"/>
  <c r="AB284" i="2"/>
  <c r="AC284" i="2"/>
  <c r="AD284" i="2" s="1"/>
  <c r="AB246" i="2"/>
  <c r="AC246" i="2"/>
  <c r="AD246" i="2" s="1"/>
  <c r="AB206" i="2"/>
  <c r="AC206" i="2"/>
  <c r="AD206" i="2" s="1"/>
  <c r="L206" i="2"/>
  <c r="K206" i="2" s="1"/>
  <c r="L200" i="2"/>
  <c r="K200" i="2" s="1"/>
  <c r="AB200" i="2"/>
  <c r="AC200" i="2"/>
  <c r="AD200" i="2" s="1"/>
  <c r="AA200" i="2"/>
  <c r="AA197" i="2"/>
  <c r="AC197" i="2"/>
  <c r="AD197" i="2" s="1"/>
  <c r="L197" i="2"/>
  <c r="K197" i="2" s="1"/>
  <c r="AB197" i="2"/>
  <c r="AA151" i="2"/>
  <c r="AC151" i="2"/>
  <c r="AD151" i="2" s="1"/>
  <c r="L151" i="2"/>
  <c r="K151" i="2" s="1"/>
  <c r="L86" i="2"/>
  <c r="K86" i="2" s="1"/>
  <c r="AA86" i="2"/>
  <c r="AC86" i="2"/>
  <c r="AD86" i="2" s="1"/>
  <c r="L527" i="2"/>
  <c r="K527" i="2" s="1"/>
  <c r="L503" i="2"/>
  <c r="K503" i="2" s="1"/>
  <c r="L462" i="2"/>
  <c r="K462" i="2" s="1"/>
  <c r="L460" i="2"/>
  <c r="K460" i="2" s="1"/>
  <c r="AB441" i="2"/>
  <c r="L441" i="2"/>
  <c r="K441" i="2" s="1"/>
  <c r="L436" i="2"/>
  <c r="K436" i="2" s="1"/>
  <c r="L422" i="2"/>
  <c r="K422" i="2" s="1"/>
  <c r="L420" i="2"/>
  <c r="K420" i="2" s="1"/>
  <c r="L418" i="2"/>
  <c r="K418" i="2" s="1"/>
  <c r="L384" i="2"/>
  <c r="K384" i="2" s="1"/>
  <c r="AA384" i="2"/>
  <c r="AB384" i="2"/>
  <c r="L355" i="2"/>
  <c r="K355" i="2" s="1"/>
  <c r="L316" i="2"/>
  <c r="K316" i="2" s="1"/>
  <c r="L284" i="2"/>
  <c r="K284" i="2" s="1"/>
  <c r="L246" i="2"/>
  <c r="K246" i="2" s="1"/>
  <c r="AA216" i="2"/>
  <c r="AC216" i="2"/>
  <c r="AD216" i="2" s="1"/>
  <c r="AB216" i="2"/>
  <c r="L107" i="2"/>
  <c r="K107" i="2" s="1"/>
  <c r="AA107" i="2"/>
  <c r="AB107" i="2"/>
  <c r="AB62" i="2"/>
  <c r="AC62" i="2"/>
  <c r="AD62" i="2" s="1"/>
  <c r="AA62" i="2"/>
  <c r="AC80" i="2"/>
  <c r="AD80" i="2" s="1"/>
  <c r="AA80" i="2"/>
  <c r="AA386" i="2"/>
  <c r="L378" i="2"/>
  <c r="K378" i="2" s="1"/>
  <c r="AA378" i="2"/>
  <c r="AB378" i="2"/>
  <c r="AA340" i="2"/>
  <c r="AB340" i="2"/>
  <c r="AC340" i="2"/>
  <c r="AD340" i="2" s="1"/>
  <c r="AA304" i="2"/>
  <c r="AB304" i="2"/>
  <c r="AC304" i="2"/>
  <c r="AD304" i="2" s="1"/>
  <c r="L295" i="2"/>
  <c r="K295" i="2" s="1"/>
  <c r="AC295" i="2"/>
  <c r="AD295" i="2" s="1"/>
  <c r="AB256" i="2"/>
  <c r="AC256" i="2"/>
  <c r="AD256" i="2" s="1"/>
  <c r="AA253" i="2"/>
  <c r="AC232" i="2"/>
  <c r="AD232" i="2" s="1"/>
  <c r="AA232" i="2"/>
  <c r="AB232" i="2"/>
  <c r="L218" i="2"/>
  <c r="K218" i="2" s="1"/>
  <c r="AA218" i="2"/>
  <c r="AC218" i="2"/>
  <c r="AD218" i="2" s="1"/>
  <c r="L212" i="2"/>
  <c r="K212" i="2" s="1"/>
  <c r="AC212" i="2"/>
  <c r="AD212" i="2" s="1"/>
  <c r="AC128" i="2"/>
  <c r="AD128" i="2" s="1"/>
  <c r="L128" i="2"/>
  <c r="K128" i="2" s="1"/>
  <c r="AB128" i="2"/>
  <c r="AA66" i="2"/>
  <c r="AB66" i="2"/>
  <c r="AC66" i="2"/>
  <c r="AD66" i="2" s="1"/>
  <c r="L66" i="2"/>
  <c r="K66" i="2" s="1"/>
  <c r="L36" i="2"/>
  <c r="K36" i="2" s="1"/>
  <c r="AA36" i="2"/>
  <c r="AB36" i="2"/>
  <c r="L26" i="2"/>
  <c r="K26" i="2" s="1"/>
  <c r="AA26" i="2"/>
  <c r="AB26" i="2"/>
  <c r="AC7" i="2"/>
  <c r="AD7" i="2" s="1"/>
  <c r="L7" i="2"/>
  <c r="K7" i="2" s="1"/>
  <c r="AA7" i="2"/>
  <c r="AB7" i="2"/>
  <c r="AC3" i="2"/>
  <c r="AD3" i="2" s="1"/>
  <c r="AA3" i="2"/>
  <c r="AC358" i="2"/>
  <c r="AD358" i="2" s="1"/>
  <c r="AC322" i="2"/>
  <c r="AD322" i="2" s="1"/>
  <c r="AC280" i="2"/>
  <c r="AD280" i="2" s="1"/>
  <c r="AB248" i="2"/>
  <c r="AC248" i="2"/>
  <c r="AD248" i="2" s="1"/>
  <c r="AA195" i="2"/>
  <c r="AC195" i="2"/>
  <c r="AD195" i="2" s="1"/>
  <c r="AB184" i="2"/>
  <c r="AC184" i="2"/>
  <c r="AD184" i="2" s="1"/>
  <c r="AC172" i="2"/>
  <c r="AD172" i="2" s="1"/>
  <c r="AA172" i="2"/>
  <c r="L156" i="2"/>
  <c r="K156" i="2" s="1"/>
  <c r="AB156" i="2"/>
  <c r="AC156" i="2"/>
  <c r="AD156" i="2" s="1"/>
  <c r="AB135" i="2"/>
  <c r="L135" i="2"/>
  <c r="K135" i="2" s="1"/>
  <c r="AB93" i="2"/>
  <c r="AC93" i="2"/>
  <c r="AD93" i="2" s="1"/>
  <c r="L69" i="2"/>
  <c r="K69" i="2" s="1"/>
  <c r="L60" i="2"/>
  <c r="K60" i="2" s="1"/>
  <c r="AA60" i="2"/>
  <c r="AB60" i="2"/>
  <c r="AC60" i="2"/>
  <c r="AD60" i="2" s="1"/>
  <c r="AA31" i="2"/>
  <c r="AB31" i="2"/>
  <c r="L3" i="2"/>
  <c r="AB333" i="2"/>
  <c r="AC333" i="2"/>
  <c r="AD333" i="2" s="1"/>
  <c r="AB297" i="2"/>
  <c r="AC297" i="2"/>
  <c r="AD297" i="2" s="1"/>
  <c r="AA234" i="2"/>
  <c r="AB234" i="2"/>
  <c r="AC234" i="2"/>
  <c r="AD234" i="2" s="1"/>
  <c r="AA208" i="2"/>
  <c r="L50" i="2"/>
  <c r="K50" i="2" s="1"/>
  <c r="AA50" i="2"/>
  <c r="L390" i="2"/>
  <c r="K390" i="2" s="1"/>
  <c r="AA390" i="2"/>
  <c r="AB390" i="2"/>
  <c r="AA364" i="2"/>
  <c r="AB364" i="2"/>
  <c r="AC364" i="2"/>
  <c r="AD364" i="2" s="1"/>
  <c r="AA328" i="2"/>
  <c r="AB328" i="2"/>
  <c r="AC328" i="2"/>
  <c r="AD328" i="2" s="1"/>
  <c r="AB258" i="2"/>
  <c r="AC258" i="2"/>
  <c r="AD258" i="2" s="1"/>
  <c r="L245" i="2"/>
  <c r="K245" i="2" s="1"/>
  <c r="AA245" i="2"/>
  <c r="AA169" i="2"/>
  <c r="L169" i="2"/>
  <c r="K169" i="2" s="1"/>
  <c r="AC169" i="2"/>
  <c r="AD169" i="2" s="1"/>
  <c r="L155" i="2"/>
  <c r="K155" i="2" s="1"/>
  <c r="AB155" i="2"/>
  <c r="AC155" i="2"/>
  <c r="AD155" i="2" s="1"/>
  <c r="AA155" i="2"/>
  <c r="AB49" i="2"/>
  <c r="AC49" i="2"/>
  <c r="AD49" i="2" s="1"/>
  <c r="L49" i="2"/>
  <c r="K49" i="2" s="1"/>
  <c r="AA49" i="2"/>
  <c r="AB14" i="2"/>
  <c r="AC14" i="2"/>
  <c r="AD14" i="2" s="1"/>
  <c r="L10" i="2"/>
  <c r="K10" i="2" s="1"/>
  <c r="AC10" i="2"/>
  <c r="AD10" i="2" s="1"/>
  <c r="AB227" i="2"/>
  <c r="AA227" i="2"/>
  <c r="AB174" i="2"/>
  <c r="AC174" i="2"/>
  <c r="AD174" i="2" s="1"/>
  <c r="AA61" i="2"/>
  <c r="L61" i="2"/>
  <c r="K61" i="2" s="1"/>
  <c r="AC6" i="2"/>
  <c r="AD6" i="2" s="1"/>
  <c r="L6" i="2"/>
  <c r="K6" i="2" s="1"/>
  <c r="AA6" i="2"/>
  <c r="AB6" i="2"/>
  <c r="AB366" i="2"/>
  <c r="AB354" i="2"/>
  <c r="AB342" i="2"/>
  <c r="AB330" i="2"/>
  <c r="AB318" i="2"/>
  <c r="AB306" i="2"/>
  <c r="AB290" i="2"/>
  <c r="AB277" i="2"/>
  <c r="AB266" i="2"/>
  <c r="AC230" i="2"/>
  <c r="AD230" i="2" s="1"/>
  <c r="AC224" i="2"/>
  <c r="AD224" i="2" s="1"/>
  <c r="AC213" i="2"/>
  <c r="AD213" i="2" s="1"/>
  <c r="AB211" i="2"/>
  <c r="L207" i="2"/>
  <c r="K207" i="2" s="1"/>
  <c r="AA207" i="2"/>
  <c r="AB182" i="2"/>
  <c r="AC160" i="2"/>
  <c r="AD160" i="2" s="1"/>
  <c r="L160" i="2"/>
  <c r="K160" i="2" s="1"/>
  <c r="AA160" i="2"/>
  <c r="AA142" i="2"/>
  <c r="L142" i="2"/>
  <c r="K142" i="2" s="1"/>
  <c r="L134" i="2"/>
  <c r="K134" i="2" s="1"/>
  <c r="AB134" i="2"/>
  <c r="AB131" i="2"/>
  <c r="AC126" i="2"/>
  <c r="AD126" i="2" s="1"/>
  <c r="AB119" i="2"/>
  <c r="AC97" i="2"/>
  <c r="AD97" i="2" s="1"/>
  <c r="AC55" i="2"/>
  <c r="AD55" i="2" s="1"/>
  <c r="AA43" i="2"/>
  <c r="AB43" i="2"/>
  <c r="AB40" i="2"/>
  <c r="AA366" i="2"/>
  <c r="AA354" i="2"/>
  <c r="AA342" i="2"/>
  <c r="AA330" i="2"/>
  <c r="AA318" i="2"/>
  <c r="AA306" i="2"/>
  <c r="AA290" i="2"/>
  <c r="L281" i="2"/>
  <c r="K281" i="2" s="1"/>
  <c r="AA277" i="2"/>
  <c r="AA266" i="2"/>
  <c r="AB224" i="2"/>
  <c r="AA222" i="2"/>
  <c r="L222" i="2"/>
  <c r="K222" i="2" s="1"/>
  <c r="AA211" i="2"/>
  <c r="AB196" i="2"/>
  <c r="AC196" i="2"/>
  <c r="AD196" i="2" s="1"/>
  <c r="L154" i="2"/>
  <c r="K154" i="2" s="1"/>
  <c r="L147" i="2"/>
  <c r="K147" i="2" s="1"/>
  <c r="AA131" i="2"/>
  <c r="AB126" i="2"/>
  <c r="AA119" i="2"/>
  <c r="AA97" i="2"/>
  <c r="AB55" i="2"/>
  <c r="L43" i="2"/>
  <c r="K43" i="2" s="1"/>
  <c r="AA40" i="2"/>
  <c r="AB187" i="2"/>
  <c r="AC187" i="2"/>
  <c r="AD187" i="2" s="1"/>
  <c r="L187" i="2"/>
  <c r="K187" i="2" s="1"/>
  <c r="AA187" i="2"/>
  <c r="L182" i="2"/>
  <c r="K182" i="2" s="1"/>
  <c r="AC182" i="2"/>
  <c r="AD182" i="2" s="1"/>
  <c r="AC141" i="2"/>
  <c r="AD141" i="2" s="1"/>
  <c r="AA141" i="2"/>
  <c r="AA94" i="2"/>
  <c r="L94" i="2"/>
  <c r="K94" i="2" s="1"/>
  <c r="AC94" i="2"/>
  <c r="AD94" i="2" s="1"/>
  <c r="AC5" i="2"/>
  <c r="AD5" i="2" s="1"/>
  <c r="L5" i="2"/>
  <c r="K5" i="2" s="1"/>
  <c r="AB5" i="2"/>
  <c r="L168" i="2"/>
  <c r="K168" i="2" s="1"/>
  <c r="AA168" i="2"/>
  <c r="AB159" i="2"/>
  <c r="AC159" i="2"/>
  <c r="AD159" i="2" s="1"/>
  <c r="L141" i="2"/>
  <c r="K141" i="2" s="1"/>
  <c r="L97" i="2"/>
  <c r="K97" i="2" s="1"/>
  <c r="AA42" i="2"/>
  <c r="AB42" i="2"/>
  <c r="L37" i="2"/>
  <c r="K37" i="2" s="1"/>
  <c r="AA37" i="2"/>
  <c r="AB37" i="2"/>
  <c r="AB201" i="2"/>
  <c r="AA70" i="2"/>
  <c r="L70" i="2"/>
  <c r="K70" i="2" s="1"/>
  <c r="AC70" i="2"/>
  <c r="AD70" i="2" s="1"/>
  <c r="AA25" i="2"/>
  <c r="AB25" i="2"/>
  <c r="AA18" i="2"/>
  <c r="AB18" i="2"/>
  <c r="AA203" i="2"/>
  <c r="AB203" i="2"/>
  <c r="AA193" i="2"/>
  <c r="L193" i="2"/>
  <c r="K193" i="2" s="1"/>
  <c r="L13" i="2"/>
  <c r="K13" i="2" s="1"/>
  <c r="AA13" i="2"/>
  <c r="AA120" i="2"/>
  <c r="AA118" i="2"/>
  <c r="L118" i="2"/>
  <c r="K118" i="2" s="1"/>
  <c r="AA112" i="2"/>
  <c r="AA108" i="2"/>
  <c r="AA104" i="2"/>
  <c r="AA56" i="2"/>
  <c r="AA32" i="2"/>
  <c r="L83" i="2"/>
  <c r="K83" i="2" s="1"/>
  <c r="AB83" i="2"/>
  <c r="U11" i="2"/>
  <c r="Q12" i="2"/>
  <c r="AC8" i="2"/>
  <c r="AD8" i="2" s="1"/>
  <c r="L8" i="2"/>
  <c r="K8" i="2" s="1"/>
  <c r="AB8" i="2"/>
  <c r="AB48" i="2"/>
  <c r="AC46" i="2"/>
  <c r="AD46" i="2" s="1"/>
  <c r="AB35" i="2"/>
  <c r="AB24" i="2"/>
  <c r="AC22" i="2"/>
  <c r="AD22" i="2" s="1"/>
  <c r="L46" i="2"/>
  <c r="K46" i="2" s="1"/>
  <c r="L22" i="2"/>
  <c r="AA2" i="2"/>
  <c r="K1144" i="2" l="1"/>
  <c r="K1058" i="2"/>
  <c r="K1137" i="2"/>
  <c r="K1139" i="2"/>
  <c r="K1053" i="2"/>
  <c r="S4" i="2"/>
  <c r="R5" i="2"/>
  <c r="K3" i="2"/>
  <c r="R6" i="2"/>
  <c r="R7" i="2"/>
  <c r="R4" i="2"/>
  <c r="Q6" i="2"/>
  <c r="Q5" i="2"/>
  <c r="K22" i="2"/>
  <c r="Q4" i="2"/>
  <c r="Q7" i="2"/>
  <c r="K1042" i="2"/>
  <c r="K1128" i="2"/>
  <c r="S5" i="2"/>
  <c r="K1146" i="2"/>
  <c r="K1060" i="2"/>
  <c r="S7" i="2"/>
  <c r="T4" i="2"/>
  <c r="T7" i="2"/>
  <c r="T5" i="2"/>
  <c r="K363" i="2"/>
  <c r="T6" i="2"/>
  <c r="S6" i="2"/>
  <c r="K1059" i="2"/>
  <c r="K1145" i="2"/>
  <c r="K1057" i="2"/>
  <c r="K1143" i="2"/>
  <c r="K1056" i="2"/>
  <c r="K1142" i="2"/>
  <c r="K1061" i="2"/>
  <c r="K1147" i="2"/>
  <c r="R8" i="2" l="1"/>
  <c r="R12" i="2" s="1"/>
  <c r="U7" i="2"/>
  <c r="U4" i="2"/>
  <c r="Q9" i="2"/>
  <c r="U5" i="2"/>
  <c r="U6" i="2"/>
  <c r="S8" i="2"/>
  <c r="S12" i="2" s="1"/>
  <c r="T8" i="2"/>
  <c r="T12" i="2" s="1"/>
  <c r="T9" i="2" l="1"/>
  <c r="R9" i="2"/>
  <c r="S9" i="2"/>
  <c r="U8" i="2"/>
  <c r="U12" i="2" s="1"/>
  <c r="U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L1" authorId="0" shapeId="0" xr:uid="{00000000-0006-0000-0400-000001000000}">
      <text>
        <r>
          <rPr>
            <sz val="11"/>
            <color theme="1"/>
            <rFont val="Aptos Narrow"/>
            <family val="2"/>
            <scheme val="minor"/>
          </rPr>
          <t>Esta columna ahora se actualiza por fórmula usando la clave NUMERO TARJETA + FECHA contra HIST_EYR. Si no hay coincidencia, conserva el estatus original guardado en la columna Y.</t>
        </r>
      </text>
    </comment>
    <comment ref="Y1" authorId="0" shapeId="0" xr:uid="{00000000-0006-0000-0400-000002000000}">
      <text>
        <r>
          <rPr>
            <sz val="11"/>
            <color theme="1"/>
            <rFont val="Aptos Narrow"/>
            <family val="2"/>
            <scheme val="minor"/>
          </rPr>
          <t>Copia de seguridad del valor que tenía ESTATUS MBE antes de implementar el sistema. No borrar.</t>
        </r>
      </text>
    </comment>
    <comment ref="Z1" authorId="0" shapeId="0" xr:uid="{00000000-0006-0000-0400-000003000000}">
      <text>
        <r>
          <rPr>
            <sz val="11"/>
            <color theme="1"/>
            <rFont val="Aptos Narrow"/>
            <family val="2"/>
            <scheme val="minor"/>
          </rPr>
          <t>Clave técnica: Numero Tarjeta + Fecha despacho. Evita errores cuando una tarjeta aparece varias veces en el mes.</t>
        </r>
      </text>
    </comment>
  </commentList>
</comments>
</file>

<file path=xl/sharedStrings.xml><?xml version="1.0" encoding="utf-8"?>
<sst xmlns="http://schemas.openxmlformats.org/spreadsheetml/2006/main" count="11214" uniqueCount="5760">
  <si>
    <t xml:space="preserve">NA                                                                                                  </t>
  </si>
  <si>
    <t>PUNTA CANA</t>
  </si>
  <si>
    <t>40218079339</t>
  </si>
  <si>
    <t xml:space="preserve">JOSE ESPINAL                                                                                                                                                                                                                                                   </t>
  </si>
  <si>
    <t>5415017787122799</t>
  </si>
  <si>
    <t xml:space="preserve">CASA NO 45 PUERTA AZUL                                                                              </t>
  </si>
  <si>
    <t>00113900815</t>
  </si>
  <si>
    <t xml:space="preserve">CESAR GUZMAN                                                                                                                                                                                                                                                   </t>
  </si>
  <si>
    <t>4741017889147867</t>
  </si>
  <si>
    <t xml:space="preserve">BAVARO                                                                                              </t>
  </si>
  <si>
    <t>40212606459</t>
  </si>
  <si>
    <t xml:space="preserve">LILIBETH SANTILLAN                                                                                                                                                                                                                                             </t>
  </si>
  <si>
    <t>4921017891142060</t>
  </si>
  <si>
    <t xml:space="preserve">                                                                                                    </t>
  </si>
  <si>
    <t>40237573312</t>
  </si>
  <si>
    <t xml:space="preserve">ANA CABRERA                                                                                                                                                                                                                                                    </t>
  </si>
  <si>
    <t>4921017796491529</t>
  </si>
  <si>
    <t xml:space="preserve">MICHES                                                                                              </t>
  </si>
  <si>
    <t>02900153210</t>
  </si>
  <si>
    <t xml:space="preserve">ZENON TEJEDA                                                                                                                                                                                                                                                   </t>
  </si>
  <si>
    <t>4025017892990193</t>
  </si>
  <si>
    <t>SAN PEDRO DE MACORIS</t>
  </si>
  <si>
    <t>02301528648</t>
  </si>
  <si>
    <t xml:space="preserve">ERCILIA CABRERA                                                                                                                                                                                                                                                </t>
  </si>
  <si>
    <t>4741017889235409</t>
  </si>
  <si>
    <t xml:space="preserve">NO 46                                                                                               </t>
  </si>
  <si>
    <t>40211170283</t>
  </si>
  <si>
    <t xml:space="preserve">JOSE SORIANO                                                                                                                                                                                                                                                   </t>
  </si>
  <si>
    <t>4741017889229897</t>
  </si>
  <si>
    <t>02301479289</t>
  </si>
  <si>
    <t xml:space="preserve">CESAR POLANCO POLANCO                                                                                                                                                                                                                                          </t>
  </si>
  <si>
    <t>4741017889154760</t>
  </si>
  <si>
    <t>40209610332</t>
  </si>
  <si>
    <t xml:space="preserve">YAYCO SILVESTRE                                                                                                                                                                                                                                                </t>
  </si>
  <si>
    <t>4741017889169176</t>
  </si>
  <si>
    <t xml:space="preserve">SAN MARTIN                                                                                          </t>
  </si>
  <si>
    <t>40244255515</t>
  </si>
  <si>
    <t xml:space="preserve">CRISMEIRY GARCIA                                                                                                                                                                                                                                               </t>
  </si>
  <si>
    <t>4921017891097028</t>
  </si>
  <si>
    <t xml:space="preserve">CONSUELO BATEY CACHENA                                                                              </t>
  </si>
  <si>
    <t>40200498232</t>
  </si>
  <si>
    <t xml:space="preserve">ENMANUEL TEJEDA                                                                                                                                                                                                                                                </t>
  </si>
  <si>
    <t>4921017891161068</t>
  </si>
  <si>
    <t>40211652082</t>
  </si>
  <si>
    <t xml:space="preserve">YOKAIRA NOLASCO                                                                                                                                                                                                                                                </t>
  </si>
  <si>
    <t>4921017887642391</t>
  </si>
  <si>
    <t>40210460420</t>
  </si>
  <si>
    <t xml:space="preserve">JELENNY RINCON                                                                                                                                                                                                                                                 </t>
  </si>
  <si>
    <t>4921017782317036</t>
  </si>
  <si>
    <t>13800071576</t>
  </si>
  <si>
    <t xml:space="preserve">AMABLE SANTANA                                                                                                                                                                                                                                                 </t>
  </si>
  <si>
    <t>4921017785999186</t>
  </si>
  <si>
    <t>40241992128</t>
  </si>
  <si>
    <t xml:space="preserve">JOEL RAMIREZ                                                                                                                                                                                                                                                   </t>
  </si>
  <si>
    <t>4921017891109890</t>
  </si>
  <si>
    <t>01100029709</t>
  </si>
  <si>
    <t xml:space="preserve">JOSE SALVADOR                                                                                                                                                                                                                                                  </t>
  </si>
  <si>
    <t>4921017891113332</t>
  </si>
  <si>
    <t xml:space="preserve">LOS LLANOS                                                                                          </t>
  </si>
  <si>
    <t>02301702748</t>
  </si>
  <si>
    <t xml:space="preserve">JUAN PEREZ                                                                                                                                                                                                                                                     </t>
  </si>
  <si>
    <t>5415017890134883</t>
  </si>
  <si>
    <t xml:space="preserve">SAN PEDRO DE MACORIS                                                                                </t>
  </si>
  <si>
    <t>40251231110</t>
  </si>
  <si>
    <t xml:space="preserve">LISMERY PICHARDO                                                                                                                                                                                                                                               </t>
  </si>
  <si>
    <t>4921017891480655</t>
  </si>
  <si>
    <t>40218969257</t>
  </si>
  <si>
    <t xml:space="preserve">YENIFER GUEVARA                                                                                                                                                                                                                                                </t>
  </si>
  <si>
    <t>4025017892867110</t>
  </si>
  <si>
    <t>40244821852</t>
  </si>
  <si>
    <t xml:space="preserve">MARIANNY RUIZ                                                                                                                                                                                                                                                  </t>
  </si>
  <si>
    <t>5188017890699887</t>
  </si>
  <si>
    <t xml:space="preserve">SECTOR SANTA ANA                                                                                    </t>
  </si>
  <si>
    <t>40219010028</t>
  </si>
  <si>
    <t xml:space="preserve">MICHELLE BAEZ                                                                                                                                                                                                                                                  </t>
  </si>
  <si>
    <t>4921017892594862</t>
  </si>
  <si>
    <t xml:space="preserve">DISP DE 8 AM A 5 PM                                                                                 </t>
  </si>
  <si>
    <t>HIGUEY</t>
  </si>
  <si>
    <t>02800751881</t>
  </si>
  <si>
    <t xml:space="preserve">ISRAEL MARTINEZ                                                                                                                                                                                                                                                </t>
  </si>
  <si>
    <t>5523017889959661</t>
  </si>
  <si>
    <t xml:space="preserve">LA IMAGEN                                                                                           </t>
  </si>
  <si>
    <t>00118060714</t>
  </si>
  <si>
    <t xml:space="preserve">ANA PENA HERNANDEZ                                                                                                                                                                                                                                             </t>
  </si>
  <si>
    <t>4921017891870526</t>
  </si>
  <si>
    <t>40210894925</t>
  </si>
  <si>
    <t xml:space="preserve">CORAL ALVAREZ                                                                                                                                                                                                                                                  </t>
  </si>
  <si>
    <t>4921017892113195</t>
  </si>
  <si>
    <t>40212416461</t>
  </si>
  <si>
    <t xml:space="preserve">BRAULIO MERCEDES                                                                                                                                                                                                                                               </t>
  </si>
  <si>
    <t>4921017891059913</t>
  </si>
  <si>
    <t>02801139219</t>
  </si>
  <si>
    <t xml:space="preserve">HAMELYN HERRERA                                                                                                                                                                                                                                                </t>
  </si>
  <si>
    <t>4966017866871104</t>
  </si>
  <si>
    <t xml:space="preserve">NEGOCIO DE PUBLICIDAD CAROMIN                                                                       </t>
  </si>
  <si>
    <t>40225677372</t>
  </si>
  <si>
    <t xml:space="preserve">BERMIN CARPIO                                                                                                                                                                                                                                                  </t>
  </si>
  <si>
    <t>5188017883692177</t>
  </si>
  <si>
    <t xml:space="preserve">LOCAL NO 1                                                                                          </t>
  </si>
  <si>
    <t>40213234855</t>
  </si>
  <si>
    <t xml:space="preserve">ASHLIEY AGUERO                                                                                                                                                                                                                                                 </t>
  </si>
  <si>
    <t>4921017885627169</t>
  </si>
  <si>
    <t>02801121449</t>
  </si>
  <si>
    <t xml:space="preserve">MIGUELINA ALFONSECA                                                                                                                                                                                                                                            </t>
  </si>
  <si>
    <t>4921017755326650</t>
  </si>
  <si>
    <t xml:space="preserve">CASA NO 4                                                                                           </t>
  </si>
  <si>
    <t>40219295835</t>
  </si>
  <si>
    <t xml:space="preserve">MARIANNY RONDON                                                                                                                                                                                                                                                </t>
  </si>
  <si>
    <t>4921017807457420</t>
  </si>
  <si>
    <t>02500396540</t>
  </si>
  <si>
    <t xml:space="preserve">MARISOL JOSE                                                                                                                                                                                                                                                   </t>
  </si>
  <si>
    <t>4921017798558831</t>
  </si>
  <si>
    <t>40210156747</t>
  </si>
  <si>
    <t xml:space="preserve">GIRANDY MERCEDES PENA                                                                                                                                                                                                                                          </t>
  </si>
  <si>
    <t>4921017885943007</t>
  </si>
  <si>
    <t xml:space="preserve">CASA NO 07                                                                                          </t>
  </si>
  <si>
    <t>02800863983</t>
  </si>
  <si>
    <t xml:space="preserve">JOSE GARCIA                                                                                                                                                                                                                                                    </t>
  </si>
  <si>
    <t>4921017736748758</t>
  </si>
  <si>
    <t>40211636606</t>
  </si>
  <si>
    <t xml:space="preserve">SAMANTHA MARTINEZ                                                                                                                                                                                                                                              </t>
  </si>
  <si>
    <t>5415017890204923</t>
  </si>
  <si>
    <t xml:space="preserve">JUAN PABLO DUARTE                                                                                   </t>
  </si>
  <si>
    <t>40210886913</t>
  </si>
  <si>
    <t xml:space="preserve">JOENMY ZAPATA                                                                                                                                                                                                                                                  </t>
  </si>
  <si>
    <t>4921017891528831</t>
  </si>
  <si>
    <t>40238913459</t>
  </si>
  <si>
    <t xml:space="preserve">JOELY MOTA                                                                                                                                                                                                                                                     </t>
  </si>
  <si>
    <t>4921017892670649</t>
  </si>
  <si>
    <t>40213938992</t>
  </si>
  <si>
    <t xml:space="preserve">VIOLETA LOPEZ                                                                                                                                                                                                                                                  </t>
  </si>
  <si>
    <t>4921017892134198</t>
  </si>
  <si>
    <t>40244276412</t>
  </si>
  <si>
    <t xml:space="preserve">NATANDERLYN FELIX                                                                                                                                                                                                                                              </t>
  </si>
  <si>
    <t>5415017889900692</t>
  </si>
  <si>
    <t xml:space="preserve">LA OTRA BANDA                                                                                       </t>
  </si>
  <si>
    <t>40209773460</t>
  </si>
  <si>
    <t xml:space="preserve">KATTY MARTINEZ                                                                                                                                                                                                                                                 </t>
  </si>
  <si>
    <t>4966017891317618</t>
  </si>
  <si>
    <t>02800577740</t>
  </si>
  <si>
    <t xml:space="preserve">AMARALAISY MARTINEZ                                                                                                                                                                                                                                            </t>
  </si>
  <si>
    <t>4921017891465588</t>
  </si>
  <si>
    <t>02200176408</t>
  </si>
  <si>
    <t xml:space="preserve">RUBEN MORILLO                                                                                                                                                                                                                                                  </t>
  </si>
  <si>
    <t>4921017891591340</t>
  </si>
  <si>
    <t xml:space="preserve">8095541985     </t>
  </si>
  <si>
    <t xml:space="preserve">LLAMAR ANTES DE ENTREGAR                                                                            </t>
  </si>
  <si>
    <t>02800565679</t>
  </si>
  <si>
    <t xml:space="preserve">MARTIN CASTRO                                                                                                                                                                                                                                                  </t>
  </si>
  <si>
    <t>5188017811315176</t>
  </si>
  <si>
    <t xml:space="preserve">SAN RAFAEL DEL YUMA                                                                                 </t>
  </si>
  <si>
    <t>08500066587</t>
  </si>
  <si>
    <t xml:space="preserve">WALKIRIA RODRIGUEZ                                                                                                                                                                                                                                             </t>
  </si>
  <si>
    <t>4921017885434643</t>
  </si>
  <si>
    <t>40228533655</t>
  </si>
  <si>
    <t xml:space="preserve">EMELIN ORTIZ                                                                                                                                                                                                                                                   </t>
  </si>
  <si>
    <t>4921017950311412</t>
  </si>
  <si>
    <t xml:space="preserve">PEDRO JUSTO CARRION                                                                                 </t>
  </si>
  <si>
    <t>40251623894</t>
  </si>
  <si>
    <t xml:space="preserve">FABIOLA CONCEPCION                                                                                                                                                                                                                                             </t>
  </si>
  <si>
    <t>4921017950548429</t>
  </si>
  <si>
    <t>40223116514</t>
  </si>
  <si>
    <t xml:space="preserve">REYMIN CASTRO                                                                                                                                                                                                                                                  </t>
  </si>
  <si>
    <t>5188017950179312</t>
  </si>
  <si>
    <t>02301547432</t>
  </si>
  <si>
    <t xml:space="preserve">LISANDRO ROSA                                                                                                                                                                                                                                                  </t>
  </si>
  <si>
    <t>4025017953504696</t>
  </si>
  <si>
    <t xml:space="preserve">PLAZA LAS BODEGAS                                                                                   </t>
  </si>
  <si>
    <t>40219917024</t>
  </si>
  <si>
    <t xml:space="preserve">JOSE VASQUEZ                                                                                                                                                                                                                                                   </t>
  </si>
  <si>
    <t>5427017949629397</t>
  </si>
  <si>
    <t>02301684672</t>
  </si>
  <si>
    <t xml:space="preserve">LUIS MADE                                                                                                                                                                                                                                                      </t>
  </si>
  <si>
    <t>5188017949711389</t>
  </si>
  <si>
    <t>02301673147</t>
  </si>
  <si>
    <t xml:space="preserve">JOSE VIALI                                                                                                                                                                                                                                                     </t>
  </si>
  <si>
    <t>5188017949682250</t>
  </si>
  <si>
    <t xml:space="preserve">LOMA DE COCHERO                                                                                     </t>
  </si>
  <si>
    <t>40219858756</t>
  </si>
  <si>
    <t xml:space="preserve">STARLING LERBURS                                                                                                                                                                                                                                               </t>
  </si>
  <si>
    <t>4921017950449853</t>
  </si>
  <si>
    <t>40242328264</t>
  </si>
  <si>
    <t xml:space="preserve">JORDAN PIERRE                                                                                                                                                                                                                                                  </t>
  </si>
  <si>
    <t>4921017952035922</t>
  </si>
  <si>
    <t>02601029248</t>
  </si>
  <si>
    <t xml:space="preserve">ARELIS ZORRILLA                                                                                                                                                                                                                                                </t>
  </si>
  <si>
    <t>4921017952591887</t>
  </si>
  <si>
    <t>40211254517</t>
  </si>
  <si>
    <t xml:space="preserve">ULDINA MATIE                                                                                                                                                                                                                                                   </t>
  </si>
  <si>
    <t>4921017951593784</t>
  </si>
  <si>
    <t>40240733242</t>
  </si>
  <si>
    <t xml:space="preserve">YOANDER DE MORLA                                                                                                                                                                                                                                               </t>
  </si>
  <si>
    <t>5427017949645156</t>
  </si>
  <si>
    <t>02800975167</t>
  </si>
  <si>
    <t xml:space="preserve">ELSY SANTANA                                                                                                                                                                                                                                                   </t>
  </si>
  <si>
    <t>5415017947861296</t>
  </si>
  <si>
    <t>02801173218</t>
  </si>
  <si>
    <t xml:space="preserve">GILARIS DE LA CRUZ                                                                                                                                                                                                                                             </t>
  </si>
  <si>
    <t>5400017949322107</t>
  </si>
  <si>
    <t>02801076304</t>
  </si>
  <si>
    <t xml:space="preserve">MAYELIN MEJIA                                                                                                                                                                                                                                                  </t>
  </si>
  <si>
    <t>5227017949552638</t>
  </si>
  <si>
    <t>02300397698</t>
  </si>
  <si>
    <t xml:space="preserve">NURYS RAMOS R                                                                                                                                                                                                                                                  </t>
  </si>
  <si>
    <t>4921017950329477</t>
  </si>
  <si>
    <t xml:space="preserve">CASA NO 2                                                                                           </t>
  </si>
  <si>
    <t>01000939585</t>
  </si>
  <si>
    <t xml:space="preserve">GENOVEVA BELTRE                                                                                                                                                                                                                                                </t>
  </si>
  <si>
    <t>4921017866859632</t>
  </si>
  <si>
    <t xml:space="preserve">RESIDENCIAL DON JOSE EDF 1                                                                          </t>
  </si>
  <si>
    <t>40226872097</t>
  </si>
  <si>
    <t xml:space="preserve">ESMERALDA PADUA                                                                                                                                                                                                                                                </t>
  </si>
  <si>
    <t>4025017888994306</t>
  </si>
  <si>
    <t xml:space="preserve">OFICINA TEXACI BAVARO PUNTA CANA                                                                    </t>
  </si>
  <si>
    <t>LA ALTAGRACIA</t>
  </si>
  <si>
    <t>40214278711</t>
  </si>
  <si>
    <t xml:space="preserve">ERICK PEGUERO                                                                                                                                                                                                                                                  </t>
  </si>
  <si>
    <t>4966017950964863</t>
  </si>
  <si>
    <t>40248157642</t>
  </si>
  <si>
    <t xml:space="preserve">MANUEL E CUEVAS                                                                                                                                                                                                                                                </t>
  </si>
  <si>
    <t>5188017950099412</t>
  </si>
  <si>
    <t>40218246557</t>
  </si>
  <si>
    <t xml:space="preserve">KARLENY MORLA                                                                                                                                                                                                                                                  </t>
  </si>
  <si>
    <t>4966017951025024</t>
  </si>
  <si>
    <t>40233806666</t>
  </si>
  <si>
    <t xml:space="preserve">LUIS DIAZ                                                                                                                                                                                                                                                      </t>
  </si>
  <si>
    <t>4921017890901629</t>
  </si>
  <si>
    <t>00116877903</t>
  </si>
  <si>
    <t xml:space="preserve">LIL IVETT ROSARIO                                                                                                                                                                                                                                              </t>
  </si>
  <si>
    <t>4173017943306433</t>
  </si>
  <si>
    <t>40221797711</t>
  </si>
  <si>
    <t xml:space="preserve">SONI VALERA                                                                                                                                                                                                                                                    </t>
  </si>
  <si>
    <t>5401002408632073</t>
  </si>
  <si>
    <t xml:space="preserve">RES CORALINO 4TO A                                                                                  </t>
  </si>
  <si>
    <t>22301184846</t>
  </si>
  <si>
    <t xml:space="preserve">ERINSON ESPINAL                                                                                                                                                                                                                                                </t>
  </si>
  <si>
    <t>4025017942576075</t>
  </si>
  <si>
    <t>40249492014</t>
  </si>
  <si>
    <t xml:space="preserve">ANGEL TELEMACO                                                                                                                                                                                                                                                 </t>
  </si>
  <si>
    <t>4921017941560978</t>
  </si>
  <si>
    <t>40219991300</t>
  </si>
  <si>
    <t xml:space="preserve">ISAMAR ALCALA                                                                                                                                                                                                                                                  </t>
  </si>
  <si>
    <t>4921017942240171</t>
  </si>
  <si>
    <t xml:space="preserve">VILLA PROGRESO 2                                                                                    </t>
  </si>
  <si>
    <t>40241275938</t>
  </si>
  <si>
    <t xml:space="preserve">INGRID RIJO                                                                                                                                                                                                                                                    </t>
  </si>
  <si>
    <t>4921017945045705</t>
  </si>
  <si>
    <t>02301620627</t>
  </si>
  <si>
    <t xml:space="preserve">LUZ QUEZADA                                                                                                                                                                                                                                                    </t>
  </si>
  <si>
    <t>5400017944055591</t>
  </si>
  <si>
    <t>02301298143</t>
  </si>
  <si>
    <t xml:space="preserve">CARMEN LORA                                                                                                                                                                                                                                                    </t>
  </si>
  <si>
    <t>4364017945493994</t>
  </si>
  <si>
    <t>40235975626</t>
  </si>
  <si>
    <t xml:space="preserve">JUAN VARGAS VALLEJO                                                                                                                                                                                                                                            </t>
  </si>
  <si>
    <t>4921017947017618</t>
  </si>
  <si>
    <t>02301610941</t>
  </si>
  <si>
    <t xml:space="preserve">FRANCIS SANTOS                                                                                                                                                                                                                                                 </t>
  </si>
  <si>
    <t>5415017943536709</t>
  </si>
  <si>
    <t>02301652083</t>
  </si>
  <si>
    <t xml:space="preserve">ELIO SOBET SOSA                                                                                                                                                                                                                                                </t>
  </si>
  <si>
    <t>4966017945426154</t>
  </si>
  <si>
    <t>40244208209</t>
  </si>
  <si>
    <t xml:space="preserve">MATEO SANTANA                                                                                                                                                                                                                                                  </t>
  </si>
  <si>
    <t>4921017945084270</t>
  </si>
  <si>
    <t xml:space="preserve">QUISQUEYA                                                                                           </t>
  </si>
  <si>
    <t>14600020714</t>
  </si>
  <si>
    <t xml:space="preserve">OMAYRA PEREZ                                                                                                                                                                                                                                                   </t>
  </si>
  <si>
    <t>5227017944212513</t>
  </si>
  <si>
    <t xml:space="preserve">CONSUELO                                                                                            </t>
  </si>
  <si>
    <t>40226910038</t>
  </si>
  <si>
    <t xml:space="preserve">JOHAN ZAMORA SOSA                                                                                                                                                                                                                                              </t>
  </si>
  <si>
    <t>4921017945050899</t>
  </si>
  <si>
    <t xml:space="preserve">CEMENTO PROGRESO                                                                                    </t>
  </si>
  <si>
    <t>40239676972</t>
  </si>
  <si>
    <t xml:space="preserve">KATERIN CORNELIO                                                                                                                                                                                                                                               </t>
  </si>
  <si>
    <t>5188017944818442</t>
  </si>
  <si>
    <t>40235395890</t>
  </si>
  <si>
    <t xml:space="preserve">LUZ ANTUNA                                                                                                                                                                                                                                                     </t>
  </si>
  <si>
    <t>4921017946989093</t>
  </si>
  <si>
    <t xml:space="preserve">CASA NO 7                                                                                           </t>
  </si>
  <si>
    <t>40240096772</t>
  </si>
  <si>
    <t xml:space="preserve">LUIS DE LA CRUZ                                                                                                                                                                                                                                                </t>
  </si>
  <si>
    <t>5415017937370283</t>
  </si>
  <si>
    <t>02301377657</t>
  </si>
  <si>
    <t xml:space="preserve">RUBEN CONTRERAS                                                                                                                                                                                                                                                </t>
  </si>
  <si>
    <t>4921017941001871</t>
  </si>
  <si>
    <t xml:space="preserve">EDIFICIO 3 APART 201                                                                                </t>
  </si>
  <si>
    <t>02301337362</t>
  </si>
  <si>
    <t xml:space="preserve">JEAN DEL CARMEN                                                                                                                                                                                                                                                </t>
  </si>
  <si>
    <t>5227017938628194</t>
  </si>
  <si>
    <t>40223776481</t>
  </si>
  <si>
    <t xml:space="preserve">ALFREDO SILVESTRE                                                                                                                                                                                                                                              </t>
  </si>
  <si>
    <t>4921017940490630</t>
  </si>
  <si>
    <t xml:space="preserve">EDIFICIO KRN III PRIMER NIVEL                                                                       </t>
  </si>
  <si>
    <t>4025017942435938</t>
  </si>
  <si>
    <t>40215577392</t>
  </si>
  <si>
    <t xml:space="preserve">SANTIAGO PEGUERO                                                                                                                                                                                                                                               </t>
  </si>
  <si>
    <t>4921017939719131</t>
  </si>
  <si>
    <t>40213868769</t>
  </si>
  <si>
    <t xml:space="preserve">ANGEL REYES                                                                                                                                                                                                                                                    </t>
  </si>
  <si>
    <t>4921017946664427</t>
  </si>
  <si>
    <t>40213043355</t>
  </si>
  <si>
    <t xml:space="preserve">MIKAYRA MOTA                                                                                                                                                                                                                                                   </t>
  </si>
  <si>
    <t>4921017946350706</t>
  </si>
  <si>
    <t xml:space="preserve">EMMA BALAGUER CASA 21                                                                               </t>
  </si>
  <si>
    <t>40231870995</t>
  </si>
  <si>
    <t xml:space="preserve">JANSEL GUERRERO                                                                                                                                                                                                                                                </t>
  </si>
  <si>
    <t>4921017946535671</t>
  </si>
  <si>
    <t>40231803715</t>
  </si>
  <si>
    <t xml:space="preserve">YAREINY PAREDES                                                                                                                                                                                                                                                </t>
  </si>
  <si>
    <t>5400017944025063</t>
  </si>
  <si>
    <t>40232591541</t>
  </si>
  <si>
    <t xml:space="preserve">YINEIRY ALCANTARA                                                                                                                                                                                                                                              </t>
  </si>
  <si>
    <t>4966017945258880</t>
  </si>
  <si>
    <t>40219720592</t>
  </si>
  <si>
    <t xml:space="preserve">SANDY FRIAS                                                                                                                                                                                                                                                    </t>
  </si>
  <si>
    <t>4921017946050178</t>
  </si>
  <si>
    <t>40214229979</t>
  </si>
  <si>
    <t xml:space="preserve">ROSALY ORTIZ                                                                                                                                                                                                                                                   </t>
  </si>
  <si>
    <t>5400017944004991</t>
  </si>
  <si>
    <t>40201324536</t>
  </si>
  <si>
    <t xml:space="preserve">NAHOMY CORONADO                                                                                                                                                                                                                                                </t>
  </si>
  <si>
    <t>4921017946751699</t>
  </si>
  <si>
    <t>02801012267</t>
  </si>
  <si>
    <t xml:space="preserve">CELIA SOLIVER                                                                                                                                                                                                                                                  </t>
  </si>
  <si>
    <t>4921017946395098</t>
  </si>
  <si>
    <t>40223578390</t>
  </si>
  <si>
    <t xml:space="preserve">CRISTINA ADAMES                                                                                                                                                                                                                                                </t>
  </si>
  <si>
    <t>4921017946387814</t>
  </si>
  <si>
    <t xml:space="preserve">SECTOR SAVICA                                                                                       </t>
  </si>
  <si>
    <t>02800998466</t>
  </si>
  <si>
    <t xml:space="preserve">LUIS RIJO                                                                                                                                                                                                                                                      </t>
  </si>
  <si>
    <t>4921017946850652</t>
  </si>
  <si>
    <t>40234605844</t>
  </si>
  <si>
    <t xml:space="preserve">ALBERT MARTINEZ                                                                                                                                                                                                                                                </t>
  </si>
  <si>
    <t>4025017947156206</t>
  </si>
  <si>
    <t>40202967531</t>
  </si>
  <si>
    <t xml:space="preserve">FRANK DE LEON                                                                                                                                                                                                                                                  </t>
  </si>
  <si>
    <t>5188017939264807</t>
  </si>
  <si>
    <t>40208923660</t>
  </si>
  <si>
    <t xml:space="preserve">EDWARD MOTA                                                                                                                                                                                                                                                    </t>
  </si>
  <si>
    <t>4921017940635691</t>
  </si>
  <si>
    <t>40213245711</t>
  </si>
  <si>
    <t xml:space="preserve">JORGE GUERRERO                                                                                                                                                                                                                                                 </t>
  </si>
  <si>
    <t>4921017940577240</t>
  </si>
  <si>
    <t xml:space="preserve">NIVEL 2                                                                                             </t>
  </si>
  <si>
    <t>40214746105</t>
  </si>
  <si>
    <t xml:space="preserve">ROSA GUERRERO ABREU                                                                                                                                                                                                                                            </t>
  </si>
  <si>
    <t>4921017941446369</t>
  </si>
  <si>
    <t>02800360394</t>
  </si>
  <si>
    <t xml:space="preserve">SCARLETT AVILA                                                                                                                                                                                                                                                 </t>
  </si>
  <si>
    <t>5188017848847486</t>
  </si>
  <si>
    <t>40212068775</t>
  </si>
  <si>
    <t xml:space="preserve">DANNA SANTANA                                                                                                                                                                                                                                                  </t>
  </si>
  <si>
    <t>4921017946888912</t>
  </si>
  <si>
    <t>40238368431</t>
  </si>
  <si>
    <t xml:space="preserve">JUNIOR SANCHEZ                                                                                                                                                                                                                                                 </t>
  </si>
  <si>
    <t>4921017946458776</t>
  </si>
  <si>
    <t>40232820825</t>
  </si>
  <si>
    <t xml:space="preserve">LUIS RODRIGUEZ                                                                                                                                                                                                                                                 </t>
  </si>
  <si>
    <t>4921017946544989</t>
  </si>
  <si>
    <t xml:space="preserve">HIGUEY LA RD                                                                                        </t>
  </si>
  <si>
    <t>22500357862</t>
  </si>
  <si>
    <t xml:space="preserve">ANGEL GRULLON                                                                                                                                                                                                                                                  </t>
  </si>
  <si>
    <t>4025017947182218</t>
  </si>
  <si>
    <t xml:space="preserve">HOTEL VISTA PUNTA CANA                                                                              </t>
  </si>
  <si>
    <t>02300918477</t>
  </si>
  <si>
    <t xml:space="preserve">FREDY JAIME                                                                                                                                                                                                                                                    </t>
  </si>
  <si>
    <t>4921017947048231</t>
  </si>
  <si>
    <t xml:space="preserve">CAP CANA                                                                                            </t>
  </si>
  <si>
    <t>40211355975</t>
  </si>
  <si>
    <t xml:space="preserve">ANGEL CABRAL                                                                                                                                                                                                                                                   </t>
  </si>
  <si>
    <t>4921017941098824</t>
  </si>
  <si>
    <t>40225344072</t>
  </si>
  <si>
    <t xml:space="preserve">JORGE MELLA MERCEDES                                                                                                                                                                                                                                           </t>
  </si>
  <si>
    <t>5188017937734127</t>
  </si>
  <si>
    <t xml:space="preserve">BAHIA PRINCIPE HOTESL Y RESORTS                                                                     </t>
  </si>
  <si>
    <t>40209228945</t>
  </si>
  <si>
    <t xml:space="preserve">JANNY GONZALEZ                                                                                                                                                                                                                                                 </t>
  </si>
  <si>
    <t>5415017937340219</t>
  </si>
  <si>
    <t>02301429961</t>
  </si>
  <si>
    <t xml:space="preserve">DOMINGO JAMES                                                                                                                                                                                                                                                  </t>
  </si>
  <si>
    <t>5415017937266709</t>
  </si>
  <si>
    <t>40230007268</t>
  </si>
  <si>
    <t xml:space="preserve">ROSA POLL FELIZ                                                                                                                                                                                                                                                </t>
  </si>
  <si>
    <t>4921017942251638</t>
  </si>
  <si>
    <t xml:space="preserve">SAN FRANCISCO  LA FLORIDA  8                                                                        </t>
  </si>
  <si>
    <t>40236343667</t>
  </si>
  <si>
    <t xml:space="preserve">HILARY SANTANA                                                                                                                                                                                                                                                 </t>
  </si>
  <si>
    <t>4921017941305735</t>
  </si>
  <si>
    <t xml:space="preserve">HIGUEY                                                                                              </t>
  </si>
  <si>
    <t>40226674998</t>
  </si>
  <si>
    <t xml:space="preserve">ANEURIS DE LA CRUZ                                                                                                                                                                                                                                             </t>
  </si>
  <si>
    <t>5188017938744922</t>
  </si>
  <si>
    <t>04800893358</t>
  </si>
  <si>
    <t xml:space="preserve">BRINY CORAONADO                                                                                                                                                                                                                                                </t>
  </si>
  <si>
    <t>4921017941764512</t>
  </si>
  <si>
    <t xml:space="preserve">SAN MARTIN NO 15                                                                                    </t>
  </si>
  <si>
    <t>40251380107</t>
  </si>
  <si>
    <t xml:space="preserve">MILAGRO RODRIGUEZ                                                                                                                                                                                                                                              </t>
  </si>
  <si>
    <t>5415017937444374</t>
  </si>
  <si>
    <t xml:space="preserve">RES MANZANILLO                                                                                      </t>
  </si>
  <si>
    <t>00118208891</t>
  </si>
  <si>
    <t xml:space="preserve">EDILIA CONTRERAS                                                                                                                                                                                                                                               </t>
  </si>
  <si>
    <t>5415017937313066</t>
  </si>
  <si>
    <t>40200320147</t>
  </si>
  <si>
    <t xml:space="preserve">BRYAN ROSARIO                                                                                                                                                                                                                                                  </t>
  </si>
  <si>
    <t>4025017858191985</t>
  </si>
  <si>
    <t xml:space="preserve">CIUDAD DEL SOL                                                                                      </t>
  </si>
  <si>
    <t>02601222074</t>
  </si>
  <si>
    <t xml:space="preserve">RAINIERI DEL ROSARIO                                                                                                                                                                                                                                           </t>
  </si>
  <si>
    <t>4921017940557213</t>
  </si>
  <si>
    <t xml:space="preserve">VERON HIGUEY LA ALTAGRACIA                                                                          </t>
  </si>
  <si>
    <t>10300084752</t>
  </si>
  <si>
    <t xml:space="preserve">MIRIAM PEREZ                                                                                                                                                                                                                                                   </t>
  </si>
  <si>
    <t>4025017942565861</t>
  </si>
  <si>
    <t>40225238563</t>
  </si>
  <si>
    <t xml:space="preserve">HALAYLA PEREZ                                                                                                                                                                                                                                                  </t>
  </si>
  <si>
    <t>4921017940606850</t>
  </si>
  <si>
    <t>40221985571</t>
  </si>
  <si>
    <t xml:space="preserve">ANA CEBALLOS                                                                                                                                                                                                                                                   </t>
  </si>
  <si>
    <t>4921017940884046</t>
  </si>
  <si>
    <t xml:space="preserve">VERON PUNTA CANA                                                                                    </t>
  </si>
  <si>
    <t>40221651348</t>
  </si>
  <si>
    <t xml:space="preserve">JHOANNA REYES                                                                                                                                                                                                                                                  </t>
  </si>
  <si>
    <t>4921017942056957</t>
  </si>
  <si>
    <t xml:space="preserve">SECTOR BAVARO                                                                                       </t>
  </si>
  <si>
    <t>40211015264</t>
  </si>
  <si>
    <t xml:space="preserve">SANDRA POOL                                                                                                                                                                                                                                                    </t>
  </si>
  <si>
    <t>5188017939340080</t>
  </si>
  <si>
    <t xml:space="preserve">VILLA AZUCARERA                                                                                     </t>
  </si>
  <si>
    <t>02301392235</t>
  </si>
  <si>
    <t xml:space="preserve">GENNY RAMIREZ                                                                                                                                                                                                                                                  </t>
  </si>
  <si>
    <t>5415017937294469</t>
  </si>
  <si>
    <t>40251560773</t>
  </si>
  <si>
    <t xml:space="preserve">AMAURY SINE                                                                                                                                                                                                                                                    </t>
  </si>
  <si>
    <t>5415017890246648</t>
  </si>
  <si>
    <t>40226791032</t>
  </si>
  <si>
    <t xml:space="preserve">FRANKLIN JOSE                                                                                                                                                                                                                                                  </t>
  </si>
  <si>
    <t>5227017938602190</t>
  </si>
  <si>
    <t>02300727282</t>
  </si>
  <si>
    <t xml:space="preserve">JACQUELINE ESPINO                                                                                                                                                                                                                                              </t>
  </si>
  <si>
    <t>4921017941873084</t>
  </si>
  <si>
    <t xml:space="preserve">CASA NO 51                                                                                          </t>
  </si>
  <si>
    <t>40223734704</t>
  </si>
  <si>
    <t xml:space="preserve">WEINER MORALES                                                                                                                                                                                                                                                 </t>
  </si>
  <si>
    <t>4921017861504121</t>
  </si>
  <si>
    <t>5415017859145391</t>
  </si>
  <si>
    <t>02300063761</t>
  </si>
  <si>
    <t xml:space="preserve">ODALIS PELEGRIN                                                                                                                                                                                                                                                </t>
  </si>
  <si>
    <t>4921017941202077</t>
  </si>
  <si>
    <t>02400266090</t>
  </si>
  <si>
    <t xml:space="preserve">TULIO TAVAREZ                                                                                                                                                                                                                                                  </t>
  </si>
  <si>
    <t>4921017940940244</t>
  </si>
  <si>
    <t xml:space="preserve">PUEBLO NUEVE CONSUELO                                                                               </t>
  </si>
  <si>
    <t>13800063128</t>
  </si>
  <si>
    <t xml:space="preserve">ERIK REYES                                                                                                                                                                                                                                                     </t>
  </si>
  <si>
    <t>4921017940566315</t>
  </si>
  <si>
    <t>02301668709</t>
  </si>
  <si>
    <t xml:space="preserve">RAMONA RODRIGUEZ                                                                                                                                                                                                                                               </t>
  </si>
  <si>
    <t>4921017942342468</t>
  </si>
  <si>
    <t xml:space="preserve">RAMONA RODRIGUEZ DUNCAN                                                                                                                                                                                                                                        </t>
  </si>
  <si>
    <t>5415017937462046</t>
  </si>
  <si>
    <t xml:space="preserve">LA CALLE DEL COMPLEJO                                                                               </t>
  </si>
  <si>
    <t>40225336847</t>
  </si>
  <si>
    <t xml:space="preserve">MALVIN MERCEDES                                                                                                                                                                                                                                                </t>
  </si>
  <si>
    <t>5415017937165664</t>
  </si>
  <si>
    <t xml:space="preserve">PLAN PORVENIR                                                                                       </t>
  </si>
  <si>
    <t>40213279108</t>
  </si>
  <si>
    <t xml:space="preserve">REYMUNDO FABIAN                                                                                                                                                                                                                                                </t>
  </si>
  <si>
    <t>5415017937401055</t>
  </si>
  <si>
    <t xml:space="preserve">JUAN PABLO DURTE                                                                                    </t>
  </si>
  <si>
    <t>02301422768</t>
  </si>
  <si>
    <t xml:space="preserve">SILVESTRE TEJADA                                                                                                                                                                                                                                               </t>
  </si>
  <si>
    <t>4921017939808148</t>
  </si>
  <si>
    <t>40201912405</t>
  </si>
  <si>
    <t xml:space="preserve">CRISMAILYN CELESTEN                                                                                                                                                                                                                                            </t>
  </si>
  <si>
    <t>5415017933580496</t>
  </si>
  <si>
    <t>02301453912</t>
  </si>
  <si>
    <t xml:space="preserve">EMMANUEL BURGOS                                                                                                                                                                                                                                                </t>
  </si>
  <si>
    <t>5188017933526967</t>
  </si>
  <si>
    <t xml:space="preserve">LOS PALOS                                                                                           </t>
  </si>
  <si>
    <t>40211405051</t>
  </si>
  <si>
    <t xml:space="preserve">ANGEL AGRAMONTE ODIGA                                                                                                                                                                                                                                          </t>
  </si>
  <si>
    <t>4921017936589097</t>
  </si>
  <si>
    <t>40223798485</t>
  </si>
  <si>
    <t xml:space="preserve">STEPHANIE HERRERA                                                                                                                                                                                                                                              </t>
  </si>
  <si>
    <t>5415017933610799</t>
  </si>
  <si>
    <t>40224491346</t>
  </si>
  <si>
    <t xml:space="preserve">MALENA BARTELMI                                                                                                                                                                                                                                                </t>
  </si>
  <si>
    <t>5415017933594930</t>
  </si>
  <si>
    <t>40210933467</t>
  </si>
  <si>
    <t xml:space="preserve">MARKIN MOYA                                                                                                                                                                                                                                                    </t>
  </si>
  <si>
    <t>4921017935533109</t>
  </si>
  <si>
    <t>40208808655</t>
  </si>
  <si>
    <t xml:space="preserve">FRANSHESKA PAEZ                                                                                                                                                                                                                                                </t>
  </si>
  <si>
    <t>5415017933570855</t>
  </si>
  <si>
    <t>40225048780</t>
  </si>
  <si>
    <t xml:space="preserve">KEYLA VARGAS                                                                                                                                                                                                                                                   </t>
  </si>
  <si>
    <t>4966017934921771</t>
  </si>
  <si>
    <t>40245456377</t>
  </si>
  <si>
    <t xml:space="preserve">CARLOS ALBERTO                                                                                                                                                                                                                                                 </t>
  </si>
  <si>
    <t>5188017934198644</t>
  </si>
  <si>
    <t>40241308705</t>
  </si>
  <si>
    <t xml:space="preserve">JOSE GENDI                                                                                                                                                                                                                                                     </t>
  </si>
  <si>
    <t>5188017934037700</t>
  </si>
  <si>
    <t xml:space="preserve">BUENOS AIRES DE SANTA FE                                                                            </t>
  </si>
  <si>
    <t>40219887037</t>
  </si>
  <si>
    <t xml:space="preserve">CRESMEIRY YAN                                                                                                                                                                                                                                                  </t>
  </si>
  <si>
    <t>4921017936216234</t>
  </si>
  <si>
    <t>13800085089</t>
  </si>
  <si>
    <t xml:space="preserve">CLARISA MARTINEZ                                                                                                                                                                                                                                               </t>
  </si>
  <si>
    <t>4921017936485898</t>
  </si>
  <si>
    <t>40244474041</t>
  </si>
  <si>
    <t xml:space="preserve">CARLOS MOTA                                                                                                                                                                                                                                                    </t>
  </si>
  <si>
    <t>4921017936504104</t>
  </si>
  <si>
    <t xml:space="preserve">SANTO DOMINGO DE GUZMAN                                                                             </t>
  </si>
  <si>
    <t>02300952864</t>
  </si>
  <si>
    <t xml:space="preserve"> / MELVIN SABALA                                                                                                                                                                                                                                               </t>
  </si>
  <si>
    <t>5188017933500235</t>
  </si>
  <si>
    <t>40211136029</t>
  </si>
  <si>
    <t xml:space="preserve">ELIAN ORSATELLY                                                                                                                                                                                                                                                </t>
  </si>
  <si>
    <t>4025017936822592</t>
  </si>
  <si>
    <t>40221633643</t>
  </si>
  <si>
    <t xml:space="preserve">ARIEL JIMENEZ                                                                                                                                                                                                                                                  </t>
  </si>
  <si>
    <t>5415017933655791</t>
  </si>
  <si>
    <t>40212154716</t>
  </si>
  <si>
    <t xml:space="preserve">YIRAINA ROBLES                                                                                                                                                                                                                                                 </t>
  </si>
  <si>
    <t>4966017935098081</t>
  </si>
  <si>
    <t xml:space="preserve">NO 31                                                                                               </t>
  </si>
  <si>
    <t>02800193324</t>
  </si>
  <si>
    <t xml:space="preserve">ANGELA RODRIGUEZ                                                                                                                                                                                                                                               </t>
  </si>
  <si>
    <t>5523017926779273</t>
  </si>
  <si>
    <t>40222092658</t>
  </si>
  <si>
    <t xml:space="preserve">STEPHANIE PATRICIO                                                                                                                                                                                                                                             </t>
  </si>
  <si>
    <t>4173017933059530</t>
  </si>
  <si>
    <t>40211185083</t>
  </si>
  <si>
    <t xml:space="preserve">YEREMI DOTEL                                                                                                                                                                                                                                                   </t>
  </si>
  <si>
    <t>5400017927799882</t>
  </si>
  <si>
    <t xml:space="preserve">SAN JOSE                                                                                            </t>
  </si>
  <si>
    <t>02800960896</t>
  </si>
  <si>
    <t xml:space="preserve">MARTIN CERRANO                                                                                                                                                                                                                                                 </t>
  </si>
  <si>
    <t>4921017935937394</t>
  </si>
  <si>
    <t xml:space="preserve">N0 86                                                                                               </t>
  </si>
  <si>
    <t>40215794377</t>
  </si>
  <si>
    <t xml:space="preserve">MISAEL MEJIA                                                                                                                                                                                                                                                   </t>
  </si>
  <si>
    <t>5188017934521837</t>
  </si>
  <si>
    <t xml:space="preserve">EDIFICIO PANHICA PANADERIA                                                                          </t>
  </si>
  <si>
    <t>40209037874</t>
  </si>
  <si>
    <t xml:space="preserve"> / MANUELLY SANCHEZ                                                                                                                                                                                                                                            </t>
  </si>
  <si>
    <t>4741017936938848</t>
  </si>
  <si>
    <t xml:space="preserve">MERCADO MUNICIPAL                                                                                   </t>
  </si>
  <si>
    <t>02800873545</t>
  </si>
  <si>
    <t xml:space="preserve">YARI RIJO                                                                                                                                                                                                                                                      </t>
  </si>
  <si>
    <t>4025017932075450</t>
  </si>
  <si>
    <t>02800579316</t>
  </si>
  <si>
    <t xml:space="preserve">VICTOR J RODRIGUEZ                                                                                                                                                                                                                                             </t>
  </si>
  <si>
    <t>5549017927542182</t>
  </si>
  <si>
    <t xml:space="preserve">LOS RIOS                                                                                            </t>
  </si>
  <si>
    <t>02800978724</t>
  </si>
  <si>
    <t xml:space="preserve">DANIA CASTILLO C                                                                                                                                                                                                                                               </t>
  </si>
  <si>
    <t>4741017932261398</t>
  </si>
  <si>
    <t>01900140078</t>
  </si>
  <si>
    <t xml:space="preserve">NARCISO OLIVERO ENCAR                                                                                                                                                                                                                                          </t>
  </si>
  <si>
    <t>5549017927609989</t>
  </si>
  <si>
    <t>40237687567</t>
  </si>
  <si>
    <t xml:space="preserve">ANGEL HERNANDEZ                                                                                                                                                                                                                                                </t>
  </si>
  <si>
    <t>4741017932871167</t>
  </si>
  <si>
    <t xml:space="preserve">DESPUES DE COLADO LA FUERZA                                                                         </t>
  </si>
  <si>
    <t>40200296792</t>
  </si>
  <si>
    <t xml:space="preserve">EMMAHIRIS ADAMES                                                                                                                                                                                                                                               </t>
  </si>
  <si>
    <t>5192017934577754</t>
  </si>
  <si>
    <t>02301506198</t>
  </si>
  <si>
    <t xml:space="preserve">ADRIELA REYES                                                                                                                                                                                                                                                  </t>
  </si>
  <si>
    <t>4921017928966937</t>
  </si>
  <si>
    <t>40219934268</t>
  </si>
  <si>
    <t xml:space="preserve">JAVIER JOSEPH                                                                                                                                                                                                                                                  </t>
  </si>
  <si>
    <t>5188017928276241</t>
  </si>
  <si>
    <t xml:space="preserve">VILLA OLIMPICA                                                                                      </t>
  </si>
  <si>
    <t>40211886292</t>
  </si>
  <si>
    <t xml:space="preserve">JUAN OZORIA                                                                                                                                                                                                                                                    </t>
  </si>
  <si>
    <t>4921017936069974</t>
  </si>
  <si>
    <t xml:space="preserve">BO MEXICO                                                                                           </t>
  </si>
  <si>
    <t>02300112931</t>
  </si>
  <si>
    <t xml:space="preserve">CLAUDIO FAMILIA                                                                                                                                                                                                                                                </t>
  </si>
  <si>
    <t>5188017934426413</t>
  </si>
  <si>
    <t xml:space="preserve">PUNTA GARZA                                                                                         </t>
  </si>
  <si>
    <t>40232179446</t>
  </si>
  <si>
    <t xml:space="preserve">KAROLIN DE JESUS PITA                                                                                                                                                                                                                                          </t>
  </si>
  <si>
    <t>4921017936426730</t>
  </si>
  <si>
    <t>02301463945</t>
  </si>
  <si>
    <t xml:space="preserve">JUAN PAYANO                                                                                                                                                                                                                                                    </t>
  </si>
  <si>
    <t>4741017932511904</t>
  </si>
  <si>
    <t xml:space="preserve">TORRE LOMAR II APTO 8A                                                                              </t>
  </si>
  <si>
    <t>A</t>
  </si>
  <si>
    <t>22300989427</t>
  </si>
  <si>
    <t xml:space="preserve"> / MARIELY MARTINEZ                                                                                                                                                                                                                                            </t>
  </si>
  <si>
    <t>5523017933346749</t>
  </si>
  <si>
    <t xml:space="preserve">GUALEY                                                                                              </t>
  </si>
  <si>
    <t>P</t>
  </si>
  <si>
    <t>40210084899</t>
  </si>
  <si>
    <t xml:space="preserve">HENDY VARGAS                                                                                                                                                                                                                                                   </t>
  </si>
  <si>
    <t>4921017935544418</t>
  </si>
  <si>
    <t xml:space="preserve">NO.69 LA CIENAGA                                                                                    </t>
  </si>
  <si>
    <t>40218408298</t>
  </si>
  <si>
    <t xml:space="preserve">ANFENIL SANTANA                                                                                                                                                                                                                                                </t>
  </si>
  <si>
    <t>5188017934223133</t>
  </si>
  <si>
    <t xml:space="preserve">EDIF.  X APTO.  X SECTOR LA CIENAGA                                                                 </t>
  </si>
  <si>
    <t>00110930021</t>
  </si>
  <si>
    <t xml:space="preserve">MAXIMO POLANCO                                                                                                                                                                                                                                                 </t>
  </si>
  <si>
    <t>4025017932197155</t>
  </si>
  <si>
    <t>40230018851</t>
  </si>
  <si>
    <t xml:space="preserve">FLORANGEL ESTEBAN                                                                                                                                                                                                                                              </t>
  </si>
  <si>
    <t>4921017936259950</t>
  </si>
  <si>
    <t>22400524975</t>
  </si>
  <si>
    <t xml:space="preserve">YOCAIRA MORDAN                                                                                                                                                                                                                                                 </t>
  </si>
  <si>
    <t>5188017934362599</t>
  </si>
  <si>
    <t>22500647098</t>
  </si>
  <si>
    <t xml:space="preserve">GUSTAVO ANDUJAR                                                                                                                                                                                                                                                </t>
  </si>
  <si>
    <t>5188017934165691</t>
  </si>
  <si>
    <t>40209547674</t>
  </si>
  <si>
    <t xml:space="preserve">EMILY PENA                                                                                                                                                                                                                                                     </t>
  </si>
  <si>
    <t>5188017934546277</t>
  </si>
  <si>
    <t>40200684369</t>
  </si>
  <si>
    <t xml:space="preserve">KEVIN GARCIA                                                                                                                                                                                                                                                   </t>
  </si>
  <si>
    <t>5188017933991211</t>
  </si>
  <si>
    <t xml:space="preserve">ENSANCHE LUPERON 128                                                                                </t>
  </si>
  <si>
    <t>40219863319</t>
  </si>
  <si>
    <t xml:space="preserve">WALMELY VALDEZ                                                                                                                                                                                                                                                 </t>
  </si>
  <si>
    <t>5415017933677404</t>
  </si>
  <si>
    <t xml:space="preserve">INDUSTRIA BANILEJA CAFE SANTO DOMINGO                                                               </t>
  </si>
  <si>
    <t>08400058916</t>
  </si>
  <si>
    <t xml:space="preserve">CRISTIAN MARMOLEJOS                                                                                                                                                                                                                                            </t>
  </si>
  <si>
    <t>4025017936706243</t>
  </si>
  <si>
    <t xml:space="preserve">URNA NO 11 MIRADOR NORTE TORRE COLUMBIA 3 APT 502  COLUMBIA III 502                                 </t>
  </si>
  <si>
    <t>40210304974</t>
  </si>
  <si>
    <t xml:space="preserve">MANUEL FELIZ LOPEZ                                                                                                                                                                                                                                             </t>
  </si>
  <si>
    <t>4921017935746702</t>
  </si>
  <si>
    <t>00109749010</t>
  </si>
  <si>
    <t xml:space="preserve"> / STERLING CARRASCO                                                                                                                                                                                                                                           </t>
  </si>
  <si>
    <t>5415017914691937</t>
  </si>
  <si>
    <t>00100599984</t>
  </si>
  <si>
    <t xml:space="preserve"> / GERARDO FRADEN                                                                                                                                                                                                                                              </t>
  </si>
  <si>
    <t>4025017931822845</t>
  </si>
  <si>
    <t>40224890679</t>
  </si>
  <si>
    <t xml:space="preserve">MANUEL SOSA                                                                                                                                                                                                                                                    </t>
  </si>
  <si>
    <t>5188017928437046</t>
  </si>
  <si>
    <t xml:space="preserve">PUNTA CANA                                                                                          </t>
  </si>
  <si>
    <t>40225792882</t>
  </si>
  <si>
    <t xml:space="preserve">ANGELA NIN                                                                                                                                                                                                                                                     </t>
  </si>
  <si>
    <t>4921017929049141</t>
  </si>
  <si>
    <t>04900866346</t>
  </si>
  <si>
    <t xml:space="preserve">YARNELLY ROSARIO                                                                                                                                                                                                                                               </t>
  </si>
  <si>
    <t>5227017927979467</t>
  </si>
  <si>
    <t>02800768802</t>
  </si>
  <si>
    <t xml:space="preserve">RAFAEL GUERRERO                                                                                                                                                                                                                                                </t>
  </si>
  <si>
    <t>4025017932141135</t>
  </si>
  <si>
    <t>00118573997</t>
  </si>
  <si>
    <t xml:space="preserve">MARY CABRERA                                                                                                                                                                                                                                                   </t>
  </si>
  <si>
    <t>5415017927285549</t>
  </si>
  <si>
    <t>40241607767</t>
  </si>
  <si>
    <t xml:space="preserve">BENJAMIN PION                                                                                                                                                                                                                                                  </t>
  </si>
  <si>
    <t>4921017821950242</t>
  </si>
  <si>
    <t>40222191534</t>
  </si>
  <si>
    <t xml:space="preserve">JULITA GOTIER                                                                                                                                                                                                                                                  </t>
  </si>
  <si>
    <t>4921017925861049</t>
  </si>
  <si>
    <t xml:space="preserve">NO 08                                                                                               </t>
  </si>
  <si>
    <t>40209213707</t>
  </si>
  <si>
    <t xml:space="preserve">REYNALDO MATEO                                                                                                                                                                                                                                                 </t>
  </si>
  <si>
    <t>4921017851824991</t>
  </si>
  <si>
    <t>40227417223</t>
  </si>
  <si>
    <t xml:space="preserve">RUDDY DE LA CRUZ                                                                                                                                                                                                                                               </t>
  </si>
  <si>
    <t>5415017839116809</t>
  </si>
  <si>
    <t>40219641863</t>
  </si>
  <si>
    <t xml:space="preserve">ENMANUEL SAMORA                                                                                                                                                                                                                                                </t>
  </si>
  <si>
    <t>5415017927396595</t>
  </si>
  <si>
    <t>40219816168</t>
  </si>
  <si>
    <t xml:space="preserve">ESCARLI ROBLE                                                                                                                                                                                                                                                  </t>
  </si>
  <si>
    <t>4921017930715449</t>
  </si>
  <si>
    <t xml:space="preserve">VILLA PROGRESO II                                                                                   </t>
  </si>
  <si>
    <t>40240922431</t>
  </si>
  <si>
    <t xml:space="preserve">FRANCISCO DE LA ROSA                                                                                                                                                                                                                                           </t>
  </si>
  <si>
    <t>4921017930180373</t>
  </si>
  <si>
    <t>40241139324</t>
  </si>
  <si>
    <t xml:space="preserve">YUDERCA POLO FELIPE                                                                                                                                                                                                                                            </t>
  </si>
  <si>
    <t>5427017928098522</t>
  </si>
  <si>
    <t xml:space="preserve">LAS COLINAS II                                                                                      </t>
  </si>
  <si>
    <t>40244334377</t>
  </si>
  <si>
    <t xml:space="preserve">YSRAEL SEVERINO                                                                                                                                                                                                                                                </t>
  </si>
  <si>
    <t>5227017928034004</t>
  </si>
  <si>
    <t>02301412579</t>
  </si>
  <si>
    <t xml:space="preserve">ALEXANDER MERCEDES                                                                                                                                                                                                                                             </t>
  </si>
  <si>
    <t>5400017927789131</t>
  </si>
  <si>
    <t xml:space="preserve">LAS PIEDRAS                                                                                         </t>
  </si>
  <si>
    <t>03105371748</t>
  </si>
  <si>
    <t xml:space="preserve">ERICK FERNANDEZ                                                                                                                                                                                                                                                </t>
  </si>
  <si>
    <t>5192017928721929</t>
  </si>
  <si>
    <t>40251529224</t>
  </si>
  <si>
    <t xml:space="preserve">HILARY SILVESTRE                                                                                                                                                                                                                                               </t>
  </si>
  <si>
    <t>5188017928599543</t>
  </si>
  <si>
    <t>40237520685</t>
  </si>
  <si>
    <t xml:space="preserve">DAYANARA MARTINEZ                                                                                                                                                                                                                                              </t>
  </si>
  <si>
    <t>4921017928957299</t>
  </si>
  <si>
    <t xml:space="preserve">PUERTO PRINCIPE                                                                                     </t>
  </si>
  <si>
    <t>13800073267</t>
  </si>
  <si>
    <t xml:space="preserve">ARISMENDI MATOS                                                                                                                                                                                                                                                </t>
  </si>
  <si>
    <t>5415017927402735</t>
  </si>
  <si>
    <t>40211505140</t>
  </si>
  <si>
    <t xml:space="preserve">MIKEL REYES                                                                                                                                                                                                                                                    </t>
  </si>
  <si>
    <t>4921017928947536</t>
  </si>
  <si>
    <t>02301355802</t>
  </si>
  <si>
    <t xml:space="preserve">ENMANUEL RAMIREZ J                                                                                                                                                                                                                                             </t>
  </si>
  <si>
    <t>4921017931366763</t>
  </si>
  <si>
    <t>02301138455</t>
  </si>
  <si>
    <t xml:space="preserve">ANEUDIS MENDOZA                                                                                                                                                                                                                                                </t>
  </si>
  <si>
    <t>4921017930970412</t>
  </si>
  <si>
    <t>4921017930675747</t>
  </si>
  <si>
    <t>02900171899</t>
  </si>
  <si>
    <t xml:space="preserve">ELVIN CONCEPCION                                                                                                                                                                                                                                               </t>
  </si>
  <si>
    <t>4921017930157314</t>
  </si>
  <si>
    <t>40229843418</t>
  </si>
  <si>
    <t xml:space="preserve">MAHICOT CORDERO ROJAS                                                                                                                                                                                                                                          </t>
  </si>
  <si>
    <t>4921017930552992</t>
  </si>
  <si>
    <t>02800930238</t>
  </si>
  <si>
    <t xml:space="preserve">FRANCISCO DE LOS SANTOS                                                                                                                                                                                                                                        </t>
  </si>
  <si>
    <t>4921017930319789</t>
  </si>
  <si>
    <t>40210137721</t>
  </si>
  <si>
    <t xml:space="preserve">NIKAURY DICIEMBRE                                                                                                                                                                                                                                              </t>
  </si>
  <si>
    <t>4921017931467089</t>
  </si>
  <si>
    <t>40223060019</t>
  </si>
  <si>
    <t xml:space="preserve">ADRIANA SANTANA                                                                                                                                                                                                                                                </t>
  </si>
  <si>
    <t>5415017926463396</t>
  </si>
  <si>
    <t>40225413372</t>
  </si>
  <si>
    <t xml:space="preserve">JUNIOR DESI                                                                                                                                                                                                                                                    </t>
  </si>
  <si>
    <t>4025017931850641</t>
  </si>
  <si>
    <t>40211661034</t>
  </si>
  <si>
    <t xml:space="preserve"> / JUSTIN VASQUEZ                                                                                                                                                                                                                                              </t>
  </si>
  <si>
    <t>4966017924934704</t>
  </si>
  <si>
    <t>02801011483</t>
  </si>
  <si>
    <t xml:space="preserve">YESI MEDINA                                                                                                                                                                                                                                                    </t>
  </si>
  <si>
    <t>4921017687626313</t>
  </si>
  <si>
    <t xml:space="preserve">CASA NO 17                                                                                          </t>
  </si>
  <si>
    <t>40215315280</t>
  </si>
  <si>
    <t xml:space="preserve">FRANCISCO ESPIRITUSANTO                                                                                                                                                                                                                                        </t>
  </si>
  <si>
    <t>4921017721874939</t>
  </si>
  <si>
    <t xml:space="preserve">ESQ CALLE LA CANCHA                                                                                 </t>
  </si>
  <si>
    <t>40239137181</t>
  </si>
  <si>
    <t xml:space="preserve">YORDYN RIJO CARPIO                                                                                                                                                                                                                                             </t>
  </si>
  <si>
    <t>5188017845180982</t>
  </si>
  <si>
    <t xml:space="preserve">CASA NO 10                                                                                          </t>
  </si>
  <si>
    <t>40245539503</t>
  </si>
  <si>
    <t xml:space="preserve">IMANOL SANTA                                                                                                                                                                                                                                                   </t>
  </si>
  <si>
    <t>5188017698394228</t>
  </si>
  <si>
    <t xml:space="preserve">RESIDENCIAL PUEBLO BAVARO APTO 327                                                                  </t>
  </si>
  <si>
    <t>22300954561</t>
  </si>
  <si>
    <t xml:space="preserve">LORAINE DE LA PAZ                                                                                                                                                                                                                                              </t>
  </si>
  <si>
    <t>5415017883938867</t>
  </si>
  <si>
    <t>40208853339</t>
  </si>
  <si>
    <t xml:space="preserve">LORENA REYES                                                                                                                                                                                                                                                   </t>
  </si>
  <si>
    <t>5188017860115912</t>
  </si>
  <si>
    <t>06600250622</t>
  </si>
  <si>
    <t xml:space="preserve">MAGDELYN SANTANA                                                                                                                                                                                                                                               </t>
  </si>
  <si>
    <t>4025017853757438</t>
  </si>
  <si>
    <t xml:space="preserve">LOCAL 4C PLAZA RIVERAS                                                                              </t>
  </si>
  <si>
    <t>40225030044</t>
  </si>
  <si>
    <t xml:space="preserve">GREGORIO ROMERO G                                                                                                                                                                                                                                              </t>
  </si>
  <si>
    <t>5523017914470835</t>
  </si>
  <si>
    <t>02801019361</t>
  </si>
  <si>
    <t xml:space="preserve">YINEYSA SANTANA                                                                                                                                                                                                                                                </t>
  </si>
  <si>
    <t>4741017919950611</t>
  </si>
  <si>
    <t>40245917782</t>
  </si>
  <si>
    <t xml:space="preserve">BRAULIO PIMENTEL                                                                                                                                                                                                                                               </t>
  </si>
  <si>
    <t>5415017914944394</t>
  </si>
  <si>
    <t>02800671931</t>
  </si>
  <si>
    <t xml:space="preserve">MARGARITA RIVERAS                                                                                                                                                                                                                                              </t>
  </si>
  <si>
    <t>4025017919455163</t>
  </si>
  <si>
    <t xml:space="preserve">APART 70 NO 8                                                                                       </t>
  </si>
  <si>
    <t>02601269588</t>
  </si>
  <si>
    <t xml:space="preserve">DOLORES SOSA SIERRA                                                                                                                                                                                                                                            </t>
  </si>
  <si>
    <t>5415017914967274</t>
  </si>
  <si>
    <t xml:space="preserve">CASA AZUL                                                                                           </t>
  </si>
  <si>
    <t>40251237794</t>
  </si>
  <si>
    <t xml:space="preserve">JOSE CEDANO                                                                                                                                                                                                                                                    </t>
  </si>
  <si>
    <t>4921017921470859</t>
  </si>
  <si>
    <t xml:space="preserve">LAS DOS JARDAS                                                                                      </t>
  </si>
  <si>
    <t>10300034195</t>
  </si>
  <si>
    <t xml:space="preserve">VENECIA OGUIS                                                                                                                                                                                                                                                  </t>
  </si>
  <si>
    <t>5415017923307114</t>
  </si>
  <si>
    <t>02801079845</t>
  </si>
  <si>
    <t xml:space="preserve">DARLENY PEREZ                                                                                                                                                                                                                                                  </t>
  </si>
  <si>
    <t>5415017923391569</t>
  </si>
  <si>
    <t>40210809907</t>
  </si>
  <si>
    <t xml:space="preserve">DIEGO PEGUERO                                                                                                                                                                                                                                                  </t>
  </si>
  <si>
    <t>4921017925402153</t>
  </si>
  <si>
    <t>02801055340</t>
  </si>
  <si>
    <t xml:space="preserve">FLOR CARABALLO                                                                                                                                                                                                                                                 </t>
  </si>
  <si>
    <t>4921017925423185</t>
  </si>
  <si>
    <t>40233676002</t>
  </si>
  <si>
    <t xml:space="preserve">MARIANNY REYES                                                                                                                                                                                                                                                 </t>
  </si>
  <si>
    <t>5415017923560432</t>
  </si>
  <si>
    <t>40221188994</t>
  </si>
  <si>
    <t xml:space="preserve">JUAN GUERRERO LAUREANO                                                                                                                                                                                                                                         </t>
  </si>
  <si>
    <t>5188017924190367</t>
  </si>
  <si>
    <t>04900655616</t>
  </si>
  <si>
    <t xml:space="preserve">GRACILIANO ACOSTA                                                                                                                                                                                                                                              </t>
  </si>
  <si>
    <t>5415017923273319</t>
  </si>
  <si>
    <t>40243810435</t>
  </si>
  <si>
    <t xml:space="preserve">ANGEL PEREZ                                                                                                                                                                                                                                                    </t>
  </si>
  <si>
    <t>5227017924120928</t>
  </si>
  <si>
    <t>02300450711</t>
  </si>
  <si>
    <t xml:space="preserve"> / ROSA M CASTILLO                                                                                                                                                                                                                                             </t>
  </si>
  <si>
    <t>5523017922052355</t>
  </si>
  <si>
    <t xml:space="preserve">EN LA FERRETERIA PAPA                                                                               </t>
  </si>
  <si>
    <t>02300538218</t>
  </si>
  <si>
    <t xml:space="preserve">ALEZANDRA GONZALEZ                                                                                                                                                                                                                                             </t>
  </si>
  <si>
    <t>4741017919675858</t>
  </si>
  <si>
    <t>40231134509</t>
  </si>
  <si>
    <t xml:space="preserve">LUIS DE LOS SANTOS                                                                                                                                                                                                                                             </t>
  </si>
  <si>
    <t>4921017921646452</t>
  </si>
  <si>
    <t>40209778410</t>
  </si>
  <si>
    <t xml:space="preserve">ANDY MERCEDES                                                                                                                                                                                                                                                  </t>
  </si>
  <si>
    <t>4921017924890843</t>
  </si>
  <si>
    <t>40210943185</t>
  </si>
  <si>
    <t xml:space="preserve">FANY MATEO PIE                                                                                                                                                                                                                                                 </t>
  </si>
  <si>
    <t>5188017915827273</t>
  </si>
  <si>
    <t xml:space="preserve">CASA NO 5                                                                                           </t>
  </si>
  <si>
    <t>40222035574</t>
  </si>
  <si>
    <t xml:space="preserve">GABRIELA MERCEDES                                                                                                                                                                                                                                              </t>
  </si>
  <si>
    <t>5415017914254571</t>
  </si>
  <si>
    <t xml:space="preserve">CASA NO 13                                                                                          </t>
  </si>
  <si>
    <t xml:space="preserve">AZ219826   </t>
  </si>
  <si>
    <t xml:space="preserve">NUBIA PENUELA                                                                                                                                                                                                                                                  </t>
  </si>
  <si>
    <t>5415017914265020</t>
  </si>
  <si>
    <t xml:space="preserve">NO 59                                                                                               </t>
  </si>
  <si>
    <t>40225818562</t>
  </si>
  <si>
    <t xml:space="preserve">LUISA PAYANO                                                                                                                                                                                                                                                   </t>
  </si>
  <si>
    <t>5188017915879917</t>
  </si>
  <si>
    <t xml:space="preserve">EDIF HERMIDA 4 BUENOS AIRES                                                                         </t>
  </si>
  <si>
    <t>02301613747</t>
  </si>
  <si>
    <t xml:space="preserve">TAIRIANA CARLOS                                                                                                                                                                                                                                                </t>
  </si>
  <si>
    <t>4921017925666848</t>
  </si>
  <si>
    <t xml:space="preserve">VILLA CORAL                                                                                         </t>
  </si>
  <si>
    <t>02301552333</t>
  </si>
  <si>
    <t xml:space="preserve">DIONIRIS HERNANDEZ                                                                                                                                                                                                                                             </t>
  </si>
  <si>
    <t>4921017925456354</t>
  </si>
  <si>
    <t xml:space="preserve">VILLA PROVIDENCIA                                                                                   </t>
  </si>
  <si>
    <t>40211295684</t>
  </si>
  <si>
    <t xml:space="preserve">FRANCISCO BONILLA                                                                                                                                                                                                                                              </t>
  </si>
  <si>
    <t>5188017924174471</t>
  </si>
  <si>
    <t>40240486072</t>
  </si>
  <si>
    <t xml:space="preserve">DUARTE ESTAGENTE                                                                                                                                                                                                                                               </t>
  </si>
  <si>
    <t>4921017836935060</t>
  </si>
  <si>
    <t xml:space="preserve">NO 27                                                                                               </t>
  </si>
  <si>
    <t>22900138193</t>
  </si>
  <si>
    <t xml:space="preserve">JEFFRY HERNANDEZ                                                                                                                                                                                                                                               </t>
  </si>
  <si>
    <t>4921017921302315</t>
  </si>
  <si>
    <t xml:space="preserve">PARQUE INDUSTRIAL DE ITABO SA BAJOS DE HAINA SC RD                                                  </t>
  </si>
  <si>
    <t>02000155420</t>
  </si>
  <si>
    <t xml:space="preserve">JANEURYS ENCARNACION                                                                                                                                                                                                                                           </t>
  </si>
  <si>
    <t>4921017925850970</t>
  </si>
  <si>
    <t xml:space="preserve">NO 1                                                                                                </t>
  </si>
  <si>
    <t>40200545347</t>
  </si>
  <si>
    <t xml:space="preserve">DALIA CRUZ                                                                                                                                                                                                                                                     </t>
  </si>
  <si>
    <t>4921017746294607</t>
  </si>
  <si>
    <t xml:space="preserve">RESD CIUDAD CARACOLI                                                                                </t>
  </si>
  <si>
    <t>15200007068</t>
  </si>
  <si>
    <t xml:space="preserve"> / ELQUIS MARCHANT                                                                                                                                                                                                                                             </t>
  </si>
  <si>
    <t>4741017919711828</t>
  </si>
  <si>
    <t>00110968427</t>
  </si>
  <si>
    <t xml:space="preserve">CIRIACO CARABALLO                                                                                                                                                                                                                                              </t>
  </si>
  <si>
    <t>4921017918121527</t>
  </si>
  <si>
    <t>22300596255</t>
  </si>
  <si>
    <t xml:space="preserve">MARLENY EUSEBIO                                                                                                                                                                                                                                                </t>
  </si>
  <si>
    <t>4921017921295918</t>
  </si>
  <si>
    <t xml:space="preserve">CAAMANO NO 11                                                                                       </t>
  </si>
  <si>
    <t>22500836345</t>
  </si>
  <si>
    <t xml:space="preserve">SULEICA MARTINEZ                                                                                                                                                                                                                                               </t>
  </si>
  <si>
    <t>4025017923056771</t>
  </si>
  <si>
    <t xml:space="preserve">24 DE ABRIL                                                                                         </t>
  </si>
  <si>
    <t>13200010620</t>
  </si>
  <si>
    <t xml:space="preserve">JULIO PENA                                                                                                                                                                                                                                                     </t>
  </si>
  <si>
    <t>4921017918581615</t>
  </si>
  <si>
    <t xml:space="preserve">PLAZA COMERCIAL SAMBIL EN  WENDYS                                                                   </t>
  </si>
  <si>
    <t>40237877341</t>
  </si>
  <si>
    <t xml:space="preserve">GISSELLE ALEJANDRO                                                                                                                                                                                                                                             </t>
  </si>
  <si>
    <t>5415017915030614</t>
  </si>
  <si>
    <t xml:space="preserve">SANTO DOMINGO                                                                                       </t>
  </si>
  <si>
    <t>00116991761</t>
  </si>
  <si>
    <t xml:space="preserve">YANERIS ALBERTO                                                                                                                                                                                                                                                </t>
  </si>
  <si>
    <t>4921017917707899</t>
  </si>
  <si>
    <t xml:space="preserve">SAN LUIS                                                                                            </t>
  </si>
  <si>
    <t>40219208911</t>
  </si>
  <si>
    <t xml:space="preserve">HANSEL CASANOVA                                                                                                                                                                                                                                                </t>
  </si>
  <si>
    <t>4921017918019146</t>
  </si>
  <si>
    <t>40229905605</t>
  </si>
  <si>
    <t xml:space="preserve">WILFER BURGOS                                                                                                                                                                                                                                                  </t>
  </si>
  <si>
    <t>5188017920708479</t>
  </si>
  <si>
    <t xml:space="preserve">EN LOS TRINITARIO I CEL 8296761818                                                                  </t>
  </si>
  <si>
    <t>40233779376</t>
  </si>
  <si>
    <t xml:space="preserve">MARITZA SOSA                                                                                                                                                                                                                                                   </t>
  </si>
  <si>
    <t>5415017914342352</t>
  </si>
  <si>
    <t xml:space="preserve">RES PEATONAL ROJAS                                                                                  </t>
  </si>
  <si>
    <t>40233076153</t>
  </si>
  <si>
    <t xml:space="preserve">JUAN VALDEZ                                                                                                                                                                                                                                                    </t>
  </si>
  <si>
    <t>4921017870580856</t>
  </si>
  <si>
    <t xml:space="preserve">LA ALTAGRACIA DE HERRERA                                                                            </t>
  </si>
  <si>
    <t>22400588541</t>
  </si>
  <si>
    <t xml:space="preserve">RONNY MENDEZ                                                                                                                                                                                                                                                   </t>
  </si>
  <si>
    <t>4921017918340151</t>
  </si>
  <si>
    <t xml:space="preserve">LAS CAOBAS                                                                                          </t>
  </si>
  <si>
    <t>40233008883</t>
  </si>
  <si>
    <t xml:space="preserve">ARLENYS PIMENTEL                                                                                                                                                                                                                                               </t>
  </si>
  <si>
    <t>5188017915701453</t>
  </si>
  <si>
    <t>00112728175</t>
  </si>
  <si>
    <t xml:space="preserve">ALEJANDRINA DE LEON                                                                                                                                                                                                                                            </t>
  </si>
  <si>
    <t>5415017914035147</t>
  </si>
  <si>
    <t xml:space="preserve">SANTO DOMINGO OESTE                                                                                 </t>
  </si>
  <si>
    <t>00117620948</t>
  </si>
  <si>
    <t xml:space="preserve">ALBERT SOSA L                                                                                                                                                                                                                                                  </t>
  </si>
  <si>
    <t>5415017920396373</t>
  </si>
  <si>
    <t xml:space="preserve">PEATON 7 CASA NO 9                                                                                  </t>
  </si>
  <si>
    <t>40255970135</t>
  </si>
  <si>
    <t xml:space="preserve">VALESKA MENDEZ C                                                                                                                                                                                                                                               </t>
  </si>
  <si>
    <t>5188017884781885</t>
  </si>
  <si>
    <t>40220433508</t>
  </si>
  <si>
    <t xml:space="preserve">GRECHEN SOTO                                                                                                                                                                                                                                                   </t>
  </si>
  <si>
    <t>5188017922415727</t>
  </si>
  <si>
    <t xml:space="preserve">ESQ CENTRAL                                                                                         </t>
  </si>
  <si>
    <t>00101256469</t>
  </si>
  <si>
    <t xml:space="preserve">YILDA JIMENEZ                                                                                                                                                                                                                                                  </t>
  </si>
  <si>
    <t>5400017859805294</t>
  </si>
  <si>
    <t xml:space="preserve">ESQ GUARIONES NO 23                                                                                 </t>
  </si>
  <si>
    <t>00118692573</t>
  </si>
  <si>
    <t xml:space="preserve">JANSON PIMENTEL                                                                                                                                                                                                                                                </t>
  </si>
  <si>
    <t>4025017863478157</t>
  </si>
  <si>
    <t xml:space="preserve">CRISTO REY                                                                                          </t>
  </si>
  <si>
    <t>40231097698</t>
  </si>
  <si>
    <t xml:space="preserve">ERIKSON GENAO                                                                                                                                                                                                                                                  </t>
  </si>
  <si>
    <t>4921017925926274</t>
  </si>
  <si>
    <t xml:space="preserve">VIEJO ARROYO HONDO                                                                                  </t>
  </si>
  <si>
    <t>40230182335</t>
  </si>
  <si>
    <t xml:space="preserve">RENE BATISTA DE LEON                                                                                                                                                                                                                                           </t>
  </si>
  <si>
    <t>4921017917868671</t>
  </si>
  <si>
    <t xml:space="preserve">EDIF 17 APT B 2                                                                                     </t>
  </si>
  <si>
    <t>00101996304</t>
  </si>
  <si>
    <t xml:space="preserve"> / MIREYA A OLIVIERI                                                                                                                                                                                                                                           </t>
  </si>
  <si>
    <t>4966017924949509</t>
  </si>
  <si>
    <t>00100084201</t>
  </si>
  <si>
    <t xml:space="preserve">DENCY CORTES                                                                                                                                                                                                                                                   </t>
  </si>
  <si>
    <t>5188017915816664</t>
  </si>
  <si>
    <t xml:space="preserve">RES VILLA CARMEN                                                                                    </t>
  </si>
  <si>
    <t>22500058874</t>
  </si>
  <si>
    <t xml:space="preserve">YESENIA GARCIA                                                                                                                                                                                                                                                 </t>
  </si>
  <si>
    <t>5415017914171013</t>
  </si>
  <si>
    <t xml:space="preserve">LOS TRINITARIOS                                                                                     </t>
  </si>
  <si>
    <t>40234603682</t>
  </si>
  <si>
    <t xml:space="preserve">JEUDY SEGURA                                                                                                                                                                                                                                                   </t>
  </si>
  <si>
    <t>4921017917319465</t>
  </si>
  <si>
    <t>00105375802</t>
  </si>
  <si>
    <t xml:space="preserve">AURA GARCIA                                                                                                                                                                                                                                                    </t>
  </si>
  <si>
    <t>5415017923559679</t>
  </si>
  <si>
    <t>40213867365</t>
  </si>
  <si>
    <t xml:space="preserve">ERIKA DE LA ROSA                                                                                                                                                                                                                                               </t>
  </si>
  <si>
    <t>4921017921332010</t>
  </si>
  <si>
    <t xml:space="preserve">ENS LUPERON                                                                                         </t>
  </si>
  <si>
    <t>00103802856</t>
  </si>
  <si>
    <t xml:space="preserve">ADA GUZMAN                                                                                                                                                                                                                                                     </t>
  </si>
  <si>
    <t>5415017913980496</t>
  </si>
  <si>
    <t>5415017914686991</t>
  </si>
  <si>
    <t xml:space="preserve">PADRE CASTELLANOS NO 14                                                                             </t>
  </si>
  <si>
    <t>40219952328</t>
  </si>
  <si>
    <t xml:space="preserve">RAMON VERAS                                                                                                                                                                                                                                                    </t>
  </si>
  <si>
    <t>5188017922460240</t>
  </si>
  <si>
    <t>5415017913978087</t>
  </si>
  <si>
    <t xml:space="preserve"> SEGUNDO NIVEL                                                                                      </t>
  </si>
  <si>
    <t>00119533768</t>
  </si>
  <si>
    <t xml:space="preserve">DIANA HERNANDEZ                                                                                                                                                                                                                                                </t>
  </si>
  <si>
    <t>4025017292009839</t>
  </si>
  <si>
    <t xml:space="preserve">SANTO DOMINGO ESTE                                                                                  </t>
  </si>
  <si>
    <t>00115651671</t>
  </si>
  <si>
    <t xml:space="preserve">LUCAS ROQUE TAVERAS                                                                                                                                                                                                                                            </t>
  </si>
  <si>
    <t>5227017920645097</t>
  </si>
  <si>
    <t xml:space="preserve">KM 14 CERCA DEL BANCO POPULAR LA CIENEGA                                                            </t>
  </si>
  <si>
    <t>40226680144</t>
  </si>
  <si>
    <t xml:space="preserve">LUIS RAMOS                                                                                                                                                                                                                                                     </t>
  </si>
  <si>
    <t>4921017925353775</t>
  </si>
  <si>
    <t xml:space="preserve">NO 4 ENSANCHEZ CAPOTILLO                                                                            </t>
  </si>
  <si>
    <t>00111130928</t>
  </si>
  <si>
    <t xml:space="preserve">LEONIDAS TERRERO                                                                                                                                                                                                                                               </t>
  </si>
  <si>
    <t>4921017925419607</t>
  </si>
  <si>
    <t xml:space="preserve">ENSANCHE CAPOTILLO                                                                                  </t>
  </si>
  <si>
    <t>40220405076</t>
  </si>
  <si>
    <t xml:space="preserve">ODELKYS FELIZ                                                                                                                                                                                                                                                  </t>
  </si>
  <si>
    <t>4921017924745942</t>
  </si>
  <si>
    <t>40228240285</t>
  </si>
  <si>
    <t xml:space="preserve">MARILEISY LOPEZ                                                                                                                                                                                                                                                </t>
  </si>
  <si>
    <t>5400017915272756</t>
  </si>
  <si>
    <t xml:space="preserve">SANTO DOMINGO ESTE RD                                                                               </t>
  </si>
  <si>
    <t>00106329543</t>
  </si>
  <si>
    <t xml:space="preserve">RAFAEL JIMENEZ                                                                                                                                                                                                                                                 </t>
  </si>
  <si>
    <t>4921017922501164</t>
  </si>
  <si>
    <t xml:space="preserve">VILLA FARO                                                                                          </t>
  </si>
  <si>
    <t>22301577973</t>
  </si>
  <si>
    <t xml:space="preserve">BEATRIZ DE LA CRUZ                                                                                                                                                                                                                                             </t>
  </si>
  <si>
    <t>4921017917332149</t>
  </si>
  <si>
    <t>22301614545</t>
  </si>
  <si>
    <t xml:space="preserve">CLARA MERCADO                                                                                                                                                                                                                                                  </t>
  </si>
  <si>
    <t>4921017922684943</t>
  </si>
  <si>
    <t xml:space="preserve">CALLE SEPTENTRIONAL                                                                                 </t>
  </si>
  <si>
    <t>40229194986</t>
  </si>
  <si>
    <t xml:space="preserve">ADAMARIS PEREZ                                                                                                                                                                                                                                                 </t>
  </si>
  <si>
    <t>4921017921692660</t>
  </si>
  <si>
    <t>40244373458</t>
  </si>
  <si>
    <t xml:space="preserve">ROHANNY GALVAN                                                                                                                                                                                                                                                 </t>
  </si>
  <si>
    <t>4921017917131449</t>
  </si>
  <si>
    <t xml:space="preserve">ALMA ROSA II                                                                                        </t>
  </si>
  <si>
    <t>40230393049</t>
  </si>
  <si>
    <t xml:space="preserve">MELVIN PENA PELAEZ                                                                                                                                                                                                                                             </t>
  </si>
  <si>
    <t>5188017924208074</t>
  </si>
  <si>
    <t xml:space="preserve">LOS TRES BRAZOS                                                                                     </t>
  </si>
  <si>
    <t>40234097562</t>
  </si>
  <si>
    <t xml:space="preserve">PEDRO FIGUEROA GARCIA                                                                                                                                                                                                                                          </t>
  </si>
  <si>
    <t>4921017918608271</t>
  </si>
  <si>
    <t>40225232798</t>
  </si>
  <si>
    <t xml:space="preserve">KATHERINE BARI                                                                                                                                                                                                                                                 </t>
  </si>
  <si>
    <t>4921017921209236</t>
  </si>
  <si>
    <t>22301366344</t>
  </si>
  <si>
    <t xml:space="preserve">KILSSY PEREZ                                                                                                                                                                                                                                                   </t>
  </si>
  <si>
    <t>4025017919543645</t>
  </si>
  <si>
    <t xml:space="preserve">LENGUA AZUL, ENSANCHE OZAMA                                                                         </t>
  </si>
  <si>
    <t>40232532107</t>
  </si>
  <si>
    <t xml:space="preserve">AMBAR ASUNCION                                                                                                                                                                                                                                                 </t>
  </si>
  <si>
    <t>4025017919301302</t>
  </si>
  <si>
    <t xml:space="preserve">LAS CAOVAS NO 19                                                                                    </t>
  </si>
  <si>
    <t>22900141197</t>
  </si>
  <si>
    <t xml:space="preserve">MALLOBANEX VARGAS                                                                                                                                                                                                                                              </t>
  </si>
  <si>
    <t>4921017918436405</t>
  </si>
  <si>
    <t xml:space="preserve">BUENOS AIRES HERRERA                                                                                </t>
  </si>
  <si>
    <t>22400567487</t>
  </si>
  <si>
    <t xml:space="preserve">GLENY PINA                                                                                                                                                                                                                                                     </t>
  </si>
  <si>
    <t>4921017916229393</t>
  </si>
  <si>
    <t xml:space="preserve">CAROLINA NO 8                                                                                       </t>
  </si>
  <si>
    <t>00108387804</t>
  </si>
  <si>
    <t xml:space="preserve">PABLO ALCANTARA                                                                                                                                                                                                                                                </t>
  </si>
  <si>
    <t>5415017914110139</t>
  </si>
  <si>
    <t xml:space="preserve">HERRERA                                                                                             </t>
  </si>
  <si>
    <t>40227885437</t>
  </si>
  <si>
    <t xml:space="preserve">ALEJANDRO CASTRO                                                                                                                                                                                                                                               </t>
  </si>
  <si>
    <t>4025017923016324</t>
  </si>
  <si>
    <t xml:space="preserve">VILLA PROGRESO                                                                                      </t>
  </si>
  <si>
    <t>40219685167</t>
  </si>
  <si>
    <t xml:space="preserve">DEILLY DE LA CRUZ                                                                                                                                                                                                                                              </t>
  </si>
  <si>
    <t>4921017921651742</t>
  </si>
  <si>
    <t>40232115739</t>
  </si>
  <si>
    <t xml:space="preserve">YEISON RODRIGUEZ                                                                                                                                                                                                                                               </t>
  </si>
  <si>
    <t>4025017919193119</t>
  </si>
  <si>
    <t xml:space="preserve">RESTAURACION                                                                                        </t>
  </si>
  <si>
    <t>02301116501</t>
  </si>
  <si>
    <t xml:space="preserve">OLGA DE JESUS                                                                                                                                                                                                                                                  </t>
  </si>
  <si>
    <t>4921017918449190</t>
  </si>
  <si>
    <t>40211328972</t>
  </si>
  <si>
    <t xml:space="preserve">FRANCHESCA CARRY                                                                                                                                                                                                                                               </t>
  </si>
  <si>
    <t>4921017917447574</t>
  </si>
  <si>
    <t>02301425548</t>
  </si>
  <si>
    <t xml:space="preserve">IVETTE SANCHEZ                                                                                                                                                                                                                                                 </t>
  </si>
  <si>
    <t>5400017915285951</t>
  </si>
  <si>
    <t>40214396992</t>
  </si>
  <si>
    <t xml:space="preserve">EMMANUEL RODRIGUEZ                                                                                                                                                                                                                                             </t>
  </si>
  <si>
    <t>4921017918684568</t>
  </si>
  <si>
    <t>02500509589</t>
  </si>
  <si>
    <t xml:space="preserve">RUDDY MARTINEZ                                                                                                                                                                                                                                                 </t>
  </si>
  <si>
    <t>4921017922546875</t>
  </si>
  <si>
    <t xml:space="preserve">BA LAS MAVINAS                                                                                      </t>
  </si>
  <si>
    <t>40226940787</t>
  </si>
  <si>
    <t xml:space="preserve">ANTONY RODRIGUEZ                                                                                                                                                                                                                                               </t>
  </si>
  <si>
    <t>5188017915556738</t>
  </si>
  <si>
    <t xml:space="preserve">LOS MAESTROS                                                                                        </t>
  </si>
  <si>
    <t>40243050610</t>
  </si>
  <si>
    <t xml:space="preserve">ESTEBAN GARCIA                                                                                                                                                                                                                                                 </t>
  </si>
  <si>
    <t>5415017913990426</t>
  </si>
  <si>
    <t xml:space="preserve">INGENIO PORVENIR                                                                                    </t>
  </si>
  <si>
    <t>40213145242</t>
  </si>
  <si>
    <t xml:space="preserve">JEZEBHELL VILORIO                                                                                                                                                                                                                                              </t>
  </si>
  <si>
    <t>5188017915519910</t>
  </si>
  <si>
    <t xml:space="preserve">VILLAS DEL MAR JUAN DOLIO                                                                           </t>
  </si>
  <si>
    <t>40230830784</t>
  </si>
  <si>
    <t xml:space="preserve">VIOLETA RODRIGUEZ                                                                                                                                                                                                                                              </t>
  </si>
  <si>
    <t>5188017920766360</t>
  </si>
  <si>
    <t xml:space="preserve">CABEZA DE TORO                                                                                      </t>
  </si>
  <si>
    <t>40219501364</t>
  </si>
  <si>
    <t xml:space="preserve">JESUS YELIS HYACINTHE                                                                                                                                                                                                                                          </t>
  </si>
  <si>
    <t>5415017920564415</t>
  </si>
  <si>
    <t xml:space="preserve">PLAZA PERLA MAR 2DO NIVEL                                                                           </t>
  </si>
  <si>
    <t>02300968282</t>
  </si>
  <si>
    <t xml:space="preserve">MILDRED JIMENEZ                                                                                                                                                                                                                                                </t>
  </si>
  <si>
    <t>5415017914181235</t>
  </si>
  <si>
    <t xml:space="preserve">BARRIO MEXICO                                                                                       </t>
  </si>
  <si>
    <t>02301096190</t>
  </si>
  <si>
    <t xml:space="preserve">CARLOS RICHARDSON                                                                                                                                                                                                                                              </t>
  </si>
  <si>
    <t>4921017919024577</t>
  </si>
  <si>
    <t>02700093194</t>
  </si>
  <si>
    <t xml:space="preserve">ANA LOPEZ                                                                                                                                                                                                                                                      </t>
  </si>
  <si>
    <t>4921017917058700</t>
  </si>
  <si>
    <t xml:space="preserve">MIGUECARWASH                                                                                        </t>
  </si>
  <si>
    <t>40232610317</t>
  </si>
  <si>
    <t xml:space="preserve">DIEGO SANTANA                                                                                                                                                                                                                                                  </t>
  </si>
  <si>
    <t>4921017921453806</t>
  </si>
  <si>
    <t xml:space="preserve">APART RM LA MALENA                                                                                  </t>
  </si>
  <si>
    <t>40219243603</t>
  </si>
  <si>
    <t xml:space="preserve">GUILLERMO SANTANA                                                                                                                                                                                                                                              </t>
  </si>
  <si>
    <t>4921017918003548</t>
  </si>
  <si>
    <t xml:space="preserve">SAN PEDRO                                                                                           </t>
  </si>
  <si>
    <t>02800963668</t>
  </si>
  <si>
    <t xml:space="preserve">YAHAIRA CEDENO                                                                                                                                                                                                                                                 </t>
  </si>
  <si>
    <t>4921017917903498</t>
  </si>
  <si>
    <t xml:space="preserve">PLAZA INDUTRIAN CORMONT BAVAR                                                                       </t>
  </si>
  <si>
    <t>00114768708</t>
  </si>
  <si>
    <t xml:space="preserve">ARIS FRIAS                                                                                                                                                                                                                                                     </t>
  </si>
  <si>
    <t>4921017917522599</t>
  </si>
  <si>
    <t>02800787265</t>
  </si>
  <si>
    <t xml:space="preserve">WILSON MARTINEZ                                                                                                                                                                                                                                                </t>
  </si>
  <si>
    <t>4921017918189881</t>
  </si>
  <si>
    <t>40227927569</t>
  </si>
  <si>
    <t xml:space="preserve">ANGEL SANTANA                                                                                                                                                                                                                                                  </t>
  </si>
  <si>
    <t>4921017921241218</t>
  </si>
  <si>
    <t>02800845378</t>
  </si>
  <si>
    <t xml:space="preserve">CEFERINO MEJIA                                                                                                                                                                                                                                                 </t>
  </si>
  <si>
    <t>4921017922645557</t>
  </si>
  <si>
    <t xml:space="preserve">LA MALENA                                                                                           </t>
  </si>
  <si>
    <t>40241762604</t>
  </si>
  <si>
    <t xml:space="preserve">FREILIN SANTANA                                                                                                                                                                                                                                                </t>
  </si>
  <si>
    <t>4025017919276537</t>
  </si>
  <si>
    <t xml:space="preserve">EL LLANO                                                                                            </t>
  </si>
  <si>
    <t>02500399551</t>
  </si>
  <si>
    <t xml:space="preserve">MILCIADES CIPRIAN                                                                                                                                                                                                                                              </t>
  </si>
  <si>
    <t>4025017923031923</t>
  </si>
  <si>
    <t xml:space="preserve">BENERITO                                                                                            </t>
  </si>
  <si>
    <t>01600145146</t>
  </si>
  <si>
    <t xml:space="preserve">GUILLERMO VALDEZ                                                                                                                                                                                                                                               </t>
  </si>
  <si>
    <t>4921017917822429</t>
  </si>
  <si>
    <t>40210241002</t>
  </si>
  <si>
    <t xml:space="preserve">ANDONY SANTANA                                                                                                                                                                                                                                                 </t>
  </si>
  <si>
    <t>5188017915688215</t>
  </si>
  <si>
    <t>02801029881</t>
  </si>
  <si>
    <t xml:space="preserve">NERY FIGUEROA                                                                                                                                                                                                                                                  </t>
  </si>
  <si>
    <t>5415017914021304</t>
  </si>
  <si>
    <t>40224910501</t>
  </si>
  <si>
    <t xml:space="preserve">RONNY RAMIREZ                                                                                                                                                                                                                                                  </t>
  </si>
  <si>
    <t>5415017914971591</t>
  </si>
  <si>
    <t>40237153552</t>
  </si>
  <si>
    <t xml:space="preserve">JUAN AMELIS                                                                                                                                                                                                                                                    </t>
  </si>
  <si>
    <t>5188017920794269</t>
  </si>
  <si>
    <t>02600273698</t>
  </si>
  <si>
    <t xml:space="preserve">LUCAS GUERRERO                                                                                                                                                                                                                                                 </t>
  </si>
  <si>
    <t>4921017916984365</t>
  </si>
  <si>
    <t xml:space="preserve">PUNTA CANA VILLAGE                                                                                  </t>
  </si>
  <si>
    <t>02800503407</t>
  </si>
  <si>
    <t xml:space="preserve">JESUS MARTINEZ                                                                                                                                                                                                                                                 </t>
  </si>
  <si>
    <t>5188017915461173</t>
  </si>
  <si>
    <t>02801013836</t>
  </si>
  <si>
    <t xml:space="preserve">JIANNA CASTRO                                                                                                                                                                                                                                                  </t>
  </si>
  <si>
    <t>4921017917794902</t>
  </si>
  <si>
    <t>02300582109</t>
  </si>
  <si>
    <t xml:space="preserve">SANDY CHAPMAN                                                                                                                                                                                                                                                  </t>
  </si>
  <si>
    <t>4921017918227966</t>
  </si>
  <si>
    <t xml:space="preserve">COCOTAL LA BRISA CASA 423                                                                           </t>
  </si>
  <si>
    <t>40212880716</t>
  </si>
  <si>
    <t xml:space="preserve">PAULA GONZALEZ                                                                                                                                                                                                                                                 </t>
  </si>
  <si>
    <t>4921017917374081</t>
  </si>
  <si>
    <t>40244014383</t>
  </si>
  <si>
    <t xml:space="preserve">LINDSEY CUMBERLAND                                                                                                                                                                                                                                             </t>
  </si>
  <si>
    <t>4921017918910686</t>
  </si>
  <si>
    <t xml:space="preserve">PUTA CANA                                                                                           </t>
  </si>
  <si>
    <t>40215782760</t>
  </si>
  <si>
    <t xml:space="preserve">MIGUEL DANIEL                                                                                                                                                                                                                                                  </t>
  </si>
  <si>
    <t>5188017914872454</t>
  </si>
  <si>
    <t xml:space="preserve">BABARO PUNTA CANAN                                                                                  </t>
  </si>
  <si>
    <t>40218459515</t>
  </si>
  <si>
    <t xml:space="preserve">JUAN BENJAMIN                                                                                                                                                                                                                                                  </t>
  </si>
  <si>
    <t>4921017918713755</t>
  </si>
  <si>
    <t xml:space="preserve">PLAZA PALMA REAL                                                                                    </t>
  </si>
  <si>
    <t>02700399401</t>
  </si>
  <si>
    <t xml:space="preserve">YAHAIRA CADET                                                                                                                                                                                                                                                  </t>
  </si>
  <si>
    <t>4741017910435826</t>
  </si>
  <si>
    <t xml:space="preserve">BAVARO PUNTA CANA HOTEL BARCELO                                                                     </t>
  </si>
  <si>
    <t>02200332670</t>
  </si>
  <si>
    <t xml:space="preserve">GLOIRIN GOMEZ MATOS                                                                                                                                                                                                                                            </t>
  </si>
  <si>
    <t>4921017913073955</t>
  </si>
  <si>
    <t>40209520556</t>
  </si>
  <si>
    <t xml:space="preserve">CARLOS SANTANA                                                                                                                                                                                                                                                 </t>
  </si>
  <si>
    <t>5188017910909597</t>
  </si>
  <si>
    <t xml:space="preserve">RES LAURA MICHELLE I 2B                                                                             </t>
  </si>
  <si>
    <t>40237934282</t>
  </si>
  <si>
    <t xml:space="preserve">MICHAEL SANDOVAL                                                                                                                                                                                                                                               </t>
  </si>
  <si>
    <t>5188017911200741</t>
  </si>
  <si>
    <t xml:space="preserve">HOTEL PALADIUM PUNTA CANA                                                                           </t>
  </si>
  <si>
    <t>40221560515</t>
  </si>
  <si>
    <t xml:space="preserve">HECTOR ENCARNACION                                                                                                                                                                                                                                             </t>
  </si>
  <si>
    <t>5227017911171280</t>
  </si>
  <si>
    <t>40211125378</t>
  </si>
  <si>
    <t xml:space="preserve">JOSE REYNA                                                                                                                                                                                                                                                     </t>
  </si>
  <si>
    <t>4921017912753467</t>
  </si>
  <si>
    <t xml:space="preserve">CCS                                                                                                 </t>
  </si>
  <si>
    <t>40210063265</t>
  </si>
  <si>
    <t xml:space="preserve">JOEL EUSEBIO                                                                                                                                                                                                                                                   </t>
  </si>
  <si>
    <t>5227017598893567</t>
  </si>
  <si>
    <t xml:space="preserve">COLMADO MINIMARKET HS                                                                               </t>
  </si>
  <si>
    <t>40227596224</t>
  </si>
  <si>
    <t xml:space="preserve">RICARDO SILVESTRE                                                                                                                                                                                                                                              </t>
  </si>
  <si>
    <t>5415017692121211</t>
  </si>
  <si>
    <t xml:space="preserve">CASA NO 3                                                                                           </t>
  </si>
  <si>
    <t>40214106854</t>
  </si>
  <si>
    <t xml:space="preserve">RUTH VASQUEZ                                                                                                                                                                                                                                                   </t>
  </si>
  <si>
    <t>4921017906304987</t>
  </si>
  <si>
    <t>40249913241</t>
  </si>
  <si>
    <t xml:space="preserve">KIOVAR ANDUJAR                                                                                                                                                                                                                                                 </t>
  </si>
  <si>
    <t>4921017906635131</t>
  </si>
  <si>
    <t>40244058653</t>
  </si>
  <si>
    <t xml:space="preserve">JEYSI VASQUEZ                                                                                                                                                                                                                                                  </t>
  </si>
  <si>
    <t>4921017912948062</t>
  </si>
  <si>
    <t>40223907656</t>
  </si>
  <si>
    <t xml:space="preserve">DAHIANA SANCHEZ                                                                                                                                                                                                                                                </t>
  </si>
  <si>
    <t>4921017827282253</t>
  </si>
  <si>
    <t>02301610040</t>
  </si>
  <si>
    <t xml:space="preserve">VANESSA MORALES                                                                                                                                                                                                                                                </t>
  </si>
  <si>
    <t>5415017817386289</t>
  </si>
  <si>
    <t xml:space="preserve">BATEY EL SOCO                                                                                       </t>
  </si>
  <si>
    <t>40250186620</t>
  </si>
  <si>
    <t xml:space="preserve">MANUEL GRIFFITH                                                                                                                                                                                                                                                </t>
  </si>
  <si>
    <t>4921017913030054</t>
  </si>
  <si>
    <t>40237133349</t>
  </si>
  <si>
    <t xml:space="preserve">GENESIS ALDUEY                                                                                                                                                                                                                                                 </t>
  </si>
  <si>
    <t>4921017911639415</t>
  </si>
  <si>
    <t>40219628233</t>
  </si>
  <si>
    <t xml:space="preserve">JUAN MORETA                                                                                                                                                                                                                                                    </t>
  </si>
  <si>
    <t>4921017913150293</t>
  </si>
  <si>
    <t>40219885999</t>
  </si>
  <si>
    <t xml:space="preserve">EVONY HODGE CASTRO                                                                                                                                                                                                                                             </t>
  </si>
  <si>
    <t>5188017911234658</t>
  </si>
  <si>
    <t>02301577033</t>
  </si>
  <si>
    <t xml:space="preserve">OMAR CASTILLO                                                                                                                                                                                                                                                  </t>
  </si>
  <si>
    <t>4921017911661320</t>
  </si>
  <si>
    <t xml:space="preserve">RAMON SANTANA                                                                                       </t>
  </si>
  <si>
    <t>40214755759</t>
  </si>
  <si>
    <t xml:space="preserve">DANIEL MEJIA                                                                                                                                                                                                                                                   </t>
  </si>
  <si>
    <t>5415017910749028</t>
  </si>
  <si>
    <t xml:space="preserve">PLACER BONITO                                                                                       </t>
  </si>
  <si>
    <t>02300242514</t>
  </si>
  <si>
    <t xml:space="preserve">JULIO ROSARIO                                                                                                                                                                                                                                                  </t>
  </si>
  <si>
    <t>4921017913198328</t>
  </si>
  <si>
    <t xml:space="preserve">BOSS SRL                                                                                            </t>
  </si>
  <si>
    <t>02301464505</t>
  </si>
  <si>
    <t xml:space="preserve">HECTOR ROSARIO                                                                                                                                                                                                                                                 </t>
  </si>
  <si>
    <t>5415017360127405</t>
  </si>
  <si>
    <t xml:space="preserve">DUGEY EL GILO                                                                                       </t>
  </si>
  <si>
    <t>02800802445</t>
  </si>
  <si>
    <t xml:space="preserve">FLORA ESPIRITUSANTO                                                                                                                                                                                                                                            </t>
  </si>
  <si>
    <t>4921017906344418</t>
  </si>
  <si>
    <t>40258143508</t>
  </si>
  <si>
    <t xml:space="preserve">ANDERSON VALERA                                                                                                                                                                                                                                                </t>
  </si>
  <si>
    <t>4921017912211476</t>
  </si>
  <si>
    <t>40213663467</t>
  </si>
  <si>
    <t xml:space="preserve">JOSHUA DE LA ROSA                                                                                                                                                                                                                                              </t>
  </si>
  <si>
    <t>4741017889191307</t>
  </si>
  <si>
    <t>40208713582</t>
  </si>
  <si>
    <t xml:space="preserve">FRANBEL PEREZ                                                                                                                                                                                                                                                  </t>
  </si>
  <si>
    <t>5188017796124268</t>
  </si>
  <si>
    <t>02601153964</t>
  </si>
  <si>
    <t xml:space="preserve">BETANIA SANCHEZ                                                                                                                                                                                                                                                </t>
  </si>
  <si>
    <t>5415017779004966</t>
  </si>
  <si>
    <t xml:space="preserve">NO 10                                                                                               </t>
  </si>
  <si>
    <t xml:space="preserve">ALEJANDRA CALDERON                                                                                                                                                                                                                                             </t>
  </si>
  <si>
    <t>5188017893934897</t>
  </si>
  <si>
    <t xml:space="preserve">SANTA JASINTO                                                                                                                                                                                                                                                  </t>
  </si>
  <si>
    <t>5415017910717363</t>
  </si>
  <si>
    <t xml:space="preserve">DIVURGA VASQUEZ                                                                                                                                                                                                                                                </t>
  </si>
  <si>
    <t>4025017913514206</t>
  </si>
  <si>
    <t xml:space="preserve">ADELYN BETANCES                                                                                                                                                                                                                                                </t>
  </si>
  <si>
    <t>4921017913291073</t>
  </si>
  <si>
    <t xml:space="preserve">ANAMUYA                                                                                             </t>
  </si>
  <si>
    <t xml:space="preserve">JESUS MATOS                                                                                                                                                                                                                                                    </t>
  </si>
  <si>
    <t>4921017912801535</t>
  </si>
  <si>
    <t xml:space="preserve">LUIS LOPEZ                                                                                                                                                                                                                                                     </t>
  </si>
  <si>
    <t>5188017911197275</t>
  </si>
  <si>
    <t xml:space="preserve">VILLA PALMERA                                                                                       </t>
  </si>
  <si>
    <t xml:space="preserve">CARLOS CASTRO                                                                                                                                                                                                                                                  </t>
  </si>
  <si>
    <t>4921017912220900</t>
  </si>
  <si>
    <t xml:space="preserve">MARTIN RAMIREZ                                                                                                                                                                                                                                                 </t>
  </si>
  <si>
    <t>5549017868368990</t>
  </si>
  <si>
    <t xml:space="preserve">VILLA CONSUELO                                                                                      </t>
  </si>
  <si>
    <t xml:space="preserve">EMMANUEL GONZALEZ                                                                                                                                                                                                                                              </t>
  </si>
  <si>
    <t>4921017913347803</t>
  </si>
  <si>
    <t xml:space="preserve">LAS CANITAS                                                                                         </t>
  </si>
  <si>
    <t xml:space="preserve">MELIDA PINA                                                                                                                                                                                                                                                    </t>
  </si>
  <si>
    <t>5415017904007266</t>
  </si>
  <si>
    <t xml:space="preserve">VILLAS AGRICOLAS                                                                                    </t>
  </si>
  <si>
    <t xml:space="preserve">RANDY BRITO S                                                                                                                                                                                                                                                  </t>
  </si>
  <si>
    <t>5188017905753832</t>
  </si>
  <si>
    <t xml:space="preserve">JUAN REYES                                                                                                                                                                                                                                                     </t>
  </si>
  <si>
    <t>5188017905761863</t>
  </si>
  <si>
    <t xml:space="preserve">VILLA JUANA                                                                                         </t>
  </si>
  <si>
    <t xml:space="preserve">YERI GUZMAN PEGUERO                                                                                                                                                                                                                                            </t>
  </si>
  <si>
    <t>4921017903042858</t>
  </si>
  <si>
    <t xml:space="preserve">CRISTAL DE AZA                                                                                                                                                                                                                                                 </t>
  </si>
  <si>
    <t>5415017904890414</t>
  </si>
  <si>
    <t xml:space="preserve">RODRIGO RODRIGUEZ                                                                                                                                                                                                                                              </t>
  </si>
  <si>
    <t>4921017908403724</t>
  </si>
  <si>
    <t xml:space="preserve">VILLAS AGRICOLAS SN                                                                                 </t>
  </si>
  <si>
    <t xml:space="preserve">WANDER SANCHEZ                                                                                                                                                                                                                                                 </t>
  </si>
  <si>
    <t>5415017904735464</t>
  </si>
  <si>
    <t xml:space="preserve">CALLE 5 CASA NO 34                                                                                  </t>
  </si>
  <si>
    <t xml:space="preserve">CRISTHOPHER ESPINOSA                                                                                                                                                                                                                                           </t>
  </si>
  <si>
    <t>5415017904870354</t>
  </si>
  <si>
    <t xml:space="preserve">4 SUR EDF 55 PISO 5                                                                                 </t>
  </si>
  <si>
    <t xml:space="preserve">JHONEYMI BATISTA MENA                                                                                                                                                                                                                                          </t>
  </si>
  <si>
    <t>4921017906331093</t>
  </si>
  <si>
    <t xml:space="preserve">PAOLA FELIX                                                                                                                                                                                                                                                    </t>
  </si>
  <si>
    <t>5415017890150663</t>
  </si>
  <si>
    <t xml:space="preserve">CASA NO 19                                                                                          </t>
  </si>
  <si>
    <t xml:space="preserve">ANDRES CABRERA                                                                                                                                                                                                                                                 </t>
  </si>
  <si>
    <t>4921017623489489</t>
  </si>
  <si>
    <t xml:space="preserve">SIMON BOLIVAR                                                                                       </t>
  </si>
  <si>
    <t xml:space="preserve">RONNY FELIZ                                                                                                                                                                                                                                                    </t>
  </si>
  <si>
    <t>4025017909720346</t>
  </si>
  <si>
    <t xml:space="preserve">ABRAHAM TEJEDA                                                                                                                                                                                                                                                 </t>
  </si>
  <si>
    <t>4966017831219576</t>
  </si>
  <si>
    <t xml:space="preserve">ARLINGTON RODRIGUEZ                                                                                                                                                                                                                                            </t>
  </si>
  <si>
    <t>4921017902111443</t>
  </si>
  <si>
    <t xml:space="preserve">NO 138                                                                                              </t>
  </si>
  <si>
    <t xml:space="preserve">SANTO UBEN CABRAL                                                                                                                                                                                                                                              </t>
  </si>
  <si>
    <t>4921017903181585</t>
  </si>
  <si>
    <t xml:space="preserve">YANELLY TEJEDA                                                                                                                                                                                                                                                 </t>
  </si>
  <si>
    <t>4921017780364092</t>
  </si>
  <si>
    <t xml:space="preserve">MANUEL GONZALEZ                                                                                                                                                                                                                                                </t>
  </si>
  <si>
    <t>4921017892584868</t>
  </si>
  <si>
    <t xml:space="preserve">MIRELANIA ARIAS                                                                                                                                                                                                                                                </t>
  </si>
  <si>
    <t>5188017895037420</t>
  </si>
  <si>
    <t xml:space="preserve">CAPOTILLO                                                                                           </t>
  </si>
  <si>
    <t xml:space="preserve">MARILEIDY FIGUEROA                                                                                                                                                                                                                                             </t>
  </si>
  <si>
    <t>5415017904840308</t>
  </si>
  <si>
    <t xml:space="preserve">PEDRO ROSARIO                                                                                                                                                                                                                                                  </t>
  </si>
  <si>
    <t>5415017904928599</t>
  </si>
  <si>
    <t xml:space="preserve">NO 5                                                                                                </t>
  </si>
  <si>
    <t xml:space="preserve">CARLOS VILLAR                                                                                                                                                                                                                                                  </t>
  </si>
  <si>
    <t>5188017791612201</t>
  </si>
  <si>
    <t xml:space="preserve">TORRE EMILIDAY VII EDF 12                                                                           </t>
  </si>
  <si>
    <t xml:space="preserve">ELVIS VASQUEZ                                                                                                                                                                                                                                                  </t>
  </si>
  <si>
    <t>4921017529399249</t>
  </si>
  <si>
    <t xml:space="preserve">EDIF BEPENSA DOMINICANA SEGUNDO NIVEL                                                               </t>
  </si>
  <si>
    <t xml:space="preserve">DEGILAURYS ALMANZAR AYBAR                                                                                                                                                                                                                                      </t>
  </si>
  <si>
    <t>4921017850457943</t>
  </si>
  <si>
    <t xml:space="preserve">FELIX FRIAS                                                                                                                                                                                                                                                    </t>
  </si>
  <si>
    <t>4921017808715958</t>
  </si>
  <si>
    <t xml:space="preserve">YLADIA GONZALEZ                                                                                                                                                                                                                                                </t>
  </si>
  <si>
    <t>4921017815692898</t>
  </si>
  <si>
    <t xml:space="preserve">CAMINO CHIQUITO                                                                                     </t>
  </si>
  <si>
    <t xml:space="preserve">KARLA RODRIGUEZ                                                                                                                                                                                                                                                </t>
  </si>
  <si>
    <t>4921017875723487</t>
  </si>
  <si>
    <t xml:space="preserve">EDIFICIO 1M4                                                                                        </t>
  </si>
  <si>
    <t xml:space="preserve">RICHARD DE LA ROSA                                                                                                                                                                                                                                             </t>
  </si>
  <si>
    <t>4921017771763515</t>
  </si>
  <si>
    <t xml:space="preserve">RESEIDENCIAL BLANCO                                                                                 </t>
  </si>
  <si>
    <t xml:space="preserve">BRITTANY PUELLO                                                                                                                                                                                                                                                </t>
  </si>
  <si>
    <t>4921017877273333</t>
  </si>
  <si>
    <t xml:space="preserve">ROBERT CORNIEL                                                                                                                                                                                                                                                 </t>
  </si>
  <si>
    <t>4921017877122364</t>
  </si>
  <si>
    <t xml:space="preserve">ESQ JOSE DE JESUS RAVELO                                                                            </t>
  </si>
  <si>
    <t xml:space="preserve">JOLIE CRISTINA                                                                                                                                                                                                                                                 </t>
  </si>
  <si>
    <t>4966017422208451</t>
  </si>
  <si>
    <t xml:space="preserve">CASA 9                                                                                              </t>
  </si>
  <si>
    <t xml:space="preserve">GHELEN ROSARIO                                                                                                                                                                                                                                                 </t>
  </si>
  <si>
    <t>4921017882328033</t>
  </si>
  <si>
    <t xml:space="preserve">CHAMAGRI MARTE                                                                                                                                                                                                                                                 </t>
  </si>
  <si>
    <t>4921017906280412</t>
  </si>
  <si>
    <t xml:space="preserve">LEONEL OGANDO                                                                                                                                                                                                                                                  </t>
  </si>
  <si>
    <t>4921017906677499</t>
  </si>
  <si>
    <t xml:space="preserve">METRO PLAZA                                                                                         </t>
  </si>
  <si>
    <t xml:space="preserve">CARLOS GONZALEZ                                                                                                                                                                                                                                                </t>
  </si>
  <si>
    <t>5188017905673883</t>
  </si>
  <si>
    <t xml:space="preserve">LOS PRADOS                                                                                          </t>
  </si>
  <si>
    <t xml:space="preserve">GENESIS BERROA                                                                                                                                                                                                                                                 </t>
  </si>
  <si>
    <t>5415017904446745</t>
  </si>
  <si>
    <t xml:space="preserve">AVE ROMULO BETANCORUT CASI ESQ NUNEZ DE                                                             </t>
  </si>
  <si>
    <t xml:space="preserve">JIM RAMIREZ                                                                                                                                                                                                                                                    </t>
  </si>
  <si>
    <t>4921017908547987</t>
  </si>
  <si>
    <t xml:space="preserve">MELQUISEDEC ESPINOSA                                                                                                                                                                                                                                           </t>
  </si>
  <si>
    <t>4921017906123785</t>
  </si>
  <si>
    <t xml:space="preserve">YEISON A POLANCO                                                                                                                                                                                                                                               </t>
  </si>
  <si>
    <t>5415017910671474</t>
  </si>
  <si>
    <t xml:space="preserve">JAVIER HERNANDEZ                                                                                                                                                                                                                                               </t>
  </si>
  <si>
    <t>4921017912106049</t>
  </si>
  <si>
    <t xml:space="preserve">JOCELIN MENDEZ                                                                                                                                                                                                                                                 </t>
  </si>
  <si>
    <t>4921017808436196</t>
  </si>
  <si>
    <t xml:space="preserve">MARCOS BAUTISTA                                                                                                                                                                                                                                                </t>
  </si>
  <si>
    <t>4921017591440352</t>
  </si>
  <si>
    <t>ENTREGA DIGITAL</t>
  </si>
  <si>
    <t xml:space="preserve">SI </t>
  </si>
  <si>
    <t>00117089136</t>
  </si>
  <si>
    <t>SI</t>
  </si>
  <si>
    <t xml:space="preserve">HOTEL IMPRESSIVE PUNTA CANA                                                                         </t>
  </si>
  <si>
    <t>02400165847</t>
  </si>
  <si>
    <t xml:space="preserve">RAMON CARABALLO                                                                                                                                                                                                                                                </t>
  </si>
  <si>
    <t>4741017899555352</t>
  </si>
  <si>
    <t xml:space="preserve">PASILLO PRINCIPAL                                                                                   </t>
  </si>
  <si>
    <t>40215752409</t>
  </si>
  <si>
    <t xml:space="preserve">ALMIKAR ABREU                                                                                                                                                                                                                                                  </t>
  </si>
  <si>
    <t>5188017849908091</t>
  </si>
  <si>
    <t>40209497474</t>
  </si>
  <si>
    <t xml:space="preserve">ANYELO RODRIGUEZ                                                                                                                                                                                                                                               </t>
  </si>
  <si>
    <t>4921017822678263</t>
  </si>
  <si>
    <t>01800675090</t>
  </si>
  <si>
    <t xml:space="preserve">JOSE LOPEZ                                                                                                                                                                                                                                                     </t>
  </si>
  <si>
    <t>4921017812000206</t>
  </si>
  <si>
    <t>00117486654</t>
  </si>
  <si>
    <t xml:space="preserve">ISAURA MORA                                                                                                                                                                                                                                                    </t>
  </si>
  <si>
    <t>4025017909740635</t>
  </si>
  <si>
    <t>02800825057</t>
  </si>
  <si>
    <t xml:space="preserve">SANTOS BORQUE                                                                                                                                                                                                                                                  </t>
  </si>
  <si>
    <t>4921017757635801</t>
  </si>
  <si>
    <t xml:space="preserve">VILLA CERRO                                                                                         </t>
  </si>
  <si>
    <t>02801156643</t>
  </si>
  <si>
    <t xml:space="preserve">JAVIER MOTA                                                                                                                                                                                                                                                    </t>
  </si>
  <si>
    <t>5415017903928302</t>
  </si>
  <si>
    <t xml:space="preserve">VILLA HERMOSA                                                                                       </t>
  </si>
  <si>
    <t>40228738452</t>
  </si>
  <si>
    <t xml:space="preserve">EBRAULI ANTIGUA                                                                                                                                                                                                                                                </t>
  </si>
  <si>
    <t>5188017905747209</t>
  </si>
  <si>
    <t>5415017903981833</t>
  </si>
  <si>
    <t>40218908347</t>
  </si>
  <si>
    <t xml:space="preserve">LISBETH SEVERINO                                                                                                                                                                                                                                               </t>
  </si>
  <si>
    <t>4025017678732782</t>
  </si>
  <si>
    <t xml:space="preserve">LOS SAJOUR                                                                                          </t>
  </si>
  <si>
    <t>40218469571</t>
  </si>
  <si>
    <t xml:space="preserve">BELKIS CASTILLO REYES                                                                                                                                                                                                                                          </t>
  </si>
  <si>
    <t>5188017905328021</t>
  </si>
  <si>
    <t>40211484064</t>
  </si>
  <si>
    <t xml:space="preserve">WILKANIA ZORRILLA                                                                                                                                                                                                                                              </t>
  </si>
  <si>
    <t>5415017903959207</t>
  </si>
  <si>
    <t xml:space="preserve">CASA NO 22                                                                                          </t>
  </si>
  <si>
    <t>40210869711</t>
  </si>
  <si>
    <t xml:space="preserve">LEINYS HIDALGO                                                                                                                                                                                                                                                 </t>
  </si>
  <si>
    <t>5415017829205768</t>
  </si>
  <si>
    <t>02301572562</t>
  </si>
  <si>
    <t xml:space="preserve">ANA RODRIGUEZ                                                                                                                                                                                                                                                  </t>
  </si>
  <si>
    <t>5227017905253072</t>
  </si>
  <si>
    <t>02300954647</t>
  </si>
  <si>
    <t xml:space="preserve">MAXIMO ADAMES                                                                                                                                                                                                                                                  </t>
  </si>
  <si>
    <t>5188017905436743</t>
  </si>
  <si>
    <t>11800093392</t>
  </si>
  <si>
    <t xml:space="preserve">HERIBERTO ULLOLA                                                                                                                                                                                                                                               </t>
  </si>
  <si>
    <t>4966017907027702</t>
  </si>
  <si>
    <t>02301472185</t>
  </si>
  <si>
    <t xml:space="preserve">HENRY AVILA RAMIREZ                                                                                                                                                                                                                                            </t>
  </si>
  <si>
    <t>4921017662880456</t>
  </si>
  <si>
    <t>40232827762</t>
  </si>
  <si>
    <t xml:space="preserve">DARWIN PEREZ                                                                                                                                                                                                                                                   </t>
  </si>
  <si>
    <t>4921017819811970</t>
  </si>
  <si>
    <t>40236109415</t>
  </si>
  <si>
    <t xml:space="preserve">KASSANDRA SILVESTRE                                                                                                                                                                                                                                            </t>
  </si>
  <si>
    <t>4921017827182399</t>
  </si>
  <si>
    <t>5415017838130810</t>
  </si>
  <si>
    <t>02301610289</t>
  </si>
  <si>
    <t xml:space="preserve">DARLIN GERMAN                                                                                                                                                                                                                                                  </t>
  </si>
  <si>
    <t>5188017824581306</t>
  </si>
  <si>
    <t xml:space="preserve">RESIDENCIAL VILLAS ABALON 5                                                                         </t>
  </si>
  <si>
    <t>40239912955</t>
  </si>
  <si>
    <t xml:space="preserve">MARIA CABRAL                                                                                                                                                                                                                                                   </t>
  </si>
  <si>
    <t>4921017877137686</t>
  </si>
  <si>
    <t xml:space="preserve">RES CANOLOF I                                                                                       </t>
  </si>
  <si>
    <t>00113082903</t>
  </si>
  <si>
    <t xml:space="preserve">ROSITA BOCIO CASANOVA                                                                                                                                                                                                                                          </t>
  </si>
  <si>
    <t>4921017814476638</t>
  </si>
  <si>
    <t xml:space="preserve">EL BONAO                                                                                            </t>
  </si>
  <si>
    <t>40200322879</t>
  </si>
  <si>
    <t xml:space="preserve">JOSE EUSEBIO                                                                                                                                                                                                                                                   </t>
  </si>
  <si>
    <t>4921017902050464</t>
  </si>
  <si>
    <t xml:space="preserve">EDF MUNDO AUTENTICO                                                                                 </t>
  </si>
  <si>
    <t>40201472327</t>
  </si>
  <si>
    <t xml:space="preserve">ESTEBAN OZUNA                                                                                                                                                                                                                                                  </t>
  </si>
  <si>
    <t>4921017902935463</t>
  </si>
  <si>
    <t xml:space="preserve">SECTOR LINEA NUEVA                                                                                  </t>
  </si>
  <si>
    <t>22301502823</t>
  </si>
  <si>
    <t xml:space="preserve">MARIA FLORENCIO                                                                                                                                                                                                                                                </t>
  </si>
  <si>
    <t>4921017902126489</t>
  </si>
  <si>
    <t>40249907169</t>
  </si>
  <si>
    <t xml:space="preserve">RAFAEL DE LA CRUZ                                                                                                                                                                                                                                              </t>
  </si>
  <si>
    <t>4921017902770804</t>
  </si>
  <si>
    <t>40212218867</t>
  </si>
  <si>
    <t xml:space="preserve">ANEUDIS LUCIANO                                                                                                                                                                                                                                                </t>
  </si>
  <si>
    <t>4921017896872221</t>
  </si>
  <si>
    <t>40220287870</t>
  </si>
  <si>
    <t xml:space="preserve">GUILLERMINA CASTILLO                                                                                                                                                                                                                                           </t>
  </si>
  <si>
    <t>4025017903409746</t>
  </si>
  <si>
    <t xml:space="preserve">CASA NO 15                                                                                          </t>
  </si>
  <si>
    <t>02800240570</t>
  </si>
  <si>
    <t xml:space="preserve">FELIPE CASTILLO                                                                                                                                                                                                                                                </t>
  </si>
  <si>
    <t>5188017901087449</t>
  </si>
  <si>
    <t>40219943335</t>
  </si>
  <si>
    <t xml:space="preserve">PAULINA MERCEDES M                                                                                                                                                                                                                                             </t>
  </si>
  <si>
    <t>4921017902184884</t>
  </si>
  <si>
    <t>40237878190</t>
  </si>
  <si>
    <t xml:space="preserve">FAVIANI RODRIGUEZ                                                                                                                                                                                                                                              </t>
  </si>
  <si>
    <t>4921017903007511</t>
  </si>
  <si>
    <t>40226233977</t>
  </si>
  <si>
    <t xml:space="preserve">EURY ORTIZ                                                                                                                                                                                                                                                     </t>
  </si>
  <si>
    <t>5188017900704161</t>
  </si>
  <si>
    <t>02301117129</t>
  </si>
  <si>
    <t xml:space="preserve">ANGELA FLORENTINO                                                                                                                                                                                                                                              </t>
  </si>
  <si>
    <t>4921017901562273</t>
  </si>
  <si>
    <t xml:space="preserve">SANTA FE                                                                                            </t>
  </si>
  <si>
    <t>40247587617</t>
  </si>
  <si>
    <t xml:space="preserve">YEFRI PEREZ                                                                                                                                                                                                                                                    </t>
  </si>
  <si>
    <t>4921017901379302</t>
  </si>
  <si>
    <t>40260001744</t>
  </si>
  <si>
    <t xml:space="preserve">RAMON REYNA                                                                                                                                                                                                                                                    </t>
  </si>
  <si>
    <t>4921017902706789</t>
  </si>
  <si>
    <t>02300386287</t>
  </si>
  <si>
    <t xml:space="preserve">NICANOR MARTINEZ                                                                                                                                                                                                                                               </t>
  </si>
  <si>
    <t>5415017900123297</t>
  </si>
  <si>
    <t>02301386724</t>
  </si>
  <si>
    <t xml:space="preserve">GRISELDA MORALES                                                                                                                                                                                                                                               </t>
  </si>
  <si>
    <t>4921017902030264</t>
  </si>
  <si>
    <t>02301228819</t>
  </si>
  <si>
    <t xml:space="preserve">ASONI ODILON                                                                                                                                                                                                                                                   </t>
  </si>
  <si>
    <t>5549017900584437</t>
  </si>
  <si>
    <t xml:space="preserve">RECIDENCIAL LOS ALTOS DE ABRAHAN                                                                    </t>
  </si>
  <si>
    <t>40226045272</t>
  </si>
  <si>
    <t xml:space="preserve">YUREISY CESPEDE                                                                                                                                                                                                                                                </t>
  </si>
  <si>
    <t>5549017894736116</t>
  </si>
  <si>
    <t>02300536717</t>
  </si>
  <si>
    <t xml:space="preserve">DOMINGA CASTILLO                                                                                                                                                                                                                                               </t>
  </si>
  <si>
    <t>4921017802011839</t>
  </si>
  <si>
    <t>00101704807</t>
  </si>
  <si>
    <t xml:space="preserve">JUANA SUAREZ                                                                                                                                                                                                                                                   </t>
  </si>
  <si>
    <t>4921017897005979</t>
  </si>
  <si>
    <t>02300806565</t>
  </si>
  <si>
    <t xml:space="preserve">HEURYS TEJEDA                                                                                                                                                                                                                                                  </t>
  </si>
  <si>
    <t>4921017897150067</t>
  </si>
  <si>
    <t>02301511768</t>
  </si>
  <si>
    <t xml:space="preserve">FRANKLYN RAMIREZ                                                                                                                                                                                                                                               </t>
  </si>
  <si>
    <t>4921017898293613</t>
  </si>
  <si>
    <t>02300876618</t>
  </si>
  <si>
    <t xml:space="preserve">FRANKLIN PEREZ                                                                                                                                                                                                                                                 </t>
  </si>
  <si>
    <t>4921017736589604</t>
  </si>
  <si>
    <t>40222271807</t>
  </si>
  <si>
    <t xml:space="preserve">ESTEFANI MORETA                                                                                                                                                                                                                                                </t>
  </si>
  <si>
    <t>5415017329873112</t>
  </si>
  <si>
    <t xml:space="preserve">4 CAMINOS                                                                                           </t>
  </si>
  <si>
    <t>40226899470</t>
  </si>
  <si>
    <t xml:space="preserve">PAOLA RICHARDSON                                                                                                                                                                                                                                               </t>
  </si>
  <si>
    <t>4921017902696812</t>
  </si>
  <si>
    <t>02301648776</t>
  </si>
  <si>
    <t xml:space="preserve">WILLY HERNANDEZ                                                                                                                                                                                                                                                </t>
  </si>
  <si>
    <t>4921017901406069</t>
  </si>
  <si>
    <t>40227633464</t>
  </si>
  <si>
    <t xml:space="preserve">MAYELYN PEGUERO                                                                                                                                                                                                                                                </t>
  </si>
  <si>
    <t>4921017901273265</t>
  </si>
  <si>
    <t xml:space="preserve">DUARTE  195 SANTA ANA                                                                               </t>
  </si>
  <si>
    <t>40209802288</t>
  </si>
  <si>
    <t xml:space="preserve">YORIANNY GERMAN                                                                                                                                                                                                                                                </t>
  </si>
  <si>
    <t>5192017901147606</t>
  </si>
  <si>
    <t>00105721062</t>
  </si>
  <si>
    <t>ODALIS SILVERIO</t>
  </si>
  <si>
    <t>5188017885249857</t>
  </si>
  <si>
    <t>40200624076</t>
  </si>
  <si>
    <t>ANABEL HINOJOSA</t>
  </si>
  <si>
    <t>4921017892455034</t>
  </si>
  <si>
    <t>00103597241</t>
  </si>
  <si>
    <t>MARIA FRIAS</t>
  </si>
  <si>
    <t>4025017774115057</t>
  </si>
  <si>
    <t xml:space="preserve">NS AUT SOURCING                                                                                     </t>
  </si>
  <si>
    <t>40215572278</t>
  </si>
  <si>
    <t xml:space="preserve">DIOMEDES PIMENTEL H                                                                                                                                                                                                                                            </t>
  </si>
  <si>
    <t>4921017887625466</t>
  </si>
  <si>
    <t xml:space="preserve">RESIDENCIAL LOS YOLA LO MAESTRO                                                                     </t>
  </si>
  <si>
    <t>00114101066</t>
  </si>
  <si>
    <t xml:space="preserve">MARCELINO SANCHEZ                                                                                                                                                                                                                                              </t>
  </si>
  <si>
    <t>4921017886624771</t>
  </si>
  <si>
    <t>40212556407</t>
  </si>
  <si>
    <t xml:space="preserve">SAMUEL MEDINA NUNEZ                                                                                                                                                                                                                                            </t>
  </si>
  <si>
    <t>5415017864329758</t>
  </si>
  <si>
    <t xml:space="preserve">EDF 104 APTO 101                                                                                    </t>
  </si>
  <si>
    <t>40212701490</t>
  </si>
  <si>
    <t xml:space="preserve">FARAH GUZMAN                                                                                                                                                                                                                                                   </t>
  </si>
  <si>
    <t>5549017859683108</t>
  </si>
  <si>
    <t>00110559119</t>
  </si>
  <si>
    <t xml:space="preserve">JULIO CORONADO P                                                                                                                                                                                                                                               </t>
  </si>
  <si>
    <t>4921017886823459</t>
  </si>
  <si>
    <t>40209062310</t>
  </si>
  <si>
    <t xml:space="preserve">CLAUDIA GUZMAN                                                                                                                                                                                                                                                 </t>
  </si>
  <si>
    <t>4921017846497402</t>
  </si>
  <si>
    <t>00113324685</t>
  </si>
  <si>
    <t xml:space="preserve">JUNIOR MEDINA                                                                                                                                                                                                                                                  </t>
  </si>
  <si>
    <t>4921017707462453</t>
  </si>
  <si>
    <t xml:space="preserve">CASI ESQ LUPERON                                                                                    </t>
  </si>
  <si>
    <t>40224882312</t>
  </si>
  <si>
    <t xml:space="preserve">FRANKLYN GRULLON                                                                                                                                                                                                                                               </t>
  </si>
  <si>
    <t>4921017860572801</t>
  </si>
  <si>
    <t xml:space="preserve">SEMBRADOR III                                                                                       </t>
  </si>
  <si>
    <t>40229948886</t>
  </si>
  <si>
    <t xml:space="preserve">ANA ORTIZ CASTILLO                                                                                                                                                                                                                                             </t>
  </si>
  <si>
    <t>4921017880390049</t>
  </si>
  <si>
    <t xml:space="preserve">LA REDENCION                                                                                        </t>
  </si>
  <si>
    <t>40259896427</t>
  </si>
  <si>
    <t xml:space="preserve">MARIA DE LOS SANTOS                                                                                                                                                                                                                                            </t>
  </si>
  <si>
    <t>4921017863162455</t>
  </si>
  <si>
    <t xml:space="preserve">CAMPO LINDO                                                                                         </t>
  </si>
  <si>
    <t>40235123458</t>
  </si>
  <si>
    <t xml:space="preserve">PEDRO MORETA                                                                                                                                                                                                                                                   </t>
  </si>
  <si>
    <t>4921017887314293</t>
  </si>
  <si>
    <t xml:space="preserve">CALLE DUARTE CASA NO 14                                                                             </t>
  </si>
  <si>
    <t>40228594251</t>
  </si>
  <si>
    <t xml:space="preserve">RONAL PEREZ                                                                                                                                                                                                                                                    </t>
  </si>
  <si>
    <t>4921017860876312</t>
  </si>
  <si>
    <t>40212254623</t>
  </si>
  <si>
    <t xml:space="preserve">NATANAEL RAMIREZ                                                                                                                                                                                                                                               </t>
  </si>
  <si>
    <t>4921017843442729</t>
  </si>
  <si>
    <t>01200639522</t>
  </si>
  <si>
    <t xml:space="preserve">JUAN DE TEJEDA                                                                                                                                                                                                                                                 </t>
  </si>
  <si>
    <t>4921017845596957</t>
  </si>
  <si>
    <t xml:space="preserve">BARRIO PUERTO RICO                                                                                  </t>
  </si>
  <si>
    <t>40224483020</t>
  </si>
  <si>
    <t xml:space="preserve">CARLOS DISLA                                                                                                                                                                                                                                                   </t>
  </si>
  <si>
    <t>4921017853596599</t>
  </si>
  <si>
    <t xml:space="preserve">CAONABO NO 13                                                                                       </t>
  </si>
  <si>
    <t>40227121734</t>
  </si>
  <si>
    <t xml:space="preserve">EVA JAVIER                                                                                                                                                                                                                                                     </t>
  </si>
  <si>
    <t>5415017859420240</t>
  </si>
  <si>
    <t xml:space="preserve">CLUB DE LEONES NO 206                                                                               </t>
  </si>
  <si>
    <t>00116260977</t>
  </si>
  <si>
    <t xml:space="preserve">JUNY TAVERAS H                                                                                                                                                                                                                                                 </t>
  </si>
  <si>
    <t>5227017855819021</t>
  </si>
  <si>
    <t xml:space="preserve">MANZ 12 PEATONAL 3 CASA 33                                                                          </t>
  </si>
  <si>
    <t>40236017519</t>
  </si>
  <si>
    <t xml:space="preserve">EDWIN HERRERA                                                                                                                                                                                                                                                  </t>
  </si>
  <si>
    <t>5415017848256175</t>
  </si>
  <si>
    <t xml:space="preserve">MANZ 47 19 EDF 1 APTO 1D                                                                            </t>
  </si>
  <si>
    <t>00104907506</t>
  </si>
  <si>
    <t xml:space="preserve">PABLO ADON ROJAS                                                                                                                                                                                                                                               </t>
  </si>
  <si>
    <t>5188017848881130</t>
  </si>
  <si>
    <t xml:space="preserve">CANSINO                                                                                             </t>
  </si>
  <si>
    <t>40232229878</t>
  </si>
  <si>
    <t xml:space="preserve">FRANCELY CARABALLO                                                                                                                                                                                                                                             </t>
  </si>
  <si>
    <t>4921017885744003</t>
  </si>
  <si>
    <t xml:space="preserve">LOS PRADOS DE SAN LUIS                                                                              </t>
  </si>
  <si>
    <t>40237234592</t>
  </si>
  <si>
    <t xml:space="preserve">YOHANTONY ACOSTA                                                                                                                                                                                                                                               </t>
  </si>
  <si>
    <t>4921017902152314</t>
  </si>
  <si>
    <t xml:space="preserve">RESD MARIA MERCEDES MANZ C SAN ISIDRO                                                               </t>
  </si>
  <si>
    <t>40219110661</t>
  </si>
  <si>
    <t xml:space="preserve">JEREMY ZACARIA FELIX                                                                                                                                                                                                                                           </t>
  </si>
  <si>
    <t>4921017902954419</t>
  </si>
  <si>
    <t xml:space="preserve">LOS EDUCADORES                                                                                      </t>
  </si>
  <si>
    <t>40247084375</t>
  </si>
  <si>
    <t xml:space="preserve">DIEGO CAMEJO                                                                                                                                                                                                                                                   </t>
  </si>
  <si>
    <t>5192017901127571</t>
  </si>
  <si>
    <t xml:space="preserve">EDIF 54 PISO 1E                                                                                     </t>
  </si>
  <si>
    <t>U</t>
  </si>
  <si>
    <t>40229714148</t>
  </si>
  <si>
    <t xml:space="preserve">JEREMI CASADO                                                                                                                                                                                                                                                  </t>
  </si>
  <si>
    <t>4921017898944707</t>
  </si>
  <si>
    <t>40208176533</t>
  </si>
  <si>
    <t xml:space="preserve">ELIEZER DE LA ROSA                                                                                                                                                                                                                                             </t>
  </si>
  <si>
    <t>4921017842922742</t>
  </si>
  <si>
    <t>40200947824</t>
  </si>
  <si>
    <t xml:space="preserve">YESIEL MONTERO                                                                                                                                                                                                                                                 </t>
  </si>
  <si>
    <t>4921017902544556</t>
  </si>
  <si>
    <t>40244974941</t>
  </si>
  <si>
    <t xml:space="preserve">EMILIA ELOT                                                                                                                                                                                                                                                    </t>
  </si>
  <si>
    <t>5415017900421733</t>
  </si>
  <si>
    <t xml:space="preserve">URB MOISES VILLA FARO                                                                               </t>
  </si>
  <si>
    <t>22301361063</t>
  </si>
  <si>
    <t xml:space="preserve">YSABELITA GALVAN                                                                                                                                                                                                                                               </t>
  </si>
  <si>
    <t>5188017895575978</t>
  </si>
  <si>
    <t>22301587642</t>
  </si>
  <si>
    <t xml:space="preserve">FRANCHESCA RAMIREZ                                                                                                                                                                                                                                             </t>
  </si>
  <si>
    <t>5188017895231263</t>
  </si>
  <si>
    <t xml:space="preserve">ALMA ROSA 1                                                                                         </t>
  </si>
  <si>
    <t>40225367040</t>
  </si>
  <si>
    <t xml:space="preserve">KATHERINE DELOS SANTO                                                                                                                                                                                                                                          </t>
  </si>
  <si>
    <t>4921017895882250</t>
  </si>
  <si>
    <t>40214133874</t>
  </si>
  <si>
    <t xml:space="preserve">KATHERINE SANTO CRUZ                                                                                                                                                                                                                                           </t>
  </si>
  <si>
    <t>5415017893897959</t>
  </si>
  <si>
    <t>40230346393</t>
  </si>
  <si>
    <t xml:space="preserve">LIVIO PEGUERO                                                                                                                                                                                                                                                  </t>
  </si>
  <si>
    <t>5415017894125609</t>
  </si>
  <si>
    <t xml:space="preserve">AMPARO DECENA CASA 4                                                                                </t>
  </si>
  <si>
    <t>40241110655</t>
  </si>
  <si>
    <t xml:space="preserve">ENRIQUE SUGILIO                                                                                                                                                                                                                                                </t>
  </si>
  <si>
    <t>4921017896181239</t>
  </si>
  <si>
    <t xml:space="preserve">RESIDENCIAL NUEVO SOL NACIENTE                                                                      </t>
  </si>
  <si>
    <t>40200710024</t>
  </si>
  <si>
    <t xml:space="preserve">JOSE ASENCIO                                                                                                                                                                                                                                                   </t>
  </si>
  <si>
    <t>5188017895277828</t>
  </si>
  <si>
    <t xml:space="preserve">URBANIZACION LUCERNA                                                                                </t>
  </si>
  <si>
    <t>40247608983</t>
  </si>
  <si>
    <t xml:space="preserve">MILAGROS CONCEPCION                                                                                                                                                                                                                                            </t>
  </si>
  <si>
    <t>4921017896814050</t>
  </si>
  <si>
    <t xml:space="preserve">NO 17                                                                                               </t>
  </si>
  <si>
    <t>22300175035</t>
  </si>
  <si>
    <t xml:space="preserve">ANGELA ARIAS                                                                                                                                                                                                                                                   </t>
  </si>
  <si>
    <t>4921017885719428</t>
  </si>
  <si>
    <t xml:space="preserve">APTO 2-2                                                                                            </t>
  </si>
  <si>
    <t>22500658582</t>
  </si>
  <si>
    <t xml:space="preserve">KAHOMI TAVERAS                                                                                                                                                                                                                                                 </t>
  </si>
  <si>
    <t>5400017894829033</t>
  </si>
  <si>
    <t>00301070348</t>
  </si>
  <si>
    <t xml:space="preserve">CATERYS RIVERA                                                                                                                                                                                                                                                 </t>
  </si>
  <si>
    <t>5188017801361962</t>
  </si>
  <si>
    <t xml:space="preserve">BLOQUE 2                                                                                            </t>
  </si>
  <si>
    <t>40217234562</t>
  </si>
  <si>
    <t xml:space="preserve">DYLAN TEJEDA GARCIA                                                                                                                                                                                                                                            </t>
  </si>
  <si>
    <t>5192017755235972</t>
  </si>
  <si>
    <t>00109234625</t>
  </si>
  <si>
    <t xml:space="preserve">VICTORIA BALBUENA                                                                                                                                                                                                                                              </t>
  </si>
  <si>
    <t>5415017867980094</t>
  </si>
  <si>
    <t xml:space="preserve">CODOMIN ORTEGA Y GASSET EDFI 4                                                                      </t>
  </si>
  <si>
    <t>40215024544</t>
  </si>
  <si>
    <t xml:space="preserve">STACY MORENO MORENO                                                                                                                                                                                                                                            </t>
  </si>
  <si>
    <t>4921017853238624</t>
  </si>
  <si>
    <t xml:space="preserve">HOSPITAL LOS AMERICANOS                                                                             </t>
  </si>
  <si>
    <t>40201804214</t>
  </si>
  <si>
    <t xml:space="preserve">LAURA FAMILIA                                                                                                                                                                                                                                                  </t>
  </si>
  <si>
    <t>4921017807348751</t>
  </si>
  <si>
    <t>02200364046</t>
  </si>
  <si>
    <t xml:space="preserve">ELPIDIO LUISA                                                                                                                                                                                                                                                  </t>
  </si>
  <si>
    <t>4921017806511087</t>
  </si>
  <si>
    <t>40242509194</t>
  </si>
  <si>
    <t xml:space="preserve">DAHIOMI SANTANA                                                                                                                                                                                                                                                </t>
  </si>
  <si>
    <t>5188017873479839</t>
  </si>
  <si>
    <t>40219430937</t>
  </si>
  <si>
    <t xml:space="preserve">CAMILA MORENO                                                                                                                                                                                                                                                  </t>
  </si>
  <si>
    <t>5188017905506614</t>
  </si>
  <si>
    <t>00115142002</t>
  </si>
  <si>
    <t xml:space="preserve">ANGEL CABRERA                                                                                                                                                                                                                                                  </t>
  </si>
  <si>
    <t>4966017906985611</t>
  </si>
  <si>
    <t>40235221609</t>
  </si>
  <si>
    <t xml:space="preserve">GABRIEL METIVIER                                                                                                                                                                                                                                               </t>
  </si>
  <si>
    <t>5400017672942225</t>
  </si>
  <si>
    <t>00301180907</t>
  </si>
  <si>
    <t xml:space="preserve">ROBERSY LARA                                                                                                                                                                                                                                                   </t>
  </si>
  <si>
    <t>4921017897445298</t>
  </si>
  <si>
    <t>00201491438</t>
  </si>
  <si>
    <t xml:space="preserve">KANEUDYS ALIES MATEO                                                                                                                                                                                                                                           </t>
  </si>
  <si>
    <t>4921017895722927</t>
  </si>
  <si>
    <t>00101053346</t>
  </si>
  <si>
    <t xml:space="preserve">FRANQUELIN CUEVAS                                                                                                                                                                                                                                              </t>
  </si>
  <si>
    <t>5188017860260679</t>
  </si>
  <si>
    <t>02800543288</t>
  </si>
  <si>
    <t xml:space="preserve">YASMIN MARRERO                                                                                                                                                                                                                                                 </t>
  </si>
  <si>
    <t>5188017817526178</t>
  </si>
  <si>
    <t xml:space="preserve"> PUNTA CANA HIGUEY LA                                                                               </t>
  </si>
  <si>
    <t>40209848676</t>
  </si>
  <si>
    <t xml:space="preserve">DALVIN CIPRIAN                                                                                                                                                                                                                                                 </t>
  </si>
  <si>
    <t>5188017895422804</t>
  </si>
  <si>
    <t>02800856466</t>
  </si>
  <si>
    <t xml:space="preserve">IRIS CONTRERAS                                                                                                                                                                                                                                                 </t>
  </si>
  <si>
    <t>5227017894866483</t>
  </si>
  <si>
    <t xml:space="preserve">VERON BAVARO                                                                                        </t>
  </si>
  <si>
    <t>40232591715</t>
  </si>
  <si>
    <t xml:space="preserve">AMEL MARTINEZ                                                                                                                                                                                                                                                  </t>
  </si>
  <si>
    <t>5415017893433379</t>
  </si>
  <si>
    <t xml:space="preserve">VILLAS 26B VISTACANA                                                                                </t>
  </si>
  <si>
    <t>40225163977</t>
  </si>
  <si>
    <t xml:space="preserve">OLIVER OSORIO                                                                                                                                                                                                                                                  </t>
  </si>
  <si>
    <t>5415017742952113</t>
  </si>
  <si>
    <t>07600240050</t>
  </si>
  <si>
    <t xml:space="preserve">JANSEL CASTILLO                                                                                                                                                                                                                                                </t>
  </si>
  <si>
    <t>4921017821058818</t>
  </si>
  <si>
    <t>02300523913</t>
  </si>
  <si>
    <t xml:space="preserve">PAULA ALEMAN                                                                                                                                                                                                                                                   </t>
  </si>
  <si>
    <t>4921017898699213</t>
  </si>
  <si>
    <t>02301643520</t>
  </si>
  <si>
    <t xml:space="preserve">JOSELITO CHARLES                                                                                                                                                                                                                                               </t>
  </si>
  <si>
    <t>4921017897882636</t>
  </si>
  <si>
    <t>00118946367</t>
  </si>
  <si>
    <t xml:space="preserve">YANAIRA ORTEGA                                                                                                                                                                                                                                                 </t>
  </si>
  <si>
    <t>4921017898571078</t>
  </si>
  <si>
    <t>40246886895</t>
  </si>
  <si>
    <t xml:space="preserve">ELENA PROSPER                                                                                                                                                                                                                                                  </t>
  </si>
  <si>
    <t>4921017895785726</t>
  </si>
  <si>
    <t xml:space="preserve">BARRIO SARMIENTO                                                                                    </t>
  </si>
  <si>
    <t>02301692824</t>
  </si>
  <si>
    <t xml:space="preserve">DILEINI VASQUEZ                                                                                                                                                                                                                                                </t>
  </si>
  <si>
    <t>4921017896217888</t>
  </si>
  <si>
    <t>40209827142</t>
  </si>
  <si>
    <t xml:space="preserve">YAMILKA APONTE FLORES                                                                                                                                                                                                                                          </t>
  </si>
  <si>
    <t>4921017895752545</t>
  </si>
  <si>
    <t>40224599346</t>
  </si>
  <si>
    <t xml:space="preserve">ARISMENDY MOTA                                                                                                                                                                                                                                                 </t>
  </si>
  <si>
    <t>5188017895470108</t>
  </si>
  <si>
    <t xml:space="preserve">PORVENIR                                                                                            </t>
  </si>
  <si>
    <t>40219054349</t>
  </si>
  <si>
    <t xml:space="preserve">EVELYN MICHEL                                                                                                                                                                                                                                                  </t>
  </si>
  <si>
    <t>4921017897921656</t>
  </si>
  <si>
    <t xml:space="preserve">FILIPINAS                                                                                           </t>
  </si>
  <si>
    <t>02301648727</t>
  </si>
  <si>
    <t xml:space="preserve">ANACARIS FELICIANO                                                                                                                                                                                                                                             </t>
  </si>
  <si>
    <t>4921017897190245</t>
  </si>
  <si>
    <t xml:space="preserve">EDIFICIO DONA ROSA 1B                                                                               </t>
  </si>
  <si>
    <t xml:space="preserve">089181393  </t>
  </si>
  <si>
    <t xml:space="preserve">WILLIAMS PERDOMO A                                                                                                                                                                                                                                             </t>
  </si>
  <si>
    <t>4025017892918400</t>
  </si>
  <si>
    <t>02301388316</t>
  </si>
  <si>
    <t xml:space="preserve">ROOSEVELT MOSQUEA                                                                                                                                                                                                                                              </t>
  </si>
  <si>
    <t>5415017804542383</t>
  </si>
  <si>
    <t>5415017333225840</t>
  </si>
  <si>
    <t>13800081963</t>
  </si>
  <si>
    <t xml:space="preserve">THRYSTEM MONTAS                                                                                                                                                                                                                                                </t>
  </si>
  <si>
    <t>5415017849035535</t>
  </si>
  <si>
    <t>40215105715</t>
  </si>
  <si>
    <t xml:space="preserve">EMILY ANGLADA                                                                                                                                                                                                                                                  </t>
  </si>
  <si>
    <t>4921017845612842</t>
  </si>
  <si>
    <t>14600001748</t>
  </si>
  <si>
    <t xml:space="preserve">FRANCISCO GARCIA FEBLES                                                                                                                                                                                                                                        </t>
  </si>
  <si>
    <t>4966017866888488</t>
  </si>
  <si>
    <t>40252248295</t>
  </si>
  <si>
    <t xml:space="preserve">FRANCHESCA GEORGES                                                                                                                                                                                                                                             </t>
  </si>
  <si>
    <t>4921017553630867</t>
  </si>
  <si>
    <t>02800905800</t>
  </si>
  <si>
    <t xml:space="preserve">FRANCIS DEL ROSARIO                                                                                                                                                                                                                                            </t>
  </si>
  <si>
    <t>4921017808796578</t>
  </si>
  <si>
    <t xml:space="preserve">CASA NO 21                                                                                          </t>
  </si>
  <si>
    <t>40247906866</t>
  </si>
  <si>
    <t xml:space="preserve">ELIAN LOPEZ                                                                                                                                                                                                                                                    </t>
  </si>
  <si>
    <t>4921017830853186</t>
  </si>
  <si>
    <t xml:space="preserve">NO 94                                                                                               </t>
  </si>
  <si>
    <t>40209784657</t>
  </si>
  <si>
    <t xml:space="preserve">DENYI SANTANA VALERIO                                                                                                                                                                                                                                          </t>
  </si>
  <si>
    <t>4921017874833212</t>
  </si>
  <si>
    <t>40210859910</t>
  </si>
  <si>
    <t xml:space="preserve">DARMIN MARTINEZ                                                                                                                                                                                                                                                </t>
  </si>
  <si>
    <t>4921017815185593</t>
  </si>
  <si>
    <t xml:space="preserve">LOS CUNDOS LA OTRA BANDA                                                                            </t>
  </si>
  <si>
    <t>40208848008</t>
  </si>
  <si>
    <t xml:space="preserve">KARINA CUESTA SUERO                                                                                                                                                                                                                                            </t>
  </si>
  <si>
    <t>4921017808546882</t>
  </si>
  <si>
    <t>02800974194</t>
  </si>
  <si>
    <t xml:space="preserve">BIANCA POLANCO                                                                                                                                                                                                                                                 </t>
  </si>
  <si>
    <t>4921017777637299</t>
  </si>
  <si>
    <t xml:space="preserve">APTO 2                                                                                              </t>
  </si>
  <si>
    <t>00301195061</t>
  </si>
  <si>
    <t xml:space="preserve">ALINSON PEGUERO BAEZ                                                                                                                                                                                                                                           </t>
  </si>
  <si>
    <t>4966017796858106</t>
  </si>
  <si>
    <t>00114927205</t>
  </si>
  <si>
    <t xml:space="preserve">ARIEL SANTO                                                                                                                                                                                                                                                    </t>
  </si>
  <si>
    <t>4921017821750898</t>
  </si>
  <si>
    <t>40230086866</t>
  </si>
  <si>
    <t xml:space="preserve">ALEXA FALCONER                                                                                                                                                                                                                                                 </t>
  </si>
  <si>
    <t>5427017894881570</t>
  </si>
  <si>
    <t>13800028287</t>
  </si>
  <si>
    <t>4921017897397930</t>
  </si>
  <si>
    <t>02300029754</t>
  </si>
  <si>
    <t xml:space="preserve">PEDRO VALDEZ                                                                                                                                                                                                                                                   </t>
  </si>
  <si>
    <t>4025017899078658</t>
  </si>
  <si>
    <t>RETORNADA</t>
  </si>
  <si>
    <t>08500119196</t>
  </si>
  <si>
    <t xml:space="preserve">SONEL JEAN                                                                                                                                                                                                                                                     </t>
  </si>
  <si>
    <t>5415017894103501</t>
  </si>
  <si>
    <t>40204612747</t>
  </si>
  <si>
    <t xml:space="preserve">INDHIRA CEDANO                                                                                                                                                                                                                                                 </t>
  </si>
  <si>
    <t>4921017895778890</t>
  </si>
  <si>
    <t>40232295804</t>
  </si>
  <si>
    <t xml:space="preserve">SALLY AVILA CASTILLO                                                                                                                                                                                                                                           </t>
  </si>
  <si>
    <t>5188017734376026</t>
  </si>
  <si>
    <t>40230794410</t>
  </si>
  <si>
    <t xml:space="preserve">ELIA MORALES                                                                                                                                                                                                                                                   </t>
  </si>
  <si>
    <t>5415017769020572</t>
  </si>
  <si>
    <t xml:space="preserve">N/A                                                                                                 </t>
  </si>
  <si>
    <t>02800282291</t>
  </si>
  <si>
    <t xml:space="preserve">SAMUEL APONTE                                                                                                                                                                                                                                                  </t>
  </si>
  <si>
    <t>5415017804585406</t>
  </si>
  <si>
    <t>40233962493</t>
  </si>
  <si>
    <t xml:space="preserve">YOELMI GUZMAN                                                                                                                                                                                                                                                  </t>
  </si>
  <si>
    <t>4921017803231834</t>
  </si>
  <si>
    <t>02301318891</t>
  </si>
  <si>
    <t xml:space="preserve">LUIS SUAREZ                                                                                                                                                                                                                                                    </t>
  </si>
  <si>
    <t>4921017887519444</t>
  </si>
  <si>
    <t xml:space="preserve">BARCELO BAVARO PALACE                                                                               </t>
  </si>
  <si>
    <t>40209876495</t>
  </si>
  <si>
    <t xml:space="preserve">ALBERT GOMEZ                                                                                                                                                                                                                                                   </t>
  </si>
  <si>
    <t>5188017885017586</t>
  </si>
  <si>
    <t>40228477648</t>
  </si>
  <si>
    <t xml:space="preserve">BRAYAN OGANDO                                                                                                                                                                                                                                                  </t>
  </si>
  <si>
    <t>4921017887384098</t>
  </si>
  <si>
    <t>40218722748</t>
  </si>
  <si>
    <t xml:space="preserve">KARINA CASTILLO                                                                                                                                                                                                                                                </t>
  </si>
  <si>
    <t>4921017886642643</t>
  </si>
  <si>
    <t>40211550849</t>
  </si>
  <si>
    <t xml:space="preserve">ALICIA JULIAN MONI                                                                                                                                                                                                                                             </t>
  </si>
  <si>
    <t>4921017886738983</t>
  </si>
  <si>
    <t xml:space="preserve">BARRIO NUEVO                                                                                        </t>
  </si>
  <si>
    <t>40255511616</t>
  </si>
  <si>
    <t xml:space="preserve">JOSE LORENZO                                                                                                                                                                                                                                                   </t>
  </si>
  <si>
    <t>4921017885856391</t>
  </si>
  <si>
    <t>02800068195</t>
  </si>
  <si>
    <t xml:space="preserve">DOLORES DE LA ROSA                                                                                                                                                                                                                                             </t>
  </si>
  <si>
    <t>4921017888585261</t>
  </si>
  <si>
    <t>40215481959</t>
  </si>
  <si>
    <t xml:space="preserve">JAVIER TRINIDAD                                                                                                                                                                                                                                                </t>
  </si>
  <si>
    <t>5188017884757577</t>
  </si>
  <si>
    <t xml:space="preserve">SECTOR LA CRIZ DE ISLENO                                                                            </t>
  </si>
  <si>
    <t>40227905755</t>
  </si>
  <si>
    <t xml:space="preserve">JISSEL GUERRERO                                                                                                                                                                                                                                                </t>
  </si>
  <si>
    <t>5188017884885319</t>
  </si>
  <si>
    <t>40200547590</t>
  </si>
  <si>
    <t xml:space="preserve">GABRIEL MOTA                                                                                                                                                                                                                                                   </t>
  </si>
  <si>
    <t>5415017883138728</t>
  </si>
  <si>
    <t xml:space="preserve">NO19                                                                                                </t>
  </si>
  <si>
    <t>40228348781</t>
  </si>
  <si>
    <t xml:space="preserve">MAYELIN ENCARNACION                                                                                                                                                                                                                                            </t>
  </si>
  <si>
    <t>4921017793286327</t>
  </si>
  <si>
    <t>40228301707</t>
  </si>
  <si>
    <t xml:space="preserve">JENESIS RAMIREZ                                                                                                                                                                                                                                                </t>
  </si>
  <si>
    <t>4921017766532571</t>
  </si>
  <si>
    <t xml:space="preserve">JOSE APARTAMENTOS                                                                                   </t>
  </si>
  <si>
    <t>40211244930</t>
  </si>
  <si>
    <t xml:space="preserve">DARY PACHE                                                                                                                                                                                                                                                     </t>
  </si>
  <si>
    <t>4966017820347357</t>
  </si>
  <si>
    <t>02800902609</t>
  </si>
  <si>
    <t xml:space="preserve">JUAN RODRIGUEZ                                                                                                                                                                                                                                                 </t>
  </si>
  <si>
    <t>4921017877764403</t>
  </si>
  <si>
    <t>40211557125</t>
  </si>
  <si>
    <t xml:space="preserve">ELIAN DE JESUS G                                                                                                                                                                                                                                               </t>
  </si>
  <si>
    <t>5188017884732398</t>
  </si>
  <si>
    <t xml:space="preserve">EL CERRO                                                                                            </t>
  </si>
  <si>
    <t>40218193890</t>
  </si>
  <si>
    <t xml:space="preserve">ARIANDEL PICHARDO                                                                                                                                                                                                                                              </t>
  </si>
  <si>
    <t>5415017883838907</t>
  </si>
  <si>
    <t>02301298218</t>
  </si>
  <si>
    <t xml:space="preserve">LUIS GERONIMO VALDEZ                                                                                                                                                                                                                                           </t>
  </si>
  <si>
    <t>5415017883795407</t>
  </si>
  <si>
    <t>40220191189</t>
  </si>
  <si>
    <t xml:space="preserve">AURA ALMONTE                                                                                                                                                                                                                                                   </t>
  </si>
  <si>
    <t>4025017888757703</t>
  </si>
  <si>
    <t>40223705688</t>
  </si>
  <si>
    <t xml:space="preserve">RUTH SANTANA                                                                                                                                                                                                                                                   </t>
  </si>
  <si>
    <t>5188017884686590</t>
  </si>
  <si>
    <t>02300609597</t>
  </si>
  <si>
    <t xml:space="preserve">JULY CLAXTON                                                                                                                                                                                                                                                   </t>
  </si>
  <si>
    <t>4921017886600316</t>
  </si>
  <si>
    <t>40246434571</t>
  </si>
  <si>
    <t xml:space="preserve">ENMANUEL PENA                                                                                                                                                                                                                                                  </t>
  </si>
  <si>
    <t>4921017886711013</t>
  </si>
  <si>
    <t>02301280059</t>
  </si>
  <si>
    <t xml:space="preserve">YAJAIRA SANCHEZ                                                                                                                                                                                                                                                </t>
  </si>
  <si>
    <t>4921017886594982</t>
  </si>
  <si>
    <t>40221539113</t>
  </si>
  <si>
    <t xml:space="preserve">SHAQUIRA POLANCO                                                                                                                                                                                                                                               </t>
  </si>
  <si>
    <t>4921017887100877</t>
  </si>
  <si>
    <t xml:space="preserve">BO MEXICO SAN PEDRO DE MACORIS                                                                      </t>
  </si>
  <si>
    <t>02301302218</t>
  </si>
  <si>
    <t xml:space="preserve">MELVIN JIMENEZ                                                                                                                                                                                                                                                 </t>
  </si>
  <si>
    <t>5415017883874575</t>
  </si>
  <si>
    <t>ENTREGADA</t>
  </si>
  <si>
    <t>02301196180</t>
  </si>
  <si>
    <t xml:space="preserve">MIGUEL VASQUEZ                                                                                                                                                                                                                                                 </t>
  </si>
  <si>
    <t>4921017885681477</t>
  </si>
  <si>
    <t>02300890247</t>
  </si>
  <si>
    <t xml:space="preserve">MARIBEL MATOS                                                                                                                                                                                                                                                  </t>
  </si>
  <si>
    <t>4921017745282518</t>
  </si>
  <si>
    <t>02400186330</t>
  </si>
  <si>
    <t xml:space="preserve">JUANA SANTANA                                                                                                                                                                                                                                                  </t>
  </si>
  <si>
    <t>4921017695271437</t>
  </si>
  <si>
    <t>40210080830</t>
  </si>
  <si>
    <t xml:space="preserve">ANTONY MATEO                                                                                                                                                                                                                                                   </t>
  </si>
  <si>
    <t>4921017881865799</t>
  </si>
  <si>
    <t>02800959732</t>
  </si>
  <si>
    <t xml:space="preserve">FRANCISCO LANDA                                                                                                                                                                                                                                                </t>
  </si>
  <si>
    <t>5415017879209863</t>
  </si>
  <si>
    <t xml:space="preserve">APTO 2B RESIDENCIAL TUREY II COCOTAL                                                                </t>
  </si>
  <si>
    <t>40222199693</t>
  </si>
  <si>
    <t xml:space="preserve">JORGE LONSO RIERA                                                                                                                                                                                                                                              </t>
  </si>
  <si>
    <t>5523017879063652</t>
  </si>
  <si>
    <t xml:space="preserve">CARRETERA ROMANA SAN PEDRO                                                                          </t>
  </si>
  <si>
    <t>40235342546</t>
  </si>
  <si>
    <t xml:space="preserve">MARIA BOCIO                                                                                                                                                                                                                                                    </t>
  </si>
  <si>
    <t>5415017879407670</t>
  </si>
  <si>
    <t xml:space="preserve">LOTIFICACION VERON                                                                                  </t>
  </si>
  <si>
    <t>29500016273</t>
  </si>
  <si>
    <t xml:space="preserve">RITA DE LOS SANTOS                                                                                                                                                                                                                                             </t>
  </si>
  <si>
    <t>4921017881686964</t>
  </si>
  <si>
    <t>40211213398</t>
  </si>
  <si>
    <t xml:space="preserve">ROSANNY ALCANTARA                                                                                                                                                                                                                                              </t>
  </si>
  <si>
    <t>5415017879556916</t>
  </si>
  <si>
    <t>40219066145</t>
  </si>
  <si>
    <t xml:space="preserve">RAIMEL DIAZ                                                                                                                                                                                                                                                    </t>
  </si>
  <si>
    <t>4921017876195614</t>
  </si>
  <si>
    <t xml:space="preserve">8292523788     </t>
  </si>
  <si>
    <t>02301499345</t>
  </si>
  <si>
    <t xml:space="preserve">EDWIN ZAPATA                                                                                                                                                                                                                                                   </t>
  </si>
  <si>
    <t>4921017880417173</t>
  </si>
  <si>
    <t xml:space="preserve">8096576719     </t>
  </si>
  <si>
    <t>40219851850</t>
  </si>
  <si>
    <t xml:space="preserve">LEIDY NINA                                                                                                                                                                                                                                                     </t>
  </si>
  <si>
    <t>4921017881888015</t>
  </si>
  <si>
    <t xml:space="preserve">8092163752     </t>
  </si>
  <si>
    <t>09300662047</t>
  </si>
  <si>
    <t xml:space="preserve">BRIENDA GONZALEZ                                                                                                                                                                                                                                               </t>
  </si>
  <si>
    <t>4921017880493424</t>
  </si>
  <si>
    <t xml:space="preserve">ESQUINA PROFESOR TIO                                                                                </t>
  </si>
  <si>
    <t>02301633760</t>
  </si>
  <si>
    <t xml:space="preserve">DOMINGO REYES                                                                                                                                                                                                                                                  </t>
  </si>
  <si>
    <t>4921017881787712</t>
  </si>
  <si>
    <t>40221744861</t>
  </si>
  <si>
    <t xml:space="preserve">NAIROBI ANDRES B                                                                                                                                                                                                                                               </t>
  </si>
  <si>
    <t>4921017881434590</t>
  </si>
  <si>
    <t xml:space="preserve">HATO MAYOR                                                                                          </t>
  </si>
  <si>
    <t>40244225609</t>
  </si>
  <si>
    <t xml:space="preserve">ANGEL HILARIO                                                                                                                                                                                                                                                  </t>
  </si>
  <si>
    <t>4921017881094252</t>
  </si>
  <si>
    <t>40236253916</t>
  </si>
  <si>
    <t xml:space="preserve">JEFFRY POLANCO                                                                                                                                                                                                                                                 </t>
  </si>
  <si>
    <t>4921017880422873</t>
  </si>
  <si>
    <t>40211378738</t>
  </si>
  <si>
    <t xml:space="preserve">CRISMERLIN CABRERA                                                                                                                                                                                                                                             </t>
  </si>
  <si>
    <t>4921017874453777</t>
  </si>
  <si>
    <t xml:space="preserve">TORRE HABITAT LAKE                                                                                  </t>
  </si>
  <si>
    <t>40211375239</t>
  </si>
  <si>
    <t xml:space="preserve">JOHENDY DEL ROSARIO                                                                                                                                                                                                                                            </t>
  </si>
  <si>
    <t>4921017876377727</t>
  </si>
  <si>
    <t>40244549974</t>
  </si>
  <si>
    <t xml:space="preserve">HECTOR FANO SOLANO                                                                                                                                                                                                                                             </t>
  </si>
  <si>
    <t>5415017873104441</t>
  </si>
  <si>
    <t>02801001963</t>
  </si>
  <si>
    <t xml:space="preserve">ELIZABETH DE MOTA                                                                                                                                                                                                                                              </t>
  </si>
  <si>
    <t>5415017871441657</t>
  </si>
  <si>
    <t xml:space="preserve">NO 40                                                                                               </t>
  </si>
  <si>
    <t>02301012353</t>
  </si>
  <si>
    <t xml:space="preserve">RAILER MORALES                                                                                                                                                                                                                                                 </t>
  </si>
  <si>
    <t>5400017879888074</t>
  </si>
  <si>
    <t xml:space="preserve">INGENIO POR VENIR                                                                                   </t>
  </si>
  <si>
    <t>40211515537</t>
  </si>
  <si>
    <t xml:space="preserve">LISBETH MARQUEZ                                                                                                                                                                                                                                                </t>
  </si>
  <si>
    <t>4921017881074805</t>
  </si>
  <si>
    <t xml:space="preserve">NO 29                                                                                               </t>
  </si>
  <si>
    <t>40225184635</t>
  </si>
  <si>
    <t xml:space="preserve">GUSTAVO GUERRERO                                                                                                                                                                                                                                               </t>
  </si>
  <si>
    <t>4921017874722142</t>
  </si>
  <si>
    <t xml:space="preserve">CUARTA CASA 86                                                                                      </t>
  </si>
  <si>
    <t>40211401134</t>
  </si>
  <si>
    <t xml:space="preserve">SUNEIDY NAVARRO                                                                                                                                                                                                                                                </t>
  </si>
  <si>
    <t>5415017879370061</t>
  </si>
  <si>
    <t>40219946585</t>
  </si>
  <si>
    <t xml:space="preserve">KIMBERLY BERROA                                                                                                                                                                                                                                                </t>
  </si>
  <si>
    <t>5415017871585802</t>
  </si>
  <si>
    <t>40211588682</t>
  </si>
  <si>
    <t xml:space="preserve">VIMARKIS GUERRERO                                                                                                                                                                                                                                              </t>
  </si>
  <si>
    <t>5415017879548583</t>
  </si>
  <si>
    <t>40213499227</t>
  </si>
  <si>
    <t xml:space="preserve">YAFREISY TORRES                                                                                                                                                                                                                                                </t>
  </si>
  <si>
    <t>5188017866595336</t>
  </si>
  <si>
    <t xml:space="preserve">APRTA NO 32 HOTEL MARIMBA                                                                           </t>
  </si>
  <si>
    <t>40219750920</t>
  </si>
  <si>
    <t xml:space="preserve">MOISES MERCEDES                                                                                                                                                                                                                                                </t>
  </si>
  <si>
    <t>5415017879522044</t>
  </si>
  <si>
    <t xml:space="preserve">APTO E201                                                                                           </t>
  </si>
  <si>
    <t>40242650055</t>
  </si>
  <si>
    <t xml:space="preserve">FABIOLA MEDINA                                                                                                                                                                                                                                                 </t>
  </si>
  <si>
    <t>4025017882639421</t>
  </si>
  <si>
    <t>40213860386</t>
  </si>
  <si>
    <t xml:space="preserve">ANYI SURIEL MERCEDES                                                                                                                                                                                                                                           </t>
  </si>
  <si>
    <t>4966017880741106</t>
  </si>
  <si>
    <t>40240353173</t>
  </si>
  <si>
    <t xml:space="preserve">MICHEL FRANCO                                                                                                                                                                                                                                                  </t>
  </si>
  <si>
    <t>4921017882228076</t>
  </si>
  <si>
    <t>02601379593</t>
  </si>
  <si>
    <t xml:space="preserve">JHONATHAN GARCIA                                                                                                                                                                                                                                               </t>
  </si>
  <si>
    <t>4921017882480238</t>
  </si>
  <si>
    <t>40219066525</t>
  </si>
  <si>
    <t xml:space="preserve">KEILY RODRIGUEZ M                                                                                                                                                                                                                                              </t>
  </si>
  <si>
    <t>5188017880017478</t>
  </si>
  <si>
    <t>40234449730</t>
  </si>
  <si>
    <t xml:space="preserve">CESARINA SANTANA                                                                                                                                                                                                                                               </t>
  </si>
  <si>
    <t>5188017880301033</t>
  </si>
  <si>
    <t xml:space="preserve">CENTRO DE OPERACIONES CLARO HIGUEY                                                                  </t>
  </si>
  <si>
    <t>40208793865</t>
  </si>
  <si>
    <t xml:space="preserve">JUNIOR ORTIZ SANTANA                                                                                                                                                                                                                                           </t>
  </si>
  <si>
    <t>4966017880731899</t>
  </si>
  <si>
    <t>02801025301</t>
  </si>
  <si>
    <t xml:space="preserve">JOSUE GUERRERO R                                                                                                                                                                                                                                               </t>
  </si>
  <si>
    <t>4741017882800784</t>
  </si>
  <si>
    <t>40231164233</t>
  </si>
  <si>
    <t xml:space="preserve">ANGEL TELLERIA                                                                                                                                                                                                                                                 </t>
  </si>
  <si>
    <t>5415017787082047</t>
  </si>
  <si>
    <t>02801152345</t>
  </si>
  <si>
    <t xml:space="preserve">JOHANNY SIMPLE                                                                                                                                                                                                                                                 </t>
  </si>
  <si>
    <t>5427017667684837</t>
  </si>
  <si>
    <t>02800885580</t>
  </si>
  <si>
    <t xml:space="preserve">JISSELL SANTANA                                                                                                                                                                                                                                                </t>
  </si>
  <si>
    <t>5400017795496200</t>
  </si>
  <si>
    <t>02301643363</t>
  </si>
  <si>
    <t xml:space="preserve">ALEXIS CASTILLO                                                                                                                                                                                                                                                </t>
  </si>
  <si>
    <t>4025017877936253</t>
  </si>
  <si>
    <t>40246751305</t>
  </si>
  <si>
    <t xml:space="preserve">ROSMERLIN ROSARIO                                                                                                                                                                                                                                              </t>
  </si>
  <si>
    <t>4921017881769510</t>
  </si>
  <si>
    <t xml:space="preserve">LA ALTAGRACIA                                                                                       </t>
  </si>
  <si>
    <t>00112197405</t>
  </si>
  <si>
    <t xml:space="preserve">YESSENIA MARTINEZ                                                                                                                                                                                                                                              </t>
  </si>
  <si>
    <t>4921017882296658</t>
  </si>
  <si>
    <t>02900100401</t>
  </si>
  <si>
    <t xml:space="preserve">ROBERTO SILVESTRE                                                                                                                                                                                                                                              </t>
  </si>
  <si>
    <t>5415017878918043</t>
  </si>
  <si>
    <t>5227017873293039</t>
  </si>
  <si>
    <t>40231846318</t>
  </si>
  <si>
    <t xml:space="preserve">RUTH  HERNANDEZ                                                                                                                                                                                                                                                </t>
  </si>
  <si>
    <t>5415017872393506</t>
  </si>
  <si>
    <t>40211172768</t>
  </si>
  <si>
    <t xml:space="preserve">LISANDRO RAMIREZ                                                                                                                                                                                                                                               </t>
  </si>
  <si>
    <t>4921017874692799</t>
  </si>
  <si>
    <t>40232874343</t>
  </si>
  <si>
    <t xml:space="preserve">BERNARDA PEREZ                                                                                                                                                                                                                                                 </t>
  </si>
  <si>
    <t>4921017876607616</t>
  </si>
  <si>
    <t>00112193743</t>
  </si>
  <si>
    <t xml:space="preserve">FRANKLIN CESPEDES                                                                                                                                                                                                                                              </t>
  </si>
  <si>
    <t>4921017876639085</t>
  </si>
  <si>
    <t>40219572035</t>
  </si>
  <si>
    <t xml:space="preserve">RAFAEL ORTIZ                                                                                                                                                                                                                                                   </t>
  </si>
  <si>
    <t>4921017876384620</t>
  </si>
  <si>
    <t xml:space="preserve">BO LA CERVECERIA                                                                                    </t>
  </si>
  <si>
    <t>40241085261</t>
  </si>
  <si>
    <t xml:space="preserve">PERLA MATEO                                                                                                                                                                                                                                                    </t>
  </si>
  <si>
    <t>4921017877059177</t>
  </si>
  <si>
    <t>02301635187</t>
  </si>
  <si>
    <t xml:space="preserve">ELIZABETH ZORRILLA                                                                                                                                                                                                                                             </t>
  </si>
  <si>
    <t>4921017877593624</t>
  </si>
  <si>
    <t>40244821654</t>
  </si>
  <si>
    <t xml:space="preserve">GERARDINE RUIZ                                                                                                                                                                                                                                                 </t>
  </si>
  <si>
    <t>4921017877614240</t>
  </si>
  <si>
    <t>40205702778</t>
  </si>
  <si>
    <t xml:space="preserve">CINDY SANTANA                                                                                                                                                                                                                                                  </t>
  </si>
  <si>
    <t>5188017874011201</t>
  </si>
  <si>
    <t xml:space="preserve">SPM                                                                                                 </t>
  </si>
  <si>
    <t>40228880155</t>
  </si>
  <si>
    <t xml:space="preserve">MARIEL FLORENTINO                                                                                                                                                                                                                                              </t>
  </si>
  <si>
    <t>5188017873576720</t>
  </si>
  <si>
    <t>40230913366</t>
  </si>
  <si>
    <t xml:space="preserve">RANDOL REYES                                                                                                                                                                                                                                                   </t>
  </si>
  <si>
    <t>4921017874673735</t>
  </si>
  <si>
    <t xml:space="preserve">ALEJANDRO BASS                                                                                      </t>
  </si>
  <si>
    <t>40244604027</t>
  </si>
  <si>
    <t xml:space="preserve">OSCAR JEQUEI                                                                                                                                                                                                                                                   </t>
  </si>
  <si>
    <t>4921017874733651</t>
  </si>
  <si>
    <t>40220435875</t>
  </si>
  <si>
    <t xml:space="preserve">DARITZA ACOSTA                                                                                                                                                                                                                                                 </t>
  </si>
  <si>
    <t>4921017874438283</t>
  </si>
  <si>
    <t xml:space="preserve">MIRAMAR                                                                                             </t>
  </si>
  <si>
    <t>40224330437</t>
  </si>
  <si>
    <t xml:space="preserve">DEIVID OZORIA                                                                                                                                                                                                                                                  </t>
  </si>
  <si>
    <t>5415017872582606</t>
  </si>
  <si>
    <t>40220989152</t>
  </si>
  <si>
    <t xml:space="preserve">ESTELA VALERA                                                                                                                                                                                                                                                  </t>
  </si>
  <si>
    <t>4921017876336209</t>
  </si>
  <si>
    <t xml:space="preserve">SIDIR CENTER                                                                                        </t>
  </si>
  <si>
    <t>40218791164</t>
  </si>
  <si>
    <t xml:space="preserve">KATHERINE GIL                                                                                                                                                                                                                                                  </t>
  </si>
  <si>
    <t>4025017878110346</t>
  </si>
  <si>
    <t>02600916833</t>
  </si>
  <si>
    <t xml:space="preserve">JOSEFINA TAVAREZ                                                                                                                                                                                                                                               </t>
  </si>
  <si>
    <t>4025017878109982</t>
  </si>
  <si>
    <t>40234080790</t>
  </si>
  <si>
    <t xml:space="preserve">ARIANA PIERRE                                                                                                                                                                                                                                                  </t>
  </si>
  <si>
    <t>5188017873751149</t>
  </si>
  <si>
    <t>40242092621</t>
  </si>
  <si>
    <t xml:space="preserve">ISAEL DE LA CRUZ                                                                                                                                                                                                                                               </t>
  </si>
  <si>
    <t>5415017871619756</t>
  </si>
  <si>
    <t>40213937077</t>
  </si>
  <si>
    <t xml:space="preserve">JUAN FOSTER                                                                                                                                                                                                                                                    </t>
  </si>
  <si>
    <t>5188017873982125</t>
  </si>
  <si>
    <t xml:space="preserve">MANZANA 33 CIUDAD LAS PALMAS                                                                        </t>
  </si>
  <si>
    <t>02600138081</t>
  </si>
  <si>
    <t xml:space="preserve">ANGEL FERNANDEZ                                                                                                                                                                                                                                                </t>
  </si>
  <si>
    <t>5227017873164391</t>
  </si>
  <si>
    <t>40242623102</t>
  </si>
  <si>
    <t xml:space="preserve">MARTIRES REYES                                                                                                                                                                                                                                                 </t>
  </si>
  <si>
    <t>5415017872506605</t>
  </si>
  <si>
    <t>29500043418</t>
  </si>
  <si>
    <t xml:space="preserve">MIGUEL PEREYRA                                                                                                                                                                                                                                                 </t>
  </si>
  <si>
    <t>5415017872169145</t>
  </si>
  <si>
    <t>40211547639</t>
  </si>
  <si>
    <t xml:space="preserve">FREIMY EUSEBIO                                                                                                                                                                                                                                                 </t>
  </si>
  <si>
    <t>4921017876319132</t>
  </si>
  <si>
    <t xml:space="preserve">VERON MARIA VALENCIA B5                                                                             </t>
  </si>
  <si>
    <t>40211579061</t>
  </si>
  <si>
    <t xml:space="preserve">GABRIELA NUNEZ                                                                                                                                                                                                                                                 </t>
  </si>
  <si>
    <t>4025017878158087</t>
  </si>
  <si>
    <t>02800674554</t>
  </si>
  <si>
    <t xml:space="preserve">YESICA GARRIDO                                                                                                                                                                                                                                                 </t>
  </si>
  <si>
    <t>4966017875369555</t>
  </si>
  <si>
    <t xml:space="preserve">JOBOJAGUEY JOBO 17                                                                                  </t>
  </si>
  <si>
    <t>40234476386</t>
  </si>
  <si>
    <t xml:space="preserve">DANIELA DELGADO                                                                                                                                                                                                                                                </t>
  </si>
  <si>
    <t>4921017877474507</t>
  </si>
  <si>
    <t xml:space="preserve">NAZARET                                                                                             </t>
  </si>
  <si>
    <t>03105106284</t>
  </si>
  <si>
    <t xml:space="preserve">JOSE FERNANDEZ                                                                                                                                                                                                                                                 </t>
  </si>
  <si>
    <t>4921017876857271</t>
  </si>
  <si>
    <t>02601142991</t>
  </si>
  <si>
    <t xml:space="preserve">HERIBERTO HERRERA S                                                                                                                                                                                                                                            </t>
  </si>
  <si>
    <t>4921017875901833</t>
  </si>
  <si>
    <t>40230695575</t>
  </si>
  <si>
    <t xml:space="preserve">HILARIO NUNEZ                                                                                                                                                                                                                                                  </t>
  </si>
  <si>
    <t>5415017872629020</t>
  </si>
  <si>
    <t>40214550887</t>
  </si>
  <si>
    <t xml:space="preserve">ELIAN BONILLA                                                                                                                                                                                                                                                  </t>
  </si>
  <si>
    <t>5188017873824705</t>
  </si>
  <si>
    <t>40218845382</t>
  </si>
  <si>
    <t xml:space="preserve">WILLY JAVIER                                                                                                                                                                                                                                                   </t>
  </si>
  <si>
    <t>5188017873996111</t>
  </si>
  <si>
    <t>40234552988</t>
  </si>
  <si>
    <t xml:space="preserve">AILIN NAVARRO                                                                                                                                                                                                                                                  </t>
  </si>
  <si>
    <t>4921017876419684</t>
  </si>
  <si>
    <t>09300733707</t>
  </si>
  <si>
    <t xml:space="preserve">GENESIS ENCARNACION                                                                                                                                                                                                                                            </t>
  </si>
  <si>
    <t>5188017873786543</t>
  </si>
  <si>
    <t>40201774003</t>
  </si>
  <si>
    <t xml:space="preserve">THONY MOTA                                                                                                                                                                                                                                                     </t>
  </si>
  <si>
    <t>5188017873603311</t>
  </si>
  <si>
    <t>40202849465</t>
  </si>
  <si>
    <t xml:space="preserve">JERALLY JIMENEZ                                                                                                                                                                                                                                                </t>
  </si>
  <si>
    <t>5415017872466573</t>
  </si>
  <si>
    <t>02301122376</t>
  </si>
  <si>
    <t xml:space="preserve">ROBERTO ORTIZ                                                                                                                                                                                                                                                  </t>
  </si>
  <si>
    <t>5415017872447018</t>
  </si>
  <si>
    <t xml:space="preserve">BAVARO PC                                                                                           </t>
  </si>
  <si>
    <t>40214242535</t>
  </si>
  <si>
    <t xml:space="preserve">RAYDEL BERROA                                                                                                                                                                                                                                                  </t>
  </si>
  <si>
    <t>4921017877360027</t>
  </si>
  <si>
    <t>29500042469</t>
  </si>
  <si>
    <t xml:space="preserve">FRANCHESCA MARTINEZ                                                                                                                                                                                                                                            </t>
  </si>
  <si>
    <t>4921017869651721</t>
  </si>
  <si>
    <t>02801053345</t>
  </si>
  <si>
    <t xml:space="preserve">NAIROBI CEDENO                                                                                                                                                                                                                                                 </t>
  </si>
  <si>
    <t>5400017868477586</t>
  </si>
  <si>
    <t xml:space="preserve">RESIDENCIAL EL EJECUTIVO                                                                            </t>
  </si>
  <si>
    <t>03700991163</t>
  </si>
  <si>
    <t xml:space="preserve">RONALD LIZARDO                                                                                                                                                                                                                                                 </t>
  </si>
  <si>
    <t>4921017861758461</t>
  </si>
  <si>
    <t>40236287351</t>
  </si>
  <si>
    <t xml:space="preserve">DAVID HERNANDEZ                                                                                                                                                                                                                                                </t>
  </si>
  <si>
    <t>4921017865458770</t>
  </si>
  <si>
    <t>40220657460</t>
  </si>
  <si>
    <t xml:space="preserve">KEILA GASS                                                                                                                                                                                                                                                     </t>
  </si>
  <si>
    <t>4921017862461731</t>
  </si>
  <si>
    <t>40218163927</t>
  </si>
  <si>
    <t xml:space="preserve">SANTO SANCHEZ                                                                                                                                                                                                                                                  </t>
  </si>
  <si>
    <t>5415017743875042</t>
  </si>
  <si>
    <t>40211002718</t>
  </si>
  <si>
    <t xml:space="preserve">JUNIOR MALIVERT                                                                                                                                                                                                                                                </t>
  </si>
  <si>
    <t>4921017870227419</t>
  </si>
  <si>
    <t xml:space="preserve">DISP DE 9 AM A 8 PM                                                                                 </t>
  </si>
  <si>
    <t>05800218058</t>
  </si>
  <si>
    <t xml:space="preserve">JUSTO RAMOS                                                                                                                                                                                                                                                    </t>
  </si>
  <si>
    <t>4741017866026176</t>
  </si>
  <si>
    <t>02800491710</t>
  </si>
  <si>
    <t xml:space="preserve">JOSEFINA GUERRERO                                                                                                                                                                                                                                              </t>
  </si>
  <si>
    <t>4741017863814840</t>
  </si>
  <si>
    <t>40218065247</t>
  </si>
  <si>
    <t xml:space="preserve">ALONSO PICHARDO                                                                                                                                                                                                                                                </t>
  </si>
  <si>
    <t>5188017868743644</t>
  </si>
  <si>
    <t xml:space="preserve">SECTOR ;LA OTRA BANDA KM5                                                                           </t>
  </si>
  <si>
    <t>4025017871025801</t>
  </si>
  <si>
    <t xml:space="preserve">20 LOTIFICACION SAJOUR                                                                              </t>
  </si>
  <si>
    <t>02800836898</t>
  </si>
  <si>
    <t xml:space="preserve">LUIS CEDENO                                                                                                                                                                                                                                                    </t>
  </si>
  <si>
    <t>5415017868246886</t>
  </si>
  <si>
    <t>40239897255</t>
  </si>
  <si>
    <t xml:space="preserve">ANDREISY TAVERAS                                                                                                                                                                                                                                               </t>
  </si>
  <si>
    <t>5188017868858452</t>
  </si>
  <si>
    <t>02801051976</t>
  </si>
  <si>
    <t xml:space="preserve">DAVID SANTANA                                                                                                                                                                                                                                                  </t>
  </si>
  <si>
    <t>4025017870907444</t>
  </si>
  <si>
    <t>40209116132</t>
  </si>
  <si>
    <t xml:space="preserve">NICOLE ARECHE                                                                                                                                                                                                                                                  </t>
  </si>
  <si>
    <t>4025017870911572</t>
  </si>
  <si>
    <t>40238108076</t>
  </si>
  <si>
    <t xml:space="preserve">QUISQUEYA MATEO                                                                                                                                                                                                                                                </t>
  </si>
  <si>
    <t>5415017867633805</t>
  </si>
  <si>
    <t>40243645633</t>
  </si>
  <si>
    <t xml:space="preserve">YONY SALVADOR                                                                                                                                                                                                                                                  </t>
  </si>
  <si>
    <t>5188017868729586</t>
  </si>
  <si>
    <t>40227872963</t>
  </si>
  <si>
    <t xml:space="preserve">FRANK JEAN                                                                                                                                                                                                                                                     </t>
  </si>
  <si>
    <t>5415017864588658</t>
  </si>
  <si>
    <t>02800911295</t>
  </si>
  <si>
    <t xml:space="preserve">MARITZA GARCIA                                                                                                                                                                                                                                                 </t>
  </si>
  <si>
    <t>4966017861105381</t>
  </si>
  <si>
    <t>29500007397</t>
  </si>
  <si>
    <t>5400017864677527</t>
  </si>
  <si>
    <t>40213033802</t>
  </si>
  <si>
    <t xml:space="preserve">DARIANNIS BAEZ                                                                                                                                                                                                                                                 </t>
  </si>
  <si>
    <t>4921017862000024</t>
  </si>
  <si>
    <t>00119140598</t>
  </si>
  <si>
    <t xml:space="preserve">JOSE CRUZ                                                                                                                                                                                                                                                      </t>
  </si>
  <si>
    <t>4966017861147445</t>
  </si>
  <si>
    <t>40231412947</t>
  </si>
  <si>
    <t xml:space="preserve">LEURYS ALMONTE                                                                                                                                                                                                                                                 </t>
  </si>
  <si>
    <t>4921017860632446</t>
  </si>
  <si>
    <t>40235265358</t>
  </si>
  <si>
    <t xml:space="preserve">NOELIA CASTRO                                                                                                                                                                                                                                                  </t>
  </si>
  <si>
    <t>4921017860824040</t>
  </si>
  <si>
    <t>40227139017</t>
  </si>
  <si>
    <t xml:space="preserve">REIMY RODRIGUEZ                                                                                                                                                                                                                                                </t>
  </si>
  <si>
    <t>4921017870779417</t>
  </si>
  <si>
    <t>40239153345</t>
  </si>
  <si>
    <t xml:space="preserve">BRANLY MARTINEZ                                                                                                                                                                                                                                                </t>
  </si>
  <si>
    <t>5227017868606676</t>
  </si>
  <si>
    <t xml:space="preserve">ESQ C MANUEL A RICHELLI                                                                             </t>
  </si>
  <si>
    <t>02300537921</t>
  </si>
  <si>
    <t xml:space="preserve">ANTONIA FRIAS                                                                                                                                                                                                                                                  </t>
  </si>
  <si>
    <t>4173017871391183</t>
  </si>
  <si>
    <t>40227932619</t>
  </si>
  <si>
    <t xml:space="preserve">MARINO PRASIALO                                                                                                                                                                                                                                                </t>
  </si>
  <si>
    <t>5188017869034296</t>
  </si>
  <si>
    <t>40235393465</t>
  </si>
  <si>
    <t xml:space="preserve">PAMELA MATEO CASTILLO                                                                                                                                                                                                                                          </t>
  </si>
  <si>
    <t>4921017870478735</t>
  </si>
  <si>
    <t>02301559981</t>
  </si>
  <si>
    <t xml:space="preserve">FRANZIEL SORIANO                                                                                                                                                                                                                                               </t>
  </si>
  <si>
    <t>4921017870548288</t>
  </si>
  <si>
    <t>13800060199</t>
  </si>
  <si>
    <t xml:space="preserve">LEONARDINA                                                                                                                                                                                                                                                     </t>
  </si>
  <si>
    <t>5188017869020150</t>
  </si>
  <si>
    <t xml:space="preserve">NO 47                                                                                               </t>
  </si>
  <si>
    <t>40227688815</t>
  </si>
  <si>
    <t xml:space="preserve">JOSEFINA WILSINO                                                                                                                                                                                                                                               </t>
  </si>
  <si>
    <t>4921017861901023</t>
  </si>
  <si>
    <t xml:space="preserve">NO 12                                                                                               </t>
  </si>
  <si>
    <t>40227839814</t>
  </si>
  <si>
    <t xml:space="preserve">FRANKLIN JIMENEZ                                                                                                                                                                                                                                               </t>
  </si>
  <si>
    <t>5188017720526876</t>
  </si>
  <si>
    <t xml:space="preserve">62 VILLA ESPERAZA                                                                                   </t>
  </si>
  <si>
    <t>40227766025</t>
  </si>
  <si>
    <t xml:space="preserve">YINO YAN                                                                                                                                                                                                                                                       </t>
  </si>
  <si>
    <t>4921017869399925</t>
  </si>
  <si>
    <t>02301173106</t>
  </si>
  <si>
    <t xml:space="preserve">YOLANNY GUZMAN                                                                                                                                                                                                                                                 </t>
  </si>
  <si>
    <t>4921017862486451</t>
  </si>
  <si>
    <t>13800077052</t>
  </si>
  <si>
    <t xml:space="preserve">PAULINO FERNANDEZ                                                                                                                                                                                                                                              </t>
  </si>
  <si>
    <t>4921017860622590</t>
  </si>
  <si>
    <t>40233883681</t>
  </si>
  <si>
    <t xml:space="preserve">CRISTOPHER FRANCISCO                                                                                                                                                                                                                                           </t>
  </si>
  <si>
    <t>4921017867070291</t>
  </si>
  <si>
    <t>02300040033</t>
  </si>
  <si>
    <t xml:space="preserve">RANFY CABRERA                                                                                                                                                                                                                                                  </t>
  </si>
  <si>
    <t>4921017865854806</t>
  </si>
  <si>
    <t xml:space="preserve">NO 45                                                                                               </t>
  </si>
  <si>
    <t>40243675176</t>
  </si>
  <si>
    <t xml:space="preserve">MARCOS PUELLO                                                                                                                                                                                                                                                  </t>
  </si>
  <si>
    <t>4921017866938532</t>
  </si>
  <si>
    <t>40248991123</t>
  </si>
  <si>
    <t xml:space="preserve">DARIELY CABRERA                                                                                                                                                                                                                                                </t>
  </si>
  <si>
    <t>5415017864460489</t>
  </si>
  <si>
    <t>40246275271</t>
  </si>
  <si>
    <t xml:space="preserve">EDGAR SANTANA                                                                                                                                                                                                                                                  </t>
  </si>
  <si>
    <t>5188017864718071</t>
  </si>
  <si>
    <t xml:space="preserve">INGENIO SANTA FE                                                                                    </t>
  </si>
  <si>
    <t>40222156248</t>
  </si>
  <si>
    <t xml:space="preserve">ISMAEL DE LOS SANTOS                                                                                                                                                                                                                                           </t>
  </si>
  <si>
    <t>4921017865653611</t>
  </si>
  <si>
    <t>02301708570</t>
  </si>
  <si>
    <t xml:space="preserve">JULIO MATEO LOPEZ                                                                                                                                                                                                                                              </t>
  </si>
  <si>
    <t>4921017861633864</t>
  </si>
  <si>
    <t>40227499528</t>
  </si>
  <si>
    <t xml:space="preserve">PEDRO SEDERIA                                                                                                                                                                                                                                                  </t>
  </si>
  <si>
    <t>5415017868209718</t>
  </si>
  <si>
    <t>40222912186</t>
  </si>
  <si>
    <t xml:space="preserve">LUIS SANTANA                                                                                                                                                                                                                                                   </t>
  </si>
  <si>
    <t>5188017868682681</t>
  </si>
  <si>
    <t xml:space="preserve">RET DISTRIBUCION EXTERNA                                                                            </t>
  </si>
  <si>
    <t>02300291735</t>
  </si>
  <si>
    <t xml:space="preserve">YOSELIN TORRES                                                                                                                                                                                                                                                 </t>
  </si>
  <si>
    <t>5415017868079697</t>
  </si>
  <si>
    <t>40210058174</t>
  </si>
  <si>
    <t xml:space="preserve">ALEXANDER CASTILLO                                                                                                                                                                                                                                             </t>
  </si>
  <si>
    <t>5188017868936381</t>
  </si>
  <si>
    <t xml:space="preserve">LA HABANA                                                                                           </t>
  </si>
  <si>
    <t>02300465271</t>
  </si>
  <si>
    <t xml:space="preserve">BENITO WAYATT                                                                                                                                                                                                                                                  </t>
  </si>
  <si>
    <t>4921017869687917</t>
  </si>
  <si>
    <t>40201753767</t>
  </si>
  <si>
    <t xml:space="preserve">MARILEIDY ROSARIO                                                                                                                                                                                                                                              </t>
  </si>
  <si>
    <t>5188017868816549</t>
  </si>
  <si>
    <t>40218900518</t>
  </si>
  <si>
    <t xml:space="preserve">GABRIEL RODRIGUEZ                                                                                                                                                                                                                                              </t>
  </si>
  <si>
    <t>4921017870444976</t>
  </si>
  <si>
    <t>02301502551</t>
  </si>
  <si>
    <t xml:space="preserve">EDWING MEJIA                                                                                                                                                                                                                                                   </t>
  </si>
  <si>
    <t>4741017866012793</t>
  </si>
  <si>
    <t>02800837474</t>
  </si>
  <si>
    <t xml:space="preserve">EUCLIDES DOROTEO                                                                                                                                                                                                                                               </t>
  </si>
  <si>
    <t>4741017867512509</t>
  </si>
  <si>
    <t xml:space="preserve">RECIDENCIA  MANZANA 73 NO 14                                                                        </t>
  </si>
  <si>
    <t>02300316730</t>
  </si>
  <si>
    <t xml:space="preserve">ROMERY SOLANO                                                                                                                                                                                                                                                  </t>
  </si>
  <si>
    <t>4741017863974904</t>
  </si>
  <si>
    <t xml:space="preserve">GUALEY SAN RAFAEL                                                                                   </t>
  </si>
  <si>
    <t>00119414464</t>
  </si>
  <si>
    <t xml:space="preserve">WILLIAMS ALMANZAR                                                                                                                                                                                                                                              </t>
  </si>
  <si>
    <t>4921017869748341</t>
  </si>
  <si>
    <t>40219259260</t>
  </si>
  <si>
    <t xml:space="preserve">ORIANNA BAEZ                                                                                                                                                                                                                                                   </t>
  </si>
  <si>
    <t>5188017864792289</t>
  </si>
  <si>
    <t xml:space="preserve">VILLA JUANA CHALOM 1                                                                                </t>
  </si>
  <si>
    <t>00102724184</t>
  </si>
  <si>
    <t xml:space="preserve">GERARDO GOMEZ                                                                                                                                                                                                                                                  </t>
  </si>
  <si>
    <t>4025017863516861</t>
  </si>
  <si>
    <t>00115707168</t>
  </si>
  <si>
    <t xml:space="preserve">LEONELIA ALCANTARA                                                                                                                                                                                                                                             </t>
  </si>
  <si>
    <t>4921017870269576</t>
  </si>
  <si>
    <t>00104371570</t>
  </si>
  <si>
    <t xml:space="preserve">RAIDIRI GUERRERO                                                                                                                                                                                                                                               </t>
  </si>
  <si>
    <t>4921017870393449</t>
  </si>
  <si>
    <t>40228369332</t>
  </si>
  <si>
    <t xml:space="preserve">ALEXANDER RODRIGUEZ                                                                                                                                                                                                                                            </t>
  </si>
  <si>
    <t>4921017870281132</t>
  </si>
  <si>
    <t>00116715764</t>
  </si>
  <si>
    <t xml:space="preserve">MARCELINO MOREL                                                                                                                                                                                                                                                </t>
  </si>
  <si>
    <t>5415017868148963</t>
  </si>
  <si>
    <t xml:space="preserve">SANTO DOMINGO DN RD                                                                                 </t>
  </si>
  <si>
    <t>09300782464</t>
  </si>
  <si>
    <t xml:space="preserve">REUDIS MERCEDES FANA                                                                                                                                                                                                                                           </t>
  </si>
  <si>
    <t>4921017870560922</t>
  </si>
  <si>
    <t xml:space="preserve">PARAJE EL TORO EMPRESA GRUPO RAMOS S A                                                              </t>
  </si>
  <si>
    <t>22300786732</t>
  </si>
  <si>
    <t xml:space="preserve">SANNIE RAMIREZ                                                                                                                                                                                                                                                 </t>
  </si>
  <si>
    <t>4921017870752934</t>
  </si>
  <si>
    <t>04600231676</t>
  </si>
  <si>
    <t xml:space="preserve">ONASSIS BATISTA                                                                                                                                                                                                                                                </t>
  </si>
  <si>
    <t>4921017865537031</t>
  </si>
  <si>
    <t xml:space="preserve">OSVALDO LUCAS MIESES NO 11                                                                          </t>
  </si>
  <si>
    <t>40233634282</t>
  </si>
  <si>
    <t xml:space="preserve">MADELIN MARTINEZ                                                                                                                                                                                                                                               </t>
  </si>
  <si>
    <t>4921017864894190</t>
  </si>
  <si>
    <t xml:space="preserve">VALIENTE LA CALETA                                                                                  </t>
  </si>
  <si>
    <t>40239495605</t>
  </si>
  <si>
    <t xml:space="preserve">NICAURI DE JESUS                                                                                                                                                                                                                                               </t>
  </si>
  <si>
    <t>4921017865759492</t>
  </si>
  <si>
    <t xml:space="preserve">EDIF.  X APTO.  X SECTOR CAMPO LINDO                                                                </t>
  </si>
  <si>
    <t>40235865819</t>
  </si>
  <si>
    <t xml:space="preserve">FELIPE ROSARIO                                                                                                                                                                                                                                                 </t>
  </si>
  <si>
    <t>5400017868535836</t>
  </si>
  <si>
    <t xml:space="preserve">EDIF.  X APTO.  X SECTOR LAS AMERICAS                                                               </t>
  </si>
  <si>
    <t>40232269478</t>
  </si>
  <si>
    <t xml:space="preserve">DORALIZ ALCANTARA                                                                                                                                                                                                                                              </t>
  </si>
  <si>
    <t>5400017868563380</t>
  </si>
  <si>
    <t>40213556612</t>
  </si>
  <si>
    <t xml:space="preserve">JOHN FALET                                                                                                                                                                                                                                                     </t>
  </si>
  <si>
    <t>4921017869777866</t>
  </si>
  <si>
    <t xml:space="preserve">CASA 75 LA URENA                                                                                    </t>
  </si>
  <si>
    <t>40213806835</t>
  </si>
  <si>
    <t xml:space="preserve">PERLA GERMOSEN                                                                                                                                                                                                                                                 </t>
  </si>
  <si>
    <t>5188017868771481</t>
  </si>
  <si>
    <t xml:space="preserve">LA CALETA                                                                                           </t>
  </si>
  <si>
    <t>40219043540</t>
  </si>
  <si>
    <t xml:space="preserve">SAMIR MONTERO                                                                                                                                                                                                                                                  </t>
  </si>
  <si>
    <t>4921017870152597</t>
  </si>
  <si>
    <t>40204905281</t>
  </si>
  <si>
    <t xml:space="preserve">SEBASTIAN CUEVAS                                                                                                                                                                                                                                               </t>
  </si>
  <si>
    <t>5188017868732121</t>
  </si>
  <si>
    <t xml:space="preserve">NO 49 ENSANCHE NACO                                                                                 </t>
  </si>
  <si>
    <t>00118138775</t>
  </si>
  <si>
    <t xml:space="preserve">BENNEDY QUEZADA                                                                                                                                                                                                                                                </t>
  </si>
  <si>
    <t>5415017859279750</t>
  </si>
  <si>
    <t>40213058494</t>
  </si>
  <si>
    <t xml:space="preserve">RAYBERTH MARTE                                                                                                                                                                                                                                                 </t>
  </si>
  <si>
    <t>4921017862970376</t>
  </si>
  <si>
    <t>22300881103</t>
  </si>
  <si>
    <t xml:space="preserve">JOHAN CUEVAS SANTANA                                                                                                                                                                                                                                           </t>
  </si>
  <si>
    <t>4921017797268944</t>
  </si>
  <si>
    <t xml:space="preserve">EL TAMARINDO                                                                                        </t>
  </si>
  <si>
    <t>40209616206</t>
  </si>
  <si>
    <t xml:space="preserve">JOSE DE LA ROSA                                                                                                                                                                                                                                                </t>
  </si>
  <si>
    <t>4025017867404489</t>
  </si>
  <si>
    <t xml:space="preserve">EL ALMIRANTE                                                                                        </t>
  </si>
  <si>
    <t>22301324608</t>
  </si>
  <si>
    <t xml:space="preserve">JUAN PANIAGUAS                                                                                                                                                                                                                                                 </t>
  </si>
  <si>
    <t>4921017861375137</t>
  </si>
  <si>
    <t xml:space="preserve">LOS TRINITARIOS CHARLES DE GAU                                                                      </t>
  </si>
  <si>
    <t>00107394850</t>
  </si>
  <si>
    <t xml:space="preserve">PATRICIA SANTIAGO                                                                                                                                                                                                                                              </t>
  </si>
  <si>
    <t>5415017866427607</t>
  </si>
  <si>
    <t>40208764338</t>
  </si>
  <si>
    <t xml:space="preserve">YULAIRY DE LOS SANTOS                                                                                                                                                                                                                                          </t>
  </si>
  <si>
    <t>5188017864740984</t>
  </si>
  <si>
    <t xml:space="preserve">LA TORONJA                                                                                          </t>
  </si>
  <si>
    <t xml:space="preserve">HAINAMOSA                                                                                           </t>
  </si>
  <si>
    <t>40242641161</t>
  </si>
  <si>
    <t xml:space="preserve">THANIA SUAREZ                                                                                                                                                                                                                                                  </t>
  </si>
  <si>
    <t>5400017859830375</t>
  </si>
  <si>
    <t>13900005706</t>
  </si>
  <si>
    <t xml:space="preserve">CESAL DE LOS SANTOS                                                                                                                                                                                                                                            </t>
  </si>
  <si>
    <t>4966017865151270</t>
  </si>
  <si>
    <t>22300648270</t>
  </si>
  <si>
    <t xml:space="preserve">JULIO CASILLA RAMIREZ                                                                                                                                                                                                                                          </t>
  </si>
  <si>
    <t>5188017859180815</t>
  </si>
  <si>
    <t>40209006606</t>
  </si>
  <si>
    <t xml:space="preserve">SABIEL APULINARIO                                                                                                                                                                                                                                              </t>
  </si>
  <si>
    <t>4921017862471286</t>
  </si>
  <si>
    <t xml:space="preserve">TRINITARIOS II                                                                                      </t>
  </si>
  <si>
    <t>22300755679</t>
  </si>
  <si>
    <t xml:space="preserve">MOISES SANTOS                                                                                                                                                                                                                                                  </t>
  </si>
  <si>
    <t>4921017861478126</t>
  </si>
  <si>
    <t xml:space="preserve">INVIMOSA                                                                                            </t>
  </si>
  <si>
    <t>22300447152</t>
  </si>
  <si>
    <t xml:space="preserve">YINETTE VILORIO                                                                                                                                                                                                                                                </t>
  </si>
  <si>
    <t>4025017863448079</t>
  </si>
  <si>
    <t xml:space="preserve">CALLE AZALES CASA NO 02                                                                             </t>
  </si>
  <si>
    <t>22301182303</t>
  </si>
  <si>
    <t xml:space="preserve">DENISE MARTINEZ                                                                                                                                                                                                                                                </t>
  </si>
  <si>
    <t>4921017798098393</t>
  </si>
  <si>
    <t>22900278015</t>
  </si>
  <si>
    <t xml:space="preserve">ALEXANDER VILOMAR                                                                                                                                                                                                                                              </t>
  </si>
  <si>
    <t>5227017866573344</t>
  </si>
  <si>
    <t xml:space="preserve">4 CANCINO ADENTRO                                                                                   </t>
  </si>
  <si>
    <t>40224551453</t>
  </si>
  <si>
    <t xml:space="preserve">JULIO PEREZ                                                                                                                                                                                                                                                    </t>
  </si>
  <si>
    <t>4921017870193509</t>
  </si>
  <si>
    <t xml:space="preserve">143476528  </t>
  </si>
  <si>
    <t xml:space="preserve">DANIELA LOPEZ                                                                                                                                                                                                                                                  </t>
  </si>
  <si>
    <t>4921017862822945</t>
  </si>
  <si>
    <t xml:space="preserve">GERMAN ARISTY CASA 16                                                                               </t>
  </si>
  <si>
    <t>40203565144</t>
  </si>
  <si>
    <t xml:space="preserve">RANDY CASTILLO                                                                                                                                                                                                                                                 </t>
  </si>
  <si>
    <t>5188017864753625</t>
  </si>
  <si>
    <t>40234269807</t>
  </si>
  <si>
    <t xml:space="preserve">FLORANGEL SOSA                                                                                                                                                                                                                                                 </t>
  </si>
  <si>
    <t>4921017857729822</t>
  </si>
  <si>
    <t xml:space="preserve">ALAM ROSA                                                                                           </t>
  </si>
  <si>
    <t>40223885209</t>
  </si>
  <si>
    <t xml:space="preserve">ALEXANDER TAVAREZ                                                                                                                                                                                                                                              </t>
  </si>
  <si>
    <t>4921017858071009</t>
  </si>
  <si>
    <t>22300452319</t>
  </si>
  <si>
    <t xml:space="preserve">SURANNY LEBRON GUZMAN                                                                                                                                                                                                                                          </t>
  </si>
  <si>
    <t>4966017865165441</t>
  </si>
  <si>
    <t>40227860653</t>
  </si>
  <si>
    <t xml:space="preserve">JOSELINA CASTILLO                                                                                                                                                                                                                                              </t>
  </si>
  <si>
    <t>4921017865087784</t>
  </si>
  <si>
    <t xml:space="preserve">ALMA ROSA I                                                                                         </t>
  </si>
  <si>
    <t xml:space="preserve">RESIDENCIAL MELLA CANCINO SEGUNDO SDE                                                               </t>
  </si>
  <si>
    <t>22301215426</t>
  </si>
  <si>
    <t xml:space="preserve">FRANCISCO VALDEZ                                                                                                                                                                                                                                               </t>
  </si>
  <si>
    <t>5188017856046480</t>
  </si>
  <si>
    <t xml:space="preserve">RESIDENCIAL OASIS VILLA FARO                                                                        </t>
  </si>
  <si>
    <t>40233879119</t>
  </si>
  <si>
    <t xml:space="preserve">ADELIN BERIHUETE                                                                                                                                                                                                                                               </t>
  </si>
  <si>
    <t>5188017856180204</t>
  </si>
  <si>
    <t xml:space="preserve">LOS MINAS NORTE                                                                                     </t>
  </si>
  <si>
    <t>40234279681</t>
  </si>
  <si>
    <t xml:space="preserve">GENESIS MORENO                                                                                                                                                                                                                                                 </t>
  </si>
  <si>
    <t>5188017855976740</t>
  </si>
  <si>
    <t>40239974187</t>
  </si>
  <si>
    <t xml:space="preserve">JOSE DE LOS SANTOS                                                                                                                                                                                                                                             </t>
  </si>
  <si>
    <t>4921017857621957</t>
  </si>
  <si>
    <t xml:space="preserve">MENDOZA                                                                                             </t>
  </si>
  <si>
    <t>40222939494</t>
  </si>
  <si>
    <t xml:space="preserve">SAMUEL ALCANTARA                                                                                                                                                                                                                                               </t>
  </si>
  <si>
    <t>4921017869162709</t>
  </si>
  <si>
    <t xml:space="preserve">RES BLUE APTO 26                                                                                    </t>
  </si>
  <si>
    <t>02601367523</t>
  </si>
  <si>
    <t xml:space="preserve">RANDOLFO DIAZ FELIX                                                                                                                                                                                                                                            </t>
  </si>
  <si>
    <t>5415017868089773</t>
  </si>
  <si>
    <t>40211700832</t>
  </si>
  <si>
    <t xml:space="preserve">JONATTAN CALDERON                                                                                                                                                                                                                                              </t>
  </si>
  <si>
    <t>4966017861151895</t>
  </si>
  <si>
    <t>40246404855</t>
  </si>
  <si>
    <t xml:space="preserve">ADERLY CORCINO                                                                                                                                                                                                                                                 </t>
  </si>
  <si>
    <t>5415017859411921</t>
  </si>
  <si>
    <t>00118289461</t>
  </si>
  <si>
    <t xml:space="preserve">FATIMA SANTANA                                                                                                                                                                                                                                                 </t>
  </si>
  <si>
    <t>5188017796066100</t>
  </si>
  <si>
    <t>40219660731</t>
  </si>
  <si>
    <t xml:space="preserve">YELPHIS RIVERA                                                                                                                                                                                                                                                 </t>
  </si>
  <si>
    <t>4921017798697725</t>
  </si>
  <si>
    <t>40244815482</t>
  </si>
  <si>
    <t xml:space="preserve">ISAAC FELIZ                                                                                                                                                                                                                                                    </t>
  </si>
  <si>
    <t>5415017859404596</t>
  </si>
  <si>
    <t>02301365538</t>
  </si>
  <si>
    <t xml:space="preserve">ARACELIS PACHECO                                                                                                                                                                                                                                               </t>
  </si>
  <si>
    <t>4025017867364476</t>
  </si>
  <si>
    <t>40211138793</t>
  </si>
  <si>
    <t xml:space="preserve">JULIO NINA G                                                                                                                                                                                                                                                   </t>
  </si>
  <si>
    <t>5415017859598239</t>
  </si>
  <si>
    <t xml:space="preserve">ING PORVENIR                                                                                        </t>
  </si>
  <si>
    <t>02301302267</t>
  </si>
  <si>
    <t xml:space="preserve">JAROLL A ROXER                                                                                                                                                                                                                                                 </t>
  </si>
  <si>
    <t>5192017866738962</t>
  </si>
  <si>
    <t xml:space="preserve">SAN JOSE DE LOS LLANOS SAN PEDRO DE MACO                                                            </t>
  </si>
  <si>
    <t>40219812977</t>
  </si>
  <si>
    <t xml:space="preserve">WILSON MERCEDES                                                                                                                                                                                                                                                </t>
  </si>
  <si>
    <t>5227017859985351</t>
  </si>
  <si>
    <t>40210326357</t>
  </si>
  <si>
    <t xml:space="preserve">NELSON PAULINO                                                                                                                                                                                                                                                 </t>
  </si>
  <si>
    <t>5415017866376832</t>
  </si>
  <si>
    <t xml:space="preserve">CASA A 7                                                                                            </t>
  </si>
  <si>
    <t>40250951593</t>
  </si>
  <si>
    <t xml:space="preserve">FRAUDY PANIAGUA                                                                                                                                                                                                                                                </t>
  </si>
  <si>
    <t>5415017800444626</t>
  </si>
  <si>
    <t>40211443904</t>
  </si>
  <si>
    <t xml:space="preserve">LUISA ROSARIO                                                                                                                                                                                                                                                  </t>
  </si>
  <si>
    <t>5415017619660633</t>
  </si>
  <si>
    <t>02301235285</t>
  </si>
  <si>
    <t xml:space="preserve">JOEL OBLIS                                                                                                                                                                                                                                                     </t>
  </si>
  <si>
    <t>5188017754673054</t>
  </si>
  <si>
    <t>02600933796</t>
  </si>
  <si>
    <t xml:space="preserve">BETZAIDA RIVERA                                                                                                                                                                                                                                                </t>
  </si>
  <si>
    <t>5227017728709062</t>
  </si>
  <si>
    <t>02700406883</t>
  </si>
  <si>
    <t xml:space="preserve">GUILLERMO JHON                                                                                                                                                                                                                                                 </t>
  </si>
  <si>
    <t>4025017863676087</t>
  </si>
  <si>
    <t xml:space="preserve">RECIDENCIAL ANA MELIA                                                                               </t>
  </si>
  <si>
    <t>02801170115</t>
  </si>
  <si>
    <t xml:space="preserve">ADA PADILLA                                                                                                                                                                                                                                                    </t>
  </si>
  <si>
    <t>5415017864338877</t>
  </si>
  <si>
    <t>40254906577</t>
  </si>
  <si>
    <t xml:space="preserve">YASON FRANZUA                                                                                                                                                                                                                                                  </t>
  </si>
  <si>
    <t>5188017860505068</t>
  </si>
  <si>
    <t xml:space="preserve">LOS MEMISOS                                                                                         </t>
  </si>
  <si>
    <t>02800794675</t>
  </si>
  <si>
    <t xml:space="preserve">FELIX CASTILLO                                                                                                                                                                                                                                                 </t>
  </si>
  <si>
    <t>5415017859129667</t>
  </si>
  <si>
    <t>40202316481</t>
  </si>
  <si>
    <t xml:space="preserve">OMAR CONSTANZO                                                                                                                                                                                                                                                 </t>
  </si>
  <si>
    <t>5188017866713268</t>
  </si>
  <si>
    <t>02800901742</t>
  </si>
  <si>
    <t xml:space="preserve">JOAQUIN JAVIER                                                                                                                                                                                                                                                 </t>
  </si>
  <si>
    <t>5415017858835269</t>
  </si>
  <si>
    <t>02500512005</t>
  </si>
  <si>
    <t xml:space="preserve">SILVIA RUIZ R                                                                                                                                                                                                                                                  </t>
  </si>
  <si>
    <t>5415017858843767</t>
  </si>
  <si>
    <t>40213419100</t>
  </si>
  <si>
    <t xml:space="preserve">YOLVER CASTILLO M                                                                                                                                                                                                                                              </t>
  </si>
  <si>
    <t>5415017859576555</t>
  </si>
  <si>
    <t>40211359795</t>
  </si>
  <si>
    <t xml:space="preserve">ABI GARCIA                                                                                                                                                                                                                                                     </t>
  </si>
  <si>
    <t>5188017860336653</t>
  </si>
  <si>
    <t xml:space="preserve">DOBLE VIA VERON                                                                                     </t>
  </si>
  <si>
    <t>40228802647</t>
  </si>
  <si>
    <t xml:space="preserve">DAYANEIRY RIJO                                                                                                                                                                                                                                                 </t>
  </si>
  <si>
    <t>4921017862730332</t>
  </si>
  <si>
    <t>02800988665</t>
  </si>
  <si>
    <t xml:space="preserve">BREILYN RIVERA                                                                                                                                                                                                                                                 </t>
  </si>
  <si>
    <t>4921017862256821</t>
  </si>
  <si>
    <t>08500113108</t>
  </si>
  <si>
    <t xml:space="preserve">CARLOS MEDINA                                                                                                                                                                                                                                                  </t>
  </si>
  <si>
    <t>4921017865358920</t>
  </si>
  <si>
    <t xml:space="preserve">CALLE PRINCIPAL RESIDENCIAL ANACAONA                                                                </t>
  </si>
  <si>
    <t>02900174745</t>
  </si>
  <si>
    <t xml:space="preserve">ANGELICA SURIEL                                                                                                                                                                                                                                                </t>
  </si>
  <si>
    <t>4921017862885333</t>
  </si>
  <si>
    <t xml:space="preserve">CARRETERA LA ROMANA                                                                                 </t>
  </si>
  <si>
    <t>02601005123</t>
  </si>
  <si>
    <t xml:space="preserve">GERMANIA JIMENEZ                                                                                                                                                                                                                                               </t>
  </si>
  <si>
    <t>4921017862566138</t>
  </si>
  <si>
    <t>40214949527</t>
  </si>
  <si>
    <t xml:space="preserve">JAMILTON MONTERO MELO                                                                                                                                                                                                                                          </t>
  </si>
  <si>
    <t>4921017857199959</t>
  </si>
  <si>
    <t>40210159592</t>
  </si>
  <si>
    <t xml:space="preserve">JENSY RODRIGUEZ                                                                                                                                                                                                                                                </t>
  </si>
  <si>
    <t>5427017855840240</t>
  </si>
  <si>
    <t>40211779463</t>
  </si>
  <si>
    <t xml:space="preserve">FRANKLIN LAUO MICHEL                                                                                                                                                                                                                                           </t>
  </si>
  <si>
    <t>5400017855696164</t>
  </si>
  <si>
    <t xml:space="preserve">BAVARO PUNTA CANA                                                                                   </t>
  </si>
  <si>
    <t>00103227682</t>
  </si>
  <si>
    <t xml:space="preserve">MARINO CORTORREAL                                                                                                                                                                                                                                              </t>
  </si>
  <si>
    <t>4921017857526751</t>
  </si>
  <si>
    <t xml:space="preserve">PLAZA SELENE                                                                                        </t>
  </si>
  <si>
    <t>40210895849</t>
  </si>
  <si>
    <t xml:space="preserve">ALIANNA BYAS                                                                                                                                                                                                                                                   </t>
  </si>
  <si>
    <t>5188017855992396</t>
  </si>
  <si>
    <t>40233723234</t>
  </si>
  <si>
    <t xml:space="preserve">GREICOL AGRAMONTE                                                                                                                                                                                                                                              </t>
  </si>
  <si>
    <t>5400017685033370</t>
  </si>
  <si>
    <t xml:space="preserve">RESIDENCIAL EPIC SUN                                                                                </t>
  </si>
  <si>
    <t xml:space="preserve">BC852231   </t>
  </si>
  <si>
    <t xml:space="preserve">JOHN RODRIGUEZ                                                                                                                                                                                                                                                 </t>
  </si>
  <si>
    <t>4966017552340741</t>
  </si>
  <si>
    <t>40223083177</t>
  </si>
  <si>
    <t xml:space="preserve">JOSE SANCHEZ                                                                                                                                                                                                                                                   </t>
  </si>
  <si>
    <t>4741017752971722</t>
  </si>
  <si>
    <t>00111238309</t>
  </si>
  <si>
    <t xml:space="preserve">FRANCISCO SOSA                                                                                                                                                                                                                                                 </t>
  </si>
  <si>
    <t>4741017854458779</t>
  </si>
  <si>
    <t>40225016613</t>
  </si>
  <si>
    <t xml:space="preserve">MARIBEL ORDONEZ                                                                                                                                                                                                                                                </t>
  </si>
  <si>
    <t>4966017771366899</t>
  </si>
  <si>
    <t>40223051604</t>
  </si>
  <si>
    <t xml:space="preserve">FRAYNE ROSARIO C                                                                                                                                                                                                                                               </t>
  </si>
  <si>
    <t>4921017856742739</t>
  </si>
  <si>
    <t>40235796998</t>
  </si>
  <si>
    <t xml:space="preserve">SAMAR PENA                                                                                                                                                                                                                                                     </t>
  </si>
  <si>
    <t>5415017855027213</t>
  </si>
  <si>
    <t>40209970157</t>
  </si>
  <si>
    <t xml:space="preserve">ROELENNY URENA                                                                                                                                                                                                                                                 </t>
  </si>
  <si>
    <t>4921017856826250</t>
  </si>
  <si>
    <t>40227935604</t>
  </si>
  <si>
    <t xml:space="preserve">ALESKA GARRIDO ABREU                                                                                                                                                                                                                                           </t>
  </si>
  <si>
    <t>4921017857887181</t>
  </si>
  <si>
    <t>40218380331</t>
  </si>
  <si>
    <t xml:space="preserve">ANEURYS REYNOSO                                                                                                                                                                                                                                                </t>
  </si>
  <si>
    <t>4921017856962969</t>
  </si>
  <si>
    <t xml:space="preserve">LOS PALO                                                                                            </t>
  </si>
  <si>
    <t>02801083474</t>
  </si>
  <si>
    <t xml:space="preserve">JOSELIN RAMOS PANIAGUA                                                                                                                                                                                                                                         </t>
  </si>
  <si>
    <t>4921017850465285</t>
  </si>
  <si>
    <t>40218081673</t>
  </si>
  <si>
    <t xml:space="preserve">ELY REYES                                                                                                                                                                                                                                                      </t>
  </si>
  <si>
    <t>5415017855447336</t>
  </si>
  <si>
    <t>40232376109</t>
  </si>
  <si>
    <t xml:space="preserve">WILMY CEDENO                                                                                                                                                                                                                                                   </t>
  </si>
  <si>
    <t>5188017855928003</t>
  </si>
  <si>
    <t xml:space="preserve">LINEA NUEVA                                                                                         </t>
  </si>
  <si>
    <t>40224693354</t>
  </si>
  <si>
    <t xml:space="preserve">LEONIDAS PEREYRA R                                                                                                                                                                                                                                             </t>
  </si>
  <si>
    <t>4921017857218320</t>
  </si>
  <si>
    <t>02801125002</t>
  </si>
  <si>
    <t xml:space="preserve">BLAS CALDERON                                                                                                                                                                                                                                                  </t>
  </si>
  <si>
    <t>5400017849611109</t>
  </si>
  <si>
    <t xml:space="preserve">JOSELIN RAMOS P                                                                                                                                                                                                                                                </t>
  </si>
  <si>
    <t>5415017849678995</t>
  </si>
  <si>
    <t xml:space="preserve">JOSELIN RAMOS                                                                                                                                                                                                                                                  </t>
  </si>
  <si>
    <t>4966017851048579</t>
  </si>
  <si>
    <t>22500815257</t>
  </si>
  <si>
    <t xml:space="preserve">LENIN SANO                                                                                                                                                                                                                                                     </t>
  </si>
  <si>
    <t>4921017857137276</t>
  </si>
  <si>
    <t xml:space="preserve">KM 5                                                                                                </t>
  </si>
  <si>
    <t>02801154119</t>
  </si>
  <si>
    <t xml:space="preserve">PATRICK CORPORAN B                                                                                                                                                                                                                                             </t>
  </si>
  <si>
    <t>5188017769814744</t>
  </si>
  <si>
    <t>40237471343</t>
  </si>
  <si>
    <t xml:space="preserve">JOHAN PEREZ                                                                                                                                                                                                                                                    </t>
  </si>
  <si>
    <t>5415017837797781</t>
  </si>
  <si>
    <t>02301690448</t>
  </si>
  <si>
    <t xml:space="preserve">YOMAIRY RAMIREZ                                                                                                                                                                                                                                                </t>
  </si>
  <si>
    <t>5415017848403761</t>
  </si>
  <si>
    <t>40221746833</t>
  </si>
  <si>
    <t xml:space="preserve">CRISTIAN NAVARRO                                                                                                                                                                                                                                               </t>
  </si>
  <si>
    <t>5415017848759077</t>
  </si>
  <si>
    <t xml:space="preserve">LOS GUANDULES                                                                                       </t>
  </si>
  <si>
    <t xml:space="preserve">AVIER JOSEPH                                                                                                                                                                                                                                                   </t>
  </si>
  <si>
    <t>5188017849945567</t>
  </si>
  <si>
    <t xml:space="preserve">MEXICO                                                                                              </t>
  </si>
  <si>
    <t>40240437448</t>
  </si>
  <si>
    <t xml:space="preserve">DAMIAN RUBECINDO                                                                                                                                                                                                                                               </t>
  </si>
  <si>
    <t>5415017849269645</t>
  </si>
  <si>
    <t xml:space="preserve">SAN PEDRO ENSANCHE QUISQUEYA                                                                        </t>
  </si>
  <si>
    <t>40231964889</t>
  </si>
  <si>
    <t xml:space="preserve">DIOSJELIS PIO O                                                                                                                                                                                                                                                </t>
  </si>
  <si>
    <t>5415017849052390</t>
  </si>
  <si>
    <t xml:space="preserve">LOS GUYACANES  CASA  18                                                                             </t>
  </si>
  <si>
    <t>40227564750</t>
  </si>
  <si>
    <t xml:space="preserve">CARLOS CARVAJAL                                                                                                                                                                                                                                                </t>
  </si>
  <si>
    <t>4921017851686577</t>
  </si>
  <si>
    <t>ENVIAR A SUCURSAL DE LA UCE EN SAN PEDRO</t>
  </si>
  <si>
    <t xml:space="preserve">BARRIO BLANCO                                                                                       </t>
  </si>
  <si>
    <t>40232468476</t>
  </si>
  <si>
    <t xml:space="preserve">GARNEL CEDANO R                                                                                                                                                                                                                                                </t>
  </si>
  <si>
    <t>4921017852854177</t>
  </si>
  <si>
    <t>40226996151</t>
  </si>
  <si>
    <t xml:space="preserve">ARIACNA SANTANA                                                                                                                                                                                                                                                </t>
  </si>
  <si>
    <t>4025017853998300</t>
  </si>
  <si>
    <t xml:space="preserve">BO MEXICO NO 105                                                                                    </t>
  </si>
  <si>
    <t>40219978034</t>
  </si>
  <si>
    <t xml:space="preserve">KAREN DE LA CRUZ                                                                                                                                                                                                                                               </t>
  </si>
  <si>
    <t>4921017852018449</t>
  </si>
  <si>
    <t>40225345061</t>
  </si>
  <si>
    <t xml:space="preserve">HAROLD TELLERIAS                                                                                                                                                                                                                                               </t>
  </si>
  <si>
    <t>5400017849627534</t>
  </si>
  <si>
    <t>02301492951</t>
  </si>
  <si>
    <t xml:space="preserve">ELIZABETH MARTINEZ                                                                                                                                                                                                                                             </t>
  </si>
  <si>
    <t>4921017853344438</t>
  </si>
  <si>
    <t>40225266960</t>
  </si>
  <si>
    <t xml:space="preserve">FRANCISCO DIAZ                                                                                                                                                                                                                                                 </t>
  </si>
  <si>
    <t>5188017848999125</t>
  </si>
  <si>
    <t xml:space="preserve">LA PALOMA                                                                                           </t>
  </si>
  <si>
    <t>02400253635</t>
  </si>
  <si>
    <t xml:space="preserve">YASMINT SOSA SOSA                                                                                                                                                                                                                                              </t>
  </si>
  <si>
    <t>5415017848744639</t>
  </si>
  <si>
    <t>01200968426</t>
  </si>
  <si>
    <t xml:space="preserve">SANTO ALCANTARA                                                                                                                                                                                                                                                </t>
  </si>
  <si>
    <t>4921017853324658</t>
  </si>
  <si>
    <t xml:space="preserve">LA SEIBA                                                                                            </t>
  </si>
  <si>
    <t>40221127257</t>
  </si>
  <si>
    <t xml:space="preserve">YENIFFER ABREU                                                                                                                                                                                                                                                 </t>
  </si>
  <si>
    <t>4921017852692676</t>
  </si>
  <si>
    <t>40238178335</t>
  </si>
  <si>
    <t xml:space="preserve">JOSE MARTE SEVERINO                                                                                                                                                                                                                                            </t>
  </si>
  <si>
    <t>4921017853260843</t>
  </si>
  <si>
    <t xml:space="preserve">LOTIFICACION                                                                                        </t>
  </si>
  <si>
    <t xml:space="preserve">RESIDENCIAL 21 DE ENERO                                                                             </t>
  </si>
  <si>
    <t>40209175096</t>
  </si>
  <si>
    <t xml:space="preserve">INOVI BERIGUETE                                                                                                                                                                                                                                                </t>
  </si>
  <si>
    <t>4025017853938222</t>
  </si>
  <si>
    <t>40219464308</t>
  </si>
  <si>
    <t xml:space="preserve">MAYELI BASTARDO R                                                                                                                                                                                                                                              </t>
  </si>
  <si>
    <t>4921017852893338</t>
  </si>
  <si>
    <t>40243372733</t>
  </si>
  <si>
    <t xml:space="preserve">LUIS DE LA CRUZ REYES                                                                                                                                                                                                                                          </t>
  </si>
  <si>
    <t>4921017852907116</t>
  </si>
  <si>
    <t>40234140727</t>
  </si>
  <si>
    <t xml:space="preserve">ANA MALDONADO                                                                                                                                                                                                                                                  </t>
  </si>
  <si>
    <t>4921017852373148</t>
  </si>
  <si>
    <t>40211608688</t>
  </si>
  <si>
    <t xml:space="preserve">CHRIS RAMIREZ NUNEZ                                                                                                                                                                                                                                            </t>
  </si>
  <si>
    <t>5415017849341450</t>
  </si>
  <si>
    <t>40211760158</t>
  </si>
  <si>
    <t xml:space="preserve">ELIEZER PACHE S                                                                                                                                                                                                                                                </t>
  </si>
  <si>
    <t>5415017849357582</t>
  </si>
  <si>
    <t>02801094992</t>
  </si>
  <si>
    <t xml:space="preserve">MARINA MARTINEZ                                                                                                                                                                                                                                                </t>
  </si>
  <si>
    <t>5188017850271833</t>
  </si>
  <si>
    <t>02801106556</t>
  </si>
  <si>
    <t xml:space="preserve">YRIS DEL ROSARIO                                                                                                                                                                                                                                               </t>
  </si>
  <si>
    <t>5227017849682053</t>
  </si>
  <si>
    <t>40229165739</t>
  </si>
  <si>
    <t xml:space="preserve">ALEX URENA                                                                                                                                                                                                                                                     </t>
  </si>
  <si>
    <t>5188017850207612</t>
  </si>
  <si>
    <t>40224924882</t>
  </si>
  <si>
    <t xml:space="preserve">JOSELIN CARPIO BERROA                                                                                                                                                                                                                                          </t>
  </si>
  <si>
    <t>5188017850286374</t>
  </si>
  <si>
    <t>00112194857</t>
  </si>
  <si>
    <t xml:space="preserve">JENNY ALMON                                                                                                                                                                                                                                                    </t>
  </si>
  <si>
    <t>5415017848789347</t>
  </si>
  <si>
    <t>40231808151</t>
  </si>
  <si>
    <t xml:space="preserve">LISANDRO MEJIA                                                                                                                                                                                                                                                 </t>
  </si>
  <si>
    <t>5415017849366390</t>
  </si>
  <si>
    <t>40210926388</t>
  </si>
  <si>
    <t xml:space="preserve">YAMIRELY EUSEBIO                                                                                                                                                                                                                                               </t>
  </si>
  <si>
    <t>5415017849199813</t>
  </si>
  <si>
    <t xml:space="preserve">NO 3                                                                                                </t>
  </si>
  <si>
    <t>02801022241</t>
  </si>
  <si>
    <t xml:space="preserve"> / JULISSA GOMEZ                                                                                                                                                                                                                                               </t>
  </si>
  <si>
    <t>5523017844621493</t>
  </si>
  <si>
    <t>00111200036</t>
  </si>
  <si>
    <t xml:space="preserve">ESPERANZA SANTOS                                                                                                                                                                                                                                               </t>
  </si>
  <si>
    <t>4173017848153723</t>
  </si>
  <si>
    <t>00118473826</t>
  </si>
  <si>
    <t xml:space="preserve">CARLOS CORTINAS                                                                                                                                                                                                                                                </t>
  </si>
  <si>
    <t>5549017839003986</t>
  </si>
  <si>
    <t>29500029771</t>
  </si>
  <si>
    <t xml:space="preserve">GERONIMO SALEN                                                                                                                                                                                                                                                 </t>
  </si>
  <si>
    <t>4025017847663871</t>
  </si>
  <si>
    <t>02601462589</t>
  </si>
  <si>
    <t xml:space="preserve">YUNEISI VIDAL                                                                                                                                                                                                                                                  </t>
  </si>
  <si>
    <t>5188017754714677</t>
  </si>
  <si>
    <t>04800722516</t>
  </si>
  <si>
    <t xml:space="preserve">FABIO LOPEZ                                                                                                                                                                                                                                                    </t>
  </si>
  <si>
    <t>4921017842229495</t>
  </si>
  <si>
    <t>40238966382</t>
  </si>
  <si>
    <t xml:space="preserve">TREISY MAURICIO                                                                                                                                                                                                                                                </t>
  </si>
  <si>
    <t>4921017841904930</t>
  </si>
  <si>
    <t xml:space="preserve">EDIFICIO VILLAGE                                                                                    </t>
  </si>
  <si>
    <t>40210784803</t>
  </si>
  <si>
    <t xml:space="preserve">EMMANUEL MEDINA                                                                                                                                                                                                                                                </t>
  </si>
  <si>
    <t>4921017772831451</t>
  </si>
  <si>
    <t>00110357118</t>
  </si>
  <si>
    <t xml:space="preserve">ROSA ACEVEDO                                                                                                                                                                                                                                                   </t>
  </si>
  <si>
    <t>4921017841460557</t>
  </si>
  <si>
    <t>04000084790</t>
  </si>
  <si>
    <t xml:space="preserve">JOSE RIVERA                                                                                                                                                                                                                                                    </t>
  </si>
  <si>
    <t>4921017772932720</t>
  </si>
  <si>
    <t>01100118874</t>
  </si>
  <si>
    <t xml:space="preserve">CEVERINO DIAZ                                                                                                                                                                                                                                                  </t>
  </si>
  <si>
    <t>4025017691106218</t>
  </si>
  <si>
    <t>40211150921</t>
  </si>
  <si>
    <t xml:space="preserve">FAURIS RAMIREZ                                                                                                                                                                                                                                                 </t>
  </si>
  <si>
    <t>4921017847508214</t>
  </si>
  <si>
    <t xml:space="preserve">NO 30                                                                                               </t>
  </si>
  <si>
    <t>02300401144</t>
  </si>
  <si>
    <t xml:space="preserve">ZUNI JAPA MORALES                                                                                                                                                                                                                                              </t>
  </si>
  <si>
    <t>5523017837937961</t>
  </si>
  <si>
    <t>40212380618</t>
  </si>
  <si>
    <t xml:space="preserve">FRANKLIN BATISTA                                                                                                                                                                                                                                               </t>
  </si>
  <si>
    <t>4025017847840644</t>
  </si>
  <si>
    <t>02301287294</t>
  </si>
  <si>
    <t xml:space="preserve">REGNER EVERTZ ALCALA                                                                                                                                                                                                                                           </t>
  </si>
  <si>
    <t>5192017840125780</t>
  </si>
  <si>
    <t>40223258027</t>
  </si>
  <si>
    <t xml:space="preserve">YULIANA ALVAREZ                                                                                                                                                                                                                                                </t>
  </si>
  <si>
    <t>4921017841827506</t>
  </si>
  <si>
    <t xml:space="preserve">LA PIEDRA                                                                                           </t>
  </si>
  <si>
    <t>40219801228</t>
  </si>
  <si>
    <t xml:space="preserve">JUNIOR JIMENEZ                                                                                                                                                                                                                                                 </t>
  </si>
  <si>
    <t>4921017845714195</t>
  </si>
  <si>
    <t xml:space="preserve">SARMIENTOS                                                                                          </t>
  </si>
  <si>
    <t>40249453628</t>
  </si>
  <si>
    <t xml:space="preserve">JHONNY VRECORD                                                                                                                                                                                                                                                 </t>
  </si>
  <si>
    <t>4921017845607159</t>
  </si>
  <si>
    <t>40226788426</t>
  </si>
  <si>
    <t xml:space="preserve">PATRICIA CONTRERAS                                                                                                                                                                                                                                             </t>
  </si>
  <si>
    <t>4921017845749009</t>
  </si>
  <si>
    <t>40249663689</t>
  </si>
  <si>
    <t xml:space="preserve">VICTOR BAUTISTA                                                                                                                                                                                                                                                </t>
  </si>
  <si>
    <t>4921017845692117</t>
  </si>
  <si>
    <t xml:space="preserve">RES VILLA MARINA                                                                                    </t>
  </si>
  <si>
    <t>40225420716</t>
  </si>
  <si>
    <t xml:space="preserve">YISEL PENA                                                                                                                                                                                                                                                     </t>
  </si>
  <si>
    <t>4921017845891070</t>
  </si>
  <si>
    <t xml:space="preserve">CENTRO DE LA CIUDAD                                                                                 </t>
  </si>
  <si>
    <t>02301566697</t>
  </si>
  <si>
    <t xml:space="preserve">LUCY BENITEZ                                                                                                                                                                                                                                                   </t>
  </si>
  <si>
    <t>4921017845651292</t>
  </si>
  <si>
    <t>40231931318</t>
  </si>
  <si>
    <t xml:space="preserve">JOHAN SALAZAR                                                                                                                                                                                                                                                  </t>
  </si>
  <si>
    <t>4921017843160266</t>
  </si>
  <si>
    <t xml:space="preserve">SECTOR RESTAURACION                                                                                 </t>
  </si>
  <si>
    <t>40245605361</t>
  </si>
  <si>
    <t xml:space="preserve">YONATHAN MENDEZ                                                                                                                                                                                                                                                </t>
  </si>
  <si>
    <t>4921017841594680</t>
  </si>
  <si>
    <t xml:space="preserve">NO. 74 BARRIO MEXICO                                                                                </t>
  </si>
  <si>
    <t>02700508944</t>
  </si>
  <si>
    <t xml:space="preserve">SOCORRO MARTINEZ                                                                                                                                                                                                                                               </t>
  </si>
  <si>
    <t>4921017843299142</t>
  </si>
  <si>
    <t>40211682204</t>
  </si>
  <si>
    <t xml:space="preserve">SHAILYN JIMENEZ                                                                                                                                                                                                                                                </t>
  </si>
  <si>
    <t>4921017842059952</t>
  </si>
  <si>
    <t>14600031877</t>
  </si>
  <si>
    <t xml:space="preserve">DAHIANA COLON                                                                                                                                                                                                                                                  </t>
  </si>
  <si>
    <t>4921017841589612</t>
  </si>
  <si>
    <t>02301065336</t>
  </si>
  <si>
    <t xml:space="preserve">RUTH BENITEZ URRACA                                                                                                                                                                                                                                            </t>
  </si>
  <si>
    <t>4921017840581815</t>
  </si>
  <si>
    <t xml:space="preserve">ESQ ULISES ESPAILLAT                                                                                </t>
  </si>
  <si>
    <t>40213255298</t>
  </si>
  <si>
    <t xml:space="preserve">AMAURYS SANTANA SEVER                                                                                                                                                                                                                                          </t>
  </si>
  <si>
    <t>5188017839341590</t>
  </si>
  <si>
    <t xml:space="preserve">ZONA FRANCA SINDONI GROUP SRL                                                                       </t>
  </si>
  <si>
    <t xml:space="preserve">CASA NO 63                                                                                          </t>
  </si>
  <si>
    <t>05601481236</t>
  </si>
  <si>
    <t xml:space="preserve">ENMANUEL RAMOS DEL ORBE                                                                                                                                                                                                                                        </t>
  </si>
  <si>
    <t>4025017727295636</t>
  </si>
  <si>
    <t>40227514862</t>
  </si>
  <si>
    <t xml:space="preserve">ISMAEL DE LEON                                                                                                                                                                                                                                                 </t>
  </si>
  <si>
    <t>5227017845095571</t>
  </si>
  <si>
    <t>40237261165</t>
  </si>
  <si>
    <t xml:space="preserve">MARKE JIMENEZ                                                                                                                                                                                                                                                  </t>
  </si>
  <si>
    <t>4921017847017728</t>
  </si>
  <si>
    <t>40210430571</t>
  </si>
  <si>
    <t xml:space="preserve">DIOGENES RUIZ ROSARIO                                                                                                                                                                                                                                          </t>
  </si>
  <si>
    <t>4921017846268845</t>
  </si>
  <si>
    <t>40235669641</t>
  </si>
  <si>
    <t xml:space="preserve">LEWIS MONZON                                                                                                                                                                                                                                                   </t>
  </si>
  <si>
    <t>4921017846512496</t>
  </si>
  <si>
    <t>02301542920</t>
  </si>
  <si>
    <t xml:space="preserve">HEIDI ROSARIO                                                                                                                                                                                                                                                  </t>
  </si>
  <si>
    <t>4921017847288039</t>
  </si>
  <si>
    <t xml:space="preserve">PUNTA DE GARZA                                                                                      </t>
  </si>
  <si>
    <t>02300087729</t>
  </si>
  <si>
    <t xml:space="preserve">JUAN CORDONES PEGUERO                                                                                                                                                                                                                                          </t>
  </si>
  <si>
    <t>4966017846079044</t>
  </si>
  <si>
    <t>40223373057</t>
  </si>
  <si>
    <t xml:space="preserve">JUANA MORA                                                                                                                                                                                                                                                     </t>
  </si>
  <si>
    <t>5415017838236180</t>
  </si>
  <si>
    <t xml:space="preserve">NO 83                                                                                               </t>
  </si>
  <si>
    <t>02800565422</t>
  </si>
  <si>
    <t xml:space="preserve"> / LILLO VICENZO                                                                                                                                                                                                                                               </t>
  </si>
  <si>
    <t>5523017837957316</t>
  </si>
  <si>
    <t>40225365606</t>
  </si>
  <si>
    <t xml:space="preserve">EDDY MONTILLA                                                                                                                                                                                                                                                  </t>
  </si>
  <si>
    <t>4921017846358904</t>
  </si>
  <si>
    <t>02800756393</t>
  </si>
  <si>
    <t xml:space="preserve">JUSTIN SANTANA                                                                                                                                                                                                                                                 </t>
  </si>
  <si>
    <t>5192017745213660</t>
  </si>
  <si>
    <t xml:space="preserve">NO 01                                                                                               </t>
  </si>
  <si>
    <t>02800572808</t>
  </si>
  <si>
    <t xml:space="preserve">RUFINA POLANCO                                                                                                                                                                                                                                                 </t>
  </si>
  <si>
    <t>5427017779544621</t>
  </si>
  <si>
    <t>40218280523</t>
  </si>
  <si>
    <t xml:space="preserve">JOSE PAULINO                                                                                                                                                                                                                                                   </t>
  </si>
  <si>
    <t>5188017776197990</t>
  </si>
  <si>
    <t xml:space="preserve">LA FORTALEZA                                                                                        </t>
  </si>
  <si>
    <t>40218387856</t>
  </si>
  <si>
    <t xml:space="preserve">KAREN SUERO MERCADO                                                                                                                                                                                                                                            </t>
  </si>
  <si>
    <t>4921017841870811</t>
  </si>
  <si>
    <t>02601027903</t>
  </si>
  <si>
    <t xml:space="preserve">YASMIN PENA                                                                                                                                                                                                                                                    </t>
  </si>
  <si>
    <t>4921017842451275</t>
  </si>
  <si>
    <t>40208825717</t>
  </si>
  <si>
    <t xml:space="preserve">YENIFER SILVESTRE                                                                                                                                                                                                                                              </t>
  </si>
  <si>
    <t>4921017843052761</t>
  </si>
  <si>
    <t xml:space="preserve">LOCAL FRANK MUEBLES                                                                                 </t>
  </si>
  <si>
    <t>02800335545</t>
  </si>
  <si>
    <t xml:space="preserve">PABLO ROSARIO AVILA                                                                                                                                                                                                                                            </t>
  </si>
  <si>
    <t>4921017842530332</t>
  </si>
  <si>
    <t>02801062668</t>
  </si>
  <si>
    <t xml:space="preserve">ELIZABETH MONTILLA                                                                                                                                                                                                                                             </t>
  </si>
  <si>
    <t>4921017798807838</t>
  </si>
  <si>
    <t>40211661349</t>
  </si>
  <si>
    <t xml:space="preserve">ASLHEY ARECHE PEGUERO                                                                                                                                                                                                                                          </t>
  </si>
  <si>
    <t>4921017760674041</t>
  </si>
  <si>
    <t xml:space="preserve">RESIDECIAL EL EJECUTIVO NO 03                                                                       </t>
  </si>
  <si>
    <t>40220355909</t>
  </si>
  <si>
    <t xml:space="preserve">FRANKLIN REYES                                                                                                                                                                                                                                                 </t>
  </si>
  <si>
    <t>4921017820708210</t>
  </si>
  <si>
    <t>40210912305</t>
  </si>
  <si>
    <t xml:space="preserve">JOKANDER CEDANO                                                                                                                                                                                                                                                </t>
  </si>
  <si>
    <t>4921017843174333</t>
  </si>
  <si>
    <t>40231543857</t>
  </si>
  <si>
    <t xml:space="preserve">OSCAR ORTIZ                                                                                                                                                                                                                                                    </t>
  </si>
  <si>
    <t>4921017842852401</t>
  </si>
  <si>
    <t>22301432914</t>
  </si>
  <si>
    <t xml:space="preserve">YOENNY FELIZ                                                                                                                                                                                                                                                   </t>
  </si>
  <si>
    <t>4921017771584226</t>
  </si>
  <si>
    <t>40234584940</t>
  </si>
  <si>
    <t xml:space="preserve">RONNER RIJO R                                                                                                                                                                                                                                                  </t>
  </si>
  <si>
    <t>4921017782328094</t>
  </si>
  <si>
    <t xml:space="preserve">RESIDENCIAL DON JOSE EDIF B301 TERCER NIVEL                                                         </t>
  </si>
  <si>
    <t>04500212065</t>
  </si>
  <si>
    <t xml:space="preserve">ROSA LIZARDO                                                                                                                                                                                                                                                   </t>
  </si>
  <si>
    <t>4966017780975138</t>
  </si>
  <si>
    <t xml:space="preserve">NO 9                                                                                                </t>
  </si>
  <si>
    <t>02601313352</t>
  </si>
  <si>
    <t>4921017781595051</t>
  </si>
  <si>
    <t>40214911857</t>
  </si>
  <si>
    <t xml:space="preserve">JOHANNA SANTANA                                                                                                                                                                                                                                                </t>
  </si>
  <si>
    <t>5415017844791130</t>
  </si>
  <si>
    <t xml:space="preserve">MACAO                                                                                               </t>
  </si>
  <si>
    <t>40239109156</t>
  </si>
  <si>
    <t xml:space="preserve">DAVID COLON                                                                                                                                                                                                                                                    </t>
  </si>
  <si>
    <t>4921017846569604</t>
  </si>
  <si>
    <t>40212538546</t>
  </si>
  <si>
    <t xml:space="preserve">GEREMIAS SANTA                                                                                                                                                                                                                                                 </t>
  </si>
  <si>
    <t>5415017844784189</t>
  </si>
  <si>
    <t>02801142767</t>
  </si>
  <si>
    <t xml:space="preserve">ESTHER SANTANA                                                                                                                                                                                                                                                 </t>
  </si>
  <si>
    <t>5415017844827859</t>
  </si>
  <si>
    <t>40258350657</t>
  </si>
  <si>
    <t xml:space="preserve">OSVALDO TOUSAINE                                                                                                                                                                                                                                               </t>
  </si>
  <si>
    <t>4921017847558375</t>
  </si>
  <si>
    <t>40210808289</t>
  </si>
  <si>
    <t xml:space="preserve">RUBEN RAMOS SANTANA                                                                                                                                                                                                                                            </t>
  </si>
  <si>
    <t>5415017844969388</t>
  </si>
  <si>
    <t>40232217667</t>
  </si>
  <si>
    <t xml:space="preserve">YAELIS VELAZQUEZ                                                                                                                                                                                                                                               </t>
  </si>
  <si>
    <t>5415017844975296</t>
  </si>
  <si>
    <t xml:space="preserve">LOS OBISPADO                                                                                        </t>
  </si>
  <si>
    <t>02801131703</t>
  </si>
  <si>
    <t xml:space="preserve">PAULA DOMINGUEZ                                                                                                                                                                                                                                                </t>
  </si>
  <si>
    <t>5188017845153334</t>
  </si>
  <si>
    <t>40245311648</t>
  </si>
  <si>
    <t xml:space="preserve">NEDELIN CONSTANZO                                                                                                                                                                                                                                              </t>
  </si>
  <si>
    <t>5415017844802144</t>
  </si>
  <si>
    <t>22300299942</t>
  </si>
  <si>
    <t xml:space="preserve">ESTIMADA ESTIME                                                                                                                                                                                                                                                </t>
  </si>
  <si>
    <t>5415017844773159</t>
  </si>
  <si>
    <t xml:space="preserve">VERON                                                                                               </t>
  </si>
  <si>
    <t>40230403202</t>
  </si>
  <si>
    <t xml:space="preserve">OLIVER MARTE                                                                                                                                                                                                                                                   </t>
  </si>
  <si>
    <t>5188017839457206</t>
  </si>
  <si>
    <t xml:space="preserve">PRINCIPAL                                                                                           </t>
  </si>
  <si>
    <t>40228694838</t>
  </si>
  <si>
    <t xml:space="preserve">LUIS CASTILLO                                                                                                                                                                                                                                                  </t>
  </si>
  <si>
    <t>5188017840059135</t>
  </si>
  <si>
    <t>02801133121</t>
  </si>
  <si>
    <t xml:space="preserve">ELIZABETH CONCEPCION                                                                                                                                                                                                                                           </t>
  </si>
  <si>
    <t>4921017841612008</t>
  </si>
  <si>
    <t>40230749901</t>
  </si>
  <si>
    <t xml:space="preserve">CAMILA WALLACE                                                                                                                                                                                                                                                 </t>
  </si>
  <si>
    <t>4921017842862416</t>
  </si>
  <si>
    <t>02800656718</t>
  </si>
  <si>
    <t xml:space="preserve">EUDIS VENTURA                                                                                                                                                                                                                                                  </t>
  </si>
  <si>
    <t>4025017843491142</t>
  </si>
  <si>
    <t>40214509875</t>
  </si>
  <si>
    <t xml:space="preserve">ROBERT PEDIET                                                                                                                                                                                                                                                  </t>
  </si>
  <si>
    <t>5188017840045923</t>
  </si>
  <si>
    <t>40245072059</t>
  </si>
  <si>
    <t xml:space="preserve">BERWIN SAMBOY                                                                                                                                                                                                                                                  </t>
  </si>
  <si>
    <t>5188017839894143</t>
  </si>
  <si>
    <t>40221196666</t>
  </si>
  <si>
    <t xml:space="preserve">JUAN CEDENO                                                                                                                                                                                                                                                    </t>
  </si>
  <si>
    <t>4921017841260774</t>
  </si>
  <si>
    <t xml:space="preserve">ENS NACO                                                                                            </t>
  </si>
  <si>
    <t>40237328709</t>
  </si>
  <si>
    <t xml:space="preserve">TEMIS ABREU VIOLA                                                                                                                                                                                                                                              </t>
  </si>
  <si>
    <t>4921017841712277</t>
  </si>
  <si>
    <t>40226897326</t>
  </si>
  <si>
    <t xml:space="preserve">FERNANDO SEGA S                                                                                                                                                                                                                                                </t>
  </si>
  <si>
    <t>4921017843029950</t>
  </si>
  <si>
    <t xml:space="preserve">APTO NO 3                                                                                           </t>
  </si>
  <si>
    <t>40241394705</t>
  </si>
  <si>
    <t xml:space="preserve">ANA CASTRO DIAZ                                                                                                                                                                                                                                                </t>
  </si>
  <si>
    <t>4921017682108462</t>
  </si>
  <si>
    <t>02301251464</t>
  </si>
  <si>
    <t xml:space="preserve">MIGUEL MORALES                                                                                                                                                                                                                                                 </t>
  </si>
  <si>
    <t>5188017838303208</t>
  </si>
  <si>
    <t>09000064452</t>
  </si>
  <si>
    <t xml:space="preserve">OLGA PAEZ C                                                                                                                                                                                                                                                    </t>
  </si>
  <si>
    <t>4921017840293476</t>
  </si>
  <si>
    <t xml:space="preserve">FRENTE AL CEMENTERIO CENTRAL                                                                        </t>
  </si>
  <si>
    <t>40219617616</t>
  </si>
  <si>
    <t xml:space="preserve">DARIELY GUZMAN                                                                                                                                                                                                                                                 </t>
  </si>
  <si>
    <t>5188017839625591</t>
  </si>
  <si>
    <t>02301244162</t>
  </si>
  <si>
    <t xml:space="preserve">MARTINA PIO POZO                                                                                                                                                                                                                                               </t>
  </si>
  <si>
    <t>5400017839037927</t>
  </si>
  <si>
    <t>02700302900</t>
  </si>
  <si>
    <t xml:space="preserve">NANCY DE LA CRUZ                                                                                                                                                                                                                                               </t>
  </si>
  <si>
    <t>4921017840260308</t>
  </si>
  <si>
    <t xml:space="preserve">FLOR DE CANA                                                                                        </t>
  </si>
  <si>
    <t>40249436649</t>
  </si>
  <si>
    <t xml:space="preserve">ALBERTO ANGLERO                                                                                                                                                                                                                                                </t>
  </si>
  <si>
    <t>5415017838759764</t>
  </si>
  <si>
    <t xml:space="preserve">LA CERVECERIA                                                                                       </t>
  </si>
  <si>
    <t>02301391690</t>
  </si>
  <si>
    <t xml:space="preserve">MARIA WILSON                                                                                                                                                                                                                                                   </t>
  </si>
  <si>
    <t>4921017842081109</t>
  </si>
  <si>
    <t>40247596089</t>
  </si>
  <si>
    <t xml:space="preserve">ERICK DIAZ                                                                                                                                                                                                                                                     </t>
  </si>
  <si>
    <t>4921017840554746</t>
  </si>
  <si>
    <t>02300875057</t>
  </si>
  <si>
    <t xml:space="preserve">JULIA OZUNA                                                                                                                                                                                                                                                    </t>
  </si>
  <si>
    <t>4025017843687204</t>
  </si>
  <si>
    <t>02301694226</t>
  </si>
  <si>
    <t xml:space="preserve">LEBRON SIMON                                                                                                                                                                                                                                                   </t>
  </si>
  <si>
    <t>4921017841883146</t>
  </si>
  <si>
    <t>40210918948</t>
  </si>
  <si>
    <t xml:space="preserve">CALEB BENITEZ                                                                                                                                                                                                                                                  </t>
  </si>
  <si>
    <t>4921017840570088</t>
  </si>
  <si>
    <t>14000054263</t>
  </si>
  <si>
    <t xml:space="preserve">AMAURIS HERNANDEZ                                                                                                                                                                                                                                              </t>
  </si>
  <si>
    <t>4921017836075422</t>
  </si>
  <si>
    <t xml:space="preserve">HIGUEY LA ALTAGRACIAS                                                                               </t>
  </si>
  <si>
    <t>40234769277</t>
  </si>
  <si>
    <t xml:space="preserve">FRANCIA SIME                                                                                                                                                                                                                                                   </t>
  </si>
  <si>
    <t>5415017753678415</t>
  </si>
  <si>
    <t xml:space="preserve">VILLA 26B VISTA CANA                                                                                </t>
  </si>
  <si>
    <t>40224511853</t>
  </si>
  <si>
    <t xml:space="preserve">THOMIS GARRIDO                                                                                                                                                                                                                                                 </t>
  </si>
  <si>
    <t>5188017744747975</t>
  </si>
  <si>
    <t>02800951697</t>
  </si>
  <si>
    <t xml:space="preserve">MARIELA SANTANA                                                                                                                                                                                                                                                </t>
  </si>
  <si>
    <t>4025017837259005</t>
  </si>
  <si>
    <t xml:space="preserve">RESID VILLAS IMPERIALES  2 NO 15                                                                    </t>
  </si>
  <si>
    <t>02300112253</t>
  </si>
  <si>
    <t xml:space="preserve">FELIPE CUETO                                                                                                                                                                                                                                                   </t>
  </si>
  <si>
    <t>5523017828761307</t>
  </si>
  <si>
    <t>02301400616</t>
  </si>
  <si>
    <t xml:space="preserve">ROSA MOTA                                                                                                                                                                                                                                                      </t>
  </si>
  <si>
    <t>4921017835425042</t>
  </si>
  <si>
    <t>40222360014</t>
  </si>
  <si>
    <t>5188017830128766</t>
  </si>
  <si>
    <t>40225481759</t>
  </si>
  <si>
    <t xml:space="preserve">SERGIO SEGURA                                                                                                                                                                                                                                                  </t>
  </si>
  <si>
    <t>4741017833921593</t>
  </si>
  <si>
    <t xml:space="preserve">EN LA PESCADERIA CRISTO LA BARCA                                                                    </t>
  </si>
  <si>
    <t>02300849219</t>
  </si>
  <si>
    <t xml:space="preserve">RAMON VIZCAINO                                                                                                                                                                                                                                                 </t>
  </si>
  <si>
    <t>4741017837494494</t>
  </si>
  <si>
    <t xml:space="preserve">TOCONAL                                                                                             </t>
  </si>
  <si>
    <t>40227006216</t>
  </si>
  <si>
    <t xml:space="preserve">SUGEIDI LORENZO                                                                                                                                                                                                                                                </t>
  </si>
  <si>
    <t>4921017836911773</t>
  </si>
  <si>
    <t xml:space="preserve">GUACHUPITA ING QUISQUEYA                                                                            </t>
  </si>
  <si>
    <t>02400101446</t>
  </si>
  <si>
    <t xml:space="preserve">INGRID VITINI                                                                                                                                                                                                                                                  </t>
  </si>
  <si>
    <t>4025017837172160</t>
  </si>
  <si>
    <t>40231196227</t>
  </si>
  <si>
    <t xml:space="preserve">JANABEL JALPAY                                                                                                                                                                                                                                                 </t>
  </si>
  <si>
    <t>4921017835986839</t>
  </si>
  <si>
    <t>02301260002</t>
  </si>
  <si>
    <t xml:space="preserve">JOSE DE JESUS V                                                                                                                                                                                                                                                </t>
  </si>
  <si>
    <t>5188017834599241</t>
  </si>
  <si>
    <t>02301303604</t>
  </si>
  <si>
    <t xml:space="preserve">JORGE FRANCISCO                                                                                                                                                                                                                                                </t>
  </si>
  <si>
    <t>4921017836547294</t>
  </si>
  <si>
    <t>40213778828</t>
  </si>
  <si>
    <t xml:space="preserve">ANDRES CASTILLO                                                                                                                                                                                                                                                </t>
  </si>
  <si>
    <t>4921017831729205</t>
  </si>
  <si>
    <t>40214713477</t>
  </si>
  <si>
    <t xml:space="preserve">BRAILYN MERCEDES                                                                                                                                                                                                                                               </t>
  </si>
  <si>
    <t>4921017831985439</t>
  </si>
  <si>
    <t>40209260146</t>
  </si>
  <si>
    <t xml:space="preserve">LUIS FLORENTINO                                                                                                                                                                                                                                                </t>
  </si>
  <si>
    <t>4921017832032307</t>
  </si>
  <si>
    <t xml:space="preserve">GNR SANTANA BUENAS AIRES                                                                            </t>
  </si>
  <si>
    <t>40211111816</t>
  </si>
  <si>
    <t xml:space="preserve">MERLINA MORALES                                                                                                                                                                                                                                                </t>
  </si>
  <si>
    <t>5415017828497632</t>
  </si>
  <si>
    <t>02800688653</t>
  </si>
  <si>
    <t xml:space="preserve">ADRY CASTILLO                                                                                                                                                                                                                                                  </t>
  </si>
  <si>
    <t>4741017837480613</t>
  </si>
  <si>
    <t xml:space="preserve">NAZARETH                                                                                            </t>
  </si>
  <si>
    <t>40244676850</t>
  </si>
  <si>
    <t xml:space="preserve">MANUEL ANTONIO                                                                                                                                                                                                                                                 </t>
  </si>
  <si>
    <t>4025017837424888</t>
  </si>
  <si>
    <t xml:space="preserve">HOTEL MAJESTIC                                                                                      </t>
  </si>
  <si>
    <t xml:space="preserve">SECTOR LA MALENA                                                                                    </t>
  </si>
  <si>
    <t>40215192085</t>
  </si>
  <si>
    <t xml:space="preserve">CHARINA GONZALEZ                                                                                                                                                                                                                                               </t>
  </si>
  <si>
    <t>4921017836470323</t>
  </si>
  <si>
    <t>40228884470</t>
  </si>
  <si>
    <t xml:space="preserve">ASHLEY INDIO                                                                                                                                                                                                                                                   </t>
  </si>
  <si>
    <t>4921017836005906</t>
  </si>
  <si>
    <t>40228981375</t>
  </si>
  <si>
    <t xml:space="preserve">ROBERT ALEJO                                                                                                                                                                                                                                                   </t>
  </si>
  <si>
    <t>5415017834653213</t>
  </si>
  <si>
    <t>40226299259</t>
  </si>
  <si>
    <t xml:space="preserve">EMILIA SANTANA                                                                                                                                                                                                                                                 </t>
  </si>
  <si>
    <t>4921017836103060</t>
  </si>
  <si>
    <t>40243366164</t>
  </si>
  <si>
    <t xml:space="preserve">MIGUEL JIMENEZ S                                                                                                                                                                                                                                               </t>
  </si>
  <si>
    <t>4921017836307882</t>
  </si>
  <si>
    <t>40211675802</t>
  </si>
  <si>
    <t xml:space="preserve">MICHAEL MARTINEZ                                                                                                                                                                                                                                               </t>
  </si>
  <si>
    <t>4921017836592992</t>
  </si>
  <si>
    <t>40226256903</t>
  </si>
  <si>
    <t xml:space="preserve">ISAIAS PEREZ M                                                                                                                                                                                                                                                 </t>
  </si>
  <si>
    <t>4921017836273414</t>
  </si>
  <si>
    <t>02800969129</t>
  </si>
  <si>
    <t xml:space="preserve">MICHELET LOASE                                                                                                                                                                                                                                                 </t>
  </si>
  <si>
    <t>5415017816909910</t>
  </si>
  <si>
    <t>02601433564</t>
  </si>
  <si>
    <t xml:space="preserve">CLAUDIA SORIANO                                                                                                                                                                                                                                                </t>
  </si>
  <si>
    <t>4921017822016853</t>
  </si>
  <si>
    <t>40232679544</t>
  </si>
  <si>
    <t xml:space="preserve">NAYELY RODRIGUEZ                                                                                                                                                                                                                                               </t>
  </si>
  <si>
    <t>4921017735999574</t>
  </si>
  <si>
    <t>40243895618</t>
  </si>
  <si>
    <t xml:space="preserve">MARC PARIS                                                                                                                                                                                                                                                     </t>
  </si>
  <si>
    <t>4025017827846532</t>
  </si>
  <si>
    <t>02800994325</t>
  </si>
  <si>
    <t xml:space="preserve">GREITH AMPARO                                                                                                                                                                                                                                                  </t>
  </si>
  <si>
    <t>5227017825038160</t>
  </si>
  <si>
    <t>40234801542</t>
  </si>
  <si>
    <t xml:space="preserve">HANCEL NICASIO                                                                                                                                                                                                                                                 </t>
  </si>
  <si>
    <t>4025017827919157</t>
  </si>
  <si>
    <t>05401214027</t>
  </si>
  <si>
    <t xml:space="preserve">RONNY PEREZ                                                                                                                                                                                                                                                    </t>
  </si>
  <si>
    <t>4025017827891994</t>
  </si>
  <si>
    <t xml:space="preserve">HOTEL SECRETS TIDES PUNTA CANA                                                                      </t>
  </si>
  <si>
    <t>4921017831996995</t>
  </si>
  <si>
    <t>40244675324</t>
  </si>
  <si>
    <t xml:space="preserve">JOHONY MARCELLUA                                                                                                                                                                                                                                               </t>
  </si>
  <si>
    <t>5415017829127443</t>
  </si>
  <si>
    <t>40218283295</t>
  </si>
  <si>
    <t xml:space="preserve">EMMANUEL CASTILLO                                                                                                                                                                                                                                              </t>
  </si>
  <si>
    <t>5188017829886107</t>
  </si>
  <si>
    <t>02801064565</t>
  </si>
  <si>
    <t xml:space="preserve">ANA SEVERINO                                                                                                                                                                                                                                                   </t>
  </si>
  <si>
    <t>4921017832058566</t>
  </si>
  <si>
    <t xml:space="preserve">CASA 20                                                                                             </t>
  </si>
  <si>
    <t>40210947558</t>
  </si>
  <si>
    <t xml:space="preserve">FRANKLIN MONTERO                                                                                                                                                                                                                                               </t>
  </si>
  <si>
    <t>5188017829893641</t>
  </si>
  <si>
    <t xml:space="preserve">APTO RIVERA                                                                                         </t>
  </si>
  <si>
    <t>02800456283</t>
  </si>
  <si>
    <t xml:space="preserve"> / JOSE CONTRERAS                                                                                                                                                                                                                                              </t>
  </si>
  <si>
    <t>4921017734680905</t>
  </si>
  <si>
    <t xml:space="preserve">BRISA DEL LLANO                                                                                     </t>
  </si>
  <si>
    <t>40229323429</t>
  </si>
  <si>
    <t xml:space="preserve">MICHAEL ARIAS                                                                                                                                                                                                                                                  </t>
  </si>
  <si>
    <t>5188017825251108</t>
  </si>
  <si>
    <t>02301126682</t>
  </si>
  <si>
    <t xml:space="preserve">KEILA BATISTA                                                                                                                                                                                                                                                  </t>
  </si>
  <si>
    <t>4921017751166104</t>
  </si>
  <si>
    <t>00118176486</t>
  </si>
  <si>
    <t xml:space="preserve">GABRIEL CASTILLO                                                                                                                                                                                                                                               </t>
  </si>
  <si>
    <t>4921017797164398</t>
  </si>
  <si>
    <t>40214799823</t>
  </si>
  <si>
    <t xml:space="preserve">WANDALY MONEGRO                                                                                                                                                                                                                                                </t>
  </si>
  <si>
    <t>4966017831190729</t>
  </si>
  <si>
    <t>40212430579</t>
  </si>
  <si>
    <t xml:space="preserve">BRYAN VALDEZ                                                                                                                                                                                                                                                   </t>
  </si>
  <si>
    <t>4921017831741882</t>
  </si>
  <si>
    <t>02300909781</t>
  </si>
  <si>
    <t xml:space="preserve">ELAUTERIO MARTE                                                                                                                                                                                                                                                </t>
  </si>
  <si>
    <t>5400017829619400</t>
  </si>
  <si>
    <t>02301203465</t>
  </si>
  <si>
    <t xml:space="preserve">NOEMI JIMENEZ MEJIA                                                                                                                                                                                                                                            </t>
  </si>
  <si>
    <t>4921017830620549</t>
  </si>
  <si>
    <t>40225841481</t>
  </si>
  <si>
    <t xml:space="preserve">HECTOR VALERA POLANCO                                                                                                                                                                                                                                          </t>
  </si>
  <si>
    <t>4025017833763309</t>
  </si>
  <si>
    <t xml:space="preserve">29 PLACER BONITO                                                                                    </t>
  </si>
  <si>
    <t>02301523961</t>
  </si>
  <si>
    <t xml:space="preserve">JOSE CASTILLO                                                                                                                                                                                                                                                  </t>
  </si>
  <si>
    <t>5415017828472401</t>
  </si>
  <si>
    <t>02301541534</t>
  </si>
  <si>
    <t xml:space="preserve">ELVIN BRASOVAN                                                                                                                                                                                                                                                 </t>
  </si>
  <si>
    <t>4921017832160984</t>
  </si>
  <si>
    <t xml:space="preserve">MIRAMAR / PARTE ATRAS                                                                               </t>
  </si>
  <si>
    <t>02301412371</t>
  </si>
  <si>
    <t xml:space="preserve">GRACIELA BELEN                                                                                                                                                                                                                                                 </t>
  </si>
  <si>
    <t>4025017828098006</t>
  </si>
  <si>
    <t>40230424869</t>
  </si>
  <si>
    <t xml:space="preserve">JANIER REYES                                                                                                                                                                                                                                                   </t>
  </si>
  <si>
    <t>5415017607481604</t>
  </si>
  <si>
    <t>40232138905</t>
  </si>
  <si>
    <t xml:space="preserve">YAN MORENO                                                                                                                                                                                                                                                     </t>
  </si>
  <si>
    <t>5188017830291888</t>
  </si>
  <si>
    <t>40210914640</t>
  </si>
  <si>
    <t xml:space="preserve">LESLIE CASTILLO                                                                                                                                                                                                                                                </t>
  </si>
  <si>
    <t>4966017831230691</t>
  </si>
  <si>
    <t>ENVIO AL EXTERIOR</t>
  </si>
  <si>
    <t>p</t>
  </si>
  <si>
    <t>CONCENTRIX CVG INTERNATIONAL HOLDING LTD</t>
  </si>
  <si>
    <t>TOKEN</t>
  </si>
  <si>
    <t>02801009016</t>
  </si>
  <si>
    <t xml:space="preserve">ANA SOSA                                                                                                                                                                                                                                                       </t>
  </si>
  <si>
    <t>5549017824787663</t>
  </si>
  <si>
    <t xml:space="preserve">ESCRIBIR POR WS 3059628485                                                                          </t>
  </si>
  <si>
    <t>00116788969</t>
  </si>
  <si>
    <t xml:space="preserve">VIGNY CASTILLO                                                                                                                                                                                                                                                 </t>
  </si>
  <si>
    <t>4741017823243857</t>
  </si>
  <si>
    <t>40234427314</t>
  </si>
  <si>
    <t xml:space="preserve">ILIAN GUILAMO                                                                                                                                                                                                                                                  </t>
  </si>
  <si>
    <t>4921017821322265</t>
  </si>
  <si>
    <t>40224266755</t>
  </si>
  <si>
    <t xml:space="preserve">JENIFFER GUZMAN                                                                                                                                                                                                                                                </t>
  </si>
  <si>
    <t>4921017826671575</t>
  </si>
  <si>
    <t xml:space="preserve">JUAN PABLO DUATE                                                                                    </t>
  </si>
  <si>
    <t>02800100782</t>
  </si>
  <si>
    <t xml:space="preserve">JOHNNY CEDANO                                                                                                                                                                                                                                                  </t>
  </si>
  <si>
    <t>4921017827508210</t>
  </si>
  <si>
    <t>40203557141</t>
  </si>
  <si>
    <t xml:space="preserve">FRANCIS HENRRIQUEZ                                                                                                                                                                                                                                             </t>
  </si>
  <si>
    <t>4921017827566188</t>
  </si>
  <si>
    <t>02800846426</t>
  </si>
  <si>
    <t xml:space="preserve">FLOR RODRIGUEZ                                                                                                                                                                                                                                                 </t>
  </si>
  <si>
    <t>4921017826201878</t>
  </si>
  <si>
    <t>40226636302</t>
  </si>
  <si>
    <t xml:space="preserve">RAFAEL GUZMAN                                                                                                                                                                                                                                                  </t>
  </si>
  <si>
    <t>4921017826532244</t>
  </si>
  <si>
    <t xml:space="preserve">HIGUEY VILLA CERRO                                                                                  </t>
  </si>
  <si>
    <t>02800778637</t>
  </si>
  <si>
    <t xml:space="preserve">TONY ALCE JUAN                                                                                                                                                                                                                                                 </t>
  </si>
  <si>
    <t>4741017828336512</t>
  </si>
  <si>
    <t>40212753673</t>
  </si>
  <si>
    <t xml:space="preserve">ELIANYER GOMEZ                                                                                                                                                                                                                                                 </t>
  </si>
  <si>
    <t>4921017822406513</t>
  </si>
  <si>
    <t xml:space="preserve"> CASA DE DOS PLANTAS FRENTE VERDE                                                                   </t>
  </si>
  <si>
    <t>40241163142</t>
  </si>
  <si>
    <t xml:space="preserve">SONNY ROA                                                                                                                                                                                                                                                      </t>
  </si>
  <si>
    <t>5415017554401346</t>
  </si>
  <si>
    <t>03700051513</t>
  </si>
  <si>
    <t xml:space="preserve">ORLANDO NUNEZ                                                                                                                                                                                                                                                  </t>
  </si>
  <si>
    <t>5427017759476835</t>
  </si>
  <si>
    <t>40237905019</t>
  </si>
  <si>
    <t xml:space="preserve">NELSON JOSEPH                                                                                                                                                                                                                                                  </t>
  </si>
  <si>
    <t>4921017825565635</t>
  </si>
  <si>
    <t xml:space="preserve">VILLA ESPANA                                                                                        </t>
  </si>
  <si>
    <t>40231768876</t>
  </si>
  <si>
    <t xml:space="preserve">AXEL VERAS                                                                                                                                                                                                                                                     </t>
  </si>
  <si>
    <t>4921017825799623</t>
  </si>
  <si>
    <t>40220068510</t>
  </si>
  <si>
    <t xml:space="preserve">CARLOS GUERRERO                                                                                                                                                                                                                                                </t>
  </si>
  <si>
    <t>4025017827810734</t>
  </si>
  <si>
    <t>40228096125</t>
  </si>
  <si>
    <t xml:space="preserve">MILAGROS GABARD                                                                                                                                                                                                                                                </t>
  </si>
  <si>
    <t>4921017826407581</t>
  </si>
  <si>
    <t>40247504687</t>
  </si>
  <si>
    <t xml:space="preserve">ESTEBAN MATOS                                                                                                                                                                                                                                                  </t>
  </si>
  <si>
    <t>5188017825164371</t>
  </si>
  <si>
    <t>40211023748</t>
  </si>
  <si>
    <t xml:space="preserve">ESTARLIN SOSA                                                                                                                                                                                                                                                  </t>
  </si>
  <si>
    <t>5427017825122751</t>
  </si>
  <si>
    <t xml:space="preserve">BATEY JAGUAL                                                                                        </t>
  </si>
  <si>
    <t xml:space="preserve">BLANCO                                                                                              </t>
  </si>
  <si>
    <t>40248312569</t>
  </si>
  <si>
    <t xml:space="preserve">ANGEL DE LEON                                                                                                                                                                                                                                                  </t>
  </si>
  <si>
    <t>4921017827235167</t>
  </si>
  <si>
    <t xml:space="preserve">BO 24 DE ABRIL                                                                                      </t>
  </si>
  <si>
    <t>40225450671</t>
  </si>
  <si>
    <t xml:space="preserve">AIDA RUIZ                                                                                                                                                                                                                                                      </t>
  </si>
  <si>
    <t>5415017824645890</t>
  </si>
  <si>
    <t>02300604622</t>
  </si>
  <si>
    <t xml:space="preserve">JHONNY PORTES                                                                                                                                                                                                                                                  </t>
  </si>
  <si>
    <t>5523017817130518</t>
  </si>
  <si>
    <t>40220741173</t>
  </si>
  <si>
    <t xml:space="preserve">FELIX PENA                                                                                                                                                                                                                                                     </t>
  </si>
  <si>
    <t>5523017817207627</t>
  </si>
  <si>
    <t>02301580987</t>
  </si>
  <si>
    <t xml:space="preserve">WALNI SANTANA                                                                                                                                                                                                                                                  </t>
  </si>
  <si>
    <t>5415017816983615</t>
  </si>
  <si>
    <t xml:space="preserve">RESIDENCIAL NAIME CASA NA                                                                           </t>
  </si>
  <si>
    <t>02301395667</t>
  </si>
  <si>
    <t xml:space="preserve">VICTOR MEDINA T                                                                                                                                                                                                                                                </t>
  </si>
  <si>
    <t>5415017759321683</t>
  </si>
  <si>
    <t xml:space="preserve">APTO A2 EDIF FERNANDO                                                                               </t>
  </si>
  <si>
    <t>02301149841</t>
  </si>
  <si>
    <t xml:space="preserve">EYIN ORTEGA                                                                                                                                                                                                                                                    </t>
  </si>
  <si>
    <t>5400017744218007</t>
  </si>
  <si>
    <t>40237239484</t>
  </si>
  <si>
    <t xml:space="preserve">WILLIE HERNANDEZ                                                                                                                                                                                                                                               </t>
  </si>
  <si>
    <t>4921017822510775</t>
  </si>
  <si>
    <t>40224060927</t>
  </si>
  <si>
    <t xml:space="preserve">ELEUTERIO GARCIA                                                                                                                                                                                                                                               </t>
  </si>
  <si>
    <t>4921017822068499</t>
  </si>
  <si>
    <t>40210953556</t>
  </si>
  <si>
    <t xml:space="preserve">ANGEL LAMO PIERRE                                                                                                                                                                                                                                              </t>
  </si>
  <si>
    <t>4921017811860820</t>
  </si>
  <si>
    <t xml:space="preserve">LOS REYES                                                                                           </t>
  </si>
  <si>
    <t>02300904089</t>
  </si>
  <si>
    <t xml:space="preserve">ANTONIO CABRERA                                                                                                                                                                                                                                                </t>
  </si>
  <si>
    <t>5227017818637182</t>
  </si>
  <si>
    <t>02601112788</t>
  </si>
  <si>
    <t xml:space="preserve">ANYELINA GOMEZ                                                                                                                                                                                                                                                 </t>
  </si>
  <si>
    <t>5415017816697204</t>
  </si>
  <si>
    <t>40229703075</t>
  </si>
  <si>
    <t xml:space="preserve">REYMOND PENALO                                                                                                                                                                                                                                                 </t>
  </si>
  <si>
    <t>4966017820185827</t>
  </si>
  <si>
    <t>40251166704</t>
  </si>
  <si>
    <t xml:space="preserve">LOURDES MOTA                                                                                                                                                                                                                                                   </t>
  </si>
  <si>
    <t>4921017822661783</t>
  </si>
  <si>
    <t xml:space="preserve">CARRETERA HIGUEY MICHES                                                                             </t>
  </si>
  <si>
    <t>02301373110</t>
  </si>
  <si>
    <t xml:space="preserve">RONNY MONTILLA                                                                                                                                                                                                                                                 </t>
  </si>
  <si>
    <t>5188017780214259</t>
  </si>
  <si>
    <t>40234445209</t>
  </si>
  <si>
    <t xml:space="preserve">OSCAR OZUNA                                                                                                                                                                                                                                                    </t>
  </si>
  <si>
    <t>4921017677023485</t>
  </si>
  <si>
    <t>40227651441</t>
  </si>
  <si>
    <t xml:space="preserve">CRISEILA ELIFET                                                                                                                                                                                                                                                </t>
  </si>
  <si>
    <t>5188017817511517</t>
  </si>
  <si>
    <t>12900003661</t>
  </si>
  <si>
    <t xml:space="preserve">MILCIADES DEL CARMEN                                                                                                                                                                                                                                           </t>
  </si>
  <si>
    <t>4966017820247291</t>
  </si>
  <si>
    <t>02800795722</t>
  </si>
  <si>
    <t xml:space="preserve">RAMON PAREDES                                                                                                                                                                                                                                                  </t>
  </si>
  <si>
    <t>5188017818853138</t>
  </si>
  <si>
    <t>40238080259</t>
  </si>
  <si>
    <t xml:space="preserve">GUY DESIR                                                                                                                                                                                                                                                      </t>
  </si>
  <si>
    <t>5415017816689651</t>
  </si>
  <si>
    <t>40219434608</t>
  </si>
  <si>
    <t xml:space="preserve">VANELY RODRIGUEZ                                                                                                                                                                                                                                               </t>
  </si>
  <si>
    <t>5188017819169348</t>
  </si>
  <si>
    <t>40252302092</t>
  </si>
  <si>
    <t xml:space="preserve">JULIO HERNANDEZ                                                                                                                                                                                                                                                </t>
  </si>
  <si>
    <t>5415017817895411</t>
  </si>
  <si>
    <t>40227922735</t>
  </si>
  <si>
    <t xml:space="preserve">YULISA BLANCHARD                                                                                                                                                                                                                                               </t>
  </si>
  <si>
    <t>4921017819582695</t>
  </si>
  <si>
    <t>40245473141</t>
  </si>
  <si>
    <t xml:space="preserve">ANYELO MAGGENA                                                                                                                                                                                                                                                 </t>
  </si>
  <si>
    <t>4921017819575957</t>
  </si>
  <si>
    <t xml:space="preserve">BO NO 8 OBISPADO                                                                                    </t>
  </si>
  <si>
    <t>40223179280</t>
  </si>
  <si>
    <t xml:space="preserve">MARY SANTANA                                                                                                                                                                                                                                                   </t>
  </si>
  <si>
    <t>5188017819241980</t>
  </si>
  <si>
    <t xml:space="preserve">JUAN APBLO DUARTE                                                                                   </t>
  </si>
  <si>
    <t>40240071239</t>
  </si>
  <si>
    <t xml:space="preserve">ADRIAN CEDENO RUBIO                                                                                                                                                                                                                                            </t>
  </si>
  <si>
    <t>4921017820797033</t>
  </si>
  <si>
    <t>40219737786</t>
  </si>
  <si>
    <t xml:space="preserve">DIMARI ENCARNACION                                                                                                                                                                                                                                             </t>
  </si>
  <si>
    <t>4921017822495001</t>
  </si>
  <si>
    <t>40225421383</t>
  </si>
  <si>
    <t xml:space="preserve">FLOR DE AZA CARABALLO                                                                                                                                                                                                                                          </t>
  </si>
  <si>
    <t>4921017820587965</t>
  </si>
  <si>
    <t>40240676334</t>
  </si>
  <si>
    <t xml:space="preserve">AMAURYS SANTOS                                                                                                                                                                                                                                                 </t>
  </si>
  <si>
    <t>5415017778909982</t>
  </si>
  <si>
    <t>02801095635</t>
  </si>
  <si>
    <t xml:space="preserve">JUAN VASQUEZ                                                                                                                                                                                                                                                   </t>
  </si>
  <si>
    <t>4921017814426398</t>
  </si>
  <si>
    <t>02301614893</t>
  </si>
  <si>
    <t xml:space="preserve">ERICK CASADO                                                                                                                                                                                                                                                   </t>
  </si>
  <si>
    <t>5400017818394633</t>
  </si>
  <si>
    <t xml:space="preserve">BO MIRAMAR                                                                                          </t>
  </si>
  <si>
    <t>02300990682</t>
  </si>
  <si>
    <t xml:space="preserve">CRISEIDA JAVIER                                                                                                                                                                                                                                                </t>
  </si>
  <si>
    <t>5188017817638093</t>
  </si>
  <si>
    <t xml:space="preserve">187004060  </t>
  </si>
  <si>
    <t xml:space="preserve">JOSUE CHIRINOS                                                                                                                                                                                                                                                 </t>
  </si>
  <si>
    <t>5415017817796566</t>
  </si>
  <si>
    <t>40219963457</t>
  </si>
  <si>
    <t xml:space="preserve">SCARLET DE LA ROSA                                                                                                                                                                                                                                             </t>
  </si>
  <si>
    <t>4921017819906780</t>
  </si>
  <si>
    <t>40219670169</t>
  </si>
  <si>
    <t xml:space="preserve">ANTHONY CRISTOBAL                                                                                                                                                                                                                                              </t>
  </si>
  <si>
    <t>4921017819720940</t>
  </si>
  <si>
    <t>02700252691</t>
  </si>
  <si>
    <t xml:space="preserve">FERMIN ORTIZ DUARTE                                                                                                                                                                                                                                            </t>
  </si>
  <si>
    <t>4966017820114985</t>
  </si>
  <si>
    <t>40226017628</t>
  </si>
  <si>
    <t xml:space="preserve">JAHAIRA DEGA                                                                                                                                                                                                                                                   </t>
  </si>
  <si>
    <t>4921017822566633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</si>
  <si>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</si>
  <si>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40231609013</t>
  </si>
  <si>
    <t xml:space="preserve">SAMUEL DE LOS SANTOS                                                                                                                                                                                                                                           </t>
  </si>
  <si>
    <t>4921017821898354</t>
  </si>
  <si>
    <t>40210161317</t>
  </si>
  <si>
    <t xml:space="preserve">REYNA RIVERA MATOS                                                                                                                                                                                                                                             </t>
  </si>
  <si>
    <t>4921017820736827</t>
  </si>
  <si>
    <t>40230576536</t>
  </si>
  <si>
    <t xml:space="preserve">RICARDO SANCHEZ                                                                                                                                                                                                                                                </t>
  </si>
  <si>
    <t>4921017820629177</t>
  </si>
  <si>
    <t>40225737408</t>
  </si>
  <si>
    <t xml:space="preserve">ADRIANA SANCHEZ                                                                                                                                                                                                                                                </t>
  </si>
  <si>
    <t>4921017806617857</t>
  </si>
  <si>
    <t xml:space="preserve">CASA VERDE                                                                                          </t>
  </si>
  <si>
    <t>40228307761</t>
  </si>
  <si>
    <t xml:space="preserve">ADRIAN RIJO                                                                                                                                                                                                                                                    </t>
  </si>
  <si>
    <t>4921017722013734</t>
  </si>
  <si>
    <t>40227586423</t>
  </si>
  <si>
    <t xml:space="preserve">YOERMY EVERTSZ                                                                                                                                                                                                                                                 </t>
  </si>
  <si>
    <t>5415017786710815</t>
  </si>
  <si>
    <t>01201218995</t>
  </si>
  <si>
    <t>STALIN RAMOS</t>
  </si>
  <si>
    <t>5188017811530300</t>
  </si>
  <si>
    <t>4025017810804200</t>
  </si>
  <si>
    <t>40228152423</t>
  </si>
  <si>
    <t xml:space="preserve">ISRAEL CHALAS                                                                                                                                                                                                                                                  </t>
  </si>
  <si>
    <t>4921017751323648</t>
  </si>
  <si>
    <t xml:space="preserve">ALOJAMIENTO IMPRESSIVE  317                                                                         </t>
  </si>
  <si>
    <t>40245521493</t>
  </si>
  <si>
    <t xml:space="preserve">GIOLIVER CARABALLO                                                                                                                                                                                                                                             </t>
  </si>
  <si>
    <t>4921017693811849</t>
  </si>
  <si>
    <t xml:space="preserve">EN HOTEL WYNDHAM ALLTRA PUNTA CANA                                                                  </t>
  </si>
  <si>
    <t>02601092162</t>
  </si>
  <si>
    <t xml:space="preserve">GRISEL CORDONES                                                                                                                                                                                                                                                </t>
  </si>
  <si>
    <t>4173017809672576</t>
  </si>
  <si>
    <t xml:space="preserve">EN LA PLAZA SAN JUAN SHOPPING CENTER SEGUNDO NIVEL                                                  </t>
  </si>
  <si>
    <t>22301003293</t>
  </si>
  <si>
    <t xml:space="preserve">ESTHER RODRIGUEZ ENCARNACI                                                                                                                                                                                                                                     </t>
  </si>
  <si>
    <t>5523017804191359</t>
  </si>
  <si>
    <t xml:space="preserve">          5</t>
  </si>
  <si>
    <t xml:space="preserve">JUAN MIGUEL MARI                                                                                                                                                                                                                                               </t>
  </si>
  <si>
    <t>5401002595571448</t>
  </si>
  <si>
    <t>40218591499</t>
  </si>
  <si>
    <t xml:space="preserve">JOSE GARCIA CASTILLO                                                                                                                                                                                                                                           </t>
  </si>
  <si>
    <t>5188017801255564</t>
  </si>
  <si>
    <t>40212164830</t>
  </si>
  <si>
    <t xml:space="preserve">ROFRADY DE LOS SANTOS                                                                                                                                                                                                                                          </t>
  </si>
  <si>
    <t>5188017801136319</t>
  </si>
  <si>
    <t>40233335815</t>
  </si>
  <si>
    <t xml:space="preserve">VICTOR ROSADO                                                                                                                                                                                                                                                  </t>
  </si>
  <si>
    <t>4966017801725508</t>
  </si>
  <si>
    <t>40252461641</t>
  </si>
  <si>
    <t xml:space="preserve">ANGEL GREGORIO L                                                                                                                                                                                                                                               </t>
  </si>
  <si>
    <t>5415017809869247</t>
  </si>
  <si>
    <t>40215705043</t>
  </si>
  <si>
    <t xml:space="preserve">JUAN CARLOS MORLA                                                                                                                                                                                                                                              </t>
  </si>
  <si>
    <t>5415017813253040</t>
  </si>
  <si>
    <t>03105317295</t>
  </si>
  <si>
    <t xml:space="preserve">ANA POLANCO                                                                                                                                                                                                                                                    </t>
  </si>
  <si>
    <t>4025017816065751</t>
  </si>
  <si>
    <t>40218835144</t>
  </si>
  <si>
    <t xml:space="preserve">NORBEL SANCHEZ                                                                                                                                                                                                                                                 </t>
  </si>
  <si>
    <t>5188017813899490</t>
  </si>
  <si>
    <t>00116498965</t>
  </si>
  <si>
    <t xml:space="preserve">GRERORY ABRANSON                                                                                                                                                                                                                                               </t>
  </si>
  <si>
    <t>4025017808830602</t>
  </si>
  <si>
    <t>40237943317</t>
  </si>
  <si>
    <t xml:space="preserve">ENRIQUE LEONIDAS                                                                                                                                                                                                                                               </t>
  </si>
  <si>
    <t>5415017809857476</t>
  </si>
  <si>
    <t xml:space="preserve">LAS COLINAS                                                                                         </t>
  </si>
  <si>
    <t>40224680435</t>
  </si>
  <si>
    <t xml:space="preserve">ABIEZER PEREZ QUEZADA                                                                                                                                                                                                                                          </t>
  </si>
  <si>
    <t>4921017814459201</t>
  </si>
  <si>
    <t>02301198491</t>
  </si>
  <si>
    <t xml:space="preserve">DANNY SANCHEZ                                                                                                                                                                                                                                                  </t>
  </si>
  <si>
    <t>4025017812440171</t>
  </si>
  <si>
    <t xml:space="preserve">NO 15                                                                                               </t>
  </si>
  <si>
    <t>02300916521</t>
  </si>
  <si>
    <t xml:space="preserve">CRUZ BAUTISTA                                                                                                                                                                                                                                                  </t>
  </si>
  <si>
    <t>5415017753153002</t>
  </si>
  <si>
    <t xml:space="preserve">EDF ENRIQUILLO PISO 4 APT 402B                                                                      </t>
  </si>
  <si>
    <t>02300055189</t>
  </si>
  <si>
    <t xml:space="preserve">ANGEL DIAZ RUAN                                                                                                                                                                                                                                                </t>
  </si>
  <si>
    <t>4025017808817478</t>
  </si>
  <si>
    <t xml:space="preserve">APT A101                                                                                            </t>
  </si>
  <si>
    <t>02301600132</t>
  </si>
  <si>
    <t xml:space="preserve">ELIZABETH PENA                                                                                                                                                                                                                                                 </t>
  </si>
  <si>
    <t>5415017742704741</t>
  </si>
  <si>
    <t>40234541064</t>
  </si>
  <si>
    <t xml:space="preserve">JOHENDRY VASQUEZ MOTA                                                                                                                                                                                                                                          </t>
  </si>
  <si>
    <t>4921017806261455</t>
  </si>
  <si>
    <t>40211233776</t>
  </si>
  <si>
    <t xml:space="preserve">DANI GARCIA                                                                                                                                                                                                                                                    </t>
  </si>
  <si>
    <t>5400017739701683</t>
  </si>
  <si>
    <t>40234275184</t>
  </si>
  <si>
    <t xml:space="preserve">JEREMI BAUTISTA POCHE                                                                                                                                                                                                                                          </t>
  </si>
  <si>
    <t>4921017810129378</t>
  </si>
  <si>
    <t>40232785846</t>
  </si>
  <si>
    <t xml:space="preserve">HILLARY RAMOS                                                                                                                                                                                                                                                  </t>
  </si>
  <si>
    <t>4921017772315241</t>
  </si>
  <si>
    <t xml:space="preserve">CASA 47                                                                                             </t>
  </si>
  <si>
    <t>02301569253</t>
  </si>
  <si>
    <t xml:space="preserve">LESLY PAREDES                                                                                                                                                                                                                                                  </t>
  </si>
  <si>
    <t>4025017809042935</t>
  </si>
  <si>
    <t>02301384877</t>
  </si>
  <si>
    <t xml:space="preserve">JULEIDY MAZARA                                                                                                                                                                                                                                                 </t>
  </si>
  <si>
    <t>4741017816267761</t>
  </si>
  <si>
    <t>02301500688</t>
  </si>
  <si>
    <t xml:space="preserve">LADY BRITO                                                                                                                                                                                                                                                     </t>
  </si>
  <si>
    <t>5415017811100073</t>
  </si>
  <si>
    <t>40226846711</t>
  </si>
  <si>
    <t xml:space="preserve">JOSE FELIZ SOSA                                                                                                                                                                                                                                                </t>
  </si>
  <si>
    <t>5188017813842134</t>
  </si>
  <si>
    <t>40209203435</t>
  </si>
  <si>
    <t xml:space="preserve">WILMER CARRASCO                                                                                                                                                                                                                                                </t>
  </si>
  <si>
    <t>5415017812797110</t>
  </si>
  <si>
    <t>40220512442</t>
  </si>
  <si>
    <t xml:space="preserve"> / GRIMALDI VALDEZ                                                                                                                                                                                                                                             </t>
  </si>
  <si>
    <t>4921017814815498</t>
  </si>
  <si>
    <t>14600000799</t>
  </si>
  <si>
    <t xml:space="preserve">JOSE REYES                                                                                                                                                                                                                                                     </t>
  </si>
  <si>
    <t>4921017814281771</t>
  </si>
  <si>
    <t>40221957414</t>
  </si>
  <si>
    <t xml:space="preserve">YOHANNY SIMON B                                                                                                                                                                                                                                                </t>
  </si>
  <si>
    <t>4921017810415158</t>
  </si>
  <si>
    <t>40213911437</t>
  </si>
  <si>
    <t xml:space="preserve">KELVIN MOJICA TAVERAS                                                                                                                                                                                                                                          </t>
  </si>
  <si>
    <t>4921017810421573</t>
  </si>
  <si>
    <t xml:space="preserve">TRES CERO DOS ALTOS DE ABRAHAM                                                                      </t>
  </si>
  <si>
    <t>02300917867</t>
  </si>
  <si>
    <t xml:space="preserve">YOCASTA GONZALEZ                                                                                                                                                                                                                                               </t>
  </si>
  <si>
    <t>5415017812769774</t>
  </si>
  <si>
    <t>40219261944</t>
  </si>
  <si>
    <t xml:space="preserve">GRISLEIDY BELEN REYES                                                                                                                                                                                                                                          </t>
  </si>
  <si>
    <t>4921017815318871</t>
  </si>
  <si>
    <t>02500518671</t>
  </si>
  <si>
    <t xml:space="preserve">YANEYRA TAVERAS                                                                                                                                                                                                                                                </t>
  </si>
  <si>
    <t>4921017812336721</t>
  </si>
  <si>
    <t>01700255969</t>
  </si>
  <si>
    <t xml:space="preserve">ARIEL VICENTE                                                                                                                                                                                                                                                  </t>
  </si>
  <si>
    <t>4921017815370424</t>
  </si>
  <si>
    <t>02800931756</t>
  </si>
  <si>
    <t xml:space="preserve">DILEISI SANTANA                                                                                                                                                                                                                                                </t>
  </si>
  <si>
    <t>5227017720109702</t>
  </si>
  <si>
    <t>40211540980</t>
  </si>
  <si>
    <t xml:space="preserve">ANTONIO LAUTURE                                                                                                                                                                                                                                                </t>
  </si>
  <si>
    <t>4921017808787805</t>
  </si>
  <si>
    <t xml:space="preserve">CASA NO 214                                                                                         </t>
  </si>
  <si>
    <t>02800048304</t>
  </si>
  <si>
    <t xml:space="preserve">CARLOS PENA                                                                                                                                                                                                                                                    </t>
  </si>
  <si>
    <t>5415017759243452</t>
  </si>
  <si>
    <t xml:space="preserve">2DO NIVEL                                                                                           </t>
  </si>
  <si>
    <t>40232920773</t>
  </si>
  <si>
    <t xml:space="preserve">JERLIN VALDEZ                                                                                                                                                                                                                                                  </t>
  </si>
  <si>
    <t>4025017808854768</t>
  </si>
  <si>
    <t>40211748765</t>
  </si>
  <si>
    <t xml:space="preserve">YOMAIRY CACERES                                                                                                                                                                                                                                                </t>
  </si>
  <si>
    <t>5415017732837562</t>
  </si>
  <si>
    <t>07400049339</t>
  </si>
  <si>
    <t xml:space="preserve">IRENIA PEREZ                                                                                                                                                                                                                                                   </t>
  </si>
  <si>
    <t>5415017742504427</t>
  </si>
  <si>
    <t>40214734994</t>
  </si>
  <si>
    <t xml:space="preserve">YUDENY CASTILLO                                                                                                                                                                                                                                                </t>
  </si>
  <si>
    <t>5415017696727319</t>
  </si>
  <si>
    <t>40234473003</t>
  </si>
  <si>
    <t xml:space="preserve">NEILYN  DE LA CRUZ HENRIQU                                                                                                                                                                                                                                     </t>
  </si>
  <si>
    <t>4921017806201745</t>
  </si>
  <si>
    <t xml:space="preserve">NEILYN DE LA CRUZ                                                                                                                                                                                                                                              </t>
  </si>
  <si>
    <t>4921017807099775</t>
  </si>
  <si>
    <t>40223414992</t>
  </si>
  <si>
    <t xml:space="preserve">MILAGROS PEREZ                                                                                                                                                                                                                                                 </t>
  </si>
  <si>
    <t>4921017760444275</t>
  </si>
  <si>
    <t xml:space="preserve">SECTOR VILLA ESPERANZA NO 14                                                                        </t>
  </si>
  <si>
    <t>40233867494</t>
  </si>
  <si>
    <t xml:space="preserve">FELIX PEGUERO                                                                                                                                                                                                                                                  </t>
  </si>
  <si>
    <t>4921017812322783</t>
  </si>
  <si>
    <t>02800981413</t>
  </si>
  <si>
    <t xml:space="preserve">ALEJANDRA DEL ROSARIO                                                                                                                                                                                                                                          </t>
  </si>
  <si>
    <t>5415017800872530</t>
  </si>
  <si>
    <t>02801101615</t>
  </si>
  <si>
    <t xml:space="preserve">DANIEL RONDON                                                                                                                                                                                                                                                  </t>
  </si>
  <si>
    <t>4921017802082045</t>
  </si>
  <si>
    <t>40219490501</t>
  </si>
  <si>
    <t xml:space="preserve">EISON AVILA                                                                                                                                                                                                                                                    </t>
  </si>
  <si>
    <t>4921017802856470</t>
  </si>
  <si>
    <t>40246979112</t>
  </si>
  <si>
    <t xml:space="preserve">JOSHUA MARTINEZ                                                                                                                                                                                                                                                </t>
  </si>
  <si>
    <t>4921017802055724</t>
  </si>
  <si>
    <t>40250989247</t>
  </si>
  <si>
    <t xml:space="preserve">KEILA CADIA                                                                                                                                                                                                                                                    </t>
  </si>
  <si>
    <t>4921017802046346</t>
  </si>
  <si>
    <t>40218140248</t>
  </si>
  <si>
    <t xml:space="preserve">WARJELYS RAMOS M                                                                                                                                                                                                                                               </t>
  </si>
  <si>
    <t>4921017801614596</t>
  </si>
  <si>
    <t>40242517478</t>
  </si>
  <si>
    <t xml:space="preserve">MARTIN NOLASCO                                                                                                                                                                                                                                                 </t>
  </si>
  <si>
    <t>5188017800728231</t>
  </si>
  <si>
    <t>40228514101</t>
  </si>
  <si>
    <t xml:space="preserve">JUAN GUERRERO                                                                                                                                                                                                                                                  </t>
  </si>
  <si>
    <t>4966017801765441</t>
  </si>
  <si>
    <t>00117664789</t>
  </si>
  <si>
    <t xml:space="preserve">ELIZABETH SALDANA                                                                                                                                                                                                                                              </t>
  </si>
  <si>
    <t>4025017803251621</t>
  </si>
  <si>
    <t>40243868193</t>
  </si>
  <si>
    <t xml:space="preserve">BRANDY PILIER                                                                                                                                                                                                                                                  </t>
  </si>
  <si>
    <t>4921017801557442</t>
  </si>
  <si>
    <t>02801117744</t>
  </si>
  <si>
    <t xml:space="preserve">JOSE RIJO PEREZ                                                                                                                                                                                                                                                </t>
  </si>
  <si>
    <t>4025017809203285</t>
  </si>
  <si>
    <t xml:space="preserve">LOS GUAYABOS                                                                                        </t>
  </si>
  <si>
    <t>02800679363</t>
  </si>
  <si>
    <t xml:space="preserve">JOHNNY VALERA                                                                                                                                                                                                                                                  </t>
  </si>
  <si>
    <t>4025017816201003</t>
  </si>
  <si>
    <t xml:space="preserve">SECTOR LOS ROSALES                                                                                  </t>
  </si>
  <si>
    <t>00111224994</t>
  </si>
  <si>
    <t xml:space="preserve">GIORDANY CONCEPCION C                                                                                                                                                                                                                                          </t>
  </si>
  <si>
    <t>4966017814636204</t>
  </si>
  <si>
    <t>40241803937</t>
  </si>
  <si>
    <t xml:space="preserve">PEDRO SANCHEZ                                                                                                                                                                                                                                                  </t>
  </si>
  <si>
    <t>5188017813772999</t>
  </si>
  <si>
    <t>40245646357</t>
  </si>
  <si>
    <t xml:space="preserve">ALEJANDRO CANDELARIA                                                                                                                                                                                                                                           </t>
  </si>
  <si>
    <t>5415017813224056</t>
  </si>
  <si>
    <t>02800659688</t>
  </si>
  <si>
    <t xml:space="preserve">AMELVIN SANTOS PEREZ                                                                                                                                                                                                                                           </t>
  </si>
  <si>
    <t>4921017814272173</t>
  </si>
  <si>
    <t>40218126486</t>
  </si>
  <si>
    <t xml:space="preserve">MICHAEL CALDERON                                                                                                                                                                                                                                               </t>
  </si>
  <si>
    <t>5415017813287614</t>
  </si>
  <si>
    <t>02800897239</t>
  </si>
  <si>
    <t xml:space="preserve">LIGIA ESPIRITUSANTO GUERRE                                                                                                                                                                                                                                     </t>
  </si>
  <si>
    <t>5400017813440701</t>
  </si>
  <si>
    <t>40208951125</t>
  </si>
  <si>
    <t xml:space="preserve">BANIA SOLIMAN                                                                                                                                                                                                                                                  </t>
  </si>
  <si>
    <t>5415017809729289</t>
  </si>
  <si>
    <t>02800767481</t>
  </si>
  <si>
    <t xml:space="preserve">KELVIN REYES                                                                                                                                                                                                                                                   </t>
  </si>
  <si>
    <t>4921017814911025</t>
  </si>
  <si>
    <t>40213535350</t>
  </si>
  <si>
    <t xml:space="preserve">JEILY REYES                                                                                                                                                                                                                                                    </t>
  </si>
  <si>
    <t>4921017815049205</t>
  </si>
  <si>
    <t>40200804736</t>
  </si>
  <si>
    <t xml:space="preserve">JERY BASTARDO                                                                                                                                                                                                                                                  </t>
  </si>
  <si>
    <t>4921017815343580</t>
  </si>
  <si>
    <t>40242792253</t>
  </si>
  <si>
    <t xml:space="preserve">JHONNY PIE                                                                                                                                                                                                                                                     </t>
  </si>
  <si>
    <t>5415017813302513</t>
  </si>
  <si>
    <t>40223111390</t>
  </si>
  <si>
    <t xml:space="preserve">JOENNY DE LA CRUZ S                                                                                                                                                                                                                                            </t>
  </si>
  <si>
    <t>4921017815292192</t>
  </si>
  <si>
    <t>40213540731</t>
  </si>
  <si>
    <t xml:space="preserve">YOLENNY MERCEDES                                                                                                                                                                                                                                               </t>
  </si>
  <si>
    <t>4921017815505333</t>
  </si>
  <si>
    <t>40234106819</t>
  </si>
  <si>
    <t xml:space="preserve">CRISTOFFER ALVARADO                                                                                                                                                                                                                                            </t>
  </si>
  <si>
    <t>5415017813291252</t>
  </si>
  <si>
    <t>06500248445</t>
  </si>
  <si>
    <t xml:space="preserve">WILBERTHA ANDERSON                                                                                                                                                                                                                                             </t>
  </si>
  <si>
    <t>5188017814076838</t>
  </si>
  <si>
    <t xml:space="preserve">CASA 02                                                                                             </t>
  </si>
  <si>
    <t xml:space="preserve">si </t>
  </si>
  <si>
    <t>02801150240</t>
  </si>
  <si>
    <t xml:space="preserve">WANDERLEY GONZALEZ                                                                                                                                                                                                                                             </t>
  </si>
  <si>
    <t>5188017804742040</t>
  </si>
  <si>
    <t xml:space="preserve">JUANILLO 21                                                                                         </t>
  </si>
  <si>
    <t>06500391419</t>
  </si>
  <si>
    <t xml:space="preserve">YOVANNY PAULINO                                                                                                                                                                                                                                                </t>
  </si>
  <si>
    <t>4921017808021797</t>
  </si>
  <si>
    <t>40225389382</t>
  </si>
  <si>
    <t xml:space="preserve">JUNIOR REYES                                                                                                                                                                                                                                                   </t>
  </si>
  <si>
    <t>4921017707290846</t>
  </si>
  <si>
    <t>02601288257</t>
  </si>
  <si>
    <t xml:space="preserve">YENIN CONCEPCION                                                                                                                                                                                                                                               </t>
  </si>
  <si>
    <t>4921017745498648</t>
  </si>
  <si>
    <t xml:space="preserve">RES MONTE ALTO EDIF 12B APT 03                                                                      </t>
  </si>
  <si>
    <t>40227822141</t>
  </si>
  <si>
    <t xml:space="preserve">ORIANA SANTANA BURGOS                                                                                                                                                                                                                                          </t>
  </si>
  <si>
    <t>5415017664008714</t>
  </si>
  <si>
    <t xml:space="preserve">DOLORES 49                                                                                          </t>
  </si>
  <si>
    <t>40244344004</t>
  </si>
  <si>
    <t xml:space="preserve">JAPHINA CEDENO C                                                                                                                                                                                                                                               </t>
  </si>
  <si>
    <t>5415017664354958</t>
  </si>
  <si>
    <t>02800509248</t>
  </si>
  <si>
    <t xml:space="preserve">EMILIO PIE                                                                                                                                                                                                                                                     </t>
  </si>
  <si>
    <t>5415017385266349</t>
  </si>
  <si>
    <t>02801016169</t>
  </si>
  <si>
    <t xml:space="preserve">RAYMER CASTILLO                                                                                                                                                                                                                                                </t>
  </si>
  <si>
    <t>5415017728158740</t>
  </si>
  <si>
    <t>40214116861</t>
  </si>
  <si>
    <t xml:space="preserve">RIKERMI ROSARIO                                                                                                                                                                                                                                                </t>
  </si>
  <si>
    <t>5188017705711730</t>
  </si>
  <si>
    <t xml:space="preserve">CASA NO 83                                                                                          </t>
  </si>
  <si>
    <t>02800706620</t>
  </si>
  <si>
    <t xml:space="preserve">ALEJANDRINA CEDENO SOLER                                                                                                                                                                                                                                       </t>
  </si>
  <si>
    <t>5415017728163242</t>
  </si>
  <si>
    <t>02801152808</t>
  </si>
  <si>
    <t>5415017805347386</t>
  </si>
  <si>
    <t>5188017805546276</t>
  </si>
  <si>
    <t>40233938733</t>
  </si>
  <si>
    <t xml:space="preserve">STHEPHANIE MENDEZ                                                                                                                                                                                                                                              </t>
  </si>
  <si>
    <t>4921017810377413</t>
  </si>
  <si>
    <t xml:space="preserve">CHILO POUERIET                                                                                      </t>
  </si>
  <si>
    <t>40239844653</t>
  </si>
  <si>
    <t xml:space="preserve">DIOMEDE POUERIE                                                                                                                                                                                                                                                </t>
  </si>
  <si>
    <t>5188017805982561</t>
  </si>
  <si>
    <t>40249455623</t>
  </si>
  <si>
    <t xml:space="preserve">ALLSTEVEN DE GRACIA                                                                                                                                                                                                                                            </t>
  </si>
  <si>
    <t>5188017805622245</t>
  </si>
  <si>
    <t>40240513891</t>
  </si>
  <si>
    <t xml:space="preserve">JENIFFER HAZIM C                                                                                                                                                                                                                                               </t>
  </si>
  <si>
    <t>5188017805884216</t>
  </si>
  <si>
    <t>02700437136</t>
  </si>
  <si>
    <t xml:space="preserve">ODALIS CESAR                                                                                                                                                                                                                                                   </t>
  </si>
  <si>
    <t>5415017803872167</t>
  </si>
  <si>
    <t>40237919515</t>
  </si>
  <si>
    <t xml:space="preserve">GENESIS ADRIEN                                                                                                                                                                                                                                                 </t>
  </si>
  <si>
    <t>5188017806069623</t>
  </si>
  <si>
    <t>40237515792</t>
  </si>
  <si>
    <t xml:space="preserve">LOAMMY EVANGELISTA                                                                                                                                                                                                                                             </t>
  </si>
  <si>
    <t>4025017812377733</t>
  </si>
  <si>
    <t xml:space="preserve">HOTEL BAHIA PRINCIPE                                                                                </t>
  </si>
  <si>
    <t>00109591537</t>
  </si>
  <si>
    <t xml:space="preserve">DUGLAS FELIZ                                                                                                                                                                                                                                                   </t>
  </si>
  <si>
    <t>4921017810301566</t>
  </si>
  <si>
    <t>40210902306</t>
  </si>
  <si>
    <t xml:space="preserve">BENJAMIN WHYTE                                                                                                                                                                                                                                                 </t>
  </si>
  <si>
    <t>4921017807165378</t>
  </si>
  <si>
    <t xml:space="preserve">CALLE TAPIA OLIVIER NO.65 SAN FRANCISCO DE MACORIS                                                  </t>
  </si>
  <si>
    <t>40240693529</t>
  </si>
  <si>
    <t xml:space="preserve">EMILIO ALCANTARA                                                                                                                                                                                                                                               </t>
  </si>
  <si>
    <t>4921017812080849</t>
  </si>
  <si>
    <t>40246719518</t>
  </si>
  <si>
    <t xml:space="preserve">MAXIMILIANO CHARLES                                                                                                                                                                                                                                            </t>
  </si>
  <si>
    <t>4921017808321197</t>
  </si>
  <si>
    <t>40221260652</t>
  </si>
  <si>
    <t xml:space="preserve">MAIKEL FLORENTINO                                                                                                                                                                                                                                              </t>
  </si>
  <si>
    <t>4921017807602508</t>
  </si>
  <si>
    <t>02301636185</t>
  </si>
  <si>
    <t xml:space="preserve">YOSELIN MARTINEZ                                                                                                                                                                                                                                               </t>
  </si>
  <si>
    <t>4921017808194340</t>
  </si>
  <si>
    <t xml:space="preserve">BOCA DEL  SOCO                                                                                      </t>
  </si>
  <si>
    <t>40227218530</t>
  </si>
  <si>
    <t xml:space="preserve">ALFONSO PICCIRILLO                                                                                                                                                                                                                                             </t>
  </si>
  <si>
    <t>4921017810488923</t>
  </si>
  <si>
    <t>40225585260</t>
  </si>
  <si>
    <t xml:space="preserve">YONAIRI POLANCO                                                                                                                                                                                                                                                </t>
  </si>
  <si>
    <t>5415017654119002</t>
  </si>
  <si>
    <t xml:space="preserve">CASA 51                                                                                             </t>
  </si>
  <si>
    <t>40211328378</t>
  </si>
  <si>
    <t xml:space="preserve">YONAIDI CONCEPCION                                                                                                                                                                                                                                             </t>
  </si>
  <si>
    <t>5188017716375732</t>
  </si>
  <si>
    <t>02300882020</t>
  </si>
  <si>
    <t xml:space="preserve">FRANKLIN POLANCO                                                                                                                                                                                                                                               </t>
  </si>
  <si>
    <t>4921017772813796</t>
  </si>
  <si>
    <t>02300280019</t>
  </si>
  <si>
    <t xml:space="preserve">KENNE JUSTINIANO                                                                                                                                                                                                                                               </t>
  </si>
  <si>
    <t>5227017805413556</t>
  </si>
  <si>
    <t xml:space="preserve">SECTOR JUAN PABLO DUARTE                                                                            </t>
  </si>
  <si>
    <t>40222796027</t>
  </si>
  <si>
    <t xml:space="preserve">FRANCISCO POLANCO                                                                                                                                                                                                                                              </t>
  </si>
  <si>
    <t>4025017810782968</t>
  </si>
  <si>
    <t>02700456045</t>
  </si>
  <si>
    <t xml:space="preserve">DOMINGA LUIS                                                                                                                                                                                                                                                   </t>
  </si>
  <si>
    <t>4921017806452868</t>
  </si>
  <si>
    <t>40213522812</t>
  </si>
  <si>
    <t xml:space="preserve">SAMUEL ROSA                                                                                                                                                                                                                                                    </t>
  </si>
  <si>
    <t>4921017806562674</t>
  </si>
  <si>
    <t>40233106638</t>
  </si>
  <si>
    <t xml:space="preserve">DARKNNET DURAN                                                                                                                                                                                                                                                 </t>
  </si>
  <si>
    <t>4921017807508911</t>
  </si>
  <si>
    <t xml:space="preserve">RESIDENCIAL CRISFER EDIF A 17                                                                       </t>
  </si>
  <si>
    <t>40236534257</t>
  </si>
  <si>
    <t xml:space="preserve">JAIMELY SHEDRACK                                                                                                                                                                                                                                               </t>
  </si>
  <si>
    <t>4921017807050283</t>
  </si>
  <si>
    <t>40214745149</t>
  </si>
  <si>
    <t xml:space="preserve">FRANYER HERNANDEZ                                                                                                                                                                                                                                              </t>
  </si>
  <si>
    <t>5188017805584814</t>
  </si>
  <si>
    <t>22301552802</t>
  </si>
  <si>
    <t xml:space="preserve">JOSHUA BAEZ                                                                                                                                                                                                                                                    </t>
  </si>
  <si>
    <t>5192017806104323</t>
  </si>
  <si>
    <t>40218935233</t>
  </si>
  <si>
    <t xml:space="preserve">LUIS VIDAL NAVARRO                                                                                                                                                                                                                                             </t>
  </si>
  <si>
    <t>4921017808537961</t>
  </si>
  <si>
    <t xml:space="preserve">ALOJAMINETO BAHIA PRINCIPE EXPLORE PUNTA CANA                                                       </t>
  </si>
  <si>
    <t>40210344954</t>
  </si>
  <si>
    <t xml:space="preserve">ANDERSON FRIAS                                                                                                                                                                                                                                                 </t>
  </si>
  <si>
    <t>4025017731035985</t>
  </si>
  <si>
    <t>02601352079</t>
  </si>
  <si>
    <t xml:space="preserve">LUIS ROSA                                                                                                                                                                                                                                                      </t>
  </si>
  <si>
    <t>5400017739690237</t>
  </si>
  <si>
    <t xml:space="preserve">LOS CORALES                                                                                         </t>
  </si>
  <si>
    <t>02500154956</t>
  </si>
  <si>
    <t xml:space="preserve">RAMON SILVESTRE                                                                                                                                                                                                                                                </t>
  </si>
  <si>
    <t>4921017741641606</t>
  </si>
  <si>
    <t>40213688787</t>
  </si>
  <si>
    <t xml:space="preserve">LUIS GARCIA                                                                                                                                                                                                                                                    </t>
  </si>
  <si>
    <t>4025017640299206</t>
  </si>
  <si>
    <t>40227148489</t>
  </si>
  <si>
    <t xml:space="preserve">ERICKA WADE RAFAEL                                                                                                                                                                                                                                             </t>
  </si>
  <si>
    <t>4921017434193019</t>
  </si>
  <si>
    <t>40209308135</t>
  </si>
  <si>
    <t xml:space="preserve">JENSSY NUNEZ                                                                                                                                                                                                                                                   </t>
  </si>
  <si>
    <t>5188017796100232</t>
  </si>
  <si>
    <t xml:space="preserve">APTO VELINDA II APTO 7                                                                              </t>
  </si>
  <si>
    <t>02801152634</t>
  </si>
  <si>
    <t xml:space="preserve">YULEISI DONE FELIZ                                                                                                                                                                                                                                             </t>
  </si>
  <si>
    <t>5188017795801928</t>
  </si>
  <si>
    <t xml:space="preserve">RES MAIA APTO 3C                                                                                    </t>
  </si>
  <si>
    <t>02801056553</t>
  </si>
  <si>
    <t xml:space="preserve">MARIELY GARCIA                                                                                                                                                                                                                                                 </t>
  </si>
  <si>
    <t>5415017732532279</t>
  </si>
  <si>
    <t>22600155372</t>
  </si>
  <si>
    <t xml:space="preserve">SINDY MATOS                                                                                                                                                                                                                                                    </t>
  </si>
  <si>
    <t>5415017724764994</t>
  </si>
  <si>
    <t xml:space="preserve">APART GRIS Y CREMA                                                                                  </t>
  </si>
  <si>
    <t>40227932379</t>
  </si>
  <si>
    <t xml:space="preserve">SANDRO YAN BA                                                                                                                                                                                                                                                  </t>
  </si>
  <si>
    <t>5415017709247558</t>
  </si>
  <si>
    <t xml:space="preserve">APTO ALIMARI                                                                                        </t>
  </si>
  <si>
    <t>02801178134</t>
  </si>
  <si>
    <t xml:space="preserve">ANYELINA JAVIER                                                                                                                                                                                                                                                </t>
  </si>
  <si>
    <t>4921017747055478</t>
  </si>
  <si>
    <t>02801029907</t>
  </si>
  <si>
    <t xml:space="preserve">DARIANA SOLER                                                                                                                                                                                                                                                  </t>
  </si>
  <si>
    <t>4921017751976367</t>
  </si>
  <si>
    <t xml:space="preserve">EDIF PAULA 3B                                                                                       </t>
  </si>
  <si>
    <t>40210085904</t>
  </si>
  <si>
    <t xml:space="preserve">ELVIS REYES RODRIGUEZ                                                                                                                                                                                                                                          </t>
  </si>
  <si>
    <t>4921017746498673</t>
  </si>
  <si>
    <t xml:space="preserve">ISRAEL MARTINEZ M                                                                                                                                                                                                                                              </t>
  </si>
  <si>
    <t>4921017729537215</t>
  </si>
  <si>
    <t>40238780957</t>
  </si>
  <si>
    <t xml:space="preserve">LUIS LORENZO                                                                                                                                                                                                                                                   </t>
  </si>
  <si>
    <t>4921017720977135</t>
  </si>
  <si>
    <t>02800358828</t>
  </si>
  <si>
    <t xml:space="preserve"> / CATALINA ROSARIO                                                                                                                                                                                                                                            </t>
  </si>
  <si>
    <t>4173017803812493</t>
  </si>
  <si>
    <t xml:space="preserve">EDIF BELINDA 2 NO 7                                                                                 </t>
  </si>
  <si>
    <t>02601417484</t>
  </si>
  <si>
    <t xml:space="preserve">HECTOR JOSE                                                                                                                                                                                                                                                    </t>
  </si>
  <si>
    <t>4741017799850691</t>
  </si>
  <si>
    <t>40214796381</t>
  </si>
  <si>
    <t xml:space="preserve">VICTOR MATOS G                                                                                                                                                                                                                                                 </t>
  </si>
  <si>
    <t>4921017623545158</t>
  </si>
  <si>
    <t>40210246209</t>
  </si>
  <si>
    <t xml:space="preserve">YADHIRA HERRERA                                                                                                                                                                                                                                                </t>
  </si>
  <si>
    <t>4921017798051830</t>
  </si>
  <si>
    <t>08100098212</t>
  </si>
  <si>
    <t xml:space="preserve">IVELISSE FRICA MENDEZ                                                                                                                                                                                                                                          </t>
  </si>
  <si>
    <t>4025017799257628</t>
  </si>
  <si>
    <t xml:space="preserve">PUNTA CANA BAVARO                                                                                   </t>
  </si>
  <si>
    <t>02301502031</t>
  </si>
  <si>
    <t xml:space="preserve">RAFAELITO JOSE                                                                                                                                                                                                                                                 </t>
  </si>
  <si>
    <t>4921017802873569</t>
  </si>
  <si>
    <t>06700153718</t>
  </si>
  <si>
    <t xml:space="preserve">BIKI BATISTA                                                                                                                                                                                                                                                   </t>
  </si>
  <si>
    <t>5415017795239102</t>
  </si>
  <si>
    <t xml:space="preserve">NO 2 B 201                                                                                          </t>
  </si>
  <si>
    <t>09100037283</t>
  </si>
  <si>
    <t xml:space="preserve">BERENICE GUEVARA                                                                                                                                                                                                                                               </t>
  </si>
  <si>
    <t>4025017703333066</t>
  </si>
  <si>
    <t xml:space="preserve">CIUDAD LA PALMA                                                                                     </t>
  </si>
  <si>
    <t>02600447755</t>
  </si>
  <si>
    <t xml:space="preserve">YUDERKA DE AZA                                                                                                                                                                                                                                                 </t>
  </si>
  <si>
    <t>5188017620564372</t>
  </si>
  <si>
    <t xml:space="preserve">APTO 32 EDIFICIOS RUBIERA                                                                           </t>
  </si>
  <si>
    <t>40257810487</t>
  </si>
  <si>
    <t xml:space="preserve">MIOSOTTY SULBARAN                                                                                                                                                                                                                                              </t>
  </si>
  <si>
    <t>4921017723479232</t>
  </si>
  <si>
    <t>40242032171</t>
  </si>
  <si>
    <t xml:space="preserve">NATALY CANCU                                                                                                                                                                                                                                                   </t>
  </si>
  <si>
    <t>4025017742084328</t>
  </si>
  <si>
    <t xml:space="preserve">TORRE 7 APTO 2C                                                                                     </t>
  </si>
  <si>
    <t xml:space="preserve">EDI MARTA 1 APTO 2A                                                                                 </t>
  </si>
  <si>
    <t>02800798841</t>
  </si>
  <si>
    <t xml:space="preserve">MARIA MELO                                                                                                                                                                                                                                                     </t>
  </si>
  <si>
    <t>4921017746260285</t>
  </si>
  <si>
    <t>03300369778</t>
  </si>
  <si>
    <t xml:space="preserve">MARISOL FRANCISCO                                                                                                                                                                                                                                              </t>
  </si>
  <si>
    <t>4921017712921076</t>
  </si>
  <si>
    <t>02800995801</t>
  </si>
  <si>
    <t xml:space="preserve">MAYRA OGANDO                                                                                                                                                                                                                                                   </t>
  </si>
  <si>
    <t>4921017747923002</t>
  </si>
  <si>
    <t>01800825919</t>
  </si>
  <si>
    <t xml:space="preserve">NILKIO SANCHEZ GOMEZ                                                                                                                                                                                                                                           </t>
  </si>
  <si>
    <t>4921017734907553</t>
  </si>
  <si>
    <t>02500479866</t>
  </si>
  <si>
    <t xml:space="preserve">SCARLY DE JESUS                                                                                                                                                                                                                                                </t>
  </si>
  <si>
    <t>4025017767382721</t>
  </si>
  <si>
    <t xml:space="preserve">RESIDENCIAL BRISA                                                                                   </t>
  </si>
  <si>
    <t>40210988685</t>
  </si>
  <si>
    <t xml:space="preserve">WILI RODRIGUEZ                                                                                                                                                                                                                                                 </t>
  </si>
  <si>
    <t>4921017725784320</t>
  </si>
  <si>
    <t xml:space="preserve">BC495981   </t>
  </si>
  <si>
    <t xml:space="preserve">MANUEL QUINTERO                                                                                                                                                                                                                                                </t>
  </si>
  <si>
    <t>4921017797563301</t>
  </si>
  <si>
    <t>05400604673</t>
  </si>
  <si>
    <t xml:space="preserve">MABEL VERAS                                                                                                                                                                                                                                                    </t>
  </si>
  <si>
    <t>5227017795523949</t>
  </si>
  <si>
    <t>03700011269</t>
  </si>
  <si>
    <t xml:space="preserve">SIGFRIDO VERAS                                                                                                                                                                                                                                                 </t>
  </si>
  <si>
    <t>4741017791141373</t>
  </si>
  <si>
    <t xml:space="preserve">MANZANA NO 59                                                                                       </t>
  </si>
  <si>
    <t>00117094615</t>
  </si>
  <si>
    <t xml:space="preserve">JUAN GARCIA REYES                                                                                                                                                                                                                                              </t>
  </si>
  <si>
    <t>4741017800104597</t>
  </si>
  <si>
    <t>02600851139</t>
  </si>
  <si>
    <t xml:space="preserve">ROBERTO MORALES                                                                                                                                                                                                                                                </t>
  </si>
  <si>
    <t>4921017722796968</t>
  </si>
  <si>
    <t>40238726679</t>
  </si>
  <si>
    <t xml:space="preserve">CHAKIRA NUNEZ                                                                                                                                                                                                                                                  </t>
  </si>
  <si>
    <t>4921017797768064</t>
  </si>
  <si>
    <t xml:space="preserve">CONDOMINIO PASEO DE LA ARBOLEDA                                                                     </t>
  </si>
  <si>
    <t>40226671572</t>
  </si>
  <si>
    <t xml:space="preserve">JONATHAN BERROA                                                                                                                                                                                                                                                </t>
  </si>
  <si>
    <t>4921017797450132</t>
  </si>
  <si>
    <t>40222767275</t>
  </si>
  <si>
    <t xml:space="preserve">CLARA GARCIA                                                                                                                                                                                                                                                   </t>
  </si>
  <si>
    <t>5188017710512357</t>
  </si>
  <si>
    <t>02300298441</t>
  </si>
  <si>
    <t xml:space="preserve">SAUL BATISTA                                                                                                                                                                                                                                                   </t>
  </si>
  <si>
    <t>5415017742915513</t>
  </si>
  <si>
    <t xml:space="preserve">NO 170                                                                                              </t>
  </si>
  <si>
    <t>02301421380</t>
  </si>
  <si>
    <t>4741017799957982</t>
  </si>
  <si>
    <t>07900075503</t>
  </si>
  <si>
    <t xml:space="preserve">MANUEL GOMEZ                                                                                                                                                                                                                                                   </t>
  </si>
  <si>
    <t>5192017796207116</t>
  </si>
  <si>
    <t>02300769326</t>
  </si>
  <si>
    <t xml:space="preserve">FELIX FERREIRA CARRION                                                                                                                                                                                                                                         </t>
  </si>
  <si>
    <t>4741017799827010</t>
  </si>
  <si>
    <t>40240199824</t>
  </si>
  <si>
    <t xml:space="preserve">YULEISI CALDERON                                                                                                                                                                                                                                               </t>
  </si>
  <si>
    <t>4921017801601768</t>
  </si>
  <si>
    <t xml:space="preserve">GUACHUPITA                                                                                          </t>
  </si>
  <si>
    <t>40209560107</t>
  </si>
  <si>
    <t xml:space="preserve">VIRGILIO GUERRA                                                                                                                                                                                                                                                </t>
  </si>
  <si>
    <t>4025017803418821</t>
  </si>
  <si>
    <t xml:space="preserve">163920971  </t>
  </si>
  <si>
    <t xml:space="preserve">YEISSON JARAMILLO                                                                                                                                                                                                                                              </t>
  </si>
  <si>
    <t>4921017802663226</t>
  </si>
  <si>
    <t>40225881024</t>
  </si>
  <si>
    <t xml:space="preserve">LUIS DOMINGUEZ                                                                                                                                                                                                                                                 </t>
  </si>
  <si>
    <t>5415017800684971</t>
  </si>
  <si>
    <t>40222772747</t>
  </si>
  <si>
    <t xml:space="preserve">ISAURE CIPRIAN                                                                                                                                                                                                                                                 </t>
  </si>
  <si>
    <t>4921017802534234</t>
  </si>
  <si>
    <t>40214403350</t>
  </si>
  <si>
    <t xml:space="preserve">ANYISEL PENA                                                                                                                                                                                                                                                   </t>
  </si>
  <si>
    <t>4025017803323518</t>
  </si>
  <si>
    <t>40218275705</t>
  </si>
  <si>
    <t xml:space="preserve">ANGEL SILIS RODRIGUEZ                                                                                                                                                                                                                                          </t>
  </si>
  <si>
    <t>4921017803131604</t>
  </si>
  <si>
    <t>02300953458</t>
  </si>
  <si>
    <t xml:space="preserve">ALEXANDRA PEREZ                                                                                                                                                                                                                                                </t>
  </si>
  <si>
    <t>5415017800396564</t>
  </si>
  <si>
    <t>03000069363</t>
  </si>
  <si>
    <t xml:space="preserve">DONALD DE JESUS                                                                                                                                                                                                                                                </t>
  </si>
  <si>
    <t>4921017802492252</t>
  </si>
  <si>
    <t>40236091548</t>
  </si>
  <si>
    <t xml:space="preserve">DILAINI REYES                                                                                                                                                                                                                                                  </t>
  </si>
  <si>
    <t>4921017802518054</t>
  </si>
  <si>
    <t xml:space="preserve">180145555  </t>
  </si>
  <si>
    <t xml:space="preserve">EVELIN VASQUEZ                                                                                                                                                                                                                                                 </t>
  </si>
  <si>
    <t>5415017800590402</t>
  </si>
  <si>
    <t xml:space="preserve">SECTOR VILLA VELASQUEZ                                                                              </t>
  </si>
  <si>
    <t>02301241465</t>
  </si>
  <si>
    <t xml:space="preserve">TONY HACHE                                                                                                                                                                                                                                                     </t>
  </si>
  <si>
    <t>4921017802541614</t>
  </si>
  <si>
    <t>40221845882</t>
  </si>
  <si>
    <t xml:space="preserve">YOKAIDY VASQUEZ                                                                                                                                                                                                                                                </t>
  </si>
  <si>
    <t>5415017794836361</t>
  </si>
  <si>
    <t>40225137930</t>
  </si>
  <si>
    <t xml:space="preserve">HECTOR SANTANA                                                                                                                                                                                                                                                 </t>
  </si>
  <si>
    <t>4025017799501301</t>
  </si>
  <si>
    <t>40219365257</t>
  </si>
  <si>
    <t xml:space="preserve">CARLOS PACHECO                                                                                                                                                                                                                                                 </t>
  </si>
  <si>
    <t>5188017795970884</t>
  </si>
  <si>
    <t>40231673761</t>
  </si>
  <si>
    <t xml:space="preserve">BRANDY RIVERA                                                                                                                                                                                                                                                  </t>
  </si>
  <si>
    <t>4921017798287419</t>
  </si>
  <si>
    <t>02301668121</t>
  </si>
  <si>
    <t xml:space="preserve">ANGEL MONTERO SOBE                                                                                                                                                                                                                                             </t>
  </si>
  <si>
    <t>4025017799464412</t>
  </si>
  <si>
    <t>40235848518</t>
  </si>
  <si>
    <t xml:space="preserve">GABRIEL BELTRE                                                                                                                                                                                                                                                 </t>
  </si>
  <si>
    <t>5188017795942499</t>
  </si>
  <si>
    <t xml:space="preserve">BARRIO LINDO                                                                                        </t>
  </si>
  <si>
    <t>02301593139</t>
  </si>
  <si>
    <t xml:space="preserve">WILYS CANDELARIO                                                                                                                                                                                                                                               </t>
  </si>
  <si>
    <t>5188017801237335</t>
  </si>
  <si>
    <t xml:space="preserve">SARMIENTO I                                                                                         </t>
  </si>
  <si>
    <t>40224246005</t>
  </si>
  <si>
    <t>ARNAUD LAVAL</t>
  </si>
  <si>
    <t>4921017806232970</t>
  </si>
  <si>
    <t xml:space="preserve">JOSE GUERRERO </t>
  </si>
  <si>
    <t>4741017625551666</t>
  </si>
  <si>
    <t>TARJETA DE PRUEBA</t>
  </si>
  <si>
    <t>EDWAR CABRERA DE LA CRUZ</t>
  </si>
  <si>
    <t>4741017715124743</t>
  </si>
  <si>
    <t>FIME America – Issuing Service</t>
  </si>
  <si>
    <t>02301269326</t>
  </si>
  <si>
    <t xml:space="preserve">SANTA CORDERO                                                                                                                                                                                                                                                  </t>
  </si>
  <si>
    <t>4966017796866429</t>
  </si>
  <si>
    <t>40227699333</t>
  </si>
  <si>
    <t xml:space="preserve">LUIS CUSTODIO                                                                                                                                                                                                                                                  </t>
  </si>
  <si>
    <t>4921017798402692</t>
  </si>
  <si>
    <t>40243206444</t>
  </si>
  <si>
    <t xml:space="preserve">FRANGER DE LEON                                                                                                                                                                                                                                                </t>
  </si>
  <si>
    <t>4921017797712653</t>
  </si>
  <si>
    <t>40222687275</t>
  </si>
  <si>
    <t xml:space="preserve">DANIEL MALDONADO                                                                                                                                                                                                                                               </t>
  </si>
  <si>
    <t>4921017798323424</t>
  </si>
  <si>
    <t xml:space="preserve">CENTRO CIUDAD                                                                                       </t>
  </si>
  <si>
    <t>4921017797194985</t>
  </si>
  <si>
    <t>40225975404</t>
  </si>
  <si>
    <t xml:space="preserve">SUGAR BENJAMIN                                                                                                                                                                                                                                                 </t>
  </si>
  <si>
    <t>4921017623027825</t>
  </si>
  <si>
    <t xml:space="preserve">NO 2                                                                                                </t>
  </si>
  <si>
    <t>40218713937</t>
  </si>
  <si>
    <t xml:space="preserve">ALBERTO SAMORA                                                                                                                                                                                                                                                 </t>
  </si>
  <si>
    <t>4966017700121312</t>
  </si>
  <si>
    <t>40226286843</t>
  </si>
  <si>
    <t xml:space="preserve">KATHERINE GERALDO                                                                                                                                                                                                                                              </t>
  </si>
  <si>
    <t>4921017694742704</t>
  </si>
  <si>
    <t xml:space="preserve">BAYAHIBE                                                                                            </t>
  </si>
  <si>
    <t>00114358088</t>
  </si>
  <si>
    <t xml:space="preserve">MARIA FENU                                                                                                                                                                                                                                                     </t>
  </si>
  <si>
    <t>5415017787642920</t>
  </si>
  <si>
    <t xml:space="preserve">VILLA GUERRERO NO4                                                                                  </t>
  </si>
  <si>
    <t>40210225534</t>
  </si>
  <si>
    <t xml:space="preserve">ARIANNA TAVAREZ                                                                                                                                                                                                                                                </t>
  </si>
  <si>
    <t>4921017693794706</t>
  </si>
  <si>
    <t>10300120267</t>
  </si>
  <si>
    <t xml:space="preserve">ROBERTO DE LA CRUZ                                                                                                                                                                                                                                             </t>
  </si>
  <si>
    <t>4921017668874864</t>
  </si>
  <si>
    <t>29500069603</t>
  </si>
  <si>
    <t xml:space="preserve">KELVIN CELESTINO                                                                                                                                                                                                                                               </t>
  </si>
  <si>
    <t>4921017796421119</t>
  </si>
  <si>
    <t xml:space="preserve">FRIUSA                                                                                              </t>
  </si>
  <si>
    <t>40229687245</t>
  </si>
  <si>
    <t>4921017700513257</t>
  </si>
  <si>
    <t>00118537513</t>
  </si>
  <si>
    <t xml:space="preserve">STALIN RAMOS                                                                                                                                                                                                                                                   </t>
  </si>
  <si>
    <t>5415017794817018</t>
  </si>
  <si>
    <t>00301182168</t>
  </si>
  <si>
    <t xml:space="preserve">INGRID SOLANO                                                                                                                                                                                                                                                  </t>
  </si>
  <si>
    <t>4921017798425349</t>
  </si>
  <si>
    <t>40228310906</t>
  </si>
  <si>
    <t xml:space="preserve">YEANDRA FELIZ                                                                                                                                                                                                                                                  </t>
  </si>
  <si>
    <t>5415017775487850</t>
  </si>
  <si>
    <t xml:space="preserve">HOTELES MELIA BAVARO                                                                                </t>
  </si>
  <si>
    <t>40215010303</t>
  </si>
  <si>
    <t xml:space="preserve">NICOLE GUERRERO                                                                                                                                                                                                                                                </t>
  </si>
  <si>
    <t>4921017797792893</t>
  </si>
  <si>
    <t>02301336604</t>
  </si>
  <si>
    <t xml:space="preserve">TANIA VARELA ALMONTE                                                                                                                                                                                                                                           </t>
  </si>
  <si>
    <t>5415017795003383</t>
  </si>
  <si>
    <t>40211940693</t>
  </si>
  <si>
    <t xml:space="preserve">JHOAN REINOSO                                                                                                                                                                                                                                                  </t>
  </si>
  <si>
    <t>4921017796540500</t>
  </si>
  <si>
    <t>40219795024</t>
  </si>
  <si>
    <t xml:space="preserve">WANDEL SANTANA                                                                                                                                                                                                                                                 </t>
  </si>
  <si>
    <t>4921017796384206</t>
  </si>
  <si>
    <t>40221926120</t>
  </si>
  <si>
    <t xml:space="preserve">FRANCIS SANTANA A                                                                                                                                                                                                                                              </t>
  </si>
  <si>
    <t>4921017796666074</t>
  </si>
  <si>
    <t>40227962970</t>
  </si>
  <si>
    <t xml:space="preserve">ESDRAS MATOS                                                                                                                                                                                                                                                   </t>
  </si>
  <si>
    <t>5415017794475487</t>
  </si>
  <si>
    <t xml:space="preserve">COLINA II CASA 22                                                                                   </t>
  </si>
  <si>
    <t>40235143944</t>
  </si>
  <si>
    <t xml:space="preserve">FRANCISCO ALVAREZ                                                                                                                                                                                                                                              </t>
  </si>
  <si>
    <t>4966017796843278</t>
  </si>
  <si>
    <t>02301667248</t>
  </si>
  <si>
    <t xml:space="preserve">TERESA MORALES                                                                                                                                                                                                                                                 </t>
  </si>
  <si>
    <t>4921017797346833</t>
  </si>
  <si>
    <t xml:space="preserve">PLANTA 3                                                                                            </t>
  </si>
  <si>
    <t>02400217184</t>
  </si>
  <si>
    <t xml:space="preserve">RAFAELA SANTANA                                                                                                                                                                                                                                                </t>
  </si>
  <si>
    <t>5415017727801396</t>
  </si>
  <si>
    <t>02601036771</t>
  </si>
  <si>
    <t xml:space="preserve">CARLOS MORETA                                                                                                                                                                                                                                                  </t>
  </si>
  <si>
    <t>5415017709285542</t>
  </si>
  <si>
    <t>40214454643</t>
  </si>
  <si>
    <t xml:space="preserve">SHAYDA ENCARNACION                                                                                                                                                                                                                                             </t>
  </si>
  <si>
    <t>5188017673834154</t>
  </si>
  <si>
    <t xml:space="preserve">CASA NO 01                                                                                          </t>
  </si>
  <si>
    <t>02801161874</t>
  </si>
  <si>
    <t xml:space="preserve">YERALDINA FELIZ                                                                                                                                                                                                                                                </t>
  </si>
  <si>
    <t>5188017608381903</t>
  </si>
  <si>
    <t>02301544025</t>
  </si>
  <si>
    <t xml:space="preserve">DARLIN MONTAS                                                                                                                                                                                                                                                  </t>
  </si>
  <si>
    <t>5415017731981123</t>
  </si>
  <si>
    <t>40213490499</t>
  </si>
  <si>
    <t xml:space="preserve">FREILIN PENA                                                                                                                                                                                                                                                   </t>
  </si>
  <si>
    <t>5415017718894629</t>
  </si>
  <si>
    <t>40234183735</t>
  </si>
  <si>
    <t xml:space="preserve">JULY FRIAS                                                                                                                                                                                                                                                     </t>
  </si>
  <si>
    <t>5188017710427979</t>
  </si>
  <si>
    <t>40219774391</t>
  </si>
  <si>
    <t xml:space="preserve">PORFI SANTANA ROSARIO                                                                                                                                                                                                                                          </t>
  </si>
  <si>
    <t>4921017781604457</t>
  </si>
  <si>
    <t xml:space="preserve">CASA NO 24                                                                                          </t>
  </si>
  <si>
    <t>40220725150</t>
  </si>
  <si>
    <t xml:space="preserve">PAMELA RAMIREZ                                                                                                                                                                                                                                                 </t>
  </si>
  <si>
    <t>5188017252099615</t>
  </si>
  <si>
    <t>02301536484</t>
  </si>
  <si>
    <t xml:space="preserve">NAURA DANIEL TEJEDA                                                                                                                                                                                                                                            </t>
  </si>
  <si>
    <t>4921017792469742</t>
  </si>
  <si>
    <t>40221117969</t>
  </si>
  <si>
    <t xml:space="preserve">MIGUELINA CORDERO                                                                                                                                                                                                                                              </t>
  </si>
  <si>
    <t>4025017793683166</t>
  </si>
  <si>
    <t>40227509441</t>
  </si>
  <si>
    <t xml:space="preserve">NATIVIDAD RINCON                                                                                                                                                                                                                                               </t>
  </si>
  <si>
    <t>4025017793933821</t>
  </si>
  <si>
    <t>02301235038</t>
  </si>
  <si>
    <t xml:space="preserve">YENY ASTACIO                                                                                                                                                                                                                                                   </t>
  </si>
  <si>
    <t>4921017793039396</t>
  </si>
  <si>
    <t xml:space="preserve">574121804  </t>
  </si>
  <si>
    <t xml:space="preserve">LIZBETH RODRIGUEZ                                                                                                                                                                                                                                              </t>
  </si>
  <si>
    <t>4921017788435678</t>
  </si>
  <si>
    <t xml:space="preserve">NO 6                                                                                                </t>
  </si>
  <si>
    <t>02300479082</t>
  </si>
  <si>
    <t xml:space="preserve"> / LAGERFEL CALCANO                                                                                                                                                                                                                                            </t>
  </si>
  <si>
    <t>5523017786944922</t>
  </si>
  <si>
    <t xml:space="preserve">ESQ ANTONIO ANGULO JURIDI                                                                           </t>
  </si>
  <si>
    <t>02301620494</t>
  </si>
  <si>
    <t xml:space="preserve">MANUEL VALENZUELA                                                                                                                                                                                                                                              </t>
  </si>
  <si>
    <t>4173017791199602</t>
  </si>
  <si>
    <t xml:space="preserve">EN LA EMPRESA INVERSIONES TAVCOR                                                                    </t>
  </si>
  <si>
    <t>40236465734</t>
  </si>
  <si>
    <t xml:space="preserve">DARCY BAUTISTA                                                                                                                                                                                                                                                 </t>
  </si>
  <si>
    <t>5415017641783202</t>
  </si>
  <si>
    <t xml:space="preserve">RESIDENCIAL DON JOSE NO 02                                                                          </t>
  </si>
  <si>
    <t>02800982536</t>
  </si>
  <si>
    <t xml:space="preserve">ELIZABETH BASORA                                                                                                                                                                                                                                               </t>
  </si>
  <si>
    <t>5415017666998349</t>
  </si>
  <si>
    <t xml:space="preserve">VIVE AL LADO DE LA JUNTA CENTRAL ELECTORAL                                                          </t>
  </si>
  <si>
    <t>40209443106</t>
  </si>
  <si>
    <t xml:space="preserve">MARELIN LEONARDO                                                                                                                                                                                                                                               </t>
  </si>
  <si>
    <t>5415017680012521</t>
  </si>
  <si>
    <t>40209102850</t>
  </si>
  <si>
    <t xml:space="preserve">JUNIOR CEDENO                                                                                                                                                                                                                                                  </t>
  </si>
  <si>
    <t>5400017698142478</t>
  </si>
  <si>
    <t>40227696883</t>
  </si>
  <si>
    <t xml:space="preserve">MILOSIS LOPEZ                                                                                                                                                                                                                                                  </t>
  </si>
  <si>
    <t>5415017715825574</t>
  </si>
  <si>
    <t>16000005757</t>
  </si>
  <si>
    <t xml:space="preserve">OSVALDO CUEVAS B                                                                                                                                                                                                                                               </t>
  </si>
  <si>
    <t>4921017793272057</t>
  </si>
  <si>
    <t>40213735141</t>
  </si>
  <si>
    <t xml:space="preserve">CRISMERLYN DEL ROSARIO                                                                                                                                                                                                                                         </t>
  </si>
  <si>
    <t>4921017791929079</t>
  </si>
  <si>
    <t>02200347231</t>
  </si>
  <si>
    <t xml:space="preserve">MARIA ENE MATOS                                                                                                                                                                                                                                                </t>
  </si>
  <si>
    <t>4921017792064070</t>
  </si>
  <si>
    <t>40226613632</t>
  </si>
  <si>
    <t xml:space="preserve">VIRGINENCIS FLORIAN                                                                                                                                                                                                                                            </t>
  </si>
  <si>
    <t>4921017788416975</t>
  </si>
  <si>
    <t xml:space="preserve">BLOQUE A3 APTO B3                                                                                   </t>
  </si>
  <si>
    <t>40211929837</t>
  </si>
  <si>
    <t xml:space="preserve">LESLEY SMITH                                                                                                                                                                                                                                                   </t>
  </si>
  <si>
    <t>5188017787184179</t>
  </si>
  <si>
    <t xml:space="preserve">APARTAMENTO 15-3C EDIFICIO CIUDAD DEL SOL 15-3C                                                     </t>
  </si>
  <si>
    <t>40233603709</t>
  </si>
  <si>
    <t xml:space="preserve">YAURI CASTILLO                                                                                                                                                                                                                                                 </t>
  </si>
  <si>
    <t>5188017791916584</t>
  </si>
  <si>
    <t xml:space="preserve">PLAZA GALERIA DLF                                                                                   </t>
  </si>
  <si>
    <t>40211706565</t>
  </si>
  <si>
    <t xml:space="preserve">CHANEL FIGUEROA                                                                                                                                                                                                                                                </t>
  </si>
  <si>
    <t>4921017714096782</t>
  </si>
  <si>
    <t xml:space="preserve">RESIDENCIAL CIUDAD DEL SOL CASA NO 5                                                                </t>
  </si>
  <si>
    <t xml:space="preserve">167249201  </t>
  </si>
  <si>
    <t xml:space="preserve">BANI RIVERO MIRELLIS                                                                                                                                                                                                                                           </t>
  </si>
  <si>
    <t>4025017652430851</t>
  </si>
  <si>
    <t xml:space="preserve">RECIDENCIAL NB                                                                                      </t>
  </si>
  <si>
    <t>13600193265</t>
  </si>
  <si>
    <t xml:space="preserve">MICHAEL SAINT                                                                                                                                                                                                                                                  </t>
  </si>
  <si>
    <t>5549017775852842</t>
  </si>
  <si>
    <t xml:space="preserve">RES DON HONORIO EDIF LISAMARIE I APTO A1                                                            </t>
  </si>
  <si>
    <t>00102685096</t>
  </si>
  <si>
    <t xml:space="preserve">NELSON CUEVAS                                                                                                                                                                                                                                                  </t>
  </si>
  <si>
    <t>4741017784217209</t>
  </si>
  <si>
    <t>40213922376</t>
  </si>
  <si>
    <t xml:space="preserve">NICAURY MELO                                                                                                                                                                                                                                                   </t>
  </si>
  <si>
    <t>5188017787808344</t>
  </si>
  <si>
    <t xml:space="preserve">PLAZA ROQUE COMERCIAL III                                                                           </t>
  </si>
  <si>
    <t>09300420677</t>
  </si>
  <si>
    <t xml:space="preserve">DELGADO SIMONS JAIME                                                                                                                                                                                                                                           </t>
  </si>
  <si>
    <t>4173017784517172</t>
  </si>
  <si>
    <t xml:space="preserve">RES PERLA DEL ESTE C103                                                                             </t>
  </si>
  <si>
    <t>40213657444</t>
  </si>
  <si>
    <t xml:space="preserve">TOMAS DE JESUS                                                                                                                                                                                                                                                 </t>
  </si>
  <si>
    <t>5227017769647768</t>
  </si>
  <si>
    <t xml:space="preserve">PLAZA 3 CENTER 36                                                                                   </t>
  </si>
  <si>
    <t>40211784497</t>
  </si>
  <si>
    <t xml:space="preserve">JUAN FELIPE                                                                                                                                                                                                                                                    </t>
  </si>
  <si>
    <t>4025017790441615</t>
  </si>
  <si>
    <t>40232041323</t>
  </si>
  <si>
    <t xml:space="preserve">MAICOL CARABALLO                                                                                                                                                                                                                                               </t>
  </si>
  <si>
    <t>5400017787638111</t>
  </si>
  <si>
    <t xml:space="preserve"> / DARMIN MARTINEZ                                                                                                                                                                                                                                             </t>
  </si>
  <si>
    <t>4921017789087766</t>
  </si>
  <si>
    <t>02801041290</t>
  </si>
  <si>
    <t xml:space="preserve">YENNY SANCHEZ                                                                                                                                                                                                                                                  </t>
  </si>
  <si>
    <t>4966017788536890</t>
  </si>
  <si>
    <t xml:space="preserve">MONOGUAYABO                                                                                         </t>
  </si>
  <si>
    <t>40214739340</t>
  </si>
  <si>
    <t xml:space="preserve">ADELA DE JESUS                                                                                                                                                                                                                                                 </t>
  </si>
  <si>
    <t>4921017788232758</t>
  </si>
  <si>
    <t>02800895712</t>
  </si>
  <si>
    <t xml:space="preserve">MARIA DE LA CRUZ                                                                                                                                                                                                                                               </t>
  </si>
  <si>
    <t>4921017788488549</t>
  </si>
  <si>
    <t xml:space="preserve">SAVICA                                                                                              </t>
  </si>
  <si>
    <t>40227729221</t>
  </si>
  <si>
    <t xml:space="preserve">ERICK MAGRA                                                                                                                                                                                                                                                    </t>
  </si>
  <si>
    <t>5415017787300264</t>
  </si>
  <si>
    <t>02801108834</t>
  </si>
  <si>
    <t xml:space="preserve">PAOLO JIMENEZ                                                                                                                                                                                                                                                  </t>
  </si>
  <si>
    <t>4921017789949965</t>
  </si>
  <si>
    <t>40211729484</t>
  </si>
  <si>
    <t xml:space="preserve">ANGEL ROSARIO                                                                                                                                                                                                                                                  </t>
  </si>
  <si>
    <t>4921017695478428</t>
  </si>
  <si>
    <t>40211469115</t>
  </si>
  <si>
    <t xml:space="preserve">HERMINIA VALDEZ                                                                                                                                                                                                                                                </t>
  </si>
  <si>
    <t>4921017657922913</t>
  </si>
  <si>
    <t>40214120772</t>
  </si>
  <si>
    <t xml:space="preserve">DEIMY FELIZ MARTINEZ                                                                                                                                                                                                                                           </t>
  </si>
  <si>
    <t>4921017695904419</t>
  </si>
  <si>
    <t>40209967799</t>
  </si>
  <si>
    <t xml:space="preserve">SAI CAIRO RODRIGUEZ                                                                                                                                                                                                                                            </t>
  </si>
  <si>
    <t>4025017714392313</t>
  </si>
  <si>
    <t>00112260849</t>
  </si>
  <si>
    <t xml:space="preserve">CANDIDA MARTINEZ                                                                                                                                                                                                                                               </t>
  </si>
  <si>
    <t>4921017695881428</t>
  </si>
  <si>
    <t>40227342728</t>
  </si>
  <si>
    <t xml:space="preserve">DHARIANA REYES                                                                                                                                                                                                                                                 </t>
  </si>
  <si>
    <t>4921017737425345</t>
  </si>
  <si>
    <t>02801123155</t>
  </si>
  <si>
    <t xml:space="preserve">DAYANARA CEDENO                                                                                                                                                                                                                                                </t>
  </si>
  <si>
    <t>4921017737127936</t>
  </si>
  <si>
    <t xml:space="preserve">CASA NO 23                                                                                          </t>
  </si>
  <si>
    <t>40213730084</t>
  </si>
  <si>
    <t>4921017722276107</t>
  </si>
  <si>
    <t>02800995603</t>
  </si>
  <si>
    <t xml:space="preserve">LILIBETH VILLAR                                                                                                                                                                                                                                                </t>
  </si>
  <si>
    <t>4921017722079540</t>
  </si>
  <si>
    <t>05600268923</t>
  </si>
  <si>
    <t xml:space="preserve">MIGUEL GARCIA                                                                                                                                                                                                                                                  </t>
  </si>
  <si>
    <t>4921017712943708</t>
  </si>
  <si>
    <t xml:space="preserve">CASA NO 18                                                                                          </t>
  </si>
  <si>
    <t>04700517586</t>
  </si>
  <si>
    <t xml:space="preserve">JUAN BERROA                                                                                                                                                                                                                                                    </t>
  </si>
  <si>
    <t>4966017694362120</t>
  </si>
  <si>
    <t>40253385377</t>
  </si>
  <si>
    <t xml:space="preserve">BILLY ANTONIO                                                                                                                                                                                                                                                  </t>
  </si>
  <si>
    <t>4921017790212418</t>
  </si>
  <si>
    <t>02801156304</t>
  </si>
  <si>
    <t xml:space="preserve">FELIX ESPIRITUSANTOS                                                                                                                                                                                                                                           </t>
  </si>
  <si>
    <t>4921017789266878</t>
  </si>
  <si>
    <t>06700037465</t>
  </si>
  <si>
    <t xml:space="preserve">LUIS QUEZADA                                                                                                                                                                                                                                                   </t>
  </si>
  <si>
    <t>5549017785031251</t>
  </si>
  <si>
    <t>40210012932</t>
  </si>
  <si>
    <t xml:space="preserve">KARINA MERCEDES                                                                                                                                                                                                                                                </t>
  </si>
  <si>
    <t>4921017790035916</t>
  </si>
  <si>
    <t>40210963845</t>
  </si>
  <si>
    <t xml:space="preserve">KELMELY CUETO                                                                                                                                                                                                                                                  </t>
  </si>
  <si>
    <t>4921017789069099</t>
  </si>
  <si>
    <t xml:space="preserve">LOS MULTIS                                                                                          </t>
  </si>
  <si>
    <t>02300763550</t>
  </si>
  <si>
    <t xml:space="preserve">RAMON DE LA CRUZ                                                                                                                                                                                                                                               </t>
  </si>
  <si>
    <t>4921017789929150</t>
  </si>
  <si>
    <t xml:space="preserve">ALTOS DE SAN PEDRO                                                                                  </t>
  </si>
  <si>
    <t>02301647513</t>
  </si>
  <si>
    <t xml:space="preserve">RAMON NIEVES                                                                                                                                                                                                                                                   </t>
  </si>
  <si>
    <t>4921017789543132</t>
  </si>
  <si>
    <t>02301155558</t>
  </si>
  <si>
    <t xml:space="preserve">KEILA RAVELO                                                                                                                                                                                                                                                   </t>
  </si>
  <si>
    <t>4921017789092727</t>
  </si>
  <si>
    <t>40226989131</t>
  </si>
  <si>
    <t xml:space="preserve">PATRI JIMENEZ                                                                                                                                                                                                                                                  </t>
  </si>
  <si>
    <t>5188017787924350</t>
  </si>
  <si>
    <t>03600115970</t>
  </si>
  <si>
    <t xml:space="preserve">MIGUEL COLLADO                                                                                                                                                                                                                                                 </t>
  </si>
  <si>
    <t>4921017789874693</t>
  </si>
  <si>
    <t>40210279820</t>
  </si>
  <si>
    <t xml:space="preserve">JUAN ALVAREZ                                                                                                                                                                                                                                                   </t>
  </si>
  <si>
    <t>4921017790265280</t>
  </si>
  <si>
    <t>02301316986</t>
  </si>
  <si>
    <t xml:space="preserve">NOELIA CORPORAN                                                                                                                                                                                                                                                </t>
  </si>
  <si>
    <t>5415017787136983</t>
  </si>
  <si>
    <t>40213823855</t>
  </si>
  <si>
    <t xml:space="preserve">EZEQUIEL MORILLO                                                                                                                                                                                                                                               </t>
  </si>
  <si>
    <t>5188017787819342</t>
  </si>
  <si>
    <t>40238538975</t>
  </si>
  <si>
    <t xml:space="preserve">WILMERY CHALAS ALBUEZ                                                                                                                                                                                                                                          </t>
  </si>
  <si>
    <t>5188017787948309</t>
  </si>
  <si>
    <t>02301528994</t>
  </si>
  <si>
    <t xml:space="preserve">DILIA ROCHE                                                                                                                                                                                                                                                    </t>
  </si>
  <si>
    <t>4966017681793068</t>
  </si>
  <si>
    <t xml:space="preserve">CALLE 22 NO 5                                                                                       </t>
  </si>
  <si>
    <t>40230973816</t>
  </si>
  <si>
    <t xml:space="preserve">JORDANI FERNANDEZ                                                                                                                                                                                                                                              </t>
  </si>
  <si>
    <t>4921017783214772</t>
  </si>
  <si>
    <t xml:space="preserve">EDIF 55 APTO 402                                                                                    </t>
  </si>
  <si>
    <t>40236844128</t>
  </si>
  <si>
    <t xml:space="preserve">OSVALDO PAYAN ZUNIGA                                                                                                                                                                                                                                           </t>
  </si>
  <si>
    <t>5188017779604295</t>
  </si>
  <si>
    <t>4921017780300549</t>
  </si>
  <si>
    <t xml:space="preserve">APTO 401D RES LOS FELIPES III LOS ALAMOS                                                            </t>
  </si>
  <si>
    <t>40240831210</t>
  </si>
  <si>
    <t xml:space="preserve">WILDY DIAZ                                                                                                                                                                                                                                                     </t>
  </si>
  <si>
    <t>4966017781009785</t>
  </si>
  <si>
    <t xml:space="preserve">APTO 401D RES LOS FELIPES III                                                                       </t>
  </si>
  <si>
    <t>4921017781491622</t>
  </si>
  <si>
    <t xml:space="preserve">CIUDAD EL SOL                                                                                       </t>
  </si>
  <si>
    <t>00116543059</t>
  </si>
  <si>
    <t xml:space="preserve">JOSE MORDAN                                                                                                                                                                                                                                                    </t>
  </si>
  <si>
    <t>4921017782210217</t>
  </si>
  <si>
    <t xml:space="preserve">PARQUE INDUSTRIAL DUARTE (NESPLAS)                                                                  </t>
  </si>
  <si>
    <t>40236656159</t>
  </si>
  <si>
    <t xml:space="preserve">RAZIEL GUZMAN                                                                                                                                                                                                                                                  </t>
  </si>
  <si>
    <t>5188017779995565</t>
  </si>
  <si>
    <t xml:space="preserve">MAXIMO GOMEZ I                                                                                      </t>
  </si>
  <si>
    <t>40212015735</t>
  </si>
  <si>
    <t xml:space="preserve">ROBERTO RIVERA                                                                                                                                                                                                                                                 </t>
  </si>
  <si>
    <t>5415017768082148</t>
  </si>
  <si>
    <t xml:space="preserve">EDIF. RES PEQUENO BURGUES APTO.3D SECTOR LA URE╢æA                                                  </t>
  </si>
  <si>
    <t>40241636436</t>
  </si>
  <si>
    <t xml:space="preserve">LESLY CARDENAS                                                                                                                                                                                                                                                 </t>
  </si>
  <si>
    <t>4921017786015786</t>
  </si>
  <si>
    <t>40215495033</t>
  </si>
  <si>
    <t xml:space="preserve">ADELIS TEJADA                                                                                                                                                                                                                                                  </t>
  </si>
  <si>
    <t>5188017785231055</t>
  </si>
  <si>
    <t xml:space="preserve">RIVERA DEL OZAMA                                                                                    </t>
  </si>
  <si>
    <t>01201148291</t>
  </si>
  <si>
    <t xml:space="preserve">WALIN MARTINEZ M                                                                                                                                                                                                                                               </t>
  </si>
  <si>
    <t>4921017785949214</t>
  </si>
  <si>
    <t xml:space="preserve">LOS SOLARES                                                                                         </t>
  </si>
  <si>
    <t>40230516870</t>
  </si>
  <si>
    <t xml:space="preserve"> / CRISTOPHER MARTINEZ                                                                                                                                                                                                                                         </t>
  </si>
  <si>
    <t>4921017785356494</t>
  </si>
  <si>
    <t xml:space="preserve">MANZ C EDIF 12 APTO 101                                                                             </t>
  </si>
  <si>
    <t>00111585923</t>
  </si>
  <si>
    <t xml:space="preserve">MARY SIERRA                                                                                                                                                                                                                                                    </t>
  </si>
  <si>
    <t>4921017786349542</t>
  </si>
  <si>
    <t>40208897781</t>
  </si>
  <si>
    <t xml:space="preserve">VICTOR VELASQUEZ                                                                                                                                                                                                                                               </t>
  </si>
  <si>
    <t>4921017785887867</t>
  </si>
  <si>
    <t xml:space="preserve">VILLA VERDE                                                                                         </t>
  </si>
  <si>
    <t>02601387588</t>
  </si>
  <si>
    <t xml:space="preserve">OMAR RAMIREZ                                                                                                                                                                                                                                                   </t>
  </si>
  <si>
    <t>4921017785471087</t>
  </si>
  <si>
    <t xml:space="preserve">ZONA FRANCA LAS AMERICAS                                                                            </t>
  </si>
  <si>
    <t>40223682754</t>
  </si>
  <si>
    <t xml:space="preserve">MANUEL SORIANO                                                                                                                                                                                                                                                 </t>
  </si>
  <si>
    <t>4921017786290259</t>
  </si>
  <si>
    <t>40239839364</t>
  </si>
  <si>
    <t xml:space="preserve">HENRY GUTIERREZ                                                                                                                                                                                                                                                </t>
  </si>
  <si>
    <t>5188017780195393</t>
  </si>
  <si>
    <t xml:space="preserve">LAS CANITA                                                                                          </t>
  </si>
  <si>
    <t>00119198455</t>
  </si>
  <si>
    <t xml:space="preserve">ALEJANDRO GARCIA                                                                                                                                                                                                                                               </t>
  </si>
  <si>
    <t>4921017783162110</t>
  </si>
  <si>
    <t xml:space="preserve">BOCA CHICA                                                                                          </t>
  </si>
  <si>
    <t>40228856601</t>
  </si>
  <si>
    <t xml:space="preserve">ALEJANDRA DIAZ                                                                                                                                                                                                                                                 </t>
  </si>
  <si>
    <t>4921017783180969</t>
  </si>
  <si>
    <t>40232295465</t>
  </si>
  <si>
    <t xml:space="preserve">YESENIA MATEO                                                                                                                                                                                                                                                  </t>
  </si>
  <si>
    <t>4921017781510553</t>
  </si>
  <si>
    <t>40228102915</t>
  </si>
  <si>
    <t xml:space="preserve">ISRAEL SANTANA                                                                                                                                                                                                                                                 </t>
  </si>
  <si>
    <t>5188017768831261</t>
  </si>
  <si>
    <t>22900257761</t>
  </si>
  <si>
    <t xml:space="preserve">JOSE MONTERO                                                                                                                                                                                                                                                   </t>
  </si>
  <si>
    <t>4921017780713353</t>
  </si>
  <si>
    <t xml:space="preserve">NO 6 LOS COQUITOS                                                                                   </t>
  </si>
  <si>
    <t>22600137941</t>
  </si>
  <si>
    <t xml:space="preserve">JULIO MATOS VALDEZ                                                                                                                                                                                                                                             </t>
  </si>
  <si>
    <t>4921017771594925</t>
  </si>
  <si>
    <t xml:space="preserve">VALIENTE                                                                                            </t>
  </si>
  <si>
    <t>09300573947</t>
  </si>
  <si>
    <t xml:space="preserve">JULISSA JIMENEZ                                                                                                                                                                                                                                                </t>
  </si>
  <si>
    <t>5188017775688086</t>
  </si>
  <si>
    <t>40229792870</t>
  </si>
  <si>
    <t xml:space="preserve">GENESIS SILVESTRE                                                                                                                                                                                                                                              </t>
  </si>
  <si>
    <t>4921017788993044</t>
  </si>
  <si>
    <t>02000184065</t>
  </si>
  <si>
    <t xml:space="preserve">CARMEN TERRERO                                                                                                                                                                                                                                                 </t>
  </si>
  <si>
    <t>5227017787697981</t>
  </si>
  <si>
    <t xml:space="preserve">PENETRACION ESTE                                                                                    </t>
  </si>
  <si>
    <t>40215133402</t>
  </si>
  <si>
    <t xml:space="preserve">ANDERSON GALAN                                                                                                                                                                                                                                                 </t>
  </si>
  <si>
    <t>5188017787824780</t>
  </si>
  <si>
    <t xml:space="preserve">CALETA                                                                                              </t>
  </si>
  <si>
    <t>02600670265</t>
  </si>
  <si>
    <t xml:space="preserve">GENARA PUELLO TORRES                                                                                                                                                                                                                                           </t>
  </si>
  <si>
    <t>4966017788553655</t>
  </si>
  <si>
    <t>01600125288</t>
  </si>
  <si>
    <t xml:space="preserve">ANA PEREZ LORENZO                                                                                                                                                                                                                                              </t>
  </si>
  <si>
    <t>4025017774488843</t>
  </si>
  <si>
    <t xml:space="preserve">RES MERCURIO EDF 8 APT 402  SA                                                                      </t>
  </si>
  <si>
    <t>00108329921</t>
  </si>
  <si>
    <t xml:space="preserve">JOSE R MARTE L                                                                                                                                                                                                                                                 </t>
  </si>
  <si>
    <t>5415017775423135</t>
  </si>
  <si>
    <t xml:space="preserve">SECTOR ANDRES BOCA CHICA                                                                            </t>
  </si>
  <si>
    <t>40211807959</t>
  </si>
  <si>
    <t xml:space="preserve">KEMELY GARCIA                                                                                                                                                                                                                                                  </t>
  </si>
  <si>
    <t>4921017786043223</t>
  </si>
  <si>
    <t xml:space="preserve">INVI CEA BOCA CHICA                                                                                 </t>
  </si>
  <si>
    <t>22600045995</t>
  </si>
  <si>
    <t xml:space="preserve">GABRIEL MARTINEZ                                                                                                                                                                                                                                               </t>
  </si>
  <si>
    <t>4921017782204487</t>
  </si>
  <si>
    <t xml:space="preserve">EDF ANA HILDA APTO 4A                                                                               </t>
  </si>
  <si>
    <t>00103101564</t>
  </si>
  <si>
    <t xml:space="preserve">XIOMARA CAPELLAN                                                                                                                                                                                                                                               </t>
  </si>
  <si>
    <t>5415017779015545</t>
  </si>
  <si>
    <t xml:space="preserve">CALLE CUALTA NO 1                                                                                   </t>
  </si>
  <si>
    <t>40233059456</t>
  </si>
  <si>
    <t xml:space="preserve">JOEL FELIZ                                                                                                                                                                                                                                                     </t>
  </si>
  <si>
    <t>4921017777039007</t>
  </si>
  <si>
    <t>22300329657</t>
  </si>
  <si>
    <t xml:space="preserve">JESSICA NAVARRO                                                                                                                                                                                                                                                </t>
  </si>
  <si>
    <t>4921017770677590</t>
  </si>
  <si>
    <t xml:space="preserve">DISTRITO NACIONAL                                                                                   </t>
  </si>
  <si>
    <t>40213030915</t>
  </si>
  <si>
    <t xml:space="preserve">ESTEPHANY EVANGELISTA                                                                                                                                                                                                                                          </t>
  </si>
  <si>
    <t>4921017777290066</t>
  </si>
  <si>
    <t>40222744894</t>
  </si>
  <si>
    <t xml:space="preserve">YEFREY CORNIEL                                                                                                                                                                                                                                                 </t>
  </si>
  <si>
    <t>4921017782901266</t>
  </si>
  <si>
    <t>01000741965</t>
  </si>
  <si>
    <t xml:space="preserve">JONATHAN SANCHEZ                                                                                                                                                                                                                                               </t>
  </si>
  <si>
    <t>4025017786428758</t>
  </si>
  <si>
    <t xml:space="preserve">DESPUES DE LA FABRICA ATLANTIC                                                                      </t>
  </si>
  <si>
    <t>22600081347</t>
  </si>
  <si>
    <t xml:space="preserve">ANA GARCIA                                                                                                                                                                                                                                                     </t>
  </si>
  <si>
    <t>5415017778347613</t>
  </si>
  <si>
    <t xml:space="preserve">CASA 2 NIVEL                                                                                        </t>
  </si>
  <si>
    <t>40221620913</t>
  </si>
  <si>
    <t xml:space="preserve">VANESSA MONTERO                                                                                                                                                                                                                                                </t>
  </si>
  <si>
    <t>4921017781975853</t>
  </si>
  <si>
    <t>00118734649</t>
  </si>
  <si>
    <t xml:space="preserve">ESPERANZA VASQUEZ                                                                                                                                                                                                                                              </t>
  </si>
  <si>
    <t>4921017781735272</t>
  </si>
  <si>
    <t xml:space="preserve">CIUDAD JUAN BOSCH                                                                                   </t>
  </si>
  <si>
    <t>22300985169</t>
  </si>
  <si>
    <t xml:space="preserve">ANEURIS MOSQUEA                                                                                                                                                                                                                                                </t>
  </si>
  <si>
    <t>4921017782556252</t>
  </si>
  <si>
    <t xml:space="preserve">PIANTINI                                                                                            </t>
  </si>
  <si>
    <t>40219437023</t>
  </si>
  <si>
    <t xml:space="preserve">JULIO CONTRERAS                                                                                                                                                                                                                                                </t>
  </si>
  <si>
    <t>5188017778818437</t>
  </si>
  <si>
    <t xml:space="preserve">PEDRO BRAND                                                                                         </t>
  </si>
  <si>
    <t>00110842911</t>
  </si>
  <si>
    <t xml:space="preserve">ORLANDO MARMOLEJOS                                                                                                                                                                                                                                             </t>
  </si>
  <si>
    <t>4921017782702008</t>
  </si>
  <si>
    <t xml:space="preserve">PLAZA VERTICE 2                                                                                     </t>
  </si>
  <si>
    <t>40202299489</t>
  </si>
  <si>
    <t xml:space="preserve">BERIASLY SANTANA                                                                                                                                                                                                                                               </t>
  </si>
  <si>
    <t>4921017782164564</t>
  </si>
  <si>
    <t xml:space="preserve">ISABELITA                                                                                           </t>
  </si>
  <si>
    <t>40213899657</t>
  </si>
  <si>
    <t>4921017782626885</t>
  </si>
  <si>
    <t>40226384986</t>
  </si>
  <si>
    <t xml:space="preserve">SAIRIS ROSADO                                                                                                                                                                                                                                                  </t>
  </si>
  <si>
    <t>4921017782933109</t>
  </si>
  <si>
    <t>40222557726</t>
  </si>
  <si>
    <t xml:space="preserve">CARLOS CASTILLO                                                                                                                                                                                                                                                </t>
  </si>
  <si>
    <t>5188017778838563</t>
  </si>
  <si>
    <t xml:space="preserve">KM 21                                                                                               </t>
  </si>
  <si>
    <t>40224129300</t>
  </si>
  <si>
    <t xml:space="preserve">ERWIN LEON                                                                                                                                                                                                                                                     </t>
  </si>
  <si>
    <t>5415017778758269</t>
  </si>
  <si>
    <t xml:space="preserve">GUERRA                                                                                              </t>
  </si>
  <si>
    <t>22700038692</t>
  </si>
  <si>
    <t xml:space="preserve">JULEISY PICHARDO                                                                                                                                                                                                                                               </t>
  </si>
  <si>
    <t>4921017782977037</t>
  </si>
  <si>
    <t>00107537987</t>
  </si>
  <si>
    <t xml:space="preserve">YUMIR FERRERAS                                                                                                                                                                                                                                                 </t>
  </si>
  <si>
    <t>5188017779860632</t>
  </si>
  <si>
    <t>40235776693</t>
  </si>
  <si>
    <t xml:space="preserve">MARIA SANCHEZ                                                                                                                                                                                                                                                  </t>
  </si>
  <si>
    <t>5415017778305088</t>
  </si>
  <si>
    <t xml:space="preserve">CASA 16                                                                                             </t>
  </si>
  <si>
    <t>02600869941</t>
  </si>
  <si>
    <t xml:space="preserve">JAIME GUZMAN                                                                                                                                                                                                                                                   </t>
  </si>
  <si>
    <t>4921017786323277</t>
  </si>
  <si>
    <t xml:space="preserve">AV LIBERTAD 256                                                                                     </t>
  </si>
  <si>
    <t>02601122365</t>
  </si>
  <si>
    <t xml:space="preserve">SANDY SANCHEZ                                                                                                                                                                                                                                                  </t>
  </si>
  <si>
    <t>4741017784152722</t>
  </si>
  <si>
    <t xml:space="preserve">LAS COLINA                                                                                          </t>
  </si>
  <si>
    <t>40211746108</t>
  </si>
  <si>
    <t xml:space="preserve">ALEXANDRA RAMIREZ                                                                                                                                                                                                                                              </t>
  </si>
  <si>
    <t>4741017783921514</t>
  </si>
  <si>
    <t>40232733788</t>
  </si>
  <si>
    <t xml:space="preserve">CAROLINE SANTANA                                                                                                                                                                                                </t>
  </si>
  <si>
    <t>5227017785108175</t>
  </si>
  <si>
    <t xml:space="preserve">ANTUGUO CINEMA 23                                                                                   </t>
  </si>
  <si>
    <t>40220092353</t>
  </si>
  <si>
    <t xml:space="preserve">WERLLYN NATERA                                                                                                                                                                                                                                                 </t>
  </si>
  <si>
    <t>4741017784307532</t>
  </si>
  <si>
    <t xml:space="preserve">NO 4                                                                                                </t>
  </si>
  <si>
    <t>02301402695</t>
  </si>
  <si>
    <t xml:space="preserve">CLAUDIA DE LEON                                                                                                                                                                                                                                                </t>
  </si>
  <si>
    <t>4741017783917842</t>
  </si>
  <si>
    <t>40210818304</t>
  </si>
  <si>
    <t xml:space="preserve">EUGENE JAQUEZ G                                                                                                                                                                                                                                                </t>
  </si>
  <si>
    <t>4741017783979539</t>
  </si>
  <si>
    <t>40243125784</t>
  </si>
  <si>
    <t xml:space="preserve">DEYBI DE JESUS VIDAL                                                                                                                                                                                                                                           </t>
  </si>
  <si>
    <t>5188017785224846</t>
  </si>
  <si>
    <t>02301606618</t>
  </si>
  <si>
    <t xml:space="preserve">KEISI DE LA CRUZ                                                                                                                                                                                                                                               </t>
  </si>
  <si>
    <t>4921017786392725</t>
  </si>
  <si>
    <t>40223690997</t>
  </si>
  <si>
    <t xml:space="preserve">PERLA BERAS                                                                                                                                                                                                                                                    </t>
  </si>
  <si>
    <t>4921017785794870</t>
  </si>
  <si>
    <t>40233386354</t>
  </si>
  <si>
    <t xml:space="preserve">RICHEL CASTILLO                                                                                                                                                                                                                                                </t>
  </si>
  <si>
    <t>4921017785369570</t>
  </si>
  <si>
    <t xml:space="preserve">CASA NO 6                                                                                           </t>
  </si>
  <si>
    <t>00101496883</t>
  </si>
  <si>
    <t xml:space="preserve">MIGUEL ACOSTA                                                                                                                                                                                                                                                  </t>
  </si>
  <si>
    <t>4921017722406459</t>
  </si>
  <si>
    <t>01201135553</t>
  </si>
  <si>
    <t xml:space="preserve">ERICKSON BELTRE                                                                                                                                                                                                                                                </t>
  </si>
  <si>
    <t>4921017706101156</t>
  </si>
  <si>
    <t>00114177249</t>
  </si>
  <si>
    <t>4921017658081194</t>
  </si>
  <si>
    <t xml:space="preserve">NO 100 ENSANCHE OZAMA                                                                               </t>
  </si>
  <si>
    <t>00109420240</t>
  </si>
  <si>
    <t xml:space="preserve">NELYS GOMEZ                                                                                                                                                                                                                                                    </t>
  </si>
  <si>
    <t>4921017780564892</t>
  </si>
  <si>
    <t xml:space="preserve">LUCERNA                                                                                             </t>
  </si>
  <si>
    <t>40245867789</t>
  </si>
  <si>
    <t xml:space="preserve">ALIZET SANTANA                                                                                                                                                                                                                                                 </t>
  </si>
  <si>
    <t>4921017783227818</t>
  </si>
  <si>
    <t>22300526971</t>
  </si>
  <si>
    <t xml:space="preserve">MOISE CHERENFANT                                                                                                                                                                                                                                               </t>
  </si>
  <si>
    <t>5400017779337712</t>
  </si>
  <si>
    <t>05601356297</t>
  </si>
  <si>
    <t xml:space="preserve">GISSET ALBERTO                                                                                                                                                                                                                                                 </t>
  </si>
  <si>
    <t>4921017780706889</t>
  </si>
  <si>
    <t xml:space="preserve">GISSET A ALBERTO                                                                                                                                                                                                                                               </t>
  </si>
  <si>
    <t>4921017783174058</t>
  </si>
  <si>
    <t xml:space="preserve">ALMA ROSA 1RA                                                                                       </t>
  </si>
  <si>
    <t>01900203223</t>
  </si>
  <si>
    <t xml:space="preserve">CRISTIAN FELIZ                                                                                                                                                                                                                                                 </t>
  </si>
  <si>
    <t>4025017783610233</t>
  </si>
  <si>
    <t xml:space="preserve">ENSANCHE OZAMA                                                                                      </t>
  </si>
  <si>
    <t>00114388721</t>
  </si>
  <si>
    <t xml:space="preserve">MIRNA HERNANDEZ                                                                                                                                                                                                                                                </t>
  </si>
  <si>
    <t>5227017779436071</t>
  </si>
  <si>
    <t xml:space="preserve">SANTO DOMINGO NORTE                                                                                 </t>
  </si>
  <si>
    <t>40230952984</t>
  </si>
  <si>
    <t xml:space="preserve">MICHAEL ULLOA                                                                                                                                                                                                                                                  </t>
  </si>
  <si>
    <t>4025017783371914</t>
  </si>
  <si>
    <t>05600194947</t>
  </si>
  <si>
    <t xml:space="preserve">FRANCISCO VASQUEZ                                                                                                                                                                                                                                              </t>
  </si>
  <si>
    <t>5188017780046513</t>
  </si>
  <si>
    <t xml:space="preserve">EDIF.  X APTO.  X SECTOR LOS MINA SUR                                                               </t>
  </si>
  <si>
    <t>40209787957</t>
  </si>
  <si>
    <t xml:space="preserve">JHOMARY EUSEBIO                                                                                                                                                                                                                                                </t>
  </si>
  <si>
    <t>5188017779951524</t>
  </si>
  <si>
    <t xml:space="preserve">102 CANCINO ADENTRO                                                                                 </t>
  </si>
  <si>
    <t>40205143668</t>
  </si>
  <si>
    <t xml:space="preserve">ALBERT MOTA                                                                                                                                                                                                                                                    </t>
  </si>
  <si>
    <t>5227017779522619</t>
  </si>
  <si>
    <t>40225083332</t>
  </si>
  <si>
    <t xml:space="preserve">CLAUDETTE VARGAS                                                                                                                                                                                                                                               </t>
  </si>
  <si>
    <t>4025017783803353</t>
  </si>
  <si>
    <t>40233791546</t>
  </si>
  <si>
    <t xml:space="preserve">JUAN ALCANTARA                                                                                                                                                                                                                                                 </t>
  </si>
  <si>
    <t>4921017785313443</t>
  </si>
  <si>
    <t xml:space="preserve">CANCINO II                                                                                          </t>
  </si>
  <si>
    <t>09000194903</t>
  </si>
  <si>
    <t>4921017786356870</t>
  </si>
  <si>
    <t>00107880353</t>
  </si>
  <si>
    <t xml:space="preserve">CELESTE GUERRERO                                                                                                                                                                                                                                               </t>
  </si>
  <si>
    <t>5227017779456325</t>
  </si>
  <si>
    <t>22301794180</t>
  </si>
  <si>
    <t xml:space="preserve">MARIA MONTERO                                                                                                                                                                                                                                                  </t>
  </si>
  <si>
    <t>4025017783434122</t>
  </si>
  <si>
    <t>00115728479</t>
  </si>
  <si>
    <t>4921017780742406</t>
  </si>
  <si>
    <t xml:space="preserve">3RA NO 1                                                                                            </t>
  </si>
  <si>
    <t>40212553438</t>
  </si>
  <si>
    <t xml:space="preserve">LESLY VILLAR                                                                                                                                                                                                                                                   </t>
  </si>
  <si>
    <t>5415017778221731</t>
  </si>
  <si>
    <t>22301110189</t>
  </si>
  <si>
    <t xml:space="preserve">JOSE ENCARNACION                                                                                                                                                                                                                                               </t>
  </si>
  <si>
    <t>4921017781765505</t>
  </si>
  <si>
    <t>40200578355</t>
  </si>
  <si>
    <t xml:space="preserve">GENESIS CRUZ                                                                                                                                                                                                                                                   </t>
  </si>
  <si>
    <t>4921017782749722</t>
  </si>
  <si>
    <t xml:space="preserve">INVISEA CASA NO 1 CALLE B                                                                           </t>
  </si>
  <si>
    <t>40215120599</t>
  </si>
  <si>
    <t xml:space="preserve">ELANNI ROSARIO                                                                                                                                                                                                                                                 </t>
  </si>
  <si>
    <t>4921017782561775</t>
  </si>
  <si>
    <t xml:space="preserve">SAVICA MENDOSA                                                                                      </t>
  </si>
  <si>
    <t>40226339907</t>
  </si>
  <si>
    <t xml:space="preserve">EZEQUIEL SORIANO SANCHEZ                                                                                                                                                                                                                                       </t>
  </si>
  <si>
    <t>4025017783356199</t>
  </si>
  <si>
    <t xml:space="preserve">NO 54 PERLA ANTILLANA                                                                               </t>
  </si>
  <si>
    <t>40239154277</t>
  </si>
  <si>
    <t xml:space="preserve">JORGE MATA                                                                                                                                                                                                                                                     </t>
  </si>
  <si>
    <t>5188017779790508</t>
  </si>
  <si>
    <t xml:space="preserve">SECTOR SAN ISIDRO EL BONITO                                                                         </t>
  </si>
  <si>
    <t>22301448571</t>
  </si>
  <si>
    <t xml:space="preserve">YOVANNY PERALTA P                                                                                                                                                                                                                                              </t>
  </si>
  <si>
    <t>4966017781095780</t>
  </si>
  <si>
    <t xml:space="preserve">C LOS TANQUES                                                                                       </t>
  </si>
  <si>
    <t>22301041038</t>
  </si>
  <si>
    <t xml:space="preserve">JOHANNY URENA                                                                                                                                                                                                                                                  </t>
  </si>
  <si>
    <t>4025017786497412</t>
  </si>
  <si>
    <t xml:space="preserve">RESD EUGENIO MARIA DE HOSTOS, LOS TRINITARIOS                                                       </t>
  </si>
  <si>
    <t>40214882074</t>
  </si>
  <si>
    <t xml:space="preserve">ABRAHALYN PEREZ                                                                                                                                                                                                                                                </t>
  </si>
  <si>
    <t>4921017786037199</t>
  </si>
  <si>
    <t xml:space="preserve">NO 99                                                                                               </t>
  </si>
  <si>
    <t>40226209241</t>
  </si>
  <si>
    <t xml:space="preserve">IRIS CENA                                                                                                                                                                                                                                                      </t>
  </si>
  <si>
    <t>5188017709158040</t>
  </si>
  <si>
    <t>00114119951</t>
  </si>
  <si>
    <t xml:space="preserve">LEONARDO ORTEGA                                                                                                                                                                                                                                                </t>
  </si>
  <si>
    <t>5415017784921206</t>
  </si>
  <si>
    <t>40225442025</t>
  </si>
  <si>
    <t xml:space="preserve">DENIA ROQUE                                                                                                                                                                                                                                                    </t>
  </si>
  <si>
    <t>4921017785842251</t>
  </si>
  <si>
    <t>40223193141</t>
  </si>
  <si>
    <t xml:space="preserve">CARMEN GONZALEZ                                                                                                                                                                                                                                                </t>
  </si>
  <si>
    <t>4921017773091140</t>
  </si>
  <si>
    <t>40227856925</t>
  </si>
  <si>
    <t xml:space="preserve">VICTOR JIMENEZ H                                                                                                                                                                                                                                               </t>
  </si>
  <si>
    <t>4921017782726561</t>
  </si>
  <si>
    <t xml:space="preserve">VERON, PUNTA CANA                                                                                   </t>
  </si>
  <si>
    <t>40232350211</t>
  </si>
  <si>
    <t xml:space="preserve">ALEXIA GARCIA                                                                                                                                                                                                                                                  </t>
  </si>
  <si>
    <t>4921017783098259</t>
  </si>
  <si>
    <t>40214348548</t>
  </si>
  <si>
    <t xml:space="preserve">ANESKA MARRERO                                                                                                                                                                                                                                                 </t>
  </si>
  <si>
    <t>5188017780022330</t>
  </si>
  <si>
    <t>02800537611</t>
  </si>
  <si>
    <t xml:space="preserve">JOANDER MARTINEZ C                                                                                                                                                                                                                                             </t>
  </si>
  <si>
    <t>5188017779913752</t>
  </si>
  <si>
    <t xml:space="preserve">ZONA TURISTICA DE BAVARO/ BLOQUE G08                                                                </t>
  </si>
  <si>
    <t>40209169156</t>
  </si>
  <si>
    <t xml:space="preserve">ALINA CAPELLAN                                                                                                                                                                                                                                                 </t>
  </si>
  <si>
    <t>5188017780050713</t>
  </si>
  <si>
    <t xml:space="preserve">LOS ROSALES CASA NO 30                                                                              </t>
  </si>
  <si>
    <t>40247217991</t>
  </si>
  <si>
    <t xml:space="preserve">MERALY  CUSTODIO                                                                                                                                                                                                                                               </t>
  </si>
  <si>
    <t>4921017783230192</t>
  </si>
  <si>
    <t>40256419025</t>
  </si>
  <si>
    <t xml:space="preserve">SANTO CASTRO                                                                                                                                                                                                                                                   </t>
  </si>
  <si>
    <t>4921017780382174</t>
  </si>
  <si>
    <t>40209108311</t>
  </si>
  <si>
    <t xml:space="preserve">ERICKA GUERRERO                                                                                                                                                                                                                                                </t>
  </si>
  <si>
    <t>4921017783056731</t>
  </si>
  <si>
    <t>40218987556</t>
  </si>
  <si>
    <t xml:space="preserve">JINESKHA FONTANILLAS                                                                                                                                                                                                                                           </t>
  </si>
  <si>
    <t>5415017779024164</t>
  </si>
  <si>
    <t>00400254926</t>
  </si>
  <si>
    <t xml:space="preserve">LUCIA SORIANO                                                                                                                                                                                                                                                  </t>
  </si>
  <si>
    <t>5415017779032831</t>
  </si>
  <si>
    <t>40222956746</t>
  </si>
  <si>
    <t xml:space="preserve">NAWEL GARCIA                                                                                                                                                                                                                                                   </t>
  </si>
  <si>
    <t>4921017782267155</t>
  </si>
  <si>
    <t>02801099132</t>
  </si>
  <si>
    <t xml:space="preserve">ROSA GUILLENT                                                                                                                                                                                                                                                  </t>
  </si>
  <si>
    <t>4921017782364333</t>
  </si>
  <si>
    <t>4921017782986729</t>
  </si>
  <si>
    <t>40225413711</t>
  </si>
  <si>
    <t xml:space="preserve">FAUSTO JIMENEZ                                                                                                                                                                                                                                                 </t>
  </si>
  <si>
    <t>4921017782475395</t>
  </si>
  <si>
    <t>40223976743</t>
  </si>
  <si>
    <t xml:space="preserve">STARLING RIVERA                                                                                                                                                                                                                                                </t>
  </si>
  <si>
    <t>4921017781543503</t>
  </si>
  <si>
    <t>si</t>
  </si>
  <si>
    <t>5427017779561259</t>
  </si>
  <si>
    <t>40208659892</t>
  </si>
  <si>
    <t xml:space="preserve">ADAN BERROA                                                                                                                                                                                                                                                    </t>
  </si>
  <si>
    <t>5188017779961749</t>
  </si>
  <si>
    <t>40200316806</t>
  </si>
  <si>
    <t xml:space="preserve">BRITANIA DE LA CRUZ                                                                                                                                                                                                                                            </t>
  </si>
  <si>
    <t>5227017779449606</t>
  </si>
  <si>
    <t>40215530748</t>
  </si>
  <si>
    <t xml:space="preserve">EDRID MEJIAS                                                                                                                                                                                                                                                   </t>
  </si>
  <si>
    <t>5227017779394963</t>
  </si>
  <si>
    <t>40241753264</t>
  </si>
  <si>
    <t xml:space="preserve">JANSEL BOCIO                                                                                                                                                                                                                                                   </t>
  </si>
  <si>
    <t>5415017778284703</t>
  </si>
  <si>
    <t>02700484252</t>
  </si>
  <si>
    <t xml:space="preserve">MIGUEL BERROA                                                                                                                                                                                                                                                  </t>
  </si>
  <si>
    <t>5188017779927050</t>
  </si>
  <si>
    <t xml:space="preserve">LOS ROSALES                                                                                         </t>
  </si>
  <si>
    <t>40213306901</t>
  </si>
  <si>
    <t xml:space="preserve">JELISSON BATISTA                                                                                                                                                                                                                                               </t>
  </si>
  <si>
    <t>5188017779719157</t>
  </si>
  <si>
    <t xml:space="preserve">NO 50                                                                                               </t>
  </si>
  <si>
    <t>40205151943</t>
  </si>
  <si>
    <t xml:space="preserve">ALEAH LINARES                                                                                                                                                                                                                                                  </t>
  </si>
  <si>
    <t>5192017603415433</t>
  </si>
  <si>
    <t>40221016872</t>
  </si>
  <si>
    <t xml:space="preserve">WADY MARTINEZ                                                                                                                                                                                                                                                  </t>
  </si>
  <si>
    <t>4921017782828586</t>
  </si>
  <si>
    <t xml:space="preserve">ING QUISQUEYA                                                                                       </t>
  </si>
  <si>
    <t>40202720153</t>
  </si>
  <si>
    <t xml:space="preserve">MELANNIE MOTA                                                                                                                                                                                                                                                  </t>
  </si>
  <si>
    <t>5192017780278918</t>
  </si>
  <si>
    <t>40218110399</t>
  </si>
  <si>
    <t xml:space="preserve">SAMUEL TRINIDAD                                                                                                                                                                                                                                                </t>
  </si>
  <si>
    <t>4921017783019715</t>
  </si>
  <si>
    <t>40215031010</t>
  </si>
  <si>
    <t xml:space="preserve">EVONY RAMIREZ                                                                                                                                                                                                                                                  </t>
  </si>
  <si>
    <t>4921017782584929</t>
  </si>
  <si>
    <t xml:space="preserve">LA LOMA                                                                                             </t>
  </si>
  <si>
    <t>40211303983</t>
  </si>
  <si>
    <t xml:space="preserve">ERISON BERAS                                                                                                                                                                                                                                                   </t>
  </si>
  <si>
    <t>4921017780558837</t>
  </si>
  <si>
    <t>40242285290</t>
  </si>
  <si>
    <t>4921017782045905</t>
  </si>
  <si>
    <t xml:space="preserve">EL BRISAL                                                                                           </t>
  </si>
  <si>
    <t>40226504740</t>
  </si>
  <si>
    <t xml:space="preserve">ISRAEL GARCIA                                                                                                                                                                                                                                                  </t>
  </si>
  <si>
    <t>4921017782633118</t>
  </si>
  <si>
    <t>02301222010</t>
  </si>
  <si>
    <t xml:space="preserve">MIGUEL GONZALEZ                                                                                                                                                                                                                                                </t>
  </si>
  <si>
    <t>4921017782755796</t>
  </si>
  <si>
    <t>40258942685</t>
  </si>
  <si>
    <t xml:space="preserve">WANDER THOMAS                                                                                                                                                                                                                                                  </t>
  </si>
  <si>
    <t>4921017780600136</t>
  </si>
  <si>
    <t>40203018920</t>
  </si>
  <si>
    <t xml:space="preserve">JORGE SANTANA                                                                                                                                                                                                                                                  </t>
  </si>
  <si>
    <t>4921017783034288</t>
  </si>
  <si>
    <t>40227661184</t>
  </si>
  <si>
    <t xml:space="preserve">JHANCARLO CASTILLO S                                                                                                                                                                                                                                           </t>
  </si>
  <si>
    <t>4921017780660002</t>
  </si>
  <si>
    <t xml:space="preserve">GUAMITA                                                                                             </t>
  </si>
  <si>
    <t>40228116998</t>
  </si>
  <si>
    <t>4921017782439754</t>
  </si>
  <si>
    <t xml:space="preserve">MUNICIPIO LOS LLANOS                                                                                </t>
  </si>
  <si>
    <t xml:space="preserve">BARRIO SANTA CLARA                                                                                  </t>
  </si>
  <si>
    <t>01200690970</t>
  </si>
  <si>
    <t xml:space="preserve">ANGELICA PERALTA                                                                                                                                                                                                                                               </t>
  </si>
  <si>
    <t>5415017779340409</t>
  </si>
  <si>
    <t xml:space="preserve">ZONA FRANCA INDUSTRIAL                                                                              </t>
  </si>
  <si>
    <t>02301374290</t>
  </si>
  <si>
    <t xml:space="preserve">ANDRESSON CALDERON                                                                                                                                                                                                                                             </t>
  </si>
  <si>
    <t>4921017782251287</t>
  </si>
  <si>
    <t>02301520256</t>
  </si>
  <si>
    <t xml:space="preserve">ANA FERNANDEZ                                                                                                                                                                                                                                                  </t>
  </si>
  <si>
    <t>4921017782421927</t>
  </si>
  <si>
    <t>40215564986</t>
  </si>
  <si>
    <t xml:space="preserve">CAROLINE TORRES                                                                                                                                                                                                                                                </t>
  </si>
  <si>
    <t>4921017780595817</t>
  </si>
  <si>
    <t>40249377967</t>
  </si>
  <si>
    <t xml:space="preserve">CRISLEIDY ACEVEDO                                                                                                                                                                                                                                              </t>
  </si>
  <si>
    <t>4921017783069891</t>
  </si>
  <si>
    <t xml:space="preserve">ENRIQUILLO                                                                                          </t>
  </si>
  <si>
    <t xml:space="preserve">8098489898     </t>
  </si>
  <si>
    <t>40223545753</t>
  </si>
  <si>
    <t xml:space="preserve">JASKAR DE LOS SANTOS                                                                                                                                                                                                                                           </t>
  </si>
  <si>
    <t>4025017783868721</t>
  </si>
  <si>
    <t xml:space="preserve">BARRIO MEXICO 52                                                                                    </t>
  </si>
  <si>
    <t>40228845448</t>
  </si>
  <si>
    <t xml:space="preserve">REYNA VASQUEZ                                                                                                                                                                                                                                                  </t>
  </si>
  <si>
    <t>4025017783667926</t>
  </si>
  <si>
    <t xml:space="preserve">PROX A ROYAL LEVEL                                                                                  </t>
  </si>
  <si>
    <t>40211710211</t>
  </si>
  <si>
    <t xml:space="preserve">LORENZO CUETO                                                                                                                                                                                                                                                  </t>
  </si>
  <si>
    <t>4025017774261478</t>
  </si>
  <si>
    <t>40220200956</t>
  </si>
  <si>
    <t xml:space="preserve">ALLISON CRUZ                                                                                                                                                                                                                                                   </t>
  </si>
  <si>
    <t>5415017696796758</t>
  </si>
  <si>
    <t>22300745274</t>
  </si>
  <si>
    <t xml:space="preserve">YANELA HERNANDEZ                                                                                                                                                                                                                                               </t>
  </si>
  <si>
    <t>4025017767414386</t>
  </si>
  <si>
    <t xml:space="preserve">MANZANA 7 TORRE 7 APT 204                                                                           </t>
  </si>
  <si>
    <t>00112948690</t>
  </si>
  <si>
    <t xml:space="preserve">JOSE ESMURDOC                                                                                                                                                                                                                                                  </t>
  </si>
  <si>
    <t>5523017768193920</t>
  </si>
  <si>
    <t xml:space="preserve">TORRE ACUARRELLA PISO 19 APTO 101                                                                   </t>
  </si>
  <si>
    <t>00111353751</t>
  </si>
  <si>
    <t xml:space="preserve">SUSAN PEREZ POLANCO                                                                                                                                                                                                                                            </t>
  </si>
  <si>
    <t>4173017775412742</t>
  </si>
  <si>
    <t>40238908046</t>
  </si>
  <si>
    <t xml:space="preserve">DIONIRI BASTARDO                                                                                                                                                                                                                                               </t>
  </si>
  <si>
    <t>5188017770122471</t>
  </si>
  <si>
    <t>40228519274</t>
  </si>
  <si>
    <t xml:space="preserve">MARIA VASQUEZ N                                                                                                                                                                                                                                                </t>
  </si>
  <si>
    <t>4025017774362319</t>
  </si>
  <si>
    <t>40237937590</t>
  </si>
  <si>
    <t xml:space="preserve">RUDDY DEL DIAZ                                                                                                                                                                                                                                                 </t>
  </si>
  <si>
    <t>4921017770639343</t>
  </si>
  <si>
    <t xml:space="preserve">BO LA PLAZA                                                                                         </t>
  </si>
  <si>
    <t>40224129177</t>
  </si>
  <si>
    <t xml:space="preserve">NELSON SOSA JAIME                                                                                                                                                                                                                                              </t>
  </si>
  <si>
    <t>5188017770381137</t>
  </si>
  <si>
    <t>02301532673</t>
  </si>
  <si>
    <t xml:space="preserve">JOAN MARTE                                                                                                                                                                                                                                                     </t>
  </si>
  <si>
    <t>5188017768848785</t>
  </si>
  <si>
    <t>40219886237</t>
  </si>
  <si>
    <t xml:space="preserve">HANYELO MARTE                                                                                                                                                                                                                                                  </t>
  </si>
  <si>
    <t>4921017770742331</t>
  </si>
  <si>
    <t>02300720154</t>
  </si>
  <si>
    <t xml:space="preserve">ANA JULIA CIPRIAN                                                                                                                                                                                                                                              </t>
  </si>
  <si>
    <t>4921017771699641</t>
  </si>
  <si>
    <t>02400077679</t>
  </si>
  <si>
    <t xml:space="preserve">OSCAR AQUINO                                                                                                                                                                                                                                                   </t>
  </si>
  <si>
    <t>4966017771377125</t>
  </si>
  <si>
    <t>40211375478</t>
  </si>
  <si>
    <t xml:space="preserve">CHEIMI ARIAS                                                                                                                                                                                                                                                   </t>
  </si>
  <si>
    <t>4921017776370832</t>
  </si>
  <si>
    <t xml:space="preserve">LA PUERTA DE SANTA FE   8094470086                                                                  </t>
  </si>
  <si>
    <t>40209868542</t>
  </si>
  <si>
    <t xml:space="preserve">MARCOS BERROA                                                                                                                                                                                                                                                  </t>
  </si>
  <si>
    <t>5188017776219510</t>
  </si>
  <si>
    <t>40235669021</t>
  </si>
  <si>
    <t xml:space="preserve">YOSELIN VASQUEZ                                                                                                                                                                                                                                                </t>
  </si>
  <si>
    <t>4921017777356942</t>
  </si>
  <si>
    <t>40226634430</t>
  </si>
  <si>
    <t xml:space="preserve">DANELYS BEALY                                                                                                                                                                                                                                                  </t>
  </si>
  <si>
    <t>5415017764834688</t>
  </si>
  <si>
    <t>02301157620</t>
  </si>
  <si>
    <t xml:space="preserve">AROLDO PEREZ                                                                                                                                                                                                                                                   </t>
  </si>
  <si>
    <t>5227017769680548</t>
  </si>
  <si>
    <t>40219898117</t>
  </si>
  <si>
    <t xml:space="preserve">MIGUELAINY VARGAS                                                                                                                                                                                                                                              </t>
  </si>
  <si>
    <t>4921017776339559</t>
  </si>
  <si>
    <t xml:space="preserve">APTO 3                                                                                              </t>
  </si>
  <si>
    <t>40244697807</t>
  </si>
  <si>
    <t xml:space="preserve">SOFIA PINEDA C                                                                                                                                                                                                                                                 </t>
  </si>
  <si>
    <t>4025017777817890</t>
  </si>
  <si>
    <t>02301285744</t>
  </si>
  <si>
    <t xml:space="preserve">ELA ROMULUS R                                                                                                                                                                                                                                                  </t>
  </si>
  <si>
    <t>4921017777195263</t>
  </si>
  <si>
    <t>02800962249</t>
  </si>
  <si>
    <t xml:space="preserve">GIAN CASTILLO C                                                                                                                                                                                                                                                </t>
  </si>
  <si>
    <t>5523017768338545</t>
  </si>
  <si>
    <t xml:space="preserve">CASA NO 38                                                                                          </t>
  </si>
  <si>
    <t>40240868725</t>
  </si>
  <si>
    <t xml:space="preserve">RUBEN GUILAMO                                                                                                                                                                                                                                                  </t>
  </si>
  <si>
    <t>4025017696223791</t>
  </si>
  <si>
    <t>40225926118</t>
  </si>
  <si>
    <t xml:space="preserve">HECTOR CORONADO                                                                                                                                                                                                                                                </t>
  </si>
  <si>
    <t>4921017707478131</t>
  </si>
  <si>
    <t xml:space="preserve">NO 06                                                                                               </t>
  </si>
  <si>
    <t>40221549336</t>
  </si>
  <si>
    <t xml:space="preserve">KENIA SHAUL                                                                                                                                                                                                                                                    </t>
  </si>
  <si>
    <t>5415017653920875</t>
  </si>
  <si>
    <t>02800691400</t>
  </si>
  <si>
    <t xml:space="preserve">INDHIRA CASTILLO                                                                                                                                                                                                                                               </t>
  </si>
  <si>
    <t>5188017770114144</t>
  </si>
  <si>
    <t>40211197757</t>
  </si>
  <si>
    <t xml:space="preserve">YEURI RIJO                                                                                                                                                                                                                                                     </t>
  </si>
  <si>
    <t>4921017772770408</t>
  </si>
  <si>
    <t>40221416221</t>
  </si>
  <si>
    <t xml:space="preserve">JUAN ASTACIO                                                                                                                                                                                                                                                   </t>
  </si>
  <si>
    <t>5188017770005060</t>
  </si>
  <si>
    <t>40241274063</t>
  </si>
  <si>
    <t xml:space="preserve">ALNORD DAVID                                                                                                                                                                                                                                                   </t>
  </si>
  <si>
    <t>4966017771270542</t>
  </si>
  <si>
    <t>02800533628</t>
  </si>
  <si>
    <t xml:space="preserve">RAQUEL ALMONTE                                                                                                                                                                                                                                                 </t>
  </si>
  <si>
    <t>4025017774509306</t>
  </si>
  <si>
    <t xml:space="preserve">FANTINO CENTRO DE LA CIUDAD                                                                         </t>
  </si>
  <si>
    <t>08700178752</t>
  </si>
  <si>
    <t xml:space="preserve">JUAN QUEZADA BRITO                                                                                                                                                                                                                                             </t>
  </si>
  <si>
    <t>4025017774254087</t>
  </si>
  <si>
    <t xml:space="preserve">CHILO POURIET                                                                                       </t>
  </si>
  <si>
    <t>40229017062</t>
  </si>
  <si>
    <t xml:space="preserve">DANIEL BELTRES                                                                                                                                                                                                                                                 </t>
  </si>
  <si>
    <t>4921017771718620</t>
  </si>
  <si>
    <t>02800541415</t>
  </si>
  <si>
    <t xml:space="preserve">PABLO CASTILLO                                                                                                                                                                                                                                                 </t>
  </si>
  <si>
    <t>4921017771751099</t>
  </si>
  <si>
    <t xml:space="preserve">ANYARA MARTINEZ                                                                                                                                                                                                                                                </t>
  </si>
  <si>
    <t>4921017772955972</t>
  </si>
  <si>
    <t>40253078089</t>
  </si>
  <si>
    <t xml:space="preserve">JUAN BERTRAND                                                                                                                                                                                                                                                  </t>
  </si>
  <si>
    <t>5188017776201490</t>
  </si>
  <si>
    <t xml:space="preserve">VILLA ALTAGRACIA                                                                                    </t>
  </si>
  <si>
    <t>40235808967</t>
  </si>
  <si>
    <t xml:space="preserve">LUIS PEREZ MARTINEZ                                                                                                                                                                                                                                            </t>
  </si>
  <si>
    <t>4921017776708396</t>
  </si>
  <si>
    <t xml:space="preserve">KM 6                                                                                                </t>
  </si>
  <si>
    <t>40234910251</t>
  </si>
  <si>
    <t xml:space="preserve">JULIETTE CESPEDES                                                                                                                                                                                                                                              </t>
  </si>
  <si>
    <t>4921017776733998</t>
  </si>
  <si>
    <t>02700466838</t>
  </si>
  <si>
    <t xml:space="preserve">RUBEN ROSARIO                                                                                                                                                                                                                                                  </t>
  </si>
  <si>
    <t>5227017775924521</t>
  </si>
  <si>
    <t>02801005287</t>
  </si>
  <si>
    <t>4741017774983196</t>
  </si>
  <si>
    <t>40227743214</t>
  </si>
  <si>
    <t xml:space="preserve">ROSA BOTELLO                                                                                                                                                                                                                                                   </t>
  </si>
  <si>
    <t>5415017775728560</t>
  </si>
  <si>
    <t>40227894124</t>
  </si>
  <si>
    <t xml:space="preserve">MARY MANACI                                                                                                                                                                                                                                                    </t>
  </si>
  <si>
    <t>4921017777644998</t>
  </si>
  <si>
    <t>40235567746</t>
  </si>
  <si>
    <t xml:space="preserve">YBELISE CARPIO                                                                                                                                                                                                                                                 </t>
  </si>
  <si>
    <t>4966017776491235</t>
  </si>
  <si>
    <t>05601555815</t>
  </si>
  <si>
    <t xml:space="preserve">JUAN GUTIERREZ                                                                                                                                                                                                                                                 </t>
  </si>
  <si>
    <t>4921017777588860</t>
  </si>
  <si>
    <t>00117891283</t>
  </si>
  <si>
    <t xml:space="preserve">LEANDRO MUNOZ                                                                                                                                                                                                                                                  </t>
  </si>
  <si>
    <t>5415017680123515</t>
  </si>
  <si>
    <t>02800767374</t>
  </si>
  <si>
    <t xml:space="preserve">MANUEL SOLER                                                                                                                                                                                                                                                   </t>
  </si>
  <si>
    <t>4921017772809463</t>
  </si>
  <si>
    <t>40241086087</t>
  </si>
  <si>
    <t xml:space="preserve">AMAURIS JOSE                                                                                                                                                                                                                                                   </t>
  </si>
  <si>
    <t>4921017772382440</t>
  </si>
  <si>
    <t xml:space="preserve">HOSPITAL VERON PUNTA CANA                                                                           </t>
  </si>
  <si>
    <t>03104772607</t>
  </si>
  <si>
    <t xml:space="preserve">YOHANIA MARTINEZ                                                                                                                                                                                                                                               </t>
  </si>
  <si>
    <t>4921017772230569</t>
  </si>
  <si>
    <t xml:space="preserve">CARRETERA EROPUERTO SL                                                                              </t>
  </si>
  <si>
    <t>40225770508</t>
  </si>
  <si>
    <t xml:space="preserve">ANGELI SANCHEZ                                                                                                                                                                                                                                                 </t>
  </si>
  <si>
    <t>4921017772566734</t>
  </si>
  <si>
    <t>00119352052</t>
  </si>
  <si>
    <t xml:space="preserve">YOCASTA MONTERO                                                                                                                                                                                                                                                </t>
  </si>
  <si>
    <t>5188017769785501</t>
  </si>
  <si>
    <t>40220884080</t>
  </si>
  <si>
    <t xml:space="preserve">EDUVIRGEN DELGADO                                                                                                                                                                                                                                              </t>
  </si>
  <si>
    <t>5188017769745207</t>
  </si>
  <si>
    <t>02301175119</t>
  </si>
  <si>
    <t xml:space="preserve">REYNALDO OZORIA                                                                                                                                                                                                                                                </t>
  </si>
  <si>
    <t>5415017627283648</t>
  </si>
  <si>
    <t>40236346157</t>
  </si>
  <si>
    <t xml:space="preserve">KAISY RODRIGUEZ                                                                                                                                                                                                                                                </t>
  </si>
  <si>
    <t>5188017655275369</t>
  </si>
  <si>
    <t>02301619868</t>
  </si>
  <si>
    <t xml:space="preserve">DOMINGO BAUTISTA                                                                                                                                                                                                                                               </t>
  </si>
  <si>
    <t>4921017773313265</t>
  </si>
  <si>
    <t xml:space="preserve">URBANIZACION ORIENTAL EDF EL CANGREJO                                                               </t>
  </si>
  <si>
    <t>40219864713</t>
  </si>
  <si>
    <t xml:space="preserve">JOSE VENTURA                                                                                                                                                                                                                                                   </t>
  </si>
  <si>
    <t>5415017768064450</t>
  </si>
  <si>
    <t xml:space="preserve">COLINAS 2                                                                                           </t>
  </si>
  <si>
    <t>40228553596</t>
  </si>
  <si>
    <t xml:space="preserve">TAMAYRI MORILLO                                                                                                                                                                                                                                                </t>
  </si>
  <si>
    <t>4921017772699075</t>
  </si>
  <si>
    <t>02301570780</t>
  </si>
  <si>
    <t xml:space="preserve">YEMELYN SANCHEZ                                                                                                                                                                                                                                                </t>
  </si>
  <si>
    <t>4921017773375200</t>
  </si>
  <si>
    <t xml:space="preserve">CENTRO                                                                                              </t>
  </si>
  <si>
    <t>02301444390</t>
  </si>
  <si>
    <t xml:space="preserve">DIANA DIAZ                                                                                                                                                                                                                                                     </t>
  </si>
  <si>
    <t>5415017769550460</t>
  </si>
  <si>
    <t>02601290543</t>
  </si>
  <si>
    <t xml:space="preserve">LEIDY DE LA CRUZ                                                                                                                                                                                                                                               </t>
  </si>
  <si>
    <t>4025017773927948</t>
  </si>
  <si>
    <t xml:space="preserve">BO LINDO                                                                                            </t>
  </si>
  <si>
    <t>02300961345</t>
  </si>
  <si>
    <t xml:space="preserve">DESIDERIO MARTE                                                                                                                                                                                                                                                </t>
  </si>
  <si>
    <t>4025017774241994</t>
  </si>
  <si>
    <t xml:space="preserve">CALLE PRIMERA NO 4                                                                                  </t>
  </si>
  <si>
    <t>40228550840</t>
  </si>
  <si>
    <t xml:space="preserve">LIZMALLY SANTANA                                                                                                                                                                                                                                               </t>
  </si>
  <si>
    <t>5415017767928273</t>
  </si>
  <si>
    <t>40219033509</t>
  </si>
  <si>
    <t xml:space="preserve">JUAN RIVERA                                                                                                                                                                                                                                                    </t>
  </si>
  <si>
    <t>5188017769880885</t>
  </si>
  <si>
    <t>00110584729</t>
  </si>
  <si>
    <t xml:space="preserve">JUAN CUETO R                                                                                                                                                                                                                                                   </t>
  </si>
  <si>
    <t>5415017769057160</t>
  </si>
  <si>
    <t>14600021894</t>
  </si>
  <si>
    <t xml:space="preserve">ARQUIMEDES RIJO                                                                                                                                                                                                                                                </t>
  </si>
  <si>
    <t>5415017767986285</t>
  </si>
  <si>
    <t>40236319709</t>
  </si>
  <si>
    <t xml:space="preserve">RONNY RODRIGUEZ                                                                                                                                                                                                                                                </t>
  </si>
  <si>
    <t>4921017765869645</t>
  </si>
  <si>
    <t>02801151818</t>
  </si>
  <si>
    <t xml:space="preserve">FRANK MATOS                                                                                                                                                                                                                                                    </t>
  </si>
  <si>
    <t>5415017708560529</t>
  </si>
  <si>
    <t xml:space="preserve">SURTIDORA LA BENDICION                                                                              </t>
  </si>
  <si>
    <t>40238404731</t>
  </si>
  <si>
    <t xml:space="preserve">YULEINI ANDUJAR                                                                                                                                                                                                                                                </t>
  </si>
  <si>
    <t>5415017696882515</t>
  </si>
  <si>
    <t xml:space="preserve">MARTIN NOLASCO MEJIA                                                                                                                                                                                                                                           </t>
  </si>
  <si>
    <t>4921017674586954</t>
  </si>
  <si>
    <t>40227045420</t>
  </si>
  <si>
    <t xml:space="preserve">JHOVANNY SANTANA                                                                                                                                                                                                                                               </t>
  </si>
  <si>
    <t>5188017765447117</t>
  </si>
  <si>
    <t>02801149663</t>
  </si>
  <si>
    <t xml:space="preserve">MARIA GUZMAN CASTILLO                                                                                                                                                                                                                                          </t>
  </si>
  <si>
    <t>5188017770329711</t>
  </si>
  <si>
    <t>00115901522</t>
  </si>
  <si>
    <t xml:space="preserve">CIRILO RODRIGUEZ MOTA                                                                                                                                                                                                                                          </t>
  </si>
  <si>
    <t>4921017770845009</t>
  </si>
  <si>
    <t xml:space="preserve">ESQ. CRUCE DE FRIUSA LOCAL NO. 03                                                                   </t>
  </si>
  <si>
    <t>08700219093</t>
  </si>
  <si>
    <t xml:space="preserve">JESUS CRUZ REYES                                                                                                                                                                                                                                               </t>
  </si>
  <si>
    <t>4966017771339135</t>
  </si>
  <si>
    <t>40213289693</t>
  </si>
  <si>
    <t xml:space="preserve">HILLARY MELO                                                                                                                                                                                                                                                   </t>
  </si>
  <si>
    <t>4921017773838141</t>
  </si>
  <si>
    <t>40237720921</t>
  </si>
  <si>
    <t xml:space="preserve">GILARI PENA                                                                                                                                                                                                                                                    </t>
  </si>
  <si>
    <t>4921017771943634</t>
  </si>
  <si>
    <t>40210502395</t>
  </si>
  <si>
    <t xml:space="preserve">ELIAN JIMENEZ                                                                                                                                                                                                                                                  </t>
  </si>
  <si>
    <t>4921017771986725</t>
  </si>
  <si>
    <t>40213031806</t>
  </si>
  <si>
    <t xml:space="preserve">ELIANNA CEDANO                                                                                                                                                                                                                                                 </t>
  </si>
  <si>
    <t>4921017773110345</t>
  </si>
  <si>
    <t xml:space="preserve">VILAR EDI EDI CENTUR                                                                                </t>
  </si>
  <si>
    <t xml:space="preserve">ENS ALTAGRACIA HERRERA                                                                              </t>
  </si>
  <si>
    <t>03103962308</t>
  </si>
  <si>
    <t xml:space="preserve">YENDY ROSA                                                                                                                                                                                                                                                     </t>
  </si>
  <si>
    <t>4921017771837850</t>
  </si>
  <si>
    <t>40209068127</t>
  </si>
  <si>
    <t xml:space="preserve">KELSY RIVERA                                                                                                                                                                                                                                                   </t>
  </si>
  <si>
    <t>5188017770270766</t>
  </si>
  <si>
    <t>02801054350</t>
  </si>
  <si>
    <t xml:space="preserve">KATHERINE PEREZ                                                                                                                                                                                                                                                </t>
  </si>
  <si>
    <t>5415017767974401</t>
  </si>
  <si>
    <t xml:space="preserve">SECCION SANTANA                                                                                     </t>
  </si>
  <si>
    <t>02800987691</t>
  </si>
  <si>
    <t xml:space="preserve">JENNIFFER CASTILLO                                                                                                                                                                                                                                             </t>
  </si>
  <si>
    <t>4921017773397432</t>
  </si>
  <si>
    <t>40228792400</t>
  </si>
  <si>
    <t xml:space="preserve">NORQUELI MEDINA                                                                                                                                                                                                                                                </t>
  </si>
  <si>
    <t>5227017769658839</t>
  </si>
  <si>
    <t>09600104781</t>
  </si>
  <si>
    <t xml:space="preserve">YSIDRA DE LA CRUZ                                                                                                                                                                                                                                              </t>
  </si>
  <si>
    <t>5415017769169974</t>
  </si>
  <si>
    <t>40228986085</t>
  </si>
  <si>
    <t xml:space="preserve">NICAURIS PINALES D                                                                                                                                                                                                                                             </t>
  </si>
  <si>
    <t>5415017769152992</t>
  </si>
  <si>
    <t>02601175181</t>
  </si>
  <si>
    <t xml:space="preserve">JOSE MARTINEZ                                                                                                                                                                                                                                                  </t>
  </si>
  <si>
    <t>5415017768726194</t>
  </si>
  <si>
    <t>40225097878</t>
  </si>
  <si>
    <t xml:space="preserve">KAREN RIVAS RAMIREZ                                                                                                                                                                                                                                            </t>
  </si>
  <si>
    <t>5415017769178235</t>
  </si>
  <si>
    <t>40221657139</t>
  </si>
  <si>
    <t xml:space="preserve">MARCOS MARTINEZ CASTANOS                                                                                                                                                                                                                                       </t>
  </si>
  <si>
    <t>5415017767915469</t>
  </si>
  <si>
    <t xml:space="preserve">LOS RIOS ANAMUYA                                                                                    </t>
  </si>
  <si>
    <t>40235712169</t>
  </si>
  <si>
    <t xml:space="preserve">CARINA RODRIGUEZ S                                                                                                                                                                                                                                             </t>
  </si>
  <si>
    <t>5188017769941281</t>
  </si>
  <si>
    <t>03105456747</t>
  </si>
  <si>
    <t xml:space="preserve">CARMEN FELIX MORLA                                                                                                                                                                                                                                             </t>
  </si>
  <si>
    <t>5188017769777342</t>
  </si>
  <si>
    <t>40234476923</t>
  </si>
  <si>
    <t xml:space="preserve">DENNISSE CORDERO                                                                                                                                                                                                                                               </t>
  </si>
  <si>
    <t>5188017770216698</t>
  </si>
  <si>
    <t xml:space="preserve">EMPRESA HOSPITEN DOMINICANA                                                                         </t>
  </si>
  <si>
    <t>02800929669</t>
  </si>
  <si>
    <t xml:space="preserve">JOAQUINA PILIER                                                                                                                                                                                                                                                </t>
  </si>
  <si>
    <t>5188017761656249</t>
  </si>
  <si>
    <t>40231565595</t>
  </si>
  <si>
    <t xml:space="preserve">DACHLLA RIVERA                                                                                                                                                                                                                                                 </t>
  </si>
  <si>
    <t>4921017767238916</t>
  </si>
  <si>
    <t>40228413080</t>
  </si>
  <si>
    <t xml:space="preserve">NELSON RODRIGUEZ                                                                                                                                                                                                                                               </t>
  </si>
  <si>
    <t>5188017765135943</t>
  </si>
  <si>
    <t xml:space="preserve">RESIDENCIAL LAS CAYENAS BAVARO NO4                                                                  </t>
  </si>
  <si>
    <t>40225588330</t>
  </si>
  <si>
    <t xml:space="preserve">CARLOS MOREL MARCELO                                                                                                                                                                                                                                           </t>
  </si>
  <si>
    <t>4921017766407288</t>
  </si>
  <si>
    <t>40228393456</t>
  </si>
  <si>
    <t xml:space="preserve">JONATHAN ROSARIO                                                                                                                                                                                                                                               </t>
  </si>
  <si>
    <t>4966017766064912</t>
  </si>
  <si>
    <t>40252684119</t>
  </si>
  <si>
    <t xml:space="preserve">ALBERTO ALVARADO                                                                                                                                                                                                                                               </t>
  </si>
  <si>
    <t>5188017759631849</t>
  </si>
  <si>
    <t xml:space="preserve">PUEBLO BAVARO                                                                                       </t>
  </si>
  <si>
    <t>02800659894</t>
  </si>
  <si>
    <t xml:space="preserve">NECHALIZ BASTARDO                                                                                                                                                                                                                                              </t>
  </si>
  <si>
    <t>5400017765323177</t>
  </si>
  <si>
    <t>02301245789</t>
  </si>
  <si>
    <t xml:space="preserve">ISMARIS CRUEL JIMENEZ                                                                                                                                                                                                                                          </t>
  </si>
  <si>
    <t>5523017763229875</t>
  </si>
  <si>
    <t xml:space="preserve">NO 8                                                                                                </t>
  </si>
  <si>
    <t>02300137185</t>
  </si>
  <si>
    <t xml:space="preserve">LUIS NOVA ROMAN                                                                                                                                                                                                                                                </t>
  </si>
  <si>
    <t>4921017762407985</t>
  </si>
  <si>
    <t>40239399856</t>
  </si>
  <si>
    <t xml:space="preserve">RUPERE FILS                                                                                                                                                                                                                                                    </t>
  </si>
  <si>
    <t>4921017760387226</t>
  </si>
  <si>
    <t>40208774584</t>
  </si>
  <si>
    <t xml:space="preserve">HECTOR SILVESTRE                                                                                                                                                                                                                                               </t>
  </si>
  <si>
    <t>4921017759830839</t>
  </si>
  <si>
    <t xml:space="preserve">BO GUACHUPITA                                                                                       </t>
  </si>
  <si>
    <t>40225831003</t>
  </si>
  <si>
    <t xml:space="preserve">JULIO NIVAL                                                                                                                                                                                                                                                    </t>
  </si>
  <si>
    <t>4921017765806750</t>
  </si>
  <si>
    <t>40237268004</t>
  </si>
  <si>
    <t xml:space="preserve">ERMI RIVERA                                                                                                                                                                                                                                                    </t>
  </si>
  <si>
    <t>4025017761260026</t>
  </si>
  <si>
    <t>02700144773</t>
  </si>
  <si>
    <t xml:space="preserve">ALBERTO ROMERO REYNA                                                                                                                                                                                                                                           </t>
  </si>
  <si>
    <t>4921017760423320</t>
  </si>
  <si>
    <t>40219696131</t>
  </si>
  <si>
    <t xml:space="preserve">RANDIERIS RAMIREZ                                                                                                                                                                                                                                              </t>
  </si>
  <si>
    <t>4921017765791453</t>
  </si>
  <si>
    <t>40236933855</t>
  </si>
  <si>
    <t xml:space="preserve">IZAMARINA PACHECO                                                                                                                                                                                                                                              </t>
  </si>
  <si>
    <t>4025017767424768</t>
  </si>
  <si>
    <t>02301612921</t>
  </si>
  <si>
    <t xml:space="preserve">DANIEL MORETA                                                                                                                                                                                                                                                  </t>
  </si>
  <si>
    <t>5188017765552750</t>
  </si>
  <si>
    <t>40228082612</t>
  </si>
  <si>
    <t xml:space="preserve">ERNESTO VASQUEZ                                                                                                                                                                                                                                                </t>
  </si>
  <si>
    <t>4741017767820135</t>
  </si>
  <si>
    <t>02800775450</t>
  </si>
  <si>
    <t xml:space="preserve">WADDY VILLA                                                                                                                                                                                                                                                    </t>
  </si>
  <si>
    <t>5400017764219509</t>
  </si>
  <si>
    <t>02800935450</t>
  </si>
  <si>
    <t xml:space="preserve">DARITZA GUILAMO                                                                                                                                                                                                                                                </t>
  </si>
  <si>
    <t>4921017763117981</t>
  </si>
  <si>
    <t>02801094513</t>
  </si>
  <si>
    <t xml:space="preserve">BERTHA PINALES C                                                                                                                                                                                                                                               </t>
  </si>
  <si>
    <t>4025017683259931</t>
  </si>
  <si>
    <t>40238877233</t>
  </si>
  <si>
    <t xml:space="preserve">KEVIN ZAUNER                                                                                                                                                                                                                                                   </t>
  </si>
  <si>
    <t>4966017668554774</t>
  </si>
  <si>
    <t>00117976118</t>
  </si>
  <si>
    <t xml:space="preserve">DANNY FERRERAS                                                                                                                                                                                                                                                 </t>
  </si>
  <si>
    <t>4025017679123042</t>
  </si>
  <si>
    <t>40225088752</t>
  </si>
  <si>
    <t xml:space="preserve">JOHNPHI CALDERON                                                                                                                                                                                                                                               </t>
  </si>
  <si>
    <t>4921017765834365</t>
  </si>
  <si>
    <t>40221101757</t>
  </si>
  <si>
    <t xml:space="preserve">ANGEL CEDANO                                                                                                                                                                                                                                                   </t>
  </si>
  <si>
    <t>5415017765055185</t>
  </si>
  <si>
    <t>02800900280</t>
  </si>
  <si>
    <t xml:space="preserve">NURYS TORRES                                                                                                                                                                                                                                                   </t>
  </si>
  <si>
    <t>4921017765945902</t>
  </si>
  <si>
    <t>5415017764849099</t>
  </si>
  <si>
    <t xml:space="preserve">LUISA PERLA                                                                                         </t>
  </si>
  <si>
    <t>40254874015</t>
  </si>
  <si>
    <t xml:space="preserve">ANDERSON RIVERA                                                                                                                                                                                                                                                </t>
  </si>
  <si>
    <t>4025017762704541</t>
  </si>
  <si>
    <t xml:space="preserve">ONEGAS                                                                                              </t>
  </si>
  <si>
    <t>04702152481</t>
  </si>
  <si>
    <t xml:space="preserve">RAMON GARCIA                                                                                                                                                                                                                                                   </t>
  </si>
  <si>
    <t>5549017765301190</t>
  </si>
  <si>
    <t>40211174434</t>
  </si>
  <si>
    <t xml:space="preserve">DANIEL JAVIER                                                                                                                                                                                                                                                  </t>
  </si>
  <si>
    <t>4921017766540746</t>
  </si>
  <si>
    <t>09300350668</t>
  </si>
  <si>
    <t xml:space="preserve">CRISTINA MONTILLA                                                                                                                                                                                                                                              </t>
  </si>
  <si>
    <t>4966017766096326</t>
  </si>
  <si>
    <t>40219298839</t>
  </si>
  <si>
    <t xml:space="preserve">KARLENY PENA G                                                                                                                                                                                                                                                 </t>
  </si>
  <si>
    <t>5188017759650504</t>
  </si>
  <si>
    <t>40211303892</t>
  </si>
  <si>
    <t>4921017760752708</t>
  </si>
  <si>
    <t>40219309750</t>
  </si>
  <si>
    <t xml:space="preserve">SMERLYN JACQUEZ                                                                                                                                                                                                                                                </t>
  </si>
  <si>
    <t>5188017765427468</t>
  </si>
  <si>
    <t>40211500257</t>
  </si>
  <si>
    <t xml:space="preserve">EMELY MORLA CALDERON                                                                                                                                                                                                                                           </t>
  </si>
  <si>
    <t>4921017765815238</t>
  </si>
  <si>
    <t>02800745578</t>
  </si>
  <si>
    <t xml:space="preserve">MANUEL DEL CURA                                                                                                                                                                                                                                                </t>
  </si>
  <si>
    <t>5400017765332966</t>
  </si>
  <si>
    <t>40226654917</t>
  </si>
  <si>
    <t xml:space="preserve">CREYBEL PIERRE                                                                                                                                                                                                                                                 </t>
  </si>
  <si>
    <t>4966017766054372</t>
  </si>
  <si>
    <t>40215778263</t>
  </si>
  <si>
    <t xml:space="preserve">GEMELIN VASQUEZ                                                                                                                                                                                                                                                </t>
  </si>
  <si>
    <t>4921017760391238</t>
  </si>
  <si>
    <t>02900128196</t>
  </si>
  <si>
    <t xml:space="preserve">CECILIA CRUZ PEGUERO                                                                                                                                                                                                                                           </t>
  </si>
  <si>
    <t>5227017759452400</t>
  </si>
  <si>
    <t>40200332803</t>
  </si>
  <si>
    <t xml:space="preserve">YOVANNA CANDELARIO                                                                                                                                                                                                                                             </t>
  </si>
  <si>
    <t>5188017765631031</t>
  </si>
  <si>
    <t>40210950552</t>
  </si>
  <si>
    <t xml:space="preserve">INDY BERRY                                                                                                                                                                                                                                                     </t>
  </si>
  <si>
    <t>5188017759668186</t>
  </si>
  <si>
    <t xml:space="preserve">VILLA VELAZQUEZ                                                                                     </t>
  </si>
  <si>
    <t>40209333703</t>
  </si>
  <si>
    <t xml:space="preserve">CORAL DEL CARMEN                                                                                                                                                                                                                                               </t>
  </si>
  <si>
    <t>5188017759520185</t>
  </si>
  <si>
    <t xml:space="preserve">FENIX                                                                                               </t>
  </si>
  <si>
    <t>40244434565</t>
  </si>
  <si>
    <t xml:space="preserve">JAN DE LOS SANTOS                                                                                                                                                                                                                                              </t>
  </si>
  <si>
    <t>4921017759912015</t>
  </si>
  <si>
    <t>03000050587</t>
  </si>
  <si>
    <t xml:space="preserve">ENMANUEL BELADE                                                                                                                                                                                                                                                </t>
  </si>
  <si>
    <t>4921017760404392</t>
  </si>
  <si>
    <t>40229275769</t>
  </si>
  <si>
    <t xml:space="preserve">VICTOR MANUEL                                                                                                                                                                                                                                                  </t>
  </si>
  <si>
    <t>4921017705887688</t>
  </si>
  <si>
    <t>02800722718</t>
  </si>
  <si>
    <t xml:space="preserve">ISMAEL CASTILLO                                                                                                                                                                                                                                                </t>
  </si>
  <si>
    <t>5227017759420011</t>
  </si>
  <si>
    <t xml:space="preserve">SAJOUR                                                                                              </t>
  </si>
  <si>
    <t>40224923546</t>
  </si>
  <si>
    <t xml:space="preserve">KEYMI ALVAREZ                                                                                                                                                                                                                                                  </t>
  </si>
  <si>
    <t>5400017761777691</t>
  </si>
  <si>
    <t xml:space="preserve">MAMA TINGO                                                                                          </t>
  </si>
  <si>
    <t>02301656688</t>
  </si>
  <si>
    <t xml:space="preserve">ROBERT SABINO                                                                                                                                                                                                                                                  </t>
  </si>
  <si>
    <t>4921017763510678</t>
  </si>
  <si>
    <t xml:space="preserve">LOS SOTO ARRIBA                                                                                     </t>
  </si>
  <si>
    <t>40224868410</t>
  </si>
  <si>
    <t xml:space="preserve">CHANTAL GUERRERO                                                                                                                                                                                                                                               </t>
  </si>
  <si>
    <t>4921017763850222</t>
  </si>
  <si>
    <t xml:space="preserve">APARTAMENTO SIMONA NO 20                                                                            </t>
  </si>
  <si>
    <t>02601349745</t>
  </si>
  <si>
    <t xml:space="preserve">JONATHAN MOTA                                                                                                                                                                                                                                                  </t>
  </si>
  <si>
    <t>5400017615605884</t>
  </si>
  <si>
    <t>40209704606</t>
  </si>
  <si>
    <t xml:space="preserve">DEIMI NUNEZ CARELA                                                                                                                                                                                                                                             </t>
  </si>
  <si>
    <t>4921017757680754</t>
  </si>
  <si>
    <t xml:space="preserve">CUIDAD LAS PALMAS                                                                                   </t>
  </si>
  <si>
    <t>12500017947</t>
  </si>
  <si>
    <t xml:space="preserve">ARQUIMEDES SANTIAGO                                                                                                                                                                                                                                            </t>
  </si>
  <si>
    <t>4921017755287534</t>
  </si>
  <si>
    <t>40219876295</t>
  </si>
  <si>
    <t xml:space="preserve">NAYELI LINARES                                                                                                                                                                                                                                                 </t>
  </si>
  <si>
    <t>4921017756889515</t>
  </si>
  <si>
    <t xml:space="preserve">ENTRADA DE SAN PEDRO DE MACORIS                                                                     </t>
  </si>
  <si>
    <t>02301414872</t>
  </si>
  <si>
    <t xml:space="preserve">LUIS ROBERTO                                                                                                                                                                                                                                                   </t>
  </si>
  <si>
    <t>4025017758369093</t>
  </si>
  <si>
    <t>40223812310</t>
  </si>
  <si>
    <t xml:space="preserve">HENRY FERNANDEZ                                                                                                                                                                                                                                                </t>
  </si>
  <si>
    <t>4921017756592148</t>
  </si>
  <si>
    <t>40247716414</t>
  </si>
  <si>
    <t xml:space="preserve">FRANCISCO DE LA CRUZ                                                                                                                                                                                                                                           </t>
  </si>
  <si>
    <t>4966017755854580</t>
  </si>
  <si>
    <t>02301231953</t>
  </si>
  <si>
    <t xml:space="preserve">PATRICIA ANDUJAR                                                                                                                                                                                                                                               </t>
  </si>
  <si>
    <t>4921017756164449</t>
  </si>
  <si>
    <t xml:space="preserve">VILLA VELASQUEZ                                                                                     </t>
  </si>
  <si>
    <t>02300249881</t>
  </si>
  <si>
    <t xml:space="preserve">ROXANA ACTA SANTANA                                                                                                                                                                                                                                            </t>
  </si>
  <si>
    <t>4025017757879752</t>
  </si>
  <si>
    <t>02301609984</t>
  </si>
  <si>
    <t xml:space="preserve">MARIA ORTIZ                                                                                                                                                                                                                                                    </t>
  </si>
  <si>
    <t>4921017755579425</t>
  </si>
  <si>
    <t>40227452063</t>
  </si>
  <si>
    <t>5415017753888033</t>
  </si>
  <si>
    <t>40214790681</t>
  </si>
  <si>
    <t xml:space="preserve">STARLING GUZMAN                                                                                                                                                                                                                                                </t>
  </si>
  <si>
    <t>5188017755069142</t>
  </si>
  <si>
    <t>02700251180</t>
  </si>
  <si>
    <t xml:space="preserve">IRENE SILVESTRE                                                                                                                                                                                                                                                </t>
  </si>
  <si>
    <t>5188017754723264</t>
  </si>
  <si>
    <t xml:space="preserve">ZONA FRANCA                                                                                         </t>
  </si>
  <si>
    <t>02500502055</t>
  </si>
  <si>
    <t xml:space="preserve">JOSE VILORIO                                                                                                                                                                                                                                                   </t>
  </si>
  <si>
    <t>5188017755005329</t>
  </si>
  <si>
    <t xml:space="preserve">SAN PEDRO DE MACORIS SP DR                                                                          </t>
  </si>
  <si>
    <t>02300896897</t>
  </si>
  <si>
    <t xml:space="preserve">RIZE RODRIGUEZ                                                                                                                                                                                                                                                 </t>
  </si>
  <si>
    <t>4741017758530113</t>
  </si>
  <si>
    <t xml:space="preserve">CONDOMINIO JUAN ARISTIDES  APTO 102B                                                                </t>
  </si>
  <si>
    <t>06900023158</t>
  </si>
  <si>
    <t xml:space="preserve">ALFREDO FELIZ M                                                                                                                                                                                                                                                </t>
  </si>
  <si>
    <t>4921017755674891</t>
  </si>
  <si>
    <t>40231582152</t>
  </si>
  <si>
    <t xml:space="preserve">DAHILY CASTILLO                                                                                                                                                                                                                                                </t>
  </si>
  <si>
    <t>4921017755580862</t>
  </si>
  <si>
    <t xml:space="preserve">PEPE ROSARIO                                                                                        </t>
  </si>
  <si>
    <t>40227470529</t>
  </si>
  <si>
    <t xml:space="preserve">IVAN MERCEDES                                                                                                                                                                                                                                                  </t>
  </si>
  <si>
    <t>5415017753848665</t>
  </si>
  <si>
    <t>02900132446</t>
  </si>
  <si>
    <t xml:space="preserve">SANTOS ECHAVARRIAS B                                                                                                                                                                                                                                           </t>
  </si>
  <si>
    <t>4025017757848448</t>
  </si>
  <si>
    <t>40233860069</t>
  </si>
  <si>
    <t xml:space="preserve">YOELMIS ESPIRITUSANTO                                                                                                                                                                                                                                          </t>
  </si>
  <si>
    <t>4921017756740199</t>
  </si>
  <si>
    <t>00116042631</t>
  </si>
  <si>
    <t xml:space="preserve">YAKAIRA DEL CARMEN                                                                                                                                                                                                                                             </t>
  </si>
  <si>
    <t>4921017757384892</t>
  </si>
  <si>
    <t xml:space="preserve">EL LAURE                                                                                            </t>
  </si>
  <si>
    <t>40224731964</t>
  </si>
  <si>
    <t xml:space="preserve">STARLING MARTINEZ                                                                                                                                                                                                                                              </t>
  </si>
  <si>
    <t>4966017755788676</t>
  </si>
  <si>
    <t>40254804046</t>
  </si>
  <si>
    <t xml:space="preserve">LUIS YAN SANTA                                                                                                                                                                                                                                                 </t>
  </si>
  <si>
    <t>5415017753905879</t>
  </si>
  <si>
    <t xml:space="preserve">APTO JEAN CARLOS                                                                                    </t>
  </si>
  <si>
    <t>02601408574</t>
  </si>
  <si>
    <t xml:space="preserve">JOSE NOEL                                                                                                                                                                                                                                                      </t>
  </si>
  <si>
    <t>4921017755372292</t>
  </si>
  <si>
    <t>02301461733</t>
  </si>
  <si>
    <t xml:space="preserve">DENY ALCANTARA                                                                                                                                                                                                                                                 </t>
  </si>
  <si>
    <t>5227017754415225</t>
  </si>
  <si>
    <t>40209142161</t>
  </si>
  <si>
    <t xml:space="preserve">WENDY TERRERO                                                                                                                                                                                                                                                  </t>
  </si>
  <si>
    <t>5188017754899870</t>
  </si>
  <si>
    <t>40201762818</t>
  </si>
  <si>
    <t xml:space="preserve">RAISA ESPIRITUSANTO                                                                                                                                                                                                                                            </t>
  </si>
  <si>
    <t>5188017754690822</t>
  </si>
  <si>
    <t>02500372657</t>
  </si>
  <si>
    <t xml:space="preserve">YULY NUNEZ                                                                                                                                                                                                                                                     </t>
  </si>
  <si>
    <t>5188017755079754</t>
  </si>
  <si>
    <t xml:space="preserve">ALTO DE FRIUSA                                                                                      </t>
  </si>
  <si>
    <t>40215254687</t>
  </si>
  <si>
    <t xml:space="preserve">MARIA CORDONES                                                                                                                                                                                                                                                 </t>
  </si>
  <si>
    <t>5188017754705417</t>
  </si>
  <si>
    <t>06100292280</t>
  </si>
  <si>
    <t xml:space="preserve">MARLENNY ARVELO                                                                                                                                                                                                                                                </t>
  </si>
  <si>
    <t>5188017755046755</t>
  </si>
  <si>
    <t>03300261751</t>
  </si>
  <si>
    <t xml:space="preserve">JOVANNY MEDINA                                                                                                                                                                                                                                                 </t>
  </si>
  <si>
    <t>5415017753206862</t>
  </si>
  <si>
    <t xml:space="preserve">SECTOR SAN MARTIN                                                                                   </t>
  </si>
  <si>
    <t>40220447466</t>
  </si>
  <si>
    <t xml:space="preserve">ANGEL DE LA CRUZ                                                                                                                                                                                                                                               </t>
  </si>
  <si>
    <t>5415017753820770</t>
  </si>
  <si>
    <t xml:space="preserve">APARTAMENTO FC UNIDAD A6                                                                            </t>
  </si>
  <si>
    <t>22400477612</t>
  </si>
  <si>
    <t xml:space="preserve">NICAURIS POLANCO TERRERO                                                                                                                                                                                                                                       </t>
  </si>
  <si>
    <t>4025017758068014</t>
  </si>
  <si>
    <t xml:space="preserve">FRENTE A CANCHA CENTRAL SANTA FE                                                                    </t>
  </si>
  <si>
    <t>02300486715</t>
  </si>
  <si>
    <t xml:space="preserve">JESUS PEGUERO                                                                                                                                                                                                                                                  </t>
  </si>
  <si>
    <t>4921017751951054</t>
  </si>
  <si>
    <t xml:space="preserve">VILLA CESARINA                                                                                      </t>
  </si>
  <si>
    <t>02301120487</t>
  </si>
  <si>
    <t xml:space="preserve">CLEOTILDE BAEZ                                                                                                                                                                                                                                                 </t>
  </si>
  <si>
    <t>4921017751682864</t>
  </si>
  <si>
    <t xml:space="preserve">SECTOR VILLA FARO                                                                                   </t>
  </si>
  <si>
    <t>01800733360</t>
  </si>
  <si>
    <t xml:space="preserve">ALTAGRACIA RUIZ                                                                                                                                                                                                                                                </t>
  </si>
  <si>
    <t>4921017752408105</t>
  </si>
  <si>
    <t xml:space="preserve">HOTEL CATALONIA HOTELS AND RESORT                                                                   </t>
  </si>
  <si>
    <t xml:space="preserve">CIUDAD CARACOLI                                                                                     </t>
  </si>
  <si>
    <t>00104081310</t>
  </si>
  <si>
    <t xml:space="preserve">CARLOS BEATO                                                                                                                                                                                                                                                   </t>
  </si>
  <si>
    <t>5549017743953145</t>
  </si>
  <si>
    <t>40226279194</t>
  </si>
  <si>
    <t xml:space="preserve">YAMILEX MORALES                                                                                                                                                                                                                                                </t>
  </si>
  <si>
    <t>4921017752462530</t>
  </si>
  <si>
    <t>40238928796</t>
  </si>
  <si>
    <t xml:space="preserve">PELSON SOASO                                                                                                                                                                                                                                                   </t>
  </si>
  <si>
    <t>5415017749764477</t>
  </si>
  <si>
    <t xml:space="preserve">RESIDENCIAL CIUDAD DEL SOL                                                                          </t>
  </si>
  <si>
    <t>00300932746</t>
  </si>
  <si>
    <t xml:space="preserve">EVELYN REYES                                                                                                                                                                                                                                                   </t>
  </si>
  <si>
    <t>4921017752205433</t>
  </si>
  <si>
    <t>40226288138</t>
  </si>
  <si>
    <t>4921017751566601</t>
  </si>
  <si>
    <t>40224294450</t>
  </si>
  <si>
    <t xml:space="preserve">MONTSERRAT ARMENTEROS                                                                                                                                                                                                                                          </t>
  </si>
  <si>
    <t>5188017745138816</t>
  </si>
  <si>
    <t xml:space="preserve">CALLE PRINCIPAL                                                                                     </t>
  </si>
  <si>
    <t xml:space="preserve">EDF 2A APT 3                                                                                        </t>
  </si>
  <si>
    <t>03400232629</t>
  </si>
  <si>
    <t xml:space="preserve">FAUSTO REYES                                                                                                                                                                                                                                                   </t>
  </si>
  <si>
    <t>4741017748826389</t>
  </si>
  <si>
    <t>40214729168</t>
  </si>
  <si>
    <t xml:space="preserve">ANA BASTARDO                                                                                                                                                                                                                                                   </t>
  </si>
  <si>
    <t>4921017751447272</t>
  </si>
  <si>
    <t>09000162835</t>
  </si>
  <si>
    <t xml:space="preserve">ESTELA ELIS PAUL                                                                                                                                                                                                                                               </t>
  </si>
  <si>
    <t>4921017752519910</t>
  </si>
  <si>
    <t>40209626411</t>
  </si>
  <si>
    <t xml:space="preserve">MIGUEL ZORRILLA                                                                                                                                                                                                                                                </t>
  </si>
  <si>
    <t>5415017749799243</t>
  </si>
  <si>
    <t>40221610914</t>
  </si>
  <si>
    <t xml:space="preserve">ROSA DE LA CRUZ                                                                                                                                                                                                                                                </t>
  </si>
  <si>
    <t>5415017749783215</t>
  </si>
  <si>
    <t>40210955148</t>
  </si>
  <si>
    <t xml:space="preserve">ROBERT CASTILLO                                                                                                                                                                                                                                                </t>
  </si>
  <si>
    <t>5415017749404173</t>
  </si>
  <si>
    <t>02500433830</t>
  </si>
  <si>
    <t xml:space="preserve">EVANGELISTA MOTA                                                                                                                                                                                                                                               </t>
  </si>
  <si>
    <t>5415017749863679</t>
  </si>
  <si>
    <t xml:space="preserve">FRENTE A PLAZA EL NARANJO                                                                           </t>
  </si>
  <si>
    <t>40218297964</t>
  </si>
  <si>
    <t xml:space="preserve">BEINY CARPIO                                                                                                                                                                                                                                                   </t>
  </si>
  <si>
    <t>5188017750151157</t>
  </si>
  <si>
    <t>40211436544</t>
  </si>
  <si>
    <t xml:space="preserve">ANYEIRA SANTILLAN                                                                                                                                                                                                                                              </t>
  </si>
  <si>
    <t>5415017749770511</t>
  </si>
  <si>
    <t xml:space="preserve">21 DE ENERO                                                                                         </t>
  </si>
  <si>
    <t>02800809622</t>
  </si>
  <si>
    <t xml:space="preserve">LIGIA PIMENTEL                                                                                                                                                                                                                                                 </t>
  </si>
  <si>
    <t>5415017749374133</t>
  </si>
  <si>
    <t>5400017749922791</t>
  </si>
  <si>
    <t>40209775887</t>
  </si>
  <si>
    <t xml:space="preserve">YARITZA RODRIGUEZ                                                                                                                                                                                                                                              </t>
  </si>
  <si>
    <t>4921017752117946</t>
  </si>
  <si>
    <t xml:space="preserve">CASA NO 16                                                                                          </t>
  </si>
  <si>
    <t>00112084074</t>
  </si>
  <si>
    <t xml:space="preserve">LOUIS SINO                                                                                                                                                                                                                                                     </t>
  </si>
  <si>
    <t>4921017633109645</t>
  </si>
  <si>
    <t xml:space="preserve">CASA 29                                                                                             </t>
  </si>
  <si>
    <t>02800706810</t>
  </si>
  <si>
    <t xml:space="preserve">MARIANO GARCIA                                                                                                                                                                                                                                                 </t>
  </si>
  <si>
    <t>4921017623835891</t>
  </si>
  <si>
    <t>02300644412</t>
  </si>
  <si>
    <t xml:space="preserve">FRANKLIN PENA                                                                                                                                                                                                                                                  </t>
  </si>
  <si>
    <t>5523017743050921</t>
  </si>
  <si>
    <t>13800043450</t>
  </si>
  <si>
    <t xml:space="preserve">CHRISIAN FULGENCIO                                                                                                                                                                                                                                             </t>
  </si>
  <si>
    <t>4555002594828899</t>
  </si>
  <si>
    <t>40222100477</t>
  </si>
  <si>
    <t xml:space="preserve">IRIS ESTEBAN                                                                                                                                                                                                                                                   </t>
  </si>
  <si>
    <t>5549017743996732</t>
  </si>
  <si>
    <t>02300267800</t>
  </si>
  <si>
    <t xml:space="preserve">EDDIE DUVERGE                                                                                                                                                                                                                                                  </t>
  </si>
  <si>
    <t>4741017748598986</t>
  </si>
  <si>
    <t>22700034162</t>
  </si>
  <si>
    <t xml:space="preserve">MIGUEL PEREZ                                                                                                                                                                                                                                                   </t>
  </si>
  <si>
    <t>5188017750287423</t>
  </si>
  <si>
    <t xml:space="preserve">CENTRO DEL PUEBLO                                                                                   </t>
  </si>
  <si>
    <t>40221979186</t>
  </si>
  <si>
    <t xml:space="preserve">PEDRO ZORRILLA GIL                                                                                                                                                                                                                                             </t>
  </si>
  <si>
    <t>4921017750805420</t>
  </si>
  <si>
    <t>40231326949</t>
  </si>
  <si>
    <t xml:space="preserve">JEREMY DE LOS SANTOS                                                                                                                                                                                                                                           </t>
  </si>
  <si>
    <t>5188017750455236</t>
  </si>
  <si>
    <t>40219594377</t>
  </si>
  <si>
    <t xml:space="preserve">IGNACIO DIAZ                                                                                                                                                                                                                                                   </t>
  </si>
  <si>
    <t>5188017750551109</t>
  </si>
  <si>
    <t>02400265795</t>
  </si>
  <si>
    <t xml:space="preserve">MANUEL RINCON                                                                                                                                                                                                                                                  </t>
  </si>
  <si>
    <t>4966017750960399</t>
  </si>
  <si>
    <t>40241519541</t>
  </si>
  <si>
    <t xml:space="preserve">JEREMIA CASTRO                                                                                                                                                                                                                                                 </t>
  </si>
  <si>
    <t>4921017751538714</t>
  </si>
  <si>
    <t xml:space="preserve">BON KENNEDY                                                                                         </t>
  </si>
  <si>
    <t>40210143158</t>
  </si>
  <si>
    <t xml:space="preserve">SMERLIN SABINO                                                                                                                                                                                                                                                 </t>
  </si>
  <si>
    <t>4921017751642001</t>
  </si>
  <si>
    <t>40238565515</t>
  </si>
  <si>
    <t xml:space="preserve">ESTARLIN FELICIANO                                                                                                                                                                                                                                             </t>
  </si>
  <si>
    <t>4921017750812255</t>
  </si>
  <si>
    <t>02301114175</t>
  </si>
  <si>
    <t xml:space="preserve">MARELY BERAS                                                                                                                                                                                                                                                   </t>
  </si>
  <si>
    <t>4921017747418762</t>
  </si>
  <si>
    <t>40213313303</t>
  </si>
  <si>
    <t xml:space="preserve">CHARIBEL OZORIA                                                                                                                                                                                                                                                </t>
  </si>
  <si>
    <t>4966017745780367</t>
  </si>
  <si>
    <t xml:space="preserve">JUAN DOLIO                                                                                          </t>
  </si>
  <si>
    <t>13800015854</t>
  </si>
  <si>
    <t xml:space="preserve">ANA SANTANA                                                                                                                                                                                                                                                    </t>
  </si>
  <si>
    <t>5227017744361092</t>
  </si>
  <si>
    <t xml:space="preserve">VILLA MUNICIPAL                                                                                     </t>
  </si>
  <si>
    <t>40238619767</t>
  </si>
  <si>
    <t xml:space="preserve">FRANCIS REYES                                                                                                                                                                                                                                                  </t>
  </si>
  <si>
    <t>5415017743629983</t>
  </si>
  <si>
    <t>40228526881</t>
  </si>
  <si>
    <t xml:space="preserve">JAZMIN SANTANA                                                                                                                                                                                                                                                 </t>
  </si>
  <si>
    <t>4921017745461090</t>
  </si>
  <si>
    <t>12300170599</t>
  </si>
  <si>
    <t xml:space="preserve">JESUS JAVIER                                                                                                                                                                                                                                                   </t>
  </si>
  <si>
    <t>4921017747939758</t>
  </si>
  <si>
    <t>40227640733</t>
  </si>
  <si>
    <t xml:space="preserve">NELSON FRANCISCO                                                                                                                                                                                                                                               </t>
  </si>
  <si>
    <t>5415017743752491</t>
  </si>
  <si>
    <t xml:space="preserve"> BULERVAR TURISTICO DEL ESTE PUNTA CANA                                                             </t>
  </si>
  <si>
    <t>40241645882</t>
  </si>
  <si>
    <t xml:space="preserve">LAUDY GORIS                                                                                                                                                                                                                                                    </t>
  </si>
  <si>
    <t>4025017748308434</t>
  </si>
  <si>
    <t>40248973428</t>
  </si>
  <si>
    <t xml:space="preserve">MIGUEL MARTES                                                                                                                                                                                                                                                  </t>
  </si>
  <si>
    <t>5188017744967758</t>
  </si>
  <si>
    <t>08200016148</t>
  </si>
  <si>
    <t xml:space="preserve">ANDREA VALOY                                                                                                                                                                                                                                                   </t>
  </si>
  <si>
    <t>5400017673110380</t>
  </si>
  <si>
    <t>00116822818</t>
  </si>
  <si>
    <t xml:space="preserve">MIGUEL SIMO                                                                                                                                                                                                                                                    </t>
  </si>
  <si>
    <t>5415017697365724</t>
  </si>
  <si>
    <t>02301663213</t>
  </si>
  <si>
    <t xml:space="preserve">KELVIN FRANCO                                                                                                                                                                                                                                                  </t>
  </si>
  <si>
    <t>4921017746792710</t>
  </si>
  <si>
    <t>02300253792</t>
  </si>
  <si>
    <t xml:space="preserve">DAMARIS MARTINE                                                                                                                                                                                                                                                </t>
  </si>
  <si>
    <t>4921017747316088</t>
  </si>
  <si>
    <t xml:space="preserve">BARRIO 24 DE ABRIL                                                                                  </t>
  </si>
  <si>
    <t>02400191983</t>
  </si>
  <si>
    <t xml:space="preserve">DOMINGA VASQUEZ T                                                                                                                                                                                                                                              </t>
  </si>
  <si>
    <t>4921017746916946</t>
  </si>
  <si>
    <t xml:space="preserve">ENRIQULLO                                                                                           </t>
  </si>
  <si>
    <t>02301245912</t>
  </si>
  <si>
    <t xml:space="preserve">MARY FIGUEREO                                                                                                                                                                                                                                                  </t>
  </si>
  <si>
    <t>4921017747944922</t>
  </si>
  <si>
    <t>40225339999</t>
  </si>
  <si>
    <t xml:space="preserve">GERLINA MORALES ARIAS                                                                                                                                                                                                                                          </t>
  </si>
  <si>
    <t>4921017746669114</t>
  </si>
  <si>
    <t xml:space="preserve">SECTOR KENNEDY                                                                                      </t>
  </si>
  <si>
    <t>02301237182</t>
  </si>
  <si>
    <t xml:space="preserve">ALINE KUNHARDT                                                                                                                                                                                                                                                 </t>
  </si>
  <si>
    <t>4025017748433467</t>
  </si>
  <si>
    <t>02301308710</t>
  </si>
  <si>
    <t xml:space="preserve">VICTOR PEGUERO                                                                                                                                                                                                                                                 </t>
  </si>
  <si>
    <t>4921017711303699</t>
  </si>
  <si>
    <t>4966017711588162</t>
  </si>
  <si>
    <t xml:space="preserve">RECIDENCIAL LUISA PERLA                                                                             </t>
  </si>
  <si>
    <t>02800873198</t>
  </si>
  <si>
    <t xml:space="preserve">ROSEMARY CARPIO                                                                                                                                                                                                                                                </t>
  </si>
  <si>
    <t>4921017747397658</t>
  </si>
  <si>
    <t>02801096781</t>
  </si>
  <si>
    <t xml:space="preserve">KELIN VILLA ROSARIO                                                                                                                                                                                                                                            </t>
  </si>
  <si>
    <t>5188017743519226</t>
  </si>
  <si>
    <t>40204503813</t>
  </si>
  <si>
    <t xml:space="preserve">DIANELIS FRANCO                                                                                                                                                                                                                                                </t>
  </si>
  <si>
    <t>5188017745009867</t>
  </si>
  <si>
    <t>40202321127</t>
  </si>
  <si>
    <t xml:space="preserve">SCARLEN RODRIGUEZ                                                                                                                                                                                                                                              </t>
  </si>
  <si>
    <t>5415017742679379</t>
  </si>
  <si>
    <t xml:space="preserve">SAN FCO APTO OTILIO                                                                                 </t>
  </si>
  <si>
    <t>5415017743349246</t>
  </si>
  <si>
    <t>40233929252</t>
  </si>
  <si>
    <t xml:space="preserve">WILFREDO ALMANZAR                                                                                                                                                                                                                                              </t>
  </si>
  <si>
    <t>5188017744627432</t>
  </si>
  <si>
    <t>02800815017</t>
  </si>
  <si>
    <t xml:space="preserve">MANUEL CEDENO                                                                                                                                                                                                                                                  </t>
  </si>
  <si>
    <t>5415017742447264</t>
  </si>
  <si>
    <t>02801059391</t>
  </si>
  <si>
    <t xml:space="preserve">CAROLIN SORIANO                                                                                                                                                                                                                                                </t>
  </si>
  <si>
    <t>5188017745089015</t>
  </si>
  <si>
    <t>40225145032</t>
  </si>
  <si>
    <t xml:space="preserve">GEYSER NUNEZ                                                                                                                                                                                                                                                   </t>
  </si>
  <si>
    <t>5188017745094894</t>
  </si>
  <si>
    <t>40210511826</t>
  </si>
  <si>
    <t xml:space="preserve">FRANCIS DIVISON                                                                                                                                                                                                                                                </t>
  </si>
  <si>
    <t>5415017743350741</t>
  </si>
  <si>
    <t xml:space="preserve">AL LADO DEL AEROPUERTO                                                                              </t>
  </si>
  <si>
    <t>40211728593</t>
  </si>
  <si>
    <t xml:space="preserve">CRISMEIRY SANTANA S                                                                                                                                                                                                                                            </t>
  </si>
  <si>
    <t>5415017743741470</t>
  </si>
  <si>
    <t>40222777142</t>
  </si>
  <si>
    <t xml:space="preserve">MIGUEL BAEZ                                                                                                                                                                                                                                                    </t>
  </si>
  <si>
    <t>5415017382175297</t>
  </si>
  <si>
    <t xml:space="preserve">LOCAL 201 2DO PISO BAVARO                                                                           </t>
  </si>
  <si>
    <t>40215773447</t>
  </si>
  <si>
    <t xml:space="preserve">RAUL FIGUEREO                                                                                                                                                                                                                                                  </t>
  </si>
  <si>
    <t>4921017741426583</t>
  </si>
  <si>
    <t xml:space="preserve">VERON PUNTA CANA BAVARO                                                                             </t>
  </si>
  <si>
    <t>02500380460</t>
  </si>
  <si>
    <t xml:space="preserve">MARIA PEGUERO                                                                                                                                                                                                                                                  </t>
  </si>
  <si>
    <t>5415017739150814</t>
  </si>
  <si>
    <t>40246082701</t>
  </si>
  <si>
    <t xml:space="preserve">ROSAURA NUNEZ                                                                                                                                                                                                                                                  </t>
  </si>
  <si>
    <t>5227017739825815</t>
  </si>
  <si>
    <t>5427017370463240</t>
  </si>
  <si>
    <t>40219268865</t>
  </si>
  <si>
    <t xml:space="preserve">MADELIN ESMERA                                                                                                                                                                                                                                                 </t>
  </si>
  <si>
    <t>4921017741694259</t>
  </si>
  <si>
    <t xml:space="preserve">LOS JARDINES                                                                                        </t>
  </si>
  <si>
    <t xml:space="preserve">BARRIO LAS PIEDRAS SECTOR MIRAMAR                                                                   </t>
  </si>
  <si>
    <t>02301482937</t>
  </si>
  <si>
    <t xml:space="preserve">AMPARO URIBE                                                                                                                                                                                                                                                   </t>
  </si>
  <si>
    <t>4921017741381984</t>
  </si>
  <si>
    <t>02301245359</t>
  </si>
  <si>
    <t xml:space="preserve">YAJAIRA SANTANA                                                                                                                                                                                                                                                </t>
  </si>
  <si>
    <t>4966017622151388</t>
  </si>
  <si>
    <t>40211682089</t>
  </si>
  <si>
    <t xml:space="preserve">EDWIN PEREZ                                                                                                                                                                                                                                                    </t>
  </si>
  <si>
    <t>4921017735571694</t>
  </si>
  <si>
    <t xml:space="preserve">M134189    </t>
  </si>
  <si>
    <t xml:space="preserve">JOSE TAMAYO GARCIA                                                                                                                                                                                                                                             </t>
  </si>
  <si>
    <t>4025017737947218</t>
  </si>
  <si>
    <t>40235937840</t>
  </si>
  <si>
    <t xml:space="preserve">YEIFRI SORIANO                                                                                                                                                                                                                                                 </t>
  </si>
  <si>
    <t>4025017738043136</t>
  </si>
  <si>
    <t>02301302606</t>
  </si>
  <si>
    <t xml:space="preserve">LEIDY ROMERO                                                                                                                                                                                                                                                   </t>
  </si>
  <si>
    <t>4741017742401601</t>
  </si>
  <si>
    <t xml:space="preserve">EL SILENCIO                                                                                         </t>
  </si>
  <si>
    <t>40249335908</t>
  </si>
  <si>
    <t xml:space="preserve">NORBERTO ROSARIO                                                                                                                                                                                                                                               </t>
  </si>
  <si>
    <t>5415017739618937</t>
  </si>
  <si>
    <t xml:space="preserve">LINDO                                                                                               </t>
  </si>
  <si>
    <t>40228537409</t>
  </si>
  <si>
    <t xml:space="preserve">FRAILIN RAVELO                                                                                                                                                                                                                                                 </t>
  </si>
  <si>
    <t>5415017739593235</t>
  </si>
  <si>
    <t>40241367834</t>
  </si>
  <si>
    <t xml:space="preserve">YOLANDA YAMBATIS                                                                                                                                                                                                                                               </t>
  </si>
  <si>
    <t>4921017741891264</t>
  </si>
  <si>
    <t>40232802070</t>
  </si>
  <si>
    <t xml:space="preserve">GREYVI HERNANDEZ                                                                                                                                                                                                                                               </t>
  </si>
  <si>
    <t>5188017740115666</t>
  </si>
  <si>
    <t xml:space="preserve">LA UVA TERCERA                                                                                      </t>
  </si>
  <si>
    <t>02301529117</t>
  </si>
  <si>
    <t xml:space="preserve">DAYANNI PEREZ                                                                                                                                                                                                                                                  </t>
  </si>
  <si>
    <t>5415017739600481</t>
  </si>
  <si>
    <t>02800707032</t>
  </si>
  <si>
    <t xml:space="preserve">MARIANA AVILA                                                                                                                                                                                                                                                  </t>
  </si>
  <si>
    <t>5400017733346571</t>
  </si>
  <si>
    <t>40243164957</t>
  </si>
  <si>
    <t xml:space="preserve">ANYELO PEREZ                                                                                                                                                                                                                                                   </t>
  </si>
  <si>
    <t>5188017734018443</t>
  </si>
  <si>
    <t>40242652622</t>
  </si>
  <si>
    <t xml:space="preserve">BRYAN DIAZ                                                                                                                                                                                                                                                     </t>
  </si>
  <si>
    <t>5415017732852150</t>
  </si>
  <si>
    <t>40226713515</t>
  </si>
  <si>
    <t xml:space="preserve">RANDY MARTINEZ                                                                                                                                                                                                                                                 </t>
  </si>
  <si>
    <t>4966017735056029</t>
  </si>
  <si>
    <t xml:space="preserve">LAS LAGUNAS DE NISIBON                                                                              </t>
  </si>
  <si>
    <t>40246368712</t>
  </si>
  <si>
    <t xml:space="preserve">WILDA JOSE                                                                                                                                                                                                                                                     </t>
  </si>
  <si>
    <t>5188017732699651</t>
  </si>
  <si>
    <t>02801113826</t>
  </si>
  <si>
    <t xml:space="preserve">YERALDIN PICHARDO                                                                                                                                                                                                                                              </t>
  </si>
  <si>
    <t>4921017741327840</t>
  </si>
  <si>
    <t>40224298477</t>
  </si>
  <si>
    <t xml:space="preserve">VANESSA DE LOS SANTOS                                                                                                                                                                                                                                          </t>
  </si>
  <si>
    <t>5188017740187560</t>
  </si>
  <si>
    <t>02800150266</t>
  </si>
  <si>
    <t xml:space="preserve">DANIEL REYES                                                                                                                                                                                                                                                   </t>
  </si>
  <si>
    <t>5227017739903237</t>
  </si>
  <si>
    <t>PORCENTAJES</t>
  </si>
  <si>
    <t>40208744710</t>
  </si>
  <si>
    <t xml:space="preserve">ELIZABETH RAMOS C                                                                                                                                                                                                                                              </t>
  </si>
  <si>
    <t>5188017740242027</t>
  </si>
  <si>
    <t xml:space="preserve">ZONAS REMOTAS </t>
  </si>
  <si>
    <t>40234275200</t>
  </si>
  <si>
    <t xml:space="preserve">ELLUYS BRITO                                                                                                                                                                                                                                                   </t>
  </si>
  <si>
    <t>5227017739944577</t>
  </si>
  <si>
    <t>40234276836</t>
  </si>
  <si>
    <t xml:space="preserve">FELIX MERCEDES                                                                                                                                                                                                                                                 </t>
  </si>
  <si>
    <t>4966017740757147</t>
  </si>
  <si>
    <t xml:space="preserve"> </t>
  </si>
  <si>
    <t>PORCENTAJES DE RETORNO</t>
  </si>
  <si>
    <t xml:space="preserve">VILLA LA FE                                                                                         </t>
  </si>
  <si>
    <t>TOTAL DESPACHADAS</t>
  </si>
  <si>
    <t>40211362542</t>
  </si>
  <si>
    <t xml:space="preserve">MAYERLIN SANTANA                                                                                                                                                                                                                                               </t>
  </si>
  <si>
    <t>4921017741445072</t>
  </si>
  <si>
    <t xml:space="preserve">    </t>
  </si>
  <si>
    <t>TRANSITO</t>
  </si>
  <si>
    <t xml:space="preserve">ENTREGAS DIGITALES </t>
  </si>
  <si>
    <t xml:space="preserve">CASA NO 83 2DO NIVEL                                                                                </t>
  </si>
  <si>
    <t>5415017732525357</t>
  </si>
  <si>
    <t>RETORNADAS</t>
  </si>
  <si>
    <t>02800685758</t>
  </si>
  <si>
    <t xml:space="preserve">LEISTON LACHE                                                                                                                                                                                                                                                  </t>
  </si>
  <si>
    <t>4921017736224307</t>
  </si>
  <si>
    <t>ENTREGADAS</t>
  </si>
  <si>
    <t>5415017739475567</t>
  </si>
  <si>
    <t>MONTO</t>
  </si>
  <si>
    <t>TOTAL</t>
  </si>
  <si>
    <t>ZONA METRO</t>
  </si>
  <si>
    <t>SAN PEDRO</t>
  </si>
  <si>
    <t>ESTATUS</t>
  </si>
  <si>
    <t>02800609188</t>
  </si>
  <si>
    <t xml:space="preserve">RAFAELA HERNANDEZ                                                                                                                                                                                                                                              </t>
  </si>
  <si>
    <t>4921017737293155</t>
  </si>
  <si>
    <t>PORCENTAJE Y EFECTIVIDAD</t>
  </si>
  <si>
    <t>02601191816</t>
  </si>
  <si>
    <t xml:space="preserve">MARIDALIA PEREZ                                                                                                                                                                                                                                                </t>
  </si>
  <si>
    <t>4741017742295465</t>
  </si>
  <si>
    <t>OBSERVACION_MBE</t>
  </si>
  <si>
    <t>CANT_MATCHES</t>
  </si>
  <si>
    <t>COMENTARIO_EYR</t>
  </si>
  <si>
    <t>STATUS_MATCH_EYR</t>
  </si>
  <si>
    <t>CLAVE_MBE</t>
  </si>
  <si>
    <t>ESTATUS MBE ORIGINAL</t>
  </si>
  <si>
    <t>CLAVE</t>
  </si>
  <si>
    <t>COMENTARIOS</t>
  </si>
  <si>
    <t xml:space="preserve">ESTATUS MBE </t>
  </si>
  <si>
    <t>Tiempo SLA</t>
  </si>
  <si>
    <t>ADICIONAL</t>
  </si>
  <si>
    <t>REMOTA</t>
  </si>
  <si>
    <t>Telefono</t>
  </si>
  <si>
    <t>Direccion</t>
  </si>
  <si>
    <t>Provincia</t>
  </si>
  <si>
    <t>Zona</t>
  </si>
  <si>
    <t>Cedula</t>
  </si>
  <si>
    <t>Nombre Cliente</t>
  </si>
  <si>
    <t>Numero Tarjeta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</si>
</sst>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rgb="FFFFFFFF"/>
      <name val="Calibri"/>
    </font>
    <font>
      <b/>
      <sz val="14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56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right"/>
    </xf>
    <xf numFmtId="49" fontId="1" fillId="0" borderId="1" xfId="0" applyNumberFormat="1" applyFont="1" applyBorder="1"/>
    <xf numFmtId="164" fontId="0" fillId="0" borderId="0" xfId="0" applyNumberFormat="1" applyAlignment="1">
      <alignment horizontal="center" vertical="center"/>
    </xf>
    <xf numFmtId="49" fontId="0" fillId="0" borderId="2" xfId="0" applyNumberFormat="1" applyBorder="1"/>
    <xf numFmtId="0" fontId="0" fillId="2" borderId="0" xfId="0" applyFill="1"/>
    <xf numFmtId="49" fontId="0" fillId="0" borderId="0" xfId="0" applyNumberFormat="1"/>
    <xf numFmtId="0" fontId="0" fillId="0" borderId="3" xfId="0" applyBorder="1" applyAlignment="1">
      <alignment horizontal="left" vertical="center"/>
    </xf>
    <xf numFmtId="0" fontId="0" fillId="0" borderId="3" xfId="0" applyBorder="1"/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49" fontId="0" fillId="0" borderId="0" xfId="0" applyNumberFormat="1" applyAlignment="1">
      <alignment horizontal="left"/>
    </xf>
    <xf numFmtId="9" fontId="0" fillId="0" borderId="4" xfId="1" applyFont="1" applyBorder="1"/>
    <xf numFmtId="0" fontId="0" fillId="0" borderId="4" xfId="0" applyBorder="1"/>
    <xf numFmtId="0" fontId="0" fillId="3" borderId="4" xfId="0" applyFill="1" applyBorder="1"/>
    <xf numFmtId="0" fontId="0" fillId="4" borderId="4" xfId="0" applyFill="1" applyBorder="1"/>
    <xf numFmtId="0" fontId="0" fillId="5" borderId="4" xfId="0" applyFill="1" applyBorder="1"/>
    <xf numFmtId="0" fontId="0" fillId="6" borderId="4" xfId="0" applyFill="1" applyBorder="1"/>
    <xf numFmtId="0" fontId="0" fillId="7" borderId="4" xfId="0" applyFill="1" applyBorder="1"/>
    <xf numFmtId="0" fontId="0" fillId="8" borderId="4" xfId="0" applyFill="1" applyBorder="1"/>
    <xf numFmtId="0" fontId="2" fillId="9" borderId="5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4" xfId="0" applyBorder="1" applyAlignment="1">
      <alignment horizontal="center"/>
    </xf>
    <xf numFmtId="0" fontId="3" fillId="10" borderId="0" xfId="0" applyFont="1" applyFill="1"/>
    <xf numFmtId="0" fontId="4" fillId="11" borderId="0" xfId="0" applyFont="1" applyFill="1" applyAlignment="1">
      <alignment horizontal="center" vertical="center" wrapText="1"/>
    </xf>
    <xf numFmtId="0" fontId="3" fillId="0" borderId="0" xfId="0" applyFont="1"/>
    <xf numFmtId="0" fontId="5" fillId="10" borderId="7" xfId="0" applyFont="1" applyFill="1" applyBorder="1" applyAlignment="1">
      <alignment horizontal="left" vertical="center"/>
    </xf>
    <xf numFmtId="0" fontId="5" fillId="10" borderId="7" xfId="0" applyFont="1" applyFill="1" applyBorder="1" applyAlignment="1">
      <alignment horizontal="center" vertical="center"/>
    </xf>
    <xf numFmtId="49" fontId="5" fillId="10" borderId="7" xfId="0" applyNumberFormat="1" applyFont="1" applyFill="1" applyBorder="1" applyAlignment="1">
      <alignment horizontal="right" vertical="center"/>
    </xf>
    <xf numFmtId="49" fontId="5" fillId="10" borderId="7" xfId="0" applyNumberFormat="1" applyFont="1" applyFill="1" applyBorder="1" applyAlignment="1">
      <alignment horizontal="left" vertical="center"/>
    </xf>
  </cellXfs>
  <cellStyles count="2">
    <cellStyle name="Normal" xfId="0" builtinId="0"/>
    <cellStyle name="Percent 2" xfId="1" xr:uid="{A1B1F221-5F6C-4129-B270-EAAA1200F1D5}"/>
  </cellStyles>
  <dxfs count="53">
    <dxf>
      <fill>
        <patternFill patternType="solid">
          <fgColor rgb="FFFFF2CC"/>
        </patternFill>
      </fill>
    </dxf>
    <dxf>
      <fill>
        <patternFill patternType="solid">
          <fgColor rgb="FFD9EAD3"/>
        </patternFill>
      </fill>
    </dxf>
    <dxf>
      <font>
        <b/>
      </font>
      <fill>
        <patternFill>
          <bgColor rgb="FF00B050"/>
        </patternFill>
      </fill>
    </dxf>
    <dxf>
      <font>
        <b/>
      </font>
      <fill>
        <patternFill>
          <bgColor rgb="FF0070C0"/>
        </patternFill>
      </fill>
    </dxf>
    <dxf>
      <font>
        <b/>
      </font>
      <fill>
        <patternFill>
          <bgColor rgb="FF9148C8"/>
        </patternFill>
      </fill>
    </dxf>
    <dxf>
      <font>
        <b/>
      </font>
      <fill>
        <patternFill>
          <bgColor rgb="FF00B050"/>
        </patternFill>
      </fill>
    </dxf>
    <dxf>
      <font>
        <b/>
      </font>
      <fill>
        <patternFill>
          <bgColor rgb="FF0070C0"/>
        </patternFill>
      </fill>
    </dxf>
    <dxf>
      <font>
        <b/>
      </font>
      <fill>
        <patternFill>
          <bgColor rgb="FF9148C8"/>
        </patternFill>
      </fill>
    </dxf>
    <dxf>
      <font>
        <b/>
      </font>
      <fill>
        <patternFill>
          <bgColor rgb="FF00B050"/>
        </patternFill>
      </fill>
    </dxf>
    <dxf>
      <font>
        <b/>
      </font>
      <fill>
        <patternFill>
          <bgColor rgb="FF0070C0"/>
        </patternFill>
      </fill>
    </dxf>
    <dxf>
      <font>
        <b/>
      </font>
      <fill>
        <patternFill>
          <bgColor rgb="FF9148C8"/>
        </patternFill>
      </fill>
    </dxf>
    <dxf>
      <font>
        <b/>
      </font>
      <fill>
        <patternFill>
          <bgColor rgb="FF00B050"/>
        </patternFill>
      </fill>
    </dxf>
    <dxf>
      <font>
        <b/>
      </font>
      <fill>
        <patternFill>
          <bgColor rgb="FF0070C0"/>
        </patternFill>
      </fill>
    </dxf>
    <dxf>
      <font>
        <b/>
      </font>
      <fill>
        <patternFill>
          <bgColor rgb="FF9148C8"/>
        </patternFill>
      </fill>
    </dxf>
    <dxf>
      <font>
        <b/>
      </font>
      <fill>
        <patternFill>
          <bgColor rgb="FF00B050"/>
        </patternFill>
      </fill>
    </dxf>
    <dxf>
      <font>
        <b/>
      </font>
      <fill>
        <patternFill>
          <bgColor rgb="FF0070C0"/>
        </patternFill>
      </fill>
    </dxf>
    <dxf>
      <font>
        <b/>
      </font>
      <fill>
        <patternFill>
          <bgColor rgb="FF9148C8"/>
        </patternFill>
      </fill>
    </dxf>
    <dxf>
      <font>
        <b/>
      </font>
      <fill>
        <patternFill>
          <bgColor rgb="FF00B050"/>
        </patternFill>
      </fill>
    </dxf>
    <dxf>
      <font>
        <b/>
      </font>
      <fill>
        <patternFill>
          <bgColor rgb="FF0070C0"/>
        </patternFill>
      </fill>
    </dxf>
    <dxf>
      <font>
        <b/>
      </font>
      <fill>
        <patternFill>
          <bgColor rgb="FF9148C8"/>
        </patternFill>
      </fill>
    </dxf>
    <dxf>
      <font>
        <b/>
      </font>
      <fill>
        <patternFill>
          <bgColor rgb="FF00B050"/>
        </patternFill>
      </fill>
    </dxf>
    <dxf>
      <font>
        <b/>
      </font>
      <fill>
        <patternFill>
          <bgColor rgb="FF0070C0"/>
        </patternFill>
      </fill>
    </dxf>
    <dxf>
      <font>
        <b/>
      </font>
      <fill>
        <patternFill>
          <bgColor rgb="FF9148C8"/>
        </patternFill>
      </fill>
    </dxf>
    <dxf>
      <font>
        <b/>
      </font>
      <fill>
        <patternFill>
          <bgColor rgb="FF00B050"/>
        </patternFill>
      </fill>
    </dxf>
    <dxf>
      <font>
        <b/>
      </font>
      <fill>
        <patternFill>
          <bgColor rgb="FF0070C0"/>
        </patternFill>
      </fill>
    </dxf>
    <dxf>
      <font>
        <b/>
      </font>
      <fill>
        <patternFill>
          <bgColor rgb="FF9148C8"/>
        </patternFill>
      </fill>
    </dxf>
    <dxf>
      <font>
        <b/>
      </font>
      <fill>
        <patternFill>
          <bgColor rgb="FF00B050"/>
        </patternFill>
      </fill>
    </dxf>
    <dxf>
      <font>
        <b/>
      </font>
      <fill>
        <patternFill>
          <bgColor rgb="FF0070C0"/>
        </patternFill>
      </fill>
    </dxf>
    <dxf>
      <font>
        <b/>
      </font>
      <fill>
        <patternFill>
          <bgColor rgb="FF9148C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>
          <bgColor theme="0" tint="-0.14993743705557422"/>
        </patternFill>
      </fill>
    </dxf>
    <dxf>
      <font>
        <b/>
      </font>
      <fill>
        <patternFill patternType="solid">
          <bgColor rgb="FFFF6161"/>
        </patternFill>
      </fill>
    </dxf>
    <dxf>
      <font>
        <b/>
      </font>
      <fill>
        <patternFill>
          <bgColor rgb="FFFFCE33"/>
        </patternFill>
      </fill>
    </dxf>
    <dxf>
      <font>
        <b/>
      </font>
      <fill>
        <patternFill>
          <bgColor theme="0" tint="-0.14993743705557422"/>
        </patternFill>
      </fill>
    </dxf>
    <dxf>
      <font>
        <b/>
      </font>
      <fill>
        <patternFill patternType="solid">
          <bgColor rgb="FFFF6161"/>
        </patternFill>
      </fill>
    </dxf>
    <dxf>
      <font>
        <b/>
      </font>
      <fill>
        <patternFill>
          <bgColor rgb="FFFFCE33"/>
        </patternFill>
      </fill>
    </dxf>
    <dxf>
      <font>
        <b/>
      </font>
      <fill>
        <patternFill>
          <bgColor rgb="FF00B050"/>
        </patternFill>
      </fill>
    </dxf>
    <dxf>
      <font>
        <b/>
      </font>
      <fill>
        <patternFill>
          <bgColor rgb="FF0070C0"/>
        </patternFill>
      </fill>
    </dxf>
    <dxf>
      <font>
        <b/>
      </font>
      <fill>
        <patternFill>
          <bgColor rgb="FF9148C8"/>
        </patternFill>
      </fill>
    </dxf>
    <dxf>
      <font>
        <b/>
      </font>
      <fill>
        <patternFill>
          <bgColor rgb="FF00B050"/>
        </patternFill>
      </fill>
    </dxf>
    <dxf>
      <font>
        <b/>
      </font>
      <fill>
        <patternFill>
          <bgColor rgb="FF0070C0"/>
        </patternFill>
      </fill>
    </dxf>
    <dxf>
      <font>
        <b/>
      </font>
      <fill>
        <patternFill>
          <bgColor rgb="FF9148C8"/>
        </patternFill>
      </fill>
    </dxf>
    <dxf>
      <font>
        <b/>
      </font>
      <fill>
        <patternFill>
          <bgColor rgb="FF00B050"/>
        </patternFill>
      </fill>
    </dxf>
    <dxf>
      <font>
        <b/>
      </font>
      <fill>
        <patternFill>
          <bgColor rgb="FF0070C0"/>
        </patternFill>
      </fill>
    </dxf>
    <dxf>
      <font>
        <b/>
      </font>
      <fill>
        <patternFill>
          <bgColor rgb="FF9148C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mse\Downloads\REPORTE_MASIVAS_ABRIL_2026_STATUS_MBE.xlsm" TargetMode="External"/><Relationship Id="rId1" Type="http://schemas.openxmlformats.org/officeDocument/2006/relationships/externalLinkPath" Target="REPORTE_MASIVAS_ABRIL_2026_STATUS_MB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Sheet1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1CB5-A524-4C46-A35A-14159F6B97A3}">
  <sheetPr codeName="Hoja3"/>
  <dimension ref="A1:BU6724"/>
  <sheetViews>
    <sheetView tabSelected="1" zoomScaleNormal="100" workbookViewId="0">
      <pane ySplit="1" topLeftCell="A1791" activePane="bottomLeft" state="frozen"/>
      <selection pane="bottomLeft" activeCell="B1800" sqref="B1800"/>
    </sheetView>
  </sheetViews>
  <sheetFormatPr defaultColWidth="9.109375" defaultRowHeight="14.4" x14ac:dyDescent="0.3"/>
  <cols>
    <col min="1" max="1" width="20" style="5" customWidth="1"/>
    <col min="2" max="2" width="34" customWidth="1"/>
    <col min="3" max="3" width="16" style="4" customWidth="1"/>
    <col min="4" max="4" width="18" customWidth="1"/>
    <col min="5" max="5" width="28.88671875" hidden="1" customWidth="1"/>
    <col min="6" max="6" width="63.5546875" customWidth="1"/>
    <col min="7" max="7" width="16" style="3" bestFit="1" customWidth="1"/>
    <col min="8" max="8" width="12" style="2" bestFit="1" customWidth="1"/>
    <col min="9" max="9" width="16.5546875" bestFit="1" customWidth="1"/>
    <col min="10" max="10" width="16.44140625" bestFit="1" customWidth="1"/>
    <col min="11" max="11" width="20" style="1" bestFit="1" customWidth="1"/>
    <col min="12" max="12" width="16" bestFit="1" customWidth="1"/>
    <col min="13" max="13" width="28" customWidth="1"/>
    <col min="14" max="14" width="32.6640625" customWidth="1"/>
    <col min="16" max="16" width="27.5546875" customWidth="1"/>
    <col min="17" max="17" width="14.6640625" customWidth="1"/>
    <col min="18" max="18" width="13.88671875" customWidth="1"/>
    <col min="19" max="19" width="12.5546875" customWidth="1"/>
    <col min="20" max="20" width="14.109375" customWidth="1"/>
    <col min="21" max="21" width="12.88671875" customWidth="1"/>
    <col min="25" max="25" width="20" hidden="1" customWidth="1"/>
    <col min="26" max="26" width="28" hidden="1" customWidth="1"/>
    <col min="27" max="27" width="18" hidden="1" customWidth="1"/>
    <col min="28" max="28" width="28" hidden="1" customWidth="1"/>
    <col min="29" max="29" width="14" hidden="1" customWidth="1"/>
    <col min="30" max="30" width="22" hidden="1" customWidth="1"/>
  </cols>
  <sheetData>
    <row r="1" spans="1:30" s="31" customFormat="1" ht="18.75" customHeight="1" x14ac:dyDescent="0.35">
      <c r="A1" s="37" t="s">
        <v>5759</v>
      </c>
      <c r="B1" s="34" t="s">
        <v>5758</v>
      </c>
      <c r="C1" s="36" t="s">
        <v>5757</v>
      </c>
      <c r="D1" s="34" t="s">
        <v>5756</v>
      </c>
      <c r="E1" s="34" t="s">
        <v>5755</v>
      </c>
      <c r="F1" s="34" t="s">
        <v>5754</v>
      </c>
      <c r="G1" s="34" t="s">
        <v>5753</v>
      </c>
      <c r="H1" s="34" t="s">
        <v>5718</v>
      </c>
      <c r="I1" s="34" t="s">
        <v>5752</v>
      </c>
      <c r="J1" s="34" t="s">
        <v>5751</v>
      </c>
      <c r="K1" s="35" t="s">
        <v>5750</v>
      </c>
      <c r="L1" s="34" t="s">
        <v>5749</v>
      </c>
      <c r="M1" s="34" t="s">
        <v>5748</v>
      </c>
      <c r="N1" s="33" t="s">
        <v>5747</v>
      </c>
      <c r="Y1" s="32" t="s">
        <v>5746</v>
      </c>
      <c r="Z1" s="32" t="s">
        <v>5745</v>
      </c>
      <c r="AA1" s="32" t="s">
        <v>5744</v>
      </c>
      <c r="AB1" s="32" t="s">
        <v>5743</v>
      </c>
      <c r="AC1" s="32" t="s">
        <v>5742</v>
      </c>
      <c r="AD1" s="32" t="s">
        <v>5741</v>
      </c>
    </row>
    <row r="2" spans="1:30" x14ac:dyDescent="0.3">
      <c r="A2" s="5" t="s">
        <v>5740</v>
      </c>
      <c r="B2" t="s">
        <v>5739</v>
      </c>
      <c r="C2" s="4" t="s">
        <v>5738</v>
      </c>
      <c r="D2" t="s">
        <v>77</v>
      </c>
      <c r="F2" t="s">
        <v>3021</v>
      </c>
      <c r="G2" s="3">
        <v>8293927349</v>
      </c>
      <c r="H2" s="2">
        <v>46113</v>
      </c>
      <c r="I2" t="s">
        <v>1397</v>
      </c>
      <c r="K2" s="1">
        <f ca="1">IF(A2="","",IF(OR(L2="ENTREGADA",L2="RETORNADA",L2="ENTREGA DIGITAL"),0,MAX(0,5-NETWORKDAYS(H2+1,TODAY()))))</f>
        <v>0</v>
      </c>
      <c r="L2" t="str">
        <f>IF(A2="","",IFERROR(LOOKUP(2,1/(#REF!=Z2),#REF!),Y2))</f>
        <v>ENTREGADA</v>
      </c>
      <c r="P2" s="30" t="s">
        <v>5737</v>
      </c>
      <c r="Q2" s="29"/>
      <c r="R2" s="29"/>
      <c r="S2" s="29"/>
      <c r="T2" s="28"/>
      <c r="Y2" t="s">
        <v>1956</v>
      </c>
      <c r="Z2" t="str">
        <f>IF(A2="","",TEXT(A2,"0")&amp;"|"&amp;TEXT(H2,"0"))</f>
        <v>4741017742295460|46113</v>
      </c>
      <c r="AA2" t="str">
        <f>IF(Z2="","",IFERROR(LOOKUP(2,1/(#REF!=Z2),#REF!),""))</f>
        <v/>
      </c>
      <c r="AB2" t="str">
        <f>IF(Z2="","",IFERROR(LOOKUP(2,1/(#REF!=Z2),#REF!),""))</f>
        <v/>
      </c>
      <c r="AC2" t="e">
        <f>IF(Z2="","",COUNTIF(#REF!,Z2))</f>
        <v>#REF!</v>
      </c>
      <c r="AD2" t="e">
        <f>IF(A2="","",IF(AC2&gt;1,"REVISAR DUPLICADO",IF(AA2&lt;&gt;"","ACTUALIZADO POR EYR","SIN REPORTE EYR")))</f>
        <v>#REF!</v>
      </c>
    </row>
    <row r="3" spans="1:30" x14ac:dyDescent="0.3">
      <c r="A3" s="5" t="s">
        <v>5736</v>
      </c>
      <c r="B3" t="s">
        <v>5735</v>
      </c>
      <c r="C3" s="4" t="s">
        <v>5734</v>
      </c>
      <c r="D3" t="s">
        <v>77</v>
      </c>
      <c r="F3" t="s">
        <v>0</v>
      </c>
      <c r="G3" s="3">
        <v>8096344528</v>
      </c>
      <c r="H3" s="2">
        <v>46113</v>
      </c>
      <c r="K3" s="1">
        <f ca="1">IF(A3="","",IF(OR(L3="ENTREGADA",L3="RETORNADA",L3="ENTREGA DIGITAL"),0,MAX(0,5-NETWORKDAYS(H3+1,TODAY()))))</f>
        <v>0</v>
      </c>
      <c r="L3" t="str">
        <f>IF(A3="","",IFERROR(LOOKUP(2,1/(#REF!=Z3),#REF!),Y3))</f>
        <v>ENTREGADA</v>
      </c>
      <c r="P3" s="27" t="s">
        <v>5733</v>
      </c>
      <c r="Q3" s="27" t="s">
        <v>5732</v>
      </c>
      <c r="R3" s="27" t="s">
        <v>77</v>
      </c>
      <c r="S3" s="27" t="s">
        <v>1</v>
      </c>
      <c r="T3" s="27" t="s">
        <v>5731</v>
      </c>
      <c r="U3" s="27" t="s">
        <v>5730</v>
      </c>
      <c r="V3" s="26" t="s">
        <v>5729</v>
      </c>
      <c r="Y3" t="s">
        <v>1956</v>
      </c>
      <c r="Z3" t="str">
        <f>IF(A3="","",TEXT(A3,"0")&amp;"|"&amp;TEXT(H3,"0"))</f>
        <v>4921017737293150|46113</v>
      </c>
      <c r="AA3" t="str">
        <f>IF(Z3="","",IFERROR(LOOKUP(2,1/(#REF!=Z3),#REF!),""))</f>
        <v/>
      </c>
      <c r="AB3" t="str">
        <f>IF(Z3="","",IFERROR(LOOKUP(2,1/(#REF!=Z3),#REF!),""))</f>
        <v/>
      </c>
      <c r="AC3" t="e">
        <f>IF(Z3="","",COUNTIF(#REF!,Z3))</f>
        <v>#REF!</v>
      </c>
      <c r="AD3" t="e">
        <f>IF(A3="","",IF(AC3&gt;1,"REVISAR DUPLICADO",IF(AA3&lt;&gt;"","ACTUALIZADO POR EYR","SIN REPORTE EYR")))</f>
        <v>#REF!</v>
      </c>
    </row>
    <row r="4" spans="1:30" x14ac:dyDescent="0.3">
      <c r="A4" s="5" t="s">
        <v>5728</v>
      </c>
      <c r="B4" t="s">
        <v>5356</v>
      </c>
      <c r="C4" s="4" t="s">
        <v>5355</v>
      </c>
      <c r="D4" t="s">
        <v>77</v>
      </c>
      <c r="F4" t="s">
        <v>5354</v>
      </c>
      <c r="G4" s="3">
        <v>8294880442</v>
      </c>
      <c r="H4" s="2">
        <v>46113</v>
      </c>
      <c r="I4" t="s">
        <v>1397</v>
      </c>
      <c r="K4" s="1">
        <f ca="1">IF(A4="","",IF(OR(L4="ENTREGADA",L4="RETORNADA",L4="ENTREGA DIGITAL"),0,MAX(0,5-NETWORKDAYS(H4+1,TODAY()))))</f>
        <v>0</v>
      </c>
      <c r="L4" t="str">
        <f>IF(A4="","",IFERROR(LOOKUP(2,1/(#REF!=Z4),#REF!),Y4))</f>
        <v>ENTREGADA</v>
      </c>
      <c r="P4" s="25" t="s">
        <v>5727</v>
      </c>
      <c r="Q4" s="25">
        <f>COUNTIFS(D:D,"SAN PEDRO DE MACORIS",L:L,"ENTREGADA")</f>
        <v>148</v>
      </c>
      <c r="R4" s="25">
        <f>COUNTIFS(D:D,"HIGUEY",L:L,"ENTREGADA")</f>
        <v>208</v>
      </c>
      <c r="S4" s="25">
        <f>COUNTIFS(D:D,"PUNTA CANA",L:L,"ENTREGADA")</f>
        <v>44</v>
      </c>
      <c r="T4" s="25">
        <f>COUNTIFS(D:D,"P",L:L,"ENTREGADA")</f>
        <v>53</v>
      </c>
      <c r="U4" s="25">
        <f>SUM(Q4:S4)</f>
        <v>400</v>
      </c>
      <c r="V4" s="25"/>
      <c r="Y4" t="s">
        <v>1956</v>
      </c>
      <c r="Z4" t="str">
        <f>IF(A4="","",TEXT(A4,"0")&amp;"|"&amp;TEXT(H4,"0"))</f>
        <v>5415017739475560|46113</v>
      </c>
      <c r="AA4" t="str">
        <f>IF(Z4="","",IFERROR(LOOKUP(2,1/(#REF!=Z4),#REF!),""))</f>
        <v/>
      </c>
      <c r="AB4" t="str">
        <f>IF(Z4="","",IFERROR(LOOKUP(2,1/(#REF!=Z4),#REF!),""))</f>
        <v/>
      </c>
      <c r="AC4" t="e">
        <f>IF(Z4="","",COUNTIF(#REF!,Z4))</f>
        <v>#REF!</v>
      </c>
      <c r="AD4" t="e">
        <f>IF(A4="","",IF(AC4&gt;1,"REVISAR DUPLICADO",IF(AA4&lt;&gt;"","ACTUALIZADO POR EYR","SIN REPORTE EYR")))</f>
        <v>#REF!</v>
      </c>
    </row>
    <row r="5" spans="1:30" x14ac:dyDescent="0.3">
      <c r="A5" s="5" t="s">
        <v>5726</v>
      </c>
      <c r="B5" t="s">
        <v>5725</v>
      </c>
      <c r="C5" s="4" t="s">
        <v>5724</v>
      </c>
      <c r="D5" t="s">
        <v>77</v>
      </c>
      <c r="F5" t="s">
        <v>13</v>
      </c>
      <c r="G5" s="3">
        <v>8294244311</v>
      </c>
      <c r="H5" s="2">
        <v>46113</v>
      </c>
      <c r="I5" t="s">
        <v>1397</v>
      </c>
      <c r="K5" s="1">
        <f ca="1">IF(A5="","",IF(OR(L5="ENTREGADA",L5="RETORNADA",L5="ENTREGA DIGITAL"),0,MAX(0,5-NETWORKDAYS(H5+1,TODAY()))))</f>
        <v>0</v>
      </c>
      <c r="L5" t="str">
        <f>IF(A5="","",IFERROR(LOOKUP(2,1/(#REF!=Z5),#REF!),Y5))</f>
        <v>ENTREGADA</v>
      </c>
      <c r="P5" s="24" t="s">
        <v>5723</v>
      </c>
      <c r="Q5" s="24">
        <f>COUNTIFS(D:D,"SAN PEDRO DE MACORIS",L:L,"RETORNADA")</f>
        <v>94</v>
      </c>
      <c r="R5" s="24">
        <f>COUNTIFS(D:D,"HIGUEY",L:L,"RETORNADA")</f>
        <v>144</v>
      </c>
      <c r="S5" s="24">
        <f>COUNTIFS(D:D,"PUNTA CANA",L:L,"RETORNADA")</f>
        <v>79</v>
      </c>
      <c r="T5" s="24">
        <f>COUNTIFS(D:D,"P",L:L,"RETORNADA")</f>
        <v>36</v>
      </c>
      <c r="U5" s="24">
        <f>SUM(Q5:T5)</f>
        <v>353</v>
      </c>
      <c r="Y5" t="s">
        <v>1956</v>
      </c>
      <c r="Z5" t="str">
        <f>IF(A5="","",TEXT(A5,"0")&amp;"|"&amp;TEXT(H5,"0"))</f>
        <v>4921017736224300|46113</v>
      </c>
      <c r="AA5" t="str">
        <f>IF(Z5="","",IFERROR(LOOKUP(2,1/(#REF!=Z5),#REF!),""))</f>
        <v/>
      </c>
      <c r="AB5" t="str">
        <f>IF(Z5="","",IFERROR(LOOKUP(2,1/(#REF!=Z5),#REF!),""))</f>
        <v/>
      </c>
      <c r="AC5" t="e">
        <f>IF(Z5="","",COUNTIF(#REF!,Z5))</f>
        <v>#REF!</v>
      </c>
      <c r="AD5" t="e">
        <f>IF(A5="","",IF(AC5&gt;1,"REVISAR DUPLICADO",IF(AA5&lt;&gt;"","ACTUALIZADO POR EYR","SIN REPORTE EYR")))</f>
        <v>#REF!</v>
      </c>
    </row>
    <row r="6" spans="1:30" x14ac:dyDescent="0.3">
      <c r="A6" t="s">
        <v>5722</v>
      </c>
      <c r="B6" t="s">
        <v>3775</v>
      </c>
      <c r="C6" s="4" t="s">
        <v>3774</v>
      </c>
      <c r="D6" t="s">
        <v>77</v>
      </c>
      <c r="F6" t="s">
        <v>5721</v>
      </c>
      <c r="G6" s="3">
        <v>8099839662</v>
      </c>
      <c r="H6" s="2">
        <v>46113</v>
      </c>
      <c r="K6" s="1">
        <f ca="1">IF(A6="","",IF(OR(L6="ENTREGADA",L6="RETORNADA",L6="ENTREGA DIGITAL"),0,MAX(0,5-NETWORKDAYS(H6+1,TODAY()))))</f>
        <v>0</v>
      </c>
      <c r="L6" t="str">
        <f>IF(A6="","",IFERROR(LOOKUP(2,1/(#REF!=Z6),#REF!),Y6))</f>
        <v>ENTREGADA</v>
      </c>
      <c r="P6" s="23" t="s">
        <v>5720</v>
      </c>
      <c r="Q6" s="23">
        <f>COUNTIFS(D:D,"SAN PEDRO DE MACORIS",L:L,"ENTREGA DIGITAL")</f>
        <v>155</v>
      </c>
      <c r="R6" s="23">
        <f>COUNTIFS(D:D,"HIGUEY",L:L,"ENTREGA DIGITAL")</f>
        <v>129</v>
      </c>
      <c r="S6" s="23">
        <f>COUNTIFS(D:D,"PUNTA CANA",L:L,"ENTREGA DIGITAL")</f>
        <v>77</v>
      </c>
      <c r="T6" s="23">
        <f>COUNTIFS(D:D,"P",L:L,"ENTREGA DIGITAL")</f>
        <v>46</v>
      </c>
      <c r="U6" s="23">
        <f>SUM(Q6:T6)</f>
        <v>407</v>
      </c>
      <c r="Y6" t="s">
        <v>1956</v>
      </c>
      <c r="Z6" t="str">
        <f>IF(A6="","",TEXT(A6,"0")&amp;"|"&amp;TEXT(H6,"0"))</f>
        <v>5415017732525350|46113</v>
      </c>
      <c r="AA6" t="str">
        <f>IF(Z6="","",IFERROR(LOOKUP(2,1/(#REF!=Z6),#REF!),""))</f>
        <v/>
      </c>
      <c r="AB6" t="str">
        <f>IF(Z6="","",IFERROR(LOOKUP(2,1/(#REF!=Z6),#REF!),""))</f>
        <v/>
      </c>
      <c r="AC6" t="e">
        <f>IF(Z6="","",COUNTIF(#REF!,Z6))</f>
        <v>#REF!</v>
      </c>
      <c r="AD6" t="e">
        <f>IF(A6="","",IF(AC6&gt;1,"REVISAR DUPLICADO",IF(AA6&lt;&gt;"","ACTUALIZADO POR EYR","SIN REPORTE EYR")))</f>
        <v>#REF!</v>
      </c>
    </row>
    <row r="7" spans="1:30" x14ac:dyDescent="0.3">
      <c r="A7" t="s">
        <v>3766</v>
      </c>
      <c r="B7" t="s">
        <v>3765</v>
      </c>
      <c r="C7" s="4" t="s">
        <v>3764</v>
      </c>
      <c r="D7" t="s">
        <v>77</v>
      </c>
      <c r="F7" t="s">
        <v>0</v>
      </c>
      <c r="G7" s="3">
        <v>8098407451</v>
      </c>
      <c r="H7" s="2">
        <v>46113</v>
      </c>
      <c r="K7" s="1">
        <f ca="1">IF(A7="","",IF(OR(L7="ENTREGADA",L7="RETORNADA",L7="ENTREGA DIGITAL"),0,MAX(0,5-NETWORKDAYS(H7+1,TODAY()))))</f>
        <v>0</v>
      </c>
      <c r="L7" t="str">
        <f>IF(A7="","",IFERROR(LOOKUP(2,1/(#REF!=Z7),#REF!),Y7))</f>
        <v>RETORNADA</v>
      </c>
      <c r="P7" s="22" t="s">
        <v>5719</v>
      </c>
      <c r="Q7" s="22">
        <f>COUNTIFS(D:D,"SAN PEDRO DE MACORIS",L:L,"")</f>
        <v>0</v>
      </c>
      <c r="R7" s="22">
        <f>COUNTIFS(D:D,"HIGUEY",L:L,"")</f>
        <v>0</v>
      </c>
      <c r="S7" s="22">
        <f>COUNTIFS(D:D,"PUNTA CANA",L:L,"")</f>
        <v>0</v>
      </c>
      <c r="T7" s="22">
        <f>COUNTIFS(D:D,"P",L:L,"")</f>
        <v>0</v>
      </c>
      <c r="U7" s="22">
        <f>SUM(Q7:T7)</f>
        <v>0</v>
      </c>
      <c r="X7" t="s">
        <v>5718</v>
      </c>
      <c r="Y7" t="s">
        <v>1857</v>
      </c>
      <c r="Z7" t="str">
        <f>IF(A7="","",TEXT(A7,"0")&amp;"|"&amp;TEXT(H7,"0"))</f>
        <v>5415017385266340|46113</v>
      </c>
      <c r="AA7" t="str">
        <f>IF(Z7="","",IFERROR(LOOKUP(2,1/(#REF!=Z7),#REF!),""))</f>
        <v/>
      </c>
      <c r="AB7" t="str">
        <f>IF(Z7="","",IFERROR(LOOKUP(2,1/(#REF!=Z7),#REF!),""))</f>
        <v/>
      </c>
      <c r="AC7" t="e">
        <f>IF(Z7="","",COUNTIF(#REF!,Z7))</f>
        <v>#REF!</v>
      </c>
      <c r="AD7" t="e">
        <f>IF(A7="","",IF(AC7&gt;1,"REVISAR DUPLICADO",IF(AA7&lt;&gt;"","ACTUALIZADO POR EYR","SIN REPORTE EYR")))</f>
        <v>#REF!</v>
      </c>
    </row>
    <row r="8" spans="1:30" x14ac:dyDescent="0.3">
      <c r="A8" t="s">
        <v>5717</v>
      </c>
      <c r="B8" t="s">
        <v>5716</v>
      </c>
      <c r="C8" s="4" t="s">
        <v>5715</v>
      </c>
      <c r="D8" t="s">
        <v>77</v>
      </c>
      <c r="F8" t="s">
        <v>13</v>
      </c>
      <c r="G8" s="3">
        <v>8293655416</v>
      </c>
      <c r="H8" s="2">
        <v>46113</v>
      </c>
      <c r="K8" s="1">
        <f ca="1">IF(A8="","",IF(OR(L8="ENTREGADA",L8="RETORNADA",L8="ENTREGA DIGITAL"),0,MAX(0,5-NETWORKDAYS(H8+1,TODAY()))))</f>
        <v>0</v>
      </c>
      <c r="L8" t="str">
        <f>IF(A8="","",IFERROR(LOOKUP(2,1/(#REF!=Z8),#REF!),Y8))</f>
        <v>ENTREGADA</v>
      </c>
      <c r="P8" s="21" t="s">
        <v>5714</v>
      </c>
      <c r="Q8" s="21">
        <f>COUNTIF(D:D,"SAN PEDRO DE MACORIS")</f>
        <v>605</v>
      </c>
      <c r="R8" s="21">
        <f>SUM(R4:R7)</f>
        <v>481</v>
      </c>
      <c r="S8" s="21">
        <f>SUM(S4:S7)</f>
        <v>200</v>
      </c>
      <c r="T8" s="21">
        <f>SUM(T4:T7)</f>
        <v>135</v>
      </c>
      <c r="U8" s="21">
        <f>SUM(Q8:T8)</f>
        <v>1421</v>
      </c>
      <c r="Y8" t="s">
        <v>1956</v>
      </c>
      <c r="Z8" t="str">
        <f>IF(A8="","",TEXT(A8,"0")&amp;"|"&amp;TEXT(H8,"0"))</f>
        <v>4921017741445070|46113</v>
      </c>
      <c r="AA8" t="str">
        <f>IF(Z8="","",IFERROR(LOOKUP(2,1/(#REF!=Z8),#REF!),""))</f>
        <v/>
      </c>
      <c r="AB8" t="str">
        <f>IF(Z8="","",IFERROR(LOOKUP(2,1/(#REF!=Z8),#REF!),""))</f>
        <v/>
      </c>
      <c r="AC8" t="e">
        <f>IF(Z8="","",COUNTIF(#REF!,Z8))</f>
        <v>#REF!</v>
      </c>
      <c r="AD8" t="e">
        <f>IF(A8="","",IF(AC8&gt;1,"REVISAR DUPLICADO",IF(AA8&lt;&gt;"","ACTUALIZADO POR EYR","SIN REPORTE EYR")))</f>
        <v>#REF!</v>
      </c>
    </row>
    <row r="9" spans="1:30" x14ac:dyDescent="0.3">
      <c r="A9" t="s">
        <v>3875</v>
      </c>
      <c r="B9" t="s">
        <v>3874</v>
      </c>
      <c r="C9" s="4" t="s">
        <v>3873</v>
      </c>
      <c r="D9" t="s">
        <v>77</v>
      </c>
      <c r="F9" t="s">
        <v>5713</v>
      </c>
      <c r="G9" s="3">
        <v>8098402488</v>
      </c>
      <c r="H9" s="2">
        <v>46113</v>
      </c>
      <c r="K9" s="1">
        <f ca="1">IF(A9="","",IF(OR(L9="ENTREGADA",L9="RETORNADA",L9="ENTREGA DIGITAL"),0,MAX(0,5-NETWORKDAYS(H9+1,TODAY()))))</f>
        <v>0</v>
      </c>
      <c r="L9" t="str">
        <f>IF(A9="","",IFERROR(LOOKUP(2,1/(#REF!=Z9),#REF!),Y9))</f>
        <v>RETORNADA</v>
      </c>
      <c r="P9" s="19" t="s">
        <v>5712</v>
      </c>
      <c r="Q9" s="18">
        <f>(Q5/Q8)</f>
        <v>0.15537190082644628</v>
      </c>
      <c r="R9" s="18">
        <f>(R5/R8)</f>
        <v>0.29937629937629939</v>
      </c>
      <c r="S9" s="18">
        <f>(S5/S8)</f>
        <v>0.39500000000000002</v>
      </c>
      <c r="T9" s="18">
        <f>(T5/T8)</f>
        <v>0.26666666666666666</v>
      </c>
      <c r="U9" s="18">
        <f>(U5/U8)</f>
        <v>0.24841660802251936</v>
      </c>
      <c r="X9" t="s">
        <v>5711</v>
      </c>
      <c r="Y9" t="s">
        <v>1857</v>
      </c>
      <c r="Z9" t="str">
        <f>IF(A9="","",TEXT(A9,"0")&amp;"|"&amp;TEXT(H9,"0"))</f>
        <v>4921017741641600|46113</v>
      </c>
      <c r="AA9" t="str">
        <f>IF(Z9="","",IFERROR(LOOKUP(2,1/(#REF!=Z9),#REF!),""))</f>
        <v/>
      </c>
      <c r="AB9" t="str">
        <f>IF(Z9="","",IFERROR(LOOKUP(2,1/(#REF!=Z9),#REF!),""))</f>
        <v/>
      </c>
      <c r="AC9" t="e">
        <f>IF(Z9="","",COUNTIF(#REF!,Z9))</f>
        <v>#REF!</v>
      </c>
      <c r="AD9" t="e">
        <f>IF(A9="","",IF(AC9&gt;1,"REVISAR DUPLICADO",IF(AA9&lt;&gt;"","ACTUALIZADO POR EYR","SIN REPORTE EYR")))</f>
        <v>#REF!</v>
      </c>
    </row>
    <row r="10" spans="1:30" x14ac:dyDescent="0.3">
      <c r="A10" s="5" t="s">
        <v>5710</v>
      </c>
      <c r="B10" t="s">
        <v>5709</v>
      </c>
      <c r="C10" s="4" t="s">
        <v>5708</v>
      </c>
      <c r="D10" t="s">
        <v>77</v>
      </c>
      <c r="F10" t="s">
        <v>13</v>
      </c>
      <c r="G10" s="3">
        <v>8295790192</v>
      </c>
      <c r="H10" s="2">
        <v>46113</v>
      </c>
      <c r="I10" t="s">
        <v>1397</v>
      </c>
      <c r="K10" s="1">
        <f ca="1">IF(A10="","",IF(OR(L10="ENTREGADA",L10="RETORNADA",L10="ENTREGA DIGITAL"),0,MAX(0,5-NETWORKDAYS(H10+1,TODAY()))))</f>
        <v>0</v>
      </c>
      <c r="L10" t="str">
        <f>IF(A10="","",IFERROR(LOOKUP(2,1/(#REF!=Z10),#REF!),Y10))</f>
        <v>ENTREGADA</v>
      </c>
      <c r="Y10" t="s">
        <v>1956</v>
      </c>
      <c r="Z10" t="str">
        <f>IF(A10="","",TEXT(A10,"0")&amp;"|"&amp;TEXT(H10,"0"))</f>
        <v>4966017740757140|46113</v>
      </c>
      <c r="AA10" t="str">
        <f>IF(Z10="","",IFERROR(LOOKUP(2,1/(#REF!=Z10),#REF!),""))</f>
        <v/>
      </c>
      <c r="AB10" t="str">
        <f>IF(Z10="","",IFERROR(LOOKUP(2,1/(#REF!=Z10),#REF!),""))</f>
        <v/>
      </c>
      <c r="AC10" t="e">
        <f>IF(Z10="","",COUNTIF(#REF!,Z10))</f>
        <v>#REF!</v>
      </c>
      <c r="AD10" t="e">
        <f>IF(A10="","",IF(AC10&gt;1,"REVISAR DUPLICADO",IF(AA10&lt;&gt;"","ACTUALIZADO POR EYR","SIN REPORTE EYR")))</f>
        <v>#REF!</v>
      </c>
    </row>
    <row r="11" spans="1:30" x14ac:dyDescent="0.3">
      <c r="A11" s="5" t="s">
        <v>5707</v>
      </c>
      <c r="B11" t="s">
        <v>5706</v>
      </c>
      <c r="C11" s="4" t="s">
        <v>5705</v>
      </c>
      <c r="D11" t="s">
        <v>77</v>
      </c>
      <c r="F11" t="s">
        <v>13</v>
      </c>
      <c r="G11" s="3">
        <v>8299676957</v>
      </c>
      <c r="H11" s="2">
        <v>46113</v>
      </c>
      <c r="I11" t="s">
        <v>1397</v>
      </c>
      <c r="K11" s="1">
        <f ca="1">IF(A11="","",IF(OR(L11="ENTREGADA",L11="RETORNADA",L11="ENTREGA DIGITAL"),0,MAX(0,5-NETWORKDAYS(H11+1,TODAY()))))</f>
        <v>0</v>
      </c>
      <c r="L11" t="str">
        <f>IF(A11="","",IFERROR(LOOKUP(2,1/(#REF!=Z11),#REF!),Y11))</f>
        <v>ENTREGADA</v>
      </c>
      <c r="P11" s="20" t="s">
        <v>5704</v>
      </c>
      <c r="Q11" s="20">
        <f>COUNTIFS(D:D,"SAN PEDRO DE MACORIS",I:I,"SI")</f>
        <v>0</v>
      </c>
      <c r="R11" s="20">
        <f>COUNTIFS(D:D,"HIGUEY",I:I,"SI")</f>
        <v>0</v>
      </c>
      <c r="S11" s="20">
        <f>COUNTIFS(D:D,"PUNTA CANA",I:I,"SI")</f>
        <v>0</v>
      </c>
      <c r="T11" s="20">
        <f>COUNTIFS(E:E,"PUNTA CANA",J:J,"SI")</f>
        <v>0</v>
      </c>
      <c r="U11" s="20">
        <f>SUM(Q11:S11)</f>
        <v>0</v>
      </c>
      <c r="V11" s="20"/>
      <c r="Y11" t="s">
        <v>1956</v>
      </c>
      <c r="Z11" t="str">
        <f>IF(A11="","",TEXT(A11,"0")&amp;"|"&amp;TEXT(H11,"0"))</f>
        <v>5227017739944570|46113</v>
      </c>
      <c r="AA11" t="str">
        <f>IF(Z11="","",IFERROR(LOOKUP(2,1/(#REF!=Z11),#REF!),""))</f>
        <v/>
      </c>
      <c r="AB11" t="str">
        <f>IF(Z11="","",IFERROR(LOOKUP(2,1/(#REF!=Z11),#REF!),""))</f>
        <v/>
      </c>
      <c r="AC11" t="e">
        <f>IF(Z11="","",COUNTIF(#REF!,Z11))</f>
        <v>#REF!</v>
      </c>
      <c r="AD11" t="e">
        <f>IF(A11="","",IF(AC11&gt;1,"REVISAR DUPLICADO",IF(AA11&lt;&gt;"","ACTUALIZADO POR EYR","SIN REPORTE EYR")))</f>
        <v>#REF!</v>
      </c>
    </row>
    <row r="12" spans="1:30" x14ac:dyDescent="0.3">
      <c r="A12" s="5" t="s">
        <v>5703</v>
      </c>
      <c r="B12" t="s">
        <v>5702</v>
      </c>
      <c r="C12" s="4" t="s">
        <v>5701</v>
      </c>
      <c r="D12" t="s">
        <v>77</v>
      </c>
      <c r="F12" t="s">
        <v>13</v>
      </c>
      <c r="G12" s="3">
        <v>8292946560</v>
      </c>
      <c r="H12" s="2">
        <v>46113</v>
      </c>
      <c r="I12" t="s">
        <v>1397</v>
      </c>
      <c r="K12" s="1">
        <f ca="1">IF(A12="","",IF(OR(L12="ENTREGADA",L12="RETORNADA",L12="ENTREGA DIGITAL"),0,MAX(0,5-NETWORKDAYS(H12+1,TODAY()))))</f>
        <v>0</v>
      </c>
      <c r="L12" t="str">
        <f>IF(A12="","",IFERROR(LOOKUP(2,1/(#REF!=Z12),#REF!),Y12))</f>
        <v>ENTREGADA</v>
      </c>
      <c r="P12" s="19" t="s">
        <v>5700</v>
      </c>
      <c r="Q12" s="18">
        <f>(Q11/Q8)</f>
        <v>0</v>
      </c>
      <c r="R12" s="18">
        <f>(R11/R8)</f>
        <v>0</v>
      </c>
      <c r="S12" s="18">
        <f>(S11/S8)</f>
        <v>0</v>
      </c>
      <c r="T12" s="18">
        <f>(T11/T8)</f>
        <v>0</v>
      </c>
      <c r="U12" s="18">
        <f>(U11/U8)</f>
        <v>0</v>
      </c>
      <c r="Y12" t="s">
        <v>1956</v>
      </c>
      <c r="Z12" t="str">
        <f>IF(A12="","",TEXT(A12,"0")&amp;"|"&amp;TEXT(H12,"0"))</f>
        <v>5188017740242020|46113</v>
      </c>
      <c r="AA12" t="str">
        <f>IF(Z12="","",IFERROR(LOOKUP(2,1/(#REF!=Z12),#REF!),""))</f>
        <v/>
      </c>
      <c r="AB12" t="str">
        <f>IF(Z12="","",IFERROR(LOOKUP(2,1/(#REF!=Z12),#REF!),""))</f>
        <v/>
      </c>
      <c r="AC12" t="e">
        <f>IF(Z12="","",COUNTIF(#REF!,Z12))</f>
        <v>#REF!</v>
      </c>
      <c r="AD12" t="e">
        <f>IF(A12="","",IF(AC12&gt;1,"REVISAR DUPLICADO",IF(AA12&lt;&gt;"","ACTUALIZADO POR EYR","SIN REPORTE EYR")))</f>
        <v>#REF!</v>
      </c>
    </row>
    <row r="13" spans="1:30" x14ac:dyDescent="0.3">
      <c r="A13" s="5" t="s">
        <v>5699</v>
      </c>
      <c r="B13" t="s">
        <v>5698</v>
      </c>
      <c r="C13" s="4" t="s">
        <v>5697</v>
      </c>
      <c r="D13" t="s">
        <v>77</v>
      </c>
      <c r="F13" t="s">
        <v>13</v>
      </c>
      <c r="G13" s="3">
        <v>8097045015</v>
      </c>
      <c r="H13" s="2">
        <v>46113</v>
      </c>
      <c r="K13" s="1">
        <f ca="1">IF(A13="","",IF(OR(L13="ENTREGADA",L13="RETORNADA",L13="ENTREGA DIGITAL"),0,MAX(0,5-NETWORKDAYS(H13+1,TODAY()))))</f>
        <v>0</v>
      </c>
      <c r="L13" t="str">
        <f>IF(A13="","",IFERROR(LOOKUP(2,1/(#REF!=Z13),#REF!),Y13))</f>
        <v>ENTREGADA</v>
      </c>
      <c r="Y13" t="s">
        <v>1956</v>
      </c>
      <c r="Z13" t="str">
        <f>IF(A13="","",TEXT(A13,"0")&amp;"|"&amp;TEXT(H13,"0"))</f>
        <v>5227017739903230|46113</v>
      </c>
      <c r="AA13" t="str">
        <f>IF(Z13="","",IFERROR(LOOKUP(2,1/(#REF!=Z13),#REF!),""))</f>
        <v/>
      </c>
      <c r="AB13" t="str">
        <f>IF(Z13="","",IFERROR(LOOKUP(2,1/(#REF!=Z13),#REF!),""))</f>
        <v/>
      </c>
      <c r="AC13" t="e">
        <f>IF(Z13="","",COUNTIF(#REF!,Z13))</f>
        <v>#REF!</v>
      </c>
      <c r="AD13" t="e">
        <f>IF(A13="","",IF(AC13&gt;1,"REVISAR DUPLICADO",IF(AA13&lt;&gt;"","ACTUALIZADO POR EYR","SIN REPORTE EYR")))</f>
        <v>#REF!</v>
      </c>
    </row>
    <row r="14" spans="1:30" x14ac:dyDescent="0.3">
      <c r="A14" s="5" t="s">
        <v>5696</v>
      </c>
      <c r="B14" t="s">
        <v>5695</v>
      </c>
      <c r="C14" s="4" t="s">
        <v>5694</v>
      </c>
      <c r="D14" t="s">
        <v>77</v>
      </c>
      <c r="F14" t="s">
        <v>13</v>
      </c>
      <c r="G14" s="3">
        <v>8499179071</v>
      </c>
      <c r="H14" s="2">
        <v>46113</v>
      </c>
      <c r="I14" t="s">
        <v>1397</v>
      </c>
      <c r="K14" s="1">
        <f ca="1">IF(A14="","",IF(OR(L14="ENTREGADA",L14="RETORNADA",L14="ENTREGA DIGITAL"),0,MAX(0,5-NETWORKDAYS(H14+1,TODAY()))))</f>
        <v>0</v>
      </c>
      <c r="L14" t="str">
        <f>IF(A14="","",IFERROR(LOOKUP(2,1/(#REF!=Z14),#REF!),Y14))</f>
        <v>ENTREGADA</v>
      </c>
      <c r="Y14" t="s">
        <v>1956</v>
      </c>
      <c r="Z14" t="str">
        <f>IF(A14="","",TEXT(A14,"0")&amp;"|"&amp;TEXT(H14,"0"))</f>
        <v>5188017740187560|46113</v>
      </c>
      <c r="AA14" t="str">
        <f>IF(Z14="","",IFERROR(LOOKUP(2,1/(#REF!=Z14),#REF!),""))</f>
        <v/>
      </c>
      <c r="AB14" t="str">
        <f>IF(Z14="","",IFERROR(LOOKUP(2,1/(#REF!=Z14),#REF!),""))</f>
        <v/>
      </c>
      <c r="AC14" t="e">
        <f>IF(Z14="","",COUNTIF(#REF!,Z14))</f>
        <v>#REF!</v>
      </c>
      <c r="AD14" t="e">
        <f>IF(A14="","",IF(AC14&gt;1,"REVISAR DUPLICADO",IF(AA14&lt;&gt;"","ACTUALIZADO POR EYR","SIN REPORTE EYR")))</f>
        <v>#REF!</v>
      </c>
    </row>
    <row r="15" spans="1:30" x14ac:dyDescent="0.3">
      <c r="A15" s="5" t="s">
        <v>5693</v>
      </c>
      <c r="B15" t="s">
        <v>5692</v>
      </c>
      <c r="C15" s="4" t="s">
        <v>5691</v>
      </c>
      <c r="D15" t="s">
        <v>77</v>
      </c>
      <c r="F15" t="s">
        <v>13</v>
      </c>
      <c r="G15" s="3">
        <v>8094062761</v>
      </c>
      <c r="H15" s="2">
        <v>46113</v>
      </c>
      <c r="I15" t="s">
        <v>1397</v>
      </c>
      <c r="K15" s="1">
        <f ca="1">IF(A15="","",IF(OR(L15="ENTREGADA",L15="RETORNADA",L15="ENTREGA DIGITAL"),0,MAX(0,5-NETWORKDAYS(H15+1,TODAY()))))</f>
        <v>0</v>
      </c>
      <c r="L15" t="str">
        <f>IF(A15="","",IFERROR(LOOKUP(2,1/(#REF!=Z15),#REF!),Y15))</f>
        <v>ENTREGADA</v>
      </c>
      <c r="Y15" t="s">
        <v>1956</v>
      </c>
      <c r="Z15" t="str">
        <f>IF(A15="","",TEXT(A15,"0")&amp;"|"&amp;TEXT(H15,"0"))</f>
        <v>4921017741327840|46113</v>
      </c>
      <c r="AA15" t="str">
        <f>IF(Z15="","",IFERROR(LOOKUP(2,1/(#REF!=Z15),#REF!),""))</f>
        <v/>
      </c>
      <c r="AB15" t="str">
        <f>IF(Z15="","",IFERROR(LOOKUP(2,1/(#REF!=Z15),#REF!),""))</f>
        <v/>
      </c>
      <c r="AC15" t="e">
        <f>IF(Z15="","",COUNTIF(#REF!,Z15))</f>
        <v>#REF!</v>
      </c>
      <c r="AD15" t="e">
        <f>IF(A15="","",IF(AC15&gt;1,"REVISAR DUPLICADO",IF(AA15&lt;&gt;"","ACTUALIZADO POR EYR","SIN REPORTE EYR")))</f>
        <v>#REF!</v>
      </c>
    </row>
    <row r="16" spans="1:30" x14ac:dyDescent="0.3">
      <c r="A16" s="5" t="s">
        <v>5690</v>
      </c>
      <c r="B16" t="s">
        <v>5689</v>
      </c>
      <c r="C16" s="4" t="s">
        <v>5688</v>
      </c>
      <c r="D16" t="s">
        <v>77</v>
      </c>
      <c r="F16" t="s">
        <v>5687</v>
      </c>
      <c r="G16" s="3">
        <v>8093771778</v>
      </c>
      <c r="H16" s="2">
        <v>46113</v>
      </c>
      <c r="I16" t="s">
        <v>1397</v>
      </c>
      <c r="K16" s="1">
        <f ca="1">IF(A16="","",IF(OR(L16="ENTREGADA",L16="RETORNADA",L16="ENTREGA DIGITAL"),0,MAX(0,5-NETWORKDAYS(H16+1,TODAY()))))</f>
        <v>0</v>
      </c>
      <c r="L16" t="str">
        <f>IF(A16="","",IFERROR(LOOKUP(2,1/(#REF!=Z16),#REF!),Y16))</f>
        <v>ENTREGADA</v>
      </c>
      <c r="Y16" t="s">
        <v>1956</v>
      </c>
      <c r="Z16" t="str">
        <f>IF(A16="","",TEXT(A16,"0")&amp;"|"&amp;TEXT(H16,"0"))</f>
        <v>5188017732699650|46113</v>
      </c>
      <c r="AA16" t="str">
        <f>IF(Z16="","",IFERROR(LOOKUP(2,1/(#REF!=Z16),#REF!),""))</f>
        <v/>
      </c>
      <c r="AB16" t="str">
        <f>IF(Z16="","",IFERROR(LOOKUP(2,1/(#REF!=Z16),#REF!),""))</f>
        <v/>
      </c>
      <c r="AC16" t="e">
        <f>IF(Z16="","",COUNTIF(#REF!,Z16))</f>
        <v>#REF!</v>
      </c>
      <c r="AD16" t="e">
        <f>IF(A16="","",IF(AC16&gt;1,"REVISAR DUPLICADO",IF(AA16&lt;&gt;"","ACTUALIZADO POR EYR","SIN REPORTE EYR")))</f>
        <v>#REF!</v>
      </c>
    </row>
    <row r="17" spans="1:30" x14ac:dyDescent="0.3">
      <c r="A17" t="s">
        <v>5686</v>
      </c>
      <c r="B17" t="s">
        <v>5685</v>
      </c>
      <c r="C17" s="4" t="s">
        <v>5684</v>
      </c>
      <c r="D17" t="s">
        <v>77</v>
      </c>
      <c r="F17" t="s">
        <v>135</v>
      </c>
      <c r="G17" s="3">
        <v>8293337778</v>
      </c>
      <c r="H17" s="2">
        <v>46113</v>
      </c>
      <c r="K17" s="1">
        <f ca="1">IF(A17="","",IF(OR(L17="ENTREGADA",L17="RETORNADA",L17="ENTREGA DIGITAL"),0,MAX(0,5-NETWORKDAYS(H17+1,TODAY()))))</f>
        <v>0</v>
      </c>
      <c r="L17" t="str">
        <f>IF(A17="","",IFERROR(LOOKUP(2,1/(#REF!=Z17),#REF!),Y17))</f>
        <v>RETORNADA</v>
      </c>
      <c r="Y17" t="s">
        <v>1857</v>
      </c>
      <c r="Z17" t="str">
        <f>IF(A17="","",TEXT(A17,"0")&amp;"|"&amp;TEXT(H17,"0"))</f>
        <v>4966017735056020|46113</v>
      </c>
      <c r="AA17" t="str">
        <f>IF(Z17="","",IFERROR(LOOKUP(2,1/(#REF!=Z17),#REF!),""))</f>
        <v/>
      </c>
      <c r="AB17" t="str">
        <f>IF(Z17="","",IFERROR(LOOKUP(2,1/(#REF!=Z17),#REF!),""))</f>
        <v/>
      </c>
      <c r="AC17" t="e">
        <f>IF(Z17="","",COUNTIF(#REF!,Z17))</f>
        <v>#REF!</v>
      </c>
      <c r="AD17" t="e">
        <f>IF(A17="","",IF(AC17&gt;1,"REVISAR DUPLICADO",IF(AA17&lt;&gt;"","ACTUALIZADO POR EYR","SIN REPORTE EYR")))</f>
        <v>#REF!</v>
      </c>
    </row>
    <row r="18" spans="1:30" x14ac:dyDescent="0.3">
      <c r="A18" t="s">
        <v>3252</v>
      </c>
      <c r="B18" t="s">
        <v>3251</v>
      </c>
      <c r="C18" s="4" t="s">
        <v>3250</v>
      </c>
      <c r="D18" t="s">
        <v>77</v>
      </c>
      <c r="F18" t="s">
        <v>122</v>
      </c>
      <c r="G18" s="3">
        <v>8095543748</v>
      </c>
      <c r="H18" s="2">
        <v>46113</v>
      </c>
      <c r="K18" s="1">
        <f ca="1">IF(A18="","",IF(OR(L18="ENTREGADA",L18="RETORNADA",L18="ENTREGA DIGITAL"),0,MAX(0,5-NETWORKDAYS(H18+1,TODAY()))))</f>
        <v>0</v>
      </c>
      <c r="L18" t="str">
        <f>IF(A18="","",IFERROR(LOOKUP(2,1/(#REF!=Z18),#REF!),Y18))</f>
        <v>RETORNADA</v>
      </c>
      <c r="Y18" t="s">
        <v>1857</v>
      </c>
      <c r="Z18" t="str">
        <f>IF(A18="","",TEXT(A18,"0")&amp;"|"&amp;TEXT(H18,"0"))</f>
        <v>4921017734680900|46113</v>
      </c>
      <c r="AA18" t="str">
        <f>IF(Z18="","",IFERROR(LOOKUP(2,1/(#REF!=Z18),#REF!),""))</f>
        <v/>
      </c>
      <c r="AB18" t="str">
        <f>IF(Z18="","",IFERROR(LOOKUP(2,1/(#REF!=Z18),#REF!),""))</f>
        <v/>
      </c>
      <c r="AC18" t="e">
        <f>IF(Z18="","",COUNTIF(#REF!,Z18))</f>
        <v>#REF!</v>
      </c>
      <c r="AD18" t="e">
        <f>IF(A18="","",IF(AC18&gt;1,"REVISAR DUPLICADO",IF(AA18&lt;&gt;"","ACTUALIZADO POR EYR","SIN REPORTE EYR")))</f>
        <v>#REF!</v>
      </c>
    </row>
    <row r="19" spans="1:30" x14ac:dyDescent="0.3">
      <c r="A19" s="5" t="s">
        <v>5683</v>
      </c>
      <c r="B19" t="s">
        <v>5682</v>
      </c>
      <c r="C19" s="4" t="s">
        <v>5681</v>
      </c>
      <c r="D19" t="s">
        <v>77</v>
      </c>
      <c r="F19" t="s">
        <v>13</v>
      </c>
      <c r="G19" s="3">
        <v>8296720443</v>
      </c>
      <c r="H19" s="2">
        <v>46113</v>
      </c>
      <c r="I19" t="s">
        <v>1397</v>
      </c>
      <c r="K19" s="1">
        <f ca="1">IF(A19="","",IF(OR(L19="ENTREGADA",L19="RETORNADA",L19="ENTREGA DIGITAL"),0,MAX(0,5-NETWORKDAYS(H19+1,TODAY()))))</f>
        <v>0</v>
      </c>
      <c r="L19" t="str">
        <f>IF(A19="","",IFERROR(LOOKUP(2,1/(#REF!=Z19),#REF!),Y19))</f>
        <v>ENTREGADA</v>
      </c>
      <c r="Y19" t="s">
        <v>1956</v>
      </c>
      <c r="Z19" t="str">
        <f>IF(A19="","",TEXT(A19,"0")&amp;"|"&amp;TEXT(H19,"0"))</f>
        <v>5415017732852150|46113</v>
      </c>
      <c r="AA19" t="str">
        <f>IF(Z19="","",IFERROR(LOOKUP(2,1/(#REF!=Z19),#REF!),""))</f>
        <v/>
      </c>
      <c r="AB19" t="str">
        <f>IF(Z19="","",IFERROR(LOOKUP(2,1/(#REF!=Z19),#REF!),""))</f>
        <v/>
      </c>
      <c r="AC19" t="e">
        <f>IF(Z19="","",COUNTIF(#REF!,Z19))</f>
        <v>#REF!</v>
      </c>
      <c r="AD19" t="e">
        <f>IF(A19="","",IF(AC19&gt;1,"REVISAR DUPLICADO",IF(AA19&lt;&gt;"","ACTUALIZADO POR EYR","SIN REPORTE EYR")))</f>
        <v>#REF!</v>
      </c>
    </row>
    <row r="20" spans="1:30" x14ac:dyDescent="0.3">
      <c r="A20" s="5" t="s">
        <v>5680</v>
      </c>
      <c r="B20" t="s">
        <v>5679</v>
      </c>
      <c r="C20" s="4" t="s">
        <v>5678</v>
      </c>
      <c r="D20" t="s">
        <v>77</v>
      </c>
      <c r="F20" t="s">
        <v>13</v>
      </c>
      <c r="G20" s="3">
        <v>8496201430</v>
      </c>
      <c r="H20" s="2">
        <v>46113</v>
      </c>
      <c r="K20" s="1">
        <f ca="1">IF(A20="","",IF(OR(L20="ENTREGADA",L20="RETORNADA",L20="ENTREGA DIGITAL"),0,MAX(0,5-NETWORKDAYS(H20+1,TODAY()))))</f>
        <v>0</v>
      </c>
      <c r="L20" t="str">
        <f>IF(A20="","",IFERROR(LOOKUP(2,1/(#REF!=Z20),#REF!),Y20))</f>
        <v>ENTREGADA</v>
      </c>
      <c r="Y20" t="s">
        <v>1956</v>
      </c>
      <c r="Z20" t="str">
        <f>IF(A20="","",TEXT(A20,"0")&amp;"|"&amp;TEXT(H20,"0"))</f>
        <v>5188017734018440|46113</v>
      </c>
      <c r="AA20" t="str">
        <f>IF(Z20="","",IFERROR(LOOKUP(2,1/(#REF!=Z20),#REF!),""))</f>
        <v/>
      </c>
      <c r="AB20" t="str">
        <f>IF(Z20="","",IFERROR(LOOKUP(2,1/(#REF!=Z20),#REF!),""))</f>
        <v/>
      </c>
      <c r="AC20" t="e">
        <f>IF(Z20="","",COUNTIF(#REF!,Z20))</f>
        <v>#REF!</v>
      </c>
      <c r="AD20" t="e">
        <f>IF(A20="","",IF(AC20&gt;1,"REVISAR DUPLICADO",IF(AA20&lt;&gt;"","ACTUALIZADO POR EYR","SIN REPORTE EYR")))</f>
        <v>#REF!</v>
      </c>
    </row>
    <row r="21" spans="1:30" x14ac:dyDescent="0.3">
      <c r="A21" s="5" t="s">
        <v>5677</v>
      </c>
      <c r="B21" t="s">
        <v>5676</v>
      </c>
      <c r="C21" s="4" t="s">
        <v>5675</v>
      </c>
      <c r="D21" t="s">
        <v>77</v>
      </c>
      <c r="E21" t="s">
        <v>214</v>
      </c>
      <c r="F21" t="s">
        <v>391</v>
      </c>
      <c r="G21" s="3">
        <v>8097867181</v>
      </c>
      <c r="H21" s="2">
        <v>46113</v>
      </c>
      <c r="K21" s="1">
        <f ca="1">IF(A21="","",IF(OR(L21="ENTREGADA",L21="RETORNADA",L21="ENTREGA DIGITAL"),0,MAX(0,5-NETWORKDAYS(H21+1,TODAY()))))</f>
        <v>0</v>
      </c>
      <c r="L21" t="str">
        <f>IF(A21="","",IFERROR(LOOKUP(2,1/(#REF!=Z21),#REF!),Y21))</f>
        <v>ENTREGADA</v>
      </c>
      <c r="Y21" t="s">
        <v>1956</v>
      </c>
      <c r="Z21" t="str">
        <f>IF(A21="","",TEXT(A21,"0")&amp;"|"&amp;TEXT(H21,"0"))</f>
        <v>5400017733346570|46113</v>
      </c>
      <c r="AA21" t="str">
        <f>IF(Z21="","",IFERROR(LOOKUP(2,1/(#REF!=Z21),#REF!),""))</f>
        <v/>
      </c>
      <c r="AB21" t="str">
        <f>IF(Z21="","",IFERROR(LOOKUP(2,1/(#REF!=Z21),#REF!),""))</f>
        <v/>
      </c>
      <c r="AC21" t="e">
        <f>IF(Z21="","",COUNTIF(#REF!,Z21))</f>
        <v>#REF!</v>
      </c>
      <c r="AD21" t="e">
        <f>IF(A21="","",IF(AC21&gt;1,"REVISAR DUPLICADO",IF(AA21&lt;&gt;"","ACTUALIZADO POR EYR","SIN REPORTE EYR")))</f>
        <v>#REF!</v>
      </c>
    </row>
    <row r="22" spans="1:30" x14ac:dyDescent="0.3">
      <c r="A22" s="5" t="s">
        <v>5674</v>
      </c>
      <c r="B22" t="s">
        <v>5673</v>
      </c>
      <c r="C22" s="4" t="s">
        <v>5672</v>
      </c>
      <c r="D22" t="s">
        <v>21</v>
      </c>
      <c r="F22" t="s">
        <v>5671</v>
      </c>
      <c r="G22" s="3">
        <v>8493791518</v>
      </c>
      <c r="H22" s="2">
        <v>46113</v>
      </c>
      <c r="K22" s="1">
        <f ca="1">IF(A22="","",IF(OR(L22="ENTREGADA",L22="RETORNADA",L22="ENTREGA DIGITAL"),0,MAX(0,5-NETWORKDAYS(H22+1,TODAY()))))</f>
        <v>0</v>
      </c>
      <c r="L22" t="str">
        <f>IF(A22="","",IFERROR(LOOKUP(2,1/(#REF!=Z22),#REF!),Y22))</f>
        <v>ENTREGADA</v>
      </c>
      <c r="Y22" t="s">
        <v>1956</v>
      </c>
      <c r="Z22" t="str">
        <f>IF(A22="","",TEXT(A22,"0")&amp;"|"&amp;TEXT(H22,"0"))</f>
        <v>5415017739600480|46113</v>
      </c>
      <c r="AA22" t="str">
        <f>IF(Z22="","",IFERROR(LOOKUP(2,1/(#REF!=Z22),#REF!),""))</f>
        <v/>
      </c>
      <c r="AB22" t="str">
        <f>IF(Z22="","",IFERROR(LOOKUP(2,1/(#REF!=Z22),#REF!),""))</f>
        <v/>
      </c>
      <c r="AC22" t="e">
        <f>IF(Z22="","",COUNTIF(#REF!,Z22))</f>
        <v>#REF!</v>
      </c>
      <c r="AD22" t="e">
        <f>IF(A22="","",IF(AC22&gt;1,"REVISAR DUPLICADO",IF(AA22&lt;&gt;"","ACTUALIZADO POR EYR","SIN REPORTE EYR")))</f>
        <v>#REF!</v>
      </c>
    </row>
    <row r="23" spans="1:30" x14ac:dyDescent="0.3">
      <c r="A23" s="5" t="s">
        <v>5670</v>
      </c>
      <c r="B23" t="s">
        <v>5669</v>
      </c>
      <c r="C23" s="4" t="s">
        <v>5668</v>
      </c>
      <c r="D23" t="s">
        <v>21</v>
      </c>
      <c r="F23" t="s">
        <v>13</v>
      </c>
      <c r="G23" s="3">
        <v>8094790700</v>
      </c>
      <c r="H23" s="2">
        <v>46113</v>
      </c>
      <c r="K23" s="1">
        <f ca="1">IF(A23="","",IF(OR(L23="ENTREGADA",L23="RETORNADA",L23="ENTREGA DIGITAL"),0,MAX(0,5-NETWORKDAYS(H23+1,TODAY()))))</f>
        <v>0</v>
      </c>
      <c r="L23" t="str">
        <f>IF(A23="","",IFERROR(LOOKUP(2,1/(#REF!=Z23),#REF!),Y23))</f>
        <v>ENTREGADA</v>
      </c>
      <c r="Y23" t="s">
        <v>1956</v>
      </c>
      <c r="Z23" t="str">
        <f>IF(A23="","",TEXT(A23,"0")&amp;"|"&amp;TEXT(H23,"0"))</f>
        <v>5188017740115660|46113</v>
      </c>
      <c r="AA23" t="str">
        <f>IF(Z23="","",IFERROR(LOOKUP(2,1/(#REF!=Z23),#REF!),""))</f>
        <v/>
      </c>
      <c r="AB23" t="str">
        <f>IF(Z23="","",IFERROR(LOOKUP(2,1/(#REF!=Z23),#REF!),""))</f>
        <v/>
      </c>
      <c r="AC23" t="e">
        <f>IF(Z23="","",COUNTIF(#REF!,Z23))</f>
        <v>#REF!</v>
      </c>
      <c r="AD23" t="e">
        <f>IF(A23="","",IF(AC23&gt;1,"REVISAR DUPLICADO",IF(AA23&lt;&gt;"","ACTUALIZADO POR EYR","SIN REPORTE EYR")))</f>
        <v>#REF!</v>
      </c>
    </row>
    <row r="24" spans="1:30" x14ac:dyDescent="0.3">
      <c r="A24" t="s">
        <v>5667</v>
      </c>
      <c r="B24" t="s">
        <v>5666</v>
      </c>
      <c r="C24" s="4" t="s">
        <v>5665</v>
      </c>
      <c r="D24" t="s">
        <v>21</v>
      </c>
      <c r="F24" t="s">
        <v>265</v>
      </c>
      <c r="G24" s="3">
        <v>8293766744</v>
      </c>
      <c r="H24" s="2">
        <v>46113</v>
      </c>
      <c r="K24" s="1">
        <f ca="1">IF(A24="","",IF(OR(L24="ENTREGADA",L24="RETORNADA",L24="ENTREGA DIGITAL"),0,MAX(0,5-NETWORKDAYS(H24+1,TODAY()))))</f>
        <v>0</v>
      </c>
      <c r="L24" t="str">
        <f>IF(A24="","",IFERROR(LOOKUP(2,1/(#REF!=Z24),#REF!),Y24))</f>
        <v>RETORNADA</v>
      </c>
      <c r="Y24" t="s">
        <v>1857</v>
      </c>
      <c r="Z24" t="str">
        <f>IF(A24="","",TEXT(A24,"0")&amp;"|"&amp;TEXT(H24,"0"))</f>
        <v>4921017741891260|46113</v>
      </c>
      <c r="AA24" t="str">
        <f>IF(Z24="","",IFERROR(LOOKUP(2,1/(#REF!=Z24),#REF!),""))</f>
        <v/>
      </c>
      <c r="AB24" t="str">
        <f>IF(Z24="","",IFERROR(LOOKUP(2,1/(#REF!=Z24),#REF!),""))</f>
        <v/>
      </c>
      <c r="AC24" t="e">
        <f>IF(Z24="","",COUNTIF(#REF!,Z24))</f>
        <v>#REF!</v>
      </c>
      <c r="AD24" t="e">
        <f>IF(A24="","",IF(AC24&gt;1,"REVISAR DUPLICADO",IF(AA24&lt;&gt;"","ACTUALIZADO POR EYR","SIN REPORTE EYR")))</f>
        <v>#REF!</v>
      </c>
    </row>
    <row r="25" spans="1:30" x14ac:dyDescent="0.3">
      <c r="A25" s="5" t="s">
        <v>5664</v>
      </c>
      <c r="B25" t="s">
        <v>5663</v>
      </c>
      <c r="C25" s="4" t="s">
        <v>5662</v>
      </c>
      <c r="D25" t="s">
        <v>21</v>
      </c>
      <c r="F25" t="s">
        <v>5661</v>
      </c>
      <c r="G25" s="3">
        <v>8096449963</v>
      </c>
      <c r="H25" s="2">
        <v>46113</v>
      </c>
      <c r="K25" s="1">
        <f ca="1">IF(A25="","",IF(OR(L25="ENTREGADA",L25="RETORNADA",L25="ENTREGA DIGITAL"),0,MAX(0,5-NETWORKDAYS(H25+1,TODAY()))))</f>
        <v>0</v>
      </c>
      <c r="L25" t="str">
        <f>IF(A25="","",IFERROR(LOOKUP(2,1/(#REF!=Z25),#REF!),Y25))</f>
        <v>ENTREGADA</v>
      </c>
      <c r="Y25" t="s">
        <v>1956</v>
      </c>
      <c r="Z25" t="str">
        <f>IF(A25="","",TEXT(A25,"0")&amp;"|"&amp;TEXT(H25,"0"))</f>
        <v>5415017739593230|46113</v>
      </c>
      <c r="AA25" t="str">
        <f>IF(Z25="","",IFERROR(LOOKUP(2,1/(#REF!=Z25),#REF!),""))</f>
        <v/>
      </c>
      <c r="AB25" t="str">
        <f>IF(Z25="","",IFERROR(LOOKUP(2,1/(#REF!=Z25),#REF!),""))</f>
        <v/>
      </c>
      <c r="AC25" t="e">
        <f>IF(Z25="","",COUNTIF(#REF!,Z25))</f>
        <v>#REF!</v>
      </c>
      <c r="AD25" t="e">
        <f>IF(A25="","",IF(AC25&gt;1,"REVISAR DUPLICADO",IF(AA25&lt;&gt;"","ACTUALIZADO POR EYR","SIN REPORTE EYR")))</f>
        <v>#REF!</v>
      </c>
    </row>
    <row r="26" spans="1:30" x14ac:dyDescent="0.3">
      <c r="A26" s="5" t="s">
        <v>5660</v>
      </c>
      <c r="B26" t="s">
        <v>5659</v>
      </c>
      <c r="C26" s="4" t="s">
        <v>5658</v>
      </c>
      <c r="D26" t="s">
        <v>21</v>
      </c>
      <c r="F26" t="s">
        <v>5657</v>
      </c>
      <c r="G26" s="3">
        <v>8092647446</v>
      </c>
      <c r="H26" s="2">
        <v>46113</v>
      </c>
      <c r="I26" t="s">
        <v>1397</v>
      </c>
      <c r="K26" s="1">
        <f ca="1">IF(A26="","",IF(OR(L26="ENTREGADA",L26="RETORNADA",L26="ENTREGA DIGITAL"),0,MAX(0,5-NETWORKDAYS(H26+1,TODAY()))))</f>
        <v>0</v>
      </c>
      <c r="L26" t="str">
        <f>IF(A26="","",IFERROR(LOOKUP(2,1/(#REF!=Z26),#REF!),Y26))</f>
        <v>ENTREGADA</v>
      </c>
      <c r="Y26" t="s">
        <v>1956</v>
      </c>
      <c r="Z26" t="str">
        <f>IF(A26="","",TEXT(A26,"0")&amp;"|"&amp;TEXT(H26,"0"))</f>
        <v>5415017739618930|46113</v>
      </c>
      <c r="AA26" t="str">
        <f>IF(Z26="","",IFERROR(LOOKUP(2,1/(#REF!=Z26),#REF!),""))</f>
        <v/>
      </c>
      <c r="AB26" t="str">
        <f>IF(Z26="","",IFERROR(LOOKUP(2,1/(#REF!=Z26),#REF!),""))</f>
        <v/>
      </c>
      <c r="AC26" t="e">
        <f>IF(Z26="","",COUNTIF(#REF!,Z26))</f>
        <v>#REF!</v>
      </c>
      <c r="AD26" t="e">
        <f>IF(A26="","",IF(AC26&gt;1,"REVISAR DUPLICADO",IF(AA26&lt;&gt;"","ACTUALIZADO POR EYR","SIN REPORTE EYR")))</f>
        <v>#REF!</v>
      </c>
    </row>
    <row r="27" spans="1:30" x14ac:dyDescent="0.3">
      <c r="A27" s="5" t="s">
        <v>5656</v>
      </c>
      <c r="B27" t="s">
        <v>5655</v>
      </c>
      <c r="C27" s="4" t="s">
        <v>5654</v>
      </c>
      <c r="D27" t="s">
        <v>21</v>
      </c>
      <c r="F27" t="s">
        <v>13</v>
      </c>
      <c r="G27" s="3">
        <v>8096278406</v>
      </c>
      <c r="H27" s="2">
        <v>46113</v>
      </c>
      <c r="K27" s="1">
        <f ca="1">IF(A27="","",IF(OR(L27="ENTREGADA",L27="RETORNADA",L27="ENTREGA DIGITAL"),0,MAX(0,5-NETWORKDAYS(H27+1,TODAY()))))</f>
        <v>0</v>
      </c>
      <c r="L27" t="str">
        <f>IF(A27="","",IFERROR(LOOKUP(2,1/(#REF!=Z27),#REF!),Y27))</f>
        <v>ENTREGADA</v>
      </c>
      <c r="Y27" t="s">
        <v>1956</v>
      </c>
      <c r="Z27" t="str">
        <f>IF(A27="","",TEXT(A27,"0")&amp;"|"&amp;TEXT(H27,"0"))</f>
        <v>4741017742401600|46113</v>
      </c>
      <c r="AA27" t="str">
        <f>IF(Z27="","",IFERROR(LOOKUP(2,1/(#REF!=Z27),#REF!),""))</f>
        <v/>
      </c>
      <c r="AB27" t="str">
        <f>IF(Z27="","",IFERROR(LOOKUP(2,1/(#REF!=Z27),#REF!),""))</f>
        <v/>
      </c>
      <c r="AC27" t="e">
        <f>IF(Z27="","",COUNTIF(#REF!,Z27))</f>
        <v>#REF!</v>
      </c>
      <c r="AD27" t="e">
        <f>IF(A27="","",IF(AC27&gt;1,"REVISAR DUPLICADO",IF(AA27&lt;&gt;"","ACTUALIZADO POR EYR","SIN REPORTE EYR")))</f>
        <v>#REF!</v>
      </c>
    </row>
    <row r="28" spans="1:30" x14ac:dyDescent="0.3">
      <c r="A28" s="5" t="s">
        <v>5653</v>
      </c>
      <c r="B28" t="s">
        <v>5652</v>
      </c>
      <c r="C28" s="4" t="s">
        <v>5651</v>
      </c>
      <c r="D28" t="s">
        <v>21</v>
      </c>
      <c r="F28" t="s">
        <v>13</v>
      </c>
      <c r="G28" s="3">
        <v>8296612487</v>
      </c>
      <c r="H28" s="2">
        <v>46113</v>
      </c>
      <c r="K28" s="1">
        <f ca="1">IF(A28="","",IF(OR(L28="ENTREGADA",L28="RETORNADA",L28="ENTREGA DIGITAL"),0,MAX(0,5-NETWORKDAYS(H28+1,TODAY()))))</f>
        <v>0</v>
      </c>
      <c r="L28" t="str">
        <f>IF(A28="","",IFERROR(LOOKUP(2,1/(#REF!=Z28),#REF!),Y28))</f>
        <v>ENTREGADA</v>
      </c>
      <c r="Y28" t="s">
        <v>1956</v>
      </c>
      <c r="Z28" t="str">
        <f>IF(A28="","",TEXT(A28,"0")&amp;"|"&amp;TEXT(H28,"0"))</f>
        <v>4025017738043130|46113</v>
      </c>
      <c r="AA28" t="str">
        <f>IF(Z28="","",IFERROR(LOOKUP(2,1/(#REF!=Z28),#REF!),""))</f>
        <v/>
      </c>
      <c r="AB28" t="str">
        <f>IF(Z28="","",IFERROR(LOOKUP(2,1/(#REF!=Z28),#REF!),""))</f>
        <v/>
      </c>
      <c r="AC28" t="e">
        <f>IF(Z28="","",COUNTIF(#REF!,Z28))</f>
        <v>#REF!</v>
      </c>
      <c r="AD28" t="e">
        <f>IF(A28="","",IF(AC28&gt;1,"REVISAR DUPLICADO",IF(AA28&lt;&gt;"","ACTUALIZADO POR EYR","SIN REPORTE EYR")))</f>
        <v>#REF!</v>
      </c>
    </row>
    <row r="29" spans="1:30" x14ac:dyDescent="0.3">
      <c r="A29" s="5" t="s">
        <v>5650</v>
      </c>
      <c r="B29" t="s">
        <v>5649</v>
      </c>
      <c r="C29" s="4" t="s">
        <v>5648</v>
      </c>
      <c r="D29" t="s">
        <v>21</v>
      </c>
      <c r="F29" t="s">
        <v>13</v>
      </c>
      <c r="G29" s="3">
        <v>8497108383</v>
      </c>
      <c r="H29" s="2">
        <v>46113</v>
      </c>
      <c r="K29" s="1">
        <f ca="1">IF(A29="","",IF(OR(L29="ENTREGADA",L29="RETORNADA",L29="ENTREGA DIGITAL"),0,MAX(0,5-NETWORKDAYS(H29+1,TODAY()))))</f>
        <v>0</v>
      </c>
      <c r="L29" t="str">
        <f>IF(A29="","",IFERROR(LOOKUP(2,1/(#REF!=Z29),#REF!),Y29))</f>
        <v>ENTREGADA</v>
      </c>
      <c r="Y29" t="s">
        <v>1956</v>
      </c>
      <c r="Z29" t="str">
        <f>IF(A29="","",TEXT(A29,"0")&amp;"|"&amp;TEXT(H29,"0"))</f>
        <v>4025017737947210|46113</v>
      </c>
      <c r="AA29" t="str">
        <f>IF(Z29="","",IFERROR(LOOKUP(2,1/(#REF!=Z29),#REF!),""))</f>
        <v/>
      </c>
      <c r="AB29" t="str">
        <f>IF(Z29="","",IFERROR(LOOKUP(2,1/(#REF!=Z29),#REF!),""))</f>
        <v/>
      </c>
      <c r="AC29" t="e">
        <f>IF(Z29="","",COUNTIF(#REF!,Z29))</f>
        <v>#REF!</v>
      </c>
      <c r="AD29" t="e">
        <f>IF(A29="","",IF(AC29&gt;1,"REVISAR DUPLICADO",IF(AA29&lt;&gt;"","ACTUALIZADO POR EYR","SIN REPORTE EYR")))</f>
        <v>#REF!</v>
      </c>
    </row>
    <row r="30" spans="1:30" x14ac:dyDescent="0.3">
      <c r="A30" s="5" t="s">
        <v>5647</v>
      </c>
      <c r="B30" t="s">
        <v>5646</v>
      </c>
      <c r="C30" s="4" t="s">
        <v>5645</v>
      </c>
      <c r="D30" t="s">
        <v>21</v>
      </c>
      <c r="F30" t="s">
        <v>13</v>
      </c>
      <c r="G30" s="3">
        <v>8295517624</v>
      </c>
      <c r="H30" s="2">
        <v>46113</v>
      </c>
      <c r="I30" t="s">
        <v>1397</v>
      </c>
      <c r="K30" s="1">
        <f ca="1">IF(A30="","",IF(OR(L30="ENTREGADA",L30="RETORNADA",L30="ENTREGA DIGITAL"),0,MAX(0,5-NETWORKDAYS(H30+1,TODAY()))))</f>
        <v>0</v>
      </c>
      <c r="L30" t="str">
        <f>IF(A30="","",IFERROR(LOOKUP(2,1/(#REF!=Z30),#REF!),Y30))</f>
        <v>ENTREGADA</v>
      </c>
      <c r="Y30" t="s">
        <v>1956</v>
      </c>
      <c r="Z30" t="str">
        <f>IF(A30="","",TEXT(A30,"0")&amp;"|"&amp;TEXT(H30,"0"))</f>
        <v>4921017735571690|46113</v>
      </c>
      <c r="AA30" t="str">
        <f>IF(Z30="","",IFERROR(LOOKUP(2,1/(#REF!=Z30),#REF!),""))</f>
        <v/>
      </c>
      <c r="AB30" t="str">
        <f>IF(Z30="","",IFERROR(LOOKUP(2,1/(#REF!=Z30),#REF!),""))</f>
        <v/>
      </c>
      <c r="AC30" t="e">
        <f>IF(Z30="","",COUNTIF(#REF!,Z30))</f>
        <v>#REF!</v>
      </c>
      <c r="AD30" t="e">
        <f>IF(A30="","",IF(AC30&gt;1,"REVISAR DUPLICADO",IF(AA30&lt;&gt;"","ACTUALIZADO POR EYR","SIN REPORTE EYR")))</f>
        <v>#REF!</v>
      </c>
    </row>
    <row r="31" spans="1:30" x14ac:dyDescent="0.3">
      <c r="A31" s="5" t="s">
        <v>5644</v>
      </c>
      <c r="B31" t="s">
        <v>5643</v>
      </c>
      <c r="C31" s="4" t="s">
        <v>5642</v>
      </c>
      <c r="D31" t="s">
        <v>21</v>
      </c>
      <c r="F31" t="s">
        <v>13</v>
      </c>
      <c r="G31" s="3">
        <v>8093618297</v>
      </c>
      <c r="H31" s="2">
        <v>46113</v>
      </c>
      <c r="K31" s="1">
        <f ca="1">IF(A31="","",IF(OR(L31="ENTREGADA",L31="RETORNADA",L31="ENTREGA DIGITAL"),0,MAX(0,5-NETWORKDAYS(H31+1,TODAY()))))</f>
        <v>0</v>
      </c>
      <c r="L31" t="str">
        <f>IF(A31="","",IFERROR(LOOKUP(2,1/(#REF!=Z31),#REF!),Y31))</f>
        <v>ENTREGADA</v>
      </c>
      <c r="Y31" t="s">
        <v>1956</v>
      </c>
      <c r="Z31" t="str">
        <f>IF(A31="","",TEXT(A31,"0")&amp;"|"&amp;TEXT(H31,"0"))</f>
        <v>4966017622151380|46113</v>
      </c>
      <c r="AA31" t="str">
        <f>IF(Z31="","",IFERROR(LOOKUP(2,1/(#REF!=Z31),#REF!),""))</f>
        <v/>
      </c>
      <c r="AB31" t="str">
        <f>IF(Z31="","",IFERROR(LOOKUP(2,1/(#REF!=Z31),#REF!),""))</f>
        <v/>
      </c>
      <c r="AC31" t="e">
        <f>IF(Z31="","",COUNTIF(#REF!,Z31))</f>
        <v>#REF!</v>
      </c>
      <c r="AD31" t="e">
        <f>IF(A31="","",IF(AC31&gt;1,"REVISAR DUPLICADO",IF(AA31&lt;&gt;"","ACTUALIZADO POR EYR","SIN REPORTE EYR")))</f>
        <v>#REF!</v>
      </c>
    </row>
    <row r="32" spans="1:30" x14ac:dyDescent="0.3">
      <c r="A32" s="5" t="s">
        <v>5641</v>
      </c>
      <c r="B32" t="s">
        <v>5640</v>
      </c>
      <c r="C32" s="4" t="s">
        <v>5639</v>
      </c>
      <c r="D32" t="s">
        <v>21</v>
      </c>
      <c r="F32" t="s">
        <v>5638</v>
      </c>
      <c r="G32" s="3">
        <v>8095262105</v>
      </c>
      <c r="H32" s="2">
        <v>46113</v>
      </c>
      <c r="K32" s="1">
        <f ca="1">IF(A32="","",IF(OR(L32="ENTREGADA",L32="RETORNADA",L32="ENTREGA DIGITAL"),0,MAX(0,5-NETWORKDAYS(H32+1,TODAY()))))</f>
        <v>0</v>
      </c>
      <c r="L32" t="str">
        <f>IF(A32="","",IFERROR(LOOKUP(2,1/(#REF!=Z32),#REF!),Y32))</f>
        <v>ENTREGADA</v>
      </c>
      <c r="Y32" t="s">
        <v>1956</v>
      </c>
      <c r="Z32" t="str">
        <f>IF(A32="","",TEXT(A32,"0")&amp;"|"&amp;TEXT(H32,"0"))</f>
        <v>4921017741381980|46113</v>
      </c>
      <c r="AA32" t="str">
        <f>IF(Z32="","",IFERROR(LOOKUP(2,1/(#REF!=Z32),#REF!),""))</f>
        <v/>
      </c>
      <c r="AB32" t="str">
        <f>IF(Z32="","",IFERROR(LOOKUP(2,1/(#REF!=Z32),#REF!),""))</f>
        <v/>
      </c>
      <c r="AC32" t="e">
        <f>IF(Z32="","",COUNTIF(#REF!,Z32))</f>
        <v>#REF!</v>
      </c>
      <c r="AD32" t="e">
        <f>IF(A32="","",IF(AC32&gt;1,"REVISAR DUPLICADO",IF(AA32&lt;&gt;"","ACTUALIZADO POR EYR","SIN REPORTE EYR")))</f>
        <v>#REF!</v>
      </c>
    </row>
    <row r="33" spans="1:30" x14ac:dyDescent="0.3">
      <c r="A33" t="s">
        <v>3575</v>
      </c>
      <c r="B33" t="s">
        <v>3574</v>
      </c>
      <c r="C33" s="4" t="s">
        <v>3573</v>
      </c>
      <c r="D33" t="s">
        <v>21</v>
      </c>
      <c r="F33" t="s">
        <v>5637</v>
      </c>
      <c r="G33" s="3">
        <v>9999999999</v>
      </c>
      <c r="H33" s="2">
        <v>46113</v>
      </c>
      <c r="K33" s="1">
        <f ca="1">IF(A33="","",IF(OR(L33="ENTREGADA",L33="RETORNADA",L33="ENTREGA DIGITAL"),0,MAX(0,5-NETWORKDAYS(H33+1,TODAY()))))</f>
        <v>0</v>
      </c>
      <c r="L33" t="str">
        <f>IF(A33="","",IFERROR(LOOKUP(2,1/(#REF!=Z33),#REF!),Y33))</f>
        <v>RETORNADA</v>
      </c>
      <c r="Y33" t="s">
        <v>1857</v>
      </c>
      <c r="Z33" t="str">
        <f>IF(A33="","",TEXT(A33,"0")&amp;"|"&amp;TEXT(H33,"0"))</f>
        <v>5400017739701680|46113</v>
      </c>
      <c r="AA33" t="str">
        <f>IF(Z33="","",IFERROR(LOOKUP(2,1/(#REF!=Z33),#REF!),""))</f>
        <v/>
      </c>
      <c r="AB33" t="str">
        <f>IF(Z33="","",IFERROR(LOOKUP(2,1/(#REF!=Z33),#REF!),""))</f>
        <v/>
      </c>
      <c r="AC33" t="e">
        <f>IF(Z33="","",COUNTIF(#REF!,Z33))</f>
        <v>#REF!</v>
      </c>
      <c r="AD33" t="e">
        <f>IF(A33="","",IF(AC33&gt;1,"REVISAR DUPLICADO",IF(AA33&lt;&gt;"","ACTUALIZADO POR EYR","SIN REPORTE EYR")))</f>
        <v>#REF!</v>
      </c>
    </row>
    <row r="34" spans="1:30" x14ac:dyDescent="0.3">
      <c r="A34" s="5" t="s">
        <v>5636</v>
      </c>
      <c r="B34" t="s">
        <v>5635</v>
      </c>
      <c r="C34" s="4" t="s">
        <v>5634</v>
      </c>
      <c r="D34" t="s">
        <v>21</v>
      </c>
      <c r="F34" t="s">
        <v>13</v>
      </c>
      <c r="G34" s="3">
        <v>8293744641</v>
      </c>
      <c r="H34" s="2">
        <v>46113</v>
      </c>
      <c r="K34" s="1">
        <f ca="1">IF(A34="","",IF(OR(L34="ENTREGADA",L34="RETORNADA",L34="ENTREGA DIGITAL"),0,MAX(0,5-NETWORKDAYS(H34+1,TODAY()))))</f>
        <v>0</v>
      </c>
      <c r="L34" t="str">
        <f>IF(A34="","",IFERROR(LOOKUP(2,1/(#REF!=Z34),#REF!),Y34))</f>
        <v>ENTREGADA</v>
      </c>
      <c r="Y34" t="s">
        <v>1956</v>
      </c>
      <c r="Z34" t="str">
        <f>IF(A34="","",TEXT(A34,"0")&amp;"|"&amp;TEXT(H34,"0"))</f>
        <v>4921017741694250|46113</v>
      </c>
      <c r="AA34" t="str">
        <f>IF(Z34="","",IFERROR(LOOKUP(2,1/(#REF!=Z34),#REF!),""))</f>
        <v/>
      </c>
      <c r="AB34" t="str">
        <f>IF(Z34="","",IFERROR(LOOKUP(2,1/(#REF!=Z34),#REF!),""))</f>
        <v/>
      </c>
      <c r="AC34" t="e">
        <f>IF(Z34="","",COUNTIF(#REF!,Z34))</f>
        <v>#REF!</v>
      </c>
      <c r="AD34" t="e">
        <f>IF(A34="","",IF(AC34&gt;1,"REVISAR DUPLICADO",IF(AA34&lt;&gt;"","ACTUALIZADO POR EYR","SIN REPORTE EYR")))</f>
        <v>#REF!</v>
      </c>
    </row>
    <row r="35" spans="1:30" x14ac:dyDescent="0.3">
      <c r="A35" s="5" t="s">
        <v>5633</v>
      </c>
      <c r="B35" t="s">
        <v>685</v>
      </c>
      <c r="C35" s="4" t="s">
        <v>684</v>
      </c>
      <c r="D35" t="s">
        <v>1</v>
      </c>
      <c r="F35" t="s">
        <v>0</v>
      </c>
      <c r="G35" s="3">
        <v>8293328313</v>
      </c>
      <c r="H35" s="2">
        <v>46113</v>
      </c>
      <c r="K35" s="1">
        <f ca="1">IF(A35="","",IF(OR(L35="ENTREGADA",L35="RETORNADA",L35="ENTREGA DIGITAL"),0,MAX(0,5-NETWORKDAYS(H35+1,TODAY()))))</f>
        <v>0</v>
      </c>
      <c r="L35" t="str">
        <f>IF(A35="","",IFERROR(LOOKUP(2,1/(#REF!=Z35),#REF!),Y35))</f>
        <v>ENTREGADA</v>
      </c>
      <c r="Y35" t="s">
        <v>1956</v>
      </c>
      <c r="Z35" t="str">
        <f>IF(A35="","",TEXT(A35,"0")&amp;"|"&amp;TEXT(H35,"0"))</f>
        <v>5427017370463240|46113</v>
      </c>
      <c r="AA35" t="str">
        <f>IF(Z35="","",IFERROR(LOOKUP(2,1/(#REF!=Z35),#REF!),""))</f>
        <v/>
      </c>
      <c r="AB35" t="str">
        <f>IF(Z35="","",IFERROR(LOOKUP(2,1/(#REF!=Z35),#REF!),""))</f>
        <v/>
      </c>
      <c r="AC35" t="e">
        <f>IF(Z35="","",COUNTIF(#REF!,Z35))</f>
        <v>#REF!</v>
      </c>
      <c r="AD35" t="e">
        <f>IF(A35="","",IF(AC35&gt;1,"REVISAR DUPLICADO",IF(AA35&lt;&gt;"","ACTUALIZADO POR EYR","SIN REPORTE EYR")))</f>
        <v>#REF!</v>
      </c>
    </row>
    <row r="36" spans="1:30" x14ac:dyDescent="0.3">
      <c r="A36" t="s">
        <v>3871</v>
      </c>
      <c r="B36" t="s">
        <v>3870</v>
      </c>
      <c r="C36" s="4" t="s">
        <v>3869</v>
      </c>
      <c r="D36" t="s">
        <v>1</v>
      </c>
      <c r="F36" t="s">
        <v>13</v>
      </c>
      <c r="G36" s="3">
        <v>8298435649</v>
      </c>
      <c r="H36" s="2">
        <v>46113</v>
      </c>
      <c r="K36" s="1">
        <f ca="1">IF(A36="","",IF(OR(L36="ENTREGADA",L36="RETORNADA",L36="ENTREGA DIGITAL"),0,MAX(0,5-NETWORKDAYS(H36+1,TODAY()))))</f>
        <v>0</v>
      </c>
      <c r="L36" t="str">
        <f>IF(A36="","",IFERROR(LOOKUP(2,1/(#REF!=Z36),#REF!),Y36))</f>
        <v>RETORNADA</v>
      </c>
      <c r="Y36" t="s">
        <v>1857</v>
      </c>
      <c r="Z36" t="str">
        <f>IF(A36="","",TEXT(A36,"0")&amp;"|"&amp;TEXT(H36,"0"))</f>
        <v>5400017739690230|46113</v>
      </c>
      <c r="AA36" t="str">
        <f>IF(Z36="","",IFERROR(LOOKUP(2,1/(#REF!=Z36),#REF!),""))</f>
        <v/>
      </c>
      <c r="AB36" t="str">
        <f>IF(Z36="","",IFERROR(LOOKUP(2,1/(#REF!=Z36),#REF!),""))</f>
        <v/>
      </c>
      <c r="AC36" t="e">
        <f>IF(Z36="","",COUNTIF(#REF!,Z36))</f>
        <v>#REF!</v>
      </c>
      <c r="AD36" t="e">
        <f>IF(A36="","",IF(AC36&gt;1,"REVISAR DUPLICADO",IF(AA36&lt;&gt;"","ACTUALIZADO POR EYR","SIN REPORTE EYR")))</f>
        <v>#REF!</v>
      </c>
    </row>
    <row r="37" spans="1:30" x14ac:dyDescent="0.3">
      <c r="A37" t="s">
        <v>5632</v>
      </c>
      <c r="B37" t="s">
        <v>5631</v>
      </c>
      <c r="C37" s="4" t="s">
        <v>5630</v>
      </c>
      <c r="D37" t="s">
        <v>1</v>
      </c>
      <c r="F37" t="s">
        <v>13</v>
      </c>
      <c r="G37" s="3">
        <v>8092323356</v>
      </c>
      <c r="H37" s="2">
        <v>46113</v>
      </c>
      <c r="K37" s="1">
        <f ca="1">IF(A37="","",IF(OR(L37="ENTREGADA",L37="RETORNADA",L37="ENTREGA DIGITAL"),0,MAX(0,5-NETWORKDAYS(H37+1,TODAY()))))</f>
        <v>0</v>
      </c>
      <c r="L37" t="str">
        <f>IF(A37="","",IFERROR(LOOKUP(2,1/(#REF!=Z37),#REF!),Y37))</f>
        <v>RETORNADA</v>
      </c>
      <c r="Y37" t="s">
        <v>1857</v>
      </c>
      <c r="Z37" t="str">
        <f>IF(A37="","",TEXT(A37,"0")&amp;"|"&amp;TEXT(H37,"0"))</f>
        <v>5227017739825810|46113</v>
      </c>
      <c r="AA37" t="str">
        <f>IF(Z37="","",IFERROR(LOOKUP(2,1/(#REF!=Z37),#REF!),""))</f>
        <v/>
      </c>
      <c r="AB37" t="str">
        <f>IF(Z37="","",IFERROR(LOOKUP(2,1/(#REF!=Z37),#REF!),""))</f>
        <v/>
      </c>
      <c r="AC37" t="e">
        <f>IF(Z37="","",COUNTIF(#REF!,Z37))</f>
        <v>#REF!</v>
      </c>
      <c r="AD37" t="e">
        <f>IF(A37="","",IF(AC37&gt;1,"REVISAR DUPLICADO",IF(AA37&lt;&gt;"","ACTUALIZADO POR EYR","SIN REPORTE EYR")))</f>
        <v>#REF!</v>
      </c>
    </row>
    <row r="38" spans="1:30" x14ac:dyDescent="0.3">
      <c r="A38" s="5" t="s">
        <v>5629</v>
      </c>
      <c r="B38" t="s">
        <v>5628</v>
      </c>
      <c r="C38" s="4" t="s">
        <v>5627</v>
      </c>
      <c r="D38" t="s">
        <v>1</v>
      </c>
      <c r="E38" t="s">
        <v>214</v>
      </c>
      <c r="F38" t="s">
        <v>5626</v>
      </c>
      <c r="G38" s="3">
        <v>8097623597</v>
      </c>
      <c r="H38" s="2">
        <v>46113</v>
      </c>
      <c r="K38" s="1">
        <f ca="1">IF(A38="","",IF(OR(L38="ENTREGADA",L38="RETORNADA",L38="ENTREGA DIGITAL"),0,MAX(0,5-NETWORKDAYS(H38+1,TODAY()))))</f>
        <v>0</v>
      </c>
      <c r="L38" t="str">
        <f>IF(A38="","",IFERROR(LOOKUP(2,1/(#REF!=Z38),#REF!),Y38))</f>
        <v>ENTREGADA</v>
      </c>
      <c r="Y38" t="s">
        <v>1956</v>
      </c>
      <c r="Z38" t="str">
        <f>IF(A38="","",TEXT(A38,"0")&amp;"|"&amp;TEXT(H38,"0"))</f>
        <v>5415017739150810|46113</v>
      </c>
      <c r="AA38" t="str">
        <f>IF(Z38="","",IFERROR(LOOKUP(2,1/(#REF!=Z38),#REF!),""))</f>
        <v/>
      </c>
      <c r="AB38" t="str">
        <f>IF(Z38="","",IFERROR(LOOKUP(2,1/(#REF!=Z38),#REF!),""))</f>
        <v/>
      </c>
      <c r="AC38" t="e">
        <f>IF(Z38="","",COUNTIF(#REF!,Z38))</f>
        <v>#REF!</v>
      </c>
      <c r="AD38" t="e">
        <f>IF(A38="","",IF(AC38&gt;1,"REVISAR DUPLICADO",IF(AA38&lt;&gt;"","ACTUALIZADO POR EYR","SIN REPORTE EYR")))</f>
        <v>#REF!</v>
      </c>
    </row>
    <row r="39" spans="1:30" x14ac:dyDescent="0.3">
      <c r="A39" s="5" t="s">
        <v>5625</v>
      </c>
      <c r="B39" t="s">
        <v>5624</v>
      </c>
      <c r="C39" s="4" t="s">
        <v>5623</v>
      </c>
      <c r="D39" t="s">
        <v>1</v>
      </c>
      <c r="F39" t="s">
        <v>5622</v>
      </c>
      <c r="G39" s="3">
        <v>8095125852</v>
      </c>
      <c r="H39" s="2">
        <v>46113</v>
      </c>
      <c r="K39" s="1">
        <f ca="1">IF(A39="","",IF(OR(L39="ENTREGADA",L39="RETORNADA",L39="ENTREGA DIGITAL"),0,MAX(0,5-NETWORKDAYS(H39+1,TODAY()))))</f>
        <v>0</v>
      </c>
      <c r="L39" t="str">
        <f>IF(A39="","",IFERROR(LOOKUP(2,1/(#REF!=Z39),#REF!),Y39))</f>
        <v>ENTREGADA</v>
      </c>
      <c r="Y39" t="s">
        <v>1956</v>
      </c>
      <c r="Z39" t="str">
        <f>IF(A39="","",TEXT(A39,"0")&amp;"|"&amp;TEXT(H39,"0"))</f>
        <v>4921017741426580|46113</v>
      </c>
      <c r="AA39" t="str">
        <f>IF(Z39="","",IFERROR(LOOKUP(2,1/(#REF!=Z39),#REF!),""))</f>
        <v/>
      </c>
      <c r="AB39" t="str">
        <f>IF(Z39="","",IFERROR(LOOKUP(2,1/(#REF!=Z39),#REF!),""))</f>
        <v/>
      </c>
      <c r="AC39" t="e">
        <f>IF(Z39="","",COUNTIF(#REF!,Z39))</f>
        <v>#REF!</v>
      </c>
      <c r="AD39" t="e">
        <f>IF(A39="","",IF(AC39&gt;1,"REVISAR DUPLICADO",IF(AA39&lt;&gt;"","ACTUALIZADO POR EYR","SIN REPORTE EYR")))</f>
        <v>#REF!</v>
      </c>
    </row>
    <row r="40" spans="1:30" x14ac:dyDescent="0.3">
      <c r="A40" s="5" t="s">
        <v>5621</v>
      </c>
      <c r="B40" t="s">
        <v>5620</v>
      </c>
      <c r="C40" s="4" t="s">
        <v>5619</v>
      </c>
      <c r="D40" t="s">
        <v>77</v>
      </c>
      <c r="F40" t="s">
        <v>13</v>
      </c>
      <c r="G40" s="3">
        <v>8293738438</v>
      </c>
      <c r="H40" s="2">
        <v>46113</v>
      </c>
      <c r="I40" t="s">
        <v>1397</v>
      </c>
      <c r="K40" s="1">
        <f ca="1">IF(A40="","",IF(OR(L40="ENTREGADA",L40="RETORNADA",L40="ENTREGA DIGITAL"),0,MAX(0,5-NETWORKDAYS(H40+1,TODAY()))))</f>
        <v>0</v>
      </c>
      <c r="L40" t="str">
        <f>IF(A40="","",IFERROR(LOOKUP(2,1/(#REF!=Z40),#REF!),Y40))</f>
        <v>ENTREGADA</v>
      </c>
      <c r="Y40" t="s">
        <v>1956</v>
      </c>
      <c r="Z40" t="str">
        <f>IF(A40="","",TEXT(A40,"0")&amp;"|"&amp;TEXT(H40,"0"))</f>
        <v>5415017382175290|46113</v>
      </c>
      <c r="AA40" t="str">
        <f>IF(Z40="","",IFERROR(LOOKUP(2,1/(#REF!=Z40),#REF!),""))</f>
        <v/>
      </c>
      <c r="AB40" t="str">
        <f>IF(Z40="","",IFERROR(LOOKUP(2,1/(#REF!=Z40),#REF!),""))</f>
        <v/>
      </c>
      <c r="AC40" t="e">
        <f>IF(Z40="","",COUNTIF(#REF!,Z40))</f>
        <v>#REF!</v>
      </c>
      <c r="AD40" t="e">
        <f>IF(A40="","",IF(AC40&gt;1,"REVISAR DUPLICADO",IF(AA40&lt;&gt;"","ACTUALIZADO POR EYR","SIN REPORTE EYR")))</f>
        <v>#REF!</v>
      </c>
    </row>
    <row r="41" spans="1:30" x14ac:dyDescent="0.3">
      <c r="A41" s="5" t="s">
        <v>5618</v>
      </c>
      <c r="B41" t="s">
        <v>5617</v>
      </c>
      <c r="C41" s="4" t="s">
        <v>5616</v>
      </c>
      <c r="D41" t="s">
        <v>77</v>
      </c>
      <c r="F41" t="s">
        <v>13</v>
      </c>
      <c r="G41" s="3">
        <v>8098404162</v>
      </c>
      <c r="H41" s="2">
        <v>46113</v>
      </c>
      <c r="I41" t="s">
        <v>1397</v>
      </c>
      <c r="K41" s="1">
        <f ca="1">IF(A41="","",IF(OR(L41="ENTREGADA",L41="RETORNADA",L41="ENTREGA DIGITAL"),0,MAX(0,5-NETWORKDAYS(H41+1,TODAY()))))</f>
        <v>0</v>
      </c>
      <c r="L41" t="str">
        <f>IF(A41="","",IFERROR(LOOKUP(2,1/(#REF!=Z41),#REF!),Y41))</f>
        <v>ENTREGADA</v>
      </c>
      <c r="Y41" t="s">
        <v>1956</v>
      </c>
      <c r="Z41" t="str">
        <f>IF(A41="","",TEXT(A41,"0")&amp;"|"&amp;TEXT(H41,"0"))</f>
        <v>5415017743741470|46113</v>
      </c>
      <c r="AA41" t="str">
        <f>IF(Z41="","",IFERROR(LOOKUP(2,1/(#REF!=Z41),#REF!),""))</f>
        <v/>
      </c>
      <c r="AB41" t="str">
        <f>IF(Z41="","",IFERROR(LOOKUP(2,1/(#REF!=Z41),#REF!),""))</f>
        <v/>
      </c>
      <c r="AC41" t="e">
        <f>IF(Z41="","",COUNTIF(#REF!,Z41))</f>
        <v>#REF!</v>
      </c>
      <c r="AD41" t="e">
        <f>IF(A41="","",IF(AC41&gt;1,"REVISAR DUPLICADO",IF(AA41&lt;&gt;"","ACTUALIZADO POR EYR","SIN REPORTE EYR")))</f>
        <v>#REF!</v>
      </c>
    </row>
    <row r="42" spans="1:30" x14ac:dyDescent="0.3">
      <c r="A42" t="s">
        <v>3133</v>
      </c>
      <c r="B42" t="s">
        <v>3132</v>
      </c>
      <c r="C42" s="4" t="s">
        <v>3131</v>
      </c>
      <c r="D42" t="s">
        <v>77</v>
      </c>
      <c r="F42" t="s">
        <v>5615</v>
      </c>
      <c r="G42" s="3">
        <v>8298762485</v>
      </c>
      <c r="H42" s="2">
        <v>46113</v>
      </c>
      <c r="K42" s="1">
        <f ca="1">IF(A42="","",IF(OR(L42="ENTREGADA",L42="RETORNADA",L42="ENTREGA DIGITAL"),0,MAX(0,5-NETWORKDAYS(H42+1,TODAY()))))</f>
        <v>0</v>
      </c>
      <c r="L42" t="str">
        <f>IF(A42="","",IFERROR(LOOKUP(2,1/(#REF!=Z42),#REF!),Y42))</f>
        <v>RETORNADA</v>
      </c>
      <c r="Y42" t="s">
        <v>1857</v>
      </c>
      <c r="Z42" t="str">
        <f>IF(A42="","",TEXT(A42,"0")&amp;"|"&amp;TEXT(H42,"0"))</f>
        <v>5188017744747970|46113</v>
      </c>
      <c r="AA42" t="str">
        <f>IF(Z42="","",IFERROR(LOOKUP(2,1/(#REF!=Z42),#REF!),""))</f>
        <v/>
      </c>
      <c r="AB42" t="str">
        <f>IF(Z42="","",IFERROR(LOOKUP(2,1/(#REF!=Z42),#REF!),""))</f>
        <v/>
      </c>
      <c r="AC42" t="e">
        <f>IF(Z42="","",COUNTIF(#REF!,Z42))</f>
        <v>#REF!</v>
      </c>
      <c r="AD42" t="e">
        <f>IF(A42="","",IF(AC42&gt;1,"REVISAR DUPLICADO",IF(AA42&lt;&gt;"","ACTUALIZADO POR EYR","SIN REPORTE EYR")))</f>
        <v>#REF!</v>
      </c>
    </row>
    <row r="43" spans="1:30" x14ac:dyDescent="0.3">
      <c r="A43" t="s">
        <v>5614</v>
      </c>
      <c r="B43" t="s">
        <v>5613</v>
      </c>
      <c r="C43" s="4" t="s">
        <v>5612</v>
      </c>
      <c r="D43" t="s">
        <v>77</v>
      </c>
      <c r="F43" t="s">
        <v>13</v>
      </c>
      <c r="G43" s="3">
        <v>8493608439</v>
      </c>
      <c r="H43" s="2">
        <v>46113</v>
      </c>
      <c r="K43" s="1">
        <f ca="1">IF(A43="","",IF(OR(L43="ENTREGADA",L43="RETORNADA",L43="ENTREGA DIGITAL"),0,MAX(0,5-NETWORKDAYS(H43+1,TODAY()))))</f>
        <v>0</v>
      </c>
      <c r="L43" t="str">
        <f>IF(A43="","",IFERROR(LOOKUP(2,1/(#REF!=Z43),#REF!),Y43))</f>
        <v>RETORNADA</v>
      </c>
      <c r="Y43" t="s">
        <v>1857</v>
      </c>
      <c r="Z43" t="str">
        <f>IF(A43="","",TEXT(A43,"0")&amp;"|"&amp;TEXT(H43,"0"))</f>
        <v>5415017743350740|46113</v>
      </c>
      <c r="AA43" t="str">
        <f>IF(Z43="","",IFERROR(LOOKUP(2,1/(#REF!=Z43),#REF!),""))</f>
        <v/>
      </c>
      <c r="AB43" t="str">
        <f>IF(Z43="","",IFERROR(LOOKUP(2,1/(#REF!=Z43),#REF!),""))</f>
        <v/>
      </c>
      <c r="AC43" t="e">
        <f>IF(Z43="","",COUNTIF(#REF!,Z43))</f>
        <v>#REF!</v>
      </c>
      <c r="AD43" t="e">
        <f>IF(A43="","",IF(AC43&gt;1,"REVISAR DUPLICADO",IF(AA43&lt;&gt;"","ACTUALIZADO POR EYR","SIN REPORTE EYR")))</f>
        <v>#REF!</v>
      </c>
    </row>
    <row r="44" spans="1:30" x14ac:dyDescent="0.3">
      <c r="A44" s="5" t="s">
        <v>5611</v>
      </c>
      <c r="B44" t="s">
        <v>5610</v>
      </c>
      <c r="C44" s="4" t="s">
        <v>5609</v>
      </c>
      <c r="D44" t="s">
        <v>77</v>
      </c>
      <c r="F44" t="s">
        <v>122</v>
      </c>
      <c r="G44" s="3">
        <v>8293260167</v>
      </c>
      <c r="H44" s="2">
        <v>46113</v>
      </c>
      <c r="I44" t="s">
        <v>1397</v>
      </c>
      <c r="K44" s="1">
        <f ca="1">IF(A44="","",IF(OR(L44="ENTREGADA",L44="RETORNADA",L44="ENTREGA DIGITAL"),0,MAX(0,5-NETWORKDAYS(H44+1,TODAY()))))</f>
        <v>0</v>
      </c>
      <c r="L44" t="str">
        <f>IF(A44="","",IFERROR(LOOKUP(2,1/(#REF!=Z44),#REF!),Y44))</f>
        <v>ENTREGADA</v>
      </c>
      <c r="Y44" t="s">
        <v>1956</v>
      </c>
      <c r="Z44" t="str">
        <f>IF(A44="","",TEXT(A44,"0")&amp;"|"&amp;TEXT(H44,"0"))</f>
        <v>5188017745094890|46113</v>
      </c>
      <c r="AA44" t="str">
        <f>IF(Z44="","",IFERROR(LOOKUP(2,1/(#REF!=Z44),#REF!),""))</f>
        <v/>
      </c>
      <c r="AB44" t="str">
        <f>IF(Z44="","",IFERROR(LOOKUP(2,1/(#REF!=Z44),#REF!),""))</f>
        <v/>
      </c>
      <c r="AC44" t="e">
        <f>IF(Z44="","",COUNTIF(#REF!,Z44))</f>
        <v>#REF!</v>
      </c>
      <c r="AD44" t="e">
        <f>IF(A44="","",IF(AC44&gt;1,"REVISAR DUPLICADO",IF(AA44&lt;&gt;"","ACTUALIZADO POR EYR","SIN REPORTE EYR")))</f>
        <v>#REF!</v>
      </c>
    </row>
    <row r="45" spans="1:30" x14ac:dyDescent="0.3">
      <c r="A45" s="5" t="s">
        <v>5608</v>
      </c>
      <c r="B45" t="s">
        <v>5607</v>
      </c>
      <c r="C45" s="4" t="s">
        <v>5606</v>
      </c>
      <c r="D45" t="s">
        <v>77</v>
      </c>
      <c r="F45" t="s">
        <v>5289</v>
      </c>
      <c r="G45" s="3">
        <v>8296982582</v>
      </c>
      <c r="H45" s="2">
        <v>46113</v>
      </c>
      <c r="I45" t="s">
        <v>1397</v>
      </c>
      <c r="K45" s="1">
        <f ca="1">IF(A45="","",IF(OR(L45="ENTREGADA",L45="RETORNADA",L45="ENTREGA DIGITAL"),0,MAX(0,5-NETWORKDAYS(H45+1,TODAY()))))</f>
        <v>0</v>
      </c>
      <c r="L45" t="str">
        <f>IF(A45="","",IFERROR(LOOKUP(2,1/(#REF!=Z45),#REF!),Y45))</f>
        <v>ENTREGADA</v>
      </c>
      <c r="Y45" t="s">
        <v>1956</v>
      </c>
      <c r="Z45" t="str">
        <f>IF(A45="","",TEXT(A45,"0")&amp;"|"&amp;TEXT(H45,"0"))</f>
        <v>5188017745089010|46113</v>
      </c>
      <c r="AA45" t="str">
        <f>IF(Z45="","",IFERROR(LOOKUP(2,1/(#REF!=Z45),#REF!),""))</f>
        <v/>
      </c>
      <c r="AB45" t="str">
        <f>IF(Z45="","",IFERROR(LOOKUP(2,1/(#REF!=Z45),#REF!),""))</f>
        <v/>
      </c>
      <c r="AC45" t="e">
        <f>IF(Z45="","",COUNTIF(#REF!,Z45))</f>
        <v>#REF!</v>
      </c>
      <c r="AD45" t="e">
        <f>IF(A45="","",IF(AC45&gt;1,"REVISAR DUPLICADO",IF(AA45&lt;&gt;"","ACTUALIZADO POR EYR","SIN REPORTE EYR")))</f>
        <v>#REF!</v>
      </c>
    </row>
    <row r="46" spans="1:30" x14ac:dyDescent="0.3">
      <c r="A46" s="5" t="s">
        <v>5605</v>
      </c>
      <c r="B46" t="s">
        <v>5604</v>
      </c>
      <c r="C46" s="4" t="s">
        <v>5603</v>
      </c>
      <c r="D46" t="s">
        <v>77</v>
      </c>
      <c r="F46" t="s">
        <v>35</v>
      </c>
      <c r="G46" s="3">
        <v>8299724476</v>
      </c>
      <c r="H46" s="2">
        <v>46113</v>
      </c>
      <c r="K46" s="1">
        <f ca="1">IF(A46="","",IF(OR(L46="ENTREGADA",L46="RETORNADA",L46="ENTREGA DIGITAL"),0,MAX(0,5-NETWORKDAYS(H46+1,TODAY()))))</f>
        <v>0</v>
      </c>
      <c r="L46" t="str">
        <f>IF(A46="","",IFERROR(LOOKUP(2,1/(#REF!=Z46),#REF!),Y46))</f>
        <v>ENTREGADA</v>
      </c>
      <c r="Y46" t="s">
        <v>1956</v>
      </c>
      <c r="Z46" t="str">
        <f>IF(A46="","",TEXT(A46,"0")&amp;"|"&amp;TEXT(H46,"0"))</f>
        <v>5415017742447260|46113</v>
      </c>
      <c r="AA46" t="str">
        <f>IF(Z46="","",IFERROR(LOOKUP(2,1/(#REF!=Z46),#REF!),""))</f>
        <v/>
      </c>
      <c r="AB46" t="str">
        <f>IF(Z46="","",IFERROR(LOOKUP(2,1/(#REF!=Z46),#REF!),""))</f>
        <v/>
      </c>
      <c r="AC46" t="e">
        <f>IF(Z46="","",COUNTIF(#REF!,Z46))</f>
        <v>#REF!</v>
      </c>
      <c r="AD46" t="e">
        <f>IF(A46="","",IF(AC46&gt;1,"REVISAR DUPLICADO",IF(AA46&lt;&gt;"","ACTUALIZADO POR EYR","SIN REPORTE EYR")))</f>
        <v>#REF!</v>
      </c>
    </row>
    <row r="47" spans="1:30" x14ac:dyDescent="0.3">
      <c r="A47" s="5" t="s">
        <v>5602</v>
      </c>
      <c r="B47" t="s">
        <v>5601</v>
      </c>
      <c r="C47" s="4" t="s">
        <v>5600</v>
      </c>
      <c r="D47" t="s">
        <v>77</v>
      </c>
      <c r="E47" t="s">
        <v>214</v>
      </c>
      <c r="F47" t="s">
        <v>391</v>
      </c>
      <c r="G47" s="3">
        <v>8295233790</v>
      </c>
      <c r="H47" s="2">
        <v>46113</v>
      </c>
      <c r="K47" s="1">
        <f ca="1">IF(A47="","",IF(OR(L47="ENTREGADA",L47="RETORNADA",L47="ENTREGA DIGITAL"),0,MAX(0,5-NETWORKDAYS(H47+1,TODAY()))))</f>
        <v>0</v>
      </c>
      <c r="L47" t="str">
        <f>IF(A47="","",IFERROR(LOOKUP(2,1/(#REF!=Z47),#REF!),Y47))</f>
        <v>ENTREGADA</v>
      </c>
      <c r="Y47" t="s">
        <v>1956</v>
      </c>
      <c r="Z47" t="str">
        <f>IF(A47="","",TEXT(A47,"0")&amp;"|"&amp;TEXT(H47,"0"))</f>
        <v>5188017744627430|46113</v>
      </c>
      <c r="AA47" t="str">
        <f>IF(Z47="","",IFERROR(LOOKUP(2,1/(#REF!=Z47),#REF!),""))</f>
        <v/>
      </c>
      <c r="AB47" t="str">
        <f>IF(Z47="","",IFERROR(LOOKUP(2,1/(#REF!=Z47),#REF!),""))</f>
        <v/>
      </c>
      <c r="AC47" t="e">
        <f>IF(Z47="","",COUNTIF(#REF!,Z47))</f>
        <v>#REF!</v>
      </c>
      <c r="AD47" t="e">
        <f>IF(A47="","",IF(AC47&gt;1,"REVISAR DUPLICADO",IF(AA47&lt;&gt;"","ACTUALIZADO POR EYR","SIN REPORTE EYR")))</f>
        <v>#REF!</v>
      </c>
    </row>
    <row r="48" spans="1:30" x14ac:dyDescent="0.3">
      <c r="A48" t="s">
        <v>5599</v>
      </c>
      <c r="B48" t="s">
        <v>3891</v>
      </c>
      <c r="C48" s="4" t="s">
        <v>3890</v>
      </c>
      <c r="D48" t="s">
        <v>77</v>
      </c>
      <c r="F48" t="s">
        <v>5598</v>
      </c>
      <c r="G48" s="3">
        <v>8094942470</v>
      </c>
      <c r="H48" s="2">
        <v>46113</v>
      </c>
      <c r="K48" s="1">
        <f ca="1">IF(A48="","",IF(OR(L48="ENTREGADA",L48="RETORNADA",L48="ENTREGA DIGITAL"),0,MAX(0,5-NETWORKDAYS(H48+1,TODAY()))))</f>
        <v>0</v>
      </c>
      <c r="L48" t="str">
        <f>IF(A48="","",IFERROR(LOOKUP(2,1/(#REF!=Z48),#REF!),Y48))</f>
        <v>RETORNADA</v>
      </c>
      <c r="Y48" t="s">
        <v>1857</v>
      </c>
      <c r="Z48" t="str">
        <f>IF(A48="","",TEXT(A48,"0")&amp;"|"&amp;TEXT(H48,"0"))</f>
        <v>5415017743349240|46113</v>
      </c>
      <c r="AA48" t="str">
        <f>IF(Z48="","",IFERROR(LOOKUP(2,1/(#REF!=Z48),#REF!),""))</f>
        <v/>
      </c>
      <c r="AB48" t="str">
        <f>IF(Z48="","",IFERROR(LOOKUP(2,1/(#REF!=Z48),#REF!),""))</f>
        <v/>
      </c>
      <c r="AC48" t="e">
        <f>IF(Z48="","",COUNTIF(#REF!,Z48))</f>
        <v>#REF!</v>
      </c>
      <c r="AD48" t="e">
        <f>IF(A48="","",IF(AC48&gt;1,"REVISAR DUPLICADO",IF(AA48&lt;&gt;"","ACTUALIZADO POR EYR","SIN REPORTE EYR")))</f>
        <v>#REF!</v>
      </c>
    </row>
    <row r="49" spans="1:30" x14ac:dyDescent="0.3">
      <c r="A49" s="5" t="s">
        <v>5597</v>
      </c>
      <c r="B49" t="s">
        <v>5596</v>
      </c>
      <c r="C49" s="4" t="s">
        <v>5595</v>
      </c>
      <c r="D49" t="s">
        <v>77</v>
      </c>
      <c r="F49" t="s">
        <v>13</v>
      </c>
      <c r="G49" s="3">
        <v>8293199983</v>
      </c>
      <c r="H49" s="2">
        <v>46113</v>
      </c>
      <c r="I49" t="s">
        <v>1397</v>
      </c>
      <c r="K49" s="1">
        <f ca="1">IF(A49="","",IF(OR(L49="ENTREGADA",L49="RETORNADA",L49="ENTREGA DIGITAL"),0,MAX(0,5-NETWORKDAYS(H49+1,TODAY()))))</f>
        <v>0</v>
      </c>
      <c r="L49" t="str">
        <f>IF(A49="","",IFERROR(LOOKUP(2,1/(#REF!=Z49),#REF!),Y49))</f>
        <v>ENTREGADA</v>
      </c>
      <c r="Y49" t="s">
        <v>1956</v>
      </c>
      <c r="Z49" t="str">
        <f>IF(A49="","",TEXT(A49,"0")&amp;"|"&amp;TEXT(H49,"0"))</f>
        <v>5415017742679370|46113</v>
      </c>
      <c r="AA49" t="str">
        <f>IF(Z49="","",IFERROR(LOOKUP(2,1/(#REF!=Z49),#REF!),""))</f>
        <v/>
      </c>
      <c r="AB49" t="str">
        <f>IF(Z49="","",IFERROR(LOOKUP(2,1/(#REF!=Z49),#REF!),""))</f>
        <v/>
      </c>
      <c r="AC49" t="e">
        <f>IF(Z49="","",COUNTIF(#REF!,Z49))</f>
        <v>#REF!</v>
      </c>
      <c r="AD49" t="e">
        <f>IF(A49="","",IF(AC49&gt;1,"REVISAR DUPLICADO",IF(AA49&lt;&gt;"","ACTUALIZADO POR EYR","SIN REPORTE EYR")))</f>
        <v>#REF!</v>
      </c>
    </row>
    <row r="50" spans="1:30" x14ac:dyDescent="0.3">
      <c r="A50" t="s">
        <v>5594</v>
      </c>
      <c r="B50" t="s">
        <v>5593</v>
      </c>
      <c r="C50" s="4" t="s">
        <v>5592</v>
      </c>
      <c r="D50" t="s">
        <v>77</v>
      </c>
      <c r="F50" t="s">
        <v>13</v>
      </c>
      <c r="G50" s="3">
        <v>8097648596</v>
      </c>
      <c r="H50" s="2">
        <v>46113</v>
      </c>
      <c r="K50" s="1">
        <f ca="1">IF(A50="","",IF(OR(L50="ENTREGADA",L50="RETORNADA",L50="ENTREGA DIGITAL"),0,MAX(0,5-NETWORKDAYS(H50+1,TODAY()))))</f>
        <v>0</v>
      </c>
      <c r="L50" t="str">
        <f>IF(A50="","",IFERROR(LOOKUP(2,1/(#REF!=Z50),#REF!),Y50))</f>
        <v>RETORNADA</v>
      </c>
      <c r="Y50" t="s">
        <v>1857</v>
      </c>
      <c r="Z50" t="str">
        <f>IF(A50="","",TEXT(A50,"0")&amp;"|"&amp;TEXT(H50,"0"))</f>
        <v>5188017745009860|46113</v>
      </c>
      <c r="AA50" t="str">
        <f>IF(Z50="","",IFERROR(LOOKUP(2,1/(#REF!=Z50),#REF!),""))</f>
        <v/>
      </c>
      <c r="AB50" t="str">
        <f>IF(Z50="","",IFERROR(LOOKUP(2,1/(#REF!=Z50),#REF!),""))</f>
        <v/>
      </c>
      <c r="AC50" t="e">
        <f>IF(Z50="","",COUNTIF(#REF!,Z50))</f>
        <v>#REF!</v>
      </c>
      <c r="AD50" t="e">
        <f>IF(A50="","",IF(AC50&gt;1,"REVISAR DUPLICADO",IF(AA50&lt;&gt;"","ACTUALIZADO POR EYR","SIN REPORTE EYR")))</f>
        <v>#REF!</v>
      </c>
    </row>
    <row r="51" spans="1:30" x14ac:dyDescent="0.3">
      <c r="A51" s="5" t="s">
        <v>5591</v>
      </c>
      <c r="B51" t="s">
        <v>5590</v>
      </c>
      <c r="C51" s="4" t="s">
        <v>5589</v>
      </c>
      <c r="D51" t="s">
        <v>77</v>
      </c>
      <c r="F51" t="s">
        <v>13</v>
      </c>
      <c r="G51" s="3">
        <v>8493561773</v>
      </c>
      <c r="H51" s="2">
        <v>46113</v>
      </c>
      <c r="I51" t="s">
        <v>1397</v>
      </c>
      <c r="K51" s="1">
        <f ca="1">IF(A51="","",IF(OR(L51="ENTREGADA",L51="RETORNADA",L51="ENTREGA DIGITAL"),0,MAX(0,5-NETWORKDAYS(H51+1,TODAY()))))</f>
        <v>0</v>
      </c>
      <c r="L51" t="str">
        <f>IF(A51="","",IFERROR(LOOKUP(2,1/(#REF!=Z51),#REF!),Y51))</f>
        <v>ENTREGADA</v>
      </c>
      <c r="Y51" t="s">
        <v>1956</v>
      </c>
      <c r="Z51" t="str">
        <f>IF(A51="","",TEXT(A51,"0")&amp;"|"&amp;TEXT(H51,"0"))</f>
        <v>5188017743519220|46113</v>
      </c>
      <c r="AA51" t="str">
        <f>IF(Z51="","",IFERROR(LOOKUP(2,1/(#REF!=Z51),#REF!),""))</f>
        <v/>
      </c>
      <c r="AB51" t="str">
        <f>IF(Z51="","",IFERROR(LOOKUP(2,1/(#REF!=Z51),#REF!),""))</f>
        <v/>
      </c>
      <c r="AC51" t="e">
        <f>IF(Z51="","",COUNTIF(#REF!,Z51))</f>
        <v>#REF!</v>
      </c>
      <c r="AD51" t="e">
        <f>IF(A51="","",IF(AC51&gt;1,"REVISAR DUPLICADO",IF(AA51&lt;&gt;"","ACTUALIZADO POR EYR","SIN REPORTE EYR")))</f>
        <v>#REF!</v>
      </c>
    </row>
    <row r="52" spans="1:30" x14ac:dyDescent="0.3">
      <c r="A52" t="s">
        <v>3910</v>
      </c>
      <c r="B52" t="s">
        <v>3909</v>
      </c>
      <c r="C52" s="4" t="s">
        <v>3908</v>
      </c>
      <c r="D52" t="s">
        <v>77</v>
      </c>
      <c r="F52" t="s">
        <v>13</v>
      </c>
      <c r="G52" s="3">
        <v>8094670679</v>
      </c>
      <c r="H52" s="2">
        <v>46113</v>
      </c>
      <c r="K52" s="1">
        <f ca="1">IF(A52="","",IF(OR(L52="ENTREGADA",L52="RETORNADA",L52="ENTREGA DIGITAL"),0,MAX(0,5-NETWORKDAYS(H52+1,TODAY()))))</f>
        <v>0</v>
      </c>
      <c r="L52" t="str">
        <f>IF(A52="","",IFERROR(LOOKUP(2,1/(#REF!=Z52),#REF!),Y52))</f>
        <v>RETORNADA</v>
      </c>
      <c r="Y52" t="s">
        <v>1857</v>
      </c>
      <c r="Z52" t="str">
        <f>IF(A52="","",TEXT(A52,"0")&amp;"|"&amp;TEXT(H52,"0"))</f>
        <v>4921017746498670|46113</v>
      </c>
      <c r="AA52" t="str">
        <f>IF(Z52="","",IFERROR(LOOKUP(2,1/(#REF!=Z52),#REF!),""))</f>
        <v/>
      </c>
      <c r="AB52" t="str">
        <f>IF(Z52="","",IFERROR(LOOKUP(2,1/(#REF!=Z52),#REF!),""))</f>
        <v/>
      </c>
      <c r="AC52" t="e">
        <f>IF(Z52="","",COUNTIF(#REF!,Z52))</f>
        <v>#REF!</v>
      </c>
      <c r="AD52" t="e">
        <f>IF(A52="","",IF(AC52&gt;1,"REVISAR DUPLICADO",IF(AA52&lt;&gt;"","ACTUALIZADO POR EYR","SIN REPORTE EYR")))</f>
        <v>#REF!</v>
      </c>
    </row>
    <row r="53" spans="1:30" x14ac:dyDescent="0.3">
      <c r="A53" s="5" t="s">
        <v>5588</v>
      </c>
      <c r="B53" t="s">
        <v>5587</v>
      </c>
      <c r="C53" s="4" t="s">
        <v>5586</v>
      </c>
      <c r="D53" t="s">
        <v>77</v>
      </c>
      <c r="F53" t="s">
        <v>5585</v>
      </c>
      <c r="G53" s="3">
        <v>8299293693</v>
      </c>
      <c r="H53" s="2">
        <v>46113</v>
      </c>
      <c r="K53" s="1">
        <f ca="1">IF(A53="","",IF(OR(L53="ENTREGADA",L53="RETORNADA",L53="ENTREGA DIGITAL"),0,MAX(0,5-NETWORKDAYS(H53+1,TODAY()))))</f>
        <v>0</v>
      </c>
      <c r="L53" t="str">
        <f>IF(A53="","",IFERROR(LOOKUP(2,1/(#REF!=Z53),#REF!),Y53))</f>
        <v>ENTREGADA</v>
      </c>
      <c r="Y53" t="s">
        <v>1956</v>
      </c>
      <c r="Z53" t="str">
        <f>IF(A53="","",TEXT(A53,"0")&amp;"|"&amp;TEXT(H53,"0"))</f>
        <v>4921017747397650|46113</v>
      </c>
      <c r="AA53" t="str">
        <f>IF(Z53="","",IFERROR(LOOKUP(2,1/(#REF!=Z53),#REF!),""))</f>
        <v/>
      </c>
      <c r="AB53" t="str">
        <f>IF(Z53="","",IFERROR(LOOKUP(2,1/(#REF!=Z53),#REF!),""))</f>
        <v/>
      </c>
      <c r="AC53" t="e">
        <f>IF(Z53="","",COUNTIF(#REF!,Z53))</f>
        <v>#REF!</v>
      </c>
      <c r="AD53" t="e">
        <f>IF(A53="","",IF(AC53&gt;1,"REVISAR DUPLICADO",IF(AA53&lt;&gt;"","ACTUALIZADO POR EYR","SIN REPORTE EYR")))</f>
        <v>#REF!</v>
      </c>
    </row>
    <row r="54" spans="1:30" x14ac:dyDescent="0.3">
      <c r="A54" s="5" t="s">
        <v>5584</v>
      </c>
      <c r="B54" t="s">
        <v>5582</v>
      </c>
      <c r="C54" s="4" t="s">
        <v>5581</v>
      </c>
      <c r="D54" t="s">
        <v>21</v>
      </c>
      <c r="F54" t="s">
        <v>13</v>
      </c>
      <c r="G54" s="3">
        <v>8095296167</v>
      </c>
      <c r="H54" s="2">
        <v>46113</v>
      </c>
      <c r="J54" t="s">
        <v>1399</v>
      </c>
      <c r="K54" s="1">
        <f ca="1">IF(A54="","",IF(OR(L54="ENTREGADA",L54="RETORNADA",L54="ENTREGA DIGITAL"),0,MAX(0,5-NETWORKDAYS(H54+1,TODAY()))))</f>
        <v>0</v>
      </c>
      <c r="L54" t="str">
        <f>IF(A54="","",IFERROR(LOOKUP(2,1/(#REF!=Z54),#REF!),Y54))</f>
        <v>ENTREGADA</v>
      </c>
      <c r="Y54" t="s">
        <v>1956</v>
      </c>
      <c r="Z54" t="str">
        <f>IF(A54="","",TEXT(A54,"0")&amp;"|"&amp;TEXT(H54,"0"))</f>
        <v>4966017711588160|46113</v>
      </c>
      <c r="AA54" t="str">
        <f>IF(Z54="","",IFERROR(LOOKUP(2,1/(#REF!=Z54),#REF!),""))</f>
        <v/>
      </c>
      <c r="AB54" t="str">
        <f>IF(Z54="","",IFERROR(LOOKUP(2,1/(#REF!=Z54),#REF!),""))</f>
        <v/>
      </c>
      <c r="AC54" t="e">
        <f>IF(Z54="","",COUNTIF(#REF!,Z54))</f>
        <v>#REF!</v>
      </c>
      <c r="AD54" t="e">
        <f>IF(A54="","",IF(AC54&gt;1,"REVISAR DUPLICADO",IF(AA54&lt;&gt;"","ACTUALIZADO POR EYR","SIN REPORTE EYR")))</f>
        <v>#REF!</v>
      </c>
    </row>
    <row r="55" spans="1:30" x14ac:dyDescent="0.3">
      <c r="A55" s="5" t="s">
        <v>5583</v>
      </c>
      <c r="B55" t="s">
        <v>5582</v>
      </c>
      <c r="C55" s="4" t="s">
        <v>5581</v>
      </c>
      <c r="D55" t="s">
        <v>21</v>
      </c>
      <c r="F55" t="s">
        <v>13</v>
      </c>
      <c r="G55" s="3">
        <v>8095296167</v>
      </c>
      <c r="H55" s="2">
        <v>46113</v>
      </c>
      <c r="K55" s="1">
        <f ca="1">IF(A55="","",IF(OR(L55="ENTREGADA",L55="RETORNADA",L55="ENTREGA DIGITAL"),0,MAX(0,5-NETWORKDAYS(H55+1,TODAY()))))</f>
        <v>0</v>
      </c>
      <c r="L55" t="str">
        <f>IF(A55="","",IFERROR(LOOKUP(2,1/(#REF!=Z55),#REF!),Y55))</f>
        <v>ENTREGADA</v>
      </c>
      <c r="Y55" t="s">
        <v>1956</v>
      </c>
      <c r="Z55" t="str">
        <f>IF(A55="","",TEXT(A55,"0")&amp;"|"&amp;TEXT(H55,"0"))</f>
        <v>4921017711303690|46113</v>
      </c>
      <c r="AA55" t="str">
        <f>IF(Z55="","",IFERROR(LOOKUP(2,1/(#REF!=Z55),#REF!),""))</f>
        <v/>
      </c>
      <c r="AB55" t="str">
        <f>IF(Z55="","",IFERROR(LOOKUP(2,1/(#REF!=Z55),#REF!),""))</f>
        <v/>
      </c>
      <c r="AC55" t="e">
        <f>IF(Z55="","",COUNTIF(#REF!,Z55))</f>
        <v>#REF!</v>
      </c>
      <c r="AD55" t="e">
        <f>IF(A55="","",IF(AC55&gt;1,"REVISAR DUPLICADO",IF(AA55&lt;&gt;"","ACTUALIZADO POR EYR","SIN REPORTE EYR")))</f>
        <v>#REF!</v>
      </c>
    </row>
    <row r="56" spans="1:30" x14ac:dyDescent="0.3">
      <c r="A56" s="5" t="s">
        <v>5580</v>
      </c>
      <c r="B56" t="s">
        <v>5579</v>
      </c>
      <c r="C56" s="4" t="s">
        <v>5578</v>
      </c>
      <c r="D56" t="s">
        <v>21</v>
      </c>
      <c r="F56" t="s">
        <v>5577</v>
      </c>
      <c r="G56" s="3">
        <v>8095291782</v>
      </c>
      <c r="H56" s="2">
        <v>46113</v>
      </c>
      <c r="K56" s="1">
        <f ca="1">IF(A56="","",IF(OR(L56="ENTREGADA",L56="RETORNADA",L56="ENTREGA DIGITAL"),0,MAX(0,5-NETWORKDAYS(H56+1,TODAY()))))</f>
        <v>0</v>
      </c>
      <c r="L56" t="str">
        <f>IF(A56="","",IFERROR(LOOKUP(2,1/(#REF!=Z56),#REF!),Y56))</f>
        <v>ENTREGA DIGITAL</v>
      </c>
      <c r="Y56" t="s">
        <v>1396</v>
      </c>
      <c r="Z56" t="str">
        <f>IF(A56="","",TEXT(A56,"0")&amp;"|"&amp;TEXT(H56,"0"))</f>
        <v>4025017748433460|46113</v>
      </c>
      <c r="AA56" t="str">
        <f>IF(Z56="","",IFERROR(LOOKUP(2,1/(#REF!=Z56),#REF!),""))</f>
        <v/>
      </c>
      <c r="AB56" t="str">
        <f>IF(Z56="","",IFERROR(LOOKUP(2,1/(#REF!=Z56),#REF!),""))</f>
        <v/>
      </c>
      <c r="AC56" t="e">
        <f>IF(Z56="","",COUNTIF(#REF!,Z56))</f>
        <v>#REF!</v>
      </c>
      <c r="AD56" t="e">
        <f>IF(A56="","",IF(AC56&gt;1,"REVISAR DUPLICADO",IF(AA56&lt;&gt;"","ACTUALIZADO POR EYR","SIN REPORTE EYR")))</f>
        <v>#REF!</v>
      </c>
    </row>
    <row r="57" spans="1:30" x14ac:dyDescent="0.3">
      <c r="A57" s="5" t="s">
        <v>5576</v>
      </c>
      <c r="B57" t="s">
        <v>5575</v>
      </c>
      <c r="C57" s="4" t="s">
        <v>5574</v>
      </c>
      <c r="D57" t="s">
        <v>21</v>
      </c>
      <c r="F57" t="s">
        <v>13</v>
      </c>
      <c r="G57" s="3">
        <v>8492056248</v>
      </c>
      <c r="H57" s="2">
        <v>46113</v>
      </c>
      <c r="K57" s="1">
        <f ca="1">IF(A57="","",IF(OR(L57="ENTREGADA",L57="RETORNADA",L57="ENTREGA DIGITAL"),0,MAX(0,5-NETWORKDAYS(H57+1,TODAY()))))</f>
        <v>0</v>
      </c>
      <c r="L57" t="str">
        <f>IF(A57="","",IFERROR(LOOKUP(2,1/(#REF!=Z57),#REF!),Y57))</f>
        <v>ENTREGADA</v>
      </c>
      <c r="Y57" t="s">
        <v>1956</v>
      </c>
      <c r="Z57" t="str">
        <f>IF(A57="","",TEXT(A57,"0")&amp;"|"&amp;TEXT(H57,"0"))</f>
        <v>4921017746669110|46113</v>
      </c>
      <c r="AA57" t="str">
        <f>IF(Z57="","",IFERROR(LOOKUP(2,1/(#REF!=Z57),#REF!),""))</f>
        <v/>
      </c>
      <c r="AB57" t="str">
        <f>IF(Z57="","",IFERROR(LOOKUP(2,1/(#REF!=Z57),#REF!),""))</f>
        <v/>
      </c>
      <c r="AC57" t="e">
        <f>IF(Z57="","",COUNTIF(#REF!,Z57))</f>
        <v>#REF!</v>
      </c>
      <c r="AD57" t="e">
        <f>IF(A57="","",IF(AC57&gt;1,"REVISAR DUPLICADO",IF(AA57&lt;&gt;"","ACTUALIZADO POR EYR","SIN REPORTE EYR")))</f>
        <v>#REF!</v>
      </c>
    </row>
    <row r="58" spans="1:30" x14ac:dyDescent="0.3">
      <c r="A58" s="5" t="s">
        <v>5573</v>
      </c>
      <c r="B58" t="s">
        <v>5572</v>
      </c>
      <c r="C58" s="4" t="s">
        <v>5571</v>
      </c>
      <c r="D58" t="s">
        <v>21</v>
      </c>
      <c r="F58" t="s">
        <v>5570</v>
      </c>
      <c r="G58" s="3">
        <v>8095294427</v>
      </c>
      <c r="H58" s="2">
        <v>46113</v>
      </c>
      <c r="K58" s="1">
        <f ca="1">IF(A58="","",IF(OR(L58="ENTREGADA",L58="RETORNADA",L58="ENTREGA DIGITAL"),0,MAX(0,5-NETWORKDAYS(H58+1,TODAY()))))</f>
        <v>0</v>
      </c>
      <c r="L58" t="str">
        <f>IF(A58="","",IFERROR(LOOKUP(2,1/(#REF!=Z58),#REF!),Y58))</f>
        <v>ENTREGADA</v>
      </c>
      <c r="Y58" t="s">
        <v>1956</v>
      </c>
      <c r="Z58" t="str">
        <f>IF(A58="","",TEXT(A58,"0")&amp;"|"&amp;TEXT(H58,"0"))</f>
        <v>4921017747944920|46113</v>
      </c>
      <c r="AA58" t="str">
        <f>IF(Z58="","",IFERROR(LOOKUP(2,1/(#REF!=Z58),#REF!),""))</f>
        <v/>
      </c>
      <c r="AB58" t="str">
        <f>IF(Z58="","",IFERROR(LOOKUP(2,1/(#REF!=Z58),#REF!),""))</f>
        <v/>
      </c>
      <c r="AC58" t="e">
        <f>IF(Z58="","",COUNTIF(#REF!,Z58))</f>
        <v>#REF!</v>
      </c>
      <c r="AD58" t="e">
        <f>IF(A58="","",IF(AC58&gt;1,"REVISAR DUPLICADO",IF(AA58&lt;&gt;"","ACTUALIZADO POR EYR","SIN REPORTE EYR")))</f>
        <v>#REF!</v>
      </c>
    </row>
    <row r="59" spans="1:30" x14ac:dyDescent="0.3">
      <c r="A59" t="s">
        <v>5569</v>
      </c>
      <c r="B59" t="s">
        <v>5568</v>
      </c>
      <c r="C59" s="4" t="s">
        <v>5567</v>
      </c>
      <c r="D59" t="s">
        <v>21</v>
      </c>
      <c r="F59" t="s">
        <v>5566</v>
      </c>
      <c r="G59" s="3">
        <v>8498788253</v>
      </c>
      <c r="H59" s="2">
        <v>46113</v>
      </c>
      <c r="K59" s="1">
        <f ca="1">IF(A59="","",IF(OR(L59="ENTREGADA",L59="RETORNADA",L59="ENTREGA DIGITAL"),0,MAX(0,5-NETWORKDAYS(H59+1,TODAY()))))</f>
        <v>0</v>
      </c>
      <c r="L59" t="str">
        <f>IF(A59="","",IFERROR(LOOKUP(2,1/(#REF!=Z59),#REF!),Y59))</f>
        <v>ENTREGA DIGITAL</v>
      </c>
      <c r="Y59" t="s">
        <v>1396</v>
      </c>
      <c r="Z59" t="str">
        <f>IF(A59="","",TEXT(A59,"0")&amp;"|"&amp;TEXT(H59,"0"))</f>
        <v>4921017746916940|46113</v>
      </c>
      <c r="AA59" t="str">
        <f>IF(Z59="","",IFERROR(LOOKUP(2,1/(#REF!=Z59),#REF!),""))</f>
        <v/>
      </c>
      <c r="AB59" t="str">
        <f>IF(Z59="","",IFERROR(LOOKUP(2,1/(#REF!=Z59),#REF!),""))</f>
        <v/>
      </c>
      <c r="AC59" t="e">
        <f>IF(Z59="","",COUNTIF(#REF!,Z59))</f>
        <v>#REF!</v>
      </c>
      <c r="AD59" t="e">
        <f>IF(A59="","",IF(AC59&gt;1,"REVISAR DUPLICADO",IF(AA59&lt;&gt;"","ACTUALIZADO POR EYR","SIN REPORTE EYR")))</f>
        <v>#REF!</v>
      </c>
    </row>
    <row r="60" spans="1:30" x14ac:dyDescent="0.3">
      <c r="A60" s="5" t="s">
        <v>5565</v>
      </c>
      <c r="B60" t="s">
        <v>5564</v>
      </c>
      <c r="C60" s="4" t="s">
        <v>5563</v>
      </c>
      <c r="D60" t="s">
        <v>21</v>
      </c>
      <c r="F60" t="s">
        <v>1247</v>
      </c>
      <c r="G60" s="3">
        <v>8092535009</v>
      </c>
      <c r="H60" s="2">
        <v>46113</v>
      </c>
      <c r="K60" s="1">
        <f ca="1">IF(A60="","",IF(OR(L60="ENTREGADA",L60="RETORNADA",L60="ENTREGA DIGITAL"),0,MAX(0,5-NETWORKDAYS(H60+1,TODAY()))))</f>
        <v>0</v>
      </c>
      <c r="L60" t="str">
        <f>IF(A60="","",IFERROR(LOOKUP(2,1/(#REF!=Z60),#REF!),Y60))</f>
        <v>ENTREGADA</v>
      </c>
      <c r="Y60" t="s">
        <v>1956</v>
      </c>
      <c r="Z60" t="str">
        <f>IF(A60="","",TEXT(A60,"0")&amp;"|"&amp;TEXT(H60,"0"))</f>
        <v>4921017747316080|46113</v>
      </c>
      <c r="AA60" t="str">
        <f>IF(Z60="","",IFERROR(LOOKUP(2,1/(#REF!=Z60),#REF!),""))</f>
        <v/>
      </c>
      <c r="AB60" t="str">
        <f>IF(Z60="","",IFERROR(LOOKUP(2,1/(#REF!=Z60),#REF!),""))</f>
        <v/>
      </c>
      <c r="AC60" t="e">
        <f>IF(Z60="","",COUNTIF(#REF!,Z60))</f>
        <v>#REF!</v>
      </c>
      <c r="AD60" t="e">
        <f>IF(A60="","",IF(AC60&gt;1,"REVISAR DUPLICADO",IF(AA60&lt;&gt;"","ACTUALIZADO POR EYR","SIN REPORTE EYR")))</f>
        <v>#REF!</v>
      </c>
    </row>
    <row r="61" spans="1:30" x14ac:dyDescent="0.3">
      <c r="A61" s="5" t="s">
        <v>5562</v>
      </c>
      <c r="B61" t="s">
        <v>5561</v>
      </c>
      <c r="C61" s="4" t="s">
        <v>5560</v>
      </c>
      <c r="D61" t="s">
        <v>21</v>
      </c>
      <c r="F61" t="s">
        <v>13</v>
      </c>
      <c r="G61" s="3">
        <v>8092460700</v>
      </c>
      <c r="H61" s="2">
        <v>46113</v>
      </c>
      <c r="K61" s="1">
        <f ca="1">IF(A61="","",IF(OR(L61="ENTREGADA",L61="RETORNADA",L61="ENTREGA DIGITAL"),0,MAX(0,5-NETWORKDAYS(H61+1,TODAY()))))</f>
        <v>0</v>
      </c>
      <c r="L61" t="str">
        <f>IF(A61="","",IFERROR(LOOKUP(2,1/(#REF!=Z61),#REF!),Y61))</f>
        <v>ENTREGADA</v>
      </c>
      <c r="Y61" t="s">
        <v>1956</v>
      </c>
      <c r="Z61" t="str">
        <f>IF(A61="","",TEXT(A61,"0")&amp;"|"&amp;TEXT(H61,"0"))</f>
        <v>4921017746792710|46113</v>
      </c>
      <c r="AA61" t="str">
        <f>IF(Z61="","",IFERROR(LOOKUP(2,1/(#REF!=Z61),#REF!),""))</f>
        <v/>
      </c>
      <c r="AB61" t="str">
        <f>IF(Z61="","",IFERROR(LOOKUP(2,1/(#REF!=Z61),#REF!),""))</f>
        <v/>
      </c>
      <c r="AC61" t="e">
        <f>IF(Z61="","",COUNTIF(#REF!,Z61))</f>
        <v>#REF!</v>
      </c>
      <c r="AD61" t="e">
        <f>IF(A61="","",IF(AC61&gt;1,"REVISAR DUPLICADO",IF(AA61&lt;&gt;"","ACTUALIZADO POR EYR","SIN REPORTE EYR")))</f>
        <v>#REF!</v>
      </c>
    </row>
    <row r="62" spans="1:30" x14ac:dyDescent="0.3">
      <c r="A62" s="5" t="s">
        <v>5559</v>
      </c>
      <c r="B62" t="s">
        <v>5558</v>
      </c>
      <c r="C62" s="4" t="s">
        <v>5557</v>
      </c>
      <c r="D62" t="s">
        <v>1</v>
      </c>
      <c r="F62" t="s">
        <v>0</v>
      </c>
      <c r="G62" s="3">
        <v>8098664403</v>
      </c>
      <c r="H62" s="2">
        <v>46113</v>
      </c>
      <c r="I62" t="s">
        <v>1397</v>
      </c>
      <c r="K62" s="1">
        <f ca="1">IF(A62="","",IF(OR(L62="ENTREGADA",L62="RETORNADA",L62="ENTREGA DIGITAL"),0,MAX(0,5-NETWORKDAYS(H62+1,TODAY()))))</f>
        <v>0</v>
      </c>
      <c r="L62" t="str">
        <f>IF(A62="","",IFERROR(LOOKUP(2,1/(#REF!=Z62),#REF!),Y62))</f>
        <v>ENTREGADA</v>
      </c>
      <c r="Y62" t="s">
        <v>1956</v>
      </c>
      <c r="Z62" t="str">
        <f>IF(A62="","",TEXT(A62,"0")&amp;"|"&amp;TEXT(H62,"0"))</f>
        <v>5415017697365720|46113</v>
      </c>
      <c r="AA62" t="str">
        <f>IF(Z62="","",IFERROR(LOOKUP(2,1/(#REF!=Z62),#REF!),""))</f>
        <v/>
      </c>
      <c r="AB62" t="str">
        <f>IF(Z62="","",IFERROR(LOOKUP(2,1/(#REF!=Z62),#REF!),""))</f>
        <v/>
      </c>
      <c r="AC62" t="e">
        <f>IF(Z62="","",COUNTIF(#REF!,Z62))</f>
        <v>#REF!</v>
      </c>
      <c r="AD62" t="e">
        <f>IF(A62="","",IF(AC62&gt;1,"REVISAR DUPLICADO",IF(AA62&lt;&gt;"","ACTUALIZADO POR EYR","SIN REPORTE EYR")))</f>
        <v>#REF!</v>
      </c>
    </row>
    <row r="63" spans="1:30" x14ac:dyDescent="0.3">
      <c r="A63" s="5" t="s">
        <v>5556</v>
      </c>
      <c r="B63" t="s">
        <v>5555</v>
      </c>
      <c r="C63" s="4" t="s">
        <v>5554</v>
      </c>
      <c r="D63" t="s">
        <v>1</v>
      </c>
      <c r="F63" t="s">
        <v>0</v>
      </c>
      <c r="G63" s="3">
        <v>8298848640</v>
      </c>
      <c r="H63" s="2">
        <v>46113</v>
      </c>
      <c r="K63" s="1">
        <f ca="1">IF(A63="","",IF(OR(L63="ENTREGADA",L63="RETORNADA",L63="ENTREGA DIGITAL"),0,MAX(0,5-NETWORKDAYS(H63+1,TODAY()))))</f>
        <v>0</v>
      </c>
      <c r="L63" t="str">
        <f>IF(A63="","",IFERROR(LOOKUP(2,1/(#REF!=Z63),#REF!),Y63))</f>
        <v>ENTREGADA</v>
      </c>
      <c r="Y63" t="s">
        <v>1956</v>
      </c>
      <c r="Z63" t="str">
        <f>IF(A63="","",TEXT(A63,"0")&amp;"|"&amp;TEXT(H63,"0"))</f>
        <v>5400017673110380|46113</v>
      </c>
      <c r="AA63" t="str">
        <f>IF(Z63="","",IFERROR(LOOKUP(2,1/(#REF!=Z63),#REF!),""))</f>
        <v/>
      </c>
      <c r="AB63" t="str">
        <f>IF(Z63="","",IFERROR(LOOKUP(2,1/(#REF!=Z63),#REF!),""))</f>
        <v/>
      </c>
      <c r="AC63" t="e">
        <f>IF(Z63="","",COUNTIF(#REF!,Z63))</f>
        <v>#REF!</v>
      </c>
      <c r="AD63" t="e">
        <f>IF(A63="","",IF(AC63&gt;1,"REVISAR DUPLICADO",IF(AA63&lt;&gt;"","ACTUALIZADO POR EYR","SIN REPORTE EYR")))</f>
        <v>#REF!</v>
      </c>
    </row>
    <row r="64" spans="1:30" x14ac:dyDescent="0.3">
      <c r="A64" t="s">
        <v>5553</v>
      </c>
      <c r="B64" t="s">
        <v>5552</v>
      </c>
      <c r="C64" s="4" t="s">
        <v>5551</v>
      </c>
      <c r="D64" t="s">
        <v>1</v>
      </c>
      <c r="E64" t="s">
        <v>214</v>
      </c>
      <c r="F64" t="s">
        <v>2667</v>
      </c>
      <c r="G64" s="3">
        <v>8292550947</v>
      </c>
      <c r="H64" s="2">
        <v>46113</v>
      </c>
      <c r="K64" s="1">
        <f ca="1">IF(A64="","",IF(OR(L64="ENTREGADA",L64="RETORNADA",L64="ENTREGA DIGITAL"),0,MAX(0,5-NETWORKDAYS(H64+1,TODAY()))))</f>
        <v>0</v>
      </c>
      <c r="L64" t="str">
        <f>IF(A64="","",IFERROR(LOOKUP(2,1/(#REF!=Z64),#REF!),Y64))</f>
        <v>RETORNADA</v>
      </c>
      <c r="Y64" t="s">
        <v>1857</v>
      </c>
      <c r="Z64" t="str">
        <f>IF(A64="","",TEXT(A64,"0")&amp;"|"&amp;TEXT(H64,"0"))</f>
        <v>5188017744967750|46113</v>
      </c>
      <c r="AA64" t="str">
        <f>IF(Z64="","",IFERROR(LOOKUP(2,1/(#REF!=Z64),#REF!),""))</f>
        <v/>
      </c>
      <c r="AB64" t="str">
        <f>IF(Z64="","",IFERROR(LOOKUP(2,1/(#REF!=Z64),#REF!),""))</f>
        <v/>
      </c>
      <c r="AC64" t="e">
        <f>IF(Z64="","",COUNTIF(#REF!,Z64))</f>
        <v>#REF!</v>
      </c>
      <c r="AD64" t="e">
        <f>IF(A64="","",IF(AC64&gt;1,"REVISAR DUPLICADO",IF(AA64&lt;&gt;"","ACTUALIZADO POR EYR","SIN REPORTE EYR")))</f>
        <v>#REF!</v>
      </c>
    </row>
    <row r="65" spans="1:30" x14ac:dyDescent="0.3">
      <c r="A65" t="s">
        <v>3642</v>
      </c>
      <c r="B65" t="s">
        <v>3641</v>
      </c>
      <c r="C65" s="4" t="s">
        <v>3640</v>
      </c>
      <c r="D65" t="s">
        <v>1</v>
      </c>
      <c r="F65" t="s">
        <v>13</v>
      </c>
      <c r="G65" s="3">
        <v>8297766105</v>
      </c>
      <c r="H65" s="2">
        <v>46113</v>
      </c>
      <c r="K65" s="1">
        <f ca="1">IF(A65="","",IF(OR(L65="ENTREGADA",L65="RETORNADA",L65="ENTREGA DIGITAL"),0,MAX(0,5-NETWORKDAYS(H65+1,TODAY()))))</f>
        <v>0</v>
      </c>
      <c r="L65" t="str">
        <f>IF(A65="","",IFERROR(LOOKUP(2,1/(#REF!=Z65),#REF!),Y65))</f>
        <v>RETORNADA</v>
      </c>
      <c r="Y65" t="s">
        <v>1857</v>
      </c>
      <c r="Z65" t="str">
        <f>IF(A65="","",TEXT(A65,"0")&amp;"|"&amp;TEXT(H65,"0"))</f>
        <v>5415017742504420|46113</v>
      </c>
      <c r="AA65" t="str">
        <f>IF(Z65="","",IFERROR(LOOKUP(2,1/(#REF!=Z65),#REF!),""))</f>
        <v/>
      </c>
      <c r="AB65" t="str">
        <f>IF(Z65="","",IFERROR(LOOKUP(2,1/(#REF!=Z65),#REF!),""))</f>
        <v/>
      </c>
      <c r="AC65" t="e">
        <f>IF(Z65="","",COUNTIF(#REF!,Z65))</f>
        <v>#REF!</v>
      </c>
      <c r="AD65" t="e">
        <f>IF(A65="","",IF(AC65&gt;1,"REVISAR DUPLICADO",IF(AA65&lt;&gt;"","ACTUALIZADO POR EYR","SIN REPORTE EYR")))</f>
        <v>#REF!</v>
      </c>
    </row>
    <row r="66" spans="1:30" x14ac:dyDescent="0.3">
      <c r="A66" t="s">
        <v>5550</v>
      </c>
      <c r="B66" t="s">
        <v>5549</v>
      </c>
      <c r="C66" s="4" t="s">
        <v>5548</v>
      </c>
      <c r="D66" t="s">
        <v>1</v>
      </c>
      <c r="E66" t="s">
        <v>214</v>
      </c>
      <c r="F66" t="s">
        <v>5547</v>
      </c>
      <c r="G66" s="3">
        <v>8297735358</v>
      </c>
      <c r="H66" s="2">
        <v>46113</v>
      </c>
      <c r="K66" s="1">
        <f ca="1">IF(A66="","",IF(OR(L66="ENTREGADA",L66="RETORNADA",L66="ENTREGA DIGITAL"),0,MAX(0,5-NETWORKDAYS(H66+1,TODAY()))))</f>
        <v>0</v>
      </c>
      <c r="L66" t="str">
        <f>IF(A66="","",IFERROR(LOOKUP(2,1/(#REF!=Z66),#REF!),Y66))</f>
        <v>RETORNADA</v>
      </c>
      <c r="Y66" t="s">
        <v>1857</v>
      </c>
      <c r="Z66" t="str">
        <f>IF(A66="","",TEXT(A66,"0")&amp;"|"&amp;TEXT(H66,"0"))</f>
        <v>4025017748308430|46113</v>
      </c>
      <c r="AA66" t="str">
        <f>IF(Z66="","",IFERROR(LOOKUP(2,1/(#REF!=Z66),#REF!),""))</f>
        <v/>
      </c>
      <c r="AB66" t="str">
        <f>IF(Z66="","",IFERROR(LOOKUP(2,1/(#REF!=Z66),#REF!),""))</f>
        <v/>
      </c>
      <c r="AC66" t="e">
        <f>IF(Z66="","",COUNTIF(#REF!,Z66))</f>
        <v>#REF!</v>
      </c>
      <c r="AD66" t="e">
        <f>IF(A66="","",IF(AC66&gt;1,"REVISAR DUPLICADO",IF(AA66&lt;&gt;"","ACTUALIZADO POR EYR","SIN REPORTE EYR")))</f>
        <v>#REF!</v>
      </c>
    </row>
    <row r="67" spans="1:30" x14ac:dyDescent="0.3">
      <c r="A67" t="s">
        <v>3903</v>
      </c>
      <c r="B67" t="s">
        <v>3902</v>
      </c>
      <c r="C67" s="4" t="s">
        <v>3901</v>
      </c>
      <c r="D67" t="s">
        <v>1</v>
      </c>
      <c r="F67" t="s">
        <v>13</v>
      </c>
      <c r="G67" s="3">
        <v>8293323769</v>
      </c>
      <c r="H67" s="2">
        <v>46113</v>
      </c>
      <c r="K67" s="1">
        <f ca="1">IF(A67="","",IF(OR(L67="ENTREGADA",L67="RETORNADA",L67="ENTREGA DIGITAL"),0,MAX(0,5-NETWORKDAYS(H67+1,TODAY()))))</f>
        <v>0</v>
      </c>
      <c r="L67" t="str">
        <f>IF(A67="","",IFERROR(LOOKUP(2,1/(#REF!=Z67),#REF!),Y67))</f>
        <v>RETORNADA</v>
      </c>
      <c r="Y67" t="s">
        <v>1857</v>
      </c>
      <c r="Z67" t="str">
        <f>IF(A67="","",TEXT(A67,"0")&amp;"|"&amp;TEXT(H67,"0"))</f>
        <v>4921017747055470|46113</v>
      </c>
      <c r="AA67" t="str">
        <f>IF(Z67="","",IFERROR(LOOKUP(2,1/(#REF!=Z67),#REF!),""))</f>
        <v/>
      </c>
      <c r="AB67" t="str">
        <f>IF(Z67="","",IFERROR(LOOKUP(2,1/(#REF!=Z67),#REF!),""))</f>
        <v/>
      </c>
      <c r="AC67" t="e">
        <f>IF(Z67="","",COUNTIF(#REF!,Z67))</f>
        <v>#REF!</v>
      </c>
      <c r="AD67" t="e">
        <f>IF(A67="","",IF(AC67&gt;1,"REVISAR DUPLICADO",IF(AA67&lt;&gt;"","ACTUALIZADO POR EYR","SIN REPORTE EYR")))</f>
        <v>#REF!</v>
      </c>
    </row>
    <row r="68" spans="1:30" x14ac:dyDescent="0.3">
      <c r="A68" t="s">
        <v>3958</v>
      </c>
      <c r="B68" t="s">
        <v>3957</v>
      </c>
      <c r="C68" s="4" t="s">
        <v>3956</v>
      </c>
      <c r="D68" t="s">
        <v>1</v>
      </c>
      <c r="F68" t="s">
        <v>3955</v>
      </c>
      <c r="G68" s="3">
        <v>8295571026</v>
      </c>
      <c r="H68" s="2">
        <v>46113</v>
      </c>
      <c r="K68" s="1">
        <f ca="1">IF(A68="","",IF(OR(L68="ENTREGADA",L68="RETORNADA",L68="ENTREGA DIGITAL"),0,MAX(0,5-NETWORKDAYS(H68+1,TODAY()))))</f>
        <v>0</v>
      </c>
      <c r="L68" t="str">
        <f>IF(A68="","",IFERROR(LOOKUP(2,1/(#REF!=Z68),#REF!),Y68))</f>
        <v>RETORNADA</v>
      </c>
      <c r="Y68" t="s">
        <v>1857</v>
      </c>
      <c r="Z68" t="str">
        <f>IF(A68="","",TEXT(A68,"0")&amp;"|"&amp;TEXT(H68,"0"))</f>
        <v>4921017746260280|46113</v>
      </c>
      <c r="AA68" t="str">
        <f>IF(Z68="","",IFERROR(LOOKUP(2,1/(#REF!=Z68),#REF!),""))</f>
        <v/>
      </c>
      <c r="AB68" t="str">
        <f>IF(Z68="","",IFERROR(LOOKUP(2,1/(#REF!=Z68),#REF!),""))</f>
        <v/>
      </c>
      <c r="AC68" t="e">
        <f>IF(Z68="","",COUNTIF(#REF!,Z68))</f>
        <v>#REF!</v>
      </c>
      <c r="AD68" t="e">
        <f>IF(A68="","",IF(AC68&gt;1,"REVISAR DUPLICADO",IF(AA68&lt;&gt;"","ACTUALIZADO POR EYR","SIN REPORTE EYR")))</f>
        <v>#REF!</v>
      </c>
    </row>
    <row r="69" spans="1:30" x14ac:dyDescent="0.3">
      <c r="A69" t="s">
        <v>5546</v>
      </c>
      <c r="B69" t="s">
        <v>5545</v>
      </c>
      <c r="C69" s="4" t="s">
        <v>5544</v>
      </c>
      <c r="D69" t="s">
        <v>1</v>
      </c>
      <c r="F69" t="s">
        <v>13</v>
      </c>
      <c r="G69" s="3">
        <v>8096088563</v>
      </c>
      <c r="H69" s="2">
        <v>46113</v>
      </c>
      <c r="K69" s="1">
        <f ca="1">IF(A69="","",IF(OR(L69="ENTREGADA",L69="RETORNADA",L69="ENTREGA DIGITAL"),0,MAX(0,5-NETWORKDAYS(H69+1,TODAY()))))</f>
        <v>0</v>
      </c>
      <c r="L69" t="str">
        <f>IF(A69="","",IFERROR(LOOKUP(2,1/(#REF!=Z69),#REF!),Y69))</f>
        <v>ENTREGADA</v>
      </c>
      <c r="Y69" t="s">
        <v>1956</v>
      </c>
      <c r="Z69" t="str">
        <f>IF(A69="","",TEXT(A69,"0")&amp;"|"&amp;TEXT(H69,"0"))</f>
        <v>5415017743752490|46113</v>
      </c>
      <c r="AA69" t="str">
        <f>IF(Z69="","",IFERROR(LOOKUP(2,1/(#REF!=Z69),#REF!),""))</f>
        <v/>
      </c>
      <c r="AB69" t="str">
        <f>IF(Z69="","",IFERROR(LOOKUP(2,1/(#REF!=Z69),#REF!),""))</f>
        <v/>
      </c>
      <c r="AC69" t="e">
        <f>IF(Z69="","",COUNTIF(#REF!,Z69))</f>
        <v>#REF!</v>
      </c>
      <c r="AD69" t="e">
        <f>IF(A69="","",IF(AC69&gt;1,"REVISAR DUPLICADO",IF(AA69&lt;&gt;"","ACTUALIZADO POR EYR","SIN REPORTE EYR")))</f>
        <v>#REF!</v>
      </c>
    </row>
    <row r="70" spans="1:30" x14ac:dyDescent="0.3">
      <c r="A70" t="s">
        <v>3964</v>
      </c>
      <c r="B70" t="s">
        <v>3963</v>
      </c>
      <c r="C70" s="4" t="s">
        <v>3962</v>
      </c>
      <c r="D70" t="s">
        <v>1</v>
      </c>
      <c r="F70" t="s">
        <v>13</v>
      </c>
      <c r="G70" s="3">
        <v>8294374236</v>
      </c>
      <c r="H70" s="2">
        <v>46113</v>
      </c>
      <c r="K70" s="1">
        <f ca="1">IF(A70="","",IF(OR(L70="ENTREGADA",L70="RETORNADA",L70="ENTREGA DIGITAL"),0,MAX(0,5-NETWORKDAYS(H70+1,TODAY()))))</f>
        <v>0</v>
      </c>
      <c r="L70" t="str">
        <f>IF(A70="","",IFERROR(LOOKUP(2,1/(#REF!=Z70),#REF!),Y70))</f>
        <v>RETORNADA</v>
      </c>
      <c r="Y70" t="s">
        <v>1857</v>
      </c>
      <c r="Z70" t="str">
        <f>IF(A70="","",TEXT(A70,"0")&amp;"|"&amp;TEXT(H70,"0"))</f>
        <v>4921017747923000|46113</v>
      </c>
      <c r="AA70" t="str">
        <f>IF(Z70="","",IFERROR(LOOKUP(2,1/(#REF!=Z70),#REF!),""))</f>
        <v/>
      </c>
      <c r="AB70" t="str">
        <f>IF(Z70="","",IFERROR(LOOKUP(2,1/(#REF!=Z70),#REF!),""))</f>
        <v/>
      </c>
      <c r="AC70" t="e">
        <f>IF(Z70="","",COUNTIF(#REF!,Z70))</f>
        <v>#REF!</v>
      </c>
      <c r="AD70" t="e">
        <f>IF(A70="","",IF(AC70&gt;1,"REVISAR DUPLICADO",IF(AA70&lt;&gt;"","ACTUALIZADO POR EYR","SIN REPORTE EYR")))</f>
        <v>#REF!</v>
      </c>
    </row>
    <row r="71" spans="1:30" x14ac:dyDescent="0.3">
      <c r="A71" s="5" t="s">
        <v>5543</v>
      </c>
      <c r="B71" t="s">
        <v>5542</v>
      </c>
      <c r="C71" s="4" t="s">
        <v>5541</v>
      </c>
      <c r="D71" t="s">
        <v>1</v>
      </c>
      <c r="E71" t="s">
        <v>214</v>
      </c>
      <c r="F71" t="s">
        <v>423</v>
      </c>
      <c r="G71" s="3">
        <v>8093717924</v>
      </c>
      <c r="H71" s="2">
        <v>46113</v>
      </c>
      <c r="K71" s="1">
        <f ca="1">IF(A71="","",IF(OR(L71="ENTREGADA",L71="RETORNADA",L71="ENTREGA DIGITAL"),0,MAX(0,5-NETWORKDAYS(H71+1,TODAY()))))</f>
        <v>0</v>
      </c>
      <c r="L71" t="str">
        <f>IF(A71="","",IFERROR(LOOKUP(2,1/(#REF!=Z71),#REF!),Y71))</f>
        <v>ENTREGADA</v>
      </c>
      <c r="Y71" t="s">
        <v>1956</v>
      </c>
      <c r="Z71" t="str">
        <f>IF(A71="","",TEXT(A71,"0")&amp;"|"&amp;TEXT(H71,"0"))</f>
        <v>4921017747939750|46113</v>
      </c>
      <c r="AA71" t="str">
        <f>IF(Z71="","",IFERROR(LOOKUP(2,1/(#REF!=Z71),#REF!),""))</f>
        <v/>
      </c>
      <c r="AB71" t="str">
        <f>IF(Z71="","",IFERROR(LOOKUP(2,1/(#REF!=Z71),#REF!),""))</f>
        <v/>
      </c>
      <c r="AC71" t="e">
        <f>IF(Z71="","",COUNTIF(#REF!,Z71))</f>
        <v>#REF!</v>
      </c>
      <c r="AD71" t="e">
        <f>IF(A71="","",IF(AC71&gt;1,"REVISAR DUPLICADO",IF(AA71&lt;&gt;"","ACTUALIZADO POR EYR","SIN REPORTE EYR")))</f>
        <v>#REF!</v>
      </c>
    </row>
    <row r="72" spans="1:30" x14ac:dyDescent="0.3">
      <c r="A72" s="9" t="s">
        <v>5540</v>
      </c>
      <c r="B72" t="s">
        <v>5539</v>
      </c>
      <c r="C72" s="4" t="s">
        <v>5538</v>
      </c>
      <c r="D72" t="s">
        <v>21</v>
      </c>
      <c r="F72" t="s">
        <v>13</v>
      </c>
      <c r="G72" s="3">
        <v>8298022161</v>
      </c>
      <c r="H72" s="2">
        <v>46113</v>
      </c>
      <c r="K72" s="1">
        <f ca="1">IF(A72="","",IF(OR(L72="ENTREGADA",L72="RETORNADA",L72="ENTREGA DIGITAL"),0,MAX(0,5-NETWORKDAYS(H72+1,TODAY()))))</f>
        <v>0</v>
      </c>
      <c r="L72" t="str">
        <f>IF(A72="","",IFERROR(LOOKUP(2,1/(#REF!=Z72),#REF!),Y72))</f>
        <v>ENTREGADA</v>
      </c>
      <c r="Y72" t="s">
        <v>1956</v>
      </c>
      <c r="Z72" t="str">
        <f>IF(A72="","",TEXT(A72,"0")&amp;"|"&amp;TEXT(H72,"0"))</f>
        <v>4921017745461090|46113</v>
      </c>
      <c r="AA72" t="str">
        <f>IF(Z72="","",IFERROR(LOOKUP(2,1/(#REF!=Z72),#REF!),""))</f>
        <v/>
      </c>
      <c r="AB72" t="str">
        <f>IF(Z72="","",IFERROR(LOOKUP(2,1/(#REF!=Z72),#REF!),""))</f>
        <v/>
      </c>
      <c r="AC72" t="e">
        <f>IF(Z72="","",COUNTIF(#REF!,Z72))</f>
        <v>#REF!</v>
      </c>
      <c r="AD72" t="e">
        <f>IF(A72="","",IF(AC72&gt;1,"REVISAR DUPLICADO",IF(AA72&lt;&gt;"","ACTUALIZADO POR EYR","SIN REPORTE EYR")))</f>
        <v>#REF!</v>
      </c>
    </row>
    <row r="73" spans="1:30" x14ac:dyDescent="0.3">
      <c r="A73" t="s">
        <v>1962</v>
      </c>
      <c r="B73" t="s">
        <v>1961</v>
      </c>
      <c r="C73" s="4" t="s">
        <v>1960</v>
      </c>
      <c r="D73" t="s">
        <v>21</v>
      </c>
      <c r="E73" t="s">
        <v>21</v>
      </c>
      <c r="F73" t="s">
        <v>62</v>
      </c>
      <c r="G73" s="3">
        <v>8095292483</v>
      </c>
      <c r="H73" s="2">
        <v>46113</v>
      </c>
      <c r="K73" s="1">
        <f ca="1">IF(A73="","",IF(OR(L73="ENTREGADA",L73="RETORNADA",L73="ENTREGA DIGITAL"),0,MAX(0,5-NETWORKDAYS(H73+1,TODAY()))))</f>
        <v>0</v>
      </c>
      <c r="L73" t="str">
        <f>IF(A73="","",IFERROR(LOOKUP(2,1/(#REF!=Z73),#REF!),Y73))</f>
        <v>RETORNADA</v>
      </c>
      <c r="Y73" t="s">
        <v>1857</v>
      </c>
      <c r="Z73" t="str">
        <f>IF(A73="","",TEXT(A73,"0")&amp;"|"&amp;TEXT(H73,"0"))</f>
        <v>4921017745282510|46113</v>
      </c>
      <c r="AA73" t="str">
        <f>IF(Z73="","",IFERROR(LOOKUP(2,1/(#REF!=Z73),#REF!),""))</f>
        <v/>
      </c>
      <c r="AB73" t="str">
        <f>IF(Z73="","",IFERROR(LOOKUP(2,1/(#REF!=Z73),#REF!),""))</f>
        <v/>
      </c>
      <c r="AC73" t="e">
        <f>IF(Z73="","",COUNTIF(#REF!,Z73))</f>
        <v>#REF!</v>
      </c>
      <c r="AD73" t="e">
        <f>IF(A73="","",IF(AC73&gt;1,"REVISAR DUPLICADO",IF(AA73&lt;&gt;"","ACTUALIZADO POR EYR","SIN REPORTE EYR")))</f>
        <v>#REF!</v>
      </c>
    </row>
    <row r="74" spans="1:30" x14ac:dyDescent="0.3">
      <c r="A74" s="5" t="s">
        <v>5537</v>
      </c>
      <c r="B74" t="s">
        <v>5536</v>
      </c>
      <c r="C74" s="4" t="s">
        <v>5535</v>
      </c>
      <c r="D74" t="s">
        <v>21</v>
      </c>
      <c r="F74" t="s">
        <v>13</v>
      </c>
      <c r="G74" s="3">
        <v>8293522446</v>
      </c>
      <c r="H74" s="2">
        <v>46113</v>
      </c>
      <c r="K74" s="1">
        <f ca="1">IF(A74="","",IF(OR(L74="ENTREGADA",L74="RETORNADA",L74="ENTREGA DIGITAL"),0,MAX(0,5-NETWORKDAYS(H74+1,TODAY()))))</f>
        <v>0</v>
      </c>
      <c r="L74" t="str">
        <f>IF(A74="","",IFERROR(LOOKUP(2,1/(#REF!=Z74),#REF!),Y74))</f>
        <v>ENTREGADA</v>
      </c>
      <c r="Y74" t="s">
        <v>1956</v>
      </c>
      <c r="Z74" t="str">
        <f>IF(A74="","",TEXT(A74,"0")&amp;"|"&amp;TEXT(H74,"0"))</f>
        <v>5415017743629980|46113</v>
      </c>
      <c r="AA74" t="str">
        <f>IF(Z74="","",IFERROR(LOOKUP(2,1/(#REF!=Z74),#REF!),""))</f>
        <v/>
      </c>
      <c r="AB74" t="str">
        <f>IF(Z74="","",IFERROR(LOOKUP(2,1/(#REF!=Z74),#REF!),""))</f>
        <v/>
      </c>
      <c r="AC74" t="e">
        <f>IF(Z74="","",COUNTIF(#REF!,Z74))</f>
        <v>#REF!</v>
      </c>
      <c r="AD74" t="e">
        <f>IF(A74="","",IF(AC74&gt;1,"REVISAR DUPLICADO",IF(AA74&lt;&gt;"","ACTUALIZADO POR EYR","SIN REPORTE EYR")))</f>
        <v>#REF!</v>
      </c>
    </row>
    <row r="75" spans="1:30" x14ac:dyDescent="0.3">
      <c r="A75" t="s">
        <v>3569</v>
      </c>
      <c r="B75" t="s">
        <v>3568</v>
      </c>
      <c r="C75" s="4" t="s">
        <v>3567</v>
      </c>
      <c r="D75" t="s">
        <v>21</v>
      </c>
      <c r="F75" t="s">
        <v>5534</v>
      </c>
      <c r="G75" s="3">
        <v>8295731902</v>
      </c>
      <c r="H75" s="2">
        <v>46113</v>
      </c>
      <c r="K75" s="1">
        <f ca="1">IF(A75="","",IF(OR(L75="ENTREGADA",L75="RETORNADA",L75="ENTREGA DIGITAL"),0,MAX(0,5-NETWORKDAYS(H75+1,TODAY()))))</f>
        <v>0</v>
      </c>
      <c r="L75" t="str">
        <f>IF(A75="","",IFERROR(LOOKUP(2,1/(#REF!=Z75),#REF!),Y75))</f>
        <v>RETORNADA</v>
      </c>
      <c r="Y75" t="s">
        <v>1857</v>
      </c>
      <c r="Z75" t="str">
        <f>IF(A75="","",TEXT(A75,"0")&amp;"|"&amp;TEXT(H75,"0"))</f>
        <v>5415017742704740|46113</v>
      </c>
      <c r="AA75" t="str">
        <f>IF(Z75="","",IFERROR(LOOKUP(2,1/(#REF!=Z75),#REF!),""))</f>
        <v/>
      </c>
      <c r="AB75" t="str">
        <f>IF(Z75="","",IFERROR(LOOKUP(2,1/(#REF!=Z75),#REF!),""))</f>
        <v/>
      </c>
      <c r="AC75" t="e">
        <f>IF(Z75="","",COUNTIF(#REF!,Z75))</f>
        <v>#REF!</v>
      </c>
      <c r="AD75" t="e">
        <f>IF(A75="","",IF(AC75&gt;1,"REVISAR DUPLICADO",IF(AA75&lt;&gt;"","ACTUALIZADO POR EYR","SIN REPORTE EYR")))</f>
        <v>#REF!</v>
      </c>
    </row>
    <row r="76" spans="1:30" x14ac:dyDescent="0.3">
      <c r="A76" t="s">
        <v>5533</v>
      </c>
      <c r="B76" t="s">
        <v>5532</v>
      </c>
      <c r="C76" s="4" t="s">
        <v>5531</v>
      </c>
      <c r="D76" t="s">
        <v>21</v>
      </c>
      <c r="F76" t="s">
        <v>122</v>
      </c>
      <c r="G76" s="3">
        <v>8098683391</v>
      </c>
      <c r="H76" s="2">
        <v>46113</v>
      </c>
      <c r="K76" s="1">
        <f ca="1">IF(A76="","",IF(OR(L76="ENTREGADA",L76="RETORNADA",L76="ENTREGA DIGITAL"),0,MAX(0,5-NETWORKDAYS(H76+1,TODAY()))))</f>
        <v>0</v>
      </c>
      <c r="L76" t="str">
        <f>IF(A76="","",IFERROR(LOOKUP(2,1/(#REF!=Z76),#REF!),Y76))</f>
        <v>ENTREGADA</v>
      </c>
      <c r="Y76" t="s">
        <v>1956</v>
      </c>
      <c r="Z76" t="str">
        <f>IF(A76="","",TEXT(A76,"0")&amp;"|"&amp;TEXT(H76,"0"))</f>
        <v>5227017744361090|46113</v>
      </c>
      <c r="AA76" t="str">
        <f>IF(Z76="","",IFERROR(LOOKUP(2,1/(#REF!=Z76),#REF!),""))</f>
        <v/>
      </c>
      <c r="AB76" t="str">
        <f>IF(Z76="","",IFERROR(LOOKUP(2,1/(#REF!=Z76),#REF!),""))</f>
        <v/>
      </c>
      <c r="AC76" t="e">
        <f>IF(Z76="","",COUNTIF(#REF!,Z76))</f>
        <v>#REF!</v>
      </c>
      <c r="AD76" t="e">
        <f>IF(A76="","",IF(AC76&gt;1,"REVISAR DUPLICADO",IF(AA76&lt;&gt;"","ACTUALIZADO POR EYR","SIN REPORTE EYR")))</f>
        <v>#REF!</v>
      </c>
    </row>
    <row r="77" spans="1:30" x14ac:dyDescent="0.3">
      <c r="A77" t="s">
        <v>4003</v>
      </c>
      <c r="B77" t="s">
        <v>4002</v>
      </c>
      <c r="C77" s="4" t="s">
        <v>4001</v>
      </c>
      <c r="D77" t="s">
        <v>21</v>
      </c>
      <c r="F77" t="s">
        <v>5530</v>
      </c>
      <c r="G77" s="3">
        <v>8293074180</v>
      </c>
      <c r="H77" s="2">
        <v>46113</v>
      </c>
      <c r="K77" s="1">
        <f ca="1">IF(A77="","",IF(OR(L77="ENTREGADA",L77="RETORNADA",L77="ENTREGA DIGITAL"),0,MAX(0,5-NETWORKDAYS(H77+1,TODAY()))))</f>
        <v>0</v>
      </c>
      <c r="L77" t="str">
        <f>IF(A77="","",IFERROR(LOOKUP(2,1/(#REF!=Z77),#REF!),Y77))</f>
        <v>RETORNADA</v>
      </c>
      <c r="Y77" t="s">
        <v>1857</v>
      </c>
      <c r="Z77" t="str">
        <f>IF(A77="","",TEXT(A77,"0")&amp;"|"&amp;TEXT(H77,"0"))</f>
        <v>5415017742915510|46113</v>
      </c>
      <c r="AA77" t="str">
        <f>IF(Z77="","",IFERROR(LOOKUP(2,1/(#REF!=Z77),#REF!),""))</f>
        <v/>
      </c>
      <c r="AB77" t="str">
        <f>IF(Z77="","",IFERROR(LOOKUP(2,1/(#REF!=Z77),#REF!),""))</f>
        <v/>
      </c>
      <c r="AC77" t="e">
        <f>IF(Z77="","",COUNTIF(#REF!,Z77))</f>
        <v>#REF!</v>
      </c>
      <c r="AD77" t="e">
        <f>IF(A77="","",IF(AC77&gt;1,"REVISAR DUPLICADO",IF(AA77&lt;&gt;"","ACTUALIZADO POR EYR","SIN REPORTE EYR")))</f>
        <v>#REF!</v>
      </c>
    </row>
    <row r="78" spans="1:30" x14ac:dyDescent="0.3">
      <c r="A78" s="5" t="s">
        <v>5529</v>
      </c>
      <c r="B78" t="s">
        <v>5528</v>
      </c>
      <c r="C78" s="4" t="s">
        <v>5527</v>
      </c>
      <c r="D78" t="s">
        <v>21</v>
      </c>
      <c r="F78" t="s">
        <v>13</v>
      </c>
      <c r="G78" s="3">
        <v>8095162884</v>
      </c>
      <c r="H78" s="2">
        <v>46114</v>
      </c>
      <c r="I78" t="s">
        <v>1397</v>
      </c>
      <c r="K78" s="1">
        <f ca="1">IF(A78="","",IF(OR(L78="ENTREGADA",L78="RETORNADA",L78="ENTREGA DIGITAL"),0,MAX(0,5-NETWORKDAYS(H78+1,TODAY()))))</f>
        <v>0</v>
      </c>
      <c r="L78" t="str">
        <f>IF(A78="","",IFERROR(LOOKUP(2,1/(#REF!=Z78),#REF!),Y78))</f>
        <v>ENTREGADA</v>
      </c>
      <c r="Y78" t="s">
        <v>1956</v>
      </c>
      <c r="Z78" t="str">
        <f>IF(A78="","",TEXT(A78,"0")&amp;"|"&amp;TEXT(H78,"0"))</f>
        <v>4966017745780360|46114</v>
      </c>
      <c r="AA78" t="str">
        <f>IF(Z78="","",IFERROR(LOOKUP(2,1/(#REF!=Z78),#REF!),""))</f>
        <v/>
      </c>
      <c r="AB78" t="str">
        <f>IF(Z78="","",IFERROR(LOOKUP(2,1/(#REF!=Z78),#REF!),""))</f>
        <v/>
      </c>
      <c r="AC78" t="e">
        <f>IF(Z78="","",COUNTIF(#REF!,Z78))</f>
        <v>#REF!</v>
      </c>
      <c r="AD78" t="e">
        <f>IF(A78="","",IF(AC78&gt;1,"REVISAR DUPLICADO",IF(AA78&lt;&gt;"","ACTUALIZADO POR EYR","SIN REPORTE EYR")))</f>
        <v>#REF!</v>
      </c>
    </row>
    <row r="79" spans="1:30" x14ac:dyDescent="0.3">
      <c r="A79" s="5" t="s">
        <v>5526</v>
      </c>
      <c r="B79" t="s">
        <v>5525</v>
      </c>
      <c r="C79" s="4" t="s">
        <v>5524</v>
      </c>
      <c r="D79" t="s">
        <v>21</v>
      </c>
      <c r="F79" t="s">
        <v>13</v>
      </c>
      <c r="G79" s="3">
        <v>8293084524</v>
      </c>
      <c r="H79" s="2">
        <v>46114</v>
      </c>
      <c r="K79" s="1">
        <f ca="1">IF(A79="","",IF(OR(L79="ENTREGADA",L79="RETORNADA",L79="ENTREGA DIGITAL"),0,MAX(0,5-NETWORKDAYS(H79+1,TODAY()))))</f>
        <v>0</v>
      </c>
      <c r="L79" t="str">
        <f>IF(A79="","",IFERROR(LOOKUP(2,1/(#REF!=Z79),#REF!),Y79))</f>
        <v>ENTREGADA</v>
      </c>
      <c r="Y79" t="s">
        <v>1956</v>
      </c>
      <c r="Z79" t="str">
        <f>IF(A79="","",TEXT(A79,"0")&amp;"|"&amp;TEXT(H79,"0"))</f>
        <v>4921017747418760|46114</v>
      </c>
      <c r="AA79" t="str">
        <f>IF(Z79="","",IFERROR(LOOKUP(2,1/(#REF!=Z79),#REF!),""))</f>
        <v/>
      </c>
      <c r="AB79" t="str">
        <f>IF(Z79="","",IFERROR(LOOKUP(2,1/(#REF!=Z79),#REF!),""))</f>
        <v/>
      </c>
      <c r="AC79" t="e">
        <f>IF(Z79="","",COUNTIF(#REF!,Z79))</f>
        <v>#REF!</v>
      </c>
      <c r="AD79" t="e">
        <f>IF(A79="","",IF(AC79&gt;1,"REVISAR DUPLICADO",IF(AA79&lt;&gt;"","ACTUALIZADO POR EYR","SIN REPORTE EYR")))</f>
        <v>#REF!</v>
      </c>
    </row>
    <row r="80" spans="1:30" x14ac:dyDescent="0.3">
      <c r="A80" t="s">
        <v>5523</v>
      </c>
      <c r="B80" t="s">
        <v>5522</v>
      </c>
      <c r="C80" s="4" t="s">
        <v>5521</v>
      </c>
      <c r="D80" t="s">
        <v>21</v>
      </c>
      <c r="F80" t="s">
        <v>1050</v>
      </c>
      <c r="G80" s="3">
        <v>8298695275</v>
      </c>
      <c r="H80" s="2">
        <v>46114</v>
      </c>
      <c r="K80" s="1">
        <f ca="1">IF(A80="","",IF(OR(L80="ENTREGADA",L80="RETORNADA",L80="ENTREGA DIGITAL"),0,MAX(0,5-NETWORKDAYS(H80+1,TODAY()))))</f>
        <v>0</v>
      </c>
      <c r="L80" t="str">
        <f>IF(A80="","",IFERROR(LOOKUP(2,1/(#REF!=Z80),#REF!),Y80))</f>
        <v>RETORNADA</v>
      </c>
      <c r="Y80" t="s">
        <v>1857</v>
      </c>
      <c r="Z80" t="str">
        <f>IF(A80="","",TEXT(A80,"0")&amp;"|"&amp;TEXT(H80,"0"))</f>
        <v>4921017750812250|46114</v>
      </c>
      <c r="AA80" t="str">
        <f>IF(Z80="","",IFERROR(LOOKUP(2,1/(#REF!=Z80),#REF!),""))</f>
        <v/>
      </c>
      <c r="AB80" t="str">
        <f>IF(Z80="","",IFERROR(LOOKUP(2,1/(#REF!=Z80),#REF!),""))</f>
        <v/>
      </c>
      <c r="AC80" t="e">
        <f>IF(Z80="","",COUNTIF(#REF!,Z80))</f>
        <v>#REF!</v>
      </c>
      <c r="AD80" t="e">
        <f>IF(A80="","",IF(AC80&gt;1,"REVISAR DUPLICADO",IF(AA80&lt;&gt;"","ACTUALIZADO POR EYR","SIN REPORTE EYR")))</f>
        <v>#REF!</v>
      </c>
    </row>
    <row r="81" spans="1:30" x14ac:dyDescent="0.3">
      <c r="A81" s="5" t="s">
        <v>5520</v>
      </c>
      <c r="B81" t="s">
        <v>5519</v>
      </c>
      <c r="C81" s="4" t="s">
        <v>5518</v>
      </c>
      <c r="D81" t="s">
        <v>21</v>
      </c>
      <c r="F81" t="s">
        <v>5517</v>
      </c>
      <c r="G81" s="3">
        <v>8092462698</v>
      </c>
      <c r="H81" s="2">
        <v>46114</v>
      </c>
      <c r="K81" s="1">
        <f ca="1">IF(A81="","",IF(OR(L81="ENTREGADA",L81="RETORNADA",L81="ENTREGA DIGITAL"),0,MAX(0,5-NETWORKDAYS(H81+1,TODAY()))))</f>
        <v>0</v>
      </c>
      <c r="L81" t="str">
        <f>IF(A81="","",IFERROR(LOOKUP(2,1/(#REF!=Z81),#REF!),Y81))</f>
        <v>ENTREGADA</v>
      </c>
      <c r="Y81" t="s">
        <v>1956</v>
      </c>
      <c r="Z81" t="str">
        <f>IF(A81="","",TEXT(A81,"0")&amp;"|"&amp;TEXT(H81,"0"))</f>
        <v>4921017751642000|46114</v>
      </c>
      <c r="AA81" t="str">
        <f>IF(Z81="","",IFERROR(LOOKUP(2,1/(#REF!=Z81),#REF!),""))</f>
        <v/>
      </c>
      <c r="AB81" t="str">
        <f>IF(Z81="","",IFERROR(LOOKUP(2,1/(#REF!=Z81),#REF!),""))</f>
        <v/>
      </c>
      <c r="AC81" t="e">
        <f>IF(Z81="","",COUNTIF(#REF!,Z81))</f>
        <v>#REF!</v>
      </c>
      <c r="AD81" t="e">
        <f>IF(A81="","",IF(AC81&gt;1,"REVISAR DUPLICADO",IF(AA81&lt;&gt;"","ACTUALIZADO POR EYR","SIN REPORTE EYR")))</f>
        <v>#REF!</v>
      </c>
    </row>
    <row r="82" spans="1:30" x14ac:dyDescent="0.3">
      <c r="A82" t="s">
        <v>5516</v>
      </c>
      <c r="B82" t="s">
        <v>5515</v>
      </c>
      <c r="C82" s="4" t="s">
        <v>5514</v>
      </c>
      <c r="D82" t="s">
        <v>21</v>
      </c>
      <c r="F82" t="s">
        <v>13</v>
      </c>
      <c r="G82" s="3">
        <v>8093038547</v>
      </c>
      <c r="H82" s="2">
        <v>46114</v>
      </c>
      <c r="K82" s="1">
        <f ca="1">IF(A82="","",IF(OR(L82="ENTREGADA",L82="RETORNADA",L82="ENTREGA DIGITAL"),0,MAX(0,5-NETWORKDAYS(H82+1,TODAY()))))</f>
        <v>0</v>
      </c>
      <c r="L82" t="str">
        <f>IF(A82="","",IFERROR(LOOKUP(2,1/(#REF!=Z82),#REF!),Y82))</f>
        <v>RETORNADA</v>
      </c>
      <c r="Y82" t="s">
        <v>1857</v>
      </c>
      <c r="Z82" t="str">
        <f>IF(A82="","",TEXT(A82,"0")&amp;"|"&amp;TEXT(H82,"0"))</f>
        <v>4921017751538710|46114</v>
      </c>
      <c r="AA82" t="str">
        <f>IF(Z82="","",IFERROR(LOOKUP(2,1/(#REF!=Z82),#REF!),""))</f>
        <v/>
      </c>
      <c r="AB82" t="str">
        <f>IF(Z82="","",IFERROR(LOOKUP(2,1/(#REF!=Z82),#REF!),""))</f>
        <v/>
      </c>
      <c r="AC82" t="e">
        <f>IF(Z82="","",COUNTIF(#REF!,Z82))</f>
        <v>#REF!</v>
      </c>
      <c r="AD82" t="e">
        <f>IF(A82="","",IF(AC82&gt;1,"REVISAR DUPLICADO",IF(AA82&lt;&gt;"","ACTUALIZADO POR EYR","SIN REPORTE EYR")))</f>
        <v>#REF!</v>
      </c>
    </row>
    <row r="83" spans="1:30" x14ac:dyDescent="0.3">
      <c r="A83" s="5" t="s">
        <v>5513</v>
      </c>
      <c r="B83" t="s">
        <v>5512</v>
      </c>
      <c r="C83" s="4" t="s">
        <v>5511</v>
      </c>
      <c r="D83" t="s">
        <v>21</v>
      </c>
      <c r="E83" t="s">
        <v>21</v>
      </c>
      <c r="F83" t="s">
        <v>62</v>
      </c>
      <c r="G83" s="3">
        <v>8093777630</v>
      </c>
      <c r="H83" s="2">
        <v>46114</v>
      </c>
      <c r="K83" s="1">
        <f ca="1">IF(A83="","",IF(OR(L83="ENTREGADA",L83="RETORNADA",L83="ENTREGA DIGITAL"),0,MAX(0,5-NETWORKDAYS(H83+1,TODAY()))))</f>
        <v>0</v>
      </c>
      <c r="L83" t="str">
        <f>IF(A83="","",IFERROR(LOOKUP(2,1/(#REF!=Z83),#REF!),Y83))</f>
        <v>ENTREGADA</v>
      </c>
      <c r="Y83" t="s">
        <v>1956</v>
      </c>
      <c r="Z83" t="str">
        <f>IF(A83="","",TEXT(A83,"0")&amp;"|"&amp;TEXT(H83,"0"))</f>
        <v>4966017750960390|46114</v>
      </c>
      <c r="AA83" t="str">
        <f>IF(Z83="","",IFERROR(LOOKUP(2,1/(#REF!=Z83),#REF!),""))</f>
        <v/>
      </c>
      <c r="AB83" t="str">
        <f>IF(Z83="","",IFERROR(LOOKUP(2,1/(#REF!=Z83),#REF!),""))</f>
        <v/>
      </c>
      <c r="AC83" t="e">
        <f>IF(Z83="","",COUNTIF(#REF!,Z83))</f>
        <v>#REF!</v>
      </c>
      <c r="AD83" t="e">
        <f>IF(A83="","",IF(AC83&gt;1,"REVISAR DUPLICADO",IF(AA83&lt;&gt;"","ACTUALIZADO POR EYR","SIN REPORTE EYR")))</f>
        <v>#REF!</v>
      </c>
    </row>
    <row r="84" spans="1:30" x14ac:dyDescent="0.3">
      <c r="A84" s="5" t="s">
        <v>5510</v>
      </c>
      <c r="B84" t="s">
        <v>5509</v>
      </c>
      <c r="C84" s="4" t="s">
        <v>5508</v>
      </c>
      <c r="D84" t="s">
        <v>21</v>
      </c>
      <c r="E84" t="s">
        <v>21</v>
      </c>
      <c r="F84" t="s">
        <v>62</v>
      </c>
      <c r="G84" s="3">
        <v>8292284029</v>
      </c>
      <c r="H84" s="2">
        <v>46114</v>
      </c>
      <c r="K84" s="1">
        <f ca="1">IF(A84="","",IF(OR(L84="ENTREGADA",L84="RETORNADA",L84="ENTREGA DIGITAL"),0,MAX(0,5-NETWORKDAYS(H84+1,TODAY()))))</f>
        <v>0</v>
      </c>
      <c r="L84" t="str">
        <f>IF(A84="","",IFERROR(LOOKUP(2,1/(#REF!=Z84),#REF!),Y84))</f>
        <v>ENTREGADA</v>
      </c>
      <c r="Y84" t="s">
        <v>1956</v>
      </c>
      <c r="Z84" t="str">
        <f>IF(A84="","",TEXT(A84,"0")&amp;"|"&amp;TEXT(H84,"0"))</f>
        <v>5188017750551100|46114</v>
      </c>
      <c r="AA84" t="str">
        <f>IF(Z84="","",IFERROR(LOOKUP(2,1/(#REF!=Z84),#REF!),""))</f>
        <v/>
      </c>
      <c r="AB84" t="str">
        <f>IF(Z84="","",IFERROR(LOOKUP(2,1/(#REF!=Z84),#REF!),""))</f>
        <v/>
      </c>
      <c r="AC84" t="e">
        <f>IF(Z84="","",COUNTIF(#REF!,Z84))</f>
        <v>#REF!</v>
      </c>
      <c r="AD84" t="e">
        <f>IF(A84="","",IF(AC84&gt;1,"REVISAR DUPLICADO",IF(AA84&lt;&gt;"","ACTUALIZADO POR EYR","SIN REPORTE EYR")))</f>
        <v>#REF!</v>
      </c>
    </row>
    <row r="85" spans="1:30" x14ac:dyDescent="0.3">
      <c r="A85" t="s">
        <v>5507</v>
      </c>
      <c r="B85" t="s">
        <v>5506</v>
      </c>
      <c r="C85" s="4" t="s">
        <v>5505</v>
      </c>
      <c r="D85" t="s">
        <v>21</v>
      </c>
      <c r="F85" t="s">
        <v>13</v>
      </c>
      <c r="G85" s="3">
        <v>8295137596</v>
      </c>
      <c r="H85" s="2">
        <v>46114</v>
      </c>
      <c r="K85" s="1">
        <f ca="1">IF(A85="","",IF(OR(L85="ENTREGADA",L85="RETORNADA",L85="ENTREGA DIGITAL"),0,MAX(0,5-NETWORKDAYS(H85+1,TODAY()))))</f>
        <v>0</v>
      </c>
      <c r="L85" t="str">
        <f>IF(A85="","",IFERROR(LOOKUP(2,1/(#REF!=Z85),#REF!),Y85))</f>
        <v>RETORNADA</v>
      </c>
      <c r="Y85" t="s">
        <v>1857</v>
      </c>
      <c r="Z85" t="str">
        <f>IF(A85="","",TEXT(A85,"0")&amp;"|"&amp;TEXT(H85,"0"))</f>
        <v>5188017750455230|46114</v>
      </c>
      <c r="AA85" t="str">
        <f>IF(Z85="","",IFERROR(LOOKUP(2,1/(#REF!=Z85),#REF!),""))</f>
        <v/>
      </c>
      <c r="AB85" t="str">
        <f>IF(Z85="","",IFERROR(LOOKUP(2,1/(#REF!=Z85),#REF!),""))</f>
        <v/>
      </c>
      <c r="AC85" t="e">
        <f>IF(Z85="","",COUNTIF(#REF!,Z85))</f>
        <v>#REF!</v>
      </c>
      <c r="AD85" t="e">
        <f>IF(A85="","",IF(AC85&gt;1,"REVISAR DUPLICADO",IF(AA85&lt;&gt;"","ACTUALIZADO POR EYR","SIN REPORTE EYR")))</f>
        <v>#REF!</v>
      </c>
    </row>
    <row r="86" spans="1:30" x14ac:dyDescent="0.3">
      <c r="A86" s="5" t="s">
        <v>5504</v>
      </c>
      <c r="B86" t="s">
        <v>5503</v>
      </c>
      <c r="C86" s="4" t="s">
        <v>5502</v>
      </c>
      <c r="D86" t="s">
        <v>21</v>
      </c>
      <c r="F86" t="s">
        <v>5501</v>
      </c>
      <c r="G86" s="3">
        <v>8094376695</v>
      </c>
      <c r="H86" s="2">
        <v>46114</v>
      </c>
      <c r="K86" s="1">
        <f ca="1">IF(A86="","",IF(OR(L86="ENTREGADA",L86="RETORNADA",L86="ENTREGA DIGITAL"),0,MAX(0,5-NETWORKDAYS(H86+1,TODAY()))))</f>
        <v>0</v>
      </c>
      <c r="L86" t="str">
        <f>IF(A86="","",IFERROR(LOOKUP(2,1/(#REF!=Z86),#REF!),Y86))</f>
        <v>ENTREGADA</v>
      </c>
      <c r="Y86" t="s">
        <v>1956</v>
      </c>
      <c r="Z86" t="str">
        <f>IF(A86="","",TEXT(A86,"0")&amp;"|"&amp;TEXT(H86,"0"))</f>
        <v>4921017750805420|46114</v>
      </c>
      <c r="AA86" t="str">
        <f>IF(Z86="","",IFERROR(LOOKUP(2,1/(#REF!=Z86),#REF!),""))</f>
        <v/>
      </c>
      <c r="AB86" t="str">
        <f>IF(Z86="","",IFERROR(LOOKUP(2,1/(#REF!=Z86),#REF!),""))</f>
        <v/>
      </c>
      <c r="AC86" t="e">
        <f>IF(Z86="","",COUNTIF(#REF!,Z86))</f>
        <v>#REF!</v>
      </c>
      <c r="AD86" t="e">
        <f>IF(A86="","",IF(AC86&gt;1,"REVISAR DUPLICADO",IF(AA86&lt;&gt;"","ACTUALIZADO POR EYR","SIN REPORTE EYR")))</f>
        <v>#REF!</v>
      </c>
    </row>
    <row r="87" spans="1:30" x14ac:dyDescent="0.3">
      <c r="A87" s="5" t="s">
        <v>5500</v>
      </c>
      <c r="B87" t="s">
        <v>5499</v>
      </c>
      <c r="C87" s="4" t="s">
        <v>5498</v>
      </c>
      <c r="D87" t="s">
        <v>21</v>
      </c>
      <c r="F87" t="s">
        <v>13</v>
      </c>
      <c r="G87" s="3">
        <v>8097536885</v>
      </c>
      <c r="H87" s="2">
        <v>46114</v>
      </c>
      <c r="K87" s="1">
        <f ca="1">IF(A87="","",IF(OR(L87="ENTREGADA",L87="RETORNADA",L87="ENTREGA DIGITAL"),0,MAX(0,5-NETWORKDAYS(H87+1,TODAY()))))</f>
        <v>0</v>
      </c>
      <c r="L87" t="str">
        <f>IF(A87="","",IFERROR(LOOKUP(2,1/(#REF!=Z87),#REF!),Y87))</f>
        <v>ENTREGADA</v>
      </c>
      <c r="Y87" t="s">
        <v>1956</v>
      </c>
      <c r="Z87" t="str">
        <f>IF(A87="","",TEXT(A87,"0")&amp;"|"&amp;TEXT(H87,"0"))</f>
        <v>5188017750287420|46114</v>
      </c>
      <c r="AA87" t="str">
        <f>IF(Z87="","",IFERROR(LOOKUP(2,1/(#REF!=Z87),#REF!),""))</f>
        <v/>
      </c>
      <c r="AB87" t="str">
        <f>IF(Z87="","",IFERROR(LOOKUP(2,1/(#REF!=Z87),#REF!),""))</f>
        <v/>
      </c>
      <c r="AC87" t="e">
        <f>IF(Z87="","",COUNTIF(#REF!,Z87))</f>
        <v>#REF!</v>
      </c>
      <c r="AD87" t="e">
        <f>IF(A87="","",IF(AC87&gt;1,"REVISAR DUPLICADO",IF(AA87&lt;&gt;"","ACTUALIZADO POR EYR","SIN REPORTE EYR")))</f>
        <v>#REF!</v>
      </c>
    </row>
    <row r="88" spans="1:30" x14ac:dyDescent="0.3">
      <c r="A88" s="5" t="s">
        <v>5497</v>
      </c>
      <c r="B88" t="s">
        <v>5496</v>
      </c>
      <c r="C88" s="4" t="s">
        <v>5495</v>
      </c>
      <c r="D88" t="s">
        <v>21</v>
      </c>
      <c r="F88" t="s">
        <v>13</v>
      </c>
      <c r="G88" s="3">
        <v>8299587488</v>
      </c>
      <c r="H88" s="2">
        <v>46114</v>
      </c>
      <c r="I88" t="s">
        <v>1397</v>
      </c>
      <c r="K88" s="1">
        <f ca="1">IF(A88="","",IF(OR(L88="ENTREGADA",L88="RETORNADA",L88="ENTREGA DIGITAL"),0,MAX(0,5-NETWORKDAYS(H88+1,TODAY()))))</f>
        <v>0</v>
      </c>
      <c r="L88" t="str">
        <f>IF(A88="","",IFERROR(LOOKUP(2,1/(#REF!=Z88),#REF!),Y88))</f>
        <v>ENTREGADA</v>
      </c>
      <c r="Y88" t="s">
        <v>1956</v>
      </c>
      <c r="Z88" t="str">
        <f>IF(A88="","",TEXT(A88,"0")&amp;"|"&amp;TEXT(H88,"0"))</f>
        <v>4741017748598980|46114</v>
      </c>
      <c r="AA88" t="str">
        <f>IF(Z88="","",IFERROR(LOOKUP(2,1/(#REF!=Z88),#REF!),""))</f>
        <v/>
      </c>
      <c r="AB88" t="str">
        <f>IF(Z88="","",IFERROR(LOOKUP(2,1/(#REF!=Z88),#REF!),""))</f>
        <v/>
      </c>
      <c r="AC88" t="e">
        <f>IF(Z88="","",COUNTIF(#REF!,Z88))</f>
        <v>#REF!</v>
      </c>
      <c r="AD88" t="e">
        <f>IF(A88="","",IF(AC88&gt;1,"REVISAR DUPLICADO",IF(AA88&lt;&gt;"","ACTUALIZADO POR EYR","SIN REPORTE EYR")))</f>
        <v>#REF!</v>
      </c>
    </row>
    <row r="89" spans="1:30" x14ac:dyDescent="0.3">
      <c r="A89" s="5" t="s">
        <v>5494</v>
      </c>
      <c r="B89" t="s">
        <v>5493</v>
      </c>
      <c r="C89" s="4" t="s">
        <v>5492</v>
      </c>
      <c r="D89" t="s">
        <v>21</v>
      </c>
      <c r="F89" t="s">
        <v>13</v>
      </c>
      <c r="G89" s="3">
        <v>8297448266</v>
      </c>
      <c r="H89" s="2">
        <v>46114</v>
      </c>
      <c r="K89" s="1">
        <f ca="1">IF(A89="","",IF(OR(L89="ENTREGADA",L89="RETORNADA",L89="ENTREGA DIGITAL"),0,MAX(0,5-NETWORKDAYS(H89+1,TODAY()))))</f>
        <v>0</v>
      </c>
      <c r="L89" t="str">
        <f>IF(A89="","",IFERROR(LOOKUP(2,1/(#REF!=Z89),#REF!),Y89))</f>
        <v>ENTREGADA</v>
      </c>
      <c r="Y89" t="s">
        <v>1956</v>
      </c>
      <c r="Z89" t="str">
        <f>IF(A89="","",TEXT(A89,"0")&amp;"|"&amp;TEXT(H89,"0"))</f>
        <v>5549017743996730|46114</v>
      </c>
      <c r="AA89" t="str">
        <f>IF(Z89="","",IFERROR(LOOKUP(2,1/(#REF!=Z89),#REF!),""))</f>
        <v/>
      </c>
      <c r="AB89" t="str">
        <f>IF(Z89="","",IFERROR(LOOKUP(2,1/(#REF!=Z89),#REF!),""))</f>
        <v/>
      </c>
      <c r="AC89" t="e">
        <f>IF(Z89="","",COUNTIF(#REF!,Z89))</f>
        <v>#REF!</v>
      </c>
      <c r="AD89" t="e">
        <f>IF(A89="","",IF(AC89&gt;1,"REVISAR DUPLICADO",IF(AA89&lt;&gt;"","ACTUALIZADO POR EYR","SIN REPORTE EYR")))</f>
        <v>#REF!</v>
      </c>
    </row>
    <row r="90" spans="1:30" x14ac:dyDescent="0.3">
      <c r="A90" s="5" t="s">
        <v>5491</v>
      </c>
      <c r="B90" t="s">
        <v>5490</v>
      </c>
      <c r="C90" s="4" t="s">
        <v>5489</v>
      </c>
      <c r="D90" t="s">
        <v>21</v>
      </c>
      <c r="F90" t="s">
        <v>13</v>
      </c>
      <c r="G90" s="3">
        <v>0</v>
      </c>
      <c r="H90" s="2">
        <v>46114</v>
      </c>
      <c r="K90" s="1">
        <f ca="1">IF(A90="","",IF(OR(L90="ENTREGADA",L90="RETORNADA",L90="ENTREGA DIGITAL"),0,MAX(0,5-NETWORKDAYS(H90+1,TODAY()))))</f>
        <v>0</v>
      </c>
      <c r="L90" t="str">
        <f>IF(A90="","",IFERROR(LOOKUP(2,1/(#REF!=Z90),#REF!),Y90))</f>
        <v>ENTREGADA</v>
      </c>
      <c r="Y90" t="s">
        <v>1956</v>
      </c>
      <c r="Z90" t="str">
        <f>IF(A90="","",TEXT(A90,"0")&amp;"|"&amp;TEXT(H90,"0"))</f>
        <v>4555002594828890|46114</v>
      </c>
      <c r="AA90" t="str">
        <f>IF(Z90="","",IFERROR(LOOKUP(2,1/(#REF!=Z90),#REF!),""))</f>
        <v/>
      </c>
      <c r="AB90" t="str">
        <f>IF(Z90="","",IFERROR(LOOKUP(2,1/(#REF!=Z90),#REF!),""))</f>
        <v/>
      </c>
      <c r="AC90" t="e">
        <f>IF(Z90="","",COUNTIF(#REF!,Z90))</f>
        <v>#REF!</v>
      </c>
      <c r="AD90" t="e">
        <f>IF(A90="","",IF(AC90&gt;1,"REVISAR DUPLICADO",IF(AA90&lt;&gt;"","ACTUALIZADO POR EYR","SIN REPORTE EYR")))</f>
        <v>#REF!</v>
      </c>
    </row>
    <row r="91" spans="1:30" x14ac:dyDescent="0.3">
      <c r="A91" s="5" t="s">
        <v>5488</v>
      </c>
      <c r="B91" t="s">
        <v>5487</v>
      </c>
      <c r="C91" s="4" t="s">
        <v>5486</v>
      </c>
      <c r="D91" t="s">
        <v>21</v>
      </c>
      <c r="F91" t="s">
        <v>13</v>
      </c>
      <c r="G91" s="3">
        <v>8095296754</v>
      </c>
      <c r="H91" s="2">
        <v>46114</v>
      </c>
      <c r="K91" s="1">
        <f ca="1">IF(A91="","",IF(OR(L91="ENTREGADA",L91="RETORNADA",L91="ENTREGA DIGITAL"),0,MAX(0,5-NETWORKDAYS(H91+1,TODAY()))))</f>
        <v>0</v>
      </c>
      <c r="L91" t="str">
        <f>IF(A91="","",IFERROR(LOOKUP(2,1/(#REF!=Z91),#REF!),Y91))</f>
        <v>ENTREGADA</v>
      </c>
      <c r="Y91" t="s">
        <v>1956</v>
      </c>
      <c r="Z91" t="str">
        <f>IF(A91="","",TEXT(A91,"0")&amp;"|"&amp;TEXT(H91,"0"))</f>
        <v>5523017743050920|46114</v>
      </c>
      <c r="AA91" t="str">
        <f>IF(Z91="","",IFERROR(LOOKUP(2,1/(#REF!=Z91),#REF!),""))</f>
        <v/>
      </c>
      <c r="AB91" t="str">
        <f>IF(Z91="","",IFERROR(LOOKUP(2,1/(#REF!=Z91),#REF!),""))</f>
        <v/>
      </c>
      <c r="AC91" t="e">
        <f>IF(Z91="","",COUNTIF(#REF!,Z91))</f>
        <v>#REF!</v>
      </c>
      <c r="AD91" t="e">
        <f>IF(A91="","",IF(AC91&gt;1,"REVISAR DUPLICADO",IF(AA91&lt;&gt;"","ACTUALIZADO POR EYR","SIN REPORTE EYR")))</f>
        <v>#REF!</v>
      </c>
    </row>
    <row r="92" spans="1:30" x14ac:dyDescent="0.3">
      <c r="A92" s="5" t="s">
        <v>5485</v>
      </c>
      <c r="B92" t="s">
        <v>5484</v>
      </c>
      <c r="C92" s="4" t="s">
        <v>5483</v>
      </c>
      <c r="D92" t="s">
        <v>77</v>
      </c>
      <c r="F92" t="s">
        <v>5482</v>
      </c>
      <c r="G92" s="3">
        <v>8496549807</v>
      </c>
      <c r="H92" s="2">
        <v>46114</v>
      </c>
      <c r="I92" t="s">
        <v>1397</v>
      </c>
      <c r="K92" s="1">
        <f ca="1">IF(A92="","",IF(OR(L92="ENTREGADA",L92="RETORNADA",L92="ENTREGA DIGITAL"),0,MAX(0,5-NETWORKDAYS(H92+1,TODAY()))))</f>
        <v>0</v>
      </c>
      <c r="L92" t="str">
        <f>IF(A92="","",IFERROR(LOOKUP(2,1/(#REF!=Z92),#REF!),Y92))</f>
        <v>ENTREGADA</v>
      </c>
      <c r="Y92" t="s">
        <v>1956</v>
      </c>
      <c r="Z92" t="str">
        <f>IF(A92="","",TEXT(A92,"0")&amp;"|"&amp;TEXT(H92,"0"))</f>
        <v>4921017623835890|46114</v>
      </c>
      <c r="AA92" t="str">
        <f>IF(Z92="","",IFERROR(LOOKUP(2,1/(#REF!=Z92),#REF!),""))</f>
        <v/>
      </c>
      <c r="AB92" t="str">
        <f>IF(Z92="","",IFERROR(LOOKUP(2,1/(#REF!=Z92),#REF!),""))</f>
        <v/>
      </c>
      <c r="AC92" t="e">
        <f>IF(Z92="","",COUNTIF(#REF!,Z92))</f>
        <v>#REF!</v>
      </c>
      <c r="AD92" t="e">
        <f>IF(A92="","",IF(AC92&gt;1,"REVISAR DUPLICADO",IF(AA92&lt;&gt;"","ACTUALIZADO POR EYR","SIN REPORTE EYR")))</f>
        <v>#REF!</v>
      </c>
    </row>
    <row r="93" spans="1:30" x14ac:dyDescent="0.3">
      <c r="A93" s="5" t="s">
        <v>5481</v>
      </c>
      <c r="B93" t="s">
        <v>5480</v>
      </c>
      <c r="C93" s="4" t="s">
        <v>5479</v>
      </c>
      <c r="D93" t="s">
        <v>77</v>
      </c>
      <c r="F93" t="s">
        <v>5478</v>
      </c>
      <c r="G93" s="3">
        <v>8098192627</v>
      </c>
      <c r="H93" s="2">
        <v>46114</v>
      </c>
      <c r="K93" s="1">
        <f ca="1">IF(A93="","",IF(OR(L93="ENTREGADA",L93="RETORNADA",L93="ENTREGA DIGITAL"),0,MAX(0,5-NETWORKDAYS(H93+1,TODAY()))))</f>
        <v>0</v>
      </c>
      <c r="L93" t="str">
        <f>IF(A93="","",IFERROR(LOOKUP(2,1/(#REF!=Z93),#REF!),Y93))</f>
        <v>ENTREGADA</v>
      </c>
      <c r="Y93" t="s">
        <v>1956</v>
      </c>
      <c r="Z93" t="str">
        <f>IF(A93="","",TEXT(A93,"0")&amp;"|"&amp;TEXT(H93,"0"))</f>
        <v>4921017633109640|46114</v>
      </c>
      <c r="AA93" t="str">
        <f>IF(Z93="","",IFERROR(LOOKUP(2,1/(#REF!=Z93),#REF!),""))</f>
        <v/>
      </c>
      <c r="AB93" t="str">
        <f>IF(Z93="","",IFERROR(LOOKUP(2,1/(#REF!=Z93),#REF!),""))</f>
        <v/>
      </c>
      <c r="AC93" t="e">
        <f>IF(Z93="","",COUNTIF(#REF!,Z93))</f>
        <v>#REF!</v>
      </c>
      <c r="AD93" t="e">
        <f>IF(A93="","",IF(AC93&gt;1,"REVISAR DUPLICADO",IF(AA93&lt;&gt;"","ACTUALIZADO POR EYR","SIN REPORTE EYR")))</f>
        <v>#REF!</v>
      </c>
    </row>
    <row r="94" spans="1:30" x14ac:dyDescent="0.3">
      <c r="A94" t="s">
        <v>3755</v>
      </c>
      <c r="B94" t="s">
        <v>3754</v>
      </c>
      <c r="C94" s="4" t="s">
        <v>3753</v>
      </c>
      <c r="D94" t="s">
        <v>77</v>
      </c>
      <c r="F94" t="s">
        <v>13</v>
      </c>
      <c r="G94" s="3">
        <v>8499195271</v>
      </c>
      <c r="H94" s="2">
        <v>46114</v>
      </c>
      <c r="K94" s="1">
        <f ca="1">IF(A94="","",IF(OR(L94="ENTREGADA",L94="RETORNADA",L94="ENTREGA DIGITAL"),0,MAX(0,5-NETWORKDAYS(H94+1,TODAY()))))</f>
        <v>0</v>
      </c>
      <c r="L94" t="str">
        <f>IF(A94="","",IFERROR(LOOKUP(2,1/(#REF!=Z94),#REF!),Y94))</f>
        <v>RETORNADA</v>
      </c>
      <c r="Y94" t="s">
        <v>1857</v>
      </c>
      <c r="Z94" t="str">
        <f>IF(A94="","",TEXT(A94,"0")&amp;"|"&amp;TEXT(H94,"0"))</f>
        <v>4921017745498640|46114</v>
      </c>
      <c r="AA94" t="str">
        <f>IF(Z94="","",IFERROR(LOOKUP(2,1/(#REF!=Z94),#REF!),""))</f>
        <v/>
      </c>
      <c r="AB94" t="str">
        <f>IF(Z94="","",IFERROR(LOOKUP(2,1/(#REF!=Z94),#REF!),""))</f>
        <v/>
      </c>
      <c r="AC94" t="e">
        <f>IF(Z94="","",COUNTIF(#REF!,Z94))</f>
        <v>#REF!</v>
      </c>
      <c r="AD94" t="e">
        <f>IF(A94="","",IF(AC94&gt;1,"REVISAR DUPLICADO",IF(AA94&lt;&gt;"","ACTUALIZADO POR EYR","SIN REPORTE EYR")))</f>
        <v>#REF!</v>
      </c>
    </row>
    <row r="95" spans="1:30" x14ac:dyDescent="0.3">
      <c r="A95" s="5" t="s">
        <v>5477</v>
      </c>
      <c r="B95" t="s">
        <v>5476</v>
      </c>
      <c r="C95" s="4" t="s">
        <v>5475</v>
      </c>
      <c r="D95" t="s">
        <v>77</v>
      </c>
      <c r="F95" t="s">
        <v>13</v>
      </c>
      <c r="G95" s="3">
        <v>8496356090</v>
      </c>
      <c r="H95" s="2">
        <v>46114</v>
      </c>
      <c r="K95" s="1">
        <f ca="1">IF(A95="","",IF(OR(L95="ENTREGADA",L95="RETORNADA",L95="ENTREGA DIGITAL"),0,MAX(0,5-NETWORKDAYS(H95+1,TODAY()))))</f>
        <v>0</v>
      </c>
      <c r="L95" t="str">
        <f>IF(A95="","",IFERROR(LOOKUP(2,1/(#REF!=Z95),#REF!),Y95))</f>
        <v>ENTREGADA</v>
      </c>
      <c r="Y95" t="s">
        <v>1956</v>
      </c>
      <c r="Z95" t="str">
        <f>IF(A95="","",TEXT(A95,"0")&amp;"|"&amp;TEXT(H95,"0"))</f>
        <v>4921017752117940|46114</v>
      </c>
      <c r="AA95" t="str">
        <f>IF(Z95="","",IFERROR(LOOKUP(2,1/(#REF!=Z95),#REF!),""))</f>
        <v/>
      </c>
      <c r="AB95" t="str">
        <f>IF(Z95="","",IFERROR(LOOKUP(2,1/(#REF!=Z95),#REF!),""))</f>
        <v/>
      </c>
      <c r="AC95" t="e">
        <f>IF(Z95="","",COUNTIF(#REF!,Z95))</f>
        <v>#REF!</v>
      </c>
      <c r="AD95" t="e">
        <f>IF(A95="","",IF(AC95&gt;1,"REVISAR DUPLICADO",IF(AA95&lt;&gt;"","ACTUALIZADO POR EYR","SIN REPORTE EYR")))</f>
        <v>#REF!</v>
      </c>
    </row>
    <row r="96" spans="1:30" x14ac:dyDescent="0.3">
      <c r="A96" s="5" t="s">
        <v>5474</v>
      </c>
      <c r="B96" t="s">
        <v>5465</v>
      </c>
      <c r="C96" s="4" t="s">
        <v>5464</v>
      </c>
      <c r="D96" t="s">
        <v>77</v>
      </c>
      <c r="F96" t="s">
        <v>5463</v>
      </c>
      <c r="G96" s="3">
        <v>8298013486</v>
      </c>
      <c r="H96" s="2">
        <v>46114</v>
      </c>
      <c r="J96" t="s">
        <v>1399</v>
      </c>
      <c r="K96" s="1">
        <f ca="1">IF(A96="","",IF(OR(L96="ENTREGADA",L96="RETORNADA",L96="ENTREGA DIGITAL"),0,MAX(0,5-NETWORKDAYS(H96+1,TODAY()))))</f>
        <v>0</v>
      </c>
      <c r="L96" t="str">
        <f>IF(A96="","",IFERROR(LOOKUP(2,1/(#REF!=Z96),#REF!),Y96))</f>
        <v>ENTREGADA</v>
      </c>
      <c r="Y96" t="s">
        <v>1956</v>
      </c>
      <c r="Z96" t="str">
        <f>IF(A96="","",TEXT(A96,"0")&amp;"|"&amp;TEXT(H96,"0"))</f>
        <v>5400017749922790|46114</v>
      </c>
      <c r="AA96" t="str">
        <f>IF(Z96="","",IFERROR(LOOKUP(2,1/(#REF!=Z96),#REF!),""))</f>
        <v/>
      </c>
      <c r="AB96" t="str">
        <f>IF(Z96="","",IFERROR(LOOKUP(2,1/(#REF!=Z96),#REF!),""))</f>
        <v/>
      </c>
      <c r="AC96" t="e">
        <f>IF(Z96="","",COUNTIF(#REF!,Z96))</f>
        <v>#REF!</v>
      </c>
      <c r="AD96" t="e">
        <f>IF(A96="","",IF(AC96&gt;1,"REVISAR DUPLICADO",IF(AA96&lt;&gt;"","ACTUALIZADO POR EYR","SIN REPORTE EYR")))</f>
        <v>#REF!</v>
      </c>
    </row>
    <row r="97" spans="1:30" x14ac:dyDescent="0.3">
      <c r="A97" s="5" t="s">
        <v>5473</v>
      </c>
      <c r="B97" t="s">
        <v>5472</v>
      </c>
      <c r="C97" s="4" t="s">
        <v>5471</v>
      </c>
      <c r="D97" t="s">
        <v>77</v>
      </c>
      <c r="F97" t="s">
        <v>5470</v>
      </c>
      <c r="G97" s="3">
        <v>8092982581</v>
      </c>
      <c r="H97" s="2">
        <v>46114</v>
      </c>
      <c r="I97" t="s">
        <v>1397</v>
      </c>
      <c r="K97" s="1">
        <f ca="1">IF(A97="","",IF(OR(L97="ENTREGADA",L97="RETORNADA",L97="ENTREGA DIGITAL"),0,MAX(0,5-NETWORKDAYS(H97+1,TODAY()))))</f>
        <v>0</v>
      </c>
      <c r="L97" t="str">
        <f>IF(A97="","",IFERROR(LOOKUP(2,1/(#REF!=Z97),#REF!),Y97))</f>
        <v>ENTREGADA</v>
      </c>
      <c r="Y97" t="s">
        <v>1956</v>
      </c>
      <c r="Z97" t="str">
        <f>IF(A97="","",TEXT(A97,"0")&amp;"|"&amp;TEXT(H97,"0"))</f>
        <v>5415017749374130|46114</v>
      </c>
      <c r="AA97" t="str">
        <f>IF(Z97="","",IFERROR(LOOKUP(2,1/(#REF!=Z97),#REF!),""))</f>
        <v/>
      </c>
      <c r="AB97" t="str">
        <f>IF(Z97="","",IFERROR(LOOKUP(2,1/(#REF!=Z97),#REF!),""))</f>
        <v/>
      </c>
      <c r="AC97" t="e">
        <f>IF(Z97="","",COUNTIF(#REF!,Z97))</f>
        <v>#REF!</v>
      </c>
      <c r="AD97" t="e">
        <f>IF(A97="","",IF(AC97&gt;1,"REVISAR DUPLICADO",IF(AA97&lt;&gt;"","ACTUALIZADO POR EYR","SIN REPORTE EYR")))</f>
        <v>#REF!</v>
      </c>
    </row>
    <row r="98" spans="1:30" x14ac:dyDescent="0.3">
      <c r="A98" s="5" t="s">
        <v>5469</v>
      </c>
      <c r="B98" t="s">
        <v>5468</v>
      </c>
      <c r="C98" s="4" t="s">
        <v>5467</v>
      </c>
      <c r="D98" t="s">
        <v>77</v>
      </c>
      <c r="F98" t="s">
        <v>13</v>
      </c>
      <c r="G98" s="3">
        <v>8296631558</v>
      </c>
      <c r="H98" s="2">
        <v>46114</v>
      </c>
      <c r="I98" t="s">
        <v>1397</v>
      </c>
      <c r="K98" s="1">
        <f ca="1">IF(A98="","",IF(OR(L98="ENTREGADA",L98="RETORNADA",L98="ENTREGA DIGITAL"),0,MAX(0,5-NETWORKDAYS(H98+1,TODAY()))))</f>
        <v>0</v>
      </c>
      <c r="L98" t="str">
        <f>IF(A98="","",IFERROR(LOOKUP(2,1/(#REF!=Z98),#REF!),Y98))</f>
        <v>ENTREGADA</v>
      </c>
      <c r="Y98" t="s">
        <v>1956</v>
      </c>
      <c r="Z98" t="str">
        <f>IF(A98="","",TEXT(A98,"0")&amp;"|"&amp;TEXT(H98,"0"))</f>
        <v>5415017749770510|46114</v>
      </c>
      <c r="AA98" t="str">
        <f>IF(Z98="","",IFERROR(LOOKUP(2,1/(#REF!=Z98),#REF!),""))</f>
        <v/>
      </c>
      <c r="AB98" t="str">
        <f>IF(Z98="","",IFERROR(LOOKUP(2,1/(#REF!=Z98),#REF!),""))</f>
        <v/>
      </c>
      <c r="AC98" t="e">
        <f>IF(Z98="","",COUNTIF(#REF!,Z98))</f>
        <v>#REF!</v>
      </c>
      <c r="AD98" t="e">
        <f>IF(A98="","",IF(AC98&gt;1,"REVISAR DUPLICADO",IF(AA98&lt;&gt;"","ACTUALIZADO POR EYR","SIN REPORTE EYR")))</f>
        <v>#REF!</v>
      </c>
    </row>
    <row r="99" spans="1:30" x14ac:dyDescent="0.3">
      <c r="A99" s="5" t="s">
        <v>5466</v>
      </c>
      <c r="B99" t="s">
        <v>5465</v>
      </c>
      <c r="C99" s="4" t="s">
        <v>5464</v>
      </c>
      <c r="D99" t="s">
        <v>77</v>
      </c>
      <c r="F99" t="s">
        <v>5463</v>
      </c>
      <c r="G99" s="3">
        <v>8298013486</v>
      </c>
      <c r="H99" s="2">
        <v>46114</v>
      </c>
      <c r="K99" s="1">
        <f ca="1">IF(A99="","",IF(OR(L99="ENTREGADA",L99="RETORNADA",L99="ENTREGA DIGITAL"),0,MAX(0,5-NETWORKDAYS(H99+1,TODAY()))))</f>
        <v>0</v>
      </c>
      <c r="L99" t="str">
        <f>IF(A99="","",IFERROR(LOOKUP(2,1/(#REF!=Z99),#REF!),Y99))</f>
        <v>ENTREGADA</v>
      </c>
      <c r="Y99" t="s">
        <v>1956</v>
      </c>
      <c r="Z99" t="str">
        <f>IF(A99="","",TEXT(A99,"0")&amp;"|"&amp;TEXT(H99,"0"))</f>
        <v>5188017750151150|46114</v>
      </c>
      <c r="AA99" t="str">
        <f>IF(Z99="","",IFERROR(LOOKUP(2,1/(#REF!=Z99),#REF!),""))</f>
        <v/>
      </c>
      <c r="AB99" t="str">
        <f>IF(Z99="","",IFERROR(LOOKUP(2,1/(#REF!=Z99),#REF!),""))</f>
        <v/>
      </c>
      <c r="AC99" t="e">
        <f>IF(Z99="","",COUNTIF(#REF!,Z99))</f>
        <v>#REF!</v>
      </c>
      <c r="AD99" t="e">
        <f>IF(A99="","",IF(AC99&gt;1,"REVISAR DUPLICADO",IF(AA99&lt;&gt;"","ACTUALIZADO POR EYR","SIN REPORTE EYR")))</f>
        <v>#REF!</v>
      </c>
    </row>
    <row r="100" spans="1:30" x14ac:dyDescent="0.3">
      <c r="A100" s="5" t="s">
        <v>5462</v>
      </c>
      <c r="B100" t="s">
        <v>5461</v>
      </c>
      <c r="C100" s="4" t="s">
        <v>5460</v>
      </c>
      <c r="D100" t="s">
        <v>77</v>
      </c>
      <c r="F100" t="s">
        <v>81</v>
      </c>
      <c r="G100" s="3">
        <v>8095548210</v>
      </c>
      <c r="H100" s="2">
        <v>46114</v>
      </c>
      <c r="I100" t="s">
        <v>1397</v>
      </c>
      <c r="K100" s="1">
        <f ca="1">IF(A100="","",IF(OR(L100="ENTREGADA",L100="RETORNADA",L100="ENTREGA DIGITAL"),0,MAX(0,5-NETWORKDAYS(H100+1,TODAY()))))</f>
        <v>0</v>
      </c>
      <c r="L100" t="str">
        <f>IF(A100="","",IFERROR(LOOKUP(2,1/(#REF!=Z100),#REF!),Y100))</f>
        <v>ENTREGADA</v>
      </c>
      <c r="Y100" t="s">
        <v>1956</v>
      </c>
      <c r="Z100" t="str">
        <f>IF(A100="","",TEXT(A100,"0")&amp;"|"&amp;TEXT(H100,"0"))</f>
        <v>5415017749863670|46114</v>
      </c>
      <c r="AA100" t="str">
        <f>IF(Z100="","",IFERROR(LOOKUP(2,1/(#REF!=Z100),#REF!),""))</f>
        <v/>
      </c>
      <c r="AB100" t="str">
        <f>IF(Z100="","",IFERROR(LOOKUP(2,1/(#REF!=Z100),#REF!),""))</f>
        <v/>
      </c>
      <c r="AC100" t="e">
        <f>IF(Z100="","",COUNTIF(#REF!,Z100))</f>
        <v>#REF!</v>
      </c>
      <c r="AD100" t="e">
        <f>IF(A100="","",IF(AC100&gt;1,"REVISAR DUPLICADO",IF(AA100&lt;&gt;"","ACTUALIZADO POR EYR","SIN REPORTE EYR")))</f>
        <v>#REF!</v>
      </c>
    </row>
    <row r="101" spans="1:30" x14ac:dyDescent="0.3">
      <c r="A101" s="5" t="s">
        <v>5459</v>
      </c>
      <c r="B101" t="s">
        <v>5458</v>
      </c>
      <c r="C101" s="4" t="s">
        <v>5457</v>
      </c>
      <c r="D101" t="s">
        <v>77</v>
      </c>
      <c r="F101" t="s">
        <v>13</v>
      </c>
      <c r="G101" s="3">
        <v>8297437368</v>
      </c>
      <c r="H101" s="2">
        <v>46114</v>
      </c>
      <c r="I101" t="s">
        <v>1397</v>
      </c>
      <c r="K101" s="1">
        <f ca="1">IF(A101="","",IF(OR(L101="ENTREGADA",L101="RETORNADA",L101="ENTREGA DIGITAL"),0,MAX(0,5-NETWORKDAYS(H101+1,TODAY()))))</f>
        <v>0</v>
      </c>
      <c r="L101" t="str">
        <f>IF(A101="","",IFERROR(LOOKUP(2,1/(#REF!=Z101),#REF!),Y101))</f>
        <v>ENTREGADA</v>
      </c>
      <c r="Y101" t="s">
        <v>1956</v>
      </c>
      <c r="Z101" t="str">
        <f>IF(A101="","",TEXT(A101,"0")&amp;"|"&amp;TEXT(H101,"0"))</f>
        <v>5415017749404170|46114</v>
      </c>
      <c r="AA101" t="str">
        <f>IF(Z101="","",IFERROR(LOOKUP(2,1/(#REF!=Z101),#REF!),""))</f>
        <v/>
      </c>
      <c r="AB101" t="str">
        <f>IF(Z101="","",IFERROR(LOOKUP(2,1/(#REF!=Z101),#REF!),""))</f>
        <v/>
      </c>
      <c r="AC101" t="e">
        <f>IF(Z101="","",COUNTIF(#REF!,Z101))</f>
        <v>#REF!</v>
      </c>
      <c r="AD101" t="e">
        <f>IF(A101="","",IF(AC101&gt;1,"REVISAR DUPLICADO",IF(AA101&lt;&gt;"","ACTUALIZADO POR EYR","SIN REPORTE EYR")))</f>
        <v>#REF!</v>
      </c>
    </row>
    <row r="102" spans="1:30" x14ac:dyDescent="0.3">
      <c r="A102" s="5" t="s">
        <v>5456</v>
      </c>
      <c r="B102" t="s">
        <v>5455</v>
      </c>
      <c r="C102" s="4" t="s">
        <v>5454</v>
      </c>
      <c r="D102" t="s">
        <v>77</v>
      </c>
      <c r="F102" t="s">
        <v>13</v>
      </c>
      <c r="G102" s="3">
        <v>8295286633</v>
      </c>
      <c r="H102" s="2">
        <v>46114</v>
      </c>
      <c r="K102" s="1">
        <f ca="1">IF(A102="","",IF(OR(L102="ENTREGADA",L102="RETORNADA",L102="ENTREGA DIGITAL"),0,MAX(0,5-NETWORKDAYS(H102+1,TODAY()))))</f>
        <v>0</v>
      </c>
      <c r="L102" t="str">
        <f>IF(A102="","",IFERROR(LOOKUP(2,1/(#REF!=Z102),#REF!),Y102))</f>
        <v>ENTREGADA</v>
      </c>
      <c r="Y102" t="s">
        <v>1956</v>
      </c>
      <c r="Z102" t="str">
        <f>IF(A102="","",TEXT(A102,"0")&amp;"|"&amp;TEXT(H102,"0"))</f>
        <v>5415017749783210|46114</v>
      </c>
      <c r="AA102" t="str">
        <f>IF(Z102="","",IFERROR(LOOKUP(2,1/(#REF!=Z102),#REF!),""))</f>
        <v/>
      </c>
      <c r="AB102" t="str">
        <f>IF(Z102="","",IFERROR(LOOKUP(2,1/(#REF!=Z102),#REF!),""))</f>
        <v/>
      </c>
      <c r="AC102" t="e">
        <f>IF(Z102="","",COUNTIF(#REF!,Z102))</f>
        <v>#REF!</v>
      </c>
      <c r="AD102" t="e">
        <f>IF(A102="","",IF(AC102&gt;1,"REVISAR DUPLICADO",IF(AA102&lt;&gt;"","ACTUALIZADO POR EYR","SIN REPORTE EYR")))</f>
        <v>#REF!</v>
      </c>
    </row>
    <row r="103" spans="1:30" x14ac:dyDescent="0.3">
      <c r="A103" s="5" t="s">
        <v>5453</v>
      </c>
      <c r="B103" t="s">
        <v>5452</v>
      </c>
      <c r="C103" s="4" t="s">
        <v>5451</v>
      </c>
      <c r="D103" t="s">
        <v>77</v>
      </c>
      <c r="F103" t="s">
        <v>13</v>
      </c>
      <c r="G103" s="3">
        <v>8493597959</v>
      </c>
      <c r="H103" s="2">
        <v>46114</v>
      </c>
      <c r="K103" s="1">
        <f ca="1">IF(A103="","",IF(OR(L103="ENTREGADA",L103="RETORNADA",L103="ENTREGA DIGITAL"),0,MAX(0,5-NETWORKDAYS(H103+1,TODAY()))))</f>
        <v>0</v>
      </c>
      <c r="L103" t="str">
        <f>IF(A103="","",IFERROR(LOOKUP(2,1/(#REF!=Z103),#REF!),Y103))</f>
        <v>ENTREGADA</v>
      </c>
      <c r="Y103" t="s">
        <v>1956</v>
      </c>
      <c r="Z103" t="str">
        <f>IF(A103="","",TEXT(A103,"0")&amp;"|"&amp;TEXT(H103,"0"))</f>
        <v>5415017749799240|46114</v>
      </c>
      <c r="AA103" t="str">
        <f>IF(Z103="","",IFERROR(LOOKUP(2,1/(#REF!=Z103),#REF!),""))</f>
        <v/>
      </c>
      <c r="AB103" t="str">
        <f>IF(Z103="","",IFERROR(LOOKUP(2,1/(#REF!=Z103),#REF!),""))</f>
        <v/>
      </c>
      <c r="AC103" t="e">
        <f>IF(Z103="","",COUNTIF(#REF!,Z103))</f>
        <v>#REF!</v>
      </c>
      <c r="AD103" t="e">
        <f>IF(A103="","",IF(AC103&gt;1,"REVISAR DUPLICADO",IF(AA103&lt;&gt;"","ACTUALIZADO POR EYR","SIN REPORTE EYR")))</f>
        <v>#REF!</v>
      </c>
    </row>
    <row r="104" spans="1:30" x14ac:dyDescent="0.3">
      <c r="A104" s="5" t="s">
        <v>5450</v>
      </c>
      <c r="B104" t="s">
        <v>5449</v>
      </c>
      <c r="C104" s="4" t="s">
        <v>5448</v>
      </c>
      <c r="D104" t="s">
        <v>77</v>
      </c>
      <c r="F104" t="s">
        <v>13</v>
      </c>
      <c r="G104" s="3">
        <v>8297288067</v>
      </c>
      <c r="H104" s="2">
        <v>46114</v>
      </c>
      <c r="I104" t="s">
        <v>1397</v>
      </c>
      <c r="K104" s="1">
        <f ca="1">IF(A104="","",IF(OR(L104="ENTREGADA",L104="RETORNADA",L104="ENTREGA DIGITAL"),0,MAX(0,5-NETWORKDAYS(H104+1,TODAY()))))</f>
        <v>0</v>
      </c>
      <c r="L104" t="str">
        <f>IF(A104="","",IFERROR(LOOKUP(2,1/(#REF!=Z104),#REF!),Y104))</f>
        <v>ENTREGADA</v>
      </c>
      <c r="Y104" t="s">
        <v>1956</v>
      </c>
      <c r="Z104" t="str">
        <f>IF(A104="","",TEXT(A104,"0")&amp;"|"&amp;TEXT(H104,"0"))</f>
        <v>4921017752519910|46114</v>
      </c>
      <c r="AA104" t="str">
        <f>IF(Z104="","",IFERROR(LOOKUP(2,1/(#REF!=Z104),#REF!),""))</f>
        <v/>
      </c>
      <c r="AB104" t="str">
        <f>IF(Z104="","",IFERROR(LOOKUP(2,1/(#REF!=Z104),#REF!),""))</f>
        <v/>
      </c>
      <c r="AC104" t="e">
        <f>IF(Z104="","",COUNTIF(#REF!,Z104))</f>
        <v>#REF!</v>
      </c>
      <c r="AD104" t="e">
        <f>IF(A104="","",IF(AC104&gt;1,"REVISAR DUPLICADO",IF(AA104&lt;&gt;"","ACTUALIZADO POR EYR","SIN REPORTE EYR")))</f>
        <v>#REF!</v>
      </c>
    </row>
    <row r="105" spans="1:30" x14ac:dyDescent="0.3">
      <c r="A105" s="5" t="s">
        <v>5447</v>
      </c>
      <c r="B105" t="s">
        <v>5446</v>
      </c>
      <c r="C105" s="4" t="s">
        <v>5445</v>
      </c>
      <c r="D105" t="s">
        <v>77</v>
      </c>
      <c r="F105" t="s">
        <v>13</v>
      </c>
      <c r="G105" s="3">
        <v>8292615123</v>
      </c>
      <c r="H105" s="2">
        <v>46114</v>
      </c>
      <c r="I105" t="s">
        <v>1397</v>
      </c>
      <c r="K105" s="1">
        <f ca="1">IF(A105="","",IF(OR(L105="ENTREGADA",L105="RETORNADA",L105="ENTREGA DIGITAL"),0,MAX(0,5-NETWORKDAYS(H105+1,TODAY()))))</f>
        <v>0</v>
      </c>
      <c r="L105" t="str">
        <f>IF(A105="","",IFERROR(LOOKUP(2,1/(#REF!=Z105),#REF!),Y105))</f>
        <v>ENTREGADA</v>
      </c>
      <c r="Y105" t="s">
        <v>1956</v>
      </c>
      <c r="Z105" t="str">
        <f>IF(A105="","",TEXT(A105,"0")&amp;"|"&amp;TEXT(H105,"0"))</f>
        <v>4921017751447270|46114</v>
      </c>
      <c r="AA105" t="str">
        <f>IF(Z105="","",IFERROR(LOOKUP(2,1/(#REF!=Z105),#REF!),""))</f>
        <v/>
      </c>
      <c r="AB105" t="str">
        <f>IF(Z105="","",IFERROR(LOOKUP(2,1/(#REF!=Z105),#REF!),""))</f>
        <v/>
      </c>
      <c r="AC105" t="e">
        <f>IF(Z105="","",COUNTIF(#REF!,Z105))</f>
        <v>#REF!</v>
      </c>
      <c r="AD105" t="e">
        <f>IF(A105="","",IF(AC105&gt;1,"REVISAR DUPLICADO",IF(AA105&lt;&gt;"","ACTUALIZADO POR EYR","SIN REPORTE EYR")))</f>
        <v>#REF!</v>
      </c>
    </row>
    <row r="106" spans="1:30" x14ac:dyDescent="0.3">
      <c r="A106" t="s">
        <v>2967</v>
      </c>
      <c r="B106" t="s">
        <v>2966</v>
      </c>
      <c r="C106" s="4" t="s">
        <v>2965</v>
      </c>
      <c r="D106" t="s">
        <v>77</v>
      </c>
      <c r="E106" t="s">
        <v>214</v>
      </c>
      <c r="F106" t="s">
        <v>391</v>
      </c>
      <c r="G106" s="3">
        <v>8095510758</v>
      </c>
      <c r="H106" s="2">
        <v>46114</v>
      </c>
      <c r="K106" s="1">
        <f ca="1">IF(A106="","",IF(OR(L106="ENTREGADA",L106="RETORNADA",L106="ENTREGA DIGITAL"),0,MAX(0,5-NETWORKDAYS(H106+1,TODAY()))))</f>
        <v>0</v>
      </c>
      <c r="L106" t="str">
        <f>IF(A106="","",IFERROR(LOOKUP(2,1/(#REF!=Z106),#REF!),Y106))</f>
        <v>RETORNADA</v>
      </c>
      <c r="Y106" t="s">
        <v>1857</v>
      </c>
      <c r="Z106" t="str">
        <f>IF(A106="","",TEXT(A106,"0")&amp;"|"&amp;TEXT(H106,"0"))</f>
        <v>5192017745213660|46114</v>
      </c>
      <c r="AA106" t="str">
        <f>IF(Z106="","",IFERROR(LOOKUP(2,1/(#REF!=Z106),#REF!),""))</f>
        <v/>
      </c>
      <c r="AB106" t="str">
        <f>IF(Z106="","",IFERROR(LOOKUP(2,1/(#REF!=Z106),#REF!),""))</f>
        <v/>
      </c>
      <c r="AC106" t="e">
        <f>IF(Z106="","",COUNTIF(#REF!,Z106))</f>
        <v>#REF!</v>
      </c>
      <c r="AD106" t="e">
        <f>IF(A106="","",IF(AC106&gt;1,"REVISAR DUPLICADO",IF(AA106&lt;&gt;"","ACTUALIZADO POR EYR","SIN REPORTE EYR")))</f>
        <v>#REF!</v>
      </c>
    </row>
    <row r="107" spans="1:30" x14ac:dyDescent="0.3">
      <c r="A107" s="5" t="s">
        <v>5444</v>
      </c>
      <c r="B107" t="s">
        <v>5443</v>
      </c>
      <c r="C107" s="4" t="s">
        <v>5442</v>
      </c>
      <c r="D107" t="s">
        <v>77</v>
      </c>
      <c r="F107" t="s">
        <v>13</v>
      </c>
      <c r="G107" s="3">
        <v>8296455782</v>
      </c>
      <c r="H107" s="2">
        <v>46114</v>
      </c>
      <c r="K107" s="1">
        <f ca="1">IF(A107="","",IF(OR(L107="ENTREGADA",L107="RETORNADA",L107="ENTREGA DIGITAL"),0,MAX(0,5-NETWORKDAYS(H107+1,TODAY()))))</f>
        <v>0</v>
      </c>
      <c r="L107" t="str">
        <f>IF(A107="","",IFERROR(LOOKUP(2,1/(#REF!=Z107),#REF!),Y107))</f>
        <v>ENTREGADA</v>
      </c>
      <c r="Y107" t="s">
        <v>1956</v>
      </c>
      <c r="Z107" t="str">
        <f>IF(A107="","",TEXT(A107,"0")&amp;"|"&amp;TEXT(H107,"0"))</f>
        <v>4741017748826380|46114</v>
      </c>
      <c r="AA107" t="str">
        <f>IF(Z107="","",IFERROR(LOOKUP(2,1/(#REF!=Z107),#REF!),""))</f>
        <v/>
      </c>
      <c r="AB107" t="str">
        <f>IF(Z107="","",IFERROR(LOOKUP(2,1/(#REF!=Z107),#REF!),""))</f>
        <v/>
      </c>
      <c r="AC107" t="e">
        <f>IF(Z107="","",COUNTIF(#REF!,Z107))</f>
        <v>#REF!</v>
      </c>
      <c r="AD107" t="e">
        <f>IF(A107="","",IF(AC107&gt;1,"REVISAR DUPLICADO",IF(AA107&lt;&gt;"","ACTUALIZADO POR EYR","SIN REPORTE EYR")))</f>
        <v>#REF!</v>
      </c>
    </row>
    <row r="108" spans="1:30" x14ac:dyDescent="0.3">
      <c r="A108" t="s">
        <v>3259</v>
      </c>
      <c r="B108" t="s">
        <v>3258</v>
      </c>
      <c r="C108" s="4" t="s">
        <v>3257</v>
      </c>
      <c r="D108" t="s">
        <v>1</v>
      </c>
      <c r="F108" t="s">
        <v>5441</v>
      </c>
      <c r="G108" s="3">
        <v>8092463631</v>
      </c>
      <c r="H108" s="2">
        <v>46114</v>
      </c>
      <c r="K108" s="1">
        <f ca="1">IF(A108="","",IF(OR(L108="ENTREGADA",L108="RETORNADA",L108="ENTREGA DIGITAL"),0,MAX(0,5-NETWORKDAYS(H108+1,TODAY()))))</f>
        <v>0</v>
      </c>
      <c r="L108" t="str">
        <f>IF(A108="","",IFERROR(LOOKUP(2,1/(#REF!=Z108),#REF!),Y108))</f>
        <v>RETORNADA</v>
      </c>
      <c r="Y108" t="s">
        <v>1857</v>
      </c>
      <c r="Z108" t="str">
        <f>IF(A108="","",TEXT(A108,"0")&amp;"|"&amp;TEXT(H108,"0"))</f>
        <v>4921017751166100|46114</v>
      </c>
      <c r="AA108" t="str">
        <f>IF(Z108="","",IFERROR(LOOKUP(2,1/(#REF!=Z108),#REF!),""))</f>
        <v/>
      </c>
      <c r="AB108" t="str">
        <f>IF(Z108="","",IFERROR(LOOKUP(2,1/(#REF!=Z108),#REF!),""))</f>
        <v/>
      </c>
      <c r="AC108" t="e">
        <f>IF(Z108="","",COUNTIF(#REF!,Z108))</f>
        <v>#REF!</v>
      </c>
      <c r="AD108" t="e">
        <f>IF(A108="","",IF(AC108&gt;1,"REVISAR DUPLICADO",IF(AA108&lt;&gt;"","ACTUALIZADO POR EYR","SIN REPORTE EYR")))</f>
        <v>#REF!</v>
      </c>
    </row>
    <row r="109" spans="1:30" x14ac:dyDescent="0.3">
      <c r="A109" t="s">
        <v>3508</v>
      </c>
      <c r="B109" t="s">
        <v>3507</v>
      </c>
      <c r="C109" s="4" t="s">
        <v>3506</v>
      </c>
      <c r="D109" t="s">
        <v>1</v>
      </c>
      <c r="F109" t="s">
        <v>5440</v>
      </c>
      <c r="G109" s="3">
        <v>8493741811</v>
      </c>
      <c r="H109" s="2">
        <v>46114</v>
      </c>
      <c r="K109" s="1">
        <f ca="1">IF(A109="","",IF(OR(L109="ENTREGADA",L109="RETORNADA",L109="ENTREGA DIGITAL"),0,MAX(0,5-NETWORKDAYS(H109+1,TODAY()))))</f>
        <v>0</v>
      </c>
      <c r="L109" t="str">
        <f>IF(A109="","",IFERROR(LOOKUP(2,1/(#REF!=Z109),#REF!),Y109))</f>
        <v>RETORNADA</v>
      </c>
      <c r="Y109" t="s">
        <v>1857</v>
      </c>
      <c r="Z109" t="str">
        <f>IF(A109="","",TEXT(A109,"0")&amp;"|"&amp;TEXT(H109,"0"))</f>
        <v>4921017751323640|46114</v>
      </c>
      <c r="AA109" t="str">
        <f>IF(Z109="","",IFERROR(LOOKUP(2,1/(#REF!=Z109),#REF!),""))</f>
        <v/>
      </c>
      <c r="AB109" t="str">
        <f>IF(Z109="","",IFERROR(LOOKUP(2,1/(#REF!=Z109),#REF!),""))</f>
        <v/>
      </c>
      <c r="AC109" t="e">
        <f>IF(Z109="","",COUNTIF(#REF!,Z109))</f>
        <v>#REF!</v>
      </c>
      <c r="AD109" t="e">
        <f>IF(A109="","",IF(AC109&gt;1,"REVISAR DUPLICADO",IF(AA109&lt;&gt;"","ACTUALIZADO POR EYR","SIN REPORTE EYR")))</f>
        <v>#REF!</v>
      </c>
    </row>
    <row r="110" spans="1:30" x14ac:dyDescent="0.3">
      <c r="A110" t="s">
        <v>5439</v>
      </c>
      <c r="B110" t="s">
        <v>5438</v>
      </c>
      <c r="C110" s="4" t="s">
        <v>5437</v>
      </c>
      <c r="D110" t="s">
        <v>1</v>
      </c>
      <c r="F110" t="s">
        <v>1211</v>
      </c>
      <c r="G110" s="3">
        <v>8095406719</v>
      </c>
      <c r="H110" s="2">
        <v>46114</v>
      </c>
      <c r="K110" s="1">
        <f ca="1">IF(A110="","",IF(OR(L110="ENTREGADA",L110="RETORNADA",L110="ENTREGA DIGITAL"),0,MAX(0,5-NETWORKDAYS(H110+1,TODAY()))))</f>
        <v>0</v>
      </c>
      <c r="L110" t="str">
        <f>IF(A110="","",IFERROR(LOOKUP(2,1/(#REF!=Z110),#REF!),Y110))</f>
        <v>RETORNADA</v>
      </c>
      <c r="Y110" t="s">
        <v>1857</v>
      </c>
      <c r="Z110" t="str">
        <f>IF(A110="","",TEXT(A110,"0")&amp;"|"&amp;TEXT(H110,"0"))</f>
        <v>5188017745138810|46114</v>
      </c>
      <c r="AA110" t="str">
        <f>IF(Z110="","",IFERROR(LOOKUP(2,1/(#REF!=Z110),#REF!),""))</f>
        <v/>
      </c>
      <c r="AB110" t="str">
        <f>IF(Z110="","",IFERROR(LOOKUP(2,1/(#REF!=Z110),#REF!),""))</f>
        <v/>
      </c>
      <c r="AC110" t="e">
        <f>IF(Z110="","",COUNTIF(#REF!,Z110))</f>
        <v>#REF!</v>
      </c>
      <c r="AD110" t="e">
        <f>IF(A110="","",IF(AC110&gt;1,"REVISAR DUPLICADO",IF(AA110&lt;&gt;"","ACTUALIZADO POR EYR","SIN REPORTE EYR")))</f>
        <v>#REF!</v>
      </c>
    </row>
    <row r="111" spans="1:30" x14ac:dyDescent="0.3">
      <c r="A111" s="5" t="s">
        <v>5436</v>
      </c>
      <c r="B111" t="s">
        <v>1378</v>
      </c>
      <c r="C111" s="4" t="s">
        <v>5435</v>
      </c>
      <c r="D111" t="s">
        <v>1</v>
      </c>
      <c r="F111" t="s">
        <v>9</v>
      </c>
      <c r="G111" s="3">
        <v>8298613323</v>
      </c>
      <c r="H111" s="2">
        <v>46114</v>
      </c>
      <c r="K111" s="1">
        <f ca="1">IF(A111="","",IF(OR(L111="ENTREGADA",L111="RETORNADA",L111="ENTREGA DIGITAL"),0,MAX(0,5-NETWORKDAYS(H111+1,TODAY()))))</f>
        <v>0</v>
      </c>
      <c r="L111" t="str">
        <f>IF(A111="","",IFERROR(LOOKUP(2,1/(#REF!=Z111),#REF!),Y111))</f>
        <v>ENTREGADA</v>
      </c>
      <c r="Y111" t="s">
        <v>1956</v>
      </c>
      <c r="Z111" t="str">
        <f>IF(A111="","",TEXT(A111,"0")&amp;"|"&amp;TEXT(H111,"0"))</f>
        <v>4921017751566600|46114</v>
      </c>
      <c r="AA111" t="str">
        <f>IF(Z111="","",IFERROR(LOOKUP(2,1/(#REF!=Z111),#REF!),""))</f>
        <v/>
      </c>
      <c r="AB111" t="str">
        <f>IF(Z111="","",IFERROR(LOOKUP(2,1/(#REF!=Z111),#REF!),""))</f>
        <v/>
      </c>
      <c r="AC111" t="e">
        <f>IF(Z111="","",COUNTIF(#REF!,Z111))</f>
        <v>#REF!</v>
      </c>
      <c r="AD111" t="e">
        <f>IF(A111="","",IF(AC111&gt;1,"REVISAR DUPLICADO",IF(AA111&lt;&gt;"","ACTUALIZADO POR EYR","SIN REPORTE EYR")))</f>
        <v>#REF!</v>
      </c>
    </row>
    <row r="112" spans="1:30" x14ac:dyDescent="0.3">
      <c r="A112" s="5" t="s">
        <v>5434</v>
      </c>
      <c r="B112" t="s">
        <v>5433</v>
      </c>
      <c r="C112" s="4" t="s">
        <v>5432</v>
      </c>
      <c r="D112" t="s">
        <v>1</v>
      </c>
      <c r="F112" t="s">
        <v>5431</v>
      </c>
      <c r="G112" s="3">
        <v>8098903084</v>
      </c>
      <c r="H112" s="2">
        <v>46114</v>
      </c>
      <c r="K112" s="1">
        <f ca="1">IF(A112="","",IF(OR(L112="ENTREGADA",L112="RETORNADA",L112="ENTREGA DIGITAL"),0,MAX(0,5-NETWORKDAYS(H112+1,TODAY()))))</f>
        <v>0</v>
      </c>
      <c r="L112" t="str">
        <f>IF(A112="","",IFERROR(LOOKUP(2,1/(#REF!=Z112),#REF!),Y112))</f>
        <v>ENTREGADA</v>
      </c>
      <c r="Y112" t="s">
        <v>1956</v>
      </c>
      <c r="Z112" t="str">
        <f>IF(A112="","",TEXT(A112,"0")&amp;"|"&amp;TEXT(H112,"0"))</f>
        <v>4921017752205430|46114</v>
      </c>
      <c r="AA112" t="str">
        <f>IF(Z112="","",IFERROR(LOOKUP(2,1/(#REF!=Z112),#REF!),""))</f>
        <v/>
      </c>
      <c r="AB112" t="str">
        <f>IF(Z112="","",IFERROR(LOOKUP(2,1/(#REF!=Z112),#REF!),""))</f>
        <v/>
      </c>
      <c r="AC112" t="e">
        <f>IF(Z112="","",COUNTIF(#REF!,Z112))</f>
        <v>#REF!</v>
      </c>
      <c r="AD112" t="e">
        <f>IF(A112="","",IF(AC112&gt;1,"REVISAR DUPLICADO",IF(AA112&lt;&gt;"","ACTUALIZADO POR EYR","SIN REPORTE EYR")))</f>
        <v>#REF!</v>
      </c>
    </row>
    <row r="113" spans="1:30" x14ac:dyDescent="0.3">
      <c r="A113" s="5" t="s">
        <v>5430</v>
      </c>
      <c r="B113" t="s">
        <v>5429</v>
      </c>
      <c r="C113" s="4" t="s">
        <v>5428</v>
      </c>
      <c r="D113" t="s">
        <v>1</v>
      </c>
      <c r="F113" t="s">
        <v>13</v>
      </c>
      <c r="G113" s="3">
        <v>8098712807</v>
      </c>
      <c r="H113" s="2">
        <v>46114</v>
      </c>
      <c r="I113" t="s">
        <v>1397</v>
      </c>
      <c r="K113" s="1">
        <f ca="1">IF(A113="","",IF(OR(L113="ENTREGADA",L113="RETORNADA",L113="ENTREGA DIGITAL"),0,MAX(0,5-NETWORKDAYS(H113+1,TODAY()))))</f>
        <v>0</v>
      </c>
      <c r="L113" t="str">
        <f>IF(A113="","",IFERROR(LOOKUP(2,1/(#REF!=Z113),#REF!),Y113))</f>
        <v>ENTREGADA</v>
      </c>
      <c r="Y113" t="s">
        <v>1956</v>
      </c>
      <c r="Z113" t="str">
        <f>IF(A113="","",TEXT(A113,"0")&amp;"|"&amp;TEXT(H113,"0"))</f>
        <v>5415017749764470|46114</v>
      </c>
      <c r="AA113" t="str">
        <f>IF(Z113="","",IFERROR(LOOKUP(2,1/(#REF!=Z113),#REF!),""))</f>
        <v/>
      </c>
      <c r="AB113" t="str">
        <f>IF(Z113="","",IFERROR(LOOKUP(2,1/(#REF!=Z113),#REF!),""))</f>
        <v/>
      </c>
      <c r="AC113" t="e">
        <f>IF(Z113="","",COUNTIF(#REF!,Z113))</f>
        <v>#REF!</v>
      </c>
      <c r="AD113" t="e">
        <f>IF(A113="","",IF(AC113&gt;1,"REVISAR DUPLICADO",IF(AA113&lt;&gt;"","ACTUALIZADO POR EYR","SIN REPORTE EYR")))</f>
        <v>#REF!</v>
      </c>
    </row>
    <row r="114" spans="1:30" x14ac:dyDescent="0.3">
      <c r="A114" s="5" t="s">
        <v>5427</v>
      </c>
      <c r="B114" t="s">
        <v>5426</v>
      </c>
      <c r="C114" s="4" t="s">
        <v>5425</v>
      </c>
      <c r="D114" t="s">
        <v>1</v>
      </c>
      <c r="F114" t="s">
        <v>13</v>
      </c>
      <c r="G114" s="3">
        <v>8293486560</v>
      </c>
      <c r="H114" s="2">
        <v>46114</v>
      </c>
      <c r="I114" t="s">
        <v>1397</v>
      </c>
      <c r="K114" s="1">
        <f ca="1">IF(A114="","",IF(OR(L114="ENTREGADA",L114="RETORNADA",L114="ENTREGA DIGITAL"),0,MAX(0,5-NETWORKDAYS(H114+1,TODAY()))))</f>
        <v>0</v>
      </c>
      <c r="L114" t="str">
        <f>IF(A114="","",IFERROR(LOOKUP(2,1/(#REF!=Z114),#REF!),Y114))</f>
        <v>ENTREGADA</v>
      </c>
      <c r="Y114" t="s">
        <v>1956</v>
      </c>
      <c r="Z114" t="str">
        <f>IF(A114="","",TEXT(A114,"0")&amp;"|"&amp;TEXT(H114,"0"))</f>
        <v>4921017752462530|46114</v>
      </c>
      <c r="AA114" t="str">
        <f>IF(Z114="","",IFERROR(LOOKUP(2,1/(#REF!=Z114),#REF!),""))</f>
        <v/>
      </c>
      <c r="AB114" t="str">
        <f>IF(Z114="","",IFERROR(LOOKUP(2,1/(#REF!=Z114),#REF!),""))</f>
        <v/>
      </c>
      <c r="AC114" t="e">
        <f>IF(Z114="","",COUNTIF(#REF!,Z114))</f>
        <v>#REF!</v>
      </c>
      <c r="AD114" t="e">
        <f>IF(A114="","",IF(AC114&gt;1,"REVISAR DUPLICADO",IF(AA114&lt;&gt;"","ACTUALIZADO POR EYR","SIN REPORTE EYR")))</f>
        <v>#REF!</v>
      </c>
    </row>
    <row r="115" spans="1:30" x14ac:dyDescent="0.3">
      <c r="A115" s="5" t="s">
        <v>5424</v>
      </c>
      <c r="B115" t="s">
        <v>5423</v>
      </c>
      <c r="C115" s="4" t="s">
        <v>5422</v>
      </c>
      <c r="D115" t="s">
        <v>1</v>
      </c>
      <c r="F115" t="s">
        <v>5421</v>
      </c>
      <c r="G115" s="3">
        <v>8296835416</v>
      </c>
      <c r="H115" s="2">
        <v>46114</v>
      </c>
      <c r="K115" s="1">
        <f ca="1">IF(A115="","",IF(OR(L115="ENTREGADA",L115="RETORNADA",L115="ENTREGA DIGITAL"),0,MAX(0,5-NETWORKDAYS(H115+1,TODAY()))))</f>
        <v>0</v>
      </c>
      <c r="L115" t="str">
        <f>IF(A115="","",IFERROR(LOOKUP(2,1/(#REF!=Z115),#REF!),Y115))</f>
        <v>ENTREGADA</v>
      </c>
      <c r="Y115" t="s">
        <v>1956</v>
      </c>
      <c r="Z115" t="str">
        <f>IF(A115="","",TEXT(A115,"0")&amp;"|"&amp;TEXT(H115,"0"))</f>
        <v>5549017743953140|46114</v>
      </c>
      <c r="AA115" t="str">
        <f>IF(Z115="","",IFERROR(LOOKUP(2,1/(#REF!=Z115),#REF!),""))</f>
        <v/>
      </c>
      <c r="AB115" t="str">
        <f>IF(Z115="","",IFERROR(LOOKUP(2,1/(#REF!=Z115),#REF!),""))</f>
        <v/>
      </c>
      <c r="AC115" t="e">
        <f>IF(Z115="","",COUNTIF(#REF!,Z115))</f>
        <v>#REF!</v>
      </c>
      <c r="AD115" t="e">
        <f>IF(A115="","",IF(AC115&gt;1,"REVISAR DUPLICADO",IF(AA115&lt;&gt;"","ACTUALIZADO POR EYR","SIN REPORTE EYR")))</f>
        <v>#REF!</v>
      </c>
    </row>
    <row r="116" spans="1:30" x14ac:dyDescent="0.3">
      <c r="A116" t="s">
        <v>2684</v>
      </c>
      <c r="B116" t="s">
        <v>2683</v>
      </c>
      <c r="C116" s="4" t="s">
        <v>2682</v>
      </c>
      <c r="D116" t="s">
        <v>1</v>
      </c>
      <c r="F116" t="s">
        <v>5420</v>
      </c>
      <c r="G116" s="3">
        <v>9999999999</v>
      </c>
      <c r="H116" s="2">
        <v>46114</v>
      </c>
      <c r="K116" s="1">
        <f ca="1">IF(A116="","",IF(OR(L116="ENTREGADA",L116="RETORNADA",L116="ENTREGA DIGITAL"),0,MAX(0,5-NETWORKDAYS(H116+1,TODAY()))))</f>
        <v>0</v>
      </c>
      <c r="L116" t="str">
        <f>IF(A116="","",IFERROR(LOOKUP(2,1/(#REF!=Z116),#REF!),Y116))</f>
        <v>RETORNADA</v>
      </c>
      <c r="Y116" t="s">
        <v>1857</v>
      </c>
      <c r="Z116" t="str">
        <f>IF(A116="","",TEXT(A116,"0")&amp;"|"&amp;TEXT(H116,"0"))</f>
        <v>4741017752971720|46114</v>
      </c>
      <c r="AA116" t="str">
        <f>IF(Z116="","",IFERROR(LOOKUP(2,1/(#REF!=Z116),#REF!),""))</f>
        <v/>
      </c>
      <c r="AB116" t="str">
        <f>IF(Z116="","",IFERROR(LOOKUP(2,1/(#REF!=Z116),#REF!),""))</f>
        <v/>
      </c>
      <c r="AC116" t="e">
        <f>IF(Z116="","",COUNTIF(#REF!,Z116))</f>
        <v>#REF!</v>
      </c>
      <c r="AD116" t="e">
        <f>IF(A116="","",IF(AC116&gt;1,"REVISAR DUPLICADO",IF(AA116&lt;&gt;"","ACTUALIZADO POR EYR","SIN REPORTE EYR")))</f>
        <v>#REF!</v>
      </c>
    </row>
    <row r="117" spans="1:30" x14ac:dyDescent="0.3">
      <c r="A117" s="5" t="s">
        <v>5419</v>
      </c>
      <c r="B117" t="s">
        <v>5418</v>
      </c>
      <c r="C117" s="4" t="s">
        <v>5417</v>
      </c>
      <c r="D117" t="s">
        <v>21</v>
      </c>
      <c r="F117" t="s">
        <v>5416</v>
      </c>
      <c r="G117" s="3">
        <v>8093288488</v>
      </c>
      <c r="H117" s="2">
        <v>46114</v>
      </c>
      <c r="K117" s="1">
        <f ca="1">IF(A117="","",IF(OR(L117="ENTREGADA",L117="RETORNADA",L117="ENTREGA DIGITAL"),0,MAX(0,5-NETWORKDAYS(H117+1,TODAY()))))</f>
        <v>0</v>
      </c>
      <c r="L117" t="str">
        <f>IF(A117="","",IFERROR(LOOKUP(2,1/(#REF!=Z117),#REF!),Y117))</f>
        <v>ENTREGADA</v>
      </c>
      <c r="Y117" t="s">
        <v>1956</v>
      </c>
      <c r="Z117" t="str">
        <f>IF(A117="","",TEXT(A117,"0")&amp;"|"&amp;TEXT(H117,"0"))</f>
        <v>4921017752408100|46114</v>
      </c>
      <c r="AA117" t="str">
        <f>IF(Z117="","",IFERROR(LOOKUP(2,1/(#REF!=Z117),#REF!),""))</f>
        <v/>
      </c>
      <c r="AB117" t="str">
        <f>IF(Z117="","",IFERROR(LOOKUP(2,1/(#REF!=Z117),#REF!),""))</f>
        <v/>
      </c>
      <c r="AC117" t="e">
        <f>IF(Z117="","",COUNTIF(#REF!,Z117))</f>
        <v>#REF!</v>
      </c>
      <c r="AD117" t="e">
        <f>IF(A117="","",IF(AC117&gt;1,"REVISAR DUPLICADO",IF(AA117&lt;&gt;"","ACTUALIZADO POR EYR","SIN REPORTE EYR")))</f>
        <v>#REF!</v>
      </c>
    </row>
    <row r="118" spans="1:30" x14ac:dyDescent="0.3">
      <c r="A118" t="s">
        <v>5415</v>
      </c>
      <c r="B118" t="s">
        <v>5414</v>
      </c>
      <c r="C118" s="4" t="s">
        <v>5413</v>
      </c>
      <c r="D118" t="s">
        <v>21</v>
      </c>
      <c r="F118" t="s">
        <v>5412</v>
      </c>
      <c r="G118" s="3">
        <v>8294908161</v>
      </c>
      <c r="H118" s="2">
        <v>46114</v>
      </c>
      <c r="K118" s="1">
        <f ca="1">IF(A118="","",IF(OR(L118="ENTREGADA",L118="RETORNADA",L118="ENTREGA DIGITAL"),0,MAX(0,5-NETWORKDAYS(H118+1,TODAY()))))</f>
        <v>0</v>
      </c>
      <c r="L118" t="str">
        <f>IF(A118="","",IFERROR(LOOKUP(2,1/(#REF!=Z118),#REF!),Y118))</f>
        <v>RETORNADA</v>
      </c>
      <c r="Y118" t="s">
        <v>1857</v>
      </c>
      <c r="Z118" t="str">
        <f>IF(A118="","",TEXT(A118,"0")&amp;"|"&amp;TEXT(H118,"0"))</f>
        <v>4921017751682860|46114</v>
      </c>
      <c r="AA118" t="str">
        <f>IF(Z118="","",IFERROR(LOOKUP(2,1/(#REF!=Z118),#REF!),""))</f>
        <v/>
      </c>
      <c r="AB118" t="str">
        <f>IF(Z118="","",IFERROR(LOOKUP(2,1/(#REF!=Z118),#REF!),""))</f>
        <v/>
      </c>
      <c r="AC118" t="e">
        <f>IF(Z118="","",COUNTIF(#REF!,Z118))</f>
        <v>#REF!</v>
      </c>
      <c r="AD118" t="e">
        <f>IF(A118="","",IF(AC118&gt;1,"REVISAR DUPLICADO",IF(AA118&lt;&gt;"","ACTUALIZADO POR EYR","SIN REPORTE EYR")))</f>
        <v>#REF!</v>
      </c>
    </row>
    <row r="119" spans="1:30" x14ac:dyDescent="0.3">
      <c r="A119" s="5" t="s">
        <v>5411</v>
      </c>
      <c r="B119" t="s">
        <v>5410</v>
      </c>
      <c r="C119" s="4" t="s">
        <v>5409</v>
      </c>
      <c r="D119" t="s">
        <v>21</v>
      </c>
      <c r="F119" t="s">
        <v>5408</v>
      </c>
      <c r="G119" s="3">
        <v>8494092271</v>
      </c>
      <c r="H119" s="2">
        <v>46114</v>
      </c>
      <c r="K119" s="1">
        <f ca="1">IF(A119="","",IF(OR(L119="ENTREGADA",L119="RETORNADA",L119="ENTREGA DIGITAL"),0,MAX(0,5-NETWORKDAYS(H119+1,TODAY()))))</f>
        <v>0</v>
      </c>
      <c r="L119" t="str">
        <f>IF(A119="","",IFERROR(LOOKUP(2,1/(#REF!=Z119),#REF!),Y119))</f>
        <v>ENTREGADA</v>
      </c>
      <c r="Y119" t="s">
        <v>1956</v>
      </c>
      <c r="Z119" t="str">
        <f>IF(A119="","",TEXT(A119,"0")&amp;"|"&amp;TEXT(H119,"0"))</f>
        <v>4921017751951050|46114</v>
      </c>
      <c r="AA119" t="str">
        <f>IF(Z119="","",IFERROR(LOOKUP(2,1/(#REF!=Z119),#REF!),""))</f>
        <v/>
      </c>
      <c r="AB119" t="str">
        <f>IF(Z119="","",IFERROR(LOOKUP(2,1/(#REF!=Z119),#REF!),""))</f>
        <v/>
      </c>
      <c r="AC119" t="e">
        <f>IF(Z119="","",COUNTIF(#REF!,Z119))</f>
        <v>#REF!</v>
      </c>
      <c r="AD119" t="e">
        <f>IF(A119="","",IF(AC119&gt;1,"REVISAR DUPLICADO",IF(AA119&lt;&gt;"","ACTUALIZADO POR EYR","SIN REPORTE EYR")))</f>
        <v>#REF!</v>
      </c>
    </row>
    <row r="120" spans="1:30" x14ac:dyDescent="0.3">
      <c r="A120" t="s">
        <v>3906</v>
      </c>
      <c r="B120" t="s">
        <v>3905</v>
      </c>
      <c r="C120" s="4" t="s">
        <v>3904</v>
      </c>
      <c r="D120" t="s">
        <v>77</v>
      </c>
      <c r="F120" t="s">
        <v>13</v>
      </c>
      <c r="G120" s="3">
        <v>8296475041</v>
      </c>
      <c r="H120" s="2">
        <v>46114</v>
      </c>
      <c r="K120" s="1">
        <f ca="1">IF(A120="","",IF(OR(L120="ENTREGADA",L120="RETORNADA",L120="ENTREGA DIGITAL"),0,MAX(0,5-NETWORKDAYS(H120+1,TODAY()))))</f>
        <v>0</v>
      </c>
      <c r="L120" t="str">
        <f>IF(A120="","",IFERROR(LOOKUP(2,1/(#REF!=Z120),#REF!),Y120))</f>
        <v>RETORNADA</v>
      </c>
      <c r="Y120" t="s">
        <v>1857</v>
      </c>
      <c r="Z120" t="str">
        <f>IF(A120="","",TEXT(A120,"0")&amp;"|"&amp;TEXT(H120,"0"))</f>
        <v>4921017751976360|46114</v>
      </c>
      <c r="AA120" t="str">
        <f>IF(Z120="","",IFERROR(LOOKUP(2,1/(#REF!=Z120),#REF!),""))</f>
        <v/>
      </c>
      <c r="AB120" t="str">
        <f>IF(Z120="","",IFERROR(LOOKUP(2,1/(#REF!=Z120),#REF!),""))</f>
        <v/>
      </c>
      <c r="AC120" t="e">
        <f>IF(Z120="","",COUNTIF(#REF!,Z120))</f>
        <v>#REF!</v>
      </c>
      <c r="AD120" t="e">
        <f>IF(A120="","",IF(AC120&gt;1,"REVISAR DUPLICADO",IF(AA120&lt;&gt;"","ACTUALIZADO POR EYR","SIN REPORTE EYR")))</f>
        <v>#REF!</v>
      </c>
    </row>
    <row r="121" spans="1:30" x14ac:dyDescent="0.3">
      <c r="A121" t="s">
        <v>5407</v>
      </c>
      <c r="B121" t="s">
        <v>5406</v>
      </c>
      <c r="C121" s="4" t="s">
        <v>5405</v>
      </c>
      <c r="D121" t="s">
        <v>77</v>
      </c>
      <c r="F121" t="s">
        <v>5404</v>
      </c>
      <c r="G121" s="3">
        <v>8493569798</v>
      </c>
      <c r="H121" s="2">
        <v>46118</v>
      </c>
      <c r="K121" s="1">
        <f ca="1">IF(A121="","",IF(OR(L121="ENTREGADA",L121="RETORNADA",L121="ENTREGA DIGITAL"),0,MAX(0,5-NETWORKDAYS(H121+1,TODAY()))))</f>
        <v>0</v>
      </c>
      <c r="L121" t="str">
        <f>IF(A121="","",IFERROR(LOOKUP(2,1/(#REF!=Z121),#REF!),Y121))</f>
        <v>RETORNADA</v>
      </c>
      <c r="Y121" t="s">
        <v>1857</v>
      </c>
      <c r="Z121" t="str">
        <f>IF(A121="","",TEXT(A121,"0")&amp;"|"&amp;TEXT(H121,"0"))</f>
        <v>4025017758068010|46118</v>
      </c>
      <c r="AA121" t="str">
        <f>IF(Z121="","",IFERROR(LOOKUP(2,1/(#REF!=Z121),#REF!),""))</f>
        <v/>
      </c>
      <c r="AB121" t="str">
        <f>IF(Z121="","",IFERROR(LOOKUP(2,1/(#REF!=Z121),#REF!),""))</f>
        <v/>
      </c>
      <c r="AC121" t="e">
        <f>IF(Z121="","",COUNTIF(#REF!,Z121))</f>
        <v>#REF!</v>
      </c>
      <c r="AD121" t="e">
        <f>IF(A121="","",IF(AC121&gt;1,"REVISAR DUPLICADO",IF(AA121&lt;&gt;"","ACTUALIZADO POR EYR","SIN REPORTE EYR")))</f>
        <v>#REF!</v>
      </c>
    </row>
    <row r="122" spans="1:30" x14ac:dyDescent="0.3">
      <c r="A122" t="s">
        <v>104</v>
      </c>
      <c r="B122" t="s">
        <v>103</v>
      </c>
      <c r="C122" s="4" t="s">
        <v>102</v>
      </c>
      <c r="D122" t="s">
        <v>77</v>
      </c>
      <c r="E122" t="s">
        <v>214</v>
      </c>
      <c r="F122" t="s">
        <v>391</v>
      </c>
      <c r="G122" s="3">
        <v>8292032161</v>
      </c>
      <c r="H122" s="2">
        <v>46118</v>
      </c>
      <c r="K122" s="1">
        <f ca="1">IF(A122="","",IF(OR(L122="ENTREGADA",L122="RETORNADA",L122="ENTREGA DIGITAL"),0,MAX(0,5-NETWORKDAYS(H122+1,TODAY()))))</f>
        <v>0</v>
      </c>
      <c r="L122" t="str">
        <f>IF(A122="","",IFERROR(LOOKUP(2,1/(#REF!=Z122),#REF!),Y122))</f>
        <v>RETORNADA</v>
      </c>
      <c r="Y122" t="s">
        <v>1857</v>
      </c>
      <c r="Z122" t="str">
        <f>IF(A122="","",TEXT(A122,"0")&amp;"|"&amp;TEXT(H122,"0"))</f>
        <v>4921017755326650|46118</v>
      </c>
      <c r="AA122" t="str">
        <f>IF(Z122="","",IFERROR(LOOKUP(2,1/(#REF!=Z122),#REF!),""))</f>
        <v/>
      </c>
      <c r="AB122" t="str">
        <f>IF(Z122="","",IFERROR(LOOKUP(2,1/(#REF!=Z122),#REF!),""))</f>
        <v/>
      </c>
      <c r="AC122" t="e">
        <f>IF(Z122="","",COUNTIF(#REF!,Z122))</f>
        <v>#REF!</v>
      </c>
      <c r="AD122" t="e">
        <f>IF(A122="","",IF(AC122&gt;1,"REVISAR DUPLICADO",IF(AA122&lt;&gt;"","ACTUALIZADO POR EYR","SIN REPORTE EYR")))</f>
        <v>#REF!</v>
      </c>
    </row>
    <row r="123" spans="1:30" x14ac:dyDescent="0.3">
      <c r="A123" s="5" t="s">
        <v>5403</v>
      </c>
      <c r="B123" t="s">
        <v>5402</v>
      </c>
      <c r="C123" s="4" t="s">
        <v>5401</v>
      </c>
      <c r="D123" t="s">
        <v>77</v>
      </c>
      <c r="F123" t="s">
        <v>5400</v>
      </c>
      <c r="G123" s="3">
        <v>8493888117</v>
      </c>
      <c r="H123" s="2">
        <v>46118</v>
      </c>
      <c r="K123" s="1">
        <f ca="1">IF(A123="","",IF(OR(L123="ENTREGADA",L123="RETORNADA",L123="ENTREGA DIGITAL"),0,MAX(0,5-NETWORKDAYS(H123+1,TODAY()))))</f>
        <v>0</v>
      </c>
      <c r="L123" t="str">
        <f>IF(A123="","",IFERROR(LOOKUP(2,1/(#REF!=Z123),#REF!),Y123))</f>
        <v>ENTREGADA</v>
      </c>
      <c r="Y123" t="s">
        <v>1956</v>
      </c>
      <c r="Z123" t="str">
        <f>IF(A123="","",TEXT(A123,"0")&amp;"|"&amp;TEXT(H123,"0"))</f>
        <v>5415017753820770|46118</v>
      </c>
      <c r="AA123" t="str">
        <f>IF(Z123="","",IFERROR(LOOKUP(2,1/(#REF!=Z123),#REF!),""))</f>
        <v/>
      </c>
      <c r="AB123" t="str">
        <f>IF(Z123="","",IFERROR(LOOKUP(2,1/(#REF!=Z123),#REF!),""))</f>
        <v/>
      </c>
      <c r="AC123" t="e">
        <f>IF(Z123="","",COUNTIF(#REF!,Z123))</f>
        <v>#REF!</v>
      </c>
      <c r="AD123" t="e">
        <f>IF(A123="","",IF(AC123&gt;1,"REVISAR DUPLICADO",IF(AA123&lt;&gt;"","ACTUALIZADO POR EYR","SIN REPORTE EYR")))</f>
        <v>#REF!</v>
      </c>
    </row>
    <row r="124" spans="1:30" x14ac:dyDescent="0.3">
      <c r="A124" t="s">
        <v>5399</v>
      </c>
      <c r="B124" t="s">
        <v>5398</v>
      </c>
      <c r="C124" s="4" t="s">
        <v>5397</v>
      </c>
      <c r="D124" t="s">
        <v>77</v>
      </c>
      <c r="E124" t="s">
        <v>214</v>
      </c>
      <c r="F124" t="s">
        <v>391</v>
      </c>
      <c r="G124" s="3">
        <v>8299949403</v>
      </c>
      <c r="H124" s="2">
        <v>46118</v>
      </c>
      <c r="K124" s="1">
        <f ca="1">IF(A124="","",IF(OR(L124="ENTREGADA",L124="RETORNADA",L124="ENTREGA DIGITAL"),0,MAX(0,5-NETWORKDAYS(H124+1,TODAY()))))</f>
        <v>0</v>
      </c>
      <c r="L124" t="str">
        <f>IF(A124="","",IFERROR(LOOKUP(2,1/(#REF!=Z124),#REF!),Y124))</f>
        <v>RETORNADA</v>
      </c>
      <c r="Y124" t="s">
        <v>1857</v>
      </c>
      <c r="Z124" t="str">
        <f>IF(A124="","",TEXT(A124,"0")&amp;"|"&amp;TEXT(H124,"0"))</f>
        <v>5415017753206860|46118</v>
      </c>
      <c r="AA124" t="str">
        <f>IF(Z124="","",IFERROR(LOOKUP(2,1/(#REF!=Z124),#REF!),""))</f>
        <v/>
      </c>
      <c r="AB124" t="str">
        <f>IF(Z124="","",IFERROR(LOOKUP(2,1/(#REF!=Z124),#REF!),""))</f>
        <v/>
      </c>
      <c r="AC124" t="e">
        <f>IF(Z124="","",COUNTIF(#REF!,Z124))</f>
        <v>#REF!</v>
      </c>
      <c r="AD124" t="e">
        <f>IF(A124="","",IF(AC124&gt;1,"REVISAR DUPLICADO",IF(AA124&lt;&gt;"","ACTUALIZADO POR EYR","SIN REPORTE EYR")))</f>
        <v>#REF!</v>
      </c>
    </row>
    <row r="125" spans="1:30" x14ac:dyDescent="0.3">
      <c r="A125" s="5" t="s">
        <v>5396</v>
      </c>
      <c r="B125" t="s">
        <v>5395</v>
      </c>
      <c r="C125" s="4" t="s">
        <v>5394</v>
      </c>
      <c r="D125" t="s">
        <v>77</v>
      </c>
      <c r="F125" t="s">
        <v>13</v>
      </c>
      <c r="G125" s="3">
        <v>8294663059</v>
      </c>
      <c r="H125" s="2">
        <v>46118</v>
      </c>
      <c r="I125" t="s">
        <v>1397</v>
      </c>
      <c r="K125" s="1">
        <f ca="1">IF(A125="","",IF(OR(L125="ENTREGADA",L125="RETORNADA",L125="ENTREGA DIGITAL"),0,MAX(0,5-NETWORKDAYS(H125+1,TODAY()))))</f>
        <v>0</v>
      </c>
      <c r="L125" t="str">
        <f>IF(A125="","",IFERROR(LOOKUP(2,1/(#REF!=Z125),#REF!),Y125))</f>
        <v>ENTREGADA</v>
      </c>
      <c r="Y125" t="s">
        <v>1956</v>
      </c>
      <c r="Z125" t="str">
        <f>IF(A125="","",TEXT(A125,"0")&amp;"|"&amp;TEXT(H125,"0"))</f>
        <v>5188017755046750|46118</v>
      </c>
      <c r="AA125" t="str">
        <f>IF(Z125="","",IFERROR(LOOKUP(2,1/(#REF!=Z125),#REF!),""))</f>
        <v/>
      </c>
      <c r="AB125" t="str">
        <f>IF(Z125="","",IFERROR(LOOKUP(2,1/(#REF!=Z125),#REF!),""))</f>
        <v/>
      </c>
      <c r="AC125" t="e">
        <f>IF(Z125="","",COUNTIF(#REF!,Z125))</f>
        <v>#REF!</v>
      </c>
      <c r="AD125" t="e">
        <f>IF(A125="","",IF(AC125&gt;1,"REVISAR DUPLICADO",IF(AA125&lt;&gt;"","ACTUALIZADO POR EYR","SIN REPORTE EYR")))</f>
        <v>#REF!</v>
      </c>
    </row>
    <row r="126" spans="1:30" x14ac:dyDescent="0.3">
      <c r="A126" s="5" t="s">
        <v>5393</v>
      </c>
      <c r="B126" t="s">
        <v>5392</v>
      </c>
      <c r="C126" s="4" t="s">
        <v>5391</v>
      </c>
      <c r="D126" t="s">
        <v>77</v>
      </c>
      <c r="F126" t="s">
        <v>5390</v>
      </c>
      <c r="G126" s="3">
        <v>8098051905</v>
      </c>
      <c r="H126" s="2">
        <v>46118</v>
      </c>
      <c r="I126" t="s">
        <v>1397</v>
      </c>
      <c r="K126" s="1">
        <f ca="1">IF(A126="","",IF(OR(L126="ENTREGADA",L126="RETORNADA",L126="ENTREGA DIGITAL"),0,MAX(0,5-NETWORKDAYS(H126+1,TODAY()))))</f>
        <v>0</v>
      </c>
      <c r="L126" t="str">
        <f>IF(A126="","",IFERROR(LOOKUP(2,1/(#REF!=Z126),#REF!),Y126))</f>
        <v>ENTREGADA</v>
      </c>
      <c r="Y126" t="s">
        <v>1956</v>
      </c>
      <c r="Z126" t="str">
        <f>IF(A126="","",TEXT(A126,"0")&amp;"|"&amp;TEXT(H126,"0"))</f>
        <v>5188017754705410|46118</v>
      </c>
      <c r="AA126" t="str">
        <f>IF(Z126="","",IFERROR(LOOKUP(2,1/(#REF!=Z126),#REF!),""))</f>
        <v/>
      </c>
      <c r="AB126" t="str">
        <f>IF(Z126="","",IFERROR(LOOKUP(2,1/(#REF!=Z126),#REF!),""))</f>
        <v/>
      </c>
      <c r="AC126" t="e">
        <f>IF(Z126="","",COUNTIF(#REF!,Z126))</f>
        <v>#REF!</v>
      </c>
      <c r="AD126" t="e">
        <f>IF(A126="","",IF(AC126&gt;1,"REVISAR DUPLICADO",IF(AA126&lt;&gt;"","ACTUALIZADO POR EYR","SIN REPORTE EYR")))</f>
        <v>#REF!</v>
      </c>
    </row>
    <row r="127" spans="1:30" x14ac:dyDescent="0.3">
      <c r="A127" s="5" t="s">
        <v>5389</v>
      </c>
      <c r="B127" t="s">
        <v>5388</v>
      </c>
      <c r="C127" s="4" t="s">
        <v>5387</v>
      </c>
      <c r="D127" t="s">
        <v>77</v>
      </c>
      <c r="F127" t="s">
        <v>13</v>
      </c>
      <c r="G127" s="3">
        <v>8298152646</v>
      </c>
      <c r="H127" s="2">
        <v>46118</v>
      </c>
      <c r="K127" s="1">
        <f ca="1">IF(A127="","",IF(OR(L127="ENTREGADA",L127="RETORNADA",L127="ENTREGA DIGITAL"),0,MAX(0,5-NETWORKDAYS(H127+1,TODAY()))))</f>
        <v>0</v>
      </c>
      <c r="L127" t="str">
        <f>IF(A127="","",IFERROR(LOOKUP(2,1/(#REF!=Z127),#REF!),Y127))</f>
        <v>ENTREGADA</v>
      </c>
      <c r="Y127" t="s">
        <v>1956</v>
      </c>
      <c r="Z127" t="str">
        <f>IF(A127="","",TEXT(A127,"0")&amp;"|"&amp;TEXT(H127,"0"))</f>
        <v>5188017755079750|46118</v>
      </c>
      <c r="AA127" t="str">
        <f>IF(Z127="","",IFERROR(LOOKUP(2,1/(#REF!=Z127),#REF!),""))</f>
        <v/>
      </c>
      <c r="AB127" t="str">
        <f>IF(Z127="","",IFERROR(LOOKUP(2,1/(#REF!=Z127),#REF!),""))</f>
        <v/>
      </c>
      <c r="AC127" t="e">
        <f>IF(Z127="","",COUNTIF(#REF!,Z127))</f>
        <v>#REF!</v>
      </c>
      <c r="AD127" t="e">
        <f>IF(A127="","",IF(AC127&gt;1,"REVISAR DUPLICADO",IF(AA127&lt;&gt;"","ACTUALIZADO POR EYR","SIN REPORTE EYR")))</f>
        <v>#REF!</v>
      </c>
    </row>
    <row r="128" spans="1:30" x14ac:dyDescent="0.3">
      <c r="A128" t="s">
        <v>5386</v>
      </c>
      <c r="B128" t="s">
        <v>5385</v>
      </c>
      <c r="C128" s="4" t="s">
        <v>5384</v>
      </c>
      <c r="D128" t="s">
        <v>77</v>
      </c>
      <c r="F128" t="s">
        <v>1420</v>
      </c>
      <c r="G128" s="3">
        <v>9999999999</v>
      </c>
      <c r="H128" s="2">
        <v>46118</v>
      </c>
      <c r="K128" s="1">
        <f ca="1">IF(A128="","",IF(OR(L128="ENTREGADA",L128="RETORNADA",L128="ENTREGA DIGITAL"),0,MAX(0,5-NETWORKDAYS(H128+1,TODAY()))))</f>
        <v>0</v>
      </c>
      <c r="L128" t="str">
        <f>IF(A128="","",IFERROR(LOOKUP(2,1/(#REF!=Z128),#REF!),Y128))</f>
        <v>RETORNADA</v>
      </c>
      <c r="Y128" t="s">
        <v>1857</v>
      </c>
      <c r="Z128" t="str">
        <f>IF(A128="","",TEXT(A128,"0")&amp;"|"&amp;TEXT(H128,"0"))</f>
        <v>5188017754690820|46118</v>
      </c>
      <c r="AA128" t="str">
        <f>IF(Z128="","",IFERROR(LOOKUP(2,1/(#REF!=Z128),#REF!),""))</f>
        <v/>
      </c>
      <c r="AB128" t="str">
        <f>IF(Z128="","",IFERROR(LOOKUP(2,1/(#REF!=Z128),#REF!),""))</f>
        <v/>
      </c>
      <c r="AC128" t="e">
        <f>IF(Z128="","",COUNTIF(#REF!,Z128))</f>
        <v>#REF!</v>
      </c>
      <c r="AD128" t="e">
        <f>IF(A128="","",IF(AC128&gt;1,"REVISAR DUPLICADO",IF(AA128&lt;&gt;"","ACTUALIZADO POR EYR","SIN REPORTE EYR")))</f>
        <v>#REF!</v>
      </c>
    </row>
    <row r="129" spans="1:30" x14ac:dyDescent="0.3">
      <c r="A129" t="s">
        <v>5383</v>
      </c>
      <c r="B129" t="s">
        <v>5382</v>
      </c>
      <c r="C129" s="4" t="s">
        <v>5381</v>
      </c>
      <c r="D129" t="s">
        <v>77</v>
      </c>
      <c r="F129" t="s">
        <v>13</v>
      </c>
      <c r="G129" s="3">
        <v>8096728784</v>
      </c>
      <c r="H129" s="2">
        <v>46118</v>
      </c>
      <c r="K129" s="1">
        <f ca="1">IF(A129="","",IF(OR(L129="ENTREGADA",L129="RETORNADA",L129="ENTREGA DIGITAL"),0,MAX(0,5-NETWORKDAYS(H129+1,TODAY()))))</f>
        <v>0</v>
      </c>
      <c r="L129" t="str">
        <f>IF(A129="","",IFERROR(LOOKUP(2,1/(#REF!=Z129),#REF!),Y129))</f>
        <v>RETORNADA</v>
      </c>
      <c r="Y129" t="s">
        <v>1857</v>
      </c>
      <c r="Z129" t="str">
        <f>IF(A129="","",TEXT(A129,"0")&amp;"|"&amp;TEXT(H129,"0"))</f>
        <v>5188017754899870|46118</v>
      </c>
      <c r="AA129" t="str">
        <f>IF(Z129="","",IFERROR(LOOKUP(2,1/(#REF!=Z129),#REF!),""))</f>
        <v/>
      </c>
      <c r="AB129" t="str">
        <f>IF(Z129="","",IFERROR(LOOKUP(2,1/(#REF!=Z129),#REF!),""))</f>
        <v/>
      </c>
      <c r="AC129" t="e">
        <f>IF(Z129="","",COUNTIF(#REF!,Z129))</f>
        <v>#REF!</v>
      </c>
      <c r="AD129" t="e">
        <f>IF(A129="","",IF(AC129&gt;1,"REVISAR DUPLICADO",IF(AA129&lt;&gt;"","ACTUALIZADO POR EYR","SIN REPORTE EYR")))</f>
        <v>#REF!</v>
      </c>
    </row>
    <row r="130" spans="1:30" x14ac:dyDescent="0.3">
      <c r="A130" t="s">
        <v>3129</v>
      </c>
      <c r="B130" t="s">
        <v>3128</v>
      </c>
      <c r="C130" s="4" t="s">
        <v>3127</v>
      </c>
      <c r="D130" t="s">
        <v>77</v>
      </c>
      <c r="E130" t="s">
        <v>214</v>
      </c>
      <c r="F130" t="s">
        <v>391</v>
      </c>
      <c r="G130" s="3">
        <v>8492702528</v>
      </c>
      <c r="H130" s="2">
        <v>46118</v>
      </c>
      <c r="K130" s="1">
        <f ca="1">IF(A130="","",IF(OR(L130="ENTREGADA",L130="RETORNADA",L130="ENTREGA DIGITAL"),0,MAX(0,5-NETWORKDAYS(H130+1,TODAY()))))</f>
        <v>0</v>
      </c>
      <c r="L130" t="str">
        <f>IF(A130="","",IFERROR(LOOKUP(2,1/(#REF!=Z130),#REF!),Y130))</f>
        <v>RETORNADA</v>
      </c>
      <c r="Y130" t="s">
        <v>1857</v>
      </c>
      <c r="Z130" t="str">
        <f>IF(A130="","",TEXT(A130,"0")&amp;"|"&amp;TEXT(H130,"0"))</f>
        <v>5415017753678410|46118</v>
      </c>
      <c r="AA130" t="str">
        <f>IF(Z130="","",IFERROR(LOOKUP(2,1/(#REF!=Z130),#REF!),""))</f>
        <v/>
      </c>
      <c r="AB130" t="str">
        <f>IF(Z130="","",IFERROR(LOOKUP(2,1/(#REF!=Z130),#REF!),""))</f>
        <v/>
      </c>
      <c r="AC130" t="e">
        <f>IF(Z130="","",COUNTIF(#REF!,Z130))</f>
        <v>#REF!</v>
      </c>
      <c r="AD130" t="e">
        <f>IF(A130="","",IF(AC130&gt;1,"REVISAR DUPLICADO",IF(AA130&lt;&gt;"","ACTUALIZADO POR EYR","SIN REPORTE EYR")))</f>
        <v>#REF!</v>
      </c>
    </row>
    <row r="131" spans="1:30" x14ac:dyDescent="0.3">
      <c r="A131" s="5" t="s">
        <v>5380</v>
      </c>
      <c r="B131" t="s">
        <v>5379</v>
      </c>
      <c r="C131" s="4" t="s">
        <v>5378</v>
      </c>
      <c r="D131" t="s">
        <v>77</v>
      </c>
      <c r="E131" t="s">
        <v>214</v>
      </c>
      <c r="F131" t="s">
        <v>391</v>
      </c>
      <c r="G131" s="3">
        <v>8494738875</v>
      </c>
      <c r="H131" s="2">
        <v>46118</v>
      </c>
      <c r="I131" t="s">
        <v>1397</v>
      </c>
      <c r="K131" s="1">
        <f ca="1">IF(A131="","",IF(OR(L131="ENTREGADA",L131="RETORNADA",L131="ENTREGA DIGITAL"),0,MAX(0,5-NETWORKDAYS(H131+1,TODAY()))))</f>
        <v>0</v>
      </c>
      <c r="L131" t="str">
        <f>IF(A131="","",IFERROR(LOOKUP(2,1/(#REF!=Z131),#REF!),Y131))</f>
        <v>ENTREGADA</v>
      </c>
      <c r="Y131" t="s">
        <v>1956</v>
      </c>
      <c r="Z131" t="str">
        <f>IF(A131="","",TEXT(A131,"0")&amp;"|"&amp;TEXT(H131,"0"))</f>
        <v>5227017754415220|46118</v>
      </c>
      <c r="AA131" t="str">
        <f>IF(Z131="","",IFERROR(LOOKUP(2,1/(#REF!=Z131),#REF!),""))</f>
        <v/>
      </c>
      <c r="AB131" t="str">
        <f>IF(Z131="","",IFERROR(LOOKUP(2,1/(#REF!=Z131),#REF!),""))</f>
        <v/>
      </c>
      <c r="AC131" t="e">
        <f>IF(Z131="","",COUNTIF(#REF!,Z131))</f>
        <v>#REF!</v>
      </c>
      <c r="AD131" t="e">
        <f>IF(A131="","",IF(AC131&gt;1,"REVISAR DUPLICADO",IF(AA131&lt;&gt;"","ACTUALIZADO POR EYR","SIN REPORTE EYR")))</f>
        <v>#REF!</v>
      </c>
    </row>
    <row r="132" spans="1:30" x14ac:dyDescent="0.3">
      <c r="A132" t="s">
        <v>5377</v>
      </c>
      <c r="B132" t="s">
        <v>5376</v>
      </c>
      <c r="C132" s="4" t="s">
        <v>5375</v>
      </c>
      <c r="D132" t="s">
        <v>77</v>
      </c>
      <c r="F132" t="s">
        <v>5374</v>
      </c>
      <c r="G132" s="3">
        <v>8294885301</v>
      </c>
      <c r="H132" s="2">
        <v>46118</v>
      </c>
      <c r="K132" s="1">
        <f ca="1">IF(A132="","",IF(OR(L132="ENTREGADA",L132="RETORNADA",L132="ENTREGA DIGITAL"),0,MAX(0,5-NETWORKDAYS(H132+1,TODAY()))))</f>
        <v>0</v>
      </c>
      <c r="L132" t="str">
        <f>IF(A132="","",IFERROR(LOOKUP(2,1/(#REF!=Z132),#REF!),Y132))</f>
        <v>RETORNADA</v>
      </c>
      <c r="Y132" t="s">
        <v>1857</v>
      </c>
      <c r="Z132" t="str">
        <f>IF(A132="","",TEXT(A132,"0")&amp;"|"&amp;TEXT(H132,"0"))</f>
        <v>4921017755372290|46118</v>
      </c>
      <c r="AA132" t="str">
        <f>IF(Z132="","",IFERROR(LOOKUP(2,1/(#REF!=Z132),#REF!),""))</f>
        <v/>
      </c>
      <c r="AB132" t="str">
        <f>IF(Z132="","",IFERROR(LOOKUP(2,1/(#REF!=Z132),#REF!),""))</f>
        <v/>
      </c>
      <c r="AC132" t="e">
        <f>IF(Z132="","",COUNTIF(#REF!,Z132))</f>
        <v>#REF!</v>
      </c>
      <c r="AD132" t="e">
        <f>IF(A132="","",IF(AC132&gt;1,"REVISAR DUPLICADO",IF(AA132&lt;&gt;"","ACTUALIZADO POR EYR","SIN REPORTE EYR")))</f>
        <v>#REF!</v>
      </c>
    </row>
    <row r="133" spans="1:30" x14ac:dyDescent="0.3">
      <c r="A133" t="s">
        <v>5373</v>
      </c>
      <c r="B133" t="s">
        <v>5372</v>
      </c>
      <c r="C133" s="4" t="s">
        <v>5371</v>
      </c>
      <c r="D133" t="s">
        <v>77</v>
      </c>
      <c r="F133" t="s">
        <v>13</v>
      </c>
      <c r="G133" s="3">
        <v>8492855707</v>
      </c>
      <c r="H133" s="2">
        <v>46118</v>
      </c>
      <c r="K133" s="1">
        <f ca="1">IF(A133="","",IF(OR(L133="ENTREGADA",L133="RETORNADA",L133="ENTREGA DIGITAL"),0,MAX(0,5-NETWORKDAYS(H133+1,TODAY()))))</f>
        <v>0</v>
      </c>
      <c r="L133" t="str">
        <f>IF(A133="","",IFERROR(LOOKUP(2,1/(#REF!=Z133),#REF!),Y133))</f>
        <v>RETORNADA</v>
      </c>
      <c r="Y133" t="s">
        <v>1857</v>
      </c>
      <c r="Z133" t="str">
        <f>IF(A133="","",TEXT(A133,"0")&amp;"|"&amp;TEXT(H133,"0"))</f>
        <v>5415017753905870|46118</v>
      </c>
      <c r="AA133" t="str">
        <f>IF(Z133="","",IFERROR(LOOKUP(2,1/(#REF!=Z133),#REF!),""))</f>
        <v/>
      </c>
      <c r="AB133" t="str">
        <f>IF(Z133="","",IFERROR(LOOKUP(2,1/(#REF!=Z133),#REF!),""))</f>
        <v/>
      </c>
      <c r="AC133" t="e">
        <f>IF(Z133="","",COUNTIF(#REF!,Z133))</f>
        <v>#REF!</v>
      </c>
      <c r="AD133" t="e">
        <f>IF(A133="","",IF(AC133&gt;1,"REVISAR DUPLICADO",IF(AA133&lt;&gt;"","ACTUALIZADO POR EYR","SIN REPORTE EYR")))</f>
        <v>#REF!</v>
      </c>
    </row>
    <row r="134" spans="1:30" x14ac:dyDescent="0.3">
      <c r="A134" s="5" t="s">
        <v>5370</v>
      </c>
      <c r="B134" t="s">
        <v>5369</v>
      </c>
      <c r="C134" s="4" t="s">
        <v>5368</v>
      </c>
      <c r="D134" t="s">
        <v>77</v>
      </c>
      <c r="F134" t="s">
        <v>5367</v>
      </c>
      <c r="G134" s="3">
        <v>8294550745</v>
      </c>
      <c r="H134" s="2">
        <v>46118</v>
      </c>
      <c r="I134" t="s">
        <v>1397</v>
      </c>
      <c r="K134" s="1">
        <f ca="1">IF(A134="","",IF(OR(L134="ENTREGADA",L134="RETORNADA",L134="ENTREGA DIGITAL"),0,MAX(0,5-NETWORKDAYS(H134+1,TODAY()))))</f>
        <v>0</v>
      </c>
      <c r="L134" t="str">
        <f>IF(A134="","",IFERROR(LOOKUP(2,1/(#REF!=Z134),#REF!),Y134))</f>
        <v>ENTREGADA</v>
      </c>
      <c r="Y134" t="s">
        <v>1956</v>
      </c>
      <c r="Z134" t="str">
        <f>IF(A134="","",TEXT(A134,"0")&amp;"|"&amp;TEXT(H134,"0"))</f>
        <v>4966017755788670|46118</v>
      </c>
      <c r="AA134" t="str">
        <f>IF(Z134="","",IFERROR(LOOKUP(2,1/(#REF!=Z134),#REF!),""))</f>
        <v/>
      </c>
      <c r="AB134" t="str">
        <f>IF(Z134="","",IFERROR(LOOKUP(2,1/(#REF!=Z134),#REF!),""))</f>
        <v/>
      </c>
      <c r="AC134" t="e">
        <f>IF(Z134="","",COUNTIF(#REF!,Z134))</f>
        <v>#REF!</v>
      </c>
      <c r="AD134" t="e">
        <f>IF(A134="","",IF(AC134&gt;1,"REVISAR DUPLICADO",IF(AA134&lt;&gt;"","ACTUALIZADO POR EYR","SIN REPORTE EYR")))</f>
        <v>#REF!</v>
      </c>
    </row>
    <row r="135" spans="1:30" x14ac:dyDescent="0.3">
      <c r="A135" t="s">
        <v>1419</v>
      </c>
      <c r="B135" t="s">
        <v>1418</v>
      </c>
      <c r="C135" s="4" t="s">
        <v>1417</v>
      </c>
      <c r="D135" t="s">
        <v>77</v>
      </c>
      <c r="F135" t="s">
        <v>2786</v>
      </c>
      <c r="G135" s="3">
        <v>8299651336</v>
      </c>
      <c r="H135" s="2">
        <v>46118</v>
      </c>
      <c r="K135" s="1">
        <f ca="1">IF(A135="","",IF(OR(L135="ENTREGADA",L135="RETORNADA",L135="ENTREGA DIGITAL"),0,MAX(0,5-NETWORKDAYS(H135+1,TODAY()))))</f>
        <v>0</v>
      </c>
      <c r="L135" t="str">
        <f>IF(A135="","",IFERROR(LOOKUP(2,1/(#REF!=Z135),#REF!),Y135))</f>
        <v>RETORNADA</v>
      </c>
      <c r="Y135" t="s">
        <v>1857</v>
      </c>
      <c r="Z135" t="str">
        <f>IF(A135="","",TEXT(A135,"0")&amp;"|"&amp;TEXT(H135,"0"))</f>
        <v>4921017757635800|46118</v>
      </c>
      <c r="AA135" t="str">
        <f>IF(Z135="","",IFERROR(LOOKUP(2,1/(#REF!=Z135),#REF!),""))</f>
        <v/>
      </c>
      <c r="AB135" t="str">
        <f>IF(Z135="","",IFERROR(LOOKUP(2,1/(#REF!=Z135),#REF!),""))</f>
        <v/>
      </c>
      <c r="AC135" t="e">
        <f>IF(Z135="","",COUNTIF(#REF!,Z135))</f>
        <v>#REF!</v>
      </c>
      <c r="AD135" t="e">
        <f>IF(A135="","",IF(AC135&gt;1,"REVISAR DUPLICADO",IF(AA135&lt;&gt;"","ACTUALIZADO POR EYR","SIN REPORTE EYR")))</f>
        <v>#REF!</v>
      </c>
    </row>
    <row r="136" spans="1:30" x14ac:dyDescent="0.3">
      <c r="A136" s="5" t="s">
        <v>5366</v>
      </c>
      <c r="B136" t="s">
        <v>5365</v>
      </c>
      <c r="C136" s="4" t="s">
        <v>5364</v>
      </c>
      <c r="D136" t="s">
        <v>77</v>
      </c>
      <c r="F136" t="s">
        <v>13</v>
      </c>
      <c r="G136" s="3">
        <v>8097763316</v>
      </c>
      <c r="H136" s="2">
        <v>46118</v>
      </c>
      <c r="I136" t="s">
        <v>1397</v>
      </c>
      <c r="K136" s="1">
        <f ca="1">IF(A136="","",IF(OR(L136="ENTREGADA",L136="RETORNADA",L136="ENTREGA DIGITAL"),0,MAX(0,5-NETWORKDAYS(H136+1,TODAY()))))</f>
        <v>0</v>
      </c>
      <c r="L136" t="str">
        <f>IF(A136="","",IFERROR(LOOKUP(2,1/(#REF!=Z136),#REF!),Y136))</f>
        <v>ENTREGADA</v>
      </c>
      <c r="Y136" t="s">
        <v>1956</v>
      </c>
      <c r="Z136" t="str">
        <f>IF(A136="","",TEXT(A136,"0")&amp;"|"&amp;TEXT(H136,"0"))</f>
        <v>4921017757384890|46118</v>
      </c>
      <c r="AA136" t="str">
        <f>IF(Z136="","",IFERROR(LOOKUP(2,1/(#REF!=Z136),#REF!),""))</f>
        <v/>
      </c>
      <c r="AB136" t="str">
        <f>IF(Z136="","",IFERROR(LOOKUP(2,1/(#REF!=Z136),#REF!),""))</f>
        <v/>
      </c>
      <c r="AC136" t="e">
        <f>IF(Z136="","",COUNTIF(#REF!,Z136))</f>
        <v>#REF!</v>
      </c>
      <c r="AD136" t="e">
        <f>IF(A136="","",IF(AC136&gt;1,"REVISAR DUPLICADO",IF(AA136&lt;&gt;"","ACTUALIZADO POR EYR","SIN REPORTE EYR")))</f>
        <v>#REF!</v>
      </c>
    </row>
    <row r="137" spans="1:30" x14ac:dyDescent="0.3">
      <c r="A137" t="s">
        <v>5363</v>
      </c>
      <c r="B137" t="s">
        <v>5362</v>
      </c>
      <c r="C137" s="4" t="s">
        <v>5361</v>
      </c>
      <c r="D137" t="s">
        <v>77</v>
      </c>
      <c r="F137" t="s">
        <v>13</v>
      </c>
      <c r="G137" s="3">
        <v>8492667493</v>
      </c>
      <c r="H137" s="2">
        <v>46118</v>
      </c>
      <c r="K137" s="1">
        <f ca="1">IF(A137="","",IF(OR(L137="ENTREGADA",L137="RETORNADA",L137="ENTREGA DIGITAL"),0,MAX(0,5-NETWORKDAYS(H137+1,TODAY()))))</f>
        <v>0</v>
      </c>
      <c r="L137" t="str">
        <f>IF(A137="","",IFERROR(LOOKUP(2,1/(#REF!=Z137),#REF!),Y137))</f>
        <v>RETORNADA</v>
      </c>
      <c r="Y137" t="s">
        <v>1857</v>
      </c>
      <c r="Z137" t="str">
        <f>IF(A137="","",TEXT(A137,"0")&amp;"|"&amp;TEXT(H137,"0"))</f>
        <v>4921017756740190|46118</v>
      </c>
      <c r="AA137" t="str">
        <f>IF(Z137="","",IFERROR(LOOKUP(2,1/(#REF!=Z137),#REF!),""))</f>
        <v/>
      </c>
      <c r="AB137" t="str">
        <f>IF(Z137="","",IFERROR(LOOKUP(2,1/(#REF!=Z137),#REF!),""))</f>
        <v/>
      </c>
      <c r="AC137" t="e">
        <f>IF(Z137="","",COUNTIF(#REF!,Z137))</f>
        <v>#REF!</v>
      </c>
      <c r="AD137" t="e">
        <f>IF(A137="","",IF(AC137&gt;1,"REVISAR DUPLICADO",IF(AA137&lt;&gt;"","ACTUALIZADO POR EYR","SIN REPORTE EYR")))</f>
        <v>#REF!</v>
      </c>
    </row>
    <row r="138" spans="1:30" x14ac:dyDescent="0.3">
      <c r="A138" s="5" t="s">
        <v>5360</v>
      </c>
      <c r="B138" t="s">
        <v>5359</v>
      </c>
      <c r="C138" s="4" t="s">
        <v>5358</v>
      </c>
      <c r="D138" t="s">
        <v>77</v>
      </c>
      <c r="E138" t="s">
        <v>214</v>
      </c>
      <c r="F138" t="s">
        <v>391</v>
      </c>
      <c r="G138" s="3">
        <v>8099492660</v>
      </c>
      <c r="H138" s="2">
        <v>46118</v>
      </c>
      <c r="K138" s="1">
        <f ca="1">IF(A138="","",IF(OR(L138="ENTREGADA",L138="RETORNADA",L138="ENTREGA DIGITAL"),0,MAX(0,5-NETWORKDAYS(H138+1,TODAY()))))</f>
        <v>0</v>
      </c>
      <c r="L138" t="str">
        <f>IF(A138="","",IFERROR(LOOKUP(2,1/(#REF!=Z138),#REF!),Y138))</f>
        <v>ENTREGADA</v>
      </c>
      <c r="Y138" t="s">
        <v>1956</v>
      </c>
      <c r="Z138" t="str">
        <f>IF(A138="","",TEXT(A138,"0")&amp;"|"&amp;TEXT(H138,"0"))</f>
        <v>4025017757848440|46118</v>
      </c>
      <c r="AA138" t="str">
        <f>IF(Z138="","",IFERROR(LOOKUP(2,1/(#REF!=Z138),#REF!),""))</f>
        <v/>
      </c>
      <c r="AB138" t="str">
        <f>IF(Z138="","",IFERROR(LOOKUP(2,1/(#REF!=Z138),#REF!),""))</f>
        <v/>
      </c>
      <c r="AC138" t="e">
        <f>IF(Z138="","",COUNTIF(#REF!,Z138))</f>
        <v>#REF!</v>
      </c>
      <c r="AD138" t="e">
        <f>IF(A138="","",IF(AC138&gt;1,"REVISAR DUPLICADO",IF(AA138&lt;&gt;"","ACTUALIZADO POR EYR","SIN REPORTE EYR")))</f>
        <v>#REF!</v>
      </c>
    </row>
    <row r="139" spans="1:30" x14ac:dyDescent="0.3">
      <c r="A139" t="s">
        <v>5357</v>
      </c>
      <c r="B139" t="s">
        <v>5356</v>
      </c>
      <c r="C139" s="4" t="s">
        <v>5355</v>
      </c>
      <c r="D139" t="s">
        <v>77</v>
      </c>
      <c r="F139" t="s">
        <v>5354</v>
      </c>
      <c r="G139" s="3">
        <v>8294880442</v>
      </c>
      <c r="H139" s="2">
        <v>46118</v>
      </c>
      <c r="K139" s="1">
        <f ca="1">IF(A139="","",IF(OR(L139="ENTREGADA",L139="RETORNADA",L139="ENTREGA DIGITAL"),0,MAX(0,5-NETWORKDAYS(H139+1,TODAY()))))</f>
        <v>0</v>
      </c>
      <c r="L139" t="str">
        <f>IF(A139="","",IFERROR(LOOKUP(2,1/(#REF!=Z139),#REF!),Y139))</f>
        <v>RETORNADA</v>
      </c>
      <c r="Y139" t="s">
        <v>1857</v>
      </c>
      <c r="Z139" t="str">
        <f>IF(A139="","",TEXT(A139,"0")&amp;"|"&amp;TEXT(H139,"0"))</f>
        <v>5415017753848660|46118</v>
      </c>
      <c r="AA139" t="str">
        <f>IF(Z139="","",IFERROR(LOOKUP(2,1/(#REF!=Z139),#REF!),""))</f>
        <v/>
      </c>
      <c r="AB139" t="str">
        <f>IF(Z139="","",IFERROR(LOOKUP(2,1/(#REF!=Z139),#REF!),""))</f>
        <v/>
      </c>
      <c r="AC139" t="e">
        <f>IF(Z139="","",COUNTIF(#REF!,Z139))</f>
        <v>#REF!</v>
      </c>
      <c r="AD139" t="e">
        <f>IF(A139="","",IF(AC139&gt;1,"REVISAR DUPLICADO",IF(AA139&lt;&gt;"","ACTUALIZADO POR EYR","SIN REPORTE EYR")))</f>
        <v>#REF!</v>
      </c>
    </row>
    <row r="140" spans="1:30" x14ac:dyDescent="0.3">
      <c r="A140" s="5" t="s">
        <v>5353</v>
      </c>
      <c r="B140" t="s">
        <v>5352</v>
      </c>
      <c r="C140" s="4" t="s">
        <v>5351</v>
      </c>
      <c r="D140" t="s">
        <v>21</v>
      </c>
      <c r="F140" t="s">
        <v>4100</v>
      </c>
      <c r="G140" s="3">
        <v>8496378209</v>
      </c>
      <c r="H140" s="2">
        <v>46118</v>
      </c>
      <c r="K140" s="1">
        <f ca="1">IF(A140="","",IF(OR(L140="ENTREGADA",L140="RETORNADA",L140="ENTREGA DIGITAL"),0,MAX(0,5-NETWORKDAYS(H140+1,TODAY()))))</f>
        <v>0</v>
      </c>
      <c r="L140" t="str">
        <f>IF(A140="","",IFERROR(LOOKUP(2,1/(#REF!=Z140),#REF!),Y140))</f>
        <v>ENTREGADA</v>
      </c>
      <c r="Y140" t="s">
        <v>1956</v>
      </c>
      <c r="Z140" t="str">
        <f>IF(A140="","",TEXT(A140,"0")&amp;"|"&amp;TEXT(H140,"0"))</f>
        <v>4921017755580860|46118</v>
      </c>
      <c r="AA140" t="str">
        <f>IF(Z140="","",IFERROR(LOOKUP(2,1/(#REF!=Z140),#REF!),""))</f>
        <v/>
      </c>
      <c r="AB140" t="str">
        <f>IF(Z140="","",IFERROR(LOOKUP(2,1/(#REF!=Z140),#REF!),""))</f>
        <v/>
      </c>
      <c r="AC140" t="e">
        <f>IF(Z140="","",COUNTIF(#REF!,Z140))</f>
        <v>#REF!</v>
      </c>
      <c r="AD140" t="e">
        <f>IF(A140="","",IF(AC140&gt;1,"REVISAR DUPLICADO",IF(AA140&lt;&gt;"","ACTUALIZADO POR EYR","SIN REPORTE EYR")))</f>
        <v>#REF!</v>
      </c>
    </row>
    <row r="141" spans="1:30" x14ac:dyDescent="0.3">
      <c r="A141" t="s">
        <v>5350</v>
      </c>
      <c r="B141" t="s">
        <v>5349</v>
      </c>
      <c r="C141" s="4" t="s">
        <v>5348</v>
      </c>
      <c r="D141" t="s">
        <v>21</v>
      </c>
      <c r="F141" t="s">
        <v>5347</v>
      </c>
      <c r="G141" s="3">
        <v>8293834391</v>
      </c>
      <c r="H141" s="2">
        <v>46118</v>
      </c>
      <c r="K141" s="1">
        <f ca="1">IF(A141="","",IF(OR(L141="ENTREGADA",L141="RETORNADA",L141="ENTREGA DIGITAL"),0,MAX(0,5-NETWORKDAYS(H141+1,TODAY()))))</f>
        <v>0</v>
      </c>
      <c r="L141" t="str">
        <f>IF(A141="","",IFERROR(LOOKUP(2,1/(#REF!=Z141),#REF!),Y141))</f>
        <v>RETORNADA</v>
      </c>
      <c r="Y141" t="s">
        <v>1857</v>
      </c>
      <c r="Z141" t="str">
        <f>IF(A141="","",TEXT(A141,"0")&amp;"|"&amp;TEXT(H141,"0"))</f>
        <v>4921017755674890|46118</v>
      </c>
      <c r="AA141" t="str">
        <f>IF(Z141="","",IFERROR(LOOKUP(2,1/(#REF!=Z141),#REF!),""))</f>
        <v/>
      </c>
      <c r="AB141" t="str">
        <f>IF(Z141="","",IFERROR(LOOKUP(2,1/(#REF!=Z141),#REF!),""))</f>
        <v/>
      </c>
      <c r="AC141" t="e">
        <f>IF(Z141="","",COUNTIF(#REF!,Z141))</f>
        <v>#REF!</v>
      </c>
      <c r="AD141" t="e">
        <f>IF(A141="","",IF(AC141&gt;1,"REVISAR DUPLICADO",IF(AA141&lt;&gt;"","ACTUALIZADO POR EYR","SIN REPORTE EYR")))</f>
        <v>#REF!</v>
      </c>
    </row>
    <row r="142" spans="1:30" x14ac:dyDescent="0.3">
      <c r="A142" s="5" t="s">
        <v>5346</v>
      </c>
      <c r="B142" t="s">
        <v>5345</v>
      </c>
      <c r="C142" s="4" t="s">
        <v>5344</v>
      </c>
      <c r="D142" t="s">
        <v>21</v>
      </c>
      <c r="F142" t="s">
        <v>13</v>
      </c>
      <c r="G142" s="3">
        <v>8099685910</v>
      </c>
      <c r="H142" s="2">
        <v>46118</v>
      </c>
      <c r="K142" s="1">
        <f ca="1">IF(A142="","",IF(OR(L142="ENTREGADA",L142="RETORNADA",L142="ENTREGA DIGITAL"),0,MAX(0,5-NETWORKDAYS(H142+1,TODAY()))))</f>
        <v>0</v>
      </c>
      <c r="L142" t="str">
        <f>IF(A142="","",IFERROR(LOOKUP(2,1/(#REF!=Z142),#REF!),Y142))</f>
        <v>ENTREGADA</v>
      </c>
      <c r="Y142" t="s">
        <v>1956</v>
      </c>
      <c r="Z142" t="str">
        <f>IF(A142="","",TEXT(A142,"0")&amp;"|"&amp;TEXT(H142,"0"))</f>
        <v>4741017758530110|46118</v>
      </c>
      <c r="AA142" t="str">
        <f>IF(Z142="","",IFERROR(LOOKUP(2,1/(#REF!=Z142),#REF!),""))</f>
        <v/>
      </c>
      <c r="AB142" t="str">
        <f>IF(Z142="","",IFERROR(LOOKUP(2,1/(#REF!=Z142),#REF!),""))</f>
        <v/>
      </c>
      <c r="AC142" t="e">
        <f>IF(Z142="","",COUNTIF(#REF!,Z142))</f>
        <v>#REF!</v>
      </c>
      <c r="AD142" t="e">
        <f>IF(A142="","",IF(AC142&gt;1,"REVISAR DUPLICADO",IF(AA142&lt;&gt;"","ACTUALIZADO POR EYR","SIN REPORTE EYR")))</f>
        <v>#REF!</v>
      </c>
    </row>
    <row r="143" spans="1:30" x14ac:dyDescent="0.3">
      <c r="A143" t="s">
        <v>3561</v>
      </c>
      <c r="B143" t="s">
        <v>3560</v>
      </c>
      <c r="C143" s="4" t="s">
        <v>3559</v>
      </c>
      <c r="D143" t="s">
        <v>21</v>
      </c>
      <c r="E143" t="s">
        <v>21</v>
      </c>
      <c r="F143" t="s">
        <v>5343</v>
      </c>
      <c r="G143" s="3">
        <v>8094024018</v>
      </c>
      <c r="H143" s="2">
        <v>46118</v>
      </c>
      <c r="K143" s="1">
        <f ca="1">IF(A143="","",IF(OR(L143="ENTREGADA",L143="RETORNADA",L143="ENTREGA DIGITAL"),0,MAX(0,5-NETWORKDAYS(H143+1,TODAY()))))</f>
        <v>0</v>
      </c>
      <c r="L143" t="str">
        <f>IF(A143="","",IFERROR(LOOKUP(2,1/(#REF!=Z143),#REF!),Y143))</f>
        <v>RETORNADA</v>
      </c>
      <c r="Y143" t="s">
        <v>1857</v>
      </c>
      <c r="Z143" t="str">
        <f>IF(A143="","",TEXT(A143,"0")&amp;"|"&amp;TEXT(H143,"0"))</f>
        <v>5415017753153000|46118</v>
      </c>
      <c r="AA143" t="str">
        <f>IF(Z143="","",IFERROR(LOOKUP(2,1/(#REF!=Z143),#REF!),""))</f>
        <v/>
      </c>
      <c r="AB143" t="str">
        <f>IF(Z143="","",IFERROR(LOOKUP(2,1/(#REF!=Z143),#REF!),""))</f>
        <v/>
      </c>
      <c r="AC143" t="e">
        <f>IF(Z143="","",COUNTIF(#REF!,Z143))</f>
        <v>#REF!</v>
      </c>
      <c r="AD143" t="e">
        <f>IF(A143="","",IF(AC143&gt;1,"REVISAR DUPLICADO",IF(AA143&lt;&gt;"","ACTUALIZADO POR EYR","SIN REPORTE EYR")))</f>
        <v>#REF!</v>
      </c>
    </row>
    <row r="144" spans="1:30" x14ac:dyDescent="0.3">
      <c r="A144" s="5" t="s">
        <v>5342</v>
      </c>
      <c r="B144" t="s">
        <v>5341</v>
      </c>
      <c r="C144" s="4" t="s">
        <v>5340</v>
      </c>
      <c r="D144" t="s">
        <v>21</v>
      </c>
      <c r="F144" t="s">
        <v>5339</v>
      </c>
      <c r="G144" s="3">
        <v>8299857905</v>
      </c>
      <c r="H144" s="2">
        <v>46118</v>
      </c>
      <c r="K144" s="1">
        <f ca="1">IF(A144="","",IF(OR(L144="ENTREGADA",L144="RETORNADA",L144="ENTREGA DIGITAL"),0,MAX(0,5-NETWORKDAYS(H144+1,TODAY()))))</f>
        <v>0</v>
      </c>
      <c r="L144" t="str">
        <f>IF(A144="","",IFERROR(LOOKUP(2,1/(#REF!=Z144),#REF!),Y144))</f>
        <v>ENTREGADA</v>
      </c>
      <c r="Y144" t="s">
        <v>1956</v>
      </c>
      <c r="Z144" t="str">
        <f>IF(A144="","",TEXT(A144,"0")&amp;"|"&amp;TEXT(H144,"0"))</f>
        <v>5188017755005320|46118</v>
      </c>
      <c r="AA144" t="str">
        <f>IF(Z144="","",IFERROR(LOOKUP(2,1/(#REF!=Z144),#REF!),""))</f>
        <v/>
      </c>
      <c r="AB144" t="str">
        <f>IF(Z144="","",IFERROR(LOOKUP(2,1/(#REF!=Z144),#REF!),""))</f>
        <v/>
      </c>
      <c r="AC144" t="e">
        <f>IF(Z144="","",COUNTIF(#REF!,Z144))</f>
        <v>#REF!</v>
      </c>
      <c r="AD144" t="e">
        <f>IF(A144="","",IF(AC144&gt;1,"REVISAR DUPLICADO",IF(AA144&lt;&gt;"","ACTUALIZADO POR EYR","SIN REPORTE EYR")))</f>
        <v>#REF!</v>
      </c>
    </row>
    <row r="145" spans="1:30" x14ac:dyDescent="0.3">
      <c r="A145" s="5" t="s">
        <v>5338</v>
      </c>
      <c r="B145" t="s">
        <v>5337</v>
      </c>
      <c r="C145" s="4" t="s">
        <v>5336</v>
      </c>
      <c r="D145" t="s">
        <v>21</v>
      </c>
      <c r="F145" t="s">
        <v>13</v>
      </c>
      <c r="G145" s="3">
        <v>8097103074</v>
      </c>
      <c r="H145" s="2">
        <v>46118</v>
      </c>
      <c r="K145" s="1">
        <f ca="1">IF(A145="","",IF(OR(L145="ENTREGADA",L145="RETORNADA",L145="ENTREGA DIGITAL"),0,MAX(0,5-NETWORKDAYS(H145+1,TODAY()))))</f>
        <v>0</v>
      </c>
      <c r="L145" t="str">
        <f>IF(A145="","",IFERROR(LOOKUP(2,1/(#REF!=Z145),#REF!),Y145))</f>
        <v>ENTREGADA</v>
      </c>
      <c r="Y145" t="s">
        <v>1956</v>
      </c>
      <c r="Z145" t="str">
        <f>IF(A145="","",TEXT(A145,"0")&amp;"|"&amp;TEXT(H145,"0"))</f>
        <v>5188017754723260|46118</v>
      </c>
      <c r="AA145" t="str">
        <f>IF(Z145="","",IFERROR(LOOKUP(2,1/(#REF!=Z145),#REF!),""))</f>
        <v/>
      </c>
      <c r="AB145" t="str">
        <f>IF(Z145="","",IFERROR(LOOKUP(2,1/(#REF!=Z145),#REF!),""))</f>
        <v/>
      </c>
      <c r="AC145" t="e">
        <f>IF(Z145="","",COUNTIF(#REF!,Z145))</f>
        <v>#REF!</v>
      </c>
      <c r="AD145" t="e">
        <f>IF(A145="","",IF(AC145&gt;1,"REVISAR DUPLICADO",IF(AA145&lt;&gt;"","ACTUALIZADO POR EYR","SIN REPORTE EYR")))</f>
        <v>#REF!</v>
      </c>
    </row>
    <row r="146" spans="1:30" x14ac:dyDescent="0.3">
      <c r="A146" t="s">
        <v>5335</v>
      </c>
      <c r="B146" t="s">
        <v>5334</v>
      </c>
      <c r="C146" s="4" t="s">
        <v>5333</v>
      </c>
      <c r="D146" t="s">
        <v>21</v>
      </c>
      <c r="F146" t="s">
        <v>13</v>
      </c>
      <c r="G146" s="3">
        <v>8493967485</v>
      </c>
      <c r="H146" s="2">
        <v>46118</v>
      </c>
      <c r="K146" s="1">
        <f ca="1">IF(A146="","",IF(OR(L146="ENTREGADA",L146="RETORNADA",L146="ENTREGA DIGITAL"),0,MAX(0,5-NETWORKDAYS(H146+1,TODAY()))))</f>
        <v>0</v>
      </c>
      <c r="L146" t="str">
        <f>IF(A146="","",IFERROR(LOOKUP(2,1/(#REF!=Z146),#REF!),Y146))</f>
        <v>ENTREGA DIGITAL</v>
      </c>
      <c r="Y146" t="s">
        <v>1396</v>
      </c>
      <c r="Z146" t="str">
        <f>IF(A146="","",TEXT(A146,"0")&amp;"|"&amp;TEXT(H146,"0"))</f>
        <v>5188017755069140|46118</v>
      </c>
      <c r="AA146" t="str">
        <f>IF(Z146="","",IFERROR(LOOKUP(2,1/(#REF!=Z146),#REF!),""))</f>
        <v/>
      </c>
      <c r="AB146" t="str">
        <f>IF(Z146="","",IFERROR(LOOKUP(2,1/(#REF!=Z146),#REF!),""))</f>
        <v/>
      </c>
      <c r="AC146" t="e">
        <f>IF(Z146="","",COUNTIF(#REF!,Z146))</f>
        <v>#REF!</v>
      </c>
      <c r="AD146" t="e">
        <f>IF(A146="","",IF(AC146&gt;1,"REVISAR DUPLICADO",IF(AA146&lt;&gt;"","ACTUALIZADO POR EYR","SIN REPORTE EYR")))</f>
        <v>#REF!</v>
      </c>
    </row>
    <row r="147" spans="1:30" x14ac:dyDescent="0.3">
      <c r="A147" s="9" t="s">
        <v>2607</v>
      </c>
      <c r="B147" t="s">
        <v>2606</v>
      </c>
      <c r="C147" s="4" t="s">
        <v>2605</v>
      </c>
      <c r="D147" t="s">
        <v>21</v>
      </c>
      <c r="F147" t="s">
        <v>269</v>
      </c>
      <c r="G147" s="3">
        <v>8498731320</v>
      </c>
      <c r="H147" s="2">
        <v>46118</v>
      </c>
      <c r="K147" s="1">
        <f ca="1">IF(A147="","",IF(OR(L147="ENTREGADA",L147="RETORNADA",L147="ENTREGA DIGITAL"),0,MAX(0,5-NETWORKDAYS(H147+1,TODAY()))))</f>
        <v>0</v>
      </c>
      <c r="L147" t="str">
        <f>IF(A147="","",IFERROR(LOOKUP(2,1/(#REF!=Z147),#REF!),Y147))</f>
        <v>RETORNADA</v>
      </c>
      <c r="Y147" t="s">
        <v>1857</v>
      </c>
      <c r="Z147" t="str">
        <f>IF(A147="","",TEXT(A147,"0")&amp;"|"&amp;TEXT(H147,"0"))</f>
        <v>5188017754673050|46118</v>
      </c>
      <c r="AA147" t="str">
        <f>IF(Z147="","",IFERROR(LOOKUP(2,1/(#REF!=Z147),#REF!),""))</f>
        <v/>
      </c>
      <c r="AB147" t="str">
        <f>IF(Z147="","",IFERROR(LOOKUP(2,1/(#REF!=Z147),#REF!),""))</f>
        <v/>
      </c>
      <c r="AC147" t="e">
        <f>IF(Z147="","",COUNTIF(#REF!,Z147))</f>
        <v>#REF!</v>
      </c>
      <c r="AD147" t="e">
        <f>IF(A147="","",IF(AC147&gt;1,"REVISAR DUPLICADO",IF(AA147&lt;&gt;"","ACTUALIZADO POR EYR","SIN REPORTE EYR")))</f>
        <v>#REF!</v>
      </c>
    </row>
    <row r="148" spans="1:30" x14ac:dyDescent="0.3">
      <c r="A148" s="5" t="s">
        <v>5332</v>
      </c>
      <c r="B148" t="s">
        <v>53</v>
      </c>
      <c r="C148" s="4" t="s">
        <v>5331</v>
      </c>
      <c r="D148" t="s">
        <v>21</v>
      </c>
      <c r="F148" t="s">
        <v>1050</v>
      </c>
      <c r="G148" s="3">
        <v>8295423481</v>
      </c>
      <c r="H148" s="2">
        <v>46118</v>
      </c>
      <c r="K148" s="1">
        <f ca="1">IF(A148="","",IF(OR(L148="ENTREGADA",L148="RETORNADA",L148="ENTREGA DIGITAL"),0,MAX(0,5-NETWORKDAYS(H148+1,TODAY()))))</f>
        <v>0</v>
      </c>
      <c r="L148" t="str">
        <f>IF(A148="","",IFERROR(LOOKUP(2,1/(#REF!=Z148),#REF!),Y148))</f>
        <v>ENTREGADA</v>
      </c>
      <c r="Y148" t="s">
        <v>1956</v>
      </c>
      <c r="Z148" t="str">
        <f>IF(A148="","",TEXT(A148,"0")&amp;"|"&amp;TEXT(H148,"0"))</f>
        <v>5415017753888030|46118</v>
      </c>
      <c r="AA148" t="str">
        <f>IF(Z148="","",IFERROR(LOOKUP(2,1/(#REF!=Z148),#REF!),""))</f>
        <v/>
      </c>
      <c r="AB148" t="str">
        <f>IF(Z148="","",IFERROR(LOOKUP(2,1/(#REF!=Z148),#REF!),""))</f>
        <v/>
      </c>
      <c r="AC148" t="e">
        <f>IF(Z148="","",COUNTIF(#REF!,Z148))</f>
        <v>#REF!</v>
      </c>
      <c r="AD148" t="e">
        <f>IF(A148="","",IF(AC148&gt;1,"REVISAR DUPLICADO",IF(AA148&lt;&gt;"","ACTUALIZADO POR EYR","SIN REPORTE EYR")))</f>
        <v>#REF!</v>
      </c>
    </row>
    <row r="149" spans="1:30" x14ac:dyDescent="0.3">
      <c r="A149" t="s">
        <v>5330</v>
      </c>
      <c r="B149" t="s">
        <v>5329</v>
      </c>
      <c r="C149" s="4" t="s">
        <v>5328</v>
      </c>
      <c r="D149" t="s">
        <v>21</v>
      </c>
      <c r="F149" t="s">
        <v>0</v>
      </c>
      <c r="G149" s="3">
        <v>8093410595</v>
      </c>
      <c r="H149" s="2">
        <v>46118</v>
      </c>
      <c r="K149" s="1">
        <f ca="1">IF(A149="","",IF(OR(L149="ENTREGADA",L149="RETORNADA",L149="ENTREGA DIGITAL"),0,MAX(0,5-NETWORKDAYS(H149+1,TODAY()))))</f>
        <v>0</v>
      </c>
      <c r="L149" t="str">
        <f>IF(A149="","",IFERROR(LOOKUP(2,1/(#REF!=Z149),#REF!),Y149))</f>
        <v>ENTREGADA</v>
      </c>
      <c r="Y149" t="s">
        <v>1956</v>
      </c>
      <c r="Z149" t="str">
        <f>IF(A149="","",TEXT(A149,"0")&amp;"|"&amp;TEXT(H149,"0"))</f>
        <v>4921017755579420|46118</v>
      </c>
      <c r="AA149" t="str">
        <f>IF(Z149="","",IFERROR(LOOKUP(2,1/(#REF!=Z149),#REF!),""))</f>
        <v/>
      </c>
      <c r="AB149" t="str">
        <f>IF(Z149="","",IFERROR(LOOKUP(2,1/(#REF!=Z149),#REF!),""))</f>
        <v/>
      </c>
      <c r="AC149" t="e">
        <f>IF(Z149="","",COUNTIF(#REF!,Z149))</f>
        <v>#REF!</v>
      </c>
      <c r="AD149" t="e">
        <f>IF(A149="","",IF(AC149&gt;1,"REVISAR DUPLICADO",IF(AA149&lt;&gt;"","ACTUALIZADO POR EYR","SIN REPORTE EYR")))</f>
        <v>#REF!</v>
      </c>
    </row>
    <row r="150" spans="1:30" x14ac:dyDescent="0.3">
      <c r="A150" t="s">
        <v>5327</v>
      </c>
      <c r="B150" t="s">
        <v>5326</v>
      </c>
      <c r="C150" s="4" t="s">
        <v>5325</v>
      </c>
      <c r="D150" t="s">
        <v>21</v>
      </c>
      <c r="F150" t="s">
        <v>5324</v>
      </c>
      <c r="G150" s="3">
        <v>8095266102</v>
      </c>
      <c r="H150" s="2">
        <v>46118</v>
      </c>
      <c r="K150" s="1">
        <f ca="1">IF(A150="","",IF(OR(L150="ENTREGADA",L150="RETORNADA",L150="ENTREGA DIGITAL"),0,MAX(0,5-NETWORKDAYS(H150+1,TODAY()))))</f>
        <v>0</v>
      </c>
      <c r="L150" t="str">
        <f>IF(A150="","",IFERROR(LOOKUP(2,1/(#REF!=Z150),#REF!),Y150))</f>
        <v>RETORNADA</v>
      </c>
      <c r="Y150" t="s">
        <v>1857</v>
      </c>
      <c r="Z150" t="str">
        <f>IF(A150="","",TEXT(A150,"0")&amp;"|"&amp;TEXT(H150,"0"))</f>
        <v>4025017757879750|46118</v>
      </c>
      <c r="AA150" t="str">
        <f>IF(Z150="","",IFERROR(LOOKUP(2,1/(#REF!=Z150),#REF!),""))</f>
        <v/>
      </c>
      <c r="AB150" t="str">
        <f>IF(Z150="","",IFERROR(LOOKUP(2,1/(#REF!=Z150),#REF!),""))</f>
        <v/>
      </c>
      <c r="AC150" t="e">
        <f>IF(Z150="","",COUNTIF(#REF!,Z150))</f>
        <v>#REF!</v>
      </c>
      <c r="AD150" t="e">
        <f>IF(A150="","",IF(AC150&gt;1,"REVISAR DUPLICADO",IF(AA150&lt;&gt;"","ACTUALIZADO POR EYR","SIN REPORTE EYR")))</f>
        <v>#REF!</v>
      </c>
    </row>
    <row r="151" spans="1:30" x14ac:dyDescent="0.3">
      <c r="A151" s="5" t="s">
        <v>5323</v>
      </c>
      <c r="B151" t="s">
        <v>5322</v>
      </c>
      <c r="C151" s="4" t="s">
        <v>5321</v>
      </c>
      <c r="D151" t="s">
        <v>21</v>
      </c>
      <c r="E151" t="s">
        <v>21</v>
      </c>
      <c r="F151" t="s">
        <v>62</v>
      </c>
      <c r="G151" s="3">
        <v>8098825980</v>
      </c>
      <c r="H151" s="2">
        <v>46118</v>
      </c>
      <c r="K151" s="1">
        <f ca="1">IF(A151="","",IF(OR(L151="ENTREGADA",L151="RETORNADA",L151="ENTREGA DIGITAL"),0,MAX(0,5-NETWORKDAYS(H151+1,TODAY()))))</f>
        <v>0</v>
      </c>
      <c r="L151" t="str">
        <f>IF(A151="","",IFERROR(LOOKUP(2,1/(#REF!=Z151),#REF!),Y151))</f>
        <v>ENTREGADA</v>
      </c>
      <c r="Y151" t="s">
        <v>1956</v>
      </c>
      <c r="Z151" t="str">
        <f>IF(A151="","",TEXT(A151,"0")&amp;"|"&amp;TEXT(H151,"0"))</f>
        <v>4921017756164440|46118</v>
      </c>
      <c r="AA151" t="str">
        <f>IF(Z151="","",IFERROR(LOOKUP(2,1/(#REF!=Z151),#REF!),""))</f>
        <v/>
      </c>
      <c r="AB151" t="str">
        <f>IF(Z151="","",IFERROR(LOOKUP(2,1/(#REF!=Z151),#REF!),""))</f>
        <v/>
      </c>
      <c r="AC151" t="e">
        <f>IF(Z151="","",COUNTIF(#REF!,Z151))</f>
        <v>#REF!</v>
      </c>
      <c r="AD151" t="e">
        <f>IF(A151="","",IF(AC151&gt;1,"REVISAR DUPLICADO",IF(AA151&lt;&gt;"","ACTUALIZADO POR EYR","SIN REPORTE EYR")))</f>
        <v>#REF!</v>
      </c>
    </row>
    <row r="152" spans="1:30" x14ac:dyDescent="0.3">
      <c r="A152" s="9" t="s">
        <v>5320</v>
      </c>
      <c r="B152" t="s">
        <v>5319</v>
      </c>
      <c r="C152" s="4" t="s">
        <v>5318</v>
      </c>
      <c r="D152" t="s">
        <v>21</v>
      </c>
      <c r="F152" t="s">
        <v>13</v>
      </c>
      <c r="G152" s="3">
        <v>8495241432</v>
      </c>
      <c r="H152" s="2">
        <v>46118</v>
      </c>
      <c r="K152" s="1">
        <f ca="1">IF(A152="","",IF(OR(L152="ENTREGADA",L152="RETORNADA",L152="ENTREGA DIGITAL"),0,MAX(0,5-NETWORKDAYS(H152+1,TODAY()))))</f>
        <v>0</v>
      </c>
      <c r="L152" t="str">
        <f>IF(A152="","",IFERROR(LOOKUP(2,1/(#REF!=Z152),#REF!),Y152))</f>
        <v>RETORNADA</v>
      </c>
      <c r="Y152" t="s">
        <v>1857</v>
      </c>
      <c r="Z152" t="str">
        <f>IF(A152="","",TEXT(A152,"0")&amp;"|"&amp;TEXT(H152,"0"))</f>
        <v>4966017755854580|46118</v>
      </c>
      <c r="AA152" t="str">
        <f>IF(Z152="","",IFERROR(LOOKUP(2,1/(#REF!=Z152),#REF!),""))</f>
        <v/>
      </c>
      <c r="AB152" t="str">
        <f>IF(Z152="","",IFERROR(LOOKUP(2,1/(#REF!=Z152),#REF!),""))</f>
        <v/>
      </c>
      <c r="AC152" t="e">
        <f>IF(Z152="","",COUNTIF(#REF!,Z152))</f>
        <v>#REF!</v>
      </c>
      <c r="AD152" t="e">
        <f>IF(A152="","",IF(AC152&gt;1,"REVISAR DUPLICADO",IF(AA152&lt;&gt;"","ACTUALIZADO POR EYR","SIN REPORTE EYR")))</f>
        <v>#REF!</v>
      </c>
    </row>
    <row r="153" spans="1:30" x14ac:dyDescent="0.3">
      <c r="A153" s="5" t="s">
        <v>5317</v>
      </c>
      <c r="B153" t="s">
        <v>5316</v>
      </c>
      <c r="C153" s="4" t="s">
        <v>5315</v>
      </c>
      <c r="D153" t="s">
        <v>21</v>
      </c>
      <c r="E153" t="s">
        <v>21</v>
      </c>
      <c r="F153" t="s">
        <v>62</v>
      </c>
      <c r="G153" s="3">
        <v>8094296950</v>
      </c>
      <c r="H153" s="2">
        <v>46118</v>
      </c>
      <c r="K153" s="1">
        <f ca="1">IF(A153="","",IF(OR(L153="ENTREGADA",L153="RETORNADA",L153="ENTREGA DIGITAL"),0,MAX(0,5-NETWORKDAYS(H153+1,TODAY()))))</f>
        <v>0</v>
      </c>
      <c r="L153" t="str">
        <f>IF(A153="","",IFERROR(LOOKUP(2,1/(#REF!=Z153),#REF!),Y153))</f>
        <v>ENTREGADA</v>
      </c>
      <c r="Y153" t="s">
        <v>1956</v>
      </c>
      <c r="Z153" t="str">
        <f>IF(A153="","",TEXT(A153,"0")&amp;"|"&amp;TEXT(H153,"0"))</f>
        <v>4921017756592140|46118</v>
      </c>
      <c r="AA153" t="str">
        <f>IF(Z153="","",IFERROR(LOOKUP(2,1/(#REF!=Z153),#REF!),""))</f>
        <v/>
      </c>
      <c r="AB153" t="str">
        <f>IF(Z153="","",IFERROR(LOOKUP(2,1/(#REF!=Z153),#REF!),""))</f>
        <v/>
      </c>
      <c r="AC153" t="e">
        <f>IF(Z153="","",COUNTIF(#REF!,Z153))</f>
        <v>#REF!</v>
      </c>
      <c r="AD153" t="e">
        <f>IF(A153="","",IF(AC153&gt;1,"REVISAR DUPLICADO",IF(AA153&lt;&gt;"","ACTUALIZADO POR EYR","SIN REPORTE EYR")))</f>
        <v>#REF!</v>
      </c>
    </row>
    <row r="154" spans="1:30" x14ac:dyDescent="0.3">
      <c r="A154" s="5" t="s">
        <v>5314</v>
      </c>
      <c r="B154" t="s">
        <v>5313</v>
      </c>
      <c r="C154" s="4" t="s">
        <v>5312</v>
      </c>
      <c r="D154" t="s">
        <v>21</v>
      </c>
      <c r="E154" t="s">
        <v>21</v>
      </c>
      <c r="F154" t="s">
        <v>5311</v>
      </c>
      <c r="G154" s="3">
        <v>8095293488</v>
      </c>
      <c r="H154" s="2">
        <v>46118</v>
      </c>
      <c r="I154" t="s">
        <v>1397</v>
      </c>
      <c r="K154" s="1">
        <f ca="1">IF(A154="","",IF(OR(L154="ENTREGADA",L154="RETORNADA",L154="ENTREGA DIGITAL"),0,MAX(0,5-NETWORKDAYS(H154+1,TODAY()))))</f>
        <v>0</v>
      </c>
      <c r="L154" t="str">
        <f>IF(A154="","",IFERROR(LOOKUP(2,1/(#REF!=Z154),#REF!),Y154))</f>
        <v>ENTREGADA</v>
      </c>
      <c r="Y154" t="s">
        <v>1956</v>
      </c>
      <c r="Z154" t="str">
        <f>IF(A154="","",TEXT(A154,"0")&amp;"|"&amp;TEXT(H154,"0"))</f>
        <v>4025017758369090|46118</v>
      </c>
      <c r="AA154" t="str">
        <f>IF(Z154="","",IFERROR(LOOKUP(2,1/(#REF!=Z154),#REF!),""))</f>
        <v/>
      </c>
      <c r="AB154" t="str">
        <f>IF(Z154="","",IFERROR(LOOKUP(2,1/(#REF!=Z154),#REF!),""))</f>
        <v/>
      </c>
      <c r="AC154" t="e">
        <f>IF(Z154="","",COUNTIF(#REF!,Z154))</f>
        <v>#REF!</v>
      </c>
      <c r="AD154" t="e">
        <f>IF(A154="","",IF(AC154&gt;1,"REVISAR DUPLICADO",IF(AA154&lt;&gt;"","ACTUALIZADO POR EYR","SIN REPORTE EYR")))</f>
        <v>#REF!</v>
      </c>
    </row>
    <row r="155" spans="1:30" x14ac:dyDescent="0.3">
      <c r="A155" s="5" t="s">
        <v>5310</v>
      </c>
      <c r="B155" t="s">
        <v>5309</v>
      </c>
      <c r="C155" s="4" t="s">
        <v>5308</v>
      </c>
      <c r="D155" t="s">
        <v>21</v>
      </c>
      <c r="F155" t="s">
        <v>157</v>
      </c>
      <c r="G155" s="3">
        <v>8493924528</v>
      </c>
      <c r="H155" s="2">
        <v>46118</v>
      </c>
      <c r="K155" s="1">
        <f ca="1">IF(A155="","",IF(OR(L155="ENTREGADA",L155="RETORNADA",L155="ENTREGA DIGITAL"),0,MAX(0,5-NETWORKDAYS(H155+1,TODAY()))))</f>
        <v>0</v>
      </c>
      <c r="L155" t="str">
        <f>IF(A155="","",IFERROR(LOOKUP(2,1/(#REF!=Z155),#REF!),Y155))</f>
        <v>ENTREGADA</v>
      </c>
      <c r="Y155" t="s">
        <v>1956</v>
      </c>
      <c r="Z155" t="str">
        <f>IF(A155="","",TEXT(A155,"0")&amp;"|"&amp;TEXT(H155,"0"))</f>
        <v>4921017756889510|46118</v>
      </c>
      <c r="AA155" t="str">
        <f>IF(Z155="","",IFERROR(LOOKUP(2,1/(#REF!=Z155),#REF!),""))</f>
        <v/>
      </c>
      <c r="AB155" t="str">
        <f>IF(Z155="","",IFERROR(LOOKUP(2,1/(#REF!=Z155),#REF!),""))</f>
        <v/>
      </c>
      <c r="AC155" t="e">
        <f>IF(Z155="","",COUNTIF(#REF!,Z155))</f>
        <v>#REF!</v>
      </c>
      <c r="AD155" t="e">
        <f>IF(A155="","",IF(AC155&gt;1,"REVISAR DUPLICADO",IF(AA155&lt;&gt;"","ACTUALIZADO POR EYR","SIN REPORTE EYR")))</f>
        <v>#REF!</v>
      </c>
    </row>
    <row r="156" spans="1:30" x14ac:dyDescent="0.3">
      <c r="A156" t="s">
        <v>5307</v>
      </c>
      <c r="B156" t="s">
        <v>5306</v>
      </c>
      <c r="C156" s="4" t="s">
        <v>5305</v>
      </c>
      <c r="D156" t="s">
        <v>1</v>
      </c>
      <c r="F156" t="s">
        <v>5304</v>
      </c>
      <c r="G156" s="3">
        <v>8094551504</v>
      </c>
      <c r="H156" s="2">
        <v>46118</v>
      </c>
      <c r="K156" s="1">
        <f ca="1">IF(A156="","",IF(OR(L156="ENTREGADA",L156="RETORNADA",L156="ENTREGA DIGITAL"),0,MAX(0,5-NETWORKDAYS(H156+1,TODAY()))))</f>
        <v>0</v>
      </c>
      <c r="L156" t="str">
        <f>IF(A156="","",IFERROR(LOOKUP(2,1/(#REF!=Z156),#REF!),Y156))</f>
        <v>RETORNADA</v>
      </c>
      <c r="Y156" t="s">
        <v>1857</v>
      </c>
      <c r="Z156" t="str">
        <f>IF(A156="","",TEXT(A156,"0")&amp;"|"&amp;TEXT(H156,"0"))</f>
        <v>4921017755287530|46118</v>
      </c>
      <c r="AA156" t="str">
        <f>IF(Z156="","",IFERROR(LOOKUP(2,1/(#REF!=Z156),#REF!),""))</f>
        <v/>
      </c>
      <c r="AB156" t="str">
        <f>IF(Z156="","",IFERROR(LOOKUP(2,1/(#REF!=Z156),#REF!),""))</f>
        <v/>
      </c>
      <c r="AC156" t="e">
        <f>IF(Z156="","",COUNTIF(#REF!,Z156))</f>
        <v>#REF!</v>
      </c>
      <c r="AD156" t="e">
        <f>IF(A156="","",IF(AC156&gt;1,"REVISAR DUPLICADO",IF(AA156&lt;&gt;"","ACTUALIZADO POR EYR","SIN REPORTE EYR")))</f>
        <v>#REF!</v>
      </c>
    </row>
    <row r="157" spans="1:30" x14ac:dyDescent="0.3">
      <c r="A157" t="s">
        <v>2849</v>
      </c>
      <c r="B157" t="s">
        <v>2848</v>
      </c>
      <c r="C157" s="4" t="s">
        <v>2847</v>
      </c>
      <c r="D157" t="s">
        <v>1</v>
      </c>
      <c r="F157" t="s">
        <v>9</v>
      </c>
      <c r="G157" s="3">
        <v>8492096049</v>
      </c>
      <c r="H157" s="2">
        <v>46118</v>
      </c>
      <c r="K157" s="1">
        <f ca="1">IF(A157="","",IF(OR(L157="ENTREGADA",L157="RETORNADA",L157="ENTREGA DIGITAL"),0,MAX(0,5-NETWORKDAYS(H157+1,TODAY()))))</f>
        <v>0</v>
      </c>
      <c r="L157" t="str">
        <f>IF(A157="","",IFERROR(LOOKUP(2,1/(#REF!=Z157),#REF!),Y157))</f>
        <v>RETORNADA</v>
      </c>
      <c r="Y157" t="s">
        <v>1857</v>
      </c>
      <c r="Z157" t="str">
        <f>IF(A157="","",TEXT(A157,"0")&amp;"|"&amp;TEXT(H157,"0"))</f>
        <v>5188017754714670|46118</v>
      </c>
      <c r="AA157" t="str">
        <f>IF(Z157="","",IFERROR(LOOKUP(2,1/(#REF!=Z157),#REF!),""))</f>
        <v/>
      </c>
      <c r="AB157" t="str">
        <f>IF(Z157="","",IFERROR(LOOKUP(2,1/(#REF!=Z157),#REF!),""))</f>
        <v/>
      </c>
      <c r="AC157" t="e">
        <f>IF(Z157="","",COUNTIF(#REF!,Z157))</f>
        <v>#REF!</v>
      </c>
      <c r="AD157" t="e">
        <f>IF(A157="","",IF(AC157&gt;1,"REVISAR DUPLICADO",IF(AA157&lt;&gt;"","ACTUALIZADO POR EYR","SIN REPORTE EYR")))</f>
        <v>#REF!</v>
      </c>
    </row>
    <row r="158" spans="1:30" x14ac:dyDescent="0.3">
      <c r="A158" s="5" t="s">
        <v>5303</v>
      </c>
      <c r="B158" t="s">
        <v>5302</v>
      </c>
      <c r="C158" s="4" t="s">
        <v>5301</v>
      </c>
      <c r="D158" t="s">
        <v>1</v>
      </c>
      <c r="F158" t="s">
        <v>9</v>
      </c>
      <c r="G158" s="3">
        <v>8296287079</v>
      </c>
      <c r="H158" s="2">
        <v>46118</v>
      </c>
      <c r="K158" s="1">
        <f ca="1">IF(A158="","",IF(OR(L158="ENTREGADA",L158="RETORNADA",L158="ENTREGA DIGITAL"),0,MAX(0,5-NETWORKDAYS(H158+1,TODAY()))))</f>
        <v>0</v>
      </c>
      <c r="L158" t="str">
        <f>IF(A158="","",IFERROR(LOOKUP(2,1/(#REF!=Z158),#REF!),Y158))</f>
        <v>ENTREGADA</v>
      </c>
      <c r="Y158" t="s">
        <v>1956</v>
      </c>
      <c r="Z158" t="str">
        <f>IF(A158="","",TEXT(A158,"0")&amp;"|"&amp;TEXT(H158,"0"))</f>
        <v>4921017757680750|46118</v>
      </c>
      <c r="AA158" t="str">
        <f>IF(Z158="","",IFERROR(LOOKUP(2,1/(#REF!=Z158),#REF!),""))</f>
        <v/>
      </c>
      <c r="AB158" t="str">
        <f>IF(Z158="","",IFERROR(LOOKUP(2,1/(#REF!=Z158),#REF!),""))</f>
        <v/>
      </c>
      <c r="AC158" t="e">
        <f>IF(Z158="","",COUNTIF(#REF!,Z158))</f>
        <v>#REF!</v>
      </c>
      <c r="AD158" t="e">
        <f>IF(A158="","",IF(AC158&gt;1,"REVISAR DUPLICADO",IF(AA158&lt;&gt;"","ACTUALIZADO POR EYR","SIN REPORTE EYR")))</f>
        <v>#REF!</v>
      </c>
    </row>
    <row r="159" spans="1:30" x14ac:dyDescent="0.3">
      <c r="A159" s="5" t="s">
        <v>5300</v>
      </c>
      <c r="B159" t="s">
        <v>5299</v>
      </c>
      <c r="C159" s="4" t="s">
        <v>5298</v>
      </c>
      <c r="D159" t="s">
        <v>77</v>
      </c>
      <c r="F159" t="s">
        <v>5297</v>
      </c>
      <c r="G159" s="3">
        <v>8297584088</v>
      </c>
      <c r="H159" s="2">
        <v>46118</v>
      </c>
      <c r="K159" s="1">
        <f ca="1">IF(A159="","",IF(OR(L159="ENTREGADA",L159="RETORNADA",L159="ENTREGA DIGITAL"),0,MAX(0,5-NETWORKDAYS(H159+1,TODAY()))))</f>
        <v>0</v>
      </c>
      <c r="L159" t="str">
        <f>IF(A159="","",IFERROR(LOOKUP(2,1/(#REF!=Z159),#REF!),Y159))</f>
        <v>ENTREGADA</v>
      </c>
      <c r="Y159" t="s">
        <v>1956</v>
      </c>
      <c r="Z159" t="str">
        <f>IF(A159="","",TEXT(A159,"0")&amp;"|"&amp;TEXT(H159,"0"))</f>
        <v>5400017615605880|46118</v>
      </c>
      <c r="AA159" t="str">
        <f>IF(Z159="","",IFERROR(LOOKUP(2,1/(#REF!=Z159),#REF!),""))</f>
        <v/>
      </c>
      <c r="AB159" t="str">
        <f>IF(Z159="","",IFERROR(LOOKUP(2,1/(#REF!=Z159),#REF!),""))</f>
        <v/>
      </c>
      <c r="AC159" t="e">
        <f>IF(Z159="","",COUNTIF(#REF!,Z159))</f>
        <v>#REF!</v>
      </c>
      <c r="AD159" t="e">
        <f>IF(A159="","",IF(AC159&gt;1,"REVISAR DUPLICADO",IF(AA159&lt;&gt;"","ACTUALIZADO POR EYR","SIN REPORTE EYR")))</f>
        <v>#REF!</v>
      </c>
    </row>
    <row r="160" spans="1:30" x14ac:dyDescent="0.3">
      <c r="A160" s="5" t="s">
        <v>5296</v>
      </c>
      <c r="B160" t="s">
        <v>5295</v>
      </c>
      <c r="C160" s="4" t="s">
        <v>5294</v>
      </c>
      <c r="D160" t="s">
        <v>77</v>
      </c>
      <c r="F160" t="s">
        <v>5293</v>
      </c>
      <c r="G160" s="3">
        <v>8295048982</v>
      </c>
      <c r="H160" s="2">
        <v>46118</v>
      </c>
      <c r="K160" s="1">
        <f ca="1">IF(A160="","",IF(OR(L160="ENTREGADA",L160="RETORNADA",L160="ENTREGA DIGITAL"),0,MAX(0,5-NETWORKDAYS(H160+1,TODAY()))))</f>
        <v>0</v>
      </c>
      <c r="L160" t="str">
        <f>IF(A160="","",IFERROR(LOOKUP(2,1/(#REF!=Z160),#REF!),Y160))</f>
        <v>ENTREGADA</v>
      </c>
      <c r="Y160" t="s">
        <v>1956</v>
      </c>
      <c r="Z160" t="str">
        <f>IF(A160="","",TEXT(A160,"0")&amp;"|"&amp;TEXT(H160,"0"))</f>
        <v>4921017763850220|46118</v>
      </c>
      <c r="AA160" t="str">
        <f>IF(Z160="","",IFERROR(LOOKUP(2,1/(#REF!=Z160),#REF!),""))</f>
        <v/>
      </c>
      <c r="AB160" t="str">
        <f>IF(Z160="","",IFERROR(LOOKUP(2,1/(#REF!=Z160),#REF!),""))</f>
        <v/>
      </c>
      <c r="AC160" t="e">
        <f>IF(Z160="","",COUNTIF(#REF!,Z160))</f>
        <v>#REF!</v>
      </c>
      <c r="AD160" t="e">
        <f>IF(A160="","",IF(AC160&gt;1,"REVISAR DUPLICADO",IF(AA160&lt;&gt;"","ACTUALIZADO POR EYR","SIN REPORTE EYR")))</f>
        <v>#REF!</v>
      </c>
    </row>
    <row r="161" spans="1:30" x14ac:dyDescent="0.3">
      <c r="A161" t="s">
        <v>3341</v>
      </c>
      <c r="B161" t="s">
        <v>3340</v>
      </c>
      <c r="C161" s="4" t="s">
        <v>3339</v>
      </c>
      <c r="D161" t="s">
        <v>77</v>
      </c>
      <c r="F161" t="s">
        <v>150</v>
      </c>
      <c r="G161" s="3">
        <v>8098391430</v>
      </c>
      <c r="H161" s="2">
        <v>46118</v>
      </c>
      <c r="K161" s="1">
        <f ca="1">IF(A161="","",IF(OR(L161="ENTREGADA",L161="RETORNADA",L161="ENTREGA DIGITAL"),0,MAX(0,5-NETWORKDAYS(H161+1,TODAY()))))</f>
        <v>0</v>
      </c>
      <c r="L161" t="str">
        <f>IF(A161="","",IFERROR(LOOKUP(2,1/(#REF!=Z161),#REF!),Y161))</f>
        <v>RETORNADA</v>
      </c>
      <c r="Y161" t="s">
        <v>1857</v>
      </c>
      <c r="Z161" t="str">
        <f>IF(A161="","",TEXT(A161,"0")&amp;"|"&amp;TEXT(H161,"0"))</f>
        <v>5427017759476830|46118</v>
      </c>
      <c r="AA161" t="str">
        <f>IF(Z161="","",IFERROR(LOOKUP(2,1/(#REF!=Z161),#REF!),""))</f>
        <v/>
      </c>
      <c r="AB161" t="str">
        <f>IF(Z161="","",IFERROR(LOOKUP(2,1/(#REF!=Z161),#REF!),""))</f>
        <v/>
      </c>
      <c r="AC161" t="e">
        <f>IF(Z161="","",COUNTIF(#REF!,Z161))</f>
        <v>#REF!</v>
      </c>
      <c r="AD161" t="e">
        <f>IF(A161="","",IF(AC161&gt;1,"REVISAR DUPLICADO",IF(AA161&lt;&gt;"","ACTUALIZADO POR EYR","SIN REPORTE EYR")))</f>
        <v>#REF!</v>
      </c>
    </row>
    <row r="162" spans="1:30" x14ac:dyDescent="0.3">
      <c r="A162" t="s">
        <v>3653</v>
      </c>
      <c r="B162" t="s">
        <v>3652</v>
      </c>
      <c r="C162" s="4" t="s">
        <v>3651</v>
      </c>
      <c r="D162" t="s">
        <v>77</v>
      </c>
      <c r="F162">
        <v>23</v>
      </c>
      <c r="G162" s="3">
        <v>8298788388</v>
      </c>
      <c r="H162" s="2">
        <v>46118</v>
      </c>
      <c r="K162" s="1">
        <f ca="1">IF(A162="","",IF(OR(L162="ENTREGADA",L162="RETORNADA",L162="ENTREGA DIGITAL"),0,MAX(0,5-NETWORKDAYS(H162+1,TODAY()))))</f>
        <v>0</v>
      </c>
      <c r="L162" t="str">
        <f>IF(A162="","",IFERROR(LOOKUP(2,1/(#REF!=Z162),#REF!),Y162))</f>
        <v>RETORNADA</v>
      </c>
      <c r="Y162" t="s">
        <v>1857</v>
      </c>
      <c r="Z162" t="str">
        <f>IF(A162="","",TEXT(A162,"0")&amp;"|"&amp;TEXT(H162,"0"))</f>
        <v>4921017760444270|46118</v>
      </c>
      <c r="AA162" t="str">
        <f>IF(Z162="","",IFERROR(LOOKUP(2,1/(#REF!=Z162),#REF!),""))</f>
        <v/>
      </c>
      <c r="AB162" t="str">
        <f>IF(Z162="","",IFERROR(LOOKUP(2,1/(#REF!=Z162),#REF!),""))</f>
        <v/>
      </c>
      <c r="AC162" t="e">
        <f>IF(Z162="","",COUNTIF(#REF!,Z162))</f>
        <v>#REF!</v>
      </c>
      <c r="AD162" t="e">
        <f>IF(A162="","",IF(AC162&gt;1,"REVISAR DUPLICADO",IF(AA162&lt;&gt;"","ACTUALIZADO POR EYR","SIN REPORTE EYR")))</f>
        <v>#REF!</v>
      </c>
    </row>
    <row r="163" spans="1:30" x14ac:dyDescent="0.3">
      <c r="A163" t="s">
        <v>3632</v>
      </c>
      <c r="B163" t="s">
        <v>3631</v>
      </c>
      <c r="C163" s="4" t="s">
        <v>3630</v>
      </c>
      <c r="D163" t="s">
        <v>77</v>
      </c>
      <c r="F163" t="s">
        <v>1420</v>
      </c>
      <c r="G163" s="3">
        <v>8098587573</v>
      </c>
      <c r="H163" s="2">
        <v>46118</v>
      </c>
      <c r="K163" s="1">
        <f ca="1">IF(A163="","",IF(OR(L163="ENTREGADA",L163="RETORNADA",L163="ENTREGA DIGITAL"),0,MAX(0,5-NETWORKDAYS(H163+1,TODAY()))))</f>
        <v>0</v>
      </c>
      <c r="L163" t="str">
        <f>IF(A163="","",IFERROR(LOOKUP(2,1/(#REF!=Z163),#REF!),Y163))</f>
        <v>RETORNADA</v>
      </c>
      <c r="Y163" t="s">
        <v>1857</v>
      </c>
      <c r="Z163" t="str">
        <f>IF(A163="","",TEXT(A163,"0")&amp;"|"&amp;TEXT(H163,"0"))</f>
        <v>5415017759243450|46118</v>
      </c>
      <c r="AA163" t="str">
        <f>IF(Z163="","",IFERROR(LOOKUP(2,1/(#REF!=Z163),#REF!),""))</f>
        <v/>
      </c>
      <c r="AB163" t="str">
        <f>IF(Z163="","",IFERROR(LOOKUP(2,1/(#REF!=Z163),#REF!),""))</f>
        <v/>
      </c>
      <c r="AC163" t="e">
        <f>IF(Z163="","",COUNTIF(#REF!,Z163))</f>
        <v>#REF!</v>
      </c>
      <c r="AD163" t="e">
        <f>IF(A163="","",IF(AC163&gt;1,"REVISAR DUPLICADO",IF(AA163&lt;&gt;"","ACTUALIZADO POR EYR","SIN REPORTE EYR")))</f>
        <v>#REF!</v>
      </c>
    </row>
    <row r="164" spans="1:30" x14ac:dyDescent="0.3">
      <c r="A164" s="5" t="s">
        <v>5292</v>
      </c>
      <c r="B164" t="s">
        <v>5291</v>
      </c>
      <c r="C164" s="4" t="s">
        <v>5290</v>
      </c>
      <c r="D164" t="s">
        <v>77</v>
      </c>
      <c r="F164" t="s">
        <v>5289</v>
      </c>
      <c r="G164" s="3">
        <v>8494095504</v>
      </c>
      <c r="H164" s="2">
        <v>46118</v>
      </c>
      <c r="K164" s="1">
        <f ca="1">IF(A164="","",IF(OR(L164="ENTREGADA",L164="RETORNADA",L164="ENTREGA DIGITAL"),0,MAX(0,5-NETWORKDAYS(H164+1,TODAY()))))</f>
        <v>0</v>
      </c>
      <c r="L164" t="str">
        <f>IF(A164="","",IFERROR(LOOKUP(2,1/(#REF!=Z164),#REF!),Y164))</f>
        <v>ENTREGADA</v>
      </c>
      <c r="Y164" t="s">
        <v>1956</v>
      </c>
      <c r="Z164" t="str">
        <f>IF(A164="","",TEXT(A164,"0")&amp;"|"&amp;TEXT(H164,"0"))</f>
        <v>4921017763510670|46118</v>
      </c>
      <c r="AA164" t="str">
        <f>IF(Z164="","",IFERROR(LOOKUP(2,1/(#REF!=Z164),#REF!),""))</f>
        <v/>
      </c>
      <c r="AB164" t="str">
        <f>IF(Z164="","",IFERROR(LOOKUP(2,1/(#REF!=Z164),#REF!),""))</f>
        <v/>
      </c>
      <c r="AC164" t="e">
        <f>IF(Z164="","",COUNTIF(#REF!,Z164))</f>
        <v>#REF!</v>
      </c>
      <c r="AD164" t="e">
        <f>IF(A164="","",IF(AC164&gt;1,"REVISAR DUPLICADO",IF(AA164&lt;&gt;"","ACTUALIZADO POR EYR","SIN REPORTE EYR")))</f>
        <v>#REF!</v>
      </c>
    </row>
    <row r="165" spans="1:30" x14ac:dyDescent="0.3">
      <c r="A165" s="5" t="s">
        <v>5288</v>
      </c>
      <c r="B165" t="s">
        <v>5287</v>
      </c>
      <c r="C165" s="4" t="s">
        <v>5286</v>
      </c>
      <c r="D165" t="s">
        <v>77</v>
      </c>
      <c r="F165" t="s">
        <v>5285</v>
      </c>
      <c r="G165" s="3">
        <v>8098419325</v>
      </c>
      <c r="H165" s="2">
        <v>46118</v>
      </c>
      <c r="K165" s="1">
        <f ca="1">IF(A165="","",IF(OR(L165="ENTREGADA",L165="RETORNADA",L165="ENTREGA DIGITAL"),0,MAX(0,5-NETWORKDAYS(H165+1,TODAY()))))</f>
        <v>0</v>
      </c>
      <c r="L165" t="str">
        <f>IF(A165="","",IFERROR(LOOKUP(2,1/(#REF!=Z165),#REF!),Y165))</f>
        <v>ENTREGADA</v>
      </c>
      <c r="Y165" t="s">
        <v>1956</v>
      </c>
      <c r="Z165" t="str">
        <f>IF(A165="","",TEXT(A165,"0")&amp;"|"&amp;TEXT(H165,"0"))</f>
        <v>5400017761777690|46118</v>
      </c>
      <c r="AA165" t="str">
        <f>IF(Z165="","",IFERROR(LOOKUP(2,1/(#REF!=Z165),#REF!),""))</f>
        <v/>
      </c>
      <c r="AB165" t="str">
        <f>IF(Z165="","",IFERROR(LOOKUP(2,1/(#REF!=Z165),#REF!),""))</f>
        <v/>
      </c>
      <c r="AC165" t="e">
        <f>IF(Z165="","",COUNTIF(#REF!,Z165))</f>
        <v>#REF!</v>
      </c>
      <c r="AD165" t="e">
        <f>IF(A165="","",IF(AC165&gt;1,"REVISAR DUPLICADO",IF(AA165&lt;&gt;"","ACTUALIZADO POR EYR","SIN REPORTE EYR")))</f>
        <v>#REF!</v>
      </c>
    </row>
    <row r="166" spans="1:30" x14ac:dyDescent="0.3">
      <c r="A166" s="5" t="s">
        <v>5284</v>
      </c>
      <c r="B166" t="s">
        <v>5283</v>
      </c>
      <c r="C166" s="4" t="s">
        <v>5282</v>
      </c>
      <c r="D166" t="s">
        <v>77</v>
      </c>
      <c r="F166" t="s">
        <v>1280</v>
      </c>
      <c r="G166" s="3">
        <v>8095206909</v>
      </c>
      <c r="H166" s="2">
        <v>46118</v>
      </c>
      <c r="I166" t="s">
        <v>1397</v>
      </c>
      <c r="K166" s="1">
        <f ca="1">IF(A166="","",IF(OR(L166="ENTREGADA",L166="RETORNADA",L166="ENTREGA DIGITAL"),0,MAX(0,5-NETWORKDAYS(H166+1,TODAY()))))</f>
        <v>0</v>
      </c>
      <c r="L166" t="str">
        <f>IF(A166="","",IFERROR(LOOKUP(2,1/(#REF!=Z166),#REF!),Y166))</f>
        <v>ENTREGADA</v>
      </c>
      <c r="Y166" t="s">
        <v>1956</v>
      </c>
      <c r="Z166" t="str">
        <f>IF(A166="","",TEXT(A166,"0")&amp;"|"&amp;TEXT(H166,"0"))</f>
        <v>5227017759420010|46118</v>
      </c>
      <c r="AA166" t="str">
        <f>IF(Z166="","",IFERROR(LOOKUP(2,1/(#REF!=Z166),#REF!),""))</f>
        <v/>
      </c>
      <c r="AB166" t="str">
        <f>IF(Z166="","",IFERROR(LOOKUP(2,1/(#REF!=Z166),#REF!),""))</f>
        <v/>
      </c>
      <c r="AC166" t="e">
        <f>IF(Z166="","",COUNTIF(#REF!,Z166))</f>
        <v>#REF!</v>
      </c>
      <c r="AD166" t="e">
        <f>IF(A166="","",IF(AC166&gt;1,"REVISAR DUPLICADO",IF(AA166&lt;&gt;"","ACTUALIZADO POR EYR","SIN REPORTE EYR")))</f>
        <v>#REF!</v>
      </c>
    </row>
    <row r="167" spans="1:30" x14ac:dyDescent="0.3">
      <c r="A167" t="s">
        <v>5281</v>
      </c>
      <c r="B167" t="s">
        <v>5280</v>
      </c>
      <c r="C167" s="4" t="s">
        <v>5279</v>
      </c>
      <c r="D167" t="s">
        <v>21</v>
      </c>
      <c r="F167" t="s">
        <v>13</v>
      </c>
      <c r="G167" s="3">
        <v>8092818041</v>
      </c>
      <c r="H167" s="2">
        <v>46118</v>
      </c>
      <c r="K167" s="1">
        <f ca="1">IF(A167="","",IF(OR(L167="ENTREGADA",L167="RETORNADA",L167="ENTREGA DIGITAL"),0,MAX(0,5-NETWORKDAYS(H167+1,TODAY()))))</f>
        <v>0</v>
      </c>
      <c r="L167" t="str">
        <f>IF(A167="","",IFERROR(LOOKUP(2,1/(#REF!=Z167),#REF!),Y167))</f>
        <v>RETORNADA</v>
      </c>
      <c r="Y167" t="s">
        <v>1857</v>
      </c>
      <c r="Z167" t="str">
        <f>IF(A167="","",TEXT(A167,"0")&amp;"|"&amp;TEXT(H167,"0"))</f>
        <v>4921017705887680|46118</v>
      </c>
      <c r="AA167" t="str">
        <f>IF(Z167="","",IFERROR(LOOKUP(2,1/(#REF!=Z167),#REF!),""))</f>
        <v/>
      </c>
      <c r="AB167" t="str">
        <f>IF(Z167="","",IFERROR(LOOKUP(2,1/(#REF!=Z167),#REF!),""))</f>
        <v/>
      </c>
      <c r="AC167" t="e">
        <f>IF(Z167="","",COUNTIF(#REF!,Z167))</f>
        <v>#REF!</v>
      </c>
      <c r="AD167" t="e">
        <f>IF(A167="","",IF(AC167&gt;1,"REVISAR DUPLICADO",IF(AA167&lt;&gt;"","ACTUALIZADO POR EYR","SIN REPORTE EYR")))</f>
        <v>#REF!</v>
      </c>
    </row>
    <row r="168" spans="1:30" x14ac:dyDescent="0.3">
      <c r="A168" s="5" t="s">
        <v>5278</v>
      </c>
      <c r="B168" t="s">
        <v>5277</v>
      </c>
      <c r="C168" s="4" t="s">
        <v>5276</v>
      </c>
      <c r="D168" t="s">
        <v>21</v>
      </c>
      <c r="F168" t="s">
        <v>5044</v>
      </c>
      <c r="G168" s="3">
        <v>8296368221</v>
      </c>
      <c r="H168" s="2">
        <v>46118</v>
      </c>
      <c r="K168" s="1">
        <f ca="1">IF(A168="","",IF(OR(L168="ENTREGADA",L168="RETORNADA",L168="ENTREGA DIGITAL"),0,MAX(0,5-NETWORKDAYS(H168+1,TODAY()))))</f>
        <v>0</v>
      </c>
      <c r="L168" t="str">
        <f>IF(A168="","",IFERROR(LOOKUP(2,1/(#REF!=Z168),#REF!),Y168))</f>
        <v>ENTREGADA</v>
      </c>
      <c r="Y168" t="s">
        <v>1956</v>
      </c>
      <c r="Z168" t="str">
        <f>IF(A168="","",TEXT(A168,"0")&amp;"|"&amp;TEXT(H168,"0"))</f>
        <v>4921017760404390|46118</v>
      </c>
      <c r="AA168" t="str">
        <f>IF(Z168="","",IFERROR(LOOKUP(2,1/(#REF!=Z168),#REF!),""))</f>
        <v/>
      </c>
      <c r="AB168" t="str">
        <f>IF(Z168="","",IFERROR(LOOKUP(2,1/(#REF!=Z168),#REF!),""))</f>
        <v/>
      </c>
      <c r="AC168" t="e">
        <f>IF(Z168="","",COUNTIF(#REF!,Z168))</f>
        <v>#REF!</v>
      </c>
      <c r="AD168" t="e">
        <f>IF(A168="","",IF(AC168&gt;1,"REVISAR DUPLICADO",IF(AA168&lt;&gt;"","ACTUALIZADO POR EYR","SIN REPORTE EYR")))</f>
        <v>#REF!</v>
      </c>
    </row>
    <row r="169" spans="1:30" x14ac:dyDescent="0.3">
      <c r="A169" s="5" t="s">
        <v>5275</v>
      </c>
      <c r="B169" t="s">
        <v>5274</v>
      </c>
      <c r="C169" s="4" t="s">
        <v>5273</v>
      </c>
      <c r="D169" t="s">
        <v>21</v>
      </c>
      <c r="F169" t="s">
        <v>5272</v>
      </c>
      <c r="G169" s="3">
        <v>8493731234</v>
      </c>
      <c r="H169" s="2">
        <v>46118</v>
      </c>
      <c r="K169" s="1">
        <f ca="1">IF(A169="","",IF(OR(L169="ENTREGADA",L169="RETORNADA",L169="ENTREGA DIGITAL"),0,MAX(0,5-NETWORKDAYS(H169+1,TODAY()))))</f>
        <v>0</v>
      </c>
      <c r="L169" t="str">
        <f>IF(A169="","",IFERROR(LOOKUP(2,1/(#REF!=Z169),#REF!),Y169))</f>
        <v>ENTREGADA</v>
      </c>
      <c r="Y169" t="s">
        <v>1956</v>
      </c>
      <c r="Z169" t="str">
        <f>IF(A169="","",TEXT(A169,"0")&amp;"|"&amp;TEXT(H169,"0"))</f>
        <v>4921017759912010|46118</v>
      </c>
      <c r="AA169" t="str">
        <f>IF(Z169="","",IFERROR(LOOKUP(2,1/(#REF!=Z169),#REF!),""))</f>
        <v/>
      </c>
      <c r="AB169" t="str">
        <f>IF(Z169="","",IFERROR(LOOKUP(2,1/(#REF!=Z169),#REF!),""))</f>
        <v/>
      </c>
      <c r="AC169" t="e">
        <f>IF(Z169="","",COUNTIF(#REF!,Z169))</f>
        <v>#REF!</v>
      </c>
      <c r="AD169" t="e">
        <f>IF(A169="","",IF(AC169&gt;1,"REVISAR DUPLICADO",IF(AA169&lt;&gt;"","ACTUALIZADO POR EYR","SIN REPORTE EYR")))</f>
        <v>#REF!</v>
      </c>
    </row>
    <row r="170" spans="1:30" x14ac:dyDescent="0.3">
      <c r="A170" s="5" t="s">
        <v>5271</v>
      </c>
      <c r="B170" t="s">
        <v>5270</v>
      </c>
      <c r="C170" s="4" t="s">
        <v>5269</v>
      </c>
      <c r="D170" t="s">
        <v>21</v>
      </c>
      <c r="F170" t="s">
        <v>5268</v>
      </c>
      <c r="G170" s="3">
        <v>8099833512</v>
      </c>
      <c r="H170" s="2">
        <v>46118</v>
      </c>
      <c r="K170" s="1">
        <f ca="1">IF(A170="","",IF(OR(L170="ENTREGADA",L170="RETORNADA",L170="ENTREGA DIGITAL"),0,MAX(0,5-NETWORKDAYS(H170+1,TODAY()))))</f>
        <v>0</v>
      </c>
      <c r="L170" t="str">
        <f>IF(A170="","",IFERROR(LOOKUP(2,1/(#REF!=Z170),#REF!),Y170))</f>
        <v>ENTREGADA</v>
      </c>
      <c r="Y170" t="s">
        <v>1956</v>
      </c>
      <c r="Z170" t="str">
        <f>IF(A170="","",TEXT(A170,"0")&amp;"|"&amp;TEXT(H170,"0"))</f>
        <v>5188017759520180|46118</v>
      </c>
      <c r="AA170" t="str">
        <f>IF(Z170="","",IFERROR(LOOKUP(2,1/(#REF!=Z170),#REF!),""))</f>
        <v/>
      </c>
      <c r="AB170" t="str">
        <f>IF(Z170="","",IFERROR(LOOKUP(2,1/(#REF!=Z170),#REF!),""))</f>
        <v/>
      </c>
      <c r="AC170" t="e">
        <f>IF(Z170="","",COUNTIF(#REF!,Z170))</f>
        <v>#REF!</v>
      </c>
      <c r="AD170" t="e">
        <f>IF(A170="","",IF(AC170&gt;1,"REVISAR DUPLICADO",IF(AA170&lt;&gt;"","ACTUALIZADO POR EYR","SIN REPORTE EYR")))</f>
        <v>#REF!</v>
      </c>
    </row>
    <row r="171" spans="1:30" x14ac:dyDescent="0.3">
      <c r="A171" s="5" t="s">
        <v>5267</v>
      </c>
      <c r="B171" t="s">
        <v>5266</v>
      </c>
      <c r="C171" s="4" t="s">
        <v>5265</v>
      </c>
      <c r="D171" t="s">
        <v>21</v>
      </c>
      <c r="E171" t="s">
        <v>21</v>
      </c>
      <c r="F171" t="s">
        <v>62</v>
      </c>
      <c r="G171" s="3">
        <v>8098378381</v>
      </c>
      <c r="H171" s="2">
        <v>46118</v>
      </c>
      <c r="K171" s="1">
        <f ca="1">IF(A171="","",IF(OR(L171="ENTREGADA",L171="RETORNADA",L171="ENTREGA DIGITAL"),0,MAX(0,5-NETWORKDAYS(H171+1,TODAY()))))</f>
        <v>0</v>
      </c>
      <c r="L171" t="str">
        <f>IF(A171="","",IFERROR(LOOKUP(2,1/(#REF!=Z171),#REF!),Y171))</f>
        <v>ENTREGADA</v>
      </c>
      <c r="Y171" t="s">
        <v>1956</v>
      </c>
      <c r="Z171" t="str">
        <f>IF(A171="","",TEXT(A171,"0")&amp;"|"&amp;TEXT(H171,"0"))</f>
        <v>5188017759668180|46118</v>
      </c>
      <c r="AA171" t="str">
        <f>IF(Z171="","",IFERROR(LOOKUP(2,1/(#REF!=Z171),#REF!),""))</f>
        <v/>
      </c>
      <c r="AB171" t="str">
        <f>IF(Z171="","",IFERROR(LOOKUP(2,1/(#REF!=Z171),#REF!),""))</f>
        <v/>
      </c>
      <c r="AC171" t="e">
        <f>IF(Z171="","",COUNTIF(#REF!,Z171))</f>
        <v>#REF!</v>
      </c>
      <c r="AD171" t="e">
        <f>IF(A171="","",IF(AC171&gt;1,"REVISAR DUPLICADO",IF(AA171&lt;&gt;"","ACTUALIZADO POR EYR","SIN REPORTE EYR")))</f>
        <v>#REF!</v>
      </c>
    </row>
    <row r="172" spans="1:30" x14ac:dyDescent="0.3">
      <c r="A172" s="5" t="s">
        <v>5264</v>
      </c>
      <c r="B172" t="s">
        <v>5263</v>
      </c>
      <c r="C172" s="4" t="s">
        <v>5262</v>
      </c>
      <c r="D172" t="s">
        <v>77</v>
      </c>
      <c r="F172" t="s">
        <v>13</v>
      </c>
      <c r="G172" s="3">
        <v>8096736873</v>
      </c>
      <c r="H172" s="2">
        <v>46119</v>
      </c>
      <c r="I172" t="s">
        <v>1397</v>
      </c>
      <c r="K172" s="1">
        <f ca="1">IF(A172="","",IF(OR(L172="ENTREGADA",L172="RETORNADA",L172="ENTREGA DIGITAL"),0,MAX(0,5-NETWORKDAYS(H172+1,TODAY()))))</f>
        <v>0</v>
      </c>
      <c r="L172" t="str">
        <f>IF(A172="","",IFERROR(LOOKUP(2,1/(#REF!=Z172),#REF!),Y172))</f>
        <v>ENTREGADA</v>
      </c>
      <c r="Y172" t="s">
        <v>1956</v>
      </c>
      <c r="Z172" t="str">
        <f>IF(A172="","",TEXT(A172,"0")&amp;"|"&amp;TEXT(H172,"0"))</f>
        <v>5188017765631030|46119</v>
      </c>
      <c r="AA172" t="str">
        <f>IF(Z172="","",IFERROR(LOOKUP(2,1/(#REF!=Z172),#REF!),""))</f>
        <v/>
      </c>
      <c r="AB172" t="str">
        <f>IF(Z172="","",IFERROR(LOOKUP(2,1/(#REF!=Z172),#REF!),""))</f>
        <v/>
      </c>
      <c r="AC172" t="e">
        <f>IF(Z172="","",COUNTIF(#REF!,Z172))</f>
        <v>#REF!</v>
      </c>
      <c r="AD172" t="e">
        <f>IF(A172="","",IF(AC172&gt;1,"REVISAR DUPLICADO",IF(AA172&lt;&gt;"","ACTUALIZADO POR EYR","SIN REPORTE EYR")))</f>
        <v>#REF!</v>
      </c>
    </row>
    <row r="173" spans="1:30" x14ac:dyDescent="0.3">
      <c r="A173" t="s">
        <v>2994</v>
      </c>
      <c r="B173" t="s">
        <v>2993</v>
      </c>
      <c r="C173" s="4" t="s">
        <v>2992</v>
      </c>
      <c r="D173" t="s">
        <v>77</v>
      </c>
      <c r="F173" t="s">
        <v>13</v>
      </c>
      <c r="G173" s="3">
        <v>8293531669</v>
      </c>
      <c r="H173" s="2">
        <v>46119</v>
      </c>
      <c r="K173" s="1">
        <f ca="1">IF(A173="","",IF(OR(L173="ENTREGADA",L173="RETORNADA",L173="ENTREGA DIGITAL"),0,MAX(0,5-NETWORKDAYS(H173+1,TODAY()))))</f>
        <v>0</v>
      </c>
      <c r="L173" t="str">
        <f>IF(A173="","",IFERROR(LOOKUP(2,1/(#REF!=Z173),#REF!),Y173))</f>
        <v>RETORNADA</v>
      </c>
      <c r="Y173" t="s">
        <v>1857</v>
      </c>
      <c r="Z173" t="str">
        <f>IF(A173="","",TEXT(A173,"0")&amp;"|"&amp;TEXT(H173,"0"))</f>
        <v>4921017760674040|46119</v>
      </c>
      <c r="AA173" t="str">
        <f>IF(Z173="","",IFERROR(LOOKUP(2,1/(#REF!=Z173),#REF!),""))</f>
        <v/>
      </c>
      <c r="AB173" t="str">
        <f>IF(Z173="","",IFERROR(LOOKUP(2,1/(#REF!=Z173),#REF!),""))</f>
        <v/>
      </c>
      <c r="AC173" t="e">
        <f>IF(Z173="","",COUNTIF(#REF!,Z173))</f>
        <v>#REF!</v>
      </c>
      <c r="AD173" t="e">
        <f>IF(A173="","",IF(AC173&gt;1,"REVISAR DUPLICADO",IF(AA173&lt;&gt;"","ACTUALIZADO POR EYR","SIN REPORTE EYR")))</f>
        <v>#REF!</v>
      </c>
    </row>
    <row r="174" spans="1:30" x14ac:dyDescent="0.3">
      <c r="A174" t="s">
        <v>5261</v>
      </c>
      <c r="B174" t="s">
        <v>5260</v>
      </c>
      <c r="C174" s="4" t="s">
        <v>5259</v>
      </c>
      <c r="D174" t="s">
        <v>77</v>
      </c>
      <c r="F174" t="s">
        <v>13</v>
      </c>
      <c r="G174" s="3">
        <v>8097786551</v>
      </c>
      <c r="H174" s="2">
        <v>46119</v>
      </c>
      <c r="K174" s="1">
        <f ca="1">IF(A174="","",IF(OR(L174="ENTREGADA",L174="RETORNADA",L174="ENTREGA DIGITAL"),0,MAX(0,5-NETWORKDAYS(H174+1,TODAY()))))</f>
        <v>0</v>
      </c>
      <c r="L174" t="str">
        <f>IF(A174="","",IFERROR(LOOKUP(2,1/(#REF!=Z174),#REF!),Y174))</f>
        <v>RETORNADA</v>
      </c>
      <c r="Y174" t="s">
        <v>1857</v>
      </c>
      <c r="Z174" t="str">
        <f>IF(A174="","",TEXT(A174,"0")&amp;"|"&amp;TEXT(H174,"0"))</f>
        <v>5227017759452400|46119</v>
      </c>
      <c r="AA174" t="str">
        <f>IF(Z174="","",IFERROR(LOOKUP(2,1/(#REF!=Z174),#REF!),""))</f>
        <v/>
      </c>
      <c r="AB174" t="str">
        <f>IF(Z174="","",IFERROR(LOOKUP(2,1/(#REF!=Z174),#REF!),""))</f>
        <v/>
      </c>
      <c r="AC174" t="e">
        <f>IF(Z174="","",COUNTIF(#REF!,Z174))</f>
        <v>#REF!</v>
      </c>
      <c r="AD174" t="e">
        <f>IF(A174="","",IF(AC174&gt;1,"REVISAR DUPLICADO",IF(AA174&lt;&gt;"","ACTUALIZADO POR EYR","SIN REPORTE EYR")))</f>
        <v>#REF!</v>
      </c>
    </row>
    <row r="175" spans="1:30" x14ac:dyDescent="0.3">
      <c r="A175" s="5" t="s">
        <v>5258</v>
      </c>
      <c r="B175" t="s">
        <v>5257</v>
      </c>
      <c r="C175" s="4" t="s">
        <v>5256</v>
      </c>
      <c r="D175" t="s">
        <v>77</v>
      </c>
      <c r="F175" t="s">
        <v>13</v>
      </c>
      <c r="G175" s="3">
        <v>8095025279</v>
      </c>
      <c r="H175" s="2">
        <v>46119</v>
      </c>
      <c r="I175" t="s">
        <v>1397</v>
      </c>
      <c r="K175" s="1">
        <f ca="1">IF(A175="","",IF(OR(L175="ENTREGADA",L175="RETORNADA",L175="ENTREGA DIGITAL"),0,MAX(0,5-NETWORKDAYS(H175+1,TODAY()))))</f>
        <v>0</v>
      </c>
      <c r="L175" t="str">
        <f>IF(A175="","",IFERROR(LOOKUP(2,1/(#REF!=Z175),#REF!),Y175))</f>
        <v>ENTREGADA</v>
      </c>
      <c r="Y175" t="s">
        <v>1956</v>
      </c>
      <c r="Z175" t="str">
        <f>IF(A175="","",TEXT(A175,"0")&amp;"|"&amp;TEXT(H175,"0"))</f>
        <v>4921017760391230|46119</v>
      </c>
      <c r="AA175" t="str">
        <f>IF(Z175="","",IFERROR(LOOKUP(2,1/(#REF!=Z175),#REF!),""))</f>
        <v/>
      </c>
      <c r="AB175" t="str">
        <f>IF(Z175="","",IFERROR(LOOKUP(2,1/(#REF!=Z175),#REF!),""))</f>
        <v/>
      </c>
      <c r="AC175" t="e">
        <f>IF(Z175="","",COUNTIF(#REF!,Z175))</f>
        <v>#REF!</v>
      </c>
      <c r="AD175" t="e">
        <f>IF(A175="","",IF(AC175&gt;1,"REVISAR DUPLICADO",IF(AA175&lt;&gt;"","ACTUALIZADO POR EYR","SIN REPORTE EYR")))</f>
        <v>#REF!</v>
      </c>
    </row>
    <row r="176" spans="1:30" x14ac:dyDescent="0.3">
      <c r="A176" s="5" t="s">
        <v>5255</v>
      </c>
      <c r="B176" t="s">
        <v>5254</v>
      </c>
      <c r="C176" s="4" t="s">
        <v>5253</v>
      </c>
      <c r="D176" t="s">
        <v>77</v>
      </c>
      <c r="F176" t="s">
        <v>13</v>
      </c>
      <c r="G176" s="3">
        <v>8494797605</v>
      </c>
      <c r="H176" s="2">
        <v>46119</v>
      </c>
      <c r="I176" t="s">
        <v>1397</v>
      </c>
      <c r="K176" s="1">
        <f ca="1">IF(A176="","",IF(OR(L176="ENTREGADA",L176="RETORNADA",L176="ENTREGA DIGITAL"),0,MAX(0,5-NETWORKDAYS(H176+1,TODAY()))))</f>
        <v>0</v>
      </c>
      <c r="L176" t="str">
        <f>IF(A176="","",IFERROR(LOOKUP(2,1/(#REF!=Z176),#REF!),Y176))</f>
        <v>ENTREGADA</v>
      </c>
      <c r="Y176" t="s">
        <v>1956</v>
      </c>
      <c r="Z176" t="str">
        <f>IF(A176="","",TEXT(A176,"0")&amp;"|"&amp;TEXT(H176,"0"))</f>
        <v>4966017766054370|46119</v>
      </c>
      <c r="AA176" t="str">
        <f>IF(Z176="","",IFERROR(LOOKUP(2,1/(#REF!=Z176),#REF!),""))</f>
        <v/>
      </c>
      <c r="AB176" t="str">
        <f>IF(Z176="","",IFERROR(LOOKUP(2,1/(#REF!=Z176),#REF!),""))</f>
        <v/>
      </c>
      <c r="AC176" t="e">
        <f>IF(Z176="","",COUNTIF(#REF!,Z176))</f>
        <v>#REF!</v>
      </c>
      <c r="AD176" t="e">
        <f>IF(A176="","",IF(AC176&gt;1,"REVISAR DUPLICADO",IF(AA176&lt;&gt;"","ACTUALIZADO POR EYR","SIN REPORTE EYR")))</f>
        <v>#REF!</v>
      </c>
    </row>
    <row r="177" spans="1:30" x14ac:dyDescent="0.3">
      <c r="A177" t="s">
        <v>1916</v>
      </c>
      <c r="B177" t="s">
        <v>1915</v>
      </c>
      <c r="C177" s="4" t="s">
        <v>1914</v>
      </c>
      <c r="D177" t="s">
        <v>77</v>
      </c>
      <c r="F177" t="s">
        <v>13</v>
      </c>
      <c r="G177" s="3">
        <v>8295326113</v>
      </c>
      <c r="H177" s="2">
        <v>46119</v>
      </c>
      <c r="K177" s="1">
        <f ca="1">IF(A177="","",IF(OR(L177="ENTREGADA",L177="RETORNADA",L177="ENTREGA DIGITAL"),0,MAX(0,5-NETWORKDAYS(H177+1,TODAY()))))</f>
        <v>0</v>
      </c>
      <c r="L177" t="str">
        <f>IF(A177="","",IFERROR(LOOKUP(2,1/(#REF!=Z177),#REF!),Y177))</f>
        <v>RETORNADA</v>
      </c>
      <c r="Y177" t="s">
        <v>1857</v>
      </c>
      <c r="Z177" t="str">
        <f>IF(A177="","",TEXT(A177,"0")&amp;"|"&amp;TEXT(H177,"0"))</f>
        <v>4921017766532570|46119</v>
      </c>
      <c r="AA177" t="str">
        <f>IF(Z177="","",IFERROR(LOOKUP(2,1/(#REF!=Z177),#REF!),""))</f>
        <v/>
      </c>
      <c r="AB177" t="str">
        <f>IF(Z177="","",IFERROR(LOOKUP(2,1/(#REF!=Z177),#REF!),""))</f>
        <v/>
      </c>
      <c r="AC177" t="e">
        <f>IF(Z177="","",COUNTIF(#REF!,Z177))</f>
        <v>#REF!</v>
      </c>
      <c r="AD177" t="e">
        <f>IF(A177="","",IF(AC177&gt;1,"REVISAR DUPLICADO",IF(AA177&lt;&gt;"","ACTUALIZADO POR EYR","SIN REPORTE EYR")))</f>
        <v>#REF!</v>
      </c>
    </row>
    <row r="178" spans="1:30" x14ac:dyDescent="0.3">
      <c r="A178" t="s">
        <v>5252</v>
      </c>
      <c r="B178" t="s">
        <v>5251</v>
      </c>
      <c r="C178" s="4" t="s">
        <v>5250</v>
      </c>
      <c r="D178" t="s">
        <v>77</v>
      </c>
      <c r="F178" t="s">
        <v>13</v>
      </c>
      <c r="G178" s="3">
        <v>0</v>
      </c>
      <c r="H178" s="2">
        <v>46119</v>
      </c>
      <c r="K178" s="1">
        <f ca="1">IF(A178="","",IF(OR(L178="ENTREGADA",L178="RETORNADA",L178="ENTREGA DIGITAL"),0,MAX(0,5-NETWORKDAYS(H178+1,TODAY()))))</f>
        <v>0</v>
      </c>
      <c r="L178" t="str">
        <f>IF(A178="","",IFERROR(LOOKUP(2,1/(#REF!=Z178),#REF!),Y178))</f>
        <v>RETORNADA</v>
      </c>
      <c r="Y178" t="s">
        <v>1857</v>
      </c>
      <c r="Z178" t="str">
        <f>IF(A178="","",TEXT(A178,"0")&amp;"|"&amp;TEXT(H178,"0"))</f>
        <v>5400017765332960|46119</v>
      </c>
      <c r="AA178" t="str">
        <f>IF(Z178="","",IFERROR(LOOKUP(2,1/(#REF!=Z178),#REF!),""))</f>
        <v/>
      </c>
      <c r="AB178" t="str">
        <f>IF(Z178="","",IFERROR(LOOKUP(2,1/(#REF!=Z178),#REF!),""))</f>
        <v/>
      </c>
      <c r="AC178" t="e">
        <f>IF(Z178="","",COUNTIF(#REF!,Z178))</f>
        <v>#REF!</v>
      </c>
      <c r="AD178" t="e">
        <f>IF(A178="","",IF(AC178&gt;1,"REVISAR DUPLICADO",IF(AA178&lt;&gt;"","ACTUALIZADO POR EYR","SIN REPORTE EYR")))</f>
        <v>#REF!</v>
      </c>
    </row>
    <row r="179" spans="1:30" x14ac:dyDescent="0.3">
      <c r="A179" s="5" t="s">
        <v>5249</v>
      </c>
      <c r="B179" t="s">
        <v>5248</v>
      </c>
      <c r="C179" s="4" t="s">
        <v>5247</v>
      </c>
      <c r="D179" t="s">
        <v>77</v>
      </c>
      <c r="F179" t="s">
        <v>13</v>
      </c>
      <c r="G179" s="3">
        <v>8096029726</v>
      </c>
      <c r="H179" s="2">
        <v>46119</v>
      </c>
      <c r="K179" s="1">
        <f ca="1">IF(A179="","",IF(OR(L179="ENTREGADA",L179="RETORNADA",L179="ENTREGA DIGITAL"),0,MAX(0,5-NETWORKDAYS(H179+1,TODAY()))))</f>
        <v>0</v>
      </c>
      <c r="L179" t="str">
        <f>IF(A179="","",IFERROR(LOOKUP(2,1/(#REF!=Z179),#REF!),Y179))</f>
        <v>ENTREGADA</v>
      </c>
      <c r="Y179" t="s">
        <v>1956</v>
      </c>
      <c r="Z179" t="str">
        <f>IF(A179="","",TEXT(A179,"0")&amp;"|"&amp;TEXT(H179,"0"))</f>
        <v>4921017765815230|46119</v>
      </c>
      <c r="AA179" t="str">
        <f>IF(Z179="","",IFERROR(LOOKUP(2,1/(#REF!=Z179),#REF!),""))</f>
        <v/>
      </c>
      <c r="AB179" t="str">
        <f>IF(Z179="","",IFERROR(LOOKUP(2,1/(#REF!=Z179),#REF!),""))</f>
        <v/>
      </c>
      <c r="AC179" t="e">
        <f>IF(Z179="","",COUNTIF(#REF!,Z179))</f>
        <v>#REF!</v>
      </c>
      <c r="AD179" t="e">
        <f>IF(A179="","",IF(AC179&gt;1,"REVISAR DUPLICADO",IF(AA179&lt;&gt;"","ACTUALIZADO POR EYR","SIN REPORTE EYR")))</f>
        <v>#REF!</v>
      </c>
    </row>
    <row r="180" spans="1:30" x14ac:dyDescent="0.3">
      <c r="A180" s="5" t="s">
        <v>5246</v>
      </c>
      <c r="B180" t="s">
        <v>5245</v>
      </c>
      <c r="C180" s="4" t="s">
        <v>5244</v>
      </c>
      <c r="D180" t="s">
        <v>77</v>
      </c>
      <c r="E180" t="s">
        <v>214</v>
      </c>
      <c r="F180" t="s">
        <v>391</v>
      </c>
      <c r="G180" s="3">
        <v>8492127524</v>
      </c>
      <c r="H180" s="2">
        <v>46119</v>
      </c>
      <c r="I180" t="s">
        <v>1397</v>
      </c>
      <c r="K180" s="1">
        <f ca="1">IF(A180="","",IF(OR(L180="ENTREGADA",L180="RETORNADA",L180="ENTREGA DIGITAL"),0,MAX(0,5-NETWORKDAYS(H180+1,TODAY()))))</f>
        <v>0</v>
      </c>
      <c r="L180" t="str">
        <f>IF(A180="","",IFERROR(LOOKUP(2,1/(#REF!=Z180),#REF!),Y180))</f>
        <v>ENTREGADA</v>
      </c>
      <c r="Y180" t="s">
        <v>1956</v>
      </c>
      <c r="Z180" t="str">
        <f>IF(A180="","",TEXT(A180,"0")&amp;"|"&amp;TEXT(H180,"0"))</f>
        <v>5188017765427460|46119</v>
      </c>
      <c r="AA180" t="str">
        <f>IF(Z180="","",IFERROR(LOOKUP(2,1/(#REF!=Z180),#REF!),""))</f>
        <v/>
      </c>
      <c r="AB180" t="str">
        <f>IF(Z180="","",IFERROR(LOOKUP(2,1/(#REF!=Z180),#REF!),""))</f>
        <v/>
      </c>
      <c r="AC180" t="e">
        <f>IF(Z180="","",COUNTIF(#REF!,Z180))</f>
        <v>#REF!</v>
      </c>
      <c r="AD180" t="e">
        <f>IF(A180="","",IF(AC180&gt;1,"REVISAR DUPLICADO",IF(AA180&lt;&gt;"","ACTUALIZADO POR EYR","SIN REPORTE EYR")))</f>
        <v>#REF!</v>
      </c>
    </row>
    <row r="181" spans="1:30" x14ac:dyDescent="0.3">
      <c r="A181" t="s">
        <v>5243</v>
      </c>
      <c r="B181" t="s">
        <v>1922</v>
      </c>
      <c r="C181" s="4" t="s">
        <v>5242</v>
      </c>
      <c r="D181" t="s">
        <v>77</v>
      </c>
      <c r="F181" t="s">
        <v>13</v>
      </c>
      <c r="G181" s="3">
        <v>8293766260</v>
      </c>
      <c r="H181" s="2">
        <v>46119</v>
      </c>
      <c r="K181" s="1">
        <f ca="1">IF(A181="","",IF(OR(L181="ENTREGADA",L181="RETORNADA",L181="ENTREGA DIGITAL"),0,MAX(0,5-NETWORKDAYS(H181+1,TODAY()))))</f>
        <v>0</v>
      </c>
      <c r="L181" t="str">
        <f>IF(A181="","",IFERROR(LOOKUP(2,1/(#REF!=Z181),#REF!),Y181))</f>
        <v>RETORNADA</v>
      </c>
      <c r="Y181" t="s">
        <v>1857</v>
      </c>
      <c r="Z181" t="str">
        <f>IF(A181="","",TEXT(A181,"0")&amp;"|"&amp;TEXT(H181,"0"))</f>
        <v>4921017760752700|46119</v>
      </c>
      <c r="AA181" t="str">
        <f>IF(Z181="","",IFERROR(LOOKUP(2,1/(#REF!=Z181),#REF!),""))</f>
        <v/>
      </c>
      <c r="AB181" t="str">
        <f>IF(Z181="","",IFERROR(LOOKUP(2,1/(#REF!=Z181),#REF!),""))</f>
        <v/>
      </c>
      <c r="AC181" t="e">
        <f>IF(Z181="","",COUNTIF(#REF!,Z181))</f>
        <v>#REF!</v>
      </c>
      <c r="AD181" t="e">
        <f>IF(A181="","",IF(AC181&gt;1,"REVISAR DUPLICADO",IF(AA181&lt;&gt;"","ACTUALIZADO POR EYR","SIN REPORTE EYR")))</f>
        <v>#REF!</v>
      </c>
    </row>
    <row r="182" spans="1:30" x14ac:dyDescent="0.3">
      <c r="A182" s="5" t="s">
        <v>5241</v>
      </c>
      <c r="B182" t="s">
        <v>5240</v>
      </c>
      <c r="C182" s="4" t="s">
        <v>5239</v>
      </c>
      <c r="D182" t="s">
        <v>77</v>
      </c>
      <c r="F182" t="s">
        <v>13</v>
      </c>
      <c r="G182" s="3">
        <v>8297997432</v>
      </c>
      <c r="H182" s="2">
        <v>46119</v>
      </c>
      <c r="K182" s="1">
        <f ca="1">IF(A182="","",IF(OR(L182="ENTREGADA",L182="RETORNADA",L182="ENTREGA DIGITAL"),0,MAX(0,5-NETWORKDAYS(H182+1,TODAY()))))</f>
        <v>0</v>
      </c>
      <c r="L182" t="str">
        <f>IF(A182="","",IFERROR(LOOKUP(2,1/(#REF!=Z182),#REF!),Y182))</f>
        <v>ENTREGADA</v>
      </c>
      <c r="Y182" t="s">
        <v>1956</v>
      </c>
      <c r="Z182" t="str">
        <f>IF(A182="","",TEXT(A182,"0")&amp;"|"&amp;TEXT(H182,"0"))</f>
        <v>5188017759650500|46119</v>
      </c>
      <c r="AA182" t="str">
        <f>IF(Z182="","",IFERROR(LOOKUP(2,1/(#REF!=Z182),#REF!),""))</f>
        <v/>
      </c>
      <c r="AB182" t="str">
        <f>IF(Z182="","",IFERROR(LOOKUP(2,1/(#REF!=Z182),#REF!),""))</f>
        <v/>
      </c>
      <c r="AC182" t="e">
        <f>IF(Z182="","",COUNTIF(#REF!,Z182))</f>
        <v>#REF!</v>
      </c>
      <c r="AD182" t="e">
        <f>IF(A182="","",IF(AC182&gt;1,"REVISAR DUPLICADO",IF(AA182&lt;&gt;"","ACTUALIZADO POR EYR","SIN REPORTE EYR")))</f>
        <v>#REF!</v>
      </c>
    </row>
    <row r="183" spans="1:30" x14ac:dyDescent="0.3">
      <c r="A183" s="5" t="s">
        <v>5238</v>
      </c>
      <c r="B183" t="s">
        <v>5237</v>
      </c>
      <c r="C183" s="4" t="s">
        <v>5236</v>
      </c>
      <c r="D183" t="s">
        <v>77</v>
      </c>
      <c r="F183" t="s">
        <v>13</v>
      </c>
      <c r="G183" s="3">
        <v>8496278329</v>
      </c>
      <c r="H183" s="2">
        <v>46119</v>
      </c>
      <c r="I183" t="s">
        <v>1397</v>
      </c>
      <c r="K183" s="1">
        <f ca="1">IF(A183="","",IF(OR(L183="ENTREGADA",L183="RETORNADA",L183="ENTREGA DIGITAL"),0,MAX(0,5-NETWORKDAYS(H183+1,TODAY()))))</f>
        <v>0</v>
      </c>
      <c r="L183" t="str">
        <f>IF(A183="","",IFERROR(LOOKUP(2,1/(#REF!=Z183),#REF!),Y183))</f>
        <v>ENTREGADA</v>
      </c>
      <c r="Y183" t="s">
        <v>1956</v>
      </c>
      <c r="Z183" t="str">
        <f>IF(A183="","",TEXT(A183,"0")&amp;"|"&amp;TEXT(H183,"0"))</f>
        <v>4966017766096320|46119</v>
      </c>
      <c r="AA183" t="str">
        <f>IF(Z183="","",IFERROR(LOOKUP(2,1/(#REF!=Z183),#REF!),""))</f>
        <v/>
      </c>
      <c r="AB183" t="str">
        <f>IF(Z183="","",IFERROR(LOOKUP(2,1/(#REF!=Z183),#REF!),""))</f>
        <v/>
      </c>
      <c r="AC183" t="e">
        <f>IF(Z183="","",COUNTIF(#REF!,Z183))</f>
        <v>#REF!</v>
      </c>
      <c r="AD183" t="e">
        <f>IF(A183="","",IF(AC183&gt;1,"REVISAR DUPLICADO",IF(AA183&lt;&gt;"","ACTUALIZADO POR EYR","SIN REPORTE EYR")))</f>
        <v>#REF!</v>
      </c>
    </row>
    <row r="184" spans="1:30" x14ac:dyDescent="0.3">
      <c r="A184" s="5" t="s">
        <v>5235</v>
      </c>
      <c r="B184" t="s">
        <v>5234</v>
      </c>
      <c r="C184" s="4" t="s">
        <v>5233</v>
      </c>
      <c r="D184" t="s">
        <v>77</v>
      </c>
      <c r="F184" t="s">
        <v>13</v>
      </c>
      <c r="G184" s="3">
        <v>8099042152</v>
      </c>
      <c r="H184" s="2">
        <v>46119</v>
      </c>
      <c r="I184" t="s">
        <v>1397</v>
      </c>
      <c r="K184" s="1">
        <f ca="1">IF(A184="","",IF(OR(L184="ENTREGADA",L184="RETORNADA",L184="ENTREGA DIGITAL"),0,MAX(0,5-NETWORKDAYS(H184+1,TODAY()))))</f>
        <v>0</v>
      </c>
      <c r="L184" t="str">
        <f>IF(A184="","",IFERROR(LOOKUP(2,1/(#REF!=Z184),#REF!),Y184))</f>
        <v>ENTREGADA</v>
      </c>
      <c r="Y184" t="s">
        <v>1956</v>
      </c>
      <c r="Z184" t="str">
        <f>IF(A184="","",TEXT(A184,"0")&amp;"|"&amp;TEXT(H184,"0"))</f>
        <v>4921017766540740|46119</v>
      </c>
      <c r="AA184" t="str">
        <f>IF(Z184="","",IFERROR(LOOKUP(2,1/(#REF!=Z184),#REF!),""))</f>
        <v/>
      </c>
      <c r="AB184" t="str">
        <f>IF(Z184="","",IFERROR(LOOKUP(2,1/(#REF!=Z184),#REF!),""))</f>
        <v/>
      </c>
      <c r="AC184" t="e">
        <f>IF(Z184="","",COUNTIF(#REF!,Z184))</f>
        <v>#REF!</v>
      </c>
      <c r="AD184" t="e">
        <f>IF(A184="","",IF(AC184&gt;1,"REVISAR DUPLICADO",IF(AA184&lt;&gt;"","ACTUALIZADO POR EYR","SIN REPORTE EYR")))</f>
        <v>#REF!</v>
      </c>
    </row>
    <row r="185" spans="1:30" x14ac:dyDescent="0.3">
      <c r="A185" s="5" t="s">
        <v>5232</v>
      </c>
      <c r="B185" t="s">
        <v>5231</v>
      </c>
      <c r="C185" s="4" t="s">
        <v>5230</v>
      </c>
      <c r="D185" t="s">
        <v>77</v>
      </c>
      <c r="F185" t="s">
        <v>5229</v>
      </c>
      <c r="G185" s="3">
        <v>8495139027</v>
      </c>
      <c r="H185" s="2">
        <v>46119</v>
      </c>
      <c r="K185" s="1">
        <f ca="1">IF(A185="","",IF(OR(L185="ENTREGADA",L185="RETORNADA",L185="ENTREGA DIGITAL"),0,MAX(0,5-NETWORKDAYS(H185+1,TODAY()))))</f>
        <v>0</v>
      </c>
      <c r="L185" t="str">
        <f>IF(A185="","",IFERROR(LOOKUP(2,1/(#REF!=Z185),#REF!),Y185))</f>
        <v>ENTREGADA</v>
      </c>
      <c r="Y185" t="s">
        <v>1956</v>
      </c>
      <c r="Z185" t="str">
        <f>IF(A185="","",TEXT(A185,"0")&amp;"|"&amp;TEXT(H185,"0"))</f>
        <v>5549017765301190|46119</v>
      </c>
      <c r="AA185" t="str">
        <f>IF(Z185="","",IFERROR(LOOKUP(2,1/(#REF!=Z185),#REF!),""))</f>
        <v/>
      </c>
      <c r="AB185" t="str">
        <f>IF(Z185="","",IFERROR(LOOKUP(2,1/(#REF!=Z185),#REF!),""))</f>
        <v/>
      </c>
      <c r="AC185" t="e">
        <f>IF(Z185="","",COUNTIF(#REF!,Z185))</f>
        <v>#REF!</v>
      </c>
      <c r="AD185" t="e">
        <f>IF(A185="","",IF(AC185&gt;1,"REVISAR DUPLICADO",IF(AA185&lt;&gt;"","ACTUALIZADO POR EYR","SIN REPORTE EYR")))</f>
        <v>#REF!</v>
      </c>
    </row>
    <row r="186" spans="1:30" x14ac:dyDescent="0.3">
      <c r="A186" s="5" t="s">
        <v>5228</v>
      </c>
      <c r="B186" t="s">
        <v>5227</v>
      </c>
      <c r="C186" s="4" t="s">
        <v>5226</v>
      </c>
      <c r="D186" t="s">
        <v>77</v>
      </c>
      <c r="F186" t="s">
        <v>5225</v>
      </c>
      <c r="G186" s="3">
        <v>8096777911</v>
      </c>
      <c r="H186" s="2">
        <v>46119</v>
      </c>
      <c r="K186" s="1">
        <f ca="1">IF(A186="","",IF(OR(L186="ENTREGADA",L186="RETORNADA",L186="ENTREGA DIGITAL"),0,MAX(0,5-NETWORKDAYS(H186+1,TODAY()))))</f>
        <v>0</v>
      </c>
      <c r="L186" t="str">
        <f>IF(A186="","",IFERROR(LOOKUP(2,1/(#REF!=Z186),#REF!),Y186))</f>
        <v>ENTREGADA</v>
      </c>
      <c r="Y186" t="s">
        <v>1956</v>
      </c>
      <c r="Z186" t="str">
        <f>IF(A186="","",TEXT(A186,"0")&amp;"|"&amp;TEXT(H186,"0"))</f>
        <v>4025017762704540|46119</v>
      </c>
      <c r="AA186" t="str">
        <f>IF(Z186="","",IFERROR(LOOKUP(2,1/(#REF!=Z186),#REF!),""))</f>
        <v/>
      </c>
      <c r="AB186" t="str">
        <f>IF(Z186="","",IFERROR(LOOKUP(2,1/(#REF!=Z186),#REF!),""))</f>
        <v/>
      </c>
      <c r="AC186" t="e">
        <f>IF(Z186="","",COUNTIF(#REF!,Z186))</f>
        <v>#REF!</v>
      </c>
      <c r="AD186" t="e">
        <f>IF(A186="","",IF(AC186&gt;1,"REVISAR DUPLICADO",IF(AA186&lt;&gt;"","ACTUALIZADO POR EYR","SIN REPORTE EYR")))</f>
        <v>#REF!</v>
      </c>
    </row>
    <row r="187" spans="1:30" x14ac:dyDescent="0.3">
      <c r="A187" s="5" t="s">
        <v>5224</v>
      </c>
      <c r="B187" t="s">
        <v>5222</v>
      </c>
      <c r="C187" s="4" t="s">
        <v>5221</v>
      </c>
      <c r="D187" t="s">
        <v>77</v>
      </c>
      <c r="F187" t="s">
        <v>861</v>
      </c>
      <c r="G187" s="3">
        <v>8295848414</v>
      </c>
      <c r="H187" s="2">
        <v>46119</v>
      </c>
      <c r="K187" s="1">
        <f ca="1">IF(A187="","",IF(OR(L187="ENTREGADA",L187="RETORNADA",L187="ENTREGA DIGITAL"),0,MAX(0,5-NETWORKDAYS(H187+1,TODAY()))))</f>
        <v>0</v>
      </c>
      <c r="L187" t="str">
        <f>IF(A187="","",IFERROR(LOOKUP(2,1/(#REF!=Z187),#REF!),Y187))</f>
        <v>RETORNADA</v>
      </c>
      <c r="Y187" t="s">
        <v>1857</v>
      </c>
      <c r="Z187" t="str">
        <f>IF(A187="","",TEXT(A187,"0")&amp;"|"&amp;TEXT(H187,"0"))</f>
        <v>5415017764849090|46119</v>
      </c>
      <c r="AA187" t="str">
        <f>IF(Z187="","",IFERROR(LOOKUP(2,1/(#REF!=Z187),#REF!),""))</f>
        <v/>
      </c>
      <c r="AB187" t="str">
        <f>IF(Z187="","",IFERROR(LOOKUP(2,1/(#REF!=Z187),#REF!),""))</f>
        <v/>
      </c>
      <c r="AC187" t="e">
        <f>IF(Z187="","",COUNTIF(#REF!,Z187))</f>
        <v>#REF!</v>
      </c>
      <c r="AD187" t="e">
        <f>IF(A187="","",IF(AC187&gt;1,"REVISAR DUPLICADO",IF(AA187&lt;&gt;"","ACTUALIZADO POR EYR","SIN REPORTE EYR")))</f>
        <v>#REF!</v>
      </c>
    </row>
    <row r="188" spans="1:30" x14ac:dyDescent="0.3">
      <c r="A188" s="5" t="s">
        <v>5223</v>
      </c>
      <c r="B188" t="s">
        <v>5222</v>
      </c>
      <c r="C188" s="4" t="s">
        <v>5221</v>
      </c>
      <c r="D188" t="s">
        <v>77</v>
      </c>
      <c r="F188" t="s">
        <v>861</v>
      </c>
      <c r="G188" s="3">
        <v>8295848414</v>
      </c>
      <c r="H188" s="2">
        <v>46119</v>
      </c>
      <c r="J188" t="s">
        <v>1399</v>
      </c>
      <c r="K188" s="1">
        <f ca="1">IF(A188="","",IF(OR(L188="ENTREGADA",L188="RETORNADA",L188="ENTREGA DIGITAL"),0,MAX(0,5-NETWORKDAYS(H188+1,TODAY()))))</f>
        <v>0</v>
      </c>
      <c r="L188" t="str">
        <f>IF(A188="","",IFERROR(LOOKUP(2,1/(#REF!=Z188),#REF!),Y188))</f>
        <v>RETORNADA</v>
      </c>
      <c r="Y188" t="s">
        <v>1857</v>
      </c>
      <c r="Z188" t="str">
        <f>IF(A188="","",TEXT(A188,"0")&amp;"|"&amp;TEXT(H188,"0"))</f>
        <v>4921017765945900|46119</v>
      </c>
      <c r="AA188" t="str">
        <f>IF(Z188="","",IFERROR(LOOKUP(2,1/(#REF!=Z188),#REF!),""))</f>
        <v/>
      </c>
      <c r="AB188" t="str">
        <f>IF(Z188="","",IFERROR(LOOKUP(2,1/(#REF!=Z188),#REF!),""))</f>
        <v/>
      </c>
      <c r="AC188" t="e">
        <f>IF(Z188="","",COUNTIF(#REF!,Z188))</f>
        <v>#REF!</v>
      </c>
      <c r="AD188" t="e">
        <f>IF(A188="","",IF(AC188&gt;1,"REVISAR DUPLICADO",IF(AA188&lt;&gt;"","ACTUALIZADO POR EYR","SIN REPORTE EYR")))</f>
        <v>#REF!</v>
      </c>
    </row>
    <row r="189" spans="1:30" x14ac:dyDescent="0.3">
      <c r="A189" s="5" t="s">
        <v>5220</v>
      </c>
      <c r="B189" t="s">
        <v>5219</v>
      </c>
      <c r="C189" s="4" t="s">
        <v>5218</v>
      </c>
      <c r="D189" t="s">
        <v>77</v>
      </c>
      <c r="F189" t="s">
        <v>13</v>
      </c>
      <c r="G189" s="3">
        <v>8095541941</v>
      </c>
      <c r="H189" s="2">
        <v>46119</v>
      </c>
      <c r="K189" s="1">
        <f ca="1">IF(A189="","",IF(OR(L189="ENTREGADA",L189="RETORNADA",L189="ENTREGA DIGITAL"),0,MAX(0,5-NETWORKDAYS(H189+1,TODAY()))))</f>
        <v>0</v>
      </c>
      <c r="L189" t="str">
        <f>IF(A189="","",IFERROR(LOOKUP(2,1/(#REF!=Z189),#REF!),Y189))</f>
        <v>ENTREGADA</v>
      </c>
      <c r="Y189" t="s">
        <v>1956</v>
      </c>
      <c r="Z189" t="str">
        <f>IF(A189="","",TEXT(A189,"0")&amp;"|"&amp;TEXT(H189,"0"))</f>
        <v>5415017765055180|46119</v>
      </c>
      <c r="AA189" t="str">
        <f>IF(Z189="","",IFERROR(LOOKUP(2,1/(#REF!=Z189),#REF!),""))</f>
        <v/>
      </c>
      <c r="AB189" t="str">
        <f>IF(Z189="","",IFERROR(LOOKUP(2,1/(#REF!=Z189),#REF!),""))</f>
        <v/>
      </c>
      <c r="AC189" t="e">
        <f>IF(Z189="","",COUNTIF(#REF!,Z189))</f>
        <v>#REF!</v>
      </c>
      <c r="AD189" t="e">
        <f>IF(A189="","",IF(AC189&gt;1,"REVISAR DUPLICADO",IF(AA189&lt;&gt;"","ACTUALIZADO POR EYR","SIN REPORTE EYR")))</f>
        <v>#REF!</v>
      </c>
    </row>
    <row r="190" spans="1:30" x14ac:dyDescent="0.3">
      <c r="A190" s="5" t="s">
        <v>5217</v>
      </c>
      <c r="B190" t="s">
        <v>5216</v>
      </c>
      <c r="C190" s="4" t="s">
        <v>5215</v>
      </c>
      <c r="D190" t="s">
        <v>77</v>
      </c>
      <c r="F190" t="s">
        <v>13</v>
      </c>
      <c r="G190" s="3">
        <v>8098970630</v>
      </c>
      <c r="H190" s="2">
        <v>46119</v>
      </c>
      <c r="I190" t="s">
        <v>1397</v>
      </c>
      <c r="K190" s="1">
        <f ca="1">IF(A190="","",IF(OR(L190="ENTREGADA",L190="RETORNADA",L190="ENTREGA DIGITAL"),0,MAX(0,5-NETWORKDAYS(H190+1,TODAY()))))</f>
        <v>0</v>
      </c>
      <c r="L190" t="str">
        <f>IF(A190="","",IFERROR(LOOKUP(2,1/(#REF!=Z190),#REF!),Y190))</f>
        <v>ENTREGADA</v>
      </c>
      <c r="Y190" t="s">
        <v>1956</v>
      </c>
      <c r="Z190" t="str">
        <f>IF(A190="","",TEXT(A190,"0")&amp;"|"&amp;TEXT(H190,"0"))</f>
        <v>4921017765834360|46119</v>
      </c>
      <c r="AA190" t="str">
        <f>IF(Z190="","",IFERROR(LOOKUP(2,1/(#REF!=Z190),#REF!),""))</f>
        <v/>
      </c>
      <c r="AB190" t="str">
        <f>IF(Z190="","",IFERROR(LOOKUP(2,1/(#REF!=Z190),#REF!),""))</f>
        <v/>
      </c>
      <c r="AC190" t="e">
        <f>IF(Z190="","",COUNTIF(#REF!,Z190))</f>
        <v>#REF!</v>
      </c>
      <c r="AD190" t="e">
        <f>IF(A190="","",IF(AC190&gt;1,"REVISAR DUPLICADO",IF(AA190&lt;&gt;"","ACTUALIZADO POR EYR","SIN REPORTE EYR")))</f>
        <v>#REF!</v>
      </c>
    </row>
    <row r="191" spans="1:30" x14ac:dyDescent="0.3">
      <c r="A191" s="5" t="s">
        <v>5214</v>
      </c>
      <c r="B191" t="s">
        <v>5213</v>
      </c>
      <c r="C191" s="4" t="s">
        <v>5212</v>
      </c>
      <c r="D191" t="s">
        <v>77</v>
      </c>
      <c r="F191" t="s">
        <v>750</v>
      </c>
      <c r="G191" s="3">
        <v>8293633871</v>
      </c>
      <c r="H191" s="2">
        <v>46119</v>
      </c>
      <c r="K191" s="1">
        <f ca="1">IF(A191="","",IF(OR(L191="ENTREGADA",L191="RETORNADA",L191="ENTREGA DIGITAL"),0,MAX(0,5-NETWORKDAYS(H191+1,TODAY()))))</f>
        <v>0</v>
      </c>
      <c r="L191" t="str">
        <f>IF(A191="","",IFERROR(LOOKUP(2,1/(#REF!=Z191),#REF!),Y191))</f>
        <v>ENTREGADA</v>
      </c>
      <c r="Y191" t="s">
        <v>1956</v>
      </c>
      <c r="Z191" t="str">
        <f>IF(A191="","",TEXT(A191,"0")&amp;"|"&amp;TEXT(H191,"0"))</f>
        <v>4025017679123040|46119</v>
      </c>
      <c r="AA191" t="str">
        <f>IF(Z191="","",IFERROR(LOOKUP(2,1/(#REF!=Z191),#REF!),""))</f>
        <v/>
      </c>
      <c r="AB191" t="str">
        <f>IF(Z191="","",IFERROR(LOOKUP(2,1/(#REF!=Z191),#REF!),""))</f>
        <v/>
      </c>
      <c r="AC191" t="e">
        <f>IF(Z191="","",COUNTIF(#REF!,Z191))</f>
        <v>#REF!</v>
      </c>
      <c r="AD191" t="e">
        <f>IF(A191="","",IF(AC191&gt;1,"REVISAR DUPLICADO",IF(AA191&lt;&gt;"","ACTUALIZADO POR EYR","SIN REPORTE EYR")))</f>
        <v>#REF!</v>
      </c>
    </row>
    <row r="192" spans="1:30" x14ac:dyDescent="0.3">
      <c r="A192" s="5" t="s">
        <v>5211</v>
      </c>
      <c r="B192" t="s">
        <v>5210</v>
      </c>
      <c r="C192" s="4" t="s">
        <v>5209</v>
      </c>
      <c r="D192" t="s">
        <v>77</v>
      </c>
      <c r="F192" t="s">
        <v>742</v>
      </c>
      <c r="G192" s="3">
        <v>8094395076</v>
      </c>
      <c r="H192" s="2">
        <v>46119</v>
      </c>
      <c r="K192" s="1">
        <f ca="1">IF(A192="","",IF(OR(L192="ENTREGADA",L192="RETORNADA",L192="ENTREGA DIGITAL"),0,MAX(0,5-NETWORKDAYS(H192+1,TODAY()))))</f>
        <v>0</v>
      </c>
      <c r="L192" t="str">
        <f>IF(A192="","",IFERROR(LOOKUP(2,1/(#REF!=Z192),#REF!),Y192))</f>
        <v>ENTREGADA</v>
      </c>
      <c r="Y192" t="s">
        <v>1956</v>
      </c>
      <c r="Z192" t="str">
        <f>IF(A192="","",TEXT(A192,"0")&amp;"|"&amp;TEXT(H192,"0"))</f>
        <v>4966017668554770|46119</v>
      </c>
      <c r="AA192" t="str">
        <f>IF(Z192="","",IFERROR(LOOKUP(2,1/(#REF!=Z192),#REF!),""))</f>
        <v/>
      </c>
      <c r="AB192" t="str">
        <f>IF(Z192="","",IFERROR(LOOKUP(2,1/(#REF!=Z192),#REF!),""))</f>
        <v/>
      </c>
      <c r="AC192" t="e">
        <f>IF(Z192="","",COUNTIF(#REF!,Z192))</f>
        <v>#REF!</v>
      </c>
      <c r="AD192" t="e">
        <f>IF(A192="","",IF(AC192&gt;1,"REVISAR DUPLICADO",IF(AA192&lt;&gt;"","ACTUALIZADO POR EYR","SIN REPORTE EYR")))</f>
        <v>#REF!</v>
      </c>
    </row>
    <row r="193" spans="1:30" x14ac:dyDescent="0.3">
      <c r="A193" s="5" t="s">
        <v>5208</v>
      </c>
      <c r="B193" t="s">
        <v>5207</v>
      </c>
      <c r="C193" s="4" t="s">
        <v>5206</v>
      </c>
      <c r="D193" t="s">
        <v>77</v>
      </c>
      <c r="F193" t="s">
        <v>0</v>
      </c>
      <c r="G193" s="3">
        <v>8093936018</v>
      </c>
      <c r="H193" s="2">
        <v>46119</v>
      </c>
      <c r="K193" s="1">
        <f ca="1">IF(A193="","",IF(OR(L193="ENTREGADA",L193="RETORNADA",L193="ENTREGA DIGITAL"),0,MAX(0,5-NETWORKDAYS(H193+1,TODAY()))))</f>
        <v>0</v>
      </c>
      <c r="L193" t="str">
        <f>IF(A193="","",IFERROR(LOOKUP(2,1/(#REF!=Z193),#REF!),Y193))</f>
        <v>ENTREGADA</v>
      </c>
      <c r="Y193" t="s">
        <v>1956</v>
      </c>
      <c r="Z193" t="str">
        <f>IF(A193="","",TEXT(A193,"0")&amp;"|"&amp;TEXT(H193,"0"))</f>
        <v>4025017683259930|46119</v>
      </c>
      <c r="AA193" t="str">
        <f>IF(Z193="","",IFERROR(LOOKUP(2,1/(#REF!=Z193),#REF!),""))</f>
        <v/>
      </c>
      <c r="AB193" t="str">
        <f>IF(Z193="","",IFERROR(LOOKUP(2,1/(#REF!=Z193),#REF!),""))</f>
        <v/>
      </c>
      <c r="AC193" t="e">
        <f>IF(Z193="","",COUNTIF(#REF!,Z193))</f>
        <v>#REF!</v>
      </c>
      <c r="AD193" t="e">
        <f>IF(A193="","",IF(AC193&gt;1,"REVISAR DUPLICADO",IF(AA193&lt;&gt;"","ACTUALIZADO POR EYR","SIN REPORTE EYR")))</f>
        <v>#REF!</v>
      </c>
    </row>
    <row r="194" spans="1:30" x14ac:dyDescent="0.3">
      <c r="A194" s="5" t="s">
        <v>5205</v>
      </c>
      <c r="B194" t="s">
        <v>5204</v>
      </c>
      <c r="C194" s="4" t="s">
        <v>5203</v>
      </c>
      <c r="D194" t="s">
        <v>77</v>
      </c>
      <c r="F194" t="s">
        <v>13</v>
      </c>
      <c r="G194" s="3">
        <v>8298587288</v>
      </c>
      <c r="H194" s="2">
        <v>46119</v>
      </c>
      <c r="K194" s="1">
        <f ca="1">IF(A194="","",IF(OR(L194="ENTREGADA",L194="RETORNADA",L194="ENTREGA DIGITAL"),0,MAX(0,5-NETWORKDAYS(H194+1,TODAY()))))</f>
        <v>0</v>
      </c>
      <c r="L194" t="str">
        <f>IF(A194="","",IFERROR(LOOKUP(2,1/(#REF!=Z194),#REF!),Y194))</f>
        <v>ENTREGADA</v>
      </c>
      <c r="Y194" t="s">
        <v>1956</v>
      </c>
      <c r="Z194" t="str">
        <f>IF(A194="","",TEXT(A194,"0")&amp;"|"&amp;TEXT(H194,"0"))</f>
        <v>4921017763117980|46119</v>
      </c>
      <c r="AA194" t="str">
        <f>IF(Z194="","",IFERROR(LOOKUP(2,1/(#REF!=Z194),#REF!),""))</f>
        <v/>
      </c>
      <c r="AB194" t="str">
        <f>IF(Z194="","",IFERROR(LOOKUP(2,1/(#REF!=Z194),#REF!),""))</f>
        <v/>
      </c>
      <c r="AC194" t="e">
        <f>IF(Z194="","",COUNTIF(#REF!,Z194))</f>
        <v>#REF!</v>
      </c>
      <c r="AD194" t="e">
        <f>IF(A194="","",IF(AC194&gt;1,"REVISAR DUPLICADO",IF(AA194&lt;&gt;"","ACTUALIZADO POR EYR","SIN REPORTE EYR")))</f>
        <v>#REF!</v>
      </c>
    </row>
    <row r="195" spans="1:30" x14ac:dyDescent="0.3">
      <c r="A195" s="5" t="s">
        <v>5202</v>
      </c>
      <c r="B195" t="s">
        <v>5201</v>
      </c>
      <c r="C195" s="4" t="s">
        <v>5200</v>
      </c>
      <c r="D195" t="s">
        <v>77</v>
      </c>
      <c r="F195" t="s">
        <v>13</v>
      </c>
      <c r="G195" s="3">
        <v>8299783095</v>
      </c>
      <c r="H195" s="2">
        <v>46119</v>
      </c>
      <c r="I195" t="s">
        <v>1397</v>
      </c>
      <c r="K195" s="1">
        <f ca="1">IF(A195="","",IF(OR(L195="ENTREGADA",L195="RETORNADA",L195="ENTREGA DIGITAL"),0,MAX(0,5-NETWORKDAYS(H195+1,TODAY()))))</f>
        <v>0</v>
      </c>
      <c r="L195" t="str">
        <f>IF(A195="","",IFERROR(LOOKUP(2,1/(#REF!=Z195),#REF!),Y195))</f>
        <v>ENTREGADA</v>
      </c>
      <c r="Y195" t="s">
        <v>1956</v>
      </c>
      <c r="Z195" t="str">
        <f>IF(A195="","",TEXT(A195,"0")&amp;"|"&amp;TEXT(H195,"0"))</f>
        <v>5400017764219500|46119</v>
      </c>
      <c r="AA195" t="str">
        <f>IF(Z195="","",IFERROR(LOOKUP(2,1/(#REF!=Z195),#REF!),""))</f>
        <v/>
      </c>
      <c r="AB195" t="str">
        <f>IF(Z195="","",IFERROR(LOOKUP(2,1/(#REF!=Z195),#REF!),""))</f>
        <v/>
      </c>
      <c r="AC195" t="e">
        <f>IF(Z195="","",COUNTIF(#REF!,Z195))</f>
        <v>#REF!</v>
      </c>
      <c r="AD195" t="e">
        <f>IF(A195="","",IF(AC195&gt;1,"REVISAR DUPLICADO",IF(AA195&lt;&gt;"","ACTUALIZADO POR EYR","SIN REPORTE EYR")))</f>
        <v>#REF!</v>
      </c>
    </row>
    <row r="196" spans="1:30" x14ac:dyDescent="0.3">
      <c r="A196" s="5" t="s">
        <v>5199</v>
      </c>
      <c r="B196" t="s">
        <v>5198</v>
      </c>
      <c r="C196" s="4" t="s">
        <v>5197</v>
      </c>
      <c r="D196" t="s">
        <v>21</v>
      </c>
      <c r="F196" t="s">
        <v>13</v>
      </c>
      <c r="G196" s="3">
        <v>8094152537</v>
      </c>
      <c r="H196" s="2">
        <v>46119</v>
      </c>
      <c r="K196" s="1">
        <f ca="1">IF(A196="","",IF(OR(L196="ENTREGADA",L196="RETORNADA",L196="ENTREGA DIGITAL"),0,MAX(0,5-NETWORKDAYS(H196+1,TODAY()))))</f>
        <v>0</v>
      </c>
      <c r="L196" t="str">
        <f>IF(A196="","",IFERROR(LOOKUP(2,1/(#REF!=Z196),#REF!),Y196))</f>
        <v>ENTREGADA</v>
      </c>
      <c r="Y196" t="s">
        <v>1956</v>
      </c>
      <c r="Z196" t="str">
        <f>IF(A196="","",TEXT(A196,"0")&amp;"|"&amp;TEXT(H196,"0"))</f>
        <v>4741017767820130|46119</v>
      </c>
      <c r="AA196" t="str">
        <f>IF(Z196="","",IFERROR(LOOKUP(2,1/(#REF!=Z196),#REF!),""))</f>
        <v/>
      </c>
      <c r="AB196" t="str">
        <f>IF(Z196="","",IFERROR(LOOKUP(2,1/(#REF!=Z196),#REF!),""))</f>
        <v/>
      </c>
      <c r="AC196" t="e">
        <f>IF(Z196="","",COUNTIF(#REF!,Z196))</f>
        <v>#REF!</v>
      </c>
      <c r="AD196" t="e">
        <f>IF(A196="","",IF(AC196&gt;1,"REVISAR DUPLICADO",IF(AA196&lt;&gt;"","ACTUALIZADO POR EYR","SIN REPORTE EYR")))</f>
        <v>#REF!</v>
      </c>
    </row>
    <row r="197" spans="1:30" x14ac:dyDescent="0.3">
      <c r="A197" s="9" t="s">
        <v>5196</v>
      </c>
      <c r="B197" t="s">
        <v>5195</v>
      </c>
      <c r="C197" s="4" t="s">
        <v>5194</v>
      </c>
      <c r="D197" t="s">
        <v>21</v>
      </c>
      <c r="F197" t="s">
        <v>13</v>
      </c>
      <c r="G197" s="3">
        <v>8094786805</v>
      </c>
      <c r="H197" s="2">
        <v>46119</v>
      </c>
      <c r="K197" s="1">
        <f ca="1">IF(A197="","",IF(OR(L197="ENTREGADA",L197="RETORNADA",L197="ENTREGA DIGITAL"),0,MAX(0,5-NETWORKDAYS(H197+1,TODAY()))))</f>
        <v>0</v>
      </c>
      <c r="L197" t="str">
        <f>IF(A197="","",IFERROR(LOOKUP(2,1/(#REF!=Z197),#REF!),Y197))</f>
        <v>RETORNADA</v>
      </c>
      <c r="Y197" t="s">
        <v>1857</v>
      </c>
      <c r="Z197" t="str">
        <f>IF(A197="","",TEXT(A197,"0")&amp;"|"&amp;TEXT(H197,"0"))</f>
        <v>5188017765552750|46119</v>
      </c>
      <c r="AA197" t="str">
        <f>IF(Z197="","",IFERROR(LOOKUP(2,1/(#REF!=Z197),#REF!),""))</f>
        <v/>
      </c>
      <c r="AB197" t="str">
        <f>IF(Z197="","",IFERROR(LOOKUP(2,1/(#REF!=Z197),#REF!),""))</f>
        <v/>
      </c>
      <c r="AC197" t="e">
        <f>IF(Z197="","",COUNTIF(#REF!,Z197))</f>
        <v>#REF!</v>
      </c>
      <c r="AD197" t="e">
        <f>IF(A197="","",IF(AC197&gt;1,"REVISAR DUPLICADO",IF(AA197&lt;&gt;"","ACTUALIZADO POR EYR","SIN REPORTE EYR")))</f>
        <v>#REF!</v>
      </c>
    </row>
    <row r="198" spans="1:30" x14ac:dyDescent="0.3">
      <c r="A198" t="s">
        <v>5193</v>
      </c>
      <c r="B198" t="s">
        <v>5192</v>
      </c>
      <c r="C198" s="4" t="s">
        <v>5191</v>
      </c>
      <c r="D198" t="s">
        <v>21</v>
      </c>
      <c r="F198" t="s">
        <v>1002</v>
      </c>
      <c r="G198" s="3">
        <v>8492471068</v>
      </c>
      <c r="H198" s="2">
        <v>46119</v>
      </c>
      <c r="K198" s="1">
        <f ca="1">IF(A198="","",IF(OR(L198="ENTREGADA",L198="RETORNADA",L198="ENTREGA DIGITAL"),0,MAX(0,5-NETWORKDAYS(H198+1,TODAY()))))</f>
        <v>0</v>
      </c>
      <c r="L198" t="str">
        <f>IF(A198="","",IFERROR(LOOKUP(2,1/(#REF!=Z198),#REF!),Y198))</f>
        <v>RETORNADA</v>
      </c>
      <c r="Y198" t="s">
        <v>1857</v>
      </c>
      <c r="Z198" t="str">
        <f>IF(A198="","",TEXT(A198,"0")&amp;"|"&amp;TEXT(H198,"0"))</f>
        <v>4025017767424760|46119</v>
      </c>
      <c r="AA198" t="str">
        <f>IF(Z198="","",IFERROR(LOOKUP(2,1/(#REF!=Z198),#REF!),""))</f>
        <v/>
      </c>
      <c r="AB198" t="str">
        <f>IF(Z198="","",IFERROR(LOOKUP(2,1/(#REF!=Z198),#REF!),""))</f>
        <v/>
      </c>
      <c r="AC198" t="e">
        <f>IF(Z198="","",COUNTIF(#REF!,Z198))</f>
        <v>#REF!</v>
      </c>
      <c r="AD198" t="e">
        <f>IF(A198="","",IF(AC198&gt;1,"REVISAR DUPLICADO",IF(AA198&lt;&gt;"","ACTUALIZADO POR EYR","SIN REPORTE EYR")))</f>
        <v>#REF!</v>
      </c>
    </row>
    <row r="199" spans="1:30" x14ac:dyDescent="0.3">
      <c r="A199" s="5" t="s">
        <v>5190</v>
      </c>
      <c r="B199" t="s">
        <v>5189</v>
      </c>
      <c r="C199" s="4" t="s">
        <v>5188</v>
      </c>
      <c r="D199" t="s">
        <v>21</v>
      </c>
      <c r="F199" t="s">
        <v>0</v>
      </c>
      <c r="G199" s="3">
        <v>8298071548</v>
      </c>
      <c r="H199" s="2">
        <v>46119</v>
      </c>
      <c r="K199" s="1">
        <f ca="1">IF(A199="","",IF(OR(L199="ENTREGADA",L199="RETORNADA",L199="ENTREGA DIGITAL"),0,MAX(0,5-NETWORKDAYS(H199+1,TODAY()))))</f>
        <v>0</v>
      </c>
      <c r="L199" t="str">
        <f>IF(A199="","",IFERROR(LOOKUP(2,1/(#REF!=Z199),#REF!),Y199))</f>
        <v>ENTREGADA</v>
      </c>
      <c r="Y199" t="s">
        <v>1956</v>
      </c>
      <c r="Z199" t="str">
        <f>IF(A199="","",TEXT(A199,"0")&amp;"|"&amp;TEXT(H199,"0"))</f>
        <v>4921017765791450|46119</v>
      </c>
      <c r="AA199" t="str">
        <f>IF(Z199="","",IFERROR(LOOKUP(2,1/(#REF!=Z199),#REF!),""))</f>
        <v/>
      </c>
      <c r="AB199" t="str">
        <f>IF(Z199="","",IFERROR(LOOKUP(2,1/(#REF!=Z199),#REF!),""))</f>
        <v/>
      </c>
      <c r="AC199" t="e">
        <f>IF(Z199="","",COUNTIF(#REF!,Z199))</f>
        <v>#REF!</v>
      </c>
      <c r="AD199" t="e">
        <f>IF(A199="","",IF(AC199&gt;1,"REVISAR DUPLICADO",IF(AA199&lt;&gt;"","ACTUALIZADO POR EYR","SIN REPORTE EYR")))</f>
        <v>#REF!</v>
      </c>
    </row>
    <row r="200" spans="1:30" x14ac:dyDescent="0.3">
      <c r="A200" s="5" t="s">
        <v>5187</v>
      </c>
      <c r="B200" t="s">
        <v>5186</v>
      </c>
      <c r="C200" s="4" t="s">
        <v>5185</v>
      </c>
      <c r="D200" t="s">
        <v>21</v>
      </c>
      <c r="F200" t="s">
        <v>13</v>
      </c>
      <c r="G200" s="3">
        <v>8295858117</v>
      </c>
      <c r="H200" s="2">
        <v>46119</v>
      </c>
      <c r="K200" s="1">
        <f ca="1">IF(A200="","",IF(OR(L200="ENTREGADA",L200="RETORNADA",L200="ENTREGA DIGITAL"),0,MAX(0,5-NETWORKDAYS(H200+1,TODAY()))))</f>
        <v>0</v>
      </c>
      <c r="L200" t="str">
        <f>IF(A200="","",IFERROR(LOOKUP(2,1/(#REF!=Z200),#REF!),Y200))</f>
        <v>ENTREGADA</v>
      </c>
      <c r="Y200" t="s">
        <v>1956</v>
      </c>
      <c r="Z200" t="str">
        <f>IF(A200="","",TEXT(A200,"0")&amp;"|"&amp;TEXT(H200,"0"))</f>
        <v>4921017760423320|46119</v>
      </c>
      <c r="AA200" t="str">
        <f>IF(Z200="","",IFERROR(LOOKUP(2,1/(#REF!=Z200),#REF!),""))</f>
        <v/>
      </c>
      <c r="AB200" t="str">
        <f>IF(Z200="","",IFERROR(LOOKUP(2,1/(#REF!=Z200),#REF!),""))</f>
        <v/>
      </c>
      <c r="AC200" t="e">
        <f>IF(Z200="","",COUNTIF(#REF!,Z200))</f>
        <v>#REF!</v>
      </c>
      <c r="AD200" t="e">
        <f>IF(A200="","",IF(AC200&gt;1,"REVISAR DUPLICADO",IF(AA200&lt;&gt;"","ACTUALIZADO POR EYR","SIN REPORTE EYR")))</f>
        <v>#REF!</v>
      </c>
    </row>
    <row r="201" spans="1:30" x14ac:dyDescent="0.3">
      <c r="A201" s="5" t="s">
        <v>5184</v>
      </c>
      <c r="B201" t="s">
        <v>5183</v>
      </c>
      <c r="C201" s="4" t="s">
        <v>5182</v>
      </c>
      <c r="D201" t="s">
        <v>21</v>
      </c>
      <c r="F201" t="s">
        <v>13</v>
      </c>
      <c r="G201" s="3">
        <v>8296803437</v>
      </c>
      <c r="H201" s="2">
        <v>46119</v>
      </c>
      <c r="K201" s="1">
        <f ca="1">IF(A201="","",IF(OR(L201="ENTREGADA",L201="RETORNADA",L201="ENTREGA DIGITAL"),0,MAX(0,5-NETWORKDAYS(H201+1,TODAY()))))</f>
        <v>0</v>
      </c>
      <c r="L201" t="str">
        <f>IF(A201="","",IFERROR(LOOKUP(2,1/(#REF!=Z201),#REF!),Y201))</f>
        <v>ENTREGA DIGITAL</v>
      </c>
      <c r="Y201" t="s">
        <v>1396</v>
      </c>
      <c r="Z201" t="str">
        <f>IF(A201="","",TEXT(A201,"0")&amp;"|"&amp;TEXT(H201,"0"))</f>
        <v>4025017761260020|46119</v>
      </c>
      <c r="AA201" t="str">
        <f>IF(Z201="","",IFERROR(LOOKUP(2,1/(#REF!=Z201),#REF!),""))</f>
        <v/>
      </c>
      <c r="AB201" t="str">
        <f>IF(Z201="","",IFERROR(LOOKUP(2,1/(#REF!=Z201),#REF!),""))</f>
        <v/>
      </c>
      <c r="AC201" t="e">
        <f>IF(Z201="","",COUNTIF(#REF!,Z201))</f>
        <v>#REF!</v>
      </c>
      <c r="AD201" t="e">
        <f>IF(A201="","",IF(AC201&gt;1,"REVISAR DUPLICADO",IF(AA201&lt;&gt;"","ACTUALIZADO POR EYR","SIN REPORTE EYR")))</f>
        <v>#REF!</v>
      </c>
    </row>
    <row r="202" spans="1:30" x14ac:dyDescent="0.3">
      <c r="A202" s="5" t="s">
        <v>5181</v>
      </c>
      <c r="B202" t="s">
        <v>5180</v>
      </c>
      <c r="C202" s="4" t="s">
        <v>5179</v>
      </c>
      <c r="D202" t="s">
        <v>21</v>
      </c>
      <c r="F202" t="s">
        <v>5178</v>
      </c>
      <c r="G202" s="3">
        <v>8294981222</v>
      </c>
      <c r="H202" s="2">
        <v>46119</v>
      </c>
      <c r="I202" t="s">
        <v>1397</v>
      </c>
      <c r="K202" s="1">
        <f ca="1">IF(A202="","",IF(OR(L202="ENTREGADA",L202="RETORNADA",L202="ENTREGA DIGITAL"),0,MAX(0,5-NETWORKDAYS(H202+1,TODAY()))))</f>
        <v>0</v>
      </c>
      <c r="L202" t="str">
        <f>IF(A202="","",IFERROR(LOOKUP(2,1/(#REF!=Z202),#REF!),Y202))</f>
        <v>ENTREGADA</v>
      </c>
      <c r="Y202" t="s">
        <v>1956</v>
      </c>
      <c r="Z202" t="str">
        <f>IF(A202="","",TEXT(A202,"0")&amp;"|"&amp;TEXT(H202,"0"))</f>
        <v>4921017765806750|46119</v>
      </c>
      <c r="AA202" t="str">
        <f>IF(Z202="","",IFERROR(LOOKUP(2,1/(#REF!=Z202),#REF!),""))</f>
        <v/>
      </c>
      <c r="AB202" t="str">
        <f>IF(Z202="","",IFERROR(LOOKUP(2,1/(#REF!=Z202),#REF!),""))</f>
        <v/>
      </c>
      <c r="AC202" t="e">
        <f>IF(Z202="","",COUNTIF(#REF!,Z202))</f>
        <v>#REF!</v>
      </c>
      <c r="AD202" t="e">
        <f>IF(A202="","",IF(AC202&gt;1,"REVISAR DUPLICADO",IF(AA202&lt;&gt;"","ACTUALIZADO POR EYR","SIN REPORTE EYR")))</f>
        <v>#REF!</v>
      </c>
    </row>
    <row r="203" spans="1:30" x14ac:dyDescent="0.3">
      <c r="A203" t="s">
        <v>5177</v>
      </c>
      <c r="B203" t="s">
        <v>5176</v>
      </c>
      <c r="C203" s="4" t="s">
        <v>5175</v>
      </c>
      <c r="D203" t="s">
        <v>21</v>
      </c>
      <c r="F203" t="s">
        <v>13</v>
      </c>
      <c r="G203" s="3">
        <v>8293473870</v>
      </c>
      <c r="H203" s="2">
        <v>46119</v>
      </c>
      <c r="K203" s="1">
        <f ca="1">IF(A203="","",IF(OR(L203="ENTREGADA",L203="RETORNADA",L203="ENTREGA DIGITAL"),0,MAX(0,5-NETWORKDAYS(H203+1,TODAY()))))</f>
        <v>0</v>
      </c>
      <c r="L203" t="str">
        <f>IF(A203="","",IFERROR(LOOKUP(2,1/(#REF!=Z203),#REF!),Y203))</f>
        <v>RETORNADA</v>
      </c>
      <c r="Y203" t="s">
        <v>1857</v>
      </c>
      <c r="Z203" t="str">
        <f>IF(A203="","",TEXT(A203,"0")&amp;"|"&amp;TEXT(H203,"0"))</f>
        <v>4921017759830830|46119</v>
      </c>
      <c r="AA203" t="str">
        <f>IF(Z203="","",IFERROR(LOOKUP(2,1/(#REF!=Z203),#REF!),""))</f>
        <v/>
      </c>
      <c r="AB203" t="str">
        <f>IF(Z203="","",IFERROR(LOOKUP(2,1/(#REF!=Z203),#REF!),""))</f>
        <v/>
      </c>
      <c r="AC203" t="e">
        <f>IF(Z203="","",COUNTIF(#REF!,Z203))</f>
        <v>#REF!</v>
      </c>
      <c r="AD203" t="e">
        <f>IF(A203="","",IF(AC203&gt;1,"REVISAR DUPLICADO",IF(AA203&lt;&gt;"","ACTUALIZADO POR EYR","SIN REPORTE EYR")))</f>
        <v>#REF!</v>
      </c>
    </row>
    <row r="204" spans="1:30" x14ac:dyDescent="0.3">
      <c r="A204" t="s">
        <v>5174</v>
      </c>
      <c r="B204" t="s">
        <v>5173</v>
      </c>
      <c r="C204" s="4" t="s">
        <v>5172</v>
      </c>
      <c r="D204" t="s">
        <v>21</v>
      </c>
      <c r="F204" t="s">
        <v>13</v>
      </c>
      <c r="G204" s="3">
        <v>8098183703</v>
      </c>
      <c r="H204" s="2">
        <v>46119</v>
      </c>
      <c r="K204" s="1">
        <f ca="1">IF(A204="","",IF(OR(L204="ENTREGADA",L204="RETORNADA",L204="ENTREGA DIGITAL"),0,MAX(0,5-NETWORKDAYS(H204+1,TODAY()))))</f>
        <v>0</v>
      </c>
      <c r="L204" t="str">
        <f>IF(A204="","",IFERROR(LOOKUP(2,1/(#REF!=Z204),#REF!),Y204))</f>
        <v>ENTREGADA</v>
      </c>
      <c r="Y204" t="s">
        <v>1956</v>
      </c>
      <c r="Z204" t="str">
        <f>IF(A204="","",TEXT(A204,"0")&amp;"|"&amp;TEXT(H204,"0"))</f>
        <v>4921017760387220|46119</v>
      </c>
      <c r="AA204" t="str">
        <f>IF(Z204="","",IFERROR(LOOKUP(2,1/(#REF!=Z204),#REF!),""))</f>
        <v/>
      </c>
      <c r="AB204" t="str">
        <f>IF(Z204="","",IFERROR(LOOKUP(2,1/(#REF!=Z204),#REF!),""))</f>
        <v/>
      </c>
      <c r="AC204" t="e">
        <f>IF(Z204="","",COUNTIF(#REF!,Z204))</f>
        <v>#REF!</v>
      </c>
      <c r="AD204" t="e">
        <f>IF(A204="","",IF(AC204&gt;1,"REVISAR DUPLICADO",IF(AA204&lt;&gt;"","ACTUALIZADO POR EYR","SIN REPORTE EYR")))</f>
        <v>#REF!</v>
      </c>
    </row>
    <row r="205" spans="1:30" x14ac:dyDescent="0.3">
      <c r="A205" t="s">
        <v>5171</v>
      </c>
      <c r="B205" t="s">
        <v>5170</v>
      </c>
      <c r="C205" s="4" t="s">
        <v>5169</v>
      </c>
      <c r="D205" t="s">
        <v>21</v>
      </c>
      <c r="F205" t="s">
        <v>5168</v>
      </c>
      <c r="G205" s="3">
        <v>8298153483</v>
      </c>
      <c r="H205" s="2">
        <v>46119</v>
      </c>
      <c r="K205" s="1">
        <f ca="1">IF(A205="","",IF(OR(L205="ENTREGADA",L205="RETORNADA",L205="ENTREGA DIGITAL"),0,MAX(0,5-NETWORKDAYS(H205+1,TODAY()))))</f>
        <v>0</v>
      </c>
      <c r="L205" t="str">
        <f>IF(A205="","",IFERROR(LOOKUP(2,1/(#REF!=Z205),#REF!),Y205))</f>
        <v>ENTREGA DIGITAL</v>
      </c>
      <c r="Y205" t="s">
        <v>1396</v>
      </c>
      <c r="Z205" t="str">
        <f>IF(A205="","",TEXT(A205,"0")&amp;"|"&amp;TEXT(H205,"0"))</f>
        <v>4921017762407980|46119</v>
      </c>
      <c r="AA205" t="str">
        <f>IF(Z205="","",IFERROR(LOOKUP(2,1/(#REF!=Z205),#REF!),""))</f>
        <v/>
      </c>
      <c r="AB205" t="str">
        <f>IF(Z205="","",IFERROR(LOOKUP(2,1/(#REF!=Z205),#REF!),""))</f>
        <v/>
      </c>
      <c r="AC205" t="e">
        <f>IF(Z205="","",COUNTIF(#REF!,Z205))</f>
        <v>#REF!</v>
      </c>
      <c r="AD205" t="e">
        <f>IF(A205="","",IF(AC205&gt;1,"REVISAR DUPLICADO",IF(AA205&lt;&gt;"","ACTUALIZADO POR EYR","SIN REPORTE EYR")))</f>
        <v>#REF!</v>
      </c>
    </row>
    <row r="206" spans="1:30" x14ac:dyDescent="0.3">
      <c r="A206" s="5" t="s">
        <v>5167</v>
      </c>
      <c r="B206" t="s">
        <v>5166</v>
      </c>
      <c r="C206" s="4" t="s">
        <v>5165</v>
      </c>
      <c r="D206" t="s">
        <v>21</v>
      </c>
      <c r="F206" t="s">
        <v>13</v>
      </c>
      <c r="G206" s="3">
        <v>8095261214</v>
      </c>
      <c r="H206" s="2">
        <v>46119</v>
      </c>
      <c r="K206" s="1">
        <f ca="1">IF(A206="","",IF(OR(L206="ENTREGADA",L206="RETORNADA",L206="ENTREGA DIGITAL"),0,MAX(0,5-NETWORKDAYS(H206+1,TODAY()))))</f>
        <v>0</v>
      </c>
      <c r="L206" t="str">
        <f>IF(A206="","",IFERROR(LOOKUP(2,1/(#REF!=Z206),#REF!),Y206))</f>
        <v>ENTREGADA</v>
      </c>
      <c r="Y206" t="s">
        <v>1956</v>
      </c>
      <c r="Z206" t="str">
        <f>IF(A206="","",TEXT(A206,"0")&amp;"|"&amp;TEXT(H206,"0"))</f>
        <v>5523017763229870|46119</v>
      </c>
      <c r="AA206" t="str">
        <f>IF(Z206="","",IFERROR(LOOKUP(2,1/(#REF!=Z206),#REF!),""))</f>
        <v/>
      </c>
      <c r="AB206" t="str">
        <f>IF(Z206="","",IFERROR(LOOKUP(2,1/(#REF!=Z206),#REF!),""))</f>
        <v/>
      </c>
      <c r="AC206" t="e">
        <f>IF(Z206="","",COUNTIF(#REF!,Z206))</f>
        <v>#REF!</v>
      </c>
      <c r="AD206" t="e">
        <f>IF(A206="","",IF(AC206&gt;1,"REVISAR DUPLICADO",IF(AA206&lt;&gt;"","ACTUALIZADO POR EYR","SIN REPORTE EYR")))</f>
        <v>#REF!</v>
      </c>
    </row>
    <row r="207" spans="1:30" x14ac:dyDescent="0.3">
      <c r="A207" t="s">
        <v>5164</v>
      </c>
      <c r="B207" t="s">
        <v>5163</v>
      </c>
      <c r="C207" s="4" t="s">
        <v>5162</v>
      </c>
      <c r="D207" t="s">
        <v>21</v>
      </c>
      <c r="F207" t="s">
        <v>5161</v>
      </c>
      <c r="G207" s="3">
        <v>8094552134</v>
      </c>
      <c r="H207" s="2">
        <v>46119</v>
      </c>
      <c r="K207" s="1">
        <f ca="1">IF(A207="","",IF(OR(L207="ENTREGADA",L207="RETORNADA",L207="ENTREGA DIGITAL"),0,MAX(0,5-NETWORKDAYS(H207+1,TODAY()))))</f>
        <v>0</v>
      </c>
      <c r="L207" t="str">
        <f>IF(A207="","",IFERROR(LOOKUP(2,1/(#REF!=Z207),#REF!),Y207))</f>
        <v>RETORNADA</v>
      </c>
      <c r="Y207" t="s">
        <v>1857</v>
      </c>
      <c r="Z207" t="str">
        <f>IF(A207="","",TEXT(A207,"0")&amp;"|"&amp;TEXT(H207,"0"))</f>
        <v>5400017765323170|46119</v>
      </c>
      <c r="AA207" t="str">
        <f>IF(Z207="","",IFERROR(LOOKUP(2,1/(#REF!=Z207),#REF!),""))</f>
        <v/>
      </c>
      <c r="AB207" t="str">
        <f>IF(Z207="","",IFERROR(LOOKUP(2,1/(#REF!=Z207),#REF!),""))</f>
        <v/>
      </c>
      <c r="AC207" t="e">
        <f>IF(Z207="","",COUNTIF(#REF!,Z207))</f>
        <v>#REF!</v>
      </c>
      <c r="AD207" t="e">
        <f>IF(A207="","",IF(AC207&gt;1,"REVISAR DUPLICADO",IF(AA207&lt;&gt;"","ACTUALIZADO POR EYR","SIN REPORTE EYR")))</f>
        <v>#REF!</v>
      </c>
    </row>
    <row r="208" spans="1:30" x14ac:dyDescent="0.3">
      <c r="A208" s="5" t="s">
        <v>5160</v>
      </c>
      <c r="B208" t="s">
        <v>5159</v>
      </c>
      <c r="C208" s="4" t="s">
        <v>5158</v>
      </c>
      <c r="D208" t="s">
        <v>1</v>
      </c>
      <c r="F208" t="s">
        <v>13</v>
      </c>
      <c r="G208" s="3">
        <v>8292224026</v>
      </c>
      <c r="H208" s="2">
        <v>46119</v>
      </c>
      <c r="I208" t="s">
        <v>1397</v>
      </c>
      <c r="K208" s="1">
        <f ca="1">IF(A208="","",IF(OR(L208="ENTREGADA",L208="RETORNADA",L208="ENTREGA DIGITAL"),0,MAX(0,5-NETWORKDAYS(H208+1,TODAY()))))</f>
        <v>0</v>
      </c>
      <c r="L208" t="str">
        <f>IF(A208="","",IFERROR(LOOKUP(2,1/(#REF!=Z208),#REF!),Y208))</f>
        <v>ENTREGADA</v>
      </c>
      <c r="Y208" t="s">
        <v>1956</v>
      </c>
      <c r="Z208" t="str">
        <f>IF(A208="","",TEXT(A208,"0")&amp;"|"&amp;TEXT(H208,"0"))</f>
        <v>5188017759631840|46119</v>
      </c>
      <c r="AA208" t="str">
        <f>IF(Z208="","",IFERROR(LOOKUP(2,1/(#REF!=Z208),#REF!),""))</f>
        <v/>
      </c>
      <c r="AB208" t="str">
        <f>IF(Z208="","",IFERROR(LOOKUP(2,1/(#REF!=Z208),#REF!),""))</f>
        <v/>
      </c>
      <c r="AC208" t="e">
        <f>IF(Z208="","",COUNTIF(#REF!,Z208))</f>
        <v>#REF!</v>
      </c>
      <c r="AD208" t="e">
        <f>IF(A208="","",IF(AC208&gt;1,"REVISAR DUPLICADO",IF(AA208&lt;&gt;"","ACTUALIZADO POR EYR","SIN REPORTE EYR")))</f>
        <v>#REF!</v>
      </c>
    </row>
    <row r="209" spans="1:30" x14ac:dyDescent="0.3">
      <c r="A209" s="5" t="s">
        <v>5157</v>
      </c>
      <c r="B209" t="s">
        <v>5156</v>
      </c>
      <c r="C209" s="4" t="s">
        <v>5155</v>
      </c>
      <c r="D209" t="s">
        <v>1</v>
      </c>
      <c r="F209" t="s">
        <v>9</v>
      </c>
      <c r="G209" s="3">
        <v>8094344998</v>
      </c>
      <c r="H209" s="2">
        <v>46119</v>
      </c>
      <c r="K209" s="1">
        <f ca="1">IF(A209="","",IF(OR(L209="ENTREGADA",L209="RETORNADA",L209="ENTREGA DIGITAL"),0,MAX(0,5-NETWORKDAYS(H209+1,TODAY()))))</f>
        <v>0</v>
      </c>
      <c r="L209" t="str">
        <f>IF(A209="","",IFERROR(LOOKUP(2,1/(#REF!=Z209),#REF!),Y209))</f>
        <v>ENTREGADA</v>
      </c>
      <c r="Y209" t="s">
        <v>1956</v>
      </c>
      <c r="Z209" t="str">
        <f>IF(A209="","",TEXT(A209,"0")&amp;"|"&amp;TEXT(H209,"0"))</f>
        <v>4966017766064910|46119</v>
      </c>
      <c r="AA209" t="str">
        <f>IF(Z209="","",IFERROR(LOOKUP(2,1/(#REF!=Z209),#REF!),""))</f>
        <v/>
      </c>
      <c r="AB209" t="str">
        <f>IF(Z209="","",IFERROR(LOOKUP(2,1/(#REF!=Z209),#REF!),""))</f>
        <v/>
      </c>
      <c r="AC209" t="e">
        <f>IF(Z209="","",COUNTIF(#REF!,Z209))</f>
        <v>#REF!</v>
      </c>
      <c r="AD209" t="e">
        <f>IF(A209="","",IF(AC209&gt;1,"REVISAR DUPLICADO",IF(AA209&lt;&gt;"","ACTUALIZADO POR EYR","SIN REPORTE EYR")))</f>
        <v>#REF!</v>
      </c>
    </row>
    <row r="210" spans="1:30" x14ac:dyDescent="0.3">
      <c r="A210" s="5" t="s">
        <v>5154</v>
      </c>
      <c r="B210" t="s">
        <v>5153</v>
      </c>
      <c r="C210" s="4" t="s">
        <v>5152</v>
      </c>
      <c r="D210" t="s">
        <v>1</v>
      </c>
      <c r="F210" t="s">
        <v>5151</v>
      </c>
      <c r="G210" s="3">
        <v>8494633293</v>
      </c>
      <c r="H210" s="2">
        <v>46119</v>
      </c>
      <c r="I210" t="s">
        <v>1397</v>
      </c>
      <c r="K210" s="1">
        <f ca="1">IF(A210="","",IF(OR(L210="ENTREGADA",L210="RETORNADA",L210="ENTREGA DIGITAL"),0,MAX(0,5-NETWORKDAYS(H210+1,TODAY()))))</f>
        <v>0</v>
      </c>
      <c r="L210" t="str">
        <f>IF(A210="","",IFERROR(LOOKUP(2,1/(#REF!=Z210),#REF!),Y210))</f>
        <v>ENTREGADA</v>
      </c>
      <c r="Y210" t="s">
        <v>1956</v>
      </c>
      <c r="Z210" t="str">
        <f>IF(A210="","",TEXT(A210,"0")&amp;"|"&amp;TEXT(H210,"0"))</f>
        <v>4921017766407280|46119</v>
      </c>
      <c r="AA210" t="str">
        <f>IF(Z210="","",IFERROR(LOOKUP(2,1/(#REF!=Z210),#REF!),""))</f>
        <v/>
      </c>
      <c r="AB210" t="str">
        <f>IF(Z210="","",IFERROR(LOOKUP(2,1/(#REF!=Z210),#REF!),""))</f>
        <v/>
      </c>
      <c r="AC210" t="e">
        <f>IF(Z210="","",COUNTIF(#REF!,Z210))</f>
        <v>#REF!</v>
      </c>
      <c r="AD210" t="e">
        <f>IF(A210="","",IF(AC210&gt;1,"REVISAR DUPLICADO",IF(AA210&lt;&gt;"","ACTUALIZADO POR EYR","SIN REPORTE EYR")))</f>
        <v>#REF!</v>
      </c>
    </row>
    <row r="211" spans="1:30" x14ac:dyDescent="0.3">
      <c r="A211" s="5" t="s">
        <v>5150</v>
      </c>
      <c r="B211" t="s">
        <v>5149</v>
      </c>
      <c r="C211" s="4" t="s">
        <v>5148</v>
      </c>
      <c r="D211" t="s">
        <v>1</v>
      </c>
      <c r="E211" t="s">
        <v>214</v>
      </c>
      <c r="F211" t="s">
        <v>391</v>
      </c>
      <c r="G211" s="3">
        <v>8296386875</v>
      </c>
      <c r="H211" s="2">
        <v>46119</v>
      </c>
      <c r="I211" t="s">
        <v>1397</v>
      </c>
      <c r="K211" s="1">
        <f ca="1">IF(A211="","",IF(OR(L211="ENTREGADA",L211="RETORNADA",L211="ENTREGA DIGITAL"),0,MAX(0,5-NETWORKDAYS(H211+1,TODAY()))))</f>
        <v>0</v>
      </c>
      <c r="L211" t="str">
        <f>IF(A211="","",IFERROR(LOOKUP(2,1/(#REF!=Z211),#REF!),Y211))</f>
        <v>ENTREGA DIGITAL</v>
      </c>
      <c r="Y211" t="s">
        <v>1396</v>
      </c>
      <c r="Z211" t="str">
        <f>IF(A211="","",TEXT(A211,"0")&amp;"|"&amp;TEXT(H211,"0"))</f>
        <v>5188017765135940|46119</v>
      </c>
      <c r="AA211" t="str">
        <f>IF(Z211="","",IFERROR(LOOKUP(2,1/(#REF!=Z211),#REF!),""))</f>
        <v/>
      </c>
      <c r="AB211" t="str">
        <f>IF(Z211="","",IFERROR(LOOKUP(2,1/(#REF!=Z211),#REF!),""))</f>
        <v/>
      </c>
      <c r="AC211" t="e">
        <f>IF(Z211="","",COUNTIF(#REF!,Z211))</f>
        <v>#REF!</v>
      </c>
      <c r="AD211" t="e">
        <f>IF(A211="","",IF(AC211&gt;1,"REVISAR DUPLICADO",IF(AA211&lt;&gt;"","ACTUALIZADO POR EYR","SIN REPORTE EYR")))</f>
        <v>#REF!</v>
      </c>
    </row>
    <row r="212" spans="1:30" x14ac:dyDescent="0.3">
      <c r="A212" t="s">
        <v>5147</v>
      </c>
      <c r="B212" t="s">
        <v>5146</v>
      </c>
      <c r="C212" s="4" t="s">
        <v>5145</v>
      </c>
      <c r="D212" t="s">
        <v>1</v>
      </c>
      <c r="E212" t="s">
        <v>214</v>
      </c>
      <c r="F212" t="s">
        <v>648</v>
      </c>
      <c r="G212" s="3">
        <v>8493505274</v>
      </c>
      <c r="H212" s="2">
        <v>46119</v>
      </c>
      <c r="K212" s="1">
        <f ca="1">IF(A212="","",IF(OR(L212="ENTREGADA",L212="RETORNADA",L212="ENTREGA DIGITAL"),0,MAX(0,5-NETWORKDAYS(H212+1,TODAY()))))</f>
        <v>0</v>
      </c>
      <c r="L212" t="str">
        <f>IF(A212="","",IFERROR(LOOKUP(2,1/(#REF!=Z212),#REF!),Y212))</f>
        <v>RETORNADA</v>
      </c>
      <c r="Y212" t="s">
        <v>1857</v>
      </c>
      <c r="Z212" t="str">
        <f>IF(A212="","",TEXT(A212,"0")&amp;"|"&amp;TEXT(H212,"0"))</f>
        <v>4921017767238910|46119</v>
      </c>
      <c r="AA212" t="str">
        <f>IF(Z212="","",IFERROR(LOOKUP(2,1/(#REF!=Z212),#REF!),""))</f>
        <v/>
      </c>
      <c r="AB212" t="str">
        <f>IF(Z212="","",IFERROR(LOOKUP(2,1/(#REF!=Z212),#REF!),""))</f>
        <v/>
      </c>
      <c r="AC212" t="e">
        <f>IF(Z212="","",COUNTIF(#REF!,Z212))</f>
        <v>#REF!</v>
      </c>
      <c r="AD212" t="e">
        <f>IF(A212="","",IF(AC212&gt;1,"REVISAR DUPLICADO",IF(AA212&lt;&gt;"","ACTUALIZADO POR EYR","SIN REPORTE EYR")))</f>
        <v>#REF!</v>
      </c>
    </row>
    <row r="213" spans="1:30" x14ac:dyDescent="0.3">
      <c r="A213" s="5" t="s">
        <v>5144</v>
      </c>
      <c r="B213" t="s">
        <v>5143</v>
      </c>
      <c r="C213" s="4" t="s">
        <v>5142</v>
      </c>
      <c r="D213" t="s">
        <v>1</v>
      </c>
      <c r="F213" t="s">
        <v>5141</v>
      </c>
      <c r="G213" s="3">
        <v>8298484660</v>
      </c>
      <c r="H213" s="2">
        <v>46119</v>
      </c>
      <c r="K213" s="1">
        <f ca="1">IF(A213="","",IF(OR(L213="ENTREGADA",L213="RETORNADA",L213="ENTREGA DIGITAL"),0,MAX(0,5-NETWORKDAYS(H213+1,TODAY()))))</f>
        <v>0</v>
      </c>
      <c r="L213" t="str">
        <f>IF(A213="","",IFERROR(LOOKUP(2,1/(#REF!=Z213),#REF!),Y213))</f>
        <v>ENTREGADA</v>
      </c>
      <c r="Y213" t="s">
        <v>1956</v>
      </c>
      <c r="Z213" t="str">
        <f>IF(A213="","",TEXT(A213,"0")&amp;"|"&amp;TEXT(H213,"0"))</f>
        <v>5188017761656240|46119</v>
      </c>
      <c r="AA213" t="str">
        <f>IF(Z213="","",IFERROR(LOOKUP(2,1/(#REF!=Z213),#REF!),""))</f>
        <v/>
      </c>
      <c r="AB213" t="str">
        <f>IF(Z213="","",IFERROR(LOOKUP(2,1/(#REF!=Z213),#REF!),""))</f>
        <v/>
      </c>
      <c r="AC213" t="e">
        <f>IF(Z213="","",COUNTIF(#REF!,Z213))</f>
        <v>#REF!</v>
      </c>
      <c r="AD213" t="e">
        <f>IF(A213="","",IF(AC213&gt;1,"REVISAR DUPLICADO",IF(AA213&lt;&gt;"","ACTUALIZADO POR EYR","SIN REPORTE EYR")))</f>
        <v>#REF!</v>
      </c>
    </row>
    <row r="214" spans="1:30" x14ac:dyDescent="0.3">
      <c r="A214" s="5" t="s">
        <v>5140</v>
      </c>
      <c r="B214" t="s">
        <v>5139</v>
      </c>
      <c r="C214" s="4" t="s">
        <v>5138</v>
      </c>
      <c r="D214" t="s">
        <v>77</v>
      </c>
      <c r="F214" t="s">
        <v>910</v>
      </c>
      <c r="G214" s="3">
        <v>8293470636</v>
      </c>
      <c r="H214" s="2">
        <v>46119</v>
      </c>
      <c r="I214" t="s">
        <v>1397</v>
      </c>
      <c r="K214" s="1">
        <f ca="1">IF(A214="","",IF(OR(L214="ENTREGADA",L214="RETORNADA",L214="ENTREGA DIGITAL"),0,MAX(0,5-NETWORKDAYS(H214+1,TODAY()))))</f>
        <v>0</v>
      </c>
      <c r="L214" t="str">
        <f>IF(A214="","",IFERROR(LOOKUP(2,1/(#REF!=Z214),#REF!),Y214))</f>
        <v>ENTREGADA</v>
      </c>
      <c r="Y214" t="s">
        <v>1956</v>
      </c>
      <c r="Z214" t="str">
        <f>IF(A214="","",TEXT(A214,"0")&amp;"|"&amp;TEXT(H214,"0"))</f>
        <v>5188017770216690|46119</v>
      </c>
      <c r="AA214" t="str">
        <f>IF(Z214="","",IFERROR(LOOKUP(2,1/(#REF!=Z214),#REF!),""))</f>
        <v/>
      </c>
      <c r="AB214" t="str">
        <f>IF(Z214="","",IFERROR(LOOKUP(2,1/(#REF!=Z214),#REF!),""))</f>
        <v/>
      </c>
      <c r="AC214" t="e">
        <f>IF(Z214="","",COUNTIF(#REF!,Z214))</f>
        <v>#REF!</v>
      </c>
      <c r="AD214" t="e">
        <f>IF(A214="","",IF(AC214&gt;1,"REVISAR DUPLICADO",IF(AA214&lt;&gt;"","ACTUALIZADO POR EYR","SIN REPORTE EYR")))</f>
        <v>#REF!</v>
      </c>
    </row>
    <row r="215" spans="1:30" x14ac:dyDescent="0.3">
      <c r="A215" s="5" t="s">
        <v>5137</v>
      </c>
      <c r="B215" t="s">
        <v>5136</v>
      </c>
      <c r="C215" s="4" t="s">
        <v>5135</v>
      </c>
      <c r="D215" t="s">
        <v>77</v>
      </c>
      <c r="E215" t="s">
        <v>214</v>
      </c>
      <c r="F215" t="s">
        <v>391</v>
      </c>
      <c r="G215" s="3">
        <v>8096270132</v>
      </c>
      <c r="H215" s="2">
        <v>46119</v>
      </c>
      <c r="I215" t="s">
        <v>1397</v>
      </c>
      <c r="K215" s="1">
        <f ca="1">IF(A215="","",IF(OR(L215="ENTREGADA",L215="RETORNADA",L215="ENTREGA DIGITAL"),0,MAX(0,5-NETWORKDAYS(H215+1,TODAY()))))</f>
        <v>0</v>
      </c>
      <c r="L215" t="str">
        <f>IF(A215="","",IFERROR(LOOKUP(2,1/(#REF!=Z215),#REF!),Y215))</f>
        <v>ENTREGADA</v>
      </c>
      <c r="Y215" t="s">
        <v>1956</v>
      </c>
      <c r="Z215" t="str">
        <f>IF(A215="","",TEXT(A215,"0")&amp;"|"&amp;TEXT(H215,"0"))</f>
        <v>5188017769777340|46119</v>
      </c>
      <c r="AA215" t="str">
        <f>IF(Z215="","",IFERROR(LOOKUP(2,1/(#REF!=Z215),#REF!),""))</f>
        <v/>
      </c>
      <c r="AB215" t="str">
        <f>IF(Z215="","",IFERROR(LOOKUP(2,1/(#REF!=Z215),#REF!),""))</f>
        <v/>
      </c>
      <c r="AC215" t="e">
        <f>IF(Z215="","",COUNTIF(#REF!,Z215))</f>
        <v>#REF!</v>
      </c>
      <c r="AD215" t="e">
        <f>IF(A215="","",IF(AC215&gt;1,"REVISAR DUPLICADO",IF(AA215&lt;&gt;"","ACTUALIZADO POR EYR","SIN REPORTE EYR")))</f>
        <v>#REF!</v>
      </c>
    </row>
    <row r="216" spans="1:30" x14ac:dyDescent="0.3">
      <c r="A216" s="5" t="s">
        <v>5134</v>
      </c>
      <c r="B216" t="s">
        <v>5133</v>
      </c>
      <c r="C216" s="4" t="s">
        <v>5132</v>
      </c>
      <c r="D216" t="s">
        <v>77</v>
      </c>
      <c r="F216" t="s">
        <v>5131</v>
      </c>
      <c r="G216" s="3">
        <v>8297920230</v>
      </c>
      <c r="H216" s="2">
        <v>46119</v>
      </c>
      <c r="I216" t="s">
        <v>1397</v>
      </c>
      <c r="K216" s="1">
        <f ca="1">IF(A216="","",IF(OR(L216="ENTREGADA",L216="RETORNADA",L216="ENTREGA DIGITAL"),0,MAX(0,5-NETWORKDAYS(H216+1,TODAY()))))</f>
        <v>0</v>
      </c>
      <c r="L216" t="str">
        <f>IF(A216="","",IFERROR(LOOKUP(2,1/(#REF!=Z216),#REF!),Y216))</f>
        <v>ENTREGADA</v>
      </c>
      <c r="Y216" t="s">
        <v>1956</v>
      </c>
      <c r="Z216" t="str">
        <f>IF(A216="","",TEXT(A216,"0")&amp;"|"&amp;TEXT(H216,"0"))</f>
        <v>5188017769941280|46119</v>
      </c>
      <c r="AA216" t="str">
        <f>IF(Z216="","",IFERROR(LOOKUP(2,1/(#REF!=Z216),#REF!),""))</f>
        <v/>
      </c>
      <c r="AB216" t="str">
        <f>IF(Z216="","",IFERROR(LOOKUP(2,1/(#REF!=Z216),#REF!),""))</f>
        <v/>
      </c>
      <c r="AC216" t="e">
        <f>IF(Z216="","",COUNTIF(#REF!,Z216))</f>
        <v>#REF!</v>
      </c>
      <c r="AD216" t="e">
        <f>IF(A216="","",IF(AC216&gt;1,"REVISAR DUPLICADO",IF(AA216&lt;&gt;"","ACTUALIZADO POR EYR","SIN REPORTE EYR")))</f>
        <v>#REF!</v>
      </c>
    </row>
    <row r="217" spans="1:30" x14ac:dyDescent="0.3">
      <c r="A217" t="s">
        <v>5130</v>
      </c>
      <c r="B217" t="s">
        <v>5129</v>
      </c>
      <c r="C217" s="4" t="s">
        <v>5128</v>
      </c>
      <c r="D217" t="s">
        <v>77</v>
      </c>
      <c r="E217" t="s">
        <v>214</v>
      </c>
      <c r="F217" t="s">
        <v>391</v>
      </c>
      <c r="G217" s="3">
        <v>8299687387</v>
      </c>
      <c r="H217" s="2">
        <v>46119</v>
      </c>
      <c r="K217" s="1">
        <f ca="1">IF(A217="","",IF(OR(L217="ENTREGADA",L217="RETORNADA",L217="ENTREGA DIGITAL"),0,MAX(0,5-NETWORKDAYS(H217+1,TODAY()))))</f>
        <v>0</v>
      </c>
      <c r="L217" t="str">
        <f>IF(A217="","",IFERROR(LOOKUP(2,1/(#REF!=Z217),#REF!),Y217))</f>
        <v>RETORNADA</v>
      </c>
      <c r="Y217" t="s">
        <v>1857</v>
      </c>
      <c r="Z217" t="str">
        <f>IF(A217="","",TEXT(A217,"0")&amp;"|"&amp;TEXT(H217,"0"))</f>
        <v>5415017767915460|46119</v>
      </c>
      <c r="AA217" t="str">
        <f>IF(Z217="","",IFERROR(LOOKUP(2,1/(#REF!=Z217),#REF!),""))</f>
        <v/>
      </c>
      <c r="AB217" t="str">
        <f>IF(Z217="","",IFERROR(LOOKUP(2,1/(#REF!=Z217),#REF!),""))</f>
        <v/>
      </c>
      <c r="AC217" t="e">
        <f>IF(Z217="","",COUNTIF(#REF!,Z217))</f>
        <v>#REF!</v>
      </c>
      <c r="AD217" t="e">
        <f>IF(A217="","",IF(AC217&gt;1,"REVISAR DUPLICADO",IF(AA217&lt;&gt;"","ACTUALIZADO POR EYR","SIN REPORTE EYR")))</f>
        <v>#REF!</v>
      </c>
    </row>
    <row r="218" spans="1:30" x14ac:dyDescent="0.3">
      <c r="A218" s="5" t="s">
        <v>5127</v>
      </c>
      <c r="B218" t="s">
        <v>5126</v>
      </c>
      <c r="C218" s="4" t="s">
        <v>5125</v>
      </c>
      <c r="D218" t="s">
        <v>77</v>
      </c>
      <c r="F218" t="s">
        <v>13</v>
      </c>
      <c r="G218" s="3">
        <v>8099529516</v>
      </c>
      <c r="H218" s="2">
        <v>46119</v>
      </c>
      <c r="I218" t="s">
        <v>1397</v>
      </c>
      <c r="K218" s="1">
        <f ca="1">IF(A218="","",IF(OR(L218="ENTREGADA",L218="RETORNADA",L218="ENTREGA DIGITAL"),0,MAX(0,5-NETWORKDAYS(H218+1,TODAY()))))</f>
        <v>0</v>
      </c>
      <c r="L218" t="str">
        <f>IF(A218="","",IFERROR(LOOKUP(2,1/(#REF!=Z218),#REF!),Y218))</f>
        <v>ENTREGADA</v>
      </c>
      <c r="Y218" t="s">
        <v>1956</v>
      </c>
      <c r="Z218" t="str">
        <f>IF(A218="","",TEXT(A218,"0")&amp;"|"&amp;TEXT(H218,"0"))</f>
        <v>5415017769178230|46119</v>
      </c>
      <c r="AA218" t="str">
        <f>IF(Z218="","",IFERROR(LOOKUP(2,1/(#REF!=Z218),#REF!),""))</f>
        <v/>
      </c>
      <c r="AB218" t="str">
        <f>IF(Z218="","",IFERROR(LOOKUP(2,1/(#REF!=Z218),#REF!),""))</f>
        <v/>
      </c>
      <c r="AC218" t="e">
        <f>IF(Z218="","",COUNTIF(#REF!,Z218))</f>
        <v>#REF!</v>
      </c>
      <c r="AD218" t="e">
        <f>IF(A218="","",IF(AC218&gt;1,"REVISAR DUPLICADO",IF(AA218&lt;&gt;"","ACTUALIZADO POR EYR","SIN REPORTE EYR")))</f>
        <v>#REF!</v>
      </c>
    </row>
    <row r="219" spans="1:30" x14ac:dyDescent="0.3">
      <c r="A219" s="5" t="s">
        <v>5124</v>
      </c>
      <c r="B219" t="s">
        <v>5123</v>
      </c>
      <c r="C219" s="4" t="s">
        <v>5122</v>
      </c>
      <c r="D219" t="s">
        <v>77</v>
      </c>
      <c r="F219" t="s">
        <v>13</v>
      </c>
      <c r="G219" s="3">
        <v>8492652147</v>
      </c>
      <c r="H219" s="2">
        <v>46119</v>
      </c>
      <c r="K219" s="1">
        <f ca="1">IF(A219="","",IF(OR(L219="ENTREGADA",L219="RETORNADA",L219="ENTREGA DIGITAL"),0,MAX(0,5-NETWORKDAYS(H219+1,TODAY()))))</f>
        <v>0</v>
      </c>
      <c r="L219" t="str">
        <f>IF(A219="","",IFERROR(LOOKUP(2,1/(#REF!=Z219),#REF!),Y219))</f>
        <v>ENTREGADA</v>
      </c>
      <c r="Y219" t="s">
        <v>1956</v>
      </c>
      <c r="Z219" t="str">
        <f>IF(A219="","",TEXT(A219,"0")&amp;"|"&amp;TEXT(H219,"0"))</f>
        <v>5415017768726190|46119</v>
      </c>
      <c r="AA219" t="str">
        <f>IF(Z219="","",IFERROR(LOOKUP(2,1/(#REF!=Z219),#REF!),""))</f>
        <v/>
      </c>
      <c r="AB219" t="str">
        <f>IF(Z219="","",IFERROR(LOOKUP(2,1/(#REF!=Z219),#REF!),""))</f>
        <v/>
      </c>
      <c r="AC219" t="e">
        <f>IF(Z219="","",COUNTIF(#REF!,Z219))</f>
        <v>#REF!</v>
      </c>
      <c r="AD219" t="e">
        <f>IF(A219="","",IF(AC219&gt;1,"REVISAR DUPLICADO",IF(AA219&lt;&gt;"","ACTUALIZADO POR EYR","SIN REPORTE EYR")))</f>
        <v>#REF!</v>
      </c>
    </row>
    <row r="220" spans="1:30" x14ac:dyDescent="0.3">
      <c r="A220" s="5" t="s">
        <v>5121</v>
      </c>
      <c r="B220" t="s">
        <v>5120</v>
      </c>
      <c r="C220" s="4" t="s">
        <v>5119</v>
      </c>
      <c r="D220" t="s">
        <v>77</v>
      </c>
      <c r="F220" t="s">
        <v>13</v>
      </c>
      <c r="G220" s="3">
        <v>8092533316</v>
      </c>
      <c r="H220" s="2">
        <v>46119</v>
      </c>
      <c r="I220" t="s">
        <v>1397</v>
      </c>
      <c r="K220" s="1">
        <f ca="1">IF(A220="","",IF(OR(L220="ENTREGADA",L220="RETORNADA",L220="ENTREGA DIGITAL"),0,MAX(0,5-NETWORKDAYS(H220+1,TODAY()))))</f>
        <v>0</v>
      </c>
      <c r="L220" t="str">
        <f>IF(A220="","",IFERROR(LOOKUP(2,1/(#REF!=Z220),#REF!),Y220))</f>
        <v>ENTREGADA</v>
      </c>
      <c r="Y220" t="s">
        <v>1956</v>
      </c>
      <c r="Z220" t="str">
        <f>IF(A220="","",TEXT(A220,"0")&amp;"|"&amp;TEXT(H220,"0"))</f>
        <v>5415017769152990|46119</v>
      </c>
      <c r="AA220" t="str">
        <f>IF(Z220="","",IFERROR(LOOKUP(2,1/(#REF!=Z220),#REF!),""))</f>
        <v/>
      </c>
      <c r="AB220" t="str">
        <f>IF(Z220="","",IFERROR(LOOKUP(2,1/(#REF!=Z220),#REF!),""))</f>
        <v/>
      </c>
      <c r="AC220" t="e">
        <f>IF(Z220="","",COUNTIF(#REF!,Z220))</f>
        <v>#REF!</v>
      </c>
      <c r="AD220" t="e">
        <f>IF(A220="","",IF(AC220&gt;1,"REVISAR DUPLICADO",IF(AA220&lt;&gt;"","ACTUALIZADO POR EYR","SIN REPORTE EYR")))</f>
        <v>#REF!</v>
      </c>
    </row>
    <row r="221" spans="1:30" x14ac:dyDescent="0.3">
      <c r="A221" s="5" t="s">
        <v>5118</v>
      </c>
      <c r="B221" t="s">
        <v>5117</v>
      </c>
      <c r="C221" s="4" t="s">
        <v>5116</v>
      </c>
      <c r="D221" t="s">
        <v>77</v>
      </c>
      <c r="F221" t="s">
        <v>13</v>
      </c>
      <c r="G221" s="3">
        <v>8298831038</v>
      </c>
      <c r="H221" s="2">
        <v>46119</v>
      </c>
      <c r="K221" s="1">
        <f ca="1">IF(A221="","",IF(OR(L221="ENTREGADA",L221="RETORNADA",L221="ENTREGA DIGITAL"),0,MAX(0,5-NETWORKDAYS(H221+1,TODAY()))))</f>
        <v>0</v>
      </c>
      <c r="L221" t="str">
        <f>IF(A221="","",IFERROR(LOOKUP(2,1/(#REF!=Z221),#REF!),Y221))</f>
        <v>ENTREGADA</v>
      </c>
      <c r="Y221" t="s">
        <v>1956</v>
      </c>
      <c r="Z221" t="str">
        <f>IF(A221="","",TEXT(A221,"0")&amp;"|"&amp;TEXT(H221,"0"))</f>
        <v>5415017769169970|46119</v>
      </c>
      <c r="AA221" t="str">
        <f>IF(Z221="","",IFERROR(LOOKUP(2,1/(#REF!=Z221),#REF!),""))</f>
        <v/>
      </c>
      <c r="AB221" t="str">
        <f>IF(Z221="","",IFERROR(LOOKUP(2,1/(#REF!=Z221),#REF!),""))</f>
        <v/>
      </c>
      <c r="AC221" t="e">
        <f>IF(Z221="","",COUNTIF(#REF!,Z221))</f>
        <v>#REF!</v>
      </c>
      <c r="AD221" t="e">
        <f>IF(A221="","",IF(AC221&gt;1,"REVISAR DUPLICADO",IF(AA221&lt;&gt;"","ACTUALIZADO POR EYR","SIN REPORTE EYR")))</f>
        <v>#REF!</v>
      </c>
    </row>
    <row r="222" spans="1:30" x14ac:dyDescent="0.3">
      <c r="A222" s="5" t="s">
        <v>5115</v>
      </c>
      <c r="B222" t="s">
        <v>5114</v>
      </c>
      <c r="C222" s="4" t="s">
        <v>5113</v>
      </c>
      <c r="D222" t="s">
        <v>77</v>
      </c>
      <c r="F222" t="s">
        <v>135</v>
      </c>
      <c r="G222" s="3">
        <v>8293520725</v>
      </c>
      <c r="H222" s="2">
        <v>46119</v>
      </c>
      <c r="I222" t="s">
        <v>1397</v>
      </c>
      <c r="K222" s="1">
        <f ca="1">IF(A222="","",IF(OR(L222="ENTREGADA",L222="RETORNADA",L222="ENTREGA DIGITAL"),0,MAX(0,5-NETWORKDAYS(H222+1,TODAY()))))</f>
        <v>0</v>
      </c>
      <c r="L222" t="str">
        <f>IF(A222="","",IFERROR(LOOKUP(2,1/(#REF!=Z222),#REF!),Y222))</f>
        <v>ENTREGADA</v>
      </c>
      <c r="Y222" t="s">
        <v>1956</v>
      </c>
      <c r="Z222" t="str">
        <f>IF(A222="","",TEXT(A222,"0")&amp;"|"&amp;TEXT(H222,"0"))</f>
        <v>5227017769658830|46119</v>
      </c>
      <c r="AA222" t="str">
        <f>IF(Z222="","",IFERROR(LOOKUP(2,1/(#REF!=Z222),#REF!),""))</f>
        <v/>
      </c>
      <c r="AB222" t="str">
        <f>IF(Z222="","",IFERROR(LOOKUP(2,1/(#REF!=Z222),#REF!),""))</f>
        <v/>
      </c>
      <c r="AC222" t="e">
        <f>IF(Z222="","",COUNTIF(#REF!,Z222))</f>
        <v>#REF!</v>
      </c>
      <c r="AD222" t="e">
        <f>IF(A222="","",IF(AC222&gt;1,"REVISAR DUPLICADO",IF(AA222&lt;&gt;"","ACTUALIZADO POR EYR","SIN REPORTE EYR")))</f>
        <v>#REF!</v>
      </c>
    </row>
    <row r="223" spans="1:30" x14ac:dyDescent="0.3">
      <c r="A223" t="s">
        <v>2733</v>
      </c>
      <c r="B223" t="s">
        <v>2732</v>
      </c>
      <c r="C223" s="4" t="s">
        <v>2731</v>
      </c>
      <c r="D223" t="s">
        <v>77</v>
      </c>
      <c r="E223" t="s">
        <v>214</v>
      </c>
      <c r="F223" t="s">
        <v>391</v>
      </c>
      <c r="G223" s="3">
        <v>8493825973</v>
      </c>
      <c r="H223" s="2">
        <v>46119</v>
      </c>
      <c r="K223" s="1">
        <f ca="1">IF(A223="","",IF(OR(L223="ENTREGADA",L223="RETORNADA",L223="ENTREGA DIGITAL"),0,MAX(0,5-NETWORKDAYS(H223+1,TODAY()))))</f>
        <v>0</v>
      </c>
      <c r="L223" t="str">
        <f>IF(A223="","",IFERROR(LOOKUP(2,1/(#REF!=Z223),#REF!),Y223))</f>
        <v>RETORNADA</v>
      </c>
      <c r="Y223" t="s">
        <v>1857</v>
      </c>
      <c r="Z223" t="str">
        <f>IF(A223="","",TEXT(A223,"0")&amp;"|"&amp;TEXT(H223,"0"))</f>
        <v>5188017769814740|46119</v>
      </c>
      <c r="AA223" t="str">
        <f>IF(Z223="","",IFERROR(LOOKUP(2,1/(#REF!=Z223),#REF!),""))</f>
        <v/>
      </c>
      <c r="AB223" t="str">
        <f>IF(Z223="","",IFERROR(LOOKUP(2,1/(#REF!=Z223),#REF!),""))</f>
        <v/>
      </c>
      <c r="AC223" t="e">
        <f>IF(Z223="","",COUNTIF(#REF!,Z223))</f>
        <v>#REF!</v>
      </c>
      <c r="AD223" t="e">
        <f>IF(A223="","",IF(AC223&gt;1,"REVISAR DUPLICADO",IF(AA223&lt;&gt;"","ACTUALIZADO POR EYR","SIN REPORTE EYR")))</f>
        <v>#REF!</v>
      </c>
    </row>
    <row r="224" spans="1:30" x14ac:dyDescent="0.3">
      <c r="A224" s="5" t="s">
        <v>5112</v>
      </c>
      <c r="B224" t="s">
        <v>5111</v>
      </c>
      <c r="C224" s="4" t="s">
        <v>5110</v>
      </c>
      <c r="D224" t="s">
        <v>77</v>
      </c>
      <c r="F224" t="s">
        <v>5109</v>
      </c>
      <c r="G224" s="3">
        <v>8296966760</v>
      </c>
      <c r="H224" s="2">
        <v>46119</v>
      </c>
      <c r="I224" t="s">
        <v>1397</v>
      </c>
      <c r="K224" s="1">
        <f ca="1">IF(A224="","",IF(OR(L224="ENTREGADA",L224="RETORNADA",L224="ENTREGA DIGITAL"),0,MAX(0,5-NETWORKDAYS(H224+1,TODAY()))))</f>
        <v>0</v>
      </c>
      <c r="L224" t="str">
        <f>IF(A224="","",IFERROR(LOOKUP(2,1/(#REF!=Z224),#REF!),Y224))</f>
        <v>ENTREGADA</v>
      </c>
      <c r="Y224" t="s">
        <v>1956</v>
      </c>
      <c r="Z224" t="str">
        <f>IF(A224="","",TEXT(A224,"0")&amp;"|"&amp;TEXT(H224,"0"))</f>
        <v>4921017773397430|46119</v>
      </c>
      <c r="AA224" t="str">
        <f>IF(Z224="","",IFERROR(LOOKUP(2,1/(#REF!=Z224),#REF!),""))</f>
        <v/>
      </c>
      <c r="AB224" t="str">
        <f>IF(Z224="","",IFERROR(LOOKUP(2,1/(#REF!=Z224),#REF!),""))</f>
        <v/>
      </c>
      <c r="AC224" t="e">
        <f>IF(Z224="","",COUNTIF(#REF!,Z224))</f>
        <v>#REF!</v>
      </c>
      <c r="AD224" t="e">
        <f>IF(A224="","",IF(AC224&gt;1,"REVISAR DUPLICADO",IF(AA224&lt;&gt;"","ACTUALIZADO POR EYR","SIN REPORTE EYR")))</f>
        <v>#REF!</v>
      </c>
    </row>
    <row r="225" spans="1:30" x14ac:dyDescent="0.3">
      <c r="A225" t="s">
        <v>2865</v>
      </c>
      <c r="B225" t="s">
        <v>2864</v>
      </c>
      <c r="C225" s="4" t="s">
        <v>2863</v>
      </c>
      <c r="D225" t="s">
        <v>77</v>
      </c>
      <c r="F225" t="s">
        <v>1607</v>
      </c>
      <c r="G225" s="3">
        <v>8292129137</v>
      </c>
      <c r="H225" s="2">
        <v>46119</v>
      </c>
      <c r="K225" s="1">
        <f ca="1">IF(A225="","",IF(OR(L225="ENTREGADA",L225="RETORNADA",L225="ENTREGA DIGITAL"),0,MAX(0,5-NETWORKDAYS(H225+1,TODAY()))))</f>
        <v>0</v>
      </c>
      <c r="L225" t="str">
        <f>IF(A225="","",IFERROR(LOOKUP(2,1/(#REF!=Z225),#REF!),Y225))</f>
        <v>RETORNADA</v>
      </c>
      <c r="Y225" t="s">
        <v>1857</v>
      </c>
      <c r="Z225" t="str">
        <f>IF(A225="","",TEXT(A225,"0")&amp;"|"&amp;TEXT(H225,"0"))</f>
        <v>4921017772932720|46119</v>
      </c>
      <c r="AA225" t="str">
        <f>IF(Z225="","",IFERROR(LOOKUP(2,1/(#REF!=Z225),#REF!),""))</f>
        <v/>
      </c>
      <c r="AB225" t="str">
        <f>IF(Z225="","",IFERROR(LOOKUP(2,1/(#REF!=Z225),#REF!),""))</f>
        <v/>
      </c>
      <c r="AC225" t="e">
        <f>IF(Z225="","",COUNTIF(#REF!,Z225))</f>
        <v>#REF!</v>
      </c>
      <c r="AD225" t="e">
        <f>IF(A225="","",IF(AC225&gt;1,"REVISAR DUPLICADO",IF(AA225&lt;&gt;"","ACTUALIZADO POR EYR","SIN REPORTE EYR")))</f>
        <v>#REF!</v>
      </c>
    </row>
    <row r="226" spans="1:30" x14ac:dyDescent="0.3">
      <c r="A226" s="5" t="s">
        <v>5108</v>
      </c>
      <c r="B226" t="s">
        <v>5107</v>
      </c>
      <c r="C226" s="4" t="s">
        <v>5106</v>
      </c>
      <c r="D226" t="s">
        <v>77</v>
      </c>
      <c r="F226" t="s">
        <v>1420</v>
      </c>
      <c r="G226" s="3">
        <v>8493778597</v>
      </c>
      <c r="H226" s="2">
        <v>46119</v>
      </c>
      <c r="I226" t="s">
        <v>1397</v>
      </c>
      <c r="K226" s="1">
        <f ca="1">IF(A226="","",IF(OR(L226="ENTREGADA",L226="RETORNADA",L226="ENTREGA DIGITAL"),0,MAX(0,5-NETWORKDAYS(H226+1,TODAY()))))</f>
        <v>0</v>
      </c>
      <c r="L226" t="str">
        <f>IF(A226="","",IFERROR(LOOKUP(2,1/(#REF!=Z226),#REF!),Y226))</f>
        <v>ENTREGADA</v>
      </c>
      <c r="Y226" t="s">
        <v>1956</v>
      </c>
      <c r="Z226" t="str">
        <f>IF(A226="","",TEXT(A226,"0")&amp;"|"&amp;TEXT(H226,"0"))</f>
        <v>5415017767974400|46119</v>
      </c>
      <c r="AA226" t="str">
        <f>IF(Z226="","",IFERROR(LOOKUP(2,1/(#REF!=Z226),#REF!),""))</f>
        <v/>
      </c>
      <c r="AB226" t="str">
        <f>IF(Z226="","",IFERROR(LOOKUP(2,1/(#REF!=Z226),#REF!),""))</f>
        <v/>
      </c>
      <c r="AC226" t="e">
        <f>IF(Z226="","",COUNTIF(#REF!,Z226))</f>
        <v>#REF!</v>
      </c>
      <c r="AD226" t="e">
        <f>IF(A226="","",IF(AC226&gt;1,"REVISAR DUPLICADO",IF(AA226&lt;&gt;"","ACTUALIZADO POR EYR","SIN REPORTE EYR")))</f>
        <v>#REF!</v>
      </c>
    </row>
    <row r="227" spans="1:30" x14ac:dyDescent="0.3">
      <c r="A227" s="5" t="s">
        <v>5105</v>
      </c>
      <c r="B227" t="s">
        <v>5104</v>
      </c>
      <c r="C227" s="4" t="s">
        <v>5103</v>
      </c>
      <c r="D227" t="s">
        <v>77</v>
      </c>
      <c r="F227" t="s">
        <v>13</v>
      </c>
      <c r="G227" s="3">
        <v>8097295006</v>
      </c>
      <c r="H227" s="2">
        <v>46119</v>
      </c>
      <c r="K227" s="1">
        <f ca="1">IF(A227="","",IF(OR(L227="ENTREGADA",L227="RETORNADA",L227="ENTREGA DIGITAL"),0,MAX(0,5-NETWORKDAYS(H227+1,TODAY()))))</f>
        <v>0</v>
      </c>
      <c r="L227" t="str">
        <f>IF(A227="","",IFERROR(LOOKUP(2,1/(#REF!=Z227),#REF!),Y227))</f>
        <v>ENTREGADA</v>
      </c>
      <c r="Y227" t="s">
        <v>1956</v>
      </c>
      <c r="Z227" t="str">
        <f>IF(A227="","",TEXT(A227,"0")&amp;"|"&amp;TEXT(H227,"0"))</f>
        <v>5188017770270760|46119</v>
      </c>
      <c r="AA227" t="str">
        <f>IF(Z227="","",IFERROR(LOOKUP(2,1/(#REF!=Z227),#REF!),""))</f>
        <v/>
      </c>
      <c r="AB227" t="str">
        <f>IF(Z227="","",IFERROR(LOOKUP(2,1/(#REF!=Z227),#REF!),""))</f>
        <v/>
      </c>
      <c r="AC227" t="e">
        <f>IF(Z227="","",COUNTIF(#REF!,Z227))</f>
        <v>#REF!</v>
      </c>
      <c r="AD227" t="e">
        <f>IF(A227="","",IF(AC227&gt;1,"REVISAR DUPLICADO",IF(AA227&lt;&gt;"","ACTUALIZADO POR EYR","SIN REPORTE EYR")))</f>
        <v>#REF!</v>
      </c>
    </row>
    <row r="228" spans="1:30" x14ac:dyDescent="0.3">
      <c r="A228" t="s">
        <v>5102</v>
      </c>
      <c r="B228" t="s">
        <v>5101</v>
      </c>
      <c r="C228" s="4" t="s">
        <v>5100</v>
      </c>
      <c r="D228" t="s">
        <v>77</v>
      </c>
      <c r="F228" t="s">
        <v>5099</v>
      </c>
      <c r="G228" s="3">
        <v>8296106874</v>
      </c>
      <c r="H228" s="2">
        <v>46119</v>
      </c>
      <c r="K228" s="1">
        <f ca="1">IF(A228="","",IF(OR(L228="ENTREGADA",L228="RETORNADA",L228="ENTREGA DIGITAL"),0,MAX(0,5-NETWORKDAYS(H228+1,TODAY()))))</f>
        <v>0</v>
      </c>
      <c r="L228" t="str">
        <f>IF(A228="","",IFERROR(LOOKUP(2,1/(#REF!=Z228),#REF!),Y228))</f>
        <v>RETORNADA</v>
      </c>
      <c r="Y228" t="s">
        <v>1857</v>
      </c>
      <c r="Z228" t="str">
        <f>IF(A228="","",TEXT(A228,"0")&amp;"|"&amp;TEXT(H228,"0"))</f>
        <v>4921017771837850|46119</v>
      </c>
      <c r="AA228" t="str">
        <f>IF(Z228="","",IFERROR(LOOKUP(2,1/(#REF!=Z228),#REF!),""))</f>
        <v/>
      </c>
      <c r="AB228" t="str">
        <f>IF(Z228="","",IFERROR(LOOKUP(2,1/(#REF!=Z228),#REF!),""))</f>
        <v/>
      </c>
      <c r="AC228" t="e">
        <f>IF(Z228="","",COUNTIF(#REF!,Z228))</f>
        <v>#REF!</v>
      </c>
      <c r="AD228" t="e">
        <f>IF(A228="","",IF(AC228&gt;1,"REVISAR DUPLICADO",IF(AA228&lt;&gt;"","ACTUALIZADO POR EYR","SIN REPORTE EYR")))</f>
        <v>#REF!</v>
      </c>
    </row>
    <row r="229" spans="1:30" x14ac:dyDescent="0.3">
      <c r="A229" t="s">
        <v>2859</v>
      </c>
      <c r="B229" t="s">
        <v>2858</v>
      </c>
      <c r="C229" s="4" t="s">
        <v>2857</v>
      </c>
      <c r="D229" t="s">
        <v>77</v>
      </c>
      <c r="F229" t="s">
        <v>5098</v>
      </c>
      <c r="G229" s="3">
        <v>8292659247</v>
      </c>
      <c r="H229" s="2">
        <v>46119</v>
      </c>
      <c r="K229" s="1">
        <f ca="1">IF(A229="","",IF(OR(L229="ENTREGADA",L229="RETORNADA",L229="ENTREGA DIGITAL"),0,MAX(0,5-NETWORKDAYS(H229+1,TODAY()))))</f>
        <v>0</v>
      </c>
      <c r="L229" t="str">
        <f>IF(A229="","",IFERROR(LOOKUP(2,1/(#REF!=Z229),#REF!),Y229))</f>
        <v>RETORNADA</v>
      </c>
      <c r="Y229" t="s">
        <v>1857</v>
      </c>
      <c r="Z229" t="str">
        <f>IF(A229="","",TEXT(A229,"0")&amp;"|"&amp;TEXT(H229,"0"))</f>
        <v>4921017772831450|46119</v>
      </c>
      <c r="AA229" t="str">
        <f>IF(Z229="","",IFERROR(LOOKUP(2,1/(#REF!=Z229),#REF!),""))</f>
        <v/>
      </c>
      <c r="AB229" t="str">
        <f>IF(Z229="","",IFERROR(LOOKUP(2,1/(#REF!=Z229),#REF!),""))</f>
        <v/>
      </c>
      <c r="AC229" t="e">
        <f>IF(Z229="","",COUNTIF(#REF!,Z229))</f>
        <v>#REF!</v>
      </c>
      <c r="AD229" t="e">
        <f>IF(A229="","",IF(AC229&gt;1,"REVISAR DUPLICADO",IF(AA229&lt;&gt;"","ACTUALIZADO POR EYR","SIN REPORTE EYR")))</f>
        <v>#REF!</v>
      </c>
    </row>
    <row r="230" spans="1:30" x14ac:dyDescent="0.3">
      <c r="A230" s="5" t="s">
        <v>5097</v>
      </c>
      <c r="B230" t="s">
        <v>5096</v>
      </c>
      <c r="C230" s="4" t="s">
        <v>5095</v>
      </c>
      <c r="D230" t="s">
        <v>77</v>
      </c>
      <c r="E230" t="s">
        <v>214</v>
      </c>
      <c r="F230" t="s">
        <v>391</v>
      </c>
      <c r="G230" s="3">
        <v>8297935490</v>
      </c>
      <c r="H230" s="2">
        <v>46119</v>
      </c>
      <c r="I230" t="s">
        <v>1397</v>
      </c>
      <c r="K230" s="1">
        <f ca="1">IF(A230="","",IF(OR(L230="ENTREGADA",L230="RETORNADA",L230="ENTREGA DIGITAL"),0,MAX(0,5-NETWORKDAYS(H230+1,TODAY()))))</f>
        <v>0</v>
      </c>
      <c r="L230" t="str">
        <f>IF(A230="","",IFERROR(LOOKUP(2,1/(#REF!=Z230),#REF!),Y230))</f>
        <v>ENTREGADA</v>
      </c>
      <c r="Y230" t="s">
        <v>1956</v>
      </c>
      <c r="Z230" t="str">
        <f>IF(A230="","",TEXT(A230,"0")&amp;"|"&amp;TEXT(H230,"0"))</f>
        <v>4921017773110340|46119</v>
      </c>
      <c r="AA230" t="str">
        <f>IF(Z230="","",IFERROR(LOOKUP(2,1/(#REF!=Z230),#REF!),""))</f>
        <v/>
      </c>
      <c r="AB230" t="str">
        <f>IF(Z230="","",IFERROR(LOOKUP(2,1/(#REF!=Z230),#REF!),""))</f>
        <v/>
      </c>
      <c r="AC230" t="e">
        <f>IF(Z230="","",COUNTIF(#REF!,Z230))</f>
        <v>#REF!</v>
      </c>
      <c r="AD230" t="e">
        <f>IF(A230="","",IF(AC230&gt;1,"REVISAR DUPLICADO",IF(AA230&lt;&gt;"","ACTUALIZADO POR EYR","SIN REPORTE EYR")))</f>
        <v>#REF!</v>
      </c>
    </row>
    <row r="231" spans="1:30" x14ac:dyDescent="0.3">
      <c r="A231" s="5" t="s">
        <v>5094</v>
      </c>
      <c r="B231" t="s">
        <v>5093</v>
      </c>
      <c r="C231" s="4" t="s">
        <v>5092</v>
      </c>
      <c r="D231" t="s">
        <v>77</v>
      </c>
      <c r="E231" t="s">
        <v>214</v>
      </c>
      <c r="F231" t="s">
        <v>391</v>
      </c>
      <c r="G231" s="3">
        <v>8297152854</v>
      </c>
      <c r="H231" s="2">
        <v>46119</v>
      </c>
      <c r="K231" s="1">
        <f ca="1">IF(A231="","",IF(OR(L231="ENTREGADA",L231="RETORNADA",L231="ENTREGA DIGITAL"),0,MAX(0,5-NETWORKDAYS(H231+1,TODAY()))))</f>
        <v>0</v>
      </c>
      <c r="L231" t="str">
        <f>IF(A231="","",IFERROR(LOOKUP(2,1/(#REF!=Z231),#REF!),Y231))</f>
        <v>ENTREGADA</v>
      </c>
      <c r="Y231" t="s">
        <v>1956</v>
      </c>
      <c r="Z231" t="str">
        <f>IF(A231="","",TEXT(A231,"0")&amp;"|"&amp;TEXT(H231,"0"))</f>
        <v>4921017771986720|46119</v>
      </c>
      <c r="AA231" t="str">
        <f>IF(Z231="","",IFERROR(LOOKUP(2,1/(#REF!=Z231),#REF!),""))</f>
        <v/>
      </c>
      <c r="AB231" t="str">
        <f>IF(Z231="","",IFERROR(LOOKUP(2,1/(#REF!=Z231),#REF!),""))</f>
        <v/>
      </c>
      <c r="AC231" t="e">
        <f>IF(Z231="","",COUNTIF(#REF!,Z231))</f>
        <v>#REF!</v>
      </c>
      <c r="AD231" t="e">
        <f>IF(A231="","",IF(AC231&gt;1,"REVISAR DUPLICADO",IF(AA231&lt;&gt;"","ACTUALIZADO POR EYR","SIN REPORTE EYR")))</f>
        <v>#REF!</v>
      </c>
    </row>
    <row r="232" spans="1:30" x14ac:dyDescent="0.3">
      <c r="A232" t="s">
        <v>5091</v>
      </c>
      <c r="B232" t="s">
        <v>5090</v>
      </c>
      <c r="C232" s="4" t="s">
        <v>5089</v>
      </c>
      <c r="D232" t="s">
        <v>77</v>
      </c>
      <c r="E232" t="s">
        <v>214</v>
      </c>
      <c r="F232" t="s">
        <v>391</v>
      </c>
      <c r="G232" s="3">
        <v>8298593521</v>
      </c>
      <c r="H232" s="2">
        <v>46119</v>
      </c>
      <c r="K232" s="1">
        <f ca="1">IF(A232="","",IF(OR(L232="ENTREGADA",L232="RETORNADA",L232="ENTREGA DIGITAL"),0,MAX(0,5-NETWORKDAYS(H232+1,TODAY()))))</f>
        <v>0</v>
      </c>
      <c r="L232" t="str">
        <f>IF(A232="","",IFERROR(LOOKUP(2,1/(#REF!=Z232),#REF!),Y232))</f>
        <v>RETORNADA</v>
      </c>
      <c r="Y232" t="s">
        <v>1857</v>
      </c>
      <c r="Z232" t="str">
        <f>IF(A232="","",TEXT(A232,"0")&amp;"|"&amp;TEXT(H232,"0"))</f>
        <v>4921017771943630|46119</v>
      </c>
      <c r="AA232" t="str">
        <f>IF(Z232="","",IFERROR(LOOKUP(2,1/(#REF!=Z232),#REF!),""))</f>
        <v/>
      </c>
      <c r="AB232" t="str">
        <f>IF(Z232="","",IFERROR(LOOKUP(2,1/(#REF!=Z232),#REF!),""))</f>
        <v/>
      </c>
      <c r="AC232" t="e">
        <f>IF(Z232="","",COUNTIF(#REF!,Z232))</f>
        <v>#REF!</v>
      </c>
      <c r="AD232" t="e">
        <f>IF(A232="","",IF(AC232&gt;1,"REVISAR DUPLICADO",IF(AA232&lt;&gt;"","ACTUALIZADO POR EYR","SIN REPORTE EYR")))</f>
        <v>#REF!</v>
      </c>
    </row>
    <row r="233" spans="1:30" x14ac:dyDescent="0.3">
      <c r="A233" t="s">
        <v>5088</v>
      </c>
      <c r="B233" t="s">
        <v>5087</v>
      </c>
      <c r="C233" s="4" t="s">
        <v>5086</v>
      </c>
      <c r="D233" t="s">
        <v>77</v>
      </c>
      <c r="E233" t="s">
        <v>214</v>
      </c>
      <c r="F233" t="s">
        <v>391</v>
      </c>
      <c r="G233" s="3">
        <v>8097914126</v>
      </c>
      <c r="H233" s="2">
        <v>46119</v>
      </c>
      <c r="K233" s="1">
        <f ca="1">IF(A233="","",IF(OR(L233="ENTREGADA",L233="RETORNADA",L233="ENTREGA DIGITAL"),0,MAX(0,5-NETWORKDAYS(H233+1,TODAY()))))</f>
        <v>0</v>
      </c>
      <c r="L233" t="str">
        <f>IF(A233="","",IFERROR(LOOKUP(2,1/(#REF!=Z233),#REF!),Y233))</f>
        <v>RETORNADA</v>
      </c>
      <c r="Y233" t="s">
        <v>1857</v>
      </c>
      <c r="Z233" t="str">
        <f>IF(A233="","",TEXT(A233,"0")&amp;"|"&amp;TEXT(H233,"0"))</f>
        <v>4921017773838140|46119</v>
      </c>
      <c r="AA233" t="str">
        <f>IF(Z233="","",IFERROR(LOOKUP(2,1/(#REF!=Z233),#REF!),""))</f>
        <v/>
      </c>
      <c r="AB233" t="str">
        <f>IF(Z233="","",IFERROR(LOOKUP(2,1/(#REF!=Z233),#REF!),""))</f>
        <v/>
      </c>
      <c r="AC233" t="e">
        <f>IF(Z233="","",COUNTIF(#REF!,Z233))</f>
        <v>#REF!</v>
      </c>
      <c r="AD233" t="e">
        <f>IF(A233="","",IF(AC233&gt;1,"REVISAR DUPLICADO",IF(AA233&lt;&gt;"","ACTUALIZADO POR EYR","SIN REPORTE EYR")))</f>
        <v>#REF!</v>
      </c>
    </row>
    <row r="234" spans="1:30" x14ac:dyDescent="0.3">
      <c r="A234" s="5" t="s">
        <v>5085</v>
      </c>
      <c r="B234" t="s">
        <v>5084</v>
      </c>
      <c r="C234" s="4" t="s">
        <v>5083</v>
      </c>
      <c r="D234" t="s">
        <v>77</v>
      </c>
      <c r="F234" t="s">
        <v>5082</v>
      </c>
      <c r="G234" s="3">
        <v>8296257998</v>
      </c>
      <c r="H234" s="2">
        <v>46119</v>
      </c>
      <c r="K234" s="1">
        <f ca="1">IF(A234="","",IF(OR(L234="ENTREGADA",L234="RETORNADA",L234="ENTREGA DIGITAL"),0,MAX(0,5-NETWORKDAYS(H234+1,TODAY()))))</f>
        <v>0</v>
      </c>
      <c r="L234" t="str">
        <f>IF(A234="","",IFERROR(LOOKUP(2,1/(#REF!=Z234),#REF!),Y234))</f>
        <v>ENTREGADA</v>
      </c>
      <c r="Y234" t="s">
        <v>1956</v>
      </c>
      <c r="Z234" t="str">
        <f>IF(A234="","",TEXT(A234,"0")&amp;"|"&amp;TEXT(H234,"0"))</f>
        <v>4966017771339130|46119</v>
      </c>
      <c r="AA234" t="str">
        <f>IF(Z234="","",IFERROR(LOOKUP(2,1/(#REF!=Z234),#REF!),""))</f>
        <v/>
      </c>
      <c r="AB234" t="str">
        <f>IF(Z234="","",IFERROR(LOOKUP(2,1/(#REF!=Z234),#REF!),""))</f>
        <v/>
      </c>
      <c r="AC234" t="e">
        <f>IF(Z234="","",COUNTIF(#REF!,Z234))</f>
        <v>#REF!</v>
      </c>
      <c r="AD234" t="e">
        <f>IF(A234="","",IF(AC234&gt;1,"REVISAR DUPLICADO",IF(AA234&lt;&gt;"","ACTUALIZADO POR EYR","SIN REPORTE EYR")))</f>
        <v>#REF!</v>
      </c>
    </row>
    <row r="235" spans="1:30" x14ac:dyDescent="0.3">
      <c r="A235" s="5" t="s">
        <v>5081</v>
      </c>
      <c r="B235" t="s">
        <v>5080</v>
      </c>
      <c r="C235" s="4" t="s">
        <v>5079</v>
      </c>
      <c r="D235" t="s">
        <v>77</v>
      </c>
      <c r="F235" t="s">
        <v>13</v>
      </c>
      <c r="G235" s="3">
        <v>8293689307</v>
      </c>
      <c r="H235" s="2">
        <v>46119</v>
      </c>
      <c r="K235" s="1">
        <f ca="1">IF(A235="","",IF(OR(L235="ENTREGADA",L235="RETORNADA",L235="ENTREGA DIGITAL"),0,MAX(0,5-NETWORKDAYS(H235+1,TODAY()))))</f>
        <v>0</v>
      </c>
      <c r="L235" t="str">
        <f>IF(A235="","",IFERROR(LOOKUP(2,1/(#REF!=Z235),#REF!),Y235))</f>
        <v>ENTREGADA</v>
      </c>
      <c r="Y235" t="s">
        <v>1956</v>
      </c>
      <c r="Z235" t="str">
        <f>IF(A235="","",TEXT(A235,"0")&amp;"|"&amp;TEXT(H235,"0"))</f>
        <v>4921017770845000|46119</v>
      </c>
      <c r="AA235" t="str">
        <f>IF(Z235="","",IFERROR(LOOKUP(2,1/(#REF!=Z235),#REF!),""))</f>
        <v/>
      </c>
      <c r="AB235" t="str">
        <f>IF(Z235="","",IFERROR(LOOKUP(2,1/(#REF!=Z235),#REF!),""))</f>
        <v/>
      </c>
      <c r="AC235" t="e">
        <f>IF(Z235="","",COUNTIF(#REF!,Z235))</f>
        <v>#REF!</v>
      </c>
      <c r="AD235" t="e">
        <f>IF(A235="","",IF(AC235&gt;1,"REVISAR DUPLICADO",IF(AA235&lt;&gt;"","ACTUALIZADO POR EYR","SIN REPORTE EYR")))</f>
        <v>#REF!</v>
      </c>
    </row>
    <row r="236" spans="1:30" x14ac:dyDescent="0.3">
      <c r="A236" s="5" t="s">
        <v>5078</v>
      </c>
      <c r="B236" t="s">
        <v>5077</v>
      </c>
      <c r="C236" s="4" t="s">
        <v>5076</v>
      </c>
      <c r="D236" t="s">
        <v>77</v>
      </c>
      <c r="F236" t="s">
        <v>13</v>
      </c>
      <c r="G236" s="3">
        <v>8098350649</v>
      </c>
      <c r="H236" s="2">
        <v>46119</v>
      </c>
      <c r="K236" s="1">
        <f ca="1">IF(A236="","",IF(OR(L236="ENTREGADA",L236="RETORNADA",L236="ENTREGA DIGITAL"),0,MAX(0,5-NETWORKDAYS(H236+1,TODAY()))))</f>
        <v>0</v>
      </c>
      <c r="L236" t="str">
        <f>IF(A236="","",IFERROR(LOOKUP(2,1/(#REF!=Z236),#REF!),Y236))</f>
        <v>ENTREGADA</v>
      </c>
      <c r="Y236" t="s">
        <v>1956</v>
      </c>
      <c r="Z236" t="str">
        <f>IF(A236="","",TEXT(A236,"0")&amp;"|"&amp;TEXT(H236,"0"))</f>
        <v>5188017770329710|46119</v>
      </c>
      <c r="AA236" t="str">
        <f>IF(Z236="","",IFERROR(LOOKUP(2,1/(#REF!=Z236),#REF!),""))</f>
        <v/>
      </c>
      <c r="AB236" t="str">
        <f>IF(Z236="","",IFERROR(LOOKUP(2,1/(#REF!=Z236),#REF!),""))</f>
        <v/>
      </c>
      <c r="AC236" t="e">
        <f>IF(Z236="","",COUNTIF(#REF!,Z236))</f>
        <v>#REF!</v>
      </c>
      <c r="AD236" t="e">
        <f>IF(A236="","",IF(AC236&gt;1,"REVISAR DUPLICADO",IF(AA236&lt;&gt;"","ACTUALIZADO POR EYR","SIN REPORTE EYR")))</f>
        <v>#REF!</v>
      </c>
    </row>
    <row r="237" spans="1:30" x14ac:dyDescent="0.3">
      <c r="A237" s="5" t="s">
        <v>5075</v>
      </c>
      <c r="B237" t="s">
        <v>5074</v>
      </c>
      <c r="C237" s="4" t="s">
        <v>5073</v>
      </c>
      <c r="D237" t="s">
        <v>77</v>
      </c>
      <c r="F237" t="s">
        <v>13</v>
      </c>
      <c r="G237" s="3">
        <v>8295298432</v>
      </c>
      <c r="H237" s="2">
        <v>46119</v>
      </c>
      <c r="K237" s="1">
        <f ca="1">IF(A237="","",IF(OR(L237="ENTREGADA",L237="RETORNADA",L237="ENTREGA DIGITAL"),0,MAX(0,5-NETWORKDAYS(H237+1,TODAY()))))</f>
        <v>0</v>
      </c>
      <c r="L237" t="str">
        <f>IF(A237="","",IFERROR(LOOKUP(2,1/(#REF!=Z237),#REF!),Y237))</f>
        <v>ENTREGADA</v>
      </c>
      <c r="Y237" t="s">
        <v>1956</v>
      </c>
      <c r="Z237" t="str">
        <f>IF(A237="","",TEXT(A237,"0")&amp;"|"&amp;TEXT(H237,"0"))</f>
        <v>5188017765447110|46119</v>
      </c>
      <c r="AA237" t="str">
        <f>IF(Z237="","",IFERROR(LOOKUP(2,1/(#REF!=Z237),#REF!),""))</f>
        <v/>
      </c>
      <c r="AB237" t="str">
        <f>IF(Z237="","",IFERROR(LOOKUP(2,1/(#REF!=Z237),#REF!),""))</f>
        <v/>
      </c>
      <c r="AC237" t="e">
        <f>IF(Z237="","",COUNTIF(#REF!,Z237))</f>
        <v>#REF!</v>
      </c>
      <c r="AD237" t="e">
        <f>IF(A237="","",IF(AC237&gt;1,"REVISAR DUPLICADO",IF(AA237&lt;&gt;"","ACTUALIZADO POR EYR","SIN REPORTE EYR")))</f>
        <v>#REF!</v>
      </c>
    </row>
    <row r="238" spans="1:30" x14ac:dyDescent="0.3">
      <c r="A238" s="5" t="s">
        <v>5072</v>
      </c>
      <c r="B238" t="s">
        <v>5071</v>
      </c>
      <c r="C238" s="4" t="s">
        <v>3676</v>
      </c>
      <c r="D238" t="s">
        <v>77</v>
      </c>
      <c r="F238" t="s">
        <v>13</v>
      </c>
      <c r="G238" s="3">
        <v>8293247950</v>
      </c>
      <c r="H238" s="2">
        <v>46119</v>
      </c>
      <c r="I238" t="s">
        <v>1397</v>
      </c>
      <c r="K238" s="1">
        <f ca="1">IF(A238="","",IF(OR(L238="ENTREGADA",L238="RETORNADA",L238="ENTREGA DIGITAL"),0,MAX(0,5-NETWORKDAYS(H238+1,TODAY()))))</f>
        <v>0</v>
      </c>
      <c r="L238" t="str">
        <f>IF(A238="","",IFERROR(LOOKUP(2,1/(#REF!=Z238),#REF!),Y238))</f>
        <v>ENTREGADA</v>
      </c>
      <c r="Y238" t="s">
        <v>1956</v>
      </c>
      <c r="Z238" t="str">
        <f>IF(A238="","",TEXT(A238,"0")&amp;"|"&amp;TEXT(H238,"0"))</f>
        <v>4921017674586950|46119</v>
      </c>
      <c r="AA238" t="str">
        <f>IF(Z238="","",IFERROR(LOOKUP(2,1/(#REF!=Z238),#REF!),""))</f>
        <v/>
      </c>
      <c r="AB238" t="str">
        <f>IF(Z238="","",IFERROR(LOOKUP(2,1/(#REF!=Z238),#REF!),""))</f>
        <v/>
      </c>
      <c r="AC238" t="e">
        <f>IF(Z238="","",COUNTIF(#REF!,Z238))</f>
        <v>#REF!</v>
      </c>
      <c r="AD238" t="e">
        <f>IF(A238="","",IF(AC238&gt;1,"REVISAR DUPLICADO",IF(AA238&lt;&gt;"","ACTUALIZADO POR EYR","SIN REPORTE EYR")))</f>
        <v>#REF!</v>
      </c>
    </row>
    <row r="239" spans="1:30" x14ac:dyDescent="0.3">
      <c r="A239" t="s">
        <v>3086</v>
      </c>
      <c r="B239" t="s">
        <v>3085</v>
      </c>
      <c r="C239" s="4" t="s">
        <v>3084</v>
      </c>
      <c r="D239" t="s">
        <v>77</v>
      </c>
      <c r="F239" t="s">
        <v>13</v>
      </c>
      <c r="G239" s="3">
        <v>8492099561</v>
      </c>
      <c r="H239" s="2">
        <v>46119</v>
      </c>
      <c r="K239" s="1">
        <f ca="1">IF(A239="","",IF(OR(L239="ENTREGADA",L239="RETORNADA",L239="ENTREGA DIGITAL"),0,MAX(0,5-NETWORKDAYS(H239+1,TODAY()))))</f>
        <v>0</v>
      </c>
      <c r="L239" t="str">
        <f>IF(A239="","",IFERROR(LOOKUP(2,1/(#REF!=Z239),#REF!),Y239))</f>
        <v>RETORNADA</v>
      </c>
      <c r="Y239" t="s">
        <v>1857</v>
      </c>
      <c r="Z239" t="str">
        <f>IF(A239="","",TEXT(A239,"0")&amp;"|"&amp;TEXT(H239,"0"))</f>
        <v>4921017682108460|46119</v>
      </c>
      <c r="AA239" t="str">
        <f>IF(Z239="","",IFERROR(LOOKUP(2,1/(#REF!=Z239),#REF!),""))</f>
        <v/>
      </c>
      <c r="AB239" t="str">
        <f>IF(Z239="","",IFERROR(LOOKUP(2,1/(#REF!=Z239),#REF!),""))</f>
        <v/>
      </c>
      <c r="AC239" t="e">
        <f>IF(Z239="","",COUNTIF(#REF!,Z239))</f>
        <v>#REF!</v>
      </c>
      <c r="AD239" t="e">
        <f>IF(A239="","",IF(AC239&gt;1,"REVISAR DUPLICADO",IF(AA239&lt;&gt;"","ACTUALIZADO POR EYR","SIN REPORTE EYR")))</f>
        <v>#REF!</v>
      </c>
    </row>
    <row r="240" spans="1:30" x14ac:dyDescent="0.3">
      <c r="A240" s="5" t="s">
        <v>5070</v>
      </c>
      <c r="B240" t="s">
        <v>5069</v>
      </c>
      <c r="C240" s="4" t="s">
        <v>5068</v>
      </c>
      <c r="D240" t="s">
        <v>77</v>
      </c>
      <c r="F240" t="s">
        <v>5067</v>
      </c>
      <c r="G240" s="3">
        <v>8096479713</v>
      </c>
      <c r="H240" s="2">
        <v>46119</v>
      </c>
      <c r="I240" t="s">
        <v>1397</v>
      </c>
      <c r="K240" s="1">
        <f ca="1">IF(A240="","",IF(OR(L240="ENTREGADA",L240="RETORNADA",L240="ENTREGA DIGITAL"),0,MAX(0,5-NETWORKDAYS(H240+1,TODAY()))))</f>
        <v>0</v>
      </c>
      <c r="L240" t="str">
        <f>IF(A240="","",IFERROR(LOOKUP(2,1/(#REF!=Z240),#REF!),Y240))</f>
        <v>ENTREGADA</v>
      </c>
      <c r="Y240" t="s">
        <v>1956</v>
      </c>
      <c r="Z240" t="str">
        <f>IF(A240="","",TEXT(A240,"0")&amp;"|"&amp;TEXT(H240,"0"))</f>
        <v>5415017696882510|46119</v>
      </c>
      <c r="AA240" t="str">
        <f>IF(Z240="","",IFERROR(LOOKUP(2,1/(#REF!=Z240),#REF!),""))</f>
        <v/>
      </c>
      <c r="AB240" t="str">
        <f>IF(Z240="","",IFERROR(LOOKUP(2,1/(#REF!=Z240),#REF!),""))</f>
        <v/>
      </c>
      <c r="AC240" t="e">
        <f>IF(Z240="","",COUNTIF(#REF!,Z240))</f>
        <v>#REF!</v>
      </c>
      <c r="AD240" t="e">
        <f>IF(A240="","",IF(AC240&gt;1,"REVISAR DUPLICADO",IF(AA240&lt;&gt;"","ACTUALIZADO POR EYR","SIN REPORTE EYR")))</f>
        <v>#REF!</v>
      </c>
    </row>
    <row r="241" spans="1:30" x14ac:dyDescent="0.3">
      <c r="A241" s="5" t="s">
        <v>5066</v>
      </c>
      <c r="B241" t="s">
        <v>5065</v>
      </c>
      <c r="C241" s="4" t="s">
        <v>5064</v>
      </c>
      <c r="D241" t="s">
        <v>77</v>
      </c>
      <c r="F241" t="s">
        <v>146</v>
      </c>
      <c r="G241" s="3">
        <v>8294187160</v>
      </c>
      <c r="H241" s="2">
        <v>46119</v>
      </c>
      <c r="I241" t="s">
        <v>1397</v>
      </c>
      <c r="K241" s="1">
        <f ca="1">IF(A241="","",IF(OR(L241="ENTREGADA",L241="RETORNADA",L241="ENTREGA DIGITAL"),0,MAX(0,5-NETWORKDAYS(H241+1,TODAY()))))</f>
        <v>0</v>
      </c>
      <c r="L241" t="str">
        <f>IF(A241="","",IFERROR(LOOKUP(2,1/(#REF!=Z241),#REF!),Y241))</f>
        <v>ENTREGADA</v>
      </c>
      <c r="Y241" t="s">
        <v>1956</v>
      </c>
      <c r="Z241" t="str">
        <f>IF(A241="","",TEXT(A241,"0")&amp;"|"&amp;TEXT(H241,"0"))</f>
        <v>5415017708560520|46119</v>
      </c>
      <c r="AA241" t="str">
        <f>IF(Z241="","",IFERROR(LOOKUP(2,1/(#REF!=Z241),#REF!),""))</f>
        <v/>
      </c>
      <c r="AB241" t="str">
        <f>IF(Z241="","",IFERROR(LOOKUP(2,1/(#REF!=Z241),#REF!),""))</f>
        <v/>
      </c>
      <c r="AC241" t="e">
        <f>IF(Z241="","",COUNTIF(#REF!,Z241))</f>
        <v>#REF!</v>
      </c>
      <c r="AD241" t="e">
        <f>IF(A241="","",IF(AC241&gt;1,"REVISAR DUPLICADO",IF(AA241&lt;&gt;"","ACTUALIZADO POR EYR","SIN REPORTE EYR")))</f>
        <v>#REF!</v>
      </c>
    </row>
    <row r="242" spans="1:30" x14ac:dyDescent="0.3">
      <c r="A242" s="5" t="s">
        <v>5063</v>
      </c>
      <c r="B242" t="s">
        <v>5062</v>
      </c>
      <c r="C242" s="4" t="s">
        <v>5061</v>
      </c>
      <c r="D242" t="s">
        <v>21</v>
      </c>
      <c r="F242" t="s">
        <v>13</v>
      </c>
      <c r="G242" s="3">
        <v>8297928752</v>
      </c>
      <c r="H242" s="2">
        <v>46119</v>
      </c>
      <c r="K242" s="1">
        <f ca="1">IF(A242="","",IF(OR(L242="ENTREGADA",L242="RETORNADA",L242="ENTREGA DIGITAL"),0,MAX(0,5-NETWORKDAYS(H242+1,TODAY()))))</f>
        <v>0</v>
      </c>
      <c r="L242" t="str">
        <f>IF(A242="","",IFERROR(LOOKUP(2,1/(#REF!=Z242),#REF!),Y242))</f>
        <v>ENTREGADA</v>
      </c>
      <c r="Y242" t="s">
        <v>1956</v>
      </c>
      <c r="Z242" t="str">
        <f>IF(A242="","",TEXT(A242,"0")&amp;"|"&amp;TEXT(H242,"0"))</f>
        <v>4921017765869640|46119</v>
      </c>
      <c r="AA242" t="str">
        <f>IF(Z242="","",IFERROR(LOOKUP(2,1/(#REF!=Z242),#REF!),""))</f>
        <v/>
      </c>
      <c r="AB242" t="str">
        <f>IF(Z242="","",IFERROR(LOOKUP(2,1/(#REF!=Z242),#REF!),""))</f>
        <v/>
      </c>
      <c r="AC242" t="e">
        <f>IF(Z242="","",COUNTIF(#REF!,Z242))</f>
        <v>#REF!</v>
      </c>
      <c r="AD242" t="e">
        <f>IF(A242="","",IF(AC242&gt;1,"REVISAR DUPLICADO",IF(AA242&lt;&gt;"","ACTUALIZADO POR EYR","SIN REPORTE EYR")))</f>
        <v>#REF!</v>
      </c>
    </row>
    <row r="243" spans="1:30" x14ac:dyDescent="0.3">
      <c r="A243" s="5" t="s">
        <v>5060</v>
      </c>
      <c r="B243" t="s">
        <v>5059</v>
      </c>
      <c r="C243" s="4" t="s">
        <v>5058</v>
      </c>
      <c r="D243" t="s">
        <v>21</v>
      </c>
      <c r="F243" t="s">
        <v>243</v>
      </c>
      <c r="G243" s="3">
        <v>8298174195</v>
      </c>
      <c r="H243" s="2">
        <v>46119</v>
      </c>
      <c r="K243" s="1">
        <f ca="1">IF(A243="","",IF(OR(L243="ENTREGADA",L243="RETORNADA",L243="ENTREGA DIGITAL"),0,MAX(0,5-NETWORKDAYS(H243+1,TODAY()))))</f>
        <v>0</v>
      </c>
      <c r="L243" t="str">
        <f>IF(A243="","",IFERROR(LOOKUP(2,1/(#REF!=Z243),#REF!),Y243))</f>
        <v>ENTREGADA</v>
      </c>
      <c r="Y243" t="s">
        <v>1956</v>
      </c>
      <c r="Z243" t="str">
        <f>IF(A243="","",TEXT(A243,"0")&amp;"|"&amp;TEXT(H243,"0"))</f>
        <v>5415017767986280|46119</v>
      </c>
      <c r="AA243" t="str">
        <f>IF(Z243="","",IFERROR(LOOKUP(2,1/(#REF!=Z243),#REF!),""))</f>
        <v/>
      </c>
      <c r="AB243" t="str">
        <f>IF(Z243="","",IFERROR(LOOKUP(2,1/(#REF!=Z243),#REF!),""))</f>
        <v/>
      </c>
      <c r="AC243" t="e">
        <f>IF(Z243="","",COUNTIF(#REF!,Z243))</f>
        <v>#REF!</v>
      </c>
      <c r="AD243" t="e">
        <f>IF(A243="","",IF(AC243&gt;1,"REVISAR DUPLICADO",IF(AA243&lt;&gt;"","ACTUALIZADO POR EYR","SIN REPORTE EYR")))</f>
        <v>#REF!</v>
      </c>
    </row>
    <row r="244" spans="1:30" x14ac:dyDescent="0.3">
      <c r="A244" s="5" t="s">
        <v>5057</v>
      </c>
      <c r="B244" t="s">
        <v>5056</v>
      </c>
      <c r="C244" s="4" t="s">
        <v>5055</v>
      </c>
      <c r="D244" t="s">
        <v>21</v>
      </c>
      <c r="F244" t="s">
        <v>13</v>
      </c>
      <c r="G244" s="3">
        <v>8296417852</v>
      </c>
      <c r="H244" s="2">
        <v>46119</v>
      </c>
      <c r="K244" s="1">
        <f ca="1">IF(A244="","",IF(OR(L244="ENTREGADA",L244="RETORNADA",L244="ENTREGA DIGITAL"),0,MAX(0,5-NETWORKDAYS(H244+1,TODAY()))))</f>
        <v>0</v>
      </c>
      <c r="L244" t="str">
        <f>IF(A244="","",IFERROR(LOOKUP(2,1/(#REF!=Z244),#REF!),Y244))</f>
        <v>ENTREGADA</v>
      </c>
      <c r="Y244" t="s">
        <v>1956</v>
      </c>
      <c r="Z244" t="str">
        <f>IF(A244="","",TEXT(A244,"0")&amp;"|"&amp;TEXT(H244,"0"))</f>
        <v>5415017769057160|46119</v>
      </c>
      <c r="AA244" t="str">
        <f>IF(Z244="","",IFERROR(LOOKUP(2,1/(#REF!=Z244),#REF!),""))</f>
        <v/>
      </c>
      <c r="AB244" t="str">
        <f>IF(Z244="","",IFERROR(LOOKUP(2,1/(#REF!=Z244),#REF!),""))</f>
        <v/>
      </c>
      <c r="AC244" t="e">
        <f>IF(Z244="","",COUNTIF(#REF!,Z244))</f>
        <v>#REF!</v>
      </c>
      <c r="AD244" t="e">
        <f>IF(A244="","",IF(AC244&gt;1,"REVISAR DUPLICADO",IF(AA244&lt;&gt;"","ACTUALIZADO POR EYR","SIN REPORTE EYR")))</f>
        <v>#REF!</v>
      </c>
    </row>
    <row r="245" spans="1:30" x14ac:dyDescent="0.3">
      <c r="A245" s="9" t="s">
        <v>5054</v>
      </c>
      <c r="B245" t="s">
        <v>5053</v>
      </c>
      <c r="C245" s="4" t="s">
        <v>5052</v>
      </c>
      <c r="D245" t="s">
        <v>21</v>
      </c>
      <c r="F245" t="s">
        <v>879</v>
      </c>
      <c r="G245" s="3">
        <v>8498789369</v>
      </c>
      <c r="H245" s="2">
        <v>46119</v>
      </c>
      <c r="K245" s="1">
        <f ca="1">IF(A245="","",IF(OR(L245="ENTREGADA",L245="RETORNADA",L245="ENTREGA DIGITAL"),0,MAX(0,5-NETWORKDAYS(H245+1,TODAY()))))</f>
        <v>0</v>
      </c>
      <c r="L245" t="str">
        <f>IF(A245="","",IFERROR(LOOKUP(2,1/(#REF!=Z245),#REF!),Y245))</f>
        <v>RETORNADA</v>
      </c>
      <c r="Y245" t="s">
        <v>1857</v>
      </c>
      <c r="Z245" t="str">
        <f>IF(A245="","",TEXT(A245,"0")&amp;"|"&amp;TEXT(H245,"0"))</f>
        <v>5188017769880880|46119</v>
      </c>
      <c r="AA245" t="str">
        <f>IF(Z245="","",IFERROR(LOOKUP(2,1/(#REF!=Z245),#REF!),""))</f>
        <v/>
      </c>
      <c r="AB245" t="str">
        <f>IF(Z245="","",IFERROR(LOOKUP(2,1/(#REF!=Z245),#REF!),""))</f>
        <v/>
      </c>
      <c r="AC245" t="e">
        <f>IF(Z245="","",COUNTIF(#REF!,Z245))</f>
        <v>#REF!</v>
      </c>
      <c r="AD245" t="e">
        <f>IF(A245="","",IF(AC245&gt;1,"REVISAR DUPLICADO",IF(AA245&lt;&gt;"","ACTUALIZADO POR EYR","SIN REPORTE EYR")))</f>
        <v>#REF!</v>
      </c>
    </row>
    <row r="246" spans="1:30" x14ac:dyDescent="0.3">
      <c r="A246" s="9" t="s">
        <v>5051</v>
      </c>
      <c r="B246" t="s">
        <v>5050</v>
      </c>
      <c r="C246" s="4" t="s">
        <v>5049</v>
      </c>
      <c r="D246" t="s">
        <v>21</v>
      </c>
      <c r="F246" t="s">
        <v>5048</v>
      </c>
      <c r="G246" s="3">
        <v>8092127326</v>
      </c>
      <c r="H246" s="2">
        <v>46119</v>
      </c>
      <c r="K246" s="1">
        <f ca="1">IF(A246="","",IF(OR(L246="ENTREGADA",L246="RETORNADA",L246="ENTREGA DIGITAL"),0,MAX(0,5-NETWORKDAYS(H246+1,TODAY()))))</f>
        <v>0</v>
      </c>
      <c r="L246" t="str">
        <f>IF(A246="","",IFERROR(LOOKUP(2,1/(#REF!=Z246),#REF!),Y246))</f>
        <v>RETORNADA</v>
      </c>
      <c r="Y246" t="s">
        <v>1857</v>
      </c>
      <c r="Z246" t="str">
        <f>IF(A246="","",TEXT(A246,"0")&amp;"|"&amp;TEXT(H246,"0"))</f>
        <v>5415017767928270|46119</v>
      </c>
      <c r="AA246" t="str">
        <f>IF(Z246="","",IFERROR(LOOKUP(2,1/(#REF!=Z246),#REF!),""))</f>
        <v/>
      </c>
      <c r="AB246" t="str">
        <f>IF(Z246="","",IFERROR(LOOKUP(2,1/(#REF!=Z246),#REF!),""))</f>
        <v/>
      </c>
      <c r="AC246" t="e">
        <f>IF(Z246="","",COUNTIF(#REF!,Z246))</f>
        <v>#REF!</v>
      </c>
      <c r="AD246" t="e">
        <f>IF(A246="","",IF(AC246&gt;1,"REVISAR DUPLICADO",IF(AA246&lt;&gt;"","ACTUALIZADO POR EYR","SIN REPORTE EYR")))</f>
        <v>#REF!</v>
      </c>
    </row>
    <row r="247" spans="1:30" x14ac:dyDescent="0.3">
      <c r="A247" s="5" t="s">
        <v>5047</v>
      </c>
      <c r="B247" t="s">
        <v>5046</v>
      </c>
      <c r="C247" s="4" t="s">
        <v>5045</v>
      </c>
      <c r="D247" t="s">
        <v>21</v>
      </c>
      <c r="F247" t="s">
        <v>5044</v>
      </c>
      <c r="G247" s="3">
        <v>8095297361</v>
      </c>
      <c r="H247" s="2">
        <v>46119</v>
      </c>
      <c r="K247" s="1">
        <f ca="1">IF(A247="","",IF(OR(L247="ENTREGADA",L247="RETORNADA",L247="ENTREGA DIGITAL"),0,MAX(0,5-NETWORKDAYS(H247+1,TODAY()))))</f>
        <v>0</v>
      </c>
      <c r="L247" t="str">
        <f>IF(A247="","",IFERROR(LOOKUP(2,1/(#REF!=Z247),#REF!),Y247))</f>
        <v>ENTREGADA</v>
      </c>
      <c r="Y247" t="s">
        <v>1956</v>
      </c>
      <c r="Z247" t="str">
        <f>IF(A247="","",TEXT(A247,"0")&amp;"|"&amp;TEXT(H247,"0"))</f>
        <v>4025017774241990|46119</v>
      </c>
      <c r="AA247" t="str">
        <f>IF(Z247="","",IFERROR(LOOKUP(2,1/(#REF!=Z247),#REF!),""))</f>
        <v/>
      </c>
      <c r="AB247" t="str">
        <f>IF(Z247="","",IFERROR(LOOKUP(2,1/(#REF!=Z247),#REF!),""))</f>
        <v/>
      </c>
      <c r="AC247" t="e">
        <f>IF(Z247="","",COUNTIF(#REF!,Z247))</f>
        <v>#REF!</v>
      </c>
      <c r="AD247" t="e">
        <f>IF(A247="","",IF(AC247&gt;1,"REVISAR DUPLICADO",IF(AA247&lt;&gt;"","ACTUALIZADO POR EYR","SIN REPORTE EYR")))</f>
        <v>#REF!</v>
      </c>
    </row>
    <row r="248" spans="1:30" x14ac:dyDescent="0.3">
      <c r="A248" s="5" t="s">
        <v>5043</v>
      </c>
      <c r="B248" t="s">
        <v>5042</v>
      </c>
      <c r="C248" s="4" t="s">
        <v>5041</v>
      </c>
      <c r="D248" t="s">
        <v>21</v>
      </c>
      <c r="E248" t="s">
        <v>21</v>
      </c>
      <c r="F248" t="s">
        <v>62</v>
      </c>
      <c r="G248" s="3">
        <v>8498672682</v>
      </c>
      <c r="H248" s="2">
        <v>46119</v>
      </c>
      <c r="K248" s="1">
        <f ca="1">IF(A248="","",IF(OR(L248="ENTREGADA",L248="RETORNADA",L248="ENTREGA DIGITAL"),0,MAX(0,5-NETWORKDAYS(H248+1,TODAY()))))</f>
        <v>0</v>
      </c>
      <c r="L248" t="str">
        <f>IF(A248="","",IFERROR(LOOKUP(2,1/(#REF!=Z248),#REF!),Y248))</f>
        <v>ENTREGADA</v>
      </c>
      <c r="Y248" t="s">
        <v>1956</v>
      </c>
      <c r="Z248" t="str">
        <f>IF(A248="","",TEXT(A248,"0")&amp;"|"&amp;TEXT(H248,"0"))</f>
        <v>4025017773927940|46119</v>
      </c>
      <c r="AA248" t="str">
        <f>IF(Z248="","",IFERROR(LOOKUP(2,1/(#REF!=Z248),#REF!),""))</f>
        <v/>
      </c>
      <c r="AB248" t="str">
        <f>IF(Z248="","",IFERROR(LOOKUP(2,1/(#REF!=Z248),#REF!),""))</f>
        <v/>
      </c>
      <c r="AC248" t="e">
        <f>IF(Z248="","",COUNTIF(#REF!,Z248))</f>
        <v>#REF!</v>
      </c>
      <c r="AD248" t="e">
        <f>IF(A248="","",IF(AC248&gt;1,"REVISAR DUPLICADO",IF(AA248&lt;&gt;"","ACTUALIZADO POR EYR","SIN REPORTE EYR")))</f>
        <v>#REF!</v>
      </c>
    </row>
    <row r="249" spans="1:30" x14ac:dyDescent="0.3">
      <c r="A249" s="5" t="s">
        <v>5040</v>
      </c>
      <c r="B249" t="s">
        <v>5039</v>
      </c>
      <c r="C249" s="4" t="s">
        <v>5038</v>
      </c>
      <c r="D249" t="s">
        <v>21</v>
      </c>
      <c r="F249" t="s">
        <v>5037</v>
      </c>
      <c r="G249" s="3">
        <v>8094048411</v>
      </c>
      <c r="H249" s="2">
        <v>46119</v>
      </c>
      <c r="K249" s="1">
        <f ca="1">IF(A249="","",IF(OR(L249="ENTREGADA",L249="RETORNADA",L249="ENTREGA DIGITAL"),0,MAX(0,5-NETWORKDAYS(H249+1,TODAY()))))</f>
        <v>0</v>
      </c>
      <c r="L249" t="str">
        <f>IF(A249="","",IFERROR(LOOKUP(2,1/(#REF!=Z249),#REF!),Y249))</f>
        <v>ENTREGADA</v>
      </c>
      <c r="Y249" t="s">
        <v>1956</v>
      </c>
      <c r="Z249" t="str">
        <f>IF(A249="","",TEXT(A249,"0")&amp;"|"&amp;TEXT(H249,"0"))</f>
        <v>5415017769550460|46119</v>
      </c>
      <c r="AA249" t="str">
        <f>IF(Z249="","",IFERROR(LOOKUP(2,1/(#REF!=Z249),#REF!),""))</f>
        <v/>
      </c>
      <c r="AB249" t="str">
        <f>IF(Z249="","",IFERROR(LOOKUP(2,1/(#REF!=Z249),#REF!),""))</f>
        <v/>
      </c>
      <c r="AC249" t="e">
        <f>IF(Z249="","",COUNTIF(#REF!,Z249))</f>
        <v>#REF!</v>
      </c>
      <c r="AD249" t="e">
        <f>IF(A249="","",IF(AC249&gt;1,"REVISAR DUPLICADO",IF(AA249&lt;&gt;"","ACTUALIZADO POR EYR","SIN REPORTE EYR")))</f>
        <v>#REF!</v>
      </c>
    </row>
    <row r="250" spans="1:30" x14ac:dyDescent="0.3">
      <c r="A250" s="5" t="s">
        <v>5036</v>
      </c>
      <c r="B250" t="s">
        <v>5035</v>
      </c>
      <c r="C250" s="4" t="s">
        <v>5034</v>
      </c>
      <c r="D250" t="s">
        <v>21</v>
      </c>
      <c r="F250" t="s">
        <v>13</v>
      </c>
      <c r="G250" s="3">
        <v>8094854680</v>
      </c>
      <c r="H250" s="2">
        <v>46119</v>
      </c>
      <c r="K250" s="1">
        <f ca="1">IF(A250="","",IF(OR(L250="ENTREGADA",L250="RETORNADA",L250="ENTREGA DIGITAL"),0,MAX(0,5-NETWORKDAYS(H250+1,TODAY()))))</f>
        <v>0</v>
      </c>
      <c r="L250" t="str">
        <f>IF(A250="","",IFERROR(LOOKUP(2,1/(#REF!=Z250),#REF!),Y250))</f>
        <v>ENTREGADA</v>
      </c>
      <c r="Y250" t="s">
        <v>1956</v>
      </c>
      <c r="Z250" t="str">
        <f>IF(A250="","",TEXT(A250,"0")&amp;"|"&amp;TEXT(H250,"0"))</f>
        <v>4921017773375200|46119</v>
      </c>
      <c r="AA250" t="str">
        <f>IF(Z250="","",IFERROR(LOOKUP(2,1/(#REF!=Z250),#REF!),""))</f>
        <v/>
      </c>
      <c r="AB250" t="str">
        <f>IF(Z250="","",IFERROR(LOOKUP(2,1/(#REF!=Z250),#REF!),""))</f>
        <v/>
      </c>
      <c r="AC250" t="e">
        <f>IF(Z250="","",COUNTIF(#REF!,Z250))</f>
        <v>#REF!</v>
      </c>
      <c r="AD250" t="e">
        <f>IF(A250="","",IF(AC250&gt;1,"REVISAR DUPLICADO",IF(AA250&lt;&gt;"","ACTUALIZADO POR EYR","SIN REPORTE EYR")))</f>
        <v>#REF!</v>
      </c>
    </row>
    <row r="251" spans="1:30" x14ac:dyDescent="0.3">
      <c r="A251" s="5" t="s">
        <v>5033</v>
      </c>
      <c r="B251" t="s">
        <v>5032</v>
      </c>
      <c r="C251" s="4" t="s">
        <v>5031</v>
      </c>
      <c r="D251" t="s">
        <v>21</v>
      </c>
      <c r="F251" t="s">
        <v>5030</v>
      </c>
      <c r="G251" s="3">
        <v>8294423102</v>
      </c>
      <c r="H251" s="2">
        <v>46119</v>
      </c>
      <c r="K251" s="1">
        <f ca="1">IF(A251="","",IF(OR(L251="ENTREGADA",L251="RETORNADA",L251="ENTREGA DIGITAL"),0,MAX(0,5-NETWORKDAYS(H251+1,TODAY()))))</f>
        <v>0</v>
      </c>
      <c r="L251" t="str">
        <f>IF(A251="","",IFERROR(LOOKUP(2,1/(#REF!=Z251),#REF!),Y251))</f>
        <v>ENTREGADA</v>
      </c>
      <c r="Y251" t="s">
        <v>1956</v>
      </c>
      <c r="Z251" t="str">
        <f>IF(A251="","",TEXT(A251,"0")&amp;"|"&amp;TEXT(H251,"0"))</f>
        <v>4921017772699070|46119</v>
      </c>
      <c r="AA251" t="str">
        <f>IF(Z251="","",IFERROR(LOOKUP(2,1/(#REF!=Z251),#REF!),""))</f>
        <v/>
      </c>
      <c r="AB251" t="str">
        <f>IF(Z251="","",IFERROR(LOOKUP(2,1/(#REF!=Z251),#REF!),""))</f>
        <v/>
      </c>
      <c r="AC251" t="e">
        <f>IF(Z251="","",COUNTIF(#REF!,Z251))</f>
        <v>#REF!</v>
      </c>
      <c r="AD251" t="e">
        <f>IF(A251="","",IF(AC251&gt;1,"REVISAR DUPLICADO",IF(AA251&lt;&gt;"","ACTUALIZADO POR EYR","SIN REPORTE EYR")))</f>
        <v>#REF!</v>
      </c>
    </row>
    <row r="252" spans="1:30" x14ac:dyDescent="0.3">
      <c r="A252" t="s">
        <v>3581</v>
      </c>
      <c r="B252" t="s">
        <v>3580</v>
      </c>
      <c r="C252" s="4" t="s">
        <v>3579</v>
      </c>
      <c r="D252" t="s">
        <v>21</v>
      </c>
      <c r="F252" t="s">
        <v>579</v>
      </c>
      <c r="G252" s="3">
        <v>8092978850</v>
      </c>
      <c r="H252" s="2">
        <v>46119</v>
      </c>
      <c r="K252" s="1">
        <f ca="1">IF(A252="","",IF(OR(L252="ENTREGADA",L252="RETORNADA",L252="ENTREGA DIGITAL"),0,MAX(0,5-NETWORKDAYS(H252+1,TODAY()))))</f>
        <v>0</v>
      </c>
      <c r="L252" t="str">
        <f>IF(A252="","",IFERROR(LOOKUP(2,1/(#REF!=Z252),#REF!),Y252))</f>
        <v>RETORNADA</v>
      </c>
      <c r="Y252" t="s">
        <v>1857</v>
      </c>
      <c r="Z252" t="str">
        <f>IF(A252="","",TEXT(A252,"0")&amp;"|"&amp;TEXT(H252,"0"))</f>
        <v>4921017772315240|46119</v>
      </c>
      <c r="AA252" t="str">
        <f>IF(Z252="","",IFERROR(LOOKUP(2,1/(#REF!=Z252),#REF!),""))</f>
        <v/>
      </c>
      <c r="AB252" t="str">
        <f>IF(Z252="","",IFERROR(LOOKUP(2,1/(#REF!=Z252),#REF!),""))</f>
        <v/>
      </c>
      <c r="AC252" t="e">
        <f>IF(Z252="","",COUNTIF(#REF!,Z252))</f>
        <v>#REF!</v>
      </c>
      <c r="AD252" t="e">
        <f>IF(A252="","",IF(AC252&gt;1,"REVISAR DUPLICADO",IF(AA252&lt;&gt;"","ACTUALIZADO POR EYR","SIN REPORTE EYR")))</f>
        <v>#REF!</v>
      </c>
    </row>
    <row r="253" spans="1:30" x14ac:dyDescent="0.3">
      <c r="A253" s="5" t="s">
        <v>5029</v>
      </c>
      <c r="B253" t="s">
        <v>5028</v>
      </c>
      <c r="C253" s="4" t="s">
        <v>5027</v>
      </c>
      <c r="D253" t="s">
        <v>21</v>
      </c>
      <c r="F253" t="s">
        <v>5026</v>
      </c>
      <c r="G253" s="3">
        <v>8294491583</v>
      </c>
      <c r="H253" s="2">
        <v>46119</v>
      </c>
      <c r="K253" s="1">
        <f ca="1">IF(A253="","",IF(OR(L253="ENTREGADA",L253="RETORNADA",L253="ENTREGA DIGITAL"),0,MAX(0,5-NETWORKDAYS(H253+1,TODAY()))))</f>
        <v>0</v>
      </c>
      <c r="L253" t="str">
        <f>IF(A253="","",IFERROR(LOOKUP(2,1/(#REF!=Z253),#REF!),Y253))</f>
        <v>ENTREGADA</v>
      </c>
      <c r="Y253" t="s">
        <v>1956</v>
      </c>
      <c r="Z253" t="str">
        <f>IF(A253="","",TEXT(A253,"0")&amp;"|"&amp;TEXT(H253,"0"))</f>
        <v>5415017768064450|46119</v>
      </c>
      <c r="AA253" t="str">
        <f>IF(Z253="","",IFERROR(LOOKUP(2,1/(#REF!=Z253),#REF!),""))</f>
        <v/>
      </c>
      <c r="AB253" t="str">
        <f>IF(Z253="","",IFERROR(LOOKUP(2,1/(#REF!=Z253),#REF!),""))</f>
        <v/>
      </c>
      <c r="AC253" t="e">
        <f>IF(Z253="","",COUNTIF(#REF!,Z253))</f>
        <v>#REF!</v>
      </c>
      <c r="AD253" t="e">
        <f>IF(A253="","",IF(AC253&gt;1,"REVISAR DUPLICADO",IF(AA253&lt;&gt;"","ACTUALIZADO POR EYR","SIN REPORTE EYR")))</f>
        <v>#REF!</v>
      </c>
    </row>
    <row r="254" spans="1:30" x14ac:dyDescent="0.3">
      <c r="A254" t="s">
        <v>5025</v>
      </c>
      <c r="B254" t="s">
        <v>5024</v>
      </c>
      <c r="C254" s="4" t="s">
        <v>5023</v>
      </c>
      <c r="D254" t="s">
        <v>21</v>
      </c>
      <c r="F254" t="s">
        <v>13</v>
      </c>
      <c r="G254" s="3">
        <v>8495859396</v>
      </c>
      <c r="H254" s="2">
        <v>46119</v>
      </c>
      <c r="K254" s="1">
        <f ca="1">IF(A254="","",IF(OR(L254="ENTREGADA",L254="RETORNADA",L254="ENTREGA DIGITAL"),0,MAX(0,5-NETWORKDAYS(H254+1,TODAY()))))</f>
        <v>0</v>
      </c>
      <c r="L254" t="str">
        <f>IF(A254="","",IFERROR(LOOKUP(2,1/(#REF!=Z254),#REF!),Y254))</f>
        <v>ENTREGA DIGITAL</v>
      </c>
      <c r="Y254" t="s">
        <v>1396</v>
      </c>
      <c r="Z254" t="str">
        <f>IF(A254="","",TEXT(A254,"0")&amp;"|"&amp;TEXT(H254,"0"))</f>
        <v>4921017773313260|46119</v>
      </c>
      <c r="AA254" t="str">
        <f>IF(Z254="","",IFERROR(LOOKUP(2,1/(#REF!=Z254),#REF!),""))</f>
        <v/>
      </c>
      <c r="AB254" t="str">
        <f>IF(Z254="","",IFERROR(LOOKUP(2,1/(#REF!=Z254),#REF!),""))</f>
        <v/>
      </c>
      <c r="AC254" t="e">
        <f>IF(Z254="","",COUNTIF(#REF!,Z254))</f>
        <v>#REF!</v>
      </c>
      <c r="AD254" t="e">
        <f>IF(A254="","",IF(AC254&gt;1,"REVISAR DUPLICADO",IF(AA254&lt;&gt;"","ACTUALIZADO POR EYR","SIN REPORTE EYR")))</f>
        <v>#REF!</v>
      </c>
    </row>
    <row r="255" spans="1:30" x14ac:dyDescent="0.3">
      <c r="A255" s="5" t="s">
        <v>5022</v>
      </c>
      <c r="B255" t="s">
        <v>5021</v>
      </c>
      <c r="C255" s="4" t="s">
        <v>5020</v>
      </c>
      <c r="D255" t="s">
        <v>21</v>
      </c>
      <c r="F255" t="s">
        <v>13</v>
      </c>
      <c r="G255" s="3">
        <v>8092010499</v>
      </c>
      <c r="H255" s="2">
        <v>46119</v>
      </c>
      <c r="K255" s="1">
        <f ca="1">IF(A255="","",IF(OR(L255="ENTREGADA",L255="RETORNADA",L255="ENTREGA DIGITAL"),0,MAX(0,5-NETWORKDAYS(H255+1,TODAY()))))</f>
        <v>0</v>
      </c>
      <c r="L255" t="str">
        <f>IF(A255="","",IFERROR(LOOKUP(2,1/(#REF!=Z255),#REF!),Y255))</f>
        <v>ENTREGADA</v>
      </c>
      <c r="Y255" t="s">
        <v>1956</v>
      </c>
      <c r="Z255" t="str">
        <f>IF(A255="","",TEXT(A255,"0")&amp;"|"&amp;TEXT(H255,"0"))</f>
        <v>5188017655275360|46119</v>
      </c>
      <c r="AA255" t="str">
        <f>IF(Z255="","",IFERROR(LOOKUP(2,1/(#REF!=Z255),#REF!),""))</f>
        <v/>
      </c>
      <c r="AB255" t="str">
        <f>IF(Z255="","",IFERROR(LOOKUP(2,1/(#REF!=Z255),#REF!),""))</f>
        <v/>
      </c>
      <c r="AC255" t="e">
        <f>IF(Z255="","",COUNTIF(#REF!,Z255))</f>
        <v>#REF!</v>
      </c>
      <c r="AD255" t="e">
        <f>IF(A255="","",IF(AC255&gt;1,"REVISAR DUPLICADO",IF(AA255&lt;&gt;"","ACTUALIZADO POR EYR","SIN REPORTE EYR")))</f>
        <v>#REF!</v>
      </c>
    </row>
    <row r="256" spans="1:30" x14ac:dyDescent="0.3">
      <c r="A256" s="5" t="s">
        <v>5019</v>
      </c>
      <c r="B256" t="s">
        <v>5018</v>
      </c>
      <c r="C256" s="4" t="s">
        <v>5017</v>
      </c>
      <c r="D256" t="s">
        <v>21</v>
      </c>
      <c r="F256" t="s">
        <v>1824</v>
      </c>
      <c r="G256" s="3">
        <v>8099159728</v>
      </c>
      <c r="H256" s="2">
        <v>46119</v>
      </c>
      <c r="K256" s="1">
        <f ca="1">IF(A256="","",IF(OR(L256="ENTREGADA",L256="RETORNADA",L256="ENTREGA DIGITAL"),0,MAX(0,5-NETWORKDAYS(H256+1,TODAY()))))</f>
        <v>0</v>
      </c>
      <c r="L256" t="str">
        <f>IF(A256="","",IFERROR(LOOKUP(2,1/(#REF!=Z256),#REF!),Y256))</f>
        <v>ENTREGADA</v>
      </c>
      <c r="Y256" t="s">
        <v>1956</v>
      </c>
      <c r="Z256" t="str">
        <f>IF(A256="","",TEXT(A256,"0")&amp;"|"&amp;TEXT(H256,"0"))</f>
        <v>5415017627283640|46119</v>
      </c>
      <c r="AA256" t="str">
        <f>IF(Z256="","",IFERROR(LOOKUP(2,1/(#REF!=Z256),#REF!),""))</f>
        <v/>
      </c>
      <c r="AB256" t="str">
        <f>IF(Z256="","",IFERROR(LOOKUP(2,1/(#REF!=Z256),#REF!),""))</f>
        <v/>
      </c>
      <c r="AC256" t="e">
        <f>IF(Z256="","",COUNTIF(#REF!,Z256))</f>
        <v>#REF!</v>
      </c>
      <c r="AD256" t="e">
        <f>IF(A256="","",IF(AC256&gt;1,"REVISAR DUPLICADO",IF(AA256&lt;&gt;"","ACTUALIZADO POR EYR","SIN REPORTE EYR")))</f>
        <v>#REF!</v>
      </c>
    </row>
    <row r="257" spans="1:30" x14ac:dyDescent="0.3">
      <c r="A257" t="s">
        <v>5016</v>
      </c>
      <c r="B257" t="s">
        <v>5015</v>
      </c>
      <c r="C257" s="4" t="s">
        <v>5014</v>
      </c>
      <c r="D257" t="s">
        <v>1</v>
      </c>
      <c r="E257" t="s">
        <v>214</v>
      </c>
      <c r="F257" t="s">
        <v>391</v>
      </c>
      <c r="G257" s="3">
        <v>8095526666</v>
      </c>
      <c r="H257" s="2">
        <v>46119</v>
      </c>
      <c r="K257" s="1">
        <f ca="1">IF(A257="","",IF(OR(L257="ENTREGADA",L257="RETORNADA",L257="ENTREGA DIGITAL"),0,MAX(0,5-NETWORKDAYS(H257+1,TODAY()))))</f>
        <v>0</v>
      </c>
      <c r="L257" t="str">
        <f>IF(A257="","",IFERROR(LOOKUP(2,1/(#REF!=Z257),#REF!),Y257))</f>
        <v>RETORNADA</v>
      </c>
      <c r="Y257" t="s">
        <v>1857</v>
      </c>
      <c r="Z257" t="str">
        <f>IF(A257="","",TEXT(A257,"0")&amp;"|"&amp;TEXT(H257,"0"))</f>
        <v>5188017769745200|46119</v>
      </c>
      <c r="AA257" t="str">
        <f>IF(Z257="","",IFERROR(LOOKUP(2,1/(#REF!=Z257),#REF!),""))</f>
        <v/>
      </c>
      <c r="AB257" t="str">
        <f>IF(Z257="","",IFERROR(LOOKUP(2,1/(#REF!=Z257),#REF!),""))</f>
        <v/>
      </c>
      <c r="AC257" t="e">
        <f>IF(Z257="","",COUNTIF(#REF!,Z257))</f>
        <v>#REF!</v>
      </c>
      <c r="AD257" t="e">
        <f>IF(A257="","",IF(AC257&gt;1,"REVISAR DUPLICADO",IF(AA257&lt;&gt;"","ACTUALIZADO POR EYR","SIN REPORTE EYR")))</f>
        <v>#REF!</v>
      </c>
    </row>
    <row r="258" spans="1:30" x14ac:dyDescent="0.3">
      <c r="A258" t="s">
        <v>5013</v>
      </c>
      <c r="B258" t="s">
        <v>5012</v>
      </c>
      <c r="C258" s="4" t="s">
        <v>5011</v>
      </c>
      <c r="D258" t="s">
        <v>1</v>
      </c>
      <c r="E258" t="s">
        <v>214</v>
      </c>
      <c r="F258" t="s">
        <v>423</v>
      </c>
      <c r="G258" s="3">
        <v>8293984232</v>
      </c>
      <c r="H258" s="2">
        <v>46119</v>
      </c>
      <c r="K258" s="1">
        <f ca="1">IF(A258="","",IF(OR(L258="ENTREGADA",L258="RETORNADA",L258="ENTREGA DIGITAL"),0,MAX(0,5-NETWORKDAYS(H258+1,TODAY()))))</f>
        <v>0</v>
      </c>
      <c r="L258" t="str">
        <f>IF(A258="","",IFERROR(LOOKUP(2,1/(#REF!=Z258),#REF!),Y258))</f>
        <v>RETORNADA</v>
      </c>
      <c r="Y258" t="s">
        <v>1857</v>
      </c>
      <c r="Z258" t="str">
        <f>IF(A258="","",TEXT(A258,"0")&amp;"|"&amp;TEXT(H258,"0"))</f>
        <v>5188017769785500|46119</v>
      </c>
      <c r="AA258" t="str">
        <f>IF(Z258="","",IFERROR(LOOKUP(2,1/(#REF!=Z258),#REF!),""))</f>
        <v/>
      </c>
      <c r="AB258" t="str">
        <f>IF(Z258="","",IFERROR(LOOKUP(2,1/(#REF!=Z258),#REF!),""))</f>
        <v/>
      </c>
      <c r="AC258" t="e">
        <f>IF(Z258="","",COUNTIF(#REF!,Z258))</f>
        <v>#REF!</v>
      </c>
      <c r="AD258" t="e">
        <f>IF(A258="","",IF(AC258&gt;1,"REVISAR DUPLICADO",IF(AA258&lt;&gt;"","ACTUALIZADO POR EYR","SIN REPORTE EYR")))</f>
        <v>#REF!</v>
      </c>
    </row>
    <row r="259" spans="1:30" x14ac:dyDescent="0.3">
      <c r="A259" t="s">
        <v>5010</v>
      </c>
      <c r="B259" t="s">
        <v>5009</v>
      </c>
      <c r="C259" s="4" t="s">
        <v>5008</v>
      </c>
      <c r="D259" t="s">
        <v>1</v>
      </c>
      <c r="F259" t="s">
        <v>5007</v>
      </c>
      <c r="G259" s="3">
        <v>8293238536</v>
      </c>
      <c r="H259" s="2">
        <v>46119</v>
      </c>
      <c r="K259" s="1">
        <f ca="1">IF(A259="","",IF(OR(L259="ENTREGADA",L259="RETORNADA",L259="ENTREGA DIGITAL"),0,MAX(0,5-NETWORKDAYS(H259+1,TODAY()))))</f>
        <v>0</v>
      </c>
      <c r="L259" t="str">
        <f>IF(A259="","",IFERROR(LOOKUP(2,1/(#REF!=Z259),#REF!),Y259))</f>
        <v>RETORNADA</v>
      </c>
      <c r="Y259" t="s">
        <v>1857</v>
      </c>
      <c r="Z259" t="str">
        <f>IF(A259="","",TEXT(A259,"0")&amp;"|"&amp;TEXT(H259,"0"))</f>
        <v>4921017772566730|46119</v>
      </c>
      <c r="AA259" t="str">
        <f>IF(Z259="","",IFERROR(LOOKUP(2,1/(#REF!=Z259),#REF!),""))</f>
        <v/>
      </c>
      <c r="AB259" t="str">
        <f>IF(Z259="","",IFERROR(LOOKUP(2,1/(#REF!=Z259),#REF!),""))</f>
        <v/>
      </c>
      <c r="AC259" t="e">
        <f>IF(Z259="","",COUNTIF(#REF!,Z259))</f>
        <v>#REF!</v>
      </c>
      <c r="AD259" t="e">
        <f>IF(A259="","",IF(AC259&gt;1,"REVISAR DUPLICADO",IF(AA259&lt;&gt;"","ACTUALIZADO POR EYR","SIN REPORTE EYR")))</f>
        <v>#REF!</v>
      </c>
    </row>
    <row r="260" spans="1:30" x14ac:dyDescent="0.3">
      <c r="A260" s="5" t="s">
        <v>5006</v>
      </c>
      <c r="B260" t="s">
        <v>5005</v>
      </c>
      <c r="C260" s="4" t="s">
        <v>5004</v>
      </c>
      <c r="D260" t="s">
        <v>1</v>
      </c>
      <c r="E260" t="s">
        <v>214</v>
      </c>
      <c r="F260" t="s">
        <v>5003</v>
      </c>
      <c r="G260" s="3">
        <v>8093541631</v>
      </c>
      <c r="H260" s="2">
        <v>46119</v>
      </c>
      <c r="K260" s="1">
        <f ca="1">IF(A260="","",IF(OR(L260="ENTREGADA",L260="RETORNADA",L260="ENTREGA DIGITAL"),0,MAX(0,5-NETWORKDAYS(H260+1,TODAY()))))</f>
        <v>0</v>
      </c>
      <c r="L260" t="str">
        <f>IF(A260="","",IFERROR(LOOKUP(2,1/(#REF!=Z260),#REF!),Y260))</f>
        <v>ENTREGADA</v>
      </c>
      <c r="Y260" t="s">
        <v>1956</v>
      </c>
      <c r="Z260" t="str">
        <f>IF(A260="","",TEXT(A260,"0")&amp;"|"&amp;TEXT(H260,"0"))</f>
        <v>4921017772230560|46119</v>
      </c>
      <c r="AA260" t="str">
        <f>IF(Z260="","",IFERROR(LOOKUP(2,1/(#REF!=Z260),#REF!),""))</f>
        <v/>
      </c>
      <c r="AB260" t="str">
        <f>IF(Z260="","",IFERROR(LOOKUP(2,1/(#REF!=Z260),#REF!),""))</f>
        <v/>
      </c>
      <c r="AC260" t="e">
        <f>IF(Z260="","",COUNTIF(#REF!,Z260))</f>
        <v>#REF!</v>
      </c>
      <c r="AD260" t="e">
        <f>IF(A260="","",IF(AC260&gt;1,"REVISAR DUPLICADO",IF(AA260&lt;&gt;"","ACTUALIZADO POR EYR","SIN REPORTE EYR")))</f>
        <v>#REF!</v>
      </c>
    </row>
    <row r="261" spans="1:30" x14ac:dyDescent="0.3">
      <c r="A261" t="s">
        <v>5002</v>
      </c>
      <c r="B261" t="s">
        <v>5001</v>
      </c>
      <c r="C261" s="4" t="s">
        <v>5000</v>
      </c>
      <c r="D261" t="s">
        <v>1</v>
      </c>
      <c r="F261" t="s">
        <v>9</v>
      </c>
      <c r="G261" s="3">
        <v>8293767805</v>
      </c>
      <c r="H261" s="2">
        <v>46119</v>
      </c>
      <c r="K261" s="1">
        <f ca="1">IF(A261="","",IF(OR(L261="ENTREGADA",L261="RETORNADA",L261="ENTREGA DIGITAL"),0,MAX(0,5-NETWORKDAYS(H261+1,TODAY()))))</f>
        <v>0</v>
      </c>
      <c r="L261" t="str">
        <f>IF(A261="","",IFERROR(LOOKUP(2,1/(#REF!=Z261),#REF!),Y261))</f>
        <v>RETORNADA</v>
      </c>
      <c r="Y261" t="s">
        <v>1857</v>
      </c>
      <c r="Z261" t="str">
        <f>IF(A261="","",TEXT(A261,"0")&amp;"|"&amp;TEXT(H261,"0"))</f>
        <v>4921017772382440|46119</v>
      </c>
      <c r="AA261" t="str">
        <f>IF(Z261="","",IFERROR(LOOKUP(2,1/(#REF!=Z261),#REF!),""))</f>
        <v/>
      </c>
      <c r="AB261" t="str">
        <f>IF(Z261="","",IFERROR(LOOKUP(2,1/(#REF!=Z261),#REF!),""))</f>
        <v/>
      </c>
      <c r="AC261" t="e">
        <f>IF(Z261="","",COUNTIF(#REF!,Z261))</f>
        <v>#REF!</v>
      </c>
      <c r="AD261" t="e">
        <f>IF(A261="","",IF(AC261&gt;1,"REVISAR DUPLICADO",IF(AA261&lt;&gt;"","ACTUALIZADO POR EYR","SIN REPORTE EYR")))</f>
        <v>#REF!</v>
      </c>
    </row>
    <row r="262" spans="1:30" x14ac:dyDescent="0.3">
      <c r="A262" t="s">
        <v>4999</v>
      </c>
      <c r="B262" t="s">
        <v>4998</v>
      </c>
      <c r="C262" s="4" t="s">
        <v>4997</v>
      </c>
      <c r="D262" t="s">
        <v>1</v>
      </c>
      <c r="F262" t="s">
        <v>9</v>
      </c>
      <c r="G262" s="3">
        <v>8292796273</v>
      </c>
      <c r="H262" s="2">
        <v>46119</v>
      </c>
      <c r="K262" s="1">
        <f ca="1">IF(A262="","",IF(OR(L262="ENTREGADA",L262="RETORNADA",L262="ENTREGA DIGITAL"),0,MAX(0,5-NETWORKDAYS(H262+1,TODAY()))))</f>
        <v>0</v>
      </c>
      <c r="L262" t="str">
        <f>IF(A262="","",IFERROR(LOOKUP(2,1/(#REF!=Z262),#REF!),Y262))</f>
        <v>RETORNADA</v>
      </c>
      <c r="Y262" t="s">
        <v>1857</v>
      </c>
      <c r="Z262" t="str">
        <f>IF(A262="","",TEXT(A262,"0")&amp;"|"&amp;TEXT(H262,"0"))</f>
        <v>4921017772809460|46119</v>
      </c>
      <c r="AA262" t="str">
        <f>IF(Z262="","",IFERROR(LOOKUP(2,1/(#REF!=Z262),#REF!),""))</f>
        <v/>
      </c>
      <c r="AB262" t="str">
        <f>IF(Z262="","",IFERROR(LOOKUP(2,1/(#REF!=Z262),#REF!),""))</f>
        <v/>
      </c>
      <c r="AC262" t="e">
        <f>IF(Z262="","",COUNTIF(#REF!,Z262))</f>
        <v>#REF!</v>
      </c>
      <c r="AD262" t="e">
        <f>IF(A262="","",IF(AC262&gt;1,"REVISAR DUPLICADO",IF(AA262&lt;&gt;"","ACTUALIZADO POR EYR","SIN REPORTE EYR")))</f>
        <v>#REF!</v>
      </c>
    </row>
    <row r="263" spans="1:30" x14ac:dyDescent="0.3">
      <c r="A263" t="s">
        <v>2868</v>
      </c>
      <c r="B263" t="s">
        <v>2867</v>
      </c>
      <c r="C263" s="4" t="s">
        <v>2866</v>
      </c>
      <c r="D263" t="s">
        <v>1</v>
      </c>
      <c r="F263" t="s">
        <v>13</v>
      </c>
      <c r="G263" s="3">
        <v>8094539601</v>
      </c>
      <c r="H263" s="2">
        <v>46119</v>
      </c>
      <c r="K263" s="1">
        <f ca="1">IF(A263="","",IF(OR(L263="ENTREGADA",L263="RETORNADA",L263="ENTREGA DIGITAL"),0,MAX(0,5-NETWORKDAYS(H263+1,TODAY()))))</f>
        <v>0</v>
      </c>
      <c r="L263" t="str">
        <f>IF(A263="","",IFERROR(LOOKUP(2,1/(#REF!=Z263),#REF!),Y263))</f>
        <v>RETORNADA</v>
      </c>
      <c r="Y263" t="s">
        <v>1857</v>
      </c>
      <c r="Z263" t="str">
        <f>IF(A263="","",TEXT(A263,"0")&amp;"|"&amp;TEXT(H263,"0"))</f>
        <v>4025017691106210|46119</v>
      </c>
      <c r="AA263" t="str">
        <f>IF(Z263="","",IFERROR(LOOKUP(2,1/(#REF!=Z263),#REF!),""))</f>
        <v/>
      </c>
      <c r="AB263" t="str">
        <f>IF(Z263="","",IFERROR(LOOKUP(2,1/(#REF!=Z263),#REF!),""))</f>
        <v/>
      </c>
      <c r="AC263" t="e">
        <f>IF(Z263="","",COUNTIF(#REF!,Z263))</f>
        <v>#REF!</v>
      </c>
      <c r="AD263" t="e">
        <f>IF(A263="","",IF(AC263&gt;1,"REVISAR DUPLICADO",IF(AA263&lt;&gt;"","ACTUALIZADO POR EYR","SIN REPORTE EYR")))</f>
        <v>#REF!</v>
      </c>
    </row>
    <row r="264" spans="1:30" x14ac:dyDescent="0.3">
      <c r="A264" s="5" t="s">
        <v>4996</v>
      </c>
      <c r="B264" t="s">
        <v>4995</v>
      </c>
      <c r="C264" s="4" t="s">
        <v>4994</v>
      </c>
      <c r="D264" t="s">
        <v>1</v>
      </c>
      <c r="F264" t="s">
        <v>0</v>
      </c>
      <c r="G264" s="3">
        <v>8099594749</v>
      </c>
      <c r="H264" s="2">
        <v>46119</v>
      </c>
      <c r="K264" s="1">
        <f ca="1">IF(A264="","",IF(OR(L264="ENTREGADA",L264="RETORNADA",L264="ENTREGA DIGITAL"),0,MAX(0,5-NETWORKDAYS(H264+1,TODAY()))))</f>
        <v>0</v>
      </c>
      <c r="L264" t="str">
        <f>IF(A264="","",IFERROR(LOOKUP(2,1/(#REF!=Z264),#REF!),Y264))</f>
        <v>ENTREGADA</v>
      </c>
      <c r="Y264" t="s">
        <v>1956</v>
      </c>
      <c r="Z264" t="str">
        <f>IF(A264="","",TEXT(A264,"0")&amp;"|"&amp;TEXT(H264,"0"))</f>
        <v>5415017680123510|46119</v>
      </c>
      <c r="AA264" t="str">
        <f>IF(Z264="","",IFERROR(LOOKUP(2,1/(#REF!=Z264),#REF!),""))</f>
        <v/>
      </c>
      <c r="AB264" t="str">
        <f>IF(Z264="","",IFERROR(LOOKUP(2,1/(#REF!=Z264),#REF!),""))</f>
        <v/>
      </c>
      <c r="AC264" t="e">
        <f>IF(Z264="","",COUNTIF(#REF!,Z264))</f>
        <v>#REF!</v>
      </c>
      <c r="AD264" t="e">
        <f>IF(A264="","",IF(AC264&gt;1,"REVISAR DUPLICADO",IF(AA264&lt;&gt;"","ACTUALIZADO POR EYR","SIN REPORTE EYR")))</f>
        <v>#REF!</v>
      </c>
    </row>
    <row r="265" spans="1:30" x14ac:dyDescent="0.3">
      <c r="A265" s="5" t="s">
        <v>4993</v>
      </c>
      <c r="B265" t="s">
        <v>4992</v>
      </c>
      <c r="C265" s="4" t="s">
        <v>4991</v>
      </c>
      <c r="D265" t="s">
        <v>77</v>
      </c>
      <c r="F265" t="s">
        <v>13</v>
      </c>
      <c r="G265" s="3">
        <v>8299663382</v>
      </c>
      <c r="H265" s="2">
        <v>46120</v>
      </c>
      <c r="I265" t="s">
        <v>1397</v>
      </c>
      <c r="K265" s="1">
        <f ca="1">IF(A265="","",IF(OR(L265="ENTREGADA",L265="RETORNADA",L265="ENTREGA DIGITAL"),0,MAX(0,5-NETWORKDAYS(H265+1,TODAY()))))</f>
        <v>0</v>
      </c>
      <c r="L265" t="str">
        <f>IF(A265="","",IFERROR(LOOKUP(2,1/(#REF!=Z265),#REF!),Y265))</f>
        <v>ENTREGADA</v>
      </c>
      <c r="Y265" t="s">
        <v>1956</v>
      </c>
      <c r="Z265" t="str">
        <f>IF(A265="","",TEXT(A265,"0")&amp;"|"&amp;TEXT(H265,"0"))</f>
        <v>4921017777588860|46120</v>
      </c>
      <c r="AA265" t="str">
        <f>IF(Z265="","",IFERROR(LOOKUP(2,1/(#REF!=Z265),#REF!),""))</f>
        <v/>
      </c>
      <c r="AB265" t="str">
        <f>IF(Z265="","",IFERROR(LOOKUP(2,1/(#REF!=Z265),#REF!),""))</f>
        <v/>
      </c>
      <c r="AC265" t="e">
        <f>IF(Z265="","",COUNTIF(#REF!,Z265))</f>
        <v>#REF!</v>
      </c>
      <c r="AD265" t="e">
        <f>IF(A265="","",IF(AC265&gt;1,"REVISAR DUPLICADO",IF(AA265&lt;&gt;"","ACTUALIZADO POR EYR","SIN REPORTE EYR")))</f>
        <v>#REF!</v>
      </c>
    </row>
    <row r="266" spans="1:30" x14ac:dyDescent="0.3">
      <c r="A266" s="5" t="s">
        <v>4990</v>
      </c>
      <c r="B266" t="s">
        <v>4989</v>
      </c>
      <c r="C266" s="4" t="s">
        <v>4988</v>
      </c>
      <c r="D266" t="s">
        <v>77</v>
      </c>
      <c r="F266" t="s">
        <v>13</v>
      </c>
      <c r="G266" s="3">
        <v>8292284866</v>
      </c>
      <c r="H266" s="2">
        <v>46120</v>
      </c>
      <c r="I266" t="s">
        <v>1397</v>
      </c>
      <c r="K266" s="1">
        <f ca="1">IF(A266="","",IF(OR(L266="ENTREGADA",L266="RETORNADA",L266="ENTREGA DIGITAL"),0,MAX(0,5-NETWORKDAYS(H266+1,TODAY()))))</f>
        <v>0</v>
      </c>
      <c r="L266" t="str">
        <f>IF(A266="","",IFERROR(LOOKUP(2,1/(#REF!=Z266),#REF!),Y266))</f>
        <v>ENTREGADA</v>
      </c>
      <c r="Y266" t="s">
        <v>1956</v>
      </c>
      <c r="Z266" t="str">
        <f>IF(A266="","",TEXT(A266,"0")&amp;"|"&amp;TEXT(H266,"0"))</f>
        <v>4966017776491230|46120</v>
      </c>
      <c r="AA266" t="str">
        <f>IF(Z266="","",IFERROR(LOOKUP(2,1/(#REF!=Z266),#REF!),""))</f>
        <v/>
      </c>
      <c r="AB266" t="str">
        <f>IF(Z266="","",IFERROR(LOOKUP(2,1/(#REF!=Z266),#REF!),""))</f>
        <v/>
      </c>
      <c r="AC266" t="e">
        <f>IF(Z266="","",COUNTIF(#REF!,Z266))</f>
        <v>#REF!</v>
      </c>
      <c r="AD266" t="e">
        <f>IF(A266="","",IF(AC266&gt;1,"REVISAR DUPLICADO",IF(AA266&lt;&gt;"","ACTUALIZADO POR EYR","SIN REPORTE EYR")))</f>
        <v>#REF!</v>
      </c>
    </row>
    <row r="267" spans="1:30" x14ac:dyDescent="0.3">
      <c r="A267" s="5" t="s">
        <v>4987</v>
      </c>
      <c r="B267" t="s">
        <v>4986</v>
      </c>
      <c r="C267" s="4" t="s">
        <v>4985</v>
      </c>
      <c r="D267" t="s">
        <v>77</v>
      </c>
      <c r="F267" t="s">
        <v>13</v>
      </c>
      <c r="G267" s="3">
        <v>8293458676</v>
      </c>
      <c r="H267" s="2">
        <v>46120</v>
      </c>
      <c r="K267" s="1">
        <f ca="1">IF(A267="","",IF(OR(L267="ENTREGADA",L267="RETORNADA",L267="ENTREGA DIGITAL"),0,MAX(0,5-NETWORKDAYS(H267+1,TODAY()))))</f>
        <v>0</v>
      </c>
      <c r="L267" t="str">
        <f>IF(A267="","",IFERROR(LOOKUP(2,1/(#REF!=Z267),#REF!),Y267))</f>
        <v>RETORNADA</v>
      </c>
      <c r="Y267" t="s">
        <v>1857</v>
      </c>
      <c r="Z267" t="str">
        <f>IF(A267="","",TEXT(A267,"0")&amp;"|"&amp;TEXT(H267,"0"))</f>
        <v>4921017777644990|46120</v>
      </c>
      <c r="AA267" t="str">
        <f>IF(Z267="","",IFERROR(LOOKUP(2,1/(#REF!=Z267),#REF!),""))</f>
        <v/>
      </c>
      <c r="AB267" t="str">
        <f>IF(Z267="","",IFERROR(LOOKUP(2,1/(#REF!=Z267),#REF!),""))</f>
        <v/>
      </c>
      <c r="AC267" t="e">
        <f>IF(Z267="","",COUNTIF(#REF!,Z267))</f>
        <v>#REF!</v>
      </c>
      <c r="AD267" t="e">
        <f>IF(A267="","",IF(AC267&gt;1,"REVISAR DUPLICADO",IF(AA267&lt;&gt;"","ACTUALIZADO POR EYR","SIN REPORTE EYR")))</f>
        <v>#REF!</v>
      </c>
    </row>
    <row r="268" spans="1:30" x14ac:dyDescent="0.3">
      <c r="A268" s="5" t="s">
        <v>4984</v>
      </c>
      <c r="B268" t="s">
        <v>4983</v>
      </c>
      <c r="C268" s="4" t="s">
        <v>4982</v>
      </c>
      <c r="D268" t="s">
        <v>77</v>
      </c>
      <c r="F268" t="s">
        <v>13</v>
      </c>
      <c r="G268" s="3">
        <v>8293841797</v>
      </c>
      <c r="H268" s="2">
        <v>46120</v>
      </c>
      <c r="I268" t="s">
        <v>1397</v>
      </c>
      <c r="K268" s="1">
        <f ca="1">IF(A268="","",IF(OR(L268="ENTREGADA",L268="RETORNADA",L268="ENTREGA DIGITAL"),0,MAX(0,5-NETWORKDAYS(H268+1,TODAY()))))</f>
        <v>0</v>
      </c>
      <c r="L268" t="str">
        <f>IF(A268="","",IFERROR(LOOKUP(2,1/(#REF!=Z268),#REF!),Y268))</f>
        <v>ENTREGADA</v>
      </c>
      <c r="Y268" t="s">
        <v>1956</v>
      </c>
      <c r="Z268" t="str">
        <f>IF(A268="","",TEXT(A268,"0")&amp;"|"&amp;TEXT(H268,"0"))</f>
        <v>5415017775728560|46120</v>
      </c>
      <c r="AA268" t="str">
        <f>IF(Z268="","",IFERROR(LOOKUP(2,1/(#REF!=Z268),#REF!),""))</f>
        <v/>
      </c>
      <c r="AB268" t="str">
        <f>IF(Z268="","",IFERROR(LOOKUP(2,1/(#REF!=Z268),#REF!),""))</f>
        <v/>
      </c>
      <c r="AC268" t="e">
        <f>IF(Z268="","",COUNTIF(#REF!,Z268))</f>
        <v>#REF!</v>
      </c>
      <c r="AD268" t="e">
        <f>IF(A268="","",IF(AC268&gt;1,"REVISAR DUPLICADO",IF(AA268&lt;&gt;"","ACTUALIZADO POR EYR","SIN REPORTE EYR")))</f>
        <v>#REF!</v>
      </c>
    </row>
    <row r="269" spans="1:30" x14ac:dyDescent="0.3">
      <c r="A269" s="5" t="s">
        <v>4981</v>
      </c>
      <c r="B269" t="s">
        <v>1286</v>
      </c>
      <c r="C269" s="4" t="s">
        <v>4980</v>
      </c>
      <c r="D269" t="s">
        <v>77</v>
      </c>
      <c r="F269" t="s">
        <v>13</v>
      </c>
      <c r="G269" s="3">
        <v>6733235</v>
      </c>
      <c r="H269" s="2">
        <v>46120</v>
      </c>
      <c r="I269" t="s">
        <v>1397</v>
      </c>
      <c r="K269" s="1">
        <f ca="1">IF(A269="","",IF(OR(L269="ENTREGADA",L269="RETORNADA",L269="ENTREGA DIGITAL"),0,MAX(0,5-NETWORKDAYS(H269+1,TODAY()))))</f>
        <v>0</v>
      </c>
      <c r="L269" t="str">
        <f>IF(A269="","",IFERROR(LOOKUP(2,1/(#REF!=Z269),#REF!),Y269))</f>
        <v>ENTREGADA</v>
      </c>
      <c r="Y269" t="s">
        <v>1956</v>
      </c>
      <c r="Z269" t="str">
        <f>IF(A269="","",TEXT(A269,"0")&amp;"|"&amp;TEXT(H269,"0"))</f>
        <v>4741017774983190|46120</v>
      </c>
      <c r="AA269" t="str">
        <f>IF(Z269="","",IFERROR(LOOKUP(2,1/(#REF!=Z269),#REF!),""))</f>
        <v/>
      </c>
      <c r="AB269" t="str">
        <f>IF(Z269="","",IFERROR(LOOKUP(2,1/(#REF!=Z269),#REF!),""))</f>
        <v/>
      </c>
      <c r="AC269" t="e">
        <f>IF(Z269="","",COUNTIF(#REF!,Z269))</f>
        <v>#REF!</v>
      </c>
      <c r="AD269" t="e">
        <f>IF(A269="","",IF(AC269&gt;1,"REVISAR DUPLICADO",IF(AA269&lt;&gt;"","ACTUALIZADO POR EYR","SIN REPORTE EYR")))</f>
        <v>#REF!</v>
      </c>
    </row>
    <row r="270" spans="1:30" x14ac:dyDescent="0.3">
      <c r="A270" s="5" t="s">
        <v>1841</v>
      </c>
      <c r="B270" t="s">
        <v>1840</v>
      </c>
      <c r="C270" s="4" t="s">
        <v>1839</v>
      </c>
      <c r="D270" t="s">
        <v>77</v>
      </c>
      <c r="F270" t="s">
        <v>13</v>
      </c>
      <c r="G270" s="3">
        <v>8095541945</v>
      </c>
      <c r="H270" s="2">
        <v>46120</v>
      </c>
      <c r="K270" s="1">
        <f ca="1">IF(A270="","",IF(OR(L270="ENTREGADA",L270="RETORNADA",L270="ENTREGA DIGITAL"),0,MAX(0,5-NETWORKDAYS(H270+1,TODAY()))))</f>
        <v>0</v>
      </c>
      <c r="L270" t="str">
        <f>IF(A270="","",IFERROR(LOOKUP(2,1/(#REF!=Z270),#REF!),Y270))</f>
        <v>RETORNADA</v>
      </c>
      <c r="Y270" t="s">
        <v>1857</v>
      </c>
      <c r="Z270" t="str">
        <f>IF(A270="","",TEXT(A270,"0")&amp;"|"&amp;TEXT(H270,"0"))</f>
        <v>4921017777637290|46120</v>
      </c>
      <c r="AA270" t="str">
        <f>IF(Z270="","",IFERROR(LOOKUP(2,1/(#REF!=Z270),#REF!),""))</f>
        <v/>
      </c>
      <c r="AB270" t="str">
        <f>IF(Z270="","",IFERROR(LOOKUP(2,1/(#REF!=Z270),#REF!),""))</f>
        <v/>
      </c>
      <c r="AC270" t="e">
        <f>IF(Z270="","",COUNTIF(#REF!,Z270))</f>
        <v>#REF!</v>
      </c>
      <c r="AD270" t="e">
        <f>IF(A270="","",IF(AC270&gt;1,"REVISAR DUPLICADO",IF(AA270&lt;&gt;"","ACTUALIZADO POR EYR","SIN REPORTE EYR")))</f>
        <v>#REF!</v>
      </c>
    </row>
    <row r="271" spans="1:30" x14ac:dyDescent="0.3">
      <c r="A271" s="5" t="s">
        <v>4979</v>
      </c>
      <c r="B271" t="s">
        <v>4978</v>
      </c>
      <c r="C271" s="4" t="s">
        <v>4977</v>
      </c>
      <c r="D271" t="s">
        <v>77</v>
      </c>
      <c r="F271" t="s">
        <v>4782</v>
      </c>
      <c r="G271" s="3">
        <v>8297436526</v>
      </c>
      <c r="H271" s="2">
        <v>46120</v>
      </c>
      <c r="K271" s="1">
        <f ca="1">IF(A271="","",IF(OR(L271="ENTREGADA",L271="RETORNADA",L271="ENTREGA DIGITAL"),0,MAX(0,5-NETWORKDAYS(H271+1,TODAY()))))</f>
        <v>0</v>
      </c>
      <c r="L271" t="str">
        <f>IF(A271="","",IFERROR(LOOKUP(2,1/(#REF!=Z271),#REF!),Y271))</f>
        <v>RETORNADA</v>
      </c>
      <c r="Y271" t="s">
        <v>1857</v>
      </c>
      <c r="Z271" t="str">
        <f>IF(A271="","",TEXT(A271,"0")&amp;"|"&amp;TEXT(H271,"0"))</f>
        <v>5227017775924520|46120</v>
      </c>
      <c r="AA271" t="str">
        <f>IF(Z271="","",IFERROR(LOOKUP(2,1/(#REF!=Z271),#REF!),""))</f>
        <v/>
      </c>
      <c r="AB271" t="str">
        <f>IF(Z271="","",IFERROR(LOOKUP(2,1/(#REF!=Z271),#REF!),""))</f>
        <v/>
      </c>
      <c r="AC271" t="e">
        <f>IF(Z271="","",COUNTIF(#REF!,Z271))</f>
        <v>#REF!</v>
      </c>
      <c r="AD271" t="e">
        <f>IF(A271="","",IF(AC271&gt;1,"REVISAR DUPLICADO",IF(AA271&lt;&gt;"","ACTUALIZADO POR EYR","SIN REPORTE EYR")))</f>
        <v>#REF!</v>
      </c>
    </row>
    <row r="272" spans="1:30" x14ac:dyDescent="0.3">
      <c r="A272" s="5" t="s">
        <v>4976</v>
      </c>
      <c r="B272" t="s">
        <v>4975</v>
      </c>
      <c r="C272" s="4" t="s">
        <v>4974</v>
      </c>
      <c r="D272" t="s">
        <v>77</v>
      </c>
      <c r="F272" t="s">
        <v>4973</v>
      </c>
      <c r="G272" s="3">
        <v>8293280531</v>
      </c>
      <c r="H272" s="2">
        <v>46120</v>
      </c>
      <c r="K272" s="1">
        <f ca="1">IF(A272="","",IF(OR(L272="ENTREGADA",L272="RETORNADA",L272="ENTREGA DIGITAL"),0,MAX(0,5-NETWORKDAYS(H272+1,TODAY()))))</f>
        <v>0</v>
      </c>
      <c r="L272" t="str">
        <f>IF(A272="","",IFERROR(LOOKUP(2,1/(#REF!=Z272),#REF!),Y272))</f>
        <v>RETORNADA</v>
      </c>
      <c r="Y272" t="s">
        <v>1857</v>
      </c>
      <c r="Z272" t="str">
        <f>IF(A272="","",TEXT(A272,"0")&amp;"|"&amp;TEXT(H272,"0"))</f>
        <v>4921017776733990|46120</v>
      </c>
      <c r="AA272" t="str">
        <f>IF(Z272="","",IFERROR(LOOKUP(2,1/(#REF!=Z272),#REF!),""))</f>
        <v/>
      </c>
      <c r="AB272" t="str">
        <f>IF(Z272="","",IFERROR(LOOKUP(2,1/(#REF!=Z272),#REF!),""))</f>
        <v/>
      </c>
      <c r="AC272" t="e">
        <f>IF(Z272="","",COUNTIF(#REF!,Z272))</f>
        <v>#REF!</v>
      </c>
      <c r="AD272" t="e">
        <f>IF(A272="","",IF(AC272&gt;1,"REVISAR DUPLICADO",IF(AA272&lt;&gt;"","ACTUALIZADO POR EYR","SIN REPORTE EYR")))</f>
        <v>#REF!</v>
      </c>
    </row>
    <row r="273" spans="1:30" x14ac:dyDescent="0.3">
      <c r="A273" s="5" t="s">
        <v>4972</v>
      </c>
      <c r="B273" t="s">
        <v>4971</v>
      </c>
      <c r="C273" s="4" t="s">
        <v>4970</v>
      </c>
      <c r="D273" t="s">
        <v>77</v>
      </c>
      <c r="E273" t="s">
        <v>214</v>
      </c>
      <c r="F273" t="s">
        <v>4969</v>
      </c>
      <c r="G273" s="3">
        <v>8299141002</v>
      </c>
      <c r="H273" s="2">
        <v>46120</v>
      </c>
      <c r="K273" s="1">
        <f ca="1">IF(A273="","",IF(OR(L273="ENTREGADA",L273="RETORNADA",L273="ENTREGA DIGITAL"),0,MAX(0,5-NETWORKDAYS(H273+1,TODAY()))))</f>
        <v>0</v>
      </c>
      <c r="L273" t="str">
        <f>IF(A273="","",IFERROR(LOOKUP(2,1/(#REF!=Z273),#REF!),Y273))</f>
        <v>RETORNADA</v>
      </c>
      <c r="Y273" t="s">
        <v>1857</v>
      </c>
      <c r="Z273" t="str">
        <f>IF(A273="","",TEXT(A273,"0")&amp;"|"&amp;TEXT(H273,"0"))</f>
        <v>4921017776708390|46120</v>
      </c>
      <c r="AA273" t="str">
        <f>IF(Z273="","",IFERROR(LOOKUP(2,1/(#REF!=Z273),#REF!),""))</f>
        <v/>
      </c>
      <c r="AB273" t="str">
        <f>IF(Z273="","",IFERROR(LOOKUP(2,1/(#REF!=Z273),#REF!),""))</f>
        <v/>
      </c>
      <c r="AC273" t="e">
        <f>IF(Z273="","",COUNTIF(#REF!,Z273))</f>
        <v>#REF!</v>
      </c>
      <c r="AD273" t="e">
        <f>IF(A273="","",IF(AC273&gt;1,"REVISAR DUPLICADO",IF(AA273&lt;&gt;"","ACTUALIZADO POR EYR","SIN REPORTE EYR")))</f>
        <v>#REF!</v>
      </c>
    </row>
    <row r="274" spans="1:30" x14ac:dyDescent="0.3">
      <c r="A274" s="5" t="s">
        <v>2974</v>
      </c>
      <c r="B274" t="s">
        <v>2973</v>
      </c>
      <c r="C274" s="4" t="s">
        <v>2972</v>
      </c>
      <c r="D274" t="s">
        <v>77</v>
      </c>
      <c r="F274" t="s">
        <v>13</v>
      </c>
      <c r="G274" s="3">
        <v>8299941540</v>
      </c>
      <c r="H274" s="2">
        <v>46120</v>
      </c>
      <c r="K274" s="1">
        <f ca="1">IF(A274="","",IF(OR(L274="ENTREGADA",L274="RETORNADA",L274="ENTREGA DIGITAL"),0,MAX(0,5-NETWORKDAYS(H274+1,TODAY()))))</f>
        <v>0</v>
      </c>
      <c r="L274" t="str">
        <f>IF(A274="","",IFERROR(LOOKUP(2,1/(#REF!=Z274),#REF!),Y274))</f>
        <v>RETORNADA</v>
      </c>
      <c r="Y274" t="s">
        <v>1857</v>
      </c>
      <c r="Z274" t="str">
        <f>IF(A274="","",TEXT(A274,"0")&amp;"|"&amp;TEXT(H274,"0"))</f>
        <v>5188017776197990|46120</v>
      </c>
      <c r="AA274" t="str">
        <f>IF(Z274="","",IFERROR(LOOKUP(2,1/(#REF!=Z274),#REF!),""))</f>
        <v/>
      </c>
      <c r="AB274" t="str">
        <f>IF(Z274="","",IFERROR(LOOKUP(2,1/(#REF!=Z274),#REF!),""))</f>
        <v/>
      </c>
      <c r="AC274" t="e">
        <f>IF(Z274="","",COUNTIF(#REF!,Z274))</f>
        <v>#REF!</v>
      </c>
      <c r="AD274" t="e">
        <f>IF(A274="","",IF(AC274&gt;1,"REVISAR DUPLICADO",IF(AA274&lt;&gt;"","ACTUALIZADO POR EYR","SIN REPORTE EYR")))</f>
        <v>#REF!</v>
      </c>
    </row>
    <row r="275" spans="1:30" x14ac:dyDescent="0.3">
      <c r="A275" s="5" t="s">
        <v>4968</v>
      </c>
      <c r="B275" t="s">
        <v>4967</v>
      </c>
      <c r="C275" s="4" t="s">
        <v>4966</v>
      </c>
      <c r="D275" t="s">
        <v>77</v>
      </c>
      <c r="F275" t="s">
        <v>13</v>
      </c>
      <c r="G275" s="3">
        <v>8493843313</v>
      </c>
      <c r="H275" s="2">
        <v>46120</v>
      </c>
      <c r="K275" s="1">
        <f ca="1">IF(A275="","",IF(OR(L275="ENTREGADA",L275="RETORNADA",L275="ENTREGA DIGITAL"),0,MAX(0,5-NETWORKDAYS(H275+1,TODAY()))))</f>
        <v>0</v>
      </c>
      <c r="L275" t="str">
        <f>IF(A275="","",IFERROR(LOOKUP(2,1/(#REF!=Z275),#REF!),Y275))</f>
        <v>RETORNADA</v>
      </c>
      <c r="Y275" t="s">
        <v>1857</v>
      </c>
      <c r="Z275" t="str">
        <f>IF(A275="","",TEXT(A275,"0")&amp;"|"&amp;TEXT(H275,"0"))</f>
        <v>5188017776201490|46120</v>
      </c>
      <c r="AA275" t="str">
        <f>IF(Z275="","",IFERROR(LOOKUP(2,1/(#REF!=Z275),#REF!),""))</f>
        <v/>
      </c>
      <c r="AB275" t="str">
        <f>IF(Z275="","",IFERROR(LOOKUP(2,1/(#REF!=Z275),#REF!),""))</f>
        <v/>
      </c>
      <c r="AC275" t="e">
        <f>IF(Z275="","",COUNTIF(#REF!,Z275))</f>
        <v>#REF!</v>
      </c>
      <c r="AD275" t="e">
        <f>IF(A275="","",IF(AC275&gt;1,"REVISAR DUPLICADO",IF(AA275&lt;&gt;"","ACTUALIZADO POR EYR","SIN REPORTE EYR")))</f>
        <v>#REF!</v>
      </c>
    </row>
    <row r="276" spans="1:30" x14ac:dyDescent="0.3">
      <c r="A276" s="5" t="s">
        <v>4965</v>
      </c>
      <c r="B276" t="s">
        <v>4964</v>
      </c>
      <c r="C276" s="4" t="s">
        <v>4729</v>
      </c>
      <c r="D276" t="s">
        <v>77</v>
      </c>
      <c r="F276" t="s">
        <v>13</v>
      </c>
      <c r="G276" s="3">
        <v>8095511246</v>
      </c>
      <c r="H276" s="2">
        <v>46120</v>
      </c>
      <c r="K276" s="1">
        <f ca="1">IF(A276="","",IF(OR(L276="ENTREGADA",L276="RETORNADA",L276="ENTREGA DIGITAL"),0,MAX(0,5-NETWORKDAYS(H276+1,TODAY()))))</f>
        <v>0</v>
      </c>
      <c r="L276" t="str">
        <f>IF(A276="","",IFERROR(LOOKUP(2,1/(#REF!=Z276),#REF!),Y276))</f>
        <v>RETORNADA</v>
      </c>
      <c r="Y276" t="s">
        <v>1857</v>
      </c>
      <c r="Z276" t="str">
        <f>IF(A276="","",TEXT(A276,"0")&amp;"|"&amp;TEXT(H276,"0"))</f>
        <v>4921017772955970|46120</v>
      </c>
      <c r="AA276" t="str">
        <f>IF(Z276="","",IFERROR(LOOKUP(2,1/(#REF!=Z276),#REF!),""))</f>
        <v/>
      </c>
      <c r="AB276" t="str">
        <f>IF(Z276="","",IFERROR(LOOKUP(2,1/(#REF!=Z276),#REF!),""))</f>
        <v/>
      </c>
      <c r="AC276" t="e">
        <f>IF(Z276="","",COUNTIF(#REF!,Z276))</f>
        <v>#REF!</v>
      </c>
      <c r="AD276" t="e">
        <f>IF(A276="","",IF(AC276&gt;1,"REVISAR DUPLICADO",IF(AA276&lt;&gt;"","ACTUALIZADO POR EYR","SIN REPORTE EYR")))</f>
        <v>#REF!</v>
      </c>
    </row>
    <row r="277" spans="1:30" x14ac:dyDescent="0.3">
      <c r="A277" s="5" t="s">
        <v>4963</v>
      </c>
      <c r="B277" t="s">
        <v>4962</v>
      </c>
      <c r="C277" s="4" t="s">
        <v>4961</v>
      </c>
      <c r="D277" t="s">
        <v>77</v>
      </c>
      <c r="E277" t="s">
        <v>214</v>
      </c>
      <c r="F277" t="s">
        <v>391</v>
      </c>
      <c r="G277" s="3">
        <v>8295743313</v>
      </c>
      <c r="H277" s="2">
        <v>46120</v>
      </c>
      <c r="I277" t="s">
        <v>1397</v>
      </c>
      <c r="K277" s="1">
        <f ca="1">IF(A277="","",IF(OR(L277="ENTREGADA",L277="RETORNADA",L277="ENTREGA DIGITAL"),0,MAX(0,5-NETWORKDAYS(H277+1,TODAY()))))</f>
        <v>0</v>
      </c>
      <c r="L277" t="str">
        <f>IF(A277="","",IFERROR(LOOKUP(2,1/(#REF!=Z277),#REF!),Y277))</f>
        <v>ENTREGADA</v>
      </c>
      <c r="Y277" t="s">
        <v>1956</v>
      </c>
      <c r="Z277" t="str">
        <f>IF(A277="","",TEXT(A277,"0")&amp;"|"&amp;TEXT(H277,"0"))</f>
        <v>4921017771751090|46120</v>
      </c>
      <c r="AA277" t="str">
        <f>IF(Z277="","",IFERROR(LOOKUP(2,1/(#REF!=Z277),#REF!),""))</f>
        <v/>
      </c>
      <c r="AB277" t="str">
        <f>IF(Z277="","",IFERROR(LOOKUP(2,1/(#REF!=Z277),#REF!),""))</f>
        <v/>
      </c>
      <c r="AC277" t="e">
        <f>IF(Z277="","",COUNTIF(#REF!,Z277))</f>
        <v>#REF!</v>
      </c>
      <c r="AD277" t="e">
        <f>IF(A277="","",IF(AC277&gt;1,"REVISAR DUPLICADO",IF(AA277&lt;&gt;"","ACTUALIZADO POR EYR","SIN REPORTE EYR")))</f>
        <v>#REF!</v>
      </c>
    </row>
    <row r="278" spans="1:30" x14ac:dyDescent="0.3">
      <c r="A278" s="5" t="s">
        <v>4960</v>
      </c>
      <c r="B278" t="s">
        <v>4959</v>
      </c>
      <c r="C278" s="4" t="s">
        <v>4958</v>
      </c>
      <c r="D278" t="s">
        <v>77</v>
      </c>
      <c r="F278" t="s">
        <v>4957</v>
      </c>
      <c r="G278" s="3">
        <v>8492864130</v>
      </c>
      <c r="H278" s="2">
        <v>46120</v>
      </c>
      <c r="K278" s="1">
        <f ca="1">IF(A278="","",IF(OR(L278="ENTREGADA",L278="RETORNADA",L278="ENTREGA DIGITAL"),0,MAX(0,5-NETWORKDAYS(H278+1,TODAY()))))</f>
        <v>0</v>
      </c>
      <c r="L278" t="str">
        <f>IF(A278="","",IFERROR(LOOKUP(2,1/(#REF!=Z278),#REF!),Y278))</f>
        <v>RETORNADA</v>
      </c>
      <c r="Y278" t="s">
        <v>1857</v>
      </c>
      <c r="Z278" t="str">
        <f>IF(A278="","",TEXT(A278,"0")&amp;"|"&amp;TEXT(H278,"0"))</f>
        <v>4921017771718620|46120</v>
      </c>
      <c r="AA278" t="str">
        <f>IF(Z278="","",IFERROR(LOOKUP(2,1/(#REF!=Z278),#REF!),""))</f>
        <v/>
      </c>
      <c r="AB278" t="str">
        <f>IF(Z278="","",IFERROR(LOOKUP(2,1/(#REF!=Z278),#REF!),""))</f>
        <v/>
      </c>
      <c r="AC278" t="e">
        <f>IF(Z278="","",COUNTIF(#REF!,Z278))</f>
        <v>#REF!</v>
      </c>
      <c r="AD278" t="e">
        <f>IF(A278="","",IF(AC278&gt;1,"REVISAR DUPLICADO",IF(AA278&lt;&gt;"","ACTUALIZADO POR EYR","SIN REPORTE EYR")))</f>
        <v>#REF!</v>
      </c>
    </row>
    <row r="279" spans="1:30" x14ac:dyDescent="0.3">
      <c r="A279" s="5" t="s">
        <v>4956</v>
      </c>
      <c r="B279" t="s">
        <v>4955</v>
      </c>
      <c r="C279" s="4" t="s">
        <v>4954</v>
      </c>
      <c r="D279" t="s">
        <v>77</v>
      </c>
      <c r="F279" t="s">
        <v>4953</v>
      </c>
      <c r="G279" s="3">
        <v>8092296237</v>
      </c>
      <c r="H279" s="2">
        <v>46120</v>
      </c>
      <c r="I279" t="s">
        <v>1397</v>
      </c>
      <c r="K279" s="1">
        <f ca="1">IF(A279="","",IF(OR(L279="ENTREGADA",L279="RETORNADA",L279="ENTREGA DIGITAL"),0,MAX(0,5-NETWORKDAYS(H279+1,TODAY()))))</f>
        <v>0</v>
      </c>
      <c r="L279" t="str">
        <f>IF(A279="","",IFERROR(LOOKUP(2,1/(#REF!=Z279),#REF!),Y279))</f>
        <v>ENTREGADA</v>
      </c>
      <c r="Y279" t="s">
        <v>1956</v>
      </c>
      <c r="Z279" t="str">
        <f>IF(A279="","",TEXT(A279,"0")&amp;"|"&amp;TEXT(H279,"0"))</f>
        <v>4025017774254080|46120</v>
      </c>
      <c r="AA279" t="str">
        <f>IF(Z279="","",IFERROR(LOOKUP(2,1/(#REF!=Z279),#REF!),""))</f>
        <v/>
      </c>
      <c r="AB279" t="str">
        <f>IF(Z279="","",IFERROR(LOOKUP(2,1/(#REF!=Z279),#REF!),""))</f>
        <v/>
      </c>
      <c r="AC279" t="e">
        <f>IF(Z279="","",COUNTIF(#REF!,Z279))</f>
        <v>#REF!</v>
      </c>
      <c r="AD279" t="e">
        <f>IF(A279="","",IF(AC279&gt;1,"REVISAR DUPLICADO",IF(AA279&lt;&gt;"","ACTUALIZADO POR EYR","SIN REPORTE EYR")))</f>
        <v>#REF!</v>
      </c>
    </row>
    <row r="280" spans="1:30" x14ac:dyDescent="0.3">
      <c r="A280" s="5" t="s">
        <v>4952</v>
      </c>
      <c r="B280" t="s">
        <v>4951</v>
      </c>
      <c r="C280" s="4" t="s">
        <v>4950</v>
      </c>
      <c r="D280" t="s">
        <v>77</v>
      </c>
      <c r="E280" t="s">
        <v>214</v>
      </c>
      <c r="F280" t="s">
        <v>391</v>
      </c>
      <c r="G280" s="3">
        <v>8098441694</v>
      </c>
      <c r="H280" s="2">
        <v>46120</v>
      </c>
      <c r="I280" t="s">
        <v>1397</v>
      </c>
      <c r="K280" s="1">
        <f ca="1">IF(A280="","",IF(OR(L280="ENTREGADA",L280="RETORNADA",L280="ENTREGA DIGITAL"),0,MAX(0,5-NETWORKDAYS(H280+1,TODAY()))))</f>
        <v>0</v>
      </c>
      <c r="L280" t="str">
        <f>IF(A280="","",IFERROR(LOOKUP(2,1/(#REF!=Z280),#REF!),Y280))</f>
        <v>ENTREGADA</v>
      </c>
      <c r="Y280" t="s">
        <v>1956</v>
      </c>
      <c r="Z280" t="str">
        <f>IF(A280="","",TEXT(A280,"0")&amp;"|"&amp;TEXT(H280,"0"))</f>
        <v>4025017774509300|46120</v>
      </c>
      <c r="AA280" t="str">
        <f>IF(Z280="","",IFERROR(LOOKUP(2,1/(#REF!=Z280),#REF!),""))</f>
        <v/>
      </c>
      <c r="AB280" t="str">
        <f>IF(Z280="","",IFERROR(LOOKUP(2,1/(#REF!=Z280),#REF!),""))</f>
        <v/>
      </c>
      <c r="AC280" t="e">
        <f>IF(Z280="","",COUNTIF(#REF!,Z280))</f>
        <v>#REF!</v>
      </c>
      <c r="AD280" t="e">
        <f>IF(A280="","",IF(AC280&gt;1,"REVISAR DUPLICADO",IF(AA280&lt;&gt;"","ACTUALIZADO POR EYR","SIN REPORTE EYR")))</f>
        <v>#REF!</v>
      </c>
    </row>
    <row r="281" spans="1:30" x14ac:dyDescent="0.3">
      <c r="A281" s="5" t="s">
        <v>3007</v>
      </c>
      <c r="B281" t="s">
        <v>3006</v>
      </c>
      <c r="C281" s="4" t="s">
        <v>3005</v>
      </c>
      <c r="D281" t="s">
        <v>77</v>
      </c>
      <c r="E281" t="s">
        <v>214</v>
      </c>
      <c r="F281" t="s">
        <v>391</v>
      </c>
      <c r="G281" s="3">
        <v>8292705831</v>
      </c>
      <c r="H281" s="2">
        <v>46120</v>
      </c>
      <c r="K281" s="1">
        <f ca="1">IF(A281="","",IF(OR(L281="ENTREGADA",L281="RETORNADA",L281="ENTREGA DIGITAL"),0,MAX(0,5-NETWORKDAYS(H281+1,TODAY()))))</f>
        <v>0</v>
      </c>
      <c r="L281" t="str">
        <f>IF(A281="","",IFERROR(LOOKUP(2,1/(#REF!=Z281),#REF!),Y281))</f>
        <v>RETORNADA</v>
      </c>
      <c r="Y281" t="s">
        <v>1857</v>
      </c>
      <c r="Z281" t="str">
        <f>IF(A281="","",TEXT(A281,"0")&amp;"|"&amp;TEXT(H281,"0"))</f>
        <v>4921017771584220|46120</v>
      </c>
      <c r="AA281" t="str">
        <f>IF(Z281="","",IFERROR(LOOKUP(2,1/(#REF!=Z281),#REF!),""))</f>
        <v/>
      </c>
      <c r="AB281" t="str">
        <f>IF(Z281="","",IFERROR(LOOKUP(2,1/(#REF!=Z281),#REF!),""))</f>
        <v/>
      </c>
      <c r="AC281" t="e">
        <f>IF(Z281="","",COUNTIF(#REF!,Z281))</f>
        <v>#REF!</v>
      </c>
      <c r="AD281" t="e">
        <f>IF(A281="","",IF(AC281&gt;1,"REVISAR DUPLICADO",IF(AA281&lt;&gt;"","ACTUALIZADO POR EYR","SIN REPORTE EYR")))</f>
        <v>#REF!</v>
      </c>
    </row>
    <row r="282" spans="1:30" x14ac:dyDescent="0.3">
      <c r="A282" s="5" t="s">
        <v>4949</v>
      </c>
      <c r="B282" t="s">
        <v>4948</v>
      </c>
      <c r="C282" s="4" t="s">
        <v>4947</v>
      </c>
      <c r="D282" t="s">
        <v>77</v>
      </c>
      <c r="F282" t="s">
        <v>13</v>
      </c>
      <c r="G282" s="3">
        <v>8293810399</v>
      </c>
      <c r="H282" s="2">
        <v>46120</v>
      </c>
      <c r="I282" t="s">
        <v>1397</v>
      </c>
      <c r="K282" s="1">
        <f ca="1">IF(A282="","",IF(OR(L282="ENTREGADA",L282="RETORNADA",L282="ENTREGA DIGITAL"),0,MAX(0,5-NETWORKDAYS(H282+1,TODAY()))))</f>
        <v>0</v>
      </c>
      <c r="L282" t="str">
        <f>IF(A282="","",IFERROR(LOOKUP(2,1/(#REF!=Z282),#REF!),Y282))</f>
        <v>ENTREGADA</v>
      </c>
      <c r="Y282" t="s">
        <v>1956</v>
      </c>
      <c r="Z282" t="str">
        <f>IF(A282="","",TEXT(A282,"0")&amp;"|"&amp;TEXT(H282,"0"))</f>
        <v>4966017771270540|46120</v>
      </c>
      <c r="AA282" t="str">
        <f>IF(Z282="","",IFERROR(LOOKUP(2,1/(#REF!=Z282),#REF!),""))</f>
        <v/>
      </c>
      <c r="AB282" t="str">
        <f>IF(Z282="","",IFERROR(LOOKUP(2,1/(#REF!=Z282),#REF!),""))</f>
        <v/>
      </c>
      <c r="AC282" t="e">
        <f>IF(Z282="","",COUNTIF(#REF!,Z282))</f>
        <v>#REF!</v>
      </c>
      <c r="AD282" t="e">
        <f>IF(A282="","",IF(AC282&gt;1,"REVISAR DUPLICADO",IF(AA282&lt;&gt;"","ACTUALIZADO POR EYR","SIN REPORTE EYR")))</f>
        <v>#REF!</v>
      </c>
    </row>
    <row r="283" spans="1:30" x14ac:dyDescent="0.3">
      <c r="A283" s="5" t="s">
        <v>4946</v>
      </c>
      <c r="B283" t="s">
        <v>4945</v>
      </c>
      <c r="C283" s="4" t="s">
        <v>4944</v>
      </c>
      <c r="D283" t="s">
        <v>77</v>
      </c>
      <c r="F283" t="s">
        <v>13</v>
      </c>
      <c r="G283" s="3">
        <v>8095078051</v>
      </c>
      <c r="H283" s="2">
        <v>46120</v>
      </c>
      <c r="K283" s="1">
        <f ca="1">IF(A283="","",IF(OR(L283="ENTREGADA",L283="RETORNADA",L283="ENTREGA DIGITAL"),0,MAX(0,5-NETWORKDAYS(H283+1,TODAY()))))</f>
        <v>0</v>
      </c>
      <c r="L283" t="str">
        <f>IF(A283="","",IFERROR(LOOKUP(2,1/(#REF!=Z283),#REF!),Y283))</f>
        <v>RETORNADA</v>
      </c>
      <c r="Y283" t="s">
        <v>1857</v>
      </c>
      <c r="Z283" t="str">
        <f>IF(A283="","",TEXT(A283,"0")&amp;"|"&amp;TEXT(H283,"0"))</f>
        <v>5188017770005060|46120</v>
      </c>
      <c r="AA283" t="str">
        <f>IF(Z283="","",IFERROR(LOOKUP(2,1/(#REF!=Z283),#REF!),""))</f>
        <v/>
      </c>
      <c r="AB283" t="str">
        <f>IF(Z283="","",IFERROR(LOOKUP(2,1/(#REF!=Z283),#REF!),""))</f>
        <v/>
      </c>
      <c r="AC283" t="e">
        <f>IF(Z283="","",COUNTIF(#REF!,Z283))</f>
        <v>#REF!</v>
      </c>
      <c r="AD283" t="e">
        <f>IF(A283="","",IF(AC283&gt;1,"REVISAR DUPLICADO",IF(AA283&lt;&gt;"","ACTUALIZADO POR EYR","SIN REPORTE EYR")))</f>
        <v>#REF!</v>
      </c>
    </row>
    <row r="284" spans="1:30" x14ac:dyDescent="0.3">
      <c r="A284" s="5" t="s">
        <v>4943</v>
      </c>
      <c r="B284" t="s">
        <v>4942</v>
      </c>
      <c r="C284" s="4" t="s">
        <v>4941</v>
      </c>
      <c r="D284" t="s">
        <v>77</v>
      </c>
      <c r="F284" t="s">
        <v>13</v>
      </c>
      <c r="G284" s="3">
        <v>8295318763</v>
      </c>
      <c r="H284" s="2">
        <v>46120</v>
      </c>
      <c r="I284" t="s">
        <v>1397</v>
      </c>
      <c r="K284" s="1">
        <f ca="1">IF(A284="","",IF(OR(L284="ENTREGADA",L284="RETORNADA",L284="ENTREGA DIGITAL"),0,MAX(0,5-NETWORKDAYS(H284+1,TODAY()))))</f>
        <v>0</v>
      </c>
      <c r="L284" t="str">
        <f>IF(A284="","",IFERROR(LOOKUP(2,1/(#REF!=Z284),#REF!),Y284))</f>
        <v>ENTREGADA</v>
      </c>
      <c r="Y284" t="s">
        <v>1956</v>
      </c>
      <c r="Z284" t="str">
        <f>IF(A284="","",TEXT(A284,"0")&amp;"|"&amp;TEXT(H284,"0"))</f>
        <v>4921017772770400|46120</v>
      </c>
      <c r="AA284" t="str">
        <f>IF(Z284="","",IFERROR(LOOKUP(2,1/(#REF!=Z284),#REF!),""))</f>
        <v/>
      </c>
      <c r="AB284" t="str">
        <f>IF(Z284="","",IFERROR(LOOKUP(2,1/(#REF!=Z284),#REF!),""))</f>
        <v/>
      </c>
      <c r="AC284" t="e">
        <f>IF(Z284="","",COUNTIF(#REF!,Z284))</f>
        <v>#REF!</v>
      </c>
      <c r="AD284" t="e">
        <f>IF(A284="","",IF(AC284&gt;1,"REVISAR DUPLICADO",IF(AA284&lt;&gt;"","ACTUALIZADO POR EYR","SIN REPORTE EYR")))</f>
        <v>#REF!</v>
      </c>
    </row>
    <row r="285" spans="1:30" x14ac:dyDescent="0.3">
      <c r="A285" s="5" t="s">
        <v>4940</v>
      </c>
      <c r="B285" t="s">
        <v>4939</v>
      </c>
      <c r="C285" s="4" t="s">
        <v>4938</v>
      </c>
      <c r="D285" t="s">
        <v>77</v>
      </c>
      <c r="F285" t="s">
        <v>13</v>
      </c>
      <c r="G285" s="3">
        <v>8294578756</v>
      </c>
      <c r="H285" s="2">
        <v>46120</v>
      </c>
      <c r="I285" t="s">
        <v>1397</v>
      </c>
      <c r="K285" s="1">
        <f ca="1">IF(A285="","",IF(OR(L285="ENTREGADA",L285="RETORNADA",L285="ENTREGA DIGITAL"),0,MAX(0,5-NETWORKDAYS(H285+1,TODAY()))))</f>
        <v>0</v>
      </c>
      <c r="L285" t="str">
        <f>IF(A285="","",IFERROR(LOOKUP(2,1/(#REF!=Z285),#REF!),Y285))</f>
        <v>ENTREGADA</v>
      </c>
      <c r="Y285" t="s">
        <v>1956</v>
      </c>
      <c r="Z285" t="str">
        <f>IF(A285="","",TEXT(A285,"0")&amp;"|"&amp;TEXT(H285,"0"))</f>
        <v>5188017770114140|46120</v>
      </c>
      <c r="AA285" t="str">
        <f>IF(Z285="","",IFERROR(LOOKUP(2,1/(#REF!=Z285),#REF!),""))</f>
        <v/>
      </c>
      <c r="AB285" t="str">
        <f>IF(Z285="","",IFERROR(LOOKUP(2,1/(#REF!=Z285),#REF!),""))</f>
        <v/>
      </c>
      <c r="AC285" t="e">
        <f>IF(Z285="","",COUNTIF(#REF!,Z285))</f>
        <v>#REF!</v>
      </c>
      <c r="AD285" t="e">
        <f>IF(A285="","",IF(AC285&gt;1,"REVISAR DUPLICADO",IF(AA285&lt;&gt;"","ACTUALIZADO POR EYR","SIN REPORTE EYR")))</f>
        <v>#REF!</v>
      </c>
    </row>
    <row r="286" spans="1:30" x14ac:dyDescent="0.3">
      <c r="A286" s="5" t="s">
        <v>4937</v>
      </c>
      <c r="B286" t="s">
        <v>4936</v>
      </c>
      <c r="C286" s="4" t="s">
        <v>4935</v>
      </c>
      <c r="D286" t="s">
        <v>77</v>
      </c>
      <c r="F286" t="s">
        <v>4934</v>
      </c>
      <c r="G286" s="3">
        <v>8293273027</v>
      </c>
      <c r="H286" s="2">
        <v>46120</v>
      </c>
      <c r="I286" t="s">
        <v>1397</v>
      </c>
      <c r="K286" s="1">
        <f ca="1">IF(A286="","",IF(OR(L286="ENTREGADA",L286="RETORNADA",L286="ENTREGA DIGITAL"),0,MAX(0,5-NETWORKDAYS(H286+1,TODAY()))))</f>
        <v>0</v>
      </c>
      <c r="L286" t="str">
        <f>IF(A286="","",IFERROR(LOOKUP(2,1/(#REF!=Z286),#REF!),Y286))</f>
        <v>ENTREGADA</v>
      </c>
      <c r="Y286" t="s">
        <v>1956</v>
      </c>
      <c r="Z286" t="str">
        <f>IF(A286="","",TEXT(A286,"0")&amp;"|"&amp;TEXT(H286,"0"))</f>
        <v>5415017653920870|46120</v>
      </c>
      <c r="AA286" t="str">
        <f>IF(Z286="","",IFERROR(LOOKUP(2,1/(#REF!=Z286),#REF!),""))</f>
        <v/>
      </c>
      <c r="AB286" t="str">
        <f>IF(Z286="","",IFERROR(LOOKUP(2,1/(#REF!=Z286),#REF!),""))</f>
        <v/>
      </c>
      <c r="AC286" t="e">
        <f>IF(Z286="","",COUNTIF(#REF!,Z286))</f>
        <v>#REF!</v>
      </c>
      <c r="AD286" t="e">
        <f>IF(A286="","",IF(AC286&gt;1,"REVISAR DUPLICADO",IF(AA286&lt;&gt;"","ACTUALIZADO POR EYR","SIN REPORTE EYR")))</f>
        <v>#REF!</v>
      </c>
    </row>
    <row r="287" spans="1:30" x14ac:dyDescent="0.3">
      <c r="A287" s="5" t="s">
        <v>4933</v>
      </c>
      <c r="B287" t="s">
        <v>4932</v>
      </c>
      <c r="C287" s="4" t="s">
        <v>4931</v>
      </c>
      <c r="D287" t="s">
        <v>77</v>
      </c>
      <c r="F287" t="s">
        <v>0</v>
      </c>
      <c r="G287" s="3">
        <v>8096684372</v>
      </c>
      <c r="H287" s="2">
        <v>46120</v>
      </c>
      <c r="I287" t="s">
        <v>1397</v>
      </c>
      <c r="K287" s="1">
        <f ca="1">IF(A287="","",IF(OR(L287="ENTREGADA",L287="RETORNADA",L287="ENTREGA DIGITAL"),0,MAX(0,5-NETWORKDAYS(H287+1,TODAY()))))</f>
        <v>0</v>
      </c>
      <c r="L287" t="str">
        <f>IF(A287="","",IFERROR(LOOKUP(2,1/(#REF!=Z287),#REF!),Y287))</f>
        <v>ENTREGADA</v>
      </c>
      <c r="Y287" t="s">
        <v>1956</v>
      </c>
      <c r="Z287" t="str">
        <f>IF(A287="","",TEXT(A287,"0")&amp;"|"&amp;TEXT(H287,"0"))</f>
        <v>4921017707478130|46120</v>
      </c>
      <c r="AA287" t="str">
        <f>IF(Z287="","",IFERROR(LOOKUP(2,1/(#REF!=Z287),#REF!),""))</f>
        <v/>
      </c>
      <c r="AB287" t="str">
        <f>IF(Z287="","",IFERROR(LOOKUP(2,1/(#REF!=Z287),#REF!),""))</f>
        <v/>
      </c>
      <c r="AC287" t="e">
        <f>IF(Z287="","",COUNTIF(#REF!,Z287))</f>
        <v>#REF!</v>
      </c>
      <c r="AD287" t="e">
        <f>IF(A287="","",IF(AC287&gt;1,"REVISAR DUPLICADO",IF(AA287&lt;&gt;"","ACTUALIZADO POR EYR","SIN REPORTE EYR")))</f>
        <v>#REF!</v>
      </c>
    </row>
    <row r="288" spans="1:30" x14ac:dyDescent="0.3">
      <c r="A288" s="5" t="s">
        <v>4930</v>
      </c>
      <c r="B288" t="s">
        <v>4929</v>
      </c>
      <c r="C288" s="4" t="s">
        <v>4928</v>
      </c>
      <c r="D288" t="s">
        <v>77</v>
      </c>
      <c r="F288" t="s">
        <v>4927</v>
      </c>
      <c r="G288" s="3">
        <v>8496559199</v>
      </c>
      <c r="H288" s="2">
        <v>46120</v>
      </c>
      <c r="K288" s="1">
        <f ca="1">IF(A288="","",IF(OR(L288="ENTREGADA",L288="RETORNADA",L288="ENTREGA DIGITAL"),0,MAX(0,5-NETWORKDAYS(H288+1,TODAY()))))</f>
        <v>0</v>
      </c>
      <c r="L288" t="str">
        <f>IF(A288="","",IFERROR(LOOKUP(2,1/(#REF!=Z288),#REF!),Y288))</f>
        <v>RETORNADA</v>
      </c>
      <c r="Y288" t="s">
        <v>1857</v>
      </c>
      <c r="Z288" t="str">
        <f>IF(A288="","",TEXT(A288,"0")&amp;"|"&amp;TEXT(H288,"0"))</f>
        <v>4025017696223790|46120</v>
      </c>
      <c r="AA288" t="str">
        <f>IF(Z288="","",IFERROR(LOOKUP(2,1/(#REF!=Z288),#REF!),""))</f>
        <v/>
      </c>
      <c r="AB288" t="str">
        <f>IF(Z288="","",IFERROR(LOOKUP(2,1/(#REF!=Z288),#REF!),""))</f>
        <v/>
      </c>
      <c r="AC288" t="e">
        <f>IF(Z288="","",COUNTIF(#REF!,Z288))</f>
        <v>#REF!</v>
      </c>
      <c r="AD288" t="e">
        <f>IF(A288="","",IF(AC288&gt;1,"REVISAR DUPLICADO",IF(AA288&lt;&gt;"","ACTUALIZADO POR EYR","SIN REPORTE EYR")))</f>
        <v>#REF!</v>
      </c>
    </row>
    <row r="289" spans="1:30" x14ac:dyDescent="0.3">
      <c r="A289" s="5" t="s">
        <v>4926</v>
      </c>
      <c r="B289" t="s">
        <v>4925</v>
      </c>
      <c r="C289" s="4" t="s">
        <v>4924</v>
      </c>
      <c r="D289" t="s">
        <v>77</v>
      </c>
      <c r="F289" t="s">
        <v>13</v>
      </c>
      <c r="G289" s="3">
        <v>8098706429</v>
      </c>
      <c r="H289" s="2">
        <v>46120</v>
      </c>
      <c r="K289" s="1">
        <f ca="1">IF(A289="","",IF(OR(L289="ENTREGADA",L289="RETORNADA",L289="ENTREGA DIGITAL"),0,MAX(0,5-NETWORKDAYS(H289+1,TODAY()))))</f>
        <v>0</v>
      </c>
      <c r="L289" t="str">
        <f>IF(A289="","",IFERROR(LOOKUP(2,1/(#REF!=Z289),#REF!),Y289))</f>
        <v>ENTREGADA</v>
      </c>
      <c r="Y289" t="s">
        <v>1956</v>
      </c>
      <c r="Z289" t="str">
        <f>IF(A289="","",TEXT(A289,"0")&amp;"|"&amp;TEXT(H289,"0"))</f>
        <v>5523017768338540|46120</v>
      </c>
      <c r="AA289" t="str">
        <f>IF(Z289="","",IFERROR(LOOKUP(2,1/(#REF!=Z289),#REF!),""))</f>
        <v/>
      </c>
      <c r="AB289" t="str">
        <f>IF(Z289="","",IFERROR(LOOKUP(2,1/(#REF!=Z289),#REF!),""))</f>
        <v/>
      </c>
      <c r="AC289" t="e">
        <f>IF(Z289="","",COUNTIF(#REF!,Z289))</f>
        <v>#REF!</v>
      </c>
      <c r="AD289" t="e">
        <f>IF(A289="","",IF(AC289&gt;1,"REVISAR DUPLICADO",IF(AA289&lt;&gt;"","ACTUALIZADO POR EYR","SIN REPORTE EYR")))</f>
        <v>#REF!</v>
      </c>
    </row>
    <row r="290" spans="1:30" x14ac:dyDescent="0.3">
      <c r="A290" s="5" t="s">
        <v>4923</v>
      </c>
      <c r="B290" t="s">
        <v>4922</v>
      </c>
      <c r="C290" s="4" t="s">
        <v>4921</v>
      </c>
      <c r="D290" t="s">
        <v>21</v>
      </c>
      <c r="F290" t="s">
        <v>13</v>
      </c>
      <c r="G290" s="3">
        <v>8097530735</v>
      </c>
      <c r="H290" s="2">
        <v>46120</v>
      </c>
      <c r="K290" s="1">
        <f ca="1">IF(A290="","",IF(OR(L290="ENTREGADA",L290="RETORNADA",L290="ENTREGA DIGITAL"),0,MAX(0,5-NETWORKDAYS(H290+1,TODAY()))))</f>
        <v>0</v>
      </c>
      <c r="L290" t="str">
        <f>IF(A290="","",IFERROR(LOOKUP(2,1/(#REF!=Z290),#REF!),Y290))</f>
        <v>ENTREGA DIGITAL</v>
      </c>
      <c r="Y290" t="s">
        <v>1396</v>
      </c>
      <c r="Z290" t="str">
        <f>IF(A290="","",TEXT(A290,"0")&amp;"|"&amp;TEXT(H290,"0"))</f>
        <v>4921017777195260|46120</v>
      </c>
      <c r="AA290" t="str">
        <f>IF(Z290="","",IFERROR(LOOKUP(2,1/(#REF!=Z290),#REF!),""))</f>
        <v/>
      </c>
      <c r="AB290" t="str">
        <f>IF(Z290="","",IFERROR(LOOKUP(2,1/(#REF!=Z290),#REF!),""))</f>
        <v/>
      </c>
      <c r="AC290" t="e">
        <f>IF(Z290="","",COUNTIF(#REF!,Z290))</f>
        <v>#REF!</v>
      </c>
      <c r="AD290" t="e">
        <f>IF(A290="","",IF(AC290&gt;1,"REVISAR DUPLICADO",IF(AA290&lt;&gt;"","ACTUALIZADO POR EYR","SIN REPORTE EYR")))</f>
        <v>#REF!</v>
      </c>
    </row>
    <row r="291" spans="1:30" x14ac:dyDescent="0.3">
      <c r="A291" s="5" t="s">
        <v>4920</v>
      </c>
      <c r="B291" t="s">
        <v>4919</v>
      </c>
      <c r="C291" s="4" t="s">
        <v>4918</v>
      </c>
      <c r="D291" t="s">
        <v>21</v>
      </c>
      <c r="F291" t="s">
        <v>4917</v>
      </c>
      <c r="G291" s="3">
        <v>8297405681</v>
      </c>
      <c r="H291" s="2">
        <v>46120</v>
      </c>
      <c r="K291" s="1">
        <f ca="1">IF(A291="","",IF(OR(L291="ENTREGADA",L291="RETORNADA",L291="ENTREGA DIGITAL"),0,MAX(0,5-NETWORKDAYS(H291+1,TODAY()))))</f>
        <v>0</v>
      </c>
      <c r="L291" t="str">
        <f>IF(A291="","",IFERROR(LOOKUP(2,1/(#REF!=Z291),#REF!),Y291))</f>
        <v>ENTREGA DIGITAL</v>
      </c>
      <c r="Y291" t="s">
        <v>1396</v>
      </c>
      <c r="Z291" t="str">
        <f>IF(A291="","",TEXT(A291,"0")&amp;"|"&amp;TEXT(H291,"0"))</f>
        <v>4025017777817890|46120</v>
      </c>
      <c r="AA291" t="str">
        <f>IF(Z291="","",IFERROR(LOOKUP(2,1/(#REF!=Z291),#REF!),""))</f>
        <v/>
      </c>
      <c r="AB291" t="str">
        <f>IF(Z291="","",IFERROR(LOOKUP(2,1/(#REF!=Z291),#REF!),""))</f>
        <v/>
      </c>
      <c r="AC291" t="e">
        <f>IF(Z291="","",COUNTIF(#REF!,Z291))</f>
        <v>#REF!</v>
      </c>
      <c r="AD291" t="e">
        <f>IF(A291="","",IF(AC291&gt;1,"REVISAR DUPLICADO",IF(AA291&lt;&gt;"","ACTUALIZADO POR EYR","SIN REPORTE EYR")))</f>
        <v>#REF!</v>
      </c>
    </row>
    <row r="292" spans="1:30" x14ac:dyDescent="0.3">
      <c r="A292" s="5" t="s">
        <v>4916</v>
      </c>
      <c r="B292" t="s">
        <v>4915</v>
      </c>
      <c r="C292" s="4" t="s">
        <v>4914</v>
      </c>
      <c r="D292" t="s">
        <v>21</v>
      </c>
      <c r="F292" t="s">
        <v>2834</v>
      </c>
      <c r="G292" s="3">
        <v>8492031613</v>
      </c>
      <c r="H292" s="2">
        <v>46120</v>
      </c>
      <c r="I292" t="s">
        <v>1397</v>
      </c>
      <c r="K292" s="1">
        <f ca="1">IF(A292="","",IF(OR(L292="ENTREGADA",L292="RETORNADA",L292="ENTREGA DIGITAL"),0,MAX(0,5-NETWORKDAYS(H292+1,TODAY()))))</f>
        <v>0</v>
      </c>
      <c r="L292" t="str">
        <f>IF(A292="","",IFERROR(LOOKUP(2,1/(#REF!=Z292),#REF!),Y292))</f>
        <v>ENTREGADA</v>
      </c>
      <c r="Y292" t="s">
        <v>1956</v>
      </c>
      <c r="Z292" t="str">
        <f>IF(A292="","",TEXT(A292,"0")&amp;"|"&amp;TEXT(H292,"0"))</f>
        <v>4921017776339550|46120</v>
      </c>
      <c r="AA292" t="str">
        <f>IF(Z292="","",IFERROR(LOOKUP(2,1/(#REF!=Z292),#REF!),""))</f>
        <v/>
      </c>
      <c r="AB292" t="str">
        <f>IF(Z292="","",IFERROR(LOOKUP(2,1/(#REF!=Z292),#REF!),""))</f>
        <v/>
      </c>
      <c r="AC292" t="e">
        <f>IF(Z292="","",COUNTIF(#REF!,Z292))</f>
        <v>#REF!</v>
      </c>
      <c r="AD292" t="e">
        <f>IF(A292="","",IF(AC292&gt;1,"REVISAR DUPLICADO",IF(AA292&lt;&gt;"","ACTUALIZADO POR EYR","SIN REPORTE EYR")))</f>
        <v>#REF!</v>
      </c>
    </row>
    <row r="293" spans="1:30" x14ac:dyDescent="0.3">
      <c r="A293" s="5" t="s">
        <v>4913</v>
      </c>
      <c r="B293" t="s">
        <v>4912</v>
      </c>
      <c r="C293" s="4" t="s">
        <v>4911</v>
      </c>
      <c r="D293" t="s">
        <v>21</v>
      </c>
      <c r="F293" t="s">
        <v>3345</v>
      </c>
      <c r="G293" s="3">
        <v>8095299081</v>
      </c>
      <c r="H293" s="2">
        <v>46120</v>
      </c>
      <c r="K293" s="1">
        <f ca="1">IF(A293="","",IF(OR(L293="ENTREGADA",L293="RETORNADA",L293="ENTREGA DIGITAL"),0,MAX(0,5-NETWORKDAYS(H293+1,TODAY()))))</f>
        <v>0</v>
      </c>
      <c r="L293" t="str">
        <f>IF(A293="","",IFERROR(LOOKUP(2,1/(#REF!=Z293),#REF!),Y293))</f>
        <v>ENTREGA DIGITAL</v>
      </c>
      <c r="Y293" t="s">
        <v>1396</v>
      </c>
      <c r="Z293" t="str">
        <f>IF(A293="","",TEXT(A293,"0")&amp;"|"&amp;TEXT(H293,"0"))</f>
        <v>5227017769680540|46120</v>
      </c>
      <c r="AA293" t="str">
        <f>IF(Z293="","",IFERROR(LOOKUP(2,1/(#REF!=Z293),#REF!),""))</f>
        <v/>
      </c>
      <c r="AB293" t="str">
        <f>IF(Z293="","",IFERROR(LOOKUP(2,1/(#REF!=Z293),#REF!),""))</f>
        <v/>
      </c>
      <c r="AC293" t="e">
        <f>IF(Z293="","",COUNTIF(#REF!,Z293))</f>
        <v>#REF!</v>
      </c>
      <c r="AD293" t="e">
        <f>IF(A293="","",IF(AC293&gt;1,"REVISAR DUPLICADO",IF(AA293&lt;&gt;"","ACTUALIZADO POR EYR","SIN REPORTE EYR")))</f>
        <v>#REF!</v>
      </c>
    </row>
    <row r="294" spans="1:30" x14ac:dyDescent="0.3">
      <c r="A294" s="9" t="s">
        <v>4910</v>
      </c>
      <c r="B294" t="s">
        <v>4909</v>
      </c>
      <c r="C294" s="4" t="s">
        <v>4908</v>
      </c>
      <c r="D294" t="s">
        <v>21</v>
      </c>
      <c r="F294" t="s">
        <v>13</v>
      </c>
      <c r="G294" s="3">
        <v>8293555552</v>
      </c>
      <c r="H294" s="2">
        <v>46120</v>
      </c>
      <c r="K294" s="1">
        <f ca="1">IF(A294="","",IF(OR(L294="ENTREGADA",L294="RETORNADA",L294="ENTREGA DIGITAL"),0,MAX(0,5-NETWORKDAYS(H294+1,TODAY()))))</f>
        <v>0</v>
      </c>
      <c r="L294" t="str">
        <f>IF(A294="","",IFERROR(LOOKUP(2,1/(#REF!=Z294),#REF!),Y294))</f>
        <v>RETORNADA</v>
      </c>
      <c r="Y294" t="s">
        <v>1857</v>
      </c>
      <c r="Z294" t="str">
        <f>IF(A294="","",TEXT(A294,"0")&amp;"|"&amp;TEXT(H294,"0"))</f>
        <v>5415017764834680|46120</v>
      </c>
      <c r="AA294" t="str">
        <f>IF(Z294="","",IFERROR(LOOKUP(2,1/(#REF!=Z294),#REF!),""))</f>
        <v/>
      </c>
      <c r="AB294" t="str">
        <f>IF(Z294="","",IFERROR(LOOKUP(2,1/(#REF!=Z294),#REF!),""))</f>
        <v/>
      </c>
      <c r="AC294" t="e">
        <f>IF(Z294="","",COUNTIF(#REF!,Z294))</f>
        <v>#REF!</v>
      </c>
      <c r="AD294" t="e">
        <f>IF(A294="","",IF(AC294&gt;1,"REVISAR DUPLICADO",IF(AA294&lt;&gt;"","ACTUALIZADO POR EYR","SIN REPORTE EYR")))</f>
        <v>#REF!</v>
      </c>
    </row>
    <row r="295" spans="1:30" x14ac:dyDescent="0.3">
      <c r="A295" s="5" t="s">
        <v>4907</v>
      </c>
      <c r="B295" t="s">
        <v>4906</v>
      </c>
      <c r="C295" s="4" t="s">
        <v>4905</v>
      </c>
      <c r="D295" t="s">
        <v>21</v>
      </c>
      <c r="F295" t="s">
        <v>1002</v>
      </c>
      <c r="G295" s="3">
        <v>8295540820</v>
      </c>
      <c r="H295" s="2">
        <v>46120</v>
      </c>
      <c r="K295" s="1">
        <f ca="1">IF(A295="","",IF(OR(L295="ENTREGADA",L295="RETORNADA",L295="ENTREGA DIGITAL"),0,MAX(0,5-NETWORKDAYS(H295+1,TODAY()))))</f>
        <v>0</v>
      </c>
      <c r="L295" t="str">
        <f>IF(A295="","",IFERROR(LOOKUP(2,1/(#REF!=Z295),#REF!),Y295))</f>
        <v>ENTREGA DIGITAL</v>
      </c>
      <c r="Y295" t="s">
        <v>1396</v>
      </c>
      <c r="Z295" t="str">
        <f>IF(A295="","",TEXT(A295,"0")&amp;"|"&amp;TEXT(H295,"0"))</f>
        <v>4921017777356940|46120</v>
      </c>
      <c r="AA295" t="str">
        <f>IF(Z295="","",IFERROR(LOOKUP(2,1/(#REF!=Z295),#REF!),""))</f>
        <v/>
      </c>
      <c r="AB295" t="str">
        <f>IF(Z295="","",IFERROR(LOOKUP(2,1/(#REF!=Z295),#REF!),""))</f>
        <v/>
      </c>
      <c r="AC295" t="e">
        <f>IF(Z295="","",COUNTIF(#REF!,Z295))</f>
        <v>#REF!</v>
      </c>
      <c r="AD295" t="e">
        <f>IF(A295="","",IF(AC295&gt;1,"REVISAR DUPLICADO",IF(AA295&lt;&gt;"","ACTUALIZADO POR EYR","SIN REPORTE EYR")))</f>
        <v>#REF!</v>
      </c>
    </row>
    <row r="296" spans="1:30" x14ac:dyDescent="0.3">
      <c r="A296" s="5" t="s">
        <v>4904</v>
      </c>
      <c r="B296" t="s">
        <v>4903</v>
      </c>
      <c r="C296" s="4" t="s">
        <v>4902</v>
      </c>
      <c r="D296" t="s">
        <v>21</v>
      </c>
      <c r="F296" t="s">
        <v>4901</v>
      </c>
      <c r="G296" s="3">
        <v>8094470086</v>
      </c>
      <c r="H296" s="2">
        <v>46120</v>
      </c>
      <c r="K296" s="1">
        <f ca="1">IF(A296="","",IF(OR(L296="ENTREGADA",L296="RETORNADA",L296="ENTREGA DIGITAL"),0,MAX(0,5-NETWORKDAYS(H296+1,TODAY()))))</f>
        <v>0</v>
      </c>
      <c r="L296" t="str">
        <f>IF(A296="","",IFERROR(LOOKUP(2,1/(#REF!=Z296),#REF!),Y296))</f>
        <v>ENTREGA DIGITAL</v>
      </c>
      <c r="Y296" t="s">
        <v>1396</v>
      </c>
      <c r="Z296" t="str">
        <f>IF(A296="","",TEXT(A296,"0")&amp;"|"&amp;TEXT(H296,"0"))</f>
        <v>5188017776219510|46120</v>
      </c>
      <c r="AA296" t="str">
        <f>IF(Z296="","",IFERROR(LOOKUP(2,1/(#REF!=Z296),#REF!),""))</f>
        <v/>
      </c>
      <c r="AB296" t="str">
        <f>IF(Z296="","",IFERROR(LOOKUP(2,1/(#REF!=Z296),#REF!),""))</f>
        <v/>
      </c>
      <c r="AC296" t="e">
        <f>IF(Z296="","",COUNTIF(#REF!,Z296))</f>
        <v>#REF!</v>
      </c>
      <c r="AD296" t="e">
        <f>IF(A296="","",IF(AC296&gt;1,"REVISAR DUPLICADO",IF(AA296&lt;&gt;"","ACTUALIZADO POR EYR","SIN REPORTE EYR")))</f>
        <v>#REF!</v>
      </c>
    </row>
    <row r="297" spans="1:30" x14ac:dyDescent="0.3">
      <c r="A297" s="5" t="s">
        <v>4900</v>
      </c>
      <c r="B297" t="s">
        <v>4899</v>
      </c>
      <c r="C297" s="4" t="s">
        <v>4898</v>
      </c>
      <c r="D297" t="s">
        <v>21</v>
      </c>
      <c r="F297" t="s">
        <v>4809</v>
      </c>
      <c r="G297" s="3">
        <v>8298837332</v>
      </c>
      <c r="H297" s="2">
        <v>46120</v>
      </c>
      <c r="K297" s="1">
        <f ca="1">IF(A297="","",IF(OR(L297="ENTREGADA",L297="RETORNADA",L297="ENTREGA DIGITAL"),0,MAX(0,5-NETWORKDAYS(H297+1,TODAY()))))</f>
        <v>0</v>
      </c>
      <c r="L297" t="str">
        <f>IF(A297="","",IFERROR(LOOKUP(2,1/(#REF!=Z297),#REF!),Y297))</f>
        <v>ENTREGADA</v>
      </c>
      <c r="Y297" t="s">
        <v>1956</v>
      </c>
      <c r="Z297" t="str">
        <f>IF(A297="","",TEXT(A297,"0")&amp;"|"&amp;TEXT(H297,"0"))</f>
        <v>4921017776370830|46120</v>
      </c>
      <c r="AA297" t="str">
        <f>IF(Z297="","",IFERROR(LOOKUP(2,1/(#REF!=Z297),#REF!),""))</f>
        <v/>
      </c>
      <c r="AB297" t="str">
        <f>IF(Z297="","",IFERROR(LOOKUP(2,1/(#REF!=Z297),#REF!),""))</f>
        <v/>
      </c>
      <c r="AC297" t="e">
        <f>IF(Z297="","",COUNTIF(#REF!,Z297))</f>
        <v>#REF!</v>
      </c>
      <c r="AD297" t="e">
        <f>IF(A297="","",IF(AC297&gt;1,"REVISAR DUPLICADO",IF(AA297&lt;&gt;"","ACTUALIZADO POR EYR","SIN REPORTE EYR")))</f>
        <v>#REF!</v>
      </c>
    </row>
    <row r="298" spans="1:30" x14ac:dyDescent="0.3">
      <c r="A298" s="5" t="s">
        <v>4897</v>
      </c>
      <c r="B298" t="s">
        <v>4896</v>
      </c>
      <c r="C298" s="4" t="s">
        <v>4895</v>
      </c>
      <c r="D298" t="s">
        <v>21</v>
      </c>
      <c r="F298" t="s">
        <v>4793</v>
      </c>
      <c r="G298" s="3">
        <v>8095239157</v>
      </c>
      <c r="H298" s="2">
        <v>46120</v>
      </c>
      <c r="I298" t="s">
        <v>1397</v>
      </c>
      <c r="K298" s="1">
        <f ca="1">IF(A298="","",IF(OR(L298="ENTREGADA",L298="RETORNADA",L298="ENTREGA DIGITAL"),0,MAX(0,5-NETWORKDAYS(H298+1,TODAY()))))</f>
        <v>0</v>
      </c>
      <c r="L298" t="str">
        <f>IF(A298="","",IFERROR(LOOKUP(2,1/(#REF!=Z298),#REF!),Y298))</f>
        <v>ENTREGADA</v>
      </c>
      <c r="Y298" t="s">
        <v>1956</v>
      </c>
      <c r="Z298" t="str">
        <f>IF(A298="","",TEXT(A298,"0")&amp;"|"&amp;TEXT(H298,"0"))</f>
        <v>4966017771377120|46120</v>
      </c>
      <c r="AA298" t="str">
        <f>IF(Z298="","",IFERROR(LOOKUP(2,1/(#REF!=Z298),#REF!),""))</f>
        <v/>
      </c>
      <c r="AB298" t="str">
        <f>IF(Z298="","",IFERROR(LOOKUP(2,1/(#REF!=Z298),#REF!),""))</f>
        <v/>
      </c>
      <c r="AC298" t="e">
        <f>IF(Z298="","",COUNTIF(#REF!,Z298))</f>
        <v>#REF!</v>
      </c>
      <c r="AD298" t="e">
        <f>IF(A298="","",IF(AC298&gt;1,"REVISAR DUPLICADO",IF(AA298&lt;&gt;"","ACTUALIZADO POR EYR","SIN REPORTE EYR")))</f>
        <v>#REF!</v>
      </c>
    </row>
    <row r="299" spans="1:30" x14ac:dyDescent="0.3">
      <c r="A299" s="5" t="s">
        <v>4894</v>
      </c>
      <c r="B299" t="s">
        <v>4893</v>
      </c>
      <c r="C299" s="4" t="s">
        <v>4892</v>
      </c>
      <c r="D299" t="s">
        <v>21</v>
      </c>
      <c r="E299" t="s">
        <v>21</v>
      </c>
      <c r="F299" t="s">
        <v>62</v>
      </c>
      <c r="G299" s="3">
        <v>8294282057</v>
      </c>
      <c r="H299" s="2">
        <v>46120</v>
      </c>
      <c r="K299" s="1">
        <f ca="1">IF(A299="","",IF(OR(L299="ENTREGADA",L299="RETORNADA",L299="ENTREGA DIGITAL"),0,MAX(0,5-NETWORKDAYS(H299+1,TODAY()))))</f>
        <v>0</v>
      </c>
      <c r="L299" t="str">
        <f>IF(A299="","",IFERROR(LOOKUP(2,1/(#REF!=Z299),#REF!),Y299))</f>
        <v>ENTREGA DIGITAL</v>
      </c>
      <c r="Y299" t="s">
        <v>1396</v>
      </c>
      <c r="Z299" t="str">
        <f>IF(A299="","",TEXT(A299,"0")&amp;"|"&amp;TEXT(H299,"0"))</f>
        <v>4921017771699640|46120</v>
      </c>
      <c r="AA299" t="str">
        <f>IF(Z299="","",IFERROR(LOOKUP(2,1/(#REF!=Z299),#REF!),""))</f>
        <v/>
      </c>
      <c r="AB299" t="str">
        <f>IF(Z299="","",IFERROR(LOOKUP(2,1/(#REF!=Z299),#REF!),""))</f>
        <v/>
      </c>
      <c r="AC299" t="e">
        <f>IF(Z299="","",COUNTIF(#REF!,Z299))</f>
        <v>#REF!</v>
      </c>
      <c r="AD299" t="e">
        <f>IF(A299="","",IF(AC299&gt;1,"REVISAR DUPLICADO",IF(AA299&lt;&gt;"","ACTUALIZADO POR EYR","SIN REPORTE EYR")))</f>
        <v>#REF!</v>
      </c>
    </row>
    <row r="300" spans="1:30" x14ac:dyDescent="0.3">
      <c r="A300" s="5" t="s">
        <v>4891</v>
      </c>
      <c r="B300" t="s">
        <v>4890</v>
      </c>
      <c r="C300" s="4" t="s">
        <v>4889</v>
      </c>
      <c r="D300" t="s">
        <v>21</v>
      </c>
      <c r="F300" t="s">
        <v>13</v>
      </c>
      <c r="G300" s="3">
        <v>8096752217</v>
      </c>
      <c r="H300" s="2">
        <v>46120</v>
      </c>
      <c r="K300" s="1">
        <f ca="1">IF(A300="","",IF(OR(L300="ENTREGADA",L300="RETORNADA",L300="ENTREGA DIGITAL"),0,MAX(0,5-NETWORKDAYS(H300+1,TODAY()))))</f>
        <v>0</v>
      </c>
      <c r="L300" t="str">
        <f>IF(A300="","",IFERROR(LOOKUP(2,1/(#REF!=Z300),#REF!),Y300))</f>
        <v>ENTREGA DIGITAL</v>
      </c>
      <c r="Y300" t="s">
        <v>1396</v>
      </c>
      <c r="Z300" t="str">
        <f>IF(A300="","",TEXT(A300,"0")&amp;"|"&amp;TEXT(H300,"0"))</f>
        <v>4921017770742330|46120</v>
      </c>
      <c r="AA300" t="str">
        <f>IF(Z300="","",IFERROR(LOOKUP(2,1/(#REF!=Z300),#REF!),""))</f>
        <v/>
      </c>
      <c r="AB300" t="str">
        <f>IF(Z300="","",IFERROR(LOOKUP(2,1/(#REF!=Z300),#REF!),""))</f>
        <v/>
      </c>
      <c r="AC300" t="e">
        <f>IF(Z300="","",COUNTIF(#REF!,Z300))</f>
        <v>#REF!</v>
      </c>
      <c r="AD300" t="e">
        <f>IF(A300="","",IF(AC300&gt;1,"REVISAR DUPLICADO",IF(AA300&lt;&gt;"","ACTUALIZADO POR EYR","SIN REPORTE EYR")))</f>
        <v>#REF!</v>
      </c>
    </row>
    <row r="301" spans="1:30" x14ac:dyDescent="0.3">
      <c r="A301" s="5" t="s">
        <v>3835</v>
      </c>
      <c r="B301" t="s">
        <v>3834</v>
      </c>
      <c r="C301" s="4" t="s">
        <v>3833</v>
      </c>
      <c r="D301" t="s">
        <v>21</v>
      </c>
      <c r="F301" t="s">
        <v>13</v>
      </c>
      <c r="G301" s="3">
        <v>8293860520</v>
      </c>
      <c r="H301" s="2">
        <v>46120</v>
      </c>
      <c r="K301" s="1">
        <f ca="1">IF(A301="","",IF(OR(L301="ENTREGADA",L301="RETORNADA",L301="ENTREGA DIGITAL"),0,MAX(0,5-NETWORKDAYS(H301+1,TODAY()))))</f>
        <v>0</v>
      </c>
      <c r="L301" t="str">
        <f>IF(A301="","",IFERROR(LOOKUP(2,1/(#REF!=Z301),#REF!),Y301))</f>
        <v>RETORNADA</v>
      </c>
      <c r="Y301" t="s">
        <v>1857</v>
      </c>
      <c r="Z301" t="str">
        <f>IF(A301="","",TEXT(A301,"0")&amp;"|"&amp;TEXT(H301,"0"))</f>
        <v>4921017772813790|46120</v>
      </c>
      <c r="AA301" t="str">
        <f>IF(Z301="","",IFERROR(LOOKUP(2,1/(#REF!=Z301),#REF!),""))</f>
        <v/>
      </c>
      <c r="AB301" t="str">
        <f>IF(Z301="","",IFERROR(LOOKUP(2,1/(#REF!=Z301),#REF!),""))</f>
        <v/>
      </c>
      <c r="AC301" t="e">
        <f>IF(Z301="","",COUNTIF(#REF!,Z301))</f>
        <v>#REF!</v>
      </c>
      <c r="AD301" t="e">
        <f>IF(A301="","",IF(AC301&gt;1,"REVISAR DUPLICADO",IF(AA301&lt;&gt;"","ACTUALIZADO POR EYR","SIN REPORTE EYR")))</f>
        <v>#REF!</v>
      </c>
    </row>
    <row r="302" spans="1:30" x14ac:dyDescent="0.3">
      <c r="A302" s="5" t="s">
        <v>4888</v>
      </c>
      <c r="B302" t="s">
        <v>4887</v>
      </c>
      <c r="C302" s="4" t="s">
        <v>4886</v>
      </c>
      <c r="D302" t="s">
        <v>21</v>
      </c>
      <c r="F302" t="s">
        <v>177</v>
      </c>
      <c r="G302" s="3">
        <v>8095040620</v>
      </c>
      <c r="H302" s="2">
        <v>46120</v>
      </c>
      <c r="K302" s="1">
        <f ca="1">IF(A302="","",IF(OR(L302="ENTREGADA",L302="RETORNADA",L302="ENTREGA DIGITAL"),0,MAX(0,5-NETWORKDAYS(H302+1,TODAY()))))</f>
        <v>0</v>
      </c>
      <c r="L302" t="str">
        <f>IF(A302="","",IFERROR(LOOKUP(2,1/(#REF!=Z302),#REF!),Y302))</f>
        <v>ENTREGA DIGITAL</v>
      </c>
      <c r="Y302" t="s">
        <v>1396</v>
      </c>
      <c r="Z302" t="str">
        <f>IF(A302="","",TEXT(A302,"0")&amp;"|"&amp;TEXT(H302,"0"))</f>
        <v>5188017768848780|46120</v>
      </c>
      <c r="AA302" t="str">
        <f>IF(Z302="","",IFERROR(LOOKUP(2,1/(#REF!=Z302),#REF!),""))</f>
        <v/>
      </c>
      <c r="AB302" t="str">
        <f>IF(Z302="","",IFERROR(LOOKUP(2,1/(#REF!=Z302),#REF!),""))</f>
        <v/>
      </c>
      <c r="AC302" t="e">
        <f>IF(Z302="","",COUNTIF(#REF!,Z302))</f>
        <v>#REF!</v>
      </c>
      <c r="AD302" t="e">
        <f>IF(A302="","",IF(AC302&gt;1,"REVISAR DUPLICADO",IF(AA302&lt;&gt;"","ACTUALIZADO POR EYR","SIN REPORTE EYR")))</f>
        <v>#REF!</v>
      </c>
    </row>
    <row r="303" spans="1:30" x14ac:dyDescent="0.3">
      <c r="A303" s="5" t="s">
        <v>4885</v>
      </c>
      <c r="B303" t="s">
        <v>4884</v>
      </c>
      <c r="C303" s="4" t="s">
        <v>4883</v>
      </c>
      <c r="D303" t="s">
        <v>21</v>
      </c>
      <c r="F303" t="s">
        <v>4882</v>
      </c>
      <c r="G303" s="3">
        <v>8298068192</v>
      </c>
      <c r="H303" s="2">
        <v>46120</v>
      </c>
      <c r="I303" t="s">
        <v>1397</v>
      </c>
      <c r="K303" s="1">
        <f ca="1">IF(A303="","",IF(OR(L303="ENTREGADA",L303="RETORNADA",L303="ENTREGA DIGITAL"),0,MAX(0,5-NETWORKDAYS(H303+1,TODAY()))))</f>
        <v>0</v>
      </c>
      <c r="L303" t="str">
        <f>IF(A303="","",IFERROR(LOOKUP(2,1/(#REF!=Z303),#REF!),Y303))</f>
        <v>ENTREGADA</v>
      </c>
      <c r="Y303" t="s">
        <v>1956</v>
      </c>
      <c r="Z303" t="str">
        <f>IF(A303="","",TEXT(A303,"0")&amp;"|"&amp;TEXT(H303,"0"))</f>
        <v>5188017770381130|46120</v>
      </c>
      <c r="AA303" t="str">
        <f>IF(Z303="","",IFERROR(LOOKUP(2,1/(#REF!=Z303),#REF!),""))</f>
        <v/>
      </c>
      <c r="AB303" t="str">
        <f>IF(Z303="","",IFERROR(LOOKUP(2,1/(#REF!=Z303),#REF!),""))</f>
        <v/>
      </c>
      <c r="AC303" t="e">
        <f>IF(Z303="","",COUNTIF(#REF!,Z303))</f>
        <v>#REF!</v>
      </c>
      <c r="AD303" t="e">
        <f>IF(A303="","",IF(AC303&gt;1,"REVISAR DUPLICADO",IF(AA303&lt;&gt;"","ACTUALIZADO POR EYR","SIN REPORTE EYR")))</f>
        <v>#REF!</v>
      </c>
    </row>
    <row r="304" spans="1:30" x14ac:dyDescent="0.3">
      <c r="A304" s="5" t="s">
        <v>4881</v>
      </c>
      <c r="B304" t="s">
        <v>4880</v>
      </c>
      <c r="C304" s="4" t="s">
        <v>4879</v>
      </c>
      <c r="D304" t="s">
        <v>21</v>
      </c>
      <c r="F304" t="s">
        <v>1097</v>
      </c>
      <c r="G304" s="3">
        <v>8292889577</v>
      </c>
      <c r="H304" s="2">
        <v>46120</v>
      </c>
      <c r="K304" s="1">
        <f ca="1">IF(A304="","",IF(OR(L304="ENTREGADA",L304="RETORNADA",L304="ENTREGA DIGITAL"),0,MAX(0,5-NETWORKDAYS(H304+1,TODAY()))))</f>
        <v>0</v>
      </c>
      <c r="L304" t="str">
        <f>IF(A304="","",IFERROR(LOOKUP(2,1/(#REF!=Z304),#REF!),Y304))</f>
        <v>ENTREGA DIGITAL</v>
      </c>
      <c r="Y304" t="s">
        <v>1396</v>
      </c>
      <c r="Z304" t="str">
        <f>IF(A304="","",TEXT(A304,"0")&amp;"|"&amp;TEXT(H304,"0"))</f>
        <v>4921017770639340|46120</v>
      </c>
      <c r="AA304" t="str">
        <f>IF(Z304="","",IFERROR(LOOKUP(2,1/(#REF!=Z304),#REF!),""))</f>
        <v/>
      </c>
      <c r="AB304" t="str">
        <f>IF(Z304="","",IFERROR(LOOKUP(2,1/(#REF!=Z304),#REF!),""))</f>
        <v/>
      </c>
      <c r="AC304" t="e">
        <f>IF(Z304="","",COUNTIF(#REF!,Z304))</f>
        <v>#REF!</v>
      </c>
      <c r="AD304" t="e">
        <f>IF(A304="","",IF(AC304&gt;1,"REVISAR DUPLICADO",IF(AA304&lt;&gt;"","ACTUALIZADO POR EYR","SIN REPORTE EYR")))</f>
        <v>#REF!</v>
      </c>
    </row>
    <row r="305" spans="1:73" x14ac:dyDescent="0.3">
      <c r="A305" s="5" t="s">
        <v>4878</v>
      </c>
      <c r="B305" t="s">
        <v>4877</v>
      </c>
      <c r="C305" s="4" t="s">
        <v>4876</v>
      </c>
      <c r="D305" t="s">
        <v>21</v>
      </c>
      <c r="F305" t="s">
        <v>13</v>
      </c>
      <c r="G305" s="3">
        <v>9999999999</v>
      </c>
      <c r="H305" s="2">
        <v>46120</v>
      </c>
      <c r="K305" s="1">
        <f ca="1">IF(A305="","",IF(OR(L305="ENTREGADA",L305="RETORNADA",L305="ENTREGA DIGITAL"),0,MAX(0,5-NETWORKDAYS(H305+1,TODAY()))))</f>
        <v>0</v>
      </c>
      <c r="L305" t="str">
        <f>IF(A305="","",IFERROR(LOOKUP(2,1/(#REF!=Z305),#REF!),Y305))</f>
        <v>ENTREGA DIGITAL</v>
      </c>
      <c r="Y305" t="s">
        <v>1396</v>
      </c>
      <c r="Z305" t="str">
        <f>IF(A305="","",TEXT(A305,"0")&amp;"|"&amp;TEXT(H305,"0"))</f>
        <v>4025017774362310|46120</v>
      </c>
      <c r="AA305" t="str">
        <f>IF(Z305="","",IFERROR(LOOKUP(2,1/(#REF!=Z305),#REF!),""))</f>
        <v/>
      </c>
      <c r="AB305" t="str">
        <f>IF(Z305="","",IFERROR(LOOKUP(2,1/(#REF!=Z305),#REF!),""))</f>
        <v/>
      </c>
      <c r="AC305" t="e">
        <f>IF(Z305="","",COUNTIF(#REF!,Z305))</f>
        <v>#REF!</v>
      </c>
      <c r="AD305" t="e">
        <f>IF(A305="","",IF(AC305&gt;1,"REVISAR DUPLICADO",IF(AA305&lt;&gt;"","ACTUALIZADO POR EYR","SIN REPORTE EYR")))</f>
        <v>#REF!</v>
      </c>
    </row>
    <row r="306" spans="1:73" x14ac:dyDescent="0.3">
      <c r="A306" s="5" t="s">
        <v>4875</v>
      </c>
      <c r="B306" t="s">
        <v>4874</v>
      </c>
      <c r="C306" s="4" t="s">
        <v>4873</v>
      </c>
      <c r="D306" t="s">
        <v>21</v>
      </c>
      <c r="F306" t="s">
        <v>13</v>
      </c>
      <c r="G306" s="3">
        <v>8492471001</v>
      </c>
      <c r="H306" s="2">
        <v>46120</v>
      </c>
      <c r="K306" s="1">
        <f ca="1">IF(A306="","",IF(OR(L306="ENTREGADA",L306="RETORNADA",L306="ENTREGA DIGITAL"),0,MAX(0,5-NETWORKDAYS(H306+1,TODAY()))))</f>
        <v>0</v>
      </c>
      <c r="L306" t="str">
        <f>IF(A306="","",IFERROR(LOOKUP(2,1/(#REF!=Z306),#REF!),Y306))</f>
        <v>ENTREGA DIGITAL</v>
      </c>
      <c r="Y306" t="s">
        <v>1396</v>
      </c>
      <c r="Z306" t="str">
        <f>IF(A306="","",TEXT(A306,"0")&amp;"|"&amp;TEXT(H306,"0"))</f>
        <v>5188017770122470|46120</v>
      </c>
      <c r="AA306" t="str">
        <f>IF(Z306="","",IFERROR(LOOKUP(2,1/(#REF!=Z306),#REF!),""))</f>
        <v/>
      </c>
      <c r="AB306" t="str">
        <f>IF(Z306="","",IFERROR(LOOKUP(2,1/(#REF!=Z306),#REF!),""))</f>
        <v/>
      </c>
      <c r="AC306" t="e">
        <f>IF(Z306="","",COUNTIF(#REF!,Z306))</f>
        <v>#REF!</v>
      </c>
      <c r="AD306" t="e">
        <f>IF(A306="","",IF(AC306&gt;1,"REVISAR DUPLICADO",IF(AA306&lt;&gt;"","ACTUALIZADO POR EYR","SIN REPORTE EYR")))</f>
        <v>#REF!</v>
      </c>
    </row>
    <row r="307" spans="1:73" x14ac:dyDescent="0.3">
      <c r="A307" s="5" t="s">
        <v>4872</v>
      </c>
      <c r="B307" t="s">
        <v>4871</v>
      </c>
      <c r="C307" s="4" t="s">
        <v>4870</v>
      </c>
      <c r="D307" t="s">
        <v>21</v>
      </c>
      <c r="F307" t="s">
        <v>4869</v>
      </c>
      <c r="G307" s="3">
        <v>8492201406</v>
      </c>
      <c r="H307" s="2">
        <v>46120</v>
      </c>
      <c r="I307" t="s">
        <v>3742</v>
      </c>
      <c r="K307" s="1">
        <f ca="1">IF(A307="","",IF(OR(L307="ENTREGADA",L307="RETORNADA",L307="ENTREGA DIGITAL"),0,MAX(0,5-NETWORKDAYS(H307+1,TODAY()))))</f>
        <v>0</v>
      </c>
      <c r="L307" t="str">
        <f>IF(A307="","",IFERROR(LOOKUP(2,1/(#REF!=Z307),#REF!),Y307))</f>
        <v>ENTREGA DIGITAL</v>
      </c>
      <c r="Y307" t="s">
        <v>1396</v>
      </c>
      <c r="Z307" t="str">
        <f>IF(A307="","",TEXT(A307,"0")&amp;"|"&amp;TEXT(H307,"0"))</f>
        <v>4173017775412740|46120</v>
      </c>
      <c r="AA307" t="str">
        <f>IF(Z307="","",IFERROR(LOOKUP(2,1/(#REF!=Z307),#REF!),""))</f>
        <v/>
      </c>
      <c r="AB307" t="str">
        <f>IF(Z307="","",IFERROR(LOOKUP(2,1/(#REF!=Z307),#REF!),""))</f>
        <v/>
      </c>
      <c r="AC307" t="e">
        <f>IF(Z307="","",COUNTIF(#REF!,Z307))</f>
        <v>#REF!</v>
      </c>
      <c r="AD307" t="e">
        <f>IF(A307="","",IF(AC307&gt;1,"REVISAR DUPLICADO",IF(AA307&lt;&gt;"","ACTUALIZADO POR EYR","SIN REPORTE EYR")))</f>
        <v>#REF!</v>
      </c>
    </row>
    <row r="308" spans="1:73" x14ac:dyDescent="0.3">
      <c r="A308" s="5" t="s">
        <v>4868</v>
      </c>
      <c r="B308" t="s">
        <v>4867</v>
      </c>
      <c r="C308" s="4" t="s">
        <v>4866</v>
      </c>
      <c r="D308" t="s">
        <v>1</v>
      </c>
      <c r="F308" t="s">
        <v>0</v>
      </c>
      <c r="G308" s="3">
        <v>8099594002</v>
      </c>
      <c r="H308" s="2">
        <v>46120</v>
      </c>
      <c r="K308" s="1">
        <f ca="1">IF(A308="","",IF(OR(L308="ENTREGADA",L308="RETORNADA",L308="ENTREGA DIGITAL"),0,MAX(0,5-NETWORKDAYS(H308+1,TODAY()))))</f>
        <v>0</v>
      </c>
      <c r="L308" t="str">
        <f>IF(A308="","",IFERROR(LOOKUP(2,1/(#REF!=Z308),#REF!),Y308))</f>
        <v>ENTREGADA</v>
      </c>
      <c r="Y308" t="s">
        <v>1956</v>
      </c>
      <c r="Z308" t="str">
        <f>IF(A308="","",TEXT(A308,"0")&amp;"|"&amp;TEXT(H308,"0"))</f>
        <v>5523017768193920|46120</v>
      </c>
      <c r="AA308" t="str">
        <f>IF(Z308="","",IFERROR(LOOKUP(2,1/(#REF!=Z308),#REF!),""))</f>
        <v/>
      </c>
      <c r="AB308" t="str">
        <f>IF(Z308="","",IFERROR(LOOKUP(2,1/(#REF!=Z308),#REF!),""))</f>
        <v/>
      </c>
      <c r="AC308" t="e">
        <f>IF(Z308="","",COUNTIF(#REF!,Z308))</f>
        <v>#REF!</v>
      </c>
      <c r="AD308" t="e">
        <f>IF(A308="","",IF(AC308&gt;1,"REVISAR DUPLICADO",IF(AA308&lt;&gt;"","ACTUALIZADO POR EYR","SIN REPORTE EYR")))</f>
        <v>#REF!</v>
      </c>
    </row>
    <row r="309" spans="1:73" x14ac:dyDescent="0.3">
      <c r="A309" s="5" t="s">
        <v>2690</v>
      </c>
      <c r="B309" t="s">
        <v>2689</v>
      </c>
      <c r="C309" s="4" t="s">
        <v>2688</v>
      </c>
      <c r="D309" t="s">
        <v>1</v>
      </c>
      <c r="F309" t="s">
        <v>4865</v>
      </c>
      <c r="G309" s="3">
        <v>8096415831</v>
      </c>
      <c r="H309" s="2">
        <v>46120</v>
      </c>
      <c r="K309" s="1">
        <f ca="1">IF(A309="","",IF(OR(L309="ENTREGADA",L309="RETORNADA",L309="ENTREGA DIGITAL"),0,MAX(0,5-NETWORKDAYS(H309+1,TODAY()))))</f>
        <v>0</v>
      </c>
      <c r="L309" t="str">
        <f>IF(A309="","",IFERROR(LOOKUP(2,1/(#REF!=Z309),#REF!),Y309))</f>
        <v>RETORNADA</v>
      </c>
      <c r="Y309" t="s">
        <v>1857</v>
      </c>
      <c r="Z309" t="str">
        <f>IF(A309="","",TEXT(A309,"0")&amp;"|"&amp;TEXT(H309,"0"))</f>
        <v>4966017771366890|46120</v>
      </c>
      <c r="AA309" t="str">
        <f>IF(Z309="","",IFERROR(LOOKUP(2,1/(#REF!=Z309),#REF!),""))</f>
        <v/>
      </c>
      <c r="AB309" t="str">
        <f>IF(Z309="","",IFERROR(LOOKUP(2,1/(#REF!=Z309),#REF!),""))</f>
        <v/>
      </c>
      <c r="AC309" t="e">
        <f>IF(Z309="","",COUNTIF(#REF!,Z309))</f>
        <v>#REF!</v>
      </c>
      <c r="AD309" t="e">
        <f>IF(A309="","",IF(AC309&gt;1,"REVISAR DUPLICADO",IF(AA309&lt;&gt;"","ACTUALIZADO POR EYR","SIN REPORTE EYR")))</f>
        <v>#REF!</v>
      </c>
    </row>
    <row r="310" spans="1:73" x14ac:dyDescent="0.3">
      <c r="A310" s="5" t="s">
        <v>4864</v>
      </c>
      <c r="B310" t="s">
        <v>4863</v>
      </c>
      <c r="C310" s="4" t="s">
        <v>4862</v>
      </c>
      <c r="D310" t="s">
        <v>1</v>
      </c>
      <c r="F310" t="s">
        <v>13</v>
      </c>
      <c r="G310" s="3">
        <v>8299948440</v>
      </c>
      <c r="H310" s="2">
        <v>46120</v>
      </c>
      <c r="K310" s="1">
        <f ca="1">IF(A310="","",IF(OR(L310="ENTREGADA",L310="RETORNADA",L310="ENTREGA DIGITAL"),0,MAX(0,5-NETWORKDAYS(H310+1,TODAY()))))</f>
        <v>0</v>
      </c>
      <c r="L310" t="str">
        <f>IF(A310="","",IFERROR(LOOKUP(2,1/(#REF!=Z310),#REF!),Y310))</f>
        <v>RETORNADA</v>
      </c>
      <c r="Y310" t="s">
        <v>1857</v>
      </c>
      <c r="Z310" t="str">
        <f>IF(A310="","",TEXT(A310,"0")&amp;"|"&amp;TEXT(H310,"0"))</f>
        <v>4025017767414380|46120</v>
      </c>
      <c r="AA310" t="str">
        <f>IF(Z310="","",IFERROR(LOOKUP(2,1/(#REF!=Z310),#REF!),""))</f>
        <v/>
      </c>
      <c r="AB310" t="str">
        <f>IF(Z310="","",IFERROR(LOOKUP(2,1/(#REF!=Z310),#REF!),""))</f>
        <v/>
      </c>
      <c r="AC310" t="e">
        <f>IF(Z310="","",COUNTIF(#REF!,Z310))</f>
        <v>#REF!</v>
      </c>
      <c r="AD310" t="e">
        <f>IF(A310="","",IF(AC310&gt;1,"REVISAR DUPLICADO",IF(AA310&lt;&gt;"","ACTUALIZADO POR EYR","SIN REPORTE EYR")))</f>
        <v>#REF!</v>
      </c>
    </row>
    <row r="311" spans="1:73" x14ac:dyDescent="0.3">
      <c r="A311" s="5" t="s">
        <v>4861</v>
      </c>
      <c r="B311" t="s">
        <v>4860</v>
      </c>
      <c r="C311" s="4" t="s">
        <v>4859</v>
      </c>
      <c r="D311" t="s">
        <v>1</v>
      </c>
      <c r="F311" t="s">
        <v>0</v>
      </c>
      <c r="G311" s="3">
        <v>8094550258</v>
      </c>
      <c r="H311" s="2">
        <v>46120</v>
      </c>
      <c r="K311" s="1">
        <f ca="1">IF(A311="","",IF(OR(L311="ENTREGADA",L311="RETORNADA",L311="ENTREGA DIGITAL"),0,MAX(0,5-NETWORKDAYS(H311+1,TODAY()))))</f>
        <v>0</v>
      </c>
      <c r="L311" t="str">
        <f>IF(A311="","",IFERROR(LOOKUP(2,1/(#REF!=Z311),#REF!),Y311))</f>
        <v>ENTREGADA</v>
      </c>
      <c r="Y311" t="s">
        <v>1956</v>
      </c>
      <c r="Z311" t="str">
        <f>IF(A311="","",TEXT(A311,"0")&amp;"|"&amp;TEXT(H311,"0"))</f>
        <v>5415017696796750|46120</v>
      </c>
      <c r="AA311" t="str">
        <f>IF(Z311="","",IFERROR(LOOKUP(2,1/(#REF!=Z311),#REF!),""))</f>
        <v/>
      </c>
      <c r="AB311" t="str">
        <f>IF(Z311="","",IFERROR(LOOKUP(2,1/(#REF!=Z311),#REF!),""))</f>
        <v/>
      </c>
      <c r="AC311" t="e">
        <f>IF(Z311="","",COUNTIF(#REF!,Z311))</f>
        <v>#REF!</v>
      </c>
      <c r="AD311" t="e">
        <f>IF(A311="","",IF(AC311&gt;1,"REVISAR DUPLICADO",IF(AA311&lt;&gt;"","ACTUALIZADO POR EYR","SIN REPORTE EYR")))</f>
        <v>#REF!</v>
      </c>
    </row>
    <row r="312" spans="1:73" x14ac:dyDescent="0.3">
      <c r="A312" s="5" t="s">
        <v>4858</v>
      </c>
      <c r="B312" t="s">
        <v>4857</v>
      </c>
      <c r="C312" s="4" t="s">
        <v>4856</v>
      </c>
      <c r="D312" t="s">
        <v>1</v>
      </c>
      <c r="F312" t="s">
        <v>4855</v>
      </c>
      <c r="G312" s="3">
        <v>8292073707</v>
      </c>
      <c r="H312" s="2">
        <v>46120</v>
      </c>
      <c r="I312" t="s">
        <v>1397</v>
      </c>
      <c r="K312" s="1">
        <f ca="1">IF(A312="","",IF(OR(L312="ENTREGADA",L312="RETORNADA",L312="ENTREGA DIGITAL"),0,MAX(0,5-NETWORKDAYS(H312+1,TODAY()))))</f>
        <v>0</v>
      </c>
      <c r="L312" t="str">
        <f>IF(A312="","",IFERROR(LOOKUP(2,1/(#REF!=Z312),#REF!),Y312))</f>
        <v>ENTREGADA</v>
      </c>
      <c r="Y312" t="s">
        <v>1956</v>
      </c>
      <c r="Z312" t="str">
        <f>IF(A312="","",TEXT(A312,"0")&amp;"|"&amp;TEXT(H312,"0"))</f>
        <v>4025017774261470|46120</v>
      </c>
      <c r="AA312" t="str">
        <f>IF(Z312="","",IFERROR(LOOKUP(2,1/(#REF!=Z312),#REF!),""))</f>
        <v/>
      </c>
      <c r="AB312" t="str">
        <f>IF(Z312="","",IFERROR(LOOKUP(2,1/(#REF!=Z312),#REF!),""))</f>
        <v/>
      </c>
      <c r="AC312" t="e">
        <f>IF(Z312="","",COUNTIF(#REF!,Z312))</f>
        <v>#REF!</v>
      </c>
      <c r="AD312" t="e">
        <f>IF(A312="","",IF(AC312&gt;1,"REVISAR DUPLICADO",IF(AA312&lt;&gt;"","ACTUALIZADO POR EYR","SIN REPORTE EYR")))</f>
        <v>#REF!</v>
      </c>
    </row>
    <row r="313" spans="1:73" x14ac:dyDescent="0.3">
      <c r="A313" s="5" t="s">
        <v>4854</v>
      </c>
      <c r="B313" t="s">
        <v>4853</v>
      </c>
      <c r="C313" s="4" t="s">
        <v>4852</v>
      </c>
      <c r="D313" t="s">
        <v>21</v>
      </c>
      <c r="F313" t="s">
        <v>4851</v>
      </c>
      <c r="G313" s="3">
        <v>8294793568</v>
      </c>
      <c r="H313" s="2">
        <v>46120</v>
      </c>
      <c r="K313" s="1">
        <f ca="1">IF(A313="","",IF(OR(L313="ENTREGADA",L313="RETORNADA",L313="ENTREGA DIGITAL"),0,MAX(0,5-NETWORKDAYS(H313+1,TODAY()))))</f>
        <v>0</v>
      </c>
      <c r="L313" t="str">
        <f>IF(A313="","",IFERROR(LOOKUP(2,1/(#REF!=Z313),#REF!),Y313))</f>
        <v>ENTREGA DIGITAL</v>
      </c>
      <c r="Y313" t="s">
        <v>1396</v>
      </c>
      <c r="Z313" t="str">
        <f>IF(A313="","",TEXT(A313,"0")&amp;"|"&amp;TEXT(H313,"0"))</f>
        <v>4025017783667920|46120</v>
      </c>
      <c r="AA313" t="str">
        <f>IF(Z313="","",IFERROR(LOOKUP(2,1/(#REF!=Z313),#REF!),""))</f>
        <v/>
      </c>
      <c r="AB313" t="str">
        <f>IF(Z313="","",IFERROR(LOOKUP(2,1/(#REF!=Z313),#REF!),""))</f>
        <v/>
      </c>
      <c r="AC313" t="e">
        <f>IF(Z313="","",COUNTIF(#REF!,Z313))</f>
        <v>#REF!</v>
      </c>
      <c r="AD313" t="e">
        <f>IF(A313="","",IF(AC313&gt;1,"REVISAR DUPLICADO",IF(AA313&lt;&gt;"","ACTUALIZADO POR EYR","SIN REPORTE EYR")))</f>
        <v>#REF!</v>
      </c>
    </row>
    <row r="314" spans="1:73" s="5" customFormat="1" x14ac:dyDescent="0.3">
      <c r="A314" s="5" t="s">
        <v>4850</v>
      </c>
      <c r="B314" t="s">
        <v>4849</v>
      </c>
      <c r="C314" s="4" t="s">
        <v>4848</v>
      </c>
      <c r="D314" s="17" t="s">
        <v>21</v>
      </c>
      <c r="E314" s="17" t="s">
        <v>21</v>
      </c>
      <c r="F314" s="17" t="s">
        <v>62</v>
      </c>
      <c r="G314" s="17" t="s">
        <v>4847</v>
      </c>
      <c r="H314" s="2">
        <v>46120</v>
      </c>
      <c r="I314" s="17"/>
      <c r="J314" s="17"/>
      <c r="K314" s="1">
        <f ca="1">IF(A314="","",IF(OR(L314="ENTREGADA",L314="RETORNADA",L314="ENTREGA DIGITAL"),0,MAX(0,5-NETWORKDAYS(H314+1,TODAY()))))</f>
        <v>0</v>
      </c>
      <c r="L314" t="str">
        <f>IF(A314="","",IFERROR(LOOKUP(2,1/(#REF!=Z314),#REF!),Y314))</f>
        <v>RETORNADA</v>
      </c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 t="s">
        <v>1857</v>
      </c>
      <c r="Z314" s="17" t="str">
        <f>IF(A314="","",TEXT(A314,"0")&amp;"|"&amp;TEXT(H314,"0"))</f>
        <v>4025017783868720|46120</v>
      </c>
      <c r="AA314" s="17" t="str">
        <f>IF(Z314="","",IFERROR(LOOKUP(2,1/(#REF!=Z314),#REF!),""))</f>
        <v/>
      </c>
      <c r="AB314" s="17" t="str">
        <f>IF(Z314="","",IFERROR(LOOKUP(2,1/(#REF!=Z314),#REF!),""))</f>
        <v/>
      </c>
      <c r="AC314" s="17" t="e">
        <f>IF(Z314="","",COUNTIF(#REF!,Z314))</f>
        <v>#REF!</v>
      </c>
      <c r="AD314" s="17" t="e">
        <f>IF(A314="","",IF(AC314&gt;1,"REVISAR DUPLICADO",IF(AA314&lt;&gt;"","ACTUALIZADO POR EYR","SIN REPORTE EYR")))</f>
        <v>#REF!</v>
      </c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</row>
    <row r="315" spans="1:73" x14ac:dyDescent="0.3">
      <c r="A315" s="5" t="s">
        <v>3412</v>
      </c>
      <c r="B315" t="s">
        <v>3411</v>
      </c>
      <c r="C315" s="4" t="s">
        <v>3410</v>
      </c>
      <c r="D315" t="s">
        <v>21</v>
      </c>
      <c r="F315" t="s">
        <v>4846</v>
      </c>
      <c r="G315" s="3">
        <v>8298922050</v>
      </c>
      <c r="H315" s="2">
        <v>46120</v>
      </c>
      <c r="K315" s="1">
        <f ca="1">IF(A315="","",IF(OR(L315="ENTREGADA",L315="RETORNADA",L315="ENTREGA DIGITAL"),0,MAX(0,5-NETWORKDAYS(H315+1,TODAY()))))</f>
        <v>0</v>
      </c>
      <c r="L315" t="str">
        <f>IF(A315="","",IFERROR(LOOKUP(2,1/(#REF!=Z315),#REF!),Y315))</f>
        <v>RETORNADA</v>
      </c>
      <c r="Y315" t="s">
        <v>1857</v>
      </c>
      <c r="Z315" t="str">
        <f>IF(A315="","",TEXT(A315,"0")&amp;"|"&amp;TEXT(H315,"0"))</f>
        <v>5188017780214250|46120</v>
      </c>
      <c r="AA315" t="str">
        <f>IF(Z315="","",IFERROR(LOOKUP(2,1/(#REF!=Z315),#REF!),""))</f>
        <v/>
      </c>
      <c r="AB315" t="str">
        <f>IF(Z315="","",IFERROR(LOOKUP(2,1/(#REF!=Z315),#REF!),""))</f>
        <v/>
      </c>
      <c r="AC315" t="e">
        <f>IF(Z315="","",COUNTIF(#REF!,Z315))</f>
        <v>#REF!</v>
      </c>
      <c r="AD315" t="e">
        <f>IF(A315="","",IF(AC315&gt;1,"REVISAR DUPLICADO",IF(AA315&lt;&gt;"","ACTUALIZADO POR EYR","SIN REPORTE EYR")))</f>
        <v>#REF!</v>
      </c>
    </row>
    <row r="316" spans="1:73" x14ac:dyDescent="0.3">
      <c r="A316" s="5" t="s">
        <v>4845</v>
      </c>
      <c r="B316" t="s">
        <v>4844</v>
      </c>
      <c r="C316" s="4" t="s">
        <v>4843</v>
      </c>
      <c r="D316" t="s">
        <v>21</v>
      </c>
      <c r="F316" t="s">
        <v>13</v>
      </c>
      <c r="G316" s="3">
        <v>8098449898</v>
      </c>
      <c r="H316" s="2">
        <v>46120</v>
      </c>
      <c r="K316" s="1">
        <f ca="1">IF(A316="","",IF(OR(L316="ENTREGADA",L316="RETORNADA",L316="ENTREGA DIGITAL"),0,MAX(0,5-NETWORKDAYS(H316+1,TODAY()))))</f>
        <v>0</v>
      </c>
      <c r="L316" t="str">
        <f>IF(A316="","",IFERROR(LOOKUP(2,1/(#REF!=Z316),#REF!),Y316))</f>
        <v>ENTREGADA</v>
      </c>
      <c r="Y316" t="s">
        <v>1956</v>
      </c>
      <c r="Z316" t="str">
        <f>IF(A316="","",TEXT(A316,"0")&amp;"|"&amp;TEXT(H316,"0"))</f>
        <v>4921017783069890|46120</v>
      </c>
      <c r="AA316" t="str">
        <f>IF(Z316="","",IFERROR(LOOKUP(2,1/(#REF!=Z316),#REF!),""))</f>
        <v/>
      </c>
      <c r="AB316" t="str">
        <f>IF(Z316="","",IFERROR(LOOKUP(2,1/(#REF!=Z316),#REF!),""))</f>
        <v/>
      </c>
      <c r="AC316" t="e">
        <f>IF(Z316="","",COUNTIF(#REF!,Z316))</f>
        <v>#REF!</v>
      </c>
      <c r="AD316" t="e">
        <f>IF(A316="","",IF(AC316&gt;1,"REVISAR DUPLICADO",IF(AA316&lt;&gt;"","ACTUALIZADO POR EYR","SIN REPORTE EYR")))</f>
        <v>#REF!</v>
      </c>
    </row>
    <row r="317" spans="1:73" x14ac:dyDescent="0.3">
      <c r="A317" s="5" t="s">
        <v>4842</v>
      </c>
      <c r="B317" t="s">
        <v>4841</v>
      </c>
      <c r="C317" s="4" t="s">
        <v>4840</v>
      </c>
      <c r="D317" t="s">
        <v>21</v>
      </c>
      <c r="F317" t="s">
        <v>3463</v>
      </c>
      <c r="G317" s="3">
        <v>8297972866</v>
      </c>
      <c r="H317" s="2">
        <v>46120</v>
      </c>
      <c r="K317" s="1">
        <f ca="1">IF(A317="","",IF(OR(L317="ENTREGADA",L317="RETORNADA",L317="ENTREGA DIGITAL"),0,MAX(0,5-NETWORKDAYS(H317+1,TODAY()))))</f>
        <v>0</v>
      </c>
      <c r="L317" t="str">
        <f>IF(A317="","",IFERROR(LOOKUP(2,1/(#REF!=Z317),#REF!),Y317))</f>
        <v>ENTREGADA</v>
      </c>
      <c r="Y317" t="s">
        <v>1956</v>
      </c>
      <c r="Z317" t="str">
        <f>IF(A317="","",TEXT(A317,"0")&amp;"|"&amp;TEXT(H317,"0"))</f>
        <v>4921017780595810|46120</v>
      </c>
      <c r="AA317" t="str">
        <f>IF(Z317="","",IFERROR(LOOKUP(2,1/(#REF!=Z317),#REF!),""))</f>
        <v/>
      </c>
      <c r="AB317" t="str">
        <f>IF(Z317="","",IFERROR(LOOKUP(2,1/(#REF!=Z317),#REF!),""))</f>
        <v/>
      </c>
      <c r="AC317" t="e">
        <f>IF(Z317="","",COUNTIF(#REF!,Z317))</f>
        <v>#REF!</v>
      </c>
      <c r="AD317" t="e">
        <f>IF(A317="","",IF(AC317&gt;1,"REVISAR DUPLICADO",IF(AA317&lt;&gt;"","ACTUALIZADO POR EYR","SIN REPORTE EYR")))</f>
        <v>#REF!</v>
      </c>
    </row>
    <row r="318" spans="1:73" x14ac:dyDescent="0.3">
      <c r="A318" s="5" t="s">
        <v>4839</v>
      </c>
      <c r="B318" t="s">
        <v>4838</v>
      </c>
      <c r="C318" s="4" t="s">
        <v>4837</v>
      </c>
      <c r="D318" t="s">
        <v>21</v>
      </c>
      <c r="F318" t="s">
        <v>13</v>
      </c>
      <c r="G318" s="3">
        <v>8297091400</v>
      </c>
      <c r="H318" s="2">
        <v>46120</v>
      </c>
      <c r="K318" s="1">
        <f ca="1">IF(A318="","",IF(OR(L318="ENTREGADA",L318="RETORNADA",L318="ENTREGA DIGITAL"),0,MAX(0,5-NETWORKDAYS(H318+1,TODAY()))))</f>
        <v>0</v>
      </c>
      <c r="L318" t="str">
        <f>IF(A318="","",IFERROR(LOOKUP(2,1/(#REF!=Z318),#REF!),Y318))</f>
        <v>ENTREGA DIGITAL</v>
      </c>
      <c r="Y318" t="s">
        <v>1396</v>
      </c>
      <c r="Z318" t="str">
        <f>IF(A318="","",TEXT(A318,"0")&amp;"|"&amp;TEXT(H318,"0"))</f>
        <v>4921017782421920|46120</v>
      </c>
      <c r="AA318" t="str">
        <f>IF(Z318="","",IFERROR(LOOKUP(2,1/(#REF!=Z318),#REF!),""))</f>
        <v/>
      </c>
      <c r="AB318" t="str">
        <f>IF(Z318="","",IFERROR(LOOKUP(2,1/(#REF!=Z318),#REF!),""))</f>
        <v/>
      </c>
      <c r="AC318" t="e">
        <f>IF(Z318="","",COUNTIF(#REF!,Z318))</f>
        <v>#REF!</v>
      </c>
      <c r="AD318" t="e">
        <f>IF(A318="","",IF(AC318&gt;1,"REVISAR DUPLICADO",IF(AA318&lt;&gt;"","ACTUALIZADO POR EYR","SIN REPORTE EYR")))</f>
        <v>#REF!</v>
      </c>
    </row>
    <row r="319" spans="1:73" x14ac:dyDescent="0.3">
      <c r="A319" s="5" t="s">
        <v>4836</v>
      </c>
      <c r="B319" t="s">
        <v>4835</v>
      </c>
      <c r="C319" s="4" t="s">
        <v>4834</v>
      </c>
      <c r="D319" t="s">
        <v>21</v>
      </c>
      <c r="F319" t="s">
        <v>4833</v>
      </c>
      <c r="G319" s="3">
        <v>8099752941</v>
      </c>
      <c r="H319" s="2">
        <v>46120</v>
      </c>
      <c r="K319" s="1">
        <f ca="1">IF(A319="","",IF(OR(L319="ENTREGADA",L319="RETORNADA",L319="ENTREGA DIGITAL"),0,MAX(0,5-NETWORKDAYS(H319+1,TODAY()))))</f>
        <v>0</v>
      </c>
      <c r="L319" t="str">
        <f>IF(A319="","",IFERROR(LOOKUP(2,1/(#REF!=Z319),#REF!),Y319))</f>
        <v>ENTREGA DIGITAL</v>
      </c>
      <c r="Y319" t="s">
        <v>1396</v>
      </c>
      <c r="Z319" t="str">
        <f>IF(A319="","",TEXT(A319,"0")&amp;"|"&amp;TEXT(H319,"0"))</f>
        <v>4921017782251280|46120</v>
      </c>
      <c r="AA319" t="str">
        <f>IF(Z319="","",IFERROR(LOOKUP(2,1/(#REF!=Z319),#REF!),""))</f>
        <v/>
      </c>
      <c r="AB319" t="str">
        <f>IF(Z319="","",IFERROR(LOOKUP(2,1/(#REF!=Z319),#REF!),""))</f>
        <v/>
      </c>
      <c r="AC319" t="e">
        <f>IF(Z319="","",COUNTIF(#REF!,Z319))</f>
        <v>#REF!</v>
      </c>
      <c r="AD319" t="e">
        <f>IF(A319="","",IF(AC319&gt;1,"REVISAR DUPLICADO",IF(AA319&lt;&gt;"","ACTUALIZADO POR EYR","SIN REPORTE EYR")))</f>
        <v>#REF!</v>
      </c>
    </row>
    <row r="320" spans="1:73" x14ac:dyDescent="0.3">
      <c r="A320" s="5" t="s">
        <v>4832</v>
      </c>
      <c r="B320" t="s">
        <v>4831</v>
      </c>
      <c r="C320" s="4" t="s">
        <v>4830</v>
      </c>
      <c r="D320" t="s">
        <v>21</v>
      </c>
      <c r="F320" t="s">
        <v>4829</v>
      </c>
      <c r="G320" s="3">
        <v>8094864643</v>
      </c>
      <c r="H320" s="2">
        <v>46120</v>
      </c>
      <c r="K320" s="1">
        <f ca="1">IF(A320="","",IF(OR(L320="ENTREGADA",L320="RETORNADA",L320="ENTREGA DIGITAL"),0,MAX(0,5-NETWORKDAYS(H320+1,TODAY()))))</f>
        <v>0</v>
      </c>
      <c r="L320" t="str">
        <f>IF(A320="","",IFERROR(LOOKUP(2,1/(#REF!=Z320),#REF!),Y320))</f>
        <v>ENTREGA DIGITAL</v>
      </c>
      <c r="Y320" t="s">
        <v>1396</v>
      </c>
      <c r="Z320" t="str">
        <f>IF(A320="","",TEXT(A320,"0")&amp;"|"&amp;TEXT(H320,"0"))</f>
        <v>5415017779340400|46120</v>
      </c>
      <c r="AA320" t="str">
        <f>IF(Z320="","",IFERROR(LOOKUP(2,1/(#REF!=Z320),#REF!),""))</f>
        <v/>
      </c>
      <c r="AB320" t="str">
        <f>IF(Z320="","",IFERROR(LOOKUP(2,1/(#REF!=Z320),#REF!),""))</f>
        <v/>
      </c>
      <c r="AC320" t="e">
        <f>IF(Z320="","",COUNTIF(#REF!,Z320))</f>
        <v>#REF!</v>
      </c>
      <c r="AD320" t="e">
        <f>IF(A320="","",IF(AC320&gt;1,"REVISAR DUPLICADO",IF(AA320&lt;&gt;"","ACTUALIZADO POR EYR","SIN REPORTE EYR")))</f>
        <v>#REF!</v>
      </c>
    </row>
    <row r="321" spans="1:30" x14ac:dyDescent="0.3">
      <c r="A321" s="5" t="s">
        <v>48</v>
      </c>
      <c r="B321" t="s">
        <v>47</v>
      </c>
      <c r="C321" s="4" t="s">
        <v>46</v>
      </c>
      <c r="D321" t="s">
        <v>21</v>
      </c>
      <c r="F321" t="s">
        <v>4828</v>
      </c>
      <c r="G321" s="3">
        <v>8098475732</v>
      </c>
      <c r="H321" s="2">
        <v>46120</v>
      </c>
      <c r="K321" s="1">
        <f ca="1">IF(A321="","",IF(OR(L321="ENTREGADA",L321="RETORNADA",L321="ENTREGA DIGITAL"),0,MAX(0,5-NETWORKDAYS(H321+1,TODAY()))))</f>
        <v>0</v>
      </c>
      <c r="L321" t="str">
        <f>IF(A321="","",IFERROR(LOOKUP(2,1/(#REF!=Z321),#REF!),Y321))</f>
        <v>RETORNADA</v>
      </c>
      <c r="Y321" t="s">
        <v>1857</v>
      </c>
      <c r="Z321" t="str">
        <f>IF(A321="","",TEXT(A321,"0")&amp;"|"&amp;TEXT(H321,"0"))</f>
        <v>4921017782317030|46120</v>
      </c>
      <c r="AA321" t="str">
        <f>IF(Z321="","",IFERROR(LOOKUP(2,1/(#REF!=Z321),#REF!),""))</f>
        <v/>
      </c>
      <c r="AB321" t="str">
        <f>IF(Z321="","",IFERROR(LOOKUP(2,1/(#REF!=Z321),#REF!),""))</f>
        <v/>
      </c>
      <c r="AC321" t="e">
        <f>IF(Z321="","",COUNTIF(#REF!,Z321))</f>
        <v>#REF!</v>
      </c>
      <c r="AD321" t="e">
        <f>IF(A321="","",IF(AC321&gt;1,"REVISAR DUPLICADO",IF(AA321&lt;&gt;"","ACTUALIZADO POR EYR","SIN REPORTE EYR")))</f>
        <v>#REF!</v>
      </c>
    </row>
    <row r="322" spans="1:30" x14ac:dyDescent="0.3">
      <c r="A322" s="5" t="s">
        <v>4827</v>
      </c>
      <c r="B322" t="s">
        <v>2683</v>
      </c>
      <c r="C322" s="4" t="s">
        <v>4826</v>
      </c>
      <c r="D322" t="s">
        <v>21</v>
      </c>
      <c r="F322" t="s">
        <v>4825</v>
      </c>
      <c r="G322" s="3">
        <v>8296296189</v>
      </c>
      <c r="H322" s="2">
        <v>46120</v>
      </c>
      <c r="I322" t="s">
        <v>1397</v>
      </c>
      <c r="K322" s="1">
        <f ca="1">IF(A322="","",IF(OR(L322="ENTREGADA",L322="RETORNADA",L322="ENTREGA DIGITAL"),0,MAX(0,5-NETWORKDAYS(H322+1,TODAY()))))</f>
        <v>0</v>
      </c>
      <c r="L322" t="str">
        <f>IF(A322="","",IFERROR(LOOKUP(2,1/(#REF!=Z322),#REF!),Y322))</f>
        <v>ENTREGADA</v>
      </c>
      <c r="Y322" t="s">
        <v>1956</v>
      </c>
      <c r="Z322" t="str">
        <f>IF(A322="","",TEXT(A322,"0")&amp;"|"&amp;TEXT(H322,"0"))</f>
        <v>4921017782439750|46120</v>
      </c>
      <c r="AA322" t="str">
        <f>IF(Z322="","",IFERROR(LOOKUP(2,1/(#REF!=Z322),#REF!),""))</f>
        <v/>
      </c>
      <c r="AB322" t="str">
        <f>IF(Z322="","",IFERROR(LOOKUP(2,1/(#REF!=Z322),#REF!),""))</f>
        <v/>
      </c>
      <c r="AC322" t="e">
        <f>IF(Z322="","",COUNTIF(#REF!,Z322))</f>
        <v>#REF!</v>
      </c>
      <c r="AD322" t="e">
        <f>IF(A322="","",IF(AC322&gt;1,"REVISAR DUPLICADO",IF(AA322&lt;&gt;"","ACTUALIZADO POR EYR","SIN REPORTE EYR")))</f>
        <v>#REF!</v>
      </c>
    </row>
    <row r="323" spans="1:30" x14ac:dyDescent="0.3">
      <c r="A323" s="5" t="s">
        <v>4824</v>
      </c>
      <c r="B323" t="s">
        <v>4823</v>
      </c>
      <c r="C323" s="4" t="s">
        <v>4822</v>
      </c>
      <c r="D323" t="s">
        <v>21</v>
      </c>
      <c r="F323" t="s">
        <v>13</v>
      </c>
      <c r="G323" s="3">
        <v>8297566395</v>
      </c>
      <c r="H323" s="2">
        <v>46120</v>
      </c>
      <c r="K323" s="1">
        <f ca="1">IF(A323="","",IF(OR(L323="ENTREGADA",L323="RETORNADA",L323="ENTREGA DIGITAL"),0,MAX(0,5-NETWORKDAYS(H323+1,TODAY()))))</f>
        <v>0</v>
      </c>
      <c r="L323" t="str">
        <f>IF(A323="","",IFERROR(LOOKUP(2,1/(#REF!=Z323),#REF!),Y323))</f>
        <v>ENTREGA DIGITAL</v>
      </c>
      <c r="Y323" t="s">
        <v>1396</v>
      </c>
      <c r="Z323" t="str">
        <f>IF(A323="","",TEXT(A323,"0")&amp;"|"&amp;TEXT(H323,"0"))</f>
        <v>4921017780660000|46120</v>
      </c>
      <c r="AA323" t="str">
        <f>IF(Z323="","",IFERROR(LOOKUP(2,1/(#REF!=Z323),#REF!),""))</f>
        <v/>
      </c>
      <c r="AB323" t="str">
        <f>IF(Z323="","",IFERROR(LOOKUP(2,1/(#REF!=Z323),#REF!),""))</f>
        <v/>
      </c>
      <c r="AC323" t="e">
        <f>IF(Z323="","",COUNTIF(#REF!,Z323))</f>
        <v>#REF!</v>
      </c>
      <c r="AD323" t="e">
        <f>IF(A323="","",IF(AC323&gt;1,"REVISAR DUPLICADO",IF(AA323&lt;&gt;"","ACTUALIZADO POR EYR","SIN REPORTE EYR")))</f>
        <v>#REF!</v>
      </c>
    </row>
    <row r="324" spans="1:30" x14ac:dyDescent="0.3">
      <c r="A324" s="5" t="s">
        <v>4821</v>
      </c>
      <c r="B324" t="s">
        <v>4820</v>
      </c>
      <c r="C324" s="4" t="s">
        <v>4819</v>
      </c>
      <c r="D324" t="s">
        <v>21</v>
      </c>
      <c r="F324" t="s">
        <v>13</v>
      </c>
      <c r="G324" s="3">
        <v>8299420973</v>
      </c>
      <c r="H324" s="2">
        <v>46120</v>
      </c>
      <c r="K324" s="1">
        <f ca="1">IF(A324="","",IF(OR(L324="ENTREGADA",L324="RETORNADA",L324="ENTREGA DIGITAL"),0,MAX(0,5-NETWORKDAYS(H324+1,TODAY()))))</f>
        <v>0</v>
      </c>
      <c r="L324" t="str">
        <f>IF(A324="","",IFERROR(LOOKUP(2,1/(#REF!=Z324),#REF!),Y324))</f>
        <v>ENTREGA DIGITAL</v>
      </c>
      <c r="Y324" t="s">
        <v>1396</v>
      </c>
      <c r="Z324" t="str">
        <f>IF(A324="","",TEXT(A324,"0")&amp;"|"&amp;TEXT(H324,"0"))</f>
        <v>4921017783034280|46120</v>
      </c>
      <c r="AA324" t="str">
        <f>IF(Z324="","",IFERROR(LOOKUP(2,1/(#REF!=Z324),#REF!),""))</f>
        <v/>
      </c>
      <c r="AB324" t="str">
        <f>IF(Z324="","",IFERROR(LOOKUP(2,1/(#REF!=Z324),#REF!),""))</f>
        <v/>
      </c>
      <c r="AC324" t="e">
        <f>IF(Z324="","",COUNTIF(#REF!,Z324))</f>
        <v>#REF!</v>
      </c>
      <c r="AD324" t="e">
        <f>IF(A324="","",IF(AC324&gt;1,"REVISAR DUPLICADO",IF(AA324&lt;&gt;"","ACTUALIZADO POR EYR","SIN REPORTE EYR")))</f>
        <v>#REF!</v>
      </c>
    </row>
    <row r="325" spans="1:30" x14ac:dyDescent="0.3">
      <c r="A325" s="5" t="s">
        <v>4818</v>
      </c>
      <c r="B325" t="s">
        <v>4817</v>
      </c>
      <c r="C325" s="4" t="s">
        <v>4816</v>
      </c>
      <c r="D325" t="s">
        <v>21</v>
      </c>
      <c r="F325" t="s">
        <v>879</v>
      </c>
      <c r="G325" s="3">
        <v>8098763558</v>
      </c>
      <c r="H325" s="2">
        <v>46120</v>
      </c>
      <c r="K325" s="1">
        <f ca="1">IF(A325="","",IF(OR(L325="ENTREGADA",L325="RETORNADA",L325="ENTREGA DIGITAL"),0,MAX(0,5-NETWORKDAYS(H325+1,TODAY()))))</f>
        <v>0</v>
      </c>
      <c r="L325" t="str">
        <f>IF(A325="","",IFERROR(LOOKUP(2,1/(#REF!=Z325),#REF!),Y325))</f>
        <v>ENTREGA DIGITAL</v>
      </c>
      <c r="Y325" t="s">
        <v>1396</v>
      </c>
      <c r="Z325" t="str">
        <f>IF(A325="","",TEXT(A325,"0")&amp;"|"&amp;TEXT(H325,"0"))</f>
        <v>4921017780600130|46120</v>
      </c>
      <c r="AA325" t="str">
        <f>IF(Z325="","",IFERROR(LOOKUP(2,1/(#REF!=Z325),#REF!),""))</f>
        <v/>
      </c>
      <c r="AB325" t="str">
        <f>IF(Z325="","",IFERROR(LOOKUP(2,1/(#REF!=Z325),#REF!),""))</f>
        <v/>
      </c>
      <c r="AC325" t="e">
        <f>IF(Z325="","",COUNTIF(#REF!,Z325))</f>
        <v>#REF!</v>
      </c>
      <c r="AD325" t="e">
        <f>IF(A325="","",IF(AC325&gt;1,"REVISAR DUPLICADO",IF(AA325&lt;&gt;"","ACTUALIZADO POR EYR","SIN REPORTE EYR")))</f>
        <v>#REF!</v>
      </c>
    </row>
    <row r="326" spans="1:30" x14ac:dyDescent="0.3">
      <c r="A326" s="5" t="s">
        <v>4815</v>
      </c>
      <c r="B326" t="s">
        <v>4814</v>
      </c>
      <c r="C326" s="4" t="s">
        <v>4813</v>
      </c>
      <c r="D326" t="s">
        <v>21</v>
      </c>
      <c r="F326" t="s">
        <v>13</v>
      </c>
      <c r="G326" s="3">
        <v>8093099901</v>
      </c>
      <c r="H326" s="2">
        <v>46120</v>
      </c>
      <c r="J326" t="s">
        <v>1399</v>
      </c>
      <c r="K326" s="1">
        <f ca="1">IF(A326="","",IF(OR(L326="ENTREGADA",L326="RETORNADA",L326="ENTREGA DIGITAL"),0,MAX(0,5-NETWORKDAYS(H326+1,TODAY()))))</f>
        <v>0</v>
      </c>
      <c r="L326" t="str">
        <f>IF(A326="","",IFERROR(LOOKUP(2,1/(#REF!=Z326),#REF!),Y326))</f>
        <v>ENTREGA DIGITAL</v>
      </c>
      <c r="Y326" t="s">
        <v>1396</v>
      </c>
      <c r="Z326" t="str">
        <f>IF(A326="","",TEXT(A326,"0")&amp;"|"&amp;TEXT(H326,"0"))</f>
        <v>4921017782755790|46120</v>
      </c>
      <c r="AA326" t="str">
        <f>IF(Z326="","",IFERROR(LOOKUP(2,1/(#REF!=Z326),#REF!),""))</f>
        <v/>
      </c>
      <c r="AB326" t="str">
        <f>IF(Z326="","",IFERROR(LOOKUP(2,1/(#REF!=Z326),#REF!),""))</f>
        <v/>
      </c>
      <c r="AC326" t="e">
        <f>IF(Z326="","",COUNTIF(#REF!,Z326))</f>
        <v>#REF!</v>
      </c>
      <c r="AD326" t="e">
        <f>IF(A326="","",IF(AC326&gt;1,"REVISAR DUPLICADO",IF(AA326&lt;&gt;"","ACTUALIZADO POR EYR","SIN REPORTE EYR")))</f>
        <v>#REF!</v>
      </c>
    </row>
    <row r="327" spans="1:30" x14ac:dyDescent="0.3">
      <c r="A327" s="5" t="s">
        <v>4812</v>
      </c>
      <c r="B327" t="s">
        <v>4811</v>
      </c>
      <c r="C327" s="4" t="s">
        <v>4810</v>
      </c>
      <c r="D327" t="s">
        <v>21</v>
      </c>
      <c r="F327" t="s">
        <v>4809</v>
      </c>
      <c r="G327" s="3">
        <v>8097719684</v>
      </c>
      <c r="H327" s="2">
        <v>46120</v>
      </c>
      <c r="K327" s="1">
        <f ca="1">IF(A327="","",IF(OR(L327="ENTREGADA",L327="RETORNADA",L327="ENTREGA DIGITAL"),0,MAX(0,5-NETWORKDAYS(H327+1,TODAY()))))</f>
        <v>0</v>
      </c>
      <c r="L327" t="str">
        <f>IF(A327="","",IFERROR(LOOKUP(2,1/(#REF!=Z327),#REF!),Y327))</f>
        <v>ENTREGA DIGITAL</v>
      </c>
      <c r="Y327" t="s">
        <v>1396</v>
      </c>
      <c r="Z327" t="str">
        <f>IF(A327="","",TEXT(A327,"0")&amp;"|"&amp;TEXT(H327,"0"))</f>
        <v>4921017782633110|46120</v>
      </c>
      <c r="AA327" t="str">
        <f>IF(Z327="","",IFERROR(LOOKUP(2,1/(#REF!=Z327),#REF!),""))</f>
        <v/>
      </c>
      <c r="AB327" t="str">
        <f>IF(Z327="","",IFERROR(LOOKUP(2,1/(#REF!=Z327),#REF!),""))</f>
        <v/>
      </c>
      <c r="AC327" t="e">
        <f>IF(Z327="","",COUNTIF(#REF!,Z327))</f>
        <v>#REF!</v>
      </c>
      <c r="AD327" t="e">
        <f>IF(A327="","",IF(AC327&gt;1,"REVISAR DUPLICADO",IF(AA327&lt;&gt;"","ACTUALIZADO POR EYR","SIN REPORTE EYR")))</f>
        <v>#REF!</v>
      </c>
    </row>
    <row r="328" spans="1:30" x14ac:dyDescent="0.3">
      <c r="A328" s="5" t="s">
        <v>4808</v>
      </c>
      <c r="B328" t="s">
        <v>2232</v>
      </c>
      <c r="C328" s="4" t="s">
        <v>4807</v>
      </c>
      <c r="D328" t="s">
        <v>21</v>
      </c>
      <c r="F328" t="s">
        <v>13</v>
      </c>
      <c r="G328" s="3">
        <v>8095138996</v>
      </c>
      <c r="H328" s="2">
        <v>46120</v>
      </c>
      <c r="K328" s="1">
        <f ca="1">IF(A328="","",IF(OR(L328="ENTREGADA",L328="RETORNADA",L328="ENTREGA DIGITAL"),0,MAX(0,5-NETWORKDAYS(H328+1,TODAY()))))</f>
        <v>0</v>
      </c>
      <c r="L328" t="str">
        <f>IF(A328="","",IFERROR(LOOKUP(2,1/(#REF!=Z328),#REF!),Y328))</f>
        <v>ENTREGA DIGITAL</v>
      </c>
      <c r="Y328" t="s">
        <v>1396</v>
      </c>
      <c r="Z328" t="str">
        <f>IF(A328="","",TEXT(A328,"0")&amp;"|"&amp;TEXT(H328,"0"))</f>
        <v>4921017782045900|46120</v>
      </c>
      <c r="AA328" t="str">
        <f>IF(Z328="","",IFERROR(LOOKUP(2,1/(#REF!=Z328),#REF!),""))</f>
        <v/>
      </c>
      <c r="AB328" t="str">
        <f>IF(Z328="","",IFERROR(LOOKUP(2,1/(#REF!=Z328),#REF!),""))</f>
        <v/>
      </c>
      <c r="AC328" t="e">
        <f>IF(Z328="","",COUNTIF(#REF!,Z328))</f>
        <v>#REF!</v>
      </c>
      <c r="AD328" t="e">
        <f>IF(A328="","",IF(AC328&gt;1,"REVISAR DUPLICADO",IF(AA328&lt;&gt;"","ACTUALIZADO POR EYR","SIN REPORTE EYR")))</f>
        <v>#REF!</v>
      </c>
    </row>
    <row r="329" spans="1:30" x14ac:dyDescent="0.3">
      <c r="A329" s="5" t="s">
        <v>4806</v>
      </c>
      <c r="B329" t="s">
        <v>4805</v>
      </c>
      <c r="C329" s="4" t="s">
        <v>4804</v>
      </c>
      <c r="D329" t="s">
        <v>21</v>
      </c>
      <c r="F329" t="s">
        <v>4803</v>
      </c>
      <c r="G329" s="3">
        <v>9999999999</v>
      </c>
      <c r="H329" s="2">
        <v>46120</v>
      </c>
      <c r="I329" t="s">
        <v>1397</v>
      </c>
      <c r="K329" s="1">
        <f ca="1">IF(A329="","",IF(OR(L329="ENTREGADA",L329="RETORNADA",L329="ENTREGA DIGITAL"),0,MAX(0,5-NETWORKDAYS(H329+1,TODAY()))))</f>
        <v>0</v>
      </c>
      <c r="L329" t="str">
        <f>IF(A329="","",IFERROR(LOOKUP(2,1/(#REF!=Z329),#REF!),Y329))</f>
        <v>ENTREGADA</v>
      </c>
      <c r="Y329" t="s">
        <v>1956</v>
      </c>
      <c r="Z329" t="str">
        <f>IF(A329="","",TEXT(A329,"0")&amp;"|"&amp;TEXT(H329,"0"))</f>
        <v>4921017780558830|46120</v>
      </c>
      <c r="AA329" t="str">
        <f>IF(Z329="","",IFERROR(LOOKUP(2,1/(#REF!=Z329),#REF!),""))</f>
        <v/>
      </c>
      <c r="AB329" t="str">
        <f>IF(Z329="","",IFERROR(LOOKUP(2,1/(#REF!=Z329),#REF!),""))</f>
        <v/>
      </c>
      <c r="AC329" t="e">
        <f>IF(Z329="","",COUNTIF(#REF!,Z329))</f>
        <v>#REF!</v>
      </c>
      <c r="AD329" t="e">
        <f>IF(A329="","",IF(AC329&gt;1,"REVISAR DUPLICADO",IF(AA329&lt;&gt;"","ACTUALIZADO POR EYR","SIN REPORTE EYR")))</f>
        <v>#REF!</v>
      </c>
    </row>
    <row r="330" spans="1:30" x14ac:dyDescent="0.3">
      <c r="A330" s="5" t="s">
        <v>4802</v>
      </c>
      <c r="B330" t="s">
        <v>4801</v>
      </c>
      <c r="C330" s="4" t="s">
        <v>4800</v>
      </c>
      <c r="D330" t="s">
        <v>21</v>
      </c>
      <c r="F330" t="s">
        <v>13</v>
      </c>
      <c r="G330" s="3">
        <v>8293984844</v>
      </c>
      <c r="H330" s="2">
        <v>46120</v>
      </c>
      <c r="K330" s="1">
        <f ca="1">IF(A330="","",IF(OR(L330="ENTREGADA",L330="RETORNADA",L330="ENTREGA DIGITAL"),0,MAX(0,5-NETWORKDAYS(H330+1,TODAY()))))</f>
        <v>0</v>
      </c>
      <c r="L330" t="str">
        <f>IF(A330="","",IFERROR(LOOKUP(2,1/(#REF!=Z330),#REF!),Y330))</f>
        <v>RETORNADA</v>
      </c>
      <c r="Y330" t="s">
        <v>1857</v>
      </c>
      <c r="Z330" t="str">
        <f>IF(A330="","",TEXT(A330,"0")&amp;"|"&amp;TEXT(H330,"0"))</f>
        <v>4921017782584920|46120</v>
      </c>
      <c r="AA330" t="str">
        <f>IF(Z330="","",IFERROR(LOOKUP(2,1/(#REF!=Z330),#REF!),""))</f>
        <v/>
      </c>
      <c r="AB330" t="str">
        <f>IF(Z330="","",IFERROR(LOOKUP(2,1/(#REF!=Z330),#REF!),""))</f>
        <v/>
      </c>
      <c r="AC330" t="e">
        <f>IF(Z330="","",COUNTIF(#REF!,Z330))</f>
        <v>#REF!</v>
      </c>
      <c r="AD330" t="e">
        <f>IF(A330="","",IF(AC330&gt;1,"REVISAR DUPLICADO",IF(AA330&lt;&gt;"","ACTUALIZADO POR EYR","SIN REPORTE EYR")))</f>
        <v>#REF!</v>
      </c>
    </row>
    <row r="331" spans="1:30" x14ac:dyDescent="0.3">
      <c r="A331" s="5" t="s">
        <v>4799</v>
      </c>
      <c r="B331" t="s">
        <v>4798</v>
      </c>
      <c r="C331" s="4" t="s">
        <v>4797</v>
      </c>
      <c r="D331" t="s">
        <v>21</v>
      </c>
      <c r="F331" t="s">
        <v>13</v>
      </c>
      <c r="G331" s="3">
        <v>8292843593</v>
      </c>
      <c r="H331" s="2">
        <v>46120</v>
      </c>
      <c r="K331" s="1">
        <f ca="1">IF(A331="","",IF(OR(L331="ENTREGADA",L331="RETORNADA",L331="ENTREGA DIGITAL"),0,MAX(0,5-NETWORKDAYS(H331+1,TODAY()))))</f>
        <v>0</v>
      </c>
      <c r="L331" t="str">
        <f>IF(A331="","",IFERROR(LOOKUP(2,1/(#REF!=Z331),#REF!),Y331))</f>
        <v>ENTREGADA</v>
      </c>
      <c r="Y331" t="s">
        <v>1956</v>
      </c>
      <c r="Z331" t="str">
        <f>IF(A331="","",TEXT(A331,"0")&amp;"|"&amp;TEXT(H331,"0"))</f>
        <v>4921017783019710|46120</v>
      </c>
      <c r="AA331" t="str">
        <f>IF(Z331="","",IFERROR(LOOKUP(2,1/(#REF!=Z331),#REF!),""))</f>
        <v/>
      </c>
      <c r="AB331" t="str">
        <f>IF(Z331="","",IFERROR(LOOKUP(2,1/(#REF!=Z331),#REF!),""))</f>
        <v/>
      </c>
      <c r="AC331" t="e">
        <f>IF(Z331="","",COUNTIF(#REF!,Z331))</f>
        <v>#REF!</v>
      </c>
      <c r="AD331" t="e">
        <f>IF(A331="","",IF(AC331&gt;1,"REVISAR DUPLICADO",IF(AA331&lt;&gt;"","ACTUALIZADO POR EYR","SIN REPORTE EYR")))</f>
        <v>#REF!</v>
      </c>
    </row>
    <row r="332" spans="1:30" x14ac:dyDescent="0.3">
      <c r="A332" s="5" t="s">
        <v>4796</v>
      </c>
      <c r="B332" t="s">
        <v>4795</v>
      </c>
      <c r="C332" s="4" t="s">
        <v>4794</v>
      </c>
      <c r="D332" t="s">
        <v>21</v>
      </c>
      <c r="F332" t="s">
        <v>4793</v>
      </c>
      <c r="G332" s="3">
        <v>8095230628</v>
      </c>
      <c r="H332" s="2">
        <v>46120</v>
      </c>
      <c r="I332" t="s">
        <v>1397</v>
      </c>
      <c r="K332" s="1">
        <f ca="1">IF(A332="","",IF(OR(L332="ENTREGADA",L332="RETORNADA",L332="ENTREGA DIGITAL"),0,MAX(0,5-NETWORKDAYS(H332+1,TODAY()))))</f>
        <v>0</v>
      </c>
      <c r="L332" t="str">
        <f>IF(A332="","",IFERROR(LOOKUP(2,1/(#REF!=Z332),#REF!),Y332))</f>
        <v>ENTREGADA</v>
      </c>
      <c r="Y332" t="s">
        <v>1956</v>
      </c>
      <c r="Z332" t="str">
        <f>IF(A332="","",TEXT(A332,"0")&amp;"|"&amp;TEXT(H332,"0"))</f>
        <v>5192017780278910|46120</v>
      </c>
      <c r="AA332" t="str">
        <f>IF(Z332="","",IFERROR(LOOKUP(2,1/(#REF!=Z332),#REF!),""))</f>
        <v/>
      </c>
      <c r="AB332" t="str">
        <f>IF(Z332="","",IFERROR(LOOKUP(2,1/(#REF!=Z332),#REF!),""))</f>
        <v/>
      </c>
      <c r="AC332" t="e">
        <f>IF(Z332="","",COUNTIF(#REF!,Z332))</f>
        <v>#REF!</v>
      </c>
      <c r="AD332" t="e">
        <f>IF(A332="","",IF(AC332&gt;1,"REVISAR DUPLICADO",IF(AA332&lt;&gt;"","ACTUALIZADO POR EYR","SIN REPORTE EYR")))</f>
        <v>#REF!</v>
      </c>
    </row>
    <row r="333" spans="1:30" x14ac:dyDescent="0.3">
      <c r="A333" s="5" t="s">
        <v>4792</v>
      </c>
      <c r="B333" t="s">
        <v>4791</v>
      </c>
      <c r="C333" s="4" t="s">
        <v>4790</v>
      </c>
      <c r="D333" t="s">
        <v>21</v>
      </c>
      <c r="F333" t="s">
        <v>13</v>
      </c>
      <c r="G333" s="3">
        <v>8296697343</v>
      </c>
      <c r="H333" s="2">
        <v>46120</v>
      </c>
      <c r="K333" s="1">
        <f ca="1">IF(A333="","",IF(OR(L333="ENTREGADA",L333="RETORNADA",L333="ENTREGA DIGITAL"),0,MAX(0,5-NETWORKDAYS(H333+1,TODAY()))))</f>
        <v>0</v>
      </c>
      <c r="L333" t="str">
        <f>IF(A333="","",IFERROR(LOOKUP(2,1/(#REF!=Z333),#REF!),Y333))</f>
        <v>ENTREGA DIGITAL</v>
      </c>
      <c r="Y333" t="s">
        <v>1396</v>
      </c>
      <c r="Z333" t="str">
        <f>IF(A333="","",TEXT(A333,"0")&amp;"|"&amp;TEXT(H333,"0"))</f>
        <v>4921017782828580|46120</v>
      </c>
      <c r="AA333" t="str">
        <f>IF(Z333="","",IFERROR(LOOKUP(2,1/(#REF!=Z333),#REF!),""))</f>
        <v/>
      </c>
      <c r="AB333" t="str">
        <f>IF(Z333="","",IFERROR(LOOKUP(2,1/(#REF!=Z333),#REF!),""))</f>
        <v/>
      </c>
      <c r="AC333" t="e">
        <f>IF(Z333="","",COUNTIF(#REF!,Z333))</f>
        <v>#REF!</v>
      </c>
      <c r="AD333" t="e">
        <f>IF(A333="","",IF(AC333&gt;1,"REVISAR DUPLICADO",IF(AA333&lt;&gt;"","ACTUALIZADO POR EYR","SIN REPORTE EYR")))</f>
        <v>#REF!</v>
      </c>
    </row>
    <row r="334" spans="1:30" x14ac:dyDescent="0.3">
      <c r="A334" s="5" t="s">
        <v>4789</v>
      </c>
      <c r="B334" t="s">
        <v>4788</v>
      </c>
      <c r="C334" s="4" t="s">
        <v>4787</v>
      </c>
      <c r="D334" t="s">
        <v>77</v>
      </c>
      <c r="F334" t="s">
        <v>4786</v>
      </c>
      <c r="G334" s="3">
        <v>9999999999</v>
      </c>
      <c r="H334" s="2">
        <v>46120</v>
      </c>
      <c r="K334" s="1">
        <f ca="1">IF(A334="","",IF(OR(L334="ENTREGADA",L334="RETORNADA",L334="ENTREGA DIGITAL"),0,MAX(0,5-NETWORKDAYS(H334+1,TODAY()))))</f>
        <v>0</v>
      </c>
      <c r="L334" t="str">
        <f>IF(A334="","",IFERROR(LOOKUP(2,1/(#REF!=Z334),#REF!),Y334))</f>
        <v>ENTREGADA</v>
      </c>
      <c r="Y334" t="s">
        <v>1956</v>
      </c>
      <c r="Z334" t="str">
        <f>IF(A334="","",TEXT(A334,"0")&amp;"|"&amp;TEXT(H334,"0"))</f>
        <v>5192017603415430|46120</v>
      </c>
      <c r="AA334" t="str">
        <f>IF(Z334="","",IFERROR(LOOKUP(2,1/(#REF!=Z334),#REF!),""))</f>
        <v/>
      </c>
      <c r="AB334" t="str">
        <f>IF(Z334="","",IFERROR(LOOKUP(2,1/(#REF!=Z334),#REF!),""))</f>
        <v/>
      </c>
      <c r="AC334" t="e">
        <f>IF(Z334="","",COUNTIF(#REF!,Z334))</f>
        <v>#REF!</v>
      </c>
      <c r="AD334" t="e">
        <f>IF(A334="","",IF(AC334&gt;1,"REVISAR DUPLICADO",IF(AA334&lt;&gt;"","ACTUALIZADO POR EYR","SIN REPORTE EYR")))</f>
        <v>#REF!</v>
      </c>
    </row>
    <row r="335" spans="1:30" x14ac:dyDescent="0.3">
      <c r="A335" s="5" t="s">
        <v>4785</v>
      </c>
      <c r="B335" t="s">
        <v>4784</v>
      </c>
      <c r="C335" s="4" t="s">
        <v>4783</v>
      </c>
      <c r="D335" t="s">
        <v>77</v>
      </c>
      <c r="F335" t="s">
        <v>4782</v>
      </c>
      <c r="G335" s="3">
        <v>8492601052</v>
      </c>
      <c r="H335" s="2">
        <v>46120</v>
      </c>
      <c r="I335" t="s">
        <v>1397</v>
      </c>
      <c r="K335" s="1">
        <f ca="1">IF(A335="","",IF(OR(L335="ENTREGADA",L335="RETORNADA",L335="ENTREGA DIGITAL"),0,MAX(0,5-NETWORKDAYS(H335+1,TODAY()))))</f>
        <v>0</v>
      </c>
      <c r="L335" t="str">
        <f>IF(A335="","",IFERROR(LOOKUP(2,1/(#REF!=Z335),#REF!),Y335))</f>
        <v>ENTREGADA</v>
      </c>
      <c r="Y335" t="s">
        <v>1956</v>
      </c>
      <c r="Z335" t="str">
        <f>IF(A335="","",TEXT(A335,"0")&amp;"|"&amp;TEXT(H335,"0"))</f>
        <v>5188017779719150|46120</v>
      </c>
      <c r="AA335" t="str">
        <f>IF(Z335="","",IFERROR(LOOKUP(2,1/(#REF!=Z335),#REF!),""))</f>
        <v/>
      </c>
      <c r="AB335" t="str">
        <f>IF(Z335="","",IFERROR(LOOKUP(2,1/(#REF!=Z335),#REF!),""))</f>
        <v/>
      </c>
      <c r="AC335" t="e">
        <f>IF(Z335="","",COUNTIF(#REF!,Z335))</f>
        <v>#REF!</v>
      </c>
      <c r="AD335" t="e">
        <f>IF(A335="","",IF(AC335&gt;1,"REVISAR DUPLICADO",IF(AA335&lt;&gt;"","ACTUALIZADO POR EYR","SIN REPORTE EYR")))</f>
        <v>#REF!</v>
      </c>
    </row>
    <row r="336" spans="1:30" x14ac:dyDescent="0.3">
      <c r="A336" s="5" t="s">
        <v>4781</v>
      </c>
      <c r="B336" t="s">
        <v>4780</v>
      </c>
      <c r="C336" s="4" t="s">
        <v>4779</v>
      </c>
      <c r="D336" t="s">
        <v>77</v>
      </c>
      <c r="F336" t="s">
        <v>35</v>
      </c>
      <c r="G336" s="3">
        <v>8098340572</v>
      </c>
      <c r="H336" s="2">
        <v>46120</v>
      </c>
      <c r="I336" t="s">
        <v>1397</v>
      </c>
      <c r="K336" s="1">
        <f ca="1">IF(A336="","",IF(OR(L336="ENTREGADA",L336="RETORNADA",L336="ENTREGA DIGITAL"),0,MAX(0,5-NETWORKDAYS(H336+1,TODAY()))))</f>
        <v>0</v>
      </c>
      <c r="L336" t="str">
        <f>IF(A336="","",IFERROR(LOOKUP(2,1/(#REF!=Z336),#REF!),Y336))</f>
        <v>ENTREGADA</v>
      </c>
      <c r="Y336" t="s">
        <v>1956</v>
      </c>
      <c r="Z336" t="str">
        <f>IF(A336="","",TEXT(A336,"0")&amp;"|"&amp;TEXT(H336,"0"))</f>
        <v>5188017779927050|46120</v>
      </c>
      <c r="AA336" t="str">
        <f>IF(Z336="","",IFERROR(LOOKUP(2,1/(#REF!=Z336),#REF!),""))</f>
        <v/>
      </c>
      <c r="AB336" t="str">
        <f>IF(Z336="","",IFERROR(LOOKUP(2,1/(#REF!=Z336),#REF!),""))</f>
        <v/>
      </c>
      <c r="AC336" t="e">
        <f>IF(Z336="","",COUNTIF(#REF!,Z336))</f>
        <v>#REF!</v>
      </c>
      <c r="AD336" t="e">
        <f>IF(A336="","",IF(AC336&gt;1,"REVISAR DUPLICADO",IF(AA336&lt;&gt;"","ACTUALIZADO POR EYR","SIN REPORTE EYR")))</f>
        <v>#REF!</v>
      </c>
    </row>
    <row r="337" spans="1:30" x14ac:dyDescent="0.3">
      <c r="A337" s="5" t="s">
        <v>4778</v>
      </c>
      <c r="B337" t="s">
        <v>4777</v>
      </c>
      <c r="C337" s="4" t="s">
        <v>4776</v>
      </c>
      <c r="D337" t="s">
        <v>77</v>
      </c>
      <c r="F337" t="s">
        <v>1927</v>
      </c>
      <c r="G337" s="3">
        <v>8098856327</v>
      </c>
      <c r="H337" s="2">
        <v>46120</v>
      </c>
      <c r="I337" t="s">
        <v>1397</v>
      </c>
      <c r="K337" s="1">
        <f ca="1">IF(A337="","",IF(OR(L337="ENTREGADA",L337="RETORNADA",L337="ENTREGA DIGITAL"),0,MAX(0,5-NETWORKDAYS(H337+1,TODAY()))))</f>
        <v>0</v>
      </c>
      <c r="L337" t="str">
        <f>IF(A337="","",IFERROR(LOOKUP(2,1/(#REF!=Z337),#REF!),Y337))</f>
        <v>ENTREGADA</v>
      </c>
      <c r="Y337" t="s">
        <v>1956</v>
      </c>
      <c r="Z337" t="str">
        <f>IF(A337="","",TEXT(A337,"0")&amp;"|"&amp;TEXT(H337,"0"))</f>
        <v>5415017778284700|46120</v>
      </c>
      <c r="AA337" t="str">
        <f>IF(Z337="","",IFERROR(LOOKUP(2,1/(#REF!=Z337),#REF!),""))</f>
        <v/>
      </c>
      <c r="AB337" t="str">
        <f>IF(Z337="","",IFERROR(LOOKUP(2,1/(#REF!=Z337),#REF!),""))</f>
        <v/>
      </c>
      <c r="AC337" t="e">
        <f>IF(Z337="","",COUNTIF(#REF!,Z337))</f>
        <v>#REF!</v>
      </c>
      <c r="AD337" t="e">
        <f>IF(A337="","",IF(AC337&gt;1,"REVISAR DUPLICADO",IF(AA337&lt;&gt;"","ACTUALIZADO POR EYR","SIN REPORTE EYR")))</f>
        <v>#REF!</v>
      </c>
    </row>
    <row r="338" spans="1:30" x14ac:dyDescent="0.3">
      <c r="A338" s="5" t="s">
        <v>4775</v>
      </c>
      <c r="B338" t="s">
        <v>4774</v>
      </c>
      <c r="C338" s="4" t="s">
        <v>4773</v>
      </c>
      <c r="D338" t="s">
        <v>77</v>
      </c>
      <c r="F338" t="s">
        <v>13</v>
      </c>
      <c r="G338" s="3">
        <v>8094840898</v>
      </c>
      <c r="H338" s="2">
        <v>46120</v>
      </c>
      <c r="I338" t="s">
        <v>1397</v>
      </c>
      <c r="K338" s="1">
        <f ca="1">IF(A338="","",IF(OR(L338="ENTREGADA",L338="RETORNADA",L338="ENTREGA DIGITAL"),0,MAX(0,5-NETWORKDAYS(H338+1,TODAY()))))</f>
        <v>0</v>
      </c>
      <c r="L338" t="str">
        <f>IF(A338="","",IFERROR(LOOKUP(2,1/(#REF!=Z338),#REF!),Y338))</f>
        <v>ENTREGADA</v>
      </c>
      <c r="Y338" t="s">
        <v>1956</v>
      </c>
      <c r="Z338" t="str">
        <f>IF(A338="","",TEXT(A338,"0")&amp;"|"&amp;TEXT(H338,"0"))</f>
        <v>5227017779394960|46120</v>
      </c>
      <c r="AA338" t="str">
        <f>IF(Z338="","",IFERROR(LOOKUP(2,1/(#REF!=Z338),#REF!),""))</f>
        <v/>
      </c>
      <c r="AB338" t="str">
        <f>IF(Z338="","",IFERROR(LOOKUP(2,1/(#REF!=Z338),#REF!),""))</f>
        <v/>
      </c>
      <c r="AC338" t="e">
        <f>IF(Z338="","",COUNTIF(#REF!,Z338))</f>
        <v>#REF!</v>
      </c>
      <c r="AD338" t="e">
        <f>IF(A338="","",IF(AC338&gt;1,"REVISAR DUPLICADO",IF(AA338&lt;&gt;"","ACTUALIZADO POR EYR","SIN REPORTE EYR")))</f>
        <v>#REF!</v>
      </c>
    </row>
    <row r="339" spans="1:30" x14ac:dyDescent="0.3">
      <c r="A339" s="5" t="s">
        <v>4772</v>
      </c>
      <c r="B339" t="s">
        <v>4771</v>
      </c>
      <c r="C339" s="4" t="s">
        <v>4770</v>
      </c>
      <c r="D339" t="s">
        <v>77</v>
      </c>
      <c r="F339" t="s">
        <v>13</v>
      </c>
      <c r="G339" s="3">
        <v>8097079668</v>
      </c>
      <c r="H339" s="2">
        <v>46120</v>
      </c>
      <c r="K339" s="1">
        <f ca="1">IF(A339="","",IF(OR(L339="ENTREGADA",L339="RETORNADA",L339="ENTREGA DIGITAL"),0,MAX(0,5-NETWORKDAYS(H339+1,TODAY()))))</f>
        <v>0</v>
      </c>
      <c r="L339" t="str">
        <f>IF(A339="","",IFERROR(LOOKUP(2,1/(#REF!=Z339),#REF!),Y339))</f>
        <v>RETORNADA</v>
      </c>
      <c r="Y339" t="s">
        <v>1857</v>
      </c>
      <c r="Z339" t="str">
        <f>IF(A339="","",TEXT(A339,"0")&amp;"|"&amp;TEXT(H339,"0"))</f>
        <v>5227017779449600|46120</v>
      </c>
      <c r="AA339" t="str">
        <f>IF(Z339="","",IFERROR(LOOKUP(2,1/(#REF!=Z339),#REF!),""))</f>
        <v/>
      </c>
      <c r="AB339" t="str">
        <f>IF(Z339="","",IFERROR(LOOKUP(2,1/(#REF!=Z339),#REF!),""))</f>
        <v/>
      </c>
      <c r="AC339" t="e">
        <f>IF(Z339="","",COUNTIF(#REF!,Z339))</f>
        <v>#REF!</v>
      </c>
      <c r="AD339" t="e">
        <f>IF(A339="","",IF(AC339&gt;1,"REVISAR DUPLICADO",IF(AA339&lt;&gt;"","ACTUALIZADO POR EYR","SIN REPORTE EYR")))</f>
        <v>#REF!</v>
      </c>
    </row>
    <row r="340" spans="1:30" x14ac:dyDescent="0.3">
      <c r="A340" s="5" t="s">
        <v>4769</v>
      </c>
      <c r="B340" t="s">
        <v>4768</v>
      </c>
      <c r="C340" s="4" t="s">
        <v>4767</v>
      </c>
      <c r="D340" t="s">
        <v>77</v>
      </c>
      <c r="F340" t="s">
        <v>13</v>
      </c>
      <c r="G340" s="3">
        <v>8292707629</v>
      </c>
      <c r="H340" s="2">
        <v>46120</v>
      </c>
      <c r="J340" t="s">
        <v>1399</v>
      </c>
      <c r="K340" s="1">
        <f ca="1">IF(A340="","",IF(OR(L340="ENTREGADA",L340="RETORNADA",L340="ENTREGA DIGITAL"),0,MAX(0,5-NETWORKDAYS(H340+1,TODAY()))))</f>
        <v>0</v>
      </c>
      <c r="L340" t="str">
        <f>IF(A340="","",IFERROR(LOOKUP(2,1/(#REF!=Z340),#REF!),Y340))</f>
        <v>RETORNADA</v>
      </c>
      <c r="Y340" t="s">
        <v>1857</v>
      </c>
      <c r="Z340" t="str">
        <f>IF(A340="","",TEXT(A340,"0")&amp;"|"&amp;TEXT(H340,"0"))</f>
        <v>5188017779961740|46120</v>
      </c>
      <c r="AA340" t="str">
        <f>IF(Z340="","",IFERROR(LOOKUP(2,1/(#REF!=Z340),#REF!),""))</f>
        <v/>
      </c>
      <c r="AB340" t="str">
        <f>IF(Z340="","",IFERROR(LOOKUP(2,1/(#REF!=Z340),#REF!),""))</f>
        <v/>
      </c>
      <c r="AC340" t="e">
        <f>IF(Z340="","",COUNTIF(#REF!,Z340))</f>
        <v>#REF!</v>
      </c>
      <c r="AD340" t="e">
        <f>IF(A340="","",IF(AC340&gt;1,"REVISAR DUPLICADO",IF(AA340&lt;&gt;"","ACTUALIZADO POR EYR","SIN REPORTE EYR")))</f>
        <v>#REF!</v>
      </c>
    </row>
    <row r="341" spans="1:30" x14ac:dyDescent="0.3">
      <c r="A341" s="5" t="s">
        <v>3014</v>
      </c>
      <c r="B341" t="s">
        <v>3013</v>
      </c>
      <c r="C341" s="4" t="s">
        <v>3012</v>
      </c>
      <c r="D341" t="s">
        <v>77</v>
      </c>
      <c r="F341" t="s">
        <v>135</v>
      </c>
      <c r="G341" s="3">
        <v>8092580159</v>
      </c>
      <c r="H341" s="2">
        <v>46120</v>
      </c>
      <c r="K341" s="1">
        <f ca="1">IF(A341="","",IF(OR(L341="ENTREGADA",L341="RETORNADA",L341="ENTREGA DIGITAL"),0,MAX(0,5-NETWORKDAYS(H341+1,TODAY()))))</f>
        <v>0</v>
      </c>
      <c r="L341" t="str">
        <f>IF(A341="","",IFERROR(LOOKUP(2,1/(#REF!=Z341),#REF!),Y341))</f>
        <v>RETORNADA</v>
      </c>
      <c r="Y341" t="s">
        <v>1857</v>
      </c>
      <c r="Z341" t="str">
        <f>IF(A341="","",TEXT(A341,"0")&amp;"|"&amp;TEXT(H341,"0"))</f>
        <v>4966017780975130|46120</v>
      </c>
      <c r="AA341" t="str">
        <f>IF(Z341="","",IFERROR(LOOKUP(2,1/(#REF!=Z341),#REF!),""))</f>
        <v/>
      </c>
      <c r="AB341" t="str">
        <f>IF(Z341="","",IFERROR(LOOKUP(2,1/(#REF!=Z341),#REF!),""))</f>
        <v/>
      </c>
      <c r="AC341" t="e">
        <f>IF(Z341="","",COUNTIF(#REF!,Z341))</f>
        <v>#REF!</v>
      </c>
      <c r="AD341" t="e">
        <f>IF(A341="","",IF(AC341&gt;1,"REVISAR DUPLICADO",IF(AA341&lt;&gt;"","ACTUALIZADO POR EYR","SIN REPORTE EYR")))</f>
        <v>#REF!</v>
      </c>
    </row>
    <row r="342" spans="1:30" x14ac:dyDescent="0.3">
      <c r="A342" s="5" t="s">
        <v>4766</v>
      </c>
      <c r="B342" t="s">
        <v>4763</v>
      </c>
      <c r="C342" s="4" t="s">
        <v>4762</v>
      </c>
      <c r="D342" t="s">
        <v>77</v>
      </c>
      <c r="F342" t="s">
        <v>13</v>
      </c>
      <c r="G342" s="3">
        <v>8295586446</v>
      </c>
      <c r="H342" s="2">
        <v>46120</v>
      </c>
      <c r="J342" t="s">
        <v>4765</v>
      </c>
      <c r="K342" s="1">
        <f ca="1">IF(A342="","",IF(OR(L342="ENTREGADA",L342="RETORNADA",L342="ENTREGA DIGITAL"),0,MAX(0,5-NETWORKDAYS(H342+1,TODAY()))))</f>
        <v>0</v>
      </c>
      <c r="L342" t="str">
        <f>IF(A342="","",IFERROR(LOOKUP(2,1/(#REF!=Z342),#REF!),Y342))</f>
        <v>ENTREGADA</v>
      </c>
      <c r="Y342" t="s">
        <v>1956</v>
      </c>
      <c r="Z342" t="str">
        <f>IF(A342="","",TEXT(A342,"0")&amp;"|"&amp;TEXT(H342,"0"))</f>
        <v>5427017779561250|46120</v>
      </c>
      <c r="AA342" t="str">
        <f>IF(Z342="","",IFERROR(LOOKUP(2,1/(#REF!=Z342),#REF!),""))</f>
        <v/>
      </c>
      <c r="AB342" t="str">
        <f>IF(Z342="","",IFERROR(LOOKUP(2,1/(#REF!=Z342),#REF!),""))</f>
        <v/>
      </c>
      <c r="AC342" t="e">
        <f>IF(Z342="","",COUNTIF(#REF!,Z342))</f>
        <v>#REF!</v>
      </c>
      <c r="AD342" t="e">
        <f>IF(A342="","",IF(AC342&gt;1,"REVISAR DUPLICADO",IF(AA342&lt;&gt;"","ACTUALIZADO POR EYR","SIN REPORTE EYR")))</f>
        <v>#REF!</v>
      </c>
    </row>
    <row r="343" spans="1:30" x14ac:dyDescent="0.3">
      <c r="A343" s="5" t="s">
        <v>4764</v>
      </c>
      <c r="B343" t="s">
        <v>4763</v>
      </c>
      <c r="C343" s="4" t="s">
        <v>4762</v>
      </c>
      <c r="D343" t="s">
        <v>77</v>
      </c>
      <c r="E343" t="s">
        <v>214</v>
      </c>
      <c r="F343" t="s">
        <v>391</v>
      </c>
      <c r="G343" s="3">
        <v>8295586446</v>
      </c>
      <c r="H343" s="2">
        <v>46120</v>
      </c>
      <c r="K343" s="1">
        <f ca="1">IF(A343="","",IF(OR(L343="ENTREGADA",L343="RETORNADA",L343="ENTREGA DIGITAL"),0,MAX(0,5-NETWORKDAYS(H343+1,TODAY()))))</f>
        <v>0</v>
      </c>
      <c r="L343" t="str">
        <f>IF(A343="","",IFERROR(LOOKUP(2,1/(#REF!=Z343),#REF!),Y343))</f>
        <v>ENTREGADA</v>
      </c>
      <c r="Y343" t="s">
        <v>1956</v>
      </c>
      <c r="Z343" t="str">
        <f>IF(A343="","",TEXT(A343,"0")&amp;"|"&amp;TEXT(H343,"0"))</f>
        <v>4921017781543500|46120</v>
      </c>
      <c r="AA343" t="str">
        <f>IF(Z343="","",IFERROR(LOOKUP(2,1/(#REF!=Z343),#REF!),""))</f>
        <v/>
      </c>
      <c r="AB343" t="str">
        <f>IF(Z343="","",IFERROR(LOOKUP(2,1/(#REF!=Z343),#REF!),""))</f>
        <v/>
      </c>
      <c r="AC343" t="e">
        <f>IF(Z343="","",COUNTIF(#REF!,Z343))</f>
        <v>#REF!</v>
      </c>
      <c r="AD343" t="e">
        <f>IF(A343="","",IF(AC343&gt;1,"REVISAR DUPLICADO",IF(AA343&lt;&gt;"","ACTUALIZADO POR EYR","SIN REPORTE EYR")))</f>
        <v>#REF!</v>
      </c>
    </row>
    <row r="344" spans="1:30" x14ac:dyDescent="0.3">
      <c r="A344" s="5" t="s">
        <v>4761</v>
      </c>
      <c r="B344" t="s">
        <v>4760</v>
      </c>
      <c r="C344" s="4" t="s">
        <v>4759</v>
      </c>
      <c r="D344" t="s">
        <v>77</v>
      </c>
      <c r="F344" t="s">
        <v>13</v>
      </c>
      <c r="G344" s="3">
        <v>8298751722</v>
      </c>
      <c r="H344" s="2">
        <v>46120</v>
      </c>
      <c r="K344" s="1">
        <f ca="1">IF(A344="","",IF(OR(L344="ENTREGADA",L344="RETORNADA",L344="ENTREGA DIGITAL"),0,MAX(0,5-NETWORKDAYS(H344+1,TODAY()))))</f>
        <v>0</v>
      </c>
      <c r="L344" t="str">
        <f>IF(A344="","",IFERROR(LOOKUP(2,1/(#REF!=Z344),#REF!),Y344))</f>
        <v>ENTREGADA</v>
      </c>
      <c r="Y344" t="s">
        <v>1956</v>
      </c>
      <c r="Z344" t="str">
        <f>IF(A344="","",TEXT(A344,"0")&amp;"|"&amp;TEXT(H344,"0"))</f>
        <v>4921017782475390|46120</v>
      </c>
      <c r="AA344" t="str">
        <f>IF(Z344="","",IFERROR(LOOKUP(2,1/(#REF!=Z344),#REF!),""))</f>
        <v/>
      </c>
      <c r="AB344" t="str">
        <f>IF(Z344="","",IFERROR(LOOKUP(2,1/(#REF!=Z344),#REF!),""))</f>
        <v/>
      </c>
      <c r="AC344" t="e">
        <f>IF(Z344="","",COUNTIF(#REF!,Z344))</f>
        <v>#REF!</v>
      </c>
      <c r="AD344" t="e">
        <f>IF(A344="","",IF(AC344&gt;1,"REVISAR DUPLICADO",IF(AA344&lt;&gt;"","ACTUALIZADO POR EYR","SIN REPORTE EYR")))</f>
        <v>#REF!</v>
      </c>
    </row>
    <row r="345" spans="1:30" x14ac:dyDescent="0.3">
      <c r="A345" s="5" t="s">
        <v>4758</v>
      </c>
      <c r="B345" t="s">
        <v>3074</v>
      </c>
      <c r="C345" s="4" t="s">
        <v>3073</v>
      </c>
      <c r="D345" t="s">
        <v>77</v>
      </c>
      <c r="F345" t="s">
        <v>13</v>
      </c>
      <c r="G345" s="3">
        <v>8295502703</v>
      </c>
      <c r="H345" s="2">
        <v>46120</v>
      </c>
      <c r="K345" s="1">
        <f ca="1">IF(A345="","",IF(OR(L345="ENTREGADA",L345="RETORNADA",L345="ENTREGA DIGITAL"),0,MAX(0,5-NETWORKDAYS(H345+1,TODAY()))))</f>
        <v>0</v>
      </c>
      <c r="L345" t="str">
        <f>IF(A345="","",IFERROR(LOOKUP(2,1/(#REF!=Z345),#REF!),Y345))</f>
        <v>RETORNADA</v>
      </c>
      <c r="Y345" t="s">
        <v>1857</v>
      </c>
      <c r="Z345" t="str">
        <f>IF(A345="","",TEXT(A345,"0")&amp;"|"&amp;TEXT(H345,"0"))</f>
        <v>4921017782986720|46120</v>
      </c>
      <c r="AA345" t="str">
        <f>IF(Z345="","",IFERROR(LOOKUP(2,1/(#REF!=Z345),#REF!),""))</f>
        <v/>
      </c>
      <c r="AB345" t="str">
        <f>IF(Z345="","",IFERROR(LOOKUP(2,1/(#REF!=Z345),#REF!),""))</f>
        <v/>
      </c>
      <c r="AC345" t="e">
        <f>IF(Z345="","",COUNTIF(#REF!,Z345))</f>
        <v>#REF!</v>
      </c>
      <c r="AD345" t="e">
        <f>IF(A345="","",IF(AC345&gt;1,"REVISAR DUPLICADO",IF(AA345&lt;&gt;"","ACTUALIZADO POR EYR","SIN REPORTE EYR")))</f>
        <v>#REF!</v>
      </c>
    </row>
    <row r="346" spans="1:30" x14ac:dyDescent="0.3">
      <c r="A346" s="5" t="s">
        <v>1270</v>
      </c>
      <c r="B346" t="s">
        <v>1269</v>
      </c>
      <c r="C346" s="4" t="s">
        <v>1268</v>
      </c>
      <c r="D346" t="s">
        <v>77</v>
      </c>
      <c r="F346" t="s">
        <v>13</v>
      </c>
      <c r="G346" s="3">
        <v>8295091272</v>
      </c>
      <c r="H346" s="2">
        <v>46120</v>
      </c>
      <c r="K346" s="1">
        <f ca="1">IF(A346="","",IF(OR(L346="ENTREGADA",L346="RETORNADA",L346="ENTREGA DIGITAL"),0,MAX(0,5-NETWORKDAYS(H346+1,TODAY()))))</f>
        <v>0</v>
      </c>
      <c r="L346" t="str">
        <f>IF(A346="","",IFERROR(LOOKUP(2,1/(#REF!=Z346),#REF!),Y346))</f>
        <v>RETORNADA</v>
      </c>
      <c r="Y346" t="s">
        <v>1857</v>
      </c>
      <c r="Z346" t="str">
        <f>IF(A346="","",TEXT(A346,"0")&amp;"|"&amp;TEXT(H346,"0"))</f>
        <v>5415017779004960|46120</v>
      </c>
      <c r="AA346" t="str">
        <f>IF(Z346="","",IFERROR(LOOKUP(2,1/(#REF!=Z346),#REF!),""))</f>
        <v/>
      </c>
      <c r="AB346" t="str">
        <f>IF(Z346="","",IFERROR(LOOKUP(2,1/(#REF!=Z346),#REF!),""))</f>
        <v/>
      </c>
      <c r="AC346" t="e">
        <f>IF(Z346="","",COUNTIF(#REF!,Z346))</f>
        <v>#REF!</v>
      </c>
      <c r="AD346" t="e">
        <f>IF(A346="","",IF(AC346&gt;1,"REVISAR DUPLICADO",IF(AA346&lt;&gt;"","ACTUALIZADO POR EYR","SIN REPORTE EYR")))</f>
        <v>#REF!</v>
      </c>
    </row>
    <row r="347" spans="1:30" x14ac:dyDescent="0.3">
      <c r="A347" s="5" t="s">
        <v>3010</v>
      </c>
      <c r="B347" t="s">
        <v>3009</v>
      </c>
      <c r="C347" s="4" t="s">
        <v>3008</v>
      </c>
      <c r="D347" t="s">
        <v>77</v>
      </c>
      <c r="F347" t="s">
        <v>122</v>
      </c>
      <c r="G347" s="3">
        <v>9999999999</v>
      </c>
      <c r="H347" s="2">
        <v>46120</v>
      </c>
      <c r="K347" s="1">
        <f ca="1">IF(A347="","",IF(OR(L347="ENTREGADA",L347="RETORNADA",L347="ENTREGA DIGITAL"),0,MAX(0,5-NETWORKDAYS(H347+1,TODAY()))))</f>
        <v>0</v>
      </c>
      <c r="L347" t="str">
        <f>IF(A347="","",IFERROR(LOOKUP(2,1/(#REF!=Z347),#REF!),Y347))</f>
        <v>RETORNADA</v>
      </c>
      <c r="Y347" t="s">
        <v>1857</v>
      </c>
      <c r="Z347" t="str">
        <f>IF(A347="","",TEXT(A347,"0")&amp;"|"&amp;TEXT(H347,"0"))</f>
        <v>4921017782328090|46120</v>
      </c>
      <c r="AA347" t="str">
        <f>IF(Z347="","",IFERROR(LOOKUP(2,1/(#REF!=Z347),#REF!),""))</f>
        <v/>
      </c>
      <c r="AB347" t="str">
        <f>IF(Z347="","",IFERROR(LOOKUP(2,1/(#REF!=Z347),#REF!),""))</f>
        <v/>
      </c>
      <c r="AC347" t="e">
        <f>IF(Z347="","",COUNTIF(#REF!,Z347))</f>
        <v>#REF!</v>
      </c>
      <c r="AD347" t="e">
        <f>IF(A347="","",IF(AC347&gt;1,"REVISAR DUPLICADO",IF(AA347&lt;&gt;"","ACTUALIZADO POR EYR","SIN REPORTE EYR")))</f>
        <v>#REF!</v>
      </c>
    </row>
    <row r="348" spans="1:30" x14ac:dyDescent="0.3">
      <c r="A348" s="5" t="s">
        <v>4757</v>
      </c>
      <c r="B348" t="s">
        <v>4756</v>
      </c>
      <c r="C348" s="4" t="s">
        <v>4755</v>
      </c>
      <c r="D348" t="s">
        <v>77</v>
      </c>
      <c r="F348" t="s">
        <v>13</v>
      </c>
      <c r="G348" s="3">
        <v>8094778267</v>
      </c>
      <c r="H348" s="2">
        <v>46120</v>
      </c>
      <c r="I348" t="s">
        <v>1397</v>
      </c>
      <c r="K348" s="1">
        <f ca="1">IF(A348="","",IF(OR(L348="ENTREGADA",L348="RETORNADA",L348="ENTREGA DIGITAL"),0,MAX(0,5-NETWORKDAYS(H348+1,TODAY()))))</f>
        <v>0</v>
      </c>
      <c r="L348" t="str">
        <f>IF(A348="","",IFERROR(LOOKUP(2,1/(#REF!=Z348),#REF!),Y348))</f>
        <v>ENTREGADA</v>
      </c>
      <c r="Y348" t="s">
        <v>1956</v>
      </c>
      <c r="Z348" t="str">
        <f>IF(A348="","",TEXT(A348,"0")&amp;"|"&amp;TEXT(H348,"0"))</f>
        <v>4921017782364330|46120</v>
      </c>
      <c r="AA348" t="str">
        <f>IF(Z348="","",IFERROR(LOOKUP(2,1/(#REF!=Z348),#REF!),""))</f>
        <v/>
      </c>
      <c r="AB348" t="str">
        <f>IF(Z348="","",IFERROR(LOOKUP(2,1/(#REF!=Z348),#REF!),""))</f>
        <v/>
      </c>
      <c r="AC348" t="e">
        <f>IF(Z348="","",COUNTIF(#REF!,Z348))</f>
        <v>#REF!</v>
      </c>
      <c r="AD348" t="e">
        <f>IF(A348="","",IF(AC348&gt;1,"REVISAR DUPLICADO",IF(AA348&lt;&gt;"","ACTUALIZADO POR EYR","SIN REPORTE EYR")))</f>
        <v>#REF!</v>
      </c>
    </row>
    <row r="349" spans="1:30" x14ac:dyDescent="0.3">
      <c r="A349" s="5" t="s">
        <v>4754</v>
      </c>
      <c r="B349" t="s">
        <v>4753</v>
      </c>
      <c r="C349" s="4" t="s">
        <v>4752</v>
      </c>
      <c r="D349" t="s">
        <v>77</v>
      </c>
      <c r="F349" t="s">
        <v>552</v>
      </c>
      <c r="G349" s="3">
        <v>8096665566</v>
      </c>
      <c r="H349" s="2">
        <v>46120</v>
      </c>
      <c r="K349" s="1">
        <f ca="1">IF(A349="","",IF(OR(L349="ENTREGADA",L349="RETORNADA",L349="ENTREGA DIGITAL"),0,MAX(0,5-NETWORKDAYS(H349+1,TODAY()))))</f>
        <v>0</v>
      </c>
      <c r="L349" t="str">
        <f>IF(A349="","",IFERROR(LOOKUP(2,1/(#REF!=Z349),#REF!),Y349))</f>
        <v>ENTREGADA</v>
      </c>
      <c r="Y349" t="s">
        <v>1956</v>
      </c>
      <c r="Z349" t="str">
        <f>IF(A349="","",TEXT(A349,"0")&amp;"|"&amp;TEXT(H349,"0"))</f>
        <v>4921017782267150|46120</v>
      </c>
      <c r="AA349" t="str">
        <f>IF(Z349="","",IFERROR(LOOKUP(2,1/(#REF!=Z349),#REF!),""))</f>
        <v/>
      </c>
      <c r="AB349" t="str">
        <f>IF(Z349="","",IFERROR(LOOKUP(2,1/(#REF!=Z349),#REF!),""))</f>
        <v/>
      </c>
      <c r="AC349" t="e">
        <f>IF(Z349="","",COUNTIF(#REF!,Z349))</f>
        <v>#REF!</v>
      </c>
      <c r="AD349" t="e">
        <f>IF(A349="","",IF(AC349&gt;1,"REVISAR DUPLICADO",IF(AA349&lt;&gt;"","ACTUALIZADO POR EYR","SIN REPORTE EYR")))</f>
        <v>#REF!</v>
      </c>
    </row>
    <row r="350" spans="1:30" x14ac:dyDescent="0.3">
      <c r="A350" s="5" t="s">
        <v>4751</v>
      </c>
      <c r="B350" t="s">
        <v>4750</v>
      </c>
      <c r="C350" s="4" t="s">
        <v>4749</v>
      </c>
      <c r="D350" t="s">
        <v>77</v>
      </c>
      <c r="F350" t="s">
        <v>13</v>
      </c>
      <c r="G350" s="3">
        <v>8095521444</v>
      </c>
      <c r="H350" s="2">
        <v>46120</v>
      </c>
      <c r="K350" s="1">
        <f ca="1">IF(A350="","",IF(OR(L350="ENTREGADA",L350="RETORNADA",L350="ENTREGA DIGITAL"),0,MAX(0,5-NETWORKDAYS(H350+1,TODAY()))))</f>
        <v>0</v>
      </c>
      <c r="L350" t="str">
        <f>IF(A350="","",IFERROR(LOOKUP(2,1/(#REF!=Z350),#REF!),Y350))</f>
        <v>RETORNADA</v>
      </c>
      <c r="Y350" t="s">
        <v>1857</v>
      </c>
      <c r="Z350" t="str">
        <f>IF(A350="","",TEXT(A350,"0")&amp;"|"&amp;TEXT(H350,"0"))</f>
        <v>5415017779032830|46120</v>
      </c>
      <c r="AA350" t="str">
        <f>IF(Z350="","",IFERROR(LOOKUP(2,1/(#REF!=Z350),#REF!),""))</f>
        <v/>
      </c>
      <c r="AB350" t="str">
        <f>IF(Z350="","",IFERROR(LOOKUP(2,1/(#REF!=Z350),#REF!),""))</f>
        <v/>
      </c>
      <c r="AC350" t="e">
        <f>IF(Z350="","",COUNTIF(#REF!,Z350))</f>
        <v>#REF!</v>
      </c>
      <c r="AD350" t="e">
        <f>IF(A350="","",IF(AC350&gt;1,"REVISAR DUPLICADO",IF(AA350&lt;&gt;"","ACTUALIZADO POR EYR","SIN REPORTE EYR")))</f>
        <v>#REF!</v>
      </c>
    </row>
    <row r="351" spans="1:30" x14ac:dyDescent="0.3">
      <c r="A351" s="5" t="s">
        <v>4748</v>
      </c>
      <c r="B351" t="s">
        <v>4747</v>
      </c>
      <c r="C351" s="4" t="s">
        <v>4746</v>
      </c>
      <c r="D351" t="s">
        <v>77</v>
      </c>
      <c r="F351" t="s">
        <v>13</v>
      </c>
      <c r="G351" s="3">
        <v>8292716132</v>
      </c>
      <c r="H351" s="2">
        <v>46120</v>
      </c>
      <c r="I351" t="s">
        <v>1397</v>
      </c>
      <c r="K351" s="1">
        <f ca="1">IF(A351="","",IF(OR(L351="ENTREGADA",L351="RETORNADA",L351="ENTREGA DIGITAL"),0,MAX(0,5-NETWORKDAYS(H351+1,TODAY()))))</f>
        <v>0</v>
      </c>
      <c r="L351" t="str">
        <f>IF(A351="","",IFERROR(LOOKUP(2,1/(#REF!=Z351),#REF!),Y351))</f>
        <v>ENTREGADA</v>
      </c>
      <c r="Y351" t="s">
        <v>1956</v>
      </c>
      <c r="Z351" t="str">
        <f>IF(A351="","",TEXT(A351,"0")&amp;"|"&amp;TEXT(H351,"0"))</f>
        <v>5415017779024160|46120</v>
      </c>
      <c r="AA351" t="str">
        <f>IF(Z351="","",IFERROR(LOOKUP(2,1/(#REF!=Z351),#REF!),""))</f>
        <v/>
      </c>
      <c r="AB351" t="str">
        <f>IF(Z351="","",IFERROR(LOOKUP(2,1/(#REF!=Z351),#REF!),""))</f>
        <v/>
      </c>
      <c r="AC351" t="e">
        <f>IF(Z351="","",COUNTIF(#REF!,Z351))</f>
        <v>#REF!</v>
      </c>
      <c r="AD351" t="e">
        <f>IF(A351="","",IF(AC351&gt;1,"REVISAR DUPLICADO",IF(AA351&lt;&gt;"","ACTUALIZADO POR EYR","SIN REPORTE EYR")))</f>
        <v>#REF!</v>
      </c>
    </row>
    <row r="352" spans="1:30" x14ac:dyDescent="0.3">
      <c r="A352" s="5" t="s">
        <v>4745</v>
      </c>
      <c r="B352" t="s">
        <v>4744</v>
      </c>
      <c r="C352" s="4" t="s">
        <v>4743</v>
      </c>
      <c r="D352" t="s">
        <v>77</v>
      </c>
      <c r="F352" t="s">
        <v>13</v>
      </c>
      <c r="G352" s="3">
        <v>8297866310</v>
      </c>
      <c r="H352" s="2">
        <v>46120</v>
      </c>
      <c r="I352" t="s">
        <v>1397</v>
      </c>
      <c r="K352" s="1">
        <f ca="1">IF(A352="","",IF(OR(L352="ENTREGADA",L352="RETORNADA",L352="ENTREGA DIGITAL"),0,MAX(0,5-NETWORKDAYS(H352+1,TODAY()))))</f>
        <v>0</v>
      </c>
      <c r="L352" t="str">
        <f>IF(A352="","",IFERROR(LOOKUP(2,1/(#REF!=Z352),#REF!),Y352))</f>
        <v>ENTREGADA</v>
      </c>
      <c r="Y352" t="s">
        <v>1956</v>
      </c>
      <c r="Z352" t="str">
        <f>IF(A352="","",TEXT(A352,"0")&amp;"|"&amp;TEXT(H352,"0"))</f>
        <v>4921017783056730|46120</v>
      </c>
      <c r="AA352" t="str">
        <f>IF(Z352="","",IFERROR(LOOKUP(2,1/(#REF!=Z352),#REF!),""))</f>
        <v/>
      </c>
      <c r="AB352" t="str">
        <f>IF(Z352="","",IFERROR(LOOKUP(2,1/(#REF!=Z352),#REF!),""))</f>
        <v/>
      </c>
      <c r="AC352" t="e">
        <f>IF(Z352="","",COUNTIF(#REF!,Z352))</f>
        <v>#REF!</v>
      </c>
      <c r="AD352" t="e">
        <f>IF(A352="","",IF(AC352&gt;1,"REVISAR DUPLICADO",IF(AA352&lt;&gt;"","ACTUALIZADO POR EYR","SIN REPORTE EYR")))</f>
        <v>#REF!</v>
      </c>
    </row>
    <row r="353" spans="1:30" x14ac:dyDescent="0.3">
      <c r="A353" s="5" t="s">
        <v>4742</v>
      </c>
      <c r="B353" t="s">
        <v>4741</v>
      </c>
      <c r="C353" s="4" t="s">
        <v>4740</v>
      </c>
      <c r="D353" t="s">
        <v>77</v>
      </c>
      <c r="E353" t="s">
        <v>214</v>
      </c>
      <c r="F353" t="s">
        <v>391</v>
      </c>
      <c r="G353" s="3">
        <v>8297128504</v>
      </c>
      <c r="H353" s="2">
        <v>46120</v>
      </c>
      <c r="I353" t="s">
        <v>1397</v>
      </c>
      <c r="K353" s="1">
        <f ca="1">IF(A353="","",IF(OR(L353="ENTREGADA",L353="RETORNADA",L353="ENTREGA DIGITAL"),0,MAX(0,5-NETWORKDAYS(H353+1,TODAY()))))</f>
        <v>0</v>
      </c>
      <c r="L353" t="str">
        <f>IF(A353="","",IFERROR(LOOKUP(2,1/(#REF!=Z353),#REF!),Y353))</f>
        <v>ENTREGADA</v>
      </c>
      <c r="Y353" t="s">
        <v>1956</v>
      </c>
      <c r="Z353" t="str">
        <f>IF(A353="","",TEXT(A353,"0")&amp;"|"&amp;TEXT(H353,"0"))</f>
        <v>4921017780382170|46120</v>
      </c>
      <c r="AA353" t="str">
        <f>IF(Z353="","",IFERROR(LOOKUP(2,1/(#REF!=Z353),#REF!),""))</f>
        <v/>
      </c>
      <c r="AB353" t="str">
        <f>IF(Z353="","",IFERROR(LOOKUP(2,1/(#REF!=Z353),#REF!),""))</f>
        <v/>
      </c>
      <c r="AC353" t="e">
        <f>IF(Z353="","",COUNTIF(#REF!,Z353))</f>
        <v>#REF!</v>
      </c>
      <c r="AD353" t="e">
        <f>IF(A353="","",IF(AC353&gt;1,"REVISAR DUPLICADO",IF(AA353&lt;&gt;"","ACTUALIZADO POR EYR","SIN REPORTE EYR")))</f>
        <v>#REF!</v>
      </c>
    </row>
    <row r="354" spans="1:30" x14ac:dyDescent="0.3">
      <c r="A354" s="5" t="s">
        <v>4739</v>
      </c>
      <c r="B354" t="s">
        <v>4738</v>
      </c>
      <c r="C354" s="4" t="s">
        <v>4737</v>
      </c>
      <c r="D354" t="s">
        <v>77</v>
      </c>
      <c r="F354" t="s">
        <v>4736</v>
      </c>
      <c r="G354" s="3">
        <v>8498829527</v>
      </c>
      <c r="H354" s="2">
        <v>46120</v>
      </c>
      <c r="I354" t="s">
        <v>1397</v>
      </c>
      <c r="K354" s="1">
        <f ca="1">IF(A354="","",IF(OR(L354="ENTREGADA",L354="RETORNADA",L354="ENTREGA DIGITAL"),0,MAX(0,5-NETWORKDAYS(H354+1,TODAY()))))</f>
        <v>0</v>
      </c>
      <c r="L354" t="str">
        <f>IF(A354="","",IFERROR(LOOKUP(2,1/(#REF!=Z354),#REF!),Y354))</f>
        <v>ENTREGADA</v>
      </c>
      <c r="Y354" t="s">
        <v>1956</v>
      </c>
      <c r="Z354" t="str">
        <f>IF(A354="","",TEXT(A354,"0")&amp;"|"&amp;TEXT(H354,"0"))</f>
        <v>4921017783230190|46120</v>
      </c>
      <c r="AA354" t="str">
        <f>IF(Z354="","",IFERROR(LOOKUP(2,1/(#REF!=Z354),#REF!),""))</f>
        <v/>
      </c>
      <c r="AB354" t="str">
        <f>IF(Z354="","",IFERROR(LOOKUP(2,1/(#REF!=Z354),#REF!),""))</f>
        <v/>
      </c>
      <c r="AC354" t="e">
        <f>IF(Z354="","",COUNTIF(#REF!,Z354))</f>
        <v>#REF!</v>
      </c>
      <c r="AD354" t="e">
        <f>IF(A354="","",IF(AC354&gt;1,"REVISAR DUPLICADO",IF(AA354&lt;&gt;"","ACTUALIZADO POR EYR","SIN REPORTE EYR")))</f>
        <v>#REF!</v>
      </c>
    </row>
    <row r="355" spans="1:30" x14ac:dyDescent="0.3">
      <c r="A355" s="5" t="s">
        <v>4735</v>
      </c>
      <c r="B355" t="s">
        <v>4734</v>
      </c>
      <c r="C355" s="4" t="s">
        <v>4733</v>
      </c>
      <c r="D355" t="s">
        <v>1</v>
      </c>
      <c r="F355" t="s">
        <v>4732</v>
      </c>
      <c r="G355" s="3">
        <v>8293104156</v>
      </c>
      <c r="H355" s="2">
        <v>46120</v>
      </c>
      <c r="K355" s="1">
        <f ca="1">IF(A355="","",IF(OR(L355="ENTREGADA",L355="RETORNADA",L355="ENTREGA DIGITAL"),0,MAX(0,5-NETWORKDAYS(H355+1,TODAY()))))</f>
        <v>0</v>
      </c>
      <c r="L355" t="str">
        <f>IF(A355="","",IFERROR(LOOKUP(2,1/(#REF!=Z355),#REF!),Y355))</f>
        <v>ENTREGADA</v>
      </c>
      <c r="Y355" t="s">
        <v>1956</v>
      </c>
      <c r="Z355" t="str">
        <f>IF(A355="","",TEXT(A355,"0")&amp;"|"&amp;TEXT(H355,"0"))</f>
        <v>5188017780050710|46120</v>
      </c>
      <c r="AA355" t="str">
        <f>IF(Z355="","",IFERROR(LOOKUP(2,1/(#REF!=Z355),#REF!),""))</f>
        <v/>
      </c>
      <c r="AB355" t="str">
        <f>IF(Z355="","",IFERROR(LOOKUP(2,1/(#REF!=Z355),#REF!),""))</f>
        <v/>
      </c>
      <c r="AC355" t="e">
        <f>IF(Z355="","",COUNTIF(#REF!,Z355))</f>
        <v>#REF!</v>
      </c>
      <c r="AD355" t="e">
        <f>IF(A355="","",IF(AC355&gt;1,"REVISAR DUPLICADO",IF(AA355&lt;&gt;"","ACTUALIZADO POR EYR","SIN REPORTE EYR")))</f>
        <v>#REF!</v>
      </c>
    </row>
    <row r="356" spans="1:30" x14ac:dyDescent="0.3">
      <c r="A356" s="5" t="s">
        <v>4731</v>
      </c>
      <c r="B356" t="s">
        <v>4730</v>
      </c>
      <c r="C356" s="4" t="s">
        <v>4729</v>
      </c>
      <c r="D356" t="s">
        <v>1</v>
      </c>
      <c r="F356" t="s">
        <v>13</v>
      </c>
      <c r="G356" s="3">
        <v>8095511246</v>
      </c>
      <c r="H356" s="2">
        <v>46120</v>
      </c>
      <c r="K356" s="1">
        <f ca="1">IF(A356="","",IF(OR(L356="ENTREGADA",L356="RETORNADA",L356="ENTREGA DIGITAL"),0,MAX(0,5-NETWORKDAYS(H356+1,TODAY()))))</f>
        <v>0</v>
      </c>
      <c r="L356" t="str">
        <f>IF(A356="","",IFERROR(LOOKUP(2,1/(#REF!=Z356),#REF!),Y356))</f>
        <v>RETORNADA</v>
      </c>
      <c r="Y356" t="s">
        <v>1857</v>
      </c>
      <c r="Z356" t="str">
        <f>IF(A356="","",TEXT(A356,"0")&amp;"|"&amp;TEXT(H356,"0"))</f>
        <v>5188017779913750|46120</v>
      </c>
      <c r="AA356" t="str">
        <f>IF(Z356="","",IFERROR(LOOKUP(2,1/(#REF!=Z356),#REF!),""))</f>
        <v/>
      </c>
      <c r="AB356" t="str">
        <f>IF(Z356="","",IFERROR(LOOKUP(2,1/(#REF!=Z356),#REF!),""))</f>
        <v/>
      </c>
      <c r="AC356" t="e">
        <f>IF(Z356="","",COUNTIF(#REF!,Z356))</f>
        <v>#REF!</v>
      </c>
      <c r="AD356" t="e">
        <f>IF(A356="","",IF(AC356&gt;1,"REVISAR DUPLICADO",IF(AA356&lt;&gt;"","ACTUALIZADO POR EYR","SIN REPORTE EYR")))</f>
        <v>#REF!</v>
      </c>
    </row>
    <row r="357" spans="1:30" x14ac:dyDescent="0.3">
      <c r="A357" s="5" t="s">
        <v>4728</v>
      </c>
      <c r="B357" t="s">
        <v>4727</v>
      </c>
      <c r="C357" s="4" t="s">
        <v>4726</v>
      </c>
      <c r="D357" t="s">
        <v>1</v>
      </c>
      <c r="F357" t="s">
        <v>13</v>
      </c>
      <c r="G357" s="3">
        <v>8296320164</v>
      </c>
      <c r="H357" s="2">
        <v>46120</v>
      </c>
      <c r="K357" s="1">
        <f ca="1">IF(A357="","",IF(OR(L357="ENTREGADA",L357="RETORNADA",L357="ENTREGA DIGITAL"),0,MAX(0,5-NETWORKDAYS(H357+1,TODAY()))))</f>
        <v>0</v>
      </c>
      <c r="L357" t="str">
        <f>IF(A357="","",IFERROR(LOOKUP(2,1/(#REF!=Z357),#REF!),Y357))</f>
        <v>RETORNADA</v>
      </c>
      <c r="Y357" t="s">
        <v>1857</v>
      </c>
      <c r="Z357" t="str">
        <f>IF(A357="","",TEXT(A357,"0")&amp;"|"&amp;TEXT(H357,"0"))</f>
        <v>5188017780022330|46120</v>
      </c>
      <c r="AA357" t="str">
        <f>IF(Z357="","",IFERROR(LOOKUP(2,1/(#REF!=Z357),#REF!),""))</f>
        <v/>
      </c>
      <c r="AB357" t="str">
        <f>IF(Z357="","",IFERROR(LOOKUP(2,1/(#REF!=Z357),#REF!),""))</f>
        <v/>
      </c>
      <c r="AC357" t="e">
        <f>IF(Z357="","",COUNTIF(#REF!,Z357))</f>
        <v>#REF!</v>
      </c>
      <c r="AD357" t="e">
        <f>IF(A357="","",IF(AC357&gt;1,"REVISAR DUPLICADO",IF(AA357&lt;&gt;"","ACTUALIZADO POR EYR","SIN REPORTE EYR")))</f>
        <v>#REF!</v>
      </c>
    </row>
    <row r="358" spans="1:30" x14ac:dyDescent="0.3">
      <c r="A358" s="5" t="s">
        <v>4725</v>
      </c>
      <c r="B358" t="s">
        <v>4724</v>
      </c>
      <c r="C358" s="4" t="s">
        <v>4723</v>
      </c>
      <c r="D358" t="s">
        <v>1</v>
      </c>
      <c r="E358" t="s">
        <v>214</v>
      </c>
      <c r="F358" t="s">
        <v>4722</v>
      </c>
      <c r="G358" s="3">
        <v>8097631854</v>
      </c>
      <c r="H358" s="2">
        <v>46120</v>
      </c>
      <c r="K358" s="1">
        <f ca="1">IF(A358="","",IF(OR(L358="ENTREGADA",L358="RETORNADA",L358="ENTREGA DIGITAL"),0,MAX(0,5-NETWORKDAYS(H358+1,TODAY()))))</f>
        <v>0</v>
      </c>
      <c r="L358" t="str">
        <f>IF(A358="","",IFERROR(LOOKUP(2,1/(#REF!=Z358),#REF!),Y358))</f>
        <v>ENTREGADA</v>
      </c>
      <c r="Y358" t="s">
        <v>1956</v>
      </c>
      <c r="Z358" t="str">
        <f>IF(A358="","",TEXT(A358,"0")&amp;"|"&amp;TEXT(H358,"0"))</f>
        <v>4921017783098250|46120</v>
      </c>
      <c r="AA358" t="str">
        <f>IF(Z358="","",IFERROR(LOOKUP(2,1/(#REF!=Z358),#REF!),""))</f>
        <v/>
      </c>
      <c r="AB358" t="str">
        <f>IF(Z358="","",IFERROR(LOOKUP(2,1/(#REF!=Z358),#REF!),""))</f>
        <v/>
      </c>
      <c r="AC358" t="e">
        <f>IF(Z358="","",COUNTIF(#REF!,Z358))</f>
        <v>#REF!</v>
      </c>
      <c r="AD358" t="e">
        <f>IF(A358="","",IF(AC358&gt;1,"REVISAR DUPLICADO",IF(AA358&lt;&gt;"","ACTUALIZADO POR EYR","SIN REPORTE EYR")))</f>
        <v>#REF!</v>
      </c>
    </row>
    <row r="359" spans="1:30" x14ac:dyDescent="0.3">
      <c r="A359" s="5" t="s">
        <v>4721</v>
      </c>
      <c r="B359" t="s">
        <v>4720</v>
      </c>
      <c r="C359" s="4" t="s">
        <v>4719</v>
      </c>
      <c r="D359" t="s">
        <v>1</v>
      </c>
      <c r="F359" t="s">
        <v>13</v>
      </c>
      <c r="G359" s="3">
        <v>8098715695</v>
      </c>
      <c r="H359" s="2">
        <v>46120</v>
      </c>
      <c r="I359" t="s">
        <v>3742</v>
      </c>
      <c r="K359" s="1">
        <f ca="1">IF(A359="","",IF(OR(L359="ENTREGADA",L359="RETORNADA",L359="ENTREGA DIGITAL"),0,MAX(0,5-NETWORKDAYS(H359+1,TODAY()))))</f>
        <v>0</v>
      </c>
      <c r="L359" t="str">
        <f>IF(A359="","",IFERROR(LOOKUP(2,1/(#REF!=Z359),#REF!),Y359))</f>
        <v>ENTREGA DIGITAL</v>
      </c>
      <c r="Y359" t="s">
        <v>1396</v>
      </c>
      <c r="Z359" t="str">
        <f>IF(A359="","",TEXT(A359,"0")&amp;"|"&amp;TEXT(H359,"0"))</f>
        <v>4921017782726560|46120</v>
      </c>
      <c r="AA359" t="str">
        <f>IF(Z359="","",IFERROR(LOOKUP(2,1/(#REF!=Z359),#REF!),""))</f>
        <v/>
      </c>
      <c r="AB359" t="str">
        <f>IF(Z359="","",IFERROR(LOOKUP(2,1/(#REF!=Z359),#REF!),""))</f>
        <v/>
      </c>
      <c r="AC359" t="e">
        <f>IF(Z359="","",COUNTIF(#REF!,Z359))</f>
        <v>#REF!</v>
      </c>
      <c r="AD359" t="e">
        <f>IF(A359="","",IF(AC359&gt;1,"REVISAR DUPLICADO",IF(AA359&lt;&gt;"","ACTUALIZADO POR EYR","SIN REPORTE EYR")))</f>
        <v>#REF!</v>
      </c>
    </row>
    <row r="360" spans="1:30" x14ac:dyDescent="0.3">
      <c r="A360" s="5" t="s">
        <v>2971</v>
      </c>
      <c r="B360" t="s">
        <v>2970</v>
      </c>
      <c r="C360" s="4" t="s">
        <v>2969</v>
      </c>
      <c r="D360" t="s">
        <v>1</v>
      </c>
      <c r="E360" t="s">
        <v>214</v>
      </c>
      <c r="F360" t="s">
        <v>423</v>
      </c>
      <c r="G360" s="3">
        <v>8094658198</v>
      </c>
      <c r="H360" s="2">
        <v>46120</v>
      </c>
      <c r="K360" s="1">
        <f ca="1">IF(A360="","",IF(OR(L360="ENTREGADA",L360="RETORNADA",L360="ENTREGA DIGITAL"),0,MAX(0,5-NETWORKDAYS(H360+1,TODAY()))))</f>
        <v>0</v>
      </c>
      <c r="L360" t="str">
        <f>IF(A360="","",IFERROR(LOOKUP(2,1/(#REF!=Z360),#REF!),Y360))</f>
        <v>RETORNADA</v>
      </c>
      <c r="Y360" t="s">
        <v>1857</v>
      </c>
      <c r="Z360" t="str">
        <f>IF(A360="","",TEXT(A360,"0")&amp;"|"&amp;TEXT(H360,"0"))</f>
        <v>5427017779544620|46120</v>
      </c>
      <c r="AA360" t="str">
        <f>IF(Z360="","",IFERROR(LOOKUP(2,1/(#REF!=Z360),#REF!),""))</f>
        <v/>
      </c>
      <c r="AB360" t="str">
        <f>IF(Z360="","",IFERROR(LOOKUP(2,1/(#REF!=Z360),#REF!),""))</f>
        <v/>
      </c>
      <c r="AC360" t="e">
        <f>IF(Z360="","",COUNTIF(#REF!,Z360))</f>
        <v>#REF!</v>
      </c>
      <c r="AD360" t="e">
        <f>IF(A360="","",IF(AC360&gt;1,"REVISAR DUPLICADO",IF(AA360&lt;&gt;"","ACTUALIZADO POR EYR","SIN REPORTE EYR")))</f>
        <v>#REF!</v>
      </c>
    </row>
    <row r="361" spans="1:30" x14ac:dyDescent="0.3">
      <c r="A361" s="5" t="s">
        <v>3017</v>
      </c>
      <c r="B361" t="s">
        <v>1605</v>
      </c>
      <c r="C361" s="4" t="s">
        <v>3016</v>
      </c>
      <c r="D361" t="s">
        <v>1</v>
      </c>
      <c r="E361" t="s">
        <v>214</v>
      </c>
      <c r="F361" t="s">
        <v>648</v>
      </c>
      <c r="G361" s="3">
        <v>8294929377</v>
      </c>
      <c r="H361" s="2">
        <v>46120</v>
      </c>
      <c r="K361" s="1">
        <f ca="1">IF(A361="","",IF(OR(L361="ENTREGADA",L361="RETORNADA",L361="ENTREGA DIGITAL"),0,MAX(0,5-NETWORKDAYS(H361+1,TODAY()))))</f>
        <v>0</v>
      </c>
      <c r="L361" t="str">
        <f>IF(A361="","",IFERROR(LOOKUP(2,1/(#REF!=Z361),#REF!),Y361))</f>
        <v>RETORNADA</v>
      </c>
      <c r="Y361" t="s">
        <v>1857</v>
      </c>
      <c r="Z361" t="str">
        <f>IF(A361="","",TEXT(A361,"0")&amp;"|"&amp;TEXT(H361,"0"))</f>
        <v>4921017781595050|46120</v>
      </c>
      <c r="AA361" t="str">
        <f>IF(Z361="","",IFERROR(LOOKUP(2,1/(#REF!=Z361),#REF!),""))</f>
        <v/>
      </c>
      <c r="AB361" t="str">
        <f>IF(Z361="","",IFERROR(LOOKUP(2,1/(#REF!=Z361),#REF!),""))</f>
        <v/>
      </c>
      <c r="AC361" t="e">
        <f>IF(Z361="","",COUNTIF(#REF!,Z361))</f>
        <v>#REF!</v>
      </c>
      <c r="AD361" t="e">
        <f>IF(A361="","",IF(AC361&gt;1,"REVISAR DUPLICADO",IF(AA361&lt;&gt;"","ACTUALIZADO POR EYR","SIN REPORTE EYR")))</f>
        <v>#REF!</v>
      </c>
    </row>
    <row r="362" spans="1:30" x14ac:dyDescent="0.3">
      <c r="A362" s="5" t="s">
        <v>4718</v>
      </c>
      <c r="B362" t="s">
        <v>4717</v>
      </c>
      <c r="C362" s="4" t="s">
        <v>4716</v>
      </c>
      <c r="D362" t="s">
        <v>77</v>
      </c>
      <c r="F362" t="s">
        <v>13</v>
      </c>
      <c r="G362" s="3">
        <v>8498510417</v>
      </c>
      <c r="H362" s="2">
        <v>46120</v>
      </c>
      <c r="I362" t="s">
        <v>1397</v>
      </c>
      <c r="K362" s="1">
        <f ca="1">IF(A362="","",IF(OR(L362="ENTREGADA",L362="RETORNADA",L362="ENTREGA DIGITAL"),0,MAX(0,5-NETWORKDAYS(H362+1,TODAY()))))</f>
        <v>0</v>
      </c>
      <c r="L362" t="str">
        <f>IF(A362="","",IFERROR(LOOKUP(2,1/(#REF!=Z362),#REF!),Y362))</f>
        <v>ENTREGADA</v>
      </c>
      <c r="Y362" t="s">
        <v>1956</v>
      </c>
      <c r="Z362" t="str">
        <f>IF(A362="","",TEXT(A362,"0")&amp;"|"&amp;TEXT(H362,"0"))</f>
        <v>4921017773091140|46120</v>
      </c>
      <c r="AA362" t="str">
        <f>IF(Z362="","",IFERROR(LOOKUP(2,1/(#REF!=Z362),#REF!),""))</f>
        <v/>
      </c>
      <c r="AB362" t="str">
        <f>IF(Z362="","",IFERROR(LOOKUP(2,1/(#REF!=Z362),#REF!),""))</f>
        <v/>
      </c>
      <c r="AC362" t="e">
        <f>IF(Z362="","",COUNTIF(#REF!,Z362))</f>
        <v>#REF!</v>
      </c>
      <c r="AD362" t="e">
        <f>IF(A362="","",IF(AC362&gt;1,"REVISAR DUPLICADO",IF(AA362&lt;&gt;"","ACTUALIZADO POR EYR","SIN REPORTE EYR")))</f>
        <v>#REF!</v>
      </c>
    </row>
    <row r="363" spans="1:30" x14ac:dyDescent="0.3">
      <c r="A363" s="5" t="s">
        <v>4715</v>
      </c>
      <c r="B363" t="s">
        <v>4714</v>
      </c>
      <c r="C363" s="4" t="s">
        <v>4713</v>
      </c>
      <c r="D363" t="s">
        <v>600</v>
      </c>
      <c r="F363" t="s">
        <v>2446</v>
      </c>
      <c r="G363" s="3">
        <v>8494726866</v>
      </c>
      <c r="H363" s="2">
        <v>46121</v>
      </c>
      <c r="K363" s="1">
        <f ca="1">IF(A363="","",IF(OR(L363="ENTREGADA",L363="RETORNADA",L363="ENTREGA DIGITAL"),0,MAX(0,5-NETWORKDAYS(H363+1,TODAY()))))</f>
        <v>0</v>
      </c>
      <c r="L363" t="str">
        <f>IF(A363="","",IFERROR(LOOKUP(2,1/(#REF!=Z363),#REF!),Y363))</f>
        <v>ENTREGADA</v>
      </c>
      <c r="Y363" t="s">
        <v>1956</v>
      </c>
      <c r="Z363" t="str">
        <f>IF(A363="","",TEXT(A363,"0")&amp;"|"&amp;TEXT(H363,"0"))</f>
        <v>4921017785842250|46121</v>
      </c>
      <c r="AA363" t="str">
        <f>IF(Z363="","",IFERROR(LOOKUP(2,1/(#REF!=Z363),#REF!),""))</f>
        <v/>
      </c>
      <c r="AB363" t="str">
        <f>IF(Z363="","",IFERROR(LOOKUP(2,1/(#REF!=Z363),#REF!),""))</f>
        <v/>
      </c>
      <c r="AC363" t="e">
        <f>IF(Z363="","",COUNTIF(#REF!,Z363))</f>
        <v>#REF!</v>
      </c>
      <c r="AD363" t="e">
        <f>IF(A363="","",IF(AC363&gt;1,"REVISAR DUPLICADO",IF(AA363&lt;&gt;"","ACTUALIZADO POR EYR","SIN REPORTE EYR")))</f>
        <v>#REF!</v>
      </c>
    </row>
    <row r="364" spans="1:30" x14ac:dyDescent="0.3">
      <c r="A364" s="5" t="s">
        <v>4712</v>
      </c>
      <c r="B364" t="s">
        <v>4711</v>
      </c>
      <c r="C364" s="4" t="s">
        <v>4710</v>
      </c>
      <c r="D364" t="s">
        <v>600</v>
      </c>
      <c r="F364" t="s">
        <v>979</v>
      </c>
      <c r="G364" s="3">
        <v>8096041271</v>
      </c>
      <c r="H364" s="2">
        <v>46121</v>
      </c>
      <c r="K364" s="1">
        <f ca="1">IF(A364="","",IF(OR(L364="ENTREGADA",L364="RETORNADA",L364="ENTREGA DIGITAL"),0,MAX(0,5-NETWORKDAYS(H364+1,TODAY()))))</f>
        <v>0</v>
      </c>
      <c r="L364" t="str">
        <f>IF(A364="","",IFERROR(LOOKUP(2,1/(#REF!=Z364),#REF!),Y364))</f>
        <v>RETORNADA</v>
      </c>
      <c r="Y364" t="s">
        <v>1857</v>
      </c>
      <c r="Z364" t="str">
        <f>IF(A364="","",TEXT(A364,"0")&amp;"|"&amp;TEXT(H364,"0"))</f>
        <v>5415017784921200|46121</v>
      </c>
      <c r="AA364" t="str">
        <f>IF(Z364="","",IFERROR(LOOKUP(2,1/(#REF!=Z364),#REF!),""))</f>
        <v/>
      </c>
      <c r="AB364" t="str">
        <f>IF(Z364="","",IFERROR(LOOKUP(2,1/(#REF!=Z364),#REF!),""))</f>
        <v/>
      </c>
      <c r="AC364" t="e">
        <f>IF(Z364="","",COUNTIF(#REF!,Z364))</f>
        <v>#REF!</v>
      </c>
      <c r="AD364" t="e">
        <f>IF(A364="","",IF(AC364&gt;1,"REVISAR DUPLICADO",IF(AA364&lt;&gt;"","ACTUALIZADO POR EYR","SIN REPORTE EYR")))</f>
        <v>#REF!</v>
      </c>
    </row>
    <row r="365" spans="1:30" x14ac:dyDescent="0.3">
      <c r="A365" s="5" t="s">
        <v>4709</v>
      </c>
      <c r="B365" t="s">
        <v>4708</v>
      </c>
      <c r="C365" s="4" t="s">
        <v>4707</v>
      </c>
      <c r="D365" t="s">
        <v>600</v>
      </c>
      <c r="F365" t="s">
        <v>4706</v>
      </c>
      <c r="G365" s="3">
        <v>8093712992</v>
      </c>
      <c r="H365" s="2">
        <v>46121</v>
      </c>
      <c r="K365" s="1">
        <f ca="1">IF(A365="","",IF(OR(L365="ENTREGADA",L365="RETORNADA",L365="ENTREGA DIGITAL"),0,MAX(0,5-NETWORKDAYS(H365+1,TODAY()))))</f>
        <v>0</v>
      </c>
      <c r="L365" t="str">
        <f>IF(A365="","",IFERROR(LOOKUP(2,1/(#REF!=Z365),#REF!),Y365))</f>
        <v>RETORNADA</v>
      </c>
      <c r="Y365" t="s">
        <v>1857</v>
      </c>
      <c r="Z365" t="str">
        <f>IF(A365="","",TEXT(A365,"0")&amp;"|"&amp;TEXT(H365,"0"))</f>
        <v>5188017709158040|46121</v>
      </c>
      <c r="AA365" t="str">
        <f>IF(Z365="","",IFERROR(LOOKUP(2,1/(#REF!=Z365),#REF!),""))</f>
        <v/>
      </c>
      <c r="AB365" t="str">
        <f>IF(Z365="","",IFERROR(LOOKUP(2,1/(#REF!=Z365),#REF!),""))</f>
        <v/>
      </c>
      <c r="AC365" t="e">
        <f>IF(Z365="","",COUNTIF(#REF!,Z365))</f>
        <v>#REF!</v>
      </c>
      <c r="AD365" t="e">
        <f>IF(A365="","",IF(AC365&gt;1,"REVISAR DUPLICADO",IF(AA365&lt;&gt;"","ACTUALIZADO POR EYR","SIN REPORTE EYR")))</f>
        <v>#REF!</v>
      </c>
    </row>
    <row r="366" spans="1:30" x14ac:dyDescent="0.3">
      <c r="A366" s="5" t="s">
        <v>4705</v>
      </c>
      <c r="B366" t="s">
        <v>4704</v>
      </c>
      <c r="C366" s="4" t="s">
        <v>4703</v>
      </c>
      <c r="D366" t="s">
        <v>600</v>
      </c>
      <c r="F366" t="s">
        <v>4702</v>
      </c>
      <c r="G366" s="3">
        <v>8092313027</v>
      </c>
      <c r="H366" s="2">
        <v>46121</v>
      </c>
      <c r="K366" s="1">
        <f ca="1">IF(A366="","",IF(OR(L366="ENTREGADA",L366="RETORNADA",L366="ENTREGA DIGITAL"),0,MAX(0,5-NETWORKDAYS(H366+1,TODAY()))))</f>
        <v>0</v>
      </c>
      <c r="L366" t="str">
        <f>IF(A366="","",IFERROR(LOOKUP(2,1/(#REF!=Z366),#REF!),Y366))</f>
        <v>ENTREGADA</v>
      </c>
      <c r="Y366" t="s">
        <v>1956</v>
      </c>
      <c r="Z366" t="str">
        <f>IF(A366="","",TEXT(A366,"0")&amp;"|"&amp;TEXT(H366,"0"))</f>
        <v>4921017786037190|46121</v>
      </c>
      <c r="AA366" t="str">
        <f>IF(Z366="","",IFERROR(LOOKUP(2,1/(#REF!=Z366),#REF!),""))</f>
        <v/>
      </c>
      <c r="AB366" t="str">
        <f>IF(Z366="","",IFERROR(LOOKUP(2,1/(#REF!=Z366),#REF!),""))</f>
        <v/>
      </c>
      <c r="AC366" t="e">
        <f>IF(Z366="","",COUNTIF(#REF!,Z366))</f>
        <v>#REF!</v>
      </c>
      <c r="AD366" t="e">
        <f>IF(A366="","",IF(AC366&gt;1,"REVISAR DUPLICADO",IF(AA366&lt;&gt;"","ACTUALIZADO POR EYR","SIN REPORTE EYR")))</f>
        <v>#REF!</v>
      </c>
    </row>
    <row r="367" spans="1:30" x14ac:dyDescent="0.3">
      <c r="A367" s="5" t="s">
        <v>4701</v>
      </c>
      <c r="B367" t="s">
        <v>4700</v>
      </c>
      <c r="C367" s="4" t="s">
        <v>4699</v>
      </c>
      <c r="D367" t="s">
        <v>600</v>
      </c>
      <c r="F367" t="s">
        <v>4698</v>
      </c>
      <c r="G367" s="3">
        <v>8299442736</v>
      </c>
      <c r="H367" s="2">
        <v>46121</v>
      </c>
      <c r="K367" s="1">
        <f ca="1">IF(A367="","",IF(OR(L367="ENTREGADA",L367="RETORNADA",L367="ENTREGA DIGITAL"),0,MAX(0,5-NETWORKDAYS(H367+1,TODAY()))))</f>
        <v>0</v>
      </c>
      <c r="L367" t="str">
        <f>IF(A367="","",IFERROR(LOOKUP(2,1/(#REF!=Z367),#REF!),Y367))</f>
        <v>ENTREGADA</v>
      </c>
      <c r="Y367" t="s">
        <v>1956</v>
      </c>
      <c r="Z367" t="str">
        <f>IF(A367="","",TEXT(A367,"0")&amp;"|"&amp;TEXT(H367,"0"))</f>
        <v>4025017786497410|46121</v>
      </c>
      <c r="AA367" t="str">
        <f>IF(Z367="","",IFERROR(LOOKUP(2,1/(#REF!=Z367),#REF!),""))</f>
        <v/>
      </c>
      <c r="AB367" t="str">
        <f>IF(Z367="","",IFERROR(LOOKUP(2,1/(#REF!=Z367),#REF!),""))</f>
        <v/>
      </c>
      <c r="AC367" t="e">
        <f>IF(Z367="","",COUNTIF(#REF!,Z367))</f>
        <v>#REF!</v>
      </c>
      <c r="AD367" t="e">
        <f>IF(A367="","",IF(AC367&gt;1,"REVISAR DUPLICADO",IF(AA367&lt;&gt;"","ACTUALIZADO POR EYR","SIN REPORTE EYR")))</f>
        <v>#REF!</v>
      </c>
    </row>
    <row r="368" spans="1:30" x14ac:dyDescent="0.3">
      <c r="A368" s="5" t="s">
        <v>4697</v>
      </c>
      <c r="B368" t="s">
        <v>4696</v>
      </c>
      <c r="C368" s="4" t="s">
        <v>4695</v>
      </c>
      <c r="D368" t="s">
        <v>600</v>
      </c>
      <c r="F368" t="s">
        <v>4694</v>
      </c>
      <c r="G368" s="3">
        <v>8292182263</v>
      </c>
      <c r="H368" s="2">
        <v>46121</v>
      </c>
      <c r="K368" s="1">
        <f ca="1">IF(A368="","",IF(OR(L368="ENTREGADA",L368="RETORNADA",L368="ENTREGA DIGITAL"),0,MAX(0,5-NETWORKDAYS(H368+1,TODAY()))))</f>
        <v>0</v>
      </c>
      <c r="L368" t="str">
        <f>IF(A368="","",IFERROR(LOOKUP(2,1/(#REF!=Z368),#REF!),Y368))</f>
        <v>RETORNADA</v>
      </c>
      <c r="Y368" t="s">
        <v>1857</v>
      </c>
      <c r="Z368" t="str">
        <f>IF(A368="","",TEXT(A368,"0")&amp;"|"&amp;TEXT(H368,"0"))</f>
        <v>4966017781095780|46121</v>
      </c>
      <c r="AA368" t="str">
        <f>IF(Z368="","",IFERROR(LOOKUP(2,1/(#REF!=Z368),#REF!),""))</f>
        <v/>
      </c>
      <c r="AB368" t="str">
        <f>IF(Z368="","",IFERROR(LOOKUP(2,1/(#REF!=Z368),#REF!),""))</f>
        <v/>
      </c>
      <c r="AC368" t="e">
        <f>IF(Z368="","",COUNTIF(#REF!,Z368))</f>
        <v>#REF!</v>
      </c>
      <c r="AD368" t="e">
        <f>IF(A368="","",IF(AC368&gt;1,"REVISAR DUPLICADO",IF(AA368&lt;&gt;"","ACTUALIZADO POR EYR","SIN REPORTE EYR")))</f>
        <v>#REF!</v>
      </c>
    </row>
    <row r="369" spans="1:30" x14ac:dyDescent="0.3">
      <c r="A369" s="5" t="s">
        <v>4693</v>
      </c>
      <c r="B369" t="s">
        <v>4692</v>
      </c>
      <c r="C369" s="4" t="s">
        <v>4691</v>
      </c>
      <c r="D369" t="s">
        <v>600</v>
      </c>
      <c r="F369" t="s">
        <v>4690</v>
      </c>
      <c r="G369" s="3">
        <v>8494575427</v>
      </c>
      <c r="H369" s="2">
        <v>46121</v>
      </c>
      <c r="K369" s="1">
        <f ca="1">IF(A369="","",IF(OR(L369="ENTREGADA",L369="RETORNADA",L369="ENTREGA DIGITAL"),0,MAX(0,5-NETWORKDAYS(H369+1,TODAY()))))</f>
        <v>0</v>
      </c>
      <c r="L369" t="str">
        <f>IF(A369="","",IFERROR(LOOKUP(2,1/(#REF!=Z369),#REF!),Y369))</f>
        <v>ENTREGADA</v>
      </c>
      <c r="Y369" t="s">
        <v>1956</v>
      </c>
      <c r="Z369" t="str">
        <f>IF(A369="","",TEXT(A369,"0")&amp;"|"&amp;TEXT(H369,"0"))</f>
        <v>5188017779790500|46121</v>
      </c>
      <c r="AA369" t="str">
        <f>IF(Z369="","",IFERROR(LOOKUP(2,1/(#REF!=Z369),#REF!),""))</f>
        <v/>
      </c>
      <c r="AB369" t="str">
        <f>IF(Z369="","",IFERROR(LOOKUP(2,1/(#REF!=Z369),#REF!),""))</f>
        <v/>
      </c>
      <c r="AC369" t="e">
        <f>IF(Z369="","",COUNTIF(#REF!,Z369))</f>
        <v>#REF!</v>
      </c>
      <c r="AD369" t="e">
        <f>IF(A369="","",IF(AC369&gt;1,"REVISAR DUPLICADO",IF(AA369&lt;&gt;"","ACTUALIZADO POR EYR","SIN REPORTE EYR")))</f>
        <v>#REF!</v>
      </c>
    </row>
    <row r="370" spans="1:30" x14ac:dyDescent="0.3">
      <c r="A370" s="5" t="s">
        <v>4689</v>
      </c>
      <c r="B370" t="s">
        <v>4688</v>
      </c>
      <c r="C370" s="4" t="s">
        <v>4687</v>
      </c>
      <c r="D370" t="s">
        <v>600</v>
      </c>
      <c r="F370" t="s">
        <v>4686</v>
      </c>
      <c r="G370" s="3">
        <v>8096234008</v>
      </c>
      <c r="H370" s="2">
        <v>46121</v>
      </c>
      <c r="K370" s="1">
        <f ca="1">IF(A370="","",IF(OR(L370="ENTREGADA",L370="RETORNADA",L370="ENTREGA DIGITAL"),0,MAX(0,5-NETWORKDAYS(H370+1,TODAY()))))</f>
        <v>0</v>
      </c>
      <c r="L370" t="str">
        <f>IF(A370="","",IFERROR(LOOKUP(2,1/(#REF!=Z370),#REF!),Y370))</f>
        <v>RETORNADA</v>
      </c>
      <c r="Y370" t="s">
        <v>1857</v>
      </c>
      <c r="Z370" t="str">
        <f>IF(A370="","",TEXT(A370,"0")&amp;"|"&amp;TEXT(H370,"0"))</f>
        <v>4025017783356190|46121</v>
      </c>
      <c r="AA370" t="str">
        <f>IF(Z370="","",IFERROR(LOOKUP(2,1/(#REF!=Z370),#REF!),""))</f>
        <v/>
      </c>
      <c r="AB370" t="str">
        <f>IF(Z370="","",IFERROR(LOOKUP(2,1/(#REF!=Z370),#REF!),""))</f>
        <v/>
      </c>
      <c r="AC370" t="e">
        <f>IF(Z370="","",COUNTIF(#REF!,Z370))</f>
        <v>#REF!</v>
      </c>
      <c r="AD370" t="e">
        <f>IF(A370="","",IF(AC370&gt;1,"REVISAR DUPLICADO",IF(AA370&lt;&gt;"","ACTUALIZADO POR EYR","SIN REPORTE EYR")))</f>
        <v>#REF!</v>
      </c>
    </row>
    <row r="371" spans="1:30" x14ac:dyDescent="0.3">
      <c r="A371" s="5" t="s">
        <v>4685</v>
      </c>
      <c r="B371" t="s">
        <v>4684</v>
      </c>
      <c r="C371" s="4" t="s">
        <v>4683</v>
      </c>
      <c r="D371" t="s">
        <v>600</v>
      </c>
      <c r="F371" t="s">
        <v>4682</v>
      </c>
      <c r="G371" s="3">
        <v>8298733059</v>
      </c>
      <c r="H371" s="2">
        <v>46121</v>
      </c>
      <c r="K371" s="1">
        <f ca="1">IF(A371="","",IF(OR(L371="ENTREGADA",L371="RETORNADA",L371="ENTREGA DIGITAL"),0,MAX(0,5-NETWORKDAYS(H371+1,TODAY()))))</f>
        <v>0</v>
      </c>
      <c r="L371" t="str">
        <f>IF(A371="","",IFERROR(LOOKUP(2,1/(#REF!=Z371),#REF!),Y371))</f>
        <v>ENTREGADA</v>
      </c>
      <c r="Y371" t="s">
        <v>1956</v>
      </c>
      <c r="Z371" t="str">
        <f>IF(A371="","",TEXT(A371,"0")&amp;"|"&amp;TEXT(H371,"0"))</f>
        <v>4921017782561770|46121</v>
      </c>
      <c r="AA371" t="str">
        <f>IF(Z371="","",IFERROR(LOOKUP(2,1/(#REF!=Z371),#REF!),""))</f>
        <v/>
      </c>
      <c r="AB371" t="str">
        <f>IF(Z371="","",IFERROR(LOOKUP(2,1/(#REF!=Z371),#REF!),""))</f>
        <v/>
      </c>
      <c r="AC371" t="e">
        <f>IF(Z371="","",COUNTIF(#REF!,Z371))</f>
        <v>#REF!</v>
      </c>
      <c r="AD371" t="e">
        <f>IF(A371="","",IF(AC371&gt;1,"REVISAR DUPLICADO",IF(AA371&lt;&gt;"","ACTUALIZADO POR EYR","SIN REPORTE EYR")))</f>
        <v>#REF!</v>
      </c>
    </row>
    <row r="372" spans="1:30" x14ac:dyDescent="0.3">
      <c r="A372" s="5" t="s">
        <v>4681</v>
      </c>
      <c r="B372" t="s">
        <v>4680</v>
      </c>
      <c r="C372" s="4" t="s">
        <v>4679</v>
      </c>
      <c r="D372" t="s">
        <v>600</v>
      </c>
      <c r="F372" t="s">
        <v>2478</v>
      </c>
      <c r="G372" s="3">
        <v>8099937028</v>
      </c>
      <c r="H372" s="2">
        <v>46121</v>
      </c>
      <c r="K372" s="1">
        <f ca="1">IF(A372="","",IF(OR(L372="ENTREGADA",L372="RETORNADA",L372="ENTREGA DIGITAL"),0,MAX(0,5-NETWORKDAYS(H372+1,TODAY()))))</f>
        <v>0</v>
      </c>
      <c r="L372" t="str">
        <f>IF(A372="","",IFERROR(LOOKUP(2,1/(#REF!=Z372),#REF!),Y372))</f>
        <v>ENTREGADA</v>
      </c>
      <c r="Y372" t="s">
        <v>1956</v>
      </c>
      <c r="Z372" t="str">
        <f>IF(A372="","",TEXT(A372,"0")&amp;"|"&amp;TEXT(H372,"0"))</f>
        <v>4921017782749720|46121</v>
      </c>
      <c r="AA372" t="str">
        <f>IF(Z372="","",IFERROR(LOOKUP(2,1/(#REF!=Z372),#REF!),""))</f>
        <v/>
      </c>
      <c r="AB372" t="str">
        <f>IF(Z372="","",IFERROR(LOOKUP(2,1/(#REF!=Z372),#REF!),""))</f>
        <v/>
      </c>
      <c r="AC372" t="e">
        <f>IF(Z372="","",COUNTIF(#REF!,Z372))</f>
        <v>#REF!</v>
      </c>
      <c r="AD372" t="e">
        <f>IF(A372="","",IF(AC372&gt;1,"REVISAR DUPLICADO",IF(AA372&lt;&gt;"","ACTUALIZADO POR EYR","SIN REPORTE EYR")))</f>
        <v>#REF!</v>
      </c>
    </row>
    <row r="373" spans="1:30" x14ac:dyDescent="0.3">
      <c r="A373" s="5" t="s">
        <v>4678</v>
      </c>
      <c r="B373" t="s">
        <v>4677</v>
      </c>
      <c r="C373" s="4" t="s">
        <v>4676</v>
      </c>
      <c r="D373" t="s">
        <v>600</v>
      </c>
      <c r="F373" t="s">
        <v>13</v>
      </c>
      <c r="G373" s="3">
        <v>8092363744</v>
      </c>
      <c r="H373" s="2">
        <v>46121</v>
      </c>
      <c r="K373" s="1">
        <f ca="1">IF(A373="","",IF(OR(L373="ENTREGADA",L373="RETORNADA",L373="ENTREGA DIGITAL"),0,MAX(0,5-NETWORKDAYS(H373+1,TODAY()))))</f>
        <v>0</v>
      </c>
      <c r="L373" t="str">
        <f>IF(A373="","",IFERROR(LOOKUP(2,1/(#REF!=Z373),#REF!),Y373))</f>
        <v>RETORNADA</v>
      </c>
      <c r="Y373" t="s">
        <v>1857</v>
      </c>
      <c r="Z373" t="str">
        <f>IF(A373="","",TEXT(A373,"0")&amp;"|"&amp;TEXT(H373,"0"))</f>
        <v>4921017781765500|46121</v>
      </c>
      <c r="AA373" t="str">
        <f>IF(Z373="","",IFERROR(LOOKUP(2,1/(#REF!=Z373),#REF!),""))</f>
        <v/>
      </c>
      <c r="AB373" t="str">
        <f>IF(Z373="","",IFERROR(LOOKUP(2,1/(#REF!=Z373),#REF!),""))</f>
        <v/>
      </c>
      <c r="AC373" t="e">
        <f>IF(Z373="","",COUNTIF(#REF!,Z373))</f>
        <v>#REF!</v>
      </c>
      <c r="AD373" t="e">
        <f>IF(A373="","",IF(AC373&gt;1,"REVISAR DUPLICADO",IF(AA373&lt;&gt;"","ACTUALIZADO POR EYR","SIN REPORTE EYR")))</f>
        <v>#REF!</v>
      </c>
    </row>
    <row r="374" spans="1:30" x14ac:dyDescent="0.3">
      <c r="A374" s="5" t="s">
        <v>4675</v>
      </c>
      <c r="B374" t="s">
        <v>4674</v>
      </c>
      <c r="C374" s="4" t="s">
        <v>4673</v>
      </c>
      <c r="D374" t="s">
        <v>600</v>
      </c>
      <c r="F374" t="s">
        <v>4672</v>
      </c>
      <c r="G374" s="3">
        <v>8093984522</v>
      </c>
      <c r="H374" s="2">
        <v>46121</v>
      </c>
      <c r="K374" s="1">
        <f ca="1">IF(A374="","",IF(OR(L374="ENTREGADA",L374="RETORNADA",L374="ENTREGA DIGITAL"),0,MAX(0,5-NETWORKDAYS(H374+1,TODAY()))))</f>
        <v>0</v>
      </c>
      <c r="L374" t="str">
        <f>IF(A374="","",IFERROR(LOOKUP(2,1/(#REF!=Z374),#REF!),Y374))</f>
        <v>RETORNADA</v>
      </c>
      <c r="Y374" t="s">
        <v>1857</v>
      </c>
      <c r="Z374" t="str">
        <f>IF(A374="","",TEXT(A374,"0")&amp;"|"&amp;TEXT(H374,"0"))</f>
        <v>5415017778221730|46121</v>
      </c>
      <c r="AA374" t="str">
        <f>IF(Z374="","",IFERROR(LOOKUP(2,1/(#REF!=Z374),#REF!),""))</f>
        <v/>
      </c>
      <c r="AB374" t="str">
        <f>IF(Z374="","",IFERROR(LOOKUP(2,1/(#REF!=Z374),#REF!),""))</f>
        <v/>
      </c>
      <c r="AC374" t="e">
        <f>IF(Z374="","",COUNTIF(#REF!,Z374))</f>
        <v>#REF!</v>
      </c>
      <c r="AD374" t="e">
        <f>IF(A374="","",IF(AC374&gt;1,"REVISAR DUPLICADO",IF(AA374&lt;&gt;"","ACTUALIZADO POR EYR","SIN REPORTE EYR")))</f>
        <v>#REF!</v>
      </c>
    </row>
    <row r="375" spans="1:30" x14ac:dyDescent="0.3">
      <c r="A375" s="5" t="s">
        <v>4671</v>
      </c>
      <c r="B375" t="s">
        <v>4113</v>
      </c>
      <c r="C375" s="4" t="s">
        <v>4670</v>
      </c>
      <c r="D375" t="s">
        <v>600</v>
      </c>
      <c r="F375" t="s">
        <v>979</v>
      </c>
      <c r="G375" s="3">
        <v>8294991906</v>
      </c>
      <c r="H375" s="2">
        <v>46121</v>
      </c>
      <c r="K375" s="1">
        <f ca="1">IF(A375="","",IF(OR(L375="ENTREGADA",L375="RETORNADA",L375="ENTREGA DIGITAL"),0,MAX(0,5-NETWORKDAYS(H375+1,TODAY()))))</f>
        <v>0</v>
      </c>
      <c r="L375" t="str">
        <f>IF(A375="","",IFERROR(LOOKUP(2,1/(#REF!=Z375),#REF!),Y375))</f>
        <v>RETORNADA</v>
      </c>
      <c r="Y375" t="s">
        <v>1857</v>
      </c>
      <c r="Z375" t="str">
        <f>IF(A375="","",TEXT(A375,"0")&amp;"|"&amp;TEXT(H375,"0"))</f>
        <v>4921017780742400|46121</v>
      </c>
      <c r="AA375" t="str">
        <f>IF(Z375="","",IFERROR(LOOKUP(2,1/(#REF!=Z375),#REF!),""))</f>
        <v/>
      </c>
      <c r="AB375" t="str">
        <f>IF(Z375="","",IFERROR(LOOKUP(2,1/(#REF!=Z375),#REF!),""))</f>
        <v/>
      </c>
      <c r="AC375" t="e">
        <f>IF(Z375="","",COUNTIF(#REF!,Z375))</f>
        <v>#REF!</v>
      </c>
      <c r="AD375" t="e">
        <f>IF(A375="","",IF(AC375&gt;1,"REVISAR DUPLICADO",IF(AA375&lt;&gt;"","ACTUALIZADO POR EYR","SIN REPORTE EYR")))</f>
        <v>#REF!</v>
      </c>
    </row>
    <row r="376" spans="1:30" x14ac:dyDescent="0.3">
      <c r="A376" s="5" t="s">
        <v>4669</v>
      </c>
      <c r="B376" t="s">
        <v>4668</v>
      </c>
      <c r="C376" s="4" t="s">
        <v>4667</v>
      </c>
      <c r="D376" t="s">
        <v>600</v>
      </c>
      <c r="F376" t="s">
        <v>979</v>
      </c>
      <c r="G376" s="3">
        <v>8099523318</v>
      </c>
      <c r="H376" s="2">
        <v>46121</v>
      </c>
      <c r="K376" s="1">
        <f ca="1">IF(A376="","",IF(OR(L376="ENTREGADA",L376="RETORNADA",L376="ENTREGA DIGITAL"),0,MAX(0,5-NETWORKDAYS(H376+1,TODAY()))))</f>
        <v>0</v>
      </c>
      <c r="L376" t="str">
        <f>IF(A376="","",IFERROR(LOOKUP(2,1/(#REF!=Z376),#REF!),Y376))</f>
        <v>RETORNADA</v>
      </c>
      <c r="Y376" t="s">
        <v>1857</v>
      </c>
      <c r="Z376" t="str">
        <f>IF(A376="","",TEXT(A376,"0")&amp;"|"&amp;TEXT(H376,"0"))</f>
        <v>4025017783434120|46121</v>
      </c>
      <c r="AA376" t="str">
        <f>IF(Z376="","",IFERROR(LOOKUP(2,1/(#REF!=Z376),#REF!),""))</f>
        <v/>
      </c>
      <c r="AB376" t="str">
        <f>IF(Z376="","",IFERROR(LOOKUP(2,1/(#REF!=Z376),#REF!),""))</f>
        <v/>
      </c>
      <c r="AC376" t="e">
        <f>IF(Z376="","",COUNTIF(#REF!,Z376))</f>
        <v>#REF!</v>
      </c>
      <c r="AD376" t="e">
        <f>IF(A376="","",IF(AC376&gt;1,"REVISAR DUPLICADO",IF(AA376&lt;&gt;"","ACTUALIZADO POR EYR","SIN REPORTE EYR")))</f>
        <v>#REF!</v>
      </c>
    </row>
    <row r="377" spans="1:30" x14ac:dyDescent="0.3">
      <c r="A377" s="5" t="s">
        <v>4666</v>
      </c>
      <c r="B377" t="s">
        <v>4665</v>
      </c>
      <c r="C377" s="4" t="s">
        <v>4664</v>
      </c>
      <c r="D377" t="s">
        <v>600</v>
      </c>
      <c r="F377" t="s">
        <v>955</v>
      </c>
      <c r="G377" s="3">
        <v>8094882102</v>
      </c>
      <c r="H377" s="2">
        <v>46121</v>
      </c>
      <c r="K377" s="1">
        <f ca="1">IF(A377="","",IF(OR(L377="ENTREGADA",L377="RETORNADA",L377="ENTREGA DIGITAL"),0,MAX(0,5-NETWORKDAYS(H377+1,TODAY()))))</f>
        <v>0</v>
      </c>
      <c r="L377" t="str">
        <f>IF(A377="","",IFERROR(LOOKUP(2,1/(#REF!=Z377),#REF!),Y377))</f>
        <v>ENTREGADA</v>
      </c>
      <c r="Y377" t="s">
        <v>1956</v>
      </c>
      <c r="Z377" t="str">
        <f>IF(A377="","",TEXT(A377,"0")&amp;"|"&amp;TEXT(H377,"0"))</f>
        <v>5227017779456320|46121</v>
      </c>
      <c r="AA377" t="str">
        <f>IF(Z377="","",IFERROR(LOOKUP(2,1/(#REF!=Z377),#REF!),""))</f>
        <v/>
      </c>
      <c r="AB377" t="str">
        <f>IF(Z377="","",IFERROR(LOOKUP(2,1/(#REF!=Z377),#REF!),""))</f>
        <v/>
      </c>
      <c r="AC377" t="e">
        <f>IF(Z377="","",COUNTIF(#REF!,Z377))</f>
        <v>#REF!</v>
      </c>
      <c r="AD377" t="e">
        <f>IF(A377="","",IF(AC377&gt;1,"REVISAR DUPLICADO",IF(AA377&lt;&gt;"","ACTUALIZADO POR EYR","SIN REPORTE EYR")))</f>
        <v>#REF!</v>
      </c>
    </row>
    <row r="378" spans="1:30" x14ac:dyDescent="0.3">
      <c r="A378" s="5" t="s">
        <v>4663</v>
      </c>
      <c r="B378" t="s">
        <v>2371</v>
      </c>
      <c r="C378" s="4" t="s">
        <v>4662</v>
      </c>
      <c r="D378" t="s">
        <v>600</v>
      </c>
      <c r="F378" t="s">
        <v>4661</v>
      </c>
      <c r="G378" s="3">
        <v>8498549413</v>
      </c>
      <c r="H378" s="2">
        <v>46121</v>
      </c>
      <c r="K378" s="1">
        <f ca="1">IF(A378="","",IF(OR(L378="ENTREGADA",L378="RETORNADA",L378="ENTREGA DIGITAL"),0,MAX(0,5-NETWORKDAYS(H378+1,TODAY()))))</f>
        <v>0</v>
      </c>
      <c r="L378" t="str">
        <f>IF(A378="","",IFERROR(LOOKUP(2,1/(#REF!=Z378),#REF!),Y378))</f>
        <v>ENTREGADA</v>
      </c>
      <c r="Y378" t="s">
        <v>1956</v>
      </c>
      <c r="Z378" t="str">
        <f>IF(A378="","",TEXT(A378,"0")&amp;"|"&amp;TEXT(H378,"0"))</f>
        <v>4921017786356870|46121</v>
      </c>
      <c r="AA378" t="str">
        <f>IF(Z378="","",IFERROR(LOOKUP(2,1/(#REF!=Z378),#REF!),""))</f>
        <v/>
      </c>
      <c r="AB378" t="str">
        <f>IF(Z378="","",IFERROR(LOOKUP(2,1/(#REF!=Z378),#REF!),""))</f>
        <v/>
      </c>
      <c r="AC378" t="e">
        <f>IF(Z378="","",COUNTIF(#REF!,Z378))</f>
        <v>#REF!</v>
      </c>
      <c r="AD378" t="e">
        <f>IF(A378="","",IF(AC378&gt;1,"REVISAR DUPLICADO",IF(AA378&lt;&gt;"","ACTUALIZADO POR EYR","SIN REPORTE EYR")))</f>
        <v>#REF!</v>
      </c>
    </row>
    <row r="379" spans="1:30" x14ac:dyDescent="0.3">
      <c r="A379" s="5" t="s">
        <v>4660</v>
      </c>
      <c r="B379" t="s">
        <v>4659</v>
      </c>
      <c r="C379" s="4" t="s">
        <v>4658</v>
      </c>
      <c r="D379" t="s">
        <v>600</v>
      </c>
      <c r="F379" t="s">
        <v>979</v>
      </c>
      <c r="G379" s="3">
        <v>8295920994</v>
      </c>
      <c r="H379" s="2">
        <v>46121</v>
      </c>
      <c r="J379" t="s">
        <v>1399</v>
      </c>
      <c r="K379" s="1">
        <f ca="1">IF(A379="","",IF(OR(L379="ENTREGADA",L379="RETORNADA",L379="ENTREGA DIGITAL"),0,MAX(0,5-NETWORKDAYS(H379+1,TODAY()))))</f>
        <v>0</v>
      </c>
      <c r="L379" t="str">
        <f>IF(A379="","",IFERROR(LOOKUP(2,1/(#REF!=Z379),#REF!),Y379))</f>
        <v>RETORNADA</v>
      </c>
      <c r="Y379" t="s">
        <v>1857</v>
      </c>
      <c r="Z379" t="str">
        <f>IF(A379="","",TEXT(A379,"0")&amp;"|"&amp;TEXT(H379,"0"))</f>
        <v>4921017785313440|46121</v>
      </c>
      <c r="AA379" t="str">
        <f>IF(Z379="","",IFERROR(LOOKUP(2,1/(#REF!=Z379),#REF!),""))</f>
        <v/>
      </c>
      <c r="AB379" t="str">
        <f>IF(Z379="","",IFERROR(LOOKUP(2,1/(#REF!=Z379),#REF!),""))</f>
        <v/>
      </c>
      <c r="AC379" t="e">
        <f>IF(Z379="","",COUNTIF(#REF!,Z379))</f>
        <v>#REF!</v>
      </c>
      <c r="AD379" t="e">
        <f>IF(A379="","",IF(AC379&gt;1,"REVISAR DUPLICADO",IF(AA379&lt;&gt;"","ACTUALIZADO POR EYR","SIN REPORTE EYR")))</f>
        <v>#REF!</v>
      </c>
    </row>
    <row r="380" spans="1:30" x14ac:dyDescent="0.3">
      <c r="A380" s="5" t="s">
        <v>4657</v>
      </c>
      <c r="B380" t="s">
        <v>4656</v>
      </c>
      <c r="C380" s="4" t="s">
        <v>4655</v>
      </c>
      <c r="D380" t="s">
        <v>600</v>
      </c>
      <c r="F380" t="s">
        <v>2542</v>
      </c>
      <c r="G380" s="3">
        <v>8098842332</v>
      </c>
      <c r="H380" s="2">
        <v>46121</v>
      </c>
      <c r="K380" s="1">
        <f ca="1">IF(A380="","",IF(OR(L380="ENTREGADA",L380="RETORNADA",L380="ENTREGA DIGITAL"),0,MAX(0,5-NETWORKDAYS(H380+1,TODAY()))))</f>
        <v>0</v>
      </c>
      <c r="L380" t="str">
        <f>IF(A380="","",IFERROR(LOOKUP(2,1/(#REF!=Z380),#REF!),Y380))</f>
        <v>RETORNADA</v>
      </c>
      <c r="Y380" t="s">
        <v>1857</v>
      </c>
      <c r="Z380" t="str">
        <f>IF(A380="","",TEXT(A380,"0")&amp;"|"&amp;TEXT(H380,"0"))</f>
        <v>4025017783803350|46121</v>
      </c>
      <c r="AA380" t="str">
        <f>IF(Z380="","",IFERROR(LOOKUP(2,1/(#REF!=Z380),#REF!),""))</f>
        <v/>
      </c>
      <c r="AB380" t="str">
        <f>IF(Z380="","",IFERROR(LOOKUP(2,1/(#REF!=Z380),#REF!),""))</f>
        <v/>
      </c>
      <c r="AC380" t="e">
        <f>IF(Z380="","",COUNTIF(#REF!,Z380))</f>
        <v>#REF!</v>
      </c>
      <c r="AD380" t="e">
        <f>IF(A380="","",IF(AC380&gt;1,"REVISAR DUPLICADO",IF(AA380&lt;&gt;"","ACTUALIZADO POR EYR","SIN REPORTE EYR")))</f>
        <v>#REF!</v>
      </c>
    </row>
    <row r="381" spans="1:30" x14ac:dyDescent="0.3">
      <c r="A381" s="5" t="s">
        <v>4654</v>
      </c>
      <c r="B381" t="s">
        <v>4653</v>
      </c>
      <c r="C381" s="4" t="s">
        <v>4652</v>
      </c>
      <c r="D381" t="s">
        <v>600</v>
      </c>
      <c r="F381" t="s">
        <v>4651</v>
      </c>
      <c r="G381" s="3">
        <v>8297146543</v>
      </c>
      <c r="H381" s="2">
        <v>46121</v>
      </c>
      <c r="K381" s="1">
        <f ca="1">IF(A381="","",IF(OR(L381="ENTREGADA",L381="RETORNADA",L381="ENTREGA DIGITAL"),0,MAX(0,5-NETWORKDAYS(H381+1,TODAY()))))</f>
        <v>0</v>
      </c>
      <c r="L381" t="str">
        <f>IF(A381="","",IFERROR(LOOKUP(2,1/(#REF!=Z381),#REF!),Y381))</f>
        <v>RETORNADA</v>
      </c>
      <c r="Y381" t="s">
        <v>1857</v>
      </c>
      <c r="Z381" t="str">
        <f>IF(A381="","",TEXT(A381,"0")&amp;"|"&amp;TEXT(H381,"0"))</f>
        <v>5227017779522610|46121</v>
      </c>
      <c r="AA381" t="str">
        <f>IF(Z381="","",IFERROR(LOOKUP(2,1/(#REF!=Z381),#REF!),""))</f>
        <v/>
      </c>
      <c r="AB381" t="str">
        <f>IF(Z381="","",IFERROR(LOOKUP(2,1/(#REF!=Z381),#REF!),""))</f>
        <v/>
      </c>
      <c r="AC381" t="e">
        <f>IF(Z381="","",COUNTIF(#REF!,Z381))</f>
        <v>#REF!</v>
      </c>
      <c r="AD381" t="e">
        <f>IF(A381="","",IF(AC381&gt;1,"REVISAR DUPLICADO",IF(AA381&lt;&gt;"","ACTUALIZADO POR EYR","SIN REPORTE EYR")))</f>
        <v>#REF!</v>
      </c>
    </row>
    <row r="382" spans="1:30" x14ac:dyDescent="0.3">
      <c r="A382" s="5" t="s">
        <v>4650</v>
      </c>
      <c r="B382" t="s">
        <v>4649</v>
      </c>
      <c r="C382" s="4" t="s">
        <v>4648</v>
      </c>
      <c r="D382" t="s">
        <v>600</v>
      </c>
      <c r="F382" t="s">
        <v>4647</v>
      </c>
      <c r="G382" s="3">
        <v>8095631211</v>
      </c>
      <c r="H382" s="2">
        <v>46121</v>
      </c>
      <c r="K382" s="1">
        <f ca="1">IF(A382="","",IF(OR(L382="ENTREGADA",L382="RETORNADA",L382="ENTREGA DIGITAL"),0,MAX(0,5-NETWORKDAYS(H382+1,TODAY()))))</f>
        <v>0</v>
      </c>
      <c r="L382" t="str">
        <f>IF(A382="","",IFERROR(LOOKUP(2,1/(#REF!=Z382),#REF!),Y382))</f>
        <v>ENTREGADA</v>
      </c>
      <c r="Y382" t="s">
        <v>1956</v>
      </c>
      <c r="Z382" t="str">
        <f>IF(A382="","",TEXT(A382,"0")&amp;"|"&amp;TEXT(H382,"0"))</f>
        <v>5188017779951520|46121</v>
      </c>
      <c r="AA382" t="str">
        <f>IF(Z382="","",IFERROR(LOOKUP(2,1/(#REF!=Z382),#REF!),""))</f>
        <v/>
      </c>
      <c r="AB382" t="str">
        <f>IF(Z382="","",IFERROR(LOOKUP(2,1/(#REF!=Z382),#REF!),""))</f>
        <v/>
      </c>
      <c r="AC382" t="e">
        <f>IF(Z382="","",COUNTIF(#REF!,Z382))</f>
        <v>#REF!</v>
      </c>
      <c r="AD382" t="e">
        <f>IF(A382="","",IF(AC382&gt;1,"REVISAR DUPLICADO",IF(AA382&lt;&gt;"","ACTUALIZADO POR EYR","SIN REPORTE EYR")))</f>
        <v>#REF!</v>
      </c>
    </row>
    <row r="383" spans="1:30" x14ac:dyDescent="0.3">
      <c r="A383" s="5" t="s">
        <v>4646</v>
      </c>
      <c r="B383" t="s">
        <v>4645</v>
      </c>
      <c r="C383" s="4" t="s">
        <v>4644</v>
      </c>
      <c r="D383" t="s">
        <v>600</v>
      </c>
      <c r="F383" t="s">
        <v>13</v>
      </c>
      <c r="G383" s="3">
        <v>8093503706</v>
      </c>
      <c r="H383" s="2">
        <v>46121</v>
      </c>
      <c r="K383" s="1">
        <f ca="1">IF(A383="","",IF(OR(L383="ENTREGADA",L383="RETORNADA",L383="ENTREGA DIGITAL"),0,MAX(0,5-NETWORKDAYS(H383+1,TODAY()))))</f>
        <v>0</v>
      </c>
      <c r="L383" t="str">
        <f>IF(A383="","",IFERROR(LOOKUP(2,1/(#REF!=Z383),#REF!),Y383))</f>
        <v>RETORNADA</v>
      </c>
      <c r="Y383" t="s">
        <v>1857</v>
      </c>
      <c r="Z383" t="str">
        <f>IF(A383="","",TEXT(A383,"0")&amp;"|"&amp;TEXT(H383,"0"))</f>
        <v>5188017780046510|46121</v>
      </c>
      <c r="AA383" t="str">
        <f>IF(Z383="","",IFERROR(LOOKUP(2,1/(#REF!=Z383),#REF!),""))</f>
        <v/>
      </c>
      <c r="AB383" t="str">
        <f>IF(Z383="","",IFERROR(LOOKUP(2,1/(#REF!=Z383),#REF!),""))</f>
        <v/>
      </c>
      <c r="AC383" t="e">
        <f>IF(Z383="","",COUNTIF(#REF!,Z383))</f>
        <v>#REF!</v>
      </c>
      <c r="AD383" t="e">
        <f>IF(A383="","",IF(AC383&gt;1,"REVISAR DUPLICADO",IF(AA383&lt;&gt;"","ACTUALIZADO POR EYR","SIN REPORTE EYR")))</f>
        <v>#REF!</v>
      </c>
    </row>
    <row r="384" spans="1:30" x14ac:dyDescent="0.3">
      <c r="A384" s="5" t="s">
        <v>4643</v>
      </c>
      <c r="B384" t="s">
        <v>4642</v>
      </c>
      <c r="C384" s="4" t="s">
        <v>4641</v>
      </c>
      <c r="D384" t="s">
        <v>600</v>
      </c>
      <c r="F384" t="s">
        <v>4640</v>
      </c>
      <c r="G384" s="3">
        <v>8299085615</v>
      </c>
      <c r="H384" s="2">
        <v>46121</v>
      </c>
      <c r="K384" s="1">
        <f ca="1">IF(A384="","",IF(OR(L384="ENTREGADA",L384="RETORNADA",L384="ENTREGA DIGITAL"),0,MAX(0,5-NETWORKDAYS(H384+1,TODAY()))))</f>
        <v>0</v>
      </c>
      <c r="L384" t="str">
        <f>IF(A384="","",IFERROR(LOOKUP(2,1/(#REF!=Z384),#REF!),Y384))</f>
        <v>RETORNADA</v>
      </c>
      <c r="Y384" t="s">
        <v>1857</v>
      </c>
      <c r="Z384" t="str">
        <f>IF(A384="","",TEXT(A384,"0")&amp;"|"&amp;TEXT(H384,"0"))</f>
        <v>4025017783371910|46121</v>
      </c>
      <c r="AA384" t="str">
        <f>IF(Z384="","",IFERROR(LOOKUP(2,1/(#REF!=Z384),#REF!),""))</f>
        <v/>
      </c>
      <c r="AB384" t="str">
        <f>IF(Z384="","",IFERROR(LOOKUP(2,1/(#REF!=Z384),#REF!),""))</f>
        <v/>
      </c>
      <c r="AC384" t="e">
        <f>IF(Z384="","",COUNTIF(#REF!,Z384))</f>
        <v>#REF!</v>
      </c>
      <c r="AD384" t="e">
        <f>IF(A384="","",IF(AC384&gt;1,"REVISAR DUPLICADO",IF(AA384&lt;&gt;"","ACTUALIZADO POR EYR","SIN REPORTE EYR")))</f>
        <v>#REF!</v>
      </c>
    </row>
    <row r="385" spans="1:30" x14ac:dyDescent="0.3">
      <c r="A385" s="5" t="s">
        <v>4639</v>
      </c>
      <c r="B385" t="s">
        <v>4638</v>
      </c>
      <c r="C385" s="4" t="s">
        <v>4637</v>
      </c>
      <c r="D385" t="s">
        <v>600</v>
      </c>
      <c r="F385" t="s">
        <v>4636</v>
      </c>
      <c r="G385" s="3">
        <v>8093645712</v>
      </c>
      <c r="H385" s="2">
        <v>46121</v>
      </c>
      <c r="K385" s="1">
        <f ca="1">IF(A385="","",IF(OR(L385="ENTREGADA",L385="RETORNADA",L385="ENTREGA DIGITAL"),0,MAX(0,5-NETWORKDAYS(H385+1,TODAY()))))</f>
        <v>0</v>
      </c>
      <c r="L385" t="str">
        <f>IF(A385="","",IFERROR(LOOKUP(2,1/(#REF!=Z385),#REF!),Y385))</f>
        <v>ENTREGADA</v>
      </c>
      <c r="Y385" t="s">
        <v>1956</v>
      </c>
      <c r="Z385" t="str">
        <f>IF(A385="","",TEXT(A385,"0")&amp;"|"&amp;TEXT(H385,"0"))</f>
        <v>5227017779436070|46121</v>
      </c>
      <c r="AA385" t="str">
        <f>IF(Z385="","",IFERROR(LOOKUP(2,1/(#REF!=Z385),#REF!),""))</f>
        <v/>
      </c>
      <c r="AB385" t="str">
        <f>IF(Z385="","",IFERROR(LOOKUP(2,1/(#REF!=Z385),#REF!),""))</f>
        <v/>
      </c>
      <c r="AC385" t="e">
        <f>IF(Z385="","",COUNTIF(#REF!,Z385))</f>
        <v>#REF!</v>
      </c>
      <c r="AD385" t="e">
        <f>IF(A385="","",IF(AC385&gt;1,"REVISAR DUPLICADO",IF(AA385&lt;&gt;"","ACTUALIZADO POR EYR","SIN REPORTE EYR")))</f>
        <v>#REF!</v>
      </c>
    </row>
    <row r="386" spans="1:30" x14ac:dyDescent="0.3">
      <c r="A386" s="5" t="s">
        <v>4635</v>
      </c>
      <c r="B386" t="s">
        <v>4634</v>
      </c>
      <c r="C386" s="4" t="s">
        <v>4633</v>
      </c>
      <c r="D386" t="s">
        <v>600</v>
      </c>
      <c r="F386" t="s">
        <v>4632</v>
      </c>
      <c r="G386" s="3">
        <v>8299331037</v>
      </c>
      <c r="H386" s="2">
        <v>46121</v>
      </c>
      <c r="K386" s="1">
        <f ca="1">IF(A386="","",IF(OR(L386="ENTREGADA",L386="RETORNADA",L386="ENTREGA DIGITAL"),0,MAX(0,5-NETWORKDAYS(H386+1,TODAY()))))</f>
        <v>0</v>
      </c>
      <c r="L386" t="str">
        <f>IF(A386="","",IFERROR(LOOKUP(2,1/(#REF!=Z386),#REF!),Y386))</f>
        <v>ENTREGADA</v>
      </c>
      <c r="Y386" t="s">
        <v>1956</v>
      </c>
      <c r="Z386" t="str">
        <f>IF(A386="","",TEXT(A386,"0")&amp;"|"&amp;TEXT(H386,"0"))</f>
        <v>4025017783610230|46121</v>
      </c>
      <c r="AA386" t="str">
        <f>IF(Z386="","",IFERROR(LOOKUP(2,1/(#REF!=Z386),#REF!),""))</f>
        <v/>
      </c>
      <c r="AB386" t="str">
        <f>IF(Z386="","",IFERROR(LOOKUP(2,1/(#REF!=Z386),#REF!),""))</f>
        <v/>
      </c>
      <c r="AC386" t="e">
        <f>IF(Z386="","",COUNTIF(#REF!,Z386))</f>
        <v>#REF!</v>
      </c>
      <c r="AD386" t="e">
        <f>IF(A386="","",IF(AC386&gt;1,"REVISAR DUPLICADO",IF(AA386&lt;&gt;"","ACTUALIZADO POR EYR","SIN REPORTE EYR")))</f>
        <v>#REF!</v>
      </c>
    </row>
    <row r="387" spans="1:30" x14ac:dyDescent="0.3">
      <c r="A387" s="5" t="s">
        <v>4631</v>
      </c>
      <c r="B387" t="s">
        <v>4630</v>
      </c>
      <c r="C387" s="4" t="s">
        <v>4627</v>
      </c>
      <c r="D387" t="s">
        <v>600</v>
      </c>
      <c r="F387" t="s">
        <v>1016</v>
      </c>
      <c r="G387" s="3">
        <v>8097888785</v>
      </c>
      <c r="H387" s="2">
        <v>46121</v>
      </c>
      <c r="K387" s="1">
        <f ca="1">IF(A387="","",IF(OR(L387="ENTREGADA",L387="RETORNADA",L387="ENTREGA DIGITAL"),0,MAX(0,5-NETWORKDAYS(H387+1,TODAY()))))</f>
        <v>0</v>
      </c>
      <c r="L387" t="str">
        <f>IF(A387="","",IFERROR(LOOKUP(2,1/(#REF!=Z387),#REF!),Y387))</f>
        <v>RETORNADA</v>
      </c>
      <c r="Y387" t="s">
        <v>1857</v>
      </c>
      <c r="Z387" t="str">
        <f>IF(A387="","",TEXT(A387,"0")&amp;"|"&amp;TEXT(H387,"0"))</f>
        <v>4921017783174050|46121</v>
      </c>
      <c r="AA387" t="str">
        <f>IF(Z387="","",IFERROR(LOOKUP(2,1/(#REF!=Z387),#REF!),""))</f>
        <v/>
      </c>
      <c r="AB387" t="str">
        <f>IF(Z387="","",IFERROR(LOOKUP(2,1/(#REF!=Z387),#REF!),""))</f>
        <v/>
      </c>
      <c r="AC387" t="e">
        <f>IF(Z387="","",COUNTIF(#REF!,Z387))</f>
        <v>#REF!</v>
      </c>
      <c r="AD387" t="e">
        <f>IF(A387="","",IF(AC387&gt;1,"REVISAR DUPLICADO",IF(AA387&lt;&gt;"","ACTUALIZADO POR EYR","SIN REPORTE EYR")))</f>
        <v>#REF!</v>
      </c>
    </row>
    <row r="388" spans="1:30" x14ac:dyDescent="0.3">
      <c r="A388" s="5" t="s">
        <v>4629</v>
      </c>
      <c r="B388" t="s">
        <v>4628</v>
      </c>
      <c r="C388" s="4" t="s">
        <v>4627</v>
      </c>
      <c r="D388" t="s">
        <v>600</v>
      </c>
      <c r="F388" t="s">
        <v>1016</v>
      </c>
      <c r="G388" s="3">
        <v>8097888785</v>
      </c>
      <c r="H388" s="2">
        <v>46121</v>
      </c>
      <c r="K388" s="1">
        <f ca="1">IF(A388="","",IF(OR(L388="ENTREGADA",L388="RETORNADA",L388="ENTREGA DIGITAL"),0,MAX(0,5-NETWORKDAYS(H388+1,TODAY()))))</f>
        <v>0</v>
      </c>
      <c r="L388" t="str">
        <f>IF(A388="","",IFERROR(LOOKUP(2,1/(#REF!=Z388),#REF!),Y388))</f>
        <v>RETORNADA</v>
      </c>
      <c r="Y388" t="s">
        <v>1857</v>
      </c>
      <c r="Z388" t="str">
        <f>IF(A388="","",TEXT(A388,"0")&amp;"|"&amp;TEXT(H388,"0"))</f>
        <v>4921017780706880|46121</v>
      </c>
      <c r="AA388" t="str">
        <f>IF(Z388="","",IFERROR(LOOKUP(2,1/(#REF!=Z388),#REF!),""))</f>
        <v/>
      </c>
      <c r="AB388" t="str">
        <f>IF(Z388="","",IFERROR(LOOKUP(2,1/(#REF!=Z388),#REF!),""))</f>
        <v/>
      </c>
      <c r="AC388" t="e">
        <f>IF(Z388="","",COUNTIF(#REF!,Z388))</f>
        <v>#REF!</v>
      </c>
      <c r="AD388" t="e">
        <f>IF(A388="","",IF(AC388&gt;1,"REVISAR DUPLICADO",IF(AA388&lt;&gt;"","ACTUALIZADO POR EYR","SIN REPORTE EYR")))</f>
        <v>#REF!</v>
      </c>
    </row>
    <row r="389" spans="1:30" x14ac:dyDescent="0.3">
      <c r="A389" s="5" t="s">
        <v>4626</v>
      </c>
      <c r="B389" t="s">
        <v>4625</v>
      </c>
      <c r="C389" s="4" t="s">
        <v>4624</v>
      </c>
      <c r="D389" t="s">
        <v>600</v>
      </c>
      <c r="F389" t="s">
        <v>979</v>
      </c>
      <c r="G389" s="3">
        <v>8295997238</v>
      </c>
      <c r="H389" s="2">
        <v>46121</v>
      </c>
      <c r="K389" s="1">
        <f ca="1">IF(A389="","",IF(OR(L389="ENTREGADA",L389="RETORNADA",L389="ENTREGA DIGITAL"),0,MAX(0,5-NETWORKDAYS(H389+1,TODAY()))))</f>
        <v>0</v>
      </c>
      <c r="L389" t="str">
        <f>IF(A389="","",IFERROR(LOOKUP(2,1/(#REF!=Z389),#REF!),Y389))</f>
        <v>ENTREGADA</v>
      </c>
      <c r="Y389" t="s">
        <v>1956</v>
      </c>
      <c r="Z389" t="str">
        <f>IF(A389="","",TEXT(A389,"0")&amp;"|"&amp;TEXT(H389,"0"))</f>
        <v>5400017779337710|46121</v>
      </c>
      <c r="AA389" t="str">
        <f>IF(Z389="","",IFERROR(LOOKUP(2,1/(#REF!=Z389),#REF!),""))</f>
        <v/>
      </c>
      <c r="AB389" t="str">
        <f>IF(Z389="","",IFERROR(LOOKUP(2,1/(#REF!=Z389),#REF!),""))</f>
        <v/>
      </c>
      <c r="AC389" t="e">
        <f>IF(Z389="","",COUNTIF(#REF!,Z389))</f>
        <v>#REF!</v>
      </c>
      <c r="AD389" t="e">
        <f>IF(A389="","",IF(AC389&gt;1,"REVISAR DUPLICADO",IF(AA389&lt;&gt;"","ACTUALIZADO POR EYR","SIN REPORTE EYR")))</f>
        <v>#REF!</v>
      </c>
    </row>
    <row r="390" spans="1:30" x14ac:dyDescent="0.3">
      <c r="A390" s="5" t="s">
        <v>4623</v>
      </c>
      <c r="B390" t="s">
        <v>4622</v>
      </c>
      <c r="C390" s="4" t="s">
        <v>4621</v>
      </c>
      <c r="D390" t="s">
        <v>600</v>
      </c>
      <c r="F390" t="s">
        <v>4620</v>
      </c>
      <c r="G390" s="3">
        <v>8299705283</v>
      </c>
      <c r="H390" s="2">
        <v>46121</v>
      </c>
      <c r="K390" s="1">
        <f ca="1">IF(A390="","",IF(OR(L390="ENTREGADA",L390="RETORNADA",L390="ENTREGA DIGITAL"),0,MAX(0,5-NETWORKDAYS(H390+1,TODAY()))))</f>
        <v>0</v>
      </c>
      <c r="L390" t="str">
        <f>IF(A390="","",IFERROR(LOOKUP(2,1/(#REF!=Z390),#REF!),Y390))</f>
        <v>RETORNADA</v>
      </c>
      <c r="Y390" t="s">
        <v>1857</v>
      </c>
      <c r="Z390" t="str">
        <f>IF(A390="","",TEXT(A390,"0")&amp;"|"&amp;TEXT(H390,"0"))</f>
        <v>4921017783227810|46121</v>
      </c>
      <c r="AA390" t="str">
        <f>IF(Z390="","",IFERROR(LOOKUP(2,1/(#REF!=Z390),#REF!),""))</f>
        <v/>
      </c>
      <c r="AB390" t="str">
        <f>IF(Z390="","",IFERROR(LOOKUP(2,1/(#REF!=Z390),#REF!),""))</f>
        <v/>
      </c>
      <c r="AC390" t="e">
        <f>IF(Z390="","",COUNTIF(#REF!,Z390))</f>
        <v>#REF!</v>
      </c>
      <c r="AD390" t="e">
        <f>IF(A390="","",IF(AC390&gt;1,"REVISAR DUPLICADO",IF(AA390&lt;&gt;"","ACTUALIZADO POR EYR","SIN REPORTE EYR")))</f>
        <v>#REF!</v>
      </c>
    </row>
    <row r="391" spans="1:30" x14ac:dyDescent="0.3">
      <c r="A391" s="5" t="s">
        <v>4619</v>
      </c>
      <c r="B391" t="s">
        <v>4618</v>
      </c>
      <c r="C391" s="4" t="s">
        <v>4617</v>
      </c>
      <c r="D391" t="s">
        <v>600</v>
      </c>
      <c r="F391" t="s">
        <v>4616</v>
      </c>
      <c r="G391" s="3">
        <v>8098553878</v>
      </c>
      <c r="H391" s="2">
        <v>46121</v>
      </c>
      <c r="K391" s="1">
        <f ca="1">IF(A391="","",IF(OR(L391="ENTREGADA",L391="RETORNADA",L391="ENTREGA DIGITAL"),0,MAX(0,5-NETWORKDAYS(H391+1,TODAY()))))</f>
        <v>0</v>
      </c>
      <c r="L391" t="str">
        <f>IF(A391="","",IFERROR(LOOKUP(2,1/(#REF!=Z391),#REF!),Y391))</f>
        <v>ENTREGADA</v>
      </c>
      <c r="Y391" t="s">
        <v>1956</v>
      </c>
      <c r="Z391" t="str">
        <f>IF(A391="","",TEXT(A391,"0")&amp;"|"&amp;TEXT(H391,"0"))</f>
        <v>4921017780564890|46121</v>
      </c>
      <c r="AA391" t="str">
        <f>IF(Z391="","",IFERROR(LOOKUP(2,1/(#REF!=Z391),#REF!),""))</f>
        <v/>
      </c>
      <c r="AB391" t="str">
        <f>IF(Z391="","",IFERROR(LOOKUP(2,1/(#REF!=Z391),#REF!),""))</f>
        <v/>
      </c>
      <c r="AC391" t="e">
        <f>IF(Z391="","",COUNTIF(#REF!,Z391))</f>
        <v>#REF!</v>
      </c>
      <c r="AD391" t="e">
        <f>IF(A391="","",IF(AC391&gt;1,"REVISAR DUPLICADO",IF(AA391&lt;&gt;"","ACTUALIZADO POR EYR","SIN REPORTE EYR")))</f>
        <v>#REF!</v>
      </c>
    </row>
    <row r="392" spans="1:30" x14ac:dyDescent="0.3">
      <c r="A392" s="5" t="s">
        <v>4615</v>
      </c>
      <c r="B392" t="s">
        <v>1139</v>
      </c>
      <c r="C392" s="4" t="s">
        <v>4614</v>
      </c>
      <c r="D392" t="s">
        <v>600</v>
      </c>
      <c r="F392" t="s">
        <v>13</v>
      </c>
      <c r="G392" s="3">
        <v>8299079466</v>
      </c>
      <c r="H392" s="2">
        <v>46121</v>
      </c>
      <c r="K392" s="1">
        <f ca="1">IF(A392="","",IF(OR(L392="ENTREGADA",L392="RETORNADA",L392="ENTREGA DIGITAL"),0,MAX(0,5-NETWORKDAYS(H392+1,TODAY()))))</f>
        <v>0</v>
      </c>
      <c r="L392" t="str">
        <f>IF(A392="","",IFERROR(LOOKUP(2,1/(#REF!=Z392),#REF!),Y392))</f>
        <v>ENTREGADA</v>
      </c>
      <c r="Y392" t="s">
        <v>1956</v>
      </c>
      <c r="Z392" t="str">
        <f>IF(A392="","",TEXT(A392,"0")&amp;"|"&amp;TEXT(H392,"0"))</f>
        <v>4921017658081190|46121</v>
      </c>
      <c r="AA392" t="str">
        <f>IF(Z392="","",IFERROR(LOOKUP(2,1/(#REF!=Z392),#REF!),""))</f>
        <v/>
      </c>
      <c r="AB392" t="str">
        <f>IF(Z392="","",IFERROR(LOOKUP(2,1/(#REF!=Z392),#REF!),""))</f>
        <v/>
      </c>
      <c r="AC392" t="e">
        <f>IF(Z392="","",COUNTIF(#REF!,Z392))</f>
        <v>#REF!</v>
      </c>
      <c r="AD392" t="e">
        <f>IF(A392="","",IF(AC392&gt;1,"REVISAR DUPLICADO",IF(AA392&lt;&gt;"","ACTUALIZADO POR EYR","SIN REPORTE EYR")))</f>
        <v>#REF!</v>
      </c>
    </row>
    <row r="393" spans="1:30" x14ac:dyDescent="0.3">
      <c r="A393" s="5" t="s">
        <v>4613</v>
      </c>
      <c r="B393" t="s">
        <v>4612</v>
      </c>
      <c r="C393" s="4" t="s">
        <v>4611</v>
      </c>
      <c r="D393" t="s">
        <v>600</v>
      </c>
      <c r="F393" t="s">
        <v>13</v>
      </c>
      <c r="G393" s="3">
        <v>8298185371</v>
      </c>
      <c r="H393" s="2">
        <v>46121</v>
      </c>
      <c r="K393" s="1">
        <f ca="1">IF(A393="","",IF(OR(L393="ENTREGADA",L393="RETORNADA",L393="ENTREGA DIGITAL"),0,MAX(0,5-NETWORKDAYS(H393+1,TODAY()))))</f>
        <v>0</v>
      </c>
      <c r="L393" t="str">
        <f>IF(A393="","",IFERROR(LOOKUP(2,1/(#REF!=Z393),#REF!),Y393))</f>
        <v>ENTREGADA</v>
      </c>
      <c r="Y393" t="s">
        <v>1956</v>
      </c>
      <c r="Z393" t="str">
        <f>IF(A393="","",TEXT(A393,"0")&amp;"|"&amp;TEXT(H393,"0"))</f>
        <v>4921017706101150|46121</v>
      </c>
      <c r="AA393" t="str">
        <f>IF(Z393="","",IFERROR(LOOKUP(2,1/(#REF!=Z393),#REF!),""))</f>
        <v/>
      </c>
      <c r="AB393" t="str">
        <f>IF(Z393="","",IFERROR(LOOKUP(2,1/(#REF!=Z393),#REF!),""))</f>
        <v/>
      </c>
      <c r="AC393" t="e">
        <f>IF(Z393="","",COUNTIF(#REF!,Z393))</f>
        <v>#REF!</v>
      </c>
      <c r="AD393" t="e">
        <f>IF(A393="","",IF(AC393&gt;1,"REVISAR DUPLICADO",IF(AA393&lt;&gt;"","ACTUALIZADO POR EYR","SIN REPORTE EYR")))</f>
        <v>#REF!</v>
      </c>
    </row>
    <row r="394" spans="1:30" x14ac:dyDescent="0.3">
      <c r="A394" s="5" t="s">
        <v>4610</v>
      </c>
      <c r="B394" t="s">
        <v>4609</v>
      </c>
      <c r="C394" s="4" t="s">
        <v>4608</v>
      </c>
      <c r="D394" t="s">
        <v>600</v>
      </c>
      <c r="F394" t="s">
        <v>4607</v>
      </c>
      <c r="G394" s="3">
        <v>8092733109</v>
      </c>
      <c r="H394" s="2">
        <v>46121</v>
      </c>
      <c r="K394" s="1">
        <f ca="1">IF(A394="","",IF(OR(L394="ENTREGADA",L394="RETORNADA",L394="ENTREGA DIGITAL"),0,MAX(0,5-NETWORKDAYS(H394+1,TODAY()))))</f>
        <v>0</v>
      </c>
      <c r="L394" t="str">
        <f>IF(A394="","",IFERROR(LOOKUP(2,1/(#REF!=Z394),#REF!),Y394))</f>
        <v>ENTREGADA</v>
      </c>
      <c r="Y394" t="s">
        <v>1956</v>
      </c>
      <c r="Z394" t="str">
        <f>IF(A394="","",TEXT(A394,"0")&amp;"|"&amp;TEXT(H394,"0"))</f>
        <v>4921017722406450|46121</v>
      </c>
      <c r="AA394" t="str">
        <f>IF(Z394="","",IFERROR(LOOKUP(2,1/(#REF!=Z394),#REF!),""))</f>
        <v/>
      </c>
      <c r="AB394" t="str">
        <f>IF(Z394="","",IFERROR(LOOKUP(2,1/(#REF!=Z394),#REF!),""))</f>
        <v/>
      </c>
      <c r="AC394" t="e">
        <f>IF(Z394="","",COUNTIF(#REF!,Z394))</f>
        <v>#REF!</v>
      </c>
      <c r="AD394" t="e">
        <f>IF(A394="","",IF(AC394&gt;1,"REVISAR DUPLICADO",IF(AA394&lt;&gt;"","ACTUALIZADO POR EYR","SIN REPORTE EYR")))</f>
        <v>#REF!</v>
      </c>
    </row>
    <row r="395" spans="1:30" x14ac:dyDescent="0.3">
      <c r="A395" s="5" t="s">
        <v>4606</v>
      </c>
      <c r="B395" t="s">
        <v>4605</v>
      </c>
      <c r="C395" s="4" t="s">
        <v>4604</v>
      </c>
      <c r="D395" t="s">
        <v>21</v>
      </c>
      <c r="F395" t="s">
        <v>1050</v>
      </c>
      <c r="G395" s="3">
        <v>8299701250</v>
      </c>
      <c r="H395" s="2">
        <v>46121</v>
      </c>
      <c r="K395" s="1">
        <f ca="1">IF(A395="","",IF(OR(L395="ENTREGADA",L395="RETORNADA",L395="ENTREGA DIGITAL"),0,MAX(0,5-NETWORKDAYS(H395+1,TODAY()))))</f>
        <v>0</v>
      </c>
      <c r="L395" t="str">
        <f>IF(A395="","",IFERROR(LOOKUP(2,1/(#REF!=Z395),#REF!),Y395))</f>
        <v>ENTREGA DIGITAL</v>
      </c>
      <c r="Y395" t="s">
        <v>1396</v>
      </c>
      <c r="Z395" t="str">
        <f>IF(A395="","",TEXT(A395,"0")&amp;"|"&amp;TEXT(H395,"0"))</f>
        <v>4921017785369570|46121</v>
      </c>
      <c r="AA395" t="str">
        <f>IF(Z395="","",IFERROR(LOOKUP(2,1/(#REF!=Z395),#REF!),""))</f>
        <v/>
      </c>
      <c r="AB395" t="str">
        <f>IF(Z395="","",IFERROR(LOOKUP(2,1/(#REF!=Z395),#REF!),""))</f>
        <v/>
      </c>
      <c r="AC395" t="e">
        <f>IF(Z395="","",COUNTIF(#REF!,Z395))</f>
        <v>#REF!</v>
      </c>
      <c r="AD395" t="e">
        <f>IF(A395="","",IF(AC395&gt;1,"REVISAR DUPLICADO",IF(AA395&lt;&gt;"","ACTUALIZADO POR EYR","SIN REPORTE EYR")))</f>
        <v>#REF!</v>
      </c>
    </row>
    <row r="396" spans="1:30" x14ac:dyDescent="0.3">
      <c r="A396" s="5" t="s">
        <v>4603</v>
      </c>
      <c r="B396" t="s">
        <v>4602</v>
      </c>
      <c r="C396" s="4" t="s">
        <v>4601</v>
      </c>
      <c r="D396" t="s">
        <v>21</v>
      </c>
      <c r="E396" t="s">
        <v>21</v>
      </c>
      <c r="F396" t="s">
        <v>62</v>
      </c>
      <c r="G396" s="3">
        <v>8098478097</v>
      </c>
      <c r="H396" s="2">
        <v>46121</v>
      </c>
      <c r="K396" s="1">
        <f ca="1">IF(A396="","",IF(OR(L396="ENTREGADA",L396="RETORNADA",L396="ENTREGA DIGITAL"),0,MAX(0,5-NETWORKDAYS(H396+1,TODAY()))))</f>
        <v>0</v>
      </c>
      <c r="L396" t="str">
        <f>IF(A396="","",IFERROR(LOOKUP(2,1/(#REF!=Z396),#REF!),Y396))</f>
        <v>ENTREGA DIGITAL</v>
      </c>
      <c r="Y396" t="s">
        <v>1396</v>
      </c>
      <c r="Z396" t="str">
        <f>IF(A396="","",TEXT(A396,"0")&amp;"|"&amp;TEXT(H396,"0"))</f>
        <v>4921017785794870|46121</v>
      </c>
      <c r="AA396" t="str">
        <f>IF(Z396="","",IFERROR(LOOKUP(2,1/(#REF!=Z396),#REF!),""))</f>
        <v/>
      </c>
      <c r="AB396" t="str">
        <f>IF(Z396="","",IFERROR(LOOKUP(2,1/(#REF!=Z396),#REF!),""))</f>
        <v/>
      </c>
      <c r="AC396" t="e">
        <f>IF(Z396="","",COUNTIF(#REF!,Z396))</f>
        <v>#REF!</v>
      </c>
      <c r="AD396" t="e">
        <f>IF(A396="","",IF(AC396&gt;1,"REVISAR DUPLICADO",IF(AA396&lt;&gt;"","ACTUALIZADO POR EYR","SIN REPORTE EYR")))</f>
        <v>#REF!</v>
      </c>
    </row>
    <row r="397" spans="1:30" x14ac:dyDescent="0.3">
      <c r="A397" s="5" t="s">
        <v>4600</v>
      </c>
      <c r="B397" t="s">
        <v>4599</v>
      </c>
      <c r="C397" s="4" t="s">
        <v>4598</v>
      </c>
      <c r="D397" t="s">
        <v>21</v>
      </c>
      <c r="E397" t="s">
        <v>21</v>
      </c>
      <c r="F397" t="s">
        <v>62</v>
      </c>
      <c r="G397" s="3">
        <v>8098099999</v>
      </c>
      <c r="H397" s="2">
        <v>46121</v>
      </c>
      <c r="K397" s="1">
        <f ca="1">IF(A397="","",IF(OR(L397="ENTREGADA",L397="RETORNADA",L397="ENTREGA DIGITAL"),0,MAX(0,5-NETWORKDAYS(H397+1,TODAY()))))</f>
        <v>0</v>
      </c>
      <c r="L397" t="str">
        <f>IF(A397="","",IFERROR(LOOKUP(2,1/(#REF!=Z397),#REF!),Y397))</f>
        <v>ENTREGA DIGITAL</v>
      </c>
      <c r="Y397" t="s">
        <v>1396</v>
      </c>
      <c r="Z397" t="str">
        <f>IF(A397="","",TEXT(A397,"0")&amp;"|"&amp;TEXT(H397,"0"))</f>
        <v>4921017786392720|46121</v>
      </c>
      <c r="AA397" t="str">
        <f>IF(Z397="","",IFERROR(LOOKUP(2,1/(#REF!=Z397),#REF!),""))</f>
        <v/>
      </c>
      <c r="AB397" t="str">
        <f>IF(Z397="","",IFERROR(LOOKUP(2,1/(#REF!=Z397),#REF!),""))</f>
        <v/>
      </c>
      <c r="AC397" t="e">
        <f>IF(Z397="","",COUNTIF(#REF!,Z397))</f>
        <v>#REF!</v>
      </c>
      <c r="AD397" t="e">
        <f>IF(A397="","",IF(AC397&gt;1,"REVISAR DUPLICADO",IF(AA397&lt;&gt;"","ACTUALIZADO POR EYR","SIN REPORTE EYR")))</f>
        <v>#REF!</v>
      </c>
    </row>
    <row r="398" spans="1:30" x14ac:dyDescent="0.3">
      <c r="A398" s="5" t="s">
        <v>4597</v>
      </c>
      <c r="B398" t="s">
        <v>4596</v>
      </c>
      <c r="C398" s="4" t="s">
        <v>4595</v>
      </c>
      <c r="D398" t="s">
        <v>21</v>
      </c>
      <c r="F398" t="s">
        <v>13</v>
      </c>
      <c r="G398" s="3">
        <v>8096663249</v>
      </c>
      <c r="H398" s="2">
        <v>46121</v>
      </c>
      <c r="K398" s="1">
        <f ca="1">IF(A398="","",IF(OR(L398="ENTREGADA",L398="RETORNADA",L398="ENTREGA DIGITAL"),0,MAX(0,5-NETWORKDAYS(H398+1,TODAY()))))</f>
        <v>0</v>
      </c>
      <c r="L398" t="str">
        <f>IF(A398="","",IFERROR(LOOKUP(2,1/(#REF!=Z398),#REF!),Y398))</f>
        <v>ENTREGA DIGITAL</v>
      </c>
      <c r="Y398" t="s">
        <v>1396</v>
      </c>
      <c r="Z398" t="str">
        <f>IF(A398="","",TEXT(A398,"0")&amp;"|"&amp;TEXT(H398,"0"))</f>
        <v>5188017785224840|46121</v>
      </c>
      <c r="AA398" t="str">
        <f>IF(Z398="","",IFERROR(LOOKUP(2,1/(#REF!=Z398),#REF!),""))</f>
        <v/>
      </c>
      <c r="AB398" t="str">
        <f>IF(Z398="","",IFERROR(LOOKUP(2,1/(#REF!=Z398),#REF!),""))</f>
        <v/>
      </c>
      <c r="AC398" t="e">
        <f>IF(Z398="","",COUNTIF(#REF!,Z398))</f>
        <v>#REF!</v>
      </c>
      <c r="AD398" t="e">
        <f>IF(A398="","",IF(AC398&gt;1,"REVISAR DUPLICADO",IF(AA398&lt;&gt;"","ACTUALIZADO POR EYR","SIN REPORTE EYR")))</f>
        <v>#REF!</v>
      </c>
    </row>
    <row r="399" spans="1:30" x14ac:dyDescent="0.3">
      <c r="A399" s="5" t="s">
        <v>4594</v>
      </c>
      <c r="B399" t="s">
        <v>4593</v>
      </c>
      <c r="C399" s="4" t="s">
        <v>4592</v>
      </c>
      <c r="D399" t="s">
        <v>21</v>
      </c>
      <c r="F399" t="s">
        <v>13</v>
      </c>
      <c r="G399" s="3">
        <v>8295061415</v>
      </c>
      <c r="H399" s="2">
        <v>46121</v>
      </c>
      <c r="K399" s="1">
        <f ca="1">IF(A399="","",IF(OR(L399="ENTREGADA",L399="RETORNADA",L399="ENTREGA DIGITAL"),0,MAX(0,5-NETWORKDAYS(H399+1,TODAY()))))</f>
        <v>0</v>
      </c>
      <c r="L399" t="str">
        <f>IF(A399="","",IFERROR(LOOKUP(2,1/(#REF!=Z399),#REF!),Y399))</f>
        <v>ENTREGA DIGITAL</v>
      </c>
      <c r="Y399" t="s">
        <v>1396</v>
      </c>
      <c r="Z399" t="str">
        <f>IF(A399="","",TEXT(A399,"0")&amp;"|"&amp;TEXT(H399,"0"))</f>
        <v>4741017783979530|46121</v>
      </c>
      <c r="AA399" t="str">
        <f>IF(Z399="","",IFERROR(LOOKUP(2,1/(#REF!=Z399),#REF!),""))</f>
        <v/>
      </c>
      <c r="AB399" t="str">
        <f>IF(Z399="","",IFERROR(LOOKUP(2,1/(#REF!=Z399),#REF!),""))</f>
        <v/>
      </c>
      <c r="AC399" t="e">
        <f>IF(Z399="","",COUNTIF(#REF!,Z399))</f>
        <v>#REF!</v>
      </c>
      <c r="AD399" t="e">
        <f>IF(A399="","",IF(AC399&gt;1,"REVISAR DUPLICADO",IF(AA399&lt;&gt;"","ACTUALIZADO POR EYR","SIN REPORTE EYR")))</f>
        <v>#REF!</v>
      </c>
    </row>
    <row r="400" spans="1:30" x14ac:dyDescent="0.3">
      <c r="A400" s="5" t="s">
        <v>4591</v>
      </c>
      <c r="B400" t="s">
        <v>4590</v>
      </c>
      <c r="C400" s="4" t="s">
        <v>4589</v>
      </c>
      <c r="D400" t="s">
        <v>21</v>
      </c>
      <c r="F400" t="s">
        <v>4588</v>
      </c>
      <c r="G400" s="3">
        <v>8298650734</v>
      </c>
      <c r="H400" s="2">
        <v>46121</v>
      </c>
      <c r="K400" s="1">
        <f ca="1">IF(A400="","",IF(OR(L400="ENTREGADA",L400="RETORNADA",L400="ENTREGA DIGITAL"),0,MAX(0,5-NETWORKDAYS(H400+1,TODAY()))))</f>
        <v>0</v>
      </c>
      <c r="L400" t="str">
        <f>IF(A400="","",IFERROR(LOOKUP(2,1/(#REF!=Z400),#REF!),Y400))</f>
        <v>ENTREGA DIGITAL</v>
      </c>
      <c r="Y400" t="s">
        <v>1396</v>
      </c>
      <c r="Z400" t="str">
        <f>IF(A400="","",TEXT(A400,"0")&amp;"|"&amp;TEXT(H400,"0"))</f>
        <v>4741017783917840|46121</v>
      </c>
      <c r="AA400" t="str">
        <f>IF(Z400="","",IFERROR(LOOKUP(2,1/(#REF!=Z400),#REF!),""))</f>
        <v/>
      </c>
      <c r="AB400" t="str">
        <f>IF(Z400="","",IFERROR(LOOKUP(2,1/(#REF!=Z400),#REF!),""))</f>
        <v/>
      </c>
      <c r="AC400" t="e">
        <f>IF(Z400="","",COUNTIF(#REF!,Z400))</f>
        <v>#REF!</v>
      </c>
      <c r="AD400" t="e">
        <f>IF(A400="","",IF(AC400&gt;1,"REVISAR DUPLICADO",IF(AA400&lt;&gt;"","ACTUALIZADO POR EYR","SIN REPORTE EYR")))</f>
        <v>#REF!</v>
      </c>
    </row>
    <row r="401" spans="1:30" x14ac:dyDescent="0.3">
      <c r="A401" s="5" t="s">
        <v>4587</v>
      </c>
      <c r="B401" t="s">
        <v>4586</v>
      </c>
      <c r="C401" s="4" t="s">
        <v>4585</v>
      </c>
      <c r="D401" t="s">
        <v>21</v>
      </c>
      <c r="F401" t="s">
        <v>4584</v>
      </c>
      <c r="G401" s="3">
        <v>8095266243</v>
      </c>
      <c r="H401" s="2">
        <v>46121</v>
      </c>
      <c r="K401" s="1">
        <f ca="1">IF(A401="","",IF(OR(L401="ENTREGADA",L401="RETORNADA",L401="ENTREGA DIGITAL"),0,MAX(0,5-NETWORKDAYS(H401+1,TODAY()))))</f>
        <v>0</v>
      </c>
      <c r="L401" t="str">
        <f>IF(A401="","",IFERROR(LOOKUP(2,1/(#REF!=Z401),#REF!),Y401))</f>
        <v>ENTREGA DIGITAL</v>
      </c>
      <c r="Y401" t="s">
        <v>1396</v>
      </c>
      <c r="Z401" t="str">
        <f>IF(A401="","",TEXT(A401,"0")&amp;"|"&amp;TEXT(H401,"0"))</f>
        <v>4741017784307530|46121</v>
      </c>
      <c r="AA401" t="str">
        <f>IF(Z401="","",IFERROR(LOOKUP(2,1/(#REF!=Z401),#REF!),""))</f>
        <v/>
      </c>
      <c r="AB401" t="str">
        <f>IF(Z401="","",IFERROR(LOOKUP(2,1/(#REF!=Z401),#REF!),""))</f>
        <v/>
      </c>
      <c r="AC401" t="e">
        <f>IF(Z401="","",COUNTIF(#REF!,Z401))</f>
        <v>#REF!</v>
      </c>
      <c r="AD401" t="e">
        <f>IF(A401="","",IF(AC401&gt;1,"REVISAR DUPLICADO",IF(AA401&lt;&gt;"","ACTUALIZADO POR EYR","SIN REPORTE EYR")))</f>
        <v>#REF!</v>
      </c>
    </row>
    <row r="402" spans="1:30" x14ac:dyDescent="0.3">
      <c r="A402" s="5" t="s">
        <v>4583</v>
      </c>
      <c r="B402" t="s">
        <v>4582</v>
      </c>
      <c r="C402" s="4" t="s">
        <v>4581</v>
      </c>
      <c r="D402" t="s">
        <v>77</v>
      </c>
      <c r="E402" t="s">
        <v>214</v>
      </c>
      <c r="F402" t="s">
        <v>391</v>
      </c>
      <c r="G402" s="3">
        <v>8495172964</v>
      </c>
      <c r="H402" s="2">
        <v>46121</v>
      </c>
      <c r="K402" s="1">
        <f ca="1">IF(A402="","",IF(OR(L402="ENTREGADA",L402="RETORNADA",L402="ENTREGA DIGITAL"),0,MAX(0,5-NETWORKDAYS(H402+1,TODAY()))))</f>
        <v>0</v>
      </c>
      <c r="L402" t="str">
        <f>IF(A402="","",IFERROR(LOOKUP(2,1/(#REF!=Z402),#REF!),Y402))</f>
        <v>ENTREGADA</v>
      </c>
      <c r="Y402" t="s">
        <v>1956</v>
      </c>
      <c r="Z402" t="str">
        <f>IF(A402="","",TEXT(A402,"0")&amp;"|"&amp;TEXT(H402,"0"))</f>
        <v>5227017785108170|46121</v>
      </c>
      <c r="AA402" t="str">
        <f>IF(Z402="","",IFERROR(LOOKUP(2,1/(#REF!=Z402),#REF!),""))</f>
        <v/>
      </c>
      <c r="AB402" t="str">
        <f>IF(Z402="","",IFERROR(LOOKUP(2,1/(#REF!=Z402),#REF!),""))</f>
        <v/>
      </c>
      <c r="AC402" t="e">
        <f>IF(Z402="","",COUNTIF(#REF!,Z402))</f>
        <v>#REF!</v>
      </c>
      <c r="AD402" t="e">
        <f>IF(A402="","",IF(AC402&gt;1,"REVISAR DUPLICADO",IF(AA402&lt;&gt;"","ACTUALIZADO POR EYR","SIN REPORTE EYR")))</f>
        <v>#REF!</v>
      </c>
    </row>
    <row r="403" spans="1:30" x14ac:dyDescent="0.3">
      <c r="A403" s="5" t="s">
        <v>4580</v>
      </c>
      <c r="B403" t="s">
        <v>4579</v>
      </c>
      <c r="C403" s="4" t="s">
        <v>4578</v>
      </c>
      <c r="D403" t="s">
        <v>77</v>
      </c>
      <c r="F403" t="s">
        <v>4577</v>
      </c>
      <c r="G403" s="3">
        <v>8292606061</v>
      </c>
      <c r="H403" s="2">
        <v>46121</v>
      </c>
      <c r="K403" s="1">
        <f ca="1">IF(A403="","",IF(OR(L403="ENTREGADA",L403="RETORNADA",L403="ENTREGA DIGITAL"),0,MAX(0,5-NETWORKDAYS(H403+1,TODAY()))))</f>
        <v>0</v>
      </c>
      <c r="L403" t="str">
        <f>IF(A403="","",IFERROR(LOOKUP(2,1/(#REF!=Z403),#REF!),Y403))</f>
        <v>ENTREGADA</v>
      </c>
      <c r="Y403" t="s">
        <v>1956</v>
      </c>
      <c r="Z403" t="str">
        <f>IF(A403="","",TEXT(A403,"0")&amp;"|"&amp;TEXT(H403,"0"))</f>
        <v>4741017783921510|46121</v>
      </c>
      <c r="AA403" t="str">
        <f>IF(Z403="","",IFERROR(LOOKUP(2,1/(#REF!=Z403),#REF!),""))</f>
        <v/>
      </c>
      <c r="AB403" t="str">
        <f>IF(Z403="","",IFERROR(LOOKUP(2,1/(#REF!=Z403),#REF!),""))</f>
        <v/>
      </c>
      <c r="AC403" t="e">
        <f>IF(Z403="","",COUNTIF(#REF!,Z403))</f>
        <v>#REF!</v>
      </c>
      <c r="AD403" t="e">
        <f>IF(A403="","",IF(AC403&gt;1,"REVISAR DUPLICADO",IF(AA403&lt;&gt;"","ACTUALIZADO POR EYR","SIN REPORTE EYR")))</f>
        <v>#REF!</v>
      </c>
    </row>
    <row r="404" spans="1:30" x14ac:dyDescent="0.3">
      <c r="A404" s="5" t="s">
        <v>4576</v>
      </c>
      <c r="B404" t="s">
        <v>4575</v>
      </c>
      <c r="C404" s="4" t="s">
        <v>4574</v>
      </c>
      <c r="D404" t="s">
        <v>77</v>
      </c>
      <c r="F404" t="s">
        <v>4573</v>
      </c>
      <c r="G404" s="3">
        <v>8296291475</v>
      </c>
      <c r="H404" s="2">
        <v>46121</v>
      </c>
      <c r="K404" s="1">
        <f ca="1">IF(A404="","",IF(OR(L404="ENTREGADA",L404="RETORNADA",L404="ENTREGA DIGITAL"),0,MAX(0,5-NETWORKDAYS(H404+1,TODAY()))))</f>
        <v>0</v>
      </c>
      <c r="L404" t="str">
        <f>IF(A404="","",IFERROR(LOOKUP(2,1/(#REF!=Z404),#REF!),Y404))</f>
        <v>ENTREGADA</v>
      </c>
      <c r="Y404" t="s">
        <v>1956</v>
      </c>
      <c r="Z404" t="str">
        <f>IF(A404="","",TEXT(A404,"0")&amp;"|"&amp;TEXT(H404,"0"))</f>
        <v>4741017784152720|46121</v>
      </c>
      <c r="AA404" t="str">
        <f>IF(Z404="","",IFERROR(LOOKUP(2,1/(#REF!=Z404),#REF!),""))</f>
        <v/>
      </c>
      <c r="AB404" t="str">
        <f>IF(Z404="","",IFERROR(LOOKUP(2,1/(#REF!=Z404),#REF!),""))</f>
        <v/>
      </c>
      <c r="AC404" t="e">
        <f>IF(Z404="","",COUNTIF(#REF!,Z404))</f>
        <v>#REF!</v>
      </c>
      <c r="AD404" t="e">
        <f>IF(A404="","",IF(AC404&gt;1,"REVISAR DUPLICADO",IF(AA404&lt;&gt;"","ACTUALIZADO POR EYR","SIN REPORTE EYR")))</f>
        <v>#REF!</v>
      </c>
    </row>
    <row r="405" spans="1:30" x14ac:dyDescent="0.3">
      <c r="A405" s="5" t="s">
        <v>51</v>
      </c>
      <c r="B405" t="s">
        <v>50</v>
      </c>
      <c r="C405" s="4" t="s">
        <v>49</v>
      </c>
      <c r="D405" t="s">
        <v>1</v>
      </c>
      <c r="F405" t="s">
        <v>13</v>
      </c>
      <c r="G405" s="3">
        <v>8096466891</v>
      </c>
      <c r="H405" s="2">
        <v>46121</v>
      </c>
      <c r="K405" s="1">
        <f ca="1">IF(A405="","",IF(OR(L405="ENTREGADA",L405="RETORNADA",L405="ENTREGA DIGITAL"),0,MAX(0,5-NETWORKDAYS(H405+1,TODAY()))))</f>
        <v>0</v>
      </c>
      <c r="L405" t="str">
        <f>IF(A405="","",IFERROR(LOOKUP(2,1/(#REF!=Z405),#REF!),Y405))</f>
        <v>RETORNADA</v>
      </c>
      <c r="Y405" t="s">
        <v>1857</v>
      </c>
      <c r="Z405" t="str">
        <f>IF(A405="","",TEXT(A405,"0")&amp;"|"&amp;TEXT(H405,"0"))</f>
        <v>4921017785999180|46121</v>
      </c>
      <c r="AA405" t="str">
        <f>IF(Z405="","",IFERROR(LOOKUP(2,1/(#REF!=Z405),#REF!),""))</f>
        <v/>
      </c>
      <c r="AB405" t="str">
        <f>IF(Z405="","",IFERROR(LOOKUP(2,1/(#REF!=Z405),#REF!),""))</f>
        <v/>
      </c>
      <c r="AC405" t="e">
        <f>IF(Z405="","",COUNTIF(#REF!,Z405))</f>
        <v>#REF!</v>
      </c>
      <c r="AD405" t="e">
        <f>IF(A405="","",IF(AC405&gt;1,"REVISAR DUPLICADO",IF(AA405&lt;&gt;"","ACTUALIZADO POR EYR","SIN REPORTE EYR")))</f>
        <v>#REF!</v>
      </c>
    </row>
    <row r="406" spans="1:30" x14ac:dyDescent="0.3">
      <c r="A406" s="5" t="s">
        <v>4572</v>
      </c>
      <c r="B406" t="s">
        <v>4571</v>
      </c>
      <c r="C406" s="4" t="s">
        <v>4570</v>
      </c>
      <c r="D406" t="s">
        <v>77</v>
      </c>
      <c r="F406" t="s">
        <v>4569</v>
      </c>
      <c r="G406" s="3">
        <v>8296674241</v>
      </c>
      <c r="H406" s="2">
        <v>46121</v>
      </c>
      <c r="I406" t="s">
        <v>1397</v>
      </c>
      <c r="K406" s="1">
        <f ca="1">IF(A406="","",IF(OR(L406="ENTREGADA",L406="RETORNADA",L406="ENTREGA DIGITAL"),0,MAX(0,5-NETWORKDAYS(H406+1,TODAY()))))</f>
        <v>0</v>
      </c>
      <c r="L406" t="str">
        <f>IF(A406="","",IFERROR(LOOKUP(2,1/(#REF!=Z406),#REF!),Y406))</f>
        <v>ENTREGADA</v>
      </c>
      <c r="Y406" t="s">
        <v>1956</v>
      </c>
      <c r="Z406" t="str">
        <f>IF(A406="","",TEXT(A406,"0")&amp;"|"&amp;TEXT(H406,"0"))</f>
        <v>4921017786323270|46121</v>
      </c>
      <c r="AA406" t="str">
        <f>IF(Z406="","",IFERROR(LOOKUP(2,1/(#REF!=Z406),#REF!),""))</f>
        <v/>
      </c>
      <c r="AB406" t="str">
        <f>IF(Z406="","",IFERROR(LOOKUP(2,1/(#REF!=Z406),#REF!),""))</f>
        <v/>
      </c>
      <c r="AC406" t="e">
        <f>IF(Z406="","",COUNTIF(#REF!,Z406))</f>
        <v>#REF!</v>
      </c>
      <c r="AD406" t="e">
        <f>IF(A406="","",IF(AC406&gt;1,"REVISAR DUPLICADO",IF(AA406&lt;&gt;"","ACTUALIZADO POR EYR","SIN REPORTE EYR")))</f>
        <v>#REF!</v>
      </c>
    </row>
    <row r="407" spans="1:30" x14ac:dyDescent="0.3">
      <c r="A407" s="5" t="s">
        <v>4568</v>
      </c>
      <c r="B407" t="s">
        <v>4567</v>
      </c>
      <c r="C407" s="4" t="s">
        <v>4566</v>
      </c>
      <c r="D407" t="s">
        <v>600</v>
      </c>
      <c r="F407" t="s">
        <v>13</v>
      </c>
      <c r="G407" s="3">
        <v>8093310647</v>
      </c>
      <c r="H407" s="2">
        <v>46121</v>
      </c>
      <c r="K407" s="1">
        <f ca="1">IF(A407="","",IF(OR(L407="ENTREGADA",L407="RETORNADA",L407="ENTREGA DIGITAL"),0,MAX(0,5-NETWORKDAYS(H407+1,TODAY()))))</f>
        <v>0</v>
      </c>
      <c r="L407" t="str">
        <f>IF(A407="","",IFERROR(LOOKUP(2,1/(#REF!=Z407),#REF!),Y407))</f>
        <v>RETORNADA</v>
      </c>
      <c r="Y407" t="s">
        <v>1857</v>
      </c>
      <c r="Z407" t="str">
        <f>IF(A407="","",TEXT(A407,"0")&amp;"|"&amp;TEXT(H407,"0"))</f>
        <v>5415017778305080|46121</v>
      </c>
      <c r="AA407" t="str">
        <f>IF(Z407="","",IFERROR(LOOKUP(2,1/(#REF!=Z407),#REF!),""))</f>
        <v/>
      </c>
      <c r="AB407" t="str">
        <f>IF(Z407="","",IFERROR(LOOKUP(2,1/(#REF!=Z407),#REF!),""))</f>
        <v/>
      </c>
      <c r="AC407" t="e">
        <f>IF(Z407="","",COUNTIF(#REF!,Z407))</f>
        <v>#REF!</v>
      </c>
      <c r="AD407" t="e">
        <f>IF(A407="","",IF(AC407&gt;1,"REVISAR DUPLICADO",IF(AA407&lt;&gt;"","ACTUALIZADO POR EYR","SIN REPORTE EYR")))</f>
        <v>#REF!</v>
      </c>
    </row>
    <row r="408" spans="1:30" x14ac:dyDescent="0.3">
      <c r="A408" s="5" t="s">
        <v>4565</v>
      </c>
      <c r="B408" t="s">
        <v>4564</v>
      </c>
      <c r="C408" s="4" t="s">
        <v>4563</v>
      </c>
      <c r="D408" t="s">
        <v>600</v>
      </c>
      <c r="F408" t="s">
        <v>13</v>
      </c>
      <c r="G408" s="3">
        <v>8095955569</v>
      </c>
      <c r="H408" s="2">
        <v>46121</v>
      </c>
      <c r="K408" s="1">
        <f ca="1">IF(A408="","",IF(OR(L408="ENTREGADA",L408="RETORNADA",L408="ENTREGA DIGITAL"),0,MAX(0,5-NETWORKDAYS(H408+1,TODAY()))))</f>
        <v>0</v>
      </c>
      <c r="L408" t="str">
        <f>IF(A408="","",IFERROR(LOOKUP(2,1/(#REF!=Z408),#REF!),Y408))</f>
        <v>ENTREGADA</v>
      </c>
      <c r="Y408" t="s">
        <v>1956</v>
      </c>
      <c r="Z408" t="str">
        <f>IF(A408="","",TEXT(A408,"0")&amp;"|"&amp;TEXT(H408,"0"))</f>
        <v>5188017779860630|46121</v>
      </c>
      <c r="AA408" t="str">
        <f>IF(Z408="","",IFERROR(LOOKUP(2,1/(#REF!=Z408),#REF!),""))</f>
        <v/>
      </c>
      <c r="AB408" t="str">
        <f>IF(Z408="","",IFERROR(LOOKUP(2,1/(#REF!=Z408),#REF!),""))</f>
        <v/>
      </c>
      <c r="AC408" t="e">
        <f>IF(Z408="","",COUNTIF(#REF!,Z408))</f>
        <v>#REF!</v>
      </c>
      <c r="AD408" t="e">
        <f>IF(A408="","",IF(AC408&gt;1,"REVISAR DUPLICADO",IF(AA408&lt;&gt;"","ACTUALIZADO POR EYR","SIN REPORTE EYR")))</f>
        <v>#REF!</v>
      </c>
    </row>
    <row r="409" spans="1:30" x14ac:dyDescent="0.3">
      <c r="A409" s="5" t="s">
        <v>4562</v>
      </c>
      <c r="B409" t="s">
        <v>4561</v>
      </c>
      <c r="C409" s="4" t="s">
        <v>4560</v>
      </c>
      <c r="D409" t="s">
        <v>600</v>
      </c>
      <c r="F409" t="s">
        <v>4559</v>
      </c>
      <c r="G409" s="3">
        <v>8493771937</v>
      </c>
      <c r="H409" s="2">
        <v>46121</v>
      </c>
      <c r="K409" s="1">
        <f ca="1">IF(A409="","",IF(OR(L409="ENTREGADA",L409="RETORNADA",L409="ENTREGA DIGITAL"),0,MAX(0,5-NETWORKDAYS(H409+1,TODAY()))))</f>
        <v>0</v>
      </c>
      <c r="L409" t="str">
        <f>IF(A409="","",IFERROR(LOOKUP(2,1/(#REF!=Z409),#REF!),Y409))</f>
        <v>RETORNADA</v>
      </c>
      <c r="Y409" t="s">
        <v>1857</v>
      </c>
      <c r="Z409" t="str">
        <f>IF(A409="","",TEXT(A409,"0")&amp;"|"&amp;TEXT(H409,"0"))</f>
        <v>4921017782977030|46121</v>
      </c>
      <c r="AA409" t="str">
        <f>IF(Z409="","",IFERROR(LOOKUP(2,1/(#REF!=Z409),#REF!),""))</f>
        <v/>
      </c>
      <c r="AB409" t="str">
        <f>IF(Z409="","",IFERROR(LOOKUP(2,1/(#REF!=Z409),#REF!),""))</f>
        <v/>
      </c>
      <c r="AC409" t="e">
        <f>IF(Z409="","",COUNTIF(#REF!,Z409))</f>
        <v>#REF!</v>
      </c>
      <c r="AD409" t="e">
        <f>IF(A409="","",IF(AC409&gt;1,"REVISAR DUPLICADO",IF(AA409&lt;&gt;"","ACTUALIZADO POR EYR","SIN REPORTE EYR")))</f>
        <v>#REF!</v>
      </c>
    </row>
    <row r="410" spans="1:30" x14ac:dyDescent="0.3">
      <c r="A410" s="5" t="s">
        <v>4558</v>
      </c>
      <c r="B410" t="s">
        <v>4557</v>
      </c>
      <c r="C410" s="4" t="s">
        <v>4556</v>
      </c>
      <c r="D410" t="s">
        <v>600</v>
      </c>
      <c r="F410" t="s">
        <v>4555</v>
      </c>
      <c r="G410" s="3">
        <v>8298717485</v>
      </c>
      <c r="H410" s="2">
        <v>46121</v>
      </c>
      <c r="K410" s="1">
        <f ca="1">IF(A410="","",IF(OR(L410="ENTREGADA",L410="RETORNADA",L410="ENTREGA DIGITAL"),0,MAX(0,5-NETWORKDAYS(H410+1,TODAY()))))</f>
        <v>0</v>
      </c>
      <c r="L410" t="str">
        <f>IF(A410="","",IFERROR(LOOKUP(2,1/(#REF!=Z410),#REF!),Y410))</f>
        <v>ENTREGADA</v>
      </c>
      <c r="Y410" t="s">
        <v>1956</v>
      </c>
      <c r="Z410" t="str">
        <f>IF(A410="","",TEXT(A410,"0")&amp;"|"&amp;TEXT(H410,"0"))</f>
        <v>5415017778758260|46121</v>
      </c>
      <c r="AA410" t="str">
        <f>IF(Z410="","",IFERROR(LOOKUP(2,1/(#REF!=Z410),#REF!),""))</f>
        <v/>
      </c>
      <c r="AB410" t="str">
        <f>IF(Z410="","",IFERROR(LOOKUP(2,1/(#REF!=Z410),#REF!),""))</f>
        <v/>
      </c>
      <c r="AC410" t="e">
        <f>IF(Z410="","",COUNTIF(#REF!,Z410))</f>
        <v>#REF!</v>
      </c>
      <c r="AD410" t="e">
        <f>IF(A410="","",IF(AC410&gt;1,"REVISAR DUPLICADO",IF(AA410&lt;&gt;"","ACTUALIZADO POR EYR","SIN REPORTE EYR")))</f>
        <v>#REF!</v>
      </c>
    </row>
    <row r="411" spans="1:30" x14ac:dyDescent="0.3">
      <c r="A411" s="5" t="s">
        <v>4554</v>
      </c>
      <c r="B411" t="s">
        <v>4553</v>
      </c>
      <c r="C411" s="4" t="s">
        <v>4552</v>
      </c>
      <c r="D411" t="s">
        <v>600</v>
      </c>
      <c r="F411" t="s">
        <v>517</v>
      </c>
      <c r="G411" s="3">
        <v>8098819964</v>
      </c>
      <c r="H411" s="2">
        <v>46121</v>
      </c>
      <c r="K411" s="1">
        <f ca="1">IF(A411="","",IF(OR(L411="ENTREGADA",L411="RETORNADA",L411="ENTREGA DIGITAL"),0,MAX(0,5-NETWORKDAYS(H411+1,TODAY()))))</f>
        <v>0</v>
      </c>
      <c r="L411" t="str">
        <f>IF(A411="","",IFERROR(LOOKUP(2,1/(#REF!=Z411),#REF!),Y411))</f>
        <v>ENTREGADA</v>
      </c>
      <c r="Y411" t="s">
        <v>1956</v>
      </c>
      <c r="Z411" t="str">
        <f>IF(A411="","",TEXT(A411,"0")&amp;"|"&amp;TEXT(H411,"0"))</f>
        <v>5188017778838560|46121</v>
      </c>
      <c r="AA411" t="str">
        <f>IF(Z411="","",IFERROR(LOOKUP(2,1/(#REF!=Z411),#REF!),""))</f>
        <v/>
      </c>
      <c r="AB411" t="str">
        <f>IF(Z411="","",IFERROR(LOOKUP(2,1/(#REF!=Z411),#REF!),""))</f>
        <v/>
      </c>
      <c r="AC411" t="e">
        <f>IF(Z411="","",COUNTIF(#REF!,Z411))</f>
        <v>#REF!</v>
      </c>
      <c r="AD411" t="e">
        <f>IF(A411="","",IF(AC411&gt;1,"REVISAR DUPLICADO",IF(AA411&lt;&gt;"","ACTUALIZADO POR EYR","SIN REPORTE EYR")))</f>
        <v>#REF!</v>
      </c>
    </row>
    <row r="412" spans="1:30" x14ac:dyDescent="0.3">
      <c r="A412" s="5" t="s">
        <v>4551</v>
      </c>
      <c r="B412" t="s">
        <v>4550</v>
      </c>
      <c r="C412" s="4" t="s">
        <v>4549</v>
      </c>
      <c r="D412" t="s">
        <v>600</v>
      </c>
      <c r="F412" t="s">
        <v>4437</v>
      </c>
      <c r="G412" s="3">
        <v>8292147033</v>
      </c>
      <c r="H412" s="2">
        <v>46121</v>
      </c>
      <c r="K412" s="1">
        <f ca="1">IF(A412="","",IF(OR(L412="ENTREGADA",L412="RETORNADA",L412="ENTREGA DIGITAL"),0,MAX(0,5-NETWORKDAYS(H412+1,TODAY()))))</f>
        <v>0</v>
      </c>
      <c r="L412" t="str">
        <f>IF(A412="","",IFERROR(LOOKUP(2,1/(#REF!=Z412),#REF!),Y412))</f>
        <v>ENTREGADA</v>
      </c>
      <c r="Y412" t="s">
        <v>1956</v>
      </c>
      <c r="Z412" t="str">
        <f>IF(A412="","",TEXT(A412,"0")&amp;"|"&amp;TEXT(H412,"0"))</f>
        <v>4921017782933100|46121</v>
      </c>
      <c r="AA412" t="str">
        <f>IF(Z412="","",IFERROR(LOOKUP(2,1/(#REF!=Z412),#REF!),""))</f>
        <v/>
      </c>
      <c r="AB412" t="str">
        <f>IF(Z412="","",IFERROR(LOOKUP(2,1/(#REF!=Z412),#REF!),""))</f>
        <v/>
      </c>
      <c r="AC412" t="e">
        <f>IF(Z412="","",COUNTIF(#REF!,Z412))</f>
        <v>#REF!</v>
      </c>
      <c r="AD412" t="e">
        <f>IF(A412="","",IF(AC412&gt;1,"REVISAR DUPLICADO",IF(AA412&lt;&gt;"","ACTUALIZADO POR EYR","SIN REPORTE EYR")))</f>
        <v>#REF!</v>
      </c>
    </row>
    <row r="413" spans="1:30" x14ac:dyDescent="0.3">
      <c r="A413" s="5" t="s">
        <v>4548</v>
      </c>
      <c r="B413" t="s">
        <v>1124</v>
      </c>
      <c r="C413" s="4" t="s">
        <v>4547</v>
      </c>
      <c r="D413" t="s">
        <v>600</v>
      </c>
      <c r="F413" t="s">
        <v>4546</v>
      </c>
      <c r="G413" s="3">
        <v>8297930183</v>
      </c>
      <c r="H413" s="2">
        <v>46121</v>
      </c>
      <c r="K413" s="1">
        <f ca="1">IF(A413="","",IF(OR(L413="ENTREGADA",L413="RETORNADA",L413="ENTREGA DIGITAL"),0,MAX(0,5-NETWORKDAYS(H413+1,TODAY()))))</f>
        <v>0</v>
      </c>
      <c r="L413" t="str">
        <f>IF(A413="","",IFERROR(LOOKUP(2,1/(#REF!=Z413),#REF!),Y413))</f>
        <v>RETORNADA</v>
      </c>
      <c r="Y413" t="s">
        <v>1857</v>
      </c>
      <c r="Z413" t="str">
        <f>IF(A413="","",TEXT(A413,"0")&amp;"|"&amp;TEXT(H413,"0"))</f>
        <v>4921017782626880|46121</v>
      </c>
      <c r="AA413" t="str">
        <f>IF(Z413="","",IFERROR(LOOKUP(2,1/(#REF!=Z413),#REF!),""))</f>
        <v/>
      </c>
      <c r="AB413" t="str">
        <f>IF(Z413="","",IFERROR(LOOKUP(2,1/(#REF!=Z413),#REF!),""))</f>
        <v/>
      </c>
      <c r="AC413" t="e">
        <f>IF(Z413="","",COUNTIF(#REF!,Z413))</f>
        <v>#REF!</v>
      </c>
      <c r="AD413" t="e">
        <f>IF(A413="","",IF(AC413&gt;1,"REVISAR DUPLICADO",IF(AA413&lt;&gt;"","ACTUALIZADO POR EYR","SIN REPORTE EYR")))</f>
        <v>#REF!</v>
      </c>
    </row>
    <row r="414" spans="1:30" x14ac:dyDescent="0.3">
      <c r="A414" s="5" t="s">
        <v>4545</v>
      </c>
      <c r="B414" t="s">
        <v>4544</v>
      </c>
      <c r="C414" s="4" t="s">
        <v>4543</v>
      </c>
      <c r="D414" t="s">
        <v>600</v>
      </c>
      <c r="F414" t="s">
        <v>4542</v>
      </c>
      <c r="G414" s="3">
        <v>8295096546</v>
      </c>
      <c r="H414" s="2">
        <v>46121</v>
      </c>
      <c r="J414" t="s">
        <v>1399</v>
      </c>
      <c r="K414" s="1">
        <f ca="1">IF(A414="","",IF(OR(L414="ENTREGADA",L414="RETORNADA",L414="ENTREGA DIGITAL"),0,MAX(0,5-NETWORKDAYS(H414+1,TODAY()))))</f>
        <v>0</v>
      </c>
      <c r="L414" t="str">
        <f>IF(A414="","",IFERROR(LOOKUP(2,1/(#REF!=Z414),#REF!),Y414))</f>
        <v>ENTREGADA</v>
      </c>
      <c r="Y414" t="s">
        <v>1956</v>
      </c>
      <c r="Z414" t="str">
        <f>IF(A414="","",TEXT(A414,"0")&amp;"|"&amp;TEXT(H414,"0"))</f>
        <v>4921017782164560|46121</v>
      </c>
      <c r="AA414" t="str">
        <f>IF(Z414="","",IFERROR(LOOKUP(2,1/(#REF!=Z414),#REF!),""))</f>
        <v/>
      </c>
      <c r="AB414" t="str">
        <f>IF(Z414="","",IFERROR(LOOKUP(2,1/(#REF!=Z414),#REF!),""))</f>
        <v/>
      </c>
      <c r="AC414" t="e">
        <f>IF(Z414="","",COUNTIF(#REF!,Z414))</f>
        <v>#REF!</v>
      </c>
      <c r="AD414" t="e">
        <f>IF(A414="","",IF(AC414&gt;1,"REVISAR DUPLICADO",IF(AA414&lt;&gt;"","ACTUALIZADO POR EYR","SIN REPORTE EYR")))</f>
        <v>#REF!</v>
      </c>
    </row>
    <row r="415" spans="1:30" x14ac:dyDescent="0.3">
      <c r="A415" s="5" t="s">
        <v>4541</v>
      </c>
      <c r="B415" t="s">
        <v>4540</v>
      </c>
      <c r="C415" s="4" t="s">
        <v>4539</v>
      </c>
      <c r="D415" t="s">
        <v>600</v>
      </c>
      <c r="F415" t="s">
        <v>4538</v>
      </c>
      <c r="G415" s="3">
        <v>8095647098</v>
      </c>
      <c r="H415" s="2">
        <v>46121</v>
      </c>
      <c r="K415" s="1">
        <f ca="1">IF(A415="","",IF(OR(L415="ENTREGADA",L415="RETORNADA",L415="ENTREGA DIGITAL"),0,MAX(0,5-NETWORKDAYS(H415+1,TODAY()))))</f>
        <v>0</v>
      </c>
      <c r="L415" t="str">
        <f>IF(A415="","",IFERROR(LOOKUP(2,1/(#REF!=Z415),#REF!),Y415))</f>
        <v>ENTREGADA</v>
      </c>
      <c r="Y415" t="s">
        <v>1956</v>
      </c>
      <c r="Z415" t="str">
        <f>IF(A415="","",TEXT(A415,"0")&amp;"|"&amp;TEXT(H415,"0"))</f>
        <v>4921017782702000|46121</v>
      </c>
      <c r="AA415" t="str">
        <f>IF(Z415="","",IFERROR(LOOKUP(2,1/(#REF!=Z415),#REF!),""))</f>
        <v/>
      </c>
      <c r="AB415" t="str">
        <f>IF(Z415="","",IFERROR(LOOKUP(2,1/(#REF!=Z415),#REF!),""))</f>
        <v/>
      </c>
      <c r="AC415" t="e">
        <f>IF(Z415="","",COUNTIF(#REF!,Z415))</f>
        <v>#REF!</v>
      </c>
      <c r="AD415" t="e">
        <f>IF(A415="","",IF(AC415&gt;1,"REVISAR DUPLICADO",IF(AA415&lt;&gt;"","ACTUALIZADO POR EYR","SIN REPORTE EYR")))</f>
        <v>#REF!</v>
      </c>
    </row>
    <row r="416" spans="1:30" x14ac:dyDescent="0.3">
      <c r="A416" s="5" t="s">
        <v>4537</v>
      </c>
      <c r="B416" t="s">
        <v>4536</v>
      </c>
      <c r="C416" s="4" t="s">
        <v>4535</v>
      </c>
      <c r="D416" t="s">
        <v>600</v>
      </c>
      <c r="F416" t="s">
        <v>4534</v>
      </c>
      <c r="G416" s="3">
        <v>8493548857</v>
      </c>
      <c r="H416" s="2">
        <v>46121</v>
      </c>
      <c r="K416" s="1">
        <f ca="1">IF(A416="","",IF(OR(L416="ENTREGADA",L416="RETORNADA",L416="ENTREGA DIGITAL"),0,MAX(0,5-NETWORKDAYS(H416+1,TODAY()))))</f>
        <v>0</v>
      </c>
      <c r="L416" t="str">
        <f>IF(A416="","",IFERROR(LOOKUP(2,1/(#REF!=Z416),#REF!),Y416))</f>
        <v>ENTREGADA</v>
      </c>
      <c r="Y416" t="s">
        <v>1956</v>
      </c>
      <c r="Z416" t="str">
        <f>IF(A416="","",TEXT(A416,"0")&amp;"|"&amp;TEXT(H416,"0"))</f>
        <v>5188017778818430|46121</v>
      </c>
      <c r="AA416" t="str">
        <f>IF(Z416="","",IFERROR(LOOKUP(2,1/(#REF!=Z416),#REF!),""))</f>
        <v/>
      </c>
      <c r="AB416" t="str">
        <f>IF(Z416="","",IFERROR(LOOKUP(2,1/(#REF!=Z416),#REF!),""))</f>
        <v/>
      </c>
      <c r="AC416" t="e">
        <f>IF(Z416="","",COUNTIF(#REF!,Z416))</f>
        <v>#REF!</v>
      </c>
      <c r="AD416" t="e">
        <f>IF(A416="","",IF(AC416&gt;1,"REVISAR DUPLICADO",IF(AA416&lt;&gt;"","ACTUALIZADO POR EYR","SIN REPORTE EYR")))</f>
        <v>#REF!</v>
      </c>
    </row>
    <row r="417" spans="1:30" x14ac:dyDescent="0.3">
      <c r="A417" s="5" t="s">
        <v>4533</v>
      </c>
      <c r="B417" t="s">
        <v>4532</v>
      </c>
      <c r="C417" s="4" t="s">
        <v>4531</v>
      </c>
      <c r="D417" t="s">
        <v>600</v>
      </c>
      <c r="F417" t="s">
        <v>4530</v>
      </c>
      <c r="G417" s="3">
        <v>8298648702</v>
      </c>
      <c r="H417" s="2">
        <v>46121</v>
      </c>
      <c r="K417" s="1">
        <f ca="1">IF(A417="","",IF(OR(L417="ENTREGADA",L417="RETORNADA",L417="ENTREGA DIGITAL"),0,MAX(0,5-NETWORKDAYS(H417+1,TODAY()))))</f>
        <v>0</v>
      </c>
      <c r="L417" t="str">
        <f>IF(A417="","",IFERROR(LOOKUP(2,1/(#REF!=Z417),#REF!),Y417))</f>
        <v>ENTREGADA</v>
      </c>
      <c r="Y417" t="s">
        <v>1956</v>
      </c>
      <c r="Z417" t="str">
        <f>IF(A417="","",TEXT(A417,"0")&amp;"|"&amp;TEXT(H417,"0"))</f>
        <v>4921017782556250|46121</v>
      </c>
      <c r="AA417" t="str">
        <f>IF(Z417="","",IFERROR(LOOKUP(2,1/(#REF!=Z417),#REF!),""))</f>
        <v/>
      </c>
      <c r="AB417" t="str">
        <f>IF(Z417="","",IFERROR(LOOKUP(2,1/(#REF!=Z417),#REF!),""))</f>
        <v/>
      </c>
      <c r="AC417" t="e">
        <f>IF(Z417="","",COUNTIF(#REF!,Z417))</f>
        <v>#REF!</v>
      </c>
      <c r="AD417" t="e">
        <f>IF(A417="","",IF(AC417&gt;1,"REVISAR DUPLICADO",IF(AA417&lt;&gt;"","ACTUALIZADO POR EYR","SIN REPORTE EYR")))</f>
        <v>#REF!</v>
      </c>
    </row>
    <row r="418" spans="1:30" x14ac:dyDescent="0.3">
      <c r="A418" s="5" t="s">
        <v>4529</v>
      </c>
      <c r="B418" t="s">
        <v>4528</v>
      </c>
      <c r="C418" s="4" t="s">
        <v>4527</v>
      </c>
      <c r="D418" t="s">
        <v>600</v>
      </c>
      <c r="F418" t="s">
        <v>13</v>
      </c>
      <c r="G418" s="3">
        <v>8095590178</v>
      </c>
      <c r="H418" s="2">
        <v>46121</v>
      </c>
      <c r="K418" s="1">
        <f ca="1">IF(A418="","",IF(OR(L418="ENTREGADA",L418="RETORNADA",L418="ENTREGA DIGITAL"),0,MAX(0,5-NETWORKDAYS(H418+1,TODAY()))))</f>
        <v>0</v>
      </c>
      <c r="L418" t="str">
        <f>IF(A418="","",IFERROR(LOOKUP(2,1/(#REF!=Z418),#REF!),Y418))</f>
        <v>RETORNADA</v>
      </c>
      <c r="Y418" t="s">
        <v>1857</v>
      </c>
      <c r="Z418" t="str">
        <f>IF(A418="","",TEXT(A418,"0")&amp;"|"&amp;TEXT(H418,"0"))</f>
        <v>4921017781735270|46121</v>
      </c>
      <c r="AA418" t="str">
        <f>IF(Z418="","",IFERROR(LOOKUP(2,1/(#REF!=Z418),#REF!),""))</f>
        <v/>
      </c>
      <c r="AB418" t="str">
        <f>IF(Z418="","",IFERROR(LOOKUP(2,1/(#REF!=Z418),#REF!),""))</f>
        <v/>
      </c>
      <c r="AC418" t="e">
        <f>IF(Z418="","",COUNTIF(#REF!,Z418))</f>
        <v>#REF!</v>
      </c>
      <c r="AD418" t="e">
        <f>IF(A418="","",IF(AC418&gt;1,"REVISAR DUPLICADO",IF(AA418&lt;&gt;"","ACTUALIZADO POR EYR","SIN REPORTE EYR")))</f>
        <v>#REF!</v>
      </c>
    </row>
    <row r="419" spans="1:30" x14ac:dyDescent="0.3">
      <c r="A419" s="5" t="s">
        <v>4526</v>
      </c>
      <c r="B419" t="s">
        <v>4525</v>
      </c>
      <c r="C419" s="4" t="s">
        <v>4524</v>
      </c>
      <c r="D419" t="s">
        <v>600</v>
      </c>
      <c r="F419" t="s">
        <v>4523</v>
      </c>
      <c r="G419" s="3">
        <v>8299160879</v>
      </c>
      <c r="H419" s="2">
        <v>46121</v>
      </c>
      <c r="K419" s="1">
        <f ca="1">IF(A419="","",IF(OR(L419="ENTREGADA",L419="RETORNADA",L419="ENTREGA DIGITAL"),0,MAX(0,5-NETWORKDAYS(H419+1,TODAY()))))</f>
        <v>0</v>
      </c>
      <c r="L419" t="str">
        <f>IF(A419="","",IFERROR(LOOKUP(2,1/(#REF!=Z419),#REF!),Y419))</f>
        <v>ENTREGADA</v>
      </c>
      <c r="Y419" t="s">
        <v>1956</v>
      </c>
      <c r="Z419" t="str">
        <f>IF(A419="","",TEXT(A419,"0")&amp;"|"&amp;TEXT(H419,"0"))</f>
        <v>4921017781975850|46121</v>
      </c>
      <c r="AA419" t="str">
        <f>IF(Z419="","",IFERROR(LOOKUP(2,1/(#REF!=Z419),#REF!),""))</f>
        <v/>
      </c>
      <c r="AB419" t="str">
        <f>IF(Z419="","",IFERROR(LOOKUP(2,1/(#REF!=Z419),#REF!),""))</f>
        <v/>
      </c>
      <c r="AC419" t="e">
        <f>IF(Z419="","",COUNTIF(#REF!,Z419))</f>
        <v>#REF!</v>
      </c>
      <c r="AD419" t="e">
        <f>IF(A419="","",IF(AC419&gt;1,"REVISAR DUPLICADO",IF(AA419&lt;&gt;"","ACTUALIZADO POR EYR","SIN REPORTE EYR")))</f>
        <v>#REF!</v>
      </c>
    </row>
    <row r="420" spans="1:30" x14ac:dyDescent="0.3">
      <c r="A420" s="5" t="s">
        <v>4522</v>
      </c>
      <c r="B420" t="s">
        <v>4521</v>
      </c>
      <c r="C420" s="4" t="s">
        <v>4520</v>
      </c>
      <c r="D420" t="s">
        <v>600</v>
      </c>
      <c r="F420" t="s">
        <v>4519</v>
      </c>
      <c r="G420" s="3">
        <v>8094162177</v>
      </c>
      <c r="H420" s="2">
        <v>46121</v>
      </c>
      <c r="K420" s="1">
        <f ca="1">IF(A420="","",IF(OR(L420="ENTREGADA",L420="RETORNADA",L420="ENTREGA DIGITAL"),0,MAX(0,5-NETWORKDAYS(H420+1,TODAY()))))</f>
        <v>0</v>
      </c>
      <c r="L420" t="str">
        <f>IF(A420="","",IFERROR(LOOKUP(2,1/(#REF!=Z420),#REF!),Y420))</f>
        <v>ENTREGADA</v>
      </c>
      <c r="Y420" t="s">
        <v>1956</v>
      </c>
      <c r="Z420" t="str">
        <f>IF(A420="","",TEXT(A420,"0")&amp;"|"&amp;TEXT(H420,"0"))</f>
        <v>5415017778347610|46121</v>
      </c>
      <c r="AA420" t="str">
        <f>IF(Z420="","",IFERROR(LOOKUP(2,1/(#REF!=Z420),#REF!),""))</f>
        <v/>
      </c>
      <c r="AB420" t="str">
        <f>IF(Z420="","",IFERROR(LOOKUP(2,1/(#REF!=Z420),#REF!),""))</f>
        <v/>
      </c>
      <c r="AC420" t="e">
        <f>IF(Z420="","",COUNTIF(#REF!,Z420))</f>
        <v>#REF!</v>
      </c>
      <c r="AD420" t="e">
        <f>IF(A420="","",IF(AC420&gt;1,"REVISAR DUPLICADO",IF(AA420&lt;&gt;"","ACTUALIZADO POR EYR","SIN REPORTE EYR")))</f>
        <v>#REF!</v>
      </c>
    </row>
    <row r="421" spans="1:30" x14ac:dyDescent="0.3">
      <c r="A421" s="5" t="s">
        <v>4518</v>
      </c>
      <c r="B421" t="s">
        <v>4517</v>
      </c>
      <c r="C421" s="4" t="s">
        <v>4516</v>
      </c>
      <c r="D421" t="s">
        <v>600</v>
      </c>
      <c r="F421" t="s">
        <v>917</v>
      </c>
      <c r="G421" s="3">
        <v>8093979152</v>
      </c>
      <c r="H421" s="2">
        <v>46121</v>
      </c>
      <c r="K421" s="1">
        <f ca="1">IF(A421="","",IF(OR(L421="ENTREGADA",L421="RETORNADA",L421="ENTREGA DIGITAL"),0,MAX(0,5-NETWORKDAYS(H421+1,TODAY()))))</f>
        <v>0</v>
      </c>
      <c r="L421" t="str">
        <f>IF(A421="","",IFERROR(LOOKUP(2,1/(#REF!=Z421),#REF!),Y421))</f>
        <v>ENTREGADA</v>
      </c>
      <c r="Y421" t="s">
        <v>1956</v>
      </c>
      <c r="Z421" t="str">
        <f>IF(A421="","",TEXT(A421,"0")&amp;"|"&amp;TEXT(H421,"0"))</f>
        <v>4025017786428750|46121</v>
      </c>
      <c r="AA421" t="str">
        <f>IF(Z421="","",IFERROR(LOOKUP(2,1/(#REF!=Z421),#REF!),""))</f>
        <v/>
      </c>
      <c r="AB421" t="str">
        <f>IF(Z421="","",IFERROR(LOOKUP(2,1/(#REF!=Z421),#REF!),""))</f>
        <v/>
      </c>
      <c r="AC421" t="e">
        <f>IF(Z421="","",COUNTIF(#REF!,Z421))</f>
        <v>#REF!</v>
      </c>
      <c r="AD421" t="e">
        <f>IF(A421="","",IF(AC421&gt;1,"REVISAR DUPLICADO",IF(AA421&lt;&gt;"","ACTUALIZADO POR EYR","SIN REPORTE EYR")))</f>
        <v>#REF!</v>
      </c>
    </row>
    <row r="422" spans="1:30" x14ac:dyDescent="0.3">
      <c r="A422" s="5" t="s">
        <v>4515</v>
      </c>
      <c r="B422" t="s">
        <v>4514</v>
      </c>
      <c r="C422" s="4" t="s">
        <v>4513</v>
      </c>
      <c r="D422" t="s">
        <v>600</v>
      </c>
      <c r="F422" t="s">
        <v>13</v>
      </c>
      <c r="G422" s="3">
        <v>8494575759</v>
      </c>
      <c r="H422" s="2">
        <v>46121</v>
      </c>
      <c r="K422" s="1">
        <f ca="1">IF(A422="","",IF(OR(L422="ENTREGADA",L422="RETORNADA",L422="ENTREGA DIGITAL"),0,MAX(0,5-NETWORKDAYS(H422+1,TODAY()))))</f>
        <v>0</v>
      </c>
      <c r="L422" t="str">
        <f>IF(A422="","",IFERROR(LOOKUP(2,1/(#REF!=Z422),#REF!),Y422))</f>
        <v>RETORNADA</v>
      </c>
      <c r="Y422" t="s">
        <v>1857</v>
      </c>
      <c r="Z422" t="str">
        <f>IF(A422="","",TEXT(A422,"0")&amp;"|"&amp;TEXT(H422,"0"))</f>
        <v>4921017782901260|46121</v>
      </c>
      <c r="AA422" t="str">
        <f>IF(Z422="","",IFERROR(LOOKUP(2,1/(#REF!=Z422),#REF!),""))</f>
        <v/>
      </c>
      <c r="AB422" t="str">
        <f>IF(Z422="","",IFERROR(LOOKUP(2,1/(#REF!=Z422),#REF!),""))</f>
        <v/>
      </c>
      <c r="AC422" t="e">
        <f>IF(Z422="","",COUNTIF(#REF!,Z422))</f>
        <v>#REF!</v>
      </c>
      <c r="AD422" t="e">
        <f>IF(A422="","",IF(AC422&gt;1,"REVISAR DUPLICADO",IF(AA422&lt;&gt;"","ACTUALIZADO POR EYR","SIN REPORTE EYR")))</f>
        <v>#REF!</v>
      </c>
    </row>
    <row r="423" spans="1:30" x14ac:dyDescent="0.3">
      <c r="A423" s="5" t="s">
        <v>4512</v>
      </c>
      <c r="B423" t="s">
        <v>4511</v>
      </c>
      <c r="C423" s="4" t="s">
        <v>4510</v>
      </c>
      <c r="D423" t="s">
        <v>600</v>
      </c>
      <c r="F423" t="s">
        <v>4509</v>
      </c>
      <c r="G423" s="3">
        <v>8495311596</v>
      </c>
      <c r="H423" s="2">
        <v>46121</v>
      </c>
      <c r="K423" s="1">
        <f ca="1">IF(A423="","",IF(OR(L423="ENTREGADA",L423="RETORNADA",L423="ENTREGA DIGITAL"),0,MAX(0,5-NETWORKDAYS(H423+1,TODAY()))))</f>
        <v>0</v>
      </c>
      <c r="L423" t="str">
        <f>IF(A423="","",IFERROR(LOOKUP(2,1/(#REF!=Z423),#REF!),Y423))</f>
        <v>ENTREGADA</v>
      </c>
      <c r="Y423" t="s">
        <v>1956</v>
      </c>
      <c r="Z423" t="str">
        <f>IF(A423="","",TEXT(A423,"0")&amp;"|"&amp;TEXT(H423,"0"))</f>
        <v>4921017777290060|46121</v>
      </c>
      <c r="AA423" t="str">
        <f>IF(Z423="","",IFERROR(LOOKUP(2,1/(#REF!=Z423),#REF!),""))</f>
        <v/>
      </c>
      <c r="AB423" t="str">
        <f>IF(Z423="","",IFERROR(LOOKUP(2,1/(#REF!=Z423),#REF!),""))</f>
        <v/>
      </c>
      <c r="AC423" t="e">
        <f>IF(Z423="","",COUNTIF(#REF!,Z423))</f>
        <v>#REF!</v>
      </c>
      <c r="AD423" t="e">
        <f>IF(A423="","",IF(AC423&gt;1,"REVISAR DUPLICADO",IF(AA423&lt;&gt;"","ACTUALIZADO POR EYR","SIN REPORTE EYR")))</f>
        <v>#REF!</v>
      </c>
    </row>
    <row r="424" spans="1:30" x14ac:dyDescent="0.3">
      <c r="A424" s="5" t="s">
        <v>4508</v>
      </c>
      <c r="B424" t="s">
        <v>4507</v>
      </c>
      <c r="C424" s="4" t="s">
        <v>4506</v>
      </c>
      <c r="D424" t="s">
        <v>600</v>
      </c>
      <c r="F424" t="s">
        <v>979</v>
      </c>
      <c r="G424" s="3">
        <v>8295868360</v>
      </c>
      <c r="H424" s="2">
        <v>46121</v>
      </c>
      <c r="K424" s="1">
        <f ca="1">IF(A424="","",IF(OR(L424="ENTREGADA",L424="RETORNADA",L424="ENTREGA DIGITAL"),0,MAX(0,5-NETWORKDAYS(H424+1,TODAY()))))</f>
        <v>0</v>
      </c>
      <c r="L424" t="str">
        <f>IF(A424="","",IFERROR(LOOKUP(2,1/(#REF!=Z424),#REF!),Y424))</f>
        <v>RETORNADA</v>
      </c>
      <c r="Y424" t="s">
        <v>1857</v>
      </c>
      <c r="Z424" t="str">
        <f>IF(A424="","",TEXT(A424,"0")&amp;"|"&amp;TEXT(H424,"0"))</f>
        <v>4921017770677590|46121</v>
      </c>
      <c r="AA424" t="str">
        <f>IF(Z424="","",IFERROR(LOOKUP(2,1/(#REF!=Z424),#REF!),""))</f>
        <v/>
      </c>
      <c r="AB424" t="str">
        <f>IF(Z424="","",IFERROR(LOOKUP(2,1/(#REF!=Z424),#REF!),""))</f>
        <v/>
      </c>
      <c r="AC424" t="e">
        <f>IF(Z424="","",COUNTIF(#REF!,Z424))</f>
        <v>#REF!</v>
      </c>
      <c r="AD424" t="e">
        <f>IF(A424="","",IF(AC424&gt;1,"REVISAR DUPLICADO",IF(AA424&lt;&gt;"","ACTUALIZADO POR EYR","SIN REPORTE EYR")))</f>
        <v>#REF!</v>
      </c>
    </row>
    <row r="425" spans="1:30" x14ac:dyDescent="0.3">
      <c r="A425" s="5" t="s">
        <v>4505</v>
      </c>
      <c r="B425" t="s">
        <v>4504</v>
      </c>
      <c r="C425" s="4" t="s">
        <v>4503</v>
      </c>
      <c r="D425" t="s">
        <v>600</v>
      </c>
      <c r="F425" t="s">
        <v>4502</v>
      </c>
      <c r="G425" s="3">
        <v>8299456174</v>
      </c>
      <c r="H425" s="2">
        <v>46121</v>
      </c>
      <c r="K425" s="1">
        <f ca="1">IF(A425="","",IF(OR(L425="ENTREGADA",L425="RETORNADA",L425="ENTREGA DIGITAL"),0,MAX(0,5-NETWORKDAYS(H425+1,TODAY()))))</f>
        <v>0</v>
      </c>
      <c r="L425" t="str">
        <f>IF(A425="","",IFERROR(LOOKUP(2,1/(#REF!=Z425),#REF!),Y425))</f>
        <v>ENTREGADA</v>
      </c>
      <c r="Y425" t="s">
        <v>1956</v>
      </c>
      <c r="Z425" t="str">
        <f>IF(A425="","",TEXT(A425,"0")&amp;"|"&amp;TEXT(H425,"0"))</f>
        <v>4921017777039000|46121</v>
      </c>
      <c r="AA425" t="str">
        <f>IF(Z425="","",IFERROR(LOOKUP(2,1/(#REF!=Z425),#REF!),""))</f>
        <v/>
      </c>
      <c r="AB425" t="str">
        <f>IF(Z425="","",IFERROR(LOOKUP(2,1/(#REF!=Z425),#REF!),""))</f>
        <v/>
      </c>
      <c r="AC425" t="e">
        <f>IF(Z425="","",COUNTIF(#REF!,Z425))</f>
        <v>#REF!</v>
      </c>
      <c r="AD425" t="e">
        <f>IF(A425="","",IF(AC425&gt;1,"REVISAR DUPLICADO",IF(AA425&lt;&gt;"","ACTUALIZADO POR EYR","SIN REPORTE EYR")))</f>
        <v>#REF!</v>
      </c>
    </row>
    <row r="426" spans="1:30" x14ac:dyDescent="0.3">
      <c r="A426" s="5" t="s">
        <v>4501</v>
      </c>
      <c r="B426" t="s">
        <v>4500</v>
      </c>
      <c r="C426" s="4" t="s">
        <v>4499</v>
      </c>
      <c r="D426" t="s">
        <v>600</v>
      </c>
      <c r="F426" t="s">
        <v>4498</v>
      </c>
      <c r="G426" s="3">
        <v>8094120179</v>
      </c>
      <c r="H426" s="2">
        <v>46121</v>
      </c>
      <c r="K426" s="1">
        <f ca="1">IF(A426="","",IF(OR(L426="ENTREGADA",L426="RETORNADA",L426="ENTREGA DIGITAL"),0,MAX(0,5-NETWORKDAYS(H426+1,TODAY()))))</f>
        <v>0</v>
      </c>
      <c r="L426" t="str">
        <f>IF(A426="","",IFERROR(LOOKUP(2,1/(#REF!=Z426),#REF!),Y426))</f>
        <v>ENTREGADA</v>
      </c>
      <c r="Y426" t="s">
        <v>1956</v>
      </c>
      <c r="Z426" t="str">
        <f>IF(A426="","",TEXT(A426,"0")&amp;"|"&amp;TEXT(H426,"0"))</f>
        <v>5415017779015540|46121</v>
      </c>
      <c r="AA426" t="str">
        <f>IF(Z426="","",IFERROR(LOOKUP(2,1/(#REF!=Z426),#REF!),""))</f>
        <v/>
      </c>
      <c r="AB426" t="str">
        <f>IF(Z426="","",IFERROR(LOOKUP(2,1/(#REF!=Z426),#REF!),""))</f>
        <v/>
      </c>
      <c r="AC426" t="e">
        <f>IF(Z426="","",COUNTIF(#REF!,Z426))</f>
        <v>#REF!</v>
      </c>
      <c r="AD426" t="e">
        <f>IF(A426="","",IF(AC426&gt;1,"REVISAR DUPLICADO",IF(AA426&lt;&gt;"","ACTUALIZADO POR EYR","SIN REPORTE EYR")))</f>
        <v>#REF!</v>
      </c>
    </row>
    <row r="427" spans="1:30" x14ac:dyDescent="0.3">
      <c r="A427" s="5" t="s">
        <v>4497</v>
      </c>
      <c r="B427" t="s">
        <v>4496</v>
      </c>
      <c r="C427" s="4" t="s">
        <v>4495</v>
      </c>
      <c r="D427" t="s">
        <v>600</v>
      </c>
      <c r="F427" t="s">
        <v>4494</v>
      </c>
      <c r="G427" s="3">
        <v>8096130973</v>
      </c>
      <c r="H427" s="2">
        <v>46121</v>
      </c>
      <c r="K427" s="1">
        <f ca="1">IF(A427="","",IF(OR(L427="ENTREGADA",L427="RETORNADA",L427="ENTREGA DIGITAL"),0,MAX(0,5-NETWORKDAYS(H427+1,TODAY()))))</f>
        <v>0</v>
      </c>
      <c r="L427" t="str">
        <f>IF(A427="","",IFERROR(LOOKUP(2,1/(#REF!=Z427),#REF!),Y427))</f>
        <v>ENTREGADA</v>
      </c>
      <c r="Y427" t="s">
        <v>1956</v>
      </c>
      <c r="Z427" t="str">
        <f>IF(A427="","",TEXT(A427,"0")&amp;"|"&amp;TEXT(H427,"0"))</f>
        <v>4921017782204480|46121</v>
      </c>
      <c r="AA427" t="str">
        <f>IF(Z427="","",IFERROR(LOOKUP(2,1/(#REF!=Z427),#REF!),""))</f>
        <v/>
      </c>
      <c r="AB427" t="str">
        <f>IF(Z427="","",IFERROR(LOOKUP(2,1/(#REF!=Z427),#REF!),""))</f>
        <v/>
      </c>
      <c r="AC427" t="e">
        <f>IF(Z427="","",COUNTIF(#REF!,Z427))</f>
        <v>#REF!</v>
      </c>
      <c r="AD427" t="e">
        <f>IF(A427="","",IF(AC427&gt;1,"REVISAR DUPLICADO",IF(AA427&lt;&gt;"","ACTUALIZADO POR EYR","SIN REPORTE EYR")))</f>
        <v>#REF!</v>
      </c>
    </row>
    <row r="428" spans="1:30" x14ac:dyDescent="0.3">
      <c r="A428" s="5" t="s">
        <v>4493</v>
      </c>
      <c r="B428" t="s">
        <v>4492</v>
      </c>
      <c r="C428" s="4" t="s">
        <v>4491</v>
      </c>
      <c r="D428" t="s">
        <v>600</v>
      </c>
      <c r="F428" t="s">
        <v>4490</v>
      </c>
      <c r="G428" s="3">
        <v>8296509980</v>
      </c>
      <c r="H428" s="2">
        <v>46121</v>
      </c>
      <c r="K428" s="1">
        <f ca="1">IF(A428="","",IF(OR(L428="ENTREGADA",L428="RETORNADA",L428="ENTREGA DIGITAL"),0,MAX(0,5-NETWORKDAYS(H428+1,TODAY()))))</f>
        <v>0</v>
      </c>
      <c r="L428" t="str">
        <f>IF(A428="","",IFERROR(LOOKUP(2,1/(#REF!=Z428),#REF!),Y428))</f>
        <v>ENTREGADA</v>
      </c>
      <c r="Y428" t="s">
        <v>1956</v>
      </c>
      <c r="Z428" t="str">
        <f>IF(A428="","",TEXT(A428,"0")&amp;"|"&amp;TEXT(H428,"0"))</f>
        <v>4921017786043220|46121</v>
      </c>
      <c r="AA428" t="str">
        <f>IF(Z428="","",IFERROR(LOOKUP(2,1/(#REF!=Z428),#REF!),""))</f>
        <v/>
      </c>
      <c r="AB428" t="str">
        <f>IF(Z428="","",IFERROR(LOOKUP(2,1/(#REF!=Z428),#REF!),""))</f>
        <v/>
      </c>
      <c r="AC428" t="e">
        <f>IF(Z428="","",COUNTIF(#REF!,Z428))</f>
        <v>#REF!</v>
      </c>
      <c r="AD428" t="e">
        <f>IF(A428="","",IF(AC428&gt;1,"REVISAR DUPLICADO",IF(AA428&lt;&gt;"","ACTUALIZADO POR EYR","SIN REPORTE EYR")))</f>
        <v>#REF!</v>
      </c>
    </row>
    <row r="429" spans="1:30" x14ac:dyDescent="0.3">
      <c r="A429" s="5" t="s">
        <v>4489</v>
      </c>
      <c r="B429" t="s">
        <v>4488</v>
      </c>
      <c r="C429" s="4" t="s">
        <v>4487</v>
      </c>
      <c r="D429" t="s">
        <v>600</v>
      </c>
      <c r="F429" t="s">
        <v>4486</v>
      </c>
      <c r="G429" s="3">
        <v>8092278531</v>
      </c>
      <c r="H429" s="2">
        <v>46121</v>
      </c>
      <c r="K429" s="1">
        <f ca="1">IF(A429="","",IF(OR(L429="ENTREGADA",L429="RETORNADA",L429="ENTREGA DIGITAL"),0,MAX(0,5-NETWORKDAYS(H429+1,TODAY()))))</f>
        <v>0</v>
      </c>
      <c r="L429" t="str">
        <f>IF(A429="","",IFERROR(LOOKUP(2,1/(#REF!=Z429),#REF!),Y429))</f>
        <v>RETORNADA</v>
      </c>
      <c r="Y429" t="s">
        <v>1857</v>
      </c>
      <c r="Z429" t="str">
        <f>IF(A429="","",TEXT(A429,"0")&amp;"|"&amp;TEXT(H429,"0"))</f>
        <v>5415017775423130|46121</v>
      </c>
      <c r="AA429" t="str">
        <f>IF(Z429="","",IFERROR(LOOKUP(2,1/(#REF!=Z429),#REF!),""))</f>
        <v/>
      </c>
      <c r="AB429" t="str">
        <f>IF(Z429="","",IFERROR(LOOKUP(2,1/(#REF!=Z429),#REF!),""))</f>
        <v/>
      </c>
      <c r="AC429" t="e">
        <f>IF(Z429="","",COUNTIF(#REF!,Z429))</f>
        <v>#REF!</v>
      </c>
      <c r="AD429" t="e">
        <f>IF(A429="","",IF(AC429&gt;1,"REVISAR DUPLICADO",IF(AA429&lt;&gt;"","ACTUALIZADO POR EYR","SIN REPORTE EYR")))</f>
        <v>#REF!</v>
      </c>
    </row>
    <row r="430" spans="1:30" x14ac:dyDescent="0.3">
      <c r="A430" s="5" t="s">
        <v>4485</v>
      </c>
      <c r="B430" t="s">
        <v>4484</v>
      </c>
      <c r="C430" s="4" t="s">
        <v>4483</v>
      </c>
      <c r="D430" t="s">
        <v>600</v>
      </c>
      <c r="F430" t="s">
        <v>13</v>
      </c>
      <c r="G430" s="3">
        <v>8293086221</v>
      </c>
      <c r="H430" s="2">
        <v>46121</v>
      </c>
      <c r="K430" s="1">
        <f ca="1">IF(A430="","",IF(OR(L430="ENTREGADA",L430="RETORNADA",L430="ENTREGA DIGITAL"),0,MAX(0,5-NETWORKDAYS(H430+1,TODAY()))))</f>
        <v>0</v>
      </c>
      <c r="L430" t="str">
        <f>IF(A430="","",IFERROR(LOOKUP(2,1/(#REF!=Z430),#REF!),Y430))</f>
        <v>RETORNADA</v>
      </c>
      <c r="Y430" t="s">
        <v>1857</v>
      </c>
      <c r="Z430" t="str">
        <f>IF(A430="","",TEXT(A430,"0")&amp;"|"&amp;TEXT(H430,"0"))</f>
        <v>4025017774488840|46121</v>
      </c>
      <c r="AA430" t="str">
        <f>IF(Z430="","",IFERROR(LOOKUP(2,1/(#REF!=Z430),#REF!),""))</f>
        <v/>
      </c>
      <c r="AB430" t="str">
        <f>IF(Z430="","",IFERROR(LOOKUP(2,1/(#REF!=Z430),#REF!),""))</f>
        <v/>
      </c>
      <c r="AC430" t="e">
        <f>IF(Z430="","",COUNTIF(#REF!,Z430))</f>
        <v>#REF!</v>
      </c>
      <c r="AD430" t="e">
        <f>IF(A430="","",IF(AC430&gt;1,"REVISAR DUPLICADO",IF(AA430&lt;&gt;"","ACTUALIZADO POR EYR","SIN REPORTE EYR")))</f>
        <v>#REF!</v>
      </c>
    </row>
    <row r="431" spans="1:30" x14ac:dyDescent="0.3">
      <c r="A431" s="5" t="s">
        <v>4482</v>
      </c>
      <c r="B431" t="s">
        <v>4481</v>
      </c>
      <c r="C431" s="4" t="s">
        <v>4480</v>
      </c>
      <c r="D431" t="s">
        <v>600</v>
      </c>
      <c r="F431" t="s">
        <v>4479</v>
      </c>
      <c r="G431" s="3">
        <v>8292708161</v>
      </c>
      <c r="H431" s="2">
        <v>46121</v>
      </c>
      <c r="K431" s="1">
        <f ca="1">IF(A431="","",IF(OR(L431="ENTREGADA",L431="RETORNADA",L431="ENTREGA DIGITAL"),0,MAX(0,5-NETWORKDAYS(H431+1,TODAY()))))</f>
        <v>0</v>
      </c>
      <c r="L431" t="str">
        <f>IF(A431="","",IFERROR(LOOKUP(2,1/(#REF!=Z431),#REF!),Y431))</f>
        <v>RETORNADA</v>
      </c>
      <c r="Y431" t="s">
        <v>1857</v>
      </c>
      <c r="Z431" t="str">
        <f>IF(A431="","",TEXT(A431,"0")&amp;"|"&amp;TEXT(H431,"0"))</f>
        <v>4966017788553650|46121</v>
      </c>
      <c r="AA431" t="str">
        <f>IF(Z431="","",IFERROR(LOOKUP(2,1/(#REF!=Z431),#REF!),""))</f>
        <v/>
      </c>
      <c r="AB431" t="str">
        <f>IF(Z431="","",IFERROR(LOOKUP(2,1/(#REF!=Z431),#REF!),""))</f>
        <v/>
      </c>
      <c r="AC431" t="e">
        <f>IF(Z431="","",COUNTIF(#REF!,Z431))</f>
        <v>#REF!</v>
      </c>
      <c r="AD431" t="e">
        <f>IF(A431="","",IF(AC431&gt;1,"REVISAR DUPLICADO",IF(AA431&lt;&gt;"","ACTUALIZADO POR EYR","SIN REPORTE EYR")))</f>
        <v>#REF!</v>
      </c>
    </row>
    <row r="432" spans="1:30" x14ac:dyDescent="0.3">
      <c r="A432" s="5" t="s">
        <v>4478</v>
      </c>
      <c r="B432" t="s">
        <v>4477</v>
      </c>
      <c r="C432" s="4" t="s">
        <v>4476</v>
      </c>
      <c r="D432" t="s">
        <v>600</v>
      </c>
      <c r="F432" t="s">
        <v>4475</v>
      </c>
      <c r="G432" s="3">
        <v>8493429919</v>
      </c>
      <c r="H432" s="2">
        <v>46121</v>
      </c>
      <c r="K432" s="1">
        <f ca="1">IF(A432="","",IF(OR(L432="ENTREGADA",L432="RETORNADA",L432="ENTREGA DIGITAL"),0,MAX(0,5-NETWORKDAYS(H432+1,TODAY()))))</f>
        <v>0</v>
      </c>
      <c r="L432" t="str">
        <f>IF(A432="","",IFERROR(LOOKUP(2,1/(#REF!=Z432),#REF!),Y432))</f>
        <v>RETORNADA</v>
      </c>
      <c r="Y432" t="s">
        <v>1857</v>
      </c>
      <c r="Z432" t="str">
        <f>IF(A432="","",TEXT(A432,"0")&amp;"|"&amp;TEXT(H432,"0"))</f>
        <v>5188017787824780|46121</v>
      </c>
      <c r="AA432" t="str">
        <f>IF(Z432="","",IFERROR(LOOKUP(2,1/(#REF!=Z432),#REF!),""))</f>
        <v/>
      </c>
      <c r="AB432" t="str">
        <f>IF(Z432="","",IFERROR(LOOKUP(2,1/(#REF!=Z432),#REF!),""))</f>
        <v/>
      </c>
      <c r="AC432" t="e">
        <f>IF(Z432="","",COUNTIF(#REF!,Z432))</f>
        <v>#REF!</v>
      </c>
      <c r="AD432" t="e">
        <f>IF(A432="","",IF(AC432&gt;1,"REVISAR DUPLICADO",IF(AA432&lt;&gt;"","ACTUALIZADO POR EYR","SIN REPORTE EYR")))</f>
        <v>#REF!</v>
      </c>
    </row>
    <row r="433" spans="1:30" x14ac:dyDescent="0.3">
      <c r="A433" s="5" t="s">
        <v>4474</v>
      </c>
      <c r="B433" t="s">
        <v>4473</v>
      </c>
      <c r="C433" s="4" t="s">
        <v>4472</v>
      </c>
      <c r="D433" t="s">
        <v>600</v>
      </c>
      <c r="F433" t="s">
        <v>979</v>
      </c>
      <c r="G433" s="3">
        <v>8297408107</v>
      </c>
      <c r="H433" s="2">
        <v>46121</v>
      </c>
      <c r="K433" s="1">
        <f ca="1">IF(A433="","",IF(OR(L433="ENTREGADA",L433="RETORNADA",L433="ENTREGA DIGITAL"),0,MAX(0,5-NETWORKDAYS(H433+1,TODAY()))))</f>
        <v>0</v>
      </c>
      <c r="L433" t="str">
        <f>IF(A433="","",IFERROR(LOOKUP(2,1/(#REF!=Z433),#REF!),Y433))</f>
        <v>RETORNADA</v>
      </c>
      <c r="Y433" t="s">
        <v>1857</v>
      </c>
      <c r="Z433" t="str">
        <f>IF(A433="","",TEXT(A433,"0")&amp;"|"&amp;TEXT(H433,"0"))</f>
        <v>5227017787697980|46121</v>
      </c>
      <c r="AA433" t="str">
        <f>IF(Z433="","",IFERROR(LOOKUP(2,1/(#REF!=Z433),#REF!),""))</f>
        <v/>
      </c>
      <c r="AB433" t="str">
        <f>IF(Z433="","",IFERROR(LOOKUP(2,1/(#REF!=Z433),#REF!),""))</f>
        <v/>
      </c>
      <c r="AC433" t="e">
        <f>IF(Z433="","",COUNTIF(#REF!,Z433))</f>
        <v>#REF!</v>
      </c>
      <c r="AD433" t="e">
        <f>IF(A433="","",IF(AC433&gt;1,"REVISAR DUPLICADO",IF(AA433&lt;&gt;"","ACTUALIZADO POR EYR","SIN REPORTE EYR")))</f>
        <v>#REF!</v>
      </c>
    </row>
    <row r="434" spans="1:30" x14ac:dyDescent="0.3">
      <c r="A434" s="5" t="s">
        <v>4471</v>
      </c>
      <c r="B434" t="s">
        <v>4470</v>
      </c>
      <c r="C434" s="4" t="s">
        <v>4469</v>
      </c>
      <c r="D434" t="s">
        <v>600</v>
      </c>
      <c r="F434" t="s">
        <v>4448</v>
      </c>
      <c r="G434" s="3">
        <v>8299737011</v>
      </c>
      <c r="H434" s="2">
        <v>46121</v>
      </c>
      <c r="K434" s="1">
        <f ca="1">IF(A434="","",IF(OR(L434="ENTREGADA",L434="RETORNADA",L434="ENTREGA DIGITAL"),0,MAX(0,5-NETWORKDAYS(H434+1,TODAY()))))</f>
        <v>0</v>
      </c>
      <c r="L434" t="str">
        <f>IF(A434="","",IFERROR(LOOKUP(2,1/(#REF!=Z434),#REF!),Y434))</f>
        <v>ENTREGADA</v>
      </c>
      <c r="Y434" t="s">
        <v>1956</v>
      </c>
      <c r="Z434" t="str">
        <f>IF(A434="","",TEXT(A434,"0")&amp;"|"&amp;TEXT(H434,"0"))</f>
        <v>4921017788993040|46121</v>
      </c>
      <c r="AA434" t="str">
        <f>IF(Z434="","",IFERROR(LOOKUP(2,1/(#REF!=Z434),#REF!),""))</f>
        <v/>
      </c>
      <c r="AB434" t="str">
        <f>IF(Z434="","",IFERROR(LOOKUP(2,1/(#REF!=Z434),#REF!),""))</f>
        <v/>
      </c>
      <c r="AC434" t="e">
        <f>IF(Z434="","",COUNTIF(#REF!,Z434))</f>
        <v>#REF!</v>
      </c>
      <c r="AD434" t="e">
        <f>IF(A434="","",IF(AC434&gt;1,"REVISAR DUPLICADO",IF(AA434&lt;&gt;"","ACTUALIZADO POR EYR","SIN REPORTE EYR")))</f>
        <v>#REF!</v>
      </c>
    </row>
    <row r="435" spans="1:30" x14ac:dyDescent="0.3">
      <c r="A435" s="5" t="s">
        <v>4468</v>
      </c>
      <c r="B435" t="s">
        <v>4467</v>
      </c>
      <c r="C435" s="4" t="s">
        <v>4466</v>
      </c>
      <c r="D435" t="s">
        <v>600</v>
      </c>
      <c r="F435" t="s">
        <v>4465</v>
      </c>
      <c r="G435" s="3">
        <v>8293711068</v>
      </c>
      <c r="H435" s="2">
        <v>46121</v>
      </c>
      <c r="K435" s="1">
        <f ca="1">IF(A435="","",IF(OR(L435="ENTREGADA",L435="RETORNADA",L435="ENTREGA DIGITAL"),0,MAX(0,5-NETWORKDAYS(H435+1,TODAY()))))</f>
        <v>0</v>
      </c>
      <c r="L435" t="str">
        <f>IF(A435="","",IFERROR(LOOKUP(2,1/(#REF!=Z435),#REF!),Y435))</f>
        <v>ENTREGADA</v>
      </c>
      <c r="Y435" t="s">
        <v>1956</v>
      </c>
      <c r="Z435" t="str">
        <f>IF(A435="","",TEXT(A435,"0")&amp;"|"&amp;TEXT(H435,"0"))</f>
        <v>5188017775688080|46121</v>
      </c>
      <c r="AA435" t="str">
        <f>IF(Z435="","",IFERROR(LOOKUP(2,1/(#REF!=Z435),#REF!),""))</f>
        <v/>
      </c>
      <c r="AB435" t="str">
        <f>IF(Z435="","",IFERROR(LOOKUP(2,1/(#REF!=Z435),#REF!),""))</f>
        <v/>
      </c>
      <c r="AC435" t="e">
        <f>IF(Z435="","",COUNTIF(#REF!,Z435))</f>
        <v>#REF!</v>
      </c>
      <c r="AD435" t="e">
        <f>IF(A435="","",IF(AC435&gt;1,"REVISAR DUPLICADO",IF(AA435&lt;&gt;"","ACTUALIZADO POR EYR","SIN REPORTE EYR")))</f>
        <v>#REF!</v>
      </c>
    </row>
    <row r="436" spans="1:30" x14ac:dyDescent="0.3">
      <c r="A436" s="5" t="s">
        <v>4464</v>
      </c>
      <c r="B436" t="s">
        <v>4463</v>
      </c>
      <c r="C436" s="4" t="s">
        <v>4462</v>
      </c>
      <c r="D436" t="s">
        <v>600</v>
      </c>
      <c r="F436" t="s">
        <v>4461</v>
      </c>
      <c r="G436" s="3">
        <v>8099350340</v>
      </c>
      <c r="H436" s="2">
        <v>46121</v>
      </c>
      <c r="K436" s="1">
        <f ca="1">IF(A436="","",IF(OR(L436="ENTREGADA",L436="RETORNADA",L436="ENTREGA DIGITAL"),0,MAX(0,5-NETWORKDAYS(H436+1,TODAY()))))</f>
        <v>0</v>
      </c>
      <c r="L436" t="str">
        <f>IF(A436="","",IFERROR(LOOKUP(2,1/(#REF!=Z436),#REF!),Y436))</f>
        <v>RETORNADA</v>
      </c>
      <c r="Y436" t="s">
        <v>1857</v>
      </c>
      <c r="Z436" t="str">
        <f>IF(A436="","",TEXT(A436,"0")&amp;"|"&amp;TEXT(H436,"0"))</f>
        <v>4921017771594920|46121</v>
      </c>
      <c r="AA436" t="str">
        <f>IF(Z436="","",IFERROR(LOOKUP(2,1/(#REF!=Z436),#REF!),""))</f>
        <v/>
      </c>
      <c r="AB436" t="str">
        <f>IF(Z436="","",IFERROR(LOOKUP(2,1/(#REF!=Z436),#REF!),""))</f>
        <v/>
      </c>
      <c r="AC436" t="e">
        <f>IF(Z436="","",COUNTIF(#REF!,Z436))</f>
        <v>#REF!</v>
      </c>
      <c r="AD436" t="e">
        <f>IF(A436="","",IF(AC436&gt;1,"REVISAR DUPLICADO",IF(AA436&lt;&gt;"","ACTUALIZADO POR EYR","SIN REPORTE EYR")))</f>
        <v>#REF!</v>
      </c>
    </row>
    <row r="437" spans="1:30" x14ac:dyDescent="0.3">
      <c r="A437" s="5" t="s">
        <v>4460</v>
      </c>
      <c r="B437" t="s">
        <v>4459</v>
      </c>
      <c r="C437" s="4" t="s">
        <v>4458</v>
      </c>
      <c r="D437" t="s">
        <v>600</v>
      </c>
      <c r="F437" t="s">
        <v>917</v>
      </c>
      <c r="G437" s="3">
        <v>8094455375</v>
      </c>
      <c r="H437" s="2">
        <v>46121</v>
      </c>
      <c r="K437" s="1">
        <f ca="1">IF(A437="","",IF(OR(L437="ENTREGADA",L437="RETORNADA",L437="ENTREGA DIGITAL"),0,MAX(0,5-NETWORKDAYS(H437+1,TODAY()))))</f>
        <v>0</v>
      </c>
      <c r="L437" t="str">
        <f>IF(A437="","",IFERROR(LOOKUP(2,1/(#REF!=Z437),#REF!),Y437))</f>
        <v>ENTREGADA</v>
      </c>
      <c r="Y437" t="s">
        <v>1956</v>
      </c>
      <c r="Z437" t="str">
        <f>IF(A437="","",TEXT(A437,"0")&amp;"|"&amp;TEXT(H437,"0"))</f>
        <v>4921017780713350|46121</v>
      </c>
      <c r="AA437" t="str">
        <f>IF(Z437="","",IFERROR(LOOKUP(2,1/(#REF!=Z437),#REF!),""))</f>
        <v/>
      </c>
      <c r="AB437" t="str">
        <f>IF(Z437="","",IFERROR(LOOKUP(2,1/(#REF!=Z437),#REF!),""))</f>
        <v/>
      </c>
      <c r="AC437" t="e">
        <f>IF(Z437="","",COUNTIF(#REF!,Z437))</f>
        <v>#REF!</v>
      </c>
      <c r="AD437" t="e">
        <f>IF(A437="","",IF(AC437&gt;1,"REVISAR DUPLICADO",IF(AA437&lt;&gt;"","ACTUALIZADO POR EYR","SIN REPORTE EYR")))</f>
        <v>#REF!</v>
      </c>
    </row>
    <row r="438" spans="1:30" x14ac:dyDescent="0.3">
      <c r="A438" s="5" t="s">
        <v>4457</v>
      </c>
      <c r="B438" t="s">
        <v>4456</v>
      </c>
      <c r="C438" s="4" t="s">
        <v>4455</v>
      </c>
      <c r="D438" t="s">
        <v>600</v>
      </c>
      <c r="F438" t="s">
        <v>517</v>
      </c>
      <c r="G438" s="3">
        <v>8296476372</v>
      </c>
      <c r="H438" s="2">
        <v>46121</v>
      </c>
      <c r="K438" s="1">
        <f ca="1">IF(A438="","",IF(OR(L438="ENTREGADA",L438="RETORNADA",L438="ENTREGA DIGITAL"),0,MAX(0,5-NETWORKDAYS(H438+1,TODAY()))))</f>
        <v>0</v>
      </c>
      <c r="L438" t="str">
        <f>IF(A438="","",IFERROR(LOOKUP(2,1/(#REF!=Z438),#REF!),Y438))</f>
        <v>RETORNADA</v>
      </c>
      <c r="Y438" t="s">
        <v>1857</v>
      </c>
      <c r="Z438" t="str">
        <f>IF(A438="","",TEXT(A438,"0")&amp;"|"&amp;TEXT(H438,"0"))</f>
        <v>5188017768831260|46121</v>
      </c>
      <c r="AA438" t="str">
        <f>IF(Z438="","",IFERROR(LOOKUP(2,1/(#REF!=Z438),#REF!),""))</f>
        <v/>
      </c>
      <c r="AB438" t="str">
        <f>IF(Z438="","",IFERROR(LOOKUP(2,1/(#REF!=Z438),#REF!),""))</f>
        <v/>
      </c>
      <c r="AC438" t="e">
        <f>IF(Z438="","",COUNTIF(#REF!,Z438))</f>
        <v>#REF!</v>
      </c>
      <c r="AD438" t="e">
        <f>IF(A438="","",IF(AC438&gt;1,"REVISAR DUPLICADO",IF(AA438&lt;&gt;"","ACTUALIZADO POR EYR","SIN REPORTE EYR")))</f>
        <v>#REF!</v>
      </c>
    </row>
    <row r="439" spans="1:30" x14ac:dyDescent="0.3">
      <c r="A439" s="5" t="s">
        <v>4454</v>
      </c>
      <c r="B439" t="s">
        <v>4453</v>
      </c>
      <c r="C439" s="4" t="s">
        <v>4452</v>
      </c>
      <c r="D439" t="s">
        <v>600</v>
      </c>
      <c r="F439" t="s">
        <v>517</v>
      </c>
      <c r="G439" s="3">
        <v>8494088667</v>
      </c>
      <c r="H439" s="2">
        <v>46121</v>
      </c>
      <c r="K439" s="1">
        <f ca="1">IF(A439="","",IF(OR(L439="ENTREGADA",L439="RETORNADA",L439="ENTREGA DIGITAL"),0,MAX(0,5-NETWORKDAYS(H439+1,TODAY()))))</f>
        <v>0</v>
      </c>
      <c r="L439" t="str">
        <f>IF(A439="","",IFERROR(LOOKUP(2,1/(#REF!=Z439),#REF!),Y439))</f>
        <v>ENTREGADA</v>
      </c>
      <c r="Y439" t="s">
        <v>1956</v>
      </c>
      <c r="Z439" t="str">
        <f>IF(A439="","",TEXT(A439,"0")&amp;"|"&amp;TEXT(H439,"0"))</f>
        <v>4921017781510550|46121</v>
      </c>
      <c r="AA439" t="str">
        <f>IF(Z439="","",IFERROR(LOOKUP(2,1/(#REF!=Z439),#REF!),""))</f>
        <v/>
      </c>
      <c r="AB439" t="str">
        <f>IF(Z439="","",IFERROR(LOOKUP(2,1/(#REF!=Z439),#REF!),""))</f>
        <v/>
      </c>
      <c r="AC439" t="e">
        <f>IF(Z439="","",COUNTIF(#REF!,Z439))</f>
        <v>#REF!</v>
      </c>
      <c r="AD439" t="e">
        <f>IF(A439="","",IF(AC439&gt;1,"REVISAR DUPLICADO",IF(AA439&lt;&gt;"","ACTUALIZADO POR EYR","SIN REPORTE EYR")))</f>
        <v>#REF!</v>
      </c>
    </row>
    <row r="440" spans="1:30" x14ac:dyDescent="0.3">
      <c r="A440" s="5" t="s">
        <v>4451</v>
      </c>
      <c r="B440" t="s">
        <v>4450</v>
      </c>
      <c r="C440" s="4" t="s">
        <v>4449</v>
      </c>
      <c r="D440" t="s">
        <v>600</v>
      </c>
      <c r="F440" t="s">
        <v>4448</v>
      </c>
      <c r="G440" s="3">
        <v>8099983601</v>
      </c>
      <c r="H440" s="2">
        <v>46121</v>
      </c>
      <c r="K440" s="1">
        <f ca="1">IF(A440="","",IF(OR(L440="ENTREGADA",L440="RETORNADA",L440="ENTREGA DIGITAL"),0,MAX(0,5-NETWORKDAYS(H440+1,TODAY()))))</f>
        <v>0</v>
      </c>
      <c r="L440" t="str">
        <f>IF(A440="","",IFERROR(LOOKUP(2,1/(#REF!=Z440),#REF!),Y440))</f>
        <v>RETORNADA</v>
      </c>
      <c r="Y440" t="s">
        <v>1857</v>
      </c>
      <c r="Z440" t="str">
        <f>IF(A440="","",TEXT(A440,"0")&amp;"|"&amp;TEXT(H440,"0"))</f>
        <v>4921017783180960|46121</v>
      </c>
      <c r="AA440" t="str">
        <f>IF(Z440="","",IFERROR(LOOKUP(2,1/(#REF!=Z440),#REF!),""))</f>
        <v/>
      </c>
      <c r="AB440" t="str">
        <f>IF(Z440="","",IFERROR(LOOKUP(2,1/(#REF!=Z440),#REF!),""))</f>
        <v/>
      </c>
      <c r="AC440" t="e">
        <f>IF(Z440="","",COUNTIF(#REF!,Z440))</f>
        <v>#REF!</v>
      </c>
      <c r="AD440" t="e">
        <f>IF(A440="","",IF(AC440&gt;1,"REVISAR DUPLICADO",IF(AA440&lt;&gt;"","ACTUALIZADO POR EYR","SIN REPORTE EYR")))</f>
        <v>#REF!</v>
      </c>
    </row>
    <row r="441" spans="1:30" x14ac:dyDescent="0.3">
      <c r="A441" s="5" t="s">
        <v>4447</v>
      </c>
      <c r="B441" t="s">
        <v>4446</v>
      </c>
      <c r="C441" s="4" t="s">
        <v>4445</v>
      </c>
      <c r="D441" t="s">
        <v>600</v>
      </c>
      <c r="F441" t="s">
        <v>4444</v>
      </c>
      <c r="G441" s="3">
        <v>8295592507</v>
      </c>
      <c r="H441" s="2">
        <v>46121</v>
      </c>
      <c r="K441" s="1">
        <f ca="1">IF(A441="","",IF(OR(L441="ENTREGADA",L441="RETORNADA",L441="ENTREGA DIGITAL"),0,MAX(0,5-NETWORKDAYS(H441+1,TODAY()))))</f>
        <v>0</v>
      </c>
      <c r="L441" t="str">
        <f>IF(A441="","",IFERROR(LOOKUP(2,1/(#REF!=Z441),#REF!),Y441))</f>
        <v>RETORNADA</v>
      </c>
      <c r="Y441" t="s">
        <v>1857</v>
      </c>
      <c r="Z441" t="str">
        <f>IF(A441="","",TEXT(A441,"0")&amp;"|"&amp;TEXT(H441,"0"))</f>
        <v>4921017783162110|46121</v>
      </c>
      <c r="AA441" t="str">
        <f>IF(Z441="","",IFERROR(LOOKUP(2,1/(#REF!=Z441),#REF!),""))</f>
        <v/>
      </c>
      <c r="AB441" t="str">
        <f>IF(Z441="","",IFERROR(LOOKUP(2,1/(#REF!=Z441),#REF!),""))</f>
        <v/>
      </c>
      <c r="AC441" t="e">
        <f>IF(Z441="","",COUNTIF(#REF!,Z441))</f>
        <v>#REF!</v>
      </c>
      <c r="AD441" t="e">
        <f>IF(A441="","",IF(AC441&gt;1,"REVISAR DUPLICADO",IF(AA441&lt;&gt;"","ACTUALIZADO POR EYR","SIN REPORTE EYR")))</f>
        <v>#REF!</v>
      </c>
    </row>
    <row r="442" spans="1:30" x14ac:dyDescent="0.3">
      <c r="A442" s="5" t="s">
        <v>4443</v>
      </c>
      <c r="B442" t="s">
        <v>4442</v>
      </c>
      <c r="C442" s="4" t="s">
        <v>4441</v>
      </c>
      <c r="D442" t="s">
        <v>600</v>
      </c>
      <c r="F442">
        <v>18</v>
      </c>
      <c r="G442" s="3">
        <v>8496380713</v>
      </c>
      <c r="H442" s="2">
        <v>46121</v>
      </c>
      <c r="K442" s="1">
        <f ca="1">IF(A442="","",IF(OR(L442="ENTREGADA",L442="RETORNADA",L442="ENTREGA DIGITAL"),0,MAX(0,5-NETWORKDAYS(H442+1,TODAY()))))</f>
        <v>0</v>
      </c>
      <c r="L442" t="str">
        <f>IF(A442="","",IFERROR(LOOKUP(2,1/(#REF!=Z442),#REF!),Y442))</f>
        <v>ENTREGADA</v>
      </c>
      <c r="Y442" t="s">
        <v>1956</v>
      </c>
      <c r="Z442" t="str">
        <f>IF(A442="","",TEXT(A442,"0")&amp;"|"&amp;TEXT(H442,"0"))</f>
        <v>5188017780195390|46121</v>
      </c>
      <c r="AA442" t="str">
        <f>IF(Z442="","",IFERROR(LOOKUP(2,1/(#REF!=Z442),#REF!),""))</f>
        <v/>
      </c>
      <c r="AB442" t="str">
        <f>IF(Z442="","",IFERROR(LOOKUP(2,1/(#REF!=Z442),#REF!),""))</f>
        <v/>
      </c>
      <c r="AC442" t="e">
        <f>IF(Z442="","",COUNTIF(#REF!,Z442))</f>
        <v>#REF!</v>
      </c>
      <c r="AD442" t="e">
        <f>IF(A442="","",IF(AC442&gt;1,"REVISAR DUPLICADO",IF(AA442&lt;&gt;"","ACTUALIZADO POR EYR","SIN REPORTE EYR")))</f>
        <v>#REF!</v>
      </c>
    </row>
    <row r="443" spans="1:30" x14ac:dyDescent="0.3">
      <c r="A443" s="5" t="s">
        <v>4440</v>
      </c>
      <c r="B443" t="s">
        <v>4439</v>
      </c>
      <c r="C443" s="4" t="s">
        <v>4438</v>
      </c>
      <c r="D443" t="s">
        <v>600</v>
      </c>
      <c r="F443" t="s">
        <v>4437</v>
      </c>
      <c r="G443" s="3">
        <v>8293886492</v>
      </c>
      <c r="H443" s="2">
        <v>46121</v>
      </c>
      <c r="K443" s="1">
        <f ca="1">IF(A443="","",IF(OR(L443="ENTREGADA",L443="RETORNADA",L443="ENTREGA DIGITAL"),0,MAX(0,5-NETWORKDAYS(H443+1,TODAY()))))</f>
        <v>0</v>
      </c>
      <c r="L443" t="str">
        <f>IF(A443="","",IFERROR(LOOKUP(2,1/(#REF!=Z443),#REF!),Y443))</f>
        <v>ENTREGADA</v>
      </c>
      <c r="Y443" t="s">
        <v>1956</v>
      </c>
      <c r="Z443" t="str">
        <f>IF(A443="","",TEXT(A443,"0")&amp;"|"&amp;TEXT(H443,"0"))</f>
        <v>4921017786290250|46121</v>
      </c>
      <c r="AA443" t="str">
        <f>IF(Z443="","",IFERROR(LOOKUP(2,1/(#REF!=Z443),#REF!),""))</f>
        <v/>
      </c>
      <c r="AB443" t="str">
        <f>IF(Z443="","",IFERROR(LOOKUP(2,1/(#REF!=Z443),#REF!),""))</f>
        <v/>
      </c>
      <c r="AC443" t="e">
        <f>IF(Z443="","",COUNTIF(#REF!,Z443))</f>
        <v>#REF!</v>
      </c>
      <c r="AD443" t="e">
        <f>IF(A443="","",IF(AC443&gt;1,"REVISAR DUPLICADO",IF(AA443&lt;&gt;"","ACTUALIZADO POR EYR","SIN REPORTE EYR")))</f>
        <v>#REF!</v>
      </c>
    </row>
    <row r="444" spans="1:30" x14ac:dyDescent="0.3">
      <c r="A444" s="5" t="s">
        <v>4436</v>
      </c>
      <c r="B444" t="s">
        <v>4435</v>
      </c>
      <c r="C444" s="4" t="s">
        <v>4434</v>
      </c>
      <c r="D444" t="s">
        <v>600</v>
      </c>
      <c r="F444" t="s">
        <v>4433</v>
      </c>
      <c r="G444" s="3">
        <v>8097634634</v>
      </c>
      <c r="H444" s="2">
        <v>46121</v>
      </c>
      <c r="K444" s="1">
        <f ca="1">IF(A444="","",IF(OR(L444="ENTREGADA",L444="RETORNADA",L444="ENTREGA DIGITAL"),0,MAX(0,5-NETWORKDAYS(H444+1,TODAY()))))</f>
        <v>0</v>
      </c>
      <c r="L444" t="str">
        <f>IF(A444="","",IFERROR(LOOKUP(2,1/(#REF!=Z444),#REF!),Y444))</f>
        <v>ENTREGADA</v>
      </c>
      <c r="Y444" t="s">
        <v>1956</v>
      </c>
      <c r="Z444" t="str">
        <f>IF(A444="","",TEXT(A444,"0")&amp;"|"&amp;TEXT(H444,"0"))</f>
        <v>4921017785471080|46121</v>
      </c>
      <c r="AA444" t="str">
        <f>IF(Z444="","",IFERROR(LOOKUP(2,1/(#REF!=Z444),#REF!),""))</f>
        <v/>
      </c>
      <c r="AB444" t="str">
        <f>IF(Z444="","",IFERROR(LOOKUP(2,1/(#REF!=Z444),#REF!),""))</f>
        <v/>
      </c>
      <c r="AC444" t="e">
        <f>IF(Z444="","",COUNTIF(#REF!,Z444))</f>
        <v>#REF!</v>
      </c>
      <c r="AD444" t="e">
        <f>IF(A444="","",IF(AC444&gt;1,"REVISAR DUPLICADO",IF(AA444&lt;&gt;"","ACTUALIZADO POR EYR","SIN REPORTE EYR")))</f>
        <v>#REF!</v>
      </c>
    </row>
    <row r="445" spans="1:30" x14ac:dyDescent="0.3">
      <c r="A445" s="5" t="s">
        <v>4432</v>
      </c>
      <c r="B445" t="s">
        <v>4431</v>
      </c>
      <c r="C445" s="4" t="s">
        <v>4430</v>
      </c>
      <c r="D445" t="s">
        <v>600</v>
      </c>
      <c r="F445" t="s">
        <v>35</v>
      </c>
      <c r="G445" s="3">
        <v>8298018385</v>
      </c>
      <c r="H445" s="2">
        <v>46121</v>
      </c>
      <c r="K445" s="1">
        <f ca="1">IF(A445="","",IF(OR(L445="ENTREGADA",L445="RETORNADA",L445="ENTREGA DIGITAL"),0,MAX(0,5-NETWORKDAYS(H445+1,TODAY()))))</f>
        <v>0</v>
      </c>
      <c r="L445" t="str">
        <f>IF(A445="","",IFERROR(LOOKUP(2,1/(#REF!=Z445),#REF!),Y445))</f>
        <v>ENTREGADA</v>
      </c>
      <c r="Y445" t="s">
        <v>1956</v>
      </c>
      <c r="Z445" t="str">
        <f>IF(A445="","",TEXT(A445,"0")&amp;"|"&amp;TEXT(H445,"0"))</f>
        <v>4921017785887860|46121</v>
      </c>
      <c r="AA445" t="str">
        <f>IF(Z445="","",IFERROR(LOOKUP(2,1/(#REF!=Z445),#REF!),""))</f>
        <v/>
      </c>
      <c r="AB445" t="str">
        <f>IF(Z445="","",IFERROR(LOOKUP(2,1/(#REF!=Z445),#REF!),""))</f>
        <v/>
      </c>
      <c r="AC445" t="e">
        <f>IF(Z445="","",COUNTIF(#REF!,Z445))</f>
        <v>#REF!</v>
      </c>
      <c r="AD445" t="e">
        <f>IF(A445="","",IF(AC445&gt;1,"REVISAR DUPLICADO",IF(AA445&lt;&gt;"","ACTUALIZADO POR EYR","SIN REPORTE EYR")))</f>
        <v>#REF!</v>
      </c>
    </row>
    <row r="446" spans="1:30" x14ac:dyDescent="0.3">
      <c r="A446" s="5" t="s">
        <v>4429</v>
      </c>
      <c r="B446" t="s">
        <v>4428</v>
      </c>
      <c r="C446" s="4" t="s">
        <v>4427</v>
      </c>
      <c r="D446" t="s">
        <v>600</v>
      </c>
      <c r="F446" t="s">
        <v>4426</v>
      </c>
      <c r="G446" s="3">
        <v>8293410919</v>
      </c>
      <c r="H446" s="2">
        <v>46121</v>
      </c>
      <c r="K446" s="1">
        <f ca="1">IF(A446="","",IF(OR(L446="ENTREGADA",L446="RETORNADA",L446="ENTREGA DIGITAL"),0,MAX(0,5-NETWORKDAYS(H446+1,TODAY()))))</f>
        <v>0</v>
      </c>
      <c r="L446" t="str">
        <f>IF(A446="","",IFERROR(LOOKUP(2,1/(#REF!=Z446),#REF!),Y446))</f>
        <v>ENTREGADA</v>
      </c>
      <c r="Y446" t="s">
        <v>1956</v>
      </c>
      <c r="Z446" t="str">
        <f>IF(A446="","",TEXT(A446,"0")&amp;"|"&amp;TEXT(H446,"0"))</f>
        <v>4921017786349540|46121</v>
      </c>
      <c r="AA446" t="str">
        <f>IF(Z446="","",IFERROR(LOOKUP(2,1/(#REF!=Z446),#REF!),""))</f>
        <v/>
      </c>
      <c r="AB446" t="str">
        <f>IF(Z446="","",IFERROR(LOOKUP(2,1/(#REF!=Z446),#REF!),""))</f>
        <v/>
      </c>
      <c r="AC446" t="e">
        <f>IF(Z446="","",COUNTIF(#REF!,Z446))</f>
        <v>#REF!</v>
      </c>
      <c r="AD446" t="e">
        <f>IF(A446="","",IF(AC446&gt;1,"REVISAR DUPLICADO",IF(AA446&lt;&gt;"","ACTUALIZADO POR EYR","SIN REPORTE EYR")))</f>
        <v>#REF!</v>
      </c>
    </row>
    <row r="447" spans="1:30" x14ac:dyDescent="0.3">
      <c r="A447" s="5" t="s">
        <v>4425</v>
      </c>
      <c r="B447" t="s">
        <v>4424</v>
      </c>
      <c r="C447" s="4" t="s">
        <v>4423</v>
      </c>
      <c r="D447" t="s">
        <v>595</v>
      </c>
      <c r="F447" t="s">
        <v>4422</v>
      </c>
      <c r="G447" s="3">
        <v>8296635479</v>
      </c>
      <c r="H447" s="2">
        <v>46121</v>
      </c>
      <c r="K447" s="1">
        <f ca="1">IF(A447="","",IF(OR(L447="ENTREGADA",L447="RETORNADA",L447="ENTREGA DIGITAL"),0,MAX(0,5-NETWORKDAYS(H447+1,TODAY()))))</f>
        <v>0</v>
      </c>
      <c r="L447" t="str">
        <f>IF(A447="","",IFERROR(LOOKUP(2,1/(#REF!=Z447),#REF!),Y447))</f>
        <v>ENTREGADA</v>
      </c>
      <c r="Y447" t="s">
        <v>1956</v>
      </c>
      <c r="Z447" t="str">
        <f>IF(A447="","",TEXT(A447,"0")&amp;"|"&amp;TEXT(H447,"0"))</f>
        <v>4921017785356490|46121</v>
      </c>
      <c r="AA447" t="str">
        <f>IF(Z447="","",IFERROR(LOOKUP(2,1/(#REF!=Z447),#REF!),""))</f>
        <v/>
      </c>
      <c r="AB447" t="str">
        <f>IF(Z447="","",IFERROR(LOOKUP(2,1/(#REF!=Z447),#REF!),""))</f>
        <v/>
      </c>
      <c r="AC447" t="e">
        <f>IF(Z447="","",COUNTIF(#REF!,Z447))</f>
        <v>#REF!</v>
      </c>
      <c r="AD447" t="e">
        <f>IF(A447="","",IF(AC447&gt;1,"REVISAR DUPLICADO",IF(AA447&lt;&gt;"","ACTUALIZADO POR EYR","SIN REPORTE EYR")))</f>
        <v>#REF!</v>
      </c>
    </row>
    <row r="448" spans="1:30" x14ac:dyDescent="0.3">
      <c r="A448" s="5" t="s">
        <v>4421</v>
      </c>
      <c r="B448" t="s">
        <v>4420</v>
      </c>
      <c r="C448" s="4" t="s">
        <v>4419</v>
      </c>
      <c r="D448" t="s">
        <v>600</v>
      </c>
      <c r="F448" t="s">
        <v>4418</v>
      </c>
      <c r="G448" s="3">
        <v>8097413940</v>
      </c>
      <c r="H448" s="2">
        <v>46121</v>
      </c>
      <c r="K448" s="1">
        <f ca="1">IF(A448="","",IF(OR(L448="ENTREGADA",L448="RETORNADA",L448="ENTREGA DIGITAL"),0,MAX(0,5-NETWORKDAYS(H448+1,TODAY()))))</f>
        <v>0</v>
      </c>
      <c r="L448" t="str">
        <f>IF(A448="","",IFERROR(LOOKUP(2,1/(#REF!=Z448),#REF!),Y448))</f>
        <v>RETORNADA</v>
      </c>
      <c r="Y448" t="s">
        <v>1857</v>
      </c>
      <c r="Z448" t="str">
        <f>IF(A448="","",TEXT(A448,"0")&amp;"|"&amp;TEXT(H448,"0"))</f>
        <v>4921017785949210|46121</v>
      </c>
      <c r="AA448" t="str">
        <f>IF(Z448="","",IFERROR(LOOKUP(2,1/(#REF!=Z448),#REF!),""))</f>
        <v/>
      </c>
      <c r="AB448" t="str">
        <f>IF(Z448="","",IFERROR(LOOKUP(2,1/(#REF!=Z448),#REF!),""))</f>
        <v/>
      </c>
      <c r="AC448" t="e">
        <f>IF(Z448="","",COUNTIF(#REF!,Z448))</f>
        <v>#REF!</v>
      </c>
      <c r="AD448" t="e">
        <f>IF(A448="","",IF(AC448&gt;1,"REVISAR DUPLICADO",IF(AA448&lt;&gt;"","ACTUALIZADO POR EYR","SIN REPORTE EYR")))</f>
        <v>#REF!</v>
      </c>
    </row>
    <row r="449" spans="1:30" x14ac:dyDescent="0.3">
      <c r="A449" s="5" t="s">
        <v>4417</v>
      </c>
      <c r="B449" t="s">
        <v>4416</v>
      </c>
      <c r="C449" s="4" t="s">
        <v>4415</v>
      </c>
      <c r="D449" t="s">
        <v>600</v>
      </c>
      <c r="F449" t="s">
        <v>979</v>
      </c>
      <c r="G449" s="3">
        <v>8096098130</v>
      </c>
      <c r="H449" s="2">
        <v>46121</v>
      </c>
      <c r="K449" s="1">
        <f ca="1">IF(A449="","",IF(OR(L449="ENTREGADA",L449="RETORNADA",L449="ENTREGA DIGITAL"),0,MAX(0,5-NETWORKDAYS(H449+1,TODAY()))))</f>
        <v>0</v>
      </c>
      <c r="L449" t="str">
        <f>IF(A449="","",IFERROR(LOOKUP(2,1/(#REF!=Z449),#REF!),Y449))</f>
        <v>RETORNADA</v>
      </c>
      <c r="Y449" t="s">
        <v>1857</v>
      </c>
      <c r="Z449" t="str">
        <f>IF(A449="","",TEXT(A449,"0")&amp;"|"&amp;TEXT(H449,"0"))</f>
        <v>5188017785231050|46121</v>
      </c>
      <c r="AA449" t="str">
        <f>IF(Z449="","",IFERROR(LOOKUP(2,1/(#REF!=Z449),#REF!),""))</f>
        <v/>
      </c>
      <c r="AB449" t="str">
        <f>IF(Z449="","",IFERROR(LOOKUP(2,1/(#REF!=Z449),#REF!),""))</f>
        <v/>
      </c>
      <c r="AC449" t="e">
        <f>IF(Z449="","",COUNTIF(#REF!,Z449))</f>
        <v>#REF!</v>
      </c>
      <c r="AD449" t="e">
        <f>IF(A449="","",IF(AC449&gt;1,"REVISAR DUPLICADO",IF(AA449&lt;&gt;"","ACTUALIZADO POR EYR","SIN REPORTE EYR")))</f>
        <v>#REF!</v>
      </c>
    </row>
    <row r="450" spans="1:30" x14ac:dyDescent="0.3">
      <c r="A450" s="5" t="s">
        <v>4414</v>
      </c>
      <c r="B450" t="s">
        <v>4413</v>
      </c>
      <c r="C450" s="4" t="s">
        <v>4412</v>
      </c>
      <c r="D450" t="s">
        <v>600</v>
      </c>
      <c r="F450" t="s">
        <v>4411</v>
      </c>
      <c r="G450" s="3">
        <v>8492010722</v>
      </c>
      <c r="H450" s="2">
        <v>46121</v>
      </c>
      <c r="K450" s="1">
        <f ca="1">IF(A450="","",IF(OR(L450="ENTREGADA",L450="RETORNADA",L450="ENTREGA DIGITAL"),0,MAX(0,5-NETWORKDAYS(H450+1,TODAY()))))</f>
        <v>0</v>
      </c>
      <c r="L450" t="str">
        <f>IF(A450="","",IFERROR(LOOKUP(2,1/(#REF!=Z450),#REF!),Y450))</f>
        <v>ENTREGADA</v>
      </c>
      <c r="Y450" t="s">
        <v>1956</v>
      </c>
      <c r="Z450" t="str">
        <f>IF(A450="","",TEXT(A450,"0")&amp;"|"&amp;TEXT(H450,"0"))</f>
        <v>4921017786015780|46121</v>
      </c>
      <c r="AA450" t="str">
        <f>IF(Z450="","",IFERROR(LOOKUP(2,1/(#REF!=Z450),#REF!),""))</f>
        <v/>
      </c>
      <c r="AB450" t="str">
        <f>IF(Z450="","",IFERROR(LOOKUP(2,1/(#REF!=Z450),#REF!),""))</f>
        <v/>
      </c>
      <c r="AC450" t="e">
        <f>IF(Z450="","",COUNTIF(#REF!,Z450))</f>
        <v>#REF!</v>
      </c>
      <c r="AD450" t="e">
        <f>IF(A450="","",IF(AC450&gt;1,"REVISAR DUPLICADO",IF(AA450&lt;&gt;"","ACTUALIZADO POR EYR","SIN REPORTE EYR")))</f>
        <v>#REF!</v>
      </c>
    </row>
    <row r="451" spans="1:30" x14ac:dyDescent="0.3">
      <c r="A451" s="5" t="s">
        <v>4410</v>
      </c>
      <c r="B451" t="s">
        <v>4409</v>
      </c>
      <c r="C451" s="4" t="s">
        <v>4408</v>
      </c>
      <c r="D451" t="s">
        <v>600</v>
      </c>
      <c r="F451" t="s">
        <v>4407</v>
      </c>
      <c r="G451" s="3">
        <v>8498151794</v>
      </c>
      <c r="H451" s="2">
        <v>46121</v>
      </c>
      <c r="K451" s="1">
        <f ca="1">IF(A451="","",IF(OR(L451="ENTREGADA",L451="RETORNADA",L451="ENTREGA DIGITAL"),0,MAX(0,5-NETWORKDAYS(H451+1,TODAY()))))</f>
        <v>0</v>
      </c>
      <c r="L451" t="str">
        <f>IF(A451="","",IFERROR(LOOKUP(2,1/(#REF!=Z451),#REF!),Y451))</f>
        <v>RETORNADA</v>
      </c>
      <c r="Y451" t="s">
        <v>1857</v>
      </c>
      <c r="Z451" t="str">
        <f>IF(A451="","",TEXT(A451,"0")&amp;"|"&amp;TEXT(H451,"0"))</f>
        <v>5415017768082140|46121</v>
      </c>
      <c r="AA451" t="str">
        <f>IF(Z451="","",IFERROR(LOOKUP(2,1/(#REF!=Z451),#REF!),""))</f>
        <v/>
      </c>
      <c r="AB451" t="str">
        <f>IF(Z451="","",IFERROR(LOOKUP(2,1/(#REF!=Z451),#REF!),""))</f>
        <v/>
      </c>
      <c r="AC451" t="e">
        <f>IF(Z451="","",COUNTIF(#REF!,Z451))</f>
        <v>#REF!</v>
      </c>
      <c r="AD451" t="e">
        <f>IF(A451="","",IF(AC451&gt;1,"REVISAR DUPLICADO",IF(AA451&lt;&gt;"","ACTUALIZADO POR EYR","SIN REPORTE EYR")))</f>
        <v>#REF!</v>
      </c>
    </row>
    <row r="452" spans="1:30" x14ac:dyDescent="0.3">
      <c r="A452" s="5" t="s">
        <v>4406</v>
      </c>
      <c r="B452" t="s">
        <v>4405</v>
      </c>
      <c r="C452" s="4" t="s">
        <v>4404</v>
      </c>
      <c r="D452" t="s">
        <v>600</v>
      </c>
      <c r="F452" t="s">
        <v>4403</v>
      </c>
      <c r="G452" s="3">
        <v>8296334751</v>
      </c>
      <c r="H452" s="2">
        <v>46121</v>
      </c>
      <c r="K452" s="1">
        <f ca="1">IF(A452="","",IF(OR(L452="ENTREGADA",L452="RETORNADA",L452="ENTREGA DIGITAL"),0,MAX(0,5-NETWORKDAYS(H452+1,TODAY()))))</f>
        <v>0</v>
      </c>
      <c r="L452" t="str">
        <f>IF(A452="","",IFERROR(LOOKUP(2,1/(#REF!=Z452),#REF!),Y452))</f>
        <v>ENTREGADA</v>
      </c>
      <c r="Y452" t="s">
        <v>1956</v>
      </c>
      <c r="Z452" t="str">
        <f>IF(A452="","",TEXT(A452,"0")&amp;"|"&amp;TEXT(H452,"0"))</f>
        <v>5188017779995560|46121</v>
      </c>
      <c r="AA452" t="str">
        <f>IF(Z452="","",IFERROR(LOOKUP(2,1/(#REF!=Z452),#REF!),""))</f>
        <v/>
      </c>
      <c r="AB452" t="str">
        <f>IF(Z452="","",IFERROR(LOOKUP(2,1/(#REF!=Z452),#REF!),""))</f>
        <v/>
      </c>
      <c r="AC452" t="e">
        <f>IF(Z452="","",COUNTIF(#REF!,Z452))</f>
        <v>#REF!</v>
      </c>
      <c r="AD452" t="e">
        <f>IF(A452="","",IF(AC452&gt;1,"REVISAR DUPLICADO",IF(AA452&lt;&gt;"","ACTUALIZADO POR EYR","SIN REPORTE EYR")))</f>
        <v>#REF!</v>
      </c>
    </row>
    <row r="453" spans="1:30" x14ac:dyDescent="0.3">
      <c r="A453" s="5" t="s">
        <v>4402</v>
      </c>
      <c r="B453" t="s">
        <v>4401</v>
      </c>
      <c r="C453" s="4" t="s">
        <v>4400</v>
      </c>
      <c r="D453" t="s">
        <v>600</v>
      </c>
      <c r="F453" t="s">
        <v>4399</v>
      </c>
      <c r="G453" s="3">
        <v>8296605203</v>
      </c>
      <c r="H453" s="2">
        <v>46121</v>
      </c>
      <c r="K453" s="1">
        <f ca="1">IF(A453="","",IF(OR(L453="ENTREGADA",L453="RETORNADA",L453="ENTREGA DIGITAL"),0,MAX(0,5-NETWORKDAYS(H453+1,TODAY()))))</f>
        <v>0</v>
      </c>
      <c r="L453" t="str">
        <f>IF(A453="","",IFERROR(LOOKUP(2,1/(#REF!=Z453),#REF!),Y453))</f>
        <v>ENTREGADA</v>
      </c>
      <c r="Y453" t="s">
        <v>1956</v>
      </c>
      <c r="Z453" t="str">
        <f>IF(A453="","",TEXT(A453,"0")&amp;"|"&amp;TEXT(H453,"0"))</f>
        <v>4921017782210210|46121</v>
      </c>
      <c r="AA453" t="str">
        <f>IF(Z453="","",IFERROR(LOOKUP(2,1/(#REF!=Z453),#REF!),""))</f>
        <v/>
      </c>
      <c r="AB453" t="str">
        <f>IF(Z453="","",IFERROR(LOOKUP(2,1/(#REF!=Z453),#REF!),""))</f>
        <v/>
      </c>
      <c r="AC453" t="e">
        <f>IF(Z453="","",COUNTIF(#REF!,Z453))</f>
        <v>#REF!</v>
      </c>
      <c r="AD453" t="e">
        <f>IF(A453="","",IF(AC453&gt;1,"REVISAR DUPLICADO",IF(AA453&lt;&gt;"","ACTUALIZADO POR EYR","SIN REPORTE EYR")))</f>
        <v>#REF!</v>
      </c>
    </row>
    <row r="454" spans="1:30" x14ac:dyDescent="0.3">
      <c r="A454" s="5" t="s">
        <v>4398</v>
      </c>
      <c r="B454" t="s">
        <v>4395</v>
      </c>
      <c r="C454" s="4" t="s">
        <v>4394</v>
      </c>
      <c r="D454" t="s">
        <v>600</v>
      </c>
      <c r="F454" t="s">
        <v>4397</v>
      </c>
      <c r="G454" s="3">
        <v>8097797051</v>
      </c>
      <c r="H454" s="2">
        <v>46121</v>
      </c>
      <c r="K454" s="1">
        <f ca="1">IF(A454="","",IF(OR(L454="ENTREGADA",L454="RETORNADA",L454="ENTREGA DIGITAL"),0,MAX(0,5-NETWORKDAYS(H454+1,TODAY()))))</f>
        <v>0</v>
      </c>
      <c r="L454" t="str">
        <f>IF(A454="","",IFERROR(LOOKUP(2,1/(#REF!=Z454),#REF!),Y454))</f>
        <v>ENTREGADA</v>
      </c>
      <c r="Y454" t="s">
        <v>1956</v>
      </c>
      <c r="Z454" t="str">
        <f>IF(A454="","",TEXT(A454,"0")&amp;"|"&amp;TEXT(H454,"0"))</f>
        <v>4921017781491620|46121</v>
      </c>
      <c r="AA454" t="str">
        <f>IF(Z454="","",IFERROR(LOOKUP(2,1/(#REF!=Z454),#REF!),""))</f>
        <v/>
      </c>
      <c r="AB454" t="str">
        <f>IF(Z454="","",IFERROR(LOOKUP(2,1/(#REF!=Z454),#REF!),""))</f>
        <v/>
      </c>
      <c r="AC454" t="e">
        <f>IF(Z454="","",COUNTIF(#REF!,Z454))</f>
        <v>#REF!</v>
      </c>
      <c r="AD454" t="e">
        <f>IF(A454="","",IF(AC454&gt;1,"REVISAR DUPLICADO",IF(AA454&lt;&gt;"","ACTUALIZADO POR EYR","SIN REPORTE EYR")))</f>
        <v>#REF!</v>
      </c>
    </row>
    <row r="455" spans="1:30" x14ac:dyDescent="0.3">
      <c r="A455" s="5" t="s">
        <v>4396</v>
      </c>
      <c r="B455" t="s">
        <v>4395</v>
      </c>
      <c r="C455" s="4" t="s">
        <v>4394</v>
      </c>
      <c r="D455" t="s">
        <v>600</v>
      </c>
      <c r="F455" t="s">
        <v>4393</v>
      </c>
      <c r="G455" s="3">
        <v>8097797051</v>
      </c>
      <c r="H455" s="2">
        <v>46121</v>
      </c>
      <c r="K455" s="1">
        <f ca="1">IF(A455="","",IF(OR(L455="ENTREGADA",L455="RETORNADA",L455="ENTREGA DIGITAL"),0,MAX(0,5-NETWORKDAYS(H455+1,TODAY()))))</f>
        <v>0</v>
      </c>
      <c r="L455" t="str">
        <f>IF(A455="","",IFERROR(LOOKUP(2,1/(#REF!=Z455),#REF!),Y455))</f>
        <v>ENTREGADA</v>
      </c>
      <c r="Y455" t="s">
        <v>1956</v>
      </c>
      <c r="Z455" t="str">
        <f>IF(A455="","",TEXT(A455,"0")&amp;"|"&amp;TEXT(H455,"0"))</f>
        <v>4966017781009780|46121</v>
      </c>
      <c r="AA455" t="str">
        <f>IF(Z455="","",IFERROR(LOOKUP(2,1/(#REF!=Z455),#REF!),""))</f>
        <v/>
      </c>
      <c r="AB455" t="str">
        <f>IF(Z455="","",IFERROR(LOOKUP(2,1/(#REF!=Z455),#REF!),""))</f>
        <v/>
      </c>
      <c r="AC455" t="e">
        <f>IF(Z455="","",COUNTIF(#REF!,Z455))</f>
        <v>#REF!</v>
      </c>
      <c r="AD455" t="e">
        <f>IF(A455="","",IF(AC455&gt;1,"REVISAR DUPLICADO",IF(AA455&lt;&gt;"","ACTUALIZADO POR EYR","SIN REPORTE EYR")))</f>
        <v>#REF!</v>
      </c>
    </row>
    <row r="456" spans="1:30" x14ac:dyDescent="0.3">
      <c r="A456" s="5" t="s">
        <v>4392</v>
      </c>
      <c r="B456" t="s">
        <v>4390</v>
      </c>
      <c r="C456" s="4" t="s">
        <v>4389</v>
      </c>
      <c r="D456" t="s">
        <v>600</v>
      </c>
      <c r="F456" t="s">
        <v>4388</v>
      </c>
      <c r="G456" s="3">
        <v>8099830365</v>
      </c>
      <c r="H456" s="2">
        <v>46121</v>
      </c>
      <c r="J456" t="s">
        <v>1399</v>
      </c>
      <c r="K456" s="1">
        <f ca="1">IF(A456="","",IF(OR(L456="ENTREGADA",L456="RETORNADA",L456="ENTREGA DIGITAL"),0,MAX(0,5-NETWORKDAYS(H456+1,TODAY()))))</f>
        <v>0</v>
      </c>
      <c r="L456" t="str">
        <f>IF(A456="","",IFERROR(LOOKUP(2,1/(#REF!=Z456),#REF!),Y456))</f>
        <v>ENTREGADA</v>
      </c>
      <c r="Y456" t="s">
        <v>1956</v>
      </c>
      <c r="Z456" t="str">
        <f>IF(A456="","",TEXT(A456,"0")&amp;"|"&amp;TEXT(H456,"0"))</f>
        <v>4921017780300540|46121</v>
      </c>
      <c r="AA456" t="str">
        <f>IF(Z456="","",IFERROR(LOOKUP(2,1/(#REF!=Z456),#REF!),""))</f>
        <v/>
      </c>
      <c r="AB456" t="str">
        <f>IF(Z456="","",IFERROR(LOOKUP(2,1/(#REF!=Z456),#REF!),""))</f>
        <v/>
      </c>
      <c r="AC456" t="e">
        <f>IF(Z456="","",COUNTIF(#REF!,Z456))</f>
        <v>#REF!</v>
      </c>
      <c r="AD456" t="e">
        <f>IF(A456="","",IF(AC456&gt;1,"REVISAR DUPLICADO",IF(AA456&lt;&gt;"","ACTUALIZADO POR EYR","SIN REPORTE EYR")))</f>
        <v>#REF!</v>
      </c>
    </row>
    <row r="457" spans="1:30" x14ac:dyDescent="0.3">
      <c r="A457" s="5" t="s">
        <v>4391</v>
      </c>
      <c r="B457" t="s">
        <v>4390</v>
      </c>
      <c r="C457" s="4" t="s">
        <v>4389</v>
      </c>
      <c r="D457" t="s">
        <v>600</v>
      </c>
      <c r="F457" t="s">
        <v>4388</v>
      </c>
      <c r="G457" s="3">
        <v>8099830365</v>
      </c>
      <c r="H457" s="2">
        <v>46121</v>
      </c>
      <c r="K457" s="1">
        <f ca="1">IF(A457="","",IF(OR(L457="ENTREGADA",L457="RETORNADA",L457="ENTREGA DIGITAL"),0,MAX(0,5-NETWORKDAYS(H457+1,TODAY()))))</f>
        <v>0</v>
      </c>
      <c r="L457" t="str">
        <f>IF(A457="","",IFERROR(LOOKUP(2,1/(#REF!=Z457),#REF!),Y457))</f>
        <v>ENTREGADA</v>
      </c>
      <c r="Y457" t="s">
        <v>1956</v>
      </c>
      <c r="Z457" t="str">
        <f>IF(A457="","",TEXT(A457,"0")&amp;"|"&amp;TEXT(H457,"0"))</f>
        <v>5188017779604290|46121</v>
      </c>
      <c r="AA457" t="str">
        <f>IF(Z457="","",IFERROR(LOOKUP(2,1/(#REF!=Z457),#REF!),""))</f>
        <v/>
      </c>
      <c r="AB457" t="str">
        <f>IF(Z457="","",IFERROR(LOOKUP(2,1/(#REF!=Z457),#REF!),""))</f>
        <v/>
      </c>
      <c r="AC457" t="e">
        <f>IF(Z457="","",COUNTIF(#REF!,Z457))</f>
        <v>#REF!</v>
      </c>
      <c r="AD457" t="e">
        <f>IF(A457="","",IF(AC457&gt;1,"REVISAR DUPLICADO",IF(AA457&lt;&gt;"","ACTUALIZADO POR EYR","SIN REPORTE EYR")))</f>
        <v>#REF!</v>
      </c>
    </row>
    <row r="458" spans="1:30" x14ac:dyDescent="0.3">
      <c r="A458" s="5" t="s">
        <v>4387</v>
      </c>
      <c r="B458" t="s">
        <v>4386</v>
      </c>
      <c r="C458" s="4" t="s">
        <v>4385</v>
      </c>
      <c r="D458" t="s">
        <v>600</v>
      </c>
      <c r="F458" t="s">
        <v>4384</v>
      </c>
      <c r="G458" s="3">
        <v>8296761707</v>
      </c>
      <c r="H458" s="2">
        <v>46121</v>
      </c>
      <c r="K458" s="1">
        <f ca="1">IF(A458="","",IF(OR(L458="ENTREGADA",L458="RETORNADA",L458="ENTREGA DIGITAL"),0,MAX(0,5-NETWORKDAYS(H458+1,TODAY()))))</f>
        <v>0</v>
      </c>
      <c r="L458" t="str">
        <f>IF(A458="","",IFERROR(LOOKUP(2,1/(#REF!=Z458),#REF!),Y458))</f>
        <v>RETORNADA</v>
      </c>
      <c r="Y458" t="s">
        <v>1857</v>
      </c>
      <c r="Z458" t="str">
        <f>IF(A458="","",TEXT(A458,"0")&amp;"|"&amp;TEXT(H458,"0"))</f>
        <v>4921017783214770|46121</v>
      </c>
      <c r="AA458" t="str">
        <f>IF(Z458="","",IFERROR(LOOKUP(2,1/(#REF!=Z458),#REF!),""))</f>
        <v/>
      </c>
      <c r="AB458" t="str">
        <f>IF(Z458="","",IFERROR(LOOKUP(2,1/(#REF!=Z458),#REF!),""))</f>
        <v/>
      </c>
      <c r="AC458" t="e">
        <f>IF(Z458="","",COUNTIF(#REF!,Z458))</f>
        <v>#REF!</v>
      </c>
      <c r="AD458" t="e">
        <f>IF(A458="","",IF(AC458&gt;1,"REVISAR DUPLICADO",IF(AA458&lt;&gt;"","ACTUALIZADO POR EYR","SIN REPORTE EYR")))</f>
        <v>#REF!</v>
      </c>
    </row>
    <row r="459" spans="1:30" x14ac:dyDescent="0.3">
      <c r="A459" s="5" t="s">
        <v>1454</v>
      </c>
      <c r="B459" t="s">
        <v>1453</v>
      </c>
      <c r="C459" s="4" t="s">
        <v>1452</v>
      </c>
      <c r="D459" t="s">
        <v>21</v>
      </c>
      <c r="F459" t="s">
        <v>0</v>
      </c>
      <c r="G459" s="3">
        <v>8095375017</v>
      </c>
      <c r="H459" s="2">
        <v>46121</v>
      </c>
      <c r="K459" s="1">
        <f ca="1">IF(A459="","",IF(OR(L459="ENTREGADA",L459="RETORNADA",L459="ENTREGA DIGITAL"),0,MAX(0,5-NETWORKDAYS(H459+1,TODAY()))))</f>
        <v>0</v>
      </c>
      <c r="L459" t="str">
        <f>IF(A459="","",IFERROR(LOOKUP(2,1/(#REF!=Z459),#REF!),Y459))</f>
        <v>RETORNADA</v>
      </c>
      <c r="Y459" t="s">
        <v>1857</v>
      </c>
      <c r="Z459" t="str">
        <f>IF(A459="","",TEXT(A459,"0")&amp;"|"&amp;TEXT(H459,"0"))</f>
        <v>4921017662880450|46121</v>
      </c>
      <c r="AA459" t="str">
        <f>IF(Z459="","",IFERROR(LOOKUP(2,1/(#REF!=Z459),#REF!),""))</f>
        <v/>
      </c>
      <c r="AB459" t="str">
        <f>IF(Z459="","",IFERROR(LOOKUP(2,1/(#REF!=Z459),#REF!),""))</f>
        <v/>
      </c>
      <c r="AC459" t="e">
        <f>IF(Z459="","",COUNTIF(#REF!,Z459))</f>
        <v>#REF!</v>
      </c>
      <c r="AD459" t="e">
        <f>IF(A459="","",IF(AC459&gt;1,"REVISAR DUPLICADO",IF(AA459&lt;&gt;"","ACTUALIZADO POR EYR","SIN REPORTE EYR")))</f>
        <v>#REF!</v>
      </c>
    </row>
    <row r="460" spans="1:30" x14ac:dyDescent="0.3">
      <c r="A460" s="5" t="s">
        <v>4383</v>
      </c>
      <c r="B460" t="s">
        <v>4382</v>
      </c>
      <c r="C460" s="4" t="s">
        <v>4381</v>
      </c>
      <c r="D460" t="s">
        <v>21</v>
      </c>
      <c r="F460" t="s">
        <v>13</v>
      </c>
      <c r="G460" s="3">
        <v>8496235451</v>
      </c>
      <c r="H460" s="2">
        <v>46121</v>
      </c>
      <c r="K460" s="1">
        <f ca="1">IF(A460="","",IF(OR(L460="ENTREGADA",L460="RETORNADA",L460="ENTREGA DIGITAL"),0,MAX(0,5-NETWORKDAYS(H460+1,TODAY()))))</f>
        <v>0</v>
      </c>
      <c r="L460" t="str">
        <f>IF(A460="","",IFERROR(LOOKUP(2,1/(#REF!=Z460),#REF!),Y460))</f>
        <v>ENTREGA DIGITAL</v>
      </c>
      <c r="Y460" t="s">
        <v>1396</v>
      </c>
      <c r="Z460" t="str">
        <f>IF(A460="","",TEXT(A460,"0")&amp;"|"&amp;TEXT(H460,"0"))</f>
        <v>4966017681793060|46121</v>
      </c>
      <c r="AA460" t="str">
        <f>IF(Z460="","",IFERROR(LOOKUP(2,1/(#REF!=Z460),#REF!),""))</f>
        <v/>
      </c>
      <c r="AB460" t="str">
        <f>IF(Z460="","",IFERROR(LOOKUP(2,1/(#REF!=Z460),#REF!),""))</f>
        <v/>
      </c>
      <c r="AC460" t="e">
        <f>IF(Z460="","",COUNTIF(#REF!,Z460))</f>
        <v>#REF!</v>
      </c>
      <c r="AD460" t="e">
        <f>IF(A460="","",IF(AC460&gt;1,"REVISAR DUPLICADO",IF(AA460&lt;&gt;"","ACTUALIZADO POR EYR","SIN REPORTE EYR")))</f>
        <v>#REF!</v>
      </c>
    </row>
    <row r="461" spans="1:30" x14ac:dyDescent="0.3">
      <c r="A461" s="5" t="s">
        <v>4380</v>
      </c>
      <c r="B461" t="s">
        <v>4379</v>
      </c>
      <c r="C461" s="4" t="s">
        <v>4378</v>
      </c>
      <c r="D461" t="s">
        <v>21</v>
      </c>
      <c r="F461" t="s">
        <v>13</v>
      </c>
      <c r="G461" s="3">
        <v>8296836531</v>
      </c>
      <c r="H461" s="2">
        <v>46121</v>
      </c>
      <c r="K461" s="1">
        <f ca="1">IF(A461="","",IF(OR(L461="ENTREGADA",L461="RETORNADA",L461="ENTREGA DIGITAL"),0,MAX(0,5-NETWORKDAYS(H461+1,TODAY()))))</f>
        <v>0</v>
      </c>
      <c r="L461" t="str">
        <f>IF(A461="","",IFERROR(LOOKUP(2,1/(#REF!=Z461),#REF!),Y461))</f>
        <v>ENTREGA DIGITAL</v>
      </c>
      <c r="Y461" t="s">
        <v>1396</v>
      </c>
      <c r="Z461" t="str">
        <f>IF(A461="","",TEXT(A461,"0")&amp;"|"&amp;TEXT(H461,"0"))</f>
        <v>5188017787948300|46121</v>
      </c>
      <c r="AA461" t="str">
        <f>IF(Z461="","",IFERROR(LOOKUP(2,1/(#REF!=Z461),#REF!),""))</f>
        <v/>
      </c>
      <c r="AB461" t="str">
        <f>IF(Z461="","",IFERROR(LOOKUP(2,1/(#REF!=Z461),#REF!),""))</f>
        <v/>
      </c>
      <c r="AC461" t="e">
        <f>IF(Z461="","",COUNTIF(#REF!,Z461))</f>
        <v>#REF!</v>
      </c>
      <c r="AD461" t="e">
        <f>IF(A461="","",IF(AC461&gt;1,"REVISAR DUPLICADO",IF(AA461&lt;&gt;"","ACTUALIZADO POR EYR","SIN REPORTE EYR")))</f>
        <v>#REF!</v>
      </c>
    </row>
    <row r="462" spans="1:30" x14ac:dyDescent="0.3">
      <c r="A462" s="5" t="s">
        <v>4377</v>
      </c>
      <c r="B462" t="s">
        <v>4376</v>
      </c>
      <c r="C462" s="4" t="s">
        <v>4375</v>
      </c>
      <c r="D462" t="s">
        <v>21</v>
      </c>
      <c r="E462" t="s">
        <v>21</v>
      </c>
      <c r="F462" t="s">
        <v>62</v>
      </c>
      <c r="G462" s="3">
        <v>8093925094</v>
      </c>
      <c r="H462" s="2">
        <v>46121</v>
      </c>
      <c r="K462" s="1">
        <f ca="1">IF(A462="","",IF(OR(L462="ENTREGADA",L462="RETORNADA",L462="ENTREGA DIGITAL"),0,MAX(0,5-NETWORKDAYS(H462+1,TODAY()))))</f>
        <v>0</v>
      </c>
      <c r="L462" t="str">
        <f>IF(A462="","",IFERROR(LOOKUP(2,1/(#REF!=Z462),#REF!),Y462))</f>
        <v>ENTREGA DIGITAL</v>
      </c>
      <c r="Y462" t="s">
        <v>1396</v>
      </c>
      <c r="Z462" t="str">
        <f>IF(A462="","",TEXT(A462,"0")&amp;"|"&amp;TEXT(H462,"0"))</f>
        <v>5188017787819340|46121</v>
      </c>
      <c r="AA462" t="str">
        <f>IF(Z462="","",IFERROR(LOOKUP(2,1/(#REF!=Z462),#REF!),""))</f>
        <v/>
      </c>
      <c r="AB462" t="str">
        <f>IF(Z462="","",IFERROR(LOOKUP(2,1/(#REF!=Z462),#REF!),""))</f>
        <v/>
      </c>
      <c r="AC462" t="e">
        <f>IF(Z462="","",COUNTIF(#REF!,Z462))</f>
        <v>#REF!</v>
      </c>
      <c r="AD462" t="e">
        <f>IF(A462="","",IF(AC462&gt;1,"REVISAR DUPLICADO",IF(AA462&lt;&gt;"","ACTUALIZADO POR EYR","SIN REPORTE EYR")))</f>
        <v>#REF!</v>
      </c>
    </row>
    <row r="463" spans="1:30" x14ac:dyDescent="0.3">
      <c r="A463" s="5" t="s">
        <v>4374</v>
      </c>
      <c r="B463" t="s">
        <v>4373</v>
      </c>
      <c r="C463" s="4" t="s">
        <v>4372</v>
      </c>
      <c r="D463" t="s">
        <v>21</v>
      </c>
      <c r="E463" t="s">
        <v>21</v>
      </c>
      <c r="F463" t="s">
        <v>62</v>
      </c>
      <c r="G463" s="3">
        <v>8299328235</v>
      </c>
      <c r="H463" s="2">
        <v>46121</v>
      </c>
      <c r="K463" s="1">
        <f ca="1">IF(A463="","",IF(OR(L463="ENTREGADA",L463="RETORNADA",L463="ENTREGA DIGITAL"),0,MAX(0,5-NETWORKDAYS(H463+1,TODAY()))))</f>
        <v>0</v>
      </c>
      <c r="L463" t="str">
        <f>IF(A463="","",IFERROR(LOOKUP(2,1/(#REF!=Z463),#REF!),Y463))</f>
        <v>ENTREGA DIGITAL</v>
      </c>
      <c r="Y463" t="s">
        <v>1396</v>
      </c>
      <c r="Z463" t="str">
        <f>IF(A463="","",TEXT(A463,"0")&amp;"|"&amp;TEXT(H463,"0"))</f>
        <v>5415017787136980|46121</v>
      </c>
      <c r="AA463" t="str">
        <f>IF(Z463="","",IFERROR(LOOKUP(2,1/(#REF!=Z463),#REF!),""))</f>
        <v/>
      </c>
      <c r="AB463" t="str">
        <f>IF(Z463="","",IFERROR(LOOKUP(2,1/(#REF!=Z463),#REF!),""))</f>
        <v/>
      </c>
      <c r="AC463" t="e">
        <f>IF(Z463="","",COUNTIF(#REF!,Z463))</f>
        <v>#REF!</v>
      </c>
      <c r="AD463" t="e">
        <f>IF(A463="","",IF(AC463&gt;1,"REVISAR DUPLICADO",IF(AA463&lt;&gt;"","ACTUALIZADO POR EYR","SIN REPORTE EYR")))</f>
        <v>#REF!</v>
      </c>
    </row>
    <row r="464" spans="1:30" x14ac:dyDescent="0.3">
      <c r="A464" s="5" t="s">
        <v>4371</v>
      </c>
      <c r="B464" t="s">
        <v>4370</v>
      </c>
      <c r="C464" s="4" t="s">
        <v>4369</v>
      </c>
      <c r="D464" t="s">
        <v>21</v>
      </c>
      <c r="F464" t="s">
        <v>13</v>
      </c>
      <c r="G464" s="3">
        <v>8299352196</v>
      </c>
      <c r="H464" s="2">
        <v>46121</v>
      </c>
      <c r="I464" t="s">
        <v>1397</v>
      </c>
      <c r="K464" s="1">
        <f ca="1">IF(A464="","",IF(OR(L464="ENTREGADA",L464="RETORNADA",L464="ENTREGA DIGITAL"),0,MAX(0,5-NETWORKDAYS(H464+1,TODAY()))))</f>
        <v>0</v>
      </c>
      <c r="L464" t="str">
        <f>IF(A464="","",IFERROR(LOOKUP(2,1/(#REF!=Z464),#REF!),Y464))</f>
        <v>ENTREGA DIGITAL</v>
      </c>
      <c r="Y464" t="s">
        <v>1396</v>
      </c>
      <c r="Z464" t="str">
        <f>IF(A464="","",TEXT(A464,"0")&amp;"|"&amp;TEXT(H464,"0"))</f>
        <v>4921017790265280|46121</v>
      </c>
      <c r="AA464" t="str">
        <f>IF(Z464="","",IFERROR(LOOKUP(2,1/(#REF!=Z464),#REF!),""))</f>
        <v/>
      </c>
      <c r="AB464" t="str">
        <f>IF(Z464="","",IFERROR(LOOKUP(2,1/(#REF!=Z464),#REF!),""))</f>
        <v/>
      </c>
      <c r="AC464" t="e">
        <f>IF(Z464="","",COUNTIF(#REF!,Z464))</f>
        <v>#REF!</v>
      </c>
      <c r="AD464" t="e">
        <f>IF(A464="","",IF(AC464&gt;1,"REVISAR DUPLICADO",IF(AA464&lt;&gt;"","ACTUALIZADO POR EYR","SIN REPORTE EYR")))</f>
        <v>#REF!</v>
      </c>
    </row>
    <row r="465" spans="1:30" x14ac:dyDescent="0.3">
      <c r="A465" s="5" t="s">
        <v>4368</v>
      </c>
      <c r="B465" t="s">
        <v>4367</v>
      </c>
      <c r="C465" s="4" t="s">
        <v>4366</v>
      </c>
      <c r="D465" t="s">
        <v>21</v>
      </c>
      <c r="F465" t="s">
        <v>13</v>
      </c>
      <c r="G465" s="3">
        <v>8296303446</v>
      </c>
      <c r="H465" s="2">
        <v>46121</v>
      </c>
      <c r="K465" s="1">
        <f ca="1">IF(A465="","",IF(OR(L465="ENTREGADA",L465="RETORNADA",L465="ENTREGA DIGITAL"),0,MAX(0,5-NETWORKDAYS(H465+1,TODAY()))))</f>
        <v>0</v>
      </c>
      <c r="L465" t="str">
        <f>IF(A465="","",IFERROR(LOOKUP(2,1/(#REF!=Z465),#REF!),Y465))</f>
        <v>RETORNADA</v>
      </c>
      <c r="Y465" t="s">
        <v>1857</v>
      </c>
      <c r="Z465" t="str">
        <f>IF(A465="","",TEXT(A465,"0")&amp;"|"&amp;TEXT(H465,"0"))</f>
        <v>4921017789874690|46121</v>
      </c>
      <c r="AA465" t="str">
        <f>IF(Z465="","",IFERROR(LOOKUP(2,1/(#REF!=Z465),#REF!),""))</f>
        <v/>
      </c>
      <c r="AB465" t="str">
        <f>IF(Z465="","",IFERROR(LOOKUP(2,1/(#REF!=Z465),#REF!),""))</f>
        <v/>
      </c>
      <c r="AC465" t="e">
        <f>IF(Z465="","",COUNTIF(#REF!,Z465))</f>
        <v>#REF!</v>
      </c>
      <c r="AD465" t="e">
        <f>IF(A465="","",IF(AC465&gt;1,"REVISAR DUPLICADO",IF(AA465&lt;&gt;"","ACTUALIZADO POR EYR","SIN REPORTE EYR")))</f>
        <v>#REF!</v>
      </c>
    </row>
    <row r="466" spans="1:30" x14ac:dyDescent="0.3">
      <c r="A466" s="5" t="s">
        <v>4365</v>
      </c>
      <c r="B466" t="s">
        <v>4364</v>
      </c>
      <c r="C466" s="4" t="s">
        <v>4363</v>
      </c>
      <c r="D466" t="s">
        <v>21</v>
      </c>
      <c r="F466" t="s">
        <v>13</v>
      </c>
      <c r="G466" s="3">
        <v>8494889483</v>
      </c>
      <c r="H466" s="2">
        <v>46121</v>
      </c>
      <c r="K466" s="1">
        <f ca="1">IF(A462="","",IF(OR(L466="ENTREGADA",L466="RETORNADA",L466="ENTREGA DIGITAL"),0,MAX(0,5-NETWORKDAYS(H462+1,TODAY()))))</f>
        <v>0</v>
      </c>
      <c r="L466" t="str">
        <f>IF(A466="","",IFERROR(LOOKUP(2,1/(#REF!=Z466),#REF!),Y466))</f>
        <v>RETORNADA</v>
      </c>
      <c r="Y466" t="s">
        <v>1857</v>
      </c>
      <c r="Z466" t="str">
        <f>IF(A466="","",TEXT(A466,"0")&amp;"|"&amp;TEXT(H466,"0"))</f>
        <v>5188017787924350|46121</v>
      </c>
      <c r="AA466" t="str">
        <f>IF(Z466="","",IFERROR(LOOKUP(2,1/(#REF!=Z466),#REF!),""))</f>
        <v/>
      </c>
      <c r="AB466" t="str">
        <f>IF(Z466="","",IFERROR(LOOKUP(2,1/(#REF!=Z466),#REF!),""))</f>
        <v/>
      </c>
      <c r="AC466" t="e">
        <f>IF(Z466="","",COUNTIF(#REF!,Z466))</f>
        <v>#REF!</v>
      </c>
      <c r="AD466" t="e">
        <f>IF(A466="","",IF(AC466&gt;1,"REVISAR DUPLICADO",IF(AA466&lt;&gt;"","ACTUALIZADO POR EYR","SIN REPORTE EYR")))</f>
        <v>#REF!</v>
      </c>
    </row>
    <row r="467" spans="1:30" x14ac:dyDescent="0.3">
      <c r="A467" s="5" t="s">
        <v>4362</v>
      </c>
      <c r="B467" t="s">
        <v>4361</v>
      </c>
      <c r="C467" s="4" t="s">
        <v>4360</v>
      </c>
      <c r="D467" t="s">
        <v>21</v>
      </c>
      <c r="F467" t="s">
        <v>13</v>
      </c>
      <c r="G467" s="3">
        <v>8095294213</v>
      </c>
      <c r="H467" s="2">
        <v>46121</v>
      </c>
      <c r="K467" s="1">
        <f ca="1">IF(A463="","",IF(OR(L467="ENTREGADA",L467="RETORNADA",L467="ENTREGA DIGITAL"),0,MAX(0,5-NETWORKDAYS(H463+1,TODAY()))))</f>
        <v>0</v>
      </c>
      <c r="L467" t="str">
        <f>IF(A467="","",IFERROR(LOOKUP(2,1/(#REF!=Z467),#REF!),Y467))</f>
        <v>ENTREGA DIGITAL</v>
      </c>
      <c r="Y467" t="s">
        <v>1396</v>
      </c>
      <c r="Z467" t="str">
        <f>IF(A467="","",TEXT(A467,"0")&amp;"|"&amp;TEXT(H467,"0"))</f>
        <v>4921017789092720|46121</v>
      </c>
      <c r="AA467" t="str">
        <f>IF(Z467="","",IFERROR(LOOKUP(2,1/(#REF!=Z467),#REF!),""))</f>
        <v/>
      </c>
      <c r="AB467" t="str">
        <f>IF(Z467="","",IFERROR(LOOKUP(2,1/(#REF!=Z467),#REF!),""))</f>
        <v/>
      </c>
      <c r="AC467" t="e">
        <f>IF(Z467="","",COUNTIF(#REF!,Z467))</f>
        <v>#REF!</v>
      </c>
      <c r="AD467" t="e">
        <f>IF(A467="","",IF(AC467&gt;1,"REVISAR DUPLICADO",IF(AA467&lt;&gt;"","ACTUALIZADO POR EYR","SIN REPORTE EYR")))</f>
        <v>#REF!</v>
      </c>
    </row>
    <row r="468" spans="1:30" x14ac:dyDescent="0.3">
      <c r="A468" s="5" t="s">
        <v>4359</v>
      </c>
      <c r="B468" t="s">
        <v>4358</v>
      </c>
      <c r="C468" s="4" t="s">
        <v>4357</v>
      </c>
      <c r="D468" t="s">
        <v>21</v>
      </c>
      <c r="E468" t="s">
        <v>21</v>
      </c>
      <c r="F468" t="s">
        <v>4356</v>
      </c>
      <c r="G468" s="3">
        <v>8095294192</v>
      </c>
      <c r="H468" s="2">
        <v>46121</v>
      </c>
      <c r="K468" s="1">
        <f ca="1">IF(A464="","",IF(OR(L468="ENTREGADA",L468="RETORNADA",L468="ENTREGA DIGITAL"),0,MAX(0,5-NETWORKDAYS(H464+1,TODAY()))))</f>
        <v>0</v>
      </c>
      <c r="L468" t="str">
        <f>IF(A468="","",IFERROR(LOOKUP(2,1/(#REF!=Z468),#REF!),Y468))</f>
        <v>ENTREGA DIGITAL</v>
      </c>
      <c r="Y468" t="s">
        <v>1396</v>
      </c>
      <c r="Z468" t="str">
        <f>IF(A468="","",TEXT(A468,"0")&amp;"|"&amp;TEXT(H468,"0"))</f>
        <v>4921017789543130|46121</v>
      </c>
      <c r="AA468" t="str">
        <f>IF(Z468="","",IFERROR(LOOKUP(2,1/(#REF!=Z468),#REF!),""))</f>
        <v/>
      </c>
      <c r="AB468" t="str">
        <f>IF(Z468="","",IFERROR(LOOKUP(2,1/(#REF!=Z468),#REF!),""))</f>
        <v/>
      </c>
      <c r="AC468" t="e">
        <f>IF(Z468="","",COUNTIF(#REF!,Z468))</f>
        <v>#REF!</v>
      </c>
      <c r="AD468" t="e">
        <f>IF(A468="","",IF(AC468&gt;1,"REVISAR DUPLICADO",IF(AA468&lt;&gt;"","ACTUALIZADO POR EYR","SIN REPORTE EYR")))</f>
        <v>#REF!</v>
      </c>
    </row>
    <row r="469" spans="1:30" x14ac:dyDescent="0.3">
      <c r="A469" s="5" t="s">
        <v>4355</v>
      </c>
      <c r="B469" t="s">
        <v>4354</v>
      </c>
      <c r="C469" s="4" t="s">
        <v>4353</v>
      </c>
      <c r="D469" t="s">
        <v>21</v>
      </c>
      <c r="F469" t="s">
        <v>4352</v>
      </c>
      <c r="G469" s="3">
        <v>8095269966</v>
      </c>
      <c r="H469" s="2">
        <v>46121</v>
      </c>
      <c r="K469" s="1">
        <f ca="1">IF(A465="","",IF(OR(L469="ENTREGADA",L469="RETORNADA",L469="ENTREGA DIGITAL"),0,MAX(0,5-NETWORKDAYS(H465+1,TODAY()))))</f>
        <v>0</v>
      </c>
      <c r="L469" t="str">
        <f>IF(A469="","",IFERROR(LOOKUP(2,1/(#REF!=Z469),#REF!),Y469))</f>
        <v>ENTREGA DIGITAL</v>
      </c>
      <c r="Y469" t="s">
        <v>1396</v>
      </c>
      <c r="Z469" t="str">
        <f>IF(A469="","",TEXT(A469,"0")&amp;"|"&amp;TEXT(H469,"0"))</f>
        <v>4921017789929150|46121</v>
      </c>
      <c r="AA469" t="str">
        <f>IF(Z469="","",IFERROR(LOOKUP(2,1/(#REF!=Z469),#REF!),""))</f>
        <v/>
      </c>
      <c r="AB469" t="str">
        <f>IF(Z469="","",IFERROR(LOOKUP(2,1/(#REF!=Z469),#REF!),""))</f>
        <v/>
      </c>
      <c r="AC469" t="e">
        <f>IF(Z469="","",COUNTIF(#REF!,Z469))</f>
        <v>#REF!</v>
      </c>
      <c r="AD469" t="e">
        <f>IF(A469="","",IF(AC469&gt;1,"REVISAR DUPLICADO",IF(AA469&lt;&gt;"","ACTUALIZADO POR EYR","SIN REPORTE EYR")))</f>
        <v>#REF!</v>
      </c>
    </row>
    <row r="470" spans="1:30" x14ac:dyDescent="0.3">
      <c r="A470" s="5" t="s">
        <v>4351</v>
      </c>
      <c r="B470" t="s">
        <v>4350</v>
      </c>
      <c r="C470" s="4" t="s">
        <v>4349</v>
      </c>
      <c r="D470" t="s">
        <v>21</v>
      </c>
      <c r="F470" t="s">
        <v>910</v>
      </c>
      <c r="G470" s="3">
        <v>8494732873</v>
      </c>
      <c r="H470" s="2">
        <v>46121</v>
      </c>
      <c r="K470" s="1">
        <f ca="1">IF(A466="","",IF(OR(L470="ENTREGADA",L470="RETORNADA",L470="ENTREGA DIGITAL"),0,MAX(0,5-NETWORKDAYS(H466+1,TODAY()))))</f>
        <v>0</v>
      </c>
      <c r="L470" t="str">
        <f>IF(A470="","",IFERROR(LOOKUP(2,1/(#REF!=Z470),#REF!),Y470))</f>
        <v>ENTREGA DIGITAL</v>
      </c>
      <c r="Y470" t="s">
        <v>1396</v>
      </c>
      <c r="Z470" t="str">
        <f>IF(A470="","",TEXT(A470,"0")&amp;"|"&amp;TEXT(H470,"0"))</f>
        <v>4921017789069090|46121</v>
      </c>
      <c r="AA470" t="str">
        <f>IF(Z470="","",IFERROR(LOOKUP(2,1/(#REF!=Z470),#REF!),""))</f>
        <v/>
      </c>
      <c r="AB470" t="str">
        <f>IF(Z470="","",IFERROR(LOOKUP(2,1/(#REF!=Z470),#REF!),""))</f>
        <v/>
      </c>
      <c r="AC470" t="e">
        <f>IF(Z470="","",COUNTIF(#REF!,Z470))</f>
        <v>#REF!</v>
      </c>
      <c r="AD470" t="e">
        <f>IF(A470="","",IF(AC470&gt;1,"REVISAR DUPLICADO",IF(AA470&lt;&gt;"","ACTUALIZADO POR EYR","SIN REPORTE EYR")))</f>
        <v>#REF!</v>
      </c>
    </row>
    <row r="471" spans="1:30" x14ac:dyDescent="0.3">
      <c r="A471" s="5" t="s">
        <v>4348</v>
      </c>
      <c r="B471" t="s">
        <v>4347</v>
      </c>
      <c r="C471" s="4" t="s">
        <v>4346</v>
      </c>
      <c r="D471" t="s">
        <v>21</v>
      </c>
      <c r="F471" t="s">
        <v>13</v>
      </c>
      <c r="G471" s="3">
        <v>8296741354</v>
      </c>
      <c r="H471" s="2">
        <v>46121</v>
      </c>
      <c r="K471" s="1">
        <f ca="1">IF(A467="","",IF(OR(L471="ENTREGADA",L471="RETORNADA",L471="ENTREGA DIGITAL"),0,MAX(0,5-NETWORKDAYS(H467+1,TODAY()))))</f>
        <v>0</v>
      </c>
      <c r="L471" t="str">
        <f>IF(A471="","",IFERROR(LOOKUP(2,1/(#REF!=Z471),#REF!),Y471))</f>
        <v>RETORNADA</v>
      </c>
      <c r="Y471" t="s">
        <v>1857</v>
      </c>
      <c r="Z471" t="str">
        <f>IF(A471="","",TEXT(A471,"0")&amp;"|"&amp;TEXT(H471,"0"))</f>
        <v>4921017790035910|46121</v>
      </c>
      <c r="AA471" t="str">
        <f>IF(Z471="","",IFERROR(LOOKUP(2,1/(#REF!=Z471),#REF!),""))</f>
        <v/>
      </c>
      <c r="AB471" t="str">
        <f>IF(Z471="","",IFERROR(LOOKUP(2,1/(#REF!=Z471),#REF!),""))</f>
        <v/>
      </c>
      <c r="AC471" t="e">
        <f>IF(Z471="","",COUNTIF(#REF!,Z471))</f>
        <v>#REF!</v>
      </c>
      <c r="AD471" t="e">
        <f>IF(A471="","",IF(AC471&gt;1,"REVISAR DUPLICADO",IF(AA471&lt;&gt;"","ACTUALIZADO POR EYR","SIN REPORTE EYR")))</f>
        <v>#REF!</v>
      </c>
    </row>
    <row r="472" spans="1:30" x14ac:dyDescent="0.3">
      <c r="A472" s="5" t="s">
        <v>4345</v>
      </c>
      <c r="B472" t="s">
        <v>4344</v>
      </c>
      <c r="C472" s="4" t="s">
        <v>4343</v>
      </c>
      <c r="D472" t="s">
        <v>21</v>
      </c>
      <c r="F472" t="s">
        <v>0</v>
      </c>
      <c r="G472" s="3">
        <v>8092461259</v>
      </c>
      <c r="H472" s="2">
        <v>46121</v>
      </c>
      <c r="K472" s="1">
        <f ca="1">IF(A468="","",IF(OR(L472="ENTREGADA",L472="RETORNADA",L472="ENTREGA DIGITAL"),0,MAX(0,5-NETWORKDAYS(H468+1,TODAY()))))</f>
        <v>0</v>
      </c>
      <c r="L472" t="str">
        <f>IF(A472="","",IFERROR(LOOKUP(2,1/(#REF!=Z472),#REF!),Y472))</f>
        <v>RETORNADA</v>
      </c>
      <c r="Y472" t="s">
        <v>1857</v>
      </c>
      <c r="Z472" t="str">
        <f>IF(A472="","",TEXT(A472,"0")&amp;"|"&amp;TEXT(H472,"0"))</f>
        <v>5549017785031250|46121</v>
      </c>
      <c r="AA472" t="str">
        <f>IF(Z472="","",IFERROR(LOOKUP(2,1/(#REF!=Z472),#REF!),""))</f>
        <v/>
      </c>
      <c r="AB472" t="str">
        <f>IF(Z472="","",IFERROR(LOOKUP(2,1/(#REF!=Z472),#REF!),""))</f>
        <v/>
      </c>
      <c r="AC472" t="e">
        <f>IF(Z472="","",COUNTIF(#REF!,Z472))</f>
        <v>#REF!</v>
      </c>
      <c r="AD472" t="e">
        <f>IF(A472="","",IF(AC472&gt;1,"REVISAR DUPLICADO",IF(AA472&lt;&gt;"","ACTUALIZADO POR EYR","SIN REPORTE EYR")))</f>
        <v>#REF!</v>
      </c>
    </row>
    <row r="473" spans="1:30" x14ac:dyDescent="0.3">
      <c r="A473" s="5" t="s">
        <v>4342</v>
      </c>
      <c r="B473" t="s">
        <v>4341</v>
      </c>
      <c r="C473" s="4" t="s">
        <v>4340</v>
      </c>
      <c r="D473" t="s">
        <v>77</v>
      </c>
      <c r="F473" t="s">
        <v>13</v>
      </c>
      <c r="G473" s="3">
        <v>8299602956</v>
      </c>
      <c r="H473" s="2">
        <v>46121</v>
      </c>
      <c r="K473" s="1">
        <f ca="1">IF(A469="","",IF(OR(L473="ENTREGADA",L473="RETORNADA",L473="ENTREGA DIGITAL"),0,MAX(0,5-NETWORKDAYS(H469+1,TODAY()))))</f>
        <v>0</v>
      </c>
      <c r="L473" t="str">
        <f>IF(A473="","",IFERROR(LOOKUP(2,1/(#REF!=Z473),#REF!),Y473))</f>
        <v>RETORNADA</v>
      </c>
      <c r="Y473" t="s">
        <v>1857</v>
      </c>
      <c r="Z473" t="str">
        <f>IF(A473="","",TEXT(A473,"0")&amp;"|"&amp;TEXT(H473,"0"))</f>
        <v>4921017789266870|46121</v>
      </c>
      <c r="AA473" t="str">
        <f>IF(Z473="","",IFERROR(LOOKUP(2,1/(#REF!=Z473),#REF!),""))</f>
        <v/>
      </c>
      <c r="AB473" t="str">
        <f>IF(Z473="","",IFERROR(LOOKUP(2,1/(#REF!=Z473),#REF!),""))</f>
        <v/>
      </c>
      <c r="AC473" t="e">
        <f>IF(Z473="","",COUNTIF(#REF!,Z473))</f>
        <v>#REF!</v>
      </c>
      <c r="AD473" t="e">
        <f>IF(A473="","",IF(AC473&gt;1,"REVISAR DUPLICADO",IF(AA473&lt;&gt;"","ACTUALIZADO POR EYR","SIN REPORTE EYR")))</f>
        <v>#REF!</v>
      </c>
    </row>
    <row r="474" spans="1:30" x14ac:dyDescent="0.3">
      <c r="A474" s="5" t="s">
        <v>4339</v>
      </c>
      <c r="B474" t="s">
        <v>4338</v>
      </c>
      <c r="C474" s="4" t="s">
        <v>4337</v>
      </c>
      <c r="D474" t="s">
        <v>77</v>
      </c>
      <c r="F474" t="s">
        <v>13</v>
      </c>
      <c r="G474" s="3">
        <v>8093278543</v>
      </c>
      <c r="H474" s="2">
        <v>46121</v>
      </c>
      <c r="K474" s="1">
        <f ca="1">IF(A474="","",IF(OR(L474="ENTREGADA",L474="RETORNADA",L474="ENTREGA DIGITAL"),0,MAX(0,5-NETWORKDAYS(H474+1,TODAY()))))</f>
        <v>0</v>
      </c>
      <c r="L474" t="str">
        <f>IF(A474="","",IFERROR(LOOKUP(2,1/(#REF!=Z474),#REF!),Y474))</f>
        <v>ENTREGADA</v>
      </c>
      <c r="Y474" t="s">
        <v>1956</v>
      </c>
      <c r="Z474" t="str">
        <f>IF(A474="","",TEXT(A474,"0")&amp;"|"&amp;TEXT(H474,"0"))</f>
        <v>4921017790212410|46121</v>
      </c>
      <c r="AA474" t="str">
        <f>IF(Z474="","",IFERROR(LOOKUP(2,1/(#REF!=Z474),#REF!),""))</f>
        <v/>
      </c>
      <c r="AB474" t="str">
        <f>IF(Z474="","",IFERROR(LOOKUP(2,1/(#REF!=Z474),#REF!),""))</f>
        <v/>
      </c>
      <c r="AC474" t="e">
        <f>IF(Z474="","",COUNTIF(#REF!,Z474))</f>
        <v>#REF!</v>
      </c>
      <c r="AD474" t="e">
        <f>IF(A474="","",IF(AC474&gt;1,"REVISAR DUPLICADO",IF(AA474&lt;&gt;"","ACTUALIZADO POR EYR","SIN REPORTE EYR")))</f>
        <v>#REF!</v>
      </c>
    </row>
    <row r="475" spans="1:30" x14ac:dyDescent="0.3">
      <c r="A475" s="5" t="s">
        <v>4336</v>
      </c>
      <c r="B475" t="s">
        <v>4335</v>
      </c>
      <c r="C475" s="4" t="s">
        <v>4334</v>
      </c>
      <c r="D475" t="s">
        <v>77</v>
      </c>
      <c r="F475" t="s">
        <v>4333</v>
      </c>
      <c r="G475" s="3">
        <v>8092541791</v>
      </c>
      <c r="H475" s="2">
        <v>46121</v>
      </c>
      <c r="K475" s="1">
        <f ca="1">IF(A475="","",IF(OR(L475="ENTREGADA",L475="RETORNADA",L475="ENTREGA DIGITAL"),0,MAX(0,5-NETWORKDAYS(H475+1,TODAY()))))</f>
        <v>0</v>
      </c>
      <c r="L475" t="str">
        <f>IF(A475="","",IFERROR(LOOKUP(2,1/(#REF!=Z475),#REF!),Y475))</f>
        <v>ENTREGADA</v>
      </c>
      <c r="Y475" t="s">
        <v>1956</v>
      </c>
      <c r="Z475" t="str">
        <f>IF(A475="","",TEXT(A475,"0")&amp;"|"&amp;TEXT(H475,"0"))</f>
        <v>4966017694362120|46121</v>
      </c>
      <c r="AA475" t="str">
        <f>IF(Z475="","",IFERROR(LOOKUP(2,1/(#REF!=Z475),#REF!),""))</f>
        <v/>
      </c>
      <c r="AB475" t="str">
        <f>IF(Z475="","",IFERROR(LOOKUP(2,1/(#REF!=Z475),#REF!),""))</f>
        <v/>
      </c>
      <c r="AC475" t="e">
        <f>IF(Z475="","",COUNTIF(#REF!,Z475))</f>
        <v>#REF!</v>
      </c>
      <c r="AD475" t="e">
        <f>IF(A475="","",IF(AC475&gt;1,"REVISAR DUPLICADO",IF(AA475&lt;&gt;"","ACTUALIZADO POR EYR","SIN REPORTE EYR")))</f>
        <v>#REF!</v>
      </c>
    </row>
    <row r="476" spans="1:30" x14ac:dyDescent="0.3">
      <c r="A476" s="5" t="s">
        <v>4332</v>
      </c>
      <c r="B476" t="s">
        <v>4331</v>
      </c>
      <c r="C476" s="4" t="s">
        <v>4330</v>
      </c>
      <c r="D476" t="s">
        <v>77</v>
      </c>
      <c r="F476">
        <v>12</v>
      </c>
      <c r="G476" s="3">
        <v>8293325642</v>
      </c>
      <c r="H476" s="2">
        <v>46121</v>
      </c>
      <c r="K476" s="1">
        <f ca="1">IF(A476="","",IF(OR(L476="ENTREGADA",L476="RETORNADA",L476="ENTREGA DIGITAL"),0,MAX(0,5-NETWORKDAYS(H476+1,TODAY()))))</f>
        <v>0</v>
      </c>
      <c r="L476" t="str">
        <f>IF(A476="","",IFERROR(LOOKUP(2,1/(#REF!=Z476),#REF!),Y476))</f>
        <v>ENTREGADA</v>
      </c>
      <c r="Y476" t="s">
        <v>1956</v>
      </c>
      <c r="Z476" t="str">
        <f>IF(A476="","",TEXT(A476,"0")&amp;"|"&amp;TEXT(H476,"0"))</f>
        <v>4921017712943700|46121</v>
      </c>
      <c r="AA476" t="str">
        <f>IF(Z476="","",IFERROR(LOOKUP(2,1/(#REF!=Z476),#REF!),""))</f>
        <v/>
      </c>
      <c r="AB476" t="str">
        <f>IF(Z476="","",IFERROR(LOOKUP(2,1/(#REF!=Z476),#REF!),""))</f>
        <v/>
      </c>
      <c r="AC476" t="e">
        <f>IF(Z476="","",COUNTIF(#REF!,Z476))</f>
        <v>#REF!</v>
      </c>
      <c r="AD476" t="e">
        <f>IF(A476="","",IF(AC476&gt;1,"REVISAR DUPLICADO",IF(AA476&lt;&gt;"","ACTUALIZADO POR EYR","SIN REPORTE EYR")))</f>
        <v>#REF!</v>
      </c>
    </row>
    <row r="477" spans="1:30" x14ac:dyDescent="0.3">
      <c r="A477" s="5" t="s">
        <v>4329</v>
      </c>
      <c r="B477" t="s">
        <v>4328</v>
      </c>
      <c r="C477" s="4" t="s">
        <v>4327</v>
      </c>
      <c r="D477" t="s">
        <v>77</v>
      </c>
      <c r="F477" t="s">
        <v>0</v>
      </c>
      <c r="G477" s="3">
        <v>8295285719</v>
      </c>
      <c r="H477" s="2">
        <v>46121</v>
      </c>
      <c r="I477" t="s">
        <v>1397</v>
      </c>
      <c r="K477" s="1">
        <f ca="1">IF(A477="","",IF(OR(L477="ENTREGADA",L477="RETORNADA",L477="ENTREGA DIGITAL"),0,MAX(0,5-NETWORKDAYS(H477+1,TODAY()))))</f>
        <v>0</v>
      </c>
      <c r="L477" t="str">
        <f>IF(A477="","",IFERROR(LOOKUP(2,1/(#REF!=Z477),#REF!),Y477))</f>
        <v>ENTREGADA</v>
      </c>
      <c r="Y477" t="s">
        <v>1956</v>
      </c>
      <c r="Z477" t="str">
        <f>IF(A477="","",TEXT(A477,"0")&amp;"|"&amp;TEXT(H477,"0"))</f>
        <v>4921017722079540|46121</v>
      </c>
      <c r="AA477" t="str">
        <f>IF(Z477="","",IFERROR(LOOKUP(2,1/(#REF!=Z477),#REF!),""))</f>
        <v/>
      </c>
      <c r="AB477" t="str">
        <f>IF(Z477="","",IFERROR(LOOKUP(2,1/(#REF!=Z477),#REF!),""))</f>
        <v/>
      </c>
      <c r="AC477" t="e">
        <f>IF(Z477="","",COUNTIF(#REF!,Z477))</f>
        <v>#REF!</v>
      </c>
      <c r="AD477" t="e">
        <f>IF(A477="","",IF(AC477&gt;1,"REVISAR DUPLICADO",IF(AA477&lt;&gt;"","ACTUALIZADO POR EYR","SIN REPORTE EYR")))</f>
        <v>#REF!</v>
      </c>
    </row>
    <row r="478" spans="1:30" x14ac:dyDescent="0.3">
      <c r="A478" s="5" t="s">
        <v>4326</v>
      </c>
      <c r="B478" t="s">
        <v>1110</v>
      </c>
      <c r="C478" s="4" t="s">
        <v>4325</v>
      </c>
      <c r="D478" t="s">
        <v>77</v>
      </c>
      <c r="F478" t="s">
        <v>4324</v>
      </c>
      <c r="G478" s="3">
        <v>8492453954</v>
      </c>
      <c r="H478" s="2">
        <v>46121</v>
      </c>
      <c r="I478" t="s">
        <v>1397</v>
      </c>
      <c r="K478" s="1">
        <f ca="1">IF(A478="","",IF(OR(L478="ENTREGADA",L478="RETORNADA",L478="ENTREGA DIGITAL"),0,MAX(0,5-NETWORKDAYS(H478+1,TODAY()))))</f>
        <v>0</v>
      </c>
      <c r="L478" t="str">
        <f>IF(A478="","",IFERROR(LOOKUP(2,1/(#REF!=Z478),#REF!),Y478))</f>
        <v>ENTREGADA</v>
      </c>
      <c r="Y478" t="s">
        <v>1956</v>
      </c>
      <c r="Z478" t="str">
        <f>IF(A478="","",TEXT(A478,"0")&amp;"|"&amp;TEXT(H478,"0"))</f>
        <v>4921017722276100|46121</v>
      </c>
      <c r="AA478" t="str">
        <f>IF(Z478="","",IFERROR(LOOKUP(2,1/(#REF!=Z478),#REF!),""))</f>
        <v/>
      </c>
      <c r="AB478" t="str">
        <f>IF(Z478="","",IFERROR(LOOKUP(2,1/(#REF!=Z478),#REF!),""))</f>
        <v/>
      </c>
      <c r="AC478" t="e">
        <f>IF(Z478="","",COUNTIF(#REF!,Z478))</f>
        <v>#REF!</v>
      </c>
      <c r="AD478" t="e">
        <f>IF(A478="","",IF(AC478&gt;1,"REVISAR DUPLICADO",IF(AA478&lt;&gt;"","ACTUALIZADO POR EYR","SIN REPORTE EYR")))</f>
        <v>#REF!</v>
      </c>
    </row>
    <row r="479" spans="1:30" x14ac:dyDescent="0.3">
      <c r="A479" s="5" t="s">
        <v>4323</v>
      </c>
      <c r="B479" t="s">
        <v>4322</v>
      </c>
      <c r="C479" s="4" t="s">
        <v>4321</v>
      </c>
      <c r="D479" t="s">
        <v>77</v>
      </c>
      <c r="F479" t="s">
        <v>0</v>
      </c>
      <c r="G479" s="3">
        <v>8498836697</v>
      </c>
      <c r="H479" s="2">
        <v>46121</v>
      </c>
      <c r="K479" s="1">
        <f ca="1">IF(A479="","",IF(OR(L479="ENTREGADA",L479="RETORNADA",L479="ENTREGA DIGITAL"),0,MAX(0,5-NETWORKDAYS(H479+1,TODAY()))))</f>
        <v>0</v>
      </c>
      <c r="L479" t="str">
        <f>IF(A479="","",IFERROR(LOOKUP(2,1/(#REF!=Z479),#REF!),Y479))</f>
        <v>ENTREGADA</v>
      </c>
      <c r="Y479" t="s">
        <v>1956</v>
      </c>
      <c r="Z479" t="str">
        <f>IF(A479="","",TEXT(A479,"0")&amp;"|"&amp;TEXT(H479,"0"))</f>
        <v>4921017737127930|46121</v>
      </c>
      <c r="AA479" t="str">
        <f>IF(Z479="","",IFERROR(LOOKUP(2,1/(#REF!=Z479),#REF!),""))</f>
        <v/>
      </c>
      <c r="AB479" t="str">
        <f>IF(Z479="","",IFERROR(LOOKUP(2,1/(#REF!=Z479),#REF!),""))</f>
        <v/>
      </c>
      <c r="AC479" t="e">
        <f>IF(Z479="","",COUNTIF(#REF!,Z479))</f>
        <v>#REF!</v>
      </c>
      <c r="AD479" t="e">
        <f>IF(A479="","",IF(AC479&gt;1,"REVISAR DUPLICADO",IF(AA479&lt;&gt;"","ACTUALIZADO POR EYR","SIN REPORTE EYR")))</f>
        <v>#REF!</v>
      </c>
    </row>
    <row r="480" spans="1:30" x14ac:dyDescent="0.3">
      <c r="A480" s="5" t="s">
        <v>4320</v>
      </c>
      <c r="B480" t="s">
        <v>4319</v>
      </c>
      <c r="C480" s="4" t="s">
        <v>4318</v>
      </c>
      <c r="D480" t="s">
        <v>77</v>
      </c>
      <c r="F480">
        <v>10</v>
      </c>
      <c r="G480" s="3">
        <v>8492095101</v>
      </c>
      <c r="H480" s="2">
        <v>46121</v>
      </c>
      <c r="K480" s="1">
        <f ca="1">IF(A480="","",IF(OR(L480="ENTREGADA",L480="RETORNADA",L480="ENTREGA DIGITAL"),0,MAX(0,5-NETWORKDAYS(H480+1,TODAY()))))</f>
        <v>0</v>
      </c>
      <c r="L480" t="str">
        <f>IF(A480="","",IFERROR(LOOKUP(2,1/(#REF!=Z480),#REF!),Y480))</f>
        <v>ENTREGADA</v>
      </c>
      <c r="Y480" t="s">
        <v>1956</v>
      </c>
      <c r="Z480" t="str">
        <f>IF(A480="","",TEXT(A480,"0")&amp;"|"&amp;TEXT(H480,"0"))</f>
        <v>4921017737425340|46121</v>
      </c>
      <c r="AA480" t="str">
        <f>IF(Z480="","",IFERROR(LOOKUP(2,1/(#REF!=Z480),#REF!),""))</f>
        <v/>
      </c>
      <c r="AB480" t="str">
        <f>IF(Z480="","",IFERROR(LOOKUP(2,1/(#REF!=Z480),#REF!),""))</f>
        <v/>
      </c>
      <c r="AC480" t="e">
        <f>IF(Z480="","",COUNTIF(#REF!,Z480))</f>
        <v>#REF!</v>
      </c>
      <c r="AD480" t="e">
        <f>IF(A480="","",IF(AC480&gt;1,"REVISAR DUPLICADO",IF(AA480&lt;&gt;"","ACTUALIZADO POR EYR","SIN REPORTE EYR")))</f>
        <v>#REF!</v>
      </c>
    </row>
    <row r="481" spans="1:30" x14ac:dyDescent="0.3">
      <c r="A481" s="5" t="s">
        <v>4317</v>
      </c>
      <c r="B481" t="s">
        <v>4316</v>
      </c>
      <c r="C481" s="4" t="s">
        <v>4315</v>
      </c>
      <c r="D481" t="s">
        <v>77</v>
      </c>
      <c r="F481" t="s">
        <v>205</v>
      </c>
      <c r="G481" s="3">
        <v>8299262362</v>
      </c>
      <c r="H481" s="2">
        <v>46121</v>
      </c>
      <c r="K481" s="1">
        <f ca="1">IF(A481="","",IF(OR(L481="ENTREGADA",L481="RETORNADA",L481="ENTREGA DIGITAL"),0,MAX(0,5-NETWORKDAYS(H481+1,TODAY()))))</f>
        <v>0</v>
      </c>
      <c r="L481" t="str">
        <f>IF(A481="","",IFERROR(LOOKUP(2,1/(#REF!=Z481),#REF!),Y481))</f>
        <v>RETORNADA</v>
      </c>
      <c r="Y481" t="s">
        <v>1857</v>
      </c>
      <c r="Z481" t="str">
        <f>IF(A481="","",TEXT(A481,"0")&amp;"|"&amp;TEXT(H481,"0"))</f>
        <v>4921017695881420|46121</v>
      </c>
      <c r="AA481" t="str">
        <f>IF(Z481="","",IFERROR(LOOKUP(2,1/(#REF!=Z481),#REF!),""))</f>
        <v/>
      </c>
      <c r="AB481" t="str">
        <f>IF(Z481="","",IFERROR(LOOKUP(2,1/(#REF!=Z481),#REF!),""))</f>
        <v/>
      </c>
      <c r="AC481" t="e">
        <f>IF(Z481="","",COUNTIF(#REF!,Z481))</f>
        <v>#REF!</v>
      </c>
      <c r="AD481" t="e">
        <f>IF(A481="","",IF(AC481&gt;1,"REVISAR DUPLICADO",IF(AA481&lt;&gt;"","ACTUALIZADO POR EYR","SIN REPORTE EYR")))</f>
        <v>#REF!</v>
      </c>
    </row>
    <row r="482" spans="1:30" x14ac:dyDescent="0.3">
      <c r="A482" s="5" t="s">
        <v>4314</v>
      </c>
      <c r="B482" t="s">
        <v>4313</v>
      </c>
      <c r="C482" s="4" t="s">
        <v>4312</v>
      </c>
      <c r="D482" t="s">
        <v>77</v>
      </c>
      <c r="F482" t="s">
        <v>13</v>
      </c>
      <c r="G482" s="3">
        <v>8297898417</v>
      </c>
      <c r="H482" s="2">
        <v>46121</v>
      </c>
      <c r="K482" s="1">
        <f ca="1">IF(A482="","",IF(OR(L482="ENTREGADA",L482="RETORNADA",L482="ENTREGA DIGITAL"),0,MAX(0,5-NETWORKDAYS(H482+1,TODAY()))))</f>
        <v>0</v>
      </c>
      <c r="L482" t="str">
        <f>IF(A482="","",IFERROR(LOOKUP(2,1/(#REF!=Z482),#REF!),Y482))</f>
        <v>RETORNADA</v>
      </c>
      <c r="Y482" t="s">
        <v>1857</v>
      </c>
      <c r="Z482" t="str">
        <f>IF(A482="","",TEXT(A482,"0")&amp;"|"&amp;TEXT(H482,"0"))</f>
        <v>4025017714392310|46121</v>
      </c>
      <c r="AA482" t="str">
        <f>IF(Z482="","",IFERROR(LOOKUP(2,1/(#REF!=Z482),#REF!),""))</f>
        <v/>
      </c>
      <c r="AB482" t="str">
        <f>IF(Z482="","",IFERROR(LOOKUP(2,1/(#REF!=Z482),#REF!),""))</f>
        <v/>
      </c>
      <c r="AC482" t="e">
        <f>IF(Z482="","",COUNTIF(#REF!,Z482))</f>
        <v>#REF!</v>
      </c>
      <c r="AD482" t="e">
        <f>IF(A482="","",IF(AC482&gt;1,"REVISAR DUPLICADO",IF(AA482&lt;&gt;"","ACTUALIZADO POR EYR","SIN REPORTE EYR")))</f>
        <v>#REF!</v>
      </c>
    </row>
    <row r="483" spans="1:30" x14ac:dyDescent="0.3">
      <c r="A483" s="5" t="s">
        <v>4311</v>
      </c>
      <c r="B483" t="s">
        <v>4310</v>
      </c>
      <c r="C483" s="4" t="s">
        <v>4309</v>
      </c>
      <c r="D483" t="s">
        <v>77</v>
      </c>
      <c r="F483" t="s">
        <v>13</v>
      </c>
      <c r="G483" s="3">
        <v>8098770599</v>
      </c>
      <c r="H483" s="2">
        <v>46121</v>
      </c>
      <c r="I483" t="s">
        <v>1397</v>
      </c>
      <c r="K483" s="1">
        <f ca="1">IF(A483="","",IF(OR(L483="ENTREGADA",L483="RETORNADA",L483="ENTREGA DIGITAL"),0,MAX(0,5-NETWORKDAYS(H483+1,TODAY()))))</f>
        <v>0</v>
      </c>
      <c r="L483" t="str">
        <f>IF(A483="","",IFERROR(LOOKUP(2,1/(#REF!=Z483),#REF!),Y483))</f>
        <v>ENTREGADA</v>
      </c>
      <c r="Y483" t="s">
        <v>1956</v>
      </c>
      <c r="Z483" t="str">
        <f>IF(A483="","",TEXT(A483,"0")&amp;"|"&amp;TEXT(H483,"0"))</f>
        <v>4921017695904410|46121</v>
      </c>
      <c r="AA483" t="str">
        <f>IF(Z483="","",IFERROR(LOOKUP(2,1/(#REF!=Z483),#REF!),""))</f>
        <v/>
      </c>
      <c r="AB483" t="str">
        <f>IF(Z483="","",IFERROR(LOOKUP(2,1/(#REF!=Z483),#REF!),""))</f>
        <v/>
      </c>
      <c r="AC483" t="e">
        <f>IF(Z483="","",COUNTIF(#REF!,Z483))</f>
        <v>#REF!</v>
      </c>
      <c r="AD483" t="e">
        <f>IF(A483="","",IF(AC483&gt;1,"REVISAR DUPLICADO",IF(AA483&lt;&gt;"","ACTUALIZADO POR EYR","SIN REPORTE EYR")))</f>
        <v>#REF!</v>
      </c>
    </row>
    <row r="484" spans="1:30" x14ac:dyDescent="0.3">
      <c r="A484" s="5" t="s">
        <v>4308</v>
      </c>
      <c r="B484" t="s">
        <v>4307</v>
      </c>
      <c r="C484" s="4" t="s">
        <v>4306</v>
      </c>
      <c r="D484" t="s">
        <v>77</v>
      </c>
      <c r="F484" t="s">
        <v>0</v>
      </c>
      <c r="G484" s="3">
        <v>8299419536</v>
      </c>
      <c r="H484" s="2">
        <v>46121</v>
      </c>
      <c r="I484" t="s">
        <v>1397</v>
      </c>
      <c r="K484" s="1">
        <f ca="1">IF(A484="","",IF(OR(L484="ENTREGADA",L484="RETORNADA",L484="ENTREGA DIGITAL"),0,MAX(0,5-NETWORKDAYS(H484+1,TODAY()))))</f>
        <v>0</v>
      </c>
      <c r="L484" t="str">
        <f>IF(A484="","",IFERROR(LOOKUP(2,1/(#REF!=Z484),#REF!),Y484))</f>
        <v>ENTREGADA</v>
      </c>
      <c r="Y484" t="s">
        <v>1956</v>
      </c>
      <c r="Z484" t="str">
        <f>IF(A484="","",TEXT(A484,"0")&amp;"|"&amp;TEXT(H484,"0"))</f>
        <v>4921017657922910|46121</v>
      </c>
      <c r="AA484" t="str">
        <f>IF(Z484="","",IFERROR(LOOKUP(2,1/(#REF!=Z484),#REF!),""))</f>
        <v/>
      </c>
      <c r="AB484" t="str">
        <f>IF(Z484="","",IFERROR(LOOKUP(2,1/(#REF!=Z484),#REF!),""))</f>
        <v/>
      </c>
      <c r="AC484" t="e">
        <f>IF(Z484="","",COUNTIF(#REF!,Z484))</f>
        <v>#REF!</v>
      </c>
      <c r="AD484" t="e">
        <f>IF(A484="","",IF(AC484&gt;1,"REVISAR DUPLICADO",IF(AA484&lt;&gt;"","ACTUALIZADO POR EYR","SIN REPORTE EYR")))</f>
        <v>#REF!</v>
      </c>
    </row>
    <row r="485" spans="1:30" x14ac:dyDescent="0.3">
      <c r="A485" s="5" t="s">
        <v>4305</v>
      </c>
      <c r="B485" t="s">
        <v>4304</v>
      </c>
      <c r="C485" s="4" t="s">
        <v>4303</v>
      </c>
      <c r="D485" t="s">
        <v>77</v>
      </c>
      <c r="F485" t="s">
        <v>13</v>
      </c>
      <c r="G485" s="3">
        <v>8494924144</v>
      </c>
      <c r="H485" s="2">
        <v>46121</v>
      </c>
      <c r="K485" s="1">
        <f ca="1">IF(A485="","",IF(OR(L485="ENTREGADA",L485="RETORNADA",L485="ENTREGA DIGITAL"),0,MAX(0,5-NETWORKDAYS(H485+1,TODAY()))))</f>
        <v>0</v>
      </c>
      <c r="L485" t="str">
        <f>IF(A485="","",IFERROR(LOOKUP(2,1/(#REF!=Z485),#REF!),Y485))</f>
        <v>ENTREGADA</v>
      </c>
      <c r="Y485" t="s">
        <v>1956</v>
      </c>
      <c r="Z485" t="str">
        <f>IF(A485="","",TEXT(A485,"0")&amp;"|"&amp;TEXT(H485,"0"))</f>
        <v>4921017695478420|46121</v>
      </c>
      <c r="AA485" t="str">
        <f>IF(Z485="","",IFERROR(LOOKUP(2,1/(#REF!=Z485),#REF!),""))</f>
        <v/>
      </c>
      <c r="AB485" t="str">
        <f>IF(Z485="","",IFERROR(LOOKUP(2,1/(#REF!=Z485),#REF!),""))</f>
        <v/>
      </c>
      <c r="AC485" t="e">
        <f>IF(Z485="","",COUNTIF(#REF!,Z485))</f>
        <v>#REF!</v>
      </c>
      <c r="AD485" t="e">
        <f>IF(A485="","",IF(AC485&gt;1,"REVISAR DUPLICADO",IF(AA485&lt;&gt;"","ACTUALIZADO POR EYR","SIN REPORTE EYR")))</f>
        <v>#REF!</v>
      </c>
    </row>
    <row r="486" spans="1:30" x14ac:dyDescent="0.3">
      <c r="A486" s="5" t="s">
        <v>4302</v>
      </c>
      <c r="B486" t="s">
        <v>4301</v>
      </c>
      <c r="C486" s="4" t="s">
        <v>4300</v>
      </c>
      <c r="D486" t="s">
        <v>77</v>
      </c>
      <c r="F486" t="s">
        <v>13</v>
      </c>
      <c r="G486" s="3">
        <v>8294545878</v>
      </c>
      <c r="H486" s="2">
        <v>46121</v>
      </c>
      <c r="I486" t="s">
        <v>1397</v>
      </c>
      <c r="K486" s="1">
        <f ca="1">IF(A486="","",IF(OR(L486="ENTREGADA",L486="RETORNADA",L486="ENTREGA DIGITAL"),0,MAX(0,5-NETWORKDAYS(H486+1,TODAY()))))</f>
        <v>0</v>
      </c>
      <c r="L486" t="str">
        <f>IF(A486="","",IFERROR(LOOKUP(2,1/(#REF!=Z486),#REF!),Y486))</f>
        <v>ENTREGADA</v>
      </c>
      <c r="Y486" t="s">
        <v>1956</v>
      </c>
      <c r="Z486" t="str">
        <f>IF(A486="","",TEXT(A486,"0")&amp;"|"&amp;TEXT(H486,"0"))</f>
        <v>4921017789949960|46121</v>
      </c>
      <c r="AA486" t="str">
        <f>IF(Z486="","",IFERROR(LOOKUP(2,1/(#REF!=Z486),#REF!),""))</f>
        <v/>
      </c>
      <c r="AB486" t="str">
        <f>IF(Z486="","",IFERROR(LOOKUP(2,1/(#REF!=Z486),#REF!),""))</f>
        <v/>
      </c>
      <c r="AC486" t="e">
        <f>IF(Z486="","",COUNTIF(#REF!,Z486))</f>
        <v>#REF!</v>
      </c>
      <c r="AD486" t="e">
        <f>IF(A486="","",IF(AC486&gt;1,"REVISAR DUPLICADO",IF(AA486&lt;&gt;"","ACTUALIZADO POR EYR","SIN REPORTE EYR")))</f>
        <v>#REF!</v>
      </c>
    </row>
    <row r="487" spans="1:30" x14ac:dyDescent="0.3">
      <c r="A487" s="5" t="s">
        <v>4299</v>
      </c>
      <c r="B487" t="s">
        <v>4298</v>
      </c>
      <c r="C487" s="4" t="s">
        <v>4297</v>
      </c>
      <c r="D487" t="s">
        <v>77</v>
      </c>
      <c r="F487" t="s">
        <v>4296</v>
      </c>
      <c r="G487" s="3">
        <v>8296591327</v>
      </c>
      <c r="H487" s="2">
        <v>46121</v>
      </c>
      <c r="K487" s="1">
        <f ca="1">IF(A487="","",IF(OR(L487="ENTREGADA",L487="RETORNADA",L487="ENTREGA DIGITAL"),0,MAX(0,5-NETWORKDAYS(H487+1,TODAY()))))</f>
        <v>0</v>
      </c>
      <c r="L487" t="str">
        <f>IF(A487="","",IFERROR(LOOKUP(2,1/(#REF!=Z487),#REF!),Y487))</f>
        <v>ENTREGADA</v>
      </c>
      <c r="Y487" t="s">
        <v>1956</v>
      </c>
      <c r="Z487" t="str">
        <f>IF(A487="","",TEXT(A487,"0")&amp;"|"&amp;TEXT(H487,"0"))</f>
        <v>5415017787300260|46121</v>
      </c>
      <c r="AA487" t="str">
        <f>IF(Z487="","",IFERROR(LOOKUP(2,1/(#REF!=Z487),#REF!),""))</f>
        <v/>
      </c>
      <c r="AB487" t="str">
        <f>IF(Z487="","",IFERROR(LOOKUP(2,1/(#REF!=Z487),#REF!),""))</f>
        <v/>
      </c>
      <c r="AC487" t="e">
        <f>IF(Z487="","",COUNTIF(#REF!,Z487))</f>
        <v>#REF!</v>
      </c>
      <c r="AD487" t="e">
        <f>IF(A487="","",IF(AC487&gt;1,"REVISAR DUPLICADO",IF(AA487&lt;&gt;"","ACTUALIZADO POR EYR","SIN REPORTE EYR")))</f>
        <v>#REF!</v>
      </c>
    </row>
    <row r="488" spans="1:30" x14ac:dyDescent="0.3">
      <c r="A488" s="5" t="s">
        <v>4295</v>
      </c>
      <c r="B488" t="s">
        <v>4294</v>
      </c>
      <c r="C488" s="4" t="s">
        <v>4293</v>
      </c>
      <c r="D488" t="s">
        <v>77</v>
      </c>
      <c r="E488" t="s">
        <v>214</v>
      </c>
      <c r="F488" t="s">
        <v>391</v>
      </c>
      <c r="G488" s="3">
        <v>8297303461</v>
      </c>
      <c r="H488" s="2">
        <v>46121</v>
      </c>
      <c r="K488" s="1">
        <f ca="1">IF(A488="","",IF(OR(L488="ENTREGADA",L488="RETORNADA",L488="ENTREGA DIGITAL"),0,MAX(0,5-NETWORKDAYS(H488+1,TODAY()))))</f>
        <v>0</v>
      </c>
      <c r="L488" t="str">
        <f>IF(A488="","",IFERROR(LOOKUP(2,1/(#REF!=Z488),#REF!),Y488))</f>
        <v>RETORNADA</v>
      </c>
      <c r="Y488" t="s">
        <v>1857</v>
      </c>
      <c r="Z488" t="str">
        <f>IF(A488="","",TEXT(A488,"0")&amp;"|"&amp;TEXT(H488,"0"))</f>
        <v>4921017788488540|46121</v>
      </c>
      <c r="AA488" t="str">
        <f>IF(Z488="","",IFERROR(LOOKUP(2,1/(#REF!=Z488),#REF!),""))</f>
        <v/>
      </c>
      <c r="AB488" t="str">
        <f>IF(Z488="","",IFERROR(LOOKUP(2,1/(#REF!=Z488),#REF!),""))</f>
        <v/>
      </c>
      <c r="AC488" t="e">
        <f>IF(Z488="","",COUNTIF(#REF!,Z488))</f>
        <v>#REF!</v>
      </c>
      <c r="AD488" t="e">
        <f>IF(A488="","",IF(AC488&gt;1,"REVISAR DUPLICADO",IF(AA488&lt;&gt;"","ACTUALIZADO POR EYR","SIN REPORTE EYR")))</f>
        <v>#REF!</v>
      </c>
    </row>
    <row r="489" spans="1:30" x14ac:dyDescent="0.3">
      <c r="A489" s="5" t="s">
        <v>4292</v>
      </c>
      <c r="B489" t="s">
        <v>4291</v>
      </c>
      <c r="C489" s="4" t="s">
        <v>4290</v>
      </c>
      <c r="D489" t="s">
        <v>77</v>
      </c>
      <c r="F489" t="s">
        <v>4289</v>
      </c>
      <c r="G489" s="3">
        <v>8294893797</v>
      </c>
      <c r="H489" s="2">
        <v>46121</v>
      </c>
      <c r="I489" t="s">
        <v>1397</v>
      </c>
      <c r="K489" s="1">
        <f ca="1">IF(A489="","",IF(OR(L489="ENTREGADA",L489="RETORNADA",L489="ENTREGA DIGITAL"),0,MAX(0,5-NETWORKDAYS(H489+1,TODAY()))))</f>
        <v>0</v>
      </c>
      <c r="L489" t="str">
        <f>IF(A489="","",IFERROR(LOOKUP(2,1/(#REF!=Z489),#REF!),Y489))</f>
        <v>ENTREGADA</v>
      </c>
      <c r="Y489" t="s">
        <v>1956</v>
      </c>
      <c r="Z489" t="str">
        <f>IF(A489="","",TEXT(A489,"0")&amp;"|"&amp;TEXT(H489,"0"))</f>
        <v>4921017788232750|46121</v>
      </c>
      <c r="AA489" t="str">
        <f>IF(Z489="","",IFERROR(LOOKUP(2,1/(#REF!=Z489),#REF!),""))</f>
        <v/>
      </c>
      <c r="AB489" t="str">
        <f>IF(Z489="","",IFERROR(LOOKUP(2,1/(#REF!=Z489),#REF!),""))</f>
        <v/>
      </c>
      <c r="AC489" t="e">
        <f>IF(Z489="","",COUNTIF(#REF!,Z489))</f>
        <v>#REF!</v>
      </c>
      <c r="AD489" t="e">
        <f>IF(A489="","",IF(AC489&gt;1,"REVISAR DUPLICADO",IF(AA489&lt;&gt;"","ACTUALIZADO POR EYR","SIN REPORTE EYR")))</f>
        <v>#REF!</v>
      </c>
    </row>
    <row r="490" spans="1:30" x14ac:dyDescent="0.3">
      <c r="A490" s="5" t="s">
        <v>4288</v>
      </c>
      <c r="B490" t="s">
        <v>4287</v>
      </c>
      <c r="C490" s="4" t="s">
        <v>4286</v>
      </c>
      <c r="D490" t="s">
        <v>77</v>
      </c>
      <c r="E490" t="s">
        <v>214</v>
      </c>
      <c r="F490" t="s">
        <v>391</v>
      </c>
      <c r="G490" s="3">
        <v>8296039047</v>
      </c>
      <c r="H490" s="2">
        <v>46121</v>
      </c>
      <c r="I490" t="s">
        <v>1397</v>
      </c>
      <c r="K490" s="1">
        <f ca="1">IF(A490="","",IF(OR(L490="ENTREGADA",L490="RETORNADA",L490="ENTREGA DIGITAL"),0,MAX(0,5-NETWORKDAYS(H490+1,TODAY()))))</f>
        <v>0</v>
      </c>
      <c r="L490" t="str">
        <f>IF(A490="","",IFERROR(LOOKUP(2,1/(#REF!=Z490),#REF!),Y490))</f>
        <v>ENTREGADA</v>
      </c>
      <c r="Y490" t="s">
        <v>1956</v>
      </c>
      <c r="Z490" t="str">
        <f>IF(A490="","",TEXT(A490,"0")&amp;"|"&amp;TEXT(H490,"0"))</f>
        <v>4966017788536890|46121</v>
      </c>
      <c r="AA490" t="str">
        <f>IF(Z490="","",IFERROR(LOOKUP(2,1/(#REF!=Z490),#REF!),""))</f>
        <v/>
      </c>
      <c r="AB490" t="str">
        <f>IF(Z490="","",IFERROR(LOOKUP(2,1/(#REF!=Z490),#REF!),""))</f>
        <v/>
      </c>
      <c r="AC490" t="e">
        <f>IF(Z490="","",COUNTIF(#REF!,Z490))</f>
        <v>#REF!</v>
      </c>
      <c r="AD490" t="e">
        <f>IF(A490="","",IF(AC490&gt;1,"REVISAR DUPLICADO",IF(AA490&lt;&gt;"","ACTUALIZADO POR EYR","SIN REPORTE EYR")))</f>
        <v>#REF!</v>
      </c>
    </row>
    <row r="491" spans="1:30" x14ac:dyDescent="0.3">
      <c r="A491" s="5" t="s">
        <v>4285</v>
      </c>
      <c r="B491" t="s">
        <v>4284</v>
      </c>
      <c r="C491" s="4" t="s">
        <v>78</v>
      </c>
      <c r="D491" t="s">
        <v>77</v>
      </c>
      <c r="F491" t="s">
        <v>135</v>
      </c>
      <c r="G491" s="3">
        <v>8097537593</v>
      </c>
      <c r="H491" s="2">
        <v>46121</v>
      </c>
      <c r="I491" t="s">
        <v>1397</v>
      </c>
      <c r="K491" s="1">
        <f ca="1">IF(A491="","",IF(OR(L491="ENTREGADA",L491="RETORNADA",L491="ENTREGA DIGITAL"),0,MAX(0,5-NETWORKDAYS(H491+1,TODAY()))))</f>
        <v>0</v>
      </c>
      <c r="L491" t="str">
        <f>IF(A491="","",IFERROR(LOOKUP(2,1/(#REF!=Z491),#REF!),Y491))</f>
        <v>ENTREGADA</v>
      </c>
      <c r="Y491" t="s">
        <v>1956</v>
      </c>
      <c r="Z491" t="str">
        <f>IF(A491="","",TEXT(A491,"0")&amp;"|"&amp;TEXT(H491,"0"))</f>
        <v>4921017789087760|46121</v>
      </c>
      <c r="AA491" t="str">
        <f>IF(Z491="","",IFERROR(LOOKUP(2,1/(#REF!=Z491),#REF!),""))</f>
        <v/>
      </c>
      <c r="AB491" t="str">
        <f>IF(Z491="","",IFERROR(LOOKUP(2,1/(#REF!=Z491),#REF!),""))</f>
        <v/>
      </c>
      <c r="AC491" t="e">
        <f>IF(Z491="","",COUNTIF(#REF!,Z491))</f>
        <v>#REF!</v>
      </c>
      <c r="AD491" t="e">
        <f>IF(A491="","",IF(AC491&gt;1,"REVISAR DUPLICADO",IF(AA491&lt;&gt;"","ACTUALIZADO POR EYR","SIN REPORTE EYR")))</f>
        <v>#REF!</v>
      </c>
    </row>
    <row r="492" spans="1:30" x14ac:dyDescent="0.3">
      <c r="A492" s="5" t="s">
        <v>4283</v>
      </c>
      <c r="B492" t="s">
        <v>4282</v>
      </c>
      <c r="C492" s="4" t="s">
        <v>4281</v>
      </c>
      <c r="D492" t="s">
        <v>77</v>
      </c>
      <c r="F492" t="s">
        <v>35</v>
      </c>
      <c r="G492" s="3">
        <v>8299854329</v>
      </c>
      <c r="H492" s="2">
        <v>46121</v>
      </c>
      <c r="K492" s="1">
        <f ca="1">IF(A492="","",IF(OR(L492="ENTREGADA",L492="RETORNADA",L492="ENTREGA DIGITAL"),0,MAX(0,5-NETWORKDAYS(H492+1,TODAY()))))</f>
        <v>0</v>
      </c>
      <c r="L492" t="str">
        <f>IF(A492="","",IFERROR(LOOKUP(2,1/(#REF!=Z492),#REF!),Y492))</f>
        <v>RETORNADA</v>
      </c>
      <c r="Y492" t="s">
        <v>1857</v>
      </c>
      <c r="Z492" t="str">
        <f>IF(A492="","",TEXT(A492,"0")&amp;"|"&amp;TEXT(H492,"0"))</f>
        <v>5400017787638110|46121</v>
      </c>
      <c r="AA492" t="str">
        <f>IF(Z492="","",IFERROR(LOOKUP(2,1/(#REF!=Z492),#REF!),""))</f>
        <v/>
      </c>
      <c r="AB492" t="str">
        <f>IF(Z492="","",IFERROR(LOOKUP(2,1/(#REF!=Z492),#REF!),""))</f>
        <v/>
      </c>
      <c r="AC492" t="e">
        <f>IF(Z492="","",COUNTIF(#REF!,Z492))</f>
        <v>#REF!</v>
      </c>
      <c r="AD492" t="e">
        <f>IF(A492="","",IF(AC492&gt;1,"REVISAR DUPLICADO",IF(AA492&lt;&gt;"","ACTUALIZADO POR EYR","SIN REPORTE EYR")))</f>
        <v>#REF!</v>
      </c>
    </row>
    <row r="493" spans="1:30" x14ac:dyDescent="0.3">
      <c r="A493" s="5" t="s">
        <v>4280</v>
      </c>
      <c r="B493" t="s">
        <v>4279</v>
      </c>
      <c r="C493" s="4" t="s">
        <v>4278</v>
      </c>
      <c r="D493" t="s">
        <v>1</v>
      </c>
      <c r="F493" t="s">
        <v>4277</v>
      </c>
      <c r="G493" s="3">
        <v>8099011680</v>
      </c>
      <c r="H493" s="2">
        <v>46121</v>
      </c>
      <c r="K493" s="1">
        <f ca="1">IF(A493="","",IF(OR(L493="ENTREGADA",L493="RETORNADA",L493="ENTREGA DIGITAL"),0,MAX(0,5-NETWORKDAYS(H493+1,TODAY()))))</f>
        <v>0</v>
      </c>
      <c r="L493" t="str">
        <f>IF(A493="","",IFERROR(LOOKUP(2,1/(#REF!=Z493),#REF!),Y493))</f>
        <v>ENTREGA DIGITAL</v>
      </c>
      <c r="Y493" t="s">
        <v>1396</v>
      </c>
      <c r="Z493" t="str">
        <f>IF(A493="","",TEXT(A493,"0")&amp;"|"&amp;TEXT(H493,"0"))</f>
        <v>4025017790441610|46121</v>
      </c>
      <c r="AA493" t="str">
        <f>IF(Z493="","",IFERROR(LOOKUP(2,1/(#REF!=Z493),#REF!),""))</f>
        <v/>
      </c>
      <c r="AB493" t="str">
        <f>IF(Z493="","",IFERROR(LOOKUP(2,1/(#REF!=Z493),#REF!),""))</f>
        <v/>
      </c>
      <c r="AC493" t="e">
        <f>IF(Z493="","",COUNTIF(#REF!,Z493))</f>
        <v>#REF!</v>
      </c>
      <c r="AD493" t="e">
        <f>IF(A493="","",IF(AC493&gt;1,"REVISAR DUPLICADO",IF(AA493&lt;&gt;"","ACTUALIZADO POR EYR","SIN REPORTE EYR")))</f>
        <v>#REF!</v>
      </c>
    </row>
    <row r="494" spans="1:30" x14ac:dyDescent="0.3">
      <c r="A494" s="5" t="s">
        <v>4276</v>
      </c>
      <c r="B494" t="s">
        <v>4275</v>
      </c>
      <c r="C494" s="4" t="s">
        <v>4274</v>
      </c>
      <c r="D494" t="s">
        <v>1</v>
      </c>
      <c r="F494" t="s">
        <v>4273</v>
      </c>
      <c r="G494" s="3">
        <v>8299614992</v>
      </c>
      <c r="H494" s="2">
        <v>46121</v>
      </c>
      <c r="I494" t="s">
        <v>1397</v>
      </c>
      <c r="K494" s="1">
        <f ca="1">IF(A494="","",IF(OR(L494="ENTREGADA",L494="RETORNADA",L494="ENTREGA DIGITAL"),0,MAX(0,5-NETWORKDAYS(H494+1,TODAY()))))</f>
        <v>0</v>
      </c>
      <c r="L494" t="str">
        <f>IF(A494="","",IFERROR(LOOKUP(2,1/(#REF!=Z494),#REF!),Y494))</f>
        <v>ENTREGA DIGITAL</v>
      </c>
      <c r="Y494" t="s">
        <v>1396</v>
      </c>
      <c r="Z494" t="str">
        <f>IF(A494="","",TEXT(A494,"0")&amp;"|"&amp;TEXT(H494,"0"))</f>
        <v>5227017769647760|46121</v>
      </c>
      <c r="AA494" t="str">
        <f>IF(Z494="","",IFERROR(LOOKUP(2,1/(#REF!=Z494),#REF!),""))</f>
        <v/>
      </c>
      <c r="AB494" t="str">
        <f>IF(Z494="","",IFERROR(LOOKUP(2,1/(#REF!=Z494),#REF!),""))</f>
        <v/>
      </c>
      <c r="AC494" t="e">
        <f>IF(Z494="","",COUNTIF(#REF!,Z494))</f>
        <v>#REF!</v>
      </c>
      <c r="AD494" t="e">
        <f>IF(A494="","",IF(AC494&gt;1,"REVISAR DUPLICADO",IF(AA494&lt;&gt;"","ACTUALIZADO POR EYR","SIN REPORTE EYR")))</f>
        <v>#REF!</v>
      </c>
    </row>
    <row r="495" spans="1:30" x14ac:dyDescent="0.3">
      <c r="A495" s="5" t="s">
        <v>4272</v>
      </c>
      <c r="B495" t="s">
        <v>4271</v>
      </c>
      <c r="C495" s="4" t="s">
        <v>4270</v>
      </c>
      <c r="D495" t="s">
        <v>1</v>
      </c>
      <c r="F495" t="s">
        <v>4269</v>
      </c>
      <c r="G495" s="3">
        <v>8494562288</v>
      </c>
      <c r="H495" s="2">
        <v>46121</v>
      </c>
      <c r="K495" s="1">
        <f ca="1">IF(A495="","",IF(OR(L495="ENTREGADA",L495="RETORNADA",L495="ENTREGA DIGITAL"),0,MAX(0,5-NETWORKDAYS(H495+1,TODAY()))))</f>
        <v>0</v>
      </c>
      <c r="L495" t="str">
        <f>IF(A495="","",IFERROR(LOOKUP(2,1/(#REF!=Z495),#REF!),Y495))</f>
        <v>ENTREGA DIGITAL</v>
      </c>
      <c r="Y495" t="s">
        <v>1396</v>
      </c>
      <c r="Z495" t="str">
        <f>IF(A495="","",TEXT(A495,"0")&amp;"|"&amp;TEXT(H495,"0"))</f>
        <v>4173017784517170|46121</v>
      </c>
      <c r="AA495" t="str">
        <f>IF(Z495="","",IFERROR(LOOKUP(2,1/(#REF!=Z495),#REF!),""))</f>
        <v/>
      </c>
      <c r="AB495" t="str">
        <f>IF(Z495="","",IFERROR(LOOKUP(2,1/(#REF!=Z495),#REF!),""))</f>
        <v/>
      </c>
      <c r="AC495" t="e">
        <f>IF(Z495="","",COUNTIF(#REF!,Z495))</f>
        <v>#REF!</v>
      </c>
      <c r="AD495" t="e">
        <f>IF(A495="","",IF(AC495&gt;1,"REVISAR DUPLICADO",IF(AA495&lt;&gt;"","ACTUALIZADO POR EYR","SIN REPORTE EYR")))</f>
        <v>#REF!</v>
      </c>
    </row>
    <row r="496" spans="1:30" x14ac:dyDescent="0.3">
      <c r="A496" s="5" t="s">
        <v>4268</v>
      </c>
      <c r="B496" t="s">
        <v>4267</v>
      </c>
      <c r="C496" s="4" t="s">
        <v>4266</v>
      </c>
      <c r="D496" t="s">
        <v>1</v>
      </c>
      <c r="E496" t="s">
        <v>214</v>
      </c>
      <c r="F496" t="s">
        <v>423</v>
      </c>
      <c r="G496" s="3">
        <v>8093139006</v>
      </c>
      <c r="H496" s="2">
        <v>46121</v>
      </c>
      <c r="K496" s="1">
        <f ca="1">IF(A496="","",IF(OR(L496="ENTREGADA",L496="RETORNADA",L496="ENTREGA DIGITAL"),0,MAX(0,5-NETWORKDAYS(H496+1,TODAY()))))</f>
        <v>0</v>
      </c>
      <c r="L496" t="str">
        <f>IF(A496="","",IFERROR(LOOKUP(2,1/(#REF!=Z496),#REF!),Y496))</f>
        <v>ENTREGA DIGITAL</v>
      </c>
      <c r="Y496" t="s">
        <v>1396</v>
      </c>
      <c r="Z496" t="str">
        <f>IF(A496="","",TEXT(A496,"0")&amp;"|"&amp;TEXT(H496,"0"))</f>
        <v>5188017787808340|46121</v>
      </c>
      <c r="AA496" t="str">
        <f>IF(Z496="","",IFERROR(LOOKUP(2,1/(#REF!=Z496),#REF!),""))</f>
        <v/>
      </c>
      <c r="AB496" t="str">
        <f>IF(Z496="","",IFERROR(LOOKUP(2,1/(#REF!=Z496),#REF!),""))</f>
        <v/>
      </c>
      <c r="AC496" t="e">
        <f>IF(Z496="","",COUNTIF(#REF!,Z496))</f>
        <v>#REF!</v>
      </c>
      <c r="AD496" t="e">
        <f>IF(A496="","",IF(AC496&gt;1,"REVISAR DUPLICADO",IF(AA496&lt;&gt;"","ACTUALIZADO POR EYR","SIN REPORTE EYR")))</f>
        <v>#REF!</v>
      </c>
    </row>
    <row r="497" spans="1:30" x14ac:dyDescent="0.3">
      <c r="A497" s="5" t="s">
        <v>4265</v>
      </c>
      <c r="B497" t="s">
        <v>4264</v>
      </c>
      <c r="C497" s="4" t="s">
        <v>4263</v>
      </c>
      <c r="D497" t="s">
        <v>1</v>
      </c>
      <c r="F497" t="s">
        <v>4262</v>
      </c>
      <c r="G497" s="3">
        <v>8292797753</v>
      </c>
      <c r="H497" s="2">
        <v>46121</v>
      </c>
      <c r="K497" s="1">
        <f ca="1">IF(A497="","",IF(OR(L497="ENTREGADA",L497="RETORNADA",L497="ENTREGA DIGITAL"),0,MAX(0,5-NETWORKDAYS(H497+1,TODAY()))))</f>
        <v>0</v>
      </c>
      <c r="L497" t="str">
        <f>IF(A497="","",IFERROR(LOOKUP(2,1/(#REF!=Z497),#REF!),Y497))</f>
        <v>ENTREGA DIGITAL</v>
      </c>
      <c r="Y497" t="s">
        <v>1396</v>
      </c>
      <c r="Z497" t="str">
        <f>IF(A497="","",TEXT(A497,"0")&amp;"|"&amp;TEXT(H497,"0"))</f>
        <v>4741017784217200|46121</v>
      </c>
      <c r="AA497" t="str">
        <f>IF(Z497="","",IFERROR(LOOKUP(2,1/(#REF!=Z497),#REF!),""))</f>
        <v/>
      </c>
      <c r="AB497" t="str">
        <f>IF(Z497="","",IFERROR(LOOKUP(2,1/(#REF!=Z497),#REF!),""))</f>
        <v/>
      </c>
      <c r="AC497" t="e">
        <f>IF(Z497="","",COUNTIF(#REF!,Z497))</f>
        <v>#REF!</v>
      </c>
      <c r="AD497" t="e">
        <f>IF(A497="","",IF(AC497&gt;1,"REVISAR DUPLICADO",IF(AA497&lt;&gt;"","ACTUALIZADO POR EYR","SIN REPORTE EYR")))</f>
        <v>#REF!</v>
      </c>
    </row>
    <row r="498" spans="1:30" x14ac:dyDescent="0.3">
      <c r="A498" s="5" t="s">
        <v>4261</v>
      </c>
      <c r="B498" t="s">
        <v>4260</v>
      </c>
      <c r="C498" s="4" t="s">
        <v>4259</v>
      </c>
      <c r="D498" t="s">
        <v>1</v>
      </c>
      <c r="F498" t="s">
        <v>4258</v>
      </c>
      <c r="G498" s="3">
        <v>8293641716</v>
      </c>
      <c r="H498" s="2">
        <v>46121</v>
      </c>
      <c r="K498" s="1">
        <f ca="1">IF(A498="","",IF(OR(L498="ENTREGADA",L498="RETORNADA",L498="ENTREGA DIGITAL"),0,MAX(0,5-NETWORKDAYS(H498+1,TODAY()))))</f>
        <v>0</v>
      </c>
      <c r="L498" t="str">
        <f>IF(A498="","",IFERROR(LOOKUP(2,1/(#REF!=Z498),#REF!),Y498))</f>
        <v>ENTREGA DIGITAL</v>
      </c>
      <c r="Y498" t="s">
        <v>1396</v>
      </c>
      <c r="Z498" t="str">
        <f>IF(A498="","",TEXT(A498,"0")&amp;"|"&amp;TEXT(H498,"0"))</f>
        <v>5549017775852840|46121</v>
      </c>
      <c r="AA498" t="str">
        <f>IF(Z498="","",IFERROR(LOOKUP(2,1/(#REF!=Z498),#REF!),""))</f>
        <v/>
      </c>
      <c r="AB498" t="str">
        <f>IF(Z498="","",IFERROR(LOOKUP(2,1/(#REF!=Z498),#REF!),""))</f>
        <v/>
      </c>
      <c r="AC498" t="e">
        <f>IF(Z498="","",COUNTIF(#REF!,Z498))</f>
        <v>#REF!</v>
      </c>
      <c r="AD498" t="e">
        <f>IF(A498="","",IF(AC498&gt;1,"REVISAR DUPLICADO",IF(AA498&lt;&gt;"","ACTUALIZADO POR EYR","SIN REPORTE EYR")))</f>
        <v>#REF!</v>
      </c>
    </row>
    <row r="499" spans="1:30" x14ac:dyDescent="0.3">
      <c r="A499" s="5" t="s">
        <v>4257</v>
      </c>
      <c r="B499" t="s">
        <v>4256</v>
      </c>
      <c r="C499" s="4" t="s">
        <v>4255</v>
      </c>
      <c r="D499" t="s">
        <v>1</v>
      </c>
      <c r="F499" t="s">
        <v>4254</v>
      </c>
      <c r="G499" s="3">
        <v>8298534171</v>
      </c>
      <c r="H499" s="2">
        <v>46121</v>
      </c>
      <c r="K499" s="1">
        <f ca="1">IF(A499="","",IF(OR(L499="ENTREGADA",L499="RETORNADA",L499="ENTREGA DIGITAL"),0,MAX(0,5-NETWORKDAYS(H499+1,TODAY()))))</f>
        <v>0</v>
      </c>
      <c r="L499" t="str">
        <f>IF(A499="","",IFERROR(LOOKUP(2,1/(#REF!=Z499),#REF!),Y499))</f>
        <v>ENTREGA DIGITAL</v>
      </c>
      <c r="Y499" t="s">
        <v>1396</v>
      </c>
      <c r="Z499" t="str">
        <f>IF(A499="","",TEXT(A499,"0")&amp;"|"&amp;TEXT(H499,"0"))</f>
        <v>4025017652430850|46121</v>
      </c>
      <c r="AA499" t="str">
        <f>IF(Z499="","",IFERROR(LOOKUP(2,1/(#REF!=Z499),#REF!),""))</f>
        <v/>
      </c>
      <c r="AB499" t="str">
        <f>IF(Z499="","",IFERROR(LOOKUP(2,1/(#REF!=Z499),#REF!),""))</f>
        <v/>
      </c>
      <c r="AC499" t="e">
        <f>IF(Z499="","",COUNTIF(#REF!,Z499))</f>
        <v>#REF!</v>
      </c>
      <c r="AD499" t="e">
        <f>IF(A499="","",IF(AC499&gt;1,"REVISAR DUPLICADO",IF(AA499&lt;&gt;"","ACTUALIZADO POR EYR","SIN REPORTE EYR")))</f>
        <v>#REF!</v>
      </c>
    </row>
    <row r="500" spans="1:30" x14ac:dyDescent="0.3">
      <c r="A500" s="5" t="s">
        <v>4253</v>
      </c>
      <c r="B500" t="s">
        <v>4252</v>
      </c>
      <c r="C500" s="4" t="s">
        <v>4251</v>
      </c>
      <c r="D500" t="s">
        <v>1</v>
      </c>
      <c r="F500" t="s">
        <v>4250</v>
      </c>
      <c r="G500" s="3">
        <v>8298521802</v>
      </c>
      <c r="H500" s="2">
        <v>46121</v>
      </c>
      <c r="K500" s="1">
        <f ca="1">IF(A500="","",IF(OR(L500="ENTREGADA",L500="RETORNADA",L500="ENTREGA DIGITAL"),0,MAX(0,5-NETWORKDAYS(H500+1,TODAY()))))</f>
        <v>0</v>
      </c>
      <c r="L500" t="str">
        <f>IF(A500="","",IFERROR(LOOKUP(2,1/(#REF!=Z500),#REF!),Y500))</f>
        <v>ENTREGA DIGITAL</v>
      </c>
      <c r="Y500" t="s">
        <v>1396</v>
      </c>
      <c r="Z500" t="str">
        <f>IF(A500="","",TEXT(A500,"0")&amp;"|"&amp;TEXT(H500,"0"))</f>
        <v>4921017714096780|46121</v>
      </c>
      <c r="AA500" t="str">
        <f>IF(Z500="","",IFERROR(LOOKUP(2,1/(#REF!=Z500),#REF!),""))</f>
        <v/>
      </c>
      <c r="AB500" t="str">
        <f>IF(Z500="","",IFERROR(LOOKUP(2,1/(#REF!=Z500),#REF!),""))</f>
        <v/>
      </c>
      <c r="AC500" t="e">
        <f>IF(Z500="","",COUNTIF(#REF!,Z500))</f>
        <v>#REF!</v>
      </c>
      <c r="AD500" t="e">
        <f>IF(A500="","",IF(AC500&gt;1,"REVISAR DUPLICADO",IF(AA500&lt;&gt;"","ACTUALIZADO POR EYR","SIN REPORTE EYR")))</f>
        <v>#REF!</v>
      </c>
    </row>
    <row r="501" spans="1:30" x14ac:dyDescent="0.3">
      <c r="A501" s="5" t="s">
        <v>4249</v>
      </c>
      <c r="B501" t="s">
        <v>4248</v>
      </c>
      <c r="C501" s="4" t="s">
        <v>4247</v>
      </c>
      <c r="D501" t="s">
        <v>77</v>
      </c>
      <c r="F501" t="s">
        <v>1129</v>
      </c>
      <c r="G501" s="3">
        <v>8292839443</v>
      </c>
      <c r="H501" s="2">
        <v>46122</v>
      </c>
      <c r="K501" s="1">
        <f ca="1">IF(A501="","",IF(OR(L501="ENTREGADA",L501="RETORNADA",L501="ENTREGA DIGITAL"),0,MAX(0,5-NETWORKDAYS(H501+1,TODAY()))))</f>
        <v>0</v>
      </c>
      <c r="L501" t="str">
        <f>IF(A501="","",IFERROR(LOOKUP(2,1/(#REF!=Z501),#REF!),Y501))</f>
        <v>ENTREGADA</v>
      </c>
      <c r="Y501" t="s">
        <v>1956</v>
      </c>
      <c r="Z501" t="str">
        <f>IF(A501="","",TEXT(A501,"0")&amp;"|"&amp;TEXT(H501,"0"))</f>
        <v>5188017791916580|46122</v>
      </c>
      <c r="AA501" t="str">
        <f>IF(Z501="","",IFERROR(LOOKUP(2,1/(#REF!=Z501),#REF!),""))</f>
        <v/>
      </c>
      <c r="AB501" t="str">
        <f>IF(Z501="","",IFERROR(LOOKUP(2,1/(#REF!=Z501),#REF!),""))</f>
        <v/>
      </c>
      <c r="AC501" t="e">
        <f>IF(Z501="","",COUNTIF(#REF!,Z501))</f>
        <v>#REF!</v>
      </c>
      <c r="AD501" t="e">
        <f>IF(A501="","",IF(AC501&gt;1,"REVISAR DUPLICADO",IF(AA501&lt;&gt;"","ACTUALIZADO POR EYR","SIN REPORTE EYR")))</f>
        <v>#REF!</v>
      </c>
    </row>
    <row r="502" spans="1:30" x14ac:dyDescent="0.3">
      <c r="A502" s="5" t="s">
        <v>4</v>
      </c>
      <c r="B502" t="s">
        <v>3</v>
      </c>
      <c r="C502" s="4" t="s">
        <v>2</v>
      </c>
      <c r="D502" t="s">
        <v>77</v>
      </c>
      <c r="F502" t="s">
        <v>4246</v>
      </c>
      <c r="G502" s="3">
        <v>8296685816</v>
      </c>
      <c r="H502" s="2">
        <v>46122</v>
      </c>
      <c r="K502" s="1">
        <f ca="1">IF(A502="","",IF(OR(L502="ENTREGADA",L502="RETORNADA",L502="ENTREGA DIGITAL"),0,MAX(0,5-NETWORKDAYS(H502+1,TODAY()))))</f>
        <v>0</v>
      </c>
      <c r="L502" t="str">
        <f>IF(A502="","",IFERROR(LOOKUP(2,1/(#REF!=Z502),#REF!),Y502))</f>
        <v>RETORNADA</v>
      </c>
      <c r="Y502" t="s">
        <v>1857</v>
      </c>
      <c r="Z502" t="str">
        <f>IF(A502="","",TEXT(A502,"0")&amp;"|"&amp;TEXT(H502,"0"))</f>
        <v>5415017787122790|46122</v>
      </c>
      <c r="AA502" t="str">
        <f>IF(Z502="","",IFERROR(LOOKUP(2,1/(#REF!=Z502),#REF!),""))</f>
        <v/>
      </c>
      <c r="AB502" t="str">
        <f>IF(Z502="","",IFERROR(LOOKUP(2,1/(#REF!=Z502),#REF!),""))</f>
        <v/>
      </c>
      <c r="AC502" t="e">
        <f>IF(Z502="","",COUNTIF(#REF!,Z502))</f>
        <v>#REF!</v>
      </c>
      <c r="AD502" t="e">
        <f>IF(A502="","",IF(AC502&gt;1,"REVISAR DUPLICADO",IF(AA502&lt;&gt;"","ACTUALIZADO POR EYR","SIN REPORTE EYR")))</f>
        <v>#REF!</v>
      </c>
    </row>
    <row r="503" spans="1:30" x14ac:dyDescent="0.3">
      <c r="A503" s="5" t="s">
        <v>4245</v>
      </c>
      <c r="B503" t="s">
        <v>4244</v>
      </c>
      <c r="C503" s="4" t="s">
        <v>4243</v>
      </c>
      <c r="D503" t="s">
        <v>77</v>
      </c>
      <c r="F503" t="s">
        <v>4242</v>
      </c>
      <c r="G503" s="3">
        <v>8295252549</v>
      </c>
      <c r="H503" s="2">
        <v>46122</v>
      </c>
      <c r="I503" t="s">
        <v>1397</v>
      </c>
      <c r="K503" s="1">
        <f ca="1">IF(A503="","",IF(OR(L503="ENTREGADA",L503="RETORNADA",L503="ENTREGA DIGITAL"),0,MAX(0,5-NETWORKDAYS(H503+1,TODAY()))))</f>
        <v>0</v>
      </c>
      <c r="L503" t="str">
        <f>IF(A503="","",IFERROR(LOOKUP(2,1/(#REF!=Z503),#REF!),Y503))</f>
        <v>ENTREGADA</v>
      </c>
      <c r="Y503" t="s">
        <v>1956</v>
      </c>
      <c r="Z503" t="str">
        <f>IF(A503="","",TEXT(A503,"0")&amp;"|"&amp;TEXT(H503,"0"))</f>
        <v>5188017787184170|46122</v>
      </c>
      <c r="AA503" t="str">
        <f>IF(Z503="","",IFERROR(LOOKUP(2,1/(#REF!=Z503),#REF!),""))</f>
        <v/>
      </c>
      <c r="AB503" t="str">
        <f>IF(Z503="","",IFERROR(LOOKUP(2,1/(#REF!=Z503),#REF!),""))</f>
        <v/>
      </c>
      <c r="AC503" t="e">
        <f>IF(Z503="","",COUNTIF(#REF!,Z503))</f>
        <v>#REF!</v>
      </c>
      <c r="AD503" t="e">
        <f>IF(A503="","",IF(AC503&gt;1,"REVISAR DUPLICADO",IF(AA503&lt;&gt;"","ACTUALIZADO POR EYR","SIN REPORTE EYR")))</f>
        <v>#REF!</v>
      </c>
    </row>
    <row r="504" spans="1:30" x14ac:dyDescent="0.3">
      <c r="A504" s="5" t="s">
        <v>4241</v>
      </c>
      <c r="B504" t="s">
        <v>4240</v>
      </c>
      <c r="C504" s="4" t="s">
        <v>4239</v>
      </c>
      <c r="D504" t="s">
        <v>77</v>
      </c>
      <c r="F504" t="s">
        <v>13</v>
      </c>
      <c r="G504" s="3">
        <v>8293057665</v>
      </c>
      <c r="H504" s="2">
        <v>46122</v>
      </c>
      <c r="K504" s="1">
        <f ca="1">IF(A504="","",IF(OR(L504="ENTREGADA",L504="RETORNADA",L504="ENTREGA DIGITAL"),0,MAX(0,5-NETWORKDAYS(H504+1,TODAY()))))</f>
        <v>0</v>
      </c>
      <c r="L504" t="str">
        <f>IF(A504="","",IFERROR(LOOKUP(2,1/(#REF!=Z504),#REF!),Y504))</f>
        <v>ENTREGADA</v>
      </c>
      <c r="Y504" t="s">
        <v>1956</v>
      </c>
      <c r="Z504" t="str">
        <f>IF(A504="","",TEXT(A504,"0")&amp;"|"&amp;TEXT(H504,"0"))</f>
        <v>4921017788416970|46122</v>
      </c>
      <c r="AA504" t="str">
        <f>IF(Z504="","",IFERROR(LOOKUP(2,1/(#REF!=Z504),#REF!),""))</f>
        <v/>
      </c>
      <c r="AB504" t="str">
        <f>IF(Z504="","",IFERROR(LOOKUP(2,1/(#REF!=Z504),#REF!),""))</f>
        <v/>
      </c>
      <c r="AC504" t="e">
        <f>IF(Z504="","",COUNTIF(#REF!,Z504))</f>
        <v>#REF!</v>
      </c>
      <c r="AD504" t="e">
        <f>IF(A504="","",IF(AC504&gt;1,"REVISAR DUPLICADO",IF(AA504&lt;&gt;"","ACTUALIZADO POR EYR","SIN REPORTE EYR")))</f>
        <v>#REF!</v>
      </c>
    </row>
    <row r="505" spans="1:30" x14ac:dyDescent="0.3">
      <c r="A505" s="5" t="s">
        <v>4238</v>
      </c>
      <c r="B505" t="s">
        <v>4237</v>
      </c>
      <c r="C505" s="4" t="s">
        <v>4236</v>
      </c>
      <c r="D505" t="s">
        <v>77</v>
      </c>
      <c r="F505" t="s">
        <v>13</v>
      </c>
      <c r="G505" s="3">
        <v>8293561878</v>
      </c>
      <c r="H505" s="2">
        <v>46122</v>
      </c>
      <c r="I505" t="s">
        <v>3742</v>
      </c>
      <c r="K505" s="1">
        <f ca="1">IF(A505="","",IF(OR(L505="ENTREGADA",L505="RETORNADA",L505="ENTREGA DIGITAL"),0,MAX(0,5-NETWORKDAYS(H505+1,TODAY()))))</f>
        <v>0</v>
      </c>
      <c r="L505" t="str">
        <f>IF(A505="","",IFERROR(LOOKUP(2,1/(#REF!=Z505),#REF!),Y505))</f>
        <v>ENTREGADA</v>
      </c>
      <c r="Y505" t="s">
        <v>1956</v>
      </c>
      <c r="Z505" t="str">
        <f>IF(A505="","",TEXT(A505,"0")&amp;"|"&amp;TEXT(H505,"0"))</f>
        <v>4921017792064070|46122</v>
      </c>
      <c r="AA505" t="str">
        <f>IF(Z505="","",IFERROR(LOOKUP(2,1/(#REF!=Z505),#REF!),""))</f>
        <v/>
      </c>
      <c r="AB505" t="str">
        <f>IF(Z505="","",IFERROR(LOOKUP(2,1/(#REF!=Z505),#REF!),""))</f>
        <v/>
      </c>
      <c r="AC505" t="e">
        <f>IF(Z505="","",COUNTIF(#REF!,Z505))</f>
        <v>#REF!</v>
      </c>
      <c r="AD505" t="e">
        <f>IF(A505="","",IF(AC505&gt;1,"REVISAR DUPLICADO",IF(AA505&lt;&gt;"","ACTUALIZADO POR EYR","SIN REPORTE EYR")))</f>
        <v>#REF!</v>
      </c>
    </row>
    <row r="506" spans="1:30" x14ac:dyDescent="0.3">
      <c r="A506" s="5" t="s">
        <v>4235</v>
      </c>
      <c r="B506" t="s">
        <v>4234</v>
      </c>
      <c r="C506" s="4" t="s">
        <v>4233</v>
      </c>
      <c r="D506" t="s">
        <v>77</v>
      </c>
      <c r="F506" t="s">
        <v>13</v>
      </c>
      <c r="G506" s="3">
        <v>8098706205</v>
      </c>
      <c r="H506" s="2">
        <v>46122</v>
      </c>
      <c r="K506" s="1">
        <f ca="1">IF(A506="","",IF(OR(L506="ENTREGADA",L506="RETORNADA",L506="ENTREGA DIGITAL"),0,MAX(0,5-NETWORKDAYS(H506+1,TODAY()))))</f>
        <v>0</v>
      </c>
      <c r="L506" t="str">
        <f>IF(A506="","",IFERROR(LOOKUP(2,1/(#REF!=Z506),#REF!),Y506))</f>
        <v>ENTREGADA</v>
      </c>
      <c r="Y506" t="s">
        <v>1956</v>
      </c>
      <c r="Z506" t="str">
        <f>IF(A506="","",TEXT(A506,"0")&amp;"|"&amp;TEXT(H506,"0"))</f>
        <v>4921017791929070|46122</v>
      </c>
      <c r="AA506" t="str">
        <f>IF(Z506="","",IFERROR(LOOKUP(2,1/(#REF!=Z506),#REF!),""))</f>
        <v/>
      </c>
      <c r="AB506" t="str">
        <f>IF(Z506="","",IFERROR(LOOKUP(2,1/(#REF!=Z506),#REF!),""))</f>
        <v/>
      </c>
      <c r="AC506" t="e">
        <f>IF(Z506="","",COUNTIF(#REF!,Z506))</f>
        <v>#REF!</v>
      </c>
      <c r="AD506" t="e">
        <f>IF(A506="","",IF(AC506&gt;1,"REVISAR DUPLICADO",IF(AA506&lt;&gt;"","ACTUALIZADO POR EYR","SIN REPORTE EYR")))</f>
        <v>#REF!</v>
      </c>
    </row>
    <row r="507" spans="1:30" x14ac:dyDescent="0.3">
      <c r="A507" s="5" t="s">
        <v>4232</v>
      </c>
      <c r="B507" t="s">
        <v>4231</v>
      </c>
      <c r="C507" s="4" t="s">
        <v>4230</v>
      </c>
      <c r="D507" t="s">
        <v>77</v>
      </c>
      <c r="F507" t="s">
        <v>13</v>
      </c>
      <c r="G507" s="3">
        <v>8093592870</v>
      </c>
      <c r="H507" s="2">
        <v>46122</v>
      </c>
      <c r="K507" s="1">
        <f ca="1">IF(A507="","",IF(OR(L507="ENTREGADA",L507="RETORNADA",L507="ENTREGA DIGITAL"),0,MAX(0,5-NETWORKDAYS(H507+1,TODAY()))))</f>
        <v>0</v>
      </c>
      <c r="L507" t="str">
        <f>IF(A507="","",IFERROR(LOOKUP(2,1/(#REF!=Z507),#REF!),Y507))</f>
        <v>ENTREGADA</v>
      </c>
      <c r="Y507" t="s">
        <v>1956</v>
      </c>
      <c r="Z507" t="str">
        <f>IF(A507="","",TEXT(A507,"0")&amp;"|"&amp;TEXT(H507,"0"))</f>
        <v>4921017793272050|46122</v>
      </c>
      <c r="AA507" t="str">
        <f>IF(Z507="","",IFERROR(LOOKUP(2,1/(#REF!=Z507),#REF!),""))</f>
        <v/>
      </c>
      <c r="AB507" t="str">
        <f>IF(Z507="","",IFERROR(LOOKUP(2,1/(#REF!=Z507),#REF!),""))</f>
        <v/>
      </c>
      <c r="AC507" t="e">
        <f>IF(Z507="","",COUNTIF(#REF!,Z507))</f>
        <v>#REF!</v>
      </c>
      <c r="AD507" t="e">
        <f>IF(A507="","",IF(AC507&gt;1,"REVISAR DUPLICADO",IF(AA507&lt;&gt;"","ACTUALIZADO POR EYR","SIN REPORTE EYR")))</f>
        <v>#REF!</v>
      </c>
    </row>
    <row r="508" spans="1:30" x14ac:dyDescent="0.3">
      <c r="A508" s="5" t="s">
        <v>4229</v>
      </c>
      <c r="B508" t="s">
        <v>4228</v>
      </c>
      <c r="C508" s="4" t="s">
        <v>4227</v>
      </c>
      <c r="D508" t="s">
        <v>77</v>
      </c>
      <c r="F508" t="s">
        <v>13</v>
      </c>
      <c r="G508" s="3">
        <v>8293327600</v>
      </c>
      <c r="H508" s="2">
        <v>46122</v>
      </c>
      <c r="K508" s="1">
        <f ca="1">IF(A508="","",IF(OR(L508="ENTREGADA",L508="RETORNADA",L508="ENTREGA DIGITAL"),0,MAX(0,5-NETWORKDAYS(H508+1,TODAY()))))</f>
        <v>0</v>
      </c>
      <c r="L508" t="str">
        <f>IF(A508="","",IFERROR(LOOKUP(2,1/(#REF!=Z508),#REF!),Y508))</f>
        <v>ENTREGADA</v>
      </c>
      <c r="Y508" t="s">
        <v>1956</v>
      </c>
      <c r="Z508" t="str">
        <f>IF(A508="","",TEXT(A508,"0")&amp;"|"&amp;TEXT(H508,"0"))</f>
        <v>5415017715825570|46122</v>
      </c>
      <c r="AA508" t="str">
        <f>IF(Z508="","",IFERROR(LOOKUP(2,1/(#REF!=Z508),#REF!),""))</f>
        <v/>
      </c>
      <c r="AB508" t="str">
        <f>IF(Z508="","",IFERROR(LOOKUP(2,1/(#REF!=Z508),#REF!),""))</f>
        <v/>
      </c>
      <c r="AC508" t="e">
        <f>IF(Z508="","",COUNTIF(#REF!,Z508))</f>
        <v>#REF!</v>
      </c>
      <c r="AD508" t="e">
        <f>IF(A508="","",IF(AC508&gt;1,"REVISAR DUPLICADO",IF(AA508&lt;&gt;"","ACTUALIZADO POR EYR","SIN REPORTE EYR")))</f>
        <v>#REF!</v>
      </c>
    </row>
    <row r="509" spans="1:30" x14ac:dyDescent="0.3">
      <c r="A509" s="5" t="s">
        <v>4226</v>
      </c>
      <c r="B509" t="s">
        <v>4225</v>
      </c>
      <c r="C509" s="4" t="s">
        <v>4224</v>
      </c>
      <c r="D509" t="s">
        <v>77</v>
      </c>
      <c r="F509">
        <v>8</v>
      </c>
      <c r="G509" s="3">
        <v>8299858028</v>
      </c>
      <c r="H509" s="2">
        <v>46122</v>
      </c>
      <c r="K509" s="1">
        <f ca="1">IF(A509="","",IF(OR(L509="ENTREGADA",L509="RETORNADA",L509="ENTREGA DIGITAL"),0,MAX(0,5-NETWORKDAYS(H509+1,TODAY()))))</f>
        <v>0</v>
      </c>
      <c r="L509" t="str">
        <f>IF(A509="","",IFERROR(LOOKUP(2,1/(#REF!=Z509),#REF!),Y509))</f>
        <v>ENTREGADA</v>
      </c>
      <c r="Y509" t="s">
        <v>1956</v>
      </c>
      <c r="Z509" t="str">
        <f>IF(A509="","",TEXT(A509,"0")&amp;"|"&amp;TEXT(H509,"0"))</f>
        <v>5400017698142470|46122</v>
      </c>
      <c r="AA509" t="str">
        <f>IF(Z509="","",IFERROR(LOOKUP(2,1/(#REF!=Z509),#REF!),""))</f>
        <v/>
      </c>
      <c r="AB509" t="str">
        <f>IF(Z509="","",IFERROR(LOOKUP(2,1/(#REF!=Z509),#REF!),""))</f>
        <v/>
      </c>
      <c r="AC509" t="e">
        <f>IF(Z509="","",COUNTIF(#REF!,Z509))</f>
        <v>#REF!</v>
      </c>
      <c r="AD509" t="e">
        <f>IF(A509="","",IF(AC509&gt;1,"REVISAR DUPLICADO",IF(AA509&lt;&gt;"","ACTUALIZADO POR EYR","SIN REPORTE EYR")))</f>
        <v>#REF!</v>
      </c>
    </row>
    <row r="510" spans="1:30" x14ac:dyDescent="0.3">
      <c r="A510" s="5" t="s">
        <v>2089</v>
      </c>
      <c r="B510" t="s">
        <v>2088</v>
      </c>
      <c r="C510" s="4" t="s">
        <v>2087</v>
      </c>
      <c r="D510" t="s">
        <v>77</v>
      </c>
      <c r="F510" t="s">
        <v>4100</v>
      </c>
      <c r="G510" s="3">
        <v>8293897756</v>
      </c>
      <c r="H510" s="2">
        <v>46122</v>
      </c>
      <c r="K510" s="1">
        <f ca="1">IF(A510="","",IF(OR(L510="ENTREGADA",L510="RETORNADA",L510="ENTREGA DIGITAL"),0,MAX(0,5-NETWORKDAYS(H510+1,TODAY()))))</f>
        <v>0</v>
      </c>
      <c r="L510" t="str">
        <f>IF(A510="","",IFERROR(LOOKUP(2,1/(#REF!=Z510),#REF!),Y510))</f>
        <v>RETORNADA</v>
      </c>
      <c r="Y510" t="s">
        <v>1857</v>
      </c>
      <c r="Z510" t="str">
        <f>IF(A510="","",TEXT(A510,"0")&amp;"|"&amp;TEXT(H510,"0"))</f>
        <v>5427017667684830|46122</v>
      </c>
      <c r="AA510" t="str">
        <f>IF(Z510="","",IFERROR(LOOKUP(2,1/(#REF!=Z510),#REF!),""))</f>
        <v/>
      </c>
      <c r="AB510" t="str">
        <f>IF(Z510="","",IFERROR(LOOKUP(2,1/(#REF!=Z510),#REF!),""))</f>
        <v/>
      </c>
      <c r="AC510" t="e">
        <f>IF(Z510="","",COUNTIF(#REF!,Z510))</f>
        <v>#REF!</v>
      </c>
      <c r="AD510" t="e">
        <f>IF(A510="","",IF(AC510&gt;1,"REVISAR DUPLICADO",IF(AA510&lt;&gt;"","ACTUALIZADO POR EYR","SIN REPORTE EYR")))</f>
        <v>#REF!</v>
      </c>
    </row>
    <row r="511" spans="1:30" x14ac:dyDescent="0.3">
      <c r="A511" s="5" t="s">
        <v>4223</v>
      </c>
      <c r="B511" t="s">
        <v>4222</v>
      </c>
      <c r="C511" s="4" t="s">
        <v>4221</v>
      </c>
      <c r="D511" t="s">
        <v>77</v>
      </c>
      <c r="F511" t="s">
        <v>4220</v>
      </c>
      <c r="G511" s="3">
        <v>8095434289</v>
      </c>
      <c r="H511" s="2">
        <v>46122</v>
      </c>
      <c r="K511" s="1">
        <f ca="1">IF(A511="","",IF(OR(L511="ENTREGADA",L511="RETORNADA",L511="ENTREGA DIGITAL"),0,MAX(0,5-NETWORKDAYS(H511+1,TODAY()))))</f>
        <v>0</v>
      </c>
      <c r="L511" t="str">
        <f>IF(A511="","",IFERROR(LOOKUP(2,1/(#REF!=Z511),#REF!),Y511))</f>
        <v>ENTREGADA</v>
      </c>
      <c r="Y511" t="s">
        <v>1956</v>
      </c>
      <c r="Z511" t="str">
        <f>IF(A511="","",TEXT(A511,"0")&amp;"|"&amp;TEXT(H511,"0"))</f>
        <v>5415017680012520|46122</v>
      </c>
      <c r="AA511" t="str">
        <f>IF(Z511="","",IFERROR(LOOKUP(2,1/(#REF!=Z511),#REF!),""))</f>
        <v/>
      </c>
      <c r="AB511" t="str">
        <f>IF(Z511="","",IFERROR(LOOKUP(2,1/(#REF!=Z511),#REF!),""))</f>
        <v/>
      </c>
      <c r="AC511" t="e">
        <f>IF(Z511="","",COUNTIF(#REF!,Z511))</f>
        <v>#REF!</v>
      </c>
      <c r="AD511" t="e">
        <f>IF(A511="","",IF(AC511&gt;1,"REVISAR DUPLICADO",IF(AA511&lt;&gt;"","ACTUALIZADO POR EYR","SIN REPORTE EYR")))</f>
        <v>#REF!</v>
      </c>
    </row>
    <row r="512" spans="1:30" x14ac:dyDescent="0.3">
      <c r="A512" s="5" t="s">
        <v>4219</v>
      </c>
      <c r="B512" t="s">
        <v>4218</v>
      </c>
      <c r="C512" s="4" t="s">
        <v>4217</v>
      </c>
      <c r="D512" t="s">
        <v>77</v>
      </c>
      <c r="F512" t="s">
        <v>4216</v>
      </c>
      <c r="G512" s="3">
        <v>8097272773</v>
      </c>
      <c r="H512" s="2">
        <v>46122</v>
      </c>
      <c r="K512" s="1">
        <f ca="1">IF(A512="","",IF(OR(L512="ENTREGADA",L512="RETORNADA",L512="ENTREGA DIGITAL"),0,MAX(0,5-NETWORKDAYS(H512+1,TODAY()))))</f>
        <v>0</v>
      </c>
      <c r="L512" t="str">
        <f>IF(A512="","",IFERROR(LOOKUP(2,1/(#REF!=Z512),#REF!),Y512))</f>
        <v>ENTREGADA</v>
      </c>
      <c r="Y512" t="s">
        <v>1956</v>
      </c>
      <c r="Z512" t="str">
        <f>IF(A512="","",TEXT(A512,"0")&amp;"|"&amp;TEXT(H512,"0"))</f>
        <v>5415017666998340|46122</v>
      </c>
      <c r="AA512" t="str">
        <f>IF(Z512="","",IFERROR(LOOKUP(2,1/(#REF!=Z512),#REF!),""))</f>
        <v/>
      </c>
      <c r="AB512" t="str">
        <f>IF(Z512="","",IFERROR(LOOKUP(2,1/(#REF!=Z512),#REF!),""))</f>
        <v/>
      </c>
      <c r="AC512" t="e">
        <f>IF(Z512="","",COUNTIF(#REF!,Z512))</f>
        <v>#REF!</v>
      </c>
      <c r="AD512" t="e">
        <f>IF(A512="","",IF(AC512&gt;1,"REVISAR DUPLICADO",IF(AA512&lt;&gt;"","ACTUALIZADO POR EYR","SIN REPORTE EYR")))</f>
        <v>#REF!</v>
      </c>
    </row>
    <row r="513" spans="1:30" x14ac:dyDescent="0.3">
      <c r="A513" s="5" t="s">
        <v>4215</v>
      </c>
      <c r="B513" t="s">
        <v>4214</v>
      </c>
      <c r="C513" s="4" t="s">
        <v>4213</v>
      </c>
      <c r="D513" t="s">
        <v>77</v>
      </c>
      <c r="F513" t="s">
        <v>4212</v>
      </c>
      <c r="G513" s="3">
        <v>8296515162</v>
      </c>
      <c r="H513" s="2">
        <v>46122</v>
      </c>
      <c r="K513" s="1">
        <f ca="1">IF(A513="","",IF(OR(L513="ENTREGADA",L513="RETORNADA",L513="ENTREGA DIGITAL"),0,MAX(0,5-NETWORKDAYS(H513+1,TODAY()))))</f>
        <v>0</v>
      </c>
      <c r="L513" t="str">
        <f>IF(A513="","",IFERROR(LOOKUP(2,1/(#REF!=Z513),#REF!),Y513))</f>
        <v>ENTREGADA</v>
      </c>
      <c r="Y513" t="s">
        <v>1956</v>
      </c>
      <c r="Z513" t="str">
        <f>IF(A513="","",TEXT(A513,"0")&amp;"|"&amp;TEXT(H513,"0"))</f>
        <v>5415017641783200|46122</v>
      </c>
      <c r="AA513" t="str">
        <f>IF(Z513="","",IFERROR(LOOKUP(2,1/(#REF!=Z513),#REF!),""))</f>
        <v/>
      </c>
      <c r="AB513" t="str">
        <f>IF(Z513="","",IFERROR(LOOKUP(2,1/(#REF!=Z513),#REF!),""))</f>
        <v/>
      </c>
      <c r="AC513" t="e">
        <f>IF(Z513="","",COUNTIF(#REF!,Z513))</f>
        <v>#REF!</v>
      </c>
      <c r="AD513" t="e">
        <f>IF(A513="","",IF(AC513&gt;1,"REVISAR DUPLICADO",IF(AA513&lt;&gt;"","ACTUALIZADO POR EYR","SIN REPORTE EYR")))</f>
        <v>#REF!</v>
      </c>
    </row>
    <row r="514" spans="1:30" x14ac:dyDescent="0.3">
      <c r="A514" s="5" t="s">
        <v>4211</v>
      </c>
      <c r="B514" t="s">
        <v>4210</v>
      </c>
      <c r="C514" s="4" t="s">
        <v>4209</v>
      </c>
      <c r="D514" t="s">
        <v>21</v>
      </c>
      <c r="F514" t="s">
        <v>4208</v>
      </c>
      <c r="G514" s="3">
        <v>8095297787</v>
      </c>
      <c r="H514" s="2">
        <v>46122</v>
      </c>
      <c r="K514" s="1">
        <f ca="1">IF(A514="","",IF(OR(L514="ENTREGADA",L514="RETORNADA",L514="ENTREGA DIGITAL"),0,MAX(0,5-NETWORKDAYS(H514+1,TODAY()))))</f>
        <v>0</v>
      </c>
      <c r="L514" t="str">
        <f>IF(A514="","",IFERROR(LOOKUP(2,1/(#REF!=Z514),#REF!),Y514))</f>
        <v>ENTREGA DIGITAL</v>
      </c>
      <c r="Y514" t="s">
        <v>1396</v>
      </c>
      <c r="Z514" t="str">
        <f>IF(A514="","",TEXT(A514,"0")&amp;"|"&amp;TEXT(H514,"0"))</f>
        <v>4173017791199600|46122</v>
      </c>
      <c r="AA514" t="str">
        <f>IF(Z514="","",IFERROR(LOOKUP(2,1/(#REF!=Z514),#REF!),""))</f>
        <v/>
      </c>
      <c r="AB514" t="str">
        <f>IF(Z514="","",IFERROR(LOOKUP(2,1/(#REF!=Z514),#REF!),""))</f>
        <v/>
      </c>
      <c r="AC514" t="e">
        <f>IF(Z514="","",COUNTIF(#REF!,Z514))</f>
        <v>#REF!</v>
      </c>
      <c r="AD514" t="e">
        <f>IF(A514="","",IF(AC514&gt;1,"REVISAR DUPLICADO",IF(AA514&lt;&gt;"","ACTUALIZADO POR EYR","SIN REPORTE EYR")))</f>
        <v>#REF!</v>
      </c>
    </row>
    <row r="515" spans="1:30" x14ac:dyDescent="0.3">
      <c r="A515" s="5" t="s">
        <v>4207</v>
      </c>
      <c r="B515" t="s">
        <v>4206</v>
      </c>
      <c r="C515" s="4" t="s">
        <v>4205</v>
      </c>
      <c r="D515" t="s">
        <v>21</v>
      </c>
      <c r="F515" t="s">
        <v>4204</v>
      </c>
      <c r="G515" s="3">
        <v>8095266203</v>
      </c>
      <c r="H515" s="2">
        <v>46122</v>
      </c>
      <c r="K515" s="1">
        <f ca="1">IF(A515="","",IF(OR(L515="ENTREGADA",L515="RETORNADA",L515="ENTREGA DIGITAL"),0,MAX(0,5-NETWORKDAYS(H515+1,TODAY()))))</f>
        <v>0</v>
      </c>
      <c r="L515" t="str">
        <f>IF(A515="","",IFERROR(LOOKUP(2,1/(#REF!=Z515),#REF!),Y515))</f>
        <v>RETORNADA</v>
      </c>
      <c r="Y515" t="s">
        <v>1857</v>
      </c>
      <c r="Z515" t="str">
        <f>IF(A515="","",TEXT(A515,"0")&amp;"|"&amp;TEXT(H515,"0"))</f>
        <v>5523017786944920|46122</v>
      </c>
      <c r="AA515" t="str">
        <f>IF(Z515="","",IFERROR(LOOKUP(2,1/(#REF!=Z515),#REF!),""))</f>
        <v/>
      </c>
      <c r="AB515" t="str">
        <f>IF(Z515="","",IFERROR(LOOKUP(2,1/(#REF!=Z515),#REF!),""))</f>
        <v/>
      </c>
      <c r="AC515" t="e">
        <f>IF(Z515="","",COUNTIF(#REF!,Z515))</f>
        <v>#REF!</v>
      </c>
      <c r="AD515" t="e">
        <f>IF(A515="","",IF(AC515&gt;1,"REVISAR DUPLICADO",IF(AA515&lt;&gt;"","ACTUALIZADO POR EYR","SIN REPORTE EYR")))</f>
        <v>#REF!</v>
      </c>
    </row>
    <row r="516" spans="1:30" x14ac:dyDescent="0.3">
      <c r="A516" s="5" t="s">
        <v>4203</v>
      </c>
      <c r="B516" t="s">
        <v>4202</v>
      </c>
      <c r="C516" s="4" t="s">
        <v>4201</v>
      </c>
      <c r="D516" t="s">
        <v>21</v>
      </c>
      <c r="F516" t="s">
        <v>13</v>
      </c>
      <c r="G516" s="3">
        <v>9739142202</v>
      </c>
      <c r="H516" s="2">
        <v>46122</v>
      </c>
      <c r="K516" s="1">
        <f ca="1">IF(A516="","",IF(OR(L516="ENTREGADA",L516="RETORNADA",L516="ENTREGA DIGITAL"),0,MAX(0,5-NETWORKDAYS(H516+1,TODAY()))))</f>
        <v>0</v>
      </c>
      <c r="L516" t="str">
        <f>IF(A516="","",IFERROR(LOOKUP(2,1/(#REF!=Z516),#REF!),Y516))</f>
        <v>ENTREGA DIGITAL</v>
      </c>
      <c r="Y516" t="s">
        <v>1396</v>
      </c>
      <c r="Z516" t="str">
        <f>IF(A516="","",TEXT(A516,"0")&amp;"|"&amp;TEXT(H516,"0"))</f>
        <v>4921017788435670|46122</v>
      </c>
      <c r="AA516" t="str">
        <f>IF(Z516="","",IFERROR(LOOKUP(2,1/(#REF!=Z516),#REF!),""))</f>
        <v/>
      </c>
      <c r="AB516" t="str">
        <f>IF(Z516="","",IFERROR(LOOKUP(2,1/(#REF!=Z516),#REF!),""))</f>
        <v/>
      </c>
      <c r="AC516" t="e">
        <f>IF(Z516="","",COUNTIF(#REF!,Z516))</f>
        <v>#REF!</v>
      </c>
      <c r="AD516" t="e">
        <f>IF(A516="","",IF(AC516&gt;1,"REVISAR DUPLICADO",IF(AA516&lt;&gt;"","ACTUALIZADO POR EYR","SIN REPORTE EYR")))</f>
        <v>#REF!</v>
      </c>
    </row>
    <row r="517" spans="1:30" x14ac:dyDescent="0.3">
      <c r="A517" s="5" t="s">
        <v>4200</v>
      </c>
      <c r="B517" t="s">
        <v>4199</v>
      </c>
      <c r="C517" s="4" t="s">
        <v>4198</v>
      </c>
      <c r="D517" t="s">
        <v>21</v>
      </c>
      <c r="F517" t="s">
        <v>13</v>
      </c>
      <c r="G517" s="3">
        <v>8298709251</v>
      </c>
      <c r="H517" s="2">
        <v>46122</v>
      </c>
      <c r="I517" t="s">
        <v>3742</v>
      </c>
      <c r="K517" s="1">
        <f ca="1">IF(A517="","",IF(OR(L517="ENTREGADA",L517="RETORNADA",L517="ENTREGA DIGITAL"),0,MAX(0,5-NETWORKDAYS(H517+1,TODAY()))))</f>
        <v>0</v>
      </c>
      <c r="L517" t="str">
        <f>IF(A517="","",IFERROR(LOOKUP(2,1/(#REF!=Z517),#REF!),Y517))</f>
        <v>ENTREGA DIGITAL</v>
      </c>
      <c r="Y517" t="s">
        <v>1396</v>
      </c>
      <c r="Z517" t="str">
        <f>IF(A517="","",TEXT(A517,"0")&amp;"|"&amp;TEXT(H517,"0"))</f>
        <v>4921017793039390|46122</v>
      </c>
      <c r="AA517" t="str">
        <f>IF(Z517="","",IFERROR(LOOKUP(2,1/(#REF!=Z517),#REF!),""))</f>
        <v/>
      </c>
      <c r="AB517" t="str">
        <f>IF(Z517="","",IFERROR(LOOKUP(2,1/(#REF!=Z517),#REF!),""))</f>
        <v/>
      </c>
      <c r="AC517" t="e">
        <f>IF(Z517="","",COUNTIF(#REF!,Z517))</f>
        <v>#REF!</v>
      </c>
      <c r="AD517" t="e">
        <f>IF(A517="","",IF(AC517&gt;1,"REVISAR DUPLICADO",IF(AA517&lt;&gt;"","ACTUALIZADO POR EYR","SIN REPORTE EYR")))</f>
        <v>#REF!</v>
      </c>
    </row>
    <row r="518" spans="1:30" x14ac:dyDescent="0.3">
      <c r="A518" s="5" t="s">
        <v>4197</v>
      </c>
      <c r="B518" t="s">
        <v>4196</v>
      </c>
      <c r="C518" s="4" t="s">
        <v>4195</v>
      </c>
      <c r="D518" t="s">
        <v>21</v>
      </c>
      <c r="F518" t="s">
        <v>13</v>
      </c>
      <c r="G518" s="3">
        <v>8097750530</v>
      </c>
      <c r="H518" s="2">
        <v>46122</v>
      </c>
      <c r="K518" s="1">
        <f ca="1">IF(A518="","",IF(OR(L518="ENTREGADA",L518="RETORNADA",L518="ENTREGA DIGITAL"),0,MAX(0,5-NETWORKDAYS(H518+1,TODAY()))))</f>
        <v>0</v>
      </c>
      <c r="L518" t="str">
        <f>IF(A518="","",IFERROR(LOOKUP(2,1/(#REF!=Z518),#REF!),Y518))</f>
        <v>ENTREGA DIGITAL</v>
      </c>
      <c r="Y518" t="s">
        <v>1396</v>
      </c>
      <c r="Z518" t="str">
        <f>IF(A518="","",TEXT(A518,"0")&amp;"|"&amp;TEXT(H518,"0"))</f>
        <v>4025017793933820|46122</v>
      </c>
      <c r="AA518" t="str">
        <f>IF(Z518="","",IFERROR(LOOKUP(2,1/(#REF!=Z518),#REF!),""))</f>
        <v/>
      </c>
      <c r="AB518" t="str">
        <f>IF(Z518="","",IFERROR(LOOKUP(2,1/(#REF!=Z518),#REF!),""))</f>
        <v/>
      </c>
      <c r="AC518" t="e">
        <f>IF(Z518="","",COUNTIF(#REF!,Z518))</f>
        <v>#REF!</v>
      </c>
      <c r="AD518" t="e">
        <f>IF(A518="","",IF(AC518&gt;1,"REVISAR DUPLICADO",IF(AA518&lt;&gt;"","ACTUALIZADO POR EYR","SIN REPORTE EYR")))</f>
        <v>#REF!</v>
      </c>
    </row>
    <row r="519" spans="1:30" x14ac:dyDescent="0.3">
      <c r="A519" s="5" t="s">
        <v>4194</v>
      </c>
      <c r="B519" t="s">
        <v>4193</v>
      </c>
      <c r="C519" s="4" t="s">
        <v>4192</v>
      </c>
      <c r="D519" t="s">
        <v>21</v>
      </c>
      <c r="F519" t="s">
        <v>13</v>
      </c>
      <c r="G519" s="3">
        <v>8095294421</v>
      </c>
      <c r="H519" s="2">
        <v>46122</v>
      </c>
      <c r="K519" s="1">
        <f ca="1">IF(A519="","",IF(OR(L519="ENTREGADA",L519="RETORNADA",L519="ENTREGA DIGITAL"),0,MAX(0,5-NETWORKDAYS(H519+1,TODAY()))))</f>
        <v>0</v>
      </c>
      <c r="L519" t="str">
        <f>IF(A519="","",IFERROR(LOOKUP(2,1/(#REF!=Z519),#REF!),Y519))</f>
        <v>ENTREGA DIGITAL</v>
      </c>
      <c r="Y519" t="s">
        <v>1396</v>
      </c>
      <c r="Z519" t="str">
        <f>IF(A519="","",TEXT(A519,"0")&amp;"|"&amp;TEXT(H519,"0"))</f>
        <v>4025017793683160|46122</v>
      </c>
      <c r="AA519" t="str">
        <f>IF(Z519="","",IFERROR(LOOKUP(2,1/(#REF!=Z519),#REF!),""))</f>
        <v/>
      </c>
      <c r="AB519" t="str">
        <f>IF(Z519="","",IFERROR(LOOKUP(2,1/(#REF!=Z519),#REF!),""))</f>
        <v/>
      </c>
      <c r="AC519" t="e">
        <f>IF(Z519="","",COUNTIF(#REF!,Z519))</f>
        <v>#REF!</v>
      </c>
      <c r="AD519" t="e">
        <f>IF(A519="","",IF(AC519&gt;1,"REVISAR DUPLICADO",IF(AA519&lt;&gt;"","ACTUALIZADO POR EYR","SIN REPORTE EYR")))</f>
        <v>#REF!</v>
      </c>
    </row>
    <row r="520" spans="1:30" x14ac:dyDescent="0.3">
      <c r="A520" s="5" t="s">
        <v>4191</v>
      </c>
      <c r="B520" t="s">
        <v>4190</v>
      </c>
      <c r="C520" s="4" t="s">
        <v>4189</v>
      </c>
      <c r="D520" t="s">
        <v>21</v>
      </c>
      <c r="F520" t="s">
        <v>13</v>
      </c>
      <c r="G520" s="3">
        <v>8099825427</v>
      </c>
      <c r="H520" s="2">
        <v>46122</v>
      </c>
      <c r="K520" s="1">
        <f ca="1">IF(A520="","",IF(OR(L520="ENTREGADA",L520="RETORNADA",L520="ENTREGA DIGITAL"),0,MAX(0,5-NETWORKDAYS(H520+1,TODAY()))))</f>
        <v>0</v>
      </c>
      <c r="L520" t="str">
        <f>IF(A520="","",IFERROR(LOOKUP(2,1/(#REF!=Z520),#REF!),Y520))</f>
        <v>ENTREGA DIGITAL</v>
      </c>
      <c r="Y520" t="s">
        <v>1396</v>
      </c>
      <c r="Z520" t="str">
        <f>IF(A520="","",TEXT(A520,"0")&amp;"|"&amp;TEXT(H520,"0"))</f>
        <v>4921017792469740|46122</v>
      </c>
      <c r="AA520" t="str">
        <f>IF(Z520="","",IFERROR(LOOKUP(2,1/(#REF!=Z520),#REF!),""))</f>
        <v/>
      </c>
      <c r="AB520" t="str">
        <f>IF(Z520="","",IFERROR(LOOKUP(2,1/(#REF!=Z520),#REF!),""))</f>
        <v/>
      </c>
      <c r="AC520" t="e">
        <f>IF(Z520="","",COUNTIF(#REF!,Z520))</f>
        <v>#REF!</v>
      </c>
      <c r="AD520" t="e">
        <f>IF(A520="","",IF(AC520&gt;1,"REVISAR DUPLICADO",IF(AA520&lt;&gt;"","ACTUALIZADO POR EYR","SIN REPORTE EYR")))</f>
        <v>#REF!</v>
      </c>
    </row>
    <row r="521" spans="1:30" x14ac:dyDescent="0.3">
      <c r="A521" s="5" t="s">
        <v>4188</v>
      </c>
      <c r="B521" t="s">
        <v>4187</v>
      </c>
      <c r="C521" s="4" t="s">
        <v>4186</v>
      </c>
      <c r="D521" t="s">
        <v>21</v>
      </c>
      <c r="F521" t="s">
        <v>4185</v>
      </c>
      <c r="G521" s="3">
        <v>8097416039</v>
      </c>
      <c r="H521" s="2">
        <v>46122</v>
      </c>
      <c r="K521" s="1">
        <f ca="1">IF(A521="","",IF(OR(L521="ENTREGADA",L521="RETORNADA",L521="ENTREGA DIGITAL"),0,MAX(0,5-NETWORKDAYS(H521+1,TODAY()))))</f>
        <v>0</v>
      </c>
      <c r="L521" t="str">
        <f>IF(A521="","",IFERROR(LOOKUP(2,1/(#REF!=Z521),#REF!),Y521))</f>
        <v>RETORNADA</v>
      </c>
      <c r="Y521" t="s">
        <v>1857</v>
      </c>
      <c r="Z521" t="str">
        <f>IF(A521="","",TEXT(A521,"0")&amp;"|"&amp;TEXT(H521,"0"))</f>
        <v>5188017252099610|46122</v>
      </c>
      <c r="AA521" t="str">
        <f>IF(Z521="","",IFERROR(LOOKUP(2,1/(#REF!=Z521),#REF!),""))</f>
        <v/>
      </c>
      <c r="AB521" t="str">
        <f>IF(Z521="","",IFERROR(LOOKUP(2,1/(#REF!=Z521),#REF!),""))</f>
        <v/>
      </c>
      <c r="AC521" t="e">
        <f>IF(Z521="","",COUNTIF(#REF!,Z521))</f>
        <v>#REF!</v>
      </c>
      <c r="AD521" t="e">
        <f>IF(A521="","",IF(AC521&gt;1,"REVISAR DUPLICADO",IF(AA521&lt;&gt;"","ACTUALIZADO POR EYR","SIN REPORTE EYR")))</f>
        <v>#REF!</v>
      </c>
    </row>
    <row r="522" spans="1:30" x14ac:dyDescent="0.3">
      <c r="A522" s="5" t="s">
        <v>4184</v>
      </c>
      <c r="B522" t="s">
        <v>4183</v>
      </c>
      <c r="C522" s="4" t="s">
        <v>4182</v>
      </c>
      <c r="D522" t="s">
        <v>21</v>
      </c>
      <c r="F522" t="s">
        <v>13</v>
      </c>
      <c r="G522" s="3">
        <v>8292610448</v>
      </c>
      <c r="H522" s="2">
        <v>46122</v>
      </c>
      <c r="K522" s="1">
        <f ca="1">IF(A522="","",IF(OR(L522="ENTREGADA",L522="RETORNADA",L522="ENTREGA DIGITAL"),0,MAX(0,5-NETWORKDAYS(H522+1,TODAY()))))</f>
        <v>0</v>
      </c>
      <c r="L522" t="str">
        <f>IF(A522="","",IFERROR(LOOKUP(2,1/(#REF!=Z522),#REF!),Y522))</f>
        <v>ENTREGA DIGITAL</v>
      </c>
      <c r="Y522" t="s">
        <v>1396</v>
      </c>
      <c r="Z522" t="str">
        <f>IF(A522="","",TEXT(A522,"0")&amp;"|"&amp;TEXT(H522,"0"))</f>
        <v>4921017781604450|46122</v>
      </c>
      <c r="AA522" t="str">
        <f>IF(Z522="","",IFERROR(LOOKUP(2,1/(#REF!=Z522),#REF!),""))</f>
        <v/>
      </c>
      <c r="AB522" t="str">
        <f>IF(Z522="","",IFERROR(LOOKUP(2,1/(#REF!=Z522),#REF!),""))</f>
        <v/>
      </c>
      <c r="AC522" t="e">
        <f>IF(Z522="","",COUNTIF(#REF!,Z522))</f>
        <v>#REF!</v>
      </c>
      <c r="AD522" t="e">
        <f>IF(A522="","",IF(AC522&gt;1,"REVISAR DUPLICADO",IF(AA522&lt;&gt;"","ACTUALIZADO POR EYR","SIN REPORTE EYR")))</f>
        <v>#REF!</v>
      </c>
    </row>
    <row r="523" spans="1:30" x14ac:dyDescent="0.3">
      <c r="A523" s="5" t="s">
        <v>4181</v>
      </c>
      <c r="B523" t="s">
        <v>4180</v>
      </c>
      <c r="C523" s="4" t="s">
        <v>4179</v>
      </c>
      <c r="D523" t="s">
        <v>1</v>
      </c>
      <c r="F523" t="s">
        <v>105</v>
      </c>
      <c r="G523" s="3">
        <v>8494961251</v>
      </c>
      <c r="H523" s="2">
        <v>46122</v>
      </c>
      <c r="I523" t="s">
        <v>3742</v>
      </c>
      <c r="K523" s="1">
        <f ca="1">IF(A523="","",IF(OR(L523="ENTREGADA",L523="RETORNADA",L523="ENTREGA DIGITAL"),0,MAX(0,5-NETWORKDAYS(H523+1,TODAY()))))</f>
        <v>0</v>
      </c>
      <c r="L523" t="str">
        <f>IF(A523="","",IFERROR(LOOKUP(2,1/(#REF!=Z523),#REF!),Y523))</f>
        <v>ENTREGA DIGITAL</v>
      </c>
      <c r="Y523" t="s">
        <v>1396</v>
      </c>
      <c r="Z523" t="str">
        <f>IF(A523="","",TEXT(A523,"0")&amp;"|"&amp;TEXT(H523,"0"))</f>
        <v>5188017710427970|46122</v>
      </c>
      <c r="AA523" t="str">
        <f>IF(Z523="","",IFERROR(LOOKUP(2,1/(#REF!=Z523),#REF!),""))</f>
        <v/>
      </c>
      <c r="AB523" t="str">
        <f>IF(Z523="","",IFERROR(LOOKUP(2,1/(#REF!=Z523),#REF!),""))</f>
        <v/>
      </c>
      <c r="AC523" t="e">
        <f>IF(Z523="","",COUNTIF(#REF!,Z523))</f>
        <v>#REF!</v>
      </c>
      <c r="AD523" t="e">
        <f>IF(A523="","",IF(AC523&gt;1,"REVISAR DUPLICADO",IF(AA523&lt;&gt;"","ACTUALIZADO POR EYR","SIN REPORTE EYR")))</f>
        <v>#REF!</v>
      </c>
    </row>
    <row r="524" spans="1:30" x14ac:dyDescent="0.3">
      <c r="A524" s="5" t="s">
        <v>4178</v>
      </c>
      <c r="B524" t="s">
        <v>4177</v>
      </c>
      <c r="C524" s="4" t="s">
        <v>4176</v>
      </c>
      <c r="D524" t="s">
        <v>1</v>
      </c>
      <c r="F524" t="s">
        <v>0</v>
      </c>
      <c r="G524" s="3">
        <v>8098367511</v>
      </c>
      <c r="H524" s="2">
        <v>46122</v>
      </c>
      <c r="K524" s="1">
        <f ca="1">IF(A524="","",IF(OR(L524="ENTREGADA",L524="RETORNADA",L524="ENTREGA DIGITAL"),0,MAX(0,5-NETWORKDAYS(H524+1,TODAY()))))</f>
        <v>0</v>
      </c>
      <c r="L524" t="str">
        <f>IF(A524="","",IFERROR(LOOKUP(2,1/(#REF!=Z524),#REF!),Y524))</f>
        <v>ENTREGA DIGITAL</v>
      </c>
      <c r="Y524" t="s">
        <v>1396</v>
      </c>
      <c r="Z524" t="str">
        <f>IF(A524="","",TEXT(A524,"0")&amp;"|"&amp;TEXT(H524,"0"))</f>
        <v>5415017718894620|46122</v>
      </c>
      <c r="AA524" t="str">
        <f>IF(Z524="","",IFERROR(LOOKUP(2,1/(#REF!=Z524),#REF!),""))</f>
        <v/>
      </c>
      <c r="AB524" t="str">
        <f>IF(Z524="","",IFERROR(LOOKUP(2,1/(#REF!=Z524),#REF!),""))</f>
        <v/>
      </c>
      <c r="AC524" t="e">
        <f>IF(Z524="","",COUNTIF(#REF!,Z524))</f>
        <v>#REF!</v>
      </c>
      <c r="AD524" t="e">
        <f>IF(A524="","",IF(AC524&gt;1,"REVISAR DUPLICADO",IF(AA524&lt;&gt;"","ACTUALIZADO POR EYR","SIN REPORTE EYR")))</f>
        <v>#REF!</v>
      </c>
    </row>
    <row r="525" spans="1:30" x14ac:dyDescent="0.3">
      <c r="A525" s="5" t="s">
        <v>4175</v>
      </c>
      <c r="B525" t="s">
        <v>4174</v>
      </c>
      <c r="C525" s="4" t="s">
        <v>4173</v>
      </c>
      <c r="D525" t="s">
        <v>1</v>
      </c>
      <c r="F525" t="s">
        <v>146</v>
      </c>
      <c r="G525" s="3">
        <v>8096679430</v>
      </c>
      <c r="H525" s="2">
        <v>46122</v>
      </c>
      <c r="K525" s="1">
        <f ca="1">IF(A525="","",IF(OR(L525="ENTREGADA",L525="RETORNADA",L525="ENTREGA DIGITAL"),0,MAX(0,5-NETWORKDAYS(H525+1,TODAY()))))</f>
        <v>0</v>
      </c>
      <c r="L525" t="str">
        <f>IF(A525="","",IFERROR(LOOKUP(2,1/(#REF!=Z525),#REF!),Y525))</f>
        <v>ENTREGADA</v>
      </c>
      <c r="Y525" t="s">
        <v>1956</v>
      </c>
      <c r="Z525" t="str">
        <f>IF(A525="","",TEXT(A525,"0")&amp;"|"&amp;TEXT(H525,"0"))</f>
        <v>5415017731981120|46122</v>
      </c>
      <c r="AA525" t="str">
        <f>IF(Z525="","",IFERROR(LOOKUP(2,1/(#REF!=Z525),#REF!),""))</f>
        <v/>
      </c>
      <c r="AB525" t="str">
        <f>IF(Z525="","",IFERROR(LOOKUP(2,1/(#REF!=Z525),#REF!),""))</f>
        <v/>
      </c>
      <c r="AC525" t="e">
        <f>IF(Z525="","",COUNTIF(#REF!,Z525))</f>
        <v>#REF!</v>
      </c>
      <c r="AD525" t="e">
        <f>IF(A525="","",IF(AC525&gt;1,"REVISAR DUPLICADO",IF(AA525&lt;&gt;"","ACTUALIZADO POR EYR","SIN REPORTE EYR")))</f>
        <v>#REF!</v>
      </c>
    </row>
    <row r="526" spans="1:30" x14ac:dyDescent="0.3">
      <c r="A526" s="5" t="s">
        <v>4172</v>
      </c>
      <c r="B526" t="s">
        <v>4171</v>
      </c>
      <c r="C526" s="4" t="s">
        <v>4170</v>
      </c>
      <c r="D526" t="s">
        <v>1</v>
      </c>
      <c r="F526" t="s">
        <v>4169</v>
      </c>
      <c r="G526" s="3">
        <v>8493507354</v>
      </c>
      <c r="H526" s="2">
        <v>46122</v>
      </c>
      <c r="K526" s="1">
        <f ca="1">IF(A526="","",IF(OR(L526="ENTREGADA",L526="RETORNADA",L526="ENTREGA DIGITAL"),0,MAX(0,5-NETWORKDAYS(H526+1,TODAY()))))</f>
        <v>0</v>
      </c>
      <c r="L526" t="str">
        <f>IF(A526="","",IFERROR(LOOKUP(2,1/(#REF!=Z526),#REF!),Y526))</f>
        <v>RETORNADA</v>
      </c>
      <c r="Y526" t="s">
        <v>1857</v>
      </c>
      <c r="Z526" t="str">
        <f>IF(A526="","",TEXT(A526,"0")&amp;"|"&amp;TEXT(H526,"0"))</f>
        <v>5188017608381900|46122</v>
      </c>
      <c r="AA526" t="str">
        <f>IF(Z526="","",IFERROR(LOOKUP(2,1/(#REF!=Z526),#REF!),""))</f>
        <v/>
      </c>
      <c r="AB526" t="str">
        <f>IF(Z526="","",IFERROR(LOOKUP(2,1/(#REF!=Z526),#REF!),""))</f>
        <v/>
      </c>
      <c r="AC526" t="e">
        <f>IF(Z526="","",COUNTIF(#REF!,Z526))</f>
        <v>#REF!</v>
      </c>
      <c r="AD526" t="e">
        <f>IF(A526="","",IF(AC526&gt;1,"REVISAR DUPLICADO",IF(AA526&lt;&gt;"","ACTUALIZADO POR EYR","SIN REPORTE EYR")))</f>
        <v>#REF!</v>
      </c>
    </row>
    <row r="527" spans="1:30" x14ac:dyDescent="0.3">
      <c r="A527" s="5" t="s">
        <v>4168</v>
      </c>
      <c r="B527" t="s">
        <v>4167</v>
      </c>
      <c r="C527" s="4" t="s">
        <v>4166</v>
      </c>
      <c r="D527" t="s">
        <v>1</v>
      </c>
      <c r="F527" t="s">
        <v>13</v>
      </c>
      <c r="G527" s="3">
        <v>9999999999</v>
      </c>
      <c r="H527" s="2">
        <v>46122</v>
      </c>
      <c r="K527" s="1">
        <f ca="1">IF(A527="","",IF(OR(L527="ENTREGADA",L527="RETORNADA",L527="ENTREGA DIGITAL"),0,MAX(0,5-NETWORKDAYS(H527+1,TODAY()))))</f>
        <v>0</v>
      </c>
      <c r="L527" t="str">
        <f>IF(A527="","",IFERROR(LOOKUP(2,1/(#REF!=Z527),#REF!),Y527))</f>
        <v>RETORNADA</v>
      </c>
      <c r="Y527" t="s">
        <v>1857</v>
      </c>
      <c r="Z527" t="str">
        <f>IF(A527="","",TEXT(A527,"0")&amp;"|"&amp;TEXT(H527,"0"))</f>
        <v>5188017673834150|46122</v>
      </c>
      <c r="AA527" t="str">
        <f>IF(Z527="","",IFERROR(LOOKUP(2,1/(#REF!=Z527),#REF!),""))</f>
        <v/>
      </c>
      <c r="AB527" t="str">
        <f>IF(Z527="","",IFERROR(LOOKUP(2,1/(#REF!=Z527),#REF!),""))</f>
        <v/>
      </c>
      <c r="AC527" t="e">
        <f>IF(Z527="","",COUNTIF(#REF!,Z527))</f>
        <v>#REF!</v>
      </c>
      <c r="AD527" t="e">
        <f>IF(A527="","",IF(AC527&gt;1,"REVISAR DUPLICADO",IF(AA527&lt;&gt;"","ACTUALIZADO POR EYR","SIN REPORTE EYR")))</f>
        <v>#REF!</v>
      </c>
    </row>
    <row r="528" spans="1:30" x14ac:dyDescent="0.3">
      <c r="A528" s="5" t="s">
        <v>4165</v>
      </c>
      <c r="B528" t="s">
        <v>4164</v>
      </c>
      <c r="C528" s="4" t="s">
        <v>4163</v>
      </c>
      <c r="D528" t="s">
        <v>1</v>
      </c>
      <c r="F528" t="s">
        <v>0</v>
      </c>
      <c r="G528" s="3">
        <v>8494349170</v>
      </c>
      <c r="H528" s="2">
        <v>46122</v>
      </c>
      <c r="K528" s="1">
        <f ca="1">IF(A528="","",IF(OR(L528="ENTREGADA",L528="RETORNADA",L528="ENTREGA DIGITAL"),0,MAX(0,5-NETWORKDAYS(H528+1,TODAY()))))</f>
        <v>0</v>
      </c>
      <c r="L528" t="str">
        <f>IF(A528="","",IFERROR(LOOKUP(2,1/(#REF!=Z528),#REF!),Y528))</f>
        <v>ENTREGA DIGITAL</v>
      </c>
      <c r="Y528" t="s">
        <v>1396</v>
      </c>
      <c r="Z528" t="str">
        <f>IF(A528="","",TEXT(A528,"0")&amp;"|"&amp;TEXT(H528,"0"))</f>
        <v>5415017709285540|46122</v>
      </c>
      <c r="AA528" t="str">
        <f>IF(Z528="","",IFERROR(LOOKUP(2,1/(#REF!=Z528),#REF!),""))</f>
        <v/>
      </c>
      <c r="AB528" t="str">
        <f>IF(Z528="","",IFERROR(LOOKUP(2,1/(#REF!=Z528),#REF!),""))</f>
        <v/>
      </c>
      <c r="AC528" t="e">
        <f>IF(Z528="","",COUNTIF(#REF!,Z528))</f>
        <v>#REF!</v>
      </c>
      <c r="AD528" t="e">
        <f>IF(A528="","",IF(AC528&gt;1,"REVISAR DUPLICADO",IF(AA528&lt;&gt;"","ACTUALIZADO POR EYR","SIN REPORTE EYR")))</f>
        <v>#REF!</v>
      </c>
    </row>
    <row r="529" spans="1:30" x14ac:dyDescent="0.3">
      <c r="A529" s="5" t="s">
        <v>1913</v>
      </c>
      <c r="B529" t="s">
        <v>1912</v>
      </c>
      <c r="C529" s="4" t="s">
        <v>1911</v>
      </c>
      <c r="D529" t="s">
        <v>1</v>
      </c>
      <c r="F529" t="s">
        <v>13</v>
      </c>
      <c r="G529" s="3">
        <v>8292651190</v>
      </c>
      <c r="H529" s="2">
        <v>46122</v>
      </c>
      <c r="K529" s="1">
        <f ca="1">IF(A529="","",IF(OR(L529="ENTREGADA",L529="RETORNADA",L529="ENTREGA DIGITAL"),0,MAX(0,5-NETWORKDAYS(H529+1,TODAY()))))</f>
        <v>0</v>
      </c>
      <c r="L529" t="str">
        <f>IF(A529="","",IFERROR(LOOKUP(2,1/(#REF!=Z529),#REF!),Y529))</f>
        <v>RETORNADA</v>
      </c>
      <c r="Y529" t="s">
        <v>1857</v>
      </c>
      <c r="Z529" t="str">
        <f>IF(A529="","",TEXT(A529,"0")&amp;"|"&amp;TEXT(H529,"0"))</f>
        <v>4921017793286320|46122</v>
      </c>
      <c r="AA529" t="str">
        <f>IF(Z529="","",IFERROR(LOOKUP(2,1/(#REF!=Z529),#REF!),""))</f>
        <v/>
      </c>
      <c r="AB529" t="str">
        <f>IF(Z529="","",IFERROR(LOOKUP(2,1/(#REF!=Z529),#REF!),""))</f>
        <v/>
      </c>
      <c r="AC529" t="e">
        <f>IF(Z529="","",COUNTIF(#REF!,Z529))</f>
        <v>#REF!</v>
      </c>
      <c r="AD529" t="e">
        <f>IF(A529="","",IF(AC529&gt;1,"REVISAR DUPLICADO",IF(AA529&lt;&gt;"","ACTUALIZADO POR EYR","SIN REPORTE EYR")))</f>
        <v>#REF!</v>
      </c>
    </row>
    <row r="530" spans="1:30" x14ac:dyDescent="0.3">
      <c r="A530" s="5" t="s">
        <v>1965</v>
      </c>
      <c r="B530" t="s">
        <v>1964</v>
      </c>
      <c r="C530" s="4" t="s">
        <v>1963</v>
      </c>
      <c r="D530" t="s">
        <v>21</v>
      </c>
      <c r="F530" t="s">
        <v>13</v>
      </c>
      <c r="G530" s="3">
        <v>8298309301</v>
      </c>
      <c r="H530" s="2">
        <v>46122</v>
      </c>
      <c r="K530" s="1">
        <f ca="1">IF(A530="","",IF(OR(L530="ENTREGADA",L530="RETORNADA",L530="ENTREGA DIGITAL"),0,MAX(0,5-NETWORKDAYS(H530+1,TODAY()))))</f>
        <v>0</v>
      </c>
      <c r="L530" t="str">
        <f>IF(A530="","",IFERROR(LOOKUP(2,1/(#REF!=Z530),#REF!),Y530))</f>
        <v>ENTREGA DIGITAL</v>
      </c>
      <c r="Y530" t="s">
        <v>1396</v>
      </c>
      <c r="Z530" t="str">
        <f>IF(A530="","",TEXT(A530,"0")&amp;"|"&amp;TEXT(H530,"0"))</f>
        <v>4921017695271430|46122</v>
      </c>
      <c r="AA530" t="str">
        <f>IF(Z530="","",IFERROR(LOOKUP(2,1/(#REF!=Z530),#REF!),""))</f>
        <v/>
      </c>
      <c r="AB530" t="str">
        <f>IF(Z530="","",IFERROR(LOOKUP(2,1/(#REF!=Z530),#REF!),""))</f>
        <v/>
      </c>
      <c r="AC530" t="e">
        <f>IF(Z530="","",COUNTIF(#REF!,Z530))</f>
        <v>#REF!</v>
      </c>
      <c r="AD530" t="e">
        <f>IF(A530="","",IF(AC530&gt;1,"REVISAR DUPLICADO",IF(AA530&lt;&gt;"","ACTUALIZADO POR EYR","SIN REPORTE EYR")))</f>
        <v>#REF!</v>
      </c>
    </row>
    <row r="531" spans="1:30" x14ac:dyDescent="0.3">
      <c r="A531" s="5" t="s">
        <v>4162</v>
      </c>
      <c r="B531" t="s">
        <v>4161</v>
      </c>
      <c r="C531" s="4" t="s">
        <v>4160</v>
      </c>
      <c r="D531" t="s">
        <v>21</v>
      </c>
      <c r="F531" t="s">
        <v>4159</v>
      </c>
      <c r="G531" s="3">
        <v>8099860631</v>
      </c>
      <c r="H531" s="2">
        <v>46122</v>
      </c>
      <c r="K531" s="1">
        <f ca="1">IF(A531="","",IF(OR(L531="ENTREGADA",L531="RETORNADA",L531="ENTREGA DIGITAL"),0,MAX(0,5-NETWORKDAYS(H531+1,TODAY()))))</f>
        <v>0</v>
      </c>
      <c r="L531" t="str">
        <f>IF(A531="","",IFERROR(LOOKUP(2,1/(#REF!=Z531),#REF!),Y531))</f>
        <v>ENTREGA DIGITAL</v>
      </c>
      <c r="Y531" t="s">
        <v>1396</v>
      </c>
      <c r="Z531" t="str">
        <f>IF(A531="","",TEXT(A531,"0")&amp;"|"&amp;TEXT(H531,"0"))</f>
        <v>5415017727801390|46122</v>
      </c>
      <c r="AA531" t="str">
        <f>IF(Z531="","",IFERROR(LOOKUP(2,1/(#REF!=Z531),#REF!),""))</f>
        <v/>
      </c>
      <c r="AB531" t="str">
        <f>IF(Z531="","",IFERROR(LOOKUP(2,1/(#REF!=Z531),#REF!),""))</f>
        <v/>
      </c>
      <c r="AC531" t="e">
        <f>IF(Z531="","",COUNTIF(#REF!,Z531))</f>
        <v>#REF!</v>
      </c>
      <c r="AD531" t="e">
        <f>IF(A531="","",IF(AC531&gt;1,"REVISAR DUPLICADO",IF(AA531&lt;&gt;"","ACTUALIZADO POR EYR","SIN REPORTE EYR")))</f>
        <v>#REF!</v>
      </c>
    </row>
    <row r="532" spans="1:30" x14ac:dyDescent="0.3">
      <c r="A532" s="5" t="s">
        <v>4158</v>
      </c>
      <c r="B532" t="s">
        <v>4157</v>
      </c>
      <c r="C532" s="4" t="s">
        <v>4156</v>
      </c>
      <c r="D532" t="s">
        <v>21</v>
      </c>
      <c r="F532" t="s">
        <v>13</v>
      </c>
      <c r="G532" s="3">
        <v>8294194483</v>
      </c>
      <c r="H532" s="2">
        <v>46122</v>
      </c>
      <c r="I532" t="s">
        <v>3742</v>
      </c>
      <c r="K532" s="1">
        <f ca="1">IF(A532="","",IF(OR(L532="ENTREGADA",L532="RETORNADA",L532="ENTREGA DIGITAL"),0,MAX(0,5-NETWORKDAYS(H532+1,TODAY()))))</f>
        <v>0</v>
      </c>
      <c r="L532" t="str">
        <f>IF(A532="","",IFERROR(LOOKUP(2,1/(#REF!=Z532),#REF!),Y532))</f>
        <v>ENTREGA DIGITAL</v>
      </c>
      <c r="Y532" t="s">
        <v>1396</v>
      </c>
      <c r="Z532" t="str">
        <f>IF(A532="","",TEXT(A532,"0")&amp;"|"&amp;TEXT(H532,"0"))</f>
        <v>4921017797346830|46122</v>
      </c>
      <c r="AA532" t="str">
        <f>IF(Z532="","",IFERROR(LOOKUP(2,1/(#REF!=Z532),#REF!),""))</f>
        <v/>
      </c>
      <c r="AB532" t="str">
        <f>IF(Z532="","",IFERROR(LOOKUP(2,1/(#REF!=Z532),#REF!),""))</f>
        <v/>
      </c>
      <c r="AC532" t="e">
        <f>IF(Z532="","",COUNTIF(#REF!,Z532))</f>
        <v>#REF!</v>
      </c>
      <c r="AD532" t="e">
        <f>IF(A532="","",IF(AC532&gt;1,"REVISAR DUPLICADO",IF(AA532&lt;&gt;"","ACTUALIZADO POR EYR","SIN REPORTE EYR")))</f>
        <v>#REF!</v>
      </c>
    </row>
    <row r="533" spans="1:30" x14ac:dyDescent="0.3">
      <c r="A533" s="5" t="s">
        <v>4155</v>
      </c>
      <c r="B533" t="s">
        <v>4154</v>
      </c>
      <c r="C533" s="4" t="s">
        <v>4153</v>
      </c>
      <c r="D533" t="s">
        <v>21</v>
      </c>
      <c r="F533" t="s">
        <v>4152</v>
      </c>
      <c r="G533" s="3">
        <v>8294927125</v>
      </c>
      <c r="H533" s="2">
        <v>46122</v>
      </c>
      <c r="K533" s="1">
        <f ca="1">IF(A533="","",IF(OR(L533="ENTREGADA",L533="RETORNADA",L533="ENTREGA DIGITAL"),0,MAX(0,5-NETWORKDAYS(H533+1,TODAY()))))</f>
        <v>0</v>
      </c>
      <c r="L533" t="str">
        <f>IF(A533="","",IFERROR(LOOKUP(2,1/(#REF!=Z533),#REF!),Y533))</f>
        <v>ENTREGA DIGITAL</v>
      </c>
      <c r="Y533" t="s">
        <v>1396</v>
      </c>
      <c r="Z533" t="str">
        <f>IF(A533="","",TEXT(A533,"0")&amp;"|"&amp;TEXT(H533,"0"))</f>
        <v>4966017796843270|46122</v>
      </c>
      <c r="AA533" t="str">
        <f>IF(Z533="","",IFERROR(LOOKUP(2,1/(#REF!=Z533),#REF!),""))</f>
        <v/>
      </c>
      <c r="AB533" t="str">
        <f>IF(Z533="","",IFERROR(LOOKUP(2,1/(#REF!=Z533),#REF!),""))</f>
        <v/>
      </c>
      <c r="AC533" t="e">
        <f>IF(Z533="","",COUNTIF(#REF!,Z533))</f>
        <v>#REF!</v>
      </c>
      <c r="AD533" t="e">
        <f>IF(A533="","",IF(AC533&gt;1,"REVISAR DUPLICADO",IF(AA533&lt;&gt;"","ACTUALIZADO POR EYR","SIN REPORTE EYR")))</f>
        <v>#REF!</v>
      </c>
    </row>
    <row r="534" spans="1:30" x14ac:dyDescent="0.3">
      <c r="A534" s="5" t="s">
        <v>4151</v>
      </c>
      <c r="B534" t="s">
        <v>4150</v>
      </c>
      <c r="C534" s="4" t="s">
        <v>4149</v>
      </c>
      <c r="D534" t="s">
        <v>21</v>
      </c>
      <c r="E534" t="s">
        <v>21</v>
      </c>
      <c r="F534" t="s">
        <v>62</v>
      </c>
      <c r="G534" s="3">
        <v>8293583489</v>
      </c>
      <c r="H534" s="2">
        <v>46122</v>
      </c>
      <c r="K534" s="1">
        <f ca="1">IF(A534="","",IF(OR(L534="ENTREGADA",L534="RETORNADA",L534="ENTREGA DIGITAL"),0,MAX(0,5-NETWORKDAYS(H534+1,TODAY()))))</f>
        <v>0</v>
      </c>
      <c r="L534" t="str">
        <f>IF(A534="","",IFERROR(LOOKUP(2,1/(#REF!=Z534),#REF!),Y534))</f>
        <v>ENTREGA DIGITAL</v>
      </c>
      <c r="Y534" t="s">
        <v>1396</v>
      </c>
      <c r="Z534" t="str">
        <f>IF(A534="","",TEXT(A534,"0")&amp;"|"&amp;TEXT(H534,"0"))</f>
        <v>5415017794475480|46122</v>
      </c>
      <c r="AA534" t="str">
        <f>IF(Z534="","",IFERROR(LOOKUP(2,1/(#REF!=Z534),#REF!),""))</f>
        <v/>
      </c>
      <c r="AB534" t="str">
        <f>IF(Z534="","",IFERROR(LOOKUP(2,1/(#REF!=Z534),#REF!),""))</f>
        <v/>
      </c>
      <c r="AC534" t="e">
        <f>IF(Z534="","",COUNTIF(#REF!,Z534))</f>
        <v>#REF!</v>
      </c>
      <c r="AD534" t="e">
        <f>IF(A534="","",IF(AC534&gt;1,"REVISAR DUPLICADO",IF(AA534&lt;&gt;"","ACTUALIZADO POR EYR","SIN REPORTE EYR")))</f>
        <v>#REF!</v>
      </c>
    </row>
    <row r="535" spans="1:30" x14ac:dyDescent="0.3">
      <c r="A535" s="5" t="s">
        <v>4148</v>
      </c>
      <c r="B535" t="s">
        <v>4147</v>
      </c>
      <c r="C535" s="4" t="s">
        <v>4146</v>
      </c>
      <c r="D535" t="s">
        <v>21</v>
      </c>
      <c r="F535" t="s">
        <v>13</v>
      </c>
      <c r="G535" s="3">
        <v>8093050391</v>
      </c>
      <c r="H535" s="2">
        <v>46122</v>
      </c>
      <c r="K535" s="1">
        <f ca="1">IF(A535="","",IF(OR(L535="ENTREGADA",L535="RETORNADA",L535="ENTREGA DIGITAL"),0,MAX(0,5-NETWORKDAYS(H535+1,TODAY()))))</f>
        <v>0</v>
      </c>
      <c r="L535" t="str">
        <f>IF(A535="","",IFERROR(LOOKUP(2,1/(#REF!=Z535),#REF!),Y535))</f>
        <v>ENTREGA DIGITAL</v>
      </c>
      <c r="Y535" t="s">
        <v>1396</v>
      </c>
      <c r="Z535" t="str">
        <f>IF(A535="","",TEXT(A535,"0")&amp;"|"&amp;TEXT(H535,"0"))</f>
        <v>4921017796666070|46122</v>
      </c>
      <c r="AA535" t="str">
        <f>IF(Z535="","",IFERROR(LOOKUP(2,1/(#REF!=Z535),#REF!),""))</f>
        <v/>
      </c>
      <c r="AB535" t="str">
        <f>IF(Z535="","",IFERROR(LOOKUP(2,1/(#REF!=Z535),#REF!),""))</f>
        <v/>
      </c>
      <c r="AC535" t="e">
        <f>IF(Z535="","",COUNTIF(#REF!,Z535))</f>
        <v>#REF!</v>
      </c>
      <c r="AD535" t="e">
        <f>IF(A535="","",IF(AC535&gt;1,"REVISAR DUPLICADO",IF(AA535&lt;&gt;"","ACTUALIZADO POR EYR","SIN REPORTE EYR")))</f>
        <v>#REF!</v>
      </c>
    </row>
    <row r="536" spans="1:30" x14ac:dyDescent="0.3">
      <c r="A536" s="5" t="s">
        <v>4145</v>
      </c>
      <c r="B536" t="s">
        <v>4144</v>
      </c>
      <c r="C536" s="4" t="s">
        <v>4143</v>
      </c>
      <c r="D536" t="s">
        <v>21</v>
      </c>
      <c r="F536" t="s">
        <v>1097</v>
      </c>
      <c r="G536" s="3">
        <v>8092704820</v>
      </c>
      <c r="H536" s="2">
        <v>46122</v>
      </c>
      <c r="K536" s="1">
        <f ca="1">IF(A536="","",IF(OR(L536="ENTREGADA",L536="RETORNADA",L536="ENTREGA DIGITAL"),0,MAX(0,5-NETWORKDAYS(H536+1,TODAY()))))</f>
        <v>0</v>
      </c>
      <c r="L536" t="str">
        <f>IF(A536="","",IFERROR(LOOKUP(2,1/(#REF!=Z536),#REF!),Y536))</f>
        <v>ENTREGA DIGITAL</v>
      </c>
      <c r="Y536" t="s">
        <v>1396</v>
      </c>
      <c r="Z536" t="str">
        <f>IF(A536="","",TEXT(A536,"0")&amp;"|"&amp;TEXT(H536,"0"))</f>
        <v>4921017796384200|46122</v>
      </c>
      <c r="AA536" t="str">
        <f>IF(Z536="","",IFERROR(LOOKUP(2,1/(#REF!=Z536),#REF!),""))</f>
        <v/>
      </c>
      <c r="AB536" t="str">
        <f>IF(Z536="","",IFERROR(LOOKUP(2,1/(#REF!=Z536),#REF!),""))</f>
        <v/>
      </c>
      <c r="AC536" t="e">
        <f>IF(Z536="","",COUNTIF(#REF!,Z536))</f>
        <v>#REF!</v>
      </c>
      <c r="AD536" t="e">
        <f>IF(A536="","",IF(AC536&gt;1,"REVISAR DUPLICADO",IF(AA536&lt;&gt;"","ACTUALIZADO POR EYR","SIN REPORTE EYR")))</f>
        <v>#REF!</v>
      </c>
    </row>
    <row r="537" spans="1:30" x14ac:dyDescent="0.3">
      <c r="A537" s="5" t="s">
        <v>4142</v>
      </c>
      <c r="B537" t="s">
        <v>4141</v>
      </c>
      <c r="C537" s="4" t="s">
        <v>4140</v>
      </c>
      <c r="D537" t="s">
        <v>21</v>
      </c>
      <c r="F537" t="s">
        <v>3054</v>
      </c>
      <c r="G537" s="3">
        <v>8092063412</v>
      </c>
      <c r="H537" s="2">
        <v>46122</v>
      </c>
      <c r="K537" s="1">
        <f ca="1">IF(A537="","",IF(OR(L537="ENTREGADA",L537="RETORNADA",L537="ENTREGA DIGITAL"),0,MAX(0,5-NETWORKDAYS(H537+1,TODAY()))))</f>
        <v>0</v>
      </c>
      <c r="L537" t="str">
        <f>IF(A537="","",IFERROR(LOOKUP(2,1/(#REF!=Z537),#REF!),Y537))</f>
        <v>ENTREGA DIGITAL</v>
      </c>
      <c r="Y537" t="s">
        <v>1396</v>
      </c>
      <c r="Z537" t="str">
        <f>IF(A537="","",TEXT(A537,"0")&amp;"|"&amp;TEXT(H537,"0"))</f>
        <v>4921017796540500|46122</v>
      </c>
      <c r="AA537" t="str">
        <f>IF(Z537="","",IFERROR(LOOKUP(2,1/(#REF!=Z537),#REF!),""))</f>
        <v/>
      </c>
      <c r="AB537" t="str">
        <f>IF(Z537="","",IFERROR(LOOKUP(2,1/(#REF!=Z537),#REF!),""))</f>
        <v/>
      </c>
      <c r="AC537" t="e">
        <f>IF(Z537="","",COUNTIF(#REF!,Z537))</f>
        <v>#REF!</v>
      </c>
      <c r="AD537" t="e">
        <f>IF(A537="","",IF(AC537&gt;1,"REVISAR DUPLICADO",IF(AA537&lt;&gt;"","ACTUALIZADO POR EYR","SIN REPORTE EYR")))</f>
        <v>#REF!</v>
      </c>
    </row>
    <row r="538" spans="1:30" x14ac:dyDescent="0.3">
      <c r="A538" s="5" t="s">
        <v>4139</v>
      </c>
      <c r="B538" t="s">
        <v>4138</v>
      </c>
      <c r="C538" s="4" t="s">
        <v>4137</v>
      </c>
      <c r="D538" t="s">
        <v>21</v>
      </c>
      <c r="F538" t="s">
        <v>3396</v>
      </c>
      <c r="G538" s="3">
        <v>8094012608</v>
      </c>
      <c r="H538" s="2">
        <v>46122</v>
      </c>
      <c r="K538" s="1">
        <f ca="1">IF(A538="","",IF(OR(L538="ENTREGADA",L538="RETORNADA",L538="ENTREGA DIGITAL"),0,MAX(0,5-NETWORKDAYS(H538+1,TODAY()))))</f>
        <v>0</v>
      </c>
      <c r="L538" t="str">
        <f>IF(A538="","",IFERROR(LOOKUP(2,1/(#REF!=Z538),#REF!),Y538))</f>
        <v>ENTREGA DIGITAL</v>
      </c>
      <c r="Y538" t="s">
        <v>1396</v>
      </c>
      <c r="Z538" t="str">
        <f>IF(A538="","",TEXT(A538,"0")&amp;"|"&amp;TEXT(H538,"0"))</f>
        <v>5415017795003380|46122</v>
      </c>
      <c r="AA538" t="str">
        <f>IF(Z538="","",IFERROR(LOOKUP(2,1/(#REF!=Z538),#REF!),""))</f>
        <v/>
      </c>
      <c r="AB538" t="str">
        <f>IF(Z538="","",IFERROR(LOOKUP(2,1/(#REF!=Z538),#REF!),""))</f>
        <v/>
      </c>
      <c r="AC538" t="e">
        <f>IF(Z538="","",COUNTIF(#REF!,Z538))</f>
        <v>#REF!</v>
      </c>
      <c r="AD538" t="e">
        <f>IF(A538="","",IF(AC538&gt;1,"REVISAR DUPLICADO",IF(AA538&lt;&gt;"","ACTUALIZADO POR EYR","SIN REPORTE EYR")))</f>
        <v>#REF!</v>
      </c>
    </row>
    <row r="539" spans="1:30" x14ac:dyDescent="0.3">
      <c r="A539" s="5" t="s">
        <v>4136</v>
      </c>
      <c r="B539" t="s">
        <v>4135</v>
      </c>
      <c r="C539" s="4" t="s">
        <v>4134</v>
      </c>
      <c r="D539" t="s">
        <v>1</v>
      </c>
      <c r="F539" t="s">
        <v>4133</v>
      </c>
      <c r="G539" s="3">
        <v>8092574396</v>
      </c>
      <c r="H539" s="2">
        <v>46122</v>
      </c>
      <c r="K539" s="1">
        <f ca="1">IF(A539="","",IF(OR(L539="ENTREGADA",L539="RETORNADA",L539="ENTREGA DIGITAL"),0,MAX(0,5-NETWORKDAYS(H539+1,TODAY()))))</f>
        <v>0</v>
      </c>
      <c r="L539" t="str">
        <f>IF(A539="","",IFERROR(LOOKUP(2,1/(#REF!=Z539),#REF!),Y539))</f>
        <v>ENTREGA DIGITAL</v>
      </c>
      <c r="Y539" t="s">
        <v>1396</v>
      </c>
      <c r="Z539" t="str">
        <f>IF(A539="","",TEXT(A539,"0")&amp;"|"&amp;TEXT(H539,"0"))</f>
        <v>4921017797792890|46122</v>
      </c>
      <c r="AA539" t="str">
        <f>IF(Z539="","",IFERROR(LOOKUP(2,1/(#REF!=Z539),#REF!),""))</f>
        <v/>
      </c>
      <c r="AB539" t="str">
        <f>IF(Z539="","",IFERROR(LOOKUP(2,1/(#REF!=Z539),#REF!),""))</f>
        <v/>
      </c>
      <c r="AC539" t="e">
        <f>IF(Z539="","",COUNTIF(#REF!,Z539))</f>
        <v>#REF!</v>
      </c>
      <c r="AD539" t="e">
        <f>IF(A539="","",IF(AC539&gt;1,"REVISAR DUPLICADO",IF(AA539&lt;&gt;"","ACTUALIZADO POR EYR","SIN REPORTE EYR")))</f>
        <v>#REF!</v>
      </c>
    </row>
    <row r="540" spans="1:30" x14ac:dyDescent="0.3">
      <c r="A540" s="5" t="s">
        <v>4132</v>
      </c>
      <c r="B540" t="s">
        <v>4131</v>
      </c>
      <c r="C540" s="4" t="s">
        <v>4130</v>
      </c>
      <c r="D540" t="s">
        <v>1</v>
      </c>
      <c r="F540" t="s">
        <v>9</v>
      </c>
      <c r="G540" s="3">
        <v>8292176280</v>
      </c>
      <c r="H540" s="2">
        <v>46122</v>
      </c>
      <c r="K540" s="1">
        <f ca="1">IF(A540="","",IF(OR(L540="ENTREGADA",L540="RETORNADA",L540="ENTREGA DIGITAL"),0,MAX(0,5-NETWORKDAYS(H540+1,TODAY()))))</f>
        <v>0</v>
      </c>
      <c r="L540" t="str">
        <f>IF(A540="","",IFERROR(LOOKUP(2,1/(#REF!=Z540),#REF!),Y540))</f>
        <v>RETORNADA</v>
      </c>
      <c r="Y540" t="s">
        <v>1857</v>
      </c>
      <c r="Z540" t="str">
        <f>IF(A540="","",TEXT(A540,"0")&amp;"|"&amp;TEXT(H540,"0"))</f>
        <v>5415017775487850|46122</v>
      </c>
      <c r="AA540" t="str">
        <f>IF(Z540="","",IFERROR(LOOKUP(2,1/(#REF!=Z540),#REF!),""))</f>
        <v/>
      </c>
      <c r="AB540" t="str">
        <f>IF(Z540="","",IFERROR(LOOKUP(2,1/(#REF!=Z540),#REF!),""))</f>
        <v/>
      </c>
      <c r="AC540" t="e">
        <f>IF(Z540="","",COUNTIF(#REF!,Z540))</f>
        <v>#REF!</v>
      </c>
      <c r="AD540" t="e">
        <f>IF(A540="","",IF(AC540&gt;1,"REVISAR DUPLICADO",IF(AA540&lt;&gt;"","ACTUALIZADO POR EYR","SIN REPORTE EYR")))</f>
        <v>#REF!</v>
      </c>
    </row>
    <row r="541" spans="1:30" x14ac:dyDescent="0.3">
      <c r="A541" s="5" t="s">
        <v>4129</v>
      </c>
      <c r="B541" t="s">
        <v>4128</v>
      </c>
      <c r="C541" s="4" t="s">
        <v>4127</v>
      </c>
      <c r="D541" t="s">
        <v>1</v>
      </c>
      <c r="F541" t="s">
        <v>13</v>
      </c>
      <c r="G541" s="3">
        <v>8092510328</v>
      </c>
      <c r="H541" s="2">
        <v>46122</v>
      </c>
      <c r="K541" s="1">
        <f ca="1">IF(A541="","",IF(OR(L541="ENTREGADA",L541="RETORNADA",L541="ENTREGA DIGITAL"),0,MAX(0,5-NETWORKDAYS(H541+1,TODAY()))))</f>
        <v>0</v>
      </c>
      <c r="L541" t="str">
        <f>IF(A541="","",IFERROR(LOOKUP(2,1/(#REF!=Z541),#REF!),Y541))</f>
        <v>RETORNADA</v>
      </c>
      <c r="Y541" t="s">
        <v>1857</v>
      </c>
      <c r="Z541" t="str">
        <f>IF(A541="","",TEXT(A541,"0")&amp;"|"&amp;TEXT(H541,"0"))</f>
        <v>4921017798425340|46122</v>
      </c>
      <c r="AA541" t="str">
        <f>IF(Z541="","",IFERROR(LOOKUP(2,1/(#REF!=Z541),#REF!),""))</f>
        <v/>
      </c>
      <c r="AB541" t="str">
        <f>IF(Z541="","",IFERROR(LOOKUP(2,1/(#REF!=Z541),#REF!),""))</f>
        <v/>
      </c>
      <c r="AC541" t="e">
        <f>IF(Z541="","",COUNTIF(#REF!,Z541))</f>
        <v>#REF!</v>
      </c>
      <c r="AD541" t="e">
        <f>IF(A541="","",IF(AC541&gt;1,"REVISAR DUPLICADO",IF(AA541&lt;&gt;"","ACTUALIZADO POR EYR","SIN REPORTE EYR")))</f>
        <v>#REF!</v>
      </c>
    </row>
    <row r="542" spans="1:30" x14ac:dyDescent="0.3">
      <c r="A542" s="5" t="s">
        <v>1267</v>
      </c>
      <c r="B542" t="s">
        <v>1266</v>
      </c>
      <c r="C542" s="4" t="s">
        <v>1265</v>
      </c>
      <c r="D542" t="s">
        <v>1</v>
      </c>
      <c r="F542" t="s">
        <v>3050</v>
      </c>
      <c r="G542" s="3">
        <v>8299052895</v>
      </c>
      <c r="H542" s="2">
        <v>46122</v>
      </c>
      <c r="K542" s="1">
        <f ca="1">IF(A542="","",IF(OR(L542="ENTREGADA",L542="RETORNADA",L542="ENTREGA DIGITAL"),0,MAX(0,5-NETWORKDAYS(H542+1,TODAY()))))</f>
        <v>0</v>
      </c>
      <c r="L542" t="str">
        <f>IF(A542="","",IFERROR(LOOKUP(2,1/(#REF!=Z542),#REF!),Y542))</f>
        <v>RETORNADA</v>
      </c>
      <c r="Y542" t="s">
        <v>1857</v>
      </c>
      <c r="Z542" t="str">
        <f>IF(A542="","",TEXT(A542,"0")&amp;"|"&amp;TEXT(H542,"0"))</f>
        <v>5188017796124260|46122</v>
      </c>
      <c r="AA542" t="str">
        <f>IF(Z542="","",IFERROR(LOOKUP(2,1/(#REF!=Z542),#REF!),""))</f>
        <v/>
      </c>
      <c r="AB542" t="str">
        <f>IF(Z542="","",IFERROR(LOOKUP(2,1/(#REF!=Z542),#REF!),""))</f>
        <v/>
      </c>
      <c r="AC542" t="e">
        <f>IF(Z542="","",COUNTIF(#REF!,Z542))</f>
        <v>#REF!</v>
      </c>
      <c r="AD542" t="e">
        <f>IF(A542="","",IF(AC542&gt;1,"REVISAR DUPLICADO",IF(AA542&lt;&gt;"","ACTUALIZADO POR EYR","SIN REPORTE EYR")))</f>
        <v>#REF!</v>
      </c>
    </row>
    <row r="543" spans="1:30" x14ac:dyDescent="0.3">
      <c r="A543" s="5" t="s">
        <v>4126</v>
      </c>
      <c r="B543" t="s">
        <v>4125</v>
      </c>
      <c r="C543" s="4" t="s">
        <v>4124</v>
      </c>
      <c r="D543" t="s">
        <v>1</v>
      </c>
      <c r="F543" t="s">
        <v>13</v>
      </c>
      <c r="G543" s="3">
        <v>8298788122</v>
      </c>
      <c r="H543" s="2">
        <v>46122</v>
      </c>
      <c r="K543" s="1">
        <f ca="1">IF(A543="","",IF(OR(L543="ENTREGADA",L543="RETORNADA",L543="ENTREGA DIGITAL"),0,MAX(0,5-NETWORKDAYS(H543+1,TODAY()))))</f>
        <v>0</v>
      </c>
      <c r="L543" t="str">
        <f>IF(A543="","",IFERROR(LOOKUP(2,1/(#REF!=Z543),#REF!),Y543))</f>
        <v>ENTREGA DIGITAL</v>
      </c>
      <c r="Y543" t="s">
        <v>1396</v>
      </c>
      <c r="Z543" t="str">
        <f>IF(A543="","",TEXT(A543,"0")&amp;"|"&amp;TEXT(H543,"0"))</f>
        <v>5415017794817010|46122</v>
      </c>
      <c r="AA543" t="str">
        <f>IF(Z543="","",IFERROR(LOOKUP(2,1/(#REF!=Z543),#REF!),""))</f>
        <v/>
      </c>
      <c r="AB543" t="str">
        <f>IF(Z543="","",IFERROR(LOOKUP(2,1/(#REF!=Z543),#REF!),""))</f>
        <v/>
      </c>
      <c r="AC543" t="e">
        <f>IF(Z543="","",COUNTIF(#REF!,Z543))</f>
        <v>#REF!</v>
      </c>
      <c r="AD543" t="e">
        <f>IF(A543="","",IF(AC543&gt;1,"REVISAR DUPLICADO",IF(AA543&lt;&gt;"","ACTUALIZADO POR EYR","SIN REPORTE EYR")))</f>
        <v>#REF!</v>
      </c>
    </row>
    <row r="544" spans="1:30" x14ac:dyDescent="0.3">
      <c r="A544" s="5" t="s">
        <v>4123</v>
      </c>
      <c r="B544" t="s">
        <v>3280</v>
      </c>
      <c r="C544" s="4" t="s">
        <v>4122</v>
      </c>
      <c r="D544" t="s">
        <v>1</v>
      </c>
      <c r="E544" t="s">
        <v>214</v>
      </c>
      <c r="F544" t="s">
        <v>648</v>
      </c>
      <c r="G544" s="3">
        <v>8492849183</v>
      </c>
      <c r="H544" s="2">
        <v>46122</v>
      </c>
      <c r="K544" s="1">
        <f ca="1">IF(A544="","",IF(OR(L544="ENTREGADA",L544="RETORNADA",L544="ENTREGA DIGITAL"),0,MAX(0,5-NETWORKDAYS(H544+1,TODAY()))))</f>
        <v>0</v>
      </c>
      <c r="L544" t="str">
        <f>IF(A544="","",IFERROR(LOOKUP(2,1/(#REF!=Z544),#REF!),Y544))</f>
        <v>ENTREGADA</v>
      </c>
      <c r="Y544" t="s">
        <v>1956</v>
      </c>
      <c r="Z544" t="str">
        <f>IF(A544="","",TEXT(A544,"0")&amp;"|"&amp;TEXT(H544,"0"))</f>
        <v>4921017700513250|46122</v>
      </c>
      <c r="AA544" t="str">
        <f>IF(Z544="","",IFERROR(LOOKUP(2,1/(#REF!=Z544),#REF!),""))</f>
        <v/>
      </c>
      <c r="AB544" t="str">
        <f>IF(Z544="","",IFERROR(LOOKUP(2,1/(#REF!=Z544),#REF!),""))</f>
        <v/>
      </c>
      <c r="AC544" t="e">
        <f>IF(Z544="","",COUNTIF(#REF!,Z544))</f>
        <v>#REF!</v>
      </c>
      <c r="AD544" t="e">
        <f>IF(A544="","",IF(AC544&gt;1,"REVISAR DUPLICADO",IF(AA544&lt;&gt;"","ACTUALIZADO POR EYR","SIN REPORTE EYR")))</f>
        <v>#REF!</v>
      </c>
    </row>
    <row r="545" spans="1:30" x14ac:dyDescent="0.3">
      <c r="A545" s="5" t="s">
        <v>2092</v>
      </c>
      <c r="B545" t="s">
        <v>2091</v>
      </c>
      <c r="C545" s="4" t="s">
        <v>2090</v>
      </c>
      <c r="D545" t="s">
        <v>1</v>
      </c>
      <c r="F545" t="s">
        <v>9</v>
      </c>
      <c r="G545" s="3">
        <v>8097872706</v>
      </c>
      <c r="H545" s="2">
        <v>46122</v>
      </c>
      <c r="K545" s="1">
        <f ca="1">IF(A545="","",IF(OR(L545="ENTREGADA",L545="RETORNADA",L545="ENTREGA DIGITAL"),0,MAX(0,5-NETWORKDAYS(H545+1,TODAY()))))</f>
        <v>0</v>
      </c>
      <c r="L545" t="str">
        <f>IF(A545="","",IFERROR(LOOKUP(2,1/(#REF!=Z545),#REF!),Y545))</f>
        <v>RETORNADA</v>
      </c>
      <c r="Y545" t="s">
        <v>1857</v>
      </c>
      <c r="Z545" t="str">
        <f>IF(A545="","",TEXT(A545,"0")&amp;"|"&amp;TEXT(H545,"0"))</f>
        <v>5400017795496200|46122</v>
      </c>
      <c r="AA545" t="str">
        <f>IF(Z545="","",IFERROR(LOOKUP(2,1/(#REF!=Z545),#REF!),""))</f>
        <v/>
      </c>
      <c r="AB545" t="str">
        <f>IF(Z545="","",IFERROR(LOOKUP(2,1/(#REF!=Z545),#REF!),""))</f>
        <v/>
      </c>
      <c r="AC545" t="e">
        <f>IF(Z545="","",COUNTIF(#REF!,Z545))</f>
        <v>#REF!</v>
      </c>
      <c r="AD545" t="e">
        <f>IF(A545="","",IF(AC545&gt;1,"REVISAR DUPLICADO",IF(AA545&lt;&gt;"","ACTUALIZADO POR EYR","SIN REPORTE EYR")))</f>
        <v>#REF!</v>
      </c>
    </row>
    <row r="546" spans="1:30" x14ac:dyDescent="0.3">
      <c r="A546" s="5" t="s">
        <v>16</v>
      </c>
      <c r="B546" t="s">
        <v>15</v>
      </c>
      <c r="C546" s="4" t="s">
        <v>14</v>
      </c>
      <c r="D546" t="s">
        <v>1</v>
      </c>
      <c r="F546" t="s">
        <v>4121</v>
      </c>
      <c r="G546" s="3">
        <v>8093914831</v>
      </c>
      <c r="H546" s="2">
        <v>46122</v>
      </c>
      <c r="K546" s="1">
        <f ca="1">IF(A546="","",IF(OR(L546="ENTREGADA",L546="RETORNADA",L546="ENTREGA DIGITAL"),0,MAX(0,5-NETWORKDAYS(H546+1,TODAY()))))</f>
        <v>0</v>
      </c>
      <c r="L546" t="str">
        <f>IF(A546="","",IFERROR(LOOKUP(2,1/(#REF!=Z546),#REF!),Y546))</f>
        <v>RETORNADA</v>
      </c>
      <c r="Y546" t="s">
        <v>1857</v>
      </c>
      <c r="Z546" t="str">
        <f>IF(A546="","",TEXT(A546,"0")&amp;"|"&amp;TEXT(H546,"0"))</f>
        <v>4921017796491520|46122</v>
      </c>
      <c r="AA546" t="str">
        <f>IF(Z546="","",IFERROR(LOOKUP(2,1/(#REF!=Z546),#REF!),""))</f>
        <v/>
      </c>
      <c r="AB546" t="str">
        <f>IF(Z546="","",IFERROR(LOOKUP(2,1/(#REF!=Z546),#REF!),""))</f>
        <v/>
      </c>
      <c r="AC546" t="e">
        <f>IF(Z546="","",COUNTIF(#REF!,Z546))</f>
        <v>#REF!</v>
      </c>
      <c r="AD546" t="e">
        <f>IF(A546="","",IF(AC546&gt;1,"REVISAR DUPLICADO",IF(AA546&lt;&gt;"","ACTUALIZADO POR EYR","SIN REPORTE EYR")))</f>
        <v>#REF!</v>
      </c>
    </row>
    <row r="547" spans="1:30" x14ac:dyDescent="0.3">
      <c r="A547" s="5" t="s">
        <v>4120</v>
      </c>
      <c r="B547" t="s">
        <v>4119</v>
      </c>
      <c r="C547" s="4" t="s">
        <v>4118</v>
      </c>
      <c r="D547" t="s">
        <v>1</v>
      </c>
      <c r="F547" t="s">
        <v>13</v>
      </c>
      <c r="G547" s="3">
        <v>8492065296</v>
      </c>
      <c r="H547" s="2">
        <v>46122</v>
      </c>
      <c r="K547" s="1">
        <f ca="1">IF(A547="","",IF(OR(L547="ENTREGADA",L547="RETORNADA",L547="ENTREGA DIGITAL"),0,MAX(0,5-NETWORKDAYS(H547+1,TODAY()))))</f>
        <v>0</v>
      </c>
      <c r="L547" t="str">
        <f>IF(A547="","",IFERROR(LOOKUP(2,1/(#REF!=Z547),#REF!),Y547))</f>
        <v>ENTREGA DIGITAL</v>
      </c>
      <c r="Y547" t="s">
        <v>1396</v>
      </c>
      <c r="Z547" t="str">
        <f>IF(A547="","",TEXT(A547,"0")&amp;"|"&amp;TEXT(H547,"0"))</f>
        <v>4921017796421110|46122</v>
      </c>
      <c r="AA547" t="str">
        <f>IF(Z547="","",IFERROR(LOOKUP(2,1/(#REF!=Z547),#REF!),""))</f>
        <v/>
      </c>
      <c r="AB547" t="str">
        <f>IF(Z547="","",IFERROR(LOOKUP(2,1/(#REF!=Z547),#REF!),""))</f>
        <v/>
      </c>
      <c r="AC547" t="e">
        <f>IF(Z547="","",COUNTIF(#REF!,Z547))</f>
        <v>#REF!</v>
      </c>
      <c r="AD547" t="e">
        <f>IF(A547="","",IF(AC547&gt;1,"REVISAR DUPLICADO",IF(AA547&lt;&gt;"","ACTUALIZADO POR EYR","SIN REPORTE EYR")))</f>
        <v>#REF!</v>
      </c>
    </row>
    <row r="548" spans="1:30" x14ac:dyDescent="0.3">
      <c r="A548" s="5" t="s">
        <v>4117</v>
      </c>
      <c r="B548" t="s">
        <v>4116</v>
      </c>
      <c r="C548" s="4" t="s">
        <v>4115</v>
      </c>
      <c r="D548" t="s">
        <v>1</v>
      </c>
      <c r="F548">
        <v>12</v>
      </c>
      <c r="G548" s="3">
        <v>9999999999</v>
      </c>
      <c r="H548" s="2">
        <v>46122</v>
      </c>
      <c r="K548" s="1">
        <f ca="1">IF(A548="","",IF(OR(L548="ENTREGADA",L548="RETORNADA",L548="ENTREGA DIGITAL"),0,MAX(0,5-NETWORKDAYS(H548+1,TODAY()))))</f>
        <v>0</v>
      </c>
      <c r="L548" t="str">
        <f>IF(A548="","",IFERROR(LOOKUP(2,1/(#REF!=Z548),#REF!),Y548))</f>
        <v>ENTREGADA</v>
      </c>
      <c r="Y548" t="s">
        <v>1956</v>
      </c>
      <c r="Z548" t="str">
        <f>IF(A548="","",TEXT(A548,"0")&amp;"|"&amp;TEXT(H548,"0"))</f>
        <v>4921017668874860|46122</v>
      </c>
      <c r="AA548" t="str">
        <f>IF(Z548="","",IFERROR(LOOKUP(2,1/(#REF!=Z548),#REF!),""))</f>
        <v/>
      </c>
      <c r="AB548" t="str">
        <f>IF(Z548="","",IFERROR(LOOKUP(2,1/(#REF!=Z548),#REF!),""))</f>
        <v/>
      </c>
      <c r="AC548" t="e">
        <f>IF(Z548="","",COUNTIF(#REF!,Z548))</f>
        <v>#REF!</v>
      </c>
      <c r="AD548" t="e">
        <f>IF(A548="","",IF(AC548&gt;1,"REVISAR DUPLICADO",IF(AA548&lt;&gt;"","ACTUALIZADO POR EYR","SIN REPORTE EYR")))</f>
        <v>#REF!</v>
      </c>
    </row>
    <row r="549" spans="1:30" x14ac:dyDescent="0.3">
      <c r="A549" s="5" t="s">
        <v>4114</v>
      </c>
      <c r="B549" t="s">
        <v>4113</v>
      </c>
      <c r="C549" s="4" t="s">
        <v>4112</v>
      </c>
      <c r="D549" t="s">
        <v>1</v>
      </c>
      <c r="F549" t="s">
        <v>4111</v>
      </c>
      <c r="G549" s="3">
        <v>8493627460</v>
      </c>
      <c r="H549" s="2">
        <v>46122</v>
      </c>
      <c r="K549" s="1">
        <f ca="1">IF(A549="","",IF(OR(L549="ENTREGADA",L549="RETORNADA",L549="ENTREGA DIGITAL"),0,MAX(0,5-NETWORKDAYS(H549+1,TODAY()))))</f>
        <v>0</v>
      </c>
      <c r="L549" t="str">
        <f>IF(A549="","",IFERROR(LOOKUP(2,1/(#REF!=Z549),#REF!),Y549))</f>
        <v>ENTREGADA</v>
      </c>
      <c r="Y549" t="s">
        <v>1956</v>
      </c>
      <c r="Z549" t="str">
        <f>IF(A549="","",TEXT(A549,"0")&amp;"|"&amp;TEXT(H549,"0"))</f>
        <v>4921017693794700|46122</v>
      </c>
      <c r="AA549" t="str">
        <f>IF(Z549="","",IFERROR(LOOKUP(2,1/(#REF!=Z549),#REF!),""))</f>
        <v/>
      </c>
      <c r="AB549" t="str">
        <f>IF(Z549="","",IFERROR(LOOKUP(2,1/(#REF!=Z549),#REF!),""))</f>
        <v/>
      </c>
      <c r="AC549" t="e">
        <f>IF(Z549="","",COUNTIF(#REF!,Z549))</f>
        <v>#REF!</v>
      </c>
      <c r="AD549" t="e">
        <f>IF(A549="","",IF(AC549&gt;1,"REVISAR DUPLICADO",IF(AA549&lt;&gt;"","ACTUALIZADO POR EYR","SIN REPORTE EYR")))</f>
        <v>#REF!</v>
      </c>
    </row>
    <row r="550" spans="1:30" x14ac:dyDescent="0.3">
      <c r="A550" s="5" t="s">
        <v>4110</v>
      </c>
      <c r="B550" t="s">
        <v>4109</v>
      </c>
      <c r="C550" s="4" t="s">
        <v>4108</v>
      </c>
      <c r="D550" t="s">
        <v>1</v>
      </c>
      <c r="F550" t="s">
        <v>4107</v>
      </c>
      <c r="G550" s="3">
        <v>8098330845</v>
      </c>
      <c r="H550" s="2">
        <v>46122</v>
      </c>
      <c r="K550" s="1">
        <f ca="1">IF(A550="","",IF(OR(L550="ENTREGADA",L550="RETORNADA",L550="ENTREGA DIGITAL"),0,MAX(0,5-NETWORKDAYS(H550+1,TODAY()))))</f>
        <v>0</v>
      </c>
      <c r="L550" t="str">
        <f>IF(A550="","",IFERROR(LOOKUP(2,1/(#REF!=Z550),#REF!),Y550))</f>
        <v>RETORNADA</v>
      </c>
      <c r="Y550" t="s">
        <v>1857</v>
      </c>
      <c r="Z550" t="str">
        <f>IF(A550="","",TEXT(A550,"0")&amp;"|"&amp;TEXT(H550,"0"))</f>
        <v>5415017787642920|46122</v>
      </c>
      <c r="AA550" t="str">
        <f>IF(Z550="","",IFERROR(LOOKUP(2,1/(#REF!=Z550),#REF!),""))</f>
        <v/>
      </c>
      <c r="AB550" t="str">
        <f>IF(Z550="","",IFERROR(LOOKUP(2,1/(#REF!=Z550),#REF!),""))</f>
        <v/>
      </c>
      <c r="AC550" t="e">
        <f>IF(Z550="","",COUNTIF(#REF!,Z550))</f>
        <v>#REF!</v>
      </c>
      <c r="AD550" t="e">
        <f>IF(A550="","",IF(AC550&gt;1,"REVISAR DUPLICADO",IF(AA550&lt;&gt;"","ACTUALIZADO POR EYR","SIN REPORTE EYR")))</f>
        <v>#REF!</v>
      </c>
    </row>
    <row r="551" spans="1:30" x14ac:dyDescent="0.3">
      <c r="A551" s="5" t="s">
        <v>4106</v>
      </c>
      <c r="B551" t="s">
        <v>4105</v>
      </c>
      <c r="C551" s="4" t="s">
        <v>4104</v>
      </c>
      <c r="D551" t="s">
        <v>1</v>
      </c>
      <c r="F551" t="s">
        <v>0</v>
      </c>
      <c r="G551" s="3">
        <v>8293269937</v>
      </c>
      <c r="H551" s="2">
        <v>46122</v>
      </c>
      <c r="K551" s="1">
        <f ca="1">IF(A551="","",IF(OR(L551="ENTREGADA",L551="RETORNADA",L551="ENTREGA DIGITAL"),0,MAX(0,5-NETWORKDAYS(H551+1,TODAY()))))</f>
        <v>0</v>
      </c>
      <c r="L551" t="str">
        <f>IF(A551="","",IFERROR(LOOKUP(2,1/(#REF!=Z551),#REF!),Y551))</f>
        <v>ENTREGADA</v>
      </c>
      <c r="Y551" t="s">
        <v>1956</v>
      </c>
      <c r="Z551" t="str">
        <f>IF(A551="","",TEXT(A551,"0")&amp;"|"&amp;TEXT(H551,"0"))</f>
        <v>4921017694742700|46122</v>
      </c>
      <c r="AA551" t="str">
        <f>IF(Z551="","",IFERROR(LOOKUP(2,1/(#REF!=Z551),#REF!),""))</f>
        <v/>
      </c>
      <c r="AB551" t="str">
        <f>IF(Z551="","",IFERROR(LOOKUP(2,1/(#REF!=Z551),#REF!),""))</f>
        <v/>
      </c>
      <c r="AC551" t="e">
        <f>IF(Z551="","",COUNTIF(#REF!,Z551))</f>
        <v>#REF!</v>
      </c>
      <c r="AD551" t="e">
        <f>IF(A551="","",IF(AC551&gt;1,"REVISAR DUPLICADO",IF(AA551&lt;&gt;"","ACTUALIZADO POR EYR","SIN REPORTE EYR")))</f>
        <v>#REF!</v>
      </c>
    </row>
    <row r="552" spans="1:30" x14ac:dyDescent="0.3">
      <c r="A552" s="5" t="s">
        <v>4103</v>
      </c>
      <c r="B552" t="s">
        <v>4102</v>
      </c>
      <c r="C552" s="4" t="s">
        <v>4101</v>
      </c>
      <c r="D552" t="s">
        <v>77</v>
      </c>
      <c r="F552" t="s">
        <v>4100</v>
      </c>
      <c r="G552" s="3">
        <v>8292162296</v>
      </c>
      <c r="H552" s="2">
        <v>46122</v>
      </c>
      <c r="I552" t="s">
        <v>3742</v>
      </c>
      <c r="K552" s="1">
        <f ca="1">IF(A552="","",IF(OR(L552="ENTREGADA",L552="RETORNADA",L552="ENTREGA DIGITAL"),0,MAX(0,5-NETWORKDAYS(H552+1,TODAY()))))</f>
        <v>0</v>
      </c>
      <c r="L552" t="str">
        <f>IF(A552="","",IFERROR(LOOKUP(2,1/(#REF!=Z552),#REF!),Y552))</f>
        <v>ENTREGADA</v>
      </c>
      <c r="Y552" t="s">
        <v>1956</v>
      </c>
      <c r="Z552" t="str">
        <f>IF(A552="","",TEXT(A552,"0")&amp;"|"&amp;TEXT(H552,"0"))</f>
        <v>4966017700121310|46122</v>
      </c>
      <c r="AA552" t="str">
        <f>IF(Z552="","",IFERROR(LOOKUP(2,1/(#REF!=Z552),#REF!),""))</f>
        <v/>
      </c>
      <c r="AB552" t="str">
        <f>IF(Z552="","",IFERROR(LOOKUP(2,1/(#REF!=Z552),#REF!),""))</f>
        <v/>
      </c>
      <c r="AC552" t="e">
        <f>IF(Z552="","",COUNTIF(#REF!,Z552))</f>
        <v>#REF!</v>
      </c>
      <c r="AD552" t="e">
        <f>IF(A552="","",IF(AC552&gt;1,"REVISAR DUPLICADO",IF(AA552&lt;&gt;"","ACTUALIZADO POR EYR","SIN REPORTE EYR")))</f>
        <v>#REF!</v>
      </c>
    </row>
    <row r="553" spans="1:30" x14ac:dyDescent="0.3">
      <c r="A553" s="5" t="s">
        <v>4099</v>
      </c>
      <c r="B553" t="s">
        <v>4098</v>
      </c>
      <c r="C553" s="4" t="s">
        <v>4097</v>
      </c>
      <c r="D553" t="s">
        <v>77</v>
      </c>
      <c r="F553" t="s">
        <v>0</v>
      </c>
      <c r="G553" s="3">
        <v>8092256734</v>
      </c>
      <c r="H553" s="2">
        <v>46122</v>
      </c>
      <c r="K553" s="1">
        <f ca="1">IF(A553="","",IF(OR(L553="ENTREGADA",L553="RETORNADA",L553="ENTREGA DIGITAL"),0,MAX(0,5-NETWORKDAYS(H553+1,TODAY()))))</f>
        <v>0</v>
      </c>
      <c r="L553" t="str">
        <f>IF(A553="","",IFERROR(LOOKUP(2,1/(#REF!=Z553),#REF!),Y553))</f>
        <v>RETORNADA</v>
      </c>
      <c r="Y553" t="s">
        <v>1857</v>
      </c>
      <c r="Z553" t="str">
        <f>IF(A553="","",TEXT(A553,"0")&amp;"|"&amp;TEXT(H553,"0"))</f>
        <v>4921017623027820|46122</v>
      </c>
      <c r="AA553" t="str">
        <f>IF(Z553="","",IFERROR(LOOKUP(2,1/(#REF!=Z553),#REF!),""))</f>
        <v/>
      </c>
      <c r="AB553" t="str">
        <f>IF(Z553="","",IFERROR(LOOKUP(2,1/(#REF!=Z553),#REF!),""))</f>
        <v/>
      </c>
      <c r="AC553" t="e">
        <f>IF(Z553="","",COUNTIF(#REF!,Z553))</f>
        <v>#REF!</v>
      </c>
      <c r="AD553" t="e">
        <f>IF(A553="","",IF(AC553&gt;1,"REVISAR DUPLICADO",IF(AA553&lt;&gt;"","ACTUALIZADO POR EYR","SIN REPORTE EYR")))</f>
        <v>#REF!</v>
      </c>
    </row>
    <row r="554" spans="1:30" x14ac:dyDescent="0.3">
      <c r="A554" s="5" t="s">
        <v>4096</v>
      </c>
      <c r="B554" t="s">
        <v>3921</v>
      </c>
      <c r="C554" s="4" t="s">
        <v>3920</v>
      </c>
      <c r="D554" t="s">
        <v>77</v>
      </c>
      <c r="F554" t="s">
        <v>4095</v>
      </c>
      <c r="G554" s="3">
        <v>8299127004</v>
      </c>
      <c r="H554" s="2">
        <v>46122</v>
      </c>
      <c r="K554" s="1">
        <f ca="1">IF(A554="","",IF(OR(L554="ENTREGADA",L554="RETORNADA",L554="ENTREGA DIGITAL"),0,MAX(0,5-NETWORKDAYS(H554+1,TODAY()))))</f>
        <v>0</v>
      </c>
      <c r="L554" t="str">
        <f>IF(A554="","",IFERROR(LOOKUP(2,1/(#REF!=Z554),#REF!),Y554))</f>
        <v>ENTREGADA</v>
      </c>
      <c r="Y554" t="s">
        <v>1956</v>
      </c>
      <c r="Z554" t="str">
        <f>IF(A554="","",TEXT(A554,"0")&amp;"|"&amp;TEXT(H554,"0"))</f>
        <v>4921017797194980|46122</v>
      </c>
      <c r="AA554" t="str">
        <f>IF(Z554="","",IFERROR(LOOKUP(2,1/(#REF!=Z554),#REF!),""))</f>
        <v/>
      </c>
      <c r="AB554" t="str">
        <f>IF(Z554="","",IFERROR(LOOKUP(2,1/(#REF!=Z554),#REF!),""))</f>
        <v/>
      </c>
      <c r="AC554" t="e">
        <f>IF(Z554="","",COUNTIF(#REF!,Z554))</f>
        <v>#REF!</v>
      </c>
      <c r="AD554" t="e">
        <f>IF(A554="","",IF(AC554&gt;1,"REVISAR DUPLICADO",IF(AA554&lt;&gt;"","ACTUALIZADO POR EYR","SIN REPORTE EYR")))</f>
        <v>#REF!</v>
      </c>
    </row>
    <row r="555" spans="1:30" x14ac:dyDescent="0.3">
      <c r="A555" s="5" t="s">
        <v>4094</v>
      </c>
      <c r="B555" t="s">
        <v>4093</v>
      </c>
      <c r="C555" s="4" t="s">
        <v>4092</v>
      </c>
      <c r="D555" t="s">
        <v>77</v>
      </c>
      <c r="F555" t="s">
        <v>540</v>
      </c>
      <c r="G555" s="3">
        <v>8097613252</v>
      </c>
      <c r="H555" s="2">
        <v>46122</v>
      </c>
      <c r="K555" s="1">
        <f ca="1">IF(A555="","",IF(OR(L555="ENTREGADA",L555="RETORNADA",L555="ENTREGA DIGITAL"),0,MAX(0,5-NETWORKDAYS(H555+1,TODAY()))))</f>
        <v>0</v>
      </c>
      <c r="L555" t="str">
        <f>IF(A555="","",IFERROR(LOOKUP(2,1/(#REF!=Z555),#REF!),Y555))</f>
        <v>ENTREGADA</v>
      </c>
      <c r="Y555" t="s">
        <v>1956</v>
      </c>
      <c r="Z555" t="str">
        <f>IF(A555="","",TEXT(A555,"0")&amp;"|"&amp;TEXT(H555,"0"))</f>
        <v>4921017798323420|46122</v>
      </c>
      <c r="AA555" t="str">
        <f>IF(Z555="","",IFERROR(LOOKUP(2,1/(#REF!=Z555),#REF!),""))</f>
        <v/>
      </c>
      <c r="AB555" t="str">
        <f>IF(Z555="","",IFERROR(LOOKUP(2,1/(#REF!=Z555),#REF!),""))</f>
        <v/>
      </c>
      <c r="AC555" t="e">
        <f>IF(Z555="","",COUNTIF(#REF!,Z555))</f>
        <v>#REF!</v>
      </c>
      <c r="AD555" t="e">
        <f>IF(A555="","",IF(AC555&gt;1,"REVISAR DUPLICADO",IF(AA555&lt;&gt;"","ACTUALIZADO POR EYR","SIN REPORTE EYR")))</f>
        <v>#REF!</v>
      </c>
    </row>
    <row r="556" spans="1:30" x14ac:dyDescent="0.3">
      <c r="A556" s="5" t="s">
        <v>4091</v>
      </c>
      <c r="B556" t="s">
        <v>4090</v>
      </c>
      <c r="C556" s="4" t="s">
        <v>4089</v>
      </c>
      <c r="D556" t="s">
        <v>77</v>
      </c>
      <c r="F556" t="s">
        <v>13</v>
      </c>
      <c r="G556" s="3">
        <v>8494672282</v>
      </c>
      <c r="H556" s="2">
        <v>46122</v>
      </c>
      <c r="K556" s="1">
        <f ca="1">IF(A556="","",IF(OR(L556="ENTREGADA",L556="RETORNADA",L556="ENTREGA DIGITAL"),0,MAX(0,5-NETWORKDAYS(H556+1,TODAY()))))</f>
        <v>0</v>
      </c>
      <c r="L556" t="str">
        <f>IF(A556="","",IFERROR(LOOKUP(2,1/(#REF!=Z556),#REF!),Y556))</f>
        <v>ENTREGADA</v>
      </c>
      <c r="Y556" t="s">
        <v>1956</v>
      </c>
      <c r="Z556" t="str">
        <f>IF(A556="","",TEXT(A556,"0")&amp;"|"&amp;TEXT(H556,"0"))</f>
        <v>4921017797712650|46122</v>
      </c>
      <c r="AA556" t="str">
        <f>IF(Z556="","",IFERROR(LOOKUP(2,1/(#REF!=Z556),#REF!),""))</f>
        <v/>
      </c>
      <c r="AB556" t="str">
        <f>IF(Z556="","",IFERROR(LOOKUP(2,1/(#REF!=Z556),#REF!),""))</f>
        <v/>
      </c>
      <c r="AC556" t="e">
        <f>IF(Z556="","",COUNTIF(#REF!,Z556))</f>
        <v>#REF!</v>
      </c>
      <c r="AD556" t="e">
        <f>IF(A556="","",IF(AC556&gt;1,"REVISAR DUPLICADO",IF(AA556&lt;&gt;"","ACTUALIZADO POR EYR","SIN REPORTE EYR")))</f>
        <v>#REF!</v>
      </c>
    </row>
    <row r="557" spans="1:30" x14ac:dyDescent="0.3">
      <c r="A557" s="5" t="s">
        <v>4088</v>
      </c>
      <c r="B557" t="s">
        <v>4087</v>
      </c>
      <c r="C557" s="4" t="s">
        <v>4086</v>
      </c>
      <c r="D557" t="s">
        <v>77</v>
      </c>
      <c r="F557" t="s">
        <v>13</v>
      </c>
      <c r="G557" s="3">
        <v>8095176332</v>
      </c>
      <c r="H557" s="2">
        <v>46122</v>
      </c>
      <c r="K557" s="1">
        <f ca="1">IF(A557="","",IF(OR(L557="ENTREGADA",L557="RETORNADA",L557="ENTREGA DIGITAL"),0,MAX(0,5-NETWORKDAYS(H557+1,TODAY()))))</f>
        <v>0</v>
      </c>
      <c r="L557" t="str">
        <f>IF(A557="","",IFERROR(LOOKUP(2,1/(#REF!=Z557),#REF!),Y557))</f>
        <v>ENTREGADA</v>
      </c>
      <c r="Y557" t="s">
        <v>1956</v>
      </c>
      <c r="Z557" t="str">
        <f>IF(A557="","",TEXT(A557,"0")&amp;"|"&amp;TEXT(H557,"0"))</f>
        <v>4921017798402690|46122</v>
      </c>
      <c r="AA557" t="str">
        <f>IF(Z557="","",IFERROR(LOOKUP(2,1/(#REF!=Z557),#REF!),""))</f>
        <v/>
      </c>
      <c r="AB557" t="str">
        <f>IF(Z557="","",IFERROR(LOOKUP(2,1/(#REF!=Z557),#REF!),""))</f>
        <v/>
      </c>
      <c r="AC557" t="e">
        <f>IF(Z557="","",COUNTIF(#REF!,Z557))</f>
        <v>#REF!</v>
      </c>
      <c r="AD557" t="e">
        <f>IF(A557="","",IF(AC557&gt;1,"REVISAR DUPLICADO",IF(AA557&lt;&gt;"","ACTUALIZADO POR EYR","SIN REPORTE EYR")))</f>
        <v>#REF!</v>
      </c>
    </row>
    <row r="558" spans="1:30" x14ac:dyDescent="0.3">
      <c r="A558" s="5" t="s">
        <v>4085</v>
      </c>
      <c r="B558" t="s">
        <v>4084</v>
      </c>
      <c r="C558" s="4" t="s">
        <v>4083</v>
      </c>
      <c r="D558" t="s">
        <v>77</v>
      </c>
      <c r="F558" t="s">
        <v>13</v>
      </c>
      <c r="G558" s="3">
        <v>8292658234</v>
      </c>
      <c r="H558" s="2">
        <v>46122</v>
      </c>
      <c r="K558" s="1">
        <f ca="1">IF(A558="","",IF(OR(L558="ENTREGADA",L558="RETORNADA",L558="ENTREGA DIGITAL"),0,MAX(0,5-NETWORKDAYS(H558+1,TODAY()))))</f>
        <v>0</v>
      </c>
      <c r="L558" t="str">
        <f>IF(A558="","",IFERROR(LOOKUP(2,1/(#REF!=Z558),#REF!),Y558))</f>
        <v>ENTREGADA</v>
      </c>
      <c r="Y558" t="s">
        <v>1956</v>
      </c>
      <c r="Z558" t="str">
        <f>IF(A558="","",TEXT(A558,"0")&amp;"|"&amp;TEXT(H558,"0"))</f>
        <v>4966017796866420|46122</v>
      </c>
      <c r="AA558" t="str">
        <f>IF(Z558="","",IFERROR(LOOKUP(2,1/(#REF!=Z558),#REF!),""))</f>
        <v/>
      </c>
      <c r="AB558" t="str">
        <f>IF(Z558="","",IFERROR(LOOKUP(2,1/(#REF!=Z558),#REF!),""))</f>
        <v/>
      </c>
      <c r="AC558" t="e">
        <f>IF(Z558="","",COUNTIF(#REF!,Z558))</f>
        <v>#REF!</v>
      </c>
      <c r="AD558" t="e">
        <f>IF(A558="","",IF(AC558&gt;1,"REVISAR DUPLICADO",IF(AA558&lt;&gt;"","ACTUALIZADO POR EYR","SIN REPORTE EYR")))</f>
        <v>#REF!</v>
      </c>
    </row>
    <row r="559" spans="1:30" x14ac:dyDescent="0.3">
      <c r="A559" s="5" t="s">
        <v>1845</v>
      </c>
      <c r="B559" t="s">
        <v>1844</v>
      </c>
      <c r="C559" s="4" t="s">
        <v>1843</v>
      </c>
      <c r="D559" t="s">
        <v>77</v>
      </c>
      <c r="F559" t="s">
        <v>3191</v>
      </c>
      <c r="G559" s="3">
        <v>8294582296</v>
      </c>
      <c r="H559" s="2">
        <v>46122</v>
      </c>
      <c r="K559" s="1">
        <f ca="1">IF(A559="","",IF(OR(L559="ENTREGADA",L559="RETORNADA",L559="ENTREGA DIGITAL"),0,MAX(0,5-NETWORKDAYS(H559+1,TODAY()))))</f>
        <v>0</v>
      </c>
      <c r="L559" t="str">
        <f>IF(A559="","",IFERROR(LOOKUP(2,1/(#REF!=Z559),#REF!),Y559))</f>
        <v>RETORNADA</v>
      </c>
      <c r="Y559" t="s">
        <v>1857</v>
      </c>
      <c r="Z559" t="str">
        <f>IF(A559="","",TEXT(A559,"0")&amp;"|"&amp;TEXT(H559,"0"))</f>
        <v>4966017796858100|46122</v>
      </c>
      <c r="AA559" t="str">
        <f>IF(Z559="","",IFERROR(LOOKUP(2,1/(#REF!=Z559),#REF!),""))</f>
        <v/>
      </c>
      <c r="AB559" t="str">
        <f>IF(Z559="","",IFERROR(LOOKUP(2,1/(#REF!=Z559),#REF!),""))</f>
        <v/>
      </c>
      <c r="AC559" t="e">
        <f>IF(Z559="","",COUNTIF(#REF!,Z559))</f>
        <v>#REF!</v>
      </c>
      <c r="AD559" t="e">
        <f>IF(A559="","",IF(AC559&gt;1,"REVISAR DUPLICADO",IF(AA559&lt;&gt;"","ACTUALIZADO POR EYR","SIN REPORTE EYR")))</f>
        <v>#REF!</v>
      </c>
    </row>
    <row r="560" spans="1:30" x14ac:dyDescent="0.3">
      <c r="A560" s="5" t="s">
        <v>4079</v>
      </c>
      <c r="B560" t="s">
        <v>4082</v>
      </c>
      <c r="C560" s="4" t="s">
        <v>4079</v>
      </c>
      <c r="D560" t="s">
        <v>3299</v>
      </c>
      <c r="H560" s="2">
        <v>46125</v>
      </c>
      <c r="K560" s="1">
        <f ca="1">IF(A560="","",IF(OR(L560="ENTREGADA",L560="RETORNADA",L560="ENTREGA DIGITAL"),0,MAX(0,5-NETWORKDAYS(H560+1,TODAY()))))</f>
        <v>0</v>
      </c>
      <c r="L560" t="str">
        <f>IF(A560="","",IFERROR(LOOKUP(2,1/(#REF!=Z560),#REF!),Y560))</f>
        <v>ENTREGADA</v>
      </c>
      <c r="M560" t="s">
        <v>3298</v>
      </c>
      <c r="Y560" t="s">
        <v>1956</v>
      </c>
      <c r="Z560" t="str">
        <f>IF(A560="","",TEXT(A560,"0")&amp;"|"&amp;TEXT(H560,"0"))</f>
        <v>TARJETA DE PRUEBA|46125</v>
      </c>
      <c r="AA560" t="str">
        <f>IF(Z560="","",IFERROR(LOOKUP(2,1/(#REF!=Z560),#REF!),""))</f>
        <v/>
      </c>
      <c r="AB560" t="str">
        <f>IF(Z560="","",IFERROR(LOOKUP(2,1/(#REF!=Z560),#REF!),""))</f>
        <v/>
      </c>
      <c r="AC560" t="e">
        <f>IF(Z560="","",COUNTIF(#REF!,Z560))</f>
        <v>#REF!</v>
      </c>
      <c r="AD560" t="e">
        <f>IF(A560="","",IF(AC560&gt;1,"REVISAR DUPLICADO",IF(AA560&lt;&gt;"","ACTUALIZADO POR EYR","SIN REPORTE EYR")))</f>
        <v>#REF!</v>
      </c>
    </row>
    <row r="561" spans="1:30" x14ac:dyDescent="0.3">
      <c r="A561" s="5" t="s">
        <v>4081</v>
      </c>
      <c r="B561" t="s">
        <v>4080</v>
      </c>
      <c r="C561" s="4" t="s">
        <v>4079</v>
      </c>
      <c r="D561" t="s">
        <v>3299</v>
      </c>
      <c r="H561" s="2">
        <v>46125</v>
      </c>
      <c r="K561" s="1">
        <f ca="1">IF(A561="","",IF(OR(L561="ENTREGADA",L561="RETORNADA",L561="ENTREGA DIGITAL"),0,MAX(0,5-NETWORKDAYS(H561+1,TODAY()))))</f>
        <v>0</v>
      </c>
      <c r="L561" t="str">
        <f>IF(A561="","",IFERROR(LOOKUP(2,1/(#REF!=Z561),#REF!),Y561))</f>
        <v>ENTREGADA</v>
      </c>
      <c r="M561" t="s">
        <v>3298</v>
      </c>
      <c r="Y561" t="s">
        <v>1956</v>
      </c>
      <c r="Z561" t="str">
        <f>IF(A561="","",TEXT(A561,"0")&amp;"|"&amp;TEXT(H561,"0"))</f>
        <v>4741017715124740|46125</v>
      </c>
      <c r="AA561" t="str">
        <f>IF(Z561="","",IFERROR(LOOKUP(2,1/(#REF!=Z561),#REF!),""))</f>
        <v/>
      </c>
      <c r="AB561" t="str">
        <f>IF(Z561="","",IFERROR(LOOKUP(2,1/(#REF!=Z561),#REF!),""))</f>
        <v/>
      </c>
      <c r="AC561" t="e">
        <f>IF(Z561="","",COUNTIF(#REF!,Z561))</f>
        <v>#REF!</v>
      </c>
      <c r="AD561" t="e">
        <f>IF(A561="","",IF(AC561&gt;1,"REVISAR DUPLICADO",IF(AA561&lt;&gt;"","ACTUALIZADO POR EYR","SIN REPORTE EYR")))</f>
        <v>#REF!</v>
      </c>
    </row>
    <row r="562" spans="1:30" x14ac:dyDescent="0.3">
      <c r="A562" s="5" t="s">
        <v>4078</v>
      </c>
      <c r="B562" t="s">
        <v>4077</v>
      </c>
      <c r="C562" s="4" t="s">
        <v>4074</v>
      </c>
      <c r="D562" t="s">
        <v>3299</v>
      </c>
      <c r="H562" s="2">
        <v>46125</v>
      </c>
      <c r="K562" s="1">
        <f ca="1">IF(A562="","",IF(OR(L562="ENTREGADA",L562="RETORNADA",L562="ENTREGA DIGITAL"),0,MAX(0,5-NETWORKDAYS(H562+1,TODAY()))))</f>
        <v>0</v>
      </c>
      <c r="L562" t="str">
        <f>IF(A562="","",IFERROR(LOOKUP(2,1/(#REF!=Z562),#REF!),Y562))</f>
        <v>ENTREGADA</v>
      </c>
      <c r="M562" t="s">
        <v>3298</v>
      </c>
      <c r="Y562" t="s">
        <v>1956</v>
      </c>
      <c r="Z562" t="str">
        <f>IF(A562="","",TEXT(A562,"0")&amp;"|"&amp;TEXT(H562,"0"))</f>
        <v>4741017625551660|46125</v>
      </c>
      <c r="AA562" t="str">
        <f>IF(Z562="","",IFERROR(LOOKUP(2,1/(#REF!=Z562),#REF!),""))</f>
        <v/>
      </c>
      <c r="AB562" t="str">
        <f>IF(Z562="","",IFERROR(LOOKUP(2,1/(#REF!=Z562),#REF!),""))</f>
        <v/>
      </c>
      <c r="AC562" t="e">
        <f>IF(Z562="","",COUNTIF(#REF!,Z562))</f>
        <v>#REF!</v>
      </c>
      <c r="AD562" t="e">
        <f>IF(A562="","",IF(AC562&gt;1,"REVISAR DUPLICADO",IF(AA562&lt;&gt;"","ACTUALIZADO POR EYR","SIN REPORTE EYR")))</f>
        <v>#REF!</v>
      </c>
    </row>
    <row r="563" spans="1:30" x14ac:dyDescent="0.3">
      <c r="A563" s="5" t="s">
        <v>4076</v>
      </c>
      <c r="B563" t="s">
        <v>4075</v>
      </c>
      <c r="C563" s="4" t="s">
        <v>4074</v>
      </c>
      <c r="D563" t="s">
        <v>3299</v>
      </c>
      <c r="H563" s="2">
        <v>46125</v>
      </c>
      <c r="K563" s="1">
        <f ca="1">IF(A563="","",IF(OR(L563="ENTREGADA",L563="RETORNADA",L563="ENTREGA DIGITAL"),0,MAX(0,5-NETWORKDAYS(H563+1,TODAY()))))</f>
        <v>0</v>
      </c>
      <c r="L563" t="str">
        <f>IF(A563="","",IFERROR(LOOKUP(2,1/(#REF!=Z563),#REF!),Y563))</f>
        <v>ENTREGADA</v>
      </c>
      <c r="M563" t="s">
        <v>3298</v>
      </c>
      <c r="Y563" t="s">
        <v>1956</v>
      </c>
      <c r="Z563" t="str">
        <f>IF(A563="","",TEXT(A563,"0")&amp;"|"&amp;TEXT(H563,"0"))</f>
        <v>4921017806232970|46125</v>
      </c>
      <c r="AA563" t="str">
        <f>IF(Z563="","",IFERROR(LOOKUP(2,1/(#REF!=Z563),#REF!),""))</f>
        <v/>
      </c>
      <c r="AB563" t="str">
        <f>IF(Z563="","",IFERROR(LOOKUP(2,1/(#REF!=Z563),#REF!),""))</f>
        <v/>
      </c>
      <c r="AC563" t="e">
        <f>IF(Z563="","",COUNTIF(#REF!,Z563))</f>
        <v>#REF!</v>
      </c>
      <c r="AD563" t="e">
        <f>IF(A563="","",IF(AC563&gt;1,"REVISAR DUPLICADO",IF(AA563&lt;&gt;"","ACTUALIZADO POR EYR","SIN REPORTE EYR")))</f>
        <v>#REF!</v>
      </c>
    </row>
    <row r="564" spans="1:30" x14ac:dyDescent="0.3">
      <c r="A564" s="5" t="s">
        <v>2577</v>
      </c>
      <c r="B564" t="s">
        <v>2576</v>
      </c>
      <c r="C564" s="4" t="s">
        <v>2575</v>
      </c>
      <c r="D564" t="s">
        <v>21</v>
      </c>
      <c r="F564" t="s">
        <v>4073</v>
      </c>
      <c r="G564" s="3">
        <v>8297567451</v>
      </c>
      <c r="H564" s="2">
        <v>46125</v>
      </c>
      <c r="K564" s="1">
        <f ca="1">IF(A564="","",IF(OR(L564="ENTREGADA",L564="RETORNADA",L564="ENTREGA DIGITAL"),0,MAX(0,5-NETWORKDAYS(H564+1,TODAY()))))</f>
        <v>0</v>
      </c>
      <c r="L564" t="str">
        <f>IF(A564="","",IFERROR(LOOKUP(2,1/(#REF!=Z564),#REF!),Y564))</f>
        <v>RETORNADA</v>
      </c>
      <c r="Y564" t="s">
        <v>1857</v>
      </c>
      <c r="Z564" t="str">
        <f>IF(A564="","",TEXT(A564,"0")&amp;"|"&amp;TEXT(H564,"0"))</f>
        <v>4921017798697720|46125</v>
      </c>
      <c r="AA564" t="str">
        <f>IF(Z564="","",IFERROR(LOOKUP(2,1/(#REF!=Z564),#REF!),""))</f>
        <v/>
      </c>
      <c r="AB564" t="str">
        <f>IF(Z564="","",IFERROR(LOOKUP(2,1/(#REF!=Z564),#REF!),""))</f>
        <v/>
      </c>
      <c r="AC564" t="e">
        <f>IF(Z564="","",COUNTIF(#REF!,Z564))</f>
        <v>#REF!</v>
      </c>
      <c r="AD564" t="e">
        <f>IF(A564="","",IF(AC564&gt;1,"REVISAR DUPLICADO",IF(AA564&lt;&gt;"","ACTUALIZADO POR EYR","SIN REPORTE EYR")))</f>
        <v>#REF!</v>
      </c>
    </row>
    <row r="565" spans="1:30" x14ac:dyDescent="0.3">
      <c r="A565" s="5" t="s">
        <v>4072</v>
      </c>
      <c r="B565" t="s">
        <v>4071</v>
      </c>
      <c r="C565" s="4" t="s">
        <v>4070</v>
      </c>
      <c r="D565" t="s">
        <v>21</v>
      </c>
      <c r="F565" t="s">
        <v>4069</v>
      </c>
      <c r="G565" s="3">
        <v>8094973945</v>
      </c>
      <c r="H565" s="2">
        <v>46125</v>
      </c>
      <c r="K565" s="1">
        <f ca="1">IF(A565="","",IF(OR(L565="ENTREGADA",L565="RETORNADA",L565="ENTREGA DIGITAL"),0,MAX(0,5-NETWORKDAYS(H565+1,TODAY()))))</f>
        <v>0</v>
      </c>
      <c r="L565" t="str">
        <f>IF(A565="","",IFERROR(LOOKUP(2,1/(#REF!=Z565),#REF!),Y565))</f>
        <v>ENTREGA DIGITAL</v>
      </c>
      <c r="Y565" t="s">
        <v>1396</v>
      </c>
      <c r="Z565" t="str">
        <f>IF(A565="","",TEXT(A565,"0")&amp;"|"&amp;TEXT(H565,"0"))</f>
        <v>5188017801237330|46125</v>
      </c>
      <c r="AA565" t="str">
        <f>IF(Z565="","",IFERROR(LOOKUP(2,1/(#REF!=Z565),#REF!),""))</f>
        <v/>
      </c>
      <c r="AB565" t="str">
        <f>IF(Z565="","",IFERROR(LOOKUP(2,1/(#REF!=Z565),#REF!),""))</f>
        <v/>
      </c>
      <c r="AC565" t="e">
        <f>IF(Z565="","",COUNTIF(#REF!,Z565))</f>
        <v>#REF!</v>
      </c>
      <c r="AD565" t="e">
        <f>IF(A565="","",IF(AC565&gt;1,"REVISAR DUPLICADO",IF(AA565&lt;&gt;"","ACTUALIZADO POR EYR","SIN REPORTE EYR")))</f>
        <v>#REF!</v>
      </c>
    </row>
    <row r="566" spans="1:30" x14ac:dyDescent="0.3">
      <c r="A566" s="5" t="s">
        <v>1532</v>
      </c>
      <c r="B566" t="s">
        <v>1531</v>
      </c>
      <c r="C566" s="4" t="s">
        <v>1530</v>
      </c>
      <c r="D566" t="s">
        <v>21</v>
      </c>
      <c r="E566" t="s">
        <v>21</v>
      </c>
      <c r="F566" t="s">
        <v>62</v>
      </c>
      <c r="G566" s="3">
        <v>8092461944</v>
      </c>
      <c r="H566" s="2">
        <v>46125</v>
      </c>
      <c r="K566" s="1">
        <f ca="1">IF(A566="","",IF(OR(L566="ENTREGADA",L566="RETORNADA",L566="ENTREGA DIGITAL"),0,MAX(0,5-NETWORKDAYS(H566+1,TODAY()))))</f>
        <v>0</v>
      </c>
      <c r="L566" t="str">
        <f>IF(A566="","",IFERROR(LOOKUP(2,1/(#REF!=Z566),#REF!),Y566))</f>
        <v>RETORNADA</v>
      </c>
      <c r="Y566" t="s">
        <v>1857</v>
      </c>
      <c r="Z566" t="str">
        <f>IF(A566="","",TEXT(A566,"0")&amp;"|"&amp;TEXT(H566,"0"))</f>
        <v>4921017802011830|46125</v>
      </c>
      <c r="AA566" t="str">
        <f>IF(Z566="","",IFERROR(LOOKUP(2,1/(#REF!=Z566),#REF!),""))</f>
        <v/>
      </c>
      <c r="AB566" t="str">
        <f>IF(Z566="","",IFERROR(LOOKUP(2,1/(#REF!=Z566),#REF!),""))</f>
        <v/>
      </c>
      <c r="AC566" t="e">
        <f>IF(Z566="","",COUNTIF(#REF!,Z566))</f>
        <v>#REF!</v>
      </c>
      <c r="AD566" t="e">
        <f>IF(A566="","",IF(AC566&gt;1,"REVISAR DUPLICADO",IF(AA566&lt;&gt;"","ACTUALIZADO POR EYR","SIN REPORTE EYR")))</f>
        <v>#REF!</v>
      </c>
    </row>
    <row r="567" spans="1:30" x14ac:dyDescent="0.3">
      <c r="A567" s="5" t="s">
        <v>4068</v>
      </c>
      <c r="B567" t="s">
        <v>4067</v>
      </c>
      <c r="C567" s="4" t="s">
        <v>4066</v>
      </c>
      <c r="D567" t="s">
        <v>21</v>
      </c>
      <c r="F567" t="s">
        <v>13</v>
      </c>
      <c r="G567" s="3">
        <v>8292784646</v>
      </c>
      <c r="H567" s="2">
        <v>46125</v>
      </c>
      <c r="K567" s="1">
        <f ca="1">IF(A567="","",IF(OR(L567="ENTREGADA",L567="RETORNADA",L567="ENTREGA DIGITAL"),0,MAX(0,5-NETWORKDAYS(H567+1,TODAY()))))</f>
        <v>0</v>
      </c>
      <c r="L567" t="str">
        <f>IF(A567="","",IFERROR(LOOKUP(2,1/(#REF!=Z567),#REF!),Y567))</f>
        <v>ENTREGA DIGITAL</v>
      </c>
      <c r="Y567" t="s">
        <v>1396</v>
      </c>
      <c r="Z567" t="str">
        <f>IF(A567="","",TEXT(A567,"0")&amp;"|"&amp;TEXT(H567,"0"))</f>
        <v>5188017795942490|46125</v>
      </c>
      <c r="AA567" t="str">
        <f>IF(Z567="","",IFERROR(LOOKUP(2,1/(#REF!=Z567),#REF!),""))</f>
        <v/>
      </c>
      <c r="AB567" t="str">
        <f>IF(Z567="","",IFERROR(LOOKUP(2,1/(#REF!=Z567),#REF!),""))</f>
        <v/>
      </c>
      <c r="AC567" t="e">
        <f>IF(Z567="","",COUNTIF(#REF!,Z567))</f>
        <v>#REF!</v>
      </c>
      <c r="AD567" t="e">
        <f>IF(A567="","",IF(AC567&gt;1,"REVISAR DUPLICADO",IF(AA567&lt;&gt;"","ACTUALIZADO POR EYR","SIN REPORTE EYR")))</f>
        <v>#REF!</v>
      </c>
    </row>
    <row r="568" spans="1:30" x14ac:dyDescent="0.3">
      <c r="A568" s="5" t="s">
        <v>4065</v>
      </c>
      <c r="B568" t="s">
        <v>4064</v>
      </c>
      <c r="C568" s="4" t="s">
        <v>4063</v>
      </c>
      <c r="D568" t="s">
        <v>21</v>
      </c>
      <c r="F568" t="s">
        <v>13</v>
      </c>
      <c r="G568" s="3">
        <v>8096109390</v>
      </c>
      <c r="H568" s="2">
        <v>46125</v>
      </c>
      <c r="K568" s="1">
        <f ca="1">IF(A568="","",IF(OR(L568="ENTREGADA",L568="RETORNADA",L568="ENTREGA DIGITAL"),0,MAX(0,5-NETWORKDAYS(H568+1,TODAY()))))</f>
        <v>0</v>
      </c>
      <c r="L568" t="str">
        <f>IF(A568="","",IFERROR(LOOKUP(2,1/(#REF!=Z568),#REF!),Y568))</f>
        <v>ENTREGADA</v>
      </c>
      <c r="Y568" t="s">
        <v>1956</v>
      </c>
      <c r="Z568" t="str">
        <f>IF(A568="","",TEXT(A568,"0")&amp;"|"&amp;TEXT(H568,"0"))</f>
        <v>4025017799464410|46125</v>
      </c>
      <c r="AA568" t="str">
        <f>IF(Z568="","",IFERROR(LOOKUP(2,1/(#REF!=Z568),#REF!),""))</f>
        <v/>
      </c>
      <c r="AB568" t="str">
        <f>IF(Z568="","",IFERROR(LOOKUP(2,1/(#REF!=Z568),#REF!),""))</f>
        <v/>
      </c>
      <c r="AC568" t="e">
        <f>IF(Z568="","",COUNTIF(#REF!,Z568))</f>
        <v>#REF!</v>
      </c>
      <c r="AD568" t="e">
        <f>IF(A568="","",IF(AC568&gt;1,"REVISAR DUPLICADO",IF(AA568&lt;&gt;"","ACTUALIZADO POR EYR","SIN REPORTE EYR")))</f>
        <v>#REF!</v>
      </c>
    </row>
    <row r="569" spans="1:30" x14ac:dyDescent="0.3">
      <c r="A569" s="5" t="s">
        <v>4062</v>
      </c>
      <c r="B569" t="s">
        <v>4061</v>
      </c>
      <c r="C569" s="4" t="s">
        <v>4060</v>
      </c>
      <c r="D569" t="s">
        <v>21</v>
      </c>
      <c r="F569" t="s">
        <v>13</v>
      </c>
      <c r="G569" s="3">
        <v>8296903214</v>
      </c>
      <c r="H569" s="2">
        <v>46125</v>
      </c>
      <c r="K569" s="1">
        <f ca="1">IF(A569="","",IF(OR(L569="ENTREGADA",L569="RETORNADA",L569="ENTREGA DIGITAL"),0,MAX(0,5-NETWORKDAYS(H569+1,TODAY()))))</f>
        <v>0</v>
      </c>
      <c r="L569" t="str">
        <f>IF(A569="","",IFERROR(LOOKUP(2,1/(#REF!=Z569),#REF!),Y569))</f>
        <v>ENTREGA DIGITAL</v>
      </c>
      <c r="Y569" t="s">
        <v>1396</v>
      </c>
      <c r="Z569" t="str">
        <f>IF(A569="","",TEXT(A569,"0")&amp;"|"&amp;TEXT(H569,"0"))</f>
        <v>4921017798287410|46125</v>
      </c>
      <c r="AA569" t="str">
        <f>IF(Z569="","",IFERROR(LOOKUP(2,1/(#REF!=Z569),#REF!),""))</f>
        <v/>
      </c>
      <c r="AB569" t="str">
        <f>IF(Z569="","",IFERROR(LOOKUP(2,1/(#REF!=Z569),#REF!),""))</f>
        <v/>
      </c>
      <c r="AC569" t="e">
        <f>IF(Z569="","",COUNTIF(#REF!,Z569))</f>
        <v>#REF!</v>
      </c>
      <c r="AD569" t="e">
        <f>IF(A569="","",IF(AC569&gt;1,"REVISAR DUPLICADO",IF(AA569&lt;&gt;"","ACTUALIZADO POR EYR","SIN REPORTE EYR")))</f>
        <v>#REF!</v>
      </c>
    </row>
    <row r="570" spans="1:30" x14ac:dyDescent="0.3">
      <c r="A570" s="5" t="s">
        <v>4059</v>
      </c>
      <c r="B570" t="s">
        <v>4058</v>
      </c>
      <c r="C570" s="4" t="s">
        <v>4057</v>
      </c>
      <c r="D570" t="s">
        <v>21</v>
      </c>
      <c r="F570" t="s">
        <v>13</v>
      </c>
      <c r="G570" s="3">
        <v>8297195108</v>
      </c>
      <c r="H570" s="2">
        <v>46125</v>
      </c>
      <c r="K570" s="1">
        <f ca="1">IF(A570="","",IF(OR(L570="ENTREGADA",L570="RETORNADA",L570="ENTREGA DIGITAL"),0,MAX(0,5-NETWORKDAYS(H570+1,TODAY()))))</f>
        <v>0</v>
      </c>
      <c r="L570" t="str">
        <f>IF(A570="","",IFERROR(LOOKUP(2,1/(#REF!=Z570),#REF!),Y570))</f>
        <v>ENTREGA DIGITAL</v>
      </c>
      <c r="Y570" t="s">
        <v>1396</v>
      </c>
      <c r="Z570" t="str">
        <f>IF(A570="","",TEXT(A570,"0")&amp;"|"&amp;TEXT(H570,"0"))</f>
        <v>5188017795970880|46125</v>
      </c>
      <c r="AA570" t="str">
        <f>IF(Z570="","",IFERROR(LOOKUP(2,1/(#REF!=Z570),#REF!),""))</f>
        <v/>
      </c>
      <c r="AB570" t="str">
        <f>IF(Z570="","",IFERROR(LOOKUP(2,1/(#REF!=Z570),#REF!),""))</f>
        <v/>
      </c>
      <c r="AC570" t="e">
        <f>IF(Z570="","",COUNTIF(#REF!,Z570))</f>
        <v>#REF!</v>
      </c>
      <c r="AD570" t="e">
        <f>IF(A570="","",IF(AC570&gt;1,"REVISAR DUPLICADO",IF(AA570&lt;&gt;"","ACTUALIZADO POR EYR","SIN REPORTE EYR")))</f>
        <v>#REF!</v>
      </c>
    </row>
    <row r="571" spans="1:30" x14ac:dyDescent="0.3">
      <c r="A571" s="5" t="s">
        <v>4056</v>
      </c>
      <c r="B571" t="s">
        <v>4055</v>
      </c>
      <c r="C571" s="4" t="s">
        <v>4054</v>
      </c>
      <c r="D571" t="s">
        <v>21</v>
      </c>
      <c r="F571" t="s">
        <v>13</v>
      </c>
      <c r="G571" s="3">
        <v>8295511184</v>
      </c>
      <c r="H571" s="2">
        <v>46125</v>
      </c>
      <c r="K571" s="1">
        <f ca="1">IF(A571="","",IF(OR(L571="ENTREGADA",L571="RETORNADA",L571="ENTREGA DIGITAL"),0,MAX(0,5-NETWORKDAYS(H571+1,TODAY()))))</f>
        <v>0</v>
      </c>
      <c r="L571" t="str">
        <f>IF(A571="","",IFERROR(LOOKUP(2,1/(#REF!=Z571),#REF!),Y571))</f>
        <v>RETORNADA</v>
      </c>
      <c r="Y571" t="s">
        <v>1857</v>
      </c>
      <c r="Z571" t="str">
        <f>IF(A571="","",TEXT(A571,"0")&amp;"|"&amp;TEXT(H571,"0"))</f>
        <v>4025017799501300|46125</v>
      </c>
      <c r="AA571" t="str">
        <f>IF(Z571="","",IFERROR(LOOKUP(2,1/(#REF!=Z571),#REF!),""))</f>
        <v/>
      </c>
      <c r="AB571" t="str">
        <f>IF(Z571="","",IFERROR(LOOKUP(2,1/(#REF!=Z571),#REF!),""))</f>
        <v/>
      </c>
      <c r="AC571" t="e">
        <f>IF(Z571="","",COUNTIF(#REF!,Z571))</f>
        <v>#REF!</v>
      </c>
      <c r="AD571" t="e">
        <f>IF(A571="","",IF(AC571&gt;1,"REVISAR DUPLICADO",IF(AA571&lt;&gt;"","ACTUALIZADO POR EYR","SIN REPORTE EYR")))</f>
        <v>#REF!</v>
      </c>
    </row>
    <row r="572" spans="1:30" x14ac:dyDescent="0.3">
      <c r="A572" s="5" t="s">
        <v>4053</v>
      </c>
      <c r="B572" t="s">
        <v>4052</v>
      </c>
      <c r="C572" s="4" t="s">
        <v>4051</v>
      </c>
      <c r="D572" t="s">
        <v>21</v>
      </c>
      <c r="F572" t="s">
        <v>13</v>
      </c>
      <c r="G572" s="3">
        <v>8094499101</v>
      </c>
      <c r="H572" s="2">
        <v>46125</v>
      </c>
      <c r="K572" s="1">
        <f ca="1">IF(A572="","",IF(OR(L572="ENTREGADA",L572="RETORNADA",L572="ENTREGA DIGITAL"),0,MAX(0,5-NETWORKDAYS(H572+1,TODAY()))))</f>
        <v>0</v>
      </c>
      <c r="L572" t="str">
        <f>IF(A572="","",IFERROR(LOOKUP(2,1/(#REF!=Z572),#REF!),Y572))</f>
        <v>ENTREGA DIGITAL</v>
      </c>
      <c r="Y572" t="s">
        <v>1396</v>
      </c>
      <c r="Z572" t="str">
        <f>IF(A572="","",TEXT(A572,"0")&amp;"|"&amp;TEXT(H572,"0"))</f>
        <v>5415017794836360|46125</v>
      </c>
      <c r="AA572" t="str">
        <f>IF(Z572="","",IFERROR(LOOKUP(2,1/(#REF!=Z572),#REF!),""))</f>
        <v/>
      </c>
      <c r="AB572" t="str">
        <f>IF(Z572="","",IFERROR(LOOKUP(2,1/(#REF!=Z572),#REF!),""))</f>
        <v/>
      </c>
      <c r="AC572" t="e">
        <f>IF(Z572="","",COUNTIF(#REF!,Z572))</f>
        <v>#REF!</v>
      </c>
      <c r="AD572" t="e">
        <f>IF(A572="","",IF(AC572&gt;1,"REVISAR DUPLICADO",IF(AA572&lt;&gt;"","ACTUALIZADO POR EYR","SIN REPORTE EYR")))</f>
        <v>#REF!</v>
      </c>
    </row>
    <row r="573" spans="1:30" x14ac:dyDescent="0.3">
      <c r="A573" s="5" t="s">
        <v>4050</v>
      </c>
      <c r="B573" t="s">
        <v>4049</v>
      </c>
      <c r="C573" s="4" t="s">
        <v>4048</v>
      </c>
      <c r="D573" t="s">
        <v>21</v>
      </c>
      <c r="F573" t="s">
        <v>4047</v>
      </c>
      <c r="G573" s="3">
        <v>8095292569</v>
      </c>
      <c r="H573" s="2">
        <v>46125</v>
      </c>
      <c r="K573" s="1">
        <f ca="1">IF(A573="","",IF(OR(L573="ENTREGADA",L573="RETORNADA",L573="ENTREGA DIGITAL"),0,MAX(0,5-NETWORKDAYS(H573+1,TODAY()))))</f>
        <v>0</v>
      </c>
      <c r="L573" t="str">
        <f>IF(A573="","",IFERROR(LOOKUP(2,1/(#REF!=Z573),#REF!),Y573))</f>
        <v>RETORNADA</v>
      </c>
      <c r="Y573" t="s">
        <v>1857</v>
      </c>
      <c r="Z573" t="str">
        <f>IF(A573="","",TEXT(A573,"0")&amp;"|"&amp;TEXT(H573,"0"))</f>
        <v>4921017802541610|46125</v>
      </c>
      <c r="AA573" t="str">
        <f>IF(Z573="","",IFERROR(LOOKUP(2,1/(#REF!=Z573),#REF!),""))</f>
        <v/>
      </c>
      <c r="AB573" t="str">
        <f>IF(Z573="","",IFERROR(LOOKUP(2,1/(#REF!=Z573),#REF!),""))</f>
        <v/>
      </c>
      <c r="AC573" t="e">
        <f>IF(Z573="","",COUNTIF(#REF!,Z573))</f>
        <v>#REF!</v>
      </c>
      <c r="AD573" t="e">
        <f>IF(A573="","",IF(AC573&gt;1,"REVISAR DUPLICADO",IF(AA573&lt;&gt;"","ACTUALIZADO POR EYR","SIN REPORTE EYR")))</f>
        <v>#REF!</v>
      </c>
    </row>
    <row r="574" spans="1:30" x14ac:dyDescent="0.3">
      <c r="A574" s="5" t="s">
        <v>4046</v>
      </c>
      <c r="B574" t="s">
        <v>4045</v>
      </c>
      <c r="C574" s="4" t="s">
        <v>4044</v>
      </c>
      <c r="D574" t="s">
        <v>21</v>
      </c>
      <c r="F574" t="s">
        <v>13</v>
      </c>
      <c r="G574" s="3">
        <v>8492754755</v>
      </c>
      <c r="H574" s="2">
        <v>46125</v>
      </c>
      <c r="K574" s="1">
        <f ca="1">IF(A574="","",IF(OR(L574="ENTREGADA",L574="RETORNADA",L574="ENTREGA DIGITAL"),0,MAX(0,5-NETWORKDAYS(H574+1,TODAY()))))</f>
        <v>0</v>
      </c>
      <c r="L574" t="str">
        <f>IF(A574="","",IFERROR(LOOKUP(2,1/(#REF!=Z574),#REF!),Y574))</f>
        <v>ENTREGA DIGITAL</v>
      </c>
      <c r="Y574" t="s">
        <v>1396</v>
      </c>
      <c r="Z574" t="str">
        <f>IF(A574="","",TEXT(A574,"0")&amp;"|"&amp;TEXT(H574,"0"))</f>
        <v>5415017800590400|46125</v>
      </c>
      <c r="AA574" t="str">
        <f>IF(Z574="","",IFERROR(LOOKUP(2,1/(#REF!=Z574),#REF!),""))</f>
        <v/>
      </c>
      <c r="AB574" t="str">
        <f>IF(Z574="","",IFERROR(LOOKUP(2,1/(#REF!=Z574),#REF!),""))</f>
        <v/>
      </c>
      <c r="AC574" t="e">
        <f>IF(Z574="","",COUNTIF(#REF!,Z574))</f>
        <v>#REF!</v>
      </c>
      <c r="AD574" t="e">
        <f>IF(A574="","",IF(AC574&gt;1,"REVISAR DUPLICADO",IF(AA574&lt;&gt;"","ACTUALIZADO POR EYR","SIN REPORTE EYR")))</f>
        <v>#REF!</v>
      </c>
    </row>
    <row r="575" spans="1:30" x14ac:dyDescent="0.3">
      <c r="A575" s="5" t="s">
        <v>4043</v>
      </c>
      <c r="B575" t="s">
        <v>4042</v>
      </c>
      <c r="C575" s="4" t="s">
        <v>4041</v>
      </c>
      <c r="D575" t="s">
        <v>21</v>
      </c>
      <c r="F575" t="s">
        <v>13</v>
      </c>
      <c r="G575" s="3">
        <v>8296618579</v>
      </c>
      <c r="H575" s="2">
        <v>46125</v>
      </c>
      <c r="K575" s="1">
        <f ca="1">IF(A575="","",IF(OR(L575="ENTREGADA",L575="RETORNADA",L575="ENTREGA DIGITAL"),0,MAX(0,5-NETWORKDAYS(H575+1,TODAY()))))</f>
        <v>0</v>
      </c>
      <c r="L575" t="str">
        <f>IF(A575="","",IFERROR(LOOKUP(2,1/(#REF!=Z575),#REF!),Y575))</f>
        <v>ENTREGA DIGITAL</v>
      </c>
      <c r="Y575" t="s">
        <v>1396</v>
      </c>
      <c r="Z575" t="str">
        <f>IF(A575="","",TEXT(A575,"0")&amp;"|"&amp;TEXT(H575,"0"))</f>
        <v>4921017802518050|46125</v>
      </c>
      <c r="AA575" t="str">
        <f>IF(Z575="","",IFERROR(LOOKUP(2,1/(#REF!=Z575),#REF!),""))</f>
        <v/>
      </c>
      <c r="AB575" t="str">
        <f>IF(Z575="","",IFERROR(LOOKUP(2,1/(#REF!=Z575),#REF!),""))</f>
        <v/>
      </c>
      <c r="AC575" t="e">
        <f>IF(Z575="","",COUNTIF(#REF!,Z575))</f>
        <v>#REF!</v>
      </c>
      <c r="AD575" t="e">
        <f>IF(A575="","",IF(AC575&gt;1,"REVISAR DUPLICADO",IF(AA575&lt;&gt;"","ACTUALIZADO POR EYR","SIN REPORTE EYR")))</f>
        <v>#REF!</v>
      </c>
    </row>
    <row r="576" spans="1:30" x14ac:dyDescent="0.3">
      <c r="A576" s="5" t="s">
        <v>4040</v>
      </c>
      <c r="B576" t="s">
        <v>4039</v>
      </c>
      <c r="C576" s="4" t="s">
        <v>4038</v>
      </c>
      <c r="D576" t="s">
        <v>21</v>
      </c>
      <c r="F576" t="s">
        <v>13</v>
      </c>
      <c r="G576" s="3">
        <v>8097736429</v>
      </c>
      <c r="H576" s="2">
        <v>46125</v>
      </c>
      <c r="K576" s="1">
        <f ca="1">IF(A576="","",IF(OR(L576="ENTREGADA",L576="RETORNADA",L576="ENTREGA DIGITAL"),0,MAX(0,5-NETWORKDAYS(H576+1,TODAY()))))</f>
        <v>0</v>
      </c>
      <c r="L576" t="str">
        <f>IF(A576="","",IFERROR(LOOKUP(2,1/(#REF!=Z576),#REF!),Y576))</f>
        <v>RETORNADA</v>
      </c>
      <c r="Y576" t="s">
        <v>1857</v>
      </c>
      <c r="Z576" t="str">
        <f>IF(A576="","",TEXT(A576,"0")&amp;"|"&amp;TEXT(H576,"0"))</f>
        <v>4921017802492250|46125</v>
      </c>
      <c r="AA576" t="str">
        <f>IF(Z576="","",IFERROR(LOOKUP(2,1/(#REF!=Z576),#REF!),""))</f>
        <v/>
      </c>
      <c r="AB576" t="str">
        <f>IF(Z576="","",IFERROR(LOOKUP(2,1/(#REF!=Z576),#REF!),""))</f>
        <v/>
      </c>
      <c r="AC576" t="e">
        <f>IF(Z576="","",COUNTIF(#REF!,Z576))</f>
        <v>#REF!</v>
      </c>
      <c r="AD576" t="e">
        <f>IF(A576="","",IF(AC576&gt;1,"REVISAR DUPLICADO",IF(AA576&lt;&gt;"","ACTUALIZADO POR EYR","SIN REPORTE EYR")))</f>
        <v>#REF!</v>
      </c>
    </row>
    <row r="577" spans="1:30" x14ac:dyDescent="0.3">
      <c r="A577" s="5" t="s">
        <v>4037</v>
      </c>
      <c r="B577" t="s">
        <v>4036</v>
      </c>
      <c r="C577" s="4" t="s">
        <v>4035</v>
      </c>
      <c r="D577" t="s">
        <v>21</v>
      </c>
      <c r="F577" t="s">
        <v>13</v>
      </c>
      <c r="G577" s="3">
        <v>8093397332</v>
      </c>
      <c r="H577" s="2">
        <v>46125</v>
      </c>
      <c r="K577" s="1">
        <f ca="1">IF(A577="","",IF(OR(L577="ENTREGADA",L577="RETORNADA",L577="ENTREGA DIGITAL"),0,MAX(0,5-NETWORKDAYS(H577+1,TODAY()))))</f>
        <v>0</v>
      </c>
      <c r="L577" t="str">
        <f>IF(A577="","",IFERROR(LOOKUP(2,1/(#REF!=Z577),#REF!),Y577))</f>
        <v>ENTREGA DIGITAL</v>
      </c>
      <c r="Y577" t="s">
        <v>1396</v>
      </c>
      <c r="Z577" t="str">
        <f>IF(A577="","",TEXT(A577,"0")&amp;"|"&amp;TEXT(H577,"0"))</f>
        <v>5415017800396560|46125</v>
      </c>
      <c r="AA577" t="str">
        <f>IF(Z577="","",IFERROR(LOOKUP(2,1/(#REF!=Z577),#REF!),""))</f>
        <v/>
      </c>
      <c r="AB577" t="str">
        <f>IF(Z577="","",IFERROR(LOOKUP(2,1/(#REF!=Z577),#REF!),""))</f>
        <v/>
      </c>
      <c r="AC577" t="e">
        <f>IF(Z577="","",COUNTIF(#REF!,Z577))</f>
        <v>#REF!</v>
      </c>
      <c r="AD577" t="e">
        <f>IF(A577="","",IF(AC577&gt;1,"REVISAR DUPLICADO",IF(AA577&lt;&gt;"","ACTUALIZADO POR EYR","SIN REPORTE EYR")))</f>
        <v>#REF!</v>
      </c>
    </row>
    <row r="578" spans="1:30" x14ac:dyDescent="0.3">
      <c r="A578" s="5" t="s">
        <v>4034</v>
      </c>
      <c r="B578" t="s">
        <v>4033</v>
      </c>
      <c r="C578" s="4" t="s">
        <v>4032</v>
      </c>
      <c r="D578" t="s">
        <v>21</v>
      </c>
      <c r="F578" t="s">
        <v>13</v>
      </c>
      <c r="G578" s="3">
        <v>8294183202</v>
      </c>
      <c r="H578" s="2">
        <v>46125</v>
      </c>
      <c r="K578" s="1">
        <f ca="1">IF(A578="","",IF(OR(L578="ENTREGADA",L578="RETORNADA",L578="ENTREGA DIGITAL"),0,MAX(0,5-NETWORKDAYS(H578+1,TODAY()))))</f>
        <v>0</v>
      </c>
      <c r="L578" t="str">
        <f>IF(A578="","",IFERROR(LOOKUP(2,1/(#REF!=Z578),#REF!),Y578))</f>
        <v>ENTREGA DIGITAL</v>
      </c>
      <c r="Y578" t="s">
        <v>1396</v>
      </c>
      <c r="Z578" t="str">
        <f>IF(A578="","",TEXT(A578,"0")&amp;"|"&amp;TEXT(H578,"0"))</f>
        <v>4921017803131600|46125</v>
      </c>
      <c r="AA578" t="str">
        <f>IF(Z578="","",IFERROR(LOOKUP(2,1/(#REF!=Z578),#REF!),""))</f>
        <v/>
      </c>
      <c r="AB578" t="str">
        <f>IF(Z578="","",IFERROR(LOOKUP(2,1/(#REF!=Z578),#REF!),""))</f>
        <v/>
      </c>
      <c r="AC578" t="e">
        <f>IF(Z578="","",COUNTIF(#REF!,Z578))</f>
        <v>#REF!</v>
      </c>
      <c r="AD578" t="e">
        <f>IF(A578="","",IF(AC578&gt;1,"REVISAR DUPLICADO",IF(AA578&lt;&gt;"","ACTUALIZADO POR EYR","SIN REPORTE EYR")))</f>
        <v>#REF!</v>
      </c>
    </row>
    <row r="579" spans="1:30" x14ac:dyDescent="0.3">
      <c r="A579" s="5" t="s">
        <v>4031</v>
      </c>
      <c r="B579" t="s">
        <v>4030</v>
      </c>
      <c r="C579" s="4" t="s">
        <v>4029</v>
      </c>
      <c r="D579" t="s">
        <v>21</v>
      </c>
      <c r="F579" t="s">
        <v>13</v>
      </c>
      <c r="G579" s="3">
        <v>8094064346</v>
      </c>
      <c r="H579" s="2">
        <v>46125</v>
      </c>
      <c r="K579" s="1">
        <f ca="1">IF(A579="","",IF(OR(L579="ENTREGADA",L579="RETORNADA",L579="ENTREGA DIGITAL"),0,MAX(0,5-NETWORKDAYS(H579+1,TODAY()))))</f>
        <v>0</v>
      </c>
      <c r="L579" t="str">
        <f>IF(A579="","",IFERROR(LOOKUP(2,1/(#REF!=Z579),#REF!),Y579))</f>
        <v>ENTREGA DIGITAL</v>
      </c>
      <c r="Y579" t="s">
        <v>1396</v>
      </c>
      <c r="Z579" t="str">
        <f>IF(A579="","",TEXT(A579,"0")&amp;"|"&amp;TEXT(H579,"0"))</f>
        <v>4025017803323510|46125</v>
      </c>
      <c r="AA579" t="str">
        <f>IF(Z579="","",IFERROR(LOOKUP(2,1/(#REF!=Z579),#REF!),""))</f>
        <v/>
      </c>
      <c r="AB579" t="str">
        <f>IF(Z579="","",IFERROR(LOOKUP(2,1/(#REF!=Z579),#REF!),""))</f>
        <v/>
      </c>
      <c r="AC579" t="e">
        <f>IF(Z579="","",COUNTIF(#REF!,Z579))</f>
        <v>#REF!</v>
      </c>
      <c r="AD579" t="e">
        <f>IF(A579="","",IF(AC579&gt;1,"REVISAR DUPLICADO",IF(AA579&lt;&gt;"","ACTUALIZADO POR EYR","SIN REPORTE EYR")))</f>
        <v>#REF!</v>
      </c>
    </row>
    <row r="580" spans="1:30" x14ac:dyDescent="0.3">
      <c r="A580" s="5" t="s">
        <v>4028</v>
      </c>
      <c r="B580" t="s">
        <v>4027</v>
      </c>
      <c r="C580" s="4" t="s">
        <v>4026</v>
      </c>
      <c r="D580" t="s">
        <v>21</v>
      </c>
      <c r="F580" t="s">
        <v>13</v>
      </c>
      <c r="G580" s="3">
        <v>8298523164</v>
      </c>
      <c r="H580" s="2">
        <v>46125</v>
      </c>
      <c r="K580" s="1">
        <f ca="1">IF(A580="","",IF(OR(L580="ENTREGADA",L580="RETORNADA",L580="ENTREGA DIGITAL"),0,MAX(0,5-NETWORKDAYS(H580+1,TODAY()))))</f>
        <v>0</v>
      </c>
      <c r="L580" t="str">
        <f>IF(A580="","",IFERROR(LOOKUP(2,1/(#REF!=Z580),#REF!),Y580))</f>
        <v>ENTREGA DIGITAL</v>
      </c>
      <c r="Y580" t="s">
        <v>1396</v>
      </c>
      <c r="Z580" t="str">
        <f>IF(A580="","",TEXT(A580,"0")&amp;"|"&amp;TEXT(H580,"0"))</f>
        <v>4921017802534230|46125</v>
      </c>
      <c r="AA580" t="str">
        <f>IF(Z580="","",IFERROR(LOOKUP(2,1/(#REF!=Z580),#REF!),""))</f>
        <v/>
      </c>
      <c r="AB580" t="str">
        <f>IF(Z580="","",IFERROR(LOOKUP(2,1/(#REF!=Z580),#REF!),""))</f>
        <v/>
      </c>
      <c r="AC580" t="e">
        <f>IF(Z580="","",COUNTIF(#REF!,Z580))</f>
        <v>#REF!</v>
      </c>
      <c r="AD580" t="e">
        <f>IF(A580="","",IF(AC580&gt;1,"REVISAR DUPLICADO",IF(AA580&lt;&gt;"","ACTUALIZADO POR EYR","SIN REPORTE EYR")))</f>
        <v>#REF!</v>
      </c>
    </row>
    <row r="581" spans="1:30" x14ac:dyDescent="0.3">
      <c r="A581" s="5" t="s">
        <v>4025</v>
      </c>
      <c r="B581" t="s">
        <v>4024</v>
      </c>
      <c r="C581" s="4" t="s">
        <v>4023</v>
      </c>
      <c r="D581" t="s">
        <v>21</v>
      </c>
      <c r="F581" t="s">
        <v>13</v>
      </c>
      <c r="G581" s="3">
        <v>8099896015</v>
      </c>
      <c r="H581" s="2">
        <v>46125</v>
      </c>
      <c r="K581" s="1">
        <f ca="1">IF(A581="","",IF(OR(L581="ENTREGADA",L581="RETORNADA",L581="ENTREGA DIGITAL"),0,MAX(0,5-NETWORKDAYS(H581+1,TODAY()))))</f>
        <v>0</v>
      </c>
      <c r="L581" t="str">
        <f>IF(A581="","",IFERROR(LOOKUP(2,1/(#REF!=Z581),#REF!),Y581))</f>
        <v>ENTREGA DIGITAL</v>
      </c>
      <c r="Y581" t="s">
        <v>1396</v>
      </c>
      <c r="Z581" t="str">
        <f>IF(A581="","",TEXT(A581,"0")&amp;"|"&amp;TEXT(H581,"0"))</f>
        <v>5415017800684970|46125</v>
      </c>
      <c r="AA581" t="str">
        <f>IF(Z581="","",IFERROR(LOOKUP(2,1/(#REF!=Z581),#REF!),""))</f>
        <v/>
      </c>
      <c r="AB581" t="str">
        <f>IF(Z581="","",IFERROR(LOOKUP(2,1/(#REF!=Z581),#REF!),""))</f>
        <v/>
      </c>
      <c r="AC581" t="e">
        <f>IF(Z581="","",COUNTIF(#REF!,Z581))</f>
        <v>#REF!</v>
      </c>
      <c r="AD581" t="e">
        <f>IF(A581="","",IF(AC581&gt;1,"REVISAR DUPLICADO",IF(AA581&lt;&gt;"","ACTUALIZADO POR EYR","SIN REPORTE EYR")))</f>
        <v>#REF!</v>
      </c>
    </row>
    <row r="582" spans="1:30" x14ac:dyDescent="0.3">
      <c r="A582" s="5" t="s">
        <v>4022</v>
      </c>
      <c r="B582" t="s">
        <v>4021</v>
      </c>
      <c r="C582" s="4" t="s">
        <v>4020</v>
      </c>
      <c r="D582" t="s">
        <v>21</v>
      </c>
      <c r="F582" t="s">
        <v>13</v>
      </c>
      <c r="G582" s="3">
        <v>8295188740</v>
      </c>
      <c r="H582" s="2">
        <v>46125</v>
      </c>
      <c r="K582" s="1">
        <f ca="1">IF(A582="","",IF(OR(L582="ENTREGADA",L582="RETORNADA",L582="ENTREGA DIGITAL"),0,MAX(0,5-NETWORKDAYS(H582+1,TODAY()))))</f>
        <v>0</v>
      </c>
      <c r="L582" t="str">
        <f>IF(A582="","",IFERROR(LOOKUP(2,1/(#REF!=Z582),#REF!),Y582))</f>
        <v>ENTREGA DIGITAL</v>
      </c>
      <c r="Y582" t="s">
        <v>1396</v>
      </c>
      <c r="Z582" t="str">
        <f>IF(A582="","",TEXT(A582,"0")&amp;"|"&amp;TEXT(H582,"0"))</f>
        <v>4921017802663220|46125</v>
      </c>
      <c r="AA582" t="str">
        <f>IF(Z582="","",IFERROR(LOOKUP(2,1/(#REF!=Z582),#REF!),""))</f>
        <v/>
      </c>
      <c r="AB582" t="str">
        <f>IF(Z582="","",IFERROR(LOOKUP(2,1/(#REF!=Z582),#REF!),""))</f>
        <v/>
      </c>
      <c r="AC582" t="e">
        <f>IF(Z582="","",COUNTIF(#REF!,Z582))</f>
        <v>#REF!</v>
      </c>
      <c r="AD582" t="e">
        <f>IF(A582="","",IF(AC582&gt;1,"REVISAR DUPLICADO",IF(AA582&lt;&gt;"","ACTUALIZADO POR EYR","SIN REPORTE EYR")))</f>
        <v>#REF!</v>
      </c>
    </row>
    <row r="583" spans="1:30" x14ac:dyDescent="0.3">
      <c r="A583" s="5" t="s">
        <v>4019</v>
      </c>
      <c r="B583" t="s">
        <v>4018</v>
      </c>
      <c r="C583" s="4" t="s">
        <v>4017</v>
      </c>
      <c r="D583" t="s">
        <v>21</v>
      </c>
      <c r="F583" t="s">
        <v>13</v>
      </c>
      <c r="G583" s="3">
        <v>8094569784</v>
      </c>
      <c r="H583" s="2">
        <v>46125</v>
      </c>
      <c r="K583" s="1">
        <f ca="1">IF(A583="","",IF(OR(L583="ENTREGADA",L583="RETORNADA",L583="ENTREGA DIGITAL"),0,MAX(0,5-NETWORKDAYS(H583+1,TODAY()))))</f>
        <v>0</v>
      </c>
      <c r="L583" t="str">
        <f>IF(A583="","",IFERROR(LOOKUP(2,1/(#REF!=Z583),#REF!),Y583))</f>
        <v>ENTREGA DIGITAL</v>
      </c>
      <c r="Y583" t="s">
        <v>1396</v>
      </c>
      <c r="Z583" t="str">
        <f>IF(A583="","",TEXT(A583,"0")&amp;"|"&amp;TEXT(H583,"0"))</f>
        <v>4025017803418820|46125</v>
      </c>
      <c r="AA583" t="str">
        <f>IF(Z583="","",IFERROR(LOOKUP(2,1/(#REF!=Z583),#REF!),""))</f>
        <v/>
      </c>
      <c r="AB583" t="str">
        <f>IF(Z583="","",IFERROR(LOOKUP(2,1/(#REF!=Z583),#REF!),""))</f>
        <v/>
      </c>
      <c r="AC583" t="e">
        <f>IF(Z583="","",COUNTIF(#REF!,Z583))</f>
        <v>#REF!</v>
      </c>
      <c r="AD583" t="e">
        <f>IF(A583="","",IF(AC583&gt;1,"REVISAR DUPLICADO",IF(AA583&lt;&gt;"","ACTUALIZADO POR EYR","SIN REPORTE EYR")))</f>
        <v>#REF!</v>
      </c>
    </row>
    <row r="584" spans="1:30" x14ac:dyDescent="0.3">
      <c r="A584" s="5" t="s">
        <v>2601</v>
      </c>
      <c r="B584" t="s">
        <v>2600</v>
      </c>
      <c r="C584" s="4" t="s">
        <v>2599</v>
      </c>
      <c r="D584" t="s">
        <v>21</v>
      </c>
      <c r="F584" t="s">
        <v>4016</v>
      </c>
      <c r="G584" s="3">
        <v>8095205236</v>
      </c>
      <c r="H584" s="2">
        <v>46125</v>
      </c>
      <c r="K584" s="1">
        <f ca="1">IF(A584="","",IF(OR(L584="ENTREGADA",L584="RETORNADA",L584="ENTREGA DIGITAL"),0,MAX(0,5-NETWORKDAYS(H584+1,TODAY()))))</f>
        <v>0</v>
      </c>
      <c r="L584" t="str">
        <f>IF(A584="","",IFERROR(LOOKUP(2,1/(#REF!=Z584),#REF!),Y584))</f>
        <v>RETORNADA</v>
      </c>
      <c r="Y584" t="s">
        <v>1857</v>
      </c>
      <c r="Z584" t="str">
        <f>IF(A584="","",TEXT(A584,"0")&amp;"|"&amp;TEXT(H584,"0"))</f>
        <v>5415017800444620|46125</v>
      </c>
      <c r="AA584" t="str">
        <f>IF(Z584="","",IFERROR(LOOKUP(2,1/(#REF!=Z584),#REF!),""))</f>
        <v/>
      </c>
      <c r="AB584" t="str">
        <f>IF(Z584="","",IFERROR(LOOKUP(2,1/(#REF!=Z584),#REF!),""))</f>
        <v/>
      </c>
      <c r="AC584" t="e">
        <f>IF(Z584="","",COUNTIF(#REF!,Z584))</f>
        <v>#REF!</v>
      </c>
      <c r="AD584" t="e">
        <f>IF(A584="","",IF(AC584&gt;1,"REVISAR DUPLICADO",IF(AA584&lt;&gt;"","ACTUALIZADO POR EYR","SIN REPORTE EYR")))</f>
        <v>#REF!</v>
      </c>
    </row>
    <row r="585" spans="1:30" x14ac:dyDescent="0.3">
      <c r="A585" s="5" t="s">
        <v>4015</v>
      </c>
      <c r="B585" t="s">
        <v>4014</v>
      </c>
      <c r="C585" s="4" t="s">
        <v>4013</v>
      </c>
      <c r="D585" t="s">
        <v>21</v>
      </c>
      <c r="F585" t="s">
        <v>2149</v>
      </c>
      <c r="G585" s="3">
        <v>8298263970</v>
      </c>
      <c r="H585" s="2">
        <v>46125</v>
      </c>
      <c r="K585" s="1">
        <f ca="1">IF(A585="","",IF(OR(L585="ENTREGADA",L585="RETORNADA",L585="ENTREGA DIGITAL"),0,MAX(0,5-NETWORKDAYS(H585+1,TODAY()))))</f>
        <v>0</v>
      </c>
      <c r="L585" t="str">
        <f>IF(A585="","",IFERROR(LOOKUP(2,1/(#REF!=Z585),#REF!),Y585))</f>
        <v>ENTREGADA</v>
      </c>
      <c r="Y585" t="s">
        <v>1956</v>
      </c>
      <c r="Z585" t="str">
        <f>IF(A585="","",TEXT(A585,"0")&amp;"|"&amp;TEXT(H585,"0"))</f>
        <v>4921017801601760|46125</v>
      </c>
      <c r="AA585" t="str">
        <f>IF(Z585="","",IFERROR(LOOKUP(2,1/(#REF!=Z585),#REF!),""))</f>
        <v/>
      </c>
      <c r="AB585" t="str">
        <f>IF(Z585="","",IFERROR(LOOKUP(2,1/(#REF!=Z585),#REF!),""))</f>
        <v/>
      </c>
      <c r="AC585" t="e">
        <f>IF(Z585="","",COUNTIF(#REF!,Z585))</f>
        <v>#REF!</v>
      </c>
      <c r="AD585" t="e">
        <f>IF(A585="","",IF(AC585&gt;1,"REVISAR DUPLICADO",IF(AA585&lt;&gt;"","ACTUALIZADO POR EYR","SIN REPORTE EYR")))</f>
        <v>#REF!</v>
      </c>
    </row>
    <row r="586" spans="1:30" x14ac:dyDescent="0.3">
      <c r="A586" s="5" t="s">
        <v>4012</v>
      </c>
      <c r="B586" t="s">
        <v>4011</v>
      </c>
      <c r="C586" s="4" t="s">
        <v>4010</v>
      </c>
      <c r="D586" t="s">
        <v>21</v>
      </c>
      <c r="F586" t="s">
        <v>13</v>
      </c>
      <c r="G586" s="3">
        <v>7188987415</v>
      </c>
      <c r="H586" s="2">
        <v>46125</v>
      </c>
      <c r="K586" s="1">
        <f ca="1">IF(A586="","",IF(OR(L586="ENTREGADA",L586="RETORNADA",L586="ENTREGA DIGITAL"),0,MAX(0,5-NETWORKDAYS(H586+1,TODAY()))))</f>
        <v>0</v>
      </c>
      <c r="L586" t="str">
        <f>IF(A586="","",IFERROR(LOOKUP(2,1/(#REF!=Z586),#REF!),Y586))</f>
        <v>RETORNADA</v>
      </c>
      <c r="Y586" t="s">
        <v>1857</v>
      </c>
      <c r="Z586" t="str">
        <f>IF(A586="","",TEXT(A586,"0")&amp;"|"&amp;TEXT(H586,"0"))</f>
        <v>4741017799827010|46125</v>
      </c>
      <c r="AA586" t="str">
        <f>IF(Z586="","",IFERROR(LOOKUP(2,1/(#REF!=Z586),#REF!),""))</f>
        <v/>
      </c>
      <c r="AB586" t="str">
        <f>IF(Z586="","",IFERROR(LOOKUP(2,1/(#REF!=Z586),#REF!),""))</f>
        <v/>
      </c>
      <c r="AC586" t="e">
        <f>IF(Z586="","",COUNTIF(#REF!,Z586))</f>
        <v>#REF!</v>
      </c>
      <c r="AD586" t="e">
        <f>IF(A586="","",IF(AC586&gt;1,"REVISAR DUPLICADO",IF(AA586&lt;&gt;"","ACTUALIZADO POR EYR","SIN REPORTE EYR")))</f>
        <v>#REF!</v>
      </c>
    </row>
    <row r="587" spans="1:30" x14ac:dyDescent="0.3">
      <c r="A587" s="5" t="s">
        <v>4009</v>
      </c>
      <c r="B587" t="s">
        <v>4008</v>
      </c>
      <c r="C587" s="4" t="s">
        <v>4007</v>
      </c>
      <c r="D587" t="s">
        <v>21</v>
      </c>
      <c r="E587" t="s">
        <v>21</v>
      </c>
      <c r="F587" t="s">
        <v>62</v>
      </c>
      <c r="G587" s="3">
        <v>8296689822</v>
      </c>
      <c r="H587" s="2">
        <v>46125</v>
      </c>
      <c r="K587" s="1">
        <f ca="1">IF(A587="","",IF(OR(L587="ENTREGADA",L587="RETORNADA",L587="ENTREGA DIGITAL"),0,MAX(0,5-NETWORKDAYS(H587+1,TODAY()))))</f>
        <v>0</v>
      </c>
      <c r="L587" t="str">
        <f>IF(A587="","",IFERROR(LOOKUP(2,1/(#REF!=Z587),#REF!),Y587))</f>
        <v>RETORNADA</v>
      </c>
      <c r="Y587" t="s">
        <v>1857</v>
      </c>
      <c r="Z587" t="str">
        <f>IF(A587="","",TEXT(A587,"0")&amp;"|"&amp;TEXT(H587,"0"))</f>
        <v>5192017796207110|46125</v>
      </c>
      <c r="AA587" t="str">
        <f>IF(Z587="","",IFERROR(LOOKUP(2,1/(#REF!=Z587),#REF!),""))</f>
        <v/>
      </c>
      <c r="AB587" t="str">
        <f>IF(Z587="","",IFERROR(LOOKUP(2,1/(#REF!=Z587),#REF!),""))</f>
        <v/>
      </c>
      <c r="AC587" t="e">
        <f>IF(Z587="","",COUNTIF(#REF!,Z587))</f>
        <v>#REF!</v>
      </c>
      <c r="AD587" t="e">
        <f>IF(A587="","",IF(AC587&gt;1,"REVISAR DUPLICADO",IF(AA587&lt;&gt;"","ACTUALIZADO POR EYR","SIN REPORTE EYR")))</f>
        <v>#REF!</v>
      </c>
    </row>
    <row r="588" spans="1:30" x14ac:dyDescent="0.3">
      <c r="A588" s="5" t="s">
        <v>4006</v>
      </c>
      <c r="B588" t="s">
        <v>2829</v>
      </c>
      <c r="C588" s="4" t="s">
        <v>4005</v>
      </c>
      <c r="D588" t="s">
        <v>21</v>
      </c>
      <c r="F588" t="s">
        <v>4004</v>
      </c>
      <c r="G588" s="3">
        <v>8093391308</v>
      </c>
      <c r="H588" s="2">
        <v>46125</v>
      </c>
      <c r="K588" s="1">
        <f ca="1">IF(A588="","",IF(OR(L588="ENTREGADA",L588="RETORNADA",L588="ENTREGA DIGITAL"),0,MAX(0,5-NETWORKDAYS(H588+1,TODAY()))))</f>
        <v>0</v>
      </c>
      <c r="L588" t="str">
        <f>IF(A588="","",IFERROR(LOOKUP(2,1/(#REF!=Z588),#REF!),Y588))</f>
        <v>ENTREGA DIGITAL</v>
      </c>
      <c r="Y588" t="s">
        <v>1396</v>
      </c>
      <c r="Z588" t="str">
        <f>IF(A588="","",TEXT(A588,"0")&amp;"|"&amp;TEXT(H588,"0"))</f>
        <v>4741017799957980|46125</v>
      </c>
      <c r="AA588" t="str">
        <f>IF(Z588="","",IFERROR(LOOKUP(2,1/(#REF!=Z588),#REF!),""))</f>
        <v/>
      </c>
      <c r="AB588" t="str">
        <f>IF(Z588="","",IFERROR(LOOKUP(2,1/(#REF!=Z588),#REF!),""))</f>
        <v/>
      </c>
      <c r="AC588" t="e">
        <f>IF(Z588="","",COUNTIF(#REF!,Z588))</f>
        <v>#REF!</v>
      </c>
      <c r="AD588" t="e">
        <f>IF(A588="","",IF(AC588&gt;1,"REVISAR DUPLICADO",IF(AA588&lt;&gt;"","ACTUALIZADO POR EYR","SIN REPORTE EYR")))</f>
        <v>#REF!</v>
      </c>
    </row>
    <row r="589" spans="1:30" x14ac:dyDescent="0.3">
      <c r="A589" s="5" t="s">
        <v>4003</v>
      </c>
      <c r="B589" t="s">
        <v>4002</v>
      </c>
      <c r="C589" s="4" t="s">
        <v>4001</v>
      </c>
      <c r="D589" t="s">
        <v>21</v>
      </c>
      <c r="F589" t="s">
        <v>13</v>
      </c>
      <c r="G589" s="3">
        <v>8293074180</v>
      </c>
      <c r="H589" s="2">
        <v>46125</v>
      </c>
      <c r="I589" t="s">
        <v>1397</v>
      </c>
      <c r="K589" s="1">
        <f ca="1">IF(A589="","",IF(OR(L589="ENTREGADA",L589="RETORNADA",L589="ENTREGA DIGITAL"),0,MAX(0,5-NETWORKDAYS(H589+1,TODAY()))))</f>
        <v>0</v>
      </c>
      <c r="L589" t="str">
        <f>IF(A589="","",IFERROR(LOOKUP(2,1/(#REF!=Z589),#REF!),Y589))</f>
        <v>ENTREGADA</v>
      </c>
      <c r="Y589" t="s">
        <v>1956</v>
      </c>
      <c r="Z589" t="str">
        <f>IF(A589="","",TEXT(A589,"0")&amp;"|"&amp;TEXT(H589,"0"))</f>
        <v>5415017742915510|46125</v>
      </c>
      <c r="AA589" t="str">
        <f>IF(Z589="","",IFERROR(LOOKUP(2,1/(#REF!=Z589),#REF!),""))</f>
        <v/>
      </c>
      <c r="AB589" t="str">
        <f>IF(Z589="","",IFERROR(LOOKUP(2,1/(#REF!=Z589),#REF!),""))</f>
        <v/>
      </c>
      <c r="AC589" t="e">
        <f>IF(Z589="","",COUNTIF(#REF!,Z589))</f>
        <v>#REF!</v>
      </c>
      <c r="AD589" t="e">
        <f>IF(A589="","",IF(AC589&gt;1,"REVISAR DUPLICADO",IF(AA589&lt;&gt;"","ACTUALIZADO POR EYR","SIN REPORTE EYR")))</f>
        <v>#REF!</v>
      </c>
    </row>
    <row r="590" spans="1:30" x14ac:dyDescent="0.3">
      <c r="A590" s="5" t="s">
        <v>4000</v>
      </c>
      <c r="B590" t="s">
        <v>3999</v>
      </c>
      <c r="C590" s="4" t="s">
        <v>3998</v>
      </c>
      <c r="D590" t="s">
        <v>21</v>
      </c>
      <c r="F590" t="s">
        <v>1319</v>
      </c>
      <c r="G590" s="3">
        <v>9999999999</v>
      </c>
      <c r="H590" s="2">
        <v>46125</v>
      </c>
      <c r="K590" s="1">
        <f ca="1">IF(A590="","",IF(OR(L590="ENTREGADA",L590="RETORNADA",L590="ENTREGA DIGITAL"),0,MAX(0,5-NETWORKDAYS(H590+1,TODAY()))))</f>
        <v>0</v>
      </c>
      <c r="L590" t="str">
        <f>IF(A590="","",IFERROR(LOOKUP(2,1/(#REF!=Z590),#REF!),Y590))</f>
        <v>ENTREGA DIGITAL</v>
      </c>
      <c r="Y590" t="s">
        <v>1396</v>
      </c>
      <c r="Z590" t="str">
        <f>IF(A590="","",TEXT(A590,"0")&amp;"|"&amp;TEXT(H590,"0"))</f>
        <v>5188017710512350|46125</v>
      </c>
      <c r="AA590" t="str">
        <f>IF(Z590="","",IFERROR(LOOKUP(2,1/(#REF!=Z590),#REF!),""))</f>
        <v/>
      </c>
      <c r="AB590" t="str">
        <f>IF(Z590="","",IFERROR(LOOKUP(2,1/(#REF!=Z590),#REF!),""))</f>
        <v/>
      </c>
      <c r="AC590" t="e">
        <f>IF(Z590="","",COUNTIF(#REF!,Z590))</f>
        <v>#REF!</v>
      </c>
      <c r="AD590" t="e">
        <f>IF(A590="","",IF(AC590&gt;1,"REVISAR DUPLICADO",IF(AA590&lt;&gt;"","ACTUALIZADO POR EYR","SIN REPORTE EYR")))</f>
        <v>#REF!</v>
      </c>
    </row>
    <row r="591" spans="1:30" x14ac:dyDescent="0.3">
      <c r="A591" s="5" t="s">
        <v>3997</v>
      </c>
      <c r="B591" t="s">
        <v>3996</v>
      </c>
      <c r="C591" s="4" t="s">
        <v>3995</v>
      </c>
      <c r="D591" t="s">
        <v>21</v>
      </c>
      <c r="F591" t="s">
        <v>3994</v>
      </c>
      <c r="G591" s="3">
        <v>8295224758</v>
      </c>
      <c r="H591" s="2">
        <v>46125</v>
      </c>
      <c r="K591" s="1">
        <f ca="1">IF(A591="","",IF(OR(L591="ENTREGADA",L591="RETORNADA",L591="ENTREGA DIGITAL"),0,MAX(0,5-NETWORKDAYS(H591+1,TODAY()))))</f>
        <v>0</v>
      </c>
      <c r="L591" t="str">
        <f>IF(A591="","",IFERROR(LOOKUP(2,1/(#REF!=Z591),#REF!),Y591))</f>
        <v>ENTREGA DIGITAL</v>
      </c>
      <c r="Y591" t="s">
        <v>1396</v>
      </c>
      <c r="Z591" t="str">
        <f>IF(A591="","",TEXT(A591,"0")&amp;"|"&amp;TEXT(H591,"0"))</f>
        <v>4921017797450130|46125</v>
      </c>
      <c r="AA591" t="str">
        <f>IF(Z591="","",IFERROR(LOOKUP(2,1/(#REF!=Z591),#REF!),""))</f>
        <v/>
      </c>
      <c r="AB591" t="str">
        <f>IF(Z591="","",IFERROR(LOOKUP(2,1/(#REF!=Z591),#REF!),""))</f>
        <v/>
      </c>
      <c r="AC591" t="e">
        <f>IF(Z591="","",COUNTIF(#REF!,Z591))</f>
        <v>#REF!</v>
      </c>
      <c r="AD591" t="e">
        <f>IF(A591="","",IF(AC591&gt;1,"REVISAR DUPLICADO",IF(AA591&lt;&gt;"","ACTUALIZADO POR EYR","SIN REPORTE EYR")))</f>
        <v>#REF!</v>
      </c>
    </row>
    <row r="592" spans="1:30" x14ac:dyDescent="0.3">
      <c r="A592" s="5" t="s">
        <v>3993</v>
      </c>
      <c r="B592" t="s">
        <v>3992</v>
      </c>
      <c r="C592" s="4" t="s">
        <v>3991</v>
      </c>
      <c r="D592" t="s">
        <v>21</v>
      </c>
      <c r="F592" t="s">
        <v>13</v>
      </c>
      <c r="G592" s="3">
        <v>8093523540</v>
      </c>
      <c r="H592" s="2">
        <v>46125</v>
      </c>
      <c r="K592" s="1">
        <f ca="1">IF(A592="","",IF(OR(L592="ENTREGADA",L592="RETORNADA",L592="ENTREGA DIGITAL"),0,MAX(0,5-NETWORKDAYS(H592+1,TODAY()))))</f>
        <v>0</v>
      </c>
      <c r="L592" t="str">
        <f>IF(A592="","",IFERROR(LOOKUP(2,1/(#REF!=Z592),#REF!),Y592))</f>
        <v>ENTREGA DIGITAL</v>
      </c>
      <c r="Y592" t="s">
        <v>1396</v>
      </c>
      <c r="Z592" t="str">
        <f>IF(A592="","",TEXT(A592,"0")&amp;"|"&amp;TEXT(H592,"0"))</f>
        <v>4921017797768060|46125</v>
      </c>
      <c r="AA592" t="str">
        <f>IF(Z592="","",IFERROR(LOOKUP(2,1/(#REF!=Z592),#REF!),""))</f>
        <v/>
      </c>
      <c r="AB592" t="str">
        <f>IF(Z592="","",IFERROR(LOOKUP(2,1/(#REF!=Z592),#REF!),""))</f>
        <v/>
      </c>
      <c r="AC592" t="e">
        <f>IF(Z592="","",COUNTIF(#REF!,Z592))</f>
        <v>#REF!</v>
      </c>
      <c r="AD592" t="e">
        <f>IF(A592="","",IF(AC592&gt;1,"REVISAR DUPLICADO",IF(AA592&lt;&gt;"","ACTUALIZADO POR EYR","SIN REPORTE EYR")))</f>
        <v>#REF!</v>
      </c>
    </row>
    <row r="593" spans="1:30" x14ac:dyDescent="0.3">
      <c r="A593" s="5" t="s">
        <v>3990</v>
      </c>
      <c r="B593" t="s">
        <v>3989</v>
      </c>
      <c r="C593" s="4" t="s">
        <v>3988</v>
      </c>
      <c r="D593" t="s">
        <v>1</v>
      </c>
      <c r="F593" t="s">
        <v>0</v>
      </c>
      <c r="G593" s="3">
        <v>8493604544</v>
      </c>
      <c r="H593" s="2">
        <v>46125</v>
      </c>
      <c r="I593" t="s">
        <v>1397</v>
      </c>
      <c r="K593" s="1">
        <f ca="1">IF(A593="","",IF(OR(L593="ENTREGADA",L593="RETORNADA",L593="ENTREGA DIGITAL"),0,MAX(0,5-NETWORKDAYS(H593+1,TODAY()))))</f>
        <v>0</v>
      </c>
      <c r="L593" t="str">
        <f>IF(A593="","",IFERROR(LOOKUP(2,1/(#REF!=Z593),#REF!),Y593))</f>
        <v>ENTREGA DIGITAL</v>
      </c>
      <c r="Y593" t="s">
        <v>1396</v>
      </c>
      <c r="Z593" t="str">
        <f>IF(A593="","",TEXT(A593,"0")&amp;"|"&amp;TEXT(H593,"0"))</f>
        <v>4921017722796960|46125</v>
      </c>
      <c r="AA593" t="str">
        <f>IF(Z593="","",IFERROR(LOOKUP(2,1/(#REF!=Z593),#REF!),""))</f>
        <v/>
      </c>
      <c r="AB593" t="str">
        <f>IF(Z593="","",IFERROR(LOOKUP(2,1/(#REF!=Z593),#REF!),""))</f>
        <v/>
      </c>
      <c r="AC593" t="e">
        <f>IF(Z593="","",COUNTIF(#REF!,Z593))</f>
        <v>#REF!</v>
      </c>
      <c r="AD593" t="e">
        <f>IF(A593="","",IF(AC593&gt;1,"REVISAR DUPLICADO",IF(AA593&lt;&gt;"","ACTUALIZADO POR EYR","SIN REPORTE EYR")))</f>
        <v>#REF!</v>
      </c>
    </row>
    <row r="594" spans="1:30" x14ac:dyDescent="0.3">
      <c r="A594" s="5" t="s">
        <v>3987</v>
      </c>
      <c r="B594" t="s">
        <v>3986</v>
      </c>
      <c r="C594" s="4" t="s">
        <v>3985</v>
      </c>
      <c r="D594" t="s">
        <v>1</v>
      </c>
      <c r="F594" t="s">
        <v>3984</v>
      </c>
      <c r="G594" s="3">
        <v>8093307799</v>
      </c>
      <c r="H594" s="2">
        <v>46125</v>
      </c>
      <c r="K594" s="1">
        <f ca="1">IF(A594="","",IF(OR(L594="ENTREGADA",L594="RETORNADA",L594="ENTREGA DIGITAL"),0,MAX(0,5-NETWORKDAYS(H594+1,TODAY()))))</f>
        <v>0</v>
      </c>
      <c r="L594" t="str">
        <f>IF(A594="","",IFERROR(LOOKUP(2,1/(#REF!=Z594),#REF!),Y594))</f>
        <v>ENTREGA DIGITAL</v>
      </c>
      <c r="Y594" t="s">
        <v>1396</v>
      </c>
      <c r="Z594" t="str">
        <f>IF(A594="","",TEXT(A594,"0")&amp;"|"&amp;TEXT(H594,"0"))</f>
        <v>4741017800104590|46125</v>
      </c>
      <c r="AA594" t="str">
        <f>IF(Z594="","",IFERROR(LOOKUP(2,1/(#REF!=Z594),#REF!),""))</f>
        <v/>
      </c>
      <c r="AB594" t="str">
        <f>IF(Z594="","",IFERROR(LOOKUP(2,1/(#REF!=Z594),#REF!),""))</f>
        <v/>
      </c>
      <c r="AC594" t="e">
        <f>IF(Z594="","",COUNTIF(#REF!,Z594))</f>
        <v>#REF!</v>
      </c>
      <c r="AD594" t="e">
        <f>IF(A594="","",IF(AC594&gt;1,"REVISAR DUPLICADO",IF(AA594&lt;&gt;"","ACTUALIZADO POR EYR","SIN REPORTE EYR")))</f>
        <v>#REF!</v>
      </c>
    </row>
    <row r="595" spans="1:30" x14ac:dyDescent="0.3">
      <c r="A595" s="5" t="s">
        <v>3983</v>
      </c>
      <c r="B595" t="s">
        <v>3982</v>
      </c>
      <c r="C595" s="4" t="s">
        <v>3981</v>
      </c>
      <c r="D595" t="s">
        <v>1</v>
      </c>
      <c r="F595" t="s">
        <v>13</v>
      </c>
      <c r="G595" s="3">
        <v>8097102106</v>
      </c>
      <c r="H595" s="2">
        <v>46125</v>
      </c>
      <c r="K595" s="1">
        <f ca="1">IF(A595="","",IF(OR(L595="ENTREGADA",L595="RETORNADA",L595="ENTREGA DIGITAL"),0,MAX(0,5-NETWORKDAYS(H595+1,TODAY()))))</f>
        <v>0</v>
      </c>
      <c r="L595" t="str">
        <f>IF(A595="","",IFERROR(LOOKUP(2,1/(#REF!=Z595),#REF!),Y595))</f>
        <v>ENTREGA DIGITAL</v>
      </c>
      <c r="Y595" t="s">
        <v>1396</v>
      </c>
      <c r="Z595" t="str">
        <f>IF(A595="","",TEXT(A595,"0")&amp;"|"&amp;TEXT(H595,"0"))</f>
        <v>4741017791141370|46125</v>
      </c>
      <c r="AA595" t="str">
        <f>IF(Z595="","",IFERROR(LOOKUP(2,1/(#REF!=Z595),#REF!),""))</f>
        <v/>
      </c>
      <c r="AB595" t="str">
        <f>IF(Z595="","",IFERROR(LOOKUP(2,1/(#REF!=Z595),#REF!),""))</f>
        <v/>
      </c>
      <c r="AC595" t="e">
        <f>IF(Z595="","",COUNTIF(#REF!,Z595))</f>
        <v>#REF!</v>
      </c>
      <c r="AD595" t="e">
        <f>IF(A595="","",IF(AC595&gt;1,"REVISAR DUPLICADO",IF(AA595&lt;&gt;"","ACTUALIZADO POR EYR","SIN REPORTE EYR")))</f>
        <v>#REF!</v>
      </c>
    </row>
    <row r="596" spans="1:30" x14ac:dyDescent="0.3">
      <c r="A596" s="5" t="s">
        <v>3980</v>
      </c>
      <c r="B596" t="s">
        <v>3979</v>
      </c>
      <c r="C596" s="4" t="s">
        <v>3978</v>
      </c>
      <c r="D596" t="s">
        <v>1</v>
      </c>
      <c r="E596" t="s">
        <v>214</v>
      </c>
      <c r="F596" t="s">
        <v>423</v>
      </c>
      <c r="G596" s="3">
        <v>8097298576</v>
      </c>
      <c r="H596" s="2">
        <v>46125</v>
      </c>
      <c r="I596" t="s">
        <v>1397</v>
      </c>
      <c r="K596" s="1">
        <f ca="1">IF(A596="","",IF(OR(L596="ENTREGADA",L596="RETORNADA",L596="ENTREGA DIGITAL"),0,MAX(0,5-NETWORKDAYS(H596+1,TODAY()))))</f>
        <v>0</v>
      </c>
      <c r="L596" t="str">
        <f>IF(A596="","",IFERROR(LOOKUP(2,1/(#REF!=Z596),#REF!),Y596))</f>
        <v>ENTREGA DIGITAL</v>
      </c>
      <c r="Y596" t="s">
        <v>1396</v>
      </c>
      <c r="Z596" t="str">
        <f>IF(A596="","",TEXT(A596,"0")&amp;"|"&amp;TEXT(H596,"0"))</f>
        <v>5227017795523940|46125</v>
      </c>
      <c r="AA596" t="str">
        <f>IF(Z596="","",IFERROR(LOOKUP(2,1/(#REF!=Z596),#REF!),""))</f>
        <v/>
      </c>
      <c r="AB596" t="str">
        <f>IF(Z596="","",IFERROR(LOOKUP(2,1/(#REF!=Z596),#REF!),""))</f>
        <v/>
      </c>
      <c r="AC596" t="e">
        <f>IF(Z596="","",COUNTIF(#REF!,Z596))</f>
        <v>#REF!</v>
      </c>
      <c r="AD596" t="e">
        <f>IF(A596="","",IF(AC596&gt;1,"REVISAR DUPLICADO",IF(AA596&lt;&gt;"","ACTUALIZADO POR EYR","SIN REPORTE EYR")))</f>
        <v>#REF!</v>
      </c>
    </row>
    <row r="597" spans="1:30" x14ac:dyDescent="0.3">
      <c r="A597" s="5" t="s">
        <v>3977</v>
      </c>
      <c r="B597" t="s">
        <v>3976</v>
      </c>
      <c r="C597" s="4" t="s">
        <v>3975</v>
      </c>
      <c r="D597" t="s">
        <v>1</v>
      </c>
      <c r="F597" t="s">
        <v>9</v>
      </c>
      <c r="G597" s="3">
        <v>8098548167</v>
      </c>
      <c r="H597" s="2">
        <v>46125</v>
      </c>
      <c r="K597" s="1">
        <f ca="1">IF(A597="","",IF(OR(L597="ENTREGADA",L597="RETORNADA",L597="ENTREGA DIGITAL"),0,MAX(0,5-NETWORKDAYS(H597+1,TODAY()))))</f>
        <v>0</v>
      </c>
      <c r="L597" t="str">
        <f>IF(A597="","",IFERROR(LOOKUP(2,1/(#REF!=Z597),#REF!),Y597))</f>
        <v>ENTREGA DIGITAL</v>
      </c>
      <c r="Y597" t="s">
        <v>1396</v>
      </c>
      <c r="Z597" t="str">
        <f>IF(A597="","",TEXT(A597,"0")&amp;"|"&amp;TEXT(H597,"0"))</f>
        <v>4921017797563300|46125</v>
      </c>
      <c r="AA597" t="str">
        <f>IF(Z597="","",IFERROR(LOOKUP(2,1/(#REF!=Z597),#REF!),""))</f>
        <v/>
      </c>
      <c r="AB597" t="str">
        <f>IF(Z597="","",IFERROR(LOOKUP(2,1/(#REF!=Z597),#REF!),""))</f>
        <v/>
      </c>
      <c r="AC597" t="e">
        <f>IF(Z597="","",COUNTIF(#REF!,Z597))</f>
        <v>#REF!</v>
      </c>
      <c r="AD597" t="e">
        <f>IF(A597="","",IF(AC597&gt;1,"REVISAR DUPLICADO",IF(AA597&lt;&gt;"","ACTUALIZADO POR EYR","SIN REPORTE EYR")))</f>
        <v>#REF!</v>
      </c>
    </row>
    <row r="598" spans="1:30" x14ac:dyDescent="0.3">
      <c r="A598" s="5" t="s">
        <v>3974</v>
      </c>
      <c r="B598" t="s">
        <v>3973</v>
      </c>
      <c r="C598" s="4" t="s">
        <v>3972</v>
      </c>
      <c r="D598" t="s">
        <v>1</v>
      </c>
      <c r="F598" t="s">
        <v>3971</v>
      </c>
      <c r="G598" s="3">
        <v>8099316985</v>
      </c>
      <c r="H598" s="2">
        <v>46125</v>
      </c>
      <c r="K598" s="1">
        <f ca="1">IF(A598="","",IF(OR(L598="ENTREGADA",L598="RETORNADA",L598="ENTREGA DIGITAL"),0,MAX(0,5-NETWORKDAYS(H598+1,TODAY()))))</f>
        <v>0</v>
      </c>
      <c r="L598" t="str">
        <f>IF(A598="","",IFERROR(LOOKUP(2,1/(#REF!=Z598),#REF!),Y598))</f>
        <v>ENTREGA DIGITAL</v>
      </c>
      <c r="Y598" t="s">
        <v>1396</v>
      </c>
      <c r="Z598" t="str">
        <f>IF(A598="","",TEXT(A598,"0")&amp;"|"&amp;TEXT(H598,"0"))</f>
        <v>4921017725784320|46125</v>
      </c>
      <c r="AA598" t="str">
        <f>IF(Z598="","",IFERROR(LOOKUP(2,1/(#REF!=Z598),#REF!),""))</f>
        <v/>
      </c>
      <c r="AB598" t="str">
        <f>IF(Z598="","",IFERROR(LOOKUP(2,1/(#REF!=Z598),#REF!),""))</f>
        <v/>
      </c>
      <c r="AC598" t="e">
        <f>IF(Z598="","",COUNTIF(#REF!,Z598))</f>
        <v>#REF!</v>
      </c>
      <c r="AD598" t="e">
        <f>IF(A598="","",IF(AC598&gt;1,"REVISAR DUPLICADO",IF(AA598&lt;&gt;"","ACTUALIZADO POR EYR","SIN REPORTE EYR")))</f>
        <v>#REF!</v>
      </c>
    </row>
    <row r="599" spans="1:30" x14ac:dyDescent="0.3">
      <c r="A599" s="5" t="s">
        <v>3970</v>
      </c>
      <c r="B599" t="s">
        <v>3969</v>
      </c>
      <c r="C599" s="4" t="s">
        <v>3968</v>
      </c>
      <c r="D599" t="s">
        <v>1</v>
      </c>
      <c r="F599" t="s">
        <v>13</v>
      </c>
      <c r="G599" s="3">
        <v>8098414866</v>
      </c>
      <c r="H599" s="2">
        <v>46125</v>
      </c>
      <c r="K599" s="1">
        <f ca="1">IF(A599="","",IF(OR(L599="ENTREGADA",L599="RETORNADA",L599="ENTREGA DIGITAL"),0,MAX(0,5-NETWORKDAYS(H599+1,TODAY()))))</f>
        <v>0</v>
      </c>
      <c r="L599" t="str">
        <f>IF(A599="","",IFERROR(LOOKUP(2,1/(#REF!=Z599),#REF!),Y599))</f>
        <v>RETORNADA</v>
      </c>
      <c r="Y599" t="s">
        <v>1857</v>
      </c>
      <c r="Z599" t="str">
        <f>IF(A599="","",TEXT(A599,"0")&amp;"|"&amp;TEXT(H599,"0"))</f>
        <v>4025017767382720|46125</v>
      </c>
      <c r="AA599" t="str">
        <f>IF(Z599="","",IFERROR(LOOKUP(2,1/(#REF!=Z599),#REF!),""))</f>
        <v/>
      </c>
      <c r="AB599" t="str">
        <f>IF(Z599="","",IFERROR(LOOKUP(2,1/(#REF!=Z599),#REF!),""))</f>
        <v/>
      </c>
      <c r="AC599" t="e">
        <f>IF(Z599="","",COUNTIF(#REF!,Z599))</f>
        <v>#REF!</v>
      </c>
      <c r="AD599" t="e">
        <f>IF(A599="","",IF(AC599&gt;1,"REVISAR DUPLICADO",IF(AA599&lt;&gt;"","ACTUALIZADO POR EYR","SIN REPORTE EYR")))</f>
        <v>#REF!</v>
      </c>
    </row>
    <row r="600" spans="1:30" x14ac:dyDescent="0.3">
      <c r="A600" s="5" t="s">
        <v>3967</v>
      </c>
      <c r="B600" t="s">
        <v>3966</v>
      </c>
      <c r="C600" s="4" t="s">
        <v>3965</v>
      </c>
      <c r="D600" t="s">
        <v>1</v>
      </c>
      <c r="F600" t="s">
        <v>0</v>
      </c>
      <c r="G600" s="3">
        <v>8092051510</v>
      </c>
      <c r="H600" s="2">
        <v>46125</v>
      </c>
      <c r="I600" t="s">
        <v>3742</v>
      </c>
      <c r="K600" s="1">
        <f ca="1">IF(A600="","",IF(OR(L600="ENTREGADA",L600="RETORNADA",L600="ENTREGA DIGITAL"),0,MAX(0,5-NETWORKDAYS(H600+1,TODAY()))))</f>
        <v>0</v>
      </c>
      <c r="L600" t="str">
        <f>IF(A600="","",IFERROR(LOOKUP(2,1/(#REF!=Z600),#REF!),Y600))</f>
        <v>ENTREGA DIGITAL</v>
      </c>
      <c r="Y600" t="s">
        <v>1396</v>
      </c>
      <c r="Z600" t="str">
        <f>IF(A600="","",TEXT(A600,"0")&amp;"|"&amp;TEXT(H600,"0"))</f>
        <v>4921017734907550|46125</v>
      </c>
      <c r="AA600" t="str">
        <f>IF(Z600="","",IFERROR(LOOKUP(2,1/(#REF!=Z600),#REF!),""))</f>
        <v/>
      </c>
      <c r="AB600" t="str">
        <f>IF(Z600="","",IFERROR(LOOKUP(2,1/(#REF!=Z600),#REF!),""))</f>
        <v/>
      </c>
      <c r="AC600" t="e">
        <f>IF(Z600="","",COUNTIF(#REF!,Z600))</f>
        <v>#REF!</v>
      </c>
      <c r="AD600" t="e">
        <f>IF(A600="","",IF(AC600&gt;1,"REVISAR DUPLICADO",IF(AA600&lt;&gt;"","ACTUALIZADO POR EYR","SIN REPORTE EYR")))</f>
        <v>#REF!</v>
      </c>
    </row>
    <row r="601" spans="1:30" x14ac:dyDescent="0.3">
      <c r="A601" s="5" t="s">
        <v>3964</v>
      </c>
      <c r="B601" t="s">
        <v>3963</v>
      </c>
      <c r="C601" s="4" t="s">
        <v>3962</v>
      </c>
      <c r="D601" t="s">
        <v>1</v>
      </c>
      <c r="F601" t="s">
        <v>0</v>
      </c>
      <c r="G601" s="3">
        <v>8294374236</v>
      </c>
      <c r="H601" s="2">
        <v>46125</v>
      </c>
      <c r="K601" s="1">
        <f ca="1">IF(A601="","",IF(OR(L601="ENTREGADA",L601="RETORNADA",L601="ENTREGA DIGITAL"),0,MAX(0,5-NETWORKDAYS(H601+1,TODAY()))))</f>
        <v>0</v>
      </c>
      <c r="L601" t="str">
        <f>IF(A601="","",IFERROR(LOOKUP(2,1/(#REF!=Z601),#REF!),Y601))</f>
        <v>ENTREGA DIGITAL</v>
      </c>
      <c r="Y601" t="s">
        <v>1396</v>
      </c>
      <c r="Z601" t="str">
        <f>IF(A601="","",TEXT(A601,"0")&amp;"|"&amp;TEXT(H601,"0"))</f>
        <v>4921017747923000|46125</v>
      </c>
      <c r="AA601" t="str">
        <f>IF(Z601="","",IFERROR(LOOKUP(2,1/(#REF!=Z601),#REF!),""))</f>
        <v/>
      </c>
      <c r="AB601" t="str">
        <f>IF(Z601="","",IFERROR(LOOKUP(2,1/(#REF!=Z601),#REF!),""))</f>
        <v/>
      </c>
      <c r="AC601" t="e">
        <f>IF(Z601="","",COUNTIF(#REF!,Z601))</f>
        <v>#REF!</v>
      </c>
      <c r="AD601" t="e">
        <f>IF(A601="","",IF(AC601&gt;1,"REVISAR DUPLICADO",IF(AA601&lt;&gt;"","ACTUALIZADO POR EYR","SIN REPORTE EYR")))</f>
        <v>#REF!</v>
      </c>
    </row>
    <row r="602" spans="1:30" x14ac:dyDescent="0.3">
      <c r="A602" s="5" t="s">
        <v>3961</v>
      </c>
      <c r="B602" t="s">
        <v>3960</v>
      </c>
      <c r="C602" s="4" t="s">
        <v>3959</v>
      </c>
      <c r="D602" t="s">
        <v>1</v>
      </c>
      <c r="F602" t="s">
        <v>0</v>
      </c>
      <c r="G602" s="3">
        <v>8295139448</v>
      </c>
      <c r="H602" s="2">
        <v>46125</v>
      </c>
      <c r="K602" s="1">
        <f ca="1">IF(A602="","",IF(OR(L602="ENTREGADA",L602="RETORNADA",L602="ENTREGA DIGITAL"),0,MAX(0,5-NETWORKDAYS(H602+1,TODAY()))))</f>
        <v>0</v>
      </c>
      <c r="L602" t="str">
        <f>IF(A602="","",IFERROR(LOOKUP(2,1/(#REF!=Z602),#REF!),Y602))</f>
        <v>ENTREGA DIGITAL</v>
      </c>
      <c r="Y602" t="s">
        <v>1396</v>
      </c>
      <c r="Z602" t="str">
        <f>IF(A602="","",TEXT(A602,"0")&amp;"|"&amp;TEXT(H602,"0"))</f>
        <v>4921017712921070|46125</v>
      </c>
      <c r="AA602" t="str">
        <f>IF(Z602="","",IFERROR(LOOKUP(2,1/(#REF!=Z602),#REF!),""))</f>
        <v/>
      </c>
      <c r="AB602" t="str">
        <f>IF(Z602="","",IFERROR(LOOKUP(2,1/(#REF!=Z602),#REF!),""))</f>
        <v/>
      </c>
      <c r="AC602" t="e">
        <f>IF(Z602="","",COUNTIF(#REF!,Z602))</f>
        <v>#REF!</v>
      </c>
      <c r="AD602" t="e">
        <f>IF(A602="","",IF(AC602&gt;1,"REVISAR DUPLICADO",IF(AA602&lt;&gt;"","ACTUALIZADO POR EYR","SIN REPORTE EYR")))</f>
        <v>#REF!</v>
      </c>
    </row>
    <row r="603" spans="1:30" x14ac:dyDescent="0.3">
      <c r="A603" s="5" t="s">
        <v>3958</v>
      </c>
      <c r="B603" t="s">
        <v>3957</v>
      </c>
      <c r="C603" s="4" t="s">
        <v>3956</v>
      </c>
      <c r="D603" t="s">
        <v>1</v>
      </c>
      <c r="F603" t="s">
        <v>3955</v>
      </c>
      <c r="G603" s="3">
        <v>8295571026</v>
      </c>
      <c r="H603" s="2">
        <v>46125</v>
      </c>
      <c r="K603" s="1">
        <f ca="1">IF(A603="","",IF(OR(L603="ENTREGADA",L603="RETORNADA",L603="ENTREGA DIGITAL"),0,MAX(0,5-NETWORKDAYS(H603+1,TODAY()))))</f>
        <v>0</v>
      </c>
      <c r="L603" t="str">
        <f>IF(A603="","",IFERROR(LOOKUP(2,1/(#REF!=Z603),#REF!),Y603))</f>
        <v>ENTREGA DIGITAL</v>
      </c>
      <c r="Y603" t="s">
        <v>1396</v>
      </c>
      <c r="Z603" t="str">
        <f>IF(A603="","",TEXT(A603,"0")&amp;"|"&amp;TEXT(H603,"0"))</f>
        <v>4921017746260280|46125</v>
      </c>
      <c r="AA603" t="str">
        <f>IF(Z603="","",IFERROR(LOOKUP(2,1/(#REF!=Z603),#REF!),""))</f>
        <v/>
      </c>
      <c r="AB603" t="str">
        <f>IF(Z603="","",IFERROR(LOOKUP(2,1/(#REF!=Z603),#REF!),""))</f>
        <v/>
      </c>
      <c r="AC603" t="e">
        <f>IF(Z603="","",COUNTIF(#REF!,Z603))</f>
        <v>#REF!</v>
      </c>
      <c r="AD603" t="e">
        <f>IF(A603="","",IF(AC603&gt;1,"REVISAR DUPLICADO",IF(AA603&lt;&gt;"","ACTUALIZADO POR EYR","SIN REPORTE EYR")))</f>
        <v>#REF!</v>
      </c>
    </row>
    <row r="604" spans="1:30" x14ac:dyDescent="0.3">
      <c r="A604" s="5" t="s">
        <v>2681</v>
      </c>
      <c r="B604" t="s">
        <v>2680</v>
      </c>
      <c r="C604" s="4" t="s">
        <v>2679</v>
      </c>
      <c r="D604" t="s">
        <v>1</v>
      </c>
      <c r="F604" t="s">
        <v>3954</v>
      </c>
      <c r="G604" s="3">
        <v>8094806531</v>
      </c>
      <c r="H604" s="2">
        <v>46125</v>
      </c>
      <c r="K604" s="1">
        <f ca="1">IF(A604="","",IF(OR(L604="ENTREGADA",L604="RETORNADA",L604="ENTREGA DIGITAL"),0,MAX(0,5-NETWORKDAYS(H604+1,TODAY()))))</f>
        <v>0</v>
      </c>
      <c r="L604" t="str">
        <f>IF(A604="","",IFERROR(LOOKUP(2,1/(#REF!=Z604),#REF!),Y604))</f>
        <v>RETORNADA</v>
      </c>
      <c r="Y604" t="s">
        <v>1857</v>
      </c>
      <c r="Z604" t="str">
        <f>IF(A604="","",TEXT(A604,"0")&amp;"|"&amp;TEXT(H604,"0"))</f>
        <v>4966017552340740|46125</v>
      </c>
      <c r="AA604" t="str">
        <f>IF(Z604="","",IFERROR(LOOKUP(2,1/(#REF!=Z604),#REF!),""))</f>
        <v/>
      </c>
      <c r="AB604" t="str">
        <f>IF(Z604="","",IFERROR(LOOKUP(2,1/(#REF!=Z604),#REF!),""))</f>
        <v/>
      </c>
      <c r="AC604" t="e">
        <f>IF(Z604="","",COUNTIF(#REF!,Z604))</f>
        <v>#REF!</v>
      </c>
      <c r="AD604" t="e">
        <f>IF(A604="","",IF(AC604&gt;1,"REVISAR DUPLICADO",IF(AA604&lt;&gt;"","ACTUALIZADO POR EYR","SIN REPORTE EYR")))</f>
        <v>#REF!</v>
      </c>
    </row>
    <row r="605" spans="1:30" x14ac:dyDescent="0.3">
      <c r="A605" s="5" t="s">
        <v>3953</v>
      </c>
      <c r="B605" t="s">
        <v>3952</v>
      </c>
      <c r="C605" s="4" t="s">
        <v>3951</v>
      </c>
      <c r="D605" t="s">
        <v>1</v>
      </c>
      <c r="F605" t="s">
        <v>0</v>
      </c>
      <c r="G605" s="3">
        <v>8098054414</v>
      </c>
      <c r="H605" s="2">
        <v>46125</v>
      </c>
      <c r="I605" t="s">
        <v>3742</v>
      </c>
      <c r="K605" s="1">
        <f ca="1">IF(A605="","",IF(OR(L605="ENTREGADA",L605="RETORNADA",L605="ENTREGA DIGITAL"),0,MAX(0,5-NETWORKDAYS(H605+1,TODAY()))))</f>
        <v>0</v>
      </c>
      <c r="L605" t="str">
        <f>IF(A605="","",IFERROR(LOOKUP(2,1/(#REF!=Z605),#REF!),Y605))</f>
        <v>ENTREGA DIGITAL</v>
      </c>
      <c r="Y605" t="s">
        <v>1396</v>
      </c>
      <c r="Z605" t="str">
        <f>IF(A605="","",TEXT(A605,"0")&amp;"|"&amp;TEXT(H605,"0"))</f>
        <v>4025017742084320|46125</v>
      </c>
      <c r="AA605" t="str">
        <f>IF(Z605="","",IFERROR(LOOKUP(2,1/(#REF!=Z605),#REF!),""))</f>
        <v/>
      </c>
      <c r="AB605" t="str">
        <f>IF(Z605="","",IFERROR(LOOKUP(2,1/(#REF!=Z605),#REF!),""))</f>
        <v/>
      </c>
      <c r="AC605" t="e">
        <f>IF(Z605="","",COUNTIF(#REF!,Z605))</f>
        <v>#REF!</v>
      </c>
      <c r="AD605" t="e">
        <f>IF(A605="","",IF(AC605&gt;1,"REVISAR DUPLICADO",IF(AA605&lt;&gt;"","ACTUALIZADO POR EYR","SIN REPORTE EYR")))</f>
        <v>#REF!</v>
      </c>
    </row>
    <row r="606" spans="1:30" x14ac:dyDescent="0.3">
      <c r="A606" s="5" t="s">
        <v>3950</v>
      </c>
      <c r="B606" t="s">
        <v>3949</v>
      </c>
      <c r="C606" s="4" t="s">
        <v>3948</v>
      </c>
      <c r="D606" t="s">
        <v>1</v>
      </c>
      <c r="F606" t="s">
        <v>3947</v>
      </c>
      <c r="G606" s="3">
        <v>8492512711</v>
      </c>
      <c r="H606" s="2">
        <v>46125</v>
      </c>
      <c r="K606" s="1">
        <f ca="1">IF(A606="","",IF(OR(L606="ENTREGADA",L606="RETORNADA",L606="ENTREGA DIGITAL"),0,MAX(0,5-NETWORKDAYS(H606+1,TODAY()))))</f>
        <v>0</v>
      </c>
      <c r="L606" t="str">
        <f>IF(A606="","",IFERROR(LOOKUP(2,1/(#REF!=Z606),#REF!),Y606))</f>
        <v>ENTREGA DIGITAL</v>
      </c>
      <c r="Y606" t="s">
        <v>1396</v>
      </c>
      <c r="Z606" t="str">
        <f>IF(A606="","",TEXT(A606,"0")&amp;"|"&amp;TEXT(H606,"0"))</f>
        <v>4921017723479230|46125</v>
      </c>
      <c r="AA606" t="str">
        <f>IF(Z606="","",IFERROR(LOOKUP(2,1/(#REF!=Z606),#REF!),""))</f>
        <v/>
      </c>
      <c r="AB606" t="str">
        <f>IF(Z606="","",IFERROR(LOOKUP(2,1/(#REF!=Z606),#REF!),""))</f>
        <v/>
      </c>
      <c r="AC606" t="e">
        <f>IF(Z606="","",COUNTIF(#REF!,Z606))</f>
        <v>#REF!</v>
      </c>
      <c r="AD606" t="e">
        <f>IF(A606="","",IF(AC606&gt;1,"REVISAR DUPLICADO",IF(AA606&lt;&gt;"","ACTUALIZADO POR EYR","SIN REPORTE EYR")))</f>
        <v>#REF!</v>
      </c>
    </row>
    <row r="607" spans="1:30" x14ac:dyDescent="0.3">
      <c r="A607" s="5" t="s">
        <v>1820</v>
      </c>
      <c r="B607" t="s">
        <v>1819</v>
      </c>
      <c r="C607" s="4" t="s">
        <v>1818</v>
      </c>
      <c r="D607" t="s">
        <v>1</v>
      </c>
      <c r="F607" t="s">
        <v>0</v>
      </c>
      <c r="G607" s="3">
        <v>8093605438</v>
      </c>
      <c r="H607" s="2">
        <v>46125</v>
      </c>
      <c r="K607" s="1">
        <f ca="1">IF(A607="","",IF(OR(L607="ENTREGADA",L607="RETORNADA",L607="ENTREGA DIGITAL"),0,MAX(0,5-NETWORKDAYS(H607+1,TODAY()))))</f>
        <v>0</v>
      </c>
      <c r="L607" t="str">
        <f>IF(A607="","",IFERROR(LOOKUP(2,1/(#REF!=Z607),#REF!),Y607))</f>
        <v>RETORNADA</v>
      </c>
      <c r="Y607" t="s">
        <v>1857</v>
      </c>
      <c r="Z607" t="str">
        <f>IF(A607="","",TEXT(A607,"0")&amp;"|"&amp;TEXT(H607,"0"))</f>
        <v>4921017553630860|46125</v>
      </c>
      <c r="AA607" t="str">
        <f>IF(Z607="","",IFERROR(LOOKUP(2,1/(#REF!=Z607),#REF!),""))</f>
        <v/>
      </c>
      <c r="AB607" t="str">
        <f>IF(Z607="","",IFERROR(LOOKUP(2,1/(#REF!=Z607),#REF!),""))</f>
        <v/>
      </c>
      <c r="AC607" t="e">
        <f>IF(Z607="","",COUNTIF(#REF!,Z607))</f>
        <v>#REF!</v>
      </c>
      <c r="AD607" t="e">
        <f>IF(A607="","",IF(AC607&gt;1,"REVISAR DUPLICADO",IF(AA607&lt;&gt;"","ACTUALIZADO POR EYR","SIN REPORTE EYR")))</f>
        <v>#REF!</v>
      </c>
    </row>
    <row r="608" spans="1:30" x14ac:dyDescent="0.3">
      <c r="A608" s="5" t="s">
        <v>3946</v>
      </c>
      <c r="B608" t="s">
        <v>3945</v>
      </c>
      <c r="C608" s="4" t="s">
        <v>3944</v>
      </c>
      <c r="D608" t="s">
        <v>1</v>
      </c>
      <c r="F608" t="s">
        <v>3943</v>
      </c>
      <c r="G608" s="3">
        <v>8095501374</v>
      </c>
      <c r="H608" s="2">
        <v>46125</v>
      </c>
      <c r="K608" s="1">
        <f ca="1">IF(A608="","",IF(OR(L608="ENTREGADA",L608="RETORNADA",L608="ENTREGA DIGITAL"),0,MAX(0,5-NETWORKDAYS(H608+1,TODAY()))))</f>
        <v>0</v>
      </c>
      <c r="L608" t="str">
        <f>IF(A608="","",IFERROR(LOOKUP(2,1/(#REF!=Z608),#REF!),Y608))</f>
        <v>ENTREGA DIGITAL</v>
      </c>
      <c r="Y608" t="s">
        <v>1396</v>
      </c>
      <c r="Z608" t="str">
        <f>IF(A608="","",TEXT(A608,"0")&amp;"|"&amp;TEXT(H608,"0"))</f>
        <v>5188017620564370|46125</v>
      </c>
      <c r="AA608" t="str">
        <f>IF(Z608="","",IFERROR(LOOKUP(2,1/(#REF!=Z608),#REF!),""))</f>
        <v/>
      </c>
      <c r="AB608" t="str">
        <f>IF(Z608="","",IFERROR(LOOKUP(2,1/(#REF!=Z608),#REF!),""))</f>
        <v/>
      </c>
      <c r="AC608" t="e">
        <f>IF(Z608="","",COUNTIF(#REF!,Z608))</f>
        <v>#REF!</v>
      </c>
      <c r="AD608" t="e">
        <f>IF(A608="","",IF(AC608&gt;1,"REVISAR DUPLICADO",IF(AA608&lt;&gt;"","ACTUALIZADO POR EYR","SIN REPORTE EYR")))</f>
        <v>#REF!</v>
      </c>
    </row>
    <row r="609" spans="1:30" x14ac:dyDescent="0.3">
      <c r="A609" s="5" t="s">
        <v>3942</v>
      </c>
      <c r="B609" t="s">
        <v>3941</v>
      </c>
      <c r="C609" s="4" t="s">
        <v>3940</v>
      </c>
      <c r="D609" t="s">
        <v>1</v>
      </c>
      <c r="F609" t="s">
        <v>3939</v>
      </c>
      <c r="G609" s="3">
        <v>8493564409</v>
      </c>
      <c r="H609" s="2">
        <v>46125</v>
      </c>
      <c r="I609" t="s">
        <v>3742</v>
      </c>
      <c r="K609" s="1">
        <f ca="1">IF(A609="","",IF(OR(L609="ENTREGADA",L609="RETORNADA",L609="ENTREGA DIGITAL"),0,MAX(0,5-NETWORKDAYS(H609+1,TODAY()))))</f>
        <v>0</v>
      </c>
      <c r="L609" t="str">
        <f>IF(A609="","",IFERROR(LOOKUP(2,1/(#REF!=Z609),#REF!),Y609))</f>
        <v>ENTREGA DIGITAL</v>
      </c>
      <c r="Y609" t="s">
        <v>1396</v>
      </c>
      <c r="Z609" t="str">
        <f>IF(A609="","",TEXT(A609,"0")&amp;"|"&amp;TEXT(H609,"0"))</f>
        <v>4025017703333060|46125</v>
      </c>
      <c r="AA609" t="str">
        <f>IF(Z609="","",IFERROR(LOOKUP(2,1/(#REF!=Z609),#REF!),""))</f>
        <v/>
      </c>
      <c r="AB609" t="str">
        <f>IF(Z609="","",IFERROR(LOOKUP(2,1/(#REF!=Z609),#REF!),""))</f>
        <v/>
      </c>
      <c r="AC609" t="e">
        <f>IF(Z609="","",COUNTIF(#REF!,Z609))</f>
        <v>#REF!</v>
      </c>
      <c r="AD609" t="e">
        <f>IF(A609="","",IF(AC609&gt;1,"REVISAR DUPLICADO",IF(AA609&lt;&gt;"","ACTUALIZADO POR EYR","SIN REPORTE EYR")))</f>
        <v>#REF!</v>
      </c>
    </row>
    <row r="610" spans="1:30" x14ac:dyDescent="0.3">
      <c r="A610" s="5" t="s">
        <v>3938</v>
      </c>
      <c r="B610" t="s">
        <v>3937</v>
      </c>
      <c r="C610" s="4" t="s">
        <v>3936</v>
      </c>
      <c r="D610" t="s">
        <v>1</v>
      </c>
      <c r="F610" t="s">
        <v>1760</v>
      </c>
      <c r="G610" s="3">
        <v>8298941741</v>
      </c>
      <c r="H610" s="2">
        <v>46125</v>
      </c>
      <c r="K610" s="1">
        <f ca="1">IF(A610="","",IF(OR(L610="ENTREGADA",L610="RETORNADA",L610="ENTREGA DIGITAL"),0,MAX(0,5-NETWORKDAYS(H610+1,TODAY()))))</f>
        <v>0</v>
      </c>
      <c r="L610" t="str">
        <f>IF(A610="","",IFERROR(LOOKUP(2,1/(#REF!=Z610),#REF!),Y610))</f>
        <v>ENTREGA DIGITAL</v>
      </c>
      <c r="Y610" t="s">
        <v>1396</v>
      </c>
      <c r="Z610" t="str">
        <f>IF(A610="","",TEXT(A610,"0")&amp;"|"&amp;TEXT(H610,"0"))</f>
        <v>5415017795239100|46125</v>
      </c>
      <c r="AA610" t="str">
        <f>IF(Z610="","",IFERROR(LOOKUP(2,1/(#REF!=Z610),#REF!),""))</f>
        <v/>
      </c>
      <c r="AB610" t="str">
        <f>IF(Z610="","",IFERROR(LOOKUP(2,1/(#REF!=Z610),#REF!),""))</f>
        <v/>
      </c>
      <c r="AC610" t="e">
        <f>IF(Z610="","",COUNTIF(#REF!,Z610))</f>
        <v>#REF!</v>
      </c>
      <c r="AD610" t="e">
        <f>IF(A610="","",IF(AC610&gt;1,"REVISAR DUPLICADO",IF(AA610&lt;&gt;"","ACTUALIZADO POR EYR","SIN REPORTE EYR")))</f>
        <v>#REF!</v>
      </c>
    </row>
    <row r="611" spans="1:30" x14ac:dyDescent="0.3">
      <c r="A611" s="5" t="s">
        <v>3935</v>
      </c>
      <c r="B611" t="s">
        <v>3934</v>
      </c>
      <c r="C611" s="4" t="s">
        <v>3933</v>
      </c>
      <c r="D611" t="s">
        <v>1</v>
      </c>
      <c r="E611" t="s">
        <v>214</v>
      </c>
      <c r="F611" t="s">
        <v>3932</v>
      </c>
      <c r="G611" s="3">
        <v>8098384834</v>
      </c>
      <c r="H611" s="2">
        <v>46125</v>
      </c>
      <c r="I611" t="s">
        <v>3742</v>
      </c>
      <c r="K611" s="1">
        <f ca="1">IF(A611="","",IF(OR(L611="ENTREGADA",L611="RETORNADA",L611="ENTREGA DIGITAL"),0,MAX(0,5-NETWORKDAYS(H611+1,TODAY()))))</f>
        <v>0</v>
      </c>
      <c r="L611" t="str">
        <f>IF(A611="","",IFERROR(LOOKUP(2,1/(#REF!=Z611),#REF!),Y611))</f>
        <v>ENTREGA DIGITAL</v>
      </c>
      <c r="Y611" t="s">
        <v>1396</v>
      </c>
      <c r="Z611" t="str">
        <f>IF(A611="","",TEXT(A611,"0")&amp;"|"&amp;TEXT(H611,"0"))</f>
        <v>4921017802873560|46125</v>
      </c>
      <c r="AA611" t="str">
        <f>IF(Z611="","",IFERROR(LOOKUP(2,1/(#REF!=Z611),#REF!),""))</f>
        <v/>
      </c>
      <c r="AB611" t="str">
        <f>IF(Z611="","",IFERROR(LOOKUP(2,1/(#REF!=Z611),#REF!),""))</f>
        <v/>
      </c>
      <c r="AC611" t="e">
        <f>IF(Z611="","",COUNTIF(#REF!,Z611))</f>
        <v>#REF!</v>
      </c>
      <c r="AD611" t="e">
        <f>IF(A611="","",IF(AC611&gt;1,"REVISAR DUPLICADO",IF(AA611&lt;&gt;"","ACTUALIZADO POR EYR","SIN REPORTE EYR")))</f>
        <v>#REF!</v>
      </c>
    </row>
    <row r="612" spans="1:30" x14ac:dyDescent="0.3">
      <c r="A612" s="5" t="s">
        <v>3931</v>
      </c>
      <c r="B612" t="s">
        <v>3930</v>
      </c>
      <c r="C612" s="4" t="s">
        <v>3929</v>
      </c>
      <c r="D612" t="s">
        <v>1</v>
      </c>
      <c r="E612" t="s">
        <v>214</v>
      </c>
      <c r="F612" t="s">
        <v>648</v>
      </c>
      <c r="G612" s="3">
        <v>8097166002</v>
      </c>
      <c r="H612" s="2">
        <v>46125</v>
      </c>
      <c r="K612" s="1">
        <f ca="1">IF(A612="","",IF(OR(L612="ENTREGADA",L612="RETORNADA",L612="ENTREGA DIGITAL"),0,MAX(0,5-NETWORKDAYS(H612+1,TODAY()))))</f>
        <v>0</v>
      </c>
      <c r="L612" t="str">
        <f>IF(A612="","",IFERROR(LOOKUP(2,1/(#REF!=Z612),#REF!),Y612))</f>
        <v>RETORNADA</v>
      </c>
      <c r="Y612" t="s">
        <v>1857</v>
      </c>
      <c r="Z612" t="str">
        <f>IF(A612="","",TEXT(A612,"0")&amp;"|"&amp;TEXT(H612,"0"))</f>
        <v>4025017799257620|46125</v>
      </c>
      <c r="AA612" t="str">
        <f>IF(Z612="","",IFERROR(LOOKUP(2,1/(#REF!=Z612),#REF!),""))</f>
        <v/>
      </c>
      <c r="AB612" t="str">
        <f>IF(Z612="","",IFERROR(LOOKUP(2,1/(#REF!=Z612),#REF!),""))</f>
        <v/>
      </c>
      <c r="AC612" t="e">
        <f>IF(Z612="","",COUNTIF(#REF!,Z612))</f>
        <v>#REF!</v>
      </c>
      <c r="AD612" t="e">
        <f>IF(A612="","",IF(AC612&gt;1,"REVISAR DUPLICADO",IF(AA612&lt;&gt;"","ACTUALIZADO POR EYR","SIN REPORTE EYR")))</f>
        <v>#REF!</v>
      </c>
    </row>
    <row r="613" spans="1:30" x14ac:dyDescent="0.3">
      <c r="A613" s="5" t="s">
        <v>2574</v>
      </c>
      <c r="B613" t="s">
        <v>2573</v>
      </c>
      <c r="C613" s="4" t="s">
        <v>2572</v>
      </c>
      <c r="D613" t="s">
        <v>1</v>
      </c>
      <c r="F613" t="s">
        <v>13</v>
      </c>
      <c r="G613" s="3">
        <v>8296588854</v>
      </c>
      <c r="H613" s="2">
        <v>46125</v>
      </c>
      <c r="K613" s="1">
        <f ca="1">IF(A613="","",IF(OR(L613="ENTREGADA",L613="RETORNADA",L613="ENTREGA DIGITAL"),0,MAX(0,5-NETWORKDAYS(H613+1,TODAY()))))</f>
        <v>0</v>
      </c>
      <c r="L613" t="str">
        <f>IF(A613="","",IFERROR(LOOKUP(2,1/(#REF!=Z613),#REF!),Y613))</f>
        <v>RETORNADA</v>
      </c>
      <c r="Y613" t="s">
        <v>1857</v>
      </c>
      <c r="Z613" t="str">
        <f>IF(A613="","",TEXT(A613,"0")&amp;"|"&amp;TEXT(H613,"0"))</f>
        <v>5188017796066100|46125</v>
      </c>
      <c r="AA613" t="str">
        <f>IF(Z613="","",IFERROR(LOOKUP(2,1/(#REF!=Z613),#REF!),""))</f>
        <v/>
      </c>
      <c r="AB613" t="str">
        <f>IF(Z613="","",IFERROR(LOOKUP(2,1/(#REF!=Z613),#REF!),""))</f>
        <v/>
      </c>
      <c r="AC613" t="e">
        <f>IF(Z613="","",COUNTIF(#REF!,Z613))</f>
        <v>#REF!</v>
      </c>
      <c r="AD613" t="e">
        <f>IF(A613="","",IF(AC613&gt;1,"REVISAR DUPLICADO",IF(AA613&lt;&gt;"","ACTUALIZADO POR EYR","SIN REPORTE EYR")))</f>
        <v>#REF!</v>
      </c>
    </row>
    <row r="614" spans="1:30" x14ac:dyDescent="0.3">
      <c r="A614" s="5" t="s">
        <v>3928</v>
      </c>
      <c r="B614" t="s">
        <v>3927</v>
      </c>
      <c r="C614" s="4" t="s">
        <v>3926</v>
      </c>
      <c r="D614" t="s">
        <v>77</v>
      </c>
      <c r="F614" t="s">
        <v>13</v>
      </c>
      <c r="G614" s="3">
        <v>3722955</v>
      </c>
      <c r="H614" s="2">
        <v>46125</v>
      </c>
      <c r="K614" s="1">
        <f ca="1">IF(A614="","",IF(OR(L614="ENTREGADA",L614="RETORNADA",L614="ENTREGA DIGITAL"),0,MAX(0,5-NETWORKDAYS(H614+1,TODAY()))))</f>
        <v>0</v>
      </c>
      <c r="L614" t="str">
        <f>IF(A614="","",IFERROR(LOOKUP(2,1/(#REF!=Z614),#REF!),Y614))</f>
        <v>ENTREGADA</v>
      </c>
      <c r="Y614" t="s">
        <v>1956</v>
      </c>
      <c r="Z614" t="str">
        <f>IF(A614="","",TEXT(A614,"0")&amp;"|"&amp;TEXT(H614,"0"))</f>
        <v>4921017798051830|46125</v>
      </c>
      <c r="AA614" t="str">
        <f>IF(Z614="","",IFERROR(LOOKUP(2,1/(#REF!=Z614),#REF!),""))</f>
        <v/>
      </c>
      <c r="AB614" t="str">
        <f>IF(Z614="","",IFERROR(LOOKUP(2,1/(#REF!=Z614),#REF!),""))</f>
        <v/>
      </c>
      <c r="AC614" t="e">
        <f>IF(Z614="","",COUNTIF(#REF!,Z614))</f>
        <v>#REF!</v>
      </c>
      <c r="AD614" t="e">
        <f>IF(A614="","",IF(AC614&gt;1,"REVISAR DUPLICADO",IF(AA614&lt;&gt;"","ACTUALIZADO POR EYR","SIN REPORTE EYR")))</f>
        <v>#REF!</v>
      </c>
    </row>
    <row r="615" spans="1:30" x14ac:dyDescent="0.3">
      <c r="A615" s="5" t="s">
        <v>3925</v>
      </c>
      <c r="B615" t="s">
        <v>3924</v>
      </c>
      <c r="C615" s="4" t="s">
        <v>3923</v>
      </c>
      <c r="D615" t="s">
        <v>77</v>
      </c>
      <c r="F615" t="s">
        <v>13</v>
      </c>
      <c r="G615" s="3">
        <v>8292859812</v>
      </c>
      <c r="H615" s="2">
        <v>46125</v>
      </c>
      <c r="K615" s="1">
        <f ca="1">IF(A615="","",IF(OR(L615="ENTREGADA",L615="RETORNADA",L615="ENTREGA DIGITAL"),0,MAX(0,5-NETWORKDAYS(H615+1,TODAY()))))</f>
        <v>0</v>
      </c>
      <c r="L615" t="str">
        <f>IF(A615="","",IFERROR(LOOKUP(2,1/(#REF!=Z615),#REF!),Y615))</f>
        <v>ENTREGADA</v>
      </c>
      <c r="Y615" t="s">
        <v>1956</v>
      </c>
      <c r="Z615" t="str">
        <f>IF(A615="","",TEXT(A615,"0")&amp;"|"&amp;TEXT(H615,"0"))</f>
        <v>4921017623545150|46125</v>
      </c>
      <c r="AA615" t="str">
        <f>IF(Z615="","",IFERROR(LOOKUP(2,1/(#REF!=Z615),#REF!),""))</f>
        <v/>
      </c>
      <c r="AB615" t="str">
        <f>IF(Z615="","",IFERROR(LOOKUP(2,1/(#REF!=Z615),#REF!),""))</f>
        <v/>
      </c>
      <c r="AC615" t="e">
        <f>IF(Z615="","",COUNTIF(#REF!,Z615))</f>
        <v>#REF!</v>
      </c>
      <c r="AD615" t="e">
        <f>IF(A615="","",IF(AC615&gt;1,"REVISAR DUPLICADO",IF(AA615&lt;&gt;"","ACTUALIZADO POR EYR","SIN REPORTE EYR")))</f>
        <v>#REF!</v>
      </c>
    </row>
    <row r="616" spans="1:30" x14ac:dyDescent="0.3">
      <c r="A616" s="5" t="s">
        <v>3922</v>
      </c>
      <c r="B616" t="s">
        <v>3921</v>
      </c>
      <c r="C616" s="4" t="s">
        <v>3920</v>
      </c>
      <c r="D616" t="s">
        <v>77</v>
      </c>
      <c r="F616" t="s">
        <v>3919</v>
      </c>
      <c r="G616" s="3">
        <v>8299127004</v>
      </c>
      <c r="H616" s="2">
        <v>46125</v>
      </c>
      <c r="I616" t="s">
        <v>1397</v>
      </c>
      <c r="K616" s="1">
        <f ca="1">IF(A616="","",IF(OR(L616="ENTREGADA",L616="RETORNADA",L616="ENTREGA DIGITAL"),0,MAX(0,5-NETWORKDAYS(H616+1,TODAY()))))</f>
        <v>0</v>
      </c>
      <c r="L616" t="str">
        <f>IF(A616="","",IFERROR(LOOKUP(2,1/(#REF!=Z616),#REF!),Y616))</f>
        <v>ENTREGADA</v>
      </c>
      <c r="Y616" t="s">
        <v>1956</v>
      </c>
      <c r="Z616" t="str">
        <f>IF(A616="","",TEXT(A616,"0")&amp;"|"&amp;TEXT(H616,"0"))</f>
        <v>4741017799850690|46125</v>
      </c>
      <c r="AA616" t="str">
        <f>IF(Z616="","",IFERROR(LOOKUP(2,1/(#REF!=Z616),#REF!),""))</f>
        <v/>
      </c>
      <c r="AB616" t="str">
        <f>IF(Z616="","",IFERROR(LOOKUP(2,1/(#REF!=Z616),#REF!),""))</f>
        <v/>
      </c>
      <c r="AC616" t="e">
        <f>IF(Z616="","",COUNTIF(#REF!,Z616))</f>
        <v>#REF!</v>
      </c>
      <c r="AD616" t="e">
        <f>IF(A616="","",IF(AC616&gt;1,"REVISAR DUPLICADO",IF(AA616&lt;&gt;"","ACTUALIZADO POR EYR","SIN REPORTE EYR")))</f>
        <v>#REF!</v>
      </c>
    </row>
    <row r="617" spans="1:30" x14ac:dyDescent="0.3">
      <c r="A617" s="5" t="s">
        <v>3918</v>
      </c>
      <c r="B617" t="s">
        <v>3917</v>
      </c>
      <c r="C617" s="4" t="s">
        <v>3916</v>
      </c>
      <c r="D617" t="s">
        <v>77</v>
      </c>
      <c r="F617" t="s">
        <v>13</v>
      </c>
      <c r="G617" s="3">
        <v>8095540138</v>
      </c>
      <c r="H617" s="2">
        <v>46125</v>
      </c>
      <c r="K617" s="1">
        <f ca="1">IF(A617="","",IF(OR(L617="ENTREGADA",L617="RETORNADA",L617="ENTREGA DIGITAL"),0,MAX(0,5-NETWORKDAYS(H617+1,TODAY()))))</f>
        <v>0</v>
      </c>
      <c r="L617" t="str">
        <f>IF(A617="","",IFERROR(LOOKUP(2,1/(#REF!=Z617),#REF!),Y617))</f>
        <v>RETORNADA</v>
      </c>
      <c r="Y617" t="s">
        <v>1857</v>
      </c>
      <c r="Z617" t="str">
        <f>IF(A617="","",TEXT(A617,"0")&amp;"|"&amp;TEXT(H617,"0"))</f>
        <v>4173017803812490|46125</v>
      </c>
      <c r="AA617" t="str">
        <f>IF(Z617="","",IFERROR(LOOKUP(2,1/(#REF!=Z617),#REF!),""))</f>
        <v/>
      </c>
      <c r="AB617" t="str">
        <f>IF(Z617="","",IFERROR(LOOKUP(2,1/(#REF!=Z617),#REF!),""))</f>
        <v/>
      </c>
      <c r="AC617" t="e">
        <f>IF(Z617="","",COUNTIF(#REF!,Z617))</f>
        <v>#REF!</v>
      </c>
      <c r="AD617" t="e">
        <f>IF(A617="","",IF(AC617&gt;1,"REVISAR DUPLICADO",IF(AA617&lt;&gt;"","ACTUALIZADO POR EYR","SIN REPORTE EYR")))</f>
        <v>#REF!</v>
      </c>
    </row>
    <row r="618" spans="1:30" x14ac:dyDescent="0.3">
      <c r="A618" s="5" t="s">
        <v>3915</v>
      </c>
      <c r="B618" t="s">
        <v>3914</v>
      </c>
      <c r="C618" s="4" t="s">
        <v>3913</v>
      </c>
      <c r="D618" t="s">
        <v>77</v>
      </c>
      <c r="F618" t="s">
        <v>0</v>
      </c>
      <c r="G618" s="3">
        <v>8297905707</v>
      </c>
      <c r="H618" s="2">
        <v>46125</v>
      </c>
      <c r="I618" t="s">
        <v>3742</v>
      </c>
      <c r="K618" s="1">
        <f ca="1">IF(A618="","",IF(OR(L618="ENTREGADA",L618="RETORNADA",L618="ENTREGA DIGITAL"),0,MAX(0,5-NETWORKDAYS(H618+1,TODAY()))))</f>
        <v>0</v>
      </c>
      <c r="L618" t="str">
        <f>IF(A618="","",IFERROR(LOOKUP(2,1/(#REF!=Z618),#REF!),Y618))</f>
        <v>ENTREGADA</v>
      </c>
      <c r="Y618" t="s">
        <v>1956</v>
      </c>
      <c r="Z618" t="str">
        <f>IF(A618="","",TEXT(A618,"0")&amp;"|"&amp;TEXT(H618,"0"))</f>
        <v>4921017720977130|46125</v>
      </c>
      <c r="AA618" t="str">
        <f>IF(Z618="","",IFERROR(LOOKUP(2,1/(#REF!=Z618),#REF!),""))</f>
        <v/>
      </c>
      <c r="AB618" t="str">
        <f>IF(Z618="","",IFERROR(LOOKUP(2,1/(#REF!=Z618),#REF!),""))</f>
        <v/>
      </c>
      <c r="AC618" t="e">
        <f>IF(Z618="","",COUNTIF(#REF!,Z618))</f>
        <v>#REF!</v>
      </c>
      <c r="AD618" t="e">
        <f>IF(A618="","",IF(AC618&gt;1,"REVISAR DUPLICADO",IF(AA618&lt;&gt;"","ACTUALIZADO POR EYR","SIN REPORTE EYR")))</f>
        <v>#REF!</v>
      </c>
    </row>
    <row r="619" spans="1:30" x14ac:dyDescent="0.3">
      <c r="A619" s="5" t="s">
        <v>118</v>
      </c>
      <c r="B619" t="s">
        <v>117</v>
      </c>
      <c r="C619" s="4" t="s">
        <v>116</v>
      </c>
      <c r="D619" t="s">
        <v>77</v>
      </c>
      <c r="F619" t="s">
        <v>115</v>
      </c>
      <c r="G619" s="3">
        <v>8294652511</v>
      </c>
      <c r="H619" s="2">
        <v>46125</v>
      </c>
      <c r="K619" s="1">
        <f ca="1">IF(A619="","",IF(OR(L619="ENTREGADA",L619="RETORNADA",L619="ENTREGA DIGITAL"),0,MAX(0,5-NETWORKDAYS(H619+1,TODAY()))))</f>
        <v>0</v>
      </c>
      <c r="L619" t="str">
        <f>IF(A619="","",IFERROR(LOOKUP(2,1/(#REF!=Z619),#REF!),Y619))</f>
        <v>RETORNADA</v>
      </c>
      <c r="Y619" t="s">
        <v>1857</v>
      </c>
      <c r="Z619" t="str">
        <f>IF(A619="","",TEXT(A619,"0")&amp;"|"&amp;TEXT(H619,"0"))</f>
        <v>4921017736748750|46125</v>
      </c>
      <c r="AA619" t="str">
        <f>IF(Z619="","",IFERROR(LOOKUP(2,1/(#REF!=Z619),#REF!),""))</f>
        <v/>
      </c>
      <c r="AB619" t="str">
        <f>IF(Z619="","",IFERROR(LOOKUP(2,1/(#REF!=Z619),#REF!),""))</f>
        <v/>
      </c>
      <c r="AC619" t="e">
        <f>IF(Z619="","",COUNTIF(#REF!,Z619))</f>
        <v>#REF!</v>
      </c>
      <c r="AD619" t="e">
        <f>IF(A619="","",IF(AC619&gt;1,"REVISAR DUPLICADO",IF(AA619&lt;&gt;"","ACTUALIZADO POR EYR","SIN REPORTE EYR")))</f>
        <v>#REF!</v>
      </c>
    </row>
    <row r="620" spans="1:30" x14ac:dyDescent="0.3">
      <c r="A620" s="5" t="s">
        <v>3912</v>
      </c>
      <c r="B620" t="s">
        <v>3911</v>
      </c>
      <c r="C620" s="4" t="s">
        <v>78</v>
      </c>
      <c r="D620" t="s">
        <v>77</v>
      </c>
      <c r="F620" t="s">
        <v>13</v>
      </c>
      <c r="G620" s="3">
        <v>8097537593</v>
      </c>
      <c r="H620" s="2">
        <v>46125</v>
      </c>
      <c r="I620" t="s">
        <v>3742</v>
      </c>
      <c r="K620" s="1">
        <f ca="1">IF(A620="","",IF(OR(L620="ENTREGADA",L620="RETORNADA",L620="ENTREGA DIGITAL"),0,MAX(0,5-NETWORKDAYS(H620+1,TODAY()))))</f>
        <v>0</v>
      </c>
      <c r="L620" t="str">
        <f>IF(A620="","",IFERROR(LOOKUP(2,1/(#REF!=Z620),#REF!),Y620))</f>
        <v>ENTREGADA</v>
      </c>
      <c r="Y620" t="s">
        <v>1956</v>
      </c>
      <c r="Z620" t="str">
        <f>IF(A620="","",TEXT(A620,"0")&amp;"|"&amp;TEXT(H620,"0"))</f>
        <v>4921017729537210|46125</v>
      </c>
      <c r="AA620" t="str">
        <f>IF(Z620="","",IFERROR(LOOKUP(2,1/(#REF!=Z620),#REF!),""))</f>
        <v/>
      </c>
      <c r="AB620" t="str">
        <f>IF(Z620="","",IFERROR(LOOKUP(2,1/(#REF!=Z620),#REF!),""))</f>
        <v/>
      </c>
      <c r="AC620" t="e">
        <f>IF(Z620="","",COUNTIF(#REF!,Z620))</f>
        <v>#REF!</v>
      </c>
      <c r="AD620" t="e">
        <f>IF(A620="","",IF(AC620&gt;1,"REVISAR DUPLICADO",IF(AA620&lt;&gt;"","ACTUALIZADO POR EYR","SIN REPORTE EYR")))</f>
        <v>#REF!</v>
      </c>
    </row>
    <row r="621" spans="1:30" x14ac:dyDescent="0.3">
      <c r="A621" s="5" t="s">
        <v>745</v>
      </c>
      <c r="B621" t="s">
        <v>744</v>
      </c>
      <c r="C621" s="4" t="s">
        <v>743</v>
      </c>
      <c r="D621" t="s">
        <v>77</v>
      </c>
      <c r="F621" t="s">
        <v>0</v>
      </c>
      <c r="G621" s="3">
        <v>8294489083</v>
      </c>
      <c r="H621" s="2">
        <v>46125</v>
      </c>
      <c r="K621" s="1">
        <f ca="1">IF(A621="","",IF(OR(L621="ENTREGADA",L621="RETORNADA",L621="ENTREGA DIGITAL"),0,MAX(0,5-NETWORKDAYS(H621+1,TODAY()))))</f>
        <v>0</v>
      </c>
      <c r="L621" t="str">
        <f>IF(A621="","",IFERROR(LOOKUP(2,1/(#REF!=Z621),#REF!),Y621))</f>
        <v>RETORNADA</v>
      </c>
      <c r="Y621" t="s">
        <v>1857</v>
      </c>
      <c r="Z621" t="str">
        <f>IF(A621="","",TEXT(A621,"0")&amp;"|"&amp;TEXT(H621,"0"))</f>
        <v>4921017721874930|46125</v>
      </c>
      <c r="AA621" t="str">
        <f>IF(Z621="","",IFERROR(LOOKUP(2,1/(#REF!=Z621),#REF!),""))</f>
        <v/>
      </c>
      <c r="AB621" t="str">
        <f>IF(Z621="","",IFERROR(LOOKUP(2,1/(#REF!=Z621),#REF!),""))</f>
        <v/>
      </c>
      <c r="AC621" t="e">
        <f>IF(Z621="","",COUNTIF(#REF!,Z621))</f>
        <v>#REF!</v>
      </c>
      <c r="AD621" t="e">
        <f>IF(A621="","",IF(AC621&gt;1,"REVISAR DUPLICADO",IF(AA621&lt;&gt;"","ACTUALIZADO POR EYR","SIN REPORTE EYR")))</f>
        <v>#REF!</v>
      </c>
    </row>
    <row r="622" spans="1:30" x14ac:dyDescent="0.3">
      <c r="A622" s="5" t="s">
        <v>3910</v>
      </c>
      <c r="B622" t="s">
        <v>3909</v>
      </c>
      <c r="C622" s="4" t="s">
        <v>3908</v>
      </c>
      <c r="D622" t="s">
        <v>77</v>
      </c>
      <c r="F622" t="s">
        <v>3907</v>
      </c>
      <c r="G622" s="3">
        <v>8094670679</v>
      </c>
      <c r="H622" s="2">
        <v>46125</v>
      </c>
      <c r="K622" s="1">
        <f ca="1">IF(A622="","",IF(OR(L622="ENTREGADA",L622="RETORNADA",L622="ENTREGA DIGITAL"),0,MAX(0,5-NETWORKDAYS(H622+1,TODAY()))))</f>
        <v>0</v>
      </c>
      <c r="L622" t="str">
        <f>IF(A622="","",IFERROR(LOOKUP(2,1/(#REF!=Z622),#REF!),Y622))</f>
        <v>ENTREGADA</v>
      </c>
      <c r="Y622" t="s">
        <v>1956</v>
      </c>
      <c r="Z622" t="str">
        <f>IF(A622="","",TEXT(A622,"0")&amp;"|"&amp;TEXT(H622,"0"))</f>
        <v>4921017746498670|46125</v>
      </c>
      <c r="AA622" t="str">
        <f>IF(Z622="","",IFERROR(LOOKUP(2,1/(#REF!=Z622),#REF!),""))</f>
        <v/>
      </c>
      <c r="AB622" t="str">
        <f>IF(Z622="","",IFERROR(LOOKUP(2,1/(#REF!=Z622),#REF!),""))</f>
        <v/>
      </c>
      <c r="AC622" t="e">
        <f>IF(Z622="","",COUNTIF(#REF!,Z622))</f>
        <v>#REF!</v>
      </c>
      <c r="AD622" t="e">
        <f>IF(A622="","",IF(AC622&gt;1,"REVISAR DUPLICADO",IF(AA622&lt;&gt;"","ACTUALIZADO POR EYR","SIN REPORTE EYR")))</f>
        <v>#REF!</v>
      </c>
    </row>
    <row r="623" spans="1:30" x14ac:dyDescent="0.3">
      <c r="A623" s="5" t="s">
        <v>3906</v>
      </c>
      <c r="B623" t="s">
        <v>3905</v>
      </c>
      <c r="C623" s="4" t="s">
        <v>3904</v>
      </c>
      <c r="D623" t="s">
        <v>77</v>
      </c>
      <c r="F623" t="s">
        <v>0</v>
      </c>
      <c r="G623" s="3">
        <v>8296475041</v>
      </c>
      <c r="H623" s="2">
        <v>46125</v>
      </c>
      <c r="K623" s="1">
        <f ca="1">IF(A623="","",IF(OR(L623="ENTREGADA",L623="RETORNADA",L623="ENTREGA DIGITAL"),0,MAX(0,5-NETWORKDAYS(H623+1,TODAY()))))</f>
        <v>0</v>
      </c>
      <c r="L623" t="str">
        <f>IF(A623="","",IFERROR(LOOKUP(2,1/(#REF!=Z623),#REF!),Y623))</f>
        <v>ENTREGADA</v>
      </c>
      <c r="Y623" t="s">
        <v>1956</v>
      </c>
      <c r="Z623" t="str">
        <f>IF(A623="","",TEXT(A623,"0")&amp;"|"&amp;TEXT(H623,"0"))</f>
        <v>4921017751976360|46125</v>
      </c>
      <c r="AA623" t="str">
        <f>IF(Z623="","",IFERROR(LOOKUP(2,1/(#REF!=Z623),#REF!),""))</f>
        <v/>
      </c>
      <c r="AB623" t="str">
        <f>IF(Z623="","",IFERROR(LOOKUP(2,1/(#REF!=Z623),#REF!),""))</f>
        <v/>
      </c>
      <c r="AC623" t="e">
        <f>IF(Z623="","",COUNTIF(#REF!,Z623))</f>
        <v>#REF!</v>
      </c>
      <c r="AD623" t="e">
        <f>IF(A623="","",IF(AC623&gt;1,"REVISAR DUPLICADO",IF(AA623&lt;&gt;"","ACTUALIZADO POR EYR","SIN REPORTE EYR")))</f>
        <v>#REF!</v>
      </c>
    </row>
    <row r="624" spans="1:30" x14ac:dyDescent="0.3">
      <c r="A624" s="5" t="s">
        <v>3903</v>
      </c>
      <c r="B624" t="s">
        <v>3902</v>
      </c>
      <c r="C624" s="4" t="s">
        <v>3901</v>
      </c>
      <c r="D624" t="s">
        <v>77</v>
      </c>
      <c r="F624" t="s">
        <v>3900</v>
      </c>
      <c r="G624" s="3">
        <v>8293323769</v>
      </c>
      <c r="H624" s="2">
        <v>46125</v>
      </c>
      <c r="K624" s="1">
        <f ca="1">IF(A624="","",IF(OR(L624="ENTREGADA",L624="RETORNADA",L624="ENTREGA DIGITAL"),0,MAX(0,5-NETWORKDAYS(H624+1,TODAY()))))</f>
        <v>0</v>
      </c>
      <c r="L624" t="str">
        <f>IF(A624="","",IFERROR(LOOKUP(2,1/(#REF!=Z624),#REF!),Y624))</f>
        <v>ENTREGADA</v>
      </c>
      <c r="Y624" t="s">
        <v>1956</v>
      </c>
      <c r="Z624" t="str">
        <f>IF(A624="","",TEXT(A624,"0")&amp;"|"&amp;TEXT(H624,"0"))</f>
        <v>4921017747055470|46125</v>
      </c>
      <c r="AA624" t="str">
        <f>IF(Z624="","",IFERROR(LOOKUP(2,1/(#REF!=Z624),#REF!),""))</f>
        <v/>
      </c>
      <c r="AB624" t="str">
        <f>IF(Z624="","",IFERROR(LOOKUP(2,1/(#REF!=Z624),#REF!),""))</f>
        <v/>
      </c>
      <c r="AC624" t="e">
        <f>IF(Z624="","",COUNTIF(#REF!,Z624))</f>
        <v>#REF!</v>
      </c>
      <c r="AD624" t="e">
        <f>IF(A624="","",IF(AC624&gt;1,"REVISAR DUPLICADO",IF(AA624&lt;&gt;"","ACTUALIZADO POR EYR","SIN REPORTE EYR")))</f>
        <v>#REF!</v>
      </c>
    </row>
    <row r="625" spans="1:30" x14ac:dyDescent="0.3">
      <c r="A625" s="5" t="s">
        <v>3899</v>
      </c>
      <c r="B625" t="s">
        <v>3898</v>
      </c>
      <c r="C625" s="4" t="s">
        <v>3897</v>
      </c>
      <c r="D625" t="s">
        <v>77</v>
      </c>
      <c r="F625" t="s">
        <v>3896</v>
      </c>
      <c r="G625" s="3">
        <v>8292727743</v>
      </c>
      <c r="H625" s="2">
        <v>46125</v>
      </c>
      <c r="I625" t="s">
        <v>1397</v>
      </c>
      <c r="K625" s="1">
        <f ca="1">IF(A625="","",IF(OR(L625="ENTREGADA",L625="RETORNADA",L625="ENTREGA DIGITAL"),0,MAX(0,5-NETWORKDAYS(H625+1,TODAY()))))</f>
        <v>0</v>
      </c>
      <c r="L625" t="str">
        <f>IF(A625="","",IFERROR(LOOKUP(2,1/(#REF!=Z625),#REF!),Y625))</f>
        <v>ENTREGA DIGITAL</v>
      </c>
      <c r="Y625" t="s">
        <v>1396</v>
      </c>
      <c r="Z625" t="str">
        <f>IF(A625="","",TEXT(A625,"0")&amp;"|"&amp;TEXT(H625,"0"))</f>
        <v>5415017709247550|46125</v>
      </c>
      <c r="AA625" t="str">
        <f>IF(Z625="","",IFERROR(LOOKUP(2,1/(#REF!=Z625),#REF!),""))</f>
        <v/>
      </c>
      <c r="AB625" t="str">
        <f>IF(Z625="","",IFERROR(LOOKUP(2,1/(#REF!=Z625),#REF!),""))</f>
        <v/>
      </c>
      <c r="AC625" t="e">
        <f>IF(Z625="","",COUNTIF(#REF!,Z625))</f>
        <v>#REF!</v>
      </c>
      <c r="AD625" t="e">
        <f>IF(A625="","",IF(AC625&gt;1,"REVISAR DUPLICADO",IF(AA625&lt;&gt;"","ACTUALIZADO POR EYR","SIN REPORTE EYR")))</f>
        <v>#REF!</v>
      </c>
    </row>
    <row r="626" spans="1:30" x14ac:dyDescent="0.3">
      <c r="A626" s="5" t="s">
        <v>3895</v>
      </c>
      <c r="B626" t="s">
        <v>3894</v>
      </c>
      <c r="C626" s="4" t="s">
        <v>3893</v>
      </c>
      <c r="D626" t="s">
        <v>77</v>
      </c>
      <c r="F626" t="s">
        <v>13</v>
      </c>
      <c r="G626" s="3">
        <v>8094599916</v>
      </c>
      <c r="H626" s="2">
        <v>46125</v>
      </c>
      <c r="I626" t="s">
        <v>3742</v>
      </c>
      <c r="K626" s="1">
        <f ca="1">IF(A626="","",IF(OR(L626="ENTREGADA",L626="RETORNADA",L626="ENTREGA DIGITAL"),0,MAX(0,5-NETWORKDAYS(H626+1,TODAY()))))</f>
        <v>0</v>
      </c>
      <c r="L626" t="str">
        <f>IF(A626="","",IFERROR(LOOKUP(2,1/(#REF!=Z626),#REF!),Y626))</f>
        <v>ENTREGADA</v>
      </c>
      <c r="Y626" t="s">
        <v>1956</v>
      </c>
      <c r="Z626" t="str">
        <f>IF(A626="","",TEXT(A626,"0")&amp;"|"&amp;TEXT(H626,"0"))</f>
        <v>5415017724764990|46125</v>
      </c>
      <c r="AA626" t="str">
        <f>IF(Z626="","",IFERROR(LOOKUP(2,1/(#REF!=Z626),#REF!),""))</f>
        <v/>
      </c>
      <c r="AB626" t="str">
        <f>IF(Z626="","",IFERROR(LOOKUP(2,1/(#REF!=Z626),#REF!),""))</f>
        <v/>
      </c>
      <c r="AC626" t="e">
        <f>IF(Z626="","",COUNTIF(#REF!,Z626))</f>
        <v>#REF!</v>
      </c>
      <c r="AD626" t="e">
        <f>IF(A626="","",IF(AC626&gt;1,"REVISAR DUPLICADO",IF(AA626&lt;&gt;"","ACTUALIZADO POR EYR","SIN REPORTE EYR")))</f>
        <v>#REF!</v>
      </c>
    </row>
    <row r="627" spans="1:30" x14ac:dyDescent="0.3">
      <c r="A627" s="5" t="s">
        <v>3892</v>
      </c>
      <c r="B627" t="s">
        <v>3891</v>
      </c>
      <c r="C627" s="4" t="s">
        <v>3890</v>
      </c>
      <c r="D627" t="s">
        <v>77</v>
      </c>
      <c r="F627" t="s">
        <v>3889</v>
      </c>
      <c r="G627" s="3">
        <v>8094942470</v>
      </c>
      <c r="H627" s="2">
        <v>46125</v>
      </c>
      <c r="K627" s="1">
        <f ca="1">IF(A627="","",IF(OR(L627="ENTREGADA",L627="RETORNADA",L627="ENTREGA DIGITAL"),0,MAX(0,5-NETWORKDAYS(H627+1,TODAY()))))</f>
        <v>0</v>
      </c>
      <c r="L627" t="str">
        <f>IF(A627="","",IFERROR(LOOKUP(2,1/(#REF!=Z627),#REF!),Y627))</f>
        <v>ENTREGADA</v>
      </c>
      <c r="Y627" t="s">
        <v>1956</v>
      </c>
      <c r="Z627" t="str">
        <f>IF(A627="","",TEXT(A627,"0")&amp;"|"&amp;TEXT(H627,"0"))</f>
        <v>5415017732532270|46125</v>
      </c>
      <c r="AA627" t="str">
        <f>IF(Z627="","",IFERROR(LOOKUP(2,1/(#REF!=Z627),#REF!),""))</f>
        <v/>
      </c>
      <c r="AB627" t="str">
        <f>IF(Z627="","",IFERROR(LOOKUP(2,1/(#REF!=Z627),#REF!),""))</f>
        <v/>
      </c>
      <c r="AC627" t="e">
        <f>IF(Z627="","",COUNTIF(#REF!,Z627))</f>
        <v>#REF!</v>
      </c>
      <c r="AD627" t="e">
        <f>IF(A627="","",IF(AC627&gt;1,"REVISAR DUPLICADO",IF(AA627&lt;&gt;"","ACTUALIZADO POR EYR","SIN REPORTE EYR")))</f>
        <v>#REF!</v>
      </c>
    </row>
    <row r="628" spans="1:30" x14ac:dyDescent="0.3">
      <c r="A628" s="5" t="s">
        <v>3888</v>
      </c>
      <c r="B628" t="s">
        <v>3887</v>
      </c>
      <c r="C628" s="4" t="s">
        <v>3886</v>
      </c>
      <c r="D628" t="s">
        <v>77</v>
      </c>
      <c r="F628" t="s">
        <v>3885</v>
      </c>
      <c r="G628" s="3">
        <v>8099245445</v>
      </c>
      <c r="H628" s="2">
        <v>46125</v>
      </c>
      <c r="I628" t="s">
        <v>3742</v>
      </c>
      <c r="K628" s="1">
        <f ca="1">IF(A628="","",IF(OR(L628="ENTREGADA",L628="RETORNADA",L628="ENTREGA DIGITAL"),0,MAX(0,5-NETWORKDAYS(H628+1,TODAY()))))</f>
        <v>0</v>
      </c>
      <c r="L628" t="str">
        <f>IF(A628="","",IFERROR(LOOKUP(2,1/(#REF!=Z628),#REF!),Y628))</f>
        <v>ENTREGADA</v>
      </c>
      <c r="Y628" t="s">
        <v>1956</v>
      </c>
      <c r="Z628" t="str">
        <f>IF(A628="","",TEXT(A628,"0")&amp;"|"&amp;TEXT(H628,"0"))</f>
        <v>5188017795801920|46125</v>
      </c>
      <c r="AA628" t="str">
        <f>IF(Z628="","",IFERROR(LOOKUP(2,1/(#REF!=Z628),#REF!),""))</f>
        <v/>
      </c>
      <c r="AB628" t="str">
        <f>IF(Z628="","",IFERROR(LOOKUP(2,1/(#REF!=Z628),#REF!),""))</f>
        <v/>
      </c>
      <c r="AC628" t="e">
        <f>IF(Z628="","",COUNTIF(#REF!,Z628))</f>
        <v>#REF!</v>
      </c>
      <c r="AD628" t="e">
        <f>IF(A628="","",IF(AC628&gt;1,"REVISAR DUPLICADO",IF(AA628&lt;&gt;"","ACTUALIZADO POR EYR","SIN REPORTE EYR")))</f>
        <v>#REF!</v>
      </c>
    </row>
    <row r="629" spans="1:30" x14ac:dyDescent="0.3">
      <c r="A629" s="5" t="s">
        <v>3884</v>
      </c>
      <c r="B629" t="s">
        <v>3883</v>
      </c>
      <c r="C629" s="4" t="s">
        <v>3882</v>
      </c>
      <c r="D629" t="s">
        <v>77</v>
      </c>
      <c r="F629" t="s">
        <v>13</v>
      </c>
      <c r="G629" s="3">
        <v>8295335559</v>
      </c>
      <c r="H629" s="2">
        <v>46125</v>
      </c>
      <c r="K629" s="1">
        <f ca="1">IF(A629="","",IF(OR(L629="ENTREGADA",L629="RETORNADA",L629="ENTREGA DIGITAL"),0,MAX(0,5-NETWORKDAYS(H629+1,TODAY()))))</f>
        <v>0</v>
      </c>
      <c r="L629" t="str">
        <f>IF(A629="","",IFERROR(LOOKUP(2,1/(#REF!=Z629),#REF!),Y629))</f>
        <v>ENTREGADA</v>
      </c>
      <c r="Y629" t="s">
        <v>1956</v>
      </c>
      <c r="Z629" t="str">
        <f>IF(A629="","",TEXT(A629,"0")&amp;"|"&amp;TEXT(H629,"0"))</f>
        <v>5188017796100230|46125</v>
      </c>
      <c r="AA629" t="str">
        <f>IF(Z629="","",IFERROR(LOOKUP(2,1/(#REF!=Z629),#REF!),""))</f>
        <v/>
      </c>
      <c r="AB629" t="str">
        <f>IF(Z629="","",IFERROR(LOOKUP(2,1/(#REF!=Z629),#REF!),""))</f>
        <v/>
      </c>
      <c r="AC629" t="e">
        <f>IF(Z629="","",COUNTIF(#REF!,Z629))</f>
        <v>#REF!</v>
      </c>
      <c r="AD629" t="e">
        <f>IF(A629="","",IF(AC629&gt;1,"REVISAR DUPLICADO",IF(AA629&lt;&gt;"","ACTUALIZADO POR EYR","SIN REPORTE EYR")))</f>
        <v>#REF!</v>
      </c>
    </row>
    <row r="630" spans="1:30" x14ac:dyDescent="0.3">
      <c r="A630" s="5" t="s">
        <v>3881</v>
      </c>
      <c r="B630" t="s">
        <v>3880</v>
      </c>
      <c r="C630" s="4" t="s">
        <v>3879</v>
      </c>
      <c r="D630" t="s">
        <v>77</v>
      </c>
      <c r="F630" t="s">
        <v>0</v>
      </c>
      <c r="G630" s="3">
        <v>8297965453</v>
      </c>
      <c r="H630" s="2">
        <v>46125</v>
      </c>
      <c r="K630" s="1">
        <f ca="1">IF(A630="","",IF(OR(L630="ENTREGADA",L630="RETORNADA",L630="ENTREGA DIGITAL"),0,MAX(0,5-NETWORKDAYS(H630+1,TODAY()))))</f>
        <v>0</v>
      </c>
      <c r="L630" t="str">
        <f>IF(A630="","",IFERROR(LOOKUP(2,1/(#REF!=Z630),#REF!),Y630))</f>
        <v>RETORNADA</v>
      </c>
      <c r="Y630" t="s">
        <v>1857</v>
      </c>
      <c r="Z630" t="str">
        <f>IF(A630="","",TEXT(A630,"0")&amp;"|"&amp;TEXT(H630,"0"))</f>
        <v>4921017434193010|46125</v>
      </c>
      <c r="AA630" t="str">
        <f>IF(Z630="","",IFERROR(LOOKUP(2,1/(#REF!=Z630),#REF!),""))</f>
        <v/>
      </c>
      <c r="AB630" t="str">
        <f>IF(Z630="","",IFERROR(LOOKUP(2,1/(#REF!=Z630),#REF!),""))</f>
        <v/>
      </c>
      <c r="AC630" t="e">
        <f>IF(Z630="","",COUNTIF(#REF!,Z630))</f>
        <v>#REF!</v>
      </c>
      <c r="AD630" t="e">
        <f>IF(A630="","",IF(AC630&gt;1,"REVISAR DUPLICADO",IF(AA630&lt;&gt;"","ACTUALIZADO POR EYR","SIN REPORTE EYR")))</f>
        <v>#REF!</v>
      </c>
    </row>
    <row r="631" spans="1:30" x14ac:dyDescent="0.3">
      <c r="A631" s="5" t="s">
        <v>3878</v>
      </c>
      <c r="B631" t="s">
        <v>3877</v>
      </c>
      <c r="C631" s="4" t="s">
        <v>3876</v>
      </c>
      <c r="D631" t="s">
        <v>77</v>
      </c>
      <c r="F631" t="s">
        <v>0</v>
      </c>
      <c r="G631" s="3">
        <v>8296962661</v>
      </c>
      <c r="H631" s="2">
        <v>46125</v>
      </c>
      <c r="I631" t="s">
        <v>1397</v>
      </c>
      <c r="K631" s="1">
        <f ca="1">IF(A631="","",IF(OR(L631="ENTREGADA",L631="RETORNADA",L631="ENTREGA DIGITAL"),0,MAX(0,5-NETWORKDAYS(H631+1,TODAY()))))</f>
        <v>0</v>
      </c>
      <c r="L631" t="str">
        <f>IF(A631="","",IFERROR(LOOKUP(2,1/(#REF!=Z631),#REF!),Y631))</f>
        <v>ENTREGA DIGITAL</v>
      </c>
      <c r="Y631" t="s">
        <v>1396</v>
      </c>
      <c r="Z631" t="str">
        <f>IF(A631="","",TEXT(A631,"0")&amp;"|"&amp;TEXT(H631,"0"))</f>
        <v>4025017640299200|46125</v>
      </c>
      <c r="AA631" t="str">
        <f>IF(Z631="","",IFERROR(LOOKUP(2,1/(#REF!=Z631),#REF!),""))</f>
        <v/>
      </c>
      <c r="AB631" t="str">
        <f>IF(Z631="","",IFERROR(LOOKUP(2,1/(#REF!=Z631),#REF!),""))</f>
        <v/>
      </c>
      <c r="AC631" t="e">
        <f>IF(Z631="","",COUNTIF(#REF!,Z631))</f>
        <v>#REF!</v>
      </c>
      <c r="AD631" t="e">
        <f>IF(A631="","",IF(AC631&gt;1,"REVISAR DUPLICADO",IF(AA631&lt;&gt;"","ACTUALIZADO POR EYR","SIN REPORTE EYR")))</f>
        <v>#REF!</v>
      </c>
    </row>
    <row r="632" spans="1:30" x14ac:dyDescent="0.3">
      <c r="A632" s="5" t="s">
        <v>3875</v>
      </c>
      <c r="B632" t="s">
        <v>3874</v>
      </c>
      <c r="C632" s="4" t="s">
        <v>3873</v>
      </c>
      <c r="D632" t="s">
        <v>1</v>
      </c>
      <c r="F632" t="s">
        <v>3872</v>
      </c>
      <c r="G632" s="3">
        <v>8098402488</v>
      </c>
      <c r="H632" s="2">
        <v>46125</v>
      </c>
      <c r="K632" s="1">
        <f ca="1">IF(A632="","",IF(OR(L632="ENTREGADA",L632="RETORNADA",L632="ENTREGA DIGITAL"),0,MAX(0,5-NETWORKDAYS(H632+1,TODAY()))))</f>
        <v>0</v>
      </c>
      <c r="L632" t="str">
        <f>IF(A632="","",IFERROR(LOOKUP(2,1/(#REF!=Z632),#REF!),Y632))</f>
        <v>RETORNADA</v>
      </c>
      <c r="Y632" t="s">
        <v>1857</v>
      </c>
      <c r="Z632" t="str">
        <f>IF(A632="","",TEXT(A632,"0")&amp;"|"&amp;TEXT(H632,"0"))</f>
        <v>4921017741641600|46125</v>
      </c>
      <c r="AA632" t="str">
        <f>IF(Z632="","",IFERROR(LOOKUP(2,1/(#REF!=Z632),#REF!),""))</f>
        <v/>
      </c>
      <c r="AB632" t="str">
        <f>IF(Z632="","",IFERROR(LOOKUP(2,1/(#REF!=Z632),#REF!),""))</f>
        <v/>
      </c>
      <c r="AC632" t="e">
        <f>IF(Z632="","",COUNTIF(#REF!,Z632))</f>
        <v>#REF!</v>
      </c>
      <c r="AD632" t="e">
        <f>IF(A632="","",IF(AC632&gt;1,"REVISAR DUPLICADO",IF(AA632&lt;&gt;"","ACTUALIZADO POR EYR","SIN REPORTE EYR")))</f>
        <v>#REF!</v>
      </c>
    </row>
    <row r="633" spans="1:30" x14ac:dyDescent="0.3">
      <c r="A633" s="5" t="s">
        <v>3871</v>
      </c>
      <c r="B633" t="s">
        <v>3870</v>
      </c>
      <c r="C633" s="4" t="s">
        <v>3869</v>
      </c>
      <c r="D633" t="s">
        <v>1</v>
      </c>
      <c r="F633" t="s">
        <v>13</v>
      </c>
      <c r="G633" s="3">
        <v>8298435649</v>
      </c>
      <c r="H633" s="2">
        <v>46125</v>
      </c>
      <c r="K633" s="1">
        <f ca="1">IF(A633="","",IF(OR(L633="ENTREGADA",L633="RETORNADA",L633="ENTREGA DIGITAL"),0,MAX(0,5-NETWORKDAYS(H633+1,TODAY()))))</f>
        <v>0</v>
      </c>
      <c r="L633" t="str">
        <f>IF(A633="","",IFERROR(LOOKUP(2,1/(#REF!=Z633),#REF!),Y633))</f>
        <v>ENTREGA DIGITAL</v>
      </c>
      <c r="Y633" t="s">
        <v>1396</v>
      </c>
      <c r="Z633" t="str">
        <f>IF(A633="","",TEXT(A633,"0")&amp;"|"&amp;TEXT(H633,"0"))</f>
        <v>5400017739690230|46125</v>
      </c>
      <c r="AA633" t="str">
        <f>IF(Z633="","",IFERROR(LOOKUP(2,1/(#REF!=Z633),#REF!),""))</f>
        <v/>
      </c>
      <c r="AB633" t="str">
        <f>IF(Z633="","",IFERROR(LOOKUP(2,1/(#REF!=Z633),#REF!),""))</f>
        <v/>
      </c>
      <c r="AC633" t="e">
        <f>IF(Z633="","",COUNTIF(#REF!,Z633))</f>
        <v>#REF!</v>
      </c>
      <c r="AD633" t="e">
        <f>IF(A633="","",IF(AC633&gt;1,"REVISAR DUPLICADO",IF(AA633&lt;&gt;"","ACTUALIZADO POR EYR","SIN REPORTE EYR")))</f>
        <v>#REF!</v>
      </c>
    </row>
    <row r="634" spans="1:30" x14ac:dyDescent="0.3">
      <c r="A634" s="5" t="s">
        <v>3868</v>
      </c>
      <c r="B634" t="s">
        <v>3867</v>
      </c>
      <c r="C634" s="4" t="s">
        <v>3866</v>
      </c>
      <c r="D634" t="s">
        <v>1</v>
      </c>
      <c r="E634" t="s">
        <v>214</v>
      </c>
      <c r="F634" t="s">
        <v>3865</v>
      </c>
      <c r="G634" s="3">
        <v>8294225662</v>
      </c>
      <c r="H634" s="2">
        <v>46125</v>
      </c>
      <c r="I634" t="s">
        <v>1397</v>
      </c>
      <c r="K634" s="1">
        <f ca="1">IF(A634="","",IF(OR(L634="ENTREGADA",L634="RETORNADA",L634="ENTREGA DIGITAL"),0,MAX(0,5-NETWORKDAYS(H634+1,TODAY()))))</f>
        <v>0</v>
      </c>
      <c r="L634" t="str">
        <f>IF(A634="","",IFERROR(LOOKUP(2,1/(#REF!=Z634),#REF!),Y634))</f>
        <v>ENTREGA DIGITAL</v>
      </c>
      <c r="Y634" t="s">
        <v>1396</v>
      </c>
      <c r="Z634" t="str">
        <f>IF(A634="","",TEXT(A634,"0")&amp;"|"&amp;TEXT(H634,"0"))</f>
        <v>4025017731035980|46125</v>
      </c>
      <c r="AA634" t="str">
        <f>IF(Z634="","",IFERROR(LOOKUP(2,1/(#REF!=Z634),#REF!),""))</f>
        <v/>
      </c>
      <c r="AB634" t="str">
        <f>IF(Z634="","",IFERROR(LOOKUP(2,1/(#REF!=Z634),#REF!),""))</f>
        <v/>
      </c>
      <c r="AC634" t="e">
        <f>IF(Z634="","",COUNTIF(#REF!,Z634))</f>
        <v>#REF!</v>
      </c>
      <c r="AD634" t="e">
        <f>IF(A634="","",IF(AC634&gt;1,"REVISAR DUPLICADO",IF(AA634&lt;&gt;"","ACTUALIZADO POR EYR","SIN REPORTE EYR")))</f>
        <v>#REF!</v>
      </c>
    </row>
    <row r="635" spans="1:30" x14ac:dyDescent="0.3">
      <c r="A635" s="5" t="s">
        <v>3864</v>
      </c>
      <c r="B635" t="s">
        <v>3863</v>
      </c>
      <c r="C635" s="4" t="s">
        <v>3862</v>
      </c>
      <c r="D635" t="s">
        <v>1</v>
      </c>
      <c r="E635" t="s">
        <v>214</v>
      </c>
      <c r="F635" t="s">
        <v>2667</v>
      </c>
      <c r="G635" s="3">
        <v>8296108980</v>
      </c>
      <c r="H635" s="2">
        <v>46125</v>
      </c>
      <c r="I635" t="s">
        <v>1397</v>
      </c>
      <c r="K635" s="1">
        <f ca="1">IF(A635="","",IF(OR(L635="ENTREGADA",L635="RETORNADA",L635="ENTREGA DIGITAL"),0,MAX(0,5-NETWORKDAYS(H635+1,TODAY()))))</f>
        <v>0</v>
      </c>
      <c r="L635" t="str">
        <f>IF(A635="","",IFERROR(LOOKUP(2,1/(#REF!=Z635),#REF!),Y635))</f>
        <v>ENTREGA DIGITAL</v>
      </c>
      <c r="Y635" t="s">
        <v>1396</v>
      </c>
      <c r="Z635" t="str">
        <f>IF(A635="","",TEXT(A635,"0")&amp;"|"&amp;TEXT(H635,"0"))</f>
        <v>4921017808537960|46125</v>
      </c>
      <c r="AA635" t="str">
        <f>IF(Z635="","",IFERROR(LOOKUP(2,1/(#REF!=Z635),#REF!),""))</f>
        <v/>
      </c>
      <c r="AB635" t="str">
        <f>IF(Z635="","",IFERROR(LOOKUP(2,1/(#REF!=Z635),#REF!),""))</f>
        <v/>
      </c>
      <c r="AC635" t="e">
        <f>IF(Z635="","",COUNTIF(#REF!,Z635))</f>
        <v>#REF!</v>
      </c>
      <c r="AD635" t="e">
        <f>IF(A635="","",IF(AC635&gt;1,"REVISAR DUPLICADO",IF(AA635&lt;&gt;"","ACTUALIZADO POR EYR","SIN REPORTE EYR")))</f>
        <v>#REF!</v>
      </c>
    </row>
    <row r="636" spans="1:30" x14ac:dyDescent="0.3">
      <c r="A636" s="5" t="s">
        <v>3861</v>
      </c>
      <c r="B636" t="s">
        <v>3860</v>
      </c>
      <c r="C636" s="4" t="s">
        <v>3859</v>
      </c>
      <c r="D636" t="s">
        <v>1</v>
      </c>
      <c r="E636" t="s">
        <v>214</v>
      </c>
      <c r="F636" t="s">
        <v>423</v>
      </c>
      <c r="G636" s="3">
        <v>8098185313</v>
      </c>
      <c r="H636" s="2">
        <v>46125</v>
      </c>
      <c r="I636" t="s">
        <v>1397</v>
      </c>
      <c r="K636" s="1">
        <f ca="1">IF(A636="","",IF(OR(L636="ENTREGADA",L636="RETORNADA",L636="ENTREGA DIGITAL"),0,MAX(0,5-NETWORKDAYS(H636+1,TODAY()))))</f>
        <v>0</v>
      </c>
      <c r="L636" t="str">
        <f>IF(A636="","",IFERROR(LOOKUP(2,1/(#REF!=Z636),#REF!),Y636))</f>
        <v>ENTREGA DIGITAL</v>
      </c>
      <c r="Y636" t="s">
        <v>1396</v>
      </c>
      <c r="Z636" t="str">
        <f>IF(A636="","",TEXT(A636,"0")&amp;"|"&amp;TEXT(H636,"0"))</f>
        <v>5192017806104320|46125</v>
      </c>
      <c r="AA636" t="str">
        <f>IF(Z636="","",IFERROR(LOOKUP(2,1/(#REF!=Z636),#REF!),""))</f>
        <v/>
      </c>
      <c r="AB636" t="str">
        <f>IF(Z636="","",IFERROR(LOOKUP(2,1/(#REF!=Z636),#REF!),""))</f>
        <v/>
      </c>
      <c r="AC636" t="e">
        <f>IF(Z636="","",COUNTIF(#REF!,Z636))</f>
        <v>#REF!</v>
      </c>
      <c r="AD636" t="e">
        <f>IF(A636="","",IF(AC636&gt;1,"REVISAR DUPLICADO",IF(AA636&lt;&gt;"","ACTUALIZADO POR EYR","SIN REPORTE EYR")))</f>
        <v>#REF!</v>
      </c>
    </row>
    <row r="637" spans="1:30" x14ac:dyDescent="0.3">
      <c r="A637" s="5" t="s">
        <v>3858</v>
      </c>
      <c r="B637" t="s">
        <v>3857</v>
      </c>
      <c r="C637" s="4" t="s">
        <v>3856</v>
      </c>
      <c r="D637" t="s">
        <v>1</v>
      </c>
      <c r="F637" t="s">
        <v>9</v>
      </c>
      <c r="G637" s="3">
        <v>8097595441</v>
      </c>
      <c r="H637" s="2">
        <v>46125</v>
      </c>
      <c r="I637" t="s">
        <v>1397</v>
      </c>
      <c r="K637" s="1">
        <f ca="1">IF(A637="","",IF(OR(L637="ENTREGADA",L637="RETORNADA",L637="ENTREGA DIGITAL"),0,MAX(0,5-NETWORKDAYS(H637+1,TODAY()))))</f>
        <v>0</v>
      </c>
      <c r="L637" t="str">
        <f>IF(A637="","",IFERROR(LOOKUP(2,1/(#REF!=Z637),#REF!),Y637))</f>
        <v>ENTREGA DIGITAL</v>
      </c>
      <c r="Y637" t="s">
        <v>1396</v>
      </c>
      <c r="Z637" t="str">
        <f>IF(A637="","",TEXT(A637,"0")&amp;"|"&amp;TEXT(H637,"0"))</f>
        <v>5188017805584810|46125</v>
      </c>
      <c r="AA637" t="str">
        <f>IF(Z637="","",IFERROR(LOOKUP(2,1/(#REF!=Z637),#REF!),""))</f>
        <v/>
      </c>
      <c r="AB637" t="str">
        <f>IF(Z637="","",IFERROR(LOOKUP(2,1/(#REF!=Z637),#REF!),""))</f>
        <v/>
      </c>
      <c r="AC637" t="e">
        <f>IF(Z637="","",COUNTIF(#REF!,Z637))</f>
        <v>#REF!</v>
      </c>
      <c r="AD637" t="e">
        <f>IF(A637="","",IF(AC637&gt;1,"REVISAR DUPLICADO",IF(AA637&lt;&gt;"","ACTUALIZADO POR EYR","SIN REPORTE EYR")))</f>
        <v>#REF!</v>
      </c>
    </row>
    <row r="638" spans="1:30" x14ac:dyDescent="0.3">
      <c r="A638" s="5" t="s">
        <v>3855</v>
      </c>
      <c r="B638" t="s">
        <v>3854</v>
      </c>
      <c r="C638" s="4" t="s">
        <v>3853</v>
      </c>
      <c r="D638" t="s">
        <v>1</v>
      </c>
      <c r="F638" t="s">
        <v>3852</v>
      </c>
      <c r="G638" s="3">
        <v>8494701564</v>
      </c>
      <c r="H638" s="2">
        <v>46125</v>
      </c>
      <c r="K638" s="1">
        <f ca="1">IF(A638="","",IF(OR(L638="ENTREGADA",L638="RETORNADA",L638="ENTREGA DIGITAL"),0,MAX(0,5-NETWORKDAYS(H638+1,TODAY()))))</f>
        <v>0</v>
      </c>
      <c r="L638" t="str">
        <f>IF(A638="","",IFERROR(LOOKUP(2,1/(#REF!=Z638),#REF!),Y638))</f>
        <v>RETORNADA</v>
      </c>
      <c r="Y638" t="s">
        <v>1857</v>
      </c>
      <c r="Z638" t="str">
        <f>IF(A638="","",TEXT(A638,"0")&amp;"|"&amp;TEXT(H638,"0"))</f>
        <v>4921017807050280|46125</v>
      </c>
      <c r="AA638" t="str">
        <f>IF(Z638="","",IFERROR(LOOKUP(2,1/(#REF!=Z638),#REF!),""))</f>
        <v/>
      </c>
      <c r="AB638" t="str">
        <f>IF(Z638="","",IFERROR(LOOKUP(2,1/(#REF!=Z638),#REF!),""))</f>
        <v/>
      </c>
      <c r="AC638" t="e">
        <f>IF(Z638="","",COUNTIF(#REF!,Z638))</f>
        <v>#REF!</v>
      </c>
      <c r="AD638" t="e">
        <f>IF(A638="","",IF(AC638&gt;1,"REVISAR DUPLICADO",IF(AA638&lt;&gt;"","ACTUALIZADO POR EYR","SIN REPORTE EYR")))</f>
        <v>#REF!</v>
      </c>
    </row>
    <row r="639" spans="1:30" x14ac:dyDescent="0.3">
      <c r="A639" s="5" t="s">
        <v>3851</v>
      </c>
      <c r="B639" t="s">
        <v>3850</v>
      </c>
      <c r="C639" s="4" t="s">
        <v>3849</v>
      </c>
      <c r="D639" t="s">
        <v>1</v>
      </c>
      <c r="F639" t="s">
        <v>13</v>
      </c>
      <c r="G639" s="3">
        <v>8494290698</v>
      </c>
      <c r="H639" s="2">
        <v>46125</v>
      </c>
      <c r="K639" s="1">
        <f ca="1">IF(A639="","",IF(OR(L639="ENTREGADA",L639="RETORNADA",L639="ENTREGA DIGITAL"),0,MAX(0,5-NETWORKDAYS(H639+1,TODAY()))))</f>
        <v>0</v>
      </c>
      <c r="L639" t="str">
        <f>IF(A639="","",IFERROR(LOOKUP(2,1/(#REF!=Z639),#REF!),Y639))</f>
        <v>RETORNADA</v>
      </c>
      <c r="Y639" t="s">
        <v>1857</v>
      </c>
      <c r="Z639" t="str">
        <f>IF(A639="","",TEXT(A639,"0")&amp;"|"&amp;TEXT(H639,"0"))</f>
        <v>4921017807508910|46125</v>
      </c>
      <c r="AA639" t="str">
        <f>IF(Z639="","",IFERROR(LOOKUP(2,1/(#REF!=Z639),#REF!),""))</f>
        <v/>
      </c>
      <c r="AB639" t="str">
        <f>IF(Z639="","",IFERROR(LOOKUP(2,1/(#REF!=Z639),#REF!),""))</f>
        <v/>
      </c>
      <c r="AC639" t="e">
        <f>IF(Z639="","",COUNTIF(#REF!,Z639))</f>
        <v>#REF!</v>
      </c>
      <c r="AD639" t="e">
        <f>IF(A639="","",IF(AC639&gt;1,"REVISAR DUPLICADO",IF(AA639&lt;&gt;"","ACTUALIZADO POR EYR","SIN REPORTE EYR")))</f>
        <v>#REF!</v>
      </c>
    </row>
    <row r="640" spans="1:30" x14ac:dyDescent="0.3">
      <c r="A640" s="5" t="s">
        <v>3848</v>
      </c>
      <c r="B640" t="s">
        <v>3847</v>
      </c>
      <c r="C640" s="4" t="s">
        <v>3846</v>
      </c>
      <c r="D640" t="s">
        <v>21</v>
      </c>
      <c r="F640" t="s">
        <v>13</v>
      </c>
      <c r="G640" s="3">
        <v>8292327554</v>
      </c>
      <c r="H640" s="2">
        <v>46125</v>
      </c>
      <c r="K640" s="1">
        <f ca="1">IF(A640="","",IF(OR(L640="ENTREGADA",L640="RETORNADA",L640="ENTREGA DIGITAL"),0,MAX(0,5-NETWORKDAYS(H640+1,TODAY()))))</f>
        <v>0</v>
      </c>
      <c r="L640" t="str">
        <f>IF(A640="","",IFERROR(LOOKUP(2,1/(#REF!=Z640),#REF!),Y640))</f>
        <v>ENTREGA DIGITAL</v>
      </c>
      <c r="Y640" t="s">
        <v>1396</v>
      </c>
      <c r="Z640" t="str">
        <f>IF(A640="","",TEXT(A640,"0")&amp;"|"&amp;TEXT(H640,"0"))</f>
        <v>4921017806562670|46125</v>
      </c>
      <c r="AA640" t="str">
        <f>IF(Z640="","",IFERROR(LOOKUP(2,1/(#REF!=Z640),#REF!),""))</f>
        <v/>
      </c>
      <c r="AB640" t="str">
        <f>IF(Z640="","",IFERROR(LOOKUP(2,1/(#REF!=Z640),#REF!),""))</f>
        <v/>
      </c>
      <c r="AC640" t="e">
        <f>IF(Z640="","",COUNTIF(#REF!,Z640))</f>
        <v>#REF!</v>
      </c>
      <c r="AD640" t="e">
        <f>IF(A640="","",IF(AC640&gt;1,"REVISAR DUPLICADO",IF(AA640&lt;&gt;"","ACTUALIZADO POR EYR","SIN REPORTE EYR")))</f>
        <v>#REF!</v>
      </c>
    </row>
    <row r="641" spans="1:30" x14ac:dyDescent="0.3">
      <c r="A641" s="5" t="s">
        <v>3845</v>
      </c>
      <c r="B641" t="s">
        <v>3844</v>
      </c>
      <c r="C641" s="4" t="s">
        <v>3843</v>
      </c>
      <c r="D641" t="s">
        <v>21</v>
      </c>
      <c r="F641" t="s">
        <v>13</v>
      </c>
      <c r="G641" s="3">
        <v>8494824064</v>
      </c>
      <c r="H641" s="2">
        <v>46125</v>
      </c>
      <c r="K641" s="1">
        <f ca="1">IF(A641="","",IF(OR(L641="ENTREGADA",L641="RETORNADA",L641="ENTREGA DIGITAL"),0,MAX(0,5-NETWORKDAYS(H641+1,TODAY()))))</f>
        <v>0</v>
      </c>
      <c r="L641" t="str">
        <f>IF(A641="","",IFERROR(LOOKUP(2,1/(#REF!=Z641),#REF!),Y641))</f>
        <v>RETORNADA</v>
      </c>
      <c r="Y641" t="s">
        <v>1857</v>
      </c>
      <c r="Z641" t="str">
        <f>IF(A641="","",TEXT(A641,"0")&amp;"|"&amp;TEXT(H641,"0"))</f>
        <v>4921017806452860|46125</v>
      </c>
      <c r="AA641" t="str">
        <f>IF(Z641="","",IFERROR(LOOKUP(2,1/(#REF!=Z641),#REF!),""))</f>
        <v/>
      </c>
      <c r="AB641" t="str">
        <f>IF(Z641="","",IFERROR(LOOKUP(2,1/(#REF!=Z641),#REF!),""))</f>
        <v/>
      </c>
      <c r="AC641" t="e">
        <f>IF(Z641="","",COUNTIF(#REF!,Z641))</f>
        <v>#REF!</v>
      </c>
      <c r="AD641" t="e">
        <f>IF(A641="","",IF(AC641&gt;1,"REVISAR DUPLICADO",IF(AA641&lt;&gt;"","ACTUALIZADO POR EYR","SIN REPORTE EYR")))</f>
        <v>#REF!</v>
      </c>
    </row>
    <row r="642" spans="1:30" x14ac:dyDescent="0.3">
      <c r="A642" s="5" t="s">
        <v>3842</v>
      </c>
      <c r="B642" t="s">
        <v>3841</v>
      </c>
      <c r="C642" s="4" t="s">
        <v>3840</v>
      </c>
      <c r="D642" t="s">
        <v>21</v>
      </c>
      <c r="F642" t="s">
        <v>3839</v>
      </c>
      <c r="G642" s="3">
        <v>9999999999</v>
      </c>
      <c r="H642" s="2">
        <v>46125</v>
      </c>
      <c r="K642" s="1">
        <f ca="1">IF(A642="","",IF(OR(L642="ENTREGADA",L642="RETORNADA",L642="ENTREGA DIGITAL"),0,MAX(0,5-NETWORKDAYS(H642+1,TODAY()))))</f>
        <v>0</v>
      </c>
      <c r="L642" t="str">
        <f>IF(A642="","",IFERROR(LOOKUP(2,1/(#REF!=Z642),#REF!),Y642))</f>
        <v>RETORNADA</v>
      </c>
      <c r="Y642" t="s">
        <v>1857</v>
      </c>
      <c r="Z642" t="str">
        <f>IF(A642="","",TEXT(A642,"0")&amp;"|"&amp;TEXT(H642,"0"))</f>
        <v>4025017810782960|46125</v>
      </c>
      <c r="AA642" t="str">
        <f>IF(Z642="","",IFERROR(LOOKUP(2,1/(#REF!=Z642),#REF!),""))</f>
        <v/>
      </c>
      <c r="AB642" t="str">
        <f>IF(Z642="","",IFERROR(LOOKUP(2,1/(#REF!=Z642),#REF!),""))</f>
        <v/>
      </c>
      <c r="AC642" t="e">
        <f>IF(Z642="","",COUNTIF(#REF!,Z642))</f>
        <v>#REF!</v>
      </c>
      <c r="AD642" t="e">
        <f>IF(A642="","",IF(AC642&gt;1,"REVISAR DUPLICADO",IF(AA642&lt;&gt;"","ACTUALIZADO POR EYR","SIN REPORTE EYR")))</f>
        <v>#REF!</v>
      </c>
    </row>
    <row r="643" spans="1:30" x14ac:dyDescent="0.3">
      <c r="A643" s="5" t="s">
        <v>3838</v>
      </c>
      <c r="B643" t="s">
        <v>3837</v>
      </c>
      <c r="C643" s="4" t="s">
        <v>3836</v>
      </c>
      <c r="D643" t="s">
        <v>21</v>
      </c>
      <c r="E643" t="s">
        <v>21</v>
      </c>
      <c r="F643" t="s">
        <v>62</v>
      </c>
      <c r="G643" s="3">
        <v>8293073787</v>
      </c>
      <c r="H643" s="2">
        <v>46125</v>
      </c>
      <c r="K643" s="1">
        <f ca="1">IF(A643="","",IF(OR(L643="ENTREGADA",L643="RETORNADA",L643="ENTREGA DIGITAL"),0,MAX(0,5-NETWORKDAYS(H643+1,TODAY()))))</f>
        <v>0</v>
      </c>
      <c r="L643" t="str">
        <f>IF(A643="","",IFERROR(LOOKUP(2,1/(#REF!=Z643),#REF!),Y643))</f>
        <v>ENTREGA DIGITAL</v>
      </c>
      <c r="Y643" t="s">
        <v>1396</v>
      </c>
      <c r="Z643" t="str">
        <f>IF(A643="","",TEXT(A643,"0")&amp;"|"&amp;TEXT(H643,"0"))</f>
        <v>5227017805413550|46125</v>
      </c>
      <c r="AA643" t="str">
        <f>IF(Z643="","",IFERROR(LOOKUP(2,1/(#REF!=Z643),#REF!),""))</f>
        <v/>
      </c>
      <c r="AB643" t="str">
        <f>IF(Z643="","",IFERROR(LOOKUP(2,1/(#REF!=Z643),#REF!),""))</f>
        <v/>
      </c>
      <c r="AC643" t="e">
        <f>IF(Z643="","",COUNTIF(#REF!,Z643))</f>
        <v>#REF!</v>
      </c>
      <c r="AD643" t="e">
        <f>IF(A643="","",IF(AC643&gt;1,"REVISAR DUPLICADO",IF(AA643&lt;&gt;"","ACTUALIZADO POR EYR","SIN REPORTE EYR")))</f>
        <v>#REF!</v>
      </c>
    </row>
    <row r="644" spans="1:30" x14ac:dyDescent="0.3">
      <c r="A644" s="5" t="s">
        <v>3835</v>
      </c>
      <c r="B644" t="s">
        <v>3834</v>
      </c>
      <c r="C644" s="4" t="s">
        <v>3833</v>
      </c>
      <c r="D644" t="s">
        <v>21</v>
      </c>
      <c r="F644" t="s">
        <v>146</v>
      </c>
      <c r="G644" s="3">
        <v>8293860520</v>
      </c>
      <c r="H644" s="2">
        <v>46125</v>
      </c>
      <c r="I644" t="s">
        <v>1397</v>
      </c>
      <c r="K644" s="1">
        <f ca="1">IF(A644="","",IF(OR(L644="ENTREGADA",L644="RETORNADA",L644="ENTREGA DIGITAL"),0,MAX(0,5-NETWORKDAYS(H644+1,TODAY()))))</f>
        <v>0</v>
      </c>
      <c r="L644" t="str">
        <f>IF(A644="","",IFERROR(LOOKUP(2,1/(#REF!=Z644),#REF!),Y644))</f>
        <v>ENTREGADA</v>
      </c>
      <c r="Y644" t="s">
        <v>1956</v>
      </c>
      <c r="Z644" t="str">
        <f>IF(A644="","",TEXT(A644,"0")&amp;"|"&amp;TEXT(H644,"0"))</f>
        <v>4921017772813790|46125</v>
      </c>
      <c r="AA644" t="str">
        <f>IF(Z644="","",IFERROR(LOOKUP(2,1/(#REF!=Z644),#REF!),""))</f>
        <v/>
      </c>
      <c r="AB644" t="str">
        <f>IF(Z644="","",IFERROR(LOOKUP(2,1/(#REF!=Z644),#REF!),""))</f>
        <v/>
      </c>
      <c r="AC644" t="e">
        <f>IF(Z644="","",COUNTIF(#REF!,Z644))</f>
        <v>#REF!</v>
      </c>
      <c r="AD644" t="e">
        <f>IF(A644="","",IF(AC644&gt;1,"REVISAR DUPLICADO",IF(AA644&lt;&gt;"","ACTUALIZADO POR EYR","SIN REPORTE EYR")))</f>
        <v>#REF!</v>
      </c>
    </row>
    <row r="645" spans="1:30" x14ac:dyDescent="0.3">
      <c r="A645" s="5" t="s">
        <v>3832</v>
      </c>
      <c r="B645" t="s">
        <v>3831</v>
      </c>
      <c r="C645" s="4" t="s">
        <v>3830</v>
      </c>
      <c r="D645" t="s">
        <v>21</v>
      </c>
      <c r="F645" t="s">
        <v>3829</v>
      </c>
      <c r="G645" s="3">
        <v>9999999999</v>
      </c>
      <c r="H645" s="2">
        <v>46125</v>
      </c>
      <c r="I645" t="s">
        <v>3742</v>
      </c>
      <c r="K645" s="1">
        <f ca="1">IF(A645="","",IF(OR(L645="ENTREGADA",L645="RETORNADA",L645="ENTREGA DIGITAL"),0,MAX(0,5-NETWORKDAYS(H645+1,TODAY()))))</f>
        <v>0</v>
      </c>
      <c r="L645" t="str">
        <f>IF(A645="","",IFERROR(LOOKUP(2,1/(#REF!=Z645),#REF!),Y645))</f>
        <v>ENTREGA DIGITAL</v>
      </c>
      <c r="Y645" t="s">
        <v>1396</v>
      </c>
      <c r="Z645" t="str">
        <f>IF(A645="","",TEXT(A645,"0")&amp;"|"&amp;TEXT(H645,"0"))</f>
        <v>5188017716375730|46125</v>
      </c>
      <c r="AA645" t="str">
        <f>IF(Z645="","",IFERROR(LOOKUP(2,1/(#REF!=Z645),#REF!),""))</f>
        <v/>
      </c>
      <c r="AB645" t="str">
        <f>IF(Z645="","",IFERROR(LOOKUP(2,1/(#REF!=Z645),#REF!),""))</f>
        <v/>
      </c>
      <c r="AC645" t="e">
        <f>IF(Z645="","",COUNTIF(#REF!,Z645))</f>
        <v>#REF!</v>
      </c>
      <c r="AD645" t="e">
        <f>IF(A645="","",IF(AC645&gt;1,"REVISAR DUPLICADO",IF(AA645&lt;&gt;"","ACTUALIZADO POR EYR","SIN REPORTE EYR")))</f>
        <v>#REF!</v>
      </c>
    </row>
    <row r="646" spans="1:30" x14ac:dyDescent="0.3">
      <c r="A646" s="5" t="s">
        <v>3828</v>
      </c>
      <c r="B646" t="s">
        <v>3827</v>
      </c>
      <c r="C646" s="4" t="s">
        <v>3826</v>
      </c>
      <c r="D646" t="s">
        <v>21</v>
      </c>
      <c r="F646" t="s">
        <v>0</v>
      </c>
      <c r="G646" s="3">
        <v>8294262295</v>
      </c>
      <c r="H646" s="2">
        <v>46125</v>
      </c>
      <c r="I646" t="s">
        <v>3742</v>
      </c>
      <c r="K646" s="1">
        <f ca="1">IF(A646="","",IF(OR(L646="ENTREGADA",L646="RETORNADA",L646="ENTREGA DIGITAL"),0,MAX(0,5-NETWORKDAYS(H646+1,TODAY()))))</f>
        <v>0</v>
      </c>
      <c r="L646" t="str">
        <f>IF(A646="","",IFERROR(LOOKUP(2,1/(#REF!=Z646),#REF!),Y646))</f>
        <v>ENTREGA DIGITAL</v>
      </c>
      <c r="Y646" t="s">
        <v>1396</v>
      </c>
      <c r="Z646" t="str">
        <f>IF(A646="","",TEXT(A646,"0")&amp;"|"&amp;TEXT(H646,"0"))</f>
        <v>5415017654119000|46125</v>
      </c>
      <c r="AA646" t="str">
        <f>IF(Z646="","",IFERROR(LOOKUP(2,1/(#REF!=Z646),#REF!),""))</f>
        <v/>
      </c>
      <c r="AB646" t="str">
        <f>IF(Z646="","",IFERROR(LOOKUP(2,1/(#REF!=Z646),#REF!),""))</f>
        <v/>
      </c>
      <c r="AC646" t="e">
        <f>IF(Z646="","",COUNTIF(#REF!,Z646))</f>
        <v>#REF!</v>
      </c>
      <c r="AD646" t="e">
        <f>IF(A646="","",IF(AC646&gt;1,"REVISAR DUPLICADO",IF(AA646&lt;&gt;"","ACTUALIZADO POR EYR","SIN REPORTE EYR")))</f>
        <v>#REF!</v>
      </c>
    </row>
    <row r="647" spans="1:30" x14ac:dyDescent="0.3">
      <c r="A647" s="5" t="s">
        <v>3825</v>
      </c>
      <c r="B647" t="s">
        <v>3824</v>
      </c>
      <c r="C647" s="4" t="s">
        <v>3823</v>
      </c>
      <c r="D647" t="s">
        <v>21</v>
      </c>
      <c r="F647" t="s">
        <v>3822</v>
      </c>
      <c r="G647" s="3">
        <v>8292628080</v>
      </c>
      <c r="H647" s="2">
        <v>46125</v>
      </c>
      <c r="K647" s="1">
        <f ca="1">IF(A647="","",IF(OR(L647="ENTREGADA",L647="RETORNADA",L647="ENTREGA DIGITAL"),0,MAX(0,5-NETWORKDAYS(H647+1,TODAY()))))</f>
        <v>0</v>
      </c>
      <c r="L647" t="str">
        <f>IF(A647="","",IFERROR(LOOKUP(2,1/(#REF!=Z647),#REF!),Y647))</f>
        <v>ENTREGA DIGITAL</v>
      </c>
      <c r="Y647" t="s">
        <v>1396</v>
      </c>
      <c r="Z647" t="str">
        <f>IF(A647="","",TEXT(A647,"0")&amp;"|"&amp;TEXT(H647,"0"))</f>
        <v>4921017810488920|46125</v>
      </c>
      <c r="AA647" t="str">
        <f>IF(Z647="","",IFERROR(LOOKUP(2,1/(#REF!=Z647),#REF!),""))</f>
        <v/>
      </c>
      <c r="AB647" t="str">
        <f>IF(Z647="","",IFERROR(LOOKUP(2,1/(#REF!=Z647),#REF!),""))</f>
        <v/>
      </c>
      <c r="AC647" t="e">
        <f>IF(Z647="","",COUNTIF(#REF!,Z647))</f>
        <v>#REF!</v>
      </c>
      <c r="AD647" t="e">
        <f>IF(A647="","",IF(AC647&gt;1,"REVISAR DUPLICADO",IF(AA647&lt;&gt;"","ACTUALIZADO POR EYR","SIN REPORTE EYR")))</f>
        <v>#REF!</v>
      </c>
    </row>
    <row r="648" spans="1:30" x14ac:dyDescent="0.3">
      <c r="A648" s="5" t="s">
        <v>3821</v>
      </c>
      <c r="B648" t="s">
        <v>3820</v>
      </c>
      <c r="C648" s="4" t="s">
        <v>3819</v>
      </c>
      <c r="D648" t="s">
        <v>21</v>
      </c>
      <c r="F648" t="s">
        <v>2885</v>
      </c>
      <c r="G648" s="3">
        <v>8296954864</v>
      </c>
      <c r="H648" s="2">
        <v>46125</v>
      </c>
      <c r="K648" s="1">
        <f ca="1">IF(A648="","",IF(OR(L648="ENTREGADA",L648="RETORNADA",L648="ENTREGA DIGITAL"),0,MAX(0,5-NETWORKDAYS(H648+1,TODAY()))))</f>
        <v>0</v>
      </c>
      <c r="L648" t="str">
        <f>IF(A648="","",IFERROR(LOOKUP(2,1/(#REF!=Z648),#REF!),Y648))</f>
        <v>ENTREGA DIGITAL</v>
      </c>
      <c r="Y648" t="s">
        <v>1396</v>
      </c>
      <c r="Z648" t="str">
        <f>IF(A648="","",TEXT(A648,"0")&amp;"|"&amp;TEXT(H648,"0"))</f>
        <v>4921017808194340|46125</v>
      </c>
      <c r="AA648" t="str">
        <f>IF(Z648="","",IFERROR(LOOKUP(2,1/(#REF!=Z648),#REF!),""))</f>
        <v/>
      </c>
      <c r="AB648" t="str">
        <f>IF(Z648="","",IFERROR(LOOKUP(2,1/(#REF!=Z648),#REF!),""))</f>
        <v/>
      </c>
      <c r="AC648" t="e">
        <f>IF(Z648="","",COUNTIF(#REF!,Z648))</f>
        <v>#REF!</v>
      </c>
      <c r="AD648" t="e">
        <f>IF(A648="","",IF(AC648&gt;1,"REVISAR DUPLICADO",IF(AA648&lt;&gt;"","ACTUALIZADO POR EYR","SIN REPORTE EYR")))</f>
        <v>#REF!</v>
      </c>
    </row>
    <row r="649" spans="1:30" x14ac:dyDescent="0.3">
      <c r="A649" s="5" t="s">
        <v>3818</v>
      </c>
      <c r="B649" t="s">
        <v>3817</v>
      </c>
      <c r="C649" s="4" t="s">
        <v>3816</v>
      </c>
      <c r="D649" t="s">
        <v>21</v>
      </c>
      <c r="F649" t="s">
        <v>13</v>
      </c>
      <c r="G649" s="3">
        <v>8295290375</v>
      </c>
      <c r="H649" s="2">
        <v>46125</v>
      </c>
      <c r="K649" s="1">
        <f ca="1">IF(A649="","",IF(OR(L649="ENTREGADA",L649="RETORNADA",L649="ENTREGA DIGITAL"),0,MAX(0,5-NETWORKDAYS(H649+1,TODAY()))))</f>
        <v>0</v>
      </c>
      <c r="L649" t="str">
        <f>IF(A649="","",IFERROR(LOOKUP(2,1/(#REF!=Z649),#REF!),Y649))</f>
        <v>ENTREGA DIGITAL</v>
      </c>
      <c r="Y649" t="s">
        <v>1396</v>
      </c>
      <c r="Z649" t="str">
        <f>IF(A649="","",TEXT(A649,"0")&amp;"|"&amp;TEXT(H649,"0"))</f>
        <v>4921017807602500|46125</v>
      </c>
      <c r="AA649" t="str">
        <f>IF(Z649="","",IFERROR(LOOKUP(2,1/(#REF!=Z649),#REF!),""))</f>
        <v/>
      </c>
      <c r="AB649" t="str">
        <f>IF(Z649="","",IFERROR(LOOKUP(2,1/(#REF!=Z649),#REF!),""))</f>
        <v/>
      </c>
      <c r="AC649" t="e">
        <f>IF(Z649="","",COUNTIF(#REF!,Z649))</f>
        <v>#REF!</v>
      </c>
      <c r="AD649" t="e">
        <f>IF(A649="","",IF(AC649&gt;1,"REVISAR DUPLICADO",IF(AA649&lt;&gt;"","ACTUALIZADO POR EYR","SIN REPORTE EYR")))</f>
        <v>#REF!</v>
      </c>
    </row>
    <row r="650" spans="1:30" x14ac:dyDescent="0.3">
      <c r="A650" s="5" t="s">
        <v>3815</v>
      </c>
      <c r="B650" t="s">
        <v>3814</v>
      </c>
      <c r="C650" s="4" t="s">
        <v>3813</v>
      </c>
      <c r="D650" t="s">
        <v>21</v>
      </c>
      <c r="F650" t="s">
        <v>13</v>
      </c>
      <c r="G650" s="3">
        <v>8494043320</v>
      </c>
      <c r="H650" s="2">
        <v>46125</v>
      </c>
      <c r="K650" s="1">
        <f ca="1">IF(A650="","",IF(OR(L650="ENTREGADA",L650="RETORNADA",L650="ENTREGA DIGITAL"),0,MAX(0,5-NETWORKDAYS(H650+1,TODAY()))))</f>
        <v>0</v>
      </c>
      <c r="L650" t="str">
        <f>IF(A650="","",IFERROR(LOOKUP(2,1/(#REF!=Z650),#REF!),Y650))</f>
        <v>ENTREGA DIGITAL</v>
      </c>
      <c r="Y650" t="s">
        <v>1396</v>
      </c>
      <c r="Z650" t="str">
        <f>IF(A650="","",TEXT(A650,"0")&amp;"|"&amp;TEXT(H650,"0"))</f>
        <v>4921017808321190|46125</v>
      </c>
      <c r="AA650" t="str">
        <f>IF(Z650="","",IFERROR(LOOKUP(2,1/(#REF!=Z650),#REF!),""))</f>
        <v/>
      </c>
      <c r="AB650" t="str">
        <f>IF(Z650="","",IFERROR(LOOKUP(2,1/(#REF!=Z650),#REF!),""))</f>
        <v/>
      </c>
      <c r="AC650" t="e">
        <f>IF(Z650="","",COUNTIF(#REF!,Z650))</f>
        <v>#REF!</v>
      </c>
      <c r="AD650" t="e">
        <f>IF(A650="","",IF(AC650&gt;1,"REVISAR DUPLICADO",IF(AA650&lt;&gt;"","ACTUALIZADO POR EYR","SIN REPORTE EYR")))</f>
        <v>#REF!</v>
      </c>
    </row>
    <row r="651" spans="1:30" x14ac:dyDescent="0.3">
      <c r="A651" s="5" t="s">
        <v>3812</v>
      </c>
      <c r="B651" t="s">
        <v>3811</v>
      </c>
      <c r="C651" s="4" t="s">
        <v>3810</v>
      </c>
      <c r="D651" t="s">
        <v>21</v>
      </c>
      <c r="F651" t="s">
        <v>3809</v>
      </c>
      <c r="G651" s="3">
        <v>8292899749</v>
      </c>
      <c r="H651" s="2">
        <v>46125</v>
      </c>
      <c r="K651" s="1">
        <f ca="1">IF(A651="","",IF(OR(L651="ENTREGADA",L651="RETORNADA",L651="ENTREGA DIGITAL"),0,MAX(0,5-NETWORKDAYS(H651+1,TODAY()))))</f>
        <v>0</v>
      </c>
      <c r="L651" t="str">
        <f>IF(A651="","",IFERROR(LOOKUP(2,1/(#REF!=Z651),#REF!),Y651))</f>
        <v>RETORNADA</v>
      </c>
      <c r="Y651" t="s">
        <v>1857</v>
      </c>
      <c r="Z651" t="str">
        <f>IF(A651="","",TEXT(A651,"0")&amp;"|"&amp;TEXT(H651,"0"))</f>
        <v>4921017812080840|46125</v>
      </c>
      <c r="AA651" t="str">
        <f>IF(Z651="","",IFERROR(LOOKUP(2,1/(#REF!=Z651),#REF!),""))</f>
        <v/>
      </c>
      <c r="AB651" t="str">
        <f>IF(Z651="","",IFERROR(LOOKUP(2,1/(#REF!=Z651),#REF!),""))</f>
        <v/>
      </c>
      <c r="AC651" t="e">
        <f>IF(Z651="","",COUNTIF(#REF!,Z651))</f>
        <v>#REF!</v>
      </c>
      <c r="AD651" t="e">
        <f>IF(A651="","",IF(AC651&gt;1,"REVISAR DUPLICADO",IF(AA651&lt;&gt;"","ACTUALIZADO POR EYR","SIN REPORTE EYR")))</f>
        <v>#REF!</v>
      </c>
    </row>
    <row r="652" spans="1:30" x14ac:dyDescent="0.3">
      <c r="A652" s="5" t="s">
        <v>3808</v>
      </c>
      <c r="B652" t="s">
        <v>3807</v>
      </c>
      <c r="C652" s="4" t="s">
        <v>3806</v>
      </c>
      <c r="D652" t="s">
        <v>21</v>
      </c>
      <c r="F652" t="s">
        <v>1097</v>
      </c>
      <c r="G652" s="3">
        <v>8293695324</v>
      </c>
      <c r="H652" s="2">
        <v>46125</v>
      </c>
      <c r="K652" s="1">
        <f ca="1">IF(A652="","",IF(OR(L652="ENTREGADA",L652="RETORNADA",L652="ENTREGA DIGITAL"),0,MAX(0,5-NETWORKDAYS(H652+1,TODAY()))))</f>
        <v>0</v>
      </c>
      <c r="L652" t="str">
        <f>IF(A652="","",IFERROR(LOOKUP(2,1/(#REF!=Z652),#REF!),Y652))</f>
        <v>ENTREGA DIGITAL</v>
      </c>
      <c r="Y652" t="s">
        <v>1396</v>
      </c>
      <c r="Z652" t="str">
        <f>IF(A652="","",TEXT(A652,"0")&amp;"|"&amp;TEXT(H652,"0"))</f>
        <v>4921017807165370|46125</v>
      </c>
      <c r="AA652" t="str">
        <f>IF(Z652="","",IFERROR(LOOKUP(2,1/(#REF!=Z652),#REF!),""))</f>
        <v/>
      </c>
      <c r="AB652" t="str">
        <f>IF(Z652="","",IFERROR(LOOKUP(2,1/(#REF!=Z652),#REF!),""))</f>
        <v/>
      </c>
      <c r="AC652" t="e">
        <f>IF(Z652="","",COUNTIF(#REF!,Z652))</f>
        <v>#REF!</v>
      </c>
      <c r="AD652" t="e">
        <f>IF(A652="","",IF(AC652&gt;1,"REVISAR DUPLICADO",IF(AA652&lt;&gt;"","ACTUALIZADO POR EYR","SIN REPORTE EYR")))</f>
        <v>#REF!</v>
      </c>
    </row>
    <row r="653" spans="1:30" x14ac:dyDescent="0.3">
      <c r="A653" s="5" t="s">
        <v>3805</v>
      </c>
      <c r="B653" t="s">
        <v>3804</v>
      </c>
      <c r="C653" s="4" t="s">
        <v>3803</v>
      </c>
      <c r="D653" t="s">
        <v>21</v>
      </c>
      <c r="F653" t="s">
        <v>3802</v>
      </c>
      <c r="G653" s="3">
        <v>8293644303</v>
      </c>
      <c r="H653" s="2">
        <v>46125</v>
      </c>
      <c r="K653" s="1">
        <f ca="1">IF(A653="","",IF(OR(L653="ENTREGADA",L653="RETORNADA",L653="ENTREGA DIGITAL"),0,MAX(0,5-NETWORKDAYS(H653+1,TODAY()))))</f>
        <v>0</v>
      </c>
      <c r="L653" t="str">
        <f>IF(A653="","",IFERROR(LOOKUP(2,1/(#REF!=Z653),#REF!),Y653))</f>
        <v>ENTREGA DIGITAL</v>
      </c>
      <c r="Y653" t="s">
        <v>1396</v>
      </c>
      <c r="Z653" t="str">
        <f>IF(A653="","",TEXT(A653,"0")&amp;"|"&amp;TEXT(H653,"0"))</f>
        <v>4921017810301560|46125</v>
      </c>
      <c r="AA653" t="str">
        <f>IF(Z653="","",IFERROR(LOOKUP(2,1/(#REF!=Z653),#REF!),""))</f>
        <v/>
      </c>
      <c r="AB653" t="str">
        <f>IF(Z653="","",IFERROR(LOOKUP(2,1/(#REF!=Z653),#REF!),""))</f>
        <v/>
      </c>
      <c r="AC653" t="e">
        <f>IF(Z653="","",COUNTIF(#REF!,Z653))</f>
        <v>#REF!</v>
      </c>
      <c r="AD653" t="e">
        <f>IF(A653="","",IF(AC653&gt;1,"REVISAR DUPLICADO",IF(AA653&lt;&gt;"","ACTUALIZADO POR EYR","SIN REPORTE EYR")))</f>
        <v>#REF!</v>
      </c>
    </row>
    <row r="654" spans="1:30" x14ac:dyDescent="0.3">
      <c r="A654" s="5" t="s">
        <v>108</v>
      </c>
      <c r="B654" t="s">
        <v>107</v>
      </c>
      <c r="C654" s="4" t="s">
        <v>106</v>
      </c>
      <c r="D654" t="s">
        <v>77</v>
      </c>
      <c r="F654" t="s">
        <v>13</v>
      </c>
      <c r="G654" s="3">
        <v>8493892835</v>
      </c>
      <c r="H654" s="2">
        <v>46125</v>
      </c>
      <c r="K654" s="1">
        <f ca="1">IF(A654="","",IF(OR(L654="ENTREGADA",L654="RETORNADA",L654="ENTREGA DIGITAL"),0,MAX(0,5-NETWORKDAYS(H654+1,TODAY()))))</f>
        <v>0</v>
      </c>
      <c r="L654" t="str">
        <f>IF(A654="","",IFERROR(LOOKUP(2,1/(#REF!=Z654),#REF!),Y654))</f>
        <v>RETORNADA</v>
      </c>
      <c r="Y654" t="s">
        <v>1857</v>
      </c>
      <c r="Z654" t="str">
        <f>IF(A654="","",TEXT(A654,"0")&amp;"|"&amp;TEXT(H654,"0"))</f>
        <v>4921017807457420|46125</v>
      </c>
      <c r="AA654" t="str">
        <f>IF(Z654="","",IFERROR(LOOKUP(2,1/(#REF!=Z654),#REF!),""))</f>
        <v/>
      </c>
      <c r="AB654" t="str">
        <f>IF(Z654="","",IFERROR(LOOKUP(2,1/(#REF!=Z654),#REF!),""))</f>
        <v/>
      </c>
      <c r="AC654" t="e">
        <f>IF(Z654="","",COUNTIF(#REF!,Z654))</f>
        <v>#REF!</v>
      </c>
      <c r="AD654" t="e">
        <f>IF(A654="","",IF(AC654&gt;1,"REVISAR DUPLICADO",IF(AA654&lt;&gt;"","ACTUALIZADO POR EYR","SIN REPORTE EYR")))</f>
        <v>#REF!</v>
      </c>
    </row>
    <row r="655" spans="1:30" x14ac:dyDescent="0.3">
      <c r="A655" s="5" t="s">
        <v>3801</v>
      </c>
      <c r="B655" t="s">
        <v>3800</v>
      </c>
      <c r="C655" s="4" t="s">
        <v>3799</v>
      </c>
      <c r="D655" t="s">
        <v>77</v>
      </c>
      <c r="E655" t="s">
        <v>214</v>
      </c>
      <c r="F655" t="s">
        <v>391</v>
      </c>
      <c r="G655" s="3">
        <v>8097720025</v>
      </c>
      <c r="H655" s="2">
        <v>46125</v>
      </c>
      <c r="K655" s="1">
        <f ca="1">IF(A655="","",IF(OR(L655="ENTREGADA",L655="RETORNADA",L655="ENTREGA DIGITAL"),0,MAX(0,5-NETWORKDAYS(H655+1,TODAY()))))</f>
        <v>0</v>
      </c>
      <c r="L655" t="str">
        <f>IF(A655="","",IFERROR(LOOKUP(2,1/(#REF!=Z655),#REF!),Y655))</f>
        <v>RETORNADA</v>
      </c>
      <c r="Y655" t="s">
        <v>1857</v>
      </c>
      <c r="Z655" t="str">
        <f>IF(A655="","",TEXT(A655,"0")&amp;"|"&amp;TEXT(H655,"0"))</f>
        <v>4025017812377730|46125</v>
      </c>
      <c r="AA655" t="str">
        <f>IF(Z655="","",IFERROR(LOOKUP(2,1/(#REF!=Z655),#REF!),""))</f>
        <v/>
      </c>
      <c r="AB655" t="str">
        <f>IF(Z655="","",IFERROR(LOOKUP(2,1/(#REF!=Z655),#REF!),""))</f>
        <v/>
      </c>
      <c r="AC655" t="e">
        <f>IF(Z655="","",COUNTIF(#REF!,Z655))</f>
        <v>#REF!</v>
      </c>
      <c r="AD655" t="e">
        <f>IF(A655="","",IF(AC655&gt;1,"REVISAR DUPLICADO",IF(AA655&lt;&gt;"","ACTUALIZADO POR EYR","SIN REPORTE EYR")))</f>
        <v>#REF!</v>
      </c>
    </row>
    <row r="656" spans="1:30" x14ac:dyDescent="0.3">
      <c r="A656" s="5" t="s">
        <v>3798</v>
      </c>
      <c r="B656" t="s">
        <v>3797</v>
      </c>
      <c r="C656" s="4" t="s">
        <v>3796</v>
      </c>
      <c r="D656" t="s">
        <v>77</v>
      </c>
      <c r="F656" t="s">
        <v>1420</v>
      </c>
      <c r="G656" s="3">
        <v>8299843233</v>
      </c>
      <c r="H656" s="2">
        <v>46125</v>
      </c>
      <c r="K656" s="1">
        <f ca="1">IF(A656="","",IF(OR(L656="ENTREGADA",L656="RETORNADA",L656="ENTREGA DIGITAL"),0,MAX(0,5-NETWORKDAYS(H656+1,TODAY()))))</f>
        <v>0</v>
      </c>
      <c r="L656" t="str">
        <f>IF(A656="","",IFERROR(LOOKUP(2,1/(#REF!=Z656),#REF!),Y656))</f>
        <v>RETORNADA</v>
      </c>
      <c r="Y656" t="s">
        <v>1857</v>
      </c>
      <c r="Z656" t="str">
        <f>IF(A656="","",TEXT(A656,"0")&amp;"|"&amp;TEXT(H656,"0"))</f>
        <v>5188017806069620|46125</v>
      </c>
      <c r="AA656" t="str">
        <f>IF(Z656="","",IFERROR(LOOKUP(2,1/(#REF!=Z656),#REF!),""))</f>
        <v/>
      </c>
      <c r="AB656" t="str">
        <f>IF(Z656="","",IFERROR(LOOKUP(2,1/(#REF!=Z656),#REF!),""))</f>
        <v/>
      </c>
      <c r="AC656" t="e">
        <f>IF(Z656="","",COUNTIF(#REF!,Z656))</f>
        <v>#REF!</v>
      </c>
      <c r="AD656" t="e">
        <f>IF(A656="","",IF(AC656&gt;1,"REVISAR DUPLICADO",IF(AA656&lt;&gt;"","ACTUALIZADO POR EYR","SIN REPORTE EYR")))</f>
        <v>#REF!</v>
      </c>
    </row>
    <row r="657" spans="1:30" x14ac:dyDescent="0.3">
      <c r="A657" s="5" t="s">
        <v>3795</v>
      </c>
      <c r="B657" t="s">
        <v>3794</v>
      </c>
      <c r="C657" s="4" t="s">
        <v>3793</v>
      </c>
      <c r="D657" t="s">
        <v>77</v>
      </c>
      <c r="F657" t="s">
        <v>13</v>
      </c>
      <c r="G657" s="3">
        <v>8299733423</v>
      </c>
      <c r="H657" s="2">
        <v>46125</v>
      </c>
      <c r="I657" t="s">
        <v>3742</v>
      </c>
      <c r="K657" s="1">
        <f ca="1">IF(A657="","",IF(OR(L657="ENTREGADA",L657="RETORNADA",L657="ENTREGA DIGITAL"),0,MAX(0,5-NETWORKDAYS(H657+1,TODAY()))))</f>
        <v>0</v>
      </c>
      <c r="L657" t="str">
        <f>IF(A657="","",IFERROR(LOOKUP(2,1/(#REF!=Z657),#REF!),Y657))</f>
        <v>ENTREGADA</v>
      </c>
      <c r="Y657" t="s">
        <v>1956</v>
      </c>
      <c r="Z657" t="str">
        <f>IF(A657="","",TEXT(A657,"0")&amp;"|"&amp;TEXT(H657,"0"))</f>
        <v>5415017803872160|46125</v>
      </c>
      <c r="AA657" t="str">
        <f>IF(Z657="","",IFERROR(LOOKUP(2,1/(#REF!=Z657),#REF!),""))</f>
        <v/>
      </c>
      <c r="AB657" t="str">
        <f>IF(Z657="","",IFERROR(LOOKUP(2,1/(#REF!=Z657),#REF!),""))</f>
        <v/>
      </c>
      <c r="AC657" t="e">
        <f>IF(Z657="","",COUNTIF(#REF!,Z657))</f>
        <v>#REF!</v>
      </c>
      <c r="AD657" t="e">
        <f>IF(A657="","",IF(AC657&gt;1,"REVISAR DUPLICADO",IF(AA657&lt;&gt;"","ACTUALIZADO POR EYR","SIN REPORTE EYR")))</f>
        <v>#REF!</v>
      </c>
    </row>
    <row r="658" spans="1:30" x14ac:dyDescent="0.3">
      <c r="A658" s="5" t="s">
        <v>3792</v>
      </c>
      <c r="B658" t="s">
        <v>3791</v>
      </c>
      <c r="C658" s="4" t="s">
        <v>3790</v>
      </c>
      <c r="D658" t="s">
        <v>77</v>
      </c>
      <c r="F658" t="s">
        <v>13</v>
      </c>
      <c r="G658" s="3">
        <v>8295515541</v>
      </c>
      <c r="H658" s="2">
        <v>46125</v>
      </c>
      <c r="K658" s="1">
        <f ca="1">IF(A658="","",IF(OR(L658="ENTREGADA",L658="RETORNADA",L658="ENTREGA DIGITAL"),0,MAX(0,5-NETWORKDAYS(H658+1,TODAY()))))</f>
        <v>0</v>
      </c>
      <c r="L658" t="str">
        <f>IF(A658="","",IFERROR(LOOKUP(2,1/(#REF!=Z658),#REF!),Y658))</f>
        <v>RETORNADA</v>
      </c>
      <c r="Y658" t="s">
        <v>1857</v>
      </c>
      <c r="Z658" t="str">
        <f>IF(A658="","",TEXT(A658,"0")&amp;"|"&amp;TEXT(H658,"0"))</f>
        <v>5188017805884210|46125</v>
      </c>
      <c r="AA658" t="str">
        <f>IF(Z658="","",IFERROR(LOOKUP(2,1/(#REF!=Z658),#REF!),""))</f>
        <v/>
      </c>
      <c r="AB658" t="str">
        <f>IF(Z658="","",IFERROR(LOOKUP(2,1/(#REF!=Z658),#REF!),""))</f>
        <v/>
      </c>
      <c r="AC658" t="e">
        <f>IF(Z658="","",COUNTIF(#REF!,Z658))</f>
        <v>#REF!</v>
      </c>
      <c r="AD658" t="e">
        <f>IF(A658="","",IF(AC658&gt;1,"REVISAR DUPLICADO",IF(AA658&lt;&gt;"","ACTUALIZADO POR EYR","SIN REPORTE EYR")))</f>
        <v>#REF!</v>
      </c>
    </row>
    <row r="659" spans="1:30" x14ac:dyDescent="0.3">
      <c r="A659" s="5" t="s">
        <v>1873</v>
      </c>
      <c r="B659" t="s">
        <v>1872</v>
      </c>
      <c r="C659" s="4" t="s">
        <v>1871</v>
      </c>
      <c r="D659" t="s">
        <v>77</v>
      </c>
      <c r="F659" t="s">
        <v>13</v>
      </c>
      <c r="G659" s="3">
        <v>8097756312</v>
      </c>
      <c r="H659" s="2">
        <v>46125</v>
      </c>
      <c r="K659" s="1">
        <f ca="1">IF(A659="","",IF(OR(L659="ENTREGADA",L659="RETORNADA",L659="ENTREGA DIGITAL"),0,MAX(0,5-NETWORKDAYS(H659+1,TODAY()))))</f>
        <v>0</v>
      </c>
      <c r="L659" t="str">
        <f>IF(A659="","",IFERROR(LOOKUP(2,1/(#REF!=Z659),#REF!),Y659))</f>
        <v>RETORNADA</v>
      </c>
      <c r="Y659" t="s">
        <v>1857</v>
      </c>
      <c r="Z659" t="str">
        <f>IF(A659="","",TEXT(A659,"0")&amp;"|"&amp;TEXT(H659,"0"))</f>
        <v>5415017804585400|46125</v>
      </c>
      <c r="AA659" t="str">
        <f>IF(Z659="","",IFERROR(LOOKUP(2,1/(#REF!=Z659),#REF!),""))</f>
        <v/>
      </c>
      <c r="AB659" t="str">
        <f>IF(Z659="","",IFERROR(LOOKUP(2,1/(#REF!=Z659),#REF!),""))</f>
        <v/>
      </c>
      <c r="AC659" t="e">
        <f>IF(Z659="","",COUNTIF(#REF!,Z659))</f>
        <v>#REF!</v>
      </c>
      <c r="AD659" t="e">
        <f>IF(A659="","",IF(AC659&gt;1,"REVISAR DUPLICADO",IF(AA659&lt;&gt;"","ACTUALIZADO POR EYR","SIN REPORTE EYR")))</f>
        <v>#REF!</v>
      </c>
    </row>
    <row r="660" spans="1:30" x14ac:dyDescent="0.3">
      <c r="A660" s="5" t="s">
        <v>3789</v>
      </c>
      <c r="B660" t="s">
        <v>3788</v>
      </c>
      <c r="C660" s="4" t="s">
        <v>3787</v>
      </c>
      <c r="D660" t="s">
        <v>77</v>
      </c>
      <c r="F660" t="s">
        <v>13</v>
      </c>
      <c r="G660" s="3">
        <v>8296294724</v>
      </c>
      <c r="H660" s="2">
        <v>46125</v>
      </c>
      <c r="K660" s="1">
        <f ca="1">IF(A660="","",IF(OR(L660="ENTREGADA",L660="RETORNADA",L660="ENTREGA DIGITAL"),0,MAX(0,5-NETWORKDAYS(H660+1,TODAY()))))</f>
        <v>0</v>
      </c>
      <c r="L660" t="str">
        <f>IF(A660="","",IFERROR(LOOKUP(2,1/(#REF!=Z660),#REF!),Y660))</f>
        <v>RETORNADA</v>
      </c>
      <c r="Y660" t="s">
        <v>1857</v>
      </c>
      <c r="Z660" t="str">
        <f>IF(A660="","",TEXT(A660,"0")&amp;"|"&amp;TEXT(H660,"0"))</f>
        <v>5188017805622240|46125</v>
      </c>
      <c r="AA660" t="str">
        <f>IF(Z660="","",IFERROR(LOOKUP(2,1/(#REF!=Z660),#REF!),""))</f>
        <v/>
      </c>
      <c r="AB660" t="str">
        <f>IF(Z660="","",IFERROR(LOOKUP(2,1/(#REF!=Z660),#REF!),""))</f>
        <v/>
      </c>
      <c r="AC660" t="e">
        <f>IF(Z660="","",COUNTIF(#REF!,Z660))</f>
        <v>#REF!</v>
      </c>
      <c r="AD660" t="e">
        <f>IF(A660="","",IF(AC660&gt;1,"REVISAR DUPLICADO",IF(AA660&lt;&gt;"","ACTUALIZADO POR EYR","SIN REPORTE EYR")))</f>
        <v>#REF!</v>
      </c>
    </row>
    <row r="661" spans="1:30" x14ac:dyDescent="0.3">
      <c r="A661" s="5" t="s">
        <v>3786</v>
      </c>
      <c r="B661" t="s">
        <v>3785</v>
      </c>
      <c r="C661" s="4" t="s">
        <v>3784</v>
      </c>
      <c r="D661" t="s">
        <v>77</v>
      </c>
      <c r="F661" t="s">
        <v>3783</v>
      </c>
      <c r="G661" s="3">
        <v>8094383046</v>
      </c>
      <c r="H661" s="2">
        <v>46125</v>
      </c>
      <c r="K661" s="1">
        <f ca="1">IF(A661="","",IF(OR(L661="ENTREGADA",L661="RETORNADA",L661="ENTREGA DIGITAL"),0,MAX(0,5-NETWORKDAYS(H661+1,TODAY()))))</f>
        <v>0</v>
      </c>
      <c r="L661" t="str">
        <f>IF(A661="","",IFERROR(LOOKUP(2,1/(#REF!=Z661),#REF!),Y661))</f>
        <v>RETORNADA</v>
      </c>
      <c r="Y661" t="s">
        <v>1857</v>
      </c>
      <c r="Z661" t="str">
        <f>IF(A661="","",TEXT(A661,"0")&amp;"|"&amp;TEXT(H661,"0"))</f>
        <v>5188017805982560|46125</v>
      </c>
      <c r="AA661" t="str">
        <f>IF(Z661="","",IFERROR(LOOKUP(2,1/(#REF!=Z661),#REF!),""))</f>
        <v/>
      </c>
      <c r="AB661" t="str">
        <f>IF(Z661="","",IFERROR(LOOKUP(2,1/(#REF!=Z661),#REF!),""))</f>
        <v/>
      </c>
      <c r="AC661" t="e">
        <f>IF(Z661="","",COUNTIF(#REF!,Z661))</f>
        <v>#REF!</v>
      </c>
      <c r="AD661" t="e">
        <f>IF(A661="","",IF(AC661&gt;1,"REVISAR DUPLICADO",IF(AA661&lt;&gt;"","ACTUALIZADO POR EYR","SIN REPORTE EYR")))</f>
        <v>#REF!</v>
      </c>
    </row>
    <row r="662" spans="1:30" x14ac:dyDescent="0.3">
      <c r="A662" s="5" t="s">
        <v>3782</v>
      </c>
      <c r="B662" t="s">
        <v>3781</v>
      </c>
      <c r="C662" s="4" t="s">
        <v>3780</v>
      </c>
      <c r="D662" t="s">
        <v>77</v>
      </c>
      <c r="E662" t="s">
        <v>214</v>
      </c>
      <c r="F662" t="s">
        <v>648</v>
      </c>
      <c r="G662" s="3">
        <v>9999999999</v>
      </c>
      <c r="H662" s="2">
        <v>46125</v>
      </c>
      <c r="K662" s="1">
        <f ca="1">IF(A662="","",IF(OR(L662="ENTREGADA",L662="RETORNADA",L662="ENTREGA DIGITAL"),0,MAX(0,5-NETWORKDAYS(H662+1,TODAY()))))</f>
        <v>0</v>
      </c>
      <c r="L662" t="str">
        <f>IF(A662="","",IFERROR(LOOKUP(2,1/(#REF!=Z662),#REF!),Y662))</f>
        <v>ENTREGA DIGITAL</v>
      </c>
      <c r="Y662" t="s">
        <v>1396</v>
      </c>
      <c r="Z662" t="str">
        <f>IF(A662="","",TEXT(A662,"0")&amp;"|"&amp;TEXT(H662,"0"))</f>
        <v>4921017810377410|46125</v>
      </c>
      <c r="AA662" t="str">
        <f>IF(Z662="","",IFERROR(LOOKUP(2,1/(#REF!=Z662),#REF!),""))</f>
        <v/>
      </c>
      <c r="AB662" t="str">
        <f>IF(Z662="","",IFERROR(LOOKUP(2,1/(#REF!=Z662),#REF!),""))</f>
        <v/>
      </c>
      <c r="AC662" t="e">
        <f>IF(Z662="","",COUNTIF(#REF!,Z662))</f>
        <v>#REF!</v>
      </c>
      <c r="AD662" t="e">
        <f>IF(A662="","",IF(AC662&gt;1,"REVISAR DUPLICADO",IF(AA662&lt;&gt;"","ACTUALIZADO POR EYR","SIN REPORTE EYR")))</f>
        <v>#REF!</v>
      </c>
    </row>
    <row r="663" spans="1:30" x14ac:dyDescent="0.3">
      <c r="A663" s="5" t="s">
        <v>3779</v>
      </c>
      <c r="B663" t="s">
        <v>338</v>
      </c>
      <c r="C663" s="4" t="s">
        <v>337</v>
      </c>
      <c r="D663" t="s">
        <v>77</v>
      </c>
      <c r="E663" t="s">
        <v>214</v>
      </c>
      <c r="F663" t="s">
        <v>391</v>
      </c>
      <c r="G663" s="3">
        <v>8092091839</v>
      </c>
      <c r="H663" s="2">
        <v>46125</v>
      </c>
      <c r="I663" t="s">
        <v>1397</v>
      </c>
      <c r="K663" s="1">
        <f ca="1">IF(A663="","",IF(OR(L663="ENTREGADA",L663="RETORNADA",L663="ENTREGA DIGITAL"),0,MAX(0,5-NETWORKDAYS(H663+1,TODAY()))))</f>
        <v>0</v>
      </c>
      <c r="L663" t="str">
        <f>IF(A663="","",IFERROR(LOOKUP(2,1/(#REF!=Z663),#REF!),Y663))</f>
        <v>ENTREGA DIGITAL</v>
      </c>
      <c r="Y663" t="s">
        <v>1396</v>
      </c>
      <c r="Z663" t="str">
        <f>IF(A663="","",TEXT(A663,"0")&amp;"|"&amp;TEXT(H663,"0"))</f>
        <v>5188017805546270|46125</v>
      </c>
      <c r="AA663" t="str">
        <f>IF(Z663="","",IFERROR(LOOKUP(2,1/(#REF!=Z663),#REF!),""))</f>
        <v/>
      </c>
      <c r="AB663" t="str">
        <f>IF(Z663="","",IFERROR(LOOKUP(2,1/(#REF!=Z663),#REF!),""))</f>
        <v/>
      </c>
      <c r="AC663" t="e">
        <f>IF(Z663="","",COUNTIF(#REF!,Z663))</f>
        <v>#REF!</v>
      </c>
      <c r="AD663" t="e">
        <f>IF(A663="","",IF(AC663&gt;1,"REVISAR DUPLICADO",IF(AA663&lt;&gt;"","ACTUALIZADO POR EYR","SIN REPORTE EYR")))</f>
        <v>#REF!</v>
      </c>
    </row>
    <row r="664" spans="1:30" x14ac:dyDescent="0.3">
      <c r="A664" s="5" t="s">
        <v>3778</v>
      </c>
      <c r="B664" t="s">
        <v>2133</v>
      </c>
      <c r="C664" s="4" t="s">
        <v>3777</v>
      </c>
      <c r="D664" t="s">
        <v>77</v>
      </c>
      <c r="E664" t="s">
        <v>214</v>
      </c>
      <c r="F664" t="s">
        <v>391</v>
      </c>
      <c r="G664" s="3">
        <v>8295293027</v>
      </c>
      <c r="H664" s="2">
        <v>46125</v>
      </c>
      <c r="I664" t="s">
        <v>1397</v>
      </c>
      <c r="K664" s="1">
        <f ca="1">IF(A664="","",IF(OR(L664="ENTREGADA",L664="RETORNADA",L664="ENTREGA DIGITAL"),0,MAX(0,5-NETWORKDAYS(H664+1,TODAY()))))</f>
        <v>0</v>
      </c>
      <c r="L664" t="str">
        <f>IF(A664="","",IFERROR(LOOKUP(2,1/(#REF!=Z664),#REF!),Y664))</f>
        <v>ENTREGA DIGITAL</v>
      </c>
      <c r="Y664" t="s">
        <v>1396</v>
      </c>
      <c r="Z664" t="str">
        <f>IF(A664="","",TEXT(A664,"0")&amp;"|"&amp;TEXT(H664,"0"))</f>
        <v>5415017805347380|46125</v>
      </c>
      <c r="AA664" t="str">
        <f>IF(Z664="","",IFERROR(LOOKUP(2,1/(#REF!=Z664),#REF!),""))</f>
        <v/>
      </c>
      <c r="AB664" t="str">
        <f>IF(Z664="","",IFERROR(LOOKUP(2,1/(#REF!=Z664),#REF!),""))</f>
        <v/>
      </c>
      <c r="AC664" t="e">
        <f>IF(Z664="","",COUNTIF(#REF!,Z664))</f>
        <v>#REF!</v>
      </c>
      <c r="AD664" t="e">
        <f>IF(A664="","",IF(AC664&gt;1,"REVISAR DUPLICADO",IF(AA664&lt;&gt;"","ACTUALIZADO POR EYR","SIN REPORTE EYR")))</f>
        <v>#REF!</v>
      </c>
    </row>
    <row r="665" spans="1:30" x14ac:dyDescent="0.3">
      <c r="A665" s="5" t="s">
        <v>3776</v>
      </c>
      <c r="B665" t="s">
        <v>3775</v>
      </c>
      <c r="C665" s="4" t="s">
        <v>3774</v>
      </c>
      <c r="D665" t="s">
        <v>77</v>
      </c>
      <c r="F665" t="s">
        <v>3773</v>
      </c>
      <c r="G665" s="3">
        <v>8099839662</v>
      </c>
      <c r="H665" s="2">
        <v>46125</v>
      </c>
      <c r="I665" t="s">
        <v>1397</v>
      </c>
      <c r="K665" s="1">
        <f ca="1">IF(A665="","",IF(OR(L665="ENTREGADA",L665="RETORNADA",L665="ENTREGA DIGITAL"),0,MAX(0,5-NETWORKDAYS(H665+1,TODAY()))))</f>
        <v>0</v>
      </c>
      <c r="L665" t="str">
        <f>IF(A665="","",IFERROR(LOOKUP(2,1/(#REF!=Z665),#REF!),Y665))</f>
        <v>ENTREGADA</v>
      </c>
      <c r="Y665" t="s">
        <v>1956</v>
      </c>
      <c r="Z665" t="str">
        <f>IF(A665="","",TEXT(A665,"0")&amp;"|"&amp;TEXT(H665,"0"))</f>
        <v>5415017728163240|46125</v>
      </c>
      <c r="AA665" t="str">
        <f>IF(Z665="","",IFERROR(LOOKUP(2,1/(#REF!=Z665),#REF!),""))</f>
        <v/>
      </c>
      <c r="AB665" t="str">
        <f>IF(Z665="","",IFERROR(LOOKUP(2,1/(#REF!=Z665),#REF!),""))</f>
        <v/>
      </c>
      <c r="AC665" t="e">
        <f>IF(Z665="","",COUNTIF(#REF!,Z665))</f>
        <v>#REF!</v>
      </c>
      <c r="AD665" t="e">
        <f>IF(A665="","",IF(AC665&gt;1,"REVISAR DUPLICADO",IF(AA665&lt;&gt;"","ACTUALIZADO POR EYR","SIN REPORTE EYR")))</f>
        <v>#REF!</v>
      </c>
    </row>
    <row r="666" spans="1:30" x14ac:dyDescent="0.3">
      <c r="A666" s="5" t="s">
        <v>3772</v>
      </c>
      <c r="B666" t="s">
        <v>3771</v>
      </c>
      <c r="C666" s="4" t="s">
        <v>3770</v>
      </c>
      <c r="D666" t="s">
        <v>77</v>
      </c>
      <c r="F666" t="s">
        <v>0</v>
      </c>
      <c r="G666" s="3">
        <v>8097527041</v>
      </c>
      <c r="H666" s="2">
        <v>46125</v>
      </c>
      <c r="K666" s="1">
        <f ca="1">IF(A666="","",IF(OR(L666="ENTREGADA",L666="RETORNADA",L666="ENTREGA DIGITAL"),0,MAX(0,5-NETWORKDAYS(H666+1,TODAY()))))</f>
        <v>0</v>
      </c>
      <c r="L666" t="str">
        <f>IF(A666="","",IFERROR(LOOKUP(2,1/(#REF!=Z666),#REF!),Y666))</f>
        <v>ENTREGADA</v>
      </c>
      <c r="Y666" t="s">
        <v>1956</v>
      </c>
      <c r="Z666" t="str">
        <f>IF(A666="","",TEXT(A666,"0")&amp;"|"&amp;TEXT(H666,"0"))</f>
        <v>5188017705711730|46125</v>
      </c>
      <c r="AA666" t="str">
        <f>IF(Z666="","",IFERROR(LOOKUP(2,1/(#REF!=Z666),#REF!),""))</f>
        <v/>
      </c>
      <c r="AB666" t="str">
        <f>IF(Z666="","",IFERROR(LOOKUP(2,1/(#REF!=Z666),#REF!),""))</f>
        <v/>
      </c>
      <c r="AC666" t="e">
        <f>IF(Z666="","",COUNTIF(#REF!,Z666))</f>
        <v>#REF!</v>
      </c>
      <c r="AD666" t="e">
        <f>IF(A666="","",IF(AC666&gt;1,"REVISAR DUPLICADO",IF(AA666&lt;&gt;"","ACTUALIZADO POR EYR","SIN REPORTE EYR")))</f>
        <v>#REF!</v>
      </c>
    </row>
    <row r="667" spans="1:30" x14ac:dyDescent="0.3">
      <c r="A667" s="5" t="s">
        <v>3769</v>
      </c>
      <c r="B667" t="s">
        <v>3768</v>
      </c>
      <c r="C667" s="4" t="s">
        <v>3767</v>
      </c>
      <c r="D667" t="s">
        <v>77</v>
      </c>
      <c r="F667" t="s">
        <v>0</v>
      </c>
      <c r="G667" s="3">
        <v>8098095616</v>
      </c>
      <c r="H667" s="2">
        <v>46125</v>
      </c>
      <c r="I667" t="s">
        <v>1397</v>
      </c>
      <c r="K667" s="1">
        <f ca="1">IF(A667="","",IF(OR(L667="ENTREGADA",L667="RETORNADA",L667="ENTREGA DIGITAL"),0,MAX(0,5-NETWORKDAYS(H667+1,TODAY()))))</f>
        <v>0</v>
      </c>
      <c r="L667" t="str">
        <f>IF(A667="","",IFERROR(LOOKUP(2,1/(#REF!=Z667),#REF!),Y667))</f>
        <v>ENTREGA DIGITAL</v>
      </c>
      <c r="Y667" t="s">
        <v>1396</v>
      </c>
      <c r="Z667" t="str">
        <f>IF(A667="","",TEXT(A667,"0")&amp;"|"&amp;TEXT(H667,"0"))</f>
        <v>5415017728158740|46125</v>
      </c>
      <c r="AA667" t="str">
        <f>IF(Z667="","",IFERROR(LOOKUP(2,1/(#REF!=Z667),#REF!),""))</f>
        <v/>
      </c>
      <c r="AB667" t="str">
        <f>IF(Z667="","",IFERROR(LOOKUP(2,1/(#REF!=Z667),#REF!),""))</f>
        <v/>
      </c>
      <c r="AC667" t="e">
        <f>IF(Z667="","",COUNTIF(#REF!,Z667))</f>
        <v>#REF!</v>
      </c>
      <c r="AD667" t="e">
        <f>IF(A667="","",IF(AC667&gt;1,"REVISAR DUPLICADO",IF(AA667&lt;&gt;"","ACTUALIZADO POR EYR","SIN REPORTE EYR")))</f>
        <v>#REF!</v>
      </c>
    </row>
    <row r="668" spans="1:30" x14ac:dyDescent="0.3">
      <c r="A668" s="5" t="s">
        <v>3766</v>
      </c>
      <c r="B668" t="s">
        <v>3765</v>
      </c>
      <c r="C668" s="4" t="s">
        <v>3764</v>
      </c>
      <c r="D668" t="s">
        <v>77</v>
      </c>
      <c r="F668" t="s">
        <v>205</v>
      </c>
      <c r="G668" s="3">
        <v>8098407451</v>
      </c>
      <c r="H668" s="2">
        <v>46125</v>
      </c>
      <c r="K668" s="1">
        <f ca="1">IF(A668="","",IF(OR(L668="ENTREGADA",L668="RETORNADA",L668="ENTREGA DIGITAL"),0,MAX(0,5-NETWORKDAYS(H668+1,TODAY()))))</f>
        <v>0</v>
      </c>
      <c r="L668" t="str">
        <f>IF(A668="","",IFERROR(LOOKUP(2,1/(#REF!=Z668),#REF!),Y668))</f>
        <v>ENTREGADA</v>
      </c>
      <c r="Y668" t="s">
        <v>1956</v>
      </c>
      <c r="Z668" t="str">
        <f>IF(A668="","",TEXT(A668,"0")&amp;"|"&amp;TEXT(H668,"0"))</f>
        <v>5415017385266340|46125</v>
      </c>
      <c r="AA668" t="str">
        <f>IF(Z668="","",IFERROR(LOOKUP(2,1/(#REF!=Z668),#REF!),""))</f>
        <v/>
      </c>
      <c r="AB668" t="str">
        <f>IF(Z668="","",IFERROR(LOOKUP(2,1/(#REF!=Z668),#REF!),""))</f>
        <v/>
      </c>
      <c r="AC668" t="e">
        <f>IF(Z668="","",COUNTIF(#REF!,Z668))</f>
        <v>#REF!</v>
      </c>
      <c r="AD668" t="e">
        <f>IF(A668="","",IF(AC668&gt;1,"REVISAR DUPLICADO",IF(AA668&lt;&gt;"","ACTUALIZADO POR EYR","SIN REPORTE EYR")))</f>
        <v>#REF!</v>
      </c>
    </row>
    <row r="669" spans="1:30" x14ac:dyDescent="0.3">
      <c r="A669" s="5" t="s">
        <v>3763</v>
      </c>
      <c r="B669" t="s">
        <v>3762</v>
      </c>
      <c r="C669" s="4" t="s">
        <v>3761</v>
      </c>
      <c r="D669" t="s">
        <v>77</v>
      </c>
      <c r="F669" t="s">
        <v>3760</v>
      </c>
      <c r="G669" s="3">
        <v>8493439697</v>
      </c>
      <c r="H669" s="2">
        <v>46125</v>
      </c>
      <c r="I669" t="s">
        <v>3742</v>
      </c>
      <c r="K669" s="1">
        <f ca="1">IF(A669="","",IF(OR(L669="ENTREGADA",L669="RETORNADA",L669="ENTREGA DIGITAL"),0,MAX(0,5-NETWORKDAYS(H669+1,TODAY()))))</f>
        <v>0</v>
      </c>
      <c r="L669" t="str">
        <f>IF(A669="","",IFERROR(LOOKUP(2,1/(#REF!=Z669),#REF!),Y669))</f>
        <v>ENTREGADA</v>
      </c>
      <c r="Y669" t="s">
        <v>1956</v>
      </c>
      <c r="Z669" t="str">
        <f>IF(A669="","",TEXT(A669,"0")&amp;"|"&amp;TEXT(H669,"0"))</f>
        <v>5415017664354950|46125</v>
      </c>
      <c r="AA669" t="str">
        <f>IF(Z669="","",IFERROR(LOOKUP(2,1/(#REF!=Z669),#REF!),""))</f>
        <v/>
      </c>
      <c r="AB669" t="str">
        <f>IF(Z669="","",IFERROR(LOOKUP(2,1/(#REF!=Z669),#REF!),""))</f>
        <v/>
      </c>
      <c r="AC669" t="e">
        <f>IF(Z669="","",COUNTIF(#REF!,Z669))</f>
        <v>#REF!</v>
      </c>
      <c r="AD669" t="e">
        <f>IF(A669="","",IF(AC669&gt;1,"REVISAR DUPLICADO",IF(AA669&lt;&gt;"","ACTUALIZADO POR EYR","SIN REPORTE EYR")))</f>
        <v>#REF!</v>
      </c>
    </row>
    <row r="670" spans="1:30" x14ac:dyDescent="0.3">
      <c r="A670" s="5" t="s">
        <v>3759</v>
      </c>
      <c r="B670" t="s">
        <v>3758</v>
      </c>
      <c r="C670" s="4" t="s">
        <v>3757</v>
      </c>
      <c r="D670" t="s">
        <v>77</v>
      </c>
      <c r="F670" t="s">
        <v>3756</v>
      </c>
      <c r="G670" s="3">
        <v>8099186897</v>
      </c>
      <c r="H670" s="2">
        <v>46125</v>
      </c>
      <c r="K670" s="1">
        <f ca="1">IF(A670="","",IF(OR(L670="ENTREGADA",L670="RETORNADA",L670="ENTREGA DIGITAL"),0,MAX(0,5-NETWORKDAYS(H670+1,TODAY()))))</f>
        <v>0</v>
      </c>
      <c r="L670" t="str">
        <f>IF(A670="","",IFERROR(LOOKUP(2,1/(#REF!=Z670),#REF!),Y670))</f>
        <v>ENTREGADA</v>
      </c>
      <c r="Y670" t="s">
        <v>1956</v>
      </c>
      <c r="Z670" t="str">
        <f>IF(A670="","",TEXT(A670,"0")&amp;"|"&amp;TEXT(H670,"0"))</f>
        <v>5415017664008710|46125</v>
      </c>
      <c r="AA670" t="str">
        <f>IF(Z670="","",IFERROR(LOOKUP(2,1/(#REF!=Z670),#REF!),""))</f>
        <v/>
      </c>
      <c r="AB670" t="str">
        <f>IF(Z670="","",IFERROR(LOOKUP(2,1/(#REF!=Z670),#REF!),""))</f>
        <v/>
      </c>
      <c r="AC670" t="e">
        <f>IF(Z670="","",COUNTIF(#REF!,Z670))</f>
        <v>#REF!</v>
      </c>
      <c r="AD670" t="e">
        <f>IF(A670="","",IF(AC670&gt;1,"REVISAR DUPLICADO",IF(AA670&lt;&gt;"","ACTUALIZADO POR EYR","SIN REPORTE EYR")))</f>
        <v>#REF!</v>
      </c>
    </row>
    <row r="671" spans="1:30" x14ac:dyDescent="0.3">
      <c r="A671" s="5" t="s">
        <v>1419</v>
      </c>
      <c r="B671" t="s">
        <v>1418</v>
      </c>
      <c r="C671" s="4" t="s">
        <v>1417</v>
      </c>
      <c r="D671" t="s">
        <v>77</v>
      </c>
      <c r="F671" t="s">
        <v>0</v>
      </c>
      <c r="G671" s="3">
        <v>8299651336</v>
      </c>
      <c r="H671" s="2">
        <v>46125</v>
      </c>
      <c r="K671" s="1">
        <f ca="1">IF(A671="","",IF(OR(L671="ENTREGADA",L671="RETORNADA",L671="ENTREGA DIGITAL"),0,MAX(0,5-NETWORKDAYS(H671+1,TODAY()))))</f>
        <v>0</v>
      </c>
      <c r="L671" t="str">
        <f>IF(A671="","",IFERROR(LOOKUP(2,1/(#REF!=Z671),#REF!),Y671))</f>
        <v>RETORNADA</v>
      </c>
      <c r="Y671" t="s">
        <v>1857</v>
      </c>
      <c r="Z671" t="str">
        <f>IF(A671="","",TEXT(A671,"0")&amp;"|"&amp;TEXT(H671,"0"))</f>
        <v>4921017757635800|46125</v>
      </c>
      <c r="AA671" t="str">
        <f>IF(Z671="","",IFERROR(LOOKUP(2,1/(#REF!=Z671),#REF!),""))</f>
        <v/>
      </c>
      <c r="AB671" t="str">
        <f>IF(Z671="","",IFERROR(LOOKUP(2,1/(#REF!=Z671),#REF!),""))</f>
        <v/>
      </c>
      <c r="AC671" t="e">
        <f>IF(Z671="","",COUNTIF(#REF!,Z671))</f>
        <v>#REF!</v>
      </c>
      <c r="AD671" t="e">
        <f>IF(A671="","",IF(AC671&gt;1,"REVISAR DUPLICADO",IF(AA671&lt;&gt;"","ACTUALIZADO POR EYR","SIN REPORTE EYR")))</f>
        <v>#REF!</v>
      </c>
    </row>
    <row r="672" spans="1:30" x14ac:dyDescent="0.3">
      <c r="A672" s="5" t="s">
        <v>741</v>
      </c>
      <c r="B672" t="s">
        <v>740</v>
      </c>
      <c r="C672" s="4" t="s">
        <v>739</v>
      </c>
      <c r="D672" t="s">
        <v>77</v>
      </c>
      <c r="F672" t="s">
        <v>0</v>
      </c>
      <c r="G672" s="3">
        <v>8093545895</v>
      </c>
      <c r="H672" s="2">
        <v>46125</v>
      </c>
      <c r="K672" s="1">
        <f ca="1">IF(A672="","",IF(OR(L672="ENTREGADA",L672="RETORNADA",L672="ENTREGA DIGITAL"),0,MAX(0,5-NETWORKDAYS(H672+1,TODAY()))))</f>
        <v>0</v>
      </c>
      <c r="L672" t="str">
        <f>IF(A672="","",IFERROR(LOOKUP(2,1/(#REF!=Z672),#REF!),Y672))</f>
        <v>RETORNADA</v>
      </c>
      <c r="Y672" t="s">
        <v>1857</v>
      </c>
      <c r="Z672" t="str">
        <f>IF(A672="","",TEXT(A672,"0")&amp;"|"&amp;TEXT(H672,"0"))</f>
        <v>4921017687626310|46125</v>
      </c>
      <c r="AA672" t="str">
        <f>IF(Z672="","",IFERROR(LOOKUP(2,1/(#REF!=Z672),#REF!),""))</f>
        <v/>
      </c>
      <c r="AB672" t="str">
        <f>IF(Z672="","",IFERROR(LOOKUP(2,1/(#REF!=Z672),#REF!),""))</f>
        <v/>
      </c>
      <c r="AC672" t="e">
        <f>IF(Z672="","",COUNTIF(#REF!,Z672))</f>
        <v>#REF!</v>
      </c>
      <c r="AD672" t="e">
        <f>IF(A672="","",IF(AC672&gt;1,"REVISAR DUPLICADO",IF(AA672&lt;&gt;"","ACTUALIZADO POR EYR","SIN REPORTE EYR")))</f>
        <v>#REF!</v>
      </c>
    </row>
    <row r="673" spans="1:30" x14ac:dyDescent="0.3">
      <c r="A673" s="5" t="s">
        <v>3755</v>
      </c>
      <c r="B673" t="s">
        <v>3754</v>
      </c>
      <c r="C673" s="4" t="s">
        <v>3753</v>
      </c>
      <c r="D673" t="s">
        <v>77</v>
      </c>
      <c r="F673" t="s">
        <v>146</v>
      </c>
      <c r="G673" s="3">
        <v>8499195271</v>
      </c>
      <c r="H673" s="2">
        <v>46125</v>
      </c>
      <c r="I673" t="s">
        <v>1397</v>
      </c>
      <c r="K673" s="1">
        <f ca="1">IF(A673="","",IF(OR(L673="ENTREGADA",L673="RETORNADA",L673="ENTREGA DIGITAL"),0,MAX(0,5-NETWORKDAYS(H673+1,TODAY()))))</f>
        <v>0</v>
      </c>
      <c r="L673" t="str">
        <f>IF(A673="","",IFERROR(LOOKUP(2,1/(#REF!=Z673),#REF!),Y673))</f>
        <v>ENTREGA DIGITAL</v>
      </c>
      <c r="Y673" t="s">
        <v>1396</v>
      </c>
      <c r="Z673" t="str">
        <f>IF(A673="","",TEXT(A673,"0")&amp;"|"&amp;TEXT(H673,"0"))</f>
        <v>4921017745498640|46125</v>
      </c>
      <c r="AA673" t="str">
        <f>IF(Z673="","",IFERROR(LOOKUP(2,1/(#REF!=Z673),#REF!),""))</f>
        <v/>
      </c>
      <c r="AB673" t="str">
        <f>IF(Z673="","",IFERROR(LOOKUP(2,1/(#REF!=Z673),#REF!),""))</f>
        <v/>
      </c>
      <c r="AC673" t="e">
        <f>IF(Z673="","",COUNTIF(#REF!,Z673))</f>
        <v>#REF!</v>
      </c>
      <c r="AD673" t="e">
        <f>IF(A673="","",IF(AC673&gt;1,"REVISAR DUPLICADO",IF(AA673&lt;&gt;"","ACTUALIZADO POR EYR","SIN REPORTE EYR")))</f>
        <v>#REF!</v>
      </c>
    </row>
    <row r="674" spans="1:30" x14ac:dyDescent="0.3">
      <c r="A674" s="5" t="s">
        <v>3752</v>
      </c>
      <c r="B674" t="s">
        <v>3751</v>
      </c>
      <c r="C674" s="4" t="s">
        <v>3750</v>
      </c>
      <c r="D674" t="s">
        <v>77</v>
      </c>
      <c r="F674">
        <v>34</v>
      </c>
      <c r="G674" s="3">
        <v>8297749180</v>
      </c>
      <c r="H674" s="2">
        <v>46125</v>
      </c>
      <c r="I674" t="s">
        <v>3742</v>
      </c>
      <c r="K674" s="1">
        <f ca="1">IF(A674="","",IF(OR(L674="ENTREGADA",L674="RETORNADA",L674="ENTREGA DIGITAL"),0,MAX(0,5-NETWORKDAYS(H674+1,TODAY()))))</f>
        <v>0</v>
      </c>
      <c r="L674" t="str">
        <f>IF(A674="","",IFERROR(LOOKUP(2,1/(#REF!=Z674),#REF!),Y674))</f>
        <v>ENTREGADA</v>
      </c>
      <c r="Y674" t="s">
        <v>1956</v>
      </c>
      <c r="Z674" t="str">
        <f>IF(A674="","",TEXT(A674,"0")&amp;"|"&amp;TEXT(H674,"0"))</f>
        <v>4921017707290840|46125</v>
      </c>
      <c r="AA674" t="str">
        <f>IF(Z674="","",IFERROR(LOOKUP(2,1/(#REF!=Z674),#REF!),""))</f>
        <v/>
      </c>
      <c r="AB674" t="str">
        <f>IF(Z674="","",IFERROR(LOOKUP(2,1/(#REF!=Z674),#REF!),""))</f>
        <v/>
      </c>
      <c r="AC674" t="e">
        <f>IF(Z674="","",COUNTIF(#REF!,Z674))</f>
        <v>#REF!</v>
      </c>
      <c r="AD674" t="e">
        <f>IF(A674="","",IF(AC674&gt;1,"REVISAR DUPLICADO",IF(AA674&lt;&gt;"","ACTUALIZADO POR EYR","SIN REPORTE EYR")))</f>
        <v>#REF!</v>
      </c>
    </row>
    <row r="675" spans="1:30" x14ac:dyDescent="0.3">
      <c r="A675" s="5" t="s">
        <v>1413</v>
      </c>
      <c r="B675" t="s">
        <v>1412</v>
      </c>
      <c r="C675" s="4" t="s">
        <v>1411</v>
      </c>
      <c r="D675" t="s">
        <v>77</v>
      </c>
      <c r="F675" t="s">
        <v>122</v>
      </c>
      <c r="G675" s="3">
        <v>8092213637</v>
      </c>
      <c r="H675" s="2">
        <v>46125</v>
      </c>
      <c r="K675" s="1">
        <f ca="1">IF(A675="","",IF(OR(L675="ENTREGADA",L675="RETORNADA",L675="ENTREGA DIGITAL"),0,MAX(0,5-NETWORKDAYS(H675+1,TODAY()))))</f>
        <v>0</v>
      </c>
      <c r="L675" t="str">
        <f>IF(A675="","",IFERROR(LOOKUP(2,1/(#REF!=Z675),#REF!),Y675))</f>
        <v>RETORNADA</v>
      </c>
      <c r="Y675" t="s">
        <v>1857</v>
      </c>
      <c r="Z675" t="str">
        <f>IF(A675="","",TEXT(A675,"0")&amp;"|"&amp;TEXT(H675,"0"))</f>
        <v>4921017812000200|46125</v>
      </c>
      <c r="AA675" t="str">
        <f>IF(Z675="","",IFERROR(LOOKUP(2,1/(#REF!=Z675),#REF!),""))</f>
        <v/>
      </c>
      <c r="AB675" t="str">
        <f>IF(Z675="","",IFERROR(LOOKUP(2,1/(#REF!=Z675),#REF!),""))</f>
        <v/>
      </c>
      <c r="AC675" t="e">
        <f>IF(Z675="","",COUNTIF(#REF!,Z675))</f>
        <v>#REF!</v>
      </c>
      <c r="AD675" t="e">
        <f>IF(A675="","",IF(AC675&gt;1,"REVISAR DUPLICADO",IF(AA675&lt;&gt;"","ACTUALIZADO POR EYR","SIN REPORTE EYR")))</f>
        <v>#REF!</v>
      </c>
    </row>
    <row r="676" spans="1:30" x14ac:dyDescent="0.3">
      <c r="A676" s="5" t="s">
        <v>3749</v>
      </c>
      <c r="B676" t="s">
        <v>3748</v>
      </c>
      <c r="C676" s="4" t="s">
        <v>3747</v>
      </c>
      <c r="D676" t="s">
        <v>77</v>
      </c>
      <c r="F676" t="s">
        <v>3746</v>
      </c>
      <c r="G676" s="3">
        <v>8294270874</v>
      </c>
      <c r="H676" s="2">
        <v>46125</v>
      </c>
      <c r="I676" t="s">
        <v>1397</v>
      </c>
      <c r="K676" s="1">
        <f ca="1">IF(A676="","",IF(OR(L676="ENTREGADA",L676="RETORNADA",L676="ENTREGA DIGITAL"),0,MAX(0,5-NETWORKDAYS(H676+1,TODAY()))))</f>
        <v>0</v>
      </c>
      <c r="L676" t="str">
        <f>IF(A676="","",IFERROR(LOOKUP(2,1/(#REF!=Z676),#REF!),Y676))</f>
        <v>ENTREGA DIGITAL</v>
      </c>
      <c r="Y676" t="s">
        <v>1396</v>
      </c>
      <c r="Z676" t="str">
        <f>IF(A676="","",TEXT(A676,"0")&amp;"|"&amp;TEXT(H676,"0"))</f>
        <v>4921017808021790|46125</v>
      </c>
      <c r="AA676" t="str">
        <f>IF(Z676="","",IFERROR(LOOKUP(2,1/(#REF!=Z676),#REF!),""))</f>
        <v/>
      </c>
      <c r="AB676" t="str">
        <f>IF(Z676="","",IFERROR(LOOKUP(2,1/(#REF!=Z676),#REF!),""))</f>
        <v/>
      </c>
      <c r="AC676" t="e">
        <f>IF(Z676="","",COUNTIF(#REF!,Z676))</f>
        <v>#REF!</v>
      </c>
      <c r="AD676" t="e">
        <f>IF(A676="","",IF(AC676&gt;1,"REVISAR DUPLICADO",IF(AA676&lt;&gt;"","ACTUALIZADO POR EYR","SIN REPORTE EYR")))</f>
        <v>#REF!</v>
      </c>
    </row>
    <row r="677" spans="1:30" x14ac:dyDescent="0.3">
      <c r="A677" s="5" t="s">
        <v>1838</v>
      </c>
      <c r="B677" t="s">
        <v>1837</v>
      </c>
      <c r="C677" s="4" t="s">
        <v>1836</v>
      </c>
      <c r="D677" t="s">
        <v>77</v>
      </c>
      <c r="F677" t="s">
        <v>1835</v>
      </c>
      <c r="G677" s="3">
        <v>8293468806</v>
      </c>
      <c r="H677" s="2">
        <v>46125</v>
      </c>
      <c r="K677" s="1">
        <f ca="1">IF(A677="","",IF(OR(L677="ENTREGADA",L677="RETORNADA",L677="ENTREGA DIGITAL"),0,MAX(0,5-NETWORKDAYS(H677+1,TODAY()))))</f>
        <v>0</v>
      </c>
      <c r="L677" t="str">
        <f>IF(A677="","",IFERROR(LOOKUP(2,1/(#REF!=Z677),#REF!),Y677))</f>
        <v>RETORNADA</v>
      </c>
      <c r="Y677" t="s">
        <v>1857</v>
      </c>
      <c r="Z677" t="str">
        <f>IF(A677="","",TEXT(A677,"0")&amp;"|"&amp;TEXT(H677,"0"))</f>
        <v>4921017808546880|46125</v>
      </c>
      <c r="AA677" t="str">
        <f>IF(Z677="","",IFERROR(LOOKUP(2,1/(#REF!=Z677),#REF!),""))</f>
        <v/>
      </c>
      <c r="AB677" t="str">
        <f>IF(Z677="","",IFERROR(LOOKUP(2,1/(#REF!=Z677),#REF!),""))</f>
        <v/>
      </c>
      <c r="AC677" t="e">
        <f>IF(Z677="","",COUNTIF(#REF!,Z677))</f>
        <v>#REF!</v>
      </c>
      <c r="AD677" t="e">
        <f>IF(A677="","",IF(AC677&gt;1,"REVISAR DUPLICADO",IF(AA677&lt;&gt;"","ACTUALIZADO POR EYR","SIN REPORTE EYR")))</f>
        <v>#REF!</v>
      </c>
    </row>
    <row r="678" spans="1:30" x14ac:dyDescent="0.3">
      <c r="A678" s="5" t="s">
        <v>3745</v>
      </c>
      <c r="B678" t="s">
        <v>3744</v>
      </c>
      <c r="C678" s="4" t="s">
        <v>3743</v>
      </c>
      <c r="D678" t="s">
        <v>77</v>
      </c>
      <c r="F678" t="s">
        <v>13</v>
      </c>
      <c r="G678" s="3">
        <v>8299693595</v>
      </c>
      <c r="H678" s="2">
        <v>46125</v>
      </c>
      <c r="I678" t="s">
        <v>3742</v>
      </c>
      <c r="K678" s="1">
        <f ca="1">IF(A678="","",IF(OR(L678="ENTREGADA",L678="RETORNADA",L678="ENTREGA DIGITAL"),0,MAX(0,5-NETWORKDAYS(H678+1,TODAY()))))</f>
        <v>0</v>
      </c>
      <c r="L678" t="str">
        <f>IF(A678="","",IFERROR(LOOKUP(2,1/(#REF!=Z678),#REF!),Y678))</f>
        <v>ENTREGADA</v>
      </c>
      <c r="Y678" t="s">
        <v>1956</v>
      </c>
      <c r="Z678" t="str">
        <f>IF(A678="","",TEXT(A678,"0")&amp;"|"&amp;TEXT(H678,"0"))</f>
        <v>5188017804742040|46125</v>
      </c>
      <c r="AA678" t="str">
        <f>IF(Z678="","",IFERROR(LOOKUP(2,1/(#REF!=Z678),#REF!),""))</f>
        <v/>
      </c>
      <c r="AB678" t="str">
        <f>IF(Z678="","",IFERROR(LOOKUP(2,1/(#REF!=Z678),#REF!),""))</f>
        <v/>
      </c>
      <c r="AC678" t="e">
        <f>IF(Z678="","",COUNTIF(#REF!,Z678))</f>
        <v>#REF!</v>
      </c>
      <c r="AD678" t="e">
        <f>IF(A678="","",IF(AC678&gt;1,"REVISAR DUPLICADO",IF(AA678&lt;&gt;"","ACTUALIZADO POR EYR","SIN REPORTE EYR")))</f>
        <v>#REF!</v>
      </c>
    </row>
    <row r="679" spans="1:30" x14ac:dyDescent="0.3">
      <c r="A679" s="5" t="s">
        <v>1823</v>
      </c>
      <c r="B679" t="s">
        <v>1822</v>
      </c>
      <c r="C679" s="4" t="s">
        <v>1821</v>
      </c>
      <c r="D679" t="s">
        <v>77</v>
      </c>
      <c r="F679" t="s">
        <v>3741</v>
      </c>
      <c r="G679" s="3">
        <v>8094909658</v>
      </c>
      <c r="H679" s="2">
        <v>46125</v>
      </c>
      <c r="K679" s="1">
        <f ca="1">IF(A679="","",IF(OR(L679="ENTREGADA",L679="RETORNADA",L679="ENTREGA DIGITAL"),0,MAX(0,5-NETWORKDAYS(H679+1,TODAY()))))</f>
        <v>0</v>
      </c>
      <c r="L679" t="str">
        <f>IF(A679="","",IFERROR(LOOKUP(2,1/(#REF!=Z679),#REF!),Y679))</f>
        <v>RETORNADA</v>
      </c>
      <c r="Y679" t="s">
        <v>1857</v>
      </c>
      <c r="Z679" t="str">
        <f>IF(A679="","",TEXT(A679,"0")&amp;"|"&amp;TEXT(H679,"0"))</f>
        <v>4921017808796570|46125</v>
      </c>
      <c r="AA679" t="str">
        <f>IF(Z679="","",IFERROR(LOOKUP(2,1/(#REF!=Z679),#REF!),""))</f>
        <v/>
      </c>
      <c r="AB679" t="str">
        <f>IF(Z679="","",IFERROR(LOOKUP(2,1/(#REF!=Z679),#REF!),""))</f>
        <v/>
      </c>
      <c r="AC679" t="e">
        <f>IF(Z679="","",COUNTIF(#REF!,Z679))</f>
        <v>#REF!</v>
      </c>
      <c r="AD679" t="e">
        <f>IF(A679="","",IF(AC679&gt;1,"REVISAR DUPLICADO",IF(AA679&lt;&gt;"","ACTUALIZADO POR EYR","SIN REPORTE EYR")))</f>
        <v>#REF!</v>
      </c>
    </row>
    <row r="680" spans="1:30" x14ac:dyDescent="0.3">
      <c r="A680" s="5" t="s">
        <v>3740</v>
      </c>
      <c r="B680" t="s">
        <v>3739</v>
      </c>
      <c r="C680" s="4" t="s">
        <v>3738</v>
      </c>
      <c r="D680" t="s">
        <v>77</v>
      </c>
      <c r="E680" t="s">
        <v>214</v>
      </c>
      <c r="F680" t="s">
        <v>391</v>
      </c>
      <c r="G680" s="3">
        <v>8092490368</v>
      </c>
      <c r="H680" s="2">
        <v>46126</v>
      </c>
      <c r="K680" s="1">
        <f ca="1">IF(A680="","",IF(OR(L680="ENTREGADA",L680="RETORNADA",L680="ENTREGA DIGITAL"),0,MAX(0,5-NETWORKDAYS(H680+1,TODAY()))))</f>
        <v>0</v>
      </c>
      <c r="L680" t="str">
        <f>IF(A680="","",IFERROR(LOOKUP(2,1/(#REF!=Z680),#REF!),Y680))</f>
        <v>RETORNADA</v>
      </c>
      <c r="Y680" t="s">
        <v>1857</v>
      </c>
      <c r="Z680" t="str">
        <f>IF(A680="","",TEXT(A680,"0")&amp;"|"&amp;TEXT(H680,"0"))</f>
        <v>5188017814076830|46126</v>
      </c>
      <c r="AA680" t="str">
        <f>IF(Z680="","",IFERROR(LOOKUP(2,1/(#REF!=Z680),#REF!),""))</f>
        <v/>
      </c>
      <c r="AB680" t="str">
        <f>IF(Z680="","",IFERROR(LOOKUP(2,1/(#REF!=Z680),#REF!),""))</f>
        <v/>
      </c>
      <c r="AC680" t="e">
        <f>IF(Z680="","",COUNTIF(#REF!,Z680))</f>
        <v>#REF!</v>
      </c>
      <c r="AD680" t="e">
        <f>IF(A680="","",IF(AC680&gt;1,"REVISAR DUPLICADO",IF(AA680&lt;&gt;"","ACTUALIZADO POR EYR","SIN REPORTE EYR")))</f>
        <v>#REF!</v>
      </c>
    </row>
    <row r="681" spans="1:30" x14ac:dyDescent="0.3">
      <c r="A681" s="5" t="s">
        <v>3737</v>
      </c>
      <c r="B681" t="s">
        <v>3736</v>
      </c>
      <c r="C681" s="4" t="s">
        <v>3735</v>
      </c>
      <c r="D681" t="s">
        <v>77</v>
      </c>
      <c r="F681" t="s">
        <v>13</v>
      </c>
      <c r="G681" s="3">
        <v>8293605259</v>
      </c>
      <c r="H681" s="2">
        <v>46126</v>
      </c>
      <c r="K681" s="1">
        <f ca="1">IF(A681="","",IF(OR(L681="ENTREGADA",L681="RETORNADA",L681="ENTREGA DIGITAL"),0,MAX(0,5-NETWORKDAYS(H681+1,TODAY()))))</f>
        <v>0</v>
      </c>
      <c r="L681" t="str">
        <f>IF(A681="","",IFERROR(LOOKUP(2,1/(#REF!=Z681),#REF!),Y681))</f>
        <v>ENTREGA DIGITAL</v>
      </c>
      <c r="Y681" t="s">
        <v>1396</v>
      </c>
      <c r="Z681" t="str">
        <f>IF(A681="","",TEXT(A681,"0")&amp;"|"&amp;TEXT(H681,"0"))</f>
        <v>5415017813291250|46126</v>
      </c>
      <c r="AA681" t="str">
        <f>IF(Z681="","",IFERROR(LOOKUP(2,1/(#REF!=Z681),#REF!),""))</f>
        <v/>
      </c>
      <c r="AB681" t="str">
        <f>IF(Z681="","",IFERROR(LOOKUP(2,1/(#REF!=Z681),#REF!),""))</f>
        <v/>
      </c>
      <c r="AC681" t="e">
        <f>IF(Z681="","",COUNTIF(#REF!,Z681))</f>
        <v>#REF!</v>
      </c>
      <c r="AD681" t="e">
        <f>IF(A681="","",IF(AC681&gt;1,"REVISAR DUPLICADO",IF(AA681&lt;&gt;"","ACTUALIZADO POR EYR","SIN REPORTE EYR")))</f>
        <v>#REF!</v>
      </c>
    </row>
    <row r="682" spans="1:30" x14ac:dyDescent="0.3">
      <c r="A682" s="5" t="s">
        <v>3734</v>
      </c>
      <c r="B682" t="s">
        <v>3733</v>
      </c>
      <c r="C682" s="4" t="s">
        <v>3732</v>
      </c>
      <c r="D682" t="s">
        <v>77</v>
      </c>
      <c r="F682" t="s">
        <v>13</v>
      </c>
      <c r="G682" s="3">
        <v>8296293469</v>
      </c>
      <c r="H682" s="2">
        <v>46126</v>
      </c>
      <c r="K682" s="1">
        <f ca="1">IF(A682="","",IF(OR(L682="ENTREGADA",L682="RETORNADA",L682="ENTREGA DIGITAL"),0,MAX(0,5-NETWORKDAYS(H682+1,TODAY()))))</f>
        <v>0</v>
      </c>
      <c r="L682" t="str">
        <f>IF(A682="","",IFERROR(LOOKUP(2,1/(#REF!=Z682),#REF!),Y682))</f>
        <v>RETORNADA</v>
      </c>
      <c r="Y682" t="s">
        <v>1857</v>
      </c>
      <c r="Z682" t="str">
        <f>IF(A682="","",TEXT(A682,"0")&amp;"|"&amp;TEXT(H682,"0"))</f>
        <v>4921017815505330|46126</v>
      </c>
      <c r="AA682" t="str">
        <f>IF(Z682="","",IFERROR(LOOKUP(2,1/(#REF!=Z682),#REF!),""))</f>
        <v/>
      </c>
      <c r="AB682" t="str">
        <f>IF(Z682="","",IFERROR(LOOKUP(2,1/(#REF!=Z682),#REF!),""))</f>
        <v/>
      </c>
      <c r="AC682" t="e">
        <f>IF(Z682="","",COUNTIF(#REF!,Z682))</f>
        <v>#REF!</v>
      </c>
      <c r="AD682" t="e">
        <f>IF(A682="","",IF(AC682&gt;1,"REVISAR DUPLICADO",IF(AA682&lt;&gt;"","ACTUALIZADO POR EYR","SIN REPORTE EYR")))</f>
        <v>#REF!</v>
      </c>
    </row>
    <row r="683" spans="1:30" x14ac:dyDescent="0.3">
      <c r="A683" s="5" t="s">
        <v>1834</v>
      </c>
      <c r="B683" t="s">
        <v>1833</v>
      </c>
      <c r="C683" s="4" t="s">
        <v>1832</v>
      </c>
      <c r="D683" t="s">
        <v>77</v>
      </c>
      <c r="F683" t="s">
        <v>13</v>
      </c>
      <c r="G683" s="3">
        <v>8497537593</v>
      </c>
      <c r="H683" s="2">
        <v>46126</v>
      </c>
      <c r="K683" s="1">
        <f ca="1">IF(A683="","",IF(OR(L683="ENTREGADA",L683="RETORNADA",L683="ENTREGA DIGITAL"),0,MAX(0,5-NETWORKDAYS(H683+1,TODAY()))))</f>
        <v>0</v>
      </c>
      <c r="L683" t="str">
        <f>IF(A683="","",IFERROR(LOOKUP(2,1/(#REF!=Z683),#REF!),Y683))</f>
        <v>RETORNADA</v>
      </c>
      <c r="Y683" t="s">
        <v>1857</v>
      </c>
      <c r="Z683" t="str">
        <f>IF(A683="","",TEXT(A683,"0")&amp;"|"&amp;TEXT(H683,"0"))</f>
        <v>4921017815185590|46126</v>
      </c>
      <c r="AA683" t="str">
        <f>IF(Z683="","",IFERROR(LOOKUP(2,1/(#REF!=Z683),#REF!),""))</f>
        <v/>
      </c>
      <c r="AB683" t="str">
        <f>IF(Z683="","",IFERROR(LOOKUP(2,1/(#REF!=Z683),#REF!),""))</f>
        <v/>
      </c>
      <c r="AC683" t="e">
        <f>IF(Z683="","",COUNTIF(#REF!,Z683))</f>
        <v>#REF!</v>
      </c>
      <c r="AD683" t="e">
        <f>IF(A683="","",IF(AC683&gt;1,"REVISAR DUPLICADO",IF(AA683&lt;&gt;"","ACTUALIZADO POR EYR","SIN REPORTE EYR")))</f>
        <v>#REF!</v>
      </c>
    </row>
    <row r="684" spans="1:30" x14ac:dyDescent="0.3">
      <c r="A684" s="5" t="s">
        <v>3731</v>
      </c>
      <c r="B684" t="s">
        <v>3730</v>
      </c>
      <c r="C684" s="4" t="s">
        <v>3729</v>
      </c>
      <c r="D684" t="s">
        <v>77</v>
      </c>
      <c r="F684" t="s">
        <v>13</v>
      </c>
      <c r="G684" s="3">
        <v>8294773107</v>
      </c>
      <c r="H684" s="2">
        <v>46126</v>
      </c>
      <c r="I684" t="s">
        <v>1397</v>
      </c>
      <c r="K684" s="1">
        <f ca="1">IF(A684="","",IF(OR(L684="ENTREGADA",L684="RETORNADA",L684="ENTREGA DIGITAL"),0,MAX(0,5-NETWORKDAYS(H684+1,TODAY()))))</f>
        <v>0</v>
      </c>
      <c r="L684" t="str">
        <f>IF(A684="","",IFERROR(LOOKUP(2,1/(#REF!=Z684),#REF!),Y684))</f>
        <v>ENTREGA DIGITAL</v>
      </c>
      <c r="Y684" t="s">
        <v>1396</v>
      </c>
      <c r="Z684" t="str">
        <f>IF(A684="","",TEXT(A684,"0")&amp;"|"&amp;TEXT(H684,"0"))</f>
        <v>4921017815292190|46126</v>
      </c>
      <c r="AA684" t="str">
        <f>IF(Z684="","",IFERROR(LOOKUP(2,1/(#REF!=Z684),#REF!),""))</f>
        <v/>
      </c>
      <c r="AB684" t="str">
        <f>IF(Z684="","",IFERROR(LOOKUP(2,1/(#REF!=Z684),#REF!),""))</f>
        <v/>
      </c>
      <c r="AC684" t="e">
        <f>IF(Z684="","",COUNTIF(#REF!,Z684))</f>
        <v>#REF!</v>
      </c>
      <c r="AD684" t="e">
        <f>IF(A684="","",IF(AC684&gt;1,"REVISAR DUPLICADO",IF(AA684&lt;&gt;"","ACTUALIZADO POR EYR","SIN REPORTE EYR")))</f>
        <v>#REF!</v>
      </c>
    </row>
    <row r="685" spans="1:30" x14ac:dyDescent="0.3">
      <c r="A685" s="5" t="s">
        <v>3728</v>
      </c>
      <c r="B685" t="s">
        <v>3727</v>
      </c>
      <c r="C685" s="4" t="s">
        <v>3726</v>
      </c>
      <c r="D685" t="s">
        <v>77</v>
      </c>
      <c r="F685" t="s">
        <v>13</v>
      </c>
      <c r="G685" s="3">
        <v>8294192625</v>
      </c>
      <c r="H685" s="2">
        <v>46126</v>
      </c>
      <c r="K685" s="1">
        <f ca="1">IF(A685="","",IF(OR(L685="ENTREGADA",L685="RETORNADA",L685="ENTREGA DIGITAL"),0,MAX(0,5-NETWORKDAYS(H685+1,TODAY()))))</f>
        <v>0</v>
      </c>
      <c r="L685" t="str">
        <f>IF(A685="","",IFERROR(LOOKUP(2,1/(#REF!=Z685),#REF!),Y685))</f>
        <v>ENTREGA DIGITAL</v>
      </c>
      <c r="Y685" t="s">
        <v>1396</v>
      </c>
      <c r="Z685" t="str">
        <f>IF(A685="","",TEXT(A685,"0")&amp;"|"&amp;TEXT(H685,"0"))</f>
        <v>5415017813302510|46126</v>
      </c>
      <c r="AA685" t="str">
        <f>IF(Z685="","",IFERROR(LOOKUP(2,1/(#REF!=Z685),#REF!),""))</f>
        <v/>
      </c>
      <c r="AB685" t="str">
        <f>IF(Z685="","",IFERROR(LOOKUP(2,1/(#REF!=Z685),#REF!),""))</f>
        <v/>
      </c>
      <c r="AC685" t="e">
        <f>IF(Z685="","",COUNTIF(#REF!,Z685))</f>
        <v>#REF!</v>
      </c>
      <c r="AD685" t="e">
        <f>IF(A685="","",IF(AC685&gt;1,"REVISAR DUPLICADO",IF(AA685&lt;&gt;"","ACTUALIZADO POR EYR","SIN REPORTE EYR")))</f>
        <v>#REF!</v>
      </c>
    </row>
    <row r="686" spans="1:30" x14ac:dyDescent="0.3">
      <c r="A686" s="5" t="s">
        <v>3725</v>
      </c>
      <c r="B686" t="s">
        <v>3724</v>
      </c>
      <c r="C686" s="4" t="s">
        <v>3723</v>
      </c>
      <c r="D686" t="s">
        <v>77</v>
      </c>
      <c r="F686" t="s">
        <v>13</v>
      </c>
      <c r="G686" s="3">
        <v>8299746347</v>
      </c>
      <c r="H686" s="2">
        <v>46126</v>
      </c>
      <c r="I686" t="s">
        <v>1397</v>
      </c>
      <c r="K686" s="1">
        <f ca="1">IF(A686="","",IF(OR(L686="ENTREGADA",L686="RETORNADA",L686="ENTREGA DIGITAL"),0,MAX(0,5-NETWORKDAYS(H686+1,TODAY()))))</f>
        <v>0</v>
      </c>
      <c r="L686" t="str">
        <f>IF(A686="","",IFERROR(LOOKUP(2,1/(#REF!=Z686),#REF!),Y686))</f>
        <v>ENTREGA DIGITAL</v>
      </c>
      <c r="Y686" t="s">
        <v>1396</v>
      </c>
      <c r="Z686" t="str">
        <f>IF(A686="","",TEXT(A686,"0")&amp;"|"&amp;TEXT(H686,"0"))</f>
        <v>4921017815343580|46126</v>
      </c>
      <c r="AA686" t="str">
        <f>IF(Z686="","",IFERROR(LOOKUP(2,1/(#REF!=Z686),#REF!),""))</f>
        <v/>
      </c>
      <c r="AB686" t="str">
        <f>IF(Z686="","",IFERROR(LOOKUP(2,1/(#REF!=Z686),#REF!),""))</f>
        <v/>
      </c>
      <c r="AC686" t="e">
        <f>IF(Z686="","",COUNTIF(#REF!,Z686))</f>
        <v>#REF!</v>
      </c>
      <c r="AD686" t="e">
        <f>IF(A686="","",IF(AC686&gt;1,"REVISAR DUPLICADO",IF(AA686&lt;&gt;"","ACTUALIZADO POR EYR","SIN REPORTE EYR")))</f>
        <v>#REF!</v>
      </c>
    </row>
    <row r="687" spans="1:30" x14ac:dyDescent="0.3">
      <c r="A687" s="5" t="s">
        <v>3722</v>
      </c>
      <c r="B687" t="s">
        <v>3721</v>
      </c>
      <c r="C687" s="4" t="s">
        <v>3720</v>
      </c>
      <c r="D687" t="s">
        <v>77</v>
      </c>
      <c r="F687" t="s">
        <v>13</v>
      </c>
      <c r="G687" s="3">
        <v>8097640084</v>
      </c>
      <c r="H687" s="2">
        <v>46126</v>
      </c>
      <c r="K687" s="1">
        <f ca="1">IF(A687="","",IF(OR(L687="ENTREGADA",L687="RETORNADA",L687="ENTREGA DIGITAL"),0,MAX(0,5-NETWORKDAYS(H687+1,TODAY()))))</f>
        <v>0</v>
      </c>
      <c r="L687" t="str">
        <f>IF(A687="","",IFERROR(LOOKUP(2,1/(#REF!=Z687),#REF!),Y687))</f>
        <v>ENTREGA DIGITAL</v>
      </c>
      <c r="Y687" t="s">
        <v>1396</v>
      </c>
      <c r="Z687" t="str">
        <f>IF(A687="","",TEXT(A687,"0")&amp;"|"&amp;TEXT(H687,"0"))</f>
        <v>4921017815049200|46126</v>
      </c>
      <c r="AA687" t="str">
        <f>IF(Z687="","",IFERROR(LOOKUP(2,1/(#REF!=Z687),#REF!),""))</f>
        <v/>
      </c>
      <c r="AB687" t="str">
        <f>IF(Z687="","",IFERROR(LOOKUP(2,1/(#REF!=Z687),#REF!),""))</f>
        <v/>
      </c>
      <c r="AC687" t="e">
        <f>IF(Z687="","",COUNTIF(#REF!,Z687))</f>
        <v>#REF!</v>
      </c>
      <c r="AD687" t="e">
        <f>IF(A687="","",IF(AC687&gt;1,"REVISAR DUPLICADO",IF(AA687&lt;&gt;"","ACTUALIZADO POR EYR","SIN REPORTE EYR")))</f>
        <v>#REF!</v>
      </c>
    </row>
    <row r="688" spans="1:30" x14ac:dyDescent="0.3">
      <c r="A688" s="5" t="s">
        <v>3719</v>
      </c>
      <c r="B688" t="s">
        <v>3718</v>
      </c>
      <c r="C688" s="4" t="s">
        <v>3717</v>
      </c>
      <c r="D688" t="s">
        <v>77</v>
      </c>
      <c r="F688" t="s">
        <v>13</v>
      </c>
      <c r="G688" s="3">
        <v>8093186632</v>
      </c>
      <c r="H688" s="2">
        <v>46126</v>
      </c>
      <c r="I688" t="s">
        <v>1397</v>
      </c>
      <c r="K688" s="1">
        <f ca="1">IF(A688="","",IF(OR(L688="ENTREGADA",L688="RETORNADA",L688="ENTREGA DIGITAL"),0,MAX(0,5-NETWORKDAYS(H688+1,TODAY()))))</f>
        <v>0</v>
      </c>
      <c r="L688" t="str">
        <f>IF(A688="","",IFERROR(LOOKUP(2,1/(#REF!=Z688),#REF!),Y688))</f>
        <v>ENTREGA DIGITAL</v>
      </c>
      <c r="Y688" t="s">
        <v>1396</v>
      </c>
      <c r="Z688" t="str">
        <f>IF(A688="","",TEXT(A688,"0")&amp;"|"&amp;TEXT(H688,"0"))</f>
        <v>4921017814911020|46126</v>
      </c>
      <c r="AA688" t="str">
        <f>IF(Z688="","",IFERROR(LOOKUP(2,1/(#REF!=Z688),#REF!),""))</f>
        <v/>
      </c>
      <c r="AB688" t="str">
        <f>IF(Z688="","",IFERROR(LOOKUP(2,1/(#REF!=Z688),#REF!),""))</f>
        <v/>
      </c>
      <c r="AC688" t="e">
        <f>IF(Z688="","",COUNTIF(#REF!,Z688))</f>
        <v>#REF!</v>
      </c>
      <c r="AD688" t="e">
        <f>IF(A688="","",IF(AC688&gt;1,"REVISAR DUPLICADO",IF(AA688&lt;&gt;"","ACTUALIZADO POR EYR","SIN REPORTE EYR")))</f>
        <v>#REF!</v>
      </c>
    </row>
    <row r="689" spans="1:30" x14ac:dyDescent="0.3">
      <c r="A689" s="5" t="s">
        <v>3716</v>
      </c>
      <c r="B689" t="s">
        <v>3715</v>
      </c>
      <c r="C689" s="4" t="s">
        <v>3714</v>
      </c>
      <c r="D689" t="s">
        <v>77</v>
      </c>
      <c r="F689" t="s">
        <v>13</v>
      </c>
      <c r="G689" s="3">
        <v>8293523038</v>
      </c>
      <c r="H689" s="2">
        <v>46126</v>
      </c>
      <c r="K689" s="1">
        <f ca="1">IF(A689="","",IF(OR(L689="ENTREGADA",L689="RETORNADA",L689="ENTREGA DIGITAL"),0,MAX(0,5-NETWORKDAYS(H689+1,TODAY()))))</f>
        <v>0</v>
      </c>
      <c r="L689" t="str">
        <f>IF(A689="","",IFERROR(LOOKUP(2,1/(#REF!=Z689),#REF!),Y689))</f>
        <v>RETORNADA</v>
      </c>
      <c r="Y689" t="s">
        <v>1857</v>
      </c>
      <c r="Z689" t="str">
        <f>IF(A689="","",TEXT(A689,"0")&amp;"|"&amp;TEXT(H689,"0"))</f>
        <v>5415017809729280|46126</v>
      </c>
      <c r="AA689" t="str">
        <f>IF(Z689="","",IFERROR(LOOKUP(2,1/(#REF!=Z689),#REF!),""))</f>
        <v/>
      </c>
      <c r="AB689" t="str">
        <f>IF(Z689="","",IFERROR(LOOKUP(2,1/(#REF!=Z689),#REF!),""))</f>
        <v/>
      </c>
      <c r="AC689" t="e">
        <f>IF(Z689="","",COUNTIF(#REF!,Z689))</f>
        <v>#REF!</v>
      </c>
      <c r="AD689" t="e">
        <f>IF(A689="","",IF(AC689&gt;1,"REVISAR DUPLICADO",IF(AA689&lt;&gt;"","ACTUALIZADO POR EYR","SIN REPORTE EYR")))</f>
        <v>#REF!</v>
      </c>
    </row>
    <row r="690" spans="1:30" x14ac:dyDescent="0.3">
      <c r="A690" s="5" t="s">
        <v>3713</v>
      </c>
      <c r="B690" t="s">
        <v>3712</v>
      </c>
      <c r="C690" s="4" t="s">
        <v>3711</v>
      </c>
      <c r="D690" t="s">
        <v>77</v>
      </c>
      <c r="E690" t="s">
        <v>214</v>
      </c>
      <c r="F690" t="s">
        <v>391</v>
      </c>
      <c r="G690" s="3">
        <v>8298280787</v>
      </c>
      <c r="H690" s="2">
        <v>46126</v>
      </c>
      <c r="K690" s="1">
        <f ca="1">IF(A690="","",IF(OR(L690="ENTREGADA",L690="RETORNADA",L690="ENTREGA DIGITAL"),0,MAX(0,5-NETWORKDAYS(H690+1,TODAY()))))</f>
        <v>0</v>
      </c>
      <c r="L690" t="str">
        <f>IF(A690="","",IFERROR(LOOKUP(2,1/(#REF!=Z690),#REF!),Y690))</f>
        <v>RETORNADA</v>
      </c>
      <c r="Y690" t="s">
        <v>1857</v>
      </c>
      <c r="Z690" t="str">
        <f>IF(A690="","",TEXT(A690,"0")&amp;"|"&amp;TEXT(H690,"0"))</f>
        <v>5400017813440700|46126</v>
      </c>
      <c r="AA690" t="str">
        <f>IF(Z690="","",IFERROR(LOOKUP(2,1/(#REF!=Z690),#REF!),""))</f>
        <v/>
      </c>
      <c r="AB690" t="str">
        <f>IF(Z690="","",IFERROR(LOOKUP(2,1/(#REF!=Z690),#REF!),""))</f>
        <v/>
      </c>
      <c r="AC690" t="e">
        <f>IF(Z690="","",COUNTIF(#REF!,Z690))</f>
        <v>#REF!</v>
      </c>
      <c r="AD690" t="e">
        <f>IF(A690="","",IF(AC690&gt;1,"REVISAR DUPLICADO",IF(AA690&lt;&gt;"","ACTUALIZADO POR EYR","SIN REPORTE EYR")))</f>
        <v>#REF!</v>
      </c>
    </row>
    <row r="691" spans="1:30" x14ac:dyDescent="0.3">
      <c r="A691" s="5" t="s">
        <v>3710</v>
      </c>
      <c r="B691" t="s">
        <v>3709</v>
      </c>
      <c r="C691" s="4" t="s">
        <v>3708</v>
      </c>
      <c r="D691" t="s">
        <v>77</v>
      </c>
      <c r="F691" t="s">
        <v>13</v>
      </c>
      <c r="G691" s="3">
        <v>8296983827</v>
      </c>
      <c r="H691" s="2">
        <v>46126</v>
      </c>
      <c r="K691" s="1">
        <f ca="1">IF(A691="","",IF(OR(L691="ENTREGADA",L691="RETORNADA",L691="ENTREGA DIGITAL"),0,MAX(0,5-NETWORKDAYS(H691+1,TODAY()))))</f>
        <v>0</v>
      </c>
      <c r="L691" t="str">
        <f>IF(A691="","",IFERROR(LOOKUP(2,1/(#REF!=Z691),#REF!),Y691))</f>
        <v>RETORNADA</v>
      </c>
      <c r="Y691" t="s">
        <v>1857</v>
      </c>
      <c r="Z691" t="str">
        <f>IF(A691="","",TEXT(A691,"0")&amp;"|"&amp;TEXT(H691,"0"))</f>
        <v>5415017813287610|46126</v>
      </c>
      <c r="AA691" t="str">
        <f>IF(Z691="","",IFERROR(LOOKUP(2,1/(#REF!=Z691),#REF!),""))</f>
        <v/>
      </c>
      <c r="AB691" t="str">
        <f>IF(Z691="","",IFERROR(LOOKUP(2,1/(#REF!=Z691),#REF!),""))</f>
        <v/>
      </c>
      <c r="AC691" t="e">
        <f>IF(Z691="","",COUNTIF(#REF!,Z691))</f>
        <v>#REF!</v>
      </c>
      <c r="AD691" t="e">
        <f>IF(A691="","",IF(AC691&gt;1,"REVISAR DUPLICADO",IF(AA691&lt;&gt;"","ACTUALIZADO POR EYR","SIN REPORTE EYR")))</f>
        <v>#REF!</v>
      </c>
    </row>
    <row r="692" spans="1:30" x14ac:dyDescent="0.3">
      <c r="A692" s="5" t="s">
        <v>3707</v>
      </c>
      <c r="B692" t="s">
        <v>3706</v>
      </c>
      <c r="C692" s="4" t="s">
        <v>3705</v>
      </c>
      <c r="D692" t="s">
        <v>77</v>
      </c>
      <c r="F692" t="s">
        <v>122</v>
      </c>
      <c r="G692" s="3">
        <v>8295508703</v>
      </c>
      <c r="H692" s="2">
        <v>46126</v>
      </c>
      <c r="I692" t="s">
        <v>1397</v>
      </c>
      <c r="K692" s="1">
        <f ca="1">IF(A692="","",IF(OR(L692="ENTREGADA",L692="RETORNADA",L692="ENTREGA DIGITAL"),0,MAX(0,5-NETWORKDAYS(H692+1,TODAY()))))</f>
        <v>0</v>
      </c>
      <c r="L692" t="str">
        <f>IF(A692="","",IFERROR(LOOKUP(2,1/(#REF!=Z692),#REF!),Y692))</f>
        <v>ENTREGA DIGITAL</v>
      </c>
      <c r="Y692" t="s">
        <v>1396</v>
      </c>
      <c r="Z692" t="str">
        <f>IF(A692="","",TEXT(A692,"0")&amp;"|"&amp;TEXT(H692,"0"))</f>
        <v>4921017814272170|46126</v>
      </c>
      <c r="AA692" t="str">
        <f>IF(Z692="","",IFERROR(LOOKUP(2,1/(#REF!=Z692),#REF!),""))</f>
        <v/>
      </c>
      <c r="AB692" t="str">
        <f>IF(Z692="","",IFERROR(LOOKUP(2,1/(#REF!=Z692),#REF!),""))</f>
        <v/>
      </c>
      <c r="AC692" t="e">
        <f>IF(Z692="","",COUNTIF(#REF!,Z692))</f>
        <v>#REF!</v>
      </c>
      <c r="AD692" t="e">
        <f>IF(A692="","",IF(AC692&gt;1,"REVISAR DUPLICADO",IF(AA692&lt;&gt;"","ACTUALIZADO POR EYR","SIN REPORTE EYR")))</f>
        <v>#REF!</v>
      </c>
    </row>
    <row r="693" spans="1:30" x14ac:dyDescent="0.3">
      <c r="A693" s="5" t="s">
        <v>3704</v>
      </c>
      <c r="B693" t="s">
        <v>3703</v>
      </c>
      <c r="C693" s="4" t="s">
        <v>3702</v>
      </c>
      <c r="D693" t="s">
        <v>77</v>
      </c>
      <c r="F693" t="s">
        <v>13</v>
      </c>
      <c r="G693" s="3">
        <v>8094796941</v>
      </c>
      <c r="H693" s="2">
        <v>46126</v>
      </c>
      <c r="I693" t="s">
        <v>1397</v>
      </c>
      <c r="K693" s="1">
        <f ca="1">IF(A693="","",IF(OR(L693="ENTREGADA",L693="RETORNADA",L693="ENTREGA DIGITAL"),0,MAX(0,5-NETWORKDAYS(H693+1,TODAY()))))</f>
        <v>0</v>
      </c>
      <c r="L693" t="str">
        <f>IF(A693="","",IFERROR(LOOKUP(2,1/(#REF!=Z693),#REF!),Y693))</f>
        <v>ENTREGA DIGITAL</v>
      </c>
      <c r="Y693" t="s">
        <v>1396</v>
      </c>
      <c r="Z693" t="str">
        <f>IF(A693="","",TEXT(A693,"0")&amp;"|"&amp;TEXT(H693,"0"))</f>
        <v>5415017813224050|46126</v>
      </c>
      <c r="AA693" t="str">
        <f>IF(Z693="","",IFERROR(LOOKUP(2,1/(#REF!=Z693),#REF!),""))</f>
        <v/>
      </c>
      <c r="AB693" t="str">
        <f>IF(Z693="","",IFERROR(LOOKUP(2,1/(#REF!=Z693),#REF!),""))</f>
        <v/>
      </c>
      <c r="AC693" t="e">
        <f>IF(Z693="","",COUNTIF(#REF!,Z693))</f>
        <v>#REF!</v>
      </c>
      <c r="AD693" t="e">
        <f>IF(A693="","",IF(AC693&gt;1,"REVISAR DUPLICADO",IF(AA693&lt;&gt;"","ACTUALIZADO POR EYR","SIN REPORTE EYR")))</f>
        <v>#REF!</v>
      </c>
    </row>
    <row r="694" spans="1:30" x14ac:dyDescent="0.3">
      <c r="A694" s="5" t="s">
        <v>3701</v>
      </c>
      <c r="B694" t="s">
        <v>3700</v>
      </c>
      <c r="C694" s="4" t="s">
        <v>3699</v>
      </c>
      <c r="D694" t="s">
        <v>77</v>
      </c>
      <c r="F694" t="s">
        <v>135</v>
      </c>
      <c r="G694" s="3">
        <v>8293670940</v>
      </c>
      <c r="H694" s="2">
        <v>46126</v>
      </c>
      <c r="K694" s="1">
        <f ca="1">IF(A694="","",IF(OR(L694="ENTREGADA",L694="RETORNADA",L694="ENTREGA DIGITAL"),0,MAX(0,5-NETWORKDAYS(H694+1,TODAY()))))</f>
        <v>0</v>
      </c>
      <c r="L694" t="str">
        <f>IF(A694="","",IFERROR(LOOKUP(2,1/(#REF!=Z694),#REF!),Y694))</f>
        <v>RETORNADA</v>
      </c>
      <c r="Y694" t="s">
        <v>1857</v>
      </c>
      <c r="Z694" t="str">
        <f>IF(A694="","",TEXT(A694,"0")&amp;"|"&amp;TEXT(H694,"0"))</f>
        <v>5188017813772990|46126</v>
      </c>
      <c r="AA694" t="str">
        <f>IF(Z694="","",IFERROR(LOOKUP(2,1/(#REF!=Z694),#REF!),""))</f>
        <v/>
      </c>
      <c r="AB694" t="str">
        <f>IF(Z694="","",IFERROR(LOOKUP(2,1/(#REF!=Z694),#REF!),""))</f>
        <v/>
      </c>
      <c r="AC694" t="e">
        <f>IF(Z694="","",COUNTIF(#REF!,Z694))</f>
        <v>#REF!</v>
      </c>
      <c r="AD694" t="e">
        <f>IF(A694="","",IF(AC694&gt;1,"REVISAR DUPLICADO",IF(AA694&lt;&gt;"","ACTUALIZADO POR EYR","SIN REPORTE EYR")))</f>
        <v>#REF!</v>
      </c>
    </row>
    <row r="695" spans="1:30" x14ac:dyDescent="0.3">
      <c r="A695" s="5" t="s">
        <v>3698</v>
      </c>
      <c r="B695" t="s">
        <v>3697</v>
      </c>
      <c r="C695" s="4" t="s">
        <v>3696</v>
      </c>
      <c r="D695" t="s">
        <v>77</v>
      </c>
      <c r="F695" t="s">
        <v>3695</v>
      </c>
      <c r="G695" s="3">
        <v>8092148939</v>
      </c>
      <c r="H695" s="2">
        <v>46126</v>
      </c>
      <c r="K695" s="1">
        <f ca="1">IF(A695="","",IF(OR(L695="ENTREGADA",L695="RETORNADA",L695="ENTREGA DIGITAL"),0,MAX(0,5-NETWORKDAYS(H695+1,TODAY()))))</f>
        <v>0</v>
      </c>
      <c r="L695" t="str">
        <f>IF(A695="","",IFERROR(LOOKUP(2,1/(#REF!=Z695),#REF!),Y695))</f>
        <v>RETORNADA</v>
      </c>
      <c r="Y695" t="s">
        <v>1857</v>
      </c>
      <c r="Z695" t="str">
        <f>IF(A695="","",TEXT(A695,"0")&amp;"|"&amp;TEXT(H695,"0"))</f>
        <v>4966017814636200|46126</v>
      </c>
      <c r="AA695" t="str">
        <f>IF(Z695="","",IFERROR(LOOKUP(2,1/(#REF!=Z695),#REF!),""))</f>
        <v/>
      </c>
      <c r="AB695" t="str">
        <f>IF(Z695="","",IFERROR(LOOKUP(2,1/(#REF!=Z695),#REF!),""))</f>
        <v/>
      </c>
      <c r="AC695" t="e">
        <f>IF(Z695="","",COUNTIF(#REF!,Z695))</f>
        <v>#REF!</v>
      </c>
      <c r="AD695" t="e">
        <f>IF(A695="","",IF(AC695&gt;1,"REVISAR DUPLICADO",IF(AA695&lt;&gt;"","ACTUALIZADO POR EYR","SIN REPORTE EYR")))</f>
        <v>#REF!</v>
      </c>
    </row>
    <row r="696" spans="1:30" x14ac:dyDescent="0.3">
      <c r="A696" s="5" t="s">
        <v>3694</v>
      </c>
      <c r="B696" t="s">
        <v>3693</v>
      </c>
      <c r="C696" s="4" t="s">
        <v>3692</v>
      </c>
      <c r="D696" t="s">
        <v>77</v>
      </c>
      <c r="F696" t="s">
        <v>3691</v>
      </c>
      <c r="G696" s="3">
        <v>8092526414</v>
      </c>
      <c r="H696" s="2">
        <v>46126</v>
      </c>
      <c r="I696" t="s">
        <v>1397</v>
      </c>
      <c r="K696" s="1">
        <f ca="1">IF(A696="","",IF(OR(L696="ENTREGADA",L696="RETORNADA",L696="ENTREGA DIGITAL"),0,MAX(0,5-NETWORKDAYS(H696+1,TODAY()))))</f>
        <v>0</v>
      </c>
      <c r="L696" t="str">
        <f>IF(A696="","",IFERROR(LOOKUP(2,1/(#REF!=Z696),#REF!),Y696))</f>
        <v>ENTREGA DIGITAL</v>
      </c>
      <c r="Y696" t="s">
        <v>1396</v>
      </c>
      <c r="Z696" t="str">
        <f>IF(A696="","",TEXT(A696,"0")&amp;"|"&amp;TEXT(H696,"0"))</f>
        <v>4025017816201000|46126</v>
      </c>
      <c r="AA696" t="str">
        <f>IF(Z696="","",IFERROR(LOOKUP(2,1/(#REF!=Z696),#REF!),""))</f>
        <v/>
      </c>
      <c r="AB696" t="str">
        <f>IF(Z696="","",IFERROR(LOOKUP(2,1/(#REF!=Z696),#REF!),""))</f>
        <v/>
      </c>
      <c r="AC696" t="e">
        <f>IF(Z696="","",COUNTIF(#REF!,Z696))</f>
        <v>#REF!</v>
      </c>
      <c r="AD696" t="e">
        <f>IF(A696="","",IF(AC696&gt;1,"REVISAR DUPLICADO",IF(AA696&lt;&gt;"","ACTUALIZADO POR EYR","SIN REPORTE EYR")))</f>
        <v>#REF!</v>
      </c>
    </row>
    <row r="697" spans="1:30" x14ac:dyDescent="0.3">
      <c r="A697" s="5" t="s">
        <v>3690</v>
      </c>
      <c r="B697" t="s">
        <v>3689</v>
      </c>
      <c r="C697" s="4" t="s">
        <v>3688</v>
      </c>
      <c r="D697" t="s">
        <v>77</v>
      </c>
      <c r="F697" t="s">
        <v>13</v>
      </c>
      <c r="G697" s="3">
        <v>8296043080</v>
      </c>
      <c r="H697" s="2">
        <v>46126</v>
      </c>
      <c r="I697" t="s">
        <v>1397</v>
      </c>
      <c r="K697" s="1">
        <f ca="1">IF(A697="","",IF(OR(L697="ENTREGADA",L697="RETORNADA",L697="ENTREGA DIGITAL"),0,MAX(0,5-NETWORKDAYS(H697+1,TODAY()))))</f>
        <v>0</v>
      </c>
      <c r="L697" t="str">
        <f>IF(A697="","",IFERROR(LOOKUP(2,1/(#REF!=Z697),#REF!),Y697))</f>
        <v>ENTREGA DIGITAL</v>
      </c>
      <c r="Y697" t="s">
        <v>1396</v>
      </c>
      <c r="Z697" t="str">
        <f>IF(A697="","",TEXT(A697,"0")&amp;"|"&amp;TEXT(H697,"0"))</f>
        <v>4025017809203280|46126</v>
      </c>
      <c r="AA697" t="str">
        <f>IF(Z697="","",IFERROR(LOOKUP(2,1/(#REF!=Z697),#REF!),""))</f>
        <v/>
      </c>
      <c r="AB697" t="str">
        <f>IF(Z697="","",IFERROR(LOOKUP(2,1/(#REF!=Z697),#REF!),""))</f>
        <v/>
      </c>
      <c r="AC697" t="e">
        <f>IF(Z697="","",COUNTIF(#REF!,Z697))</f>
        <v>#REF!</v>
      </c>
      <c r="AD697" t="e">
        <f>IF(A697="","",IF(AC697&gt;1,"REVISAR DUPLICADO",IF(AA697&lt;&gt;"","ACTUALIZADO POR EYR","SIN REPORTE EYR")))</f>
        <v>#REF!</v>
      </c>
    </row>
    <row r="698" spans="1:30" x14ac:dyDescent="0.3">
      <c r="A698" s="5" t="s">
        <v>3687</v>
      </c>
      <c r="B698" t="s">
        <v>3686</v>
      </c>
      <c r="C698" s="4" t="s">
        <v>3685</v>
      </c>
      <c r="D698" t="s">
        <v>77</v>
      </c>
      <c r="F698" t="s">
        <v>13</v>
      </c>
      <c r="G698" s="3">
        <v>8295580472</v>
      </c>
      <c r="H698" s="2">
        <v>46126</v>
      </c>
      <c r="I698" t="s">
        <v>1397</v>
      </c>
      <c r="K698" s="1">
        <f ca="1">IF(A698="","",IF(OR(L698="ENTREGADA",L698="RETORNADA",L698="ENTREGA DIGITAL"),0,MAX(0,5-NETWORKDAYS(H698+1,TODAY()))))</f>
        <v>0</v>
      </c>
      <c r="L698" t="str">
        <f>IF(A698="","",IFERROR(LOOKUP(2,1/(#REF!=Z698),#REF!),Y698))</f>
        <v>ENTREGA DIGITAL</v>
      </c>
      <c r="Y698" t="s">
        <v>1396</v>
      </c>
      <c r="Z698" t="str">
        <f>IF(A698="","",TEXT(A698,"0")&amp;"|"&amp;TEXT(H698,"0"))</f>
        <v>4921017801557440|46126</v>
      </c>
      <c r="AA698" t="str">
        <f>IF(Z698="","",IFERROR(LOOKUP(2,1/(#REF!=Z698),#REF!),""))</f>
        <v/>
      </c>
      <c r="AB698" t="str">
        <f>IF(Z698="","",IFERROR(LOOKUP(2,1/(#REF!=Z698),#REF!),""))</f>
        <v/>
      </c>
      <c r="AC698" t="e">
        <f>IF(Z698="","",COUNTIF(#REF!,Z698))</f>
        <v>#REF!</v>
      </c>
      <c r="AD698" t="e">
        <f>IF(A698="","",IF(AC698&gt;1,"REVISAR DUPLICADO",IF(AA698&lt;&gt;"","ACTUALIZADO POR EYR","SIN REPORTE EYR")))</f>
        <v>#REF!</v>
      </c>
    </row>
    <row r="699" spans="1:30" x14ac:dyDescent="0.3">
      <c r="A699" s="5" t="s">
        <v>3684</v>
      </c>
      <c r="B699" t="s">
        <v>3683</v>
      </c>
      <c r="C699" s="4" t="s">
        <v>3682</v>
      </c>
      <c r="D699" t="s">
        <v>77</v>
      </c>
      <c r="F699" t="s">
        <v>0</v>
      </c>
      <c r="G699" s="3">
        <v>8296195746</v>
      </c>
      <c r="H699" s="2">
        <v>46126</v>
      </c>
      <c r="K699" s="1">
        <f ca="1">IF(A699="","",IF(OR(L699="ENTREGADA",L699="RETORNADA",L699="ENTREGA DIGITAL"),0,MAX(0,5-NETWORKDAYS(H699+1,TODAY()))))</f>
        <v>0</v>
      </c>
      <c r="L699" t="str">
        <f>IF(A699="","",IFERROR(LOOKUP(2,1/(#REF!=Z699),#REF!),Y699))</f>
        <v>ENTREGA DIGITAL</v>
      </c>
      <c r="Y699" t="s">
        <v>1396</v>
      </c>
      <c r="Z699" t="str">
        <f>IF(A699="","",TEXT(A699,"0")&amp;"|"&amp;TEXT(H699,"0"))</f>
        <v>4025017803251620|46126</v>
      </c>
      <c r="AA699" t="str">
        <f>IF(Z699="","",IFERROR(LOOKUP(2,1/(#REF!=Z699),#REF!),""))</f>
        <v/>
      </c>
      <c r="AB699" t="str">
        <f>IF(Z699="","",IFERROR(LOOKUP(2,1/(#REF!=Z699),#REF!),""))</f>
        <v/>
      </c>
      <c r="AC699" t="e">
        <f>IF(Z699="","",COUNTIF(#REF!,Z699))</f>
        <v>#REF!</v>
      </c>
      <c r="AD699" t="e">
        <f>IF(A699="","",IF(AC699&gt;1,"REVISAR DUPLICADO",IF(AA699&lt;&gt;"","ACTUALIZADO POR EYR","SIN REPORTE EYR")))</f>
        <v>#REF!</v>
      </c>
    </row>
    <row r="700" spans="1:30" x14ac:dyDescent="0.3">
      <c r="A700" s="5" t="s">
        <v>3681</v>
      </c>
      <c r="B700" t="s">
        <v>3680</v>
      </c>
      <c r="C700" s="4" t="s">
        <v>3679</v>
      </c>
      <c r="D700" t="s">
        <v>77</v>
      </c>
      <c r="F700" t="s">
        <v>13</v>
      </c>
      <c r="G700" s="3">
        <v>8095521444</v>
      </c>
      <c r="H700" s="2">
        <v>46126</v>
      </c>
      <c r="K700" s="1">
        <f ca="1">IF(A700="","",IF(OR(L700="ENTREGADA",L700="RETORNADA",L700="ENTREGA DIGITAL"),0,MAX(0,5-NETWORKDAYS(H700+1,TODAY()))))</f>
        <v>0</v>
      </c>
      <c r="L700" t="str">
        <f>IF(A700="","",IFERROR(LOOKUP(2,1/(#REF!=Z700),#REF!),Y700))</f>
        <v>RETORNADA</v>
      </c>
      <c r="Y700" t="s">
        <v>1857</v>
      </c>
      <c r="Z700" t="str">
        <f>IF(A700="","",TEXT(A700,"0")&amp;"|"&amp;TEXT(H700,"0"))</f>
        <v>4966017801765440|46126</v>
      </c>
      <c r="AA700" t="str">
        <f>IF(Z700="","",IFERROR(LOOKUP(2,1/(#REF!=Z700),#REF!),""))</f>
        <v/>
      </c>
      <c r="AB700" t="str">
        <f>IF(Z700="","",IFERROR(LOOKUP(2,1/(#REF!=Z700),#REF!),""))</f>
        <v/>
      </c>
      <c r="AC700" t="e">
        <f>IF(Z700="","",COUNTIF(#REF!,Z700))</f>
        <v>#REF!</v>
      </c>
      <c r="AD700" t="e">
        <f>IF(A700="","",IF(AC700&gt;1,"REVISAR DUPLICADO",IF(AA700&lt;&gt;"","ACTUALIZADO POR EYR","SIN REPORTE EYR")))</f>
        <v>#REF!</v>
      </c>
    </row>
    <row r="701" spans="1:30" x14ac:dyDescent="0.3">
      <c r="A701" s="5" t="s">
        <v>3678</v>
      </c>
      <c r="B701" t="s">
        <v>3677</v>
      </c>
      <c r="C701" s="4" t="s">
        <v>3676</v>
      </c>
      <c r="D701" t="s">
        <v>77</v>
      </c>
      <c r="F701" t="s">
        <v>13</v>
      </c>
      <c r="G701" s="3">
        <v>8293247950</v>
      </c>
      <c r="H701" s="2">
        <v>46126</v>
      </c>
      <c r="K701" s="1">
        <f ca="1">IF(A701="","",IF(OR(L701="ENTREGADA",L701="RETORNADA",L701="ENTREGA DIGITAL"),0,MAX(0,5-NETWORKDAYS(H701+1,TODAY()))))</f>
        <v>0</v>
      </c>
      <c r="L701" t="str">
        <f>IF(A701="","",IFERROR(LOOKUP(2,1/(#REF!=Z701),#REF!),Y701))</f>
        <v>ENTREGADA</v>
      </c>
      <c r="Y701" t="s">
        <v>1956</v>
      </c>
      <c r="Z701" t="str">
        <f>IF(A701="","",TEXT(A701,"0")&amp;"|"&amp;TEXT(H701,"0"))</f>
        <v>5188017800728230|46126</v>
      </c>
      <c r="AA701" t="str">
        <f>IF(Z701="","",IFERROR(LOOKUP(2,1/(#REF!=Z701),#REF!),""))</f>
        <v/>
      </c>
      <c r="AB701" t="str">
        <f>IF(Z701="","",IFERROR(LOOKUP(2,1/(#REF!=Z701),#REF!),""))</f>
        <v/>
      </c>
      <c r="AC701" t="e">
        <f>IF(Z701="","",COUNTIF(#REF!,Z701))</f>
        <v>#REF!</v>
      </c>
      <c r="AD701" t="e">
        <f>IF(A701="","",IF(AC701&gt;1,"REVISAR DUPLICADO",IF(AA701&lt;&gt;"","ACTUALIZADO POR EYR","SIN REPORTE EYR")))</f>
        <v>#REF!</v>
      </c>
    </row>
    <row r="702" spans="1:30" x14ac:dyDescent="0.3">
      <c r="A702" s="5" t="s">
        <v>3675</v>
      </c>
      <c r="B702" t="s">
        <v>3674</v>
      </c>
      <c r="C702" s="4" t="s">
        <v>3673</v>
      </c>
      <c r="D702" t="s">
        <v>77</v>
      </c>
      <c r="F702" t="s">
        <v>13</v>
      </c>
      <c r="G702" s="3">
        <v>8299571817</v>
      </c>
      <c r="H702" s="2">
        <v>46126</v>
      </c>
      <c r="I702" t="s">
        <v>1397</v>
      </c>
      <c r="K702" s="1">
        <f ca="1">IF(A702="","",IF(OR(L702="ENTREGADA",L702="RETORNADA",L702="ENTREGA DIGITAL"),0,MAX(0,5-NETWORKDAYS(H702+1,TODAY()))))</f>
        <v>0</v>
      </c>
      <c r="L702" t="str">
        <f>IF(A702="","",IFERROR(LOOKUP(2,1/(#REF!=Z702),#REF!),Y702))</f>
        <v>ENTREGA DIGITAL</v>
      </c>
      <c r="Y702" t="s">
        <v>1396</v>
      </c>
      <c r="Z702" t="str">
        <f>IF(A702="","",TEXT(A702,"0")&amp;"|"&amp;TEXT(H702,"0"))</f>
        <v>4921017801614590|46126</v>
      </c>
      <c r="AA702" t="str">
        <f>IF(Z702="","",IFERROR(LOOKUP(2,1/(#REF!=Z702),#REF!),""))</f>
        <v/>
      </c>
      <c r="AB702" t="str">
        <f>IF(Z702="","",IFERROR(LOOKUP(2,1/(#REF!=Z702),#REF!),""))</f>
        <v/>
      </c>
      <c r="AC702" t="e">
        <f>IF(Z702="","",COUNTIF(#REF!,Z702))</f>
        <v>#REF!</v>
      </c>
      <c r="AD702" t="e">
        <f>IF(A702="","",IF(AC702&gt;1,"REVISAR DUPLICADO",IF(AA702&lt;&gt;"","ACTUALIZADO POR EYR","SIN REPORTE EYR")))</f>
        <v>#REF!</v>
      </c>
    </row>
    <row r="703" spans="1:30" x14ac:dyDescent="0.3">
      <c r="A703" s="5" t="s">
        <v>3672</v>
      </c>
      <c r="B703" t="s">
        <v>3671</v>
      </c>
      <c r="C703" s="4" t="s">
        <v>3670</v>
      </c>
      <c r="D703" t="s">
        <v>77</v>
      </c>
      <c r="F703" t="s">
        <v>13</v>
      </c>
      <c r="G703" s="3">
        <v>8298845034</v>
      </c>
      <c r="H703" s="2">
        <v>46126</v>
      </c>
      <c r="K703" s="1">
        <f ca="1">IF(A703="","",IF(OR(L703="ENTREGADA",L703="RETORNADA",L703="ENTREGA DIGITAL"),0,MAX(0,5-NETWORKDAYS(H703+1,TODAY()))))</f>
        <v>0</v>
      </c>
      <c r="L703" t="str">
        <f>IF(A703="","",IFERROR(LOOKUP(2,1/(#REF!=Z703),#REF!),Y703))</f>
        <v>RETORNADA</v>
      </c>
      <c r="Y703" t="s">
        <v>1857</v>
      </c>
      <c r="Z703" t="str">
        <f>IF(A703="","",TEXT(A703,"0")&amp;"|"&amp;TEXT(H703,"0"))</f>
        <v>4921017802046340|46126</v>
      </c>
      <c r="AA703" t="str">
        <f>IF(Z703="","",IFERROR(LOOKUP(2,1/(#REF!=Z703),#REF!),""))</f>
        <v/>
      </c>
      <c r="AB703" t="str">
        <f>IF(Z703="","",IFERROR(LOOKUP(2,1/(#REF!=Z703),#REF!),""))</f>
        <v/>
      </c>
      <c r="AC703" t="e">
        <f>IF(Z703="","",COUNTIF(#REF!,Z703))</f>
        <v>#REF!</v>
      </c>
      <c r="AD703" t="e">
        <f>IF(A703="","",IF(AC703&gt;1,"REVISAR DUPLICADO",IF(AA703&lt;&gt;"","ACTUALIZADO POR EYR","SIN REPORTE EYR")))</f>
        <v>#REF!</v>
      </c>
    </row>
    <row r="704" spans="1:30" x14ac:dyDescent="0.3">
      <c r="A704" s="5" t="s">
        <v>3669</v>
      </c>
      <c r="B704" t="s">
        <v>3668</v>
      </c>
      <c r="C704" s="4" t="s">
        <v>3667</v>
      </c>
      <c r="D704" t="s">
        <v>77</v>
      </c>
      <c r="F704" t="s">
        <v>13</v>
      </c>
      <c r="G704" s="3">
        <v>8097830311</v>
      </c>
      <c r="H704" s="2">
        <v>46126</v>
      </c>
      <c r="K704" s="1">
        <f ca="1">IF(A704="","",IF(OR(L704="ENTREGADA",L704="RETORNADA",L704="ENTREGA DIGITAL"),0,MAX(0,5-NETWORKDAYS(H704+1,TODAY()))))</f>
        <v>0</v>
      </c>
      <c r="L704" t="str">
        <f>IF(A704="","",IFERROR(LOOKUP(2,1/(#REF!=Z704),#REF!),Y704))</f>
        <v>RETORNADA</v>
      </c>
      <c r="Y704" t="s">
        <v>1857</v>
      </c>
      <c r="Z704" t="str">
        <f>IF(A704="","",TEXT(A704,"0")&amp;"|"&amp;TEXT(H704,"0"))</f>
        <v>4921017802055720|46126</v>
      </c>
      <c r="AA704" t="str">
        <f>IF(Z704="","",IFERROR(LOOKUP(2,1/(#REF!=Z704),#REF!),""))</f>
        <v/>
      </c>
      <c r="AB704" t="str">
        <f>IF(Z704="","",IFERROR(LOOKUP(2,1/(#REF!=Z704),#REF!),""))</f>
        <v/>
      </c>
      <c r="AC704" t="e">
        <f>IF(Z704="","",COUNTIF(#REF!,Z704))</f>
        <v>#REF!</v>
      </c>
      <c r="AD704" t="e">
        <f>IF(A704="","",IF(AC704&gt;1,"REVISAR DUPLICADO",IF(AA704&lt;&gt;"","ACTUALIZADO POR EYR","SIN REPORTE EYR")))</f>
        <v>#REF!</v>
      </c>
    </row>
    <row r="705" spans="1:30" x14ac:dyDescent="0.3">
      <c r="A705" s="5" t="s">
        <v>3666</v>
      </c>
      <c r="B705" t="s">
        <v>3665</v>
      </c>
      <c r="C705" s="4" t="s">
        <v>3664</v>
      </c>
      <c r="D705" t="s">
        <v>77</v>
      </c>
      <c r="F705" t="s">
        <v>13</v>
      </c>
      <c r="G705" s="3">
        <v>8298790904</v>
      </c>
      <c r="H705" s="2">
        <v>46126</v>
      </c>
      <c r="K705" s="1">
        <f ca="1">IF(A705="","",IF(OR(L705="ENTREGADA",L705="RETORNADA",L705="ENTREGA DIGITAL"),0,MAX(0,5-NETWORKDAYS(H705+1,TODAY()))))</f>
        <v>0</v>
      </c>
      <c r="L705" t="str">
        <f>IF(A705="","",IFERROR(LOOKUP(2,1/(#REF!=Z705),#REF!),Y705))</f>
        <v>ENTREGA DIGITAL</v>
      </c>
      <c r="Y705" t="s">
        <v>1396</v>
      </c>
      <c r="Z705" t="str">
        <f>IF(A705="","",TEXT(A705,"0")&amp;"|"&amp;TEXT(H705,"0"))</f>
        <v>4921017802856470|46126</v>
      </c>
      <c r="AA705" t="str">
        <f>IF(Z705="","",IFERROR(LOOKUP(2,1/(#REF!=Z705),#REF!),""))</f>
        <v/>
      </c>
      <c r="AB705" t="str">
        <f>IF(Z705="","",IFERROR(LOOKUP(2,1/(#REF!=Z705),#REF!),""))</f>
        <v/>
      </c>
      <c r="AC705" t="e">
        <f>IF(Z705="","",COUNTIF(#REF!,Z705))</f>
        <v>#REF!</v>
      </c>
      <c r="AD705" t="e">
        <f>IF(A705="","",IF(AC705&gt;1,"REVISAR DUPLICADO",IF(AA705&lt;&gt;"","ACTUALIZADO POR EYR","SIN REPORTE EYR")))</f>
        <v>#REF!</v>
      </c>
    </row>
    <row r="706" spans="1:30" x14ac:dyDescent="0.3">
      <c r="A706" s="5" t="s">
        <v>3663</v>
      </c>
      <c r="B706" t="s">
        <v>3662</v>
      </c>
      <c r="C706" s="4" t="s">
        <v>3661</v>
      </c>
      <c r="D706" t="s">
        <v>77</v>
      </c>
      <c r="F706" t="s">
        <v>13</v>
      </c>
      <c r="G706" s="3">
        <v>8492010198</v>
      </c>
      <c r="H706" s="2">
        <v>46126</v>
      </c>
      <c r="I706" t="s">
        <v>1397</v>
      </c>
      <c r="K706" s="1">
        <f ca="1">IF(A706="","",IF(OR(L706="ENTREGADA",L706="RETORNADA",L706="ENTREGA DIGITAL"),0,MAX(0,5-NETWORKDAYS(H706+1,TODAY()))))</f>
        <v>0</v>
      </c>
      <c r="L706" t="str">
        <f>IF(A706="","",IFERROR(LOOKUP(2,1/(#REF!=Z706),#REF!),Y706))</f>
        <v>ENTREGA DIGITAL</v>
      </c>
      <c r="Y706" t="s">
        <v>1396</v>
      </c>
      <c r="Z706" t="str">
        <f>IF(A706="","",TEXT(A706,"0")&amp;"|"&amp;TEXT(H706,"0"))</f>
        <v>4921017802082040|46126</v>
      </c>
      <c r="AA706" t="str">
        <f>IF(Z706="","",IFERROR(LOOKUP(2,1/(#REF!=Z706),#REF!),""))</f>
        <v/>
      </c>
      <c r="AB706" t="str">
        <f>IF(Z706="","",IFERROR(LOOKUP(2,1/(#REF!=Z706),#REF!),""))</f>
        <v/>
      </c>
      <c r="AC706" t="e">
        <f>IF(Z706="","",COUNTIF(#REF!,Z706))</f>
        <v>#REF!</v>
      </c>
      <c r="AD706" t="e">
        <f>IF(A706="","",IF(AC706&gt;1,"REVISAR DUPLICADO",IF(AA706&lt;&gt;"","ACTUALIZADO POR EYR","SIN REPORTE EYR")))</f>
        <v>#REF!</v>
      </c>
    </row>
    <row r="707" spans="1:30" x14ac:dyDescent="0.3">
      <c r="A707" s="5" t="s">
        <v>3660</v>
      </c>
      <c r="B707" t="s">
        <v>3659</v>
      </c>
      <c r="C707" s="4" t="s">
        <v>3658</v>
      </c>
      <c r="D707" t="s">
        <v>77</v>
      </c>
      <c r="F707" t="s">
        <v>13</v>
      </c>
      <c r="G707" s="3">
        <v>8099999999</v>
      </c>
      <c r="H707" s="2">
        <v>46126</v>
      </c>
      <c r="K707" s="1">
        <f ca="1">IF(A707="","",IF(OR(L707="ENTREGADA",L707="RETORNADA",L707="ENTREGA DIGITAL"),0,MAX(0,5-NETWORKDAYS(H707+1,TODAY()))))</f>
        <v>0</v>
      </c>
      <c r="L707" t="str">
        <f>IF(A707="","",IFERROR(LOOKUP(2,1/(#REF!=Z707),#REF!),Y707))</f>
        <v>RETORNADA</v>
      </c>
      <c r="Y707" t="s">
        <v>1857</v>
      </c>
      <c r="Z707" t="str">
        <f>IF(A707="","",TEXT(A707,"0")&amp;"|"&amp;TEXT(H707,"0"))</f>
        <v>5415017800872530|46126</v>
      </c>
      <c r="AA707" t="str">
        <f>IF(Z707="","",IFERROR(LOOKUP(2,1/(#REF!=Z707),#REF!),""))</f>
        <v/>
      </c>
      <c r="AB707" t="str">
        <f>IF(Z707="","",IFERROR(LOOKUP(2,1/(#REF!=Z707),#REF!),""))</f>
        <v/>
      </c>
      <c r="AC707" t="e">
        <f>IF(Z707="","",COUNTIF(#REF!,Z707))</f>
        <v>#REF!</v>
      </c>
      <c r="AD707" t="e">
        <f>IF(A707="","",IF(AC707&gt;1,"REVISAR DUPLICADO",IF(AA707&lt;&gt;"","ACTUALIZADO POR EYR","SIN REPORTE EYR")))</f>
        <v>#REF!</v>
      </c>
    </row>
    <row r="708" spans="1:30" x14ac:dyDescent="0.3">
      <c r="A708" s="5" t="s">
        <v>3657</v>
      </c>
      <c r="B708" t="s">
        <v>3656</v>
      </c>
      <c r="C708" s="4" t="s">
        <v>3655</v>
      </c>
      <c r="D708" t="s">
        <v>77</v>
      </c>
      <c r="F708" t="s">
        <v>3654</v>
      </c>
      <c r="G708" s="3">
        <v>9999999999</v>
      </c>
      <c r="H708" s="2">
        <v>46126</v>
      </c>
      <c r="K708" s="1">
        <f ca="1">IF(A708="","",IF(OR(L708="ENTREGADA",L708="RETORNADA",L708="ENTREGA DIGITAL"),0,MAX(0,5-NETWORKDAYS(H708+1,TODAY()))))</f>
        <v>0</v>
      </c>
      <c r="L708" t="str">
        <f>IF(A708="","",IFERROR(LOOKUP(2,1/(#REF!=Z708),#REF!),Y708))</f>
        <v>RETORNADA</v>
      </c>
      <c r="Y708" t="s">
        <v>1857</v>
      </c>
      <c r="Z708" t="str">
        <f>IF(A708="","",TEXT(A708,"0")&amp;"|"&amp;TEXT(H708,"0"))</f>
        <v>4921017812322780|46126</v>
      </c>
      <c r="AA708" t="str">
        <f>IF(Z708="","",IFERROR(LOOKUP(2,1/(#REF!=Z708),#REF!),""))</f>
        <v/>
      </c>
      <c r="AB708" t="str">
        <f>IF(Z708="","",IFERROR(LOOKUP(2,1/(#REF!=Z708),#REF!),""))</f>
        <v/>
      </c>
      <c r="AC708" t="e">
        <f>IF(Z708="","",COUNTIF(#REF!,Z708))</f>
        <v>#REF!</v>
      </c>
      <c r="AD708" t="e">
        <f>IF(A708="","",IF(AC708&gt;1,"REVISAR DUPLICADO",IF(AA708&lt;&gt;"","ACTUALIZADO POR EYR","SIN REPORTE EYR")))</f>
        <v>#REF!</v>
      </c>
    </row>
    <row r="709" spans="1:30" x14ac:dyDescent="0.3">
      <c r="A709" s="5" t="s">
        <v>149</v>
      </c>
      <c r="B709" t="s">
        <v>148</v>
      </c>
      <c r="C709" s="4" t="s">
        <v>147</v>
      </c>
      <c r="D709" t="s">
        <v>77</v>
      </c>
      <c r="F709" t="s">
        <v>13</v>
      </c>
      <c r="G709" s="3">
        <v>8095541985</v>
      </c>
      <c r="H709" s="2">
        <v>46126</v>
      </c>
      <c r="K709" s="1">
        <f ca="1">IF(A709="","",IF(OR(L709="ENTREGADA",L709="RETORNADA",L709="ENTREGA DIGITAL"),0,MAX(0,5-NETWORKDAYS(H709+1,TODAY()))))</f>
        <v>0</v>
      </c>
      <c r="L709" t="str">
        <f>IF(A709="","",IFERROR(LOOKUP(2,1/(#REF!=Z709),#REF!),Y709))</f>
        <v>RETORNADA</v>
      </c>
      <c r="Y709" t="s">
        <v>1857</v>
      </c>
      <c r="Z709" t="str">
        <f>IF(A709="","",TEXT(A709,"0")&amp;"|"&amp;TEXT(H709,"0"))</f>
        <v>5188017811315170|46126</v>
      </c>
      <c r="AA709" t="str">
        <f>IF(Z709="","",IFERROR(LOOKUP(2,1/(#REF!=Z709),#REF!),""))</f>
        <v/>
      </c>
      <c r="AB709" t="str">
        <f>IF(Z709="","",IFERROR(LOOKUP(2,1/(#REF!=Z709),#REF!),""))</f>
        <v/>
      </c>
      <c r="AC709" t="e">
        <f>IF(Z709="","",COUNTIF(#REF!,Z709))</f>
        <v>#REF!</v>
      </c>
      <c r="AD709" t="e">
        <f>IF(A709="","",IF(AC709&gt;1,"REVISAR DUPLICADO",IF(AA709&lt;&gt;"","ACTUALIZADO POR EYR","SIN REPORTE EYR")))</f>
        <v>#REF!</v>
      </c>
    </row>
    <row r="710" spans="1:30" x14ac:dyDescent="0.3">
      <c r="A710" s="5" t="s">
        <v>3653</v>
      </c>
      <c r="B710" t="s">
        <v>3652</v>
      </c>
      <c r="C710" s="4" t="s">
        <v>3651</v>
      </c>
      <c r="D710" t="s">
        <v>77</v>
      </c>
      <c r="F710" t="s">
        <v>13</v>
      </c>
      <c r="G710" s="3">
        <v>8298788388</v>
      </c>
      <c r="H710" s="2">
        <v>46126</v>
      </c>
      <c r="K710" s="1">
        <f ca="1">IF(A710="","",IF(OR(L710="ENTREGADA",L710="RETORNADA",L710="ENTREGA DIGITAL"),0,MAX(0,5-NETWORKDAYS(H710+1,TODAY()))))</f>
        <v>0</v>
      </c>
      <c r="L710" t="str">
        <f>IF(A710="","",IFERROR(LOOKUP(2,1/(#REF!=Z710),#REF!),Y710))</f>
        <v>ENTREGA DIGITAL</v>
      </c>
      <c r="Y710" t="s">
        <v>1396</v>
      </c>
      <c r="Z710" t="str">
        <f>IF(A710="","",TEXT(A710,"0")&amp;"|"&amp;TEXT(H710,"0"))</f>
        <v>4921017760444270|46126</v>
      </c>
      <c r="AA710" t="str">
        <f>IF(Z710="","",IFERROR(LOOKUP(2,1/(#REF!=Z710),#REF!),""))</f>
        <v/>
      </c>
      <c r="AB710" t="str">
        <f>IF(Z710="","",IFERROR(LOOKUP(2,1/(#REF!=Z710),#REF!),""))</f>
        <v/>
      </c>
      <c r="AC710" t="e">
        <f>IF(Z710="","",COUNTIF(#REF!,Z710))</f>
        <v>#REF!</v>
      </c>
      <c r="AD710" t="e">
        <f>IF(A710="","",IF(AC710&gt;1,"REVISAR DUPLICADO",IF(AA710&lt;&gt;"","ACTUALIZADO POR EYR","SIN REPORTE EYR")))</f>
        <v>#REF!</v>
      </c>
    </row>
    <row r="711" spans="1:30" x14ac:dyDescent="0.3">
      <c r="A711" s="5" t="s">
        <v>3650</v>
      </c>
      <c r="B711" t="s">
        <v>3649</v>
      </c>
      <c r="C711" s="4" t="s">
        <v>3646</v>
      </c>
      <c r="D711" t="s">
        <v>77</v>
      </c>
      <c r="F711" t="s">
        <v>13</v>
      </c>
      <c r="G711" s="3">
        <v>8297567680</v>
      </c>
      <c r="H711" s="2">
        <v>46126</v>
      </c>
      <c r="K711" s="1">
        <f ca="1">IF(A711="","",IF(OR(L711="ENTREGADA",L711="RETORNADA",L711="ENTREGA DIGITAL"),0,MAX(0,5-NETWORKDAYS(H711+1,TODAY()))))</f>
        <v>0</v>
      </c>
      <c r="L711" t="str">
        <f>IF(A711="","",IFERROR(LOOKUP(2,1/(#REF!=Z711),#REF!),Y711))</f>
        <v>ENTREGA DIGITAL</v>
      </c>
      <c r="Y711" t="s">
        <v>1396</v>
      </c>
      <c r="Z711" t="str">
        <f>IF(A711="","",TEXT(A711,"0")&amp;"|"&amp;TEXT(H711,"0"))</f>
        <v>4921017807099770|46126</v>
      </c>
      <c r="AA711" t="str">
        <f>IF(Z711="","",IFERROR(LOOKUP(2,1/(#REF!=Z711),#REF!),""))</f>
        <v/>
      </c>
      <c r="AB711" t="str">
        <f>IF(Z711="","",IFERROR(LOOKUP(2,1/(#REF!=Z711),#REF!),""))</f>
        <v/>
      </c>
      <c r="AC711" t="e">
        <f>IF(Z711="","",COUNTIF(#REF!,Z711))</f>
        <v>#REF!</v>
      </c>
      <c r="AD711" t="e">
        <f>IF(A711="","",IF(AC711&gt;1,"REVISAR DUPLICADO",IF(AA711&lt;&gt;"","ACTUALIZADO POR EYR","SIN REPORTE EYR")))</f>
        <v>#REF!</v>
      </c>
    </row>
    <row r="712" spans="1:30" x14ac:dyDescent="0.3">
      <c r="A712" s="5" t="s">
        <v>3648</v>
      </c>
      <c r="B712" t="s">
        <v>3647</v>
      </c>
      <c r="C712" s="4" t="s">
        <v>3646</v>
      </c>
      <c r="D712" t="s">
        <v>77</v>
      </c>
      <c r="F712" t="s">
        <v>13</v>
      </c>
      <c r="G712" s="3">
        <v>8297567680</v>
      </c>
      <c r="H712" s="2">
        <v>46126</v>
      </c>
      <c r="K712" s="1">
        <f ca="1">IF(A712="","",IF(OR(L712="ENTREGADA",L712="RETORNADA",L712="ENTREGA DIGITAL"),0,MAX(0,5-NETWORKDAYS(H712+1,TODAY()))))</f>
        <v>0</v>
      </c>
      <c r="L712" t="str">
        <f>IF(A712="","",IFERROR(LOOKUP(2,1/(#REF!=Z712),#REF!),Y712))</f>
        <v>ENTREGADA</v>
      </c>
      <c r="Y712" t="s">
        <v>1956</v>
      </c>
      <c r="Z712" t="str">
        <f>IF(A712="","",TEXT(A712,"0")&amp;"|"&amp;TEXT(H712,"0"))</f>
        <v>4921017806201740|46126</v>
      </c>
      <c r="AA712" t="str">
        <f>IF(Z712="","",IFERROR(LOOKUP(2,1/(#REF!=Z712),#REF!),""))</f>
        <v/>
      </c>
      <c r="AB712" t="str">
        <f>IF(Z712="","",IFERROR(LOOKUP(2,1/(#REF!=Z712),#REF!),""))</f>
        <v/>
      </c>
      <c r="AC712" t="e">
        <f>IF(Z712="","",COUNTIF(#REF!,Z712))</f>
        <v>#REF!</v>
      </c>
      <c r="AD712" t="e">
        <f>IF(A712="","",IF(AC712&gt;1,"REVISAR DUPLICADO",IF(AA712&lt;&gt;"","ACTUALIZADO POR EYR","SIN REPORTE EYR")))</f>
        <v>#REF!</v>
      </c>
    </row>
    <row r="713" spans="1:30" x14ac:dyDescent="0.3">
      <c r="A713" s="5" t="s">
        <v>3645</v>
      </c>
      <c r="B713" t="s">
        <v>3644</v>
      </c>
      <c r="C713" s="4" t="s">
        <v>3643</v>
      </c>
      <c r="D713" t="s">
        <v>77</v>
      </c>
      <c r="F713" t="s">
        <v>0</v>
      </c>
      <c r="G713" s="3">
        <v>8098566915</v>
      </c>
      <c r="H713" s="2">
        <v>46126</v>
      </c>
      <c r="K713" s="1">
        <f ca="1">IF(A713="","",IF(OR(L713="ENTREGADA",L713="RETORNADA",L713="ENTREGA DIGITAL"),0,MAX(0,5-NETWORKDAYS(H713+1,TODAY()))))</f>
        <v>0</v>
      </c>
      <c r="L713" t="str">
        <f>IF(A713="","",IFERROR(LOOKUP(2,1/(#REF!=Z713),#REF!),Y713))</f>
        <v>ENTREGA DIGITAL</v>
      </c>
      <c r="Y713" t="s">
        <v>1396</v>
      </c>
      <c r="Z713" t="str">
        <f>IF(A713="","",TEXT(A713,"0")&amp;"|"&amp;TEXT(H713,"0"))</f>
        <v>5415017696727310|46126</v>
      </c>
      <c r="AA713" t="str">
        <f>IF(Z713="","",IFERROR(LOOKUP(2,1/(#REF!=Z713),#REF!),""))</f>
        <v/>
      </c>
      <c r="AB713" t="str">
        <f>IF(Z713="","",IFERROR(LOOKUP(2,1/(#REF!=Z713),#REF!),""))</f>
        <v/>
      </c>
      <c r="AC713" t="e">
        <f>IF(Z713="","",COUNTIF(#REF!,Z713))</f>
        <v>#REF!</v>
      </c>
      <c r="AD713" t="e">
        <f>IF(A713="","",IF(AC713&gt;1,"REVISAR DUPLICADO",IF(AA713&lt;&gt;"","ACTUALIZADO POR EYR","SIN REPORTE EYR")))</f>
        <v>#REF!</v>
      </c>
    </row>
    <row r="714" spans="1:30" x14ac:dyDescent="0.3">
      <c r="A714" s="5" t="s">
        <v>3642</v>
      </c>
      <c r="B714" t="s">
        <v>3641</v>
      </c>
      <c r="C714" s="4" t="s">
        <v>3640</v>
      </c>
      <c r="D714" t="s">
        <v>77</v>
      </c>
      <c r="F714" t="s">
        <v>0</v>
      </c>
      <c r="G714" s="3">
        <v>8297766105</v>
      </c>
      <c r="H714" s="2">
        <v>46126</v>
      </c>
      <c r="K714" s="1">
        <f ca="1">IF(A714="","",IF(OR(L714="ENTREGADA",L714="RETORNADA",L714="ENTREGA DIGITAL"),0,MAX(0,5-NETWORKDAYS(H714+1,TODAY()))))</f>
        <v>0</v>
      </c>
      <c r="L714" t="str">
        <f>IF(A714="","",IFERROR(LOOKUP(2,1/(#REF!=Z714),#REF!),Y714))</f>
        <v>ENTREGA DIGITAL</v>
      </c>
      <c r="Y714" t="s">
        <v>1396</v>
      </c>
      <c r="Z714" t="str">
        <f>IF(A714="","",TEXT(A714,"0")&amp;"|"&amp;TEXT(H714,"0"))</f>
        <v>5415017742504420|46126</v>
      </c>
      <c r="AA714" t="str">
        <f>IF(Z714="","",IFERROR(LOOKUP(2,1/(#REF!=Z714),#REF!),""))</f>
        <v/>
      </c>
      <c r="AB714" t="str">
        <f>IF(Z714="","",IFERROR(LOOKUP(2,1/(#REF!=Z714),#REF!),""))</f>
        <v/>
      </c>
      <c r="AC714" t="e">
        <f>IF(Z714="","",COUNTIF(#REF!,Z714))</f>
        <v>#REF!</v>
      </c>
      <c r="AD714" t="e">
        <f>IF(A714="","",IF(AC714&gt;1,"REVISAR DUPLICADO",IF(AA714&lt;&gt;"","ACTUALIZADO POR EYR","SIN REPORTE EYR")))</f>
        <v>#REF!</v>
      </c>
    </row>
    <row r="715" spans="1:30" x14ac:dyDescent="0.3">
      <c r="A715" s="5" t="s">
        <v>3639</v>
      </c>
      <c r="B715" t="s">
        <v>3638</v>
      </c>
      <c r="C715" s="4" t="s">
        <v>3637</v>
      </c>
      <c r="D715" t="s">
        <v>77</v>
      </c>
      <c r="F715" t="s">
        <v>0</v>
      </c>
      <c r="G715" s="3">
        <v>8094859569</v>
      </c>
      <c r="H715" s="2">
        <v>46126</v>
      </c>
      <c r="K715" s="1">
        <f ca="1">IF(A715="","",IF(OR(L715="ENTREGADA",L715="RETORNADA",L715="ENTREGA DIGITAL"),0,MAX(0,5-NETWORKDAYS(H715+1,TODAY()))))</f>
        <v>0</v>
      </c>
      <c r="L715" t="str">
        <f>IF(A715="","",IFERROR(LOOKUP(2,1/(#REF!=Z715),#REF!),Y715))</f>
        <v>ENTREGA DIGITAL</v>
      </c>
      <c r="Y715" t="s">
        <v>1396</v>
      </c>
      <c r="Z715" t="str">
        <f>IF(A715="","",TEXT(A715,"0")&amp;"|"&amp;TEXT(H715,"0"))</f>
        <v>5415017732837560|46126</v>
      </c>
      <c r="AA715" t="str">
        <f>IF(Z715="","",IFERROR(LOOKUP(2,1/(#REF!=Z715),#REF!),""))</f>
        <v/>
      </c>
      <c r="AB715" t="str">
        <f>IF(Z715="","",IFERROR(LOOKUP(2,1/(#REF!=Z715),#REF!),""))</f>
        <v/>
      </c>
      <c r="AC715" t="e">
        <f>IF(Z715="","",COUNTIF(#REF!,Z715))</f>
        <v>#REF!</v>
      </c>
      <c r="AD715" t="e">
        <f>IF(A715="","",IF(AC715&gt;1,"REVISAR DUPLICADO",IF(AA715&lt;&gt;"","ACTUALIZADO POR EYR","SIN REPORTE EYR")))</f>
        <v>#REF!</v>
      </c>
    </row>
    <row r="716" spans="1:30" x14ac:dyDescent="0.3">
      <c r="A716" s="5" t="s">
        <v>3636</v>
      </c>
      <c r="B716" t="s">
        <v>3635</v>
      </c>
      <c r="C716" s="4" t="s">
        <v>3634</v>
      </c>
      <c r="D716" t="s">
        <v>77</v>
      </c>
      <c r="F716" t="s">
        <v>3633</v>
      </c>
      <c r="G716" s="3">
        <v>8099130970</v>
      </c>
      <c r="H716" s="2">
        <v>46126</v>
      </c>
      <c r="K716" s="1">
        <f ca="1">IF(A716="","",IF(OR(L716="ENTREGADA",L716="RETORNADA",L716="ENTREGA DIGITAL"),0,MAX(0,5-NETWORKDAYS(H716+1,TODAY()))))</f>
        <v>0</v>
      </c>
      <c r="L716" t="str">
        <f>IF(A716="","",IFERROR(LOOKUP(2,1/(#REF!=Z716),#REF!),Y716))</f>
        <v>ENTREGA DIGITAL</v>
      </c>
      <c r="Y716" t="s">
        <v>1396</v>
      </c>
      <c r="Z716" t="str">
        <f>IF(A716="","",TEXT(A716,"0")&amp;"|"&amp;TEXT(H716,"0"))</f>
        <v>4025017808854760|46126</v>
      </c>
      <c r="AA716" t="str">
        <f>IF(Z716="","",IFERROR(LOOKUP(2,1/(#REF!=Z716),#REF!),""))</f>
        <v/>
      </c>
      <c r="AB716" t="str">
        <f>IF(Z716="","",IFERROR(LOOKUP(2,1/(#REF!=Z716),#REF!),""))</f>
        <v/>
      </c>
      <c r="AC716" t="e">
        <f>IF(Z716="","",COUNTIF(#REF!,Z716))</f>
        <v>#REF!</v>
      </c>
      <c r="AD716" t="e">
        <f>IF(A716="","",IF(AC716&gt;1,"REVISAR DUPLICADO",IF(AA716&lt;&gt;"","ACTUALIZADO POR EYR","SIN REPORTE EYR")))</f>
        <v>#REF!</v>
      </c>
    </row>
    <row r="717" spans="1:30" x14ac:dyDescent="0.3">
      <c r="A717" s="5" t="s">
        <v>3632</v>
      </c>
      <c r="B717" t="s">
        <v>3631</v>
      </c>
      <c r="C717" s="4" t="s">
        <v>3630</v>
      </c>
      <c r="D717" t="s">
        <v>77</v>
      </c>
      <c r="F717" t="s">
        <v>3629</v>
      </c>
      <c r="G717" s="3">
        <v>8098587573</v>
      </c>
      <c r="H717" s="2">
        <v>46126</v>
      </c>
      <c r="I717" t="s">
        <v>1397</v>
      </c>
      <c r="K717" s="1">
        <f ca="1">IF(A717="","",IF(OR(L717="ENTREGADA",L717="RETORNADA",L717="ENTREGA DIGITAL"),0,MAX(0,5-NETWORKDAYS(H717+1,TODAY()))))</f>
        <v>0</v>
      </c>
      <c r="L717" t="str">
        <f>IF(A717="","",IFERROR(LOOKUP(2,1/(#REF!=Z717),#REF!),Y717))</f>
        <v>ENTREGA DIGITAL</v>
      </c>
      <c r="Y717" t="s">
        <v>1396</v>
      </c>
      <c r="Z717" t="str">
        <f>IF(A717="","",TEXT(A717,"0")&amp;"|"&amp;TEXT(H717,"0"))</f>
        <v>5415017759243450|46126</v>
      </c>
      <c r="AA717" t="str">
        <f>IF(Z717="","",IFERROR(LOOKUP(2,1/(#REF!=Z717),#REF!),""))</f>
        <v/>
      </c>
      <c r="AB717" t="str">
        <f>IF(Z717="","",IFERROR(LOOKUP(2,1/(#REF!=Z717),#REF!),""))</f>
        <v/>
      </c>
      <c r="AC717" t="e">
        <f>IF(Z717="","",COUNTIF(#REF!,Z717))</f>
        <v>#REF!</v>
      </c>
      <c r="AD717" t="e">
        <f>IF(A717="","",IF(AC717&gt;1,"REVISAR DUPLICADO",IF(AA717&lt;&gt;"","ACTUALIZADO POR EYR","SIN REPORTE EYR")))</f>
        <v>#REF!</v>
      </c>
    </row>
    <row r="718" spans="1:30" x14ac:dyDescent="0.3">
      <c r="A718" s="5" t="s">
        <v>3628</v>
      </c>
      <c r="B718" t="s">
        <v>3627</v>
      </c>
      <c r="C718" s="4" t="s">
        <v>3626</v>
      </c>
      <c r="D718" t="s">
        <v>77</v>
      </c>
      <c r="F718" t="s">
        <v>13</v>
      </c>
      <c r="G718" s="3">
        <v>8096647787</v>
      </c>
      <c r="H718" s="2">
        <v>46126</v>
      </c>
      <c r="I718" t="s">
        <v>1397</v>
      </c>
      <c r="K718" s="1">
        <f ca="1">IF(A718="","",IF(OR(L718="ENTREGADA",L718="RETORNADA",L718="ENTREGA DIGITAL"),0,MAX(0,5-NETWORKDAYS(H718+1,TODAY()))))</f>
        <v>0</v>
      </c>
      <c r="L718" t="str">
        <f>IF(A718="","",IFERROR(LOOKUP(2,1/(#REF!=Z718),#REF!),Y718))</f>
        <v>ENTREGA DIGITAL</v>
      </c>
      <c r="Y718" t="s">
        <v>1396</v>
      </c>
      <c r="Z718" t="str">
        <f>IF(A718="","",TEXT(A718,"0")&amp;"|"&amp;TEXT(H718,"0"))</f>
        <v>4921017808787800|46126</v>
      </c>
      <c r="AA718" t="str">
        <f>IF(Z718="","",IFERROR(LOOKUP(2,1/(#REF!=Z718),#REF!),""))</f>
        <v/>
      </c>
      <c r="AB718" t="str">
        <f>IF(Z718="","",IFERROR(LOOKUP(2,1/(#REF!=Z718),#REF!),""))</f>
        <v/>
      </c>
      <c r="AC718" t="e">
        <f>IF(Z718="","",COUNTIF(#REF!,Z718))</f>
        <v>#REF!</v>
      </c>
      <c r="AD718" t="e">
        <f>IF(A718="","",IF(AC718&gt;1,"REVISAR DUPLICADO",IF(AA718&lt;&gt;"","ACTUALIZADO POR EYR","SIN REPORTE EYR")))</f>
        <v>#REF!</v>
      </c>
    </row>
    <row r="719" spans="1:30" x14ac:dyDescent="0.3">
      <c r="A719" s="5" t="s">
        <v>3625</v>
      </c>
      <c r="B719" t="s">
        <v>3624</v>
      </c>
      <c r="C719" s="4" t="s">
        <v>3623</v>
      </c>
      <c r="D719" t="s">
        <v>77</v>
      </c>
      <c r="F719">
        <v>8</v>
      </c>
      <c r="G719" s="3">
        <v>1299809240</v>
      </c>
      <c r="H719" s="2">
        <v>46126</v>
      </c>
      <c r="K719" s="1">
        <f ca="1">IF(A719="","",IF(OR(L719="ENTREGADA",L719="RETORNADA",L719="ENTREGA DIGITAL"),0,MAX(0,5-NETWORKDAYS(H719+1,TODAY()))))</f>
        <v>0</v>
      </c>
      <c r="L719" t="str">
        <f>IF(A719="","",IFERROR(LOOKUP(2,1/(#REF!=Z719),#REF!),Y719))</f>
        <v>RETORNADA</v>
      </c>
      <c r="Y719" t="s">
        <v>1857</v>
      </c>
      <c r="Z719" t="str">
        <f>IF(A719="","",TEXT(A719,"0")&amp;"|"&amp;TEXT(H719,"0"))</f>
        <v>5227017720109700|46126</v>
      </c>
      <c r="AA719" t="str">
        <f>IF(Z719="","",IFERROR(LOOKUP(2,1/(#REF!=Z719),#REF!),""))</f>
        <v/>
      </c>
      <c r="AB719" t="str">
        <f>IF(Z719="","",IFERROR(LOOKUP(2,1/(#REF!=Z719),#REF!),""))</f>
        <v/>
      </c>
      <c r="AC719" t="e">
        <f>IF(Z719="","",COUNTIF(#REF!,Z719))</f>
        <v>#REF!</v>
      </c>
      <c r="AD719" t="e">
        <f>IF(A719="","",IF(AC719&gt;1,"REVISAR DUPLICADO",IF(AA719&lt;&gt;"","ACTUALIZADO POR EYR","SIN REPORTE EYR")))</f>
        <v>#REF!</v>
      </c>
    </row>
    <row r="720" spans="1:30" x14ac:dyDescent="0.3">
      <c r="A720" s="5" t="s">
        <v>3622</v>
      </c>
      <c r="B720" t="s">
        <v>3621</v>
      </c>
      <c r="C720" s="4" t="s">
        <v>3620</v>
      </c>
      <c r="D720" t="s">
        <v>77</v>
      </c>
      <c r="F720" t="s">
        <v>13</v>
      </c>
      <c r="G720" s="3">
        <v>8498469079</v>
      </c>
      <c r="H720" s="2">
        <v>46126</v>
      </c>
      <c r="K720" s="1">
        <f ca="1">IF(A720="","",IF(OR(L720="ENTREGADA",L720="RETORNADA",L720="ENTREGA DIGITAL"),0,MAX(0,5-NETWORKDAYS(H720+1,TODAY()))))</f>
        <v>0</v>
      </c>
      <c r="L720" t="str">
        <f>IF(A720="","",IFERROR(LOOKUP(2,1/(#REF!=Z720),#REF!),Y720))</f>
        <v>RETORNADA</v>
      </c>
      <c r="Y720" t="s">
        <v>1857</v>
      </c>
      <c r="Z720" t="str">
        <f>IF(A720="","",TEXT(A720,"0")&amp;"|"&amp;TEXT(H720,"0"))</f>
        <v>4921017815370420|46126</v>
      </c>
      <c r="AA720" t="str">
        <f>IF(Z720="","",IFERROR(LOOKUP(2,1/(#REF!=Z720),#REF!),""))</f>
        <v/>
      </c>
      <c r="AB720" t="str">
        <f>IF(Z720="","",IFERROR(LOOKUP(2,1/(#REF!=Z720),#REF!),""))</f>
        <v/>
      </c>
      <c r="AC720" t="e">
        <f>IF(Z720="","",COUNTIF(#REF!,Z720))</f>
        <v>#REF!</v>
      </c>
      <c r="AD720" t="e">
        <f>IF(A720="","",IF(AC720&gt;1,"REVISAR DUPLICADO",IF(AA720&lt;&gt;"","ACTUALIZADO POR EYR","SIN REPORTE EYR")))</f>
        <v>#REF!</v>
      </c>
    </row>
    <row r="721" spans="1:30" x14ac:dyDescent="0.3">
      <c r="A721" s="5" t="s">
        <v>3619</v>
      </c>
      <c r="B721" t="s">
        <v>3618</v>
      </c>
      <c r="C721" s="4" t="s">
        <v>3617</v>
      </c>
      <c r="D721" t="s">
        <v>77</v>
      </c>
      <c r="F721" t="s">
        <v>13</v>
      </c>
      <c r="G721" s="3">
        <v>8299811521</v>
      </c>
      <c r="H721" s="2">
        <v>46126</v>
      </c>
      <c r="I721" t="s">
        <v>1397</v>
      </c>
      <c r="K721" s="1">
        <f ca="1">IF(A721="","",IF(OR(L721="ENTREGADA",L721="RETORNADA",L721="ENTREGA DIGITAL"),0,MAX(0,5-NETWORKDAYS(H721+1,TODAY()))))</f>
        <v>0</v>
      </c>
      <c r="L721" t="str">
        <f>IF(A721="","",IFERROR(LOOKUP(2,1/(#REF!=Z721),#REF!),Y721))</f>
        <v>ENTREGA DIGITAL</v>
      </c>
      <c r="Y721" t="s">
        <v>1396</v>
      </c>
      <c r="Z721" t="str">
        <f>IF(A721="","",TEXT(A721,"0")&amp;"|"&amp;TEXT(H721,"0"))</f>
        <v>4921017812336720|46126</v>
      </c>
      <c r="AA721" t="str">
        <f>IF(Z721="","",IFERROR(LOOKUP(2,1/(#REF!=Z721),#REF!),""))</f>
        <v/>
      </c>
      <c r="AB721" t="str">
        <f>IF(Z721="","",IFERROR(LOOKUP(2,1/(#REF!=Z721),#REF!),""))</f>
        <v/>
      </c>
      <c r="AC721" t="e">
        <f>IF(Z721="","",COUNTIF(#REF!,Z721))</f>
        <v>#REF!</v>
      </c>
      <c r="AD721" t="e">
        <f>IF(A721="","",IF(AC721&gt;1,"REVISAR DUPLICADO",IF(AA721&lt;&gt;"","ACTUALIZADO POR EYR","SIN REPORTE EYR")))</f>
        <v>#REF!</v>
      </c>
    </row>
    <row r="722" spans="1:30" x14ac:dyDescent="0.3">
      <c r="A722" s="5" t="s">
        <v>3616</v>
      </c>
      <c r="B722" t="s">
        <v>3615</v>
      </c>
      <c r="C722" s="4" t="s">
        <v>3614</v>
      </c>
      <c r="D722" t="s">
        <v>77</v>
      </c>
      <c r="F722" t="s">
        <v>13</v>
      </c>
      <c r="G722" s="3">
        <v>8097500193</v>
      </c>
      <c r="H722" s="2">
        <v>46126</v>
      </c>
      <c r="I722" t="s">
        <v>1397</v>
      </c>
      <c r="K722" s="1">
        <f ca="1">IF(A722="","",IF(OR(L722="ENTREGADA",L722="RETORNADA",L722="ENTREGA DIGITAL"),0,MAX(0,5-NETWORKDAYS(H722+1,TODAY()))))</f>
        <v>0</v>
      </c>
      <c r="L722" t="str">
        <f>IF(A722="","",IFERROR(LOOKUP(2,1/(#REF!=Z722),#REF!),Y722))</f>
        <v>ENTREGA DIGITAL</v>
      </c>
      <c r="Y722" t="s">
        <v>1396</v>
      </c>
      <c r="Z722" t="str">
        <f>IF(A722="","",TEXT(A722,"0")&amp;"|"&amp;TEXT(H722,"0"))</f>
        <v>4921017815318870|46126</v>
      </c>
      <c r="AA722" t="str">
        <f>IF(Z722="","",IFERROR(LOOKUP(2,1/(#REF!=Z722),#REF!),""))</f>
        <v/>
      </c>
      <c r="AB722" t="str">
        <f>IF(Z722="","",IFERROR(LOOKUP(2,1/(#REF!=Z722),#REF!),""))</f>
        <v/>
      </c>
      <c r="AC722" t="e">
        <f>IF(Z722="","",COUNTIF(#REF!,Z722))</f>
        <v>#REF!</v>
      </c>
      <c r="AD722" t="e">
        <f>IF(A722="","",IF(AC722&gt;1,"REVISAR DUPLICADO",IF(AA722&lt;&gt;"","ACTUALIZADO POR EYR","SIN REPORTE EYR")))</f>
        <v>#REF!</v>
      </c>
    </row>
    <row r="723" spans="1:30" x14ac:dyDescent="0.3">
      <c r="A723" s="5" t="s">
        <v>3613</v>
      </c>
      <c r="B723" t="s">
        <v>3612</v>
      </c>
      <c r="C723" s="4" t="s">
        <v>3611</v>
      </c>
      <c r="D723" t="s">
        <v>21</v>
      </c>
      <c r="F723" t="s">
        <v>3610</v>
      </c>
      <c r="G723" s="3">
        <v>8096157731</v>
      </c>
      <c r="H723" s="2">
        <v>46126</v>
      </c>
      <c r="K723" s="1">
        <f ca="1">IF(A723="","",IF(OR(L723="ENTREGADA",L723="RETORNADA",L723="ENTREGA DIGITAL"),0,MAX(0,5-NETWORKDAYS(H723+1,TODAY()))))</f>
        <v>0</v>
      </c>
      <c r="L723" t="str">
        <f>IF(A723="","",IFERROR(LOOKUP(2,1/(#REF!=Z723),#REF!),Y723))</f>
        <v>ENTREGA DIGITAL</v>
      </c>
      <c r="Y723" t="s">
        <v>1396</v>
      </c>
      <c r="Z723" t="str">
        <f>IF(A723="","",TEXT(A723,"0")&amp;"|"&amp;TEXT(H723,"0"))</f>
        <v>5415017812769770|46126</v>
      </c>
      <c r="AA723" t="str">
        <f>IF(Z723="","",IFERROR(LOOKUP(2,1/(#REF!=Z723),#REF!),""))</f>
        <v/>
      </c>
      <c r="AB723" t="str">
        <f>IF(Z723="","",IFERROR(LOOKUP(2,1/(#REF!=Z723),#REF!),""))</f>
        <v/>
      </c>
      <c r="AC723" t="e">
        <f>IF(Z723="","",COUNTIF(#REF!,Z723))</f>
        <v>#REF!</v>
      </c>
      <c r="AD723" t="e">
        <f>IF(A723="","",IF(AC723&gt;1,"REVISAR DUPLICADO",IF(AA723&lt;&gt;"","ACTUALIZADO POR EYR","SIN REPORTE EYR")))</f>
        <v>#REF!</v>
      </c>
    </row>
    <row r="724" spans="1:30" x14ac:dyDescent="0.3">
      <c r="A724" s="5" t="s">
        <v>3609</v>
      </c>
      <c r="B724" t="s">
        <v>3608</v>
      </c>
      <c r="C724" s="4" t="s">
        <v>3607</v>
      </c>
      <c r="D724" t="s">
        <v>21</v>
      </c>
      <c r="F724" t="s">
        <v>13</v>
      </c>
      <c r="G724" s="3">
        <v>8093576514</v>
      </c>
      <c r="H724" s="2">
        <v>46126</v>
      </c>
      <c r="K724" s="1">
        <f ca="1">IF(A724="","",IF(OR(L724="ENTREGADA",L724="RETORNADA",L724="ENTREGA DIGITAL"),0,MAX(0,5-NETWORKDAYS(H724+1,TODAY()))))</f>
        <v>0</v>
      </c>
      <c r="L724" t="str">
        <f>IF(A724="","",IFERROR(LOOKUP(2,1/(#REF!=Z724),#REF!),Y724))</f>
        <v>ENTREGA DIGITAL</v>
      </c>
      <c r="Y724" t="s">
        <v>1396</v>
      </c>
      <c r="Z724" t="str">
        <f>IF(A724="","",TEXT(A724,"0")&amp;"|"&amp;TEXT(H724,"0"))</f>
        <v>4921017810421570|46126</v>
      </c>
      <c r="AA724" t="str">
        <f>IF(Z724="","",IFERROR(LOOKUP(2,1/(#REF!=Z724),#REF!),""))</f>
        <v/>
      </c>
      <c r="AB724" t="str">
        <f>IF(Z724="","",IFERROR(LOOKUP(2,1/(#REF!=Z724),#REF!),""))</f>
        <v/>
      </c>
      <c r="AC724" t="e">
        <f>IF(Z724="","",COUNTIF(#REF!,Z724))</f>
        <v>#REF!</v>
      </c>
      <c r="AD724" t="e">
        <f>IF(A724="","",IF(AC724&gt;1,"REVISAR DUPLICADO",IF(AA724&lt;&gt;"","ACTUALIZADO POR EYR","SIN REPORTE EYR")))</f>
        <v>#REF!</v>
      </c>
    </row>
    <row r="725" spans="1:30" x14ac:dyDescent="0.3">
      <c r="A725" s="5" t="s">
        <v>3606</v>
      </c>
      <c r="B725" t="s">
        <v>3605</v>
      </c>
      <c r="C725" s="4" t="s">
        <v>3604</v>
      </c>
      <c r="D725" t="s">
        <v>21</v>
      </c>
      <c r="F725" t="s">
        <v>13</v>
      </c>
      <c r="G725" s="3">
        <v>8099539547</v>
      </c>
      <c r="H725" s="2">
        <v>46126</v>
      </c>
      <c r="K725" s="1">
        <f ca="1">IF(A725="","",IF(OR(L725="ENTREGADA",L725="RETORNADA",L725="ENTREGA DIGITAL"),0,MAX(0,5-NETWORKDAYS(H725+1,TODAY()))))</f>
        <v>0</v>
      </c>
      <c r="L725" t="str">
        <f>IF(A725="","",IFERROR(LOOKUP(2,1/(#REF!=Z725),#REF!),Y725))</f>
        <v>RETORNADA</v>
      </c>
      <c r="Y725" t="s">
        <v>1857</v>
      </c>
      <c r="Z725" t="str">
        <f>IF(A725="","",TEXT(A725,"0")&amp;"|"&amp;TEXT(H725,"0"))</f>
        <v>4921017810415150|46126</v>
      </c>
      <c r="AA725" t="str">
        <f>IF(Z725="","",IFERROR(LOOKUP(2,1/(#REF!=Z725),#REF!),""))</f>
        <v/>
      </c>
      <c r="AB725" t="str">
        <f>IF(Z725="","",IFERROR(LOOKUP(2,1/(#REF!=Z725),#REF!),""))</f>
        <v/>
      </c>
      <c r="AC725" t="e">
        <f>IF(Z725="","",COUNTIF(#REF!,Z725))</f>
        <v>#REF!</v>
      </c>
      <c r="AD725" t="e">
        <f>IF(A725="","",IF(AC725&gt;1,"REVISAR DUPLICADO",IF(AA725&lt;&gt;"","ACTUALIZADO POR EYR","SIN REPORTE EYR")))</f>
        <v>#REF!</v>
      </c>
    </row>
    <row r="726" spans="1:30" x14ac:dyDescent="0.3">
      <c r="A726" s="5" t="s">
        <v>3603</v>
      </c>
      <c r="B726" t="s">
        <v>3602</v>
      </c>
      <c r="C726" s="4" t="s">
        <v>3601</v>
      </c>
      <c r="D726" t="s">
        <v>21</v>
      </c>
      <c r="F726" t="s">
        <v>13</v>
      </c>
      <c r="G726" s="3">
        <v>8293242403</v>
      </c>
      <c r="H726" s="2">
        <v>46126</v>
      </c>
      <c r="K726" s="1">
        <f ca="1">IF(A726="","",IF(OR(L726="ENTREGADA",L726="RETORNADA",L726="ENTREGA DIGITAL"),0,MAX(0,5-NETWORKDAYS(H726+1,TODAY()))))</f>
        <v>0</v>
      </c>
      <c r="L726" t="str">
        <f>IF(A726="","",IFERROR(LOOKUP(2,1/(#REF!=Z726),#REF!),Y726))</f>
        <v>ENTREGA DIGITAL</v>
      </c>
      <c r="Y726" t="s">
        <v>1396</v>
      </c>
      <c r="Z726" t="str">
        <f>IF(A726="","",TEXT(A726,"0")&amp;"|"&amp;TEXT(H726,"0"))</f>
        <v>4921017814281770|46126</v>
      </c>
      <c r="AA726" t="str">
        <f>IF(Z726="","",IFERROR(LOOKUP(2,1/(#REF!=Z726),#REF!),""))</f>
        <v/>
      </c>
      <c r="AB726" t="str">
        <f>IF(Z726="","",IFERROR(LOOKUP(2,1/(#REF!=Z726),#REF!),""))</f>
        <v/>
      </c>
      <c r="AC726" t="e">
        <f>IF(Z726="","",COUNTIF(#REF!,Z726))</f>
        <v>#REF!</v>
      </c>
      <c r="AD726" t="e">
        <f>IF(A726="","",IF(AC726&gt;1,"REVISAR DUPLICADO",IF(AA726&lt;&gt;"","ACTUALIZADO POR EYR","SIN REPORTE EYR")))</f>
        <v>#REF!</v>
      </c>
    </row>
    <row r="727" spans="1:30" x14ac:dyDescent="0.3">
      <c r="A727" s="5" t="s">
        <v>3600</v>
      </c>
      <c r="B727" t="s">
        <v>3599</v>
      </c>
      <c r="C727" s="4" t="s">
        <v>3598</v>
      </c>
      <c r="D727" t="s">
        <v>21</v>
      </c>
      <c r="F727" t="s">
        <v>265</v>
      </c>
      <c r="G727" s="3">
        <v>8297198707</v>
      </c>
      <c r="H727" s="2">
        <v>46126</v>
      </c>
      <c r="K727" s="1">
        <f ca="1">IF(A727="","",IF(OR(L727="ENTREGADA",L727="RETORNADA",L727="ENTREGA DIGITAL"),0,MAX(0,5-NETWORKDAYS(H727+1,TODAY()))))</f>
        <v>0</v>
      </c>
      <c r="L727" t="str">
        <f>IF(A727="","",IFERROR(LOOKUP(2,1/(#REF!=Z727),#REF!),Y727))</f>
        <v>RETORNADA</v>
      </c>
      <c r="Y727" t="s">
        <v>1857</v>
      </c>
      <c r="Z727" t="str">
        <f>IF(A727="","",TEXT(A727,"0")&amp;"|"&amp;TEXT(H727,"0"))</f>
        <v>4921017814815490|46126</v>
      </c>
      <c r="AA727" t="str">
        <f>IF(Z727="","",IFERROR(LOOKUP(2,1/(#REF!=Z727),#REF!),""))</f>
        <v/>
      </c>
      <c r="AB727" t="str">
        <f>IF(Z727="","",IFERROR(LOOKUP(2,1/(#REF!=Z727),#REF!),""))</f>
        <v/>
      </c>
      <c r="AC727" t="e">
        <f>IF(Z727="","",COUNTIF(#REF!,Z727))</f>
        <v>#REF!</v>
      </c>
      <c r="AD727" t="e">
        <f>IF(A727="","",IF(AC727&gt;1,"REVISAR DUPLICADO",IF(AA727&lt;&gt;"","ACTUALIZADO POR EYR","SIN REPORTE EYR")))</f>
        <v>#REF!</v>
      </c>
    </row>
    <row r="728" spans="1:30" x14ac:dyDescent="0.3">
      <c r="A728" s="5" t="s">
        <v>3597</v>
      </c>
      <c r="B728" t="s">
        <v>3596</v>
      </c>
      <c r="C728" s="4" t="s">
        <v>3595</v>
      </c>
      <c r="D728" t="s">
        <v>21</v>
      </c>
      <c r="F728" t="s">
        <v>269</v>
      </c>
      <c r="G728" s="3">
        <v>8296565585</v>
      </c>
      <c r="H728" s="2">
        <v>46126</v>
      </c>
      <c r="I728" t="s">
        <v>1397</v>
      </c>
      <c r="K728" s="1">
        <f ca="1">IF(A728="","",IF(OR(L728="ENTREGADA",L728="RETORNADA",L728="ENTREGA DIGITAL"),0,MAX(0,5-NETWORKDAYS(H728+1,TODAY()))))</f>
        <v>0</v>
      </c>
      <c r="L728" t="str">
        <f>IF(A728="","",IFERROR(LOOKUP(2,1/(#REF!=Z728),#REF!),Y728))</f>
        <v>ENTREGADA</v>
      </c>
      <c r="Y728" t="s">
        <v>1956</v>
      </c>
      <c r="Z728" t="str">
        <f>IF(A728="","",TEXT(A728,"0")&amp;"|"&amp;TEXT(H728,"0"))</f>
        <v>5415017812797110|46126</v>
      </c>
      <c r="AA728" t="str">
        <f>IF(Z728="","",IFERROR(LOOKUP(2,1/(#REF!=Z728),#REF!),""))</f>
        <v/>
      </c>
      <c r="AB728" t="str">
        <f>IF(Z728="","",IFERROR(LOOKUP(2,1/(#REF!=Z728),#REF!),""))</f>
        <v/>
      </c>
      <c r="AC728" t="e">
        <f>IF(Z728="","",COUNTIF(#REF!,Z728))</f>
        <v>#REF!</v>
      </c>
      <c r="AD728" t="e">
        <f>IF(A728="","",IF(AC728&gt;1,"REVISAR DUPLICADO",IF(AA728&lt;&gt;"","ACTUALIZADO POR EYR","SIN REPORTE EYR")))</f>
        <v>#REF!</v>
      </c>
    </row>
    <row r="729" spans="1:30" x14ac:dyDescent="0.3">
      <c r="A729" s="5" t="s">
        <v>3594</v>
      </c>
      <c r="B729" t="s">
        <v>3593</v>
      </c>
      <c r="C729" s="4" t="s">
        <v>3592</v>
      </c>
      <c r="D729" t="s">
        <v>21</v>
      </c>
      <c r="F729" t="s">
        <v>13</v>
      </c>
      <c r="G729" s="3">
        <v>8298796976</v>
      </c>
      <c r="H729" s="2">
        <v>46126</v>
      </c>
      <c r="I729" t="s">
        <v>1397</v>
      </c>
      <c r="K729" s="1">
        <f ca="1">IF(A729="","",IF(OR(L729="ENTREGADA",L729="RETORNADA",L729="ENTREGA DIGITAL"),0,MAX(0,5-NETWORKDAYS(H729+1,TODAY()))))</f>
        <v>0</v>
      </c>
      <c r="L729" t="str">
        <f>IF(A729="","",IFERROR(LOOKUP(2,1/(#REF!=Z729),#REF!),Y729))</f>
        <v>ENTREGADA</v>
      </c>
      <c r="Y729" t="s">
        <v>1956</v>
      </c>
      <c r="Z729" t="str">
        <f>IF(A729="","",TEXT(A729,"0")&amp;"|"&amp;TEXT(H729,"0"))</f>
        <v>5188017813842130|46126</v>
      </c>
      <c r="AA729" t="str">
        <f>IF(Z729="","",IFERROR(LOOKUP(2,1/(#REF!=Z729),#REF!),""))</f>
        <v/>
      </c>
      <c r="AB729" t="str">
        <f>IF(Z729="","",IFERROR(LOOKUP(2,1/(#REF!=Z729),#REF!),""))</f>
        <v/>
      </c>
      <c r="AC729" t="e">
        <f>IF(Z729="","",COUNTIF(#REF!,Z729))</f>
        <v>#REF!</v>
      </c>
      <c r="AD729" t="e">
        <f>IF(A729="","",IF(AC729&gt;1,"REVISAR DUPLICADO",IF(AA729&lt;&gt;"","ACTUALIZADO POR EYR","SIN REPORTE EYR")))</f>
        <v>#REF!</v>
      </c>
    </row>
    <row r="730" spans="1:30" x14ac:dyDescent="0.3">
      <c r="A730" s="5" t="s">
        <v>3591</v>
      </c>
      <c r="B730" t="s">
        <v>3590</v>
      </c>
      <c r="C730" s="4" t="s">
        <v>3589</v>
      </c>
      <c r="D730" t="s">
        <v>21</v>
      </c>
      <c r="F730" t="s">
        <v>846</v>
      </c>
      <c r="G730" s="3">
        <v>8294653267</v>
      </c>
      <c r="H730" s="2">
        <v>46126</v>
      </c>
      <c r="K730" s="1">
        <f ca="1">IF(A730="","",IF(OR(L730="ENTREGADA",L730="RETORNADA",L730="ENTREGA DIGITAL"),0,MAX(0,5-NETWORKDAYS(H730+1,TODAY()))))</f>
        <v>0</v>
      </c>
      <c r="L730" t="str">
        <f>IF(A730="","",IFERROR(LOOKUP(2,1/(#REF!=Z730),#REF!),Y730))</f>
        <v>ENTREGA DIGITAL</v>
      </c>
      <c r="Y730" t="s">
        <v>1396</v>
      </c>
      <c r="Z730" t="str">
        <f>IF(A730="","",TEXT(A730,"0")&amp;"|"&amp;TEXT(H730,"0"))</f>
        <v>5415017811100070|46126</v>
      </c>
      <c r="AA730" t="str">
        <f>IF(Z730="","",IFERROR(LOOKUP(2,1/(#REF!=Z730),#REF!),""))</f>
        <v/>
      </c>
      <c r="AB730" t="str">
        <f>IF(Z730="","",IFERROR(LOOKUP(2,1/(#REF!=Z730),#REF!),""))</f>
        <v/>
      </c>
      <c r="AC730" t="e">
        <f>IF(Z730="","",COUNTIF(#REF!,Z730))</f>
        <v>#REF!</v>
      </c>
      <c r="AD730" t="e">
        <f>IF(A730="","",IF(AC730&gt;1,"REVISAR DUPLICADO",IF(AA730&lt;&gt;"","ACTUALIZADO POR EYR","SIN REPORTE EYR")))</f>
        <v>#REF!</v>
      </c>
    </row>
    <row r="731" spans="1:30" x14ac:dyDescent="0.3">
      <c r="A731" s="5" t="s">
        <v>3588</v>
      </c>
      <c r="B731" t="s">
        <v>3587</v>
      </c>
      <c r="C731" s="4" t="s">
        <v>3586</v>
      </c>
      <c r="D731" t="s">
        <v>21</v>
      </c>
      <c r="F731" t="s">
        <v>1700</v>
      </c>
      <c r="G731" s="3">
        <v>8093392014</v>
      </c>
      <c r="H731" s="2">
        <v>46126</v>
      </c>
      <c r="K731" s="1">
        <f ca="1">IF(A731="","",IF(OR(L731="ENTREGADA",L731="RETORNADA",L731="ENTREGA DIGITAL"),0,MAX(0,5-NETWORKDAYS(H731+1,TODAY()))))</f>
        <v>0</v>
      </c>
      <c r="L731" t="str">
        <f>IF(A731="","",IFERROR(LOOKUP(2,1/(#REF!=Z731),#REF!),Y731))</f>
        <v>ENTREGA DIGITAL</v>
      </c>
      <c r="Y731" t="s">
        <v>1396</v>
      </c>
      <c r="Z731" t="str">
        <f>IF(A731="","",TEXT(A731,"0")&amp;"|"&amp;TEXT(H731,"0"))</f>
        <v>4741017816267760|46126</v>
      </c>
      <c r="AA731" t="str">
        <f>IF(Z731="","",IFERROR(LOOKUP(2,1/(#REF!=Z731),#REF!),""))</f>
        <v/>
      </c>
      <c r="AB731" t="str">
        <f>IF(Z731="","",IFERROR(LOOKUP(2,1/(#REF!=Z731),#REF!),""))</f>
        <v/>
      </c>
      <c r="AC731" t="e">
        <f>IF(Z731="","",COUNTIF(#REF!,Z731))</f>
        <v>#REF!</v>
      </c>
      <c r="AD731" t="e">
        <f>IF(A731="","",IF(AC731&gt;1,"REVISAR DUPLICADO",IF(AA731&lt;&gt;"","ACTUALIZADO POR EYR","SIN REPORTE EYR")))</f>
        <v>#REF!</v>
      </c>
    </row>
    <row r="732" spans="1:30" x14ac:dyDescent="0.3">
      <c r="A732" s="5" t="s">
        <v>3585</v>
      </c>
      <c r="B732" t="s">
        <v>3584</v>
      </c>
      <c r="C732" s="4" t="s">
        <v>3583</v>
      </c>
      <c r="D732" t="s">
        <v>21</v>
      </c>
      <c r="F732" t="s">
        <v>3582</v>
      </c>
      <c r="G732" s="3">
        <v>8498623778</v>
      </c>
      <c r="H732" s="2">
        <v>46126</v>
      </c>
      <c r="K732" s="1">
        <f ca="1">IF(A732="","",IF(OR(L732="ENTREGADA",L732="RETORNADA",L732="ENTREGA DIGITAL"),0,MAX(0,5-NETWORKDAYS(H732+1,TODAY()))))</f>
        <v>0</v>
      </c>
      <c r="L732" t="str">
        <f>IF(A732="","",IFERROR(LOOKUP(2,1/(#REF!=Z732),#REF!),Y732))</f>
        <v>ENTREGADA</v>
      </c>
      <c r="Y732" t="s">
        <v>1956</v>
      </c>
      <c r="Z732" t="str">
        <f>IF(A732="","",TEXT(A732,"0")&amp;"|"&amp;TEXT(H732,"0"))</f>
        <v>4025017809042930|46126</v>
      </c>
      <c r="AA732" t="str">
        <f>IF(Z732="","",IFERROR(LOOKUP(2,1/(#REF!=Z732),#REF!),""))</f>
        <v/>
      </c>
      <c r="AB732" t="str">
        <f>IF(Z732="","",IFERROR(LOOKUP(2,1/(#REF!=Z732),#REF!),""))</f>
        <v/>
      </c>
      <c r="AC732" t="e">
        <f>IF(Z732="","",COUNTIF(#REF!,Z732))</f>
        <v>#REF!</v>
      </c>
      <c r="AD732" t="e">
        <f>IF(A732="","",IF(AC732&gt;1,"REVISAR DUPLICADO",IF(AA732&lt;&gt;"","ACTUALIZADO POR EYR","SIN REPORTE EYR")))</f>
        <v>#REF!</v>
      </c>
    </row>
    <row r="733" spans="1:30" x14ac:dyDescent="0.3">
      <c r="A733" s="5" t="s">
        <v>3581</v>
      </c>
      <c r="B733" t="s">
        <v>3580</v>
      </c>
      <c r="C733" s="4" t="s">
        <v>3579</v>
      </c>
      <c r="D733" t="s">
        <v>21</v>
      </c>
      <c r="F733" t="s">
        <v>13</v>
      </c>
      <c r="G733" s="3">
        <v>8092978850</v>
      </c>
      <c r="H733" s="2">
        <v>46126</v>
      </c>
      <c r="K733" s="1">
        <f ca="1">IF(A733="","",IF(OR(L733="ENTREGADA",L733="RETORNADA",L733="ENTREGA DIGITAL"),0,MAX(0,5-NETWORKDAYS(H733+1,TODAY()))))</f>
        <v>0</v>
      </c>
      <c r="L733" t="str">
        <f>IF(A733="","",IFERROR(LOOKUP(2,1/(#REF!=Z733),#REF!),Y733))</f>
        <v>ENTREGA DIGITAL</v>
      </c>
      <c r="Y733" t="s">
        <v>1396</v>
      </c>
      <c r="Z733" t="str">
        <f>IF(A733="","",TEXT(A733,"0")&amp;"|"&amp;TEXT(H733,"0"))</f>
        <v>4921017772315240|46126</v>
      </c>
      <c r="AA733" t="str">
        <f>IF(Z733="","",IFERROR(LOOKUP(2,1/(#REF!=Z733),#REF!),""))</f>
        <v/>
      </c>
      <c r="AB733" t="str">
        <f>IF(Z733="","",IFERROR(LOOKUP(2,1/(#REF!=Z733),#REF!),""))</f>
        <v/>
      </c>
      <c r="AC733" t="e">
        <f>IF(Z733="","",COUNTIF(#REF!,Z733))</f>
        <v>#REF!</v>
      </c>
      <c r="AD733" t="e">
        <f>IF(A733="","",IF(AC733&gt;1,"REVISAR DUPLICADO",IF(AA733&lt;&gt;"","ACTUALIZADO POR EYR","SIN REPORTE EYR")))</f>
        <v>#REF!</v>
      </c>
    </row>
    <row r="734" spans="1:30" x14ac:dyDescent="0.3">
      <c r="A734" s="5" t="s">
        <v>3578</v>
      </c>
      <c r="B734" t="s">
        <v>3577</v>
      </c>
      <c r="C734" s="4" t="s">
        <v>3576</v>
      </c>
      <c r="D734" t="s">
        <v>21</v>
      </c>
      <c r="F734" t="s">
        <v>13</v>
      </c>
      <c r="G734" s="3">
        <v>8093605122</v>
      </c>
      <c r="H734" s="2">
        <v>46126</v>
      </c>
      <c r="K734" s="1">
        <f ca="1">IF(A734="","",IF(OR(L734="ENTREGADA",L734="RETORNADA",L734="ENTREGA DIGITAL"),0,MAX(0,5-NETWORKDAYS(H734+1,TODAY()))))</f>
        <v>0</v>
      </c>
      <c r="L734" t="str">
        <f>IF(A734="","",IFERROR(LOOKUP(2,1/(#REF!=Z734),#REF!),Y734))</f>
        <v>ENTREGA DIGITAL</v>
      </c>
      <c r="Y734" t="s">
        <v>1396</v>
      </c>
      <c r="Z734" t="str">
        <f>IF(A734="","",TEXT(A734,"0")&amp;"|"&amp;TEXT(H734,"0"))</f>
        <v>4921017810129370|46126</v>
      </c>
      <c r="AA734" t="str">
        <f>IF(Z734="","",IFERROR(LOOKUP(2,1/(#REF!=Z734),#REF!),""))</f>
        <v/>
      </c>
      <c r="AB734" t="str">
        <f>IF(Z734="","",IFERROR(LOOKUP(2,1/(#REF!=Z734),#REF!),""))</f>
        <v/>
      </c>
      <c r="AC734" t="e">
        <f>IF(Z734="","",COUNTIF(#REF!,Z734))</f>
        <v>#REF!</v>
      </c>
      <c r="AD734" t="e">
        <f>IF(A734="","",IF(AC734&gt;1,"REVISAR DUPLICADO",IF(AA734&lt;&gt;"","ACTUALIZADO POR EYR","SIN REPORTE EYR")))</f>
        <v>#REF!</v>
      </c>
    </row>
    <row r="735" spans="1:30" x14ac:dyDescent="0.3">
      <c r="A735" s="5" t="s">
        <v>3575</v>
      </c>
      <c r="B735" t="s">
        <v>3574</v>
      </c>
      <c r="C735" s="4" t="s">
        <v>3573</v>
      </c>
      <c r="D735" t="s">
        <v>21</v>
      </c>
      <c r="F735" t="s">
        <v>13</v>
      </c>
      <c r="G735" s="3">
        <v>9999999999</v>
      </c>
      <c r="H735" s="2">
        <v>46126</v>
      </c>
      <c r="I735" t="s">
        <v>1397</v>
      </c>
      <c r="K735" s="1">
        <f ca="1">IF(A735="","",IF(OR(L735="ENTREGADA",L735="RETORNADA",L735="ENTREGA DIGITAL"),0,MAX(0,5-NETWORKDAYS(H735+1,TODAY()))))</f>
        <v>0</v>
      </c>
      <c r="L735" t="str">
        <f>IF(A735="","",IFERROR(LOOKUP(2,1/(#REF!=Z735),#REF!),Y735))</f>
        <v>ENTREGADA</v>
      </c>
      <c r="Y735" t="s">
        <v>1956</v>
      </c>
      <c r="Z735" t="str">
        <f>IF(A735="","",TEXT(A735,"0")&amp;"|"&amp;TEXT(H735,"0"))</f>
        <v>5400017739701680|46126</v>
      </c>
      <c r="AA735" t="str">
        <f>IF(Z735="","",IFERROR(LOOKUP(2,1/(#REF!=Z735),#REF!),""))</f>
        <v/>
      </c>
      <c r="AB735" t="str">
        <f>IF(Z735="","",IFERROR(LOOKUP(2,1/(#REF!=Z735),#REF!),""))</f>
        <v/>
      </c>
      <c r="AC735" t="e">
        <f>IF(Z735="","",COUNTIF(#REF!,Z735))</f>
        <v>#REF!</v>
      </c>
      <c r="AD735" t="e">
        <f>IF(A735="","",IF(AC735&gt;1,"REVISAR DUPLICADO",IF(AA735&lt;&gt;"","ACTUALIZADO POR EYR","SIN REPORTE EYR")))</f>
        <v>#REF!</v>
      </c>
    </row>
    <row r="736" spans="1:30" x14ac:dyDescent="0.3">
      <c r="A736" s="5" t="s">
        <v>3572</v>
      </c>
      <c r="B736" t="s">
        <v>3571</v>
      </c>
      <c r="C736" s="4" t="s">
        <v>3570</v>
      </c>
      <c r="D736" t="s">
        <v>21</v>
      </c>
      <c r="F736" t="s">
        <v>13</v>
      </c>
      <c r="G736" s="3">
        <v>8294810076</v>
      </c>
      <c r="H736" s="2">
        <v>46126</v>
      </c>
      <c r="K736" s="1">
        <f ca="1">IF(A736="","",IF(OR(L736="ENTREGADA",L736="RETORNADA",L736="ENTREGA DIGITAL"),0,MAX(0,5-NETWORKDAYS(H736+1,TODAY()))))</f>
        <v>0</v>
      </c>
      <c r="L736" t="str">
        <f>IF(A736="","",IFERROR(LOOKUP(2,1/(#REF!=Z736),#REF!),Y736))</f>
        <v>RETORNADA</v>
      </c>
      <c r="Y736" t="s">
        <v>1857</v>
      </c>
      <c r="Z736" t="str">
        <f>IF(A736="","",TEXT(A736,"0")&amp;"|"&amp;TEXT(H736,"0"))</f>
        <v>4921017806261450|46126</v>
      </c>
      <c r="AA736" t="str">
        <f>IF(Z736="","",IFERROR(LOOKUP(2,1/(#REF!=Z736),#REF!),""))</f>
        <v/>
      </c>
      <c r="AB736" t="str">
        <f>IF(Z736="","",IFERROR(LOOKUP(2,1/(#REF!=Z736),#REF!),""))</f>
        <v/>
      </c>
      <c r="AC736" t="e">
        <f>IF(Z736="","",COUNTIF(#REF!,Z736))</f>
        <v>#REF!</v>
      </c>
      <c r="AD736" t="e">
        <f>IF(A736="","",IF(AC736&gt;1,"REVISAR DUPLICADO",IF(AA736&lt;&gt;"","ACTUALIZADO POR EYR","SIN REPORTE EYR")))</f>
        <v>#REF!</v>
      </c>
    </row>
    <row r="737" spans="1:30" x14ac:dyDescent="0.3">
      <c r="A737" s="5" t="s">
        <v>3569</v>
      </c>
      <c r="B737" t="s">
        <v>3568</v>
      </c>
      <c r="C737" s="4" t="s">
        <v>3567</v>
      </c>
      <c r="D737" t="s">
        <v>21</v>
      </c>
      <c r="F737" t="s">
        <v>3566</v>
      </c>
      <c r="G737" s="3">
        <v>8295731902</v>
      </c>
      <c r="H737" s="2">
        <v>46126</v>
      </c>
      <c r="K737" s="1">
        <f ca="1">IF(A737="","",IF(OR(L737="ENTREGADA",L737="RETORNADA",L737="ENTREGA DIGITAL"),0,MAX(0,5-NETWORKDAYS(H737+1,TODAY()))))</f>
        <v>0</v>
      </c>
      <c r="L737" t="str">
        <f>IF(A737="","",IFERROR(LOOKUP(2,1/(#REF!=Z737),#REF!),Y737))</f>
        <v>ENTREGA DIGITAL</v>
      </c>
      <c r="Y737" t="s">
        <v>1396</v>
      </c>
      <c r="Z737" t="str">
        <f>IF(A737="","",TEXT(A737,"0")&amp;"|"&amp;TEXT(H737,"0"))</f>
        <v>5415017742704740|46126</v>
      </c>
      <c r="AA737" t="str">
        <f>IF(Z737="","",IFERROR(LOOKUP(2,1/(#REF!=Z737),#REF!),""))</f>
        <v/>
      </c>
      <c r="AB737" t="str">
        <f>IF(Z737="","",IFERROR(LOOKUP(2,1/(#REF!=Z737),#REF!),""))</f>
        <v/>
      </c>
      <c r="AC737" t="e">
        <f>IF(Z737="","",COUNTIF(#REF!,Z737))</f>
        <v>#REF!</v>
      </c>
      <c r="AD737" t="e">
        <f>IF(A737="","",IF(AC737&gt;1,"REVISAR DUPLICADO",IF(AA737&lt;&gt;"","ACTUALIZADO POR EYR","SIN REPORTE EYR")))</f>
        <v>#REF!</v>
      </c>
    </row>
    <row r="738" spans="1:30" x14ac:dyDescent="0.3">
      <c r="A738" s="5" t="s">
        <v>3565</v>
      </c>
      <c r="B738" t="s">
        <v>3564</v>
      </c>
      <c r="C738" s="4" t="s">
        <v>3563</v>
      </c>
      <c r="D738" t="s">
        <v>21</v>
      </c>
      <c r="F738" t="s">
        <v>3562</v>
      </c>
      <c r="G738" s="3">
        <v>8297711322</v>
      </c>
      <c r="H738" s="2">
        <v>46126</v>
      </c>
      <c r="K738" s="1">
        <f ca="1">IF(A738="","",IF(OR(L738="ENTREGADA",L738="RETORNADA",L738="ENTREGA DIGITAL"),0,MAX(0,5-NETWORKDAYS(H738+1,TODAY()))))</f>
        <v>0</v>
      </c>
      <c r="L738" t="str">
        <f>IF(A738="","",IFERROR(LOOKUP(2,1/(#REF!=Z738),#REF!),Y738))</f>
        <v>ENTREGA DIGITAL</v>
      </c>
      <c r="Y738" t="s">
        <v>1396</v>
      </c>
      <c r="Z738" t="str">
        <f>IF(A738="","",TEXT(A738,"0")&amp;"|"&amp;TEXT(H738,"0"))</f>
        <v>4025017808817470|46126</v>
      </c>
      <c r="AA738" t="str">
        <f>IF(Z738="","",IFERROR(LOOKUP(2,1/(#REF!=Z738),#REF!),""))</f>
        <v/>
      </c>
      <c r="AB738" t="str">
        <f>IF(Z738="","",IFERROR(LOOKUP(2,1/(#REF!=Z738),#REF!),""))</f>
        <v/>
      </c>
      <c r="AC738" t="e">
        <f>IF(Z738="","",COUNTIF(#REF!,Z738))</f>
        <v>#REF!</v>
      </c>
      <c r="AD738" t="e">
        <f>IF(A738="","",IF(AC738&gt;1,"REVISAR DUPLICADO",IF(AA738&lt;&gt;"","ACTUALIZADO POR EYR","SIN REPORTE EYR")))</f>
        <v>#REF!</v>
      </c>
    </row>
    <row r="739" spans="1:30" x14ac:dyDescent="0.3">
      <c r="A739" s="5" t="s">
        <v>3561</v>
      </c>
      <c r="B739" t="s">
        <v>3560</v>
      </c>
      <c r="C739" s="4" t="s">
        <v>3559</v>
      </c>
      <c r="D739" t="s">
        <v>21</v>
      </c>
      <c r="F739" t="s">
        <v>3558</v>
      </c>
      <c r="G739" s="3">
        <v>8094024018</v>
      </c>
      <c r="H739" s="2">
        <v>46126</v>
      </c>
      <c r="K739" s="1">
        <f ca="1">IF(A739="","",IF(OR(L739="ENTREGADA",L739="RETORNADA",L739="ENTREGA DIGITAL"),0,MAX(0,5-NETWORKDAYS(H739+1,TODAY()))))</f>
        <v>0</v>
      </c>
      <c r="L739" t="str">
        <f>IF(A739="","",IFERROR(LOOKUP(2,1/(#REF!=Z739),#REF!),Y739))</f>
        <v>RETORNADA</v>
      </c>
      <c r="Y739" t="s">
        <v>1857</v>
      </c>
      <c r="Z739" t="str">
        <f>IF(A739="","",TEXT(A739,"0")&amp;"|"&amp;TEXT(H739,"0"))</f>
        <v>5415017753153000|46126</v>
      </c>
      <c r="AA739" t="str">
        <f>IF(Z739="","",IFERROR(LOOKUP(2,1/(#REF!=Z739),#REF!),""))</f>
        <v/>
      </c>
      <c r="AB739" t="str">
        <f>IF(Z739="","",IFERROR(LOOKUP(2,1/(#REF!=Z739),#REF!),""))</f>
        <v/>
      </c>
      <c r="AC739" t="e">
        <f>IF(Z739="","",COUNTIF(#REF!,Z739))</f>
        <v>#REF!</v>
      </c>
      <c r="AD739" t="e">
        <f>IF(A739="","",IF(AC739&gt;1,"REVISAR DUPLICADO",IF(AA739&lt;&gt;"","ACTUALIZADO POR EYR","SIN REPORTE EYR")))</f>
        <v>#REF!</v>
      </c>
    </row>
    <row r="740" spans="1:30" x14ac:dyDescent="0.3">
      <c r="A740" s="5" t="s">
        <v>3557</v>
      </c>
      <c r="B740" t="s">
        <v>3556</v>
      </c>
      <c r="C740" s="4" t="s">
        <v>3555</v>
      </c>
      <c r="D740" t="s">
        <v>21</v>
      </c>
      <c r="F740" t="s">
        <v>13</v>
      </c>
      <c r="G740" s="3">
        <v>8092702751</v>
      </c>
      <c r="H740" s="2">
        <v>46126</v>
      </c>
      <c r="I740" t="s">
        <v>1397</v>
      </c>
      <c r="K740" s="1">
        <f ca="1">IF(A740="","",IF(OR(L740="ENTREGADA",L740="RETORNADA",L740="ENTREGA DIGITAL"),0,MAX(0,5-NETWORKDAYS(H740+1,TODAY()))))</f>
        <v>0</v>
      </c>
      <c r="L740" t="str">
        <f>IF(A740="","",IFERROR(LOOKUP(2,1/(#REF!=Z740),#REF!),Y740))</f>
        <v>ENTREGADA</v>
      </c>
      <c r="Y740" t="s">
        <v>1956</v>
      </c>
      <c r="Z740" t="str">
        <f>IF(A740="","",TEXT(A740,"0")&amp;"|"&amp;TEXT(H740,"0"))</f>
        <v>4025017812440170|46126</v>
      </c>
      <c r="AA740" t="str">
        <f>IF(Z740="","",IFERROR(LOOKUP(2,1/(#REF!=Z740),#REF!),""))</f>
        <v/>
      </c>
      <c r="AB740" t="str">
        <f>IF(Z740="","",IFERROR(LOOKUP(2,1/(#REF!=Z740),#REF!),""))</f>
        <v/>
      </c>
      <c r="AC740" t="e">
        <f>IF(Z740="","",COUNTIF(#REF!,Z740))</f>
        <v>#REF!</v>
      </c>
      <c r="AD740" t="e">
        <f>IF(A740="","",IF(AC740&gt;1,"REVISAR DUPLICADO",IF(AA740&lt;&gt;"","ACTUALIZADO POR EYR","SIN REPORTE EYR")))</f>
        <v>#REF!</v>
      </c>
    </row>
    <row r="741" spans="1:30" x14ac:dyDescent="0.3">
      <c r="A741" s="5" t="s">
        <v>3554</v>
      </c>
      <c r="B741" t="s">
        <v>3553</v>
      </c>
      <c r="C741" s="4" t="s">
        <v>3552</v>
      </c>
      <c r="D741" t="s">
        <v>21</v>
      </c>
      <c r="F741" t="s">
        <v>3551</v>
      </c>
      <c r="G741" s="3">
        <v>8098186714</v>
      </c>
      <c r="H741" s="2">
        <v>46126</v>
      </c>
      <c r="K741" s="1">
        <f ca="1">IF(A741="","",IF(OR(L741="ENTREGADA",L741="RETORNADA",L741="ENTREGA DIGITAL"),0,MAX(0,5-NETWORKDAYS(H741+1,TODAY()))))</f>
        <v>0</v>
      </c>
      <c r="L741" t="str">
        <f>IF(A741="","",IFERROR(LOOKUP(2,1/(#REF!=Z741),#REF!),Y741))</f>
        <v>ENTREGA DIGITAL</v>
      </c>
      <c r="Y741" t="s">
        <v>1396</v>
      </c>
      <c r="Z741" t="str">
        <f>IF(A741="","",TEXT(A741,"0")&amp;"|"&amp;TEXT(H741,"0"))</f>
        <v>4921017814459200|46126</v>
      </c>
      <c r="AA741" t="str">
        <f>IF(Z741="","",IFERROR(LOOKUP(2,1/(#REF!=Z741),#REF!),""))</f>
        <v/>
      </c>
      <c r="AB741" t="str">
        <f>IF(Z741="","",IFERROR(LOOKUP(2,1/(#REF!=Z741),#REF!),""))</f>
        <v/>
      </c>
      <c r="AC741" t="e">
        <f>IF(Z741="","",COUNTIF(#REF!,Z741))</f>
        <v>#REF!</v>
      </c>
      <c r="AD741" t="e">
        <f>IF(A741="","",IF(AC741&gt;1,"REVISAR DUPLICADO",IF(AA741&lt;&gt;"","ACTUALIZADO POR EYR","SIN REPORTE EYR")))</f>
        <v>#REF!</v>
      </c>
    </row>
    <row r="742" spans="1:30" x14ac:dyDescent="0.3">
      <c r="A742" s="5" t="s">
        <v>3550</v>
      </c>
      <c r="B742" t="s">
        <v>3549</v>
      </c>
      <c r="C742" s="4" t="s">
        <v>3548</v>
      </c>
      <c r="D742" t="s">
        <v>1</v>
      </c>
      <c r="F742" t="s">
        <v>13</v>
      </c>
      <c r="G742" s="3">
        <v>8295584702</v>
      </c>
      <c r="H742" s="2">
        <v>46126</v>
      </c>
      <c r="I742" t="s">
        <v>1397</v>
      </c>
      <c r="K742" s="1">
        <f ca="1">IF(A742="","",IF(OR(L742="ENTREGADA",L742="RETORNADA",L742="ENTREGA DIGITAL"),0,MAX(0,5-NETWORKDAYS(H742+1,TODAY()))))</f>
        <v>0</v>
      </c>
      <c r="L742" t="str">
        <f>IF(A742="","",IFERROR(LOOKUP(2,1/(#REF!=Z742),#REF!),Y742))</f>
        <v>ENTREGA DIGITAL</v>
      </c>
      <c r="Y742" t="s">
        <v>1396</v>
      </c>
      <c r="Z742" t="str">
        <f>IF(A742="","",TEXT(A742,"0")&amp;"|"&amp;TEXT(H742,"0"))</f>
        <v>5415017809857470|46126</v>
      </c>
      <c r="AA742" t="str">
        <f>IF(Z742="","",IFERROR(LOOKUP(2,1/(#REF!=Z742),#REF!),""))</f>
        <v/>
      </c>
      <c r="AB742" t="str">
        <f>IF(Z742="","",IFERROR(LOOKUP(2,1/(#REF!=Z742),#REF!),""))</f>
        <v/>
      </c>
      <c r="AC742" t="e">
        <f>IF(Z742="","",COUNTIF(#REF!,Z742))</f>
        <v>#REF!</v>
      </c>
      <c r="AD742" t="e">
        <f>IF(A742="","",IF(AC742&gt;1,"REVISAR DUPLICADO",IF(AA742&lt;&gt;"","ACTUALIZADO POR EYR","SIN REPORTE EYR")))</f>
        <v>#REF!</v>
      </c>
    </row>
    <row r="743" spans="1:30" x14ac:dyDescent="0.3">
      <c r="A743" s="5" t="s">
        <v>3547</v>
      </c>
      <c r="B743" t="s">
        <v>3546</v>
      </c>
      <c r="C743" s="4" t="s">
        <v>3545</v>
      </c>
      <c r="D743" t="s">
        <v>1</v>
      </c>
      <c r="E743" t="s">
        <v>214</v>
      </c>
      <c r="F743" t="s">
        <v>423</v>
      </c>
      <c r="G743" s="3">
        <v>8298512993</v>
      </c>
      <c r="H743" s="2">
        <v>46126</v>
      </c>
      <c r="K743" s="1">
        <f ca="1">IF(A743="","",IF(OR(L743="ENTREGADA",L743="RETORNADA",L743="ENTREGA DIGITAL"),0,MAX(0,5-NETWORKDAYS(H743+1,TODAY()))))</f>
        <v>0</v>
      </c>
      <c r="L743" t="str">
        <f>IF(A743="","",IFERROR(LOOKUP(2,1/(#REF!=Z743),#REF!),Y743))</f>
        <v>RETORNADA</v>
      </c>
      <c r="Y743" t="s">
        <v>1857</v>
      </c>
      <c r="Z743" t="str">
        <f>IF(A743="","",TEXT(A743,"0")&amp;"|"&amp;TEXT(H743,"0"))</f>
        <v>4025017808830600|46126</v>
      </c>
      <c r="AA743" t="str">
        <f>IF(Z743="","",IFERROR(LOOKUP(2,1/(#REF!=Z743),#REF!),""))</f>
        <v/>
      </c>
      <c r="AB743" t="str">
        <f>IF(Z743="","",IFERROR(LOOKUP(2,1/(#REF!=Z743),#REF!),""))</f>
        <v/>
      </c>
      <c r="AC743" t="e">
        <f>IF(Z743="","",COUNTIF(#REF!,Z743))</f>
        <v>#REF!</v>
      </c>
      <c r="AD743" t="e">
        <f>IF(A743="","",IF(AC743&gt;1,"REVISAR DUPLICADO",IF(AA743&lt;&gt;"","ACTUALIZADO POR EYR","SIN REPORTE EYR")))</f>
        <v>#REF!</v>
      </c>
    </row>
    <row r="744" spans="1:30" x14ac:dyDescent="0.3">
      <c r="A744" s="5" t="s">
        <v>3544</v>
      </c>
      <c r="B744" t="s">
        <v>3543</v>
      </c>
      <c r="C744" s="4" t="s">
        <v>3542</v>
      </c>
      <c r="D744" t="s">
        <v>1</v>
      </c>
      <c r="F744" t="s">
        <v>13</v>
      </c>
      <c r="G744" s="3">
        <v>8294927782</v>
      </c>
      <c r="H744" s="2">
        <v>46126</v>
      </c>
      <c r="K744" s="1">
        <f ca="1">IF(A744="","",IF(OR(L744="ENTREGADA",L744="RETORNADA",L744="ENTREGA DIGITAL"),0,MAX(0,5-NETWORKDAYS(H744+1,TODAY()))))</f>
        <v>0</v>
      </c>
      <c r="L744" t="str">
        <f>IF(A744="","",IFERROR(LOOKUP(2,1/(#REF!=Z744),#REF!),Y744))</f>
        <v>RETORNADA</v>
      </c>
      <c r="Y744" t="s">
        <v>1857</v>
      </c>
      <c r="Z744" t="str">
        <f>IF(A744="","",TEXT(A744,"0")&amp;"|"&amp;TEXT(H744,"0"))</f>
        <v>5188017813899490|46126</v>
      </c>
      <c r="AA744" t="str">
        <f>IF(Z744="","",IFERROR(LOOKUP(2,1/(#REF!=Z744),#REF!),""))</f>
        <v/>
      </c>
      <c r="AB744" t="str">
        <f>IF(Z744="","",IFERROR(LOOKUP(2,1/(#REF!=Z744),#REF!),""))</f>
        <v/>
      </c>
      <c r="AC744" t="e">
        <f>IF(Z744="","",COUNTIF(#REF!,Z744))</f>
        <v>#REF!</v>
      </c>
      <c r="AD744" t="e">
        <f>IF(A744="","",IF(AC744&gt;1,"REVISAR DUPLICADO",IF(AA744&lt;&gt;"","ACTUALIZADO POR EYR","SIN REPORTE EYR")))</f>
        <v>#REF!</v>
      </c>
    </row>
    <row r="745" spans="1:30" x14ac:dyDescent="0.3">
      <c r="A745" s="5" t="s">
        <v>3541</v>
      </c>
      <c r="B745" t="s">
        <v>3540</v>
      </c>
      <c r="C745" s="4" t="s">
        <v>3539</v>
      </c>
      <c r="D745" t="s">
        <v>1</v>
      </c>
      <c r="F745" t="s">
        <v>13</v>
      </c>
      <c r="G745" s="3">
        <v>8492614472</v>
      </c>
      <c r="H745" s="2">
        <v>46126</v>
      </c>
      <c r="K745" s="1">
        <f ca="1">IF(A745="","",IF(OR(L745="ENTREGADA",L745="RETORNADA",L745="ENTREGA DIGITAL"),0,MAX(0,5-NETWORKDAYS(H745+1,TODAY()))))</f>
        <v>0</v>
      </c>
      <c r="L745" t="str">
        <f>IF(A745="","",IFERROR(LOOKUP(2,1/(#REF!=Z745),#REF!),Y745))</f>
        <v>RETORNADA</v>
      </c>
      <c r="Y745" t="s">
        <v>1857</v>
      </c>
      <c r="Z745" t="str">
        <f>IF(A745="","",TEXT(A745,"0")&amp;"|"&amp;TEXT(H745,"0"))</f>
        <v>4025017816065750|46126</v>
      </c>
      <c r="AA745" t="str">
        <f>IF(Z745="","",IFERROR(LOOKUP(2,1/(#REF!=Z745),#REF!),""))</f>
        <v/>
      </c>
      <c r="AB745" t="str">
        <f>IF(Z745="","",IFERROR(LOOKUP(2,1/(#REF!=Z745),#REF!),""))</f>
        <v/>
      </c>
      <c r="AC745" t="e">
        <f>IF(Z745="","",COUNTIF(#REF!,Z745))</f>
        <v>#REF!</v>
      </c>
      <c r="AD745" t="e">
        <f>IF(A745="","",IF(AC745&gt;1,"REVISAR DUPLICADO",IF(AA745&lt;&gt;"","ACTUALIZADO POR EYR","SIN REPORTE EYR")))</f>
        <v>#REF!</v>
      </c>
    </row>
    <row r="746" spans="1:30" x14ac:dyDescent="0.3">
      <c r="A746" s="5" t="s">
        <v>3538</v>
      </c>
      <c r="B746" t="s">
        <v>3537</v>
      </c>
      <c r="C746" s="4" t="s">
        <v>3536</v>
      </c>
      <c r="D746" t="s">
        <v>1</v>
      </c>
      <c r="F746" t="s">
        <v>13</v>
      </c>
      <c r="G746" s="3">
        <v>8298946890</v>
      </c>
      <c r="H746" s="2">
        <v>46126</v>
      </c>
      <c r="K746" s="1">
        <f ca="1">IF(A746="","",IF(OR(L746="ENTREGADA",L746="RETORNADA",L746="ENTREGA DIGITAL"),0,MAX(0,5-NETWORKDAYS(H746+1,TODAY()))))</f>
        <v>0</v>
      </c>
      <c r="L746" t="str">
        <f>IF(A746="","",IFERROR(LOOKUP(2,1/(#REF!=Z746),#REF!),Y746))</f>
        <v>RETORNADA</v>
      </c>
      <c r="Y746" t="s">
        <v>1857</v>
      </c>
      <c r="Z746" t="str">
        <f>IF(A746="","",TEXT(A746,"0")&amp;"|"&amp;TEXT(H746,"0"))</f>
        <v>5415017813253040|46126</v>
      </c>
      <c r="AA746" t="str">
        <f>IF(Z746="","",IFERROR(LOOKUP(2,1/(#REF!=Z746),#REF!),""))</f>
        <v/>
      </c>
      <c r="AB746" t="str">
        <f>IF(Z746="","",IFERROR(LOOKUP(2,1/(#REF!=Z746),#REF!),""))</f>
        <v/>
      </c>
      <c r="AC746" t="e">
        <f>IF(Z746="","",COUNTIF(#REF!,Z746))</f>
        <v>#REF!</v>
      </c>
      <c r="AD746" t="e">
        <f>IF(A746="","",IF(AC746&gt;1,"REVISAR DUPLICADO",IF(AA746&lt;&gt;"","ACTUALIZADO POR EYR","SIN REPORTE EYR")))</f>
        <v>#REF!</v>
      </c>
    </row>
    <row r="747" spans="1:30" x14ac:dyDescent="0.3">
      <c r="A747" s="5" t="s">
        <v>3535</v>
      </c>
      <c r="B747" t="s">
        <v>3534</v>
      </c>
      <c r="C747" s="4" t="s">
        <v>3533</v>
      </c>
      <c r="D747" t="s">
        <v>1</v>
      </c>
      <c r="F747" t="s">
        <v>13</v>
      </c>
      <c r="G747" s="3">
        <v>8292553349</v>
      </c>
      <c r="H747" s="2">
        <v>46126</v>
      </c>
      <c r="K747" s="1">
        <f ca="1">IF(A747="","",IF(OR(L747="ENTREGADA",L747="RETORNADA",L747="ENTREGA DIGITAL"),0,MAX(0,5-NETWORKDAYS(H747+1,TODAY()))))</f>
        <v>0</v>
      </c>
      <c r="L747" t="str">
        <f>IF(A747="","",IFERROR(LOOKUP(2,1/(#REF!=Z747),#REF!),Y747))</f>
        <v>RETORNADA</v>
      </c>
      <c r="Y747" t="s">
        <v>1857</v>
      </c>
      <c r="Z747" t="str">
        <f>IF(A747="","",TEXT(A747,"0")&amp;"|"&amp;TEXT(H747,"0"))</f>
        <v>5415017809869240|46126</v>
      </c>
      <c r="AA747" t="str">
        <f>IF(Z747="","",IFERROR(LOOKUP(2,1/(#REF!=Z747),#REF!),""))</f>
        <v/>
      </c>
      <c r="AB747" t="str">
        <f>IF(Z747="","",IFERROR(LOOKUP(2,1/(#REF!=Z747),#REF!),""))</f>
        <v/>
      </c>
      <c r="AC747" t="e">
        <f>IF(Z747="","",COUNTIF(#REF!,Z747))</f>
        <v>#REF!</v>
      </c>
      <c r="AD747" t="e">
        <f>IF(A747="","",IF(AC747&gt;1,"REVISAR DUPLICADO",IF(AA747&lt;&gt;"","ACTUALIZADO POR EYR","SIN REPORTE EYR")))</f>
        <v>#REF!</v>
      </c>
    </row>
    <row r="748" spans="1:30" x14ac:dyDescent="0.3">
      <c r="A748" s="5" t="s">
        <v>1876</v>
      </c>
      <c r="B748" t="s">
        <v>1875</v>
      </c>
      <c r="C748" s="4" t="s">
        <v>1874</v>
      </c>
      <c r="D748" t="s">
        <v>1</v>
      </c>
      <c r="E748" t="s">
        <v>214</v>
      </c>
      <c r="F748" t="s">
        <v>423</v>
      </c>
      <c r="G748" s="3">
        <v>8098800807</v>
      </c>
      <c r="H748" s="2">
        <v>46126</v>
      </c>
      <c r="K748" s="1">
        <f ca="1">IF(A748="","",IF(OR(L748="ENTREGADA",L748="RETORNADA",L748="ENTREGA DIGITAL"),0,MAX(0,5-NETWORKDAYS(H748+1,TODAY()))))</f>
        <v>0</v>
      </c>
      <c r="L748" t="str">
        <f>IF(A748="","",IFERROR(LOOKUP(2,1/(#REF!=Z748),#REF!),Y748))</f>
        <v>RETORNADA</v>
      </c>
      <c r="Y748" t="s">
        <v>1857</v>
      </c>
      <c r="Z748" t="str">
        <f>IF(A748="","",TEXT(A748,"0")&amp;"|"&amp;TEXT(H748,"0"))</f>
        <v>4921017803231830|46126</v>
      </c>
      <c r="AA748" t="str">
        <f>IF(Z748="","",IFERROR(LOOKUP(2,1/(#REF!=Z748),#REF!),""))</f>
        <v/>
      </c>
      <c r="AB748" t="str">
        <f>IF(Z748="","",IFERROR(LOOKUP(2,1/(#REF!=Z748),#REF!),""))</f>
        <v/>
      </c>
      <c r="AC748" t="e">
        <f>IF(Z748="","",COUNTIF(#REF!,Z748))</f>
        <v>#REF!</v>
      </c>
      <c r="AD748" t="e">
        <f>IF(A748="","",IF(AC748&gt;1,"REVISAR DUPLICADO",IF(AA748&lt;&gt;"","ACTUALIZADO POR EYR","SIN REPORTE EYR")))</f>
        <v>#REF!</v>
      </c>
    </row>
    <row r="749" spans="1:30" x14ac:dyDescent="0.3">
      <c r="A749" s="5" t="s">
        <v>3532</v>
      </c>
      <c r="B749" t="s">
        <v>3531</v>
      </c>
      <c r="C749" s="4" t="s">
        <v>3530</v>
      </c>
      <c r="D749" t="s">
        <v>1</v>
      </c>
      <c r="F749" t="s">
        <v>1129</v>
      </c>
      <c r="G749" s="3">
        <v>8096152481</v>
      </c>
      <c r="H749" s="2">
        <v>46126</v>
      </c>
      <c r="K749" s="1">
        <f ca="1">IF(A749="","",IF(OR(L749="ENTREGADA",L749="RETORNADA",L749="ENTREGA DIGITAL"),0,MAX(0,5-NETWORKDAYS(H749+1,TODAY()))))</f>
        <v>0</v>
      </c>
      <c r="L749" t="str">
        <f>IF(A749="","",IFERROR(LOOKUP(2,1/(#REF!=Z749),#REF!),Y749))</f>
        <v>ENTREGA DIGITAL</v>
      </c>
      <c r="Y749" t="s">
        <v>1396</v>
      </c>
      <c r="Z749" t="str">
        <f>IF(A749="","",TEXT(A749,"0")&amp;"|"&amp;TEXT(H749,"0"))</f>
        <v>4966017801725500|46126</v>
      </c>
      <c r="AA749" t="str">
        <f>IF(Z749="","",IFERROR(LOOKUP(2,1/(#REF!=Z749),#REF!),""))</f>
        <v/>
      </c>
      <c r="AB749" t="str">
        <f>IF(Z749="","",IFERROR(LOOKUP(2,1/(#REF!=Z749),#REF!),""))</f>
        <v/>
      </c>
      <c r="AC749" t="e">
        <f>IF(Z749="","",COUNTIF(#REF!,Z749))</f>
        <v>#REF!</v>
      </c>
      <c r="AD749" t="e">
        <f>IF(A749="","",IF(AC749&gt;1,"REVISAR DUPLICADO",IF(AA749&lt;&gt;"","ACTUALIZADO POR EYR","SIN REPORTE EYR")))</f>
        <v>#REF!</v>
      </c>
    </row>
    <row r="750" spans="1:30" x14ac:dyDescent="0.3">
      <c r="A750" s="5" t="s">
        <v>3529</v>
      </c>
      <c r="B750" t="s">
        <v>3528</v>
      </c>
      <c r="C750" s="4" t="s">
        <v>3527</v>
      </c>
      <c r="D750" t="s">
        <v>1</v>
      </c>
      <c r="F750" t="s">
        <v>13</v>
      </c>
      <c r="G750" s="3">
        <v>8093562005</v>
      </c>
      <c r="H750" s="2">
        <v>46126</v>
      </c>
      <c r="K750" s="1">
        <f ca="1">IF(A750="","",IF(OR(L750="ENTREGADA",L750="RETORNADA",L750="ENTREGA DIGITAL"),0,MAX(0,5-NETWORKDAYS(H750+1,TODAY()))))</f>
        <v>0</v>
      </c>
      <c r="L750" t="str">
        <f>IF(A750="","",IFERROR(LOOKUP(2,1/(#REF!=Z750),#REF!),Y750))</f>
        <v>RETORNADA</v>
      </c>
      <c r="Y750" t="s">
        <v>1857</v>
      </c>
      <c r="Z750" t="str">
        <f>IF(A750="","",TEXT(A750,"0")&amp;"|"&amp;TEXT(H750,"0"))</f>
        <v>5188017801136310|46126</v>
      </c>
      <c r="AA750" t="str">
        <f>IF(Z750="","",IFERROR(LOOKUP(2,1/(#REF!=Z750),#REF!),""))</f>
        <v/>
      </c>
      <c r="AB750" t="str">
        <f>IF(Z750="","",IFERROR(LOOKUP(2,1/(#REF!=Z750),#REF!),""))</f>
        <v/>
      </c>
      <c r="AC750" t="e">
        <f>IF(Z750="","",COUNTIF(#REF!,Z750))</f>
        <v>#REF!</v>
      </c>
      <c r="AD750" t="e">
        <f>IF(A750="","",IF(AC750&gt;1,"REVISAR DUPLICADO",IF(AA750&lt;&gt;"","ACTUALIZADO POR EYR","SIN REPORTE EYR")))</f>
        <v>#REF!</v>
      </c>
    </row>
    <row r="751" spans="1:30" x14ac:dyDescent="0.3">
      <c r="A751" s="5" t="s">
        <v>3526</v>
      </c>
      <c r="B751" t="s">
        <v>3525</v>
      </c>
      <c r="C751" s="4" t="s">
        <v>3524</v>
      </c>
      <c r="D751" t="s">
        <v>1</v>
      </c>
      <c r="F751" t="s">
        <v>13</v>
      </c>
      <c r="G751" s="3">
        <v>8297736050</v>
      </c>
      <c r="H751" s="2">
        <v>46126</v>
      </c>
      <c r="I751" t="s">
        <v>1397</v>
      </c>
      <c r="K751" s="1">
        <f ca="1">IF(A751="","",IF(OR(L751="ENTREGADA",L751="RETORNADA",L751="ENTREGA DIGITAL"),0,MAX(0,5-NETWORKDAYS(H751+1,TODAY()))))</f>
        <v>0</v>
      </c>
      <c r="L751" t="str">
        <f>IF(A751="","",IFERROR(LOOKUP(2,1/(#REF!=Z751),#REF!),Y751))</f>
        <v>ENTREGA DIGITAL</v>
      </c>
      <c r="Y751" t="s">
        <v>1396</v>
      </c>
      <c r="Z751" t="str">
        <f>IF(A751="","",TEXT(A751,"0")&amp;"|"&amp;TEXT(H751,"0"))</f>
        <v>5188017801255560|46126</v>
      </c>
      <c r="AA751" t="str">
        <f>IF(Z751="","",IFERROR(LOOKUP(2,1/(#REF!=Z751),#REF!),""))</f>
        <v/>
      </c>
      <c r="AB751" t="str">
        <f>IF(Z751="","",IFERROR(LOOKUP(2,1/(#REF!=Z751),#REF!),""))</f>
        <v/>
      </c>
      <c r="AC751" t="e">
        <f>IF(Z751="","",COUNTIF(#REF!,Z751))</f>
        <v>#REF!</v>
      </c>
      <c r="AD751" t="e">
        <f>IF(A751="","",IF(AC751&gt;1,"REVISAR DUPLICADO",IF(AA751&lt;&gt;"","ACTUALIZADO POR EYR","SIN REPORTE EYR")))</f>
        <v>#REF!</v>
      </c>
    </row>
    <row r="752" spans="1:30" x14ac:dyDescent="0.3">
      <c r="A752" s="5" t="s">
        <v>3523</v>
      </c>
      <c r="B752" t="s">
        <v>3522</v>
      </c>
      <c r="C752" s="4" t="s">
        <v>3521</v>
      </c>
      <c r="D752" t="s">
        <v>1</v>
      </c>
      <c r="F752" t="s">
        <v>13</v>
      </c>
      <c r="G752" s="3">
        <v>0</v>
      </c>
      <c r="H752" s="2">
        <v>46126</v>
      </c>
      <c r="K752" s="1">
        <f ca="1">IF(A752="","",IF(OR(L752="ENTREGADA",L752="RETORNADA",L752="ENTREGA DIGITAL"),0,MAX(0,5-NETWORKDAYS(H752+1,TODAY()))))</f>
        <v>0</v>
      </c>
      <c r="L752" t="str">
        <f>IF(A752="","",IFERROR(LOOKUP(2,1/(#REF!=Z752),#REF!),Y752))</f>
        <v>RETORNADA</v>
      </c>
      <c r="Y752" t="s">
        <v>1857</v>
      </c>
      <c r="Z752" t="str">
        <f>IF(A752="","",TEXT(A752,"0")&amp;"|"&amp;TEXT(H752,"0"))</f>
        <v>5401002595571440|46126</v>
      </c>
      <c r="AA752" t="str">
        <f>IF(Z752="","",IFERROR(LOOKUP(2,1/(#REF!=Z752),#REF!),""))</f>
        <v/>
      </c>
      <c r="AB752" t="str">
        <f>IF(Z752="","",IFERROR(LOOKUP(2,1/(#REF!=Z752),#REF!),""))</f>
        <v/>
      </c>
      <c r="AC752" t="e">
        <f>IF(Z752="","",COUNTIF(#REF!,Z752))</f>
        <v>#REF!</v>
      </c>
      <c r="AD752" t="e">
        <f>IF(A752="","",IF(AC752&gt;1,"REVISAR DUPLICADO",IF(AA752&lt;&gt;"","ACTUALIZADO POR EYR","SIN REPORTE EYR")))</f>
        <v>#REF!</v>
      </c>
    </row>
    <row r="753" spans="1:30" x14ac:dyDescent="0.3">
      <c r="A753" s="5" t="s">
        <v>3520</v>
      </c>
      <c r="B753" t="s">
        <v>3519</v>
      </c>
      <c r="C753" s="4" t="s">
        <v>3518</v>
      </c>
      <c r="D753" t="s">
        <v>1</v>
      </c>
      <c r="F753" t="s">
        <v>3517</v>
      </c>
      <c r="G753" s="3">
        <v>8299276498</v>
      </c>
      <c r="H753" s="2">
        <v>46126</v>
      </c>
      <c r="K753" s="1">
        <f ca="1">IF(A753="","",IF(OR(L753="ENTREGADA",L753="RETORNADA",L753="ENTREGA DIGITAL"),0,MAX(0,5-NETWORKDAYS(H753+1,TODAY()))))</f>
        <v>0</v>
      </c>
      <c r="L753" t="str">
        <f>IF(A753="","",IFERROR(LOOKUP(2,1/(#REF!=Z753),#REF!),Y753))</f>
        <v>ENTREGA DIGITAL</v>
      </c>
      <c r="Y753" t="s">
        <v>1396</v>
      </c>
      <c r="Z753" t="str">
        <f>IF(A753="","",TEXT(A753,"0")&amp;"|"&amp;TEXT(H753,"0"))</f>
        <v>5523017804191350|46126</v>
      </c>
      <c r="AA753" t="str">
        <f>IF(Z753="","",IFERROR(LOOKUP(2,1/(#REF!=Z753),#REF!),""))</f>
        <v/>
      </c>
      <c r="AB753" t="str">
        <f>IF(Z753="","",IFERROR(LOOKUP(2,1/(#REF!=Z753),#REF!),""))</f>
        <v/>
      </c>
      <c r="AC753" t="e">
        <f>IF(Z753="","",COUNTIF(#REF!,Z753))</f>
        <v>#REF!</v>
      </c>
      <c r="AD753" t="e">
        <f>IF(A753="","",IF(AC753&gt;1,"REVISAR DUPLICADO",IF(AA753&lt;&gt;"","ACTUALIZADO POR EYR","SIN REPORTE EYR")))</f>
        <v>#REF!</v>
      </c>
    </row>
    <row r="754" spans="1:30" x14ac:dyDescent="0.3">
      <c r="A754" s="5" t="s">
        <v>3516</v>
      </c>
      <c r="B754" t="s">
        <v>3515</v>
      </c>
      <c r="C754" s="4" t="s">
        <v>3514</v>
      </c>
      <c r="D754" t="s">
        <v>1</v>
      </c>
      <c r="E754" t="s">
        <v>214</v>
      </c>
      <c r="F754" t="s">
        <v>3513</v>
      </c>
      <c r="G754" s="3">
        <v>8098192602</v>
      </c>
      <c r="H754" s="2">
        <v>46126</v>
      </c>
      <c r="I754" t="s">
        <v>1397</v>
      </c>
      <c r="K754" s="1">
        <f ca="1">IF(A754="","",IF(OR(L754="ENTREGADA",L754="RETORNADA",L754="ENTREGA DIGITAL"),0,MAX(0,5-NETWORKDAYS(H754+1,TODAY()))))</f>
        <v>0</v>
      </c>
      <c r="L754" t="str">
        <f>IF(A754="","",IFERROR(LOOKUP(2,1/(#REF!=Z754),#REF!),Y754))</f>
        <v>ENTREGA DIGITAL</v>
      </c>
      <c r="Y754" t="s">
        <v>1396</v>
      </c>
      <c r="Z754" t="str">
        <f>IF(A754="","",TEXT(A754,"0")&amp;"|"&amp;TEXT(H754,"0"))</f>
        <v>4173017809672570|46126</v>
      </c>
      <c r="AA754" t="str">
        <f>IF(Z754="","",IFERROR(LOOKUP(2,1/(#REF!=Z754),#REF!),""))</f>
        <v/>
      </c>
      <c r="AB754" t="str">
        <f>IF(Z754="","",IFERROR(LOOKUP(2,1/(#REF!=Z754),#REF!),""))</f>
        <v/>
      </c>
      <c r="AC754" t="e">
        <f>IF(Z754="","",COUNTIF(#REF!,Z754))</f>
        <v>#REF!</v>
      </c>
      <c r="AD754" t="e">
        <f>IF(A754="","",IF(AC754&gt;1,"REVISAR DUPLICADO",IF(AA754&lt;&gt;"","ACTUALIZADO POR EYR","SIN REPORTE EYR")))</f>
        <v>#REF!</v>
      </c>
    </row>
    <row r="755" spans="1:30" x14ac:dyDescent="0.3">
      <c r="A755" s="5" t="s">
        <v>3512</v>
      </c>
      <c r="B755" t="s">
        <v>3511</v>
      </c>
      <c r="C755" s="4" t="s">
        <v>3510</v>
      </c>
      <c r="D755" t="s">
        <v>1</v>
      </c>
      <c r="F755" t="s">
        <v>3509</v>
      </c>
      <c r="G755" s="3">
        <v>8095521819</v>
      </c>
      <c r="H755" s="2">
        <v>46126</v>
      </c>
      <c r="K755" s="1">
        <f ca="1">IF(A755="","",IF(OR(L755="ENTREGADA",L755="RETORNADA",L755="ENTREGA DIGITAL"),0,MAX(0,5-NETWORKDAYS(H755+1,TODAY()))))</f>
        <v>0</v>
      </c>
      <c r="L755" t="str">
        <f>IF(A755="","",IFERROR(LOOKUP(2,1/(#REF!=Z755),#REF!),Y755))</f>
        <v>ENTREGA DIGITAL</v>
      </c>
      <c r="Y755" t="s">
        <v>1396</v>
      </c>
      <c r="Z755" t="str">
        <f>IF(A755="","",TEXT(A755,"0")&amp;"|"&amp;TEXT(H755,"0"))</f>
        <v>4921017693811840|46126</v>
      </c>
      <c r="AA755" t="str">
        <f>IF(Z755="","",IFERROR(LOOKUP(2,1/(#REF!=Z755),#REF!),""))</f>
        <v/>
      </c>
      <c r="AB755" t="str">
        <f>IF(Z755="","",IFERROR(LOOKUP(2,1/(#REF!=Z755),#REF!),""))</f>
        <v/>
      </c>
      <c r="AC755" t="e">
        <f>IF(Z755="","",COUNTIF(#REF!,Z755))</f>
        <v>#REF!</v>
      </c>
      <c r="AD755" t="e">
        <f>IF(A755="","",IF(AC755&gt;1,"REVISAR DUPLICADO",IF(AA755&lt;&gt;"","ACTUALIZADO POR EYR","SIN REPORTE EYR")))</f>
        <v>#REF!</v>
      </c>
    </row>
    <row r="756" spans="1:30" x14ac:dyDescent="0.3">
      <c r="A756" s="5" t="s">
        <v>3508</v>
      </c>
      <c r="B756" t="s">
        <v>3507</v>
      </c>
      <c r="C756" s="4" t="s">
        <v>3506</v>
      </c>
      <c r="D756" t="s">
        <v>1</v>
      </c>
      <c r="F756" t="s">
        <v>13</v>
      </c>
      <c r="G756" s="3">
        <v>8493741811</v>
      </c>
      <c r="H756" s="2">
        <v>46126</v>
      </c>
      <c r="K756" s="1">
        <f ca="1">IF(A756="","",IF(OR(L756="ENTREGADA",L756="RETORNADA",L756="ENTREGA DIGITAL"),0,MAX(0,5-NETWORKDAYS(H756+1,TODAY()))))</f>
        <v>0</v>
      </c>
      <c r="L756" t="str">
        <f>IF(A756="","",IFERROR(LOOKUP(2,1/(#REF!=Z756),#REF!),Y756))</f>
        <v>ENTREGA DIGITAL</v>
      </c>
      <c r="Y756" t="s">
        <v>1396</v>
      </c>
      <c r="Z756" t="str">
        <f>IF(A756="","",TEXT(A756,"0")&amp;"|"&amp;TEXT(H756,"0"))</f>
        <v>4921017751323640|46126</v>
      </c>
      <c r="AA756" t="str">
        <f>IF(Z756="","",IFERROR(LOOKUP(2,1/(#REF!=Z756),#REF!),""))</f>
        <v/>
      </c>
      <c r="AB756" t="str">
        <f>IF(Z756="","",IFERROR(LOOKUP(2,1/(#REF!=Z756),#REF!),""))</f>
        <v/>
      </c>
      <c r="AC756" t="e">
        <f>IF(Z756="","",COUNTIF(#REF!,Z756))</f>
        <v>#REF!</v>
      </c>
      <c r="AD756" t="e">
        <f>IF(A756="","",IF(AC756&gt;1,"REVISAR DUPLICADO",IF(AA756&lt;&gt;"","ACTUALIZADO POR EYR","SIN REPORTE EYR")))</f>
        <v>#REF!</v>
      </c>
    </row>
    <row r="757" spans="1:30" x14ac:dyDescent="0.3">
      <c r="A757" s="5" t="s">
        <v>3505</v>
      </c>
      <c r="B757" t="s">
        <v>2210</v>
      </c>
      <c r="C757" s="4" t="s">
        <v>2209</v>
      </c>
      <c r="D757" t="s">
        <v>1</v>
      </c>
      <c r="F757" t="s">
        <v>0</v>
      </c>
      <c r="G757" s="3">
        <v>8098586175</v>
      </c>
      <c r="H757" s="2">
        <v>46126</v>
      </c>
      <c r="K757" s="1">
        <f ca="1">IF(A757="","",IF(OR(L757="ENTREGADA",L757="RETORNADA",L757="ENTREGA DIGITAL"),0,MAX(0,5-NETWORKDAYS(H757+1,TODAY()))))</f>
        <v>0</v>
      </c>
      <c r="L757" t="str">
        <f>IF(A757="","",IFERROR(LOOKUP(2,1/(#REF!=Z757),#REF!),Y757))</f>
        <v>ENTREGA DIGITAL</v>
      </c>
      <c r="Y757" t="s">
        <v>1396</v>
      </c>
      <c r="Z757" t="str">
        <f>IF(A757="","",TEXT(A757,"0")&amp;"|"&amp;TEXT(H757,"0"))</f>
        <v>4025017810804200|46126</v>
      </c>
      <c r="AA757" t="str">
        <f>IF(Z757="","",IFERROR(LOOKUP(2,1/(#REF!=Z757),#REF!),""))</f>
        <v/>
      </c>
      <c r="AB757" t="str">
        <f>IF(Z757="","",IFERROR(LOOKUP(2,1/(#REF!=Z757),#REF!),""))</f>
        <v/>
      </c>
      <c r="AC757" t="e">
        <f>IF(Z757="","",COUNTIF(#REF!,Z757))</f>
        <v>#REF!</v>
      </c>
      <c r="AD757" t="e">
        <f>IF(A757="","",IF(AC757&gt;1,"REVISAR DUPLICADO",IF(AA757&lt;&gt;"","ACTUALIZADO POR EYR","SIN REPORTE EYR")))</f>
        <v>#REF!</v>
      </c>
    </row>
    <row r="758" spans="1:30" x14ac:dyDescent="0.3">
      <c r="A758" s="5" t="s">
        <v>3504</v>
      </c>
      <c r="B758" t="s">
        <v>3503</v>
      </c>
      <c r="C758" s="4" t="s">
        <v>3502</v>
      </c>
      <c r="D758" t="s">
        <v>1</v>
      </c>
      <c r="F758" t="s">
        <v>13</v>
      </c>
      <c r="G758" s="3">
        <v>8098427242</v>
      </c>
      <c r="H758" s="2">
        <v>46126</v>
      </c>
      <c r="K758" s="1">
        <f ca="1">IF(A758="","",IF(OR(L758="ENTREGADA",L758="RETORNADA",L758="ENTREGA DIGITAL"),0,MAX(0,5-NETWORKDAYS(H758+1,TODAY()))))</f>
        <v>0</v>
      </c>
      <c r="L758" t="str">
        <f>IF(A758="","",IFERROR(LOOKUP(2,1/(#REF!=Z758),#REF!),Y758))</f>
        <v>ENTREGA DIGITAL</v>
      </c>
      <c r="Y758" t="s">
        <v>1396</v>
      </c>
      <c r="Z758" t="str">
        <f>IF(A758="","",TEXT(A758,"0")&amp;"|"&amp;TEXT(H758,"0"))</f>
        <v>5188017811530300|46126</v>
      </c>
      <c r="AA758" t="str">
        <f>IF(Z758="","",IFERROR(LOOKUP(2,1/(#REF!=Z758),#REF!),""))</f>
        <v/>
      </c>
      <c r="AB758" t="str">
        <f>IF(Z758="","",IFERROR(LOOKUP(2,1/(#REF!=Z758),#REF!),""))</f>
        <v/>
      </c>
      <c r="AC758" t="e">
        <f>IF(Z758="","",COUNTIF(#REF!,Z758))</f>
        <v>#REF!</v>
      </c>
      <c r="AD758" t="e">
        <f>IF(A758="","",IF(AC758&gt;1,"REVISAR DUPLICADO",IF(AA758&lt;&gt;"","ACTUALIZADO POR EYR","SIN REPORTE EYR")))</f>
        <v>#REF!</v>
      </c>
    </row>
    <row r="759" spans="1:30" x14ac:dyDescent="0.3">
      <c r="A759" s="5" t="s">
        <v>3501</v>
      </c>
      <c r="B759" t="s">
        <v>3500</v>
      </c>
      <c r="C759" s="4" t="s">
        <v>3499</v>
      </c>
      <c r="D759" t="s">
        <v>1</v>
      </c>
      <c r="F759" t="s">
        <v>13</v>
      </c>
      <c r="G759" s="3">
        <v>8096961401</v>
      </c>
      <c r="H759" s="2">
        <v>46126</v>
      </c>
      <c r="I759" t="s">
        <v>1397</v>
      </c>
      <c r="K759" s="1">
        <f ca="1">IF(A759="","",IF(OR(L759="ENTREGADA",L759="RETORNADA",L759="ENTREGA DIGITAL"),0,MAX(0,5-NETWORKDAYS(H759+1,TODAY()))))</f>
        <v>0</v>
      </c>
      <c r="L759" t="str">
        <f>IF(A759="","",IFERROR(LOOKUP(2,1/(#REF!=Z759),#REF!),Y759))</f>
        <v>ENTREGA DIGITAL</v>
      </c>
      <c r="Y759" t="s">
        <v>1396</v>
      </c>
      <c r="Z759" t="str">
        <f>IF(A759="","",TEXT(A759,"0")&amp;"|"&amp;TEXT(H759,"0"))</f>
        <v>5415017786710810|46126</v>
      </c>
      <c r="AA759" t="str">
        <f>IF(Z759="","",IFERROR(LOOKUP(2,1/(#REF!=Z759),#REF!),""))</f>
        <v/>
      </c>
      <c r="AB759" t="str">
        <f>IF(Z759="","",IFERROR(LOOKUP(2,1/(#REF!=Z759),#REF!),""))</f>
        <v/>
      </c>
      <c r="AC759" t="e">
        <f>IF(Z759="","",COUNTIF(#REF!,Z759))</f>
        <v>#REF!</v>
      </c>
      <c r="AD759" t="e">
        <f>IF(A759="","",IF(AC759&gt;1,"REVISAR DUPLICADO",IF(AA759&lt;&gt;"","ACTUALIZADO POR EYR","SIN REPORTE EYR")))</f>
        <v>#REF!</v>
      </c>
    </row>
    <row r="760" spans="1:30" x14ac:dyDescent="0.3">
      <c r="A760" s="5" t="s">
        <v>3498</v>
      </c>
      <c r="B760" t="s">
        <v>3497</v>
      </c>
      <c r="C760" s="4" t="s">
        <v>3496</v>
      </c>
      <c r="D760" t="s">
        <v>21</v>
      </c>
      <c r="F760" t="s">
        <v>3495</v>
      </c>
      <c r="G760" s="3">
        <v>8092067497</v>
      </c>
      <c r="H760" s="2">
        <v>46126</v>
      </c>
      <c r="K760" s="1">
        <f ca="1">IF(A760="","",IF(OR(L760="ENTREGADA",L760="RETORNADA",L760="ENTREGA DIGITAL"),0,MAX(0,5-NETWORKDAYS(H760+1,TODAY()))))</f>
        <v>0</v>
      </c>
      <c r="L760" t="str">
        <f>IF(A760="","",IFERROR(LOOKUP(2,1/(#REF!=Z760),#REF!),Y760))</f>
        <v>RETORNADA</v>
      </c>
      <c r="Y760" t="s">
        <v>1857</v>
      </c>
      <c r="Z760" t="str">
        <f>IF(A760="","",TEXT(A760,"0")&amp;"|"&amp;TEXT(H760,"0"))</f>
        <v>4921017722013730|46126</v>
      </c>
      <c r="AA760" t="str">
        <f>IF(Z760="","",IFERROR(LOOKUP(2,1/(#REF!=Z760),#REF!),""))</f>
        <v/>
      </c>
      <c r="AB760" t="str">
        <f>IF(Z760="","",IFERROR(LOOKUP(2,1/(#REF!=Z760),#REF!),""))</f>
        <v/>
      </c>
      <c r="AC760" t="e">
        <f>IF(Z760="","",COUNTIF(#REF!,Z760))</f>
        <v>#REF!</v>
      </c>
      <c r="AD760" t="e">
        <f>IF(A760="","",IF(AC760&gt;1,"REVISAR DUPLICADO",IF(AA760&lt;&gt;"","ACTUALIZADO POR EYR","SIN REPORTE EYR")))</f>
        <v>#REF!</v>
      </c>
    </row>
    <row r="761" spans="1:30" x14ac:dyDescent="0.3">
      <c r="A761" s="5" t="s">
        <v>3494</v>
      </c>
      <c r="B761" t="s">
        <v>3493</v>
      </c>
      <c r="C761" s="4" t="s">
        <v>3492</v>
      </c>
      <c r="D761" t="s">
        <v>21</v>
      </c>
      <c r="F761" t="s">
        <v>13</v>
      </c>
      <c r="G761" s="3">
        <v>8098799946</v>
      </c>
      <c r="H761" s="2">
        <v>46126</v>
      </c>
      <c r="K761" s="1">
        <f ca="1">IF(A761="","",IF(OR(L761="ENTREGADA",L761="RETORNADA",L761="ENTREGA DIGITAL"),0,MAX(0,5-NETWORKDAYS(H761+1,TODAY()))))</f>
        <v>0</v>
      </c>
      <c r="L761" t="str">
        <f>IF(A761="","",IFERROR(LOOKUP(2,1/(#REF!=Z761),#REF!),Y761))</f>
        <v>RETORNADA</v>
      </c>
      <c r="Y761" t="s">
        <v>1857</v>
      </c>
      <c r="Z761" t="str">
        <f>IF(A761="","",TEXT(A761,"0")&amp;"|"&amp;TEXT(H761,"0"))</f>
        <v>4921017806617850|46126</v>
      </c>
      <c r="AA761" t="str">
        <f>IF(Z761="","",IFERROR(LOOKUP(2,1/(#REF!=Z761),#REF!),""))</f>
        <v/>
      </c>
      <c r="AB761" t="str">
        <f>IF(Z761="","",IFERROR(LOOKUP(2,1/(#REF!=Z761),#REF!),""))</f>
        <v/>
      </c>
      <c r="AC761" t="e">
        <f>IF(Z761="","",COUNTIF(#REF!,Z761))</f>
        <v>#REF!</v>
      </c>
      <c r="AD761" t="e">
        <f>IF(A761="","",IF(AC761&gt;1,"REVISAR DUPLICADO",IF(AA761&lt;&gt;"","ACTUALIZADO POR EYR","SIN REPORTE EYR")))</f>
        <v>#REF!</v>
      </c>
    </row>
    <row r="762" spans="1:30" x14ac:dyDescent="0.3">
      <c r="A762" s="5" t="s">
        <v>3491</v>
      </c>
      <c r="B762" t="s">
        <v>3490</v>
      </c>
      <c r="C762" s="4" t="s">
        <v>3489</v>
      </c>
      <c r="D762" t="s">
        <v>21</v>
      </c>
      <c r="E762" t="s">
        <v>21</v>
      </c>
      <c r="F762" t="s">
        <v>62</v>
      </c>
      <c r="G762" s="3">
        <v>8292908405</v>
      </c>
      <c r="H762" s="2">
        <v>46126</v>
      </c>
      <c r="K762" s="1">
        <f ca="1">IF(A762="","",IF(OR(L762="ENTREGADA",L762="RETORNADA",L762="ENTREGA DIGITAL"),0,MAX(0,5-NETWORKDAYS(H762+1,TODAY()))))</f>
        <v>0</v>
      </c>
      <c r="L762" t="str">
        <f>IF(A762="","",IFERROR(LOOKUP(2,1/(#REF!=Z762),#REF!),Y762))</f>
        <v>RETORNADA</v>
      </c>
      <c r="Y762" t="s">
        <v>1857</v>
      </c>
      <c r="Z762" t="str">
        <f>IF(A762="","",TEXT(A762,"0")&amp;"|"&amp;TEXT(H762,"0"))</f>
        <v>4921017820629170|46126</v>
      </c>
      <c r="AA762" t="str">
        <f>IF(Z762="","",IFERROR(LOOKUP(2,1/(#REF!=Z762),#REF!),""))</f>
        <v/>
      </c>
      <c r="AB762" t="str">
        <f>IF(Z762="","",IFERROR(LOOKUP(2,1/(#REF!=Z762),#REF!),""))</f>
        <v/>
      </c>
      <c r="AC762" t="e">
        <f>IF(Z762="","",COUNTIF(#REF!,Z762))</f>
        <v>#REF!</v>
      </c>
      <c r="AD762" t="e">
        <f>IF(A762="","",IF(AC762&gt;1,"REVISAR DUPLICADO",IF(AA762&lt;&gt;"","ACTUALIZADO POR EYR","SIN REPORTE EYR")))</f>
        <v>#REF!</v>
      </c>
    </row>
    <row r="763" spans="1:30" x14ac:dyDescent="0.3">
      <c r="A763" s="5" t="s">
        <v>3488</v>
      </c>
      <c r="B763" t="s">
        <v>3487</v>
      </c>
      <c r="C763" s="4" t="s">
        <v>3486</v>
      </c>
      <c r="D763" t="s">
        <v>21</v>
      </c>
      <c r="E763" t="s">
        <v>21</v>
      </c>
      <c r="F763" t="s">
        <v>62</v>
      </c>
      <c r="G763" s="3">
        <v>8092011099</v>
      </c>
      <c r="H763" s="2">
        <v>46126</v>
      </c>
      <c r="K763" s="1">
        <f ca="1">IF(A763="","",IF(OR(L763="ENTREGADA",L763="RETORNADA",L763="ENTREGA DIGITAL"),0,MAX(0,5-NETWORKDAYS(H763+1,TODAY()))))</f>
        <v>0</v>
      </c>
      <c r="L763" t="str">
        <f>IF(A763="","",IFERROR(LOOKUP(2,1/(#REF!=Z763),#REF!),Y763))</f>
        <v>ENTREGA DIGITAL</v>
      </c>
      <c r="Y763" t="s">
        <v>1396</v>
      </c>
      <c r="Z763" t="str">
        <f>IF(A763="","",TEXT(A763,"0")&amp;"|"&amp;TEXT(H763,"0"))</f>
        <v>4921017820736820|46126</v>
      </c>
      <c r="AA763" t="str">
        <f>IF(Z763="","",IFERROR(LOOKUP(2,1/(#REF!=Z763),#REF!),""))</f>
        <v/>
      </c>
      <c r="AB763" t="str">
        <f>IF(Z763="","",IFERROR(LOOKUP(2,1/(#REF!=Z763),#REF!),""))</f>
        <v/>
      </c>
      <c r="AC763" t="e">
        <f>IF(Z763="","",COUNTIF(#REF!,Z763))</f>
        <v>#REF!</v>
      </c>
      <c r="AD763" t="e">
        <f>IF(A763="","",IF(AC763&gt;1,"REVISAR DUPLICADO",IF(AA763&lt;&gt;"","ACTUALIZADO POR EYR","SIN REPORTE EYR")))</f>
        <v>#REF!</v>
      </c>
    </row>
    <row r="764" spans="1:30" x14ac:dyDescent="0.3">
      <c r="A764" s="5" t="s">
        <v>3485</v>
      </c>
      <c r="B764" t="s">
        <v>3484</v>
      </c>
      <c r="C764" s="4" t="s">
        <v>3483</v>
      </c>
      <c r="D764" t="s">
        <v>21</v>
      </c>
      <c r="F764" t="s">
        <v>13</v>
      </c>
      <c r="G764" s="3">
        <v>8092712493</v>
      </c>
      <c r="H764" s="2">
        <v>46126</v>
      </c>
      <c r="I764" t="s">
        <v>3482</v>
      </c>
      <c r="K764" s="1">
        <f ca="1">IF(A764="","",IF(OR(L764="ENTREGADA",L764="RETORNADA",L764="ENTREGA DIGITAL"),0,MAX(0,5-NETWORKDAYS(H764+1,TODAY()))))</f>
        <v>0</v>
      </c>
      <c r="L764" t="str">
        <f>IF(A764="","",IFERROR(LOOKUP(2,1/(#REF!=Z764),#REF!),Y764))</f>
        <v>RETORNADA</v>
      </c>
      <c r="Y764" t="s">
        <v>1857</v>
      </c>
      <c r="Z764" t="str">
        <f>IF(A764="","",TEXT(A764,"0")&amp;"|"&amp;TEXT(H764,"0"))</f>
        <v>4921017821898350|46126</v>
      </c>
      <c r="AA764" t="str">
        <f>IF(Z764="","",IFERROR(LOOKUP(2,1/(#REF!=Z764),#REF!),""))</f>
        <v/>
      </c>
      <c r="AB764" t="str">
        <f>IF(Z764="","",IFERROR(LOOKUP(2,1/(#REF!=Z764),#REF!),""))</f>
        <v/>
      </c>
      <c r="AC764" t="e">
        <f>IF(Z764="","",COUNTIF(#REF!,Z764))</f>
        <v>#REF!</v>
      </c>
      <c r="AD764" t="e">
        <f>IF(A764="","",IF(AC764&gt;1,"REVISAR DUPLICADO",IF(AA764&lt;&gt;"","ACTUALIZADO POR EYR","SIN REPORTE EYR")))</f>
        <v>#REF!</v>
      </c>
    </row>
    <row r="765" spans="1:30" x14ac:dyDescent="0.3">
      <c r="A765" s="5" t="s">
        <v>3481</v>
      </c>
      <c r="B765" t="s">
        <v>3480</v>
      </c>
      <c r="C765" s="4" t="s">
        <v>3479</v>
      </c>
      <c r="D765" t="s">
        <v>21</v>
      </c>
      <c r="F765" t="s">
        <v>13</v>
      </c>
      <c r="G765" s="3">
        <v>8099199893</v>
      </c>
      <c r="H765" s="2">
        <v>46126</v>
      </c>
      <c r="K765" s="1">
        <f ca="1">IF(A765="","",IF(OR(L765="ENTREGADA",L765="RETORNADA",L765="ENTREGA DIGITAL"),0,MAX(0,5-NETWORKDAYS(H765+1,TODAY()))))</f>
        <v>0</v>
      </c>
      <c r="L765" t="str">
        <f>IF(A765="","",IFERROR(LOOKUP(2,1/(#REF!=Z765),#REF!),Y765))</f>
        <v>ENTREGA DIGITAL</v>
      </c>
      <c r="Y765" t="s">
        <v>1396</v>
      </c>
      <c r="Z765" t="str">
        <f>IF(A765="","",TEXT(A765,"0")&amp;"|"&amp;TEXT(H765,"0"))</f>
        <v>4921017822566630|46126</v>
      </c>
      <c r="AA765" t="str">
        <f>IF(Z765="","",IFERROR(LOOKUP(2,1/(#REF!=Z765),#REF!),""))</f>
        <v/>
      </c>
      <c r="AB765" t="str">
        <f>IF(Z765="","",IFERROR(LOOKUP(2,1/(#REF!=Z765),#REF!),""))</f>
        <v/>
      </c>
      <c r="AC765" t="e">
        <f>IF(Z765="","",COUNTIF(#REF!,Z765))</f>
        <v>#REF!</v>
      </c>
      <c r="AD765" t="e">
        <f>IF(A765="","",IF(AC765&gt;1,"REVISAR DUPLICADO",IF(AA765&lt;&gt;"","ACTUALIZADO POR EYR","SIN REPORTE EYR")))</f>
        <v>#REF!</v>
      </c>
    </row>
    <row r="766" spans="1:30" x14ac:dyDescent="0.3">
      <c r="A766" s="5" t="s">
        <v>3478</v>
      </c>
      <c r="B766" t="s">
        <v>3477</v>
      </c>
      <c r="C766" s="4" t="s">
        <v>3476</v>
      </c>
      <c r="D766" t="s">
        <v>21</v>
      </c>
      <c r="F766" t="s">
        <v>910</v>
      </c>
      <c r="G766" s="3">
        <v>8093391153</v>
      </c>
      <c r="H766" s="2">
        <v>46126</v>
      </c>
      <c r="K766" s="1">
        <f ca="1">IF(A766="","",IF(OR(L766="ENTREGADA",L766="RETORNADA",L766="ENTREGA DIGITAL"),0,MAX(0,5-NETWORKDAYS(H766+1,TODAY()))))</f>
        <v>0</v>
      </c>
      <c r="L766" t="str">
        <f>IF(A766="","",IFERROR(LOOKUP(2,1/(#REF!=Z766),#REF!),Y766))</f>
        <v>RETORNADA</v>
      </c>
      <c r="Y766" t="s">
        <v>1857</v>
      </c>
      <c r="Z766" t="str">
        <f>IF(A766="","",TEXT(A766,"0")&amp;"|"&amp;TEXT(H766,"0"))</f>
        <v>4966017820114980|46126</v>
      </c>
      <c r="AA766" t="str">
        <f>IF(Z766="","",IFERROR(LOOKUP(2,1/(#REF!=Z766),#REF!),""))</f>
        <v/>
      </c>
      <c r="AB766" t="str">
        <f>IF(Z766="","",IFERROR(LOOKUP(2,1/(#REF!=Z766),#REF!),""))</f>
        <v/>
      </c>
      <c r="AC766" t="e">
        <f>IF(Z766="","",COUNTIF(#REF!,Z766))</f>
        <v>#REF!</v>
      </c>
      <c r="AD766" t="e">
        <f>IF(A766="","",IF(AC766&gt;1,"REVISAR DUPLICADO",IF(AA766&lt;&gt;"","ACTUALIZADO POR EYR","SIN REPORTE EYR")))</f>
        <v>#REF!</v>
      </c>
    </row>
    <row r="767" spans="1:30" s="8" customFormat="1" x14ac:dyDescent="0.3">
      <c r="A767" s="5" t="s">
        <v>1457</v>
      </c>
      <c r="B767" t="s">
        <v>1456</v>
      </c>
      <c r="C767" s="4" t="s">
        <v>1455</v>
      </c>
      <c r="D767" s="8" t="s">
        <v>21</v>
      </c>
      <c r="F767" s="8" t="s">
        <v>2135</v>
      </c>
      <c r="G767" s="16">
        <v>8096182884</v>
      </c>
      <c r="H767" s="15">
        <v>46126</v>
      </c>
      <c r="K767" s="14">
        <f ca="1">IF(A767="","",IF(OR(L767="ENTREGADA",L767="RETORNADA",L767="ENTREGA DIGITAL"),0,MAX(0,5-NETWORKDAYS(H767+1,TODAY()))))</f>
        <v>0</v>
      </c>
      <c r="L767" t="str">
        <f>IF(A767="","",IFERROR(LOOKUP(2,1/(#REF!=Z767),#REF!),Y767))</f>
        <v>RETORNADA</v>
      </c>
      <c r="Y767" t="s">
        <v>1857</v>
      </c>
      <c r="Z767" t="str">
        <f>IF(A767="","",TEXT(A767,"0")&amp;"|"&amp;TEXT(H767,"0"))</f>
        <v>4921017819811970|46126</v>
      </c>
      <c r="AA767" t="str">
        <f>IF(Z767="","",IFERROR(LOOKUP(2,1/(#REF!=Z767),#REF!),""))</f>
        <v/>
      </c>
      <c r="AB767" t="str">
        <f>IF(Z767="","",IFERROR(LOOKUP(2,1/(#REF!=Z767),#REF!),""))</f>
        <v/>
      </c>
      <c r="AC767" t="e">
        <f>IF(Z767="","",COUNTIF(#REF!,Z767))</f>
        <v>#REF!</v>
      </c>
      <c r="AD767" t="e">
        <f>IF(A767="","",IF(AC767&gt;1,"REVISAR DUPLICADO",IF(AA767&lt;&gt;"","ACTUALIZADO POR EYR","SIN REPORTE EYR")))</f>
        <v>#REF!</v>
      </c>
    </row>
    <row r="768" spans="1:30" x14ac:dyDescent="0.3">
      <c r="A768" s="5" t="s">
        <v>3475</v>
      </c>
      <c r="B768" t="s">
        <v>3474</v>
      </c>
      <c r="C768" s="4" t="s">
        <v>3473</v>
      </c>
      <c r="D768" t="s">
        <v>21</v>
      </c>
      <c r="F768" t="s">
        <v>13</v>
      </c>
      <c r="G768" s="3">
        <v>8093453172</v>
      </c>
      <c r="H768" s="2">
        <v>46126</v>
      </c>
      <c r="K768" s="1">
        <f ca="1">IF(A768="","",IF(OR(L768="ENTREGADA",L768="RETORNADA",L768="ENTREGA DIGITAL"),0,MAX(0,5-NETWORKDAYS(H768+1,TODAY()))))</f>
        <v>0</v>
      </c>
      <c r="L768" t="str">
        <f>IF(A768="","",IFERROR(LOOKUP(2,1/(#REF!=Z768),#REF!),Y768))</f>
        <v>RETORNADA</v>
      </c>
      <c r="Y768" t="s">
        <v>1857</v>
      </c>
      <c r="Z768" t="str">
        <f>IF(A768="","",TEXT(A768,"0")&amp;"|"&amp;TEXT(H768,"0"))</f>
        <v>4921017819720940|46126</v>
      </c>
      <c r="AA768" t="str">
        <f>IF(Z768="","",IFERROR(LOOKUP(2,1/(#REF!=Z768),#REF!),""))</f>
        <v/>
      </c>
      <c r="AB768" t="str">
        <f>IF(Z768="","",IFERROR(LOOKUP(2,1/(#REF!=Z768),#REF!),""))</f>
        <v/>
      </c>
      <c r="AC768" t="e">
        <f>IF(Z768="","",COUNTIF(#REF!,Z768))</f>
        <v>#REF!</v>
      </c>
      <c r="AD768" t="e">
        <f>IF(A768="","",IF(AC768&gt;1,"REVISAR DUPLICADO",IF(AA768&lt;&gt;"","ACTUALIZADO POR EYR","SIN REPORTE EYR")))</f>
        <v>#REF!</v>
      </c>
    </row>
    <row r="769" spans="1:30" x14ac:dyDescent="0.3">
      <c r="A769" s="5" t="s">
        <v>3472</v>
      </c>
      <c r="B769" t="s">
        <v>3471</v>
      </c>
      <c r="C769" s="4" t="s">
        <v>3470</v>
      </c>
      <c r="D769" t="s">
        <v>21</v>
      </c>
      <c r="F769" t="s">
        <v>13</v>
      </c>
      <c r="G769" s="3">
        <v>8298203613</v>
      </c>
      <c r="H769" s="2">
        <v>46126</v>
      </c>
      <c r="K769" s="1">
        <f ca="1">IF(A769="","",IF(OR(L769="ENTREGADA",L769="RETORNADA",L769="ENTREGA DIGITAL"),0,MAX(0,5-NETWORKDAYS(H769+1,TODAY()))))</f>
        <v>0</v>
      </c>
      <c r="L769" t="str">
        <f>IF(A769="","",IFERROR(LOOKUP(2,1/(#REF!=Z769),#REF!),Y769))</f>
        <v>ENTREGA DIGITAL</v>
      </c>
      <c r="Y769" t="s">
        <v>1396</v>
      </c>
      <c r="Z769" t="str">
        <f>IF(A769="","",TEXT(A769,"0")&amp;"|"&amp;TEXT(H769,"0"))</f>
        <v>4921017819906780|46126</v>
      </c>
      <c r="AA769" t="str">
        <f>IF(Z769="","",IFERROR(LOOKUP(2,1/(#REF!=Z769),#REF!),""))</f>
        <v/>
      </c>
      <c r="AB769" t="str">
        <f>IF(Z769="","",IFERROR(LOOKUP(2,1/(#REF!=Z769),#REF!),""))</f>
        <v/>
      </c>
      <c r="AC769" t="e">
        <f>IF(Z769="","",COUNTIF(#REF!,Z769))</f>
        <v>#REF!</v>
      </c>
      <c r="AD769" t="e">
        <f>IF(A769="","",IF(AC769&gt;1,"REVISAR DUPLICADO",IF(AA769&lt;&gt;"","ACTUALIZADO POR EYR","SIN REPORTE EYR")))</f>
        <v>#REF!</v>
      </c>
    </row>
    <row r="770" spans="1:30" x14ac:dyDescent="0.3">
      <c r="A770" s="5" t="s">
        <v>1226</v>
      </c>
      <c r="B770" t="s">
        <v>1225</v>
      </c>
      <c r="C770" s="4" t="s">
        <v>1224</v>
      </c>
      <c r="D770" t="s">
        <v>21</v>
      </c>
      <c r="F770" t="s">
        <v>3103</v>
      </c>
      <c r="G770" s="3">
        <v>8093394197</v>
      </c>
      <c r="H770" s="2">
        <v>46126</v>
      </c>
      <c r="K770" s="1">
        <f ca="1">IF(A770="","",IF(OR(L770="ENTREGADA",L770="RETORNADA",L770="ENTREGA DIGITAL"),0,MAX(0,5-NETWORKDAYS(H770+1,TODAY()))))</f>
        <v>0</v>
      </c>
      <c r="L770" t="str">
        <f>IF(A770="","",IFERROR(LOOKUP(2,1/(#REF!=Z770),#REF!),Y770))</f>
        <v>RETORNADA</v>
      </c>
      <c r="Y770" t="s">
        <v>1857</v>
      </c>
      <c r="Z770" t="str">
        <f>IF(A770="","",TEXT(A770,"0")&amp;"|"&amp;TEXT(H770,"0"))</f>
        <v>5415017817386280|46126</v>
      </c>
      <c r="AA770" t="str">
        <f>IF(Z770="","",IFERROR(LOOKUP(2,1/(#REF!=Z770),#REF!),""))</f>
        <v/>
      </c>
      <c r="AB770" t="str">
        <f>IF(Z770="","",IFERROR(LOOKUP(2,1/(#REF!=Z770),#REF!),""))</f>
        <v/>
      </c>
      <c r="AC770" t="e">
        <f>IF(Z770="","",COUNTIF(#REF!,Z770))</f>
        <v>#REF!</v>
      </c>
      <c r="AD770" t="e">
        <f>IF(A770="","",IF(AC770&gt;1,"REVISAR DUPLICADO",IF(AA770&lt;&gt;"","ACTUALIZADO POR EYR","SIN REPORTE EYR")))</f>
        <v>#REF!</v>
      </c>
    </row>
    <row r="771" spans="1:30" x14ac:dyDescent="0.3">
      <c r="A771" s="5" t="s">
        <v>3469</v>
      </c>
      <c r="B771" t="s">
        <v>3468</v>
      </c>
      <c r="C771" s="4" t="s">
        <v>3467</v>
      </c>
      <c r="D771" t="s">
        <v>21</v>
      </c>
      <c r="F771" t="s">
        <v>13</v>
      </c>
      <c r="G771" s="3">
        <v>8494097220</v>
      </c>
      <c r="H771" s="2">
        <v>46126</v>
      </c>
      <c r="K771" s="1">
        <f ca="1">IF(A771="","",IF(OR(L771="ENTREGADA",L771="RETORNADA",L771="ENTREGA DIGITAL"),0,MAX(0,5-NETWORKDAYS(H771+1,TODAY()))))</f>
        <v>0</v>
      </c>
      <c r="L771" t="str">
        <f>IF(A771="","",IFERROR(LOOKUP(2,1/(#REF!=Z771),#REF!),Y771))</f>
        <v>ENTREGADA</v>
      </c>
      <c r="Y771" t="s">
        <v>1956</v>
      </c>
      <c r="Z771" t="str">
        <f>IF(A771="","",TEXT(A771,"0")&amp;"|"&amp;TEXT(H771,"0"))</f>
        <v>5415017817796560|46126</v>
      </c>
      <c r="AA771" t="str">
        <f>IF(Z771="","",IFERROR(LOOKUP(2,1/(#REF!=Z771),#REF!),""))</f>
        <v/>
      </c>
      <c r="AB771" t="str">
        <f>IF(Z771="","",IFERROR(LOOKUP(2,1/(#REF!=Z771),#REF!),""))</f>
        <v/>
      </c>
      <c r="AC771" t="e">
        <f>IF(Z771="","",COUNTIF(#REF!,Z771))</f>
        <v>#REF!</v>
      </c>
      <c r="AD771" t="e">
        <f>IF(A771="","",IF(AC771&gt;1,"REVISAR DUPLICADO",IF(AA771&lt;&gt;"","ACTUALIZADO POR EYR","SIN REPORTE EYR")))</f>
        <v>#REF!</v>
      </c>
    </row>
    <row r="772" spans="1:30" x14ac:dyDescent="0.3">
      <c r="A772" s="5" t="s">
        <v>3466</v>
      </c>
      <c r="B772" t="s">
        <v>3465</v>
      </c>
      <c r="C772" s="4" t="s">
        <v>3464</v>
      </c>
      <c r="D772" t="s">
        <v>21</v>
      </c>
      <c r="F772" t="s">
        <v>3463</v>
      </c>
      <c r="G772" s="3">
        <v>8095292146</v>
      </c>
      <c r="H772" s="2">
        <v>46126</v>
      </c>
      <c r="K772" s="1">
        <f ca="1">IF(A772="","",IF(OR(L772="ENTREGADA",L772="RETORNADA",L772="ENTREGA DIGITAL"),0,MAX(0,5-NETWORKDAYS(H772+1,TODAY()))))</f>
        <v>0</v>
      </c>
      <c r="L772" t="str">
        <f>IF(A772="","",IFERROR(LOOKUP(2,1/(#REF!=Z772),#REF!),Y772))</f>
        <v>RETORNADA</v>
      </c>
      <c r="Y772" t="s">
        <v>1857</v>
      </c>
      <c r="Z772" t="str">
        <f>IF(A772="","",TEXT(A772,"0")&amp;"|"&amp;TEXT(H772,"0"))</f>
        <v>5188017817638090|46126</v>
      </c>
      <c r="AA772" t="str">
        <f>IF(Z772="","",IFERROR(LOOKUP(2,1/(#REF!=Z772),#REF!),""))</f>
        <v/>
      </c>
      <c r="AB772" t="str">
        <f>IF(Z772="","",IFERROR(LOOKUP(2,1/(#REF!=Z772),#REF!),""))</f>
        <v/>
      </c>
      <c r="AC772" t="e">
        <f>IF(Z772="","",COUNTIF(#REF!,Z772))</f>
        <v>#REF!</v>
      </c>
      <c r="AD772" t="e">
        <f>IF(A772="","",IF(AC772&gt;1,"REVISAR DUPLICADO",IF(AA772&lt;&gt;"","ACTUALIZADO POR EYR","SIN REPORTE EYR")))</f>
        <v>#REF!</v>
      </c>
    </row>
    <row r="773" spans="1:30" x14ac:dyDescent="0.3">
      <c r="A773" s="5" t="s">
        <v>3462</v>
      </c>
      <c r="B773" t="s">
        <v>3461</v>
      </c>
      <c r="C773" s="4" t="s">
        <v>3460</v>
      </c>
      <c r="D773" t="s">
        <v>21</v>
      </c>
      <c r="F773" t="s">
        <v>13</v>
      </c>
      <c r="G773" s="3">
        <v>8094492690</v>
      </c>
      <c r="H773" s="2">
        <v>46126</v>
      </c>
      <c r="I773" t="s">
        <v>1397</v>
      </c>
      <c r="K773" s="1">
        <f ca="1">IF(A773="","",IF(OR(L773="ENTREGADA",L773="RETORNADA",L773="ENTREGA DIGITAL"),0,MAX(0,5-NETWORKDAYS(H773+1,TODAY()))))</f>
        <v>0</v>
      </c>
      <c r="L773" t="str">
        <f>IF(A773="","",IFERROR(LOOKUP(2,1/(#REF!=Z773),#REF!),Y773))</f>
        <v>ENTREGADA</v>
      </c>
      <c r="Y773" t="s">
        <v>1956</v>
      </c>
      <c r="Z773" t="str">
        <f>IF(A773="","",TEXT(A773,"0")&amp;"|"&amp;TEXT(H773,"0"))</f>
        <v>5400017818394630|46126</v>
      </c>
      <c r="AA773" t="str">
        <f>IF(Z773="","",IFERROR(LOOKUP(2,1/(#REF!=Z773),#REF!),""))</f>
        <v/>
      </c>
      <c r="AB773" t="str">
        <f>IF(Z773="","",IFERROR(LOOKUP(2,1/(#REF!=Z773),#REF!),""))</f>
        <v/>
      </c>
      <c r="AC773" t="e">
        <f>IF(Z773="","",COUNTIF(#REF!,Z773))</f>
        <v>#REF!</v>
      </c>
      <c r="AD773" t="e">
        <f>IF(A773="","",IF(AC773&gt;1,"REVISAR DUPLICADO",IF(AA773&lt;&gt;"","ACTUALIZADO POR EYR","SIN REPORTE EYR")))</f>
        <v>#REF!</v>
      </c>
    </row>
    <row r="774" spans="1:30" x14ac:dyDescent="0.3">
      <c r="A774" s="5" t="s">
        <v>3459</v>
      </c>
      <c r="B774" t="s">
        <v>3458</v>
      </c>
      <c r="C774" s="4" t="s">
        <v>3457</v>
      </c>
      <c r="D774" t="s">
        <v>77</v>
      </c>
      <c r="F774" t="s">
        <v>13</v>
      </c>
      <c r="G774" s="3">
        <v>8296547685</v>
      </c>
      <c r="H774" s="2">
        <v>46126</v>
      </c>
      <c r="K774" s="1">
        <f ca="1">IF(A774="","",IF(OR(L774="ENTREGADA",L774="RETORNADA",L774="ENTREGA DIGITAL"),0,MAX(0,5-NETWORKDAYS(H774+1,TODAY()))))</f>
        <v>0</v>
      </c>
      <c r="L774" t="str">
        <f>IF(A774="","",IFERROR(LOOKUP(2,1/(#REF!=Z774),#REF!),Y774))</f>
        <v>ENTREGA DIGITAL</v>
      </c>
      <c r="Y774" t="s">
        <v>1396</v>
      </c>
      <c r="Z774" t="str">
        <f>IF(A774="","",TEXT(A774,"0")&amp;"|"&amp;TEXT(H774,"0"))</f>
        <v>4921017814426390|46126</v>
      </c>
      <c r="AA774" t="str">
        <f>IF(Z774="","",IFERROR(LOOKUP(2,1/(#REF!=Z774),#REF!),""))</f>
        <v/>
      </c>
      <c r="AB774" t="str">
        <f>IF(Z774="","",IFERROR(LOOKUP(2,1/(#REF!=Z774),#REF!),""))</f>
        <v/>
      </c>
      <c r="AC774" t="e">
        <f>IF(Z774="","",COUNTIF(#REF!,Z774))</f>
        <v>#REF!</v>
      </c>
      <c r="AD774" t="e">
        <f>IF(A774="","",IF(AC774&gt;1,"REVISAR DUPLICADO",IF(AA774&lt;&gt;"","ACTUALIZADO POR EYR","SIN REPORTE EYR")))</f>
        <v>#REF!</v>
      </c>
    </row>
    <row r="775" spans="1:30" x14ac:dyDescent="0.3">
      <c r="A775" s="5" t="s">
        <v>3456</v>
      </c>
      <c r="B775" t="s">
        <v>3455</v>
      </c>
      <c r="C775" s="4" t="s">
        <v>3454</v>
      </c>
      <c r="D775" t="s">
        <v>77</v>
      </c>
      <c r="F775" t="s">
        <v>13</v>
      </c>
      <c r="G775" s="3">
        <v>8094948808</v>
      </c>
      <c r="H775" s="2">
        <v>46126</v>
      </c>
      <c r="K775" s="1">
        <f ca="1">IF(A775="","",IF(OR(L775="ENTREGADA",L775="RETORNADA",L775="ENTREGA DIGITAL"),0,MAX(0,5-NETWORKDAYS(H775+1,TODAY()))))</f>
        <v>0</v>
      </c>
      <c r="L775" t="str">
        <f>IF(A775="","",IFERROR(LOOKUP(2,1/(#REF!=Z775),#REF!),Y775))</f>
        <v>RETORNADA</v>
      </c>
      <c r="Y775" t="s">
        <v>1857</v>
      </c>
      <c r="Z775" t="str">
        <f>IF(A775="","",TEXT(A775,"0")&amp;"|"&amp;TEXT(H775,"0"))</f>
        <v>5415017778909980|46126</v>
      </c>
      <c r="AA775" t="str">
        <f>IF(Z775="","",IFERROR(LOOKUP(2,1/(#REF!=Z775),#REF!),""))</f>
        <v/>
      </c>
      <c r="AB775" t="str">
        <f>IF(Z775="","",IFERROR(LOOKUP(2,1/(#REF!=Z775),#REF!),""))</f>
        <v/>
      </c>
      <c r="AC775" t="e">
        <f>IF(Z775="","",COUNTIF(#REF!,Z775))</f>
        <v>#REF!</v>
      </c>
      <c r="AD775" t="e">
        <f>IF(A775="","",IF(AC775&gt;1,"REVISAR DUPLICADO",IF(AA775&lt;&gt;"","ACTUALIZADO POR EYR","SIN REPORTE EYR")))</f>
        <v>#REF!</v>
      </c>
    </row>
    <row r="776" spans="1:30" x14ac:dyDescent="0.3">
      <c r="A776" s="5" t="s">
        <v>3453</v>
      </c>
      <c r="B776" t="s">
        <v>3452</v>
      </c>
      <c r="C776" s="4" t="s">
        <v>3451</v>
      </c>
      <c r="D776" t="s">
        <v>77</v>
      </c>
      <c r="F776" t="s">
        <v>0</v>
      </c>
      <c r="G776" s="3">
        <v>8297670699</v>
      </c>
      <c r="H776" s="2">
        <v>46126</v>
      </c>
      <c r="K776" s="1">
        <f ca="1">IF(A776="","",IF(OR(L776="ENTREGADA",L776="RETORNADA",L776="ENTREGA DIGITAL"),0,MAX(0,5-NETWORKDAYS(H776+1,TODAY()))))</f>
        <v>0</v>
      </c>
      <c r="L776" t="str">
        <f>IF(A776="","",IFERROR(LOOKUP(2,1/(#REF!=Z776),#REF!),Y776))</f>
        <v>ENTREGA DIGITAL</v>
      </c>
      <c r="Y776" t="s">
        <v>1396</v>
      </c>
      <c r="Z776" t="str">
        <f>IF(A776="","",TEXT(A776,"0")&amp;"|"&amp;TEXT(H776,"0"))</f>
        <v>4921017820587960|46126</v>
      </c>
      <c r="AA776" t="str">
        <f>IF(Z776="","",IFERROR(LOOKUP(2,1/(#REF!=Z776),#REF!),""))</f>
        <v/>
      </c>
      <c r="AB776" t="str">
        <f>IF(Z776="","",IFERROR(LOOKUP(2,1/(#REF!=Z776),#REF!),""))</f>
        <v/>
      </c>
      <c r="AC776" t="e">
        <f>IF(Z776="","",COUNTIF(#REF!,Z776))</f>
        <v>#REF!</v>
      </c>
      <c r="AD776" t="e">
        <f>IF(A776="","",IF(AC776&gt;1,"REVISAR DUPLICADO",IF(AA776&lt;&gt;"","ACTUALIZADO POR EYR","SIN REPORTE EYR")))</f>
        <v>#REF!</v>
      </c>
    </row>
    <row r="777" spans="1:30" x14ac:dyDescent="0.3">
      <c r="A777" s="5" t="s">
        <v>1848</v>
      </c>
      <c r="B777" t="s">
        <v>1847</v>
      </c>
      <c r="C777" s="4" t="s">
        <v>1846</v>
      </c>
      <c r="D777" t="s">
        <v>77</v>
      </c>
      <c r="F777" t="s">
        <v>81</v>
      </c>
      <c r="G777" s="3">
        <v>8095342462</v>
      </c>
      <c r="H777" s="2">
        <v>46126</v>
      </c>
      <c r="K777" s="1">
        <f ca="1">IF(A777="","",IF(OR(L777="ENTREGADA",L777="RETORNADA",L777="ENTREGA DIGITAL"),0,MAX(0,5-NETWORKDAYS(H777+1,TODAY()))))</f>
        <v>0</v>
      </c>
      <c r="L777" t="str">
        <f>IF(A777="","",IFERROR(LOOKUP(2,1/(#REF!=Z777),#REF!),Y777))</f>
        <v>RETORNADA</v>
      </c>
      <c r="Y777" t="s">
        <v>1857</v>
      </c>
      <c r="Z777" t="str">
        <f>IF(A777="","",TEXT(A777,"0")&amp;"|"&amp;TEXT(H777,"0"))</f>
        <v>4921017821750890|46126</v>
      </c>
      <c r="AA777" t="str">
        <f>IF(Z777="","",IFERROR(LOOKUP(2,1/(#REF!=Z777),#REF!),""))</f>
        <v/>
      </c>
      <c r="AB777" t="str">
        <f>IF(Z777="","",IFERROR(LOOKUP(2,1/(#REF!=Z777),#REF!),""))</f>
        <v/>
      </c>
      <c r="AC777" t="e">
        <f>IF(Z777="","",COUNTIF(#REF!,Z777))</f>
        <v>#REF!</v>
      </c>
      <c r="AD777" t="e">
        <f>IF(A777="","",IF(AC777&gt;1,"REVISAR DUPLICADO",IF(AA777&lt;&gt;"","ACTUALIZADO POR EYR","SIN REPORTE EYR")))</f>
        <v>#REF!</v>
      </c>
    </row>
    <row r="778" spans="1:30" x14ac:dyDescent="0.3">
      <c r="A778" s="5" t="s">
        <v>3450</v>
      </c>
      <c r="B778" t="s">
        <v>3449</v>
      </c>
      <c r="C778" s="4" t="s">
        <v>3448</v>
      </c>
      <c r="D778" t="s">
        <v>77</v>
      </c>
      <c r="F778" t="s">
        <v>13</v>
      </c>
      <c r="G778" s="3">
        <v>8494788452</v>
      </c>
      <c r="H778" s="2">
        <v>46126</v>
      </c>
      <c r="K778" s="1">
        <f ca="1">IF(A778="","",IF(OR(L778="ENTREGADA",L778="RETORNADA",L778="ENTREGA DIGITAL"),0,MAX(0,5-NETWORKDAYS(H778+1,TODAY()))))</f>
        <v>0</v>
      </c>
      <c r="L778" t="str">
        <f>IF(A778="","",IFERROR(LOOKUP(2,1/(#REF!=Z778),#REF!),Y778))</f>
        <v>RETORNADA</v>
      </c>
      <c r="Y778" t="s">
        <v>1857</v>
      </c>
      <c r="Z778" t="str">
        <f>IF(A778="","",TEXT(A778,"0")&amp;"|"&amp;TEXT(H778,"0"))</f>
        <v>4921017822495000|46126</v>
      </c>
      <c r="AA778" t="str">
        <f>IF(Z778="","",IFERROR(LOOKUP(2,1/(#REF!=Z778),#REF!),""))</f>
        <v/>
      </c>
      <c r="AB778" t="str">
        <f>IF(Z778="","",IFERROR(LOOKUP(2,1/(#REF!=Z778),#REF!),""))</f>
        <v/>
      </c>
      <c r="AC778" t="e">
        <f>IF(Z778="","",COUNTIF(#REF!,Z778))</f>
        <v>#REF!</v>
      </c>
      <c r="AD778" t="e">
        <f>IF(A778="","",IF(AC778&gt;1,"REVISAR DUPLICADO",IF(AA778&lt;&gt;"","ACTUALIZADO POR EYR","SIN REPORTE EYR")))</f>
        <v>#REF!</v>
      </c>
    </row>
    <row r="779" spans="1:30" x14ac:dyDescent="0.3">
      <c r="A779" s="5" t="s">
        <v>3447</v>
      </c>
      <c r="B779" t="s">
        <v>3446</v>
      </c>
      <c r="C779" s="4" t="s">
        <v>3445</v>
      </c>
      <c r="D779" t="s">
        <v>77</v>
      </c>
      <c r="F779" t="s">
        <v>3444</v>
      </c>
      <c r="G779" s="3">
        <v>8295082733</v>
      </c>
      <c r="H779" s="2">
        <v>46126</v>
      </c>
      <c r="I779" t="s">
        <v>1397</v>
      </c>
      <c r="K779" s="1">
        <f ca="1">IF(A779="","",IF(OR(L779="ENTREGADA",L779="RETORNADA",L779="ENTREGA DIGITAL"),0,MAX(0,5-NETWORKDAYS(H779+1,TODAY()))))</f>
        <v>0</v>
      </c>
      <c r="L779" t="str">
        <f>IF(A779="","",IFERROR(LOOKUP(2,1/(#REF!=Z779),#REF!),Y779))</f>
        <v>ENTREGA DIGITAL</v>
      </c>
      <c r="Y779" t="s">
        <v>1396</v>
      </c>
      <c r="Z779" t="str">
        <f>IF(A779="","",TEXT(A779,"0")&amp;"|"&amp;TEXT(H779,"0"))</f>
        <v>4921017820797030|46126</v>
      </c>
      <c r="AA779" t="str">
        <f>IF(Z779="","",IFERROR(LOOKUP(2,1/(#REF!=Z779),#REF!),""))</f>
        <v/>
      </c>
      <c r="AB779" t="str">
        <f>IF(Z779="","",IFERROR(LOOKUP(2,1/(#REF!=Z779),#REF!),""))</f>
        <v/>
      </c>
      <c r="AC779" t="e">
        <f>IF(Z779="","",COUNTIF(#REF!,Z779))</f>
        <v>#REF!</v>
      </c>
      <c r="AD779" t="e">
        <f>IF(A779="","",IF(AC779&gt;1,"REVISAR DUPLICADO",IF(AA779&lt;&gt;"","ACTUALIZADO POR EYR","SIN REPORTE EYR")))</f>
        <v>#REF!</v>
      </c>
    </row>
    <row r="780" spans="1:30" x14ac:dyDescent="0.3">
      <c r="A780" s="5" t="s">
        <v>3443</v>
      </c>
      <c r="B780" t="s">
        <v>3442</v>
      </c>
      <c r="C780" s="4" t="s">
        <v>3441</v>
      </c>
      <c r="D780" t="s">
        <v>77</v>
      </c>
      <c r="F780" t="s">
        <v>3440</v>
      </c>
      <c r="G780" s="3">
        <v>8097460619</v>
      </c>
      <c r="H780" s="2">
        <v>46126</v>
      </c>
      <c r="K780" s="1">
        <f ca="1">IF(A780="","",IF(OR(L780="ENTREGADA",L780="RETORNADA",L780="ENTREGA DIGITAL"),0,MAX(0,5-NETWORKDAYS(H780+1,TODAY()))))</f>
        <v>0</v>
      </c>
      <c r="L780" t="str">
        <f>IF(A780="","",IFERROR(LOOKUP(2,1/(#REF!=Z780),#REF!),Y780))</f>
        <v>RETORNADA</v>
      </c>
      <c r="Y780" t="s">
        <v>1857</v>
      </c>
      <c r="Z780" t="str">
        <f>IF(A780="","",TEXT(A780,"0")&amp;"|"&amp;TEXT(H780,"0"))</f>
        <v>5188017819241980|46126</v>
      </c>
      <c r="AA780" t="str">
        <f>IF(Z780="","",IFERROR(LOOKUP(2,1/(#REF!=Z780),#REF!),""))</f>
        <v/>
      </c>
      <c r="AB780" t="str">
        <f>IF(Z780="","",IFERROR(LOOKUP(2,1/(#REF!=Z780),#REF!),""))</f>
        <v/>
      </c>
      <c r="AC780" t="e">
        <f>IF(Z780="","",COUNTIF(#REF!,Z780))</f>
        <v>#REF!</v>
      </c>
      <c r="AD780" t="e">
        <f>IF(A780="","",IF(AC780&gt;1,"REVISAR DUPLICADO",IF(AA780&lt;&gt;"","ACTUALIZADO POR EYR","SIN REPORTE EYR")))</f>
        <v>#REF!</v>
      </c>
    </row>
    <row r="781" spans="1:30" x14ac:dyDescent="0.3">
      <c r="A781" s="5" t="s">
        <v>3439</v>
      </c>
      <c r="B781" t="s">
        <v>3438</v>
      </c>
      <c r="C781" s="4" t="s">
        <v>3437</v>
      </c>
      <c r="D781" t="s">
        <v>77</v>
      </c>
      <c r="F781" t="s">
        <v>135</v>
      </c>
      <c r="G781" s="3">
        <v>8296044433</v>
      </c>
      <c r="H781" s="2">
        <v>46126</v>
      </c>
      <c r="K781" s="1">
        <f ca="1">IF(A781="","",IF(OR(L781="ENTREGADA",L781="RETORNADA",L781="ENTREGA DIGITAL"),0,MAX(0,5-NETWORKDAYS(H781+1,TODAY()))))</f>
        <v>0</v>
      </c>
      <c r="L781" t="str">
        <f>IF(A781="","",IFERROR(LOOKUP(2,1/(#REF!=Z781),#REF!),Y781))</f>
        <v>RETORNADA</v>
      </c>
      <c r="Y781" t="s">
        <v>1857</v>
      </c>
      <c r="Z781" t="str">
        <f>IF(A781="","",TEXT(A781,"0")&amp;"|"&amp;TEXT(H781,"0"))</f>
        <v>4921017819575950|46126</v>
      </c>
      <c r="AA781" t="str">
        <f>IF(Z781="","",IFERROR(LOOKUP(2,1/(#REF!=Z781),#REF!),""))</f>
        <v/>
      </c>
      <c r="AB781" t="str">
        <f>IF(Z781="","",IFERROR(LOOKUP(2,1/(#REF!=Z781),#REF!),""))</f>
        <v/>
      </c>
      <c r="AC781" t="e">
        <f>IF(Z781="","",COUNTIF(#REF!,Z781))</f>
        <v>#REF!</v>
      </c>
      <c r="AD781" t="e">
        <f>IF(A781="","",IF(AC781&gt;1,"REVISAR DUPLICADO",IF(AA781&lt;&gt;"","ACTUALIZADO POR EYR","SIN REPORTE EYR")))</f>
        <v>#REF!</v>
      </c>
    </row>
    <row r="782" spans="1:30" x14ac:dyDescent="0.3">
      <c r="A782" s="5" t="s">
        <v>3436</v>
      </c>
      <c r="B782" t="s">
        <v>3435</v>
      </c>
      <c r="C782" s="4" t="s">
        <v>3434</v>
      </c>
      <c r="D782" t="s">
        <v>77</v>
      </c>
      <c r="E782" t="s">
        <v>214</v>
      </c>
      <c r="F782" t="s">
        <v>391</v>
      </c>
      <c r="G782" s="3">
        <v>8092665608</v>
      </c>
      <c r="H782" s="2">
        <v>46126</v>
      </c>
      <c r="K782" s="1">
        <f ca="1">IF(A782="","",IF(OR(L782="ENTREGADA",L782="RETORNADA",L782="ENTREGA DIGITAL"),0,MAX(0,5-NETWORKDAYS(H782+1,TODAY()))))</f>
        <v>0</v>
      </c>
      <c r="L782" t="str">
        <f>IF(A782="","",IFERROR(LOOKUP(2,1/(#REF!=Z782),#REF!),Y782))</f>
        <v>RETORNADA</v>
      </c>
      <c r="Y782" t="s">
        <v>1857</v>
      </c>
      <c r="Z782" t="str">
        <f>IF(A782="","",TEXT(A782,"0")&amp;"|"&amp;TEXT(H782,"0"))</f>
        <v>4921017819582690|46126</v>
      </c>
      <c r="AA782" t="str">
        <f>IF(Z782="","",IFERROR(LOOKUP(2,1/(#REF!=Z782),#REF!),""))</f>
        <v/>
      </c>
      <c r="AB782" t="str">
        <f>IF(Z782="","",IFERROR(LOOKUP(2,1/(#REF!=Z782),#REF!),""))</f>
        <v/>
      </c>
      <c r="AC782" t="e">
        <f>IF(Z782="","",COUNTIF(#REF!,Z782))</f>
        <v>#REF!</v>
      </c>
      <c r="AD782" t="e">
        <f>IF(A782="","",IF(AC782&gt;1,"REVISAR DUPLICADO",IF(AA782&lt;&gt;"","ACTUALIZADO POR EYR","SIN REPORTE EYR")))</f>
        <v>#REF!</v>
      </c>
    </row>
    <row r="783" spans="1:30" x14ac:dyDescent="0.3">
      <c r="A783" s="5" t="s">
        <v>3433</v>
      </c>
      <c r="B783" t="s">
        <v>3432</v>
      </c>
      <c r="C783" s="4" t="s">
        <v>3431</v>
      </c>
      <c r="D783" t="s">
        <v>77</v>
      </c>
      <c r="F783" t="s">
        <v>1420</v>
      </c>
      <c r="G783" s="3">
        <v>8299822965</v>
      </c>
      <c r="H783" s="2">
        <v>46126</v>
      </c>
      <c r="K783" s="1">
        <f ca="1">IF(A783="","",IF(OR(L783="ENTREGADA",L783="RETORNADA",L783="ENTREGA DIGITAL"),0,MAX(0,5-NETWORKDAYS(H783+1,TODAY()))))</f>
        <v>0</v>
      </c>
      <c r="L783" t="str">
        <f>IF(A783="","",IFERROR(LOOKUP(2,1/(#REF!=Z783),#REF!),Y783))</f>
        <v>RETORNADA</v>
      </c>
      <c r="Y783" t="s">
        <v>1857</v>
      </c>
      <c r="Z783" t="str">
        <f>IF(A783="","",TEXT(A783,"0")&amp;"|"&amp;TEXT(H783,"0"))</f>
        <v>5415017817895410|46126</v>
      </c>
      <c r="AA783" t="str">
        <f>IF(Z783="","",IFERROR(LOOKUP(2,1/(#REF!=Z783),#REF!),""))</f>
        <v/>
      </c>
      <c r="AB783" t="str">
        <f>IF(Z783="","",IFERROR(LOOKUP(2,1/(#REF!=Z783),#REF!),""))</f>
        <v/>
      </c>
      <c r="AC783" t="e">
        <f>IF(Z783="","",COUNTIF(#REF!,Z783))</f>
        <v>#REF!</v>
      </c>
      <c r="AD783" t="e">
        <f>IF(A783="","",IF(AC783&gt;1,"REVISAR DUPLICADO",IF(AA783&lt;&gt;"","ACTUALIZADO POR EYR","SIN REPORTE EYR")))</f>
        <v>#REF!</v>
      </c>
    </row>
    <row r="784" spans="1:30" x14ac:dyDescent="0.3">
      <c r="A784" s="5" t="s">
        <v>3430</v>
      </c>
      <c r="B784" t="s">
        <v>3429</v>
      </c>
      <c r="C784" s="4" t="s">
        <v>3428</v>
      </c>
      <c r="D784" t="s">
        <v>77</v>
      </c>
      <c r="F784" t="s">
        <v>2196</v>
      </c>
      <c r="G784" s="3">
        <v>8299879155</v>
      </c>
      <c r="H784" s="2">
        <v>46126</v>
      </c>
      <c r="I784" t="s">
        <v>1397</v>
      </c>
      <c r="K784" s="1">
        <f ca="1">IF(A784="","",IF(OR(L784="ENTREGADA",L784="RETORNADA",L784="ENTREGA DIGITAL"),0,MAX(0,5-NETWORKDAYS(H784+1,TODAY()))))</f>
        <v>0</v>
      </c>
      <c r="L784" t="str">
        <f>IF(A784="","",IFERROR(LOOKUP(2,1/(#REF!=Z784),#REF!),Y784))</f>
        <v>ENTREGA DIGITAL</v>
      </c>
      <c r="Y784" t="s">
        <v>1396</v>
      </c>
      <c r="Z784" t="str">
        <f>IF(A784="","",TEXT(A784,"0")&amp;"|"&amp;TEXT(H784,"0"))</f>
        <v>5188017819169340|46126</v>
      </c>
      <c r="AA784" t="str">
        <f>IF(Z784="","",IFERROR(LOOKUP(2,1/(#REF!=Z784),#REF!),""))</f>
        <v/>
      </c>
      <c r="AB784" t="str">
        <f>IF(Z784="","",IFERROR(LOOKUP(2,1/(#REF!=Z784),#REF!),""))</f>
        <v/>
      </c>
      <c r="AC784" t="e">
        <f>IF(Z784="","",COUNTIF(#REF!,Z784))</f>
        <v>#REF!</v>
      </c>
      <c r="AD784" t="e">
        <f>IF(A784="","",IF(AC784&gt;1,"REVISAR DUPLICADO",IF(AA784&lt;&gt;"","ACTUALIZADO POR EYR","SIN REPORTE EYR")))</f>
        <v>#REF!</v>
      </c>
    </row>
    <row r="785" spans="1:30" x14ac:dyDescent="0.3">
      <c r="A785" s="5" t="s">
        <v>3427</v>
      </c>
      <c r="B785" t="s">
        <v>3426</v>
      </c>
      <c r="C785" s="4" t="s">
        <v>3425</v>
      </c>
      <c r="D785" t="s">
        <v>77</v>
      </c>
      <c r="E785" t="s">
        <v>214</v>
      </c>
      <c r="F785" t="s">
        <v>391</v>
      </c>
      <c r="G785" s="3">
        <v>8092159449</v>
      </c>
      <c r="H785" s="2">
        <v>46126</v>
      </c>
      <c r="K785" s="1">
        <f ca="1">IF(A785="","",IF(OR(L785="ENTREGADA",L785="RETORNADA",L785="ENTREGA DIGITAL"),0,MAX(0,5-NETWORKDAYS(H785+1,TODAY()))))</f>
        <v>0</v>
      </c>
      <c r="L785" t="str">
        <f>IF(A785="","",IFERROR(LOOKUP(2,1/(#REF!=Z785),#REF!),Y785))</f>
        <v>ENTREGA DIGITAL</v>
      </c>
      <c r="Y785" t="s">
        <v>1396</v>
      </c>
      <c r="Z785" t="str">
        <f>IF(A785="","",TEXT(A785,"0")&amp;"|"&amp;TEXT(H785,"0"))</f>
        <v>5415017816689650|46126</v>
      </c>
      <c r="AA785" t="str">
        <f>IF(Z785="","",IFERROR(LOOKUP(2,1/(#REF!=Z785),#REF!),""))</f>
        <v/>
      </c>
      <c r="AB785" t="str">
        <f>IF(Z785="","",IFERROR(LOOKUP(2,1/(#REF!=Z785),#REF!),""))</f>
        <v/>
      </c>
      <c r="AC785" t="e">
        <f>IF(Z785="","",COUNTIF(#REF!,Z785))</f>
        <v>#REF!</v>
      </c>
      <c r="AD785" t="e">
        <f>IF(A785="","",IF(AC785&gt;1,"REVISAR DUPLICADO",IF(AA785&lt;&gt;"","ACTUALIZADO POR EYR","SIN REPORTE EYR")))</f>
        <v>#REF!</v>
      </c>
    </row>
    <row r="786" spans="1:30" x14ac:dyDescent="0.3">
      <c r="A786" s="5" t="s">
        <v>3424</v>
      </c>
      <c r="B786" t="s">
        <v>3423</v>
      </c>
      <c r="C786" s="4" t="s">
        <v>3422</v>
      </c>
      <c r="D786" t="s">
        <v>77</v>
      </c>
      <c r="E786" t="s">
        <v>214</v>
      </c>
      <c r="F786" t="s">
        <v>391</v>
      </c>
      <c r="G786" s="3">
        <v>8096184964</v>
      </c>
      <c r="H786" s="2">
        <v>46126</v>
      </c>
      <c r="I786" t="s">
        <v>1397</v>
      </c>
      <c r="K786" s="1">
        <f ca="1">IF(A786="","",IF(OR(L786="ENTREGADA",L786="RETORNADA",L786="ENTREGA DIGITAL"),0,MAX(0,5-NETWORKDAYS(H786+1,TODAY()))))</f>
        <v>0</v>
      </c>
      <c r="L786" t="str">
        <f>IF(A786="","",IFERROR(LOOKUP(2,1/(#REF!=Z786),#REF!),Y786))</f>
        <v>ENTREGA DIGITAL</v>
      </c>
      <c r="Y786" t="s">
        <v>1396</v>
      </c>
      <c r="Z786" t="str">
        <f>IF(A786="","",TEXT(A786,"0")&amp;"|"&amp;TEXT(H786,"0"))</f>
        <v>5188017818853130|46126</v>
      </c>
      <c r="AA786" t="str">
        <f>IF(Z786="","",IFERROR(LOOKUP(2,1/(#REF!=Z786),#REF!),""))</f>
        <v/>
      </c>
      <c r="AB786" t="str">
        <f>IF(Z786="","",IFERROR(LOOKUP(2,1/(#REF!=Z786),#REF!),""))</f>
        <v/>
      </c>
      <c r="AC786" t="e">
        <f>IF(Z786="","",COUNTIF(#REF!,Z786))</f>
        <v>#REF!</v>
      </c>
      <c r="AD786" t="e">
        <f>IF(A786="","",IF(AC786&gt;1,"REVISAR DUPLICADO",IF(AA786&lt;&gt;"","ACTUALIZADO POR EYR","SIN REPORTE EYR")))</f>
        <v>#REF!</v>
      </c>
    </row>
    <row r="787" spans="1:30" x14ac:dyDescent="0.3">
      <c r="A787" s="5" t="s">
        <v>3421</v>
      </c>
      <c r="B787" t="s">
        <v>3420</v>
      </c>
      <c r="C787" s="4" t="s">
        <v>3419</v>
      </c>
      <c r="D787" t="s">
        <v>77</v>
      </c>
      <c r="F787" t="s">
        <v>13</v>
      </c>
      <c r="G787" s="3">
        <v>8295212510</v>
      </c>
      <c r="H787" s="2">
        <v>46126</v>
      </c>
      <c r="K787" s="1">
        <f ca="1">IF(A787="","",IF(OR(L787="ENTREGADA",L787="RETORNADA",L787="ENTREGA DIGITAL"),0,MAX(0,5-NETWORKDAYS(H787+1,TODAY()))))</f>
        <v>0</v>
      </c>
      <c r="L787" t="str">
        <f>IF(A787="","",IFERROR(LOOKUP(2,1/(#REF!=Z787),#REF!),Y787))</f>
        <v>RETORNADA</v>
      </c>
      <c r="Y787" t="s">
        <v>1857</v>
      </c>
      <c r="Z787" t="str">
        <f>IF(A787="","",TEXT(A787,"0")&amp;"|"&amp;TEXT(H787,"0"))</f>
        <v>4966017820247290|46126</v>
      </c>
      <c r="AA787" t="str">
        <f>IF(Z787="","",IFERROR(LOOKUP(2,1/(#REF!=Z787),#REF!),""))</f>
        <v/>
      </c>
      <c r="AB787" t="str">
        <f>IF(Z787="","",IFERROR(LOOKUP(2,1/(#REF!=Z787),#REF!),""))</f>
        <v/>
      </c>
      <c r="AC787" t="e">
        <f>IF(Z787="","",COUNTIF(#REF!,Z787))</f>
        <v>#REF!</v>
      </c>
      <c r="AD787" t="e">
        <f>IF(A787="","",IF(AC787&gt;1,"REVISAR DUPLICADO",IF(AA787&lt;&gt;"","ACTUALIZADO POR EYR","SIN REPORTE EYR")))</f>
        <v>#REF!</v>
      </c>
    </row>
    <row r="788" spans="1:30" x14ac:dyDescent="0.3">
      <c r="A788" s="5" t="s">
        <v>3418</v>
      </c>
      <c r="B788" t="s">
        <v>3417</v>
      </c>
      <c r="C788" s="4" t="s">
        <v>3416</v>
      </c>
      <c r="D788" t="s">
        <v>77</v>
      </c>
      <c r="E788" t="s">
        <v>214</v>
      </c>
      <c r="F788" t="s">
        <v>391</v>
      </c>
      <c r="G788" s="3">
        <v>8097834091</v>
      </c>
      <c r="H788" s="2">
        <v>46126</v>
      </c>
      <c r="I788" t="s">
        <v>1397</v>
      </c>
      <c r="K788" s="1">
        <f ca="1">IF(A788="","",IF(OR(L788="ENTREGADA",L788="RETORNADA",L788="ENTREGA DIGITAL"),0,MAX(0,5-NETWORKDAYS(H788+1,TODAY()))))</f>
        <v>0</v>
      </c>
      <c r="L788" t="str">
        <f>IF(A788="","",IFERROR(LOOKUP(2,1/(#REF!=Z788),#REF!),Y788))</f>
        <v>ENTREGA DIGITAL</v>
      </c>
      <c r="Y788" t="s">
        <v>1396</v>
      </c>
      <c r="Z788" t="str">
        <f>IF(A788="","",TEXT(A788,"0")&amp;"|"&amp;TEXT(H788,"0"))</f>
        <v>5188017817511510|46126</v>
      </c>
      <c r="AA788" t="str">
        <f>IF(Z788="","",IFERROR(LOOKUP(2,1/(#REF!=Z788),#REF!),""))</f>
        <v/>
      </c>
      <c r="AB788" t="str">
        <f>IF(Z788="","",IFERROR(LOOKUP(2,1/(#REF!=Z788),#REF!),""))</f>
        <v/>
      </c>
      <c r="AC788" t="e">
        <f>IF(Z788="","",COUNTIF(#REF!,Z788))</f>
        <v>#REF!</v>
      </c>
      <c r="AD788" t="e">
        <f>IF(A788="","",IF(AC788&gt;1,"REVISAR DUPLICADO",IF(AA788&lt;&gt;"","ACTUALIZADO POR EYR","SIN REPORTE EYR")))</f>
        <v>#REF!</v>
      </c>
    </row>
    <row r="789" spans="1:30" x14ac:dyDescent="0.3">
      <c r="A789" s="5" t="s">
        <v>1752</v>
      </c>
      <c r="B789" t="s">
        <v>1751</v>
      </c>
      <c r="C789" s="4" t="s">
        <v>1750</v>
      </c>
      <c r="D789" t="s">
        <v>77</v>
      </c>
      <c r="E789" t="s">
        <v>214</v>
      </c>
      <c r="F789" t="s">
        <v>391</v>
      </c>
      <c r="G789" s="3">
        <v>8095540870</v>
      </c>
      <c r="H789" s="2">
        <v>46126</v>
      </c>
      <c r="K789" s="1">
        <f ca="1">IF(A789="","",IF(OR(L789="ENTREGADA",L789="RETORNADA",L789="ENTREGA DIGITAL"),0,MAX(0,5-NETWORKDAYS(H789+1,TODAY()))))</f>
        <v>0</v>
      </c>
      <c r="L789" t="str">
        <f>IF(A789="","",IFERROR(LOOKUP(2,1/(#REF!=Z789),#REF!),Y789))</f>
        <v>RETORNADA</v>
      </c>
      <c r="Y789" t="s">
        <v>1857</v>
      </c>
      <c r="Z789" t="str">
        <f>IF(A789="","",TEXT(A789,"0")&amp;"|"&amp;TEXT(H789,"0"))</f>
        <v>5188017817526170|46126</v>
      </c>
      <c r="AA789" t="str">
        <f>IF(Z789="","",IFERROR(LOOKUP(2,1/(#REF!=Z789),#REF!),""))</f>
        <v/>
      </c>
      <c r="AB789" t="str">
        <f>IF(Z789="","",IFERROR(LOOKUP(2,1/(#REF!=Z789),#REF!),""))</f>
        <v/>
      </c>
      <c r="AC789" t="e">
        <f>IF(Z789="","",COUNTIF(#REF!,Z789))</f>
        <v>#REF!</v>
      </c>
      <c r="AD789" t="e">
        <f>IF(A789="","",IF(AC789&gt;1,"REVISAR DUPLICADO",IF(AA789&lt;&gt;"","ACTUALIZADO POR EYR","SIN REPORTE EYR")))</f>
        <v>#REF!</v>
      </c>
    </row>
    <row r="790" spans="1:30" x14ac:dyDescent="0.3">
      <c r="A790" s="5" t="s">
        <v>3415</v>
      </c>
      <c r="B790" t="s">
        <v>3414</v>
      </c>
      <c r="C790" s="4" t="s">
        <v>3413</v>
      </c>
      <c r="D790" t="s">
        <v>1</v>
      </c>
      <c r="F790" t="s">
        <v>13</v>
      </c>
      <c r="G790" s="3">
        <v>8494853925</v>
      </c>
      <c r="H790" s="2">
        <v>46126</v>
      </c>
      <c r="K790" s="1">
        <f ca="1">IF(A790="","",IF(OR(L790="ENTREGADA",L790="RETORNADA",L790="ENTREGA DIGITAL"),0,MAX(0,5-NETWORKDAYS(H790+1,TODAY()))))</f>
        <v>0</v>
      </c>
      <c r="L790" t="str">
        <f>IF(A790="","",IFERROR(LOOKUP(2,1/(#REF!=Z790),#REF!),Y790))</f>
        <v>ENTREGA DIGITAL</v>
      </c>
      <c r="Y790" t="s">
        <v>1396</v>
      </c>
      <c r="Z790" t="str">
        <f>IF(A790="","",TEXT(A790,"0")&amp;"|"&amp;TEXT(H790,"0"))</f>
        <v>4921017677023480|46126</v>
      </c>
      <c r="AA790" t="str">
        <f>IF(Z790="","",IFERROR(LOOKUP(2,1/(#REF!=Z790),#REF!),""))</f>
        <v/>
      </c>
      <c r="AB790" t="str">
        <f>IF(Z790="","",IFERROR(LOOKUP(2,1/(#REF!=Z790),#REF!),""))</f>
        <v/>
      </c>
      <c r="AC790" t="e">
        <f>IF(Z790="","",COUNTIF(#REF!,Z790))</f>
        <v>#REF!</v>
      </c>
      <c r="AD790" t="e">
        <f>IF(A790="","",IF(AC790&gt;1,"REVISAR DUPLICADO",IF(AA790&lt;&gt;"","ACTUALIZADO POR EYR","SIN REPORTE EYR")))</f>
        <v>#REF!</v>
      </c>
    </row>
    <row r="791" spans="1:30" x14ac:dyDescent="0.3">
      <c r="A791" s="5" t="s">
        <v>3412</v>
      </c>
      <c r="B791" t="s">
        <v>3411</v>
      </c>
      <c r="C791" s="4" t="s">
        <v>3410</v>
      </c>
      <c r="D791" t="s">
        <v>1</v>
      </c>
      <c r="E791" t="s">
        <v>214</v>
      </c>
      <c r="F791" t="s">
        <v>3409</v>
      </c>
      <c r="G791" s="3">
        <v>8298922050</v>
      </c>
      <c r="H791" s="2">
        <v>46126</v>
      </c>
      <c r="K791" s="1">
        <f ca="1">IF(A791="","",IF(OR(L791="ENTREGADA",L791="RETORNADA",L791="ENTREGA DIGITAL"),0,MAX(0,5-NETWORKDAYS(H791+1,TODAY()))))</f>
        <v>0</v>
      </c>
      <c r="L791" t="str">
        <f>IF(A791="","",IFERROR(LOOKUP(2,1/(#REF!=Z791),#REF!),Y791))</f>
        <v>ENTREGA DIGITAL</v>
      </c>
      <c r="Y791" t="s">
        <v>1396</v>
      </c>
      <c r="Z791" t="str">
        <f>IF(A791="","",TEXT(A791,"0")&amp;"|"&amp;TEXT(H791,"0"))</f>
        <v>5188017780214250|46126</v>
      </c>
      <c r="AA791" t="str">
        <f>IF(Z791="","",IFERROR(LOOKUP(2,1/(#REF!=Z791),#REF!),""))</f>
        <v/>
      </c>
      <c r="AB791" t="str">
        <f>IF(Z791="","",IFERROR(LOOKUP(2,1/(#REF!=Z791),#REF!),""))</f>
        <v/>
      </c>
      <c r="AC791" t="e">
        <f>IF(Z791="","",COUNTIF(#REF!,Z791))</f>
        <v>#REF!</v>
      </c>
      <c r="AD791" t="e">
        <f>IF(A791="","",IF(AC791&gt;1,"REVISAR DUPLICADO",IF(AA791&lt;&gt;"","ACTUALIZADO POR EYR","SIN REPORTE EYR")))</f>
        <v>#REF!</v>
      </c>
    </row>
    <row r="792" spans="1:30" x14ac:dyDescent="0.3">
      <c r="A792" s="5" t="s">
        <v>3408</v>
      </c>
      <c r="B792" t="s">
        <v>3407</v>
      </c>
      <c r="C792" s="4" t="s">
        <v>3406</v>
      </c>
      <c r="D792" t="s">
        <v>1</v>
      </c>
      <c r="E792" t="s">
        <v>214</v>
      </c>
      <c r="F792" t="s">
        <v>423</v>
      </c>
      <c r="G792" s="3">
        <v>8294811079</v>
      </c>
      <c r="H792" s="2">
        <v>46126</v>
      </c>
      <c r="K792" s="1">
        <f ca="1">IF(A792="","",IF(OR(L792="ENTREGADA",L792="RETORNADA",L792="ENTREGA DIGITAL"),0,MAX(0,5-NETWORKDAYS(H792+1,TODAY()))))</f>
        <v>0</v>
      </c>
      <c r="L792" t="str">
        <f>IF(A792="","",IFERROR(LOOKUP(2,1/(#REF!=Z792),#REF!),Y792))</f>
        <v>ENTREGA DIGITAL</v>
      </c>
      <c r="Y792" t="s">
        <v>1396</v>
      </c>
      <c r="Z792" t="str">
        <f>IF(A792="","",TEXT(A792,"0")&amp;"|"&amp;TEXT(H792,"0"))</f>
        <v>4921017822661780|46126</v>
      </c>
      <c r="AA792" t="str">
        <f>IF(Z792="","",IFERROR(LOOKUP(2,1/(#REF!=Z792),#REF!),""))</f>
        <v/>
      </c>
      <c r="AB792" t="str">
        <f>IF(Z792="","",IFERROR(LOOKUP(2,1/(#REF!=Z792),#REF!),""))</f>
        <v/>
      </c>
      <c r="AC792" t="e">
        <f>IF(Z792="","",COUNTIF(#REF!,Z792))</f>
        <v>#REF!</v>
      </c>
      <c r="AD792" t="e">
        <f>IF(A792="","",IF(AC792&gt;1,"REVISAR DUPLICADO",IF(AA792&lt;&gt;"","ACTUALIZADO POR EYR","SIN REPORTE EYR")))</f>
        <v>#REF!</v>
      </c>
    </row>
    <row r="793" spans="1:30" x14ac:dyDescent="0.3">
      <c r="A793" s="5" t="s">
        <v>1920</v>
      </c>
      <c r="B793" t="s">
        <v>1919</v>
      </c>
      <c r="C793" s="4" t="s">
        <v>1918</v>
      </c>
      <c r="D793" t="s">
        <v>1</v>
      </c>
      <c r="F793" t="s">
        <v>9</v>
      </c>
      <c r="G793" s="3">
        <v>8492671235</v>
      </c>
      <c r="H793" s="2">
        <v>46126</v>
      </c>
      <c r="K793" s="1">
        <f ca="1">IF(A793="","",IF(OR(L793="ENTREGADA",L793="RETORNADA",L793="ENTREGA DIGITAL"),0,MAX(0,5-NETWORKDAYS(H793+1,TODAY()))))</f>
        <v>0</v>
      </c>
      <c r="L793" t="str">
        <f>IF(A793="","",IFERROR(LOOKUP(2,1/(#REF!=Z793),#REF!),Y793))</f>
        <v>RETORNADA</v>
      </c>
      <c r="Y793" t="s">
        <v>1857</v>
      </c>
      <c r="Z793" t="str">
        <f>IF(A793="","",TEXT(A793,"0")&amp;"|"&amp;TEXT(H793,"0"))</f>
        <v>4966017820347350|46126</v>
      </c>
      <c r="AA793" t="str">
        <f>IF(Z793="","",IFERROR(LOOKUP(2,1/(#REF!=Z793),#REF!),""))</f>
        <v/>
      </c>
      <c r="AB793" t="str">
        <f>IF(Z793="","",IFERROR(LOOKUP(2,1/(#REF!=Z793),#REF!),""))</f>
        <v/>
      </c>
      <c r="AC793" t="e">
        <f>IF(Z793="","",COUNTIF(#REF!,Z793))</f>
        <v>#REF!</v>
      </c>
      <c r="AD793" t="e">
        <f>IF(A793="","",IF(AC793&gt;1,"REVISAR DUPLICADO",IF(AA793&lt;&gt;"","ACTUALIZADO POR EYR","SIN REPORTE EYR")))</f>
        <v>#REF!</v>
      </c>
    </row>
    <row r="794" spans="1:30" x14ac:dyDescent="0.3">
      <c r="A794" s="5" t="s">
        <v>3405</v>
      </c>
      <c r="B794" t="s">
        <v>3404</v>
      </c>
      <c r="C794" s="4" t="s">
        <v>3403</v>
      </c>
      <c r="D794" t="s">
        <v>1</v>
      </c>
      <c r="F794" t="s">
        <v>9</v>
      </c>
      <c r="G794" s="3">
        <v>8295231753</v>
      </c>
      <c r="H794" s="2">
        <v>46126</v>
      </c>
      <c r="I794" t="s">
        <v>1397</v>
      </c>
      <c r="K794" s="1">
        <f ca="1">IF(A794="","",IF(OR(L794="ENTREGADA",L794="RETORNADA",L794="ENTREGA DIGITAL"),0,MAX(0,5-NETWORKDAYS(H794+1,TODAY()))))</f>
        <v>0</v>
      </c>
      <c r="L794" t="str">
        <f>IF(A794="","",IFERROR(LOOKUP(2,1/(#REF!=Z794),#REF!),Y794))</f>
        <v>ENTREGA DIGITAL</v>
      </c>
      <c r="Y794" t="s">
        <v>1396</v>
      </c>
      <c r="Z794" t="str">
        <f>IF(A794="","",TEXT(A794,"0")&amp;"|"&amp;TEXT(H794,"0"))</f>
        <v>4966017820185820|46126</v>
      </c>
      <c r="AA794" t="str">
        <f>IF(Z794="","",IFERROR(LOOKUP(2,1/(#REF!=Z794),#REF!),""))</f>
        <v/>
      </c>
      <c r="AB794" t="str">
        <f>IF(Z794="","",IFERROR(LOOKUP(2,1/(#REF!=Z794),#REF!),""))</f>
        <v/>
      </c>
      <c r="AC794" t="e">
        <f>IF(Z794="","",COUNTIF(#REF!,Z794))</f>
        <v>#REF!</v>
      </c>
      <c r="AD794" t="e">
        <f>IF(A794="","",IF(AC794&gt;1,"REVISAR DUPLICADO",IF(AA794&lt;&gt;"","ACTUALIZADO POR EYR","SIN REPORTE EYR")))</f>
        <v>#REF!</v>
      </c>
    </row>
    <row r="795" spans="1:30" x14ac:dyDescent="0.3">
      <c r="A795" s="5" t="s">
        <v>3402</v>
      </c>
      <c r="B795" t="s">
        <v>3401</v>
      </c>
      <c r="C795" s="4" t="s">
        <v>3400</v>
      </c>
      <c r="D795" t="s">
        <v>1</v>
      </c>
      <c r="F795" t="s">
        <v>9</v>
      </c>
      <c r="G795" s="3">
        <v>8099640502</v>
      </c>
      <c r="H795" s="2">
        <v>46126</v>
      </c>
      <c r="K795" s="1">
        <f ca="1">IF(A795="","",IF(OR(L795="ENTREGADA",L795="RETORNADA",L795="ENTREGA DIGITAL"),0,MAX(0,5-NETWORKDAYS(H795+1,TODAY()))))</f>
        <v>0</v>
      </c>
      <c r="L795" t="str">
        <f>IF(A795="","",IFERROR(LOOKUP(2,1/(#REF!=Z795),#REF!),Y795))</f>
        <v>RETORNADA</v>
      </c>
      <c r="Y795" t="s">
        <v>1857</v>
      </c>
      <c r="Z795" t="str">
        <f>IF(A795="","",TEXT(A795,"0")&amp;"|"&amp;TEXT(H795,"0"))</f>
        <v>5415017816697200|46126</v>
      </c>
      <c r="AA795" t="str">
        <f>IF(Z795="","",IFERROR(LOOKUP(2,1/(#REF!=Z795),#REF!),""))</f>
        <v/>
      </c>
      <c r="AB795" t="str">
        <f>IF(Z795="","",IFERROR(LOOKUP(2,1/(#REF!=Z795),#REF!),""))</f>
        <v/>
      </c>
      <c r="AC795" t="e">
        <f>IF(Z795="","",COUNTIF(#REF!,Z795))</f>
        <v>#REF!</v>
      </c>
      <c r="AD795" t="e">
        <f>IF(A795="","",IF(AC795&gt;1,"REVISAR DUPLICADO",IF(AA795&lt;&gt;"","ACTUALIZADO POR EYR","SIN REPORTE EYR")))</f>
        <v>#REF!</v>
      </c>
    </row>
    <row r="796" spans="1:30" x14ac:dyDescent="0.3">
      <c r="A796" s="5" t="s">
        <v>3399</v>
      </c>
      <c r="B796" t="s">
        <v>3398</v>
      </c>
      <c r="C796" s="4" t="s">
        <v>3397</v>
      </c>
      <c r="D796" t="s">
        <v>1</v>
      </c>
      <c r="E796" t="s">
        <v>21</v>
      </c>
      <c r="F796" t="s">
        <v>62</v>
      </c>
      <c r="G796" s="3">
        <v>8094073763</v>
      </c>
      <c r="H796" s="2">
        <v>46126</v>
      </c>
      <c r="K796" s="1">
        <f ca="1">IF(A796="","",IF(OR(L796="ENTREGADA",L796="RETORNADA",L796="ENTREGA DIGITAL"),0,MAX(0,5-NETWORKDAYS(H796+1,TODAY()))))</f>
        <v>0</v>
      </c>
      <c r="L796" t="str">
        <f>IF(A796="","",IFERROR(LOOKUP(2,1/(#REF!=Z796),#REF!),Y796))</f>
        <v>RETORNADA</v>
      </c>
      <c r="Y796" t="s">
        <v>1857</v>
      </c>
      <c r="Z796" t="str">
        <f>IF(A796="","",TEXT(A796,"0")&amp;"|"&amp;TEXT(H796,"0"))</f>
        <v>5227017818637180|46126</v>
      </c>
      <c r="AA796" t="str">
        <f>IF(Z796="","",IFERROR(LOOKUP(2,1/(#REF!=Z796),#REF!),""))</f>
        <v/>
      </c>
      <c r="AB796" t="str">
        <f>IF(Z796="","",IFERROR(LOOKUP(2,1/(#REF!=Z796),#REF!),""))</f>
        <v/>
      </c>
      <c r="AC796" t="e">
        <f>IF(Z796="","",COUNTIF(#REF!,Z796))</f>
        <v>#REF!</v>
      </c>
      <c r="AD796" t="e">
        <f>IF(A796="","",IF(AC796&gt;1,"REVISAR DUPLICADO",IF(AA796&lt;&gt;"","ACTUALIZADO POR EYR","SIN REPORTE EYR")))</f>
        <v>#REF!</v>
      </c>
    </row>
    <row r="797" spans="1:30" x14ac:dyDescent="0.3">
      <c r="A797" s="5" t="s">
        <v>663</v>
      </c>
      <c r="B797" t="s">
        <v>662</v>
      </c>
      <c r="C797" s="4" t="s">
        <v>661</v>
      </c>
      <c r="D797" t="s">
        <v>21</v>
      </c>
      <c r="F797" t="s">
        <v>3396</v>
      </c>
      <c r="G797" s="3">
        <v>8298262842</v>
      </c>
      <c r="H797" s="2">
        <v>46127</v>
      </c>
      <c r="K797" s="1">
        <f ca="1">IF(A797="","",IF(OR(L797="ENTREGADA",L797="RETORNADA",L797="ENTREGA DIGITAL"),0,MAX(0,5-NETWORKDAYS(H797+1,TODAY()))))</f>
        <v>0</v>
      </c>
      <c r="L797" t="str">
        <f>IF(A797="","",IFERROR(LOOKUP(2,1/(#REF!=Z797),#REF!),Y797))</f>
        <v>RETORNADA</v>
      </c>
      <c r="Y797" t="s">
        <v>1857</v>
      </c>
      <c r="Z797" t="str">
        <f>IF(A797="","",TEXT(A797,"0")&amp;"|"&amp;TEXT(H797,"0"))</f>
        <v>4921017821950240|46127</v>
      </c>
      <c r="AA797" t="str">
        <f>IF(Z797="","",IFERROR(LOOKUP(2,1/(#REF!=Z797),#REF!),""))</f>
        <v/>
      </c>
      <c r="AB797" t="str">
        <f>IF(Z797="","",IFERROR(LOOKUP(2,1/(#REF!=Z797),#REF!),""))</f>
        <v/>
      </c>
      <c r="AC797" t="e">
        <f>IF(Z797="","",COUNTIF(#REF!,Z797))</f>
        <v>#REF!</v>
      </c>
      <c r="AD797" t="e">
        <f>IF(A797="","",IF(AC797&gt;1,"REVISAR DUPLICADO",IF(AA797&lt;&gt;"","ACTUALIZADO POR EYR","SIN REPORTE EYR")))</f>
        <v>#REF!</v>
      </c>
    </row>
    <row r="798" spans="1:30" x14ac:dyDescent="0.3">
      <c r="A798" s="5" t="s">
        <v>3395</v>
      </c>
      <c r="B798" t="s">
        <v>3394</v>
      </c>
      <c r="C798" s="4" t="s">
        <v>3393</v>
      </c>
      <c r="D798" t="s">
        <v>21</v>
      </c>
      <c r="F798" t="s">
        <v>0</v>
      </c>
      <c r="G798" s="3">
        <v>8094235891</v>
      </c>
      <c r="H798" s="2">
        <v>46127</v>
      </c>
      <c r="K798" s="1">
        <f ca="1">IF(A798="","",IF(OR(L798="ENTREGADA",L798="RETORNADA",L798="ENTREGA DIGITAL"),0,MAX(0,5-NETWORKDAYS(H798+1,TODAY()))))</f>
        <v>0</v>
      </c>
      <c r="L798" t="str">
        <f>IF(A798="","",IFERROR(LOOKUP(2,1/(#REF!=Z798),#REF!),Y798))</f>
        <v>ENTREGA DIGITAL</v>
      </c>
      <c r="Y798" t="s">
        <v>1396</v>
      </c>
      <c r="Z798" t="str">
        <f>IF(A798="","",TEXT(A798,"0")&amp;"|"&amp;TEXT(H798,"0"))</f>
        <v>4921017811860820|46127</v>
      </c>
      <c r="AA798" t="str">
        <f>IF(Z798="","",IFERROR(LOOKUP(2,1/(#REF!=Z798),#REF!),""))</f>
        <v/>
      </c>
      <c r="AB798" t="str">
        <f>IF(Z798="","",IFERROR(LOOKUP(2,1/(#REF!=Z798),#REF!),""))</f>
        <v/>
      </c>
      <c r="AC798" t="e">
        <f>IF(Z798="","",COUNTIF(#REF!,Z798))</f>
        <v>#REF!</v>
      </c>
      <c r="AD798" t="e">
        <f>IF(A798="","",IF(AC798&gt;1,"REVISAR DUPLICADO",IF(AA798&lt;&gt;"","ACTUALIZADO POR EYR","SIN REPORTE EYR")))</f>
        <v>#REF!</v>
      </c>
    </row>
    <row r="799" spans="1:30" x14ac:dyDescent="0.3">
      <c r="A799" s="5" t="s">
        <v>3392</v>
      </c>
      <c r="B799" t="s">
        <v>3391</v>
      </c>
      <c r="C799" s="4" t="s">
        <v>3390</v>
      </c>
      <c r="D799" t="s">
        <v>21</v>
      </c>
      <c r="F799" t="s">
        <v>13</v>
      </c>
      <c r="G799" s="3">
        <v>8299837021</v>
      </c>
      <c r="H799" s="2">
        <v>46127</v>
      </c>
      <c r="K799" s="1">
        <f ca="1">IF(A799="","",IF(OR(L799="ENTREGADA",L799="RETORNADA",L799="ENTREGA DIGITAL"),0,MAX(0,5-NETWORKDAYS(H799+1,TODAY()))))</f>
        <v>0</v>
      </c>
      <c r="L799" t="str">
        <f>IF(A799="","",IFERROR(LOOKUP(2,1/(#REF!=Z799),#REF!),Y799))</f>
        <v>ENTREGA DIGITAL</v>
      </c>
      <c r="Y799" t="s">
        <v>1396</v>
      </c>
      <c r="Z799" t="str">
        <f>IF(A799="","",TEXT(A799,"0")&amp;"|"&amp;TEXT(H799,"0"))</f>
        <v>4921017822068490|46127</v>
      </c>
      <c r="AA799" t="str">
        <f>IF(Z799="","",IFERROR(LOOKUP(2,1/(#REF!=Z799),#REF!),""))</f>
        <v/>
      </c>
      <c r="AB799" t="str">
        <f>IF(Z799="","",IFERROR(LOOKUP(2,1/(#REF!=Z799),#REF!),""))</f>
        <v/>
      </c>
      <c r="AC799" t="e">
        <f>IF(Z799="","",COUNTIF(#REF!,Z799))</f>
        <v>#REF!</v>
      </c>
      <c r="AD799" t="e">
        <f>IF(A799="","",IF(AC799&gt;1,"REVISAR DUPLICADO",IF(AA799&lt;&gt;"","ACTUALIZADO POR EYR","SIN REPORTE EYR")))</f>
        <v>#REF!</v>
      </c>
    </row>
    <row r="800" spans="1:30" x14ac:dyDescent="0.3">
      <c r="A800" s="5" t="s">
        <v>3389</v>
      </c>
      <c r="B800" t="s">
        <v>3388</v>
      </c>
      <c r="C800" s="4" t="s">
        <v>3387</v>
      </c>
      <c r="D800" t="s">
        <v>21</v>
      </c>
      <c r="F800" t="s">
        <v>13</v>
      </c>
      <c r="G800" s="3">
        <v>8293135652</v>
      </c>
      <c r="H800" s="2">
        <v>46127</v>
      </c>
      <c r="K800" s="1">
        <f ca="1">IF(A800="","",IF(OR(L800="ENTREGADA",L800="RETORNADA",L800="ENTREGA DIGITAL"),0,MAX(0,5-NETWORKDAYS(H800+1,TODAY()))))</f>
        <v>0</v>
      </c>
      <c r="L800" t="str">
        <f>IF(A800="","",IFERROR(LOOKUP(2,1/(#REF!=Z800),#REF!),Y800))</f>
        <v>ENTREGA DIGITAL</v>
      </c>
      <c r="Y800" t="s">
        <v>1396</v>
      </c>
      <c r="Z800" t="str">
        <f>IF(A800="","",TEXT(A800,"0")&amp;"|"&amp;TEXT(H800,"0"))</f>
        <v>4921017822510770|46127</v>
      </c>
      <c r="AA800" t="str">
        <f>IF(Z800="","",IFERROR(LOOKUP(2,1/(#REF!=Z800),#REF!),""))</f>
        <v/>
      </c>
      <c r="AB800" t="str">
        <f>IF(Z800="","",IFERROR(LOOKUP(2,1/(#REF!=Z800),#REF!),""))</f>
        <v/>
      </c>
      <c r="AC800" t="e">
        <f>IF(Z800="","",COUNTIF(#REF!,Z800))</f>
        <v>#REF!</v>
      </c>
      <c r="AD800" t="e">
        <f>IF(A800="","",IF(AC800&gt;1,"REVISAR DUPLICADO",IF(AA800&lt;&gt;"","ACTUALIZADO POR EYR","SIN REPORTE EYR")))</f>
        <v>#REF!</v>
      </c>
    </row>
    <row r="801" spans="1:30" x14ac:dyDescent="0.3">
      <c r="A801" s="5" t="s">
        <v>3386</v>
      </c>
      <c r="B801" t="s">
        <v>3385</v>
      </c>
      <c r="C801" s="4" t="s">
        <v>3384</v>
      </c>
      <c r="D801" t="s">
        <v>21</v>
      </c>
      <c r="F801" t="s">
        <v>3383</v>
      </c>
      <c r="G801" s="3">
        <v>8494568990</v>
      </c>
      <c r="H801" s="2">
        <v>46127</v>
      </c>
      <c r="I801" t="s">
        <v>1397</v>
      </c>
      <c r="K801" s="1">
        <f ca="1">IF(A801="","",IF(OR(L801="ENTREGADA",L801="RETORNADA",L801="ENTREGA DIGITAL"),0,MAX(0,5-NETWORKDAYS(H801+1,TODAY()))))</f>
        <v>0</v>
      </c>
      <c r="L801" t="str">
        <f>IF(A801="","",IFERROR(LOOKUP(2,1/(#REF!=Z801),#REF!),Y801))</f>
        <v>ENTREGADA</v>
      </c>
      <c r="Y801" t="s">
        <v>1956</v>
      </c>
      <c r="Z801" t="str">
        <f>IF(A801="","",TEXT(A801,"0")&amp;"|"&amp;TEXT(H801,"0"))</f>
        <v>5400017744218000|46127</v>
      </c>
      <c r="AA801" t="str">
        <f>IF(Z801="","",IFERROR(LOOKUP(2,1/(#REF!=Z801),#REF!),""))</f>
        <v/>
      </c>
      <c r="AB801" t="str">
        <f>IF(Z801="","",IFERROR(LOOKUP(2,1/(#REF!=Z801),#REF!),""))</f>
        <v/>
      </c>
      <c r="AC801" t="e">
        <f>IF(Z801="","",COUNTIF(#REF!,Z801))</f>
        <v>#REF!</v>
      </c>
      <c r="AD801" t="e">
        <f>IF(A801="","",IF(AC801&gt;1,"REVISAR DUPLICADO",IF(AA801&lt;&gt;"","ACTUALIZADO POR EYR","SIN REPORTE EYR")))</f>
        <v>#REF!</v>
      </c>
    </row>
    <row r="802" spans="1:30" x14ac:dyDescent="0.3">
      <c r="A802" s="5" t="s">
        <v>3382</v>
      </c>
      <c r="B802" t="s">
        <v>3381</v>
      </c>
      <c r="C802" s="4" t="s">
        <v>3380</v>
      </c>
      <c r="D802" t="s">
        <v>21</v>
      </c>
      <c r="F802" t="s">
        <v>3379</v>
      </c>
      <c r="G802" s="3">
        <v>8294248424</v>
      </c>
      <c r="H802" s="2">
        <v>46127</v>
      </c>
      <c r="K802" s="1">
        <f ca="1">IF(A802="","",IF(OR(L802="ENTREGADA",L802="RETORNADA",L802="ENTREGA DIGITAL"),0,MAX(0,5-NETWORKDAYS(H802+1,TODAY()))))</f>
        <v>0</v>
      </c>
      <c r="L802" t="str">
        <f>IF(A802="","",IFERROR(LOOKUP(2,1/(#REF!=Z802),#REF!),Y802))</f>
        <v>ENTREGA DIGITAL</v>
      </c>
      <c r="Y802" t="s">
        <v>1396</v>
      </c>
      <c r="Z802" t="str">
        <f>IF(A802="","",TEXT(A802,"0")&amp;"|"&amp;TEXT(H802,"0"))</f>
        <v>5415017759321680|46127</v>
      </c>
      <c r="AA802" t="str">
        <f>IF(Z802="","",IFERROR(LOOKUP(2,1/(#REF!=Z802),#REF!),""))</f>
        <v/>
      </c>
      <c r="AB802" t="str">
        <f>IF(Z802="","",IFERROR(LOOKUP(2,1/(#REF!=Z802),#REF!),""))</f>
        <v/>
      </c>
      <c r="AC802" t="e">
        <f>IF(Z802="","",COUNTIF(#REF!,Z802))</f>
        <v>#REF!</v>
      </c>
      <c r="AD802" t="e">
        <f>IF(A802="","",IF(AC802&gt;1,"REVISAR DUPLICADO",IF(AA802&lt;&gt;"","ACTUALIZADO POR EYR","SIN REPORTE EYR")))</f>
        <v>#REF!</v>
      </c>
    </row>
    <row r="803" spans="1:30" x14ac:dyDescent="0.3">
      <c r="A803" s="5" t="s">
        <v>3378</v>
      </c>
      <c r="B803" t="s">
        <v>3377</v>
      </c>
      <c r="C803" s="4" t="s">
        <v>3376</v>
      </c>
      <c r="D803" t="s">
        <v>21</v>
      </c>
      <c r="F803" t="s">
        <v>13</v>
      </c>
      <c r="G803" s="3">
        <v>8295787697</v>
      </c>
      <c r="H803" s="2">
        <v>46127</v>
      </c>
      <c r="K803" s="1">
        <f ca="1">IF(A803="","",IF(OR(L803="ENTREGADA",L803="RETORNADA",L803="ENTREGA DIGITAL"),0,MAX(0,5-NETWORKDAYS(H803+1,TODAY()))))</f>
        <v>0</v>
      </c>
      <c r="L803" t="str">
        <f>IF(A803="","",IFERROR(LOOKUP(2,1/(#REF!=Z803),#REF!),Y803))</f>
        <v>ENTREGA DIGITAL</v>
      </c>
      <c r="Y803" t="s">
        <v>1396</v>
      </c>
      <c r="Z803" t="str">
        <f>IF(A803="","",TEXT(A803,"0")&amp;"|"&amp;TEXT(H803,"0"))</f>
        <v>5415017816983610|46127</v>
      </c>
      <c r="AA803" t="str">
        <f>IF(Z803="","",IFERROR(LOOKUP(2,1/(#REF!=Z803),#REF!),""))</f>
        <v/>
      </c>
      <c r="AB803" t="str">
        <f>IF(Z803="","",IFERROR(LOOKUP(2,1/(#REF!=Z803),#REF!),""))</f>
        <v/>
      </c>
      <c r="AC803" t="e">
        <f>IF(Z803="","",COUNTIF(#REF!,Z803))</f>
        <v>#REF!</v>
      </c>
      <c r="AD803" t="e">
        <f>IF(A803="","",IF(AC803&gt;1,"REVISAR DUPLICADO",IF(AA803&lt;&gt;"","ACTUALIZADO POR EYR","SIN REPORTE EYR")))</f>
        <v>#REF!</v>
      </c>
    </row>
    <row r="804" spans="1:30" x14ac:dyDescent="0.3">
      <c r="A804" s="5" t="s">
        <v>3375</v>
      </c>
      <c r="B804" t="s">
        <v>3374</v>
      </c>
      <c r="C804" s="4" t="s">
        <v>3373</v>
      </c>
      <c r="D804" t="s">
        <v>21</v>
      </c>
      <c r="F804" t="s">
        <v>13</v>
      </c>
      <c r="G804" s="3">
        <v>4804343842</v>
      </c>
      <c r="H804" s="2">
        <v>46127</v>
      </c>
      <c r="K804" s="1">
        <f ca="1">IF(A804="","",IF(OR(L804="ENTREGADA",L804="RETORNADA",L804="ENTREGA DIGITAL"),0,MAX(0,5-NETWORKDAYS(H804+1,TODAY()))))</f>
        <v>0</v>
      </c>
      <c r="L804" t="str">
        <f>IF(A804="","",IFERROR(LOOKUP(2,1/(#REF!=Z804),#REF!),Y804))</f>
        <v>ENTREGA DIGITAL</v>
      </c>
      <c r="Y804" t="s">
        <v>1396</v>
      </c>
      <c r="Z804" t="str">
        <f>IF(A804="","",TEXT(A804,"0")&amp;"|"&amp;TEXT(H804,"0"))</f>
        <v>5523017817207620|46127</v>
      </c>
      <c r="AA804" t="str">
        <f>IF(Z804="","",IFERROR(LOOKUP(2,1/(#REF!=Z804),#REF!),""))</f>
        <v/>
      </c>
      <c r="AB804" t="str">
        <f>IF(Z804="","",IFERROR(LOOKUP(2,1/(#REF!=Z804),#REF!),""))</f>
        <v/>
      </c>
      <c r="AC804" t="e">
        <f>IF(Z804="","",COUNTIF(#REF!,Z804))</f>
        <v>#REF!</v>
      </c>
      <c r="AD804" t="e">
        <f>IF(A804="","",IF(AC804&gt;1,"REVISAR DUPLICADO",IF(AA804&lt;&gt;"","ACTUALIZADO POR EYR","SIN REPORTE EYR")))</f>
        <v>#REF!</v>
      </c>
    </row>
    <row r="805" spans="1:30" x14ac:dyDescent="0.3">
      <c r="A805" s="5" t="s">
        <v>3372</v>
      </c>
      <c r="B805" t="s">
        <v>3371</v>
      </c>
      <c r="C805" s="4" t="s">
        <v>3370</v>
      </c>
      <c r="D805" t="s">
        <v>21</v>
      </c>
      <c r="F805" t="s">
        <v>13</v>
      </c>
      <c r="G805" s="3">
        <v>8092465920</v>
      </c>
      <c r="H805" s="2">
        <v>46127</v>
      </c>
      <c r="K805" s="1">
        <f ca="1">IF(A805="","",IF(OR(L805="ENTREGADA",L805="RETORNADA",L805="ENTREGA DIGITAL"),0,MAX(0,5-NETWORKDAYS(H805+1,TODAY()))))</f>
        <v>0</v>
      </c>
      <c r="L805" t="str">
        <f>IF(A805="","",IFERROR(LOOKUP(2,1/(#REF!=Z805),#REF!),Y805))</f>
        <v>RETORNADA</v>
      </c>
      <c r="Y805" t="s">
        <v>1857</v>
      </c>
      <c r="Z805" t="str">
        <f>IF(A805="","",TEXT(A805,"0")&amp;"|"&amp;TEXT(H805,"0"))</f>
        <v>5523017817130510|46127</v>
      </c>
      <c r="AA805" t="str">
        <f>IF(Z805="","",IFERROR(LOOKUP(2,1/(#REF!=Z805),#REF!),""))</f>
        <v/>
      </c>
      <c r="AB805" t="str">
        <f>IF(Z805="","",IFERROR(LOOKUP(2,1/(#REF!=Z805),#REF!),""))</f>
        <v/>
      </c>
      <c r="AC805" t="e">
        <f>IF(Z805="","",COUNTIF(#REF!,Z805))</f>
        <v>#REF!</v>
      </c>
      <c r="AD805" t="e">
        <f>IF(A805="","",IF(AC805&gt;1,"REVISAR DUPLICADO",IF(AA805&lt;&gt;"","ACTUALIZADO POR EYR","SIN REPORTE EYR")))</f>
        <v>#REF!</v>
      </c>
    </row>
    <row r="806" spans="1:30" x14ac:dyDescent="0.3">
      <c r="A806" s="5" t="s">
        <v>3369</v>
      </c>
      <c r="B806" t="s">
        <v>3368</v>
      </c>
      <c r="C806" s="4" t="s">
        <v>3367</v>
      </c>
      <c r="D806" t="s">
        <v>21</v>
      </c>
      <c r="F806" t="s">
        <v>3366</v>
      </c>
      <c r="G806" s="3">
        <v>8092703604</v>
      </c>
      <c r="H806" s="2">
        <v>46127</v>
      </c>
      <c r="K806" s="1">
        <f ca="1">IF(A806="","",IF(OR(L806="ENTREGADA",L806="RETORNADA",L806="ENTREGA DIGITAL"),0,MAX(0,5-NETWORKDAYS(H806+1,TODAY()))))</f>
        <v>0</v>
      </c>
      <c r="L806">
        <f>IF(A806="","",IFERROR(LOOKUP(2,1/(#REF!=Z806),#REF!),Y806))</f>
        <v>0</v>
      </c>
      <c r="Z806" t="str">
        <f>IF(A806="","",TEXT(A806,"0")&amp;"|"&amp;TEXT(H806,"0"))</f>
        <v>5415017824645890|46127</v>
      </c>
      <c r="AA806" t="str">
        <f>IF(Z806="","",IFERROR(LOOKUP(2,1/(#REF!=Z806),#REF!),""))</f>
        <v/>
      </c>
      <c r="AB806" t="str">
        <f>IF(Z806="","",IFERROR(LOOKUP(2,1/(#REF!=Z806),#REF!),""))</f>
        <v/>
      </c>
      <c r="AC806" t="e">
        <f>IF(Z806="","",COUNTIF(#REF!,Z806))</f>
        <v>#REF!</v>
      </c>
      <c r="AD806" t="e">
        <f>IF(A806="","",IF(AC806&gt;1,"REVISAR DUPLICADO",IF(AA806&lt;&gt;"","ACTUALIZADO POR EYR","SIN REPORTE EYR")))</f>
        <v>#REF!</v>
      </c>
    </row>
    <row r="807" spans="1:30" x14ac:dyDescent="0.3">
      <c r="A807" s="5" t="s">
        <v>3365</v>
      </c>
      <c r="B807" t="s">
        <v>3364</v>
      </c>
      <c r="C807" s="4" t="s">
        <v>3363</v>
      </c>
      <c r="D807" t="s">
        <v>21</v>
      </c>
      <c r="F807" t="s">
        <v>3362</v>
      </c>
      <c r="G807" s="3">
        <v>8492107501</v>
      </c>
      <c r="H807" s="2">
        <v>46127</v>
      </c>
      <c r="K807" s="1">
        <f ca="1">IF(A807="","",IF(OR(L807="ENTREGADA",L807="RETORNADA",L807="ENTREGA DIGITAL"),0,MAX(0,5-NETWORKDAYS(H807+1,TODAY()))))</f>
        <v>0</v>
      </c>
      <c r="L807" t="str">
        <f>IF(A807="","",IFERROR(LOOKUP(2,1/(#REF!=Z807),#REF!),Y807))</f>
        <v>ENTREGA DIGITAL</v>
      </c>
      <c r="Y807" t="s">
        <v>1396</v>
      </c>
      <c r="Z807" t="str">
        <f>IF(A807="","",TEXT(A807,"0")&amp;"|"&amp;TEXT(H807,"0"))</f>
        <v>4921017827235160|46127</v>
      </c>
      <c r="AA807" t="str">
        <f>IF(Z807="","",IFERROR(LOOKUP(2,1/(#REF!=Z807),#REF!),""))</f>
        <v/>
      </c>
      <c r="AB807" t="str">
        <f>IF(Z807="","",IFERROR(LOOKUP(2,1/(#REF!=Z807),#REF!),""))</f>
        <v/>
      </c>
      <c r="AC807" t="e">
        <f>IF(Z807="","",COUNTIF(#REF!,Z807))</f>
        <v>#REF!</v>
      </c>
      <c r="AD807" t="e">
        <f>IF(A807="","",IF(AC807&gt;1,"REVISAR DUPLICADO",IF(AA807&lt;&gt;"","ACTUALIZADO POR EYR","SIN REPORTE EYR")))</f>
        <v>#REF!</v>
      </c>
    </row>
    <row r="808" spans="1:30" x14ac:dyDescent="0.3">
      <c r="A808" s="5" t="s">
        <v>1460</v>
      </c>
      <c r="B808" t="s">
        <v>1459</v>
      </c>
      <c r="C808" s="4" t="s">
        <v>1458</v>
      </c>
      <c r="D808" t="s">
        <v>21</v>
      </c>
      <c r="F808" t="s">
        <v>3361</v>
      </c>
      <c r="G808" s="3">
        <v>8298769618</v>
      </c>
      <c r="H808" s="2">
        <v>46127</v>
      </c>
      <c r="K808" s="1">
        <f ca="1">IF(A808="","",IF(OR(L808="ENTREGADA",L808="RETORNADA",L808="ENTREGA DIGITAL"),0,MAX(0,5-NETWORKDAYS(H808+1,TODAY()))))</f>
        <v>0</v>
      </c>
      <c r="L808" t="str">
        <f>IF(A808="","",IFERROR(LOOKUP(2,1/(#REF!=Z808),#REF!),Y808))</f>
        <v>RETORNADA</v>
      </c>
      <c r="Y808" t="s">
        <v>1857</v>
      </c>
      <c r="Z808" t="str">
        <f>IF(A808="","",TEXT(A808,"0")&amp;"|"&amp;TEXT(H808,"0"))</f>
        <v>4921017827182390|46127</v>
      </c>
      <c r="AA808" t="str">
        <f>IF(Z808="","",IFERROR(LOOKUP(2,1/(#REF!=Z808),#REF!),""))</f>
        <v/>
      </c>
      <c r="AB808" t="str">
        <f>IF(Z808="","",IFERROR(LOOKUP(2,1/(#REF!=Z808),#REF!),""))</f>
        <v/>
      </c>
      <c r="AC808" t="e">
        <f>IF(Z808="","",COUNTIF(#REF!,Z808))</f>
        <v>#REF!</v>
      </c>
      <c r="AD808" t="e">
        <f>IF(A808="","",IF(AC808&gt;1,"REVISAR DUPLICADO",IF(AA808&lt;&gt;"","ACTUALIZADO POR EYR","SIN REPORTE EYR")))</f>
        <v>#REF!</v>
      </c>
    </row>
    <row r="809" spans="1:30" x14ac:dyDescent="0.3">
      <c r="A809" s="5" t="s">
        <v>3360</v>
      </c>
      <c r="B809" t="s">
        <v>3359</v>
      </c>
      <c r="C809" s="4" t="s">
        <v>3358</v>
      </c>
      <c r="D809" t="s">
        <v>21</v>
      </c>
      <c r="F809" t="s">
        <v>13</v>
      </c>
      <c r="G809" s="3">
        <v>8299579844</v>
      </c>
      <c r="H809" s="2">
        <v>46127</v>
      </c>
      <c r="K809" s="1">
        <f ca="1">IF(A809="","",IF(OR(L809="ENTREGADA",L809="RETORNADA",L809="ENTREGA DIGITAL"),0,MAX(0,5-NETWORKDAYS(H809+1,TODAY()))))</f>
        <v>0</v>
      </c>
      <c r="L809" t="str">
        <f>IF(A809="","",IFERROR(LOOKUP(2,1/(#REF!=Z809),#REF!),Y809))</f>
        <v>ENTREGA DIGITAL</v>
      </c>
      <c r="Y809" t="s">
        <v>1396</v>
      </c>
      <c r="Z809" t="str">
        <f>IF(A809="","",TEXT(A809,"0")&amp;"|"&amp;TEXT(H809,"0"))</f>
        <v>5427017825122750|46127</v>
      </c>
      <c r="AA809" t="str">
        <f>IF(Z809="","",IFERROR(LOOKUP(2,1/(#REF!=Z809),#REF!),""))</f>
        <v/>
      </c>
      <c r="AB809" t="str">
        <f>IF(Z809="","",IFERROR(LOOKUP(2,1/(#REF!=Z809),#REF!),""))</f>
        <v/>
      </c>
      <c r="AC809" t="e">
        <f>IF(Z809="","",COUNTIF(#REF!,Z809))</f>
        <v>#REF!</v>
      </c>
      <c r="AD809" t="e">
        <f>IF(A809="","",IF(AC809&gt;1,"REVISAR DUPLICADO",IF(AA809&lt;&gt;"","ACTUALIZADO POR EYR","SIN REPORTE EYR")))</f>
        <v>#REF!</v>
      </c>
    </row>
    <row r="810" spans="1:30" x14ac:dyDescent="0.3">
      <c r="A810" s="5" t="s">
        <v>3357</v>
      </c>
      <c r="B810" t="s">
        <v>3356</v>
      </c>
      <c r="C810" s="4" t="s">
        <v>3355</v>
      </c>
      <c r="D810" t="s">
        <v>21</v>
      </c>
      <c r="F810" t="s">
        <v>13</v>
      </c>
      <c r="G810" s="3">
        <v>8298162552</v>
      </c>
      <c r="H810" s="2">
        <v>46127</v>
      </c>
      <c r="K810" s="1">
        <f ca="1">IF(A810="","",IF(OR(L810="ENTREGADA",L810="RETORNADA",L810="ENTREGA DIGITAL"),0,MAX(0,5-NETWORKDAYS(H810+1,TODAY()))))</f>
        <v>0</v>
      </c>
      <c r="L810" t="str">
        <f>IF(A810="","",IFERROR(LOOKUP(2,1/(#REF!=Z810),#REF!),Y810))</f>
        <v>ENTREGA DIGITAL</v>
      </c>
      <c r="Y810" t="s">
        <v>1396</v>
      </c>
      <c r="Z810" t="str">
        <f>IF(A810="","",TEXT(A810,"0")&amp;"|"&amp;TEXT(H810,"0"))</f>
        <v>5188017825164370|46127</v>
      </c>
      <c r="AA810" t="str">
        <f>IF(Z810="","",IFERROR(LOOKUP(2,1/(#REF!=Z810),#REF!),""))</f>
        <v/>
      </c>
      <c r="AB810" t="str">
        <f>IF(Z810="","",IFERROR(LOOKUP(2,1/(#REF!=Z810),#REF!),""))</f>
        <v/>
      </c>
      <c r="AC810" t="e">
        <f>IF(Z810="","",COUNTIF(#REF!,Z810))</f>
        <v>#REF!</v>
      </c>
      <c r="AD810" t="e">
        <f>IF(A810="","",IF(AC810&gt;1,"REVISAR DUPLICADO",IF(AA810&lt;&gt;"","ACTUALIZADO POR EYR","SIN REPORTE EYR")))</f>
        <v>#REF!</v>
      </c>
    </row>
    <row r="811" spans="1:30" x14ac:dyDescent="0.3">
      <c r="A811" s="5" t="s">
        <v>1223</v>
      </c>
      <c r="B811" t="s">
        <v>1222</v>
      </c>
      <c r="C811" s="4" t="s">
        <v>1221</v>
      </c>
      <c r="D811" t="s">
        <v>21</v>
      </c>
      <c r="F811" t="s">
        <v>13</v>
      </c>
      <c r="G811" s="3">
        <v>8095465656</v>
      </c>
      <c r="H811" s="2">
        <v>46127</v>
      </c>
      <c r="K811" s="1">
        <f ca="1">IF(A811="","",IF(OR(L811="ENTREGADA",L811="RETORNADA",L811="ENTREGA DIGITAL"),0,MAX(0,5-NETWORKDAYS(H811+1,TODAY()))))</f>
        <v>0</v>
      </c>
      <c r="L811" t="str">
        <f>IF(A811="","",IFERROR(LOOKUP(2,1/(#REF!=Z811),#REF!),Y811))</f>
        <v>RETORNADA</v>
      </c>
      <c r="Y811" t="s">
        <v>1857</v>
      </c>
      <c r="Z811" t="str">
        <f>IF(A811="","",TEXT(A811,"0")&amp;"|"&amp;TEXT(H811,"0"))</f>
        <v>4921017827282250|46127</v>
      </c>
      <c r="AA811" t="str">
        <f>IF(Z811="","",IFERROR(LOOKUP(2,1/(#REF!=Z811),#REF!),""))</f>
        <v/>
      </c>
      <c r="AB811" t="str">
        <f>IF(Z811="","",IFERROR(LOOKUP(2,1/(#REF!=Z811),#REF!),""))</f>
        <v/>
      </c>
      <c r="AC811" t="e">
        <f>IF(Z811="","",COUNTIF(#REF!,Z811))</f>
        <v>#REF!</v>
      </c>
      <c r="AD811" t="e">
        <f>IF(A811="","",IF(AC811&gt;1,"REVISAR DUPLICADO",IF(AA811&lt;&gt;"","ACTUALIZADO POR EYR","SIN REPORTE EYR")))</f>
        <v>#REF!</v>
      </c>
    </row>
    <row r="812" spans="1:30" x14ac:dyDescent="0.3">
      <c r="A812" s="5" t="s">
        <v>3354</v>
      </c>
      <c r="B812" t="s">
        <v>3353</v>
      </c>
      <c r="C812" s="4" t="s">
        <v>3352</v>
      </c>
      <c r="D812" t="s">
        <v>21</v>
      </c>
      <c r="F812" t="s">
        <v>13</v>
      </c>
      <c r="G812" s="3">
        <v>8097740994</v>
      </c>
      <c r="H812" s="2">
        <v>46127</v>
      </c>
      <c r="K812" s="1">
        <f ca="1">IF(A812="","",IF(OR(L812="ENTREGADA",L812="RETORNADA",L812="ENTREGA DIGITAL"),0,MAX(0,5-NETWORKDAYS(H812+1,TODAY()))))</f>
        <v>0</v>
      </c>
      <c r="L812" t="str">
        <f>IF(A812="","",IFERROR(LOOKUP(2,1/(#REF!=Z812),#REF!),Y812))</f>
        <v>RETORNADA</v>
      </c>
      <c r="Y812" t="s">
        <v>1857</v>
      </c>
      <c r="Z812" t="str">
        <f>IF(A812="","",TEXT(A812,"0")&amp;"|"&amp;TEXT(H812,"0"))</f>
        <v>4921017826407580|46127</v>
      </c>
      <c r="AA812" t="str">
        <f>IF(Z812="","",IFERROR(LOOKUP(2,1/(#REF!=Z812),#REF!),""))</f>
        <v/>
      </c>
      <c r="AB812" t="str">
        <f>IF(Z812="","",IFERROR(LOOKUP(2,1/(#REF!=Z812),#REF!),""))</f>
        <v/>
      </c>
      <c r="AC812" t="e">
        <f>IF(Z812="","",COUNTIF(#REF!,Z812))</f>
        <v>#REF!</v>
      </c>
      <c r="AD812" t="e">
        <f>IF(A812="","",IF(AC812&gt;1,"REVISAR DUPLICADO",IF(AA812&lt;&gt;"","ACTUALIZADO POR EYR","SIN REPORTE EYR")))</f>
        <v>#REF!</v>
      </c>
    </row>
    <row r="813" spans="1:30" x14ac:dyDescent="0.3">
      <c r="A813" s="5" t="s">
        <v>3351</v>
      </c>
      <c r="B813" t="s">
        <v>3350</v>
      </c>
      <c r="C813" s="4" t="s">
        <v>3349</v>
      </c>
      <c r="D813" t="s">
        <v>21</v>
      </c>
      <c r="F813" t="s">
        <v>13</v>
      </c>
      <c r="G813" s="3">
        <v>8099721984</v>
      </c>
      <c r="H813" s="2">
        <v>46127</v>
      </c>
      <c r="K813" s="1">
        <f ca="1">IF(A813="","",IF(OR(L813="ENTREGADA",L813="RETORNADA",L813="ENTREGA DIGITAL"),0,MAX(0,5-NETWORKDAYS(H813+1,TODAY()))))</f>
        <v>0</v>
      </c>
      <c r="L813" t="str">
        <f>IF(A813="","",IFERROR(LOOKUP(2,1/(#REF!=Z813),#REF!),Y813))</f>
        <v>RETORNADA</v>
      </c>
      <c r="Y813" t="s">
        <v>1857</v>
      </c>
      <c r="Z813" t="str">
        <f>IF(A813="","",TEXT(A813,"0")&amp;"|"&amp;TEXT(H813,"0"))</f>
        <v>4025017827810730|46127</v>
      </c>
      <c r="AA813" t="str">
        <f>IF(Z813="","",IFERROR(LOOKUP(2,1/(#REF!=Z813),#REF!),""))</f>
        <v/>
      </c>
      <c r="AB813" t="str">
        <f>IF(Z813="","",IFERROR(LOOKUP(2,1/(#REF!=Z813),#REF!),""))</f>
        <v/>
      </c>
      <c r="AC813" t="e">
        <f>IF(Z813="","",COUNTIF(#REF!,Z813))</f>
        <v>#REF!</v>
      </c>
      <c r="AD813" t="e">
        <f>IF(A813="","",IF(AC813&gt;1,"REVISAR DUPLICADO",IF(AA813&lt;&gt;"","ACTUALIZADO POR EYR","SIN REPORTE EYR")))</f>
        <v>#REF!</v>
      </c>
    </row>
    <row r="814" spans="1:30" x14ac:dyDescent="0.3">
      <c r="A814" s="5" t="s">
        <v>3348</v>
      </c>
      <c r="B814" t="s">
        <v>3347</v>
      </c>
      <c r="C814" s="4" t="s">
        <v>3346</v>
      </c>
      <c r="D814" t="s">
        <v>21</v>
      </c>
      <c r="F814" t="s">
        <v>3345</v>
      </c>
      <c r="G814" s="3">
        <v>8296677922</v>
      </c>
      <c r="H814" s="2">
        <v>46127</v>
      </c>
      <c r="K814" s="1">
        <f ca="1">IF(A814="","",IF(OR(L814="ENTREGADA",L814="RETORNADA",L814="ENTREGA DIGITAL"),0,MAX(0,5-NETWORKDAYS(H814+1,TODAY()))))</f>
        <v>0</v>
      </c>
      <c r="L814" t="str">
        <f>IF(A814="","",IFERROR(LOOKUP(2,1/(#REF!=Z814),#REF!),Y814))</f>
        <v>ENTREGA DIGITAL</v>
      </c>
      <c r="Y814" t="s">
        <v>1396</v>
      </c>
      <c r="Z814" t="str">
        <f>IF(A814="","",TEXT(A814,"0")&amp;"|"&amp;TEXT(H814,"0"))</f>
        <v>4921017825799620|46127</v>
      </c>
      <c r="AA814" t="str">
        <f>IF(Z814="","",IFERROR(LOOKUP(2,1/(#REF!=Z814),#REF!),""))</f>
        <v/>
      </c>
      <c r="AB814" t="str">
        <f>IF(Z814="","",IFERROR(LOOKUP(2,1/(#REF!=Z814),#REF!),""))</f>
        <v/>
      </c>
      <c r="AC814" t="e">
        <f>IF(Z814="","",COUNTIF(#REF!,Z814))</f>
        <v>#REF!</v>
      </c>
      <c r="AD814" t="e">
        <f>IF(A814="","",IF(AC814&gt;1,"REVISAR DUPLICADO",IF(AA814&lt;&gt;"","ACTUALIZADO POR EYR","SIN REPORTE EYR")))</f>
        <v>#REF!</v>
      </c>
    </row>
    <row r="815" spans="1:30" x14ac:dyDescent="0.3">
      <c r="A815" s="5" t="s">
        <v>3344</v>
      </c>
      <c r="B815" t="s">
        <v>3343</v>
      </c>
      <c r="C815" s="4" t="s">
        <v>3342</v>
      </c>
      <c r="D815" t="s">
        <v>21</v>
      </c>
      <c r="E815" t="s">
        <v>21</v>
      </c>
      <c r="F815" t="s">
        <v>62</v>
      </c>
      <c r="G815" s="3">
        <v>8292309420</v>
      </c>
      <c r="H815" s="2">
        <v>46127</v>
      </c>
      <c r="K815" s="1">
        <f ca="1">IF(A815="","",IF(OR(L815="ENTREGADA",L815="RETORNADA",L815="ENTREGA DIGITAL"),0,MAX(0,5-NETWORKDAYS(H815+1,TODAY()))))</f>
        <v>0</v>
      </c>
      <c r="L815" t="str">
        <f>IF(A815="","",IFERROR(LOOKUP(2,1/(#REF!=Z815),#REF!),Y815))</f>
        <v>ENTREGA DIGITAL</v>
      </c>
      <c r="Y815" t="s">
        <v>1396</v>
      </c>
      <c r="Z815" t="str">
        <f>IF(A815="","",TEXT(A815,"0")&amp;"|"&amp;TEXT(H815,"0"))</f>
        <v>4921017825565630|46127</v>
      </c>
      <c r="AA815" t="str">
        <f>IF(Z815="","",IFERROR(LOOKUP(2,1/(#REF!=Z815),#REF!),""))</f>
        <v/>
      </c>
      <c r="AB815" t="str">
        <f>IF(Z815="","",IFERROR(LOOKUP(2,1/(#REF!=Z815),#REF!),""))</f>
        <v/>
      </c>
      <c r="AC815" t="e">
        <f>IF(Z815="","",COUNTIF(#REF!,Z815))</f>
        <v>#REF!</v>
      </c>
      <c r="AD815" t="e">
        <f>IF(A815="","",IF(AC815&gt;1,"REVISAR DUPLICADO",IF(AA815&lt;&gt;"","ACTUALIZADO POR EYR","SIN REPORTE EYR")))</f>
        <v>#REF!</v>
      </c>
    </row>
    <row r="816" spans="1:30" x14ac:dyDescent="0.3">
      <c r="A816" s="5" t="s">
        <v>3341</v>
      </c>
      <c r="B816" t="s">
        <v>3340</v>
      </c>
      <c r="C816" s="4" t="s">
        <v>3339</v>
      </c>
      <c r="D816" t="s">
        <v>77</v>
      </c>
      <c r="F816" t="s">
        <v>0</v>
      </c>
      <c r="G816" s="3">
        <v>8098391430</v>
      </c>
      <c r="H816" s="2">
        <v>46127</v>
      </c>
      <c r="K816" s="1">
        <f ca="1">IF(A816="","",IF(OR(L816="ENTREGADA",L816="RETORNADA",L816="ENTREGA DIGITAL"),0,MAX(0,5-NETWORKDAYS(H816+1,TODAY()))))</f>
        <v>0</v>
      </c>
      <c r="L816" t="str">
        <f>IF(A816="","",IFERROR(LOOKUP(2,1/(#REF!=Z816),#REF!),Y816))</f>
        <v>RETORNADA</v>
      </c>
      <c r="Y816" t="s">
        <v>1857</v>
      </c>
      <c r="Z816" t="str">
        <f>IF(A816="","",TEXT(A816,"0")&amp;"|"&amp;TEXT(H816,"0"))</f>
        <v>5427017759476830|46127</v>
      </c>
      <c r="AA816" t="str">
        <f>IF(Z816="","",IFERROR(LOOKUP(2,1/(#REF!=Z816),#REF!),""))</f>
        <v/>
      </c>
      <c r="AB816" t="str">
        <f>IF(Z816="","",IFERROR(LOOKUP(2,1/(#REF!=Z816),#REF!),""))</f>
        <v/>
      </c>
      <c r="AC816" t="e">
        <f>IF(Z816="","",COUNTIF(#REF!,Z816))</f>
        <v>#REF!</v>
      </c>
      <c r="AD816" t="e">
        <f>IF(A816="","",IF(AC816&gt;1,"REVISAR DUPLICADO",IF(AA816&lt;&gt;"","ACTUALIZADO POR EYR","SIN REPORTE EYR")))</f>
        <v>#REF!</v>
      </c>
    </row>
    <row r="817" spans="1:30" x14ac:dyDescent="0.3">
      <c r="A817" s="5" t="s">
        <v>3338</v>
      </c>
      <c r="B817" t="s">
        <v>3337</v>
      </c>
      <c r="C817" s="4" t="s">
        <v>3336</v>
      </c>
      <c r="D817" t="s">
        <v>77</v>
      </c>
      <c r="F817" t="s">
        <v>3335</v>
      </c>
      <c r="G817" s="3">
        <v>8295870827</v>
      </c>
      <c r="H817" s="2">
        <v>46127</v>
      </c>
      <c r="I817" t="s">
        <v>1397</v>
      </c>
      <c r="K817" s="1">
        <f ca="1">IF(A817="","",IF(OR(L817="ENTREGADA",L817="RETORNADA",L817="ENTREGA DIGITAL"),0,MAX(0,5-NETWORKDAYS(H817+1,TODAY()))))</f>
        <v>0</v>
      </c>
      <c r="L817" t="str">
        <f>IF(A817="","",IFERROR(LOOKUP(2,1/(#REF!=Z817),#REF!),Y817))</f>
        <v>ENTREGA DIGITAL</v>
      </c>
      <c r="Y817" t="s">
        <v>1396</v>
      </c>
      <c r="Z817" t="str">
        <f>IF(A817="","",TEXT(A817,"0")&amp;"|"&amp;TEXT(H817,"0"))</f>
        <v>5415017554401340|46127</v>
      </c>
      <c r="AA817" t="str">
        <f>IF(Z817="","",IFERROR(LOOKUP(2,1/(#REF!=Z817),#REF!),""))</f>
        <v/>
      </c>
      <c r="AB817" t="str">
        <f>IF(Z817="","",IFERROR(LOOKUP(2,1/(#REF!=Z817),#REF!),""))</f>
        <v/>
      </c>
      <c r="AC817" t="e">
        <f>IF(Z817="","",COUNTIF(#REF!,Z817))</f>
        <v>#REF!</v>
      </c>
      <c r="AD817" t="e">
        <f>IF(A817="","",IF(AC817&gt;1,"REVISAR DUPLICADO",IF(AA817&lt;&gt;"","ACTUALIZADO POR EYR","SIN REPORTE EYR")))</f>
        <v>#REF!</v>
      </c>
    </row>
    <row r="818" spans="1:30" x14ac:dyDescent="0.3">
      <c r="A818" s="5" t="s">
        <v>3334</v>
      </c>
      <c r="B818" t="s">
        <v>3333</v>
      </c>
      <c r="C818" s="4" t="s">
        <v>3332</v>
      </c>
      <c r="D818" t="s">
        <v>77</v>
      </c>
      <c r="F818" t="s">
        <v>13</v>
      </c>
      <c r="G818" s="3">
        <v>8498699828</v>
      </c>
      <c r="H818" s="2">
        <v>46127</v>
      </c>
      <c r="I818" t="s">
        <v>1397</v>
      </c>
      <c r="K818" s="1">
        <f ca="1">IF(A818="","",IF(OR(L818="ENTREGADA",L818="RETORNADA",L818="ENTREGA DIGITAL"),0,MAX(0,5-NETWORKDAYS(H818+1,TODAY()))))</f>
        <v>0</v>
      </c>
      <c r="L818" t="str">
        <f>IF(A818="","",IFERROR(LOOKUP(2,1/(#REF!=Z818),#REF!),Y818))</f>
        <v>ENTREGA DIGITAL</v>
      </c>
      <c r="Y818" t="s">
        <v>1396</v>
      </c>
      <c r="Z818" t="str">
        <f>IF(A818="","",TEXT(A818,"0")&amp;"|"&amp;TEXT(H818,"0"))</f>
        <v>4921017822406510|46127</v>
      </c>
      <c r="AA818" t="str">
        <f>IF(Z818="","",IFERROR(LOOKUP(2,1/(#REF!=Z818),#REF!),""))</f>
        <v/>
      </c>
      <c r="AB818" t="str">
        <f>IF(Z818="","",IFERROR(LOOKUP(2,1/(#REF!=Z818),#REF!),""))</f>
        <v/>
      </c>
      <c r="AC818" t="e">
        <f>IF(Z818="","",COUNTIF(#REF!,Z818))</f>
        <v>#REF!</v>
      </c>
      <c r="AD818" t="e">
        <f>IF(A818="","",IF(AC818&gt;1,"REVISAR DUPLICADO",IF(AA818&lt;&gt;"","ACTUALIZADO POR EYR","SIN REPORTE EYR")))</f>
        <v>#REF!</v>
      </c>
    </row>
    <row r="819" spans="1:30" x14ac:dyDescent="0.3">
      <c r="A819" s="5" t="s">
        <v>3331</v>
      </c>
      <c r="B819" t="s">
        <v>3330</v>
      </c>
      <c r="C819" s="4" t="s">
        <v>3329</v>
      </c>
      <c r="D819" t="s">
        <v>77</v>
      </c>
      <c r="E819" t="s">
        <v>214</v>
      </c>
      <c r="F819" t="s">
        <v>3328</v>
      </c>
      <c r="G819" s="3">
        <v>8296974680</v>
      </c>
      <c r="H819" s="2">
        <v>46127</v>
      </c>
      <c r="K819" s="1">
        <f ca="1">IF(A819="","",IF(OR(L819="ENTREGADA",L819="RETORNADA",L819="ENTREGA DIGITAL"),0,MAX(0,5-NETWORKDAYS(H819+1,TODAY()))))</f>
        <v>0</v>
      </c>
      <c r="L819" t="str">
        <f>IF(A819="","",IFERROR(LOOKUP(2,1/(#REF!=Z819),#REF!),Y819))</f>
        <v>ENTREGA DIGITAL</v>
      </c>
      <c r="Y819" t="s">
        <v>1396</v>
      </c>
      <c r="Z819" t="str">
        <f>IF(A819="","",TEXT(A819,"0")&amp;"|"&amp;TEXT(H819,"0"))</f>
        <v>4741017828336510|46127</v>
      </c>
      <c r="AA819" t="str">
        <f>IF(Z819="","",IFERROR(LOOKUP(2,1/(#REF!=Z819),#REF!),""))</f>
        <v/>
      </c>
      <c r="AB819" t="str">
        <f>IF(Z819="","",IFERROR(LOOKUP(2,1/(#REF!=Z819),#REF!),""))</f>
        <v/>
      </c>
      <c r="AC819" t="e">
        <f>IF(Z819="","",COUNTIF(#REF!,Z819))</f>
        <v>#REF!</v>
      </c>
      <c r="AD819" t="e">
        <f>IF(A819="","",IF(AC819&gt;1,"REVISAR DUPLICADO",IF(AA819&lt;&gt;"","ACTUALIZADO POR EYR","SIN REPORTE EYR")))</f>
        <v>#REF!</v>
      </c>
    </row>
    <row r="820" spans="1:30" x14ac:dyDescent="0.3">
      <c r="A820" s="5" t="s">
        <v>3327</v>
      </c>
      <c r="B820" t="s">
        <v>3326</v>
      </c>
      <c r="C820" s="4" t="s">
        <v>3325</v>
      </c>
      <c r="D820" t="s">
        <v>77</v>
      </c>
      <c r="F820" t="s">
        <v>13</v>
      </c>
      <c r="G820" s="3">
        <v>8296613801</v>
      </c>
      <c r="H820" s="2">
        <v>46127</v>
      </c>
      <c r="I820" t="s">
        <v>1397</v>
      </c>
      <c r="K820" s="1">
        <f ca="1">IF(A820="","",IF(OR(L820="ENTREGADA",L820="RETORNADA",L820="ENTREGA DIGITAL"),0,MAX(0,5-NETWORKDAYS(H820+1,TODAY()))))</f>
        <v>0</v>
      </c>
      <c r="L820" t="str">
        <f>IF(A820="","",IFERROR(LOOKUP(2,1/(#REF!=Z820),#REF!),Y820))</f>
        <v>ENTREGA DIGITAL</v>
      </c>
      <c r="Y820" t="s">
        <v>1396</v>
      </c>
      <c r="Z820" t="str">
        <f>IF(A820="","",TEXT(A820,"0")&amp;"|"&amp;TEXT(H820,"0"))</f>
        <v>4921017826532240|46127</v>
      </c>
      <c r="AA820" t="str">
        <f>IF(Z820="","",IFERROR(LOOKUP(2,1/(#REF!=Z820),#REF!),""))</f>
        <v/>
      </c>
      <c r="AB820" t="str">
        <f>IF(Z820="","",IFERROR(LOOKUP(2,1/(#REF!=Z820),#REF!),""))</f>
        <v/>
      </c>
      <c r="AC820" t="e">
        <f>IF(Z820="","",COUNTIF(#REF!,Z820))</f>
        <v>#REF!</v>
      </c>
      <c r="AD820" t="e">
        <f>IF(A820="","",IF(AC820&gt;1,"REVISAR DUPLICADO",IF(AA820&lt;&gt;"","ACTUALIZADO POR EYR","SIN REPORTE EYR")))</f>
        <v>#REF!</v>
      </c>
    </row>
    <row r="821" spans="1:30" x14ac:dyDescent="0.3">
      <c r="A821" s="5" t="s">
        <v>3324</v>
      </c>
      <c r="B821" t="s">
        <v>3323</v>
      </c>
      <c r="C821" s="4" t="s">
        <v>3322</v>
      </c>
      <c r="D821" t="s">
        <v>77</v>
      </c>
      <c r="E821" t="s">
        <v>214</v>
      </c>
      <c r="F821" t="s">
        <v>391</v>
      </c>
      <c r="G821" s="3">
        <v>8095521444</v>
      </c>
      <c r="H821" s="2">
        <v>46127</v>
      </c>
      <c r="K821" s="1">
        <f ca="1">IF(A821="","",IF(OR(L821="ENTREGADA",L821="RETORNADA",L821="ENTREGA DIGITAL"),0,MAX(0,5-NETWORKDAYS(H821+1,TODAY()))))</f>
        <v>0</v>
      </c>
      <c r="L821" t="str">
        <f>IF(A821="","",IFERROR(LOOKUP(2,1/(#REF!=Z821),#REF!),Y821))</f>
        <v>RETORNADA</v>
      </c>
      <c r="Y821" t="s">
        <v>1857</v>
      </c>
      <c r="Z821" t="str">
        <f>IF(A821="","",TEXT(A821,"0")&amp;"|"&amp;TEXT(H821,"0"))</f>
        <v>4921017826201870|46127</v>
      </c>
      <c r="AA821" t="str">
        <f>IF(Z821="","",IFERROR(LOOKUP(2,1/(#REF!=Z821),#REF!),""))</f>
        <v/>
      </c>
      <c r="AB821" t="str">
        <f>IF(Z821="","",IFERROR(LOOKUP(2,1/(#REF!=Z821),#REF!),""))</f>
        <v/>
      </c>
      <c r="AC821" t="e">
        <f>IF(Z821="","",COUNTIF(#REF!,Z821))</f>
        <v>#REF!</v>
      </c>
      <c r="AD821" t="e">
        <f>IF(A821="","",IF(AC821&gt;1,"REVISAR DUPLICADO",IF(AA821&lt;&gt;"","ACTUALIZADO POR EYR","SIN REPORTE EYR")))</f>
        <v>#REF!</v>
      </c>
    </row>
    <row r="822" spans="1:30" x14ac:dyDescent="0.3">
      <c r="A822" s="5" t="s">
        <v>3321</v>
      </c>
      <c r="B822" t="s">
        <v>3320</v>
      </c>
      <c r="C822" s="4" t="s">
        <v>3319</v>
      </c>
      <c r="D822" t="s">
        <v>77</v>
      </c>
      <c r="F822" t="s">
        <v>13</v>
      </c>
      <c r="G822" s="3">
        <v>8295632278</v>
      </c>
      <c r="H822" s="2">
        <v>46127</v>
      </c>
      <c r="K822" s="1">
        <f ca="1">IF(A822="","",IF(OR(L822="ENTREGADA",L822="RETORNADA",L822="ENTREGA DIGITAL"),0,MAX(0,5-NETWORKDAYS(H822+1,TODAY()))))</f>
        <v>0</v>
      </c>
      <c r="L822" t="str">
        <f>IF(A822="","",IFERROR(LOOKUP(2,1/(#REF!=Z822),#REF!),Y822))</f>
        <v>RETORNADA</v>
      </c>
      <c r="Y822" t="s">
        <v>1857</v>
      </c>
      <c r="Z822" t="str">
        <f>IF(A822="","",TEXT(A822,"0")&amp;"|"&amp;TEXT(H822,"0"))</f>
        <v>4921017827566180|46127</v>
      </c>
      <c r="AA822" t="str">
        <f>IF(Z822="","",IFERROR(LOOKUP(2,1/(#REF!=Z822),#REF!),""))</f>
        <v/>
      </c>
      <c r="AB822" t="str">
        <f>IF(Z822="","",IFERROR(LOOKUP(2,1/(#REF!=Z822),#REF!),""))</f>
        <v/>
      </c>
      <c r="AC822" t="e">
        <f>IF(Z822="","",COUNTIF(#REF!,Z822))</f>
        <v>#REF!</v>
      </c>
      <c r="AD822" t="e">
        <f>IF(A822="","",IF(AC822&gt;1,"REVISAR DUPLICADO",IF(AA822&lt;&gt;"","ACTUALIZADO POR EYR","SIN REPORTE EYR")))</f>
        <v>#REF!</v>
      </c>
    </row>
    <row r="823" spans="1:30" x14ac:dyDescent="0.3">
      <c r="A823" s="5" t="s">
        <v>3318</v>
      </c>
      <c r="B823" t="s">
        <v>3317</v>
      </c>
      <c r="C823" s="4" t="s">
        <v>3316</v>
      </c>
      <c r="D823" t="s">
        <v>77</v>
      </c>
      <c r="F823" t="s">
        <v>3315</v>
      </c>
      <c r="G823" s="3">
        <v>8292955355</v>
      </c>
      <c r="H823" s="2">
        <v>46127</v>
      </c>
      <c r="K823" s="1">
        <f ca="1">IF(A823="","",IF(OR(L823="ENTREGADA",L823="RETORNADA",L823="ENTREGA DIGITAL"),0,MAX(0,5-NETWORKDAYS(H823+1,TODAY()))))</f>
        <v>0</v>
      </c>
      <c r="L823" t="str">
        <f>IF(A823="","",IFERROR(LOOKUP(2,1/(#REF!=Z823),#REF!),Y823))</f>
        <v>RETORNADA</v>
      </c>
      <c r="Y823" t="s">
        <v>1857</v>
      </c>
      <c r="Z823" t="str">
        <f>IF(A823="","",TEXT(A823,"0")&amp;"|"&amp;TEXT(H823,"0"))</f>
        <v>4921017827508210|46127</v>
      </c>
      <c r="AA823" t="str">
        <f>IF(Z823="","",IFERROR(LOOKUP(2,1/(#REF!=Z823),#REF!),""))</f>
        <v/>
      </c>
      <c r="AB823" t="str">
        <f>IF(Z823="","",IFERROR(LOOKUP(2,1/(#REF!=Z823),#REF!),""))</f>
        <v/>
      </c>
      <c r="AC823" t="e">
        <f>IF(Z823="","",COUNTIF(#REF!,Z823))</f>
        <v>#REF!</v>
      </c>
      <c r="AD823" t="e">
        <f>IF(A823="","",IF(AC823&gt;1,"REVISAR DUPLICADO",IF(AA823&lt;&gt;"","ACTUALIZADO POR EYR","SIN REPORTE EYR")))</f>
        <v>#REF!</v>
      </c>
    </row>
    <row r="824" spans="1:30" x14ac:dyDescent="0.3">
      <c r="A824" s="5" t="s">
        <v>3314</v>
      </c>
      <c r="B824" t="s">
        <v>3313</v>
      </c>
      <c r="C824" s="4" t="s">
        <v>3312</v>
      </c>
      <c r="D824" t="s">
        <v>77</v>
      </c>
      <c r="F824" t="s">
        <v>13</v>
      </c>
      <c r="G824" s="3">
        <v>8495315156</v>
      </c>
      <c r="H824" s="2">
        <v>46127</v>
      </c>
      <c r="I824" t="s">
        <v>1397</v>
      </c>
      <c r="K824" s="1">
        <f ca="1">IF(A824="","",IF(OR(L824="ENTREGADA",L824="RETORNADA",L824="ENTREGA DIGITAL"),0,MAX(0,5-NETWORKDAYS(H824+1,TODAY()))))</f>
        <v>0</v>
      </c>
      <c r="L824" t="str">
        <f>IF(A824="","",IFERROR(LOOKUP(2,1/(#REF!=Z824),#REF!),Y824))</f>
        <v>ENTREGA DIGITAL</v>
      </c>
      <c r="Y824" t="s">
        <v>1396</v>
      </c>
      <c r="Z824" t="str">
        <f>IF(A824="","",TEXT(A824,"0")&amp;"|"&amp;TEXT(H824,"0"))</f>
        <v>4921017826671570|46127</v>
      </c>
      <c r="AA824" t="str">
        <f>IF(Z824="","",IFERROR(LOOKUP(2,1/(#REF!=Z824),#REF!),""))</f>
        <v/>
      </c>
      <c r="AB824" t="str">
        <f>IF(Z824="","",IFERROR(LOOKUP(2,1/(#REF!=Z824),#REF!),""))</f>
        <v/>
      </c>
      <c r="AC824" t="e">
        <f>IF(Z824="","",COUNTIF(#REF!,Z824))</f>
        <v>#REF!</v>
      </c>
      <c r="AD824" t="e">
        <f>IF(A824="","",IF(AC824&gt;1,"REVISAR DUPLICADO",IF(AA824&lt;&gt;"","ACTUALIZADO POR EYR","SIN REPORTE EYR")))</f>
        <v>#REF!</v>
      </c>
    </row>
    <row r="825" spans="1:30" x14ac:dyDescent="0.3">
      <c r="A825" s="5" t="s">
        <v>3311</v>
      </c>
      <c r="B825" t="s">
        <v>3310</v>
      </c>
      <c r="C825" s="4" t="s">
        <v>3309</v>
      </c>
      <c r="D825" t="s">
        <v>77</v>
      </c>
      <c r="F825" t="s">
        <v>13</v>
      </c>
      <c r="G825" s="3">
        <v>8296739560</v>
      </c>
      <c r="H825" s="2">
        <v>46127</v>
      </c>
      <c r="K825" s="1">
        <f ca="1">IF(A825="","",IF(OR(L825="ENTREGADA",L825="RETORNADA",L825="ENTREGA DIGITAL"),0,MAX(0,5-NETWORKDAYS(H825+1,TODAY()))))</f>
        <v>0</v>
      </c>
      <c r="L825" t="str">
        <f>IF(A825="","",IFERROR(LOOKUP(2,1/(#REF!=Z825),#REF!),Y825))</f>
        <v>ENTREGA DIGITAL</v>
      </c>
      <c r="Y825" t="s">
        <v>1396</v>
      </c>
      <c r="Z825" t="str">
        <f>IF(A825="","",TEXT(A825,"0")&amp;"|"&amp;TEXT(H825,"0"))</f>
        <v>4921017821322260|46127</v>
      </c>
      <c r="AA825" t="str">
        <f>IF(Z825="","",IFERROR(LOOKUP(2,1/(#REF!=Z825),#REF!),""))</f>
        <v/>
      </c>
      <c r="AB825" t="str">
        <f>IF(Z825="","",IFERROR(LOOKUP(2,1/(#REF!=Z825),#REF!),""))</f>
        <v/>
      </c>
      <c r="AC825" t="e">
        <f>IF(Z825="","",COUNTIF(#REF!,Z825))</f>
        <v>#REF!</v>
      </c>
      <c r="AD825" t="e">
        <f>IF(A825="","",IF(AC825&gt;1,"REVISAR DUPLICADO",IF(AA825&lt;&gt;"","ACTUALIZADO POR EYR","SIN REPORTE EYR")))</f>
        <v>#REF!</v>
      </c>
    </row>
    <row r="826" spans="1:30" x14ac:dyDescent="0.3">
      <c r="A826" s="5" t="s">
        <v>3308</v>
      </c>
      <c r="B826" t="s">
        <v>3307</v>
      </c>
      <c r="C826" s="4" t="s">
        <v>3306</v>
      </c>
      <c r="D826" t="s">
        <v>1</v>
      </c>
      <c r="F826" t="s">
        <v>3305</v>
      </c>
      <c r="G826" s="3">
        <v>3059628485</v>
      </c>
      <c r="H826" s="2">
        <v>46127</v>
      </c>
      <c r="K826" s="1">
        <f ca="1">IF(A826="","",IF(OR(L826="ENTREGADA",L826="RETORNADA",L826="ENTREGA DIGITAL"),0,MAX(0,5-NETWORKDAYS(H826+1,TODAY()))))</f>
        <v>0</v>
      </c>
      <c r="L826" t="str">
        <f>IF(A826="","",IFERROR(LOOKUP(2,1/(#REF!=Z826),#REF!),Y826))</f>
        <v>ENTREGA DIGITAL</v>
      </c>
      <c r="Y826" t="s">
        <v>1396</v>
      </c>
      <c r="Z826" t="str">
        <f>IF(A826="","",TEXT(A826,"0")&amp;"|"&amp;TEXT(H826,"0"))</f>
        <v>4741017823243850|46127</v>
      </c>
      <c r="AA826" t="str">
        <f>IF(Z826="","",IFERROR(LOOKUP(2,1/(#REF!=Z826),#REF!),""))</f>
        <v/>
      </c>
      <c r="AB826" t="str">
        <f>IF(Z826="","",IFERROR(LOOKUP(2,1/(#REF!=Z826),#REF!),""))</f>
        <v/>
      </c>
      <c r="AC826" t="e">
        <f>IF(Z826="","",COUNTIF(#REF!,Z826))</f>
        <v>#REF!</v>
      </c>
      <c r="AD826" t="e">
        <f>IF(A826="","",IF(AC826&gt;1,"REVISAR DUPLICADO",IF(AA826&lt;&gt;"","ACTUALIZADO POR EYR","SIN REPORTE EYR")))</f>
        <v>#REF!</v>
      </c>
    </row>
    <row r="827" spans="1:30" x14ac:dyDescent="0.3">
      <c r="A827" s="5" t="s">
        <v>3304</v>
      </c>
      <c r="B827" t="s">
        <v>3303</v>
      </c>
      <c r="C827" s="4" t="s">
        <v>3302</v>
      </c>
      <c r="D827" t="s">
        <v>1</v>
      </c>
      <c r="F827" t="s">
        <v>13</v>
      </c>
      <c r="G827" s="3">
        <v>8299059578</v>
      </c>
      <c r="H827" s="2">
        <v>46127</v>
      </c>
      <c r="K827" s="1">
        <f ca="1">IF(A827="","",IF(OR(L827="ENTREGADA",L827="RETORNADA",L827="ENTREGA DIGITAL"),0,MAX(0,5-NETWORKDAYS(H827+1,TODAY()))))</f>
        <v>0</v>
      </c>
      <c r="L827" t="str">
        <f>IF(A827="","",IFERROR(LOOKUP(2,1/(#REF!=Z827),#REF!),Y827))</f>
        <v>RETORNADA</v>
      </c>
      <c r="Y827" t="s">
        <v>1857</v>
      </c>
      <c r="Z827" t="str">
        <f>IF(A827="","",TEXT(A827,"0")&amp;"|"&amp;TEXT(H827,"0"))</f>
        <v>5549017824787660|46127</v>
      </c>
      <c r="AA827" t="str">
        <f>IF(Z827="","",IFERROR(LOOKUP(2,1/(#REF!=Z827),#REF!),""))</f>
        <v/>
      </c>
      <c r="AB827" t="str">
        <f>IF(Z827="","",IFERROR(LOOKUP(2,1/(#REF!=Z827),#REF!),""))</f>
        <v/>
      </c>
      <c r="AC827" t="e">
        <f>IF(Z827="","",COUNTIF(#REF!,Z827))</f>
        <v>#REF!</v>
      </c>
      <c r="AD827" t="e">
        <f>IF(A827="","",IF(AC827&gt;1,"REVISAR DUPLICADO",IF(AA827&lt;&gt;"","ACTUALIZADO POR EYR","SIN REPORTE EYR")))</f>
        <v>#REF!</v>
      </c>
    </row>
    <row r="828" spans="1:30" x14ac:dyDescent="0.3">
      <c r="A828" s="5" t="s">
        <v>3301</v>
      </c>
      <c r="B828" t="s">
        <v>3300</v>
      </c>
      <c r="D828" t="s">
        <v>3299</v>
      </c>
      <c r="H828" s="2">
        <v>46127</v>
      </c>
      <c r="K828" s="1">
        <f ca="1">IF(A828="","",IF(OR(L828="ENTREGADA",L828="RETORNADA",L828="ENTREGA DIGITAL"),0,MAX(0,5-NETWORKDAYS(H828+1,TODAY()))))</f>
        <v>0</v>
      </c>
      <c r="L828" t="str">
        <f>IF(A828="","",IFERROR(LOOKUP(2,1/(#REF!=Z828),#REF!),Y828))</f>
        <v>ENTREGADA</v>
      </c>
      <c r="M828" t="s">
        <v>3298</v>
      </c>
      <c r="Y828" t="s">
        <v>1956</v>
      </c>
      <c r="Z828" t="str">
        <f>IF(A828="","",TEXT(A828,"0")&amp;"|"&amp;TEXT(H828,"0"))</f>
        <v>TOKEN|46127</v>
      </c>
      <c r="AA828" t="str">
        <f>IF(Z828="","",IFERROR(LOOKUP(2,1/(#REF!=Z828),#REF!),""))</f>
        <v/>
      </c>
      <c r="AB828" t="str">
        <f>IF(Z828="","",IFERROR(LOOKUP(2,1/(#REF!=Z828),#REF!),""))</f>
        <v/>
      </c>
      <c r="AC828" t="e">
        <f>IF(Z828="","",COUNTIF(#REF!,Z828))</f>
        <v>#REF!</v>
      </c>
      <c r="AD828" t="e">
        <f>IF(A828="","",IF(AC828&gt;1,"REVISAR DUPLICADO",IF(AA828&lt;&gt;"","ACTUALIZADO POR EYR","SIN REPORTE EYR")))</f>
        <v>#REF!</v>
      </c>
    </row>
    <row r="829" spans="1:30" x14ac:dyDescent="0.3">
      <c r="A829" s="5" t="s">
        <v>3297</v>
      </c>
      <c r="B829" t="s">
        <v>3296</v>
      </c>
      <c r="C829" s="4" t="s">
        <v>3295</v>
      </c>
      <c r="D829" t="s">
        <v>21</v>
      </c>
      <c r="F829" t="s">
        <v>13</v>
      </c>
      <c r="G829" s="3">
        <v>8096132505</v>
      </c>
      <c r="H829" s="2">
        <v>46127</v>
      </c>
      <c r="I829" t="s">
        <v>1397</v>
      </c>
      <c r="K829" s="1">
        <f ca="1">IF(A829="","",IF(OR(L829="ENTREGADA",L829="RETORNADA",L829="ENTREGA DIGITAL"),0,MAX(0,5-NETWORKDAYS(H829+1,TODAY()))))</f>
        <v>0</v>
      </c>
      <c r="L829" t="str">
        <f>IF(A829="","",IFERROR(LOOKUP(2,1/(#REF!=Z829),#REF!),Y829))</f>
        <v>ENTREGADA</v>
      </c>
      <c r="Y829" t="s">
        <v>1956</v>
      </c>
      <c r="Z829" t="str">
        <f>IF(A829="","",TEXT(A829,"0")&amp;"|"&amp;TEXT(H829,"0"))</f>
        <v>4966017831230690|46127</v>
      </c>
      <c r="AA829" t="str">
        <f>IF(Z829="","",IFERROR(LOOKUP(2,1/(#REF!=Z829),#REF!),""))</f>
        <v/>
      </c>
      <c r="AB829" t="str">
        <f>IF(Z829="","",IFERROR(LOOKUP(2,1/(#REF!=Z829),#REF!),""))</f>
        <v/>
      </c>
      <c r="AC829" t="e">
        <f>IF(Z829="","",COUNTIF(#REF!,Z829))</f>
        <v>#REF!</v>
      </c>
      <c r="AD829" t="e">
        <f>IF(A829="","",IF(AC829&gt;1,"REVISAR DUPLICADO",IF(AA829&lt;&gt;"","ACTUALIZADO POR EYR","SIN REPORTE EYR")))</f>
        <v>#REF!</v>
      </c>
    </row>
    <row r="830" spans="1:30" x14ac:dyDescent="0.3">
      <c r="A830" s="5" t="s">
        <v>3294</v>
      </c>
      <c r="B830" t="s">
        <v>3293</v>
      </c>
      <c r="C830" s="4" t="s">
        <v>3292</v>
      </c>
      <c r="D830" t="s">
        <v>21</v>
      </c>
      <c r="F830" t="s">
        <v>13</v>
      </c>
      <c r="G830" s="3">
        <v>8492018468</v>
      </c>
      <c r="H830" s="2">
        <v>46127</v>
      </c>
      <c r="K830" s="1">
        <f ca="1">IF(A830="","",IF(OR(L830="ENTREGADA",L830="RETORNADA",L830="ENTREGA DIGITAL"),0,MAX(0,5-NETWORKDAYS(H830+1,TODAY()))))</f>
        <v>0</v>
      </c>
      <c r="L830" t="str">
        <f>IF(A830="","",IFERROR(LOOKUP(2,1/(#REF!=Z830),#REF!),Y830))</f>
        <v>ENTREGA DIGITAL</v>
      </c>
      <c r="Y830" t="s">
        <v>1396</v>
      </c>
      <c r="Z830" t="str">
        <f>IF(A830="","",TEXT(A830,"0")&amp;"|"&amp;TEXT(H830,"0"))</f>
        <v>5188017830291880|46127</v>
      </c>
      <c r="AA830" t="str">
        <f>IF(Z830="","",IFERROR(LOOKUP(2,1/(#REF!=Z830),#REF!),""))</f>
        <v/>
      </c>
      <c r="AB830" t="str">
        <f>IF(Z830="","",IFERROR(LOOKUP(2,1/(#REF!=Z830),#REF!),""))</f>
        <v/>
      </c>
      <c r="AC830" t="e">
        <f>IF(Z830="","",COUNTIF(#REF!,Z830))</f>
        <v>#REF!</v>
      </c>
      <c r="AD830" t="e">
        <f>IF(A830="","",IF(AC830&gt;1,"REVISAR DUPLICADO",IF(AA830&lt;&gt;"","ACTUALIZADO POR EYR","SIN REPORTE EYR")))</f>
        <v>#REF!</v>
      </c>
    </row>
    <row r="831" spans="1:30" x14ac:dyDescent="0.3">
      <c r="A831" s="5" t="s">
        <v>3291</v>
      </c>
      <c r="B831" t="s">
        <v>3290</v>
      </c>
      <c r="C831" s="4" t="s">
        <v>3289</v>
      </c>
      <c r="D831" t="s">
        <v>21</v>
      </c>
      <c r="F831" t="s">
        <v>13</v>
      </c>
      <c r="G831" s="3">
        <v>8298155133</v>
      </c>
      <c r="H831" s="2">
        <v>46127</v>
      </c>
      <c r="I831" t="s">
        <v>1397</v>
      </c>
      <c r="K831" s="1">
        <f ca="1">IF(A831="","",IF(OR(L831="ENTREGADA",L831="RETORNADA",L831="ENTREGA DIGITAL"),0,MAX(0,5-NETWORKDAYS(H831+1,TODAY()))))</f>
        <v>0</v>
      </c>
      <c r="L831" t="str">
        <f>IF(A831="","",IFERROR(LOOKUP(2,1/(#REF!=Z831),#REF!),Y831))</f>
        <v>ENTREGADA</v>
      </c>
      <c r="Y831" t="s">
        <v>1956</v>
      </c>
      <c r="Z831" t="str">
        <f>IF(A831="","",TEXT(A831,"0")&amp;"|"&amp;TEXT(H831,"0"))</f>
        <v>5415017607481600|46127</v>
      </c>
      <c r="AA831" t="str">
        <f>IF(Z831="","",IFERROR(LOOKUP(2,1/(#REF!=Z831),#REF!),""))</f>
        <v/>
      </c>
      <c r="AB831" t="str">
        <f>IF(Z831="","",IFERROR(LOOKUP(2,1/(#REF!=Z831),#REF!),""))</f>
        <v/>
      </c>
      <c r="AC831" t="e">
        <f>IF(Z831="","",COUNTIF(#REF!,Z831))</f>
        <v>#REF!</v>
      </c>
      <c r="AD831" t="e">
        <f>IF(A831="","",IF(AC831&gt;1,"REVISAR DUPLICADO",IF(AA831&lt;&gt;"","ACTUALIZADO POR EYR","SIN REPORTE EYR")))</f>
        <v>#REF!</v>
      </c>
    </row>
    <row r="832" spans="1:30" x14ac:dyDescent="0.3">
      <c r="A832" s="5" t="s">
        <v>1464</v>
      </c>
      <c r="B832" t="s">
        <v>1463</v>
      </c>
      <c r="C832" s="4" t="s">
        <v>1462</v>
      </c>
      <c r="D832" t="s">
        <v>21</v>
      </c>
      <c r="F832" t="s">
        <v>13</v>
      </c>
      <c r="G832" s="3">
        <v>8095268916</v>
      </c>
      <c r="H832" s="2">
        <v>46127</v>
      </c>
      <c r="K832" s="1">
        <f ca="1">IF(A832="","",IF(OR(L832="ENTREGADA",L832="RETORNADA",L832="ENTREGA DIGITAL"),0,MAX(0,5-NETWORKDAYS(H832+1,TODAY()))))</f>
        <v>0</v>
      </c>
      <c r="L832" t="str">
        <f>IF(A832="","",IFERROR(LOOKUP(2,1/(#REF!=Z832),#REF!),Y832))</f>
        <v>RETORNADA</v>
      </c>
      <c r="Y832" t="s">
        <v>1857</v>
      </c>
      <c r="Z832" t="str">
        <f>IF(A832="","",TEXT(A832,"0")&amp;"|"&amp;TEXT(H832,"0"))</f>
        <v>5188017824581300|46127</v>
      </c>
      <c r="AA832" t="str">
        <f>IF(Z832="","",IFERROR(LOOKUP(2,1/(#REF!=Z832),#REF!),""))</f>
        <v/>
      </c>
      <c r="AB832" t="str">
        <f>IF(Z832="","",IFERROR(LOOKUP(2,1/(#REF!=Z832),#REF!),""))</f>
        <v/>
      </c>
      <c r="AC832" t="e">
        <f>IF(Z832="","",COUNTIF(#REF!,Z832))</f>
        <v>#REF!</v>
      </c>
      <c r="AD832" t="e">
        <f>IF(A832="","",IF(AC832&gt;1,"REVISAR DUPLICADO",IF(AA832&lt;&gt;"","ACTUALIZADO POR EYR","SIN REPORTE EYR")))</f>
        <v>#REF!</v>
      </c>
    </row>
    <row r="833" spans="1:30" x14ac:dyDescent="0.3">
      <c r="A833" s="5" t="s">
        <v>3288</v>
      </c>
      <c r="B833" t="s">
        <v>3287</v>
      </c>
      <c r="C833" s="4" t="s">
        <v>3286</v>
      </c>
      <c r="D833" t="s">
        <v>21</v>
      </c>
      <c r="F833" t="s">
        <v>3285</v>
      </c>
      <c r="G833" s="3">
        <v>8298403313</v>
      </c>
      <c r="H833" s="2">
        <v>46127</v>
      </c>
      <c r="K833" s="1">
        <f ca="1">IF(A833="","",IF(OR(L833="ENTREGADA",L833="RETORNADA",L833="ENTREGA DIGITAL"),0,MAX(0,5-NETWORKDAYS(H833+1,TODAY()))))</f>
        <v>0</v>
      </c>
      <c r="L833" t="str">
        <f>IF(A833="","",IFERROR(LOOKUP(2,1/(#REF!=Z833),#REF!),Y833))</f>
        <v>ENTREGA DIGITAL</v>
      </c>
      <c r="Y833" t="s">
        <v>1396</v>
      </c>
      <c r="Z833" t="str">
        <f>IF(A833="","",TEXT(A833,"0")&amp;"|"&amp;TEXT(H833,"0"))</f>
        <v>4025017828098000|46127</v>
      </c>
      <c r="AA833" t="str">
        <f>IF(Z833="","",IFERROR(LOOKUP(2,1/(#REF!=Z833),#REF!),""))</f>
        <v/>
      </c>
      <c r="AB833" t="str">
        <f>IF(Z833="","",IFERROR(LOOKUP(2,1/(#REF!=Z833),#REF!),""))</f>
        <v/>
      </c>
      <c r="AC833" t="e">
        <f>IF(Z833="","",COUNTIF(#REF!,Z833))</f>
        <v>#REF!</v>
      </c>
      <c r="AD833" t="e">
        <f>IF(A833="","",IF(AC833&gt;1,"REVISAR DUPLICADO",IF(AA833&lt;&gt;"","ACTUALIZADO POR EYR","SIN REPORTE EYR")))</f>
        <v>#REF!</v>
      </c>
    </row>
    <row r="834" spans="1:30" x14ac:dyDescent="0.3">
      <c r="A834" s="5" t="s">
        <v>3284</v>
      </c>
      <c r="B834" t="s">
        <v>3283</v>
      </c>
      <c r="C834" s="4" t="s">
        <v>3282</v>
      </c>
      <c r="D834" t="s">
        <v>21</v>
      </c>
      <c r="F834" t="s">
        <v>13</v>
      </c>
      <c r="G834" s="3">
        <v>8292958788</v>
      </c>
      <c r="H834" s="2">
        <v>46127</v>
      </c>
      <c r="K834" s="1">
        <f ca="1">IF(A834="","",IF(OR(L834="ENTREGADA",L834="RETORNADA",L834="ENTREGA DIGITAL"),0,MAX(0,5-NETWORKDAYS(H834+1,TODAY()))))</f>
        <v>0</v>
      </c>
      <c r="L834" t="str">
        <f>IF(A834="","",IFERROR(LOOKUP(2,1/(#REF!=Z834),#REF!),Y834))</f>
        <v>ENTREGA DIGITAL</v>
      </c>
      <c r="Y834" t="s">
        <v>1396</v>
      </c>
      <c r="Z834" t="str">
        <f>IF(A834="","",TEXT(A834,"0")&amp;"|"&amp;TEXT(H834,"0"))</f>
        <v>4921017832160980|46127</v>
      </c>
      <c r="AA834" t="str">
        <f>IF(Z834="","",IFERROR(LOOKUP(2,1/(#REF!=Z834),#REF!),""))</f>
        <v/>
      </c>
      <c r="AB834" t="str">
        <f>IF(Z834="","",IFERROR(LOOKUP(2,1/(#REF!=Z834),#REF!),""))</f>
        <v/>
      </c>
      <c r="AC834" t="e">
        <f>IF(Z834="","",COUNTIF(#REF!,Z834))</f>
        <v>#REF!</v>
      </c>
      <c r="AD834" t="e">
        <f>IF(A834="","",IF(AC834&gt;1,"REVISAR DUPLICADO",IF(AA834&lt;&gt;"","ACTUALIZADO POR EYR","SIN REPORTE EYR")))</f>
        <v>#REF!</v>
      </c>
    </row>
    <row r="835" spans="1:30" x14ac:dyDescent="0.3">
      <c r="A835" s="5" t="s">
        <v>3281</v>
      </c>
      <c r="B835" t="s">
        <v>3280</v>
      </c>
      <c r="C835" s="4" t="s">
        <v>3279</v>
      </c>
      <c r="D835" t="s">
        <v>21</v>
      </c>
      <c r="F835" t="s">
        <v>3278</v>
      </c>
      <c r="G835" s="3">
        <v>8096064977</v>
      </c>
      <c r="H835" s="2">
        <v>46127</v>
      </c>
      <c r="K835" s="1">
        <f ca="1">IF(A835="","",IF(OR(L835="ENTREGADA",L835="RETORNADA",L835="ENTREGA DIGITAL"),0,MAX(0,5-NETWORKDAYS(H835+1,TODAY()))))</f>
        <v>0</v>
      </c>
      <c r="L835" t="str">
        <f>IF(A835="","",IFERROR(LOOKUP(2,1/(#REF!=Z835),#REF!),Y835))</f>
        <v>RETORNADA</v>
      </c>
      <c r="Y835" t="s">
        <v>1857</v>
      </c>
      <c r="Z835" t="str">
        <f>IF(A835="","",TEXT(A835,"0")&amp;"|"&amp;TEXT(H835,"0"))</f>
        <v>5415017828472400|46127</v>
      </c>
      <c r="AA835" t="str">
        <f>IF(Z835="","",IFERROR(LOOKUP(2,1/(#REF!=Z835),#REF!),""))</f>
        <v/>
      </c>
      <c r="AB835" t="str">
        <f>IF(Z835="","",IFERROR(LOOKUP(2,1/(#REF!=Z835),#REF!),""))</f>
        <v/>
      </c>
      <c r="AC835" t="e">
        <f>IF(Z835="","",COUNTIF(#REF!,Z835))</f>
        <v>#REF!</v>
      </c>
      <c r="AD835" t="e">
        <f>IF(A835="","",IF(AC835&gt;1,"REVISAR DUPLICADO",IF(AA835&lt;&gt;"","ACTUALIZADO POR EYR","SIN REPORTE EYR")))</f>
        <v>#REF!</v>
      </c>
    </row>
    <row r="836" spans="1:30" x14ac:dyDescent="0.3">
      <c r="A836" s="5" t="s">
        <v>3277</v>
      </c>
      <c r="B836" t="s">
        <v>3276</v>
      </c>
      <c r="C836" s="4" t="s">
        <v>3275</v>
      </c>
      <c r="D836" t="s">
        <v>21</v>
      </c>
      <c r="F836" t="s">
        <v>13</v>
      </c>
      <c r="G836" s="3">
        <v>8293462863</v>
      </c>
      <c r="H836" s="2">
        <v>46127</v>
      </c>
      <c r="K836" s="1">
        <f ca="1">IF(A836="","",IF(OR(L836="ENTREGADA",L836="RETORNADA",L836="ENTREGA DIGITAL"),0,MAX(0,5-NETWORKDAYS(H836+1,TODAY()))))</f>
        <v>0</v>
      </c>
      <c r="L836" t="str">
        <f>IF(A836="","",IFERROR(LOOKUP(2,1/(#REF!=Z836),#REF!),Y836))</f>
        <v>RETORNADA</v>
      </c>
      <c r="Y836" t="s">
        <v>1857</v>
      </c>
      <c r="Z836" t="str">
        <f>IF(A836="","",TEXT(A836,"0")&amp;"|"&amp;TEXT(H836,"0"))</f>
        <v>4025017833763300|46127</v>
      </c>
      <c r="AA836" t="str">
        <f>IF(Z836="","",IFERROR(LOOKUP(2,1/(#REF!=Z836),#REF!),""))</f>
        <v/>
      </c>
      <c r="AB836" t="str">
        <f>IF(Z836="","",IFERROR(LOOKUP(2,1/(#REF!=Z836),#REF!),""))</f>
        <v/>
      </c>
      <c r="AC836" t="e">
        <f>IF(Z836="","",COUNTIF(#REF!,Z836))</f>
        <v>#REF!</v>
      </c>
      <c r="AD836" t="e">
        <f>IF(A836="","",IF(AC836&gt;1,"REVISAR DUPLICADO",IF(AA836&lt;&gt;"","ACTUALIZADO POR EYR","SIN REPORTE EYR")))</f>
        <v>#REF!</v>
      </c>
    </row>
    <row r="837" spans="1:30" x14ac:dyDescent="0.3">
      <c r="A837" s="5" t="s">
        <v>3274</v>
      </c>
      <c r="B837" t="s">
        <v>3273</v>
      </c>
      <c r="C837" s="4" t="s">
        <v>3272</v>
      </c>
      <c r="D837" t="s">
        <v>21</v>
      </c>
      <c r="F837" t="s">
        <v>13</v>
      </c>
      <c r="G837" s="3">
        <v>8099810724</v>
      </c>
      <c r="H837" s="2">
        <v>46127</v>
      </c>
      <c r="K837" s="1">
        <f ca="1">IF(A837="","",IF(OR(L837="ENTREGADA",L837="RETORNADA",L837="ENTREGA DIGITAL"),0,MAX(0,5-NETWORKDAYS(H837+1,TODAY()))))</f>
        <v>0</v>
      </c>
      <c r="L837" t="str">
        <f>IF(A837="","",IFERROR(LOOKUP(2,1/(#REF!=Z837),#REF!),Y837))</f>
        <v>ENTREGADA</v>
      </c>
      <c r="Y837" t="s">
        <v>1956</v>
      </c>
      <c r="Z837" t="str">
        <f>IF(A837="","",TEXT(A837,"0")&amp;"|"&amp;TEXT(H837,"0"))</f>
        <v>4921017830620540|46127</v>
      </c>
      <c r="AA837" t="str">
        <f>IF(Z837="","",IFERROR(LOOKUP(2,1/(#REF!=Z837),#REF!),""))</f>
        <v/>
      </c>
      <c r="AB837" t="str">
        <f>IF(Z837="","",IFERROR(LOOKUP(2,1/(#REF!=Z837),#REF!),""))</f>
        <v/>
      </c>
      <c r="AC837" t="e">
        <f>IF(Z837="","",COUNTIF(#REF!,Z837))</f>
        <v>#REF!</v>
      </c>
      <c r="AD837" t="e">
        <f>IF(A837="","",IF(AC837&gt;1,"REVISAR DUPLICADO",IF(AA837&lt;&gt;"","ACTUALIZADO POR EYR","SIN REPORTE EYR")))</f>
        <v>#REF!</v>
      </c>
    </row>
    <row r="838" spans="1:30" x14ac:dyDescent="0.3">
      <c r="A838" s="5" t="s">
        <v>3271</v>
      </c>
      <c r="B838" t="s">
        <v>3270</v>
      </c>
      <c r="C838" s="4" t="s">
        <v>3269</v>
      </c>
      <c r="D838" t="s">
        <v>21</v>
      </c>
      <c r="E838" t="s">
        <v>21</v>
      </c>
      <c r="F838" t="s">
        <v>62</v>
      </c>
      <c r="G838" s="3">
        <v>8094163775</v>
      </c>
      <c r="H838" s="2">
        <v>46127</v>
      </c>
      <c r="K838" s="1">
        <f ca="1">IF(A838="","",IF(OR(L838="ENTREGADA",L838="RETORNADA",L838="ENTREGA DIGITAL"),0,MAX(0,5-NETWORKDAYS(H838+1,TODAY()))))</f>
        <v>0</v>
      </c>
      <c r="L838" t="str">
        <f>IF(A838="","",IFERROR(LOOKUP(2,1/(#REF!=Z838),#REF!),Y838))</f>
        <v>ENTREGA DIGITAL</v>
      </c>
      <c r="Y838" t="s">
        <v>1396</v>
      </c>
      <c r="Z838" t="str">
        <f>IF(A838="","",TEXT(A838,"0")&amp;"|"&amp;TEXT(H838,"0"))</f>
        <v>5400017829619400|46127</v>
      </c>
      <c r="AA838" t="str">
        <f>IF(Z838="","",IFERROR(LOOKUP(2,1/(#REF!=Z838),#REF!),""))</f>
        <v/>
      </c>
      <c r="AB838" t="str">
        <f>IF(Z838="","",IFERROR(LOOKUP(2,1/(#REF!=Z838),#REF!),""))</f>
        <v/>
      </c>
      <c r="AC838" t="e">
        <f>IF(Z838="","",COUNTIF(#REF!,Z838))</f>
        <v>#REF!</v>
      </c>
      <c r="AD838" t="e">
        <f>IF(A838="","",IF(AC838&gt;1,"REVISAR DUPLICADO",IF(AA838&lt;&gt;"","ACTUALIZADO POR EYR","SIN REPORTE EYR")))</f>
        <v>#REF!</v>
      </c>
    </row>
    <row r="839" spans="1:30" x14ac:dyDescent="0.3">
      <c r="A839" s="5" t="s">
        <v>3268</v>
      </c>
      <c r="B839" t="s">
        <v>3267</v>
      </c>
      <c r="C839" s="4" t="s">
        <v>3266</v>
      </c>
      <c r="D839" t="s">
        <v>21</v>
      </c>
      <c r="F839" t="s">
        <v>0</v>
      </c>
      <c r="G839" s="3">
        <v>9999999999</v>
      </c>
      <c r="H839" s="2">
        <v>46127</v>
      </c>
      <c r="K839" s="1">
        <f ca="1">IF(A839="","",IF(OR(L839="ENTREGADA",L839="RETORNADA",L839="ENTREGA DIGITAL"),0,MAX(0,5-NETWORKDAYS(H839+1,TODAY()))))</f>
        <v>0</v>
      </c>
      <c r="L839" t="str">
        <f>IF(A839="","",IFERROR(LOOKUP(2,1/(#REF!=Z839),#REF!),Y839))</f>
        <v>RETORNADA</v>
      </c>
      <c r="Y839" t="s">
        <v>1857</v>
      </c>
      <c r="Z839" t="str">
        <f>IF(A839="","",TEXT(A839,"0")&amp;"|"&amp;TEXT(H839,"0"))</f>
        <v>4921017831741880|46127</v>
      </c>
      <c r="AA839" t="str">
        <f>IF(Z839="","",IFERROR(LOOKUP(2,1/(#REF!=Z839),#REF!),""))</f>
        <v/>
      </c>
      <c r="AB839" t="str">
        <f>IF(Z839="","",IFERROR(LOOKUP(2,1/(#REF!=Z839),#REF!),""))</f>
        <v/>
      </c>
      <c r="AC839" t="e">
        <f>IF(Z839="","",COUNTIF(#REF!,Z839))</f>
        <v>#REF!</v>
      </c>
      <c r="AD839" t="e">
        <f>IF(A839="","",IF(AC839&gt;1,"REVISAR DUPLICADO",IF(AA839&lt;&gt;"","ACTUALIZADO POR EYR","SIN REPORTE EYR")))</f>
        <v>#REF!</v>
      </c>
    </row>
    <row r="840" spans="1:30" x14ac:dyDescent="0.3">
      <c r="A840" s="5" t="s">
        <v>3265</v>
      </c>
      <c r="B840" t="s">
        <v>3264</v>
      </c>
      <c r="C840" s="4" t="s">
        <v>3263</v>
      </c>
      <c r="D840" t="s">
        <v>77</v>
      </c>
      <c r="F840" t="s">
        <v>122</v>
      </c>
      <c r="G840" s="3">
        <v>8098778059</v>
      </c>
      <c r="H840" s="2">
        <v>46127</v>
      </c>
      <c r="I840" t="s">
        <v>1397</v>
      </c>
      <c r="K840" s="1">
        <f ca="1">IF(A840="","",IF(OR(L840="ENTREGADA",L840="RETORNADA",L840="ENTREGA DIGITAL"),0,MAX(0,5-NETWORKDAYS(H840+1,TODAY()))))</f>
        <v>0</v>
      </c>
      <c r="L840" t="str">
        <f>IF(A840="","",IFERROR(LOOKUP(2,1/(#REF!=Z840),#REF!),Y840))</f>
        <v>ENTREGA DIGITAL</v>
      </c>
      <c r="Y840" t="s">
        <v>1396</v>
      </c>
      <c r="Z840" t="str">
        <f>IF(A840="","",TEXT(A840,"0")&amp;"|"&amp;TEXT(H840,"0"))</f>
        <v>4966017831190720|46127</v>
      </c>
      <c r="AA840" t="str">
        <f>IF(Z840="","",IFERROR(LOOKUP(2,1/(#REF!=Z840),#REF!),""))</f>
        <v/>
      </c>
      <c r="AB840" t="str">
        <f>IF(Z840="","",IFERROR(LOOKUP(2,1/(#REF!=Z840),#REF!),""))</f>
        <v/>
      </c>
      <c r="AC840" t="e">
        <f>IF(Z840="","",COUNTIF(#REF!,Z840))</f>
        <v>#REF!</v>
      </c>
      <c r="AD840" t="e">
        <f>IF(A840="","",IF(AC840&gt;1,"REVISAR DUPLICADO",IF(AA840&lt;&gt;"","ACTUALIZADO POR EYR","SIN REPORTE EYR")))</f>
        <v>#REF!</v>
      </c>
    </row>
    <row r="841" spans="1:30" x14ac:dyDescent="0.3">
      <c r="A841" s="5" t="s">
        <v>3262</v>
      </c>
      <c r="B841" t="s">
        <v>3261</v>
      </c>
      <c r="C841" s="4" t="s">
        <v>3260</v>
      </c>
      <c r="D841" t="s">
        <v>77</v>
      </c>
      <c r="F841">
        <v>39</v>
      </c>
      <c r="G841" s="3">
        <v>8098755813</v>
      </c>
      <c r="H841" s="2">
        <v>46127</v>
      </c>
      <c r="K841" s="1">
        <f ca="1">IF(A841="","",IF(OR(L841="ENTREGADA",L841="RETORNADA",L841="ENTREGA DIGITAL"),0,MAX(0,5-NETWORKDAYS(H841+1,TODAY()))))</f>
        <v>0</v>
      </c>
      <c r="L841" t="str">
        <f>IF(A841="","",IFERROR(LOOKUP(2,1/(#REF!=Z841),#REF!),Y841))</f>
        <v>RETORNADA</v>
      </c>
      <c r="Y841" t="s">
        <v>1857</v>
      </c>
      <c r="Z841" t="str">
        <f>IF(A841="","",TEXT(A841,"0")&amp;"|"&amp;TEXT(H841,"0"))</f>
        <v>4921017797164390|46127</v>
      </c>
      <c r="AA841" t="str">
        <f>IF(Z841="","",IFERROR(LOOKUP(2,1/(#REF!=Z841),#REF!),""))</f>
        <v/>
      </c>
      <c r="AB841" t="str">
        <f>IF(Z841="","",IFERROR(LOOKUP(2,1/(#REF!=Z841),#REF!),""))</f>
        <v/>
      </c>
      <c r="AC841" t="e">
        <f>IF(Z841="","",COUNTIF(#REF!,Z841))</f>
        <v>#REF!</v>
      </c>
      <c r="AD841" t="e">
        <f>IF(A841="","",IF(AC841&gt;1,"REVISAR DUPLICADO",IF(AA841&lt;&gt;"","ACTUALIZADO POR EYR","SIN REPORTE EYR")))</f>
        <v>#REF!</v>
      </c>
    </row>
    <row r="842" spans="1:30" x14ac:dyDescent="0.3">
      <c r="A842" s="5" t="s">
        <v>3259</v>
      </c>
      <c r="B842" t="s">
        <v>3258</v>
      </c>
      <c r="C842" s="4" t="s">
        <v>3257</v>
      </c>
      <c r="D842" t="s">
        <v>77</v>
      </c>
      <c r="F842" t="s">
        <v>0</v>
      </c>
      <c r="G842" s="3">
        <v>8092463631</v>
      </c>
      <c r="H842" s="2">
        <v>46127</v>
      </c>
      <c r="I842" t="s">
        <v>1397</v>
      </c>
      <c r="K842" s="1">
        <f ca="1">IF(A842="","",IF(OR(L842="ENTREGADA",L842="RETORNADA",L842="ENTREGA DIGITAL"),0,MAX(0,5-NETWORKDAYS(H842+1,TODAY()))))</f>
        <v>0</v>
      </c>
      <c r="L842" t="str">
        <f>IF(A842="","",IFERROR(LOOKUP(2,1/(#REF!=Z842),#REF!),Y842))</f>
        <v>ENTREGA DIGITAL</v>
      </c>
      <c r="Y842" t="s">
        <v>1396</v>
      </c>
      <c r="Z842" t="str">
        <f>IF(A842="","",TEXT(A842,"0")&amp;"|"&amp;TEXT(H842,"0"))</f>
        <v>4921017751166100|46127</v>
      </c>
      <c r="AA842" t="str">
        <f>IF(Z842="","",IFERROR(LOOKUP(2,1/(#REF!=Z842),#REF!),""))</f>
        <v/>
      </c>
      <c r="AB842" t="str">
        <f>IF(Z842="","",IFERROR(LOOKUP(2,1/(#REF!=Z842),#REF!),""))</f>
        <v/>
      </c>
      <c r="AC842" t="e">
        <f>IF(Z842="","",COUNTIF(#REF!,Z842))</f>
        <v>#REF!</v>
      </c>
      <c r="AD842" t="e">
        <f>IF(A842="","",IF(AC842&gt;1,"REVISAR DUPLICADO",IF(AA842&lt;&gt;"","ACTUALIZADO POR EYR","SIN REPORTE EYR")))</f>
        <v>#REF!</v>
      </c>
    </row>
    <row r="843" spans="1:30" x14ac:dyDescent="0.3">
      <c r="A843" s="5" t="s">
        <v>3256</v>
      </c>
      <c r="B843" t="s">
        <v>3255</v>
      </c>
      <c r="C843" s="4" t="s">
        <v>3254</v>
      </c>
      <c r="D843" t="s">
        <v>77</v>
      </c>
      <c r="F843" t="s">
        <v>3253</v>
      </c>
      <c r="G843" s="3">
        <v>8097825159</v>
      </c>
      <c r="H843" s="2">
        <v>46127</v>
      </c>
      <c r="I843" t="s">
        <v>1397</v>
      </c>
      <c r="K843" s="1">
        <f ca="1">IF(A843="","",IF(OR(L843="ENTREGADA",L843="RETORNADA",L843="ENTREGA DIGITAL"),0,MAX(0,5-NETWORKDAYS(H843+1,TODAY()))))</f>
        <v>0</v>
      </c>
      <c r="L843" t="str">
        <f>IF(A843="","",IFERROR(LOOKUP(2,1/(#REF!=Z843),#REF!),Y843))</f>
        <v>ENTREGA DIGITAL</v>
      </c>
      <c r="Y843" t="s">
        <v>1396</v>
      </c>
      <c r="Z843" t="str">
        <f>IF(A843="","",TEXT(A843,"0")&amp;"|"&amp;TEXT(H843,"0"))</f>
        <v>5188017825251100|46127</v>
      </c>
      <c r="AA843" t="str">
        <f>IF(Z843="","",IFERROR(LOOKUP(2,1/(#REF!=Z843),#REF!),""))</f>
        <v/>
      </c>
      <c r="AB843" t="str">
        <f>IF(Z843="","",IFERROR(LOOKUP(2,1/(#REF!=Z843),#REF!),""))</f>
        <v/>
      </c>
      <c r="AC843" t="e">
        <f>IF(Z843="","",COUNTIF(#REF!,Z843))</f>
        <v>#REF!</v>
      </c>
      <c r="AD843" t="e">
        <f>IF(A843="","",IF(AC843&gt;1,"REVISAR DUPLICADO",IF(AA843&lt;&gt;"","ACTUALIZADO POR EYR","SIN REPORTE EYR")))</f>
        <v>#REF!</v>
      </c>
    </row>
    <row r="844" spans="1:30" x14ac:dyDescent="0.3">
      <c r="A844" s="5" t="s">
        <v>3252</v>
      </c>
      <c r="B844" t="s">
        <v>3251</v>
      </c>
      <c r="C844" s="4" t="s">
        <v>3250</v>
      </c>
      <c r="D844" t="s">
        <v>77</v>
      </c>
      <c r="F844" t="s">
        <v>3249</v>
      </c>
      <c r="G844" s="3">
        <v>8095543748</v>
      </c>
      <c r="H844" s="2">
        <v>46127</v>
      </c>
      <c r="I844" t="s">
        <v>1397</v>
      </c>
      <c r="K844" s="1">
        <f ca="1">IF(A844="","",IF(OR(L844="ENTREGADA",L844="RETORNADA",L844="ENTREGA DIGITAL"),0,MAX(0,5-NETWORKDAYS(H844+1,TODAY()))))</f>
        <v>0</v>
      </c>
      <c r="L844" t="str">
        <f>IF(A844="","",IFERROR(LOOKUP(2,1/(#REF!=Z844),#REF!),Y844))</f>
        <v>ENTREGA DIGITAL</v>
      </c>
      <c r="Y844" t="s">
        <v>1396</v>
      </c>
      <c r="Z844" t="str">
        <f>IF(A844="","",TEXT(A844,"0")&amp;"|"&amp;TEXT(H844,"0"))</f>
        <v>4921017734680900|46127</v>
      </c>
      <c r="AA844" t="str">
        <f>IF(Z844="","",IFERROR(LOOKUP(2,1/(#REF!=Z844),#REF!),""))</f>
        <v/>
      </c>
      <c r="AB844" t="str">
        <f>IF(Z844="","",IFERROR(LOOKUP(2,1/(#REF!=Z844),#REF!),""))</f>
        <v/>
      </c>
      <c r="AC844" t="e">
        <f>IF(Z844="","",COUNTIF(#REF!,Z844))</f>
        <v>#REF!</v>
      </c>
      <c r="AD844" t="e">
        <f>IF(A844="","",IF(AC844&gt;1,"REVISAR DUPLICADO",IF(AA844&lt;&gt;"","ACTUALIZADO POR EYR","SIN REPORTE EYR")))</f>
        <v>#REF!</v>
      </c>
    </row>
    <row r="845" spans="1:30" x14ac:dyDescent="0.3">
      <c r="A845" s="5" t="s">
        <v>3248</v>
      </c>
      <c r="B845" t="s">
        <v>3247</v>
      </c>
      <c r="C845" s="4" t="s">
        <v>3246</v>
      </c>
      <c r="D845" t="s">
        <v>77</v>
      </c>
      <c r="F845" t="s">
        <v>3245</v>
      </c>
      <c r="G845" s="3">
        <v>8098392842</v>
      </c>
      <c r="H845" s="2">
        <v>46127</v>
      </c>
      <c r="I845" t="s">
        <v>1397</v>
      </c>
      <c r="K845" s="1">
        <f ca="1">IF(A845="","",IF(OR(L845="ENTREGADA",L845="RETORNADA",L845="ENTREGA DIGITAL"),0,MAX(0,5-NETWORKDAYS(H845+1,TODAY()))))</f>
        <v>0</v>
      </c>
      <c r="L845" t="str">
        <f>IF(A845="","",IFERROR(LOOKUP(2,1/(#REF!=Z845),#REF!),Y845))</f>
        <v>ENTREGA DIGITAL</v>
      </c>
      <c r="Y845" t="s">
        <v>1396</v>
      </c>
      <c r="Z845" t="str">
        <f>IF(A845="","",TEXT(A845,"0")&amp;"|"&amp;TEXT(H845,"0"))</f>
        <v>5188017829893640|46127</v>
      </c>
      <c r="AA845" t="str">
        <f>IF(Z845="","",IFERROR(LOOKUP(2,1/(#REF!=Z845),#REF!),""))</f>
        <v/>
      </c>
      <c r="AB845" t="str">
        <f>IF(Z845="","",IFERROR(LOOKUP(2,1/(#REF!=Z845),#REF!),""))</f>
        <v/>
      </c>
      <c r="AC845" t="e">
        <f>IF(Z845="","",COUNTIF(#REF!,Z845))</f>
        <v>#REF!</v>
      </c>
      <c r="AD845" t="e">
        <f>IF(A845="","",IF(AC845&gt;1,"REVISAR DUPLICADO",IF(AA845&lt;&gt;"","ACTUALIZADO POR EYR","SIN REPORTE EYR")))</f>
        <v>#REF!</v>
      </c>
    </row>
    <row r="846" spans="1:30" x14ac:dyDescent="0.3">
      <c r="A846" s="5" t="s">
        <v>3244</v>
      </c>
      <c r="B846" t="s">
        <v>3243</v>
      </c>
      <c r="C846" s="4" t="s">
        <v>3242</v>
      </c>
      <c r="D846" t="s">
        <v>77</v>
      </c>
      <c r="F846" t="s">
        <v>13</v>
      </c>
      <c r="G846" s="3">
        <v>8492878702</v>
      </c>
      <c r="H846" s="2">
        <v>46127</v>
      </c>
      <c r="I846" t="s">
        <v>1397</v>
      </c>
      <c r="K846" s="1">
        <f ca="1">IF(A846="","",IF(OR(L846="ENTREGADA",L846="RETORNADA",L846="ENTREGA DIGITAL"),0,MAX(0,5-NETWORKDAYS(H846+1,TODAY()))))</f>
        <v>0</v>
      </c>
      <c r="L846" t="str">
        <f>IF(A846="","",IFERROR(LOOKUP(2,1/(#REF!=Z846),#REF!),Y846))</f>
        <v>ENTREGA DIGITAL</v>
      </c>
      <c r="Y846" t="s">
        <v>1396</v>
      </c>
      <c r="Z846" t="str">
        <f>IF(A846="","",TEXT(A846,"0")&amp;"|"&amp;TEXT(H846,"0"))</f>
        <v>4921017832058560|46127</v>
      </c>
      <c r="AA846" t="str">
        <f>IF(Z846="","",IFERROR(LOOKUP(2,1/(#REF!=Z846),#REF!),""))</f>
        <v/>
      </c>
      <c r="AB846" t="str">
        <f>IF(Z846="","",IFERROR(LOOKUP(2,1/(#REF!=Z846),#REF!),""))</f>
        <v/>
      </c>
      <c r="AC846" t="e">
        <f>IF(Z846="","",COUNTIF(#REF!,Z846))</f>
        <v>#REF!</v>
      </c>
      <c r="AD846" t="e">
        <f>IF(A846="","",IF(AC846&gt;1,"REVISAR DUPLICADO",IF(AA846&lt;&gt;"","ACTUALIZADO POR EYR","SIN REPORTE EYR")))</f>
        <v>#REF!</v>
      </c>
    </row>
    <row r="847" spans="1:30" x14ac:dyDescent="0.3">
      <c r="A847" s="5" t="s">
        <v>3241</v>
      </c>
      <c r="B847" t="s">
        <v>3240</v>
      </c>
      <c r="C847" s="4" t="s">
        <v>3239</v>
      </c>
      <c r="D847" t="s">
        <v>77</v>
      </c>
      <c r="E847" t="s">
        <v>214</v>
      </c>
      <c r="F847" t="s">
        <v>391</v>
      </c>
      <c r="G847" s="3">
        <v>8098717884</v>
      </c>
      <c r="H847" s="2">
        <v>46127</v>
      </c>
      <c r="K847" s="1">
        <f ca="1">IF(A847="","",IF(OR(L847="ENTREGADA",L847="RETORNADA",L847="ENTREGA DIGITAL"),0,MAX(0,5-NETWORKDAYS(H847+1,TODAY()))))</f>
        <v>0</v>
      </c>
      <c r="L847" t="str">
        <f>IF(A847="","",IFERROR(LOOKUP(2,1/(#REF!=Z847),#REF!),Y847))</f>
        <v>ENTREGA DIGITAL</v>
      </c>
      <c r="Y847" t="s">
        <v>1396</v>
      </c>
      <c r="Z847" t="str">
        <f>IF(A847="","",TEXT(A847,"0")&amp;"|"&amp;TEXT(H847,"0"))</f>
        <v>5188017829886100|46127</v>
      </c>
      <c r="AA847" t="str">
        <f>IF(Z847="","",IFERROR(LOOKUP(2,1/(#REF!=Z847),#REF!),""))</f>
        <v/>
      </c>
      <c r="AB847" t="str">
        <f>IF(Z847="","",IFERROR(LOOKUP(2,1/(#REF!=Z847),#REF!),""))</f>
        <v/>
      </c>
      <c r="AC847" t="e">
        <f>IF(Z847="","",COUNTIF(#REF!,Z847))</f>
        <v>#REF!</v>
      </c>
      <c r="AD847" t="e">
        <f>IF(A847="","",IF(AC847&gt;1,"REVISAR DUPLICADO",IF(AA847&lt;&gt;"","ACTUALIZADO POR EYR","SIN REPORTE EYR")))</f>
        <v>#REF!</v>
      </c>
    </row>
    <row r="848" spans="1:30" x14ac:dyDescent="0.3">
      <c r="A848" s="5" t="s">
        <v>3238</v>
      </c>
      <c r="B848" t="s">
        <v>3237</v>
      </c>
      <c r="C848" s="4" t="s">
        <v>3236</v>
      </c>
      <c r="D848" t="s">
        <v>77</v>
      </c>
      <c r="E848" t="s">
        <v>214</v>
      </c>
      <c r="F848" t="s">
        <v>391</v>
      </c>
      <c r="G848" s="3">
        <v>8294374674</v>
      </c>
      <c r="H848" s="2">
        <v>46127</v>
      </c>
      <c r="K848" s="1">
        <f ca="1">IF(A848="","",IF(OR(L848="ENTREGADA",L848="RETORNADA",L848="ENTREGA DIGITAL"),0,MAX(0,5-NETWORKDAYS(H848+1,TODAY()))))</f>
        <v>0</v>
      </c>
      <c r="L848" t="str">
        <f>IF(A848="","",IFERROR(LOOKUP(2,1/(#REF!=Z848),#REF!),Y848))</f>
        <v>ENTREGA DIGITAL</v>
      </c>
      <c r="Y848" t="s">
        <v>1396</v>
      </c>
      <c r="Z848" t="str">
        <f>IF(A848="","",TEXT(A848,"0")&amp;"|"&amp;TEXT(H848,"0"))</f>
        <v>5415017829127440|46127</v>
      </c>
      <c r="AA848" t="str">
        <f>IF(Z848="","",IFERROR(LOOKUP(2,1/(#REF!=Z848),#REF!),""))</f>
        <v/>
      </c>
      <c r="AB848" t="str">
        <f>IF(Z848="","",IFERROR(LOOKUP(2,1/(#REF!=Z848),#REF!),""))</f>
        <v/>
      </c>
      <c r="AC848" t="e">
        <f>IF(Z848="","",COUNTIF(#REF!,Z848))</f>
        <v>#REF!</v>
      </c>
      <c r="AD848" t="e">
        <f>IF(A848="","",IF(AC848&gt;1,"REVISAR DUPLICADO",IF(AA848&lt;&gt;"","ACTUALIZADO POR EYR","SIN REPORTE EYR")))</f>
        <v>#REF!</v>
      </c>
    </row>
    <row r="849" spans="1:30" x14ac:dyDescent="0.3">
      <c r="A849" s="5" t="s">
        <v>3235</v>
      </c>
      <c r="B849" t="s">
        <v>2820</v>
      </c>
      <c r="C849" s="4" t="s">
        <v>2819</v>
      </c>
      <c r="D849" t="s">
        <v>1</v>
      </c>
      <c r="F849" t="s">
        <v>9</v>
      </c>
      <c r="G849" s="3">
        <v>8096299201</v>
      </c>
      <c r="H849" s="2">
        <v>46127</v>
      </c>
      <c r="K849" s="1">
        <f ca="1">IF(A849="","",IF(OR(L849="ENTREGADA",L849="RETORNADA",L849="ENTREGA DIGITAL"),0,MAX(0,5-NETWORKDAYS(H849+1,TODAY()))))</f>
        <v>0</v>
      </c>
      <c r="L849" t="str">
        <f>IF(A849="","",IFERROR(LOOKUP(2,1/(#REF!=Z849),#REF!),Y849))</f>
        <v>ENTREGA DIGITAL</v>
      </c>
      <c r="Y849" t="s">
        <v>1396</v>
      </c>
      <c r="Z849" t="str">
        <f>IF(A849="","",TEXT(A849,"0")&amp;"|"&amp;TEXT(H849,"0"))</f>
        <v>4921017831996990|46127</v>
      </c>
      <c r="AA849" t="str">
        <f>IF(Z849="","",IFERROR(LOOKUP(2,1/(#REF!=Z849),#REF!),""))</f>
        <v/>
      </c>
      <c r="AB849" t="str">
        <f>IF(Z849="","",IFERROR(LOOKUP(2,1/(#REF!=Z849),#REF!),""))</f>
        <v/>
      </c>
      <c r="AC849" t="e">
        <f>IF(Z849="","",COUNTIF(#REF!,Z849))</f>
        <v>#REF!</v>
      </c>
      <c r="AD849" t="e">
        <f>IF(A849="","",IF(AC849&gt;1,"REVISAR DUPLICADO",IF(AA849&lt;&gt;"","ACTUALIZADO POR EYR","SIN REPORTE EYR")))</f>
        <v>#REF!</v>
      </c>
    </row>
    <row r="850" spans="1:30" x14ac:dyDescent="0.3">
      <c r="A850" s="5" t="s">
        <v>1827</v>
      </c>
      <c r="B850" t="s">
        <v>1826</v>
      </c>
      <c r="C850" s="4" t="s">
        <v>1825</v>
      </c>
      <c r="D850" t="s">
        <v>1</v>
      </c>
      <c r="E850" t="s">
        <v>214</v>
      </c>
      <c r="F850" t="s">
        <v>3234</v>
      </c>
      <c r="G850" s="3">
        <v>8092060769</v>
      </c>
      <c r="H850" s="2">
        <v>46127</v>
      </c>
      <c r="K850" s="1">
        <f ca="1">IF(A850="","",IF(OR(L850="ENTREGADA",L850="RETORNADA",L850="ENTREGA DIGITAL"),0,MAX(0,5-NETWORKDAYS(H850+1,TODAY()))))</f>
        <v>0</v>
      </c>
      <c r="L850" t="str">
        <f>IF(A850="","",IFERROR(LOOKUP(2,1/(#REF!=Z850),#REF!),Y850))</f>
        <v>RETORNADA</v>
      </c>
      <c r="Y850" t="s">
        <v>1857</v>
      </c>
      <c r="Z850" t="str">
        <f>IF(A850="","",TEXT(A850,"0")&amp;"|"&amp;TEXT(H850,"0"))</f>
        <v>4921017830853180|46127</v>
      </c>
      <c r="AA850" t="str">
        <f>IF(Z850="","",IFERROR(LOOKUP(2,1/(#REF!=Z850),#REF!),""))</f>
        <v/>
      </c>
      <c r="AB850" t="str">
        <f>IF(Z850="","",IFERROR(LOOKUP(2,1/(#REF!=Z850),#REF!),""))</f>
        <v/>
      </c>
      <c r="AC850" t="e">
        <f>IF(Z850="","",COUNTIF(#REF!,Z850))</f>
        <v>#REF!</v>
      </c>
      <c r="AD850" t="e">
        <f>IF(A850="","",IF(AC850&gt;1,"REVISAR DUPLICADO",IF(AA850&lt;&gt;"","ACTUALIZADO POR EYR","SIN REPORTE EYR")))</f>
        <v>#REF!</v>
      </c>
    </row>
    <row r="851" spans="1:30" x14ac:dyDescent="0.3">
      <c r="A851" s="5" t="s">
        <v>1442</v>
      </c>
      <c r="B851" t="s">
        <v>1441</v>
      </c>
      <c r="C851" s="4" t="s">
        <v>1440</v>
      </c>
      <c r="D851" t="s">
        <v>1</v>
      </c>
      <c r="F851" t="s">
        <v>13</v>
      </c>
      <c r="G851" s="3">
        <v>8297193910</v>
      </c>
      <c r="H851" s="2">
        <v>46127</v>
      </c>
      <c r="K851" s="1">
        <f ca="1">IF(A851="","",IF(OR(L851="ENTREGADA",L851="RETORNADA",L851="ENTREGA DIGITAL"),0,MAX(0,5-NETWORKDAYS(H851+1,TODAY()))))</f>
        <v>0</v>
      </c>
      <c r="L851" t="str">
        <f>IF(A851="","",IFERROR(LOOKUP(2,1/(#REF!=Z851),#REF!),Y851))</f>
        <v>RETORNADA</v>
      </c>
      <c r="Y851" t="s">
        <v>1857</v>
      </c>
      <c r="Z851" t="str">
        <f>IF(A851="","",TEXT(A851,"0")&amp;"|"&amp;TEXT(H851,"0"))</f>
        <v>5415017829205760|46127</v>
      </c>
      <c r="AA851" t="str">
        <f>IF(Z851="","",IFERROR(LOOKUP(2,1/(#REF!=Z851),#REF!),""))</f>
        <v/>
      </c>
      <c r="AB851" t="str">
        <f>IF(Z851="","",IFERROR(LOOKUP(2,1/(#REF!=Z851),#REF!),""))</f>
        <v/>
      </c>
      <c r="AC851" t="e">
        <f>IF(Z851="","",COUNTIF(#REF!,Z851))</f>
        <v>#REF!</v>
      </c>
      <c r="AD851" t="e">
        <f>IF(A851="","",IF(AC851&gt;1,"REVISAR DUPLICADO",IF(AA851&lt;&gt;"","ACTUALIZADO POR EYR","SIN REPORTE EYR")))</f>
        <v>#REF!</v>
      </c>
    </row>
    <row r="852" spans="1:30" x14ac:dyDescent="0.3">
      <c r="A852" s="5" t="s">
        <v>3233</v>
      </c>
      <c r="B852" t="s">
        <v>3232</v>
      </c>
      <c r="C852" s="4" t="s">
        <v>3231</v>
      </c>
      <c r="D852" t="s">
        <v>1</v>
      </c>
      <c r="F852" t="s">
        <v>13</v>
      </c>
      <c r="G852" s="3">
        <v>8092580632</v>
      </c>
      <c r="H852" s="2">
        <v>46127</v>
      </c>
      <c r="K852" s="1">
        <f ca="1">IF(A852="","",IF(OR(L852="ENTREGADA",L852="RETORNADA",L852="ENTREGA DIGITAL"),0,MAX(0,5-NETWORKDAYS(H852+1,TODAY()))))</f>
        <v>0</v>
      </c>
      <c r="L852" t="str">
        <f>IF(A852="","",IFERROR(LOOKUP(2,1/(#REF!=Z852),#REF!),Y852))</f>
        <v>RETORNADA</v>
      </c>
      <c r="Y852" t="s">
        <v>1857</v>
      </c>
      <c r="Z852" t="str">
        <f>IF(A852="","",TEXT(A852,"0")&amp;"|"&amp;TEXT(H852,"0"))</f>
        <v>4025017827891990|46127</v>
      </c>
      <c r="AA852" t="str">
        <f>IF(Z852="","",IFERROR(LOOKUP(2,1/(#REF!=Z852),#REF!),""))</f>
        <v/>
      </c>
      <c r="AB852" t="str">
        <f>IF(Z852="","",IFERROR(LOOKUP(2,1/(#REF!=Z852),#REF!),""))</f>
        <v/>
      </c>
      <c r="AC852" t="e">
        <f>IF(Z852="","",COUNTIF(#REF!,Z852))</f>
        <v>#REF!</v>
      </c>
      <c r="AD852" t="e">
        <f>IF(A852="","",IF(AC852&gt;1,"REVISAR DUPLICADO",IF(AA852&lt;&gt;"","ACTUALIZADO POR EYR","SIN REPORTE EYR")))</f>
        <v>#REF!</v>
      </c>
    </row>
    <row r="853" spans="1:30" x14ac:dyDescent="0.3">
      <c r="A853" s="5" t="s">
        <v>3230</v>
      </c>
      <c r="B853" t="s">
        <v>3229</v>
      </c>
      <c r="C853" s="4" t="s">
        <v>3228</v>
      </c>
      <c r="D853" t="s">
        <v>1</v>
      </c>
      <c r="F853" t="s">
        <v>9</v>
      </c>
      <c r="G853" s="3">
        <v>8099888377</v>
      </c>
      <c r="H853" s="2">
        <v>46127</v>
      </c>
      <c r="K853" s="1">
        <f ca="1">IF(A853="","",IF(OR(L853="ENTREGADA",L853="RETORNADA",L853="ENTREGA DIGITAL"),0,MAX(0,5-NETWORKDAYS(H853+1,TODAY()))))</f>
        <v>0</v>
      </c>
      <c r="L853" t="str">
        <f>IF(A853="","",IFERROR(LOOKUP(2,1/(#REF!=Z853),#REF!),Y853))</f>
        <v>ENTREGA DIGITAL</v>
      </c>
      <c r="Y853" t="s">
        <v>1396</v>
      </c>
      <c r="Z853" t="str">
        <f>IF(A853="","",TEXT(A853,"0")&amp;"|"&amp;TEXT(H853,"0"))</f>
        <v>4025017827919150|46127</v>
      </c>
      <c r="AA853" t="str">
        <f>IF(Z853="","",IFERROR(LOOKUP(2,1/(#REF!=Z853),#REF!),""))</f>
        <v/>
      </c>
      <c r="AB853" t="str">
        <f>IF(Z853="","",IFERROR(LOOKUP(2,1/(#REF!=Z853),#REF!),""))</f>
        <v/>
      </c>
      <c r="AC853" t="e">
        <f>IF(Z853="","",COUNTIF(#REF!,Z853))</f>
        <v>#REF!</v>
      </c>
      <c r="AD853" t="e">
        <f>IF(A853="","",IF(AC853&gt;1,"REVISAR DUPLICADO",IF(AA853&lt;&gt;"","ACTUALIZADO POR EYR","SIN REPORTE EYR")))</f>
        <v>#REF!</v>
      </c>
    </row>
    <row r="854" spans="1:30" x14ac:dyDescent="0.3">
      <c r="A854" s="5" t="s">
        <v>3227</v>
      </c>
      <c r="B854" t="s">
        <v>3226</v>
      </c>
      <c r="C854" s="4" t="s">
        <v>3225</v>
      </c>
      <c r="D854" t="s">
        <v>1</v>
      </c>
      <c r="E854" t="s">
        <v>214</v>
      </c>
      <c r="F854" t="s">
        <v>648</v>
      </c>
      <c r="G854" s="3">
        <v>8295796123</v>
      </c>
      <c r="H854" s="2">
        <v>46127</v>
      </c>
      <c r="K854" s="1">
        <f ca="1">IF(A854="","",IF(OR(L854="ENTREGADA",L854="RETORNADA",L854="ENTREGA DIGITAL"),0,MAX(0,5-NETWORKDAYS(H854+1,TODAY()))))</f>
        <v>0</v>
      </c>
      <c r="L854" t="str">
        <f>IF(A854="","",IFERROR(LOOKUP(2,1/(#REF!=Z854),#REF!),Y854))</f>
        <v>RETORNADA</v>
      </c>
      <c r="Y854" t="s">
        <v>1857</v>
      </c>
      <c r="Z854" t="str">
        <f>IF(A854="","",TEXT(A854,"0")&amp;"|"&amp;TEXT(H854,"0"))</f>
        <v>5227017825038160|46127</v>
      </c>
      <c r="AA854" t="str">
        <f>IF(Z854="","",IFERROR(LOOKUP(2,1/(#REF!=Z854),#REF!),""))</f>
        <v/>
      </c>
      <c r="AB854" t="str">
        <f>IF(Z854="","",IFERROR(LOOKUP(2,1/(#REF!=Z854),#REF!),""))</f>
        <v/>
      </c>
      <c r="AC854" t="e">
        <f>IF(Z854="","",COUNTIF(#REF!,Z854))</f>
        <v>#REF!</v>
      </c>
      <c r="AD854" t="e">
        <f>IF(A854="","",IF(AC854&gt;1,"REVISAR DUPLICADO",IF(AA854&lt;&gt;"","ACTUALIZADO POR EYR","SIN REPORTE EYR")))</f>
        <v>#REF!</v>
      </c>
    </row>
    <row r="855" spans="1:30" x14ac:dyDescent="0.3">
      <c r="A855" s="5" t="s">
        <v>3224</v>
      </c>
      <c r="B855" t="s">
        <v>3223</v>
      </c>
      <c r="C855" s="4" t="s">
        <v>3222</v>
      </c>
      <c r="D855" t="s">
        <v>1</v>
      </c>
      <c r="F855" t="s">
        <v>3050</v>
      </c>
      <c r="G855" s="3">
        <v>8299586863</v>
      </c>
      <c r="H855" s="2">
        <v>46127</v>
      </c>
      <c r="K855" s="1">
        <f ca="1">IF(A855="","",IF(OR(L855="ENTREGADA",L855="RETORNADA",L855="ENTREGA DIGITAL"),0,MAX(0,5-NETWORKDAYS(H855+1,TODAY()))))</f>
        <v>0</v>
      </c>
      <c r="L855" t="str">
        <f>IF(A855="","",IFERROR(LOOKUP(2,1/(#REF!=Z855),#REF!),Y855))</f>
        <v>ENTREGA DIGITAL</v>
      </c>
      <c r="Y855" t="s">
        <v>1396</v>
      </c>
      <c r="Z855" t="str">
        <f>IF(A855="","",TEXT(A855,"0")&amp;"|"&amp;TEXT(H855,"0"))</f>
        <v>4025017827846530|46127</v>
      </c>
      <c r="AA855" t="str">
        <f>IF(Z855="","",IFERROR(LOOKUP(2,1/(#REF!=Z855),#REF!),""))</f>
        <v/>
      </c>
      <c r="AB855" t="str">
        <f>IF(Z855="","",IFERROR(LOOKUP(2,1/(#REF!=Z855),#REF!),""))</f>
        <v/>
      </c>
      <c r="AC855" t="e">
        <f>IF(Z855="","",COUNTIF(#REF!,Z855))</f>
        <v>#REF!</v>
      </c>
      <c r="AD855" t="e">
        <f>IF(A855="","",IF(AC855&gt;1,"REVISAR DUPLICADO",IF(AA855&lt;&gt;"","ACTUALIZADO POR EYR","SIN REPORTE EYR")))</f>
        <v>#REF!</v>
      </c>
    </row>
    <row r="856" spans="1:30" x14ac:dyDescent="0.3">
      <c r="A856" s="5" t="s">
        <v>3221</v>
      </c>
      <c r="B856" t="s">
        <v>3220</v>
      </c>
      <c r="C856" s="4" t="s">
        <v>3219</v>
      </c>
      <c r="D856" t="s">
        <v>1</v>
      </c>
      <c r="F856" t="s">
        <v>13</v>
      </c>
      <c r="G856" s="3">
        <v>8492544408</v>
      </c>
      <c r="H856" s="2">
        <v>46127</v>
      </c>
      <c r="I856" t="s">
        <v>1397</v>
      </c>
      <c r="K856" s="1">
        <f ca="1">IF(A856="","",IF(OR(L856="ENTREGADA",L856="RETORNADA",L856="ENTREGA DIGITAL"),0,MAX(0,5-NETWORKDAYS(H856+1,TODAY()))))</f>
        <v>0</v>
      </c>
      <c r="L856" t="str">
        <f>IF(A856="","",IFERROR(LOOKUP(2,1/(#REF!=Z856),#REF!),Y856))</f>
        <v>ENTREGA DIGITAL</v>
      </c>
      <c r="Y856" t="s">
        <v>1396</v>
      </c>
      <c r="Z856" t="str">
        <f>IF(A856="","",TEXT(A856,"0")&amp;"|"&amp;TEXT(H856,"0"))</f>
        <v>4921017735999570|46127</v>
      </c>
      <c r="AA856" t="str">
        <f>IF(Z856="","",IFERROR(LOOKUP(2,1/(#REF!=Z856),#REF!),""))</f>
        <v/>
      </c>
      <c r="AB856" t="str">
        <f>IF(Z856="","",IFERROR(LOOKUP(2,1/(#REF!=Z856),#REF!),""))</f>
        <v/>
      </c>
      <c r="AC856" t="e">
        <f>IF(Z856="","",COUNTIF(#REF!,Z856))</f>
        <v>#REF!</v>
      </c>
      <c r="AD856" t="e">
        <f>IF(A856="","",IF(AC856&gt;1,"REVISAR DUPLICADO",IF(AA856&lt;&gt;"","ACTUALIZADO POR EYR","SIN REPORTE EYR")))</f>
        <v>#REF!</v>
      </c>
    </row>
    <row r="857" spans="1:30" x14ac:dyDescent="0.3">
      <c r="A857" s="5" t="s">
        <v>864</v>
      </c>
      <c r="B857" t="s">
        <v>863</v>
      </c>
      <c r="C857" s="4" t="s">
        <v>862</v>
      </c>
      <c r="D857" t="s">
        <v>1</v>
      </c>
      <c r="F857" t="s">
        <v>0</v>
      </c>
      <c r="G857" s="3">
        <v>8099518442</v>
      </c>
      <c r="H857" s="2">
        <v>46127</v>
      </c>
      <c r="K857" s="1">
        <f ca="1">IF(A857="","",IF(OR(L857="ENTREGADA",L857="RETORNADA",L857="ENTREGA DIGITAL"),0,MAX(0,5-NETWORKDAYS(H857+1,TODAY()))))</f>
        <v>0</v>
      </c>
      <c r="L857" t="str">
        <f>IF(A857="","",IFERROR(LOOKUP(2,1/(#REF!=Z857),#REF!),Y857))</f>
        <v>RETORNADA</v>
      </c>
      <c r="Y857" t="s">
        <v>1857</v>
      </c>
      <c r="Z857" t="str">
        <f>IF(A857="","",TEXT(A857,"0")&amp;"|"&amp;TEXT(H857,"0"))</f>
        <v>4921017746294600|46127</v>
      </c>
      <c r="AA857" t="str">
        <f>IF(Z857="","",IFERROR(LOOKUP(2,1/(#REF!=Z857),#REF!),""))</f>
        <v/>
      </c>
      <c r="AB857" t="str">
        <f>IF(Z857="","",IFERROR(LOOKUP(2,1/(#REF!=Z857),#REF!),""))</f>
        <v/>
      </c>
      <c r="AC857" t="e">
        <f>IF(Z857="","",COUNTIF(#REF!,Z857))</f>
        <v>#REF!</v>
      </c>
      <c r="AD857" t="e">
        <f>IF(A857="","",IF(AC857&gt;1,"REVISAR DUPLICADO",IF(AA857&lt;&gt;"","ACTUALIZADO POR EYR","SIN REPORTE EYR")))</f>
        <v>#REF!</v>
      </c>
    </row>
    <row r="858" spans="1:30" x14ac:dyDescent="0.3">
      <c r="A858" s="5" t="s">
        <v>3218</v>
      </c>
      <c r="B858" t="s">
        <v>3217</v>
      </c>
      <c r="C858" s="4" t="s">
        <v>3216</v>
      </c>
      <c r="D858" t="s">
        <v>1</v>
      </c>
      <c r="F858" t="s">
        <v>13</v>
      </c>
      <c r="G858" s="3">
        <v>8297886992</v>
      </c>
      <c r="H858" s="2">
        <v>46127</v>
      </c>
      <c r="K858" s="1">
        <f ca="1">IF(A858="","",IF(OR(L858="ENTREGADA",L858="RETORNADA",L858="ENTREGA DIGITAL"),0,MAX(0,5-NETWORKDAYS(H858+1,TODAY()))))</f>
        <v>0</v>
      </c>
      <c r="L858" t="str">
        <f>IF(A858="","",IFERROR(LOOKUP(2,1/(#REF!=Z858),#REF!),Y858))</f>
        <v>ENTREGA DIGITAL</v>
      </c>
      <c r="Y858" t="s">
        <v>1396</v>
      </c>
      <c r="Z858" t="str">
        <f>IF(A858="","",TEXT(A858,"0")&amp;"|"&amp;TEXT(H858,"0"))</f>
        <v>4921017822016850|46127</v>
      </c>
      <c r="AA858" t="str">
        <f>IF(Z858="","",IFERROR(LOOKUP(2,1/(#REF!=Z858),#REF!),""))</f>
        <v/>
      </c>
      <c r="AB858" t="str">
        <f>IF(Z858="","",IFERROR(LOOKUP(2,1/(#REF!=Z858),#REF!),""))</f>
        <v/>
      </c>
      <c r="AC858" t="e">
        <f>IF(Z858="","",COUNTIF(#REF!,Z858))</f>
        <v>#REF!</v>
      </c>
      <c r="AD858" t="e">
        <f>IF(A858="","",IF(AC858&gt;1,"REVISAR DUPLICADO",IF(AA858&lt;&gt;"","ACTUALIZADO POR EYR","SIN REPORTE EYR")))</f>
        <v>#REF!</v>
      </c>
    </row>
    <row r="859" spans="1:30" x14ac:dyDescent="0.3">
      <c r="A859" s="5" t="s">
        <v>3215</v>
      </c>
      <c r="B859" t="s">
        <v>3214</v>
      </c>
      <c r="C859" s="4" t="s">
        <v>3213</v>
      </c>
      <c r="D859" t="s">
        <v>1</v>
      </c>
      <c r="F859" t="s">
        <v>13</v>
      </c>
      <c r="G859" s="3">
        <v>8293717877</v>
      </c>
      <c r="H859" s="2">
        <v>46127</v>
      </c>
      <c r="I859" t="s">
        <v>1397</v>
      </c>
      <c r="K859" s="1">
        <f ca="1">IF(A859="","",IF(OR(L859="ENTREGADA",L859="RETORNADA",L859="ENTREGA DIGITAL"),0,MAX(0,5-NETWORKDAYS(H859+1,TODAY()))))</f>
        <v>0</v>
      </c>
      <c r="L859" t="str">
        <f>IF(A859="","",IFERROR(LOOKUP(2,1/(#REF!=Z859),#REF!),Y859))</f>
        <v>ENTREGA DIGITAL</v>
      </c>
      <c r="Y859" t="s">
        <v>1396</v>
      </c>
      <c r="Z859" t="str">
        <f>IF(A859="","",TEXT(A859,"0")&amp;"|"&amp;TEXT(H859,"0"))</f>
        <v>5415017816909910|46127</v>
      </c>
      <c r="AA859" t="str">
        <f>IF(Z859="","",IFERROR(LOOKUP(2,1/(#REF!=Z859),#REF!),""))</f>
        <v/>
      </c>
      <c r="AB859" t="str">
        <f>IF(Z859="","",IFERROR(LOOKUP(2,1/(#REF!=Z859),#REF!),""))</f>
        <v/>
      </c>
      <c r="AC859" t="e">
        <f>IF(Z859="","",COUNTIF(#REF!,Z859))</f>
        <v>#REF!</v>
      </c>
      <c r="AD859" t="e">
        <f>IF(A859="","",IF(AC859&gt;1,"REVISAR DUPLICADO",IF(AA859&lt;&gt;"","ACTUALIZADO POR EYR","SIN REPORTE EYR")))</f>
        <v>#REF!</v>
      </c>
    </row>
    <row r="860" spans="1:30" x14ac:dyDescent="0.3">
      <c r="A860" s="5" t="s">
        <v>3212</v>
      </c>
      <c r="B860" t="s">
        <v>3211</v>
      </c>
      <c r="C860" s="4" t="s">
        <v>3210</v>
      </c>
      <c r="D860" t="s">
        <v>77</v>
      </c>
      <c r="F860" t="s">
        <v>13</v>
      </c>
      <c r="G860" s="3">
        <v>8096937678</v>
      </c>
      <c r="H860" s="2">
        <v>46128</v>
      </c>
      <c r="K860" s="1">
        <f ca="1">IF(A860="","",IF(OR(L860="ENTREGADA",L860="RETORNADA",L860="ENTREGA DIGITAL"),0,MAX(0,5-NETWORKDAYS(H860+1,TODAY()))))</f>
        <v>0</v>
      </c>
      <c r="L860" t="str">
        <f>IF(A860="","",IFERROR(LOOKUP(2,1/(#REF!=Z860),#REF!),Y860))</f>
        <v>RETORNADA</v>
      </c>
      <c r="Y860" t="s">
        <v>1857</v>
      </c>
      <c r="Z860" t="str">
        <f>IF(A860="","",TEXT(A860,"0")&amp;"|"&amp;TEXT(H860,"0"))</f>
        <v>4921017836273410|46128</v>
      </c>
      <c r="AA860" t="str">
        <f>IF(Z860="","",IFERROR(LOOKUP(2,1/(#REF!=Z860),#REF!),""))</f>
        <v/>
      </c>
      <c r="AB860" t="str">
        <f>IF(Z860="","",IFERROR(LOOKUP(2,1/(#REF!=Z860),#REF!),""))</f>
        <v/>
      </c>
      <c r="AC860" t="e">
        <f>IF(Z860="","",COUNTIF(#REF!,Z860))</f>
        <v>#REF!</v>
      </c>
      <c r="AD860" t="e">
        <f>IF(A860="","",IF(AC860&gt;1,"REVISAR DUPLICADO",IF(AA860&lt;&gt;"","ACTUALIZADO POR EYR","SIN REPORTE EYR")))</f>
        <v>#REF!</v>
      </c>
    </row>
    <row r="861" spans="1:30" x14ac:dyDescent="0.3">
      <c r="A861" s="5" t="s">
        <v>3209</v>
      </c>
      <c r="B861" t="s">
        <v>3208</v>
      </c>
      <c r="C861" s="4" t="s">
        <v>3207</v>
      </c>
      <c r="D861" t="s">
        <v>77</v>
      </c>
      <c r="F861" t="s">
        <v>13</v>
      </c>
      <c r="G861" s="3">
        <v>8293499928</v>
      </c>
      <c r="H861" s="2">
        <v>46128</v>
      </c>
      <c r="K861" s="1">
        <f ca="1">IF(A861="","",IF(OR(L861="ENTREGADA",L861="RETORNADA",L861="ENTREGA DIGITAL"),0,MAX(0,5-NETWORKDAYS(H861+1,TODAY()))))</f>
        <v>0</v>
      </c>
      <c r="L861" t="str">
        <f>IF(A861="","",IFERROR(LOOKUP(2,1/(#REF!=Z861),#REF!),Y861))</f>
        <v>RETORNADA</v>
      </c>
      <c r="Y861" t="s">
        <v>1857</v>
      </c>
      <c r="Z861" t="str">
        <f>IF(A861="","",TEXT(A861,"0")&amp;"|"&amp;TEXT(H861,"0"))</f>
        <v>4921017836592990|46128</v>
      </c>
      <c r="AA861" t="str">
        <f>IF(Z861="","",IFERROR(LOOKUP(2,1/(#REF!=Z861),#REF!),""))</f>
        <v/>
      </c>
      <c r="AB861" t="str">
        <f>IF(Z861="","",IFERROR(LOOKUP(2,1/(#REF!=Z861),#REF!),""))</f>
        <v/>
      </c>
      <c r="AC861" t="e">
        <f>IF(Z861="","",COUNTIF(#REF!,Z861))</f>
        <v>#REF!</v>
      </c>
      <c r="AD861" t="e">
        <f>IF(A861="","",IF(AC861&gt;1,"REVISAR DUPLICADO",IF(AA861&lt;&gt;"","ACTUALIZADO POR EYR","SIN REPORTE EYR")))</f>
        <v>#REF!</v>
      </c>
    </row>
    <row r="862" spans="1:30" x14ac:dyDescent="0.3">
      <c r="A862" s="5" t="s">
        <v>3206</v>
      </c>
      <c r="B862" t="s">
        <v>3205</v>
      </c>
      <c r="C862" s="4" t="s">
        <v>3204</v>
      </c>
      <c r="D862" t="s">
        <v>77</v>
      </c>
      <c r="F862" t="s">
        <v>13</v>
      </c>
      <c r="G862" s="3">
        <v>8493611807</v>
      </c>
      <c r="H862" s="2">
        <v>46128</v>
      </c>
      <c r="I862" t="s">
        <v>1397</v>
      </c>
      <c r="K862" s="1">
        <f ca="1">IF(A862="","",IF(OR(L862="ENTREGADA",L862="RETORNADA",L862="ENTREGA DIGITAL"),0,MAX(0,5-NETWORKDAYS(H862+1,TODAY()))))</f>
        <v>0</v>
      </c>
      <c r="L862" t="str">
        <f>IF(A862="","",IFERROR(LOOKUP(2,1/(#REF!=Z862),#REF!),Y862))</f>
        <v>ENTREGA DIGITAL</v>
      </c>
      <c r="Y862" t="s">
        <v>1396</v>
      </c>
      <c r="Z862" t="str">
        <f>IF(A862="","",TEXT(A862,"0")&amp;"|"&amp;TEXT(H862,"0"))</f>
        <v>4921017836307880|46128</v>
      </c>
      <c r="AA862" t="str">
        <f>IF(Z862="","",IFERROR(LOOKUP(2,1/(#REF!=Z862),#REF!),""))</f>
        <v/>
      </c>
      <c r="AB862" t="str">
        <f>IF(Z862="","",IFERROR(LOOKUP(2,1/(#REF!=Z862),#REF!),""))</f>
        <v/>
      </c>
      <c r="AC862" t="e">
        <f>IF(Z862="","",COUNTIF(#REF!,Z862))</f>
        <v>#REF!</v>
      </c>
      <c r="AD862" t="e">
        <f>IF(A862="","",IF(AC862&gt;1,"REVISAR DUPLICADO",IF(AA862&lt;&gt;"","ACTUALIZADO POR EYR","SIN REPORTE EYR")))</f>
        <v>#REF!</v>
      </c>
    </row>
    <row r="863" spans="1:30" x14ac:dyDescent="0.3">
      <c r="A863" s="5" t="s">
        <v>3203</v>
      </c>
      <c r="B863" t="s">
        <v>3202</v>
      </c>
      <c r="C863" s="4" t="s">
        <v>3201</v>
      </c>
      <c r="D863" t="s">
        <v>77</v>
      </c>
      <c r="F863" t="s">
        <v>13</v>
      </c>
      <c r="G863" s="3">
        <v>8092142375</v>
      </c>
      <c r="H863" s="2">
        <v>46128</v>
      </c>
      <c r="K863" s="1">
        <f ca="1">IF(A863="","",IF(OR(L863="ENTREGADA",L863="RETORNADA",L863="ENTREGA DIGITAL"),0,MAX(0,5-NETWORKDAYS(H863+1,TODAY()))))</f>
        <v>0</v>
      </c>
      <c r="L863" t="str">
        <f>IF(A863="","",IFERROR(LOOKUP(2,1/(#REF!=Z863),#REF!),Y863))</f>
        <v>ENTREGA DIGITAL</v>
      </c>
      <c r="Y863" t="s">
        <v>1396</v>
      </c>
      <c r="Z863" t="str">
        <f>IF(A863="","",TEXT(A863,"0")&amp;"|"&amp;TEXT(H863,"0"))</f>
        <v>4921017836103060|46128</v>
      </c>
      <c r="AA863" t="str">
        <f>IF(Z863="","",IFERROR(LOOKUP(2,1/(#REF!=Z863),#REF!),""))</f>
        <v/>
      </c>
      <c r="AB863" t="str">
        <f>IF(Z863="","",IFERROR(LOOKUP(2,1/(#REF!=Z863),#REF!),""))</f>
        <v/>
      </c>
      <c r="AC863" t="e">
        <f>IF(Z863="","",COUNTIF(#REF!,Z863))</f>
        <v>#REF!</v>
      </c>
      <c r="AD863" t="e">
        <f>IF(A863="","",IF(AC863&gt;1,"REVISAR DUPLICADO",IF(AA863&lt;&gt;"","ACTUALIZADO POR EYR","SIN REPORTE EYR")))</f>
        <v>#REF!</v>
      </c>
    </row>
    <row r="864" spans="1:30" x14ac:dyDescent="0.3">
      <c r="A864" s="5" t="s">
        <v>3200</v>
      </c>
      <c r="B864" t="s">
        <v>3199</v>
      </c>
      <c r="C864" s="4" t="s">
        <v>3198</v>
      </c>
      <c r="D864" t="s">
        <v>77</v>
      </c>
      <c r="F864" t="s">
        <v>13</v>
      </c>
      <c r="G864" s="3">
        <v>8093944664</v>
      </c>
      <c r="H864" s="2">
        <v>46128</v>
      </c>
      <c r="K864" s="1">
        <f ca="1">IF(A864="","",IF(OR(L864="ENTREGADA",L864="RETORNADA",L864="ENTREGA DIGITAL"),0,MAX(0,5-NETWORKDAYS(H864+1,TODAY()))))</f>
        <v>0</v>
      </c>
      <c r="L864" t="str">
        <f>IF(A864="","",IFERROR(LOOKUP(2,1/(#REF!=Z864),#REF!),Y864))</f>
        <v>ENTREGA DIGITAL</v>
      </c>
      <c r="Y864" t="s">
        <v>1396</v>
      </c>
      <c r="Z864" t="str">
        <f>IF(A864="","",TEXT(A864,"0")&amp;"|"&amp;TEXT(H864,"0"))</f>
        <v>5415017834653210|46128</v>
      </c>
      <c r="AA864" t="str">
        <f>IF(Z864="","",IFERROR(LOOKUP(2,1/(#REF!=Z864),#REF!),""))</f>
        <v/>
      </c>
      <c r="AB864" t="str">
        <f>IF(Z864="","",IFERROR(LOOKUP(2,1/(#REF!=Z864),#REF!),""))</f>
        <v/>
      </c>
      <c r="AC864" t="e">
        <f>IF(Z864="","",COUNTIF(#REF!,Z864))</f>
        <v>#REF!</v>
      </c>
      <c r="AD864" t="e">
        <f>IF(A864="","",IF(AC864&gt;1,"REVISAR DUPLICADO",IF(AA864&lt;&gt;"","ACTUALIZADO POR EYR","SIN REPORTE EYR")))</f>
        <v>#REF!</v>
      </c>
    </row>
    <row r="865" spans="1:30" x14ac:dyDescent="0.3">
      <c r="A865" s="5" t="s">
        <v>3197</v>
      </c>
      <c r="B865" t="s">
        <v>3196</v>
      </c>
      <c r="C865" s="4" t="s">
        <v>3195</v>
      </c>
      <c r="D865" t="s">
        <v>77</v>
      </c>
      <c r="F865" t="s">
        <v>135</v>
      </c>
      <c r="G865" s="3">
        <v>8097470320</v>
      </c>
      <c r="H865" s="2">
        <v>46128</v>
      </c>
      <c r="I865" t="s">
        <v>1397</v>
      </c>
      <c r="K865" s="1">
        <f ca="1">IF(A865="","",IF(OR(L865="ENTREGADA",L865="RETORNADA",L865="ENTREGA DIGITAL"),0,MAX(0,5-NETWORKDAYS(H865+1,TODAY()))))</f>
        <v>0</v>
      </c>
      <c r="L865" t="str">
        <f>IF(A865="","",IFERROR(LOOKUP(2,1/(#REF!=Z865),#REF!),Y865))</f>
        <v>ENTREGA DIGITAL</v>
      </c>
      <c r="Y865" t="s">
        <v>1396</v>
      </c>
      <c r="Z865" t="str">
        <f>IF(A865="","",TEXT(A865,"0")&amp;"|"&amp;TEXT(H865,"0"))</f>
        <v>4921017836005900|46128</v>
      </c>
      <c r="AA865" t="str">
        <f>IF(Z865="","",IFERROR(LOOKUP(2,1/(#REF!=Z865),#REF!),""))</f>
        <v/>
      </c>
      <c r="AB865" t="str">
        <f>IF(Z865="","",IFERROR(LOOKUP(2,1/(#REF!=Z865),#REF!),""))</f>
        <v/>
      </c>
      <c r="AC865" t="e">
        <f>IF(Z865="","",COUNTIF(#REF!,Z865))</f>
        <v>#REF!</v>
      </c>
      <c r="AD865" t="e">
        <f>IF(A865="","",IF(AC865&gt;1,"REVISAR DUPLICADO",IF(AA865&lt;&gt;"","ACTUALIZADO POR EYR","SIN REPORTE EYR")))</f>
        <v>#REF!</v>
      </c>
    </row>
    <row r="866" spans="1:30" x14ac:dyDescent="0.3">
      <c r="A866" s="5" t="s">
        <v>3194</v>
      </c>
      <c r="B866" t="s">
        <v>3193</v>
      </c>
      <c r="C866" s="4" t="s">
        <v>3192</v>
      </c>
      <c r="D866" t="s">
        <v>77</v>
      </c>
      <c r="F866" t="s">
        <v>3191</v>
      </c>
      <c r="G866" s="3">
        <v>8293989315</v>
      </c>
      <c r="H866" s="2">
        <v>46128</v>
      </c>
      <c r="K866" s="1">
        <f ca="1">IF(A866="","",IF(OR(L866="ENTREGADA",L866="RETORNADA",L866="ENTREGA DIGITAL"),0,MAX(0,5-NETWORKDAYS(H866+1,TODAY()))))</f>
        <v>0</v>
      </c>
      <c r="L866" t="str">
        <f>IF(A866="","",IFERROR(LOOKUP(2,1/(#REF!=Z866),#REF!),Y866))</f>
        <v>ENTREGA DIGITAL</v>
      </c>
      <c r="Y866" t="s">
        <v>1396</v>
      </c>
      <c r="Z866" t="str">
        <f>IF(A866="","",TEXT(A866,"0")&amp;"|"&amp;TEXT(H866,"0"))</f>
        <v>4921017836470320|46128</v>
      </c>
      <c r="AA866" t="str">
        <f>IF(Z866="","",IFERROR(LOOKUP(2,1/(#REF!=Z866),#REF!),""))</f>
        <v/>
      </c>
      <c r="AB866" t="str">
        <f>IF(Z866="","",IFERROR(LOOKUP(2,1/(#REF!=Z866),#REF!),""))</f>
        <v/>
      </c>
      <c r="AC866" t="e">
        <f>IF(Z866="","",COUNTIF(#REF!,Z866))</f>
        <v>#REF!</v>
      </c>
      <c r="AD866" t="e">
        <f>IF(A866="","",IF(AC866&gt;1,"REVISAR DUPLICADO",IF(AA866&lt;&gt;"","ACTUALIZADO POR EYR","SIN REPORTE EYR")))</f>
        <v>#REF!</v>
      </c>
    </row>
    <row r="867" spans="1:30" x14ac:dyDescent="0.3">
      <c r="A867" s="5" t="s">
        <v>852</v>
      </c>
      <c r="B867" t="s">
        <v>851</v>
      </c>
      <c r="C867" s="4" t="s">
        <v>850</v>
      </c>
      <c r="D867" t="s">
        <v>77</v>
      </c>
      <c r="F867" t="s">
        <v>3190</v>
      </c>
      <c r="G867" s="3">
        <v>8296237078</v>
      </c>
      <c r="H867" s="2">
        <v>46128</v>
      </c>
      <c r="K867" s="1">
        <f ca="1">IF(A867="","",IF(OR(L867="ENTREGADA",L867="RETORNADA",L867="ENTREGA DIGITAL"),0,MAX(0,5-NETWORKDAYS(H867+1,TODAY()))))</f>
        <v>0</v>
      </c>
      <c r="L867">
        <f>IF(A867="","",IFERROR(LOOKUP(2,1/(#REF!=Z867),#REF!),Y867))</f>
        <v>0</v>
      </c>
      <c r="Z867" t="str">
        <f>IF(A867="","",TEXT(A867,"0")&amp;"|"&amp;TEXT(H867,"0"))</f>
        <v>4921017836935060|46128</v>
      </c>
      <c r="AA867" t="str">
        <f>IF(Z867="","",IFERROR(LOOKUP(2,1/(#REF!=Z867),#REF!),""))</f>
        <v/>
      </c>
      <c r="AB867" t="str">
        <f>IF(Z867="","",IFERROR(LOOKUP(2,1/(#REF!=Z867),#REF!),""))</f>
        <v/>
      </c>
      <c r="AC867" t="e">
        <f>IF(Z867="","",COUNTIF(#REF!,Z867))</f>
        <v>#REF!</v>
      </c>
      <c r="AD867" t="e">
        <f>IF(A867="","",IF(AC867&gt;1,"REVISAR DUPLICADO",IF(AA867&lt;&gt;"","ACTUALIZADO POR EYR","SIN REPORTE EYR")))</f>
        <v>#REF!</v>
      </c>
    </row>
    <row r="868" spans="1:30" x14ac:dyDescent="0.3">
      <c r="A868" s="5" t="s">
        <v>3189</v>
      </c>
      <c r="B868" t="s">
        <v>3188</v>
      </c>
      <c r="C868" s="4" t="s">
        <v>3187</v>
      </c>
      <c r="D868" t="s">
        <v>77</v>
      </c>
      <c r="F868" t="s">
        <v>3186</v>
      </c>
      <c r="G868" s="3">
        <v>8099658772</v>
      </c>
      <c r="H868" s="2">
        <v>46128</v>
      </c>
      <c r="K868" s="1">
        <f ca="1">IF(A868="","",IF(OR(L868="ENTREGADA",L868="RETORNADA",L868="ENTREGA DIGITAL"),0,MAX(0,5-NETWORKDAYS(H868+1,TODAY()))))</f>
        <v>0</v>
      </c>
      <c r="L868" t="str">
        <f>IF(A868="","",IFERROR(LOOKUP(2,1/(#REF!=Z868),#REF!),Y868))</f>
        <v>ENTREGA DIGITAL</v>
      </c>
      <c r="Y868" t="s">
        <v>1396</v>
      </c>
      <c r="Z868" t="str">
        <f>IF(A868="","",TEXT(A868,"0")&amp;"|"&amp;TEXT(H868,"0"))</f>
        <v>4025017837424880|46128</v>
      </c>
      <c r="AA868" t="str">
        <f>IF(Z868="","",IFERROR(LOOKUP(2,1/(#REF!=Z868),#REF!),""))</f>
        <v/>
      </c>
      <c r="AB868" t="str">
        <f>IF(Z868="","",IFERROR(LOOKUP(2,1/(#REF!=Z868),#REF!),""))</f>
        <v/>
      </c>
      <c r="AC868" t="e">
        <f>IF(Z868="","",COUNTIF(#REF!,Z868))</f>
        <v>#REF!</v>
      </c>
      <c r="AD868" t="e">
        <f>IF(A868="","",IF(AC868&gt;1,"REVISAR DUPLICADO",IF(AA868&lt;&gt;"","ACTUALIZADO POR EYR","SIN REPORTE EYR")))</f>
        <v>#REF!</v>
      </c>
    </row>
    <row r="869" spans="1:30" x14ac:dyDescent="0.3">
      <c r="A869" s="5" t="s">
        <v>3185</v>
      </c>
      <c r="B869" t="s">
        <v>3184</v>
      </c>
      <c r="C869" s="4" t="s">
        <v>3183</v>
      </c>
      <c r="D869" t="s">
        <v>77</v>
      </c>
      <c r="F869" t="s">
        <v>13</v>
      </c>
      <c r="G869" s="3">
        <v>8092743555</v>
      </c>
      <c r="H869" s="2">
        <v>46128</v>
      </c>
      <c r="K869" s="1">
        <f ca="1">IF(A869="","",IF(OR(L869="ENTREGADA",L869="RETORNADA",L869="ENTREGA DIGITAL"),0,MAX(0,5-NETWORKDAYS(H869+1,TODAY()))))</f>
        <v>0</v>
      </c>
      <c r="L869" t="str">
        <f>IF(A869="","",IFERROR(LOOKUP(2,1/(#REF!=Z869),#REF!),Y869))</f>
        <v>ENTREGA DIGITAL</v>
      </c>
      <c r="Y869" t="s">
        <v>1396</v>
      </c>
      <c r="Z869" t="str">
        <f>IF(A869="","",TEXT(A869,"0")&amp;"|"&amp;TEXT(H869,"0"))</f>
        <v>4741017837480610|46128</v>
      </c>
      <c r="AA869" t="str">
        <f>IF(Z869="","",IFERROR(LOOKUP(2,1/(#REF!=Z869),#REF!),""))</f>
        <v/>
      </c>
      <c r="AB869" t="str">
        <f>IF(Z869="","",IFERROR(LOOKUP(2,1/(#REF!=Z869),#REF!),""))</f>
        <v/>
      </c>
      <c r="AC869" t="e">
        <f>IF(Z869="","",COUNTIF(#REF!,Z869))</f>
        <v>#REF!</v>
      </c>
      <c r="AD869" t="e">
        <f>IF(A869="","",IF(AC869&gt;1,"REVISAR DUPLICADO",IF(AA869&lt;&gt;"","ACTUALIZADO POR EYR","SIN REPORTE EYR")))</f>
        <v>#REF!</v>
      </c>
    </row>
    <row r="870" spans="1:30" x14ac:dyDescent="0.3">
      <c r="A870" s="5" t="s">
        <v>3182</v>
      </c>
      <c r="B870" t="s">
        <v>3181</v>
      </c>
      <c r="C870" s="4" t="s">
        <v>3180</v>
      </c>
      <c r="D870" t="s">
        <v>77</v>
      </c>
      <c r="F870" t="s">
        <v>3179</v>
      </c>
      <c r="G870" s="3">
        <v>8294533303</v>
      </c>
      <c r="H870" s="2">
        <v>46128</v>
      </c>
      <c r="I870" t="s">
        <v>1397</v>
      </c>
      <c r="K870" s="1">
        <f ca="1">IF(A870="","",IF(OR(L870="ENTREGADA",L870="RETORNADA",L870="ENTREGA DIGITAL"),0,MAX(0,5-NETWORKDAYS(H870+1,TODAY()))))</f>
        <v>0</v>
      </c>
      <c r="L870" t="str">
        <f>IF(A870="","",IFERROR(LOOKUP(2,1/(#REF!=Z870),#REF!),Y870))</f>
        <v>ENTREGA DIGITAL</v>
      </c>
      <c r="Y870" t="s">
        <v>1396</v>
      </c>
      <c r="Z870" t="str">
        <f>IF(A870="","",TEXT(A870,"0")&amp;"|"&amp;TEXT(H870,"0"))</f>
        <v>5415017828497630|46128</v>
      </c>
      <c r="AA870" t="str">
        <f>IF(Z870="","",IFERROR(LOOKUP(2,1/(#REF!=Z870),#REF!),""))</f>
        <v/>
      </c>
      <c r="AB870" t="str">
        <f>IF(Z870="","",IFERROR(LOOKUP(2,1/(#REF!=Z870),#REF!),""))</f>
        <v/>
      </c>
      <c r="AC870" t="e">
        <f>IF(Z870="","",COUNTIF(#REF!,Z870))</f>
        <v>#REF!</v>
      </c>
      <c r="AD870" t="e">
        <f>IF(A870="","",IF(AC870&gt;1,"REVISAR DUPLICADO",IF(AA870&lt;&gt;"","ACTUALIZADO POR EYR","SIN REPORTE EYR")))</f>
        <v>#REF!</v>
      </c>
    </row>
    <row r="871" spans="1:30" x14ac:dyDescent="0.3">
      <c r="A871" s="5" t="s">
        <v>3178</v>
      </c>
      <c r="B871" t="s">
        <v>3177</v>
      </c>
      <c r="C871" s="4" t="s">
        <v>3176</v>
      </c>
      <c r="D871" t="s">
        <v>77</v>
      </c>
      <c r="F871" t="s">
        <v>13</v>
      </c>
      <c r="G871" s="3">
        <v>8296917727</v>
      </c>
      <c r="H871" s="2">
        <v>46128</v>
      </c>
      <c r="I871" t="s">
        <v>1397</v>
      </c>
      <c r="K871" s="1">
        <f ca="1">IF(A871="","",IF(OR(L871="ENTREGADA",L871="RETORNADA",L871="ENTREGA DIGITAL"),0,MAX(0,5-NETWORKDAYS(H871+1,TODAY()))))</f>
        <v>0</v>
      </c>
      <c r="L871" t="str">
        <f>IF(A871="","",IFERROR(LOOKUP(2,1/(#REF!=Z871),#REF!),Y871))</f>
        <v>ENTREGA DIGITAL</v>
      </c>
      <c r="Y871" t="s">
        <v>1396</v>
      </c>
      <c r="Z871" t="str">
        <f>IF(A871="","",TEXT(A871,"0")&amp;"|"&amp;TEXT(H871,"0"))</f>
        <v>4921017832032300|46128</v>
      </c>
      <c r="AA871" t="str">
        <f>IF(Z871="","",IFERROR(LOOKUP(2,1/(#REF!=Z871),#REF!),""))</f>
        <v/>
      </c>
      <c r="AB871" t="str">
        <f>IF(Z871="","",IFERROR(LOOKUP(2,1/(#REF!=Z871),#REF!),""))</f>
        <v/>
      </c>
      <c r="AC871" t="e">
        <f>IF(Z871="","",COUNTIF(#REF!,Z871))</f>
        <v>#REF!</v>
      </c>
      <c r="AD871" t="e">
        <f>IF(A871="","",IF(AC871&gt;1,"REVISAR DUPLICADO",IF(AA871&lt;&gt;"","ACTUALIZADO POR EYR","SIN REPORTE EYR")))</f>
        <v>#REF!</v>
      </c>
    </row>
    <row r="872" spans="1:30" x14ac:dyDescent="0.3">
      <c r="A872" s="5" t="s">
        <v>3175</v>
      </c>
      <c r="B872" t="s">
        <v>3174</v>
      </c>
      <c r="C872" s="4" t="s">
        <v>3173</v>
      </c>
      <c r="D872" t="s">
        <v>77</v>
      </c>
      <c r="F872" t="s">
        <v>13</v>
      </c>
      <c r="G872" s="3">
        <v>8493434331</v>
      </c>
      <c r="H872" s="2">
        <v>46128</v>
      </c>
      <c r="K872" s="1">
        <f ca="1">IF(A872="","",IF(OR(L872="ENTREGADA",L872="RETORNADA",L872="ENTREGA DIGITAL"),0,MAX(0,5-NETWORKDAYS(H872+1,TODAY()))))</f>
        <v>0</v>
      </c>
      <c r="L872" t="str">
        <f>IF(A872="","",IFERROR(LOOKUP(2,1/(#REF!=Z872),#REF!),Y872))</f>
        <v>ENTREGA DIGITAL</v>
      </c>
      <c r="Y872" t="s">
        <v>1396</v>
      </c>
      <c r="Z872" t="str">
        <f>IF(A872="","",TEXT(A872,"0")&amp;"|"&amp;TEXT(H872,"0"))</f>
        <v>4921017831985430|46128</v>
      </c>
      <c r="AA872" t="str">
        <f>IF(Z872="","",IFERROR(LOOKUP(2,1/(#REF!=Z872),#REF!),""))</f>
        <v/>
      </c>
      <c r="AB872" t="str">
        <f>IF(Z872="","",IFERROR(LOOKUP(2,1/(#REF!=Z872),#REF!),""))</f>
        <v/>
      </c>
      <c r="AC872" t="e">
        <f>IF(Z872="","",COUNTIF(#REF!,Z872))</f>
        <v>#REF!</v>
      </c>
      <c r="AD872" t="e">
        <f>IF(A872="","",IF(AC872&gt;1,"REVISAR DUPLICADO",IF(AA872&lt;&gt;"","ACTUALIZADO POR EYR","SIN REPORTE EYR")))</f>
        <v>#REF!</v>
      </c>
    </row>
    <row r="873" spans="1:30" x14ac:dyDescent="0.3">
      <c r="A873" s="5" t="s">
        <v>3172</v>
      </c>
      <c r="B873" t="s">
        <v>3171</v>
      </c>
      <c r="C873" s="4" t="s">
        <v>3170</v>
      </c>
      <c r="D873" t="s">
        <v>77</v>
      </c>
      <c r="F873" t="s">
        <v>13</v>
      </c>
      <c r="G873" s="3">
        <v>8296212977</v>
      </c>
      <c r="H873" s="2">
        <v>46128</v>
      </c>
      <c r="K873" s="1">
        <f ca="1">IF(A873="","",IF(OR(L873="ENTREGADA",L873="RETORNADA",L873="ENTREGA DIGITAL"),0,MAX(0,5-NETWORKDAYS(H873+1,TODAY()))))</f>
        <v>0</v>
      </c>
      <c r="L873" t="str">
        <f>IF(A873="","",IFERROR(LOOKUP(2,1/(#REF!=Z873),#REF!),Y873))</f>
        <v>ENTREGA DIGITAL</v>
      </c>
      <c r="Y873" t="s">
        <v>1396</v>
      </c>
      <c r="Z873" t="str">
        <f>IF(A873="","",TEXT(A873,"0")&amp;"|"&amp;TEXT(H873,"0"))</f>
        <v>4921017831729200|46128</v>
      </c>
      <c r="AA873" t="str">
        <f>IF(Z873="","",IFERROR(LOOKUP(2,1/(#REF!=Z873),#REF!),""))</f>
        <v/>
      </c>
      <c r="AB873" t="str">
        <f>IF(Z873="","",IFERROR(LOOKUP(2,1/(#REF!=Z873),#REF!),""))</f>
        <v/>
      </c>
      <c r="AC873" t="e">
        <f>IF(Z873="","",COUNTIF(#REF!,Z873))</f>
        <v>#REF!</v>
      </c>
      <c r="AD873" t="e">
        <f>IF(A873="","",IF(AC873&gt;1,"REVISAR DUPLICADO",IF(AA873&lt;&gt;"","ACTUALIZADO POR EYR","SIN REPORTE EYR")))</f>
        <v>#REF!</v>
      </c>
    </row>
    <row r="874" spans="1:30" x14ac:dyDescent="0.3">
      <c r="A874" s="5" t="s">
        <v>3169</v>
      </c>
      <c r="B874" t="s">
        <v>3168</v>
      </c>
      <c r="C874" s="4" t="s">
        <v>3167</v>
      </c>
      <c r="D874" t="s">
        <v>21</v>
      </c>
      <c r="F874" t="s">
        <v>13</v>
      </c>
      <c r="G874" s="3">
        <v>8095290844</v>
      </c>
      <c r="H874" s="2">
        <v>46128</v>
      </c>
      <c r="K874" s="1">
        <f ca="1">IF(A874="","",IF(OR(L874="ENTREGADA",L874="RETORNADA",L874="ENTREGA DIGITAL"),0,MAX(0,5-NETWORKDAYS(H874+1,TODAY()))))</f>
        <v>0</v>
      </c>
      <c r="L874" t="str">
        <f>IF(A874="","",IFERROR(LOOKUP(2,1/(#REF!=Z874),#REF!),Y874))</f>
        <v>ENTREGA DIGITAL</v>
      </c>
      <c r="Y874" t="s">
        <v>1396</v>
      </c>
      <c r="Z874" t="str">
        <f>IF(A874="","",TEXT(A874,"0")&amp;"|"&amp;TEXT(H874,"0"))</f>
        <v>4921017836547290|46128</v>
      </c>
      <c r="AA874" t="str">
        <f>IF(Z874="","",IFERROR(LOOKUP(2,1/(#REF!=Z874),#REF!),""))</f>
        <v/>
      </c>
      <c r="AB874" t="str">
        <f>IF(Z874="","",IFERROR(LOOKUP(2,1/(#REF!=Z874),#REF!),""))</f>
        <v/>
      </c>
      <c r="AC874" t="e">
        <f>IF(Z874="","",COUNTIF(#REF!,Z874))</f>
        <v>#REF!</v>
      </c>
      <c r="AD874" t="e">
        <f>IF(A874="","",IF(AC874&gt;1,"REVISAR DUPLICADO",IF(AA874&lt;&gt;"","ACTUALIZADO POR EYR","SIN REPORTE EYR")))</f>
        <v>#REF!</v>
      </c>
    </row>
    <row r="875" spans="1:30" x14ac:dyDescent="0.3">
      <c r="A875" s="5" t="s">
        <v>3166</v>
      </c>
      <c r="B875" t="s">
        <v>3165</v>
      </c>
      <c r="C875" s="4" t="s">
        <v>3164</v>
      </c>
      <c r="D875" t="s">
        <v>21</v>
      </c>
      <c r="E875" t="s">
        <v>21</v>
      </c>
      <c r="F875" t="s">
        <v>62</v>
      </c>
      <c r="G875" s="3">
        <v>8293130086</v>
      </c>
      <c r="H875" s="2">
        <v>46128</v>
      </c>
      <c r="K875" s="1">
        <f ca="1">IF(A875="","",IF(OR(L875="ENTREGADA",L875="RETORNADA",L875="ENTREGA DIGITAL"),0,MAX(0,5-NETWORKDAYS(H875+1,TODAY()))))</f>
        <v>0</v>
      </c>
      <c r="L875" t="str">
        <f>IF(A875="","",IFERROR(LOOKUP(2,1/(#REF!=Z875),#REF!),Y875))</f>
        <v>RETORNADA</v>
      </c>
      <c r="Y875" t="s">
        <v>1857</v>
      </c>
      <c r="Z875" t="str">
        <f>IF(A875="","",TEXT(A875,"0")&amp;"|"&amp;TEXT(H875,"0"))</f>
        <v>5188017834599240|46128</v>
      </c>
      <c r="AA875" t="str">
        <f>IF(Z875="","",IFERROR(LOOKUP(2,1/(#REF!=Z875),#REF!),""))</f>
        <v/>
      </c>
      <c r="AB875" t="str">
        <f>IF(Z875="","",IFERROR(LOOKUP(2,1/(#REF!=Z875),#REF!),""))</f>
        <v/>
      </c>
      <c r="AC875" t="e">
        <f>IF(Z875="","",COUNTIF(#REF!,Z875))</f>
        <v>#REF!</v>
      </c>
      <c r="AD875" t="e">
        <f>IF(A875="","",IF(AC875&gt;1,"REVISAR DUPLICADO",IF(AA875&lt;&gt;"","ACTUALIZADO POR EYR","SIN REPORTE EYR")))</f>
        <v>#REF!</v>
      </c>
    </row>
    <row r="876" spans="1:30" x14ac:dyDescent="0.3">
      <c r="A876" s="5" t="s">
        <v>3163</v>
      </c>
      <c r="B876" t="s">
        <v>3162</v>
      </c>
      <c r="C876" s="4" t="s">
        <v>3161</v>
      </c>
      <c r="D876" t="s">
        <v>21</v>
      </c>
      <c r="E876" t="s">
        <v>21</v>
      </c>
      <c r="F876" t="s">
        <v>62</v>
      </c>
      <c r="G876" s="3">
        <v>8298179139</v>
      </c>
      <c r="H876" s="2">
        <v>46128</v>
      </c>
      <c r="K876" s="1">
        <f ca="1">IF(A876="","",IF(OR(L876="ENTREGADA",L876="RETORNADA",L876="ENTREGA DIGITAL"),0,MAX(0,5-NETWORKDAYS(H876+1,TODAY()))))</f>
        <v>0</v>
      </c>
      <c r="L876" t="str">
        <f>IF(A876="","",IFERROR(LOOKUP(2,1/(#REF!=Z876),#REF!),Y876))</f>
        <v>ENTREGA DIGITAL</v>
      </c>
      <c r="Y876" t="s">
        <v>1396</v>
      </c>
      <c r="Z876" t="str">
        <f>IF(A876="","",TEXT(A876,"0")&amp;"|"&amp;TEXT(H876,"0"))</f>
        <v>4921017835986830|46128</v>
      </c>
      <c r="AA876" t="str">
        <f>IF(Z876="","",IFERROR(LOOKUP(2,1/(#REF!=Z876),#REF!),""))</f>
        <v/>
      </c>
      <c r="AB876" t="str">
        <f>IF(Z876="","",IFERROR(LOOKUP(2,1/(#REF!=Z876),#REF!),""))</f>
        <v/>
      </c>
      <c r="AC876" t="e">
        <f>IF(Z876="","",COUNTIF(#REF!,Z876))</f>
        <v>#REF!</v>
      </c>
      <c r="AD876" t="e">
        <f>IF(A876="","",IF(AC876&gt;1,"REVISAR DUPLICADO",IF(AA876&lt;&gt;"","ACTUALIZADO POR EYR","SIN REPORTE EYR")))</f>
        <v>#REF!</v>
      </c>
    </row>
    <row r="877" spans="1:30" x14ac:dyDescent="0.3">
      <c r="A877" s="5" t="s">
        <v>3160</v>
      </c>
      <c r="B877" t="s">
        <v>3159</v>
      </c>
      <c r="C877" s="4" t="s">
        <v>3158</v>
      </c>
      <c r="D877" t="s">
        <v>21</v>
      </c>
      <c r="F877" t="s">
        <v>3157</v>
      </c>
      <c r="G877" s="3">
        <v>8094986972</v>
      </c>
      <c r="H877" s="2">
        <v>46128</v>
      </c>
      <c r="K877" s="1">
        <f ca="1">IF(A877="","",IF(OR(L877="ENTREGADA",L877="RETORNADA",L877="ENTREGA DIGITAL"),0,MAX(0,5-NETWORKDAYS(H877+1,TODAY()))))</f>
        <v>0</v>
      </c>
      <c r="L877" t="str">
        <f>IF(A877="","",IFERROR(LOOKUP(2,1/(#REF!=Z877),#REF!),Y877))</f>
        <v>RETORNADA</v>
      </c>
      <c r="Y877" t="s">
        <v>1857</v>
      </c>
      <c r="Z877" t="str">
        <f>IF(A877="","",TEXT(A877,"0")&amp;"|"&amp;TEXT(H877,"0"))</f>
        <v>4025017837172160|46128</v>
      </c>
      <c r="AA877" t="str">
        <f>IF(Z877="","",IFERROR(LOOKUP(2,1/(#REF!=Z877),#REF!),""))</f>
        <v/>
      </c>
      <c r="AB877" t="str">
        <f>IF(Z877="","",IFERROR(LOOKUP(2,1/(#REF!=Z877),#REF!),""))</f>
        <v/>
      </c>
      <c r="AC877" t="e">
        <f>IF(Z877="","",COUNTIF(#REF!,Z877))</f>
        <v>#REF!</v>
      </c>
      <c r="AD877" t="e">
        <f>IF(A877="","",IF(AC877&gt;1,"REVISAR DUPLICADO",IF(AA877&lt;&gt;"","ACTUALIZADO POR EYR","SIN REPORTE EYR")))</f>
        <v>#REF!</v>
      </c>
    </row>
    <row r="878" spans="1:30" x14ac:dyDescent="0.3">
      <c r="A878" s="5" t="s">
        <v>3156</v>
      </c>
      <c r="B878" t="s">
        <v>3155</v>
      </c>
      <c r="C878" s="4" t="s">
        <v>3154</v>
      </c>
      <c r="D878" t="s">
        <v>21</v>
      </c>
      <c r="F878" t="s">
        <v>3153</v>
      </c>
      <c r="G878" s="3">
        <v>8094569365</v>
      </c>
      <c r="H878" s="2">
        <v>46128</v>
      </c>
      <c r="K878" s="1">
        <f ca="1">IF(A878="","",IF(OR(L878="ENTREGADA",L878="RETORNADA",L878="ENTREGA DIGITAL"),0,MAX(0,5-NETWORKDAYS(H878+1,TODAY()))))</f>
        <v>0</v>
      </c>
      <c r="L878" t="str">
        <f>IF(A878="","",IFERROR(LOOKUP(2,1/(#REF!=Z878),#REF!),Y878))</f>
        <v>ENTREGA DIGITAL</v>
      </c>
      <c r="Y878" t="s">
        <v>1396</v>
      </c>
      <c r="Z878" t="str">
        <f>IF(A878="","",TEXT(A878,"0")&amp;"|"&amp;TEXT(H878,"0"))</f>
        <v>4921017836911770|46128</v>
      </c>
      <c r="AA878" t="str">
        <f>IF(Z878="","",IFERROR(LOOKUP(2,1/(#REF!=Z878),#REF!),""))</f>
        <v/>
      </c>
      <c r="AB878" t="str">
        <f>IF(Z878="","",IFERROR(LOOKUP(2,1/(#REF!=Z878),#REF!),""))</f>
        <v/>
      </c>
      <c r="AC878" t="e">
        <f>IF(Z878="","",COUNTIF(#REF!,Z878))</f>
        <v>#REF!</v>
      </c>
      <c r="AD878" t="e">
        <f>IF(A878="","",IF(AC878&gt;1,"REVISAR DUPLICADO",IF(AA878&lt;&gt;"","ACTUALIZADO POR EYR","SIN REPORTE EYR")))</f>
        <v>#REF!</v>
      </c>
    </row>
    <row r="879" spans="1:30" x14ac:dyDescent="0.3">
      <c r="A879" s="5" t="s">
        <v>3152</v>
      </c>
      <c r="B879" t="s">
        <v>3151</v>
      </c>
      <c r="C879" s="4" t="s">
        <v>3150</v>
      </c>
      <c r="D879" t="s">
        <v>21</v>
      </c>
      <c r="F879" t="s">
        <v>3149</v>
      </c>
      <c r="G879" s="3">
        <v>8298690868</v>
      </c>
      <c r="H879" s="2">
        <v>46128</v>
      </c>
      <c r="K879" s="1">
        <f ca="1">IF(A879="","",IF(OR(L879="ENTREGADA",L879="RETORNADA",L879="ENTREGA DIGITAL"),0,MAX(0,5-NETWORKDAYS(H879+1,TODAY()))))</f>
        <v>0</v>
      </c>
      <c r="L879" t="str">
        <f>IF(A879="","",IFERROR(LOOKUP(2,1/(#REF!=Z879),#REF!),Y879))</f>
        <v>ENTREGA DIGITAL</v>
      </c>
      <c r="Y879" t="s">
        <v>1396</v>
      </c>
      <c r="Z879" t="str">
        <f>IF(A879="","",TEXT(A879,"0")&amp;"|"&amp;TEXT(H879,"0"))</f>
        <v>4741017837494490|46128</v>
      </c>
      <c r="AA879" t="str">
        <f>IF(Z879="","",IFERROR(LOOKUP(2,1/(#REF!=Z879),#REF!),""))</f>
        <v/>
      </c>
      <c r="AB879" t="str">
        <f>IF(Z879="","",IFERROR(LOOKUP(2,1/(#REF!=Z879),#REF!),""))</f>
        <v/>
      </c>
      <c r="AC879" t="e">
        <f>IF(Z879="","",COUNTIF(#REF!,Z879))</f>
        <v>#REF!</v>
      </c>
      <c r="AD879" t="e">
        <f>IF(A879="","",IF(AC879&gt;1,"REVISAR DUPLICADO",IF(AA879&lt;&gt;"","ACTUALIZADO POR EYR","SIN REPORTE EYR")))</f>
        <v>#REF!</v>
      </c>
    </row>
    <row r="880" spans="1:30" x14ac:dyDescent="0.3">
      <c r="A880" s="5" t="s">
        <v>3148</v>
      </c>
      <c r="B880" t="s">
        <v>3147</v>
      </c>
      <c r="C880" s="4" t="s">
        <v>3146</v>
      </c>
      <c r="D880" t="s">
        <v>21</v>
      </c>
      <c r="F880" t="s">
        <v>1343</v>
      </c>
      <c r="G880" s="3">
        <v>8498824556</v>
      </c>
      <c r="H880" s="2">
        <v>46128</v>
      </c>
      <c r="K880" s="1">
        <f ca="1">IF(A880="","",IF(OR(L880="ENTREGADA",L880="RETORNADA",L880="ENTREGA DIGITAL"),0,MAX(0,5-NETWORKDAYS(H880+1,TODAY()))))</f>
        <v>0</v>
      </c>
      <c r="L880" t="str">
        <f>IF(A880="","",IFERROR(LOOKUP(2,1/(#REF!=Z880),#REF!),Y880))</f>
        <v>ENTREGA DIGITAL</v>
      </c>
      <c r="Y880" t="s">
        <v>1396</v>
      </c>
      <c r="Z880" t="str">
        <f>IF(A880="","",TEXT(A880,"0")&amp;"|"&amp;TEXT(H880,"0"))</f>
        <v>4741017833921590|46128</v>
      </c>
      <c r="AA880" t="str">
        <f>IF(Z880="","",IFERROR(LOOKUP(2,1/(#REF!=Z880),#REF!),""))</f>
        <v/>
      </c>
      <c r="AB880" t="str">
        <f>IF(Z880="","",IFERROR(LOOKUP(2,1/(#REF!=Z880),#REF!),""))</f>
        <v/>
      </c>
      <c r="AC880" t="e">
        <f>IF(Z880="","",COUNTIF(#REF!,Z880))</f>
        <v>#REF!</v>
      </c>
      <c r="AD880" t="e">
        <f>IF(A880="","",IF(AC880&gt;1,"REVISAR DUPLICADO",IF(AA880&lt;&gt;"","ACTUALIZADO POR EYR","SIN REPORTE EYR")))</f>
        <v>#REF!</v>
      </c>
    </row>
    <row r="881" spans="1:30" x14ac:dyDescent="0.3">
      <c r="A881" s="5" t="s">
        <v>3145</v>
      </c>
      <c r="B881" t="s">
        <v>282</v>
      </c>
      <c r="C881" s="4" t="s">
        <v>3144</v>
      </c>
      <c r="D881" t="s">
        <v>21</v>
      </c>
      <c r="F881" t="s">
        <v>0</v>
      </c>
      <c r="G881" s="3">
        <v>8298018112</v>
      </c>
      <c r="H881" s="2">
        <v>46128</v>
      </c>
      <c r="K881" s="1">
        <f ca="1">IF(A881="","",IF(OR(L881="ENTREGADA",L881="RETORNADA",L881="ENTREGA DIGITAL"),0,MAX(0,5-NETWORKDAYS(H881+1,TODAY()))))</f>
        <v>0</v>
      </c>
      <c r="L881" t="str">
        <f>IF(A881="","",IFERROR(LOOKUP(2,1/(#REF!=Z881),#REF!),Y881))</f>
        <v>ENTREGA DIGITAL</v>
      </c>
      <c r="Y881" t="s">
        <v>1396</v>
      </c>
      <c r="Z881" t="str">
        <f>IF(A881="","",TEXT(A881,"0")&amp;"|"&amp;TEXT(H881,"0"))</f>
        <v>5188017830128760|46128</v>
      </c>
      <c r="AA881" t="str">
        <f>IF(Z881="","",IFERROR(LOOKUP(2,1/(#REF!=Z881),#REF!),""))</f>
        <v/>
      </c>
      <c r="AB881" t="str">
        <f>IF(Z881="","",IFERROR(LOOKUP(2,1/(#REF!=Z881),#REF!),""))</f>
        <v/>
      </c>
      <c r="AC881" t="e">
        <f>IF(Z881="","",COUNTIF(#REF!,Z881))</f>
        <v>#REF!</v>
      </c>
      <c r="AD881" t="e">
        <f>IF(A881="","",IF(AC881&gt;1,"REVISAR DUPLICADO",IF(AA881&lt;&gt;"","ACTUALIZADO POR EYR","SIN REPORTE EYR")))</f>
        <v>#REF!</v>
      </c>
    </row>
    <row r="882" spans="1:30" x14ac:dyDescent="0.3">
      <c r="A882" s="5" t="s">
        <v>3143</v>
      </c>
      <c r="B882" t="s">
        <v>3142</v>
      </c>
      <c r="C882" s="4" t="s">
        <v>3141</v>
      </c>
      <c r="D882" t="s">
        <v>21</v>
      </c>
      <c r="F882" t="s">
        <v>13</v>
      </c>
      <c r="G882" s="3">
        <v>8492064408</v>
      </c>
      <c r="H882" s="2">
        <v>46128</v>
      </c>
      <c r="K882" s="1">
        <f ca="1">IF(A882="","",IF(OR(L882="ENTREGADA",L882="RETORNADA",L882="ENTREGA DIGITAL"),0,MAX(0,5-NETWORKDAYS(H882+1,TODAY()))))</f>
        <v>0</v>
      </c>
      <c r="L882" t="str">
        <f>IF(A882="","",IFERROR(LOOKUP(2,1/(#REF!=Z882),#REF!),Y882))</f>
        <v>ENTREGA DIGITAL</v>
      </c>
      <c r="Y882" t="s">
        <v>1396</v>
      </c>
      <c r="Z882" t="str">
        <f>IF(A882="","",TEXT(A882,"0")&amp;"|"&amp;TEXT(H882,"0"))</f>
        <v>4921017835425040|46128</v>
      </c>
      <c r="AA882" t="str">
        <f>IF(Z882="","",IFERROR(LOOKUP(2,1/(#REF!=Z882),#REF!),""))</f>
        <v/>
      </c>
      <c r="AB882" t="str">
        <f>IF(Z882="","",IFERROR(LOOKUP(2,1/(#REF!=Z882),#REF!),""))</f>
        <v/>
      </c>
      <c r="AC882" t="e">
        <f>IF(Z882="","",COUNTIF(#REF!,Z882))</f>
        <v>#REF!</v>
      </c>
      <c r="AD882" t="e">
        <f>IF(A882="","",IF(AC882&gt;1,"REVISAR DUPLICADO",IF(AA882&lt;&gt;"","ACTUALIZADO POR EYR","SIN REPORTE EYR")))</f>
        <v>#REF!</v>
      </c>
    </row>
    <row r="883" spans="1:30" x14ac:dyDescent="0.3">
      <c r="A883" s="5" t="s">
        <v>3140</v>
      </c>
      <c r="B883" t="s">
        <v>3139</v>
      </c>
      <c r="C883" s="4" t="s">
        <v>3138</v>
      </c>
      <c r="D883" t="s">
        <v>21</v>
      </c>
      <c r="F883" t="s">
        <v>3137</v>
      </c>
      <c r="G883" s="3">
        <v>8092605774</v>
      </c>
      <c r="H883" s="2">
        <v>46128</v>
      </c>
      <c r="K883" s="1">
        <f ca="1">IF(A883="","",IF(OR(L883="ENTREGADA",L883="RETORNADA",L883="ENTREGA DIGITAL"),0,MAX(0,5-NETWORKDAYS(H883+1,TODAY()))))</f>
        <v>0</v>
      </c>
      <c r="L883" t="str">
        <f>IF(A883="","",IFERROR(LOOKUP(2,1/(#REF!=Z883),#REF!),Y883))</f>
        <v>ENTREGADA</v>
      </c>
      <c r="Y883" t="s">
        <v>1956</v>
      </c>
      <c r="Z883" t="str">
        <f>IF(A883="","",TEXT(A883,"0")&amp;"|"&amp;TEXT(H883,"0"))</f>
        <v>5523017828761300|46128</v>
      </c>
      <c r="AA883" t="str">
        <f>IF(Z883="","",IFERROR(LOOKUP(2,1/(#REF!=Z883),#REF!),""))</f>
        <v/>
      </c>
      <c r="AB883" t="str">
        <f>IF(Z883="","",IFERROR(LOOKUP(2,1/(#REF!=Z883),#REF!),""))</f>
        <v/>
      </c>
      <c r="AC883" t="e">
        <f>IF(Z883="","",COUNTIF(#REF!,Z883))</f>
        <v>#REF!</v>
      </c>
      <c r="AD883" t="e">
        <f>IF(A883="","",IF(AC883&gt;1,"REVISAR DUPLICADO",IF(AA883&lt;&gt;"","ACTUALIZADO POR EYR","SIN REPORTE EYR")))</f>
        <v>#REF!</v>
      </c>
    </row>
    <row r="884" spans="1:30" x14ac:dyDescent="0.3">
      <c r="A884" s="5" t="s">
        <v>3136</v>
      </c>
      <c r="B884" t="s">
        <v>3135</v>
      </c>
      <c r="C884" s="4" t="s">
        <v>3134</v>
      </c>
      <c r="D884" t="s">
        <v>1</v>
      </c>
      <c r="F884" t="s">
        <v>9</v>
      </c>
      <c r="G884" s="3">
        <v>8097898325</v>
      </c>
      <c r="H884" s="2">
        <v>46128</v>
      </c>
      <c r="I884" t="s">
        <v>1397</v>
      </c>
      <c r="K884" s="1">
        <f ca="1">IF(A884="","",IF(OR(L884="ENTREGADA",L884="RETORNADA",L884="ENTREGA DIGITAL"),0,MAX(0,5-NETWORKDAYS(H884+1,TODAY()))))</f>
        <v>0</v>
      </c>
      <c r="L884" t="str">
        <f>IF(A884="","",IFERROR(LOOKUP(2,1/(#REF!=Z884),#REF!),Y884))</f>
        <v>ENTREGA DIGITAL</v>
      </c>
      <c r="Y884" t="s">
        <v>1396</v>
      </c>
      <c r="Z884" t="str">
        <f>IF(A884="","",TEXT(A884,"0")&amp;"|"&amp;TEXT(H884,"0"))</f>
        <v>4025017837259000|46128</v>
      </c>
      <c r="AA884" t="str">
        <f>IF(Z884="","",IFERROR(LOOKUP(2,1/(#REF!=Z884),#REF!),""))</f>
        <v/>
      </c>
      <c r="AB884" t="str">
        <f>IF(Z884="","",IFERROR(LOOKUP(2,1/(#REF!=Z884),#REF!),""))</f>
        <v/>
      </c>
      <c r="AC884" t="e">
        <f>IF(Z884="","",COUNTIF(#REF!,Z884))</f>
        <v>#REF!</v>
      </c>
      <c r="AD884" t="e">
        <f>IF(A884="","",IF(AC884&gt;1,"REVISAR DUPLICADO",IF(AA884&lt;&gt;"","ACTUALIZADO POR EYR","SIN REPORTE EYR")))</f>
        <v>#REF!</v>
      </c>
    </row>
    <row r="885" spans="1:30" x14ac:dyDescent="0.3">
      <c r="A885" s="5" t="s">
        <v>3133</v>
      </c>
      <c r="B885" t="s">
        <v>3132</v>
      </c>
      <c r="C885" s="4" t="s">
        <v>3131</v>
      </c>
      <c r="D885" t="s">
        <v>1</v>
      </c>
      <c r="F885" t="s">
        <v>0</v>
      </c>
      <c r="G885" s="3">
        <v>8298762485</v>
      </c>
      <c r="H885" s="2">
        <v>46128</v>
      </c>
      <c r="K885" s="1">
        <f ca="1">IF(A885="","",IF(OR(L885="ENTREGADA",L885="RETORNADA",L885="ENTREGA DIGITAL"),0,MAX(0,5-NETWORKDAYS(H885+1,TODAY()))))</f>
        <v>0</v>
      </c>
      <c r="L885" t="str">
        <f>IF(A885="","",IFERROR(LOOKUP(2,1/(#REF!=Z885),#REF!),Y885))</f>
        <v>ENTREGA DIGITAL</v>
      </c>
      <c r="Y885" t="s">
        <v>1396</v>
      </c>
      <c r="Z885" t="str">
        <f>IF(A885="","",TEXT(A885,"0")&amp;"|"&amp;TEXT(H885,"0"))</f>
        <v>5188017744747970|46128</v>
      </c>
      <c r="AA885" t="str">
        <f>IF(Z885="","",IFERROR(LOOKUP(2,1/(#REF!=Z885),#REF!),""))</f>
        <v/>
      </c>
      <c r="AB885" t="str">
        <f>IF(Z885="","",IFERROR(LOOKUP(2,1/(#REF!=Z885),#REF!),""))</f>
        <v/>
      </c>
      <c r="AC885" t="e">
        <f>IF(Z885="","",COUNTIF(#REF!,Z885))</f>
        <v>#REF!</v>
      </c>
      <c r="AD885" t="e">
        <f>IF(A885="","",IF(AC885&gt;1,"REVISAR DUPLICADO",IF(AA885&lt;&gt;"","ACTUALIZADO POR EYR","SIN REPORTE EYR")))</f>
        <v>#REF!</v>
      </c>
    </row>
    <row r="886" spans="1:30" x14ac:dyDescent="0.3">
      <c r="A886" s="5" t="s">
        <v>1767</v>
      </c>
      <c r="B886" t="s">
        <v>1766</v>
      </c>
      <c r="C886" s="4" t="s">
        <v>1765</v>
      </c>
      <c r="D886" t="s">
        <v>1</v>
      </c>
      <c r="F886" t="s">
        <v>3130</v>
      </c>
      <c r="G886" s="3">
        <v>8297856595</v>
      </c>
      <c r="H886" s="2">
        <v>46128</v>
      </c>
      <c r="K886" s="1">
        <f ca="1">IF(A886="","",IF(OR(L886="ENTREGADA",L886="RETORNADA",L886="ENTREGA DIGITAL"),0,MAX(0,5-NETWORKDAYS(H886+1,TODAY()))))</f>
        <v>0</v>
      </c>
      <c r="L886" t="str">
        <f>IF(A886="","",IFERROR(LOOKUP(2,1/(#REF!=Z886),#REF!),Y886))</f>
        <v>RETORNADA</v>
      </c>
      <c r="Y886" t="s">
        <v>1857</v>
      </c>
      <c r="Z886" t="str">
        <f>IF(A886="","",TEXT(A886,"0")&amp;"|"&amp;TEXT(H886,"0"))</f>
        <v>5415017742952110|46128</v>
      </c>
      <c r="AA886" t="str">
        <f>IF(Z886="","",IFERROR(LOOKUP(2,1/(#REF!=Z886),#REF!),""))</f>
        <v/>
      </c>
      <c r="AB886" t="str">
        <f>IF(Z886="","",IFERROR(LOOKUP(2,1/(#REF!=Z886),#REF!),""))</f>
        <v/>
      </c>
      <c r="AC886" t="e">
        <f>IF(Z886="","",COUNTIF(#REF!,Z886))</f>
        <v>#REF!</v>
      </c>
      <c r="AD886" t="e">
        <f>IF(A886="","",IF(AC886&gt;1,"REVISAR DUPLICADO",IF(AA886&lt;&gt;"","ACTUALIZADO POR EYR","SIN REPORTE EYR")))</f>
        <v>#REF!</v>
      </c>
    </row>
    <row r="887" spans="1:30" x14ac:dyDescent="0.3">
      <c r="A887" s="5" t="s">
        <v>3129</v>
      </c>
      <c r="B887" t="s">
        <v>3128</v>
      </c>
      <c r="C887" s="4" t="s">
        <v>3127</v>
      </c>
      <c r="D887" t="s">
        <v>1</v>
      </c>
      <c r="E887" t="s">
        <v>214</v>
      </c>
      <c r="F887" t="s">
        <v>3126</v>
      </c>
      <c r="G887" s="3">
        <v>8492702528</v>
      </c>
      <c r="H887" s="2">
        <v>46128</v>
      </c>
      <c r="K887" s="1">
        <f ca="1">IF(A887="","",IF(OR(L887="ENTREGADA",L887="RETORNADA",L887="ENTREGA DIGITAL"),0,MAX(0,5-NETWORKDAYS(H887+1,TODAY()))))</f>
        <v>0</v>
      </c>
      <c r="L887" t="str">
        <f>IF(A887="","",IFERROR(LOOKUP(2,1/(#REF!=Z887),#REF!),Y887))</f>
        <v>RETORNADA</v>
      </c>
      <c r="Y887" t="s">
        <v>1857</v>
      </c>
      <c r="Z887" t="str">
        <f>IF(A887="","",TEXT(A887,"0")&amp;"|"&amp;TEXT(H887,"0"))</f>
        <v>5415017753678410|46128</v>
      </c>
      <c r="AA887" t="str">
        <f>IF(Z887="","",IFERROR(LOOKUP(2,1/(#REF!=Z887),#REF!),""))</f>
        <v/>
      </c>
      <c r="AB887" t="str">
        <f>IF(Z887="","",IFERROR(LOOKUP(2,1/(#REF!=Z887),#REF!),""))</f>
        <v/>
      </c>
      <c r="AC887" t="e">
        <f>IF(Z887="","",COUNTIF(#REF!,Z887))</f>
        <v>#REF!</v>
      </c>
      <c r="AD887" t="e">
        <f>IF(A887="","",IF(AC887&gt;1,"REVISAR DUPLICADO",IF(AA887&lt;&gt;"","ACTUALIZADO POR EYR","SIN REPORTE EYR")))</f>
        <v>#REF!</v>
      </c>
    </row>
    <row r="888" spans="1:30" x14ac:dyDescent="0.3">
      <c r="A888" s="5" t="s">
        <v>3125</v>
      </c>
      <c r="B888" t="s">
        <v>3124</v>
      </c>
      <c r="C888" s="4" t="s">
        <v>3123</v>
      </c>
      <c r="D888" t="s">
        <v>1</v>
      </c>
      <c r="F888" t="s">
        <v>13</v>
      </c>
      <c r="G888" s="3">
        <v>8494766312</v>
      </c>
      <c r="H888" s="2">
        <v>46128</v>
      </c>
      <c r="K888" s="1">
        <f ca="1">IF(A888="","",IF(OR(L888="ENTREGADA",L888="RETORNADA",L888="ENTREGA DIGITAL"),0,MAX(0,5-NETWORKDAYS(H888+1,TODAY()))))</f>
        <v>0</v>
      </c>
      <c r="L888" t="str">
        <f>IF(A888="","",IFERROR(LOOKUP(2,1/(#REF!=Z888),#REF!),Y888))</f>
        <v>RETORNADA</v>
      </c>
      <c r="Y888" t="s">
        <v>1857</v>
      </c>
      <c r="Z888" t="str">
        <f>IF(A888="","",TEXT(A888,"0")&amp;"|"&amp;TEXT(H888,"0"))</f>
        <v>4921017836075420|46128</v>
      </c>
      <c r="AA888" t="str">
        <f>IF(Z888="","",IFERROR(LOOKUP(2,1/(#REF!=Z888),#REF!),""))</f>
        <v/>
      </c>
      <c r="AB888" t="str">
        <f>IF(Z888="","",IFERROR(LOOKUP(2,1/(#REF!=Z888),#REF!),""))</f>
        <v/>
      </c>
      <c r="AC888" t="e">
        <f>IF(Z888="","",COUNTIF(#REF!,Z888))</f>
        <v>#REF!</v>
      </c>
      <c r="AD888" t="e">
        <f>IF(A888="","",IF(AC888&gt;1,"REVISAR DUPLICADO",IF(AA888&lt;&gt;"","ACTUALIZADO POR EYR","SIN REPORTE EYR")))</f>
        <v>#REF!</v>
      </c>
    </row>
    <row r="889" spans="1:30" x14ac:dyDescent="0.3">
      <c r="A889" s="5" t="s">
        <v>3122</v>
      </c>
      <c r="B889" t="s">
        <v>3121</v>
      </c>
      <c r="C889" s="4" t="s">
        <v>3120</v>
      </c>
      <c r="D889" t="s">
        <v>21</v>
      </c>
      <c r="F889" t="s">
        <v>13</v>
      </c>
      <c r="G889" s="3">
        <v>8493441431</v>
      </c>
      <c r="H889" s="2">
        <v>46128</v>
      </c>
      <c r="K889" s="1">
        <f ca="1">IF(A889="","",IF(OR(L889="ENTREGADA",L889="RETORNADA",L889="ENTREGA DIGITAL"),0,MAX(0,5-NETWORKDAYS(H889+1,TODAY()))))</f>
        <v>0</v>
      </c>
      <c r="L889" t="str">
        <f>IF(A889="","",IFERROR(LOOKUP(2,1/(#REF!=Z889),#REF!),Y889))</f>
        <v>RETORNADA</v>
      </c>
      <c r="Y889" t="s">
        <v>1857</v>
      </c>
      <c r="Z889" t="str">
        <f>IF(A889="","",TEXT(A889,"0")&amp;"|"&amp;TEXT(H889,"0"))</f>
        <v>4921017840570080|46128</v>
      </c>
      <c r="AA889" t="str">
        <f>IF(Z889="","",IFERROR(LOOKUP(2,1/(#REF!=Z889),#REF!),""))</f>
        <v/>
      </c>
      <c r="AB889" t="str">
        <f>IF(Z889="","",IFERROR(LOOKUP(2,1/(#REF!=Z889),#REF!),""))</f>
        <v/>
      </c>
      <c r="AC889" t="e">
        <f>IF(Z889="","",COUNTIF(#REF!,Z889))</f>
        <v>#REF!</v>
      </c>
      <c r="AD889" t="e">
        <f>IF(A889="","",IF(AC889&gt;1,"REVISAR DUPLICADO",IF(AA889&lt;&gt;"","ACTUALIZADO POR EYR","SIN REPORTE EYR")))</f>
        <v>#REF!</v>
      </c>
    </row>
    <row r="890" spans="1:30" x14ac:dyDescent="0.3">
      <c r="A890" s="5" t="s">
        <v>3119</v>
      </c>
      <c r="B890" t="s">
        <v>3118</v>
      </c>
      <c r="C890" s="4" t="s">
        <v>3117</v>
      </c>
      <c r="D890" t="s">
        <v>21</v>
      </c>
      <c r="F890" t="s">
        <v>13</v>
      </c>
      <c r="G890" s="3">
        <v>8294840368</v>
      </c>
      <c r="H890" s="2">
        <v>46128</v>
      </c>
      <c r="K890" s="1">
        <f ca="1">IF(A890="","",IF(OR(L890="ENTREGADA",L890="RETORNADA",L890="ENTREGA DIGITAL"),0,MAX(0,5-NETWORKDAYS(H890+1,TODAY()))))</f>
        <v>0</v>
      </c>
      <c r="L890">
        <f>IF(A890="","",IFERROR(LOOKUP(2,1/(#REF!=Z890),#REF!),Y890))</f>
        <v>0</v>
      </c>
      <c r="Z890" t="str">
        <f>IF(A890="","",TEXT(A890,"0")&amp;"|"&amp;TEXT(H890,"0"))</f>
        <v>4921017841883140|46128</v>
      </c>
      <c r="AA890" t="str">
        <f>IF(Z890="","",IFERROR(LOOKUP(2,1/(#REF!=Z890),#REF!),""))</f>
        <v/>
      </c>
      <c r="AB890" t="str">
        <f>IF(Z890="","",IFERROR(LOOKUP(2,1/(#REF!=Z890),#REF!),""))</f>
        <v/>
      </c>
      <c r="AC890" t="e">
        <f>IF(Z890="","",COUNTIF(#REF!,Z890))</f>
        <v>#REF!</v>
      </c>
      <c r="AD890" t="e">
        <f>IF(A890="","",IF(AC890&gt;1,"REVISAR DUPLICADO",IF(AA890&lt;&gt;"","ACTUALIZADO POR EYR","SIN REPORTE EYR")))</f>
        <v>#REF!</v>
      </c>
    </row>
    <row r="891" spans="1:30" x14ac:dyDescent="0.3">
      <c r="A891" s="5" t="s">
        <v>3116</v>
      </c>
      <c r="B891" t="s">
        <v>3115</v>
      </c>
      <c r="C891" s="4" t="s">
        <v>3114</v>
      </c>
      <c r="D891" t="s">
        <v>21</v>
      </c>
      <c r="F891" t="s">
        <v>13</v>
      </c>
      <c r="G891" s="3">
        <v>8092465408</v>
      </c>
      <c r="H891" s="2">
        <v>46128</v>
      </c>
      <c r="K891" s="1">
        <f ca="1">IF(A891="","",IF(OR(L891="ENTREGADA",L891="RETORNADA",L891="ENTREGA DIGITAL"),0,MAX(0,5-NETWORKDAYS(H891+1,TODAY()))))</f>
        <v>0</v>
      </c>
      <c r="L891" t="str">
        <f>IF(A891="","",IFERROR(LOOKUP(2,1/(#REF!=Z891),#REF!),Y891))</f>
        <v>RETORNADA</v>
      </c>
      <c r="Y891" t="s">
        <v>1857</v>
      </c>
      <c r="Z891" t="str">
        <f>IF(A891="","",TEXT(A891,"0")&amp;"|"&amp;TEXT(H891,"0"))</f>
        <v>4025017843687200|46128</v>
      </c>
      <c r="AA891" t="str">
        <f>IF(Z891="","",IFERROR(LOOKUP(2,1/(#REF!=Z891),#REF!),""))</f>
        <v/>
      </c>
      <c r="AB891" t="str">
        <f>IF(Z891="","",IFERROR(LOOKUP(2,1/(#REF!=Z891),#REF!),""))</f>
        <v/>
      </c>
      <c r="AC891" t="e">
        <f>IF(Z891="","",COUNTIF(#REF!,Z891))</f>
        <v>#REF!</v>
      </c>
      <c r="AD891" t="e">
        <f>IF(A891="","",IF(AC891&gt;1,"REVISAR DUPLICADO",IF(AA891&lt;&gt;"","ACTUALIZADO POR EYR","SIN REPORTE EYR")))</f>
        <v>#REF!</v>
      </c>
    </row>
    <row r="892" spans="1:30" x14ac:dyDescent="0.3">
      <c r="A892" s="5" t="s">
        <v>3113</v>
      </c>
      <c r="B892" t="s">
        <v>3112</v>
      </c>
      <c r="C892" s="4" t="s">
        <v>3111</v>
      </c>
      <c r="D892" t="s">
        <v>21</v>
      </c>
      <c r="F892" t="s">
        <v>122</v>
      </c>
      <c r="G892" s="3">
        <v>8094529979</v>
      </c>
      <c r="H892" s="2">
        <v>46128</v>
      </c>
      <c r="K892" s="1">
        <f ca="1">IF(A892="","",IF(OR(L892="ENTREGADA",L892="RETORNADA",L892="ENTREGA DIGITAL"),0,MAX(0,5-NETWORKDAYS(H892+1,TODAY()))))</f>
        <v>0</v>
      </c>
      <c r="L892" t="str">
        <f>IF(A892="","",IFERROR(LOOKUP(2,1/(#REF!=Z892),#REF!),Y892))</f>
        <v>ENTREGA DIGITAL</v>
      </c>
      <c r="Y892" t="s">
        <v>1396</v>
      </c>
      <c r="Z892" t="str">
        <f>IF(A892="","",TEXT(A892,"0")&amp;"|"&amp;TEXT(H892,"0"))</f>
        <v>4921017840554740|46128</v>
      </c>
      <c r="AA892" t="str">
        <f>IF(Z892="","",IFERROR(LOOKUP(2,1/(#REF!=Z892),#REF!),""))</f>
        <v/>
      </c>
      <c r="AB892" t="str">
        <f>IF(Z892="","",IFERROR(LOOKUP(2,1/(#REF!=Z892),#REF!),""))</f>
        <v/>
      </c>
      <c r="AC892" t="e">
        <f>IF(Z892="","",COUNTIF(#REF!,Z892))</f>
        <v>#REF!</v>
      </c>
      <c r="AD892" t="e">
        <f>IF(A892="","",IF(AC892&gt;1,"REVISAR DUPLICADO",IF(AA892&lt;&gt;"","ACTUALIZADO POR EYR","SIN REPORTE EYR")))</f>
        <v>#REF!</v>
      </c>
    </row>
    <row r="893" spans="1:30" x14ac:dyDescent="0.3">
      <c r="A893" s="5" t="s">
        <v>3110</v>
      </c>
      <c r="B893" t="s">
        <v>3109</v>
      </c>
      <c r="C893" s="4" t="s">
        <v>3108</v>
      </c>
      <c r="D893" t="s">
        <v>21</v>
      </c>
      <c r="F893" t="s">
        <v>3107</v>
      </c>
      <c r="G893" s="3">
        <v>8095291189</v>
      </c>
      <c r="H893" s="2">
        <v>46128</v>
      </c>
      <c r="K893" s="1">
        <f ca="1">IF(A893="","",IF(OR(L893="ENTREGADA",L893="RETORNADA",L893="ENTREGA DIGITAL"),0,MAX(0,5-NETWORKDAYS(H893+1,TODAY()))))</f>
        <v>0</v>
      </c>
      <c r="L893" t="str">
        <f>IF(A893="","",IFERROR(LOOKUP(2,1/(#REF!=Z893),#REF!),Y893))</f>
        <v>ENTREGA DIGITAL</v>
      </c>
      <c r="Y893" t="s">
        <v>1396</v>
      </c>
      <c r="Z893" t="str">
        <f>IF(A893="","",TEXT(A893,"0")&amp;"|"&amp;TEXT(H893,"0"))</f>
        <v>4921017842081100|46128</v>
      </c>
      <c r="AA893" t="str">
        <f>IF(Z893="","",IFERROR(LOOKUP(2,1/(#REF!=Z893),#REF!),""))</f>
        <v/>
      </c>
      <c r="AB893" t="str">
        <f>IF(Z893="","",IFERROR(LOOKUP(2,1/(#REF!=Z893),#REF!),""))</f>
        <v/>
      </c>
      <c r="AC893" t="e">
        <f>IF(Z893="","",COUNTIF(#REF!,Z893))</f>
        <v>#REF!</v>
      </c>
      <c r="AD893" t="e">
        <f>IF(A893="","",IF(AC893&gt;1,"REVISAR DUPLICADO",IF(AA893&lt;&gt;"","ACTUALIZADO POR EYR","SIN REPORTE EYR")))</f>
        <v>#REF!</v>
      </c>
    </row>
    <row r="894" spans="1:30" x14ac:dyDescent="0.3">
      <c r="A894" s="5" t="s">
        <v>3106</v>
      </c>
      <c r="B894" t="s">
        <v>3105</v>
      </c>
      <c r="C894" s="4" t="s">
        <v>3104</v>
      </c>
      <c r="D894" t="s">
        <v>21</v>
      </c>
      <c r="F894" t="s">
        <v>13</v>
      </c>
      <c r="G894" s="3">
        <v>8492061218</v>
      </c>
      <c r="H894" s="2">
        <v>46128</v>
      </c>
      <c r="K894" s="1">
        <f ca="1">IF(A894="","",IF(OR(L894="ENTREGADA",L894="RETORNADA",L894="ENTREGA DIGITAL"),0,MAX(0,5-NETWORKDAYS(H894+1,TODAY()))))</f>
        <v>0</v>
      </c>
      <c r="L894">
        <f>IF(A894="","",IFERROR(LOOKUP(2,1/(#REF!=Z894),#REF!),Y894))</f>
        <v>0</v>
      </c>
      <c r="Z894" t="str">
        <f>IF(A894="","",TEXT(A894,"0")&amp;"|"&amp;TEXT(H894,"0"))</f>
        <v>5415017838759760|46128</v>
      </c>
      <c r="AA894" t="str">
        <f>IF(Z894="","",IFERROR(LOOKUP(2,1/(#REF!=Z894),#REF!),""))</f>
        <v/>
      </c>
      <c r="AB894" t="str">
        <f>IF(Z894="","",IFERROR(LOOKUP(2,1/(#REF!=Z894),#REF!),""))</f>
        <v/>
      </c>
      <c r="AC894" t="e">
        <f>IF(Z894="","",COUNTIF(#REF!,Z894))</f>
        <v>#REF!</v>
      </c>
      <c r="AD894" t="e">
        <f>IF(A894="","",IF(AC894&gt;1,"REVISAR DUPLICADO",IF(AA894&lt;&gt;"","ACTUALIZADO POR EYR","SIN REPORTE EYR")))</f>
        <v>#REF!</v>
      </c>
    </row>
    <row r="895" spans="1:30" x14ac:dyDescent="0.3">
      <c r="A895" s="5" t="s">
        <v>1461</v>
      </c>
      <c r="B895" t="s">
        <v>1225</v>
      </c>
      <c r="C895" s="4" t="s">
        <v>1224</v>
      </c>
      <c r="D895" t="s">
        <v>21</v>
      </c>
      <c r="F895" t="s">
        <v>3103</v>
      </c>
      <c r="G895" s="3">
        <v>8093394197</v>
      </c>
      <c r="H895" s="2">
        <v>46128</v>
      </c>
      <c r="K895" s="1">
        <f ca="1">IF(A895="","",IF(OR(L895="ENTREGADA",L895="RETORNADA",L895="ENTREGA DIGITAL"),0,MAX(0,5-NETWORKDAYS(H895+1,TODAY()))))</f>
        <v>0</v>
      </c>
      <c r="L895" t="str">
        <f>IF(A895="","",IFERROR(LOOKUP(2,1/(#REF!=Z895),#REF!),Y895))</f>
        <v>RETORNADA</v>
      </c>
      <c r="Y895" t="s">
        <v>1857</v>
      </c>
      <c r="Z895" t="str">
        <f>IF(A895="","",TEXT(A895,"0")&amp;"|"&amp;TEXT(H895,"0"))</f>
        <v>5415017838130810|46128</v>
      </c>
      <c r="AA895" t="str">
        <f>IF(Z895="","",IFERROR(LOOKUP(2,1/(#REF!=Z895),#REF!),""))</f>
        <v/>
      </c>
      <c r="AB895" t="str">
        <f>IF(Z895="","",IFERROR(LOOKUP(2,1/(#REF!=Z895),#REF!),""))</f>
        <v/>
      </c>
      <c r="AC895" t="e">
        <f>IF(Z895="","",COUNTIF(#REF!,Z895))</f>
        <v>#REF!</v>
      </c>
      <c r="AD895" t="e">
        <f>IF(A895="","",IF(AC895&gt;1,"REVISAR DUPLICADO",IF(AA895&lt;&gt;"","ACTUALIZADO POR EYR","SIN REPORTE EYR")))</f>
        <v>#REF!</v>
      </c>
    </row>
    <row r="896" spans="1:30" x14ac:dyDescent="0.3">
      <c r="A896" s="5" t="s">
        <v>3102</v>
      </c>
      <c r="B896" t="s">
        <v>3101</v>
      </c>
      <c r="C896" s="4" t="s">
        <v>3100</v>
      </c>
      <c r="D896" t="s">
        <v>21</v>
      </c>
      <c r="F896" t="s">
        <v>13</v>
      </c>
      <c r="G896" s="3">
        <v>8299599055</v>
      </c>
      <c r="H896" s="2">
        <v>46128</v>
      </c>
      <c r="K896" s="1">
        <f ca="1">IF(A896="","",IF(OR(L896="ENTREGADA",L896="RETORNADA",L896="ENTREGA DIGITAL"),0,MAX(0,5-NETWORKDAYS(H896+1,TODAY()))))</f>
        <v>0</v>
      </c>
      <c r="L896" t="str">
        <f>IF(A896="","",IFERROR(LOOKUP(2,1/(#REF!=Z896),#REF!),Y896))</f>
        <v>ENTREGA DIGITAL</v>
      </c>
      <c r="Y896" t="s">
        <v>1396</v>
      </c>
      <c r="Z896" t="str">
        <f>IF(A896="","",TEXT(A896,"0")&amp;"|"&amp;TEXT(H896,"0"))</f>
        <v>4921017840260300|46128</v>
      </c>
      <c r="AA896" t="str">
        <f>IF(Z896="","",IFERROR(LOOKUP(2,1/(#REF!=Z896),#REF!),""))</f>
        <v/>
      </c>
      <c r="AB896" t="str">
        <f>IF(Z896="","",IFERROR(LOOKUP(2,1/(#REF!=Z896),#REF!),""))</f>
        <v/>
      </c>
      <c r="AC896" t="e">
        <f>IF(Z896="","",COUNTIF(#REF!,Z896))</f>
        <v>#REF!</v>
      </c>
      <c r="AD896" t="e">
        <f>IF(A896="","",IF(AC896&gt;1,"REVISAR DUPLICADO",IF(AA896&lt;&gt;"","ACTUALIZADO POR EYR","SIN REPORTE EYR")))</f>
        <v>#REF!</v>
      </c>
    </row>
    <row r="897" spans="1:30" x14ac:dyDescent="0.3">
      <c r="A897" s="5" t="s">
        <v>3099</v>
      </c>
      <c r="B897" t="s">
        <v>3098</v>
      </c>
      <c r="C897" s="4" t="s">
        <v>3097</v>
      </c>
      <c r="D897" t="s">
        <v>21</v>
      </c>
      <c r="F897" t="s">
        <v>1097</v>
      </c>
      <c r="G897" s="3">
        <v>8092460265</v>
      </c>
      <c r="H897" s="2">
        <v>46128</v>
      </c>
      <c r="K897" s="1">
        <f ca="1">IF(A897="","",IF(OR(L897="ENTREGADA",L897="RETORNADA",L897="ENTREGA DIGITAL"),0,MAX(0,5-NETWORKDAYS(H897+1,TODAY()))))</f>
        <v>0</v>
      </c>
      <c r="L897" t="str">
        <f>IF(A897="","",IFERROR(LOOKUP(2,1/(#REF!=Z897),#REF!),Y897))</f>
        <v>RETORNADA</v>
      </c>
      <c r="Y897" t="s">
        <v>1857</v>
      </c>
      <c r="Z897" t="str">
        <f>IF(A897="","",TEXT(A897,"0")&amp;"|"&amp;TEXT(H897,"0"))</f>
        <v>5400017839037920|46128</v>
      </c>
      <c r="AA897" t="str">
        <f>IF(Z897="","",IFERROR(LOOKUP(2,1/(#REF!=Z897),#REF!),""))</f>
        <v/>
      </c>
      <c r="AB897" t="str">
        <f>IF(Z897="","",IFERROR(LOOKUP(2,1/(#REF!=Z897),#REF!),""))</f>
        <v/>
      </c>
      <c r="AC897" t="e">
        <f>IF(Z897="","",COUNTIF(#REF!,Z897))</f>
        <v>#REF!</v>
      </c>
      <c r="AD897" t="e">
        <f>IF(A897="","",IF(AC897&gt;1,"REVISAR DUPLICADO",IF(AA897&lt;&gt;"","ACTUALIZADO POR EYR","SIN REPORTE EYR")))</f>
        <v>#REF!</v>
      </c>
    </row>
    <row r="898" spans="1:30" x14ac:dyDescent="0.3">
      <c r="A898" s="5" t="s">
        <v>3096</v>
      </c>
      <c r="B898" t="s">
        <v>3095</v>
      </c>
      <c r="C898" s="4" t="s">
        <v>3094</v>
      </c>
      <c r="D898" t="s">
        <v>21</v>
      </c>
      <c r="F898" t="s">
        <v>3093</v>
      </c>
      <c r="G898" s="3">
        <v>8298751606</v>
      </c>
      <c r="H898" s="2">
        <v>46128</v>
      </c>
      <c r="K898" s="1">
        <f ca="1">IF(A898="","",IF(OR(L898="ENTREGADA",L898="RETORNADA",L898="ENTREGA DIGITAL"),0,MAX(0,5-NETWORKDAYS(H898+1,TODAY()))))</f>
        <v>0</v>
      </c>
      <c r="L898" t="str">
        <f>IF(A898="","",IFERROR(LOOKUP(2,1/(#REF!=Z898),#REF!),Y898))</f>
        <v>ENTREGA DIGITAL</v>
      </c>
      <c r="Y898" t="s">
        <v>1396</v>
      </c>
      <c r="Z898" t="str">
        <f>IF(A898="","",TEXT(A898,"0")&amp;"|"&amp;TEXT(H898,"0"))</f>
        <v>5188017839625590|46128</v>
      </c>
      <c r="AA898" t="str">
        <f>IF(Z898="","",IFERROR(LOOKUP(2,1/(#REF!=Z898),#REF!),""))</f>
        <v/>
      </c>
      <c r="AB898" t="str">
        <f>IF(Z898="","",IFERROR(LOOKUP(2,1/(#REF!=Z898),#REF!),""))</f>
        <v/>
      </c>
      <c r="AC898" t="e">
        <f>IF(Z898="","",COUNTIF(#REF!,Z898))</f>
        <v>#REF!</v>
      </c>
      <c r="AD898" t="e">
        <f>IF(A898="","",IF(AC898&gt;1,"REVISAR DUPLICADO",IF(AA898&lt;&gt;"","ACTUALIZADO POR EYR","SIN REPORTE EYR")))</f>
        <v>#REF!</v>
      </c>
    </row>
    <row r="899" spans="1:30" x14ac:dyDescent="0.3">
      <c r="A899" s="5" t="s">
        <v>3092</v>
      </c>
      <c r="B899" t="s">
        <v>3091</v>
      </c>
      <c r="C899" s="4" t="s">
        <v>3090</v>
      </c>
      <c r="D899" t="s">
        <v>21</v>
      </c>
      <c r="F899" t="s">
        <v>13</v>
      </c>
      <c r="G899" s="3">
        <v>8497549926</v>
      </c>
      <c r="H899" s="2">
        <v>46128</v>
      </c>
      <c r="K899" s="1">
        <f ca="1">IF(A899="","",IF(OR(L899="ENTREGADA",L899="RETORNADA",L899="ENTREGA DIGITAL"),0,MAX(0,5-NETWORKDAYS(H899+1,TODAY()))))</f>
        <v>0</v>
      </c>
      <c r="L899" t="str">
        <f>IF(A899="","",IFERROR(LOOKUP(2,1/(#REF!=Z899),#REF!),Y899))</f>
        <v>ENTREGA DIGITAL</v>
      </c>
      <c r="Y899" t="s">
        <v>1396</v>
      </c>
      <c r="Z899" t="str">
        <f>IF(A899="","",TEXT(A899,"0")&amp;"|"&amp;TEXT(H899,"0"))</f>
        <v>4921017840293470|46128</v>
      </c>
      <c r="AA899" t="str">
        <f>IF(Z899="","",IFERROR(LOOKUP(2,1/(#REF!=Z899),#REF!),""))</f>
        <v/>
      </c>
      <c r="AB899" t="str">
        <f>IF(Z899="","",IFERROR(LOOKUP(2,1/(#REF!=Z899),#REF!),""))</f>
        <v/>
      </c>
      <c r="AC899" t="e">
        <f>IF(Z899="","",COUNTIF(#REF!,Z899))</f>
        <v>#REF!</v>
      </c>
      <c r="AD899" t="e">
        <f>IF(A899="","",IF(AC899&gt;1,"REVISAR DUPLICADO",IF(AA899&lt;&gt;"","ACTUALIZADO POR EYR","SIN REPORTE EYR")))</f>
        <v>#REF!</v>
      </c>
    </row>
    <row r="900" spans="1:30" x14ac:dyDescent="0.3">
      <c r="A900" s="5" t="s">
        <v>3089</v>
      </c>
      <c r="B900" t="s">
        <v>3088</v>
      </c>
      <c r="C900" s="4" t="s">
        <v>3087</v>
      </c>
      <c r="D900" t="s">
        <v>21</v>
      </c>
      <c r="E900" t="s">
        <v>21</v>
      </c>
      <c r="F900" t="s">
        <v>62</v>
      </c>
      <c r="G900" s="3">
        <v>8298815711</v>
      </c>
      <c r="H900" s="2">
        <v>46128</v>
      </c>
      <c r="K900" s="1">
        <f ca="1">IF(A900="","",IF(OR(L900="ENTREGADA",L900="RETORNADA",L900="ENTREGA DIGITAL"),0,MAX(0,5-NETWORKDAYS(H900+1,TODAY()))))</f>
        <v>0</v>
      </c>
      <c r="L900" t="str">
        <f>IF(A900="","",IFERROR(LOOKUP(2,1/(#REF!=Z900),#REF!),Y900))</f>
        <v>ENTREGA DIGITAL</v>
      </c>
      <c r="Y900" t="s">
        <v>1396</v>
      </c>
      <c r="Z900" t="str">
        <f>IF(A900="","",TEXT(A900,"0")&amp;"|"&amp;TEXT(H900,"0"))</f>
        <v>5188017838303200|46128</v>
      </c>
      <c r="AA900" t="str">
        <f>IF(Z900="","",IFERROR(LOOKUP(2,1/(#REF!=Z900),#REF!),""))</f>
        <v/>
      </c>
      <c r="AB900" t="str">
        <f>IF(Z900="","",IFERROR(LOOKUP(2,1/(#REF!=Z900),#REF!),""))</f>
        <v/>
      </c>
      <c r="AC900" t="e">
        <f>IF(Z900="","",COUNTIF(#REF!,Z900))</f>
        <v>#REF!</v>
      </c>
      <c r="AD900" t="e">
        <f>IF(A900="","",IF(AC900&gt;1,"REVISAR DUPLICADO",IF(AA900&lt;&gt;"","ACTUALIZADO POR EYR","SIN REPORTE EYR")))</f>
        <v>#REF!</v>
      </c>
    </row>
    <row r="901" spans="1:30" x14ac:dyDescent="0.3">
      <c r="A901" s="5" t="s">
        <v>3086</v>
      </c>
      <c r="B901" t="s">
        <v>3085</v>
      </c>
      <c r="C901" s="4" t="s">
        <v>3084</v>
      </c>
      <c r="D901" t="s">
        <v>77</v>
      </c>
      <c r="F901" t="s">
        <v>3083</v>
      </c>
      <c r="G901" s="3">
        <v>8492099561</v>
      </c>
      <c r="H901" s="2">
        <v>46128</v>
      </c>
      <c r="K901" s="1">
        <f ca="1">IF(A901="","",IF(OR(L901="ENTREGADA",L901="RETORNADA",L901="ENTREGA DIGITAL"),0,MAX(0,5-NETWORKDAYS(H901+1,TODAY()))))</f>
        <v>0</v>
      </c>
      <c r="L901" t="str">
        <f>IF(A901="","",IFERROR(LOOKUP(2,1/(#REF!=Z901),#REF!),Y901))</f>
        <v>ENTREGA DIGITAL</v>
      </c>
      <c r="Y901" t="s">
        <v>1396</v>
      </c>
      <c r="Z901" t="str">
        <f>IF(A901="","",TEXT(A901,"0")&amp;"|"&amp;TEXT(H901,"0"))</f>
        <v>4921017682108460|46128</v>
      </c>
      <c r="AA901" t="str">
        <f>IF(Z901="","",IFERROR(LOOKUP(2,1/(#REF!=Z901),#REF!),""))</f>
        <v/>
      </c>
      <c r="AB901" t="str">
        <f>IF(Z901="","",IFERROR(LOOKUP(2,1/(#REF!=Z901),#REF!),""))</f>
        <v/>
      </c>
      <c r="AC901" t="e">
        <f>IF(Z901="","",COUNTIF(#REF!,Z901))</f>
        <v>#REF!</v>
      </c>
      <c r="AD901" t="e">
        <f>IF(A901="","",IF(AC901&gt;1,"REVISAR DUPLICADO",IF(AA901&lt;&gt;"","ACTUALIZADO POR EYR","SIN REPORTE EYR")))</f>
        <v>#REF!</v>
      </c>
    </row>
    <row r="902" spans="1:30" x14ac:dyDescent="0.3">
      <c r="A902" s="5" t="s">
        <v>3082</v>
      </c>
      <c r="B902" t="s">
        <v>3081</v>
      </c>
      <c r="C902" s="4" t="s">
        <v>3080</v>
      </c>
      <c r="D902" t="s">
        <v>77</v>
      </c>
      <c r="F902" t="s">
        <v>13</v>
      </c>
      <c r="G902" s="3">
        <v>8098914548</v>
      </c>
      <c r="H902" s="2">
        <v>46128</v>
      </c>
      <c r="K902" s="1">
        <f ca="1">IF(A902="","",IF(OR(L902="ENTREGADA",L902="RETORNADA",L902="ENTREGA DIGITAL"),0,MAX(0,5-NETWORKDAYS(H902+1,TODAY()))))</f>
        <v>0</v>
      </c>
      <c r="L902">
        <f>IF(A902="","",IFERROR(LOOKUP(2,1/(#REF!=Z902),#REF!),Y902))</f>
        <v>0</v>
      </c>
      <c r="Z902" t="str">
        <f>IF(A902="","",TEXT(A902,"0")&amp;"|"&amp;TEXT(H902,"0"))</f>
        <v>4921017843029950|46128</v>
      </c>
      <c r="AA902" t="str">
        <f>IF(Z902="","",IFERROR(LOOKUP(2,1/(#REF!=Z902),#REF!),""))</f>
        <v/>
      </c>
      <c r="AB902" t="str">
        <f>IF(Z902="","",IFERROR(LOOKUP(2,1/(#REF!=Z902),#REF!),""))</f>
        <v/>
      </c>
      <c r="AC902" t="e">
        <f>IF(Z902="","",COUNTIF(#REF!,Z902))</f>
        <v>#REF!</v>
      </c>
      <c r="AD902" t="e">
        <f>IF(A902="","",IF(AC902&gt;1,"REVISAR DUPLICADO",IF(AA902&lt;&gt;"","ACTUALIZADO POR EYR","SIN REPORTE EYR")))</f>
        <v>#REF!</v>
      </c>
    </row>
    <row r="903" spans="1:30" x14ac:dyDescent="0.3">
      <c r="A903" s="5" t="s">
        <v>3079</v>
      </c>
      <c r="B903" t="s">
        <v>3078</v>
      </c>
      <c r="C903" s="4" t="s">
        <v>3077</v>
      </c>
      <c r="D903" t="s">
        <v>77</v>
      </c>
      <c r="F903" t="s">
        <v>3076</v>
      </c>
      <c r="G903" s="3">
        <v>8292612271</v>
      </c>
      <c r="H903" s="2">
        <v>46128</v>
      </c>
      <c r="K903" s="1">
        <f ca="1">IF(A903="","",IF(OR(L903="ENTREGADA",L903="RETORNADA",L903="ENTREGA DIGITAL"),0,MAX(0,5-NETWORKDAYS(H903+1,TODAY()))))</f>
        <v>0</v>
      </c>
      <c r="L903">
        <f>IF(A903="","",IFERROR(LOOKUP(2,1/(#REF!=Z903),#REF!),Y903))</f>
        <v>0</v>
      </c>
      <c r="Z903" t="str">
        <f>IF(A903="","",TEXT(A903,"0")&amp;"|"&amp;TEXT(H903,"0"))</f>
        <v>4921017841712270|46128</v>
      </c>
      <c r="AA903" t="str">
        <f>IF(Z903="","",IFERROR(LOOKUP(2,1/(#REF!=Z903),#REF!),""))</f>
        <v/>
      </c>
      <c r="AB903" t="str">
        <f>IF(Z903="","",IFERROR(LOOKUP(2,1/(#REF!=Z903),#REF!),""))</f>
        <v/>
      </c>
      <c r="AC903" t="e">
        <f>IF(Z903="","",COUNTIF(#REF!,Z903))</f>
        <v>#REF!</v>
      </c>
      <c r="AD903" t="e">
        <f>IF(A903="","",IF(AC903&gt;1,"REVISAR DUPLICADO",IF(AA903&lt;&gt;"","ACTUALIZADO POR EYR","SIN REPORTE EYR")))</f>
        <v>#REF!</v>
      </c>
    </row>
    <row r="904" spans="1:30" x14ac:dyDescent="0.3">
      <c r="A904" s="5" t="s">
        <v>3075</v>
      </c>
      <c r="B904" t="s">
        <v>3074</v>
      </c>
      <c r="C904" s="4" t="s">
        <v>3073</v>
      </c>
      <c r="D904" t="s">
        <v>77</v>
      </c>
      <c r="E904" t="s">
        <v>214</v>
      </c>
      <c r="F904" t="s">
        <v>391</v>
      </c>
      <c r="G904" s="3">
        <v>8295502703</v>
      </c>
      <c r="H904" s="2">
        <v>46128</v>
      </c>
      <c r="K904" s="1">
        <f ca="1">IF(A904="","",IF(OR(L904="ENTREGADA",L904="RETORNADA",L904="ENTREGA DIGITAL"),0,MAX(0,5-NETWORKDAYS(H904+1,TODAY()))))</f>
        <v>0</v>
      </c>
      <c r="L904" t="str">
        <f>IF(A904="","",IFERROR(LOOKUP(2,1/(#REF!=Z904),#REF!),Y904))</f>
        <v>ENTREGA DIGITAL</v>
      </c>
      <c r="Y904" t="s">
        <v>1396</v>
      </c>
      <c r="Z904" t="str">
        <f>IF(A904="","",TEXT(A904,"0")&amp;"|"&amp;TEXT(H904,"0"))</f>
        <v>4921017841260770|46128</v>
      </c>
      <c r="AA904" t="str">
        <f>IF(Z904="","",IFERROR(LOOKUP(2,1/(#REF!=Z904),#REF!),""))</f>
        <v/>
      </c>
      <c r="AB904" t="str">
        <f>IF(Z904="","",IFERROR(LOOKUP(2,1/(#REF!=Z904),#REF!),""))</f>
        <v/>
      </c>
      <c r="AC904" t="e">
        <f>IF(Z904="","",COUNTIF(#REF!,Z904))</f>
        <v>#REF!</v>
      </c>
      <c r="AD904" t="e">
        <f>IF(A904="","",IF(AC904&gt;1,"REVISAR DUPLICADO",IF(AA904&lt;&gt;"","ACTUALIZADO POR EYR","SIN REPORTE EYR")))</f>
        <v>#REF!</v>
      </c>
    </row>
    <row r="905" spans="1:30" x14ac:dyDescent="0.3">
      <c r="A905" s="5" t="s">
        <v>3072</v>
      </c>
      <c r="B905" t="s">
        <v>3071</v>
      </c>
      <c r="C905" s="4" t="s">
        <v>3070</v>
      </c>
      <c r="D905" t="s">
        <v>77</v>
      </c>
      <c r="F905" t="s">
        <v>13</v>
      </c>
      <c r="G905" s="3">
        <v>8099428336</v>
      </c>
      <c r="H905" s="2">
        <v>46128</v>
      </c>
      <c r="I905" t="s">
        <v>1397</v>
      </c>
      <c r="K905" s="1">
        <f ca="1">IF(A905="","",IF(OR(L905="ENTREGADA",L905="RETORNADA",L905="ENTREGA DIGITAL"),0,MAX(0,5-NETWORKDAYS(H905+1,TODAY()))))</f>
        <v>0</v>
      </c>
      <c r="L905" t="str">
        <f>IF(A905="","",IFERROR(LOOKUP(2,1/(#REF!=Z905),#REF!),Y905))</f>
        <v>ENTREGA DIGITAL</v>
      </c>
      <c r="Y905" t="s">
        <v>1396</v>
      </c>
      <c r="Z905" t="str">
        <f>IF(A905="","",TEXT(A905,"0")&amp;"|"&amp;TEXT(H905,"0"))</f>
        <v>5188017839894140|46128</v>
      </c>
      <c r="AA905" t="str">
        <f>IF(Z905="","",IFERROR(LOOKUP(2,1/(#REF!=Z905),#REF!),""))</f>
        <v/>
      </c>
      <c r="AB905" t="str">
        <f>IF(Z905="","",IFERROR(LOOKUP(2,1/(#REF!=Z905),#REF!),""))</f>
        <v/>
      </c>
      <c r="AC905" t="e">
        <f>IF(Z905="","",COUNTIF(#REF!,Z905))</f>
        <v>#REF!</v>
      </c>
      <c r="AD905" t="e">
        <f>IF(A905="","",IF(AC905&gt;1,"REVISAR DUPLICADO",IF(AA905&lt;&gt;"","ACTUALIZADO POR EYR","SIN REPORTE EYR")))</f>
        <v>#REF!</v>
      </c>
    </row>
    <row r="906" spans="1:30" x14ac:dyDescent="0.3">
      <c r="A906" s="5" t="s">
        <v>3069</v>
      </c>
      <c r="B906" t="s">
        <v>3068</v>
      </c>
      <c r="C906" s="4" t="s">
        <v>3067</v>
      </c>
      <c r="D906" t="s">
        <v>77</v>
      </c>
      <c r="E906" t="s">
        <v>214</v>
      </c>
      <c r="F906" t="s">
        <v>391</v>
      </c>
      <c r="G906" s="3">
        <v>8493837180</v>
      </c>
      <c r="H906" s="2">
        <v>46128</v>
      </c>
      <c r="I906" t="s">
        <v>1397</v>
      </c>
      <c r="K906" s="1">
        <f ca="1">IF(A906="","",IF(OR(L906="ENTREGADA",L906="RETORNADA",L906="ENTREGA DIGITAL"),0,MAX(0,5-NETWORKDAYS(H906+1,TODAY()))))</f>
        <v>0</v>
      </c>
      <c r="L906" t="str">
        <f>IF(A906="","",IFERROR(LOOKUP(2,1/(#REF!=Z906),#REF!),Y906))</f>
        <v>ENTREGA DIGITAL</v>
      </c>
      <c r="Y906" t="s">
        <v>1396</v>
      </c>
      <c r="Z906" t="str">
        <f>IF(A906="","",TEXT(A906,"0")&amp;"|"&amp;TEXT(H906,"0"))</f>
        <v>5188017840045920|46128</v>
      </c>
      <c r="AA906" t="str">
        <f>IF(Z906="","",IFERROR(LOOKUP(2,1/(#REF!=Z906),#REF!),""))</f>
        <v/>
      </c>
      <c r="AB906" t="str">
        <f>IF(Z906="","",IFERROR(LOOKUP(2,1/(#REF!=Z906),#REF!),""))</f>
        <v/>
      </c>
      <c r="AC906" t="e">
        <f>IF(Z906="","",COUNTIF(#REF!,Z906))</f>
        <v>#REF!</v>
      </c>
      <c r="AD906" t="e">
        <f>IF(A906="","",IF(AC906&gt;1,"REVISAR DUPLICADO",IF(AA906&lt;&gt;"","ACTUALIZADO POR EYR","SIN REPORTE EYR")))</f>
        <v>#REF!</v>
      </c>
    </row>
    <row r="907" spans="1:30" x14ac:dyDescent="0.3">
      <c r="A907" s="5" t="s">
        <v>3066</v>
      </c>
      <c r="B907" t="s">
        <v>3065</v>
      </c>
      <c r="C907" s="4" t="s">
        <v>3064</v>
      </c>
      <c r="D907" t="s">
        <v>77</v>
      </c>
      <c r="E907" t="s">
        <v>214</v>
      </c>
      <c r="F907" t="s">
        <v>391</v>
      </c>
      <c r="G907" s="3">
        <v>8094797027</v>
      </c>
      <c r="H907" s="2">
        <v>46128</v>
      </c>
      <c r="I907" t="s">
        <v>1397</v>
      </c>
      <c r="K907" s="1">
        <f ca="1">IF(A907="","",IF(OR(L907="ENTREGADA",L907="RETORNADA",L907="ENTREGA DIGITAL"),0,MAX(0,5-NETWORKDAYS(H907+1,TODAY()))))</f>
        <v>0</v>
      </c>
      <c r="L907" t="str">
        <f>IF(A907="","",IFERROR(LOOKUP(2,1/(#REF!=Z907),#REF!),Y907))</f>
        <v>ENTREGA DIGITAL</v>
      </c>
      <c r="Y907" t="s">
        <v>1396</v>
      </c>
      <c r="Z907" t="str">
        <f>IF(A907="","",TEXT(A907,"0")&amp;"|"&amp;TEXT(H907,"0"))</f>
        <v>4025017843491140|46128</v>
      </c>
      <c r="AA907" t="str">
        <f>IF(Z907="","",IFERROR(LOOKUP(2,1/(#REF!=Z907),#REF!),""))</f>
        <v/>
      </c>
      <c r="AB907" t="str">
        <f>IF(Z907="","",IFERROR(LOOKUP(2,1/(#REF!=Z907),#REF!),""))</f>
        <v/>
      </c>
      <c r="AC907" t="e">
        <f>IF(Z907="","",COUNTIF(#REF!,Z907))</f>
        <v>#REF!</v>
      </c>
      <c r="AD907" t="e">
        <f>IF(A907="","",IF(AC907&gt;1,"REVISAR DUPLICADO",IF(AA907&lt;&gt;"","ACTUALIZADO POR EYR","SIN REPORTE EYR")))</f>
        <v>#REF!</v>
      </c>
    </row>
    <row r="908" spans="1:30" x14ac:dyDescent="0.3">
      <c r="A908" s="5" t="s">
        <v>3063</v>
      </c>
      <c r="B908" t="s">
        <v>3062</v>
      </c>
      <c r="C908" s="4" t="s">
        <v>3061</v>
      </c>
      <c r="D908" t="s">
        <v>1</v>
      </c>
      <c r="F908" t="s">
        <v>13</v>
      </c>
      <c r="G908" s="3">
        <v>8096080078</v>
      </c>
      <c r="H908" s="2">
        <v>46128</v>
      </c>
      <c r="K908" s="1">
        <f ca="1">IF(A908="","",IF(OR(L908="ENTREGADA",L908="RETORNADA",L908="ENTREGA DIGITAL"),0,MAX(0,5-NETWORKDAYS(H908+1,TODAY()))))</f>
        <v>0</v>
      </c>
      <c r="L908" t="str">
        <f>IF(A908="","",IFERROR(LOOKUP(2,1/(#REF!=Z908),#REF!),Y908))</f>
        <v>RETORNADA</v>
      </c>
      <c r="Y908" t="s">
        <v>1857</v>
      </c>
      <c r="Z908" t="str">
        <f>IF(A908="","",TEXT(A908,"0")&amp;"|"&amp;TEXT(H908,"0"))</f>
        <v>4921017842862410|46128</v>
      </c>
      <c r="AA908" t="str">
        <f>IF(Z908="","",IFERROR(LOOKUP(2,1/(#REF!=Z908),#REF!),""))</f>
        <v/>
      </c>
      <c r="AB908" t="str">
        <f>IF(Z908="","",IFERROR(LOOKUP(2,1/(#REF!=Z908),#REF!),""))</f>
        <v/>
      </c>
      <c r="AC908" t="e">
        <f>IF(Z908="","",COUNTIF(#REF!,Z908))</f>
        <v>#REF!</v>
      </c>
      <c r="AD908" t="e">
        <f>IF(A908="","",IF(AC908&gt;1,"REVISAR DUPLICADO",IF(AA908&lt;&gt;"","ACTUALIZADO POR EYR","SIN REPORTE EYR")))</f>
        <v>#REF!</v>
      </c>
    </row>
    <row r="909" spans="1:30" x14ac:dyDescent="0.3">
      <c r="A909" s="5" t="s">
        <v>3060</v>
      </c>
      <c r="B909" t="s">
        <v>3059</v>
      </c>
      <c r="C909" s="4" t="s">
        <v>3058</v>
      </c>
      <c r="D909" t="s">
        <v>1</v>
      </c>
      <c r="F909" t="s">
        <v>9</v>
      </c>
      <c r="G909" s="3">
        <v>8096772028</v>
      </c>
      <c r="H909" s="2">
        <v>46128</v>
      </c>
      <c r="K909" s="1">
        <f ca="1">IF(A909="","",IF(OR(L909="ENTREGADA",L909="RETORNADA",L909="ENTREGA DIGITAL"),0,MAX(0,5-NETWORKDAYS(H909+1,TODAY()))))</f>
        <v>0</v>
      </c>
      <c r="L909" t="str">
        <f>IF(A909="","",IFERROR(LOOKUP(2,1/(#REF!=Z909),#REF!),Y909))</f>
        <v>RETORNADA</v>
      </c>
      <c r="Y909" t="s">
        <v>1857</v>
      </c>
      <c r="Z909" t="str">
        <f>IF(A909="","",TEXT(A909,"0")&amp;"|"&amp;TEXT(H909,"0"))</f>
        <v>4921017841612000|46128</v>
      </c>
      <c r="AA909" t="str">
        <f>IF(Z909="","",IFERROR(LOOKUP(2,1/(#REF!=Z909),#REF!),""))</f>
        <v/>
      </c>
      <c r="AB909" t="str">
        <f>IF(Z909="","",IFERROR(LOOKUP(2,1/(#REF!=Z909),#REF!),""))</f>
        <v/>
      </c>
      <c r="AC909" t="e">
        <f>IF(Z909="","",COUNTIF(#REF!,Z909))</f>
        <v>#REF!</v>
      </c>
      <c r="AD909" t="e">
        <f>IF(A909="","",IF(AC909&gt;1,"REVISAR DUPLICADO",IF(AA909&lt;&gt;"","ACTUALIZADO POR EYR","SIN REPORTE EYR")))</f>
        <v>#REF!</v>
      </c>
    </row>
    <row r="910" spans="1:30" x14ac:dyDescent="0.3">
      <c r="A910" s="5" t="s">
        <v>3057</v>
      </c>
      <c r="B910" t="s">
        <v>3056</v>
      </c>
      <c r="C910" s="4" t="s">
        <v>3055</v>
      </c>
      <c r="D910" t="s">
        <v>1</v>
      </c>
      <c r="F910" t="s">
        <v>3054</v>
      </c>
      <c r="G910" s="3">
        <v>8493720010</v>
      </c>
      <c r="H910" s="2">
        <v>46128</v>
      </c>
      <c r="K910" s="1">
        <f ca="1">IF(A910="","",IF(OR(L910="ENTREGADA",L910="RETORNADA",L910="ENTREGA DIGITAL"),0,MAX(0,5-NETWORKDAYS(H910+1,TODAY()))))</f>
        <v>0</v>
      </c>
      <c r="L910">
        <f>IF(A910="","",IFERROR(LOOKUP(2,1/(#REF!=Z910),#REF!),Y910))</f>
        <v>0</v>
      </c>
      <c r="Z910" t="str">
        <f>IF(A910="","",TEXT(A910,"0")&amp;"|"&amp;TEXT(H910,"0"))</f>
        <v>5188017840059130|46128</v>
      </c>
      <c r="AA910" t="str">
        <f>IF(Z910="","",IFERROR(LOOKUP(2,1/(#REF!=Z910),#REF!),""))</f>
        <v/>
      </c>
      <c r="AB910" t="str">
        <f>IF(Z910="","",IFERROR(LOOKUP(2,1/(#REF!=Z910),#REF!),""))</f>
        <v/>
      </c>
      <c r="AC910" t="e">
        <f>IF(Z910="","",COUNTIF(#REF!,Z910))</f>
        <v>#REF!</v>
      </c>
      <c r="AD910" t="e">
        <f>IF(A910="","",IF(AC910&gt;1,"REVISAR DUPLICADO",IF(AA910&lt;&gt;"","ACTUALIZADO POR EYR","SIN REPORTE EYR")))</f>
        <v>#REF!</v>
      </c>
    </row>
    <row r="911" spans="1:30" x14ac:dyDescent="0.3">
      <c r="A911" s="5" t="s">
        <v>3053</v>
      </c>
      <c r="B911" t="s">
        <v>3052</v>
      </c>
      <c r="C911" s="4" t="s">
        <v>3051</v>
      </c>
      <c r="D911" t="s">
        <v>1</v>
      </c>
      <c r="F911" t="s">
        <v>3050</v>
      </c>
      <c r="G911" s="3">
        <v>8299252080</v>
      </c>
      <c r="H911" s="2">
        <v>46128</v>
      </c>
      <c r="K911" s="1">
        <f ca="1">IF(A911="","",IF(OR(L911="ENTREGADA",L911="RETORNADA",L911="ENTREGA DIGITAL"),0,MAX(0,5-NETWORKDAYS(H911+1,TODAY()))))</f>
        <v>0</v>
      </c>
      <c r="L911" t="str">
        <f>IF(A911="","",IFERROR(LOOKUP(2,1/(#REF!=Z911),#REF!),Y911))</f>
        <v>ENTREGADA</v>
      </c>
      <c r="Y911" t="s">
        <v>1956</v>
      </c>
      <c r="Z911" t="str">
        <f>IF(A911="","",TEXT(A911,"0")&amp;"|"&amp;TEXT(H911,"0"))</f>
        <v>5188017839457200|46128</v>
      </c>
      <c r="AA911" t="str">
        <f>IF(Z911="","",IFERROR(LOOKUP(2,1/(#REF!=Z911),#REF!),""))</f>
        <v/>
      </c>
      <c r="AB911" t="str">
        <f>IF(Z911="","",IFERROR(LOOKUP(2,1/(#REF!=Z911),#REF!),""))</f>
        <v/>
      </c>
      <c r="AC911" t="e">
        <f>IF(Z911="","",COUNTIF(#REF!,Z911))</f>
        <v>#REF!</v>
      </c>
      <c r="AD911" t="e">
        <f>IF(A911="","",IF(AC911&gt;1,"REVISAR DUPLICADO",IF(AA911&lt;&gt;"","ACTUALIZADO POR EYR","SIN REPORTE EYR")))</f>
        <v>#REF!</v>
      </c>
    </row>
    <row r="912" spans="1:30" x14ac:dyDescent="0.3">
      <c r="A912" s="5" t="s">
        <v>3049</v>
      </c>
      <c r="B912" t="s">
        <v>3048</v>
      </c>
      <c r="C912" s="4" t="s">
        <v>3047</v>
      </c>
      <c r="D912" t="s">
        <v>77</v>
      </c>
      <c r="F912" t="s">
        <v>13</v>
      </c>
      <c r="G912" s="3">
        <v>8295319997</v>
      </c>
      <c r="H912" s="2">
        <v>46129</v>
      </c>
      <c r="I912" t="s">
        <v>1397</v>
      </c>
      <c r="K912" s="1">
        <f ca="1">IF(A912="","",IF(OR(L912="ENTREGADA",L912="RETORNADA",L912="ENTREGA DIGITAL"),0,MAX(0,5-NETWORKDAYS(H912+1,TODAY()))))</f>
        <v>0</v>
      </c>
      <c r="L912" t="str">
        <f>IF(A912="","",IFERROR(LOOKUP(2,1/(#REF!=Z912),#REF!),Y912))</f>
        <v>ENTREGA DIGITAL</v>
      </c>
      <c r="Y912" t="s">
        <v>1396</v>
      </c>
      <c r="Z912" t="str">
        <f>IF(A912="","",TEXT(A912,"0")&amp;"|"&amp;TEXT(H912,"0"))</f>
        <v>5415017844773150|46129</v>
      </c>
      <c r="AA912" t="str">
        <f>IF(Z912="","",IFERROR(LOOKUP(2,1/(#REF!=Z912),#REF!),""))</f>
        <v/>
      </c>
      <c r="AB912" t="str">
        <f>IF(Z912="","",IFERROR(LOOKUP(2,1/(#REF!=Z912),#REF!),""))</f>
        <v/>
      </c>
      <c r="AC912" t="e">
        <f>IF(Z912="","",COUNTIF(#REF!,Z912))</f>
        <v>#REF!</v>
      </c>
      <c r="AD912" t="e">
        <f>IF(A912="","",IF(AC912&gt;1,"REVISAR DUPLICADO",IF(AA912&lt;&gt;"","ACTUALIZADO POR EYR","SIN REPORTE EYR")))</f>
        <v>#REF!</v>
      </c>
    </row>
    <row r="913" spans="1:30" x14ac:dyDescent="0.3">
      <c r="A913" s="5" t="s">
        <v>3046</v>
      </c>
      <c r="B913" t="s">
        <v>3045</v>
      </c>
      <c r="C913" s="4" t="s">
        <v>3044</v>
      </c>
      <c r="D913" t="s">
        <v>77</v>
      </c>
      <c r="F913" t="s">
        <v>13</v>
      </c>
      <c r="G913" s="3">
        <v>8296856358</v>
      </c>
      <c r="H913" s="2">
        <v>46129</v>
      </c>
      <c r="K913" s="1">
        <f ca="1">IF(A913="","",IF(OR(L913="ENTREGADA",L913="RETORNADA",L913="ENTREGA DIGITAL"),0,MAX(0,5-NETWORKDAYS(H913+1,TODAY()))))</f>
        <v>0</v>
      </c>
      <c r="L913" t="str">
        <f>IF(A913="","",IFERROR(LOOKUP(2,1/(#REF!=Z913),#REF!),Y913))</f>
        <v>RETORNADA</v>
      </c>
      <c r="Y913" t="s">
        <v>1857</v>
      </c>
      <c r="Z913" t="str">
        <f>IF(A913="","",TEXT(A913,"0")&amp;"|"&amp;TEXT(H913,"0"))</f>
        <v>5415017844802140|46129</v>
      </c>
      <c r="AA913" t="str">
        <f>IF(Z913="","",IFERROR(LOOKUP(2,1/(#REF!=Z913),#REF!),""))</f>
        <v/>
      </c>
      <c r="AB913" t="str">
        <f>IF(Z913="","",IFERROR(LOOKUP(2,1/(#REF!=Z913),#REF!),""))</f>
        <v/>
      </c>
      <c r="AC913" t="e">
        <f>IF(Z913="","",COUNTIF(#REF!,Z913))</f>
        <v>#REF!</v>
      </c>
      <c r="AD913" t="e">
        <f>IF(A913="","",IF(AC913&gt;1,"REVISAR DUPLICADO",IF(AA913&lt;&gt;"","ACTUALIZADO POR EYR","SIN REPORTE EYR")))</f>
        <v>#REF!</v>
      </c>
    </row>
    <row r="914" spans="1:30" x14ac:dyDescent="0.3">
      <c r="A914" s="5" t="s">
        <v>3043</v>
      </c>
      <c r="B914" t="s">
        <v>3042</v>
      </c>
      <c r="C914" s="4" t="s">
        <v>3041</v>
      </c>
      <c r="D914" t="s">
        <v>77</v>
      </c>
      <c r="F914" t="s">
        <v>3040</v>
      </c>
      <c r="G914" s="3">
        <v>8295221838</v>
      </c>
      <c r="H914" s="2">
        <v>46129</v>
      </c>
      <c r="I914" t="s">
        <v>1397</v>
      </c>
      <c r="K914" s="1">
        <f ca="1">IF(A914="","",IF(OR(L914="ENTREGADA",L914="RETORNADA",L914="ENTREGA DIGITAL"),0,MAX(0,5-NETWORKDAYS(H914+1,TODAY()))))</f>
        <v>0</v>
      </c>
      <c r="L914" t="str">
        <f>IF(A914="","",IFERROR(LOOKUP(2,1/(#REF!=Z914),#REF!),Y914))</f>
        <v>ENTREGADA</v>
      </c>
      <c r="Y914" t="s">
        <v>1956</v>
      </c>
      <c r="Z914" t="str">
        <f>IF(A914="","",TEXT(A914,"0")&amp;"|"&amp;TEXT(H914,"0"))</f>
        <v>5188017845153330|46129</v>
      </c>
      <c r="AA914" t="str">
        <f>IF(Z914="","",IFERROR(LOOKUP(2,1/(#REF!=Z914),#REF!),""))</f>
        <v/>
      </c>
      <c r="AB914" t="str">
        <f>IF(Z914="","",IFERROR(LOOKUP(2,1/(#REF!=Z914),#REF!),""))</f>
        <v/>
      </c>
      <c r="AC914" t="e">
        <f>IF(Z914="","",COUNTIF(#REF!,Z914))</f>
        <v>#REF!</v>
      </c>
      <c r="AD914" t="e">
        <f>IF(A914="","",IF(AC914&gt;1,"REVISAR DUPLICADO",IF(AA914&lt;&gt;"","ACTUALIZADO POR EYR","SIN REPORTE EYR")))</f>
        <v>#REF!</v>
      </c>
    </row>
    <row r="915" spans="1:30" x14ac:dyDescent="0.3">
      <c r="A915" s="5" t="s">
        <v>749</v>
      </c>
      <c r="B915" t="s">
        <v>748</v>
      </c>
      <c r="C915" s="4" t="s">
        <v>747</v>
      </c>
      <c r="D915" t="s">
        <v>77</v>
      </c>
      <c r="E915" t="s">
        <v>214</v>
      </c>
      <c r="F915" t="s">
        <v>391</v>
      </c>
      <c r="G915" s="3">
        <v>8296530701</v>
      </c>
      <c r="H915" s="2">
        <v>46129</v>
      </c>
      <c r="K915" s="1">
        <f ca="1">IF(A915="","",IF(OR(L915="ENTREGADA",L915="RETORNADA",L915="ENTREGA DIGITAL"),0,MAX(0,5-NETWORKDAYS(H915+1,TODAY()))))</f>
        <v>0</v>
      </c>
      <c r="L915" t="str">
        <f>IF(A915="","",IFERROR(LOOKUP(2,1/(#REF!=Z915),#REF!),Y915))</f>
        <v>RETORNADA</v>
      </c>
      <c r="Y915" t="s">
        <v>1857</v>
      </c>
      <c r="Z915" t="str">
        <f>IF(A915="","",TEXT(A915,"0")&amp;"|"&amp;TEXT(H915,"0"))</f>
        <v>5188017845180980|46129</v>
      </c>
      <c r="AA915" t="str">
        <f>IF(Z915="","",IFERROR(LOOKUP(2,1/(#REF!=Z915),#REF!),""))</f>
        <v/>
      </c>
      <c r="AB915" t="str">
        <f>IF(Z915="","",IFERROR(LOOKUP(2,1/(#REF!=Z915),#REF!),""))</f>
        <v/>
      </c>
      <c r="AC915" t="e">
        <f>IF(Z915="","",COUNTIF(#REF!,Z915))</f>
        <v>#REF!</v>
      </c>
      <c r="AD915" t="e">
        <f>IF(A915="","",IF(AC915&gt;1,"REVISAR DUPLICADO",IF(AA915&lt;&gt;"","ACTUALIZADO POR EYR","SIN REPORTE EYR")))</f>
        <v>#REF!</v>
      </c>
    </row>
    <row r="916" spans="1:30" x14ac:dyDescent="0.3">
      <c r="A916" s="5" t="s">
        <v>3039</v>
      </c>
      <c r="B916" t="s">
        <v>3038</v>
      </c>
      <c r="C916" s="4" t="s">
        <v>3037</v>
      </c>
      <c r="D916" t="s">
        <v>77</v>
      </c>
      <c r="F916" t="s">
        <v>13</v>
      </c>
      <c r="G916" s="3">
        <v>8292167270</v>
      </c>
      <c r="H916" s="2">
        <v>46129</v>
      </c>
      <c r="I916" t="s">
        <v>1397</v>
      </c>
      <c r="K916" s="1">
        <f ca="1">IF(A916="","",IF(OR(L916="ENTREGADA",L916="RETORNADA",L916="ENTREGA DIGITAL"),0,MAX(0,5-NETWORKDAYS(H916+1,TODAY()))))</f>
        <v>0</v>
      </c>
      <c r="L916" t="str">
        <f>IF(A916="","",IFERROR(LOOKUP(2,1/(#REF!=Z916),#REF!),Y916))</f>
        <v>ENTREGA DIGITAL</v>
      </c>
      <c r="Y916" t="s">
        <v>1396</v>
      </c>
      <c r="Z916" t="str">
        <f>IF(A916="","",TEXT(A916,"0")&amp;"|"&amp;TEXT(H916,"0"))</f>
        <v>5415017844975290|46129</v>
      </c>
      <c r="AA916" t="str">
        <f>IF(Z916="","",IFERROR(LOOKUP(2,1/(#REF!=Z916),#REF!),""))</f>
        <v/>
      </c>
      <c r="AB916" t="str">
        <f>IF(Z916="","",IFERROR(LOOKUP(2,1/(#REF!=Z916),#REF!),""))</f>
        <v/>
      </c>
      <c r="AC916" t="e">
        <f>IF(Z916="","",COUNTIF(#REF!,Z916))</f>
        <v>#REF!</v>
      </c>
      <c r="AD916" t="e">
        <f>IF(A916="","",IF(AC916&gt;1,"REVISAR DUPLICADO",IF(AA916&lt;&gt;"","ACTUALIZADO POR EYR","SIN REPORTE EYR")))</f>
        <v>#REF!</v>
      </c>
    </row>
    <row r="917" spans="1:30" x14ac:dyDescent="0.3">
      <c r="A917" s="5" t="s">
        <v>3036</v>
      </c>
      <c r="B917" t="s">
        <v>3035</v>
      </c>
      <c r="C917" s="4" t="s">
        <v>3034</v>
      </c>
      <c r="D917" t="s">
        <v>77</v>
      </c>
      <c r="F917" t="s">
        <v>13</v>
      </c>
      <c r="G917" s="3">
        <v>8297750710</v>
      </c>
      <c r="H917" s="2">
        <v>46129</v>
      </c>
      <c r="K917" s="1">
        <f ca="1">IF(A917="","",IF(OR(L917="ENTREGADA",L917="RETORNADA",L917="ENTREGA DIGITAL"),0,MAX(0,5-NETWORKDAYS(H917+1,TODAY()))))</f>
        <v>0</v>
      </c>
      <c r="L917" t="str">
        <f>IF(A917="","",IFERROR(LOOKUP(2,1/(#REF!=Z917),#REF!),Y917))</f>
        <v>RETORNADA</v>
      </c>
      <c r="Y917" t="s">
        <v>1857</v>
      </c>
      <c r="Z917" t="str">
        <f>IF(A917="","",TEXT(A917,"0")&amp;"|"&amp;TEXT(H917,"0"))</f>
        <v>5415017844969380|46129</v>
      </c>
      <c r="AA917" t="str">
        <f>IF(Z917="","",IFERROR(LOOKUP(2,1/(#REF!=Z917),#REF!),""))</f>
        <v/>
      </c>
      <c r="AB917" t="str">
        <f>IF(Z917="","",IFERROR(LOOKUP(2,1/(#REF!=Z917),#REF!),""))</f>
        <v/>
      </c>
      <c r="AC917" t="e">
        <f>IF(Z917="","",COUNTIF(#REF!,Z917))</f>
        <v>#REF!</v>
      </c>
      <c r="AD917" t="e">
        <f>IF(A917="","",IF(AC917&gt;1,"REVISAR DUPLICADO",IF(AA917&lt;&gt;"","ACTUALIZADO POR EYR","SIN REPORTE EYR")))</f>
        <v>#REF!</v>
      </c>
    </row>
    <row r="918" spans="1:30" x14ac:dyDescent="0.3">
      <c r="A918" s="5" t="s">
        <v>3033</v>
      </c>
      <c r="B918" t="s">
        <v>3032</v>
      </c>
      <c r="C918" s="4" t="s">
        <v>3031</v>
      </c>
      <c r="D918" t="s">
        <v>77</v>
      </c>
      <c r="F918" t="s">
        <v>13</v>
      </c>
      <c r="G918" s="3">
        <v>8297447214</v>
      </c>
      <c r="H918" s="2">
        <v>46129</v>
      </c>
      <c r="I918" t="s">
        <v>1397</v>
      </c>
      <c r="K918" s="1">
        <f ca="1">IF(A918="","",IF(OR(L918="ENTREGADA",L918="RETORNADA",L918="ENTREGA DIGITAL"),0,MAX(0,5-NETWORKDAYS(H918+1,TODAY()))))</f>
        <v>0</v>
      </c>
      <c r="L918" t="str">
        <f>IF(A918="","",IFERROR(LOOKUP(2,1/(#REF!=Z918),#REF!),Y918))</f>
        <v>ENTREGADA</v>
      </c>
      <c r="Y918" t="s">
        <v>1956</v>
      </c>
      <c r="Z918" t="str">
        <f>IF(A918="","",TEXT(A918,"0")&amp;"|"&amp;TEXT(H918,"0"))</f>
        <v>4921017847558370|46129</v>
      </c>
      <c r="AA918" t="str">
        <f>IF(Z918="","",IFERROR(LOOKUP(2,1/(#REF!=Z918),#REF!),""))</f>
        <v/>
      </c>
      <c r="AB918" t="str">
        <f>IF(Z918="","",IFERROR(LOOKUP(2,1/(#REF!=Z918),#REF!),""))</f>
        <v/>
      </c>
      <c r="AC918" t="e">
        <f>IF(Z918="","",COUNTIF(#REF!,Z918))</f>
        <v>#REF!</v>
      </c>
      <c r="AD918" t="e">
        <f>IF(A918="","",IF(AC918&gt;1,"REVISAR DUPLICADO",IF(AA918&lt;&gt;"","ACTUALIZADO POR EYR","SIN REPORTE EYR")))</f>
        <v>#REF!</v>
      </c>
    </row>
    <row r="919" spans="1:30" x14ac:dyDescent="0.3">
      <c r="A919" s="5" t="s">
        <v>3030</v>
      </c>
      <c r="B919" t="s">
        <v>3029</v>
      </c>
      <c r="C919" s="4" t="s">
        <v>3028</v>
      </c>
      <c r="D919" t="s">
        <v>77</v>
      </c>
      <c r="F919" t="s">
        <v>13</v>
      </c>
      <c r="G919" s="3">
        <v>8097794087</v>
      </c>
      <c r="H919" s="2">
        <v>46129</v>
      </c>
      <c r="I919" t="s">
        <v>1397</v>
      </c>
      <c r="K919" s="1">
        <f ca="1">IF(A919="","",IF(OR(L919="ENTREGADA",L919="RETORNADA",L919="ENTREGA DIGITAL"),0,MAX(0,5-NETWORKDAYS(H919+1,TODAY()))))</f>
        <v>0</v>
      </c>
      <c r="L919" t="str">
        <f>IF(A919="","",IFERROR(LOOKUP(2,1/(#REF!=Z919),#REF!),Y919))</f>
        <v>ENTREGADA</v>
      </c>
      <c r="Y919" t="s">
        <v>1956</v>
      </c>
      <c r="Z919" t="str">
        <f>IF(A919="","",TEXT(A919,"0")&amp;"|"&amp;TEXT(H919,"0"))</f>
        <v>5415017844827850|46129</v>
      </c>
      <c r="AA919" t="str">
        <f>IF(Z919="","",IFERROR(LOOKUP(2,1/(#REF!=Z919),#REF!),""))</f>
        <v/>
      </c>
      <c r="AB919" t="str">
        <f>IF(Z919="","",IFERROR(LOOKUP(2,1/(#REF!=Z919),#REF!),""))</f>
        <v/>
      </c>
      <c r="AC919" t="e">
        <f>IF(Z919="","",COUNTIF(#REF!,Z919))</f>
        <v>#REF!</v>
      </c>
      <c r="AD919" t="e">
        <f>IF(A919="","",IF(AC919&gt;1,"REVISAR DUPLICADO",IF(AA919&lt;&gt;"","ACTUALIZADO POR EYR","SIN REPORTE EYR")))</f>
        <v>#REF!</v>
      </c>
    </row>
    <row r="920" spans="1:30" x14ac:dyDescent="0.3">
      <c r="A920" s="5" t="s">
        <v>3027</v>
      </c>
      <c r="B920" t="s">
        <v>3026</v>
      </c>
      <c r="C920" s="4" t="s">
        <v>3025</v>
      </c>
      <c r="D920" t="s">
        <v>77</v>
      </c>
      <c r="F920" t="s">
        <v>3021</v>
      </c>
      <c r="G920" s="3">
        <v>8098769276</v>
      </c>
      <c r="H920" s="2">
        <v>46129</v>
      </c>
      <c r="K920" s="1">
        <f ca="1">IF(A920="","",IF(OR(L920="ENTREGADA",L920="RETORNADA",L920="ENTREGA DIGITAL"),0,MAX(0,5-NETWORKDAYS(H920+1,TODAY()))))</f>
        <v>0</v>
      </c>
      <c r="L920" t="str">
        <f>IF(A920="","",IFERROR(LOOKUP(2,1/(#REF!=Z920),#REF!),Y920))</f>
        <v>RETORNADA</v>
      </c>
      <c r="Y920" t="s">
        <v>1857</v>
      </c>
      <c r="Z920" t="str">
        <f>IF(A920="","",TEXT(A920,"0")&amp;"|"&amp;TEXT(H920,"0"))</f>
        <v>5415017844784180|46129</v>
      </c>
      <c r="AA920" t="str">
        <f>IF(Z920="","",IFERROR(LOOKUP(2,1/(#REF!=Z920),#REF!),""))</f>
        <v/>
      </c>
      <c r="AB920" t="str">
        <f>IF(Z920="","",IFERROR(LOOKUP(2,1/(#REF!=Z920),#REF!),""))</f>
        <v/>
      </c>
      <c r="AC920" t="e">
        <f>IF(Z920="","",COUNTIF(#REF!,Z920))</f>
        <v>#REF!</v>
      </c>
      <c r="AD920" t="e">
        <f>IF(A920="","",IF(AC920&gt;1,"REVISAR DUPLICADO",IF(AA920&lt;&gt;"","ACTUALIZADO POR EYR","SIN REPORTE EYR")))</f>
        <v>#REF!</v>
      </c>
    </row>
    <row r="921" spans="1:30" x14ac:dyDescent="0.3">
      <c r="A921" s="5" t="s">
        <v>3024</v>
      </c>
      <c r="B921" t="s">
        <v>3023</v>
      </c>
      <c r="C921" s="4" t="s">
        <v>3022</v>
      </c>
      <c r="D921" t="s">
        <v>77</v>
      </c>
      <c r="F921" t="s">
        <v>3021</v>
      </c>
      <c r="G921" s="3">
        <v>8294999053</v>
      </c>
      <c r="H921" s="2">
        <v>46129</v>
      </c>
      <c r="K921" s="1">
        <f ca="1">IF(A921="","",IF(OR(L921="ENTREGADA",L921="RETORNADA",L921="ENTREGA DIGITAL"),0,MAX(0,5-NETWORKDAYS(H921+1,TODAY()))))</f>
        <v>0</v>
      </c>
      <c r="L921" t="str">
        <f>IF(A921="","",IFERROR(LOOKUP(2,1/(#REF!=Z921),#REF!),Y921))</f>
        <v>RETORNADA</v>
      </c>
      <c r="Y921" t="s">
        <v>1857</v>
      </c>
      <c r="Z921" t="str">
        <f>IF(A921="","",TEXT(A921,"0")&amp;"|"&amp;TEXT(H921,"0"))</f>
        <v>4921017846569600|46129</v>
      </c>
      <c r="AA921" t="str">
        <f>IF(Z921="","",IFERROR(LOOKUP(2,1/(#REF!=Z921),#REF!),""))</f>
        <v/>
      </c>
      <c r="AB921" t="str">
        <f>IF(Z921="","",IFERROR(LOOKUP(2,1/(#REF!=Z921),#REF!),""))</f>
        <v/>
      </c>
      <c r="AC921" t="e">
        <f>IF(Z921="","",COUNTIF(#REF!,Z921))</f>
        <v>#REF!</v>
      </c>
      <c r="AD921" t="e">
        <f>IF(A921="","",IF(AC921&gt;1,"REVISAR DUPLICADO",IF(AA921&lt;&gt;"","ACTUALIZADO POR EYR","SIN REPORTE EYR")))</f>
        <v>#REF!</v>
      </c>
    </row>
    <row r="922" spans="1:30" x14ac:dyDescent="0.3">
      <c r="A922" s="5" t="s">
        <v>3020</v>
      </c>
      <c r="B922" t="s">
        <v>3019</v>
      </c>
      <c r="C922" s="4" t="s">
        <v>3018</v>
      </c>
      <c r="D922" t="s">
        <v>77</v>
      </c>
      <c r="F922" t="s">
        <v>13</v>
      </c>
      <c r="G922" s="3">
        <v>8093717695</v>
      </c>
      <c r="H922" s="2">
        <v>46129</v>
      </c>
      <c r="K922" s="1">
        <f ca="1">IF(A922="","",IF(OR(L922="ENTREGADA",L922="RETORNADA",L922="ENTREGA DIGITAL"),0,MAX(0,5-NETWORKDAYS(H922+1,TODAY()))))</f>
        <v>0</v>
      </c>
      <c r="L922" t="str">
        <f>IF(A922="","",IFERROR(LOOKUP(2,1/(#REF!=Z922),#REF!),Y922))</f>
        <v>RETORNADA</v>
      </c>
      <c r="Y922" t="s">
        <v>1857</v>
      </c>
      <c r="Z922" t="str">
        <f>IF(A922="","",TEXT(A922,"0")&amp;"|"&amp;TEXT(H922,"0"))</f>
        <v>5415017844791130|46129</v>
      </c>
      <c r="AA922" t="str">
        <f>IF(Z922="","",IFERROR(LOOKUP(2,1/(#REF!=Z922),#REF!),""))</f>
        <v/>
      </c>
      <c r="AB922" t="str">
        <f>IF(Z922="","",IFERROR(LOOKUP(2,1/(#REF!=Z922),#REF!),""))</f>
        <v/>
      </c>
      <c r="AC922" t="e">
        <f>IF(Z922="","",COUNTIF(#REF!,Z922))</f>
        <v>#REF!</v>
      </c>
      <c r="AD922" t="e">
        <f>IF(A922="","",IF(AC922&gt;1,"REVISAR DUPLICADO",IF(AA922&lt;&gt;"","ACTUALIZADO POR EYR","SIN REPORTE EYR")))</f>
        <v>#REF!</v>
      </c>
    </row>
    <row r="923" spans="1:30" x14ac:dyDescent="0.3">
      <c r="A923" s="5" t="s">
        <v>3017</v>
      </c>
      <c r="B923" t="s">
        <v>1605</v>
      </c>
      <c r="C923" s="4" t="s">
        <v>3016</v>
      </c>
      <c r="D923" t="s">
        <v>77</v>
      </c>
      <c r="F923" t="s">
        <v>3015</v>
      </c>
      <c r="G923" s="3">
        <v>8294929377</v>
      </c>
      <c r="H923" s="2">
        <v>46129</v>
      </c>
      <c r="I923" t="s">
        <v>1397</v>
      </c>
      <c r="K923" s="1">
        <f ca="1">IF(A923="","",IF(OR(L923="ENTREGADA",L923="RETORNADA",L923="ENTREGA DIGITAL"),0,MAX(0,5-NETWORKDAYS(H923+1,TODAY()))))</f>
        <v>0</v>
      </c>
      <c r="L923" t="str">
        <f>IF(A923="","",IFERROR(LOOKUP(2,1/(#REF!=Z923),#REF!),Y923))</f>
        <v>ENTREGADA</v>
      </c>
      <c r="Y923" t="s">
        <v>1956</v>
      </c>
      <c r="Z923" t="str">
        <f>IF(A923="","",TEXT(A923,"0")&amp;"|"&amp;TEXT(H923,"0"))</f>
        <v>4921017781595050|46129</v>
      </c>
      <c r="AA923" t="str">
        <f>IF(Z923="","",IFERROR(LOOKUP(2,1/(#REF!=Z923),#REF!),""))</f>
        <v/>
      </c>
      <c r="AB923" t="str">
        <f>IF(Z923="","",IFERROR(LOOKUP(2,1/(#REF!=Z923),#REF!),""))</f>
        <v/>
      </c>
      <c r="AC923" t="e">
        <f>IF(Z923="","",COUNTIF(#REF!,Z923))</f>
        <v>#REF!</v>
      </c>
      <c r="AD923" t="e">
        <f>IF(A923="","",IF(AC923&gt;1,"REVISAR DUPLICADO",IF(AA923&lt;&gt;"","ACTUALIZADO POR EYR","SIN REPORTE EYR")))</f>
        <v>#REF!</v>
      </c>
    </row>
    <row r="924" spans="1:30" x14ac:dyDescent="0.3">
      <c r="A924" s="5" t="s">
        <v>3014</v>
      </c>
      <c r="B924" t="s">
        <v>3013</v>
      </c>
      <c r="C924" s="4" t="s">
        <v>3012</v>
      </c>
      <c r="D924" t="s">
        <v>77</v>
      </c>
      <c r="F924" t="s">
        <v>3011</v>
      </c>
      <c r="G924" s="3">
        <v>8092580159</v>
      </c>
      <c r="H924" s="2">
        <v>46129</v>
      </c>
      <c r="K924" s="1">
        <f ca="1">IF(A924="","",IF(OR(L924="ENTREGADA",L924="RETORNADA",L924="ENTREGA DIGITAL"),0,MAX(0,5-NETWORKDAYS(H924+1,TODAY()))))</f>
        <v>0</v>
      </c>
      <c r="L924" t="str">
        <f>IF(A924="","",IFERROR(LOOKUP(2,1/(#REF!=Z924),#REF!),Y924))</f>
        <v>ENTREGADA</v>
      </c>
      <c r="Y924" t="s">
        <v>1956</v>
      </c>
      <c r="Z924" t="str">
        <f>IF(A924="","",TEXT(A924,"0")&amp;"|"&amp;TEXT(H924,"0"))</f>
        <v>4966017780975130|46129</v>
      </c>
      <c r="AA924" t="str">
        <f>IF(Z924="","",IFERROR(LOOKUP(2,1/(#REF!=Z924),#REF!),""))</f>
        <v/>
      </c>
      <c r="AB924" t="str">
        <f>IF(Z924="","",IFERROR(LOOKUP(2,1/(#REF!=Z924),#REF!),""))</f>
        <v/>
      </c>
      <c r="AC924" t="e">
        <f>IF(Z924="","",COUNTIF(#REF!,Z924))</f>
        <v>#REF!</v>
      </c>
      <c r="AD924" t="e">
        <f>IF(A924="","",IF(AC924&gt;1,"REVISAR DUPLICADO",IF(AA924&lt;&gt;"","ACTUALIZADO POR EYR","SIN REPORTE EYR")))</f>
        <v>#REF!</v>
      </c>
    </row>
    <row r="925" spans="1:30" x14ac:dyDescent="0.3">
      <c r="A925" s="5" t="s">
        <v>3010</v>
      </c>
      <c r="B925" t="s">
        <v>3009</v>
      </c>
      <c r="C925" s="4" t="s">
        <v>3008</v>
      </c>
      <c r="D925" t="s">
        <v>77</v>
      </c>
      <c r="F925" t="s">
        <v>0</v>
      </c>
      <c r="G925" s="3">
        <v>9999999999</v>
      </c>
      <c r="H925" s="2">
        <v>46129</v>
      </c>
      <c r="I925" t="s">
        <v>1397</v>
      </c>
      <c r="K925" s="1">
        <f ca="1">IF(A925="","",IF(OR(L925="ENTREGADA",L925="RETORNADA",L925="ENTREGA DIGITAL"),0,MAX(0,5-NETWORKDAYS(H925+1,TODAY()))))</f>
        <v>0</v>
      </c>
      <c r="L925" t="str">
        <f>IF(A925="","",IFERROR(LOOKUP(2,1/(#REF!=Z925),#REF!),Y925))</f>
        <v>ENTREGADA</v>
      </c>
      <c r="Y925" t="s">
        <v>1956</v>
      </c>
      <c r="Z925" t="str">
        <f>IF(A925="","",TEXT(A925,"0")&amp;"|"&amp;TEXT(H925,"0"))</f>
        <v>4921017782328090|46129</v>
      </c>
      <c r="AA925" t="str">
        <f>IF(Z925="","",IFERROR(LOOKUP(2,1/(#REF!=Z925),#REF!),""))</f>
        <v/>
      </c>
      <c r="AB925" t="str">
        <f>IF(Z925="","",IFERROR(LOOKUP(2,1/(#REF!=Z925),#REF!),""))</f>
        <v/>
      </c>
      <c r="AC925" t="e">
        <f>IF(Z925="","",COUNTIF(#REF!,Z925))</f>
        <v>#REF!</v>
      </c>
      <c r="AD925" t="e">
        <f>IF(A925="","",IF(AC925&gt;1,"REVISAR DUPLICADO",IF(AA925&lt;&gt;"","ACTUALIZADO POR EYR","SIN REPORTE EYR")))</f>
        <v>#REF!</v>
      </c>
    </row>
    <row r="926" spans="1:30" x14ac:dyDescent="0.3">
      <c r="A926" s="5" t="s">
        <v>3007</v>
      </c>
      <c r="B926" t="s">
        <v>3006</v>
      </c>
      <c r="C926" s="4" t="s">
        <v>3005</v>
      </c>
      <c r="D926" t="s">
        <v>77</v>
      </c>
      <c r="F926" t="s">
        <v>0</v>
      </c>
      <c r="G926" s="3">
        <v>8292705831</v>
      </c>
      <c r="H926" s="2">
        <v>46129</v>
      </c>
      <c r="K926" s="1">
        <f ca="1">IF(A926="","",IF(OR(L926="ENTREGADA",L926="RETORNADA",L926="ENTREGA DIGITAL"),0,MAX(0,5-NETWORKDAYS(H926+1,TODAY()))))</f>
        <v>0</v>
      </c>
      <c r="L926" t="str">
        <f>IF(A926="","",IFERROR(LOOKUP(2,1/(#REF!=Z926),#REF!),Y926))</f>
        <v>RETORNADA</v>
      </c>
      <c r="Y926" t="s">
        <v>1857</v>
      </c>
      <c r="Z926" t="str">
        <f>IF(A926="","",TEXT(A926,"0")&amp;"|"&amp;TEXT(H926,"0"))</f>
        <v>4921017771584220|46129</v>
      </c>
      <c r="AA926" t="str">
        <f>IF(Z926="","",IFERROR(LOOKUP(2,1/(#REF!=Z926),#REF!),""))</f>
        <v/>
      </c>
      <c r="AB926" t="str">
        <f>IF(Z926="","",IFERROR(LOOKUP(2,1/(#REF!=Z926),#REF!),""))</f>
        <v/>
      </c>
      <c r="AC926" t="e">
        <f>IF(Z926="","",COUNTIF(#REF!,Z926))</f>
        <v>#REF!</v>
      </c>
      <c r="AD926" t="e">
        <f>IF(A926="","",IF(AC926&gt;1,"REVISAR DUPLICADO",IF(AA926&lt;&gt;"","ACTUALIZADO POR EYR","SIN REPORTE EYR")))</f>
        <v>#REF!</v>
      </c>
    </row>
    <row r="927" spans="1:30" x14ac:dyDescent="0.3">
      <c r="A927" s="5" t="s">
        <v>3004</v>
      </c>
      <c r="B927" t="s">
        <v>3003</v>
      </c>
      <c r="C927" s="4" t="s">
        <v>3002</v>
      </c>
      <c r="D927" t="s">
        <v>77</v>
      </c>
      <c r="F927" t="s">
        <v>13</v>
      </c>
      <c r="G927" s="3">
        <v>8493503159</v>
      </c>
      <c r="H927" s="2">
        <v>46129</v>
      </c>
      <c r="K927" s="1">
        <f ca="1">IF(A927="","",IF(OR(L927="ENTREGADA",L927="RETORNADA",L927="ENTREGA DIGITAL"),0,MAX(0,5-NETWORKDAYS(H927+1,TODAY()))))</f>
        <v>0</v>
      </c>
      <c r="L927" t="str">
        <f>IF(A927="","",IFERROR(LOOKUP(2,1/(#REF!=Z927),#REF!),Y927))</f>
        <v>ENTREGADA</v>
      </c>
      <c r="Y927" t="s">
        <v>1956</v>
      </c>
      <c r="Z927" t="str">
        <f>IF(A927="","",TEXT(A927,"0")&amp;"|"&amp;TEXT(H927,"0"))</f>
        <v>4921017842852400|46129</v>
      </c>
      <c r="AA927" t="str">
        <f>IF(Z927="","",IFERROR(LOOKUP(2,1/(#REF!=Z927),#REF!),""))</f>
        <v/>
      </c>
      <c r="AB927" t="str">
        <f>IF(Z927="","",IFERROR(LOOKUP(2,1/(#REF!=Z927),#REF!),""))</f>
        <v/>
      </c>
      <c r="AC927" t="e">
        <f>IF(Z927="","",COUNTIF(#REF!,Z927))</f>
        <v>#REF!</v>
      </c>
      <c r="AD927" t="e">
        <f>IF(A927="","",IF(AC927&gt;1,"REVISAR DUPLICADO",IF(AA927&lt;&gt;"","ACTUALIZADO POR EYR","SIN REPORTE EYR")))</f>
        <v>#REF!</v>
      </c>
    </row>
    <row r="928" spans="1:30" x14ac:dyDescent="0.3">
      <c r="A928" s="5" t="s">
        <v>3001</v>
      </c>
      <c r="B928" t="s">
        <v>3000</v>
      </c>
      <c r="C928" s="4" t="s">
        <v>2999</v>
      </c>
      <c r="D928" t="s">
        <v>77</v>
      </c>
      <c r="F928" t="s">
        <v>13</v>
      </c>
      <c r="G928" s="3">
        <v>8097275317</v>
      </c>
      <c r="H928" s="2">
        <v>46129</v>
      </c>
      <c r="K928" s="1">
        <f ca="1">IF(A928="","",IF(OR(L928="ENTREGADA",L928="RETORNADA",L928="ENTREGA DIGITAL"),0,MAX(0,5-NETWORKDAYS(H928+1,TODAY()))))</f>
        <v>0</v>
      </c>
      <c r="L928" t="str">
        <f>IF(A928="","",IFERROR(LOOKUP(2,1/(#REF!=Z928),#REF!),Y928))</f>
        <v>ENTREGADA</v>
      </c>
      <c r="Y928" t="s">
        <v>1956</v>
      </c>
      <c r="Z928" t="str">
        <f>IF(A928="","",TEXT(A928,"0")&amp;"|"&amp;TEXT(H928,"0"))</f>
        <v>4921017843174330|46129</v>
      </c>
      <c r="AA928" t="str">
        <f>IF(Z928="","",IFERROR(LOOKUP(2,1/(#REF!=Z928),#REF!),""))</f>
        <v/>
      </c>
      <c r="AB928" t="str">
        <f>IF(Z928="","",IFERROR(LOOKUP(2,1/(#REF!=Z928),#REF!),""))</f>
        <v/>
      </c>
      <c r="AC928" t="e">
        <f>IF(Z928="","",COUNTIF(#REF!,Z928))</f>
        <v>#REF!</v>
      </c>
      <c r="AD928" t="e">
        <f>IF(A928="","",IF(AC928&gt;1,"REVISAR DUPLICADO",IF(AA928&lt;&gt;"","ACTUALIZADO POR EYR","SIN REPORTE EYR")))</f>
        <v>#REF!</v>
      </c>
    </row>
    <row r="929" spans="1:30" x14ac:dyDescent="0.3">
      <c r="A929" s="5" t="s">
        <v>2998</v>
      </c>
      <c r="B929" t="s">
        <v>2997</v>
      </c>
      <c r="C929" s="4" t="s">
        <v>2996</v>
      </c>
      <c r="D929" t="s">
        <v>77</v>
      </c>
      <c r="F929" t="s">
        <v>2995</v>
      </c>
      <c r="G929" s="3">
        <v>8097012431</v>
      </c>
      <c r="H929" s="2">
        <v>46129</v>
      </c>
      <c r="I929" t="s">
        <v>1397</v>
      </c>
      <c r="K929" s="1">
        <f ca="1">IF(A929="","",IF(OR(L929="ENTREGADA",L929="RETORNADA",L929="ENTREGA DIGITAL"),0,MAX(0,5-NETWORKDAYS(H929+1,TODAY()))))</f>
        <v>0</v>
      </c>
      <c r="L929" t="str">
        <f>IF(A929="","",IFERROR(LOOKUP(2,1/(#REF!=Z929),#REF!),Y929))</f>
        <v>ENTREGADA</v>
      </c>
      <c r="Y929" t="s">
        <v>1956</v>
      </c>
      <c r="Z929" t="str">
        <f>IF(A929="","",TEXT(A929,"0")&amp;"|"&amp;TEXT(H929,"0"))</f>
        <v>4921017820708210|46129</v>
      </c>
      <c r="AA929" t="str">
        <f>IF(Z929="","",IFERROR(LOOKUP(2,1/(#REF!=Z929),#REF!),""))</f>
        <v/>
      </c>
      <c r="AB929" t="str">
        <f>IF(Z929="","",IFERROR(LOOKUP(2,1/(#REF!=Z929),#REF!),""))</f>
        <v/>
      </c>
      <c r="AC929" t="e">
        <f>IF(Z929="","",COUNTIF(#REF!,Z929))</f>
        <v>#REF!</v>
      </c>
      <c r="AD929" t="e">
        <f>IF(A929="","",IF(AC929&gt;1,"REVISAR DUPLICADO",IF(AA929&lt;&gt;"","ACTUALIZADO POR EYR","SIN REPORTE EYR")))</f>
        <v>#REF!</v>
      </c>
    </row>
    <row r="930" spans="1:30" x14ac:dyDescent="0.3">
      <c r="A930" s="5" t="s">
        <v>2994</v>
      </c>
      <c r="B930" t="s">
        <v>2993</v>
      </c>
      <c r="C930" s="4" t="s">
        <v>2992</v>
      </c>
      <c r="D930" t="s">
        <v>77</v>
      </c>
      <c r="F930" t="s">
        <v>1700</v>
      </c>
      <c r="G930" s="3">
        <v>8293531669</v>
      </c>
      <c r="H930" s="2">
        <v>46129</v>
      </c>
      <c r="K930" s="1">
        <f ca="1">IF(A930="","",IF(OR(L930="ENTREGADA",L930="RETORNADA",L930="ENTREGA DIGITAL"),0,MAX(0,5-NETWORKDAYS(H930+1,TODAY()))))</f>
        <v>0</v>
      </c>
      <c r="L930" t="str">
        <f>IF(A930="","",IFERROR(LOOKUP(2,1/(#REF!=Z930),#REF!),Y930))</f>
        <v>ENTREGA DIGITAL</v>
      </c>
      <c r="Y930" t="s">
        <v>1396</v>
      </c>
      <c r="Z930" t="str">
        <f>IF(A930="","",TEXT(A930,"0")&amp;"|"&amp;TEXT(H930,"0"))</f>
        <v>4921017760674040|46129</v>
      </c>
      <c r="AA930" t="str">
        <f>IF(Z930="","",IFERROR(LOOKUP(2,1/(#REF!=Z930),#REF!),""))</f>
        <v/>
      </c>
      <c r="AB930" t="str">
        <f>IF(Z930="","",IFERROR(LOOKUP(2,1/(#REF!=Z930),#REF!),""))</f>
        <v/>
      </c>
      <c r="AC930" t="e">
        <f>IF(Z930="","",COUNTIF(#REF!,Z930))</f>
        <v>#REF!</v>
      </c>
      <c r="AD930" t="e">
        <f>IF(A930="","",IF(AC930&gt;1,"REVISAR DUPLICADO",IF(AA930&lt;&gt;"","ACTUALIZADO POR EYR","SIN REPORTE EYR")))</f>
        <v>#REF!</v>
      </c>
    </row>
    <row r="931" spans="1:30" x14ac:dyDescent="0.3">
      <c r="A931" s="5" t="s">
        <v>2991</v>
      </c>
      <c r="B931" t="s">
        <v>2990</v>
      </c>
      <c r="C931" s="4" t="s">
        <v>2989</v>
      </c>
      <c r="D931" t="s">
        <v>77</v>
      </c>
      <c r="F931" t="s">
        <v>0</v>
      </c>
      <c r="G931" s="3">
        <v>8299691503</v>
      </c>
      <c r="H931" s="2">
        <v>46129</v>
      </c>
      <c r="I931" t="s">
        <v>1397</v>
      </c>
      <c r="K931" s="1">
        <f ca="1">IF(A931="","",IF(OR(L931="ENTREGADA",L931="RETORNADA",L931="ENTREGA DIGITAL"),0,MAX(0,5-NETWORKDAYS(H931+1,TODAY()))))</f>
        <v>0</v>
      </c>
      <c r="L931" t="str">
        <f>IF(A931="","",IFERROR(LOOKUP(2,1/(#REF!=Z931),#REF!),Y931))</f>
        <v>ENTREGADA</v>
      </c>
      <c r="Y931" t="s">
        <v>1956</v>
      </c>
      <c r="Z931" t="str">
        <f>IF(A931="","",TEXT(A931,"0")&amp;"|"&amp;TEXT(H931,"0"))</f>
        <v>4921017798807830|46129</v>
      </c>
      <c r="AA931" t="str">
        <f>IF(Z931="","",IFERROR(LOOKUP(2,1/(#REF!=Z931),#REF!),""))</f>
        <v/>
      </c>
      <c r="AB931" t="str">
        <f>IF(Z931="","",IFERROR(LOOKUP(2,1/(#REF!=Z931),#REF!),""))</f>
        <v/>
      </c>
      <c r="AC931" t="e">
        <f>IF(Z931="","",COUNTIF(#REF!,Z931))</f>
        <v>#REF!</v>
      </c>
      <c r="AD931" t="e">
        <f>IF(A931="","",IF(AC931&gt;1,"REVISAR DUPLICADO",IF(AA931&lt;&gt;"","ACTUALIZADO POR EYR","SIN REPORTE EYR")))</f>
        <v>#REF!</v>
      </c>
    </row>
    <row r="932" spans="1:30" x14ac:dyDescent="0.3">
      <c r="A932" s="5" t="s">
        <v>2988</v>
      </c>
      <c r="B932" t="s">
        <v>2987</v>
      </c>
      <c r="C932" s="4" t="s">
        <v>2986</v>
      </c>
      <c r="D932" t="s">
        <v>77</v>
      </c>
      <c r="F932" t="s">
        <v>2985</v>
      </c>
      <c r="G932" s="3">
        <v>8097543756</v>
      </c>
      <c r="H932" s="2">
        <v>46129</v>
      </c>
      <c r="K932" s="1">
        <f ca="1">IF(A932="","",IF(OR(L932="ENTREGADA",L932="RETORNADA",L932="ENTREGA DIGITAL"),0,MAX(0,5-NETWORKDAYS(H932+1,TODAY()))))</f>
        <v>0</v>
      </c>
      <c r="L932" t="str">
        <f>IF(A932="","",IFERROR(LOOKUP(2,1/(#REF!=Z932),#REF!),Y932))</f>
        <v>ENTREGADA</v>
      </c>
      <c r="Y932" t="s">
        <v>1956</v>
      </c>
      <c r="Z932" t="str">
        <f>IF(A932="","",TEXT(A932,"0")&amp;"|"&amp;TEXT(H932,"0"))</f>
        <v>4921017842530330|46129</v>
      </c>
      <c r="AA932" t="str">
        <f>IF(Z932="","",IFERROR(LOOKUP(2,1/(#REF!=Z932),#REF!),""))</f>
        <v/>
      </c>
      <c r="AB932" t="str">
        <f>IF(Z932="","",IFERROR(LOOKUP(2,1/(#REF!=Z932),#REF!),""))</f>
        <v/>
      </c>
      <c r="AC932" t="e">
        <f>IF(Z932="","",COUNTIF(#REF!,Z932))</f>
        <v>#REF!</v>
      </c>
      <c r="AD932" t="e">
        <f>IF(A932="","",IF(AC932&gt;1,"REVISAR DUPLICADO",IF(AA932&lt;&gt;"","ACTUALIZADO POR EYR","SIN REPORTE EYR")))</f>
        <v>#REF!</v>
      </c>
    </row>
    <row r="933" spans="1:30" x14ac:dyDescent="0.3">
      <c r="A933" s="5" t="s">
        <v>2984</v>
      </c>
      <c r="B933" t="s">
        <v>2983</v>
      </c>
      <c r="C933" s="4" t="s">
        <v>2982</v>
      </c>
      <c r="D933" t="s">
        <v>77</v>
      </c>
      <c r="F933" t="s">
        <v>13</v>
      </c>
      <c r="G933" s="3">
        <v>8494555651</v>
      </c>
      <c r="H933" s="2">
        <v>46129</v>
      </c>
      <c r="K933" s="1">
        <f ca="1">IF(A933="","",IF(OR(L933="ENTREGADA",L933="RETORNADA",L933="ENTREGA DIGITAL"),0,MAX(0,5-NETWORKDAYS(H933+1,TODAY()))))</f>
        <v>0</v>
      </c>
      <c r="L933" t="str">
        <f>IF(A933="","",IFERROR(LOOKUP(2,1/(#REF!=Z933),#REF!),Y933))</f>
        <v>RETORNADA</v>
      </c>
      <c r="Y933" t="s">
        <v>1857</v>
      </c>
      <c r="Z933" t="str">
        <f>IF(A933="","",TEXT(A933,"0")&amp;"|"&amp;TEXT(H933,"0"))</f>
        <v>4921017843052760|46129</v>
      </c>
      <c r="AA933" t="str">
        <f>IF(Z933="","",IFERROR(LOOKUP(2,1/(#REF!=Z933),#REF!),""))</f>
        <v/>
      </c>
      <c r="AB933" t="str">
        <f>IF(Z933="","",IFERROR(LOOKUP(2,1/(#REF!=Z933),#REF!),""))</f>
        <v/>
      </c>
      <c r="AC933" t="e">
        <f>IF(Z933="","",COUNTIF(#REF!,Z933))</f>
        <v>#REF!</v>
      </c>
      <c r="AD933" t="e">
        <f>IF(A933="","",IF(AC933&gt;1,"REVISAR DUPLICADO",IF(AA933&lt;&gt;"","ACTUALIZADO POR EYR","SIN REPORTE EYR")))</f>
        <v>#REF!</v>
      </c>
    </row>
    <row r="934" spans="1:30" x14ac:dyDescent="0.3">
      <c r="A934" s="5" t="s">
        <v>2981</v>
      </c>
      <c r="B934" t="s">
        <v>2980</v>
      </c>
      <c r="C934" s="4" t="s">
        <v>2979</v>
      </c>
      <c r="D934" t="s">
        <v>77</v>
      </c>
      <c r="F934" t="s">
        <v>13</v>
      </c>
      <c r="G934" s="3">
        <v>8098499594</v>
      </c>
      <c r="H934" s="2">
        <v>46129</v>
      </c>
      <c r="I934" t="s">
        <v>1397</v>
      </c>
      <c r="K934" s="1">
        <f ca="1">IF(A934="","",IF(OR(L934="ENTREGADA",L934="RETORNADA",L934="ENTREGA DIGITAL"),0,MAX(0,5-NETWORKDAYS(H934+1,TODAY()))))</f>
        <v>0</v>
      </c>
      <c r="L934" t="str">
        <f>IF(A934="","",IFERROR(LOOKUP(2,1/(#REF!=Z934),#REF!),Y934))</f>
        <v>ENTREGADA</v>
      </c>
      <c r="Y934" t="s">
        <v>1956</v>
      </c>
      <c r="Z934" t="str">
        <f>IF(A934="","",TEXT(A934,"0")&amp;"|"&amp;TEXT(H934,"0"))</f>
        <v>4921017842451270|46129</v>
      </c>
      <c r="AA934" t="str">
        <f>IF(Z934="","",IFERROR(LOOKUP(2,1/(#REF!=Z934),#REF!),""))</f>
        <v/>
      </c>
      <c r="AB934" t="str">
        <f>IF(Z934="","",IFERROR(LOOKUP(2,1/(#REF!=Z934),#REF!),""))</f>
        <v/>
      </c>
      <c r="AC934" t="e">
        <f>IF(Z934="","",COUNTIF(#REF!,Z934))</f>
        <v>#REF!</v>
      </c>
      <c r="AD934" t="e">
        <f>IF(A934="","",IF(AC934&gt;1,"REVISAR DUPLICADO",IF(AA934&lt;&gt;"","ACTUALIZADO POR EYR","SIN REPORTE EYR")))</f>
        <v>#REF!</v>
      </c>
    </row>
    <row r="935" spans="1:30" x14ac:dyDescent="0.3">
      <c r="A935" s="5" t="s">
        <v>2978</v>
      </c>
      <c r="B935" t="s">
        <v>2977</v>
      </c>
      <c r="C935" s="4" t="s">
        <v>2976</v>
      </c>
      <c r="D935" t="s">
        <v>77</v>
      </c>
      <c r="F935" t="s">
        <v>2975</v>
      </c>
      <c r="G935" s="3">
        <v>8293880686</v>
      </c>
      <c r="H935" s="2">
        <v>46129</v>
      </c>
      <c r="I935" t="s">
        <v>1397</v>
      </c>
      <c r="K935" s="1">
        <f ca="1">IF(A935="","",IF(OR(L935="ENTREGADA",L935="RETORNADA",L935="ENTREGA DIGITAL"),0,MAX(0,5-NETWORKDAYS(H935+1,TODAY()))))</f>
        <v>0</v>
      </c>
      <c r="L935" t="str">
        <f>IF(A935="","",IFERROR(LOOKUP(2,1/(#REF!=Z935),#REF!),Y935))</f>
        <v>ENTREGADA</v>
      </c>
      <c r="Y935" t="s">
        <v>1956</v>
      </c>
      <c r="Z935" t="str">
        <f>IF(A935="","",TEXT(A935,"0")&amp;"|"&amp;TEXT(H935,"0"))</f>
        <v>4921017841870810|46129</v>
      </c>
      <c r="AA935" t="str">
        <f>IF(Z935="","",IFERROR(LOOKUP(2,1/(#REF!=Z935),#REF!),""))</f>
        <v/>
      </c>
      <c r="AB935" t="str">
        <f>IF(Z935="","",IFERROR(LOOKUP(2,1/(#REF!=Z935),#REF!),""))</f>
        <v/>
      </c>
      <c r="AC935" t="e">
        <f>IF(Z935="","",COUNTIF(#REF!,Z935))</f>
        <v>#REF!</v>
      </c>
      <c r="AD935" t="e">
        <f>IF(A935="","",IF(AC935&gt;1,"REVISAR DUPLICADO",IF(AA935&lt;&gt;"","ACTUALIZADO POR EYR","SIN REPORTE EYR")))</f>
        <v>#REF!</v>
      </c>
    </row>
    <row r="936" spans="1:30" x14ac:dyDescent="0.3">
      <c r="A936" s="5" t="s">
        <v>2974</v>
      </c>
      <c r="B936" t="s">
        <v>2973</v>
      </c>
      <c r="C936" s="4" t="s">
        <v>2972</v>
      </c>
      <c r="D936" t="s">
        <v>77</v>
      </c>
      <c r="F936" t="s">
        <v>0</v>
      </c>
      <c r="G936" s="3">
        <v>8299941540</v>
      </c>
      <c r="H936" s="2">
        <v>46129</v>
      </c>
      <c r="K936" s="1">
        <f ca="1">IF(A936="","",IF(OR(L936="ENTREGADA",L936="RETORNADA",L936="ENTREGA DIGITAL"),0,MAX(0,5-NETWORKDAYS(H936+1,TODAY()))))</f>
        <v>0</v>
      </c>
      <c r="L936" t="str">
        <f>IF(A936="","",IFERROR(LOOKUP(2,1/(#REF!=Z936),#REF!),Y936))</f>
        <v>ENTREGADA</v>
      </c>
      <c r="Y936" t="s">
        <v>1956</v>
      </c>
      <c r="Z936" t="str">
        <f>IF(A936="","",TEXT(A936,"0")&amp;"|"&amp;TEXT(H936,"0"))</f>
        <v>5188017776197990|46129</v>
      </c>
      <c r="AA936" t="str">
        <f>IF(Z936="","",IFERROR(LOOKUP(2,1/(#REF!=Z936),#REF!),""))</f>
        <v/>
      </c>
      <c r="AB936" t="str">
        <f>IF(Z936="","",IFERROR(LOOKUP(2,1/(#REF!=Z936),#REF!),""))</f>
        <v/>
      </c>
      <c r="AC936" t="e">
        <f>IF(Z936="","",COUNTIF(#REF!,Z936))</f>
        <v>#REF!</v>
      </c>
      <c r="AD936" t="e">
        <f>IF(A936="","",IF(AC936&gt;1,"REVISAR DUPLICADO",IF(AA936&lt;&gt;"","ACTUALIZADO POR EYR","SIN REPORTE EYR")))</f>
        <v>#REF!</v>
      </c>
    </row>
    <row r="937" spans="1:30" x14ac:dyDescent="0.3">
      <c r="A937" s="5" t="s">
        <v>2971</v>
      </c>
      <c r="B937" t="s">
        <v>2970</v>
      </c>
      <c r="C937" s="4" t="s">
        <v>2969</v>
      </c>
      <c r="D937" t="s">
        <v>77</v>
      </c>
      <c r="F937" t="s">
        <v>2968</v>
      </c>
      <c r="G937" s="3">
        <v>8094658198</v>
      </c>
      <c r="H937" s="2">
        <v>46129</v>
      </c>
      <c r="K937" s="1">
        <f ca="1">IF(A937="","",IF(OR(L937="ENTREGADA",L937="RETORNADA",L937="ENTREGA DIGITAL"),0,MAX(0,5-NETWORKDAYS(H937+1,TODAY()))))</f>
        <v>0</v>
      </c>
      <c r="L937" t="str">
        <f>IF(A937="","",IFERROR(LOOKUP(2,1/(#REF!=Z937),#REF!),Y937))</f>
        <v>RETORNADA</v>
      </c>
      <c r="Y937" t="s">
        <v>1857</v>
      </c>
      <c r="Z937" t="str">
        <f>IF(A937="","",TEXT(A937,"0")&amp;"|"&amp;TEXT(H937,"0"))</f>
        <v>5427017779544620|46129</v>
      </c>
      <c r="AA937" t="str">
        <f>IF(Z937="","",IFERROR(LOOKUP(2,1/(#REF!=Z937),#REF!),""))</f>
        <v/>
      </c>
      <c r="AB937" t="str">
        <f>IF(Z937="","",IFERROR(LOOKUP(2,1/(#REF!=Z937),#REF!),""))</f>
        <v/>
      </c>
      <c r="AC937" t="e">
        <f>IF(Z937="","",COUNTIF(#REF!,Z937))</f>
        <v>#REF!</v>
      </c>
      <c r="AD937" t="e">
        <f>IF(A937="","",IF(AC937&gt;1,"REVISAR DUPLICADO",IF(AA937&lt;&gt;"","ACTUALIZADO POR EYR","SIN REPORTE EYR")))</f>
        <v>#REF!</v>
      </c>
    </row>
    <row r="938" spans="1:30" x14ac:dyDescent="0.3">
      <c r="A938" s="5" t="s">
        <v>2967</v>
      </c>
      <c r="B938" t="s">
        <v>2966</v>
      </c>
      <c r="C938" s="4" t="s">
        <v>2965</v>
      </c>
      <c r="D938" t="s">
        <v>77</v>
      </c>
      <c r="F938" t="s">
        <v>0</v>
      </c>
      <c r="G938" s="3">
        <v>8095510758</v>
      </c>
      <c r="H938" s="2">
        <v>46129</v>
      </c>
      <c r="I938" t="s">
        <v>1397</v>
      </c>
      <c r="K938" s="1">
        <f ca="1">IF(A938="","",IF(OR(L938="ENTREGADA",L938="RETORNADA",L938="ENTREGA DIGITAL"),0,MAX(0,5-NETWORKDAYS(H938+1,TODAY()))))</f>
        <v>0</v>
      </c>
      <c r="L938" t="str">
        <f>IF(A938="","",IFERROR(LOOKUP(2,1/(#REF!=Z938),#REF!),Y938))</f>
        <v>ENTREGADA</v>
      </c>
      <c r="Y938" t="s">
        <v>1956</v>
      </c>
      <c r="Z938" t="str">
        <f>IF(A938="","",TEXT(A938,"0")&amp;"|"&amp;TEXT(H938,"0"))</f>
        <v>5192017745213660|46129</v>
      </c>
      <c r="AA938" t="str">
        <f>IF(Z938="","",IFERROR(LOOKUP(2,1/(#REF!=Z938),#REF!),""))</f>
        <v/>
      </c>
      <c r="AB938" t="str">
        <f>IF(Z938="","",IFERROR(LOOKUP(2,1/(#REF!=Z938),#REF!),""))</f>
        <v/>
      </c>
      <c r="AC938" t="e">
        <f>IF(Z938="","",COUNTIF(#REF!,Z938))</f>
        <v>#REF!</v>
      </c>
      <c r="AD938" t="e">
        <f>IF(A938="","",IF(AC938&gt;1,"REVISAR DUPLICADO",IF(AA938&lt;&gt;"","ACTUALIZADO POR EYR","SIN REPORTE EYR")))</f>
        <v>#REF!</v>
      </c>
    </row>
    <row r="939" spans="1:30" x14ac:dyDescent="0.3">
      <c r="A939" s="5" t="s">
        <v>2964</v>
      </c>
      <c r="B939" t="s">
        <v>2963</v>
      </c>
      <c r="C939" s="4" t="s">
        <v>2962</v>
      </c>
      <c r="D939" t="s">
        <v>77</v>
      </c>
      <c r="F939" t="s">
        <v>13</v>
      </c>
      <c r="G939" s="3">
        <v>8294717289</v>
      </c>
      <c r="H939" s="2">
        <v>46129</v>
      </c>
      <c r="K939" s="1">
        <f ca="1">IF(A939="","",IF(OR(L939="ENTREGADA",L939="RETORNADA",L939="ENTREGA DIGITAL"),0,MAX(0,5-NETWORKDAYS(H939+1,TODAY()))))</f>
        <v>0</v>
      </c>
      <c r="L939" t="str">
        <f>IF(A939="","",IFERROR(LOOKUP(2,1/(#REF!=Z939),#REF!),Y939))</f>
        <v>ENTREGADA</v>
      </c>
      <c r="Y939" t="s">
        <v>1956</v>
      </c>
      <c r="Z939" t="str">
        <f>IF(A939="","",TEXT(A939,"0")&amp;"|"&amp;TEXT(H939,"0"))</f>
        <v>4921017846358900|46129</v>
      </c>
      <c r="AA939" t="str">
        <f>IF(Z939="","",IFERROR(LOOKUP(2,1/(#REF!=Z939),#REF!),""))</f>
        <v/>
      </c>
      <c r="AB939" t="str">
        <f>IF(Z939="","",IFERROR(LOOKUP(2,1/(#REF!=Z939),#REF!),""))</f>
        <v/>
      </c>
      <c r="AC939" t="e">
        <f>IF(Z939="","",COUNTIF(#REF!,Z939))</f>
        <v>#REF!</v>
      </c>
      <c r="AD939" t="e">
        <f>IF(A939="","",IF(AC939&gt;1,"REVISAR DUPLICADO",IF(AA939&lt;&gt;"","ACTUALIZADO POR EYR","SIN REPORTE EYR")))</f>
        <v>#REF!</v>
      </c>
    </row>
    <row r="940" spans="1:30" x14ac:dyDescent="0.3">
      <c r="A940" s="5" t="s">
        <v>2961</v>
      </c>
      <c r="B940" t="s">
        <v>2960</v>
      </c>
      <c r="C940" s="4" t="s">
        <v>2959</v>
      </c>
      <c r="D940" t="s">
        <v>77</v>
      </c>
      <c r="F940" t="s">
        <v>2958</v>
      </c>
      <c r="G940" s="3">
        <v>8095542562</v>
      </c>
      <c r="H940" s="2">
        <v>46129</v>
      </c>
      <c r="K940" s="1">
        <f ca="1">IF(A940="","",IF(OR(L940="ENTREGADA",L940="RETORNADA",L940="ENTREGA DIGITAL"),0,MAX(0,5-NETWORKDAYS(H940+1,TODAY()))))</f>
        <v>0</v>
      </c>
      <c r="L940" t="str">
        <f>IF(A940="","",IFERROR(LOOKUP(2,1/(#REF!=Z940),#REF!),Y940))</f>
        <v>ENTREGADA</v>
      </c>
      <c r="Y940" t="s">
        <v>1956</v>
      </c>
      <c r="Z940" t="str">
        <f>IF(A940="","",TEXT(A940,"0")&amp;"|"&amp;TEXT(H940,"0"))</f>
        <v>5523017837957310|46129</v>
      </c>
      <c r="AA940" t="str">
        <f>IF(Z940="","",IFERROR(LOOKUP(2,1/(#REF!=Z940),#REF!),""))</f>
        <v/>
      </c>
      <c r="AB940" t="str">
        <f>IF(Z940="","",IFERROR(LOOKUP(2,1/(#REF!=Z940),#REF!),""))</f>
        <v/>
      </c>
      <c r="AC940" t="e">
        <f>IF(Z940="","",COUNTIF(#REF!,Z940))</f>
        <v>#REF!</v>
      </c>
      <c r="AD940" t="e">
        <f>IF(A940="","",IF(AC940&gt;1,"REVISAR DUPLICADO",IF(AA940&lt;&gt;"","ACTUALIZADO POR EYR","SIN REPORTE EYR")))</f>
        <v>#REF!</v>
      </c>
    </row>
    <row r="941" spans="1:30" x14ac:dyDescent="0.3">
      <c r="A941" s="5" t="s">
        <v>2957</v>
      </c>
      <c r="B941" t="s">
        <v>2956</v>
      </c>
      <c r="C941" s="4" t="s">
        <v>2955</v>
      </c>
      <c r="D941" t="s">
        <v>21</v>
      </c>
      <c r="F941" t="s">
        <v>965</v>
      </c>
      <c r="G941" s="3">
        <v>8495253366</v>
      </c>
      <c r="H941" s="2">
        <v>46129</v>
      </c>
      <c r="K941" s="1">
        <f ca="1">IF(A941="","",IF(OR(L941="ENTREGADA",L941="RETORNADA",L941="ENTREGA DIGITAL"),0,MAX(0,5-NETWORKDAYS(H941+1,TODAY()))))</f>
        <v>0</v>
      </c>
      <c r="L941" t="str">
        <f>IF(A941="","",IFERROR(LOOKUP(2,1/(#REF!=Z941),#REF!),Y941))</f>
        <v>ENTREGADA</v>
      </c>
      <c r="Y941" t="s">
        <v>1956</v>
      </c>
      <c r="Z941" t="str">
        <f>IF(A941="","",TEXT(A941,"0")&amp;"|"&amp;TEXT(H941,"0"))</f>
        <v>5415017838236180|46129</v>
      </c>
      <c r="AA941" t="str">
        <f>IF(Z941="","",IFERROR(LOOKUP(2,1/(#REF!=Z941),#REF!),""))</f>
        <v/>
      </c>
      <c r="AB941" t="str">
        <f>IF(Z941="","",IFERROR(LOOKUP(2,1/(#REF!=Z941),#REF!),""))</f>
        <v/>
      </c>
      <c r="AC941" t="e">
        <f>IF(Z941="","",COUNTIF(#REF!,Z941))</f>
        <v>#REF!</v>
      </c>
      <c r="AD941" t="e">
        <f>IF(A941="","",IF(AC941&gt;1,"REVISAR DUPLICADO",IF(AA941&lt;&gt;"","ACTUALIZADO POR EYR","SIN REPORTE EYR")))</f>
        <v>#REF!</v>
      </c>
    </row>
    <row r="942" spans="1:30" x14ac:dyDescent="0.3">
      <c r="A942" s="5" t="s">
        <v>2954</v>
      </c>
      <c r="B942" t="s">
        <v>2953</v>
      </c>
      <c r="C942" s="4" t="s">
        <v>2952</v>
      </c>
      <c r="D942" t="s">
        <v>21</v>
      </c>
      <c r="F942" t="s">
        <v>2951</v>
      </c>
      <c r="G942" s="3">
        <v>8097656981</v>
      </c>
      <c r="H942" s="2">
        <v>46129</v>
      </c>
      <c r="K942" s="1">
        <f ca="1">IF(A942="","",IF(OR(L942="ENTREGADA",L942="RETORNADA",L942="ENTREGA DIGITAL"),0,MAX(0,5-NETWORKDAYS(H942+1,TODAY()))))</f>
        <v>0</v>
      </c>
      <c r="L942" t="str">
        <f>IF(A942="","",IFERROR(LOOKUP(2,1/(#REF!=Z942),#REF!),Y942))</f>
        <v>ENTREGADA</v>
      </c>
      <c r="Y942" t="s">
        <v>1956</v>
      </c>
      <c r="Z942" t="str">
        <f>IF(A942="","",TEXT(A942,"0")&amp;"|"&amp;TEXT(H942,"0"))</f>
        <v>4966017846079040|46129</v>
      </c>
      <c r="AA942" t="str">
        <f>IF(Z942="","",IFERROR(LOOKUP(2,1/(#REF!=Z942),#REF!),""))</f>
        <v/>
      </c>
      <c r="AB942" t="str">
        <f>IF(Z942="","",IFERROR(LOOKUP(2,1/(#REF!=Z942),#REF!),""))</f>
        <v/>
      </c>
      <c r="AC942" t="e">
        <f>IF(Z942="","",COUNTIF(#REF!,Z942))</f>
        <v>#REF!</v>
      </c>
      <c r="AD942" t="e">
        <f>IF(A942="","",IF(AC942&gt;1,"REVISAR DUPLICADO",IF(AA942&lt;&gt;"","ACTUALIZADO POR EYR","SIN REPORTE EYR")))</f>
        <v>#REF!</v>
      </c>
    </row>
    <row r="943" spans="1:30" x14ac:dyDescent="0.3">
      <c r="A943" s="5" t="s">
        <v>2950</v>
      </c>
      <c r="B943" t="s">
        <v>2949</v>
      </c>
      <c r="C943" s="4" t="s">
        <v>2948</v>
      </c>
      <c r="D943" t="s">
        <v>21</v>
      </c>
      <c r="F943" t="s">
        <v>2903</v>
      </c>
      <c r="G943" s="3">
        <v>8293286528</v>
      </c>
      <c r="H943" s="2">
        <v>46129</v>
      </c>
      <c r="K943" s="1">
        <f ca="1">IF(A943="","",IF(OR(L943="ENTREGADA",L943="RETORNADA",L943="ENTREGA DIGITAL"),0,MAX(0,5-NETWORKDAYS(H943+1,TODAY()))))</f>
        <v>0</v>
      </c>
      <c r="L943">
        <f>IF(A943="","",IFERROR(LOOKUP(2,1/(#REF!=Z943),#REF!),Y943))</f>
        <v>0</v>
      </c>
      <c r="Z943" t="str">
        <f>IF(A943="","",TEXT(A943,"0")&amp;"|"&amp;TEXT(H943,"0"))</f>
        <v>4921017847288030|46129</v>
      </c>
      <c r="AA943" t="str">
        <f>IF(Z943="","",IFERROR(LOOKUP(2,1/(#REF!=Z943),#REF!),""))</f>
        <v/>
      </c>
      <c r="AB943" t="str">
        <f>IF(Z943="","",IFERROR(LOOKUP(2,1/(#REF!=Z943),#REF!),""))</f>
        <v/>
      </c>
      <c r="AC943" t="e">
        <f>IF(Z943="","",COUNTIF(#REF!,Z943))</f>
        <v>#REF!</v>
      </c>
      <c r="AD943" t="e">
        <f>IF(A943="","",IF(AC943&gt;1,"REVISAR DUPLICADO",IF(AA943&lt;&gt;"","ACTUALIZADO POR EYR","SIN REPORTE EYR")))</f>
        <v>#REF!</v>
      </c>
    </row>
    <row r="944" spans="1:30" x14ac:dyDescent="0.3">
      <c r="A944" s="5" t="s">
        <v>2947</v>
      </c>
      <c r="B944" t="s">
        <v>2946</v>
      </c>
      <c r="C944" s="4" t="s">
        <v>2945</v>
      </c>
      <c r="D944" t="s">
        <v>21</v>
      </c>
      <c r="F944" t="s">
        <v>13</v>
      </c>
      <c r="G944" s="3">
        <v>8094369157</v>
      </c>
      <c r="H944" s="2">
        <v>46129</v>
      </c>
      <c r="K944" s="1">
        <f ca="1">IF(A944="","",IF(OR(L944="ENTREGADA",L944="RETORNADA",L944="ENTREGA DIGITAL"),0,MAX(0,5-NETWORKDAYS(H944+1,TODAY()))))</f>
        <v>0</v>
      </c>
      <c r="L944" t="str">
        <f>IF(A944="","",IFERROR(LOOKUP(2,1/(#REF!=Z944),#REF!),Y944))</f>
        <v>ENTREGADA</v>
      </c>
      <c r="Y944" t="s">
        <v>1956</v>
      </c>
      <c r="Z944" t="str">
        <f>IF(A944="","",TEXT(A944,"0")&amp;"|"&amp;TEXT(H944,"0"))</f>
        <v>4921017846512490|46129</v>
      </c>
      <c r="AA944" t="str">
        <f>IF(Z944="","",IFERROR(LOOKUP(2,1/(#REF!=Z944),#REF!),""))</f>
        <v/>
      </c>
      <c r="AB944" t="str">
        <f>IF(Z944="","",IFERROR(LOOKUP(2,1/(#REF!=Z944),#REF!),""))</f>
        <v/>
      </c>
      <c r="AC944" t="e">
        <f>IF(Z944="","",COUNTIF(#REF!,Z944))</f>
        <v>#REF!</v>
      </c>
      <c r="AD944" t="e">
        <f>IF(A944="","",IF(AC944&gt;1,"REVISAR DUPLICADO",IF(AA944&lt;&gt;"","ACTUALIZADO POR EYR","SIN REPORTE EYR")))</f>
        <v>#REF!</v>
      </c>
    </row>
    <row r="945" spans="1:30" x14ac:dyDescent="0.3">
      <c r="A945" s="5" t="s">
        <v>2944</v>
      </c>
      <c r="B945" t="s">
        <v>2943</v>
      </c>
      <c r="C945" s="4" t="s">
        <v>2942</v>
      </c>
      <c r="D945" t="s">
        <v>21</v>
      </c>
      <c r="E945" t="s">
        <v>21</v>
      </c>
      <c r="F945" t="s">
        <v>62</v>
      </c>
      <c r="G945" s="3">
        <v>8297521198</v>
      </c>
      <c r="H945" s="2">
        <v>46129</v>
      </c>
      <c r="K945" s="1">
        <f ca="1">IF(A945="","",IF(OR(L945="ENTREGADA",L945="RETORNADA",L945="ENTREGA DIGITAL"),0,MAX(0,5-NETWORKDAYS(H945+1,TODAY()))))</f>
        <v>0</v>
      </c>
      <c r="L945">
        <f>IF(A945="","",IFERROR(LOOKUP(2,1/(#REF!=Z945),#REF!),Y945))</f>
        <v>0</v>
      </c>
      <c r="Z945" t="str">
        <f>IF(A945="","",TEXT(A945,"0")&amp;"|"&amp;TEXT(H945,"0"))</f>
        <v>4921017846268840|46129</v>
      </c>
      <c r="AA945" t="str">
        <f>IF(Z945="","",IFERROR(LOOKUP(2,1/(#REF!=Z945),#REF!),""))</f>
        <v/>
      </c>
      <c r="AB945" t="str">
        <f>IF(Z945="","",IFERROR(LOOKUP(2,1/(#REF!=Z945),#REF!),""))</f>
        <v/>
      </c>
      <c r="AC945" t="e">
        <f>IF(Z945="","",COUNTIF(#REF!,Z945))</f>
        <v>#REF!</v>
      </c>
      <c r="AD945" t="e">
        <f>IF(A945="","",IF(AC945&gt;1,"REVISAR DUPLICADO",IF(AA945&lt;&gt;"","ACTUALIZADO POR EYR","SIN REPORTE EYR")))</f>
        <v>#REF!</v>
      </c>
    </row>
    <row r="946" spans="1:30" x14ac:dyDescent="0.3">
      <c r="A946" s="5" t="s">
        <v>2941</v>
      </c>
      <c r="B946" t="s">
        <v>2940</v>
      </c>
      <c r="C946" s="4" t="s">
        <v>2939</v>
      </c>
      <c r="D946" t="s">
        <v>21</v>
      </c>
      <c r="F946" t="s">
        <v>13</v>
      </c>
      <c r="G946" s="3">
        <v>8292692250</v>
      </c>
      <c r="H946" s="2">
        <v>46129</v>
      </c>
      <c r="K946" s="1">
        <f ca="1">IF(A946="","",IF(OR(L946="ENTREGADA",L946="RETORNADA",L946="ENTREGA DIGITAL"),0,MAX(0,5-NETWORKDAYS(H946+1,TODAY()))))</f>
        <v>0</v>
      </c>
      <c r="L946" t="str">
        <f>IF(A946="","",IFERROR(LOOKUP(2,1/(#REF!=Z946),#REF!),Y946))</f>
        <v>ENTREGADA</v>
      </c>
      <c r="Y946" t="s">
        <v>1956</v>
      </c>
      <c r="Z946" t="str">
        <f>IF(A946="","",TEXT(A946,"0")&amp;"|"&amp;TEXT(H946,"0"))</f>
        <v>4921017847017720|46129</v>
      </c>
      <c r="AA946" t="str">
        <f>IF(Z946="","",IFERROR(LOOKUP(2,1/(#REF!=Z946),#REF!),""))</f>
        <v/>
      </c>
      <c r="AB946" t="str">
        <f>IF(Z946="","",IFERROR(LOOKUP(2,1/(#REF!=Z946),#REF!),""))</f>
        <v/>
      </c>
      <c r="AC946" t="e">
        <f>IF(Z946="","",COUNTIF(#REF!,Z946))</f>
        <v>#REF!</v>
      </c>
      <c r="AD946" t="e">
        <f>IF(A946="","",IF(AC946&gt;1,"REVISAR DUPLICADO",IF(AA946&lt;&gt;"","ACTUALIZADO POR EYR","SIN REPORTE EYR")))</f>
        <v>#REF!</v>
      </c>
    </row>
    <row r="947" spans="1:30" x14ac:dyDescent="0.3">
      <c r="A947" s="5" t="s">
        <v>2938</v>
      </c>
      <c r="B947" t="s">
        <v>2937</v>
      </c>
      <c r="C947" s="4" t="s">
        <v>2936</v>
      </c>
      <c r="D947" t="s">
        <v>21</v>
      </c>
      <c r="F947" t="s">
        <v>13</v>
      </c>
      <c r="G947" s="3">
        <v>8293939757</v>
      </c>
      <c r="H947" s="2">
        <v>46129</v>
      </c>
      <c r="K947" s="1">
        <f ca="1">IF(A947="","",IF(OR(L947="ENTREGADA",L947="RETORNADA",L947="ENTREGA DIGITAL"),0,MAX(0,5-NETWORKDAYS(H947+1,TODAY()))))</f>
        <v>0</v>
      </c>
      <c r="L947">
        <f>IF(A947="","",IFERROR(LOOKUP(2,1/(#REF!=Z947),#REF!),Y947))</f>
        <v>0</v>
      </c>
      <c r="Z947" t="str">
        <f>IF(A947="","",TEXT(A947,"0")&amp;"|"&amp;TEXT(H947,"0"))</f>
        <v>5227017845095570|46129</v>
      </c>
      <c r="AA947" t="str">
        <f>IF(Z947="","",IFERROR(LOOKUP(2,1/(#REF!=Z947),#REF!),""))</f>
        <v/>
      </c>
      <c r="AB947" t="str">
        <f>IF(Z947="","",IFERROR(LOOKUP(2,1/(#REF!=Z947),#REF!),""))</f>
        <v/>
      </c>
      <c r="AC947" t="e">
        <f>IF(Z947="","",COUNTIF(#REF!,Z947))</f>
        <v>#REF!</v>
      </c>
      <c r="AD947" t="e">
        <f>IF(A947="","",IF(AC947&gt;1,"REVISAR DUPLICADO",IF(AA947&lt;&gt;"","ACTUALIZADO POR EYR","SIN REPORTE EYR")))</f>
        <v>#REF!</v>
      </c>
    </row>
    <row r="948" spans="1:30" x14ac:dyDescent="0.3">
      <c r="A948" s="5" t="s">
        <v>2935</v>
      </c>
      <c r="B948" t="s">
        <v>2934</v>
      </c>
      <c r="C948" s="4" t="s">
        <v>2933</v>
      </c>
      <c r="D948" t="s">
        <v>21</v>
      </c>
      <c r="F948" t="s">
        <v>2932</v>
      </c>
      <c r="G948" s="3">
        <v>8492141054</v>
      </c>
      <c r="H948" s="2">
        <v>46129</v>
      </c>
      <c r="K948" s="1">
        <f ca="1">IF(A948="","",IF(OR(L948="ENTREGADA",L948="RETORNADA",L948="ENTREGA DIGITAL"),0,MAX(0,5-NETWORKDAYS(H948+1,TODAY()))))</f>
        <v>0</v>
      </c>
      <c r="L948">
        <f>IF(A948="","",IFERROR(LOOKUP(2,1/(#REF!=Z948),#REF!),Y948))</f>
        <v>0</v>
      </c>
      <c r="Z948" t="str">
        <f>IF(A948="","",TEXT(A948,"0")&amp;"|"&amp;TEXT(H948,"0"))</f>
        <v>4025017727295630|46129</v>
      </c>
      <c r="AA948" t="str">
        <f>IF(Z948="","",IFERROR(LOOKUP(2,1/(#REF!=Z948),#REF!),""))</f>
        <v/>
      </c>
      <c r="AB948" t="str">
        <f>IF(Z948="","",IFERROR(LOOKUP(2,1/(#REF!=Z948),#REF!),""))</f>
        <v/>
      </c>
      <c r="AC948" t="e">
        <f>IF(Z948="","",COUNTIF(#REF!,Z948))</f>
        <v>#REF!</v>
      </c>
      <c r="AD948" t="e">
        <f>IF(A948="","",IF(AC948&gt;1,"REVISAR DUPLICADO",IF(AA948&lt;&gt;"","ACTUALIZADO POR EYR","SIN REPORTE EYR")))</f>
        <v>#REF!</v>
      </c>
    </row>
    <row r="949" spans="1:30" x14ac:dyDescent="0.3">
      <c r="A949" s="5" t="s">
        <v>673</v>
      </c>
      <c r="B949" t="s">
        <v>672</v>
      </c>
      <c r="C949" s="4" t="s">
        <v>671</v>
      </c>
      <c r="D949" t="s">
        <v>21</v>
      </c>
      <c r="F949" t="s">
        <v>2931</v>
      </c>
      <c r="G949" s="3">
        <v>8294943935</v>
      </c>
      <c r="H949" s="2">
        <v>46129</v>
      </c>
      <c r="K949" s="1">
        <f ca="1">IF(A949="","",IF(OR(L949="ENTREGADA",L949="RETORNADA",L949="ENTREGA DIGITAL"),0,MAX(0,5-NETWORKDAYS(H949+1,TODAY()))))</f>
        <v>0</v>
      </c>
      <c r="L949" t="str">
        <f>IF(A949="","",IFERROR(LOOKUP(2,1/(#REF!=Z949),#REF!),Y949))</f>
        <v>RETORNADA</v>
      </c>
      <c r="Y949" t="s">
        <v>1857</v>
      </c>
      <c r="Z949" t="str">
        <f>IF(A949="","",TEXT(A949,"0")&amp;"|"&amp;TEXT(H949,"0"))</f>
        <v>5415017839116800|46129</v>
      </c>
      <c r="AA949" t="str">
        <f>IF(Z949="","",IFERROR(LOOKUP(2,1/(#REF!=Z949),#REF!),""))</f>
        <v/>
      </c>
      <c r="AB949" t="str">
        <f>IF(Z949="","",IFERROR(LOOKUP(2,1/(#REF!=Z949),#REF!),""))</f>
        <v/>
      </c>
      <c r="AC949" t="e">
        <f>IF(Z949="","",COUNTIF(#REF!,Z949))</f>
        <v>#REF!</v>
      </c>
      <c r="AD949" t="e">
        <f>IF(A949="","",IF(AC949&gt;1,"REVISAR DUPLICADO",IF(AA949&lt;&gt;"","ACTUALIZADO POR EYR","SIN REPORTE EYR")))</f>
        <v>#REF!</v>
      </c>
    </row>
    <row r="950" spans="1:30" x14ac:dyDescent="0.3">
      <c r="A950" s="5" t="s">
        <v>2930</v>
      </c>
      <c r="B950" t="s">
        <v>2929</v>
      </c>
      <c r="C950" s="4" t="s">
        <v>2928</v>
      </c>
      <c r="D950" t="s">
        <v>21</v>
      </c>
      <c r="F950" t="s">
        <v>2927</v>
      </c>
      <c r="G950" s="3">
        <v>8098445599</v>
      </c>
      <c r="H950" s="2">
        <v>46129</v>
      </c>
      <c r="K950" s="1">
        <f ca="1">IF(A950="","",IF(OR(L950="ENTREGADA",L950="RETORNADA",L950="ENTREGA DIGITAL"),0,MAX(0,5-NETWORKDAYS(H950+1,TODAY()))))</f>
        <v>0</v>
      </c>
      <c r="L950">
        <f>IF(A950="","",IFERROR(LOOKUP(2,1/(#REF!=Z950),#REF!),Y950))</f>
        <v>0</v>
      </c>
      <c r="Z950" t="str">
        <f>IF(A950="","",TEXT(A950,"0")&amp;"|"&amp;TEXT(H950,"0"))</f>
        <v>5188017839341590|46129</v>
      </c>
      <c r="AA950" t="str">
        <f>IF(Z950="","",IFERROR(LOOKUP(2,1/(#REF!=Z950),#REF!),""))</f>
        <v/>
      </c>
      <c r="AB950" t="str">
        <f>IF(Z950="","",IFERROR(LOOKUP(2,1/(#REF!=Z950),#REF!),""))</f>
        <v/>
      </c>
      <c r="AC950" t="e">
        <f>IF(Z950="","",COUNTIF(#REF!,Z950))</f>
        <v>#REF!</v>
      </c>
      <c r="AD950" t="e">
        <f>IF(A950="","",IF(AC950&gt;1,"REVISAR DUPLICADO",IF(AA950&lt;&gt;"","ACTUALIZADO POR EYR","SIN REPORTE EYR")))</f>
        <v>#REF!</v>
      </c>
    </row>
    <row r="951" spans="1:30" x14ac:dyDescent="0.3">
      <c r="A951" s="5" t="s">
        <v>2926</v>
      </c>
      <c r="B951" t="s">
        <v>2925</v>
      </c>
      <c r="C951" s="4" t="s">
        <v>2924</v>
      </c>
      <c r="D951" t="s">
        <v>21</v>
      </c>
      <c r="F951" t="s">
        <v>1343</v>
      </c>
      <c r="G951" s="3">
        <v>8492010134</v>
      </c>
      <c r="H951" s="2">
        <v>46129</v>
      </c>
      <c r="K951" s="1">
        <f ca="1">IF(A951="","",IF(OR(L951="ENTREGADA",L951="RETORNADA",L951="ENTREGA DIGITAL"),0,MAX(0,5-NETWORKDAYS(H951+1,TODAY()))))</f>
        <v>0</v>
      </c>
      <c r="L951">
        <f>IF(A951="","",IFERROR(LOOKUP(2,1/(#REF!=Z951),#REF!),Y951))</f>
        <v>0</v>
      </c>
      <c r="Z951" t="str">
        <f>IF(A951="","",TEXT(A951,"0")&amp;"|"&amp;TEXT(H951,"0"))</f>
        <v>4921017840581810|46129</v>
      </c>
      <c r="AA951" t="str">
        <f>IF(Z951="","",IFERROR(LOOKUP(2,1/(#REF!=Z951),#REF!),""))</f>
        <v/>
      </c>
      <c r="AB951" t="str">
        <f>IF(Z951="","",IFERROR(LOOKUP(2,1/(#REF!=Z951),#REF!),""))</f>
        <v/>
      </c>
      <c r="AC951" t="e">
        <f>IF(Z951="","",COUNTIF(#REF!,Z951))</f>
        <v>#REF!</v>
      </c>
      <c r="AD951" t="e">
        <f>IF(A951="","",IF(AC951&gt;1,"REVISAR DUPLICADO",IF(AA951&lt;&gt;"","ACTUALIZADO POR EYR","SIN REPORTE EYR")))</f>
        <v>#REF!</v>
      </c>
    </row>
    <row r="952" spans="1:30" x14ac:dyDescent="0.3">
      <c r="A952" s="5" t="s">
        <v>2923</v>
      </c>
      <c r="B952" t="s">
        <v>2922</v>
      </c>
      <c r="C952" s="4" t="s">
        <v>2921</v>
      </c>
      <c r="D952" t="s">
        <v>21</v>
      </c>
      <c r="E952" t="s">
        <v>21</v>
      </c>
      <c r="F952" t="s">
        <v>1112</v>
      </c>
      <c r="G952" s="3">
        <v>8297918817</v>
      </c>
      <c r="H952" s="2">
        <v>46129</v>
      </c>
      <c r="K952" s="1">
        <f ca="1">IF(A952="","",IF(OR(L952="ENTREGADA",L952="RETORNADA",L952="ENTREGA DIGITAL"),0,MAX(0,5-NETWORKDAYS(H952+1,TODAY()))))</f>
        <v>0</v>
      </c>
      <c r="L952" t="str">
        <f>IF(A952="","",IFERROR(LOOKUP(2,1/(#REF!=Z952),#REF!),Y952))</f>
        <v>RETORNADA</v>
      </c>
      <c r="Y952" t="s">
        <v>1857</v>
      </c>
      <c r="Z952" t="str">
        <f>IF(A952="","",TEXT(A952,"0")&amp;"|"&amp;TEXT(H952,"0"))</f>
        <v>4921017841589610|46129</v>
      </c>
      <c r="AA952" t="str">
        <f>IF(Z952="","",IFERROR(LOOKUP(2,1/(#REF!=Z952),#REF!),""))</f>
        <v/>
      </c>
      <c r="AB952" t="str">
        <f>IF(Z952="","",IFERROR(LOOKUP(2,1/(#REF!=Z952),#REF!),""))</f>
        <v/>
      </c>
      <c r="AC952" t="e">
        <f>IF(Z952="","",COUNTIF(#REF!,Z952))</f>
        <v>#REF!</v>
      </c>
      <c r="AD952" t="e">
        <f>IF(A952="","",IF(AC952&gt;1,"REVISAR DUPLICADO",IF(AA952&lt;&gt;"","ACTUALIZADO POR EYR","SIN REPORTE EYR")))</f>
        <v>#REF!</v>
      </c>
    </row>
    <row r="953" spans="1:30" x14ac:dyDescent="0.3">
      <c r="A953" s="5" t="s">
        <v>2920</v>
      </c>
      <c r="B953" t="s">
        <v>2919</v>
      </c>
      <c r="C953" s="4" t="s">
        <v>2918</v>
      </c>
      <c r="D953" t="s">
        <v>21</v>
      </c>
      <c r="F953" t="s">
        <v>13</v>
      </c>
      <c r="G953" s="3">
        <v>8296473666</v>
      </c>
      <c r="H953" s="2">
        <v>46129</v>
      </c>
      <c r="K953" s="1">
        <f ca="1">IF(A953="","",IF(OR(L953="ENTREGADA",L953="RETORNADA",L953="ENTREGA DIGITAL"),0,MAX(0,5-NETWORKDAYS(H953+1,TODAY()))))</f>
        <v>0</v>
      </c>
      <c r="L953" t="str">
        <f>IF(A953="","",IFERROR(LOOKUP(2,1/(#REF!=Z953),#REF!),Y953))</f>
        <v>RETORNADA</v>
      </c>
      <c r="Y953" t="s">
        <v>1857</v>
      </c>
      <c r="Z953" t="str">
        <f>IF(A953="","",TEXT(A953,"0")&amp;"|"&amp;TEXT(H953,"0"))</f>
        <v>4921017842059950|46129</v>
      </c>
      <c r="AA953" t="str">
        <f>IF(Z953="","",IFERROR(LOOKUP(2,1/(#REF!=Z953),#REF!),""))</f>
        <v/>
      </c>
      <c r="AB953" t="str">
        <f>IF(Z953="","",IFERROR(LOOKUP(2,1/(#REF!=Z953),#REF!),""))</f>
        <v/>
      </c>
      <c r="AC953" t="e">
        <f>IF(Z953="","",COUNTIF(#REF!,Z953))</f>
        <v>#REF!</v>
      </c>
      <c r="AD953" t="e">
        <f>IF(A953="","",IF(AC953&gt;1,"REVISAR DUPLICADO",IF(AA953&lt;&gt;"","ACTUALIZADO POR EYR","SIN REPORTE EYR")))</f>
        <v>#REF!</v>
      </c>
    </row>
    <row r="954" spans="1:30" x14ac:dyDescent="0.3">
      <c r="A954" s="5" t="s">
        <v>2917</v>
      </c>
      <c r="B954" t="s">
        <v>2916</v>
      </c>
      <c r="C954" s="4" t="s">
        <v>2915</v>
      </c>
      <c r="D954" t="s">
        <v>21</v>
      </c>
      <c r="F954" t="s">
        <v>2914</v>
      </c>
      <c r="G954" s="3">
        <v>8295522553</v>
      </c>
      <c r="H954" s="2">
        <v>46129</v>
      </c>
      <c r="K954" s="1">
        <f ca="1">IF(A954="","",IF(OR(L954="ENTREGADA",L954="RETORNADA",L954="ENTREGA DIGITAL"),0,MAX(0,5-NETWORKDAYS(H954+1,TODAY()))))</f>
        <v>0</v>
      </c>
      <c r="L954" t="str">
        <f>IF(A954="","",IFERROR(LOOKUP(2,1/(#REF!=Z954),#REF!),Y954))</f>
        <v>ENTREGADA</v>
      </c>
      <c r="Y954" t="s">
        <v>1956</v>
      </c>
      <c r="Z954" t="str">
        <f>IF(A954="","",TEXT(A954,"0")&amp;"|"&amp;TEXT(H954,"0"))</f>
        <v>4921017843299140|46129</v>
      </c>
      <c r="AA954" t="str">
        <f>IF(Z954="","",IFERROR(LOOKUP(2,1/(#REF!=Z954),#REF!),""))</f>
        <v/>
      </c>
      <c r="AB954" t="str">
        <f>IF(Z954="","",IFERROR(LOOKUP(2,1/(#REF!=Z954),#REF!),""))</f>
        <v/>
      </c>
      <c r="AC954" t="e">
        <f>IF(Z954="","",COUNTIF(#REF!,Z954))</f>
        <v>#REF!</v>
      </c>
      <c r="AD954" t="e">
        <f>IF(A954="","",IF(AC954&gt;1,"REVISAR DUPLICADO",IF(AA954&lt;&gt;"","ACTUALIZADO POR EYR","SIN REPORTE EYR")))</f>
        <v>#REF!</v>
      </c>
    </row>
    <row r="955" spans="1:30" x14ac:dyDescent="0.3">
      <c r="A955" s="5" t="s">
        <v>2913</v>
      </c>
      <c r="B955" t="s">
        <v>2912</v>
      </c>
      <c r="C955" s="4" t="s">
        <v>2911</v>
      </c>
      <c r="D955" t="s">
        <v>21</v>
      </c>
      <c r="F955" t="s">
        <v>2910</v>
      </c>
      <c r="G955" s="3">
        <v>8094084326</v>
      </c>
      <c r="H955" s="2">
        <v>46129</v>
      </c>
      <c r="K955" s="1">
        <f ca="1">IF(A955="","",IF(OR(L955="ENTREGADA",L955="RETORNADA",L955="ENTREGA DIGITAL"),0,MAX(0,5-NETWORKDAYS(H955+1,TODAY()))))</f>
        <v>0</v>
      </c>
      <c r="L955" t="str">
        <f>IF(A955="","",IFERROR(LOOKUP(2,1/(#REF!=Z955),#REF!),Y955))</f>
        <v>ENTREGADA</v>
      </c>
      <c r="Y955" t="s">
        <v>1956</v>
      </c>
      <c r="Z955" t="str">
        <f>IF(A955="","",TEXT(A955,"0")&amp;"|"&amp;TEXT(H955,"0"))</f>
        <v>4921017841594680|46129</v>
      </c>
      <c r="AA955" t="str">
        <f>IF(Z955="","",IFERROR(LOOKUP(2,1/(#REF!=Z955),#REF!),""))</f>
        <v/>
      </c>
      <c r="AB955" t="str">
        <f>IF(Z955="","",IFERROR(LOOKUP(2,1/(#REF!=Z955),#REF!),""))</f>
        <v/>
      </c>
      <c r="AC955" t="e">
        <f>IF(Z955="","",COUNTIF(#REF!,Z955))</f>
        <v>#REF!</v>
      </c>
      <c r="AD955" t="e">
        <f>IF(A955="","",IF(AC955&gt;1,"REVISAR DUPLICADO",IF(AA955&lt;&gt;"","ACTUALIZADO POR EYR","SIN REPORTE EYR")))</f>
        <v>#REF!</v>
      </c>
    </row>
    <row r="956" spans="1:30" x14ac:dyDescent="0.3">
      <c r="A956" s="5" t="s">
        <v>2909</v>
      </c>
      <c r="B956" t="s">
        <v>2908</v>
      </c>
      <c r="C956" s="4" t="s">
        <v>2907</v>
      </c>
      <c r="D956" t="s">
        <v>21</v>
      </c>
      <c r="F956" t="s">
        <v>13</v>
      </c>
      <c r="G956" s="3">
        <v>8298520839</v>
      </c>
      <c r="H956" s="2">
        <v>46129</v>
      </c>
      <c r="K956" s="1">
        <f ca="1">IF(A956="","",IF(OR(L956="ENTREGADA",L956="RETORNADA",L956="ENTREGA DIGITAL"),0,MAX(0,5-NETWORKDAYS(H956+1,TODAY()))))</f>
        <v>0</v>
      </c>
      <c r="L956" t="str">
        <f>IF(A956="","",IFERROR(LOOKUP(2,1/(#REF!=Z956),#REF!),Y956))</f>
        <v>ENTREGADA</v>
      </c>
      <c r="Y956" t="s">
        <v>1956</v>
      </c>
      <c r="Z956" t="str">
        <f>IF(A956="","",TEXT(A956,"0")&amp;"|"&amp;TEXT(H956,"0"))</f>
        <v>4921017843160260|46129</v>
      </c>
      <c r="AA956" t="str">
        <f>IF(Z956="","",IFERROR(LOOKUP(2,1/(#REF!=Z956),#REF!),""))</f>
        <v/>
      </c>
      <c r="AB956" t="str">
        <f>IF(Z956="","",IFERROR(LOOKUP(2,1/(#REF!=Z956),#REF!),""))</f>
        <v/>
      </c>
      <c r="AC956" t="e">
        <f>IF(Z956="","",COUNTIF(#REF!,Z956))</f>
        <v>#REF!</v>
      </c>
      <c r="AD956" t="e">
        <f>IF(A956="","",IF(AC956&gt;1,"REVISAR DUPLICADO",IF(AA956&lt;&gt;"","ACTUALIZADO POR EYR","SIN REPORTE EYR")))</f>
        <v>#REF!</v>
      </c>
    </row>
    <row r="957" spans="1:30" x14ac:dyDescent="0.3">
      <c r="A957" s="5" t="s">
        <v>2906</v>
      </c>
      <c r="B957" t="s">
        <v>2905</v>
      </c>
      <c r="C957" s="4" t="s">
        <v>2904</v>
      </c>
      <c r="D957" t="s">
        <v>21</v>
      </c>
      <c r="F957" t="s">
        <v>2903</v>
      </c>
      <c r="G957" s="3">
        <v>8095133058</v>
      </c>
      <c r="H957" s="2">
        <v>46129</v>
      </c>
      <c r="K957" s="1">
        <f ca="1">IF(A957="","",IF(OR(L957="ENTREGADA",L957="RETORNADA",L957="ENTREGA DIGITAL"),0,MAX(0,5-NETWORKDAYS(H957+1,TODAY()))))</f>
        <v>0</v>
      </c>
      <c r="L957" t="str">
        <f>IF(A957="","",IFERROR(LOOKUP(2,1/(#REF!=Z957),#REF!),Y957))</f>
        <v>ENTREGADA</v>
      </c>
      <c r="Y957" t="s">
        <v>1956</v>
      </c>
      <c r="Z957" t="str">
        <f>IF(A957="","",TEXT(A957,"0")&amp;"|"&amp;TEXT(H957,"0"))</f>
        <v>4921017845651290|46129</v>
      </c>
      <c r="AA957" t="str">
        <f>IF(Z957="","",IFERROR(LOOKUP(2,1/(#REF!=Z957),#REF!),""))</f>
        <v/>
      </c>
      <c r="AB957" t="str">
        <f>IF(Z957="","",IFERROR(LOOKUP(2,1/(#REF!=Z957),#REF!),""))</f>
        <v/>
      </c>
      <c r="AC957" t="e">
        <f>IF(Z957="","",COUNTIF(#REF!,Z957))</f>
        <v>#REF!</v>
      </c>
      <c r="AD957" t="e">
        <f>IF(A957="","",IF(AC957&gt;1,"REVISAR DUPLICADO",IF(AA957&lt;&gt;"","ACTUALIZADO POR EYR","SIN REPORTE EYR")))</f>
        <v>#REF!</v>
      </c>
    </row>
    <row r="958" spans="1:30" x14ac:dyDescent="0.3">
      <c r="A958" s="5" t="s">
        <v>2902</v>
      </c>
      <c r="B958" t="s">
        <v>2901</v>
      </c>
      <c r="C958" s="4" t="s">
        <v>2900</v>
      </c>
      <c r="D958" t="s">
        <v>21</v>
      </c>
      <c r="F958" t="s">
        <v>2899</v>
      </c>
      <c r="G958" s="3">
        <v>8097273249</v>
      </c>
      <c r="H958" s="2">
        <v>46129</v>
      </c>
      <c r="K958" s="1">
        <f ca="1">IF(A958="","",IF(OR(L958="ENTREGADA",L958="RETORNADA",L958="ENTREGA DIGITAL"),0,MAX(0,5-NETWORKDAYS(H958+1,TODAY()))))</f>
        <v>0</v>
      </c>
      <c r="L958">
        <f>IF(A958="","",IFERROR(LOOKUP(2,1/(#REF!=Z958),#REF!),Y958))</f>
        <v>0</v>
      </c>
      <c r="Z958" t="str">
        <f>IF(A958="","",TEXT(A958,"0")&amp;"|"&amp;TEXT(H958,"0"))</f>
        <v>4921017845891070|46129</v>
      </c>
      <c r="AA958" t="str">
        <f>IF(Z958="","",IFERROR(LOOKUP(2,1/(#REF!=Z958),#REF!),""))</f>
        <v/>
      </c>
      <c r="AB958" t="str">
        <f>IF(Z958="","",IFERROR(LOOKUP(2,1/(#REF!=Z958),#REF!),""))</f>
        <v/>
      </c>
      <c r="AC958" t="e">
        <f>IF(Z958="","",COUNTIF(#REF!,Z958))</f>
        <v>#REF!</v>
      </c>
      <c r="AD958" t="e">
        <f>IF(A958="","",IF(AC958&gt;1,"REVISAR DUPLICADO",IF(AA958&lt;&gt;"","ACTUALIZADO POR EYR","SIN REPORTE EYR")))</f>
        <v>#REF!</v>
      </c>
    </row>
    <row r="959" spans="1:30" x14ac:dyDescent="0.3">
      <c r="A959" s="5" t="s">
        <v>2898</v>
      </c>
      <c r="B959" t="s">
        <v>2897</v>
      </c>
      <c r="C959" s="4" t="s">
        <v>2896</v>
      </c>
      <c r="D959" t="s">
        <v>21</v>
      </c>
      <c r="F959" t="s">
        <v>1510</v>
      </c>
      <c r="G959" s="3">
        <v>8295232867</v>
      </c>
      <c r="H959" s="2">
        <v>46129</v>
      </c>
      <c r="K959" s="1">
        <f ca="1">IF(A959="","",IF(OR(L959="ENTREGADA",L959="RETORNADA",L959="ENTREGA DIGITAL"),0,MAX(0,5-NETWORKDAYS(H959+1,TODAY()))))</f>
        <v>0</v>
      </c>
      <c r="L959" t="str">
        <f>IF(A959="","",IFERROR(LOOKUP(2,1/(#REF!=Z959),#REF!),Y959))</f>
        <v>ENTREGADA</v>
      </c>
      <c r="Y959" t="s">
        <v>1956</v>
      </c>
      <c r="Z959" t="str">
        <f>IF(A959="","",TEXT(A959,"0")&amp;"|"&amp;TEXT(H959,"0"))</f>
        <v>4921017845692110|46129</v>
      </c>
      <c r="AA959" t="str">
        <f>IF(Z959="","",IFERROR(LOOKUP(2,1/(#REF!=Z959),#REF!),""))</f>
        <v/>
      </c>
      <c r="AB959" t="str">
        <f>IF(Z959="","",IFERROR(LOOKUP(2,1/(#REF!=Z959),#REF!),""))</f>
        <v/>
      </c>
      <c r="AC959" t="e">
        <f>IF(Z959="","",COUNTIF(#REF!,Z959))</f>
        <v>#REF!</v>
      </c>
      <c r="AD959" t="e">
        <f>IF(A959="","",IF(AC959&gt;1,"REVISAR DUPLICADO",IF(AA959&lt;&gt;"","ACTUALIZADO POR EYR","SIN REPORTE EYR")))</f>
        <v>#REF!</v>
      </c>
    </row>
    <row r="960" spans="1:30" x14ac:dyDescent="0.3">
      <c r="A960" s="5" t="s">
        <v>2895</v>
      </c>
      <c r="B960" t="s">
        <v>2894</v>
      </c>
      <c r="C960" s="4" t="s">
        <v>2893</v>
      </c>
      <c r="D960" t="s">
        <v>21</v>
      </c>
      <c r="F960" t="s">
        <v>13</v>
      </c>
      <c r="G960" s="3">
        <v>8293250909</v>
      </c>
      <c r="H960" s="2">
        <v>46129</v>
      </c>
      <c r="K960" s="1">
        <f ca="1">IF(A960="","",IF(OR(L960="ENTREGADA",L960="RETORNADA",L960="ENTREGA DIGITAL"),0,MAX(0,5-NETWORKDAYS(H960+1,TODAY()))))</f>
        <v>0</v>
      </c>
      <c r="L960" t="str">
        <f>IF(A960="","",IFERROR(LOOKUP(2,1/(#REF!=Z960),#REF!),Y960))</f>
        <v>RETORNADA</v>
      </c>
      <c r="Y960" t="s">
        <v>1857</v>
      </c>
      <c r="Z960" t="str">
        <f>IF(A960="","",TEXT(A960,"0")&amp;"|"&amp;TEXT(H960,"0"))</f>
        <v>4921017845749000|46129</v>
      </c>
      <c r="AA960" t="str">
        <f>IF(Z960="","",IFERROR(LOOKUP(2,1/(#REF!=Z960),#REF!),""))</f>
        <v/>
      </c>
      <c r="AB960" t="str">
        <f>IF(Z960="","",IFERROR(LOOKUP(2,1/(#REF!=Z960),#REF!),""))</f>
        <v/>
      </c>
      <c r="AC960" t="e">
        <f>IF(Z960="","",COUNTIF(#REF!,Z960))</f>
        <v>#REF!</v>
      </c>
      <c r="AD960" t="e">
        <f>IF(A960="","",IF(AC960&gt;1,"REVISAR DUPLICADO",IF(AA960&lt;&gt;"","ACTUALIZADO POR EYR","SIN REPORTE EYR")))</f>
        <v>#REF!</v>
      </c>
    </row>
    <row r="961" spans="1:30" x14ac:dyDescent="0.3">
      <c r="A961" s="5" t="s">
        <v>2892</v>
      </c>
      <c r="B961" t="s">
        <v>2891</v>
      </c>
      <c r="C961" s="4" t="s">
        <v>2890</v>
      </c>
      <c r="D961" t="s">
        <v>21</v>
      </c>
      <c r="F961" t="s">
        <v>2889</v>
      </c>
      <c r="G961" s="3">
        <v>8094566005</v>
      </c>
      <c r="H961" s="2">
        <v>46129</v>
      </c>
      <c r="K961" s="1">
        <f ca="1">IF(A961="","",IF(OR(L961="ENTREGADA",L961="RETORNADA",L961="ENTREGA DIGITAL"),0,MAX(0,5-NETWORKDAYS(H961+1,TODAY()))))</f>
        <v>0</v>
      </c>
      <c r="L961">
        <f>IF(A961="","",IFERROR(LOOKUP(2,1/(#REF!=Z961),#REF!),Y961))</f>
        <v>0</v>
      </c>
      <c r="Z961" t="str">
        <f>IF(A961="","",TEXT(A961,"0")&amp;"|"&amp;TEXT(H961,"0"))</f>
        <v>4921017845607150|46129</v>
      </c>
      <c r="AA961" t="str">
        <f>IF(Z961="","",IFERROR(LOOKUP(2,1/(#REF!=Z961),#REF!),""))</f>
        <v/>
      </c>
      <c r="AB961" t="str">
        <f>IF(Z961="","",IFERROR(LOOKUP(2,1/(#REF!=Z961),#REF!),""))</f>
        <v/>
      </c>
      <c r="AC961" t="e">
        <f>IF(Z961="","",COUNTIF(#REF!,Z961))</f>
        <v>#REF!</v>
      </c>
      <c r="AD961" t="e">
        <f>IF(A961="","",IF(AC961&gt;1,"REVISAR DUPLICADO",IF(AA961&lt;&gt;"","ACTUALIZADO POR EYR","SIN REPORTE EYR")))</f>
        <v>#REF!</v>
      </c>
    </row>
    <row r="962" spans="1:30" x14ac:dyDescent="0.3">
      <c r="A962" s="5" t="s">
        <v>2888</v>
      </c>
      <c r="B962" t="s">
        <v>2887</v>
      </c>
      <c r="C962" s="4" t="s">
        <v>2886</v>
      </c>
      <c r="D962" t="s">
        <v>21</v>
      </c>
      <c r="F962" t="s">
        <v>2885</v>
      </c>
      <c r="G962" s="3">
        <v>8494615914</v>
      </c>
      <c r="H962" s="2">
        <v>46129</v>
      </c>
      <c r="K962" s="1">
        <f ca="1">IF(A962="","",IF(OR(L962="ENTREGADA",L962="RETORNADA",L962="ENTREGA DIGITAL"),0,MAX(0,5-NETWORKDAYS(H962+1,TODAY()))))</f>
        <v>0</v>
      </c>
      <c r="L962">
        <f>IF(A962="","",IFERROR(LOOKUP(2,1/(#REF!=Z962),#REF!),Y962))</f>
        <v>0</v>
      </c>
      <c r="Z962" t="str">
        <f>IF(A962="","",TEXT(A962,"0")&amp;"|"&amp;TEXT(H962,"0"))</f>
        <v>4921017845714190|46129</v>
      </c>
      <c r="AA962" t="str">
        <f>IF(Z962="","",IFERROR(LOOKUP(2,1/(#REF!=Z962),#REF!),""))</f>
        <v/>
      </c>
      <c r="AB962" t="str">
        <f>IF(Z962="","",IFERROR(LOOKUP(2,1/(#REF!=Z962),#REF!),""))</f>
        <v/>
      </c>
      <c r="AC962" t="e">
        <f>IF(Z962="","",COUNTIF(#REF!,Z962))</f>
        <v>#REF!</v>
      </c>
      <c r="AD962" t="e">
        <f>IF(A962="","",IF(AC962&gt;1,"REVISAR DUPLICADO",IF(AA962&lt;&gt;"","ACTUALIZADO POR EYR","SIN REPORTE EYR")))</f>
        <v>#REF!</v>
      </c>
    </row>
    <row r="963" spans="1:30" x14ac:dyDescent="0.3">
      <c r="A963" s="5" t="s">
        <v>2884</v>
      </c>
      <c r="B963" t="s">
        <v>2883</v>
      </c>
      <c r="C963" s="4" t="s">
        <v>2882</v>
      </c>
      <c r="D963" t="s">
        <v>21</v>
      </c>
      <c r="F963" t="s">
        <v>13</v>
      </c>
      <c r="G963" s="3">
        <v>8297135613</v>
      </c>
      <c r="H963" s="2">
        <v>46129</v>
      </c>
      <c r="K963" s="1">
        <f ca="1">IF(A963="","",IF(OR(L963="ENTREGADA",L963="RETORNADA",L963="ENTREGA DIGITAL"),0,MAX(0,5-NETWORKDAYS(H963+1,TODAY()))))</f>
        <v>0</v>
      </c>
      <c r="L963" t="str">
        <f>IF(A963="","",IFERROR(LOOKUP(2,1/(#REF!=Z963),#REF!),Y963))</f>
        <v>ENTREGADA</v>
      </c>
      <c r="Y963" t="s">
        <v>1956</v>
      </c>
      <c r="Z963" t="str">
        <f>IF(A963="","",TEXT(A963,"0")&amp;"|"&amp;TEXT(H963,"0"))</f>
        <v>4921017841827500|46129</v>
      </c>
      <c r="AA963" t="str">
        <f>IF(Z963="","",IFERROR(LOOKUP(2,1/(#REF!=Z963),#REF!),""))</f>
        <v/>
      </c>
      <c r="AB963" t="str">
        <f>IF(Z963="","",IFERROR(LOOKUP(2,1/(#REF!=Z963),#REF!),""))</f>
        <v/>
      </c>
      <c r="AC963" t="e">
        <f>IF(Z963="","",COUNTIF(#REF!,Z963))</f>
        <v>#REF!</v>
      </c>
      <c r="AD963" t="e">
        <f>IF(A963="","",IF(AC963&gt;1,"REVISAR DUPLICADO",IF(AA963&lt;&gt;"","ACTUALIZADO POR EYR","SIN REPORTE EYR")))</f>
        <v>#REF!</v>
      </c>
    </row>
    <row r="964" spans="1:30" x14ac:dyDescent="0.3">
      <c r="A964" s="5" t="s">
        <v>2881</v>
      </c>
      <c r="B964" t="s">
        <v>2880</v>
      </c>
      <c r="C964" s="4" t="s">
        <v>2879</v>
      </c>
      <c r="D964" t="s">
        <v>21</v>
      </c>
      <c r="F964" t="s">
        <v>13</v>
      </c>
      <c r="G964" s="3">
        <v>8093316495</v>
      </c>
      <c r="H964" s="2">
        <v>46129</v>
      </c>
      <c r="K964" s="1">
        <f ca="1">IF(A964="","",IF(OR(L964="ENTREGADA",L964="RETORNADA",L964="ENTREGA DIGITAL"),0,MAX(0,5-NETWORKDAYS(H964+1,TODAY()))))</f>
        <v>0</v>
      </c>
      <c r="L964" t="str">
        <f>IF(A964="","",IFERROR(LOOKUP(2,1/(#REF!=Z964),#REF!),Y964))</f>
        <v>ENTREGA DIGITAL</v>
      </c>
      <c r="Y964" t="s">
        <v>1396</v>
      </c>
      <c r="Z964" t="str">
        <f>IF(A964="","",TEXT(A964,"0")&amp;"|"&amp;TEXT(H964,"0"))</f>
        <v>5192017840125780|46129</v>
      </c>
      <c r="AA964" t="str">
        <f>IF(Z964="","",IFERROR(LOOKUP(2,1/(#REF!=Z964),#REF!),""))</f>
        <v/>
      </c>
      <c r="AB964" t="str">
        <f>IF(Z964="","",IFERROR(LOOKUP(2,1/(#REF!=Z964),#REF!),""))</f>
        <v/>
      </c>
      <c r="AC964" t="e">
        <f>IF(Z964="","",COUNTIF(#REF!,Z964))</f>
        <v>#REF!</v>
      </c>
      <c r="AD964" t="e">
        <f>IF(A964="","",IF(AC964&gt;1,"REVISAR DUPLICADO",IF(AA964&lt;&gt;"","ACTUALIZADO POR EYR","SIN REPORTE EYR")))</f>
        <v>#REF!</v>
      </c>
    </row>
    <row r="965" spans="1:30" x14ac:dyDescent="0.3">
      <c r="A965" s="5" t="s">
        <v>2878</v>
      </c>
      <c r="B965" t="s">
        <v>2877</v>
      </c>
      <c r="C965" s="4" t="s">
        <v>2876</v>
      </c>
      <c r="D965" t="s">
        <v>21</v>
      </c>
      <c r="F965" t="s">
        <v>1247</v>
      </c>
      <c r="G965" s="3">
        <v>8099731211</v>
      </c>
      <c r="H965" s="2">
        <v>46129</v>
      </c>
      <c r="K965" s="1">
        <f ca="1">IF(A965="","",IF(OR(L965="ENTREGADA",L965="RETORNADA",L965="ENTREGA DIGITAL"),0,MAX(0,5-NETWORKDAYS(H965+1,TODAY()))))</f>
        <v>0</v>
      </c>
      <c r="L965" t="str">
        <f>IF(A965="","",IFERROR(LOOKUP(2,1/(#REF!=Z965),#REF!),Y965))</f>
        <v>ENTREGADA</v>
      </c>
      <c r="Y965" t="s">
        <v>1956</v>
      </c>
      <c r="Z965" t="str">
        <f>IF(A965="","",TEXT(A965,"0")&amp;"|"&amp;TEXT(H965,"0"))</f>
        <v>4025017847840640|46129</v>
      </c>
      <c r="AA965" t="str">
        <f>IF(Z965="","",IFERROR(LOOKUP(2,1/(#REF!=Z965),#REF!),""))</f>
        <v/>
      </c>
      <c r="AB965" t="str">
        <f>IF(Z965="","",IFERROR(LOOKUP(2,1/(#REF!=Z965),#REF!),""))</f>
        <v/>
      </c>
      <c r="AC965" t="e">
        <f>IF(Z965="","",COUNTIF(#REF!,Z965))</f>
        <v>#REF!</v>
      </c>
      <c r="AD965" t="e">
        <f>IF(A965="","",IF(AC965&gt;1,"REVISAR DUPLICADO",IF(AA965&lt;&gt;"","ACTUALIZADO POR EYR","SIN REPORTE EYR")))</f>
        <v>#REF!</v>
      </c>
    </row>
    <row r="966" spans="1:30" x14ac:dyDescent="0.3">
      <c r="A966" s="5" t="s">
        <v>2875</v>
      </c>
      <c r="B966" t="s">
        <v>2874</v>
      </c>
      <c r="C966" s="4" t="s">
        <v>2873</v>
      </c>
      <c r="D966" t="s">
        <v>21</v>
      </c>
      <c r="F966" t="s">
        <v>2872</v>
      </c>
      <c r="G966" s="3">
        <v>8296390450</v>
      </c>
      <c r="H966" s="2">
        <v>46129</v>
      </c>
      <c r="K966" s="1">
        <f ca="1">IF(A966="","",IF(OR(L966="ENTREGADA",L966="RETORNADA",L966="ENTREGA DIGITAL"),0,MAX(0,5-NETWORKDAYS(H966+1,TODAY()))))</f>
        <v>0</v>
      </c>
      <c r="L966" t="str">
        <f>IF(A966="","",IFERROR(LOOKUP(2,1/(#REF!=Z966),#REF!),Y966))</f>
        <v>ENTREGA DIGITAL</v>
      </c>
      <c r="Y966" t="s">
        <v>1396</v>
      </c>
      <c r="Z966" t="str">
        <f>IF(A966="","",TEXT(A966,"0")&amp;"|"&amp;TEXT(H966,"0"))</f>
        <v>5523017837937960|46129</v>
      </c>
      <c r="AA966" t="str">
        <f>IF(Z966="","",IFERROR(LOOKUP(2,1/(#REF!=Z966),#REF!),""))</f>
        <v/>
      </c>
      <c r="AB966" t="str">
        <f>IF(Z966="","",IFERROR(LOOKUP(2,1/(#REF!=Z966),#REF!),""))</f>
        <v/>
      </c>
      <c r="AC966" t="e">
        <f>IF(Z966="","",COUNTIF(#REF!,Z966))</f>
        <v>#REF!</v>
      </c>
      <c r="AD966" t="e">
        <f>IF(A966="","",IF(AC966&gt;1,"REVISAR DUPLICADO",IF(AA966&lt;&gt;"","ACTUALIZADO POR EYR","SIN REPORTE EYR")))</f>
        <v>#REF!</v>
      </c>
    </row>
    <row r="967" spans="1:30" x14ac:dyDescent="0.3">
      <c r="A967" s="5" t="s">
        <v>2871</v>
      </c>
      <c r="B967" t="s">
        <v>2870</v>
      </c>
      <c r="C967" s="4" t="s">
        <v>2869</v>
      </c>
      <c r="D967" t="s">
        <v>1</v>
      </c>
      <c r="F967" t="s">
        <v>13</v>
      </c>
      <c r="G967" s="3">
        <v>8296319279</v>
      </c>
      <c r="H967" s="2">
        <v>46129</v>
      </c>
      <c r="K967" s="1">
        <f ca="1">IF(A967="","",IF(OR(L967="ENTREGADA",L967="RETORNADA",L967="ENTREGA DIGITAL"),0,MAX(0,5-NETWORKDAYS(H967+1,TODAY()))))</f>
        <v>0</v>
      </c>
      <c r="L967" t="str">
        <f>IF(A967="","",IFERROR(LOOKUP(2,1/(#REF!=Z967),#REF!),Y967))</f>
        <v>ENTREGADA</v>
      </c>
      <c r="Y967" t="s">
        <v>1956</v>
      </c>
      <c r="Z967" t="str">
        <f>IF(A967="","",TEXT(A967,"0")&amp;"|"&amp;TEXT(H967,"0"))</f>
        <v>4921017847508210|46129</v>
      </c>
      <c r="AA967" t="str">
        <f>IF(Z967="","",IFERROR(LOOKUP(2,1/(#REF!=Z967),#REF!),""))</f>
        <v/>
      </c>
      <c r="AB967" t="str">
        <f>IF(Z967="","",IFERROR(LOOKUP(2,1/(#REF!=Z967),#REF!),""))</f>
        <v/>
      </c>
      <c r="AC967" t="e">
        <f>IF(Z967="","",COUNTIF(#REF!,Z967))</f>
        <v>#REF!</v>
      </c>
      <c r="AD967" t="e">
        <f>IF(A967="","",IF(AC967&gt;1,"REVISAR DUPLICADO",IF(AA967&lt;&gt;"","ACTUALIZADO POR EYR","SIN REPORTE EYR")))</f>
        <v>#REF!</v>
      </c>
    </row>
    <row r="968" spans="1:30" x14ac:dyDescent="0.3">
      <c r="A968" s="5" t="s">
        <v>2868</v>
      </c>
      <c r="B968" t="s">
        <v>2867</v>
      </c>
      <c r="C968" s="4" t="s">
        <v>2866</v>
      </c>
      <c r="D968" t="s">
        <v>1</v>
      </c>
      <c r="F968" t="s">
        <v>0</v>
      </c>
      <c r="G968" s="3">
        <v>8094539601</v>
      </c>
      <c r="H968" s="2">
        <v>46129</v>
      </c>
      <c r="I968" t="s">
        <v>1397</v>
      </c>
      <c r="K968" s="1">
        <f ca="1">IF(A968="","",IF(OR(L968="ENTREGADA",L968="RETORNADA",L968="ENTREGA DIGITAL"),0,MAX(0,5-NETWORKDAYS(H968+1,TODAY()))))</f>
        <v>0</v>
      </c>
      <c r="L968" t="str">
        <f>IF(A968="","",IFERROR(LOOKUP(2,1/(#REF!=Z968),#REF!),Y968))</f>
        <v>ENTREGADA</v>
      </c>
      <c r="Y968" t="s">
        <v>1956</v>
      </c>
      <c r="Z968" t="str">
        <f>IF(A968="","",TEXT(A968,"0")&amp;"|"&amp;TEXT(H968,"0"))</f>
        <v>4025017691106210|46129</v>
      </c>
      <c r="AA968" t="str">
        <f>IF(Z968="","",IFERROR(LOOKUP(2,1/(#REF!=Z968),#REF!),""))</f>
        <v/>
      </c>
      <c r="AB968" t="str">
        <f>IF(Z968="","",IFERROR(LOOKUP(2,1/(#REF!=Z968),#REF!),""))</f>
        <v/>
      </c>
      <c r="AC968" t="e">
        <f>IF(Z968="","",COUNTIF(#REF!,Z968))</f>
        <v>#REF!</v>
      </c>
      <c r="AD968" t="e">
        <f>IF(A968="","",IF(AC968&gt;1,"REVISAR DUPLICADO",IF(AA968&lt;&gt;"","ACTUALIZADO POR EYR","SIN REPORTE EYR")))</f>
        <v>#REF!</v>
      </c>
    </row>
    <row r="969" spans="1:30" x14ac:dyDescent="0.3">
      <c r="A969" s="5" t="s">
        <v>2865</v>
      </c>
      <c r="B969" t="s">
        <v>2864</v>
      </c>
      <c r="C969" s="4" t="s">
        <v>2863</v>
      </c>
      <c r="D969" t="s">
        <v>1</v>
      </c>
      <c r="F969" t="s">
        <v>0</v>
      </c>
      <c r="G969" s="3">
        <v>8292129137</v>
      </c>
      <c r="H969" s="2">
        <v>46129</v>
      </c>
      <c r="K969" s="1">
        <f ca="1">IF(A969="","",IF(OR(L969="ENTREGADA",L969="RETORNADA",L969="ENTREGA DIGITAL"),0,MAX(0,5-NETWORKDAYS(H969+1,TODAY()))))</f>
        <v>0</v>
      </c>
      <c r="L969" t="str">
        <f>IF(A969="","",IFERROR(LOOKUP(2,1/(#REF!=Z969),#REF!),Y969))</f>
        <v>ENTREGADA</v>
      </c>
      <c r="Y969" t="s">
        <v>1956</v>
      </c>
      <c r="Z969" t="str">
        <f>IF(A969="","",TEXT(A969,"0")&amp;"|"&amp;TEXT(H969,"0"))</f>
        <v>4921017772932720|46129</v>
      </c>
      <c r="AA969" t="str">
        <f>IF(Z969="","",IFERROR(LOOKUP(2,1/(#REF!=Z969),#REF!),""))</f>
        <v/>
      </c>
      <c r="AB969" t="str">
        <f>IF(Z969="","",IFERROR(LOOKUP(2,1/(#REF!=Z969),#REF!),""))</f>
        <v/>
      </c>
      <c r="AC969" t="e">
        <f>IF(Z969="","",COUNTIF(#REF!,Z969))</f>
        <v>#REF!</v>
      </c>
      <c r="AD969" t="e">
        <f>IF(A969="","",IF(AC969&gt;1,"REVISAR DUPLICADO",IF(AA969&lt;&gt;"","ACTUALIZADO POR EYR","SIN REPORTE EYR")))</f>
        <v>#REF!</v>
      </c>
    </row>
    <row r="970" spans="1:30" x14ac:dyDescent="0.3">
      <c r="A970" s="5" t="s">
        <v>2862</v>
      </c>
      <c r="B970" t="s">
        <v>2861</v>
      </c>
      <c r="C970" s="4" t="s">
        <v>2860</v>
      </c>
      <c r="D970" t="s">
        <v>1</v>
      </c>
      <c r="F970" t="s">
        <v>13</v>
      </c>
      <c r="G970" s="3">
        <v>8492203967</v>
      </c>
      <c r="H970" s="2">
        <v>46129</v>
      </c>
      <c r="K970" s="1">
        <f ca="1">IF(A970="","",IF(OR(L970="ENTREGADA",L970="RETORNADA",L970="ENTREGA DIGITAL"),0,MAX(0,5-NETWORKDAYS(H970+1,TODAY()))))</f>
        <v>0</v>
      </c>
      <c r="L970" t="str">
        <f>IF(A970="","",IFERROR(LOOKUP(2,1/(#REF!=Z970),#REF!),Y970))</f>
        <v>RETORNADA</v>
      </c>
      <c r="Y970" t="s">
        <v>1857</v>
      </c>
      <c r="Z970" t="str">
        <f>IF(A970="","",TEXT(A970,"0")&amp;"|"&amp;TEXT(H970,"0"))</f>
        <v>4921017841460550|46129</v>
      </c>
      <c r="AA970" t="str">
        <f>IF(Z970="","",IFERROR(LOOKUP(2,1/(#REF!=Z970),#REF!),""))</f>
        <v/>
      </c>
      <c r="AB970" t="str">
        <f>IF(Z970="","",IFERROR(LOOKUP(2,1/(#REF!=Z970),#REF!),""))</f>
        <v/>
      </c>
      <c r="AC970" t="e">
        <f>IF(Z970="","",COUNTIF(#REF!,Z970))</f>
        <v>#REF!</v>
      </c>
      <c r="AD970" t="e">
        <f>IF(A970="","",IF(AC970&gt;1,"REVISAR DUPLICADO",IF(AA970&lt;&gt;"","ACTUALIZADO POR EYR","SIN REPORTE EYR")))</f>
        <v>#REF!</v>
      </c>
    </row>
    <row r="971" spans="1:30" x14ac:dyDescent="0.3">
      <c r="A971" s="5" t="s">
        <v>2859</v>
      </c>
      <c r="B971" t="s">
        <v>2858</v>
      </c>
      <c r="C971" s="4" t="s">
        <v>2857</v>
      </c>
      <c r="D971" t="s">
        <v>1</v>
      </c>
      <c r="F971" t="s">
        <v>2856</v>
      </c>
      <c r="G971" s="3">
        <v>8292659247</v>
      </c>
      <c r="H971" s="2">
        <v>46129</v>
      </c>
      <c r="K971" s="1">
        <f ca="1">IF(A971="","",IF(OR(L971="ENTREGADA",L971="RETORNADA",L971="ENTREGA DIGITAL"),0,MAX(0,5-NETWORKDAYS(H971+1,TODAY()))))</f>
        <v>0</v>
      </c>
      <c r="L971" t="str">
        <f>IF(A971="","",IFERROR(LOOKUP(2,1/(#REF!=Z971),#REF!),Y971))</f>
        <v>ENTREGADA</v>
      </c>
      <c r="Y971" t="s">
        <v>1956</v>
      </c>
      <c r="Z971" t="str">
        <f>IF(A971="","",TEXT(A971,"0")&amp;"|"&amp;TEXT(H971,"0"))</f>
        <v>4921017772831450|46129</v>
      </c>
      <c r="AA971" t="str">
        <f>IF(Z971="","",IFERROR(LOOKUP(2,1/(#REF!=Z971),#REF!),""))</f>
        <v/>
      </c>
      <c r="AB971" t="str">
        <f>IF(Z971="","",IFERROR(LOOKUP(2,1/(#REF!=Z971),#REF!),""))</f>
        <v/>
      </c>
      <c r="AC971" t="e">
        <f>IF(Z971="","",COUNTIF(#REF!,Z971))</f>
        <v>#REF!</v>
      </c>
      <c r="AD971" t="e">
        <f>IF(A971="","",IF(AC971&gt;1,"REVISAR DUPLICADO",IF(AA971&lt;&gt;"","ACTUALIZADO POR EYR","SIN REPORTE EYR")))</f>
        <v>#REF!</v>
      </c>
    </row>
    <row r="972" spans="1:30" x14ac:dyDescent="0.3">
      <c r="A972" s="5" t="s">
        <v>2855</v>
      </c>
      <c r="B972" t="s">
        <v>2854</v>
      </c>
      <c r="C972" s="4" t="s">
        <v>2853</v>
      </c>
      <c r="D972" t="s">
        <v>1</v>
      </c>
      <c r="F972" t="s">
        <v>9</v>
      </c>
      <c r="G972" s="3">
        <v>8299647065</v>
      </c>
      <c r="H972" s="2">
        <v>46129</v>
      </c>
      <c r="K972" s="1">
        <f ca="1">IF(A972="","",IF(OR(L972="ENTREGADA",L972="RETORNADA",L972="ENTREGA DIGITAL"),0,MAX(0,5-NETWORKDAYS(H972+1,TODAY()))))</f>
        <v>0</v>
      </c>
      <c r="L972" t="str">
        <f>IF(A972="","",IFERROR(LOOKUP(2,1/(#REF!=Z972),#REF!),Y972))</f>
        <v>ENTREGADA</v>
      </c>
      <c r="Y972" t="s">
        <v>1956</v>
      </c>
      <c r="Z972" t="str">
        <f>IF(A972="","",TEXT(A972,"0")&amp;"|"&amp;TEXT(H972,"0"))</f>
        <v>4921017841904930|46129</v>
      </c>
      <c r="AA972" t="str">
        <f>IF(Z972="","",IFERROR(LOOKUP(2,1/(#REF!=Z972),#REF!),""))</f>
        <v/>
      </c>
      <c r="AB972" t="str">
        <f>IF(Z972="","",IFERROR(LOOKUP(2,1/(#REF!=Z972),#REF!),""))</f>
        <v/>
      </c>
      <c r="AC972" t="e">
        <f>IF(Z972="","",COUNTIF(#REF!,Z972))</f>
        <v>#REF!</v>
      </c>
      <c r="AD972" t="e">
        <f>IF(A972="","",IF(AC972&gt;1,"REVISAR DUPLICADO",IF(AA972&lt;&gt;"","ACTUALIZADO POR EYR","SIN REPORTE EYR")))</f>
        <v>#REF!</v>
      </c>
    </row>
    <row r="973" spans="1:30" x14ac:dyDescent="0.3">
      <c r="A973" s="5" t="s">
        <v>2852</v>
      </c>
      <c r="B973" t="s">
        <v>2851</v>
      </c>
      <c r="C973" s="4" t="s">
        <v>2850</v>
      </c>
      <c r="D973" t="s">
        <v>1</v>
      </c>
      <c r="E973" t="s">
        <v>214</v>
      </c>
      <c r="F973" t="s">
        <v>2667</v>
      </c>
      <c r="G973" s="3">
        <v>8094787719</v>
      </c>
      <c r="H973" s="2">
        <v>46129</v>
      </c>
      <c r="K973" s="1">
        <f ca="1">IF(A973="","",IF(OR(L973="ENTREGADA",L973="RETORNADA",L973="ENTREGA DIGITAL"),0,MAX(0,5-NETWORKDAYS(H973+1,TODAY()))))</f>
        <v>0</v>
      </c>
      <c r="L973" t="str">
        <f>IF(A973="","",IFERROR(LOOKUP(2,1/(#REF!=Z973),#REF!),Y973))</f>
        <v>ENTREGADA</v>
      </c>
      <c r="Y973" t="s">
        <v>1956</v>
      </c>
      <c r="Z973" t="str">
        <f>IF(A973="","",TEXT(A973,"0")&amp;"|"&amp;TEXT(H973,"0"))</f>
        <v>4921017842229490|46129</v>
      </c>
      <c r="AA973" t="str">
        <f>IF(Z973="","",IFERROR(LOOKUP(2,1/(#REF!=Z973),#REF!),""))</f>
        <v/>
      </c>
      <c r="AB973" t="str">
        <f>IF(Z973="","",IFERROR(LOOKUP(2,1/(#REF!=Z973),#REF!),""))</f>
        <v/>
      </c>
      <c r="AC973" t="e">
        <f>IF(Z973="","",COUNTIF(#REF!,Z973))</f>
        <v>#REF!</v>
      </c>
      <c r="AD973" t="e">
        <f>IF(A973="","",IF(AC973&gt;1,"REVISAR DUPLICADO",IF(AA973&lt;&gt;"","ACTUALIZADO POR EYR","SIN REPORTE EYR")))</f>
        <v>#REF!</v>
      </c>
    </row>
    <row r="974" spans="1:30" x14ac:dyDescent="0.3">
      <c r="A974" s="5" t="s">
        <v>2849</v>
      </c>
      <c r="B974" t="s">
        <v>2848</v>
      </c>
      <c r="C974" s="4" t="s">
        <v>2847</v>
      </c>
      <c r="D974" t="s">
        <v>1</v>
      </c>
      <c r="F974" t="s">
        <v>0</v>
      </c>
      <c r="G974" s="3">
        <v>8492096049</v>
      </c>
      <c r="H974" s="2">
        <v>46129</v>
      </c>
      <c r="K974" s="1">
        <f ca="1">IF(A974="","",IF(OR(L974="ENTREGADA",L974="RETORNADA",L974="ENTREGA DIGITAL"),0,MAX(0,5-NETWORKDAYS(H974+1,TODAY()))))</f>
        <v>0</v>
      </c>
      <c r="L974" t="str">
        <f>IF(A974="","",IFERROR(LOOKUP(2,1/(#REF!=Z974),#REF!),Y974))</f>
        <v>RETORNADA</v>
      </c>
      <c r="Y974" t="s">
        <v>1857</v>
      </c>
      <c r="Z974" t="str">
        <f>IF(A974="","",TEXT(A974,"0")&amp;"|"&amp;TEXT(H974,"0"))</f>
        <v>5188017754714670|46129</v>
      </c>
      <c r="AA974" t="str">
        <f>IF(Z974="","",IFERROR(LOOKUP(2,1/(#REF!=Z974),#REF!),""))</f>
        <v/>
      </c>
      <c r="AB974" t="str">
        <f>IF(Z974="","",IFERROR(LOOKUP(2,1/(#REF!=Z974),#REF!),""))</f>
        <v/>
      </c>
      <c r="AC974" t="e">
        <f>IF(Z974="","",COUNTIF(#REF!,Z974))</f>
        <v>#REF!</v>
      </c>
      <c r="AD974" t="e">
        <f>IF(A974="","",IF(AC974&gt;1,"REVISAR DUPLICADO",IF(AA974&lt;&gt;"","ACTUALIZADO POR EYR","SIN REPORTE EYR")))</f>
        <v>#REF!</v>
      </c>
    </row>
    <row r="975" spans="1:30" x14ac:dyDescent="0.3">
      <c r="A975" s="5" t="s">
        <v>2846</v>
      </c>
      <c r="B975" t="s">
        <v>2845</v>
      </c>
      <c r="C975" s="4" t="s">
        <v>2844</v>
      </c>
      <c r="D975" t="s">
        <v>1</v>
      </c>
      <c r="F975" t="s">
        <v>13</v>
      </c>
      <c r="G975" s="3">
        <v>8092088614</v>
      </c>
      <c r="H975" s="2">
        <v>46129</v>
      </c>
      <c r="I975" t="s">
        <v>1397</v>
      </c>
      <c r="K975" s="1">
        <f ca="1">IF(A975="","",IF(OR(L975="ENTREGADA",L975="RETORNADA",L975="ENTREGA DIGITAL"),0,MAX(0,5-NETWORKDAYS(H975+1,TODAY()))))</f>
        <v>0</v>
      </c>
      <c r="L975" t="str">
        <f>IF(A975="","",IFERROR(LOOKUP(2,1/(#REF!=Z975),#REF!),Y975))</f>
        <v>ENTREGADA</v>
      </c>
      <c r="Y975" t="s">
        <v>1956</v>
      </c>
      <c r="Z975" t="str">
        <f>IF(A975="","",TEXT(A975,"0")&amp;"|"&amp;TEXT(H975,"0"))</f>
        <v>4025017847663870|46129</v>
      </c>
      <c r="AA975" t="str">
        <f>IF(Z975="","",IFERROR(LOOKUP(2,1/(#REF!=Z975),#REF!),""))</f>
        <v/>
      </c>
      <c r="AB975" t="str">
        <f>IF(Z975="","",IFERROR(LOOKUP(2,1/(#REF!=Z975),#REF!),""))</f>
        <v/>
      </c>
      <c r="AC975" t="e">
        <f>IF(Z975="","",COUNTIF(#REF!,Z975))</f>
        <v>#REF!</v>
      </c>
      <c r="AD975" t="e">
        <f>IF(A975="","",IF(AC975&gt;1,"REVISAR DUPLICADO",IF(AA975&lt;&gt;"","ACTUALIZADO POR EYR","SIN REPORTE EYR")))</f>
        <v>#REF!</v>
      </c>
    </row>
    <row r="976" spans="1:30" x14ac:dyDescent="0.3">
      <c r="A976" s="5" t="s">
        <v>2843</v>
      </c>
      <c r="B976" t="s">
        <v>2842</v>
      </c>
      <c r="C976" s="4" t="s">
        <v>2841</v>
      </c>
      <c r="D976" t="s">
        <v>1</v>
      </c>
      <c r="F976" t="s">
        <v>13</v>
      </c>
      <c r="G976" s="3">
        <v>8495912660</v>
      </c>
      <c r="H976" s="2">
        <v>46129</v>
      </c>
      <c r="K976" s="1">
        <f ca="1">IF(A976="","",IF(OR(L976="ENTREGADA",L976="RETORNADA",L976="ENTREGA DIGITAL"),0,MAX(0,5-NETWORKDAYS(H976+1,TODAY()))))</f>
        <v>0</v>
      </c>
      <c r="L976" t="str">
        <f>IF(A976="","",IFERROR(LOOKUP(2,1/(#REF!=Z976),#REF!),Y976))</f>
        <v>RETORNADA</v>
      </c>
      <c r="Y976" t="s">
        <v>1857</v>
      </c>
      <c r="Z976" t="str">
        <f>IF(A976="","",TEXT(A976,"0")&amp;"|"&amp;TEXT(H976,"0"))</f>
        <v>5549017839003980|46129</v>
      </c>
      <c r="AA976" t="str">
        <f>IF(Z976="","",IFERROR(LOOKUP(2,1/(#REF!=Z976),#REF!),""))</f>
        <v/>
      </c>
      <c r="AB976" t="str">
        <f>IF(Z976="","",IFERROR(LOOKUP(2,1/(#REF!=Z976),#REF!),""))</f>
        <v/>
      </c>
      <c r="AC976" t="e">
        <f>IF(Z976="","",COUNTIF(#REF!,Z976))</f>
        <v>#REF!</v>
      </c>
      <c r="AD976" t="e">
        <f>IF(A976="","",IF(AC976&gt;1,"REVISAR DUPLICADO",IF(AA976&lt;&gt;"","ACTUALIZADO POR EYR","SIN REPORTE EYR")))</f>
        <v>#REF!</v>
      </c>
    </row>
    <row r="977" spans="1:30" x14ac:dyDescent="0.3">
      <c r="A977" s="5" t="s">
        <v>2840</v>
      </c>
      <c r="B977" t="s">
        <v>2839</v>
      </c>
      <c r="C977" s="4" t="s">
        <v>2838</v>
      </c>
      <c r="D977" t="s">
        <v>1</v>
      </c>
      <c r="F977" t="s">
        <v>0</v>
      </c>
      <c r="G977" s="3">
        <v>8099317339</v>
      </c>
      <c r="H977" s="2">
        <v>46129</v>
      </c>
      <c r="K977" s="1">
        <f ca="1">IF(A977="","",IF(OR(L977="ENTREGADA",L977="RETORNADA",L977="ENTREGA DIGITAL"),0,MAX(0,5-NETWORKDAYS(H977+1,TODAY()))))</f>
        <v>0</v>
      </c>
      <c r="L977" t="str">
        <f>IF(A977="","",IFERROR(LOOKUP(2,1/(#REF!=Z977),#REF!),Y977))</f>
        <v>ENTREGA DIGITAL</v>
      </c>
      <c r="Y977" t="s">
        <v>1396</v>
      </c>
      <c r="Z977" t="str">
        <f>IF(A977="","",TEXT(A977,"0")&amp;"|"&amp;TEXT(H977,"0"))</f>
        <v>4173017848153720|46129</v>
      </c>
      <c r="AA977" t="str">
        <f>IF(Z977="","",IFERROR(LOOKUP(2,1/(#REF!=Z977),#REF!),""))</f>
        <v/>
      </c>
      <c r="AB977" t="str">
        <f>IF(Z977="","",IFERROR(LOOKUP(2,1/(#REF!=Z977),#REF!),""))</f>
        <v/>
      </c>
      <c r="AC977" t="e">
        <f>IF(Z977="","",COUNTIF(#REF!,Z977))</f>
        <v>#REF!</v>
      </c>
      <c r="AD977" t="e">
        <f>IF(A977="","",IF(AC977&gt;1,"REVISAR DUPLICADO",IF(AA977&lt;&gt;"","ACTUALIZADO POR EYR","SIN REPORTE EYR")))</f>
        <v>#REF!</v>
      </c>
    </row>
    <row r="978" spans="1:30" x14ac:dyDescent="0.3">
      <c r="A978" s="5" t="s">
        <v>2837</v>
      </c>
      <c r="B978" t="s">
        <v>2836</v>
      </c>
      <c r="C978" s="4" t="s">
        <v>2835</v>
      </c>
      <c r="D978" t="s">
        <v>1</v>
      </c>
      <c r="F978" t="s">
        <v>2834</v>
      </c>
      <c r="G978" s="3">
        <v>8095520545</v>
      </c>
      <c r="H978" s="2">
        <v>46129</v>
      </c>
      <c r="K978" s="1">
        <f ca="1">IF(A978="","",IF(OR(L978="ENTREGADA",L978="RETORNADA",L978="ENTREGA DIGITAL"),0,MAX(0,5-NETWORKDAYS(H978+1,TODAY()))))</f>
        <v>0</v>
      </c>
      <c r="L978" t="str">
        <f>IF(A978="","",IFERROR(LOOKUP(2,1/(#REF!=Z978),#REF!),Y978))</f>
        <v>ENTREGA DIGITAL</v>
      </c>
      <c r="Y978" t="s">
        <v>1396</v>
      </c>
      <c r="Z978" t="str">
        <f>IF(A978="","",TEXT(A978,"0")&amp;"|"&amp;TEXT(H978,"0"))</f>
        <v>5523017844621490|46129</v>
      </c>
      <c r="AA978" t="str">
        <f>IF(Z978="","",IFERROR(LOOKUP(2,1/(#REF!=Z978),#REF!),""))</f>
        <v/>
      </c>
      <c r="AB978" t="str">
        <f>IF(Z978="","",IFERROR(LOOKUP(2,1/(#REF!=Z978),#REF!),""))</f>
        <v/>
      </c>
      <c r="AC978" t="e">
        <f>IF(Z978="","",COUNTIF(#REF!,Z978))</f>
        <v>#REF!</v>
      </c>
      <c r="AD978" t="e">
        <f>IF(A978="","",IF(AC978&gt;1,"REVISAR DUPLICADO",IF(AA978&lt;&gt;"","ACTUALIZADO POR EYR","SIN REPORTE EYR")))</f>
        <v>#REF!</v>
      </c>
    </row>
    <row r="979" spans="1:30" x14ac:dyDescent="0.3">
      <c r="A979" s="5" t="s">
        <v>2833</v>
      </c>
      <c r="B979" t="s">
        <v>2832</v>
      </c>
      <c r="C979" s="4" t="s">
        <v>2831</v>
      </c>
      <c r="D979" t="s">
        <v>1</v>
      </c>
      <c r="F979" t="s">
        <v>13</v>
      </c>
      <c r="G979" s="3">
        <v>8298213423</v>
      </c>
      <c r="H979" s="2">
        <v>46129</v>
      </c>
      <c r="K979" s="1">
        <f ca="1">IF(A979="","",IF(OR(L979="ENTREGADA",L979="RETORNADA",L979="ENTREGA DIGITAL"),0,MAX(0,5-NETWORKDAYS(H979+1,TODAY()))))</f>
        <v>0</v>
      </c>
      <c r="L979" t="str">
        <f>IF(A979="","",IFERROR(LOOKUP(2,1/(#REF!=Z979),#REF!),Y979))</f>
        <v>RETORNADA</v>
      </c>
      <c r="Y979" t="s">
        <v>1857</v>
      </c>
      <c r="Z979" t="str">
        <f>IF(A979="","",TEXT(A979,"0")&amp;"|"&amp;TEXT(H979,"0"))</f>
        <v>5415017849199810|46129</v>
      </c>
      <c r="AA979" t="str">
        <f>IF(Z979="","",IFERROR(LOOKUP(2,1/(#REF!=Z979),#REF!),""))</f>
        <v/>
      </c>
      <c r="AB979" t="str">
        <f>IF(Z979="","",IFERROR(LOOKUP(2,1/(#REF!=Z979),#REF!),""))</f>
        <v/>
      </c>
      <c r="AC979" t="e">
        <f>IF(Z979="","",COUNTIF(#REF!,Z979))</f>
        <v>#REF!</v>
      </c>
      <c r="AD979" t="e">
        <f>IF(A979="","",IF(AC979&gt;1,"REVISAR DUPLICADO",IF(AA979&lt;&gt;"","ACTUALIZADO POR EYR","SIN REPORTE EYR")))</f>
        <v>#REF!</v>
      </c>
    </row>
    <row r="980" spans="1:30" x14ac:dyDescent="0.3">
      <c r="A980" s="5" t="s">
        <v>2830</v>
      </c>
      <c r="B980" t="s">
        <v>2829</v>
      </c>
      <c r="C980" s="4" t="s">
        <v>2828</v>
      </c>
      <c r="D980" t="s">
        <v>77</v>
      </c>
      <c r="F980" t="s">
        <v>13</v>
      </c>
      <c r="G980" s="3">
        <v>8098147034</v>
      </c>
      <c r="H980" s="2">
        <v>46129</v>
      </c>
      <c r="I980" t="s">
        <v>1397</v>
      </c>
      <c r="K980" s="1">
        <f ca="1">IF(A980="","",IF(OR(L980="ENTREGADA",L980="RETORNADA",L980="ENTREGA DIGITAL"),0,MAX(0,5-NETWORKDAYS(H980+1,TODAY()))))</f>
        <v>0</v>
      </c>
      <c r="L980" t="str">
        <f>IF(A980="","",IFERROR(LOOKUP(2,1/(#REF!=Z980),#REF!),Y980))</f>
        <v>ENTREGADA</v>
      </c>
      <c r="Y980" t="s">
        <v>1956</v>
      </c>
      <c r="Z980" t="str">
        <f>IF(A980="","",TEXT(A980,"0")&amp;"|"&amp;TEXT(H980,"0"))</f>
        <v>5415017849366390|46129</v>
      </c>
      <c r="AA980" t="str">
        <f>IF(Z980="","",IFERROR(LOOKUP(2,1/(#REF!=Z980),#REF!),""))</f>
        <v/>
      </c>
      <c r="AB980" t="str">
        <f>IF(Z980="","",IFERROR(LOOKUP(2,1/(#REF!=Z980),#REF!),""))</f>
        <v/>
      </c>
      <c r="AC980" t="e">
        <f>IF(Z980="","",COUNTIF(#REF!,Z980))</f>
        <v>#REF!</v>
      </c>
      <c r="AD980" t="e">
        <f>IF(A980="","",IF(AC980&gt;1,"REVISAR DUPLICADO",IF(AA980&lt;&gt;"","ACTUALIZADO POR EYR","SIN REPORTE EYR")))</f>
        <v>#REF!</v>
      </c>
    </row>
    <row r="981" spans="1:30" x14ac:dyDescent="0.3">
      <c r="A981" s="5" t="s">
        <v>2827</v>
      </c>
      <c r="B981" t="s">
        <v>2826</v>
      </c>
      <c r="C981" s="4" t="s">
        <v>2825</v>
      </c>
      <c r="D981" t="s">
        <v>77</v>
      </c>
      <c r="F981" t="s">
        <v>13</v>
      </c>
      <c r="G981" s="3">
        <v>8098851961</v>
      </c>
      <c r="H981" s="2">
        <v>46129</v>
      </c>
      <c r="K981" s="1">
        <f ca="1">IF(A981="","",IF(OR(L981="ENTREGADA",L981="RETORNADA",L981="ENTREGA DIGITAL"),0,MAX(0,5-NETWORKDAYS(H981+1,TODAY()))))</f>
        <v>0</v>
      </c>
      <c r="L981" t="str">
        <f>IF(A981="","",IFERROR(LOOKUP(2,1/(#REF!=Z981),#REF!),Y981))</f>
        <v>RETORNADA</v>
      </c>
      <c r="Y981" t="s">
        <v>1857</v>
      </c>
      <c r="Z981" t="str">
        <f>IF(A981="","",TEXT(A981,"0")&amp;"|"&amp;TEXT(H981,"0"))</f>
        <v>5415017848789340|46129</v>
      </c>
      <c r="AA981" t="str">
        <f>IF(Z981="","",IFERROR(LOOKUP(2,1/(#REF!=Z981),#REF!),""))</f>
        <v/>
      </c>
      <c r="AB981" t="str">
        <f>IF(Z981="","",IFERROR(LOOKUP(2,1/(#REF!=Z981),#REF!),""))</f>
        <v/>
      </c>
      <c r="AC981" t="e">
        <f>IF(Z981="","",COUNTIF(#REF!,Z981))</f>
        <v>#REF!</v>
      </c>
      <c r="AD981" t="e">
        <f>IF(A981="","",IF(AC981&gt;1,"REVISAR DUPLICADO",IF(AA981&lt;&gt;"","ACTUALIZADO POR EYR","SIN REPORTE EYR")))</f>
        <v>#REF!</v>
      </c>
    </row>
    <row r="982" spans="1:30" x14ac:dyDescent="0.3">
      <c r="A982" s="5" t="s">
        <v>2824</v>
      </c>
      <c r="B982" t="s">
        <v>2823</v>
      </c>
      <c r="C982" s="4" t="s">
        <v>2822</v>
      </c>
      <c r="D982" t="s">
        <v>77</v>
      </c>
      <c r="F982" t="s">
        <v>13</v>
      </c>
      <c r="G982" s="3">
        <v>8292127291</v>
      </c>
      <c r="H982" s="2">
        <v>46129</v>
      </c>
      <c r="I982" t="s">
        <v>1397</v>
      </c>
      <c r="K982" s="1">
        <f ca="1">IF(A982="","",IF(OR(L982="ENTREGADA",L982="RETORNADA",L982="ENTREGA DIGITAL"),0,MAX(0,5-NETWORKDAYS(H982+1,TODAY()))))</f>
        <v>0</v>
      </c>
      <c r="L982" t="str">
        <f>IF(A982="","",IFERROR(LOOKUP(2,1/(#REF!=Z982),#REF!),Y982))</f>
        <v>ENTREGADA</v>
      </c>
      <c r="Y982" t="s">
        <v>1956</v>
      </c>
      <c r="Z982" t="str">
        <f>IF(A982="","",TEXT(A982,"0")&amp;"|"&amp;TEXT(H982,"0"))</f>
        <v>5188017850286370|46129</v>
      </c>
      <c r="AA982" t="str">
        <f>IF(Z982="","",IFERROR(LOOKUP(2,1/(#REF!=Z982),#REF!),""))</f>
        <v/>
      </c>
      <c r="AB982" t="str">
        <f>IF(Z982="","",IFERROR(LOOKUP(2,1/(#REF!=Z982),#REF!),""))</f>
        <v/>
      </c>
      <c r="AC982" t="e">
        <f>IF(Z982="","",COUNTIF(#REF!,Z982))</f>
        <v>#REF!</v>
      </c>
      <c r="AD982" t="e">
        <f>IF(A982="","",IF(AC982&gt;1,"REVISAR DUPLICADO",IF(AA982&lt;&gt;"","ACTUALIZADO POR EYR","SIN REPORTE EYR")))</f>
        <v>#REF!</v>
      </c>
    </row>
    <row r="983" spans="1:30" x14ac:dyDescent="0.3">
      <c r="A983" s="5" t="s">
        <v>2821</v>
      </c>
      <c r="B983" t="s">
        <v>2820</v>
      </c>
      <c r="C983" s="4" t="s">
        <v>2819</v>
      </c>
      <c r="D983" t="s">
        <v>77</v>
      </c>
      <c r="F983" t="s">
        <v>13</v>
      </c>
      <c r="G983" s="3">
        <v>8096299201</v>
      </c>
      <c r="H983" s="2">
        <v>46129</v>
      </c>
      <c r="I983" t="s">
        <v>1397</v>
      </c>
      <c r="K983" s="1">
        <f ca="1">IF(A983="","",IF(OR(L983="ENTREGADA",L983="RETORNADA",L983="ENTREGA DIGITAL"),0,MAX(0,5-NETWORKDAYS(H983+1,TODAY()))))</f>
        <v>0</v>
      </c>
      <c r="L983" t="str">
        <f>IF(A983="","",IFERROR(LOOKUP(2,1/(#REF!=Z983),#REF!),Y983))</f>
        <v>ENTREGADA</v>
      </c>
      <c r="Y983" t="s">
        <v>1956</v>
      </c>
      <c r="Z983" t="str">
        <f>IF(A983="","",TEXT(A983,"0")&amp;"|"&amp;TEXT(H983,"0"))</f>
        <v>5188017850207610|46129</v>
      </c>
      <c r="AA983" t="str">
        <f>IF(Z983="","",IFERROR(LOOKUP(2,1/(#REF!=Z983),#REF!),""))</f>
        <v/>
      </c>
      <c r="AB983" t="str">
        <f>IF(Z983="","",IFERROR(LOOKUP(2,1/(#REF!=Z983),#REF!),""))</f>
        <v/>
      </c>
      <c r="AC983" t="e">
        <f>IF(Z983="","",COUNTIF(#REF!,Z983))</f>
        <v>#REF!</v>
      </c>
      <c r="AD983" t="e">
        <f>IF(A983="","",IF(AC983&gt;1,"REVISAR DUPLICADO",IF(AA983&lt;&gt;"","ACTUALIZADO POR EYR","SIN REPORTE EYR")))</f>
        <v>#REF!</v>
      </c>
    </row>
    <row r="984" spans="1:30" x14ac:dyDescent="0.3">
      <c r="A984" s="5" t="s">
        <v>2818</v>
      </c>
      <c r="B984" t="s">
        <v>2817</v>
      </c>
      <c r="C984" s="4" t="s">
        <v>2816</v>
      </c>
      <c r="D984" t="s">
        <v>77</v>
      </c>
      <c r="E984" t="s">
        <v>214</v>
      </c>
      <c r="F984" t="s">
        <v>391</v>
      </c>
      <c r="G984" s="3">
        <v>8098853711</v>
      </c>
      <c r="H984" s="2">
        <v>46129</v>
      </c>
      <c r="I984" t="s">
        <v>1397</v>
      </c>
      <c r="K984" s="1">
        <f ca="1">IF(A984="","",IF(OR(L984="ENTREGADA",L984="RETORNADA",L984="ENTREGA DIGITAL"),0,MAX(0,5-NETWORKDAYS(H984+1,TODAY()))))</f>
        <v>0</v>
      </c>
      <c r="L984" t="str">
        <f>IF(A984="","",IFERROR(LOOKUP(2,1/(#REF!=Z984),#REF!),Y984))</f>
        <v>ENTREGADA</v>
      </c>
      <c r="Y984" t="s">
        <v>1956</v>
      </c>
      <c r="Z984" t="str">
        <f>IF(A984="","",TEXT(A984,"0")&amp;"|"&amp;TEXT(H984,"0"))</f>
        <v>5227017849682050|46129</v>
      </c>
      <c r="AA984" t="str">
        <f>IF(Z984="","",IFERROR(LOOKUP(2,1/(#REF!=Z984),#REF!),""))</f>
        <v/>
      </c>
      <c r="AB984" t="str">
        <f>IF(Z984="","",IFERROR(LOOKUP(2,1/(#REF!=Z984),#REF!),""))</f>
        <v/>
      </c>
      <c r="AC984" t="e">
        <f>IF(Z984="","",COUNTIF(#REF!,Z984))</f>
        <v>#REF!</v>
      </c>
      <c r="AD984" t="e">
        <f>IF(A984="","",IF(AC984&gt;1,"REVISAR DUPLICADO",IF(AA984&lt;&gt;"","ACTUALIZADO POR EYR","SIN REPORTE EYR")))</f>
        <v>#REF!</v>
      </c>
    </row>
    <row r="985" spans="1:30" x14ac:dyDescent="0.3">
      <c r="A985" s="5" t="s">
        <v>2815</v>
      </c>
      <c r="B985" t="s">
        <v>2814</v>
      </c>
      <c r="C985" s="4" t="s">
        <v>2813</v>
      </c>
      <c r="D985" t="s">
        <v>77</v>
      </c>
      <c r="F985" t="s">
        <v>13</v>
      </c>
      <c r="G985" s="3">
        <v>8095207642</v>
      </c>
      <c r="H985" s="2">
        <v>46129</v>
      </c>
      <c r="K985" s="1">
        <f ca="1">IF(A985="","",IF(OR(L985="ENTREGADA",L985="RETORNADA",L985="ENTREGA DIGITAL"),0,MAX(0,5-NETWORKDAYS(H985+1,TODAY()))))</f>
        <v>0</v>
      </c>
      <c r="L985" t="str">
        <f>IF(A985="","",IFERROR(LOOKUP(2,1/(#REF!=Z985),#REF!),Y985))</f>
        <v>ENTREGADA</v>
      </c>
      <c r="Y985" t="s">
        <v>1956</v>
      </c>
      <c r="Z985" t="str">
        <f>IF(A985="","",TEXT(A985,"0")&amp;"|"&amp;TEXT(H985,"0"))</f>
        <v>5188017850271830|46129</v>
      </c>
      <c r="AA985" t="str">
        <f>IF(Z985="","",IFERROR(LOOKUP(2,1/(#REF!=Z985),#REF!),""))</f>
        <v/>
      </c>
      <c r="AB985" t="str">
        <f>IF(Z985="","",IFERROR(LOOKUP(2,1/(#REF!=Z985),#REF!),""))</f>
        <v/>
      </c>
      <c r="AC985" t="e">
        <f>IF(Z985="","",COUNTIF(#REF!,Z985))</f>
        <v>#REF!</v>
      </c>
      <c r="AD985" t="e">
        <f>IF(A985="","",IF(AC985&gt;1,"REVISAR DUPLICADO",IF(AA985&lt;&gt;"","ACTUALIZADO POR EYR","SIN REPORTE EYR")))</f>
        <v>#REF!</v>
      </c>
    </row>
    <row r="986" spans="1:30" x14ac:dyDescent="0.3">
      <c r="A986" s="5" t="s">
        <v>2812</v>
      </c>
      <c r="B986" t="s">
        <v>2811</v>
      </c>
      <c r="C986" s="4" t="s">
        <v>2810</v>
      </c>
      <c r="D986" t="s">
        <v>77</v>
      </c>
      <c r="F986" t="s">
        <v>13</v>
      </c>
      <c r="G986" s="3">
        <v>8494614581</v>
      </c>
      <c r="H986" s="2">
        <v>46129</v>
      </c>
      <c r="K986" s="1">
        <f ca="1">IF(A986="","",IF(OR(L986="ENTREGADA",L986="RETORNADA",L986="ENTREGA DIGITAL"),0,MAX(0,5-NETWORKDAYS(H986+1,TODAY()))))</f>
        <v>0</v>
      </c>
      <c r="L986" t="str">
        <f>IF(A986="","",IFERROR(LOOKUP(2,1/(#REF!=Z986),#REF!),Y986))</f>
        <v>ENTREGADA</v>
      </c>
      <c r="Y986" t="s">
        <v>1956</v>
      </c>
      <c r="Z986" t="str">
        <f>IF(A986="","",TEXT(A986,"0")&amp;"|"&amp;TEXT(H986,"0"))</f>
        <v>5415017849357580|46129</v>
      </c>
      <c r="AA986" t="str">
        <f>IF(Z986="","",IFERROR(LOOKUP(2,1/(#REF!=Z986),#REF!),""))</f>
        <v/>
      </c>
      <c r="AB986" t="str">
        <f>IF(Z986="","",IFERROR(LOOKUP(2,1/(#REF!=Z986),#REF!),""))</f>
        <v/>
      </c>
      <c r="AC986" t="e">
        <f>IF(Z986="","",COUNTIF(#REF!,Z986))</f>
        <v>#REF!</v>
      </c>
      <c r="AD986" t="e">
        <f>IF(A986="","",IF(AC986&gt;1,"REVISAR DUPLICADO",IF(AA986&lt;&gt;"","ACTUALIZADO POR EYR","SIN REPORTE EYR")))</f>
        <v>#REF!</v>
      </c>
    </row>
    <row r="987" spans="1:30" x14ac:dyDescent="0.3">
      <c r="A987" s="5" t="s">
        <v>2809</v>
      </c>
      <c r="B987" t="s">
        <v>2808</v>
      </c>
      <c r="C987" s="4" t="s">
        <v>2807</v>
      </c>
      <c r="D987" t="s">
        <v>77</v>
      </c>
      <c r="F987" t="s">
        <v>13</v>
      </c>
      <c r="G987" s="3">
        <v>8093987572</v>
      </c>
      <c r="H987" s="2">
        <v>46129</v>
      </c>
      <c r="I987" t="s">
        <v>1397</v>
      </c>
      <c r="K987" s="1">
        <f ca="1">IF(A987="","",IF(OR(L987="ENTREGADA",L987="RETORNADA",L987="ENTREGA DIGITAL"),0,MAX(0,5-NETWORKDAYS(H987+1,TODAY()))))</f>
        <v>0</v>
      </c>
      <c r="L987" t="str">
        <f>IF(A987="","",IFERROR(LOOKUP(2,1/(#REF!=Z987),#REF!),Y987))</f>
        <v>ENTREGADA</v>
      </c>
      <c r="Y987" t="s">
        <v>1956</v>
      </c>
      <c r="Z987" t="str">
        <f>IF(A987="","",TEXT(A987,"0")&amp;"|"&amp;TEXT(H987,"0"))</f>
        <v>5415017849341450|46129</v>
      </c>
      <c r="AA987" t="str">
        <f>IF(Z987="","",IFERROR(LOOKUP(2,1/(#REF!=Z987),#REF!),""))</f>
        <v/>
      </c>
      <c r="AB987" t="str">
        <f>IF(Z987="","",IFERROR(LOOKUP(2,1/(#REF!=Z987),#REF!),""))</f>
        <v/>
      </c>
      <c r="AC987" t="e">
        <f>IF(Z987="","",COUNTIF(#REF!,Z987))</f>
        <v>#REF!</v>
      </c>
      <c r="AD987" t="e">
        <f>IF(A987="","",IF(AC987&gt;1,"REVISAR DUPLICADO",IF(AA987&lt;&gt;"","ACTUALIZADO POR EYR","SIN REPORTE EYR")))</f>
        <v>#REF!</v>
      </c>
    </row>
    <row r="988" spans="1:30" x14ac:dyDescent="0.3">
      <c r="A988" s="5" t="s">
        <v>352</v>
      </c>
      <c r="B988" t="s">
        <v>351</v>
      </c>
      <c r="C988" s="4" t="s">
        <v>350</v>
      </c>
      <c r="D988" t="s">
        <v>77</v>
      </c>
      <c r="E988" t="s">
        <v>214</v>
      </c>
      <c r="F988" t="s">
        <v>391</v>
      </c>
      <c r="G988" s="3">
        <v>8297836271</v>
      </c>
      <c r="H988" s="2">
        <v>46129</v>
      </c>
      <c r="K988" s="1">
        <f ca="1">IF(A988="","",IF(OR(L988="ENTREGADA",L988="RETORNADA",L988="ENTREGA DIGITAL"),0,MAX(0,5-NETWORKDAYS(H988+1,TODAY()))))</f>
        <v>0</v>
      </c>
      <c r="L988" t="str">
        <f>IF(A988="","",IFERROR(LOOKUP(2,1/(#REF!=Z988),#REF!),Y988))</f>
        <v>RETORNADA</v>
      </c>
      <c r="Y988" t="s">
        <v>1857</v>
      </c>
      <c r="Z988" t="str">
        <f>IF(A988="","",TEXT(A988,"0")&amp;"|"&amp;TEXT(H988,"0"))</f>
        <v>5188017848847480|46129</v>
      </c>
      <c r="AA988" t="str">
        <f>IF(Z988="","",IFERROR(LOOKUP(2,1/(#REF!=Z988),#REF!),""))</f>
        <v/>
      </c>
      <c r="AB988" t="str">
        <f>IF(Z988="","",IFERROR(LOOKUP(2,1/(#REF!=Z988),#REF!),""))</f>
        <v/>
      </c>
      <c r="AC988" t="e">
        <f>IF(Z988="","",COUNTIF(#REF!,Z988))</f>
        <v>#REF!</v>
      </c>
      <c r="AD988" t="e">
        <f>IF(A988="","",IF(AC988&gt;1,"REVISAR DUPLICADO",IF(AA988&lt;&gt;"","ACTUALIZADO POR EYR","SIN REPORTE EYR")))</f>
        <v>#REF!</v>
      </c>
    </row>
    <row r="989" spans="1:30" x14ac:dyDescent="0.3">
      <c r="A989" s="5" t="s">
        <v>2806</v>
      </c>
      <c r="B989" t="s">
        <v>2805</v>
      </c>
      <c r="C989" s="4" t="s">
        <v>2804</v>
      </c>
      <c r="D989" t="s">
        <v>77</v>
      </c>
      <c r="F989" t="s">
        <v>13</v>
      </c>
      <c r="G989" s="3">
        <v>8094069890</v>
      </c>
      <c r="H989" s="2">
        <v>46129</v>
      </c>
      <c r="I989" t="s">
        <v>1397</v>
      </c>
      <c r="K989" s="1">
        <f ca="1">IF(A989="","",IF(OR(L989="ENTREGADA",L989="RETORNADA",L989="ENTREGA DIGITAL"),0,MAX(0,5-NETWORKDAYS(H989+1,TODAY()))))</f>
        <v>0</v>
      </c>
      <c r="L989" t="str">
        <f>IF(A989="","",IFERROR(LOOKUP(2,1/(#REF!=Z989),#REF!),Y989))</f>
        <v>ENTREGADA</v>
      </c>
      <c r="Y989" t="s">
        <v>1956</v>
      </c>
      <c r="Z989" t="str">
        <f>IF(A989="","",TEXT(A989,"0")&amp;"|"&amp;TEXT(H989,"0"))</f>
        <v>4921017852373140|46129</v>
      </c>
      <c r="AA989" t="str">
        <f>IF(Z989="","",IFERROR(LOOKUP(2,1/(#REF!=Z989),#REF!),""))</f>
        <v/>
      </c>
      <c r="AB989" t="str">
        <f>IF(Z989="","",IFERROR(LOOKUP(2,1/(#REF!=Z989),#REF!),""))</f>
        <v/>
      </c>
      <c r="AC989" t="e">
        <f>IF(Z989="","",COUNTIF(#REF!,Z989))</f>
        <v>#REF!</v>
      </c>
      <c r="AD989" t="e">
        <f>IF(A989="","",IF(AC989&gt;1,"REVISAR DUPLICADO",IF(AA989&lt;&gt;"","ACTUALIZADO POR EYR","SIN REPORTE EYR")))</f>
        <v>#REF!</v>
      </c>
    </row>
    <row r="990" spans="1:30" x14ac:dyDescent="0.3">
      <c r="A990" s="5" t="s">
        <v>2803</v>
      </c>
      <c r="B990" t="s">
        <v>2802</v>
      </c>
      <c r="C990" s="4" t="s">
        <v>2801</v>
      </c>
      <c r="D990" t="s">
        <v>77</v>
      </c>
      <c r="F990" t="s">
        <v>13</v>
      </c>
      <c r="G990" s="3">
        <v>8097649642</v>
      </c>
      <c r="H990" s="2">
        <v>46129</v>
      </c>
      <c r="K990" s="1">
        <f ca="1">IF(A990="","",IF(OR(L990="ENTREGADA",L990="RETORNADA",L990="ENTREGA DIGITAL"),0,MAX(0,5-NETWORKDAYS(H990+1,TODAY()))))</f>
        <v>0</v>
      </c>
      <c r="L990" t="str">
        <f>IF(A990="","",IFERROR(LOOKUP(2,1/(#REF!=Z990),#REF!),Y990))</f>
        <v>RETORNADA</v>
      </c>
      <c r="Y990" t="s">
        <v>1857</v>
      </c>
      <c r="Z990" t="str">
        <f>IF(A990="","",TEXT(A990,"0")&amp;"|"&amp;TEXT(H990,"0"))</f>
        <v>4921017852907110|46129</v>
      </c>
      <c r="AA990" t="str">
        <f>IF(Z990="","",IFERROR(LOOKUP(2,1/(#REF!=Z990),#REF!),""))</f>
        <v/>
      </c>
      <c r="AB990" t="str">
        <f>IF(Z990="","",IFERROR(LOOKUP(2,1/(#REF!=Z990),#REF!),""))</f>
        <v/>
      </c>
      <c r="AC990" t="e">
        <f>IF(Z990="","",COUNTIF(#REF!,Z990))</f>
        <v>#REF!</v>
      </c>
      <c r="AD990" t="e">
        <f>IF(A990="","",IF(AC990&gt;1,"REVISAR DUPLICADO",IF(AA990&lt;&gt;"","ACTUALIZADO POR EYR","SIN REPORTE EYR")))</f>
        <v>#REF!</v>
      </c>
    </row>
    <row r="991" spans="1:30" x14ac:dyDescent="0.3">
      <c r="A991" s="5" t="s">
        <v>2800</v>
      </c>
      <c r="B991" t="s">
        <v>2799</v>
      </c>
      <c r="C991" s="4" t="s">
        <v>2798</v>
      </c>
      <c r="D991" t="s">
        <v>77</v>
      </c>
      <c r="F991" t="s">
        <v>13</v>
      </c>
      <c r="G991" s="3">
        <v>8294605550</v>
      </c>
      <c r="H991" s="2">
        <v>46129</v>
      </c>
      <c r="I991" t="s">
        <v>1397</v>
      </c>
      <c r="K991" s="1">
        <f ca="1">IF(A991="","",IF(OR(L991="ENTREGADA",L991="RETORNADA",L991="ENTREGA DIGITAL"),0,MAX(0,5-NETWORKDAYS(H991+1,TODAY()))))</f>
        <v>0</v>
      </c>
      <c r="L991" t="str">
        <f>IF(A991="","",IFERROR(LOOKUP(2,1/(#REF!=Z991),#REF!),Y991))</f>
        <v>ENTREGA DIGITAL</v>
      </c>
      <c r="Y991" t="s">
        <v>1396</v>
      </c>
      <c r="Z991" t="str">
        <f>IF(A991="","",TEXT(A991,"0")&amp;"|"&amp;TEXT(H991,"0"))</f>
        <v>4921017852893330|46129</v>
      </c>
      <c r="AA991" t="str">
        <f>IF(Z991="","",IFERROR(LOOKUP(2,1/(#REF!=Z991),#REF!),""))</f>
        <v/>
      </c>
      <c r="AB991" t="str">
        <f>IF(Z991="","",IFERROR(LOOKUP(2,1/(#REF!=Z991),#REF!),""))</f>
        <v/>
      </c>
      <c r="AC991" t="e">
        <f>IF(Z991="","",COUNTIF(#REF!,Z991))</f>
        <v>#REF!</v>
      </c>
      <c r="AD991" t="e">
        <f>IF(A991="","",IF(AC991&gt;1,"REVISAR DUPLICADO",IF(AA991&lt;&gt;"","ACTUALIZADO POR EYR","SIN REPORTE EYR")))</f>
        <v>#REF!</v>
      </c>
    </row>
    <row r="992" spans="1:30" x14ac:dyDescent="0.3">
      <c r="A992" s="5" t="s">
        <v>2797</v>
      </c>
      <c r="B992" t="s">
        <v>2796</v>
      </c>
      <c r="C992" s="4" t="s">
        <v>2795</v>
      </c>
      <c r="D992" t="s">
        <v>77</v>
      </c>
      <c r="F992" t="s">
        <v>2794</v>
      </c>
      <c r="G992" s="3">
        <v>8494791712</v>
      </c>
      <c r="H992" s="2">
        <v>46129</v>
      </c>
      <c r="I992" t="s">
        <v>1397</v>
      </c>
      <c r="K992" s="1">
        <f ca="1">IF(A992="","",IF(OR(L992="ENTREGADA",L992="RETORNADA",L992="ENTREGA DIGITAL"),0,MAX(0,5-NETWORKDAYS(H992+1,TODAY()))))</f>
        <v>0</v>
      </c>
      <c r="L992" t="str">
        <f>IF(A992="","",IFERROR(LOOKUP(2,1/(#REF!=Z992),#REF!),Y992))</f>
        <v>ENTREGADA</v>
      </c>
      <c r="Y992" t="s">
        <v>1956</v>
      </c>
      <c r="Z992" t="str">
        <f>IF(A992="","",TEXT(A992,"0")&amp;"|"&amp;TEXT(H992,"0"))</f>
        <v>4025017853938220|46129</v>
      </c>
      <c r="AA992" t="str">
        <f>IF(Z992="","",IFERROR(LOOKUP(2,1/(#REF!=Z992),#REF!),""))</f>
        <v/>
      </c>
      <c r="AB992" t="str">
        <f>IF(Z992="","",IFERROR(LOOKUP(2,1/(#REF!=Z992),#REF!),""))</f>
        <v/>
      </c>
      <c r="AC992" t="e">
        <f>IF(Z992="","",COUNTIF(#REF!,Z992))</f>
        <v>#REF!</v>
      </c>
      <c r="AD992" t="e">
        <f>IF(A992="","",IF(AC992&gt;1,"REVISAR DUPLICADO",IF(AA992&lt;&gt;"","ACTUALIZADO POR EYR","SIN REPORTE EYR")))</f>
        <v>#REF!</v>
      </c>
    </row>
    <row r="993" spans="1:30" x14ac:dyDescent="0.3">
      <c r="A993" s="5" t="s">
        <v>670</v>
      </c>
      <c r="B993" t="s">
        <v>669</v>
      </c>
      <c r="C993" s="4" t="s">
        <v>668</v>
      </c>
      <c r="D993" t="s">
        <v>77</v>
      </c>
      <c r="F993" t="s">
        <v>2793</v>
      </c>
      <c r="G993" s="3">
        <v>8494068527</v>
      </c>
      <c r="H993" s="2">
        <v>46129</v>
      </c>
      <c r="K993" s="1">
        <f ca="1">IF(A993="","",IF(OR(L993="ENTREGADA",L993="RETORNADA",L993="ENTREGA DIGITAL"),0,MAX(0,5-NETWORKDAYS(H993+1,TODAY()))))</f>
        <v>0</v>
      </c>
      <c r="L993" t="str">
        <f>IF(A993="","",IFERROR(LOOKUP(2,1/(#REF!=Z993),#REF!),Y993))</f>
        <v>RETORNADA</v>
      </c>
      <c r="Y993" t="s">
        <v>1857</v>
      </c>
      <c r="Z993" t="str">
        <f>IF(A993="","",TEXT(A993,"0")&amp;"|"&amp;TEXT(H993,"0"))</f>
        <v>4921017851824990|46129</v>
      </c>
      <c r="AA993" t="str">
        <f>IF(Z993="","",IFERROR(LOOKUP(2,1/(#REF!=Z993),#REF!),""))</f>
        <v/>
      </c>
      <c r="AB993" t="str">
        <f>IF(Z993="","",IFERROR(LOOKUP(2,1/(#REF!=Z993),#REF!),""))</f>
        <v/>
      </c>
      <c r="AC993" t="e">
        <f>IF(Z993="","",COUNTIF(#REF!,Z993))</f>
        <v>#REF!</v>
      </c>
      <c r="AD993" t="e">
        <f>IF(A993="","",IF(AC993&gt;1,"REVISAR DUPLICADO",IF(AA993&lt;&gt;"","ACTUALIZADO POR EYR","SIN REPORTE EYR")))</f>
        <v>#REF!</v>
      </c>
    </row>
    <row r="994" spans="1:30" x14ac:dyDescent="0.3">
      <c r="A994" s="5" t="s">
        <v>2792</v>
      </c>
      <c r="B994" t="s">
        <v>2791</v>
      </c>
      <c r="C994" s="4" t="s">
        <v>2790</v>
      </c>
      <c r="D994" t="s">
        <v>77</v>
      </c>
      <c r="F994" t="s">
        <v>0</v>
      </c>
      <c r="G994" s="3">
        <v>8299653394</v>
      </c>
      <c r="H994" s="2">
        <v>46129</v>
      </c>
      <c r="I994" t="s">
        <v>1397</v>
      </c>
      <c r="K994" s="1">
        <f ca="1">IF(A994="","",IF(OR(L994="ENTREGADA",L994="RETORNADA",L994="ENTREGA DIGITAL"),0,MAX(0,5-NETWORKDAYS(H994+1,TODAY()))))</f>
        <v>0</v>
      </c>
      <c r="L994" t="str">
        <f>IF(A994="","",IFERROR(LOOKUP(2,1/(#REF!=Z994),#REF!),Y994))</f>
        <v>ENTREGADA</v>
      </c>
      <c r="Y994" t="s">
        <v>1956</v>
      </c>
      <c r="Z994" t="str">
        <f>IF(A994="","",TEXT(A994,"0")&amp;"|"&amp;TEXT(H994,"0"))</f>
        <v>4921017853260840|46129</v>
      </c>
      <c r="AA994" t="str">
        <f>IF(Z994="","",IFERROR(LOOKUP(2,1/(#REF!=Z994),#REF!),""))</f>
        <v/>
      </c>
      <c r="AB994" t="str">
        <f>IF(Z994="","",IFERROR(LOOKUP(2,1/(#REF!=Z994),#REF!),""))</f>
        <v/>
      </c>
      <c r="AC994" t="e">
        <f>IF(Z994="","",COUNTIF(#REF!,Z994))</f>
        <v>#REF!</v>
      </c>
      <c r="AD994" t="e">
        <f>IF(A994="","",IF(AC994&gt;1,"REVISAR DUPLICADO",IF(AA994&lt;&gt;"","ACTUALIZADO POR EYR","SIN REPORTE EYR")))</f>
        <v>#REF!</v>
      </c>
    </row>
    <row r="995" spans="1:30" x14ac:dyDescent="0.3">
      <c r="A995" s="5" t="s">
        <v>2789</v>
      </c>
      <c r="B995" t="s">
        <v>2788</v>
      </c>
      <c r="C995" s="4" t="s">
        <v>2787</v>
      </c>
      <c r="D995" t="s">
        <v>77</v>
      </c>
      <c r="F995" t="s">
        <v>2786</v>
      </c>
      <c r="G995" s="3">
        <v>8296328047</v>
      </c>
      <c r="H995" s="2">
        <v>46129</v>
      </c>
      <c r="K995" s="1">
        <f ca="1">IF(A995="","",IF(OR(L995="ENTREGADA",L995="RETORNADA",L995="ENTREGA DIGITAL"),0,MAX(0,5-NETWORKDAYS(H995+1,TODAY()))))</f>
        <v>0</v>
      </c>
      <c r="L995" t="str">
        <f>IF(A995="","",IFERROR(LOOKUP(2,1/(#REF!=Z995),#REF!),Y995))</f>
        <v>RETORNADA</v>
      </c>
      <c r="Y995" t="s">
        <v>1857</v>
      </c>
      <c r="Z995" t="str">
        <f>IF(A995="","",TEXT(A995,"0")&amp;"|"&amp;TEXT(H995,"0"))</f>
        <v>4921017852692670|46129</v>
      </c>
      <c r="AA995" t="str">
        <f>IF(Z995="","",IFERROR(LOOKUP(2,1/(#REF!=Z995),#REF!),""))</f>
        <v/>
      </c>
      <c r="AB995" t="str">
        <f>IF(Z995="","",IFERROR(LOOKUP(2,1/(#REF!=Z995),#REF!),""))</f>
        <v/>
      </c>
      <c r="AC995" t="e">
        <f>IF(Z995="","",COUNTIF(#REF!,Z995))</f>
        <v>#REF!</v>
      </c>
      <c r="AD995" t="e">
        <f>IF(A995="","",IF(AC995&gt;1,"REVISAR DUPLICADO",IF(AA995&lt;&gt;"","ACTUALIZADO POR EYR","SIN REPORTE EYR")))</f>
        <v>#REF!</v>
      </c>
    </row>
    <row r="996" spans="1:30" x14ac:dyDescent="0.3">
      <c r="A996" s="5" t="s">
        <v>2785</v>
      </c>
      <c r="B996" t="s">
        <v>2784</v>
      </c>
      <c r="C996" s="4" t="s">
        <v>2783</v>
      </c>
      <c r="D996" t="s">
        <v>21</v>
      </c>
      <c r="F996" t="s">
        <v>1002</v>
      </c>
      <c r="G996" s="3">
        <v>8095294768</v>
      </c>
      <c r="H996" s="2">
        <v>46129</v>
      </c>
      <c r="K996" s="1">
        <f ca="1">IF(A996="","",IF(OR(L996="ENTREGADA",L996="RETORNADA",L996="ENTREGA DIGITAL"),0,MAX(0,5-NETWORKDAYS(H996+1,TODAY()))))</f>
        <v>0</v>
      </c>
      <c r="L996">
        <f>IF(A996="","",IFERROR(LOOKUP(2,1/(#REF!=Z996),#REF!),Y996))</f>
        <v>0</v>
      </c>
      <c r="Z996" t="str">
        <f>IF(A996="","",TEXT(A996,"0")&amp;"|"&amp;TEXT(H996,"0"))</f>
        <v>4921017853324650|46129</v>
      </c>
      <c r="AA996" t="str">
        <f>IF(Z996="","",IFERROR(LOOKUP(2,1/(#REF!=Z996),#REF!),""))</f>
        <v/>
      </c>
      <c r="AB996" t="str">
        <f>IF(Z996="","",IFERROR(LOOKUP(2,1/(#REF!=Z996),#REF!),""))</f>
        <v/>
      </c>
      <c r="AC996" t="e">
        <f>IF(Z996="","",COUNTIF(#REF!,Z996))</f>
        <v>#REF!</v>
      </c>
      <c r="AD996" t="e">
        <f>IF(A996="","",IF(AC996&gt;1,"REVISAR DUPLICADO",IF(AA996&lt;&gt;"","ACTUALIZADO POR EYR","SIN REPORTE EYR")))</f>
        <v>#REF!</v>
      </c>
    </row>
    <row r="997" spans="1:30" x14ac:dyDescent="0.3">
      <c r="A997" s="5" t="s">
        <v>2782</v>
      </c>
      <c r="B997" t="s">
        <v>2781</v>
      </c>
      <c r="C997" s="4" t="s">
        <v>2780</v>
      </c>
      <c r="D997" t="s">
        <v>21</v>
      </c>
      <c r="F997" t="s">
        <v>2779</v>
      </c>
      <c r="G997" s="3">
        <v>8299574599</v>
      </c>
      <c r="H997" s="2">
        <v>46129</v>
      </c>
      <c r="K997" s="1">
        <f ca="1">IF(A997="","",IF(OR(L997="ENTREGADA",L997="RETORNADA",L997="ENTREGA DIGITAL"),0,MAX(0,5-NETWORKDAYS(H997+1,TODAY()))))</f>
        <v>0</v>
      </c>
      <c r="L997" t="str">
        <f>IF(A997="","",IFERROR(LOOKUP(2,1/(#REF!=Z997),#REF!),Y997))</f>
        <v>RETORNADA</v>
      </c>
      <c r="Y997" t="s">
        <v>1857</v>
      </c>
      <c r="Z997" t="str">
        <f>IF(A997="","",TEXT(A997,"0")&amp;"|"&amp;TEXT(H997,"0"))</f>
        <v>5415017848744630|46129</v>
      </c>
      <c r="AA997" t="str">
        <f>IF(Z997="","",IFERROR(LOOKUP(2,1/(#REF!=Z997),#REF!),""))</f>
        <v/>
      </c>
      <c r="AB997" t="str">
        <f>IF(Z997="","",IFERROR(LOOKUP(2,1/(#REF!=Z997),#REF!),""))</f>
        <v/>
      </c>
      <c r="AC997" t="e">
        <f>IF(Z997="","",COUNTIF(#REF!,Z997))</f>
        <v>#REF!</v>
      </c>
      <c r="AD997" t="e">
        <f>IF(A997="","",IF(AC997&gt;1,"REVISAR DUPLICADO",IF(AA997&lt;&gt;"","ACTUALIZADO POR EYR","SIN REPORTE EYR")))</f>
        <v>#REF!</v>
      </c>
    </row>
    <row r="998" spans="1:30" x14ac:dyDescent="0.3">
      <c r="A998" s="5" t="s">
        <v>2778</v>
      </c>
      <c r="B998" t="s">
        <v>2777</v>
      </c>
      <c r="C998" s="4" t="s">
        <v>2776</v>
      </c>
      <c r="D998" t="s">
        <v>21</v>
      </c>
      <c r="E998" t="s">
        <v>21</v>
      </c>
      <c r="F998" t="s">
        <v>62</v>
      </c>
      <c r="G998" s="3">
        <v>8296518819</v>
      </c>
      <c r="H998" s="2">
        <v>46129</v>
      </c>
      <c r="K998" s="1">
        <f ca="1">IF(A998="","",IF(OR(L998="ENTREGADA",L998="RETORNADA",L998="ENTREGA DIGITAL"),0,MAX(0,5-NETWORKDAYS(H998+1,TODAY()))))</f>
        <v>0</v>
      </c>
      <c r="L998">
        <f>IF(A998="","",IFERROR(LOOKUP(2,1/(#REF!=Z998),#REF!),Y998))</f>
        <v>0</v>
      </c>
      <c r="Z998" t="str">
        <f>IF(A998="","",TEXT(A998,"0")&amp;"|"&amp;TEXT(H998,"0"))</f>
        <v>5188017848999120|46129</v>
      </c>
      <c r="AA998" t="str">
        <f>IF(Z998="","",IFERROR(LOOKUP(2,1/(#REF!=Z998),#REF!),""))</f>
        <v/>
      </c>
      <c r="AB998" t="str">
        <f>IF(Z998="","",IFERROR(LOOKUP(2,1/(#REF!=Z998),#REF!),""))</f>
        <v/>
      </c>
      <c r="AC998" t="e">
        <f>IF(Z998="","",COUNTIF(#REF!,Z998))</f>
        <v>#REF!</v>
      </c>
      <c r="AD998" t="e">
        <f>IF(A998="","",IF(AC998&gt;1,"REVISAR DUPLICADO",IF(AA998&lt;&gt;"","ACTUALIZADO POR EYR","SIN REPORTE EYR")))</f>
        <v>#REF!</v>
      </c>
    </row>
    <row r="999" spans="1:30" x14ac:dyDescent="0.3">
      <c r="A999" s="5" t="s">
        <v>2775</v>
      </c>
      <c r="B999" t="s">
        <v>2774</v>
      </c>
      <c r="C999" s="4" t="s">
        <v>2773</v>
      </c>
      <c r="D999" t="s">
        <v>21</v>
      </c>
      <c r="F999" t="s">
        <v>157</v>
      </c>
      <c r="G999" s="3">
        <v>8098399785</v>
      </c>
      <c r="H999" s="2">
        <v>46129</v>
      </c>
      <c r="K999" s="1">
        <f ca="1">IF(A999="","",IF(OR(L999="ENTREGADA",L999="RETORNADA",L999="ENTREGA DIGITAL"),0,MAX(0,5-NETWORKDAYS(H999+1,TODAY()))))</f>
        <v>0</v>
      </c>
      <c r="L999" t="str">
        <f>IF(A999="","",IFERROR(LOOKUP(2,1/(#REF!=Z999),#REF!),Y999))</f>
        <v>ENTREGADA</v>
      </c>
      <c r="Y999" t="s">
        <v>1956</v>
      </c>
      <c r="Z999" t="str">
        <f>IF(A999="","",TEXT(A999,"0")&amp;"|"&amp;TEXT(H999,"0"))</f>
        <v>4921017853344430|46129</v>
      </c>
      <c r="AA999" t="str">
        <f>IF(Z999="","",IFERROR(LOOKUP(2,1/(#REF!=Z999),#REF!),""))</f>
        <v/>
      </c>
      <c r="AB999" t="str">
        <f>IF(Z999="","",IFERROR(LOOKUP(2,1/(#REF!=Z999),#REF!),""))</f>
        <v/>
      </c>
      <c r="AC999" t="e">
        <f>IF(Z999="","",COUNTIF(#REF!,Z999))</f>
        <v>#REF!</v>
      </c>
      <c r="AD999" t="e">
        <f>IF(A999="","",IF(AC999&gt;1,"REVISAR DUPLICADO",IF(AA999&lt;&gt;"","ACTUALIZADO POR EYR","SIN REPORTE EYR")))</f>
        <v>#REF!</v>
      </c>
    </row>
    <row r="1000" spans="1:30" x14ac:dyDescent="0.3">
      <c r="A1000" s="5" t="s">
        <v>2772</v>
      </c>
      <c r="B1000" t="s">
        <v>2771</v>
      </c>
      <c r="C1000" s="4" t="s">
        <v>2770</v>
      </c>
      <c r="D1000" t="s">
        <v>21</v>
      </c>
      <c r="F1000" t="s">
        <v>13</v>
      </c>
      <c r="G1000" s="3">
        <v>8098509212</v>
      </c>
      <c r="H1000" s="2">
        <v>46129</v>
      </c>
      <c r="I1000" t="s">
        <v>1397</v>
      </c>
      <c r="K1000" s="1">
        <f ca="1">IF(A1000="","",IF(OR(L1000="ENTREGADA",L1000="RETORNADA",L1000="ENTREGA DIGITAL"),0,MAX(0,5-NETWORKDAYS(H1000+1,TODAY()))))</f>
        <v>0</v>
      </c>
      <c r="L1000" t="str">
        <f>IF(A1000="","",IFERROR(LOOKUP(2,1/(#REF!=Z1000),#REF!),Y1000))</f>
        <v>ENTREGA DIGITAL</v>
      </c>
      <c r="Y1000" t="s">
        <v>1396</v>
      </c>
      <c r="Z1000" t="str">
        <f>IF(A1000="","",TEXT(A1000,"0")&amp;"|"&amp;TEXT(H1000,"0"))</f>
        <v>5400017849627530|46129</v>
      </c>
      <c r="AA1000" t="str">
        <f>IF(Z1000="","",IFERROR(LOOKUP(2,1/(#REF!=Z1000),#REF!),""))</f>
        <v/>
      </c>
      <c r="AB1000" t="str">
        <f>IF(Z1000="","",IFERROR(LOOKUP(2,1/(#REF!=Z1000),#REF!),""))</f>
        <v/>
      </c>
      <c r="AC1000" t="e">
        <f>IF(Z1000="","",COUNTIF(#REF!,Z1000))</f>
        <v>#REF!</v>
      </c>
      <c r="AD1000" t="e">
        <f>IF(A1000="","",IF(AC1000&gt;1,"REVISAR DUPLICADO",IF(AA1000&lt;&gt;"","ACTUALIZADO POR EYR","SIN REPORTE EYR")))</f>
        <v>#REF!</v>
      </c>
    </row>
    <row r="1001" spans="1:30" x14ac:dyDescent="0.3">
      <c r="A1001" s="5" t="s">
        <v>2769</v>
      </c>
      <c r="B1001" t="s">
        <v>2768</v>
      </c>
      <c r="C1001" s="4" t="s">
        <v>2767</v>
      </c>
      <c r="D1001" t="s">
        <v>21</v>
      </c>
      <c r="F1001" t="s">
        <v>2766</v>
      </c>
      <c r="G1001" s="3">
        <v>8295610182</v>
      </c>
      <c r="H1001" s="2">
        <v>46129</v>
      </c>
      <c r="K1001" s="1">
        <f ca="1">IF(A1001="","",IF(OR(L1001="ENTREGADA",L1001="RETORNADA",L1001="ENTREGA DIGITAL"),0,MAX(0,5-NETWORKDAYS(H1001+1,TODAY()))))</f>
        <v>0</v>
      </c>
      <c r="L1001" t="str">
        <f>IF(A1001="","",IFERROR(LOOKUP(2,1/(#REF!=Z1001),#REF!),Y1001))</f>
        <v>ENTREGADA</v>
      </c>
      <c r="Y1001" t="s">
        <v>1956</v>
      </c>
      <c r="Z1001" t="str">
        <f>IF(A1001="","",TEXT(A1001,"0")&amp;"|"&amp;TEXT(H1001,"0"))</f>
        <v>4921017852018440|46129</v>
      </c>
      <c r="AA1001" t="str">
        <f>IF(Z1001="","",IFERROR(LOOKUP(2,1/(#REF!=Z1001),#REF!),""))</f>
        <v/>
      </c>
      <c r="AB1001" t="str">
        <f>IF(Z1001="","",IFERROR(LOOKUP(2,1/(#REF!=Z1001),#REF!),""))</f>
        <v/>
      </c>
      <c r="AC1001" t="e">
        <f>IF(Z1001="","",COUNTIF(#REF!,Z1001))</f>
        <v>#REF!</v>
      </c>
      <c r="AD1001" t="e">
        <f>IF(A1001="","",IF(AC1001&gt;1,"REVISAR DUPLICADO",IF(AA1001&lt;&gt;"","ACTUALIZADO POR EYR","SIN REPORTE EYR")))</f>
        <v>#REF!</v>
      </c>
    </row>
    <row r="1002" spans="1:30" x14ac:dyDescent="0.3">
      <c r="A1002" s="5" t="s">
        <v>2765</v>
      </c>
      <c r="B1002" t="s">
        <v>2764</v>
      </c>
      <c r="C1002" s="4" t="s">
        <v>2763</v>
      </c>
      <c r="D1002" t="s">
        <v>21</v>
      </c>
      <c r="F1002" t="s">
        <v>2149</v>
      </c>
      <c r="G1002" s="3">
        <v>8092055405</v>
      </c>
      <c r="H1002" s="2">
        <v>46129</v>
      </c>
      <c r="K1002" s="1">
        <f ca="1">IF(A1002="","",IF(OR(L1002="ENTREGADA",L1002="RETORNADA",L1002="ENTREGA DIGITAL"),0,MAX(0,5-NETWORKDAYS(H1002+1,TODAY()))))</f>
        <v>0</v>
      </c>
      <c r="L1002">
        <f>IF(A1002="","",IFERROR(LOOKUP(2,1/(#REF!=Z1002),#REF!),Y1002))</f>
        <v>0</v>
      </c>
      <c r="Z1002" t="str">
        <f>IF(A1002="","",TEXT(A1002,"0")&amp;"|"&amp;TEXT(H1002,"0"))</f>
        <v>4025017853998300|46129</v>
      </c>
      <c r="AA1002" t="str">
        <f>IF(Z1002="","",IFERROR(LOOKUP(2,1/(#REF!=Z1002),#REF!),""))</f>
        <v/>
      </c>
      <c r="AB1002" t="str">
        <f>IF(Z1002="","",IFERROR(LOOKUP(2,1/(#REF!=Z1002),#REF!),""))</f>
        <v/>
      </c>
      <c r="AC1002" t="e">
        <f>IF(Z1002="","",COUNTIF(#REF!,Z1002))</f>
        <v>#REF!</v>
      </c>
      <c r="AD1002" t="e">
        <f>IF(A1002="","",IF(AC1002&gt;1,"REVISAR DUPLICADO",IF(AA1002&lt;&gt;"","ACTUALIZADO POR EYR","SIN REPORTE EYR")))</f>
        <v>#REF!</v>
      </c>
    </row>
    <row r="1003" spans="1:30" x14ac:dyDescent="0.3">
      <c r="A1003" s="5" t="s">
        <v>2762</v>
      </c>
      <c r="B1003" t="s">
        <v>2761</v>
      </c>
      <c r="C1003" s="4" t="s">
        <v>2760</v>
      </c>
      <c r="D1003" t="s">
        <v>21</v>
      </c>
      <c r="F1003" t="s">
        <v>2759</v>
      </c>
      <c r="G1003" s="3">
        <v>8096678611</v>
      </c>
      <c r="H1003" s="2">
        <v>46129</v>
      </c>
      <c r="K1003" s="1">
        <f ca="1">IF(A1003="","",IF(OR(L1003="ENTREGADA",L1003="RETORNADA",L1003="ENTREGA DIGITAL"),0,MAX(0,5-NETWORKDAYS(H1003+1,TODAY()))))</f>
        <v>0</v>
      </c>
      <c r="L1003" t="str">
        <f>IF(A1003="","",IFERROR(LOOKUP(2,1/(#REF!=Z1003),#REF!),Y1003))</f>
        <v>RETORNADA</v>
      </c>
      <c r="M1003" t="s">
        <v>2758</v>
      </c>
      <c r="Y1003" t="s">
        <v>1857</v>
      </c>
      <c r="Z1003" t="str">
        <f>IF(A1003="","",TEXT(A1003,"0")&amp;"|"&amp;TEXT(H1003,"0"))</f>
        <v>4921017852854170|46129</v>
      </c>
      <c r="AA1003" t="str">
        <f>IF(Z1003="","",IFERROR(LOOKUP(2,1/(#REF!=Z1003),#REF!),""))</f>
        <v/>
      </c>
      <c r="AB1003" t="str">
        <f>IF(Z1003="","",IFERROR(LOOKUP(2,1/(#REF!=Z1003),#REF!),""))</f>
        <v/>
      </c>
      <c r="AC1003" t="e">
        <f>IF(Z1003="","",COUNTIF(#REF!,Z1003))</f>
        <v>#REF!</v>
      </c>
      <c r="AD1003" t="e">
        <f>IF(A1003="","",IF(AC1003&gt;1,"REVISAR DUPLICADO",IF(AA1003&lt;&gt;"","ACTUALIZADO POR EYR","SIN REPORTE EYR")))</f>
        <v>#REF!</v>
      </c>
    </row>
    <row r="1004" spans="1:30" x14ac:dyDescent="0.3">
      <c r="A1004" s="5" t="s">
        <v>2757</v>
      </c>
      <c r="B1004" t="s">
        <v>2756</v>
      </c>
      <c r="C1004" s="4" t="s">
        <v>2755</v>
      </c>
      <c r="D1004" t="s">
        <v>21</v>
      </c>
      <c r="F1004" t="s">
        <v>2754</v>
      </c>
      <c r="G1004" s="3">
        <v>8293086316</v>
      </c>
      <c r="H1004" s="2">
        <v>46129</v>
      </c>
      <c r="K1004" s="1">
        <f ca="1">IF(A1004="","",IF(OR(L1004="ENTREGADA",L1004="RETORNADA",L1004="ENTREGA DIGITAL"),0,MAX(0,5-NETWORKDAYS(H1004+1,TODAY()))))</f>
        <v>0</v>
      </c>
      <c r="L1004" t="str">
        <f>IF(A1004="","",IFERROR(LOOKUP(2,1/(#REF!=Z1004),#REF!),Y1004))</f>
        <v>RETORNADA</v>
      </c>
      <c r="Y1004" t="s">
        <v>1857</v>
      </c>
      <c r="Z1004" t="str">
        <f>IF(A1004="","",TEXT(A1004,"0")&amp;"|"&amp;TEXT(H1004,"0"))</f>
        <v>4921017851686570|46129</v>
      </c>
      <c r="AA1004" t="str">
        <f>IF(Z1004="","",IFERROR(LOOKUP(2,1/(#REF!=Z1004),#REF!),""))</f>
        <v/>
      </c>
      <c r="AB1004" t="str">
        <f>IF(Z1004="","",IFERROR(LOOKUP(2,1/(#REF!=Z1004),#REF!),""))</f>
        <v/>
      </c>
      <c r="AC1004" t="e">
        <f>IF(Z1004="","",COUNTIF(#REF!,Z1004))</f>
        <v>#REF!</v>
      </c>
      <c r="AD1004" t="e">
        <f>IF(A1004="","",IF(AC1004&gt;1,"REVISAR DUPLICADO",IF(AA1004&lt;&gt;"","ACTUALIZADO POR EYR","SIN REPORTE EYR")))</f>
        <v>#REF!</v>
      </c>
    </row>
    <row r="1005" spans="1:30" x14ac:dyDescent="0.3">
      <c r="A1005" s="5" t="s">
        <v>2753</v>
      </c>
      <c r="B1005" t="s">
        <v>2752</v>
      </c>
      <c r="C1005" s="4" t="s">
        <v>2751</v>
      </c>
      <c r="D1005" t="s">
        <v>21</v>
      </c>
      <c r="E1005" t="s">
        <v>21</v>
      </c>
      <c r="F1005" t="s">
        <v>2750</v>
      </c>
      <c r="G1005" s="3">
        <v>8298054234</v>
      </c>
      <c r="H1005" s="2">
        <v>46129</v>
      </c>
      <c r="K1005" s="1">
        <f ca="1">IF(A1005="","",IF(OR(L1005="ENTREGADA",L1005="RETORNADA",L1005="ENTREGA DIGITAL"),0,MAX(0,5-NETWORKDAYS(H1005+1,TODAY()))))</f>
        <v>0</v>
      </c>
      <c r="L1005">
        <f>IF(A1005="","",IFERROR(LOOKUP(2,1/(#REF!=Z1005),#REF!),Y1005))</f>
        <v>0</v>
      </c>
      <c r="Z1005" t="str">
        <f>IF(A1005="","",TEXT(A1005,"0")&amp;"|"&amp;TEXT(H1005,"0"))</f>
        <v>5415017849052390|46129</v>
      </c>
      <c r="AA1005" t="str">
        <f>IF(Z1005="","",IFERROR(LOOKUP(2,1/(#REF!=Z1005),#REF!),""))</f>
        <v/>
      </c>
      <c r="AB1005" t="str">
        <f>IF(Z1005="","",IFERROR(LOOKUP(2,1/(#REF!=Z1005),#REF!),""))</f>
        <v/>
      </c>
      <c r="AC1005" t="e">
        <f>IF(Z1005="","",COUNTIF(#REF!,Z1005))</f>
        <v>#REF!</v>
      </c>
      <c r="AD1005" t="e">
        <f>IF(A1005="","",IF(AC1005&gt;1,"REVISAR DUPLICADO",IF(AA1005&lt;&gt;"","ACTUALIZADO POR EYR","SIN REPORTE EYR")))</f>
        <v>#REF!</v>
      </c>
    </row>
    <row r="1006" spans="1:30" x14ac:dyDescent="0.3">
      <c r="A1006" s="5" t="s">
        <v>2749</v>
      </c>
      <c r="B1006" t="s">
        <v>2748</v>
      </c>
      <c r="C1006" s="4" t="s">
        <v>2747</v>
      </c>
      <c r="D1006" t="s">
        <v>21</v>
      </c>
      <c r="F1006" t="s">
        <v>2746</v>
      </c>
      <c r="G1006" s="3">
        <v>8098976206</v>
      </c>
      <c r="H1006" s="2">
        <v>46129</v>
      </c>
      <c r="K1006" s="1">
        <f ca="1">IF(A1006="","",IF(OR(L1006="ENTREGADA",L1006="RETORNADA",L1006="ENTREGA DIGITAL"),0,MAX(0,5-NETWORKDAYS(H1006+1,TODAY()))))</f>
        <v>0</v>
      </c>
      <c r="L1006" t="str">
        <f>IF(A1006="","",IFERROR(LOOKUP(2,1/(#REF!=Z1006),#REF!),Y1006))</f>
        <v>ENTREGADA</v>
      </c>
      <c r="Y1006" t="s">
        <v>1956</v>
      </c>
      <c r="Z1006" t="str">
        <f>IF(A1006="","",TEXT(A1006,"0")&amp;"|"&amp;TEXT(H1006,"0"))</f>
        <v>5415017849269640|46129</v>
      </c>
      <c r="AA1006" t="str">
        <f>IF(Z1006="","",IFERROR(LOOKUP(2,1/(#REF!=Z1006),#REF!),""))</f>
        <v/>
      </c>
      <c r="AB1006" t="str">
        <f>IF(Z1006="","",IFERROR(LOOKUP(2,1/(#REF!=Z1006),#REF!),""))</f>
        <v/>
      </c>
      <c r="AC1006" t="e">
        <f>IF(Z1006="","",COUNTIF(#REF!,Z1006))</f>
        <v>#REF!</v>
      </c>
      <c r="AD1006" t="e">
        <f>IF(A1006="","",IF(AC1006&gt;1,"REVISAR DUPLICADO",IF(AA1006&lt;&gt;"","ACTUALIZADO POR EYR","SIN REPORTE EYR")))</f>
        <v>#REF!</v>
      </c>
    </row>
    <row r="1007" spans="1:30" x14ac:dyDescent="0.3">
      <c r="A1007" s="5" t="s">
        <v>2745</v>
      </c>
      <c r="B1007" t="s">
        <v>2744</v>
      </c>
      <c r="C1007" s="4" t="s">
        <v>576</v>
      </c>
      <c r="D1007" t="s">
        <v>21</v>
      </c>
      <c r="F1007" t="s">
        <v>2743</v>
      </c>
      <c r="G1007" s="3">
        <v>8093162859</v>
      </c>
      <c r="H1007" s="2">
        <v>46129</v>
      </c>
      <c r="K1007" s="1">
        <f ca="1">IF(A1007="","",IF(OR(L1007="ENTREGADA",L1007="RETORNADA",L1007="ENTREGA DIGITAL"),0,MAX(0,5-NETWORKDAYS(H1007+1,TODAY()))))</f>
        <v>0</v>
      </c>
      <c r="L1007" t="str">
        <f>IF(A1007="","",IFERROR(LOOKUP(2,1/(#REF!=Z1007),#REF!),Y1007))</f>
        <v>RETORNADA</v>
      </c>
      <c r="Y1007" t="s">
        <v>1857</v>
      </c>
      <c r="Z1007" t="str">
        <f>IF(A1007="","",TEXT(A1007,"0")&amp;"|"&amp;TEXT(H1007,"0"))</f>
        <v>5188017849945560|46129</v>
      </c>
      <c r="AA1007" t="str">
        <f>IF(Z1007="","",IFERROR(LOOKUP(2,1/(#REF!=Z1007),#REF!),""))</f>
        <v/>
      </c>
      <c r="AB1007" t="str">
        <f>IF(Z1007="","",IFERROR(LOOKUP(2,1/(#REF!=Z1007),#REF!),""))</f>
        <v/>
      </c>
      <c r="AC1007" t="e">
        <f>IF(Z1007="","",COUNTIF(#REF!,Z1007))</f>
        <v>#REF!</v>
      </c>
      <c r="AD1007" t="e">
        <f>IF(A1007="","",IF(AC1007&gt;1,"REVISAR DUPLICADO",IF(AA1007&lt;&gt;"","ACTUALIZADO POR EYR","SIN REPORTE EYR")))</f>
        <v>#REF!</v>
      </c>
    </row>
    <row r="1008" spans="1:30" x14ac:dyDescent="0.3">
      <c r="A1008" s="5" t="s">
        <v>2742</v>
      </c>
      <c r="B1008" t="s">
        <v>2741</v>
      </c>
      <c r="C1008" s="4" t="s">
        <v>2740</v>
      </c>
      <c r="D1008" t="s">
        <v>21</v>
      </c>
      <c r="F1008" t="s">
        <v>13</v>
      </c>
      <c r="G1008" s="3">
        <v>8097224105</v>
      </c>
      <c r="H1008" s="2">
        <v>46129</v>
      </c>
      <c r="K1008" s="1">
        <f ca="1">IF(A1008="","",IF(OR(L1008="ENTREGADA",L1008="RETORNADA",L1008="ENTREGA DIGITAL"),0,MAX(0,5-NETWORKDAYS(H1008+1,TODAY()))))</f>
        <v>0</v>
      </c>
      <c r="L1008" t="str">
        <f>IF(A1008="","",IFERROR(LOOKUP(2,1/(#REF!=Z1008),#REF!),Y1008))</f>
        <v>RETORNADA</v>
      </c>
      <c r="Y1008" t="s">
        <v>1857</v>
      </c>
      <c r="Z1008" t="str">
        <f>IF(A1008="","",TEXT(A1008,"0")&amp;"|"&amp;TEXT(H1008,"0"))</f>
        <v>5415017848759070|46129</v>
      </c>
      <c r="AA1008" t="str">
        <f>IF(Z1008="","",IFERROR(LOOKUP(2,1/(#REF!=Z1008),#REF!),""))</f>
        <v/>
      </c>
      <c r="AB1008" t="str">
        <f>IF(Z1008="","",IFERROR(LOOKUP(2,1/(#REF!=Z1008),#REF!),""))</f>
        <v/>
      </c>
      <c r="AC1008" t="e">
        <f>IF(Z1008="","",COUNTIF(#REF!,Z1008))</f>
        <v>#REF!</v>
      </c>
      <c r="AD1008" t="e">
        <f>IF(A1008="","",IF(AC1008&gt;1,"REVISAR DUPLICADO",IF(AA1008&lt;&gt;"","ACTUALIZADO POR EYR","SIN REPORTE EYR")))</f>
        <v>#REF!</v>
      </c>
    </row>
    <row r="1009" spans="1:30" x14ac:dyDescent="0.3">
      <c r="A1009" s="5" t="s">
        <v>2739</v>
      </c>
      <c r="B1009" t="s">
        <v>2738</v>
      </c>
      <c r="C1009" s="4" t="s">
        <v>2737</v>
      </c>
      <c r="D1009" t="s">
        <v>21</v>
      </c>
      <c r="F1009" t="s">
        <v>13</v>
      </c>
      <c r="G1009" s="3">
        <v>8093198923</v>
      </c>
      <c r="H1009" s="2">
        <v>46129</v>
      </c>
      <c r="K1009" s="1">
        <f ca="1">IF(A1009="","",IF(OR(L1009="ENTREGADA",L1009="RETORNADA",L1009="ENTREGA DIGITAL"),0,MAX(0,5-NETWORKDAYS(H1009+1,TODAY()))))</f>
        <v>0</v>
      </c>
      <c r="L1009" t="str">
        <f>IF(A1009="","",IFERROR(LOOKUP(2,1/(#REF!=Z1009),#REF!),Y1009))</f>
        <v>ENTREGA DIGITAL</v>
      </c>
      <c r="Y1009" t="s">
        <v>1396</v>
      </c>
      <c r="Z1009" t="str">
        <f>IF(A1009="","",TEXT(A1009,"0")&amp;"|"&amp;TEXT(H1009,"0"))</f>
        <v>5415017848403760|46129</v>
      </c>
      <c r="AA1009" t="str">
        <f>IF(Z1009="","",IFERROR(LOOKUP(2,1/(#REF!=Z1009),#REF!),""))</f>
        <v/>
      </c>
      <c r="AB1009" t="str">
        <f>IF(Z1009="","",IFERROR(LOOKUP(2,1/(#REF!=Z1009),#REF!),""))</f>
        <v/>
      </c>
      <c r="AC1009" t="e">
        <f>IF(Z1009="","",COUNTIF(#REF!,Z1009))</f>
        <v>#REF!</v>
      </c>
      <c r="AD1009" t="e">
        <f>IF(A1009="","",IF(AC1009&gt;1,"REVISAR DUPLICADO",IF(AA1009&lt;&gt;"","ACTUALIZADO POR EYR","SIN REPORTE EYR")))</f>
        <v>#REF!</v>
      </c>
    </row>
    <row r="1010" spans="1:30" x14ac:dyDescent="0.3">
      <c r="A1010" s="5" t="s">
        <v>2736</v>
      </c>
      <c r="B1010" t="s">
        <v>2735</v>
      </c>
      <c r="C1010" s="4" t="s">
        <v>2734</v>
      </c>
      <c r="D1010" t="s">
        <v>21</v>
      </c>
      <c r="F1010" t="s">
        <v>13</v>
      </c>
      <c r="G1010" s="3">
        <v>8094251865</v>
      </c>
      <c r="H1010" s="2">
        <v>46129</v>
      </c>
      <c r="K1010" s="1">
        <f ca="1">IF(A1010="","",IF(OR(L1010="ENTREGADA",L1010="RETORNADA",L1010="ENTREGA DIGITAL"),0,MAX(0,5-NETWORKDAYS(H1010+1,TODAY()))))</f>
        <v>0</v>
      </c>
      <c r="L1010">
        <f>IF(A1010="","",IFERROR(LOOKUP(2,1/(#REF!=Z1010),#REF!),Y1010))</f>
        <v>0</v>
      </c>
      <c r="Z1010" t="str">
        <f>IF(A1010="","",TEXT(A1010,"0")&amp;"|"&amp;TEXT(H1010,"0"))</f>
        <v>5415017837797780|46129</v>
      </c>
      <c r="AA1010" t="str">
        <f>IF(Z1010="","",IFERROR(LOOKUP(2,1/(#REF!=Z1010),#REF!),""))</f>
        <v/>
      </c>
      <c r="AB1010" t="str">
        <f>IF(Z1010="","",IFERROR(LOOKUP(2,1/(#REF!=Z1010),#REF!),""))</f>
        <v/>
      </c>
      <c r="AC1010" t="e">
        <f>IF(Z1010="","",COUNTIF(#REF!,Z1010))</f>
        <v>#REF!</v>
      </c>
      <c r="AD1010" t="e">
        <f>IF(A1010="","",IF(AC1010&gt;1,"REVISAR DUPLICADO",IF(AA1010&lt;&gt;"","ACTUALIZADO POR EYR","SIN REPORTE EYR")))</f>
        <v>#REF!</v>
      </c>
    </row>
    <row r="1011" spans="1:30" x14ac:dyDescent="0.3">
      <c r="A1011" s="5" t="s">
        <v>2733</v>
      </c>
      <c r="B1011" t="s">
        <v>2732</v>
      </c>
      <c r="C1011" s="4" t="s">
        <v>2731</v>
      </c>
      <c r="D1011" t="s">
        <v>77</v>
      </c>
      <c r="F1011" t="s">
        <v>2730</v>
      </c>
      <c r="G1011" s="3">
        <v>8493825973</v>
      </c>
      <c r="H1011" s="2">
        <v>46132</v>
      </c>
      <c r="I1011" t="s">
        <v>1397</v>
      </c>
      <c r="K1011" s="1">
        <f ca="1">IF(A1011="","",IF(OR(L1011="ENTREGADA",L1011="RETORNADA",L1011="ENTREGA DIGITAL"),0,MAX(0,5-NETWORKDAYS(H1011+1,TODAY()))))</f>
        <v>0</v>
      </c>
      <c r="L1011" t="str">
        <f>IF(A1011="","",IFERROR(LOOKUP(2,1/(#REF!=Z1011),#REF!),Y1011))</f>
        <v>ENTREGA DIGITAL</v>
      </c>
      <c r="Y1011" t="s">
        <v>1396</v>
      </c>
      <c r="Z1011" t="str">
        <f>IF(A1011="","",TEXT(A1011,"0")&amp;"|"&amp;TEXT(H1011,"0"))</f>
        <v>5188017769814740|46132</v>
      </c>
      <c r="AA1011" t="str">
        <f>IF(Z1011="","",IFERROR(LOOKUP(2,1/(#REF!=Z1011),#REF!),""))</f>
        <v/>
      </c>
      <c r="AB1011" t="str">
        <f>IF(Z1011="","",IFERROR(LOOKUP(2,1/(#REF!=Z1011),#REF!),""))</f>
        <v/>
      </c>
      <c r="AC1011" t="e">
        <f>IF(Z1011="","",COUNTIF(#REF!,Z1011))</f>
        <v>#REF!</v>
      </c>
      <c r="AD1011" t="e">
        <f>IF(A1011="","",IF(AC1011&gt;1,"REVISAR DUPLICADO",IF(AA1011&lt;&gt;"","ACTUALIZADO POR EYR","SIN REPORTE EYR")))</f>
        <v>#REF!</v>
      </c>
    </row>
    <row r="1012" spans="1:30" x14ac:dyDescent="0.3">
      <c r="A1012" s="5" t="s">
        <v>2729</v>
      </c>
      <c r="B1012" t="s">
        <v>2728</v>
      </c>
      <c r="C1012" s="4" t="s">
        <v>2727</v>
      </c>
      <c r="D1012" t="s">
        <v>77</v>
      </c>
      <c r="F1012" t="s">
        <v>13</v>
      </c>
      <c r="G1012" s="3">
        <v>8097864846</v>
      </c>
      <c r="H1012" s="2">
        <v>46132</v>
      </c>
      <c r="I1012" t="s">
        <v>1397</v>
      </c>
      <c r="K1012" s="1">
        <f ca="1">IF(A1012="","",IF(OR(L1012="ENTREGADA",L1012="RETORNADA",L1012="ENTREGA DIGITAL"),0,MAX(0,5-NETWORKDAYS(H1012+1,TODAY()))))</f>
        <v>0</v>
      </c>
      <c r="L1012" t="str">
        <f>IF(A1012="","",IFERROR(LOOKUP(2,1/(#REF!=Z1012),#REF!),Y1012))</f>
        <v>ENTREGA DIGITAL</v>
      </c>
      <c r="Y1012" t="s">
        <v>1396</v>
      </c>
      <c r="Z1012" t="str">
        <f>IF(A1012="","",TEXT(A1012,"0")&amp;"|"&amp;TEXT(H1012,"0"))</f>
        <v>4921017857137270|46132</v>
      </c>
      <c r="AA1012" t="str">
        <f>IF(Z1012="","",IFERROR(LOOKUP(2,1/(#REF!=Z1012),#REF!),""))</f>
        <v/>
      </c>
      <c r="AB1012" t="str">
        <f>IF(Z1012="","",IFERROR(LOOKUP(2,1/(#REF!=Z1012),#REF!),""))</f>
        <v/>
      </c>
      <c r="AC1012" t="e">
        <f>IF(Z1012="","",COUNTIF(#REF!,Z1012))</f>
        <v>#REF!</v>
      </c>
      <c r="AD1012" t="e">
        <f>IF(A1012="","",IF(AC1012&gt;1,"REVISAR DUPLICADO",IF(AA1012&lt;&gt;"","ACTUALIZADO POR EYR","SIN REPORTE EYR")))</f>
        <v>#REF!</v>
      </c>
    </row>
    <row r="1013" spans="1:30" x14ac:dyDescent="0.3">
      <c r="A1013" s="5" t="s">
        <v>2726</v>
      </c>
      <c r="B1013" t="s">
        <v>2725</v>
      </c>
      <c r="C1013" s="4" t="s">
        <v>2707</v>
      </c>
      <c r="D1013" t="s">
        <v>77</v>
      </c>
      <c r="F1013" t="s">
        <v>2706</v>
      </c>
      <c r="G1013" s="3">
        <v>8092224345</v>
      </c>
      <c r="H1013" s="2">
        <v>46132</v>
      </c>
      <c r="K1013" s="1">
        <f ca="1">IF(A1013="","",IF(OR(L1013="ENTREGADA",L1013="RETORNADA",L1013="ENTREGA DIGITAL"),0,MAX(0,5-NETWORKDAYS(H1013+1,TODAY()))))</f>
        <v>0</v>
      </c>
      <c r="L1013" t="str">
        <f>IF(A1013="","",IFERROR(LOOKUP(2,1/(#REF!=Z1013),#REF!),Y1013))</f>
        <v>RETORNADA</v>
      </c>
      <c r="Y1013" t="s">
        <v>1857</v>
      </c>
      <c r="Z1013" t="str">
        <f>IF(A1013="","",TEXT(A1013,"0")&amp;"|"&amp;TEXT(H1013,"0"))</f>
        <v>4966017851048570|46132</v>
      </c>
      <c r="AA1013" t="str">
        <f>IF(Z1013="","",IFERROR(LOOKUP(2,1/(#REF!=Z1013),#REF!),""))</f>
        <v/>
      </c>
      <c r="AB1013" t="str">
        <f>IF(Z1013="","",IFERROR(LOOKUP(2,1/(#REF!=Z1013),#REF!),""))</f>
        <v/>
      </c>
      <c r="AC1013" t="e">
        <f>IF(Z1013="","",COUNTIF(#REF!,Z1013))</f>
        <v>#REF!</v>
      </c>
      <c r="AD1013" t="e">
        <f>IF(A1013="","",IF(AC1013&gt;1,"REVISAR DUPLICADO",IF(AA1013&lt;&gt;"","ACTUALIZADO POR EYR","SIN REPORTE EYR")))</f>
        <v>#REF!</v>
      </c>
    </row>
    <row r="1014" spans="1:30" x14ac:dyDescent="0.3">
      <c r="A1014" s="5" t="s">
        <v>2724</v>
      </c>
      <c r="B1014" t="s">
        <v>2723</v>
      </c>
      <c r="C1014" s="4" t="s">
        <v>2707</v>
      </c>
      <c r="D1014" t="s">
        <v>77</v>
      </c>
      <c r="F1014" t="s">
        <v>2706</v>
      </c>
      <c r="G1014" s="3">
        <v>8092224345</v>
      </c>
      <c r="H1014" s="2">
        <v>46132</v>
      </c>
      <c r="K1014" s="1">
        <f ca="1">IF(A1014="","",IF(OR(L1014="ENTREGADA",L1014="RETORNADA",L1014="ENTREGA DIGITAL"),0,MAX(0,5-NETWORKDAYS(H1014+1,TODAY()))))</f>
        <v>0</v>
      </c>
      <c r="L1014" t="str">
        <f>IF(A1014="","",IFERROR(LOOKUP(2,1/(#REF!=Z1014),#REF!),Y1014))</f>
        <v>RETORNADA</v>
      </c>
      <c r="Y1014" t="s">
        <v>1857</v>
      </c>
      <c r="Z1014" t="str">
        <f>IF(A1014="","",TEXT(A1014,"0")&amp;"|"&amp;TEXT(H1014,"0"))</f>
        <v>5415017849678990|46132</v>
      </c>
      <c r="AA1014" t="str">
        <f>IF(Z1014="","",IFERROR(LOOKUP(2,1/(#REF!=Z1014),#REF!),""))</f>
        <v/>
      </c>
      <c r="AB1014" t="str">
        <f>IF(Z1014="","",IFERROR(LOOKUP(2,1/(#REF!=Z1014),#REF!),""))</f>
        <v/>
      </c>
      <c r="AC1014" t="e">
        <f>IF(Z1014="","",COUNTIF(#REF!,Z1014))</f>
        <v>#REF!</v>
      </c>
      <c r="AD1014" t="e">
        <f>IF(A1014="","",IF(AC1014&gt;1,"REVISAR DUPLICADO",IF(AA1014&lt;&gt;"","ACTUALIZADO POR EYR","SIN REPORTE EYR")))</f>
        <v>#REF!</v>
      </c>
    </row>
    <row r="1015" spans="1:30" x14ac:dyDescent="0.3">
      <c r="A1015" s="5" t="s">
        <v>2722</v>
      </c>
      <c r="B1015" t="s">
        <v>2721</v>
      </c>
      <c r="C1015" s="4" t="s">
        <v>2720</v>
      </c>
      <c r="D1015" t="s">
        <v>77</v>
      </c>
      <c r="F1015" t="s">
        <v>13</v>
      </c>
      <c r="G1015" s="3">
        <v>8492083722</v>
      </c>
      <c r="H1015" s="2">
        <v>46132</v>
      </c>
      <c r="I1015" t="s">
        <v>1397</v>
      </c>
      <c r="K1015" s="1">
        <f ca="1">IF(A1015="","",IF(OR(L1015="ENTREGADA",L1015="RETORNADA",L1015="ENTREGA DIGITAL"),0,MAX(0,5-NETWORKDAYS(H1015+1,TODAY()))))</f>
        <v>0</v>
      </c>
      <c r="L1015" t="str">
        <f>IF(A1015="","",IFERROR(LOOKUP(2,1/(#REF!=Z1015),#REF!),Y1015))</f>
        <v>ENTREGA DIGITAL</v>
      </c>
      <c r="Y1015" t="s">
        <v>1396</v>
      </c>
      <c r="Z1015" t="str">
        <f>IF(A1015="","",TEXT(A1015,"0")&amp;"|"&amp;TEXT(H1015,"0"))</f>
        <v>5400017849611100|46132</v>
      </c>
      <c r="AA1015" t="str">
        <f>IF(Z1015="","",IFERROR(LOOKUP(2,1/(#REF!=Z1015),#REF!),""))</f>
        <v/>
      </c>
      <c r="AB1015" t="str">
        <f>IF(Z1015="","",IFERROR(LOOKUP(2,1/(#REF!=Z1015),#REF!),""))</f>
        <v/>
      </c>
      <c r="AC1015" t="e">
        <f>IF(Z1015="","",COUNTIF(#REF!,Z1015))</f>
        <v>#REF!</v>
      </c>
      <c r="AD1015" t="e">
        <f>IF(A1015="","",IF(AC1015&gt;1,"REVISAR DUPLICADO",IF(AA1015&lt;&gt;"","ACTUALIZADO POR EYR","SIN REPORTE EYR")))</f>
        <v>#REF!</v>
      </c>
    </row>
    <row r="1016" spans="1:30" x14ac:dyDescent="0.3">
      <c r="A1016" s="5" t="s">
        <v>2719</v>
      </c>
      <c r="B1016" t="s">
        <v>2718</v>
      </c>
      <c r="C1016" s="4" t="s">
        <v>2717</v>
      </c>
      <c r="D1016" t="s">
        <v>77</v>
      </c>
      <c r="F1016" t="s">
        <v>2716</v>
      </c>
      <c r="G1016" s="3">
        <v>8493500889</v>
      </c>
      <c r="H1016" s="2">
        <v>46132</v>
      </c>
      <c r="K1016" s="1">
        <f ca="1">IF(A1016="","",IF(OR(L1016="ENTREGADA",L1016="RETORNADA",L1016="ENTREGA DIGITAL"),0,MAX(0,5-NETWORKDAYS(H1016+1,TODAY()))))</f>
        <v>0</v>
      </c>
      <c r="L1016" t="str">
        <f>IF(A1016="","",IFERROR(LOOKUP(2,1/(#REF!=Z1016),#REF!),Y1016))</f>
        <v>RETORNADA</v>
      </c>
      <c r="Y1016" t="s">
        <v>1857</v>
      </c>
      <c r="Z1016" t="str">
        <f>IF(A1016="","",TEXT(A1016,"0")&amp;"|"&amp;TEXT(H1016,"0"))</f>
        <v>4921017857218320|46132</v>
      </c>
      <c r="AA1016" t="str">
        <f>IF(Z1016="","",IFERROR(LOOKUP(2,1/(#REF!=Z1016),#REF!),""))</f>
        <v/>
      </c>
      <c r="AB1016" t="str">
        <f>IF(Z1016="","",IFERROR(LOOKUP(2,1/(#REF!=Z1016),#REF!),""))</f>
        <v/>
      </c>
      <c r="AC1016" t="e">
        <f>IF(Z1016="","",COUNTIF(#REF!,Z1016))</f>
        <v>#REF!</v>
      </c>
      <c r="AD1016" t="e">
        <f>IF(A1016="","",IF(AC1016&gt;1,"REVISAR DUPLICADO",IF(AA1016&lt;&gt;"","ACTUALIZADO POR EYR","SIN REPORTE EYR")))</f>
        <v>#REF!</v>
      </c>
    </row>
    <row r="1017" spans="1:30" x14ac:dyDescent="0.3">
      <c r="A1017" s="5" t="s">
        <v>2715</v>
      </c>
      <c r="B1017" t="s">
        <v>2714</v>
      </c>
      <c r="C1017" s="4" t="s">
        <v>2713</v>
      </c>
      <c r="D1017" t="s">
        <v>77</v>
      </c>
      <c r="F1017" t="s">
        <v>13</v>
      </c>
      <c r="G1017" s="3">
        <v>8293267616</v>
      </c>
      <c r="H1017" s="2">
        <v>46132</v>
      </c>
      <c r="I1017" t="s">
        <v>1397</v>
      </c>
      <c r="K1017" s="1">
        <f ca="1">IF(A1017="","",IF(OR(L1017="ENTREGADA",L1017="RETORNADA",L1017="ENTREGA DIGITAL"),0,MAX(0,5-NETWORKDAYS(H1017+1,TODAY()))))</f>
        <v>0</v>
      </c>
      <c r="L1017" t="str">
        <f>IF(A1017="","",IFERROR(LOOKUP(2,1/(#REF!=Z1017),#REF!),Y1017))</f>
        <v>ENTREGA DIGITAL</v>
      </c>
      <c r="Y1017" t="s">
        <v>1396</v>
      </c>
      <c r="Z1017" t="str">
        <f>IF(A1017="","",TEXT(A1017,"0")&amp;"|"&amp;TEXT(H1017,"0"))</f>
        <v>5188017855928000|46132</v>
      </c>
      <c r="AA1017" t="str">
        <f>IF(Z1017="","",IFERROR(LOOKUP(2,1/(#REF!=Z1017),#REF!),""))</f>
        <v/>
      </c>
      <c r="AB1017" t="str">
        <f>IF(Z1017="","",IFERROR(LOOKUP(2,1/(#REF!=Z1017),#REF!),""))</f>
        <v/>
      </c>
      <c r="AC1017" t="e">
        <f>IF(Z1017="","",COUNTIF(#REF!,Z1017))</f>
        <v>#REF!</v>
      </c>
      <c r="AD1017" t="e">
        <f>IF(A1017="","",IF(AC1017&gt;1,"REVISAR DUPLICADO",IF(AA1017&lt;&gt;"","ACTUALIZADO POR EYR","SIN REPORTE EYR")))</f>
        <v>#REF!</v>
      </c>
    </row>
    <row r="1018" spans="1:30" x14ac:dyDescent="0.3">
      <c r="A1018" s="5" t="s">
        <v>2712</v>
      </c>
      <c r="B1018" t="s">
        <v>2711</v>
      </c>
      <c r="C1018" s="4" t="s">
        <v>2710</v>
      </c>
      <c r="D1018" t="s">
        <v>77</v>
      </c>
      <c r="F1018" t="s">
        <v>13</v>
      </c>
      <c r="G1018" s="3">
        <v>8495014829</v>
      </c>
      <c r="H1018" s="2">
        <v>46132</v>
      </c>
      <c r="K1018" s="1">
        <f ca="1">IF(A1018="","",IF(OR(L1018="ENTREGADA",L1018="RETORNADA",L1018="ENTREGA DIGITAL"),0,MAX(0,5-NETWORKDAYS(H1018+1,TODAY()))))</f>
        <v>0</v>
      </c>
      <c r="L1018" t="str">
        <f>IF(A1018="","",IFERROR(LOOKUP(2,1/(#REF!=Z1018),#REF!),Y1018))</f>
        <v>ENTREGA DIGITAL</v>
      </c>
      <c r="Y1018" t="s">
        <v>1396</v>
      </c>
      <c r="Z1018" t="str">
        <f>IF(A1018="","",TEXT(A1018,"0")&amp;"|"&amp;TEXT(H1018,"0"))</f>
        <v>5415017855447330|46132</v>
      </c>
      <c r="AA1018" t="str">
        <f>IF(Z1018="","",IFERROR(LOOKUP(2,1/(#REF!=Z1018),#REF!),""))</f>
        <v/>
      </c>
      <c r="AB1018" t="str">
        <f>IF(Z1018="","",IFERROR(LOOKUP(2,1/(#REF!=Z1018),#REF!),""))</f>
        <v/>
      </c>
      <c r="AC1018" t="e">
        <f>IF(Z1018="","",COUNTIF(#REF!,Z1018))</f>
        <v>#REF!</v>
      </c>
      <c r="AD1018" t="e">
        <f>IF(A1018="","",IF(AC1018&gt;1,"REVISAR DUPLICADO",IF(AA1018&lt;&gt;"","ACTUALIZADO POR EYR","SIN REPORTE EYR")))</f>
        <v>#REF!</v>
      </c>
    </row>
    <row r="1019" spans="1:30" x14ac:dyDescent="0.3">
      <c r="A1019" s="5" t="s">
        <v>2709</v>
      </c>
      <c r="B1019" t="s">
        <v>2708</v>
      </c>
      <c r="C1019" s="4" t="s">
        <v>2707</v>
      </c>
      <c r="D1019" t="s">
        <v>77</v>
      </c>
      <c r="F1019" t="s">
        <v>2706</v>
      </c>
      <c r="G1019" s="3">
        <v>8092224345</v>
      </c>
      <c r="H1019" s="2">
        <v>46132</v>
      </c>
      <c r="K1019" s="1">
        <f ca="1">IF(A1019="","",IF(OR(L1019="ENTREGADA",L1019="RETORNADA",L1019="ENTREGA DIGITAL"),0,MAX(0,5-NETWORKDAYS(H1019+1,TODAY()))))</f>
        <v>0</v>
      </c>
      <c r="L1019" t="str">
        <f>IF(A1019="","",IFERROR(LOOKUP(2,1/(#REF!=Z1019),#REF!),Y1019))</f>
        <v>RETORNADA</v>
      </c>
      <c r="Y1019" t="s">
        <v>1857</v>
      </c>
      <c r="Z1019" t="str">
        <f>IF(A1019="","",TEXT(A1019,"0")&amp;"|"&amp;TEXT(H1019,"0"))</f>
        <v>4921017850465280|46132</v>
      </c>
      <c r="AA1019" t="str">
        <f>IF(Z1019="","",IFERROR(LOOKUP(2,1/(#REF!=Z1019),#REF!),""))</f>
        <v/>
      </c>
      <c r="AB1019" t="str">
        <f>IF(Z1019="","",IFERROR(LOOKUP(2,1/(#REF!=Z1019),#REF!),""))</f>
        <v/>
      </c>
      <c r="AC1019" t="e">
        <f>IF(Z1019="","",COUNTIF(#REF!,Z1019))</f>
        <v>#REF!</v>
      </c>
      <c r="AD1019" t="e">
        <f>IF(A1019="","",IF(AC1019&gt;1,"REVISAR DUPLICADO",IF(AA1019&lt;&gt;"","ACTUALIZADO POR EYR","SIN REPORTE EYR")))</f>
        <v>#REF!</v>
      </c>
    </row>
    <row r="1020" spans="1:30" x14ac:dyDescent="0.3">
      <c r="A1020" s="5" t="s">
        <v>2705</v>
      </c>
      <c r="B1020" t="s">
        <v>2704</v>
      </c>
      <c r="C1020" s="4" t="s">
        <v>2703</v>
      </c>
      <c r="D1020" t="s">
        <v>77</v>
      </c>
      <c r="F1020" t="s">
        <v>13</v>
      </c>
      <c r="G1020" s="3">
        <v>8293130235</v>
      </c>
      <c r="H1020" s="2">
        <v>46132</v>
      </c>
      <c r="K1020" s="1">
        <f ca="1">IF(A1020="","",IF(OR(L1020="ENTREGADA",L1020="RETORNADA",L1020="ENTREGA DIGITAL"),0,MAX(0,5-NETWORKDAYS(H1020+1,TODAY()))))</f>
        <v>0</v>
      </c>
      <c r="L1020" t="str">
        <f>IF(A1020="","",IFERROR(LOOKUP(2,1/(#REF!=Z1020),#REF!),Y1020))</f>
        <v>ENTREGA DIGITAL</v>
      </c>
      <c r="Y1020" t="s">
        <v>1396</v>
      </c>
      <c r="Z1020" t="str">
        <f>IF(A1020="","",TEXT(A1020,"0")&amp;"|"&amp;TEXT(H1020,"0"))</f>
        <v>4921017856962960|46132</v>
      </c>
      <c r="AA1020" t="str">
        <f>IF(Z1020="","",IFERROR(LOOKUP(2,1/(#REF!=Z1020),#REF!),""))</f>
        <v/>
      </c>
      <c r="AB1020" t="str">
        <f>IF(Z1020="","",IFERROR(LOOKUP(2,1/(#REF!=Z1020),#REF!),""))</f>
        <v/>
      </c>
      <c r="AC1020" t="e">
        <f>IF(Z1020="","",COUNTIF(#REF!,Z1020))</f>
        <v>#REF!</v>
      </c>
      <c r="AD1020" t="e">
        <f>IF(A1020="","",IF(AC1020&gt;1,"REVISAR DUPLICADO",IF(AA1020&lt;&gt;"","ACTUALIZADO POR EYR","SIN REPORTE EYR")))</f>
        <v>#REF!</v>
      </c>
    </row>
    <row r="1021" spans="1:30" x14ac:dyDescent="0.3">
      <c r="A1021" s="5" t="s">
        <v>2702</v>
      </c>
      <c r="B1021" t="s">
        <v>2701</v>
      </c>
      <c r="C1021" s="4" t="s">
        <v>2700</v>
      </c>
      <c r="D1021" t="s">
        <v>77</v>
      </c>
      <c r="F1021" t="s">
        <v>13</v>
      </c>
      <c r="G1021" s="3">
        <v>8292197309</v>
      </c>
      <c r="H1021" s="2">
        <v>46132</v>
      </c>
      <c r="K1021" s="1">
        <f ca="1">IF(A1021="","",IF(OR(L1021="ENTREGADA",L1021="RETORNADA",L1021="ENTREGA DIGITAL"),0,MAX(0,5-NETWORKDAYS(H1021+1,TODAY()))))</f>
        <v>0</v>
      </c>
      <c r="L1021" t="str">
        <f>IF(A1021="","",IFERROR(LOOKUP(2,1/(#REF!=Z1021),#REF!),Y1021))</f>
        <v>ENTREGA DIGITAL</v>
      </c>
      <c r="Y1021" t="s">
        <v>1396</v>
      </c>
      <c r="Z1021" t="str">
        <f>IF(A1021="","",TEXT(A1021,"0")&amp;"|"&amp;TEXT(H1021,"0"))</f>
        <v>4921017857887180|46132</v>
      </c>
      <c r="AA1021" t="str">
        <f>IF(Z1021="","",IFERROR(LOOKUP(2,1/(#REF!=Z1021),#REF!),""))</f>
        <v/>
      </c>
      <c r="AB1021" t="str">
        <f>IF(Z1021="","",IFERROR(LOOKUP(2,1/(#REF!=Z1021),#REF!),""))</f>
        <v/>
      </c>
      <c r="AC1021" t="e">
        <f>IF(Z1021="","",COUNTIF(#REF!,Z1021))</f>
        <v>#REF!</v>
      </c>
      <c r="AD1021" t="e">
        <f>IF(A1021="","",IF(AC1021&gt;1,"REVISAR DUPLICADO",IF(AA1021&lt;&gt;"","ACTUALIZADO POR EYR","SIN REPORTE EYR")))</f>
        <v>#REF!</v>
      </c>
    </row>
    <row r="1022" spans="1:30" x14ac:dyDescent="0.3">
      <c r="A1022" s="5" t="s">
        <v>2699</v>
      </c>
      <c r="B1022" t="s">
        <v>2698</v>
      </c>
      <c r="C1022" s="4" t="s">
        <v>2697</v>
      </c>
      <c r="D1022" t="s">
        <v>77</v>
      </c>
      <c r="F1022" t="s">
        <v>13</v>
      </c>
      <c r="G1022" s="3">
        <v>8297922687</v>
      </c>
      <c r="H1022" s="2">
        <v>46132</v>
      </c>
      <c r="I1022" t="s">
        <v>1397</v>
      </c>
      <c r="K1022" s="1">
        <f ca="1">IF(A1022="","",IF(OR(L1022="ENTREGADA",L1022="RETORNADA",L1022="ENTREGA DIGITAL"),0,MAX(0,5-NETWORKDAYS(H1022+1,TODAY()))))</f>
        <v>0</v>
      </c>
      <c r="L1022" t="str">
        <f>IF(A1022="","",IFERROR(LOOKUP(2,1/(#REF!=Z1022),#REF!),Y1022))</f>
        <v>ENTREGA DIGITAL</v>
      </c>
      <c r="Y1022" t="s">
        <v>1396</v>
      </c>
      <c r="Z1022" t="str">
        <f>IF(A1022="","",TEXT(A1022,"0")&amp;"|"&amp;TEXT(H1022,"0"))</f>
        <v>4921017856826250|46132</v>
      </c>
      <c r="AA1022" t="str">
        <f>IF(Z1022="","",IFERROR(LOOKUP(2,1/(#REF!=Z1022),#REF!),""))</f>
        <v/>
      </c>
      <c r="AB1022" t="str">
        <f>IF(Z1022="","",IFERROR(LOOKUP(2,1/(#REF!=Z1022),#REF!),""))</f>
        <v/>
      </c>
      <c r="AC1022" t="e">
        <f>IF(Z1022="","",COUNTIF(#REF!,Z1022))</f>
        <v>#REF!</v>
      </c>
      <c r="AD1022" t="e">
        <f>IF(A1022="","",IF(AC1022&gt;1,"REVISAR DUPLICADO",IF(AA1022&lt;&gt;"","ACTUALIZADO POR EYR","SIN REPORTE EYR")))</f>
        <v>#REF!</v>
      </c>
    </row>
    <row r="1023" spans="1:30" x14ac:dyDescent="0.3">
      <c r="A1023" s="5" t="s">
        <v>408</v>
      </c>
      <c r="B1023" t="s">
        <v>407</v>
      </c>
      <c r="C1023" s="4" t="s">
        <v>406</v>
      </c>
      <c r="D1023" t="s">
        <v>77</v>
      </c>
      <c r="F1023" t="s">
        <v>13</v>
      </c>
      <c r="G1023" s="3">
        <v>8293422796</v>
      </c>
      <c r="H1023" s="2">
        <v>46132</v>
      </c>
      <c r="K1023" s="1">
        <f ca="1">IF(A1023="","",IF(OR(L1023="ENTREGADA",L1023="RETORNADA",L1023="ENTREGA DIGITAL"),0,MAX(0,5-NETWORKDAYS(H1023+1,TODAY()))))</f>
        <v>0</v>
      </c>
      <c r="L1023" t="str">
        <f>IF(A1023="","",IFERROR(LOOKUP(2,1/(#REF!=Z1023),#REF!),Y1023))</f>
        <v>RETORNADA</v>
      </c>
      <c r="Y1023" t="s">
        <v>1857</v>
      </c>
      <c r="Z1023" t="str">
        <f>IF(A1023="","",TEXT(A1023,"0")&amp;"|"&amp;TEXT(H1023,"0"))</f>
        <v>4025017858191980|46132</v>
      </c>
      <c r="AA1023" t="str">
        <f>IF(Z1023="","",IFERROR(LOOKUP(2,1/(#REF!=Z1023),#REF!),""))</f>
        <v/>
      </c>
      <c r="AB1023" t="str">
        <f>IF(Z1023="","",IFERROR(LOOKUP(2,1/(#REF!=Z1023),#REF!),""))</f>
        <v/>
      </c>
      <c r="AC1023" t="e">
        <f>IF(Z1023="","",COUNTIF(#REF!,Z1023))</f>
        <v>#REF!</v>
      </c>
      <c r="AD1023" t="e">
        <f>IF(A1023="","",IF(AC1023&gt;1,"REVISAR DUPLICADO",IF(AA1023&lt;&gt;"","ACTUALIZADO POR EYR","SIN REPORTE EYR")))</f>
        <v>#REF!</v>
      </c>
    </row>
    <row r="1024" spans="1:30" x14ac:dyDescent="0.3">
      <c r="A1024" s="5" t="s">
        <v>2696</v>
      </c>
      <c r="B1024" t="s">
        <v>2695</v>
      </c>
      <c r="C1024" s="4" t="s">
        <v>2694</v>
      </c>
      <c r="D1024" t="s">
        <v>77</v>
      </c>
      <c r="F1024" t="s">
        <v>13</v>
      </c>
      <c r="G1024" s="3">
        <v>8493742522</v>
      </c>
      <c r="H1024" s="2">
        <v>46132</v>
      </c>
      <c r="K1024" s="1">
        <f ca="1">IF(A1024="","",IF(OR(L1024="ENTREGADA",L1024="RETORNADA",L1024="ENTREGA DIGITAL"),0,MAX(0,5-NETWORKDAYS(H1024+1,TODAY()))))</f>
        <v>0</v>
      </c>
      <c r="L1024" t="str">
        <f>IF(A1024="","",IFERROR(LOOKUP(2,1/(#REF!=Z1024),#REF!),Y1024))</f>
        <v>ENTREGADA</v>
      </c>
      <c r="Y1024" t="s">
        <v>1956</v>
      </c>
      <c r="Z1024" t="str">
        <f>IF(A1024="","",TEXT(A1024,"0")&amp;"|"&amp;TEXT(H1024,"0"))</f>
        <v>5415017855027210|46132</v>
      </c>
      <c r="AA1024" t="str">
        <f>IF(Z1024="","",IFERROR(LOOKUP(2,1/(#REF!=Z1024),#REF!),""))</f>
        <v/>
      </c>
      <c r="AB1024" t="str">
        <f>IF(Z1024="","",IFERROR(LOOKUP(2,1/(#REF!=Z1024),#REF!),""))</f>
        <v/>
      </c>
      <c r="AC1024" t="e">
        <f>IF(Z1024="","",COUNTIF(#REF!,Z1024))</f>
        <v>#REF!</v>
      </c>
      <c r="AD1024" t="e">
        <f>IF(A1024="","",IF(AC1024&gt;1,"REVISAR DUPLICADO",IF(AA1024&lt;&gt;"","ACTUALIZADO POR EYR","SIN REPORTE EYR")))</f>
        <v>#REF!</v>
      </c>
    </row>
    <row r="1025" spans="1:30" x14ac:dyDescent="0.3">
      <c r="A1025" s="5" t="s">
        <v>2693</v>
      </c>
      <c r="B1025" t="s">
        <v>2692</v>
      </c>
      <c r="C1025" s="4" t="s">
        <v>2691</v>
      </c>
      <c r="D1025" t="s">
        <v>77</v>
      </c>
      <c r="F1025" t="s">
        <v>13</v>
      </c>
      <c r="G1025" s="3">
        <v>8297861515</v>
      </c>
      <c r="H1025" s="2">
        <v>46132</v>
      </c>
      <c r="K1025" s="1">
        <f ca="1">IF(A1025="","",IF(OR(L1025="ENTREGADA",L1025="RETORNADA",L1025="ENTREGA DIGITAL"),0,MAX(0,5-NETWORKDAYS(H1025+1,TODAY()))))</f>
        <v>0</v>
      </c>
      <c r="L1025" t="str">
        <f>IF(A1025="","",IFERROR(LOOKUP(2,1/(#REF!=Z1025),#REF!),Y1025))</f>
        <v>ENTREGA DIGITAL</v>
      </c>
      <c r="Y1025" t="s">
        <v>1396</v>
      </c>
      <c r="Z1025" t="str">
        <f>IF(A1025="","",TEXT(A1025,"0")&amp;"|"&amp;TEXT(H1025,"0"))</f>
        <v>4921017856742730|46132</v>
      </c>
      <c r="AA1025" t="str">
        <f>IF(Z1025="","",IFERROR(LOOKUP(2,1/(#REF!=Z1025),#REF!),""))</f>
        <v/>
      </c>
      <c r="AB1025" t="str">
        <f>IF(Z1025="","",IFERROR(LOOKUP(2,1/(#REF!=Z1025),#REF!),""))</f>
        <v/>
      </c>
      <c r="AC1025" t="e">
        <f>IF(Z1025="","",COUNTIF(#REF!,Z1025))</f>
        <v>#REF!</v>
      </c>
      <c r="AD1025" t="e">
        <f>IF(A1025="","",IF(AC1025&gt;1,"REVISAR DUPLICADO",IF(AA1025&lt;&gt;"","ACTUALIZADO POR EYR","SIN REPORTE EYR")))</f>
        <v>#REF!</v>
      </c>
    </row>
    <row r="1026" spans="1:30" x14ac:dyDescent="0.3">
      <c r="A1026" s="5" t="s">
        <v>2690</v>
      </c>
      <c r="B1026" t="s">
        <v>2689</v>
      </c>
      <c r="C1026" s="4" t="s">
        <v>2688</v>
      </c>
      <c r="D1026" t="s">
        <v>1</v>
      </c>
      <c r="F1026" t="s">
        <v>0</v>
      </c>
      <c r="G1026" s="3">
        <v>8096415831</v>
      </c>
      <c r="H1026" s="2">
        <v>46132</v>
      </c>
      <c r="K1026" s="1">
        <f ca="1">IF(A1026="","",IF(OR(L1026="ENTREGADA",L1026="RETORNADA",L1026="ENTREGA DIGITAL"),0,MAX(0,5-NETWORKDAYS(H1026+1,TODAY()))))</f>
        <v>0</v>
      </c>
      <c r="L1026" t="str">
        <f>IF(A1026="","",IFERROR(LOOKUP(2,1/(#REF!=Z1026),#REF!),Y1026))</f>
        <v>ENTREGADA</v>
      </c>
      <c r="Y1026" t="s">
        <v>1956</v>
      </c>
      <c r="Z1026" t="str">
        <f>IF(A1026="","",TEXT(A1026,"0")&amp;"|"&amp;TEXT(H1026,"0"))</f>
        <v>4966017771366890|46132</v>
      </c>
      <c r="AA1026" t="str">
        <f>IF(Z1026="","",IFERROR(LOOKUP(2,1/(#REF!=Z1026),#REF!),""))</f>
        <v/>
      </c>
      <c r="AB1026" t="str">
        <f>IF(Z1026="","",IFERROR(LOOKUP(2,1/(#REF!=Z1026),#REF!),""))</f>
        <v/>
      </c>
      <c r="AC1026" t="e">
        <f>IF(Z1026="","",COUNTIF(#REF!,Z1026))</f>
        <v>#REF!</v>
      </c>
      <c r="AD1026" t="e">
        <f>IF(A1026="","",IF(AC1026&gt;1,"REVISAR DUPLICADO",IF(AA1026&lt;&gt;"","ACTUALIZADO POR EYR","SIN REPORTE EYR")))</f>
        <v>#REF!</v>
      </c>
    </row>
    <row r="1027" spans="1:30" x14ac:dyDescent="0.3">
      <c r="A1027" s="5" t="s">
        <v>2687</v>
      </c>
      <c r="B1027" t="s">
        <v>2686</v>
      </c>
      <c r="C1027" s="4" t="s">
        <v>2685</v>
      </c>
      <c r="D1027" t="s">
        <v>1</v>
      </c>
      <c r="F1027" t="s">
        <v>13</v>
      </c>
      <c r="G1027" s="3">
        <v>8092970514</v>
      </c>
      <c r="H1027" s="2">
        <v>46132</v>
      </c>
      <c r="K1027" s="1">
        <f ca="1">IF(A1027="","",IF(OR(L1027="ENTREGADA",L1027="RETORNADA",L1027="ENTREGA DIGITAL"),0,MAX(0,5-NETWORKDAYS(H1027+1,TODAY()))))</f>
        <v>0</v>
      </c>
      <c r="L1027" t="str">
        <f>IF(A1027="","",IFERROR(LOOKUP(2,1/(#REF!=Z1027),#REF!),Y1027))</f>
        <v>ENTREGADA</v>
      </c>
      <c r="Y1027" t="s">
        <v>1956</v>
      </c>
      <c r="Z1027" t="str">
        <f>IF(A1027="","",TEXT(A1027,"0")&amp;"|"&amp;TEXT(H1027,"0"))</f>
        <v>4741017854458770|46132</v>
      </c>
      <c r="AA1027" t="str">
        <f>IF(Z1027="","",IFERROR(LOOKUP(2,1/(#REF!=Z1027),#REF!),""))</f>
        <v/>
      </c>
      <c r="AB1027" t="str">
        <f>IF(Z1027="","",IFERROR(LOOKUP(2,1/(#REF!=Z1027),#REF!),""))</f>
        <v/>
      </c>
      <c r="AC1027" t="e">
        <f>IF(Z1027="","",COUNTIF(#REF!,Z1027))</f>
        <v>#REF!</v>
      </c>
      <c r="AD1027" t="e">
        <f>IF(A1027="","",IF(AC1027&gt;1,"REVISAR DUPLICADO",IF(AA1027&lt;&gt;"","ACTUALIZADO POR EYR","SIN REPORTE EYR")))</f>
        <v>#REF!</v>
      </c>
    </row>
    <row r="1028" spans="1:30" x14ac:dyDescent="0.3">
      <c r="A1028" s="5" t="s">
        <v>2684</v>
      </c>
      <c r="B1028" t="s">
        <v>2683</v>
      </c>
      <c r="C1028" s="4" t="s">
        <v>2682</v>
      </c>
      <c r="D1028" t="s">
        <v>1</v>
      </c>
      <c r="F1028" t="s">
        <v>146</v>
      </c>
      <c r="G1028" s="3">
        <v>9999999999</v>
      </c>
      <c r="H1028" s="2">
        <v>46132</v>
      </c>
      <c r="K1028" s="1">
        <f ca="1">IF(A1028="","",IF(OR(L1028="ENTREGADA",L1028="RETORNADA",L1028="ENTREGA DIGITAL"),0,MAX(0,5-NETWORKDAYS(H1028+1,TODAY()))))</f>
        <v>0</v>
      </c>
      <c r="L1028" t="str">
        <f>IF(A1028="","",IFERROR(LOOKUP(2,1/(#REF!=Z1028),#REF!),Y1028))</f>
        <v>ENTREGADA</v>
      </c>
      <c r="Y1028" t="s">
        <v>1956</v>
      </c>
      <c r="Z1028" t="str">
        <f>IF(A1028="","",TEXT(A1028,"0")&amp;"|"&amp;TEXT(H1028,"0"))</f>
        <v>4741017752971720|46132</v>
      </c>
      <c r="AA1028" t="str">
        <f>IF(Z1028="","",IFERROR(LOOKUP(2,1/(#REF!=Z1028),#REF!),""))</f>
        <v/>
      </c>
      <c r="AB1028" t="str">
        <f>IF(Z1028="","",IFERROR(LOOKUP(2,1/(#REF!=Z1028),#REF!),""))</f>
        <v/>
      </c>
      <c r="AC1028" t="e">
        <f>IF(Z1028="","",COUNTIF(#REF!,Z1028))</f>
        <v>#REF!</v>
      </c>
      <c r="AD1028" t="e">
        <f>IF(A1028="","",IF(AC1028&gt;1,"REVISAR DUPLICADO",IF(AA1028&lt;&gt;"","ACTUALIZADO POR EYR","SIN REPORTE EYR")))</f>
        <v>#REF!</v>
      </c>
    </row>
    <row r="1029" spans="1:30" x14ac:dyDescent="0.3">
      <c r="A1029" s="5" t="s">
        <v>2681</v>
      </c>
      <c r="B1029" t="s">
        <v>2680</v>
      </c>
      <c r="C1029" s="4" t="s">
        <v>2679</v>
      </c>
      <c r="D1029" t="s">
        <v>1</v>
      </c>
      <c r="F1029" t="s">
        <v>2678</v>
      </c>
      <c r="G1029" s="3">
        <v>8094806531</v>
      </c>
      <c r="H1029" s="2">
        <v>46132</v>
      </c>
      <c r="K1029" s="1">
        <f ca="1">IF(A1029="","",IF(OR(L1029="ENTREGADA",L1029="RETORNADA",L1029="ENTREGA DIGITAL"),0,MAX(0,5-NETWORKDAYS(H1029+1,TODAY()))))</f>
        <v>0</v>
      </c>
      <c r="L1029" t="str">
        <f>IF(A1029="","",IFERROR(LOOKUP(2,1/(#REF!=Z1029),#REF!),Y1029))</f>
        <v>ENTREGADA</v>
      </c>
      <c r="Y1029" t="s">
        <v>1956</v>
      </c>
      <c r="Z1029" t="str">
        <f>IF(A1029="","",TEXT(A1029,"0")&amp;"|"&amp;TEXT(H1029,"0"))</f>
        <v>4966017552340740|46132</v>
      </c>
      <c r="AA1029" t="str">
        <f>IF(Z1029="","",IFERROR(LOOKUP(2,1/(#REF!=Z1029),#REF!),""))</f>
        <v/>
      </c>
      <c r="AB1029" t="str">
        <f>IF(Z1029="","",IFERROR(LOOKUP(2,1/(#REF!=Z1029),#REF!),""))</f>
        <v/>
      </c>
      <c r="AC1029" t="e">
        <f>IF(Z1029="","",COUNTIF(#REF!,Z1029))</f>
        <v>#REF!</v>
      </c>
      <c r="AD1029" t="e">
        <f>IF(A1029="","",IF(AC1029&gt;1,"REVISAR DUPLICADO",IF(AA1029&lt;&gt;"","ACTUALIZADO POR EYR","SIN REPORTE EYR")))</f>
        <v>#REF!</v>
      </c>
    </row>
    <row r="1030" spans="1:30" x14ac:dyDescent="0.3">
      <c r="A1030" s="5" t="s">
        <v>2677</v>
      </c>
      <c r="B1030" t="s">
        <v>2676</v>
      </c>
      <c r="C1030" s="4" t="s">
        <v>2675</v>
      </c>
      <c r="D1030" t="s">
        <v>1</v>
      </c>
      <c r="F1030" t="s">
        <v>13</v>
      </c>
      <c r="G1030" s="3">
        <v>8297441970</v>
      </c>
      <c r="H1030" s="2">
        <v>46132</v>
      </c>
      <c r="K1030" s="1">
        <f ca="1">IF(A1030="","",IF(OR(L1030="ENTREGADA",L1030="RETORNADA",L1030="ENTREGA DIGITAL"),0,MAX(0,5-NETWORKDAYS(H1030+1,TODAY()))))</f>
        <v>0</v>
      </c>
      <c r="L1030" t="str">
        <f>IF(A1030="","",IFERROR(LOOKUP(2,1/(#REF!=Z1030),#REF!),Y1030))</f>
        <v>ENTREGADA</v>
      </c>
      <c r="Y1030" t="s">
        <v>1956</v>
      </c>
      <c r="Z1030" t="str">
        <f>IF(A1030="","",TEXT(A1030,"0")&amp;"|"&amp;TEXT(H1030,"0"))</f>
        <v>5400017685033370|46132</v>
      </c>
      <c r="AA1030" t="str">
        <f>IF(Z1030="","",IFERROR(LOOKUP(2,1/(#REF!=Z1030),#REF!),""))</f>
        <v/>
      </c>
      <c r="AB1030" t="str">
        <f>IF(Z1030="","",IFERROR(LOOKUP(2,1/(#REF!=Z1030),#REF!),""))</f>
        <v/>
      </c>
      <c r="AC1030" t="e">
        <f>IF(Z1030="","",COUNTIF(#REF!,Z1030))</f>
        <v>#REF!</v>
      </c>
      <c r="AD1030" t="e">
        <f>IF(A1030="","",IF(AC1030&gt;1,"REVISAR DUPLICADO",IF(AA1030&lt;&gt;"","ACTUALIZADO POR EYR","SIN REPORTE EYR")))</f>
        <v>#REF!</v>
      </c>
    </row>
    <row r="1031" spans="1:30" x14ac:dyDescent="0.3">
      <c r="A1031" s="5" t="s">
        <v>2674</v>
      </c>
      <c r="B1031" t="s">
        <v>2673</v>
      </c>
      <c r="C1031" s="4" t="s">
        <v>2672</v>
      </c>
      <c r="D1031" t="s">
        <v>1</v>
      </c>
      <c r="F1031" t="s">
        <v>2671</v>
      </c>
      <c r="G1031" s="3">
        <v>8098363124</v>
      </c>
      <c r="H1031" s="2">
        <v>46132</v>
      </c>
      <c r="K1031" s="1">
        <f ca="1">IF(A1031="","",IF(OR(L1031="ENTREGADA",L1031="RETORNADA",L1031="ENTREGA DIGITAL"),0,MAX(0,5-NETWORKDAYS(H1031+1,TODAY()))))</f>
        <v>0</v>
      </c>
      <c r="L1031" t="str">
        <f>IF(A1031="","",IFERROR(LOOKUP(2,1/(#REF!=Z1031),#REF!),Y1031))</f>
        <v>ENTREGADA</v>
      </c>
      <c r="Y1031" t="s">
        <v>1956</v>
      </c>
      <c r="Z1031" t="str">
        <f>IF(A1031="","",TEXT(A1031,"0")&amp;"|"&amp;TEXT(H1031,"0"))</f>
        <v>5188017855992390|46132</v>
      </c>
      <c r="AA1031" t="str">
        <f>IF(Z1031="","",IFERROR(LOOKUP(2,1/(#REF!=Z1031),#REF!),""))</f>
        <v/>
      </c>
      <c r="AB1031" t="str">
        <f>IF(Z1031="","",IFERROR(LOOKUP(2,1/(#REF!=Z1031),#REF!),""))</f>
        <v/>
      </c>
      <c r="AC1031" t="e">
        <f>IF(Z1031="","",COUNTIF(#REF!,Z1031))</f>
        <v>#REF!</v>
      </c>
      <c r="AD1031" t="e">
        <f>IF(A1031="","",IF(AC1031&gt;1,"REVISAR DUPLICADO",IF(AA1031&lt;&gt;"","ACTUALIZADO POR EYR","SIN REPORTE EYR")))</f>
        <v>#REF!</v>
      </c>
    </row>
    <row r="1032" spans="1:30" x14ac:dyDescent="0.3">
      <c r="A1032" s="5" t="s">
        <v>2670</v>
      </c>
      <c r="B1032" t="s">
        <v>2669</v>
      </c>
      <c r="C1032" s="4" t="s">
        <v>2668</v>
      </c>
      <c r="D1032" t="s">
        <v>1</v>
      </c>
      <c r="E1032" t="s">
        <v>214</v>
      </c>
      <c r="F1032" t="s">
        <v>2667</v>
      </c>
      <c r="G1032" s="3">
        <v>8097504055</v>
      </c>
      <c r="H1032" s="2">
        <v>46132</v>
      </c>
      <c r="K1032" s="1">
        <f ca="1">IF(A1032="","",IF(OR(L1032="ENTREGADA",L1032="RETORNADA",L1032="ENTREGA DIGITAL"),0,MAX(0,5-NETWORKDAYS(H1032+1,TODAY()))))</f>
        <v>0</v>
      </c>
      <c r="L1032" t="str">
        <f>IF(A1032="","",IFERROR(LOOKUP(2,1/(#REF!=Z1032),#REF!),Y1032))</f>
        <v>RETORNADA</v>
      </c>
      <c r="Y1032" t="s">
        <v>1857</v>
      </c>
      <c r="Z1032" t="str">
        <f>IF(A1032="","",TEXT(A1032,"0")&amp;"|"&amp;TEXT(H1032,"0"))</f>
        <v>4921017857526750|46132</v>
      </c>
      <c r="AA1032" t="str">
        <f>IF(Z1032="","",IFERROR(LOOKUP(2,1/(#REF!=Z1032),#REF!),""))</f>
        <v/>
      </c>
      <c r="AB1032" t="str">
        <f>IF(Z1032="","",IFERROR(LOOKUP(2,1/(#REF!=Z1032),#REF!),""))</f>
        <v/>
      </c>
      <c r="AC1032" t="e">
        <f>IF(Z1032="","",COUNTIF(#REF!,Z1032))</f>
        <v>#REF!</v>
      </c>
      <c r="AD1032" t="e">
        <f>IF(A1032="","",IF(AC1032&gt;1,"REVISAR DUPLICADO",IF(AA1032&lt;&gt;"","ACTUALIZADO POR EYR","SIN REPORTE EYR")))</f>
        <v>#REF!</v>
      </c>
    </row>
    <row r="1033" spans="1:30" x14ac:dyDescent="0.3">
      <c r="A1033" s="5" t="s">
        <v>2666</v>
      </c>
      <c r="B1033" t="s">
        <v>2665</v>
      </c>
      <c r="C1033" s="4" t="s">
        <v>2664</v>
      </c>
      <c r="D1033" t="s">
        <v>1</v>
      </c>
      <c r="F1033" t="s">
        <v>13</v>
      </c>
      <c r="G1033" s="3">
        <v>8299999999</v>
      </c>
      <c r="H1033" s="2">
        <v>46132</v>
      </c>
      <c r="K1033" s="1">
        <f ca="1">IF(A1033="","",IF(OR(L1033="ENTREGADA",L1033="RETORNADA",L1033="ENTREGA DIGITAL"),0,MAX(0,5-NETWORKDAYS(H1033+1,TODAY()))))</f>
        <v>0</v>
      </c>
      <c r="L1033" t="str">
        <f>IF(A1033="","",IFERROR(LOOKUP(2,1/(#REF!=Z1033),#REF!),Y1033))</f>
        <v>RETORNADA</v>
      </c>
      <c r="Y1033" t="s">
        <v>1857</v>
      </c>
      <c r="Z1033" t="str">
        <f>IF(A1033="","",TEXT(A1033,"0")&amp;"|"&amp;TEXT(H1033,"0"))</f>
        <v>5400017855696160|46132</v>
      </c>
      <c r="AA1033" t="str">
        <f>IF(Z1033="","",IFERROR(LOOKUP(2,1/(#REF!=Z1033),#REF!),""))</f>
        <v/>
      </c>
      <c r="AB1033" t="str">
        <f>IF(Z1033="","",IFERROR(LOOKUP(2,1/(#REF!=Z1033),#REF!),""))</f>
        <v/>
      </c>
      <c r="AC1033" t="e">
        <f>IF(Z1033="","",COUNTIF(#REF!,Z1033))</f>
        <v>#REF!</v>
      </c>
      <c r="AD1033" t="e">
        <f>IF(A1033="","",IF(AC1033&gt;1,"REVISAR DUPLICADO",IF(AA1033&lt;&gt;"","ACTUALIZADO POR EYR","SIN REPORTE EYR")))</f>
        <v>#REF!</v>
      </c>
    </row>
    <row r="1034" spans="1:30" x14ac:dyDescent="0.3">
      <c r="A1034" s="5" t="s">
        <v>2663</v>
      </c>
      <c r="B1034" t="s">
        <v>2662</v>
      </c>
      <c r="C1034" s="4" t="s">
        <v>2661</v>
      </c>
      <c r="D1034" t="s">
        <v>1</v>
      </c>
      <c r="F1034" t="s">
        <v>13</v>
      </c>
      <c r="G1034" s="3">
        <v>8098645706</v>
      </c>
      <c r="H1034" s="2">
        <v>46132</v>
      </c>
      <c r="K1034" s="1">
        <f ca="1">IF(A1034="","",IF(OR(L1034="ENTREGADA",L1034="RETORNADA",L1034="ENTREGA DIGITAL"),0,MAX(0,5-NETWORKDAYS(H1034+1,TODAY()))))</f>
        <v>0</v>
      </c>
      <c r="L1034" t="str">
        <f>IF(A1034="","",IFERROR(LOOKUP(2,1/(#REF!=Z1034),#REF!),Y1034))</f>
        <v>ENTREGADA</v>
      </c>
      <c r="Y1034" t="s">
        <v>1956</v>
      </c>
      <c r="Z1034" t="str">
        <f>IF(A1034="","",TEXT(A1034,"0")&amp;"|"&amp;TEXT(H1034,"0"))</f>
        <v>5427017855840240|46132</v>
      </c>
      <c r="AA1034" t="str">
        <f>IF(Z1034="","",IFERROR(LOOKUP(2,1/(#REF!=Z1034),#REF!),""))</f>
        <v/>
      </c>
      <c r="AB1034" t="str">
        <f>IF(Z1034="","",IFERROR(LOOKUP(2,1/(#REF!=Z1034),#REF!),""))</f>
        <v/>
      </c>
      <c r="AC1034" t="e">
        <f>IF(Z1034="","",COUNTIF(#REF!,Z1034))</f>
        <v>#REF!</v>
      </c>
      <c r="AD1034" t="e">
        <f>IF(A1034="","",IF(AC1034&gt;1,"REVISAR DUPLICADO",IF(AA1034&lt;&gt;"","ACTUALIZADO POR EYR","SIN REPORTE EYR")))</f>
        <v>#REF!</v>
      </c>
    </row>
    <row r="1035" spans="1:30" x14ac:dyDescent="0.3">
      <c r="A1035" s="5" t="s">
        <v>2660</v>
      </c>
      <c r="B1035" t="s">
        <v>2659</v>
      </c>
      <c r="C1035" s="4" t="s">
        <v>2658</v>
      </c>
      <c r="D1035" t="s">
        <v>1</v>
      </c>
      <c r="F1035" t="s">
        <v>13</v>
      </c>
      <c r="G1035" s="3">
        <v>8494886094</v>
      </c>
      <c r="H1035" s="2">
        <v>46132</v>
      </c>
      <c r="K1035" s="1">
        <f ca="1">IF(A1035="","",IF(OR(L1035="ENTREGADA",L1035="RETORNADA",L1035="ENTREGA DIGITAL"),0,MAX(0,5-NETWORKDAYS(H1035+1,TODAY()))))</f>
        <v>0</v>
      </c>
      <c r="L1035" t="str">
        <f>IF(A1035="","",IFERROR(LOOKUP(2,1/(#REF!=Z1035),#REF!),Y1035))</f>
        <v>RETORNADA</v>
      </c>
      <c r="Y1035" t="s">
        <v>1857</v>
      </c>
      <c r="Z1035" t="str">
        <f>IF(A1035="","",TEXT(A1035,"0")&amp;"|"&amp;TEXT(H1035,"0"))</f>
        <v>4921017857199950|46132</v>
      </c>
      <c r="AA1035" t="str">
        <f>IF(Z1035="","",IFERROR(LOOKUP(2,1/(#REF!=Z1035),#REF!),""))</f>
        <v/>
      </c>
      <c r="AB1035" t="str">
        <f>IF(Z1035="","",IFERROR(LOOKUP(2,1/(#REF!=Z1035),#REF!),""))</f>
        <v/>
      </c>
      <c r="AC1035" t="e">
        <f>IF(Z1035="","",COUNTIF(#REF!,Z1035))</f>
        <v>#REF!</v>
      </c>
      <c r="AD1035" t="e">
        <f>IF(A1035="","",IF(AC1035&gt;1,"REVISAR DUPLICADO",IF(AA1035&lt;&gt;"","ACTUALIZADO POR EYR","SIN REPORTE EYR")))</f>
        <v>#REF!</v>
      </c>
    </row>
    <row r="1036" spans="1:30" x14ac:dyDescent="0.3">
      <c r="A1036" s="5" t="s">
        <v>2657</v>
      </c>
      <c r="B1036" t="s">
        <v>2656</v>
      </c>
      <c r="C1036" s="4" t="s">
        <v>2655</v>
      </c>
      <c r="D1036" t="s">
        <v>77</v>
      </c>
      <c r="F1036" t="s">
        <v>2654</v>
      </c>
      <c r="G1036" s="3">
        <v>8497637546</v>
      </c>
      <c r="H1036" s="2">
        <v>46132</v>
      </c>
      <c r="K1036" s="1">
        <f ca="1">IF(A1036="","",IF(OR(L1036="ENTREGADA",L1036="RETORNADA",L1036="ENTREGA DIGITAL"),0,MAX(0,5-NETWORKDAYS(H1036+1,TODAY()))))</f>
        <v>0</v>
      </c>
      <c r="L1036" t="str">
        <f>IF(A1036="","",IFERROR(LOOKUP(2,1/(#REF!=Z1036),#REF!),Y1036))</f>
        <v>RETORNADA</v>
      </c>
      <c r="Y1036" t="s">
        <v>1857</v>
      </c>
      <c r="Z1036" t="str">
        <f>IF(A1036="","",TEXT(A1036,"0")&amp;"|"&amp;TEXT(H1036,"0"))</f>
        <v>4921017862566130|46132</v>
      </c>
      <c r="AA1036" t="str">
        <f>IF(Z1036="","",IFERROR(LOOKUP(2,1/(#REF!=Z1036),#REF!),""))</f>
        <v/>
      </c>
      <c r="AB1036" t="str">
        <f>IF(Z1036="","",IFERROR(LOOKUP(2,1/(#REF!=Z1036),#REF!),""))</f>
        <v/>
      </c>
      <c r="AC1036" t="e">
        <f>IF(Z1036="","",COUNTIF(#REF!,Z1036))</f>
        <v>#REF!</v>
      </c>
      <c r="AD1036" t="e">
        <f>IF(A1036="","",IF(AC1036&gt;1,"REVISAR DUPLICADO",IF(AA1036&lt;&gt;"","ACTUALIZADO POR EYR","SIN REPORTE EYR")))</f>
        <v>#REF!</v>
      </c>
    </row>
    <row r="1037" spans="1:30" x14ac:dyDescent="0.3">
      <c r="A1037" s="5" t="s">
        <v>2653</v>
      </c>
      <c r="B1037" t="s">
        <v>2652</v>
      </c>
      <c r="C1037" s="4" t="s">
        <v>2651</v>
      </c>
      <c r="D1037" t="s">
        <v>77</v>
      </c>
      <c r="F1037" t="s">
        <v>2650</v>
      </c>
      <c r="G1037" s="3">
        <v>8297205590</v>
      </c>
      <c r="H1037" s="2">
        <v>46132</v>
      </c>
      <c r="I1037" t="s">
        <v>1397</v>
      </c>
      <c r="K1037" s="1">
        <f ca="1">IF(A1037="","",IF(OR(L1037="ENTREGADA",L1037="RETORNADA",L1037="ENTREGA DIGITAL"),0,MAX(0,5-NETWORKDAYS(H1037+1,TODAY()))))</f>
        <v>0</v>
      </c>
      <c r="L1037" t="str">
        <f>IF(A1037="","",IFERROR(LOOKUP(2,1/(#REF!=Z1037),#REF!),Y1037))</f>
        <v>ENTREGADA</v>
      </c>
      <c r="Y1037" t="s">
        <v>1956</v>
      </c>
      <c r="Z1037" t="str">
        <f>IF(A1037="","",TEXT(A1037,"0")&amp;"|"&amp;TEXT(H1037,"0"))</f>
        <v>4921017862885330|46132</v>
      </c>
      <c r="AA1037" t="str">
        <f>IF(Z1037="","",IFERROR(LOOKUP(2,1/(#REF!=Z1037),#REF!),""))</f>
        <v/>
      </c>
      <c r="AB1037" t="str">
        <f>IF(Z1037="","",IFERROR(LOOKUP(2,1/(#REF!=Z1037),#REF!),""))</f>
        <v/>
      </c>
      <c r="AC1037" t="e">
        <f>IF(Z1037="","",COUNTIF(#REF!,Z1037))</f>
        <v>#REF!</v>
      </c>
      <c r="AD1037" t="e">
        <f>IF(A1037="","",IF(AC1037&gt;1,"REVISAR DUPLICADO",IF(AA1037&lt;&gt;"","ACTUALIZADO POR EYR","SIN REPORTE EYR")))</f>
        <v>#REF!</v>
      </c>
    </row>
    <row r="1038" spans="1:30" x14ac:dyDescent="0.3">
      <c r="A1038" s="5" t="s">
        <v>2649</v>
      </c>
      <c r="B1038" t="s">
        <v>2648</v>
      </c>
      <c r="C1038" s="4" t="s">
        <v>2647</v>
      </c>
      <c r="D1038" t="s">
        <v>77</v>
      </c>
      <c r="E1038" t="s">
        <v>214</v>
      </c>
      <c r="F1038" t="s">
        <v>391</v>
      </c>
      <c r="G1038" s="3">
        <v>8293581533</v>
      </c>
      <c r="H1038" s="2">
        <v>46132</v>
      </c>
      <c r="K1038" s="1">
        <f ca="1">IF(A1038="","",IF(OR(L1038="ENTREGADA",L1038="RETORNADA",L1038="ENTREGA DIGITAL"),0,MAX(0,5-NETWORKDAYS(H1038+1,TODAY()))))</f>
        <v>0</v>
      </c>
      <c r="L1038" t="str">
        <f>IF(A1038="","",IFERROR(LOOKUP(2,1/(#REF!=Z1038),#REF!),Y1038))</f>
        <v>ENTREGA DIGITAL</v>
      </c>
      <c r="Y1038" t="s">
        <v>1396</v>
      </c>
      <c r="Z1038" t="str">
        <f>IF(A1038="","",TEXT(A1038,"0")&amp;"|"&amp;TEXT(H1038,"0"))</f>
        <v>4921017865358920|46132</v>
      </c>
      <c r="AA1038" t="str">
        <f>IF(Z1038="","",IFERROR(LOOKUP(2,1/(#REF!=Z1038),#REF!),""))</f>
        <v/>
      </c>
      <c r="AB1038" t="str">
        <f>IF(Z1038="","",IFERROR(LOOKUP(2,1/(#REF!=Z1038),#REF!),""))</f>
        <v/>
      </c>
      <c r="AC1038" t="e">
        <f>IF(Z1038="","",COUNTIF(#REF!,Z1038))</f>
        <v>#REF!</v>
      </c>
      <c r="AD1038" t="e">
        <f>IF(A1038="","",IF(AC1038&gt;1,"REVISAR DUPLICADO",IF(AA1038&lt;&gt;"","ACTUALIZADO POR EYR","SIN REPORTE EYR")))</f>
        <v>#REF!</v>
      </c>
    </row>
    <row r="1039" spans="1:30" x14ac:dyDescent="0.3">
      <c r="A1039" s="5" t="s">
        <v>2646</v>
      </c>
      <c r="B1039" t="s">
        <v>2645</v>
      </c>
      <c r="C1039" s="4" t="s">
        <v>2644</v>
      </c>
      <c r="D1039" t="s">
        <v>77</v>
      </c>
      <c r="F1039" t="s">
        <v>13</v>
      </c>
      <c r="G1039" s="3">
        <v>8098842819</v>
      </c>
      <c r="H1039" s="2">
        <v>46132</v>
      </c>
      <c r="I1039" t="s">
        <v>1397</v>
      </c>
      <c r="K1039" s="1">
        <f ca="1">IF(A1039="","",IF(OR(L1039="ENTREGADA",L1039="RETORNADA",L1039="ENTREGA DIGITAL"),0,MAX(0,5-NETWORKDAYS(H1039+1,TODAY()))))</f>
        <v>0</v>
      </c>
      <c r="L1039" t="str">
        <f>IF(A1039="","",IFERROR(LOOKUP(2,1/(#REF!=Z1039),#REF!),Y1039))</f>
        <v>ENTREGA DIGITAL</v>
      </c>
      <c r="Y1039" t="s">
        <v>1396</v>
      </c>
      <c r="Z1039" t="str">
        <f>IF(A1039="","",TEXT(A1039,"0")&amp;"|"&amp;TEXT(H1039,"0"))</f>
        <v>4921017862256820|46132</v>
      </c>
      <c r="AA1039" t="str">
        <f>IF(Z1039="","",IFERROR(LOOKUP(2,1/(#REF!=Z1039),#REF!),""))</f>
        <v/>
      </c>
      <c r="AB1039" t="str">
        <f>IF(Z1039="","",IFERROR(LOOKUP(2,1/(#REF!=Z1039),#REF!),""))</f>
        <v/>
      </c>
      <c r="AC1039" t="e">
        <f>IF(Z1039="","",COUNTIF(#REF!,Z1039))</f>
        <v>#REF!</v>
      </c>
      <c r="AD1039" t="e">
        <f>IF(A1039="","",IF(AC1039&gt;1,"REVISAR DUPLICADO",IF(AA1039&lt;&gt;"","ACTUALIZADO POR EYR","SIN REPORTE EYR")))</f>
        <v>#REF!</v>
      </c>
    </row>
    <row r="1040" spans="1:30" x14ac:dyDescent="0.3">
      <c r="A1040" s="5" t="s">
        <v>2643</v>
      </c>
      <c r="B1040" t="s">
        <v>2642</v>
      </c>
      <c r="C1040" s="4" t="s">
        <v>2641</v>
      </c>
      <c r="D1040" t="s">
        <v>77</v>
      </c>
      <c r="F1040" t="s">
        <v>2640</v>
      </c>
      <c r="G1040" s="3">
        <v>8094367107</v>
      </c>
      <c r="H1040" s="2">
        <v>46132</v>
      </c>
      <c r="K1040" s="1">
        <f ca="1">IF(A1040="","",IF(OR(L1040="ENTREGADA",L1040="RETORNADA",L1040="ENTREGA DIGITAL"),0,MAX(0,5-NETWORKDAYS(H1040+1,TODAY()))))</f>
        <v>0</v>
      </c>
      <c r="L1040" t="str">
        <f>IF(A1040="","",IFERROR(LOOKUP(2,1/(#REF!=Z1040),#REF!),Y1040))</f>
        <v>ENTREGADA</v>
      </c>
      <c r="Y1040" t="s">
        <v>1956</v>
      </c>
      <c r="Z1040" t="str">
        <f>IF(A1040="","",TEXT(A1040,"0")&amp;"|"&amp;TEXT(H1040,"0"))</f>
        <v>4921017862730330|46132</v>
      </c>
      <c r="AA1040" t="str">
        <f>IF(Z1040="","",IFERROR(LOOKUP(2,1/(#REF!=Z1040),#REF!),""))</f>
        <v/>
      </c>
      <c r="AB1040" t="str">
        <f>IF(Z1040="","",IFERROR(LOOKUP(2,1/(#REF!=Z1040),#REF!),""))</f>
        <v/>
      </c>
      <c r="AC1040" t="e">
        <f>IF(Z1040="","",COUNTIF(#REF!,Z1040))</f>
        <v>#REF!</v>
      </c>
      <c r="AD1040" t="e">
        <f>IF(A1040="","",IF(AC1040&gt;1,"REVISAR DUPLICADO",IF(AA1040&lt;&gt;"","ACTUALIZADO POR EYR","SIN REPORTE EYR")))</f>
        <v>#REF!</v>
      </c>
    </row>
    <row r="1041" spans="1:30" x14ac:dyDescent="0.3">
      <c r="A1041" s="5" t="s">
        <v>2639</v>
      </c>
      <c r="B1041" t="s">
        <v>2638</v>
      </c>
      <c r="C1041" s="4" t="s">
        <v>2637</v>
      </c>
      <c r="D1041" t="s">
        <v>77</v>
      </c>
      <c r="F1041" t="s">
        <v>13</v>
      </c>
      <c r="G1041" s="3">
        <v>8294889661</v>
      </c>
      <c r="H1041" s="2">
        <v>46132</v>
      </c>
      <c r="K1041" s="1">
        <f ca="1">IF(A1041="","",IF(OR(L1041="ENTREGADA",L1041="RETORNADA",L1041="ENTREGA DIGITAL"),0,MAX(0,5-NETWORKDAYS(H1041+1,TODAY()))))</f>
        <v>0</v>
      </c>
      <c r="L1041" t="str">
        <f>IF(A1041="","",IFERROR(LOOKUP(2,1/(#REF!=Z1041),#REF!),Y1041))</f>
        <v>RETORNADA</v>
      </c>
      <c r="Y1041" t="s">
        <v>1857</v>
      </c>
      <c r="Z1041" t="str">
        <f>IF(A1041="","",TEXT(A1041,"0")&amp;"|"&amp;TEXT(H1041,"0"))</f>
        <v>5188017860336650|46132</v>
      </c>
      <c r="AA1041" t="str">
        <f>IF(Z1041="","",IFERROR(LOOKUP(2,1/(#REF!=Z1041),#REF!),""))</f>
        <v/>
      </c>
      <c r="AB1041" t="str">
        <f>IF(Z1041="","",IFERROR(LOOKUP(2,1/(#REF!=Z1041),#REF!),""))</f>
        <v/>
      </c>
      <c r="AC1041" t="e">
        <f>IF(Z1041="","",COUNTIF(#REF!,Z1041))</f>
        <v>#REF!</v>
      </c>
      <c r="AD1041" t="e">
        <f>IF(A1041="","",IF(AC1041&gt;1,"REVISAR DUPLICADO",IF(AA1041&lt;&gt;"","ACTUALIZADO POR EYR","SIN REPORTE EYR")))</f>
        <v>#REF!</v>
      </c>
    </row>
    <row r="1042" spans="1:30" x14ac:dyDescent="0.3">
      <c r="A1042" s="5" t="s">
        <v>2636</v>
      </c>
      <c r="B1042" t="s">
        <v>2635</v>
      </c>
      <c r="C1042" s="4" t="s">
        <v>2634</v>
      </c>
      <c r="D1042" t="s">
        <v>77</v>
      </c>
      <c r="F1042" t="s">
        <v>13</v>
      </c>
      <c r="G1042" s="3">
        <v>8494757082</v>
      </c>
      <c r="H1042" s="2">
        <v>46132</v>
      </c>
      <c r="K1042" s="1">
        <f ca="1">IF(A1042="","",IF(OR(L1128="ENTREGADA",L1128="RETORNADA",L1128="ENTREGA DIGITAL"),0,MAX(0,5-NETWORKDAYS(H1042+1,TODAY()))))</f>
        <v>0</v>
      </c>
      <c r="L1042" t="str">
        <f>IF(A1042="","",IFERROR(LOOKUP(2,1/(#REF!=Z1042),#REF!),Y1042))</f>
        <v>ENTREGADA</v>
      </c>
      <c r="Y1042" t="s">
        <v>1956</v>
      </c>
      <c r="Z1042" t="str">
        <f>IF(A1042="","",TEXT(A1042,"0")&amp;"|"&amp;TEXT(H1042,"0"))</f>
        <v>5415017859576550|46132</v>
      </c>
      <c r="AA1042" t="str">
        <f>IF(Z1042="","",IFERROR(LOOKUP(2,1/(#REF!=Z1042),#REF!),""))</f>
        <v/>
      </c>
      <c r="AB1042" t="str">
        <f>IF(Z1042="","",IFERROR(LOOKUP(2,1/(#REF!=Z1042),#REF!),""))</f>
        <v/>
      </c>
      <c r="AC1042" t="e">
        <f>IF(Z1042="","",COUNTIF(#REF!,Z1042))</f>
        <v>#REF!</v>
      </c>
      <c r="AD1042" t="e">
        <f>IF(A1042="","",IF(AC1042&gt;1,"REVISAR DUPLICADO",IF(AA1042&lt;&gt;"","ACTUALIZADO POR EYR","SIN REPORTE EYR")))</f>
        <v>#REF!</v>
      </c>
    </row>
    <row r="1043" spans="1:30" x14ac:dyDescent="0.3">
      <c r="A1043" s="5" t="s">
        <v>2633</v>
      </c>
      <c r="B1043" t="s">
        <v>2632</v>
      </c>
      <c r="C1043" s="4" t="s">
        <v>2631</v>
      </c>
      <c r="D1043" t="s">
        <v>77</v>
      </c>
      <c r="F1043" t="s">
        <v>13</v>
      </c>
      <c r="G1043" s="3">
        <v>8292630158</v>
      </c>
      <c r="H1043" s="2">
        <v>46132</v>
      </c>
      <c r="K1043" s="1">
        <f ca="1">IF(A1043="","",IF(OR(L1129="ENTREGADA",L1129="RETORNADA",L1129="ENTREGA DIGITAL"),0,MAX(0,5-NETWORKDAYS(H1043+1,TODAY()))))</f>
        <v>0</v>
      </c>
      <c r="L1043" t="str">
        <f>IF(A1043="","",IFERROR(LOOKUP(2,1/(#REF!=Z1043),#REF!),Y1043))</f>
        <v>RETORNADA</v>
      </c>
      <c r="Y1043" t="s">
        <v>1857</v>
      </c>
      <c r="Z1043" t="str">
        <f>IF(A1043="","",TEXT(A1043,"0")&amp;"|"&amp;TEXT(H1043,"0"))</f>
        <v>5415017858843760|46132</v>
      </c>
      <c r="AA1043" t="str">
        <f>IF(Z1043="","",IFERROR(LOOKUP(2,1/(#REF!=Z1043),#REF!),""))</f>
        <v/>
      </c>
      <c r="AB1043" t="str">
        <f>IF(Z1043="","",IFERROR(LOOKUP(2,1/(#REF!=Z1043),#REF!),""))</f>
        <v/>
      </c>
      <c r="AC1043" t="e">
        <f>IF(Z1043="","",COUNTIF(#REF!,Z1043))</f>
        <v>#REF!</v>
      </c>
      <c r="AD1043" t="e">
        <f>IF(A1043="","",IF(AC1043&gt;1,"REVISAR DUPLICADO",IF(AA1043&lt;&gt;"","ACTUALIZADO POR EYR","SIN REPORTE EYR")))</f>
        <v>#REF!</v>
      </c>
    </row>
    <row r="1044" spans="1:30" x14ac:dyDescent="0.3">
      <c r="A1044" s="5" t="s">
        <v>2630</v>
      </c>
      <c r="B1044" t="s">
        <v>2629</v>
      </c>
      <c r="C1044" s="4" t="s">
        <v>2628</v>
      </c>
      <c r="D1044" t="s">
        <v>77</v>
      </c>
      <c r="F1044" t="s">
        <v>13</v>
      </c>
      <c r="G1044" s="3">
        <v>8299638090</v>
      </c>
      <c r="H1044" s="2">
        <v>46132</v>
      </c>
      <c r="K1044" s="1">
        <f ca="1">IF(A1044="","",IF(OR(L1044="ENTREGADA",L1044="RETORNADA",L1044="ENTREGA DIGITAL"),0,MAX(0,5-NETWORKDAYS(H1044+1,TODAY()))))</f>
        <v>0</v>
      </c>
      <c r="L1044" t="str">
        <f>IF(A1044="","",IFERROR(LOOKUP(2,1/(#REF!=Z1044),#REF!),Y1044))</f>
        <v>ENTREGADA</v>
      </c>
      <c r="Y1044" t="s">
        <v>1956</v>
      </c>
      <c r="Z1044" t="str">
        <f>IF(A1044="","",TEXT(A1044,"0")&amp;"|"&amp;TEXT(H1044,"0"))</f>
        <v>5415017858835260|46132</v>
      </c>
      <c r="AA1044" t="str">
        <f>IF(Z1044="","",IFERROR(LOOKUP(2,1/(#REF!=Z1044),#REF!),""))</f>
        <v/>
      </c>
      <c r="AB1044" t="str">
        <f>IF(Z1044="","",IFERROR(LOOKUP(2,1/(#REF!=Z1044),#REF!),""))</f>
        <v/>
      </c>
      <c r="AC1044" t="e">
        <f>IF(Z1044="","",COUNTIF(#REF!,Z1044))</f>
        <v>#REF!</v>
      </c>
      <c r="AD1044" t="e">
        <f>IF(A1044="","",IF(AC1044&gt;1,"REVISAR DUPLICADO",IF(AA1044&lt;&gt;"","ACTUALIZADO POR EYR","SIN REPORTE EYR")))</f>
        <v>#REF!</v>
      </c>
    </row>
    <row r="1045" spans="1:30" x14ac:dyDescent="0.3">
      <c r="A1045" s="5" t="s">
        <v>2627</v>
      </c>
      <c r="B1045" t="s">
        <v>2626</v>
      </c>
      <c r="C1045" s="4" t="s">
        <v>2625</v>
      </c>
      <c r="D1045" t="s">
        <v>77</v>
      </c>
      <c r="E1045" t="s">
        <v>214</v>
      </c>
      <c r="F1045" t="s">
        <v>391</v>
      </c>
      <c r="G1045" s="3">
        <v>8097858784</v>
      </c>
      <c r="H1045" s="2">
        <v>46132</v>
      </c>
      <c r="I1045" t="s">
        <v>1397</v>
      </c>
      <c r="K1045" s="1">
        <f ca="1">IF(A1045="","",IF(OR(L1045="ENTREGADA",L1045="RETORNADA",L1045="ENTREGA DIGITAL"),0,MAX(0,5-NETWORKDAYS(H1045+1,TODAY()))))</f>
        <v>0</v>
      </c>
      <c r="L1045" t="str">
        <f>IF(A1045="","",IFERROR(LOOKUP(2,1/(#REF!=Z1045),#REF!),Y1045))</f>
        <v>ENTREGADA</v>
      </c>
      <c r="Y1045" t="s">
        <v>1956</v>
      </c>
      <c r="Z1045" t="str">
        <f>IF(A1045="","",TEXT(A1045,"0")&amp;"|"&amp;TEXT(H1045,"0"))</f>
        <v>5188017866713260|46132</v>
      </c>
      <c r="AA1045" t="str">
        <f>IF(Z1045="","",IFERROR(LOOKUP(2,1/(#REF!=Z1045),#REF!),""))</f>
        <v/>
      </c>
      <c r="AB1045" t="str">
        <f>IF(Z1045="","",IFERROR(LOOKUP(2,1/(#REF!=Z1045),#REF!),""))</f>
        <v/>
      </c>
      <c r="AC1045" t="e">
        <f>IF(Z1045="","",COUNTIF(#REF!,Z1045))</f>
        <v>#REF!</v>
      </c>
      <c r="AD1045" t="e">
        <f>IF(A1045="","",IF(AC1045&gt;1,"REVISAR DUPLICADO",IF(AA1045&lt;&gt;"","ACTUALIZADO POR EYR","SIN REPORTE EYR")))</f>
        <v>#REF!</v>
      </c>
    </row>
    <row r="1046" spans="1:30" x14ac:dyDescent="0.3">
      <c r="A1046" s="5" t="s">
        <v>208</v>
      </c>
      <c r="B1046" t="s">
        <v>207</v>
      </c>
      <c r="C1046" s="4" t="s">
        <v>206</v>
      </c>
      <c r="D1046" t="s">
        <v>77</v>
      </c>
      <c r="F1046" t="s">
        <v>540</v>
      </c>
      <c r="G1046" s="3">
        <v>8097298454</v>
      </c>
      <c r="H1046" s="2">
        <v>46132</v>
      </c>
      <c r="K1046" s="1">
        <f ca="1">IF(A1046="","",IF(OR(L1132="ENTREGADA",L1132="RETORNADA",L1132="ENTREGA DIGITAL"),0,MAX(0,5-NETWORKDAYS(H1046+1,TODAY()))))</f>
        <v>0</v>
      </c>
      <c r="L1046" t="str">
        <f>IF(A1046="","",IFERROR(LOOKUP(2,1/(#REF!=Z1046),#REF!),Y1046))</f>
        <v>RETORNADA</v>
      </c>
      <c r="Y1046" t="s">
        <v>1857</v>
      </c>
      <c r="Z1046" t="str">
        <f>IF(A1046="","",TEXT(A1046,"0")&amp;"|"&amp;TEXT(H1046,"0"))</f>
        <v>4921017866859630|46132</v>
      </c>
      <c r="AA1046" t="str">
        <f>IF(Z1046="","",IFERROR(LOOKUP(2,1/(#REF!=Z1046),#REF!),""))</f>
        <v/>
      </c>
      <c r="AB1046" t="str">
        <f>IF(Z1046="","",IFERROR(LOOKUP(2,1/(#REF!=Z1046),#REF!),""))</f>
        <v/>
      </c>
      <c r="AC1046" t="e">
        <f>IF(Z1046="","",COUNTIF(#REF!,Z1046))</f>
        <v>#REF!</v>
      </c>
      <c r="AD1046" t="e">
        <f>IF(A1046="","",IF(AC1046&gt;1,"REVISAR DUPLICADO",IF(AA1046&lt;&gt;"","ACTUALIZADO POR EYR","SIN REPORTE EYR")))</f>
        <v>#REF!</v>
      </c>
    </row>
    <row r="1047" spans="1:30" x14ac:dyDescent="0.3">
      <c r="A1047" s="5" t="s">
        <v>2624</v>
      </c>
      <c r="B1047" t="s">
        <v>2623</v>
      </c>
      <c r="C1047" s="4" t="s">
        <v>2622</v>
      </c>
      <c r="D1047" t="s">
        <v>77</v>
      </c>
      <c r="F1047" t="s">
        <v>2621</v>
      </c>
      <c r="G1047" s="3">
        <v>8098366728</v>
      </c>
      <c r="H1047" s="2">
        <v>46132</v>
      </c>
      <c r="K1047" s="1">
        <f ca="1">IF(A1047="","",IF(OR(L1047="ENTREGADA",L1047="RETORNADA",L1047="ENTREGA DIGITAL"),0,MAX(0,5-NETWORKDAYS(H1047+1,TODAY()))))</f>
        <v>0</v>
      </c>
      <c r="L1047" t="str">
        <f>IF(A1047="","",IFERROR(LOOKUP(2,1/(#REF!=Z1047),#REF!),Y1047))</f>
        <v>RETORNADA</v>
      </c>
      <c r="Y1047" t="s">
        <v>1857</v>
      </c>
      <c r="Z1047" t="str">
        <f>IF(A1047="","",TEXT(A1047,"0")&amp;"|"&amp;TEXT(H1047,"0"))</f>
        <v>5415017859129660|46132</v>
      </c>
      <c r="AA1047" t="str">
        <f>IF(Z1047="","",IFERROR(LOOKUP(2,1/(#REF!=Z1047),#REF!),""))</f>
        <v/>
      </c>
      <c r="AB1047" t="str">
        <f>IF(Z1047="","",IFERROR(LOOKUP(2,1/(#REF!=Z1047),#REF!),""))</f>
        <v/>
      </c>
      <c r="AC1047" t="e">
        <f>IF(Z1047="","",COUNTIF(#REF!,Z1047))</f>
        <v>#REF!</v>
      </c>
      <c r="AD1047" t="e">
        <f>IF(A1047="","",IF(AC1047&gt;1,"REVISAR DUPLICADO",IF(AA1047&lt;&gt;"","ACTUALIZADO POR EYR","SIN REPORTE EYR")))</f>
        <v>#REF!</v>
      </c>
    </row>
    <row r="1048" spans="1:30" x14ac:dyDescent="0.3">
      <c r="A1048" s="5" t="s">
        <v>2620</v>
      </c>
      <c r="B1048" t="s">
        <v>2619</v>
      </c>
      <c r="C1048" s="4" t="s">
        <v>2618</v>
      </c>
      <c r="D1048" t="s">
        <v>77</v>
      </c>
      <c r="E1048" t="s">
        <v>214</v>
      </c>
      <c r="F1048" t="s">
        <v>391</v>
      </c>
      <c r="G1048" s="3">
        <v>8299030565</v>
      </c>
      <c r="H1048" s="2">
        <v>46132</v>
      </c>
      <c r="K1048" s="1">
        <f ca="1">IF(A1048="","",IF(OR(L1048="ENTREGADA",L1048="RETORNADA",L1048="ENTREGA DIGITAL"),0,MAX(0,5-NETWORKDAYS(H1048+1,TODAY()))))</f>
        <v>0</v>
      </c>
      <c r="L1048">
        <f>IF(A1048="","",IFERROR(LOOKUP(2,1/(#REF!=Z1048),#REF!),Y1048))</f>
        <v>0</v>
      </c>
      <c r="Z1048" t="str">
        <f>IF(A1048="","",TEXT(A1048,"0")&amp;"|"&amp;TEXT(H1048,"0"))</f>
        <v>5188017860505060|46132</v>
      </c>
      <c r="AA1048" t="str">
        <f>IF(Z1048="","",IFERROR(LOOKUP(2,1/(#REF!=Z1048),#REF!),""))</f>
        <v/>
      </c>
      <c r="AB1048" t="str">
        <f>IF(Z1048="","",IFERROR(LOOKUP(2,1/(#REF!=Z1048),#REF!),""))</f>
        <v/>
      </c>
      <c r="AC1048" t="e">
        <f>IF(Z1048="","",COUNTIF(#REF!,Z1048))</f>
        <v>#REF!</v>
      </c>
      <c r="AD1048" t="e">
        <f>IF(A1048="","",IF(AC1048&gt;1,"REVISAR DUPLICADO",IF(AA1048&lt;&gt;"","ACTUALIZADO POR EYR","SIN REPORTE EYR")))</f>
        <v>#REF!</v>
      </c>
    </row>
    <row r="1049" spans="1:30" x14ac:dyDescent="0.3">
      <c r="A1049" s="5" t="s">
        <v>760</v>
      </c>
      <c r="B1049" t="s">
        <v>759</v>
      </c>
      <c r="C1049" s="4" t="s">
        <v>758</v>
      </c>
      <c r="D1049" t="s">
        <v>77</v>
      </c>
      <c r="E1049" t="s">
        <v>214</v>
      </c>
      <c r="F1049" t="s">
        <v>391</v>
      </c>
      <c r="G1049" s="3">
        <v>8494257609</v>
      </c>
      <c r="H1049" s="2">
        <v>46132</v>
      </c>
      <c r="K1049" s="1">
        <f ca="1">IF(A1049="","",IF(OR(L1049="ENTREGADA",L1049="RETORNADA",L1049="ENTREGA DIGITAL"),0,MAX(0,5-NETWORKDAYS(H1049+1,TODAY()))))</f>
        <v>0</v>
      </c>
      <c r="L1049" t="str">
        <f>IF(A1049="","",IFERROR(LOOKUP(2,1/(#REF!=Z1049),#REF!),Y1049))</f>
        <v>RETORNADA</v>
      </c>
      <c r="Y1049" t="s">
        <v>1857</v>
      </c>
      <c r="Z1049" t="str">
        <f>IF(A1049="","",TEXT(A1049,"0")&amp;"|"&amp;TEXT(H1049,"0"))</f>
        <v>5188017860115910|46132</v>
      </c>
      <c r="AA1049" t="str">
        <f>IF(Z1049="","",IFERROR(LOOKUP(2,1/(#REF!=Z1049),#REF!),""))</f>
        <v/>
      </c>
      <c r="AB1049" t="str">
        <f>IF(Z1049="","",IFERROR(LOOKUP(2,1/(#REF!=Z1049),#REF!),""))</f>
        <v/>
      </c>
      <c r="AC1049" t="e">
        <f>IF(Z1049="","",COUNTIF(#REF!,Z1049))</f>
        <v>#REF!</v>
      </c>
      <c r="AD1049" t="e">
        <f>IF(A1049="","",IF(AC1049&gt;1,"REVISAR DUPLICADO",IF(AA1049&lt;&gt;"","ACTUALIZADO POR EYR","SIN REPORTE EYR")))</f>
        <v>#REF!</v>
      </c>
    </row>
    <row r="1050" spans="1:30" x14ac:dyDescent="0.3">
      <c r="A1050" s="5" t="s">
        <v>2617</v>
      </c>
      <c r="B1050" t="s">
        <v>2616</v>
      </c>
      <c r="C1050" s="4" t="s">
        <v>2615</v>
      </c>
      <c r="D1050" t="s">
        <v>77</v>
      </c>
      <c r="F1050" t="s">
        <v>2614</v>
      </c>
      <c r="G1050" s="3">
        <v>8295195233</v>
      </c>
      <c r="H1050" s="2">
        <v>46132</v>
      </c>
      <c r="I1050" t="s">
        <v>1397</v>
      </c>
      <c r="K1050" s="1">
        <f ca="1">IF(A1050="","",IF(OR(L1050="ENTREGADA",L1050="RETORNADA",L1050="ENTREGA DIGITAL"),0,MAX(0,5-NETWORKDAYS(H1050+1,TODAY()))))</f>
        <v>0</v>
      </c>
      <c r="L1050" t="str">
        <f>IF(A1050="","",IFERROR(LOOKUP(2,1/(#REF!=Z1050),#REF!),Y1050))</f>
        <v>ENTREGA DIGITAL</v>
      </c>
      <c r="Y1050" t="s">
        <v>1396</v>
      </c>
      <c r="Z1050" t="str">
        <f>IF(A1050="","",TEXT(A1050,"0")&amp;"|"&amp;TEXT(H1050,"0"))</f>
        <v>5415017864338870|46132</v>
      </c>
      <c r="AA1050" t="str">
        <f>IF(Z1050="","",IFERROR(LOOKUP(2,1/(#REF!=Z1050),#REF!),""))</f>
        <v/>
      </c>
      <c r="AB1050" t="str">
        <f>IF(Z1050="","",IFERROR(LOOKUP(2,1/(#REF!=Z1050),#REF!),""))</f>
        <v/>
      </c>
      <c r="AC1050" t="e">
        <f>IF(Z1050="","",COUNTIF(#REF!,Z1050))</f>
        <v>#REF!</v>
      </c>
      <c r="AD1050" t="e">
        <f>IF(A1050="","",IF(AC1050&gt;1,"REVISAR DUPLICADO",IF(AA1050&lt;&gt;"","ACTUALIZADO POR EYR","SIN REPORTE EYR")))</f>
        <v>#REF!</v>
      </c>
    </row>
    <row r="1051" spans="1:30" x14ac:dyDescent="0.3">
      <c r="A1051" s="5" t="s">
        <v>2613</v>
      </c>
      <c r="B1051" t="s">
        <v>2612</v>
      </c>
      <c r="C1051" s="4" t="s">
        <v>2611</v>
      </c>
      <c r="D1051" t="s">
        <v>77</v>
      </c>
      <c r="F1051" t="s">
        <v>0</v>
      </c>
      <c r="G1051" s="3">
        <v>8299577017</v>
      </c>
      <c r="H1051" s="2">
        <v>46132</v>
      </c>
      <c r="K1051" s="1">
        <f ca="1">IF(A1051="","",IF(OR(L1137="ENTREGADA",L1137="RETORNADA",L1137="ENTREGA DIGITAL"),0,MAX(0,5-NETWORKDAYS(H1051+1,TODAY()))))</f>
        <v>0</v>
      </c>
      <c r="L1051" t="str">
        <f>IF(A1051="","",IFERROR(LOOKUP(2,1/(#REF!=Z1051),#REF!),Y1051))</f>
        <v>RETORNADA</v>
      </c>
      <c r="Y1051" t="s">
        <v>1857</v>
      </c>
      <c r="Z1051" t="str">
        <f>IF(A1051="","",TEXT(A1051,"0")&amp;"|"&amp;TEXT(H1051,"0"))</f>
        <v>4025017863676080|46132</v>
      </c>
      <c r="AA1051" t="str">
        <f>IF(Z1051="","",IFERROR(LOOKUP(2,1/(#REF!=Z1051),#REF!),""))</f>
        <v/>
      </c>
      <c r="AB1051" t="str">
        <f>IF(Z1051="","",IFERROR(LOOKUP(2,1/(#REF!=Z1051),#REF!),""))</f>
        <v/>
      </c>
      <c r="AC1051" t="e">
        <f>IF(Z1051="","",COUNTIF(#REF!,Z1051))</f>
        <v>#REF!</v>
      </c>
      <c r="AD1051" t="e">
        <f>IF(A1051="","",IF(AC1051&gt;1,"REVISAR DUPLICADO",IF(AA1051&lt;&gt;"","ACTUALIZADO POR EYR","SIN REPORTE EYR")))</f>
        <v>#REF!</v>
      </c>
    </row>
    <row r="1052" spans="1:30" x14ac:dyDescent="0.3">
      <c r="A1052" s="5" t="s">
        <v>2610</v>
      </c>
      <c r="B1052" t="s">
        <v>2609</v>
      </c>
      <c r="C1052" s="4" t="s">
        <v>2608</v>
      </c>
      <c r="D1052" t="s">
        <v>21</v>
      </c>
      <c r="F1052" t="s">
        <v>0</v>
      </c>
      <c r="G1052" s="3">
        <v>8292482553</v>
      </c>
      <c r="H1052" s="2">
        <v>46132</v>
      </c>
      <c r="I1052" t="s">
        <v>1397</v>
      </c>
      <c r="K1052" s="1">
        <f ca="1">IF(A1052="","",IF(OR(L1052="ENTREGADA",L1052="RETORNADA",L1052="ENTREGA DIGITAL"),0,MAX(0,5-NETWORKDAYS(H1052+1,TODAY()))))</f>
        <v>0</v>
      </c>
      <c r="L1052" t="str">
        <f>IF(A1052="","",IFERROR(LOOKUP(2,1/(#REF!=Z1052),#REF!),Y1052))</f>
        <v>ENTREGA DIGITAL</v>
      </c>
      <c r="Y1052" t="s">
        <v>1396</v>
      </c>
      <c r="Z1052" t="str">
        <f>IF(A1052="","",TEXT(A1052,"0")&amp;"|"&amp;TEXT(H1052,"0"))</f>
        <v>5227017728709060|46132</v>
      </c>
      <c r="AA1052" t="str">
        <f>IF(Z1052="","",IFERROR(LOOKUP(2,1/(#REF!=Z1052),#REF!),""))</f>
        <v/>
      </c>
      <c r="AB1052" t="str">
        <f>IF(Z1052="","",IFERROR(LOOKUP(2,1/(#REF!=Z1052),#REF!),""))</f>
        <v/>
      </c>
      <c r="AC1052" t="e">
        <f>IF(Z1052="","",COUNTIF(#REF!,Z1052))</f>
        <v>#REF!</v>
      </c>
      <c r="AD1052" t="e">
        <f>IF(A1052="","",IF(AC1052&gt;1,"REVISAR DUPLICADO",IF(AA1052&lt;&gt;"","ACTUALIZADO POR EYR","SIN REPORTE EYR")))</f>
        <v>#REF!</v>
      </c>
    </row>
    <row r="1053" spans="1:30" x14ac:dyDescent="0.3">
      <c r="A1053" s="5" t="s">
        <v>2607</v>
      </c>
      <c r="B1053" t="s">
        <v>2606</v>
      </c>
      <c r="C1053" s="4" t="s">
        <v>2605</v>
      </c>
      <c r="D1053" t="s">
        <v>21</v>
      </c>
      <c r="F1053" t="s">
        <v>0</v>
      </c>
      <c r="G1053" s="3">
        <v>8498731320</v>
      </c>
      <c r="H1053" s="2">
        <v>46132</v>
      </c>
      <c r="I1053" t="s">
        <v>1397</v>
      </c>
      <c r="K1053" s="1">
        <f ca="1">IF(A1053="","",IF(OR(L1139="ENTREGADA",L1139="RETORNADA",L1139="ENTREGA DIGITAL"),0,MAX(0,5-NETWORKDAYS(H1053+1,TODAY()))))</f>
        <v>0</v>
      </c>
      <c r="L1053" t="str">
        <f>IF(A1053="","",IFERROR(LOOKUP(2,1/(#REF!=Z1053),#REF!),Y1053))</f>
        <v>ENTREGADA</v>
      </c>
      <c r="Y1053" t="s">
        <v>1956</v>
      </c>
      <c r="Z1053" t="str">
        <f>IF(A1053="","",TEXT(A1053,"0")&amp;"|"&amp;TEXT(H1053,"0"))</f>
        <v>5188017754673050|46132</v>
      </c>
      <c r="AA1053" t="str">
        <f>IF(Z1053="","",IFERROR(LOOKUP(2,1/(#REF!=Z1053),#REF!),""))</f>
        <v/>
      </c>
      <c r="AB1053" t="str">
        <f>IF(Z1053="","",IFERROR(LOOKUP(2,1/(#REF!=Z1053),#REF!),""))</f>
        <v/>
      </c>
      <c r="AC1053" t="e">
        <f>IF(Z1053="","",COUNTIF(#REF!,Z1053))</f>
        <v>#REF!</v>
      </c>
      <c r="AD1053" t="e">
        <f>IF(A1053="","",IF(AC1053&gt;1,"REVISAR DUPLICADO",IF(AA1053&lt;&gt;"","ACTUALIZADO POR EYR","SIN REPORTE EYR")))</f>
        <v>#REF!</v>
      </c>
    </row>
    <row r="1054" spans="1:30" x14ac:dyDescent="0.3">
      <c r="A1054" s="5" t="s">
        <v>2604</v>
      </c>
      <c r="B1054" t="s">
        <v>2603</v>
      </c>
      <c r="C1054" s="4" t="s">
        <v>2602</v>
      </c>
      <c r="D1054" t="s">
        <v>21</v>
      </c>
      <c r="F1054" t="s">
        <v>13</v>
      </c>
      <c r="G1054" s="3">
        <v>8093436946</v>
      </c>
      <c r="H1054" s="2">
        <v>46132</v>
      </c>
      <c r="K1054" s="1">
        <f ca="1">IF(A1054="","",IF(OR(L1140="ENTREGADA",L1140="RETORNADA",L1140="ENTREGA DIGITAL"),0,MAX(0,5-NETWORKDAYS(H1054+1,TODAY()))))</f>
        <v>0</v>
      </c>
      <c r="L1054">
        <f>IF(A1054="","",IFERROR(LOOKUP(2,1/(#REF!=Z1054),#REF!),Y1054))</f>
        <v>0</v>
      </c>
      <c r="Z1054" t="str">
        <f>IF(A1054="","",TEXT(A1054,"0")&amp;"|"&amp;TEXT(H1054,"0"))</f>
        <v>5415017619660630|46132</v>
      </c>
      <c r="AA1054" t="str">
        <f>IF(Z1054="","",IFERROR(LOOKUP(2,1/(#REF!=Z1054),#REF!),""))</f>
        <v/>
      </c>
      <c r="AB1054" t="str">
        <f>IF(Z1054="","",IFERROR(LOOKUP(2,1/(#REF!=Z1054),#REF!),""))</f>
        <v/>
      </c>
      <c r="AC1054" t="e">
        <f>IF(Z1054="","",COUNTIF(#REF!,Z1054))</f>
        <v>#REF!</v>
      </c>
      <c r="AD1054" t="e">
        <f>IF(A1054="","",IF(AC1054&gt;1,"REVISAR DUPLICADO",IF(AA1054&lt;&gt;"","ACTUALIZADO POR EYR","SIN REPORTE EYR")))</f>
        <v>#REF!</v>
      </c>
    </row>
    <row r="1055" spans="1:30" x14ac:dyDescent="0.3">
      <c r="A1055" s="5" t="s">
        <v>2601</v>
      </c>
      <c r="B1055" t="s">
        <v>2600</v>
      </c>
      <c r="C1055" s="4" t="s">
        <v>2599</v>
      </c>
      <c r="D1055" t="s">
        <v>21</v>
      </c>
      <c r="F1055" t="s">
        <v>2598</v>
      </c>
      <c r="G1055" s="3">
        <v>8095205236</v>
      </c>
      <c r="H1055" s="2">
        <v>46132</v>
      </c>
      <c r="K1055" s="1">
        <f ca="1">IF(A1055="","",IF(OR(L1141="ENTREGADA",L1141="RETORNADA",L1141="ENTREGA DIGITAL"),0,MAX(0,5-NETWORKDAYS(H1055+1,TODAY()))))</f>
        <v>0</v>
      </c>
      <c r="L1055" t="str">
        <f>IF(A1055="","",IFERROR(LOOKUP(2,1/(#REF!=Z1055),#REF!),Y1055))</f>
        <v>ENTREGADA</v>
      </c>
      <c r="Y1055" t="s">
        <v>1956</v>
      </c>
      <c r="Z1055" t="str">
        <f>IF(A1055="","",TEXT(A1055,"0")&amp;"|"&amp;TEXT(H1055,"0"))</f>
        <v>5415017800444620|46132</v>
      </c>
      <c r="AA1055" t="str">
        <f>IF(Z1055="","",IFERROR(LOOKUP(2,1/(#REF!=Z1055),#REF!),""))</f>
        <v/>
      </c>
      <c r="AB1055" t="str">
        <f>IF(Z1055="","",IFERROR(LOOKUP(2,1/(#REF!=Z1055),#REF!),""))</f>
        <v/>
      </c>
      <c r="AC1055" t="e">
        <f>IF(Z1055="","",COUNTIF(#REF!,Z1055))</f>
        <v>#REF!</v>
      </c>
      <c r="AD1055" t="e">
        <f>IF(A1055="","",IF(AC1055&gt;1,"REVISAR DUPLICADO",IF(AA1055&lt;&gt;"","ACTUALIZADO POR EYR","SIN REPORTE EYR")))</f>
        <v>#REF!</v>
      </c>
    </row>
    <row r="1056" spans="1:30" x14ac:dyDescent="0.3">
      <c r="A1056" s="5" t="s">
        <v>2597</v>
      </c>
      <c r="B1056" t="s">
        <v>2596</v>
      </c>
      <c r="C1056" s="4" t="s">
        <v>2595</v>
      </c>
      <c r="D1056" t="s">
        <v>21</v>
      </c>
      <c r="F1056" t="s">
        <v>13</v>
      </c>
      <c r="G1056" s="3">
        <v>8494603544</v>
      </c>
      <c r="H1056" s="2">
        <v>46132</v>
      </c>
      <c r="K1056" s="1">
        <f ca="1">IF(A1056="","",IF(OR(L1142="ENTREGADA",L1142="RETORNADA",L1142="ENTREGA DIGITAL"),0,MAX(0,5-NETWORKDAYS(H1056+1,TODAY()))))</f>
        <v>0</v>
      </c>
      <c r="L1056" t="str">
        <f>IF(A1056="","",IFERROR(LOOKUP(2,1/(#REF!=Z1056),#REF!),Y1056))</f>
        <v>ENTREGADA</v>
      </c>
      <c r="Y1056" t="s">
        <v>1956</v>
      </c>
      <c r="Z1056" t="str">
        <f>IF(A1056="","",TEXT(A1056,"0")&amp;"|"&amp;TEXT(H1056,"0"))</f>
        <v>5415017866376830|46132</v>
      </c>
      <c r="AA1056" t="str">
        <f>IF(Z1056="","",IFERROR(LOOKUP(2,1/(#REF!=Z1056),#REF!),""))</f>
        <v/>
      </c>
      <c r="AB1056" t="str">
        <f>IF(Z1056="","",IFERROR(LOOKUP(2,1/(#REF!=Z1056),#REF!),""))</f>
        <v/>
      </c>
      <c r="AC1056" t="e">
        <f>IF(Z1056="","",COUNTIF(#REF!,Z1056))</f>
        <v>#REF!</v>
      </c>
      <c r="AD1056" t="e">
        <f>IF(A1056="","",IF(AC1056&gt;1,"REVISAR DUPLICADO",IF(AA1056&lt;&gt;"","ACTUALIZADO POR EYR","SIN REPORTE EYR")))</f>
        <v>#REF!</v>
      </c>
    </row>
    <row r="1057" spans="1:30" x14ac:dyDescent="0.3">
      <c r="A1057" s="5" t="s">
        <v>2594</v>
      </c>
      <c r="B1057" t="s">
        <v>2593</v>
      </c>
      <c r="C1057" s="4" t="s">
        <v>2592</v>
      </c>
      <c r="D1057" t="s">
        <v>21</v>
      </c>
      <c r="E1057" t="s">
        <v>21</v>
      </c>
      <c r="F1057" t="s">
        <v>2591</v>
      </c>
      <c r="G1057" s="3">
        <v>8093536398</v>
      </c>
      <c r="H1057" s="2">
        <v>46132</v>
      </c>
      <c r="K1057" s="1">
        <f ca="1">IF(A1057="","",IF(OR(L1143="ENTREGADA",L1143="RETORNADA",L1143="ENTREGA DIGITAL"),0,MAX(0,5-NETWORKDAYS(H1057+1,TODAY()))))</f>
        <v>0</v>
      </c>
      <c r="L1057" t="str">
        <f>IF(A1057="","",IFERROR(LOOKUP(2,1/(#REF!=Z1057),#REF!),Y1057))</f>
        <v>ENTREGADA</v>
      </c>
      <c r="Y1057" t="s">
        <v>1956</v>
      </c>
      <c r="Z1057" t="str">
        <f>IF(A1057="","",TEXT(A1057,"0")&amp;"|"&amp;TEXT(H1057,"0"))</f>
        <v>5227017859985350|46132</v>
      </c>
      <c r="AA1057" t="str">
        <f>IF(Z1057="","",IFERROR(LOOKUP(2,1/(#REF!=Z1057),#REF!),""))</f>
        <v/>
      </c>
      <c r="AB1057" t="str">
        <f>IF(Z1057="","",IFERROR(LOOKUP(2,1/(#REF!=Z1057),#REF!),""))</f>
        <v/>
      </c>
      <c r="AC1057" t="e">
        <f>IF(Z1057="","",COUNTIF(#REF!,Z1057))</f>
        <v>#REF!</v>
      </c>
      <c r="AD1057" t="e">
        <f>IF(A1057="","",IF(AC1057&gt;1,"REVISAR DUPLICADO",IF(AA1057&lt;&gt;"","ACTUALIZADO POR EYR","SIN REPORTE EYR")))</f>
        <v>#REF!</v>
      </c>
    </row>
    <row r="1058" spans="1:30" x14ac:dyDescent="0.3">
      <c r="A1058" s="5" t="s">
        <v>2590</v>
      </c>
      <c r="B1058" t="s">
        <v>2589</v>
      </c>
      <c r="C1058" s="4" t="s">
        <v>2588</v>
      </c>
      <c r="D1058" t="s">
        <v>21</v>
      </c>
      <c r="F1058" t="s">
        <v>2587</v>
      </c>
      <c r="G1058" s="3">
        <v>8098051808</v>
      </c>
      <c r="H1058" s="2">
        <v>46132</v>
      </c>
      <c r="K1058" s="1">
        <f ca="1">IF(A1058="","",IF(OR(L1144="ENTREGADA",L1144="RETORNADA",L1144="ENTREGA DIGITAL"),0,MAX(0,5-NETWORKDAYS(H1058+1,TODAY()))))</f>
        <v>0</v>
      </c>
      <c r="L1058" t="str">
        <f>IF(A1058="","",IFERROR(LOOKUP(2,1/(#REF!=Z1058),#REF!),Y1058))</f>
        <v>RETORNADA</v>
      </c>
      <c r="Y1058" t="s">
        <v>1857</v>
      </c>
      <c r="Z1058" t="str">
        <f>IF(A1058="","",TEXT(A1058,"0")&amp;"|"&amp;TEXT(H1058,"0"))</f>
        <v>5192017866738960|46132</v>
      </c>
      <c r="AA1058" t="str">
        <f>IF(Z1058="","",IFERROR(LOOKUP(2,1/(#REF!=Z1058),#REF!),""))</f>
        <v/>
      </c>
      <c r="AB1058" t="str">
        <f>IF(Z1058="","",IFERROR(LOOKUP(2,1/(#REF!=Z1058),#REF!),""))</f>
        <v/>
      </c>
      <c r="AC1058" t="e">
        <f>IF(Z1058="","",COUNTIF(#REF!,Z1058))</f>
        <v>#REF!</v>
      </c>
      <c r="AD1058" t="e">
        <f>IF(A1058="","",IF(AC1058&gt;1,"REVISAR DUPLICADO",IF(AA1058&lt;&gt;"","ACTUALIZADO POR EYR","SIN REPORTE EYR")))</f>
        <v>#REF!</v>
      </c>
    </row>
    <row r="1059" spans="1:30" x14ac:dyDescent="0.3">
      <c r="A1059" s="5" t="s">
        <v>2586</v>
      </c>
      <c r="B1059" t="s">
        <v>2585</v>
      </c>
      <c r="C1059" s="4" t="s">
        <v>2584</v>
      </c>
      <c r="D1059" t="s">
        <v>21</v>
      </c>
      <c r="F1059" t="s">
        <v>1510</v>
      </c>
      <c r="G1059" s="3">
        <v>8295620116</v>
      </c>
      <c r="H1059" s="2">
        <v>46132</v>
      </c>
      <c r="K1059" s="1">
        <f ca="1">IF(A1059="","",IF(OR(L1145="ENTREGADA",L1145="RETORNADA",L1145="ENTREGA DIGITAL"),0,MAX(0,5-NETWORKDAYS(H1059+1,TODAY()))))</f>
        <v>0</v>
      </c>
      <c r="L1059" t="str">
        <f>IF(A1059="","",IFERROR(LOOKUP(2,1/(#REF!=Z1059),#REF!),Y1059))</f>
        <v>RETORNADA</v>
      </c>
      <c r="Y1059" t="s">
        <v>1857</v>
      </c>
      <c r="Z1059" t="str">
        <f>IF(A1059="","",TEXT(A1059,"0")&amp;"|"&amp;TEXT(H1059,"0"))</f>
        <v>5415017859598230|46132</v>
      </c>
      <c r="AA1059" t="str">
        <f>IF(Z1059="","",IFERROR(LOOKUP(2,1/(#REF!=Z1059),#REF!),""))</f>
        <v/>
      </c>
      <c r="AB1059" t="str">
        <f>IF(Z1059="","",IFERROR(LOOKUP(2,1/(#REF!=Z1059),#REF!),""))</f>
        <v/>
      </c>
      <c r="AC1059" t="e">
        <f>IF(Z1059="","",COUNTIF(#REF!,Z1059))</f>
        <v>#REF!</v>
      </c>
      <c r="AD1059" t="e">
        <f>IF(A1059="","",IF(AC1059&gt;1,"REVISAR DUPLICADO",IF(AA1059&lt;&gt;"","ACTUALIZADO POR EYR","SIN REPORTE EYR")))</f>
        <v>#REF!</v>
      </c>
    </row>
    <row r="1060" spans="1:30" x14ac:dyDescent="0.3">
      <c r="A1060" s="5" t="s">
        <v>2583</v>
      </c>
      <c r="B1060" t="s">
        <v>2582</v>
      </c>
      <c r="C1060" s="4" t="s">
        <v>2581</v>
      </c>
      <c r="D1060" t="s">
        <v>21</v>
      </c>
      <c r="F1060" t="s">
        <v>13</v>
      </c>
      <c r="G1060" s="3">
        <v>8095766476</v>
      </c>
      <c r="H1060" s="2">
        <v>46132</v>
      </c>
      <c r="K1060" s="1">
        <f ca="1">IF(A1060="","",IF(OR(L1146="ENTREGADA",L1146="RETORNADA",L1146="ENTREGA DIGITAL"),0,MAX(0,5-NETWORKDAYS(H1060+1,TODAY()))))</f>
        <v>0</v>
      </c>
      <c r="L1060" t="str">
        <f>IF(A1060="","",IFERROR(LOOKUP(2,1/(#REF!=Z1060),#REF!),Y1060))</f>
        <v>RETORNADA</v>
      </c>
      <c r="Y1060" t="s">
        <v>1857</v>
      </c>
      <c r="Z1060" t="str">
        <f>IF(A1060="","",TEXT(A1060,"0")&amp;"|"&amp;TEXT(H1060,"0"))</f>
        <v>4025017867364470|46132</v>
      </c>
      <c r="AA1060" t="str">
        <f>IF(Z1060="","",IFERROR(LOOKUP(2,1/(#REF!=Z1060),#REF!),""))</f>
        <v/>
      </c>
      <c r="AB1060" t="str">
        <f>IF(Z1060="","",IFERROR(LOOKUP(2,1/(#REF!=Z1060),#REF!),""))</f>
        <v/>
      </c>
      <c r="AC1060" t="e">
        <f>IF(Z1060="","",COUNTIF(#REF!,Z1060))</f>
        <v>#REF!</v>
      </c>
      <c r="AD1060" t="e">
        <f>IF(A1060="","",IF(AC1060&gt;1,"REVISAR DUPLICADO",IF(AA1060&lt;&gt;"","ACTUALIZADO POR EYR","SIN REPORTE EYR")))</f>
        <v>#REF!</v>
      </c>
    </row>
    <row r="1061" spans="1:30" x14ac:dyDescent="0.3">
      <c r="A1061" s="5" t="s">
        <v>2580</v>
      </c>
      <c r="B1061" t="s">
        <v>2579</v>
      </c>
      <c r="C1061" s="4" t="s">
        <v>2578</v>
      </c>
      <c r="D1061" t="s">
        <v>21</v>
      </c>
      <c r="F1061" t="s">
        <v>13</v>
      </c>
      <c r="G1061" s="3">
        <v>8494706254</v>
      </c>
      <c r="H1061" s="2">
        <v>46132</v>
      </c>
      <c r="K1061" s="1">
        <f ca="1">IF(A1061="","",IF(OR(L1147="ENTREGADA",L1147="RETORNADA",L1147="ENTREGA DIGITAL"),0,MAX(0,5-NETWORKDAYS(H1061+1,TODAY()))))</f>
        <v>0</v>
      </c>
      <c r="L1061" t="str">
        <f>IF(A1061="","",IFERROR(LOOKUP(2,1/(#REF!=Z1061),#REF!),Y1061))</f>
        <v>RETORNADA</v>
      </c>
      <c r="Y1061" t="s">
        <v>1857</v>
      </c>
      <c r="Z1061" t="str">
        <f>IF(A1061="","",TEXT(A1061,"0")&amp;"|"&amp;TEXT(H1061,"0"))</f>
        <v>5415017859404590|46132</v>
      </c>
      <c r="AA1061" t="str">
        <f>IF(Z1061="","",IFERROR(LOOKUP(2,1/(#REF!=Z1061),#REF!),""))</f>
        <v/>
      </c>
      <c r="AB1061" t="str">
        <f>IF(Z1061="","",IFERROR(LOOKUP(2,1/(#REF!=Z1061),#REF!),""))</f>
        <v/>
      </c>
      <c r="AC1061" t="e">
        <f>IF(Z1061="","",COUNTIF(#REF!,Z1061))</f>
        <v>#REF!</v>
      </c>
      <c r="AD1061" t="e">
        <f>IF(A1061="","",IF(AC1061&gt;1,"REVISAR DUPLICADO",IF(AA1061&lt;&gt;"","ACTUALIZADO POR EYR","SIN REPORTE EYR")))</f>
        <v>#REF!</v>
      </c>
    </row>
    <row r="1062" spans="1:30" x14ac:dyDescent="0.3">
      <c r="A1062" s="5" t="s">
        <v>2577</v>
      </c>
      <c r="B1062" t="s">
        <v>2576</v>
      </c>
      <c r="C1062" s="4" t="s">
        <v>2575</v>
      </c>
      <c r="D1062" t="s">
        <v>21</v>
      </c>
      <c r="F1062" t="s">
        <v>13</v>
      </c>
      <c r="G1062" s="3">
        <v>8297567451</v>
      </c>
      <c r="H1062" s="2">
        <v>46132</v>
      </c>
      <c r="K1062" s="1">
        <f ca="1">IF(A1062="","",IF(OR(L1062="ENTREGADA",L1062="RETORNADA",L1062="ENTREGA DIGITAL"),0,MAX(0,5-NETWORKDAYS(H1062+1,TODAY()))))</f>
        <v>0</v>
      </c>
      <c r="L1062" t="str">
        <f>IF(A1062="","",IFERROR(LOOKUP(2,1/(#REF!=Z1062),#REF!),Y1062))</f>
        <v>ENTREGADA</v>
      </c>
      <c r="Y1062" t="s">
        <v>1956</v>
      </c>
      <c r="Z1062" t="str">
        <f>IF(A1062="","",TEXT(A1062,"0")&amp;"|"&amp;TEXT(H1062,"0"))</f>
        <v>4921017798697720|46132</v>
      </c>
      <c r="AA1062" t="str">
        <f>IF(Z1062="","",IFERROR(LOOKUP(2,1/(#REF!=Z1062),#REF!),""))</f>
        <v/>
      </c>
      <c r="AB1062" t="str">
        <f>IF(Z1062="","",IFERROR(LOOKUP(2,1/(#REF!=Z1062),#REF!),""))</f>
        <v/>
      </c>
      <c r="AC1062" t="e">
        <f>IF(Z1062="","",COUNTIF(#REF!,Z1062))</f>
        <v>#REF!</v>
      </c>
      <c r="AD1062" t="e">
        <f>IF(A1062="","",IF(AC1062&gt;1,"REVISAR DUPLICADO",IF(AA1062&lt;&gt;"","ACTUALIZADO POR EYR","SIN REPORTE EYR")))</f>
        <v>#REF!</v>
      </c>
    </row>
    <row r="1063" spans="1:30" x14ac:dyDescent="0.3">
      <c r="A1063" s="5" t="s">
        <v>2574</v>
      </c>
      <c r="B1063" t="s">
        <v>2573</v>
      </c>
      <c r="C1063" s="4" t="s">
        <v>2572</v>
      </c>
      <c r="D1063" t="s">
        <v>1</v>
      </c>
      <c r="F1063" t="s">
        <v>13</v>
      </c>
      <c r="G1063" s="3">
        <v>8296588854</v>
      </c>
      <c r="H1063" s="2">
        <v>46132</v>
      </c>
      <c r="K1063" s="1">
        <f ca="1">IF(A1063="","",IF(OR(L1063="ENTREGADA",L1063="RETORNADA",L1063="ENTREGA DIGITAL"),0,MAX(0,5-NETWORKDAYS(H1063+1,TODAY()))))</f>
        <v>0</v>
      </c>
      <c r="L1063" t="str">
        <f>IF(A1063="","",IFERROR(LOOKUP(2,1/(#REF!=Z1063),#REF!),Y1063))</f>
        <v>RETORNADA</v>
      </c>
      <c r="Y1063" t="s">
        <v>1857</v>
      </c>
      <c r="Z1063" t="str">
        <f>IF(A1063="","",TEXT(A1063,"0")&amp;"|"&amp;TEXT(H1063,"0"))</f>
        <v>5188017796066100|46132</v>
      </c>
      <c r="AA1063" t="str">
        <f>IF(Z1063="","",IFERROR(LOOKUP(2,1/(#REF!=Z1063),#REF!),""))</f>
        <v/>
      </c>
      <c r="AB1063" t="str">
        <f>IF(Z1063="","",IFERROR(LOOKUP(2,1/(#REF!=Z1063),#REF!),""))</f>
        <v/>
      </c>
      <c r="AC1063" t="e">
        <f>IF(Z1063="","",COUNTIF(#REF!,Z1063))</f>
        <v>#REF!</v>
      </c>
      <c r="AD1063" t="e">
        <f>IF(A1063="","",IF(AC1063&gt;1,"REVISAR DUPLICADO",IF(AA1063&lt;&gt;"","ACTUALIZADO POR EYR","SIN REPORTE EYR")))</f>
        <v>#REF!</v>
      </c>
    </row>
    <row r="1064" spans="1:30" x14ac:dyDescent="0.3">
      <c r="A1064" s="5" t="s">
        <v>2571</v>
      </c>
      <c r="B1064" t="s">
        <v>2570</v>
      </c>
      <c r="C1064" s="4" t="s">
        <v>2569</v>
      </c>
      <c r="D1064" t="s">
        <v>1</v>
      </c>
      <c r="F1064" t="s">
        <v>13</v>
      </c>
      <c r="G1064" s="3">
        <v>8294661712</v>
      </c>
      <c r="H1064" s="2">
        <v>46132</v>
      </c>
      <c r="K1064" s="1">
        <f ca="1">IF(A1064="","",IF(OR(L1064="ENTREGADA",L1064="RETORNADA",L1064="ENTREGA DIGITAL"),0,MAX(0,5-NETWORKDAYS(H1064+1,TODAY()))))</f>
        <v>0</v>
      </c>
      <c r="L1064" t="str">
        <f>IF(A1064="","",IFERROR(LOOKUP(2,1/(#REF!=Z1064),#REF!),Y1064))</f>
        <v>RETORNADA</v>
      </c>
      <c r="Y1064" t="s">
        <v>1857</v>
      </c>
      <c r="Z1064" t="str">
        <f>IF(A1064="","",TEXT(A1064,"0")&amp;"|"&amp;TEXT(H1064,"0"))</f>
        <v>5415017859411920|46132</v>
      </c>
      <c r="AA1064" t="str">
        <f>IF(Z1064="","",IFERROR(LOOKUP(2,1/(#REF!=Z1064),#REF!),""))</f>
        <v/>
      </c>
      <c r="AB1064" t="str">
        <f>IF(Z1064="","",IFERROR(LOOKUP(2,1/(#REF!=Z1064),#REF!),""))</f>
        <v/>
      </c>
      <c r="AC1064" t="e">
        <f>IF(Z1064="","",COUNTIF(#REF!,Z1064))</f>
        <v>#REF!</v>
      </c>
      <c r="AD1064" t="e">
        <f>IF(A1064="","",IF(AC1064&gt;1,"REVISAR DUPLICADO",IF(AA1064&lt;&gt;"","ACTUALIZADO POR EYR","SIN REPORTE EYR")))</f>
        <v>#REF!</v>
      </c>
    </row>
    <row r="1065" spans="1:30" x14ac:dyDescent="0.3">
      <c r="A1065" s="5" t="s">
        <v>2568</v>
      </c>
      <c r="B1065" t="s">
        <v>2567</v>
      </c>
      <c r="C1065" s="4" t="s">
        <v>2566</v>
      </c>
      <c r="D1065" t="s">
        <v>1</v>
      </c>
      <c r="F1065" t="s">
        <v>13</v>
      </c>
      <c r="G1065" s="3">
        <v>5375017</v>
      </c>
      <c r="H1065" s="2">
        <v>46132</v>
      </c>
      <c r="K1065" s="1">
        <f ca="1">IF(A1065="","",IF(OR(L1065="ENTREGADA",L1065="RETORNADA",L1065="ENTREGA DIGITAL"),0,MAX(0,5-NETWORKDAYS(H1065+1,TODAY()))))</f>
        <v>0</v>
      </c>
      <c r="L1065" t="str">
        <f>IF(A1065="","",IFERROR(LOOKUP(2,1/(#REF!=Z1065),#REF!),Y1065))</f>
        <v>RETORNADA</v>
      </c>
      <c r="Y1065" t="s">
        <v>1857</v>
      </c>
      <c r="Z1065" t="str">
        <f>IF(A1065="","",TEXT(A1065,"0")&amp;"|"&amp;TEXT(H1065,"0"))</f>
        <v>4966017861151890|46132</v>
      </c>
      <c r="AA1065" t="str">
        <f>IF(Z1065="","",IFERROR(LOOKUP(2,1/(#REF!=Z1065),#REF!),""))</f>
        <v/>
      </c>
      <c r="AB1065" t="str">
        <f>IF(Z1065="","",IFERROR(LOOKUP(2,1/(#REF!=Z1065),#REF!),""))</f>
        <v/>
      </c>
      <c r="AC1065" t="e">
        <f>IF(Z1065="","",COUNTIF(#REF!,Z1065))</f>
        <v>#REF!</v>
      </c>
      <c r="AD1065" t="e">
        <f>IF(A1065="","",IF(AC1065&gt;1,"REVISAR DUPLICADO",IF(AA1065&lt;&gt;"","ACTUALIZADO POR EYR","SIN REPORTE EYR")))</f>
        <v>#REF!</v>
      </c>
    </row>
    <row r="1066" spans="1:30" x14ac:dyDescent="0.3">
      <c r="A1066" s="5" t="s">
        <v>2565</v>
      </c>
      <c r="B1066" t="s">
        <v>2564</v>
      </c>
      <c r="C1066" s="4" t="s">
        <v>2563</v>
      </c>
      <c r="D1066" t="s">
        <v>600</v>
      </c>
      <c r="F1066" t="s">
        <v>2562</v>
      </c>
      <c r="G1066" s="3">
        <v>8496506495</v>
      </c>
      <c r="H1066" s="2">
        <v>46133</v>
      </c>
      <c r="K1066" s="1">
        <f ca="1">IF(A1066="","",IF(OR(L1066="ENTREGADA",L1066="RETORNADA",L1066="ENTREGA DIGITAL"),0,MAX(0,5-NETWORKDAYS(H1066+1,TODAY()))))</f>
        <v>0</v>
      </c>
      <c r="L1066">
        <f>IF(A1066="","",IFERROR(LOOKUP(2,1/(#REF!=Z1066),#REF!),Y1066))</f>
        <v>0</v>
      </c>
      <c r="Z1066" t="str">
        <f>IF(A1066="","",TEXT(A1066,"0")&amp;"|"&amp;TEXT(H1066,"0"))</f>
        <v>5415017868089770|46133</v>
      </c>
      <c r="AA1066" t="str">
        <f>IF(Z1066="","",IFERROR(LOOKUP(2,1/(#REF!=Z1066),#REF!),""))</f>
        <v/>
      </c>
      <c r="AB1066" t="str">
        <f>IF(Z1066="","",IFERROR(LOOKUP(2,1/(#REF!=Z1066),#REF!),""))</f>
        <v/>
      </c>
      <c r="AC1066" t="e">
        <f>IF(Z1066="","",COUNTIF(#REF!,Z1066))</f>
        <v>#REF!</v>
      </c>
      <c r="AD1066" t="e">
        <f>IF(A1066="","",IF(AC1066&gt;1,"REVISAR DUPLICADO",IF(AA1066&lt;&gt;"","ACTUALIZADO POR EYR","SIN REPORTE EYR")))</f>
        <v>#REF!</v>
      </c>
    </row>
    <row r="1067" spans="1:30" x14ac:dyDescent="0.3">
      <c r="A1067" s="5" t="s">
        <v>2561</v>
      </c>
      <c r="B1067" t="s">
        <v>2560</v>
      </c>
      <c r="C1067" s="4" t="s">
        <v>2559</v>
      </c>
      <c r="D1067" t="s">
        <v>600</v>
      </c>
      <c r="F1067" t="s">
        <v>2558</v>
      </c>
      <c r="G1067" s="3">
        <v>8295232394</v>
      </c>
      <c r="H1067" s="2">
        <v>46133</v>
      </c>
      <c r="K1067" s="1">
        <f ca="1">IF(A1067="","",IF(OR(L1067="ENTREGADA",L1067="RETORNADA",L1067="ENTREGA DIGITAL"),0,MAX(0,5-NETWORKDAYS(H1067+1,TODAY()))))</f>
        <v>0</v>
      </c>
      <c r="L1067">
        <f>IF(A1067="","",IFERROR(LOOKUP(2,1/(#REF!=Z1067),#REF!),Y1067))</f>
        <v>0</v>
      </c>
      <c r="Z1067" t="str">
        <f>IF(A1067="","",TEXT(A1067,"0")&amp;"|"&amp;TEXT(H1067,"0"))</f>
        <v>4921017869162700|46133</v>
      </c>
      <c r="AA1067" t="str">
        <f>IF(Z1067="","",IFERROR(LOOKUP(2,1/(#REF!=Z1067),#REF!),""))</f>
        <v/>
      </c>
      <c r="AB1067" t="str">
        <f>IF(Z1067="","",IFERROR(LOOKUP(2,1/(#REF!=Z1067),#REF!),""))</f>
        <v/>
      </c>
      <c r="AC1067" t="e">
        <f>IF(Z1067="","",COUNTIF(#REF!,Z1067))</f>
        <v>#REF!</v>
      </c>
      <c r="AD1067" t="e">
        <f>IF(A1067="","",IF(AC1067&gt;1,"REVISAR DUPLICADO",IF(AA1067&lt;&gt;"","ACTUALIZADO POR EYR","SIN REPORTE EYR")))</f>
        <v>#REF!</v>
      </c>
    </row>
    <row r="1068" spans="1:30" x14ac:dyDescent="0.3">
      <c r="A1068" s="5" t="s">
        <v>2557</v>
      </c>
      <c r="B1068" t="s">
        <v>2556</v>
      </c>
      <c r="C1068" s="4" t="s">
        <v>2555</v>
      </c>
      <c r="D1068" t="s">
        <v>600</v>
      </c>
      <c r="F1068" t="s">
        <v>13</v>
      </c>
      <c r="G1068" s="3">
        <v>8098790270</v>
      </c>
      <c r="H1068" s="2">
        <v>46133</v>
      </c>
      <c r="K1068" s="1">
        <f ca="1">IF(A1068="","",IF(OR(L1068="ENTREGADA",L1068="RETORNADA",L1068="ENTREGA DIGITAL"),0,MAX(0,5-NETWORKDAYS(H1068+1,TODAY()))))</f>
        <v>0</v>
      </c>
      <c r="L1068">
        <f>IF(A1068="","",IFERROR(LOOKUP(2,1/(#REF!=Z1068),#REF!),Y1068))</f>
        <v>0</v>
      </c>
      <c r="Z1068" t="str">
        <f>IF(A1068="","",TEXT(A1068,"0")&amp;"|"&amp;TEXT(H1068,"0"))</f>
        <v>4921017857621950|46133</v>
      </c>
      <c r="AA1068" t="str">
        <f>IF(Z1068="","",IFERROR(LOOKUP(2,1/(#REF!=Z1068),#REF!),""))</f>
        <v/>
      </c>
      <c r="AB1068" t="str">
        <f>IF(Z1068="","",IFERROR(LOOKUP(2,1/(#REF!=Z1068),#REF!),""))</f>
        <v/>
      </c>
      <c r="AC1068" t="e">
        <f>IF(Z1068="","",COUNTIF(#REF!,Z1068))</f>
        <v>#REF!</v>
      </c>
      <c r="AD1068" t="e">
        <f>IF(A1068="","",IF(AC1068&gt;1,"REVISAR DUPLICADO",IF(AA1068&lt;&gt;"","ACTUALIZADO POR EYR","SIN REPORTE EYR")))</f>
        <v>#REF!</v>
      </c>
    </row>
    <row r="1069" spans="1:30" x14ac:dyDescent="0.3">
      <c r="A1069" s="5" t="s">
        <v>2554</v>
      </c>
      <c r="B1069" t="s">
        <v>2553</v>
      </c>
      <c r="C1069" s="4" t="s">
        <v>2552</v>
      </c>
      <c r="D1069" t="s">
        <v>600</v>
      </c>
      <c r="F1069" t="s">
        <v>2551</v>
      </c>
      <c r="G1069" s="3">
        <v>2747492</v>
      </c>
      <c r="H1069" s="2">
        <v>46133</v>
      </c>
      <c r="K1069" s="1">
        <f ca="1">IF(A1069="","",IF(OR(L1069="ENTREGADA",L1069="RETORNADA",L1069="ENTREGA DIGITAL"),0,MAX(0,5-NETWORKDAYS(H1069+1,TODAY()))))</f>
        <v>0</v>
      </c>
      <c r="L1069">
        <f>IF(A1069="","",IFERROR(LOOKUP(2,1/(#REF!=Z1069),#REF!),Y1069))</f>
        <v>0</v>
      </c>
      <c r="Z1069" t="str">
        <f>IF(A1069="","",TEXT(A1069,"0")&amp;"|"&amp;TEXT(H1069,"0"))</f>
        <v>5188017855976740|46133</v>
      </c>
      <c r="AA1069" t="str">
        <f>IF(Z1069="","",IFERROR(LOOKUP(2,1/(#REF!=Z1069),#REF!),""))</f>
        <v/>
      </c>
      <c r="AB1069" t="str">
        <f>IF(Z1069="","",IFERROR(LOOKUP(2,1/(#REF!=Z1069),#REF!),""))</f>
        <v/>
      </c>
      <c r="AC1069" t="e">
        <f>IF(Z1069="","",COUNTIF(#REF!,Z1069))</f>
        <v>#REF!</v>
      </c>
      <c r="AD1069" t="e">
        <f>IF(A1069="","",IF(AC1069&gt;1,"REVISAR DUPLICADO",IF(AA1069&lt;&gt;"","ACTUALIZADO POR EYR","SIN REPORTE EYR")))</f>
        <v>#REF!</v>
      </c>
    </row>
    <row r="1070" spans="1:30" x14ac:dyDescent="0.3">
      <c r="A1070" s="5" t="s">
        <v>2550</v>
      </c>
      <c r="B1070" t="s">
        <v>2549</v>
      </c>
      <c r="C1070" s="4" t="s">
        <v>2548</v>
      </c>
      <c r="D1070" t="s">
        <v>600</v>
      </c>
      <c r="F1070" t="s">
        <v>2547</v>
      </c>
      <c r="G1070" s="3">
        <v>8092603033</v>
      </c>
      <c r="H1070" s="2">
        <v>46133</v>
      </c>
      <c r="K1070" s="1">
        <f ca="1">IF(A1070="","",IF(OR(L1070="ENTREGADA",L1070="RETORNADA",L1070="ENTREGA DIGITAL"),0,MAX(0,5-NETWORKDAYS(H1070+1,TODAY()))))</f>
        <v>0</v>
      </c>
      <c r="L1070" t="str">
        <f>IF(A1070="","",IFERROR(LOOKUP(2,1/(#REF!=Z1070),#REF!),Y1070))</f>
        <v>ENTREGA DIGITAL</v>
      </c>
      <c r="Y1070" t="s">
        <v>1396</v>
      </c>
      <c r="Z1070" t="str">
        <f>IF(A1070="","",TEXT(A1070,"0")&amp;"|"&amp;TEXT(H1070,"0"))</f>
        <v>5188017856180200|46133</v>
      </c>
      <c r="AA1070" t="str">
        <f>IF(Z1070="","",IFERROR(LOOKUP(2,1/(#REF!=Z1070),#REF!),""))</f>
        <v/>
      </c>
      <c r="AB1070" t="str">
        <f>IF(Z1070="","",IFERROR(LOOKUP(2,1/(#REF!=Z1070),#REF!),""))</f>
        <v/>
      </c>
      <c r="AC1070" t="e">
        <f>IF(Z1070="","",COUNTIF(#REF!,Z1070))</f>
        <v>#REF!</v>
      </c>
      <c r="AD1070" t="e">
        <f>IF(A1070="","",IF(AC1070&gt;1,"REVISAR DUPLICADO",IF(AA1070&lt;&gt;"","ACTUALIZADO POR EYR","SIN REPORTE EYR")))</f>
        <v>#REF!</v>
      </c>
    </row>
    <row r="1071" spans="1:30" x14ac:dyDescent="0.3">
      <c r="A1071" s="5" t="s">
        <v>2546</v>
      </c>
      <c r="B1071" t="s">
        <v>2545</v>
      </c>
      <c r="C1071" s="4" t="s">
        <v>2544</v>
      </c>
      <c r="D1071" t="s">
        <v>600</v>
      </c>
      <c r="F1071" t="s">
        <v>2543</v>
      </c>
      <c r="G1071" s="3">
        <v>8295664598</v>
      </c>
      <c r="H1071" s="2">
        <v>46133</v>
      </c>
      <c r="K1071" s="1">
        <f ca="1">IF(A1071="","",IF(OR(L1071="ENTREGADA",L1071="RETORNADA",L1071="ENTREGA DIGITAL"),0,MAX(0,5-NETWORKDAYS(H1071+1,TODAY()))))</f>
        <v>0</v>
      </c>
      <c r="L1071" t="str">
        <f>IF(A1071="","",IFERROR(LOOKUP(2,1/(#REF!=Z1071),#REF!),Y1071))</f>
        <v>ENTREGA DIGITAL</v>
      </c>
      <c r="Y1071" t="s">
        <v>1396</v>
      </c>
      <c r="Z1071" t="str">
        <f>IF(A1071="","",TEXT(A1071,"0")&amp;"|"&amp;TEXT(H1071,"0"))</f>
        <v>5188017856046480|46133</v>
      </c>
      <c r="AA1071" t="str">
        <f>IF(Z1071="","",IFERROR(LOOKUP(2,1/(#REF!=Z1071),#REF!),""))</f>
        <v/>
      </c>
      <c r="AB1071" t="str">
        <f>IF(Z1071="","",IFERROR(LOOKUP(2,1/(#REF!=Z1071),#REF!),""))</f>
        <v/>
      </c>
      <c r="AC1071" t="e">
        <f>IF(Z1071="","",COUNTIF(#REF!,Z1071))</f>
        <v>#REF!</v>
      </c>
      <c r="AD1071" t="e">
        <f>IF(A1071="","",IF(AC1071&gt;1,"REVISAR DUPLICADO",IF(AA1071&lt;&gt;"","ACTUALIZADO POR EYR","SIN REPORTE EYR")))</f>
        <v>#REF!</v>
      </c>
    </row>
    <row r="1072" spans="1:30" x14ac:dyDescent="0.3">
      <c r="A1072" s="5" t="s">
        <v>1632</v>
      </c>
      <c r="B1072" t="s">
        <v>1631</v>
      </c>
      <c r="C1072" s="4" t="s">
        <v>1630</v>
      </c>
      <c r="D1072" t="s">
        <v>600</v>
      </c>
      <c r="F1072" t="s">
        <v>2542</v>
      </c>
      <c r="G1072" s="3">
        <v>8093351829</v>
      </c>
      <c r="H1072" s="2">
        <v>46133</v>
      </c>
      <c r="K1072" s="1">
        <f ca="1">IF(A1072="","",IF(OR(L1072="ENTREGADA",L1072="RETORNADA",L1072="ENTREGA DIGITAL"),0,MAX(0,5-NETWORKDAYS(H1072+1,TODAY()))))</f>
        <v>0</v>
      </c>
      <c r="L1072">
        <f>IF(A1072="","",IFERROR(LOOKUP(2,1/(#REF!=Z1072),#REF!),Y1072))</f>
        <v>0</v>
      </c>
      <c r="Z1072" t="str">
        <f>IF(A1072="","",TEXT(A1072,"0")&amp;"|"&amp;TEXT(H1072,"0"))</f>
        <v>5227017855819020|46133</v>
      </c>
      <c r="AA1072" t="str">
        <f>IF(Z1072="","",IFERROR(LOOKUP(2,1/(#REF!=Z1072),#REF!),""))</f>
        <v/>
      </c>
      <c r="AB1072" t="str">
        <f>IF(Z1072="","",IFERROR(LOOKUP(2,1/(#REF!=Z1072),#REF!),""))</f>
        <v/>
      </c>
      <c r="AC1072" t="e">
        <f>IF(Z1072="","",COUNTIF(#REF!,Z1072))</f>
        <v>#REF!</v>
      </c>
      <c r="AD1072" t="e">
        <f>IF(A1072="","",IF(AC1072&gt;1,"REVISAR DUPLICADO",IF(AA1072&lt;&gt;"","ACTUALIZADO POR EYR","SIN REPORTE EYR")))</f>
        <v>#REF!</v>
      </c>
    </row>
    <row r="1073" spans="1:30" x14ac:dyDescent="0.3">
      <c r="A1073" s="5" t="s">
        <v>2541</v>
      </c>
      <c r="B1073" t="s">
        <v>2540</v>
      </c>
      <c r="C1073" s="4" t="s">
        <v>2539</v>
      </c>
      <c r="D1073" t="s">
        <v>600</v>
      </c>
      <c r="F1073" t="s">
        <v>13</v>
      </c>
      <c r="G1073" s="3">
        <v>8099774592</v>
      </c>
      <c r="H1073" s="2">
        <v>46133</v>
      </c>
      <c r="K1073" s="1">
        <f ca="1">IF(A1073="","",IF(OR(L1073="ENTREGADA",L1073="RETORNADA",L1073="ENTREGA DIGITAL"),0,MAX(0,5-NETWORKDAYS(H1073+1,TODAY()))))</f>
        <v>0</v>
      </c>
      <c r="L1073">
        <f>IF(A1073="","",IFERROR(LOOKUP(2,1/(#REF!=Z1073),#REF!),Y1073))</f>
        <v>0</v>
      </c>
      <c r="Z1073" t="str">
        <f>IF(A1073="","",TEXT(A1073,"0")&amp;"|"&amp;TEXT(H1073,"0"))</f>
        <v>4921017865087780|46133</v>
      </c>
      <c r="AA1073" t="str">
        <f>IF(Z1073="","",IFERROR(LOOKUP(2,1/(#REF!=Z1073),#REF!),""))</f>
        <v/>
      </c>
      <c r="AB1073" t="str">
        <f>IF(Z1073="","",IFERROR(LOOKUP(2,1/(#REF!=Z1073),#REF!),""))</f>
        <v/>
      </c>
      <c r="AC1073" t="e">
        <f>IF(Z1073="","",COUNTIF(#REF!,Z1073))</f>
        <v>#REF!</v>
      </c>
      <c r="AD1073" t="e">
        <f>IF(A1073="","",IF(AC1073&gt;1,"REVISAR DUPLICADO",IF(AA1073&lt;&gt;"","ACTUALIZADO POR EYR","SIN REPORTE EYR")))</f>
        <v>#REF!</v>
      </c>
    </row>
    <row r="1074" spans="1:30" x14ac:dyDescent="0.3">
      <c r="A1074" s="5" t="s">
        <v>2538</v>
      </c>
      <c r="B1074" t="s">
        <v>2537</v>
      </c>
      <c r="C1074" s="4" t="s">
        <v>2536</v>
      </c>
      <c r="D1074" t="s">
        <v>600</v>
      </c>
      <c r="F1074" t="s">
        <v>1002</v>
      </c>
      <c r="G1074" s="3">
        <v>8293438831</v>
      </c>
      <c r="H1074" s="2">
        <v>46133</v>
      </c>
      <c r="K1074" s="1">
        <f ca="1">IF(A1074="","",IF(OR(L1074="ENTREGADA",L1074="RETORNADA",L1074="ENTREGA DIGITAL"),0,MAX(0,5-NETWORKDAYS(H1074+1,TODAY()))))</f>
        <v>0</v>
      </c>
      <c r="L1074">
        <f>IF(A1074="","",IFERROR(LOOKUP(2,1/(#REF!=Z1074),#REF!),Y1074))</f>
        <v>0</v>
      </c>
      <c r="Z1074" t="str">
        <f>IF(A1074="","",TEXT(A1074,"0")&amp;"|"&amp;TEXT(H1074,"0"))</f>
        <v>4966017865165440|46133</v>
      </c>
      <c r="AA1074" t="str">
        <f>IF(Z1074="","",IFERROR(LOOKUP(2,1/(#REF!=Z1074),#REF!),""))</f>
        <v/>
      </c>
      <c r="AB1074" t="str">
        <f>IF(Z1074="","",IFERROR(LOOKUP(2,1/(#REF!=Z1074),#REF!),""))</f>
        <v/>
      </c>
      <c r="AC1074" t="e">
        <f>IF(Z1074="","",COUNTIF(#REF!,Z1074))</f>
        <v>#REF!</v>
      </c>
      <c r="AD1074" t="e">
        <f>IF(A1074="","",IF(AC1074&gt;1,"REVISAR DUPLICADO",IF(AA1074&lt;&gt;"","ACTUALIZADO POR EYR","SIN REPORTE EYR")))</f>
        <v>#REF!</v>
      </c>
    </row>
    <row r="1075" spans="1:30" x14ac:dyDescent="0.3">
      <c r="A1075" s="5" t="s">
        <v>2535</v>
      </c>
      <c r="B1075" t="s">
        <v>2534</v>
      </c>
      <c r="C1075" s="4" t="s">
        <v>2533</v>
      </c>
      <c r="D1075" t="s">
        <v>600</v>
      </c>
      <c r="F1075" t="s">
        <v>2532</v>
      </c>
      <c r="G1075" s="3">
        <v>8095923514</v>
      </c>
      <c r="H1075" s="2">
        <v>46133</v>
      </c>
      <c r="K1075" s="1">
        <f ca="1">IF(A1075="","",IF(OR(L1075="ENTREGADA",L1075="RETORNADA",L1075="ENTREGA DIGITAL"),0,MAX(0,5-NETWORKDAYS(H1075+1,TODAY()))))</f>
        <v>0</v>
      </c>
      <c r="L1075">
        <f>IF(A1075="","",IFERROR(LOOKUP(2,1/(#REF!=Z1075),#REF!),Y1075))</f>
        <v>0</v>
      </c>
      <c r="Z1075" t="str">
        <f>IF(A1075="","",TEXT(A1075,"0")&amp;"|"&amp;TEXT(H1075,"0"))</f>
        <v>4921017858071000|46133</v>
      </c>
      <c r="AA1075" t="str">
        <f>IF(Z1075="","",IFERROR(LOOKUP(2,1/(#REF!=Z1075),#REF!),""))</f>
        <v/>
      </c>
      <c r="AB1075" t="str">
        <f>IF(Z1075="","",IFERROR(LOOKUP(2,1/(#REF!=Z1075),#REF!),""))</f>
        <v/>
      </c>
      <c r="AC1075" t="e">
        <f>IF(Z1075="","",COUNTIF(#REF!,Z1075))</f>
        <v>#REF!</v>
      </c>
      <c r="AD1075" t="e">
        <f>IF(A1075="","",IF(AC1075&gt;1,"REVISAR DUPLICADO",IF(AA1075&lt;&gt;"","ACTUALIZADO POR EYR","SIN REPORTE EYR")))</f>
        <v>#REF!</v>
      </c>
    </row>
    <row r="1076" spans="1:30" x14ac:dyDescent="0.3">
      <c r="A1076" s="5" t="s">
        <v>2531</v>
      </c>
      <c r="B1076" t="s">
        <v>2530</v>
      </c>
      <c r="C1076" s="4" t="s">
        <v>2529</v>
      </c>
      <c r="D1076" t="s">
        <v>600</v>
      </c>
      <c r="F1076" t="s">
        <v>1016</v>
      </c>
      <c r="G1076" s="3">
        <v>8097420529</v>
      </c>
      <c r="H1076" s="2">
        <v>46133</v>
      </c>
      <c r="K1076" s="1">
        <f ca="1">IF(A1076="","",IF(OR(L1076="ENTREGADA",L1076="RETORNADA",L1076="ENTREGA DIGITAL"),0,MAX(0,5-NETWORKDAYS(H1076+1,TODAY()))))</f>
        <v>0</v>
      </c>
      <c r="L1076">
        <f>IF(A1076="","",IFERROR(LOOKUP(2,1/(#REF!=Z1076),#REF!),Y1076))</f>
        <v>0</v>
      </c>
      <c r="Z1076" t="str">
        <f>IF(A1076="","",TEXT(A1076,"0")&amp;"|"&amp;TEXT(H1076,"0"))</f>
        <v>4921017857729820|46133</v>
      </c>
      <c r="AA1076" t="str">
        <f>IF(Z1076="","",IFERROR(LOOKUP(2,1/(#REF!=Z1076),#REF!),""))</f>
        <v/>
      </c>
      <c r="AB1076" t="str">
        <f>IF(Z1076="","",IFERROR(LOOKUP(2,1/(#REF!=Z1076),#REF!),""))</f>
        <v/>
      </c>
      <c r="AC1076" t="e">
        <f>IF(Z1076="","",COUNTIF(#REF!,Z1076))</f>
        <v>#REF!</v>
      </c>
      <c r="AD1076" t="e">
        <f>IF(A1076="","",IF(AC1076&gt;1,"REVISAR DUPLICADO",IF(AA1076&lt;&gt;"","ACTUALIZADO POR EYR","SIN REPORTE EYR")))</f>
        <v>#REF!</v>
      </c>
    </row>
    <row r="1077" spans="1:30" x14ac:dyDescent="0.3">
      <c r="A1077" s="5" t="s">
        <v>1640</v>
      </c>
      <c r="B1077" t="s">
        <v>1639</v>
      </c>
      <c r="C1077" s="4" t="s">
        <v>1638</v>
      </c>
      <c r="D1077" t="s">
        <v>600</v>
      </c>
      <c r="F1077" t="s">
        <v>979</v>
      </c>
      <c r="G1077" s="3">
        <v>8092313137</v>
      </c>
      <c r="H1077" s="2">
        <v>46133</v>
      </c>
      <c r="K1077" s="1">
        <f ca="1">IF(A1077="","",IF(OR(L1077="ENTREGADA",L1077="RETORNADA",L1077="ENTREGA DIGITAL"),0,MAX(0,5-NETWORKDAYS(H1077+1,TODAY()))))</f>
        <v>0</v>
      </c>
      <c r="L1077">
        <f>IF(A1077="","",IFERROR(LOOKUP(2,1/(#REF!=Z1077),#REF!),Y1077))</f>
        <v>0</v>
      </c>
      <c r="Z1077" t="str">
        <f>IF(A1077="","",TEXT(A1077,"0")&amp;"|"&amp;TEXT(H1077,"0"))</f>
        <v>5188017848881130|46133</v>
      </c>
      <c r="AA1077" t="str">
        <f>IF(Z1077="","",IFERROR(LOOKUP(2,1/(#REF!=Z1077),#REF!),""))</f>
        <v/>
      </c>
      <c r="AB1077" t="str">
        <f>IF(Z1077="","",IFERROR(LOOKUP(2,1/(#REF!=Z1077),#REF!),""))</f>
        <v/>
      </c>
      <c r="AC1077" t="e">
        <f>IF(Z1077="","",COUNTIF(#REF!,Z1077))</f>
        <v>#REF!</v>
      </c>
      <c r="AD1077" t="e">
        <f>IF(A1077="","",IF(AC1077&gt;1,"REVISAR DUPLICADO",IF(AA1077&lt;&gt;"","ACTUALIZADO POR EYR","SIN REPORTE EYR")))</f>
        <v>#REF!</v>
      </c>
    </row>
    <row r="1078" spans="1:30" x14ac:dyDescent="0.3">
      <c r="A1078" s="5" t="s">
        <v>2528</v>
      </c>
      <c r="B1078" t="s">
        <v>2527</v>
      </c>
      <c r="C1078" s="4" t="s">
        <v>2526</v>
      </c>
      <c r="D1078" t="s">
        <v>600</v>
      </c>
      <c r="F1078" t="s">
        <v>2525</v>
      </c>
      <c r="G1078" s="3">
        <v>8495307702</v>
      </c>
      <c r="H1078" s="2">
        <v>46133</v>
      </c>
      <c r="K1078" s="1">
        <f ca="1">IF(A1078="","",IF(OR(L1078="ENTREGADA",L1078="RETORNADA",L1078="ENTREGA DIGITAL"),0,MAX(0,5-NETWORKDAYS(H1078+1,TODAY()))))</f>
        <v>0</v>
      </c>
      <c r="L1078" t="str">
        <f>IF(A1078="","",IFERROR(LOOKUP(2,1/(#REF!=Z1078),#REF!),Y1078))</f>
        <v>ENTREGA DIGITAL</v>
      </c>
      <c r="Y1078" t="s">
        <v>1396</v>
      </c>
      <c r="Z1078" t="str">
        <f>IF(A1078="","",TEXT(A1078,"0")&amp;"|"&amp;TEXT(H1078,"0"))</f>
        <v>5188017864753620|46133</v>
      </c>
      <c r="AA1078" t="str">
        <f>IF(Z1078="","",IFERROR(LOOKUP(2,1/(#REF!=Z1078),#REF!),""))</f>
        <v/>
      </c>
      <c r="AB1078" t="str">
        <f>IF(Z1078="","",IFERROR(LOOKUP(2,1/(#REF!=Z1078),#REF!),""))</f>
        <v/>
      </c>
      <c r="AC1078" t="e">
        <f>IF(Z1078="","",COUNTIF(#REF!,Z1078))</f>
        <v>#REF!</v>
      </c>
      <c r="AD1078" t="e">
        <f>IF(A1078="","",IF(AC1078&gt;1,"REVISAR DUPLICADO",IF(AA1078&lt;&gt;"","ACTUALIZADO POR EYR","SIN REPORTE EYR")))</f>
        <v>#REF!</v>
      </c>
    </row>
    <row r="1079" spans="1:30" x14ac:dyDescent="0.3">
      <c r="A1079" s="5" t="s">
        <v>2524</v>
      </c>
      <c r="B1079" t="s">
        <v>2523</v>
      </c>
      <c r="C1079" s="4" t="s">
        <v>2522</v>
      </c>
      <c r="D1079" t="s">
        <v>600</v>
      </c>
      <c r="F1079" t="s">
        <v>13</v>
      </c>
      <c r="G1079" s="3">
        <v>9999999999</v>
      </c>
      <c r="H1079" s="2">
        <v>46133</v>
      </c>
      <c r="K1079" s="1">
        <f ca="1">IF(A1079="","",IF(OR(L1079="ENTREGADA",L1079="RETORNADA",L1079="ENTREGA DIGITAL"),0,MAX(0,5-NETWORKDAYS(H1079+1,TODAY()))))</f>
        <v>0</v>
      </c>
      <c r="L1079">
        <f>IF(A1079="","",IFERROR(LOOKUP(2,1/(#REF!=Z1079),#REF!),Y1079))</f>
        <v>0</v>
      </c>
      <c r="Z1079" t="str">
        <f>IF(A1079="","",TEXT(A1079,"0")&amp;"|"&amp;TEXT(H1079,"0"))</f>
        <v>4921017862822940|46133</v>
      </c>
      <c r="AA1079" t="str">
        <f>IF(Z1079="","",IFERROR(LOOKUP(2,1/(#REF!=Z1079),#REF!),""))</f>
        <v/>
      </c>
      <c r="AB1079" t="str">
        <f>IF(Z1079="","",IFERROR(LOOKUP(2,1/(#REF!=Z1079),#REF!),""))</f>
        <v/>
      </c>
      <c r="AC1079" t="e">
        <f>IF(Z1079="","",COUNTIF(#REF!,Z1079))</f>
        <v>#REF!</v>
      </c>
      <c r="AD1079" t="e">
        <f>IF(A1079="","",IF(AC1079&gt;1,"REVISAR DUPLICADO",IF(AA1079&lt;&gt;"","ACTUALIZADO POR EYR","SIN REPORTE EYR")))</f>
        <v>#REF!</v>
      </c>
    </row>
    <row r="1080" spans="1:30" x14ac:dyDescent="0.3">
      <c r="A1080" s="5" t="s">
        <v>2521</v>
      </c>
      <c r="B1080" t="s">
        <v>2520</v>
      </c>
      <c r="C1080" s="4" t="s">
        <v>2519</v>
      </c>
      <c r="D1080" t="s">
        <v>600</v>
      </c>
      <c r="F1080" t="s">
        <v>2518</v>
      </c>
      <c r="G1080" s="3">
        <v>8493903303</v>
      </c>
      <c r="H1080" s="2">
        <v>46133</v>
      </c>
      <c r="K1080" s="1">
        <f ca="1">IF(A1080="","",IF(OR(L1080="ENTREGADA",L1080="RETORNADA",L1080="ENTREGA DIGITAL"),0,MAX(0,5-NETWORKDAYS(H1080+1,TODAY()))))</f>
        <v>0</v>
      </c>
      <c r="L1080" t="str">
        <f>IF(A1080="","",IFERROR(LOOKUP(2,1/(#REF!=Z1080),#REF!),Y1080))</f>
        <v>ENTREGA DIGITAL</v>
      </c>
      <c r="Y1080" t="s">
        <v>1396</v>
      </c>
      <c r="Z1080" t="str">
        <f>IF(A1080="","",TEXT(A1080,"0")&amp;"|"&amp;TEXT(H1080,"0"))</f>
        <v>4921017870193500|46133</v>
      </c>
      <c r="AA1080" t="str">
        <f>IF(Z1080="","",IFERROR(LOOKUP(2,1/(#REF!=Z1080),#REF!),""))</f>
        <v/>
      </c>
      <c r="AB1080" t="str">
        <f>IF(Z1080="","",IFERROR(LOOKUP(2,1/(#REF!=Z1080),#REF!),""))</f>
        <v/>
      </c>
      <c r="AC1080" t="e">
        <f>IF(Z1080="","",COUNTIF(#REF!,Z1080))</f>
        <v>#REF!</v>
      </c>
      <c r="AD1080" t="e">
        <f>IF(A1080="","",IF(AC1080&gt;1,"REVISAR DUPLICADO",IF(AA1080&lt;&gt;"","ACTUALIZADO POR EYR","SIN REPORTE EYR")))</f>
        <v>#REF!</v>
      </c>
    </row>
    <row r="1081" spans="1:30" x14ac:dyDescent="0.3">
      <c r="A1081" s="5" t="s">
        <v>2517</v>
      </c>
      <c r="B1081" t="s">
        <v>2516</v>
      </c>
      <c r="C1081" s="4" t="s">
        <v>2515</v>
      </c>
      <c r="D1081" t="s">
        <v>600</v>
      </c>
      <c r="F1081" t="s">
        <v>979</v>
      </c>
      <c r="G1081" s="3">
        <v>8092311304</v>
      </c>
      <c r="H1081" s="2">
        <v>46133</v>
      </c>
      <c r="K1081" s="1">
        <f ca="1">IF(A1081="","",IF(OR(L1081="ENTREGADA",L1081="RETORNADA",L1081="ENTREGA DIGITAL"),0,MAX(0,5-NETWORKDAYS(H1081+1,TODAY()))))</f>
        <v>0</v>
      </c>
      <c r="L1081">
        <f>IF(A1081="","",IFERROR(LOOKUP(2,1/(#REF!=Z1081),#REF!),Y1081))</f>
        <v>0</v>
      </c>
      <c r="Z1081" t="str">
        <f>IF(A1081="","",TEXT(A1081,"0")&amp;"|"&amp;TEXT(H1081,"0"))</f>
        <v>5227017866573340|46133</v>
      </c>
      <c r="AA1081" t="str">
        <f>IF(Z1081="","",IFERROR(LOOKUP(2,1/(#REF!=Z1081),#REF!),""))</f>
        <v/>
      </c>
      <c r="AB1081" t="str">
        <f>IF(Z1081="","",IFERROR(LOOKUP(2,1/(#REF!=Z1081),#REF!),""))</f>
        <v/>
      </c>
      <c r="AC1081" t="e">
        <f>IF(Z1081="","",COUNTIF(#REF!,Z1081))</f>
        <v>#REF!</v>
      </c>
      <c r="AD1081" t="e">
        <f>IF(A1081="","",IF(AC1081&gt;1,"REVISAR DUPLICADO",IF(AA1081&lt;&gt;"","ACTUALIZADO POR EYR","SIN REPORTE EYR")))</f>
        <v>#REF!</v>
      </c>
    </row>
    <row r="1082" spans="1:30" x14ac:dyDescent="0.3">
      <c r="A1082" s="5" t="s">
        <v>2514</v>
      </c>
      <c r="B1082" t="s">
        <v>2513</v>
      </c>
      <c r="C1082" s="4" t="s">
        <v>2512</v>
      </c>
      <c r="D1082" t="s">
        <v>600</v>
      </c>
      <c r="F1082" t="s">
        <v>2511</v>
      </c>
      <c r="G1082" s="3">
        <v>8094882136</v>
      </c>
      <c r="H1082" s="2">
        <v>46133</v>
      </c>
      <c r="K1082" s="1">
        <f ca="1">IF(A1082="","",IF(OR(L1082="ENTREGADA",L1082="RETORNADA",L1082="ENTREGA DIGITAL"),0,MAX(0,5-NETWORKDAYS(H1082+1,TODAY()))))</f>
        <v>0</v>
      </c>
      <c r="L1082">
        <f>IF(A1082="","",IFERROR(LOOKUP(2,1/(#REF!=Z1082),#REF!),Y1082))</f>
        <v>0</v>
      </c>
      <c r="Z1082" t="str">
        <f>IF(A1082="","",TEXT(A1082,"0")&amp;"|"&amp;TEXT(H1082,"0"))</f>
        <v>4921017798098390|46133</v>
      </c>
      <c r="AA1082" t="str">
        <f>IF(Z1082="","",IFERROR(LOOKUP(2,1/(#REF!=Z1082),#REF!),""))</f>
        <v/>
      </c>
      <c r="AB1082" t="str">
        <f>IF(Z1082="","",IFERROR(LOOKUP(2,1/(#REF!=Z1082),#REF!),""))</f>
        <v/>
      </c>
      <c r="AC1082" t="e">
        <f>IF(Z1082="","",COUNTIF(#REF!,Z1082))</f>
        <v>#REF!</v>
      </c>
      <c r="AD1082" t="e">
        <f>IF(A1082="","",IF(AC1082&gt;1,"REVISAR DUPLICADO",IF(AA1082&lt;&gt;"","ACTUALIZADO POR EYR","SIN REPORTE EYR")))</f>
        <v>#REF!</v>
      </c>
    </row>
    <row r="1083" spans="1:30" x14ac:dyDescent="0.3">
      <c r="A1083" s="5" t="s">
        <v>2510</v>
      </c>
      <c r="B1083" t="s">
        <v>2509</v>
      </c>
      <c r="C1083" s="4" t="s">
        <v>2508</v>
      </c>
      <c r="D1083" t="s">
        <v>600</v>
      </c>
      <c r="F1083" t="s">
        <v>2507</v>
      </c>
      <c r="G1083" s="3">
        <v>6388893</v>
      </c>
      <c r="H1083" s="2">
        <v>46133</v>
      </c>
      <c r="K1083" s="1">
        <f ca="1">IF(A1083="","",IF(OR(L1083="ENTREGADA",L1083="RETORNADA",L1083="ENTREGA DIGITAL"),0,MAX(0,5-NETWORKDAYS(H1083+1,TODAY()))))</f>
        <v>0</v>
      </c>
      <c r="L1083">
        <f>IF(A1083="","",IFERROR(LOOKUP(2,1/(#REF!=Z1083),#REF!),Y1083))</f>
        <v>0</v>
      </c>
      <c r="Z1083" t="str">
        <f>IF(A1083="","",TEXT(A1083,"0")&amp;"|"&amp;TEXT(H1083,"0"))</f>
        <v>4025017863448070|46133</v>
      </c>
      <c r="AA1083" t="str">
        <f>IF(Z1083="","",IFERROR(LOOKUP(2,1/(#REF!=Z1083),#REF!),""))</f>
        <v/>
      </c>
      <c r="AB1083" t="str">
        <f>IF(Z1083="","",IFERROR(LOOKUP(2,1/(#REF!=Z1083),#REF!),""))</f>
        <v/>
      </c>
      <c r="AC1083" t="e">
        <f>IF(Z1083="","",COUNTIF(#REF!,Z1083))</f>
        <v>#REF!</v>
      </c>
      <c r="AD1083" t="e">
        <f>IF(A1083="","",IF(AC1083&gt;1,"REVISAR DUPLICADO",IF(AA1083&lt;&gt;"","ACTUALIZADO POR EYR","SIN REPORTE EYR")))</f>
        <v>#REF!</v>
      </c>
    </row>
    <row r="1084" spans="1:30" x14ac:dyDescent="0.3">
      <c r="A1084" s="5" t="s">
        <v>2506</v>
      </c>
      <c r="B1084" t="s">
        <v>2505</v>
      </c>
      <c r="C1084" s="4" t="s">
        <v>2504</v>
      </c>
      <c r="D1084" t="s">
        <v>600</v>
      </c>
      <c r="F1084" t="s">
        <v>2503</v>
      </c>
      <c r="G1084" s="3">
        <v>8092319466</v>
      </c>
      <c r="H1084" s="2">
        <v>46133</v>
      </c>
      <c r="K1084" s="1">
        <f ca="1">IF(A1084="","",IF(OR(L1084="ENTREGADA",L1084="RETORNADA",L1084="ENTREGA DIGITAL"),0,MAX(0,5-NETWORKDAYS(H1084+1,TODAY()))))</f>
        <v>0</v>
      </c>
      <c r="L1084">
        <f>IF(A1084="","",IFERROR(LOOKUP(2,1/(#REF!=Z1084),#REF!),Y1084))</f>
        <v>0</v>
      </c>
      <c r="Z1084" t="str">
        <f>IF(A1084="","",TEXT(A1084,"0")&amp;"|"&amp;TEXT(H1084,"0"))</f>
        <v>4921017861478120|46133</v>
      </c>
      <c r="AA1084" t="str">
        <f>IF(Z1084="","",IFERROR(LOOKUP(2,1/(#REF!=Z1084),#REF!),""))</f>
        <v/>
      </c>
      <c r="AB1084" t="str">
        <f>IF(Z1084="","",IFERROR(LOOKUP(2,1/(#REF!=Z1084),#REF!),""))</f>
        <v/>
      </c>
      <c r="AC1084" t="e">
        <f>IF(Z1084="","",COUNTIF(#REF!,Z1084))</f>
        <v>#REF!</v>
      </c>
      <c r="AD1084" t="e">
        <f>IF(A1084="","",IF(AC1084&gt;1,"REVISAR DUPLICADO",IF(AA1084&lt;&gt;"","ACTUALIZADO POR EYR","SIN REPORTE EYR")))</f>
        <v>#REF!</v>
      </c>
    </row>
    <row r="1085" spans="1:30" x14ac:dyDescent="0.3">
      <c r="A1085" s="5" t="s">
        <v>2502</v>
      </c>
      <c r="B1085" t="s">
        <v>2501</v>
      </c>
      <c r="C1085" s="4" t="s">
        <v>2500</v>
      </c>
      <c r="D1085" t="s">
        <v>600</v>
      </c>
      <c r="F1085" t="s">
        <v>2490</v>
      </c>
      <c r="G1085" s="3">
        <v>8299247049</v>
      </c>
      <c r="H1085" s="2">
        <v>46133</v>
      </c>
      <c r="K1085" s="1">
        <f ca="1">IF(A1085="","",IF(OR(L1085="ENTREGADA",L1085="RETORNADA",L1085="ENTREGA DIGITAL"),0,MAX(0,5-NETWORKDAYS(H1085+1,TODAY()))))</f>
        <v>0</v>
      </c>
      <c r="L1085" t="str">
        <f>IF(A1085="","",IFERROR(LOOKUP(2,1/(#REF!=Z1085),#REF!),Y1085))</f>
        <v>ENTREGA DIGITAL</v>
      </c>
      <c r="Y1085" t="s">
        <v>1396</v>
      </c>
      <c r="Z1085" t="str">
        <f>IF(A1085="","",TEXT(A1085,"0")&amp;"|"&amp;TEXT(H1085,"0"))</f>
        <v>4921017862471280|46133</v>
      </c>
      <c r="AA1085" t="str">
        <f>IF(Z1085="","",IFERROR(LOOKUP(2,1/(#REF!=Z1085),#REF!),""))</f>
        <v/>
      </c>
      <c r="AB1085" t="str">
        <f>IF(Z1085="","",IFERROR(LOOKUP(2,1/(#REF!=Z1085),#REF!),""))</f>
        <v/>
      </c>
      <c r="AC1085" t="e">
        <f>IF(Z1085="","",COUNTIF(#REF!,Z1085))</f>
        <v>#REF!</v>
      </c>
      <c r="AD1085" t="e">
        <f>IF(A1085="","",IF(AC1085&gt;1,"REVISAR DUPLICADO",IF(AA1085&lt;&gt;"","ACTUALIZADO POR EYR","SIN REPORTE EYR")))</f>
        <v>#REF!</v>
      </c>
    </row>
    <row r="1086" spans="1:30" x14ac:dyDescent="0.3">
      <c r="A1086" s="5" t="s">
        <v>2499</v>
      </c>
      <c r="B1086" t="s">
        <v>2498</v>
      </c>
      <c r="C1086" s="4" t="s">
        <v>2497</v>
      </c>
      <c r="D1086" t="s">
        <v>600</v>
      </c>
      <c r="F1086" t="s">
        <v>979</v>
      </c>
      <c r="G1086" s="3">
        <v>8297016784</v>
      </c>
      <c r="H1086" s="2">
        <v>46133</v>
      </c>
      <c r="K1086" s="1">
        <f ca="1">IF(A1086="","",IF(OR(L1086="ENTREGADA",L1086="RETORNADA",L1086="ENTREGA DIGITAL"),0,MAX(0,5-NETWORKDAYS(H1086+1,TODAY()))))</f>
        <v>0</v>
      </c>
      <c r="L1086" t="str">
        <f>IF(A1086="","",IFERROR(LOOKUP(2,1/(#REF!=Z1086),#REF!),Y1086))</f>
        <v>ENTREGA DIGITAL</v>
      </c>
      <c r="Y1086" t="s">
        <v>1396</v>
      </c>
      <c r="Z1086" t="str">
        <f>IF(A1086="","",TEXT(A1086,"0")&amp;"|"&amp;TEXT(H1086,"0"))</f>
        <v>5188017859180810|46133</v>
      </c>
      <c r="AA1086" t="str">
        <f>IF(Z1086="","",IFERROR(LOOKUP(2,1/(#REF!=Z1086),#REF!),""))</f>
        <v/>
      </c>
      <c r="AB1086" t="str">
        <f>IF(Z1086="","",IFERROR(LOOKUP(2,1/(#REF!=Z1086),#REF!),""))</f>
        <v/>
      </c>
      <c r="AC1086" t="e">
        <f>IF(Z1086="","",COUNTIF(#REF!,Z1086))</f>
        <v>#REF!</v>
      </c>
      <c r="AD1086" t="e">
        <f>IF(A1086="","",IF(AC1086&gt;1,"REVISAR DUPLICADO",IF(AA1086&lt;&gt;"","ACTUALIZADO POR EYR","SIN REPORTE EYR")))</f>
        <v>#REF!</v>
      </c>
    </row>
    <row r="1087" spans="1:30" x14ac:dyDescent="0.3">
      <c r="A1087" s="5" t="s">
        <v>2496</v>
      </c>
      <c r="B1087" t="s">
        <v>2495</v>
      </c>
      <c r="C1087" s="4" t="s">
        <v>2494</v>
      </c>
      <c r="D1087" t="s">
        <v>600</v>
      </c>
      <c r="F1087" t="s">
        <v>2474</v>
      </c>
      <c r="G1087" s="3">
        <v>8092313352</v>
      </c>
      <c r="H1087" s="2">
        <v>46133</v>
      </c>
      <c r="K1087" s="1">
        <f ca="1">IF(A1087="","",IF(OR(L1087="ENTREGADA",L1087="RETORNADA",L1087="ENTREGA DIGITAL"),0,MAX(0,5-NETWORKDAYS(H1087+1,TODAY()))))</f>
        <v>0</v>
      </c>
      <c r="L1087">
        <f>IF(A1087="","",IFERROR(LOOKUP(2,1/(#REF!=Z1087),#REF!),Y1087))</f>
        <v>0</v>
      </c>
      <c r="Z1087" t="str">
        <f>IF(A1087="","",TEXT(A1087,"0")&amp;"|"&amp;TEXT(H1087,"0"))</f>
        <v>4966017865151270|46133</v>
      </c>
      <c r="AA1087" t="str">
        <f>IF(Z1087="","",IFERROR(LOOKUP(2,1/(#REF!=Z1087),#REF!),""))</f>
        <v/>
      </c>
      <c r="AB1087" t="str">
        <f>IF(Z1087="","",IFERROR(LOOKUP(2,1/(#REF!=Z1087),#REF!),""))</f>
        <v/>
      </c>
      <c r="AC1087" t="e">
        <f>IF(Z1087="","",COUNTIF(#REF!,Z1087))</f>
        <v>#REF!</v>
      </c>
      <c r="AD1087" t="e">
        <f>IF(A1087="","",IF(AC1087&gt;1,"REVISAR DUPLICADO",IF(AA1087&lt;&gt;"","ACTUALIZADO POR EYR","SIN REPORTE EYR")))</f>
        <v>#REF!</v>
      </c>
    </row>
    <row r="1088" spans="1:30" x14ac:dyDescent="0.3">
      <c r="A1088" s="5" t="s">
        <v>2493</v>
      </c>
      <c r="B1088" t="s">
        <v>2492</v>
      </c>
      <c r="C1088" s="4" t="s">
        <v>2491</v>
      </c>
      <c r="D1088" t="s">
        <v>600</v>
      </c>
      <c r="F1088" t="s">
        <v>2490</v>
      </c>
      <c r="G1088" s="3">
        <v>8097028014</v>
      </c>
      <c r="H1088" s="2">
        <v>46133</v>
      </c>
      <c r="K1088" s="1">
        <f ca="1">IF(A1088="","",IF(OR(L1088="ENTREGADA",L1088="RETORNADA",L1088="ENTREGA DIGITAL"),0,MAX(0,5-NETWORKDAYS(H1088+1,TODAY()))))</f>
        <v>0</v>
      </c>
      <c r="L1088">
        <f>IF(A1088="","",IFERROR(LOOKUP(2,1/(#REF!=Z1088),#REF!),Y1088))</f>
        <v>0</v>
      </c>
      <c r="Z1088" t="str">
        <f>IF(A1088="","",TEXT(A1088,"0")&amp;"|"&amp;TEXT(H1088,"0"))</f>
        <v>5400017859830370|46133</v>
      </c>
      <c r="AA1088" t="str">
        <f>IF(Z1088="","",IFERROR(LOOKUP(2,1/(#REF!=Z1088),#REF!),""))</f>
        <v/>
      </c>
      <c r="AB1088" t="str">
        <f>IF(Z1088="","",IFERROR(LOOKUP(2,1/(#REF!=Z1088),#REF!),""))</f>
        <v/>
      </c>
      <c r="AC1088" t="e">
        <f>IF(Z1088="","",COUNTIF(#REF!,Z1088))</f>
        <v>#REF!</v>
      </c>
      <c r="AD1088" t="e">
        <f>IF(A1088="","",IF(AC1088&gt;1,"REVISAR DUPLICADO",IF(AA1088&lt;&gt;"","ACTUALIZADO POR EYR","SIN REPORTE EYR")))</f>
        <v>#REF!</v>
      </c>
    </row>
    <row r="1089" spans="1:30" x14ac:dyDescent="0.3">
      <c r="A1089" s="5" t="s">
        <v>1628</v>
      </c>
      <c r="B1089" t="s">
        <v>1627</v>
      </c>
      <c r="C1089" s="4" t="s">
        <v>1626</v>
      </c>
      <c r="D1089" t="s">
        <v>600</v>
      </c>
      <c r="F1089" t="s">
        <v>2489</v>
      </c>
      <c r="G1089" s="3">
        <v>8296891462</v>
      </c>
      <c r="H1089" s="2">
        <v>46133</v>
      </c>
      <c r="K1089" s="1">
        <f ca="1">IF(A1089="","",IF(OR(L1089="ENTREGADA",L1089="RETORNADA",L1089="ENTREGA DIGITAL"),0,MAX(0,5-NETWORKDAYS(H1089+1,TODAY()))))</f>
        <v>0</v>
      </c>
      <c r="L1089">
        <f>IF(A1089="","",IFERROR(LOOKUP(2,1/(#REF!=Z1089),#REF!),Y1089))</f>
        <v>0</v>
      </c>
      <c r="Z1089" t="str">
        <f>IF(A1089="","",TEXT(A1089,"0")&amp;"|"&amp;TEXT(H1089,"0"))</f>
        <v>5415017859420240|46133</v>
      </c>
      <c r="AA1089" t="str">
        <f>IF(Z1089="","",IFERROR(LOOKUP(2,1/(#REF!=Z1089),#REF!),""))</f>
        <v/>
      </c>
      <c r="AB1089" t="str">
        <f>IF(Z1089="","",IFERROR(LOOKUP(2,1/(#REF!=Z1089),#REF!),""))</f>
        <v/>
      </c>
      <c r="AC1089" t="e">
        <f>IF(Z1089="","",COUNTIF(#REF!,Z1089))</f>
        <v>#REF!</v>
      </c>
      <c r="AD1089" t="e">
        <f>IF(A1089="","",IF(AC1089&gt;1,"REVISAR DUPLICADO",IF(AA1089&lt;&gt;"","ACTUALIZADO POR EYR","SIN REPORTE EYR")))</f>
        <v>#REF!</v>
      </c>
    </row>
    <row r="1090" spans="1:30" x14ac:dyDescent="0.3">
      <c r="A1090" s="5" t="s">
        <v>2488</v>
      </c>
      <c r="B1090" t="s">
        <v>2487</v>
      </c>
      <c r="C1090" s="4" t="s">
        <v>2486</v>
      </c>
      <c r="D1090" t="s">
        <v>600</v>
      </c>
      <c r="F1090" t="s">
        <v>2478</v>
      </c>
      <c r="G1090" s="3">
        <v>8298643763</v>
      </c>
      <c r="H1090" s="2">
        <v>46133</v>
      </c>
      <c r="K1090" s="1">
        <f ca="1">IF(A1090="","",IF(OR(L1090="ENTREGADA",L1090="RETORNADA",L1090="ENTREGA DIGITAL"),0,MAX(0,5-NETWORKDAYS(H1090+1,TODAY()))))</f>
        <v>0</v>
      </c>
      <c r="L1090">
        <f>IF(A1090="","",IFERROR(LOOKUP(2,1/(#REF!=Z1090),#REF!),Y1090))</f>
        <v>0</v>
      </c>
      <c r="Z1090" t="str">
        <f>IF(A1090="","",TEXT(A1090,"0")&amp;"|"&amp;TEXT(H1090,"0"))</f>
        <v>5188017864740980|46133</v>
      </c>
      <c r="AA1090" t="str">
        <f>IF(Z1090="","",IFERROR(LOOKUP(2,1/(#REF!=Z1090),#REF!),""))</f>
        <v/>
      </c>
      <c r="AB1090" t="str">
        <f>IF(Z1090="","",IFERROR(LOOKUP(2,1/(#REF!=Z1090),#REF!),""))</f>
        <v/>
      </c>
      <c r="AC1090" t="e">
        <f>IF(Z1090="","",COUNTIF(#REF!,Z1090))</f>
        <v>#REF!</v>
      </c>
      <c r="AD1090" t="e">
        <f>IF(A1090="","",IF(AC1090&gt;1,"REVISAR DUPLICADO",IF(AA1090&lt;&gt;"","ACTUALIZADO POR EYR","SIN REPORTE EYR")))</f>
        <v>#REF!</v>
      </c>
    </row>
    <row r="1091" spans="1:30" x14ac:dyDescent="0.3">
      <c r="A1091" s="5" t="s">
        <v>2485</v>
      </c>
      <c r="B1091" t="s">
        <v>2484</v>
      </c>
      <c r="C1091" s="4" t="s">
        <v>2483</v>
      </c>
      <c r="D1091" t="s">
        <v>600</v>
      </c>
      <c r="F1091" t="s">
        <v>2482</v>
      </c>
      <c r="G1091" s="3">
        <v>8095964857</v>
      </c>
      <c r="H1091" s="2">
        <v>46133</v>
      </c>
      <c r="K1091" s="1">
        <f ca="1">IF(A1091="","",IF(OR(L1091="ENTREGADA",L1091="RETORNADA",L1091="ENTREGA DIGITAL"),0,MAX(0,5-NETWORKDAYS(H1091+1,TODAY()))))</f>
        <v>0</v>
      </c>
      <c r="L1091">
        <f>IF(A1091="","",IFERROR(LOOKUP(2,1/(#REF!=Z1091),#REF!),Y1091))</f>
        <v>0</v>
      </c>
      <c r="Z1091" t="str">
        <f>IF(A1091="","",TEXT(A1091,"0")&amp;"|"&amp;TEXT(H1091,"0"))</f>
        <v>5415017866427600|46133</v>
      </c>
      <c r="AA1091" t="str">
        <f>IF(Z1091="","",IFERROR(LOOKUP(2,1/(#REF!=Z1091),#REF!),""))</f>
        <v/>
      </c>
      <c r="AB1091" t="str">
        <f>IF(Z1091="","",IFERROR(LOOKUP(2,1/(#REF!=Z1091),#REF!),""))</f>
        <v/>
      </c>
      <c r="AC1091" t="e">
        <f>IF(Z1091="","",COUNTIF(#REF!,Z1091))</f>
        <v>#REF!</v>
      </c>
      <c r="AD1091" t="e">
        <f>IF(A1091="","",IF(AC1091&gt;1,"REVISAR DUPLICADO",IF(AA1091&lt;&gt;"","ACTUALIZADO POR EYR","SIN REPORTE EYR")))</f>
        <v>#REF!</v>
      </c>
    </row>
    <row r="1092" spans="1:30" x14ac:dyDescent="0.3">
      <c r="A1092" s="5" t="s">
        <v>2481</v>
      </c>
      <c r="B1092" t="s">
        <v>2480</v>
      </c>
      <c r="C1092" s="4" t="s">
        <v>2479</v>
      </c>
      <c r="D1092" t="s">
        <v>600</v>
      </c>
      <c r="F1092" t="s">
        <v>2478</v>
      </c>
      <c r="G1092" s="3">
        <v>8094586754</v>
      </c>
      <c r="H1092" s="2">
        <v>46133</v>
      </c>
      <c r="K1092" s="1">
        <f ca="1">IF(A1092="","",IF(OR(L1092="ENTREGADA",L1092="RETORNADA",L1092="ENTREGA DIGITAL"),0,MAX(0,5-NETWORKDAYS(H1092+1,TODAY()))))</f>
        <v>0</v>
      </c>
      <c r="L1092">
        <f>IF(A1092="","",IFERROR(LOOKUP(2,1/(#REF!=Z1092),#REF!),Y1092))</f>
        <v>0</v>
      </c>
      <c r="Z1092" t="str">
        <f>IF(A1092="","",TEXT(A1092,"0")&amp;"|"&amp;TEXT(H1092,"0"))</f>
        <v>4921017861375130|46133</v>
      </c>
      <c r="AA1092" t="str">
        <f>IF(Z1092="","",IFERROR(LOOKUP(2,1/(#REF!=Z1092),#REF!),""))</f>
        <v/>
      </c>
      <c r="AB1092" t="str">
        <f>IF(Z1092="","",IFERROR(LOOKUP(2,1/(#REF!=Z1092),#REF!),""))</f>
        <v/>
      </c>
      <c r="AC1092" t="e">
        <f>IF(Z1092="","",COUNTIF(#REF!,Z1092))</f>
        <v>#REF!</v>
      </c>
      <c r="AD1092" t="e">
        <f>IF(A1092="","",IF(AC1092&gt;1,"REVISAR DUPLICADO",IF(AA1092&lt;&gt;"","ACTUALIZADO POR EYR","SIN REPORTE EYR")))</f>
        <v>#REF!</v>
      </c>
    </row>
    <row r="1093" spans="1:30" x14ac:dyDescent="0.3">
      <c r="A1093" s="5" t="s">
        <v>2477</v>
      </c>
      <c r="B1093" t="s">
        <v>2476</v>
      </c>
      <c r="C1093" s="4" t="s">
        <v>2475</v>
      </c>
      <c r="D1093" t="s">
        <v>600</v>
      </c>
      <c r="F1093" t="s">
        <v>2474</v>
      </c>
      <c r="G1093" s="3">
        <v>8092678678</v>
      </c>
      <c r="H1093" s="2">
        <v>46133</v>
      </c>
      <c r="K1093" s="1">
        <f ca="1">IF(A1093="","",IF(OR(L1093="ENTREGADA",L1093="RETORNADA",L1093="ENTREGA DIGITAL"),0,MAX(0,5-NETWORKDAYS(H1093+1,TODAY()))))</f>
        <v>0</v>
      </c>
      <c r="L1093">
        <f>IF(A1093="","",IFERROR(LOOKUP(2,1/(#REF!=Z1093),#REF!),Y1093))</f>
        <v>0</v>
      </c>
      <c r="Z1093" t="str">
        <f>IF(A1093="","",TEXT(A1093,"0")&amp;"|"&amp;TEXT(H1093,"0"))</f>
        <v>4025017867404480|46133</v>
      </c>
      <c r="AA1093" t="str">
        <f>IF(Z1093="","",IFERROR(LOOKUP(2,1/(#REF!=Z1093),#REF!),""))</f>
        <v/>
      </c>
      <c r="AB1093" t="str">
        <f>IF(Z1093="","",IFERROR(LOOKUP(2,1/(#REF!=Z1093),#REF!),""))</f>
        <v/>
      </c>
      <c r="AC1093" t="e">
        <f>IF(Z1093="","",COUNTIF(#REF!,Z1093))</f>
        <v>#REF!</v>
      </c>
      <c r="AD1093" t="e">
        <f>IF(A1093="","",IF(AC1093&gt;1,"REVISAR DUPLICADO",IF(AA1093&lt;&gt;"","ACTUALIZADO POR EYR","SIN REPORTE EYR")))</f>
        <v>#REF!</v>
      </c>
    </row>
    <row r="1094" spans="1:30" x14ac:dyDescent="0.3">
      <c r="A1094" s="5" t="s">
        <v>2473</v>
      </c>
      <c r="B1094" t="s">
        <v>2472</v>
      </c>
      <c r="C1094" s="4" t="s">
        <v>2471</v>
      </c>
      <c r="D1094" t="s">
        <v>600</v>
      </c>
      <c r="F1094" t="s">
        <v>1870</v>
      </c>
      <c r="G1094" s="3">
        <v>8099951936</v>
      </c>
      <c r="H1094" s="2">
        <v>46133</v>
      </c>
      <c r="K1094" s="1">
        <f ca="1">IF(A1094="","",IF(OR(L1094="ENTREGADA",L1094="RETORNADA",L1094="ENTREGA DIGITAL"),0,MAX(0,5-NETWORKDAYS(H1094+1,TODAY()))))</f>
        <v>0</v>
      </c>
      <c r="L1094">
        <f>IF(A1094="","",IFERROR(LOOKUP(2,1/(#REF!=Z1094),#REF!),Y1094))</f>
        <v>0</v>
      </c>
      <c r="Z1094" t="str">
        <f>IF(A1094="","",TEXT(A1094,"0")&amp;"|"&amp;TEXT(H1094,"0"))</f>
        <v>4921017797268940|46133</v>
      </c>
      <c r="AA1094" t="str">
        <f>IF(Z1094="","",IFERROR(LOOKUP(2,1/(#REF!=Z1094),#REF!),""))</f>
        <v/>
      </c>
      <c r="AB1094" t="str">
        <f>IF(Z1094="","",IFERROR(LOOKUP(2,1/(#REF!=Z1094),#REF!),""))</f>
        <v/>
      </c>
      <c r="AC1094" t="e">
        <f>IF(Z1094="","",COUNTIF(#REF!,Z1094))</f>
        <v>#REF!</v>
      </c>
      <c r="AD1094" t="e">
        <f>IF(A1094="","",IF(AC1094&gt;1,"REVISAR DUPLICADO",IF(AA1094&lt;&gt;"","ACTUALIZADO POR EYR","SIN REPORTE EYR")))</f>
        <v>#REF!</v>
      </c>
    </row>
    <row r="1095" spans="1:30" x14ac:dyDescent="0.3">
      <c r="A1095" s="5" t="s">
        <v>2470</v>
      </c>
      <c r="B1095" t="s">
        <v>2469</v>
      </c>
      <c r="C1095" s="4" t="s">
        <v>2468</v>
      </c>
      <c r="D1095" t="s">
        <v>600</v>
      </c>
      <c r="F1095" t="s">
        <v>879</v>
      </c>
      <c r="G1095" s="3">
        <v>8295716358</v>
      </c>
      <c r="H1095" s="2">
        <v>46133</v>
      </c>
      <c r="K1095" s="1">
        <f ca="1">IF(A1095="","",IF(OR(L1095="ENTREGADA",L1095="RETORNADA",L1095="ENTREGA DIGITAL"),0,MAX(0,5-NETWORKDAYS(H1095+1,TODAY()))))</f>
        <v>0</v>
      </c>
      <c r="L1095" t="str">
        <f>IF(A1095="","",IFERROR(LOOKUP(2,1/(#REF!=Z1095),#REF!),Y1095))</f>
        <v>ENTREGA DIGITAL</v>
      </c>
      <c r="Y1095" t="s">
        <v>1396</v>
      </c>
      <c r="Z1095" t="str">
        <f>IF(A1095="","",TEXT(A1095,"0")&amp;"|"&amp;TEXT(H1095,"0"))</f>
        <v>4921017862970370|46133</v>
      </c>
      <c r="AA1095" t="str">
        <f>IF(Z1095="","",IFERROR(LOOKUP(2,1/(#REF!=Z1095),#REF!),""))</f>
        <v/>
      </c>
      <c r="AB1095" t="str">
        <f>IF(Z1095="","",IFERROR(LOOKUP(2,1/(#REF!=Z1095),#REF!),""))</f>
        <v/>
      </c>
      <c r="AC1095" t="e">
        <f>IF(Z1095="","",COUNTIF(#REF!,Z1095))</f>
        <v>#REF!</v>
      </c>
      <c r="AD1095" t="e">
        <f>IF(A1095="","",IF(AC1095&gt;1,"REVISAR DUPLICADO",IF(AA1095&lt;&gt;"","ACTUALIZADO POR EYR","SIN REPORTE EYR")))</f>
        <v>#REF!</v>
      </c>
    </row>
    <row r="1096" spans="1:30" x14ac:dyDescent="0.3">
      <c r="A1096" s="5" t="s">
        <v>2467</v>
      </c>
      <c r="B1096" t="s">
        <v>2466</v>
      </c>
      <c r="C1096" s="4" t="s">
        <v>2465</v>
      </c>
      <c r="D1096" t="s">
        <v>600</v>
      </c>
      <c r="F1096" t="s">
        <v>2464</v>
      </c>
      <c r="G1096" s="3">
        <v>8298497977</v>
      </c>
      <c r="H1096" s="2">
        <v>46133</v>
      </c>
      <c r="K1096" s="1">
        <f ca="1">IF(A1096="","",IF(OR(L1096="ENTREGADA",L1096="RETORNADA",L1096="ENTREGA DIGITAL"),0,MAX(0,5-NETWORKDAYS(H1096+1,TODAY()))))</f>
        <v>0</v>
      </c>
      <c r="L1096">
        <f>IF(A1096="","",IFERROR(LOOKUP(2,1/(#REF!=Z1096),#REF!),Y1096))</f>
        <v>0</v>
      </c>
      <c r="Z1096" t="str">
        <f>IF(A1096="","",TEXT(A1096,"0")&amp;"|"&amp;TEXT(H1096,"0"))</f>
        <v>5415017859279750|46133</v>
      </c>
      <c r="AA1096" t="str">
        <f>IF(Z1096="","",IFERROR(LOOKUP(2,1/(#REF!=Z1096),#REF!),""))</f>
        <v/>
      </c>
      <c r="AB1096" t="str">
        <f>IF(Z1096="","",IFERROR(LOOKUP(2,1/(#REF!=Z1096),#REF!),""))</f>
        <v/>
      </c>
      <c r="AC1096" t="e">
        <f>IF(Z1096="","",COUNTIF(#REF!,Z1096))</f>
        <v>#REF!</v>
      </c>
      <c r="AD1096" t="e">
        <f>IF(A1096="","",IF(AC1096&gt;1,"REVISAR DUPLICADO",IF(AA1096&lt;&gt;"","ACTUALIZADO POR EYR","SIN REPORTE EYR")))</f>
        <v>#REF!</v>
      </c>
    </row>
    <row r="1097" spans="1:30" x14ac:dyDescent="0.3">
      <c r="A1097" s="5" t="s">
        <v>2463</v>
      </c>
      <c r="B1097" t="s">
        <v>2462</v>
      </c>
      <c r="C1097" s="4" t="s">
        <v>2461</v>
      </c>
      <c r="D1097" t="s">
        <v>600</v>
      </c>
      <c r="F1097" t="s">
        <v>0</v>
      </c>
      <c r="G1097" s="3">
        <v>8495858699</v>
      </c>
      <c r="H1097" s="2">
        <v>46133</v>
      </c>
      <c r="K1097" s="1">
        <f ca="1">IF(A1097="","",IF(OR(L1097="ENTREGADA",L1097="RETORNADA",L1097="ENTREGA DIGITAL"),0,MAX(0,5-NETWORKDAYS(H1097+1,TODAY()))))</f>
        <v>0</v>
      </c>
      <c r="L1097">
        <f>IF(A1097="","",IFERROR(LOOKUP(2,1/(#REF!=Z1097),#REF!),Y1097))</f>
        <v>0</v>
      </c>
      <c r="Z1097" t="str">
        <f>IF(A1097="","",TEXT(A1097,"0")&amp;"|"&amp;TEXT(H1097,"0"))</f>
        <v>5188017868732120|46133</v>
      </c>
      <c r="AA1097" t="str">
        <f>IF(Z1097="","",IFERROR(LOOKUP(2,1/(#REF!=Z1097),#REF!),""))</f>
        <v/>
      </c>
      <c r="AB1097" t="str">
        <f>IF(Z1097="","",IFERROR(LOOKUP(2,1/(#REF!=Z1097),#REF!),""))</f>
        <v/>
      </c>
      <c r="AC1097" t="e">
        <f>IF(Z1097="","",COUNTIF(#REF!,Z1097))</f>
        <v>#REF!</v>
      </c>
      <c r="AD1097" t="e">
        <f>IF(A1097="","",IF(AC1097&gt;1,"REVISAR DUPLICADO",IF(AA1097&lt;&gt;"","ACTUALIZADO POR EYR","SIN REPORTE EYR")))</f>
        <v>#REF!</v>
      </c>
    </row>
    <row r="1098" spans="1:30" x14ac:dyDescent="0.3">
      <c r="A1098" s="5" t="s">
        <v>2460</v>
      </c>
      <c r="B1098" t="s">
        <v>2459</v>
      </c>
      <c r="C1098" s="4" t="s">
        <v>2458</v>
      </c>
      <c r="D1098" t="s">
        <v>600</v>
      </c>
      <c r="F1098" t="s">
        <v>2457</v>
      </c>
      <c r="G1098" s="3">
        <v>8294673885</v>
      </c>
      <c r="H1098" s="2">
        <v>46133</v>
      </c>
      <c r="K1098" s="1">
        <f ca="1">IF(A1098="","",IF(OR(L1098="ENTREGADA",L1098="RETORNADA",L1098="ENTREGA DIGITAL"),0,MAX(0,5-NETWORKDAYS(H1098+1,TODAY()))))</f>
        <v>0</v>
      </c>
      <c r="L1098">
        <f>IF(A1098="","",IFERROR(LOOKUP(2,1/(#REF!=Z1098),#REF!),Y1098))</f>
        <v>0</v>
      </c>
      <c r="Z1098" t="str">
        <f>IF(A1098="","",TEXT(A1098,"0")&amp;"|"&amp;TEXT(H1098,"0"))</f>
        <v>4921017870152590|46133</v>
      </c>
      <c r="AA1098" t="str">
        <f>IF(Z1098="","",IFERROR(LOOKUP(2,1/(#REF!=Z1098),#REF!),""))</f>
        <v/>
      </c>
      <c r="AB1098" t="str">
        <f>IF(Z1098="","",IFERROR(LOOKUP(2,1/(#REF!=Z1098),#REF!),""))</f>
        <v/>
      </c>
      <c r="AC1098" t="e">
        <f>IF(Z1098="","",COUNTIF(#REF!,Z1098))</f>
        <v>#REF!</v>
      </c>
      <c r="AD1098" t="e">
        <f>IF(A1098="","",IF(AC1098&gt;1,"REVISAR DUPLICADO",IF(AA1098&lt;&gt;"","ACTUALIZADO POR EYR","SIN REPORTE EYR")))</f>
        <v>#REF!</v>
      </c>
    </row>
    <row r="1099" spans="1:30" x14ac:dyDescent="0.3">
      <c r="A1099" s="5" t="s">
        <v>2456</v>
      </c>
      <c r="B1099" t="s">
        <v>2455</v>
      </c>
      <c r="C1099" s="4" t="s">
        <v>2454</v>
      </c>
      <c r="D1099" t="s">
        <v>600</v>
      </c>
      <c r="F1099" t="s">
        <v>2453</v>
      </c>
      <c r="G1099" s="3">
        <v>8297195151</v>
      </c>
      <c r="H1099" s="2">
        <v>46133</v>
      </c>
      <c r="K1099" s="1">
        <f ca="1">IF(A1099="","",IF(OR(L1099="ENTREGADA",L1099="RETORNADA",L1099="ENTREGA DIGITAL"),0,MAX(0,5-NETWORKDAYS(H1099+1,TODAY()))))</f>
        <v>0</v>
      </c>
      <c r="L1099">
        <f>IF(A1099="","",IFERROR(LOOKUP(2,1/(#REF!=Z1099),#REF!),Y1099))</f>
        <v>0</v>
      </c>
      <c r="Z1099" t="str">
        <f>IF(A1099="","",TEXT(A1099,"0")&amp;"|"&amp;TEXT(H1099,"0"))</f>
        <v>5188017868771480|46133</v>
      </c>
      <c r="AA1099" t="str">
        <f>IF(Z1099="","",IFERROR(LOOKUP(2,1/(#REF!=Z1099),#REF!),""))</f>
        <v/>
      </c>
      <c r="AB1099" t="str">
        <f>IF(Z1099="","",IFERROR(LOOKUP(2,1/(#REF!=Z1099),#REF!),""))</f>
        <v/>
      </c>
      <c r="AC1099" t="e">
        <f>IF(Z1099="","",COUNTIF(#REF!,Z1099))</f>
        <v>#REF!</v>
      </c>
      <c r="AD1099" t="e">
        <f>IF(A1099="","",IF(AC1099&gt;1,"REVISAR DUPLICADO",IF(AA1099&lt;&gt;"","ACTUALIZADO POR EYR","SIN REPORTE EYR")))</f>
        <v>#REF!</v>
      </c>
    </row>
    <row r="1100" spans="1:30" x14ac:dyDescent="0.3">
      <c r="A1100" s="5" t="s">
        <v>2452</v>
      </c>
      <c r="B1100" t="s">
        <v>2451</v>
      </c>
      <c r="C1100" s="4" t="s">
        <v>2450</v>
      </c>
      <c r="D1100" t="s">
        <v>600</v>
      </c>
      <c r="F1100" t="s">
        <v>979</v>
      </c>
      <c r="G1100" s="3">
        <v>8493733368</v>
      </c>
      <c r="H1100" s="2">
        <v>46133</v>
      </c>
      <c r="K1100" s="1">
        <f ca="1">IF(A1100="","",IF(OR(L1100="ENTREGADA",L1100="RETORNADA",L1100="ENTREGA DIGITAL"),0,MAX(0,5-NETWORKDAYS(H1100+1,TODAY()))))</f>
        <v>0</v>
      </c>
      <c r="L1100">
        <f>IF(A1100="","",IFERROR(LOOKUP(2,1/(#REF!=Z1100),#REF!),Y1100))</f>
        <v>0</v>
      </c>
      <c r="Z1100" t="str">
        <f>IF(A1100="","",TEXT(A1100,"0")&amp;"|"&amp;TEXT(H1100,"0"))</f>
        <v>4921017869777860|46133</v>
      </c>
      <c r="AA1100" t="str">
        <f>IF(Z1100="","",IFERROR(LOOKUP(2,1/(#REF!=Z1100),#REF!),""))</f>
        <v/>
      </c>
      <c r="AB1100" t="str">
        <f>IF(Z1100="","",IFERROR(LOOKUP(2,1/(#REF!=Z1100),#REF!),""))</f>
        <v/>
      </c>
      <c r="AC1100" t="e">
        <f>IF(Z1100="","",COUNTIF(#REF!,Z1100))</f>
        <v>#REF!</v>
      </c>
      <c r="AD1100" t="e">
        <f>IF(A1100="","",IF(AC1100&gt;1,"REVISAR DUPLICADO",IF(AA1100&lt;&gt;"","ACTUALIZADO POR EYR","SIN REPORTE EYR")))</f>
        <v>#REF!</v>
      </c>
    </row>
    <row r="1101" spans="1:30" x14ac:dyDescent="0.3">
      <c r="A1101" s="5" t="s">
        <v>2449</v>
      </c>
      <c r="B1101" t="s">
        <v>2448</v>
      </c>
      <c r="C1101" s="4" t="s">
        <v>2447</v>
      </c>
      <c r="D1101" t="s">
        <v>600</v>
      </c>
      <c r="F1101" t="s">
        <v>2446</v>
      </c>
      <c r="G1101" s="3">
        <v>8299693340</v>
      </c>
      <c r="H1101" s="2">
        <v>46133</v>
      </c>
      <c r="K1101" s="1">
        <f ca="1">IF(A1101="","",IF(OR(L1101="ENTREGADA",L1101="RETORNADA",L1101="ENTREGA DIGITAL"),0,MAX(0,5-NETWORKDAYS(H1101+1,TODAY()))))</f>
        <v>0</v>
      </c>
      <c r="L1101">
        <f>IF(A1101="","",IFERROR(LOOKUP(2,1/(#REF!=Z1101),#REF!),Y1101))</f>
        <v>0</v>
      </c>
      <c r="Z1101" t="str">
        <f>IF(A1101="","",TEXT(A1101,"0")&amp;"|"&amp;TEXT(H1101,"0"))</f>
        <v>5400017868563380|46133</v>
      </c>
      <c r="AA1101" t="str">
        <f>IF(Z1101="","",IFERROR(LOOKUP(2,1/(#REF!=Z1101),#REF!),""))</f>
        <v/>
      </c>
      <c r="AB1101" t="str">
        <f>IF(Z1101="","",IFERROR(LOOKUP(2,1/(#REF!=Z1101),#REF!),""))</f>
        <v/>
      </c>
      <c r="AC1101" t="e">
        <f>IF(Z1101="","",COUNTIF(#REF!,Z1101))</f>
        <v>#REF!</v>
      </c>
      <c r="AD1101" t="e">
        <f>IF(A1101="","",IF(AC1101&gt;1,"REVISAR DUPLICADO",IF(AA1101&lt;&gt;"","ACTUALIZADO POR EYR","SIN REPORTE EYR")))</f>
        <v>#REF!</v>
      </c>
    </row>
    <row r="1102" spans="1:30" x14ac:dyDescent="0.3">
      <c r="A1102" s="5" t="s">
        <v>2445</v>
      </c>
      <c r="B1102" t="s">
        <v>2444</v>
      </c>
      <c r="C1102" s="4" t="s">
        <v>2443</v>
      </c>
      <c r="D1102" t="s">
        <v>600</v>
      </c>
      <c r="F1102" t="s">
        <v>2442</v>
      </c>
      <c r="G1102" s="3">
        <v>8296466739</v>
      </c>
      <c r="H1102" s="2">
        <v>46133</v>
      </c>
      <c r="K1102" s="1">
        <f ca="1">IF(A1102="","",IF(OR(L1102="ENTREGADA",L1102="RETORNADA",L1102="ENTREGA DIGITAL"),0,MAX(0,5-NETWORKDAYS(H1102+1,TODAY()))))</f>
        <v>0</v>
      </c>
      <c r="L1102">
        <f>IF(A1102="","",IFERROR(LOOKUP(2,1/(#REF!=Z1102),#REF!),Y1102))</f>
        <v>0</v>
      </c>
      <c r="Z1102" t="str">
        <f>IF(A1102="","",TEXT(A1102,"0")&amp;"|"&amp;TEXT(H1102,"0"))</f>
        <v>5400017868535830|46133</v>
      </c>
      <c r="AA1102" t="str">
        <f>IF(Z1102="","",IFERROR(LOOKUP(2,1/(#REF!=Z1102),#REF!),""))</f>
        <v/>
      </c>
      <c r="AB1102" t="str">
        <f>IF(Z1102="","",IFERROR(LOOKUP(2,1/(#REF!=Z1102),#REF!),""))</f>
        <v/>
      </c>
      <c r="AC1102" t="e">
        <f>IF(Z1102="","",COUNTIF(#REF!,Z1102))</f>
        <v>#REF!</v>
      </c>
      <c r="AD1102" t="e">
        <f>IF(A1102="","",IF(AC1102&gt;1,"REVISAR DUPLICADO",IF(AA1102&lt;&gt;"","ACTUALIZADO POR EYR","SIN REPORTE EYR")))</f>
        <v>#REF!</v>
      </c>
    </row>
    <row r="1103" spans="1:30" x14ac:dyDescent="0.3">
      <c r="A1103" s="5" t="s">
        <v>2441</v>
      </c>
      <c r="B1103" t="s">
        <v>2440</v>
      </c>
      <c r="C1103" s="4" t="s">
        <v>2439</v>
      </c>
      <c r="D1103" t="s">
        <v>600</v>
      </c>
      <c r="F1103" t="s">
        <v>2438</v>
      </c>
      <c r="G1103" s="3">
        <v>8296743605</v>
      </c>
      <c r="H1103" s="2">
        <v>46133</v>
      </c>
      <c r="K1103" s="1">
        <f ca="1">IF(A1103="","",IF(OR(L1103="ENTREGADA",L1103="RETORNADA",L1103="ENTREGA DIGITAL"),0,MAX(0,5-NETWORKDAYS(H1103+1,TODAY()))))</f>
        <v>0</v>
      </c>
      <c r="L1103">
        <f>IF(A1103="","",IFERROR(LOOKUP(2,1/(#REF!=Z1103),#REF!),Y1103))</f>
        <v>0</v>
      </c>
      <c r="Z1103" t="str">
        <f>IF(A1103="","",TEXT(A1103,"0")&amp;"|"&amp;TEXT(H1103,"0"))</f>
        <v>4921017865759490|46133</v>
      </c>
      <c r="AA1103" t="str">
        <f>IF(Z1103="","",IFERROR(LOOKUP(2,1/(#REF!=Z1103),#REF!),""))</f>
        <v/>
      </c>
      <c r="AB1103" t="str">
        <f>IF(Z1103="","",IFERROR(LOOKUP(2,1/(#REF!=Z1103),#REF!),""))</f>
        <v/>
      </c>
      <c r="AC1103" t="e">
        <f>IF(Z1103="","",COUNTIF(#REF!,Z1103))</f>
        <v>#REF!</v>
      </c>
      <c r="AD1103" t="e">
        <f>IF(A1103="","",IF(AC1103&gt;1,"REVISAR DUPLICADO",IF(AA1103&lt;&gt;"","ACTUALIZADO POR EYR","SIN REPORTE EYR")))</f>
        <v>#REF!</v>
      </c>
    </row>
    <row r="1104" spans="1:30" x14ac:dyDescent="0.3">
      <c r="A1104" s="5" t="s">
        <v>2437</v>
      </c>
      <c r="B1104" t="s">
        <v>2436</v>
      </c>
      <c r="C1104" s="4" t="s">
        <v>2435</v>
      </c>
      <c r="D1104" t="s">
        <v>600</v>
      </c>
      <c r="F1104" t="s">
        <v>2434</v>
      </c>
      <c r="G1104" s="3">
        <v>8298691848</v>
      </c>
      <c r="H1104" s="2">
        <v>46133</v>
      </c>
      <c r="K1104" s="1">
        <f ca="1">IF(A1104="","",IF(OR(L1104="ENTREGADA",L1104="RETORNADA",L1104="ENTREGA DIGITAL"),0,MAX(0,5-NETWORKDAYS(H1104+1,TODAY()))))</f>
        <v>0</v>
      </c>
      <c r="L1104">
        <f>IF(A1104="","",IFERROR(LOOKUP(2,1/(#REF!=Z1104),#REF!),Y1104))</f>
        <v>0</v>
      </c>
      <c r="Z1104" t="str">
        <f>IF(A1104="","",TEXT(A1104,"0")&amp;"|"&amp;TEXT(H1104,"0"))</f>
        <v>4921017864894190|46133</v>
      </c>
      <c r="AA1104" t="str">
        <f>IF(Z1104="","",IFERROR(LOOKUP(2,1/(#REF!=Z1104),#REF!),""))</f>
        <v/>
      </c>
      <c r="AB1104" t="str">
        <f>IF(Z1104="","",IFERROR(LOOKUP(2,1/(#REF!=Z1104),#REF!),""))</f>
        <v/>
      </c>
      <c r="AC1104" t="e">
        <f>IF(Z1104="","",COUNTIF(#REF!,Z1104))</f>
        <v>#REF!</v>
      </c>
      <c r="AD1104" t="e">
        <f>IF(A1104="","",IF(AC1104&gt;1,"REVISAR DUPLICADO",IF(AA1104&lt;&gt;"","ACTUALIZADO POR EYR","SIN REPORTE EYR")))</f>
        <v>#REF!</v>
      </c>
    </row>
    <row r="1105" spans="1:30" x14ac:dyDescent="0.3">
      <c r="A1105" s="5" t="s">
        <v>2433</v>
      </c>
      <c r="B1105" t="s">
        <v>2432</v>
      </c>
      <c r="C1105" s="4" t="s">
        <v>2431</v>
      </c>
      <c r="D1105" t="s">
        <v>600</v>
      </c>
      <c r="F1105" t="s">
        <v>13</v>
      </c>
      <c r="G1105" s="3">
        <v>8297253410</v>
      </c>
      <c r="H1105" s="2">
        <v>46133</v>
      </c>
      <c r="K1105" s="1">
        <f ca="1">IF(A1105="","",IF(OR(L1105="ENTREGADA",L1105="RETORNADA",L1105="ENTREGA DIGITAL"),0,MAX(0,5-NETWORKDAYS(H1105+1,TODAY()))))</f>
        <v>0</v>
      </c>
      <c r="L1105">
        <f>IF(A1105="","",IFERROR(LOOKUP(2,1/(#REF!=Z1105),#REF!),Y1105))</f>
        <v>0</v>
      </c>
      <c r="Z1105" t="str">
        <f>IF(A1105="","",TEXT(A1105,"0")&amp;"|"&amp;TEXT(H1105,"0"))</f>
        <v>4921017865537030|46133</v>
      </c>
      <c r="AA1105" t="str">
        <f>IF(Z1105="","",IFERROR(LOOKUP(2,1/(#REF!=Z1105),#REF!),""))</f>
        <v/>
      </c>
      <c r="AB1105" t="str">
        <f>IF(Z1105="","",IFERROR(LOOKUP(2,1/(#REF!=Z1105),#REF!),""))</f>
        <v/>
      </c>
      <c r="AC1105" t="e">
        <f>IF(Z1105="","",COUNTIF(#REF!,Z1105))</f>
        <v>#REF!</v>
      </c>
      <c r="AD1105" t="e">
        <f>IF(A1105="","",IF(AC1105&gt;1,"REVISAR DUPLICADO",IF(AA1105&lt;&gt;"","ACTUALIZADO POR EYR","SIN REPORTE EYR")))</f>
        <v>#REF!</v>
      </c>
    </row>
    <row r="1106" spans="1:30" x14ac:dyDescent="0.3">
      <c r="A1106" s="5" t="s">
        <v>2430</v>
      </c>
      <c r="B1106" t="s">
        <v>2429</v>
      </c>
      <c r="C1106" s="4" t="s">
        <v>2428</v>
      </c>
      <c r="D1106" t="s">
        <v>600</v>
      </c>
      <c r="F1106" t="s">
        <v>2427</v>
      </c>
      <c r="G1106" s="3">
        <v>8099739873</v>
      </c>
      <c r="H1106" s="2">
        <v>46133</v>
      </c>
      <c r="K1106" s="1">
        <f ca="1">IF(A1106="","",IF(OR(L1106="ENTREGADA",L1106="RETORNADA",L1106="ENTREGA DIGITAL"),0,MAX(0,5-NETWORKDAYS(H1106+1,TODAY()))))</f>
        <v>0</v>
      </c>
      <c r="L1106" t="str">
        <f>IF(A1106="","",IFERROR(LOOKUP(2,1/(#REF!=Z1106),#REF!),Y1106))</f>
        <v>ENTREGA DIGITAL</v>
      </c>
      <c r="Y1106" t="s">
        <v>1396</v>
      </c>
      <c r="Z1106" t="str">
        <f>IF(A1106="","",TEXT(A1106,"0")&amp;"|"&amp;TEXT(H1106,"0"))</f>
        <v>4921017870752930|46133</v>
      </c>
      <c r="AA1106" t="str">
        <f>IF(Z1106="","",IFERROR(LOOKUP(2,1/(#REF!=Z1106),#REF!),""))</f>
        <v/>
      </c>
      <c r="AB1106" t="str">
        <f>IF(Z1106="","",IFERROR(LOOKUP(2,1/(#REF!=Z1106),#REF!),""))</f>
        <v/>
      </c>
      <c r="AC1106" t="e">
        <f>IF(Z1106="","",COUNTIF(#REF!,Z1106))</f>
        <v>#REF!</v>
      </c>
      <c r="AD1106" t="e">
        <f>IF(A1106="","",IF(AC1106&gt;1,"REVISAR DUPLICADO",IF(AA1106&lt;&gt;"","ACTUALIZADO POR EYR","SIN REPORTE EYR")))</f>
        <v>#REF!</v>
      </c>
    </row>
    <row r="1107" spans="1:30" x14ac:dyDescent="0.3">
      <c r="A1107" s="5" t="s">
        <v>2426</v>
      </c>
      <c r="B1107" t="s">
        <v>2425</v>
      </c>
      <c r="C1107" s="4" t="s">
        <v>2424</v>
      </c>
      <c r="D1107" t="s">
        <v>600</v>
      </c>
      <c r="F1107" t="s">
        <v>2423</v>
      </c>
      <c r="G1107" s="3">
        <v>8492293405</v>
      </c>
      <c r="H1107" s="2">
        <v>46133</v>
      </c>
      <c r="K1107" s="1">
        <f ca="1">IF(A1107="","",IF(OR(L1107="ENTREGADA",L1107="RETORNADA",L1107="ENTREGA DIGITAL"),0,MAX(0,5-NETWORKDAYS(H1107+1,TODAY()))))</f>
        <v>0</v>
      </c>
      <c r="L1107">
        <f>IF(A1107="","",IFERROR(LOOKUP(2,1/(#REF!=Z1107),#REF!),Y1107))</f>
        <v>0</v>
      </c>
      <c r="Z1107" t="str">
        <f>IF(A1107="","",TEXT(A1107,"0")&amp;"|"&amp;TEXT(H1107,"0"))</f>
        <v>4921017870560920|46133</v>
      </c>
      <c r="AA1107" t="str">
        <f>IF(Z1107="","",IFERROR(LOOKUP(2,1/(#REF!=Z1107),#REF!),""))</f>
        <v/>
      </c>
      <c r="AB1107" t="str">
        <f>IF(Z1107="","",IFERROR(LOOKUP(2,1/(#REF!=Z1107),#REF!),""))</f>
        <v/>
      </c>
      <c r="AC1107" t="e">
        <f>IF(Z1107="","",COUNTIF(#REF!,Z1107))</f>
        <v>#REF!</v>
      </c>
      <c r="AD1107" t="e">
        <f>IF(A1107="","",IF(AC1107&gt;1,"REVISAR DUPLICADO",IF(AA1107&lt;&gt;"","ACTUALIZADO POR EYR","SIN REPORTE EYR")))</f>
        <v>#REF!</v>
      </c>
    </row>
    <row r="1108" spans="1:30" x14ac:dyDescent="0.3">
      <c r="A1108" s="5" t="s">
        <v>2422</v>
      </c>
      <c r="B1108" t="s">
        <v>2421</v>
      </c>
      <c r="C1108" s="4" t="s">
        <v>2420</v>
      </c>
      <c r="D1108" t="s">
        <v>600</v>
      </c>
      <c r="F1108" t="s">
        <v>13</v>
      </c>
      <c r="G1108" s="3">
        <v>8295317791</v>
      </c>
      <c r="H1108" s="2">
        <v>46133</v>
      </c>
      <c r="K1108" s="1">
        <f ca="1">IF(A1108="","",IF(OR(L1108="ENTREGADA",L1108="RETORNADA",L1108="ENTREGA DIGITAL"),0,MAX(0,5-NETWORKDAYS(H1108+1,TODAY()))))</f>
        <v>0</v>
      </c>
      <c r="L1108">
        <f>IF(A1108="","",IFERROR(LOOKUP(2,1/(#REF!=Z1108),#REF!),Y1108))</f>
        <v>0</v>
      </c>
      <c r="Z1108" t="str">
        <f>IF(A1108="","",TEXT(A1108,"0")&amp;"|"&amp;TEXT(H1108,"0"))</f>
        <v>5415017868148960|46133</v>
      </c>
      <c r="AA1108" t="str">
        <f>IF(Z1108="","",IFERROR(LOOKUP(2,1/(#REF!=Z1108),#REF!),""))</f>
        <v/>
      </c>
      <c r="AB1108" t="str">
        <f>IF(Z1108="","",IFERROR(LOOKUP(2,1/(#REF!=Z1108),#REF!),""))</f>
        <v/>
      </c>
      <c r="AC1108" t="e">
        <f>IF(Z1108="","",COUNTIF(#REF!,Z1108))</f>
        <v>#REF!</v>
      </c>
      <c r="AD1108" t="e">
        <f>IF(A1108="","",IF(AC1108&gt;1,"REVISAR DUPLICADO",IF(AA1108&lt;&gt;"","ACTUALIZADO POR EYR","SIN REPORTE EYR")))</f>
        <v>#REF!</v>
      </c>
    </row>
    <row r="1109" spans="1:30" x14ac:dyDescent="0.3">
      <c r="A1109" s="5" t="s">
        <v>2419</v>
      </c>
      <c r="B1109" t="s">
        <v>2418</v>
      </c>
      <c r="C1109" s="4" t="s">
        <v>2417</v>
      </c>
      <c r="D1109" t="s">
        <v>600</v>
      </c>
      <c r="F1109" t="s">
        <v>13</v>
      </c>
      <c r="G1109" s="3">
        <v>8097277487</v>
      </c>
      <c r="H1109" s="2">
        <v>46133</v>
      </c>
      <c r="K1109" s="1">
        <f ca="1">IF(A1109="","",IF(OR(L1109="ENTREGADA",L1109="RETORNADA",L1109="ENTREGA DIGITAL"),0,MAX(0,5-NETWORKDAYS(H1109+1,TODAY()))))</f>
        <v>0</v>
      </c>
      <c r="L1109">
        <f>IF(A1109="","",IFERROR(LOOKUP(2,1/(#REF!=Z1109),#REF!),Y1109))</f>
        <v>0</v>
      </c>
      <c r="Z1109" t="str">
        <f>IF(A1109="","",TEXT(A1109,"0")&amp;"|"&amp;TEXT(H1109,"0"))</f>
        <v>4921017870281130|46133</v>
      </c>
      <c r="AA1109" t="str">
        <f>IF(Z1109="","",IFERROR(LOOKUP(2,1/(#REF!=Z1109),#REF!),""))</f>
        <v/>
      </c>
      <c r="AB1109" t="str">
        <f>IF(Z1109="","",IFERROR(LOOKUP(2,1/(#REF!=Z1109),#REF!),""))</f>
        <v/>
      </c>
      <c r="AC1109" t="e">
        <f>IF(Z1109="","",COUNTIF(#REF!,Z1109))</f>
        <v>#REF!</v>
      </c>
      <c r="AD1109" t="e">
        <f>IF(A1109="","",IF(AC1109&gt;1,"REVISAR DUPLICADO",IF(AA1109&lt;&gt;"","ACTUALIZADO POR EYR","SIN REPORTE EYR")))</f>
        <v>#REF!</v>
      </c>
    </row>
    <row r="1110" spans="1:30" x14ac:dyDescent="0.3">
      <c r="A1110" s="5" t="s">
        <v>2416</v>
      </c>
      <c r="B1110" t="s">
        <v>2415</v>
      </c>
      <c r="C1110" s="4" t="s">
        <v>2414</v>
      </c>
      <c r="D1110" t="s">
        <v>600</v>
      </c>
      <c r="F1110" t="s">
        <v>13</v>
      </c>
      <c r="G1110" s="3">
        <v>8292545488</v>
      </c>
      <c r="H1110" s="2">
        <v>46133</v>
      </c>
      <c r="K1110" s="1">
        <f ca="1">IF(A1110="","",IF(OR(L1110="ENTREGADA",L1110="RETORNADA",L1110="ENTREGA DIGITAL"),0,MAX(0,5-NETWORKDAYS(H1110+1,TODAY()))))</f>
        <v>0</v>
      </c>
      <c r="L1110">
        <f>IF(A1110="","",IFERROR(LOOKUP(2,1/(#REF!=Z1110),#REF!),Y1110))</f>
        <v>0</v>
      </c>
      <c r="Z1110" t="str">
        <f>IF(A1110="","",TEXT(A1110,"0")&amp;"|"&amp;TEXT(H1110,"0"))</f>
        <v>4921017870393440|46133</v>
      </c>
      <c r="AA1110" t="str">
        <f>IF(Z1110="","",IFERROR(LOOKUP(2,1/(#REF!=Z1110),#REF!),""))</f>
        <v/>
      </c>
      <c r="AB1110" t="str">
        <f>IF(Z1110="","",IFERROR(LOOKUP(2,1/(#REF!=Z1110),#REF!),""))</f>
        <v/>
      </c>
      <c r="AC1110" t="e">
        <f>IF(Z1110="","",COUNTIF(#REF!,Z1110))</f>
        <v>#REF!</v>
      </c>
      <c r="AD1110" t="e">
        <f>IF(A1110="","",IF(AC1110&gt;1,"REVISAR DUPLICADO",IF(AA1110&lt;&gt;"","ACTUALIZADO POR EYR","SIN REPORTE EYR")))</f>
        <v>#REF!</v>
      </c>
    </row>
    <row r="1111" spans="1:30" x14ac:dyDescent="0.3">
      <c r="A1111" s="5" t="s">
        <v>2413</v>
      </c>
      <c r="B1111" t="s">
        <v>2412</v>
      </c>
      <c r="C1111" s="4" t="s">
        <v>2411</v>
      </c>
      <c r="D1111" t="s">
        <v>600</v>
      </c>
      <c r="F1111" t="s">
        <v>13</v>
      </c>
      <c r="G1111" s="3">
        <v>8098780708</v>
      </c>
      <c r="H1111" s="2">
        <v>46133</v>
      </c>
      <c r="K1111" s="1">
        <f ca="1">IF(A1111="","",IF(OR(L1111="ENTREGADA",L1111="RETORNADA",L1111="ENTREGA DIGITAL"),0,MAX(0,5-NETWORKDAYS(H1111+1,TODAY()))))</f>
        <v>0</v>
      </c>
      <c r="L1111">
        <f>IF(A1111="","",IFERROR(LOOKUP(2,1/(#REF!=Z1111),#REF!),Y1111))</f>
        <v>0</v>
      </c>
      <c r="Z1111" t="str">
        <f>IF(A1111="","",TEXT(A1111,"0")&amp;"|"&amp;TEXT(H1111,"0"))</f>
        <v>4921017870269570|46133</v>
      </c>
      <c r="AA1111" t="str">
        <f>IF(Z1111="","",IFERROR(LOOKUP(2,1/(#REF!=Z1111),#REF!),""))</f>
        <v/>
      </c>
      <c r="AB1111" t="str">
        <f>IF(Z1111="","",IFERROR(LOOKUP(2,1/(#REF!=Z1111),#REF!),""))</f>
        <v/>
      </c>
      <c r="AC1111" t="e">
        <f>IF(Z1111="","",COUNTIF(#REF!,Z1111))</f>
        <v>#REF!</v>
      </c>
      <c r="AD1111" t="e">
        <f>IF(A1111="","",IF(AC1111&gt;1,"REVISAR DUPLICADO",IF(AA1111&lt;&gt;"","ACTUALIZADO POR EYR","SIN REPORTE EYR")))</f>
        <v>#REF!</v>
      </c>
    </row>
    <row r="1112" spans="1:30" x14ac:dyDescent="0.3">
      <c r="A1112" s="5" t="s">
        <v>2410</v>
      </c>
      <c r="B1112" t="s">
        <v>2409</v>
      </c>
      <c r="C1112" s="4" t="s">
        <v>2408</v>
      </c>
      <c r="D1112" t="s">
        <v>600</v>
      </c>
      <c r="F1112" t="s">
        <v>2407</v>
      </c>
      <c r="G1112" s="3">
        <v>8492558206</v>
      </c>
      <c r="H1112" s="2">
        <v>46133</v>
      </c>
      <c r="K1112" s="1">
        <f ca="1">IF(A1112="","",IF(OR(L1112="ENTREGADA",L1112="RETORNADA",L1112="ENTREGA DIGITAL"),0,MAX(0,5-NETWORKDAYS(H1112+1,TODAY()))))</f>
        <v>0</v>
      </c>
      <c r="L1112">
        <f>IF(A1112="","",IFERROR(LOOKUP(2,1/(#REF!=Z1112),#REF!),Y1112))</f>
        <v>0</v>
      </c>
      <c r="Z1112" t="str">
        <f>IF(A1112="","",TEXT(A1112,"0")&amp;"|"&amp;TEXT(H1112,"0"))</f>
        <v>4025017863516860|46133</v>
      </c>
      <c r="AA1112" t="str">
        <f>IF(Z1112="","",IFERROR(LOOKUP(2,1/(#REF!=Z1112),#REF!),""))</f>
        <v/>
      </c>
      <c r="AB1112" t="str">
        <f>IF(Z1112="","",IFERROR(LOOKUP(2,1/(#REF!=Z1112),#REF!),""))</f>
        <v/>
      </c>
      <c r="AC1112" t="e">
        <f>IF(Z1112="","",COUNTIF(#REF!,Z1112))</f>
        <v>#REF!</v>
      </c>
      <c r="AD1112" t="e">
        <f>IF(A1112="","",IF(AC1112&gt;1,"REVISAR DUPLICADO",IF(AA1112&lt;&gt;"","ACTUALIZADO POR EYR","SIN REPORTE EYR")))</f>
        <v>#REF!</v>
      </c>
    </row>
    <row r="1113" spans="1:30" x14ac:dyDescent="0.3">
      <c r="A1113" s="5" t="s">
        <v>2406</v>
      </c>
      <c r="B1113" t="s">
        <v>2405</v>
      </c>
      <c r="C1113" s="4" t="s">
        <v>2404</v>
      </c>
      <c r="D1113" t="s">
        <v>600</v>
      </c>
      <c r="F1113" t="s">
        <v>1301</v>
      </c>
      <c r="G1113" s="3">
        <v>8292604485</v>
      </c>
      <c r="H1113" s="2">
        <v>46133</v>
      </c>
      <c r="K1113" s="1">
        <f ca="1">IF(A1113="","",IF(OR(L1113="ENTREGADA",L1113="RETORNADA",L1113="ENTREGA DIGITAL"),0,MAX(0,5-NETWORKDAYS(H1113+1,TODAY()))))</f>
        <v>0</v>
      </c>
      <c r="L1113">
        <f>IF(A1113="","",IFERROR(LOOKUP(2,1/(#REF!=Z1113),#REF!),Y1113))</f>
        <v>0</v>
      </c>
      <c r="Z1113" t="str">
        <f>IF(A1113="","",TEXT(A1113,"0")&amp;"|"&amp;TEXT(H1113,"0"))</f>
        <v>5188017864792280|46133</v>
      </c>
      <c r="AA1113" t="str">
        <f>IF(Z1113="","",IFERROR(LOOKUP(2,1/(#REF!=Z1113),#REF!),""))</f>
        <v/>
      </c>
      <c r="AB1113" t="str">
        <f>IF(Z1113="","",IFERROR(LOOKUP(2,1/(#REF!=Z1113),#REF!),""))</f>
        <v/>
      </c>
      <c r="AC1113" t="e">
        <f>IF(Z1113="","",COUNTIF(#REF!,Z1113))</f>
        <v>#REF!</v>
      </c>
      <c r="AD1113" t="e">
        <f>IF(A1113="","",IF(AC1113&gt;1,"REVISAR DUPLICADO",IF(AA1113&lt;&gt;"","ACTUALIZADO POR EYR","SIN REPORTE EYR")))</f>
        <v>#REF!</v>
      </c>
    </row>
    <row r="1114" spans="1:30" x14ac:dyDescent="0.3">
      <c r="A1114" s="5" t="s">
        <v>2403</v>
      </c>
      <c r="B1114" t="s">
        <v>2402</v>
      </c>
      <c r="C1114" s="4" t="s">
        <v>2401</v>
      </c>
      <c r="D1114" t="s">
        <v>600</v>
      </c>
      <c r="F1114" t="s">
        <v>2400</v>
      </c>
      <c r="G1114" s="3">
        <v>8094773934</v>
      </c>
      <c r="H1114" s="2">
        <v>46133</v>
      </c>
      <c r="K1114" s="1">
        <f ca="1">IF(A1114="","",IF(OR(L1114="ENTREGADA",L1114="RETORNADA",L1114="ENTREGA DIGITAL"),0,MAX(0,5-NETWORKDAYS(H1114+1,TODAY()))))</f>
        <v>0</v>
      </c>
      <c r="L1114">
        <f>IF(A1114="","",IFERROR(LOOKUP(2,1/(#REF!=Z1114),#REF!),Y1114))</f>
        <v>0</v>
      </c>
      <c r="Z1114" t="str">
        <f>IF(A1114="","",TEXT(A1114,"0")&amp;"|"&amp;TEXT(H1114,"0"))</f>
        <v>4921017869748340|46133</v>
      </c>
      <c r="AA1114" t="str">
        <f>IF(Z1114="","",IFERROR(LOOKUP(2,1/(#REF!=Z1114),#REF!),""))</f>
        <v/>
      </c>
      <c r="AB1114" t="str">
        <f>IF(Z1114="","",IFERROR(LOOKUP(2,1/(#REF!=Z1114),#REF!),""))</f>
        <v/>
      </c>
      <c r="AC1114" t="e">
        <f>IF(Z1114="","",COUNTIF(#REF!,Z1114))</f>
        <v>#REF!</v>
      </c>
      <c r="AD1114" t="e">
        <f>IF(A1114="","",IF(AC1114&gt;1,"REVISAR DUPLICADO",IF(AA1114&lt;&gt;"","ACTUALIZADO POR EYR","SIN REPORTE EYR")))</f>
        <v>#REF!</v>
      </c>
    </row>
    <row r="1115" spans="1:30" x14ac:dyDescent="0.3">
      <c r="A1115" s="5" t="s">
        <v>2399</v>
      </c>
      <c r="B1115" t="s">
        <v>2398</v>
      </c>
      <c r="C1115" s="4" t="s">
        <v>2397</v>
      </c>
      <c r="D1115" t="s">
        <v>21</v>
      </c>
      <c r="F1115" t="s">
        <v>2396</v>
      </c>
      <c r="G1115" s="3">
        <v>8095531307</v>
      </c>
      <c r="H1115" s="2">
        <v>46133</v>
      </c>
      <c r="K1115" s="1">
        <f ca="1">IF(A1115="","",IF(OR(L1115="ENTREGADA",L1115="RETORNADA",L1115="ENTREGA DIGITAL"),0,MAX(0,5-NETWORKDAYS(H1115+1,TODAY()))))</f>
        <v>0</v>
      </c>
      <c r="L1115">
        <f>IF(A1115="","",IFERROR(LOOKUP(2,1/(#REF!=Z1115),#REF!),Y1115))</f>
        <v>0</v>
      </c>
      <c r="Z1115" t="str">
        <f>IF(A1115="","",TEXT(A1115,"0")&amp;"|"&amp;TEXT(H1115,"0"))</f>
        <v>4741017863974900|46133</v>
      </c>
      <c r="AA1115" t="str">
        <f>IF(Z1115="","",IFERROR(LOOKUP(2,1/(#REF!=Z1115),#REF!),""))</f>
        <v/>
      </c>
      <c r="AB1115" t="str">
        <f>IF(Z1115="","",IFERROR(LOOKUP(2,1/(#REF!=Z1115),#REF!),""))</f>
        <v/>
      </c>
      <c r="AC1115" t="e">
        <f>IF(Z1115="","",COUNTIF(#REF!,Z1115))</f>
        <v>#REF!</v>
      </c>
      <c r="AD1115" t="e">
        <f>IF(A1115="","",IF(AC1115&gt;1,"REVISAR DUPLICADO",IF(AA1115&lt;&gt;"","ACTUALIZADO POR EYR","SIN REPORTE EYR")))</f>
        <v>#REF!</v>
      </c>
    </row>
    <row r="1116" spans="1:30" x14ac:dyDescent="0.3">
      <c r="A1116" s="5" t="s">
        <v>2395</v>
      </c>
      <c r="B1116" t="s">
        <v>2394</v>
      </c>
      <c r="C1116" s="4" t="s">
        <v>2393</v>
      </c>
      <c r="D1116" t="s">
        <v>21</v>
      </c>
      <c r="F1116" t="s">
        <v>13</v>
      </c>
      <c r="G1116" s="3">
        <v>8095296414</v>
      </c>
      <c r="H1116" s="2">
        <v>46133</v>
      </c>
      <c r="K1116" s="1">
        <f ca="1">IF(A1116="","",IF(OR(L1116="ENTREGADA",L1116="RETORNADA",L1116="ENTREGA DIGITAL"),0,MAX(0,5-NETWORKDAYS(H1116+1,TODAY()))))</f>
        <v>0</v>
      </c>
      <c r="L1116" t="str">
        <f>IF(A1116="","",IFERROR(LOOKUP(2,1/(#REF!=Z1116),#REF!),Y1116))</f>
        <v>ENTREGADA</v>
      </c>
      <c r="Y1116" t="s">
        <v>1956</v>
      </c>
      <c r="Z1116" t="str">
        <f>IF(A1116="","",TEXT(A1116,"0")&amp;"|"&amp;TEXT(H1116,"0"))</f>
        <v>4741017867512500|46133</v>
      </c>
      <c r="AA1116" t="str">
        <f>IF(Z1116="","",IFERROR(LOOKUP(2,1/(#REF!=Z1116),#REF!),""))</f>
        <v/>
      </c>
      <c r="AB1116" t="str">
        <f>IF(Z1116="","",IFERROR(LOOKUP(2,1/(#REF!=Z1116),#REF!),""))</f>
        <v/>
      </c>
      <c r="AC1116" t="e">
        <f>IF(Z1116="","",COUNTIF(#REF!,Z1116))</f>
        <v>#REF!</v>
      </c>
      <c r="AD1116" t="e">
        <f>IF(A1116="","",IF(AC1116&gt;1,"REVISAR DUPLICADO",IF(AA1116&lt;&gt;"","ACTUALIZADO POR EYR","SIN REPORTE EYR")))</f>
        <v>#REF!</v>
      </c>
    </row>
    <row r="1117" spans="1:30" x14ac:dyDescent="0.3">
      <c r="A1117" s="5" t="s">
        <v>2392</v>
      </c>
      <c r="B1117" t="s">
        <v>2391</v>
      </c>
      <c r="C1117" s="4" t="s">
        <v>2390</v>
      </c>
      <c r="D1117" t="s">
        <v>21</v>
      </c>
      <c r="F1117" t="s">
        <v>13</v>
      </c>
      <c r="G1117" s="3">
        <v>8093048039</v>
      </c>
      <c r="H1117" s="2">
        <v>46133</v>
      </c>
      <c r="K1117" s="1">
        <f ca="1">IF(A1117="","",IF(OR(L1117="ENTREGADA",L1117="RETORNADA",L1117="ENTREGA DIGITAL"),0,MAX(0,5-NETWORKDAYS(H1117+1,TODAY()))))</f>
        <v>0</v>
      </c>
      <c r="L1117" t="str">
        <f>IF(A1117="","",IFERROR(LOOKUP(2,1/(#REF!=Z1117),#REF!),Y1117))</f>
        <v>RETORNADA</v>
      </c>
      <c r="Y1117" t="s">
        <v>1857</v>
      </c>
      <c r="Z1117" t="str">
        <f>IF(A1117="","",TEXT(A1117,"0")&amp;"|"&amp;TEXT(H1117,"0"))</f>
        <v>4741017866012790|46133</v>
      </c>
      <c r="AA1117" t="str">
        <f>IF(Z1117="","",IFERROR(LOOKUP(2,1/(#REF!=Z1117),#REF!),""))</f>
        <v/>
      </c>
      <c r="AB1117" t="str">
        <f>IF(Z1117="","",IFERROR(LOOKUP(2,1/(#REF!=Z1117),#REF!),""))</f>
        <v/>
      </c>
      <c r="AC1117" t="e">
        <f>IF(Z1117="","",COUNTIF(#REF!,Z1117))</f>
        <v>#REF!</v>
      </c>
      <c r="AD1117" t="e">
        <f>IF(A1117="","",IF(AC1117&gt;1,"REVISAR DUPLICADO",IF(AA1117&lt;&gt;"","ACTUALIZADO POR EYR","SIN REPORTE EYR")))</f>
        <v>#REF!</v>
      </c>
    </row>
    <row r="1118" spans="1:30" x14ac:dyDescent="0.3">
      <c r="A1118" s="5" t="s">
        <v>2389</v>
      </c>
      <c r="B1118" t="s">
        <v>2388</v>
      </c>
      <c r="C1118" s="4" t="s">
        <v>2387</v>
      </c>
      <c r="D1118" t="s">
        <v>21</v>
      </c>
      <c r="F1118" t="s">
        <v>13</v>
      </c>
      <c r="G1118" s="3">
        <v>8296252358</v>
      </c>
      <c r="H1118" s="2">
        <v>46133</v>
      </c>
      <c r="K1118" s="1">
        <f ca="1">IF(A1118="","",IF(OR(L1118="ENTREGADA",L1118="RETORNADA",L1118="ENTREGA DIGITAL"),0,MAX(0,5-NETWORKDAYS(H1118+1,TODAY()))))</f>
        <v>0</v>
      </c>
      <c r="L1118" t="str">
        <f>IF(A1118="","",IFERROR(LOOKUP(2,1/(#REF!=Z1118),#REF!),Y1118))</f>
        <v>ENTREGADA</v>
      </c>
      <c r="Y1118" t="s">
        <v>1956</v>
      </c>
      <c r="Z1118" t="str">
        <f>IF(A1118="","",TEXT(A1118,"0")&amp;"|"&amp;TEXT(H1118,"0"))</f>
        <v>4921017870444970|46133</v>
      </c>
      <c r="AA1118" t="str">
        <f>IF(Z1118="","",IFERROR(LOOKUP(2,1/(#REF!=Z1118),#REF!),""))</f>
        <v/>
      </c>
      <c r="AB1118" t="str">
        <f>IF(Z1118="","",IFERROR(LOOKUP(2,1/(#REF!=Z1118),#REF!),""))</f>
        <v/>
      </c>
      <c r="AC1118" t="e">
        <f>IF(Z1118="","",COUNTIF(#REF!,Z1118))</f>
        <v>#REF!</v>
      </c>
      <c r="AD1118" t="e">
        <f>IF(A1118="","",IF(AC1118&gt;1,"REVISAR DUPLICADO",IF(AA1118&lt;&gt;"","ACTUALIZADO POR EYR","SIN REPORTE EYR")))</f>
        <v>#REF!</v>
      </c>
    </row>
    <row r="1119" spans="1:30" x14ac:dyDescent="0.3">
      <c r="A1119" s="5" t="s">
        <v>2386</v>
      </c>
      <c r="B1119" t="s">
        <v>2385</v>
      </c>
      <c r="C1119" s="4" t="s">
        <v>2384</v>
      </c>
      <c r="D1119" t="s">
        <v>21</v>
      </c>
      <c r="F1119" t="s">
        <v>0</v>
      </c>
      <c r="G1119" s="3">
        <v>8494577841</v>
      </c>
      <c r="H1119" s="2">
        <v>46133</v>
      </c>
      <c r="K1119" s="1">
        <f ca="1">IF(A1119="","",IF(OR(L1119="ENTREGADA",L1119="RETORNADA",L1119="ENTREGA DIGITAL"),0,MAX(0,5-NETWORKDAYS(H1119+1,TODAY()))))</f>
        <v>0</v>
      </c>
      <c r="L1119" t="str">
        <f>IF(A1119="","",IFERROR(LOOKUP(2,1/(#REF!=Z1119),#REF!),Y1119))</f>
        <v>ENTREGADA</v>
      </c>
      <c r="Y1119" t="s">
        <v>1956</v>
      </c>
      <c r="Z1119" t="str">
        <f>IF(A1119="","",TEXT(A1119,"0")&amp;"|"&amp;TEXT(H1119,"0"))</f>
        <v>5188017868816540|46133</v>
      </c>
      <c r="AA1119" t="str">
        <f>IF(Z1119="","",IFERROR(LOOKUP(2,1/(#REF!=Z1119),#REF!),""))</f>
        <v/>
      </c>
      <c r="AB1119" t="str">
        <f>IF(Z1119="","",IFERROR(LOOKUP(2,1/(#REF!=Z1119),#REF!),""))</f>
        <v/>
      </c>
      <c r="AC1119" t="e">
        <f>IF(Z1119="","",COUNTIF(#REF!,Z1119))</f>
        <v>#REF!</v>
      </c>
      <c r="AD1119" t="e">
        <f>IF(A1119="","",IF(AC1119&gt;1,"REVISAR DUPLICADO",IF(AA1119&lt;&gt;"","ACTUALIZADO POR EYR","SIN REPORTE EYR")))</f>
        <v>#REF!</v>
      </c>
    </row>
    <row r="1120" spans="1:30" x14ac:dyDescent="0.3">
      <c r="A1120" s="5" t="s">
        <v>2383</v>
      </c>
      <c r="B1120" t="s">
        <v>2382</v>
      </c>
      <c r="C1120" s="4" t="s">
        <v>2381</v>
      </c>
      <c r="D1120" t="s">
        <v>21</v>
      </c>
      <c r="F1120" t="s">
        <v>2380</v>
      </c>
      <c r="G1120" s="3">
        <v>8296134080</v>
      </c>
      <c r="H1120" s="2">
        <v>46133</v>
      </c>
      <c r="I1120" t="s">
        <v>1397</v>
      </c>
      <c r="K1120" s="1">
        <f ca="1">IF(A1120="","",IF(OR(L1120="ENTREGADA",L1120="RETORNADA",L1120="ENTREGA DIGITAL"),0,MAX(0,5-NETWORKDAYS(H1120+1,TODAY()))))</f>
        <v>0</v>
      </c>
      <c r="L1120" t="str">
        <f>IF(A1120="","",IFERROR(LOOKUP(2,1/(#REF!=Z1120),#REF!),Y1120))</f>
        <v>ENTREGA DIGITAL</v>
      </c>
      <c r="Y1120" t="s">
        <v>1396</v>
      </c>
      <c r="Z1120" t="str">
        <f>IF(A1120="","",TEXT(A1120,"0")&amp;"|"&amp;TEXT(H1120,"0"))</f>
        <v>4921017869687910|46133</v>
      </c>
      <c r="AA1120" t="str">
        <f>IF(Z1120="","",IFERROR(LOOKUP(2,1/(#REF!=Z1120),#REF!),""))</f>
        <v/>
      </c>
      <c r="AB1120" t="str">
        <f>IF(Z1120="","",IFERROR(LOOKUP(2,1/(#REF!=Z1120),#REF!),""))</f>
        <v/>
      </c>
      <c r="AC1120" t="e">
        <f>IF(Z1120="","",COUNTIF(#REF!,Z1120))</f>
        <v>#REF!</v>
      </c>
      <c r="AD1120" t="e">
        <f>IF(A1120="","",IF(AC1120&gt;1,"REVISAR DUPLICADO",IF(AA1120&lt;&gt;"","ACTUALIZADO POR EYR","SIN REPORTE EYR")))</f>
        <v>#REF!</v>
      </c>
    </row>
    <row r="1121" spans="1:30" x14ac:dyDescent="0.3">
      <c r="A1121" s="5" t="s">
        <v>2379</v>
      </c>
      <c r="B1121" t="s">
        <v>2378</v>
      </c>
      <c r="C1121" s="4" t="s">
        <v>2377</v>
      </c>
      <c r="D1121" t="s">
        <v>21</v>
      </c>
      <c r="F1121" t="s">
        <v>13</v>
      </c>
      <c r="G1121" s="3">
        <v>8294282913</v>
      </c>
      <c r="H1121" s="2">
        <v>46133</v>
      </c>
      <c r="K1121" s="1">
        <f ca="1">IF(A1121="","",IF(OR(L1121="ENTREGADA",L1121="RETORNADA",L1121="ENTREGA DIGITAL"),0,MAX(0,5-NETWORKDAYS(H1121+1,TODAY()))))</f>
        <v>0</v>
      </c>
      <c r="L1121" t="str">
        <f>IF(A1121="","",IFERROR(LOOKUP(2,1/(#REF!=Z1121),#REF!),Y1121))</f>
        <v>ENTREGADA</v>
      </c>
      <c r="Y1121" t="s">
        <v>1956</v>
      </c>
      <c r="Z1121" t="str">
        <f>IF(A1121="","",TEXT(A1121,"0")&amp;"|"&amp;TEXT(H1121,"0"))</f>
        <v>5188017868936380|46133</v>
      </c>
      <c r="AA1121" t="str">
        <f>IF(Z1121="","",IFERROR(LOOKUP(2,1/(#REF!=Z1121),#REF!),""))</f>
        <v/>
      </c>
      <c r="AB1121" t="str">
        <f>IF(Z1121="","",IFERROR(LOOKUP(2,1/(#REF!=Z1121),#REF!),""))</f>
        <v/>
      </c>
      <c r="AC1121" t="e">
        <f>IF(Z1121="","",COUNTIF(#REF!,Z1121))</f>
        <v>#REF!</v>
      </c>
      <c r="AD1121" t="e">
        <f>IF(A1121="","",IF(AC1121&gt;1,"REVISAR DUPLICADO",IF(AA1121&lt;&gt;"","ACTUALIZADO POR EYR","SIN REPORTE EYR")))</f>
        <v>#REF!</v>
      </c>
    </row>
    <row r="1122" spans="1:30" x14ac:dyDescent="0.3">
      <c r="A1122" s="5" t="s">
        <v>2376</v>
      </c>
      <c r="B1122" t="s">
        <v>2375</v>
      </c>
      <c r="C1122" s="4" t="s">
        <v>2374</v>
      </c>
      <c r="D1122" t="s">
        <v>21</v>
      </c>
      <c r="F1122" t="s">
        <v>2373</v>
      </c>
      <c r="G1122" s="3">
        <v>8092461804</v>
      </c>
      <c r="H1122" s="2">
        <v>46133</v>
      </c>
      <c r="K1122" s="1">
        <f ca="1">IF(A1122="","",IF(OR(L1122="ENTREGADA",L1122="RETORNADA",L1122="ENTREGA DIGITAL"),0,MAX(0,5-NETWORKDAYS(H1122+1,TODAY()))))</f>
        <v>0</v>
      </c>
      <c r="L1122" t="str">
        <f>IF(A1122="","",IFERROR(LOOKUP(2,1/(#REF!=Z1122),#REF!),Y1122))</f>
        <v>ENTREGADA</v>
      </c>
      <c r="Y1122" t="s">
        <v>1956</v>
      </c>
      <c r="Z1122" t="str">
        <f>IF(A1122="","",TEXT(A1122,"0")&amp;"|"&amp;TEXT(H1122,"0"))</f>
        <v>5415017868079690|46133</v>
      </c>
      <c r="AA1122" t="str">
        <f>IF(Z1122="","",IFERROR(LOOKUP(2,1/(#REF!=Z1122),#REF!),""))</f>
        <v/>
      </c>
      <c r="AB1122" t="str">
        <f>IF(Z1122="","",IFERROR(LOOKUP(2,1/(#REF!=Z1122),#REF!),""))</f>
        <v/>
      </c>
      <c r="AC1122" t="e">
        <f>IF(Z1122="","",COUNTIF(#REF!,Z1122))</f>
        <v>#REF!</v>
      </c>
      <c r="AD1122" t="e">
        <f>IF(A1122="","",IF(AC1122&gt;1,"REVISAR DUPLICADO",IF(AA1122&lt;&gt;"","ACTUALIZADO POR EYR","SIN REPORTE EYR")))</f>
        <v>#REF!</v>
      </c>
    </row>
    <row r="1123" spans="1:30" x14ac:dyDescent="0.3">
      <c r="A1123" s="5" t="s">
        <v>2372</v>
      </c>
      <c r="B1123" t="s">
        <v>2371</v>
      </c>
      <c r="C1123" s="4" t="s">
        <v>2370</v>
      </c>
      <c r="D1123" t="s">
        <v>21</v>
      </c>
      <c r="F1123" t="s">
        <v>13</v>
      </c>
      <c r="G1123" s="3">
        <v>8297065054</v>
      </c>
      <c r="H1123" s="2">
        <v>46133</v>
      </c>
      <c r="K1123" s="1">
        <f ca="1">IF(A1123="","",IF(OR(L1123="ENTREGADA",L1123="RETORNADA",L1123="ENTREGA DIGITAL"),0,MAX(0,5-NETWORKDAYS(H1123+1,TODAY()))))</f>
        <v>0</v>
      </c>
      <c r="L1123" t="str">
        <f>IF(A1123="","",IFERROR(LOOKUP(2,1/(#REF!=Z1123),#REF!),Y1123))</f>
        <v>ENTREGADA</v>
      </c>
      <c r="Y1123" t="s">
        <v>1956</v>
      </c>
      <c r="Z1123" t="str">
        <f>IF(A1123="","",TEXT(A1123,"0")&amp;"|"&amp;TEXT(H1123,"0"))</f>
        <v>5188017868682680|46133</v>
      </c>
      <c r="AA1123" t="str">
        <f>IF(Z1123="","",IFERROR(LOOKUP(2,1/(#REF!=Z1123),#REF!),""))</f>
        <v/>
      </c>
      <c r="AB1123" t="str">
        <f>IF(Z1123="","",IFERROR(LOOKUP(2,1/(#REF!=Z1123),#REF!),""))</f>
        <v/>
      </c>
      <c r="AC1123" t="e">
        <f>IF(Z1123="","",COUNTIF(#REF!,Z1123))</f>
        <v>#REF!</v>
      </c>
      <c r="AD1123" t="e">
        <f>IF(A1123="","",IF(AC1123&gt;1,"REVISAR DUPLICADO",IF(AA1123&lt;&gt;"","ACTUALIZADO POR EYR","SIN REPORTE EYR")))</f>
        <v>#REF!</v>
      </c>
    </row>
    <row r="1124" spans="1:30" x14ac:dyDescent="0.3">
      <c r="A1124" s="5" t="s">
        <v>2369</v>
      </c>
      <c r="B1124" t="s">
        <v>2368</v>
      </c>
      <c r="C1124" s="4" t="s">
        <v>2367</v>
      </c>
      <c r="D1124" t="s">
        <v>21</v>
      </c>
      <c r="F1124" t="s">
        <v>13</v>
      </c>
      <c r="G1124" s="3">
        <v>8494295808</v>
      </c>
      <c r="H1124" s="2">
        <v>46133</v>
      </c>
      <c r="I1124" t="s">
        <v>1397</v>
      </c>
      <c r="K1124" s="1">
        <f ca="1">IF(A1124="","",IF(OR(L1124="ENTREGADA",L1124="RETORNADA",L1124="ENTREGA DIGITAL"),0,MAX(0,5-NETWORKDAYS(H1124+1,TODAY()))))</f>
        <v>0</v>
      </c>
      <c r="L1124" t="str">
        <f>IF(A1124="","",IFERROR(LOOKUP(2,1/(#REF!=Z1124),#REF!),Y1124))</f>
        <v>ENTREGADA</v>
      </c>
      <c r="Y1124" t="s">
        <v>1956</v>
      </c>
      <c r="Z1124" t="str">
        <f>IF(A1124="","",TEXT(A1124,"0")&amp;"|"&amp;TEXT(H1124,"0"))</f>
        <v>5415017868209710|46133</v>
      </c>
      <c r="AA1124" t="str">
        <f>IF(Z1124="","",IFERROR(LOOKUP(2,1/(#REF!=Z1124),#REF!),""))</f>
        <v/>
      </c>
      <c r="AB1124" t="str">
        <f>IF(Z1124="","",IFERROR(LOOKUP(2,1/(#REF!=Z1124),#REF!),""))</f>
        <v/>
      </c>
      <c r="AC1124" t="e">
        <f>IF(Z1124="","",COUNTIF(#REF!,Z1124))</f>
        <v>#REF!</v>
      </c>
      <c r="AD1124" t="e">
        <f>IF(A1124="","",IF(AC1124&gt;1,"REVISAR DUPLICADO",IF(AA1124&lt;&gt;"","ACTUALIZADO POR EYR","SIN REPORTE EYR")))</f>
        <v>#REF!</v>
      </c>
    </row>
    <row r="1125" spans="1:30" x14ac:dyDescent="0.3">
      <c r="A1125" s="5" t="s">
        <v>2366</v>
      </c>
      <c r="B1125" t="s">
        <v>2365</v>
      </c>
      <c r="C1125" s="4" t="s">
        <v>2364</v>
      </c>
      <c r="D1125" t="s">
        <v>21</v>
      </c>
      <c r="F1125" t="s">
        <v>13</v>
      </c>
      <c r="G1125" s="3">
        <v>8292101341</v>
      </c>
      <c r="H1125" s="2">
        <v>46133</v>
      </c>
      <c r="K1125" s="1">
        <f ca="1">IF(A1125="","",IF(OR(L1125="ENTREGADA",L1125="RETORNADA",L1125="ENTREGA DIGITAL"),0,MAX(0,5-NETWORKDAYS(H1125+1,TODAY()))))</f>
        <v>0</v>
      </c>
      <c r="L1125" t="str">
        <f>IF(A1125="","",IFERROR(LOOKUP(2,1/(#REF!=Z1125),#REF!),Y1125))</f>
        <v>ENTREGADA</v>
      </c>
      <c r="Y1125" t="s">
        <v>1956</v>
      </c>
      <c r="Z1125" t="str">
        <f>IF(A1125="","",TEXT(A1125,"0")&amp;"|"&amp;TEXT(H1125,"0"))</f>
        <v>4921017861633860|46133</v>
      </c>
      <c r="AA1125" t="str">
        <f>IF(Z1125="","",IFERROR(LOOKUP(2,1/(#REF!=Z1125),#REF!),""))</f>
        <v/>
      </c>
      <c r="AB1125" t="str">
        <f>IF(Z1125="","",IFERROR(LOOKUP(2,1/(#REF!=Z1125),#REF!),""))</f>
        <v/>
      </c>
      <c r="AC1125" t="e">
        <f>IF(Z1125="","",COUNTIF(#REF!,Z1125))</f>
        <v>#REF!</v>
      </c>
      <c r="AD1125" t="e">
        <f>IF(A1125="","",IF(AC1125&gt;1,"REVISAR DUPLICADO",IF(AA1125&lt;&gt;"","ACTUALIZADO POR EYR","SIN REPORTE EYR")))</f>
        <v>#REF!</v>
      </c>
    </row>
    <row r="1126" spans="1:30" x14ac:dyDescent="0.3">
      <c r="A1126" s="5" t="s">
        <v>2363</v>
      </c>
      <c r="B1126" t="s">
        <v>2362</v>
      </c>
      <c r="C1126" s="4" t="s">
        <v>2361</v>
      </c>
      <c r="D1126" t="s">
        <v>21</v>
      </c>
      <c r="F1126" t="s">
        <v>2360</v>
      </c>
      <c r="G1126" s="3">
        <v>8093597626</v>
      </c>
      <c r="H1126" s="2">
        <v>46133</v>
      </c>
      <c r="K1126" s="1">
        <f ca="1">IF(A1126="","",IF(OR(L1126="ENTREGADA",L1126="RETORNADA",L1126="ENTREGA DIGITAL"),0,MAX(0,5-NETWORKDAYS(H1126+1,TODAY()))))</f>
        <v>0</v>
      </c>
      <c r="L1126" t="str">
        <f>IF(A1126="","",IFERROR(LOOKUP(2,1/(#REF!=Z1126),#REF!),Y1126))</f>
        <v>ENTREGADA</v>
      </c>
      <c r="Y1126" t="s">
        <v>1956</v>
      </c>
      <c r="Z1126" t="str">
        <f>IF(A1126="","",TEXT(A1126,"0")&amp;"|"&amp;TEXT(H1126,"0"))</f>
        <v>4921017865653610|46133</v>
      </c>
      <c r="AA1126" t="str">
        <f>IF(Z1126="","",IFERROR(LOOKUP(2,1/(#REF!=Z1126),#REF!),""))</f>
        <v/>
      </c>
      <c r="AB1126" t="str">
        <f>IF(Z1126="","",IFERROR(LOOKUP(2,1/(#REF!=Z1126),#REF!),""))</f>
        <v/>
      </c>
      <c r="AC1126" t="e">
        <f>IF(Z1126="","",COUNTIF(#REF!,Z1126))</f>
        <v>#REF!</v>
      </c>
      <c r="AD1126" t="e">
        <f>IF(A1126="","",IF(AC1126&gt;1,"REVISAR DUPLICADO",IF(AA1126&lt;&gt;"","ACTUALIZADO POR EYR","SIN REPORTE EYR")))</f>
        <v>#REF!</v>
      </c>
    </row>
    <row r="1127" spans="1:30" x14ac:dyDescent="0.3">
      <c r="A1127" s="5" t="s">
        <v>2359</v>
      </c>
      <c r="B1127" t="s">
        <v>2358</v>
      </c>
      <c r="C1127" s="4" t="s">
        <v>2357</v>
      </c>
      <c r="D1127" t="s">
        <v>21</v>
      </c>
      <c r="F1127" t="s">
        <v>13</v>
      </c>
      <c r="G1127" s="3">
        <v>8096561524</v>
      </c>
      <c r="H1127" s="2">
        <v>46133</v>
      </c>
      <c r="K1127" s="1">
        <f ca="1">IF(A1127="","",IF(OR(L1127="ENTREGADA",L1127="RETORNADA",L1127="ENTREGA DIGITAL"),0,MAX(0,5-NETWORKDAYS(H1127+1,TODAY()))))</f>
        <v>0</v>
      </c>
      <c r="L1127" t="str">
        <f>IF(A1127="","",IFERROR(LOOKUP(2,1/(#REF!=Z1127),#REF!),Y1127))</f>
        <v>ENTREGADA</v>
      </c>
      <c r="Y1127" t="s">
        <v>1956</v>
      </c>
      <c r="Z1127" t="str">
        <f>IF(A1127="","",TEXT(A1127,"0")&amp;"|"&amp;TEXT(H1127,"0"))</f>
        <v>5188017864718070|46133</v>
      </c>
      <c r="AA1127" t="str">
        <f>IF(Z1127="","",IFERROR(LOOKUP(2,1/(#REF!=Z1127),#REF!),""))</f>
        <v/>
      </c>
      <c r="AB1127" t="str">
        <f>IF(Z1127="","",IFERROR(LOOKUP(2,1/(#REF!=Z1127),#REF!),""))</f>
        <v/>
      </c>
      <c r="AC1127" t="e">
        <f>IF(Z1127="","",COUNTIF(#REF!,Z1127))</f>
        <v>#REF!</v>
      </c>
      <c r="AD1127" t="e">
        <f>IF(A1127="","",IF(AC1127&gt;1,"REVISAR DUPLICADO",IF(AA1127&lt;&gt;"","ACTUALIZADO POR EYR","SIN REPORTE EYR")))</f>
        <v>#REF!</v>
      </c>
    </row>
    <row r="1128" spans="1:30" x14ac:dyDescent="0.3">
      <c r="A1128" s="5" t="s">
        <v>2356</v>
      </c>
      <c r="B1128" t="s">
        <v>2355</v>
      </c>
      <c r="C1128" s="4" t="s">
        <v>2354</v>
      </c>
      <c r="D1128" t="s">
        <v>21</v>
      </c>
      <c r="F1128" t="s">
        <v>13</v>
      </c>
      <c r="G1128" s="3">
        <v>8292930296</v>
      </c>
      <c r="H1128" s="2">
        <v>46133</v>
      </c>
      <c r="K1128" s="1">
        <f ca="1">IF(A1128="","",IF(OR(L1128="ENTREGADA",L1128="RETORNADA",L1128="ENTREGA DIGITAL"),0,MAX(0,5-NETWORKDAYS(H1128+1,TODAY()))))</f>
        <v>0</v>
      </c>
      <c r="L1128" t="str">
        <f>IF(A1128="","",IFERROR(LOOKUP(2,1/(#REF!=Z1128),#REF!),Y1128))</f>
        <v>ENTREGADA</v>
      </c>
      <c r="Y1128" t="s">
        <v>1956</v>
      </c>
      <c r="Z1128" t="str">
        <f>IF(A1128="","",TEXT(A1128,"0")&amp;"|"&amp;TEXT(H1128,"0"))</f>
        <v>5415017864460480|46133</v>
      </c>
      <c r="AA1128" t="str">
        <f>IF(Z1128="","",IFERROR(LOOKUP(2,1/(#REF!=Z1128),#REF!),""))</f>
        <v/>
      </c>
      <c r="AB1128" t="str">
        <f>IF(Z1128="","",IFERROR(LOOKUP(2,1/(#REF!=Z1128),#REF!),""))</f>
        <v/>
      </c>
      <c r="AC1128" t="e">
        <f>IF(Z1128="","",COUNTIF(#REF!,Z1128))</f>
        <v>#REF!</v>
      </c>
      <c r="AD1128" t="e">
        <f>IF(A1128="","",IF(AC1128&gt;1,"REVISAR DUPLICADO",IF(AA1128&lt;&gt;"","ACTUALIZADO POR EYR","SIN REPORTE EYR")))</f>
        <v>#REF!</v>
      </c>
    </row>
    <row r="1129" spans="1:30" x14ac:dyDescent="0.3">
      <c r="A1129" s="5" t="s">
        <v>2353</v>
      </c>
      <c r="B1129" t="s">
        <v>2352</v>
      </c>
      <c r="C1129" s="4" t="s">
        <v>2351</v>
      </c>
      <c r="D1129" t="s">
        <v>21</v>
      </c>
      <c r="F1129" t="s">
        <v>2350</v>
      </c>
      <c r="G1129" s="3">
        <v>9999999999</v>
      </c>
      <c r="H1129" s="2">
        <v>46133</v>
      </c>
      <c r="K1129" s="1">
        <f ca="1">IF(A1129="","",IF(OR(L1129="ENTREGADA",L1129="RETORNADA",L1129="ENTREGA DIGITAL"),0,MAX(0,5-NETWORKDAYS(H1129+1,TODAY()))))</f>
        <v>0</v>
      </c>
      <c r="L1129" t="str">
        <f>IF(A1129="","",IFERROR(LOOKUP(2,1/(#REF!=Z1129),#REF!),Y1129))</f>
        <v>ENTREGA DIGITAL</v>
      </c>
      <c r="Y1129" t="s">
        <v>1396</v>
      </c>
      <c r="Z1129" t="str">
        <f>IF(A1129="","",TEXT(A1129,"0")&amp;"|"&amp;TEXT(H1129,"0"))</f>
        <v>4921017866938530|46133</v>
      </c>
      <c r="AA1129" t="str">
        <f>IF(Z1129="","",IFERROR(LOOKUP(2,1/(#REF!=Z1129),#REF!),""))</f>
        <v/>
      </c>
      <c r="AB1129" t="str">
        <f>IF(Z1129="","",IFERROR(LOOKUP(2,1/(#REF!=Z1129),#REF!),""))</f>
        <v/>
      </c>
      <c r="AC1129" t="e">
        <f>IF(Z1129="","",COUNTIF(#REF!,Z1129))</f>
        <v>#REF!</v>
      </c>
      <c r="AD1129" t="e">
        <f>IF(A1129="","",IF(AC1129&gt;1,"REVISAR DUPLICADO",IF(AA1129&lt;&gt;"","ACTUALIZADO POR EYR","SIN REPORTE EYR")))</f>
        <v>#REF!</v>
      </c>
    </row>
    <row r="1130" spans="1:30" x14ac:dyDescent="0.3">
      <c r="A1130" s="5" t="s">
        <v>2349</v>
      </c>
      <c r="B1130" t="s">
        <v>2348</v>
      </c>
      <c r="C1130" s="4" t="s">
        <v>2347</v>
      </c>
      <c r="D1130" t="s">
        <v>21</v>
      </c>
      <c r="E1130" t="s">
        <v>21</v>
      </c>
      <c r="F1130" t="s">
        <v>62</v>
      </c>
      <c r="G1130" s="3">
        <v>8092725190</v>
      </c>
      <c r="H1130" s="2">
        <v>46133</v>
      </c>
      <c r="K1130" s="1">
        <f ca="1">IF(A1130="","",IF(OR(L1130="ENTREGADA",L1130="RETORNADA",L1130="ENTREGA DIGITAL"),0,MAX(0,5-NETWORKDAYS(H1130+1,TODAY()))))</f>
        <v>0</v>
      </c>
      <c r="L1130" t="str">
        <f>IF(A1130="","",IFERROR(LOOKUP(2,1/(#REF!=Z1130),#REF!),Y1130))</f>
        <v>ENTREGADA</v>
      </c>
      <c r="Y1130" t="s">
        <v>1956</v>
      </c>
      <c r="Z1130" t="str">
        <f>IF(A1130="","",TEXT(A1130,"0")&amp;"|"&amp;TEXT(H1130,"0"))</f>
        <v>4921017865854800|46133</v>
      </c>
      <c r="AA1130" t="str">
        <f>IF(Z1130="","",IFERROR(LOOKUP(2,1/(#REF!=Z1130),#REF!),""))</f>
        <v/>
      </c>
      <c r="AB1130" t="str">
        <f>IF(Z1130="","",IFERROR(LOOKUP(2,1/(#REF!=Z1130),#REF!),""))</f>
        <v/>
      </c>
      <c r="AC1130" t="e">
        <f>IF(Z1130="","",COUNTIF(#REF!,Z1130))</f>
        <v>#REF!</v>
      </c>
      <c r="AD1130" t="e">
        <f>IF(A1130="","",IF(AC1130&gt;1,"REVISAR DUPLICADO",IF(AA1130&lt;&gt;"","ACTUALIZADO POR EYR","SIN REPORTE EYR")))</f>
        <v>#REF!</v>
      </c>
    </row>
    <row r="1131" spans="1:30" x14ac:dyDescent="0.3">
      <c r="A1131" s="5" t="s">
        <v>448</v>
      </c>
      <c r="B1131" t="s">
        <v>446</v>
      </c>
      <c r="C1131" s="4" t="s">
        <v>445</v>
      </c>
      <c r="D1131" t="s">
        <v>21</v>
      </c>
      <c r="F1131" t="s">
        <v>431</v>
      </c>
      <c r="G1131" s="3">
        <v>8092464417</v>
      </c>
      <c r="H1131" s="2">
        <v>46133</v>
      </c>
      <c r="K1131" s="1">
        <f ca="1">IF(A1131="","",IF(OR(L1131="ENTREGADA",L1131="RETORNADA",L1131="ENTREGA DIGITAL"),0,MAX(0,5-NETWORKDAYS(H1131+1,TODAY()))))</f>
        <v>0</v>
      </c>
      <c r="L1131" t="str">
        <f>IF(A1131="","",IFERROR(LOOKUP(2,1/(#REF!=Z1131),#REF!),Y1131))</f>
        <v>RETORNADA</v>
      </c>
      <c r="Y1131" t="s">
        <v>1857</v>
      </c>
      <c r="Z1131" t="str">
        <f>IF(A1131="","",TEXT(A1131,"0")&amp;"|"&amp;TEXT(H1131,"0"))</f>
        <v>5415017859145390|46133</v>
      </c>
      <c r="AA1131" t="str">
        <f>IF(Z1131="","",IFERROR(LOOKUP(2,1/(#REF!=Z1131),#REF!),""))</f>
        <v/>
      </c>
      <c r="AB1131" t="str">
        <f>IF(Z1131="","",IFERROR(LOOKUP(2,1/(#REF!=Z1131),#REF!),""))</f>
        <v/>
      </c>
      <c r="AC1131" t="e">
        <f>IF(Z1131="","",COUNTIF(#REF!,Z1131))</f>
        <v>#REF!</v>
      </c>
      <c r="AD1131" t="e">
        <f>IF(A1131="","",IF(AC1131&gt;1,"REVISAR DUPLICADO",IF(AA1131&lt;&gt;"","ACTUALIZADO POR EYR","SIN REPORTE EYR")))</f>
        <v>#REF!</v>
      </c>
    </row>
    <row r="1132" spans="1:30" x14ac:dyDescent="0.3">
      <c r="A1132" s="5" t="s">
        <v>447</v>
      </c>
      <c r="B1132" t="s">
        <v>446</v>
      </c>
      <c r="C1132" s="4" t="s">
        <v>445</v>
      </c>
      <c r="D1132" t="s">
        <v>21</v>
      </c>
      <c r="F1132" t="s">
        <v>431</v>
      </c>
      <c r="G1132" s="3">
        <v>8092464417</v>
      </c>
      <c r="H1132" s="2">
        <v>46133</v>
      </c>
      <c r="K1132" s="1">
        <f ca="1">IF(A1132="","",IF(OR(L1132="ENTREGADA",L1132="RETORNADA",L1132="ENTREGA DIGITAL"),0,MAX(0,5-NETWORKDAYS(H1132+1,TODAY()))))</f>
        <v>0</v>
      </c>
      <c r="L1132" t="str">
        <f>IF(A1132="","",IFERROR(LOOKUP(2,1/(#REF!=Z1132),#REF!),Y1132))</f>
        <v>RETORNADA</v>
      </c>
      <c r="Y1132" t="s">
        <v>1857</v>
      </c>
      <c r="Z1132" t="str">
        <f>IF(A1132="","",TEXT(A1132,"0")&amp;"|"&amp;TEXT(H1132,"0"))</f>
        <v>4921017861504120|46133</v>
      </c>
      <c r="AA1132" t="str">
        <f>IF(Z1132="","",IFERROR(LOOKUP(2,1/(#REF!=Z1132),#REF!),""))</f>
        <v/>
      </c>
      <c r="AB1132" t="str">
        <f>IF(Z1132="","",IFERROR(LOOKUP(2,1/(#REF!=Z1132),#REF!),""))</f>
        <v/>
      </c>
      <c r="AC1132" t="e">
        <f>IF(Z1132="","",COUNTIF(#REF!,Z1132))</f>
        <v>#REF!</v>
      </c>
      <c r="AD1132" t="e">
        <f>IF(A1132="","",IF(AC1132&gt;1,"REVISAR DUPLICADO",IF(AA1132&lt;&gt;"","ACTUALIZADO POR EYR","SIN REPORTE EYR")))</f>
        <v>#REF!</v>
      </c>
    </row>
    <row r="1133" spans="1:30" x14ac:dyDescent="0.3">
      <c r="A1133" s="5" t="s">
        <v>2346</v>
      </c>
      <c r="B1133" t="s">
        <v>2345</v>
      </c>
      <c r="C1133" s="4" t="s">
        <v>2344</v>
      </c>
      <c r="D1133" t="s">
        <v>21</v>
      </c>
      <c r="E1133" t="s">
        <v>21</v>
      </c>
      <c r="F1133" t="s">
        <v>62</v>
      </c>
      <c r="G1133" s="3">
        <v>8095464448</v>
      </c>
      <c r="H1133" s="2">
        <v>46133</v>
      </c>
      <c r="K1133" s="1">
        <f ca="1">IF(A1133="","",IF(OR(L1133="ENTREGADA",L1133="RETORNADA",L1133="ENTREGA DIGITAL"),0,MAX(0,5-NETWORKDAYS(H1133+1,TODAY()))))</f>
        <v>0</v>
      </c>
      <c r="L1133" t="str">
        <f>IF(A1133="","",IFERROR(LOOKUP(2,1/(#REF!=Z1133),#REF!),Y1133))</f>
        <v>ENTREGA DIGITAL</v>
      </c>
      <c r="Y1133" t="s">
        <v>1396</v>
      </c>
      <c r="Z1133" t="str">
        <f>IF(A1133="","",TEXT(A1133,"0")&amp;"|"&amp;TEXT(H1133,"0"))</f>
        <v>4921017867070290|46133</v>
      </c>
      <c r="AA1133" t="str">
        <f>IF(Z1133="","",IFERROR(LOOKUP(2,1/(#REF!=Z1133),#REF!),""))</f>
        <v/>
      </c>
      <c r="AB1133" t="str">
        <f>IF(Z1133="","",IFERROR(LOOKUP(2,1/(#REF!=Z1133),#REF!),""))</f>
        <v/>
      </c>
      <c r="AC1133" t="e">
        <f>IF(Z1133="","",COUNTIF(#REF!,Z1133))</f>
        <v>#REF!</v>
      </c>
      <c r="AD1133" t="e">
        <f>IF(A1133="","",IF(AC1133&gt;1,"REVISAR DUPLICADO",IF(AA1133&lt;&gt;"","ACTUALIZADO POR EYR","SIN REPORTE EYR")))</f>
        <v>#REF!</v>
      </c>
    </row>
    <row r="1134" spans="1:30" x14ac:dyDescent="0.3">
      <c r="A1134" s="5" t="s">
        <v>2343</v>
      </c>
      <c r="B1134" t="s">
        <v>2342</v>
      </c>
      <c r="C1134" s="4" t="s">
        <v>2341</v>
      </c>
      <c r="D1134" t="s">
        <v>21</v>
      </c>
      <c r="F1134" t="s">
        <v>13</v>
      </c>
      <c r="G1134" s="3">
        <v>8297999763</v>
      </c>
      <c r="H1134" s="2">
        <v>46133</v>
      </c>
      <c r="K1134" s="1">
        <f ca="1">IF(A1134="","",IF(OR(L1134="ENTREGADA",L1134="RETORNADA",L1134="ENTREGA DIGITAL"),0,MAX(0,5-NETWORKDAYS(H1134+1,TODAY()))))</f>
        <v>0</v>
      </c>
      <c r="L1134">
        <f>IF(A1134="","",IFERROR(LOOKUP(2,1/(#REF!=Z1134),#REF!),Y1134))</f>
        <v>0</v>
      </c>
      <c r="Z1134" t="str">
        <f>IF(A1134="","",TEXT(A1134,"0")&amp;"|"&amp;TEXT(H1134,"0"))</f>
        <v>4921017860622590|46133</v>
      </c>
      <c r="AA1134" t="str">
        <f>IF(Z1134="","",IFERROR(LOOKUP(2,1/(#REF!=Z1134),#REF!),""))</f>
        <v/>
      </c>
      <c r="AB1134" t="str">
        <f>IF(Z1134="","",IFERROR(LOOKUP(2,1/(#REF!=Z1134),#REF!),""))</f>
        <v/>
      </c>
      <c r="AC1134" t="e">
        <f>IF(Z1134="","",COUNTIF(#REF!,Z1134))</f>
        <v>#REF!</v>
      </c>
      <c r="AD1134" t="e">
        <f>IF(A1134="","",IF(AC1134&gt;1,"REVISAR DUPLICADO",IF(AA1134&lt;&gt;"","ACTUALIZADO POR EYR","SIN REPORTE EYR")))</f>
        <v>#REF!</v>
      </c>
    </row>
    <row r="1135" spans="1:30" x14ac:dyDescent="0.3">
      <c r="A1135" s="5" t="s">
        <v>2340</v>
      </c>
      <c r="B1135" t="s">
        <v>2339</v>
      </c>
      <c r="C1135" s="4" t="s">
        <v>2338</v>
      </c>
      <c r="D1135" t="s">
        <v>21</v>
      </c>
      <c r="F1135" t="s">
        <v>13</v>
      </c>
      <c r="G1135" s="3">
        <v>8098806728</v>
      </c>
      <c r="H1135" s="2">
        <v>46133</v>
      </c>
      <c r="K1135" s="1">
        <f ca="1">IF(A1135="","",IF(OR(L1135="ENTREGADA",L1135="RETORNADA",L1135="ENTREGA DIGITAL"),0,MAX(0,5-NETWORKDAYS(H1135+1,TODAY()))))</f>
        <v>0</v>
      </c>
      <c r="L1135">
        <f>IF(A1135="","",IFERROR(LOOKUP(2,1/(#REF!=Z1135),#REF!),Y1135))</f>
        <v>0</v>
      </c>
      <c r="Z1135" t="str">
        <f>IF(A1135="","",TEXT(A1135,"0")&amp;"|"&amp;TEXT(H1135,"0"))</f>
        <v>4921017862486450|46133</v>
      </c>
      <c r="AA1135" t="str">
        <f>IF(Z1135="","",IFERROR(LOOKUP(2,1/(#REF!=Z1135),#REF!),""))</f>
        <v/>
      </c>
      <c r="AB1135" t="str">
        <f>IF(Z1135="","",IFERROR(LOOKUP(2,1/(#REF!=Z1135),#REF!),""))</f>
        <v/>
      </c>
      <c r="AC1135" t="e">
        <f>IF(Z1135="","",COUNTIF(#REF!,Z1135))</f>
        <v>#REF!</v>
      </c>
      <c r="AD1135" t="e">
        <f>IF(A1135="","",IF(AC1135&gt;1,"REVISAR DUPLICADO",IF(AA1135&lt;&gt;"","ACTUALIZADO POR EYR","SIN REPORTE EYR")))</f>
        <v>#REF!</v>
      </c>
    </row>
    <row r="1136" spans="1:30" x14ac:dyDescent="0.3">
      <c r="A1136" s="5" t="s">
        <v>2337</v>
      </c>
      <c r="B1136" t="s">
        <v>2336</v>
      </c>
      <c r="C1136" s="4" t="s">
        <v>2335</v>
      </c>
      <c r="D1136" t="s">
        <v>21</v>
      </c>
      <c r="F1136" t="s">
        <v>2334</v>
      </c>
      <c r="G1136" s="3">
        <v>8092109614</v>
      </c>
      <c r="H1136" s="2">
        <v>46133</v>
      </c>
      <c r="K1136" s="1">
        <f ca="1">IF(A1136="","",IF(OR(L1136="ENTREGADA",L1136="RETORNADA",L1136="ENTREGA DIGITAL"),0,MAX(0,5-NETWORKDAYS(H1136+1,TODAY()))))</f>
        <v>0</v>
      </c>
      <c r="L1136" t="str">
        <f>IF(A1136="","",IFERROR(LOOKUP(2,1/(#REF!=Z1136),#REF!),Y1136))</f>
        <v>ENTREGADA</v>
      </c>
      <c r="Y1136" t="s">
        <v>1956</v>
      </c>
      <c r="Z1136" t="str">
        <f>IF(A1136="","",TEXT(A1136,"0")&amp;"|"&amp;TEXT(H1136,"0"))</f>
        <v>4921017869399920|46133</v>
      </c>
      <c r="AA1136" t="str">
        <f>IF(Z1136="","",IFERROR(LOOKUP(2,1/(#REF!=Z1136),#REF!),""))</f>
        <v/>
      </c>
      <c r="AB1136" t="str">
        <f>IF(Z1136="","",IFERROR(LOOKUP(2,1/(#REF!=Z1136),#REF!),""))</f>
        <v/>
      </c>
      <c r="AC1136" t="e">
        <f>IF(Z1136="","",COUNTIF(#REF!,Z1136))</f>
        <v>#REF!</v>
      </c>
      <c r="AD1136" t="e">
        <f>IF(A1136="","",IF(AC1136&gt;1,"REVISAR DUPLICADO",IF(AA1136&lt;&gt;"","ACTUALIZADO POR EYR","SIN REPORTE EYR")))</f>
        <v>#REF!</v>
      </c>
    </row>
    <row r="1137" spans="1:30" x14ac:dyDescent="0.3">
      <c r="A1137" s="5" t="s">
        <v>2333</v>
      </c>
      <c r="B1137" t="s">
        <v>2332</v>
      </c>
      <c r="C1137" s="4" t="s">
        <v>2331</v>
      </c>
      <c r="D1137" t="s">
        <v>21</v>
      </c>
      <c r="F1137" t="s">
        <v>2330</v>
      </c>
      <c r="G1137" s="3">
        <v>8295739761</v>
      </c>
      <c r="H1137" s="2">
        <v>46133</v>
      </c>
      <c r="K1137" s="1">
        <f ca="1">IF(A1137="","",IF(OR(L1137="ENTREGADA",L1137="RETORNADA",L1137="ENTREGA DIGITAL"),0,MAX(0,5-NETWORKDAYS(H1137+1,TODAY()))))</f>
        <v>0</v>
      </c>
      <c r="L1137" t="str">
        <f>IF(A1137="","",IFERROR(LOOKUP(2,1/(#REF!=Z1137),#REF!),Y1137))</f>
        <v>ENTREGADA</v>
      </c>
      <c r="Y1137" t="s">
        <v>1956</v>
      </c>
      <c r="Z1137" t="str">
        <f>IF(A1137="","",TEXT(A1137,"0")&amp;"|"&amp;TEXT(H1137,"0"))</f>
        <v>5188017720526870|46133</v>
      </c>
      <c r="AA1137" t="str">
        <f>IF(Z1137="","",IFERROR(LOOKUP(2,1/(#REF!=Z1137),#REF!),""))</f>
        <v/>
      </c>
      <c r="AB1137" t="str">
        <f>IF(Z1137="","",IFERROR(LOOKUP(2,1/(#REF!=Z1137),#REF!),""))</f>
        <v/>
      </c>
      <c r="AC1137" t="e">
        <f>IF(Z1137="","",COUNTIF(#REF!,Z1137))</f>
        <v>#REF!</v>
      </c>
      <c r="AD1137" t="e">
        <f>IF(A1137="","",IF(AC1137&gt;1,"REVISAR DUPLICADO",IF(AA1137&lt;&gt;"","ACTUALIZADO POR EYR","SIN REPORTE EYR")))</f>
        <v>#REF!</v>
      </c>
    </row>
    <row r="1138" spans="1:30" x14ac:dyDescent="0.3">
      <c r="A1138" s="5" t="s">
        <v>2329</v>
      </c>
      <c r="B1138" t="s">
        <v>2328</v>
      </c>
      <c r="C1138" s="4" t="s">
        <v>2327</v>
      </c>
      <c r="D1138" t="s">
        <v>21</v>
      </c>
      <c r="F1138" t="s">
        <v>2326</v>
      </c>
      <c r="G1138" s="3">
        <v>8098295841</v>
      </c>
      <c r="H1138" s="2">
        <v>46133</v>
      </c>
      <c r="I1138" t="s">
        <v>1397</v>
      </c>
      <c r="K1138" s="1">
        <f ca="1">IF(A1138="","",IF(OR(L1138="ENTREGADA",L1138="RETORNADA",L1138="ENTREGA DIGITAL"),0,MAX(0,5-NETWORKDAYS(H1138+1,TODAY()))))</f>
        <v>0</v>
      </c>
      <c r="L1138" t="str">
        <f>IF(A1138="","",IFERROR(LOOKUP(2,1/(#REF!=Z1138),#REF!),Y1138))</f>
        <v>ENTREGADA</v>
      </c>
      <c r="Y1138" t="s">
        <v>1956</v>
      </c>
      <c r="Z1138" t="str">
        <f>IF(A1138="","",TEXT(A1138,"0")&amp;"|"&amp;TEXT(H1138,"0"))</f>
        <v>4921017861901020|46133</v>
      </c>
      <c r="AA1138" t="str">
        <f>IF(Z1138="","",IFERROR(LOOKUP(2,1/(#REF!=Z1138),#REF!),""))</f>
        <v/>
      </c>
      <c r="AB1138" t="str">
        <f>IF(Z1138="","",IFERROR(LOOKUP(2,1/(#REF!=Z1138),#REF!),""))</f>
        <v/>
      </c>
      <c r="AC1138" t="e">
        <f>IF(Z1138="","",COUNTIF(#REF!,Z1138))</f>
        <v>#REF!</v>
      </c>
      <c r="AD1138" t="e">
        <f>IF(A1138="","",IF(AC1138&gt;1,"REVISAR DUPLICADO",IF(AA1138&lt;&gt;"","ACTUALIZADO POR EYR","SIN REPORTE EYR")))</f>
        <v>#REF!</v>
      </c>
    </row>
    <row r="1139" spans="1:30" x14ac:dyDescent="0.3">
      <c r="A1139" s="5" t="s">
        <v>2325</v>
      </c>
      <c r="B1139" t="s">
        <v>2324</v>
      </c>
      <c r="C1139" s="4" t="s">
        <v>2323</v>
      </c>
      <c r="D1139" t="s">
        <v>21</v>
      </c>
      <c r="F1139" t="s">
        <v>13</v>
      </c>
      <c r="G1139" s="3">
        <v>8095293277</v>
      </c>
      <c r="H1139" s="2">
        <v>46133</v>
      </c>
      <c r="I1139" t="s">
        <v>1397</v>
      </c>
      <c r="K1139" s="1">
        <f ca="1">IF(A1139="","",IF(OR(L1139="ENTREGADA",L1139="RETORNADA",L1139="ENTREGA DIGITAL"),0,MAX(0,5-NETWORKDAYS(H1139+1,TODAY()))))</f>
        <v>0</v>
      </c>
      <c r="L1139" t="str">
        <f>IF(A1139="","",IFERROR(LOOKUP(2,1/(#REF!=Z1139),#REF!),Y1139))</f>
        <v>ENTREGADA</v>
      </c>
      <c r="Y1139" t="s">
        <v>1956</v>
      </c>
      <c r="Z1139" t="str">
        <f>IF(A1139="","",TEXT(A1139,"0")&amp;"|"&amp;TEXT(H1139,"0"))</f>
        <v>5188017869020150|46133</v>
      </c>
      <c r="AA1139" t="str">
        <f>IF(Z1139="","",IFERROR(LOOKUP(2,1/(#REF!=Z1139),#REF!),""))</f>
        <v/>
      </c>
      <c r="AB1139" t="str">
        <f>IF(Z1139="","",IFERROR(LOOKUP(2,1/(#REF!=Z1139),#REF!),""))</f>
        <v/>
      </c>
      <c r="AC1139" t="e">
        <f>IF(Z1139="","",COUNTIF(#REF!,Z1139))</f>
        <v>#REF!</v>
      </c>
      <c r="AD1139" t="e">
        <f>IF(A1139="","",IF(AC1139&gt;1,"REVISAR DUPLICADO",IF(AA1139&lt;&gt;"","ACTUALIZADO POR EYR","SIN REPORTE EYR")))</f>
        <v>#REF!</v>
      </c>
    </row>
    <row r="1140" spans="1:30" x14ac:dyDescent="0.3">
      <c r="A1140" s="5" t="s">
        <v>2322</v>
      </c>
      <c r="B1140" t="s">
        <v>2321</v>
      </c>
      <c r="C1140" s="4" t="s">
        <v>2320</v>
      </c>
      <c r="D1140" t="s">
        <v>21</v>
      </c>
      <c r="F1140" t="s">
        <v>1050</v>
      </c>
      <c r="G1140" s="3">
        <v>8095268825</v>
      </c>
      <c r="H1140" s="2">
        <v>46133</v>
      </c>
      <c r="K1140" s="1">
        <f ca="1">IF(A1140="","",IF(OR(L1140="ENTREGADA",L1140="RETORNADA",L1140="ENTREGA DIGITAL"),0,MAX(0,5-NETWORKDAYS(H1140+1,TODAY()))))</f>
        <v>0</v>
      </c>
      <c r="L1140" t="str">
        <f>IF(A1140="","",IFERROR(LOOKUP(2,1/(#REF!=Z1140),#REF!),Y1140))</f>
        <v>ENTREGADA</v>
      </c>
      <c r="Y1140" t="s">
        <v>1956</v>
      </c>
      <c r="Z1140" t="str">
        <f>IF(A1140="","",TEXT(A1140,"0")&amp;"|"&amp;TEXT(H1140,"0"))</f>
        <v>4921017870548280|46133</v>
      </c>
      <c r="AA1140" t="str">
        <f>IF(Z1140="","",IFERROR(LOOKUP(2,1/(#REF!=Z1140),#REF!),""))</f>
        <v/>
      </c>
      <c r="AB1140" t="str">
        <f>IF(Z1140="","",IFERROR(LOOKUP(2,1/(#REF!=Z1140),#REF!),""))</f>
        <v/>
      </c>
      <c r="AC1140" t="e">
        <f>IF(Z1140="","",COUNTIF(#REF!,Z1140))</f>
        <v>#REF!</v>
      </c>
      <c r="AD1140" t="e">
        <f>IF(A1140="","",IF(AC1140&gt;1,"REVISAR DUPLICADO",IF(AA1140&lt;&gt;"","ACTUALIZADO POR EYR","SIN REPORTE EYR")))</f>
        <v>#REF!</v>
      </c>
    </row>
    <row r="1141" spans="1:30" x14ac:dyDescent="0.3">
      <c r="A1141" s="5" t="s">
        <v>2319</v>
      </c>
      <c r="B1141" t="s">
        <v>2318</v>
      </c>
      <c r="C1141" s="4" t="s">
        <v>2317</v>
      </c>
      <c r="D1141" t="s">
        <v>21</v>
      </c>
      <c r="F1141" t="s">
        <v>13</v>
      </c>
      <c r="G1141" s="3">
        <v>8297982615</v>
      </c>
      <c r="H1141" s="2">
        <v>46133</v>
      </c>
      <c r="K1141" s="1">
        <f ca="1">IF(A1141="","",IF(OR(L1141="ENTREGADA",L1141="RETORNADA",L1141="ENTREGA DIGITAL"),0,MAX(0,5-NETWORKDAYS(H1141+1,TODAY()))))</f>
        <v>0</v>
      </c>
      <c r="L1141" t="str">
        <f>IF(A1141="","",IFERROR(LOOKUP(2,1/(#REF!=Z1141),#REF!),Y1141))</f>
        <v>ENTREGADA</v>
      </c>
      <c r="Y1141" t="s">
        <v>1956</v>
      </c>
      <c r="Z1141" t="str">
        <f>IF(A1141="","",TEXT(A1141,"0")&amp;"|"&amp;TEXT(H1141,"0"))</f>
        <v>4921017870478730|46133</v>
      </c>
      <c r="AA1141" t="str">
        <f>IF(Z1141="","",IFERROR(LOOKUP(2,1/(#REF!=Z1141),#REF!),""))</f>
        <v/>
      </c>
      <c r="AB1141" t="str">
        <f>IF(Z1141="","",IFERROR(LOOKUP(2,1/(#REF!=Z1141),#REF!),""))</f>
        <v/>
      </c>
      <c r="AC1141" t="e">
        <f>IF(Z1141="","",COUNTIF(#REF!,Z1141))</f>
        <v>#REF!</v>
      </c>
      <c r="AD1141" t="e">
        <f>IF(A1141="","",IF(AC1141&gt;1,"REVISAR DUPLICADO",IF(AA1141&lt;&gt;"","ACTUALIZADO POR EYR","SIN REPORTE EYR")))</f>
        <v>#REF!</v>
      </c>
    </row>
    <row r="1142" spans="1:30" x14ac:dyDescent="0.3">
      <c r="A1142" s="5" t="s">
        <v>2316</v>
      </c>
      <c r="B1142" t="s">
        <v>2315</v>
      </c>
      <c r="C1142" s="4" t="s">
        <v>2314</v>
      </c>
      <c r="D1142" t="s">
        <v>21</v>
      </c>
      <c r="F1142" t="s">
        <v>13</v>
      </c>
      <c r="G1142" s="3">
        <v>8294404419</v>
      </c>
      <c r="H1142" s="2">
        <v>46133</v>
      </c>
      <c r="K1142" s="1">
        <f ca="1">IF(A1142="","",IF(OR(L1142="ENTREGADA",L1142="RETORNADA",L1142="ENTREGA DIGITAL"),0,MAX(0,5-NETWORKDAYS(H1142+1,TODAY()))))</f>
        <v>0</v>
      </c>
      <c r="L1142" t="str">
        <f>IF(A1142="","",IFERROR(LOOKUP(2,1/(#REF!=Z1142),#REF!),Y1142))</f>
        <v>ENTREGADA</v>
      </c>
      <c r="Y1142" t="s">
        <v>1956</v>
      </c>
      <c r="Z1142" t="str">
        <f>IF(A1142="","",TEXT(A1142,"0")&amp;"|"&amp;TEXT(H1142,"0"))</f>
        <v>5188017869034290|46133</v>
      </c>
      <c r="AA1142" t="str">
        <f>IF(Z1142="","",IFERROR(LOOKUP(2,1/(#REF!=Z1142),#REF!),""))</f>
        <v/>
      </c>
      <c r="AB1142" t="str">
        <f>IF(Z1142="","",IFERROR(LOOKUP(2,1/(#REF!=Z1142),#REF!),""))</f>
        <v/>
      </c>
      <c r="AC1142" t="e">
        <f>IF(Z1142="","",COUNTIF(#REF!,Z1142))</f>
        <v>#REF!</v>
      </c>
      <c r="AD1142" t="e">
        <f>IF(A1142="","",IF(AC1142&gt;1,"REVISAR DUPLICADO",IF(AA1142&lt;&gt;"","ACTUALIZADO POR EYR","SIN REPORTE EYR")))</f>
        <v>#REF!</v>
      </c>
    </row>
    <row r="1143" spans="1:30" x14ac:dyDescent="0.3">
      <c r="A1143" s="5" t="s">
        <v>2313</v>
      </c>
      <c r="B1143" t="s">
        <v>2312</v>
      </c>
      <c r="C1143" s="4" t="s">
        <v>2311</v>
      </c>
      <c r="D1143" t="s">
        <v>21</v>
      </c>
      <c r="F1143" t="s">
        <v>2310</v>
      </c>
      <c r="G1143" s="3">
        <v>8092465909</v>
      </c>
      <c r="H1143" s="2">
        <v>46133</v>
      </c>
      <c r="K1143" s="1">
        <f ca="1">IF(A1143="","",IF(OR(L1143="ENTREGADA",L1143="RETORNADA",L1143="ENTREGA DIGITAL"),0,MAX(0,5-NETWORKDAYS(H1143+1,TODAY()))))</f>
        <v>0</v>
      </c>
      <c r="L1143" t="str">
        <f>IF(A1143="","",IFERROR(LOOKUP(2,1/(#REF!=Z1143),#REF!),Y1143))</f>
        <v>ENTREGADA</v>
      </c>
      <c r="Y1143" t="s">
        <v>1956</v>
      </c>
      <c r="Z1143" t="str">
        <f>IF(A1143="","",TEXT(A1143,"0")&amp;"|"&amp;TEXT(H1143,"0"))</f>
        <v>4173017871391180|46133</v>
      </c>
      <c r="AA1143" t="str">
        <f>IF(Z1143="","",IFERROR(LOOKUP(2,1/(#REF!=Z1143),#REF!),""))</f>
        <v/>
      </c>
      <c r="AB1143" t="str">
        <f>IF(Z1143="","",IFERROR(LOOKUP(2,1/(#REF!=Z1143),#REF!),""))</f>
        <v/>
      </c>
      <c r="AC1143" t="e">
        <f>IF(Z1143="","",COUNTIF(#REF!,Z1143))</f>
        <v>#REF!</v>
      </c>
      <c r="AD1143" t="e">
        <f>IF(A1143="","",IF(AC1143&gt;1,"REVISAR DUPLICADO",IF(AA1143&lt;&gt;"","ACTUALIZADO POR EYR","SIN REPORTE EYR")))</f>
        <v>#REF!</v>
      </c>
    </row>
    <row r="1144" spans="1:30" x14ac:dyDescent="0.3">
      <c r="A1144" s="5" t="s">
        <v>2309</v>
      </c>
      <c r="B1144" t="s">
        <v>2308</v>
      </c>
      <c r="C1144" s="4" t="s">
        <v>2307</v>
      </c>
      <c r="D1144" t="s">
        <v>77</v>
      </c>
      <c r="F1144" t="s">
        <v>13</v>
      </c>
      <c r="G1144" s="3">
        <v>8099316786</v>
      </c>
      <c r="H1144" s="2">
        <v>46133</v>
      </c>
      <c r="K1144" s="1">
        <f ca="1">IF(A1144="","",IF(OR(L1144="ENTREGADA",L1144="RETORNADA",L1144="ENTREGA DIGITAL"),0,MAX(0,5-NETWORKDAYS(H1144+1,TODAY()))))</f>
        <v>0</v>
      </c>
      <c r="L1144">
        <f>IF(A1144="","",IFERROR(LOOKUP(2,1/(#REF!=Z1144),#REF!),Y1144))</f>
        <v>0</v>
      </c>
      <c r="Z1144" t="str">
        <f>IF(A1144="","",TEXT(A1144,"0")&amp;"|"&amp;TEXT(H1144,"0"))</f>
        <v>5227017868606670|46133</v>
      </c>
      <c r="AA1144" t="str">
        <f>IF(Z1144="","",IFERROR(LOOKUP(2,1/(#REF!=Z1144),#REF!),""))</f>
        <v/>
      </c>
      <c r="AB1144" t="str">
        <f>IF(Z1144="","",IFERROR(LOOKUP(2,1/(#REF!=Z1144),#REF!),""))</f>
        <v/>
      </c>
      <c r="AC1144" t="e">
        <f>IF(Z1144="","",COUNTIF(#REF!,Z1144))</f>
        <v>#REF!</v>
      </c>
      <c r="AD1144" t="e">
        <f>IF(A1144="","",IF(AC1144&gt;1,"REVISAR DUPLICADO",IF(AA1144&lt;&gt;"","ACTUALIZADO POR EYR","SIN REPORTE EYR")))</f>
        <v>#REF!</v>
      </c>
    </row>
    <row r="1145" spans="1:30" x14ac:dyDescent="0.3">
      <c r="A1145" s="5" t="s">
        <v>2306</v>
      </c>
      <c r="B1145" t="s">
        <v>2305</v>
      </c>
      <c r="C1145" s="4" t="s">
        <v>2304</v>
      </c>
      <c r="D1145" t="s">
        <v>77</v>
      </c>
      <c r="F1145" t="s">
        <v>13</v>
      </c>
      <c r="G1145" s="3">
        <v>8493423369</v>
      </c>
      <c r="H1145" s="2">
        <v>46133</v>
      </c>
      <c r="I1145" t="s">
        <v>1397</v>
      </c>
      <c r="K1145" s="1">
        <f ca="1">IF(A1145="","",IF(OR(L1145="ENTREGADA",L1145="RETORNADA",L1145="ENTREGA DIGITAL"),0,MAX(0,5-NETWORKDAYS(H1145+1,TODAY()))))</f>
        <v>0</v>
      </c>
      <c r="L1145" t="str">
        <f>IF(A1145="","",IFERROR(LOOKUP(2,1/(#REF!=Z1145),#REF!),Y1145))</f>
        <v>ENTREGA DIGITAL</v>
      </c>
      <c r="Y1145" t="s">
        <v>1396</v>
      </c>
      <c r="Z1145" t="str">
        <f>IF(A1145="","",TEXT(A1145,"0")&amp;"|"&amp;TEXT(H1145,"0"))</f>
        <v>4921017870779410|46133</v>
      </c>
      <c r="AA1145" t="str">
        <f>IF(Z1145="","",IFERROR(LOOKUP(2,1/(#REF!=Z1145),#REF!),""))</f>
        <v/>
      </c>
      <c r="AB1145" t="str">
        <f>IF(Z1145="","",IFERROR(LOOKUP(2,1/(#REF!=Z1145),#REF!),""))</f>
        <v/>
      </c>
      <c r="AC1145" t="e">
        <f>IF(Z1145="","",COUNTIF(#REF!,Z1145))</f>
        <v>#REF!</v>
      </c>
      <c r="AD1145" t="e">
        <f>IF(A1145="","",IF(AC1145&gt;1,"REVISAR DUPLICADO",IF(AA1145&lt;&gt;"","ACTUALIZADO POR EYR","SIN REPORTE EYR")))</f>
        <v>#REF!</v>
      </c>
    </row>
    <row r="1146" spans="1:30" x14ac:dyDescent="0.3">
      <c r="A1146" s="5" t="s">
        <v>2303</v>
      </c>
      <c r="B1146" t="s">
        <v>2302</v>
      </c>
      <c r="C1146" s="4" t="s">
        <v>2301</v>
      </c>
      <c r="D1146" t="s">
        <v>77</v>
      </c>
      <c r="F1146" t="s">
        <v>13</v>
      </c>
      <c r="G1146" s="3">
        <v>8292887672</v>
      </c>
      <c r="H1146" s="2">
        <v>46133</v>
      </c>
      <c r="K1146" s="1">
        <f ca="1">IF(A1146="","",IF(OR(L1146="ENTREGADA",L1146="RETORNADA",L1146="ENTREGA DIGITAL"),0,MAX(0,5-NETWORKDAYS(H1146+1,TODAY()))))</f>
        <v>0</v>
      </c>
      <c r="L1146" t="str">
        <f>IF(A1146="","",IFERROR(LOOKUP(2,1/(#REF!=Z1146),#REF!),Y1146))</f>
        <v>ENTREGA DIGITAL</v>
      </c>
      <c r="Y1146" t="s">
        <v>1396</v>
      </c>
      <c r="Z1146" t="str">
        <f>IF(A1146="","",TEXT(A1146,"0")&amp;"|"&amp;TEXT(H1146,"0"))</f>
        <v>4921017860824040|46133</v>
      </c>
      <c r="AA1146" t="str">
        <f>IF(Z1146="","",IFERROR(LOOKUP(2,1/(#REF!=Z1146),#REF!),""))</f>
        <v/>
      </c>
      <c r="AB1146" t="str">
        <f>IF(Z1146="","",IFERROR(LOOKUP(2,1/(#REF!=Z1146),#REF!),""))</f>
        <v/>
      </c>
      <c r="AC1146" t="e">
        <f>IF(Z1146="","",COUNTIF(#REF!,Z1146))</f>
        <v>#REF!</v>
      </c>
      <c r="AD1146" t="e">
        <f>IF(A1146="","",IF(AC1146&gt;1,"REVISAR DUPLICADO",IF(AA1146&lt;&gt;"","ACTUALIZADO POR EYR","SIN REPORTE EYR")))</f>
        <v>#REF!</v>
      </c>
    </row>
    <row r="1147" spans="1:30" x14ac:dyDescent="0.3">
      <c r="A1147" s="5" t="s">
        <v>2300</v>
      </c>
      <c r="B1147" t="s">
        <v>2299</v>
      </c>
      <c r="C1147" s="4" t="s">
        <v>2298</v>
      </c>
      <c r="D1147" t="s">
        <v>77</v>
      </c>
      <c r="F1147" t="s">
        <v>13</v>
      </c>
      <c r="G1147" s="3">
        <v>8495079735</v>
      </c>
      <c r="H1147" s="2">
        <v>46133</v>
      </c>
      <c r="I1147" t="s">
        <v>1397</v>
      </c>
      <c r="K1147" s="1">
        <f ca="1">IF(A1147="","",IF(OR(L1147="ENTREGADA",L1147="RETORNADA",L1147="ENTREGA DIGITAL"),0,MAX(0,5-NETWORKDAYS(H1147+1,TODAY()))))</f>
        <v>0</v>
      </c>
      <c r="L1147" t="str">
        <f>IF(A1147="","",IFERROR(LOOKUP(2,1/(#REF!=Z1147),#REF!),Y1147))</f>
        <v>ENTREGA DIGITAL</v>
      </c>
      <c r="Y1147" t="s">
        <v>1396</v>
      </c>
      <c r="Z1147" t="str">
        <f>IF(A1147="","",TEXT(A1147,"0")&amp;"|"&amp;TEXT(H1147,"0"))</f>
        <v>4921017860632440|46133</v>
      </c>
      <c r="AA1147" t="str">
        <f>IF(Z1147="","",IFERROR(LOOKUP(2,1/(#REF!=Z1147),#REF!),""))</f>
        <v/>
      </c>
      <c r="AB1147" t="str">
        <f>IF(Z1147="","",IFERROR(LOOKUP(2,1/(#REF!=Z1147),#REF!),""))</f>
        <v/>
      </c>
      <c r="AC1147" t="e">
        <f>IF(Z1147="","",COUNTIF(#REF!,Z1147))</f>
        <v>#REF!</v>
      </c>
      <c r="AD1147" t="e">
        <f>IF(A1147="","",IF(AC1147&gt;1,"REVISAR DUPLICADO",IF(AA1147&lt;&gt;"","ACTUALIZADO POR EYR","SIN REPORTE EYR")))</f>
        <v>#REF!</v>
      </c>
    </row>
    <row r="1148" spans="1:30" x14ac:dyDescent="0.3">
      <c r="A1148" s="5" t="s">
        <v>2297</v>
      </c>
      <c r="B1148" t="s">
        <v>2296</v>
      </c>
      <c r="C1148" s="4" t="s">
        <v>2295</v>
      </c>
      <c r="D1148" t="s">
        <v>77</v>
      </c>
      <c r="F1148" t="s">
        <v>13</v>
      </c>
      <c r="G1148" s="3">
        <v>8295198041</v>
      </c>
      <c r="H1148" s="2">
        <v>46133</v>
      </c>
      <c r="K1148" s="1">
        <f ca="1">IF(A1148="","",IF(OR(L1148="ENTREGADA",L1148="RETORNADA",L1148="ENTREGA DIGITAL"),0,MAX(0,5-NETWORKDAYS(H1148+1,TODAY()))))</f>
        <v>0</v>
      </c>
      <c r="L1148" t="str">
        <f>IF(A1148="","",IFERROR(LOOKUP(2,1/(#REF!=Z1148),#REF!),Y1148))</f>
        <v>ENTREGA DIGITAL</v>
      </c>
      <c r="Y1148" t="s">
        <v>1396</v>
      </c>
      <c r="Z1148" t="str">
        <f>IF(A1148="","",TEXT(A1148,"0")&amp;"|"&amp;TEXT(H1148,"0"))</f>
        <v>4966017861147440|46133</v>
      </c>
      <c r="AA1148" t="str">
        <f>IF(Z1148="","",IFERROR(LOOKUP(2,1/(#REF!=Z1148),#REF!),""))</f>
        <v/>
      </c>
      <c r="AB1148" t="str">
        <f>IF(Z1148="","",IFERROR(LOOKUP(2,1/(#REF!=Z1148),#REF!),""))</f>
        <v/>
      </c>
      <c r="AC1148" t="e">
        <f>IF(Z1148="","",COUNTIF(#REF!,Z1148))</f>
        <v>#REF!</v>
      </c>
      <c r="AD1148" t="e">
        <f>IF(A1148="","",IF(AC1148&gt;1,"REVISAR DUPLICADO",IF(AA1148&lt;&gt;"","ACTUALIZADO POR EYR","SIN REPORTE EYR")))</f>
        <v>#REF!</v>
      </c>
    </row>
    <row r="1149" spans="1:30" x14ac:dyDescent="0.3">
      <c r="A1149" s="5" t="s">
        <v>2294</v>
      </c>
      <c r="B1149" t="s">
        <v>2293</v>
      </c>
      <c r="C1149" s="4" t="s">
        <v>2292</v>
      </c>
      <c r="D1149" t="s">
        <v>77</v>
      </c>
      <c r="E1149" t="s">
        <v>214</v>
      </c>
      <c r="F1149" t="s">
        <v>391</v>
      </c>
      <c r="G1149" s="3">
        <v>8098635319</v>
      </c>
      <c r="H1149" s="2">
        <v>46133</v>
      </c>
      <c r="I1149" t="s">
        <v>1397</v>
      </c>
      <c r="K1149" s="1">
        <f ca="1">IF(A1149="","",IF(OR(L1149="ENTREGADA",L1149="RETORNADA",L1149="ENTREGA DIGITAL"),0,MAX(0,5-NETWORKDAYS(H1149+1,TODAY()))))</f>
        <v>0</v>
      </c>
      <c r="L1149" t="str">
        <f>IF(A1149="","",IFERROR(LOOKUP(2,1/(#REF!=Z1149),#REF!),Y1149))</f>
        <v>ENTREGA DIGITAL</v>
      </c>
      <c r="Y1149" t="s">
        <v>1396</v>
      </c>
      <c r="Z1149" t="str">
        <f>IF(A1149="","",TEXT(A1149,"0")&amp;"|"&amp;TEXT(H1149,"0"))</f>
        <v>4921017862000020|46133</v>
      </c>
      <c r="AA1149" t="str">
        <f>IF(Z1149="","",IFERROR(LOOKUP(2,1/(#REF!=Z1149),#REF!),""))</f>
        <v/>
      </c>
      <c r="AB1149" t="str">
        <f>IF(Z1149="","",IFERROR(LOOKUP(2,1/(#REF!=Z1149),#REF!),""))</f>
        <v/>
      </c>
      <c r="AC1149" t="e">
        <f>IF(Z1149="","",COUNTIF(#REF!,Z1149))</f>
        <v>#REF!</v>
      </c>
      <c r="AD1149" t="e">
        <f>IF(A1149="","",IF(AC1149&gt;1,"REVISAR DUPLICADO",IF(AA1149&lt;&gt;"","ACTUALIZADO POR EYR","SIN REPORTE EYR")))</f>
        <v>#REF!</v>
      </c>
    </row>
    <row r="1150" spans="1:30" x14ac:dyDescent="0.3">
      <c r="A1150" s="5" t="s">
        <v>2291</v>
      </c>
      <c r="B1150" t="s">
        <v>1222</v>
      </c>
      <c r="C1150" s="4" t="s">
        <v>2290</v>
      </c>
      <c r="D1150" t="s">
        <v>77</v>
      </c>
      <c r="F1150" t="s">
        <v>13</v>
      </c>
      <c r="G1150" s="3">
        <v>8295157252</v>
      </c>
      <c r="H1150" s="2">
        <v>46133</v>
      </c>
      <c r="I1150" t="s">
        <v>1397</v>
      </c>
      <c r="K1150" s="1">
        <f ca="1">IF(A1150="","",IF(OR(L1150="ENTREGADA",L1150="RETORNADA",L1150="ENTREGA DIGITAL"),0,MAX(0,5-NETWORKDAYS(H1150+1,TODAY()))))</f>
        <v>0</v>
      </c>
      <c r="L1150" t="str">
        <f>IF(A1150="","",IFERROR(LOOKUP(2,1/(#REF!=Z1150),#REF!),Y1150))</f>
        <v>ENTREGA DIGITAL</v>
      </c>
      <c r="Y1150" t="s">
        <v>1396</v>
      </c>
      <c r="Z1150" t="str">
        <f>IF(A1150="","",TEXT(A1150,"0")&amp;"|"&amp;TEXT(H1150,"0"))</f>
        <v>5400017864677520|46133</v>
      </c>
      <c r="AA1150" t="str">
        <f>IF(Z1150="","",IFERROR(LOOKUP(2,1/(#REF!=Z1150),#REF!),""))</f>
        <v/>
      </c>
      <c r="AB1150" t="str">
        <f>IF(Z1150="","",IFERROR(LOOKUP(2,1/(#REF!=Z1150),#REF!),""))</f>
        <v/>
      </c>
      <c r="AC1150" t="e">
        <f>IF(Z1150="","",COUNTIF(#REF!,Z1150))</f>
        <v>#REF!</v>
      </c>
      <c r="AD1150" t="e">
        <f>IF(A1150="","",IF(AC1150&gt;1,"REVISAR DUPLICADO",IF(AA1150&lt;&gt;"","ACTUALIZADO POR EYR","SIN REPORTE EYR")))</f>
        <v>#REF!</v>
      </c>
    </row>
    <row r="1151" spans="1:30" x14ac:dyDescent="0.3">
      <c r="A1151" s="5" t="s">
        <v>2289</v>
      </c>
      <c r="B1151" t="s">
        <v>2288</v>
      </c>
      <c r="C1151" s="4" t="s">
        <v>2287</v>
      </c>
      <c r="D1151" t="s">
        <v>77</v>
      </c>
      <c r="F1151" t="s">
        <v>135</v>
      </c>
      <c r="G1151" s="3">
        <v>8292832182</v>
      </c>
      <c r="H1151" s="2">
        <v>46133</v>
      </c>
      <c r="I1151" t="s">
        <v>1397</v>
      </c>
      <c r="K1151" s="1">
        <f ca="1">IF(A1151="","",IF(OR(L1151="ENTREGADA",L1151="RETORNADA",L1151="ENTREGA DIGITAL"),0,MAX(0,5-NETWORKDAYS(H1151+1,TODAY()))))</f>
        <v>0</v>
      </c>
      <c r="L1151" t="str">
        <f>IF(A1151="","",IFERROR(LOOKUP(2,1/(#REF!=Z1151),#REF!),Y1151))</f>
        <v>ENTREGA DIGITAL</v>
      </c>
      <c r="Y1151" t="s">
        <v>1396</v>
      </c>
      <c r="Z1151" t="str">
        <f>IF(A1151="","",TEXT(A1151,"0")&amp;"|"&amp;TEXT(H1151,"0"))</f>
        <v>4966017861105380|46133</v>
      </c>
      <c r="AA1151" t="str">
        <f>IF(Z1151="","",IFERROR(LOOKUP(2,1/(#REF!=Z1151),#REF!),""))</f>
        <v/>
      </c>
      <c r="AB1151" t="str">
        <f>IF(Z1151="","",IFERROR(LOOKUP(2,1/(#REF!=Z1151),#REF!),""))</f>
        <v/>
      </c>
      <c r="AC1151" t="e">
        <f>IF(Z1151="","",COUNTIF(#REF!,Z1151))</f>
        <v>#REF!</v>
      </c>
      <c r="AD1151" t="e">
        <f>IF(A1151="","",IF(AC1151&gt;1,"REVISAR DUPLICADO",IF(AA1151&lt;&gt;"","ACTUALIZADO POR EYR","SIN REPORTE EYR")))</f>
        <v>#REF!</v>
      </c>
    </row>
    <row r="1152" spans="1:30" x14ac:dyDescent="0.3">
      <c r="A1152" s="5" t="s">
        <v>2286</v>
      </c>
      <c r="B1152" t="s">
        <v>2285</v>
      </c>
      <c r="C1152" s="4" t="s">
        <v>2284</v>
      </c>
      <c r="D1152" t="s">
        <v>77</v>
      </c>
      <c r="F1152" t="s">
        <v>13</v>
      </c>
      <c r="G1152" s="3">
        <v>8292064028</v>
      </c>
      <c r="H1152" s="2">
        <v>46133</v>
      </c>
      <c r="K1152" s="1">
        <f ca="1">IF(A1152="","",IF(OR(L1152="ENTREGADA",L1152="RETORNADA",L1152="ENTREGA DIGITAL"),0,MAX(0,5-NETWORKDAYS(H1152+1,TODAY()))))</f>
        <v>0</v>
      </c>
      <c r="L1152">
        <f>IF(A1152="","",IFERROR(LOOKUP(2,1/(#REF!=Z1152),#REF!),Y1152))</f>
        <v>0</v>
      </c>
      <c r="Z1152" t="str">
        <f>IF(A1152="","",TEXT(A1152,"0")&amp;"|"&amp;TEXT(H1152,"0"))</f>
        <v>5415017864588650|46133</v>
      </c>
      <c r="AA1152" t="str">
        <f>IF(Z1152="","",IFERROR(LOOKUP(2,1/(#REF!=Z1152),#REF!),""))</f>
        <v/>
      </c>
      <c r="AB1152" t="str">
        <f>IF(Z1152="","",IFERROR(LOOKUP(2,1/(#REF!=Z1152),#REF!),""))</f>
        <v/>
      </c>
      <c r="AC1152" t="e">
        <f>IF(Z1152="","",COUNTIF(#REF!,Z1152))</f>
        <v>#REF!</v>
      </c>
      <c r="AD1152" t="e">
        <f>IF(A1152="","",IF(AC1152&gt;1,"REVISAR DUPLICADO",IF(AA1152&lt;&gt;"","ACTUALIZADO POR EYR","SIN REPORTE EYR")))</f>
        <v>#REF!</v>
      </c>
    </row>
    <row r="1153" spans="1:30" x14ac:dyDescent="0.3">
      <c r="A1153" s="5" t="s">
        <v>2283</v>
      </c>
      <c r="B1153" t="s">
        <v>2282</v>
      </c>
      <c r="C1153" s="4" t="s">
        <v>2281</v>
      </c>
      <c r="D1153" t="s">
        <v>77</v>
      </c>
      <c r="F1153" t="s">
        <v>13</v>
      </c>
      <c r="G1153" s="3">
        <v>8093522095</v>
      </c>
      <c r="H1153" s="2">
        <v>46133</v>
      </c>
      <c r="K1153" s="1">
        <f ca="1">IF(A1153="","",IF(OR(L1153="ENTREGADA",L1153="RETORNADA",L1153="ENTREGA DIGITAL"),0,MAX(0,5-NETWORKDAYS(H1153+1,TODAY()))))</f>
        <v>0</v>
      </c>
      <c r="L1153">
        <f>IF(A1153="","",IFERROR(LOOKUP(2,1/(#REF!=Z1153),#REF!),Y1153))</f>
        <v>0</v>
      </c>
      <c r="Z1153" t="str">
        <f>IF(A1153="","",TEXT(A1153,"0")&amp;"|"&amp;TEXT(H1153,"0"))</f>
        <v>5188017868729580|46133</v>
      </c>
      <c r="AA1153" t="str">
        <f>IF(Z1153="","",IFERROR(LOOKUP(2,1/(#REF!=Z1153),#REF!),""))</f>
        <v/>
      </c>
      <c r="AB1153" t="str">
        <f>IF(Z1153="","",IFERROR(LOOKUP(2,1/(#REF!=Z1153),#REF!),""))</f>
        <v/>
      </c>
      <c r="AC1153" t="e">
        <f>IF(Z1153="","",COUNTIF(#REF!,Z1153))</f>
        <v>#REF!</v>
      </c>
      <c r="AD1153" t="e">
        <f>IF(A1153="","",IF(AC1153&gt;1,"REVISAR DUPLICADO",IF(AA1153&lt;&gt;"","ACTUALIZADO POR EYR","SIN REPORTE EYR")))</f>
        <v>#REF!</v>
      </c>
    </row>
    <row r="1154" spans="1:30" x14ac:dyDescent="0.3">
      <c r="A1154" s="5" t="s">
        <v>2280</v>
      </c>
      <c r="B1154" t="s">
        <v>2279</v>
      </c>
      <c r="C1154" s="4" t="s">
        <v>2278</v>
      </c>
      <c r="D1154" t="s">
        <v>77</v>
      </c>
      <c r="F1154" t="s">
        <v>13</v>
      </c>
      <c r="G1154" s="3">
        <v>8299831618</v>
      </c>
      <c r="H1154" s="2">
        <v>46133</v>
      </c>
      <c r="K1154" s="1">
        <f ca="1">IF(A1154="","",IF(OR(L1154="ENTREGADA",L1154="RETORNADA",L1154="ENTREGA DIGITAL"),0,MAX(0,5-NETWORKDAYS(H1154+1,TODAY()))))</f>
        <v>0</v>
      </c>
      <c r="L1154">
        <f>IF(A1154="","",IFERROR(LOOKUP(2,1/(#REF!=Z1154),#REF!),Y1154))</f>
        <v>0</v>
      </c>
      <c r="Z1154" t="str">
        <f>IF(A1154="","",TEXT(A1154,"0")&amp;"|"&amp;TEXT(H1154,"0"))</f>
        <v>5415017867633800|46133</v>
      </c>
      <c r="AA1154" t="str">
        <f>IF(Z1154="","",IFERROR(LOOKUP(2,1/(#REF!=Z1154),#REF!),""))</f>
        <v/>
      </c>
      <c r="AB1154" t="str">
        <f>IF(Z1154="","",IFERROR(LOOKUP(2,1/(#REF!=Z1154),#REF!),""))</f>
        <v/>
      </c>
      <c r="AC1154" t="e">
        <f>IF(Z1154="","",COUNTIF(#REF!,Z1154))</f>
        <v>#REF!</v>
      </c>
      <c r="AD1154" t="e">
        <f>IF(A1154="","",IF(AC1154&gt;1,"REVISAR DUPLICADO",IF(AA1154&lt;&gt;"","ACTUALIZADO POR EYR","SIN REPORTE EYR")))</f>
        <v>#REF!</v>
      </c>
    </row>
    <row r="1155" spans="1:30" x14ac:dyDescent="0.3">
      <c r="A1155" s="5" t="s">
        <v>2277</v>
      </c>
      <c r="B1155" t="s">
        <v>2276</v>
      </c>
      <c r="C1155" s="4" t="s">
        <v>2275</v>
      </c>
      <c r="D1155" t="s">
        <v>77</v>
      </c>
      <c r="F1155" t="s">
        <v>13</v>
      </c>
      <c r="G1155" s="3">
        <v>8297886093</v>
      </c>
      <c r="H1155" s="2">
        <v>46133</v>
      </c>
      <c r="K1155" s="1">
        <f ca="1">IF(A1155="","",IF(OR(L1155="ENTREGADA",L1155="RETORNADA",L1155="ENTREGA DIGITAL"),0,MAX(0,5-NETWORKDAYS(H1155+1,TODAY()))))</f>
        <v>0</v>
      </c>
      <c r="L1155">
        <f>IF(A1155="","",IFERROR(LOOKUP(2,1/(#REF!=Z1155),#REF!),Y1155))</f>
        <v>0</v>
      </c>
      <c r="Z1155" t="str">
        <f>IF(A1155="","",TEXT(A1155,"0")&amp;"|"&amp;TEXT(H1155,"0"))</f>
        <v>4025017870911570|46133</v>
      </c>
      <c r="AA1155" t="str">
        <f>IF(Z1155="","",IFERROR(LOOKUP(2,1/(#REF!=Z1155),#REF!),""))</f>
        <v/>
      </c>
      <c r="AB1155" t="str">
        <f>IF(Z1155="","",IFERROR(LOOKUP(2,1/(#REF!=Z1155),#REF!),""))</f>
        <v/>
      </c>
      <c r="AC1155" t="e">
        <f>IF(Z1155="","",COUNTIF(#REF!,Z1155))</f>
        <v>#REF!</v>
      </c>
      <c r="AD1155" t="e">
        <f>IF(A1155="","",IF(AC1155&gt;1,"REVISAR DUPLICADO",IF(AA1155&lt;&gt;"","ACTUALIZADO POR EYR","SIN REPORTE EYR")))</f>
        <v>#REF!</v>
      </c>
    </row>
    <row r="1156" spans="1:30" x14ac:dyDescent="0.3">
      <c r="A1156" s="5" t="s">
        <v>2274</v>
      </c>
      <c r="B1156" t="s">
        <v>2273</v>
      </c>
      <c r="C1156" s="4" t="s">
        <v>2272</v>
      </c>
      <c r="D1156" t="s">
        <v>77</v>
      </c>
      <c r="F1156" t="s">
        <v>13</v>
      </c>
      <c r="G1156" s="3">
        <v>8097988345</v>
      </c>
      <c r="H1156" s="2">
        <v>46133</v>
      </c>
      <c r="I1156" t="s">
        <v>1397</v>
      </c>
      <c r="K1156" s="1">
        <f ca="1">IF(A1156="","",IF(OR(L1156="ENTREGADA",L1156="RETORNADA",L1156="ENTREGA DIGITAL"),0,MAX(0,5-NETWORKDAYS(H1156+1,TODAY()))))</f>
        <v>0</v>
      </c>
      <c r="L1156" t="str">
        <f>IF(A1156="","",IFERROR(LOOKUP(2,1/(#REF!=Z1156),#REF!),Y1156))</f>
        <v>ENTREGA DIGITAL</v>
      </c>
      <c r="Y1156" t="s">
        <v>1396</v>
      </c>
      <c r="Z1156" t="str">
        <f>IF(A1156="","",TEXT(A1156,"0")&amp;"|"&amp;TEXT(H1156,"0"))</f>
        <v>4025017870907440|46133</v>
      </c>
      <c r="AA1156" t="str">
        <f>IF(Z1156="","",IFERROR(LOOKUP(2,1/(#REF!=Z1156),#REF!),""))</f>
        <v/>
      </c>
      <c r="AB1156" t="str">
        <f>IF(Z1156="","",IFERROR(LOOKUP(2,1/(#REF!=Z1156),#REF!),""))</f>
        <v/>
      </c>
      <c r="AC1156" t="e">
        <f>IF(Z1156="","",COUNTIF(#REF!,Z1156))</f>
        <v>#REF!</v>
      </c>
      <c r="AD1156" t="e">
        <f>IF(A1156="","",IF(AC1156&gt;1,"REVISAR DUPLICADO",IF(AA1156&lt;&gt;"","ACTUALIZADO POR EYR","SIN REPORTE EYR")))</f>
        <v>#REF!</v>
      </c>
    </row>
    <row r="1157" spans="1:30" x14ac:dyDescent="0.3">
      <c r="A1157" s="5" t="s">
        <v>2271</v>
      </c>
      <c r="B1157" t="s">
        <v>2270</v>
      </c>
      <c r="C1157" s="4" t="s">
        <v>2269</v>
      </c>
      <c r="D1157" t="s">
        <v>77</v>
      </c>
      <c r="F1157" t="s">
        <v>13</v>
      </c>
      <c r="G1157" s="3">
        <v>8097461020</v>
      </c>
      <c r="H1157" s="2">
        <v>46133</v>
      </c>
      <c r="K1157" s="1">
        <f ca="1">IF(A1157="","",IF(OR(L1157="ENTREGADA",L1157="RETORNADA",L1157="ENTREGA DIGITAL"),0,MAX(0,5-NETWORKDAYS(H1157+1,TODAY()))))</f>
        <v>0</v>
      </c>
      <c r="L1157" t="str">
        <f>IF(A1157="","",IFERROR(LOOKUP(2,1/(#REF!=Z1157),#REF!),Y1157))</f>
        <v>ENTREGA DIGITAL</v>
      </c>
      <c r="Y1157" t="s">
        <v>1396</v>
      </c>
      <c r="Z1157" t="str">
        <f>IF(A1157="","",TEXT(A1157,"0")&amp;"|"&amp;TEXT(H1157,"0"))</f>
        <v>5188017868858450|46133</v>
      </c>
      <c r="AA1157" t="str">
        <f>IF(Z1157="","",IFERROR(LOOKUP(2,1/(#REF!=Z1157),#REF!),""))</f>
        <v/>
      </c>
      <c r="AB1157" t="str">
        <f>IF(Z1157="","",IFERROR(LOOKUP(2,1/(#REF!=Z1157),#REF!),""))</f>
        <v/>
      </c>
      <c r="AC1157" t="e">
        <f>IF(Z1157="","",COUNTIF(#REF!,Z1157))</f>
        <v>#REF!</v>
      </c>
      <c r="AD1157" t="e">
        <f>IF(A1157="","",IF(AC1157&gt;1,"REVISAR DUPLICADO",IF(AA1157&lt;&gt;"","ACTUALIZADO POR EYR","SIN REPORTE EYR")))</f>
        <v>#REF!</v>
      </c>
    </row>
    <row r="1158" spans="1:30" x14ac:dyDescent="0.3">
      <c r="A1158" s="5" t="s">
        <v>2268</v>
      </c>
      <c r="B1158" t="s">
        <v>2267</v>
      </c>
      <c r="C1158" s="4" t="s">
        <v>2266</v>
      </c>
      <c r="D1158" t="s">
        <v>77</v>
      </c>
      <c r="F1158" t="s">
        <v>2265</v>
      </c>
      <c r="G1158" s="3">
        <v>8095045591</v>
      </c>
      <c r="H1158" s="2">
        <v>46133</v>
      </c>
      <c r="K1158" s="1">
        <f ca="1">IF(A1158="","",IF(OR(L1158="ENTREGADA",L1158="RETORNADA",L1158="ENTREGA DIGITAL"),0,MAX(0,5-NETWORKDAYS(H1158+1,TODAY()))))</f>
        <v>0</v>
      </c>
      <c r="L1158">
        <f>IF(A1158="","",IFERROR(LOOKUP(2,1/(#REF!=Z1158),#REF!),Y1158))</f>
        <v>0</v>
      </c>
      <c r="Z1158" t="str">
        <f>IF(A1158="","",TEXT(A1158,"0")&amp;"|"&amp;TEXT(H1158,"0"))</f>
        <v>5415017868246880|46133</v>
      </c>
      <c r="AA1158" t="str">
        <f>IF(Z1158="","",IFERROR(LOOKUP(2,1/(#REF!=Z1158),#REF!),""))</f>
        <v/>
      </c>
      <c r="AB1158" t="str">
        <f>IF(Z1158="","",IFERROR(LOOKUP(2,1/(#REF!=Z1158),#REF!),""))</f>
        <v/>
      </c>
      <c r="AC1158" t="e">
        <f>IF(Z1158="","",COUNTIF(#REF!,Z1158))</f>
        <v>#REF!</v>
      </c>
      <c r="AD1158" t="e">
        <f>IF(A1158="","",IF(AC1158&gt;1,"REVISAR DUPLICADO",IF(AA1158&lt;&gt;"","ACTUALIZADO POR EYR","SIN REPORTE EYR")))</f>
        <v>#REF!</v>
      </c>
    </row>
    <row r="1159" spans="1:30" x14ac:dyDescent="0.3">
      <c r="A1159" s="5" t="s">
        <v>2264</v>
      </c>
      <c r="B1159" t="s">
        <v>300</v>
      </c>
      <c r="C1159" s="4" t="s">
        <v>299</v>
      </c>
      <c r="D1159" t="s">
        <v>77</v>
      </c>
      <c r="F1159" t="s">
        <v>2263</v>
      </c>
      <c r="G1159" s="3">
        <v>8296911740</v>
      </c>
      <c r="H1159" s="2">
        <v>46133</v>
      </c>
      <c r="I1159" t="s">
        <v>1397</v>
      </c>
      <c r="K1159" s="1">
        <f ca="1">IF(A1159="","",IF(OR(L1159="ENTREGADA",L1159="RETORNADA",L1159="ENTREGA DIGITAL"),0,MAX(0,5-NETWORKDAYS(H1159+1,TODAY()))))</f>
        <v>0</v>
      </c>
      <c r="L1159" t="str">
        <f>IF(A1159="","",IFERROR(LOOKUP(2,1/(#REF!=Z1159),#REF!),Y1159))</f>
        <v>ENTREGA DIGITAL</v>
      </c>
      <c r="Y1159" t="s">
        <v>1396</v>
      </c>
      <c r="Z1159" t="str">
        <f>IF(A1159="","",TEXT(A1159,"0")&amp;"|"&amp;TEXT(H1159,"0"))</f>
        <v>4025017871025800|46133</v>
      </c>
      <c r="AA1159" t="str">
        <f>IF(Z1159="","",IFERROR(LOOKUP(2,1/(#REF!=Z1159),#REF!),""))</f>
        <v/>
      </c>
      <c r="AB1159" t="str">
        <f>IF(Z1159="","",IFERROR(LOOKUP(2,1/(#REF!=Z1159),#REF!),""))</f>
        <v/>
      </c>
      <c r="AC1159" t="e">
        <f>IF(Z1159="","",COUNTIF(#REF!,Z1159))</f>
        <v>#REF!</v>
      </c>
      <c r="AD1159" t="e">
        <f>IF(A1159="","",IF(AC1159&gt;1,"REVISAR DUPLICADO",IF(AA1159&lt;&gt;"","ACTUALIZADO POR EYR","SIN REPORTE EYR")))</f>
        <v>#REF!</v>
      </c>
    </row>
    <row r="1160" spans="1:30" x14ac:dyDescent="0.3">
      <c r="A1160" s="5" t="s">
        <v>2262</v>
      </c>
      <c r="B1160" t="s">
        <v>2261</v>
      </c>
      <c r="C1160" s="4" t="s">
        <v>2260</v>
      </c>
      <c r="D1160" t="s">
        <v>77</v>
      </c>
      <c r="F1160" t="s">
        <v>1432</v>
      </c>
      <c r="G1160" s="3">
        <v>8293979273</v>
      </c>
      <c r="H1160" s="2">
        <v>46133</v>
      </c>
      <c r="K1160" s="1">
        <f ca="1">IF(A1160="","",IF(OR(L1160="ENTREGADA",L1160="RETORNADA",L1160="ENTREGA DIGITAL"),0,MAX(0,5-NETWORKDAYS(H1160+1,TODAY()))))</f>
        <v>0</v>
      </c>
      <c r="L1160">
        <f>IF(A1160="","",IFERROR(LOOKUP(2,1/(#REF!=Z1160),#REF!),Y1160))</f>
        <v>0</v>
      </c>
      <c r="Z1160" t="str">
        <f>IF(A1160="","",TEXT(A1160,"0")&amp;"|"&amp;TEXT(H1160,"0"))</f>
        <v>5188017868743640|46133</v>
      </c>
      <c r="AA1160" t="str">
        <f>IF(Z1160="","",IFERROR(LOOKUP(2,1/(#REF!=Z1160),#REF!),""))</f>
        <v/>
      </c>
      <c r="AB1160" t="str">
        <f>IF(Z1160="","",IFERROR(LOOKUP(2,1/(#REF!=Z1160),#REF!),""))</f>
        <v/>
      </c>
      <c r="AC1160" t="e">
        <f>IF(Z1160="","",COUNTIF(#REF!,Z1160))</f>
        <v>#REF!</v>
      </c>
      <c r="AD1160" t="e">
        <f>IF(A1160="","",IF(AC1160&gt;1,"REVISAR DUPLICADO",IF(AA1160&lt;&gt;"","ACTUALIZADO POR EYR","SIN REPORTE EYR")))</f>
        <v>#REF!</v>
      </c>
    </row>
    <row r="1161" spans="1:30" x14ac:dyDescent="0.3">
      <c r="A1161" s="5" t="s">
        <v>2259</v>
      </c>
      <c r="B1161" t="s">
        <v>2258</v>
      </c>
      <c r="C1161" s="4" t="s">
        <v>2257</v>
      </c>
      <c r="D1161" t="s">
        <v>77</v>
      </c>
      <c r="F1161" t="s">
        <v>13</v>
      </c>
      <c r="G1161" s="3">
        <v>8092237776</v>
      </c>
      <c r="H1161" s="2">
        <v>46133</v>
      </c>
      <c r="K1161" s="1">
        <f ca="1">IF(A1161="","",IF(OR(L1161="ENTREGADA",L1161="RETORNADA",L1161="ENTREGA DIGITAL"),0,MAX(0,5-NETWORKDAYS(H1161+1,TODAY()))))</f>
        <v>0</v>
      </c>
      <c r="L1161" t="str">
        <f>IF(A1161="","",IFERROR(LOOKUP(2,1/(#REF!=Z1161),#REF!),Y1161))</f>
        <v>ENTREGA DIGITAL</v>
      </c>
      <c r="Y1161" t="s">
        <v>1396</v>
      </c>
      <c r="Z1161" t="str">
        <f>IF(A1161="","",TEXT(A1161,"0")&amp;"|"&amp;TEXT(H1161,"0"))</f>
        <v>4741017863814840|46133</v>
      </c>
      <c r="AA1161" t="str">
        <f>IF(Z1161="","",IFERROR(LOOKUP(2,1/(#REF!=Z1161),#REF!),""))</f>
        <v/>
      </c>
      <c r="AB1161" t="str">
        <f>IF(Z1161="","",IFERROR(LOOKUP(2,1/(#REF!=Z1161),#REF!),""))</f>
        <v/>
      </c>
      <c r="AC1161" t="e">
        <f>IF(Z1161="","",COUNTIF(#REF!,Z1161))</f>
        <v>#REF!</v>
      </c>
      <c r="AD1161" t="e">
        <f>IF(A1161="","",IF(AC1161&gt;1,"REVISAR DUPLICADO",IF(AA1161&lt;&gt;"","ACTUALIZADO POR EYR","SIN REPORTE EYR")))</f>
        <v>#REF!</v>
      </c>
    </row>
    <row r="1162" spans="1:30" x14ac:dyDescent="0.3">
      <c r="A1162" s="5" t="s">
        <v>2256</v>
      </c>
      <c r="B1162" t="s">
        <v>2255</v>
      </c>
      <c r="C1162" s="4" t="s">
        <v>2254</v>
      </c>
      <c r="D1162" t="s">
        <v>77</v>
      </c>
      <c r="F1162" t="s">
        <v>2253</v>
      </c>
      <c r="G1162" s="3">
        <v>8095540000</v>
      </c>
      <c r="H1162" s="2">
        <v>46133</v>
      </c>
      <c r="K1162" s="1">
        <f ca="1">IF(A1162="","",IF(OR(L1162="ENTREGADA",L1162="RETORNADA",L1162="ENTREGA DIGITAL"),0,MAX(0,5-NETWORKDAYS(H1162+1,TODAY()))))</f>
        <v>0</v>
      </c>
      <c r="L1162" t="str">
        <f>IF(A1162="","",IFERROR(LOOKUP(2,1/(#REF!=Z1162),#REF!),Y1162))</f>
        <v>ENTREGA DIGITAL</v>
      </c>
      <c r="Y1162" t="s">
        <v>1396</v>
      </c>
      <c r="Z1162" t="str">
        <f>IF(A1162="","",TEXT(A1162,"0")&amp;"|"&amp;TEXT(H1162,"0"))</f>
        <v>4741017866026170|46133</v>
      </c>
      <c r="AA1162" t="str">
        <f>IF(Z1162="","",IFERROR(LOOKUP(2,1/(#REF!=Z1162),#REF!),""))</f>
        <v/>
      </c>
      <c r="AB1162" t="str">
        <f>IF(Z1162="","",IFERROR(LOOKUP(2,1/(#REF!=Z1162),#REF!),""))</f>
        <v/>
      </c>
      <c r="AC1162" t="e">
        <f>IF(Z1162="","",COUNTIF(#REF!,Z1162))</f>
        <v>#REF!</v>
      </c>
      <c r="AD1162" t="e">
        <f>IF(A1162="","",IF(AC1162&gt;1,"REVISAR DUPLICADO",IF(AA1162&lt;&gt;"","ACTUALIZADO POR EYR","SIN REPORTE EYR")))</f>
        <v>#REF!</v>
      </c>
    </row>
    <row r="1163" spans="1:30" x14ac:dyDescent="0.3">
      <c r="A1163" s="5" t="s">
        <v>2252</v>
      </c>
      <c r="B1163" t="s">
        <v>2251</v>
      </c>
      <c r="C1163" s="4" t="s">
        <v>2250</v>
      </c>
      <c r="D1163" t="s">
        <v>1</v>
      </c>
      <c r="F1163" t="s">
        <v>9</v>
      </c>
      <c r="G1163" s="3">
        <v>8098479599</v>
      </c>
      <c r="H1163" s="2">
        <v>46133</v>
      </c>
      <c r="K1163" s="1">
        <f ca="1">IF(A1163="","",IF(OR(L1163="ENTREGADA",L1163="RETORNADA",L1163="ENTREGA DIGITAL"),0,MAX(0,5-NETWORKDAYS(H1163+1,TODAY()))))</f>
        <v>0</v>
      </c>
      <c r="L1163">
        <f>IF(A1163="","",IFERROR(LOOKUP(2,1/(#REF!=Z1163),#REF!),Y1163))</f>
        <v>0</v>
      </c>
      <c r="Z1163" t="str">
        <f>IF(A1163="","",TEXT(A1163,"0")&amp;"|"&amp;TEXT(H1163,"0"))</f>
        <v>4921017870227410|46133</v>
      </c>
      <c r="AA1163" t="str">
        <f>IF(Z1163="","",IFERROR(LOOKUP(2,1/(#REF!=Z1163),#REF!),""))</f>
        <v/>
      </c>
      <c r="AB1163" t="str">
        <f>IF(Z1163="","",IFERROR(LOOKUP(2,1/(#REF!=Z1163),#REF!),""))</f>
        <v/>
      </c>
      <c r="AC1163" t="e">
        <f>IF(Z1163="","",COUNTIF(#REF!,Z1163))</f>
        <v>#REF!</v>
      </c>
      <c r="AD1163" t="e">
        <f>IF(A1163="","",IF(AC1163&gt;1,"REVISAR DUPLICADO",IF(AA1163&lt;&gt;"","ACTUALIZADO POR EYR","SIN REPORTE EYR")))</f>
        <v>#REF!</v>
      </c>
    </row>
    <row r="1164" spans="1:30" x14ac:dyDescent="0.3">
      <c r="A1164" s="5" t="s">
        <v>2249</v>
      </c>
      <c r="B1164" t="s">
        <v>2248</v>
      </c>
      <c r="C1164" s="4" t="s">
        <v>2247</v>
      </c>
      <c r="D1164" t="s">
        <v>1</v>
      </c>
      <c r="F1164" t="s">
        <v>13</v>
      </c>
      <c r="G1164" s="3">
        <v>8099662047</v>
      </c>
      <c r="H1164" s="2">
        <v>46133</v>
      </c>
      <c r="K1164" s="1">
        <f ca="1">IF(A1164="","",IF(OR(L1164="ENTREGADA",L1164="RETORNADA",L1164="ENTREGA DIGITAL"),0,MAX(0,5-NETWORKDAYS(H1164+1,TODAY()))))</f>
        <v>0</v>
      </c>
      <c r="L1164">
        <f>IF(A1164="","",IFERROR(LOOKUP(2,1/(#REF!=Z1164),#REF!),Y1164))</f>
        <v>0</v>
      </c>
      <c r="Z1164" t="str">
        <f>IF(A1164="","",TEXT(A1164,"0")&amp;"|"&amp;TEXT(H1164,"0"))</f>
        <v>5415017743875040|46133</v>
      </c>
      <c r="AA1164" t="str">
        <f>IF(Z1164="","",IFERROR(LOOKUP(2,1/(#REF!=Z1164),#REF!),""))</f>
        <v/>
      </c>
      <c r="AB1164" t="str">
        <f>IF(Z1164="","",IFERROR(LOOKUP(2,1/(#REF!=Z1164),#REF!),""))</f>
        <v/>
      </c>
      <c r="AC1164" t="e">
        <f>IF(Z1164="","",COUNTIF(#REF!,Z1164))</f>
        <v>#REF!</v>
      </c>
      <c r="AD1164" t="e">
        <f>IF(A1164="","",IF(AC1164&gt;1,"REVISAR DUPLICADO",IF(AA1164&lt;&gt;"","ACTUALIZADO POR EYR","SIN REPORTE EYR")))</f>
        <v>#REF!</v>
      </c>
    </row>
    <row r="1165" spans="1:30" x14ac:dyDescent="0.3">
      <c r="A1165" s="5" t="s">
        <v>2246</v>
      </c>
      <c r="B1165" t="s">
        <v>2245</v>
      </c>
      <c r="C1165" s="4" t="s">
        <v>2244</v>
      </c>
      <c r="D1165" t="s">
        <v>1</v>
      </c>
      <c r="F1165" t="s">
        <v>0</v>
      </c>
      <c r="G1165" s="3">
        <v>8498861130</v>
      </c>
      <c r="H1165" s="2">
        <v>46133</v>
      </c>
      <c r="K1165" s="1">
        <f ca="1">IF(A1165="","",IF(OR(L1165="ENTREGADA",L1165="RETORNADA",L1165="ENTREGA DIGITAL"),0,MAX(0,5-NETWORKDAYS(H1165+1,TODAY()))))</f>
        <v>0</v>
      </c>
      <c r="L1165" t="str">
        <f>IF(A1165="","",IFERROR(LOOKUP(2,1/(#REF!=Z1165),#REF!),Y1165))</f>
        <v>ENTREGA DIGITAL</v>
      </c>
      <c r="Y1165" t="s">
        <v>1396</v>
      </c>
      <c r="Z1165" t="str">
        <f>IF(A1165="","",TEXT(A1165,"0")&amp;"|"&amp;TEXT(H1165,"0"))</f>
        <v>4921017862461730|46133</v>
      </c>
      <c r="AA1165" t="str">
        <f>IF(Z1165="","",IFERROR(LOOKUP(2,1/(#REF!=Z1165),#REF!),""))</f>
        <v/>
      </c>
      <c r="AB1165" t="str">
        <f>IF(Z1165="","",IFERROR(LOOKUP(2,1/(#REF!=Z1165),#REF!),""))</f>
        <v/>
      </c>
      <c r="AC1165" t="e">
        <f>IF(Z1165="","",COUNTIF(#REF!,Z1165))</f>
        <v>#REF!</v>
      </c>
      <c r="AD1165" t="e">
        <f>IF(A1165="","",IF(AC1165&gt;1,"REVISAR DUPLICADO",IF(AA1165&lt;&gt;"","ACTUALIZADO POR EYR","SIN REPORTE EYR")))</f>
        <v>#REF!</v>
      </c>
    </row>
    <row r="1166" spans="1:30" x14ac:dyDescent="0.3">
      <c r="A1166" s="5" t="s">
        <v>2243</v>
      </c>
      <c r="B1166" t="s">
        <v>2242</v>
      </c>
      <c r="C1166" s="4" t="s">
        <v>2241</v>
      </c>
      <c r="D1166" t="s">
        <v>1</v>
      </c>
      <c r="F1166" t="s">
        <v>9</v>
      </c>
      <c r="G1166" s="3">
        <v>8098612703</v>
      </c>
      <c r="H1166" s="2">
        <v>46133</v>
      </c>
      <c r="K1166" s="1">
        <f ca="1">IF(A1166="","",IF(OR(L1166="ENTREGADA",L1166="RETORNADA",L1166="ENTREGA DIGITAL"),0,MAX(0,5-NETWORKDAYS(H1166+1,TODAY()))))</f>
        <v>0</v>
      </c>
      <c r="L1166" t="str">
        <f>IF(A1166="","",IFERROR(LOOKUP(2,1/(#REF!=Z1166),#REF!),Y1166))</f>
        <v>ENTREGA DIGITAL</v>
      </c>
      <c r="Y1166" t="s">
        <v>1396</v>
      </c>
      <c r="Z1166" t="str">
        <f>IF(A1166="","",TEXT(A1166,"0")&amp;"|"&amp;TEXT(H1166,"0"))</f>
        <v>4921017865458770|46133</v>
      </c>
      <c r="AA1166" t="str">
        <f>IF(Z1166="","",IFERROR(LOOKUP(2,1/(#REF!=Z1166),#REF!),""))</f>
        <v/>
      </c>
      <c r="AB1166" t="str">
        <f>IF(Z1166="","",IFERROR(LOOKUP(2,1/(#REF!=Z1166),#REF!),""))</f>
        <v/>
      </c>
      <c r="AC1166" t="e">
        <f>IF(Z1166="","",COUNTIF(#REF!,Z1166))</f>
        <v>#REF!</v>
      </c>
      <c r="AD1166" t="e">
        <f>IF(A1166="","",IF(AC1166&gt;1,"REVISAR DUPLICADO",IF(AA1166&lt;&gt;"","ACTUALIZADO POR EYR","SIN REPORTE EYR")))</f>
        <v>#REF!</v>
      </c>
    </row>
    <row r="1167" spans="1:30" x14ac:dyDescent="0.3">
      <c r="A1167" s="5" t="s">
        <v>2240</v>
      </c>
      <c r="B1167" s="7" t="s">
        <v>2239</v>
      </c>
      <c r="C1167" s="4" t="s">
        <v>2238</v>
      </c>
      <c r="D1167" t="s">
        <v>1</v>
      </c>
      <c r="F1167" t="s">
        <v>2237</v>
      </c>
      <c r="G1167" s="3">
        <v>8298212537</v>
      </c>
      <c r="H1167" s="2">
        <v>46133</v>
      </c>
      <c r="K1167" s="1">
        <f ca="1">IF(A1167="","",IF(OR(L1167="ENTREGADA",L1167="RETORNADA",L1167="ENTREGA DIGITAL"),0,MAX(0,5-NETWORKDAYS(H1167+1,TODAY()))))</f>
        <v>0</v>
      </c>
      <c r="L1167">
        <f>IF(A1167="","",IFERROR(LOOKUP(2,1/(#REF!=Z1167),#REF!),Y1167))</f>
        <v>0</v>
      </c>
      <c r="Z1167" t="str">
        <f>IF(A1167="","",TEXT(A1167,"0")&amp;"|"&amp;TEXT(H1167,"0"))</f>
        <v>4921017861758460|46133</v>
      </c>
      <c r="AA1167" t="str">
        <f>IF(Z1167="","",IFERROR(LOOKUP(2,1/(#REF!=Z1167),#REF!),""))</f>
        <v/>
      </c>
      <c r="AB1167" t="str">
        <f>IF(Z1167="","",IFERROR(LOOKUP(2,1/(#REF!=Z1167),#REF!),""))</f>
        <v/>
      </c>
      <c r="AC1167" t="e">
        <f>IF(Z1167="","",COUNTIF(#REF!,Z1167))</f>
        <v>#REF!</v>
      </c>
      <c r="AD1167" t="e">
        <f>IF(A1167="","",IF(AC1167&gt;1,"REVISAR DUPLICADO",IF(AA1167&lt;&gt;"","ACTUALIZADO POR EYR","SIN REPORTE EYR")))</f>
        <v>#REF!</v>
      </c>
    </row>
    <row r="1168" spans="1:30" x14ac:dyDescent="0.3">
      <c r="A1168" s="5" t="s">
        <v>2236</v>
      </c>
      <c r="B1168" t="s">
        <v>2235</v>
      </c>
      <c r="C1168" s="4" t="s">
        <v>2234</v>
      </c>
      <c r="D1168" t="s">
        <v>1</v>
      </c>
      <c r="F1168" t="s">
        <v>13</v>
      </c>
      <c r="G1168" s="3">
        <v>8293343743</v>
      </c>
      <c r="H1168" s="2">
        <v>46133</v>
      </c>
      <c r="K1168" s="1">
        <f ca="1">IF(A1168="","",IF(OR(L1168="ENTREGADA",L1168="RETORNADA",L1168="ENTREGA DIGITAL"),0,MAX(0,5-NETWORKDAYS(H1168+1,TODAY()))))</f>
        <v>0</v>
      </c>
      <c r="L1168">
        <f>IF(A1168="","",IFERROR(LOOKUP(2,1/(#REF!=Z1168),#REF!),Y1168))</f>
        <v>0</v>
      </c>
      <c r="Z1168" t="str">
        <f>IF(A1168="","",TEXT(A1168,"0")&amp;"|"&amp;TEXT(H1168,"0"))</f>
        <v>5400017868477580|46133</v>
      </c>
      <c r="AA1168" t="str">
        <f>IF(Z1168="","",IFERROR(LOOKUP(2,1/(#REF!=Z1168),#REF!),""))</f>
        <v/>
      </c>
      <c r="AB1168" t="str">
        <f>IF(Z1168="","",IFERROR(LOOKUP(2,1/(#REF!=Z1168),#REF!),""))</f>
        <v/>
      </c>
      <c r="AC1168" t="e">
        <f>IF(Z1168="","",COUNTIF(#REF!,Z1168))</f>
        <v>#REF!</v>
      </c>
      <c r="AD1168" t="e">
        <f>IF(A1168="","",IF(AC1168&gt;1,"REVISAR DUPLICADO",IF(AA1168&lt;&gt;"","ACTUALIZADO POR EYR","SIN REPORTE EYR")))</f>
        <v>#REF!</v>
      </c>
    </row>
    <row r="1169" spans="1:30" x14ac:dyDescent="0.3">
      <c r="A1169" s="5" t="s">
        <v>2233</v>
      </c>
      <c r="B1169" t="s">
        <v>2232</v>
      </c>
      <c r="C1169" s="4" t="s">
        <v>2231</v>
      </c>
      <c r="D1169" t="s">
        <v>1</v>
      </c>
      <c r="E1169" t="s">
        <v>214</v>
      </c>
      <c r="F1169" t="s">
        <v>423</v>
      </c>
      <c r="G1169" s="3">
        <v>8493544938</v>
      </c>
      <c r="H1169" s="2">
        <v>46133</v>
      </c>
      <c r="K1169" s="1">
        <f ca="1">IF(A1169="","",IF(OR(L1169="ENTREGADA",L1169="RETORNADA",L1169="ENTREGA DIGITAL"),0,MAX(0,5-NETWORKDAYS(H1169+1,TODAY()))))</f>
        <v>0</v>
      </c>
      <c r="L1169">
        <f>IF(A1169="","",IFERROR(LOOKUP(2,1/(#REF!=Z1169),#REF!),Y1169))</f>
        <v>0</v>
      </c>
      <c r="Z1169" t="str">
        <f>IF(A1169="","",TEXT(A1169,"0")&amp;"|"&amp;TEXT(H1169,"0"))</f>
        <v>4921017869651720|46133</v>
      </c>
      <c r="AA1169" t="str">
        <f>IF(Z1169="","",IFERROR(LOOKUP(2,1/(#REF!=Z1169),#REF!),""))</f>
        <v/>
      </c>
      <c r="AB1169" t="str">
        <f>IF(Z1169="","",IFERROR(LOOKUP(2,1/(#REF!=Z1169),#REF!),""))</f>
        <v/>
      </c>
      <c r="AC1169" t="e">
        <f>IF(Z1169="","",COUNTIF(#REF!,Z1169))</f>
        <v>#REF!</v>
      </c>
      <c r="AD1169" t="e">
        <f>IF(A1169="","",IF(AC1169&gt;1,"REVISAR DUPLICADO",IF(AA1169&lt;&gt;"","ACTUALIZADO POR EYR","SIN REPORTE EYR")))</f>
        <v>#REF!</v>
      </c>
    </row>
    <row r="1170" spans="1:30" x14ac:dyDescent="0.3">
      <c r="A1170" s="5" t="s">
        <v>2230</v>
      </c>
      <c r="B1170" t="s">
        <v>2229</v>
      </c>
      <c r="C1170" s="4" t="s">
        <v>2228</v>
      </c>
      <c r="D1170" t="s">
        <v>1</v>
      </c>
      <c r="F1170" t="s">
        <v>2227</v>
      </c>
      <c r="G1170" s="3">
        <v>8296280338</v>
      </c>
      <c r="H1170" s="2">
        <v>46133</v>
      </c>
      <c r="I1170" t="s">
        <v>1397</v>
      </c>
      <c r="K1170" s="1">
        <f ca="1">IF(A1170="","",IF(OR(L1170="ENTREGADA",L1170="RETORNADA",L1170="ENTREGA DIGITAL"),0,MAX(0,5-NETWORKDAYS(H1170+1,TODAY()))))</f>
        <v>0</v>
      </c>
      <c r="L1170" t="str">
        <f>IF(A1170="","",IFERROR(LOOKUP(2,1/(#REF!=Z1170),#REF!),Y1170))</f>
        <v>ENTREGA DIGITAL</v>
      </c>
      <c r="Y1170" t="s">
        <v>1396</v>
      </c>
      <c r="Z1170" t="str">
        <f>IF(A1170="","",TEXT(A1170,"0")&amp;"|"&amp;TEXT(H1170,"0"))</f>
        <v>4921017877360020|46133</v>
      </c>
      <c r="AA1170" t="str">
        <f>IF(Z1170="","",IFERROR(LOOKUP(2,1/(#REF!=Z1170),#REF!),""))</f>
        <v/>
      </c>
      <c r="AB1170" t="str">
        <f>IF(Z1170="","",IFERROR(LOOKUP(2,1/(#REF!=Z1170),#REF!),""))</f>
        <v/>
      </c>
      <c r="AC1170" t="e">
        <f>IF(Z1170="","",COUNTIF(#REF!,Z1170))</f>
        <v>#REF!</v>
      </c>
      <c r="AD1170" t="e">
        <f>IF(A1170="","",IF(AC1170&gt;1,"REVISAR DUPLICADO",IF(AA1170&lt;&gt;"","ACTUALIZADO POR EYR","SIN REPORTE EYR")))</f>
        <v>#REF!</v>
      </c>
    </row>
    <row r="1171" spans="1:30" x14ac:dyDescent="0.3">
      <c r="A1171" s="5" t="s">
        <v>2226</v>
      </c>
      <c r="B1171" t="s">
        <v>2225</v>
      </c>
      <c r="C1171" s="4" t="s">
        <v>2224</v>
      </c>
      <c r="D1171" t="s">
        <v>1</v>
      </c>
      <c r="F1171" t="s">
        <v>13</v>
      </c>
      <c r="G1171" s="3">
        <v>8095295685</v>
      </c>
      <c r="H1171" s="2">
        <v>46133</v>
      </c>
      <c r="K1171" s="1">
        <f ca="1">IF(A1171="","",IF(OR(L1171="ENTREGADA",L1171="RETORNADA",L1171="ENTREGA DIGITAL"),0,MAX(0,5-NETWORKDAYS(H1171+1,TODAY()))))</f>
        <v>0</v>
      </c>
      <c r="L1171">
        <f>IF(A1171="","",IFERROR(LOOKUP(2,1/(#REF!=Z1171),#REF!),Y1171))</f>
        <v>0</v>
      </c>
      <c r="Z1171" t="str">
        <f>IF(A1171="","",TEXT(A1171,"0")&amp;"|"&amp;TEXT(H1171,"0"))</f>
        <v>5415017872447010|46133</v>
      </c>
      <c r="AA1171" t="str">
        <f>IF(Z1171="","",IFERROR(LOOKUP(2,1/(#REF!=Z1171),#REF!),""))</f>
        <v/>
      </c>
      <c r="AB1171" t="str">
        <f>IF(Z1171="","",IFERROR(LOOKUP(2,1/(#REF!=Z1171),#REF!),""))</f>
        <v/>
      </c>
      <c r="AC1171" t="e">
        <f>IF(Z1171="","",COUNTIF(#REF!,Z1171))</f>
        <v>#REF!</v>
      </c>
      <c r="AD1171" t="e">
        <f>IF(A1171="","",IF(AC1171&gt;1,"REVISAR DUPLICADO",IF(AA1171&lt;&gt;"","ACTUALIZADO POR EYR","SIN REPORTE EYR")))</f>
        <v>#REF!</v>
      </c>
    </row>
    <row r="1172" spans="1:30" x14ac:dyDescent="0.3">
      <c r="A1172" s="5" t="s">
        <v>2223</v>
      </c>
      <c r="B1172" t="s">
        <v>2222</v>
      </c>
      <c r="C1172" s="4" t="s">
        <v>2221</v>
      </c>
      <c r="D1172" t="s">
        <v>1</v>
      </c>
      <c r="F1172" t="s">
        <v>13</v>
      </c>
      <c r="G1172" s="3">
        <v>8298678316</v>
      </c>
      <c r="H1172" s="2">
        <v>46133</v>
      </c>
      <c r="K1172" s="1">
        <f ca="1">IF(A1172="","",IF(OR(L1172="ENTREGADA",L1172="RETORNADA",L1172="ENTREGA DIGITAL"),0,MAX(0,5-NETWORKDAYS(H1172+1,TODAY()))))</f>
        <v>0</v>
      </c>
      <c r="L1172" t="str">
        <f>IF(A1172="","",IFERROR(LOOKUP(2,1/(#REF!=Z1172),#REF!),Y1172))</f>
        <v>ENTREGA DIGITAL</v>
      </c>
      <c r="Y1172" t="s">
        <v>1396</v>
      </c>
      <c r="Z1172" t="str">
        <f>IF(A1172="","",TEXT(A1172,"0")&amp;"|"&amp;TEXT(H1172,"0"))</f>
        <v>5415017872466570|46133</v>
      </c>
      <c r="AA1172" t="str">
        <f>IF(Z1172="","",IFERROR(LOOKUP(2,1/(#REF!=Z1172),#REF!),""))</f>
        <v/>
      </c>
      <c r="AB1172" t="str">
        <f>IF(Z1172="","",IFERROR(LOOKUP(2,1/(#REF!=Z1172),#REF!),""))</f>
        <v/>
      </c>
      <c r="AC1172" t="e">
        <f>IF(Z1172="","",COUNTIF(#REF!,Z1172))</f>
        <v>#REF!</v>
      </c>
      <c r="AD1172" t="e">
        <f>IF(A1172="","",IF(AC1172&gt;1,"REVISAR DUPLICADO",IF(AA1172&lt;&gt;"","ACTUALIZADO POR EYR","SIN REPORTE EYR")))</f>
        <v>#REF!</v>
      </c>
    </row>
    <row r="1173" spans="1:30" x14ac:dyDescent="0.3">
      <c r="A1173" s="5" t="s">
        <v>2220</v>
      </c>
      <c r="B1173" t="s">
        <v>2219</v>
      </c>
      <c r="C1173" s="4" t="s">
        <v>2218</v>
      </c>
      <c r="D1173" t="s">
        <v>1</v>
      </c>
      <c r="F1173" t="s">
        <v>9</v>
      </c>
      <c r="G1173" s="3">
        <v>8296616546</v>
      </c>
      <c r="H1173" s="2">
        <v>46133</v>
      </c>
      <c r="K1173" s="1">
        <f ca="1">IF(A1173="","",IF(OR(L1173="ENTREGADA",L1173="RETORNADA",L1173="ENTREGA DIGITAL"),0,MAX(0,5-NETWORKDAYS(H1173+1,TODAY()))))</f>
        <v>0</v>
      </c>
      <c r="L1173" t="str">
        <f>IF(A1173="","",IFERROR(LOOKUP(2,1/(#REF!=Z1173),#REF!),Y1173))</f>
        <v>ENTREGA DIGITAL</v>
      </c>
      <c r="Y1173" t="s">
        <v>1396</v>
      </c>
      <c r="Z1173" t="str">
        <f>IF(A1173="","",TEXT(A1173,"0")&amp;"|"&amp;TEXT(H1173,"0"))</f>
        <v>5188017873603310|46133</v>
      </c>
      <c r="AA1173" t="str">
        <f>IF(Z1173="","",IFERROR(LOOKUP(2,1/(#REF!=Z1173),#REF!),""))</f>
        <v/>
      </c>
      <c r="AB1173" t="str">
        <f>IF(Z1173="","",IFERROR(LOOKUP(2,1/(#REF!=Z1173),#REF!),""))</f>
        <v/>
      </c>
      <c r="AC1173" t="e">
        <f>IF(Z1173="","",COUNTIF(#REF!,Z1173))</f>
        <v>#REF!</v>
      </c>
      <c r="AD1173" t="e">
        <f>IF(A1173="","",IF(AC1173&gt;1,"REVISAR DUPLICADO",IF(AA1173&lt;&gt;"","ACTUALIZADO POR EYR","SIN REPORTE EYR")))</f>
        <v>#REF!</v>
      </c>
    </row>
    <row r="1174" spans="1:30" x14ac:dyDescent="0.3">
      <c r="A1174" s="5" t="s">
        <v>2217</v>
      </c>
      <c r="B1174" t="s">
        <v>2216</v>
      </c>
      <c r="C1174" s="4" t="s">
        <v>2215</v>
      </c>
      <c r="D1174" t="s">
        <v>1</v>
      </c>
      <c r="F1174" t="s">
        <v>9</v>
      </c>
      <c r="G1174" s="3">
        <v>8298399632</v>
      </c>
      <c r="H1174" s="2">
        <v>46133</v>
      </c>
      <c r="K1174" s="1">
        <f ca="1">IF(A1174="","",IF(OR(L1174="ENTREGADA",L1174="RETORNADA",L1174="ENTREGA DIGITAL"),0,MAX(0,5-NETWORKDAYS(H1174+1,TODAY()))))</f>
        <v>0</v>
      </c>
      <c r="L1174" t="str">
        <f>IF(A1174="","",IFERROR(LOOKUP(2,1/(#REF!=Z1174),#REF!),Y1174))</f>
        <v>RETORNADA</v>
      </c>
      <c r="Y1174" t="s">
        <v>1857</v>
      </c>
      <c r="Z1174" t="str">
        <f>IF(A1174="","",TEXT(A1174,"0")&amp;"|"&amp;TEXT(H1174,"0"))</f>
        <v>5188017873786540|46133</v>
      </c>
      <c r="AA1174" t="str">
        <f>IF(Z1174="","",IFERROR(LOOKUP(2,1/(#REF!=Z1174),#REF!),""))</f>
        <v/>
      </c>
      <c r="AB1174" t="str">
        <f>IF(Z1174="","",IFERROR(LOOKUP(2,1/(#REF!=Z1174),#REF!),""))</f>
        <v/>
      </c>
      <c r="AC1174" t="e">
        <f>IF(Z1174="","",COUNTIF(#REF!,Z1174))</f>
        <v>#REF!</v>
      </c>
      <c r="AD1174" t="e">
        <f>IF(A1174="","",IF(AC1174&gt;1,"REVISAR DUPLICADO",IF(AA1174&lt;&gt;"","ACTUALIZADO POR EYR","SIN REPORTE EYR")))</f>
        <v>#REF!</v>
      </c>
    </row>
    <row r="1175" spans="1:30" x14ac:dyDescent="0.3">
      <c r="A1175" s="5" t="s">
        <v>2214</v>
      </c>
      <c r="B1175" t="s">
        <v>2213</v>
      </c>
      <c r="C1175" s="4" t="s">
        <v>2212</v>
      </c>
      <c r="D1175" t="s">
        <v>1</v>
      </c>
      <c r="E1175" t="s">
        <v>214</v>
      </c>
      <c r="F1175" t="s">
        <v>648</v>
      </c>
      <c r="G1175" s="3">
        <v>8099070231</v>
      </c>
      <c r="H1175" s="2">
        <v>46133</v>
      </c>
      <c r="K1175" s="1">
        <f ca="1">IF(A1175="","",IF(OR(L1175="ENTREGADA",L1175="RETORNADA",L1175="ENTREGA DIGITAL"),0,MAX(0,5-NETWORKDAYS(H1175+1,TODAY()))))</f>
        <v>0</v>
      </c>
      <c r="L1175" t="str">
        <f>IF(A1175="","",IFERROR(LOOKUP(2,1/(#REF!=Z1175),#REF!),Y1175))</f>
        <v>ENTREGA DIGITAL</v>
      </c>
      <c r="Y1175" t="s">
        <v>1396</v>
      </c>
      <c r="Z1175" t="str">
        <f>IF(A1175="","",TEXT(A1175,"0")&amp;"|"&amp;TEXT(H1175,"0"))</f>
        <v>4921017876419680|46133</v>
      </c>
      <c r="AA1175" t="str">
        <f>IF(Z1175="","",IFERROR(LOOKUP(2,1/(#REF!=Z1175),#REF!),""))</f>
        <v/>
      </c>
      <c r="AB1175" t="str">
        <f>IF(Z1175="","",IFERROR(LOOKUP(2,1/(#REF!=Z1175),#REF!),""))</f>
        <v/>
      </c>
      <c r="AC1175" t="e">
        <f>IF(Z1175="","",COUNTIF(#REF!,Z1175))</f>
        <v>#REF!</v>
      </c>
      <c r="AD1175" t="e">
        <f>IF(A1175="","",IF(AC1175&gt;1,"REVISAR DUPLICADO",IF(AA1175&lt;&gt;"","ACTUALIZADO POR EYR","SIN REPORTE EYR")))</f>
        <v>#REF!</v>
      </c>
    </row>
    <row r="1176" spans="1:30" x14ac:dyDescent="0.3">
      <c r="A1176" s="5" t="s">
        <v>2211</v>
      </c>
      <c r="B1176" t="s">
        <v>2210</v>
      </c>
      <c r="C1176" s="4" t="s">
        <v>2209</v>
      </c>
      <c r="D1176" t="s">
        <v>1</v>
      </c>
      <c r="F1176" t="s">
        <v>13</v>
      </c>
      <c r="G1176" s="3">
        <v>8098586175</v>
      </c>
      <c r="H1176" s="2">
        <v>46133</v>
      </c>
      <c r="K1176" s="1">
        <f ca="1">IF(A1176="","",IF(OR(L1176="ENTREGADA",L1176="RETORNADA",L1176="ENTREGA DIGITAL"),0,MAX(0,5-NETWORKDAYS(H1176+1,TODAY()))))</f>
        <v>0</v>
      </c>
      <c r="L1176" t="str">
        <f>IF(A1176="","",IFERROR(LOOKUP(2,1/(#REF!=Z1176),#REF!),Y1176))</f>
        <v>ENTREGA DIGITAL</v>
      </c>
      <c r="Y1176" t="s">
        <v>1396</v>
      </c>
      <c r="Z1176" t="str">
        <f>IF(A1176="","",TEXT(A1176,"0")&amp;"|"&amp;TEXT(H1176,"0"))</f>
        <v>5188017873996110|46133</v>
      </c>
      <c r="AA1176" t="str">
        <f>IF(Z1176="","",IFERROR(LOOKUP(2,1/(#REF!=Z1176),#REF!),""))</f>
        <v/>
      </c>
      <c r="AB1176" t="str">
        <f>IF(Z1176="","",IFERROR(LOOKUP(2,1/(#REF!=Z1176),#REF!),""))</f>
        <v/>
      </c>
      <c r="AC1176" t="e">
        <f>IF(Z1176="","",COUNTIF(#REF!,Z1176))</f>
        <v>#REF!</v>
      </c>
      <c r="AD1176" t="e">
        <f>IF(A1176="","",IF(AC1176&gt;1,"REVISAR DUPLICADO",IF(AA1176&lt;&gt;"","ACTUALIZADO POR EYR","SIN REPORTE EYR")))</f>
        <v>#REF!</v>
      </c>
    </row>
    <row r="1177" spans="1:30" x14ac:dyDescent="0.3">
      <c r="A1177" s="5" t="s">
        <v>2208</v>
      </c>
      <c r="B1177" t="s">
        <v>2207</v>
      </c>
      <c r="C1177" s="4" t="s">
        <v>2206</v>
      </c>
      <c r="D1177" t="s">
        <v>1</v>
      </c>
      <c r="F1177" t="s">
        <v>13</v>
      </c>
      <c r="G1177" s="3">
        <v>8093134494</v>
      </c>
      <c r="H1177" s="2">
        <v>46133</v>
      </c>
      <c r="K1177" s="1">
        <f ca="1">IF(A1177="","",IF(OR(L1177="ENTREGADA",L1177="RETORNADA",L1177="ENTREGA DIGITAL"),0,MAX(0,5-NETWORKDAYS(H1177+1,TODAY()))))</f>
        <v>0</v>
      </c>
      <c r="L1177">
        <f>IF(A1177="","",IFERROR(LOOKUP(2,1/(#REF!=Z1177),#REF!),Y1177))</f>
        <v>0</v>
      </c>
      <c r="Z1177" t="str">
        <f>IF(A1177="","",TEXT(A1177,"0")&amp;"|"&amp;TEXT(H1177,"0"))</f>
        <v>5188017873824700|46133</v>
      </c>
      <c r="AA1177" t="str">
        <f>IF(Z1177="","",IFERROR(LOOKUP(2,1/(#REF!=Z1177),#REF!),""))</f>
        <v/>
      </c>
      <c r="AB1177" t="str">
        <f>IF(Z1177="","",IFERROR(LOOKUP(2,1/(#REF!=Z1177),#REF!),""))</f>
        <v/>
      </c>
      <c r="AC1177" t="e">
        <f>IF(Z1177="","",COUNTIF(#REF!,Z1177))</f>
        <v>#REF!</v>
      </c>
      <c r="AD1177" t="e">
        <f>IF(A1177="","",IF(AC1177&gt;1,"REVISAR DUPLICADO",IF(AA1177&lt;&gt;"","ACTUALIZADO POR EYR","SIN REPORTE EYR")))</f>
        <v>#REF!</v>
      </c>
    </row>
    <row r="1178" spans="1:30" x14ac:dyDescent="0.3">
      <c r="A1178" s="5" t="s">
        <v>2205</v>
      </c>
      <c r="B1178" t="s">
        <v>2204</v>
      </c>
      <c r="C1178" s="4" t="s">
        <v>2203</v>
      </c>
      <c r="D1178" t="s">
        <v>77</v>
      </c>
      <c r="F1178" t="s">
        <v>2196</v>
      </c>
      <c r="G1178" s="3">
        <v>8093013141</v>
      </c>
      <c r="H1178" s="2">
        <v>46133</v>
      </c>
      <c r="K1178" s="1">
        <f ca="1">IF(A1178="","",IF(OR(L1178="ENTREGADA",L1178="RETORNADA",L1178="ENTREGA DIGITAL"),0,MAX(0,5-NETWORKDAYS(H1178+1,TODAY()))))</f>
        <v>0</v>
      </c>
      <c r="L1178">
        <f>IF(A1178="","",IFERROR(LOOKUP(2,1/(#REF!=Z1178),#REF!),Y1178))</f>
        <v>0</v>
      </c>
      <c r="Z1178" t="str">
        <f>IF(A1178="","",TEXT(A1178,"0")&amp;"|"&amp;TEXT(H1178,"0"))</f>
        <v>5415017872629020|46133</v>
      </c>
      <c r="AA1178" t="str">
        <f>IF(Z1178="","",IFERROR(LOOKUP(2,1/(#REF!=Z1178),#REF!),""))</f>
        <v/>
      </c>
      <c r="AB1178" t="str">
        <f>IF(Z1178="","",IFERROR(LOOKUP(2,1/(#REF!=Z1178),#REF!),""))</f>
        <v/>
      </c>
      <c r="AC1178" t="e">
        <f>IF(Z1178="","",COUNTIF(#REF!,Z1178))</f>
        <v>#REF!</v>
      </c>
      <c r="AD1178" t="e">
        <f>IF(A1178="","",IF(AC1178&gt;1,"REVISAR DUPLICADO",IF(AA1178&lt;&gt;"","ACTUALIZADO POR EYR","SIN REPORTE EYR")))</f>
        <v>#REF!</v>
      </c>
    </row>
    <row r="1179" spans="1:30" x14ac:dyDescent="0.3">
      <c r="A1179" s="5" t="s">
        <v>2202</v>
      </c>
      <c r="B1179" t="s">
        <v>2201</v>
      </c>
      <c r="C1179" s="4" t="s">
        <v>2200</v>
      </c>
      <c r="D1179" t="s">
        <v>77</v>
      </c>
      <c r="E1179" t="s">
        <v>214</v>
      </c>
      <c r="F1179" s="13" t="s">
        <v>391</v>
      </c>
      <c r="G1179" s="12">
        <v>8294503090</v>
      </c>
      <c r="H1179" s="2">
        <v>46133</v>
      </c>
      <c r="K1179" s="1">
        <f ca="1">IF(A1179="","",IF(OR(L1179="ENTREGADA",L1179="RETORNADA",L1179="ENTREGA DIGITAL"),0,MAX(0,5-NETWORKDAYS(H1179+1,TODAY()))))</f>
        <v>0</v>
      </c>
      <c r="L1179" t="str">
        <f>IF(A1179="","",IFERROR(LOOKUP(2,1/(#REF!=Z1179),#REF!),Y1179))</f>
        <v>ENTREGA DIGITAL</v>
      </c>
      <c r="Y1179" t="s">
        <v>1396</v>
      </c>
      <c r="Z1179" t="str">
        <f>IF(A1179="","",TEXT(A1179,"0")&amp;"|"&amp;TEXT(H1179,"0"))</f>
        <v>4921017875901830|46133</v>
      </c>
      <c r="AA1179" t="str">
        <f>IF(Z1179="","",IFERROR(LOOKUP(2,1/(#REF!=Z1179),#REF!),""))</f>
        <v/>
      </c>
      <c r="AB1179" t="str">
        <f>IF(Z1179="","",IFERROR(LOOKUP(2,1/(#REF!=Z1179),#REF!),""))</f>
        <v/>
      </c>
      <c r="AC1179" t="e">
        <f>IF(Z1179="","",COUNTIF(#REF!,Z1179))</f>
        <v>#REF!</v>
      </c>
      <c r="AD1179" t="e">
        <f>IF(A1179="","",IF(AC1179&gt;1,"REVISAR DUPLICADO",IF(AA1179&lt;&gt;"","ACTUALIZADO POR EYR","SIN REPORTE EYR")))</f>
        <v>#REF!</v>
      </c>
    </row>
    <row r="1180" spans="1:30" x14ac:dyDescent="0.3">
      <c r="A1180" s="5" t="s">
        <v>2199</v>
      </c>
      <c r="B1180" t="s">
        <v>2198</v>
      </c>
      <c r="C1180" s="4" t="s">
        <v>2197</v>
      </c>
      <c r="D1180" t="s">
        <v>77</v>
      </c>
      <c r="F1180" s="13" t="s">
        <v>2196</v>
      </c>
      <c r="G1180" s="12">
        <v>8298082814</v>
      </c>
      <c r="H1180" s="2">
        <v>46133</v>
      </c>
      <c r="K1180" s="1">
        <f ca="1">IF(A1180="","",IF(OR(L1180="ENTREGADA",L1180="RETORNADA",L1180="ENTREGA DIGITAL"),0,MAX(0,5-NETWORKDAYS(H1180+1,TODAY()))))</f>
        <v>0</v>
      </c>
      <c r="L1180">
        <f>IF(A1180="","",IFERROR(LOOKUP(2,1/(#REF!=Z1180),#REF!),Y1180))</f>
        <v>0</v>
      </c>
      <c r="Z1180" t="str">
        <f>IF(A1180="","",TEXT(A1180,"0")&amp;"|"&amp;TEXT(H1180,"0"))</f>
        <v>4921017876857270|46133</v>
      </c>
      <c r="AA1180" t="str">
        <f>IF(Z1180="","",IFERROR(LOOKUP(2,1/(#REF!=Z1180),#REF!),""))</f>
        <v/>
      </c>
      <c r="AB1180" t="str">
        <f>IF(Z1180="","",IFERROR(LOOKUP(2,1/(#REF!=Z1180),#REF!),""))</f>
        <v/>
      </c>
      <c r="AC1180" t="e">
        <f>IF(Z1180="","",COUNTIF(#REF!,Z1180))</f>
        <v>#REF!</v>
      </c>
      <c r="AD1180" t="e">
        <f>IF(A1180="","",IF(AC1180&gt;1,"REVISAR DUPLICADO",IF(AA1180&lt;&gt;"","ACTUALIZADO POR EYR","SIN REPORTE EYR")))</f>
        <v>#REF!</v>
      </c>
    </row>
    <row r="1181" spans="1:30" x14ac:dyDescent="0.3">
      <c r="A1181" s="5" t="s">
        <v>2195</v>
      </c>
      <c r="B1181" t="s">
        <v>2194</v>
      </c>
      <c r="C1181" s="4" t="s">
        <v>2193</v>
      </c>
      <c r="D1181" t="s">
        <v>77</v>
      </c>
      <c r="F1181" s="11" t="s">
        <v>2192</v>
      </c>
      <c r="G1181" s="10">
        <v>8494817041</v>
      </c>
      <c r="H1181" s="2">
        <v>46133</v>
      </c>
      <c r="I1181" t="s">
        <v>1397</v>
      </c>
      <c r="K1181" s="1">
        <f ca="1">IF(A1181="","",IF(OR(L1181="ENTREGADA",L1181="RETORNADA",L1181="ENTREGA DIGITAL"),0,MAX(0,5-NETWORKDAYS(H1181+1,TODAY()))))</f>
        <v>0</v>
      </c>
      <c r="L1181" t="str">
        <f>IF(A1181="","",IFERROR(LOOKUP(2,1/(#REF!=Z1181),#REF!),Y1181))</f>
        <v>ENTREGA DIGITAL</v>
      </c>
      <c r="Y1181" t="s">
        <v>1396</v>
      </c>
      <c r="Z1181" t="str">
        <f>IF(A1181="","",TEXT(A1181,"0")&amp;"|"&amp;TEXT(H1181,"0"))</f>
        <v>4921017877474500|46133</v>
      </c>
      <c r="AA1181" t="str">
        <f>IF(Z1181="","",IFERROR(LOOKUP(2,1/(#REF!=Z1181),#REF!),""))</f>
        <v/>
      </c>
      <c r="AB1181" t="str">
        <f>IF(Z1181="","",IFERROR(LOOKUP(2,1/(#REF!=Z1181),#REF!),""))</f>
        <v/>
      </c>
      <c r="AC1181" t="e">
        <f>IF(Z1181="","",COUNTIF(#REF!,Z1181))</f>
        <v>#REF!</v>
      </c>
      <c r="AD1181" t="e">
        <f>IF(A1181="","",IF(AC1181&gt;1,"REVISAR DUPLICADO",IF(AA1181&lt;&gt;"","ACTUALIZADO POR EYR","SIN REPORTE EYR")))</f>
        <v>#REF!</v>
      </c>
    </row>
    <row r="1182" spans="1:30" x14ac:dyDescent="0.3">
      <c r="A1182" s="5" t="s">
        <v>2191</v>
      </c>
      <c r="B1182" t="s">
        <v>2190</v>
      </c>
      <c r="C1182" s="4" t="s">
        <v>2189</v>
      </c>
      <c r="D1182" t="s">
        <v>77</v>
      </c>
      <c r="F1182" t="s">
        <v>540</v>
      </c>
      <c r="G1182" s="3">
        <v>8099698364</v>
      </c>
      <c r="H1182" s="2">
        <v>46133</v>
      </c>
      <c r="K1182" s="1">
        <f ca="1">IF(A1182="","",IF(OR(L1182="ENTREGADA",L1182="RETORNADA",L1182="ENTREGA DIGITAL"),0,MAX(0,5-NETWORKDAYS(H1182+1,TODAY()))))</f>
        <v>0</v>
      </c>
      <c r="L1182">
        <f>IF(A1182="","",IFERROR(LOOKUP(2,1/(#REF!=Z1182),#REF!),Y1182))</f>
        <v>0</v>
      </c>
      <c r="Z1182" t="str">
        <f>IF(A1182="","",TEXT(A1182,"0")&amp;"|"&amp;TEXT(H1182,"0"))</f>
        <v>4966017875369550|46133</v>
      </c>
      <c r="AA1182" t="str">
        <f>IF(Z1182="","",IFERROR(LOOKUP(2,1/(#REF!=Z1182),#REF!),""))</f>
        <v/>
      </c>
      <c r="AB1182" t="str">
        <f>IF(Z1182="","",IFERROR(LOOKUP(2,1/(#REF!=Z1182),#REF!),""))</f>
        <v/>
      </c>
      <c r="AC1182" t="e">
        <f>IF(Z1182="","",COUNTIF(#REF!,Z1182))</f>
        <v>#REF!</v>
      </c>
      <c r="AD1182" t="e">
        <f>IF(A1182="","",IF(AC1182&gt;1,"REVISAR DUPLICADO",IF(AA1182&lt;&gt;"","ACTUALIZADO POR EYR","SIN REPORTE EYR")))</f>
        <v>#REF!</v>
      </c>
    </row>
    <row r="1183" spans="1:30" x14ac:dyDescent="0.3">
      <c r="A1183" s="5" t="s">
        <v>2188</v>
      </c>
      <c r="B1183" t="s">
        <v>2187</v>
      </c>
      <c r="C1183" s="4" t="s">
        <v>2186</v>
      </c>
      <c r="D1183" t="s">
        <v>77</v>
      </c>
      <c r="F1183" t="s">
        <v>2185</v>
      </c>
      <c r="G1183" s="3">
        <v>8293306580</v>
      </c>
      <c r="H1183" s="2">
        <v>46133</v>
      </c>
      <c r="K1183" s="1">
        <f ca="1">IF(A1183="","",IF(OR(L1183="ENTREGADA",L1183="RETORNADA",L1183="ENTREGA DIGITAL"),0,MAX(0,5-NETWORKDAYS(H1183+1,TODAY()))))</f>
        <v>0</v>
      </c>
      <c r="L1183">
        <f>IF(A1183="","",IFERROR(LOOKUP(2,1/(#REF!=Z1183),#REF!),Y1183))</f>
        <v>0</v>
      </c>
      <c r="Z1183" t="str">
        <f>IF(A1183="","",TEXT(A1183,"0")&amp;"|"&amp;TEXT(H1183,"0"))</f>
        <v>4025017878158080|46133</v>
      </c>
      <c r="AA1183" t="str">
        <f>IF(Z1183="","",IFERROR(LOOKUP(2,1/(#REF!=Z1183),#REF!),""))</f>
        <v/>
      </c>
      <c r="AB1183" t="str">
        <f>IF(Z1183="","",IFERROR(LOOKUP(2,1/(#REF!=Z1183),#REF!),""))</f>
        <v/>
      </c>
      <c r="AC1183" t="e">
        <f>IF(Z1183="","",COUNTIF(#REF!,Z1183))</f>
        <v>#REF!</v>
      </c>
      <c r="AD1183" t="e">
        <f>IF(A1183="","",IF(AC1183&gt;1,"REVISAR DUPLICADO",IF(AA1183&lt;&gt;"","ACTUALIZADO POR EYR","SIN REPORTE EYR")))</f>
        <v>#REF!</v>
      </c>
    </row>
    <row r="1184" spans="1:30" x14ac:dyDescent="0.3">
      <c r="A1184" s="5" t="s">
        <v>2184</v>
      </c>
      <c r="B1184" t="s">
        <v>2183</v>
      </c>
      <c r="C1184" s="4" t="s">
        <v>2182</v>
      </c>
      <c r="D1184" t="s">
        <v>77</v>
      </c>
      <c r="F1184" t="s">
        <v>13</v>
      </c>
      <c r="G1184" s="3">
        <v>8296230642</v>
      </c>
      <c r="H1184" s="2">
        <v>46133</v>
      </c>
      <c r="K1184" s="1">
        <f ca="1">IF(A1184="","",IF(OR(L1184="ENTREGADA",L1184="RETORNADA",L1184="ENTREGA DIGITAL"),0,MAX(0,5-NETWORKDAYS(H1184+1,TODAY()))))</f>
        <v>0</v>
      </c>
      <c r="L1184" t="str">
        <f>IF(A1184="","",IFERROR(LOOKUP(2,1/(#REF!=Z1184),#REF!),Y1184))</f>
        <v>ENTREGA DIGITAL</v>
      </c>
      <c r="Y1184" t="s">
        <v>1396</v>
      </c>
      <c r="Z1184" t="str">
        <f>IF(A1184="","",TEXT(A1184,"0")&amp;"|"&amp;TEXT(H1184,"0"))</f>
        <v>4921017876319130|46133</v>
      </c>
      <c r="AA1184" t="str">
        <f>IF(Z1184="","",IFERROR(LOOKUP(2,1/(#REF!=Z1184),#REF!),""))</f>
        <v/>
      </c>
      <c r="AB1184" t="str">
        <f>IF(Z1184="","",IFERROR(LOOKUP(2,1/(#REF!=Z1184),#REF!),""))</f>
        <v/>
      </c>
      <c r="AC1184" t="e">
        <f>IF(Z1184="","",COUNTIF(#REF!,Z1184))</f>
        <v>#REF!</v>
      </c>
      <c r="AD1184" t="e">
        <f>IF(A1184="","",IF(AC1184&gt;1,"REVISAR DUPLICADO",IF(AA1184&lt;&gt;"","ACTUALIZADO POR EYR","SIN REPORTE EYR")))</f>
        <v>#REF!</v>
      </c>
    </row>
    <row r="1185" spans="1:30" x14ac:dyDescent="0.3">
      <c r="A1185" s="5" t="s">
        <v>2181</v>
      </c>
      <c r="B1185" t="s">
        <v>2180</v>
      </c>
      <c r="C1185" s="4" t="s">
        <v>2179</v>
      </c>
      <c r="D1185" t="s">
        <v>77</v>
      </c>
      <c r="F1185" t="s">
        <v>13</v>
      </c>
      <c r="G1185" s="3">
        <v>8296953553</v>
      </c>
      <c r="H1185" s="2">
        <v>46133</v>
      </c>
      <c r="I1185" t="s">
        <v>1397</v>
      </c>
      <c r="K1185" s="1">
        <f ca="1">IF(A1185="","",IF(OR(L1185="ENTREGADA",L1185="RETORNADA",L1185="ENTREGA DIGITAL"),0,MAX(0,5-NETWORKDAYS(H1185+1,TODAY()))))</f>
        <v>0</v>
      </c>
      <c r="L1185" t="str">
        <f>IF(A1185="","",IFERROR(LOOKUP(2,1/(#REF!=Z1185),#REF!),Y1185))</f>
        <v>ENTREGA DIGITAL</v>
      </c>
      <c r="Y1185" t="s">
        <v>1396</v>
      </c>
      <c r="Z1185" t="str">
        <f>IF(A1185="","",TEXT(A1185,"0")&amp;"|"&amp;TEXT(H1185,"0"))</f>
        <v>5415017872169140|46133</v>
      </c>
      <c r="AA1185" t="str">
        <f>IF(Z1185="","",IFERROR(LOOKUP(2,1/(#REF!=Z1185),#REF!),""))</f>
        <v/>
      </c>
      <c r="AB1185" t="str">
        <f>IF(Z1185="","",IFERROR(LOOKUP(2,1/(#REF!=Z1185),#REF!),""))</f>
        <v/>
      </c>
      <c r="AC1185" t="e">
        <f>IF(Z1185="","",COUNTIF(#REF!,Z1185))</f>
        <v>#REF!</v>
      </c>
      <c r="AD1185" t="e">
        <f>IF(A1185="","",IF(AC1185&gt;1,"REVISAR DUPLICADO",IF(AA1185&lt;&gt;"","ACTUALIZADO POR EYR","SIN REPORTE EYR")))</f>
        <v>#REF!</v>
      </c>
    </row>
    <row r="1186" spans="1:30" x14ac:dyDescent="0.3">
      <c r="A1186" s="5" t="s">
        <v>2178</v>
      </c>
      <c r="B1186" t="s">
        <v>2177</v>
      </c>
      <c r="C1186" s="4" t="s">
        <v>2176</v>
      </c>
      <c r="D1186" t="s">
        <v>77</v>
      </c>
      <c r="F1186" t="s">
        <v>13</v>
      </c>
      <c r="G1186" s="3">
        <v>8296854726</v>
      </c>
      <c r="H1186" s="2">
        <v>46133</v>
      </c>
      <c r="K1186" s="1">
        <f ca="1">IF(A1186="","",IF(OR(L1186="ENTREGADA",L1186="RETORNADA",L1186="ENTREGA DIGITAL"),0,MAX(0,5-NETWORKDAYS(H1186+1,TODAY()))))</f>
        <v>0</v>
      </c>
      <c r="L1186">
        <f>IF(A1186="","",IFERROR(LOOKUP(2,1/(#REF!=Z1186),#REF!),Y1186))</f>
        <v>0</v>
      </c>
      <c r="Z1186" t="str">
        <f>IF(A1186="","",TEXT(A1186,"0")&amp;"|"&amp;TEXT(H1186,"0"))</f>
        <v>5415017872506600|46133</v>
      </c>
      <c r="AA1186" t="str">
        <f>IF(Z1186="","",IFERROR(LOOKUP(2,1/(#REF!=Z1186),#REF!),""))</f>
        <v/>
      </c>
      <c r="AB1186" t="str">
        <f>IF(Z1186="","",IFERROR(LOOKUP(2,1/(#REF!=Z1186),#REF!),""))</f>
        <v/>
      </c>
      <c r="AC1186" t="e">
        <f>IF(Z1186="","",COUNTIF(#REF!,Z1186))</f>
        <v>#REF!</v>
      </c>
      <c r="AD1186" t="e">
        <f>IF(A1186="","",IF(AC1186&gt;1,"REVISAR DUPLICADO",IF(AA1186&lt;&gt;"","ACTUALIZADO POR EYR","SIN REPORTE EYR")))</f>
        <v>#REF!</v>
      </c>
    </row>
    <row r="1187" spans="1:30" x14ac:dyDescent="0.3">
      <c r="A1187" s="5" t="s">
        <v>2175</v>
      </c>
      <c r="B1187" t="s">
        <v>2174</v>
      </c>
      <c r="C1187" s="4" t="s">
        <v>2173</v>
      </c>
      <c r="D1187" t="s">
        <v>77</v>
      </c>
      <c r="F1187" t="s">
        <v>2172</v>
      </c>
      <c r="G1187" s="3">
        <v>8297603922</v>
      </c>
      <c r="H1187" s="2">
        <v>46133</v>
      </c>
      <c r="K1187" s="1">
        <f ca="1">IF(A1187="","",IF(OR(L1187="ENTREGADA",L1187="RETORNADA",L1187="ENTREGA DIGITAL"),0,MAX(0,5-NETWORKDAYS(H1187+1,TODAY()))))</f>
        <v>0</v>
      </c>
      <c r="L1187">
        <f>IF(A1187="","",IFERROR(LOOKUP(2,1/(#REF!=Z1187),#REF!),Y1187))</f>
        <v>0</v>
      </c>
      <c r="Z1187" t="str">
        <f>IF(A1187="","",TEXT(A1187,"0")&amp;"|"&amp;TEXT(H1187,"0"))</f>
        <v>5227017873164390|46133</v>
      </c>
      <c r="AA1187" t="str">
        <f>IF(Z1187="","",IFERROR(LOOKUP(2,1/(#REF!=Z1187),#REF!),""))</f>
        <v/>
      </c>
      <c r="AB1187" t="str">
        <f>IF(Z1187="","",IFERROR(LOOKUP(2,1/(#REF!=Z1187),#REF!),""))</f>
        <v/>
      </c>
      <c r="AC1187" t="e">
        <f>IF(Z1187="","",COUNTIF(#REF!,Z1187))</f>
        <v>#REF!</v>
      </c>
      <c r="AD1187" t="e">
        <f>IF(A1187="","",IF(AC1187&gt;1,"REVISAR DUPLICADO",IF(AA1187&lt;&gt;"","ACTUALIZADO POR EYR","SIN REPORTE EYR")))</f>
        <v>#REF!</v>
      </c>
    </row>
    <row r="1188" spans="1:30" x14ac:dyDescent="0.3">
      <c r="A1188" s="5" t="s">
        <v>2171</v>
      </c>
      <c r="B1188" t="s">
        <v>2170</v>
      </c>
      <c r="C1188" s="4" t="s">
        <v>2169</v>
      </c>
      <c r="D1188" t="s">
        <v>77</v>
      </c>
      <c r="F1188" t="s">
        <v>13</v>
      </c>
      <c r="G1188" s="3">
        <v>8095055647</v>
      </c>
      <c r="H1188" s="2">
        <v>46133</v>
      </c>
      <c r="K1188" s="1">
        <f ca="1">IF(A1188="","",IF(OR(L1188="ENTREGADA",L1188="RETORNADA",L1188="ENTREGA DIGITAL"),0,MAX(0,5-NETWORKDAYS(H1188+1,TODAY()))))</f>
        <v>0</v>
      </c>
      <c r="L1188" t="str">
        <f>IF(A1188="","",IFERROR(LOOKUP(2,1/(#REF!=Z1188),#REF!),Y1188))</f>
        <v>ENTREGA DIGITAL</v>
      </c>
      <c r="Y1188" t="s">
        <v>1396</v>
      </c>
      <c r="Z1188" t="str">
        <f>IF(A1188="","",TEXT(A1188,"0")&amp;"|"&amp;TEXT(H1188,"0"))</f>
        <v>5188017873982120|46133</v>
      </c>
      <c r="AA1188" t="str">
        <f>IF(Z1188="","",IFERROR(LOOKUP(2,1/(#REF!=Z1188),#REF!),""))</f>
        <v/>
      </c>
      <c r="AB1188" t="str">
        <f>IF(Z1188="","",IFERROR(LOOKUP(2,1/(#REF!=Z1188),#REF!),""))</f>
        <v/>
      </c>
      <c r="AC1188" t="e">
        <f>IF(Z1188="","",COUNTIF(#REF!,Z1188))</f>
        <v>#REF!</v>
      </c>
      <c r="AD1188" t="e">
        <f>IF(A1188="","",IF(AC1188&gt;1,"REVISAR DUPLICADO",IF(AA1188&lt;&gt;"","ACTUALIZADO POR EYR","SIN REPORTE EYR")))</f>
        <v>#REF!</v>
      </c>
    </row>
    <row r="1189" spans="1:30" x14ac:dyDescent="0.3">
      <c r="A1189" s="5" t="s">
        <v>2168</v>
      </c>
      <c r="B1189" t="s">
        <v>2167</v>
      </c>
      <c r="C1189" s="4" t="s">
        <v>2166</v>
      </c>
      <c r="D1189" t="s">
        <v>77</v>
      </c>
      <c r="E1189" t="s">
        <v>214</v>
      </c>
      <c r="F1189" t="s">
        <v>391</v>
      </c>
      <c r="G1189" s="3">
        <v>8493869016</v>
      </c>
      <c r="H1189" s="2">
        <v>46133</v>
      </c>
      <c r="K1189" s="1">
        <f ca="1">IF(A1189="","",IF(OR(L1189="ENTREGADA",L1189="RETORNADA",L1189="ENTREGA DIGITAL"),0,MAX(0,5-NETWORKDAYS(H1189+1,TODAY()))))</f>
        <v>0</v>
      </c>
      <c r="L1189" t="str">
        <f>IF(A1189="","",IFERROR(LOOKUP(2,1/(#REF!=Z1189),#REF!),Y1189))</f>
        <v>ENTREGA DIGITAL</v>
      </c>
      <c r="Y1189" t="s">
        <v>1396</v>
      </c>
      <c r="Z1189" t="str">
        <f>IF(A1189="","",TEXT(A1189,"0")&amp;"|"&amp;TEXT(H1189,"0"))</f>
        <v>5415017871619750|46133</v>
      </c>
      <c r="AA1189" t="str">
        <f>IF(Z1189="","",IFERROR(LOOKUP(2,1/(#REF!=Z1189),#REF!),""))</f>
        <v/>
      </c>
      <c r="AB1189" t="str">
        <f>IF(Z1189="","",IFERROR(LOOKUP(2,1/(#REF!=Z1189),#REF!),""))</f>
        <v/>
      </c>
      <c r="AC1189" t="e">
        <f>IF(Z1189="","",COUNTIF(#REF!,Z1189))</f>
        <v>#REF!</v>
      </c>
      <c r="AD1189" t="e">
        <f>IF(A1189="","",IF(AC1189&gt;1,"REVISAR DUPLICADO",IF(AA1189&lt;&gt;"","ACTUALIZADO POR EYR","SIN REPORTE EYR")))</f>
        <v>#REF!</v>
      </c>
    </row>
    <row r="1190" spans="1:30" x14ac:dyDescent="0.3">
      <c r="A1190" s="5" t="s">
        <v>2165</v>
      </c>
      <c r="B1190" t="s">
        <v>2164</v>
      </c>
      <c r="C1190" s="4" t="s">
        <v>2163</v>
      </c>
      <c r="D1190" t="s">
        <v>77</v>
      </c>
      <c r="F1190">
        <v>1</v>
      </c>
      <c r="G1190" s="3">
        <v>8492218095</v>
      </c>
      <c r="H1190" s="2">
        <v>46133</v>
      </c>
      <c r="K1190" s="1">
        <f ca="1">IF(A1190="","",IF(OR(L1190="ENTREGADA",L1190="RETORNADA",L1190="ENTREGA DIGITAL"),0,MAX(0,5-NETWORKDAYS(H1190+1,TODAY()))))</f>
        <v>0</v>
      </c>
      <c r="L1190">
        <f>IF(A1190="","",IFERROR(LOOKUP(2,1/(#REF!=Z1190),#REF!),Y1190))</f>
        <v>0</v>
      </c>
      <c r="Z1190" t="str">
        <f>IF(A1190="","",TEXT(A1190,"0")&amp;"|"&amp;TEXT(H1190,"0"))</f>
        <v>5188017873751140|46133</v>
      </c>
      <c r="AA1190" t="str">
        <f>IF(Z1190="","",IFERROR(LOOKUP(2,1/(#REF!=Z1190),#REF!),""))</f>
        <v/>
      </c>
      <c r="AB1190" t="str">
        <f>IF(Z1190="","",IFERROR(LOOKUP(2,1/(#REF!=Z1190),#REF!),""))</f>
        <v/>
      </c>
      <c r="AC1190" t="e">
        <f>IF(Z1190="","",COUNTIF(#REF!,Z1190))</f>
        <v>#REF!</v>
      </c>
      <c r="AD1190" t="e">
        <f>IF(A1190="","",IF(AC1190&gt;1,"REVISAR DUPLICADO",IF(AA1190&lt;&gt;"","ACTUALIZADO POR EYR","SIN REPORTE EYR")))</f>
        <v>#REF!</v>
      </c>
    </row>
    <row r="1191" spans="1:30" x14ac:dyDescent="0.3">
      <c r="A1191" s="5" t="s">
        <v>2162</v>
      </c>
      <c r="B1191" t="s">
        <v>2161</v>
      </c>
      <c r="C1191" s="4" t="s">
        <v>2160</v>
      </c>
      <c r="D1191" t="s">
        <v>77</v>
      </c>
      <c r="F1191" t="s">
        <v>13</v>
      </c>
      <c r="G1191" s="3">
        <v>8299212644</v>
      </c>
      <c r="H1191" s="2">
        <v>46133</v>
      </c>
      <c r="I1191" t="s">
        <v>1397</v>
      </c>
      <c r="K1191" s="1">
        <f ca="1">IF(A1191="","",IF(OR(L1191="ENTREGADA",L1191="RETORNADA",L1191="ENTREGA DIGITAL"),0,MAX(0,5-NETWORKDAYS(H1191+1,TODAY()))))</f>
        <v>0</v>
      </c>
      <c r="L1191" t="str">
        <f>IF(A1191="","",IFERROR(LOOKUP(2,1/(#REF!=Z1191),#REF!),Y1191))</f>
        <v>ENTREGA DIGITAL</v>
      </c>
      <c r="Y1191" t="s">
        <v>1396</v>
      </c>
      <c r="Z1191" t="str">
        <f>IF(A1191="","",TEXT(A1191,"0")&amp;"|"&amp;TEXT(H1191,"0"))</f>
        <v>4025017878109980|46133</v>
      </c>
      <c r="AA1191" t="str">
        <f>IF(Z1191="","",IFERROR(LOOKUP(2,1/(#REF!=Z1191),#REF!),""))</f>
        <v/>
      </c>
      <c r="AB1191" t="str">
        <f>IF(Z1191="","",IFERROR(LOOKUP(2,1/(#REF!=Z1191),#REF!),""))</f>
        <v/>
      </c>
      <c r="AC1191" t="e">
        <f>IF(Z1191="","",COUNTIF(#REF!,Z1191))</f>
        <v>#REF!</v>
      </c>
      <c r="AD1191" t="e">
        <f>IF(A1191="","",IF(AC1191&gt;1,"REVISAR DUPLICADO",IF(AA1191&lt;&gt;"","ACTUALIZADO POR EYR","SIN REPORTE EYR")))</f>
        <v>#REF!</v>
      </c>
    </row>
    <row r="1192" spans="1:30" x14ac:dyDescent="0.3">
      <c r="A1192" s="5" t="s">
        <v>2159</v>
      </c>
      <c r="B1192" t="s">
        <v>2158</v>
      </c>
      <c r="C1192" s="4" t="s">
        <v>2157</v>
      </c>
      <c r="D1192" t="s">
        <v>77</v>
      </c>
      <c r="F1192" t="s">
        <v>2156</v>
      </c>
      <c r="G1192" s="3">
        <v>8294646936</v>
      </c>
      <c r="H1192" s="2">
        <v>46133</v>
      </c>
      <c r="K1192" s="1">
        <f ca="1">IF(A1192="","",IF(OR(L1192="ENTREGADA",L1192="RETORNADA",L1192="ENTREGA DIGITAL"),0,MAX(0,5-NETWORKDAYS(H1192+1,TODAY()))))</f>
        <v>0</v>
      </c>
      <c r="L1192" t="str">
        <f>IF(A1192="","",IFERROR(LOOKUP(2,1/(#REF!=Z1192),#REF!),Y1192))</f>
        <v>ENTREGA DIGITAL</v>
      </c>
      <c r="Y1192" t="s">
        <v>1396</v>
      </c>
      <c r="Z1192" t="str">
        <f>IF(A1192="","",TEXT(A1192,"0")&amp;"|"&amp;TEXT(H1192,"0"))</f>
        <v>4025017878110340|46133</v>
      </c>
      <c r="AA1192" t="str">
        <f>IF(Z1192="","",IFERROR(LOOKUP(2,1/(#REF!=Z1192),#REF!),""))</f>
        <v/>
      </c>
      <c r="AB1192" t="str">
        <f>IF(Z1192="","",IFERROR(LOOKUP(2,1/(#REF!=Z1192),#REF!),""))</f>
        <v/>
      </c>
      <c r="AC1192" t="e">
        <f>IF(Z1192="","",COUNTIF(#REF!,Z1192))</f>
        <v>#REF!</v>
      </c>
      <c r="AD1192" t="e">
        <f>IF(A1192="","",IF(AC1192&gt;1,"REVISAR DUPLICADO",IF(AA1192&lt;&gt;"","ACTUALIZADO POR EYR","SIN REPORTE EYR")))</f>
        <v>#REF!</v>
      </c>
    </row>
    <row r="1193" spans="1:30" x14ac:dyDescent="0.3">
      <c r="A1193" s="5" t="s">
        <v>2155</v>
      </c>
      <c r="B1193" t="s">
        <v>2154</v>
      </c>
      <c r="C1193" s="4" t="s">
        <v>2153</v>
      </c>
      <c r="D1193" t="s">
        <v>21</v>
      </c>
      <c r="F1193" t="s">
        <v>13</v>
      </c>
      <c r="G1193" s="3">
        <v>8095294421</v>
      </c>
      <c r="H1193" s="2">
        <v>46133</v>
      </c>
      <c r="K1193" s="1">
        <f ca="1">IF(A1193="","",IF(OR(L1193="ENTREGADA",L1193="RETORNADA",L1193="ENTREGA DIGITAL"),0,MAX(0,5-NETWORKDAYS(H1193+1,TODAY()))))</f>
        <v>0</v>
      </c>
      <c r="L1193">
        <f>IF(A1193="","",IFERROR(LOOKUP(2,1/(#REF!=Z1193),#REF!),Y1193))</f>
        <v>0</v>
      </c>
      <c r="Z1193" t="str">
        <f>IF(A1193="","",TEXT(A1193,"0")&amp;"|"&amp;TEXT(H1193,"0"))</f>
        <v>4921017876336200|46133</v>
      </c>
      <c r="AA1193" t="str">
        <f>IF(Z1193="","",IFERROR(LOOKUP(2,1/(#REF!=Z1193),#REF!),""))</f>
        <v/>
      </c>
      <c r="AB1193" t="str">
        <f>IF(Z1193="","",IFERROR(LOOKUP(2,1/(#REF!=Z1193),#REF!),""))</f>
        <v/>
      </c>
      <c r="AC1193" t="e">
        <f>IF(Z1193="","",COUNTIF(#REF!,Z1193))</f>
        <v>#REF!</v>
      </c>
      <c r="AD1193" t="e">
        <f>IF(A1193="","",IF(AC1193&gt;1,"REVISAR DUPLICADO",IF(AA1193&lt;&gt;"","ACTUALIZADO POR EYR","SIN REPORTE EYR")))</f>
        <v>#REF!</v>
      </c>
    </row>
    <row r="1194" spans="1:30" x14ac:dyDescent="0.3">
      <c r="A1194" s="5" t="s">
        <v>2152</v>
      </c>
      <c r="B1194" t="s">
        <v>2151</v>
      </c>
      <c r="C1194" s="4" t="s">
        <v>2150</v>
      </c>
      <c r="D1194" t="s">
        <v>21</v>
      </c>
      <c r="F1194" t="s">
        <v>2149</v>
      </c>
      <c r="G1194" s="3">
        <v>8292066829</v>
      </c>
      <c r="H1194" s="2">
        <v>46133</v>
      </c>
      <c r="K1194" s="1">
        <f ca="1">IF(A1194="","",IF(OR(L1194="ENTREGADA",L1194="RETORNADA",L1194="ENTREGA DIGITAL"),0,MAX(0,5-NETWORKDAYS(H1194+1,TODAY()))))</f>
        <v>0</v>
      </c>
      <c r="L1194">
        <f>IF(A1194="","",IFERROR(LOOKUP(2,1/(#REF!=Z1194),#REF!),Y1194))</f>
        <v>0</v>
      </c>
      <c r="Z1194" t="str">
        <f>IF(A1194="","",TEXT(A1194,"0")&amp;"|"&amp;TEXT(H1194,"0"))</f>
        <v>5415017872582600|46133</v>
      </c>
      <c r="AA1194" t="str">
        <f>IF(Z1194="","",IFERROR(LOOKUP(2,1/(#REF!=Z1194),#REF!),""))</f>
        <v/>
      </c>
      <c r="AB1194" t="str">
        <f>IF(Z1194="","",IFERROR(LOOKUP(2,1/(#REF!=Z1194),#REF!),""))</f>
        <v/>
      </c>
      <c r="AC1194" t="e">
        <f>IF(Z1194="","",COUNTIF(#REF!,Z1194))</f>
        <v>#REF!</v>
      </c>
      <c r="AD1194" t="e">
        <f>IF(A1194="","",IF(AC1194&gt;1,"REVISAR DUPLICADO",IF(AA1194&lt;&gt;"","ACTUALIZADO POR EYR","SIN REPORTE EYR")))</f>
        <v>#REF!</v>
      </c>
    </row>
    <row r="1195" spans="1:30" x14ac:dyDescent="0.3">
      <c r="A1195" s="5" t="s">
        <v>2148</v>
      </c>
      <c r="B1195" t="s">
        <v>2147</v>
      </c>
      <c r="C1195" s="4" t="s">
        <v>2146</v>
      </c>
      <c r="D1195" t="s">
        <v>21</v>
      </c>
      <c r="F1195" t="s">
        <v>13</v>
      </c>
      <c r="G1195" s="3">
        <v>8097764780</v>
      </c>
      <c r="H1195" s="2">
        <v>46133</v>
      </c>
      <c r="K1195" s="1">
        <f ca="1">IF(A1195="","",IF(OR(L1195="ENTREGADA",L1195="RETORNADA",L1195="ENTREGA DIGITAL"),0,MAX(0,5-NETWORKDAYS(H1195+1,TODAY()))))</f>
        <v>0</v>
      </c>
      <c r="L1195" t="str">
        <f>IF(A1195="","",IFERROR(LOOKUP(2,1/(#REF!=Z1195),#REF!),Y1195))</f>
        <v>ENTREGADA</v>
      </c>
      <c r="Y1195" t="s">
        <v>1956</v>
      </c>
      <c r="Z1195" t="str">
        <f>IF(A1195="","",TEXT(A1195,"0")&amp;"|"&amp;TEXT(H1195,"0"))</f>
        <v>4921017874438280|46133</v>
      </c>
      <c r="AA1195" t="str">
        <f>IF(Z1195="","",IFERROR(LOOKUP(2,1/(#REF!=Z1195),#REF!),""))</f>
        <v/>
      </c>
      <c r="AB1195" t="str">
        <f>IF(Z1195="","",IFERROR(LOOKUP(2,1/(#REF!=Z1195),#REF!),""))</f>
        <v/>
      </c>
      <c r="AC1195" t="e">
        <f>IF(Z1195="","",COUNTIF(#REF!,Z1195))</f>
        <v>#REF!</v>
      </c>
      <c r="AD1195" t="e">
        <f>IF(A1195="","",IF(AC1195&gt;1,"REVISAR DUPLICADO",IF(AA1195&lt;&gt;"","ACTUALIZADO POR EYR","SIN REPORTE EYR")))</f>
        <v>#REF!</v>
      </c>
    </row>
    <row r="1196" spans="1:30" x14ac:dyDescent="0.3">
      <c r="A1196" s="5" t="s">
        <v>2145</v>
      </c>
      <c r="B1196" t="s">
        <v>2144</v>
      </c>
      <c r="C1196" s="4" t="s">
        <v>2143</v>
      </c>
      <c r="D1196" t="s">
        <v>21</v>
      </c>
      <c r="F1196" t="s">
        <v>2142</v>
      </c>
      <c r="G1196" s="3">
        <v>8294592370</v>
      </c>
      <c r="H1196" s="2">
        <v>46133</v>
      </c>
      <c r="I1196" t="s">
        <v>1397</v>
      </c>
      <c r="K1196" s="1">
        <f ca="1">IF(A1196="","",IF(OR(L1196="ENTREGADA",L1196="RETORNADA",L1196="ENTREGA DIGITAL"),0,MAX(0,5-NETWORKDAYS(H1196+1,TODAY()))))</f>
        <v>0</v>
      </c>
      <c r="L1196" t="str">
        <f>IF(A1196="","",IFERROR(LOOKUP(2,1/(#REF!=Z1196),#REF!),Y1196))</f>
        <v>ENTREGADA</v>
      </c>
      <c r="Y1196" t="s">
        <v>1956</v>
      </c>
      <c r="Z1196" t="str">
        <f>IF(A1196="","",TEXT(A1196,"0")&amp;"|"&amp;TEXT(H1196,"0"))</f>
        <v>4921017874733650|46133</v>
      </c>
      <c r="AA1196" t="str">
        <f>IF(Z1196="","",IFERROR(LOOKUP(2,1/(#REF!=Z1196),#REF!),""))</f>
        <v/>
      </c>
      <c r="AB1196" t="str">
        <f>IF(Z1196="","",IFERROR(LOOKUP(2,1/(#REF!=Z1196),#REF!),""))</f>
        <v/>
      </c>
      <c r="AC1196" t="e">
        <f>IF(Z1196="","",COUNTIF(#REF!,Z1196))</f>
        <v>#REF!</v>
      </c>
      <c r="AD1196" t="e">
        <f>IF(A1196="","",IF(AC1196&gt;1,"REVISAR DUPLICADO",IF(AA1196&lt;&gt;"","ACTUALIZADO POR EYR","SIN REPORTE EYR")))</f>
        <v>#REF!</v>
      </c>
    </row>
    <row r="1197" spans="1:30" x14ac:dyDescent="0.3">
      <c r="A1197" s="5" t="s">
        <v>2141</v>
      </c>
      <c r="B1197" t="s">
        <v>2140</v>
      </c>
      <c r="C1197" s="4" t="s">
        <v>2139</v>
      </c>
      <c r="D1197" t="s">
        <v>21</v>
      </c>
      <c r="F1197" t="s">
        <v>13</v>
      </c>
      <c r="G1197" s="3">
        <v>8296558469</v>
      </c>
      <c r="H1197" s="2">
        <v>46133</v>
      </c>
      <c r="K1197" s="1">
        <f ca="1">IF(A1197="","",IF(OR(L1197="ENTREGADA",L1197="RETORNADA",L1197="ENTREGA DIGITAL"),0,MAX(0,5-NETWORKDAYS(H1197+1,TODAY()))))</f>
        <v>0</v>
      </c>
      <c r="L1197" t="str">
        <f>IF(A1197="","",IFERROR(LOOKUP(2,1/(#REF!=Z1197),#REF!),Y1197))</f>
        <v>ENTREGADA</v>
      </c>
      <c r="Y1197" t="s">
        <v>1956</v>
      </c>
      <c r="Z1197" t="str">
        <f>IF(A1197="","",TEXT(A1197,"0")&amp;"|"&amp;TEXT(H1197,"0"))</f>
        <v>4921017874673730|46133</v>
      </c>
      <c r="AA1197" t="str">
        <f>IF(Z1197="","",IFERROR(LOOKUP(2,1/(#REF!=Z1197),#REF!),""))</f>
        <v/>
      </c>
      <c r="AB1197" t="str">
        <f>IF(Z1197="","",IFERROR(LOOKUP(2,1/(#REF!=Z1197),#REF!),""))</f>
        <v/>
      </c>
      <c r="AC1197" t="e">
        <f>IF(Z1197="","",COUNTIF(#REF!,Z1197))</f>
        <v>#REF!</v>
      </c>
      <c r="AD1197" t="e">
        <f>IF(A1197="","",IF(AC1197&gt;1,"REVISAR DUPLICADO",IF(AA1197&lt;&gt;"","ACTUALIZADO POR EYR","SIN REPORTE EYR")))</f>
        <v>#REF!</v>
      </c>
    </row>
    <row r="1198" spans="1:30" x14ac:dyDescent="0.3">
      <c r="A1198" s="5" t="s">
        <v>2138</v>
      </c>
      <c r="B1198" t="s">
        <v>2137</v>
      </c>
      <c r="C1198" s="4" t="s">
        <v>2136</v>
      </c>
      <c r="D1198" t="s">
        <v>21</v>
      </c>
      <c r="F1198" t="s">
        <v>2135</v>
      </c>
      <c r="G1198" s="3">
        <v>8096404992</v>
      </c>
      <c r="H1198" s="2">
        <v>46133</v>
      </c>
      <c r="K1198" s="1">
        <f ca="1">IF(A1198="","",IF(OR(L1198="ENTREGADA",L1198="RETORNADA",L1198="ENTREGA DIGITAL"),0,MAX(0,5-NETWORKDAYS(H1198+1,TODAY()))))</f>
        <v>0</v>
      </c>
      <c r="L1198" t="str">
        <f>IF(A1198="","",IFERROR(LOOKUP(2,1/(#REF!=Z1198),#REF!),Y1198))</f>
        <v>ENTREGADA</v>
      </c>
      <c r="Y1198" t="s">
        <v>1956</v>
      </c>
      <c r="Z1198" t="str">
        <f>IF(A1198="","",TEXT(A1198,"0")&amp;"|"&amp;TEXT(H1198,"0"))</f>
        <v>5188017873576720|46133</v>
      </c>
      <c r="AA1198" t="str">
        <f>IF(Z1198="","",IFERROR(LOOKUP(2,1/(#REF!=Z1198),#REF!),""))</f>
        <v/>
      </c>
      <c r="AB1198" t="str">
        <f>IF(Z1198="","",IFERROR(LOOKUP(2,1/(#REF!=Z1198),#REF!),""))</f>
        <v/>
      </c>
      <c r="AC1198" t="e">
        <f>IF(Z1198="","",COUNTIF(#REF!,Z1198))</f>
        <v>#REF!</v>
      </c>
      <c r="AD1198" t="e">
        <f>IF(A1198="","",IF(AC1198&gt;1,"REVISAR DUPLICADO",IF(AA1198&lt;&gt;"","ACTUALIZADO POR EYR","SIN REPORTE EYR")))</f>
        <v>#REF!</v>
      </c>
    </row>
    <row r="1199" spans="1:30" x14ac:dyDescent="0.3">
      <c r="A1199" s="5" t="s">
        <v>2134</v>
      </c>
      <c r="B1199" t="s">
        <v>2133</v>
      </c>
      <c r="C1199" s="4" t="s">
        <v>2132</v>
      </c>
      <c r="D1199" t="s">
        <v>21</v>
      </c>
      <c r="F1199" t="s">
        <v>13</v>
      </c>
      <c r="G1199" s="3">
        <v>8292055115</v>
      </c>
      <c r="H1199" s="2">
        <v>46133</v>
      </c>
      <c r="K1199" s="1">
        <f ca="1">IF(A1199="","",IF(OR(L1199="ENTREGADA",L1199="RETORNADA",L1199="ENTREGA DIGITAL"),0,MAX(0,5-NETWORKDAYS(H1199+1,TODAY()))))</f>
        <v>0</v>
      </c>
      <c r="L1199" t="str">
        <f>IF(A1199="","",IFERROR(LOOKUP(2,1/(#REF!=Z1199),#REF!),Y1199))</f>
        <v>ENTREGADA</v>
      </c>
      <c r="Y1199" t="s">
        <v>1956</v>
      </c>
      <c r="Z1199" t="str">
        <f>IF(A1199="","",TEXT(A1199,"0")&amp;"|"&amp;TEXT(H1199,"0"))</f>
        <v>5188017874011200|46133</v>
      </c>
      <c r="AA1199" t="str">
        <f>IF(Z1199="","",IFERROR(LOOKUP(2,1/(#REF!=Z1199),#REF!),""))</f>
        <v/>
      </c>
      <c r="AB1199" t="str">
        <f>IF(Z1199="","",IFERROR(LOOKUP(2,1/(#REF!=Z1199),#REF!),""))</f>
        <v/>
      </c>
      <c r="AC1199" t="e">
        <f>IF(Z1199="","",COUNTIF(#REF!,Z1199))</f>
        <v>#REF!</v>
      </c>
      <c r="AD1199" t="e">
        <f>IF(A1199="","",IF(AC1199&gt;1,"REVISAR DUPLICADO",IF(AA1199&lt;&gt;"","ACTUALIZADO POR EYR","SIN REPORTE EYR")))</f>
        <v>#REF!</v>
      </c>
    </row>
    <row r="1200" spans="1:30" x14ac:dyDescent="0.3">
      <c r="A1200" s="5" t="s">
        <v>2131</v>
      </c>
      <c r="B1200" t="s">
        <v>2130</v>
      </c>
      <c r="C1200" s="4" t="s">
        <v>2129</v>
      </c>
      <c r="D1200" t="s">
        <v>21</v>
      </c>
      <c r="F1200" t="s">
        <v>13</v>
      </c>
      <c r="G1200" s="3">
        <v>8295277492</v>
      </c>
      <c r="H1200" s="2">
        <v>46133</v>
      </c>
      <c r="K1200" s="1">
        <f ca="1">IF(A1200="","",IF(OR(L1200="ENTREGADA",L1200="RETORNADA",L1200="ENTREGA DIGITAL"),0,MAX(0,5-NETWORKDAYS(H1200+1,TODAY()))))</f>
        <v>0</v>
      </c>
      <c r="L1200" t="str">
        <f>IF(A1200="","",IFERROR(LOOKUP(2,1/(#REF!=Z1200),#REF!),Y1200))</f>
        <v>ENTREGADA</v>
      </c>
      <c r="Y1200" t="s">
        <v>1956</v>
      </c>
      <c r="Z1200" t="str">
        <f>IF(A1200="","",TEXT(A1200,"0")&amp;"|"&amp;TEXT(H1200,"0"))</f>
        <v>4921017877614240|46133</v>
      </c>
      <c r="AA1200" t="str">
        <f>IF(Z1200="","",IFERROR(LOOKUP(2,1/(#REF!=Z1200),#REF!),""))</f>
        <v/>
      </c>
      <c r="AB1200" t="str">
        <f>IF(Z1200="","",IFERROR(LOOKUP(2,1/(#REF!=Z1200),#REF!),""))</f>
        <v/>
      </c>
      <c r="AC1200" t="e">
        <f>IF(Z1200="","",COUNTIF(#REF!,Z1200))</f>
        <v>#REF!</v>
      </c>
      <c r="AD1200" t="e">
        <f>IF(A1200="","",IF(AC1200&gt;1,"REVISAR DUPLICADO",IF(AA1200&lt;&gt;"","ACTUALIZADO POR EYR","SIN REPORTE EYR")))</f>
        <v>#REF!</v>
      </c>
    </row>
    <row r="1201" spans="1:30" x14ac:dyDescent="0.3">
      <c r="A1201" s="5" t="s">
        <v>2128</v>
      </c>
      <c r="B1201" t="s">
        <v>2127</v>
      </c>
      <c r="C1201" s="4" t="s">
        <v>2126</v>
      </c>
      <c r="D1201" t="s">
        <v>21</v>
      </c>
      <c r="F1201" t="s">
        <v>1057</v>
      </c>
      <c r="G1201" s="3">
        <v>8097788757</v>
      </c>
      <c r="H1201" s="2">
        <v>46133</v>
      </c>
      <c r="K1201" s="1">
        <f ca="1">IF(A1201="","",IF(OR(L1201="ENTREGADA",L1201="RETORNADA",L1201="ENTREGA DIGITAL"),0,MAX(0,5-NETWORKDAYS(H1201+1,TODAY()))))</f>
        <v>0</v>
      </c>
      <c r="L1201" t="str">
        <f>IF(A1201="","",IFERROR(LOOKUP(2,1/(#REF!=Z1201),#REF!),Y1201))</f>
        <v>RETORNADA</v>
      </c>
      <c r="Y1201" t="s">
        <v>1857</v>
      </c>
      <c r="Z1201" t="str">
        <f>IF(A1201="","",TEXT(A1201,"0")&amp;"|"&amp;TEXT(H1201,"0"))</f>
        <v>4921017877593620|46133</v>
      </c>
      <c r="AA1201" t="str">
        <f>IF(Z1201="","",IFERROR(LOOKUP(2,1/(#REF!=Z1201),#REF!),""))</f>
        <v/>
      </c>
      <c r="AB1201" t="str">
        <f>IF(Z1201="","",IFERROR(LOOKUP(2,1/(#REF!=Z1201),#REF!),""))</f>
        <v/>
      </c>
      <c r="AC1201" t="e">
        <f>IF(Z1201="","",COUNTIF(#REF!,Z1201))</f>
        <v>#REF!</v>
      </c>
      <c r="AD1201" t="e">
        <f>IF(A1201="","",IF(AC1201&gt;1,"REVISAR DUPLICADO",IF(AA1201&lt;&gt;"","ACTUALIZADO POR EYR","SIN REPORTE EYR")))</f>
        <v>#REF!</v>
      </c>
    </row>
    <row r="1202" spans="1:30" x14ac:dyDescent="0.3">
      <c r="A1202" s="5" t="s">
        <v>2125</v>
      </c>
      <c r="B1202" t="s">
        <v>2124</v>
      </c>
      <c r="C1202" s="4" t="s">
        <v>2123</v>
      </c>
      <c r="D1202" t="s">
        <v>21</v>
      </c>
      <c r="F1202" t="s">
        <v>2122</v>
      </c>
      <c r="G1202" s="3">
        <v>8094868033</v>
      </c>
      <c r="H1202" s="2">
        <v>46133</v>
      </c>
      <c r="K1202" s="1">
        <f ca="1">IF(A1202="","",IF(OR(L1202="ENTREGADA",L1202="RETORNADA",L1202="ENTREGA DIGITAL"),0,MAX(0,5-NETWORKDAYS(H1202+1,TODAY()))))</f>
        <v>0</v>
      </c>
      <c r="L1202" t="str">
        <f>IF(A1202="","",IFERROR(LOOKUP(2,1/(#REF!=Z1202),#REF!),Y1202))</f>
        <v>ENTREGADA</v>
      </c>
      <c r="Y1202" t="s">
        <v>1956</v>
      </c>
      <c r="Z1202" t="str">
        <f>IF(A1202="","",TEXT(A1202,"0")&amp;"|"&amp;TEXT(H1202,"0"))</f>
        <v>4921017877059170|46133</v>
      </c>
      <c r="AA1202" t="str">
        <f>IF(Z1202="","",IFERROR(LOOKUP(2,1/(#REF!=Z1202),#REF!),""))</f>
        <v/>
      </c>
      <c r="AB1202" t="str">
        <f>IF(Z1202="","",IFERROR(LOOKUP(2,1/(#REF!=Z1202),#REF!),""))</f>
        <v/>
      </c>
      <c r="AC1202" t="e">
        <f>IF(Z1202="","",COUNTIF(#REF!,Z1202))</f>
        <v>#REF!</v>
      </c>
      <c r="AD1202" t="e">
        <f>IF(A1202="","",IF(AC1202&gt;1,"REVISAR DUPLICADO",IF(AA1202&lt;&gt;"","ACTUALIZADO POR EYR","SIN REPORTE EYR")))</f>
        <v>#REF!</v>
      </c>
    </row>
    <row r="1203" spans="1:30" x14ac:dyDescent="0.3">
      <c r="A1203" s="5" t="s">
        <v>2121</v>
      </c>
      <c r="B1203" t="s">
        <v>2120</v>
      </c>
      <c r="C1203" s="4" t="s">
        <v>2119</v>
      </c>
      <c r="D1203" t="s">
        <v>21</v>
      </c>
      <c r="F1203" t="s">
        <v>13</v>
      </c>
      <c r="G1203" s="3">
        <v>8295055485</v>
      </c>
      <c r="H1203" s="2">
        <v>46133</v>
      </c>
      <c r="K1203" s="1">
        <f ca="1">IF(A1203="","",IF(OR(L1203="ENTREGADA",L1203="RETORNADA",L1203="ENTREGA DIGITAL"),0,MAX(0,5-NETWORKDAYS(H1203+1,TODAY()))))</f>
        <v>0</v>
      </c>
      <c r="L1203" t="str">
        <f>IF(A1203="","",IFERROR(LOOKUP(2,1/(#REF!=Z1203),#REF!),Y1203))</f>
        <v>ENTREGADA</v>
      </c>
      <c r="Y1203" t="s">
        <v>1956</v>
      </c>
      <c r="Z1203" t="str">
        <f>IF(A1203="","",TEXT(A1203,"0")&amp;"|"&amp;TEXT(H1203,"0"))</f>
        <v>4921017876384620|46133</v>
      </c>
      <c r="AA1203" t="str">
        <f>IF(Z1203="","",IFERROR(LOOKUP(2,1/(#REF!=Z1203),#REF!),""))</f>
        <v/>
      </c>
      <c r="AB1203" t="str">
        <f>IF(Z1203="","",IFERROR(LOOKUP(2,1/(#REF!=Z1203),#REF!),""))</f>
        <v/>
      </c>
      <c r="AC1203" t="e">
        <f>IF(Z1203="","",COUNTIF(#REF!,Z1203))</f>
        <v>#REF!</v>
      </c>
      <c r="AD1203" t="e">
        <f>IF(A1203="","",IF(AC1203&gt;1,"REVISAR DUPLICADO",IF(AA1203&lt;&gt;"","ACTUALIZADO POR EYR","SIN REPORTE EYR")))</f>
        <v>#REF!</v>
      </c>
    </row>
    <row r="1204" spans="1:30" x14ac:dyDescent="0.3">
      <c r="A1204" s="5" t="s">
        <v>2118</v>
      </c>
      <c r="B1204" t="s">
        <v>2117</v>
      </c>
      <c r="C1204" s="4" t="s">
        <v>2116</v>
      </c>
      <c r="D1204" t="s">
        <v>21</v>
      </c>
      <c r="F1204" t="s">
        <v>13</v>
      </c>
      <c r="G1204" s="3">
        <v>8294658617</v>
      </c>
      <c r="H1204" s="2">
        <v>46133</v>
      </c>
      <c r="K1204" s="1">
        <f ca="1">IF(A1204="","",IF(OR(L1204="ENTREGADA",L1204="RETORNADA",L1204="ENTREGA DIGITAL"),0,MAX(0,5-NETWORKDAYS(H1204+1,TODAY()))))</f>
        <v>0</v>
      </c>
      <c r="L1204" t="str">
        <f>IF(A1204="","",IFERROR(LOOKUP(2,1/(#REF!=Z1204),#REF!),Y1204))</f>
        <v>ENTREGADA</v>
      </c>
      <c r="Y1204" t="s">
        <v>1956</v>
      </c>
      <c r="Z1204" t="str">
        <f>IF(A1204="","",TEXT(A1204,"0")&amp;"|"&amp;TEXT(H1204,"0"))</f>
        <v>4921017876639080|46133</v>
      </c>
      <c r="AA1204" t="str">
        <f>IF(Z1204="","",IFERROR(LOOKUP(2,1/(#REF!=Z1204),#REF!),""))</f>
        <v/>
      </c>
      <c r="AB1204" t="str">
        <f>IF(Z1204="","",IFERROR(LOOKUP(2,1/(#REF!=Z1204),#REF!),""))</f>
        <v/>
      </c>
      <c r="AC1204" t="e">
        <f>IF(Z1204="","",COUNTIF(#REF!,Z1204))</f>
        <v>#REF!</v>
      </c>
      <c r="AD1204" t="e">
        <f>IF(A1204="","",IF(AC1204&gt;1,"REVISAR DUPLICADO",IF(AA1204&lt;&gt;"","ACTUALIZADO POR EYR","SIN REPORTE EYR")))</f>
        <v>#REF!</v>
      </c>
    </row>
    <row r="1205" spans="1:30" x14ac:dyDescent="0.3">
      <c r="A1205" s="5" t="s">
        <v>2115</v>
      </c>
      <c r="B1205" t="s">
        <v>2114</v>
      </c>
      <c r="C1205" s="4" t="s">
        <v>2113</v>
      </c>
      <c r="D1205" t="s">
        <v>21</v>
      </c>
      <c r="F1205" t="s">
        <v>13</v>
      </c>
      <c r="G1205" s="3">
        <v>8296960503</v>
      </c>
      <c r="H1205" s="2">
        <v>46133</v>
      </c>
      <c r="K1205" s="1">
        <f ca="1">IF(A1205="","",IF(OR(L1205="ENTREGADA",L1205="RETORNADA",L1205="ENTREGA DIGITAL"),0,MAX(0,5-NETWORKDAYS(H1205+1,TODAY()))))</f>
        <v>0</v>
      </c>
      <c r="L1205" t="str">
        <f>IF(A1205="","",IFERROR(LOOKUP(2,1/(#REF!=Z1205),#REF!),Y1205))</f>
        <v>ENTREGADA</v>
      </c>
      <c r="Y1205" t="s">
        <v>1956</v>
      </c>
      <c r="Z1205" t="str">
        <f>IF(A1205="","",TEXT(A1205,"0")&amp;"|"&amp;TEXT(H1205,"0"))</f>
        <v>4921017876607610|46133</v>
      </c>
      <c r="AA1205" t="str">
        <f>IF(Z1205="","",IFERROR(LOOKUP(2,1/(#REF!=Z1205),#REF!),""))</f>
        <v/>
      </c>
      <c r="AB1205" t="str">
        <f>IF(Z1205="","",IFERROR(LOOKUP(2,1/(#REF!=Z1205),#REF!),""))</f>
        <v/>
      </c>
      <c r="AC1205" t="e">
        <f>IF(Z1205="","",COUNTIF(#REF!,Z1205))</f>
        <v>#REF!</v>
      </c>
      <c r="AD1205" t="e">
        <f>IF(A1205="","",IF(AC1205&gt;1,"REVISAR DUPLICADO",IF(AA1205&lt;&gt;"","ACTUALIZADO POR EYR","SIN REPORTE EYR")))</f>
        <v>#REF!</v>
      </c>
    </row>
    <row r="1206" spans="1:30" x14ac:dyDescent="0.3">
      <c r="A1206" s="5" t="s">
        <v>2112</v>
      </c>
      <c r="B1206" t="s">
        <v>2111</v>
      </c>
      <c r="C1206" s="4" t="s">
        <v>2110</v>
      </c>
      <c r="D1206" t="s">
        <v>21</v>
      </c>
      <c r="F1206" t="s">
        <v>13</v>
      </c>
      <c r="G1206" s="3">
        <v>8299636739</v>
      </c>
      <c r="H1206" s="2">
        <v>46133</v>
      </c>
      <c r="K1206" s="1">
        <f ca="1">IF(A1206="","",IF(OR(L1206="ENTREGADA",L1206="RETORNADA",L1206="ENTREGA DIGITAL"),0,MAX(0,5-NETWORKDAYS(H1206+1,TODAY()))))</f>
        <v>0</v>
      </c>
      <c r="L1206" t="str">
        <f>IF(A1206="","",IFERROR(LOOKUP(2,1/(#REF!=Z1206),#REF!),Y1206))</f>
        <v>ENTREGADA</v>
      </c>
      <c r="Y1206" t="s">
        <v>1956</v>
      </c>
      <c r="Z1206" t="str">
        <f>IF(A1206="","",TEXT(A1206,"0")&amp;"|"&amp;TEXT(H1206,"0"))</f>
        <v>4921017874692790|46133</v>
      </c>
      <c r="AA1206" t="str">
        <f>IF(Z1206="","",IFERROR(LOOKUP(2,1/(#REF!=Z1206),#REF!),""))</f>
        <v/>
      </c>
      <c r="AB1206" t="str">
        <f>IF(Z1206="","",IFERROR(LOOKUP(2,1/(#REF!=Z1206),#REF!),""))</f>
        <v/>
      </c>
      <c r="AC1206" t="e">
        <f>IF(Z1206="","",COUNTIF(#REF!,Z1206))</f>
        <v>#REF!</v>
      </c>
      <c r="AD1206" t="e">
        <f>IF(A1206="","",IF(AC1206&gt;1,"REVISAR DUPLICADO",IF(AA1206&lt;&gt;"","ACTUALIZADO POR EYR","SIN REPORTE EYR")))</f>
        <v>#REF!</v>
      </c>
    </row>
    <row r="1207" spans="1:30" x14ac:dyDescent="0.3">
      <c r="A1207" s="5" t="s">
        <v>2109</v>
      </c>
      <c r="B1207" t="s">
        <v>2108</v>
      </c>
      <c r="C1207" s="4" t="s">
        <v>2107</v>
      </c>
      <c r="D1207" t="s">
        <v>77</v>
      </c>
      <c r="F1207" t="s">
        <v>13</v>
      </c>
      <c r="G1207" s="3">
        <v>8294181879</v>
      </c>
      <c r="H1207" s="2">
        <v>46134</v>
      </c>
      <c r="K1207" s="1">
        <f ca="1">IF(A1207="","",IF(OR(L1207="ENTREGADA",L1207="RETORNADA",L1207="ENTREGA DIGITAL"),0,MAX(0,5-NETWORKDAYS(H1207+1,TODAY()))))</f>
        <v>0</v>
      </c>
      <c r="L1207">
        <f>IF(A1207="","",IFERROR(LOOKUP(2,1/(#REF!=Z1207),#REF!),Y1207))</f>
        <v>0</v>
      </c>
      <c r="Z1207" t="str">
        <f>IF(A1207="","",TEXT(A1207,"0")&amp;"|"&amp;TEXT(H1207,"0"))</f>
        <v>5415017872393500|46134</v>
      </c>
      <c r="AA1207" t="str">
        <f>IF(Z1207="","",IFERROR(LOOKUP(2,1/(#REF!=Z1207),#REF!),""))</f>
        <v/>
      </c>
      <c r="AB1207" t="str">
        <f>IF(Z1207="","",IFERROR(LOOKUP(2,1/(#REF!=Z1207),#REF!),""))</f>
        <v/>
      </c>
      <c r="AC1207" t="e">
        <f>IF(Z1207="","",COUNTIF(#REF!,Z1207))</f>
        <v>#REF!</v>
      </c>
      <c r="AD1207" t="e">
        <f>IF(A1207="","",IF(AC1207&gt;1,"REVISAR DUPLICADO",IF(AA1207&lt;&gt;"","ACTUALIZADO POR EYR","SIN REPORTE EYR")))</f>
        <v>#REF!</v>
      </c>
    </row>
    <row r="1208" spans="1:30" x14ac:dyDescent="0.3">
      <c r="A1208" s="5" t="s">
        <v>2106</v>
      </c>
      <c r="B1208" t="s">
        <v>1922</v>
      </c>
      <c r="C1208" s="4" t="s">
        <v>1921</v>
      </c>
      <c r="D1208" t="s">
        <v>77</v>
      </c>
      <c r="F1208" t="s">
        <v>13</v>
      </c>
      <c r="G1208" s="3">
        <v>8293510299</v>
      </c>
      <c r="H1208" s="2">
        <v>46134</v>
      </c>
      <c r="K1208" s="1">
        <f ca="1">IF(A1208="","",IF(OR(L1208="ENTREGADA",L1208="RETORNADA",L1208="ENTREGA DIGITAL"),0,MAX(0,5-NETWORKDAYS(H1208+1,TODAY()))))</f>
        <v>0</v>
      </c>
      <c r="L1208">
        <f>IF(A1208="","",IFERROR(LOOKUP(2,1/(#REF!=Z1208),#REF!),Y1208))</f>
        <v>0</v>
      </c>
      <c r="Z1208" t="str">
        <f>IF(A1208="","",TEXT(A1208,"0")&amp;"|"&amp;TEXT(H1208,"0"))</f>
        <v>5227017873293030|46134</v>
      </c>
      <c r="AA1208" t="str">
        <f>IF(Z1208="","",IFERROR(LOOKUP(2,1/(#REF!=Z1208),#REF!),""))</f>
        <v/>
      </c>
      <c r="AB1208" t="str">
        <f>IF(Z1208="","",IFERROR(LOOKUP(2,1/(#REF!=Z1208),#REF!),""))</f>
        <v/>
      </c>
      <c r="AC1208" t="e">
        <f>IF(Z1208="","",COUNTIF(#REF!,Z1208))</f>
        <v>#REF!</v>
      </c>
      <c r="AD1208" t="e">
        <f>IF(A1208="","",IF(AC1208&gt;1,"REVISAR DUPLICADO",IF(AA1208&lt;&gt;"","ACTUALIZADO POR EYR","SIN REPORTE EYR")))</f>
        <v>#REF!</v>
      </c>
    </row>
    <row r="1209" spans="1:30" x14ac:dyDescent="0.3">
      <c r="A1209" s="5" t="s">
        <v>2105</v>
      </c>
      <c r="B1209" t="s">
        <v>2104</v>
      </c>
      <c r="C1209" s="4" t="s">
        <v>2103</v>
      </c>
      <c r="D1209" t="s">
        <v>77</v>
      </c>
      <c r="F1209" t="s">
        <v>13</v>
      </c>
      <c r="G1209" s="3">
        <v>8295915935</v>
      </c>
      <c r="H1209" s="2">
        <v>46134</v>
      </c>
      <c r="K1209" s="1">
        <f ca="1">IF(A1209="","",IF(OR(L1209="ENTREGADA",L1209="RETORNADA",L1209="ENTREGA DIGITAL"),0,MAX(0,5-NETWORKDAYS(H1209+1,TODAY()))))</f>
        <v>0</v>
      </c>
      <c r="L1209" t="str">
        <f>IF(A1209="","",IFERROR(LOOKUP(2,1/(#REF!=Z1209),#REF!),Y1209))</f>
        <v>ENTREGA DIGITAL</v>
      </c>
      <c r="Y1209" t="s">
        <v>1396</v>
      </c>
      <c r="Z1209" t="str">
        <f>IF(A1209="","",TEXT(A1209,"0")&amp;"|"&amp;TEXT(H1209,"0"))</f>
        <v>5415017878918040|46134</v>
      </c>
      <c r="AA1209" t="str">
        <f>IF(Z1209="","",IFERROR(LOOKUP(2,1/(#REF!=Z1209),#REF!),""))</f>
        <v/>
      </c>
      <c r="AB1209" t="str">
        <f>IF(Z1209="","",IFERROR(LOOKUP(2,1/(#REF!=Z1209),#REF!),""))</f>
        <v/>
      </c>
      <c r="AC1209" t="e">
        <f>IF(Z1209="","",COUNTIF(#REF!,Z1209))</f>
        <v>#REF!</v>
      </c>
      <c r="AD1209" t="e">
        <f>IF(A1209="","",IF(AC1209&gt;1,"REVISAR DUPLICADO",IF(AA1209&lt;&gt;"","ACTUALIZADO POR EYR","SIN REPORTE EYR")))</f>
        <v>#REF!</v>
      </c>
    </row>
    <row r="1210" spans="1:30" x14ac:dyDescent="0.3">
      <c r="A1210" s="5" t="s">
        <v>2102</v>
      </c>
      <c r="B1210" t="s">
        <v>2101</v>
      </c>
      <c r="C1210" s="4" t="s">
        <v>2100</v>
      </c>
      <c r="D1210" t="s">
        <v>77</v>
      </c>
      <c r="E1210" t="s">
        <v>214</v>
      </c>
      <c r="F1210" t="s">
        <v>2099</v>
      </c>
      <c r="G1210" s="3">
        <v>8296443610</v>
      </c>
      <c r="H1210" s="2">
        <v>46134</v>
      </c>
      <c r="K1210" s="1">
        <f ca="1">IF(A1210="","",IF(OR(L1210="ENTREGADA",L1210="RETORNADA",L1210="ENTREGA DIGITAL"),0,MAX(0,5-NETWORKDAYS(H1210+1,TODAY()))))</f>
        <v>0</v>
      </c>
      <c r="L1210">
        <f>IF(A1210="","",IFERROR(LOOKUP(2,1/(#REF!=Z1210),#REF!),Y1210))</f>
        <v>0</v>
      </c>
      <c r="Z1210" t="str">
        <f>IF(A1210="","",TEXT(A1210,"0")&amp;"|"&amp;TEXT(H1210,"0"))</f>
        <v>4921017882296650|46134</v>
      </c>
      <c r="AA1210" t="str">
        <f>IF(Z1210="","",IFERROR(LOOKUP(2,1/(#REF!=Z1210),#REF!),""))</f>
        <v/>
      </c>
      <c r="AB1210" t="str">
        <f>IF(Z1210="","",IFERROR(LOOKUP(2,1/(#REF!=Z1210),#REF!),""))</f>
        <v/>
      </c>
      <c r="AC1210" t="e">
        <f>IF(Z1210="","",COUNTIF(#REF!,Z1210))</f>
        <v>#REF!</v>
      </c>
      <c r="AD1210" t="e">
        <f>IF(A1210="","",IF(AC1210&gt;1,"REVISAR DUPLICADO",IF(AA1210&lt;&gt;"","ACTUALIZADO POR EYR","SIN REPORTE EYR")))</f>
        <v>#REF!</v>
      </c>
    </row>
    <row r="1211" spans="1:30" x14ac:dyDescent="0.3">
      <c r="A1211" s="5" t="s">
        <v>2098</v>
      </c>
      <c r="B1211" t="s">
        <v>2097</v>
      </c>
      <c r="C1211" s="4" t="s">
        <v>2096</v>
      </c>
      <c r="D1211" t="s">
        <v>77</v>
      </c>
      <c r="F1211" t="s">
        <v>13</v>
      </c>
      <c r="G1211" s="3">
        <v>8494555460</v>
      </c>
      <c r="H1211" s="2">
        <v>46134</v>
      </c>
      <c r="K1211" s="1">
        <f ca="1">IF(A1211="","",IF(OR(L1211="ENTREGADA",L1211="RETORNADA",L1211="ENTREGA DIGITAL"),0,MAX(0,5-NETWORKDAYS(H1211+1,TODAY()))))</f>
        <v>0</v>
      </c>
      <c r="L1211" t="str">
        <f>IF(A1211="","",IFERROR(LOOKUP(2,1/(#REF!=Z1211),#REF!),Y1211))</f>
        <v>ENTREGA DIGITAL</v>
      </c>
      <c r="Y1211" t="s">
        <v>1396</v>
      </c>
      <c r="Z1211" t="str">
        <f>IF(A1211="","",TEXT(A1211,"0")&amp;"|"&amp;TEXT(H1211,"0"))</f>
        <v>4921017881769510|46134</v>
      </c>
      <c r="AA1211" t="str">
        <f>IF(Z1211="","",IFERROR(LOOKUP(2,1/(#REF!=Z1211),#REF!),""))</f>
        <v/>
      </c>
      <c r="AB1211" t="str">
        <f>IF(Z1211="","",IFERROR(LOOKUP(2,1/(#REF!=Z1211),#REF!),""))</f>
        <v/>
      </c>
      <c r="AC1211" t="e">
        <f>IF(Z1211="","",COUNTIF(#REF!,Z1211))</f>
        <v>#REF!</v>
      </c>
      <c r="AD1211" t="e">
        <f>IF(A1211="","",IF(AC1211&gt;1,"REVISAR DUPLICADO",IF(AA1211&lt;&gt;"","ACTUALIZADO POR EYR","SIN REPORTE EYR")))</f>
        <v>#REF!</v>
      </c>
    </row>
    <row r="1212" spans="1:30" x14ac:dyDescent="0.3">
      <c r="A1212" s="5" t="s">
        <v>2095</v>
      </c>
      <c r="B1212" t="s">
        <v>2094</v>
      </c>
      <c r="C1212" s="4" t="s">
        <v>2093</v>
      </c>
      <c r="D1212" t="s">
        <v>77</v>
      </c>
      <c r="F1212" t="s">
        <v>13</v>
      </c>
      <c r="G1212" s="3">
        <v>8296834885</v>
      </c>
      <c r="H1212" s="2">
        <v>46134</v>
      </c>
      <c r="K1212" s="1">
        <f ca="1">IF(A1212="","",IF(OR(L1212="ENTREGADA",L1212="RETORNADA",L1212="ENTREGA DIGITAL"),0,MAX(0,5-NETWORKDAYS(H1212+1,TODAY()))))</f>
        <v>0</v>
      </c>
      <c r="L1212" t="str">
        <f>IF(A1212="","",IFERROR(LOOKUP(2,1/(#REF!=Z1212),#REF!),Y1212))</f>
        <v>ENTREGA DIGITAL</v>
      </c>
      <c r="Y1212" t="s">
        <v>1396</v>
      </c>
      <c r="Z1212" t="str">
        <f>IF(A1212="","",TEXT(A1212,"0")&amp;"|"&amp;TEXT(H1212,"0"))</f>
        <v>4025017877936250|46134</v>
      </c>
      <c r="AA1212" t="str">
        <f>IF(Z1212="","",IFERROR(LOOKUP(2,1/(#REF!=Z1212),#REF!),""))</f>
        <v/>
      </c>
      <c r="AB1212" t="str">
        <f>IF(Z1212="","",IFERROR(LOOKUP(2,1/(#REF!=Z1212),#REF!),""))</f>
        <v/>
      </c>
      <c r="AC1212" t="e">
        <f>IF(Z1212="","",COUNTIF(#REF!,Z1212))</f>
        <v>#REF!</v>
      </c>
      <c r="AD1212" t="e">
        <f>IF(A1212="","",IF(AC1212&gt;1,"REVISAR DUPLICADO",IF(AA1212&lt;&gt;"","ACTUALIZADO POR EYR","SIN REPORTE EYR")))</f>
        <v>#REF!</v>
      </c>
    </row>
    <row r="1213" spans="1:30" x14ac:dyDescent="0.3">
      <c r="A1213" s="5" t="s">
        <v>2092</v>
      </c>
      <c r="B1213" t="s">
        <v>2091</v>
      </c>
      <c r="C1213" s="4" t="s">
        <v>2090</v>
      </c>
      <c r="D1213" t="s">
        <v>77</v>
      </c>
      <c r="F1213" t="s">
        <v>13</v>
      </c>
      <c r="G1213" s="3">
        <v>8097872706</v>
      </c>
      <c r="H1213" s="2">
        <v>46134</v>
      </c>
      <c r="K1213" s="1">
        <f ca="1">IF(A1213="","",IF(OR(L1213="ENTREGADA",L1213="RETORNADA",L1213="ENTREGA DIGITAL"),0,MAX(0,5-NETWORKDAYS(H1213+1,TODAY()))))</f>
        <v>0</v>
      </c>
      <c r="L1213">
        <f>IF(A1213="","",IFERROR(LOOKUP(2,1/(#REF!=Z1213),#REF!),Y1213))</f>
        <v>0</v>
      </c>
      <c r="Z1213" t="str">
        <f>IF(A1213="","",TEXT(A1213,"0")&amp;"|"&amp;TEXT(H1213,"0"))</f>
        <v>5400017795496200|46134</v>
      </c>
      <c r="AA1213" t="str">
        <f>IF(Z1213="","",IFERROR(LOOKUP(2,1/(#REF!=Z1213),#REF!),""))</f>
        <v/>
      </c>
      <c r="AB1213" t="str">
        <f>IF(Z1213="","",IFERROR(LOOKUP(2,1/(#REF!=Z1213),#REF!),""))</f>
        <v/>
      </c>
      <c r="AC1213" t="e">
        <f>IF(Z1213="","",COUNTIF(#REF!,Z1213))</f>
        <v>#REF!</v>
      </c>
      <c r="AD1213" t="e">
        <f>IF(A1213="","",IF(AC1213&gt;1,"REVISAR DUPLICADO",IF(AA1213&lt;&gt;"","ACTUALIZADO POR EYR","SIN REPORTE EYR")))</f>
        <v>#REF!</v>
      </c>
    </row>
    <row r="1214" spans="1:30" x14ac:dyDescent="0.3">
      <c r="A1214" s="5" t="s">
        <v>2089</v>
      </c>
      <c r="B1214" t="s">
        <v>2088</v>
      </c>
      <c r="C1214" s="4" t="s">
        <v>2087</v>
      </c>
      <c r="D1214" t="s">
        <v>77</v>
      </c>
      <c r="F1214" t="s">
        <v>0</v>
      </c>
      <c r="G1214" s="3">
        <v>8293897756</v>
      </c>
      <c r="H1214" s="2">
        <v>46134</v>
      </c>
      <c r="K1214" s="1">
        <f ca="1">IF(A1214="","",IF(OR(L1214="ENTREGADA",L1214="RETORNADA",L1214="ENTREGA DIGITAL"),0,MAX(0,5-NETWORKDAYS(H1214+1,TODAY()))))</f>
        <v>0</v>
      </c>
      <c r="L1214" t="str">
        <f>IF(A1214="","",IFERROR(LOOKUP(2,1/(#REF!=Z1214),#REF!),Y1214))</f>
        <v>ENTREGA DIGITAL</v>
      </c>
      <c r="Y1214" t="s">
        <v>1396</v>
      </c>
      <c r="Z1214" t="str">
        <f>IF(A1214="","",TEXT(A1214,"0")&amp;"|"&amp;TEXT(H1214,"0"))</f>
        <v>5427017667684830|46134</v>
      </c>
      <c r="AA1214" t="str">
        <f>IF(Z1214="","",IFERROR(LOOKUP(2,1/(#REF!=Z1214),#REF!),""))</f>
        <v/>
      </c>
      <c r="AB1214" t="str">
        <f>IF(Z1214="","",IFERROR(LOOKUP(2,1/(#REF!=Z1214),#REF!),""))</f>
        <v/>
      </c>
      <c r="AC1214" t="e">
        <f>IF(Z1214="","",COUNTIF(#REF!,Z1214))</f>
        <v>#REF!</v>
      </c>
      <c r="AD1214" t="e">
        <f>IF(A1214="","",IF(AC1214&gt;1,"REVISAR DUPLICADO",IF(AA1214&lt;&gt;"","ACTUALIZADO POR EYR","SIN REPORTE EYR")))</f>
        <v>#REF!</v>
      </c>
    </row>
    <row r="1215" spans="1:30" x14ac:dyDescent="0.3">
      <c r="A1215" s="5" t="s">
        <v>2086</v>
      </c>
      <c r="B1215" t="s">
        <v>2085</v>
      </c>
      <c r="C1215" s="4" t="s">
        <v>2084</v>
      </c>
      <c r="D1215" t="s">
        <v>77</v>
      </c>
      <c r="F1215" t="s">
        <v>750</v>
      </c>
      <c r="G1215" s="3">
        <v>8097741661</v>
      </c>
      <c r="H1215" s="2">
        <v>46134</v>
      </c>
      <c r="K1215" s="1">
        <f ca="1">IF(A1215="","",IF(OR(L1215="ENTREGADA",L1215="RETORNADA",L1215="ENTREGA DIGITAL"),0,MAX(0,5-NETWORKDAYS(H1215+1,TODAY()))))</f>
        <v>0</v>
      </c>
      <c r="L1215" t="str">
        <f>IF(A1215="","",IFERROR(LOOKUP(2,1/(#REF!=Z1215),#REF!),Y1215))</f>
        <v>ENTREGA DIGITAL</v>
      </c>
      <c r="Y1215" t="s">
        <v>1396</v>
      </c>
      <c r="Z1215" t="str">
        <f>IF(A1215="","",TEXT(A1215,"0")&amp;"|"&amp;TEXT(H1215,"0"))</f>
        <v>5415017787082040|46134</v>
      </c>
      <c r="AA1215" t="str">
        <f>IF(Z1215="","",IFERROR(LOOKUP(2,1/(#REF!=Z1215),#REF!),""))</f>
        <v/>
      </c>
      <c r="AB1215" t="str">
        <f>IF(Z1215="","",IFERROR(LOOKUP(2,1/(#REF!=Z1215),#REF!),""))</f>
        <v/>
      </c>
      <c r="AC1215" t="e">
        <f>IF(Z1215="","",COUNTIF(#REF!,Z1215))</f>
        <v>#REF!</v>
      </c>
      <c r="AD1215" t="e">
        <f>IF(A1215="","",IF(AC1215&gt;1,"REVISAR DUPLICADO",IF(AA1215&lt;&gt;"","ACTUALIZADO POR EYR","SIN REPORTE EYR")))</f>
        <v>#REF!</v>
      </c>
    </row>
    <row r="1216" spans="1:30" x14ac:dyDescent="0.3">
      <c r="A1216" s="5" t="s">
        <v>2083</v>
      </c>
      <c r="B1216" t="s">
        <v>2082</v>
      </c>
      <c r="C1216" s="4" t="s">
        <v>2081</v>
      </c>
      <c r="D1216" t="s">
        <v>77</v>
      </c>
      <c r="F1216" t="s">
        <v>13</v>
      </c>
      <c r="G1216" s="3">
        <v>8094882541</v>
      </c>
      <c r="H1216" s="2">
        <v>46134</v>
      </c>
      <c r="I1216" t="s">
        <v>1397</v>
      </c>
      <c r="K1216" s="1">
        <f ca="1">IF(A1216="","",IF(OR(L1216="ENTREGADA",L1216="RETORNADA",L1216="ENTREGA DIGITAL"),0,MAX(0,5-NETWORKDAYS(H1216+1,TODAY()))))</f>
        <v>0</v>
      </c>
      <c r="L1216" t="str">
        <f>IF(A1216="","",IFERROR(LOOKUP(2,1/(#REF!=Z1216),#REF!),Y1216))</f>
        <v>ENTREGA DIGITAL</v>
      </c>
      <c r="Y1216" t="s">
        <v>1396</v>
      </c>
      <c r="Z1216" t="str">
        <f>IF(A1216="","",TEXT(A1216,"0")&amp;"|"&amp;TEXT(H1216,"0"))</f>
        <v>4741017882800780|46134</v>
      </c>
      <c r="AA1216" t="str">
        <f>IF(Z1216="","",IFERROR(LOOKUP(2,1/(#REF!=Z1216),#REF!),""))</f>
        <v/>
      </c>
      <c r="AB1216" t="str">
        <f>IF(Z1216="","",IFERROR(LOOKUP(2,1/(#REF!=Z1216),#REF!),""))</f>
        <v/>
      </c>
      <c r="AC1216" t="e">
        <f>IF(Z1216="","",COUNTIF(#REF!,Z1216))</f>
        <v>#REF!</v>
      </c>
      <c r="AD1216" t="e">
        <f>IF(A1216="","",IF(AC1216&gt;1,"REVISAR DUPLICADO",IF(AA1216&lt;&gt;"","ACTUALIZADO POR EYR","SIN REPORTE EYR")))</f>
        <v>#REF!</v>
      </c>
    </row>
    <row r="1217" spans="1:30" x14ac:dyDescent="0.3">
      <c r="A1217" s="5" t="s">
        <v>2080</v>
      </c>
      <c r="B1217" t="s">
        <v>2079</v>
      </c>
      <c r="C1217" s="4" t="s">
        <v>2078</v>
      </c>
      <c r="D1217" t="s">
        <v>77</v>
      </c>
      <c r="E1217" t="s">
        <v>214</v>
      </c>
      <c r="F1217" t="s">
        <v>2077</v>
      </c>
      <c r="G1217" s="3">
        <v>8496537219</v>
      </c>
      <c r="H1217" s="2">
        <v>46134</v>
      </c>
      <c r="K1217" s="1">
        <f ca="1">IF(A1217="","",IF(OR(L1217="ENTREGADA",L1217="RETORNADA",L1217="ENTREGA DIGITAL"),0,MAX(0,5-NETWORKDAYS(H1217+1,TODAY()))))</f>
        <v>0</v>
      </c>
      <c r="L1217" t="str">
        <f>IF(A1217="","",IFERROR(LOOKUP(2,1/(#REF!=Z1217),#REF!),Y1217))</f>
        <v>ENTREGA DIGITAL</v>
      </c>
      <c r="Y1217" t="s">
        <v>1396</v>
      </c>
      <c r="Z1217" t="str">
        <f>IF(A1217="","",TEXT(A1217,"0")&amp;"|"&amp;TEXT(H1217,"0"))</f>
        <v>4966017880731890|46134</v>
      </c>
      <c r="AA1217" t="str">
        <f>IF(Z1217="","",IFERROR(LOOKUP(2,1/(#REF!=Z1217),#REF!),""))</f>
        <v/>
      </c>
      <c r="AB1217" t="str">
        <f>IF(Z1217="","",IFERROR(LOOKUP(2,1/(#REF!=Z1217),#REF!),""))</f>
        <v/>
      </c>
      <c r="AC1217" t="e">
        <f>IF(Z1217="","",COUNTIF(#REF!,Z1217))</f>
        <v>#REF!</v>
      </c>
      <c r="AD1217" t="e">
        <f>IF(A1217="","",IF(AC1217&gt;1,"REVISAR DUPLICADO",IF(AA1217&lt;&gt;"","ACTUALIZADO POR EYR","SIN REPORTE EYR")))</f>
        <v>#REF!</v>
      </c>
    </row>
    <row r="1218" spans="1:30" x14ac:dyDescent="0.3">
      <c r="A1218" s="5" t="s">
        <v>2076</v>
      </c>
      <c r="B1218" t="s">
        <v>2075</v>
      </c>
      <c r="C1218" s="4" t="s">
        <v>2074</v>
      </c>
      <c r="D1218" t="s">
        <v>77</v>
      </c>
      <c r="E1218" t="s">
        <v>214</v>
      </c>
      <c r="F1218" t="s">
        <v>391</v>
      </c>
      <c r="G1218" s="3">
        <v>8099536870</v>
      </c>
      <c r="H1218" s="2">
        <v>46134</v>
      </c>
      <c r="I1218" t="s">
        <v>1397</v>
      </c>
      <c r="K1218" s="1">
        <f ca="1">IF(A1218="","",IF(OR(L1218="ENTREGADA",L1218="RETORNADA",L1218="ENTREGA DIGITAL"),0,MAX(0,5-NETWORKDAYS(H1218+1,TODAY()))))</f>
        <v>0</v>
      </c>
      <c r="L1218" t="str">
        <f>IF(A1218="","",IFERROR(LOOKUP(2,1/(#REF!=Z1218),#REF!),Y1218))</f>
        <v>ENTREGA DIGITAL</v>
      </c>
      <c r="Y1218" t="s">
        <v>1396</v>
      </c>
      <c r="Z1218" t="str">
        <f>IF(A1218="","",TEXT(A1218,"0")&amp;"|"&amp;TEXT(H1218,"0"))</f>
        <v>5188017880301030|46134</v>
      </c>
      <c r="AA1218" t="str">
        <f>IF(Z1218="","",IFERROR(LOOKUP(2,1/(#REF!=Z1218),#REF!),""))</f>
        <v/>
      </c>
      <c r="AB1218" t="str">
        <f>IF(Z1218="","",IFERROR(LOOKUP(2,1/(#REF!=Z1218),#REF!),""))</f>
        <v/>
      </c>
      <c r="AC1218" t="e">
        <f>IF(Z1218="","",COUNTIF(#REF!,Z1218))</f>
        <v>#REF!</v>
      </c>
      <c r="AD1218" t="e">
        <f>IF(A1218="","",IF(AC1218&gt;1,"REVISAR DUPLICADO",IF(AA1218&lt;&gt;"","ACTUALIZADO POR EYR","SIN REPORTE EYR")))</f>
        <v>#REF!</v>
      </c>
    </row>
    <row r="1219" spans="1:30" x14ac:dyDescent="0.3">
      <c r="A1219" s="5" t="s">
        <v>2073</v>
      </c>
      <c r="B1219" t="s">
        <v>2072</v>
      </c>
      <c r="C1219" s="4" t="s">
        <v>2071</v>
      </c>
      <c r="D1219" t="s">
        <v>77</v>
      </c>
      <c r="F1219" t="s">
        <v>13</v>
      </c>
      <c r="G1219" s="3">
        <v>8296971187</v>
      </c>
      <c r="H1219" s="2">
        <v>46134</v>
      </c>
      <c r="K1219" s="1">
        <f ca="1">IF(A1219="","",IF(OR(L1219="ENTREGADA",L1219="RETORNADA",L1219="ENTREGA DIGITAL"),0,MAX(0,5-NETWORKDAYS(H1219+1,TODAY()))))</f>
        <v>0</v>
      </c>
      <c r="L1219" t="str">
        <f>IF(A1219="","",IFERROR(LOOKUP(2,1/(#REF!=Z1219),#REF!),Y1219))</f>
        <v>ENTREGA DIGITAL</v>
      </c>
      <c r="Y1219" t="s">
        <v>1396</v>
      </c>
      <c r="Z1219" t="str">
        <f>IF(A1219="","",TEXT(A1219,"0")&amp;"|"&amp;TEXT(H1219,"0"))</f>
        <v>5188017880017470|46134</v>
      </c>
      <c r="AA1219" t="str">
        <f>IF(Z1219="","",IFERROR(LOOKUP(2,1/(#REF!=Z1219),#REF!),""))</f>
        <v/>
      </c>
      <c r="AB1219" t="str">
        <f>IF(Z1219="","",IFERROR(LOOKUP(2,1/(#REF!=Z1219),#REF!),""))</f>
        <v/>
      </c>
      <c r="AC1219" t="e">
        <f>IF(Z1219="","",COUNTIF(#REF!,Z1219))</f>
        <v>#REF!</v>
      </c>
      <c r="AD1219" t="e">
        <f>IF(A1219="","",IF(AC1219&gt;1,"REVISAR DUPLICADO",IF(AA1219&lt;&gt;"","ACTUALIZADO POR EYR","SIN REPORTE EYR")))</f>
        <v>#REF!</v>
      </c>
    </row>
    <row r="1220" spans="1:30" x14ac:dyDescent="0.3">
      <c r="A1220" s="5" t="s">
        <v>2070</v>
      </c>
      <c r="B1220" t="s">
        <v>2069</v>
      </c>
      <c r="C1220" s="4" t="s">
        <v>2068</v>
      </c>
      <c r="D1220" t="s">
        <v>77</v>
      </c>
      <c r="F1220" t="s">
        <v>13</v>
      </c>
      <c r="G1220" s="3">
        <v>8099230250</v>
      </c>
      <c r="H1220" s="2">
        <v>46134</v>
      </c>
      <c r="K1220" s="1">
        <f ca="1">IF(A1220="","",IF(OR(L1220="ENTREGADA",L1220="RETORNADA",L1220="ENTREGA DIGITAL"),0,MAX(0,5-NETWORKDAYS(H1220+1,TODAY()))))</f>
        <v>0</v>
      </c>
      <c r="L1220">
        <f>IF(A1220="","",IFERROR(LOOKUP(2,1/(#REF!=Z1220),#REF!),Y1220))</f>
        <v>0</v>
      </c>
      <c r="Z1220" t="str">
        <f>IF(A1220="","",TEXT(A1220,"0")&amp;"|"&amp;TEXT(H1220,"0"))</f>
        <v>4921017882480230|46134</v>
      </c>
      <c r="AA1220" t="str">
        <f>IF(Z1220="","",IFERROR(LOOKUP(2,1/(#REF!=Z1220),#REF!),""))</f>
        <v/>
      </c>
      <c r="AB1220" t="str">
        <f>IF(Z1220="","",IFERROR(LOOKUP(2,1/(#REF!=Z1220),#REF!),""))</f>
        <v/>
      </c>
      <c r="AC1220" t="e">
        <f>IF(Z1220="","",COUNTIF(#REF!,Z1220))</f>
        <v>#REF!</v>
      </c>
      <c r="AD1220" t="e">
        <f>IF(A1220="","",IF(AC1220&gt;1,"REVISAR DUPLICADO",IF(AA1220&lt;&gt;"","ACTUALIZADO POR EYR","SIN REPORTE EYR")))</f>
        <v>#REF!</v>
      </c>
    </row>
    <row r="1221" spans="1:30" x14ac:dyDescent="0.3">
      <c r="A1221" s="5" t="s">
        <v>2067</v>
      </c>
      <c r="B1221" t="s">
        <v>2066</v>
      </c>
      <c r="C1221" s="4" t="s">
        <v>2065</v>
      </c>
      <c r="D1221" t="s">
        <v>77</v>
      </c>
      <c r="F1221" t="s">
        <v>13</v>
      </c>
      <c r="G1221" s="3">
        <v>8295680541</v>
      </c>
      <c r="H1221" s="2">
        <v>46134</v>
      </c>
      <c r="K1221" s="1">
        <f ca="1">IF(A1221="","",IF(OR(L1221="ENTREGADA",L1221="RETORNADA",L1221="ENTREGA DIGITAL"),0,MAX(0,5-NETWORKDAYS(H1221+1,TODAY()))))</f>
        <v>0</v>
      </c>
      <c r="L1221" t="str">
        <f>IF(A1221="","",IFERROR(LOOKUP(2,1/(#REF!=Z1221),#REF!),Y1221))</f>
        <v>ENTREGA DIGITAL</v>
      </c>
      <c r="Y1221" t="s">
        <v>1396</v>
      </c>
      <c r="Z1221" t="str">
        <f>IF(A1221="","",TEXT(A1221,"0")&amp;"|"&amp;TEXT(H1221,"0"))</f>
        <v>4921017882228070|46134</v>
      </c>
      <c r="AA1221" t="str">
        <f>IF(Z1221="","",IFERROR(LOOKUP(2,1/(#REF!=Z1221),#REF!),""))</f>
        <v/>
      </c>
      <c r="AB1221" t="str">
        <f>IF(Z1221="","",IFERROR(LOOKUP(2,1/(#REF!=Z1221),#REF!),""))</f>
        <v/>
      </c>
      <c r="AC1221" t="e">
        <f>IF(Z1221="","",COUNTIF(#REF!,Z1221))</f>
        <v>#REF!</v>
      </c>
      <c r="AD1221" t="e">
        <f>IF(A1221="","",IF(AC1221&gt;1,"REVISAR DUPLICADO",IF(AA1221&lt;&gt;"","ACTUALIZADO POR EYR","SIN REPORTE EYR")))</f>
        <v>#REF!</v>
      </c>
    </row>
    <row r="1222" spans="1:30" x14ac:dyDescent="0.3">
      <c r="A1222" s="5" t="s">
        <v>2064</v>
      </c>
      <c r="B1222" t="s">
        <v>2063</v>
      </c>
      <c r="C1222" s="4" t="s">
        <v>2062</v>
      </c>
      <c r="D1222" t="s">
        <v>77</v>
      </c>
      <c r="F1222" t="s">
        <v>13</v>
      </c>
      <c r="G1222" s="3">
        <v>8097293964</v>
      </c>
      <c r="H1222" s="2">
        <v>46134</v>
      </c>
      <c r="K1222" s="1">
        <f ca="1">IF(A1222="","",IF(OR(L1222="ENTREGADA",L1222="RETORNADA",L1222="ENTREGA DIGITAL"),0,MAX(0,5-NETWORKDAYS(H1222+1,TODAY()))))</f>
        <v>0</v>
      </c>
      <c r="L1222" t="str">
        <f>IF(A1222="","",IFERROR(LOOKUP(2,1/(#REF!=Z1222),#REF!),Y1222))</f>
        <v>ENTREGA DIGITAL</v>
      </c>
      <c r="Y1222" t="s">
        <v>1396</v>
      </c>
      <c r="Z1222" t="str">
        <f>IF(A1222="","",TEXT(A1222,"0")&amp;"|"&amp;TEXT(H1222,"0"))</f>
        <v>4966017880741100|46134</v>
      </c>
      <c r="AA1222" t="str">
        <f>IF(Z1222="","",IFERROR(LOOKUP(2,1/(#REF!=Z1222),#REF!),""))</f>
        <v/>
      </c>
      <c r="AB1222" t="str">
        <f>IF(Z1222="","",IFERROR(LOOKUP(2,1/(#REF!=Z1222),#REF!),""))</f>
        <v/>
      </c>
      <c r="AC1222" t="e">
        <f>IF(Z1222="","",COUNTIF(#REF!,Z1222))</f>
        <v>#REF!</v>
      </c>
      <c r="AD1222" t="e">
        <f>IF(A1222="","",IF(AC1222&gt;1,"REVISAR DUPLICADO",IF(AA1222&lt;&gt;"","ACTUALIZADO POR EYR","SIN REPORTE EYR")))</f>
        <v>#REF!</v>
      </c>
    </row>
    <row r="1223" spans="1:30" x14ac:dyDescent="0.3">
      <c r="A1223" s="5" t="s">
        <v>2061</v>
      </c>
      <c r="B1223" t="s">
        <v>2060</v>
      </c>
      <c r="C1223" s="4" t="s">
        <v>2059</v>
      </c>
      <c r="D1223" t="s">
        <v>77</v>
      </c>
      <c r="F1223" t="s">
        <v>2058</v>
      </c>
      <c r="G1223" s="3">
        <v>8299303671</v>
      </c>
      <c r="H1223" s="2">
        <v>46134</v>
      </c>
      <c r="K1223" s="1">
        <f ca="1">IF(A1223="","",IF(OR(L1223="ENTREGADA",L1223="RETORNADA",L1223="ENTREGA DIGITAL"),0,MAX(0,5-NETWORKDAYS(H1223+1,TODAY()))))</f>
        <v>0</v>
      </c>
      <c r="L1223">
        <f>IF(A1223="","",IFERROR(LOOKUP(2,1/(#REF!=Z1223),#REF!),Y1223))</f>
        <v>0</v>
      </c>
      <c r="Z1223" t="str">
        <f>IF(A1223="","",TEXT(A1223,"0")&amp;"|"&amp;TEXT(H1223,"0"))</f>
        <v>4025017882639420|46134</v>
      </c>
      <c r="AA1223" t="str">
        <f>IF(Z1223="","",IFERROR(LOOKUP(2,1/(#REF!=Z1223),#REF!),""))</f>
        <v/>
      </c>
      <c r="AB1223" t="str">
        <f>IF(Z1223="","",IFERROR(LOOKUP(2,1/(#REF!=Z1223),#REF!),""))</f>
        <v/>
      </c>
      <c r="AC1223" t="e">
        <f>IF(Z1223="","",COUNTIF(#REF!,Z1223))</f>
        <v>#REF!</v>
      </c>
      <c r="AD1223" t="e">
        <f>IF(A1223="","",IF(AC1223&gt;1,"REVISAR DUPLICADO",IF(AA1223&lt;&gt;"","ACTUALIZADO POR EYR","SIN REPORTE EYR")))</f>
        <v>#REF!</v>
      </c>
    </row>
    <row r="1224" spans="1:30" x14ac:dyDescent="0.3">
      <c r="A1224" s="5" t="s">
        <v>2057</v>
      </c>
      <c r="B1224" t="s">
        <v>2056</v>
      </c>
      <c r="C1224" s="4" t="s">
        <v>2055</v>
      </c>
      <c r="D1224" t="s">
        <v>77</v>
      </c>
      <c r="F1224" t="s">
        <v>2054</v>
      </c>
      <c r="G1224" s="3">
        <v>8294750804</v>
      </c>
      <c r="H1224" s="2">
        <v>46134</v>
      </c>
      <c r="K1224" s="1">
        <f ca="1">IF(A1224="","",IF(OR(L1224="ENTREGADA",L1224="RETORNADA",L1224="ENTREGA DIGITAL"),0,MAX(0,5-NETWORKDAYS(H1224+1,TODAY()))))</f>
        <v>0</v>
      </c>
      <c r="L1224">
        <f>IF(A1224="","",IFERROR(LOOKUP(2,1/(#REF!=Z1224),#REF!),Y1224))</f>
        <v>0</v>
      </c>
      <c r="Z1224" t="str">
        <f>IF(A1224="","",TEXT(A1224,"0")&amp;"|"&amp;TEXT(H1224,"0"))</f>
        <v>5415017879522040|46134</v>
      </c>
      <c r="AA1224" t="str">
        <f>IF(Z1224="","",IFERROR(LOOKUP(2,1/(#REF!=Z1224),#REF!),""))</f>
        <v/>
      </c>
      <c r="AB1224" t="str">
        <f>IF(Z1224="","",IFERROR(LOOKUP(2,1/(#REF!=Z1224),#REF!),""))</f>
        <v/>
      </c>
      <c r="AC1224" t="e">
        <f>IF(Z1224="","",COUNTIF(#REF!,Z1224))</f>
        <v>#REF!</v>
      </c>
      <c r="AD1224" t="e">
        <f>IF(A1224="","",IF(AC1224&gt;1,"REVISAR DUPLICADO",IF(AA1224&lt;&gt;"","ACTUALIZADO POR EYR","SIN REPORTE EYR")))</f>
        <v>#REF!</v>
      </c>
    </row>
    <row r="1225" spans="1:30" x14ac:dyDescent="0.3">
      <c r="A1225" s="5" t="s">
        <v>2053</v>
      </c>
      <c r="B1225" t="s">
        <v>2052</v>
      </c>
      <c r="C1225" s="4" t="s">
        <v>2051</v>
      </c>
      <c r="D1225" t="s">
        <v>77</v>
      </c>
      <c r="F1225" t="s">
        <v>0</v>
      </c>
      <c r="G1225" s="3">
        <v>8295277857</v>
      </c>
      <c r="H1225" s="2">
        <v>46134</v>
      </c>
      <c r="I1225" t="s">
        <v>1397</v>
      </c>
      <c r="K1225" s="1">
        <f ca="1">IF(A1225="","",IF(OR(L1225="ENTREGADA",L1225="RETORNADA",L1225="ENTREGA DIGITAL"),0,MAX(0,5-NETWORKDAYS(H1225+1,TODAY()))))</f>
        <v>0</v>
      </c>
      <c r="L1225" t="str">
        <f>IF(A1225="","",IFERROR(LOOKUP(2,1/(#REF!=Z1225),#REF!),Y1225))</f>
        <v>ENTREGA DIGITAL</v>
      </c>
      <c r="Y1225" t="s">
        <v>1396</v>
      </c>
      <c r="Z1225" t="str">
        <f>IF(A1225="","",TEXT(A1225,"0")&amp;"|"&amp;TEXT(H1225,"0"))</f>
        <v>5188017866595330|46134</v>
      </c>
      <c r="AA1225" t="str">
        <f>IF(Z1225="","",IFERROR(LOOKUP(2,1/(#REF!=Z1225),#REF!),""))</f>
        <v/>
      </c>
      <c r="AB1225" t="str">
        <f>IF(Z1225="","",IFERROR(LOOKUP(2,1/(#REF!=Z1225),#REF!),""))</f>
        <v/>
      </c>
      <c r="AC1225" t="e">
        <f>IF(Z1225="","",COUNTIF(#REF!,Z1225))</f>
        <v>#REF!</v>
      </c>
      <c r="AD1225" t="e">
        <f>IF(A1225="","",IF(AC1225&gt;1,"REVISAR DUPLICADO",IF(AA1225&lt;&gt;"","ACTUALIZADO POR EYR","SIN REPORTE EYR")))</f>
        <v>#REF!</v>
      </c>
    </row>
    <row r="1226" spans="1:30" x14ac:dyDescent="0.3">
      <c r="A1226" s="5" t="s">
        <v>2050</v>
      </c>
      <c r="B1226" t="s">
        <v>2049</v>
      </c>
      <c r="C1226" s="4" t="s">
        <v>2048</v>
      </c>
      <c r="D1226" t="s">
        <v>77</v>
      </c>
      <c r="F1226" t="s">
        <v>13</v>
      </c>
      <c r="G1226" s="3">
        <v>8293150952</v>
      </c>
      <c r="H1226" s="2">
        <v>46134</v>
      </c>
      <c r="K1226" s="1">
        <f ca="1">IF(A1226="","",IF(OR(L1226="ENTREGADA",L1226="RETORNADA",L1226="ENTREGA DIGITAL"),0,MAX(0,5-NETWORKDAYS(H1226+1,TODAY()))))</f>
        <v>0</v>
      </c>
      <c r="L1226" t="str">
        <f>IF(A1226="","",IFERROR(LOOKUP(2,1/(#REF!=Z1226),#REF!),Y1226))</f>
        <v>ENTREGA DIGITAL</v>
      </c>
      <c r="Y1226" t="s">
        <v>1396</v>
      </c>
      <c r="Z1226" t="str">
        <f>IF(A1226="","",TEXT(A1226,"0")&amp;"|"&amp;TEXT(H1226,"0"))</f>
        <v>5415017879548580|46134</v>
      </c>
      <c r="AA1226" t="str">
        <f>IF(Z1226="","",IFERROR(LOOKUP(2,1/(#REF!=Z1226),#REF!),""))</f>
        <v/>
      </c>
      <c r="AB1226" t="str">
        <f>IF(Z1226="","",IFERROR(LOOKUP(2,1/(#REF!=Z1226),#REF!),""))</f>
        <v/>
      </c>
      <c r="AC1226" t="e">
        <f>IF(Z1226="","",COUNTIF(#REF!,Z1226))</f>
        <v>#REF!</v>
      </c>
      <c r="AD1226" t="e">
        <f>IF(A1226="","",IF(AC1226&gt;1,"REVISAR DUPLICADO",IF(AA1226&lt;&gt;"","ACTUALIZADO POR EYR","SIN REPORTE EYR")))</f>
        <v>#REF!</v>
      </c>
    </row>
    <row r="1227" spans="1:30" x14ac:dyDescent="0.3">
      <c r="A1227" s="5" t="s">
        <v>2047</v>
      </c>
      <c r="B1227" t="s">
        <v>2046</v>
      </c>
      <c r="C1227" s="4" t="s">
        <v>2045</v>
      </c>
      <c r="D1227" t="s">
        <v>21</v>
      </c>
      <c r="F1227" t="s">
        <v>13</v>
      </c>
      <c r="G1227" s="3">
        <v>8094166008</v>
      </c>
      <c r="H1227" s="2">
        <v>46134</v>
      </c>
      <c r="K1227" s="1">
        <f ca="1">IF(A1227="","",IF(OR(L1227="ENTREGADA",L1227="RETORNADA",L1227="ENTREGA DIGITAL"),0,MAX(0,5-NETWORKDAYS(H1227+1,TODAY()))))</f>
        <v>0</v>
      </c>
      <c r="L1227">
        <f>IF(A1227="","",IFERROR(LOOKUP(2,1/(#REF!=Z1227),#REF!),Y1227))</f>
        <v>0</v>
      </c>
      <c r="Z1227" t="str">
        <f>IF(A1227="","",TEXT(A1227,"0")&amp;"|"&amp;TEXT(H1227,"0"))</f>
        <v>5415017871585800|46134</v>
      </c>
      <c r="AA1227" t="str">
        <f>IF(Z1227="","",IFERROR(LOOKUP(2,1/(#REF!=Z1227),#REF!),""))</f>
        <v/>
      </c>
      <c r="AB1227" t="str">
        <f>IF(Z1227="","",IFERROR(LOOKUP(2,1/(#REF!=Z1227),#REF!),""))</f>
        <v/>
      </c>
      <c r="AC1227" t="e">
        <f>IF(Z1227="","",COUNTIF(#REF!,Z1227))</f>
        <v>#REF!</v>
      </c>
      <c r="AD1227" t="e">
        <f>IF(A1227="","",IF(AC1227&gt;1,"REVISAR DUPLICADO",IF(AA1227&lt;&gt;"","ACTUALIZADO POR EYR","SIN REPORTE EYR")))</f>
        <v>#REF!</v>
      </c>
    </row>
    <row r="1228" spans="1:30" x14ac:dyDescent="0.3">
      <c r="A1228" s="5" t="s">
        <v>2044</v>
      </c>
      <c r="B1228" t="s">
        <v>2043</v>
      </c>
      <c r="C1228" s="4" t="s">
        <v>2042</v>
      </c>
      <c r="D1228" t="s">
        <v>21</v>
      </c>
      <c r="F1228" t="s">
        <v>2041</v>
      </c>
      <c r="G1228" s="3">
        <v>8295136761</v>
      </c>
      <c r="H1228" s="2">
        <v>46134</v>
      </c>
      <c r="K1228" s="1">
        <f ca="1">IF(A1228="","",IF(OR(L1228="ENTREGADA",L1228="RETORNADA",L1228="ENTREGA DIGITAL"),0,MAX(0,5-NETWORKDAYS(H1228+1,TODAY()))))</f>
        <v>0</v>
      </c>
      <c r="L1228" t="str">
        <f>IF(A1228="","",IFERROR(LOOKUP(2,1/(#REF!=Z1228),#REF!),Y1228))</f>
        <v>ENTREGADA</v>
      </c>
      <c r="Y1228" t="s">
        <v>1956</v>
      </c>
      <c r="Z1228" t="str">
        <f>IF(A1228="","",TEXT(A1228,"0")&amp;"|"&amp;TEXT(H1228,"0"))</f>
        <v>5415017879370060|46134</v>
      </c>
      <c r="AA1228" t="str">
        <f>IF(Z1228="","",IFERROR(LOOKUP(2,1/(#REF!=Z1228),#REF!),""))</f>
        <v/>
      </c>
      <c r="AB1228" t="str">
        <f>IF(Z1228="","",IFERROR(LOOKUP(2,1/(#REF!=Z1228),#REF!),""))</f>
        <v/>
      </c>
      <c r="AC1228" t="e">
        <f>IF(Z1228="","",COUNTIF(#REF!,Z1228))</f>
        <v>#REF!</v>
      </c>
      <c r="AD1228" t="e">
        <f>IF(A1228="","",IF(AC1228&gt;1,"REVISAR DUPLICADO",IF(AA1228&lt;&gt;"","ACTUALIZADO POR EYR","SIN REPORTE EYR")))</f>
        <v>#REF!</v>
      </c>
    </row>
    <row r="1229" spans="1:30" x14ac:dyDescent="0.3">
      <c r="A1229" s="5" t="s">
        <v>2040</v>
      </c>
      <c r="B1229" t="s">
        <v>2039</v>
      </c>
      <c r="C1229" s="4" t="s">
        <v>2038</v>
      </c>
      <c r="D1229" t="s">
        <v>21</v>
      </c>
      <c r="F1229" t="s">
        <v>2037</v>
      </c>
      <c r="G1229" s="3">
        <v>8294611289</v>
      </c>
      <c r="H1229" s="2">
        <v>46134</v>
      </c>
      <c r="K1229" s="1">
        <f ca="1">IF(A1229="","",IF(OR(L1229="ENTREGADA",L1229="RETORNADA",L1229="ENTREGA DIGITAL"),0,MAX(0,5-NETWORKDAYS(H1229+1,TODAY()))))</f>
        <v>0</v>
      </c>
      <c r="L1229" t="str">
        <f>IF(A1229="","",IFERROR(LOOKUP(2,1/(#REF!=Z1229),#REF!),Y1229))</f>
        <v>ENTREGADA</v>
      </c>
      <c r="Y1229" t="s">
        <v>1956</v>
      </c>
      <c r="Z1229" t="str">
        <f>IF(A1229="","",TEXT(A1229,"0")&amp;"|"&amp;TEXT(H1229,"0"))</f>
        <v>4921017874722140|46134</v>
      </c>
      <c r="AA1229" t="str">
        <f>IF(Z1229="","",IFERROR(LOOKUP(2,1/(#REF!=Z1229),#REF!),""))</f>
        <v/>
      </c>
      <c r="AB1229" t="str">
        <f>IF(Z1229="","",IFERROR(LOOKUP(2,1/(#REF!=Z1229),#REF!),""))</f>
        <v/>
      </c>
      <c r="AC1229" t="e">
        <f>IF(Z1229="","",COUNTIF(#REF!,Z1229))</f>
        <v>#REF!</v>
      </c>
      <c r="AD1229" t="e">
        <f>IF(A1229="","",IF(AC1229&gt;1,"REVISAR DUPLICADO",IF(AA1229&lt;&gt;"","ACTUALIZADO POR EYR","SIN REPORTE EYR")))</f>
        <v>#REF!</v>
      </c>
    </row>
    <row r="1230" spans="1:30" x14ac:dyDescent="0.3">
      <c r="A1230" s="5" t="s">
        <v>2036</v>
      </c>
      <c r="B1230" t="s">
        <v>2035</v>
      </c>
      <c r="C1230" s="4" t="s">
        <v>2034</v>
      </c>
      <c r="D1230" t="s">
        <v>21</v>
      </c>
      <c r="F1230" t="s">
        <v>2033</v>
      </c>
      <c r="G1230" s="3">
        <v>8299577188</v>
      </c>
      <c r="H1230" s="2">
        <v>46134</v>
      </c>
      <c r="I1230" t="s">
        <v>1397</v>
      </c>
      <c r="K1230" s="1">
        <f ca="1">IF(A1230="","",IF(OR(L1230="ENTREGADA",L1230="RETORNADA",L1230="ENTREGA DIGITAL"),0,MAX(0,5-NETWORKDAYS(H1230+1,TODAY()))))</f>
        <v>0</v>
      </c>
      <c r="L1230" t="str">
        <f>IF(A1230="","",IFERROR(LOOKUP(2,1/(#REF!=Z1230),#REF!),Y1230))</f>
        <v>ENTREGA DIGITAL</v>
      </c>
      <c r="Y1230" t="s">
        <v>1396</v>
      </c>
      <c r="Z1230" t="str">
        <f>IF(A1230="","",TEXT(A1230,"0")&amp;"|"&amp;TEXT(H1230,"0"))</f>
        <v>4921017881074800|46134</v>
      </c>
      <c r="AA1230" t="str">
        <f>IF(Z1230="","",IFERROR(LOOKUP(2,1/(#REF!=Z1230),#REF!),""))</f>
        <v/>
      </c>
      <c r="AB1230" t="str">
        <f>IF(Z1230="","",IFERROR(LOOKUP(2,1/(#REF!=Z1230),#REF!),""))</f>
        <v/>
      </c>
      <c r="AC1230" t="e">
        <f>IF(Z1230="","",COUNTIF(#REF!,Z1230))</f>
        <v>#REF!</v>
      </c>
      <c r="AD1230" t="e">
        <f>IF(A1230="","",IF(AC1230&gt;1,"REVISAR DUPLICADO",IF(AA1230&lt;&gt;"","ACTUALIZADO POR EYR","SIN REPORTE EYR")))</f>
        <v>#REF!</v>
      </c>
    </row>
    <row r="1231" spans="1:30" x14ac:dyDescent="0.3">
      <c r="A1231" s="5" t="s">
        <v>2032</v>
      </c>
      <c r="B1231" t="s">
        <v>2031</v>
      </c>
      <c r="C1231" s="4" t="s">
        <v>2030</v>
      </c>
      <c r="D1231" t="s">
        <v>21</v>
      </c>
      <c r="F1231" t="s">
        <v>2029</v>
      </c>
      <c r="G1231" s="3">
        <v>8093541431</v>
      </c>
      <c r="H1231" s="2">
        <v>46134</v>
      </c>
      <c r="I1231" t="s">
        <v>1397</v>
      </c>
      <c r="K1231" s="1">
        <f ca="1">IF(A1231="","",IF(OR(L1231="ENTREGADA",L1231="RETORNADA",L1231="ENTREGA DIGITAL"),0,MAX(0,5-NETWORKDAYS(H1231+1,TODAY()))))</f>
        <v>0</v>
      </c>
      <c r="L1231" t="str">
        <f>IF(A1231="","",IFERROR(LOOKUP(2,1/(#REF!=Z1231),#REF!),Y1231))</f>
        <v>ENTREGADA</v>
      </c>
      <c r="Y1231" t="s">
        <v>1956</v>
      </c>
      <c r="Z1231" t="str">
        <f>IF(A1231="","",TEXT(A1231,"0")&amp;"|"&amp;TEXT(H1231,"0"))</f>
        <v>5400017879888070|46134</v>
      </c>
      <c r="AA1231" t="str">
        <f>IF(Z1231="","",IFERROR(LOOKUP(2,1/(#REF!=Z1231),#REF!),""))</f>
        <v/>
      </c>
      <c r="AB1231" t="str">
        <f>IF(Z1231="","",IFERROR(LOOKUP(2,1/(#REF!=Z1231),#REF!),""))</f>
        <v/>
      </c>
      <c r="AC1231" t="e">
        <f>IF(Z1231="","",COUNTIF(#REF!,Z1231))</f>
        <v>#REF!</v>
      </c>
      <c r="AD1231" t="e">
        <f>IF(A1231="","",IF(AC1231&gt;1,"REVISAR DUPLICADO",IF(AA1231&lt;&gt;"","ACTUALIZADO POR EYR","SIN REPORTE EYR")))</f>
        <v>#REF!</v>
      </c>
    </row>
    <row r="1232" spans="1:30" x14ac:dyDescent="0.3">
      <c r="A1232" s="5" t="s">
        <v>2028</v>
      </c>
      <c r="B1232" t="s">
        <v>2027</v>
      </c>
      <c r="C1232" s="4" t="s">
        <v>2026</v>
      </c>
      <c r="D1232" t="s">
        <v>21</v>
      </c>
      <c r="F1232" t="s">
        <v>13</v>
      </c>
      <c r="G1232" s="3">
        <v>8494679696</v>
      </c>
      <c r="H1232" s="2">
        <v>46134</v>
      </c>
      <c r="K1232" s="1">
        <f ca="1">IF(A1232="","",IF(OR(L1232="ENTREGADA",L1232="RETORNADA",L1232="ENTREGA DIGITAL"),0,MAX(0,5-NETWORKDAYS(H1232+1,TODAY()))))</f>
        <v>0</v>
      </c>
      <c r="L1232" t="str">
        <f>IF(A1232="","",IFERROR(LOOKUP(2,1/(#REF!=Z1232),#REF!),Y1232))</f>
        <v>ENTREGA DIGITAL</v>
      </c>
      <c r="Y1232" t="s">
        <v>1396</v>
      </c>
      <c r="Z1232" t="str">
        <f>IF(A1232="","",TEXT(A1232,"0")&amp;"|"&amp;TEXT(H1232,"0"))</f>
        <v>5415017871441650|46134</v>
      </c>
      <c r="AA1232" t="str">
        <f>IF(Z1232="","",IFERROR(LOOKUP(2,1/(#REF!=Z1232),#REF!),""))</f>
        <v/>
      </c>
      <c r="AB1232" t="str">
        <f>IF(Z1232="","",IFERROR(LOOKUP(2,1/(#REF!=Z1232),#REF!),""))</f>
        <v/>
      </c>
      <c r="AC1232" t="e">
        <f>IF(Z1232="","",COUNTIF(#REF!,Z1232))</f>
        <v>#REF!</v>
      </c>
      <c r="AD1232" t="e">
        <f>IF(A1232="","",IF(AC1232&gt;1,"REVISAR DUPLICADO",IF(AA1232&lt;&gt;"","ACTUALIZADO POR EYR","SIN REPORTE EYR")))</f>
        <v>#REF!</v>
      </c>
    </row>
    <row r="1233" spans="1:30" x14ac:dyDescent="0.3">
      <c r="A1233" s="5" t="s">
        <v>2025</v>
      </c>
      <c r="B1233" t="s">
        <v>2024</v>
      </c>
      <c r="C1233" s="4" t="s">
        <v>2023</v>
      </c>
      <c r="D1233" t="s">
        <v>21</v>
      </c>
      <c r="F1233" t="s">
        <v>13</v>
      </c>
      <c r="G1233" s="3">
        <v>8296683295</v>
      </c>
      <c r="H1233" s="2">
        <v>46134</v>
      </c>
      <c r="I1233" t="s">
        <v>1397</v>
      </c>
      <c r="K1233" s="1">
        <f ca="1">IF(A1233="","",IF(OR(L1233="ENTREGADA",L1233="RETORNADA",L1233="ENTREGA DIGITAL"),0,MAX(0,5-NETWORKDAYS(H1233+1,TODAY()))))</f>
        <v>0</v>
      </c>
      <c r="L1233" t="str">
        <f>IF(A1233="","",IFERROR(LOOKUP(2,1/(#REF!=Z1233),#REF!),Y1233))</f>
        <v>ENTREGADA</v>
      </c>
      <c r="Y1233" t="s">
        <v>1956</v>
      </c>
      <c r="Z1233" t="str">
        <f>IF(A1233="","",TEXT(A1233,"0")&amp;"|"&amp;TEXT(H1233,"0"))</f>
        <v>5415017873104440|46134</v>
      </c>
      <c r="AA1233" t="str">
        <f>IF(Z1233="","",IFERROR(LOOKUP(2,1/(#REF!=Z1233),#REF!),""))</f>
        <v/>
      </c>
      <c r="AB1233" t="str">
        <f>IF(Z1233="","",IFERROR(LOOKUP(2,1/(#REF!=Z1233),#REF!),""))</f>
        <v/>
      </c>
      <c r="AC1233" t="e">
        <f>IF(Z1233="","",COUNTIF(#REF!,Z1233))</f>
        <v>#REF!</v>
      </c>
      <c r="AD1233" t="e">
        <f>IF(A1233="","",IF(AC1233&gt;1,"REVISAR DUPLICADO",IF(AA1233&lt;&gt;"","ACTUALIZADO POR EYR","SIN REPORTE EYR")))</f>
        <v>#REF!</v>
      </c>
    </row>
    <row r="1234" spans="1:30" x14ac:dyDescent="0.3">
      <c r="A1234" s="5" t="s">
        <v>2022</v>
      </c>
      <c r="B1234" t="s">
        <v>2021</v>
      </c>
      <c r="C1234" s="4" t="s">
        <v>2020</v>
      </c>
      <c r="D1234" t="s">
        <v>21</v>
      </c>
      <c r="F1234" t="s">
        <v>2019</v>
      </c>
      <c r="G1234" s="3">
        <v>8492032422</v>
      </c>
      <c r="H1234" s="2">
        <v>46134</v>
      </c>
      <c r="K1234" s="1">
        <f ca="1">IF(A1234="","",IF(OR(L1234="ENTREGADA",L1234="RETORNADA",L1234="ENTREGA DIGITAL"),0,MAX(0,5-NETWORKDAYS(H1234+1,TODAY()))))</f>
        <v>0</v>
      </c>
      <c r="L1234" t="str">
        <f>IF(A1234="","",IFERROR(LOOKUP(2,1/(#REF!=Z1234),#REF!),Y1234))</f>
        <v>ENTREGADA</v>
      </c>
      <c r="Y1234" t="s">
        <v>1956</v>
      </c>
      <c r="Z1234" t="str">
        <f>IF(A1234="","",TEXT(A1234,"0")&amp;"|"&amp;TEXT(H1234,"0"))</f>
        <v>4921017876377720|46134</v>
      </c>
      <c r="AA1234" t="str">
        <f>IF(Z1234="","",IFERROR(LOOKUP(2,1/(#REF!=Z1234),#REF!),""))</f>
        <v/>
      </c>
      <c r="AB1234" t="str">
        <f>IF(Z1234="","",IFERROR(LOOKUP(2,1/(#REF!=Z1234),#REF!),""))</f>
        <v/>
      </c>
      <c r="AC1234" t="e">
        <f>IF(Z1234="","",COUNTIF(#REF!,Z1234))</f>
        <v>#REF!</v>
      </c>
      <c r="AD1234" t="e">
        <f>IF(A1234="","",IF(AC1234&gt;1,"REVISAR DUPLICADO",IF(AA1234&lt;&gt;"","ACTUALIZADO POR EYR","SIN REPORTE EYR")))</f>
        <v>#REF!</v>
      </c>
    </row>
    <row r="1235" spans="1:30" x14ac:dyDescent="0.3">
      <c r="A1235" s="5" t="s">
        <v>2018</v>
      </c>
      <c r="B1235" t="s">
        <v>2017</v>
      </c>
      <c r="C1235" s="4" t="s">
        <v>2016</v>
      </c>
      <c r="D1235" t="s">
        <v>21</v>
      </c>
      <c r="F1235" t="s">
        <v>13</v>
      </c>
      <c r="G1235" s="3">
        <v>9999999999</v>
      </c>
      <c r="H1235" s="2">
        <v>46134</v>
      </c>
      <c r="I1235" t="s">
        <v>1397</v>
      </c>
      <c r="K1235" s="1">
        <f ca="1">IF(A1235="","",IF(OR(L1235="ENTREGADA",L1235="RETORNADA",L1235="ENTREGA DIGITAL"),0,MAX(0,5-NETWORKDAYS(H1235+1,TODAY()))))</f>
        <v>0</v>
      </c>
      <c r="L1235" t="str">
        <f>IF(A1235="","",IFERROR(LOOKUP(2,1/(#REF!=Z1235),#REF!),Y1235))</f>
        <v>ENTREGA DIGITAL</v>
      </c>
      <c r="Y1235" t="s">
        <v>1396</v>
      </c>
      <c r="Z1235" t="str">
        <f>IF(A1235="","",TEXT(A1235,"0")&amp;"|"&amp;TEXT(H1235,"0"))</f>
        <v>4921017874453770|46134</v>
      </c>
      <c r="AA1235" t="str">
        <f>IF(Z1235="","",IFERROR(LOOKUP(2,1/(#REF!=Z1235),#REF!),""))</f>
        <v/>
      </c>
      <c r="AB1235" t="str">
        <f>IF(Z1235="","",IFERROR(LOOKUP(2,1/(#REF!=Z1235),#REF!),""))</f>
        <v/>
      </c>
      <c r="AC1235" t="e">
        <f>IF(Z1235="","",COUNTIF(#REF!,Z1235))</f>
        <v>#REF!</v>
      </c>
      <c r="AD1235" t="e">
        <f>IF(A1235="","",IF(AC1235&gt;1,"REVISAR DUPLICADO",IF(AA1235&lt;&gt;"","ACTUALIZADO POR EYR","SIN REPORTE EYR")))</f>
        <v>#REF!</v>
      </c>
    </row>
    <row r="1236" spans="1:30" x14ac:dyDescent="0.3">
      <c r="A1236" s="5" t="s">
        <v>2015</v>
      </c>
      <c r="B1236" t="s">
        <v>2014</v>
      </c>
      <c r="C1236" s="4" t="s">
        <v>2013</v>
      </c>
      <c r="D1236" t="s">
        <v>21</v>
      </c>
      <c r="F1236" t="s">
        <v>1510</v>
      </c>
      <c r="G1236" s="3">
        <v>8299692765</v>
      </c>
      <c r="H1236" s="2">
        <v>46134</v>
      </c>
      <c r="K1236" s="1">
        <f ca="1">IF(A1236="","",IF(OR(L1236="ENTREGADA",L1236="RETORNADA",L1236="ENTREGA DIGITAL"),0,MAX(0,5-NETWORKDAYS(H1236+1,TODAY()))))</f>
        <v>0</v>
      </c>
      <c r="L1236">
        <f>IF(A1236="","",IFERROR(LOOKUP(2,1/(#REF!=Z1236),#REF!),Y1236))</f>
        <v>0</v>
      </c>
      <c r="Z1236" t="str">
        <f>IF(A1236="","",TEXT(A1236,"0")&amp;"|"&amp;TEXT(H1236,"0"))</f>
        <v>4921017880422870|46134</v>
      </c>
      <c r="AA1236" t="str">
        <f>IF(Z1236="","",IFERROR(LOOKUP(2,1/(#REF!=Z1236),#REF!),""))</f>
        <v/>
      </c>
      <c r="AB1236" t="str">
        <f>IF(Z1236="","",IFERROR(LOOKUP(2,1/(#REF!=Z1236),#REF!),""))</f>
        <v/>
      </c>
      <c r="AC1236" t="e">
        <f>IF(Z1236="","",COUNTIF(#REF!,Z1236))</f>
        <v>#REF!</v>
      </c>
      <c r="AD1236" t="e">
        <f>IF(A1236="","",IF(AC1236&gt;1,"REVISAR DUPLICADO",IF(AA1236&lt;&gt;"","ACTUALIZADO POR EYR","SIN REPORTE EYR")))</f>
        <v>#REF!</v>
      </c>
    </row>
    <row r="1237" spans="1:30" x14ac:dyDescent="0.3">
      <c r="A1237" s="5" t="s">
        <v>2012</v>
      </c>
      <c r="B1237" t="s">
        <v>2011</v>
      </c>
      <c r="C1237" s="4" t="s">
        <v>2010</v>
      </c>
      <c r="D1237" t="s">
        <v>21</v>
      </c>
      <c r="F1237" t="s">
        <v>2009</v>
      </c>
      <c r="G1237" s="3">
        <v>8092676330</v>
      </c>
      <c r="H1237" s="2">
        <v>46134</v>
      </c>
      <c r="K1237" s="1">
        <f ca="1">IF(A1237="","",IF(OR(L1237="ENTREGADA",L1237="RETORNADA",L1237="ENTREGA DIGITAL"),0,MAX(0,5-NETWORKDAYS(H1237+1,TODAY()))))</f>
        <v>0</v>
      </c>
      <c r="L1237" t="str">
        <f>IF(A1237="","",IFERROR(LOOKUP(2,1/(#REF!=Z1237),#REF!),Y1237))</f>
        <v>ENTREGA DIGITAL</v>
      </c>
      <c r="Y1237" t="s">
        <v>1396</v>
      </c>
      <c r="Z1237" t="str">
        <f>IF(A1237="","",TEXT(A1237,"0")&amp;"|"&amp;TEXT(H1237,"0"))</f>
        <v>4921017881094250|46134</v>
      </c>
      <c r="AA1237" t="str">
        <f>IF(Z1237="","",IFERROR(LOOKUP(2,1/(#REF!=Z1237),#REF!),""))</f>
        <v/>
      </c>
      <c r="AB1237" t="str">
        <f>IF(Z1237="","",IFERROR(LOOKUP(2,1/(#REF!=Z1237),#REF!),""))</f>
        <v/>
      </c>
      <c r="AC1237" t="e">
        <f>IF(Z1237="","",COUNTIF(#REF!,Z1237))</f>
        <v>#REF!</v>
      </c>
      <c r="AD1237" t="e">
        <f>IF(A1237="","",IF(AC1237&gt;1,"REVISAR DUPLICADO",IF(AA1237&lt;&gt;"","ACTUALIZADO POR EYR","SIN REPORTE EYR")))</f>
        <v>#REF!</v>
      </c>
    </row>
    <row r="1238" spans="1:30" x14ac:dyDescent="0.3">
      <c r="A1238" s="5" t="s">
        <v>2008</v>
      </c>
      <c r="B1238" t="s">
        <v>2007</v>
      </c>
      <c r="C1238" s="4" t="s">
        <v>2006</v>
      </c>
      <c r="D1238" t="s">
        <v>21</v>
      </c>
      <c r="F1238" t="s">
        <v>13</v>
      </c>
      <c r="G1238" s="3">
        <v>8295534017</v>
      </c>
      <c r="H1238" s="2">
        <v>46134</v>
      </c>
      <c r="K1238" s="1">
        <f ca="1">IF(A1238="","",IF(OR(L1238="ENTREGADA",L1238="RETORNADA",L1238="ENTREGA DIGITAL"),0,MAX(0,5-NETWORKDAYS(H1238+1,TODAY()))))</f>
        <v>0</v>
      </c>
      <c r="L1238" t="str">
        <f>IF(A1238="","",IFERROR(LOOKUP(2,1/(#REF!=Z1238),#REF!),Y1238))</f>
        <v>ENTREGA DIGITAL</v>
      </c>
      <c r="Y1238" t="s">
        <v>1396</v>
      </c>
      <c r="Z1238" t="str">
        <f>IF(A1238="","",TEXT(A1238,"0")&amp;"|"&amp;TEXT(H1238,"0"))</f>
        <v>4921017881434590|46134</v>
      </c>
      <c r="AA1238" t="str">
        <f>IF(Z1238="","",IFERROR(LOOKUP(2,1/(#REF!=Z1238),#REF!),""))</f>
        <v/>
      </c>
      <c r="AB1238" t="str">
        <f>IF(Z1238="","",IFERROR(LOOKUP(2,1/(#REF!=Z1238),#REF!),""))</f>
        <v/>
      </c>
      <c r="AC1238" t="e">
        <f>IF(Z1238="","",COUNTIF(#REF!,Z1238))</f>
        <v>#REF!</v>
      </c>
      <c r="AD1238" t="e">
        <f>IF(A1238="","",IF(AC1238&gt;1,"REVISAR DUPLICADO",IF(AA1238&lt;&gt;"","ACTUALIZADO POR EYR","SIN REPORTE EYR")))</f>
        <v>#REF!</v>
      </c>
    </row>
    <row r="1239" spans="1:30" x14ac:dyDescent="0.3">
      <c r="A1239" s="5" t="s">
        <v>2005</v>
      </c>
      <c r="B1239" t="s">
        <v>2004</v>
      </c>
      <c r="C1239" s="4" t="s">
        <v>2003</v>
      </c>
      <c r="D1239" t="s">
        <v>21</v>
      </c>
      <c r="F1239" t="s">
        <v>2002</v>
      </c>
      <c r="G1239" s="3">
        <v>8296804239</v>
      </c>
      <c r="H1239" s="2">
        <v>46134</v>
      </c>
      <c r="K1239" s="1">
        <f ca="1">IF(A1239="","",IF(OR(L1239="ENTREGADA",L1239="RETORNADA",L1239="ENTREGA DIGITAL"),0,MAX(0,5-NETWORKDAYS(H1239+1,TODAY()))))</f>
        <v>0</v>
      </c>
      <c r="L1239" t="str">
        <f>IF(A1239="","",IFERROR(LOOKUP(2,1/(#REF!=Z1239),#REF!),Y1239))</f>
        <v>ENTREGA DIGITAL</v>
      </c>
      <c r="Y1239" t="s">
        <v>1396</v>
      </c>
      <c r="Z1239" t="str">
        <f>IF(A1239="","",TEXT(A1239,"0")&amp;"|"&amp;TEXT(H1239,"0"))</f>
        <v>4921017881787710|46134</v>
      </c>
      <c r="AA1239" t="str">
        <f>IF(Z1239="","",IFERROR(LOOKUP(2,1/(#REF!=Z1239),#REF!),""))</f>
        <v/>
      </c>
      <c r="AB1239" t="str">
        <f>IF(Z1239="","",IFERROR(LOOKUP(2,1/(#REF!=Z1239),#REF!),""))</f>
        <v/>
      </c>
      <c r="AC1239" t="e">
        <f>IF(Z1239="","",COUNTIF(#REF!,Z1239))</f>
        <v>#REF!</v>
      </c>
      <c r="AD1239" t="e">
        <f>IF(A1239="","",IF(AC1239&gt;1,"REVISAR DUPLICADO",IF(AA1239&lt;&gt;"","ACTUALIZADO POR EYR","SIN REPORTE EYR")))</f>
        <v>#REF!</v>
      </c>
    </row>
    <row r="1240" spans="1:30" x14ac:dyDescent="0.3">
      <c r="A1240" s="5" t="s">
        <v>2001</v>
      </c>
      <c r="B1240" t="s">
        <v>2000</v>
      </c>
      <c r="C1240" s="4" t="s">
        <v>1999</v>
      </c>
      <c r="D1240" t="s">
        <v>21</v>
      </c>
      <c r="F1240" s="9" t="s">
        <v>13</v>
      </c>
      <c r="G1240" s="9" t="s">
        <v>1998</v>
      </c>
      <c r="H1240" s="2">
        <v>46134</v>
      </c>
      <c r="I1240" t="s">
        <v>1397</v>
      </c>
      <c r="K1240" s="1">
        <f ca="1">IF(A1240="","",IF(OR(L1240="ENTREGADA",L1240="RETORNADA",L1240="ENTREGA DIGITAL"),0,MAX(0,5-NETWORKDAYS(H1240+1,TODAY()))))</f>
        <v>0</v>
      </c>
      <c r="L1240" t="str">
        <f>IF(A1240="","",IFERROR(LOOKUP(2,1/(#REF!=Z1240),#REF!),Y1240))</f>
        <v>ENTREGADA</v>
      </c>
      <c r="Y1240" t="s">
        <v>1956</v>
      </c>
      <c r="Z1240" t="str">
        <f>IF(A1240="","",TEXT(A1240,"0")&amp;"|"&amp;TEXT(H1240,"0"))</f>
        <v>4921017880493420|46134</v>
      </c>
      <c r="AA1240" t="str">
        <f>IF(Z1240="","",IFERROR(LOOKUP(2,1/(#REF!=Z1240),#REF!),""))</f>
        <v/>
      </c>
      <c r="AB1240" t="str">
        <f>IF(Z1240="","",IFERROR(LOOKUP(2,1/(#REF!=Z1240),#REF!),""))</f>
        <v/>
      </c>
      <c r="AC1240" t="e">
        <f>IF(Z1240="","",COUNTIF(#REF!,Z1240))</f>
        <v>#REF!</v>
      </c>
      <c r="AD1240" t="e">
        <f>IF(A1240="","",IF(AC1240&gt;1,"REVISAR DUPLICADO",IF(AA1240&lt;&gt;"","ACTUALIZADO POR EYR","SIN REPORTE EYR")))</f>
        <v>#REF!</v>
      </c>
    </row>
    <row r="1241" spans="1:30" x14ac:dyDescent="0.3">
      <c r="A1241" s="5" t="s">
        <v>1997</v>
      </c>
      <c r="B1241" t="s">
        <v>1996</v>
      </c>
      <c r="C1241" s="4" t="s">
        <v>1995</v>
      </c>
      <c r="D1241" t="s">
        <v>21</v>
      </c>
      <c r="F1241" s="9" t="s">
        <v>13</v>
      </c>
      <c r="G1241" s="9" t="s">
        <v>1994</v>
      </c>
      <c r="H1241" s="2">
        <v>46134</v>
      </c>
      <c r="K1241" s="1">
        <f ca="1">IF(A1241="","",IF(OR(L1241="ENTREGADA",L1241="RETORNADA",L1241="ENTREGA DIGITAL"),0,MAX(0,5-NETWORKDAYS(H1241+1,TODAY()))))</f>
        <v>0</v>
      </c>
      <c r="L1241" t="str">
        <f>IF(A1241="","",IFERROR(LOOKUP(2,1/(#REF!=Z1241),#REF!),Y1241))</f>
        <v>ENTREGA DIGITAL</v>
      </c>
      <c r="Y1241" t="s">
        <v>1396</v>
      </c>
      <c r="Z1241" t="str">
        <f>IF(A1241="","",TEXT(A1241,"0")&amp;"|"&amp;TEXT(H1241,"0"))</f>
        <v>4921017881888010|46134</v>
      </c>
      <c r="AA1241" t="str">
        <f>IF(Z1241="","",IFERROR(LOOKUP(2,1/(#REF!=Z1241),#REF!),""))</f>
        <v/>
      </c>
      <c r="AB1241" t="str">
        <f>IF(Z1241="","",IFERROR(LOOKUP(2,1/(#REF!=Z1241),#REF!),""))</f>
        <v/>
      </c>
      <c r="AC1241" t="e">
        <f>IF(Z1241="","",COUNTIF(#REF!,Z1241))</f>
        <v>#REF!</v>
      </c>
      <c r="AD1241" t="e">
        <f>IF(A1241="","",IF(AC1241&gt;1,"REVISAR DUPLICADO",IF(AA1241&lt;&gt;"","ACTUALIZADO POR EYR","SIN REPORTE EYR")))</f>
        <v>#REF!</v>
      </c>
    </row>
    <row r="1242" spans="1:30" x14ac:dyDescent="0.3">
      <c r="A1242" s="5" t="s">
        <v>1993</v>
      </c>
      <c r="B1242" t="s">
        <v>1992</v>
      </c>
      <c r="C1242" s="4" t="s">
        <v>1991</v>
      </c>
      <c r="D1242" t="s">
        <v>21</v>
      </c>
      <c r="F1242" s="9" t="s">
        <v>13</v>
      </c>
      <c r="G1242" s="9" t="s">
        <v>1990</v>
      </c>
      <c r="H1242" s="2">
        <v>46134</v>
      </c>
      <c r="K1242" s="1">
        <f ca="1">IF(A1242="","",IF(OR(L1242="ENTREGADA",L1242="RETORNADA",L1242="ENTREGA DIGITAL"),0,MAX(0,5-NETWORKDAYS(H1242+1,TODAY()))))</f>
        <v>0</v>
      </c>
      <c r="L1242" t="str">
        <f>IF(A1242="","",IFERROR(LOOKUP(2,1/(#REF!=Z1242),#REF!),Y1242))</f>
        <v>ENTREGA DIGITAL</v>
      </c>
      <c r="Y1242" t="s">
        <v>1396</v>
      </c>
      <c r="Z1242" t="str">
        <f>IF(A1242="","",TEXT(A1242,"0")&amp;"|"&amp;TEXT(H1242,"0"))</f>
        <v>4921017880417170|46134</v>
      </c>
      <c r="AA1242" t="str">
        <f>IF(Z1242="","",IFERROR(LOOKUP(2,1/(#REF!=Z1242),#REF!),""))</f>
        <v/>
      </c>
      <c r="AB1242" t="str">
        <f>IF(Z1242="","",IFERROR(LOOKUP(2,1/(#REF!=Z1242),#REF!),""))</f>
        <v/>
      </c>
      <c r="AC1242" t="e">
        <f>IF(Z1242="","",COUNTIF(#REF!,Z1242))</f>
        <v>#REF!</v>
      </c>
      <c r="AD1242" t="e">
        <f>IF(A1242="","",IF(AC1242&gt;1,"REVISAR DUPLICADO",IF(AA1242&lt;&gt;"","ACTUALIZADO POR EYR","SIN REPORTE EYR")))</f>
        <v>#REF!</v>
      </c>
    </row>
    <row r="1243" spans="1:30" x14ac:dyDescent="0.3">
      <c r="A1243" s="5" t="s">
        <v>1989</v>
      </c>
      <c r="B1243" t="s">
        <v>1988</v>
      </c>
      <c r="C1243" s="4" t="s">
        <v>1987</v>
      </c>
      <c r="D1243" t="s">
        <v>1</v>
      </c>
      <c r="F1243" t="s">
        <v>0</v>
      </c>
      <c r="G1243" s="3">
        <v>8096240384</v>
      </c>
      <c r="H1243" s="2">
        <v>46134</v>
      </c>
      <c r="I1243" t="s">
        <v>1397</v>
      </c>
      <c r="K1243" s="1">
        <f ca="1">IF(A1243="","",IF(OR(L1243="ENTREGADA",L1243="RETORNADA",L1243="ENTREGA DIGITAL"),0,MAX(0,5-NETWORKDAYS(H1243+1,TODAY()))))</f>
        <v>0</v>
      </c>
      <c r="L1243" t="str">
        <f>IF(A1243="","",IFERROR(LOOKUP(2,1/(#REF!=Z1243),#REF!),Y1243))</f>
        <v>ENTREGA DIGITAL</v>
      </c>
      <c r="Y1243" t="s">
        <v>1396</v>
      </c>
      <c r="Z1243" t="str">
        <f>IF(A1243="","",TEXT(A1243,"0")&amp;"|"&amp;TEXT(H1243,"0"))</f>
        <v>4921017876195610|46134</v>
      </c>
      <c r="AA1243" t="str">
        <f>IF(Z1243="","",IFERROR(LOOKUP(2,1/(#REF!=Z1243),#REF!),""))</f>
        <v/>
      </c>
      <c r="AB1243" t="str">
        <f>IF(Z1243="","",IFERROR(LOOKUP(2,1/(#REF!=Z1243),#REF!),""))</f>
        <v/>
      </c>
      <c r="AC1243" t="e">
        <f>IF(Z1243="","",COUNTIF(#REF!,Z1243))</f>
        <v>#REF!</v>
      </c>
      <c r="AD1243" t="e">
        <f>IF(A1243="","",IF(AC1243&gt;1,"REVISAR DUPLICADO",IF(AA1243&lt;&gt;"","ACTUALIZADO POR EYR","SIN REPORTE EYR")))</f>
        <v>#REF!</v>
      </c>
    </row>
    <row r="1244" spans="1:30" x14ac:dyDescent="0.3">
      <c r="A1244" s="5" t="s">
        <v>1986</v>
      </c>
      <c r="B1244" t="s">
        <v>1985</v>
      </c>
      <c r="C1244" s="4" t="s">
        <v>1984</v>
      </c>
      <c r="D1244" t="s">
        <v>1</v>
      </c>
      <c r="F1244" t="s">
        <v>13</v>
      </c>
      <c r="G1244" s="3">
        <v>8096930091</v>
      </c>
      <c r="H1244" s="2">
        <v>46134</v>
      </c>
      <c r="I1244" t="s">
        <v>1397</v>
      </c>
      <c r="K1244" s="1">
        <f ca="1">IF(A1244="","",IF(OR(L1244="ENTREGADA",L1244="RETORNADA",L1244="ENTREGA DIGITAL"),0,MAX(0,5-NETWORKDAYS(H1244+1,TODAY()))))</f>
        <v>0</v>
      </c>
      <c r="L1244" t="str">
        <f>IF(A1244="","",IFERROR(LOOKUP(2,1/(#REF!=Z1244),#REF!),Y1244))</f>
        <v>ENTREGA DIGITAL</v>
      </c>
      <c r="Y1244" t="s">
        <v>1396</v>
      </c>
      <c r="Z1244" t="str">
        <f>IF(A1244="","",TEXT(A1244,"0")&amp;"|"&amp;TEXT(H1244,"0"))</f>
        <v>5415017879556910|46134</v>
      </c>
      <c r="AA1244" t="str">
        <f>IF(Z1244="","",IFERROR(LOOKUP(2,1/(#REF!=Z1244),#REF!),""))</f>
        <v/>
      </c>
      <c r="AB1244" t="str">
        <f>IF(Z1244="","",IFERROR(LOOKUP(2,1/(#REF!=Z1244),#REF!),""))</f>
        <v/>
      </c>
      <c r="AC1244" t="e">
        <f>IF(Z1244="","",COUNTIF(#REF!,Z1244))</f>
        <v>#REF!</v>
      </c>
      <c r="AD1244" t="e">
        <f>IF(A1244="","",IF(AC1244&gt;1,"REVISAR DUPLICADO",IF(AA1244&lt;&gt;"","ACTUALIZADO POR EYR","SIN REPORTE EYR")))</f>
        <v>#REF!</v>
      </c>
    </row>
    <row r="1245" spans="1:30" x14ac:dyDescent="0.3">
      <c r="A1245" s="5" t="s">
        <v>1983</v>
      </c>
      <c r="B1245" t="s">
        <v>1982</v>
      </c>
      <c r="C1245" s="4" t="s">
        <v>1981</v>
      </c>
      <c r="D1245" t="s">
        <v>1</v>
      </c>
      <c r="F1245" t="s">
        <v>1980</v>
      </c>
      <c r="G1245" s="3">
        <v>8292864208</v>
      </c>
      <c r="H1245" s="2">
        <v>46134</v>
      </c>
      <c r="K1245" s="1">
        <f ca="1">IF(A1245="","",IF(OR(L1245="ENTREGADA",L1245="RETORNADA",L1245="ENTREGA DIGITAL"),0,MAX(0,5-NETWORKDAYS(H1245+1,TODAY()))))</f>
        <v>0</v>
      </c>
      <c r="L1245">
        <f>IF(A1245="","",IFERROR(LOOKUP(2,1/(#REF!=Z1245),#REF!),Y1245))</f>
        <v>0</v>
      </c>
      <c r="Z1245" t="str">
        <f>IF(A1245="","",TEXT(A1245,"0")&amp;"|"&amp;TEXT(H1245,"0"))</f>
        <v>4921017881686960|46134</v>
      </c>
      <c r="AA1245" t="str">
        <f>IF(Z1245="","",IFERROR(LOOKUP(2,1/(#REF!=Z1245),#REF!),""))</f>
        <v/>
      </c>
      <c r="AB1245" t="str">
        <f>IF(Z1245="","",IFERROR(LOOKUP(2,1/(#REF!=Z1245),#REF!),""))</f>
        <v/>
      </c>
      <c r="AC1245" t="e">
        <f>IF(Z1245="","",COUNTIF(#REF!,Z1245))</f>
        <v>#REF!</v>
      </c>
      <c r="AD1245" t="e">
        <f>IF(A1245="","",IF(AC1245&gt;1,"REVISAR DUPLICADO",IF(AA1245&lt;&gt;"","ACTUALIZADO POR EYR","SIN REPORTE EYR")))</f>
        <v>#REF!</v>
      </c>
    </row>
    <row r="1246" spans="1:30" x14ac:dyDescent="0.3">
      <c r="A1246" s="5" t="s">
        <v>1979</v>
      </c>
      <c r="B1246" t="s">
        <v>1978</v>
      </c>
      <c r="C1246" s="4" t="s">
        <v>1977</v>
      </c>
      <c r="D1246" t="s">
        <v>1</v>
      </c>
      <c r="E1246" t="s">
        <v>21</v>
      </c>
      <c r="F1246" t="s">
        <v>1976</v>
      </c>
      <c r="G1246" s="3">
        <v>8296469631</v>
      </c>
      <c r="H1246" s="2">
        <v>46134</v>
      </c>
      <c r="K1246" s="1">
        <f ca="1">IF(A1246="","",IF(OR(L1246="ENTREGADA",L1246="RETORNADA",L1246="ENTREGA DIGITAL"),0,MAX(0,5-NETWORKDAYS(H1246+1,TODAY()))))</f>
        <v>0</v>
      </c>
      <c r="L1246">
        <f>IF(A1246="","",IFERROR(LOOKUP(2,1/(#REF!=Z1246),#REF!),Y1246))</f>
        <v>0</v>
      </c>
      <c r="Z1246" t="str">
        <f>IF(A1246="","",TEXT(A1246,"0")&amp;"|"&amp;TEXT(H1246,"0"))</f>
        <v>5415017879407670|46134</v>
      </c>
      <c r="AA1246" t="str">
        <f>IF(Z1246="","",IFERROR(LOOKUP(2,1/(#REF!=Z1246),#REF!),""))</f>
        <v/>
      </c>
      <c r="AB1246" t="str">
        <f>IF(Z1246="","",IFERROR(LOOKUP(2,1/(#REF!=Z1246),#REF!),""))</f>
        <v/>
      </c>
      <c r="AC1246" t="e">
        <f>IF(Z1246="","",COUNTIF(#REF!,Z1246))</f>
        <v>#REF!</v>
      </c>
      <c r="AD1246" t="e">
        <f>IF(A1246="","",IF(AC1246&gt;1,"REVISAR DUPLICADO",IF(AA1246&lt;&gt;"","ACTUALIZADO POR EYR","SIN REPORTE EYR")))</f>
        <v>#REF!</v>
      </c>
    </row>
    <row r="1247" spans="1:30" x14ac:dyDescent="0.3">
      <c r="A1247" s="5" t="s">
        <v>1975</v>
      </c>
      <c r="B1247" t="s">
        <v>1974</v>
      </c>
      <c r="C1247" s="4" t="s">
        <v>1973</v>
      </c>
      <c r="D1247" t="s">
        <v>1</v>
      </c>
      <c r="F1247" t="s">
        <v>1972</v>
      </c>
      <c r="G1247" s="3">
        <v>8097038959</v>
      </c>
      <c r="H1247" s="2">
        <v>46134</v>
      </c>
      <c r="K1247" s="1">
        <f ca="1">IF(A1247="","",IF(OR(L1247="ENTREGADA",L1247="RETORNADA",L1247="ENTREGA DIGITAL"),0,MAX(0,5-NETWORKDAYS(H1247+1,TODAY()))))</f>
        <v>0</v>
      </c>
      <c r="L1247" t="str">
        <f>IF(A1247="","",IFERROR(LOOKUP(2,1/(#REF!=Z1247),#REF!),Y1247))</f>
        <v>ENTREGA DIGITAL</v>
      </c>
      <c r="Y1247" t="s">
        <v>1396</v>
      </c>
      <c r="Z1247" t="str">
        <f>IF(A1247="","",TEXT(A1247,"0")&amp;"|"&amp;TEXT(H1247,"0"))</f>
        <v>5523017879063650|46134</v>
      </c>
      <c r="AA1247" t="str">
        <f>IF(Z1247="","",IFERROR(LOOKUP(2,1/(#REF!=Z1247),#REF!),""))</f>
        <v/>
      </c>
      <c r="AB1247" t="str">
        <f>IF(Z1247="","",IFERROR(LOOKUP(2,1/(#REF!=Z1247),#REF!),""))</f>
        <v/>
      </c>
      <c r="AC1247" t="e">
        <f>IF(Z1247="","",COUNTIF(#REF!,Z1247))</f>
        <v>#REF!</v>
      </c>
      <c r="AD1247" t="e">
        <f>IF(A1247="","",IF(AC1247&gt;1,"REVISAR DUPLICADO",IF(AA1247&lt;&gt;"","ACTUALIZADO POR EYR","SIN REPORTE EYR")))</f>
        <v>#REF!</v>
      </c>
    </row>
    <row r="1248" spans="1:30" x14ac:dyDescent="0.3">
      <c r="A1248" s="5" t="s">
        <v>1971</v>
      </c>
      <c r="B1248" t="s">
        <v>1970</v>
      </c>
      <c r="C1248" s="4" t="s">
        <v>1969</v>
      </c>
      <c r="D1248" t="s">
        <v>1</v>
      </c>
      <c r="F1248" t="s">
        <v>9</v>
      </c>
      <c r="G1248" s="3">
        <v>8099149234</v>
      </c>
      <c r="H1248" s="2">
        <v>46134</v>
      </c>
      <c r="K1248" s="1">
        <f ca="1">IF(A1248="","",IF(OR(L1248="ENTREGADA",L1248="RETORNADA",L1248="ENTREGA DIGITAL"),0,MAX(0,5-NETWORKDAYS(H1248+1,TODAY()))))</f>
        <v>0</v>
      </c>
      <c r="L1248">
        <f>IF(A1248="","",IFERROR(LOOKUP(2,1/(#REF!=Z1248),#REF!),Y1248))</f>
        <v>0</v>
      </c>
      <c r="Z1248" t="str">
        <f>IF(A1248="","",TEXT(A1248,"0")&amp;"|"&amp;TEXT(H1248,"0"))</f>
        <v>5415017879209860|46134</v>
      </c>
      <c r="AA1248" t="str">
        <f>IF(Z1248="","",IFERROR(LOOKUP(2,1/(#REF!=Z1248),#REF!),""))</f>
        <v/>
      </c>
      <c r="AB1248" t="str">
        <f>IF(Z1248="","",IFERROR(LOOKUP(2,1/(#REF!=Z1248),#REF!),""))</f>
        <v/>
      </c>
      <c r="AC1248" t="e">
        <f>IF(Z1248="","",COUNTIF(#REF!,Z1248))</f>
        <v>#REF!</v>
      </c>
      <c r="AD1248" t="e">
        <f>IF(A1248="","",IF(AC1248&gt;1,"REVISAR DUPLICADO",IF(AA1248&lt;&gt;"","ACTUALIZADO POR EYR","SIN REPORTE EYR")))</f>
        <v>#REF!</v>
      </c>
    </row>
    <row r="1249" spans="1:30" x14ac:dyDescent="0.3">
      <c r="A1249" s="5" t="s">
        <v>1968</v>
      </c>
      <c r="B1249" t="s">
        <v>1967</v>
      </c>
      <c r="C1249" s="4" t="s">
        <v>1966</v>
      </c>
      <c r="D1249" t="s">
        <v>1</v>
      </c>
      <c r="F1249" t="s">
        <v>13</v>
      </c>
      <c r="G1249" s="3">
        <v>8292525055</v>
      </c>
      <c r="H1249" s="2">
        <v>46134</v>
      </c>
      <c r="K1249" s="1">
        <f ca="1">IF(A1249="","",IF(OR(L1249="ENTREGADA",L1249="RETORNADA",L1249="ENTREGA DIGITAL"),0,MAX(0,5-NETWORKDAYS(H1249+1,TODAY()))))</f>
        <v>0</v>
      </c>
      <c r="L1249">
        <f>IF(A1249="","",IFERROR(LOOKUP(2,1/(#REF!=Z1249),#REF!),Y1249))</f>
        <v>0</v>
      </c>
      <c r="Z1249" t="str">
        <f>IF(A1249="","",TEXT(A1249,"0")&amp;"|"&amp;TEXT(H1249,"0"))</f>
        <v>4921017881865790|46134</v>
      </c>
      <c r="AA1249" t="str">
        <f>IF(Z1249="","",IFERROR(LOOKUP(2,1/(#REF!=Z1249),#REF!),""))</f>
        <v/>
      </c>
      <c r="AB1249" t="str">
        <f>IF(Z1249="","",IFERROR(LOOKUP(2,1/(#REF!=Z1249),#REF!),""))</f>
        <v/>
      </c>
      <c r="AC1249" t="e">
        <f>IF(Z1249="","",COUNTIF(#REF!,Z1249))</f>
        <v>#REF!</v>
      </c>
      <c r="AD1249" t="e">
        <f>IF(A1249="","",IF(AC1249&gt;1,"REVISAR DUPLICADO",IF(AA1249&lt;&gt;"","ACTUALIZADO POR EYR","SIN REPORTE EYR")))</f>
        <v>#REF!</v>
      </c>
    </row>
    <row r="1250" spans="1:30" x14ac:dyDescent="0.3">
      <c r="A1250" s="5" t="s">
        <v>1965</v>
      </c>
      <c r="B1250" t="s">
        <v>1964</v>
      </c>
      <c r="C1250" s="4" t="s">
        <v>1963</v>
      </c>
      <c r="D1250" t="s">
        <v>21</v>
      </c>
      <c r="F1250" t="s">
        <v>0</v>
      </c>
      <c r="G1250" s="3">
        <v>8298309301</v>
      </c>
      <c r="H1250" s="2">
        <v>46134</v>
      </c>
      <c r="K1250" s="1">
        <f ca="1">IF(A1250="","",IF(OR(L1250="ENTREGADA",L1250="RETORNADA",L1250="ENTREGA DIGITAL"),0,MAX(0,5-NETWORKDAYS(H1250+1,TODAY()))))</f>
        <v>0</v>
      </c>
      <c r="L1250" t="str">
        <f>IF(A1250="","",IFERROR(LOOKUP(2,1/(#REF!=Z1250),#REF!),Y1250))</f>
        <v>ENTREGADA</v>
      </c>
      <c r="Y1250" t="s">
        <v>1956</v>
      </c>
      <c r="Z1250" t="str">
        <f>IF(A1250="","",TEXT(A1250,"0")&amp;"|"&amp;TEXT(H1250,"0"))</f>
        <v>4921017695271430|46134</v>
      </c>
      <c r="AA1250" t="str">
        <f>IF(Z1250="","",IFERROR(LOOKUP(2,1/(#REF!=Z1250),#REF!),""))</f>
        <v/>
      </c>
      <c r="AB1250" t="str">
        <f>IF(Z1250="","",IFERROR(LOOKUP(2,1/(#REF!=Z1250),#REF!),""))</f>
        <v/>
      </c>
      <c r="AC1250" t="e">
        <f>IF(Z1250="","",COUNTIF(#REF!,Z1250))</f>
        <v>#REF!</v>
      </c>
      <c r="AD1250" t="e">
        <f>IF(A1250="","",IF(AC1250&gt;1,"REVISAR DUPLICADO",IF(AA1250&lt;&gt;"","ACTUALIZADO POR EYR","SIN REPORTE EYR")))</f>
        <v>#REF!</v>
      </c>
    </row>
    <row r="1251" spans="1:30" x14ac:dyDescent="0.3">
      <c r="A1251" s="5" t="s">
        <v>1962</v>
      </c>
      <c r="B1251" t="s">
        <v>1961</v>
      </c>
      <c r="C1251" s="4" t="s">
        <v>1960</v>
      </c>
      <c r="D1251" t="s">
        <v>21</v>
      </c>
      <c r="F1251" t="s">
        <v>0</v>
      </c>
      <c r="G1251" s="3">
        <v>8095292483</v>
      </c>
      <c r="H1251" s="2">
        <v>46134</v>
      </c>
      <c r="K1251" s="1">
        <f ca="1">IF(A1251="","",IF(OR(L1251="ENTREGADA",L1251="RETORNADA",L1251="ENTREGA DIGITAL"),0,MAX(0,5-NETWORKDAYS(H1251+1,TODAY()))))</f>
        <v>0</v>
      </c>
      <c r="L1251">
        <f>IF(A1251="","",IFERROR(LOOKUP(2,1/(#REF!=Z1251),#REF!),Y1251))</f>
        <v>0</v>
      </c>
      <c r="Z1251" t="str">
        <f>IF(A1251="","",TEXT(A1251,"0")&amp;"|"&amp;TEXT(H1251,"0"))</f>
        <v>4921017745282510|46134</v>
      </c>
      <c r="AA1251" t="str">
        <f>IF(Z1251="","",IFERROR(LOOKUP(2,1/(#REF!=Z1251),#REF!),""))</f>
        <v/>
      </c>
      <c r="AB1251" t="str">
        <f>IF(Z1251="","",IFERROR(LOOKUP(2,1/(#REF!=Z1251),#REF!),""))</f>
        <v/>
      </c>
      <c r="AC1251" t="e">
        <f>IF(Z1251="","",COUNTIF(#REF!,Z1251))</f>
        <v>#REF!</v>
      </c>
      <c r="AD1251" t="e">
        <f>IF(A1251="","",IF(AC1251&gt;1,"REVISAR DUPLICADO",IF(AA1251&lt;&gt;"","ACTUALIZADO POR EYR","SIN REPORTE EYR")))</f>
        <v>#REF!</v>
      </c>
    </row>
    <row r="1252" spans="1:30" x14ac:dyDescent="0.3">
      <c r="A1252" s="5" t="s">
        <v>1959</v>
      </c>
      <c r="B1252" t="s">
        <v>1958</v>
      </c>
      <c r="C1252" s="4" t="s">
        <v>1957</v>
      </c>
      <c r="D1252" t="s">
        <v>21</v>
      </c>
      <c r="F1252" t="s">
        <v>13</v>
      </c>
      <c r="G1252" s="3">
        <v>8296821848</v>
      </c>
      <c r="H1252" s="2">
        <v>46134</v>
      </c>
      <c r="K1252" s="1">
        <f ca="1">IF(A1252="","",IF(OR(L1252="ENTREGADA",L1252="RETORNADA",L1252="ENTREGA DIGITAL"),0,MAX(0,5-NETWORKDAYS(H1252+1,TODAY()))))</f>
        <v>0</v>
      </c>
      <c r="L1252" t="str">
        <f>IF(A1252="","",IFERROR(LOOKUP(2,1/(#REF!=Z1252),#REF!),Y1252))</f>
        <v>ENTREGADA</v>
      </c>
      <c r="Y1252" t="s">
        <v>1956</v>
      </c>
      <c r="Z1252" t="str">
        <f>IF(A1252="","",TEXT(A1252,"0")&amp;"|"&amp;TEXT(H1252,"0"))</f>
        <v>4921017885681470|46134</v>
      </c>
      <c r="AA1252" t="str">
        <f>IF(Z1252="","",IFERROR(LOOKUP(2,1/(#REF!=Z1252),#REF!),""))</f>
        <v/>
      </c>
      <c r="AB1252" t="str">
        <f>IF(Z1252="","",IFERROR(LOOKUP(2,1/(#REF!=Z1252),#REF!),""))</f>
        <v/>
      </c>
      <c r="AC1252" t="e">
        <f>IF(Z1252="","",COUNTIF(#REF!,Z1252))</f>
        <v>#REF!</v>
      </c>
      <c r="AD1252" t="e">
        <f>IF(A1252="","",IF(AC1252&gt;1,"REVISAR DUPLICADO",IF(AA1252&lt;&gt;"","ACTUALIZADO POR EYR","SIN REPORTE EYR")))</f>
        <v>#REF!</v>
      </c>
    </row>
    <row r="1253" spans="1:30" x14ac:dyDescent="0.3">
      <c r="A1253" s="5" t="s">
        <v>1955</v>
      </c>
      <c r="B1253" t="s">
        <v>1954</v>
      </c>
      <c r="C1253" s="4" t="s">
        <v>1953</v>
      </c>
      <c r="D1253" t="s">
        <v>21</v>
      </c>
      <c r="E1253" t="s">
        <v>21</v>
      </c>
      <c r="F1253" t="s">
        <v>1952</v>
      </c>
      <c r="G1253" s="3">
        <v>8298554334</v>
      </c>
      <c r="H1253" s="2">
        <v>46134</v>
      </c>
      <c r="I1253" t="s">
        <v>1397</v>
      </c>
      <c r="K1253" s="1">
        <f ca="1">IF(A1253="","",IF(OR(L1253="ENTREGADA",L1253="RETORNADA",L1253="ENTREGA DIGITAL"),0,MAX(0,5-NETWORKDAYS(H1253+1,TODAY()))))</f>
        <v>0</v>
      </c>
      <c r="L1253" t="str">
        <f>IF(A1253="","",IFERROR(LOOKUP(2,1/(#REF!=Z1253),#REF!),Y1253))</f>
        <v>ENTREGA DIGITAL</v>
      </c>
      <c r="Y1253" t="s">
        <v>1396</v>
      </c>
      <c r="Z1253" t="str">
        <f>IF(A1253="","",TEXT(A1253,"0")&amp;"|"&amp;TEXT(H1253,"0"))</f>
        <v>5415017883874570|46134</v>
      </c>
      <c r="AA1253" t="str">
        <f>IF(Z1253="","",IFERROR(LOOKUP(2,1/(#REF!=Z1253),#REF!),""))</f>
        <v/>
      </c>
      <c r="AB1253" t="str">
        <f>IF(Z1253="","",IFERROR(LOOKUP(2,1/(#REF!=Z1253),#REF!),""))</f>
        <v/>
      </c>
      <c r="AC1253" t="e">
        <f>IF(Z1253="","",COUNTIF(#REF!,Z1253))</f>
        <v>#REF!</v>
      </c>
      <c r="AD1253" t="e">
        <f>IF(A1253="","",IF(AC1253&gt;1,"REVISAR DUPLICADO",IF(AA1253&lt;&gt;"","ACTUALIZADO POR EYR","SIN REPORTE EYR")))</f>
        <v>#REF!</v>
      </c>
    </row>
    <row r="1254" spans="1:30" x14ac:dyDescent="0.3">
      <c r="A1254" s="5" t="s">
        <v>1951</v>
      </c>
      <c r="B1254" t="s">
        <v>1950</v>
      </c>
      <c r="C1254" s="4" t="s">
        <v>1949</v>
      </c>
      <c r="D1254" t="s">
        <v>21</v>
      </c>
      <c r="F1254" t="s">
        <v>0</v>
      </c>
      <c r="G1254" s="3">
        <v>8496334969</v>
      </c>
      <c r="H1254" s="2">
        <v>46134</v>
      </c>
      <c r="K1254" s="1">
        <f ca="1">IF(A1254="","",IF(OR(L1254="ENTREGADA",L1254="RETORNADA",L1254="ENTREGA DIGITAL"),0,MAX(0,5-NETWORKDAYS(H1254+1,TODAY()))))</f>
        <v>0</v>
      </c>
      <c r="L1254" t="str">
        <f>IF(A1254="","",IFERROR(LOOKUP(2,1/(#REF!=Z1254),#REF!),Y1254))</f>
        <v>ENTREGA DIGITAL</v>
      </c>
      <c r="Y1254" t="s">
        <v>1396</v>
      </c>
      <c r="Z1254" t="str">
        <f>IF(A1254="","",TEXT(A1254,"0")&amp;"|"&amp;TEXT(H1254,"0"))</f>
        <v>4921017887100870|46134</v>
      </c>
      <c r="AA1254" t="str">
        <f>IF(Z1254="","",IFERROR(LOOKUP(2,1/(#REF!=Z1254),#REF!),""))</f>
        <v/>
      </c>
      <c r="AB1254" t="str">
        <f>IF(Z1254="","",IFERROR(LOOKUP(2,1/(#REF!=Z1254),#REF!),""))</f>
        <v/>
      </c>
      <c r="AC1254" t="e">
        <f>IF(Z1254="","",COUNTIF(#REF!,Z1254))</f>
        <v>#REF!</v>
      </c>
      <c r="AD1254" t="e">
        <f>IF(A1254="","",IF(AC1254&gt;1,"REVISAR DUPLICADO",IF(AA1254&lt;&gt;"","ACTUALIZADO POR EYR","SIN REPORTE EYR")))</f>
        <v>#REF!</v>
      </c>
    </row>
    <row r="1255" spans="1:30" x14ac:dyDescent="0.3">
      <c r="A1255" s="5" t="s">
        <v>1948</v>
      </c>
      <c r="B1255" t="s">
        <v>1947</v>
      </c>
      <c r="C1255" s="4" t="s">
        <v>1946</v>
      </c>
      <c r="D1255" t="s">
        <v>21</v>
      </c>
      <c r="E1255" t="s">
        <v>21</v>
      </c>
      <c r="F1255" t="s">
        <v>62</v>
      </c>
      <c r="G1255" s="3">
        <v>8492612629</v>
      </c>
      <c r="H1255" s="2">
        <v>46134</v>
      </c>
      <c r="K1255" s="1">
        <f ca="1">IF(A1255="","",IF(OR(L1255="ENTREGADA",L1255="RETORNADA",L1255="ENTREGA DIGITAL"),0,MAX(0,5-NETWORKDAYS(H1255+1,TODAY()))))</f>
        <v>0</v>
      </c>
      <c r="L1255">
        <f>IF(A1255="","",IFERROR(LOOKUP(2,1/(#REF!=Z1255),#REF!),Y1255))</f>
        <v>0</v>
      </c>
      <c r="Z1255" t="str">
        <f>IF(A1255="","",TEXT(A1255,"0")&amp;"|"&amp;TEXT(H1255,"0"))</f>
        <v>4921017886594980|46134</v>
      </c>
      <c r="AA1255" t="str">
        <f>IF(Z1255="","",IFERROR(LOOKUP(2,1/(#REF!=Z1255),#REF!),""))</f>
        <v/>
      </c>
      <c r="AB1255" t="str">
        <f>IF(Z1255="","",IFERROR(LOOKUP(2,1/(#REF!=Z1255),#REF!),""))</f>
        <v/>
      </c>
      <c r="AC1255" t="e">
        <f>IF(Z1255="","",COUNTIF(#REF!,Z1255))</f>
        <v>#REF!</v>
      </c>
      <c r="AD1255" t="e">
        <f>IF(A1255="","",IF(AC1255&gt;1,"REVISAR DUPLICADO",IF(AA1255&lt;&gt;"","ACTUALIZADO POR EYR","SIN REPORTE EYR")))</f>
        <v>#REF!</v>
      </c>
    </row>
    <row r="1256" spans="1:30" x14ac:dyDescent="0.3">
      <c r="A1256" s="5" t="s">
        <v>1945</v>
      </c>
      <c r="B1256" t="s">
        <v>1944</v>
      </c>
      <c r="C1256" s="4" t="s">
        <v>1943</v>
      </c>
      <c r="D1256" t="s">
        <v>21</v>
      </c>
      <c r="E1256" t="s">
        <v>21</v>
      </c>
      <c r="F1256" t="s">
        <v>62</v>
      </c>
      <c r="G1256" s="3">
        <v>8296756608</v>
      </c>
      <c r="H1256" s="2">
        <v>46134</v>
      </c>
      <c r="K1256" s="1">
        <f ca="1">IF(A1256="","",IF(OR(L1256="ENTREGADA",L1256="RETORNADA",L1256="ENTREGA DIGITAL"),0,MAX(0,5-NETWORKDAYS(H1256+1,TODAY()))))</f>
        <v>0</v>
      </c>
      <c r="L1256">
        <f>IF(A1256="","",IFERROR(LOOKUP(2,1/(#REF!=Z1256),#REF!),Y1256))</f>
        <v>0</v>
      </c>
      <c r="Z1256" t="str">
        <f>IF(A1256="","",TEXT(A1256,"0")&amp;"|"&amp;TEXT(H1256,"0"))</f>
        <v>4921017886711010|46134</v>
      </c>
      <c r="AA1256" t="str">
        <f>IF(Z1256="","",IFERROR(LOOKUP(2,1/(#REF!=Z1256),#REF!),""))</f>
        <v/>
      </c>
      <c r="AB1256" t="str">
        <f>IF(Z1256="","",IFERROR(LOOKUP(2,1/(#REF!=Z1256),#REF!),""))</f>
        <v/>
      </c>
      <c r="AC1256" t="e">
        <f>IF(Z1256="","",COUNTIF(#REF!,Z1256))</f>
        <v>#REF!</v>
      </c>
      <c r="AD1256" t="e">
        <f>IF(A1256="","",IF(AC1256&gt;1,"REVISAR DUPLICADO",IF(AA1256&lt;&gt;"","ACTUALIZADO POR EYR","SIN REPORTE EYR")))</f>
        <v>#REF!</v>
      </c>
    </row>
    <row r="1257" spans="1:30" x14ac:dyDescent="0.3">
      <c r="A1257" s="5" t="s">
        <v>1942</v>
      </c>
      <c r="B1257" t="s">
        <v>1941</v>
      </c>
      <c r="C1257" s="4" t="s">
        <v>1940</v>
      </c>
      <c r="D1257" t="s">
        <v>21</v>
      </c>
      <c r="E1257" t="s">
        <v>21</v>
      </c>
      <c r="F1257" t="s">
        <v>62</v>
      </c>
      <c r="G1257" s="3">
        <v>8092464560</v>
      </c>
      <c r="H1257" s="2">
        <v>46134</v>
      </c>
      <c r="K1257" s="1">
        <f ca="1">IF(A1257="","",IF(OR(L1257="ENTREGADA",L1257="RETORNADA",L1257="ENTREGA DIGITAL"),0,MAX(0,5-NETWORKDAYS(H1257+1,TODAY()))))</f>
        <v>0</v>
      </c>
      <c r="L1257">
        <f>IF(A1257="","",IFERROR(LOOKUP(2,1/(#REF!=Z1257),#REF!),Y1257))</f>
        <v>0</v>
      </c>
      <c r="Z1257" t="str">
        <f>IF(A1257="","",TEXT(A1257,"0")&amp;"|"&amp;TEXT(H1257,"0"))</f>
        <v>4921017886600310|46134</v>
      </c>
      <c r="AA1257" t="str">
        <f>IF(Z1257="","",IFERROR(LOOKUP(2,1/(#REF!=Z1257),#REF!),""))</f>
        <v/>
      </c>
      <c r="AB1257" t="str">
        <f>IF(Z1257="","",IFERROR(LOOKUP(2,1/(#REF!=Z1257),#REF!),""))</f>
        <v/>
      </c>
      <c r="AC1257" t="e">
        <f>IF(Z1257="","",COUNTIF(#REF!,Z1257))</f>
        <v>#REF!</v>
      </c>
      <c r="AD1257" t="e">
        <f>IF(A1257="","",IF(AC1257&gt;1,"REVISAR DUPLICADO",IF(AA1257&lt;&gt;"","ACTUALIZADO POR EYR","SIN REPORTE EYR")))</f>
        <v>#REF!</v>
      </c>
    </row>
    <row r="1258" spans="1:30" x14ac:dyDescent="0.3">
      <c r="A1258" s="5" t="s">
        <v>1939</v>
      </c>
      <c r="B1258" t="s">
        <v>1938</v>
      </c>
      <c r="C1258" s="4" t="s">
        <v>1937</v>
      </c>
      <c r="D1258" t="s">
        <v>21</v>
      </c>
      <c r="F1258" t="s">
        <v>1050</v>
      </c>
      <c r="G1258" s="3">
        <v>8092516439</v>
      </c>
      <c r="H1258" s="2">
        <v>46134</v>
      </c>
      <c r="K1258" s="1">
        <f ca="1">IF(A1258="","",IF(OR(L1258="ENTREGADA",L1258="RETORNADA",L1258="ENTREGA DIGITAL"),0,MAX(0,5-NETWORKDAYS(H1258+1,TODAY()))))</f>
        <v>0</v>
      </c>
      <c r="L1258" t="str">
        <f>IF(A1258="","",IFERROR(LOOKUP(2,1/(#REF!=Z1258),#REF!),Y1258))</f>
        <v>ENTREGA DIGITAL</v>
      </c>
      <c r="Y1258" t="s">
        <v>1396</v>
      </c>
      <c r="Z1258" t="str">
        <f>IF(A1258="","",TEXT(A1258,"0")&amp;"|"&amp;TEXT(H1258,"0"))</f>
        <v>5188017884686590|46134</v>
      </c>
      <c r="AA1258" t="str">
        <f>IF(Z1258="","",IFERROR(LOOKUP(2,1/(#REF!=Z1258),#REF!),""))</f>
        <v/>
      </c>
      <c r="AB1258" t="str">
        <f>IF(Z1258="","",IFERROR(LOOKUP(2,1/(#REF!=Z1258),#REF!),""))</f>
        <v/>
      </c>
      <c r="AC1258" t="e">
        <f>IF(Z1258="","",COUNTIF(#REF!,Z1258))</f>
        <v>#REF!</v>
      </c>
      <c r="AD1258" t="e">
        <f>IF(A1258="","",IF(AC1258&gt;1,"REVISAR DUPLICADO",IF(AA1258&lt;&gt;"","ACTUALIZADO POR EYR","SIN REPORTE EYR")))</f>
        <v>#REF!</v>
      </c>
    </row>
    <row r="1259" spans="1:30" x14ac:dyDescent="0.3">
      <c r="A1259" s="5" t="s">
        <v>1936</v>
      </c>
      <c r="B1259" t="s">
        <v>1935</v>
      </c>
      <c r="C1259" s="4" t="s">
        <v>1934</v>
      </c>
      <c r="D1259" t="s">
        <v>21</v>
      </c>
      <c r="E1259" t="s">
        <v>21</v>
      </c>
      <c r="F1259" t="s">
        <v>62</v>
      </c>
      <c r="G1259" s="3">
        <v>8292287005</v>
      </c>
      <c r="H1259" s="2">
        <v>46134</v>
      </c>
      <c r="K1259" s="1">
        <f ca="1">IF(A1259="","",IF(OR(L1259="ENTREGADA",L1259="RETORNADA",L1259="ENTREGA DIGITAL"),0,MAX(0,5-NETWORKDAYS(H1259+1,TODAY()))))</f>
        <v>0</v>
      </c>
      <c r="L1259" t="str">
        <f>IF(A1259="","",IFERROR(LOOKUP(2,1/(#REF!=Z1259),#REF!),Y1259))</f>
        <v>ENTREGA DIGITAL</v>
      </c>
      <c r="Y1259" t="s">
        <v>1396</v>
      </c>
      <c r="Z1259" t="str">
        <f>IF(A1259="","",TEXT(A1259,"0")&amp;"|"&amp;TEXT(H1259,"0"))</f>
        <v>4025017888757700|46134</v>
      </c>
      <c r="AA1259" t="str">
        <f>IF(Z1259="","",IFERROR(LOOKUP(2,1/(#REF!=Z1259),#REF!),""))</f>
        <v/>
      </c>
      <c r="AB1259" t="str">
        <f>IF(Z1259="","",IFERROR(LOOKUP(2,1/(#REF!=Z1259),#REF!),""))</f>
        <v/>
      </c>
      <c r="AC1259" t="e">
        <f>IF(Z1259="","",COUNTIF(#REF!,Z1259))</f>
        <v>#REF!</v>
      </c>
      <c r="AD1259" t="e">
        <f>IF(A1259="","",IF(AC1259&gt;1,"REVISAR DUPLICADO",IF(AA1259&lt;&gt;"","ACTUALIZADO POR EYR","SIN REPORTE EYR")))</f>
        <v>#REF!</v>
      </c>
    </row>
    <row r="1260" spans="1:30" x14ac:dyDescent="0.3">
      <c r="A1260" s="5" t="s">
        <v>1933</v>
      </c>
      <c r="B1260" t="s">
        <v>1932</v>
      </c>
      <c r="C1260" s="4" t="s">
        <v>1931</v>
      </c>
      <c r="D1260" t="s">
        <v>21</v>
      </c>
      <c r="E1260" t="s">
        <v>21</v>
      </c>
      <c r="F1260" t="s">
        <v>62</v>
      </c>
      <c r="G1260" s="3">
        <v>8099178338</v>
      </c>
      <c r="H1260" s="2">
        <v>46134</v>
      </c>
      <c r="K1260" s="1">
        <f ca="1">IF(A1260="","",IF(OR(L1260="ENTREGADA",L1260="RETORNADA",L1260="ENTREGA DIGITAL"),0,MAX(0,5-NETWORKDAYS(H1260+1,TODAY()))))</f>
        <v>0</v>
      </c>
      <c r="L1260">
        <f>IF(A1260="","",IFERROR(LOOKUP(2,1/(#REF!=Z1260),#REF!),Y1260))</f>
        <v>0</v>
      </c>
      <c r="Z1260" t="str">
        <f>IF(A1260="","",TEXT(A1260,"0")&amp;"|"&amp;TEXT(H1260,"0"))</f>
        <v>5415017883795400|46134</v>
      </c>
      <c r="AA1260" t="str">
        <f>IF(Z1260="","",IFERROR(LOOKUP(2,1/(#REF!=Z1260),#REF!),""))</f>
        <v/>
      </c>
      <c r="AB1260" t="str">
        <f>IF(Z1260="","",IFERROR(LOOKUP(2,1/(#REF!=Z1260),#REF!),""))</f>
        <v/>
      </c>
      <c r="AC1260" t="e">
        <f>IF(Z1260="","",COUNTIF(#REF!,Z1260))</f>
        <v>#REF!</v>
      </c>
      <c r="AD1260" t="e">
        <f>IF(A1260="","",IF(AC1260&gt;1,"REVISAR DUPLICADO",IF(AA1260&lt;&gt;"","ACTUALIZADO POR EYR","SIN REPORTE EYR")))</f>
        <v>#REF!</v>
      </c>
    </row>
    <row r="1261" spans="1:30" x14ac:dyDescent="0.3">
      <c r="A1261" s="5" t="s">
        <v>1930</v>
      </c>
      <c r="B1261" t="s">
        <v>1929</v>
      </c>
      <c r="C1261" s="4" t="s">
        <v>1928</v>
      </c>
      <c r="D1261" t="s">
        <v>77</v>
      </c>
      <c r="F1261" t="s">
        <v>1927</v>
      </c>
      <c r="G1261" s="3">
        <v>8295193069</v>
      </c>
      <c r="H1261" s="2">
        <v>46134</v>
      </c>
      <c r="K1261" s="1">
        <f ca="1">IF(A1261="","",IF(OR(L1261="ENTREGADA",L1261="RETORNADA",L1261="ENTREGA DIGITAL"),0,MAX(0,5-NETWORKDAYS(H1261+1,TODAY()))))</f>
        <v>0</v>
      </c>
      <c r="L1261" t="str">
        <f>IF(A1261="","",IFERROR(LOOKUP(2,1/(#REF!=Z1261),#REF!),Y1261))</f>
        <v>ENTREGA DIGITAL</v>
      </c>
      <c r="Y1261" t="s">
        <v>1396</v>
      </c>
      <c r="Z1261" t="str">
        <f>IF(A1261="","",TEXT(A1261,"0")&amp;"|"&amp;TEXT(H1261,"0"))</f>
        <v>5415017883838900|46134</v>
      </c>
      <c r="AA1261" t="str">
        <f>IF(Z1261="","",IFERROR(LOOKUP(2,1/(#REF!=Z1261),#REF!),""))</f>
        <v/>
      </c>
      <c r="AB1261" t="str">
        <f>IF(Z1261="","",IFERROR(LOOKUP(2,1/(#REF!=Z1261),#REF!),""))</f>
        <v/>
      </c>
      <c r="AC1261" t="e">
        <f>IF(Z1261="","",COUNTIF(#REF!,Z1261))</f>
        <v>#REF!</v>
      </c>
      <c r="AD1261" t="e">
        <f>IF(A1261="","",IF(AC1261&gt;1,"REVISAR DUPLICADO",IF(AA1261&lt;&gt;"","ACTUALIZADO POR EYR","SIN REPORTE EYR")))</f>
        <v>#REF!</v>
      </c>
    </row>
    <row r="1262" spans="1:30" x14ac:dyDescent="0.3">
      <c r="A1262" s="5" t="s">
        <v>1926</v>
      </c>
      <c r="B1262" t="s">
        <v>1925</v>
      </c>
      <c r="C1262" s="4" t="s">
        <v>1924</v>
      </c>
      <c r="D1262" t="s">
        <v>77</v>
      </c>
      <c r="F1262" t="s">
        <v>13</v>
      </c>
      <c r="G1262" s="3">
        <v>8492539989</v>
      </c>
      <c r="H1262" s="2">
        <v>46134</v>
      </c>
      <c r="K1262" s="1">
        <f ca="1">IF(A1262="","",IF(OR(L1262="ENTREGADA",L1262="RETORNADA",L1262="ENTREGA DIGITAL"),0,MAX(0,5-NETWORKDAYS(H1262+1,TODAY()))))</f>
        <v>0</v>
      </c>
      <c r="L1262">
        <f>IF(A1262="","",IFERROR(LOOKUP(2,1/(#REF!=Z1262),#REF!),Y1262))</f>
        <v>0</v>
      </c>
      <c r="Z1262" t="str">
        <f>IF(A1262="","",TEXT(A1262,"0")&amp;"|"&amp;TEXT(H1262,"0"))</f>
        <v>5188017884732390|46134</v>
      </c>
      <c r="AA1262" t="str">
        <f>IF(Z1262="","",IFERROR(LOOKUP(2,1/(#REF!=Z1262),#REF!),""))</f>
        <v/>
      </c>
      <c r="AB1262" t="str">
        <f>IF(Z1262="","",IFERROR(LOOKUP(2,1/(#REF!=Z1262),#REF!),""))</f>
        <v/>
      </c>
      <c r="AC1262" t="e">
        <f>IF(Z1262="","",COUNTIF(#REF!,Z1262))</f>
        <v>#REF!</v>
      </c>
      <c r="AD1262" t="e">
        <f>IF(A1262="","",IF(AC1262&gt;1,"REVISAR DUPLICADO",IF(AA1262&lt;&gt;"","ACTUALIZADO POR EYR","SIN REPORTE EYR")))</f>
        <v>#REF!</v>
      </c>
    </row>
    <row r="1263" spans="1:30" x14ac:dyDescent="0.3">
      <c r="A1263" s="5" t="s">
        <v>1923</v>
      </c>
      <c r="B1263" t="s">
        <v>1922</v>
      </c>
      <c r="C1263" s="4" t="s">
        <v>1921</v>
      </c>
      <c r="D1263" t="s">
        <v>77</v>
      </c>
      <c r="F1263" t="s">
        <v>135</v>
      </c>
      <c r="G1263" s="3">
        <v>8293510299</v>
      </c>
      <c r="H1263" s="2">
        <v>46134</v>
      </c>
      <c r="K1263" s="1">
        <f ca="1">IF(A1263="","",IF(OR(L1263="ENTREGADA",L1263="RETORNADA",L1263="ENTREGA DIGITAL"),0,MAX(0,5-NETWORKDAYS(H1263+1,TODAY()))))</f>
        <v>0</v>
      </c>
      <c r="L1263">
        <f>IF(A1263="","",IFERROR(LOOKUP(2,1/(#REF!=Z1263),#REF!),Y1263))</f>
        <v>0</v>
      </c>
      <c r="Z1263" t="str">
        <f>IF(A1263="","",TEXT(A1263,"0")&amp;"|"&amp;TEXT(H1263,"0"))</f>
        <v>4921017877764400|46134</v>
      </c>
      <c r="AA1263" t="str">
        <f>IF(Z1263="","",IFERROR(LOOKUP(2,1/(#REF!=Z1263),#REF!),""))</f>
        <v/>
      </c>
      <c r="AB1263" t="str">
        <f>IF(Z1263="","",IFERROR(LOOKUP(2,1/(#REF!=Z1263),#REF!),""))</f>
        <v/>
      </c>
      <c r="AC1263" t="e">
        <f>IF(Z1263="","",COUNTIF(#REF!,Z1263))</f>
        <v>#REF!</v>
      </c>
      <c r="AD1263" t="e">
        <f>IF(A1263="","",IF(AC1263&gt;1,"REVISAR DUPLICADO",IF(AA1263&lt;&gt;"","ACTUALIZADO POR EYR","SIN REPORTE EYR")))</f>
        <v>#REF!</v>
      </c>
    </row>
    <row r="1264" spans="1:30" x14ac:dyDescent="0.3">
      <c r="A1264" s="5" t="s">
        <v>1920</v>
      </c>
      <c r="B1264" t="s">
        <v>1919</v>
      </c>
      <c r="C1264" s="4" t="s">
        <v>1918</v>
      </c>
      <c r="D1264" t="s">
        <v>77</v>
      </c>
      <c r="F1264" t="s">
        <v>1917</v>
      </c>
      <c r="G1264" s="3">
        <v>8492671235</v>
      </c>
      <c r="H1264" s="2">
        <v>46134</v>
      </c>
      <c r="K1264" s="1">
        <f ca="1">IF(A1264="","",IF(OR(L1264="ENTREGADA",L1264="RETORNADA",L1264="ENTREGA DIGITAL"),0,MAX(0,5-NETWORKDAYS(H1264+1,TODAY()))))</f>
        <v>0</v>
      </c>
      <c r="L1264">
        <f>IF(A1264="","",IFERROR(LOOKUP(2,1/(#REF!=Z1264),#REF!),Y1264))</f>
        <v>0</v>
      </c>
      <c r="Z1264" t="str">
        <f>IF(A1264="","",TEXT(A1264,"0")&amp;"|"&amp;TEXT(H1264,"0"))</f>
        <v>4966017820347350|46134</v>
      </c>
      <c r="AA1264" t="str">
        <f>IF(Z1264="","",IFERROR(LOOKUP(2,1/(#REF!=Z1264),#REF!),""))</f>
        <v/>
      </c>
      <c r="AB1264" t="str">
        <f>IF(Z1264="","",IFERROR(LOOKUP(2,1/(#REF!=Z1264),#REF!),""))</f>
        <v/>
      </c>
      <c r="AC1264" t="e">
        <f>IF(Z1264="","",COUNTIF(#REF!,Z1264))</f>
        <v>#REF!</v>
      </c>
      <c r="AD1264" t="e">
        <f>IF(A1264="","",IF(AC1264&gt;1,"REVISAR DUPLICADO",IF(AA1264&lt;&gt;"","ACTUALIZADO POR EYR","SIN REPORTE EYR")))</f>
        <v>#REF!</v>
      </c>
    </row>
    <row r="1265" spans="1:30" x14ac:dyDescent="0.3">
      <c r="A1265" s="5" t="s">
        <v>1916</v>
      </c>
      <c r="B1265" t="s">
        <v>1915</v>
      </c>
      <c r="C1265" s="4" t="s">
        <v>1914</v>
      </c>
      <c r="D1265" t="s">
        <v>77</v>
      </c>
      <c r="F1265" t="s">
        <v>0</v>
      </c>
      <c r="G1265" s="3">
        <v>8295326113</v>
      </c>
      <c r="H1265" s="2">
        <v>46134</v>
      </c>
      <c r="K1265" s="1">
        <f ca="1">IF(A1265="","",IF(OR(L1265="ENTREGADA",L1265="RETORNADA",L1265="ENTREGA DIGITAL"),0,MAX(0,5-NETWORKDAYS(H1265+1,TODAY()))))</f>
        <v>0</v>
      </c>
      <c r="L1265" t="str">
        <f>IF(A1265="","",IFERROR(LOOKUP(2,1/(#REF!=Z1265),#REF!),Y1265))</f>
        <v>ENTREGA DIGITAL</v>
      </c>
      <c r="Y1265" t="s">
        <v>1396</v>
      </c>
      <c r="Z1265" t="str">
        <f>IF(A1265="","",TEXT(A1265,"0")&amp;"|"&amp;TEXT(H1265,"0"))</f>
        <v>4921017766532570|46134</v>
      </c>
      <c r="AA1265" t="str">
        <f>IF(Z1265="","",IFERROR(LOOKUP(2,1/(#REF!=Z1265),#REF!),""))</f>
        <v/>
      </c>
      <c r="AB1265" t="str">
        <f>IF(Z1265="","",IFERROR(LOOKUP(2,1/(#REF!=Z1265),#REF!),""))</f>
        <v/>
      </c>
      <c r="AC1265" t="e">
        <f>IF(Z1265="","",COUNTIF(#REF!,Z1265))</f>
        <v>#REF!</v>
      </c>
      <c r="AD1265" t="e">
        <f>IF(A1265="","",IF(AC1265&gt;1,"REVISAR DUPLICADO",IF(AA1265&lt;&gt;"","ACTUALIZADO POR EYR","SIN REPORTE EYR")))</f>
        <v>#REF!</v>
      </c>
    </row>
    <row r="1266" spans="1:30" x14ac:dyDescent="0.3">
      <c r="A1266" s="5" t="s">
        <v>1913</v>
      </c>
      <c r="B1266" t="s">
        <v>1912</v>
      </c>
      <c r="C1266" s="4" t="s">
        <v>1911</v>
      </c>
      <c r="D1266" t="s">
        <v>77</v>
      </c>
      <c r="F1266" t="s">
        <v>1910</v>
      </c>
      <c r="G1266" s="3">
        <v>8292651190</v>
      </c>
      <c r="H1266" s="2">
        <v>46134</v>
      </c>
      <c r="K1266" s="1">
        <f ca="1">IF(A1266="","",IF(OR(L1266="ENTREGADA",L1266="RETORNADA",L1266="ENTREGA DIGITAL"),0,MAX(0,5-NETWORKDAYS(H1266+1,TODAY()))))</f>
        <v>0</v>
      </c>
      <c r="L1266" t="str">
        <f>IF(A1266="","",IFERROR(LOOKUP(2,1/(#REF!=Z1266),#REF!),Y1266))</f>
        <v>ENTREGA DIGITAL</v>
      </c>
      <c r="Y1266" t="s">
        <v>1396</v>
      </c>
      <c r="Z1266" t="str">
        <f>IF(A1266="","",TEXT(A1266,"0")&amp;"|"&amp;TEXT(H1266,"0"))</f>
        <v>4921017793286320|46134</v>
      </c>
      <c r="AA1266" t="str">
        <f>IF(Z1266="","",IFERROR(LOOKUP(2,1/(#REF!=Z1266),#REF!),""))</f>
        <v/>
      </c>
      <c r="AB1266" t="str">
        <f>IF(Z1266="","",IFERROR(LOOKUP(2,1/(#REF!=Z1266),#REF!),""))</f>
        <v/>
      </c>
      <c r="AC1266" t="e">
        <f>IF(Z1266="","",COUNTIF(#REF!,Z1266))</f>
        <v>#REF!</v>
      </c>
      <c r="AD1266" t="e">
        <f>IF(A1266="","",IF(AC1266&gt;1,"REVISAR DUPLICADO",IF(AA1266&lt;&gt;"","ACTUALIZADO POR EYR","SIN REPORTE EYR")))</f>
        <v>#REF!</v>
      </c>
    </row>
    <row r="1267" spans="1:30" x14ac:dyDescent="0.3">
      <c r="A1267" s="5" t="s">
        <v>1909</v>
      </c>
      <c r="B1267" t="s">
        <v>1908</v>
      </c>
      <c r="C1267" s="4" t="s">
        <v>1907</v>
      </c>
      <c r="D1267" t="s">
        <v>77</v>
      </c>
      <c r="E1267" t="s">
        <v>214</v>
      </c>
      <c r="F1267" t="s">
        <v>391</v>
      </c>
      <c r="G1267" s="3">
        <v>8494091854</v>
      </c>
      <c r="H1267" s="2">
        <v>46134</v>
      </c>
      <c r="K1267" s="1">
        <f ca="1">IF(A1267="","",IF(OR(L1267="ENTREGADA",L1267="RETORNADA",L1267="ENTREGA DIGITAL"),0,MAX(0,5-NETWORKDAYS(H1267+1,TODAY()))))</f>
        <v>0</v>
      </c>
      <c r="L1267" t="str">
        <f>IF(A1267="","",IFERROR(LOOKUP(2,1/(#REF!=Z1267),#REF!),Y1267))</f>
        <v>ENTREGA DIGITAL</v>
      </c>
      <c r="Y1267" t="s">
        <v>1396</v>
      </c>
      <c r="Z1267" t="str">
        <f>IF(A1267="","",TEXT(A1267,"0")&amp;"|"&amp;TEXT(H1267,"0"))</f>
        <v>5415017883138720|46134</v>
      </c>
      <c r="AA1267" t="str">
        <f>IF(Z1267="","",IFERROR(LOOKUP(2,1/(#REF!=Z1267),#REF!),""))</f>
        <v/>
      </c>
      <c r="AB1267" t="str">
        <f>IF(Z1267="","",IFERROR(LOOKUP(2,1/(#REF!=Z1267),#REF!),""))</f>
        <v/>
      </c>
      <c r="AC1267" t="e">
        <f>IF(Z1267="","",COUNTIF(#REF!,Z1267))</f>
        <v>#REF!</v>
      </c>
      <c r="AD1267" t="e">
        <f>IF(A1267="","",IF(AC1267&gt;1,"REVISAR DUPLICADO",IF(AA1267&lt;&gt;"","ACTUALIZADO POR EYR","SIN REPORTE EYR")))</f>
        <v>#REF!</v>
      </c>
    </row>
    <row r="1268" spans="1:30" x14ac:dyDescent="0.3">
      <c r="A1268" s="5" t="s">
        <v>1906</v>
      </c>
      <c r="B1268" t="s">
        <v>1905</v>
      </c>
      <c r="C1268" s="4" t="s">
        <v>1904</v>
      </c>
      <c r="D1268" t="s">
        <v>77</v>
      </c>
      <c r="F1268" t="s">
        <v>1903</v>
      </c>
      <c r="G1268" s="3">
        <v>8097271445</v>
      </c>
      <c r="H1268" s="2">
        <v>46134</v>
      </c>
      <c r="K1268" s="1">
        <f ca="1">IF(A1268="","",IF(OR(L1268="ENTREGADA",L1268="RETORNADA",L1268="ENTREGA DIGITAL"),0,MAX(0,5-NETWORKDAYS(H1268+1,TODAY()))))</f>
        <v>0</v>
      </c>
      <c r="L1268">
        <f>IF(A1268="","",IFERROR(LOOKUP(2,1/(#REF!=Z1268),#REF!),Y1268))</f>
        <v>0</v>
      </c>
      <c r="Z1268" t="str">
        <f>IF(A1268="","",TEXT(A1268,"0")&amp;"|"&amp;TEXT(H1268,"0"))</f>
        <v>5188017884885310|46134</v>
      </c>
      <c r="AA1268" t="str">
        <f>IF(Z1268="","",IFERROR(LOOKUP(2,1/(#REF!=Z1268),#REF!),""))</f>
        <v/>
      </c>
      <c r="AB1268" t="str">
        <f>IF(Z1268="","",IFERROR(LOOKUP(2,1/(#REF!=Z1268),#REF!),""))</f>
        <v/>
      </c>
      <c r="AC1268" t="e">
        <f>IF(Z1268="","",COUNTIF(#REF!,Z1268))</f>
        <v>#REF!</v>
      </c>
      <c r="AD1268" t="e">
        <f>IF(A1268="","",IF(AC1268&gt;1,"REVISAR DUPLICADO",IF(AA1268&lt;&gt;"","ACTUALIZADO POR EYR","SIN REPORTE EYR")))</f>
        <v>#REF!</v>
      </c>
    </row>
    <row r="1269" spans="1:30" x14ac:dyDescent="0.3">
      <c r="A1269" s="5" t="s">
        <v>1902</v>
      </c>
      <c r="B1269" t="s">
        <v>1901</v>
      </c>
      <c r="C1269" s="4" t="s">
        <v>1900</v>
      </c>
      <c r="D1269" t="s">
        <v>77</v>
      </c>
      <c r="F1269" t="s">
        <v>13</v>
      </c>
      <c r="G1269" s="3">
        <v>8294562628</v>
      </c>
      <c r="H1269" s="2">
        <v>46134</v>
      </c>
      <c r="K1269" s="1">
        <f ca="1">IF(A1269="","",IF(OR(L1269="ENTREGADA",L1269="RETORNADA",L1269="ENTREGA DIGITAL"),0,MAX(0,5-NETWORKDAYS(H1269+1,TODAY()))))</f>
        <v>0</v>
      </c>
      <c r="L1269">
        <f>IF(A1269="","",IFERROR(LOOKUP(2,1/(#REF!=Z1269),#REF!),Y1269))</f>
        <v>0</v>
      </c>
      <c r="Z1269" t="str">
        <f>IF(A1269="","",TEXT(A1269,"0")&amp;"|"&amp;TEXT(H1269,"0"))</f>
        <v>5188017884757570|46134</v>
      </c>
      <c r="AA1269" t="str">
        <f>IF(Z1269="","",IFERROR(LOOKUP(2,1/(#REF!=Z1269),#REF!),""))</f>
        <v/>
      </c>
      <c r="AB1269" t="str">
        <f>IF(Z1269="","",IFERROR(LOOKUP(2,1/(#REF!=Z1269),#REF!),""))</f>
        <v/>
      </c>
      <c r="AC1269" t="e">
        <f>IF(Z1269="","",COUNTIF(#REF!,Z1269))</f>
        <v>#REF!</v>
      </c>
      <c r="AD1269" t="e">
        <f>IF(A1269="","",IF(AC1269&gt;1,"REVISAR DUPLICADO",IF(AA1269&lt;&gt;"","ACTUALIZADO POR EYR","SIN REPORTE EYR")))</f>
        <v>#REF!</v>
      </c>
    </row>
    <row r="1270" spans="1:30" x14ac:dyDescent="0.3">
      <c r="A1270" s="5" t="s">
        <v>1899</v>
      </c>
      <c r="B1270" t="s">
        <v>1898</v>
      </c>
      <c r="C1270" s="4" t="s">
        <v>1897</v>
      </c>
      <c r="D1270" t="s">
        <v>77</v>
      </c>
      <c r="E1270" t="s">
        <v>214</v>
      </c>
      <c r="F1270" t="s">
        <v>391</v>
      </c>
      <c r="G1270" s="3">
        <v>8296650599</v>
      </c>
      <c r="H1270" s="2">
        <v>46134</v>
      </c>
      <c r="K1270" s="1">
        <f ca="1">IF(A1270="","",IF(OR(L1270="ENTREGADA",L1270="RETORNADA",L1270="ENTREGA DIGITAL"),0,MAX(0,5-NETWORKDAYS(H1270+1,TODAY()))))</f>
        <v>0</v>
      </c>
      <c r="L1270">
        <f>IF(A1270="","",IFERROR(LOOKUP(2,1/(#REF!=Z1270),#REF!),Y1270))</f>
        <v>0</v>
      </c>
      <c r="Z1270" t="str">
        <f>IF(A1270="","",TEXT(A1270,"0")&amp;"|"&amp;TEXT(H1270,"0"))</f>
        <v>4921017888585260|46134</v>
      </c>
      <c r="AA1270" t="str">
        <f>IF(Z1270="","",IFERROR(LOOKUP(2,1/(#REF!=Z1270),#REF!),""))</f>
        <v/>
      </c>
      <c r="AB1270" t="str">
        <f>IF(Z1270="","",IFERROR(LOOKUP(2,1/(#REF!=Z1270),#REF!),""))</f>
        <v/>
      </c>
      <c r="AC1270" t="e">
        <f>IF(Z1270="","",COUNTIF(#REF!,Z1270))</f>
        <v>#REF!</v>
      </c>
      <c r="AD1270" t="e">
        <f>IF(A1270="","",IF(AC1270&gt;1,"REVISAR DUPLICADO",IF(AA1270&lt;&gt;"","ACTUALIZADO POR EYR","SIN REPORTE EYR")))</f>
        <v>#REF!</v>
      </c>
    </row>
    <row r="1271" spans="1:30" x14ac:dyDescent="0.3">
      <c r="A1271" s="5" t="s">
        <v>1896</v>
      </c>
      <c r="B1271" t="s">
        <v>1895</v>
      </c>
      <c r="C1271" s="4" t="s">
        <v>1894</v>
      </c>
      <c r="D1271" t="s">
        <v>1</v>
      </c>
      <c r="F1271" t="s">
        <v>1893</v>
      </c>
      <c r="G1271" s="3">
        <v>8297664380</v>
      </c>
      <c r="H1271" s="2">
        <v>46134</v>
      </c>
      <c r="K1271" s="1">
        <f ca="1">IF(A1271="","",IF(OR(L1271="ENTREGADA",L1271="RETORNADA",L1271="ENTREGA DIGITAL"),0,MAX(0,5-NETWORKDAYS(H1271+1,TODAY()))))</f>
        <v>0</v>
      </c>
      <c r="L1271">
        <f>IF(A1271="","",IFERROR(LOOKUP(2,1/(#REF!=Z1271),#REF!),Y1271))</f>
        <v>0</v>
      </c>
      <c r="Z1271" t="str">
        <f>IF(A1271="","",TEXT(A1271,"0")&amp;"|"&amp;TEXT(H1271,"0"))</f>
        <v>4921017885856390|46134</v>
      </c>
      <c r="AA1271" t="str">
        <f>IF(Z1271="","",IFERROR(LOOKUP(2,1/(#REF!=Z1271),#REF!),""))</f>
        <v/>
      </c>
      <c r="AB1271" t="str">
        <f>IF(Z1271="","",IFERROR(LOOKUP(2,1/(#REF!=Z1271),#REF!),""))</f>
        <v/>
      </c>
      <c r="AC1271" t="e">
        <f>IF(Z1271="","",COUNTIF(#REF!,Z1271))</f>
        <v>#REF!</v>
      </c>
      <c r="AD1271" t="e">
        <f>IF(A1271="","",IF(AC1271&gt;1,"REVISAR DUPLICADO",IF(AA1271&lt;&gt;"","ACTUALIZADO POR EYR","SIN REPORTE EYR")))</f>
        <v>#REF!</v>
      </c>
    </row>
    <row r="1272" spans="1:30" x14ac:dyDescent="0.3">
      <c r="A1272" s="5" t="s">
        <v>1892</v>
      </c>
      <c r="B1272" t="s">
        <v>1891</v>
      </c>
      <c r="C1272" s="4" t="s">
        <v>1890</v>
      </c>
      <c r="D1272" t="s">
        <v>1</v>
      </c>
      <c r="E1272" t="s">
        <v>214</v>
      </c>
      <c r="F1272" t="s">
        <v>391</v>
      </c>
      <c r="G1272" s="3">
        <v>8298434395</v>
      </c>
      <c r="H1272" s="2">
        <v>46134</v>
      </c>
      <c r="K1272" s="1">
        <f ca="1">IF(A1272="","",IF(OR(L1272="ENTREGADA",L1272="RETORNADA",L1272="ENTREGA DIGITAL"),0,MAX(0,5-NETWORKDAYS(H1272+1,TODAY()))))</f>
        <v>0</v>
      </c>
      <c r="L1272" t="str">
        <f>IF(A1272="","",IFERROR(LOOKUP(2,1/(#REF!=Z1272),#REF!),Y1272))</f>
        <v>ENTREGA DIGITAL</v>
      </c>
      <c r="Y1272" t="s">
        <v>1396</v>
      </c>
      <c r="Z1272" t="str">
        <f>IF(A1272="","",TEXT(A1272,"0")&amp;"|"&amp;TEXT(H1272,"0"))</f>
        <v>4921017886738980|46134</v>
      </c>
      <c r="AA1272" t="str">
        <f>IF(Z1272="","",IFERROR(LOOKUP(2,1/(#REF!=Z1272),#REF!),""))</f>
        <v/>
      </c>
      <c r="AB1272" t="str">
        <f>IF(Z1272="","",IFERROR(LOOKUP(2,1/(#REF!=Z1272),#REF!),""))</f>
        <v/>
      </c>
      <c r="AC1272" t="e">
        <f>IF(Z1272="","",COUNTIF(#REF!,Z1272))</f>
        <v>#REF!</v>
      </c>
      <c r="AD1272" t="e">
        <f>IF(A1272="","",IF(AC1272&gt;1,"REVISAR DUPLICADO",IF(AA1272&lt;&gt;"","ACTUALIZADO POR EYR","SIN REPORTE EYR")))</f>
        <v>#REF!</v>
      </c>
    </row>
    <row r="1273" spans="1:30" x14ac:dyDescent="0.3">
      <c r="A1273" s="5" t="s">
        <v>1889</v>
      </c>
      <c r="B1273" t="s">
        <v>1888</v>
      </c>
      <c r="C1273" s="4" t="s">
        <v>1887</v>
      </c>
      <c r="D1273" t="s">
        <v>1</v>
      </c>
      <c r="E1273" t="s">
        <v>214</v>
      </c>
      <c r="F1273" t="s">
        <v>423</v>
      </c>
      <c r="G1273" s="3">
        <v>8492036348</v>
      </c>
      <c r="H1273" s="2">
        <v>46134</v>
      </c>
      <c r="K1273" s="1">
        <f ca="1">IF(A1273="","",IF(OR(L1273="ENTREGADA",L1273="RETORNADA",L1273="ENTREGA DIGITAL"),0,MAX(0,5-NETWORKDAYS(H1273+1,TODAY()))))</f>
        <v>0</v>
      </c>
      <c r="L1273">
        <f>IF(A1273="","",IFERROR(LOOKUP(2,1/(#REF!=Z1273),#REF!),Y1273))</f>
        <v>0</v>
      </c>
      <c r="Z1273" t="str">
        <f>IF(A1273="","",TEXT(A1273,"0")&amp;"|"&amp;TEXT(H1273,"0"))</f>
        <v>4921017886642640|46134</v>
      </c>
      <c r="AA1273" t="str">
        <f>IF(Z1273="","",IFERROR(LOOKUP(2,1/(#REF!=Z1273),#REF!),""))</f>
        <v/>
      </c>
      <c r="AB1273" t="str">
        <f>IF(Z1273="","",IFERROR(LOOKUP(2,1/(#REF!=Z1273),#REF!),""))</f>
        <v/>
      </c>
      <c r="AC1273" t="e">
        <f>IF(Z1273="","",COUNTIF(#REF!,Z1273))</f>
        <v>#REF!</v>
      </c>
      <c r="AD1273" t="e">
        <f>IF(A1273="","",IF(AC1273&gt;1,"REVISAR DUPLICADO",IF(AA1273&lt;&gt;"","ACTUALIZADO POR EYR","SIN REPORTE EYR")))</f>
        <v>#REF!</v>
      </c>
    </row>
    <row r="1274" spans="1:30" x14ac:dyDescent="0.3">
      <c r="A1274" s="5" t="s">
        <v>1886</v>
      </c>
      <c r="B1274" t="s">
        <v>1885</v>
      </c>
      <c r="C1274" s="4" t="s">
        <v>1884</v>
      </c>
      <c r="D1274" t="s">
        <v>1</v>
      </c>
      <c r="E1274" t="s">
        <v>214</v>
      </c>
      <c r="F1274" t="s">
        <v>648</v>
      </c>
      <c r="G1274" s="3">
        <v>8293397956</v>
      </c>
      <c r="H1274" s="2">
        <v>46134</v>
      </c>
      <c r="K1274" s="1">
        <f ca="1">IF(A1274="","",IF(OR(L1274="ENTREGADA",L1274="RETORNADA",L1274="ENTREGA DIGITAL"),0,MAX(0,5-NETWORKDAYS(H1274+1,TODAY()))))</f>
        <v>0</v>
      </c>
      <c r="L1274">
        <f>IF(A1274="","",IFERROR(LOOKUP(2,1/(#REF!=Z1274),#REF!),Y1274))</f>
        <v>0</v>
      </c>
      <c r="Z1274" t="str">
        <f>IF(A1274="","",TEXT(A1274,"0")&amp;"|"&amp;TEXT(H1274,"0"))</f>
        <v>4921017887384090|46134</v>
      </c>
      <c r="AA1274" t="str">
        <f>IF(Z1274="","",IFERROR(LOOKUP(2,1/(#REF!=Z1274),#REF!),""))</f>
        <v/>
      </c>
      <c r="AB1274" t="str">
        <f>IF(Z1274="","",IFERROR(LOOKUP(2,1/(#REF!=Z1274),#REF!),""))</f>
        <v/>
      </c>
      <c r="AC1274" t="e">
        <f>IF(Z1274="","",COUNTIF(#REF!,Z1274))</f>
        <v>#REF!</v>
      </c>
      <c r="AD1274" t="e">
        <f>IF(A1274="","",IF(AC1274&gt;1,"REVISAR DUPLICADO",IF(AA1274&lt;&gt;"","ACTUALIZADO POR EYR","SIN REPORTE EYR")))</f>
        <v>#REF!</v>
      </c>
    </row>
    <row r="1275" spans="1:30" x14ac:dyDescent="0.3">
      <c r="A1275" s="5" t="s">
        <v>1883</v>
      </c>
      <c r="B1275" t="s">
        <v>1882</v>
      </c>
      <c r="C1275" s="4" t="s">
        <v>1881</v>
      </c>
      <c r="D1275" t="s">
        <v>1</v>
      </c>
      <c r="F1275" t="s">
        <v>1880</v>
      </c>
      <c r="G1275" s="3">
        <v>8293663784</v>
      </c>
      <c r="H1275" s="2">
        <v>46134</v>
      </c>
      <c r="K1275" s="1">
        <f ca="1">IF(A1275="","",IF(OR(L1275="ENTREGADA",L1275="RETORNADA",L1275="ENTREGA DIGITAL"),0,MAX(0,5-NETWORKDAYS(H1275+1,TODAY()))))</f>
        <v>0</v>
      </c>
      <c r="L1275" t="str">
        <f>IF(A1275="","",IFERROR(LOOKUP(2,1/(#REF!=Z1275),#REF!),Y1275))</f>
        <v>ENTREGA DIGITAL</v>
      </c>
      <c r="Y1275" t="s">
        <v>1396</v>
      </c>
      <c r="Z1275" t="str">
        <f>IF(A1275="","",TEXT(A1275,"0")&amp;"|"&amp;TEXT(H1275,"0"))</f>
        <v>5188017885017580|46134</v>
      </c>
      <c r="AA1275" t="str">
        <f>IF(Z1275="","",IFERROR(LOOKUP(2,1/(#REF!=Z1275),#REF!),""))</f>
        <v/>
      </c>
      <c r="AB1275" t="str">
        <f>IF(Z1275="","",IFERROR(LOOKUP(2,1/(#REF!=Z1275),#REF!),""))</f>
        <v/>
      </c>
      <c r="AC1275" t="e">
        <f>IF(Z1275="","",COUNTIF(#REF!,Z1275))</f>
        <v>#REF!</v>
      </c>
      <c r="AD1275" t="e">
        <f>IF(A1275="","",IF(AC1275&gt;1,"REVISAR DUPLICADO",IF(AA1275&lt;&gt;"","ACTUALIZADO POR EYR","SIN REPORTE EYR")))</f>
        <v>#REF!</v>
      </c>
    </row>
    <row r="1276" spans="1:30" x14ac:dyDescent="0.3">
      <c r="A1276" s="5" t="s">
        <v>212</v>
      </c>
      <c r="B1276" t="s">
        <v>211</v>
      </c>
      <c r="C1276" s="4" t="s">
        <v>210</v>
      </c>
      <c r="D1276" t="s">
        <v>1</v>
      </c>
      <c r="F1276" t="s">
        <v>9</v>
      </c>
      <c r="G1276" s="3">
        <v>8299864804</v>
      </c>
      <c r="H1276" s="2">
        <v>46134</v>
      </c>
      <c r="K1276" s="1">
        <f ca="1">IF(A1276="","",IF(OR(L1276="ENTREGADA",L1276="RETORNADA",L1276="ENTREGA DIGITAL"),0,MAX(0,5-NETWORKDAYS(H1276+1,TODAY()))))</f>
        <v>0</v>
      </c>
      <c r="L1276">
        <f>IF(A1276="","",IFERROR(LOOKUP(2,1/(#REF!=Z1276),#REF!),Y1276))</f>
        <v>0</v>
      </c>
      <c r="Z1276" t="str">
        <f>IF(A1276="","",TEXT(A1276,"0")&amp;"|"&amp;TEXT(H1276,"0"))</f>
        <v>4025017888994300|46134</v>
      </c>
      <c r="AA1276" t="str">
        <f>IF(Z1276="","",IFERROR(LOOKUP(2,1/(#REF!=Z1276),#REF!),""))</f>
        <v/>
      </c>
      <c r="AB1276" t="str">
        <f>IF(Z1276="","",IFERROR(LOOKUP(2,1/(#REF!=Z1276),#REF!),""))</f>
        <v/>
      </c>
      <c r="AC1276" t="e">
        <f>IF(Z1276="","",COUNTIF(#REF!,Z1276))</f>
        <v>#REF!</v>
      </c>
      <c r="AD1276" t="e">
        <f>IF(A1276="","",IF(AC1276&gt;1,"REVISAR DUPLICADO",IF(AA1276&lt;&gt;"","ACTUALIZADO POR EYR","SIN REPORTE EYR")))</f>
        <v>#REF!</v>
      </c>
    </row>
    <row r="1277" spans="1:30" x14ac:dyDescent="0.3">
      <c r="A1277" s="5" t="s">
        <v>1879</v>
      </c>
      <c r="B1277" t="s">
        <v>1878</v>
      </c>
      <c r="C1277" s="4" t="s">
        <v>1877</v>
      </c>
      <c r="D1277" t="s">
        <v>1</v>
      </c>
      <c r="E1277" t="s">
        <v>214</v>
      </c>
      <c r="F1277" t="s">
        <v>648</v>
      </c>
      <c r="G1277" s="3">
        <v>8294386052</v>
      </c>
      <c r="H1277" s="2">
        <v>46134</v>
      </c>
      <c r="K1277" s="1">
        <f ca="1">IF(A1277="","",IF(OR(L1277="ENTREGADA",L1277="RETORNADA",L1277="ENTREGA DIGITAL"),0,MAX(0,5-NETWORKDAYS(H1277+1,TODAY()))))</f>
        <v>0</v>
      </c>
      <c r="L1277">
        <f>IF(A1277="","",IFERROR(LOOKUP(2,1/(#REF!=Z1277),#REF!),Y1277))</f>
        <v>0</v>
      </c>
      <c r="Z1277" t="str">
        <f>IF(A1277="","",TEXT(A1277,"0")&amp;"|"&amp;TEXT(H1277,"0"))</f>
        <v>4921017887519440|46134</v>
      </c>
      <c r="AA1277" t="str">
        <f>IF(Z1277="","",IFERROR(LOOKUP(2,1/(#REF!=Z1277),#REF!),""))</f>
        <v/>
      </c>
      <c r="AB1277" t="str">
        <f>IF(Z1277="","",IFERROR(LOOKUP(2,1/(#REF!=Z1277),#REF!),""))</f>
        <v/>
      </c>
      <c r="AC1277" t="e">
        <f>IF(Z1277="","",COUNTIF(#REF!,Z1277))</f>
        <v>#REF!</v>
      </c>
      <c r="AD1277" t="e">
        <f>IF(A1277="","",IF(AC1277&gt;1,"REVISAR DUPLICADO",IF(AA1277&lt;&gt;"","ACTUALIZADO POR EYR","SIN REPORTE EYR")))</f>
        <v>#REF!</v>
      </c>
    </row>
    <row r="1278" spans="1:30" x14ac:dyDescent="0.3">
      <c r="A1278" s="5" t="s">
        <v>868</v>
      </c>
      <c r="B1278" t="s">
        <v>867</v>
      </c>
      <c r="C1278" s="4">
        <v>15200007068</v>
      </c>
      <c r="D1278" t="s">
        <v>1</v>
      </c>
      <c r="F1278" t="s">
        <v>865</v>
      </c>
      <c r="G1278" s="3">
        <v>8096033524</v>
      </c>
      <c r="H1278" s="2">
        <v>46140</v>
      </c>
      <c r="K1278" s="1">
        <f ca="1">IF(A1278="","",IF(OR(L1278="ENTREGADA",L1278="RETORNADA",L1278="ENTREGA DIGITAL"),0,MAX(0,5-NETWORKDAYS(H1278+1,TODAY()))))</f>
        <v>0</v>
      </c>
      <c r="L1278" t="str">
        <f>IF(A1278="","",IFERROR(LOOKUP(2,1/(#REF!=Z1278),#REF!),Y1278))</f>
        <v>RETORNADA</v>
      </c>
      <c r="Y1278" t="s">
        <v>1857</v>
      </c>
      <c r="Z1278" t="str">
        <f>IF(A1278="","",TEXT(A1278,"0")&amp;"|"&amp;TEXT(H1278,"0"))</f>
        <v>4741017919711820|46140</v>
      </c>
      <c r="AA1278" t="str">
        <f>IF(Z1278="","",IFERROR(LOOKUP(2,1/(#REF!=Z1278),#REF!),""))</f>
        <v/>
      </c>
      <c r="AB1278" t="str">
        <f>IF(Z1278="","",IFERROR(LOOKUP(2,1/(#REF!=Z1278),#REF!),""))</f>
        <v/>
      </c>
      <c r="AC1278" t="e">
        <f>IF(Z1278="","",COUNTIF(#REF!,Z1278))</f>
        <v>#REF!</v>
      </c>
      <c r="AD1278" t="e">
        <f>IF(A1278="","",IF(AC1278&gt;1,"REVISAR DUPLICADO",IF(AA1278&lt;&gt;"","ACTUALIZADO POR EYR","SIN REPORTE EYR")))</f>
        <v>#REF!</v>
      </c>
    </row>
    <row r="1279" spans="1:30" x14ac:dyDescent="0.3">
      <c r="A1279" s="5" t="s">
        <v>1876</v>
      </c>
      <c r="B1279" t="s">
        <v>1875</v>
      </c>
      <c r="C1279" s="4" t="s">
        <v>1874</v>
      </c>
      <c r="D1279" t="s">
        <v>1</v>
      </c>
      <c r="F1279" t="s">
        <v>0</v>
      </c>
      <c r="G1279" s="3">
        <v>8098800807</v>
      </c>
      <c r="H1279" s="2">
        <v>46135</v>
      </c>
      <c r="K1279" s="1">
        <f ca="1">IF(A1279="","",IF(OR(L1279="ENTREGADA",L1279="RETORNADA",L1279="ENTREGA DIGITAL"),0,MAX(0,5-NETWORKDAYS(H1279+1,TODAY()))))</f>
        <v>0</v>
      </c>
      <c r="L1279">
        <f>IF(A1279="","",IFERROR(LOOKUP(2,1/(#REF!=Z1279),#REF!),Y1279))</f>
        <v>0</v>
      </c>
      <c r="Z1279" t="str">
        <f>IF(A1279="","",TEXT(A1279,"0")&amp;"|"&amp;TEXT(H1279,"0"))</f>
        <v>4921017803231830|46135</v>
      </c>
      <c r="AA1279" t="str">
        <f>IF(Z1279="","",IFERROR(LOOKUP(2,1/(#REF!=Z1279),#REF!),""))</f>
        <v/>
      </c>
      <c r="AB1279" t="str">
        <f>IF(Z1279="","",IFERROR(LOOKUP(2,1/(#REF!=Z1279),#REF!),""))</f>
        <v/>
      </c>
      <c r="AC1279" t="e">
        <f>IF(Z1279="","",COUNTIF(#REF!,Z1279))</f>
        <v>#REF!</v>
      </c>
      <c r="AD1279" t="e">
        <f>IF(A1279="","",IF(AC1279&gt;1,"REVISAR DUPLICADO",IF(AA1279&lt;&gt;"","ACTUALIZADO POR EYR","SIN REPORTE EYR")))</f>
        <v>#REF!</v>
      </c>
    </row>
    <row r="1280" spans="1:30" x14ac:dyDescent="0.3">
      <c r="A1280" s="5" t="s">
        <v>1873</v>
      </c>
      <c r="B1280" t="s">
        <v>1872</v>
      </c>
      <c r="C1280" s="4" t="s">
        <v>1871</v>
      </c>
      <c r="D1280" t="s">
        <v>1</v>
      </c>
      <c r="F1280" t="s">
        <v>1870</v>
      </c>
      <c r="G1280" s="3">
        <v>8097756312</v>
      </c>
      <c r="H1280" s="2">
        <v>46135</v>
      </c>
      <c r="K1280" s="1">
        <f ca="1">IF(A1280="","",IF(OR(L1280="ENTREGADA",L1280="RETORNADA",L1280="ENTREGA DIGITAL"),0,MAX(0,5-NETWORKDAYS(H1280+1,TODAY()))))</f>
        <v>0</v>
      </c>
      <c r="L1280">
        <f>IF(A1280="","",IFERROR(LOOKUP(2,1/(#REF!=Z1280),#REF!),Y1280))</f>
        <v>0</v>
      </c>
      <c r="Z1280" t="str">
        <f>IF(A1280="","",TEXT(A1280,"0")&amp;"|"&amp;TEXT(H1280,"0"))</f>
        <v>5415017804585400|46135</v>
      </c>
      <c r="AA1280" t="str">
        <f>IF(Z1280="","",IFERROR(LOOKUP(2,1/(#REF!=Z1280),#REF!),""))</f>
        <v/>
      </c>
      <c r="AB1280" t="str">
        <f>IF(Z1280="","",IFERROR(LOOKUP(2,1/(#REF!=Z1280),#REF!),""))</f>
        <v/>
      </c>
      <c r="AC1280" t="e">
        <f>IF(Z1280="","",COUNTIF(#REF!,Z1280))</f>
        <v>#REF!</v>
      </c>
      <c r="AD1280" t="e">
        <f>IF(A1280="","",IF(AC1280&gt;1,"REVISAR DUPLICADO",IF(AA1280&lt;&gt;"","ACTUALIZADO POR EYR","SIN REPORTE EYR")))</f>
        <v>#REF!</v>
      </c>
    </row>
    <row r="1281" spans="1:30" x14ac:dyDescent="0.3">
      <c r="A1281" s="5" t="s">
        <v>1869</v>
      </c>
      <c r="B1281" t="s">
        <v>1868</v>
      </c>
      <c r="C1281" s="4" t="s">
        <v>1867</v>
      </c>
      <c r="D1281" t="s">
        <v>1</v>
      </c>
      <c r="F1281" t="s">
        <v>0</v>
      </c>
      <c r="G1281" s="3">
        <v>8093597112</v>
      </c>
      <c r="H1281" s="2">
        <v>46135</v>
      </c>
      <c r="K1281" s="1">
        <f ca="1">IF(A1281="","",IF(OR(L1281="ENTREGADA",L1281="RETORNADA",L1281="ENTREGA DIGITAL"),0,MAX(0,5-NETWORKDAYS(H1281+1,TODAY()))))</f>
        <v>0</v>
      </c>
      <c r="L1281">
        <f>IF(A1281="","",IFERROR(LOOKUP(2,1/(#REF!=Z1281),#REF!),Y1281))</f>
        <v>0</v>
      </c>
      <c r="Z1281" t="str">
        <f>IF(A1281="","",TEXT(A1281,"0")&amp;"|"&amp;TEXT(H1281,"0"))</f>
        <v>5415017769020570|46135</v>
      </c>
      <c r="AA1281" t="str">
        <f>IF(Z1281="","",IFERROR(LOOKUP(2,1/(#REF!=Z1281),#REF!),""))</f>
        <v/>
      </c>
      <c r="AB1281" t="str">
        <f>IF(Z1281="","",IFERROR(LOOKUP(2,1/(#REF!=Z1281),#REF!),""))</f>
        <v/>
      </c>
      <c r="AC1281" t="e">
        <f>IF(Z1281="","",COUNTIF(#REF!,Z1281))</f>
        <v>#REF!</v>
      </c>
      <c r="AD1281" t="e">
        <f>IF(A1281="","",IF(AC1281&gt;1,"REVISAR DUPLICADO",IF(AA1281&lt;&gt;"","ACTUALIZADO POR EYR","SIN REPORTE EYR")))</f>
        <v>#REF!</v>
      </c>
    </row>
    <row r="1282" spans="1:30" x14ac:dyDescent="0.3">
      <c r="A1282" s="5" t="s">
        <v>1866</v>
      </c>
      <c r="B1282" t="s">
        <v>1865</v>
      </c>
      <c r="C1282" s="4" t="s">
        <v>1864</v>
      </c>
      <c r="D1282" t="s">
        <v>1</v>
      </c>
      <c r="F1282" t="s">
        <v>0</v>
      </c>
      <c r="G1282" s="3">
        <v>8294294404</v>
      </c>
      <c r="H1282" s="2">
        <v>46135</v>
      </c>
      <c r="K1282" s="1">
        <f ca="1">IF(A1282="","",IF(OR(L1282="ENTREGADA",L1282="RETORNADA",L1282="ENTREGA DIGITAL"),0,MAX(0,5-NETWORKDAYS(H1282+1,TODAY()))))</f>
        <v>0</v>
      </c>
      <c r="L1282">
        <f>IF(A1282="","",IFERROR(LOOKUP(2,1/(#REF!=Z1282),#REF!),Y1282))</f>
        <v>0</v>
      </c>
      <c r="Z1282" t="str">
        <f>IF(A1282="","",TEXT(A1282,"0")&amp;"|"&amp;TEXT(H1282,"0"))</f>
        <v>5188017734376020|46135</v>
      </c>
      <c r="AA1282" t="str">
        <f>IF(Z1282="","",IFERROR(LOOKUP(2,1/(#REF!=Z1282),#REF!),""))</f>
        <v/>
      </c>
      <c r="AB1282" t="str">
        <f>IF(Z1282="","",IFERROR(LOOKUP(2,1/(#REF!=Z1282),#REF!),""))</f>
        <v/>
      </c>
      <c r="AC1282" t="e">
        <f>IF(Z1282="","",COUNTIF(#REF!,Z1282))</f>
        <v>#REF!</v>
      </c>
      <c r="AD1282" t="e">
        <f>IF(A1282="","",IF(AC1282&gt;1,"REVISAR DUPLICADO",IF(AA1282&lt;&gt;"","ACTUALIZADO POR EYR","SIN REPORTE EYR")))</f>
        <v>#REF!</v>
      </c>
    </row>
    <row r="1283" spans="1:30" x14ac:dyDescent="0.3">
      <c r="A1283" s="5" t="s">
        <v>849</v>
      </c>
      <c r="B1283" t="s">
        <v>848</v>
      </c>
      <c r="C1283" s="4">
        <v>40211295684</v>
      </c>
      <c r="D1283" t="s">
        <v>21</v>
      </c>
      <c r="F1283" t="s">
        <v>846</v>
      </c>
      <c r="G1283" s="3">
        <v>8296486272</v>
      </c>
      <c r="H1283" s="2">
        <v>46140</v>
      </c>
      <c r="K1283" s="1">
        <f ca="1">IF(A1283="","",IF(OR(L1283="ENTREGADA",L1283="RETORNADA",L1283="ENTREGA DIGITAL"),0,MAX(0,5-NETWORKDAYS(H1283+1,TODAY()))))</f>
        <v>2</v>
      </c>
      <c r="L1283">
        <f>IF(A1283="","",IFERROR(LOOKUP(2,1/(#REF!=Z1283),#REF!),Y1283))</f>
        <v>0</v>
      </c>
      <c r="Z1283" t="str">
        <f>IF(A1283="","",TEXT(A1283,"0")&amp;"|"&amp;TEXT(H1283,"0"))</f>
        <v>5188017924174470|46140</v>
      </c>
      <c r="AA1283" t="str">
        <f>IF(Z1283="","",IFERROR(LOOKUP(2,1/(#REF!=Z1283),#REF!),""))</f>
        <v/>
      </c>
      <c r="AB1283" t="str">
        <f>IF(Z1283="","",IFERROR(LOOKUP(2,1/(#REF!=Z1283),#REF!),""))</f>
        <v/>
      </c>
      <c r="AC1283" t="e">
        <f>IF(Z1283="","",COUNTIF(#REF!,Z1283))</f>
        <v>#REF!</v>
      </c>
      <c r="AD1283" t="e">
        <f>IF(A1283="","",IF(AC1283&gt;1,"REVISAR DUPLICADO",IF(AA1283&lt;&gt;"","ACTUALIZADO POR EYR","SIN REPORTE EYR")))</f>
        <v>#REF!</v>
      </c>
    </row>
    <row r="1284" spans="1:30" x14ac:dyDescent="0.3">
      <c r="A1284" s="5" t="s">
        <v>845</v>
      </c>
      <c r="B1284" t="s">
        <v>844</v>
      </c>
      <c r="C1284" s="4">
        <v>2301552333</v>
      </c>
      <c r="D1284" t="s">
        <v>21</v>
      </c>
      <c r="F1284" t="s">
        <v>842</v>
      </c>
      <c r="G1284" s="3">
        <v>8293136984</v>
      </c>
      <c r="H1284" s="2">
        <v>46140</v>
      </c>
      <c r="I1284" t="s">
        <v>1397</v>
      </c>
      <c r="K1284" s="1">
        <f ca="1">IF(A1284="","",IF(OR(L1284="ENTREGADA",L1284="RETORNADA",L1284="ENTREGA DIGITAL"),0,MAX(0,5-NETWORKDAYS(H1284+1,TODAY()))))</f>
        <v>0</v>
      </c>
      <c r="L1284" t="str">
        <f>IF(A1284="","",IFERROR(LOOKUP(2,1/(#REF!=Z1284),#REF!),Y1284))</f>
        <v>ENTREGA DIGITAL</v>
      </c>
      <c r="Y1284" t="s">
        <v>1396</v>
      </c>
      <c r="Z1284" t="str">
        <f>IF(A1284="","",TEXT(A1284,"0")&amp;"|"&amp;TEXT(H1284,"0"))</f>
        <v>4921017925456350|46140</v>
      </c>
      <c r="AA1284" t="str">
        <f>IF(Z1284="","",IFERROR(LOOKUP(2,1/(#REF!=Z1284),#REF!),""))</f>
        <v/>
      </c>
      <c r="AB1284" t="str">
        <f>IF(Z1284="","",IFERROR(LOOKUP(2,1/(#REF!=Z1284),#REF!),""))</f>
        <v/>
      </c>
      <c r="AC1284" t="e">
        <f>IF(Z1284="","",COUNTIF(#REF!,Z1284))</f>
        <v>#REF!</v>
      </c>
      <c r="AD1284" t="e">
        <f>IF(A1284="","",IF(AC1284&gt;1,"REVISAR DUPLICADO",IF(AA1284&lt;&gt;"","ACTUALIZADO POR EYR","SIN REPORTE EYR")))</f>
        <v>#REF!</v>
      </c>
    </row>
    <row r="1285" spans="1:30" x14ac:dyDescent="0.3">
      <c r="A1285" s="5" t="s">
        <v>841</v>
      </c>
      <c r="B1285" t="s">
        <v>840</v>
      </c>
      <c r="C1285" s="4">
        <v>2301613747</v>
      </c>
      <c r="D1285" t="s">
        <v>21</v>
      </c>
      <c r="F1285" t="s">
        <v>838</v>
      </c>
      <c r="G1285" s="3">
        <v>8097875477</v>
      </c>
      <c r="H1285" s="2">
        <v>46140</v>
      </c>
      <c r="K1285" s="1">
        <f ca="1">IF(A1285="","",IF(OR(L1285="ENTREGADA",L1285="RETORNADA",L1285="ENTREGA DIGITAL"),0,MAX(0,5-NETWORKDAYS(H1285+1,TODAY()))))</f>
        <v>2</v>
      </c>
      <c r="L1285">
        <f>IF(A1285="","",IFERROR(LOOKUP(2,1/(#REF!=Z1285),#REF!),Y1285))</f>
        <v>0</v>
      </c>
      <c r="Z1285" t="str">
        <f>IF(A1285="","",TEXT(A1285,"0")&amp;"|"&amp;TEXT(H1285,"0"))</f>
        <v>4921017925666840|46140</v>
      </c>
      <c r="AA1285" t="str">
        <f>IF(Z1285="","",IFERROR(LOOKUP(2,1/(#REF!=Z1285),#REF!),""))</f>
        <v/>
      </c>
      <c r="AB1285" t="str">
        <f>IF(Z1285="","",IFERROR(LOOKUP(2,1/(#REF!=Z1285),#REF!),""))</f>
        <v/>
      </c>
      <c r="AC1285" t="e">
        <f>IF(Z1285="","",COUNTIF(#REF!,Z1285))</f>
        <v>#REF!</v>
      </c>
      <c r="AD1285" t="e">
        <f>IF(A1285="","",IF(AC1285&gt;1,"REVISAR DUPLICADO",IF(AA1285&lt;&gt;"","ACTUALIZADO POR EYR","SIN REPORTE EYR")))</f>
        <v>#REF!</v>
      </c>
    </row>
    <row r="1286" spans="1:30" x14ac:dyDescent="0.3">
      <c r="A1286" s="5" t="s">
        <v>837</v>
      </c>
      <c r="B1286" t="s">
        <v>836</v>
      </c>
      <c r="C1286" s="4">
        <v>40225818562</v>
      </c>
      <c r="D1286" t="s">
        <v>21</v>
      </c>
      <c r="F1286" t="s">
        <v>834</v>
      </c>
      <c r="G1286" s="3">
        <v>8492096579</v>
      </c>
      <c r="H1286" s="2">
        <v>46140</v>
      </c>
      <c r="K1286" s="1">
        <f ca="1">IF(A1286="","",IF(OR(L1286="ENTREGADA",L1286="RETORNADA",L1286="ENTREGA DIGITAL"),0,MAX(0,5-NETWORKDAYS(H1286+1,TODAY()))))</f>
        <v>2</v>
      </c>
      <c r="L1286">
        <f>IF(A1286="","",IFERROR(LOOKUP(2,1/(#REF!=Z1286),#REF!),Y1286))</f>
        <v>0</v>
      </c>
      <c r="Z1286" t="str">
        <f>IF(A1286="","",TEXT(A1286,"0")&amp;"|"&amp;TEXT(H1286,"0"))</f>
        <v>5188017915879910|46140</v>
      </c>
      <c r="AA1286" t="str">
        <f>IF(Z1286="","",IFERROR(LOOKUP(2,1/(#REF!=Z1286),#REF!),""))</f>
        <v/>
      </c>
      <c r="AB1286" t="str">
        <f>IF(Z1286="","",IFERROR(LOOKUP(2,1/(#REF!=Z1286),#REF!),""))</f>
        <v/>
      </c>
      <c r="AC1286" t="e">
        <f>IF(Z1286="","",COUNTIF(#REF!,Z1286))</f>
        <v>#REF!</v>
      </c>
      <c r="AD1286" t="e">
        <f>IF(A1286="","",IF(AC1286&gt;1,"REVISAR DUPLICADO",IF(AA1286&lt;&gt;"","ACTUALIZADO POR EYR","SIN REPORTE EYR")))</f>
        <v>#REF!</v>
      </c>
    </row>
    <row r="1287" spans="1:30" x14ac:dyDescent="0.3">
      <c r="A1287" s="5" t="s">
        <v>833</v>
      </c>
      <c r="B1287" t="s">
        <v>832</v>
      </c>
      <c r="C1287" s="4" t="s">
        <v>831</v>
      </c>
      <c r="D1287" t="s">
        <v>21</v>
      </c>
      <c r="F1287" t="s">
        <v>830</v>
      </c>
      <c r="G1287" s="3">
        <v>8297612852</v>
      </c>
      <c r="H1287" s="2">
        <v>46140</v>
      </c>
      <c r="K1287" s="1">
        <f ca="1">IF(A1287="","",IF(OR(L1287="ENTREGADA",L1287="RETORNADA",L1287="ENTREGA DIGITAL"),0,MAX(0,5-NETWORKDAYS(H1287+1,TODAY()))))</f>
        <v>2</v>
      </c>
      <c r="L1287">
        <f>IF(A1287="","",IFERROR(LOOKUP(2,1/(#REF!=Z1287),#REF!),Y1287))</f>
        <v>0</v>
      </c>
      <c r="Z1287" t="str">
        <f>IF(A1287="","",TEXT(A1287,"0")&amp;"|"&amp;TEXT(H1287,"0"))</f>
        <v>5415017914265020|46140</v>
      </c>
      <c r="AA1287" t="str">
        <f>IF(Z1287="","",IFERROR(LOOKUP(2,1/(#REF!=Z1287),#REF!),""))</f>
        <v/>
      </c>
      <c r="AB1287" t="str">
        <f>IF(Z1287="","",IFERROR(LOOKUP(2,1/(#REF!=Z1287),#REF!),""))</f>
        <v/>
      </c>
      <c r="AC1287" t="e">
        <f>IF(Z1287="","",COUNTIF(#REF!,Z1287))</f>
        <v>#REF!</v>
      </c>
      <c r="AD1287" t="e">
        <f>IF(A1287="","",IF(AC1287&gt;1,"REVISAR DUPLICADO",IF(AA1287&lt;&gt;"","ACTUALIZADO POR EYR","SIN REPORTE EYR")))</f>
        <v>#REF!</v>
      </c>
    </row>
    <row r="1288" spans="1:30" x14ac:dyDescent="0.3">
      <c r="A1288" s="5" t="s">
        <v>829</v>
      </c>
      <c r="B1288" t="s">
        <v>828</v>
      </c>
      <c r="C1288" s="4">
        <v>40222035574</v>
      </c>
      <c r="D1288" t="s">
        <v>21</v>
      </c>
      <c r="F1288" t="s">
        <v>826</v>
      </c>
      <c r="G1288" s="3">
        <v>8296062745</v>
      </c>
      <c r="H1288" s="2">
        <v>46140</v>
      </c>
      <c r="K1288" s="1">
        <f ca="1">IF(A1288="","",IF(OR(L1288="ENTREGADA",L1288="RETORNADA",L1288="ENTREGA DIGITAL"),0,MAX(0,5-NETWORKDAYS(H1288+1,TODAY()))))</f>
        <v>2</v>
      </c>
      <c r="L1288">
        <f>IF(A1288="","",IFERROR(LOOKUP(2,1/(#REF!=Z1288),#REF!),Y1288))</f>
        <v>0</v>
      </c>
      <c r="Z1288" t="str">
        <f>IF(A1288="","",TEXT(A1288,"0")&amp;"|"&amp;TEXT(H1288,"0"))</f>
        <v>5415017914254570|46140</v>
      </c>
      <c r="AA1288" t="str">
        <f>IF(Z1288="","",IFERROR(LOOKUP(2,1/(#REF!=Z1288),#REF!),""))</f>
        <v/>
      </c>
      <c r="AB1288" t="str">
        <f>IF(Z1288="","",IFERROR(LOOKUP(2,1/(#REF!=Z1288),#REF!),""))</f>
        <v/>
      </c>
      <c r="AC1288" t="e">
        <f>IF(Z1288="","",COUNTIF(#REF!,Z1288))</f>
        <v>#REF!</v>
      </c>
      <c r="AD1288" t="e">
        <f>IF(A1288="","",IF(AC1288&gt;1,"REVISAR DUPLICADO",IF(AA1288&lt;&gt;"","ACTUALIZADO POR EYR","SIN REPORTE EYR")))</f>
        <v>#REF!</v>
      </c>
    </row>
    <row r="1289" spans="1:30" x14ac:dyDescent="0.3">
      <c r="A1289" s="5" t="s">
        <v>825</v>
      </c>
      <c r="B1289" t="s">
        <v>824</v>
      </c>
      <c r="C1289" s="4">
        <v>40210943185</v>
      </c>
      <c r="D1289" t="s">
        <v>21</v>
      </c>
      <c r="F1289" t="s">
        <v>13</v>
      </c>
      <c r="G1289" s="3">
        <v>8494076954</v>
      </c>
      <c r="H1289" s="2">
        <v>46140</v>
      </c>
      <c r="K1289" s="1">
        <f ca="1">IF(A1289="","",IF(OR(L1289="ENTREGADA",L1289="RETORNADA",L1289="ENTREGA DIGITAL"),0,MAX(0,5-NETWORKDAYS(H1289+1,TODAY()))))</f>
        <v>2</v>
      </c>
      <c r="L1289">
        <f>IF(A1289="","",IFERROR(LOOKUP(2,1/(#REF!=Z1289),#REF!),Y1289))</f>
        <v>0</v>
      </c>
      <c r="Z1289" t="str">
        <f>IF(A1289="","",TEXT(A1289,"0")&amp;"|"&amp;TEXT(H1289,"0"))</f>
        <v>5188017915827270|46140</v>
      </c>
      <c r="AA1289" t="str">
        <f>IF(Z1289="","",IFERROR(LOOKUP(2,1/(#REF!=Z1289),#REF!),""))</f>
        <v/>
      </c>
      <c r="AB1289" t="str">
        <f>IF(Z1289="","",IFERROR(LOOKUP(2,1/(#REF!=Z1289),#REF!),""))</f>
        <v/>
      </c>
      <c r="AC1289" t="e">
        <f>IF(Z1289="","",COUNTIF(#REF!,Z1289))</f>
        <v>#REF!</v>
      </c>
      <c r="AD1289" t="e">
        <f>IF(A1289="","",IF(AC1289&gt;1,"REVISAR DUPLICADO",IF(AA1289&lt;&gt;"","ACTUALIZADO POR EYR","SIN REPORTE EYR")))</f>
        <v>#REF!</v>
      </c>
    </row>
    <row r="1290" spans="1:30" x14ac:dyDescent="0.3">
      <c r="A1290" s="5" t="s">
        <v>822</v>
      </c>
      <c r="B1290" t="s">
        <v>821</v>
      </c>
      <c r="C1290" s="4">
        <v>40209778410</v>
      </c>
      <c r="D1290" t="s">
        <v>21</v>
      </c>
      <c r="F1290" t="s">
        <v>680</v>
      </c>
      <c r="G1290" s="3">
        <v>8298373801</v>
      </c>
      <c r="H1290" s="2">
        <v>46140</v>
      </c>
      <c r="K1290" s="1">
        <f ca="1">IF(A1290="","",IF(OR(L1290="ENTREGADA",L1290="RETORNADA",L1290="ENTREGA DIGITAL"),0,MAX(0,5-NETWORKDAYS(H1290+1,TODAY()))))</f>
        <v>2</v>
      </c>
      <c r="L1290">
        <f>IF(A1290="","",IFERROR(LOOKUP(2,1/(#REF!=Z1290),#REF!),Y1290))</f>
        <v>0</v>
      </c>
      <c r="Z1290" t="str">
        <f>IF(A1290="","",TEXT(A1290,"0")&amp;"|"&amp;TEXT(H1290,"0"))</f>
        <v>4921017924890840|46140</v>
      </c>
      <c r="AA1290" t="str">
        <f>IF(Z1290="","",IFERROR(LOOKUP(2,1/(#REF!=Z1290),#REF!),""))</f>
        <v/>
      </c>
      <c r="AB1290" t="str">
        <f>IF(Z1290="","",IFERROR(LOOKUP(2,1/(#REF!=Z1290),#REF!),""))</f>
        <v/>
      </c>
      <c r="AC1290" t="e">
        <f>IF(Z1290="","",COUNTIF(#REF!,Z1290))</f>
        <v>#REF!</v>
      </c>
      <c r="AD1290" t="e">
        <f>IF(A1290="","",IF(AC1290&gt;1,"REVISAR DUPLICADO",IF(AA1290&lt;&gt;"","ACTUALIZADO POR EYR","SIN REPORTE EYR")))</f>
        <v>#REF!</v>
      </c>
    </row>
    <row r="1291" spans="1:30" x14ac:dyDescent="0.3">
      <c r="A1291" s="5" t="s">
        <v>819</v>
      </c>
      <c r="B1291" t="s">
        <v>818</v>
      </c>
      <c r="C1291" s="4">
        <v>40231134509</v>
      </c>
      <c r="D1291" t="s">
        <v>21</v>
      </c>
      <c r="F1291" t="s">
        <v>13</v>
      </c>
      <c r="G1291" s="3">
        <v>8298899573</v>
      </c>
      <c r="H1291" s="2">
        <v>46140</v>
      </c>
      <c r="K1291" s="1">
        <f ca="1">IF(A1291="","",IF(OR(L1291="ENTREGADA",L1291="RETORNADA",L1291="ENTREGA DIGITAL"),0,MAX(0,5-NETWORKDAYS(H1291+1,TODAY()))))</f>
        <v>0</v>
      </c>
      <c r="L1291" t="str">
        <f>IF(A1291="","",IFERROR(LOOKUP(2,1/(#REF!=Z1291),#REF!),Y1291))</f>
        <v>RETORNADA</v>
      </c>
      <c r="Y1291" t="s">
        <v>1857</v>
      </c>
      <c r="Z1291" t="str">
        <f>IF(A1291="","",TEXT(A1291,"0")&amp;"|"&amp;TEXT(H1291,"0"))</f>
        <v>4921017921646450|46140</v>
      </c>
      <c r="AA1291" t="str">
        <f>IF(Z1291="","",IFERROR(LOOKUP(2,1/(#REF!=Z1291),#REF!),""))</f>
        <v/>
      </c>
      <c r="AB1291" t="str">
        <f>IF(Z1291="","",IFERROR(LOOKUP(2,1/(#REF!=Z1291),#REF!),""))</f>
        <v/>
      </c>
      <c r="AC1291" t="e">
        <f>IF(Z1291="","",COUNTIF(#REF!,Z1291))</f>
        <v>#REF!</v>
      </c>
      <c r="AD1291" t="e">
        <f>IF(A1291="","",IF(AC1291&gt;1,"REVISAR DUPLICADO",IF(AA1291&lt;&gt;"","ACTUALIZADO POR EYR","SIN REPORTE EYR")))</f>
        <v>#REF!</v>
      </c>
    </row>
    <row r="1292" spans="1:30" x14ac:dyDescent="0.3">
      <c r="A1292" s="5" t="s">
        <v>816</v>
      </c>
      <c r="B1292" t="s">
        <v>815</v>
      </c>
      <c r="C1292" s="4">
        <v>2300538218</v>
      </c>
      <c r="D1292" t="s">
        <v>21</v>
      </c>
      <c r="F1292" t="s">
        <v>813</v>
      </c>
      <c r="G1292" s="3">
        <v>8299839114</v>
      </c>
      <c r="H1292" s="2">
        <v>46140</v>
      </c>
      <c r="K1292" s="1">
        <f ca="1">IF(A1292="","",IF(OR(L1292="ENTREGADA",L1292="RETORNADA",L1292="ENTREGA DIGITAL"),0,MAX(0,5-NETWORKDAYS(H1292+1,TODAY()))))</f>
        <v>0</v>
      </c>
      <c r="L1292" t="str">
        <f>IF(A1292="","",IFERROR(LOOKUP(2,1/(#REF!=Z1292),#REF!),Y1292))</f>
        <v>RETORNADA</v>
      </c>
      <c r="Y1292" t="s">
        <v>1857</v>
      </c>
      <c r="Z1292" t="str">
        <f>IF(A1292="","",TEXT(A1292,"0")&amp;"|"&amp;TEXT(H1292,"0"))</f>
        <v>4741017919675850|46140</v>
      </c>
      <c r="AA1292" t="str">
        <f>IF(Z1292="","",IFERROR(LOOKUP(2,1/(#REF!=Z1292),#REF!),""))</f>
        <v/>
      </c>
      <c r="AB1292" t="str">
        <f>IF(Z1292="","",IFERROR(LOOKUP(2,1/(#REF!=Z1292),#REF!),""))</f>
        <v/>
      </c>
      <c r="AC1292" t="e">
        <f>IF(Z1292="","",COUNTIF(#REF!,Z1292))</f>
        <v>#REF!</v>
      </c>
      <c r="AD1292" t="e">
        <f>IF(A1292="","",IF(AC1292&gt;1,"REVISAR DUPLICADO",IF(AA1292&lt;&gt;"","ACTUALIZADO POR EYR","SIN REPORTE EYR")))</f>
        <v>#REF!</v>
      </c>
    </row>
    <row r="1293" spans="1:30" x14ac:dyDescent="0.3">
      <c r="A1293" s="5" t="s">
        <v>812</v>
      </c>
      <c r="B1293" t="s">
        <v>811</v>
      </c>
      <c r="C1293" s="4">
        <v>2300450711</v>
      </c>
      <c r="D1293" t="s">
        <v>21</v>
      </c>
      <c r="F1293" t="s">
        <v>13</v>
      </c>
      <c r="G1293" s="3">
        <v>8095537083</v>
      </c>
      <c r="H1293" s="2">
        <v>46140</v>
      </c>
      <c r="K1293" s="1">
        <f ca="1">IF(A1293="","",IF(OR(L1293="ENTREGADA",L1293="RETORNADA",L1293="ENTREGA DIGITAL"),0,MAX(0,5-NETWORKDAYS(H1293+1,TODAY()))))</f>
        <v>2</v>
      </c>
      <c r="L1293">
        <f>IF(A1293="","",IFERROR(LOOKUP(2,1/(#REF!=Z1293),#REF!),Y1293))</f>
        <v>0</v>
      </c>
      <c r="Z1293" t="str">
        <f>IF(A1293="","",TEXT(A1293,"0")&amp;"|"&amp;TEXT(H1293,"0"))</f>
        <v>5523017922052350|46140</v>
      </c>
      <c r="AA1293" t="str">
        <f>IF(Z1293="","",IFERROR(LOOKUP(2,1/(#REF!=Z1293),#REF!),""))</f>
        <v/>
      </c>
      <c r="AB1293" t="str">
        <f>IF(Z1293="","",IFERROR(LOOKUP(2,1/(#REF!=Z1293),#REF!),""))</f>
        <v/>
      </c>
      <c r="AC1293" t="e">
        <f>IF(Z1293="","",COUNTIF(#REF!,Z1293))</f>
        <v>#REF!</v>
      </c>
      <c r="AD1293" t="e">
        <f>IF(A1293="","",IF(AC1293&gt;1,"REVISAR DUPLICADO",IF(AA1293&lt;&gt;"","ACTUALIZADO POR EYR","SIN REPORTE EYR")))</f>
        <v>#REF!</v>
      </c>
    </row>
    <row r="1294" spans="1:30" x14ac:dyDescent="0.3">
      <c r="A1294" s="5" t="s">
        <v>809</v>
      </c>
      <c r="B1294" t="s">
        <v>808</v>
      </c>
      <c r="C1294" s="4">
        <v>40243810435</v>
      </c>
      <c r="D1294" t="s">
        <v>77</v>
      </c>
      <c r="F1294" t="s">
        <v>13</v>
      </c>
      <c r="G1294" s="3">
        <v>8296277461</v>
      </c>
      <c r="H1294" s="2">
        <v>46140</v>
      </c>
      <c r="K1294" s="1">
        <f ca="1">IF(A1294="","",IF(OR(L1294="ENTREGADA",L1294="RETORNADA",L1294="ENTREGA DIGITAL"),0,MAX(0,5-NETWORKDAYS(H1294+1,TODAY()))))</f>
        <v>2</v>
      </c>
      <c r="L1294">
        <f>IF(A1294="","",IFERROR(LOOKUP(2,1/(#REF!=Z1294),#REF!),Y1294))</f>
        <v>0</v>
      </c>
      <c r="Z1294" t="str">
        <f>IF(A1294="","",TEXT(A1294,"0")&amp;"|"&amp;TEXT(H1294,"0"))</f>
        <v>5227017924120920|46140</v>
      </c>
      <c r="AA1294" t="str">
        <f>IF(Z1294="","",IFERROR(LOOKUP(2,1/(#REF!=Z1294),#REF!),""))</f>
        <v/>
      </c>
      <c r="AB1294" t="str">
        <f>IF(Z1294="","",IFERROR(LOOKUP(2,1/(#REF!=Z1294),#REF!),""))</f>
        <v/>
      </c>
      <c r="AC1294" t="e">
        <f>IF(Z1294="","",COUNTIF(#REF!,Z1294))</f>
        <v>#REF!</v>
      </c>
      <c r="AD1294" t="e">
        <f>IF(A1294="","",IF(AC1294&gt;1,"REVISAR DUPLICADO",IF(AA1294&lt;&gt;"","ACTUALIZADO POR EYR","SIN REPORTE EYR")))</f>
        <v>#REF!</v>
      </c>
    </row>
    <row r="1295" spans="1:30" x14ac:dyDescent="0.3">
      <c r="A1295" s="5" t="s">
        <v>806</v>
      </c>
      <c r="B1295" t="s">
        <v>805</v>
      </c>
      <c r="C1295" s="4">
        <v>4900655616</v>
      </c>
      <c r="D1295" t="s">
        <v>77</v>
      </c>
      <c r="F1295" t="s">
        <v>135</v>
      </c>
      <c r="G1295" s="3">
        <v>8499254915</v>
      </c>
      <c r="H1295" s="2">
        <v>46140</v>
      </c>
      <c r="K1295" s="1">
        <f ca="1">IF(A1295="","",IF(OR(L1295="ENTREGADA",L1295="RETORNADA",L1295="ENTREGA DIGITAL"),0,MAX(0,5-NETWORKDAYS(H1295+1,TODAY()))))</f>
        <v>2</v>
      </c>
      <c r="L1295">
        <f>IF(A1295="","",IFERROR(LOOKUP(2,1/(#REF!=Z1295),#REF!),Y1295))</f>
        <v>0</v>
      </c>
      <c r="Z1295" t="str">
        <f>IF(A1295="","",TEXT(A1295,"0")&amp;"|"&amp;TEXT(H1295,"0"))</f>
        <v>5415017923273310|46140</v>
      </c>
      <c r="AA1295" t="str">
        <f>IF(Z1295="","",IFERROR(LOOKUP(2,1/(#REF!=Z1295),#REF!),""))</f>
        <v/>
      </c>
      <c r="AB1295" t="str">
        <f>IF(Z1295="","",IFERROR(LOOKUP(2,1/(#REF!=Z1295),#REF!),""))</f>
        <v/>
      </c>
      <c r="AC1295" t="e">
        <f>IF(Z1295="","",COUNTIF(#REF!,Z1295))</f>
        <v>#REF!</v>
      </c>
      <c r="AD1295" t="e">
        <f>IF(A1295="","",IF(AC1295&gt;1,"REVISAR DUPLICADO",IF(AA1295&lt;&gt;"","ACTUALIZADO POR EYR","SIN REPORTE EYR")))</f>
        <v>#REF!</v>
      </c>
    </row>
    <row r="1296" spans="1:30" x14ac:dyDescent="0.3">
      <c r="A1296" s="5" t="s">
        <v>803</v>
      </c>
      <c r="B1296" t="s">
        <v>802</v>
      </c>
      <c r="C1296" s="4">
        <v>40221188994</v>
      </c>
      <c r="D1296" t="s">
        <v>77</v>
      </c>
      <c r="E1296" t="s">
        <v>214</v>
      </c>
      <c r="F1296" t="s">
        <v>391</v>
      </c>
      <c r="G1296" s="3">
        <v>8094786994</v>
      </c>
      <c r="H1296" s="2">
        <v>46140</v>
      </c>
      <c r="K1296" s="1">
        <f ca="1">IF(A1296="","",IF(OR(L1296="ENTREGADA",L1296="RETORNADA",L1296="ENTREGA DIGITAL"),0,MAX(0,5-NETWORKDAYS(H1296+1,TODAY()))))</f>
        <v>2</v>
      </c>
      <c r="L1296">
        <f>IF(A1296="","",IFERROR(LOOKUP(2,1/(#REF!=Z1296),#REF!),Y1296))</f>
        <v>0</v>
      </c>
      <c r="Z1296" t="str">
        <f>IF(A1296="","",TEXT(A1296,"0")&amp;"|"&amp;TEXT(H1296,"0"))</f>
        <v>5188017924190360|46140</v>
      </c>
      <c r="AA1296" t="str">
        <f>IF(Z1296="","",IFERROR(LOOKUP(2,1/(#REF!=Z1296),#REF!),""))</f>
        <v/>
      </c>
      <c r="AB1296" t="str">
        <f>IF(Z1296="","",IFERROR(LOOKUP(2,1/(#REF!=Z1296),#REF!),""))</f>
        <v/>
      </c>
      <c r="AC1296" t="e">
        <f>IF(Z1296="","",COUNTIF(#REF!,Z1296))</f>
        <v>#REF!</v>
      </c>
      <c r="AD1296" t="e">
        <f>IF(A1296="","",IF(AC1296&gt;1,"REVISAR DUPLICADO",IF(AA1296&lt;&gt;"","ACTUALIZADO POR EYR","SIN REPORTE EYR")))</f>
        <v>#REF!</v>
      </c>
    </row>
    <row r="1297" spans="1:30" x14ac:dyDescent="0.3">
      <c r="A1297" s="5" t="s">
        <v>800</v>
      </c>
      <c r="B1297" t="s">
        <v>799</v>
      </c>
      <c r="C1297" s="4">
        <v>40233676002</v>
      </c>
      <c r="D1297" t="s">
        <v>77</v>
      </c>
      <c r="F1297" t="s">
        <v>13</v>
      </c>
      <c r="G1297" s="3">
        <v>8299015598</v>
      </c>
      <c r="H1297" s="2">
        <v>46140</v>
      </c>
      <c r="K1297" s="1">
        <f ca="1">IF(A1297="","",IF(OR(L1297="ENTREGADA",L1297="RETORNADA",L1297="ENTREGA DIGITAL"),0,MAX(0,5-NETWORKDAYS(H1297+1,TODAY()))))</f>
        <v>2</v>
      </c>
      <c r="L1297">
        <f>IF(A1297="","",IFERROR(LOOKUP(2,1/(#REF!=Z1297),#REF!),Y1297))</f>
        <v>0</v>
      </c>
      <c r="Z1297" t="str">
        <f>IF(A1297="","",TEXT(A1297,"0")&amp;"|"&amp;TEXT(H1297,"0"))</f>
        <v>5415017923560430|46140</v>
      </c>
      <c r="AA1297" t="str">
        <f>IF(Z1297="","",IFERROR(LOOKUP(2,1/(#REF!=Z1297),#REF!),""))</f>
        <v/>
      </c>
      <c r="AB1297" t="str">
        <f>IF(Z1297="","",IFERROR(LOOKUP(2,1/(#REF!=Z1297),#REF!),""))</f>
        <v/>
      </c>
      <c r="AC1297" t="e">
        <f>IF(Z1297="","",COUNTIF(#REF!,Z1297))</f>
        <v>#REF!</v>
      </c>
      <c r="AD1297" t="e">
        <f>IF(A1297="","",IF(AC1297&gt;1,"REVISAR DUPLICADO",IF(AA1297&lt;&gt;"","ACTUALIZADO POR EYR","SIN REPORTE EYR")))</f>
        <v>#REF!</v>
      </c>
    </row>
    <row r="1298" spans="1:30" x14ac:dyDescent="0.3">
      <c r="A1298" s="5" t="s">
        <v>797</v>
      </c>
      <c r="B1298" t="s">
        <v>796</v>
      </c>
      <c r="C1298" s="4">
        <v>2801055340</v>
      </c>
      <c r="D1298" t="s">
        <v>77</v>
      </c>
      <c r="F1298" t="s">
        <v>13</v>
      </c>
      <c r="G1298" s="3">
        <v>8094767777</v>
      </c>
      <c r="H1298" s="2">
        <v>46140</v>
      </c>
      <c r="K1298" s="1">
        <f ca="1">IF(A1298="","",IF(OR(L1298="ENTREGADA",L1298="RETORNADA",L1298="ENTREGA DIGITAL"),0,MAX(0,5-NETWORKDAYS(H1298+1,TODAY()))))</f>
        <v>2</v>
      </c>
      <c r="L1298">
        <f>IF(A1298="","",IFERROR(LOOKUP(2,1/(#REF!=Z1298),#REF!),Y1298))</f>
        <v>0</v>
      </c>
      <c r="Z1298" t="str">
        <f>IF(A1298="","",TEXT(A1298,"0")&amp;"|"&amp;TEXT(H1298,"0"))</f>
        <v>4921017925423180|46140</v>
      </c>
      <c r="AA1298" t="str">
        <f>IF(Z1298="","",IFERROR(LOOKUP(2,1/(#REF!=Z1298),#REF!),""))</f>
        <v/>
      </c>
      <c r="AB1298" t="str">
        <f>IF(Z1298="","",IFERROR(LOOKUP(2,1/(#REF!=Z1298),#REF!),""))</f>
        <v/>
      </c>
      <c r="AC1298" t="e">
        <f>IF(Z1298="","",COUNTIF(#REF!,Z1298))</f>
        <v>#REF!</v>
      </c>
      <c r="AD1298" t="e">
        <f>IF(A1298="","",IF(AC1298&gt;1,"REVISAR DUPLICADO",IF(AA1298&lt;&gt;"","ACTUALIZADO POR EYR","SIN REPORTE EYR")))</f>
        <v>#REF!</v>
      </c>
    </row>
    <row r="1299" spans="1:30" x14ac:dyDescent="0.3">
      <c r="A1299" s="5" t="s">
        <v>794</v>
      </c>
      <c r="B1299" t="s">
        <v>793</v>
      </c>
      <c r="C1299" s="4">
        <v>40210809907</v>
      </c>
      <c r="D1299" t="s">
        <v>77</v>
      </c>
      <c r="F1299" t="s">
        <v>13</v>
      </c>
      <c r="G1299" s="3">
        <v>8297531204</v>
      </c>
      <c r="H1299" s="2">
        <v>46140</v>
      </c>
      <c r="K1299" s="1">
        <f ca="1">IF(A1299="","",IF(OR(L1299="ENTREGADA",L1299="RETORNADA",L1299="ENTREGA DIGITAL"),0,MAX(0,5-NETWORKDAYS(H1299+1,TODAY()))))</f>
        <v>2</v>
      </c>
      <c r="L1299">
        <f>IF(A1299="","",IFERROR(LOOKUP(2,1/(#REF!=Z1299),#REF!),Y1299))</f>
        <v>0</v>
      </c>
      <c r="Z1299" t="str">
        <f>IF(A1299="","",TEXT(A1299,"0")&amp;"|"&amp;TEXT(H1299,"0"))</f>
        <v>4921017925402150|46140</v>
      </c>
      <c r="AA1299" t="str">
        <f>IF(Z1299="","",IFERROR(LOOKUP(2,1/(#REF!=Z1299),#REF!),""))</f>
        <v/>
      </c>
      <c r="AB1299" t="str">
        <f>IF(Z1299="","",IFERROR(LOOKUP(2,1/(#REF!=Z1299),#REF!),""))</f>
        <v/>
      </c>
      <c r="AC1299" t="e">
        <f>IF(Z1299="","",COUNTIF(#REF!,Z1299))</f>
        <v>#REF!</v>
      </c>
      <c r="AD1299" t="e">
        <f>IF(A1299="","",IF(AC1299&gt;1,"REVISAR DUPLICADO",IF(AA1299&lt;&gt;"","ACTUALIZADO POR EYR","SIN REPORTE EYR")))</f>
        <v>#REF!</v>
      </c>
    </row>
    <row r="1300" spans="1:30" x14ac:dyDescent="0.3">
      <c r="A1300" s="5" t="s">
        <v>791</v>
      </c>
      <c r="B1300" t="s">
        <v>790</v>
      </c>
      <c r="C1300" s="4">
        <v>2801079845</v>
      </c>
      <c r="D1300" t="s">
        <v>77</v>
      </c>
      <c r="F1300" t="s">
        <v>13</v>
      </c>
      <c r="G1300" s="3">
        <v>8095841144</v>
      </c>
      <c r="H1300" s="2">
        <v>46140</v>
      </c>
      <c r="K1300" s="1">
        <f ca="1">IF(A1300="","",IF(OR(L1300="ENTREGADA",L1300="RETORNADA",L1300="ENTREGA DIGITAL"),0,MAX(0,5-NETWORKDAYS(H1300+1,TODAY()))))</f>
        <v>2</v>
      </c>
      <c r="L1300">
        <f>IF(A1300="","",IFERROR(LOOKUP(2,1/(#REF!=Z1300),#REF!),Y1300))</f>
        <v>0</v>
      </c>
      <c r="Z1300" t="str">
        <f>IF(A1300="","",TEXT(A1300,"0")&amp;"|"&amp;TEXT(H1300,"0"))</f>
        <v>5415017923391560|46140</v>
      </c>
      <c r="AA1300" t="str">
        <f>IF(Z1300="","",IFERROR(LOOKUP(2,1/(#REF!=Z1300),#REF!),""))</f>
        <v/>
      </c>
      <c r="AB1300" t="str">
        <f>IF(Z1300="","",IFERROR(LOOKUP(2,1/(#REF!=Z1300),#REF!),""))</f>
        <v/>
      </c>
      <c r="AC1300" t="e">
        <f>IF(Z1300="","",COUNTIF(#REF!,Z1300))</f>
        <v>#REF!</v>
      </c>
      <c r="AD1300" t="e">
        <f>IF(A1300="","",IF(AC1300&gt;1,"REVISAR DUPLICADO",IF(AA1300&lt;&gt;"","ACTUALIZADO POR EYR","SIN REPORTE EYR")))</f>
        <v>#REF!</v>
      </c>
    </row>
    <row r="1301" spans="1:30" x14ac:dyDescent="0.3">
      <c r="A1301" s="5" t="s">
        <v>788</v>
      </c>
      <c r="B1301" t="s">
        <v>787</v>
      </c>
      <c r="C1301" s="4">
        <v>10300034195</v>
      </c>
      <c r="D1301" t="s">
        <v>77</v>
      </c>
      <c r="F1301" t="s">
        <v>785</v>
      </c>
      <c r="G1301" s="3">
        <v>8494792748</v>
      </c>
      <c r="H1301" s="2">
        <v>46140</v>
      </c>
      <c r="K1301" s="1">
        <f ca="1">IF(A1301="","",IF(OR(L1301="ENTREGADA",L1301="RETORNADA",L1301="ENTREGA DIGITAL"),0,MAX(0,5-NETWORKDAYS(H1301+1,TODAY()))))</f>
        <v>0</v>
      </c>
      <c r="L1301" t="str">
        <f>IF(A1301="","",IFERROR(LOOKUP(2,1/(#REF!=Z1301),#REF!),Y1301))</f>
        <v>ENTREGA DIGITAL</v>
      </c>
      <c r="Y1301" t="s">
        <v>1396</v>
      </c>
      <c r="Z1301" t="str">
        <f>IF(A1301="","",TEXT(A1301,"0")&amp;"|"&amp;TEXT(H1301,"0"))</f>
        <v>5415017923307110|46140</v>
      </c>
      <c r="AA1301" t="str">
        <f>IF(Z1301="","",IFERROR(LOOKUP(2,1/(#REF!=Z1301),#REF!),""))</f>
        <v/>
      </c>
      <c r="AB1301" t="str">
        <f>IF(Z1301="","",IFERROR(LOOKUP(2,1/(#REF!=Z1301),#REF!),""))</f>
        <v/>
      </c>
      <c r="AC1301" t="e">
        <f>IF(Z1301="","",COUNTIF(#REF!,Z1301))</f>
        <v>#REF!</v>
      </c>
      <c r="AD1301" t="e">
        <f>IF(A1301="","",IF(AC1301&gt;1,"REVISAR DUPLICADO",IF(AA1301&lt;&gt;"","ACTUALIZADO POR EYR","SIN REPORTE EYR")))</f>
        <v>#REF!</v>
      </c>
    </row>
    <row r="1302" spans="1:30" x14ac:dyDescent="0.3">
      <c r="A1302" s="5" t="s">
        <v>784</v>
      </c>
      <c r="B1302" t="s">
        <v>783</v>
      </c>
      <c r="C1302" s="4">
        <v>40251237794</v>
      </c>
      <c r="D1302" t="s">
        <v>77</v>
      </c>
      <c r="F1302" t="s">
        <v>781</v>
      </c>
      <c r="G1302" s="3">
        <v>8299591335</v>
      </c>
      <c r="H1302" s="2">
        <v>46140</v>
      </c>
      <c r="K1302" s="1">
        <f ca="1">IF(A1302="","",IF(OR(L1302="ENTREGADA",L1302="RETORNADA",L1302="ENTREGA DIGITAL"),0,MAX(0,5-NETWORKDAYS(H1302+1,TODAY()))))</f>
        <v>2</v>
      </c>
      <c r="L1302">
        <f>IF(A1302="","",IFERROR(LOOKUP(2,1/(#REF!=Z1302),#REF!),Y1302))</f>
        <v>0</v>
      </c>
      <c r="Z1302" t="str">
        <f>IF(A1302="","",TEXT(A1302,"0")&amp;"|"&amp;TEXT(H1302,"0"))</f>
        <v>4921017921470850|46140</v>
      </c>
      <c r="AA1302" t="str">
        <f>IF(Z1302="","",IFERROR(LOOKUP(2,1/(#REF!=Z1302),#REF!),""))</f>
        <v/>
      </c>
      <c r="AB1302" t="str">
        <f>IF(Z1302="","",IFERROR(LOOKUP(2,1/(#REF!=Z1302),#REF!),""))</f>
        <v/>
      </c>
      <c r="AC1302" t="e">
        <f>IF(Z1302="","",COUNTIF(#REF!,Z1302))</f>
        <v>#REF!</v>
      </c>
      <c r="AD1302" t="e">
        <f>IF(A1302="","",IF(AC1302&gt;1,"REVISAR DUPLICADO",IF(AA1302&lt;&gt;"","ACTUALIZADO POR EYR","SIN REPORTE EYR")))</f>
        <v>#REF!</v>
      </c>
    </row>
    <row r="1303" spans="1:30" x14ac:dyDescent="0.3">
      <c r="A1303" s="5" t="s">
        <v>780</v>
      </c>
      <c r="B1303" t="s">
        <v>779</v>
      </c>
      <c r="C1303" s="4">
        <v>2601269588</v>
      </c>
      <c r="D1303" t="s">
        <v>77</v>
      </c>
      <c r="F1303" t="s">
        <v>777</v>
      </c>
      <c r="G1303" s="3">
        <v>8297032792</v>
      </c>
      <c r="H1303" s="2">
        <v>46140</v>
      </c>
      <c r="K1303" s="1">
        <f ca="1">IF(A1303="","",IF(OR(L1303="ENTREGADA",L1303="RETORNADA",L1303="ENTREGA DIGITAL"),0,MAX(0,5-NETWORKDAYS(H1303+1,TODAY()))))</f>
        <v>2</v>
      </c>
      <c r="L1303">
        <f>IF(A1303="","",IFERROR(LOOKUP(2,1/(#REF!=Z1303),#REF!),Y1303))</f>
        <v>0</v>
      </c>
      <c r="Z1303" t="str">
        <f>IF(A1303="","",TEXT(A1303,"0")&amp;"|"&amp;TEXT(H1303,"0"))</f>
        <v>5415017914967270|46140</v>
      </c>
      <c r="AA1303" t="str">
        <f>IF(Z1303="","",IFERROR(LOOKUP(2,1/(#REF!=Z1303),#REF!),""))</f>
        <v/>
      </c>
      <c r="AB1303" t="str">
        <f>IF(Z1303="","",IFERROR(LOOKUP(2,1/(#REF!=Z1303),#REF!),""))</f>
        <v/>
      </c>
      <c r="AC1303" t="e">
        <f>IF(Z1303="","",COUNTIF(#REF!,Z1303))</f>
        <v>#REF!</v>
      </c>
      <c r="AD1303" t="e">
        <f>IF(A1303="","",IF(AC1303&gt;1,"REVISAR DUPLICADO",IF(AA1303&lt;&gt;"","ACTUALIZADO POR EYR","SIN REPORTE EYR")))</f>
        <v>#REF!</v>
      </c>
    </row>
    <row r="1304" spans="1:30" x14ac:dyDescent="0.3">
      <c r="A1304" s="5" t="s">
        <v>776</v>
      </c>
      <c r="B1304" t="s">
        <v>775</v>
      </c>
      <c r="C1304" s="4">
        <v>2800671931</v>
      </c>
      <c r="D1304" t="s">
        <v>77</v>
      </c>
      <c r="F1304" t="s">
        <v>13</v>
      </c>
      <c r="G1304" s="3">
        <v>8299826213</v>
      </c>
      <c r="H1304" s="2">
        <v>46140</v>
      </c>
      <c r="K1304" s="1">
        <f ca="1">IF(A1304="","",IF(OR(L1304="ENTREGADA",L1304="RETORNADA",L1304="ENTREGA DIGITAL"),0,MAX(0,5-NETWORKDAYS(H1304+1,TODAY()))))</f>
        <v>2</v>
      </c>
      <c r="L1304">
        <f>IF(A1304="","",IFERROR(LOOKUP(2,1/(#REF!=Z1304),#REF!),Y1304))</f>
        <v>0</v>
      </c>
      <c r="Z1304" t="str">
        <f>IF(A1304="","",TEXT(A1304,"0")&amp;"|"&amp;TEXT(H1304,"0"))</f>
        <v>4025017919455160|46140</v>
      </c>
      <c r="AA1304" t="str">
        <f>IF(Z1304="","",IFERROR(LOOKUP(2,1/(#REF!=Z1304),#REF!),""))</f>
        <v/>
      </c>
      <c r="AB1304" t="str">
        <f>IF(Z1304="","",IFERROR(LOOKUP(2,1/(#REF!=Z1304),#REF!),""))</f>
        <v/>
      </c>
      <c r="AC1304" t="e">
        <f>IF(Z1304="","",COUNTIF(#REF!,Z1304))</f>
        <v>#REF!</v>
      </c>
      <c r="AD1304" t="e">
        <f>IF(A1304="","",IF(AC1304&gt;1,"REVISAR DUPLICADO",IF(AA1304&lt;&gt;"","ACTUALIZADO POR EYR","SIN REPORTE EYR")))</f>
        <v>#REF!</v>
      </c>
    </row>
    <row r="1305" spans="1:30" x14ac:dyDescent="0.3">
      <c r="A1305" s="5" t="s">
        <v>773</v>
      </c>
      <c r="B1305" t="s">
        <v>772</v>
      </c>
      <c r="C1305" s="4">
        <v>40245917782</v>
      </c>
      <c r="D1305" t="s">
        <v>77</v>
      </c>
      <c r="F1305" t="s">
        <v>13</v>
      </c>
      <c r="G1305" s="3">
        <v>8094913091</v>
      </c>
      <c r="H1305" s="2">
        <v>46140</v>
      </c>
      <c r="K1305" s="1">
        <f ca="1">IF(A1305="","",IF(OR(L1305="ENTREGADA",L1305="RETORNADA",L1305="ENTREGA DIGITAL"),0,MAX(0,5-NETWORKDAYS(H1305+1,TODAY()))))</f>
        <v>2</v>
      </c>
      <c r="L1305">
        <f>IF(A1305="","",IFERROR(LOOKUP(2,1/(#REF!=Z1305),#REF!),Y1305))</f>
        <v>0</v>
      </c>
      <c r="Z1305" t="str">
        <f>IF(A1305="","",TEXT(A1305,"0")&amp;"|"&amp;TEXT(H1305,"0"))</f>
        <v>5415017914944390|46140</v>
      </c>
      <c r="AA1305" t="str">
        <f>IF(Z1305="","",IFERROR(LOOKUP(2,1/(#REF!=Z1305),#REF!),""))</f>
        <v/>
      </c>
      <c r="AB1305" t="str">
        <f>IF(Z1305="","",IFERROR(LOOKUP(2,1/(#REF!=Z1305),#REF!),""))</f>
        <v/>
      </c>
      <c r="AC1305" t="e">
        <f>IF(Z1305="","",COUNTIF(#REF!,Z1305))</f>
        <v>#REF!</v>
      </c>
      <c r="AD1305" t="e">
        <f>IF(A1305="","",IF(AC1305&gt;1,"REVISAR DUPLICADO",IF(AA1305&lt;&gt;"","ACTUALIZADO POR EYR","SIN REPORTE EYR")))</f>
        <v>#REF!</v>
      </c>
    </row>
    <row r="1306" spans="1:30" x14ac:dyDescent="0.3">
      <c r="A1306" s="5" t="s">
        <v>770</v>
      </c>
      <c r="B1306" t="s">
        <v>769</v>
      </c>
      <c r="C1306" s="4">
        <v>2801019361</v>
      </c>
      <c r="D1306" t="s">
        <v>77</v>
      </c>
      <c r="F1306" t="s">
        <v>13</v>
      </c>
      <c r="G1306" s="3">
        <v>8095543061</v>
      </c>
      <c r="H1306" s="2">
        <v>46140</v>
      </c>
      <c r="K1306" s="1">
        <f ca="1">IF(A1306="","",IF(OR(L1306="ENTREGADA",L1306="RETORNADA",L1306="ENTREGA DIGITAL"),0,MAX(0,5-NETWORKDAYS(H1306+1,TODAY()))))</f>
        <v>2</v>
      </c>
      <c r="L1306">
        <f>IF(A1306="","",IFERROR(LOOKUP(2,1/(#REF!=Z1306),#REF!),Y1306))</f>
        <v>0</v>
      </c>
      <c r="Z1306" t="str">
        <f>IF(A1306="","",TEXT(A1306,"0")&amp;"|"&amp;TEXT(H1306,"0"))</f>
        <v>4741017919950610|46140</v>
      </c>
      <c r="AA1306" t="str">
        <f>IF(Z1306="","",IFERROR(LOOKUP(2,1/(#REF!=Z1306),#REF!),""))</f>
        <v/>
      </c>
      <c r="AB1306" t="str">
        <f>IF(Z1306="","",IFERROR(LOOKUP(2,1/(#REF!=Z1306),#REF!),""))</f>
        <v/>
      </c>
      <c r="AC1306" t="e">
        <f>IF(Z1306="","",COUNTIF(#REF!,Z1306))</f>
        <v>#REF!</v>
      </c>
      <c r="AD1306" t="e">
        <f>IF(A1306="","",IF(AC1306&gt;1,"REVISAR DUPLICADO",IF(AA1306&lt;&gt;"","ACTUALIZADO POR EYR","SIN REPORTE EYR")))</f>
        <v>#REF!</v>
      </c>
    </row>
    <row r="1307" spans="1:30" x14ac:dyDescent="0.3">
      <c r="A1307" s="5" t="s">
        <v>767</v>
      </c>
      <c r="B1307" t="s">
        <v>766</v>
      </c>
      <c r="C1307" s="4">
        <v>40225030044</v>
      </c>
      <c r="D1307" t="s">
        <v>77</v>
      </c>
      <c r="F1307" t="s">
        <v>764</v>
      </c>
      <c r="G1307" s="3">
        <v>8498816172</v>
      </c>
      <c r="H1307" s="2">
        <v>46140</v>
      </c>
      <c r="I1307" t="s">
        <v>1397</v>
      </c>
      <c r="K1307" s="1">
        <f ca="1">IF(A1307="","",IF(OR(L1307="ENTREGADA",L1307="RETORNADA",L1307="ENTREGA DIGITAL"),0,MAX(0,5-NETWORKDAYS(H1307+1,TODAY()))))</f>
        <v>0</v>
      </c>
      <c r="L1307" t="str">
        <f>IF(A1307="","",IFERROR(LOOKUP(2,1/(#REF!=Z1307),#REF!),Y1307))</f>
        <v>ENTREGA DIGITAL</v>
      </c>
      <c r="Y1307" t="s">
        <v>1396</v>
      </c>
      <c r="Z1307" t="str">
        <f>IF(A1307="","",TEXT(A1307,"0")&amp;"|"&amp;TEXT(H1307,"0"))</f>
        <v>5523017914470830|46140</v>
      </c>
      <c r="AA1307" t="str">
        <f>IF(Z1307="","",IFERROR(LOOKUP(2,1/(#REF!=Z1307),#REF!),""))</f>
        <v/>
      </c>
      <c r="AB1307" t="str">
        <f>IF(Z1307="","",IFERROR(LOOKUP(2,1/(#REF!=Z1307),#REF!),""))</f>
        <v/>
      </c>
      <c r="AC1307" t="e">
        <f>IF(Z1307="","",COUNTIF(#REF!,Z1307))</f>
        <v>#REF!</v>
      </c>
      <c r="AD1307" t="e">
        <f>IF(A1307="","",IF(AC1307&gt;1,"REVISAR DUPLICADO",IF(AA1307&lt;&gt;"","ACTUALIZADO POR EYR","SIN REPORTE EYR")))</f>
        <v>#REF!</v>
      </c>
    </row>
    <row r="1308" spans="1:30" x14ac:dyDescent="0.3">
      <c r="A1308" s="5" t="s">
        <v>943</v>
      </c>
      <c r="B1308" t="s">
        <v>942</v>
      </c>
      <c r="C1308" s="4">
        <v>40230182335</v>
      </c>
      <c r="D1308" t="s">
        <v>600</v>
      </c>
      <c r="F1308" t="s">
        <v>940</v>
      </c>
      <c r="G1308" s="3">
        <v>8099771479</v>
      </c>
      <c r="H1308" s="2">
        <v>46140</v>
      </c>
      <c r="K1308" s="1">
        <f ca="1">IF(A1308="","",IF(OR(L1308="ENTREGADA",L1308="RETORNADA",L1308="ENTREGA DIGITAL"),0,MAX(0,5-NETWORKDAYS(H1308+1,TODAY()))))</f>
        <v>2</v>
      </c>
      <c r="L1308">
        <f>IF(A1308="","",IFERROR(LOOKUP(2,1/(#REF!=Z1308),#REF!),Y1308))</f>
        <v>0</v>
      </c>
      <c r="Z1308" t="str">
        <f>IF(A1308="","",TEXT(A1308,"0")&amp;"|"&amp;TEXT(H1308,"0"))</f>
        <v>4921017917868670|46140</v>
      </c>
      <c r="AA1308" t="str">
        <f>IF(Z1308="","",IFERROR(LOOKUP(2,1/(#REF!=Z1308),#REF!),""))</f>
        <v/>
      </c>
      <c r="AB1308" t="str">
        <f>IF(Z1308="","",IFERROR(LOOKUP(2,1/(#REF!=Z1308),#REF!),""))</f>
        <v/>
      </c>
      <c r="AC1308" t="e">
        <f>IF(Z1308="","",COUNTIF(#REF!,Z1308))</f>
        <v>#REF!</v>
      </c>
      <c r="AD1308" t="e">
        <f>IF(A1308="","",IF(AC1308&gt;1,"REVISAR DUPLICADO",IF(AA1308&lt;&gt;"","ACTUALIZADO POR EYR","SIN REPORTE EYR")))</f>
        <v>#REF!</v>
      </c>
    </row>
    <row r="1309" spans="1:30" x14ac:dyDescent="0.3">
      <c r="A1309" s="5" t="s">
        <v>939</v>
      </c>
      <c r="B1309" t="s">
        <v>938</v>
      </c>
      <c r="C1309" s="4">
        <v>40231097698</v>
      </c>
      <c r="D1309" t="s">
        <v>600</v>
      </c>
      <c r="F1309" t="s">
        <v>936</v>
      </c>
      <c r="G1309" s="3">
        <v>8295426302</v>
      </c>
      <c r="H1309" s="2">
        <v>46140</v>
      </c>
      <c r="I1309" t="s">
        <v>1397</v>
      </c>
      <c r="K1309" s="1">
        <f ca="1">IF(A1309="","",IF(OR(L1309="ENTREGADA",L1309="RETORNADA",L1309="ENTREGA DIGITAL"),0,MAX(0,5-NETWORKDAYS(H1309+1,TODAY()))))</f>
        <v>0</v>
      </c>
      <c r="L1309" t="str">
        <f>IF(A1309="","",IFERROR(LOOKUP(2,1/(#REF!=Z1309),#REF!),Y1309))</f>
        <v>ENTREGA DIGITAL</v>
      </c>
      <c r="Y1309" t="s">
        <v>1396</v>
      </c>
      <c r="Z1309" t="str">
        <f>IF(A1309="","",TEXT(A1309,"0")&amp;"|"&amp;TEXT(H1309,"0"))</f>
        <v>4921017925926270|46140</v>
      </c>
      <c r="AA1309" t="str">
        <f>IF(Z1309="","",IFERROR(LOOKUP(2,1/(#REF!=Z1309),#REF!),""))</f>
        <v/>
      </c>
      <c r="AB1309" t="str">
        <f>IF(Z1309="","",IFERROR(LOOKUP(2,1/(#REF!=Z1309),#REF!),""))</f>
        <v/>
      </c>
      <c r="AC1309" t="e">
        <f>IF(Z1309="","",COUNTIF(#REF!,Z1309))</f>
        <v>#REF!</v>
      </c>
      <c r="AD1309" t="e">
        <f>IF(A1309="","",IF(AC1309&gt;1,"REVISAR DUPLICADO",IF(AA1309&lt;&gt;"","ACTUALIZADO POR EYR","SIN REPORTE EYR")))</f>
        <v>#REF!</v>
      </c>
    </row>
    <row r="1310" spans="1:30" x14ac:dyDescent="0.3">
      <c r="A1310" s="5" t="s">
        <v>935</v>
      </c>
      <c r="B1310" t="s">
        <v>934</v>
      </c>
      <c r="C1310" s="4">
        <v>118692573</v>
      </c>
      <c r="D1310" t="s">
        <v>600</v>
      </c>
      <c r="F1310" t="s">
        <v>932</v>
      </c>
      <c r="G1310" s="3">
        <v>8292788041</v>
      </c>
      <c r="H1310" s="2">
        <v>46140</v>
      </c>
      <c r="I1310" t="s">
        <v>1397</v>
      </c>
      <c r="K1310" s="1">
        <f ca="1">IF(A1310="","",IF(OR(L1310="ENTREGADA",L1310="RETORNADA",L1310="ENTREGA DIGITAL"),0,MAX(0,5-NETWORKDAYS(H1310+1,TODAY()))))</f>
        <v>0</v>
      </c>
      <c r="L1310" t="str">
        <f>IF(A1310="","",IFERROR(LOOKUP(2,1/(#REF!=Z1310),#REF!),Y1310))</f>
        <v>ENTREGA DIGITAL</v>
      </c>
      <c r="Y1310" t="s">
        <v>1396</v>
      </c>
      <c r="Z1310" t="str">
        <f>IF(A1310="","",TEXT(A1310,"0")&amp;"|"&amp;TEXT(H1310,"0"))</f>
        <v>4025017863478150|46140</v>
      </c>
      <c r="AA1310" t="str">
        <f>IF(Z1310="","",IFERROR(LOOKUP(2,1/(#REF!=Z1310),#REF!),""))</f>
        <v/>
      </c>
      <c r="AB1310" t="str">
        <f>IF(Z1310="","",IFERROR(LOOKUP(2,1/(#REF!=Z1310),#REF!),""))</f>
        <v/>
      </c>
      <c r="AC1310" t="e">
        <f>IF(Z1310="","",COUNTIF(#REF!,Z1310))</f>
        <v>#REF!</v>
      </c>
      <c r="AD1310" t="e">
        <f>IF(A1310="","",IF(AC1310&gt;1,"REVISAR DUPLICADO",IF(AA1310&lt;&gt;"","ACTUALIZADO POR EYR","SIN REPORTE EYR")))</f>
        <v>#REF!</v>
      </c>
    </row>
    <row r="1311" spans="1:30" x14ac:dyDescent="0.3">
      <c r="A1311" s="5" t="s">
        <v>931</v>
      </c>
      <c r="B1311" t="s">
        <v>930</v>
      </c>
      <c r="C1311" s="4">
        <v>101256469</v>
      </c>
      <c r="D1311" t="s">
        <v>600</v>
      </c>
      <c r="F1311" t="s">
        <v>928</v>
      </c>
      <c r="G1311" s="3">
        <v>8098573238</v>
      </c>
      <c r="H1311" s="2">
        <v>46140</v>
      </c>
      <c r="K1311" s="1">
        <f ca="1">IF(A1311="","",IF(OR(L1311="ENTREGADA",L1311="RETORNADA",L1311="ENTREGA DIGITAL"),0,MAX(0,5-NETWORKDAYS(H1311+1,TODAY()))))</f>
        <v>2</v>
      </c>
      <c r="L1311">
        <f>IF(A1311="","",IFERROR(LOOKUP(2,1/(#REF!=Z1311),#REF!),Y1311))</f>
        <v>0</v>
      </c>
      <c r="Z1311" t="str">
        <f>IF(A1311="","",TEXT(A1311,"0")&amp;"|"&amp;TEXT(H1311,"0"))</f>
        <v>5400017859805290|46140</v>
      </c>
      <c r="AA1311" t="str">
        <f>IF(Z1311="","",IFERROR(LOOKUP(2,1/(#REF!=Z1311),#REF!),""))</f>
        <v/>
      </c>
      <c r="AB1311" t="str">
        <f>IF(Z1311="","",IFERROR(LOOKUP(2,1/(#REF!=Z1311),#REF!),""))</f>
        <v/>
      </c>
      <c r="AC1311" t="e">
        <f>IF(Z1311="","",COUNTIF(#REF!,Z1311))</f>
        <v>#REF!</v>
      </c>
      <c r="AD1311" t="e">
        <f>IF(A1311="","",IF(AC1311&gt;1,"REVISAR DUPLICADO",IF(AA1311&lt;&gt;"","ACTUALIZADO POR EYR","SIN REPORTE EYR")))</f>
        <v>#REF!</v>
      </c>
    </row>
    <row r="1312" spans="1:30" x14ac:dyDescent="0.3">
      <c r="A1312" s="5" t="s">
        <v>927</v>
      </c>
      <c r="B1312" t="s">
        <v>926</v>
      </c>
      <c r="C1312" s="4">
        <v>40220433508</v>
      </c>
      <c r="D1312" t="s">
        <v>600</v>
      </c>
      <c r="F1312" t="s">
        <v>917</v>
      </c>
      <c r="G1312" s="3">
        <v>8292018642</v>
      </c>
      <c r="H1312" s="2">
        <v>46140</v>
      </c>
      <c r="K1312" s="1">
        <f ca="1">IF(A1312="","",IF(OR(L1312="ENTREGADA",L1312="RETORNADA",L1312="ENTREGA DIGITAL"),0,MAX(0,5-NETWORKDAYS(H1312+1,TODAY()))))</f>
        <v>2</v>
      </c>
      <c r="L1312">
        <f>IF(A1312="","",IFERROR(LOOKUP(2,1/(#REF!=Z1312),#REF!),Y1312))</f>
        <v>0</v>
      </c>
      <c r="Z1312" t="str">
        <f>IF(A1312="","",TEXT(A1312,"0")&amp;"|"&amp;TEXT(H1312,"0"))</f>
        <v>5188017922415720|46140</v>
      </c>
      <c r="AA1312" t="str">
        <f>IF(Z1312="","",IFERROR(LOOKUP(2,1/(#REF!=Z1312),#REF!),""))</f>
        <v/>
      </c>
      <c r="AB1312" t="str">
        <f>IF(Z1312="","",IFERROR(LOOKUP(2,1/(#REF!=Z1312),#REF!),""))</f>
        <v/>
      </c>
      <c r="AC1312" t="e">
        <f>IF(Z1312="","",COUNTIF(#REF!,Z1312))</f>
        <v>#REF!</v>
      </c>
      <c r="AD1312" t="e">
        <f>IF(A1312="","",IF(AC1312&gt;1,"REVISAR DUPLICADO",IF(AA1312&lt;&gt;"","ACTUALIZADO POR EYR","SIN REPORTE EYR")))</f>
        <v>#REF!</v>
      </c>
    </row>
    <row r="1313" spans="1:30" x14ac:dyDescent="0.3">
      <c r="A1313" s="5" t="s">
        <v>924</v>
      </c>
      <c r="B1313" t="s">
        <v>923</v>
      </c>
      <c r="C1313" s="4">
        <v>40255970135</v>
      </c>
      <c r="D1313" t="s">
        <v>600</v>
      </c>
      <c r="F1313" t="s">
        <v>921</v>
      </c>
      <c r="G1313" s="3">
        <v>8493786163</v>
      </c>
      <c r="H1313" s="2">
        <v>46140</v>
      </c>
      <c r="K1313" s="1">
        <f ca="1">IF(A1313="","",IF(OR(L1313="ENTREGADA",L1313="RETORNADA",L1313="ENTREGA DIGITAL"),0,MAX(0,5-NETWORKDAYS(H1313+1,TODAY()))))</f>
        <v>2</v>
      </c>
      <c r="L1313">
        <f>IF(A1313="","",IFERROR(LOOKUP(2,1/(#REF!=Z1313),#REF!),Y1313))</f>
        <v>0</v>
      </c>
      <c r="Z1313" t="str">
        <f>IF(A1313="","",TEXT(A1313,"0")&amp;"|"&amp;TEXT(H1313,"0"))</f>
        <v>5188017884781880|46140</v>
      </c>
      <c r="AA1313" t="str">
        <f>IF(Z1313="","",IFERROR(LOOKUP(2,1/(#REF!=Z1313),#REF!),""))</f>
        <v/>
      </c>
      <c r="AB1313" t="str">
        <f>IF(Z1313="","",IFERROR(LOOKUP(2,1/(#REF!=Z1313),#REF!),""))</f>
        <v/>
      </c>
      <c r="AC1313" t="e">
        <f>IF(Z1313="","",COUNTIF(#REF!,Z1313))</f>
        <v>#REF!</v>
      </c>
      <c r="AD1313" t="e">
        <f>IF(A1313="","",IF(AC1313&gt;1,"REVISAR DUPLICADO",IF(AA1313&lt;&gt;"","ACTUALIZADO POR EYR","SIN REPORTE EYR")))</f>
        <v>#REF!</v>
      </c>
    </row>
    <row r="1314" spans="1:30" x14ac:dyDescent="0.3">
      <c r="A1314" s="5" t="s">
        <v>920</v>
      </c>
      <c r="B1314" t="s">
        <v>919</v>
      </c>
      <c r="C1314" s="4">
        <v>117620948</v>
      </c>
      <c r="D1314" t="s">
        <v>600</v>
      </c>
      <c r="F1314" t="s">
        <v>917</v>
      </c>
      <c r="G1314" s="3">
        <v>8292746956</v>
      </c>
      <c r="H1314" s="2">
        <v>46140</v>
      </c>
      <c r="K1314" s="1">
        <f ca="1">IF(A1314="","",IF(OR(L1314="ENTREGADA",L1314="RETORNADA",L1314="ENTREGA DIGITAL"),0,MAX(0,5-NETWORKDAYS(H1314+1,TODAY()))))</f>
        <v>2</v>
      </c>
      <c r="L1314">
        <f>IF(A1314="","",IFERROR(LOOKUP(2,1/(#REF!=Z1314),#REF!),Y1314))</f>
        <v>0</v>
      </c>
      <c r="Z1314" t="str">
        <f>IF(A1314="","",TEXT(A1314,"0")&amp;"|"&amp;TEXT(H1314,"0"))</f>
        <v>5415017920396370|46140</v>
      </c>
      <c r="AA1314" t="str">
        <f>IF(Z1314="","",IFERROR(LOOKUP(2,1/(#REF!=Z1314),#REF!),""))</f>
        <v/>
      </c>
      <c r="AB1314" t="str">
        <f>IF(Z1314="","",IFERROR(LOOKUP(2,1/(#REF!=Z1314),#REF!),""))</f>
        <v/>
      </c>
      <c r="AC1314" t="e">
        <f>IF(Z1314="","",COUNTIF(#REF!,Z1314))</f>
        <v>#REF!</v>
      </c>
      <c r="AD1314" t="e">
        <f>IF(A1314="","",IF(AC1314&gt;1,"REVISAR DUPLICADO",IF(AA1314&lt;&gt;"","ACTUALIZADO POR EYR","SIN REPORTE EYR")))</f>
        <v>#REF!</v>
      </c>
    </row>
    <row r="1315" spans="1:30" x14ac:dyDescent="0.3">
      <c r="A1315" s="5" t="s">
        <v>916</v>
      </c>
      <c r="B1315" t="s">
        <v>915</v>
      </c>
      <c r="C1315" s="4">
        <v>112728175</v>
      </c>
      <c r="D1315" t="s">
        <v>600</v>
      </c>
      <c r="F1315" t="s">
        <v>13</v>
      </c>
      <c r="G1315" s="3">
        <v>8093891254</v>
      </c>
      <c r="H1315" s="2">
        <v>46140</v>
      </c>
      <c r="K1315" s="1">
        <f ca="1">IF(A1315="","",IF(OR(L1315="ENTREGADA",L1315="RETORNADA",L1315="ENTREGA DIGITAL"),0,MAX(0,5-NETWORKDAYS(H1315+1,TODAY()))))</f>
        <v>2</v>
      </c>
      <c r="L1315">
        <f>IF(A1315="","",IFERROR(LOOKUP(2,1/(#REF!=Z1315),#REF!),Y1315))</f>
        <v>0</v>
      </c>
      <c r="Z1315" t="str">
        <f>IF(A1315="","",TEXT(A1315,"0")&amp;"|"&amp;TEXT(H1315,"0"))</f>
        <v>5415017914035140|46140</v>
      </c>
      <c r="AA1315" t="str">
        <f>IF(Z1315="","",IFERROR(LOOKUP(2,1/(#REF!=Z1315),#REF!),""))</f>
        <v/>
      </c>
      <c r="AB1315" t="str">
        <f>IF(Z1315="","",IFERROR(LOOKUP(2,1/(#REF!=Z1315),#REF!),""))</f>
        <v/>
      </c>
      <c r="AC1315" t="e">
        <f>IF(Z1315="","",COUNTIF(#REF!,Z1315))</f>
        <v>#REF!</v>
      </c>
      <c r="AD1315" t="e">
        <f>IF(A1315="","",IF(AC1315&gt;1,"REVISAR DUPLICADO",IF(AA1315&lt;&gt;"","ACTUALIZADO POR EYR","SIN REPORTE EYR")))</f>
        <v>#REF!</v>
      </c>
    </row>
    <row r="1316" spans="1:30" x14ac:dyDescent="0.3">
      <c r="A1316" s="5" t="s">
        <v>913</v>
      </c>
      <c r="B1316" t="s">
        <v>912</v>
      </c>
      <c r="C1316" s="4">
        <v>40233008883</v>
      </c>
      <c r="D1316" t="s">
        <v>600</v>
      </c>
      <c r="F1316" t="s">
        <v>910</v>
      </c>
      <c r="G1316" s="3">
        <v>8292639305</v>
      </c>
      <c r="H1316" s="2">
        <v>46140</v>
      </c>
      <c r="I1316" t="s">
        <v>1397</v>
      </c>
      <c r="K1316" s="1">
        <f ca="1">IF(A1316="","",IF(OR(L1316="ENTREGADA",L1316="RETORNADA",L1316="ENTREGA DIGITAL"),0,MAX(0,5-NETWORKDAYS(H1316+1,TODAY()))))</f>
        <v>0</v>
      </c>
      <c r="L1316" t="str">
        <f>IF(A1316="","",IFERROR(LOOKUP(2,1/(#REF!=Z1316),#REF!),Y1316))</f>
        <v>ENTREGA DIGITAL</v>
      </c>
      <c r="Y1316" t="s">
        <v>1396</v>
      </c>
      <c r="Z1316" t="str">
        <f>IF(A1316="","",TEXT(A1316,"0")&amp;"|"&amp;TEXT(H1316,"0"))</f>
        <v>5188017915701450|46140</v>
      </c>
      <c r="AA1316" t="str">
        <f>IF(Z1316="","",IFERROR(LOOKUP(2,1/(#REF!=Z1316),#REF!),""))</f>
        <v/>
      </c>
      <c r="AB1316" t="str">
        <f>IF(Z1316="","",IFERROR(LOOKUP(2,1/(#REF!=Z1316),#REF!),""))</f>
        <v/>
      </c>
      <c r="AC1316" t="e">
        <f>IF(Z1316="","",COUNTIF(#REF!,Z1316))</f>
        <v>#REF!</v>
      </c>
      <c r="AD1316" t="e">
        <f>IF(A1316="","",IF(AC1316&gt;1,"REVISAR DUPLICADO",IF(AA1316&lt;&gt;"","ACTUALIZADO POR EYR","SIN REPORTE EYR")))</f>
        <v>#REF!</v>
      </c>
    </row>
    <row r="1317" spans="1:30" x14ac:dyDescent="0.3">
      <c r="A1317" s="5" t="s">
        <v>909</v>
      </c>
      <c r="B1317" t="s">
        <v>908</v>
      </c>
      <c r="C1317" s="4">
        <v>22400588541</v>
      </c>
      <c r="D1317" t="s">
        <v>600</v>
      </c>
      <c r="E1317" t="s">
        <v>214</v>
      </c>
      <c r="F1317" t="s">
        <v>906</v>
      </c>
      <c r="G1317" s="3">
        <v>8296512020</v>
      </c>
      <c r="H1317" s="2">
        <v>46140</v>
      </c>
      <c r="K1317" s="1">
        <f ca="1">IF(A1317="","",IF(OR(L1317="ENTREGADA",L1317="RETORNADA",L1317="ENTREGA DIGITAL"),0,MAX(0,5-NETWORKDAYS(H1317+1,TODAY()))))</f>
        <v>2</v>
      </c>
      <c r="L1317">
        <f>IF(A1317="","",IFERROR(LOOKUP(2,1/(#REF!=Z1317),#REF!),Y1317))</f>
        <v>0</v>
      </c>
      <c r="Z1317" t="str">
        <f>IF(A1317="","",TEXT(A1317,"0")&amp;"|"&amp;TEXT(H1317,"0"))</f>
        <v>4921017918340150|46140</v>
      </c>
      <c r="AA1317" t="str">
        <f>IF(Z1317="","",IFERROR(LOOKUP(2,1/(#REF!=Z1317),#REF!),""))</f>
        <v/>
      </c>
      <c r="AB1317" t="str">
        <f>IF(Z1317="","",IFERROR(LOOKUP(2,1/(#REF!=Z1317),#REF!),""))</f>
        <v/>
      </c>
      <c r="AC1317" t="e">
        <f>IF(Z1317="","",COUNTIF(#REF!,Z1317))</f>
        <v>#REF!</v>
      </c>
      <c r="AD1317" t="e">
        <f>IF(A1317="","",IF(AC1317&gt;1,"REVISAR DUPLICADO",IF(AA1317&lt;&gt;"","ACTUALIZADO POR EYR","SIN REPORTE EYR")))</f>
        <v>#REF!</v>
      </c>
    </row>
    <row r="1318" spans="1:30" x14ac:dyDescent="0.3">
      <c r="A1318" s="5" t="s">
        <v>905</v>
      </c>
      <c r="B1318" t="s">
        <v>904</v>
      </c>
      <c r="C1318" s="4">
        <v>40233076153</v>
      </c>
      <c r="D1318" t="s">
        <v>600</v>
      </c>
      <c r="F1318" t="s">
        <v>902</v>
      </c>
      <c r="G1318" s="3">
        <v>8297850797</v>
      </c>
      <c r="H1318" s="2">
        <v>46140</v>
      </c>
      <c r="K1318" s="1">
        <f ca="1">IF(A1318="","",IF(OR(L1318="ENTREGADA",L1318="RETORNADA",L1318="ENTREGA DIGITAL"),0,MAX(0,5-NETWORKDAYS(H1318+1,TODAY()))))</f>
        <v>2</v>
      </c>
      <c r="L1318">
        <f>IF(A1318="","",IFERROR(LOOKUP(2,1/(#REF!=Z1318),#REF!),Y1318))</f>
        <v>0</v>
      </c>
      <c r="Z1318" t="str">
        <f>IF(A1318="","",TEXT(A1318,"0")&amp;"|"&amp;TEXT(H1318,"0"))</f>
        <v>4921017870580850|46140</v>
      </c>
      <c r="AA1318" t="str">
        <f>IF(Z1318="","",IFERROR(LOOKUP(2,1/(#REF!=Z1318),#REF!),""))</f>
        <v/>
      </c>
      <c r="AB1318" t="str">
        <f>IF(Z1318="","",IFERROR(LOOKUP(2,1/(#REF!=Z1318),#REF!),""))</f>
        <v/>
      </c>
      <c r="AC1318" t="e">
        <f>IF(Z1318="","",COUNTIF(#REF!,Z1318))</f>
        <v>#REF!</v>
      </c>
      <c r="AD1318" t="e">
        <f>IF(A1318="","",IF(AC1318&gt;1,"REVISAR DUPLICADO",IF(AA1318&lt;&gt;"","ACTUALIZADO POR EYR","SIN REPORTE EYR")))</f>
        <v>#REF!</v>
      </c>
    </row>
    <row r="1319" spans="1:30" x14ac:dyDescent="0.3">
      <c r="A1319" s="5" t="s">
        <v>901</v>
      </c>
      <c r="B1319" t="s">
        <v>900</v>
      </c>
      <c r="C1319" s="4">
        <v>40233779376</v>
      </c>
      <c r="D1319" t="s">
        <v>600</v>
      </c>
      <c r="F1319" t="s">
        <v>898</v>
      </c>
      <c r="G1319" s="3">
        <v>8296761818</v>
      </c>
      <c r="H1319" s="2">
        <v>46140</v>
      </c>
      <c r="K1319" s="1">
        <f ca="1">IF(A1319="","",IF(OR(L1319="ENTREGADA",L1319="RETORNADA",L1319="ENTREGA DIGITAL"),0,MAX(0,5-NETWORKDAYS(H1319+1,TODAY()))))</f>
        <v>2</v>
      </c>
      <c r="L1319">
        <f>IF(A1319="","",IFERROR(LOOKUP(2,1/(#REF!=Z1319),#REF!),Y1319))</f>
        <v>0</v>
      </c>
      <c r="Z1319" t="str">
        <f>IF(A1319="","",TEXT(A1319,"0")&amp;"|"&amp;TEXT(H1319,"0"))</f>
        <v>5415017914342350|46140</v>
      </c>
      <c r="AA1319" t="str">
        <f>IF(Z1319="","",IFERROR(LOOKUP(2,1/(#REF!=Z1319),#REF!),""))</f>
        <v/>
      </c>
      <c r="AB1319" t="str">
        <f>IF(Z1319="","",IFERROR(LOOKUP(2,1/(#REF!=Z1319),#REF!),""))</f>
        <v/>
      </c>
      <c r="AC1319" t="e">
        <f>IF(Z1319="","",COUNTIF(#REF!,Z1319))</f>
        <v>#REF!</v>
      </c>
      <c r="AD1319" t="e">
        <f>IF(A1319="","",IF(AC1319&gt;1,"REVISAR DUPLICADO",IF(AA1319&lt;&gt;"","ACTUALIZADO POR EYR","SIN REPORTE EYR")))</f>
        <v>#REF!</v>
      </c>
    </row>
    <row r="1320" spans="1:30" x14ac:dyDescent="0.3">
      <c r="A1320" s="5" t="s">
        <v>897</v>
      </c>
      <c r="B1320" t="s">
        <v>896</v>
      </c>
      <c r="C1320" s="4">
        <v>40229905605</v>
      </c>
      <c r="D1320" t="s">
        <v>600</v>
      </c>
      <c r="F1320" t="s">
        <v>13</v>
      </c>
      <c r="G1320" s="3">
        <v>8099122360</v>
      </c>
      <c r="H1320" s="2">
        <v>46140</v>
      </c>
      <c r="K1320" s="1">
        <f ca="1">IF(A1320="","",IF(OR(L1320="ENTREGADA",L1320="RETORNADA",L1320="ENTREGA DIGITAL"),0,MAX(0,5-NETWORKDAYS(H1320+1,TODAY()))))</f>
        <v>0</v>
      </c>
      <c r="L1320" t="str">
        <f>IF(A1320="","",IFERROR(LOOKUP(2,1/(#REF!=Z1320),#REF!),Y1320))</f>
        <v>RETORNADA</v>
      </c>
      <c r="Y1320" t="s">
        <v>1857</v>
      </c>
      <c r="Z1320" t="str">
        <f>IF(A1320="","",TEXT(A1320,"0")&amp;"|"&amp;TEXT(H1320,"0"))</f>
        <v>5188017920708470|46140</v>
      </c>
      <c r="AA1320" t="str">
        <f>IF(Z1320="","",IFERROR(LOOKUP(2,1/(#REF!=Z1320),#REF!),""))</f>
        <v/>
      </c>
      <c r="AB1320" t="str">
        <f>IF(Z1320="","",IFERROR(LOOKUP(2,1/(#REF!=Z1320),#REF!),""))</f>
        <v/>
      </c>
      <c r="AC1320" t="e">
        <f>IF(Z1320="","",COUNTIF(#REF!,Z1320))</f>
        <v>#REF!</v>
      </c>
      <c r="AD1320" t="e">
        <f>IF(A1320="","",IF(AC1320&gt;1,"REVISAR DUPLICADO",IF(AA1320&lt;&gt;"","ACTUALIZADO POR EYR","SIN REPORTE EYR")))</f>
        <v>#REF!</v>
      </c>
    </row>
    <row r="1321" spans="1:30" x14ac:dyDescent="0.3">
      <c r="A1321" s="5" t="s">
        <v>894</v>
      </c>
      <c r="B1321" t="s">
        <v>893</v>
      </c>
      <c r="C1321" s="4">
        <v>40219208911</v>
      </c>
      <c r="D1321" t="s">
        <v>600</v>
      </c>
      <c r="F1321" t="s">
        <v>891</v>
      </c>
      <c r="G1321" s="3">
        <v>8497970613</v>
      </c>
      <c r="H1321" s="2">
        <v>46140</v>
      </c>
      <c r="I1321" t="s">
        <v>1397</v>
      </c>
      <c r="K1321" s="1">
        <f ca="1">IF(A1321="","",IF(OR(L1321="ENTREGADA",L1321="RETORNADA",L1321="ENTREGA DIGITAL"),0,MAX(0,5-NETWORKDAYS(H1321+1,TODAY()))))</f>
        <v>0</v>
      </c>
      <c r="L1321" t="str">
        <f>IF(A1321="","",IFERROR(LOOKUP(2,1/(#REF!=Z1321),#REF!),Y1321))</f>
        <v>ENTREGA DIGITAL</v>
      </c>
      <c r="Y1321" t="s">
        <v>1396</v>
      </c>
      <c r="Z1321" t="str">
        <f>IF(A1321="","",TEXT(A1321,"0")&amp;"|"&amp;TEXT(H1321,"0"))</f>
        <v>4921017918019140|46140</v>
      </c>
      <c r="AA1321" t="str">
        <f>IF(Z1321="","",IFERROR(LOOKUP(2,1/(#REF!=Z1321),#REF!),""))</f>
        <v/>
      </c>
      <c r="AB1321" t="str">
        <f>IF(Z1321="","",IFERROR(LOOKUP(2,1/(#REF!=Z1321),#REF!),""))</f>
        <v/>
      </c>
      <c r="AC1321" t="e">
        <f>IF(Z1321="","",COUNTIF(#REF!,Z1321))</f>
        <v>#REF!</v>
      </c>
      <c r="AD1321" t="e">
        <f>IF(A1321="","",IF(AC1321&gt;1,"REVISAR DUPLICADO",IF(AA1321&lt;&gt;"","ACTUALIZADO POR EYR","SIN REPORTE EYR")))</f>
        <v>#REF!</v>
      </c>
    </row>
    <row r="1322" spans="1:30" x14ac:dyDescent="0.3">
      <c r="A1322" s="5" t="s">
        <v>890</v>
      </c>
      <c r="B1322" t="s">
        <v>889</v>
      </c>
      <c r="C1322" s="4">
        <v>116991761</v>
      </c>
      <c r="D1322" t="s">
        <v>600</v>
      </c>
      <c r="F1322" t="s">
        <v>887</v>
      </c>
      <c r="G1322" s="3">
        <v>8095984645</v>
      </c>
      <c r="H1322" s="2">
        <v>46140</v>
      </c>
      <c r="K1322" s="1">
        <f ca="1">IF(A1322="","",IF(OR(L1322="ENTREGADA",L1322="RETORNADA",L1322="ENTREGA DIGITAL"),0,MAX(0,5-NETWORKDAYS(H1322+1,TODAY()))))</f>
        <v>2</v>
      </c>
      <c r="L1322">
        <f>IF(A1322="","",IFERROR(LOOKUP(2,1/(#REF!=Z1322),#REF!),Y1322))</f>
        <v>0</v>
      </c>
      <c r="Z1322" t="str">
        <f>IF(A1322="","",TEXT(A1322,"0")&amp;"|"&amp;TEXT(H1322,"0"))</f>
        <v>4921017917707890|46140</v>
      </c>
      <c r="AA1322" t="str">
        <f>IF(Z1322="","",IFERROR(LOOKUP(2,1/(#REF!=Z1322),#REF!),""))</f>
        <v/>
      </c>
      <c r="AB1322" t="str">
        <f>IF(Z1322="","",IFERROR(LOOKUP(2,1/(#REF!=Z1322),#REF!),""))</f>
        <v/>
      </c>
      <c r="AC1322" t="e">
        <f>IF(Z1322="","",COUNTIF(#REF!,Z1322))</f>
        <v>#REF!</v>
      </c>
      <c r="AD1322" t="e">
        <f>IF(A1322="","",IF(AC1322&gt;1,"REVISAR DUPLICADO",IF(AA1322&lt;&gt;"","ACTUALIZADO POR EYR","SIN REPORTE EYR")))</f>
        <v>#REF!</v>
      </c>
    </row>
    <row r="1323" spans="1:30" x14ac:dyDescent="0.3">
      <c r="A1323" s="5" t="s">
        <v>886</v>
      </c>
      <c r="B1323" t="s">
        <v>885</v>
      </c>
      <c r="C1323" s="4">
        <v>40237877341</v>
      </c>
      <c r="D1323" t="s">
        <v>600</v>
      </c>
      <c r="F1323" t="s">
        <v>883</v>
      </c>
      <c r="G1323" s="3">
        <v>8096175062</v>
      </c>
      <c r="H1323" s="2">
        <v>46140</v>
      </c>
      <c r="K1323" s="1">
        <f ca="1">IF(A1323="","",IF(OR(L1323="ENTREGADA",L1323="RETORNADA",L1323="ENTREGA DIGITAL"),0,MAX(0,5-NETWORKDAYS(H1323+1,TODAY()))))</f>
        <v>2</v>
      </c>
      <c r="L1323">
        <f>IF(A1323="","",IFERROR(LOOKUP(2,1/(#REF!=Z1323),#REF!),Y1323))</f>
        <v>0</v>
      </c>
      <c r="Z1323" t="str">
        <f>IF(A1323="","",TEXT(A1323,"0")&amp;"|"&amp;TEXT(H1323,"0"))</f>
        <v>5415017915030610|46140</v>
      </c>
      <c r="AA1323" t="str">
        <f>IF(Z1323="","",IFERROR(LOOKUP(2,1/(#REF!=Z1323),#REF!),""))</f>
        <v/>
      </c>
      <c r="AB1323" t="str">
        <f>IF(Z1323="","",IFERROR(LOOKUP(2,1/(#REF!=Z1323),#REF!),""))</f>
        <v/>
      </c>
      <c r="AC1323" t="e">
        <f>IF(Z1323="","",COUNTIF(#REF!,Z1323))</f>
        <v>#REF!</v>
      </c>
      <c r="AD1323" t="e">
        <f>IF(A1323="","",IF(AC1323&gt;1,"REVISAR DUPLICADO",IF(AA1323&lt;&gt;"","ACTUALIZADO POR EYR","SIN REPORTE EYR")))</f>
        <v>#REF!</v>
      </c>
    </row>
    <row r="1324" spans="1:30" x14ac:dyDescent="0.3">
      <c r="A1324" s="5" t="s">
        <v>882</v>
      </c>
      <c r="B1324" t="s">
        <v>881</v>
      </c>
      <c r="C1324" s="4">
        <v>13200010620</v>
      </c>
      <c r="D1324" t="s">
        <v>600</v>
      </c>
      <c r="F1324" t="s">
        <v>879</v>
      </c>
      <c r="G1324" s="3">
        <v>8299690262</v>
      </c>
      <c r="H1324" s="2">
        <v>46140</v>
      </c>
      <c r="K1324" s="1">
        <f ca="1">IF(A1324="","",IF(OR(L1324="ENTREGADA",L1324="RETORNADA",L1324="ENTREGA DIGITAL"),0,MAX(0,5-NETWORKDAYS(H1324+1,TODAY()))))</f>
        <v>2</v>
      </c>
      <c r="L1324">
        <f>IF(A1324="","",IFERROR(LOOKUP(2,1/(#REF!=Z1324),#REF!),Y1324))</f>
        <v>0</v>
      </c>
      <c r="Z1324" t="str">
        <f>IF(A1324="","",TEXT(A1324,"0")&amp;"|"&amp;TEXT(H1324,"0"))</f>
        <v>4921017918581610|46140</v>
      </c>
      <c r="AA1324" t="str">
        <f>IF(Z1324="","",IFERROR(LOOKUP(2,1/(#REF!=Z1324),#REF!),""))</f>
        <v/>
      </c>
      <c r="AB1324" t="str">
        <f>IF(Z1324="","",IFERROR(LOOKUP(2,1/(#REF!=Z1324),#REF!),""))</f>
        <v/>
      </c>
      <c r="AC1324" t="e">
        <f>IF(Z1324="","",COUNTIF(#REF!,Z1324))</f>
        <v>#REF!</v>
      </c>
      <c r="AD1324" t="e">
        <f>IF(A1324="","",IF(AC1324&gt;1,"REVISAR DUPLICADO",IF(AA1324&lt;&gt;"","ACTUALIZADO POR EYR","SIN REPORTE EYR")))</f>
        <v>#REF!</v>
      </c>
    </row>
    <row r="1325" spans="1:30" x14ac:dyDescent="0.3">
      <c r="A1325" s="5" t="s">
        <v>878</v>
      </c>
      <c r="B1325" t="s">
        <v>877</v>
      </c>
      <c r="C1325" s="4">
        <v>22500836345</v>
      </c>
      <c r="D1325" t="s">
        <v>600</v>
      </c>
      <c r="F1325" t="s">
        <v>875</v>
      </c>
      <c r="G1325" s="3">
        <v>8299031979</v>
      </c>
      <c r="H1325" s="2">
        <v>46140</v>
      </c>
      <c r="K1325" s="1">
        <f ca="1">IF(A1325="","",IF(OR(L1325="ENTREGADA",L1325="RETORNADA",L1325="ENTREGA DIGITAL"),0,MAX(0,5-NETWORKDAYS(H1325+1,TODAY()))))</f>
        <v>2</v>
      </c>
      <c r="L1325">
        <f>IF(A1325="","",IFERROR(LOOKUP(2,1/(#REF!=Z1325),#REF!),Y1325))</f>
        <v>0</v>
      </c>
      <c r="Z1325" t="str">
        <f>IF(A1325="","",TEXT(A1325,"0")&amp;"|"&amp;TEXT(H1325,"0"))</f>
        <v>4025017923056770|46140</v>
      </c>
      <c r="AA1325" t="str">
        <f>IF(Z1325="","",IFERROR(LOOKUP(2,1/(#REF!=Z1325),#REF!),""))</f>
        <v/>
      </c>
      <c r="AB1325" t="str">
        <f>IF(Z1325="","",IFERROR(LOOKUP(2,1/(#REF!=Z1325),#REF!),""))</f>
        <v/>
      </c>
      <c r="AC1325" t="e">
        <f>IF(Z1325="","",COUNTIF(#REF!,Z1325))</f>
        <v>#REF!</v>
      </c>
      <c r="AD1325" t="e">
        <f>IF(A1325="","",IF(AC1325&gt;1,"REVISAR DUPLICADO",IF(AA1325&lt;&gt;"","ACTUALIZADO POR EYR","SIN REPORTE EYR")))</f>
        <v>#REF!</v>
      </c>
    </row>
    <row r="1326" spans="1:30" x14ac:dyDescent="0.3">
      <c r="A1326" s="5" t="s">
        <v>874</v>
      </c>
      <c r="B1326" t="s">
        <v>873</v>
      </c>
      <c r="C1326" s="4">
        <v>22300596255</v>
      </c>
      <c r="D1326" t="s">
        <v>600</v>
      </c>
      <c r="F1326" t="s">
        <v>13</v>
      </c>
      <c r="G1326" s="3">
        <v>8094040290</v>
      </c>
      <c r="H1326" s="2">
        <v>46140</v>
      </c>
      <c r="K1326" s="1">
        <f ca="1">IF(A1326="","",IF(OR(L1326="ENTREGADA",L1326="RETORNADA",L1326="ENTREGA DIGITAL"),0,MAX(0,5-NETWORKDAYS(H1326+1,TODAY()))))</f>
        <v>2</v>
      </c>
      <c r="L1326">
        <f>IF(A1326="","",IFERROR(LOOKUP(2,1/(#REF!=Z1326),#REF!),Y1326))</f>
        <v>0</v>
      </c>
      <c r="Z1326" t="str">
        <f>IF(A1326="","",TEXT(A1326,"0")&amp;"|"&amp;TEXT(H1326,"0"))</f>
        <v>4921017921295910|46140</v>
      </c>
      <c r="AA1326" t="str">
        <f>IF(Z1326="","",IFERROR(LOOKUP(2,1/(#REF!=Z1326),#REF!),""))</f>
        <v/>
      </c>
      <c r="AB1326" t="str">
        <f>IF(Z1326="","",IFERROR(LOOKUP(2,1/(#REF!=Z1326),#REF!),""))</f>
        <v/>
      </c>
      <c r="AC1326" t="e">
        <f>IF(Z1326="","",COUNTIF(#REF!,Z1326))</f>
        <v>#REF!</v>
      </c>
      <c r="AD1326" t="e">
        <f>IF(A1326="","",IF(AC1326&gt;1,"REVISAR DUPLICADO",IF(AA1326&lt;&gt;"","ACTUALIZADO POR EYR","SIN REPORTE EYR")))</f>
        <v>#REF!</v>
      </c>
    </row>
    <row r="1327" spans="1:30" x14ac:dyDescent="0.3">
      <c r="A1327" s="5" t="s">
        <v>871</v>
      </c>
      <c r="B1327" t="s">
        <v>870</v>
      </c>
      <c r="C1327" s="4">
        <v>110968427</v>
      </c>
      <c r="D1327" t="s">
        <v>600</v>
      </c>
      <c r="F1327" t="s">
        <v>13</v>
      </c>
      <c r="G1327" s="3">
        <v>8094831510</v>
      </c>
      <c r="H1327" s="2">
        <v>46140</v>
      </c>
      <c r="K1327" s="1">
        <f ca="1">IF(A1327="","",IF(OR(L1327="ENTREGADA",L1327="RETORNADA",L1327="ENTREGA DIGITAL"),0,MAX(0,5-NETWORKDAYS(H1327+1,TODAY()))))</f>
        <v>2</v>
      </c>
      <c r="L1327">
        <f>IF(A1327="","",IFERROR(LOOKUP(2,1/(#REF!=Z1327),#REF!),Y1327))</f>
        <v>0</v>
      </c>
      <c r="Z1327" t="str">
        <f>IF(A1327="","",TEXT(A1327,"0")&amp;"|"&amp;TEXT(H1327,"0"))</f>
        <v>4921017918121520|46140</v>
      </c>
      <c r="AA1327" t="str">
        <f>IF(Z1327="","",IFERROR(LOOKUP(2,1/(#REF!=Z1327),#REF!),""))</f>
        <v/>
      </c>
      <c r="AB1327" t="str">
        <f>IF(Z1327="","",IFERROR(LOOKUP(2,1/(#REF!=Z1327),#REF!),""))</f>
        <v/>
      </c>
      <c r="AC1327" t="e">
        <f>IF(Z1327="","",COUNTIF(#REF!,Z1327))</f>
        <v>#REF!</v>
      </c>
      <c r="AD1327" t="e">
        <f>IF(A1327="","",IF(AC1327&gt;1,"REVISAR DUPLICADO",IF(AA1327&lt;&gt;"","ACTUALIZADO POR EYR","SIN REPORTE EYR")))</f>
        <v>#REF!</v>
      </c>
    </row>
    <row r="1328" spans="1:30" x14ac:dyDescent="0.3">
      <c r="A1328" s="5" t="s">
        <v>1863</v>
      </c>
      <c r="B1328" t="s">
        <v>1862</v>
      </c>
      <c r="C1328" s="4" t="s">
        <v>1861</v>
      </c>
      <c r="D1328" t="s">
        <v>77</v>
      </c>
      <c r="F1328" t="s">
        <v>13</v>
      </c>
      <c r="G1328" s="3">
        <v>9999999999</v>
      </c>
      <c r="H1328" s="2">
        <v>46135</v>
      </c>
      <c r="K1328" s="1">
        <f ca="1">IF(A1328="","",IF(OR(L1328="ENTREGADA",L1328="RETORNADA",L1328="ENTREGA DIGITAL"),0,MAX(0,5-NETWORKDAYS(H1328+1,TODAY()))))</f>
        <v>0</v>
      </c>
      <c r="L1328">
        <f>IF(A1328="","",IFERROR(LOOKUP(2,1/(#REF!=Z1328),#REF!),Y1328))</f>
        <v>0</v>
      </c>
      <c r="Z1328" t="str">
        <f>IF(A1328="","",TEXT(A1328,"0")&amp;"|"&amp;TEXT(H1328,"0"))</f>
        <v>4921017895778890|46135</v>
      </c>
      <c r="AA1328" t="str">
        <f>IF(Z1328="","",IFERROR(LOOKUP(2,1/(#REF!=Z1328),#REF!),""))</f>
        <v/>
      </c>
      <c r="AB1328" t="str">
        <f>IF(Z1328="","",IFERROR(LOOKUP(2,1/(#REF!=Z1328),#REF!),""))</f>
        <v/>
      </c>
      <c r="AC1328" t="e">
        <f>IF(Z1328="","",COUNTIF(#REF!,Z1328))</f>
        <v>#REF!</v>
      </c>
      <c r="AD1328" t="e">
        <f>IF(A1328="","",IF(AC1328&gt;1,"REVISAR DUPLICADO",IF(AA1328&lt;&gt;"","ACTUALIZADO POR EYR","SIN REPORTE EYR")))</f>
        <v>#REF!</v>
      </c>
    </row>
    <row r="1329" spans="1:30" x14ac:dyDescent="0.3">
      <c r="A1329" s="5" t="s">
        <v>1860</v>
      </c>
      <c r="B1329" t="s">
        <v>1859</v>
      </c>
      <c r="C1329" s="4" t="s">
        <v>1858</v>
      </c>
      <c r="D1329" t="s">
        <v>77</v>
      </c>
      <c r="F1329" t="s">
        <v>1137</v>
      </c>
      <c r="G1329" s="3">
        <v>9999999999</v>
      </c>
      <c r="H1329" s="2">
        <v>46135</v>
      </c>
      <c r="K1329" s="1">
        <f ca="1">IF(A1329="","",IF(OR(L1329="ENTREGADA",L1329="RETORNADA",L1329="ENTREGA DIGITAL"),0,MAX(0,5-NETWORKDAYS(H1329+1,TODAY()))))</f>
        <v>0</v>
      </c>
      <c r="L1329" t="str">
        <f>IF(A1329="","",IFERROR(LOOKUP(2,1/(#REF!=Z1329),#REF!),Y1329))</f>
        <v>RETORNADA</v>
      </c>
      <c r="Y1329" t="s">
        <v>1857</v>
      </c>
      <c r="Z1329" t="str">
        <f>IF(A1329="","",TEXT(A1329,"0")&amp;"|"&amp;TEXT(H1329,"0"))</f>
        <v>5415017894103500|46135</v>
      </c>
      <c r="AA1329" t="str">
        <f>IF(Z1329="","",IFERROR(LOOKUP(2,1/(#REF!=Z1329),#REF!),""))</f>
        <v/>
      </c>
      <c r="AB1329" t="str">
        <f>IF(Z1329="","",IFERROR(LOOKUP(2,1/(#REF!=Z1329),#REF!),""))</f>
        <v/>
      </c>
      <c r="AC1329" t="e">
        <f>IF(Z1329="","",COUNTIF(#REF!,Z1329))</f>
        <v>#REF!</v>
      </c>
      <c r="AD1329" t="e">
        <f>IF(A1329="","",IF(AC1329&gt;1,"REVISAR DUPLICADO",IF(AA1329&lt;&gt;"","ACTUALIZADO POR EYR","SIN REPORTE EYR")))</f>
        <v>#REF!</v>
      </c>
    </row>
    <row r="1330" spans="1:30" x14ac:dyDescent="0.3">
      <c r="A1330" s="5" t="s">
        <v>1856</v>
      </c>
      <c r="B1330" t="s">
        <v>1855</v>
      </c>
      <c r="C1330" s="4" t="s">
        <v>1854</v>
      </c>
      <c r="D1330" t="s">
        <v>77</v>
      </c>
      <c r="E1330" t="s">
        <v>214</v>
      </c>
      <c r="F1330" t="s">
        <v>391</v>
      </c>
      <c r="G1330" s="3">
        <v>8092071812</v>
      </c>
      <c r="H1330" s="2">
        <v>46135</v>
      </c>
      <c r="K1330" s="1">
        <f ca="1">IF(A1330="","",IF(OR(L1330="ENTREGADA",L1330="RETORNADA",L1330="ENTREGA DIGITAL"),0,MAX(0,5-NETWORKDAYS(H1330+1,TODAY()))))</f>
        <v>0</v>
      </c>
      <c r="L1330">
        <f>IF(A1330="","",IFERROR(LOOKUP(2,1/(#REF!=Z1330),#REF!),Y1330))</f>
        <v>0</v>
      </c>
      <c r="Z1330" t="str">
        <f>IF(A1330="","",TEXT(A1330,"0")&amp;"|"&amp;TEXT(H1330,"0"))</f>
        <v>4025017899078650|46135</v>
      </c>
      <c r="AA1330" t="str">
        <f>IF(Z1330="","",IFERROR(LOOKUP(2,1/(#REF!=Z1330),#REF!),""))</f>
        <v/>
      </c>
      <c r="AB1330" t="str">
        <f>IF(Z1330="","",IFERROR(LOOKUP(2,1/(#REF!=Z1330),#REF!),""))</f>
        <v/>
      </c>
      <c r="AC1330" t="e">
        <f>IF(Z1330="","",COUNTIF(#REF!,Z1330))</f>
        <v>#REF!</v>
      </c>
      <c r="AD1330" t="e">
        <f>IF(A1330="","",IF(AC1330&gt;1,"REVISAR DUPLICADO",IF(AA1330&lt;&gt;"","ACTUALIZADO POR EYR","SIN REPORTE EYR")))</f>
        <v>#REF!</v>
      </c>
    </row>
    <row r="1331" spans="1:30" x14ac:dyDescent="0.3">
      <c r="A1331" s="5" t="s">
        <v>1853</v>
      </c>
      <c r="B1331" t="s">
        <v>567</v>
      </c>
      <c r="C1331" s="4" t="s">
        <v>1852</v>
      </c>
      <c r="D1331" t="s">
        <v>77</v>
      </c>
      <c r="F1331" t="s">
        <v>13</v>
      </c>
      <c r="G1331" s="3">
        <v>8297827088</v>
      </c>
      <c r="H1331" s="2">
        <v>46135</v>
      </c>
      <c r="K1331" s="1">
        <f ca="1">IF(A1331="","",IF(OR(L1331="ENTREGADA",L1331="RETORNADA",L1331="ENTREGA DIGITAL"),0,MAX(0,5-NETWORKDAYS(H1331+1,TODAY()))))</f>
        <v>0</v>
      </c>
      <c r="L1331">
        <f>IF(A1331="","",IFERROR(LOOKUP(2,1/(#REF!=Z1331),#REF!),Y1331))</f>
        <v>0</v>
      </c>
      <c r="Z1331" t="str">
        <f>IF(A1331="","",TEXT(A1331,"0")&amp;"|"&amp;TEXT(H1331,"0"))</f>
        <v>4921017897397930|46135</v>
      </c>
      <c r="AA1331" t="str">
        <f>IF(Z1331="","",IFERROR(LOOKUP(2,1/(#REF!=Z1331),#REF!),""))</f>
        <v/>
      </c>
      <c r="AB1331" t="str">
        <f>IF(Z1331="","",IFERROR(LOOKUP(2,1/(#REF!=Z1331),#REF!),""))</f>
        <v/>
      </c>
      <c r="AC1331" t="e">
        <f>IF(Z1331="","",COUNTIF(#REF!,Z1331))</f>
        <v>#REF!</v>
      </c>
      <c r="AD1331" t="e">
        <f>IF(A1331="","",IF(AC1331&gt;1,"REVISAR DUPLICADO",IF(AA1331&lt;&gt;"","ACTUALIZADO POR EYR","SIN REPORTE EYR")))</f>
        <v>#REF!</v>
      </c>
    </row>
    <row r="1332" spans="1:30" x14ac:dyDescent="0.3">
      <c r="A1332" s="5" t="s">
        <v>1851</v>
      </c>
      <c r="B1332" t="s">
        <v>1850</v>
      </c>
      <c r="C1332" s="4" t="s">
        <v>1849</v>
      </c>
      <c r="D1332" t="s">
        <v>77</v>
      </c>
      <c r="F1332">
        <v>1</v>
      </c>
      <c r="G1332" s="3">
        <v>8093302768</v>
      </c>
      <c r="H1332" s="2">
        <v>46135</v>
      </c>
      <c r="K1332" s="1">
        <f ca="1">IF(A1332="","",IF(OR(L1332="ENTREGADA",L1332="RETORNADA",L1332="ENTREGA DIGITAL"),0,MAX(0,5-NETWORKDAYS(H1332+1,TODAY()))))</f>
        <v>0</v>
      </c>
      <c r="L1332">
        <f>IF(A1332="","",IFERROR(LOOKUP(2,1/(#REF!=Z1332),#REF!),Y1332))</f>
        <v>0</v>
      </c>
      <c r="Z1332" t="str">
        <f>IF(A1332="","",TEXT(A1332,"0")&amp;"|"&amp;TEXT(H1332,"0"))</f>
        <v>5427017894881570|46135</v>
      </c>
      <c r="AA1332" t="str">
        <f>IF(Z1332="","",IFERROR(LOOKUP(2,1/(#REF!=Z1332),#REF!),""))</f>
        <v/>
      </c>
      <c r="AB1332" t="str">
        <f>IF(Z1332="","",IFERROR(LOOKUP(2,1/(#REF!=Z1332),#REF!),""))</f>
        <v/>
      </c>
      <c r="AC1332" t="e">
        <f>IF(Z1332="","",COUNTIF(#REF!,Z1332))</f>
        <v>#REF!</v>
      </c>
      <c r="AD1332" t="e">
        <f>IF(A1332="","",IF(AC1332&gt;1,"REVISAR DUPLICADO",IF(AA1332&lt;&gt;"","ACTUALIZADO POR EYR","SIN REPORTE EYR")))</f>
        <v>#REF!</v>
      </c>
    </row>
    <row r="1333" spans="1:30" x14ac:dyDescent="0.3">
      <c r="A1333" s="5" t="s">
        <v>1848</v>
      </c>
      <c r="B1333" t="s">
        <v>1847</v>
      </c>
      <c r="C1333" s="4" t="s">
        <v>1846</v>
      </c>
      <c r="D1333" t="s">
        <v>77</v>
      </c>
      <c r="F1333" t="s">
        <v>146</v>
      </c>
      <c r="G1333" s="3">
        <v>8095342462</v>
      </c>
      <c r="H1333" s="2">
        <v>46135</v>
      </c>
      <c r="K1333" s="1">
        <f ca="1">IF(A1333="","",IF(OR(L1333="ENTREGADA",L1333="RETORNADA",L1333="ENTREGA DIGITAL"),0,MAX(0,5-NETWORKDAYS(H1333+1,TODAY()))))</f>
        <v>0</v>
      </c>
      <c r="L1333">
        <f>IF(A1333="","",IFERROR(LOOKUP(2,1/(#REF!=Z1333),#REF!),Y1333))</f>
        <v>0</v>
      </c>
      <c r="Z1333" t="str">
        <f>IF(A1333="","",TEXT(A1333,"0")&amp;"|"&amp;TEXT(H1333,"0"))</f>
        <v>4921017821750890|46135</v>
      </c>
      <c r="AA1333" t="str">
        <f>IF(Z1333="","",IFERROR(LOOKUP(2,1/(#REF!=Z1333),#REF!),""))</f>
        <v/>
      </c>
      <c r="AB1333" t="str">
        <f>IF(Z1333="","",IFERROR(LOOKUP(2,1/(#REF!=Z1333),#REF!),""))</f>
        <v/>
      </c>
      <c r="AC1333" t="e">
        <f>IF(Z1333="","",COUNTIF(#REF!,Z1333))</f>
        <v>#REF!</v>
      </c>
      <c r="AD1333" t="e">
        <f>IF(A1333="","",IF(AC1333&gt;1,"REVISAR DUPLICADO",IF(AA1333&lt;&gt;"","ACTUALIZADO POR EYR","SIN REPORTE EYR")))</f>
        <v>#REF!</v>
      </c>
    </row>
    <row r="1334" spans="1:30" x14ac:dyDescent="0.3">
      <c r="A1334" s="5" t="s">
        <v>1845</v>
      </c>
      <c r="B1334" t="s">
        <v>1844</v>
      </c>
      <c r="C1334" s="4" t="s">
        <v>1843</v>
      </c>
      <c r="D1334" t="s">
        <v>77</v>
      </c>
      <c r="F1334" t="s">
        <v>1842</v>
      </c>
      <c r="G1334" s="3">
        <v>8294582296</v>
      </c>
      <c r="H1334" s="2">
        <v>46135</v>
      </c>
      <c r="I1334" t="s">
        <v>1397</v>
      </c>
      <c r="K1334" s="1">
        <f ca="1">IF(A1334="","",IF(OR(L1334="ENTREGADA",L1334="RETORNADA",L1334="ENTREGA DIGITAL"),0,MAX(0,5-NETWORKDAYS(H1334+1,TODAY()))))</f>
        <v>0</v>
      </c>
      <c r="L1334" t="str">
        <f>IF(A1334="","",IFERROR(LOOKUP(2,1/(#REF!=Z1334),#REF!),Y1334))</f>
        <v>ENTREGA DIGITAL</v>
      </c>
      <c r="Y1334" t="s">
        <v>1396</v>
      </c>
      <c r="Z1334" t="str">
        <f>IF(A1334="","",TEXT(A1334,"0")&amp;"|"&amp;TEXT(H1334,"0"))</f>
        <v>4966017796858100|46135</v>
      </c>
      <c r="AA1334" t="str">
        <f>IF(Z1334="","",IFERROR(LOOKUP(2,1/(#REF!=Z1334),#REF!),""))</f>
        <v/>
      </c>
      <c r="AB1334" t="str">
        <f>IF(Z1334="","",IFERROR(LOOKUP(2,1/(#REF!=Z1334),#REF!),""))</f>
        <v/>
      </c>
      <c r="AC1334" t="e">
        <f>IF(Z1334="","",COUNTIF(#REF!,Z1334))</f>
        <v>#REF!</v>
      </c>
      <c r="AD1334" t="e">
        <f>IF(A1334="","",IF(AC1334&gt;1,"REVISAR DUPLICADO",IF(AA1334&lt;&gt;"","ACTUALIZADO POR EYR","SIN REPORTE EYR")))</f>
        <v>#REF!</v>
      </c>
    </row>
    <row r="1335" spans="1:30" x14ac:dyDescent="0.3">
      <c r="A1335" s="5" t="s">
        <v>1841</v>
      </c>
      <c r="B1335" t="s">
        <v>1840</v>
      </c>
      <c r="C1335" s="4" t="s">
        <v>1839</v>
      </c>
      <c r="D1335" t="s">
        <v>77</v>
      </c>
      <c r="F1335" t="s">
        <v>115</v>
      </c>
      <c r="G1335" s="3">
        <v>8095541945</v>
      </c>
      <c r="H1335" s="2">
        <v>46135</v>
      </c>
      <c r="K1335" s="1">
        <f ca="1">IF(A1335="","",IF(OR(L1335="ENTREGADA",L1335="RETORNADA",L1335="ENTREGA DIGITAL"),0,MAX(0,5-NETWORKDAYS(H1335+1,TODAY()))))</f>
        <v>0</v>
      </c>
      <c r="L1335">
        <f>IF(A1335="","",IFERROR(LOOKUP(2,1/(#REF!=Z1335),#REF!),Y1335))</f>
        <v>0</v>
      </c>
      <c r="Z1335" t="str">
        <f>IF(A1335="","",TEXT(A1335,"0")&amp;"|"&amp;TEXT(H1335,"0"))</f>
        <v>4921017777637290|46135</v>
      </c>
      <c r="AA1335" t="str">
        <f>IF(Z1335="","",IFERROR(LOOKUP(2,1/(#REF!=Z1335),#REF!),""))</f>
        <v/>
      </c>
      <c r="AB1335" t="str">
        <f>IF(Z1335="","",IFERROR(LOOKUP(2,1/(#REF!=Z1335),#REF!),""))</f>
        <v/>
      </c>
      <c r="AC1335" t="e">
        <f>IF(Z1335="","",COUNTIF(#REF!,Z1335))</f>
        <v>#REF!</v>
      </c>
      <c r="AD1335" t="e">
        <f>IF(A1335="","",IF(AC1335&gt;1,"REVISAR DUPLICADO",IF(AA1335&lt;&gt;"","ACTUALIZADO POR EYR","SIN REPORTE EYR")))</f>
        <v>#REF!</v>
      </c>
    </row>
    <row r="1336" spans="1:30" x14ac:dyDescent="0.3">
      <c r="A1336" s="5" t="s">
        <v>1838</v>
      </c>
      <c r="B1336" t="s">
        <v>1837</v>
      </c>
      <c r="C1336" s="4" t="s">
        <v>1836</v>
      </c>
      <c r="D1336" t="s">
        <v>77</v>
      </c>
      <c r="F1336" t="s">
        <v>1835</v>
      </c>
      <c r="G1336" s="3">
        <v>8293468806</v>
      </c>
      <c r="H1336" s="2">
        <v>46135</v>
      </c>
      <c r="K1336" s="1">
        <f ca="1">IF(A1336="","",IF(OR(L1336="ENTREGADA",L1336="RETORNADA",L1336="ENTREGA DIGITAL"),0,MAX(0,5-NETWORKDAYS(H1336+1,TODAY()))))</f>
        <v>0</v>
      </c>
      <c r="L1336">
        <f>IF(A1336="","",IFERROR(LOOKUP(2,1/(#REF!=Z1336),#REF!),Y1336))</f>
        <v>0</v>
      </c>
      <c r="Z1336" t="str">
        <f>IF(A1336="","",TEXT(A1336,"0")&amp;"|"&amp;TEXT(H1336,"0"))</f>
        <v>4921017808546880|46135</v>
      </c>
      <c r="AA1336" t="str">
        <f>IF(Z1336="","",IFERROR(LOOKUP(2,1/(#REF!=Z1336),#REF!),""))</f>
        <v/>
      </c>
      <c r="AB1336" t="str">
        <f>IF(Z1336="","",IFERROR(LOOKUP(2,1/(#REF!=Z1336),#REF!),""))</f>
        <v/>
      </c>
      <c r="AC1336" t="e">
        <f>IF(Z1336="","",COUNTIF(#REF!,Z1336))</f>
        <v>#REF!</v>
      </c>
      <c r="AD1336" t="e">
        <f>IF(A1336="","",IF(AC1336&gt;1,"REVISAR DUPLICADO",IF(AA1336&lt;&gt;"","ACTUALIZADO POR EYR","SIN REPORTE EYR")))</f>
        <v>#REF!</v>
      </c>
    </row>
    <row r="1337" spans="1:30" x14ac:dyDescent="0.3">
      <c r="A1337" s="5" t="s">
        <v>1834</v>
      </c>
      <c r="B1337" t="s">
        <v>1833</v>
      </c>
      <c r="C1337" s="4" t="s">
        <v>1832</v>
      </c>
      <c r="D1337" t="s">
        <v>77</v>
      </c>
      <c r="F1337" t="s">
        <v>1343</v>
      </c>
      <c r="G1337" s="3">
        <v>8497537593</v>
      </c>
      <c r="H1337" s="2">
        <v>46135</v>
      </c>
      <c r="K1337" s="1">
        <f ca="1">IF(A1337="","",IF(OR(L1337="ENTREGADA",L1337="RETORNADA",L1337="ENTREGA DIGITAL"),0,MAX(0,5-NETWORKDAYS(H1337+1,TODAY()))))</f>
        <v>0</v>
      </c>
      <c r="L1337">
        <f>IF(A1337="","",IFERROR(LOOKUP(2,1/(#REF!=Z1337),#REF!),Y1337))</f>
        <v>0</v>
      </c>
      <c r="Z1337" t="str">
        <f>IF(A1337="","",TEXT(A1337,"0")&amp;"|"&amp;TEXT(H1337,"0"))</f>
        <v>4921017815185590|46135</v>
      </c>
      <c r="AA1337" t="str">
        <f>IF(Z1337="","",IFERROR(LOOKUP(2,1/(#REF!=Z1337),#REF!),""))</f>
        <v/>
      </c>
      <c r="AB1337" t="str">
        <f>IF(Z1337="","",IFERROR(LOOKUP(2,1/(#REF!=Z1337),#REF!),""))</f>
        <v/>
      </c>
      <c r="AC1337" t="e">
        <f>IF(Z1337="","",COUNTIF(#REF!,Z1337))</f>
        <v>#REF!</v>
      </c>
      <c r="AD1337" t="e">
        <f>IF(A1337="","",IF(AC1337&gt;1,"REVISAR DUPLICADO",IF(AA1337&lt;&gt;"","ACTUALIZADO POR EYR","SIN REPORTE EYR")))</f>
        <v>#REF!</v>
      </c>
    </row>
    <row r="1338" spans="1:30" x14ac:dyDescent="0.3">
      <c r="A1338" s="5" t="s">
        <v>1831</v>
      </c>
      <c r="B1338" t="s">
        <v>1830</v>
      </c>
      <c r="C1338" s="4" t="s">
        <v>1829</v>
      </c>
      <c r="D1338" t="s">
        <v>77</v>
      </c>
      <c r="F1338" t="s">
        <v>1828</v>
      </c>
      <c r="G1338" s="3">
        <v>8294992160</v>
      </c>
      <c r="H1338" s="2">
        <v>46135</v>
      </c>
      <c r="K1338" s="1">
        <f ca="1">IF(A1338="","",IF(OR(L1338="ENTREGADA",L1338="RETORNADA",L1338="ENTREGA DIGITAL"),0,MAX(0,5-NETWORKDAYS(H1338+1,TODAY()))))</f>
        <v>0</v>
      </c>
      <c r="L1338">
        <f>IF(A1338="","",IFERROR(LOOKUP(2,1/(#REF!=Z1338),#REF!),Y1338))</f>
        <v>0</v>
      </c>
      <c r="Z1338" t="str">
        <f>IF(A1338="","",TEXT(A1338,"0")&amp;"|"&amp;TEXT(H1338,"0"))</f>
        <v>4921017874833210|46135</v>
      </c>
      <c r="AA1338" t="str">
        <f>IF(Z1338="","",IFERROR(LOOKUP(2,1/(#REF!=Z1338),#REF!),""))</f>
        <v/>
      </c>
      <c r="AB1338" t="str">
        <f>IF(Z1338="","",IFERROR(LOOKUP(2,1/(#REF!=Z1338),#REF!),""))</f>
        <v/>
      </c>
      <c r="AC1338" t="e">
        <f>IF(Z1338="","",COUNTIF(#REF!,Z1338))</f>
        <v>#REF!</v>
      </c>
      <c r="AD1338" t="e">
        <f>IF(A1338="","",IF(AC1338&gt;1,"REVISAR DUPLICADO",IF(AA1338&lt;&gt;"","ACTUALIZADO POR EYR","SIN REPORTE EYR")))</f>
        <v>#REF!</v>
      </c>
    </row>
    <row r="1339" spans="1:30" x14ac:dyDescent="0.3">
      <c r="A1339" s="5" t="s">
        <v>1827</v>
      </c>
      <c r="B1339" t="s">
        <v>1826</v>
      </c>
      <c r="C1339" s="4" t="s">
        <v>1825</v>
      </c>
      <c r="D1339" t="s">
        <v>77</v>
      </c>
      <c r="F1339" t="s">
        <v>1824</v>
      </c>
      <c r="G1339" s="3">
        <v>8092060769</v>
      </c>
      <c r="H1339" s="2">
        <v>46135</v>
      </c>
      <c r="K1339" s="1">
        <f ca="1">IF(A1339="","",IF(OR(L1339="ENTREGADA",L1339="RETORNADA",L1339="ENTREGA DIGITAL"),0,MAX(0,5-NETWORKDAYS(H1339+1,TODAY()))))</f>
        <v>0</v>
      </c>
      <c r="L1339">
        <f>IF(A1339="","",IFERROR(LOOKUP(2,1/(#REF!=Z1339),#REF!),Y1339))</f>
        <v>0</v>
      </c>
      <c r="Z1339" t="str">
        <f>IF(A1339="","",TEXT(A1339,"0")&amp;"|"&amp;TEXT(H1339,"0"))</f>
        <v>4921017830853180|46135</v>
      </c>
      <c r="AA1339" t="str">
        <f>IF(Z1339="","",IFERROR(LOOKUP(2,1/(#REF!=Z1339),#REF!),""))</f>
        <v/>
      </c>
      <c r="AB1339" t="str">
        <f>IF(Z1339="","",IFERROR(LOOKUP(2,1/(#REF!=Z1339),#REF!),""))</f>
        <v/>
      </c>
      <c r="AC1339" t="e">
        <f>IF(Z1339="","",COUNTIF(#REF!,Z1339))</f>
        <v>#REF!</v>
      </c>
      <c r="AD1339" t="e">
        <f>IF(A1339="","",IF(AC1339&gt;1,"REVISAR DUPLICADO",IF(AA1339&lt;&gt;"","ACTUALIZADO POR EYR","SIN REPORTE EYR")))</f>
        <v>#REF!</v>
      </c>
    </row>
    <row r="1340" spans="1:30" x14ac:dyDescent="0.3">
      <c r="A1340" s="5" t="s">
        <v>1823</v>
      </c>
      <c r="B1340" t="s">
        <v>1822</v>
      </c>
      <c r="C1340" s="4" t="s">
        <v>1821</v>
      </c>
      <c r="D1340" t="s">
        <v>77</v>
      </c>
      <c r="F1340" t="s">
        <v>0</v>
      </c>
      <c r="G1340" s="3">
        <v>8094909658</v>
      </c>
      <c r="H1340" s="2">
        <v>46135</v>
      </c>
      <c r="I1340" t="s">
        <v>1397</v>
      </c>
      <c r="K1340" s="1">
        <f ca="1">IF(A1340="","",IF(OR(L1340="ENTREGADA",L1340="RETORNADA",L1340="ENTREGA DIGITAL"),0,MAX(0,5-NETWORKDAYS(H1340+1,TODAY()))))</f>
        <v>0</v>
      </c>
      <c r="L1340" t="str">
        <f>IF(A1340="","",IFERROR(LOOKUP(2,1/(#REF!=Z1340),#REF!),Y1340))</f>
        <v>ENTREGA DIGITAL</v>
      </c>
      <c r="Y1340" t="s">
        <v>1396</v>
      </c>
      <c r="Z1340" t="str">
        <f>IF(A1340="","",TEXT(A1340,"0")&amp;"|"&amp;TEXT(H1340,"0"))</f>
        <v>4921017808796570|46135</v>
      </c>
      <c r="AA1340" t="str">
        <f>IF(Z1340="","",IFERROR(LOOKUP(2,1/(#REF!=Z1340),#REF!),""))</f>
        <v/>
      </c>
      <c r="AB1340" t="str">
        <f>IF(Z1340="","",IFERROR(LOOKUP(2,1/(#REF!=Z1340),#REF!),""))</f>
        <v/>
      </c>
      <c r="AC1340" t="e">
        <f>IF(Z1340="","",COUNTIF(#REF!,Z1340))</f>
        <v>#REF!</v>
      </c>
      <c r="AD1340" t="e">
        <f>IF(A1340="","",IF(AC1340&gt;1,"REVISAR DUPLICADO",IF(AA1340&lt;&gt;"","ACTUALIZADO POR EYR","SIN REPORTE EYR")))</f>
        <v>#REF!</v>
      </c>
    </row>
    <row r="1341" spans="1:30" x14ac:dyDescent="0.3">
      <c r="A1341" s="5" t="s">
        <v>1820</v>
      </c>
      <c r="B1341" t="s">
        <v>1819</v>
      </c>
      <c r="C1341" s="4" t="s">
        <v>1818</v>
      </c>
      <c r="D1341" t="s">
        <v>77</v>
      </c>
      <c r="F1341" t="s">
        <v>0</v>
      </c>
      <c r="G1341" s="3">
        <v>8093605438</v>
      </c>
      <c r="H1341" s="2">
        <v>46135</v>
      </c>
      <c r="I1341" t="s">
        <v>1397</v>
      </c>
      <c r="K1341" s="1">
        <f ca="1">IF(A1341="","",IF(OR(L1341="ENTREGADA",L1341="RETORNADA",L1341="ENTREGA DIGITAL"),0,MAX(0,5-NETWORKDAYS(H1341+1,TODAY()))))</f>
        <v>0</v>
      </c>
      <c r="L1341" t="str">
        <f>IF(A1341="","",IFERROR(LOOKUP(2,1/(#REF!=Z1341),#REF!),Y1341))</f>
        <v>ENTREGA DIGITAL</v>
      </c>
      <c r="Y1341" t="s">
        <v>1396</v>
      </c>
      <c r="Z1341" t="str">
        <f>IF(A1341="","",TEXT(A1341,"0")&amp;"|"&amp;TEXT(H1341,"0"))</f>
        <v>4921017553630860|46135</v>
      </c>
      <c r="AA1341" t="str">
        <f>IF(Z1341="","",IFERROR(LOOKUP(2,1/(#REF!=Z1341),#REF!),""))</f>
        <v/>
      </c>
      <c r="AB1341" t="str">
        <f>IF(Z1341="","",IFERROR(LOOKUP(2,1/(#REF!=Z1341),#REF!),""))</f>
        <v/>
      </c>
      <c r="AC1341" t="e">
        <f>IF(Z1341="","",COUNTIF(#REF!,Z1341))</f>
        <v>#REF!</v>
      </c>
      <c r="AD1341" t="e">
        <f>IF(A1341="","",IF(AC1341&gt;1,"REVISAR DUPLICADO",IF(AA1341&lt;&gt;"","ACTUALIZADO POR EYR","SIN REPORTE EYR")))</f>
        <v>#REF!</v>
      </c>
    </row>
    <row r="1342" spans="1:30" x14ac:dyDescent="0.3">
      <c r="A1342" s="5" t="s">
        <v>1817</v>
      </c>
      <c r="B1342" t="s">
        <v>1816</v>
      </c>
      <c r="C1342" s="4" t="s">
        <v>1815</v>
      </c>
      <c r="D1342" t="s">
        <v>21</v>
      </c>
      <c r="F1342" t="s">
        <v>742</v>
      </c>
      <c r="G1342" s="3">
        <v>8294713368</v>
      </c>
      <c r="H1342" s="2">
        <v>46135</v>
      </c>
      <c r="K1342" s="1">
        <f ca="1">IF(A1342="","",IF(OR(L1342="ENTREGADA",L1342="RETORNADA",L1342="ENTREGA DIGITAL"),0,MAX(0,5-NETWORKDAYS(H1342+1,TODAY()))))</f>
        <v>0</v>
      </c>
      <c r="L1342">
        <f>IF(A1342="","",IFERROR(LOOKUP(2,1/(#REF!=Z1342),#REF!),Y1342))</f>
        <v>0</v>
      </c>
      <c r="Z1342" t="str">
        <f>IF(A1342="","",TEXT(A1342,"0")&amp;"|"&amp;TEXT(H1342,"0"))</f>
        <v>4966017866888480|46135</v>
      </c>
      <c r="AA1342" t="str">
        <f>IF(Z1342="","",IFERROR(LOOKUP(2,1/(#REF!=Z1342),#REF!),""))</f>
        <v/>
      </c>
      <c r="AB1342" t="str">
        <f>IF(Z1342="","",IFERROR(LOOKUP(2,1/(#REF!=Z1342),#REF!),""))</f>
        <v/>
      </c>
      <c r="AC1342" t="e">
        <f>IF(Z1342="","",COUNTIF(#REF!,Z1342))</f>
        <v>#REF!</v>
      </c>
      <c r="AD1342" t="e">
        <f>IF(A1342="","",IF(AC1342&gt;1,"REVISAR DUPLICADO",IF(AA1342&lt;&gt;"","ACTUALIZADO POR EYR","SIN REPORTE EYR")))</f>
        <v>#REF!</v>
      </c>
    </row>
    <row r="1343" spans="1:30" x14ac:dyDescent="0.3">
      <c r="A1343" s="5" t="s">
        <v>1814</v>
      </c>
      <c r="B1343" t="s">
        <v>1813</v>
      </c>
      <c r="C1343" s="4" t="s">
        <v>1812</v>
      </c>
      <c r="D1343" t="s">
        <v>21</v>
      </c>
      <c r="F1343" t="s">
        <v>146</v>
      </c>
      <c r="G1343" s="3">
        <v>8294041547</v>
      </c>
      <c r="H1343" s="2">
        <v>46135</v>
      </c>
      <c r="K1343" s="1">
        <f ca="1">IF(A1343="","",IF(OR(L1343="ENTREGADA",L1343="RETORNADA",L1343="ENTREGA DIGITAL"),0,MAX(0,5-NETWORKDAYS(H1343+1,TODAY()))))</f>
        <v>0</v>
      </c>
      <c r="L1343">
        <f>IF(A1343="","",IFERROR(LOOKUP(2,1/(#REF!=Z1343),#REF!),Y1343))</f>
        <v>0</v>
      </c>
      <c r="Z1343" t="str">
        <f>IF(A1343="","",TEXT(A1343,"0")&amp;"|"&amp;TEXT(H1343,"0"))</f>
        <v>4921017845612840|46135</v>
      </c>
      <c r="AA1343" t="str">
        <f>IF(Z1343="","",IFERROR(LOOKUP(2,1/(#REF!=Z1343),#REF!),""))</f>
        <v/>
      </c>
      <c r="AB1343" t="str">
        <f>IF(Z1343="","",IFERROR(LOOKUP(2,1/(#REF!=Z1343),#REF!),""))</f>
        <v/>
      </c>
      <c r="AC1343" t="e">
        <f>IF(Z1343="","",COUNTIF(#REF!,Z1343))</f>
        <v>#REF!</v>
      </c>
      <c r="AD1343" t="e">
        <f>IF(A1343="","",IF(AC1343&gt;1,"REVISAR DUPLICADO",IF(AA1343&lt;&gt;"","ACTUALIZADO POR EYR","SIN REPORTE EYR")))</f>
        <v>#REF!</v>
      </c>
    </row>
    <row r="1344" spans="1:30" x14ac:dyDescent="0.3">
      <c r="A1344" s="5" t="s">
        <v>1811</v>
      </c>
      <c r="B1344" t="s">
        <v>1810</v>
      </c>
      <c r="C1344" s="4" t="s">
        <v>1809</v>
      </c>
      <c r="D1344" t="s">
        <v>21</v>
      </c>
      <c r="F1344" t="s">
        <v>0</v>
      </c>
      <c r="G1344" s="3">
        <v>9999999999</v>
      </c>
      <c r="H1344" s="2">
        <v>46135</v>
      </c>
      <c r="K1344" s="1">
        <f ca="1">IF(A1344="","",IF(OR(L1344="ENTREGADA",L1344="RETORNADA",L1344="ENTREGA DIGITAL"),0,MAX(0,5-NETWORKDAYS(H1344+1,TODAY()))))</f>
        <v>0</v>
      </c>
      <c r="L1344">
        <f>IF(A1344="","",IFERROR(LOOKUP(2,1/(#REF!=Z1344),#REF!),Y1344))</f>
        <v>0</v>
      </c>
      <c r="Z1344" t="str">
        <f>IF(A1344="","",TEXT(A1344,"0")&amp;"|"&amp;TEXT(H1344,"0"))</f>
        <v>5415017849035530|46135</v>
      </c>
      <c r="AA1344" t="str">
        <f>IF(Z1344="","",IFERROR(LOOKUP(2,1/(#REF!=Z1344),#REF!),""))</f>
        <v/>
      </c>
      <c r="AB1344" t="str">
        <f>IF(Z1344="","",IFERROR(LOOKUP(2,1/(#REF!=Z1344),#REF!),""))</f>
        <v/>
      </c>
      <c r="AC1344" t="e">
        <f>IF(Z1344="","",COUNTIF(#REF!,Z1344))</f>
        <v>#REF!</v>
      </c>
      <c r="AD1344" t="e">
        <f>IF(A1344="","",IF(AC1344&gt;1,"REVISAR DUPLICADO",IF(AA1344&lt;&gt;"","ACTUALIZADO POR EYR","SIN REPORTE EYR")))</f>
        <v>#REF!</v>
      </c>
    </row>
    <row r="1345" spans="1:30" x14ac:dyDescent="0.3">
      <c r="A1345" s="5" t="s">
        <v>1808</v>
      </c>
      <c r="B1345" t="s">
        <v>1546</v>
      </c>
      <c r="C1345" s="4" t="s">
        <v>1545</v>
      </c>
      <c r="D1345" t="s">
        <v>21</v>
      </c>
      <c r="F1345" t="s">
        <v>0</v>
      </c>
      <c r="G1345" s="3">
        <v>8099107579</v>
      </c>
      <c r="H1345" s="2">
        <v>46135</v>
      </c>
      <c r="K1345" s="1">
        <f ca="1">IF(A1345="","",IF(OR(L1345="ENTREGADA",L1345="RETORNADA",L1345="ENTREGA DIGITAL"),0,MAX(0,5-NETWORKDAYS(H1345+1,TODAY()))))</f>
        <v>0</v>
      </c>
      <c r="L1345">
        <f>IF(A1345="","",IFERROR(LOOKUP(2,1/(#REF!=Z1345),#REF!),Y1345))</f>
        <v>0</v>
      </c>
      <c r="Z1345" t="str">
        <f>IF(A1345="","",TEXT(A1345,"0")&amp;"|"&amp;TEXT(H1345,"0"))</f>
        <v>5415017333225840|46135</v>
      </c>
      <c r="AA1345" t="str">
        <f>IF(Z1345="","",IFERROR(LOOKUP(2,1/(#REF!=Z1345),#REF!),""))</f>
        <v/>
      </c>
      <c r="AB1345" t="str">
        <f>IF(Z1345="","",IFERROR(LOOKUP(2,1/(#REF!=Z1345),#REF!),""))</f>
        <v/>
      </c>
      <c r="AC1345" t="e">
        <f>IF(Z1345="","",COUNTIF(#REF!,Z1345))</f>
        <v>#REF!</v>
      </c>
      <c r="AD1345" t="e">
        <f>IF(A1345="","",IF(AC1345&gt;1,"REVISAR DUPLICADO",IF(AA1345&lt;&gt;"","ACTUALIZADO POR EYR","SIN REPORTE EYR")))</f>
        <v>#REF!</v>
      </c>
    </row>
    <row r="1346" spans="1:30" x14ac:dyDescent="0.3">
      <c r="A1346" s="5" t="s">
        <v>1807</v>
      </c>
      <c r="B1346" t="s">
        <v>1806</v>
      </c>
      <c r="C1346" s="4" t="s">
        <v>1805</v>
      </c>
      <c r="D1346" t="s">
        <v>21</v>
      </c>
      <c r="F1346" t="s">
        <v>0</v>
      </c>
      <c r="G1346" s="3">
        <v>8292852054</v>
      </c>
      <c r="H1346" s="2">
        <v>46135</v>
      </c>
      <c r="K1346" s="1">
        <f ca="1">IF(A1346="","",IF(OR(L1346="ENTREGADA",L1346="RETORNADA",L1346="ENTREGA DIGITAL"),0,MAX(0,5-NETWORKDAYS(H1346+1,TODAY()))))</f>
        <v>0</v>
      </c>
      <c r="L1346">
        <f>IF(A1346="","",IFERROR(LOOKUP(2,1/(#REF!=Z1346),#REF!),Y1346))</f>
        <v>0</v>
      </c>
      <c r="Z1346" t="str">
        <f>IF(A1346="","",TEXT(A1346,"0")&amp;"|"&amp;TEXT(H1346,"0"))</f>
        <v>5415017804542380|46135</v>
      </c>
      <c r="AA1346" t="str">
        <f>IF(Z1346="","",IFERROR(LOOKUP(2,1/(#REF!=Z1346),#REF!),""))</f>
        <v/>
      </c>
      <c r="AB1346" t="str">
        <f>IF(Z1346="","",IFERROR(LOOKUP(2,1/(#REF!=Z1346),#REF!),""))</f>
        <v/>
      </c>
      <c r="AC1346" t="e">
        <f>IF(Z1346="","",COUNTIF(#REF!,Z1346))</f>
        <v>#REF!</v>
      </c>
      <c r="AD1346" t="e">
        <f>IF(A1346="","",IF(AC1346&gt;1,"REVISAR DUPLICADO",IF(AA1346&lt;&gt;"","ACTUALIZADO POR EYR","SIN REPORTE EYR")))</f>
        <v>#REF!</v>
      </c>
    </row>
    <row r="1347" spans="1:30" x14ac:dyDescent="0.3">
      <c r="A1347" s="5" t="s">
        <v>1804</v>
      </c>
      <c r="B1347" t="s">
        <v>1803</v>
      </c>
      <c r="C1347" s="4" t="s">
        <v>1802</v>
      </c>
      <c r="D1347" t="s">
        <v>21</v>
      </c>
      <c r="F1347" t="s">
        <v>1801</v>
      </c>
      <c r="G1347" s="3">
        <v>9999999999</v>
      </c>
      <c r="H1347" s="2">
        <v>46135</v>
      </c>
      <c r="K1347" s="1">
        <f ca="1">IF(A1347="","",IF(OR(L1347="ENTREGADA",L1347="RETORNADA",L1347="ENTREGA DIGITAL"),0,MAX(0,5-NETWORKDAYS(H1347+1,TODAY()))))</f>
        <v>0</v>
      </c>
      <c r="L1347" t="str">
        <f>IF(A1347="","",IFERROR(LOOKUP(2,1/(#REF!=Z1347),#REF!),Y1347))</f>
        <v>ENTREGA DIGITAL</v>
      </c>
      <c r="Y1347" t="s">
        <v>1396</v>
      </c>
      <c r="Z1347" t="str">
        <f>IF(A1347="","",TEXT(A1347,"0")&amp;"|"&amp;TEXT(H1347,"0"))</f>
        <v>4025017892918400|46135</v>
      </c>
      <c r="AA1347" t="str">
        <f>IF(Z1347="","",IFERROR(LOOKUP(2,1/(#REF!=Z1347),#REF!),""))</f>
        <v/>
      </c>
      <c r="AB1347" t="str">
        <f>IF(Z1347="","",IFERROR(LOOKUP(2,1/(#REF!=Z1347),#REF!),""))</f>
        <v/>
      </c>
      <c r="AC1347" t="e">
        <f>IF(Z1347="","",COUNTIF(#REF!,Z1347))</f>
        <v>#REF!</v>
      </c>
      <c r="AD1347" t="e">
        <f>IF(A1347="","",IF(AC1347&gt;1,"REVISAR DUPLICADO",IF(AA1347&lt;&gt;"","ACTUALIZADO POR EYR","SIN REPORTE EYR")))</f>
        <v>#REF!</v>
      </c>
    </row>
    <row r="1348" spans="1:30" x14ac:dyDescent="0.3">
      <c r="A1348" s="5" t="s">
        <v>1800</v>
      </c>
      <c r="B1348" t="s">
        <v>1799</v>
      </c>
      <c r="C1348" s="4" t="s">
        <v>1798</v>
      </c>
      <c r="D1348" t="s">
        <v>21</v>
      </c>
      <c r="F1348" t="s">
        <v>1797</v>
      </c>
      <c r="G1348" s="3">
        <v>8299275713</v>
      </c>
      <c r="H1348" s="2">
        <v>46135</v>
      </c>
      <c r="K1348" s="1">
        <f ca="1">IF(A1348="","",IF(OR(L1348="ENTREGADA",L1348="RETORNADA",L1348="ENTREGA DIGITAL"),0,MAX(0,5-NETWORKDAYS(H1348+1,TODAY()))))</f>
        <v>0</v>
      </c>
      <c r="L1348">
        <f>IF(A1348="","",IFERROR(LOOKUP(2,1/(#REF!=Z1348),#REF!),Y1348))</f>
        <v>0</v>
      </c>
      <c r="Z1348" t="str">
        <f>IF(A1348="","",TEXT(A1348,"0")&amp;"|"&amp;TEXT(H1348,"0"))</f>
        <v>4921017897190240|46135</v>
      </c>
      <c r="AA1348" t="str">
        <f>IF(Z1348="","",IFERROR(LOOKUP(2,1/(#REF!=Z1348),#REF!),""))</f>
        <v/>
      </c>
      <c r="AB1348" t="str">
        <f>IF(Z1348="","",IFERROR(LOOKUP(2,1/(#REF!=Z1348),#REF!),""))</f>
        <v/>
      </c>
      <c r="AC1348" t="e">
        <f>IF(Z1348="","",COUNTIF(#REF!,Z1348))</f>
        <v>#REF!</v>
      </c>
      <c r="AD1348" t="e">
        <f>IF(A1348="","",IF(AC1348&gt;1,"REVISAR DUPLICADO",IF(AA1348&lt;&gt;"","ACTUALIZADO POR EYR","SIN REPORTE EYR")))</f>
        <v>#REF!</v>
      </c>
    </row>
    <row r="1349" spans="1:30" x14ac:dyDescent="0.3">
      <c r="A1349" s="5" t="s">
        <v>1796</v>
      </c>
      <c r="B1349" t="s">
        <v>1795</v>
      </c>
      <c r="C1349" s="4" t="s">
        <v>1794</v>
      </c>
      <c r="D1349" t="s">
        <v>21</v>
      </c>
      <c r="F1349" t="s">
        <v>1793</v>
      </c>
      <c r="G1349" s="3">
        <v>8099888628</v>
      </c>
      <c r="H1349" s="2">
        <v>46135</v>
      </c>
      <c r="K1349" s="1">
        <f ca="1">IF(A1349="","",IF(OR(L1349="ENTREGADA",L1349="RETORNADA",L1349="ENTREGA DIGITAL"),0,MAX(0,5-NETWORKDAYS(H1349+1,TODAY()))))</f>
        <v>0</v>
      </c>
      <c r="L1349">
        <f>IF(A1349="","",IFERROR(LOOKUP(2,1/(#REF!=Z1349),#REF!),Y1349))</f>
        <v>0</v>
      </c>
      <c r="Z1349" t="str">
        <f>IF(A1349="","",TEXT(A1349,"0")&amp;"|"&amp;TEXT(H1349,"0"))</f>
        <v>4921017897921650|46135</v>
      </c>
      <c r="AA1349" t="str">
        <f>IF(Z1349="","",IFERROR(LOOKUP(2,1/(#REF!=Z1349),#REF!),""))</f>
        <v/>
      </c>
      <c r="AB1349" t="str">
        <f>IF(Z1349="","",IFERROR(LOOKUP(2,1/(#REF!=Z1349),#REF!),""))</f>
        <v/>
      </c>
      <c r="AC1349" t="e">
        <f>IF(Z1349="","",COUNTIF(#REF!,Z1349))</f>
        <v>#REF!</v>
      </c>
      <c r="AD1349" t="e">
        <f>IF(A1349="","",IF(AC1349&gt;1,"REVISAR DUPLICADO",IF(AA1349&lt;&gt;"","ACTUALIZADO POR EYR","SIN REPORTE EYR")))</f>
        <v>#REF!</v>
      </c>
    </row>
    <row r="1350" spans="1:30" x14ac:dyDescent="0.3">
      <c r="A1350" s="5" t="s">
        <v>1792</v>
      </c>
      <c r="B1350" t="s">
        <v>1791</v>
      </c>
      <c r="C1350" s="4" t="s">
        <v>1790</v>
      </c>
      <c r="D1350" t="s">
        <v>21</v>
      </c>
      <c r="F1350" t="s">
        <v>13</v>
      </c>
      <c r="G1350" s="3">
        <v>8492715025</v>
      </c>
      <c r="H1350" s="2">
        <v>46135</v>
      </c>
      <c r="K1350" s="1">
        <f ca="1">IF(A1350="","",IF(OR(L1350="ENTREGADA",L1350="RETORNADA",L1350="ENTREGA DIGITAL"),0,MAX(0,5-NETWORKDAYS(H1350+1,TODAY()))))</f>
        <v>0</v>
      </c>
      <c r="L1350">
        <f>IF(A1350="","",IFERROR(LOOKUP(2,1/(#REF!=Z1350),#REF!),Y1350))</f>
        <v>0</v>
      </c>
      <c r="Z1350" t="str">
        <f>IF(A1350="","",TEXT(A1350,"0")&amp;"|"&amp;TEXT(H1350,"0"))</f>
        <v>5188017895470100|46135</v>
      </c>
      <c r="AA1350" t="str">
        <f>IF(Z1350="","",IFERROR(LOOKUP(2,1/(#REF!=Z1350),#REF!),""))</f>
        <v/>
      </c>
      <c r="AB1350" t="str">
        <f>IF(Z1350="","",IFERROR(LOOKUP(2,1/(#REF!=Z1350),#REF!),""))</f>
        <v/>
      </c>
      <c r="AC1350" t="e">
        <f>IF(Z1350="","",COUNTIF(#REF!,Z1350))</f>
        <v>#REF!</v>
      </c>
      <c r="AD1350" t="e">
        <f>IF(A1350="","",IF(AC1350&gt;1,"REVISAR DUPLICADO",IF(AA1350&lt;&gt;"","ACTUALIZADO POR EYR","SIN REPORTE EYR")))</f>
        <v>#REF!</v>
      </c>
    </row>
    <row r="1351" spans="1:30" x14ac:dyDescent="0.3">
      <c r="A1351" s="5" t="s">
        <v>1789</v>
      </c>
      <c r="B1351" t="s">
        <v>1788</v>
      </c>
      <c r="C1351" s="4" t="s">
        <v>1787</v>
      </c>
      <c r="D1351" t="s">
        <v>21</v>
      </c>
      <c r="E1351" t="s">
        <v>21</v>
      </c>
      <c r="F1351" t="s">
        <v>62</v>
      </c>
      <c r="G1351" s="3">
        <v>8093538504</v>
      </c>
      <c r="H1351" s="2">
        <v>46135</v>
      </c>
      <c r="K1351" s="1">
        <f ca="1">IF(A1351="","",IF(OR(L1351="ENTREGADA",L1351="RETORNADA",L1351="ENTREGA DIGITAL"),0,MAX(0,5-NETWORKDAYS(H1351+1,TODAY()))))</f>
        <v>0</v>
      </c>
      <c r="L1351">
        <f>IF(A1351="","",IFERROR(LOOKUP(2,1/(#REF!=Z1351),#REF!),Y1351))</f>
        <v>0</v>
      </c>
      <c r="Z1351" t="str">
        <f>IF(A1351="","",TEXT(A1351,"0")&amp;"|"&amp;TEXT(H1351,"0"))</f>
        <v>4921017895752540|46135</v>
      </c>
      <c r="AA1351" t="str">
        <f>IF(Z1351="","",IFERROR(LOOKUP(2,1/(#REF!=Z1351),#REF!),""))</f>
        <v/>
      </c>
      <c r="AB1351" t="str">
        <f>IF(Z1351="","",IFERROR(LOOKUP(2,1/(#REF!=Z1351),#REF!),""))</f>
        <v/>
      </c>
      <c r="AC1351" t="e">
        <f>IF(Z1351="","",COUNTIF(#REF!,Z1351))</f>
        <v>#REF!</v>
      </c>
      <c r="AD1351" t="e">
        <f>IF(A1351="","",IF(AC1351&gt;1,"REVISAR DUPLICADO",IF(AA1351&lt;&gt;"","ACTUALIZADO POR EYR","SIN REPORTE EYR")))</f>
        <v>#REF!</v>
      </c>
    </row>
    <row r="1352" spans="1:30" x14ac:dyDescent="0.3">
      <c r="A1352" s="5" t="s">
        <v>1786</v>
      </c>
      <c r="B1352" t="s">
        <v>1785</v>
      </c>
      <c r="C1352" s="4" t="s">
        <v>1784</v>
      </c>
      <c r="D1352" t="s">
        <v>21</v>
      </c>
      <c r="F1352" t="s">
        <v>1783</v>
      </c>
      <c r="G1352" s="3">
        <v>8299907318</v>
      </c>
      <c r="H1352" s="2">
        <v>46135</v>
      </c>
      <c r="K1352" s="1">
        <f ca="1">IF(A1352="","",IF(OR(L1352="ENTREGADA",L1352="RETORNADA",L1352="ENTREGA DIGITAL"),0,MAX(0,5-NETWORKDAYS(H1352+1,TODAY()))))</f>
        <v>0</v>
      </c>
      <c r="L1352">
        <f>IF(A1352="","",IFERROR(LOOKUP(2,1/(#REF!=Z1352),#REF!),Y1352))</f>
        <v>0</v>
      </c>
      <c r="Z1352" t="str">
        <f>IF(A1352="","",TEXT(A1352,"0")&amp;"|"&amp;TEXT(H1352,"0"))</f>
        <v>4921017896217880|46135</v>
      </c>
      <c r="AA1352" t="str">
        <f>IF(Z1352="","",IFERROR(LOOKUP(2,1/(#REF!=Z1352),#REF!),""))</f>
        <v/>
      </c>
      <c r="AB1352" t="str">
        <f>IF(Z1352="","",IFERROR(LOOKUP(2,1/(#REF!=Z1352),#REF!),""))</f>
        <v/>
      </c>
      <c r="AC1352" t="e">
        <f>IF(Z1352="","",COUNTIF(#REF!,Z1352))</f>
        <v>#REF!</v>
      </c>
      <c r="AD1352" t="e">
        <f>IF(A1352="","",IF(AC1352&gt;1,"REVISAR DUPLICADO",IF(AA1352&lt;&gt;"","ACTUALIZADO POR EYR","SIN REPORTE EYR")))</f>
        <v>#REF!</v>
      </c>
    </row>
    <row r="1353" spans="1:30" x14ac:dyDescent="0.3">
      <c r="A1353" s="5" t="s">
        <v>1782</v>
      </c>
      <c r="B1353" t="s">
        <v>1781</v>
      </c>
      <c r="C1353" s="4" t="s">
        <v>1780</v>
      </c>
      <c r="D1353" t="s">
        <v>21</v>
      </c>
      <c r="F1353" t="s">
        <v>846</v>
      </c>
      <c r="G1353" s="3">
        <v>8494586861</v>
      </c>
      <c r="H1353" s="2">
        <v>46135</v>
      </c>
      <c r="K1353" s="1">
        <f ca="1">IF(A1353="","",IF(OR(L1353="ENTREGADA",L1353="RETORNADA",L1353="ENTREGA DIGITAL"),0,MAX(0,5-NETWORKDAYS(H1353+1,TODAY()))))</f>
        <v>0</v>
      </c>
      <c r="L1353">
        <f>IF(A1353="","",IFERROR(LOOKUP(2,1/(#REF!=Z1353),#REF!),Y1353))</f>
        <v>0</v>
      </c>
      <c r="Z1353" t="str">
        <f>IF(A1353="","",TEXT(A1353,"0")&amp;"|"&amp;TEXT(H1353,"0"))</f>
        <v>4921017895785720|46135</v>
      </c>
      <c r="AA1353" t="str">
        <f>IF(Z1353="","",IFERROR(LOOKUP(2,1/(#REF!=Z1353),#REF!),""))</f>
        <v/>
      </c>
      <c r="AB1353" t="str">
        <f>IF(Z1353="","",IFERROR(LOOKUP(2,1/(#REF!=Z1353),#REF!),""))</f>
        <v/>
      </c>
      <c r="AC1353" t="e">
        <f>IF(Z1353="","",COUNTIF(#REF!,Z1353))</f>
        <v>#REF!</v>
      </c>
      <c r="AD1353" t="e">
        <f>IF(A1353="","",IF(AC1353&gt;1,"REVISAR DUPLICADO",IF(AA1353&lt;&gt;"","ACTUALIZADO POR EYR","SIN REPORTE EYR")))</f>
        <v>#REF!</v>
      </c>
    </row>
    <row r="1354" spans="1:30" x14ac:dyDescent="0.3">
      <c r="A1354" s="5" t="s">
        <v>1779</v>
      </c>
      <c r="B1354" t="s">
        <v>1778</v>
      </c>
      <c r="C1354" s="4" t="s">
        <v>1777</v>
      </c>
      <c r="D1354" t="s">
        <v>21</v>
      </c>
      <c r="F1354" t="s">
        <v>13</v>
      </c>
      <c r="G1354" s="3">
        <v>8297448390</v>
      </c>
      <c r="H1354" s="2">
        <v>46135</v>
      </c>
      <c r="I1354" t="s">
        <v>1397</v>
      </c>
      <c r="K1354" s="1">
        <f ca="1">IF(A1354="","",IF(OR(L1354="ENTREGADA",L1354="RETORNADA",L1354="ENTREGA DIGITAL"),0,MAX(0,5-NETWORKDAYS(H1354+1,TODAY()))))</f>
        <v>0</v>
      </c>
      <c r="L1354" t="str">
        <f>IF(A1354="","",IFERROR(LOOKUP(2,1/(#REF!=Z1354),#REF!),Y1354))</f>
        <v>ENTREGA DIGITAL</v>
      </c>
      <c r="Y1354" t="s">
        <v>1396</v>
      </c>
      <c r="Z1354" t="str">
        <f>IF(A1354="","",TEXT(A1354,"0")&amp;"|"&amp;TEXT(H1354,"0"))</f>
        <v>4921017898571070|46135</v>
      </c>
      <c r="AA1354" t="str">
        <f>IF(Z1354="","",IFERROR(LOOKUP(2,1/(#REF!=Z1354),#REF!),""))</f>
        <v/>
      </c>
      <c r="AB1354" t="str">
        <f>IF(Z1354="","",IFERROR(LOOKUP(2,1/(#REF!=Z1354),#REF!),""))</f>
        <v/>
      </c>
      <c r="AC1354" t="e">
        <f>IF(Z1354="","",COUNTIF(#REF!,Z1354))</f>
        <v>#REF!</v>
      </c>
      <c r="AD1354" t="e">
        <f>IF(A1354="","",IF(AC1354&gt;1,"REVISAR DUPLICADO",IF(AA1354&lt;&gt;"","ACTUALIZADO POR EYR","SIN REPORTE EYR")))</f>
        <v>#REF!</v>
      </c>
    </row>
    <row r="1355" spans="1:30" x14ac:dyDescent="0.3">
      <c r="A1355" s="5" t="s">
        <v>1776</v>
      </c>
      <c r="B1355" t="s">
        <v>1775</v>
      </c>
      <c r="C1355" s="4" t="s">
        <v>1774</v>
      </c>
      <c r="D1355" t="s">
        <v>21</v>
      </c>
      <c r="F1355" t="s">
        <v>13</v>
      </c>
      <c r="G1355" s="3">
        <v>8094364190</v>
      </c>
      <c r="H1355" s="2">
        <v>46135</v>
      </c>
      <c r="I1355" t="s">
        <v>1397</v>
      </c>
      <c r="K1355" s="1">
        <f ca="1">IF(A1355="","",IF(OR(L1355="ENTREGADA",L1355="RETORNADA",L1355="ENTREGA DIGITAL"),0,MAX(0,5-NETWORKDAYS(H1355+1,TODAY()))))</f>
        <v>0</v>
      </c>
      <c r="L1355" t="str">
        <f>IF(A1355="","",IFERROR(LOOKUP(2,1/(#REF!=Z1355),#REF!),Y1355))</f>
        <v>ENTREGA DIGITAL</v>
      </c>
      <c r="Y1355" t="s">
        <v>1396</v>
      </c>
      <c r="Z1355" t="str">
        <f>IF(A1355="","",TEXT(A1355,"0")&amp;"|"&amp;TEXT(H1355,"0"))</f>
        <v>4921017897882630|46135</v>
      </c>
      <c r="AA1355" t="str">
        <f>IF(Z1355="","",IFERROR(LOOKUP(2,1/(#REF!=Z1355),#REF!),""))</f>
        <v/>
      </c>
      <c r="AB1355" t="str">
        <f>IF(Z1355="","",IFERROR(LOOKUP(2,1/(#REF!=Z1355),#REF!),""))</f>
        <v/>
      </c>
      <c r="AC1355" t="e">
        <f>IF(Z1355="","",COUNTIF(#REF!,Z1355))</f>
        <v>#REF!</v>
      </c>
      <c r="AD1355" t="e">
        <f>IF(A1355="","",IF(AC1355&gt;1,"REVISAR DUPLICADO",IF(AA1355&lt;&gt;"","ACTUALIZADO POR EYR","SIN REPORTE EYR")))</f>
        <v>#REF!</v>
      </c>
    </row>
    <row r="1356" spans="1:30" x14ac:dyDescent="0.3">
      <c r="A1356" s="5" t="s">
        <v>1773</v>
      </c>
      <c r="B1356" t="s">
        <v>1772</v>
      </c>
      <c r="C1356" s="4" t="s">
        <v>1771</v>
      </c>
      <c r="D1356" t="s">
        <v>21</v>
      </c>
      <c r="F1356" t="s">
        <v>1057</v>
      </c>
      <c r="G1356" s="3">
        <v>8095294041</v>
      </c>
      <c r="H1356" s="2">
        <v>46135</v>
      </c>
      <c r="K1356" s="1">
        <f ca="1">IF(A1356="","",IF(OR(L1356="ENTREGADA",L1356="RETORNADA",L1356="ENTREGA DIGITAL"),0,MAX(0,5-NETWORKDAYS(H1356+1,TODAY()))))</f>
        <v>0</v>
      </c>
      <c r="L1356">
        <f>IF(A1356="","",IFERROR(LOOKUP(2,1/(#REF!=Z1356),#REF!),Y1356))</f>
        <v>0</v>
      </c>
      <c r="Z1356" t="str">
        <f>IF(A1356="","",TEXT(A1356,"0")&amp;"|"&amp;TEXT(H1356,"0"))</f>
        <v>4921017898699210|46135</v>
      </c>
      <c r="AA1356" t="str">
        <f>IF(Z1356="","",IFERROR(LOOKUP(2,1/(#REF!=Z1356),#REF!),""))</f>
        <v/>
      </c>
      <c r="AB1356" t="str">
        <f>IF(Z1356="","",IFERROR(LOOKUP(2,1/(#REF!=Z1356),#REF!),""))</f>
        <v/>
      </c>
      <c r="AC1356" t="e">
        <f>IF(Z1356="","",COUNTIF(#REF!,Z1356))</f>
        <v>#REF!</v>
      </c>
      <c r="AD1356" t="e">
        <f>IF(A1356="","",IF(AC1356&gt;1,"REVISAR DUPLICADO",IF(AA1356&lt;&gt;"","ACTUALIZADO POR EYR","SIN REPORTE EYR")))</f>
        <v>#REF!</v>
      </c>
    </row>
    <row r="1357" spans="1:30" x14ac:dyDescent="0.3">
      <c r="A1357" s="5" t="s">
        <v>1770</v>
      </c>
      <c r="B1357" t="s">
        <v>1769</v>
      </c>
      <c r="C1357" s="4" t="s">
        <v>1768</v>
      </c>
      <c r="D1357" t="s">
        <v>1</v>
      </c>
      <c r="F1357" t="s">
        <v>0</v>
      </c>
      <c r="G1357" s="3">
        <v>8092973748</v>
      </c>
      <c r="H1357" s="2">
        <v>46135</v>
      </c>
      <c r="I1357" t="s">
        <v>1397</v>
      </c>
      <c r="K1357" s="1">
        <f ca="1">IF(A1357="","",IF(OR(L1357="ENTREGADA",L1357="RETORNADA",L1357="ENTREGA DIGITAL"),0,MAX(0,5-NETWORKDAYS(H1357+1,TODAY()))))</f>
        <v>0</v>
      </c>
      <c r="L1357" t="str">
        <f>IF(A1357="","",IFERROR(LOOKUP(2,1/(#REF!=Z1357),#REF!),Y1357))</f>
        <v>ENTREGA DIGITAL</v>
      </c>
      <c r="Y1357" t="s">
        <v>1396</v>
      </c>
      <c r="Z1357" t="str">
        <f>IF(A1357="","",TEXT(A1357,"0")&amp;"|"&amp;TEXT(H1357,"0"))</f>
        <v>4921017821058810|46135</v>
      </c>
      <c r="AA1357" t="str">
        <f>IF(Z1357="","",IFERROR(LOOKUP(2,1/(#REF!=Z1357),#REF!),""))</f>
        <v/>
      </c>
      <c r="AB1357" t="str">
        <f>IF(Z1357="","",IFERROR(LOOKUP(2,1/(#REF!=Z1357),#REF!),""))</f>
        <v/>
      </c>
      <c r="AC1357" t="e">
        <f>IF(Z1357="","",COUNTIF(#REF!,Z1357))</f>
        <v>#REF!</v>
      </c>
      <c r="AD1357" t="e">
        <f>IF(A1357="","",IF(AC1357&gt;1,"REVISAR DUPLICADO",IF(AA1357&lt;&gt;"","ACTUALIZADO POR EYR","SIN REPORTE EYR")))</f>
        <v>#REF!</v>
      </c>
    </row>
    <row r="1358" spans="1:30" x14ac:dyDescent="0.3">
      <c r="A1358" s="5" t="s">
        <v>1767</v>
      </c>
      <c r="B1358" t="s">
        <v>1766</v>
      </c>
      <c r="C1358" s="4" t="s">
        <v>1765</v>
      </c>
      <c r="D1358" t="s">
        <v>1</v>
      </c>
      <c r="F1358" t="s">
        <v>1764</v>
      </c>
      <c r="G1358" s="3">
        <v>8297856595</v>
      </c>
      <c r="H1358" s="2">
        <v>46135</v>
      </c>
      <c r="K1358" s="1">
        <f ca="1">IF(A1358="","",IF(OR(L1358="ENTREGADA",L1358="RETORNADA",L1358="ENTREGA DIGITAL"),0,MAX(0,5-NETWORKDAYS(H1358+1,TODAY()))))</f>
        <v>0</v>
      </c>
      <c r="L1358">
        <f>IF(A1358="","",IFERROR(LOOKUP(2,1/(#REF!=Z1358),#REF!),Y1358))</f>
        <v>0</v>
      </c>
      <c r="Z1358" t="str">
        <f>IF(A1358="","",TEXT(A1358,"0")&amp;"|"&amp;TEXT(H1358,"0"))</f>
        <v>5415017742952110|46135</v>
      </c>
      <c r="AA1358" t="str">
        <f>IF(Z1358="","",IFERROR(LOOKUP(2,1/(#REF!=Z1358),#REF!),""))</f>
        <v/>
      </c>
      <c r="AB1358" t="str">
        <f>IF(Z1358="","",IFERROR(LOOKUP(2,1/(#REF!=Z1358),#REF!),""))</f>
        <v/>
      </c>
      <c r="AC1358" t="e">
        <f>IF(Z1358="","",COUNTIF(#REF!,Z1358))</f>
        <v>#REF!</v>
      </c>
      <c r="AD1358" t="e">
        <f>IF(A1358="","",IF(AC1358&gt;1,"REVISAR DUPLICADO",IF(AA1358&lt;&gt;"","ACTUALIZADO POR EYR","SIN REPORTE EYR")))</f>
        <v>#REF!</v>
      </c>
    </row>
    <row r="1359" spans="1:30" x14ac:dyDescent="0.3">
      <c r="A1359" s="5" t="s">
        <v>1763</v>
      </c>
      <c r="B1359" t="s">
        <v>1762</v>
      </c>
      <c r="C1359" s="4" t="s">
        <v>1761</v>
      </c>
      <c r="D1359" t="s">
        <v>1</v>
      </c>
      <c r="F1359" t="s">
        <v>1760</v>
      </c>
      <c r="G1359" s="3">
        <v>8298694109</v>
      </c>
      <c r="H1359" s="2">
        <v>46135</v>
      </c>
      <c r="K1359" s="1">
        <f ca="1">IF(A1359="","",IF(OR(L1359="ENTREGADA",L1359="RETORNADA",L1359="ENTREGA DIGITAL"),0,MAX(0,5-NETWORKDAYS(H1359+1,TODAY()))))</f>
        <v>0</v>
      </c>
      <c r="L1359">
        <f>IF(A1359="","",IFERROR(LOOKUP(2,1/(#REF!=Z1359),#REF!),Y1359))</f>
        <v>0</v>
      </c>
      <c r="Z1359" t="str">
        <f>IF(A1359="","",TEXT(A1359,"0")&amp;"|"&amp;TEXT(H1359,"0"))</f>
        <v>5415017893433370|46135</v>
      </c>
      <c r="AA1359" t="str">
        <f>IF(Z1359="","",IFERROR(LOOKUP(2,1/(#REF!=Z1359),#REF!),""))</f>
        <v/>
      </c>
      <c r="AB1359" t="str">
        <f>IF(Z1359="","",IFERROR(LOOKUP(2,1/(#REF!=Z1359),#REF!),""))</f>
        <v/>
      </c>
      <c r="AC1359" t="e">
        <f>IF(Z1359="","",COUNTIF(#REF!,Z1359))</f>
        <v>#REF!</v>
      </c>
      <c r="AD1359" t="e">
        <f>IF(A1359="","",IF(AC1359&gt;1,"REVISAR DUPLICADO",IF(AA1359&lt;&gt;"","ACTUALIZADO POR EYR","SIN REPORTE EYR")))</f>
        <v>#REF!</v>
      </c>
    </row>
    <row r="1360" spans="1:30" x14ac:dyDescent="0.3">
      <c r="A1360" s="5" t="s">
        <v>1759</v>
      </c>
      <c r="B1360" t="s">
        <v>1758</v>
      </c>
      <c r="C1360" s="4" t="s">
        <v>1757</v>
      </c>
      <c r="D1360" t="s">
        <v>1</v>
      </c>
      <c r="F1360" t="s">
        <v>13</v>
      </c>
      <c r="G1360" s="3">
        <v>8096885000</v>
      </c>
      <c r="H1360" s="2">
        <v>46135</v>
      </c>
      <c r="K1360" s="1">
        <f ca="1">IF(A1360="","",IF(OR(L1360="ENTREGADA",L1360="RETORNADA",L1360="ENTREGA DIGITAL"),0,MAX(0,5-NETWORKDAYS(H1360+1,TODAY()))))</f>
        <v>0</v>
      </c>
      <c r="L1360">
        <f>IF(A1360="","",IFERROR(LOOKUP(2,1/(#REF!=Z1360),#REF!),Y1360))</f>
        <v>0</v>
      </c>
      <c r="Z1360" t="str">
        <f>IF(A1360="","",TEXT(A1360,"0")&amp;"|"&amp;TEXT(H1360,"0"))</f>
        <v>5227017894866480|46135</v>
      </c>
      <c r="AA1360" t="str">
        <f>IF(Z1360="","",IFERROR(LOOKUP(2,1/(#REF!=Z1360),#REF!),""))</f>
        <v/>
      </c>
      <c r="AB1360" t="str">
        <f>IF(Z1360="","",IFERROR(LOOKUP(2,1/(#REF!=Z1360),#REF!),""))</f>
        <v/>
      </c>
      <c r="AC1360" t="e">
        <f>IF(Z1360="","",COUNTIF(#REF!,Z1360))</f>
        <v>#REF!</v>
      </c>
      <c r="AD1360" t="e">
        <f>IF(A1360="","",IF(AC1360&gt;1,"REVISAR DUPLICADO",IF(AA1360&lt;&gt;"","ACTUALIZADO POR EYR","SIN REPORTE EYR")))</f>
        <v>#REF!</v>
      </c>
    </row>
    <row r="1361" spans="1:30" x14ac:dyDescent="0.3">
      <c r="A1361" s="5" t="s">
        <v>1756</v>
      </c>
      <c r="B1361" t="s">
        <v>1755</v>
      </c>
      <c r="C1361" s="4" t="s">
        <v>1754</v>
      </c>
      <c r="D1361" t="s">
        <v>1</v>
      </c>
      <c r="E1361" t="s">
        <v>214</v>
      </c>
      <c r="F1361" t="s">
        <v>1753</v>
      </c>
      <c r="G1361" s="3">
        <v>8094841587</v>
      </c>
      <c r="H1361" s="2">
        <v>46135</v>
      </c>
      <c r="K1361" s="1">
        <f ca="1">IF(A1361="","",IF(OR(L1361="ENTREGADA",L1361="RETORNADA",L1361="ENTREGA DIGITAL"),0,MAX(0,5-NETWORKDAYS(H1361+1,TODAY()))))</f>
        <v>0</v>
      </c>
      <c r="L1361">
        <f>IF(A1361="","",IFERROR(LOOKUP(2,1/(#REF!=Z1361),#REF!),Y1361))</f>
        <v>0</v>
      </c>
      <c r="Z1361" t="str">
        <f>IF(A1361="","",TEXT(A1361,"0")&amp;"|"&amp;TEXT(H1361,"0"))</f>
        <v>5188017895422800|46135</v>
      </c>
      <c r="AA1361" t="str">
        <f>IF(Z1361="","",IFERROR(LOOKUP(2,1/(#REF!=Z1361),#REF!),""))</f>
        <v/>
      </c>
      <c r="AB1361" t="str">
        <f>IF(Z1361="","",IFERROR(LOOKUP(2,1/(#REF!=Z1361),#REF!),""))</f>
        <v/>
      </c>
      <c r="AC1361" t="e">
        <f>IF(Z1361="","",COUNTIF(#REF!,Z1361))</f>
        <v>#REF!</v>
      </c>
      <c r="AD1361" t="e">
        <f>IF(A1361="","",IF(AC1361&gt;1,"REVISAR DUPLICADO",IF(AA1361&lt;&gt;"","ACTUALIZADO POR EYR","SIN REPORTE EYR")))</f>
        <v>#REF!</v>
      </c>
    </row>
    <row r="1362" spans="1:30" x14ac:dyDescent="0.3">
      <c r="A1362" s="5" t="s">
        <v>1752</v>
      </c>
      <c r="B1362" t="s">
        <v>1751</v>
      </c>
      <c r="C1362" s="4" t="s">
        <v>1750</v>
      </c>
      <c r="D1362" t="s">
        <v>1</v>
      </c>
      <c r="F1362" t="s">
        <v>0</v>
      </c>
      <c r="G1362" s="3">
        <v>8095540870</v>
      </c>
      <c r="H1362" s="2">
        <v>46135</v>
      </c>
      <c r="I1362" t="s">
        <v>1397</v>
      </c>
      <c r="K1362" s="1">
        <f ca="1">IF(A1362="","",IF(OR(L1362="ENTREGADA",L1362="RETORNADA",L1362="ENTREGA DIGITAL"),0,MAX(0,5-NETWORKDAYS(H1362+1,TODAY()))))</f>
        <v>0</v>
      </c>
      <c r="L1362" t="str">
        <f>IF(A1362="","",IFERROR(LOOKUP(2,1/(#REF!=Z1362),#REF!),Y1362))</f>
        <v>ENTREGA DIGITAL</v>
      </c>
      <c r="Y1362" t="s">
        <v>1396</v>
      </c>
      <c r="Z1362" t="str">
        <f>IF(A1362="","",TEXT(A1362,"0")&amp;"|"&amp;TEXT(H1362,"0"))</f>
        <v>5188017817526170|46135</v>
      </c>
      <c r="AA1362" t="str">
        <f>IF(Z1362="","",IFERROR(LOOKUP(2,1/(#REF!=Z1362),#REF!),""))</f>
        <v/>
      </c>
      <c r="AB1362" t="str">
        <f>IF(Z1362="","",IFERROR(LOOKUP(2,1/(#REF!=Z1362),#REF!),""))</f>
        <v/>
      </c>
      <c r="AC1362" t="e">
        <f>IF(Z1362="","",COUNTIF(#REF!,Z1362))</f>
        <v>#REF!</v>
      </c>
      <c r="AD1362" t="e">
        <f>IF(A1362="","",IF(AC1362&gt;1,"REVISAR DUPLICADO",IF(AA1362&lt;&gt;"","ACTUALIZADO POR EYR","SIN REPORTE EYR")))</f>
        <v>#REF!</v>
      </c>
    </row>
    <row r="1363" spans="1:30" x14ac:dyDescent="0.3">
      <c r="A1363" s="5" t="s">
        <v>1749</v>
      </c>
      <c r="B1363" t="s">
        <v>1748</v>
      </c>
      <c r="C1363" s="4" t="s">
        <v>1747</v>
      </c>
      <c r="D1363" t="s">
        <v>1</v>
      </c>
      <c r="F1363" t="s">
        <v>0</v>
      </c>
      <c r="G1363" s="3">
        <v>8093485445</v>
      </c>
      <c r="H1363" s="2">
        <v>46135</v>
      </c>
      <c r="I1363" t="s">
        <v>1397</v>
      </c>
      <c r="K1363" s="1">
        <f ca="1">IF(A1363="","",IF(OR(L1363="ENTREGADA",L1363="RETORNADA",L1363="ENTREGA DIGITAL"),0,MAX(0,5-NETWORKDAYS(H1363+1,TODAY()))))</f>
        <v>0</v>
      </c>
      <c r="L1363" t="str">
        <f>IF(A1363="","",IFERROR(LOOKUP(2,1/(#REF!=Z1363),#REF!),Y1363))</f>
        <v>ENTREGA DIGITAL</v>
      </c>
      <c r="Y1363" t="s">
        <v>1396</v>
      </c>
      <c r="Z1363" t="str">
        <f>IF(A1363="","",TEXT(A1363,"0")&amp;"|"&amp;TEXT(H1363,"0"))</f>
        <v>5188017860260670|46135</v>
      </c>
      <c r="AA1363" t="str">
        <f>IF(Z1363="","",IFERROR(LOOKUP(2,1/(#REF!=Z1363),#REF!),""))</f>
        <v/>
      </c>
      <c r="AB1363" t="str">
        <f>IF(Z1363="","",IFERROR(LOOKUP(2,1/(#REF!=Z1363),#REF!),""))</f>
        <v/>
      </c>
      <c r="AC1363" t="e">
        <f>IF(Z1363="","",COUNTIF(#REF!,Z1363))</f>
        <v>#REF!</v>
      </c>
      <c r="AD1363" t="e">
        <f>IF(A1363="","",IF(AC1363&gt;1,"REVISAR DUPLICADO",IF(AA1363&lt;&gt;"","ACTUALIZADO POR EYR","SIN REPORTE EYR")))</f>
        <v>#REF!</v>
      </c>
    </row>
    <row r="1364" spans="1:30" x14ac:dyDescent="0.3">
      <c r="A1364" s="5" t="s">
        <v>1746</v>
      </c>
      <c r="B1364" t="s">
        <v>1745</v>
      </c>
      <c r="C1364" s="4" t="s">
        <v>1744</v>
      </c>
      <c r="D1364" t="s">
        <v>1</v>
      </c>
      <c r="F1364" t="s">
        <v>13</v>
      </c>
      <c r="G1364" s="3">
        <v>8494310191</v>
      </c>
      <c r="H1364" s="2">
        <v>46135</v>
      </c>
      <c r="K1364" s="1">
        <f ca="1">IF(A1364="","",IF(OR(L1364="ENTREGADA",L1364="RETORNADA",L1364="ENTREGA DIGITAL"),0,MAX(0,5-NETWORKDAYS(H1364+1,TODAY()))))</f>
        <v>0</v>
      </c>
      <c r="L1364">
        <f>IF(A1364="","",IFERROR(LOOKUP(2,1/(#REF!=Z1364),#REF!),Y1364))</f>
        <v>0</v>
      </c>
      <c r="Z1364" t="str">
        <f>IF(A1364="","",TEXT(A1364,"0")&amp;"|"&amp;TEXT(H1364,"0"))</f>
        <v>4921017895722920|46135</v>
      </c>
      <c r="AA1364" t="str">
        <f>IF(Z1364="","",IFERROR(LOOKUP(2,1/(#REF!=Z1364),#REF!),""))</f>
        <v/>
      </c>
      <c r="AB1364" t="str">
        <f>IF(Z1364="","",IFERROR(LOOKUP(2,1/(#REF!=Z1364),#REF!),""))</f>
        <v/>
      </c>
      <c r="AC1364" t="e">
        <f>IF(Z1364="","",COUNTIF(#REF!,Z1364))</f>
        <v>#REF!</v>
      </c>
      <c r="AD1364" t="e">
        <f>IF(A1364="","",IF(AC1364&gt;1,"REVISAR DUPLICADO",IF(AA1364&lt;&gt;"","ACTUALIZADO POR EYR","SIN REPORTE EYR")))</f>
        <v>#REF!</v>
      </c>
    </row>
    <row r="1365" spans="1:30" x14ac:dyDescent="0.3">
      <c r="A1365" s="5" t="s">
        <v>1743</v>
      </c>
      <c r="B1365" t="s">
        <v>1742</v>
      </c>
      <c r="C1365" s="4" t="s">
        <v>1741</v>
      </c>
      <c r="D1365" t="s">
        <v>1</v>
      </c>
      <c r="F1365" t="s">
        <v>13</v>
      </c>
      <c r="G1365" s="3">
        <v>8292066571</v>
      </c>
      <c r="H1365" s="2">
        <v>46135</v>
      </c>
      <c r="K1365" s="1">
        <f ca="1">IF(A1365="","",IF(OR(L1365="ENTREGADA",L1365="RETORNADA",L1365="ENTREGA DIGITAL"),0,MAX(0,5-NETWORKDAYS(H1365+1,TODAY()))))</f>
        <v>0</v>
      </c>
      <c r="L1365">
        <f>IF(A1365="","",IFERROR(LOOKUP(2,1/(#REF!=Z1365),#REF!),Y1365))</f>
        <v>0</v>
      </c>
      <c r="Z1365" t="str">
        <f>IF(A1365="","",TEXT(A1365,"0")&amp;"|"&amp;TEXT(H1365,"0"))</f>
        <v>4921017897445290|46135</v>
      </c>
      <c r="AA1365" t="str">
        <f>IF(Z1365="","",IFERROR(LOOKUP(2,1/(#REF!=Z1365),#REF!),""))</f>
        <v/>
      </c>
      <c r="AB1365" t="str">
        <f>IF(Z1365="","",IFERROR(LOOKUP(2,1/(#REF!=Z1365),#REF!),""))</f>
        <v/>
      </c>
      <c r="AC1365" t="e">
        <f>IF(Z1365="","",COUNTIF(#REF!,Z1365))</f>
        <v>#REF!</v>
      </c>
      <c r="AD1365" t="e">
        <f>IF(A1365="","",IF(AC1365&gt;1,"REVISAR DUPLICADO",IF(AA1365&lt;&gt;"","ACTUALIZADO POR EYR","SIN REPORTE EYR")))</f>
        <v>#REF!</v>
      </c>
    </row>
    <row r="1366" spans="1:30" x14ac:dyDescent="0.3">
      <c r="A1366" s="5" t="s">
        <v>1740</v>
      </c>
      <c r="B1366" t="s">
        <v>1739</v>
      </c>
      <c r="C1366" s="4" t="s">
        <v>1738</v>
      </c>
      <c r="D1366" t="s">
        <v>1</v>
      </c>
      <c r="F1366" t="s">
        <v>0</v>
      </c>
      <c r="G1366" s="3">
        <v>8093494956</v>
      </c>
      <c r="H1366" s="2">
        <v>46136</v>
      </c>
      <c r="K1366" s="1">
        <f ca="1">IF(A1366="","",IF(OR(L1366="ENTREGADA",L1366="RETORNADA",L1366="ENTREGA DIGITAL"),0,MAX(0,5-NETWORKDAYS(H1366+1,TODAY()))))</f>
        <v>0</v>
      </c>
      <c r="L1366">
        <f>IF(A1366="","",IFERROR(LOOKUP(2,1/(#REF!=Z1366),#REF!),Y1366))</f>
        <v>0</v>
      </c>
      <c r="Z1366" t="str">
        <f>IF(A1366="","",TEXT(A1366,"0")&amp;"|"&amp;TEXT(H1366,"0"))</f>
        <v>5400017672942220|46136</v>
      </c>
      <c r="AA1366" t="str">
        <f>IF(Z1366="","",IFERROR(LOOKUP(2,1/(#REF!=Z1366),#REF!),""))</f>
        <v/>
      </c>
      <c r="AB1366" t="str">
        <f>IF(Z1366="","",IFERROR(LOOKUP(2,1/(#REF!=Z1366),#REF!),""))</f>
        <v/>
      </c>
      <c r="AC1366" t="e">
        <f>IF(Z1366="","",COUNTIF(#REF!,Z1366))</f>
        <v>#REF!</v>
      </c>
      <c r="AD1366" t="e">
        <f>IF(A1366="","",IF(AC1366&gt;1,"REVISAR DUPLICADO",IF(AA1366&lt;&gt;"","ACTUALIZADO POR EYR","SIN REPORTE EYR")))</f>
        <v>#REF!</v>
      </c>
    </row>
    <row r="1367" spans="1:30" x14ac:dyDescent="0.3">
      <c r="A1367" s="5" t="s">
        <v>1737</v>
      </c>
      <c r="B1367" t="s">
        <v>1736</v>
      </c>
      <c r="C1367" s="4" t="s">
        <v>1735</v>
      </c>
      <c r="D1367" t="s">
        <v>1</v>
      </c>
      <c r="F1367" t="s">
        <v>13</v>
      </c>
      <c r="G1367" s="3">
        <v>8094275216</v>
      </c>
      <c r="H1367" s="2">
        <v>46136</v>
      </c>
      <c r="K1367" s="1">
        <f ca="1">IF(A1367="","",IF(OR(L1367="ENTREGADA",L1367="RETORNADA",L1367="ENTREGA DIGITAL"),0,MAX(0,5-NETWORKDAYS(H1367+1,TODAY()))))</f>
        <v>0</v>
      </c>
      <c r="L1367">
        <f>IF(A1367="","",IFERROR(LOOKUP(2,1/(#REF!=Z1367),#REF!),Y1367))</f>
        <v>0</v>
      </c>
      <c r="Z1367" t="str">
        <f>IF(A1367="","",TEXT(A1367,"0")&amp;"|"&amp;TEXT(H1367,"0"))</f>
        <v>4966017906985610|46136</v>
      </c>
      <c r="AA1367" t="str">
        <f>IF(Z1367="","",IFERROR(LOOKUP(2,1/(#REF!=Z1367),#REF!),""))</f>
        <v/>
      </c>
      <c r="AB1367" t="str">
        <f>IF(Z1367="","",IFERROR(LOOKUP(2,1/(#REF!=Z1367),#REF!),""))</f>
        <v/>
      </c>
      <c r="AC1367" t="e">
        <f>IF(Z1367="","",COUNTIF(#REF!,Z1367))</f>
        <v>#REF!</v>
      </c>
      <c r="AD1367" t="e">
        <f>IF(A1367="","",IF(AC1367&gt;1,"REVISAR DUPLICADO",IF(AA1367&lt;&gt;"","ACTUALIZADO POR EYR","SIN REPORTE EYR")))</f>
        <v>#REF!</v>
      </c>
    </row>
    <row r="1368" spans="1:30" x14ac:dyDescent="0.3">
      <c r="A1368" s="5" t="s">
        <v>1734</v>
      </c>
      <c r="B1368" t="s">
        <v>1733</v>
      </c>
      <c r="C1368" s="4" t="s">
        <v>1732</v>
      </c>
      <c r="D1368" t="s">
        <v>1</v>
      </c>
      <c r="F1368" t="s">
        <v>9</v>
      </c>
      <c r="G1368" s="3">
        <v>8097814021</v>
      </c>
      <c r="H1368" s="2">
        <v>46136</v>
      </c>
      <c r="K1368" s="1">
        <f ca="1">IF(A1368="","",IF(OR(L1368="ENTREGADA",L1368="RETORNADA",L1368="ENTREGA DIGITAL"),0,MAX(0,5-NETWORKDAYS(H1368+1,TODAY()))))</f>
        <v>0</v>
      </c>
      <c r="L1368">
        <f>IF(A1368="","",IFERROR(LOOKUP(2,1/(#REF!=Z1368),#REF!),Y1368))</f>
        <v>0</v>
      </c>
      <c r="Z1368" t="str">
        <f>IF(A1368="","",TEXT(A1368,"0")&amp;"|"&amp;TEXT(H1368,"0"))</f>
        <v>5188017905506610|46136</v>
      </c>
      <c r="AA1368" t="str">
        <f>IF(Z1368="","",IFERROR(LOOKUP(2,1/(#REF!=Z1368),#REF!),""))</f>
        <v/>
      </c>
      <c r="AB1368" t="str">
        <f>IF(Z1368="","",IFERROR(LOOKUP(2,1/(#REF!=Z1368),#REF!),""))</f>
        <v/>
      </c>
      <c r="AC1368" t="e">
        <f>IF(Z1368="","",COUNTIF(#REF!,Z1368))</f>
        <v>#REF!</v>
      </c>
      <c r="AD1368" t="e">
        <f>IF(A1368="","",IF(AC1368&gt;1,"REVISAR DUPLICADO",IF(AA1368&lt;&gt;"","ACTUALIZADO POR EYR","SIN REPORTE EYR")))</f>
        <v>#REF!</v>
      </c>
    </row>
    <row r="1369" spans="1:30" x14ac:dyDescent="0.3">
      <c r="A1369" s="5" t="s">
        <v>1731</v>
      </c>
      <c r="B1369" t="s">
        <v>1730</v>
      </c>
      <c r="C1369" s="4" t="s">
        <v>1729</v>
      </c>
      <c r="D1369" t="s">
        <v>1</v>
      </c>
      <c r="F1369" t="s">
        <v>13</v>
      </c>
      <c r="G1369" s="3">
        <v>8492097443</v>
      </c>
      <c r="H1369" s="2">
        <v>46136</v>
      </c>
      <c r="K1369" s="1">
        <f ca="1">IF(A1369="","",IF(OR(L1369="ENTREGADA",L1369="RETORNADA",L1369="ENTREGA DIGITAL"),0,MAX(0,5-NETWORKDAYS(H1369+1,TODAY()))))</f>
        <v>0</v>
      </c>
      <c r="L1369">
        <f>IF(A1369="","",IFERROR(LOOKUP(2,1/(#REF!=Z1369),#REF!),Y1369))</f>
        <v>0</v>
      </c>
      <c r="Z1369" t="str">
        <f>IF(A1369="","",TEXT(A1369,"0")&amp;"|"&amp;TEXT(H1369,"0"))</f>
        <v>5188017873479830|46136</v>
      </c>
      <c r="AA1369" t="str">
        <f>IF(Z1369="","",IFERROR(LOOKUP(2,1/(#REF!=Z1369),#REF!),""))</f>
        <v/>
      </c>
      <c r="AB1369" t="str">
        <f>IF(Z1369="","",IFERROR(LOOKUP(2,1/(#REF!=Z1369),#REF!),""))</f>
        <v/>
      </c>
      <c r="AC1369" t="e">
        <f>IF(Z1369="","",COUNTIF(#REF!,Z1369))</f>
        <v>#REF!</v>
      </c>
      <c r="AD1369" t="e">
        <f>IF(A1369="","",IF(AC1369&gt;1,"REVISAR DUPLICADO",IF(AA1369&lt;&gt;"","ACTUALIZADO POR EYR","SIN REPORTE EYR")))</f>
        <v>#REF!</v>
      </c>
    </row>
    <row r="1370" spans="1:30" x14ac:dyDescent="0.3">
      <c r="A1370" s="5" t="s">
        <v>1728</v>
      </c>
      <c r="B1370" t="s">
        <v>1727</v>
      </c>
      <c r="C1370" s="4" t="s">
        <v>1726</v>
      </c>
      <c r="D1370" t="s">
        <v>600</v>
      </c>
      <c r="F1370" t="s">
        <v>13</v>
      </c>
      <c r="G1370" s="3">
        <v>8292060758</v>
      </c>
      <c r="H1370" s="2">
        <v>46136</v>
      </c>
      <c r="K1370" s="1">
        <f ca="1">IF(A1370="","",IF(OR(L1370="ENTREGADA",L1370="RETORNADA",L1370="ENTREGA DIGITAL"),0,MAX(0,5-NETWORKDAYS(H1370+1,TODAY()))))</f>
        <v>0</v>
      </c>
      <c r="L1370">
        <f>IF(A1370="","",IFERROR(LOOKUP(2,1/(#REF!=Z1370),#REF!),Y1370))</f>
        <v>0</v>
      </c>
      <c r="Z1370" t="str">
        <f>IF(A1370="","",TEXT(A1370,"0")&amp;"|"&amp;TEXT(H1370,"0"))</f>
        <v>4921017806511080|46136</v>
      </c>
      <c r="AA1370" t="str">
        <f>IF(Z1370="","",IFERROR(LOOKUP(2,1/(#REF!=Z1370),#REF!),""))</f>
        <v/>
      </c>
      <c r="AB1370" t="str">
        <f>IF(Z1370="","",IFERROR(LOOKUP(2,1/(#REF!=Z1370),#REF!),""))</f>
        <v/>
      </c>
      <c r="AC1370" t="e">
        <f>IF(Z1370="","",COUNTIF(#REF!,Z1370))</f>
        <v>#REF!</v>
      </c>
      <c r="AD1370" t="e">
        <f>IF(A1370="","",IF(AC1370&gt;1,"REVISAR DUPLICADO",IF(AA1370&lt;&gt;"","ACTUALIZADO POR EYR","SIN REPORTE EYR")))</f>
        <v>#REF!</v>
      </c>
    </row>
    <row r="1371" spans="1:30" x14ac:dyDescent="0.3">
      <c r="A1371" s="5" t="s">
        <v>1725</v>
      </c>
      <c r="B1371" t="s">
        <v>1724</v>
      </c>
      <c r="C1371" s="4" t="s">
        <v>1723</v>
      </c>
      <c r="D1371" t="s">
        <v>600</v>
      </c>
      <c r="F1371" t="s">
        <v>1722</v>
      </c>
      <c r="G1371" s="3">
        <v>8494528251</v>
      </c>
      <c r="H1371" s="2">
        <v>46136</v>
      </c>
      <c r="K1371" s="1">
        <f ca="1">IF(A1371="","",IF(OR(L1371="ENTREGADA",L1371="RETORNADA",L1371="ENTREGA DIGITAL"),0,MAX(0,5-NETWORKDAYS(H1371+1,TODAY()))))</f>
        <v>0</v>
      </c>
      <c r="L1371">
        <f>IF(A1371="","",IFERROR(LOOKUP(2,1/(#REF!=Z1371),#REF!),Y1371))</f>
        <v>0</v>
      </c>
      <c r="Z1371" t="str">
        <f>IF(A1371="","",TEXT(A1371,"0")&amp;"|"&amp;TEXT(H1371,"0"))</f>
        <v>4921017807348750|46136</v>
      </c>
      <c r="AA1371" t="str">
        <f>IF(Z1371="","",IFERROR(LOOKUP(2,1/(#REF!=Z1371),#REF!),""))</f>
        <v/>
      </c>
      <c r="AB1371" t="str">
        <f>IF(Z1371="","",IFERROR(LOOKUP(2,1/(#REF!=Z1371),#REF!),""))</f>
        <v/>
      </c>
      <c r="AC1371" t="e">
        <f>IF(Z1371="","",COUNTIF(#REF!,Z1371))</f>
        <v>#REF!</v>
      </c>
      <c r="AD1371" t="e">
        <f>IF(A1371="","",IF(AC1371&gt;1,"REVISAR DUPLICADO",IF(AA1371&lt;&gt;"","ACTUALIZADO POR EYR","SIN REPORTE EYR")))</f>
        <v>#REF!</v>
      </c>
    </row>
    <row r="1372" spans="1:30" x14ac:dyDescent="0.3">
      <c r="A1372" s="5" t="s">
        <v>1721</v>
      </c>
      <c r="B1372" t="s">
        <v>1720</v>
      </c>
      <c r="C1372" s="4" t="s">
        <v>1719</v>
      </c>
      <c r="D1372" t="s">
        <v>600</v>
      </c>
      <c r="F1372" t="s">
        <v>1718</v>
      </c>
      <c r="G1372" s="3">
        <v>8297824063</v>
      </c>
      <c r="H1372" s="2">
        <v>46136</v>
      </c>
      <c r="K1372" s="1">
        <f ca="1">IF(A1372="","",IF(OR(L1372="ENTREGADA",L1372="RETORNADA",L1372="ENTREGA DIGITAL"),0,MAX(0,5-NETWORKDAYS(H1372+1,TODAY()))))</f>
        <v>0</v>
      </c>
      <c r="L1372">
        <f>IF(A1372="","",IFERROR(LOOKUP(2,1/(#REF!=Z1372),#REF!),Y1372))</f>
        <v>0</v>
      </c>
      <c r="Z1372" t="str">
        <f>IF(A1372="","",TEXT(A1372,"0")&amp;"|"&amp;TEXT(H1372,"0"))</f>
        <v>4921017853238620|46136</v>
      </c>
      <c r="AA1372" t="str">
        <f>IF(Z1372="","",IFERROR(LOOKUP(2,1/(#REF!=Z1372),#REF!),""))</f>
        <v/>
      </c>
      <c r="AB1372" t="str">
        <f>IF(Z1372="","",IFERROR(LOOKUP(2,1/(#REF!=Z1372),#REF!),""))</f>
        <v/>
      </c>
      <c r="AC1372" t="e">
        <f>IF(Z1372="","",COUNTIF(#REF!,Z1372))</f>
        <v>#REF!</v>
      </c>
      <c r="AD1372" t="e">
        <f>IF(A1372="","",IF(AC1372&gt;1,"REVISAR DUPLICADO",IF(AA1372&lt;&gt;"","ACTUALIZADO POR EYR","SIN REPORTE EYR")))</f>
        <v>#REF!</v>
      </c>
    </row>
    <row r="1373" spans="1:30" x14ac:dyDescent="0.3">
      <c r="A1373" s="5" t="s">
        <v>1717</v>
      </c>
      <c r="B1373" t="s">
        <v>1716</v>
      </c>
      <c r="C1373" s="4" t="s">
        <v>1715</v>
      </c>
      <c r="D1373" t="s">
        <v>600</v>
      </c>
      <c r="F1373" t="s">
        <v>0</v>
      </c>
      <c r="G1373" s="3">
        <v>2380595</v>
      </c>
      <c r="H1373" s="2">
        <v>46136</v>
      </c>
      <c r="K1373" s="1">
        <f ca="1">IF(A1373="","",IF(OR(L1373="ENTREGADA",L1373="RETORNADA",L1373="ENTREGA DIGITAL"),0,MAX(0,5-NETWORKDAYS(H1373+1,TODAY()))))</f>
        <v>0</v>
      </c>
      <c r="L1373">
        <f>IF(A1373="","",IFERROR(LOOKUP(2,1/(#REF!=Z1373),#REF!),Y1373))</f>
        <v>0</v>
      </c>
      <c r="Z1373" t="str">
        <f>IF(A1373="","",TEXT(A1373,"0")&amp;"|"&amp;TEXT(H1373,"0"))</f>
        <v>5415017867980090|46136</v>
      </c>
      <c r="AA1373" t="str">
        <f>IF(Z1373="","",IFERROR(LOOKUP(2,1/(#REF!=Z1373),#REF!),""))</f>
        <v/>
      </c>
      <c r="AB1373" t="str">
        <f>IF(Z1373="","",IFERROR(LOOKUP(2,1/(#REF!=Z1373),#REF!),""))</f>
        <v/>
      </c>
      <c r="AC1373" t="e">
        <f>IF(Z1373="","",COUNTIF(#REF!,Z1373))</f>
        <v>#REF!</v>
      </c>
      <c r="AD1373" t="e">
        <f>IF(A1373="","",IF(AC1373&gt;1,"REVISAR DUPLICADO",IF(AA1373&lt;&gt;"","ACTUALIZADO POR EYR","SIN REPORTE EYR")))</f>
        <v>#REF!</v>
      </c>
    </row>
    <row r="1374" spans="1:30" x14ac:dyDescent="0.3">
      <c r="A1374" s="5" t="s">
        <v>1714</v>
      </c>
      <c r="B1374" t="s">
        <v>1713</v>
      </c>
      <c r="C1374" s="4" t="s">
        <v>1712</v>
      </c>
      <c r="D1374" t="s">
        <v>600</v>
      </c>
      <c r="F1374" t="s">
        <v>1711</v>
      </c>
      <c r="G1374" s="3">
        <v>8095640721</v>
      </c>
      <c r="H1374" s="2">
        <v>46136</v>
      </c>
      <c r="K1374" s="1">
        <f ca="1">IF(A1374="","",IF(OR(L1374="ENTREGADA",L1374="RETORNADA",L1374="ENTREGA DIGITAL"),0,MAX(0,5-NETWORKDAYS(H1374+1,TODAY()))))</f>
        <v>0</v>
      </c>
      <c r="L1374">
        <f>IF(A1374="","",IFERROR(LOOKUP(2,1/(#REF!=Z1374),#REF!),Y1374))</f>
        <v>0</v>
      </c>
      <c r="Z1374" t="str">
        <f>IF(A1374="","",TEXT(A1374,"0")&amp;"|"&amp;TEXT(H1374,"0"))</f>
        <v>5192017755235970|46136</v>
      </c>
      <c r="AA1374" t="str">
        <f>IF(Z1374="","",IFERROR(LOOKUP(2,1/(#REF!=Z1374),#REF!),""))</f>
        <v/>
      </c>
      <c r="AB1374" t="str">
        <f>IF(Z1374="","",IFERROR(LOOKUP(2,1/(#REF!=Z1374),#REF!),""))</f>
        <v/>
      </c>
      <c r="AC1374" t="e">
        <f>IF(Z1374="","",COUNTIF(#REF!,Z1374))</f>
        <v>#REF!</v>
      </c>
      <c r="AD1374" t="e">
        <f>IF(A1374="","",IF(AC1374&gt;1,"REVISAR DUPLICADO",IF(AA1374&lt;&gt;"","ACTUALIZADO POR EYR","SIN REPORTE EYR")))</f>
        <v>#REF!</v>
      </c>
    </row>
    <row r="1375" spans="1:30" x14ac:dyDescent="0.3">
      <c r="A1375" s="5" t="s">
        <v>1710</v>
      </c>
      <c r="B1375" t="s">
        <v>1709</v>
      </c>
      <c r="C1375" s="4" t="s">
        <v>1708</v>
      </c>
      <c r="D1375" t="s">
        <v>600</v>
      </c>
      <c r="F1375" t="s">
        <v>13</v>
      </c>
      <c r="G1375" s="3">
        <v>3219618839</v>
      </c>
      <c r="H1375" s="2">
        <v>46136</v>
      </c>
      <c r="K1375" s="1">
        <f ca="1">IF(A1375="","",IF(OR(L1375="ENTREGADA",L1375="RETORNADA",L1375="ENTREGA DIGITAL"),0,MAX(0,5-NETWORKDAYS(H1375+1,TODAY()))))</f>
        <v>0</v>
      </c>
      <c r="L1375">
        <f>IF(A1375="","",IFERROR(LOOKUP(2,1/(#REF!=Z1375),#REF!),Y1375))</f>
        <v>0</v>
      </c>
      <c r="Z1375" t="str">
        <f>IF(A1375="","",TEXT(A1375,"0")&amp;"|"&amp;TEXT(H1375,"0"))</f>
        <v>5188017801361960|46136</v>
      </c>
      <c r="AA1375" t="str">
        <f>IF(Z1375="","",IFERROR(LOOKUP(2,1/(#REF!=Z1375),#REF!),""))</f>
        <v/>
      </c>
      <c r="AB1375" t="str">
        <f>IF(Z1375="","",IFERROR(LOOKUP(2,1/(#REF!=Z1375),#REF!),""))</f>
        <v/>
      </c>
      <c r="AC1375" t="e">
        <f>IF(Z1375="","",COUNTIF(#REF!,Z1375))</f>
        <v>#REF!</v>
      </c>
      <c r="AD1375" t="e">
        <f>IF(A1375="","",IF(AC1375&gt;1,"REVISAR DUPLICADO",IF(AA1375&lt;&gt;"","ACTUALIZADO POR EYR","SIN REPORTE EYR")))</f>
        <v>#REF!</v>
      </c>
    </row>
    <row r="1376" spans="1:30" x14ac:dyDescent="0.3">
      <c r="A1376" s="5" t="s">
        <v>1707</v>
      </c>
      <c r="B1376" t="s">
        <v>1706</v>
      </c>
      <c r="C1376" s="4" t="s">
        <v>1705</v>
      </c>
      <c r="D1376" t="s">
        <v>1658</v>
      </c>
      <c r="F1376" t="s">
        <v>1704</v>
      </c>
      <c r="G1376" s="3">
        <v>8294360727</v>
      </c>
      <c r="H1376" s="2">
        <v>46136</v>
      </c>
      <c r="K1376" s="1">
        <f ca="1">IF(A1376="","",IF(OR(L1376="ENTREGADA",L1376="RETORNADA",L1376="ENTREGA DIGITAL"),0,MAX(0,5-NETWORKDAYS(H1376+1,TODAY()))))</f>
        <v>0</v>
      </c>
      <c r="L1376">
        <f>IF(A1376="","",IFERROR(LOOKUP(2,1/(#REF!=Z1376),#REF!),Y1376))</f>
        <v>0</v>
      </c>
      <c r="Z1376" t="str">
        <f>IF(A1376="","",TEXT(A1376,"0")&amp;"|"&amp;TEXT(H1376,"0"))</f>
        <v>5400017894829030|46136</v>
      </c>
      <c r="AA1376" t="str">
        <f>IF(Z1376="","",IFERROR(LOOKUP(2,1/(#REF!=Z1376),#REF!),""))</f>
        <v/>
      </c>
      <c r="AB1376" t="str">
        <f>IF(Z1376="","",IFERROR(LOOKUP(2,1/(#REF!=Z1376),#REF!),""))</f>
        <v/>
      </c>
      <c r="AC1376" t="e">
        <f>IF(Z1376="","",COUNTIF(#REF!,Z1376))</f>
        <v>#REF!</v>
      </c>
      <c r="AD1376" t="e">
        <f>IF(A1376="","",IF(AC1376&gt;1,"REVISAR DUPLICADO",IF(AA1376&lt;&gt;"","ACTUALIZADO POR EYR","SIN REPORTE EYR")))</f>
        <v>#REF!</v>
      </c>
    </row>
    <row r="1377" spans="1:30" x14ac:dyDescent="0.3">
      <c r="A1377" s="5" t="s">
        <v>1703</v>
      </c>
      <c r="B1377" t="s">
        <v>1702</v>
      </c>
      <c r="C1377" s="4" t="s">
        <v>1701</v>
      </c>
      <c r="D1377" t="s">
        <v>600</v>
      </c>
      <c r="F1377" t="s">
        <v>1700</v>
      </c>
      <c r="G1377" s="3">
        <v>8295739974</v>
      </c>
      <c r="H1377" s="2">
        <v>46136</v>
      </c>
      <c r="K1377" s="1">
        <f ca="1">IF(A1377="","",IF(OR(L1377="ENTREGADA",L1377="RETORNADA",L1377="ENTREGA DIGITAL"),0,MAX(0,5-NETWORKDAYS(H1377+1,TODAY()))))</f>
        <v>0</v>
      </c>
      <c r="L1377">
        <f>IF(A1377="","",IFERROR(LOOKUP(2,1/(#REF!=Z1377),#REF!),Y1377))</f>
        <v>0</v>
      </c>
      <c r="Z1377" t="str">
        <f>IF(A1377="","",TEXT(A1377,"0")&amp;"|"&amp;TEXT(H1377,"0"))</f>
        <v>4921017885719420|46136</v>
      </c>
      <c r="AA1377" t="str">
        <f>IF(Z1377="","",IFERROR(LOOKUP(2,1/(#REF!=Z1377),#REF!),""))</f>
        <v/>
      </c>
      <c r="AB1377" t="str">
        <f>IF(Z1377="","",IFERROR(LOOKUP(2,1/(#REF!=Z1377),#REF!),""))</f>
        <v/>
      </c>
      <c r="AC1377" t="e">
        <f>IF(Z1377="","",COUNTIF(#REF!,Z1377))</f>
        <v>#REF!</v>
      </c>
      <c r="AD1377" t="e">
        <f>IF(A1377="","",IF(AC1377&gt;1,"REVISAR DUPLICADO",IF(AA1377&lt;&gt;"","ACTUALIZADO POR EYR","SIN REPORTE EYR")))</f>
        <v>#REF!</v>
      </c>
    </row>
    <row r="1378" spans="1:30" x14ac:dyDescent="0.3">
      <c r="A1378" s="5" t="s">
        <v>1699</v>
      </c>
      <c r="B1378" t="s">
        <v>1698</v>
      </c>
      <c r="C1378" s="4" t="s">
        <v>1697</v>
      </c>
      <c r="D1378" t="s">
        <v>600</v>
      </c>
      <c r="F1378" t="s">
        <v>1696</v>
      </c>
      <c r="G1378" s="3">
        <v>8494501204</v>
      </c>
      <c r="H1378" s="2">
        <v>46136</v>
      </c>
      <c r="K1378" s="1">
        <f ca="1">IF(A1378="","",IF(OR(L1378="ENTREGADA",L1378="RETORNADA",L1378="ENTREGA DIGITAL"),0,MAX(0,5-NETWORKDAYS(H1378+1,TODAY()))))</f>
        <v>0</v>
      </c>
      <c r="L1378">
        <f>IF(A1378="","",IFERROR(LOOKUP(2,1/(#REF!=Z1378),#REF!),Y1378))</f>
        <v>0</v>
      </c>
      <c r="Z1378" t="str">
        <f>IF(A1378="","",TEXT(A1378,"0")&amp;"|"&amp;TEXT(H1378,"0"))</f>
        <v>4921017896814050|46136</v>
      </c>
      <c r="AA1378" t="str">
        <f>IF(Z1378="","",IFERROR(LOOKUP(2,1/(#REF!=Z1378),#REF!),""))</f>
        <v/>
      </c>
      <c r="AB1378" t="str">
        <f>IF(Z1378="","",IFERROR(LOOKUP(2,1/(#REF!=Z1378),#REF!),""))</f>
        <v/>
      </c>
      <c r="AC1378" t="e">
        <f>IF(Z1378="","",COUNTIF(#REF!,Z1378))</f>
        <v>#REF!</v>
      </c>
      <c r="AD1378" t="e">
        <f>IF(A1378="","",IF(AC1378&gt;1,"REVISAR DUPLICADO",IF(AA1378&lt;&gt;"","ACTUALIZADO POR EYR","SIN REPORTE EYR")))</f>
        <v>#REF!</v>
      </c>
    </row>
    <row r="1379" spans="1:30" x14ac:dyDescent="0.3">
      <c r="A1379" s="5" t="s">
        <v>1695</v>
      </c>
      <c r="B1379" t="s">
        <v>1694</v>
      </c>
      <c r="C1379" s="4" t="s">
        <v>1693</v>
      </c>
      <c r="D1379" t="s">
        <v>600</v>
      </c>
      <c r="F1379" t="s">
        <v>1692</v>
      </c>
      <c r="G1379" s="3">
        <v>8298620104</v>
      </c>
      <c r="H1379" s="2">
        <v>46136</v>
      </c>
      <c r="K1379" s="1">
        <f ca="1">IF(A1379="","",IF(OR(L1379="ENTREGADA",L1379="RETORNADA",L1379="ENTREGA DIGITAL"),0,MAX(0,5-NETWORKDAYS(H1379+1,TODAY()))))</f>
        <v>0</v>
      </c>
      <c r="L1379">
        <f>IF(A1379="","",IFERROR(LOOKUP(2,1/(#REF!=Z1379),#REF!),Y1379))</f>
        <v>0</v>
      </c>
      <c r="Z1379" t="str">
        <f>IF(A1379="","",TEXT(A1379,"0")&amp;"|"&amp;TEXT(H1379,"0"))</f>
        <v>5188017895277820|46136</v>
      </c>
      <c r="AA1379" t="str">
        <f>IF(Z1379="","",IFERROR(LOOKUP(2,1/(#REF!=Z1379),#REF!),""))</f>
        <v/>
      </c>
      <c r="AB1379" t="str">
        <f>IF(Z1379="","",IFERROR(LOOKUP(2,1/(#REF!=Z1379),#REF!),""))</f>
        <v/>
      </c>
      <c r="AC1379" t="e">
        <f>IF(Z1379="","",COUNTIF(#REF!,Z1379))</f>
        <v>#REF!</v>
      </c>
      <c r="AD1379" t="e">
        <f>IF(A1379="","",IF(AC1379&gt;1,"REVISAR DUPLICADO",IF(AA1379&lt;&gt;"","ACTUALIZADO POR EYR","SIN REPORTE EYR")))</f>
        <v>#REF!</v>
      </c>
    </row>
    <row r="1380" spans="1:30" x14ac:dyDescent="0.3">
      <c r="A1380" s="5" t="s">
        <v>1691</v>
      </c>
      <c r="B1380" t="s">
        <v>1690</v>
      </c>
      <c r="C1380" s="4" t="s">
        <v>1689</v>
      </c>
      <c r="D1380" t="s">
        <v>1658</v>
      </c>
      <c r="F1380" t="s">
        <v>1688</v>
      </c>
      <c r="G1380" s="3">
        <v>8096603286</v>
      </c>
      <c r="H1380" s="2">
        <v>46136</v>
      </c>
      <c r="K1380" s="1">
        <f ca="1">IF(A1380="","",IF(OR(L1380="ENTREGADA",L1380="RETORNADA",L1380="ENTREGA DIGITAL"),0,MAX(0,5-NETWORKDAYS(H1380+1,TODAY()))))</f>
        <v>0</v>
      </c>
      <c r="L1380">
        <f>IF(A1380="","",IFERROR(LOOKUP(2,1/(#REF!=Z1380),#REF!),Y1380))</f>
        <v>0</v>
      </c>
      <c r="Z1380" t="str">
        <f>IF(A1380="","",TEXT(A1380,"0")&amp;"|"&amp;TEXT(H1380,"0"))</f>
        <v>4921017896181230|46136</v>
      </c>
      <c r="AA1380" t="str">
        <f>IF(Z1380="","",IFERROR(LOOKUP(2,1/(#REF!=Z1380),#REF!),""))</f>
        <v/>
      </c>
      <c r="AB1380" t="str">
        <f>IF(Z1380="","",IFERROR(LOOKUP(2,1/(#REF!=Z1380),#REF!),""))</f>
        <v/>
      </c>
      <c r="AC1380" t="e">
        <f>IF(Z1380="","",COUNTIF(#REF!,Z1380))</f>
        <v>#REF!</v>
      </c>
      <c r="AD1380" t="e">
        <f>IF(A1380="","",IF(AC1380&gt;1,"REVISAR DUPLICADO",IF(AA1380&lt;&gt;"","ACTUALIZADO POR EYR","SIN REPORTE EYR")))</f>
        <v>#REF!</v>
      </c>
    </row>
    <row r="1381" spans="1:30" x14ac:dyDescent="0.3">
      <c r="A1381" s="5" t="s">
        <v>1687</v>
      </c>
      <c r="B1381" t="s">
        <v>1686</v>
      </c>
      <c r="C1381" s="4" t="s">
        <v>1685</v>
      </c>
      <c r="D1381" t="s">
        <v>1658</v>
      </c>
      <c r="F1381" t="s">
        <v>13</v>
      </c>
      <c r="G1381" s="3">
        <v>8098515071</v>
      </c>
      <c r="H1381" s="2">
        <v>46136</v>
      </c>
      <c r="K1381" s="1">
        <f ca="1">IF(A1381="","",IF(OR(L1381="ENTREGADA",L1381="RETORNADA",L1381="ENTREGA DIGITAL"),0,MAX(0,5-NETWORKDAYS(H1381+1,TODAY()))))</f>
        <v>0</v>
      </c>
      <c r="L1381">
        <f>IF(A1381="","",IFERROR(LOOKUP(2,1/(#REF!=Z1381),#REF!),Y1381))</f>
        <v>0</v>
      </c>
      <c r="Z1381" t="str">
        <f>IF(A1381="","",TEXT(A1381,"0")&amp;"|"&amp;TEXT(H1381,"0"))</f>
        <v>5415017894125600|46136</v>
      </c>
      <c r="AA1381" t="str">
        <f>IF(Z1381="","",IFERROR(LOOKUP(2,1/(#REF!=Z1381),#REF!),""))</f>
        <v/>
      </c>
      <c r="AB1381" t="str">
        <f>IF(Z1381="","",IFERROR(LOOKUP(2,1/(#REF!=Z1381),#REF!),""))</f>
        <v/>
      </c>
      <c r="AC1381" t="e">
        <f>IF(Z1381="","",COUNTIF(#REF!,Z1381))</f>
        <v>#REF!</v>
      </c>
      <c r="AD1381" t="e">
        <f>IF(A1381="","",IF(AC1381&gt;1,"REVISAR DUPLICADO",IF(AA1381&lt;&gt;"","ACTUALIZADO POR EYR","SIN REPORTE EYR")))</f>
        <v>#REF!</v>
      </c>
    </row>
    <row r="1382" spans="1:30" x14ac:dyDescent="0.3">
      <c r="A1382" s="5" t="s">
        <v>1684</v>
      </c>
      <c r="B1382" t="s">
        <v>1683</v>
      </c>
      <c r="C1382" s="4" t="s">
        <v>1682</v>
      </c>
      <c r="D1382" t="s">
        <v>600</v>
      </c>
      <c r="F1382" t="s">
        <v>13</v>
      </c>
      <c r="G1382" s="3">
        <v>8294441507</v>
      </c>
      <c r="H1382" s="2">
        <v>46136</v>
      </c>
      <c r="K1382" s="1">
        <f ca="1">IF(A1382="","",IF(OR(L1382="ENTREGADA",L1382="RETORNADA",L1382="ENTREGA DIGITAL"),0,MAX(0,5-NETWORKDAYS(H1382+1,TODAY()))))</f>
        <v>0</v>
      </c>
      <c r="L1382">
        <f>IF(A1382="","",IFERROR(LOOKUP(2,1/(#REF!=Z1382),#REF!),Y1382))</f>
        <v>0</v>
      </c>
      <c r="Z1382" t="str">
        <f>IF(A1382="","",TEXT(A1382,"0")&amp;"|"&amp;TEXT(H1382,"0"))</f>
        <v>5415017893897950|46136</v>
      </c>
      <c r="AA1382" t="str">
        <f>IF(Z1382="","",IFERROR(LOOKUP(2,1/(#REF!=Z1382),#REF!),""))</f>
        <v/>
      </c>
      <c r="AB1382" t="str">
        <f>IF(Z1382="","",IFERROR(LOOKUP(2,1/(#REF!=Z1382),#REF!),""))</f>
        <v/>
      </c>
      <c r="AC1382" t="e">
        <f>IF(Z1382="","",COUNTIF(#REF!,Z1382))</f>
        <v>#REF!</v>
      </c>
      <c r="AD1382" t="e">
        <f>IF(A1382="","",IF(AC1382&gt;1,"REVISAR DUPLICADO",IF(AA1382&lt;&gt;"","ACTUALIZADO POR EYR","SIN REPORTE EYR")))</f>
        <v>#REF!</v>
      </c>
    </row>
    <row r="1383" spans="1:30" x14ac:dyDescent="0.3">
      <c r="A1383" s="5" t="s">
        <v>1681</v>
      </c>
      <c r="B1383" t="s">
        <v>1680</v>
      </c>
      <c r="C1383" s="4" t="s">
        <v>1679</v>
      </c>
      <c r="D1383" t="s">
        <v>1658</v>
      </c>
      <c r="F1383" t="s">
        <v>1678</v>
      </c>
      <c r="G1383" s="3">
        <v>8295506421</v>
      </c>
      <c r="H1383" s="2">
        <v>46136</v>
      </c>
      <c r="K1383" s="1">
        <f ca="1">IF(A1383="","",IF(OR(L1383="ENTREGADA",L1383="RETORNADA",L1383="ENTREGA DIGITAL"),0,MAX(0,5-NETWORKDAYS(H1383+1,TODAY()))))</f>
        <v>0</v>
      </c>
      <c r="L1383">
        <f>IF(A1383="","",IFERROR(LOOKUP(2,1/(#REF!=Z1383),#REF!),Y1383))</f>
        <v>0</v>
      </c>
      <c r="Z1383" t="str">
        <f>IF(A1383="","",TEXT(A1383,"0")&amp;"|"&amp;TEXT(H1383,"0"))</f>
        <v>4921017895882250|46136</v>
      </c>
      <c r="AA1383" t="str">
        <f>IF(Z1383="","",IFERROR(LOOKUP(2,1/(#REF!=Z1383),#REF!),""))</f>
        <v/>
      </c>
      <c r="AB1383" t="str">
        <f>IF(Z1383="","",IFERROR(LOOKUP(2,1/(#REF!=Z1383),#REF!),""))</f>
        <v/>
      </c>
      <c r="AC1383" t="e">
        <f>IF(Z1383="","",COUNTIF(#REF!,Z1383))</f>
        <v>#REF!</v>
      </c>
      <c r="AD1383" t="e">
        <f>IF(A1383="","",IF(AC1383&gt;1,"REVISAR DUPLICADO",IF(AA1383&lt;&gt;"","ACTUALIZADO POR EYR","SIN REPORTE EYR")))</f>
        <v>#REF!</v>
      </c>
    </row>
    <row r="1384" spans="1:30" x14ac:dyDescent="0.3">
      <c r="A1384" s="5" t="s">
        <v>1677</v>
      </c>
      <c r="B1384" t="s">
        <v>1676</v>
      </c>
      <c r="C1384" s="4" t="s">
        <v>1675</v>
      </c>
      <c r="D1384" t="s">
        <v>1658</v>
      </c>
      <c r="F1384" t="s">
        <v>13</v>
      </c>
      <c r="G1384" s="3">
        <v>8093354050</v>
      </c>
      <c r="H1384" s="2">
        <v>46136</v>
      </c>
      <c r="K1384" s="1">
        <f ca="1">IF(A1384="","",IF(OR(L1384="ENTREGADA",L1384="RETORNADA",L1384="ENTREGA DIGITAL"),0,MAX(0,5-NETWORKDAYS(H1384+1,TODAY()))))</f>
        <v>0</v>
      </c>
      <c r="L1384">
        <f>IF(A1384="","",IFERROR(LOOKUP(2,1/(#REF!=Z1384),#REF!),Y1384))</f>
        <v>0</v>
      </c>
      <c r="Z1384" t="str">
        <f>IF(A1384="","",TEXT(A1384,"0")&amp;"|"&amp;TEXT(H1384,"0"))</f>
        <v>5188017895231260|46136</v>
      </c>
      <c r="AA1384" t="str">
        <f>IF(Z1384="","",IFERROR(LOOKUP(2,1/(#REF!=Z1384),#REF!),""))</f>
        <v/>
      </c>
      <c r="AB1384" t="str">
        <f>IF(Z1384="","",IFERROR(LOOKUP(2,1/(#REF!=Z1384),#REF!),""))</f>
        <v/>
      </c>
      <c r="AC1384" t="e">
        <f>IF(Z1384="","",COUNTIF(#REF!,Z1384))</f>
        <v>#REF!</v>
      </c>
      <c r="AD1384" t="e">
        <f>IF(A1384="","",IF(AC1384&gt;1,"REVISAR DUPLICADO",IF(AA1384&lt;&gt;"","ACTUALIZADO POR EYR","SIN REPORTE EYR")))</f>
        <v>#REF!</v>
      </c>
    </row>
    <row r="1385" spans="1:30" x14ac:dyDescent="0.3">
      <c r="A1385" s="5" t="s">
        <v>1674</v>
      </c>
      <c r="B1385" t="s">
        <v>1673</v>
      </c>
      <c r="C1385" s="4" t="s">
        <v>1672</v>
      </c>
      <c r="D1385" t="s">
        <v>600</v>
      </c>
      <c r="F1385" t="s">
        <v>1671</v>
      </c>
      <c r="G1385" s="3">
        <v>8295645818</v>
      </c>
      <c r="H1385" s="2">
        <v>46136</v>
      </c>
      <c r="K1385" s="1">
        <f ca="1">IF(A1385="","",IF(OR(L1385="ENTREGADA",L1385="RETORNADA",L1385="ENTREGA DIGITAL"),0,MAX(0,5-NETWORKDAYS(H1385+1,TODAY()))))</f>
        <v>0</v>
      </c>
      <c r="L1385">
        <f>IF(A1385="","",IFERROR(LOOKUP(2,1/(#REF!=Z1385),#REF!),Y1385))</f>
        <v>0</v>
      </c>
      <c r="Z1385" t="str">
        <f>IF(A1385="","",TEXT(A1385,"0")&amp;"|"&amp;TEXT(H1385,"0"))</f>
        <v>5188017895575970|46136</v>
      </c>
      <c r="AA1385" t="str">
        <f>IF(Z1385="","",IFERROR(LOOKUP(2,1/(#REF!=Z1385),#REF!),""))</f>
        <v/>
      </c>
      <c r="AB1385" t="str">
        <f>IF(Z1385="","",IFERROR(LOOKUP(2,1/(#REF!=Z1385),#REF!),""))</f>
        <v/>
      </c>
      <c r="AC1385" t="e">
        <f>IF(Z1385="","",COUNTIF(#REF!,Z1385))</f>
        <v>#REF!</v>
      </c>
      <c r="AD1385" t="e">
        <f>IF(A1385="","",IF(AC1385&gt;1,"REVISAR DUPLICADO",IF(AA1385&lt;&gt;"","ACTUALIZADO POR EYR","SIN REPORTE EYR")))</f>
        <v>#REF!</v>
      </c>
    </row>
    <row r="1386" spans="1:30" x14ac:dyDescent="0.3">
      <c r="A1386" s="5" t="s">
        <v>1670</v>
      </c>
      <c r="B1386" t="s">
        <v>1669</v>
      </c>
      <c r="C1386" s="4" t="s">
        <v>1668</v>
      </c>
      <c r="D1386" t="s">
        <v>600</v>
      </c>
      <c r="F1386" t="s">
        <v>13</v>
      </c>
      <c r="G1386" s="3">
        <v>8099287301</v>
      </c>
      <c r="H1386" s="2">
        <v>46136</v>
      </c>
      <c r="K1386" s="1">
        <f ca="1">IF(A1386="","",IF(OR(L1386="ENTREGADA",L1386="RETORNADA",L1386="ENTREGA DIGITAL"),0,MAX(0,5-NETWORKDAYS(H1386+1,TODAY()))))</f>
        <v>0</v>
      </c>
      <c r="L1386">
        <f>IF(A1386="","",IFERROR(LOOKUP(2,1/(#REF!=Z1386),#REF!),Y1386))</f>
        <v>0</v>
      </c>
      <c r="Z1386" t="str">
        <f>IF(A1386="","",TEXT(A1386,"0")&amp;"|"&amp;TEXT(H1386,"0"))</f>
        <v>5415017900421730|46136</v>
      </c>
      <c r="AA1386" t="str">
        <f>IF(Z1386="","",IFERROR(LOOKUP(2,1/(#REF!=Z1386),#REF!),""))</f>
        <v/>
      </c>
      <c r="AB1386" t="str">
        <f>IF(Z1386="","",IFERROR(LOOKUP(2,1/(#REF!=Z1386),#REF!),""))</f>
        <v/>
      </c>
      <c r="AC1386" t="e">
        <f>IF(Z1386="","",COUNTIF(#REF!,Z1386))</f>
        <v>#REF!</v>
      </c>
      <c r="AD1386" t="e">
        <f>IF(A1386="","",IF(AC1386&gt;1,"REVISAR DUPLICADO",IF(AA1386&lt;&gt;"","ACTUALIZADO POR EYR","SIN REPORTE EYR")))</f>
        <v>#REF!</v>
      </c>
    </row>
    <row r="1387" spans="1:30" x14ac:dyDescent="0.3">
      <c r="A1387" s="5" t="s">
        <v>1667</v>
      </c>
      <c r="B1387" t="s">
        <v>1666</v>
      </c>
      <c r="C1387" s="4" t="s">
        <v>1665</v>
      </c>
      <c r="D1387" t="s">
        <v>600</v>
      </c>
      <c r="F1387">
        <v>10</v>
      </c>
      <c r="G1387" s="3">
        <v>8099667077</v>
      </c>
      <c r="H1387" s="2">
        <v>46136</v>
      </c>
      <c r="K1387" s="1">
        <f ca="1">IF(A1387="","",IF(OR(L1387="ENTREGADA",L1387="RETORNADA",L1387="ENTREGA DIGITAL"),0,MAX(0,5-NETWORKDAYS(H1387+1,TODAY()))))</f>
        <v>0</v>
      </c>
      <c r="L1387">
        <f>IF(A1387="","",IFERROR(LOOKUP(2,1/(#REF!=Z1387),#REF!),Y1387))</f>
        <v>0</v>
      </c>
      <c r="Z1387" t="str">
        <f>IF(A1387="","",TEXT(A1387,"0")&amp;"|"&amp;TEXT(H1387,"0"))</f>
        <v>4921017902544550|46136</v>
      </c>
      <c r="AA1387" t="str">
        <f>IF(Z1387="","",IFERROR(LOOKUP(2,1/(#REF!=Z1387),#REF!),""))</f>
        <v/>
      </c>
      <c r="AB1387" t="str">
        <f>IF(Z1387="","",IFERROR(LOOKUP(2,1/(#REF!=Z1387),#REF!),""))</f>
        <v/>
      </c>
      <c r="AC1387" t="e">
        <f>IF(Z1387="","",COUNTIF(#REF!,Z1387))</f>
        <v>#REF!</v>
      </c>
      <c r="AD1387" t="e">
        <f>IF(A1387="","",IF(AC1387&gt;1,"REVISAR DUPLICADO",IF(AA1387&lt;&gt;"","ACTUALIZADO POR EYR","SIN REPORTE EYR")))</f>
        <v>#REF!</v>
      </c>
    </row>
    <row r="1388" spans="1:30" x14ac:dyDescent="0.3">
      <c r="A1388" s="5" t="s">
        <v>1664</v>
      </c>
      <c r="B1388" t="s">
        <v>1663</v>
      </c>
      <c r="C1388" s="4" t="s">
        <v>1662</v>
      </c>
      <c r="D1388" t="s">
        <v>1658</v>
      </c>
      <c r="F1388" t="s">
        <v>13</v>
      </c>
      <c r="G1388" s="3">
        <v>8296636754</v>
      </c>
      <c r="H1388" s="2">
        <v>46136</v>
      </c>
      <c r="K1388" s="1">
        <f ca="1">IF(A1388="","",IF(OR(L1388="ENTREGADA",L1388="RETORNADA",L1388="ENTREGA DIGITAL"),0,MAX(0,5-NETWORKDAYS(H1388+1,TODAY()))))</f>
        <v>0</v>
      </c>
      <c r="L1388">
        <f>IF(A1388="","",IFERROR(LOOKUP(2,1/(#REF!=Z1388),#REF!),Y1388))</f>
        <v>0</v>
      </c>
      <c r="Z1388" t="str">
        <f>IF(A1388="","",TEXT(A1388,"0")&amp;"|"&amp;TEXT(H1388,"0"))</f>
        <v>4921017842922740|46136</v>
      </c>
      <c r="AA1388" t="str">
        <f>IF(Z1388="","",IFERROR(LOOKUP(2,1/(#REF!=Z1388),#REF!),""))</f>
        <v/>
      </c>
      <c r="AB1388" t="str">
        <f>IF(Z1388="","",IFERROR(LOOKUP(2,1/(#REF!=Z1388),#REF!),""))</f>
        <v/>
      </c>
      <c r="AC1388" t="e">
        <f>IF(Z1388="","",COUNTIF(#REF!,Z1388))</f>
        <v>#REF!</v>
      </c>
      <c r="AD1388" t="e">
        <f>IF(A1388="","",IF(AC1388&gt;1,"REVISAR DUPLICADO",IF(AA1388&lt;&gt;"","ACTUALIZADO POR EYR","SIN REPORTE EYR")))</f>
        <v>#REF!</v>
      </c>
    </row>
    <row r="1389" spans="1:30" x14ac:dyDescent="0.3">
      <c r="A1389" s="5" t="s">
        <v>1661</v>
      </c>
      <c r="B1389" t="s">
        <v>1660</v>
      </c>
      <c r="C1389" s="4" t="s">
        <v>1659</v>
      </c>
      <c r="D1389" t="s">
        <v>1658</v>
      </c>
      <c r="F1389" t="s">
        <v>1657</v>
      </c>
      <c r="G1389" s="3">
        <v>8297648119</v>
      </c>
      <c r="H1389" s="2">
        <v>46136</v>
      </c>
      <c r="K1389" s="1">
        <f ca="1">IF(A1389="","",IF(OR(L1389="ENTREGADA",L1389="RETORNADA",L1389="ENTREGA DIGITAL"),0,MAX(0,5-NETWORKDAYS(H1389+1,TODAY()))))</f>
        <v>0</v>
      </c>
      <c r="L1389">
        <f>IF(A1389="","",IFERROR(LOOKUP(2,1/(#REF!=Z1389),#REF!),Y1389))</f>
        <v>0</v>
      </c>
      <c r="Z1389" t="str">
        <f>IF(A1389="","",TEXT(A1389,"0")&amp;"|"&amp;TEXT(H1389,"0"))</f>
        <v>4921017898944700|46136</v>
      </c>
      <c r="AA1389" t="str">
        <f>IF(Z1389="","",IFERROR(LOOKUP(2,1/(#REF!=Z1389),#REF!),""))</f>
        <v/>
      </c>
      <c r="AB1389" t="str">
        <f>IF(Z1389="","",IFERROR(LOOKUP(2,1/(#REF!=Z1389),#REF!),""))</f>
        <v/>
      </c>
      <c r="AC1389" t="e">
        <f>IF(Z1389="","",COUNTIF(#REF!,Z1389))</f>
        <v>#REF!</v>
      </c>
      <c r="AD1389" t="e">
        <f>IF(A1389="","",IF(AC1389&gt;1,"REVISAR DUPLICADO",IF(AA1389&lt;&gt;"","ACTUALIZADO POR EYR","SIN REPORTE EYR")))</f>
        <v>#REF!</v>
      </c>
    </row>
    <row r="1390" spans="1:30" x14ac:dyDescent="0.3">
      <c r="A1390" s="5" t="s">
        <v>1656</v>
      </c>
      <c r="B1390" t="s">
        <v>1655</v>
      </c>
      <c r="C1390" s="4" t="s">
        <v>1654</v>
      </c>
      <c r="D1390" t="s">
        <v>600</v>
      </c>
      <c r="F1390" t="s">
        <v>1653</v>
      </c>
      <c r="G1390" s="3">
        <v>8292041223</v>
      </c>
      <c r="H1390" s="2">
        <v>46136</v>
      </c>
      <c r="K1390" s="1">
        <f ca="1">IF(A1390="","",IF(OR(L1390="ENTREGADA",L1390="RETORNADA",L1390="ENTREGA DIGITAL"),0,MAX(0,5-NETWORKDAYS(H1390+1,TODAY()))))</f>
        <v>0</v>
      </c>
      <c r="L1390">
        <f>IF(A1390="","",IFERROR(LOOKUP(2,1/(#REF!=Z1390),#REF!),Y1390))</f>
        <v>0</v>
      </c>
      <c r="Z1390" t="str">
        <f>IF(A1390="","",TEXT(A1390,"0")&amp;"|"&amp;TEXT(H1390,"0"))</f>
        <v>5192017901127570|46136</v>
      </c>
      <c r="AA1390" t="str">
        <f>IF(Z1390="","",IFERROR(LOOKUP(2,1/(#REF!=Z1390),#REF!),""))</f>
        <v/>
      </c>
      <c r="AB1390" t="str">
        <f>IF(Z1390="","",IFERROR(LOOKUP(2,1/(#REF!=Z1390),#REF!),""))</f>
        <v/>
      </c>
      <c r="AC1390" t="e">
        <f>IF(Z1390="","",COUNTIF(#REF!,Z1390))</f>
        <v>#REF!</v>
      </c>
      <c r="AD1390" t="e">
        <f>IF(A1390="","",IF(AC1390&gt;1,"REVISAR DUPLICADO",IF(AA1390&lt;&gt;"","ACTUALIZADO POR EYR","SIN REPORTE EYR")))</f>
        <v>#REF!</v>
      </c>
    </row>
    <row r="1391" spans="1:30" x14ac:dyDescent="0.3">
      <c r="A1391" s="5" t="s">
        <v>1652</v>
      </c>
      <c r="B1391" t="s">
        <v>1651</v>
      </c>
      <c r="C1391" s="4" t="s">
        <v>1650</v>
      </c>
      <c r="D1391" t="s">
        <v>600</v>
      </c>
      <c r="F1391" t="s">
        <v>1649</v>
      </c>
      <c r="G1391" s="3">
        <v>8096432628</v>
      </c>
      <c r="H1391" s="2">
        <v>46136</v>
      </c>
      <c r="K1391" s="1">
        <f ca="1">IF(A1391="","",IF(OR(L1391="ENTREGADA",L1391="RETORNADA",L1391="ENTREGA DIGITAL"),0,MAX(0,5-NETWORKDAYS(H1391+1,TODAY()))))</f>
        <v>0</v>
      </c>
      <c r="L1391">
        <f>IF(A1391="","",IFERROR(LOOKUP(2,1/(#REF!=Z1391),#REF!),Y1391))</f>
        <v>0</v>
      </c>
      <c r="Z1391" t="str">
        <f>IF(A1391="","",TEXT(A1391,"0")&amp;"|"&amp;TEXT(H1391,"0"))</f>
        <v>4921017902954410|46136</v>
      </c>
      <c r="AA1391" t="str">
        <f>IF(Z1391="","",IFERROR(LOOKUP(2,1/(#REF!=Z1391),#REF!),""))</f>
        <v/>
      </c>
      <c r="AB1391" t="str">
        <f>IF(Z1391="","",IFERROR(LOOKUP(2,1/(#REF!=Z1391),#REF!),""))</f>
        <v/>
      </c>
      <c r="AC1391" t="e">
        <f>IF(Z1391="","",COUNTIF(#REF!,Z1391))</f>
        <v>#REF!</v>
      </c>
      <c r="AD1391" t="e">
        <f>IF(A1391="","",IF(AC1391&gt;1,"REVISAR DUPLICADO",IF(AA1391&lt;&gt;"","ACTUALIZADO POR EYR","SIN REPORTE EYR")))</f>
        <v>#REF!</v>
      </c>
    </row>
    <row r="1392" spans="1:30" x14ac:dyDescent="0.3">
      <c r="A1392" s="5" t="s">
        <v>1648</v>
      </c>
      <c r="B1392" t="s">
        <v>1647</v>
      </c>
      <c r="C1392" s="4" t="s">
        <v>1646</v>
      </c>
      <c r="D1392" t="s">
        <v>600</v>
      </c>
      <c r="F1392" t="s">
        <v>1645</v>
      </c>
      <c r="G1392" s="3">
        <v>8494435311</v>
      </c>
      <c r="H1392" s="2">
        <v>46136</v>
      </c>
      <c r="K1392" s="1">
        <f ca="1">IF(A1392="","",IF(OR(L1392="ENTREGADA",L1392="RETORNADA",L1392="ENTREGA DIGITAL"),0,MAX(0,5-NETWORKDAYS(H1392+1,TODAY()))))</f>
        <v>0</v>
      </c>
      <c r="L1392">
        <f>IF(A1392="","",IFERROR(LOOKUP(2,1/(#REF!=Z1392),#REF!),Y1392))</f>
        <v>0</v>
      </c>
      <c r="Z1392" t="str">
        <f>IF(A1392="","",TEXT(A1392,"0")&amp;"|"&amp;TEXT(H1392,"0"))</f>
        <v>4921017902152310|46136</v>
      </c>
      <c r="AA1392" t="str">
        <f>IF(Z1392="","",IFERROR(LOOKUP(2,1/(#REF!=Z1392),#REF!),""))</f>
        <v/>
      </c>
      <c r="AB1392" t="str">
        <f>IF(Z1392="","",IFERROR(LOOKUP(2,1/(#REF!=Z1392),#REF!),""))</f>
        <v/>
      </c>
      <c r="AC1392" t="e">
        <f>IF(Z1392="","",COUNTIF(#REF!,Z1392))</f>
        <v>#REF!</v>
      </c>
      <c r="AD1392" t="e">
        <f>IF(A1392="","",IF(AC1392&gt;1,"REVISAR DUPLICADO",IF(AA1392&lt;&gt;"","ACTUALIZADO POR EYR","SIN REPORTE EYR")))</f>
        <v>#REF!</v>
      </c>
    </row>
    <row r="1393" spans="1:30" x14ac:dyDescent="0.3">
      <c r="A1393" s="5" t="s">
        <v>1644</v>
      </c>
      <c r="B1393" t="s">
        <v>1643</v>
      </c>
      <c r="C1393" s="4" t="s">
        <v>1642</v>
      </c>
      <c r="D1393" t="s">
        <v>600</v>
      </c>
      <c r="F1393" t="s">
        <v>1641</v>
      </c>
      <c r="G1393" s="3">
        <v>8299423952</v>
      </c>
      <c r="H1393" s="2">
        <v>46136</v>
      </c>
      <c r="K1393" s="1">
        <f ca="1">IF(A1393="","",IF(OR(L1393="ENTREGADA",L1393="RETORNADA",L1393="ENTREGA DIGITAL"),0,MAX(0,5-NETWORKDAYS(H1393+1,TODAY()))))</f>
        <v>0</v>
      </c>
      <c r="L1393">
        <f>IF(A1393="","",IFERROR(LOOKUP(2,1/(#REF!=Z1393),#REF!),Y1393))</f>
        <v>0</v>
      </c>
      <c r="Z1393" t="str">
        <f>IF(A1393="","",TEXT(A1393,"0")&amp;"|"&amp;TEXT(H1393,"0"))</f>
        <v>4921017885744000|46136</v>
      </c>
      <c r="AA1393" t="str">
        <f>IF(Z1393="","",IFERROR(LOOKUP(2,1/(#REF!=Z1393),#REF!),""))</f>
        <v/>
      </c>
      <c r="AB1393" t="str">
        <f>IF(Z1393="","",IFERROR(LOOKUP(2,1/(#REF!=Z1393),#REF!),""))</f>
        <v/>
      </c>
      <c r="AC1393" t="e">
        <f>IF(Z1393="","",COUNTIF(#REF!,Z1393))</f>
        <v>#REF!</v>
      </c>
      <c r="AD1393" t="e">
        <f>IF(A1393="","",IF(AC1393&gt;1,"REVISAR DUPLICADO",IF(AA1393&lt;&gt;"","ACTUALIZADO POR EYR","SIN REPORTE EYR")))</f>
        <v>#REF!</v>
      </c>
    </row>
    <row r="1394" spans="1:30" x14ac:dyDescent="0.3">
      <c r="A1394" s="5" t="s">
        <v>1640</v>
      </c>
      <c r="B1394" t="s">
        <v>1639</v>
      </c>
      <c r="C1394" s="4" t="s">
        <v>1638</v>
      </c>
      <c r="D1394" t="s">
        <v>600</v>
      </c>
      <c r="F1394" t="s">
        <v>1637</v>
      </c>
      <c r="G1394" s="3">
        <v>8092313137</v>
      </c>
      <c r="H1394" s="2">
        <v>46136</v>
      </c>
      <c r="K1394" s="1">
        <f ca="1">IF(A1394="","",IF(OR(L1394="ENTREGADA",L1394="RETORNADA",L1394="ENTREGA DIGITAL"),0,MAX(0,5-NETWORKDAYS(H1394+1,TODAY()))))</f>
        <v>0</v>
      </c>
      <c r="L1394">
        <f>IF(A1394="","",IFERROR(LOOKUP(2,1/(#REF!=Z1394),#REF!),Y1394))</f>
        <v>0</v>
      </c>
      <c r="Z1394" t="str">
        <f>IF(A1394="","",TEXT(A1394,"0")&amp;"|"&amp;TEXT(H1394,"0"))</f>
        <v>5188017848881130|46136</v>
      </c>
      <c r="AA1394" t="str">
        <f>IF(Z1394="","",IFERROR(LOOKUP(2,1/(#REF!=Z1394),#REF!),""))</f>
        <v/>
      </c>
      <c r="AB1394" t="str">
        <f>IF(Z1394="","",IFERROR(LOOKUP(2,1/(#REF!=Z1394),#REF!),""))</f>
        <v/>
      </c>
      <c r="AC1394" t="e">
        <f>IF(Z1394="","",COUNTIF(#REF!,Z1394))</f>
        <v>#REF!</v>
      </c>
      <c r="AD1394" t="e">
        <f>IF(A1394="","",IF(AC1394&gt;1,"REVISAR DUPLICADO",IF(AA1394&lt;&gt;"","ACTUALIZADO POR EYR","SIN REPORTE EYR")))</f>
        <v>#REF!</v>
      </c>
    </row>
    <row r="1395" spans="1:30" x14ac:dyDescent="0.3">
      <c r="A1395" s="5" t="s">
        <v>1636</v>
      </c>
      <c r="B1395" t="s">
        <v>1635</v>
      </c>
      <c r="C1395" s="4" t="s">
        <v>1634</v>
      </c>
      <c r="D1395" t="s">
        <v>600</v>
      </c>
      <c r="F1395" t="s">
        <v>1633</v>
      </c>
      <c r="G1395" s="3">
        <v>8093923366</v>
      </c>
      <c r="H1395" s="2">
        <v>46136</v>
      </c>
      <c r="K1395" s="1">
        <f ca="1">IF(A1395="","",IF(OR(L1395="ENTREGADA",L1395="RETORNADA",L1395="ENTREGA DIGITAL"),0,MAX(0,5-NETWORKDAYS(H1395+1,TODAY()))))</f>
        <v>0</v>
      </c>
      <c r="L1395">
        <f>IF(A1395="","",IFERROR(LOOKUP(2,1/(#REF!=Z1395),#REF!),Y1395))</f>
        <v>0</v>
      </c>
      <c r="Z1395" t="str">
        <f>IF(A1395="","",TEXT(A1395,"0")&amp;"|"&amp;TEXT(H1395,"0"))</f>
        <v>5415017848256170|46136</v>
      </c>
      <c r="AA1395" t="str">
        <f>IF(Z1395="","",IFERROR(LOOKUP(2,1/(#REF!=Z1395),#REF!),""))</f>
        <v/>
      </c>
      <c r="AB1395" t="str">
        <f>IF(Z1395="","",IFERROR(LOOKUP(2,1/(#REF!=Z1395),#REF!),""))</f>
        <v/>
      </c>
      <c r="AC1395" t="e">
        <f>IF(Z1395="","",COUNTIF(#REF!,Z1395))</f>
        <v>#REF!</v>
      </c>
      <c r="AD1395" t="e">
        <f>IF(A1395="","",IF(AC1395&gt;1,"REVISAR DUPLICADO",IF(AA1395&lt;&gt;"","ACTUALIZADO POR EYR","SIN REPORTE EYR")))</f>
        <v>#REF!</v>
      </c>
    </row>
    <row r="1396" spans="1:30" x14ac:dyDescent="0.3">
      <c r="A1396" s="5" t="s">
        <v>1632</v>
      </c>
      <c r="B1396" t="s">
        <v>1631</v>
      </c>
      <c r="C1396" s="4" t="s">
        <v>1630</v>
      </c>
      <c r="D1396" t="s">
        <v>600</v>
      </c>
      <c r="F1396" t="s">
        <v>1629</v>
      </c>
      <c r="G1396" s="3">
        <v>8093351829</v>
      </c>
      <c r="H1396" s="2">
        <v>46136</v>
      </c>
      <c r="K1396" s="1">
        <f ca="1">IF(A1396="","",IF(OR(L1396="ENTREGADA",L1396="RETORNADA",L1396="ENTREGA DIGITAL"),0,MAX(0,5-NETWORKDAYS(H1396+1,TODAY()))))</f>
        <v>0</v>
      </c>
      <c r="L1396">
        <f>IF(A1396="","",IFERROR(LOOKUP(2,1/(#REF!=Z1396),#REF!),Y1396))</f>
        <v>0</v>
      </c>
      <c r="Z1396" t="str">
        <f>IF(A1396="","",TEXT(A1396,"0")&amp;"|"&amp;TEXT(H1396,"0"))</f>
        <v>5227017855819020|46136</v>
      </c>
      <c r="AA1396" t="str">
        <f>IF(Z1396="","",IFERROR(LOOKUP(2,1/(#REF!=Z1396),#REF!),""))</f>
        <v/>
      </c>
      <c r="AB1396" t="str">
        <f>IF(Z1396="","",IFERROR(LOOKUP(2,1/(#REF!=Z1396),#REF!),""))</f>
        <v/>
      </c>
      <c r="AC1396" t="e">
        <f>IF(Z1396="","",COUNTIF(#REF!,Z1396))</f>
        <v>#REF!</v>
      </c>
      <c r="AD1396" t="e">
        <f>IF(A1396="","",IF(AC1396&gt;1,"REVISAR DUPLICADO",IF(AA1396&lt;&gt;"","ACTUALIZADO POR EYR","SIN REPORTE EYR")))</f>
        <v>#REF!</v>
      </c>
    </row>
    <row r="1397" spans="1:30" x14ac:dyDescent="0.3">
      <c r="A1397" s="5" t="s">
        <v>1628</v>
      </c>
      <c r="B1397" t="s">
        <v>1627</v>
      </c>
      <c r="C1397" s="4" t="s">
        <v>1626</v>
      </c>
      <c r="D1397" t="s">
        <v>600</v>
      </c>
      <c r="F1397" t="s">
        <v>1625</v>
      </c>
      <c r="G1397" s="3">
        <v>8296891462</v>
      </c>
      <c r="H1397" s="2">
        <v>46136</v>
      </c>
      <c r="K1397" s="1">
        <f ca="1">IF(A1397="","",IF(OR(L1397="ENTREGADA",L1397="RETORNADA",L1397="ENTREGA DIGITAL"),0,MAX(0,5-NETWORKDAYS(H1397+1,TODAY()))))</f>
        <v>0</v>
      </c>
      <c r="L1397">
        <f>IF(A1397="","",IFERROR(LOOKUP(2,1/(#REF!=Z1397),#REF!),Y1397))</f>
        <v>0</v>
      </c>
      <c r="Z1397" t="str">
        <f>IF(A1397="","",TEXT(A1397,"0")&amp;"|"&amp;TEXT(H1397,"0"))</f>
        <v>5415017859420240|46136</v>
      </c>
      <c r="AA1397" t="str">
        <f>IF(Z1397="","",IFERROR(LOOKUP(2,1/(#REF!=Z1397),#REF!),""))</f>
        <v/>
      </c>
      <c r="AB1397" t="str">
        <f>IF(Z1397="","",IFERROR(LOOKUP(2,1/(#REF!=Z1397),#REF!),""))</f>
        <v/>
      </c>
      <c r="AC1397" t="e">
        <f>IF(Z1397="","",COUNTIF(#REF!,Z1397))</f>
        <v>#REF!</v>
      </c>
      <c r="AD1397" t="e">
        <f>IF(A1397="","",IF(AC1397&gt;1,"REVISAR DUPLICADO",IF(AA1397&lt;&gt;"","ACTUALIZADO POR EYR","SIN REPORTE EYR")))</f>
        <v>#REF!</v>
      </c>
    </row>
    <row r="1398" spans="1:30" x14ac:dyDescent="0.3">
      <c r="A1398" s="5" t="s">
        <v>1624</v>
      </c>
      <c r="B1398" t="s">
        <v>1623</v>
      </c>
      <c r="C1398" s="4" t="s">
        <v>1622</v>
      </c>
      <c r="D1398" t="s">
        <v>600</v>
      </c>
      <c r="F1398" t="s">
        <v>1621</v>
      </c>
      <c r="G1398" s="3">
        <v>8094778877</v>
      </c>
      <c r="H1398" s="2">
        <v>46136</v>
      </c>
      <c r="K1398" s="1">
        <f ca="1">IF(A1398="","",IF(OR(L1398="ENTREGADA",L1398="RETORNADA",L1398="ENTREGA DIGITAL"),0,MAX(0,5-NETWORKDAYS(H1398+1,TODAY()))))</f>
        <v>0</v>
      </c>
      <c r="L1398">
        <f>IF(A1398="","",IFERROR(LOOKUP(2,1/(#REF!=Z1398),#REF!),Y1398))</f>
        <v>0</v>
      </c>
      <c r="Z1398" t="str">
        <f>IF(A1398="","",TEXT(A1398,"0")&amp;"|"&amp;TEXT(H1398,"0"))</f>
        <v>4921017853596590|46136</v>
      </c>
      <c r="AA1398" t="str">
        <f>IF(Z1398="","",IFERROR(LOOKUP(2,1/(#REF!=Z1398),#REF!),""))</f>
        <v/>
      </c>
      <c r="AB1398" t="str">
        <f>IF(Z1398="","",IFERROR(LOOKUP(2,1/(#REF!=Z1398),#REF!),""))</f>
        <v/>
      </c>
      <c r="AC1398" t="e">
        <f>IF(Z1398="","",COUNTIF(#REF!,Z1398))</f>
        <v>#REF!</v>
      </c>
      <c r="AD1398" t="e">
        <f>IF(A1398="","",IF(AC1398&gt;1,"REVISAR DUPLICADO",IF(AA1398&lt;&gt;"","ACTUALIZADO POR EYR","SIN REPORTE EYR")))</f>
        <v>#REF!</v>
      </c>
    </row>
    <row r="1399" spans="1:30" x14ac:dyDescent="0.3">
      <c r="A1399" s="5" t="s">
        <v>1620</v>
      </c>
      <c r="B1399" t="s">
        <v>1619</v>
      </c>
      <c r="C1399" s="4" t="s">
        <v>1618</v>
      </c>
      <c r="D1399" t="s">
        <v>600</v>
      </c>
      <c r="F1399" t="s">
        <v>13</v>
      </c>
      <c r="G1399" s="3">
        <v>8099575652</v>
      </c>
      <c r="H1399" s="2">
        <v>46136</v>
      </c>
      <c r="K1399" s="1">
        <f ca="1">IF(A1399="","",IF(OR(L1399="ENTREGADA",L1399="RETORNADA",L1399="ENTREGA DIGITAL"),0,MAX(0,5-NETWORKDAYS(H1399+1,TODAY()))))</f>
        <v>0</v>
      </c>
      <c r="L1399">
        <f>IF(A1399="","",IFERROR(LOOKUP(2,1/(#REF!=Z1399),#REF!),Y1399))</f>
        <v>0</v>
      </c>
      <c r="Z1399" t="str">
        <f>IF(A1399="","",TEXT(A1399,"0")&amp;"|"&amp;TEXT(H1399,"0"))</f>
        <v>4921017845596950|46136</v>
      </c>
      <c r="AA1399" t="str">
        <f>IF(Z1399="","",IFERROR(LOOKUP(2,1/(#REF!=Z1399),#REF!),""))</f>
        <v/>
      </c>
      <c r="AB1399" t="str">
        <f>IF(Z1399="","",IFERROR(LOOKUP(2,1/(#REF!=Z1399),#REF!),""))</f>
        <v/>
      </c>
      <c r="AC1399" t="e">
        <f>IF(Z1399="","",COUNTIF(#REF!,Z1399))</f>
        <v>#REF!</v>
      </c>
      <c r="AD1399" t="e">
        <f>IF(A1399="","",IF(AC1399&gt;1,"REVISAR DUPLICADO",IF(AA1399&lt;&gt;"","ACTUALIZADO POR EYR","SIN REPORTE EYR")))</f>
        <v>#REF!</v>
      </c>
    </row>
    <row r="1400" spans="1:30" x14ac:dyDescent="0.3">
      <c r="A1400" s="5" t="s">
        <v>1617</v>
      </c>
      <c r="B1400" t="s">
        <v>1616</v>
      </c>
      <c r="C1400" s="4" t="s">
        <v>1615</v>
      </c>
      <c r="D1400" t="s">
        <v>600</v>
      </c>
      <c r="F1400" t="s">
        <v>13</v>
      </c>
      <c r="G1400" s="3">
        <v>8298141388</v>
      </c>
      <c r="H1400" s="2">
        <v>46136</v>
      </c>
      <c r="K1400" s="1">
        <f ca="1">IF(A1400="","",IF(OR(L1400="ENTREGADA",L1400="RETORNADA",L1400="ENTREGA DIGITAL"),0,MAX(0,5-NETWORKDAYS(H1400+1,TODAY()))))</f>
        <v>0</v>
      </c>
      <c r="L1400">
        <f>IF(A1400="","",IFERROR(LOOKUP(2,1/(#REF!=Z1400),#REF!),Y1400))</f>
        <v>0</v>
      </c>
      <c r="Z1400" t="str">
        <f>IF(A1400="","",TEXT(A1400,"0")&amp;"|"&amp;TEXT(H1400,"0"))</f>
        <v>4921017843442720|46136</v>
      </c>
      <c r="AA1400" t="str">
        <f>IF(Z1400="","",IFERROR(LOOKUP(2,1/(#REF!=Z1400),#REF!),""))</f>
        <v/>
      </c>
      <c r="AB1400" t="str">
        <f>IF(Z1400="","",IFERROR(LOOKUP(2,1/(#REF!=Z1400),#REF!),""))</f>
        <v/>
      </c>
      <c r="AC1400" t="e">
        <f>IF(Z1400="","",COUNTIF(#REF!,Z1400))</f>
        <v>#REF!</v>
      </c>
      <c r="AD1400" t="e">
        <f>IF(A1400="","",IF(AC1400&gt;1,"REVISAR DUPLICADO",IF(AA1400&lt;&gt;"","ACTUALIZADO POR EYR","SIN REPORTE EYR")))</f>
        <v>#REF!</v>
      </c>
    </row>
    <row r="1401" spans="1:30" x14ac:dyDescent="0.3">
      <c r="A1401" s="5" t="s">
        <v>1614</v>
      </c>
      <c r="B1401" t="s">
        <v>1613</v>
      </c>
      <c r="C1401" s="4" t="s">
        <v>1612</v>
      </c>
      <c r="D1401" t="s">
        <v>600</v>
      </c>
      <c r="F1401" t="s">
        <v>1611</v>
      </c>
      <c r="G1401" s="3">
        <v>9999999999</v>
      </c>
      <c r="H1401" s="2">
        <v>46136</v>
      </c>
      <c r="K1401" s="1">
        <f ca="1">IF(A1401="","",IF(OR(L1401="ENTREGADA",L1401="RETORNADA",L1401="ENTREGA DIGITAL"),0,MAX(0,5-NETWORKDAYS(H1401+1,TODAY()))))</f>
        <v>0</v>
      </c>
      <c r="L1401">
        <f>IF(A1401="","",IFERROR(LOOKUP(2,1/(#REF!=Z1401),#REF!),Y1401))</f>
        <v>0</v>
      </c>
      <c r="Z1401" t="str">
        <f>IF(A1401="","",TEXT(A1401,"0")&amp;"|"&amp;TEXT(H1401,"0"))</f>
        <v>4921017860876310|46136</v>
      </c>
      <c r="AA1401" t="str">
        <f>IF(Z1401="","",IFERROR(LOOKUP(2,1/(#REF!=Z1401),#REF!),""))</f>
        <v/>
      </c>
      <c r="AB1401" t="str">
        <f>IF(Z1401="","",IFERROR(LOOKUP(2,1/(#REF!=Z1401),#REF!),""))</f>
        <v/>
      </c>
      <c r="AC1401" t="e">
        <f>IF(Z1401="","",COUNTIF(#REF!,Z1401))</f>
        <v>#REF!</v>
      </c>
      <c r="AD1401" t="e">
        <f>IF(A1401="","",IF(AC1401&gt;1,"REVISAR DUPLICADO",IF(AA1401&lt;&gt;"","ACTUALIZADO POR EYR","SIN REPORTE EYR")))</f>
        <v>#REF!</v>
      </c>
    </row>
    <row r="1402" spans="1:30" x14ac:dyDescent="0.3">
      <c r="A1402" s="5" t="s">
        <v>1610</v>
      </c>
      <c r="B1402" t="s">
        <v>1609</v>
      </c>
      <c r="C1402" s="4" t="s">
        <v>1608</v>
      </c>
      <c r="D1402" t="s">
        <v>600</v>
      </c>
      <c r="F1402" t="s">
        <v>1607</v>
      </c>
      <c r="G1402" s="3">
        <v>8099433034</v>
      </c>
      <c r="H1402" s="2">
        <v>46136</v>
      </c>
      <c r="K1402" s="1">
        <f ca="1">IF(A1402="","",IF(OR(L1402="ENTREGADA",L1402="RETORNADA",L1402="ENTREGA DIGITAL"),0,MAX(0,5-NETWORKDAYS(H1402+1,TODAY()))))</f>
        <v>0</v>
      </c>
      <c r="L1402">
        <f>IF(A1402="","",IFERROR(LOOKUP(2,1/(#REF!=Z1402),#REF!),Y1402))</f>
        <v>0</v>
      </c>
      <c r="Z1402" t="str">
        <f>IF(A1402="","",TEXT(A1402,"0")&amp;"|"&amp;TEXT(H1402,"0"))</f>
        <v>4921017887314290|46136</v>
      </c>
      <c r="AA1402" t="str">
        <f>IF(Z1402="","",IFERROR(LOOKUP(2,1/(#REF!=Z1402),#REF!),""))</f>
        <v/>
      </c>
      <c r="AB1402" t="str">
        <f>IF(Z1402="","",IFERROR(LOOKUP(2,1/(#REF!=Z1402),#REF!),""))</f>
        <v/>
      </c>
      <c r="AC1402" t="e">
        <f>IF(Z1402="","",COUNTIF(#REF!,Z1402))</f>
        <v>#REF!</v>
      </c>
      <c r="AD1402" t="e">
        <f>IF(A1402="","",IF(AC1402&gt;1,"REVISAR DUPLICADO",IF(AA1402&lt;&gt;"","ACTUALIZADO POR EYR","SIN REPORTE EYR")))</f>
        <v>#REF!</v>
      </c>
    </row>
    <row r="1403" spans="1:30" x14ac:dyDescent="0.3">
      <c r="A1403" s="5" t="s">
        <v>1606</v>
      </c>
      <c r="B1403" t="s">
        <v>1605</v>
      </c>
      <c r="C1403" s="4" t="s">
        <v>1604</v>
      </c>
      <c r="D1403" t="s">
        <v>600</v>
      </c>
      <c r="F1403" t="s">
        <v>1603</v>
      </c>
      <c r="G1403" s="3">
        <v>8292081886</v>
      </c>
      <c r="H1403" s="2">
        <v>46136</v>
      </c>
      <c r="K1403" s="1">
        <f ca="1">IF(A1403="","",IF(OR(L1403="ENTREGADA",L1403="RETORNADA",L1403="ENTREGA DIGITAL"),0,MAX(0,5-NETWORKDAYS(H1403+1,TODAY()))))</f>
        <v>0</v>
      </c>
      <c r="L1403">
        <f>IF(A1403="","",IFERROR(LOOKUP(2,1/(#REF!=Z1403),#REF!),Y1403))</f>
        <v>0</v>
      </c>
      <c r="Z1403" t="str">
        <f>IF(A1403="","",TEXT(A1403,"0")&amp;"|"&amp;TEXT(H1403,"0"))</f>
        <v>4921017863162450|46136</v>
      </c>
      <c r="AA1403" t="str">
        <f>IF(Z1403="","",IFERROR(LOOKUP(2,1/(#REF!=Z1403),#REF!),""))</f>
        <v/>
      </c>
      <c r="AB1403" t="str">
        <f>IF(Z1403="","",IFERROR(LOOKUP(2,1/(#REF!=Z1403),#REF!),""))</f>
        <v/>
      </c>
      <c r="AC1403" t="e">
        <f>IF(Z1403="","",COUNTIF(#REF!,Z1403))</f>
        <v>#REF!</v>
      </c>
      <c r="AD1403" t="e">
        <f>IF(A1403="","",IF(AC1403&gt;1,"REVISAR DUPLICADO",IF(AA1403&lt;&gt;"","ACTUALIZADO POR EYR","SIN REPORTE EYR")))</f>
        <v>#REF!</v>
      </c>
    </row>
    <row r="1404" spans="1:30" x14ac:dyDescent="0.3">
      <c r="A1404" s="5" t="s">
        <v>1602</v>
      </c>
      <c r="B1404" t="s">
        <v>1601</v>
      </c>
      <c r="C1404" s="4" t="s">
        <v>1600</v>
      </c>
      <c r="D1404" t="s">
        <v>600</v>
      </c>
      <c r="F1404" t="s">
        <v>1599</v>
      </c>
      <c r="G1404" s="3">
        <v>8295607051</v>
      </c>
      <c r="H1404" s="2">
        <v>46136</v>
      </c>
      <c r="K1404" s="1">
        <f ca="1">IF(A1404="","",IF(OR(L1404="ENTREGADA",L1404="RETORNADA",L1404="ENTREGA DIGITAL"),0,MAX(0,5-NETWORKDAYS(H1404+1,TODAY()))))</f>
        <v>0</v>
      </c>
      <c r="L1404">
        <f>IF(A1404="","",IFERROR(LOOKUP(2,1/(#REF!=Z1404),#REF!),Y1404))</f>
        <v>0</v>
      </c>
      <c r="Z1404" t="str">
        <f>IF(A1404="","",TEXT(A1404,"0")&amp;"|"&amp;TEXT(H1404,"0"))</f>
        <v>4921017880390040|46136</v>
      </c>
      <c r="AA1404" t="str">
        <f>IF(Z1404="","",IFERROR(LOOKUP(2,1/(#REF!=Z1404),#REF!),""))</f>
        <v/>
      </c>
      <c r="AB1404" t="str">
        <f>IF(Z1404="","",IFERROR(LOOKUP(2,1/(#REF!=Z1404),#REF!),""))</f>
        <v/>
      </c>
      <c r="AC1404" t="e">
        <f>IF(Z1404="","",COUNTIF(#REF!,Z1404))</f>
        <v>#REF!</v>
      </c>
      <c r="AD1404" t="e">
        <f>IF(A1404="","",IF(AC1404&gt;1,"REVISAR DUPLICADO",IF(AA1404&lt;&gt;"","ACTUALIZADO POR EYR","SIN REPORTE EYR")))</f>
        <v>#REF!</v>
      </c>
    </row>
    <row r="1405" spans="1:30" x14ac:dyDescent="0.3">
      <c r="A1405" s="5" t="s">
        <v>1598</v>
      </c>
      <c r="B1405" t="s">
        <v>1597</v>
      </c>
      <c r="C1405" s="4" t="s">
        <v>1596</v>
      </c>
      <c r="D1405" t="s">
        <v>600</v>
      </c>
      <c r="F1405" t="s">
        <v>1595</v>
      </c>
      <c r="G1405" s="3">
        <v>8099999999</v>
      </c>
      <c r="H1405" s="2">
        <v>46136</v>
      </c>
      <c r="K1405" s="1">
        <f ca="1">IF(A1405="","",IF(OR(L1405="ENTREGADA",L1405="RETORNADA",L1405="ENTREGA DIGITAL"),0,MAX(0,5-NETWORKDAYS(H1405+1,TODAY()))))</f>
        <v>0</v>
      </c>
      <c r="L1405">
        <f>IF(A1405="","",IFERROR(LOOKUP(2,1/(#REF!=Z1405),#REF!),Y1405))</f>
        <v>0</v>
      </c>
      <c r="Z1405" t="str">
        <f>IF(A1405="","",TEXT(A1405,"0")&amp;"|"&amp;TEXT(H1405,"0"))</f>
        <v>4921017860572800|46136</v>
      </c>
      <c r="AA1405" t="str">
        <f>IF(Z1405="","",IFERROR(LOOKUP(2,1/(#REF!=Z1405),#REF!),""))</f>
        <v/>
      </c>
      <c r="AB1405" t="str">
        <f>IF(Z1405="","",IFERROR(LOOKUP(2,1/(#REF!=Z1405),#REF!),""))</f>
        <v/>
      </c>
      <c r="AC1405" t="e">
        <f>IF(Z1405="","",COUNTIF(#REF!,Z1405))</f>
        <v>#REF!</v>
      </c>
      <c r="AD1405" t="e">
        <f>IF(A1405="","",IF(AC1405&gt;1,"REVISAR DUPLICADO",IF(AA1405&lt;&gt;"","ACTUALIZADO POR EYR","SIN REPORTE EYR")))</f>
        <v>#REF!</v>
      </c>
    </row>
    <row r="1406" spans="1:30" x14ac:dyDescent="0.3">
      <c r="A1406" s="5" t="s">
        <v>1594</v>
      </c>
      <c r="B1406" t="s">
        <v>1593</v>
      </c>
      <c r="C1406" s="4" t="s">
        <v>1592</v>
      </c>
      <c r="D1406" t="s">
        <v>600</v>
      </c>
      <c r="F1406" t="s">
        <v>13</v>
      </c>
      <c r="G1406" s="3">
        <v>8095452093</v>
      </c>
      <c r="H1406" s="2">
        <v>46136</v>
      </c>
      <c r="K1406" s="1">
        <f ca="1">IF(A1406="","",IF(OR(L1406="ENTREGADA",L1406="RETORNADA",L1406="ENTREGA DIGITAL"),0,MAX(0,5-NETWORKDAYS(H1406+1,TODAY()))))</f>
        <v>0</v>
      </c>
      <c r="L1406">
        <f>IF(A1406="","",IFERROR(LOOKUP(2,1/(#REF!=Z1406),#REF!),Y1406))</f>
        <v>0</v>
      </c>
      <c r="Z1406" t="str">
        <f>IF(A1406="","",TEXT(A1406,"0")&amp;"|"&amp;TEXT(H1406,"0"))</f>
        <v>4921017707462450|46136</v>
      </c>
      <c r="AA1406" t="str">
        <f>IF(Z1406="","",IFERROR(LOOKUP(2,1/(#REF!=Z1406),#REF!),""))</f>
        <v/>
      </c>
      <c r="AB1406" t="str">
        <f>IF(Z1406="","",IFERROR(LOOKUP(2,1/(#REF!=Z1406),#REF!),""))</f>
        <v/>
      </c>
      <c r="AC1406" t="e">
        <f>IF(Z1406="","",COUNTIF(#REF!,Z1406))</f>
        <v>#REF!</v>
      </c>
      <c r="AD1406" t="e">
        <f>IF(A1406="","",IF(AC1406&gt;1,"REVISAR DUPLICADO",IF(AA1406&lt;&gt;"","ACTUALIZADO POR EYR","SIN REPORTE EYR")))</f>
        <v>#REF!</v>
      </c>
    </row>
    <row r="1407" spans="1:30" x14ac:dyDescent="0.3">
      <c r="A1407" s="5" t="s">
        <v>1591</v>
      </c>
      <c r="B1407" t="s">
        <v>1590</v>
      </c>
      <c r="C1407" s="4" t="s">
        <v>1589</v>
      </c>
      <c r="D1407" t="s">
        <v>600</v>
      </c>
      <c r="F1407" t="s">
        <v>13</v>
      </c>
      <c r="G1407" s="3">
        <v>8092164221</v>
      </c>
      <c r="H1407" s="2">
        <v>46136</v>
      </c>
      <c r="K1407" s="1">
        <f ca="1">IF(A1407="","",IF(OR(L1407="ENTREGADA",L1407="RETORNADA",L1407="ENTREGA DIGITAL"),0,MAX(0,5-NETWORKDAYS(H1407+1,TODAY()))))</f>
        <v>0</v>
      </c>
      <c r="L1407">
        <f>IF(A1407="","",IFERROR(LOOKUP(2,1/(#REF!=Z1407),#REF!),Y1407))</f>
        <v>0</v>
      </c>
      <c r="Z1407" t="str">
        <f>IF(A1407="","",TEXT(A1407,"0")&amp;"|"&amp;TEXT(H1407,"0"))</f>
        <v>4921017846497400|46136</v>
      </c>
      <c r="AA1407" t="str">
        <f>IF(Z1407="","",IFERROR(LOOKUP(2,1/(#REF!=Z1407),#REF!),""))</f>
        <v/>
      </c>
      <c r="AB1407" t="str">
        <f>IF(Z1407="","",IFERROR(LOOKUP(2,1/(#REF!=Z1407),#REF!),""))</f>
        <v/>
      </c>
      <c r="AC1407" t="e">
        <f>IF(Z1407="","",COUNTIF(#REF!,Z1407))</f>
        <v>#REF!</v>
      </c>
      <c r="AD1407" t="e">
        <f>IF(A1407="","",IF(AC1407&gt;1,"REVISAR DUPLICADO",IF(AA1407&lt;&gt;"","ACTUALIZADO POR EYR","SIN REPORTE EYR")))</f>
        <v>#REF!</v>
      </c>
    </row>
    <row r="1408" spans="1:30" x14ac:dyDescent="0.3">
      <c r="A1408" s="5" t="s">
        <v>1588</v>
      </c>
      <c r="B1408" t="s">
        <v>1587</v>
      </c>
      <c r="C1408" s="4" t="s">
        <v>1586</v>
      </c>
      <c r="D1408" t="s">
        <v>600</v>
      </c>
      <c r="F1408" t="s">
        <v>13</v>
      </c>
      <c r="G1408" s="3">
        <v>8293665075</v>
      </c>
      <c r="H1408" s="2">
        <v>46136</v>
      </c>
      <c r="K1408" s="1">
        <f ca="1">IF(A1408="","",IF(OR(L1408="ENTREGADA",L1408="RETORNADA",L1408="ENTREGA DIGITAL"),0,MAX(0,5-NETWORKDAYS(H1408+1,TODAY()))))</f>
        <v>0</v>
      </c>
      <c r="L1408">
        <f>IF(A1408="","",IFERROR(LOOKUP(2,1/(#REF!=Z1408),#REF!),Y1408))</f>
        <v>0</v>
      </c>
      <c r="Z1408" t="str">
        <f>IF(A1408="","",TEXT(A1408,"0")&amp;"|"&amp;TEXT(H1408,"0"))</f>
        <v>4921017886823450|46136</v>
      </c>
      <c r="AA1408" t="str">
        <f>IF(Z1408="","",IFERROR(LOOKUP(2,1/(#REF!=Z1408),#REF!),""))</f>
        <v/>
      </c>
      <c r="AB1408" t="str">
        <f>IF(Z1408="","",IFERROR(LOOKUP(2,1/(#REF!=Z1408),#REF!),""))</f>
        <v/>
      </c>
      <c r="AC1408" t="e">
        <f>IF(Z1408="","",COUNTIF(#REF!,Z1408))</f>
        <v>#REF!</v>
      </c>
      <c r="AD1408" t="e">
        <f>IF(A1408="","",IF(AC1408&gt;1,"REVISAR DUPLICADO",IF(AA1408&lt;&gt;"","ACTUALIZADO POR EYR","SIN REPORTE EYR")))</f>
        <v>#REF!</v>
      </c>
    </row>
    <row r="1409" spans="1:30" x14ac:dyDescent="0.3">
      <c r="A1409" s="5" t="s">
        <v>1585</v>
      </c>
      <c r="B1409" t="s">
        <v>1584</v>
      </c>
      <c r="C1409" s="4" t="s">
        <v>1583</v>
      </c>
      <c r="D1409" t="s">
        <v>600</v>
      </c>
      <c r="F1409" t="s">
        <v>1582</v>
      </c>
      <c r="G1409" s="3">
        <v>8095681036</v>
      </c>
      <c r="H1409" s="2">
        <v>46136</v>
      </c>
      <c r="K1409" s="1">
        <f ca="1">IF(A1409="","",IF(OR(L1409="ENTREGADA",L1409="RETORNADA",L1409="ENTREGA DIGITAL"),0,MAX(0,5-NETWORKDAYS(H1409+1,TODAY()))))</f>
        <v>0</v>
      </c>
      <c r="L1409">
        <f>IF(A1409="","",IFERROR(LOOKUP(2,1/(#REF!=Z1409),#REF!),Y1409))</f>
        <v>0</v>
      </c>
      <c r="Z1409" t="str">
        <f>IF(A1409="","",TEXT(A1409,"0")&amp;"|"&amp;TEXT(H1409,"0"))</f>
        <v>5549017859683100|46136</v>
      </c>
      <c r="AA1409" t="str">
        <f>IF(Z1409="","",IFERROR(LOOKUP(2,1/(#REF!=Z1409),#REF!),""))</f>
        <v/>
      </c>
      <c r="AB1409" t="str">
        <f>IF(Z1409="","",IFERROR(LOOKUP(2,1/(#REF!=Z1409),#REF!),""))</f>
        <v/>
      </c>
      <c r="AC1409" t="e">
        <f>IF(Z1409="","",COUNTIF(#REF!,Z1409))</f>
        <v>#REF!</v>
      </c>
      <c r="AD1409" t="e">
        <f>IF(A1409="","",IF(AC1409&gt;1,"REVISAR DUPLICADO",IF(AA1409&lt;&gt;"","ACTUALIZADO POR EYR","SIN REPORTE EYR")))</f>
        <v>#REF!</v>
      </c>
    </row>
    <row r="1410" spans="1:30" x14ac:dyDescent="0.3">
      <c r="A1410" s="5" t="s">
        <v>1581</v>
      </c>
      <c r="B1410" t="s">
        <v>1580</v>
      </c>
      <c r="C1410" s="4" t="s">
        <v>1579</v>
      </c>
      <c r="D1410" t="s">
        <v>600</v>
      </c>
      <c r="F1410" t="s">
        <v>13</v>
      </c>
      <c r="G1410" s="3">
        <v>8295398240</v>
      </c>
      <c r="H1410" s="2">
        <v>46136</v>
      </c>
      <c r="K1410" s="1">
        <f ca="1">IF(A1410="","",IF(OR(L1410="ENTREGADA",L1410="RETORNADA",L1410="ENTREGA DIGITAL"),0,MAX(0,5-NETWORKDAYS(H1410+1,TODAY()))))</f>
        <v>0</v>
      </c>
      <c r="L1410">
        <f>IF(A1410="","",IFERROR(LOOKUP(2,1/(#REF!=Z1410),#REF!),Y1410))</f>
        <v>0</v>
      </c>
      <c r="Z1410" t="str">
        <f>IF(A1410="","",TEXT(A1410,"0")&amp;"|"&amp;TEXT(H1410,"0"))</f>
        <v>5415017864329750|46136</v>
      </c>
      <c r="AA1410" t="str">
        <f>IF(Z1410="","",IFERROR(LOOKUP(2,1/(#REF!=Z1410),#REF!),""))</f>
        <v/>
      </c>
      <c r="AB1410" t="str">
        <f>IF(Z1410="","",IFERROR(LOOKUP(2,1/(#REF!=Z1410),#REF!),""))</f>
        <v/>
      </c>
      <c r="AC1410" t="e">
        <f>IF(Z1410="","",COUNTIF(#REF!,Z1410))</f>
        <v>#REF!</v>
      </c>
      <c r="AD1410" t="e">
        <f>IF(A1410="","",IF(AC1410&gt;1,"REVISAR DUPLICADO",IF(AA1410&lt;&gt;"","ACTUALIZADO POR EYR","SIN REPORTE EYR")))</f>
        <v>#REF!</v>
      </c>
    </row>
    <row r="1411" spans="1:30" x14ac:dyDescent="0.3">
      <c r="A1411" s="5" t="s">
        <v>1578</v>
      </c>
      <c r="B1411" t="s">
        <v>1577</v>
      </c>
      <c r="C1411" s="4" t="s">
        <v>1576</v>
      </c>
      <c r="D1411" t="s">
        <v>600</v>
      </c>
      <c r="F1411" t="s">
        <v>1575</v>
      </c>
      <c r="G1411" s="3">
        <v>8293420699</v>
      </c>
      <c r="H1411" s="2">
        <v>46136</v>
      </c>
      <c r="K1411" s="1">
        <f ca="1">IF(A1411="","",IF(OR(L1411="ENTREGADA",L1411="RETORNADA",L1411="ENTREGA DIGITAL"),0,MAX(0,5-NETWORKDAYS(H1411+1,TODAY()))))</f>
        <v>0</v>
      </c>
      <c r="L1411">
        <f>IF(A1411="","",IFERROR(LOOKUP(2,1/(#REF!=Z1411),#REF!),Y1411))</f>
        <v>0</v>
      </c>
      <c r="Z1411" t="str">
        <f>IF(A1411="","",TEXT(A1411,"0")&amp;"|"&amp;TEXT(H1411,"0"))</f>
        <v>4921017886624770|46136</v>
      </c>
      <c r="AA1411" t="str">
        <f>IF(Z1411="","",IFERROR(LOOKUP(2,1/(#REF!=Z1411),#REF!),""))</f>
        <v/>
      </c>
      <c r="AB1411" t="str">
        <f>IF(Z1411="","",IFERROR(LOOKUP(2,1/(#REF!=Z1411),#REF!),""))</f>
        <v/>
      </c>
      <c r="AC1411" t="e">
        <f>IF(Z1411="","",COUNTIF(#REF!,Z1411))</f>
        <v>#REF!</v>
      </c>
      <c r="AD1411" t="e">
        <f>IF(A1411="","",IF(AC1411&gt;1,"REVISAR DUPLICADO",IF(AA1411&lt;&gt;"","ACTUALIZADO POR EYR","SIN REPORTE EYR")))</f>
        <v>#REF!</v>
      </c>
    </row>
    <row r="1412" spans="1:30" x14ac:dyDescent="0.3">
      <c r="A1412" s="5" t="s">
        <v>1574</v>
      </c>
      <c r="B1412" t="s">
        <v>1573</v>
      </c>
      <c r="C1412" s="4" t="s">
        <v>1572</v>
      </c>
      <c r="D1412" t="s">
        <v>600</v>
      </c>
      <c r="F1412" t="s">
        <v>1571</v>
      </c>
      <c r="G1412" s="3">
        <v>8493970999</v>
      </c>
      <c r="H1412" s="2">
        <v>46136</v>
      </c>
      <c r="K1412" s="1">
        <f ca="1">IF(A1412="","",IF(OR(L1412="ENTREGADA",L1412="RETORNADA",L1412="ENTREGA DIGITAL"),0,MAX(0,5-NETWORKDAYS(H1412+1,TODAY()))))</f>
        <v>0</v>
      </c>
      <c r="L1412">
        <f>IF(A1412="","",IFERROR(LOOKUP(2,1/(#REF!=Z1412),#REF!),Y1412))</f>
        <v>0</v>
      </c>
      <c r="Z1412" t="str">
        <f>IF(A1412="","",TEXT(A1412,"0")&amp;"|"&amp;TEXT(H1412,"0"))</f>
        <v>4921017887625460|46136</v>
      </c>
      <c r="AA1412" t="str">
        <f>IF(Z1412="","",IFERROR(LOOKUP(2,1/(#REF!=Z1412),#REF!),""))</f>
        <v/>
      </c>
      <c r="AB1412" t="str">
        <f>IF(Z1412="","",IFERROR(LOOKUP(2,1/(#REF!=Z1412),#REF!),""))</f>
        <v/>
      </c>
      <c r="AC1412" t="e">
        <f>IF(Z1412="","",COUNTIF(#REF!,Z1412))</f>
        <v>#REF!</v>
      </c>
      <c r="AD1412" t="e">
        <f>IF(A1412="","",IF(AC1412&gt;1,"REVISAR DUPLICADO",IF(AA1412&lt;&gt;"","ACTUALIZADO POR EYR","SIN REPORTE EYR")))</f>
        <v>#REF!</v>
      </c>
    </row>
    <row r="1413" spans="1:30" x14ac:dyDescent="0.3">
      <c r="A1413" s="5" t="s">
        <v>1570</v>
      </c>
      <c r="B1413" t="s">
        <v>1569</v>
      </c>
      <c r="C1413" s="4" t="s">
        <v>1568</v>
      </c>
      <c r="D1413" t="s">
        <v>600</v>
      </c>
      <c r="H1413" s="2">
        <v>46136</v>
      </c>
      <c r="K1413" s="1">
        <f ca="1">IF(A1413="","",IF(OR(L1413="ENTREGADA",L1413="RETORNADA",L1413="ENTREGA DIGITAL"),0,MAX(0,5-NETWORKDAYS(H1413+1,TODAY()))))</f>
        <v>0</v>
      </c>
      <c r="L1413">
        <f>IF(A1413="","",IFERROR(LOOKUP(2,1/(#REF!=Z1413),#REF!),Y1413))</f>
        <v>0</v>
      </c>
      <c r="Z1413" t="str">
        <f>IF(A1413="","",TEXT(A1413,"0")&amp;"|"&amp;TEXT(H1413,"0"))</f>
        <v>4025017774115050|46136</v>
      </c>
      <c r="AA1413" t="str">
        <f>IF(Z1413="","",IFERROR(LOOKUP(2,1/(#REF!=Z1413),#REF!),""))</f>
        <v/>
      </c>
      <c r="AB1413" t="str">
        <f>IF(Z1413="","",IFERROR(LOOKUP(2,1/(#REF!=Z1413),#REF!),""))</f>
        <v/>
      </c>
      <c r="AC1413" t="e">
        <f>IF(Z1413="","",COUNTIF(#REF!,Z1413))</f>
        <v>#REF!</v>
      </c>
      <c r="AD1413" t="e">
        <f>IF(A1413="","",IF(AC1413&gt;1,"REVISAR DUPLICADO",IF(AA1413&lt;&gt;"","ACTUALIZADO POR EYR","SIN REPORTE EYR")))</f>
        <v>#REF!</v>
      </c>
    </row>
    <row r="1414" spans="1:30" x14ac:dyDescent="0.3">
      <c r="A1414" s="5" t="s">
        <v>1567</v>
      </c>
      <c r="B1414" t="s">
        <v>1566</v>
      </c>
      <c r="C1414" s="4" t="s">
        <v>1565</v>
      </c>
      <c r="D1414" t="s">
        <v>600</v>
      </c>
      <c r="H1414" s="2">
        <v>46136</v>
      </c>
      <c r="K1414" s="1">
        <f ca="1">IF(A1414="","",IF(OR(L1414="ENTREGADA",L1414="RETORNADA",L1414="ENTREGA DIGITAL"),0,MAX(0,5-NETWORKDAYS(H1414+1,TODAY()))))</f>
        <v>0</v>
      </c>
      <c r="L1414">
        <f>IF(A1414="","",IFERROR(LOOKUP(2,1/(#REF!=Z1414),#REF!),Y1414))</f>
        <v>0</v>
      </c>
      <c r="Z1414" t="str">
        <f>IF(A1414="","",TEXT(A1414,"0")&amp;"|"&amp;TEXT(H1414,"0"))</f>
        <v>4921017892455030|46136</v>
      </c>
      <c r="AA1414" t="str">
        <f>IF(Z1414="","",IFERROR(LOOKUP(2,1/(#REF!=Z1414),#REF!),""))</f>
        <v/>
      </c>
      <c r="AB1414" t="str">
        <f>IF(Z1414="","",IFERROR(LOOKUP(2,1/(#REF!=Z1414),#REF!),""))</f>
        <v/>
      </c>
      <c r="AC1414" t="e">
        <f>IF(Z1414="","",COUNTIF(#REF!,Z1414))</f>
        <v>#REF!</v>
      </c>
      <c r="AD1414" t="e">
        <f>IF(A1414="","",IF(AC1414&gt;1,"REVISAR DUPLICADO",IF(AA1414&lt;&gt;"","ACTUALIZADO POR EYR","SIN REPORTE EYR")))</f>
        <v>#REF!</v>
      </c>
    </row>
    <row r="1415" spans="1:30" x14ac:dyDescent="0.3">
      <c r="A1415" s="5" t="s">
        <v>1564</v>
      </c>
      <c r="B1415" t="s">
        <v>1563</v>
      </c>
      <c r="C1415" s="4" t="s">
        <v>1562</v>
      </c>
      <c r="D1415" t="s">
        <v>600</v>
      </c>
      <c r="H1415" s="2">
        <v>46136</v>
      </c>
      <c r="K1415" s="1">
        <f ca="1">IF(A1415="","",IF(OR(L1415="ENTREGADA",L1415="RETORNADA",L1415="ENTREGA DIGITAL"),0,MAX(0,5-NETWORKDAYS(H1415+1,TODAY()))))</f>
        <v>0</v>
      </c>
      <c r="L1415">
        <f>IF(A1415="","",IFERROR(LOOKUP(2,1/(#REF!=Z1415),#REF!),Y1415))</f>
        <v>0</v>
      </c>
      <c r="Z1415" t="str">
        <f>IF(A1415="","",TEXT(A1415,"0")&amp;"|"&amp;TEXT(H1415,"0"))</f>
        <v>5188017885249850|46136</v>
      </c>
      <c r="AA1415" t="str">
        <f>IF(Z1415="","",IFERROR(LOOKUP(2,1/(#REF!=Z1415),#REF!),""))</f>
        <v/>
      </c>
      <c r="AB1415" t="str">
        <f>IF(Z1415="","",IFERROR(LOOKUP(2,1/(#REF!=Z1415),#REF!),""))</f>
        <v/>
      </c>
      <c r="AC1415" t="e">
        <f>IF(Z1415="","",COUNTIF(#REF!,Z1415))</f>
        <v>#REF!</v>
      </c>
      <c r="AD1415" t="e">
        <f>IF(A1415="","",IF(AC1415&gt;1,"REVISAR DUPLICADO",IF(AA1415&lt;&gt;"","ACTUALIZADO POR EYR","SIN REPORTE EYR")))</f>
        <v>#REF!</v>
      </c>
    </row>
    <row r="1416" spans="1:30" x14ac:dyDescent="0.3">
      <c r="A1416" s="5" t="s">
        <v>1561</v>
      </c>
      <c r="B1416" t="s">
        <v>1560</v>
      </c>
      <c r="C1416" s="4" t="s">
        <v>1559</v>
      </c>
      <c r="D1416" t="s">
        <v>21</v>
      </c>
      <c r="F1416" t="s">
        <v>1558</v>
      </c>
      <c r="G1416" s="3">
        <v>8297059541</v>
      </c>
      <c r="H1416" s="2">
        <v>46136</v>
      </c>
      <c r="K1416" s="1">
        <f ca="1">IF(A1416="","",IF(OR(L1416="ENTREGADA",L1416="RETORNADA",L1416="ENTREGA DIGITAL"),0,MAX(0,5-NETWORKDAYS(H1416+1,TODAY()))))</f>
        <v>0</v>
      </c>
      <c r="L1416">
        <f>IF(A1416="","",IFERROR(LOOKUP(2,1/(#REF!=Z1416),#REF!),Y1416))</f>
        <v>0</v>
      </c>
      <c r="Z1416" t="str">
        <f>IF(A1416="","",TEXT(A1416,"0")&amp;"|"&amp;TEXT(H1416,"0"))</f>
        <v>5192017901147600|46136</v>
      </c>
      <c r="AA1416" t="str">
        <f>IF(Z1416="","",IFERROR(LOOKUP(2,1/(#REF!=Z1416),#REF!),""))</f>
        <v/>
      </c>
      <c r="AB1416" t="str">
        <f>IF(Z1416="","",IFERROR(LOOKUP(2,1/(#REF!=Z1416),#REF!),""))</f>
        <v/>
      </c>
      <c r="AC1416" t="e">
        <f>IF(Z1416="","",COUNTIF(#REF!,Z1416))</f>
        <v>#REF!</v>
      </c>
      <c r="AD1416" t="e">
        <f>IF(A1416="","",IF(AC1416&gt;1,"REVISAR DUPLICADO",IF(AA1416&lt;&gt;"","ACTUALIZADO POR EYR","SIN REPORTE EYR")))</f>
        <v>#REF!</v>
      </c>
    </row>
    <row r="1417" spans="1:30" x14ac:dyDescent="0.3">
      <c r="A1417" s="5" t="s">
        <v>1557</v>
      </c>
      <c r="B1417" t="s">
        <v>1556</v>
      </c>
      <c r="C1417" s="4" t="s">
        <v>1555</v>
      </c>
      <c r="D1417" t="s">
        <v>21</v>
      </c>
      <c r="F1417" t="s">
        <v>587</v>
      </c>
      <c r="G1417" s="3">
        <v>8296952627</v>
      </c>
      <c r="H1417" s="2">
        <v>46136</v>
      </c>
      <c r="K1417" s="1">
        <f ca="1">IF(A1417="","",IF(OR(L1417="ENTREGADA",L1417="RETORNADA",L1417="ENTREGA DIGITAL"),0,MAX(0,5-NETWORKDAYS(H1417+1,TODAY()))))</f>
        <v>0</v>
      </c>
      <c r="L1417">
        <f>IF(A1417="","",IFERROR(LOOKUP(2,1/(#REF!=Z1417),#REF!),Y1417))</f>
        <v>0</v>
      </c>
      <c r="Z1417" t="str">
        <f>IF(A1417="","",TEXT(A1417,"0")&amp;"|"&amp;TEXT(H1417,"0"))</f>
        <v>4921017901273260|46136</v>
      </c>
      <c r="AA1417" t="str">
        <f>IF(Z1417="","",IFERROR(LOOKUP(2,1/(#REF!=Z1417),#REF!),""))</f>
        <v/>
      </c>
      <c r="AB1417" t="str">
        <f>IF(Z1417="","",IFERROR(LOOKUP(2,1/(#REF!=Z1417),#REF!),""))</f>
        <v/>
      </c>
      <c r="AC1417" t="e">
        <f>IF(Z1417="","",COUNTIF(#REF!,Z1417))</f>
        <v>#REF!</v>
      </c>
      <c r="AD1417" t="e">
        <f>IF(A1417="","",IF(AC1417&gt;1,"REVISAR DUPLICADO",IF(AA1417&lt;&gt;"","ACTUALIZADO POR EYR","SIN REPORTE EYR")))</f>
        <v>#REF!</v>
      </c>
    </row>
    <row r="1418" spans="1:30" x14ac:dyDescent="0.3">
      <c r="A1418" s="5" t="s">
        <v>1554</v>
      </c>
      <c r="B1418" t="s">
        <v>1553</v>
      </c>
      <c r="C1418" s="4" t="s">
        <v>1552</v>
      </c>
      <c r="D1418" t="s">
        <v>21</v>
      </c>
      <c r="F1418" t="s">
        <v>579</v>
      </c>
      <c r="G1418" s="3">
        <v>8295780718</v>
      </c>
      <c r="H1418" s="2">
        <v>46136</v>
      </c>
      <c r="K1418" s="1">
        <f ca="1">IF(A1418="","",IF(OR(L1418="ENTREGADA",L1418="RETORNADA",L1418="ENTREGA DIGITAL"),0,MAX(0,5-NETWORKDAYS(H1418+1,TODAY()))))</f>
        <v>0</v>
      </c>
      <c r="L1418">
        <f>IF(A1418="","",IFERROR(LOOKUP(2,1/(#REF!=Z1418),#REF!),Y1418))</f>
        <v>0</v>
      </c>
      <c r="Z1418" t="str">
        <f>IF(A1418="","",TEXT(A1418,"0")&amp;"|"&amp;TEXT(H1418,"0"))</f>
        <v>4921017901406060|46136</v>
      </c>
      <c r="AA1418" t="str">
        <f>IF(Z1418="","",IFERROR(LOOKUP(2,1/(#REF!=Z1418),#REF!),""))</f>
        <v/>
      </c>
      <c r="AB1418" t="str">
        <f>IF(Z1418="","",IFERROR(LOOKUP(2,1/(#REF!=Z1418),#REF!),""))</f>
        <v/>
      </c>
      <c r="AC1418" t="e">
        <f>IF(Z1418="","",COUNTIF(#REF!,Z1418))</f>
        <v>#REF!</v>
      </c>
      <c r="AD1418" t="e">
        <f>IF(A1418="","",IF(AC1418&gt;1,"REVISAR DUPLICADO",IF(AA1418&lt;&gt;"","ACTUALIZADO POR EYR","SIN REPORTE EYR")))</f>
        <v>#REF!</v>
      </c>
    </row>
    <row r="1419" spans="1:30" x14ac:dyDescent="0.3">
      <c r="A1419" s="5" t="s">
        <v>1551</v>
      </c>
      <c r="B1419" t="s">
        <v>1550</v>
      </c>
      <c r="C1419" s="4" t="s">
        <v>1549</v>
      </c>
      <c r="D1419" t="s">
        <v>21</v>
      </c>
      <c r="F1419" t="s">
        <v>1548</v>
      </c>
      <c r="G1419" s="3">
        <v>8096664876</v>
      </c>
      <c r="H1419" s="2">
        <v>46136</v>
      </c>
      <c r="K1419" s="1">
        <f ca="1">IF(A1419="","",IF(OR(L1419="ENTREGADA",L1419="RETORNADA",L1419="ENTREGA DIGITAL"),0,MAX(0,5-NETWORKDAYS(H1419+1,TODAY()))))</f>
        <v>0</v>
      </c>
      <c r="L1419">
        <f>IF(A1419="","",IFERROR(LOOKUP(2,1/(#REF!=Z1419),#REF!),Y1419))</f>
        <v>0</v>
      </c>
      <c r="Z1419" t="str">
        <f>IF(A1419="","",TEXT(A1419,"0")&amp;"|"&amp;TEXT(H1419,"0"))</f>
        <v>4921017902696810|46136</v>
      </c>
      <c r="AA1419" t="str">
        <f>IF(Z1419="","",IFERROR(LOOKUP(2,1/(#REF!=Z1419),#REF!),""))</f>
        <v/>
      </c>
      <c r="AB1419" t="str">
        <f>IF(Z1419="","",IFERROR(LOOKUP(2,1/(#REF!=Z1419),#REF!),""))</f>
        <v/>
      </c>
      <c r="AC1419" t="e">
        <f>IF(Z1419="","",COUNTIF(#REF!,Z1419))</f>
        <v>#REF!</v>
      </c>
      <c r="AD1419" t="e">
        <f>IF(A1419="","",IF(AC1419&gt;1,"REVISAR DUPLICADO",IF(AA1419&lt;&gt;"","ACTUALIZADO POR EYR","SIN REPORTE EYR")))</f>
        <v>#REF!</v>
      </c>
    </row>
    <row r="1420" spans="1:30" x14ac:dyDescent="0.3">
      <c r="A1420" s="5" t="s">
        <v>1547</v>
      </c>
      <c r="B1420" t="s">
        <v>1546</v>
      </c>
      <c r="C1420" s="4" t="s">
        <v>1545</v>
      </c>
      <c r="D1420" t="s">
        <v>21</v>
      </c>
      <c r="F1420" t="s">
        <v>0</v>
      </c>
      <c r="G1420" s="3">
        <v>8099107579</v>
      </c>
      <c r="H1420" s="2">
        <v>46136</v>
      </c>
      <c r="K1420" s="1">
        <f ca="1">IF(A1420="","",IF(OR(L1420="ENTREGADA",L1420="RETORNADA",L1420="ENTREGA DIGITAL"),0,MAX(0,5-NETWORKDAYS(H1420+1,TODAY()))))</f>
        <v>0</v>
      </c>
      <c r="L1420">
        <f>IF(A1420="","",IFERROR(LOOKUP(2,1/(#REF!=Z1420),#REF!),Y1420))</f>
        <v>0</v>
      </c>
      <c r="Z1420" t="str">
        <f>IF(A1420="","",TEXT(A1420,"0")&amp;"|"&amp;TEXT(H1420,"0"))</f>
        <v>5415017329873110|46136</v>
      </c>
      <c r="AA1420" t="str">
        <f>IF(Z1420="","",IFERROR(LOOKUP(2,1/(#REF!=Z1420),#REF!),""))</f>
        <v/>
      </c>
      <c r="AB1420" t="str">
        <f>IF(Z1420="","",IFERROR(LOOKUP(2,1/(#REF!=Z1420),#REF!),""))</f>
        <v/>
      </c>
      <c r="AC1420" t="e">
        <f>IF(Z1420="","",COUNTIF(#REF!,Z1420))</f>
        <v>#REF!</v>
      </c>
      <c r="AD1420" t="e">
        <f>IF(A1420="","",IF(AC1420&gt;1,"REVISAR DUPLICADO",IF(AA1420&lt;&gt;"","ACTUALIZADO POR EYR","SIN REPORTE EYR")))</f>
        <v>#REF!</v>
      </c>
    </row>
    <row r="1421" spans="1:30" x14ac:dyDescent="0.3">
      <c r="A1421" s="5" t="s">
        <v>1544</v>
      </c>
      <c r="B1421" t="s">
        <v>1543</v>
      </c>
      <c r="C1421" s="4" t="s">
        <v>1542</v>
      </c>
      <c r="D1421" t="s">
        <v>21</v>
      </c>
      <c r="F1421" t="s">
        <v>13</v>
      </c>
      <c r="G1421" s="3">
        <v>8096521643</v>
      </c>
      <c r="H1421" s="2">
        <v>46136</v>
      </c>
      <c r="K1421" s="1">
        <f ca="1">IF(A1421="","",IF(OR(L1421="ENTREGADA",L1421="RETORNADA",L1421="ENTREGA DIGITAL"),0,MAX(0,5-NETWORKDAYS(H1421+1,TODAY()))))</f>
        <v>0</v>
      </c>
      <c r="L1421">
        <f>IF(A1421="","",IFERROR(LOOKUP(2,1/(#REF!=Z1421),#REF!),Y1421))</f>
        <v>0</v>
      </c>
      <c r="Z1421" t="str">
        <f>IF(A1421="","",TEXT(A1421,"0")&amp;"|"&amp;TEXT(H1421,"0"))</f>
        <v>4921017736589600|46136</v>
      </c>
      <c r="AA1421" t="str">
        <f>IF(Z1421="","",IFERROR(LOOKUP(2,1/(#REF!=Z1421),#REF!),""))</f>
        <v/>
      </c>
      <c r="AB1421" t="str">
        <f>IF(Z1421="","",IFERROR(LOOKUP(2,1/(#REF!=Z1421),#REF!),""))</f>
        <v/>
      </c>
      <c r="AC1421" t="e">
        <f>IF(Z1421="","",COUNTIF(#REF!,Z1421))</f>
        <v>#REF!</v>
      </c>
      <c r="AD1421" t="e">
        <f>IF(A1421="","",IF(AC1421&gt;1,"REVISAR DUPLICADO",IF(AA1421&lt;&gt;"","ACTUALIZADO POR EYR","SIN REPORTE EYR")))</f>
        <v>#REF!</v>
      </c>
    </row>
    <row r="1422" spans="1:30" x14ac:dyDescent="0.3">
      <c r="A1422" s="5" t="s">
        <v>1541</v>
      </c>
      <c r="B1422" t="s">
        <v>1540</v>
      </c>
      <c r="C1422" s="4" t="s">
        <v>1539</v>
      </c>
      <c r="D1422" t="s">
        <v>21</v>
      </c>
      <c r="F1422" t="s">
        <v>0</v>
      </c>
      <c r="G1422" s="3">
        <v>8095293708</v>
      </c>
      <c r="H1422" s="2">
        <v>46136</v>
      </c>
      <c r="K1422" s="1">
        <f ca="1">IF(A1422="","",IF(OR(L1422="ENTREGADA",L1422="RETORNADA",L1422="ENTREGA DIGITAL"),0,MAX(0,5-NETWORKDAYS(H1422+1,TODAY()))))</f>
        <v>0</v>
      </c>
      <c r="L1422">
        <f>IF(A1422="","",IFERROR(LOOKUP(2,1/(#REF!=Z1422),#REF!),Y1422))</f>
        <v>0</v>
      </c>
      <c r="Z1422" t="str">
        <f>IF(A1422="","",TEXT(A1422,"0")&amp;"|"&amp;TEXT(H1422,"0"))</f>
        <v>4921017898293610|46136</v>
      </c>
      <c r="AA1422" t="str">
        <f>IF(Z1422="","",IFERROR(LOOKUP(2,1/(#REF!=Z1422),#REF!),""))</f>
        <v/>
      </c>
      <c r="AB1422" t="str">
        <f>IF(Z1422="","",IFERROR(LOOKUP(2,1/(#REF!=Z1422),#REF!),""))</f>
        <v/>
      </c>
      <c r="AC1422" t="e">
        <f>IF(Z1422="","",COUNTIF(#REF!,Z1422))</f>
        <v>#REF!</v>
      </c>
      <c r="AD1422" t="e">
        <f>IF(A1422="","",IF(AC1422&gt;1,"REVISAR DUPLICADO",IF(AA1422&lt;&gt;"","ACTUALIZADO POR EYR","SIN REPORTE EYR")))</f>
        <v>#REF!</v>
      </c>
    </row>
    <row r="1423" spans="1:30" x14ac:dyDescent="0.3">
      <c r="A1423" s="5" t="s">
        <v>1538</v>
      </c>
      <c r="B1423" t="s">
        <v>1537</v>
      </c>
      <c r="C1423" s="4" t="s">
        <v>1536</v>
      </c>
      <c r="D1423" t="s">
        <v>21</v>
      </c>
      <c r="F1423" t="s">
        <v>13</v>
      </c>
      <c r="G1423" s="3">
        <v>8092460627</v>
      </c>
      <c r="H1423" s="2">
        <v>46136</v>
      </c>
      <c r="K1423" s="1">
        <f ca="1">IF(A1423="","",IF(OR(L1423="ENTREGADA",L1423="RETORNADA",L1423="ENTREGA DIGITAL"),0,MAX(0,5-NETWORKDAYS(H1423+1,TODAY()))))</f>
        <v>0</v>
      </c>
      <c r="L1423">
        <f>IF(A1423="","",IFERROR(LOOKUP(2,1/(#REF!=Z1423),#REF!),Y1423))</f>
        <v>0</v>
      </c>
      <c r="Z1423" t="str">
        <f>IF(A1423="","",TEXT(A1423,"0")&amp;"|"&amp;TEXT(H1423,"0"))</f>
        <v>4921017897150060|46136</v>
      </c>
      <c r="AA1423" t="str">
        <f>IF(Z1423="","",IFERROR(LOOKUP(2,1/(#REF!=Z1423),#REF!),""))</f>
        <v/>
      </c>
      <c r="AB1423" t="str">
        <f>IF(Z1423="","",IFERROR(LOOKUP(2,1/(#REF!=Z1423),#REF!),""))</f>
        <v/>
      </c>
      <c r="AC1423" t="e">
        <f>IF(Z1423="","",COUNTIF(#REF!,Z1423))</f>
        <v>#REF!</v>
      </c>
      <c r="AD1423" t="e">
        <f>IF(A1423="","",IF(AC1423&gt;1,"REVISAR DUPLICADO",IF(AA1423&lt;&gt;"","ACTUALIZADO POR EYR","SIN REPORTE EYR")))</f>
        <v>#REF!</v>
      </c>
    </row>
    <row r="1424" spans="1:30" x14ac:dyDescent="0.3">
      <c r="A1424" s="5" t="s">
        <v>1535</v>
      </c>
      <c r="B1424" t="s">
        <v>1534</v>
      </c>
      <c r="C1424" s="4" t="s">
        <v>1533</v>
      </c>
      <c r="D1424" t="s">
        <v>21</v>
      </c>
      <c r="F1424" t="s">
        <v>13</v>
      </c>
      <c r="G1424" s="3">
        <v>8295321720</v>
      </c>
      <c r="H1424" s="2">
        <v>46136</v>
      </c>
      <c r="K1424" s="1">
        <f ca="1">IF(A1424="","",IF(OR(L1424="ENTREGADA",L1424="RETORNADA",L1424="ENTREGA DIGITAL"),0,MAX(0,5-NETWORKDAYS(H1424+1,TODAY()))))</f>
        <v>0</v>
      </c>
      <c r="L1424">
        <f>IF(A1424="","",IFERROR(LOOKUP(2,1/(#REF!=Z1424),#REF!),Y1424))</f>
        <v>0</v>
      </c>
      <c r="Z1424" t="str">
        <f>IF(A1424="","",TEXT(A1424,"0")&amp;"|"&amp;TEXT(H1424,"0"))</f>
        <v>4921017897005970|46136</v>
      </c>
      <c r="AA1424" t="str">
        <f>IF(Z1424="","",IFERROR(LOOKUP(2,1/(#REF!=Z1424),#REF!),""))</f>
        <v/>
      </c>
      <c r="AB1424" t="str">
        <f>IF(Z1424="","",IFERROR(LOOKUP(2,1/(#REF!=Z1424),#REF!),""))</f>
        <v/>
      </c>
      <c r="AC1424" t="e">
        <f>IF(Z1424="","",COUNTIF(#REF!,Z1424))</f>
        <v>#REF!</v>
      </c>
      <c r="AD1424" t="e">
        <f>IF(A1424="","",IF(AC1424&gt;1,"REVISAR DUPLICADO",IF(AA1424&lt;&gt;"","ACTUALIZADO POR EYR","SIN REPORTE EYR")))</f>
        <v>#REF!</v>
      </c>
    </row>
    <row r="1425" spans="1:30" x14ac:dyDescent="0.3">
      <c r="A1425" s="5" t="s">
        <v>1532</v>
      </c>
      <c r="B1425" t="s">
        <v>1531</v>
      </c>
      <c r="C1425" s="4" t="s">
        <v>1530</v>
      </c>
      <c r="D1425" t="s">
        <v>21</v>
      </c>
      <c r="F1425" t="s">
        <v>0</v>
      </c>
      <c r="G1425" s="3">
        <v>8092461944</v>
      </c>
      <c r="H1425" s="2">
        <v>46136</v>
      </c>
      <c r="K1425" s="1">
        <f ca="1">IF(A1425="","",IF(OR(L1425="ENTREGADA",L1425="RETORNADA",L1425="ENTREGA DIGITAL"),0,MAX(0,5-NETWORKDAYS(H1425+1,TODAY()))))</f>
        <v>0</v>
      </c>
      <c r="L1425">
        <f>IF(A1425="","",IFERROR(LOOKUP(2,1/(#REF!=Z1425),#REF!),Y1425))</f>
        <v>0</v>
      </c>
      <c r="Z1425" t="str">
        <f>IF(A1425="","",TEXT(A1425,"0")&amp;"|"&amp;TEXT(H1425,"0"))</f>
        <v>4921017802011830|46136</v>
      </c>
      <c r="AA1425" t="str">
        <f>IF(Z1425="","",IFERROR(LOOKUP(2,1/(#REF!=Z1425),#REF!),""))</f>
        <v/>
      </c>
      <c r="AB1425" t="str">
        <f>IF(Z1425="","",IFERROR(LOOKUP(2,1/(#REF!=Z1425),#REF!),""))</f>
        <v/>
      </c>
      <c r="AC1425" t="e">
        <f>IF(Z1425="","",COUNTIF(#REF!,Z1425))</f>
        <v>#REF!</v>
      </c>
      <c r="AD1425" t="e">
        <f>IF(A1425="","",IF(AC1425&gt;1,"REVISAR DUPLICADO",IF(AA1425&lt;&gt;"","ACTUALIZADO POR EYR","SIN REPORTE EYR")))</f>
        <v>#REF!</v>
      </c>
    </row>
    <row r="1426" spans="1:30" x14ac:dyDescent="0.3">
      <c r="A1426" s="5" t="s">
        <v>1529</v>
      </c>
      <c r="B1426" t="s">
        <v>1528</v>
      </c>
      <c r="C1426" s="4" t="s">
        <v>1527</v>
      </c>
      <c r="D1426" t="s">
        <v>21</v>
      </c>
      <c r="F1426" t="s">
        <v>1526</v>
      </c>
      <c r="G1426" s="3">
        <v>8297175284</v>
      </c>
      <c r="H1426" s="2">
        <v>46136</v>
      </c>
      <c r="K1426" s="1">
        <f ca="1">IF(A1426="","",IF(OR(L1426="ENTREGADA",L1426="RETORNADA",L1426="ENTREGA DIGITAL"),0,MAX(0,5-NETWORKDAYS(H1426+1,TODAY()))))</f>
        <v>0</v>
      </c>
      <c r="L1426">
        <f>IF(A1426="","",IFERROR(LOOKUP(2,1/(#REF!=Z1426),#REF!),Y1426))</f>
        <v>0</v>
      </c>
      <c r="Z1426" t="str">
        <f>IF(A1426="","",TEXT(A1426,"0")&amp;"|"&amp;TEXT(H1426,"0"))</f>
        <v>5549017894736110|46136</v>
      </c>
      <c r="AA1426" t="str">
        <f>IF(Z1426="","",IFERROR(LOOKUP(2,1/(#REF!=Z1426),#REF!),""))</f>
        <v/>
      </c>
      <c r="AB1426" t="str">
        <f>IF(Z1426="","",IFERROR(LOOKUP(2,1/(#REF!=Z1426),#REF!),""))</f>
        <v/>
      </c>
      <c r="AC1426" t="e">
        <f>IF(Z1426="","",COUNTIF(#REF!,Z1426))</f>
        <v>#REF!</v>
      </c>
      <c r="AD1426" t="e">
        <f>IF(A1426="","",IF(AC1426&gt;1,"REVISAR DUPLICADO",IF(AA1426&lt;&gt;"","ACTUALIZADO POR EYR","SIN REPORTE EYR")))</f>
        <v>#REF!</v>
      </c>
    </row>
    <row r="1427" spans="1:30" x14ac:dyDescent="0.3">
      <c r="A1427" s="5" t="s">
        <v>1525</v>
      </c>
      <c r="B1427" t="s">
        <v>1524</v>
      </c>
      <c r="C1427" s="4" t="s">
        <v>1523</v>
      </c>
      <c r="D1427" t="s">
        <v>21</v>
      </c>
      <c r="F1427" t="s">
        <v>157</v>
      </c>
      <c r="G1427" s="3">
        <v>8492490366</v>
      </c>
      <c r="H1427" s="2">
        <v>46136</v>
      </c>
      <c r="K1427" s="1">
        <f ca="1">IF(A1427="","",IF(OR(L1427="ENTREGADA",L1427="RETORNADA",L1427="ENTREGA DIGITAL"),0,MAX(0,5-NETWORKDAYS(H1427+1,TODAY()))))</f>
        <v>0</v>
      </c>
      <c r="L1427">
        <f>IF(A1427="","",IFERROR(LOOKUP(2,1/(#REF!=Z1427),#REF!),Y1427))</f>
        <v>0</v>
      </c>
      <c r="Z1427" t="str">
        <f>IF(A1427="","",TEXT(A1427,"0")&amp;"|"&amp;TEXT(H1427,"0"))</f>
        <v>5549017900584430|46136</v>
      </c>
      <c r="AA1427" t="str">
        <f>IF(Z1427="","",IFERROR(LOOKUP(2,1/(#REF!=Z1427),#REF!),""))</f>
        <v/>
      </c>
      <c r="AB1427" t="str">
        <f>IF(Z1427="","",IFERROR(LOOKUP(2,1/(#REF!=Z1427),#REF!),""))</f>
        <v/>
      </c>
      <c r="AC1427" t="e">
        <f>IF(Z1427="","",COUNTIF(#REF!,Z1427))</f>
        <v>#REF!</v>
      </c>
      <c r="AD1427" t="e">
        <f>IF(A1427="","",IF(AC1427&gt;1,"REVISAR DUPLICADO",IF(AA1427&lt;&gt;"","ACTUALIZADO POR EYR","SIN REPORTE EYR")))</f>
        <v>#REF!</v>
      </c>
    </row>
    <row r="1428" spans="1:30" x14ac:dyDescent="0.3">
      <c r="A1428" s="5" t="s">
        <v>1522</v>
      </c>
      <c r="B1428" t="s">
        <v>1521</v>
      </c>
      <c r="C1428" s="4" t="s">
        <v>1520</v>
      </c>
      <c r="D1428" t="s">
        <v>21</v>
      </c>
      <c r="F1428" t="s">
        <v>13</v>
      </c>
      <c r="G1428" s="3">
        <v>8092462125</v>
      </c>
      <c r="H1428" s="2">
        <v>46136</v>
      </c>
      <c r="K1428" s="1">
        <f ca="1">IF(A1428="","",IF(OR(L1428="ENTREGADA",L1428="RETORNADA",L1428="ENTREGA DIGITAL"),0,MAX(0,5-NETWORKDAYS(H1428+1,TODAY()))))</f>
        <v>0</v>
      </c>
      <c r="L1428">
        <f>IF(A1428="","",IFERROR(LOOKUP(2,1/(#REF!=Z1428),#REF!),Y1428))</f>
        <v>0</v>
      </c>
      <c r="Z1428" t="str">
        <f>IF(A1428="","",TEXT(A1428,"0")&amp;"|"&amp;TEXT(H1428,"0"))</f>
        <v>4921017902030260|46136</v>
      </c>
      <c r="AA1428" t="str">
        <f>IF(Z1428="","",IFERROR(LOOKUP(2,1/(#REF!=Z1428),#REF!),""))</f>
        <v/>
      </c>
      <c r="AB1428" t="str">
        <f>IF(Z1428="","",IFERROR(LOOKUP(2,1/(#REF!=Z1428),#REF!),""))</f>
        <v/>
      </c>
      <c r="AC1428" t="e">
        <f>IF(Z1428="","",COUNTIF(#REF!,Z1428))</f>
        <v>#REF!</v>
      </c>
      <c r="AD1428" t="e">
        <f>IF(A1428="","",IF(AC1428&gt;1,"REVISAR DUPLICADO",IF(AA1428&lt;&gt;"","ACTUALIZADO POR EYR","SIN REPORTE EYR")))</f>
        <v>#REF!</v>
      </c>
    </row>
    <row r="1429" spans="1:30" x14ac:dyDescent="0.3">
      <c r="A1429" s="5" t="s">
        <v>1519</v>
      </c>
      <c r="B1429" t="s">
        <v>1518</v>
      </c>
      <c r="C1429" s="4" t="s">
        <v>1517</v>
      </c>
      <c r="D1429" t="s">
        <v>21</v>
      </c>
      <c r="F1429" t="s">
        <v>13</v>
      </c>
      <c r="G1429" s="3">
        <v>8492108719</v>
      </c>
      <c r="H1429" s="2">
        <v>46136</v>
      </c>
      <c r="K1429" s="1">
        <f ca="1">IF(A1429="","",IF(OR(L1429="ENTREGADA",L1429="RETORNADA",L1429="ENTREGA DIGITAL"),0,MAX(0,5-NETWORKDAYS(H1429+1,TODAY()))))</f>
        <v>0</v>
      </c>
      <c r="L1429">
        <f>IF(A1429="","",IFERROR(LOOKUP(2,1/(#REF!=Z1429),#REF!),Y1429))</f>
        <v>0</v>
      </c>
      <c r="Z1429" t="str">
        <f>IF(A1429="","",TEXT(A1429,"0")&amp;"|"&amp;TEXT(H1429,"0"))</f>
        <v>5415017900123290|46136</v>
      </c>
      <c r="AA1429" t="str">
        <f>IF(Z1429="","",IFERROR(LOOKUP(2,1/(#REF!=Z1429),#REF!),""))</f>
        <v/>
      </c>
      <c r="AB1429" t="str">
        <f>IF(Z1429="","",IFERROR(LOOKUP(2,1/(#REF!=Z1429),#REF!),""))</f>
        <v/>
      </c>
      <c r="AC1429" t="e">
        <f>IF(Z1429="","",COUNTIF(#REF!,Z1429))</f>
        <v>#REF!</v>
      </c>
      <c r="AD1429" t="e">
        <f>IF(A1429="","",IF(AC1429&gt;1,"REVISAR DUPLICADO",IF(AA1429&lt;&gt;"","ACTUALIZADO POR EYR","SIN REPORTE EYR")))</f>
        <v>#REF!</v>
      </c>
    </row>
    <row r="1430" spans="1:30" x14ac:dyDescent="0.3">
      <c r="A1430" s="5" t="s">
        <v>1516</v>
      </c>
      <c r="B1430" t="s">
        <v>1515</v>
      </c>
      <c r="C1430" s="4" t="s">
        <v>1514</v>
      </c>
      <c r="D1430" t="s">
        <v>21</v>
      </c>
      <c r="F1430" t="s">
        <v>122</v>
      </c>
      <c r="G1430" s="3">
        <v>8098611763</v>
      </c>
      <c r="H1430" s="2">
        <v>46136</v>
      </c>
      <c r="K1430" s="1">
        <f ca="1">IF(A1430="","",IF(OR(L1430="ENTREGADA",L1430="RETORNADA",L1430="ENTREGA DIGITAL"),0,MAX(0,5-NETWORKDAYS(H1430+1,TODAY()))))</f>
        <v>0</v>
      </c>
      <c r="L1430">
        <f>IF(A1430="","",IFERROR(LOOKUP(2,1/(#REF!=Z1430),#REF!),Y1430))</f>
        <v>0</v>
      </c>
      <c r="Z1430" t="str">
        <f>IF(A1430="","",TEXT(A1430,"0")&amp;"|"&amp;TEXT(H1430,"0"))</f>
        <v>4921017902706780|46136</v>
      </c>
      <c r="AA1430" t="str">
        <f>IF(Z1430="","",IFERROR(LOOKUP(2,1/(#REF!=Z1430),#REF!),""))</f>
        <v/>
      </c>
      <c r="AB1430" t="str">
        <f>IF(Z1430="","",IFERROR(LOOKUP(2,1/(#REF!=Z1430),#REF!),""))</f>
        <v/>
      </c>
      <c r="AC1430" t="e">
        <f>IF(Z1430="","",COUNTIF(#REF!,Z1430))</f>
        <v>#REF!</v>
      </c>
      <c r="AD1430" t="e">
        <f>IF(A1430="","",IF(AC1430&gt;1,"REVISAR DUPLICADO",IF(AA1430&lt;&gt;"","ACTUALIZADO POR EYR","SIN REPORTE EYR")))</f>
        <v>#REF!</v>
      </c>
    </row>
    <row r="1431" spans="1:30" x14ac:dyDescent="0.3">
      <c r="A1431" s="5" t="s">
        <v>1513</v>
      </c>
      <c r="B1431" t="s">
        <v>1512</v>
      </c>
      <c r="C1431" s="4" t="s">
        <v>1511</v>
      </c>
      <c r="D1431" t="s">
        <v>21</v>
      </c>
      <c r="F1431" t="s">
        <v>1510</v>
      </c>
      <c r="G1431" s="3">
        <v>8292915725</v>
      </c>
      <c r="H1431" s="2">
        <v>46136</v>
      </c>
      <c r="K1431" s="1">
        <f ca="1">IF(A1431="","",IF(OR(L1431="ENTREGADA",L1431="RETORNADA",L1431="ENTREGA DIGITAL"),0,MAX(0,5-NETWORKDAYS(H1431+1,TODAY()))))</f>
        <v>0</v>
      </c>
      <c r="L1431">
        <f>IF(A1431="","",IFERROR(LOOKUP(2,1/(#REF!=Z1431),#REF!),Y1431))</f>
        <v>0</v>
      </c>
      <c r="Z1431" t="str">
        <f>IF(A1431="","",TEXT(A1431,"0")&amp;"|"&amp;TEXT(H1431,"0"))</f>
        <v>4921017901379300|46136</v>
      </c>
      <c r="AA1431" t="str">
        <f>IF(Z1431="","",IFERROR(LOOKUP(2,1/(#REF!=Z1431),#REF!),""))</f>
        <v/>
      </c>
      <c r="AB1431" t="str">
        <f>IF(Z1431="","",IFERROR(LOOKUP(2,1/(#REF!=Z1431),#REF!),""))</f>
        <v/>
      </c>
      <c r="AC1431" t="e">
        <f>IF(Z1431="","",COUNTIF(#REF!,Z1431))</f>
        <v>#REF!</v>
      </c>
      <c r="AD1431" t="e">
        <f>IF(A1431="","",IF(AC1431&gt;1,"REVISAR DUPLICADO",IF(AA1431&lt;&gt;"","ACTUALIZADO POR EYR","SIN REPORTE EYR")))</f>
        <v>#REF!</v>
      </c>
    </row>
    <row r="1432" spans="1:30" x14ac:dyDescent="0.3">
      <c r="A1432" s="5" t="s">
        <v>1509</v>
      </c>
      <c r="B1432" t="s">
        <v>1508</v>
      </c>
      <c r="C1432" s="4" t="s">
        <v>1507</v>
      </c>
      <c r="D1432" t="s">
        <v>21</v>
      </c>
      <c r="F1432" t="s">
        <v>0</v>
      </c>
      <c r="G1432" s="3">
        <v>8095298345</v>
      </c>
      <c r="H1432" s="2">
        <v>46136</v>
      </c>
      <c r="K1432" s="1">
        <f ca="1">IF(A1432="","",IF(OR(L1432="ENTREGADA",L1432="RETORNADA",L1432="ENTREGA DIGITAL"),0,MAX(0,5-NETWORKDAYS(H1432+1,TODAY()))))</f>
        <v>0</v>
      </c>
      <c r="L1432">
        <f>IF(A1432="","",IFERROR(LOOKUP(2,1/(#REF!=Z1432),#REF!),Y1432))</f>
        <v>0</v>
      </c>
      <c r="Z1432" t="str">
        <f>IF(A1432="","",TEXT(A1432,"0")&amp;"|"&amp;TEXT(H1432,"0"))</f>
        <v>4921017901562270|46136</v>
      </c>
      <c r="AA1432" t="str">
        <f>IF(Z1432="","",IFERROR(LOOKUP(2,1/(#REF!=Z1432),#REF!),""))</f>
        <v/>
      </c>
      <c r="AB1432" t="str">
        <f>IF(Z1432="","",IFERROR(LOOKUP(2,1/(#REF!=Z1432),#REF!),""))</f>
        <v/>
      </c>
      <c r="AC1432" t="e">
        <f>IF(Z1432="","",COUNTIF(#REF!,Z1432))</f>
        <v>#REF!</v>
      </c>
      <c r="AD1432" t="e">
        <f>IF(A1432="","",IF(AC1432&gt;1,"REVISAR DUPLICADO",IF(AA1432&lt;&gt;"","ACTUALIZADO POR EYR","SIN REPORTE EYR")))</f>
        <v>#REF!</v>
      </c>
    </row>
    <row r="1433" spans="1:30" x14ac:dyDescent="0.3">
      <c r="A1433" s="5" t="s">
        <v>1506</v>
      </c>
      <c r="B1433" t="s">
        <v>1505</v>
      </c>
      <c r="C1433" s="4" t="s">
        <v>1504</v>
      </c>
      <c r="D1433" t="s">
        <v>21</v>
      </c>
      <c r="E1433" t="s">
        <v>21</v>
      </c>
      <c r="F1433" t="s">
        <v>62</v>
      </c>
      <c r="G1433" s="3">
        <v>8096979149</v>
      </c>
      <c r="H1433" s="2">
        <v>46136</v>
      </c>
      <c r="K1433" s="1">
        <f ca="1">IF(A1433="","",IF(OR(L1433="ENTREGADA",L1433="RETORNADA",L1433="ENTREGA DIGITAL"),0,MAX(0,5-NETWORKDAYS(H1433+1,TODAY()))))</f>
        <v>0</v>
      </c>
      <c r="L1433">
        <f>IF(A1433="","",IFERROR(LOOKUP(2,1/(#REF!=Z1433),#REF!),Y1433))</f>
        <v>0</v>
      </c>
      <c r="Z1433" t="str">
        <f>IF(A1433="","",TEXT(A1433,"0")&amp;"|"&amp;TEXT(H1433,"0"))</f>
        <v>5188017900704160|46136</v>
      </c>
      <c r="AA1433" t="str">
        <f>IF(Z1433="","",IFERROR(LOOKUP(2,1/(#REF!=Z1433),#REF!),""))</f>
        <v/>
      </c>
      <c r="AB1433" t="str">
        <f>IF(Z1433="","",IFERROR(LOOKUP(2,1/(#REF!=Z1433),#REF!),""))</f>
        <v/>
      </c>
      <c r="AC1433" t="e">
        <f>IF(Z1433="","",COUNTIF(#REF!,Z1433))</f>
        <v>#REF!</v>
      </c>
      <c r="AD1433" t="e">
        <f>IF(A1433="","",IF(AC1433&gt;1,"REVISAR DUPLICADO",IF(AA1433&lt;&gt;"","ACTUALIZADO POR EYR","SIN REPORTE EYR")))</f>
        <v>#REF!</v>
      </c>
    </row>
    <row r="1434" spans="1:30" x14ac:dyDescent="0.3">
      <c r="A1434" s="5" t="s">
        <v>1503</v>
      </c>
      <c r="B1434" t="s">
        <v>1502</v>
      </c>
      <c r="C1434" s="4" t="s">
        <v>1501</v>
      </c>
      <c r="D1434" t="s">
        <v>21</v>
      </c>
      <c r="F1434" t="s">
        <v>13</v>
      </c>
      <c r="G1434" s="3">
        <v>8096452042</v>
      </c>
      <c r="H1434" s="2">
        <v>46136</v>
      </c>
      <c r="K1434" s="1">
        <f ca="1">IF(A1434="","",IF(OR(L1434="ENTREGADA",L1434="RETORNADA",L1434="ENTREGA DIGITAL"),0,MAX(0,5-NETWORKDAYS(H1434+1,TODAY()))))</f>
        <v>0</v>
      </c>
      <c r="L1434">
        <f>IF(A1434="","",IFERROR(LOOKUP(2,1/(#REF!=Z1434),#REF!),Y1434))</f>
        <v>0</v>
      </c>
      <c r="Z1434" t="str">
        <f>IF(A1434="","",TEXT(A1434,"0")&amp;"|"&amp;TEXT(H1434,"0"))</f>
        <v>4921017903007510|46136</v>
      </c>
      <c r="AA1434" t="str">
        <f>IF(Z1434="","",IFERROR(LOOKUP(2,1/(#REF!=Z1434),#REF!),""))</f>
        <v/>
      </c>
      <c r="AB1434" t="str">
        <f>IF(Z1434="","",IFERROR(LOOKUP(2,1/(#REF!=Z1434),#REF!),""))</f>
        <v/>
      </c>
      <c r="AC1434" t="e">
        <f>IF(Z1434="","",COUNTIF(#REF!,Z1434))</f>
        <v>#REF!</v>
      </c>
      <c r="AD1434" t="e">
        <f>IF(A1434="","",IF(AC1434&gt;1,"REVISAR DUPLICADO",IF(AA1434&lt;&gt;"","ACTUALIZADO POR EYR","SIN REPORTE EYR")))</f>
        <v>#REF!</v>
      </c>
    </row>
    <row r="1435" spans="1:30" x14ac:dyDescent="0.3">
      <c r="A1435" s="5" t="s">
        <v>1500</v>
      </c>
      <c r="B1435" t="s">
        <v>1499</v>
      </c>
      <c r="C1435" s="4" t="s">
        <v>1498</v>
      </c>
      <c r="D1435" t="s">
        <v>21</v>
      </c>
      <c r="F1435" t="s">
        <v>13</v>
      </c>
      <c r="G1435" s="3">
        <v>8298761610</v>
      </c>
      <c r="H1435" s="2">
        <v>46136</v>
      </c>
      <c r="I1435" t="s">
        <v>1397</v>
      </c>
      <c r="K1435" s="1">
        <f ca="1">IF(A1435="","",IF(OR(L1435="ENTREGADA",L1435="RETORNADA",L1435="ENTREGA DIGITAL"),0,MAX(0,5-NETWORKDAYS(H1435+1,TODAY()))))</f>
        <v>0</v>
      </c>
      <c r="L1435" t="str">
        <f>IF(A1435="","",IFERROR(LOOKUP(2,1/(#REF!=Z1435),#REF!),Y1435))</f>
        <v>ENTREGA DIGITAL</v>
      </c>
      <c r="Y1435" t="s">
        <v>1396</v>
      </c>
      <c r="Z1435" t="str">
        <f>IF(A1435="","",TEXT(A1435,"0")&amp;"|"&amp;TEXT(H1435,"0"))</f>
        <v>4921017902184880|46136</v>
      </c>
      <c r="AA1435" t="str">
        <f>IF(Z1435="","",IFERROR(LOOKUP(2,1/(#REF!=Z1435),#REF!),""))</f>
        <v/>
      </c>
      <c r="AB1435" t="str">
        <f>IF(Z1435="","",IFERROR(LOOKUP(2,1/(#REF!=Z1435),#REF!),""))</f>
        <v/>
      </c>
      <c r="AC1435" t="e">
        <f>IF(Z1435="","",COUNTIF(#REF!,Z1435))</f>
        <v>#REF!</v>
      </c>
      <c r="AD1435" t="e">
        <f>IF(A1435="","",IF(AC1435&gt;1,"REVISAR DUPLICADO",IF(AA1435&lt;&gt;"","ACTUALIZADO POR EYR","SIN REPORTE EYR")))</f>
        <v>#REF!</v>
      </c>
    </row>
    <row r="1436" spans="1:30" x14ac:dyDescent="0.3">
      <c r="A1436" s="5" t="s">
        <v>1497</v>
      </c>
      <c r="B1436" t="s">
        <v>1496</v>
      </c>
      <c r="C1436" s="4" t="s">
        <v>1495</v>
      </c>
      <c r="D1436" t="s">
        <v>77</v>
      </c>
      <c r="F1436" t="s">
        <v>1494</v>
      </c>
      <c r="G1436" s="3">
        <v>8294656908</v>
      </c>
      <c r="H1436" s="2">
        <v>46136</v>
      </c>
      <c r="K1436" s="1">
        <f ca="1">IF(A1436="","",IF(OR(L1436="ENTREGADA",L1436="RETORNADA",L1436="ENTREGA DIGITAL"),0,MAX(0,5-NETWORKDAYS(H1436+1,TODAY()))))</f>
        <v>0</v>
      </c>
      <c r="L1436">
        <f>IF(A1436="","",IFERROR(LOOKUP(2,1/(#REF!=Z1436),#REF!),Y1436))</f>
        <v>0</v>
      </c>
      <c r="Z1436" t="str">
        <f>IF(A1436="","",TEXT(A1436,"0")&amp;"|"&amp;TEXT(H1436,"0"))</f>
        <v>5188017901087440|46136</v>
      </c>
      <c r="AA1436" t="str">
        <f>IF(Z1436="","",IFERROR(LOOKUP(2,1/(#REF!=Z1436),#REF!),""))</f>
        <v/>
      </c>
      <c r="AB1436" t="str">
        <f>IF(Z1436="","",IFERROR(LOOKUP(2,1/(#REF!=Z1436),#REF!),""))</f>
        <v/>
      </c>
      <c r="AC1436" t="e">
        <f>IF(Z1436="","",COUNTIF(#REF!,Z1436))</f>
        <v>#REF!</v>
      </c>
      <c r="AD1436" t="e">
        <f>IF(A1436="","",IF(AC1436&gt;1,"REVISAR DUPLICADO",IF(AA1436&lt;&gt;"","ACTUALIZADO POR EYR","SIN REPORTE EYR")))</f>
        <v>#REF!</v>
      </c>
    </row>
    <row r="1437" spans="1:30" x14ac:dyDescent="0.3">
      <c r="A1437" s="5" t="s">
        <v>1493</v>
      </c>
      <c r="B1437" t="s">
        <v>1492</v>
      </c>
      <c r="C1437" s="4" t="s">
        <v>1491</v>
      </c>
      <c r="D1437" t="s">
        <v>77</v>
      </c>
      <c r="F1437" t="s">
        <v>13</v>
      </c>
      <c r="G1437" s="3">
        <v>8296422564</v>
      </c>
      <c r="H1437" s="2">
        <v>46136</v>
      </c>
      <c r="K1437" s="1">
        <f ca="1">IF(A1437="","",IF(OR(L1437="ENTREGADA",L1437="RETORNADA",L1437="ENTREGA DIGITAL"),0,MAX(0,5-NETWORKDAYS(H1437+1,TODAY()))))</f>
        <v>0</v>
      </c>
      <c r="L1437">
        <f>IF(A1437="","",IFERROR(LOOKUP(2,1/(#REF!=Z1437),#REF!),Y1437))</f>
        <v>0</v>
      </c>
      <c r="Z1437" t="str">
        <f>IF(A1437="","",TEXT(A1437,"0")&amp;"|"&amp;TEXT(H1437,"0"))</f>
        <v>4025017903409740|46136</v>
      </c>
      <c r="AA1437" t="str">
        <f>IF(Z1437="","",IFERROR(LOOKUP(2,1/(#REF!=Z1437),#REF!),""))</f>
        <v/>
      </c>
      <c r="AB1437" t="str">
        <f>IF(Z1437="","",IFERROR(LOOKUP(2,1/(#REF!=Z1437),#REF!),""))</f>
        <v/>
      </c>
      <c r="AC1437" t="e">
        <f>IF(Z1437="","",COUNTIF(#REF!,Z1437))</f>
        <v>#REF!</v>
      </c>
      <c r="AD1437" t="e">
        <f>IF(A1437="","",IF(AC1437&gt;1,"REVISAR DUPLICADO",IF(AA1437&lt;&gt;"","ACTUALIZADO POR EYR","SIN REPORTE EYR")))</f>
        <v>#REF!</v>
      </c>
    </row>
    <row r="1438" spans="1:30" x14ac:dyDescent="0.3">
      <c r="A1438" s="5" t="s">
        <v>1490</v>
      </c>
      <c r="B1438" t="s">
        <v>1489</v>
      </c>
      <c r="C1438" s="4" t="s">
        <v>1488</v>
      </c>
      <c r="D1438" t="s">
        <v>77</v>
      </c>
      <c r="F1438" t="s">
        <v>13</v>
      </c>
      <c r="G1438" s="3">
        <v>8092704863</v>
      </c>
      <c r="H1438" s="2">
        <v>46136</v>
      </c>
      <c r="K1438" s="1">
        <f ca="1">IF(A1438="","",IF(OR(L1438="ENTREGADA",L1438="RETORNADA",L1438="ENTREGA DIGITAL"),0,MAX(0,5-NETWORKDAYS(H1438+1,TODAY()))))</f>
        <v>0</v>
      </c>
      <c r="L1438">
        <f>IF(A1438="","",IFERROR(LOOKUP(2,1/(#REF!=Z1438),#REF!),Y1438))</f>
        <v>0</v>
      </c>
      <c r="Z1438" t="str">
        <f>IF(A1438="","",TEXT(A1438,"0")&amp;"|"&amp;TEXT(H1438,"0"))</f>
        <v>4921017896872220|46136</v>
      </c>
      <c r="AA1438" t="str">
        <f>IF(Z1438="","",IFERROR(LOOKUP(2,1/(#REF!=Z1438),#REF!),""))</f>
        <v/>
      </c>
      <c r="AB1438" t="str">
        <f>IF(Z1438="","",IFERROR(LOOKUP(2,1/(#REF!=Z1438),#REF!),""))</f>
        <v/>
      </c>
      <c r="AC1438" t="e">
        <f>IF(Z1438="","",COUNTIF(#REF!,Z1438))</f>
        <v>#REF!</v>
      </c>
      <c r="AD1438" t="e">
        <f>IF(A1438="","",IF(AC1438&gt;1,"REVISAR DUPLICADO",IF(AA1438&lt;&gt;"","ACTUALIZADO POR EYR","SIN REPORTE EYR")))</f>
        <v>#REF!</v>
      </c>
    </row>
    <row r="1439" spans="1:30" x14ac:dyDescent="0.3">
      <c r="A1439" s="5" t="s">
        <v>1487</v>
      </c>
      <c r="B1439" t="s">
        <v>1486</v>
      </c>
      <c r="C1439" s="4" t="s">
        <v>1485</v>
      </c>
      <c r="D1439" t="s">
        <v>77</v>
      </c>
      <c r="F1439" t="s">
        <v>13</v>
      </c>
      <c r="G1439" s="3">
        <v>8296587039</v>
      </c>
      <c r="H1439" s="2">
        <v>46136</v>
      </c>
      <c r="K1439" s="1">
        <f ca="1">IF(A1439="","",IF(OR(L1439="ENTREGADA",L1439="RETORNADA",L1439="ENTREGA DIGITAL"),0,MAX(0,5-NETWORKDAYS(H1439+1,TODAY()))))</f>
        <v>0</v>
      </c>
      <c r="L1439">
        <f>IF(A1439="","",IFERROR(LOOKUP(2,1/(#REF!=Z1439),#REF!),Y1439))</f>
        <v>0</v>
      </c>
      <c r="Z1439" t="str">
        <f>IF(A1439="","",TEXT(A1439,"0")&amp;"|"&amp;TEXT(H1439,"0"))</f>
        <v>4921017902770800|46136</v>
      </c>
      <c r="AA1439" t="str">
        <f>IF(Z1439="","",IFERROR(LOOKUP(2,1/(#REF!=Z1439),#REF!),""))</f>
        <v/>
      </c>
      <c r="AB1439" t="str">
        <f>IF(Z1439="","",IFERROR(LOOKUP(2,1/(#REF!=Z1439),#REF!),""))</f>
        <v/>
      </c>
      <c r="AC1439" t="e">
        <f>IF(Z1439="","",COUNTIF(#REF!,Z1439))</f>
        <v>#REF!</v>
      </c>
      <c r="AD1439" t="e">
        <f>IF(A1439="","",IF(AC1439&gt;1,"REVISAR DUPLICADO",IF(AA1439&lt;&gt;"","ACTUALIZADO POR EYR","SIN REPORTE EYR")))</f>
        <v>#REF!</v>
      </c>
    </row>
    <row r="1440" spans="1:30" x14ac:dyDescent="0.3">
      <c r="A1440" s="5" t="s">
        <v>1484</v>
      </c>
      <c r="B1440" t="s">
        <v>1483</v>
      </c>
      <c r="C1440" s="4" t="s">
        <v>1482</v>
      </c>
      <c r="D1440" t="s">
        <v>77</v>
      </c>
      <c r="F1440" t="s">
        <v>1481</v>
      </c>
      <c r="G1440" s="3">
        <v>8097105529</v>
      </c>
      <c r="H1440" s="2">
        <v>46136</v>
      </c>
      <c r="K1440" s="1">
        <f ca="1">IF(A1440="","",IF(OR(L1440="ENTREGADA",L1440="RETORNADA",L1440="ENTREGA DIGITAL"),0,MAX(0,5-NETWORKDAYS(H1440+1,TODAY()))))</f>
        <v>0</v>
      </c>
      <c r="L1440">
        <f>IF(A1440="","",IFERROR(LOOKUP(2,1/(#REF!=Z1440),#REF!),Y1440))</f>
        <v>0</v>
      </c>
      <c r="Z1440" t="str">
        <f>IF(A1440="","",TEXT(A1440,"0")&amp;"|"&amp;TEXT(H1440,"0"))</f>
        <v>4921017902126480|46136</v>
      </c>
      <c r="AA1440" t="str">
        <f>IF(Z1440="","",IFERROR(LOOKUP(2,1/(#REF!=Z1440),#REF!),""))</f>
        <v/>
      </c>
      <c r="AB1440" t="str">
        <f>IF(Z1440="","",IFERROR(LOOKUP(2,1/(#REF!=Z1440),#REF!),""))</f>
        <v/>
      </c>
      <c r="AC1440" t="e">
        <f>IF(Z1440="","",COUNTIF(#REF!,Z1440))</f>
        <v>#REF!</v>
      </c>
      <c r="AD1440" t="e">
        <f>IF(A1440="","",IF(AC1440&gt;1,"REVISAR DUPLICADO",IF(AA1440&lt;&gt;"","ACTUALIZADO POR EYR","SIN REPORTE EYR")))</f>
        <v>#REF!</v>
      </c>
    </row>
    <row r="1441" spans="1:30" x14ac:dyDescent="0.3">
      <c r="A1441" s="5" t="s">
        <v>1480</v>
      </c>
      <c r="B1441" t="s">
        <v>1479</v>
      </c>
      <c r="C1441" s="4" t="s">
        <v>1478</v>
      </c>
      <c r="D1441" t="s">
        <v>77</v>
      </c>
      <c r="F1441" t="s">
        <v>1477</v>
      </c>
      <c r="G1441" s="3">
        <v>8298731931</v>
      </c>
      <c r="H1441" s="2">
        <v>46136</v>
      </c>
      <c r="K1441" s="1">
        <f ca="1">IF(A1441="","",IF(OR(L1441="ENTREGADA",L1441="RETORNADA",L1441="ENTREGA DIGITAL"),0,MAX(0,5-NETWORKDAYS(H1441+1,TODAY()))))</f>
        <v>0</v>
      </c>
      <c r="L1441">
        <f>IF(A1441="","",IFERROR(LOOKUP(2,1/(#REF!=Z1441),#REF!),Y1441))</f>
        <v>0</v>
      </c>
      <c r="Z1441" t="str">
        <f>IF(A1441="","",TEXT(A1441,"0")&amp;"|"&amp;TEXT(H1441,"0"))</f>
        <v>4921017902935460|46136</v>
      </c>
      <c r="AA1441" t="str">
        <f>IF(Z1441="","",IFERROR(LOOKUP(2,1/(#REF!=Z1441),#REF!),""))</f>
        <v/>
      </c>
      <c r="AB1441" t="str">
        <f>IF(Z1441="","",IFERROR(LOOKUP(2,1/(#REF!=Z1441),#REF!),""))</f>
        <v/>
      </c>
      <c r="AC1441" t="e">
        <f>IF(Z1441="","",COUNTIF(#REF!,Z1441))</f>
        <v>#REF!</v>
      </c>
      <c r="AD1441" t="e">
        <f>IF(A1441="","",IF(AC1441&gt;1,"REVISAR DUPLICADO",IF(AA1441&lt;&gt;"","ACTUALIZADO POR EYR","SIN REPORTE EYR")))</f>
        <v>#REF!</v>
      </c>
    </row>
    <row r="1442" spans="1:30" x14ac:dyDescent="0.3">
      <c r="A1442" s="5" t="s">
        <v>1476</v>
      </c>
      <c r="B1442" t="s">
        <v>1475</v>
      </c>
      <c r="C1442" s="4" t="s">
        <v>1474</v>
      </c>
      <c r="D1442" t="s">
        <v>77</v>
      </c>
      <c r="F1442" t="s">
        <v>1473</v>
      </c>
      <c r="G1442" s="3">
        <v>8293242607</v>
      </c>
      <c r="H1442" s="2">
        <v>46136</v>
      </c>
      <c r="K1442" s="1">
        <f ca="1">IF(A1442="","",IF(OR(L1442="ENTREGADA",L1442="RETORNADA",L1442="ENTREGA DIGITAL"),0,MAX(0,5-NETWORKDAYS(H1442+1,TODAY()))))</f>
        <v>0</v>
      </c>
      <c r="L1442">
        <f>IF(A1442="","",IFERROR(LOOKUP(2,1/(#REF!=Z1442),#REF!),Y1442))</f>
        <v>0</v>
      </c>
      <c r="Z1442" t="str">
        <f>IF(A1442="","",TEXT(A1442,"0")&amp;"|"&amp;TEXT(H1442,"0"))</f>
        <v>4921017902050460|46136</v>
      </c>
      <c r="AA1442" t="str">
        <f>IF(Z1442="","",IFERROR(LOOKUP(2,1/(#REF!=Z1442),#REF!),""))</f>
        <v/>
      </c>
      <c r="AB1442" t="str">
        <f>IF(Z1442="","",IFERROR(LOOKUP(2,1/(#REF!=Z1442),#REF!),""))</f>
        <v/>
      </c>
      <c r="AC1442" t="e">
        <f>IF(Z1442="","",COUNTIF(#REF!,Z1442))</f>
        <v>#REF!</v>
      </c>
      <c r="AD1442" t="e">
        <f>IF(A1442="","",IF(AC1442&gt;1,"REVISAR DUPLICADO",IF(AA1442&lt;&gt;"","ACTUALIZADO POR EYR","SIN REPORTE EYR")))</f>
        <v>#REF!</v>
      </c>
    </row>
    <row r="1443" spans="1:30" x14ac:dyDescent="0.3">
      <c r="A1443" s="5" t="s">
        <v>1472</v>
      </c>
      <c r="B1443" t="s">
        <v>1471</v>
      </c>
      <c r="C1443" s="4" t="s">
        <v>1470</v>
      </c>
      <c r="D1443" t="s">
        <v>1</v>
      </c>
      <c r="F1443" t="s">
        <v>1469</v>
      </c>
      <c r="G1443" s="3">
        <v>8093012353</v>
      </c>
      <c r="H1443" s="2">
        <v>46136</v>
      </c>
      <c r="K1443" s="1">
        <f ca="1">IF(A1443="","",IF(OR(L1443="ENTREGADA",L1443="RETORNADA",L1443="ENTREGA DIGITAL"),0,MAX(0,5-NETWORKDAYS(H1443+1,TODAY()))))</f>
        <v>0</v>
      </c>
      <c r="L1443">
        <f>IF(A1443="","",IFERROR(LOOKUP(2,1/(#REF!=Z1443),#REF!),Y1443))</f>
        <v>0</v>
      </c>
      <c r="Z1443" t="str">
        <f>IF(A1443="","",TEXT(A1443,"0")&amp;"|"&amp;TEXT(H1443,"0"))</f>
        <v>4921017814476630|46136</v>
      </c>
      <c r="AA1443" t="str">
        <f>IF(Z1443="","",IFERROR(LOOKUP(2,1/(#REF!=Z1443),#REF!),""))</f>
        <v/>
      </c>
      <c r="AB1443" t="str">
        <f>IF(Z1443="","",IFERROR(LOOKUP(2,1/(#REF!=Z1443),#REF!),""))</f>
        <v/>
      </c>
      <c r="AC1443" t="e">
        <f>IF(Z1443="","",COUNTIF(#REF!,Z1443))</f>
        <v>#REF!</v>
      </c>
      <c r="AD1443" t="e">
        <f>IF(A1443="","",IF(AC1443&gt;1,"REVISAR DUPLICADO",IF(AA1443&lt;&gt;"","ACTUALIZADO POR EYR","SIN REPORTE EYR")))</f>
        <v>#REF!</v>
      </c>
    </row>
    <row r="1444" spans="1:30" x14ac:dyDescent="0.3">
      <c r="A1444" s="5" t="s">
        <v>1468</v>
      </c>
      <c r="B1444" t="s">
        <v>1467</v>
      </c>
      <c r="C1444" s="4" t="s">
        <v>1466</v>
      </c>
      <c r="D1444" t="s">
        <v>21</v>
      </c>
      <c r="F1444" t="s">
        <v>1465</v>
      </c>
      <c r="G1444" s="3">
        <v>8493500992</v>
      </c>
      <c r="H1444" s="2">
        <v>46136</v>
      </c>
      <c r="K1444" s="1">
        <f ca="1">IF(A1444="","",IF(OR(L1444="ENTREGADA",L1444="RETORNADA",L1444="ENTREGA DIGITAL"),0,MAX(0,5-NETWORKDAYS(H1444+1,TODAY()))))</f>
        <v>0</v>
      </c>
      <c r="L1444">
        <f>IF(A1444="","",IFERROR(LOOKUP(2,1/(#REF!=Z1444),#REF!),Y1444))</f>
        <v>0</v>
      </c>
      <c r="Z1444" t="str">
        <f>IF(A1444="","",TEXT(A1444,"0")&amp;"|"&amp;TEXT(H1444,"0"))</f>
        <v>4921017877137680|46136</v>
      </c>
      <c r="AA1444" t="str">
        <f>IF(Z1444="","",IFERROR(LOOKUP(2,1/(#REF!=Z1444),#REF!),""))</f>
        <v/>
      </c>
      <c r="AB1444" t="str">
        <f>IF(Z1444="","",IFERROR(LOOKUP(2,1/(#REF!=Z1444),#REF!),""))</f>
        <v/>
      </c>
      <c r="AC1444" t="e">
        <f>IF(Z1444="","",COUNTIF(#REF!,Z1444))</f>
        <v>#REF!</v>
      </c>
      <c r="AD1444" t="e">
        <f>IF(A1444="","",IF(AC1444&gt;1,"REVISAR DUPLICADO",IF(AA1444&lt;&gt;"","ACTUALIZADO POR EYR","SIN REPORTE EYR")))</f>
        <v>#REF!</v>
      </c>
    </row>
    <row r="1445" spans="1:30" x14ac:dyDescent="0.3">
      <c r="A1445" s="5" t="s">
        <v>1464</v>
      </c>
      <c r="B1445" t="s">
        <v>1463</v>
      </c>
      <c r="C1445" s="4" t="s">
        <v>1462</v>
      </c>
      <c r="D1445" t="s">
        <v>21</v>
      </c>
      <c r="F1445" t="s">
        <v>13</v>
      </c>
      <c r="G1445" s="3">
        <v>8095268916</v>
      </c>
      <c r="H1445" s="2">
        <v>46136</v>
      </c>
      <c r="K1445" s="1">
        <f ca="1">IF(A1445="","",IF(OR(L1445="ENTREGADA",L1445="RETORNADA",L1445="ENTREGA DIGITAL"),0,MAX(0,5-NETWORKDAYS(H1445+1,TODAY()))))</f>
        <v>0</v>
      </c>
      <c r="L1445">
        <f>IF(A1445="","",IFERROR(LOOKUP(2,1/(#REF!=Z1445),#REF!),Y1445))</f>
        <v>0</v>
      </c>
      <c r="Z1445" t="str">
        <f>IF(A1445="","",TEXT(A1445,"0")&amp;"|"&amp;TEXT(H1445,"0"))</f>
        <v>5188017824581300|46136</v>
      </c>
      <c r="AA1445" t="str">
        <f>IF(Z1445="","",IFERROR(LOOKUP(2,1/(#REF!=Z1445),#REF!),""))</f>
        <v/>
      </c>
      <c r="AB1445" t="str">
        <f>IF(Z1445="","",IFERROR(LOOKUP(2,1/(#REF!=Z1445),#REF!),""))</f>
        <v/>
      </c>
      <c r="AC1445" t="e">
        <f>IF(Z1445="","",COUNTIF(#REF!,Z1445))</f>
        <v>#REF!</v>
      </c>
      <c r="AD1445" t="e">
        <f>IF(A1445="","",IF(AC1445&gt;1,"REVISAR DUPLICADO",IF(AA1445&lt;&gt;"","ACTUALIZADO POR EYR","SIN REPORTE EYR")))</f>
        <v>#REF!</v>
      </c>
    </row>
    <row r="1446" spans="1:30" x14ac:dyDescent="0.3">
      <c r="A1446" s="5" t="s">
        <v>1461</v>
      </c>
      <c r="B1446" t="s">
        <v>1225</v>
      </c>
      <c r="C1446" s="4" t="s">
        <v>1224</v>
      </c>
      <c r="D1446" t="s">
        <v>21</v>
      </c>
      <c r="F1446" t="s">
        <v>13</v>
      </c>
      <c r="G1446" s="3">
        <v>8093394197</v>
      </c>
      <c r="H1446" s="2">
        <v>46136</v>
      </c>
      <c r="K1446" s="1">
        <f ca="1">IF(A1446="","",IF(OR(L1446="ENTREGADA",L1446="RETORNADA",L1446="ENTREGA DIGITAL"),0,MAX(0,5-NETWORKDAYS(H1446+1,TODAY()))))</f>
        <v>0</v>
      </c>
      <c r="L1446">
        <f>IF(A1446="","",IFERROR(LOOKUP(2,1/(#REF!=Z1446),#REF!),Y1446))</f>
        <v>0</v>
      </c>
      <c r="Z1446" t="str">
        <f>IF(A1446="","",TEXT(A1446,"0")&amp;"|"&amp;TEXT(H1446,"0"))</f>
        <v>5415017838130810|46136</v>
      </c>
      <c r="AA1446" t="str">
        <f>IF(Z1446="","",IFERROR(LOOKUP(2,1/(#REF!=Z1446),#REF!),""))</f>
        <v/>
      </c>
      <c r="AB1446" t="str">
        <f>IF(Z1446="","",IFERROR(LOOKUP(2,1/(#REF!=Z1446),#REF!),""))</f>
        <v/>
      </c>
      <c r="AC1446" t="e">
        <f>IF(Z1446="","",COUNTIF(#REF!,Z1446))</f>
        <v>#REF!</v>
      </c>
      <c r="AD1446" t="e">
        <f>IF(A1446="","",IF(AC1446&gt;1,"REVISAR DUPLICADO",IF(AA1446&lt;&gt;"","ACTUALIZADO POR EYR","SIN REPORTE EYR")))</f>
        <v>#REF!</v>
      </c>
    </row>
    <row r="1447" spans="1:30" x14ac:dyDescent="0.3">
      <c r="A1447" s="5" t="s">
        <v>1460</v>
      </c>
      <c r="B1447" t="s">
        <v>1459</v>
      </c>
      <c r="C1447" s="4" t="s">
        <v>1458</v>
      </c>
      <c r="D1447" t="s">
        <v>21</v>
      </c>
      <c r="F1447" t="s">
        <v>13</v>
      </c>
      <c r="G1447" s="3">
        <v>8298769618</v>
      </c>
      <c r="H1447" s="2">
        <v>46136</v>
      </c>
      <c r="K1447" s="1">
        <f ca="1">IF(A1447="","",IF(OR(L1447="ENTREGADA",L1447="RETORNADA",L1447="ENTREGA DIGITAL"),0,MAX(0,5-NETWORKDAYS(H1447+1,TODAY()))))</f>
        <v>0</v>
      </c>
      <c r="L1447">
        <f>IF(A1447="","",IFERROR(LOOKUP(2,1/(#REF!=Z1447),#REF!),Y1447))</f>
        <v>0</v>
      </c>
      <c r="Z1447" t="str">
        <f>IF(A1447="","",TEXT(A1447,"0")&amp;"|"&amp;TEXT(H1447,"0"))</f>
        <v>4921017827182390|46136</v>
      </c>
      <c r="AA1447" t="str">
        <f>IF(Z1447="","",IFERROR(LOOKUP(2,1/(#REF!=Z1447),#REF!),""))</f>
        <v/>
      </c>
      <c r="AB1447" t="str">
        <f>IF(Z1447="","",IFERROR(LOOKUP(2,1/(#REF!=Z1447),#REF!),""))</f>
        <v/>
      </c>
      <c r="AC1447" t="e">
        <f>IF(Z1447="","",COUNTIF(#REF!,Z1447))</f>
        <v>#REF!</v>
      </c>
      <c r="AD1447" t="e">
        <f>IF(A1447="","",IF(AC1447&gt;1,"REVISAR DUPLICADO",IF(AA1447&lt;&gt;"","ACTUALIZADO POR EYR","SIN REPORTE EYR")))</f>
        <v>#REF!</v>
      </c>
    </row>
    <row r="1448" spans="1:30" x14ac:dyDescent="0.3">
      <c r="A1448" s="5" t="s">
        <v>1457</v>
      </c>
      <c r="B1448" t="s">
        <v>1456</v>
      </c>
      <c r="C1448" s="4" t="s">
        <v>1455</v>
      </c>
      <c r="D1448" t="s">
        <v>21</v>
      </c>
      <c r="F1448" t="s">
        <v>13</v>
      </c>
      <c r="G1448" s="3">
        <v>8096182884</v>
      </c>
      <c r="H1448" s="2">
        <v>46136</v>
      </c>
      <c r="K1448" s="1">
        <f ca="1">IF(A1448="","",IF(OR(L1448="ENTREGADA",L1448="RETORNADA",L1448="ENTREGA DIGITAL"),0,MAX(0,5-NETWORKDAYS(H1448+1,TODAY()))))</f>
        <v>0</v>
      </c>
      <c r="L1448">
        <f>IF(A1448="","",IFERROR(LOOKUP(2,1/(#REF!=Z1448),#REF!),Y1448))</f>
        <v>0</v>
      </c>
      <c r="Z1448" t="str">
        <f>IF(A1448="","",TEXT(A1448,"0")&amp;"|"&amp;TEXT(H1448,"0"))</f>
        <v>4921017819811970|46136</v>
      </c>
      <c r="AA1448" t="str">
        <f>IF(Z1448="","",IFERROR(LOOKUP(2,1/(#REF!=Z1448),#REF!),""))</f>
        <v/>
      </c>
      <c r="AB1448" t="str">
        <f>IF(Z1448="","",IFERROR(LOOKUP(2,1/(#REF!=Z1448),#REF!),""))</f>
        <v/>
      </c>
      <c r="AC1448" t="e">
        <f>IF(Z1448="","",COUNTIF(#REF!,Z1448))</f>
        <v>#REF!</v>
      </c>
      <c r="AD1448" t="e">
        <f>IF(A1448="","",IF(AC1448&gt;1,"REVISAR DUPLICADO",IF(AA1448&lt;&gt;"","ACTUALIZADO POR EYR","SIN REPORTE EYR")))</f>
        <v>#REF!</v>
      </c>
    </row>
    <row r="1449" spans="1:30" x14ac:dyDescent="0.3">
      <c r="A1449" s="5" t="s">
        <v>1454</v>
      </c>
      <c r="B1449" t="s">
        <v>1453</v>
      </c>
      <c r="C1449" s="4" t="s">
        <v>1452</v>
      </c>
      <c r="D1449" t="s">
        <v>21</v>
      </c>
      <c r="F1449" t="s">
        <v>146</v>
      </c>
      <c r="G1449" s="3">
        <v>8095375017</v>
      </c>
      <c r="H1449" s="2">
        <v>46136</v>
      </c>
      <c r="K1449" s="1">
        <f ca="1">IF(A1449="","",IF(OR(L1449="ENTREGADA",L1449="RETORNADA",L1449="ENTREGA DIGITAL"),0,MAX(0,5-NETWORKDAYS(H1449+1,TODAY()))))</f>
        <v>0</v>
      </c>
      <c r="L1449">
        <f>IF(A1449="","",IFERROR(LOOKUP(2,1/(#REF!=Z1449),#REF!),Y1449))</f>
        <v>0</v>
      </c>
      <c r="Z1449" t="str">
        <f>IF(A1449="","",TEXT(A1449,"0")&amp;"|"&amp;TEXT(H1449,"0"))</f>
        <v>4921017662880450|46136</v>
      </c>
      <c r="AA1449" t="str">
        <f>IF(Z1449="","",IFERROR(LOOKUP(2,1/(#REF!=Z1449),#REF!),""))</f>
        <v/>
      </c>
      <c r="AB1449" t="str">
        <f>IF(Z1449="","",IFERROR(LOOKUP(2,1/(#REF!=Z1449),#REF!),""))</f>
        <v/>
      </c>
      <c r="AC1449" t="e">
        <f>IF(Z1449="","",COUNTIF(#REF!,Z1449))</f>
        <v>#REF!</v>
      </c>
      <c r="AD1449" t="e">
        <f>IF(A1449="","",IF(AC1449&gt;1,"REVISAR DUPLICADO",IF(AA1449&lt;&gt;"","ACTUALIZADO POR EYR","SIN REPORTE EYR")))</f>
        <v>#REF!</v>
      </c>
    </row>
    <row r="1450" spans="1:30" x14ac:dyDescent="0.3">
      <c r="A1450" s="5" t="s">
        <v>1451</v>
      </c>
      <c r="B1450" t="s">
        <v>1450</v>
      </c>
      <c r="C1450" s="4" t="s">
        <v>1449</v>
      </c>
      <c r="D1450" t="s">
        <v>21</v>
      </c>
      <c r="F1450" t="s">
        <v>879</v>
      </c>
      <c r="G1450" s="3">
        <v>8092468892</v>
      </c>
      <c r="H1450" s="2">
        <v>46136</v>
      </c>
      <c r="K1450" s="1">
        <f ca="1">IF(A1450="","",IF(OR(L1450="ENTREGADA",L1450="RETORNADA",L1450="ENTREGA DIGITAL"),0,MAX(0,5-NETWORKDAYS(H1450+1,TODAY()))))</f>
        <v>0</v>
      </c>
      <c r="L1450">
        <f>IF(A1450="","",IFERROR(LOOKUP(2,1/(#REF!=Z1450),#REF!),Y1450))</f>
        <v>0</v>
      </c>
      <c r="Z1450" t="str">
        <f>IF(A1450="","",TEXT(A1450,"0")&amp;"|"&amp;TEXT(H1450,"0"))</f>
        <v>4966017907027700|46136</v>
      </c>
      <c r="AA1450" t="str">
        <f>IF(Z1450="","",IFERROR(LOOKUP(2,1/(#REF!=Z1450),#REF!),""))</f>
        <v/>
      </c>
      <c r="AB1450" t="str">
        <f>IF(Z1450="","",IFERROR(LOOKUP(2,1/(#REF!=Z1450),#REF!),""))</f>
        <v/>
      </c>
      <c r="AC1450" t="e">
        <f>IF(Z1450="","",COUNTIF(#REF!,Z1450))</f>
        <v>#REF!</v>
      </c>
      <c r="AD1450" t="e">
        <f>IF(A1450="","",IF(AC1450&gt;1,"REVISAR DUPLICADO",IF(AA1450&lt;&gt;"","ACTUALIZADO POR EYR","SIN REPORTE EYR")))</f>
        <v>#REF!</v>
      </c>
    </row>
    <row r="1451" spans="1:30" x14ac:dyDescent="0.3">
      <c r="A1451" s="5" t="s">
        <v>1448</v>
      </c>
      <c r="B1451" t="s">
        <v>1447</v>
      </c>
      <c r="C1451" s="4" t="s">
        <v>1446</v>
      </c>
      <c r="D1451" t="s">
        <v>21</v>
      </c>
      <c r="F1451" t="s">
        <v>13</v>
      </c>
      <c r="G1451" s="3">
        <v>8297177591</v>
      </c>
      <c r="H1451" s="2">
        <v>46136</v>
      </c>
      <c r="K1451" s="1">
        <f ca="1">IF(A1451="","",IF(OR(L1451="ENTREGADA",L1451="RETORNADA",L1451="ENTREGA DIGITAL"),0,MAX(0,5-NETWORKDAYS(H1451+1,TODAY()))))</f>
        <v>0</v>
      </c>
      <c r="L1451">
        <f>IF(A1451="","",IFERROR(LOOKUP(2,1/(#REF!=Z1451),#REF!),Y1451))</f>
        <v>0</v>
      </c>
      <c r="Z1451" t="str">
        <f>IF(A1451="","",TEXT(A1451,"0")&amp;"|"&amp;TEXT(H1451,"0"))</f>
        <v>5188017905436740|46136</v>
      </c>
      <c r="AA1451" t="str">
        <f>IF(Z1451="","",IFERROR(LOOKUP(2,1/(#REF!=Z1451),#REF!),""))</f>
        <v/>
      </c>
      <c r="AB1451" t="str">
        <f>IF(Z1451="","",IFERROR(LOOKUP(2,1/(#REF!=Z1451),#REF!),""))</f>
        <v/>
      </c>
      <c r="AC1451" t="e">
        <f>IF(Z1451="","",COUNTIF(#REF!,Z1451))</f>
        <v>#REF!</v>
      </c>
      <c r="AD1451" t="e">
        <f>IF(A1451="","",IF(AC1451&gt;1,"REVISAR DUPLICADO",IF(AA1451&lt;&gt;"","ACTUALIZADO POR EYR","SIN REPORTE EYR")))</f>
        <v>#REF!</v>
      </c>
    </row>
    <row r="1452" spans="1:30" x14ac:dyDescent="0.3">
      <c r="A1452" s="5" t="s">
        <v>1445</v>
      </c>
      <c r="B1452" t="s">
        <v>1444</v>
      </c>
      <c r="C1452" s="4" t="s">
        <v>1443</v>
      </c>
      <c r="D1452" t="s">
        <v>21</v>
      </c>
      <c r="F1452" t="s">
        <v>13</v>
      </c>
      <c r="G1452" s="3">
        <v>8097801012</v>
      </c>
      <c r="H1452" s="2">
        <v>46136</v>
      </c>
      <c r="K1452" s="1">
        <f ca="1">IF(A1452="","",IF(OR(L1452="ENTREGADA",L1452="RETORNADA",L1452="ENTREGA DIGITAL"),0,MAX(0,5-NETWORKDAYS(H1452+1,TODAY()))))</f>
        <v>0</v>
      </c>
      <c r="L1452">
        <f>IF(A1452="","",IFERROR(LOOKUP(2,1/(#REF!=Z1452),#REF!),Y1452))</f>
        <v>0</v>
      </c>
      <c r="Z1452" t="str">
        <f>IF(A1452="","",TEXT(A1452,"0")&amp;"|"&amp;TEXT(H1452,"0"))</f>
        <v>5227017905253070|46136</v>
      </c>
      <c r="AA1452" t="str">
        <f>IF(Z1452="","",IFERROR(LOOKUP(2,1/(#REF!=Z1452),#REF!),""))</f>
        <v/>
      </c>
      <c r="AB1452" t="str">
        <f>IF(Z1452="","",IFERROR(LOOKUP(2,1/(#REF!=Z1452),#REF!),""))</f>
        <v/>
      </c>
      <c r="AC1452" t="e">
        <f>IF(Z1452="","",COUNTIF(#REF!,Z1452))</f>
        <v>#REF!</v>
      </c>
      <c r="AD1452" t="e">
        <f>IF(A1452="","",IF(AC1452&gt;1,"REVISAR DUPLICADO",IF(AA1452&lt;&gt;"","ACTUALIZADO POR EYR","SIN REPORTE EYR")))</f>
        <v>#REF!</v>
      </c>
    </row>
    <row r="1453" spans="1:30" x14ac:dyDescent="0.3">
      <c r="A1453" s="5" t="s">
        <v>1442</v>
      </c>
      <c r="B1453" t="s">
        <v>1441</v>
      </c>
      <c r="C1453" s="4" t="s">
        <v>1440</v>
      </c>
      <c r="D1453" t="s">
        <v>77</v>
      </c>
      <c r="F1453" t="s">
        <v>1439</v>
      </c>
      <c r="G1453" s="3">
        <v>8297193910</v>
      </c>
      <c r="H1453" s="2">
        <v>46136</v>
      </c>
      <c r="K1453" s="1">
        <f ca="1">IF(A1453="","",IF(OR(L1453="ENTREGADA",L1453="RETORNADA",L1453="ENTREGA DIGITAL"),0,MAX(0,5-NETWORKDAYS(H1453+1,TODAY()))))</f>
        <v>0</v>
      </c>
      <c r="L1453">
        <f>IF(A1453="","",IFERROR(LOOKUP(2,1/(#REF!=Z1453),#REF!),Y1453))</f>
        <v>0</v>
      </c>
      <c r="Z1453" t="str">
        <f>IF(A1453="","",TEXT(A1453,"0")&amp;"|"&amp;TEXT(H1453,"0"))</f>
        <v>5415017829205760|46136</v>
      </c>
      <c r="AA1453" t="str">
        <f>IF(Z1453="","",IFERROR(LOOKUP(2,1/(#REF!=Z1453),#REF!),""))</f>
        <v/>
      </c>
      <c r="AB1453" t="str">
        <f>IF(Z1453="","",IFERROR(LOOKUP(2,1/(#REF!=Z1453),#REF!),""))</f>
        <v/>
      </c>
      <c r="AC1453" t="e">
        <f>IF(Z1453="","",COUNTIF(#REF!,Z1453))</f>
        <v>#REF!</v>
      </c>
      <c r="AD1453" t="e">
        <f>IF(A1453="","",IF(AC1453&gt;1,"REVISAR DUPLICADO",IF(AA1453&lt;&gt;"","ACTUALIZADO POR EYR","SIN REPORTE EYR")))</f>
        <v>#REF!</v>
      </c>
    </row>
    <row r="1454" spans="1:30" x14ac:dyDescent="0.3">
      <c r="A1454" s="5" t="s">
        <v>1438</v>
      </c>
      <c r="B1454" t="s">
        <v>1437</v>
      </c>
      <c r="C1454" s="4" t="s">
        <v>1436</v>
      </c>
      <c r="D1454" t="s">
        <v>77</v>
      </c>
      <c r="F1454" t="s">
        <v>13</v>
      </c>
      <c r="G1454" s="3">
        <v>8299125119</v>
      </c>
      <c r="H1454" s="2">
        <v>46136</v>
      </c>
      <c r="I1454" t="s">
        <v>1397</v>
      </c>
      <c r="K1454" s="1">
        <f ca="1">IF(A1454="","",IF(OR(L1454="ENTREGADA",L1454="RETORNADA",L1454="ENTREGA DIGITAL"),0,MAX(0,5-NETWORKDAYS(H1454+1,TODAY()))))</f>
        <v>0</v>
      </c>
      <c r="L1454" t="str">
        <f>IF(A1454="","",IFERROR(LOOKUP(2,1/(#REF!=Z1454),#REF!),Y1454))</f>
        <v>ENTREGA DIGITAL</v>
      </c>
      <c r="Y1454" t="s">
        <v>1396</v>
      </c>
      <c r="Z1454" t="str">
        <f>IF(A1454="","",TEXT(A1454,"0")&amp;"|"&amp;TEXT(H1454,"0"))</f>
        <v>5415017903959200|46136</v>
      </c>
      <c r="AA1454" t="str">
        <f>IF(Z1454="","",IFERROR(LOOKUP(2,1/(#REF!=Z1454),#REF!),""))</f>
        <v/>
      </c>
      <c r="AB1454" t="str">
        <f>IF(Z1454="","",IFERROR(LOOKUP(2,1/(#REF!=Z1454),#REF!),""))</f>
        <v/>
      </c>
      <c r="AC1454" t="e">
        <f>IF(Z1454="","",COUNTIF(#REF!,Z1454))</f>
        <v>#REF!</v>
      </c>
      <c r="AD1454" t="e">
        <f>IF(A1454="","",IF(AC1454&gt;1,"REVISAR DUPLICADO",IF(AA1454&lt;&gt;"","ACTUALIZADO POR EYR","SIN REPORTE EYR")))</f>
        <v>#REF!</v>
      </c>
    </row>
    <row r="1455" spans="1:30" x14ac:dyDescent="0.3">
      <c r="A1455" s="5" t="s">
        <v>1435</v>
      </c>
      <c r="B1455" t="s">
        <v>1434</v>
      </c>
      <c r="C1455" s="4" t="s">
        <v>1433</v>
      </c>
      <c r="D1455" t="s">
        <v>77</v>
      </c>
      <c r="F1455" t="s">
        <v>1432</v>
      </c>
      <c r="G1455" s="3">
        <v>8493543207</v>
      </c>
      <c r="H1455" s="2">
        <v>46136</v>
      </c>
      <c r="K1455" s="1">
        <f ca="1">IF(A1455="","",IF(OR(L1455="ENTREGADA",L1455="RETORNADA",L1455="ENTREGA DIGITAL"),0,MAX(0,5-NETWORKDAYS(H1455+1,TODAY()))))</f>
        <v>0</v>
      </c>
      <c r="L1455">
        <f>IF(A1455="","",IFERROR(LOOKUP(2,1/(#REF!=Z1455),#REF!),Y1455))</f>
        <v>0</v>
      </c>
      <c r="Z1455" t="str">
        <f>IF(A1455="","",TEXT(A1455,"0")&amp;"|"&amp;TEXT(H1455,"0"))</f>
        <v>5188017905328020|46136</v>
      </c>
      <c r="AA1455" t="str">
        <f>IF(Z1455="","",IFERROR(LOOKUP(2,1/(#REF!=Z1455),#REF!),""))</f>
        <v/>
      </c>
      <c r="AB1455" t="str">
        <f>IF(Z1455="","",IFERROR(LOOKUP(2,1/(#REF!=Z1455),#REF!),""))</f>
        <v/>
      </c>
      <c r="AC1455" t="e">
        <f>IF(Z1455="","",COUNTIF(#REF!,Z1455))</f>
        <v>#REF!</v>
      </c>
      <c r="AD1455" t="e">
        <f>IF(A1455="","",IF(AC1455&gt;1,"REVISAR DUPLICADO",IF(AA1455&lt;&gt;"","ACTUALIZADO POR EYR","SIN REPORTE EYR")))</f>
        <v>#REF!</v>
      </c>
    </row>
    <row r="1456" spans="1:30" x14ac:dyDescent="0.3">
      <c r="A1456" s="5" t="s">
        <v>1431</v>
      </c>
      <c r="B1456" t="s">
        <v>1430</v>
      </c>
      <c r="C1456" s="4" t="s">
        <v>1429</v>
      </c>
      <c r="D1456" t="s">
        <v>77</v>
      </c>
      <c r="F1456" t="s">
        <v>0</v>
      </c>
      <c r="G1456" s="3">
        <v>8297963266</v>
      </c>
      <c r="H1456" s="2">
        <v>46136</v>
      </c>
      <c r="K1456" s="1">
        <f ca="1">IF(A1456="","",IF(OR(L1456="ENTREGADA",L1456="RETORNADA",L1456="ENTREGA DIGITAL"),0,MAX(0,5-NETWORKDAYS(H1456+1,TODAY()))))</f>
        <v>0</v>
      </c>
      <c r="L1456">
        <f>IF(A1456="","",IFERROR(LOOKUP(2,1/(#REF!=Z1456),#REF!),Y1456))</f>
        <v>0</v>
      </c>
      <c r="Z1456" t="str">
        <f>IF(A1456="","",TEXT(A1456,"0")&amp;"|"&amp;TEXT(H1456,"0"))</f>
        <v>4025017678732780|46136</v>
      </c>
      <c r="AA1456" t="str">
        <f>IF(Z1456="","",IFERROR(LOOKUP(2,1/(#REF!=Z1456),#REF!),""))</f>
        <v/>
      </c>
      <c r="AB1456" t="str">
        <f>IF(Z1456="","",IFERROR(LOOKUP(2,1/(#REF!=Z1456),#REF!),""))</f>
        <v/>
      </c>
      <c r="AC1456" t="e">
        <f>IF(Z1456="","",COUNTIF(#REF!,Z1456))</f>
        <v>#REF!</v>
      </c>
      <c r="AD1456" t="e">
        <f>IF(A1456="","",IF(AC1456&gt;1,"REVISAR DUPLICADO",IF(AA1456&lt;&gt;"","ACTUALIZADO POR EYR","SIN REPORTE EYR")))</f>
        <v>#REF!</v>
      </c>
    </row>
    <row r="1457" spans="1:30" x14ac:dyDescent="0.3">
      <c r="A1457" s="5" t="s">
        <v>1428</v>
      </c>
      <c r="B1457" t="s">
        <v>731</v>
      </c>
      <c r="C1457" s="4" t="s">
        <v>730</v>
      </c>
      <c r="D1457" t="s">
        <v>77</v>
      </c>
      <c r="F1457" t="s">
        <v>13</v>
      </c>
      <c r="G1457" s="3">
        <v>8297865939</v>
      </c>
      <c r="H1457" s="2">
        <v>46136</v>
      </c>
      <c r="K1457" s="1">
        <f ca="1">IF(A1457="","",IF(OR(L1457="ENTREGADA",L1457="RETORNADA",L1457="ENTREGA DIGITAL"),0,MAX(0,5-NETWORKDAYS(H1457+1,TODAY()))))</f>
        <v>0</v>
      </c>
      <c r="L1457">
        <f>IF(A1457="","",IFERROR(LOOKUP(2,1/(#REF!=Z1457),#REF!),Y1457))</f>
        <v>0</v>
      </c>
      <c r="Z1457" t="str">
        <f>IF(A1457="","",TEXT(A1457,"0")&amp;"|"&amp;TEXT(H1457,"0"))</f>
        <v>5415017903981830|46136</v>
      </c>
      <c r="AA1457" t="str">
        <f>IF(Z1457="","",IFERROR(LOOKUP(2,1/(#REF!=Z1457),#REF!),""))</f>
        <v/>
      </c>
      <c r="AB1457" t="str">
        <f>IF(Z1457="","",IFERROR(LOOKUP(2,1/(#REF!=Z1457),#REF!),""))</f>
        <v/>
      </c>
      <c r="AC1457" t="e">
        <f>IF(Z1457="","",COUNTIF(#REF!,Z1457))</f>
        <v>#REF!</v>
      </c>
      <c r="AD1457" t="e">
        <f>IF(A1457="","",IF(AC1457&gt;1,"REVISAR DUPLICADO",IF(AA1457&lt;&gt;"","ACTUALIZADO POR EYR","SIN REPORTE EYR")))</f>
        <v>#REF!</v>
      </c>
    </row>
    <row r="1458" spans="1:30" x14ac:dyDescent="0.3">
      <c r="A1458" s="5" t="s">
        <v>1427</v>
      </c>
      <c r="B1458" s="8" t="s">
        <v>1426</v>
      </c>
      <c r="C1458" s="4" t="s">
        <v>1425</v>
      </c>
      <c r="D1458" t="s">
        <v>77</v>
      </c>
      <c r="F1458" t="s">
        <v>1424</v>
      </c>
      <c r="G1458" s="3">
        <v>8099357002</v>
      </c>
      <c r="H1458" s="2">
        <v>46136</v>
      </c>
      <c r="K1458" s="1">
        <f ca="1">IF(A1458="","",IF(OR(L1458="ENTREGADA",L1458="RETORNADA",L1458="ENTREGA DIGITAL"),0,MAX(0,5-NETWORKDAYS(H1458+1,TODAY()))))</f>
        <v>0</v>
      </c>
      <c r="L1458">
        <f>IF(A1458="","",IFERROR(LOOKUP(2,1/(#REF!=Z1458),#REF!),Y1458))</f>
        <v>0</v>
      </c>
      <c r="Z1458" t="str">
        <f>IF(A1458="","",TEXT(A1458,"0")&amp;"|"&amp;TEXT(H1458,"0"))</f>
        <v>5188017905747200|46136</v>
      </c>
      <c r="AA1458" t="str">
        <f>IF(Z1458="","",IFERROR(LOOKUP(2,1/(#REF!=Z1458),#REF!),""))</f>
        <v/>
      </c>
      <c r="AB1458" t="str">
        <f>IF(Z1458="","",IFERROR(LOOKUP(2,1/(#REF!=Z1458),#REF!),""))</f>
        <v/>
      </c>
      <c r="AC1458" t="e">
        <f>IF(Z1458="","",COUNTIF(#REF!,Z1458))</f>
        <v>#REF!</v>
      </c>
      <c r="AD1458" t="e">
        <f>IF(A1458="","",IF(AC1458&gt;1,"REVISAR DUPLICADO",IF(AA1458&lt;&gt;"","ACTUALIZADO POR EYR","SIN REPORTE EYR")))</f>
        <v>#REF!</v>
      </c>
    </row>
    <row r="1459" spans="1:30" x14ac:dyDescent="0.3">
      <c r="A1459" s="5" t="s">
        <v>1423</v>
      </c>
      <c r="B1459" t="s">
        <v>1422</v>
      </c>
      <c r="C1459" s="4" t="s">
        <v>1421</v>
      </c>
      <c r="D1459" t="s">
        <v>77</v>
      </c>
      <c r="F1459" t="s">
        <v>1420</v>
      </c>
      <c r="G1459" s="3">
        <v>8094964410</v>
      </c>
      <c r="H1459" s="2">
        <v>46136</v>
      </c>
      <c r="K1459" s="1">
        <f ca="1">IF(A1459="","",IF(OR(L1459="ENTREGADA",L1459="RETORNADA",L1459="ENTREGA DIGITAL"),0,MAX(0,5-NETWORKDAYS(H1459+1,TODAY()))))</f>
        <v>0</v>
      </c>
      <c r="L1459">
        <f>IF(A1459="","",IFERROR(LOOKUP(2,1/(#REF!=Z1459),#REF!),Y1459))</f>
        <v>0</v>
      </c>
      <c r="Z1459" t="str">
        <f>IF(A1459="","",TEXT(A1459,"0")&amp;"|"&amp;TEXT(H1459,"0"))</f>
        <v>5415017903928300|46136</v>
      </c>
      <c r="AA1459" t="str">
        <f>IF(Z1459="","",IFERROR(LOOKUP(2,1/(#REF!=Z1459),#REF!),""))</f>
        <v/>
      </c>
      <c r="AB1459" t="str">
        <f>IF(Z1459="","",IFERROR(LOOKUP(2,1/(#REF!=Z1459),#REF!),""))</f>
        <v/>
      </c>
      <c r="AC1459" t="e">
        <f>IF(Z1459="","",COUNTIF(#REF!,Z1459))</f>
        <v>#REF!</v>
      </c>
      <c r="AD1459" t="e">
        <f>IF(A1459="","",IF(AC1459&gt;1,"REVISAR DUPLICADO",IF(AA1459&lt;&gt;"","ACTUALIZADO POR EYR","SIN REPORTE EYR")))</f>
        <v>#REF!</v>
      </c>
    </row>
    <row r="1460" spans="1:30" x14ac:dyDescent="0.3">
      <c r="A1460" s="5" t="s">
        <v>1419</v>
      </c>
      <c r="B1460" t="s">
        <v>1418</v>
      </c>
      <c r="C1460" s="4" t="s">
        <v>1417</v>
      </c>
      <c r="D1460" t="s">
        <v>77</v>
      </c>
      <c r="F1460" t="s">
        <v>0</v>
      </c>
      <c r="G1460" s="3">
        <v>8299651336</v>
      </c>
      <c r="H1460" s="2">
        <v>46136</v>
      </c>
      <c r="K1460" s="1">
        <f ca="1">IF(A1460="","",IF(OR(L1460="ENTREGADA",L1460="RETORNADA",L1460="ENTREGA DIGITAL"),0,MAX(0,5-NETWORKDAYS(H1460+1,TODAY()))))</f>
        <v>0</v>
      </c>
      <c r="L1460">
        <f>IF(A1460="","",IFERROR(LOOKUP(2,1/(#REF!=Z1460),#REF!),Y1460))</f>
        <v>0</v>
      </c>
      <c r="Z1460" t="str">
        <f>IF(A1460="","",TEXT(A1460,"0")&amp;"|"&amp;TEXT(H1460,"0"))</f>
        <v>4921017757635800|46136</v>
      </c>
      <c r="AA1460" t="str">
        <f>IF(Z1460="","",IFERROR(LOOKUP(2,1/(#REF!=Z1460),#REF!),""))</f>
        <v/>
      </c>
      <c r="AB1460" t="str">
        <f>IF(Z1460="","",IFERROR(LOOKUP(2,1/(#REF!=Z1460),#REF!),""))</f>
        <v/>
      </c>
      <c r="AC1460" t="e">
        <f>IF(Z1460="","",COUNTIF(#REF!,Z1460))</f>
        <v>#REF!</v>
      </c>
      <c r="AD1460" t="e">
        <f>IF(A1460="","",IF(AC1460&gt;1,"REVISAR DUPLICADO",IF(AA1460&lt;&gt;"","ACTUALIZADO POR EYR","SIN REPORTE EYR")))</f>
        <v>#REF!</v>
      </c>
    </row>
    <row r="1461" spans="1:30" x14ac:dyDescent="0.3">
      <c r="A1461" s="5" t="s">
        <v>1416</v>
      </c>
      <c r="B1461" t="s">
        <v>1415</v>
      </c>
      <c r="C1461" s="4" t="s">
        <v>1414</v>
      </c>
      <c r="D1461" t="s">
        <v>77</v>
      </c>
      <c r="F1461" t="s">
        <v>13</v>
      </c>
      <c r="G1461" s="3">
        <v>8094630116</v>
      </c>
      <c r="H1461" s="2">
        <v>46136</v>
      </c>
      <c r="K1461" s="1">
        <f ca="1">IF(A1461="","",IF(OR(L1461="ENTREGADA",L1461="RETORNADA",L1461="ENTREGA DIGITAL"),0,MAX(0,5-NETWORKDAYS(H1461+1,TODAY()))))</f>
        <v>0</v>
      </c>
      <c r="L1461">
        <f>IF(A1461="","",IFERROR(LOOKUP(2,1/(#REF!=Z1461),#REF!),Y1461))</f>
        <v>0</v>
      </c>
      <c r="Z1461" t="str">
        <f>IF(A1461="","",TEXT(A1461,"0")&amp;"|"&amp;TEXT(H1461,"0"))</f>
        <v>4025017909740630|46136</v>
      </c>
      <c r="AA1461" t="str">
        <f>IF(Z1461="","",IFERROR(LOOKUP(2,1/(#REF!=Z1461),#REF!),""))</f>
        <v/>
      </c>
      <c r="AB1461" t="str">
        <f>IF(Z1461="","",IFERROR(LOOKUP(2,1/(#REF!=Z1461),#REF!),""))</f>
        <v/>
      </c>
      <c r="AC1461" t="e">
        <f>IF(Z1461="","",COUNTIF(#REF!,Z1461))</f>
        <v>#REF!</v>
      </c>
      <c r="AD1461" t="e">
        <f>IF(A1461="","",IF(AC1461&gt;1,"REVISAR DUPLICADO",IF(AA1461&lt;&gt;"","ACTUALIZADO POR EYR","SIN REPORTE EYR")))</f>
        <v>#REF!</v>
      </c>
    </row>
    <row r="1462" spans="1:30" x14ac:dyDescent="0.3">
      <c r="A1462" s="5" t="s">
        <v>1413</v>
      </c>
      <c r="B1462" t="s">
        <v>1412</v>
      </c>
      <c r="C1462" s="4" t="s">
        <v>1411</v>
      </c>
      <c r="D1462" t="s">
        <v>1</v>
      </c>
      <c r="F1462" t="s">
        <v>0</v>
      </c>
      <c r="G1462" s="3">
        <v>8092213637</v>
      </c>
      <c r="H1462" s="2">
        <v>46139</v>
      </c>
      <c r="K1462" s="1">
        <f ca="1">IF(A1462="","",IF(OR(L1462="ENTREGADA",L1462="RETORNADA",L1462="ENTREGA DIGITAL"),0,MAX(0,5-NETWORKDAYS(H1462+1,TODAY()))))</f>
        <v>1</v>
      </c>
      <c r="L1462">
        <f>IF(A1462="","",IFERROR(LOOKUP(2,1/(#REF!=Z1462),#REF!),Y1462))</f>
        <v>0</v>
      </c>
      <c r="Z1462" t="str">
        <f>IF(A1462="","",TEXT(A1462,"0")&amp;"|"&amp;TEXT(H1462,"0"))</f>
        <v>4921017812000200|46139</v>
      </c>
      <c r="AA1462" t="str">
        <f>IF(Z1462="","",IFERROR(LOOKUP(2,1/(#REF!=Z1462),#REF!),""))</f>
        <v/>
      </c>
      <c r="AB1462" t="str">
        <f>IF(Z1462="","",IFERROR(LOOKUP(2,1/(#REF!=Z1462),#REF!),""))</f>
        <v/>
      </c>
      <c r="AC1462" t="e">
        <f>IF(Z1462="","",COUNTIF(#REF!,Z1462))</f>
        <v>#REF!</v>
      </c>
      <c r="AD1462" t="e">
        <f>IF(A1462="","",IF(AC1462&gt;1,"REVISAR DUPLICADO",IF(AA1462&lt;&gt;"","ACTUALIZADO POR EYR","SIN REPORTE EYR")))</f>
        <v>#REF!</v>
      </c>
    </row>
    <row r="1463" spans="1:30" x14ac:dyDescent="0.3">
      <c r="A1463" s="5" t="s">
        <v>1410</v>
      </c>
      <c r="B1463" t="s">
        <v>1409</v>
      </c>
      <c r="C1463" s="4" t="s">
        <v>1408</v>
      </c>
      <c r="D1463" t="s">
        <v>1</v>
      </c>
      <c r="F1463" t="s">
        <v>13</v>
      </c>
      <c r="G1463" s="3">
        <v>8296326846</v>
      </c>
      <c r="H1463" s="2">
        <v>46139</v>
      </c>
      <c r="K1463" s="1">
        <f ca="1">IF(A1463="","",IF(OR(L1463="ENTREGADA",L1463="RETORNADA",L1463="ENTREGA DIGITAL"),0,MAX(0,5-NETWORKDAYS(H1463+1,TODAY()))))</f>
        <v>1</v>
      </c>
      <c r="L1463">
        <f>IF(A1463="","",IFERROR(LOOKUP(2,1/(#REF!=Z1463),#REF!),Y1463))</f>
        <v>0</v>
      </c>
      <c r="Z1463" t="str">
        <f>IF(A1463="","",TEXT(A1463,"0")&amp;"|"&amp;TEXT(H1463,"0"))</f>
        <v>4921017822678260|46139</v>
      </c>
      <c r="AA1463" t="str">
        <f>IF(Z1463="","",IFERROR(LOOKUP(2,1/(#REF!=Z1463),#REF!),""))</f>
        <v/>
      </c>
      <c r="AB1463" t="str">
        <f>IF(Z1463="","",IFERROR(LOOKUP(2,1/(#REF!=Z1463),#REF!),""))</f>
        <v/>
      </c>
      <c r="AC1463" t="e">
        <f>IF(Z1463="","",COUNTIF(#REF!,Z1463))</f>
        <v>#REF!</v>
      </c>
      <c r="AD1463" t="e">
        <f>IF(A1463="","",IF(AC1463&gt;1,"REVISAR DUPLICADO",IF(AA1463&lt;&gt;"","ACTUALIZADO POR EYR","SIN REPORTE EYR")))</f>
        <v>#REF!</v>
      </c>
    </row>
    <row r="1464" spans="1:30" x14ac:dyDescent="0.3">
      <c r="A1464" s="5" t="s">
        <v>1407</v>
      </c>
      <c r="B1464" t="s">
        <v>1406</v>
      </c>
      <c r="C1464" s="4" t="s">
        <v>1405</v>
      </c>
      <c r="D1464" t="s">
        <v>1</v>
      </c>
      <c r="F1464" t="s">
        <v>1404</v>
      </c>
      <c r="G1464" s="3">
        <v>8298151643</v>
      </c>
      <c r="H1464" s="2">
        <v>46139</v>
      </c>
      <c r="K1464" s="1">
        <f ca="1">IF(A1464="","",IF(OR(L1464="ENTREGADA",L1464="RETORNADA",L1464="ENTREGA DIGITAL"),0,MAX(0,5-NETWORKDAYS(H1464+1,TODAY()))))</f>
        <v>1</v>
      </c>
      <c r="L1464">
        <f>IF(A1464="","",IFERROR(LOOKUP(2,1/(#REF!=Z1464),#REF!),Y1464))</f>
        <v>0</v>
      </c>
      <c r="Z1464" t="str">
        <f>IF(A1464="","",TEXT(A1464,"0")&amp;"|"&amp;TEXT(H1464,"0"))</f>
        <v>5188017849908090|46139</v>
      </c>
      <c r="AA1464" t="str">
        <f>IF(Z1464="","",IFERROR(LOOKUP(2,1/(#REF!=Z1464),#REF!),""))</f>
        <v/>
      </c>
      <c r="AB1464" t="str">
        <f>IF(Z1464="","",IFERROR(LOOKUP(2,1/(#REF!=Z1464),#REF!),""))</f>
        <v/>
      </c>
      <c r="AC1464" t="e">
        <f>IF(Z1464="","",COUNTIF(#REF!,Z1464))</f>
        <v>#REF!</v>
      </c>
      <c r="AD1464" t="e">
        <f>IF(A1464="","",IF(AC1464&gt;1,"REVISAR DUPLICADO",IF(AA1464&lt;&gt;"","ACTUALIZADO POR EYR","SIN REPORTE EYR")))</f>
        <v>#REF!</v>
      </c>
    </row>
    <row r="1465" spans="1:30" x14ac:dyDescent="0.3">
      <c r="A1465" s="5" t="s">
        <v>1403</v>
      </c>
      <c r="B1465" t="s">
        <v>1402</v>
      </c>
      <c r="C1465" s="4" t="s">
        <v>1401</v>
      </c>
      <c r="D1465" t="s">
        <v>1</v>
      </c>
      <c r="E1465" t="s">
        <v>214</v>
      </c>
      <c r="F1465" t="s">
        <v>1400</v>
      </c>
      <c r="G1465" s="3">
        <v>8097231918</v>
      </c>
      <c r="H1465" s="2">
        <v>46139</v>
      </c>
      <c r="K1465" s="1">
        <f ca="1">IF(A1465="","",IF(OR(L1465="ENTREGADA",L1465="RETORNADA",L1465="ENTREGA DIGITAL"),0,MAX(0,5-NETWORKDAYS(H1465+1,TODAY()))))</f>
        <v>1</v>
      </c>
      <c r="L1465">
        <f>IF(A1465="","",IFERROR(LOOKUP(2,1/(#REF!=Z1465),#REF!),Y1465))</f>
        <v>0</v>
      </c>
      <c r="Z1465" t="str">
        <f>IF(A1465="","",TEXT(A1465,"0")&amp;"|"&amp;TEXT(H1465,"0"))</f>
        <v>4741017899555350|46139</v>
      </c>
      <c r="AA1465" t="str">
        <f>IF(Z1465="","",IFERROR(LOOKUP(2,1/(#REF!=Z1465),#REF!),""))</f>
        <v/>
      </c>
      <c r="AB1465" t="str">
        <f>IF(Z1465="","",IFERROR(LOOKUP(2,1/(#REF!=Z1465),#REF!),""))</f>
        <v/>
      </c>
      <c r="AC1465" t="e">
        <f>IF(Z1465="","",COUNTIF(#REF!,Z1465))</f>
        <v>#REF!</v>
      </c>
      <c r="AD1465" t="e">
        <f>IF(A1465="","",IF(AC1465&gt;1,"REVISAR DUPLICADO",IF(AA1465&lt;&gt;"","ACTUALIZADO POR EYR","SIN REPORTE EYR")))</f>
        <v>#REF!</v>
      </c>
    </row>
    <row r="1466" spans="1:30" x14ac:dyDescent="0.3">
      <c r="A1466" s="5" t="s">
        <v>1395</v>
      </c>
      <c r="B1466" t="s">
        <v>1394</v>
      </c>
      <c r="C1466" s="4">
        <v>22900305016</v>
      </c>
      <c r="D1466" t="s">
        <v>600</v>
      </c>
      <c r="F1466" t="s">
        <v>0</v>
      </c>
      <c r="G1466" s="3">
        <v>8094199352</v>
      </c>
      <c r="H1466" s="2">
        <v>46139</v>
      </c>
      <c r="I1466" t="s">
        <v>1397</v>
      </c>
      <c r="K1466" s="1">
        <f ca="1">IF(A1466="","",IF(OR(L1466="ENTREGADA",L1466="RETORNADA",L1466="ENTREGA DIGITAL"),0,MAX(0,5-NETWORKDAYS(H1466+1,TODAY()))))</f>
        <v>0</v>
      </c>
      <c r="L1466" t="str">
        <f>IF(A1466="","",IFERROR(LOOKUP(2,1/(#REF!=Z1466),#REF!),Y1466))</f>
        <v>ENTREGA DIGITAL</v>
      </c>
      <c r="Y1466" t="s">
        <v>1396</v>
      </c>
      <c r="Z1466" t="str">
        <f>IF(A1466="","",TEXT(A1466,"0")&amp;"|"&amp;TEXT(H1466,"0"))</f>
        <v>4921017591440350|46139</v>
      </c>
      <c r="AA1466" t="str">
        <f>IF(Z1466="","",IFERROR(LOOKUP(2,1/(#REF!=Z1466),#REF!),""))</f>
        <v/>
      </c>
      <c r="AB1466" t="str">
        <f>IF(Z1466="","",IFERROR(LOOKUP(2,1/(#REF!=Z1466),#REF!),""))</f>
        <v/>
      </c>
      <c r="AC1466" t="e">
        <f>IF(Z1466="","",COUNTIF(#REF!,Z1466))</f>
        <v>#REF!</v>
      </c>
      <c r="AD1466" t="e">
        <f>IF(A1466="","",IF(AC1466&gt;1,"REVISAR DUPLICADO",IF(AA1466&lt;&gt;"","ACTUALIZADO POR EYR","SIN REPORTE EYR")))</f>
        <v>#REF!</v>
      </c>
    </row>
    <row r="1467" spans="1:30" x14ac:dyDescent="0.3">
      <c r="A1467" s="5" t="s">
        <v>1393</v>
      </c>
      <c r="B1467" t="s">
        <v>1392</v>
      </c>
      <c r="C1467" s="4">
        <v>301211462</v>
      </c>
      <c r="D1467" t="s">
        <v>600</v>
      </c>
      <c r="F1467" t="s">
        <v>13</v>
      </c>
      <c r="G1467" s="3">
        <v>8293468624</v>
      </c>
      <c r="H1467" s="2">
        <v>46139</v>
      </c>
      <c r="I1467" t="s">
        <v>1397</v>
      </c>
      <c r="K1467" s="1">
        <f ca="1">IF(A1467="","",IF(OR(L1467="ENTREGADA",L1467="RETORNADA",L1467="ENTREGA DIGITAL"),0,MAX(0,5-NETWORKDAYS(H1467+1,TODAY()))))</f>
        <v>0</v>
      </c>
      <c r="L1467" t="str">
        <f>IF(A1467="","",IFERROR(LOOKUP(2,1/(#REF!=Z1467),#REF!),Y1467))</f>
        <v>ENTREGA DIGITAL</v>
      </c>
      <c r="Y1467" t="s">
        <v>1396</v>
      </c>
      <c r="Z1467" t="str">
        <f>IF(A1467="","",TEXT(A1467,"0")&amp;"|"&amp;TEXT(H1467,"0"))</f>
        <v>4921017808436190|46139</v>
      </c>
      <c r="AA1467" t="str">
        <f>IF(Z1467="","",IFERROR(LOOKUP(2,1/(#REF!=Z1467),#REF!),""))</f>
        <v/>
      </c>
      <c r="AB1467" t="str">
        <f>IF(Z1467="","",IFERROR(LOOKUP(2,1/(#REF!=Z1467),#REF!),""))</f>
        <v/>
      </c>
      <c r="AC1467" t="e">
        <f>IF(Z1467="","",COUNTIF(#REF!,Z1467))</f>
        <v>#REF!</v>
      </c>
      <c r="AD1467" t="e">
        <f>IF(A1467="","",IF(AC1467&gt;1,"REVISAR DUPLICADO",IF(AA1467&lt;&gt;"","ACTUALIZADO POR EYR","SIN REPORTE EYR")))</f>
        <v>#REF!</v>
      </c>
    </row>
    <row r="1468" spans="1:30" x14ac:dyDescent="0.3">
      <c r="A1468" s="5" t="s">
        <v>1391</v>
      </c>
      <c r="B1468" t="s">
        <v>1390</v>
      </c>
      <c r="C1468" s="4">
        <v>40200700595</v>
      </c>
      <c r="D1468" t="s">
        <v>600</v>
      </c>
      <c r="F1468" t="s">
        <v>517</v>
      </c>
      <c r="G1468" s="3">
        <v>8095679447</v>
      </c>
      <c r="H1468" s="2">
        <v>46139</v>
      </c>
      <c r="K1468" s="1">
        <f ca="1">IF(A1468="","",IF(OR(L1468="ENTREGADA",L1468="RETORNADA",L1468="ENTREGA DIGITAL"),0,MAX(0,5-NETWORKDAYS(H1468+1,TODAY()))))</f>
        <v>0</v>
      </c>
      <c r="L1468" t="str">
        <f>IF(A1468="","",IFERROR(LOOKUP(2,1/(#REF!=Z1468),#REF!),Y1468))</f>
        <v>ENTREGA DIGITAL</v>
      </c>
      <c r="Y1468" t="s">
        <v>1396</v>
      </c>
      <c r="Z1468" t="str">
        <f>IF(A1468="","",TEXT(A1468,"0")&amp;"|"&amp;TEXT(H1468,"0"))</f>
        <v>4921017912106040|46139</v>
      </c>
      <c r="AA1468" t="str">
        <f>IF(Z1468="","",IFERROR(LOOKUP(2,1/(#REF!=Z1468),#REF!),""))</f>
        <v/>
      </c>
      <c r="AB1468" t="str">
        <f>IF(Z1468="","",IFERROR(LOOKUP(2,1/(#REF!=Z1468),#REF!),""))</f>
        <v/>
      </c>
      <c r="AC1468" t="e">
        <f>IF(Z1468="","",COUNTIF(#REF!,Z1468))</f>
        <v>#REF!</v>
      </c>
      <c r="AD1468" t="e">
        <f>IF(A1468="","",IF(AC1468&gt;1,"REVISAR DUPLICADO",IF(AA1468&lt;&gt;"","ACTUALIZADO POR EYR","SIN REPORTE EYR")))</f>
        <v>#REF!</v>
      </c>
    </row>
    <row r="1469" spans="1:30" x14ac:dyDescent="0.3">
      <c r="A1469" s="5" t="s">
        <v>1389</v>
      </c>
      <c r="B1469" t="s">
        <v>1388</v>
      </c>
      <c r="C1469" s="4">
        <v>10900084053</v>
      </c>
      <c r="D1469" t="s">
        <v>600</v>
      </c>
      <c r="F1469" t="s">
        <v>517</v>
      </c>
      <c r="G1469" s="3">
        <v>8092745355</v>
      </c>
      <c r="H1469" s="2">
        <v>46139</v>
      </c>
      <c r="I1469" t="s">
        <v>1397</v>
      </c>
      <c r="J1469" t="s">
        <v>1399</v>
      </c>
      <c r="K1469" s="1">
        <f ca="1">IF(A1469="","",IF(OR(L1469="ENTREGADA",L1469="RETORNADA",L1469="ENTREGA DIGITAL"),0,MAX(0,5-NETWORKDAYS(H1469+1,TODAY()))))</f>
        <v>0</v>
      </c>
      <c r="L1469" t="str">
        <f>IF(A1469="","",IFERROR(LOOKUP(2,1/(#REF!=Z1469),#REF!),Y1469))</f>
        <v>ENTREGA DIGITAL</v>
      </c>
      <c r="Y1469" t="s">
        <v>1396</v>
      </c>
      <c r="Z1469" t="str">
        <f>IF(A1469="","",TEXT(A1469,"0")&amp;"|"&amp;TEXT(H1469,"0"))</f>
        <v>5415017910671470|46139</v>
      </c>
      <c r="AA1469" t="str">
        <f>IF(Z1469="","",IFERROR(LOOKUP(2,1/(#REF!=Z1469),#REF!),""))</f>
        <v/>
      </c>
      <c r="AB1469" t="str">
        <f>IF(Z1469="","",IFERROR(LOOKUP(2,1/(#REF!=Z1469),#REF!),""))</f>
        <v/>
      </c>
      <c r="AC1469" t="e">
        <f>IF(Z1469="","",COUNTIF(#REF!,Z1469))</f>
        <v>#REF!</v>
      </c>
      <c r="AD1469" t="e">
        <f>IF(A1469="","",IF(AC1469&gt;1,"REVISAR DUPLICADO",IF(AA1469&lt;&gt;"","ACTUALIZADO POR EYR","SIN REPORTE EYR")))</f>
        <v>#REF!</v>
      </c>
    </row>
    <row r="1470" spans="1:30" x14ac:dyDescent="0.3">
      <c r="A1470" s="5" t="s">
        <v>1387</v>
      </c>
      <c r="B1470" t="s">
        <v>1386</v>
      </c>
      <c r="C1470" s="4">
        <v>40211039397</v>
      </c>
      <c r="D1470" t="s">
        <v>600</v>
      </c>
      <c r="F1470" t="s">
        <v>13</v>
      </c>
      <c r="G1470" s="3">
        <v>8293019122</v>
      </c>
      <c r="H1470" s="2">
        <v>46139</v>
      </c>
      <c r="K1470" s="1">
        <f ca="1">IF(A1470="","",IF(OR(L1470="ENTREGADA",L1470="RETORNADA",L1470="ENTREGA DIGITAL"),0,MAX(0,5-NETWORKDAYS(H1470+1,TODAY()))))</f>
        <v>0</v>
      </c>
      <c r="L1470" t="str">
        <f>IF(A1470="","",IFERROR(LOOKUP(2,1/(#REF!=Z1470),#REF!),Y1470))</f>
        <v>ENTREGA DIGITAL</v>
      </c>
      <c r="Y1470" t="s">
        <v>1396</v>
      </c>
      <c r="Z1470" t="str">
        <f>IF(A1470="","",TEXT(A1470,"0")&amp;"|"&amp;TEXT(H1470,"0"))</f>
        <v>4921017906123780|46139</v>
      </c>
      <c r="AA1470" t="str">
        <f>IF(Z1470="","",IFERROR(LOOKUP(2,1/(#REF!=Z1470),#REF!),""))</f>
        <v/>
      </c>
      <c r="AB1470" t="str">
        <f>IF(Z1470="","",IFERROR(LOOKUP(2,1/(#REF!=Z1470),#REF!),""))</f>
        <v/>
      </c>
      <c r="AC1470" t="e">
        <f>IF(Z1470="","",COUNTIF(#REF!,Z1470))</f>
        <v>#REF!</v>
      </c>
      <c r="AD1470" t="e">
        <f>IF(A1470="","",IF(AC1470&gt;1,"REVISAR DUPLICADO",IF(AA1470&lt;&gt;"","ACTUALIZADO POR EYR","SIN REPORTE EYR")))</f>
        <v>#REF!</v>
      </c>
    </row>
    <row r="1471" spans="1:30" x14ac:dyDescent="0.3">
      <c r="A1471" s="5" t="s">
        <v>1385</v>
      </c>
      <c r="B1471" t="s">
        <v>1384</v>
      </c>
      <c r="C1471" s="4">
        <v>179984228</v>
      </c>
      <c r="D1471" t="s">
        <v>600</v>
      </c>
      <c r="F1471" t="s">
        <v>1383</v>
      </c>
      <c r="G1471" s="3">
        <v>8494561502</v>
      </c>
      <c r="H1471" s="2">
        <v>46139</v>
      </c>
      <c r="K1471" s="1">
        <f ca="1">IF(A1471="","",IF(OR(L1471="ENTREGADA",L1471="RETORNADA",L1471="ENTREGA DIGITAL"),0,MAX(0,5-NETWORKDAYS(H1471+1,TODAY()))))</f>
        <v>1</v>
      </c>
      <c r="L1471">
        <f>IF(A1471="","",IFERROR(LOOKUP(2,1/(#REF!=Z1471),#REF!),Y1471))</f>
        <v>0</v>
      </c>
      <c r="Z1471" t="str">
        <f>IF(A1471="","",TEXT(A1471,"0")&amp;"|"&amp;TEXT(H1471,"0"))</f>
        <v>4921017908547980|46139</v>
      </c>
      <c r="AA1471" t="str">
        <f>IF(Z1471="","",IFERROR(LOOKUP(2,1/(#REF!=Z1471),#REF!),""))</f>
        <v/>
      </c>
      <c r="AB1471" t="str">
        <f>IF(Z1471="","",IFERROR(LOOKUP(2,1/(#REF!=Z1471),#REF!),""))</f>
        <v/>
      </c>
      <c r="AC1471" t="e">
        <f>IF(Z1471="","",COUNTIF(#REF!,Z1471))</f>
        <v>#REF!</v>
      </c>
      <c r="AD1471" t="e">
        <f>IF(A1471="","",IF(AC1471&gt;1,"REVISAR DUPLICADO",IF(AA1471&lt;&gt;"","ACTUALIZADO POR EYR","SIN REPORTE EYR")))</f>
        <v>#REF!</v>
      </c>
    </row>
    <row r="1472" spans="1:30" x14ac:dyDescent="0.3">
      <c r="A1472" s="5" t="s">
        <v>1382</v>
      </c>
      <c r="B1472" t="s">
        <v>1381</v>
      </c>
      <c r="C1472" s="4">
        <v>40241435110</v>
      </c>
      <c r="D1472" t="s">
        <v>600</v>
      </c>
      <c r="F1472" t="s">
        <v>1380</v>
      </c>
      <c r="G1472" s="3">
        <v>8097048399</v>
      </c>
      <c r="H1472" s="2">
        <v>46139</v>
      </c>
      <c r="K1472" s="1">
        <f ca="1">IF(A1472="","",IF(OR(L1472="ENTREGADA",L1472="RETORNADA",L1472="ENTREGA DIGITAL"),0,MAX(0,5-NETWORKDAYS(H1472+1,TODAY()))))</f>
        <v>0</v>
      </c>
      <c r="L1472" t="str">
        <f>IF(A1472="","",IFERROR(LOOKUP(2,1/(#REF!=Z1472),#REF!),Y1472))</f>
        <v>ENTREGA DIGITAL</v>
      </c>
      <c r="Y1472" t="s">
        <v>1396</v>
      </c>
      <c r="Z1472" t="str">
        <f>IF(A1472="","",TEXT(A1472,"0")&amp;"|"&amp;TEXT(H1472,"0"))</f>
        <v>5415017904446740|46139</v>
      </c>
      <c r="AA1472" t="str">
        <f>IF(Z1472="","",IFERROR(LOOKUP(2,1/(#REF!=Z1472),#REF!),""))</f>
        <v/>
      </c>
      <c r="AB1472" t="str">
        <f>IF(Z1472="","",IFERROR(LOOKUP(2,1/(#REF!=Z1472),#REF!),""))</f>
        <v/>
      </c>
      <c r="AC1472" t="e">
        <f>IF(Z1472="","",COUNTIF(#REF!,Z1472))</f>
        <v>#REF!</v>
      </c>
      <c r="AD1472" t="e">
        <f>IF(A1472="","",IF(AC1472&gt;1,"REVISAR DUPLICADO",IF(AA1472&lt;&gt;"","ACTUALIZADO POR EYR","SIN REPORTE EYR")))</f>
        <v>#REF!</v>
      </c>
    </row>
    <row r="1473" spans="1:30" x14ac:dyDescent="0.3">
      <c r="A1473" s="5" t="s">
        <v>1379</v>
      </c>
      <c r="B1473" t="s">
        <v>1378</v>
      </c>
      <c r="C1473" s="4">
        <v>40208830386</v>
      </c>
      <c r="D1473" t="s">
        <v>600</v>
      </c>
      <c r="F1473" t="s">
        <v>1377</v>
      </c>
      <c r="G1473" s="3">
        <v>8298155826</v>
      </c>
      <c r="H1473" s="2">
        <v>46139</v>
      </c>
      <c r="K1473" s="1">
        <f ca="1">IF(A1473="","",IF(OR(L1473="ENTREGADA",L1473="RETORNADA",L1473="ENTREGA DIGITAL"),0,MAX(0,5-NETWORKDAYS(H1473+1,TODAY()))))</f>
        <v>1</v>
      </c>
      <c r="L1473">
        <f>IF(A1473="","",IFERROR(LOOKUP(2,1/(#REF!=Z1473),#REF!),Y1473))</f>
        <v>0</v>
      </c>
      <c r="Z1473" t="str">
        <f>IF(A1473="","",TEXT(A1473,"0")&amp;"|"&amp;TEXT(H1473,"0"))</f>
        <v>5188017905673880|46139</v>
      </c>
      <c r="AA1473" t="str">
        <f>IF(Z1473="","",IFERROR(LOOKUP(2,1/(#REF!=Z1473),#REF!),""))</f>
        <v/>
      </c>
      <c r="AB1473" t="str">
        <f>IF(Z1473="","",IFERROR(LOOKUP(2,1/(#REF!=Z1473),#REF!),""))</f>
        <v/>
      </c>
      <c r="AC1473" t="e">
        <f>IF(Z1473="","",COUNTIF(#REF!,Z1473))</f>
        <v>#REF!</v>
      </c>
      <c r="AD1473" t="e">
        <f>IF(A1473="","",IF(AC1473&gt;1,"REVISAR DUPLICADO",IF(AA1473&lt;&gt;"","ACTUALIZADO POR EYR","SIN REPORTE EYR")))</f>
        <v>#REF!</v>
      </c>
    </row>
    <row r="1474" spans="1:30" x14ac:dyDescent="0.3">
      <c r="A1474" s="5" t="s">
        <v>1376</v>
      </c>
      <c r="B1474" t="s">
        <v>1375</v>
      </c>
      <c r="C1474" s="4">
        <v>118653666</v>
      </c>
      <c r="D1474" t="s">
        <v>600</v>
      </c>
      <c r="F1474" t="s">
        <v>13</v>
      </c>
      <c r="G1474" s="3">
        <v>8297037801</v>
      </c>
      <c r="H1474" s="2">
        <v>46139</v>
      </c>
      <c r="K1474" s="1">
        <f ca="1">IF(A1474="","",IF(OR(L1474="ENTREGADA",L1474="RETORNADA",L1474="ENTREGA DIGITAL"),0,MAX(0,5-NETWORKDAYS(H1474+1,TODAY()))))</f>
        <v>0</v>
      </c>
      <c r="L1474" t="str">
        <f>IF(A1474="","",IFERROR(LOOKUP(2,1/(#REF!=Z1474),#REF!),Y1474))</f>
        <v>ENTREGA DIGITAL</v>
      </c>
      <c r="Y1474" t="s">
        <v>1396</v>
      </c>
      <c r="Z1474" t="str">
        <f>IF(A1474="","",TEXT(A1474,"0")&amp;"|"&amp;TEXT(H1474,"0"))</f>
        <v>4921017906677490|46139</v>
      </c>
      <c r="AA1474" t="str">
        <f>IF(Z1474="","",IFERROR(LOOKUP(2,1/(#REF!=Z1474),#REF!),""))</f>
        <v/>
      </c>
      <c r="AB1474" t="str">
        <f>IF(Z1474="","",IFERROR(LOOKUP(2,1/(#REF!=Z1474),#REF!),""))</f>
        <v/>
      </c>
      <c r="AC1474" t="e">
        <f>IF(Z1474="","",COUNTIF(#REF!,Z1474))</f>
        <v>#REF!</v>
      </c>
      <c r="AD1474" t="e">
        <f>IF(A1474="","",IF(AC1474&gt;1,"REVISAR DUPLICADO",IF(AA1474&lt;&gt;"","ACTUALIZADO POR EYR","SIN REPORTE EYR")))</f>
        <v>#REF!</v>
      </c>
    </row>
    <row r="1475" spans="1:30" x14ac:dyDescent="0.3">
      <c r="A1475" s="5" t="s">
        <v>1374</v>
      </c>
      <c r="B1475" t="s">
        <v>1373</v>
      </c>
      <c r="C1475" s="4">
        <v>40255530608</v>
      </c>
      <c r="D1475" t="s">
        <v>600</v>
      </c>
      <c r="F1475">
        <v>4</v>
      </c>
      <c r="G1475" s="3">
        <v>8298217907</v>
      </c>
      <c r="H1475" s="2">
        <v>46139</v>
      </c>
      <c r="K1475" s="1">
        <f ca="1">IF(A1475="","",IF(OR(L1475="ENTREGADA",L1475="RETORNADA",L1475="ENTREGA DIGITAL"),0,MAX(0,5-NETWORKDAYS(H1475+1,TODAY()))))</f>
        <v>0</v>
      </c>
      <c r="L1475" t="str">
        <f>IF(A1475="","",IFERROR(LOOKUP(2,1/(#REF!=Z1475),#REF!),Y1475))</f>
        <v>ENTREGA DIGITAL</v>
      </c>
      <c r="Y1475" t="s">
        <v>1396</v>
      </c>
      <c r="Z1475" t="str">
        <f>IF(A1475="","",TEXT(A1475,"0")&amp;"|"&amp;TEXT(H1475,"0"))</f>
        <v>4921017906280410|46139</v>
      </c>
      <c r="AA1475" t="str">
        <f>IF(Z1475="","",IFERROR(LOOKUP(2,1/(#REF!=Z1475),#REF!),""))</f>
        <v/>
      </c>
      <c r="AB1475" t="str">
        <f>IF(Z1475="","",IFERROR(LOOKUP(2,1/(#REF!=Z1475),#REF!),""))</f>
        <v/>
      </c>
      <c r="AC1475" t="e">
        <f>IF(Z1475="","",COUNTIF(#REF!,Z1475))</f>
        <v>#REF!</v>
      </c>
      <c r="AD1475" t="e">
        <f>IF(A1475="","",IF(AC1475&gt;1,"REVISAR DUPLICADO",IF(AA1475&lt;&gt;"","ACTUALIZADO POR EYR","SIN REPORTE EYR")))</f>
        <v>#REF!</v>
      </c>
    </row>
    <row r="1476" spans="1:30" x14ac:dyDescent="0.3">
      <c r="A1476" s="5" t="s">
        <v>1372</v>
      </c>
      <c r="B1476" t="s">
        <v>1371</v>
      </c>
      <c r="C1476" s="4">
        <v>40221851856</v>
      </c>
      <c r="D1476" t="s">
        <v>600</v>
      </c>
      <c r="F1476" t="s">
        <v>1370</v>
      </c>
      <c r="G1476" s="3">
        <v>8092549527</v>
      </c>
      <c r="H1476" s="2">
        <v>46139</v>
      </c>
      <c r="K1476" s="1">
        <f ca="1">IF(A1476="","",IF(OR(L1476="ENTREGADA",L1476="RETORNADA",L1476="ENTREGA DIGITAL"),0,MAX(0,5-NETWORKDAYS(H1476+1,TODAY()))))</f>
        <v>0</v>
      </c>
      <c r="L1476" t="str">
        <f>IF(A1476="","",IFERROR(LOOKUP(2,1/(#REF!=Z1476),#REF!),Y1476))</f>
        <v>ENTREGA DIGITAL</v>
      </c>
      <c r="Y1476" t="s">
        <v>1396</v>
      </c>
      <c r="Z1476" t="str">
        <f>IF(A1476="","",TEXT(A1476,"0")&amp;"|"&amp;TEXT(H1476,"0"))</f>
        <v>4921017882328030|46139</v>
      </c>
      <c r="AA1476" t="str">
        <f>IF(Z1476="","",IFERROR(LOOKUP(2,1/(#REF!=Z1476),#REF!),""))</f>
        <v/>
      </c>
      <c r="AB1476" t="str">
        <f>IF(Z1476="","",IFERROR(LOOKUP(2,1/(#REF!=Z1476),#REF!),""))</f>
        <v/>
      </c>
      <c r="AC1476" t="e">
        <f>IF(Z1476="","",COUNTIF(#REF!,Z1476))</f>
        <v>#REF!</v>
      </c>
      <c r="AD1476" t="e">
        <f>IF(A1476="","",IF(AC1476&gt;1,"REVISAR DUPLICADO",IF(AA1476&lt;&gt;"","ACTUALIZADO POR EYR","SIN REPORTE EYR")))</f>
        <v>#REF!</v>
      </c>
    </row>
    <row r="1477" spans="1:30" x14ac:dyDescent="0.3">
      <c r="A1477" s="5" t="s">
        <v>1369</v>
      </c>
      <c r="B1477" t="s">
        <v>1368</v>
      </c>
      <c r="C1477" s="4">
        <v>40247022649</v>
      </c>
      <c r="D1477" t="s">
        <v>600</v>
      </c>
      <c r="F1477" t="s">
        <v>1367</v>
      </c>
      <c r="G1477" s="3">
        <v>8097151474</v>
      </c>
      <c r="H1477" s="2">
        <v>46139</v>
      </c>
      <c r="K1477" s="1">
        <f ca="1">IF(A1477="","",IF(OR(L1477="ENTREGADA",L1477="RETORNADA",L1477="ENTREGA DIGITAL"),0,MAX(0,5-NETWORKDAYS(H1477+1,TODAY()))))</f>
        <v>0</v>
      </c>
      <c r="L1477" t="str">
        <f>IF(A1477="","",IFERROR(LOOKUP(2,1/(#REF!=Z1477),#REF!),Y1477))</f>
        <v>ENTREGA DIGITAL</v>
      </c>
      <c r="Y1477" t="s">
        <v>1396</v>
      </c>
      <c r="Z1477" t="str">
        <f>IF(A1477="","",TEXT(A1477,"0")&amp;"|"&amp;TEXT(H1477,"0"))</f>
        <v>4966017422208450|46139</v>
      </c>
      <c r="AA1477" t="str">
        <f>IF(Z1477="","",IFERROR(LOOKUP(2,1/(#REF!=Z1477),#REF!),""))</f>
        <v/>
      </c>
      <c r="AB1477" t="str">
        <f>IF(Z1477="","",IFERROR(LOOKUP(2,1/(#REF!=Z1477),#REF!),""))</f>
        <v/>
      </c>
      <c r="AC1477" t="e">
        <f>IF(Z1477="","",COUNTIF(#REF!,Z1477))</f>
        <v>#REF!</v>
      </c>
      <c r="AD1477" t="e">
        <f>IF(A1477="","",IF(AC1477&gt;1,"REVISAR DUPLICADO",IF(AA1477&lt;&gt;"","ACTUALIZADO POR EYR","SIN REPORTE EYR")))</f>
        <v>#REF!</v>
      </c>
    </row>
    <row r="1478" spans="1:30" x14ac:dyDescent="0.3">
      <c r="A1478" s="5" t="s">
        <v>1366</v>
      </c>
      <c r="B1478" t="s">
        <v>1365</v>
      </c>
      <c r="C1478" s="4">
        <v>40228568032</v>
      </c>
      <c r="D1478" t="s">
        <v>600</v>
      </c>
      <c r="F1478" t="s">
        <v>105</v>
      </c>
      <c r="G1478" s="3">
        <v>8294923905</v>
      </c>
      <c r="H1478" s="2">
        <v>46139</v>
      </c>
      <c r="K1478" s="1">
        <f ca="1">IF(A1478="","",IF(OR(L1478="ENTREGADA",L1478="RETORNADA",L1478="ENTREGA DIGITAL"),0,MAX(0,5-NETWORKDAYS(H1478+1,TODAY()))))</f>
        <v>1</v>
      </c>
      <c r="L1478">
        <f>IF(A1478="","",IFERROR(LOOKUP(2,1/(#REF!=Z1478),#REF!),Y1478))</f>
        <v>0</v>
      </c>
      <c r="Z1478" t="str">
        <f>IF(A1478="","",TEXT(A1478,"0")&amp;"|"&amp;TEXT(H1478,"0"))</f>
        <v>4921017877122360|46139</v>
      </c>
      <c r="AA1478" t="str">
        <f>IF(Z1478="","",IFERROR(LOOKUP(2,1/(#REF!=Z1478),#REF!),""))</f>
        <v/>
      </c>
      <c r="AB1478" t="str">
        <f>IF(Z1478="","",IFERROR(LOOKUP(2,1/(#REF!=Z1478),#REF!),""))</f>
        <v/>
      </c>
      <c r="AC1478" t="e">
        <f>IF(Z1478="","",COUNTIF(#REF!,Z1478))</f>
        <v>#REF!</v>
      </c>
      <c r="AD1478" t="e">
        <f>IF(A1478="","",IF(AC1478&gt;1,"REVISAR DUPLICADO",IF(AA1478&lt;&gt;"","ACTUALIZADO POR EYR","SIN REPORTE EYR")))</f>
        <v>#REF!</v>
      </c>
    </row>
    <row r="1479" spans="1:30" x14ac:dyDescent="0.3">
      <c r="A1479" s="5" t="s">
        <v>1364</v>
      </c>
      <c r="B1479" t="s">
        <v>1363</v>
      </c>
      <c r="C1479" s="4">
        <v>40219563349</v>
      </c>
      <c r="D1479" t="s">
        <v>600</v>
      </c>
      <c r="F1479" t="s">
        <v>1362</v>
      </c>
      <c r="G1479" s="3">
        <v>9999999999</v>
      </c>
      <c r="H1479" s="2">
        <v>46139</v>
      </c>
      <c r="K1479" s="1">
        <f ca="1">IF(A1479="","",IF(OR(L1479="ENTREGADA",L1479="RETORNADA",L1479="ENTREGA DIGITAL"),0,MAX(0,5-NETWORKDAYS(H1479+1,TODAY()))))</f>
        <v>1</v>
      </c>
      <c r="L1479">
        <f>IF(A1479="","",IFERROR(LOOKUP(2,1/(#REF!=Z1479),#REF!),Y1479))</f>
        <v>0</v>
      </c>
      <c r="Z1479" t="str">
        <f>IF(A1479="","",TEXT(A1479,"0")&amp;"|"&amp;TEXT(H1479,"0"))</f>
        <v>4921017877273330|46139</v>
      </c>
      <c r="AA1479" t="str">
        <f>IF(Z1479="","",IFERROR(LOOKUP(2,1/(#REF!=Z1479),#REF!),""))</f>
        <v/>
      </c>
      <c r="AB1479" t="str">
        <f>IF(Z1479="","",IFERROR(LOOKUP(2,1/(#REF!=Z1479),#REF!),""))</f>
        <v/>
      </c>
      <c r="AC1479" t="e">
        <f>IF(Z1479="","",COUNTIF(#REF!,Z1479))</f>
        <v>#REF!</v>
      </c>
      <c r="AD1479" t="e">
        <f>IF(A1479="","",IF(AC1479&gt;1,"REVISAR DUPLICADO",IF(AA1479&lt;&gt;"","ACTUALIZADO POR EYR","SIN REPORTE EYR")))</f>
        <v>#REF!</v>
      </c>
    </row>
    <row r="1480" spans="1:30" x14ac:dyDescent="0.3">
      <c r="A1480" s="5" t="s">
        <v>1361</v>
      </c>
      <c r="B1480" t="s">
        <v>1360</v>
      </c>
      <c r="C1480" s="4">
        <v>119488989</v>
      </c>
      <c r="D1480" t="s">
        <v>600</v>
      </c>
      <c r="F1480" t="s">
        <v>1359</v>
      </c>
      <c r="G1480" s="3">
        <v>8292329026</v>
      </c>
      <c r="H1480" s="2">
        <v>46139</v>
      </c>
      <c r="K1480" s="1">
        <f ca="1">IF(A1480="","",IF(OR(L1480="ENTREGADA",L1480="RETORNADA",L1480="ENTREGA DIGITAL"),0,MAX(0,5-NETWORKDAYS(H1480+1,TODAY()))))</f>
        <v>0</v>
      </c>
      <c r="L1480" t="str">
        <f>IF(A1480="","",IFERROR(LOOKUP(2,1/(#REF!=Z1480),#REF!),Y1480))</f>
        <v>ENTREGA DIGITAL</v>
      </c>
      <c r="Y1480" t="s">
        <v>1396</v>
      </c>
      <c r="Z1480" t="str">
        <f>IF(A1480="","",TEXT(A1480,"0")&amp;"|"&amp;TEXT(H1480,"0"))</f>
        <v>4921017771763510|46139</v>
      </c>
      <c r="AA1480" t="str">
        <f>IF(Z1480="","",IFERROR(LOOKUP(2,1/(#REF!=Z1480),#REF!),""))</f>
        <v/>
      </c>
      <c r="AB1480" t="str">
        <f>IF(Z1480="","",IFERROR(LOOKUP(2,1/(#REF!=Z1480),#REF!),""))</f>
        <v/>
      </c>
      <c r="AC1480" t="e">
        <f>IF(Z1480="","",COUNTIF(#REF!,Z1480))</f>
        <v>#REF!</v>
      </c>
      <c r="AD1480" t="e">
        <f>IF(A1480="","",IF(AC1480&gt;1,"REVISAR DUPLICADO",IF(AA1480&lt;&gt;"","ACTUALIZADO POR EYR","SIN REPORTE EYR")))</f>
        <v>#REF!</v>
      </c>
    </row>
    <row r="1481" spans="1:30" x14ac:dyDescent="0.3">
      <c r="A1481" s="5" t="s">
        <v>1358</v>
      </c>
      <c r="B1481" t="s">
        <v>1357</v>
      </c>
      <c r="C1481" s="4">
        <v>40231506847</v>
      </c>
      <c r="D1481" t="s">
        <v>600</v>
      </c>
      <c r="F1481" t="s">
        <v>1356</v>
      </c>
      <c r="G1481" s="3">
        <v>8092938925</v>
      </c>
      <c r="H1481" s="2">
        <v>46139</v>
      </c>
      <c r="K1481" s="1">
        <f ca="1">IF(A1481="","",IF(OR(L1481="ENTREGADA",L1481="RETORNADA",L1481="ENTREGA DIGITAL"),0,MAX(0,5-NETWORKDAYS(H1481+1,TODAY()))))</f>
        <v>0</v>
      </c>
      <c r="L1481" t="str">
        <f>IF(A1481="","",IFERROR(LOOKUP(2,1/(#REF!=Z1481),#REF!),Y1481))</f>
        <v>ENTREGA DIGITAL</v>
      </c>
      <c r="Y1481" t="s">
        <v>1396</v>
      </c>
      <c r="Z1481" t="str">
        <f>IF(A1481="","",TEXT(A1481,"0")&amp;"|"&amp;TEXT(H1481,"0"))</f>
        <v>4921017875723480|46139</v>
      </c>
      <c r="AA1481" t="str">
        <f>IF(Z1481="","",IFERROR(LOOKUP(2,1/(#REF!=Z1481),#REF!),""))</f>
        <v/>
      </c>
      <c r="AB1481" t="str">
        <f>IF(Z1481="","",IFERROR(LOOKUP(2,1/(#REF!=Z1481),#REF!),""))</f>
        <v/>
      </c>
      <c r="AC1481" t="e">
        <f>IF(Z1481="","",COUNTIF(#REF!,Z1481))</f>
        <v>#REF!</v>
      </c>
      <c r="AD1481" t="e">
        <f>IF(A1481="","",IF(AC1481&gt;1,"REVISAR DUPLICADO",IF(AA1481&lt;&gt;"","ACTUALIZADO POR EYR","SIN REPORTE EYR")))</f>
        <v>#REF!</v>
      </c>
    </row>
    <row r="1482" spans="1:30" x14ac:dyDescent="0.3">
      <c r="A1482" s="5" t="s">
        <v>1355</v>
      </c>
      <c r="B1482" t="s">
        <v>1354</v>
      </c>
      <c r="C1482" s="4">
        <v>113594352</v>
      </c>
      <c r="D1482" t="s">
        <v>600</v>
      </c>
      <c r="F1482" t="s">
        <v>0</v>
      </c>
      <c r="G1482" s="3">
        <v>8293845095</v>
      </c>
      <c r="H1482" s="2">
        <v>46139</v>
      </c>
      <c r="K1482" s="1">
        <f ca="1">IF(A1482="","",IF(OR(L1482="ENTREGADA",L1482="RETORNADA",L1482="ENTREGA DIGITAL"),0,MAX(0,5-NETWORKDAYS(H1482+1,TODAY()))))</f>
        <v>0</v>
      </c>
      <c r="L1482" t="str">
        <f>IF(A1482="","",IFERROR(LOOKUP(2,1/(#REF!=Z1482),#REF!),Y1482))</f>
        <v>ENTREGA DIGITAL</v>
      </c>
      <c r="Y1482" t="s">
        <v>1396</v>
      </c>
      <c r="Z1482" t="str">
        <f>IF(A1482="","",TEXT(A1482,"0")&amp;"|"&amp;TEXT(H1482,"0"))</f>
        <v>4921017815692890|46139</v>
      </c>
      <c r="AA1482" t="str">
        <f>IF(Z1482="","",IFERROR(LOOKUP(2,1/(#REF!=Z1482),#REF!),""))</f>
        <v/>
      </c>
      <c r="AB1482" t="str">
        <f>IF(Z1482="","",IFERROR(LOOKUP(2,1/(#REF!=Z1482),#REF!),""))</f>
        <v/>
      </c>
      <c r="AC1482" t="e">
        <f>IF(Z1482="","",COUNTIF(#REF!,Z1482))</f>
        <v>#REF!</v>
      </c>
      <c r="AD1482" t="e">
        <f>IF(A1482="","",IF(AC1482&gt;1,"REVISAR DUPLICADO",IF(AA1482&lt;&gt;"","ACTUALIZADO POR EYR","SIN REPORTE EYR")))</f>
        <v>#REF!</v>
      </c>
    </row>
    <row r="1483" spans="1:30" x14ac:dyDescent="0.3">
      <c r="A1483" s="5" t="s">
        <v>1353</v>
      </c>
      <c r="B1483" s="8" t="s">
        <v>1352</v>
      </c>
      <c r="C1483" s="4" t="s">
        <v>1398</v>
      </c>
      <c r="D1483" t="s">
        <v>600</v>
      </c>
      <c r="F1483" t="s">
        <v>13</v>
      </c>
      <c r="G1483" s="3">
        <v>8498542894</v>
      </c>
      <c r="H1483" s="2">
        <v>46139</v>
      </c>
      <c r="K1483" s="1">
        <f ca="1">IF(A1483="","",IF(OR(L1483="ENTREGADA",L1483="RETORNADA",L1483="ENTREGA DIGITAL"),0,MAX(0,5-NETWORKDAYS(H1483+1,TODAY()))))</f>
        <v>1</v>
      </c>
      <c r="L1483">
        <f>IF(A1483="","",IFERROR(LOOKUP(2,1/(#REF!=Z1483),#REF!),Y1483))</f>
        <v>0</v>
      </c>
      <c r="Z1483" t="str">
        <f>IF(A1483="","",TEXT(A1483,"0")&amp;"|"&amp;TEXT(H1483,"0"))</f>
        <v>4921017808715950|46139</v>
      </c>
      <c r="AA1483" t="str">
        <f>IF(Z1483="","",IFERROR(LOOKUP(2,1/(#REF!=Z1483),#REF!),""))</f>
        <v/>
      </c>
      <c r="AB1483" t="str">
        <f>IF(Z1483="","",IFERROR(LOOKUP(2,1/(#REF!=Z1483),#REF!),""))</f>
        <v/>
      </c>
      <c r="AC1483" t="e">
        <f>IF(Z1483="","",COUNTIF(#REF!,Z1483))</f>
        <v>#REF!</v>
      </c>
      <c r="AD1483" t="e">
        <f>IF(A1483="","",IF(AC1483&gt;1,"REVISAR DUPLICADO",IF(AA1483&lt;&gt;"","ACTUALIZADO POR EYR","SIN REPORTE EYR")))</f>
        <v>#REF!</v>
      </c>
    </row>
    <row r="1484" spans="1:30" x14ac:dyDescent="0.3">
      <c r="A1484" s="5" t="s">
        <v>1351</v>
      </c>
      <c r="B1484" t="s">
        <v>1350</v>
      </c>
      <c r="C1484" s="4">
        <v>40234308845</v>
      </c>
      <c r="D1484" t="s">
        <v>600</v>
      </c>
      <c r="F1484" t="s">
        <v>1349</v>
      </c>
      <c r="G1484" s="3">
        <v>8498528297</v>
      </c>
      <c r="H1484" s="2">
        <v>46139</v>
      </c>
      <c r="K1484" s="1">
        <f ca="1">IF(A1484="","",IF(OR(L1484="ENTREGADA",L1484="RETORNADA",L1484="ENTREGA DIGITAL"),0,MAX(0,5-NETWORKDAYS(H1484+1,TODAY()))))</f>
        <v>0</v>
      </c>
      <c r="L1484" t="str">
        <f>IF(A1484="","",IFERROR(LOOKUP(2,1/(#REF!=Z1484),#REF!),Y1484))</f>
        <v>ENTREGA DIGITAL</v>
      </c>
      <c r="Y1484" t="s">
        <v>1396</v>
      </c>
      <c r="Z1484" t="str">
        <f>IF(A1484="","",TEXT(A1484,"0")&amp;"|"&amp;TEXT(H1484,"0"))</f>
        <v>4921017850457940|46139</v>
      </c>
      <c r="AA1484" t="str">
        <f>IF(Z1484="","",IFERROR(LOOKUP(2,1/(#REF!=Z1484),#REF!),""))</f>
        <v/>
      </c>
      <c r="AB1484" t="str">
        <f>IF(Z1484="","",IFERROR(LOOKUP(2,1/(#REF!=Z1484),#REF!),""))</f>
        <v/>
      </c>
      <c r="AC1484" t="e">
        <f>IF(Z1484="","",COUNTIF(#REF!,Z1484))</f>
        <v>#REF!</v>
      </c>
      <c r="AD1484" t="e">
        <f>IF(A1484="","",IF(AC1484&gt;1,"REVISAR DUPLICADO",IF(AA1484&lt;&gt;"","ACTUALIZADO POR EYR","SIN REPORTE EYR")))</f>
        <v>#REF!</v>
      </c>
    </row>
    <row r="1485" spans="1:30" x14ac:dyDescent="0.3">
      <c r="A1485" s="5" t="s">
        <v>1348</v>
      </c>
      <c r="B1485" t="s">
        <v>1347</v>
      </c>
      <c r="C1485" s="4">
        <v>40219027428</v>
      </c>
      <c r="D1485" t="s">
        <v>600</v>
      </c>
      <c r="F1485" t="s">
        <v>1346</v>
      </c>
      <c r="G1485" s="3">
        <v>8492779202</v>
      </c>
      <c r="H1485" s="2">
        <v>46139</v>
      </c>
      <c r="K1485" s="1">
        <f ca="1">IF(A1485="","",IF(OR(L1485="ENTREGADA",L1485="RETORNADA",L1485="ENTREGA DIGITAL"),0,MAX(0,5-NETWORKDAYS(H1485+1,TODAY()))))</f>
        <v>0</v>
      </c>
      <c r="L1485" t="str">
        <f>IF(A1485="","",IFERROR(LOOKUP(2,1/(#REF!=Z1485),#REF!),Y1485))</f>
        <v>ENTREGA DIGITAL</v>
      </c>
      <c r="Y1485" t="s">
        <v>1396</v>
      </c>
      <c r="Z1485" t="str">
        <f>IF(A1485="","",TEXT(A1485,"0")&amp;"|"&amp;TEXT(H1485,"0"))</f>
        <v>4921017529399240|46139</v>
      </c>
      <c r="AA1485" t="str">
        <f>IF(Z1485="","",IFERROR(LOOKUP(2,1/(#REF!=Z1485),#REF!),""))</f>
        <v/>
      </c>
      <c r="AB1485" t="str">
        <f>IF(Z1485="","",IFERROR(LOOKUP(2,1/(#REF!=Z1485),#REF!),""))</f>
        <v/>
      </c>
      <c r="AC1485" t="e">
        <f>IF(Z1485="","",COUNTIF(#REF!,Z1485))</f>
        <v>#REF!</v>
      </c>
      <c r="AD1485" t="e">
        <f>IF(A1485="","",IF(AC1485&gt;1,"REVISAR DUPLICADO",IF(AA1485&lt;&gt;"","ACTUALIZADO POR EYR","SIN REPORTE EYR")))</f>
        <v>#REF!</v>
      </c>
    </row>
    <row r="1486" spans="1:30" x14ac:dyDescent="0.3">
      <c r="A1486" s="5" t="s">
        <v>1345</v>
      </c>
      <c r="B1486" t="s">
        <v>1344</v>
      </c>
      <c r="C1486" s="4">
        <v>40219316953</v>
      </c>
      <c r="D1486" t="s">
        <v>600</v>
      </c>
      <c r="F1486" t="s">
        <v>1343</v>
      </c>
      <c r="G1486" s="3">
        <v>8293242602</v>
      </c>
      <c r="H1486" s="2">
        <v>46139</v>
      </c>
      <c r="K1486" s="1">
        <f ca="1">IF(A1486="","",IF(OR(L1486="ENTREGADA",L1486="RETORNADA",L1486="ENTREGA DIGITAL"),0,MAX(0,5-NETWORKDAYS(H1486+1,TODAY()))))</f>
        <v>0</v>
      </c>
      <c r="L1486" t="str">
        <f>IF(A1486="","",IFERROR(LOOKUP(2,1/(#REF!=Z1486),#REF!),Y1486))</f>
        <v>ENTREGA DIGITAL</v>
      </c>
      <c r="Y1486" t="s">
        <v>1396</v>
      </c>
      <c r="Z1486" t="str">
        <f>IF(A1486="","",TEXT(A1486,"0")&amp;"|"&amp;TEXT(H1486,"0"))</f>
        <v>5188017791612200|46139</v>
      </c>
      <c r="AA1486" t="str">
        <f>IF(Z1486="","",IFERROR(LOOKUP(2,1/(#REF!=Z1486),#REF!),""))</f>
        <v/>
      </c>
      <c r="AB1486" t="str">
        <f>IF(Z1486="","",IFERROR(LOOKUP(2,1/(#REF!=Z1486),#REF!),""))</f>
        <v/>
      </c>
      <c r="AC1486" t="e">
        <f>IF(Z1486="","",COUNTIF(#REF!,Z1486))</f>
        <v>#REF!</v>
      </c>
      <c r="AD1486" t="e">
        <f>IF(A1486="","",IF(AC1486&gt;1,"REVISAR DUPLICADO",IF(AA1486&lt;&gt;"","ACTUALIZADO POR EYR","SIN REPORTE EYR")))</f>
        <v>#REF!</v>
      </c>
    </row>
    <row r="1487" spans="1:30" x14ac:dyDescent="0.3">
      <c r="A1487" s="5" t="s">
        <v>1342</v>
      </c>
      <c r="B1487" t="s">
        <v>1341</v>
      </c>
      <c r="C1487" s="4">
        <v>40226721922</v>
      </c>
      <c r="D1487" t="s">
        <v>600</v>
      </c>
      <c r="F1487" t="s">
        <v>13</v>
      </c>
      <c r="G1487" s="3">
        <v>8094576901</v>
      </c>
      <c r="H1487" s="2">
        <v>46139</v>
      </c>
      <c r="K1487" s="1">
        <f ca="1">IF(A1487="","",IF(OR(L1487="ENTREGADA",L1487="RETORNADA",L1487="ENTREGA DIGITAL"),0,MAX(0,5-NETWORKDAYS(H1487+1,TODAY()))))</f>
        <v>0</v>
      </c>
      <c r="L1487" t="str">
        <f>IF(A1487="","",IFERROR(LOOKUP(2,1/(#REF!=Z1487),#REF!),Y1487))</f>
        <v>ENTREGA DIGITAL</v>
      </c>
      <c r="Y1487" t="s">
        <v>1396</v>
      </c>
      <c r="Z1487" t="str">
        <f>IF(A1487="","",TEXT(A1487,"0")&amp;"|"&amp;TEXT(H1487,"0"))</f>
        <v>5415017904928590|46139</v>
      </c>
      <c r="AA1487" t="str">
        <f>IF(Z1487="","",IFERROR(LOOKUP(2,1/(#REF!=Z1487),#REF!),""))</f>
        <v/>
      </c>
      <c r="AB1487" t="str">
        <f>IF(Z1487="","",IFERROR(LOOKUP(2,1/(#REF!=Z1487),#REF!),""))</f>
        <v/>
      </c>
      <c r="AC1487" t="e">
        <f>IF(Z1487="","",COUNTIF(#REF!,Z1487))</f>
        <v>#REF!</v>
      </c>
      <c r="AD1487" t="e">
        <f>IF(A1487="","",IF(AC1487&gt;1,"REVISAR DUPLICADO",IF(AA1487&lt;&gt;"","ACTUALIZADO POR EYR","SIN REPORTE EYR")))</f>
        <v>#REF!</v>
      </c>
    </row>
    <row r="1488" spans="1:30" x14ac:dyDescent="0.3">
      <c r="A1488" s="5" t="s">
        <v>1340</v>
      </c>
      <c r="B1488" t="s">
        <v>1339</v>
      </c>
      <c r="C1488" s="4">
        <v>40200485072</v>
      </c>
      <c r="D1488" t="s">
        <v>600</v>
      </c>
      <c r="F1488" t="s">
        <v>1338</v>
      </c>
      <c r="G1488" s="3">
        <v>8099103711</v>
      </c>
      <c r="H1488" s="2">
        <v>46139</v>
      </c>
      <c r="K1488" s="1">
        <f ca="1">IF(A1488="","",IF(OR(L1488="ENTREGADA",L1488="RETORNADA",L1488="ENTREGA DIGITAL"),0,MAX(0,5-NETWORKDAYS(H1488+1,TODAY()))))</f>
        <v>0</v>
      </c>
      <c r="L1488" t="str">
        <f>IF(A1488="","",IFERROR(LOOKUP(2,1/(#REF!=Z1488),#REF!),Y1488))</f>
        <v>ENTREGA DIGITAL</v>
      </c>
      <c r="Y1488" t="s">
        <v>1396</v>
      </c>
      <c r="Z1488" t="str">
        <f>IF(A1488="","",TEXT(A1488,"0")&amp;"|"&amp;TEXT(H1488,"0"))</f>
        <v>5415017904840300|46139</v>
      </c>
      <c r="AA1488" t="str">
        <f>IF(Z1488="","",IFERROR(LOOKUP(2,1/(#REF!=Z1488),#REF!),""))</f>
        <v/>
      </c>
      <c r="AB1488" t="str">
        <f>IF(Z1488="","",IFERROR(LOOKUP(2,1/(#REF!=Z1488),#REF!),""))</f>
        <v/>
      </c>
      <c r="AC1488" t="e">
        <f>IF(Z1488="","",COUNTIF(#REF!,Z1488))</f>
        <v>#REF!</v>
      </c>
      <c r="AD1488" t="e">
        <f>IF(A1488="","",IF(AC1488&gt;1,"REVISAR DUPLICADO",IF(AA1488&lt;&gt;"","ACTUALIZADO POR EYR","SIN REPORTE EYR")))</f>
        <v>#REF!</v>
      </c>
    </row>
    <row r="1489" spans="1:30" x14ac:dyDescent="0.3">
      <c r="A1489" s="5" t="s">
        <v>1337</v>
      </c>
      <c r="B1489" t="s">
        <v>1336</v>
      </c>
      <c r="C1489" s="4">
        <v>40215083326</v>
      </c>
      <c r="D1489" t="s">
        <v>600</v>
      </c>
      <c r="F1489" t="s">
        <v>13</v>
      </c>
      <c r="G1489" s="3">
        <v>8299174397</v>
      </c>
      <c r="H1489" s="2">
        <v>46139</v>
      </c>
      <c r="K1489" s="1">
        <f ca="1">IF(A1489="","",IF(OR(L1489="ENTREGADA",L1489="RETORNADA",L1489="ENTREGA DIGITAL"),0,MAX(0,5-NETWORKDAYS(H1489+1,TODAY()))))</f>
        <v>0</v>
      </c>
      <c r="L1489" t="str">
        <f>IF(A1489="","",IFERROR(LOOKUP(2,1/(#REF!=Z1489),#REF!),Y1489))</f>
        <v>ENTREGA DIGITAL</v>
      </c>
      <c r="Y1489" t="s">
        <v>1396</v>
      </c>
      <c r="Z1489" t="str">
        <f>IF(A1489="","",TEXT(A1489,"0")&amp;"|"&amp;TEXT(H1489,"0"))</f>
        <v>5188017895037420|46139</v>
      </c>
      <c r="AA1489" t="str">
        <f>IF(Z1489="","",IFERROR(LOOKUP(2,1/(#REF!=Z1489),#REF!),""))</f>
        <v/>
      </c>
      <c r="AB1489" t="str">
        <f>IF(Z1489="","",IFERROR(LOOKUP(2,1/(#REF!=Z1489),#REF!),""))</f>
        <v/>
      </c>
      <c r="AC1489" t="e">
        <f>IF(Z1489="","",COUNTIF(#REF!,Z1489))</f>
        <v>#REF!</v>
      </c>
      <c r="AD1489" t="e">
        <f>IF(A1489="","",IF(AC1489&gt;1,"REVISAR DUPLICADO",IF(AA1489&lt;&gt;"","ACTUALIZADO POR EYR","SIN REPORTE EYR")))</f>
        <v>#REF!</v>
      </c>
    </row>
    <row r="1490" spans="1:30" x14ac:dyDescent="0.3">
      <c r="A1490" s="5" t="s">
        <v>1335</v>
      </c>
      <c r="B1490" t="s">
        <v>1334</v>
      </c>
      <c r="C1490" s="4">
        <v>117670828</v>
      </c>
      <c r="D1490" t="s">
        <v>600</v>
      </c>
      <c r="F1490" t="s">
        <v>13</v>
      </c>
      <c r="G1490" s="3">
        <v>8093711124</v>
      </c>
      <c r="H1490" s="2">
        <v>46139</v>
      </c>
      <c r="K1490" s="1">
        <f ca="1">IF(A1490="","",IF(OR(L1490="ENTREGADA",L1490="RETORNADA",L1490="ENTREGA DIGITAL"),0,MAX(0,5-NETWORKDAYS(H1490+1,TODAY()))))</f>
        <v>1</v>
      </c>
      <c r="L1490">
        <f>IF(A1490="","",IFERROR(LOOKUP(2,1/(#REF!=Z1490),#REF!),Y1490))</f>
        <v>0</v>
      </c>
      <c r="Z1490" t="str">
        <f>IF(A1490="","",TEXT(A1490,"0")&amp;"|"&amp;TEXT(H1490,"0"))</f>
        <v>4921017892584860|46139</v>
      </c>
      <c r="AA1490" t="str">
        <f>IF(Z1490="","",IFERROR(LOOKUP(2,1/(#REF!=Z1490),#REF!),""))</f>
        <v/>
      </c>
      <c r="AB1490" t="str">
        <f>IF(Z1490="","",IFERROR(LOOKUP(2,1/(#REF!=Z1490),#REF!),""))</f>
        <v/>
      </c>
      <c r="AC1490" t="e">
        <f>IF(Z1490="","",COUNTIF(#REF!,Z1490))</f>
        <v>#REF!</v>
      </c>
      <c r="AD1490" t="e">
        <f>IF(A1490="","",IF(AC1490&gt;1,"REVISAR DUPLICADO",IF(AA1490&lt;&gt;"","ACTUALIZADO POR EYR","SIN REPORTE EYR")))</f>
        <v>#REF!</v>
      </c>
    </row>
    <row r="1491" spans="1:30" x14ac:dyDescent="0.3">
      <c r="A1491" s="5" t="s">
        <v>1333</v>
      </c>
      <c r="B1491" t="s">
        <v>1332</v>
      </c>
      <c r="C1491" s="4">
        <v>119364107</v>
      </c>
      <c r="D1491" t="s">
        <v>600</v>
      </c>
      <c r="F1491" t="s">
        <v>13</v>
      </c>
      <c r="G1491" s="3">
        <v>9999999999</v>
      </c>
      <c r="H1491" s="2">
        <v>46139</v>
      </c>
      <c r="K1491" s="1">
        <f ca="1">IF(A1491="","",IF(OR(L1491="ENTREGADA",L1491="RETORNADA",L1491="ENTREGA DIGITAL"),0,MAX(0,5-NETWORKDAYS(H1491+1,TODAY()))))</f>
        <v>0</v>
      </c>
      <c r="L1491" t="str">
        <f>IF(A1491="","",IFERROR(LOOKUP(2,1/(#REF!=Z1491),#REF!),Y1491))</f>
        <v>ENTREGA DIGITAL</v>
      </c>
      <c r="Y1491" t="s">
        <v>1396</v>
      </c>
      <c r="Z1491" t="str">
        <f>IF(A1491="","",TEXT(A1491,"0")&amp;"|"&amp;TEXT(H1491,"0"))</f>
        <v>4921017780364090|46139</v>
      </c>
      <c r="AA1491" t="str">
        <f>IF(Z1491="","",IFERROR(LOOKUP(2,1/(#REF!=Z1491),#REF!),""))</f>
        <v/>
      </c>
      <c r="AB1491" t="str">
        <f>IF(Z1491="","",IFERROR(LOOKUP(2,1/(#REF!=Z1491),#REF!),""))</f>
        <v/>
      </c>
      <c r="AC1491" t="e">
        <f>IF(Z1491="","",COUNTIF(#REF!,Z1491))</f>
        <v>#REF!</v>
      </c>
      <c r="AD1491" t="e">
        <f>IF(A1491="","",IF(AC1491&gt;1,"REVISAR DUPLICADO",IF(AA1491&lt;&gt;"","ACTUALIZADO POR EYR","SIN REPORTE EYR")))</f>
        <v>#REF!</v>
      </c>
    </row>
    <row r="1492" spans="1:30" x14ac:dyDescent="0.3">
      <c r="A1492" s="5" t="s">
        <v>1331</v>
      </c>
      <c r="B1492" t="s">
        <v>1330</v>
      </c>
      <c r="C1492" s="4">
        <v>22900060439</v>
      </c>
      <c r="D1492" t="s">
        <v>600</v>
      </c>
      <c r="F1492" t="s">
        <v>1329</v>
      </c>
      <c r="G1492" s="3">
        <v>8298264448</v>
      </c>
      <c r="H1492" s="2">
        <v>46139</v>
      </c>
      <c r="K1492" s="1">
        <f ca="1">IF(A1492="","",IF(OR(L1492="ENTREGADA",L1492="RETORNADA",L1492="ENTREGA DIGITAL"),0,MAX(0,5-NETWORKDAYS(H1492+1,TODAY()))))</f>
        <v>0</v>
      </c>
      <c r="L1492" t="str">
        <f>IF(A1492="","",IFERROR(LOOKUP(2,1/(#REF!=Z1492),#REF!),Y1492))</f>
        <v>ENTREGA DIGITAL</v>
      </c>
      <c r="Y1492" t="s">
        <v>1396</v>
      </c>
      <c r="Z1492" t="str">
        <f>IF(A1492="","",TEXT(A1492,"0")&amp;"|"&amp;TEXT(H1492,"0"))</f>
        <v>4921017903181580|46139</v>
      </c>
      <c r="AA1492" t="str">
        <f>IF(Z1492="","",IFERROR(LOOKUP(2,1/(#REF!=Z1492),#REF!),""))</f>
        <v/>
      </c>
      <c r="AB1492" t="str">
        <f>IF(Z1492="","",IFERROR(LOOKUP(2,1/(#REF!=Z1492),#REF!),""))</f>
        <v/>
      </c>
      <c r="AC1492" t="e">
        <f>IF(Z1492="","",COUNTIF(#REF!,Z1492))</f>
        <v>#REF!</v>
      </c>
      <c r="AD1492" t="e">
        <f>IF(A1492="","",IF(AC1492&gt;1,"REVISAR DUPLICADO",IF(AA1492&lt;&gt;"","ACTUALIZADO POR EYR","SIN REPORTE EYR")))</f>
        <v>#REF!</v>
      </c>
    </row>
    <row r="1493" spans="1:30" x14ac:dyDescent="0.3">
      <c r="A1493" s="5" t="s">
        <v>1328</v>
      </c>
      <c r="B1493" t="s">
        <v>1327</v>
      </c>
      <c r="C1493" s="4">
        <v>40230037026</v>
      </c>
      <c r="D1493" t="s">
        <v>600</v>
      </c>
      <c r="F1493" t="s">
        <v>13</v>
      </c>
      <c r="G1493" s="3">
        <v>8296976292</v>
      </c>
      <c r="H1493" s="2">
        <v>46139</v>
      </c>
      <c r="K1493" s="1">
        <f ca="1">IF(A1493="","",IF(OR(L1493="ENTREGADA",L1493="RETORNADA",L1493="ENTREGA DIGITAL"),0,MAX(0,5-NETWORKDAYS(H1493+1,TODAY()))))</f>
        <v>0</v>
      </c>
      <c r="L1493" t="str">
        <f>IF(A1493="","",IFERROR(LOOKUP(2,1/(#REF!=Z1493),#REF!),Y1493))</f>
        <v>ENTREGA DIGITAL</v>
      </c>
      <c r="Y1493" t="s">
        <v>1396</v>
      </c>
      <c r="Z1493" t="str">
        <f>IF(A1493="","",TEXT(A1493,"0")&amp;"|"&amp;TEXT(H1493,"0"))</f>
        <v>4921017902111440|46139</v>
      </c>
      <c r="AA1493" t="str">
        <f>IF(Z1493="","",IFERROR(LOOKUP(2,1/(#REF!=Z1493),#REF!),""))</f>
        <v/>
      </c>
      <c r="AB1493" t="str">
        <f>IF(Z1493="","",IFERROR(LOOKUP(2,1/(#REF!=Z1493),#REF!),""))</f>
        <v/>
      </c>
      <c r="AC1493" t="e">
        <f>IF(Z1493="","",COUNTIF(#REF!,Z1493))</f>
        <v>#REF!</v>
      </c>
      <c r="AD1493" t="e">
        <f>IF(A1493="","",IF(AC1493&gt;1,"REVISAR DUPLICADO",IF(AA1493&lt;&gt;"","ACTUALIZADO POR EYR","SIN REPORTE EYR")))</f>
        <v>#REF!</v>
      </c>
    </row>
    <row r="1494" spans="1:30" x14ac:dyDescent="0.3">
      <c r="A1494" s="5" t="s">
        <v>1326</v>
      </c>
      <c r="B1494" t="s">
        <v>1325</v>
      </c>
      <c r="C1494" s="4">
        <v>300752623</v>
      </c>
      <c r="D1494" t="s">
        <v>600</v>
      </c>
      <c r="F1494" t="s">
        <v>13</v>
      </c>
      <c r="G1494" s="3">
        <v>8094153707</v>
      </c>
      <c r="H1494" s="2">
        <v>46139</v>
      </c>
      <c r="K1494" s="1">
        <f ca="1">IF(A1494="","",IF(OR(L1494="ENTREGADA",L1494="RETORNADA",L1494="ENTREGA DIGITAL"),0,MAX(0,5-NETWORKDAYS(H1494+1,TODAY()))))</f>
        <v>0</v>
      </c>
      <c r="L1494" t="str">
        <f>IF(A1494="","",IFERROR(LOOKUP(2,1/(#REF!=Z1494),#REF!),Y1494))</f>
        <v>ENTREGA DIGITAL</v>
      </c>
      <c r="Y1494" t="s">
        <v>1396</v>
      </c>
      <c r="Z1494" t="str">
        <f>IF(A1494="","",TEXT(A1494,"0")&amp;"|"&amp;TEXT(H1494,"0"))</f>
        <v>4966017831219570|46139</v>
      </c>
      <c r="AA1494" t="str">
        <f>IF(Z1494="","",IFERROR(LOOKUP(2,1/(#REF!=Z1494),#REF!),""))</f>
        <v/>
      </c>
      <c r="AB1494" t="str">
        <f>IF(Z1494="","",IFERROR(LOOKUP(2,1/(#REF!=Z1494),#REF!),""))</f>
        <v/>
      </c>
      <c r="AC1494" t="e">
        <f>IF(Z1494="","",COUNTIF(#REF!,Z1494))</f>
        <v>#REF!</v>
      </c>
      <c r="AD1494" t="e">
        <f>IF(A1494="","",IF(AC1494&gt;1,"REVISAR DUPLICADO",IF(AA1494&lt;&gt;"","ACTUALIZADO POR EYR","SIN REPORTE EYR")))</f>
        <v>#REF!</v>
      </c>
    </row>
    <row r="1495" spans="1:30" x14ac:dyDescent="0.3">
      <c r="A1495" s="5" t="s">
        <v>1324</v>
      </c>
      <c r="B1495" t="s">
        <v>1323</v>
      </c>
      <c r="C1495" s="4">
        <v>40214778041</v>
      </c>
      <c r="D1495" t="s">
        <v>600</v>
      </c>
      <c r="F1495" t="s">
        <v>1322</v>
      </c>
      <c r="G1495" s="3">
        <v>8296606076</v>
      </c>
      <c r="H1495" s="2">
        <v>46139</v>
      </c>
      <c r="K1495" s="1">
        <f ca="1">IF(A1495="","",IF(OR(L1495="ENTREGADA",L1495="RETORNADA",L1495="ENTREGA DIGITAL"),0,MAX(0,5-NETWORKDAYS(H1495+1,TODAY()))))</f>
        <v>0</v>
      </c>
      <c r="L1495" t="str">
        <f>IF(A1495="","",IFERROR(LOOKUP(2,1/(#REF!=Z1495),#REF!),Y1495))</f>
        <v>ENTREGA DIGITAL</v>
      </c>
      <c r="Y1495" t="s">
        <v>1396</v>
      </c>
      <c r="Z1495" t="str">
        <f>IF(A1495="","",TEXT(A1495,"0")&amp;"|"&amp;TEXT(H1495,"0"))</f>
        <v>4025017909720340|46139</v>
      </c>
      <c r="AA1495" t="str">
        <f>IF(Z1495="","",IFERROR(LOOKUP(2,1/(#REF!=Z1495),#REF!),""))</f>
        <v/>
      </c>
      <c r="AB1495" t="str">
        <f>IF(Z1495="","",IFERROR(LOOKUP(2,1/(#REF!=Z1495),#REF!),""))</f>
        <v/>
      </c>
      <c r="AC1495" t="e">
        <f>IF(Z1495="","",COUNTIF(#REF!,Z1495))</f>
        <v>#REF!</v>
      </c>
      <c r="AD1495" t="e">
        <f>IF(A1495="","",IF(AC1495&gt;1,"REVISAR DUPLICADO",IF(AA1495&lt;&gt;"","ACTUALIZADO POR EYR","SIN REPORTE EYR")))</f>
        <v>#REF!</v>
      </c>
    </row>
    <row r="1496" spans="1:30" x14ac:dyDescent="0.3">
      <c r="A1496" s="5" t="s">
        <v>1321</v>
      </c>
      <c r="B1496" t="s">
        <v>1320</v>
      </c>
      <c r="C1496" s="4">
        <v>40227527336</v>
      </c>
      <c r="D1496" t="s">
        <v>600</v>
      </c>
      <c r="F1496" t="s">
        <v>1319</v>
      </c>
      <c r="G1496" s="3">
        <v>8297202665</v>
      </c>
      <c r="H1496" s="2">
        <v>46139</v>
      </c>
      <c r="K1496" s="1">
        <f ca="1">IF(A1496="","",IF(OR(L1496="ENTREGADA",L1496="RETORNADA",L1496="ENTREGA DIGITAL"),0,MAX(0,5-NETWORKDAYS(H1496+1,TODAY()))))</f>
        <v>0</v>
      </c>
      <c r="L1496" t="str">
        <f>IF(A1496="","",IFERROR(LOOKUP(2,1/(#REF!=Z1496),#REF!),Y1496))</f>
        <v>ENTREGA DIGITAL</v>
      </c>
      <c r="Y1496" t="s">
        <v>1396</v>
      </c>
      <c r="Z1496" t="str">
        <f>IF(A1496="","",TEXT(A1496,"0")&amp;"|"&amp;TEXT(H1496,"0"))</f>
        <v>4921017623489480|46139</v>
      </c>
      <c r="AA1496" t="str">
        <f>IF(Z1496="","",IFERROR(LOOKUP(2,1/(#REF!=Z1496),#REF!),""))</f>
        <v/>
      </c>
      <c r="AB1496" t="str">
        <f>IF(Z1496="","",IFERROR(LOOKUP(2,1/(#REF!=Z1496),#REF!),""))</f>
        <v/>
      </c>
      <c r="AC1496" t="e">
        <f>IF(Z1496="","",COUNTIF(#REF!,Z1496))</f>
        <v>#REF!</v>
      </c>
      <c r="AD1496" t="e">
        <f>IF(A1496="","",IF(AC1496&gt;1,"REVISAR DUPLICADO",IF(AA1496&lt;&gt;"","ACTUALIZADO POR EYR","SIN REPORTE EYR")))</f>
        <v>#REF!</v>
      </c>
    </row>
    <row r="1497" spans="1:30" x14ac:dyDescent="0.3">
      <c r="A1497" s="5" t="s">
        <v>1318</v>
      </c>
      <c r="B1497" t="s">
        <v>1317</v>
      </c>
      <c r="C1497" s="4">
        <v>40229568023</v>
      </c>
      <c r="D1497" t="s">
        <v>600</v>
      </c>
      <c r="F1497" t="s">
        <v>13</v>
      </c>
      <c r="G1497" s="3">
        <v>8298521886</v>
      </c>
      <c r="H1497" s="2">
        <v>46139</v>
      </c>
      <c r="I1497" t="s">
        <v>1397</v>
      </c>
      <c r="K1497" s="1">
        <f ca="1">IF(A1497="","",IF(OR(L1497="ENTREGADA",L1497="RETORNADA",L1497="ENTREGA DIGITAL"),0,MAX(0,5-NETWORKDAYS(H1497+1,TODAY()))))</f>
        <v>0</v>
      </c>
      <c r="L1497" t="str">
        <f>IF(A1497="","",IFERROR(LOOKUP(2,1/(#REF!=Z1497),#REF!),Y1497))</f>
        <v>ENTREGA DIGITAL</v>
      </c>
      <c r="Y1497" t="s">
        <v>1396</v>
      </c>
      <c r="Z1497" t="str">
        <f>IF(A1497="","",TEXT(A1497,"0")&amp;"|"&amp;TEXT(H1497,"0"))</f>
        <v>5415017890150660|46139</v>
      </c>
      <c r="AA1497" t="str">
        <f>IF(Z1497="","",IFERROR(LOOKUP(2,1/(#REF!=Z1497),#REF!),""))</f>
        <v/>
      </c>
      <c r="AB1497" t="str">
        <f>IF(Z1497="","",IFERROR(LOOKUP(2,1/(#REF!=Z1497),#REF!),""))</f>
        <v/>
      </c>
      <c r="AC1497" t="e">
        <f>IF(Z1497="","",COUNTIF(#REF!,Z1497))</f>
        <v>#REF!</v>
      </c>
      <c r="AD1497" t="e">
        <f>IF(A1497="","",IF(AC1497&gt;1,"REVISAR DUPLICADO",IF(AA1497&lt;&gt;"","ACTUALIZADO POR EYR","SIN REPORTE EYR")))</f>
        <v>#REF!</v>
      </c>
    </row>
    <row r="1498" spans="1:30" x14ac:dyDescent="0.3">
      <c r="A1498" s="5" t="s">
        <v>1316</v>
      </c>
      <c r="B1498" t="s">
        <v>1315</v>
      </c>
      <c r="C1498" s="4">
        <v>40246762914</v>
      </c>
      <c r="D1498" t="s">
        <v>600</v>
      </c>
      <c r="F1498" t="s">
        <v>1314</v>
      </c>
      <c r="G1498" s="3">
        <v>8296169976</v>
      </c>
      <c r="H1498" s="2">
        <v>46139</v>
      </c>
      <c r="K1498" s="1">
        <f ca="1">IF(A1498="","",IF(OR(L1498="ENTREGADA",L1498="RETORNADA",L1498="ENTREGA DIGITAL"),0,MAX(0,5-NETWORKDAYS(H1498+1,TODAY()))))</f>
        <v>0</v>
      </c>
      <c r="L1498" t="str">
        <f>IF(A1498="","",IFERROR(LOOKUP(2,1/(#REF!=Z1498),#REF!),Y1498))</f>
        <v>ENTREGA DIGITAL</v>
      </c>
      <c r="Y1498" t="s">
        <v>1396</v>
      </c>
      <c r="Z1498" t="str">
        <f>IF(A1498="","",TEXT(A1498,"0")&amp;"|"&amp;TEXT(H1498,"0"))</f>
        <v>4921017906331090|46139</v>
      </c>
      <c r="AA1498" t="str">
        <f>IF(Z1498="","",IFERROR(LOOKUP(2,1/(#REF!=Z1498),#REF!),""))</f>
        <v/>
      </c>
      <c r="AB1498" t="str">
        <f>IF(Z1498="","",IFERROR(LOOKUP(2,1/(#REF!=Z1498),#REF!),""))</f>
        <v/>
      </c>
      <c r="AC1498" t="e">
        <f>IF(Z1498="","",COUNTIF(#REF!,Z1498))</f>
        <v>#REF!</v>
      </c>
      <c r="AD1498" t="e">
        <f>IF(A1498="","",IF(AC1498&gt;1,"REVISAR DUPLICADO",IF(AA1498&lt;&gt;"","ACTUALIZADO POR EYR","SIN REPORTE EYR")))</f>
        <v>#REF!</v>
      </c>
    </row>
    <row r="1499" spans="1:30" x14ac:dyDescent="0.3">
      <c r="A1499" s="5" t="s">
        <v>1313</v>
      </c>
      <c r="B1499" s="8" t="s">
        <v>1312</v>
      </c>
      <c r="C1499" s="4">
        <v>40229829888</v>
      </c>
      <c r="D1499" t="s">
        <v>600</v>
      </c>
      <c r="F1499" t="s">
        <v>1311</v>
      </c>
      <c r="G1499" s="3">
        <v>8098999683</v>
      </c>
      <c r="H1499" s="2">
        <v>46139</v>
      </c>
      <c r="K1499" s="1">
        <f ca="1">IF(A1499="","",IF(OR(L1499="ENTREGADA",L1499="RETORNADA",L1499="ENTREGA DIGITAL"),0,MAX(0,5-NETWORKDAYS(H1499+1,TODAY()))))</f>
        <v>1</v>
      </c>
      <c r="L1499">
        <f>IF(A1499="","",IFERROR(LOOKUP(2,1/(#REF!=Z1499),#REF!),Y1499))</f>
        <v>0</v>
      </c>
      <c r="Z1499" t="str">
        <f>IF(A1499="","",TEXT(A1499,"0")&amp;"|"&amp;TEXT(H1499,"0"))</f>
        <v>5415017904870350|46139</v>
      </c>
      <c r="AA1499" t="str">
        <f>IF(Z1499="","",IFERROR(LOOKUP(2,1/(#REF!=Z1499),#REF!),""))</f>
        <v/>
      </c>
      <c r="AB1499" t="str">
        <f>IF(Z1499="","",IFERROR(LOOKUP(2,1/(#REF!=Z1499),#REF!),""))</f>
        <v/>
      </c>
      <c r="AC1499" t="e">
        <f>IF(Z1499="","",COUNTIF(#REF!,Z1499))</f>
        <v>#REF!</v>
      </c>
      <c r="AD1499" t="e">
        <f>IF(A1499="","",IF(AC1499&gt;1,"REVISAR DUPLICADO",IF(AA1499&lt;&gt;"","ACTUALIZADO POR EYR","SIN REPORTE EYR")))</f>
        <v>#REF!</v>
      </c>
    </row>
    <row r="1500" spans="1:30" x14ac:dyDescent="0.3">
      <c r="A1500" s="5" t="s">
        <v>1310</v>
      </c>
      <c r="B1500" t="s">
        <v>1309</v>
      </c>
      <c r="C1500" s="4">
        <v>40230012573</v>
      </c>
      <c r="D1500" t="s">
        <v>600</v>
      </c>
      <c r="F1500" t="s">
        <v>1308</v>
      </c>
      <c r="G1500" s="3">
        <v>8097589081</v>
      </c>
      <c r="H1500" s="2">
        <v>46139</v>
      </c>
      <c r="K1500" s="1">
        <f ca="1">IF(A1500="","",IF(OR(L1500="ENTREGADA",L1500="RETORNADA",L1500="ENTREGA DIGITAL"),0,MAX(0,5-NETWORKDAYS(H1500+1,TODAY()))))</f>
        <v>1</v>
      </c>
      <c r="L1500">
        <f>IF(A1500="","",IFERROR(LOOKUP(2,1/(#REF!=Z1500),#REF!),Y1500))</f>
        <v>0</v>
      </c>
      <c r="Z1500" t="str">
        <f>IF(A1500="","",TEXT(A1500,"0")&amp;"|"&amp;TEXT(H1500,"0"))</f>
        <v>5415017904735460|46139</v>
      </c>
      <c r="AA1500" t="str">
        <f>IF(Z1500="","",IFERROR(LOOKUP(2,1/(#REF!=Z1500),#REF!),""))</f>
        <v/>
      </c>
      <c r="AB1500" t="str">
        <f>IF(Z1500="","",IFERROR(LOOKUP(2,1/(#REF!=Z1500),#REF!),""))</f>
        <v/>
      </c>
      <c r="AC1500" t="e">
        <f>IF(Z1500="","",COUNTIF(#REF!,Z1500))</f>
        <v>#REF!</v>
      </c>
      <c r="AD1500" t="e">
        <f>IF(A1500="","",IF(AC1500&gt;1,"REVISAR DUPLICADO",IF(AA1500&lt;&gt;"","ACTUALIZADO POR EYR","SIN REPORTE EYR")))</f>
        <v>#REF!</v>
      </c>
    </row>
    <row r="1501" spans="1:30" x14ac:dyDescent="0.3">
      <c r="A1501" s="5" t="s">
        <v>1307</v>
      </c>
      <c r="B1501" t="s">
        <v>1306</v>
      </c>
      <c r="C1501" s="4">
        <v>40215835063</v>
      </c>
      <c r="D1501" t="s">
        <v>600</v>
      </c>
      <c r="F1501" t="s">
        <v>13</v>
      </c>
      <c r="G1501" s="3">
        <v>8293703125</v>
      </c>
      <c r="H1501" s="2">
        <v>46139</v>
      </c>
      <c r="I1501" t="s">
        <v>1397</v>
      </c>
      <c r="K1501" s="1">
        <f ca="1">IF(A1501="","",IF(OR(L1501="ENTREGADA",L1501="RETORNADA",L1501="ENTREGA DIGITAL"),0,MAX(0,5-NETWORKDAYS(H1501+1,TODAY()))))</f>
        <v>0</v>
      </c>
      <c r="L1501" t="str">
        <f>IF(A1501="","",IFERROR(LOOKUP(2,1/(#REF!=Z1501),#REF!),Y1501))</f>
        <v>ENTREGA DIGITAL</v>
      </c>
      <c r="Y1501" t="s">
        <v>1396</v>
      </c>
      <c r="Z1501" t="str">
        <f>IF(A1501="","",TEXT(A1501,"0")&amp;"|"&amp;TEXT(H1501,"0"))</f>
        <v>4921017908403720|46139</v>
      </c>
      <c r="AA1501" t="str">
        <f>IF(Z1501="","",IFERROR(LOOKUP(2,1/(#REF!=Z1501),#REF!),""))</f>
        <v/>
      </c>
      <c r="AB1501" t="str">
        <f>IF(Z1501="","",IFERROR(LOOKUP(2,1/(#REF!=Z1501),#REF!),""))</f>
        <v/>
      </c>
      <c r="AC1501" t="e">
        <f>IF(Z1501="","",COUNTIF(#REF!,Z1501))</f>
        <v>#REF!</v>
      </c>
      <c r="AD1501" t="e">
        <f>IF(A1501="","",IF(AC1501&gt;1,"REVISAR DUPLICADO",IF(AA1501&lt;&gt;"","ACTUALIZADO POR EYR","SIN REPORTE EYR")))</f>
        <v>#REF!</v>
      </c>
    </row>
    <row r="1502" spans="1:30" x14ac:dyDescent="0.3">
      <c r="A1502" s="5" t="s">
        <v>1305</v>
      </c>
      <c r="B1502" t="s">
        <v>1304</v>
      </c>
      <c r="C1502" s="4">
        <v>40212899922</v>
      </c>
      <c r="D1502" t="s">
        <v>600</v>
      </c>
      <c r="F1502" t="s">
        <v>13</v>
      </c>
      <c r="G1502" s="3">
        <v>8293018271</v>
      </c>
      <c r="H1502" s="2">
        <v>46139</v>
      </c>
      <c r="K1502" s="1">
        <f ca="1">IF(A1502="","",IF(OR(L1502="ENTREGADA",L1502="RETORNADA",L1502="ENTREGA DIGITAL"),0,MAX(0,5-NETWORKDAYS(H1502+1,TODAY()))))</f>
        <v>0</v>
      </c>
      <c r="L1502" t="str">
        <f>IF(A1502="","",IFERROR(LOOKUP(2,1/(#REF!=Z1502),#REF!),Y1502))</f>
        <v>ENTREGA DIGITAL</v>
      </c>
      <c r="Y1502" t="s">
        <v>1396</v>
      </c>
      <c r="Z1502" t="str">
        <f>IF(A1502="","",TEXT(A1502,"0")&amp;"|"&amp;TEXT(H1502,"0"))</f>
        <v>5415017904890410|46139</v>
      </c>
      <c r="AA1502" t="str">
        <f>IF(Z1502="","",IFERROR(LOOKUP(2,1/(#REF!=Z1502),#REF!),""))</f>
        <v/>
      </c>
      <c r="AB1502" t="str">
        <f>IF(Z1502="","",IFERROR(LOOKUP(2,1/(#REF!=Z1502),#REF!),""))</f>
        <v/>
      </c>
      <c r="AC1502" t="e">
        <f>IF(Z1502="","",COUNTIF(#REF!,Z1502))</f>
        <v>#REF!</v>
      </c>
      <c r="AD1502" t="e">
        <f>IF(A1502="","",IF(AC1502&gt;1,"REVISAR DUPLICADO",IF(AA1502&lt;&gt;"","ACTUALIZADO POR EYR","SIN REPORTE EYR")))</f>
        <v>#REF!</v>
      </c>
    </row>
    <row r="1503" spans="1:30" x14ac:dyDescent="0.3">
      <c r="A1503" s="5" t="s">
        <v>1303</v>
      </c>
      <c r="B1503" t="s">
        <v>1302</v>
      </c>
      <c r="C1503" s="4">
        <v>40229660176</v>
      </c>
      <c r="D1503" t="s">
        <v>600</v>
      </c>
      <c r="F1503" t="s">
        <v>1301</v>
      </c>
      <c r="G1503" s="3">
        <v>8496399821</v>
      </c>
      <c r="H1503" s="2">
        <v>46139</v>
      </c>
      <c r="K1503" s="1">
        <f ca="1">IF(A1503="","",IF(OR(L1503="ENTREGADA",L1503="RETORNADA",L1503="ENTREGA DIGITAL"),0,MAX(0,5-NETWORKDAYS(H1503+1,TODAY()))))</f>
        <v>0</v>
      </c>
      <c r="L1503" t="str">
        <f>IF(A1503="","",IFERROR(LOOKUP(2,1/(#REF!=Z1503),#REF!),Y1503))</f>
        <v>ENTREGA DIGITAL</v>
      </c>
      <c r="Y1503" t="s">
        <v>1396</v>
      </c>
      <c r="Z1503" t="str">
        <f>IF(A1503="","",TEXT(A1503,"0")&amp;"|"&amp;TEXT(H1503,"0"))</f>
        <v>4921017903042850|46139</v>
      </c>
      <c r="AA1503" t="str">
        <f>IF(Z1503="","",IFERROR(LOOKUP(2,1/(#REF!=Z1503),#REF!),""))</f>
        <v/>
      </c>
      <c r="AB1503" t="str">
        <f>IF(Z1503="","",IFERROR(LOOKUP(2,1/(#REF!=Z1503),#REF!),""))</f>
        <v/>
      </c>
      <c r="AC1503" t="e">
        <f>IF(Z1503="","",COUNTIF(#REF!,Z1503))</f>
        <v>#REF!</v>
      </c>
      <c r="AD1503" t="e">
        <f>IF(A1503="","",IF(AC1503&gt;1,"REVISAR DUPLICADO",IF(AA1503&lt;&gt;"","ACTUALIZADO POR EYR","SIN REPORTE EYR")))</f>
        <v>#REF!</v>
      </c>
    </row>
    <row r="1504" spans="1:30" x14ac:dyDescent="0.3">
      <c r="A1504" s="5" t="s">
        <v>1300</v>
      </c>
      <c r="B1504" t="s">
        <v>1299</v>
      </c>
      <c r="C1504" s="4">
        <v>40236155327</v>
      </c>
      <c r="D1504" t="s">
        <v>600</v>
      </c>
      <c r="F1504" t="s">
        <v>1290</v>
      </c>
      <c r="G1504" s="3">
        <v>8293980910</v>
      </c>
      <c r="H1504" s="2">
        <v>46139</v>
      </c>
      <c r="I1504" t="s">
        <v>1397</v>
      </c>
      <c r="K1504" s="1">
        <f ca="1">IF(A1504="","",IF(OR(L1504="ENTREGADA",L1504="RETORNADA",L1504="ENTREGA DIGITAL"),0,MAX(0,5-NETWORKDAYS(H1504+1,TODAY()))))</f>
        <v>0</v>
      </c>
      <c r="L1504" t="str">
        <f>IF(A1504="","",IFERROR(LOOKUP(2,1/(#REF!=Z1504),#REF!),Y1504))</f>
        <v>ENTREGA DIGITAL</v>
      </c>
      <c r="Y1504" t="s">
        <v>1396</v>
      </c>
      <c r="Z1504" t="str">
        <f>IF(A1504="","",TEXT(A1504,"0")&amp;"|"&amp;TEXT(H1504,"0"))</f>
        <v>5188017905761860|46139</v>
      </c>
      <c r="AA1504" t="str">
        <f>IF(Z1504="","",IFERROR(LOOKUP(2,1/(#REF!=Z1504),#REF!),""))</f>
        <v/>
      </c>
      <c r="AB1504" t="str">
        <f>IF(Z1504="","",IFERROR(LOOKUP(2,1/(#REF!=Z1504),#REF!),""))</f>
        <v/>
      </c>
      <c r="AC1504" t="e">
        <f>IF(Z1504="","",COUNTIF(#REF!,Z1504))</f>
        <v>#REF!</v>
      </c>
      <c r="AD1504" t="e">
        <f>IF(A1504="","",IF(AC1504&gt;1,"REVISAR DUPLICADO",IF(AA1504&lt;&gt;"","ACTUALIZADO POR EYR","SIN REPORTE EYR")))</f>
        <v>#REF!</v>
      </c>
    </row>
    <row r="1505" spans="1:30" x14ac:dyDescent="0.3">
      <c r="A1505" s="5" t="s">
        <v>1298</v>
      </c>
      <c r="B1505" t="s">
        <v>1297</v>
      </c>
      <c r="C1505" s="4">
        <v>40229291188</v>
      </c>
      <c r="D1505" t="s">
        <v>600</v>
      </c>
      <c r="F1505" t="s">
        <v>1296</v>
      </c>
      <c r="G1505" s="3">
        <v>8494363443</v>
      </c>
      <c r="H1505" s="2">
        <v>46139</v>
      </c>
      <c r="I1505" t="s">
        <v>1397</v>
      </c>
      <c r="K1505" s="1">
        <f ca="1">IF(A1505="","",IF(OR(L1505="ENTREGADA",L1505="RETORNADA",L1505="ENTREGA DIGITAL"),0,MAX(0,5-NETWORKDAYS(H1505+1,TODAY()))))</f>
        <v>0</v>
      </c>
      <c r="L1505" t="str">
        <f>IF(A1505="","",IFERROR(LOOKUP(2,1/(#REF!=Z1505),#REF!),Y1505))</f>
        <v>ENTREGA DIGITAL</v>
      </c>
      <c r="Y1505" t="s">
        <v>1396</v>
      </c>
      <c r="Z1505" t="str">
        <f>IF(A1505="","",TEXT(A1505,"0")&amp;"|"&amp;TEXT(H1505,"0"))</f>
        <v>5188017905753830|46139</v>
      </c>
      <c r="AA1505" t="str">
        <f>IF(Z1505="","",IFERROR(LOOKUP(2,1/(#REF!=Z1505),#REF!),""))</f>
        <v/>
      </c>
      <c r="AB1505" t="str">
        <f>IF(Z1505="","",IFERROR(LOOKUP(2,1/(#REF!=Z1505),#REF!),""))</f>
        <v/>
      </c>
      <c r="AC1505" t="e">
        <f>IF(Z1505="","",COUNTIF(#REF!,Z1505))</f>
        <v>#REF!</v>
      </c>
      <c r="AD1505" t="e">
        <f>IF(A1505="","",IF(AC1505&gt;1,"REVISAR DUPLICADO",IF(AA1505&lt;&gt;"","ACTUALIZADO POR EYR","SIN REPORTE EYR")))</f>
        <v>#REF!</v>
      </c>
    </row>
    <row r="1506" spans="1:30" x14ac:dyDescent="0.3">
      <c r="A1506" s="5" t="s">
        <v>1295</v>
      </c>
      <c r="B1506" t="s">
        <v>1294</v>
      </c>
      <c r="C1506" s="4">
        <v>40233099965</v>
      </c>
      <c r="D1506" t="s">
        <v>600</v>
      </c>
      <c r="F1506" t="s">
        <v>1293</v>
      </c>
      <c r="G1506" s="3">
        <v>8298583083</v>
      </c>
      <c r="H1506" s="2">
        <v>46139</v>
      </c>
      <c r="K1506" s="1">
        <f ca="1">IF(A1506="","",IF(OR(L1506="ENTREGADA",L1506="RETORNADA",L1506="ENTREGA DIGITAL"),0,MAX(0,5-NETWORKDAYS(H1506+1,TODAY()))))</f>
        <v>1</v>
      </c>
      <c r="L1506">
        <f>IF(A1506="","",IFERROR(LOOKUP(2,1/(#REF!=Z1506),#REF!),Y1506))</f>
        <v>0</v>
      </c>
      <c r="Z1506" t="str">
        <f>IF(A1506="","",TEXT(A1506,"0")&amp;"|"&amp;TEXT(H1506,"0"))</f>
        <v>5415017904007260|46139</v>
      </c>
      <c r="AA1506" t="str">
        <f>IF(Z1506="","",IFERROR(LOOKUP(2,1/(#REF!=Z1506),#REF!),""))</f>
        <v/>
      </c>
      <c r="AB1506" t="str">
        <f>IF(Z1506="","",IFERROR(LOOKUP(2,1/(#REF!=Z1506),#REF!),""))</f>
        <v/>
      </c>
      <c r="AC1506" t="e">
        <f>IF(Z1506="","",COUNTIF(#REF!,Z1506))</f>
        <v>#REF!</v>
      </c>
      <c r="AD1506" t="e">
        <f>IF(A1506="","",IF(AC1506&gt;1,"REVISAR DUPLICADO",IF(AA1506&lt;&gt;"","ACTUALIZADO POR EYR","SIN REPORTE EYR")))</f>
        <v>#REF!</v>
      </c>
    </row>
    <row r="1507" spans="1:30" x14ac:dyDescent="0.3">
      <c r="A1507" s="5" t="s">
        <v>1292</v>
      </c>
      <c r="B1507" t="s">
        <v>1291</v>
      </c>
      <c r="C1507" s="4">
        <v>6700139253</v>
      </c>
      <c r="D1507" t="s">
        <v>600</v>
      </c>
      <c r="F1507" t="s">
        <v>1290</v>
      </c>
      <c r="G1507" s="3">
        <v>8295866885</v>
      </c>
      <c r="H1507" s="2">
        <v>46139</v>
      </c>
      <c r="K1507" s="1">
        <f ca="1">IF(A1507="","",IF(OR(L1507="ENTREGADA",L1507="RETORNADA",L1507="ENTREGA DIGITAL"),0,MAX(0,5-NETWORKDAYS(H1507+1,TODAY()))))</f>
        <v>0</v>
      </c>
      <c r="L1507" t="str">
        <f>IF(A1507="","",IFERROR(LOOKUP(2,1/(#REF!=Z1507),#REF!),Y1507))</f>
        <v>ENTREGA DIGITAL</v>
      </c>
      <c r="Y1507" t="s">
        <v>1396</v>
      </c>
      <c r="Z1507" t="str">
        <f>IF(A1507="","",TEXT(A1507,"0")&amp;"|"&amp;TEXT(H1507,"0"))</f>
        <v>4921017913347800|46139</v>
      </c>
      <c r="AA1507" t="str">
        <f>IF(Z1507="","",IFERROR(LOOKUP(2,1/(#REF!=Z1507),#REF!),""))</f>
        <v/>
      </c>
      <c r="AB1507" t="str">
        <f>IF(Z1507="","",IFERROR(LOOKUP(2,1/(#REF!=Z1507),#REF!),""))</f>
        <v/>
      </c>
      <c r="AC1507" t="e">
        <f>IF(Z1507="","",COUNTIF(#REF!,Z1507))</f>
        <v>#REF!</v>
      </c>
      <c r="AD1507" t="e">
        <f>IF(A1507="","",IF(AC1507&gt;1,"REVISAR DUPLICADO",IF(AA1507&lt;&gt;"","ACTUALIZADO POR EYR","SIN REPORTE EYR")))</f>
        <v>#REF!</v>
      </c>
    </row>
    <row r="1508" spans="1:30" x14ac:dyDescent="0.3">
      <c r="A1508" s="5" t="s">
        <v>1289</v>
      </c>
      <c r="B1508" t="s">
        <v>1288</v>
      </c>
      <c r="C1508" s="4">
        <v>117642298</v>
      </c>
      <c r="D1508" t="s">
        <v>600</v>
      </c>
      <c r="F1508" t="s">
        <v>13</v>
      </c>
      <c r="G1508" s="3">
        <v>8299079529</v>
      </c>
      <c r="H1508" s="2">
        <v>46139</v>
      </c>
      <c r="K1508" s="1">
        <f ca="1">IF(A1508="","",IF(OR(L1508="ENTREGADA",L1508="RETORNADA",L1508="ENTREGA DIGITAL"),0,MAX(0,5-NETWORKDAYS(H1508+1,TODAY()))))</f>
        <v>0</v>
      </c>
      <c r="L1508" t="str">
        <f>IF(A1508="","",IFERROR(LOOKUP(2,1/(#REF!=Z1508),#REF!),Y1508))</f>
        <v>ENTREGA DIGITAL</v>
      </c>
      <c r="Y1508" t="s">
        <v>1396</v>
      </c>
      <c r="Z1508" t="str">
        <f>IF(A1508="","",TEXT(A1508,"0")&amp;"|"&amp;TEXT(H1508,"0"))</f>
        <v>5549017868368990|46139</v>
      </c>
      <c r="AA1508" t="str">
        <f>IF(Z1508="","",IFERROR(LOOKUP(2,1/(#REF!=Z1508),#REF!),""))</f>
        <v/>
      </c>
      <c r="AB1508" t="str">
        <f>IF(Z1508="","",IFERROR(LOOKUP(2,1/(#REF!=Z1508),#REF!),""))</f>
        <v/>
      </c>
      <c r="AC1508" t="e">
        <f>IF(Z1508="","",COUNTIF(#REF!,Z1508))</f>
        <v>#REF!</v>
      </c>
      <c r="AD1508" t="e">
        <f>IF(A1508="","",IF(AC1508&gt;1,"REVISAR DUPLICADO",IF(AA1508&lt;&gt;"","ACTUALIZADO POR EYR","SIN REPORTE EYR")))</f>
        <v>#REF!</v>
      </c>
    </row>
    <row r="1509" spans="1:30" x14ac:dyDescent="0.3">
      <c r="A1509" s="5" t="s">
        <v>1395</v>
      </c>
      <c r="B1509" t="s">
        <v>1394</v>
      </c>
      <c r="C1509" s="4">
        <v>22900305016</v>
      </c>
      <c r="D1509" t="s">
        <v>600</v>
      </c>
      <c r="F1509" t="s">
        <v>0</v>
      </c>
      <c r="G1509" s="3">
        <v>8094199352</v>
      </c>
      <c r="H1509" s="2">
        <v>46139</v>
      </c>
      <c r="K1509" s="1">
        <f ca="1">IF(A1509="","",IF(OR(L1509="ENTREGADA",L1509="RETORNADA",L1509="ENTREGA DIGITAL"),0,MAX(0,5-NETWORKDAYS(H1509+1,TODAY()))))</f>
        <v>1</v>
      </c>
      <c r="L1509">
        <f>IF(A1509="","",IFERROR(LOOKUP(2,1/(#REF!=Z1509),#REF!),Y1509))</f>
        <v>0</v>
      </c>
      <c r="Z1509" t="str">
        <f>IF(A1509="","",TEXT(A1509,"0")&amp;"|"&amp;TEXT(H1509,"0"))</f>
        <v>4921017591440350|46139</v>
      </c>
      <c r="AA1509" t="str">
        <f>IF(Z1509="","",IFERROR(LOOKUP(2,1/(#REF!=Z1509),#REF!),""))</f>
        <v/>
      </c>
      <c r="AB1509" t="str">
        <f>IF(Z1509="","",IFERROR(LOOKUP(2,1/(#REF!=Z1509),#REF!),""))</f>
        <v/>
      </c>
      <c r="AC1509" t="e">
        <f>IF(Z1509="","",COUNTIF(#REF!,Z1509))</f>
        <v>#REF!</v>
      </c>
      <c r="AD1509" t="e">
        <f>IF(A1509="","",IF(AC1509&gt;1,"REVISAR DUPLICADO",IF(AA1509&lt;&gt;"","ACTUALIZADO POR EYR","SIN REPORTE EYR")))</f>
        <v>#REF!</v>
      </c>
    </row>
    <row r="1510" spans="1:30" x14ac:dyDescent="0.3">
      <c r="A1510" s="5" t="s">
        <v>1393</v>
      </c>
      <c r="B1510" t="s">
        <v>1392</v>
      </c>
      <c r="C1510" s="4">
        <v>301211462</v>
      </c>
      <c r="D1510" t="s">
        <v>600</v>
      </c>
      <c r="F1510" t="s">
        <v>13</v>
      </c>
      <c r="G1510" s="3">
        <v>8293468624</v>
      </c>
      <c r="H1510" s="2">
        <v>46139</v>
      </c>
      <c r="K1510" s="1">
        <f ca="1">IF(A1510="","",IF(OR(L1510="ENTREGADA",L1510="RETORNADA",L1510="ENTREGA DIGITAL"),0,MAX(0,5-NETWORKDAYS(H1510+1,TODAY()))))</f>
        <v>1</v>
      </c>
      <c r="L1510">
        <f>IF(A1510="","",IFERROR(LOOKUP(2,1/(#REF!=Z1510),#REF!),Y1510))</f>
        <v>0</v>
      </c>
      <c r="Z1510" t="str">
        <f>IF(A1510="","",TEXT(A1510,"0")&amp;"|"&amp;TEXT(H1510,"0"))</f>
        <v>4921017808436190|46139</v>
      </c>
      <c r="AA1510" t="str">
        <f>IF(Z1510="","",IFERROR(LOOKUP(2,1/(#REF!=Z1510),#REF!),""))</f>
        <v/>
      </c>
      <c r="AB1510" t="str">
        <f>IF(Z1510="","",IFERROR(LOOKUP(2,1/(#REF!=Z1510),#REF!),""))</f>
        <v/>
      </c>
      <c r="AC1510" t="e">
        <f>IF(Z1510="","",COUNTIF(#REF!,Z1510))</f>
        <v>#REF!</v>
      </c>
      <c r="AD1510" t="e">
        <f>IF(A1510="","",IF(AC1510&gt;1,"REVISAR DUPLICADO",IF(AA1510&lt;&gt;"","ACTUALIZADO POR EYR","SIN REPORTE EYR")))</f>
        <v>#REF!</v>
      </c>
    </row>
    <row r="1511" spans="1:30" x14ac:dyDescent="0.3">
      <c r="A1511" s="5" t="s">
        <v>1391</v>
      </c>
      <c r="B1511" t="s">
        <v>1390</v>
      </c>
      <c r="C1511" s="4">
        <v>40200700595</v>
      </c>
      <c r="D1511" t="s">
        <v>600</v>
      </c>
      <c r="F1511" t="s">
        <v>517</v>
      </c>
      <c r="G1511" s="3">
        <v>8095679447</v>
      </c>
      <c r="H1511" s="2">
        <v>46139</v>
      </c>
      <c r="K1511" s="1">
        <f ca="1">IF(A1511="","",IF(OR(L1511="ENTREGADA",L1511="RETORNADA",L1511="ENTREGA DIGITAL"),0,MAX(0,5-NETWORKDAYS(H1511+1,TODAY()))))</f>
        <v>1</v>
      </c>
      <c r="L1511">
        <f>IF(A1511="","",IFERROR(LOOKUP(2,1/(#REF!=Z1511),#REF!),Y1511))</f>
        <v>0</v>
      </c>
      <c r="Z1511" t="str">
        <f>IF(A1511="","",TEXT(A1511,"0")&amp;"|"&amp;TEXT(H1511,"0"))</f>
        <v>4921017912106040|46139</v>
      </c>
      <c r="AA1511" t="str">
        <f>IF(Z1511="","",IFERROR(LOOKUP(2,1/(#REF!=Z1511),#REF!),""))</f>
        <v/>
      </c>
      <c r="AB1511" t="str">
        <f>IF(Z1511="","",IFERROR(LOOKUP(2,1/(#REF!=Z1511),#REF!),""))</f>
        <v/>
      </c>
      <c r="AC1511" t="e">
        <f>IF(Z1511="","",COUNTIF(#REF!,Z1511))</f>
        <v>#REF!</v>
      </c>
      <c r="AD1511" t="e">
        <f>IF(A1511="","",IF(AC1511&gt;1,"REVISAR DUPLICADO",IF(AA1511&lt;&gt;"","ACTUALIZADO POR EYR","SIN REPORTE EYR")))</f>
        <v>#REF!</v>
      </c>
    </row>
    <row r="1512" spans="1:30" x14ac:dyDescent="0.3">
      <c r="A1512" s="5" t="s">
        <v>1389</v>
      </c>
      <c r="B1512" t="s">
        <v>1388</v>
      </c>
      <c r="C1512" s="4">
        <v>10900084053</v>
      </c>
      <c r="D1512" t="s">
        <v>600</v>
      </c>
      <c r="F1512" t="s">
        <v>517</v>
      </c>
      <c r="G1512" s="3">
        <v>8092745355</v>
      </c>
      <c r="H1512" s="2">
        <v>46139</v>
      </c>
      <c r="K1512" s="1">
        <f ca="1">IF(A1512="","",IF(OR(L1512="ENTREGADA",L1512="RETORNADA",L1512="ENTREGA DIGITAL"),0,MAX(0,5-NETWORKDAYS(H1512+1,TODAY()))))</f>
        <v>1</v>
      </c>
      <c r="L1512">
        <f>IF(A1512="","",IFERROR(LOOKUP(2,1/(#REF!=Z1512),#REF!),Y1512))</f>
        <v>0</v>
      </c>
      <c r="Z1512" t="str">
        <f>IF(A1512="","",TEXT(A1512,"0")&amp;"|"&amp;TEXT(H1512,"0"))</f>
        <v>5415017910671470|46139</v>
      </c>
      <c r="AA1512" t="str">
        <f>IF(Z1512="","",IFERROR(LOOKUP(2,1/(#REF!=Z1512),#REF!),""))</f>
        <v/>
      </c>
      <c r="AB1512" t="str">
        <f>IF(Z1512="","",IFERROR(LOOKUP(2,1/(#REF!=Z1512),#REF!),""))</f>
        <v/>
      </c>
      <c r="AC1512" t="e">
        <f>IF(Z1512="","",COUNTIF(#REF!,Z1512))</f>
        <v>#REF!</v>
      </c>
      <c r="AD1512" t="e">
        <f>IF(A1512="","",IF(AC1512&gt;1,"REVISAR DUPLICADO",IF(AA1512&lt;&gt;"","ACTUALIZADO POR EYR","SIN REPORTE EYR")))</f>
        <v>#REF!</v>
      </c>
    </row>
    <row r="1513" spans="1:30" x14ac:dyDescent="0.3">
      <c r="A1513" s="5" t="s">
        <v>1387</v>
      </c>
      <c r="B1513" t="s">
        <v>1386</v>
      </c>
      <c r="C1513" s="4">
        <v>40211039397</v>
      </c>
      <c r="D1513" t="s">
        <v>600</v>
      </c>
      <c r="F1513" t="s">
        <v>13</v>
      </c>
      <c r="G1513" s="3">
        <v>8293019122</v>
      </c>
      <c r="H1513" s="2">
        <v>46139</v>
      </c>
      <c r="K1513" s="1">
        <f ca="1">IF(A1513="","",IF(OR(L1513="ENTREGADA",L1513="RETORNADA",L1513="ENTREGA DIGITAL"),0,MAX(0,5-NETWORKDAYS(H1513+1,TODAY()))))</f>
        <v>1</v>
      </c>
      <c r="L1513">
        <f>IF(A1513="","",IFERROR(LOOKUP(2,1/(#REF!=Z1513),#REF!),Y1513))</f>
        <v>0</v>
      </c>
      <c r="Z1513" t="str">
        <f>IF(A1513="","",TEXT(A1513,"0")&amp;"|"&amp;TEXT(H1513,"0"))</f>
        <v>4921017906123780|46139</v>
      </c>
      <c r="AA1513" t="str">
        <f>IF(Z1513="","",IFERROR(LOOKUP(2,1/(#REF!=Z1513),#REF!),""))</f>
        <v/>
      </c>
      <c r="AB1513" t="str">
        <f>IF(Z1513="","",IFERROR(LOOKUP(2,1/(#REF!=Z1513),#REF!),""))</f>
        <v/>
      </c>
      <c r="AC1513" t="e">
        <f>IF(Z1513="","",COUNTIF(#REF!,Z1513))</f>
        <v>#REF!</v>
      </c>
      <c r="AD1513" t="e">
        <f>IF(A1513="","",IF(AC1513&gt;1,"REVISAR DUPLICADO",IF(AA1513&lt;&gt;"","ACTUALIZADO POR EYR","SIN REPORTE EYR")))</f>
        <v>#REF!</v>
      </c>
    </row>
    <row r="1514" spans="1:30" x14ac:dyDescent="0.3">
      <c r="A1514" s="5" t="s">
        <v>1385</v>
      </c>
      <c r="B1514" t="s">
        <v>1384</v>
      </c>
      <c r="C1514" s="4">
        <v>179984228</v>
      </c>
      <c r="D1514" t="s">
        <v>600</v>
      </c>
      <c r="F1514" t="s">
        <v>1383</v>
      </c>
      <c r="G1514" s="3">
        <v>8494561502</v>
      </c>
      <c r="H1514" s="2">
        <v>46139</v>
      </c>
      <c r="K1514" s="1">
        <f ca="1">IF(A1514="","",IF(OR(L1514="ENTREGADA",L1514="RETORNADA",L1514="ENTREGA DIGITAL"),0,MAX(0,5-NETWORKDAYS(H1514+1,TODAY()))))</f>
        <v>1</v>
      </c>
      <c r="L1514">
        <f>IF(A1514="","",IFERROR(LOOKUP(2,1/(#REF!=Z1514),#REF!),Y1514))</f>
        <v>0</v>
      </c>
      <c r="Z1514" t="str">
        <f>IF(A1514="","",TEXT(A1514,"0")&amp;"|"&amp;TEXT(H1514,"0"))</f>
        <v>4921017908547980|46139</v>
      </c>
      <c r="AA1514" t="str">
        <f>IF(Z1514="","",IFERROR(LOOKUP(2,1/(#REF!=Z1514),#REF!),""))</f>
        <v/>
      </c>
      <c r="AB1514" t="str">
        <f>IF(Z1514="","",IFERROR(LOOKUP(2,1/(#REF!=Z1514),#REF!),""))</f>
        <v/>
      </c>
      <c r="AC1514" t="e">
        <f>IF(Z1514="","",COUNTIF(#REF!,Z1514))</f>
        <v>#REF!</v>
      </c>
      <c r="AD1514" t="e">
        <f>IF(A1514="","",IF(AC1514&gt;1,"REVISAR DUPLICADO",IF(AA1514&lt;&gt;"","ACTUALIZADO POR EYR","SIN REPORTE EYR")))</f>
        <v>#REF!</v>
      </c>
    </row>
    <row r="1515" spans="1:30" x14ac:dyDescent="0.3">
      <c r="A1515" s="5" t="s">
        <v>1382</v>
      </c>
      <c r="B1515" t="s">
        <v>1381</v>
      </c>
      <c r="C1515" s="4">
        <v>40241435110</v>
      </c>
      <c r="D1515" t="s">
        <v>600</v>
      </c>
      <c r="F1515" t="s">
        <v>1380</v>
      </c>
      <c r="G1515" s="3">
        <v>8097048399</v>
      </c>
      <c r="H1515" s="2">
        <v>46139</v>
      </c>
      <c r="K1515" s="1">
        <f ca="1">IF(A1515="","",IF(OR(L1515="ENTREGADA",L1515="RETORNADA",L1515="ENTREGA DIGITAL"),0,MAX(0,5-NETWORKDAYS(H1515+1,TODAY()))))</f>
        <v>1</v>
      </c>
      <c r="L1515">
        <f>IF(A1515="","",IFERROR(LOOKUP(2,1/(#REF!=Z1515),#REF!),Y1515))</f>
        <v>0</v>
      </c>
      <c r="Z1515" t="str">
        <f>IF(A1515="","",TEXT(A1515,"0")&amp;"|"&amp;TEXT(H1515,"0"))</f>
        <v>5415017904446740|46139</v>
      </c>
      <c r="AA1515" t="str">
        <f>IF(Z1515="","",IFERROR(LOOKUP(2,1/(#REF!=Z1515),#REF!),""))</f>
        <v/>
      </c>
      <c r="AB1515" t="str">
        <f>IF(Z1515="","",IFERROR(LOOKUP(2,1/(#REF!=Z1515),#REF!),""))</f>
        <v/>
      </c>
      <c r="AC1515" t="e">
        <f>IF(Z1515="","",COUNTIF(#REF!,Z1515))</f>
        <v>#REF!</v>
      </c>
      <c r="AD1515" t="e">
        <f>IF(A1515="","",IF(AC1515&gt;1,"REVISAR DUPLICADO",IF(AA1515&lt;&gt;"","ACTUALIZADO POR EYR","SIN REPORTE EYR")))</f>
        <v>#REF!</v>
      </c>
    </row>
    <row r="1516" spans="1:30" x14ac:dyDescent="0.3">
      <c r="A1516" s="5" t="s">
        <v>1379</v>
      </c>
      <c r="B1516" t="s">
        <v>1378</v>
      </c>
      <c r="C1516" s="4">
        <v>40208830386</v>
      </c>
      <c r="D1516" t="s">
        <v>600</v>
      </c>
      <c r="F1516" t="s">
        <v>1377</v>
      </c>
      <c r="G1516" s="3">
        <v>8298155826</v>
      </c>
      <c r="H1516" s="2">
        <v>46139</v>
      </c>
      <c r="K1516" s="1">
        <f ca="1">IF(A1516="","",IF(OR(L1516="ENTREGADA",L1516="RETORNADA",L1516="ENTREGA DIGITAL"),0,MAX(0,5-NETWORKDAYS(H1516+1,TODAY()))))</f>
        <v>1</v>
      </c>
      <c r="L1516">
        <f>IF(A1516="","",IFERROR(LOOKUP(2,1/(#REF!=Z1516),#REF!),Y1516))</f>
        <v>0</v>
      </c>
      <c r="Z1516" t="str">
        <f>IF(A1516="","",TEXT(A1516,"0")&amp;"|"&amp;TEXT(H1516,"0"))</f>
        <v>5188017905673880|46139</v>
      </c>
      <c r="AA1516" t="str">
        <f>IF(Z1516="","",IFERROR(LOOKUP(2,1/(#REF!=Z1516),#REF!),""))</f>
        <v/>
      </c>
      <c r="AB1516" t="str">
        <f>IF(Z1516="","",IFERROR(LOOKUP(2,1/(#REF!=Z1516),#REF!),""))</f>
        <v/>
      </c>
      <c r="AC1516" t="e">
        <f>IF(Z1516="","",COUNTIF(#REF!,Z1516))</f>
        <v>#REF!</v>
      </c>
      <c r="AD1516" t="e">
        <f>IF(A1516="","",IF(AC1516&gt;1,"REVISAR DUPLICADO",IF(AA1516&lt;&gt;"","ACTUALIZADO POR EYR","SIN REPORTE EYR")))</f>
        <v>#REF!</v>
      </c>
    </row>
    <row r="1517" spans="1:30" x14ac:dyDescent="0.3">
      <c r="A1517" s="5" t="s">
        <v>1376</v>
      </c>
      <c r="B1517" t="s">
        <v>1375</v>
      </c>
      <c r="C1517" s="4">
        <v>118653666</v>
      </c>
      <c r="D1517" t="s">
        <v>600</v>
      </c>
      <c r="F1517" t="s">
        <v>13</v>
      </c>
      <c r="G1517" s="3">
        <v>8297037801</v>
      </c>
      <c r="H1517" s="2">
        <v>46139</v>
      </c>
      <c r="K1517" s="1">
        <f ca="1">IF(A1517="","",IF(OR(L1517="ENTREGADA",L1517="RETORNADA",L1517="ENTREGA DIGITAL"),0,MAX(0,5-NETWORKDAYS(H1517+1,TODAY()))))</f>
        <v>1</v>
      </c>
      <c r="L1517">
        <f>IF(A1517="","",IFERROR(LOOKUP(2,1/(#REF!=Z1517),#REF!),Y1517))</f>
        <v>0</v>
      </c>
      <c r="Z1517" t="str">
        <f>IF(A1517="","",TEXT(A1517,"0")&amp;"|"&amp;TEXT(H1517,"0"))</f>
        <v>4921017906677490|46139</v>
      </c>
      <c r="AA1517" t="str">
        <f>IF(Z1517="","",IFERROR(LOOKUP(2,1/(#REF!=Z1517),#REF!),""))</f>
        <v/>
      </c>
      <c r="AB1517" t="str">
        <f>IF(Z1517="","",IFERROR(LOOKUP(2,1/(#REF!=Z1517),#REF!),""))</f>
        <v/>
      </c>
      <c r="AC1517" t="e">
        <f>IF(Z1517="","",COUNTIF(#REF!,Z1517))</f>
        <v>#REF!</v>
      </c>
      <c r="AD1517" t="e">
        <f>IF(A1517="","",IF(AC1517&gt;1,"REVISAR DUPLICADO",IF(AA1517&lt;&gt;"","ACTUALIZADO POR EYR","SIN REPORTE EYR")))</f>
        <v>#REF!</v>
      </c>
    </row>
    <row r="1518" spans="1:30" x14ac:dyDescent="0.3">
      <c r="A1518" s="5" t="s">
        <v>1374</v>
      </c>
      <c r="B1518" t="s">
        <v>1373</v>
      </c>
      <c r="C1518" s="4">
        <v>40255530608</v>
      </c>
      <c r="D1518" t="s">
        <v>600</v>
      </c>
      <c r="F1518">
        <v>4</v>
      </c>
      <c r="G1518" s="3">
        <v>8298217907</v>
      </c>
      <c r="H1518" s="2">
        <v>46139</v>
      </c>
      <c r="K1518" s="1">
        <f ca="1">IF(A1518="","",IF(OR(L1518="ENTREGADA",L1518="RETORNADA",L1518="ENTREGA DIGITAL"),0,MAX(0,5-NETWORKDAYS(H1518+1,TODAY()))))</f>
        <v>1</v>
      </c>
      <c r="L1518">
        <f>IF(A1518="","",IFERROR(LOOKUP(2,1/(#REF!=Z1518),#REF!),Y1518))</f>
        <v>0</v>
      </c>
      <c r="Z1518" t="str">
        <f>IF(A1518="","",TEXT(A1518,"0")&amp;"|"&amp;TEXT(H1518,"0"))</f>
        <v>4921017906280410|46139</v>
      </c>
      <c r="AA1518" t="str">
        <f>IF(Z1518="","",IFERROR(LOOKUP(2,1/(#REF!=Z1518),#REF!),""))</f>
        <v/>
      </c>
      <c r="AB1518" t="str">
        <f>IF(Z1518="","",IFERROR(LOOKUP(2,1/(#REF!=Z1518),#REF!),""))</f>
        <v/>
      </c>
      <c r="AC1518" t="e">
        <f>IF(Z1518="","",COUNTIF(#REF!,Z1518))</f>
        <v>#REF!</v>
      </c>
      <c r="AD1518" t="e">
        <f>IF(A1518="","",IF(AC1518&gt;1,"REVISAR DUPLICADO",IF(AA1518&lt;&gt;"","ACTUALIZADO POR EYR","SIN REPORTE EYR")))</f>
        <v>#REF!</v>
      </c>
    </row>
    <row r="1519" spans="1:30" x14ac:dyDescent="0.3">
      <c r="A1519" s="5" t="s">
        <v>1372</v>
      </c>
      <c r="B1519" t="s">
        <v>1371</v>
      </c>
      <c r="C1519" s="4">
        <v>40221851856</v>
      </c>
      <c r="D1519" t="s">
        <v>600</v>
      </c>
      <c r="F1519" t="s">
        <v>1370</v>
      </c>
      <c r="G1519" s="3">
        <v>8092549527</v>
      </c>
      <c r="H1519" s="2">
        <v>46139</v>
      </c>
      <c r="K1519" s="1">
        <f ca="1">IF(A1519="","",IF(OR(L1519="ENTREGADA",L1519="RETORNADA",L1519="ENTREGA DIGITAL"),0,MAX(0,5-NETWORKDAYS(H1519+1,TODAY()))))</f>
        <v>1</v>
      </c>
      <c r="L1519">
        <f>IF(A1519="","",IFERROR(LOOKUP(2,1/(#REF!=Z1519),#REF!),Y1519))</f>
        <v>0</v>
      </c>
      <c r="Z1519" t="str">
        <f>IF(A1519="","",TEXT(A1519,"0")&amp;"|"&amp;TEXT(H1519,"0"))</f>
        <v>4921017882328030|46139</v>
      </c>
      <c r="AA1519" t="str">
        <f>IF(Z1519="","",IFERROR(LOOKUP(2,1/(#REF!=Z1519),#REF!),""))</f>
        <v/>
      </c>
      <c r="AB1519" t="str">
        <f>IF(Z1519="","",IFERROR(LOOKUP(2,1/(#REF!=Z1519),#REF!),""))</f>
        <v/>
      </c>
      <c r="AC1519" t="e">
        <f>IF(Z1519="","",COUNTIF(#REF!,Z1519))</f>
        <v>#REF!</v>
      </c>
      <c r="AD1519" t="e">
        <f>IF(A1519="","",IF(AC1519&gt;1,"REVISAR DUPLICADO",IF(AA1519&lt;&gt;"","ACTUALIZADO POR EYR","SIN REPORTE EYR")))</f>
        <v>#REF!</v>
      </c>
    </row>
    <row r="1520" spans="1:30" x14ac:dyDescent="0.3">
      <c r="A1520" s="5" t="s">
        <v>1369</v>
      </c>
      <c r="B1520" t="s">
        <v>1368</v>
      </c>
      <c r="C1520" s="4">
        <v>40247022649</v>
      </c>
      <c r="D1520" t="s">
        <v>600</v>
      </c>
      <c r="F1520" t="s">
        <v>1367</v>
      </c>
      <c r="G1520" s="3">
        <v>8097151474</v>
      </c>
      <c r="H1520" s="2">
        <v>46139</v>
      </c>
      <c r="K1520" s="1">
        <f ca="1">IF(A1520="","",IF(OR(L1520="ENTREGADA",L1520="RETORNADA",L1520="ENTREGA DIGITAL"),0,MAX(0,5-NETWORKDAYS(H1520+1,TODAY()))))</f>
        <v>1</v>
      </c>
      <c r="L1520">
        <f>IF(A1520="","",IFERROR(LOOKUP(2,1/(#REF!=Z1520),#REF!),Y1520))</f>
        <v>0</v>
      </c>
      <c r="Z1520" t="str">
        <f>IF(A1520="","",TEXT(A1520,"0")&amp;"|"&amp;TEXT(H1520,"0"))</f>
        <v>4966017422208450|46139</v>
      </c>
      <c r="AA1520" t="str">
        <f>IF(Z1520="","",IFERROR(LOOKUP(2,1/(#REF!=Z1520),#REF!),""))</f>
        <v/>
      </c>
      <c r="AB1520" t="str">
        <f>IF(Z1520="","",IFERROR(LOOKUP(2,1/(#REF!=Z1520),#REF!),""))</f>
        <v/>
      </c>
      <c r="AC1520" t="e">
        <f>IF(Z1520="","",COUNTIF(#REF!,Z1520))</f>
        <v>#REF!</v>
      </c>
      <c r="AD1520" t="e">
        <f>IF(A1520="","",IF(AC1520&gt;1,"REVISAR DUPLICADO",IF(AA1520&lt;&gt;"","ACTUALIZADO POR EYR","SIN REPORTE EYR")))</f>
        <v>#REF!</v>
      </c>
    </row>
    <row r="1521" spans="1:30" x14ac:dyDescent="0.3">
      <c r="A1521" s="5" t="s">
        <v>1366</v>
      </c>
      <c r="B1521" t="s">
        <v>1365</v>
      </c>
      <c r="C1521" s="4">
        <v>40228568032</v>
      </c>
      <c r="D1521" t="s">
        <v>600</v>
      </c>
      <c r="F1521" t="s">
        <v>105</v>
      </c>
      <c r="G1521" s="3">
        <v>8294923905</v>
      </c>
      <c r="H1521" s="2">
        <v>46139</v>
      </c>
      <c r="K1521" s="1">
        <f ca="1">IF(A1521="","",IF(OR(L1521="ENTREGADA",L1521="RETORNADA",L1521="ENTREGA DIGITAL"),0,MAX(0,5-NETWORKDAYS(H1521+1,TODAY()))))</f>
        <v>1</v>
      </c>
      <c r="L1521">
        <f>IF(A1521="","",IFERROR(LOOKUP(2,1/(#REF!=Z1521),#REF!),Y1521))</f>
        <v>0</v>
      </c>
      <c r="Z1521" t="str">
        <f>IF(A1521="","",TEXT(A1521,"0")&amp;"|"&amp;TEXT(H1521,"0"))</f>
        <v>4921017877122360|46139</v>
      </c>
      <c r="AA1521" t="str">
        <f>IF(Z1521="","",IFERROR(LOOKUP(2,1/(#REF!=Z1521),#REF!),""))</f>
        <v/>
      </c>
      <c r="AB1521" t="str">
        <f>IF(Z1521="","",IFERROR(LOOKUP(2,1/(#REF!=Z1521),#REF!),""))</f>
        <v/>
      </c>
      <c r="AC1521" t="e">
        <f>IF(Z1521="","",COUNTIF(#REF!,Z1521))</f>
        <v>#REF!</v>
      </c>
      <c r="AD1521" t="e">
        <f>IF(A1521="","",IF(AC1521&gt;1,"REVISAR DUPLICADO",IF(AA1521&lt;&gt;"","ACTUALIZADO POR EYR","SIN REPORTE EYR")))</f>
        <v>#REF!</v>
      </c>
    </row>
    <row r="1522" spans="1:30" x14ac:dyDescent="0.3">
      <c r="A1522" s="5" t="s">
        <v>1364</v>
      </c>
      <c r="B1522" t="s">
        <v>1363</v>
      </c>
      <c r="C1522" s="4">
        <v>40219563349</v>
      </c>
      <c r="D1522" t="s">
        <v>600</v>
      </c>
      <c r="F1522" t="s">
        <v>1362</v>
      </c>
      <c r="G1522" s="3">
        <v>9999999999</v>
      </c>
      <c r="H1522" s="2">
        <v>46139</v>
      </c>
      <c r="K1522" s="1">
        <f ca="1">IF(A1522="","",IF(OR(L1522="ENTREGADA",L1522="RETORNADA",L1522="ENTREGA DIGITAL"),0,MAX(0,5-NETWORKDAYS(H1522+1,TODAY()))))</f>
        <v>1</v>
      </c>
      <c r="L1522">
        <f>IF(A1522="","",IFERROR(LOOKUP(2,1/(#REF!=Z1522),#REF!),Y1522))</f>
        <v>0</v>
      </c>
      <c r="Z1522" t="str">
        <f>IF(A1522="","",TEXT(A1522,"0")&amp;"|"&amp;TEXT(H1522,"0"))</f>
        <v>4921017877273330|46139</v>
      </c>
      <c r="AA1522" t="str">
        <f>IF(Z1522="","",IFERROR(LOOKUP(2,1/(#REF!=Z1522),#REF!),""))</f>
        <v/>
      </c>
      <c r="AB1522" t="str">
        <f>IF(Z1522="","",IFERROR(LOOKUP(2,1/(#REF!=Z1522),#REF!),""))</f>
        <v/>
      </c>
      <c r="AC1522" t="e">
        <f>IF(Z1522="","",COUNTIF(#REF!,Z1522))</f>
        <v>#REF!</v>
      </c>
      <c r="AD1522" t="e">
        <f>IF(A1522="","",IF(AC1522&gt;1,"REVISAR DUPLICADO",IF(AA1522&lt;&gt;"","ACTUALIZADO POR EYR","SIN REPORTE EYR")))</f>
        <v>#REF!</v>
      </c>
    </row>
    <row r="1523" spans="1:30" x14ac:dyDescent="0.3">
      <c r="A1523" s="5" t="s">
        <v>1361</v>
      </c>
      <c r="B1523" t="s">
        <v>1360</v>
      </c>
      <c r="C1523" s="4">
        <v>119488989</v>
      </c>
      <c r="D1523" t="s">
        <v>600</v>
      </c>
      <c r="F1523" t="s">
        <v>1359</v>
      </c>
      <c r="G1523" s="3">
        <v>8292329026</v>
      </c>
      <c r="H1523" s="2">
        <v>46139</v>
      </c>
      <c r="K1523" s="1">
        <f ca="1">IF(A1523="","",IF(OR(L1523="ENTREGADA",L1523="RETORNADA",L1523="ENTREGA DIGITAL"),0,MAX(0,5-NETWORKDAYS(H1523+1,TODAY()))))</f>
        <v>1</v>
      </c>
      <c r="L1523">
        <f>IF(A1523="","",IFERROR(LOOKUP(2,1/(#REF!=Z1523),#REF!),Y1523))</f>
        <v>0</v>
      </c>
      <c r="Z1523" t="str">
        <f>IF(A1523="","",TEXT(A1523,"0")&amp;"|"&amp;TEXT(H1523,"0"))</f>
        <v>4921017771763510|46139</v>
      </c>
      <c r="AA1523" t="str">
        <f>IF(Z1523="","",IFERROR(LOOKUP(2,1/(#REF!=Z1523),#REF!),""))</f>
        <v/>
      </c>
      <c r="AB1523" t="str">
        <f>IF(Z1523="","",IFERROR(LOOKUP(2,1/(#REF!=Z1523),#REF!),""))</f>
        <v/>
      </c>
      <c r="AC1523" t="e">
        <f>IF(Z1523="","",COUNTIF(#REF!,Z1523))</f>
        <v>#REF!</v>
      </c>
      <c r="AD1523" t="e">
        <f>IF(A1523="","",IF(AC1523&gt;1,"REVISAR DUPLICADO",IF(AA1523&lt;&gt;"","ACTUALIZADO POR EYR","SIN REPORTE EYR")))</f>
        <v>#REF!</v>
      </c>
    </row>
    <row r="1524" spans="1:30" x14ac:dyDescent="0.3">
      <c r="A1524" s="5" t="s">
        <v>1358</v>
      </c>
      <c r="B1524" t="s">
        <v>1357</v>
      </c>
      <c r="C1524" s="4">
        <v>40231506847</v>
      </c>
      <c r="D1524" t="s">
        <v>600</v>
      </c>
      <c r="F1524" t="s">
        <v>1356</v>
      </c>
      <c r="G1524" s="3">
        <v>8092938925</v>
      </c>
      <c r="H1524" s="2">
        <v>46139</v>
      </c>
      <c r="K1524" s="1">
        <f ca="1">IF(A1524="","",IF(OR(L1524="ENTREGADA",L1524="RETORNADA",L1524="ENTREGA DIGITAL"),0,MAX(0,5-NETWORKDAYS(H1524+1,TODAY()))))</f>
        <v>1</v>
      </c>
      <c r="L1524">
        <f>IF(A1524="","",IFERROR(LOOKUP(2,1/(#REF!=Z1524),#REF!),Y1524))</f>
        <v>0</v>
      </c>
      <c r="Z1524" t="str">
        <f>IF(A1524="","",TEXT(A1524,"0")&amp;"|"&amp;TEXT(H1524,"0"))</f>
        <v>4921017875723480|46139</v>
      </c>
      <c r="AA1524" t="str">
        <f>IF(Z1524="","",IFERROR(LOOKUP(2,1/(#REF!=Z1524),#REF!),""))</f>
        <v/>
      </c>
      <c r="AB1524" t="str">
        <f>IF(Z1524="","",IFERROR(LOOKUP(2,1/(#REF!=Z1524),#REF!),""))</f>
        <v/>
      </c>
      <c r="AC1524" t="e">
        <f>IF(Z1524="","",COUNTIF(#REF!,Z1524))</f>
        <v>#REF!</v>
      </c>
      <c r="AD1524" t="e">
        <f>IF(A1524="","",IF(AC1524&gt;1,"REVISAR DUPLICADO",IF(AA1524&lt;&gt;"","ACTUALIZADO POR EYR","SIN REPORTE EYR")))</f>
        <v>#REF!</v>
      </c>
    </row>
    <row r="1525" spans="1:30" x14ac:dyDescent="0.3">
      <c r="A1525" s="5" t="s">
        <v>1355</v>
      </c>
      <c r="B1525" t="s">
        <v>1354</v>
      </c>
      <c r="C1525" s="4">
        <v>113594352</v>
      </c>
      <c r="D1525" t="s">
        <v>600</v>
      </c>
      <c r="F1525" t="s">
        <v>0</v>
      </c>
      <c r="G1525" s="3">
        <v>8293845095</v>
      </c>
      <c r="H1525" s="2">
        <v>46139</v>
      </c>
      <c r="K1525" s="1">
        <f ca="1">IF(A1525="","",IF(OR(L1525="ENTREGADA",L1525="RETORNADA",L1525="ENTREGA DIGITAL"),0,MAX(0,5-NETWORKDAYS(H1525+1,TODAY()))))</f>
        <v>1</v>
      </c>
      <c r="L1525">
        <f>IF(A1525="","",IFERROR(LOOKUP(2,1/(#REF!=Z1525),#REF!),Y1525))</f>
        <v>0</v>
      </c>
      <c r="Z1525" t="str">
        <f>IF(A1525="","",TEXT(A1525,"0")&amp;"|"&amp;TEXT(H1525,"0"))</f>
        <v>4921017815692890|46139</v>
      </c>
      <c r="AA1525" t="str">
        <f>IF(Z1525="","",IFERROR(LOOKUP(2,1/(#REF!=Z1525),#REF!),""))</f>
        <v/>
      </c>
      <c r="AB1525" t="str">
        <f>IF(Z1525="","",IFERROR(LOOKUP(2,1/(#REF!=Z1525),#REF!),""))</f>
        <v/>
      </c>
      <c r="AC1525" t="e">
        <f>IF(Z1525="","",COUNTIF(#REF!,Z1525))</f>
        <v>#REF!</v>
      </c>
      <c r="AD1525" t="e">
        <f>IF(A1525="","",IF(AC1525&gt;1,"REVISAR DUPLICADO",IF(AA1525&lt;&gt;"","ACTUALIZADO POR EYR","SIN REPORTE EYR")))</f>
        <v>#REF!</v>
      </c>
    </row>
    <row r="1526" spans="1:30" x14ac:dyDescent="0.3">
      <c r="A1526" s="5" t="s">
        <v>1353</v>
      </c>
      <c r="B1526" t="s">
        <v>1352</v>
      </c>
      <c r="C1526" s="4">
        <v>117089136</v>
      </c>
      <c r="D1526" t="s">
        <v>600</v>
      </c>
      <c r="F1526" t="s">
        <v>13</v>
      </c>
      <c r="G1526" s="3">
        <v>8498542894</v>
      </c>
      <c r="H1526" s="2">
        <v>46139</v>
      </c>
      <c r="K1526" s="1">
        <f ca="1">IF(A1526="","",IF(OR(L1526="ENTREGADA",L1526="RETORNADA",L1526="ENTREGA DIGITAL"),0,MAX(0,5-NETWORKDAYS(H1526+1,TODAY()))))</f>
        <v>1</v>
      </c>
      <c r="L1526">
        <f>IF(A1526="","",IFERROR(LOOKUP(2,1/(#REF!=Z1526),#REF!),Y1526))</f>
        <v>0</v>
      </c>
      <c r="Z1526" t="str">
        <f>IF(A1526="","",TEXT(A1526,"0")&amp;"|"&amp;TEXT(H1526,"0"))</f>
        <v>4921017808715950|46139</v>
      </c>
      <c r="AA1526" t="str">
        <f>IF(Z1526="","",IFERROR(LOOKUP(2,1/(#REF!=Z1526),#REF!),""))</f>
        <v/>
      </c>
      <c r="AB1526" t="str">
        <f>IF(Z1526="","",IFERROR(LOOKUP(2,1/(#REF!=Z1526),#REF!),""))</f>
        <v/>
      </c>
      <c r="AC1526" t="e">
        <f>IF(Z1526="","",COUNTIF(#REF!,Z1526))</f>
        <v>#REF!</v>
      </c>
      <c r="AD1526" t="e">
        <f>IF(A1526="","",IF(AC1526&gt;1,"REVISAR DUPLICADO",IF(AA1526&lt;&gt;"","ACTUALIZADO POR EYR","SIN REPORTE EYR")))</f>
        <v>#REF!</v>
      </c>
    </row>
    <row r="1527" spans="1:30" x14ac:dyDescent="0.3">
      <c r="A1527" s="5" t="s">
        <v>1351</v>
      </c>
      <c r="B1527" t="s">
        <v>1350</v>
      </c>
      <c r="C1527" s="4">
        <v>40234308845</v>
      </c>
      <c r="D1527" t="s">
        <v>600</v>
      </c>
      <c r="F1527" t="s">
        <v>1349</v>
      </c>
      <c r="G1527" s="3">
        <v>8498528297</v>
      </c>
      <c r="H1527" s="2">
        <v>46139</v>
      </c>
      <c r="K1527" s="1">
        <f ca="1">IF(A1527="","",IF(OR(L1527="ENTREGADA",L1527="RETORNADA",L1527="ENTREGA DIGITAL"),0,MAX(0,5-NETWORKDAYS(H1527+1,TODAY()))))</f>
        <v>1</v>
      </c>
      <c r="L1527">
        <f>IF(A1527="","",IFERROR(LOOKUP(2,1/(#REF!=Z1527),#REF!),Y1527))</f>
        <v>0</v>
      </c>
      <c r="Z1527" t="str">
        <f>IF(A1527="","",TEXT(A1527,"0")&amp;"|"&amp;TEXT(H1527,"0"))</f>
        <v>4921017850457940|46139</v>
      </c>
      <c r="AA1527" t="str">
        <f>IF(Z1527="","",IFERROR(LOOKUP(2,1/(#REF!=Z1527),#REF!),""))</f>
        <v/>
      </c>
      <c r="AB1527" t="str">
        <f>IF(Z1527="","",IFERROR(LOOKUP(2,1/(#REF!=Z1527),#REF!),""))</f>
        <v/>
      </c>
      <c r="AC1527" t="e">
        <f>IF(Z1527="","",COUNTIF(#REF!,Z1527))</f>
        <v>#REF!</v>
      </c>
      <c r="AD1527" t="e">
        <f>IF(A1527="","",IF(AC1527&gt;1,"REVISAR DUPLICADO",IF(AA1527&lt;&gt;"","ACTUALIZADO POR EYR","SIN REPORTE EYR")))</f>
        <v>#REF!</v>
      </c>
    </row>
    <row r="1528" spans="1:30" x14ac:dyDescent="0.3">
      <c r="A1528" s="5" t="s">
        <v>1348</v>
      </c>
      <c r="B1528" t="s">
        <v>1347</v>
      </c>
      <c r="C1528" s="4">
        <v>40219027428</v>
      </c>
      <c r="D1528" t="s">
        <v>600</v>
      </c>
      <c r="F1528" t="s">
        <v>1346</v>
      </c>
      <c r="G1528" s="3">
        <v>8492779202</v>
      </c>
      <c r="H1528" s="2">
        <v>46139</v>
      </c>
      <c r="K1528" s="1">
        <f ca="1">IF(A1528="","",IF(OR(L1528="ENTREGADA",L1528="RETORNADA",L1528="ENTREGA DIGITAL"),0,MAX(0,5-NETWORKDAYS(H1528+1,TODAY()))))</f>
        <v>1</v>
      </c>
      <c r="L1528">
        <f>IF(A1528="","",IFERROR(LOOKUP(2,1/(#REF!=Z1528),#REF!),Y1528))</f>
        <v>0</v>
      </c>
      <c r="Z1528" t="str">
        <f>IF(A1528="","",TEXT(A1528,"0")&amp;"|"&amp;TEXT(H1528,"0"))</f>
        <v>4921017529399240|46139</v>
      </c>
      <c r="AA1528" t="str">
        <f>IF(Z1528="","",IFERROR(LOOKUP(2,1/(#REF!=Z1528),#REF!),""))</f>
        <v/>
      </c>
      <c r="AB1528" t="str">
        <f>IF(Z1528="","",IFERROR(LOOKUP(2,1/(#REF!=Z1528),#REF!),""))</f>
        <v/>
      </c>
      <c r="AC1528" t="e">
        <f>IF(Z1528="","",COUNTIF(#REF!,Z1528))</f>
        <v>#REF!</v>
      </c>
      <c r="AD1528" t="e">
        <f>IF(A1528="","",IF(AC1528&gt;1,"REVISAR DUPLICADO",IF(AA1528&lt;&gt;"","ACTUALIZADO POR EYR","SIN REPORTE EYR")))</f>
        <v>#REF!</v>
      </c>
    </row>
    <row r="1529" spans="1:30" x14ac:dyDescent="0.3">
      <c r="A1529" s="5" t="s">
        <v>1345</v>
      </c>
      <c r="B1529" t="s">
        <v>1344</v>
      </c>
      <c r="C1529" s="4">
        <v>40219316953</v>
      </c>
      <c r="D1529" t="s">
        <v>600</v>
      </c>
      <c r="F1529" t="s">
        <v>1343</v>
      </c>
      <c r="G1529" s="3">
        <v>8293242602</v>
      </c>
      <c r="H1529" s="2">
        <v>46139</v>
      </c>
      <c r="K1529" s="1">
        <f ca="1">IF(A1529="","",IF(OR(L1529="ENTREGADA",L1529="RETORNADA",L1529="ENTREGA DIGITAL"),0,MAX(0,5-NETWORKDAYS(H1529+1,TODAY()))))</f>
        <v>1</v>
      </c>
      <c r="L1529">
        <f>IF(A1529="","",IFERROR(LOOKUP(2,1/(#REF!=Z1529),#REF!),Y1529))</f>
        <v>0</v>
      </c>
      <c r="Z1529" t="str">
        <f>IF(A1529="","",TEXT(A1529,"0")&amp;"|"&amp;TEXT(H1529,"0"))</f>
        <v>5188017791612200|46139</v>
      </c>
      <c r="AA1529" t="str">
        <f>IF(Z1529="","",IFERROR(LOOKUP(2,1/(#REF!=Z1529),#REF!),""))</f>
        <v/>
      </c>
      <c r="AB1529" t="str">
        <f>IF(Z1529="","",IFERROR(LOOKUP(2,1/(#REF!=Z1529),#REF!),""))</f>
        <v/>
      </c>
      <c r="AC1529" t="e">
        <f>IF(Z1529="","",COUNTIF(#REF!,Z1529))</f>
        <v>#REF!</v>
      </c>
      <c r="AD1529" t="e">
        <f>IF(A1529="","",IF(AC1529&gt;1,"REVISAR DUPLICADO",IF(AA1529&lt;&gt;"","ACTUALIZADO POR EYR","SIN REPORTE EYR")))</f>
        <v>#REF!</v>
      </c>
    </row>
    <row r="1530" spans="1:30" x14ac:dyDescent="0.3">
      <c r="A1530" s="5" t="s">
        <v>1342</v>
      </c>
      <c r="B1530" t="s">
        <v>1341</v>
      </c>
      <c r="C1530" s="4">
        <v>40226721922</v>
      </c>
      <c r="D1530" t="s">
        <v>600</v>
      </c>
      <c r="F1530" t="s">
        <v>13</v>
      </c>
      <c r="G1530" s="3">
        <v>8094576901</v>
      </c>
      <c r="H1530" s="2">
        <v>46139</v>
      </c>
      <c r="K1530" s="1">
        <f ca="1">IF(A1530="","",IF(OR(L1530="ENTREGADA",L1530="RETORNADA",L1530="ENTREGA DIGITAL"),0,MAX(0,5-NETWORKDAYS(H1530+1,TODAY()))))</f>
        <v>1</v>
      </c>
      <c r="L1530">
        <f>IF(A1530="","",IFERROR(LOOKUP(2,1/(#REF!=Z1530),#REF!),Y1530))</f>
        <v>0</v>
      </c>
      <c r="Z1530" t="str">
        <f>IF(A1530="","",TEXT(A1530,"0")&amp;"|"&amp;TEXT(H1530,"0"))</f>
        <v>5415017904928590|46139</v>
      </c>
      <c r="AA1530" t="str">
        <f>IF(Z1530="","",IFERROR(LOOKUP(2,1/(#REF!=Z1530),#REF!),""))</f>
        <v/>
      </c>
      <c r="AB1530" t="str">
        <f>IF(Z1530="","",IFERROR(LOOKUP(2,1/(#REF!=Z1530),#REF!),""))</f>
        <v/>
      </c>
      <c r="AC1530" t="e">
        <f>IF(Z1530="","",COUNTIF(#REF!,Z1530))</f>
        <v>#REF!</v>
      </c>
      <c r="AD1530" t="e">
        <f>IF(A1530="","",IF(AC1530&gt;1,"REVISAR DUPLICADO",IF(AA1530&lt;&gt;"","ACTUALIZADO POR EYR","SIN REPORTE EYR")))</f>
        <v>#REF!</v>
      </c>
    </row>
    <row r="1531" spans="1:30" x14ac:dyDescent="0.3">
      <c r="A1531" s="5" t="s">
        <v>1340</v>
      </c>
      <c r="B1531" t="s">
        <v>1339</v>
      </c>
      <c r="C1531" s="4">
        <v>40200485072</v>
      </c>
      <c r="D1531" t="s">
        <v>600</v>
      </c>
      <c r="F1531" t="s">
        <v>1338</v>
      </c>
      <c r="G1531" s="3">
        <v>8099103711</v>
      </c>
      <c r="H1531" s="2">
        <v>46139</v>
      </c>
      <c r="K1531" s="1">
        <f ca="1">IF(A1531="","",IF(OR(L1531="ENTREGADA",L1531="RETORNADA",L1531="ENTREGA DIGITAL"),0,MAX(0,5-NETWORKDAYS(H1531+1,TODAY()))))</f>
        <v>1</v>
      </c>
      <c r="L1531">
        <f>IF(A1531="","",IFERROR(LOOKUP(2,1/(#REF!=Z1531),#REF!),Y1531))</f>
        <v>0</v>
      </c>
      <c r="Z1531" t="str">
        <f>IF(A1531="","",TEXT(A1531,"0")&amp;"|"&amp;TEXT(H1531,"0"))</f>
        <v>5415017904840300|46139</v>
      </c>
      <c r="AA1531" t="str">
        <f>IF(Z1531="","",IFERROR(LOOKUP(2,1/(#REF!=Z1531),#REF!),""))</f>
        <v/>
      </c>
      <c r="AB1531" t="str">
        <f>IF(Z1531="","",IFERROR(LOOKUP(2,1/(#REF!=Z1531),#REF!),""))</f>
        <v/>
      </c>
      <c r="AC1531" t="e">
        <f>IF(Z1531="","",COUNTIF(#REF!,Z1531))</f>
        <v>#REF!</v>
      </c>
      <c r="AD1531" t="e">
        <f>IF(A1531="","",IF(AC1531&gt;1,"REVISAR DUPLICADO",IF(AA1531&lt;&gt;"","ACTUALIZADO POR EYR","SIN REPORTE EYR")))</f>
        <v>#REF!</v>
      </c>
    </row>
    <row r="1532" spans="1:30" x14ac:dyDescent="0.3">
      <c r="A1532" s="5" t="s">
        <v>1337</v>
      </c>
      <c r="B1532" t="s">
        <v>1336</v>
      </c>
      <c r="C1532" s="4">
        <v>40215083326</v>
      </c>
      <c r="D1532" t="s">
        <v>600</v>
      </c>
      <c r="F1532" t="s">
        <v>13</v>
      </c>
      <c r="G1532" s="3">
        <v>8299174397</v>
      </c>
      <c r="H1532" s="2">
        <v>46139</v>
      </c>
      <c r="K1532" s="1">
        <f ca="1">IF(A1532="","",IF(OR(L1532="ENTREGADA",L1532="RETORNADA",L1532="ENTREGA DIGITAL"),0,MAX(0,5-NETWORKDAYS(H1532+1,TODAY()))))</f>
        <v>1</v>
      </c>
      <c r="L1532">
        <f>IF(A1532="","",IFERROR(LOOKUP(2,1/(#REF!=Z1532),#REF!),Y1532))</f>
        <v>0</v>
      </c>
      <c r="Z1532" t="str">
        <f>IF(A1532="","",TEXT(A1532,"0")&amp;"|"&amp;TEXT(H1532,"0"))</f>
        <v>5188017895037420|46139</v>
      </c>
      <c r="AA1532" t="str">
        <f>IF(Z1532="","",IFERROR(LOOKUP(2,1/(#REF!=Z1532),#REF!),""))</f>
        <v/>
      </c>
      <c r="AB1532" t="str">
        <f>IF(Z1532="","",IFERROR(LOOKUP(2,1/(#REF!=Z1532),#REF!),""))</f>
        <v/>
      </c>
      <c r="AC1532" t="e">
        <f>IF(Z1532="","",COUNTIF(#REF!,Z1532))</f>
        <v>#REF!</v>
      </c>
      <c r="AD1532" t="e">
        <f>IF(A1532="","",IF(AC1532&gt;1,"REVISAR DUPLICADO",IF(AA1532&lt;&gt;"","ACTUALIZADO POR EYR","SIN REPORTE EYR")))</f>
        <v>#REF!</v>
      </c>
    </row>
    <row r="1533" spans="1:30" x14ac:dyDescent="0.3">
      <c r="A1533" s="5" t="s">
        <v>1335</v>
      </c>
      <c r="B1533" t="s">
        <v>1334</v>
      </c>
      <c r="C1533" s="4">
        <v>117670828</v>
      </c>
      <c r="D1533" t="s">
        <v>600</v>
      </c>
      <c r="F1533" t="s">
        <v>13</v>
      </c>
      <c r="G1533" s="3">
        <v>8093711124</v>
      </c>
      <c r="H1533" s="2">
        <v>46139</v>
      </c>
      <c r="K1533" s="1">
        <f ca="1">IF(A1533="","",IF(OR(L1533="ENTREGADA",L1533="RETORNADA",L1533="ENTREGA DIGITAL"),0,MAX(0,5-NETWORKDAYS(H1533+1,TODAY()))))</f>
        <v>1</v>
      </c>
      <c r="L1533">
        <f>IF(A1533="","",IFERROR(LOOKUP(2,1/(#REF!=Z1533),#REF!),Y1533))</f>
        <v>0</v>
      </c>
      <c r="Z1533" t="str">
        <f>IF(A1533="","",TEXT(A1533,"0")&amp;"|"&amp;TEXT(H1533,"0"))</f>
        <v>4921017892584860|46139</v>
      </c>
      <c r="AA1533" t="str">
        <f>IF(Z1533="","",IFERROR(LOOKUP(2,1/(#REF!=Z1533),#REF!),""))</f>
        <v/>
      </c>
      <c r="AB1533" t="str">
        <f>IF(Z1533="","",IFERROR(LOOKUP(2,1/(#REF!=Z1533),#REF!),""))</f>
        <v/>
      </c>
      <c r="AC1533" t="e">
        <f>IF(Z1533="","",COUNTIF(#REF!,Z1533))</f>
        <v>#REF!</v>
      </c>
      <c r="AD1533" t="e">
        <f>IF(A1533="","",IF(AC1533&gt;1,"REVISAR DUPLICADO",IF(AA1533&lt;&gt;"","ACTUALIZADO POR EYR","SIN REPORTE EYR")))</f>
        <v>#REF!</v>
      </c>
    </row>
    <row r="1534" spans="1:30" x14ac:dyDescent="0.3">
      <c r="A1534" s="5" t="s">
        <v>1333</v>
      </c>
      <c r="B1534" t="s">
        <v>1332</v>
      </c>
      <c r="C1534" s="4">
        <v>119364107</v>
      </c>
      <c r="D1534" t="s">
        <v>600</v>
      </c>
      <c r="F1534" t="s">
        <v>13</v>
      </c>
      <c r="G1534" s="3">
        <v>9999999999</v>
      </c>
      <c r="H1534" s="2">
        <v>46139</v>
      </c>
      <c r="K1534" s="1">
        <f ca="1">IF(A1534="","",IF(OR(L1534="ENTREGADA",L1534="RETORNADA",L1534="ENTREGA DIGITAL"),0,MAX(0,5-NETWORKDAYS(H1534+1,TODAY()))))</f>
        <v>1</v>
      </c>
      <c r="L1534">
        <f>IF(A1534="","",IFERROR(LOOKUP(2,1/(#REF!=Z1534),#REF!),Y1534))</f>
        <v>0</v>
      </c>
      <c r="Z1534" t="str">
        <f>IF(A1534="","",TEXT(A1534,"0")&amp;"|"&amp;TEXT(H1534,"0"))</f>
        <v>4921017780364090|46139</v>
      </c>
      <c r="AA1534" t="str">
        <f>IF(Z1534="","",IFERROR(LOOKUP(2,1/(#REF!=Z1534),#REF!),""))</f>
        <v/>
      </c>
      <c r="AB1534" t="str">
        <f>IF(Z1534="","",IFERROR(LOOKUP(2,1/(#REF!=Z1534),#REF!),""))</f>
        <v/>
      </c>
      <c r="AC1534" t="e">
        <f>IF(Z1534="","",COUNTIF(#REF!,Z1534))</f>
        <v>#REF!</v>
      </c>
      <c r="AD1534" t="e">
        <f>IF(A1534="","",IF(AC1534&gt;1,"REVISAR DUPLICADO",IF(AA1534&lt;&gt;"","ACTUALIZADO POR EYR","SIN REPORTE EYR")))</f>
        <v>#REF!</v>
      </c>
    </row>
    <row r="1535" spans="1:30" x14ac:dyDescent="0.3">
      <c r="A1535" s="5" t="s">
        <v>1331</v>
      </c>
      <c r="B1535" t="s">
        <v>1330</v>
      </c>
      <c r="C1535" s="4">
        <v>22900060439</v>
      </c>
      <c r="D1535" t="s">
        <v>600</v>
      </c>
      <c r="F1535" t="s">
        <v>1329</v>
      </c>
      <c r="G1535" s="3">
        <v>8298264448</v>
      </c>
      <c r="H1535" s="2">
        <v>46139</v>
      </c>
      <c r="K1535" s="1">
        <f ca="1">IF(A1535="","",IF(OR(L1535="ENTREGADA",L1535="RETORNADA",L1535="ENTREGA DIGITAL"),0,MAX(0,5-NETWORKDAYS(H1535+1,TODAY()))))</f>
        <v>1</v>
      </c>
      <c r="L1535">
        <f>IF(A1535="","",IFERROR(LOOKUP(2,1/(#REF!=Z1535),#REF!),Y1535))</f>
        <v>0</v>
      </c>
      <c r="Z1535" t="str">
        <f>IF(A1535="","",TEXT(A1535,"0")&amp;"|"&amp;TEXT(H1535,"0"))</f>
        <v>4921017903181580|46139</v>
      </c>
      <c r="AA1535" t="str">
        <f>IF(Z1535="","",IFERROR(LOOKUP(2,1/(#REF!=Z1535),#REF!),""))</f>
        <v/>
      </c>
      <c r="AB1535" t="str">
        <f>IF(Z1535="","",IFERROR(LOOKUP(2,1/(#REF!=Z1535),#REF!),""))</f>
        <v/>
      </c>
      <c r="AC1535" t="e">
        <f>IF(Z1535="","",COUNTIF(#REF!,Z1535))</f>
        <v>#REF!</v>
      </c>
      <c r="AD1535" t="e">
        <f>IF(A1535="","",IF(AC1535&gt;1,"REVISAR DUPLICADO",IF(AA1535&lt;&gt;"","ACTUALIZADO POR EYR","SIN REPORTE EYR")))</f>
        <v>#REF!</v>
      </c>
    </row>
    <row r="1536" spans="1:30" x14ac:dyDescent="0.3">
      <c r="A1536" s="5" t="s">
        <v>1328</v>
      </c>
      <c r="B1536" t="s">
        <v>1327</v>
      </c>
      <c r="C1536" s="4">
        <v>40230037026</v>
      </c>
      <c r="D1536" t="s">
        <v>600</v>
      </c>
      <c r="F1536" t="s">
        <v>13</v>
      </c>
      <c r="G1536" s="3">
        <v>8296976292</v>
      </c>
      <c r="H1536" s="2">
        <v>46139</v>
      </c>
      <c r="K1536" s="1">
        <f ca="1">IF(A1536="","",IF(OR(L1536="ENTREGADA",L1536="RETORNADA",L1536="ENTREGA DIGITAL"),0,MAX(0,5-NETWORKDAYS(H1536+1,TODAY()))))</f>
        <v>1</v>
      </c>
      <c r="L1536">
        <f>IF(A1536="","",IFERROR(LOOKUP(2,1/(#REF!=Z1536),#REF!),Y1536))</f>
        <v>0</v>
      </c>
      <c r="Z1536" t="str">
        <f>IF(A1536="","",TEXT(A1536,"0")&amp;"|"&amp;TEXT(H1536,"0"))</f>
        <v>4921017902111440|46139</v>
      </c>
      <c r="AA1536" t="str">
        <f>IF(Z1536="","",IFERROR(LOOKUP(2,1/(#REF!=Z1536),#REF!),""))</f>
        <v/>
      </c>
      <c r="AB1536" t="str">
        <f>IF(Z1536="","",IFERROR(LOOKUP(2,1/(#REF!=Z1536),#REF!),""))</f>
        <v/>
      </c>
      <c r="AC1536" t="e">
        <f>IF(Z1536="","",COUNTIF(#REF!,Z1536))</f>
        <v>#REF!</v>
      </c>
      <c r="AD1536" t="e">
        <f>IF(A1536="","",IF(AC1536&gt;1,"REVISAR DUPLICADO",IF(AA1536&lt;&gt;"","ACTUALIZADO POR EYR","SIN REPORTE EYR")))</f>
        <v>#REF!</v>
      </c>
    </row>
    <row r="1537" spans="1:30" x14ac:dyDescent="0.3">
      <c r="A1537" s="5" t="s">
        <v>1326</v>
      </c>
      <c r="B1537" t="s">
        <v>1325</v>
      </c>
      <c r="C1537" s="4">
        <v>300752623</v>
      </c>
      <c r="D1537" t="s">
        <v>600</v>
      </c>
      <c r="F1537" t="s">
        <v>13</v>
      </c>
      <c r="G1537" s="3">
        <v>8094153707</v>
      </c>
      <c r="H1537" s="2">
        <v>46139</v>
      </c>
      <c r="K1537" s="1">
        <f ca="1">IF(A1537="","",IF(OR(L1537="ENTREGADA",L1537="RETORNADA",L1537="ENTREGA DIGITAL"),0,MAX(0,5-NETWORKDAYS(H1537+1,TODAY()))))</f>
        <v>1</v>
      </c>
      <c r="L1537">
        <f>IF(A1537="","",IFERROR(LOOKUP(2,1/(#REF!=Z1537),#REF!),Y1537))</f>
        <v>0</v>
      </c>
      <c r="Z1537" t="str">
        <f>IF(A1537="","",TEXT(A1537,"0")&amp;"|"&amp;TEXT(H1537,"0"))</f>
        <v>4966017831219570|46139</v>
      </c>
      <c r="AA1537" t="str">
        <f>IF(Z1537="","",IFERROR(LOOKUP(2,1/(#REF!=Z1537),#REF!),""))</f>
        <v/>
      </c>
      <c r="AB1537" t="str">
        <f>IF(Z1537="","",IFERROR(LOOKUP(2,1/(#REF!=Z1537),#REF!),""))</f>
        <v/>
      </c>
      <c r="AC1537" t="e">
        <f>IF(Z1537="","",COUNTIF(#REF!,Z1537))</f>
        <v>#REF!</v>
      </c>
      <c r="AD1537" t="e">
        <f>IF(A1537="","",IF(AC1537&gt;1,"REVISAR DUPLICADO",IF(AA1537&lt;&gt;"","ACTUALIZADO POR EYR","SIN REPORTE EYR")))</f>
        <v>#REF!</v>
      </c>
    </row>
    <row r="1538" spans="1:30" x14ac:dyDescent="0.3">
      <c r="A1538" s="5" t="s">
        <v>1324</v>
      </c>
      <c r="B1538" t="s">
        <v>1323</v>
      </c>
      <c r="C1538" s="4">
        <v>40214778041</v>
      </c>
      <c r="D1538" t="s">
        <v>600</v>
      </c>
      <c r="F1538" t="s">
        <v>1322</v>
      </c>
      <c r="G1538" s="3">
        <v>8296606076</v>
      </c>
      <c r="H1538" s="2">
        <v>46139</v>
      </c>
      <c r="K1538" s="1">
        <f ca="1">IF(A1538="","",IF(OR(L1538="ENTREGADA",L1538="RETORNADA",L1538="ENTREGA DIGITAL"),0,MAX(0,5-NETWORKDAYS(H1538+1,TODAY()))))</f>
        <v>1</v>
      </c>
      <c r="L1538">
        <f>IF(A1538="","",IFERROR(LOOKUP(2,1/(#REF!=Z1538),#REF!),Y1538))</f>
        <v>0</v>
      </c>
      <c r="Z1538" t="str">
        <f>IF(A1538="","",TEXT(A1538,"0")&amp;"|"&amp;TEXT(H1538,"0"))</f>
        <v>4025017909720340|46139</v>
      </c>
      <c r="AA1538" t="str">
        <f>IF(Z1538="","",IFERROR(LOOKUP(2,1/(#REF!=Z1538),#REF!),""))</f>
        <v/>
      </c>
      <c r="AB1538" t="str">
        <f>IF(Z1538="","",IFERROR(LOOKUP(2,1/(#REF!=Z1538),#REF!),""))</f>
        <v/>
      </c>
      <c r="AC1538" t="e">
        <f>IF(Z1538="","",COUNTIF(#REF!,Z1538))</f>
        <v>#REF!</v>
      </c>
      <c r="AD1538" t="e">
        <f>IF(A1538="","",IF(AC1538&gt;1,"REVISAR DUPLICADO",IF(AA1538&lt;&gt;"","ACTUALIZADO POR EYR","SIN REPORTE EYR")))</f>
        <v>#REF!</v>
      </c>
    </row>
    <row r="1539" spans="1:30" x14ac:dyDescent="0.3">
      <c r="A1539" s="5" t="s">
        <v>1321</v>
      </c>
      <c r="B1539" t="s">
        <v>1320</v>
      </c>
      <c r="C1539" s="4">
        <v>40227527336</v>
      </c>
      <c r="D1539" t="s">
        <v>600</v>
      </c>
      <c r="F1539" t="s">
        <v>1319</v>
      </c>
      <c r="G1539" s="3">
        <v>8297202665</v>
      </c>
      <c r="H1539" s="2">
        <v>46139</v>
      </c>
      <c r="K1539" s="1">
        <f ca="1">IF(A1539="","",IF(OR(L1539="ENTREGADA",L1539="RETORNADA",L1539="ENTREGA DIGITAL"),0,MAX(0,5-NETWORKDAYS(H1539+1,TODAY()))))</f>
        <v>1</v>
      </c>
      <c r="L1539">
        <f>IF(A1539="","",IFERROR(LOOKUP(2,1/(#REF!=Z1539),#REF!),Y1539))</f>
        <v>0</v>
      </c>
      <c r="Z1539" t="str">
        <f>IF(A1539="","",TEXT(A1539,"0")&amp;"|"&amp;TEXT(H1539,"0"))</f>
        <v>4921017623489480|46139</v>
      </c>
      <c r="AA1539" t="str">
        <f>IF(Z1539="","",IFERROR(LOOKUP(2,1/(#REF!=Z1539),#REF!),""))</f>
        <v/>
      </c>
      <c r="AB1539" t="str">
        <f>IF(Z1539="","",IFERROR(LOOKUP(2,1/(#REF!=Z1539),#REF!),""))</f>
        <v/>
      </c>
      <c r="AC1539" t="e">
        <f>IF(Z1539="","",COUNTIF(#REF!,Z1539))</f>
        <v>#REF!</v>
      </c>
      <c r="AD1539" t="e">
        <f>IF(A1539="","",IF(AC1539&gt;1,"REVISAR DUPLICADO",IF(AA1539&lt;&gt;"","ACTUALIZADO POR EYR","SIN REPORTE EYR")))</f>
        <v>#REF!</v>
      </c>
    </row>
    <row r="1540" spans="1:30" x14ac:dyDescent="0.3">
      <c r="A1540" s="5" t="s">
        <v>1318</v>
      </c>
      <c r="B1540" t="s">
        <v>1317</v>
      </c>
      <c r="C1540" s="4">
        <v>40229568023</v>
      </c>
      <c r="D1540" t="s">
        <v>600</v>
      </c>
      <c r="F1540" t="s">
        <v>13</v>
      </c>
      <c r="G1540" s="3">
        <v>8298521886</v>
      </c>
      <c r="H1540" s="2">
        <v>46139</v>
      </c>
      <c r="K1540" s="1">
        <f ca="1">IF(A1540="","",IF(OR(L1540="ENTREGADA",L1540="RETORNADA",L1540="ENTREGA DIGITAL"),0,MAX(0,5-NETWORKDAYS(H1540+1,TODAY()))))</f>
        <v>1</v>
      </c>
      <c r="L1540">
        <f>IF(A1540="","",IFERROR(LOOKUP(2,1/(#REF!=Z1540),#REF!),Y1540))</f>
        <v>0</v>
      </c>
      <c r="Z1540" t="str">
        <f>IF(A1540="","",TEXT(A1540,"0")&amp;"|"&amp;TEXT(H1540,"0"))</f>
        <v>5415017890150660|46139</v>
      </c>
      <c r="AA1540" t="str">
        <f>IF(Z1540="","",IFERROR(LOOKUP(2,1/(#REF!=Z1540),#REF!),""))</f>
        <v/>
      </c>
      <c r="AB1540" t="str">
        <f>IF(Z1540="","",IFERROR(LOOKUP(2,1/(#REF!=Z1540),#REF!),""))</f>
        <v/>
      </c>
      <c r="AC1540" t="e">
        <f>IF(Z1540="","",COUNTIF(#REF!,Z1540))</f>
        <v>#REF!</v>
      </c>
      <c r="AD1540" t="e">
        <f>IF(A1540="","",IF(AC1540&gt;1,"REVISAR DUPLICADO",IF(AA1540&lt;&gt;"","ACTUALIZADO POR EYR","SIN REPORTE EYR")))</f>
        <v>#REF!</v>
      </c>
    </row>
    <row r="1541" spans="1:30" x14ac:dyDescent="0.3">
      <c r="A1541" s="5" t="s">
        <v>1316</v>
      </c>
      <c r="B1541" t="s">
        <v>1315</v>
      </c>
      <c r="C1541" s="4">
        <v>40246762914</v>
      </c>
      <c r="D1541" t="s">
        <v>600</v>
      </c>
      <c r="F1541" t="s">
        <v>1314</v>
      </c>
      <c r="G1541" s="3">
        <v>8296169976</v>
      </c>
      <c r="H1541" s="2">
        <v>46139</v>
      </c>
      <c r="K1541" s="1">
        <f ca="1">IF(A1541="","",IF(OR(L1541="ENTREGADA",L1541="RETORNADA",L1541="ENTREGA DIGITAL"),0,MAX(0,5-NETWORKDAYS(H1541+1,TODAY()))))</f>
        <v>1</v>
      </c>
      <c r="L1541">
        <f>IF(A1541="","",IFERROR(LOOKUP(2,1/(#REF!=Z1541),#REF!),Y1541))</f>
        <v>0</v>
      </c>
      <c r="Z1541" t="str">
        <f>IF(A1541="","",TEXT(A1541,"0")&amp;"|"&amp;TEXT(H1541,"0"))</f>
        <v>4921017906331090|46139</v>
      </c>
      <c r="AA1541" t="str">
        <f>IF(Z1541="","",IFERROR(LOOKUP(2,1/(#REF!=Z1541),#REF!),""))</f>
        <v/>
      </c>
      <c r="AB1541" t="str">
        <f>IF(Z1541="","",IFERROR(LOOKUP(2,1/(#REF!=Z1541),#REF!),""))</f>
        <v/>
      </c>
      <c r="AC1541" t="e">
        <f>IF(Z1541="","",COUNTIF(#REF!,Z1541))</f>
        <v>#REF!</v>
      </c>
      <c r="AD1541" t="e">
        <f>IF(A1541="","",IF(AC1541&gt;1,"REVISAR DUPLICADO",IF(AA1541&lt;&gt;"","ACTUALIZADO POR EYR","SIN REPORTE EYR")))</f>
        <v>#REF!</v>
      </c>
    </row>
    <row r="1542" spans="1:30" x14ac:dyDescent="0.3">
      <c r="A1542" s="5" t="s">
        <v>1313</v>
      </c>
      <c r="B1542" t="s">
        <v>1312</v>
      </c>
      <c r="C1542" s="4">
        <v>40229829888</v>
      </c>
      <c r="D1542" t="s">
        <v>600</v>
      </c>
      <c r="F1542" t="s">
        <v>1311</v>
      </c>
      <c r="G1542" s="3">
        <v>8098999683</v>
      </c>
      <c r="H1542" s="2">
        <v>46139</v>
      </c>
      <c r="K1542" s="1">
        <f ca="1">IF(A1542="","",IF(OR(L1542="ENTREGADA",L1542="RETORNADA",L1542="ENTREGA DIGITAL"),0,MAX(0,5-NETWORKDAYS(H1542+1,TODAY()))))</f>
        <v>1</v>
      </c>
      <c r="L1542">
        <f>IF(A1542="","",IFERROR(LOOKUP(2,1/(#REF!=Z1542),#REF!),Y1542))</f>
        <v>0</v>
      </c>
      <c r="Z1542" t="str">
        <f>IF(A1542="","",TEXT(A1542,"0")&amp;"|"&amp;TEXT(H1542,"0"))</f>
        <v>5415017904870350|46139</v>
      </c>
      <c r="AA1542" t="str">
        <f>IF(Z1542="","",IFERROR(LOOKUP(2,1/(#REF!=Z1542),#REF!),""))</f>
        <v/>
      </c>
      <c r="AB1542" t="str">
        <f>IF(Z1542="","",IFERROR(LOOKUP(2,1/(#REF!=Z1542),#REF!),""))</f>
        <v/>
      </c>
      <c r="AC1542" t="e">
        <f>IF(Z1542="","",COUNTIF(#REF!,Z1542))</f>
        <v>#REF!</v>
      </c>
      <c r="AD1542" t="e">
        <f>IF(A1542="","",IF(AC1542&gt;1,"REVISAR DUPLICADO",IF(AA1542&lt;&gt;"","ACTUALIZADO POR EYR","SIN REPORTE EYR")))</f>
        <v>#REF!</v>
      </c>
    </row>
    <row r="1543" spans="1:30" x14ac:dyDescent="0.3">
      <c r="A1543" s="5" t="s">
        <v>1310</v>
      </c>
      <c r="B1543" t="s">
        <v>1309</v>
      </c>
      <c r="C1543" s="4">
        <v>40230012573</v>
      </c>
      <c r="D1543" t="s">
        <v>600</v>
      </c>
      <c r="F1543" t="s">
        <v>1308</v>
      </c>
      <c r="G1543" s="3">
        <v>8097589081</v>
      </c>
      <c r="H1543" s="2">
        <v>46139</v>
      </c>
      <c r="K1543" s="1">
        <f ca="1">IF(A1543="","",IF(OR(L1543="ENTREGADA",L1543="RETORNADA",L1543="ENTREGA DIGITAL"),0,MAX(0,5-NETWORKDAYS(H1543+1,TODAY()))))</f>
        <v>1</v>
      </c>
      <c r="L1543">
        <f>IF(A1543="","",IFERROR(LOOKUP(2,1/(#REF!=Z1543),#REF!),Y1543))</f>
        <v>0</v>
      </c>
      <c r="Z1543" t="str">
        <f>IF(A1543="","",TEXT(A1543,"0")&amp;"|"&amp;TEXT(H1543,"0"))</f>
        <v>5415017904735460|46139</v>
      </c>
      <c r="AA1543" t="str">
        <f>IF(Z1543="","",IFERROR(LOOKUP(2,1/(#REF!=Z1543),#REF!),""))</f>
        <v/>
      </c>
      <c r="AB1543" t="str">
        <f>IF(Z1543="","",IFERROR(LOOKUP(2,1/(#REF!=Z1543),#REF!),""))</f>
        <v/>
      </c>
      <c r="AC1543" t="e">
        <f>IF(Z1543="","",COUNTIF(#REF!,Z1543))</f>
        <v>#REF!</v>
      </c>
      <c r="AD1543" t="e">
        <f>IF(A1543="","",IF(AC1543&gt;1,"REVISAR DUPLICADO",IF(AA1543&lt;&gt;"","ACTUALIZADO POR EYR","SIN REPORTE EYR")))</f>
        <v>#REF!</v>
      </c>
    </row>
    <row r="1544" spans="1:30" x14ac:dyDescent="0.3">
      <c r="A1544" s="5" t="s">
        <v>1307</v>
      </c>
      <c r="B1544" t="s">
        <v>1306</v>
      </c>
      <c r="C1544" s="4">
        <v>40215835063</v>
      </c>
      <c r="D1544" t="s">
        <v>600</v>
      </c>
      <c r="F1544" t="s">
        <v>13</v>
      </c>
      <c r="G1544" s="3">
        <v>8293703125</v>
      </c>
      <c r="H1544" s="2">
        <v>46139</v>
      </c>
      <c r="K1544" s="1">
        <f ca="1">IF(A1544="","",IF(OR(L1544="ENTREGADA",L1544="RETORNADA",L1544="ENTREGA DIGITAL"),0,MAX(0,5-NETWORKDAYS(H1544+1,TODAY()))))</f>
        <v>1</v>
      </c>
      <c r="L1544">
        <f>IF(A1544="","",IFERROR(LOOKUP(2,1/(#REF!=Z1544),#REF!),Y1544))</f>
        <v>0</v>
      </c>
      <c r="Z1544" t="str">
        <f>IF(A1544="","",TEXT(A1544,"0")&amp;"|"&amp;TEXT(H1544,"0"))</f>
        <v>4921017908403720|46139</v>
      </c>
      <c r="AA1544" t="str">
        <f>IF(Z1544="","",IFERROR(LOOKUP(2,1/(#REF!=Z1544),#REF!),""))</f>
        <v/>
      </c>
      <c r="AB1544" t="str">
        <f>IF(Z1544="","",IFERROR(LOOKUP(2,1/(#REF!=Z1544),#REF!),""))</f>
        <v/>
      </c>
      <c r="AC1544" t="e">
        <f>IF(Z1544="","",COUNTIF(#REF!,Z1544))</f>
        <v>#REF!</v>
      </c>
      <c r="AD1544" t="e">
        <f>IF(A1544="","",IF(AC1544&gt;1,"REVISAR DUPLICADO",IF(AA1544&lt;&gt;"","ACTUALIZADO POR EYR","SIN REPORTE EYR")))</f>
        <v>#REF!</v>
      </c>
    </row>
    <row r="1545" spans="1:30" x14ac:dyDescent="0.3">
      <c r="A1545" s="5" t="s">
        <v>1305</v>
      </c>
      <c r="B1545" t="s">
        <v>1304</v>
      </c>
      <c r="C1545" s="4">
        <v>40212899922</v>
      </c>
      <c r="D1545" t="s">
        <v>600</v>
      </c>
      <c r="F1545" t="s">
        <v>13</v>
      </c>
      <c r="G1545" s="3">
        <v>8293018271</v>
      </c>
      <c r="H1545" s="2">
        <v>46139</v>
      </c>
      <c r="K1545" s="1">
        <f ca="1">IF(A1545="","",IF(OR(L1545="ENTREGADA",L1545="RETORNADA",L1545="ENTREGA DIGITAL"),0,MAX(0,5-NETWORKDAYS(H1545+1,TODAY()))))</f>
        <v>1</v>
      </c>
      <c r="L1545">
        <f>IF(A1545="","",IFERROR(LOOKUP(2,1/(#REF!=Z1545),#REF!),Y1545))</f>
        <v>0</v>
      </c>
      <c r="Z1545" t="str">
        <f>IF(A1545="","",TEXT(A1545,"0")&amp;"|"&amp;TEXT(H1545,"0"))</f>
        <v>5415017904890410|46139</v>
      </c>
      <c r="AA1545" t="str">
        <f>IF(Z1545="","",IFERROR(LOOKUP(2,1/(#REF!=Z1545),#REF!),""))</f>
        <v/>
      </c>
      <c r="AB1545" t="str">
        <f>IF(Z1545="","",IFERROR(LOOKUP(2,1/(#REF!=Z1545),#REF!),""))</f>
        <v/>
      </c>
      <c r="AC1545" t="e">
        <f>IF(Z1545="","",COUNTIF(#REF!,Z1545))</f>
        <v>#REF!</v>
      </c>
      <c r="AD1545" t="e">
        <f>IF(A1545="","",IF(AC1545&gt;1,"REVISAR DUPLICADO",IF(AA1545&lt;&gt;"","ACTUALIZADO POR EYR","SIN REPORTE EYR")))</f>
        <v>#REF!</v>
      </c>
    </row>
    <row r="1546" spans="1:30" x14ac:dyDescent="0.3">
      <c r="A1546" s="5" t="s">
        <v>1303</v>
      </c>
      <c r="B1546" t="s">
        <v>1302</v>
      </c>
      <c r="C1546" s="4">
        <v>40229660176</v>
      </c>
      <c r="D1546" t="s">
        <v>600</v>
      </c>
      <c r="F1546" t="s">
        <v>1301</v>
      </c>
      <c r="G1546" s="3">
        <v>8496399821</v>
      </c>
      <c r="H1546" s="2">
        <v>46139</v>
      </c>
      <c r="K1546" s="1">
        <f ca="1">IF(A1546="","",IF(OR(L1546="ENTREGADA",L1546="RETORNADA",L1546="ENTREGA DIGITAL"),0,MAX(0,5-NETWORKDAYS(H1546+1,TODAY()))))</f>
        <v>1</v>
      </c>
      <c r="L1546">
        <f>IF(A1546="","",IFERROR(LOOKUP(2,1/(#REF!=Z1546),#REF!),Y1546))</f>
        <v>0</v>
      </c>
      <c r="Z1546" t="str">
        <f>IF(A1546="","",TEXT(A1546,"0")&amp;"|"&amp;TEXT(H1546,"0"))</f>
        <v>4921017903042850|46139</v>
      </c>
      <c r="AA1546" t="str">
        <f>IF(Z1546="","",IFERROR(LOOKUP(2,1/(#REF!=Z1546),#REF!),""))</f>
        <v/>
      </c>
      <c r="AB1546" t="str">
        <f>IF(Z1546="","",IFERROR(LOOKUP(2,1/(#REF!=Z1546),#REF!),""))</f>
        <v/>
      </c>
      <c r="AC1546" t="e">
        <f>IF(Z1546="","",COUNTIF(#REF!,Z1546))</f>
        <v>#REF!</v>
      </c>
      <c r="AD1546" t="e">
        <f>IF(A1546="","",IF(AC1546&gt;1,"REVISAR DUPLICADO",IF(AA1546&lt;&gt;"","ACTUALIZADO POR EYR","SIN REPORTE EYR")))</f>
        <v>#REF!</v>
      </c>
    </row>
    <row r="1547" spans="1:30" x14ac:dyDescent="0.3">
      <c r="A1547" s="5" t="s">
        <v>1300</v>
      </c>
      <c r="B1547" t="s">
        <v>1299</v>
      </c>
      <c r="C1547" s="4">
        <v>40236155327</v>
      </c>
      <c r="D1547" t="s">
        <v>600</v>
      </c>
      <c r="F1547" t="s">
        <v>1290</v>
      </c>
      <c r="G1547" s="3">
        <v>8293980910</v>
      </c>
      <c r="H1547" s="2">
        <v>46139</v>
      </c>
      <c r="K1547" s="1">
        <f ca="1">IF(A1547="","",IF(OR(L1547="ENTREGADA",L1547="RETORNADA",L1547="ENTREGA DIGITAL"),0,MAX(0,5-NETWORKDAYS(H1547+1,TODAY()))))</f>
        <v>1</v>
      </c>
      <c r="L1547">
        <f>IF(A1547="","",IFERROR(LOOKUP(2,1/(#REF!=Z1547),#REF!),Y1547))</f>
        <v>0</v>
      </c>
      <c r="Z1547" t="str">
        <f>IF(A1547="","",TEXT(A1547,"0")&amp;"|"&amp;TEXT(H1547,"0"))</f>
        <v>5188017905761860|46139</v>
      </c>
      <c r="AA1547" t="str">
        <f>IF(Z1547="","",IFERROR(LOOKUP(2,1/(#REF!=Z1547),#REF!),""))</f>
        <v/>
      </c>
      <c r="AB1547" t="str">
        <f>IF(Z1547="","",IFERROR(LOOKUP(2,1/(#REF!=Z1547),#REF!),""))</f>
        <v/>
      </c>
      <c r="AC1547" t="e">
        <f>IF(Z1547="","",COUNTIF(#REF!,Z1547))</f>
        <v>#REF!</v>
      </c>
      <c r="AD1547" t="e">
        <f>IF(A1547="","",IF(AC1547&gt;1,"REVISAR DUPLICADO",IF(AA1547&lt;&gt;"","ACTUALIZADO POR EYR","SIN REPORTE EYR")))</f>
        <v>#REF!</v>
      </c>
    </row>
    <row r="1548" spans="1:30" x14ac:dyDescent="0.3">
      <c r="A1548" s="5" t="s">
        <v>1298</v>
      </c>
      <c r="B1548" t="s">
        <v>1297</v>
      </c>
      <c r="C1548" s="4">
        <v>40229291188</v>
      </c>
      <c r="D1548" t="s">
        <v>600</v>
      </c>
      <c r="F1548" t="s">
        <v>1296</v>
      </c>
      <c r="G1548" s="3">
        <v>8494363443</v>
      </c>
      <c r="H1548" s="2">
        <v>46139</v>
      </c>
      <c r="K1548" s="1">
        <f ca="1">IF(A1548="","",IF(OR(L1548="ENTREGADA",L1548="RETORNADA",L1548="ENTREGA DIGITAL"),0,MAX(0,5-NETWORKDAYS(H1548+1,TODAY()))))</f>
        <v>1</v>
      </c>
      <c r="L1548">
        <f>IF(A1548="","",IFERROR(LOOKUP(2,1/(#REF!=Z1548),#REF!),Y1548))</f>
        <v>0</v>
      </c>
      <c r="Z1548" t="str">
        <f>IF(A1548="","",TEXT(A1548,"0")&amp;"|"&amp;TEXT(H1548,"0"))</f>
        <v>5188017905753830|46139</v>
      </c>
      <c r="AA1548" t="str">
        <f>IF(Z1548="","",IFERROR(LOOKUP(2,1/(#REF!=Z1548),#REF!),""))</f>
        <v/>
      </c>
      <c r="AB1548" t="str">
        <f>IF(Z1548="","",IFERROR(LOOKUP(2,1/(#REF!=Z1548),#REF!),""))</f>
        <v/>
      </c>
      <c r="AC1548" t="e">
        <f>IF(Z1548="","",COUNTIF(#REF!,Z1548))</f>
        <v>#REF!</v>
      </c>
      <c r="AD1548" t="e">
        <f>IF(A1548="","",IF(AC1548&gt;1,"REVISAR DUPLICADO",IF(AA1548&lt;&gt;"","ACTUALIZADO POR EYR","SIN REPORTE EYR")))</f>
        <v>#REF!</v>
      </c>
    </row>
    <row r="1549" spans="1:30" x14ac:dyDescent="0.3">
      <c r="A1549" s="5" t="s">
        <v>1295</v>
      </c>
      <c r="B1549" t="s">
        <v>1294</v>
      </c>
      <c r="C1549" s="4">
        <v>40233099965</v>
      </c>
      <c r="D1549" t="s">
        <v>600</v>
      </c>
      <c r="F1549" t="s">
        <v>1293</v>
      </c>
      <c r="G1549" s="3">
        <v>8298583083</v>
      </c>
      <c r="H1549" s="2">
        <v>46139</v>
      </c>
      <c r="K1549" s="1">
        <f ca="1">IF(A1549="","",IF(OR(L1549="ENTREGADA",L1549="RETORNADA",L1549="ENTREGA DIGITAL"),0,MAX(0,5-NETWORKDAYS(H1549+1,TODAY()))))</f>
        <v>1</v>
      </c>
      <c r="L1549">
        <f>IF(A1549="","",IFERROR(LOOKUP(2,1/(#REF!=Z1549),#REF!),Y1549))</f>
        <v>0</v>
      </c>
      <c r="Z1549" t="str">
        <f>IF(A1549="","",TEXT(A1549,"0")&amp;"|"&amp;TEXT(H1549,"0"))</f>
        <v>5415017904007260|46139</v>
      </c>
      <c r="AA1549" t="str">
        <f>IF(Z1549="","",IFERROR(LOOKUP(2,1/(#REF!=Z1549),#REF!),""))</f>
        <v/>
      </c>
      <c r="AB1549" t="str">
        <f>IF(Z1549="","",IFERROR(LOOKUP(2,1/(#REF!=Z1549),#REF!),""))</f>
        <v/>
      </c>
      <c r="AC1549" t="e">
        <f>IF(Z1549="","",COUNTIF(#REF!,Z1549))</f>
        <v>#REF!</v>
      </c>
      <c r="AD1549" t="e">
        <f>IF(A1549="","",IF(AC1549&gt;1,"REVISAR DUPLICADO",IF(AA1549&lt;&gt;"","ACTUALIZADO POR EYR","SIN REPORTE EYR")))</f>
        <v>#REF!</v>
      </c>
    </row>
    <row r="1550" spans="1:30" x14ac:dyDescent="0.3">
      <c r="A1550" s="5" t="s">
        <v>1292</v>
      </c>
      <c r="B1550" t="s">
        <v>1291</v>
      </c>
      <c r="C1550" s="4">
        <v>6700139253</v>
      </c>
      <c r="D1550" t="s">
        <v>600</v>
      </c>
      <c r="F1550" t="s">
        <v>1290</v>
      </c>
      <c r="G1550" s="3">
        <v>8295866885</v>
      </c>
      <c r="H1550" s="2">
        <v>46139</v>
      </c>
      <c r="K1550" s="1">
        <f ca="1">IF(A1550="","",IF(OR(L1550="ENTREGADA",L1550="RETORNADA",L1550="ENTREGA DIGITAL"),0,MAX(0,5-NETWORKDAYS(H1550+1,TODAY()))))</f>
        <v>1</v>
      </c>
      <c r="L1550">
        <f>IF(A1550="","",IFERROR(LOOKUP(2,1/(#REF!=Z1550),#REF!),Y1550))</f>
        <v>0</v>
      </c>
      <c r="Z1550" t="str">
        <f>IF(A1550="","",TEXT(A1550,"0")&amp;"|"&amp;TEXT(H1550,"0"))</f>
        <v>4921017913347800|46139</v>
      </c>
      <c r="AA1550" t="str">
        <f>IF(Z1550="","",IFERROR(LOOKUP(2,1/(#REF!=Z1550),#REF!),""))</f>
        <v/>
      </c>
      <c r="AB1550" t="str">
        <f>IF(Z1550="","",IFERROR(LOOKUP(2,1/(#REF!=Z1550),#REF!),""))</f>
        <v/>
      </c>
      <c r="AC1550" t="e">
        <f>IF(Z1550="","",COUNTIF(#REF!,Z1550))</f>
        <v>#REF!</v>
      </c>
      <c r="AD1550" t="e">
        <f>IF(A1550="","",IF(AC1550&gt;1,"REVISAR DUPLICADO",IF(AA1550&lt;&gt;"","ACTUALIZADO POR EYR","SIN REPORTE EYR")))</f>
        <v>#REF!</v>
      </c>
    </row>
    <row r="1551" spans="1:30" x14ac:dyDescent="0.3">
      <c r="A1551" s="5" t="s">
        <v>1289</v>
      </c>
      <c r="B1551" t="s">
        <v>1288</v>
      </c>
      <c r="C1551" s="4">
        <v>117642298</v>
      </c>
      <c r="D1551" t="s">
        <v>600</v>
      </c>
      <c r="F1551" t="s">
        <v>13</v>
      </c>
      <c r="G1551" s="3">
        <v>8299079529</v>
      </c>
      <c r="H1551" s="2">
        <v>46139</v>
      </c>
      <c r="K1551" s="1">
        <f ca="1">IF(A1551="","",IF(OR(L1551="ENTREGADA",L1551="RETORNADA",L1551="ENTREGA DIGITAL"),0,MAX(0,5-NETWORKDAYS(H1551+1,TODAY()))))</f>
        <v>1</v>
      </c>
      <c r="L1551">
        <f>IF(A1551="","",IFERROR(LOOKUP(2,1/(#REF!=Z1551),#REF!),Y1551))</f>
        <v>0</v>
      </c>
      <c r="Z1551" t="str">
        <f>IF(A1551="","",TEXT(A1551,"0")&amp;"|"&amp;TEXT(H1551,"0"))</f>
        <v>5549017868368990|46139</v>
      </c>
      <c r="AA1551" t="str">
        <f>IF(Z1551="","",IFERROR(LOOKUP(2,1/(#REF!=Z1551),#REF!),""))</f>
        <v/>
      </c>
      <c r="AB1551" t="str">
        <f>IF(Z1551="","",IFERROR(LOOKUP(2,1/(#REF!=Z1551),#REF!),""))</f>
        <v/>
      </c>
      <c r="AC1551" t="e">
        <f>IF(Z1551="","",COUNTIF(#REF!,Z1551))</f>
        <v>#REF!</v>
      </c>
      <c r="AD1551" t="e">
        <f>IF(A1551="","",IF(AC1551&gt;1,"REVISAR DUPLICADO",IF(AA1551&lt;&gt;"","ACTUALIZADO POR EYR","SIN REPORTE EYR")))</f>
        <v>#REF!</v>
      </c>
    </row>
    <row r="1552" spans="1:30" x14ac:dyDescent="0.3">
      <c r="A1552" s="5" t="s">
        <v>1287</v>
      </c>
      <c r="B1552" t="s">
        <v>1286</v>
      </c>
      <c r="C1552" s="4">
        <v>2801005287</v>
      </c>
      <c r="D1552" t="s">
        <v>77</v>
      </c>
      <c r="F1552" t="s">
        <v>1285</v>
      </c>
      <c r="G1552" s="3">
        <v>6733235</v>
      </c>
      <c r="H1552" s="2">
        <v>46139</v>
      </c>
      <c r="K1552" s="1">
        <f ca="1">IF(A1552="","",IF(OR(L1552="ENTREGADA",L1552="RETORNADA",L1552="ENTREGA DIGITAL"),0,MAX(0,5-NETWORKDAYS(H1552+1,TODAY()))))</f>
        <v>1</v>
      </c>
      <c r="L1552">
        <f>IF(A1552="","",IFERROR(LOOKUP(2,1/(#REF!=Z1552),#REF!),Y1552))</f>
        <v>0</v>
      </c>
      <c r="Z1552" t="str">
        <f>IF(A1552="","",TEXT(A1552,"0")&amp;"|"&amp;TEXT(H1552,"0"))</f>
        <v>4921017912220900|46139</v>
      </c>
      <c r="AA1552" t="str">
        <f>IF(Z1552="","",IFERROR(LOOKUP(2,1/(#REF!=Z1552),#REF!),""))</f>
        <v/>
      </c>
      <c r="AB1552" t="str">
        <f>IF(Z1552="","",IFERROR(LOOKUP(2,1/(#REF!=Z1552),#REF!),""))</f>
        <v/>
      </c>
      <c r="AC1552" t="e">
        <f>IF(Z1552="","",COUNTIF(#REF!,Z1552))</f>
        <v>#REF!</v>
      </c>
      <c r="AD1552" t="e">
        <f>IF(A1552="","",IF(AC1552&gt;1,"REVISAR DUPLICADO",IF(AA1552&lt;&gt;"","ACTUALIZADO POR EYR","SIN REPORTE EYR")))</f>
        <v>#REF!</v>
      </c>
    </row>
    <row r="1553" spans="1:30" x14ac:dyDescent="0.3">
      <c r="A1553" s="5" t="s">
        <v>1284</v>
      </c>
      <c r="B1553" t="s">
        <v>1283</v>
      </c>
      <c r="C1553" s="4">
        <v>40210233181</v>
      </c>
      <c r="D1553" t="s">
        <v>77</v>
      </c>
      <c r="F1553" t="s">
        <v>135</v>
      </c>
      <c r="G1553" s="3">
        <v>8099015137</v>
      </c>
      <c r="H1553" s="2">
        <v>46139</v>
      </c>
      <c r="K1553" s="1">
        <f ca="1">IF(A1553="","",IF(OR(L1553="ENTREGADA",L1553="RETORNADA",L1553="ENTREGA DIGITAL"),0,MAX(0,5-NETWORKDAYS(H1553+1,TODAY()))))</f>
        <v>1</v>
      </c>
      <c r="L1553">
        <f>IF(A1553="","",IFERROR(LOOKUP(2,1/(#REF!=Z1553),#REF!),Y1553))</f>
        <v>0</v>
      </c>
      <c r="Z1553" t="str">
        <f>IF(A1553="","",TEXT(A1553,"0")&amp;"|"&amp;TEXT(H1553,"0"))</f>
        <v>5188017911197270|46139</v>
      </c>
      <c r="AA1553" t="str">
        <f>IF(Z1553="","",IFERROR(LOOKUP(2,1/(#REF!=Z1553),#REF!),""))</f>
        <v/>
      </c>
      <c r="AB1553" t="str">
        <f>IF(Z1553="","",IFERROR(LOOKUP(2,1/(#REF!=Z1553),#REF!),""))</f>
        <v/>
      </c>
      <c r="AC1553" t="e">
        <f>IF(Z1553="","",COUNTIF(#REF!,Z1553))</f>
        <v>#REF!</v>
      </c>
      <c r="AD1553" t="e">
        <f>IF(A1553="","",IF(AC1553&gt;1,"REVISAR DUPLICADO",IF(AA1553&lt;&gt;"","ACTUALIZADO POR EYR","SIN REPORTE EYR")))</f>
        <v>#REF!</v>
      </c>
    </row>
    <row r="1554" spans="1:30" x14ac:dyDescent="0.3">
      <c r="A1554" s="5" t="s">
        <v>1282</v>
      </c>
      <c r="B1554" t="s">
        <v>1281</v>
      </c>
      <c r="C1554" s="4">
        <v>40201223217</v>
      </c>
      <c r="D1554" t="s">
        <v>77</v>
      </c>
      <c r="F1554" t="s">
        <v>1280</v>
      </c>
      <c r="G1554" s="3">
        <v>8494696949</v>
      </c>
      <c r="H1554" s="2">
        <v>46139</v>
      </c>
      <c r="K1554" s="1">
        <f ca="1">IF(A1554="","",IF(OR(L1554="ENTREGADA",L1554="RETORNADA",L1554="ENTREGA DIGITAL"),0,MAX(0,5-NETWORKDAYS(H1554+1,TODAY()))))</f>
        <v>1</v>
      </c>
      <c r="L1554">
        <f>IF(A1554="","",IFERROR(LOOKUP(2,1/(#REF!=Z1554),#REF!),Y1554))</f>
        <v>0</v>
      </c>
      <c r="Z1554" t="str">
        <f>IF(A1554="","",TEXT(A1554,"0")&amp;"|"&amp;TEXT(H1554,"0"))</f>
        <v>4921017912801530|46139</v>
      </c>
      <c r="AA1554" t="str">
        <f>IF(Z1554="","",IFERROR(LOOKUP(2,1/(#REF!=Z1554),#REF!),""))</f>
        <v/>
      </c>
      <c r="AB1554" t="str">
        <f>IF(Z1554="","",IFERROR(LOOKUP(2,1/(#REF!=Z1554),#REF!),""))</f>
        <v/>
      </c>
      <c r="AC1554" t="e">
        <f>IF(Z1554="","",COUNTIF(#REF!,Z1554))</f>
        <v>#REF!</v>
      </c>
      <c r="AD1554" t="e">
        <f>IF(A1554="","",IF(AC1554&gt;1,"REVISAR DUPLICADO",IF(AA1554&lt;&gt;"","ACTUALIZADO POR EYR","SIN REPORTE EYR")))</f>
        <v>#REF!</v>
      </c>
    </row>
    <row r="1555" spans="1:30" x14ac:dyDescent="0.3">
      <c r="A1555" s="5" t="s">
        <v>1279</v>
      </c>
      <c r="B1555" t="s">
        <v>1278</v>
      </c>
      <c r="C1555" s="4">
        <v>40214578409</v>
      </c>
      <c r="D1555" t="s">
        <v>77</v>
      </c>
      <c r="F1555" t="s">
        <v>13</v>
      </c>
      <c r="G1555" s="3">
        <v>8299421844</v>
      </c>
      <c r="H1555" s="2">
        <v>46139</v>
      </c>
      <c r="K1555" s="1">
        <f ca="1">IF(A1555="","",IF(OR(L1555="ENTREGADA",L1555="RETORNADA",L1555="ENTREGA DIGITAL"),0,MAX(0,5-NETWORKDAYS(H1555+1,TODAY()))))</f>
        <v>1</v>
      </c>
      <c r="L1555">
        <f>IF(A1555="","",IFERROR(LOOKUP(2,1/(#REF!=Z1555),#REF!),Y1555))</f>
        <v>0</v>
      </c>
      <c r="Z1555" t="str">
        <f>IF(A1555="","",TEXT(A1555,"0")&amp;"|"&amp;TEXT(H1555,"0"))</f>
        <v>4921017913291070|46139</v>
      </c>
      <c r="AA1555" t="str">
        <f>IF(Z1555="","",IFERROR(LOOKUP(2,1/(#REF!=Z1555),#REF!),""))</f>
        <v/>
      </c>
      <c r="AB1555" t="str">
        <f>IF(Z1555="","",IFERROR(LOOKUP(2,1/(#REF!=Z1555),#REF!),""))</f>
        <v/>
      </c>
      <c r="AC1555" t="e">
        <f>IF(Z1555="","",COUNTIF(#REF!,Z1555))</f>
        <v>#REF!</v>
      </c>
      <c r="AD1555" t="e">
        <f>IF(A1555="","",IF(AC1555&gt;1,"REVISAR DUPLICADO",IF(AA1555&lt;&gt;"","ACTUALIZADO POR EYR","SIN REPORTE EYR")))</f>
        <v>#REF!</v>
      </c>
    </row>
    <row r="1556" spans="1:30" x14ac:dyDescent="0.3">
      <c r="A1556" s="5" t="s">
        <v>1277</v>
      </c>
      <c r="B1556" t="s">
        <v>1276</v>
      </c>
      <c r="C1556" s="4">
        <v>104044151</v>
      </c>
      <c r="D1556" t="s">
        <v>77</v>
      </c>
      <c r="E1556" t="s">
        <v>214</v>
      </c>
      <c r="F1556" t="s">
        <v>391</v>
      </c>
      <c r="G1556" s="3">
        <v>8095073669</v>
      </c>
      <c r="H1556" s="2">
        <v>46139</v>
      </c>
      <c r="K1556" s="1">
        <f ca="1">IF(A1556="","",IF(OR(L1556="ENTREGADA",L1556="RETORNADA",L1556="ENTREGA DIGITAL"),0,MAX(0,5-NETWORKDAYS(H1556+1,TODAY()))))</f>
        <v>1</v>
      </c>
      <c r="L1556">
        <f>IF(A1556="","",IFERROR(LOOKUP(2,1/(#REF!=Z1556),#REF!),Y1556))</f>
        <v>0</v>
      </c>
      <c r="Z1556" t="str">
        <f>IF(A1556="","",TEXT(A1556,"0")&amp;"|"&amp;TEXT(H1556,"0"))</f>
        <v>4025017913514200|46139</v>
      </c>
      <c r="AA1556" t="str">
        <f>IF(Z1556="","",IFERROR(LOOKUP(2,1/(#REF!=Z1556),#REF!),""))</f>
        <v/>
      </c>
      <c r="AB1556" t="str">
        <f>IF(Z1556="","",IFERROR(LOOKUP(2,1/(#REF!=Z1556),#REF!),""))</f>
        <v/>
      </c>
      <c r="AC1556" t="e">
        <f>IF(Z1556="","",COUNTIF(#REF!,Z1556))</f>
        <v>#REF!</v>
      </c>
      <c r="AD1556" t="e">
        <f>IF(A1556="","",IF(AC1556&gt;1,"REVISAR DUPLICADO",IF(AA1556&lt;&gt;"","ACTUALIZADO POR EYR","SIN REPORTE EYR")))</f>
        <v>#REF!</v>
      </c>
    </row>
    <row r="1557" spans="1:30" x14ac:dyDescent="0.3">
      <c r="A1557" s="5" t="s">
        <v>1275</v>
      </c>
      <c r="B1557" t="s">
        <v>1274</v>
      </c>
      <c r="C1557" s="4">
        <v>6800559772</v>
      </c>
      <c r="D1557" t="s">
        <v>77</v>
      </c>
      <c r="F1557" t="s">
        <v>13</v>
      </c>
      <c r="G1557" s="3">
        <v>8498523936</v>
      </c>
      <c r="H1557" s="2">
        <v>46139</v>
      </c>
      <c r="K1557" s="1">
        <f ca="1">IF(A1557="","",IF(OR(L1557="ENTREGADA",L1557="RETORNADA",L1557="ENTREGA DIGITAL"),0,MAX(0,5-NETWORKDAYS(H1557+1,TODAY()))))</f>
        <v>1</v>
      </c>
      <c r="L1557">
        <f>IF(A1557="","",IFERROR(LOOKUP(2,1/(#REF!=Z1557),#REF!),Y1557))</f>
        <v>0</v>
      </c>
      <c r="Z1557" t="str">
        <f>IF(A1557="","",TEXT(A1557,"0")&amp;"|"&amp;TEXT(H1557,"0"))</f>
        <v>5415017910717360|46139</v>
      </c>
      <c r="AA1557" t="str">
        <f>IF(Z1557="","",IFERROR(LOOKUP(2,1/(#REF!=Z1557),#REF!),""))</f>
        <v/>
      </c>
      <c r="AB1557" t="str">
        <f>IF(Z1557="","",IFERROR(LOOKUP(2,1/(#REF!=Z1557),#REF!),""))</f>
        <v/>
      </c>
      <c r="AC1557" t="e">
        <f>IF(Z1557="","",COUNTIF(#REF!,Z1557))</f>
        <v>#REF!</v>
      </c>
      <c r="AD1557" t="e">
        <f>IF(A1557="","",IF(AC1557&gt;1,"REVISAR DUPLICADO",IF(AA1557&lt;&gt;"","ACTUALIZADO POR EYR","SIN REPORTE EYR")))</f>
        <v>#REF!</v>
      </c>
    </row>
    <row r="1558" spans="1:30" x14ac:dyDescent="0.3">
      <c r="A1558" s="5" t="s">
        <v>1273</v>
      </c>
      <c r="B1558" t="s">
        <v>1272</v>
      </c>
      <c r="C1558" s="4">
        <v>116712407</v>
      </c>
      <c r="D1558" t="s">
        <v>77</v>
      </c>
      <c r="F1558" t="s">
        <v>1271</v>
      </c>
      <c r="G1558" s="3">
        <v>8293422821</v>
      </c>
      <c r="H1558" s="2">
        <v>46139</v>
      </c>
      <c r="K1558" s="1">
        <f ca="1">IF(A1558="","",IF(OR(L1558="ENTREGADA",L1558="RETORNADA",L1558="ENTREGA DIGITAL"),0,MAX(0,5-NETWORKDAYS(H1558+1,TODAY()))))</f>
        <v>1</v>
      </c>
      <c r="L1558">
        <f>IF(A1558="","",IFERROR(LOOKUP(2,1/(#REF!=Z1558),#REF!),Y1558))</f>
        <v>0</v>
      </c>
      <c r="Z1558" t="str">
        <f>IF(A1558="","",TEXT(A1558,"0")&amp;"|"&amp;TEXT(H1558,"0"))</f>
        <v>5188017893934890|46139</v>
      </c>
      <c r="AA1558" t="str">
        <f>IF(Z1558="","",IFERROR(LOOKUP(2,1/(#REF!=Z1558),#REF!),""))</f>
        <v/>
      </c>
      <c r="AB1558" t="str">
        <f>IF(Z1558="","",IFERROR(LOOKUP(2,1/(#REF!=Z1558),#REF!),""))</f>
        <v/>
      </c>
      <c r="AC1558" t="e">
        <f>IF(Z1558="","",COUNTIF(#REF!,Z1558))</f>
        <v>#REF!</v>
      </c>
      <c r="AD1558" t="e">
        <f>IF(A1558="","",IF(AC1558&gt;1,"REVISAR DUPLICADO",IF(AA1558&lt;&gt;"","ACTUALIZADO POR EYR","SIN REPORTE EYR")))</f>
        <v>#REF!</v>
      </c>
    </row>
    <row r="1559" spans="1:30" x14ac:dyDescent="0.3">
      <c r="A1559" s="5" t="s">
        <v>1270</v>
      </c>
      <c r="B1559" t="s">
        <v>1269</v>
      </c>
      <c r="C1559" s="4" t="s">
        <v>1268</v>
      </c>
      <c r="D1559" t="s">
        <v>77</v>
      </c>
      <c r="F1559" t="s">
        <v>13</v>
      </c>
      <c r="G1559" s="3">
        <v>8295091272</v>
      </c>
      <c r="H1559" s="2">
        <v>46139</v>
      </c>
      <c r="K1559" s="1">
        <f ca="1">IF(A1559="","",IF(OR(L1559="ENTREGADA",L1559="RETORNADA",L1559="ENTREGA DIGITAL"),0,MAX(0,5-NETWORKDAYS(H1559+1,TODAY()))))</f>
        <v>1</v>
      </c>
      <c r="L1559">
        <f>IF(A1559="","",IFERROR(LOOKUP(2,1/(#REF!=Z1559),#REF!),Y1559))</f>
        <v>0</v>
      </c>
      <c r="Z1559" t="str">
        <f>IF(A1559="","",TEXT(A1559,"0")&amp;"|"&amp;TEXT(H1559,"0"))</f>
        <v>5415017779004960|46139</v>
      </c>
      <c r="AA1559" t="str">
        <f>IF(Z1559="","",IFERROR(LOOKUP(2,1/(#REF!=Z1559),#REF!),""))</f>
        <v/>
      </c>
      <c r="AB1559" t="str">
        <f>IF(Z1559="","",IFERROR(LOOKUP(2,1/(#REF!=Z1559),#REF!),""))</f>
        <v/>
      </c>
      <c r="AC1559" t="e">
        <f>IF(Z1559="","",COUNTIF(#REF!,Z1559))</f>
        <v>#REF!</v>
      </c>
      <c r="AD1559" t="e">
        <f>IF(A1559="","",IF(AC1559&gt;1,"REVISAR DUPLICADO",IF(AA1559&lt;&gt;"","ACTUALIZADO POR EYR","SIN REPORTE EYR")))</f>
        <v>#REF!</v>
      </c>
    </row>
    <row r="1560" spans="1:30" x14ac:dyDescent="0.3">
      <c r="A1560" s="5" t="s">
        <v>1267</v>
      </c>
      <c r="B1560" t="s">
        <v>1266</v>
      </c>
      <c r="C1560" s="4" t="s">
        <v>1265</v>
      </c>
      <c r="D1560" t="s">
        <v>77</v>
      </c>
      <c r="F1560" t="s">
        <v>13</v>
      </c>
      <c r="G1560" s="3">
        <v>8299052895</v>
      </c>
      <c r="H1560" s="2">
        <v>46139</v>
      </c>
      <c r="K1560" s="1">
        <f ca="1">IF(A1560="","",IF(OR(L1560="ENTREGADA",L1560="RETORNADA",L1560="ENTREGA DIGITAL"),0,MAX(0,5-NETWORKDAYS(H1560+1,TODAY()))))</f>
        <v>1</v>
      </c>
      <c r="L1560">
        <f>IF(A1560="","",IFERROR(LOOKUP(2,1/(#REF!=Z1560),#REF!),Y1560))</f>
        <v>0</v>
      </c>
      <c r="Z1560" t="str">
        <f>IF(A1560="","",TEXT(A1560,"0")&amp;"|"&amp;TEXT(H1560,"0"))</f>
        <v>5188017796124260|46139</v>
      </c>
      <c r="AA1560" t="str">
        <f>IF(Z1560="","",IFERROR(LOOKUP(2,1/(#REF!=Z1560),#REF!),""))</f>
        <v/>
      </c>
      <c r="AB1560" t="str">
        <f>IF(Z1560="","",IFERROR(LOOKUP(2,1/(#REF!=Z1560),#REF!),""))</f>
        <v/>
      </c>
      <c r="AC1560" t="e">
        <f>IF(Z1560="","",COUNTIF(#REF!,Z1560))</f>
        <v>#REF!</v>
      </c>
      <c r="AD1560" t="e">
        <f>IF(A1560="","",IF(AC1560&gt;1,"REVISAR DUPLICADO",IF(AA1560&lt;&gt;"","ACTUALIZADO POR EYR","SIN REPORTE EYR")))</f>
        <v>#REF!</v>
      </c>
    </row>
    <row r="1561" spans="1:30" x14ac:dyDescent="0.3">
      <c r="A1561" s="5" t="s">
        <v>1264</v>
      </c>
      <c r="B1561" t="s">
        <v>1263</v>
      </c>
      <c r="C1561" s="4" t="s">
        <v>1262</v>
      </c>
      <c r="D1561" t="s">
        <v>1</v>
      </c>
      <c r="F1561" t="s">
        <v>13</v>
      </c>
      <c r="G1561" s="3">
        <v>8097510675</v>
      </c>
      <c r="H1561" s="2">
        <v>46139</v>
      </c>
      <c r="K1561" s="1">
        <f ca="1">IF(A1561="","",IF(OR(L1561="ENTREGADA",L1561="RETORNADA",L1561="ENTREGA DIGITAL"),0,MAX(0,5-NETWORKDAYS(H1561+1,TODAY()))))</f>
        <v>1</v>
      </c>
      <c r="L1561">
        <f>IF(A1561="","",IFERROR(LOOKUP(2,1/(#REF!=Z1561),#REF!),Y1561))</f>
        <v>0</v>
      </c>
      <c r="Z1561" t="str">
        <f>IF(A1561="","",TEXT(A1561,"0")&amp;"|"&amp;TEXT(H1561,"0"))</f>
        <v>4741017889191300|46139</v>
      </c>
      <c r="AA1561" t="str">
        <f>IF(Z1561="","",IFERROR(LOOKUP(2,1/(#REF!=Z1561),#REF!),""))</f>
        <v/>
      </c>
      <c r="AB1561" t="str">
        <f>IF(Z1561="","",IFERROR(LOOKUP(2,1/(#REF!=Z1561),#REF!),""))</f>
        <v/>
      </c>
      <c r="AC1561" t="e">
        <f>IF(Z1561="","",COUNTIF(#REF!,Z1561))</f>
        <v>#REF!</v>
      </c>
      <c r="AD1561" t="e">
        <f>IF(A1561="","",IF(AC1561&gt;1,"REVISAR DUPLICADO",IF(AA1561&lt;&gt;"","ACTUALIZADO POR EYR","SIN REPORTE EYR")))</f>
        <v>#REF!</v>
      </c>
    </row>
    <row r="1562" spans="1:30" x14ac:dyDescent="0.3">
      <c r="A1562" s="5" t="s">
        <v>1261</v>
      </c>
      <c r="B1562" t="s">
        <v>1260</v>
      </c>
      <c r="C1562" s="4" t="s">
        <v>1259</v>
      </c>
      <c r="D1562" t="s">
        <v>77</v>
      </c>
      <c r="F1562" t="s">
        <v>13</v>
      </c>
      <c r="G1562" s="3">
        <v>8494299708</v>
      </c>
      <c r="H1562" s="2">
        <v>46139</v>
      </c>
      <c r="K1562" s="1">
        <f ca="1">IF(A1562="","",IF(OR(L1562="ENTREGADA",L1562="RETORNADA",L1562="ENTREGA DIGITAL"),0,MAX(0,5-NETWORKDAYS(H1562+1,TODAY()))))</f>
        <v>1</v>
      </c>
      <c r="L1562">
        <f>IF(A1562="","",IFERROR(LOOKUP(2,1/(#REF!=Z1562),#REF!),Y1562))</f>
        <v>0</v>
      </c>
      <c r="Z1562" t="str">
        <f>IF(A1562="","",TEXT(A1562,"0")&amp;"|"&amp;TEXT(H1562,"0"))</f>
        <v>4921017912211470|46139</v>
      </c>
      <c r="AA1562" t="str">
        <f>IF(Z1562="","",IFERROR(LOOKUP(2,1/(#REF!=Z1562),#REF!),""))</f>
        <v/>
      </c>
      <c r="AB1562" t="str">
        <f>IF(Z1562="","",IFERROR(LOOKUP(2,1/(#REF!=Z1562),#REF!),""))</f>
        <v/>
      </c>
      <c r="AC1562" t="e">
        <f>IF(Z1562="","",COUNTIF(#REF!,Z1562))</f>
        <v>#REF!</v>
      </c>
      <c r="AD1562" t="e">
        <f>IF(A1562="","",IF(AC1562&gt;1,"REVISAR DUPLICADO",IF(AA1562&lt;&gt;"","ACTUALIZADO POR EYR","SIN REPORTE EYR")))</f>
        <v>#REF!</v>
      </c>
    </row>
    <row r="1563" spans="1:30" x14ac:dyDescent="0.3">
      <c r="A1563" s="5" t="s">
        <v>1258</v>
      </c>
      <c r="B1563" t="s">
        <v>1257</v>
      </c>
      <c r="C1563" s="4" t="s">
        <v>1256</v>
      </c>
      <c r="D1563" t="s">
        <v>77</v>
      </c>
      <c r="F1563" t="s">
        <v>1255</v>
      </c>
      <c r="G1563" s="3">
        <v>8098377694</v>
      </c>
      <c r="H1563" s="2">
        <v>46139</v>
      </c>
      <c r="K1563" s="1">
        <f ca="1">IF(A1563="","",IF(OR(L1563="ENTREGADA",L1563="RETORNADA",L1563="ENTREGA DIGITAL"),0,MAX(0,5-NETWORKDAYS(H1563+1,TODAY()))))</f>
        <v>1</v>
      </c>
      <c r="L1563">
        <f>IF(A1563="","",IFERROR(LOOKUP(2,1/(#REF!=Z1563),#REF!),Y1563))</f>
        <v>0</v>
      </c>
      <c r="Z1563" t="str">
        <f>IF(A1563="","",TEXT(A1563,"0")&amp;"|"&amp;TEXT(H1563,"0"))</f>
        <v>4921017906344410|46139</v>
      </c>
      <c r="AA1563" t="str">
        <f>IF(Z1563="","",IFERROR(LOOKUP(2,1/(#REF!=Z1563),#REF!),""))</f>
        <v/>
      </c>
      <c r="AB1563" t="str">
        <f>IF(Z1563="","",IFERROR(LOOKUP(2,1/(#REF!=Z1563),#REF!),""))</f>
        <v/>
      </c>
      <c r="AC1563" t="e">
        <f>IF(Z1563="","",COUNTIF(#REF!,Z1563))</f>
        <v>#REF!</v>
      </c>
      <c r="AD1563" t="e">
        <f>IF(A1563="","",IF(AC1563&gt;1,"REVISAR DUPLICADO",IF(AA1563&lt;&gt;"","ACTUALIZADO POR EYR","SIN REPORTE EYR")))</f>
        <v>#REF!</v>
      </c>
    </row>
    <row r="1564" spans="1:30" x14ac:dyDescent="0.3">
      <c r="A1564" s="5" t="s">
        <v>1254</v>
      </c>
      <c r="B1564" t="s">
        <v>1253</v>
      </c>
      <c r="C1564" s="4" t="s">
        <v>1252</v>
      </c>
      <c r="D1564" t="s">
        <v>21</v>
      </c>
      <c r="F1564" t="s">
        <v>1251</v>
      </c>
      <c r="G1564" s="3">
        <v>8094039748</v>
      </c>
      <c r="H1564" s="2">
        <v>46139</v>
      </c>
      <c r="K1564" s="1">
        <f ca="1">IF(A1564="","",IF(OR(L1564="ENTREGADA",L1564="RETORNADA",L1564="ENTREGA DIGITAL"),0,MAX(0,5-NETWORKDAYS(H1564+1,TODAY()))))</f>
        <v>1</v>
      </c>
      <c r="L1564">
        <f>IF(A1564="","",IFERROR(LOOKUP(2,1/(#REF!=Z1564),#REF!),Y1564))</f>
        <v>0</v>
      </c>
      <c r="Z1564" t="str">
        <f>IF(A1564="","",TEXT(A1564,"0")&amp;"|"&amp;TEXT(H1564,"0"))</f>
        <v>5415017360127400|46139</v>
      </c>
      <c r="AA1564" t="str">
        <f>IF(Z1564="","",IFERROR(LOOKUP(2,1/(#REF!=Z1564),#REF!),""))</f>
        <v/>
      </c>
      <c r="AB1564" t="str">
        <f>IF(Z1564="","",IFERROR(LOOKUP(2,1/(#REF!=Z1564),#REF!),""))</f>
        <v/>
      </c>
      <c r="AC1564" t="e">
        <f>IF(Z1564="","",COUNTIF(#REF!,Z1564))</f>
        <v>#REF!</v>
      </c>
      <c r="AD1564" t="e">
        <f>IF(A1564="","",IF(AC1564&gt;1,"REVISAR DUPLICADO",IF(AA1564&lt;&gt;"","ACTUALIZADO POR EYR","SIN REPORTE EYR")))</f>
        <v>#REF!</v>
      </c>
    </row>
    <row r="1565" spans="1:30" x14ac:dyDescent="0.3">
      <c r="A1565" s="5" t="s">
        <v>1250</v>
      </c>
      <c r="B1565" t="s">
        <v>1249</v>
      </c>
      <c r="C1565" s="4" t="s">
        <v>1248</v>
      </c>
      <c r="D1565" t="s">
        <v>21</v>
      </c>
      <c r="F1565" t="s">
        <v>1247</v>
      </c>
      <c r="G1565" s="3">
        <v>8294686920</v>
      </c>
      <c r="H1565" s="2">
        <v>46139</v>
      </c>
      <c r="K1565" s="1">
        <f ca="1">IF(A1565="","",IF(OR(L1565="ENTREGADA",L1565="RETORNADA",L1565="ENTREGA DIGITAL"),0,MAX(0,5-NETWORKDAYS(H1565+1,TODAY()))))</f>
        <v>1</v>
      </c>
      <c r="L1565">
        <f>IF(A1565="","",IFERROR(LOOKUP(2,1/(#REF!=Z1565),#REF!),Y1565))</f>
        <v>0</v>
      </c>
      <c r="Z1565" t="str">
        <f>IF(A1565="","",TEXT(A1565,"0")&amp;"|"&amp;TEXT(H1565,"0"))</f>
        <v>4921017913198320|46139</v>
      </c>
      <c r="AA1565" t="str">
        <f>IF(Z1565="","",IFERROR(LOOKUP(2,1/(#REF!=Z1565),#REF!),""))</f>
        <v/>
      </c>
      <c r="AB1565" t="str">
        <f>IF(Z1565="","",IFERROR(LOOKUP(2,1/(#REF!=Z1565),#REF!),""))</f>
        <v/>
      </c>
      <c r="AC1565" t="e">
        <f>IF(Z1565="","",COUNTIF(#REF!,Z1565))</f>
        <v>#REF!</v>
      </c>
      <c r="AD1565" t="e">
        <f>IF(A1565="","",IF(AC1565&gt;1,"REVISAR DUPLICADO",IF(AA1565&lt;&gt;"","ACTUALIZADO POR EYR","SIN REPORTE EYR")))</f>
        <v>#REF!</v>
      </c>
    </row>
    <row r="1566" spans="1:30" x14ac:dyDescent="0.3">
      <c r="A1566" s="5" t="s">
        <v>1246</v>
      </c>
      <c r="B1566" t="s">
        <v>1245</v>
      </c>
      <c r="C1566" s="4" t="s">
        <v>1244</v>
      </c>
      <c r="D1566" t="s">
        <v>21</v>
      </c>
      <c r="F1566" t="s">
        <v>1243</v>
      </c>
      <c r="G1566" s="3">
        <v>8292868668</v>
      </c>
      <c r="H1566" s="2">
        <v>46139</v>
      </c>
      <c r="K1566" s="1">
        <f ca="1">IF(A1566="","",IF(OR(L1566="ENTREGADA",L1566="RETORNADA",L1566="ENTREGA DIGITAL"),0,MAX(0,5-NETWORKDAYS(H1566+1,TODAY()))))</f>
        <v>1</v>
      </c>
      <c r="L1566">
        <f>IF(A1566="","",IFERROR(LOOKUP(2,1/(#REF!=Z1566),#REF!),Y1566))</f>
        <v>0</v>
      </c>
      <c r="Z1566" t="str">
        <f>IF(A1566="","",TEXT(A1566,"0")&amp;"|"&amp;TEXT(H1566,"0"))</f>
        <v>5415017910749020|46139</v>
      </c>
      <c r="AA1566" t="str">
        <f>IF(Z1566="","",IFERROR(LOOKUP(2,1/(#REF!=Z1566),#REF!),""))</f>
        <v/>
      </c>
      <c r="AB1566" t="str">
        <f>IF(Z1566="","",IFERROR(LOOKUP(2,1/(#REF!=Z1566),#REF!),""))</f>
        <v/>
      </c>
      <c r="AC1566" t="e">
        <f>IF(Z1566="","",COUNTIF(#REF!,Z1566))</f>
        <v>#REF!</v>
      </c>
      <c r="AD1566" t="e">
        <f>IF(A1566="","",IF(AC1566&gt;1,"REVISAR DUPLICADO",IF(AA1566&lt;&gt;"","ACTUALIZADO POR EYR","SIN REPORTE EYR")))</f>
        <v>#REF!</v>
      </c>
    </row>
    <row r="1567" spans="1:30" x14ac:dyDescent="0.3">
      <c r="A1567" s="5" t="s">
        <v>1242</v>
      </c>
      <c r="B1567" t="s">
        <v>1241</v>
      </c>
      <c r="C1567" s="4" t="s">
        <v>1240</v>
      </c>
      <c r="D1567" t="s">
        <v>21</v>
      </c>
      <c r="F1567" t="s">
        <v>13</v>
      </c>
      <c r="G1567" s="3">
        <v>8294291984</v>
      </c>
      <c r="H1567" s="2">
        <v>46139</v>
      </c>
      <c r="K1567" s="1">
        <f ca="1">IF(A1567="","",IF(OR(L1567="ENTREGADA",L1567="RETORNADA",L1567="ENTREGA DIGITAL"),0,MAX(0,5-NETWORKDAYS(H1567+1,TODAY()))))</f>
        <v>1</v>
      </c>
      <c r="L1567">
        <f>IF(A1567="","",IFERROR(LOOKUP(2,1/(#REF!=Z1567),#REF!),Y1567))</f>
        <v>0</v>
      </c>
      <c r="Z1567" t="str">
        <f>IF(A1567="","",TEXT(A1567,"0")&amp;"|"&amp;TEXT(H1567,"0"))</f>
        <v>4921017911661320|46139</v>
      </c>
      <c r="AA1567" t="str">
        <f>IF(Z1567="","",IFERROR(LOOKUP(2,1/(#REF!=Z1567),#REF!),""))</f>
        <v/>
      </c>
      <c r="AB1567" t="str">
        <f>IF(Z1567="","",IFERROR(LOOKUP(2,1/(#REF!=Z1567),#REF!),""))</f>
        <v/>
      </c>
      <c r="AC1567" t="e">
        <f>IF(Z1567="","",COUNTIF(#REF!,Z1567))</f>
        <v>#REF!</v>
      </c>
      <c r="AD1567" t="e">
        <f>IF(A1567="","",IF(AC1567&gt;1,"REVISAR DUPLICADO",IF(AA1567&lt;&gt;"","ACTUALIZADO POR EYR","SIN REPORTE EYR")))</f>
        <v>#REF!</v>
      </c>
    </row>
    <row r="1568" spans="1:30" x14ac:dyDescent="0.3">
      <c r="A1568" s="5" t="s">
        <v>1239</v>
      </c>
      <c r="B1568" t="s">
        <v>1238</v>
      </c>
      <c r="C1568" s="4" t="s">
        <v>1237</v>
      </c>
      <c r="D1568" t="s">
        <v>21</v>
      </c>
      <c r="F1568" t="s">
        <v>13</v>
      </c>
      <c r="G1568" s="3">
        <v>8493770829</v>
      </c>
      <c r="H1568" s="2">
        <v>46139</v>
      </c>
      <c r="K1568" s="1">
        <f ca="1">IF(A1568="","",IF(OR(L1568="ENTREGADA",L1568="RETORNADA",L1568="ENTREGA DIGITAL"),0,MAX(0,5-NETWORKDAYS(H1568+1,TODAY()))))</f>
        <v>1</v>
      </c>
      <c r="L1568">
        <f>IF(A1568="","",IFERROR(LOOKUP(2,1/(#REF!=Z1568),#REF!),Y1568))</f>
        <v>0</v>
      </c>
      <c r="Z1568" t="str">
        <f>IF(A1568="","",TEXT(A1568,"0")&amp;"|"&amp;TEXT(H1568,"0"))</f>
        <v>5188017911234650|46139</v>
      </c>
      <c r="AA1568" t="str">
        <f>IF(Z1568="","",IFERROR(LOOKUP(2,1/(#REF!=Z1568),#REF!),""))</f>
        <v/>
      </c>
      <c r="AB1568" t="str">
        <f>IF(Z1568="","",IFERROR(LOOKUP(2,1/(#REF!=Z1568),#REF!),""))</f>
        <v/>
      </c>
      <c r="AC1568" t="e">
        <f>IF(Z1568="","",COUNTIF(#REF!,Z1568))</f>
        <v>#REF!</v>
      </c>
      <c r="AD1568" t="e">
        <f>IF(A1568="","",IF(AC1568&gt;1,"REVISAR DUPLICADO",IF(AA1568&lt;&gt;"","ACTUALIZADO POR EYR","SIN REPORTE EYR")))</f>
        <v>#REF!</v>
      </c>
    </row>
    <row r="1569" spans="1:30" x14ac:dyDescent="0.3">
      <c r="A1569" s="5" t="s">
        <v>1236</v>
      </c>
      <c r="B1569" t="s">
        <v>1235</v>
      </c>
      <c r="C1569" s="4" t="s">
        <v>1234</v>
      </c>
      <c r="D1569" t="s">
        <v>21</v>
      </c>
      <c r="F1569" t="s">
        <v>13</v>
      </c>
      <c r="G1569" s="3">
        <v>8099186191</v>
      </c>
      <c r="H1569" s="2">
        <v>46139</v>
      </c>
      <c r="K1569" s="1">
        <f ca="1">IF(A1569="","",IF(OR(L1569="ENTREGADA",L1569="RETORNADA",L1569="ENTREGA DIGITAL"),0,MAX(0,5-NETWORKDAYS(H1569+1,TODAY()))))</f>
        <v>1</v>
      </c>
      <c r="L1569">
        <f>IF(A1569="","",IFERROR(LOOKUP(2,1/(#REF!=Z1569),#REF!),Y1569))</f>
        <v>0</v>
      </c>
      <c r="Z1569" t="str">
        <f>IF(A1569="","",TEXT(A1569,"0")&amp;"|"&amp;TEXT(H1569,"0"))</f>
        <v>4921017913150290|46139</v>
      </c>
      <c r="AA1569" t="str">
        <f>IF(Z1569="","",IFERROR(LOOKUP(2,1/(#REF!=Z1569),#REF!),""))</f>
        <v/>
      </c>
      <c r="AB1569" t="str">
        <f>IF(Z1569="","",IFERROR(LOOKUP(2,1/(#REF!=Z1569),#REF!),""))</f>
        <v/>
      </c>
      <c r="AC1569" t="e">
        <f>IF(Z1569="","",COUNTIF(#REF!,Z1569))</f>
        <v>#REF!</v>
      </c>
      <c r="AD1569" t="e">
        <f>IF(A1569="","",IF(AC1569&gt;1,"REVISAR DUPLICADO",IF(AA1569&lt;&gt;"","ACTUALIZADO POR EYR","SIN REPORTE EYR")))</f>
        <v>#REF!</v>
      </c>
    </row>
    <row r="1570" spans="1:30" x14ac:dyDescent="0.3">
      <c r="A1570" s="5" t="s">
        <v>1233</v>
      </c>
      <c r="B1570" t="s">
        <v>1232</v>
      </c>
      <c r="C1570" s="4" t="s">
        <v>1231</v>
      </c>
      <c r="D1570" t="s">
        <v>21</v>
      </c>
      <c r="F1570" t="s">
        <v>13</v>
      </c>
      <c r="G1570" s="3">
        <v>8294909348</v>
      </c>
      <c r="H1570" s="2">
        <v>46139</v>
      </c>
      <c r="K1570" s="1">
        <f ca="1">IF(A1570="","",IF(OR(L1570="ENTREGADA",L1570="RETORNADA",L1570="ENTREGA DIGITAL"),0,MAX(0,5-NETWORKDAYS(H1570+1,TODAY()))))</f>
        <v>1</v>
      </c>
      <c r="L1570">
        <f>IF(A1570="","",IFERROR(LOOKUP(2,1/(#REF!=Z1570),#REF!),Y1570))</f>
        <v>0</v>
      </c>
      <c r="Z1570" t="str">
        <f>IF(A1570="","",TEXT(A1570,"0")&amp;"|"&amp;TEXT(H1570,"0"))</f>
        <v>4921017911639410|46139</v>
      </c>
      <c r="AA1570" t="str">
        <f>IF(Z1570="","",IFERROR(LOOKUP(2,1/(#REF!=Z1570),#REF!),""))</f>
        <v/>
      </c>
      <c r="AB1570" t="str">
        <f>IF(Z1570="","",IFERROR(LOOKUP(2,1/(#REF!=Z1570),#REF!),""))</f>
        <v/>
      </c>
      <c r="AC1570" t="e">
        <f>IF(Z1570="","",COUNTIF(#REF!,Z1570))</f>
        <v>#REF!</v>
      </c>
      <c r="AD1570" t="e">
        <f>IF(A1570="","",IF(AC1570&gt;1,"REVISAR DUPLICADO",IF(AA1570&lt;&gt;"","ACTUALIZADO POR EYR","SIN REPORTE EYR")))</f>
        <v>#REF!</v>
      </c>
    </row>
    <row r="1571" spans="1:30" x14ac:dyDescent="0.3">
      <c r="A1571" s="5" t="s">
        <v>1230</v>
      </c>
      <c r="B1571" t="s">
        <v>1229</v>
      </c>
      <c r="C1571" s="4" t="s">
        <v>1228</v>
      </c>
      <c r="D1571" t="s">
        <v>21</v>
      </c>
      <c r="F1571" t="s">
        <v>1227</v>
      </c>
      <c r="G1571" s="3">
        <v>8096420759</v>
      </c>
      <c r="H1571" s="2">
        <v>46139</v>
      </c>
      <c r="K1571" s="1">
        <f ca="1">IF(A1571="","",IF(OR(L1571="ENTREGADA",L1571="RETORNADA",L1571="ENTREGA DIGITAL"),0,MAX(0,5-NETWORKDAYS(H1571+1,TODAY()))))</f>
        <v>1</v>
      </c>
      <c r="L1571">
        <f>IF(A1571="","",IFERROR(LOOKUP(2,1/(#REF!=Z1571),#REF!),Y1571))</f>
        <v>0</v>
      </c>
      <c r="Z1571" t="str">
        <f>IF(A1571="","",TEXT(A1571,"0")&amp;"|"&amp;TEXT(H1571,"0"))</f>
        <v>4921017913030050|46139</v>
      </c>
      <c r="AA1571" t="str">
        <f>IF(Z1571="","",IFERROR(LOOKUP(2,1/(#REF!=Z1571),#REF!),""))</f>
        <v/>
      </c>
      <c r="AB1571" t="str">
        <f>IF(Z1571="","",IFERROR(LOOKUP(2,1/(#REF!=Z1571),#REF!),""))</f>
        <v/>
      </c>
      <c r="AC1571" t="e">
        <f>IF(Z1571="","",COUNTIF(#REF!,Z1571))</f>
        <v>#REF!</v>
      </c>
      <c r="AD1571" t="e">
        <f>IF(A1571="","",IF(AC1571&gt;1,"REVISAR DUPLICADO",IF(AA1571&lt;&gt;"","ACTUALIZADO POR EYR","SIN REPORTE EYR")))</f>
        <v>#REF!</v>
      </c>
    </row>
    <row r="1572" spans="1:30" x14ac:dyDescent="0.3">
      <c r="A1572" s="5" t="s">
        <v>1226</v>
      </c>
      <c r="B1572" t="s">
        <v>1225</v>
      </c>
      <c r="C1572" s="4" t="s">
        <v>1224</v>
      </c>
      <c r="D1572" t="s">
        <v>21</v>
      </c>
      <c r="F1572" t="s">
        <v>13</v>
      </c>
      <c r="G1572" s="3">
        <v>8093394197</v>
      </c>
      <c r="H1572" s="2">
        <v>46139</v>
      </c>
      <c r="K1572" s="1">
        <f ca="1">IF(A1572="","",IF(OR(L1572="ENTREGADA",L1572="RETORNADA",L1572="ENTREGA DIGITAL"),0,MAX(0,5-NETWORKDAYS(H1572+1,TODAY()))))</f>
        <v>1</v>
      </c>
      <c r="L1572">
        <f>IF(A1572="","",IFERROR(LOOKUP(2,1/(#REF!=Z1572),#REF!),Y1572))</f>
        <v>0</v>
      </c>
      <c r="Z1572" t="str">
        <f>IF(A1572="","",TEXT(A1572,"0")&amp;"|"&amp;TEXT(H1572,"0"))</f>
        <v>5415017817386280|46139</v>
      </c>
      <c r="AA1572" t="str">
        <f>IF(Z1572="","",IFERROR(LOOKUP(2,1/(#REF!=Z1572),#REF!),""))</f>
        <v/>
      </c>
      <c r="AB1572" t="str">
        <f>IF(Z1572="","",IFERROR(LOOKUP(2,1/(#REF!=Z1572),#REF!),""))</f>
        <v/>
      </c>
      <c r="AC1572" t="e">
        <f>IF(Z1572="","",COUNTIF(#REF!,Z1572))</f>
        <v>#REF!</v>
      </c>
      <c r="AD1572" t="e">
        <f>IF(A1572="","",IF(AC1572&gt;1,"REVISAR DUPLICADO",IF(AA1572&lt;&gt;"","ACTUALIZADO POR EYR","SIN REPORTE EYR")))</f>
        <v>#REF!</v>
      </c>
    </row>
    <row r="1573" spans="1:30" x14ac:dyDescent="0.3">
      <c r="A1573" s="5" t="s">
        <v>1223</v>
      </c>
      <c r="B1573" t="s">
        <v>1222</v>
      </c>
      <c r="C1573" s="4" t="s">
        <v>1221</v>
      </c>
      <c r="D1573" t="s">
        <v>21</v>
      </c>
      <c r="F1573" t="s">
        <v>0</v>
      </c>
      <c r="G1573" s="3">
        <v>8095465656</v>
      </c>
      <c r="H1573" s="2">
        <v>46139</v>
      </c>
      <c r="K1573" s="1">
        <f ca="1">IF(A1573="","",IF(OR(L1573="ENTREGADA",L1573="RETORNADA",L1573="ENTREGA DIGITAL"),0,MAX(0,5-NETWORKDAYS(H1573+1,TODAY()))))</f>
        <v>1</v>
      </c>
      <c r="L1573">
        <f>IF(A1573="","",IFERROR(LOOKUP(2,1/(#REF!=Z1573),#REF!),Y1573))</f>
        <v>0</v>
      </c>
      <c r="Z1573" t="str">
        <f>IF(A1573="","",TEXT(A1573,"0")&amp;"|"&amp;TEXT(H1573,"0"))</f>
        <v>4921017827282250|46139</v>
      </c>
      <c r="AA1573" t="str">
        <f>IF(Z1573="","",IFERROR(LOOKUP(2,1/(#REF!=Z1573),#REF!),""))</f>
        <v/>
      </c>
      <c r="AB1573" t="str">
        <f>IF(Z1573="","",IFERROR(LOOKUP(2,1/(#REF!=Z1573),#REF!),""))</f>
        <v/>
      </c>
      <c r="AC1573" t="e">
        <f>IF(Z1573="","",COUNTIF(#REF!,Z1573))</f>
        <v>#REF!</v>
      </c>
      <c r="AD1573" t="e">
        <f>IF(A1573="","",IF(AC1573&gt;1,"REVISAR DUPLICADO",IF(AA1573&lt;&gt;"","ACTUALIZADO POR EYR","SIN REPORTE EYR")))</f>
        <v>#REF!</v>
      </c>
    </row>
    <row r="1574" spans="1:30" x14ac:dyDescent="0.3">
      <c r="A1574" s="5" t="s">
        <v>1220</v>
      </c>
      <c r="B1574" t="s">
        <v>1219</v>
      </c>
      <c r="C1574" s="4" t="s">
        <v>1218</v>
      </c>
      <c r="D1574" t="s">
        <v>21</v>
      </c>
      <c r="F1574" t="s">
        <v>13</v>
      </c>
      <c r="G1574" s="3">
        <v>8299211009</v>
      </c>
      <c r="H1574" s="2">
        <v>46139</v>
      </c>
      <c r="K1574" s="1">
        <f ca="1">IF(A1574="","",IF(OR(L1574="ENTREGADA",L1574="RETORNADA",L1574="ENTREGA DIGITAL"),0,MAX(0,5-NETWORKDAYS(H1574+1,TODAY()))))</f>
        <v>1</v>
      </c>
      <c r="L1574">
        <f>IF(A1574="","",IFERROR(LOOKUP(2,1/(#REF!=Z1574),#REF!),Y1574))</f>
        <v>0</v>
      </c>
      <c r="Z1574" t="str">
        <f>IF(A1574="","",TEXT(A1574,"0")&amp;"|"&amp;TEXT(H1574,"0"))</f>
        <v>4921017912948060|46139</v>
      </c>
      <c r="AA1574" t="str">
        <f>IF(Z1574="","",IFERROR(LOOKUP(2,1/(#REF!=Z1574),#REF!),""))</f>
        <v/>
      </c>
      <c r="AB1574" t="str">
        <f>IF(Z1574="","",IFERROR(LOOKUP(2,1/(#REF!=Z1574),#REF!),""))</f>
        <v/>
      </c>
      <c r="AC1574" t="e">
        <f>IF(Z1574="","",COUNTIF(#REF!,Z1574))</f>
        <v>#REF!</v>
      </c>
      <c r="AD1574" t="e">
        <f>IF(A1574="","",IF(AC1574&gt;1,"REVISAR DUPLICADO",IF(AA1574&lt;&gt;"","ACTUALIZADO POR EYR","SIN REPORTE EYR")))</f>
        <v>#REF!</v>
      </c>
    </row>
    <row r="1575" spans="1:30" x14ac:dyDescent="0.3">
      <c r="A1575" s="5" t="s">
        <v>1217</v>
      </c>
      <c r="B1575" t="s">
        <v>1216</v>
      </c>
      <c r="C1575" s="4" t="s">
        <v>1215</v>
      </c>
      <c r="D1575" t="s">
        <v>21</v>
      </c>
      <c r="F1575" t="s">
        <v>13</v>
      </c>
      <c r="G1575" s="3">
        <v>8296788919</v>
      </c>
      <c r="H1575" s="2">
        <v>46139</v>
      </c>
      <c r="K1575" s="1">
        <f ca="1">IF(A1575="","",IF(OR(L1575="ENTREGADA",L1575="RETORNADA",L1575="ENTREGA DIGITAL"),0,MAX(0,5-NETWORKDAYS(H1575+1,TODAY()))))</f>
        <v>1</v>
      </c>
      <c r="L1575">
        <f>IF(A1575="","",IFERROR(LOOKUP(2,1/(#REF!=Z1575),#REF!),Y1575))</f>
        <v>0</v>
      </c>
      <c r="Z1575" t="str">
        <f>IF(A1575="","",TEXT(A1575,"0")&amp;"|"&amp;TEXT(H1575,"0"))</f>
        <v>4921017906635130|46139</v>
      </c>
      <c r="AA1575" t="str">
        <f>IF(Z1575="","",IFERROR(LOOKUP(2,1/(#REF!=Z1575),#REF!),""))</f>
        <v/>
      </c>
      <c r="AB1575" t="str">
        <f>IF(Z1575="","",IFERROR(LOOKUP(2,1/(#REF!=Z1575),#REF!),""))</f>
        <v/>
      </c>
      <c r="AC1575" t="e">
        <f>IF(Z1575="","",COUNTIF(#REF!,Z1575))</f>
        <v>#REF!</v>
      </c>
      <c r="AD1575" t="e">
        <f>IF(A1575="","",IF(AC1575&gt;1,"REVISAR DUPLICADO",IF(AA1575&lt;&gt;"","ACTUALIZADO POR EYR","SIN REPORTE EYR")))</f>
        <v>#REF!</v>
      </c>
    </row>
    <row r="1576" spans="1:30" x14ac:dyDescent="0.3">
      <c r="A1576" s="5" t="s">
        <v>1214</v>
      </c>
      <c r="B1576" t="s">
        <v>1213</v>
      </c>
      <c r="C1576" s="4" t="s">
        <v>1212</v>
      </c>
      <c r="D1576" t="s">
        <v>21</v>
      </c>
      <c r="F1576" t="s">
        <v>1211</v>
      </c>
      <c r="G1576" s="3">
        <v>8293916609</v>
      </c>
      <c r="H1576" s="2">
        <v>46139</v>
      </c>
      <c r="K1576" s="1">
        <f ca="1">IF(A1576="","",IF(OR(L1576="ENTREGADA",L1576="RETORNADA",L1576="ENTREGA DIGITAL"),0,MAX(0,5-NETWORKDAYS(H1576+1,TODAY()))))</f>
        <v>1</v>
      </c>
      <c r="L1576">
        <f>IF(A1576="","",IFERROR(LOOKUP(2,1/(#REF!=Z1576),#REF!),Y1576))</f>
        <v>0</v>
      </c>
      <c r="Z1576" t="str">
        <f>IF(A1576="","",TEXT(A1576,"0")&amp;"|"&amp;TEXT(H1576,"0"))</f>
        <v>4921017906304980|46139</v>
      </c>
      <c r="AA1576" t="str">
        <f>IF(Z1576="","",IFERROR(LOOKUP(2,1/(#REF!=Z1576),#REF!),""))</f>
        <v/>
      </c>
      <c r="AB1576" t="str">
        <f>IF(Z1576="","",IFERROR(LOOKUP(2,1/(#REF!=Z1576),#REF!),""))</f>
        <v/>
      </c>
      <c r="AC1576" t="e">
        <f>IF(Z1576="","",COUNTIF(#REF!,Z1576))</f>
        <v>#REF!</v>
      </c>
      <c r="AD1576" t="e">
        <f>IF(A1576="","",IF(AC1576&gt;1,"REVISAR DUPLICADO",IF(AA1576&lt;&gt;"","ACTUALIZADO POR EYR","SIN REPORTE EYR")))</f>
        <v>#REF!</v>
      </c>
    </row>
    <row r="1577" spans="1:30" x14ac:dyDescent="0.3">
      <c r="A1577" s="5" t="s">
        <v>1210</v>
      </c>
      <c r="B1577" t="s">
        <v>1209</v>
      </c>
      <c r="C1577" s="4" t="s">
        <v>1208</v>
      </c>
      <c r="D1577" t="s">
        <v>1</v>
      </c>
      <c r="F1577" t="s">
        <v>1207</v>
      </c>
      <c r="G1577" s="3">
        <v>8297010008</v>
      </c>
      <c r="H1577" s="2">
        <v>46139</v>
      </c>
      <c r="K1577" s="1">
        <f ca="1">IF(A1577="","",IF(OR(L1577="ENTREGADA",L1577="RETORNADA",L1577="ENTREGA DIGITAL"),0,MAX(0,5-NETWORKDAYS(H1577+1,TODAY()))))</f>
        <v>1</v>
      </c>
      <c r="L1577">
        <f>IF(A1577="","",IFERROR(LOOKUP(2,1/(#REF!=Z1577),#REF!),Y1577))</f>
        <v>0</v>
      </c>
      <c r="Z1577" t="str">
        <f>IF(A1577="","",TEXT(A1577,"0")&amp;"|"&amp;TEXT(H1577,"0"))</f>
        <v>5415017692121210|46139</v>
      </c>
      <c r="AA1577" t="str">
        <f>IF(Z1577="","",IFERROR(LOOKUP(2,1/(#REF!=Z1577),#REF!),""))</f>
        <v/>
      </c>
      <c r="AB1577" t="str">
        <f>IF(Z1577="","",IFERROR(LOOKUP(2,1/(#REF!=Z1577),#REF!),""))</f>
        <v/>
      </c>
      <c r="AC1577" t="e">
        <f>IF(Z1577="","",COUNTIF(#REF!,Z1577))</f>
        <v>#REF!</v>
      </c>
      <c r="AD1577" t="e">
        <f>IF(A1577="","",IF(AC1577&gt;1,"REVISAR DUPLICADO",IF(AA1577&lt;&gt;"","ACTUALIZADO POR EYR","SIN REPORTE EYR")))</f>
        <v>#REF!</v>
      </c>
    </row>
    <row r="1578" spans="1:30" x14ac:dyDescent="0.3">
      <c r="A1578" s="5" t="s">
        <v>1206</v>
      </c>
      <c r="B1578" t="s">
        <v>1205</v>
      </c>
      <c r="C1578" s="4" t="s">
        <v>1204</v>
      </c>
      <c r="D1578" t="s">
        <v>1</v>
      </c>
      <c r="F1578" t="s">
        <v>1203</v>
      </c>
      <c r="G1578" s="3">
        <v>8094998418</v>
      </c>
      <c r="H1578" s="2">
        <v>46139</v>
      </c>
      <c r="K1578" s="1">
        <f ca="1">IF(A1578="","",IF(OR(L1578="ENTREGADA",L1578="RETORNADA",L1578="ENTREGA DIGITAL"),0,MAX(0,5-NETWORKDAYS(H1578+1,TODAY()))))</f>
        <v>1</v>
      </c>
      <c r="L1578">
        <f>IF(A1578="","",IFERROR(LOOKUP(2,1/(#REF!=Z1578),#REF!),Y1578))</f>
        <v>0</v>
      </c>
      <c r="Z1578" t="str">
        <f>IF(A1578="","",TEXT(A1578,"0")&amp;"|"&amp;TEXT(H1578,"0"))</f>
        <v>5227017598893560|46139</v>
      </c>
      <c r="AA1578" t="str">
        <f>IF(Z1578="","",IFERROR(LOOKUP(2,1/(#REF!=Z1578),#REF!),""))</f>
        <v/>
      </c>
      <c r="AB1578" t="str">
        <f>IF(Z1578="","",IFERROR(LOOKUP(2,1/(#REF!=Z1578),#REF!),""))</f>
        <v/>
      </c>
      <c r="AC1578" t="e">
        <f>IF(Z1578="","",COUNTIF(#REF!,Z1578))</f>
        <v>#REF!</v>
      </c>
      <c r="AD1578" t="e">
        <f>IF(A1578="","",IF(AC1578&gt;1,"REVISAR DUPLICADO",IF(AA1578&lt;&gt;"","ACTUALIZADO POR EYR","SIN REPORTE EYR")))</f>
        <v>#REF!</v>
      </c>
    </row>
    <row r="1579" spans="1:30" x14ac:dyDescent="0.3">
      <c r="A1579" s="5" t="s">
        <v>1202</v>
      </c>
      <c r="B1579" t="s">
        <v>1201</v>
      </c>
      <c r="C1579" s="4" t="s">
        <v>1200</v>
      </c>
      <c r="D1579" t="s">
        <v>1</v>
      </c>
      <c r="F1579" t="s">
        <v>9</v>
      </c>
      <c r="G1579" s="3">
        <v>8293825372</v>
      </c>
      <c r="H1579" s="2">
        <v>46139</v>
      </c>
      <c r="K1579" s="1">
        <f ca="1">IF(A1579="","",IF(OR(L1579="ENTREGADA",L1579="RETORNADA",L1579="ENTREGA DIGITAL"),0,MAX(0,5-NETWORKDAYS(H1579+1,TODAY()))))</f>
        <v>1</v>
      </c>
      <c r="L1579">
        <f>IF(A1579="","",IFERROR(LOOKUP(2,1/(#REF!=Z1579),#REF!),Y1579))</f>
        <v>0</v>
      </c>
      <c r="Z1579" t="str">
        <f>IF(A1579="","",TEXT(A1579,"0")&amp;"|"&amp;TEXT(H1579,"0"))</f>
        <v>4921017912753460|46139</v>
      </c>
      <c r="AA1579" t="str">
        <f>IF(Z1579="","",IFERROR(LOOKUP(2,1/(#REF!=Z1579),#REF!),""))</f>
        <v/>
      </c>
      <c r="AB1579" t="str">
        <f>IF(Z1579="","",IFERROR(LOOKUP(2,1/(#REF!=Z1579),#REF!),""))</f>
        <v/>
      </c>
      <c r="AC1579" t="e">
        <f>IF(Z1579="","",COUNTIF(#REF!,Z1579))</f>
        <v>#REF!</v>
      </c>
      <c r="AD1579" t="e">
        <f>IF(A1579="","",IF(AC1579&gt;1,"REVISAR DUPLICADO",IF(AA1579&lt;&gt;"","ACTUALIZADO POR EYR","SIN REPORTE EYR")))</f>
        <v>#REF!</v>
      </c>
    </row>
    <row r="1580" spans="1:30" x14ac:dyDescent="0.3">
      <c r="A1580" s="5" t="s">
        <v>1199</v>
      </c>
      <c r="B1580" t="s">
        <v>1198</v>
      </c>
      <c r="C1580" s="4" t="s">
        <v>1197</v>
      </c>
      <c r="D1580" t="s">
        <v>1</v>
      </c>
      <c r="E1580" t="s">
        <v>214</v>
      </c>
      <c r="F1580" t="s">
        <v>1196</v>
      </c>
      <c r="G1580" s="3">
        <v>8298712915</v>
      </c>
      <c r="H1580" s="2">
        <v>46139</v>
      </c>
      <c r="K1580" s="1">
        <f ca="1">IF(A1580="","",IF(OR(L1580="ENTREGADA",L1580="RETORNADA",L1580="ENTREGA DIGITAL"),0,MAX(0,5-NETWORKDAYS(H1580+1,TODAY()))))</f>
        <v>1</v>
      </c>
      <c r="L1580">
        <f>IF(A1580="","",IFERROR(LOOKUP(2,1/(#REF!=Z1580),#REF!),Y1580))</f>
        <v>0</v>
      </c>
      <c r="Z1580" t="str">
        <f>IF(A1580="","",TEXT(A1580,"0")&amp;"|"&amp;TEXT(H1580,"0"))</f>
        <v>5227017911171280|46139</v>
      </c>
      <c r="AA1580" t="str">
        <f>IF(Z1580="","",IFERROR(LOOKUP(2,1/(#REF!=Z1580),#REF!),""))</f>
        <v/>
      </c>
      <c r="AB1580" t="str">
        <f>IF(Z1580="","",IFERROR(LOOKUP(2,1/(#REF!=Z1580),#REF!),""))</f>
        <v/>
      </c>
      <c r="AC1580" t="e">
        <f>IF(Z1580="","",COUNTIF(#REF!,Z1580))</f>
        <v>#REF!</v>
      </c>
      <c r="AD1580" t="e">
        <f>IF(A1580="","",IF(AC1580&gt;1,"REVISAR DUPLICADO",IF(AA1580&lt;&gt;"","ACTUALIZADO POR EYR","SIN REPORTE EYR")))</f>
        <v>#REF!</v>
      </c>
    </row>
    <row r="1581" spans="1:30" x14ac:dyDescent="0.3">
      <c r="A1581" s="5" t="s">
        <v>1195</v>
      </c>
      <c r="B1581" t="s">
        <v>1194</v>
      </c>
      <c r="C1581" s="4" t="s">
        <v>1193</v>
      </c>
      <c r="D1581" t="s">
        <v>1</v>
      </c>
      <c r="F1581" t="s">
        <v>1192</v>
      </c>
      <c r="G1581" s="3">
        <v>8099190092</v>
      </c>
      <c r="H1581" s="2">
        <v>46139</v>
      </c>
      <c r="K1581" s="1">
        <f ca="1">IF(A1581="","",IF(OR(L1581="ENTREGADA",L1581="RETORNADA",L1581="ENTREGA DIGITAL"),0,MAX(0,5-NETWORKDAYS(H1581+1,TODAY()))))</f>
        <v>1</v>
      </c>
      <c r="L1581">
        <f>IF(A1581="","",IFERROR(LOOKUP(2,1/(#REF!=Z1581),#REF!),Y1581))</f>
        <v>0</v>
      </c>
      <c r="Z1581" t="str">
        <f>IF(A1581="","",TEXT(A1581,"0")&amp;"|"&amp;TEXT(H1581,"0"))</f>
        <v>5188017911200740|46139</v>
      </c>
      <c r="AA1581" t="str">
        <f>IF(Z1581="","",IFERROR(LOOKUP(2,1/(#REF!=Z1581),#REF!),""))</f>
        <v/>
      </c>
      <c r="AB1581" t="str">
        <f>IF(Z1581="","",IFERROR(LOOKUP(2,1/(#REF!=Z1581),#REF!),""))</f>
        <v/>
      </c>
      <c r="AC1581" t="e">
        <f>IF(Z1581="","",COUNTIF(#REF!,Z1581))</f>
        <v>#REF!</v>
      </c>
      <c r="AD1581" t="e">
        <f>IF(A1581="","",IF(AC1581&gt;1,"REVISAR DUPLICADO",IF(AA1581&lt;&gt;"","ACTUALIZADO POR EYR","SIN REPORTE EYR")))</f>
        <v>#REF!</v>
      </c>
    </row>
    <row r="1582" spans="1:30" x14ac:dyDescent="0.3">
      <c r="A1582" s="5" t="s">
        <v>1191</v>
      </c>
      <c r="B1582" t="s">
        <v>1190</v>
      </c>
      <c r="C1582" s="4" t="s">
        <v>1189</v>
      </c>
      <c r="D1582" t="s">
        <v>1</v>
      </c>
      <c r="E1582" t="s">
        <v>214</v>
      </c>
      <c r="F1582" t="s">
        <v>648</v>
      </c>
      <c r="G1582" s="3">
        <v>8094272480</v>
      </c>
      <c r="H1582" s="2">
        <v>46139</v>
      </c>
      <c r="K1582" s="1">
        <f ca="1">IF(A1582="","",IF(OR(L1582="ENTREGADA",L1582="RETORNADA",L1582="ENTREGA DIGITAL"),0,MAX(0,5-NETWORKDAYS(H1582+1,TODAY()))))</f>
        <v>1</v>
      </c>
      <c r="L1582">
        <f>IF(A1582="","",IFERROR(LOOKUP(2,1/(#REF!=Z1582),#REF!),Y1582))</f>
        <v>0</v>
      </c>
      <c r="Z1582" t="str">
        <f>IF(A1582="","",TEXT(A1582,"0")&amp;"|"&amp;TEXT(H1582,"0"))</f>
        <v>5188017910909590|46139</v>
      </c>
      <c r="AA1582" t="str">
        <f>IF(Z1582="","",IFERROR(LOOKUP(2,1/(#REF!=Z1582),#REF!),""))</f>
        <v/>
      </c>
      <c r="AB1582" t="str">
        <f>IF(Z1582="","",IFERROR(LOOKUP(2,1/(#REF!=Z1582),#REF!),""))</f>
        <v/>
      </c>
      <c r="AC1582" t="e">
        <f>IF(Z1582="","",COUNTIF(#REF!,Z1582))</f>
        <v>#REF!</v>
      </c>
      <c r="AD1582" t="e">
        <f>IF(A1582="","",IF(AC1582&gt;1,"REVISAR DUPLICADO",IF(AA1582&lt;&gt;"","ACTUALIZADO POR EYR","SIN REPORTE EYR")))</f>
        <v>#REF!</v>
      </c>
    </row>
    <row r="1583" spans="1:30" x14ac:dyDescent="0.3">
      <c r="A1583" s="5" t="s">
        <v>1188</v>
      </c>
      <c r="B1583" t="s">
        <v>1187</v>
      </c>
      <c r="C1583" s="4" t="s">
        <v>1186</v>
      </c>
      <c r="D1583" t="s">
        <v>1</v>
      </c>
      <c r="E1583" t="s">
        <v>214</v>
      </c>
      <c r="F1583" t="s">
        <v>1185</v>
      </c>
      <c r="G1583" s="3">
        <v>8498782496</v>
      </c>
      <c r="H1583" s="2">
        <v>46139</v>
      </c>
      <c r="K1583" s="1">
        <f ca="1">IF(A1583="","",IF(OR(L1583="ENTREGADA",L1583="RETORNADA",L1583="ENTREGA DIGITAL"),0,MAX(0,5-NETWORKDAYS(H1583+1,TODAY()))))</f>
        <v>1</v>
      </c>
      <c r="L1583">
        <f>IF(A1583="","",IFERROR(LOOKUP(2,1/(#REF!=Z1583),#REF!),Y1583))</f>
        <v>0</v>
      </c>
      <c r="Z1583" t="str">
        <f>IF(A1583="","",TEXT(A1583,"0")&amp;"|"&amp;TEXT(H1583,"0"))</f>
        <v>4921017913073950|46139</v>
      </c>
      <c r="AA1583" t="str">
        <f>IF(Z1583="","",IFERROR(LOOKUP(2,1/(#REF!=Z1583),#REF!),""))</f>
        <v/>
      </c>
      <c r="AB1583" t="str">
        <f>IF(Z1583="","",IFERROR(LOOKUP(2,1/(#REF!=Z1583),#REF!),""))</f>
        <v/>
      </c>
      <c r="AC1583" t="e">
        <f>IF(Z1583="","",COUNTIF(#REF!,Z1583))</f>
        <v>#REF!</v>
      </c>
      <c r="AD1583" t="e">
        <f>IF(A1583="","",IF(AC1583&gt;1,"REVISAR DUPLICADO",IF(AA1583&lt;&gt;"","ACTUALIZADO POR EYR","SIN REPORTE EYR")))</f>
        <v>#REF!</v>
      </c>
    </row>
    <row r="1584" spans="1:30" x14ac:dyDescent="0.3">
      <c r="A1584" s="5" t="s">
        <v>1184</v>
      </c>
      <c r="B1584" t="s">
        <v>1183</v>
      </c>
      <c r="C1584" s="4" t="s">
        <v>1182</v>
      </c>
      <c r="D1584" t="s">
        <v>1</v>
      </c>
      <c r="F1584" t="s">
        <v>1181</v>
      </c>
      <c r="G1584" s="3">
        <v>8294391911</v>
      </c>
      <c r="H1584" s="2">
        <v>46139</v>
      </c>
      <c r="K1584" s="1">
        <f ca="1">IF(A1584="","",IF(OR(L1584="ENTREGADA",L1584="RETORNADA",L1584="ENTREGA DIGITAL"),0,MAX(0,5-NETWORKDAYS(H1584+1,TODAY()))))</f>
        <v>1</v>
      </c>
      <c r="L1584">
        <f>IF(A1584="","",IFERROR(LOOKUP(2,1/(#REF!=Z1584),#REF!),Y1584))</f>
        <v>0</v>
      </c>
      <c r="Z1584" t="str">
        <f>IF(A1584="","",TEXT(A1584,"0")&amp;"|"&amp;TEXT(H1584,"0"))</f>
        <v>4741017910435820|46139</v>
      </c>
      <c r="AA1584" t="str">
        <f>IF(Z1584="","",IFERROR(LOOKUP(2,1/(#REF!=Z1584),#REF!),""))</f>
        <v/>
      </c>
      <c r="AB1584" t="str">
        <f>IF(Z1584="","",IFERROR(LOOKUP(2,1/(#REF!=Z1584),#REF!),""))</f>
        <v/>
      </c>
      <c r="AC1584" t="e">
        <f>IF(Z1584="","",COUNTIF(#REF!,Z1584))</f>
        <v>#REF!</v>
      </c>
      <c r="AD1584" t="e">
        <f>IF(A1584="","",IF(AC1584&gt;1,"REVISAR DUPLICADO",IF(AA1584&lt;&gt;"","ACTUALIZADO POR EYR","SIN REPORTE EYR")))</f>
        <v>#REF!</v>
      </c>
    </row>
    <row r="1585" spans="1:30" x14ac:dyDescent="0.3">
      <c r="A1585" s="5" t="s">
        <v>1180</v>
      </c>
      <c r="B1585" t="s">
        <v>1179</v>
      </c>
      <c r="C1585" s="4" t="s">
        <v>1178</v>
      </c>
      <c r="D1585" t="s">
        <v>1</v>
      </c>
      <c r="E1585" t="s">
        <v>214</v>
      </c>
      <c r="F1585" t="s">
        <v>1177</v>
      </c>
      <c r="G1585" s="3">
        <v>8494096423</v>
      </c>
      <c r="H1585" s="2">
        <v>46139</v>
      </c>
      <c r="K1585" s="1">
        <f ca="1">IF(A1585="","",IF(OR(L1585="ENTREGADA",L1585="RETORNADA",L1585="ENTREGA DIGITAL"),0,MAX(0,5-NETWORKDAYS(H1585+1,TODAY()))))</f>
        <v>1</v>
      </c>
      <c r="L1585">
        <f>IF(A1585="","",IFERROR(LOOKUP(2,1/(#REF!=Z1585),#REF!),Y1585))</f>
        <v>0</v>
      </c>
      <c r="Z1585" t="str">
        <f>IF(A1585="","",TEXT(A1585,"0")&amp;"|"&amp;TEXT(H1585,"0"))</f>
        <v>4921017918713750|46139</v>
      </c>
      <c r="AA1585" t="str">
        <f>IF(Z1585="","",IFERROR(LOOKUP(2,1/(#REF!=Z1585),#REF!),""))</f>
        <v/>
      </c>
      <c r="AB1585" t="str">
        <f>IF(Z1585="","",IFERROR(LOOKUP(2,1/(#REF!=Z1585),#REF!),""))</f>
        <v/>
      </c>
      <c r="AC1585" t="e">
        <f>IF(Z1585="","",COUNTIF(#REF!,Z1585))</f>
        <v>#REF!</v>
      </c>
      <c r="AD1585" t="e">
        <f>IF(A1585="","",IF(AC1585&gt;1,"REVISAR DUPLICADO",IF(AA1585&lt;&gt;"","ACTUALIZADO POR EYR","SIN REPORTE EYR")))</f>
        <v>#REF!</v>
      </c>
    </row>
    <row r="1586" spans="1:30" x14ac:dyDescent="0.3">
      <c r="A1586" s="5" t="s">
        <v>1176</v>
      </c>
      <c r="B1586" t="s">
        <v>1175</v>
      </c>
      <c r="C1586" s="4" t="s">
        <v>1174</v>
      </c>
      <c r="D1586" t="s">
        <v>1</v>
      </c>
      <c r="F1586" t="s">
        <v>1173</v>
      </c>
      <c r="G1586" s="3">
        <v>8292047119</v>
      </c>
      <c r="H1586" s="2">
        <v>46139</v>
      </c>
      <c r="K1586" s="1">
        <f ca="1">IF(A1586="","",IF(OR(L1586="ENTREGADA",L1586="RETORNADA",L1586="ENTREGA DIGITAL"),0,MAX(0,5-NETWORKDAYS(H1586+1,TODAY()))))</f>
        <v>1</v>
      </c>
      <c r="L1586">
        <f>IF(A1586="","",IFERROR(LOOKUP(2,1/(#REF!=Z1586),#REF!),Y1586))</f>
        <v>0</v>
      </c>
      <c r="Z1586" t="str">
        <f>IF(A1586="","",TEXT(A1586,"0")&amp;"|"&amp;TEXT(H1586,"0"))</f>
        <v>5188017914872450|46139</v>
      </c>
      <c r="AA1586" t="str">
        <f>IF(Z1586="","",IFERROR(LOOKUP(2,1/(#REF!=Z1586),#REF!),""))</f>
        <v/>
      </c>
      <c r="AB1586" t="str">
        <f>IF(Z1586="","",IFERROR(LOOKUP(2,1/(#REF!=Z1586),#REF!),""))</f>
        <v/>
      </c>
      <c r="AC1586" t="e">
        <f>IF(Z1586="","",COUNTIF(#REF!,Z1586))</f>
        <v>#REF!</v>
      </c>
      <c r="AD1586" t="e">
        <f>IF(A1586="","",IF(AC1586&gt;1,"REVISAR DUPLICADO",IF(AA1586&lt;&gt;"","ACTUALIZADO POR EYR","SIN REPORTE EYR")))</f>
        <v>#REF!</v>
      </c>
    </row>
    <row r="1587" spans="1:30" x14ac:dyDescent="0.3">
      <c r="A1587" s="5" t="s">
        <v>1172</v>
      </c>
      <c r="B1587" t="s">
        <v>1171</v>
      </c>
      <c r="C1587" s="4" t="s">
        <v>1170</v>
      </c>
      <c r="D1587" t="s">
        <v>1</v>
      </c>
      <c r="E1587" t="s">
        <v>214</v>
      </c>
      <c r="F1587" t="s">
        <v>648</v>
      </c>
      <c r="G1587" s="3">
        <v>8493597918</v>
      </c>
      <c r="H1587" s="2">
        <v>46139</v>
      </c>
      <c r="K1587" s="1">
        <f ca="1">IF(A1587="","",IF(OR(L1587="ENTREGADA",L1587="RETORNADA",L1587="ENTREGA DIGITAL"),0,MAX(0,5-NETWORKDAYS(H1587+1,TODAY()))))</f>
        <v>1</v>
      </c>
      <c r="L1587">
        <f>IF(A1587="","",IFERROR(LOOKUP(2,1/(#REF!=Z1587),#REF!),Y1587))</f>
        <v>0</v>
      </c>
      <c r="Z1587" t="str">
        <f>IF(A1587="","",TEXT(A1587,"0")&amp;"|"&amp;TEXT(H1587,"0"))</f>
        <v>4921017918910680|46139</v>
      </c>
      <c r="AA1587" t="str">
        <f>IF(Z1587="","",IFERROR(LOOKUP(2,1/(#REF!=Z1587),#REF!),""))</f>
        <v/>
      </c>
      <c r="AB1587" t="str">
        <f>IF(Z1587="","",IFERROR(LOOKUP(2,1/(#REF!=Z1587),#REF!),""))</f>
        <v/>
      </c>
      <c r="AC1587" t="e">
        <f>IF(Z1587="","",COUNTIF(#REF!,Z1587))</f>
        <v>#REF!</v>
      </c>
      <c r="AD1587" t="e">
        <f>IF(A1587="","",IF(AC1587&gt;1,"REVISAR DUPLICADO",IF(AA1587&lt;&gt;"","ACTUALIZADO POR EYR","SIN REPORTE EYR")))</f>
        <v>#REF!</v>
      </c>
    </row>
    <row r="1588" spans="1:30" x14ac:dyDescent="0.3">
      <c r="A1588" s="5" t="s">
        <v>1169</v>
      </c>
      <c r="B1588" t="s">
        <v>1168</v>
      </c>
      <c r="C1588" s="4" t="s">
        <v>1167</v>
      </c>
      <c r="D1588" t="s">
        <v>1</v>
      </c>
      <c r="F1588" t="s">
        <v>1166</v>
      </c>
      <c r="G1588" s="3">
        <v>8294707431</v>
      </c>
      <c r="H1588" s="2">
        <v>46139</v>
      </c>
      <c r="K1588" s="1">
        <f ca="1">IF(A1588="","",IF(OR(L1588="ENTREGADA",L1588="RETORNADA",L1588="ENTREGA DIGITAL"),0,MAX(0,5-NETWORKDAYS(H1588+1,TODAY()))))</f>
        <v>1</v>
      </c>
      <c r="L1588">
        <f>IF(A1588="","",IFERROR(LOOKUP(2,1/(#REF!=Z1588),#REF!),Y1588))</f>
        <v>0</v>
      </c>
      <c r="Z1588" t="str">
        <f>IF(A1588="","",TEXT(A1588,"0")&amp;"|"&amp;TEXT(H1588,"0"))</f>
        <v>4921017917374080|46139</v>
      </c>
      <c r="AA1588" t="str">
        <f>IF(Z1588="","",IFERROR(LOOKUP(2,1/(#REF!=Z1588),#REF!),""))</f>
        <v/>
      </c>
      <c r="AB1588" t="str">
        <f>IF(Z1588="","",IFERROR(LOOKUP(2,1/(#REF!=Z1588),#REF!),""))</f>
        <v/>
      </c>
      <c r="AC1588" t="e">
        <f>IF(Z1588="","",COUNTIF(#REF!,Z1588))</f>
        <v>#REF!</v>
      </c>
      <c r="AD1588" t="e">
        <f>IF(A1588="","",IF(AC1588&gt;1,"REVISAR DUPLICADO",IF(AA1588&lt;&gt;"","ACTUALIZADO POR EYR","SIN REPORTE EYR")))</f>
        <v>#REF!</v>
      </c>
    </row>
    <row r="1589" spans="1:30" x14ac:dyDescent="0.3">
      <c r="A1589" s="5" t="s">
        <v>1165</v>
      </c>
      <c r="B1589" t="s">
        <v>1164</v>
      </c>
      <c r="C1589" s="4" t="s">
        <v>1163</v>
      </c>
      <c r="D1589" t="s">
        <v>1</v>
      </c>
      <c r="F1589" t="s">
        <v>1089</v>
      </c>
      <c r="G1589" s="3">
        <v>8094450247</v>
      </c>
      <c r="H1589" s="2">
        <v>46139</v>
      </c>
      <c r="K1589" s="1">
        <f ca="1">IF(A1589="","",IF(OR(L1589="ENTREGADA",L1589="RETORNADA",L1589="ENTREGA DIGITAL"),0,MAX(0,5-NETWORKDAYS(H1589+1,TODAY()))))</f>
        <v>1</v>
      </c>
      <c r="L1589">
        <f>IF(A1589="","",IFERROR(LOOKUP(2,1/(#REF!=Z1589),#REF!),Y1589))</f>
        <v>0</v>
      </c>
      <c r="Z1589" t="str">
        <f>IF(A1589="","",TEXT(A1589,"0")&amp;"|"&amp;TEXT(H1589,"0"))</f>
        <v>4921017918227960|46139</v>
      </c>
      <c r="AA1589" t="str">
        <f>IF(Z1589="","",IFERROR(LOOKUP(2,1/(#REF!=Z1589),#REF!),""))</f>
        <v/>
      </c>
      <c r="AB1589" t="str">
        <f>IF(Z1589="","",IFERROR(LOOKUP(2,1/(#REF!=Z1589),#REF!),""))</f>
        <v/>
      </c>
      <c r="AC1589" t="e">
        <f>IF(Z1589="","",COUNTIF(#REF!,Z1589))</f>
        <v>#REF!</v>
      </c>
      <c r="AD1589" t="e">
        <f>IF(A1589="","",IF(AC1589&gt;1,"REVISAR DUPLICADO",IF(AA1589&lt;&gt;"","ACTUALIZADO POR EYR","SIN REPORTE EYR")))</f>
        <v>#REF!</v>
      </c>
    </row>
    <row r="1590" spans="1:30" x14ac:dyDescent="0.3">
      <c r="A1590" s="5" t="s">
        <v>1162</v>
      </c>
      <c r="B1590" t="s">
        <v>1161</v>
      </c>
      <c r="C1590" s="4" t="s">
        <v>1160</v>
      </c>
      <c r="D1590" t="s">
        <v>1</v>
      </c>
      <c r="E1590" t="s">
        <v>214</v>
      </c>
      <c r="F1590" t="s">
        <v>648</v>
      </c>
      <c r="G1590" s="3">
        <v>9999999999</v>
      </c>
      <c r="H1590" s="2">
        <v>46139</v>
      </c>
      <c r="K1590" s="1">
        <f ca="1">IF(A1590="","",IF(OR(L1590="ENTREGADA",L1590="RETORNADA",L1590="ENTREGA DIGITAL"),0,MAX(0,5-NETWORKDAYS(H1590+1,TODAY()))))</f>
        <v>1</v>
      </c>
      <c r="L1590">
        <f>IF(A1590="","",IFERROR(LOOKUP(2,1/(#REF!=Z1590),#REF!),Y1590))</f>
        <v>0</v>
      </c>
      <c r="Z1590" t="str">
        <f>IF(A1590="","",TEXT(A1590,"0")&amp;"|"&amp;TEXT(H1590,"0"))</f>
        <v>4921017917794900|46139</v>
      </c>
      <c r="AA1590" t="str">
        <f>IF(Z1590="","",IFERROR(LOOKUP(2,1/(#REF!=Z1590),#REF!),""))</f>
        <v/>
      </c>
      <c r="AB1590" t="str">
        <f>IF(Z1590="","",IFERROR(LOOKUP(2,1/(#REF!=Z1590),#REF!),""))</f>
        <v/>
      </c>
      <c r="AC1590" t="e">
        <f>IF(Z1590="","",COUNTIF(#REF!,Z1590))</f>
        <v>#REF!</v>
      </c>
      <c r="AD1590" t="e">
        <f>IF(A1590="","",IF(AC1590&gt;1,"REVISAR DUPLICADO",IF(AA1590&lt;&gt;"","ACTUALIZADO POR EYR","SIN REPORTE EYR")))</f>
        <v>#REF!</v>
      </c>
    </row>
    <row r="1591" spans="1:30" x14ac:dyDescent="0.3">
      <c r="A1591" s="5" t="s">
        <v>1159</v>
      </c>
      <c r="B1591" t="s">
        <v>1158</v>
      </c>
      <c r="C1591" s="4" t="s">
        <v>1157</v>
      </c>
      <c r="D1591" t="s">
        <v>1</v>
      </c>
      <c r="E1591" t="s">
        <v>214</v>
      </c>
      <c r="F1591" t="s">
        <v>1156</v>
      </c>
      <c r="G1591" s="3">
        <v>8093506007</v>
      </c>
      <c r="H1591" s="2">
        <v>46139</v>
      </c>
      <c r="K1591" s="1">
        <f ca="1">IF(A1591="","",IF(OR(L1591="ENTREGADA",L1591="RETORNADA",L1591="ENTREGA DIGITAL"),0,MAX(0,5-NETWORKDAYS(H1591+1,TODAY()))))</f>
        <v>1</v>
      </c>
      <c r="L1591">
        <f>IF(A1591="","",IFERROR(LOOKUP(2,1/(#REF!=Z1591),#REF!),Y1591))</f>
        <v>0</v>
      </c>
      <c r="Z1591" t="str">
        <f>IF(A1591="","",TEXT(A1591,"0")&amp;"|"&amp;TEXT(H1591,"0"))</f>
        <v>5188017915461170|46139</v>
      </c>
      <c r="AA1591" t="str">
        <f>IF(Z1591="","",IFERROR(LOOKUP(2,1/(#REF!=Z1591),#REF!),""))</f>
        <v/>
      </c>
      <c r="AB1591" t="str">
        <f>IF(Z1591="","",IFERROR(LOOKUP(2,1/(#REF!=Z1591),#REF!),""))</f>
        <v/>
      </c>
      <c r="AC1591" t="e">
        <f>IF(Z1591="","",COUNTIF(#REF!,Z1591))</f>
        <v>#REF!</v>
      </c>
      <c r="AD1591" t="e">
        <f>IF(A1591="","",IF(AC1591&gt;1,"REVISAR DUPLICADO",IF(AA1591&lt;&gt;"","ACTUALIZADO POR EYR","SIN REPORTE EYR")))</f>
        <v>#REF!</v>
      </c>
    </row>
    <row r="1592" spans="1:30" x14ac:dyDescent="0.3">
      <c r="A1592" s="5" t="s">
        <v>864</v>
      </c>
      <c r="B1592" t="s">
        <v>863</v>
      </c>
      <c r="C1592" s="4">
        <v>40200545347</v>
      </c>
      <c r="D1592" t="s">
        <v>1</v>
      </c>
      <c r="F1592" t="s">
        <v>861</v>
      </c>
      <c r="G1592" s="3">
        <v>8099518442</v>
      </c>
      <c r="H1592" s="2">
        <v>46140</v>
      </c>
      <c r="K1592" s="1">
        <f ca="1">IF(A1592="","",IF(OR(L1592="ENTREGADA",L1592="RETORNADA",L1592="ENTREGA DIGITAL"),0,MAX(0,5-NETWORKDAYS(H1592+1,TODAY()))))</f>
        <v>2</v>
      </c>
      <c r="L1592">
        <f>IF(A1592="","",IFERROR(LOOKUP(2,1/(#REF!=Z1592),#REF!),Y1592))</f>
        <v>0</v>
      </c>
      <c r="Z1592" t="str">
        <f>IF(A1592="","",TEXT(A1592,"0")&amp;"|"&amp;TEXT(H1592,"0"))</f>
        <v>4921017746294600|46140</v>
      </c>
      <c r="AA1592" t="str">
        <f>IF(Z1592="","",IFERROR(LOOKUP(2,1/(#REF!=Z1592),#REF!),""))</f>
        <v/>
      </c>
      <c r="AB1592" t="str">
        <f>IF(Z1592="","",IFERROR(LOOKUP(2,1/(#REF!=Z1592),#REF!),""))</f>
        <v/>
      </c>
      <c r="AC1592" t="e">
        <f>IF(Z1592="","",COUNTIF(#REF!,Z1592))</f>
        <v>#REF!</v>
      </c>
      <c r="AD1592" t="e">
        <f>IF(A1592="","",IF(AC1592&gt;1,"REVISAR DUPLICADO",IF(AA1592&lt;&gt;"","ACTUALIZADO POR EYR","SIN REPORTE EYR")))</f>
        <v>#REF!</v>
      </c>
    </row>
    <row r="1593" spans="1:30" x14ac:dyDescent="0.3">
      <c r="A1593" s="5" t="s">
        <v>860</v>
      </c>
      <c r="B1593" t="s">
        <v>859</v>
      </c>
      <c r="C1593" s="4" t="s">
        <v>858</v>
      </c>
      <c r="D1593" t="s">
        <v>1</v>
      </c>
      <c r="F1593" t="s">
        <v>857</v>
      </c>
      <c r="G1593" s="3">
        <v>8094529550</v>
      </c>
      <c r="H1593" s="2">
        <v>46140</v>
      </c>
      <c r="K1593" s="1">
        <f ca="1">IF(A1593="","",IF(OR(L1593="ENTREGADA",L1593="RETORNADA",L1593="ENTREGA DIGITAL"),0,MAX(0,5-NETWORKDAYS(H1593+1,TODAY()))))</f>
        <v>2</v>
      </c>
      <c r="L1593">
        <f>IF(A1593="","",IFERROR(LOOKUP(2,1/(#REF!=Z1593),#REF!),Y1593))</f>
        <v>0</v>
      </c>
      <c r="Z1593" t="str">
        <f>IF(A1593="","",TEXT(A1593,"0")&amp;"|"&amp;TEXT(H1593,"0"))</f>
        <v>4921017925850970|46140</v>
      </c>
      <c r="AA1593" t="str">
        <f>IF(Z1593="","",IFERROR(LOOKUP(2,1/(#REF!=Z1593),#REF!),""))</f>
        <v/>
      </c>
      <c r="AB1593" t="str">
        <f>IF(Z1593="","",IFERROR(LOOKUP(2,1/(#REF!=Z1593),#REF!),""))</f>
        <v/>
      </c>
      <c r="AC1593" t="e">
        <f>IF(Z1593="","",COUNTIF(#REF!,Z1593))</f>
        <v>#REF!</v>
      </c>
      <c r="AD1593" t="e">
        <f>IF(A1593="","",IF(AC1593&gt;1,"REVISAR DUPLICADO",IF(AA1593&lt;&gt;"","ACTUALIZADO POR EYR","SIN REPORTE EYR")))</f>
        <v>#REF!</v>
      </c>
    </row>
    <row r="1594" spans="1:30" x14ac:dyDescent="0.3">
      <c r="A1594" s="5" t="s">
        <v>856</v>
      </c>
      <c r="B1594" t="s">
        <v>855</v>
      </c>
      <c r="C1594" s="4">
        <v>22900138193</v>
      </c>
      <c r="D1594" t="s">
        <v>1</v>
      </c>
      <c r="F1594" t="s">
        <v>853</v>
      </c>
      <c r="G1594" s="3">
        <v>8498624947</v>
      </c>
      <c r="H1594" s="2">
        <v>46140</v>
      </c>
      <c r="K1594" s="1">
        <f ca="1">IF(A1594="","",IF(OR(L1594="ENTREGADA",L1594="RETORNADA",L1594="ENTREGA DIGITAL"),0,MAX(0,5-NETWORKDAYS(H1594+1,TODAY()))))</f>
        <v>2</v>
      </c>
      <c r="L1594">
        <f>IF(A1594="","",IFERROR(LOOKUP(2,1/(#REF!=Z1594),#REF!),Y1594))</f>
        <v>0</v>
      </c>
      <c r="Z1594" t="str">
        <f>IF(A1594="","",TEXT(A1594,"0")&amp;"|"&amp;TEXT(H1594,"0"))</f>
        <v>4921017921302310|46140</v>
      </c>
      <c r="AA1594" t="str">
        <f>IF(Z1594="","",IFERROR(LOOKUP(2,1/(#REF!=Z1594),#REF!),""))</f>
        <v/>
      </c>
      <c r="AB1594" t="str">
        <f>IF(Z1594="","",IFERROR(LOOKUP(2,1/(#REF!=Z1594),#REF!),""))</f>
        <v/>
      </c>
      <c r="AC1594" t="e">
        <f>IF(Z1594="","",COUNTIF(#REF!,Z1594))</f>
        <v>#REF!</v>
      </c>
      <c r="AD1594" t="e">
        <f>IF(A1594="","",IF(AC1594&gt;1,"REVISAR DUPLICADO",IF(AA1594&lt;&gt;"","ACTUALIZADO POR EYR","SIN REPORTE EYR")))</f>
        <v>#REF!</v>
      </c>
    </row>
    <row r="1595" spans="1:30" x14ac:dyDescent="0.3">
      <c r="A1595" s="5" t="s">
        <v>852</v>
      </c>
      <c r="B1595" t="s">
        <v>851</v>
      </c>
      <c r="C1595" s="4">
        <v>40240486072</v>
      </c>
      <c r="D1595" t="s">
        <v>1</v>
      </c>
      <c r="F1595" t="s">
        <v>13</v>
      </c>
      <c r="G1595" s="3">
        <v>8296237078</v>
      </c>
      <c r="H1595" s="2">
        <v>46140</v>
      </c>
      <c r="K1595" s="1">
        <f ca="1">IF(A1595="","",IF(OR(L1595="ENTREGADA",L1595="RETORNADA",L1595="ENTREGA DIGITAL"),0,MAX(0,5-NETWORKDAYS(H1595+1,TODAY()))))</f>
        <v>2</v>
      </c>
      <c r="L1595">
        <f>IF(A1595="","",IFERROR(LOOKUP(2,1/(#REF!=Z1595),#REF!),Y1595))</f>
        <v>0</v>
      </c>
      <c r="Z1595" t="str">
        <f>IF(A1595="","",TEXT(A1595,"0")&amp;"|"&amp;TEXT(H1595,"0"))</f>
        <v>4921017836935060|46140</v>
      </c>
      <c r="AA1595" t="str">
        <f>IF(Z1595="","",IFERROR(LOOKUP(2,1/(#REF!=Z1595),#REF!),""))</f>
        <v/>
      </c>
      <c r="AB1595" t="str">
        <f>IF(Z1595="","",IFERROR(LOOKUP(2,1/(#REF!=Z1595),#REF!),""))</f>
        <v/>
      </c>
      <c r="AC1595" t="e">
        <f>IF(Z1595="","",COUNTIF(#REF!,Z1595))</f>
        <v>#REF!</v>
      </c>
      <c r="AD1595" t="e">
        <f>IF(A1595="","",IF(AC1595&gt;1,"REVISAR DUPLICADO",IF(AA1595&lt;&gt;"","ACTUALIZADO POR EYR","SIN REPORTE EYR")))</f>
        <v>#REF!</v>
      </c>
    </row>
    <row r="1596" spans="1:30" x14ac:dyDescent="0.3">
      <c r="A1596" s="5" t="s">
        <v>1155</v>
      </c>
      <c r="B1596" t="s">
        <v>1154</v>
      </c>
      <c r="C1596" s="4" t="s">
        <v>1153</v>
      </c>
      <c r="D1596" t="s">
        <v>77</v>
      </c>
      <c r="F1596" t="s">
        <v>35</v>
      </c>
      <c r="G1596" s="3">
        <v>8097505004</v>
      </c>
      <c r="H1596" s="2">
        <v>46139</v>
      </c>
      <c r="K1596" s="1">
        <f ca="1">IF(A1596="","",IF(OR(L1596="ENTREGADA",L1596="RETORNADA",L1596="ENTREGA DIGITAL"),0,MAX(0,5-NETWORKDAYS(H1596+1,TODAY()))))</f>
        <v>1</v>
      </c>
      <c r="L1596">
        <f>IF(A1596="","",IFERROR(LOOKUP(2,1/(#REF!=Z1596),#REF!),Y1596))</f>
        <v>0</v>
      </c>
      <c r="Z1596" t="str">
        <f>IF(A1596="","",TEXT(A1596,"0")&amp;"|"&amp;TEXT(H1596,"0"))</f>
        <v>4921017916984360|46139</v>
      </c>
      <c r="AA1596" t="str">
        <f>IF(Z1596="","",IFERROR(LOOKUP(2,1/(#REF!=Z1596),#REF!),""))</f>
        <v/>
      </c>
      <c r="AB1596" t="str">
        <f>IF(Z1596="","",IFERROR(LOOKUP(2,1/(#REF!=Z1596),#REF!),""))</f>
        <v/>
      </c>
      <c r="AC1596" t="e">
        <f>IF(Z1596="","",COUNTIF(#REF!,Z1596))</f>
        <v>#REF!</v>
      </c>
      <c r="AD1596" t="e">
        <f>IF(A1596="","",IF(AC1596&gt;1,"REVISAR DUPLICADO",IF(AA1596&lt;&gt;"","ACTUALIZADO POR EYR","SIN REPORTE EYR")))</f>
        <v>#REF!</v>
      </c>
    </row>
    <row r="1597" spans="1:30" x14ac:dyDescent="0.3">
      <c r="A1597" s="5" t="s">
        <v>1152</v>
      </c>
      <c r="B1597" t="s">
        <v>1151</v>
      </c>
      <c r="C1597" s="4" t="s">
        <v>1150</v>
      </c>
      <c r="D1597" t="s">
        <v>77</v>
      </c>
      <c r="F1597" t="s">
        <v>13</v>
      </c>
      <c r="G1597" s="3">
        <v>8293858844</v>
      </c>
      <c r="H1597" s="2">
        <v>46139</v>
      </c>
      <c r="K1597" s="1">
        <f ca="1">IF(A1597="","",IF(OR(L1597="ENTREGADA",L1597="RETORNADA",L1597="ENTREGA DIGITAL"),0,MAX(0,5-NETWORKDAYS(H1597+1,TODAY()))))</f>
        <v>1</v>
      </c>
      <c r="L1597">
        <f>IF(A1597="","",IFERROR(LOOKUP(2,1/(#REF!=Z1597),#REF!),Y1597))</f>
        <v>0</v>
      </c>
      <c r="Z1597" t="str">
        <f>IF(A1597="","",TEXT(A1597,"0")&amp;"|"&amp;TEXT(H1597,"0"))</f>
        <v>5188017920794260|46139</v>
      </c>
      <c r="AA1597" t="str">
        <f>IF(Z1597="","",IFERROR(LOOKUP(2,1/(#REF!=Z1597),#REF!),""))</f>
        <v/>
      </c>
      <c r="AB1597" t="str">
        <f>IF(Z1597="","",IFERROR(LOOKUP(2,1/(#REF!=Z1597),#REF!),""))</f>
        <v/>
      </c>
      <c r="AC1597" t="e">
        <f>IF(Z1597="","",COUNTIF(#REF!,Z1597))</f>
        <v>#REF!</v>
      </c>
      <c r="AD1597" t="e">
        <f>IF(A1597="","",IF(AC1597&gt;1,"REVISAR DUPLICADO",IF(AA1597&lt;&gt;"","ACTUALIZADO POR EYR","SIN REPORTE EYR")))</f>
        <v>#REF!</v>
      </c>
    </row>
    <row r="1598" spans="1:30" x14ac:dyDescent="0.3">
      <c r="A1598" s="5" t="s">
        <v>1149</v>
      </c>
      <c r="B1598" t="s">
        <v>1148</v>
      </c>
      <c r="C1598" s="4" t="s">
        <v>1147</v>
      </c>
      <c r="D1598" t="s">
        <v>77</v>
      </c>
      <c r="F1598" t="s">
        <v>13</v>
      </c>
      <c r="G1598" s="3">
        <v>8299778813</v>
      </c>
      <c r="H1598" s="2">
        <v>46139</v>
      </c>
      <c r="K1598" s="1">
        <f ca="1">IF(A1598="","",IF(OR(L1598="ENTREGADA",L1598="RETORNADA",L1598="ENTREGA DIGITAL"),0,MAX(0,5-NETWORKDAYS(H1598+1,TODAY()))))</f>
        <v>1</v>
      </c>
      <c r="L1598">
        <f>IF(A1598="","",IFERROR(LOOKUP(2,1/(#REF!=Z1598),#REF!),Y1598))</f>
        <v>0</v>
      </c>
      <c r="Z1598" t="str">
        <f>IF(A1598="","",TEXT(A1598,"0")&amp;"|"&amp;TEXT(H1598,"0"))</f>
        <v>5415017914971590|46139</v>
      </c>
      <c r="AA1598" t="str">
        <f>IF(Z1598="","",IFERROR(LOOKUP(2,1/(#REF!=Z1598),#REF!),""))</f>
        <v/>
      </c>
      <c r="AB1598" t="str">
        <f>IF(Z1598="","",IFERROR(LOOKUP(2,1/(#REF!=Z1598),#REF!),""))</f>
        <v/>
      </c>
      <c r="AC1598" t="e">
        <f>IF(Z1598="","",COUNTIF(#REF!,Z1598))</f>
        <v>#REF!</v>
      </c>
      <c r="AD1598" t="e">
        <f>IF(A1598="","",IF(AC1598&gt;1,"REVISAR DUPLICADO",IF(AA1598&lt;&gt;"","ACTUALIZADO POR EYR","SIN REPORTE EYR")))</f>
        <v>#REF!</v>
      </c>
    </row>
    <row r="1599" spans="1:30" x14ac:dyDescent="0.3">
      <c r="A1599" s="5" t="s">
        <v>1146</v>
      </c>
      <c r="B1599" t="s">
        <v>1145</v>
      </c>
      <c r="C1599" s="4" t="s">
        <v>1144</v>
      </c>
      <c r="D1599" t="s">
        <v>77</v>
      </c>
      <c r="F1599" t="s">
        <v>1129</v>
      </c>
      <c r="G1599" s="3">
        <v>8293138583</v>
      </c>
      <c r="H1599" s="2">
        <v>46139</v>
      </c>
      <c r="K1599" s="1">
        <f ca="1">IF(A1599="","",IF(OR(L1599="ENTREGADA",L1599="RETORNADA",L1599="ENTREGA DIGITAL"),0,MAX(0,5-NETWORKDAYS(H1599+1,TODAY()))))</f>
        <v>1</v>
      </c>
      <c r="L1599">
        <f>IF(A1599="","",IFERROR(LOOKUP(2,1/(#REF!=Z1599),#REF!),Y1599))</f>
        <v>0</v>
      </c>
      <c r="Z1599" t="str">
        <f>IF(A1599="","",TEXT(A1599,"0")&amp;"|"&amp;TEXT(H1599,"0"))</f>
        <v>5415017914021300|46139</v>
      </c>
      <c r="AA1599" t="str">
        <f>IF(Z1599="","",IFERROR(LOOKUP(2,1/(#REF!=Z1599),#REF!),""))</f>
        <v/>
      </c>
      <c r="AB1599" t="str">
        <f>IF(Z1599="","",IFERROR(LOOKUP(2,1/(#REF!=Z1599),#REF!),""))</f>
        <v/>
      </c>
      <c r="AC1599" t="e">
        <f>IF(Z1599="","",COUNTIF(#REF!,Z1599))</f>
        <v>#REF!</v>
      </c>
      <c r="AD1599" t="e">
        <f>IF(A1599="","",IF(AC1599&gt;1,"REVISAR DUPLICADO",IF(AA1599&lt;&gt;"","ACTUALIZADO POR EYR","SIN REPORTE EYR")))</f>
        <v>#REF!</v>
      </c>
    </row>
    <row r="1600" spans="1:30" x14ac:dyDescent="0.3">
      <c r="A1600" s="5" t="s">
        <v>1143</v>
      </c>
      <c r="B1600" t="s">
        <v>1142</v>
      </c>
      <c r="C1600" s="4" t="s">
        <v>1141</v>
      </c>
      <c r="D1600" t="s">
        <v>77</v>
      </c>
      <c r="F1600" t="s">
        <v>13</v>
      </c>
      <c r="G1600" s="3">
        <v>8293718852</v>
      </c>
      <c r="H1600" s="2">
        <v>46139</v>
      </c>
      <c r="K1600" s="1">
        <f ca="1">IF(A1600="","",IF(OR(L1600="ENTREGADA",L1600="RETORNADA",L1600="ENTREGA DIGITAL"),0,MAX(0,5-NETWORKDAYS(H1600+1,TODAY()))))</f>
        <v>1</v>
      </c>
      <c r="L1600">
        <f>IF(A1600="","",IFERROR(LOOKUP(2,1/(#REF!=Z1600),#REF!),Y1600))</f>
        <v>0</v>
      </c>
      <c r="Z1600" t="str">
        <f>IF(A1600="","",TEXT(A1600,"0")&amp;"|"&amp;TEXT(H1600,"0"))</f>
        <v>5188017915688210|46139</v>
      </c>
      <c r="AA1600" t="str">
        <f>IF(Z1600="","",IFERROR(LOOKUP(2,1/(#REF!=Z1600),#REF!),""))</f>
        <v/>
      </c>
      <c r="AB1600" t="str">
        <f>IF(Z1600="","",IFERROR(LOOKUP(2,1/(#REF!=Z1600),#REF!),""))</f>
        <v/>
      </c>
      <c r="AC1600" t="e">
        <f>IF(Z1600="","",COUNTIF(#REF!,Z1600))</f>
        <v>#REF!</v>
      </c>
      <c r="AD1600" t="e">
        <f>IF(A1600="","",IF(AC1600&gt;1,"REVISAR DUPLICADO",IF(AA1600&lt;&gt;"","ACTUALIZADO POR EYR","SIN REPORTE EYR")))</f>
        <v>#REF!</v>
      </c>
    </row>
    <row r="1601" spans="1:30" x14ac:dyDescent="0.3">
      <c r="A1601" s="5" t="s">
        <v>1140</v>
      </c>
      <c r="B1601" t="s">
        <v>1139</v>
      </c>
      <c r="C1601" s="4" t="s">
        <v>1138</v>
      </c>
      <c r="D1601" t="s">
        <v>77</v>
      </c>
      <c r="F1601" t="s">
        <v>1137</v>
      </c>
      <c r="G1601" s="3">
        <v>8292736224</v>
      </c>
      <c r="H1601" s="2">
        <v>46139</v>
      </c>
      <c r="K1601" s="1">
        <f ca="1">IF(A1601="","",IF(OR(L1601="ENTREGADA",L1601="RETORNADA",L1601="ENTREGA DIGITAL"),0,MAX(0,5-NETWORKDAYS(H1601+1,TODAY()))))</f>
        <v>1</v>
      </c>
      <c r="L1601">
        <f>IF(A1601="","",IFERROR(LOOKUP(2,1/(#REF!=Z1601),#REF!),Y1601))</f>
        <v>0</v>
      </c>
      <c r="Z1601" t="str">
        <f>IF(A1601="","",TEXT(A1601,"0")&amp;"|"&amp;TEXT(H1601,"0"))</f>
        <v>4921017917822420|46139</v>
      </c>
      <c r="AA1601" t="str">
        <f>IF(Z1601="","",IFERROR(LOOKUP(2,1/(#REF!=Z1601),#REF!),""))</f>
        <v/>
      </c>
      <c r="AB1601" t="str">
        <f>IF(Z1601="","",IFERROR(LOOKUP(2,1/(#REF!=Z1601),#REF!),""))</f>
        <v/>
      </c>
      <c r="AC1601" t="e">
        <f>IF(Z1601="","",COUNTIF(#REF!,Z1601))</f>
        <v>#REF!</v>
      </c>
      <c r="AD1601" t="e">
        <f>IF(A1601="","",IF(AC1601&gt;1,"REVISAR DUPLICADO",IF(AA1601&lt;&gt;"","ACTUALIZADO POR EYR","SIN REPORTE EYR")))</f>
        <v>#REF!</v>
      </c>
    </row>
    <row r="1602" spans="1:30" x14ac:dyDescent="0.3">
      <c r="A1602" s="5" t="s">
        <v>1136</v>
      </c>
      <c r="B1602" t="s">
        <v>1135</v>
      </c>
      <c r="C1602" s="4" t="s">
        <v>1134</v>
      </c>
      <c r="D1602" t="s">
        <v>77</v>
      </c>
      <c r="F1602" t="s">
        <v>1133</v>
      </c>
      <c r="G1602" s="3">
        <v>8098549367</v>
      </c>
      <c r="H1602" s="2">
        <v>46139</v>
      </c>
      <c r="K1602" s="1">
        <f ca="1">IF(A1602="","",IF(OR(L1602="ENTREGADA",L1602="RETORNADA",L1602="ENTREGA DIGITAL"),0,MAX(0,5-NETWORKDAYS(H1602+1,TODAY()))))</f>
        <v>1</v>
      </c>
      <c r="L1602">
        <f>IF(A1602="","",IFERROR(LOOKUP(2,1/(#REF!=Z1602),#REF!),Y1602))</f>
        <v>0</v>
      </c>
      <c r="Z1602" t="str">
        <f>IF(A1602="","",TEXT(A1602,"0")&amp;"|"&amp;TEXT(H1602,"0"))</f>
        <v>4025017923031920|46139</v>
      </c>
      <c r="AA1602" t="str">
        <f>IF(Z1602="","",IFERROR(LOOKUP(2,1/(#REF!=Z1602),#REF!),""))</f>
        <v/>
      </c>
      <c r="AB1602" t="str">
        <f>IF(Z1602="","",IFERROR(LOOKUP(2,1/(#REF!=Z1602),#REF!),""))</f>
        <v/>
      </c>
      <c r="AC1602" t="e">
        <f>IF(Z1602="","",COUNTIF(#REF!,Z1602))</f>
        <v>#REF!</v>
      </c>
      <c r="AD1602" t="e">
        <f>IF(A1602="","",IF(AC1602&gt;1,"REVISAR DUPLICADO",IF(AA1602&lt;&gt;"","ACTUALIZADO POR EYR","SIN REPORTE EYR")))</f>
        <v>#REF!</v>
      </c>
    </row>
    <row r="1603" spans="1:30" x14ac:dyDescent="0.3">
      <c r="A1603" s="5" t="s">
        <v>1132</v>
      </c>
      <c r="B1603" t="s">
        <v>1131</v>
      </c>
      <c r="C1603" s="4" t="s">
        <v>1130</v>
      </c>
      <c r="D1603" t="s">
        <v>77</v>
      </c>
      <c r="F1603" t="s">
        <v>1129</v>
      </c>
      <c r="G1603" s="3">
        <v>8098765153</v>
      </c>
      <c r="H1603" s="2">
        <v>46139</v>
      </c>
      <c r="K1603" s="1">
        <f ca="1">IF(A1603="","",IF(OR(L1603="ENTREGADA",L1603="RETORNADA",L1603="ENTREGA DIGITAL"),0,MAX(0,5-NETWORKDAYS(H1603+1,TODAY()))))</f>
        <v>1</v>
      </c>
      <c r="L1603">
        <f>IF(A1603="","",IFERROR(LOOKUP(2,1/(#REF!=Z1603),#REF!),Y1603))</f>
        <v>0</v>
      </c>
      <c r="Z1603" t="str">
        <f>IF(A1603="","",TEXT(A1603,"0")&amp;"|"&amp;TEXT(H1603,"0"))</f>
        <v>4025017919276530|46139</v>
      </c>
      <c r="AA1603" t="str">
        <f>IF(Z1603="","",IFERROR(LOOKUP(2,1/(#REF!=Z1603),#REF!),""))</f>
        <v/>
      </c>
      <c r="AB1603" t="str">
        <f>IF(Z1603="","",IFERROR(LOOKUP(2,1/(#REF!=Z1603),#REF!),""))</f>
        <v/>
      </c>
      <c r="AC1603" t="e">
        <f>IF(Z1603="","",COUNTIF(#REF!,Z1603))</f>
        <v>#REF!</v>
      </c>
      <c r="AD1603" t="e">
        <f>IF(A1603="","",IF(AC1603&gt;1,"REVISAR DUPLICADO",IF(AA1603&lt;&gt;"","ACTUALIZADO POR EYR","SIN REPORTE EYR")))</f>
        <v>#REF!</v>
      </c>
    </row>
    <row r="1604" spans="1:30" x14ac:dyDescent="0.3">
      <c r="A1604" s="5" t="s">
        <v>1128</v>
      </c>
      <c r="B1604" t="s">
        <v>1127</v>
      </c>
      <c r="C1604" s="4" t="s">
        <v>1126</v>
      </c>
      <c r="D1604" t="s">
        <v>77</v>
      </c>
      <c r="E1604" t="s">
        <v>214</v>
      </c>
      <c r="F1604" t="s">
        <v>391</v>
      </c>
      <c r="G1604" s="3">
        <v>8492201513</v>
      </c>
      <c r="H1604" s="2">
        <v>46139</v>
      </c>
      <c r="K1604" s="1">
        <f ca="1">IF(A1604="","",IF(OR(L1604="ENTREGADA",L1604="RETORNADA",L1604="ENTREGA DIGITAL"),0,MAX(0,5-NETWORKDAYS(H1604+1,TODAY()))))</f>
        <v>1</v>
      </c>
      <c r="L1604">
        <f>IF(A1604="","",IFERROR(LOOKUP(2,1/(#REF!=Z1604),#REF!),Y1604))</f>
        <v>0</v>
      </c>
      <c r="Z1604" t="str">
        <f>IF(A1604="","",TEXT(A1604,"0")&amp;"|"&amp;TEXT(H1604,"0"))</f>
        <v>4921017922645550|46139</v>
      </c>
      <c r="AA1604" t="str">
        <f>IF(Z1604="","",IFERROR(LOOKUP(2,1/(#REF!=Z1604),#REF!),""))</f>
        <v/>
      </c>
      <c r="AB1604" t="str">
        <f>IF(Z1604="","",IFERROR(LOOKUP(2,1/(#REF!=Z1604),#REF!),""))</f>
        <v/>
      </c>
      <c r="AC1604" t="e">
        <f>IF(Z1604="","",COUNTIF(#REF!,Z1604))</f>
        <v>#REF!</v>
      </c>
      <c r="AD1604" t="e">
        <f>IF(A1604="","",IF(AC1604&gt;1,"REVISAR DUPLICADO",IF(AA1604&lt;&gt;"","ACTUALIZADO POR EYR","SIN REPORTE EYR")))</f>
        <v>#REF!</v>
      </c>
    </row>
    <row r="1605" spans="1:30" x14ac:dyDescent="0.3">
      <c r="A1605" s="5" t="s">
        <v>1125</v>
      </c>
      <c r="B1605" t="s">
        <v>1124</v>
      </c>
      <c r="C1605" s="4" t="s">
        <v>1123</v>
      </c>
      <c r="D1605" t="s">
        <v>77</v>
      </c>
      <c r="F1605" t="s">
        <v>13</v>
      </c>
      <c r="G1605" s="3">
        <v>8293308663</v>
      </c>
      <c r="H1605" s="2">
        <v>46139</v>
      </c>
      <c r="K1605" s="1">
        <f ca="1">IF(A1605="","",IF(OR(L1605="ENTREGADA",L1605="RETORNADA",L1605="ENTREGA DIGITAL"),0,MAX(0,5-NETWORKDAYS(H1605+1,TODAY()))))</f>
        <v>1</v>
      </c>
      <c r="L1605">
        <f>IF(A1605="","",IFERROR(LOOKUP(2,1/(#REF!=Z1605),#REF!),Y1605))</f>
        <v>0</v>
      </c>
      <c r="Z1605" t="str">
        <f>IF(A1605="","",TEXT(A1605,"0")&amp;"|"&amp;TEXT(H1605,"0"))</f>
        <v>4921017921241210|46139</v>
      </c>
      <c r="AA1605" t="str">
        <f>IF(Z1605="","",IFERROR(LOOKUP(2,1/(#REF!=Z1605),#REF!),""))</f>
        <v/>
      </c>
      <c r="AB1605" t="str">
        <f>IF(Z1605="","",IFERROR(LOOKUP(2,1/(#REF!=Z1605),#REF!),""))</f>
        <v/>
      </c>
      <c r="AC1605" t="e">
        <f>IF(Z1605="","",COUNTIF(#REF!,Z1605))</f>
        <v>#REF!</v>
      </c>
      <c r="AD1605" t="e">
        <f>IF(A1605="","",IF(AC1605&gt;1,"REVISAR DUPLICADO",IF(AA1605&lt;&gt;"","ACTUALIZADO POR EYR","SIN REPORTE EYR")))</f>
        <v>#REF!</v>
      </c>
    </row>
    <row r="1606" spans="1:30" x14ac:dyDescent="0.3">
      <c r="A1606" s="5" t="s">
        <v>1122</v>
      </c>
      <c r="B1606" t="s">
        <v>1121</v>
      </c>
      <c r="C1606" s="4" t="s">
        <v>1120</v>
      </c>
      <c r="D1606" t="s">
        <v>77</v>
      </c>
      <c r="F1606" t="s">
        <v>135</v>
      </c>
      <c r="G1606" s="3">
        <v>8298017178</v>
      </c>
      <c r="H1606" s="2">
        <v>46139</v>
      </c>
      <c r="K1606" s="1">
        <f ca="1">IF(A1606="","",IF(OR(L1606="ENTREGADA",L1606="RETORNADA",L1606="ENTREGA DIGITAL"),0,MAX(0,5-NETWORKDAYS(H1606+1,TODAY()))))</f>
        <v>1</v>
      </c>
      <c r="L1606">
        <f>IF(A1606="","",IFERROR(LOOKUP(2,1/(#REF!=Z1606),#REF!),Y1606))</f>
        <v>0</v>
      </c>
      <c r="Z1606" t="str">
        <f>IF(A1606="","",TEXT(A1606,"0")&amp;"|"&amp;TEXT(H1606,"0"))</f>
        <v>4921017918189880|46139</v>
      </c>
      <c r="AA1606" t="str">
        <f>IF(Z1606="","",IFERROR(LOOKUP(2,1/(#REF!=Z1606),#REF!),""))</f>
        <v/>
      </c>
      <c r="AB1606" t="str">
        <f>IF(Z1606="","",IFERROR(LOOKUP(2,1/(#REF!=Z1606),#REF!),""))</f>
        <v/>
      </c>
      <c r="AC1606" t="e">
        <f>IF(Z1606="","",COUNTIF(#REF!,Z1606))</f>
        <v>#REF!</v>
      </c>
      <c r="AD1606" t="e">
        <f>IF(A1606="","",IF(AC1606&gt;1,"REVISAR DUPLICADO",IF(AA1606&lt;&gt;"","ACTUALIZADO POR EYR","SIN REPORTE EYR")))</f>
        <v>#REF!</v>
      </c>
    </row>
    <row r="1607" spans="1:30" x14ac:dyDescent="0.3">
      <c r="A1607" s="5" t="s">
        <v>1119</v>
      </c>
      <c r="B1607" t="s">
        <v>1118</v>
      </c>
      <c r="C1607" s="4" t="s">
        <v>1117</v>
      </c>
      <c r="D1607" t="s">
        <v>77</v>
      </c>
      <c r="F1607" t="s">
        <v>1116</v>
      </c>
      <c r="G1607" s="3">
        <v>8098610761</v>
      </c>
      <c r="H1607" s="2">
        <v>46139</v>
      </c>
      <c r="K1607" s="1">
        <f ca="1">IF(A1607="","",IF(OR(L1607="ENTREGADA",L1607="RETORNADA",L1607="ENTREGA DIGITAL"),0,MAX(0,5-NETWORKDAYS(H1607+1,TODAY()))))</f>
        <v>1</v>
      </c>
      <c r="L1607">
        <f>IF(A1607="","",IFERROR(LOOKUP(2,1/(#REF!=Z1607),#REF!),Y1607))</f>
        <v>0</v>
      </c>
      <c r="Z1607" t="str">
        <f>IF(A1607="","",TEXT(A1607,"0")&amp;"|"&amp;TEXT(H1607,"0"))</f>
        <v>4921017917522590|46139</v>
      </c>
      <c r="AA1607" t="str">
        <f>IF(Z1607="","",IFERROR(LOOKUP(2,1/(#REF!=Z1607),#REF!),""))</f>
        <v/>
      </c>
      <c r="AB1607" t="str">
        <f>IF(Z1607="","",IFERROR(LOOKUP(2,1/(#REF!=Z1607),#REF!),""))</f>
        <v/>
      </c>
      <c r="AC1607" t="e">
        <f>IF(Z1607="","",COUNTIF(#REF!,Z1607))</f>
        <v>#REF!</v>
      </c>
      <c r="AD1607" t="e">
        <f>IF(A1607="","",IF(AC1607&gt;1,"REVISAR DUPLICADO",IF(AA1607&lt;&gt;"","ACTUALIZADO POR EYR","SIN REPORTE EYR")))</f>
        <v>#REF!</v>
      </c>
    </row>
    <row r="1608" spans="1:30" x14ac:dyDescent="0.3">
      <c r="A1608" s="5" t="s">
        <v>1115</v>
      </c>
      <c r="B1608" t="s">
        <v>1114</v>
      </c>
      <c r="C1608" s="4" t="s">
        <v>1113</v>
      </c>
      <c r="D1608" t="s">
        <v>77</v>
      </c>
      <c r="E1608" t="s">
        <v>21</v>
      </c>
      <c r="F1608" t="s">
        <v>1112</v>
      </c>
      <c r="G1608" s="3">
        <v>8296417501</v>
      </c>
      <c r="H1608" s="2">
        <v>46139</v>
      </c>
      <c r="K1608" s="1">
        <f ca="1">IF(A1608="","",IF(OR(L1608="ENTREGADA",L1608="RETORNADA",L1608="ENTREGA DIGITAL"),0,MAX(0,5-NETWORKDAYS(H1608+1,TODAY()))))</f>
        <v>1</v>
      </c>
      <c r="L1608">
        <f>IF(A1608="","",IFERROR(LOOKUP(2,1/(#REF!=Z1608),#REF!),Y1608))</f>
        <v>0</v>
      </c>
      <c r="Z1608" t="str">
        <f>IF(A1608="","",TEXT(A1608,"0")&amp;"|"&amp;TEXT(H1608,"0"))</f>
        <v>4921017917903490|46139</v>
      </c>
      <c r="AA1608" t="str">
        <f>IF(Z1608="","",IFERROR(LOOKUP(2,1/(#REF!=Z1608),#REF!),""))</f>
        <v/>
      </c>
      <c r="AB1608" t="str">
        <f>IF(Z1608="","",IFERROR(LOOKUP(2,1/(#REF!=Z1608),#REF!),""))</f>
        <v/>
      </c>
      <c r="AC1608" t="e">
        <f>IF(Z1608="","",COUNTIF(#REF!,Z1608))</f>
        <v>#REF!</v>
      </c>
      <c r="AD1608" t="e">
        <f>IF(A1608="","",IF(AC1608&gt;1,"REVISAR DUPLICADO",IF(AA1608&lt;&gt;"","ACTUALIZADO POR EYR","SIN REPORTE EYR")))</f>
        <v>#REF!</v>
      </c>
    </row>
    <row r="1609" spans="1:30" x14ac:dyDescent="0.3">
      <c r="A1609" s="5" t="s">
        <v>1111</v>
      </c>
      <c r="B1609" t="s">
        <v>1110</v>
      </c>
      <c r="C1609" s="4" t="s">
        <v>1109</v>
      </c>
      <c r="D1609" t="s">
        <v>77</v>
      </c>
      <c r="F1609" t="s">
        <v>1108</v>
      </c>
      <c r="G1609" s="3">
        <v>8092211290</v>
      </c>
      <c r="H1609" s="2">
        <v>46139</v>
      </c>
      <c r="K1609" s="1">
        <f ca="1">IF(A1609="","",IF(OR(L1609="ENTREGADA",L1609="RETORNADA",L1609="ENTREGA DIGITAL"),0,MAX(0,5-NETWORKDAYS(H1609+1,TODAY()))))</f>
        <v>1</v>
      </c>
      <c r="L1609">
        <f>IF(A1609="","",IFERROR(LOOKUP(2,1/(#REF!=Z1609),#REF!),Y1609))</f>
        <v>0</v>
      </c>
      <c r="Z1609" t="str">
        <f>IF(A1609="","",TEXT(A1609,"0")&amp;"|"&amp;TEXT(H1609,"0"))</f>
        <v>4921017918003540|46139</v>
      </c>
      <c r="AA1609" t="str">
        <f>IF(Z1609="","",IFERROR(LOOKUP(2,1/(#REF!=Z1609),#REF!),""))</f>
        <v/>
      </c>
      <c r="AB1609" t="str">
        <f>IF(Z1609="","",IFERROR(LOOKUP(2,1/(#REF!=Z1609),#REF!),""))</f>
        <v/>
      </c>
      <c r="AC1609" t="e">
        <f>IF(Z1609="","",COUNTIF(#REF!,Z1609))</f>
        <v>#REF!</v>
      </c>
      <c r="AD1609" t="e">
        <f>IF(A1609="","",IF(AC1609&gt;1,"REVISAR DUPLICADO",IF(AA1609&lt;&gt;"","ACTUALIZADO POR EYR","SIN REPORTE EYR")))</f>
        <v>#REF!</v>
      </c>
    </row>
    <row r="1610" spans="1:30" x14ac:dyDescent="0.3">
      <c r="A1610" s="5" t="s">
        <v>1107</v>
      </c>
      <c r="B1610" t="s">
        <v>1106</v>
      </c>
      <c r="C1610" s="4" t="s">
        <v>1105</v>
      </c>
      <c r="D1610" t="s">
        <v>77</v>
      </c>
      <c r="F1610" t="s">
        <v>1104</v>
      </c>
      <c r="G1610" s="3">
        <v>8493885896</v>
      </c>
      <c r="H1610" s="2">
        <v>46139</v>
      </c>
      <c r="K1610" s="1">
        <f ca="1">IF(A1610="","",IF(OR(L1610="ENTREGADA",L1610="RETORNADA",L1610="ENTREGA DIGITAL"),0,MAX(0,5-NETWORKDAYS(H1610+1,TODAY()))))</f>
        <v>1</v>
      </c>
      <c r="L1610">
        <f>IF(A1610="","",IFERROR(LOOKUP(2,1/(#REF!=Z1610),#REF!),Y1610))</f>
        <v>0</v>
      </c>
      <c r="Z1610" t="str">
        <f>IF(A1610="","",TEXT(A1610,"0")&amp;"|"&amp;TEXT(H1610,"0"))</f>
        <v>4921017921453800|46139</v>
      </c>
      <c r="AA1610" t="str">
        <f>IF(Z1610="","",IFERROR(LOOKUP(2,1/(#REF!=Z1610),#REF!),""))</f>
        <v/>
      </c>
      <c r="AB1610" t="str">
        <f>IF(Z1610="","",IFERROR(LOOKUP(2,1/(#REF!=Z1610),#REF!),""))</f>
        <v/>
      </c>
      <c r="AC1610" t="e">
        <f>IF(Z1610="","",COUNTIF(#REF!,Z1610))</f>
        <v>#REF!</v>
      </c>
      <c r="AD1610" t="e">
        <f>IF(A1610="","",IF(AC1610&gt;1,"REVISAR DUPLICADO",IF(AA1610&lt;&gt;"","ACTUALIZADO POR EYR","SIN REPORTE EYR")))</f>
        <v>#REF!</v>
      </c>
    </row>
    <row r="1611" spans="1:30" x14ac:dyDescent="0.3">
      <c r="A1611" s="5" t="s">
        <v>1103</v>
      </c>
      <c r="B1611" t="s">
        <v>1102</v>
      </c>
      <c r="C1611" s="4" t="s">
        <v>1101</v>
      </c>
      <c r="D1611" t="s">
        <v>21</v>
      </c>
      <c r="E1611" t="s">
        <v>21</v>
      </c>
      <c r="F1611" t="s">
        <v>62</v>
      </c>
      <c r="G1611" s="3">
        <v>8094591827</v>
      </c>
      <c r="H1611" s="2">
        <v>46139</v>
      </c>
      <c r="K1611" s="1">
        <f ca="1">IF(A1611="","",IF(OR(L1611="ENTREGADA",L1611="RETORNADA",L1611="ENTREGA DIGITAL"),0,MAX(0,5-NETWORKDAYS(H1611+1,TODAY()))))</f>
        <v>1</v>
      </c>
      <c r="L1611">
        <f>IF(A1611="","",IFERROR(LOOKUP(2,1/(#REF!=Z1611),#REF!),Y1611))</f>
        <v>0</v>
      </c>
      <c r="Z1611" t="str">
        <f>IF(A1611="","",TEXT(A1611,"0")&amp;"|"&amp;TEXT(H1611,"0"))</f>
        <v>4921017917058700|46139</v>
      </c>
      <c r="AA1611" t="str">
        <f>IF(Z1611="","",IFERROR(LOOKUP(2,1/(#REF!=Z1611),#REF!),""))</f>
        <v/>
      </c>
      <c r="AB1611" t="str">
        <f>IF(Z1611="","",IFERROR(LOOKUP(2,1/(#REF!=Z1611),#REF!),""))</f>
        <v/>
      </c>
      <c r="AC1611" t="e">
        <f>IF(Z1611="","",COUNTIF(#REF!,Z1611))</f>
        <v>#REF!</v>
      </c>
      <c r="AD1611" t="e">
        <f>IF(A1611="","",IF(AC1611&gt;1,"REVISAR DUPLICADO",IF(AA1611&lt;&gt;"","ACTUALIZADO POR EYR","SIN REPORTE EYR")))</f>
        <v>#REF!</v>
      </c>
    </row>
    <row r="1612" spans="1:30" x14ac:dyDescent="0.3">
      <c r="A1612" s="5" t="s">
        <v>1100</v>
      </c>
      <c r="B1612" t="s">
        <v>1099</v>
      </c>
      <c r="C1612" s="4" t="s">
        <v>1098</v>
      </c>
      <c r="D1612" t="s">
        <v>21</v>
      </c>
      <c r="F1612" t="s">
        <v>1097</v>
      </c>
      <c r="G1612" s="3">
        <v>8293859281</v>
      </c>
      <c r="H1612" s="2">
        <v>46139</v>
      </c>
      <c r="K1612" s="1">
        <f ca="1">IF(A1612="","",IF(OR(L1612="ENTREGADA",L1612="RETORNADA",L1612="ENTREGA DIGITAL"),0,MAX(0,5-NETWORKDAYS(H1612+1,TODAY()))))</f>
        <v>1</v>
      </c>
      <c r="L1612">
        <f>IF(A1612="","",IFERROR(LOOKUP(2,1/(#REF!=Z1612),#REF!),Y1612))</f>
        <v>0</v>
      </c>
      <c r="Z1612" t="str">
        <f>IF(A1612="","",TEXT(A1612,"0")&amp;"|"&amp;TEXT(H1612,"0"))</f>
        <v>4921017919024570|46139</v>
      </c>
      <c r="AA1612" t="str">
        <f>IF(Z1612="","",IFERROR(LOOKUP(2,1/(#REF!=Z1612),#REF!),""))</f>
        <v/>
      </c>
      <c r="AB1612" t="str">
        <f>IF(Z1612="","",IFERROR(LOOKUP(2,1/(#REF!=Z1612),#REF!),""))</f>
        <v/>
      </c>
      <c r="AC1612" t="e">
        <f>IF(Z1612="","",COUNTIF(#REF!,Z1612))</f>
        <v>#REF!</v>
      </c>
      <c r="AD1612" t="e">
        <f>IF(A1612="","",IF(AC1612&gt;1,"REVISAR DUPLICADO",IF(AA1612&lt;&gt;"","ACTUALIZADO POR EYR","SIN REPORTE EYR")))</f>
        <v>#REF!</v>
      </c>
    </row>
    <row r="1613" spans="1:30" x14ac:dyDescent="0.3">
      <c r="A1613" s="5" t="s">
        <v>1096</v>
      </c>
      <c r="B1613" t="s">
        <v>1095</v>
      </c>
      <c r="C1613" s="4" t="s">
        <v>1094</v>
      </c>
      <c r="D1613" t="s">
        <v>21</v>
      </c>
      <c r="F1613" t="s">
        <v>1093</v>
      </c>
      <c r="G1613" s="3">
        <v>8296017026</v>
      </c>
      <c r="H1613" s="2">
        <v>46139</v>
      </c>
      <c r="K1613" s="1">
        <f ca="1">IF(A1613="","",IF(OR(L1613="ENTREGADA",L1613="RETORNADA",L1613="ENTREGA DIGITAL"),0,MAX(0,5-NETWORKDAYS(H1613+1,TODAY()))))</f>
        <v>1</v>
      </c>
      <c r="L1613">
        <f>IF(A1613="","",IFERROR(LOOKUP(2,1/(#REF!=Z1613),#REF!),Y1613))</f>
        <v>0</v>
      </c>
      <c r="Z1613" t="str">
        <f>IF(A1613="","",TEXT(A1613,"0")&amp;"|"&amp;TEXT(H1613,"0"))</f>
        <v>5415017914181230|46139</v>
      </c>
      <c r="AA1613" t="str">
        <f>IF(Z1613="","",IFERROR(LOOKUP(2,1/(#REF!=Z1613),#REF!),""))</f>
        <v/>
      </c>
      <c r="AB1613" t="str">
        <f>IF(Z1613="","",IFERROR(LOOKUP(2,1/(#REF!=Z1613),#REF!),""))</f>
        <v/>
      </c>
      <c r="AC1613" t="e">
        <f>IF(Z1613="","",COUNTIF(#REF!,Z1613))</f>
        <v>#REF!</v>
      </c>
      <c r="AD1613" t="e">
        <f>IF(A1613="","",IF(AC1613&gt;1,"REVISAR DUPLICADO",IF(AA1613&lt;&gt;"","ACTUALIZADO POR EYR","SIN REPORTE EYR")))</f>
        <v>#REF!</v>
      </c>
    </row>
    <row r="1614" spans="1:30" x14ac:dyDescent="0.3">
      <c r="A1614" s="5" t="s">
        <v>1092</v>
      </c>
      <c r="B1614" t="s">
        <v>1091</v>
      </c>
      <c r="C1614" s="4" t="s">
        <v>1090</v>
      </c>
      <c r="D1614" t="s">
        <v>21</v>
      </c>
      <c r="F1614" t="s">
        <v>1089</v>
      </c>
      <c r="G1614" s="3">
        <v>8093948418</v>
      </c>
      <c r="H1614" s="2">
        <v>46139</v>
      </c>
      <c r="K1614" s="1">
        <f ca="1">IF(A1614="","",IF(OR(L1614="ENTREGADA",L1614="RETORNADA",L1614="ENTREGA DIGITAL"),0,MAX(0,5-NETWORKDAYS(H1614+1,TODAY()))))</f>
        <v>1</v>
      </c>
      <c r="L1614">
        <f>IF(A1614="","",IFERROR(LOOKUP(2,1/(#REF!=Z1614),#REF!),Y1614))</f>
        <v>0</v>
      </c>
      <c r="Z1614" t="str">
        <f>IF(A1614="","",TEXT(A1614,"0")&amp;"|"&amp;TEXT(H1614,"0"))</f>
        <v>5415017920564410|46139</v>
      </c>
      <c r="AA1614" t="str">
        <f>IF(Z1614="","",IFERROR(LOOKUP(2,1/(#REF!=Z1614),#REF!),""))</f>
        <v/>
      </c>
      <c r="AB1614" t="str">
        <f>IF(Z1614="","",IFERROR(LOOKUP(2,1/(#REF!=Z1614),#REF!),""))</f>
        <v/>
      </c>
      <c r="AC1614" t="e">
        <f>IF(Z1614="","",COUNTIF(#REF!,Z1614))</f>
        <v>#REF!</v>
      </c>
      <c r="AD1614" t="e">
        <f>IF(A1614="","",IF(AC1614&gt;1,"REVISAR DUPLICADO",IF(AA1614&lt;&gt;"","ACTUALIZADO POR EYR","SIN REPORTE EYR")))</f>
        <v>#REF!</v>
      </c>
    </row>
    <row r="1615" spans="1:30" x14ac:dyDescent="0.3">
      <c r="A1615" s="5" t="s">
        <v>1088</v>
      </c>
      <c r="B1615" t="s">
        <v>1087</v>
      </c>
      <c r="C1615" s="4" t="s">
        <v>1086</v>
      </c>
      <c r="D1615" t="s">
        <v>21</v>
      </c>
      <c r="F1615" t="s">
        <v>1085</v>
      </c>
      <c r="G1615" s="3">
        <v>8297943319</v>
      </c>
      <c r="H1615" s="2">
        <v>46139</v>
      </c>
      <c r="K1615" s="1">
        <f ca="1">IF(A1615="","",IF(OR(L1615="ENTREGADA",L1615="RETORNADA",L1615="ENTREGA DIGITAL"),0,MAX(0,5-NETWORKDAYS(H1615+1,TODAY()))))</f>
        <v>1</v>
      </c>
      <c r="L1615">
        <f>IF(A1615="","",IFERROR(LOOKUP(2,1/(#REF!=Z1615),#REF!),Y1615))</f>
        <v>0</v>
      </c>
      <c r="Z1615" t="str">
        <f>IF(A1615="","",TEXT(A1615,"0")&amp;"|"&amp;TEXT(H1615,"0"))</f>
        <v>5188017920766360|46139</v>
      </c>
      <c r="AA1615" t="str">
        <f>IF(Z1615="","",IFERROR(LOOKUP(2,1/(#REF!=Z1615),#REF!),""))</f>
        <v/>
      </c>
      <c r="AB1615" t="str">
        <f>IF(Z1615="","",IFERROR(LOOKUP(2,1/(#REF!=Z1615),#REF!),""))</f>
        <v/>
      </c>
      <c r="AC1615" t="e">
        <f>IF(Z1615="","",COUNTIF(#REF!,Z1615))</f>
        <v>#REF!</v>
      </c>
      <c r="AD1615" t="e">
        <f>IF(A1615="","",IF(AC1615&gt;1,"REVISAR DUPLICADO",IF(AA1615&lt;&gt;"","ACTUALIZADO POR EYR","SIN REPORTE EYR")))</f>
        <v>#REF!</v>
      </c>
    </row>
    <row r="1616" spans="1:30" x14ac:dyDescent="0.3">
      <c r="A1616" s="5" t="s">
        <v>1084</v>
      </c>
      <c r="B1616" t="s">
        <v>1083</v>
      </c>
      <c r="C1616" s="4" t="s">
        <v>1082</v>
      </c>
      <c r="D1616" t="s">
        <v>21</v>
      </c>
      <c r="F1616" t="s">
        <v>1081</v>
      </c>
      <c r="G1616" s="3">
        <v>8496278435</v>
      </c>
      <c r="H1616" s="2">
        <v>46139</v>
      </c>
      <c r="K1616" s="1">
        <f ca="1">IF(A1616="","",IF(OR(L1616="ENTREGADA",L1616="RETORNADA",L1616="ENTREGA DIGITAL"),0,MAX(0,5-NETWORKDAYS(H1616+1,TODAY()))))</f>
        <v>1</v>
      </c>
      <c r="L1616">
        <f>IF(A1616="","",IFERROR(LOOKUP(2,1/(#REF!=Z1616),#REF!),Y1616))</f>
        <v>0</v>
      </c>
      <c r="Z1616" t="str">
        <f>IF(A1616="","",TEXT(A1616,"0")&amp;"|"&amp;TEXT(H1616,"0"))</f>
        <v>5188017915519910|46139</v>
      </c>
      <c r="AA1616" t="str">
        <f>IF(Z1616="","",IFERROR(LOOKUP(2,1/(#REF!=Z1616),#REF!),""))</f>
        <v/>
      </c>
      <c r="AB1616" t="str">
        <f>IF(Z1616="","",IFERROR(LOOKUP(2,1/(#REF!=Z1616),#REF!),""))</f>
        <v/>
      </c>
      <c r="AC1616" t="e">
        <f>IF(Z1616="","",COUNTIF(#REF!,Z1616))</f>
        <v>#REF!</v>
      </c>
      <c r="AD1616" t="e">
        <f>IF(A1616="","",IF(AC1616&gt;1,"REVISAR DUPLICADO",IF(AA1616&lt;&gt;"","ACTUALIZADO POR EYR","SIN REPORTE EYR")))</f>
        <v>#REF!</v>
      </c>
    </row>
    <row r="1617" spans="1:30" x14ac:dyDescent="0.3">
      <c r="A1617" s="5" t="s">
        <v>1080</v>
      </c>
      <c r="B1617" t="s">
        <v>1079</v>
      </c>
      <c r="C1617" s="4" t="s">
        <v>1078</v>
      </c>
      <c r="D1617" t="s">
        <v>21</v>
      </c>
      <c r="F1617" t="s">
        <v>1077</v>
      </c>
      <c r="G1617" s="3">
        <v>8297496680</v>
      </c>
      <c r="H1617" s="2">
        <v>46139</v>
      </c>
      <c r="K1617" s="1">
        <f ca="1">IF(A1617="","",IF(OR(L1617="ENTREGADA",L1617="RETORNADA",L1617="ENTREGA DIGITAL"),0,MAX(0,5-NETWORKDAYS(H1617+1,TODAY()))))</f>
        <v>1</v>
      </c>
      <c r="L1617">
        <f>IF(A1617="","",IFERROR(LOOKUP(2,1/(#REF!=Z1617),#REF!),Y1617))</f>
        <v>0</v>
      </c>
      <c r="Z1617" t="str">
        <f>IF(A1617="","",TEXT(A1617,"0")&amp;"|"&amp;TEXT(H1617,"0"))</f>
        <v>5415017913990420|46139</v>
      </c>
      <c r="AA1617" t="str">
        <f>IF(Z1617="","",IFERROR(LOOKUP(2,1/(#REF!=Z1617),#REF!),""))</f>
        <v/>
      </c>
      <c r="AB1617" t="str">
        <f>IF(Z1617="","",IFERROR(LOOKUP(2,1/(#REF!=Z1617),#REF!),""))</f>
        <v/>
      </c>
      <c r="AC1617" t="e">
        <f>IF(Z1617="","",COUNTIF(#REF!,Z1617))</f>
        <v>#REF!</v>
      </c>
      <c r="AD1617" t="e">
        <f>IF(A1617="","",IF(AC1617&gt;1,"REVISAR DUPLICADO",IF(AA1617&lt;&gt;"","ACTUALIZADO POR EYR","SIN REPORTE EYR")))</f>
        <v>#REF!</v>
      </c>
    </row>
    <row r="1618" spans="1:30" x14ac:dyDescent="0.3">
      <c r="A1618" s="5" t="s">
        <v>1076</v>
      </c>
      <c r="B1618" t="s">
        <v>1075</v>
      </c>
      <c r="C1618" s="4" t="s">
        <v>1074</v>
      </c>
      <c r="D1618" t="s">
        <v>21</v>
      </c>
      <c r="F1618" t="s">
        <v>1073</v>
      </c>
      <c r="G1618" s="3">
        <v>8298696359</v>
      </c>
      <c r="H1618" s="2">
        <v>46139</v>
      </c>
      <c r="K1618" s="1">
        <f ca="1">IF(A1618="","",IF(OR(L1618="ENTREGADA",L1618="RETORNADA",L1618="ENTREGA DIGITAL"),0,MAX(0,5-NETWORKDAYS(H1618+1,TODAY()))))</f>
        <v>1</v>
      </c>
      <c r="L1618">
        <f>IF(A1618="","",IFERROR(LOOKUP(2,1/(#REF!=Z1618),#REF!),Y1618))</f>
        <v>0</v>
      </c>
      <c r="Z1618" t="str">
        <f>IF(A1618="","",TEXT(A1618,"0")&amp;"|"&amp;TEXT(H1618,"0"))</f>
        <v>5188017915556730|46139</v>
      </c>
      <c r="AA1618" t="str">
        <f>IF(Z1618="","",IFERROR(LOOKUP(2,1/(#REF!=Z1618),#REF!),""))</f>
        <v/>
      </c>
      <c r="AB1618" t="str">
        <f>IF(Z1618="","",IFERROR(LOOKUP(2,1/(#REF!=Z1618),#REF!),""))</f>
        <v/>
      </c>
      <c r="AC1618" t="e">
        <f>IF(Z1618="","",COUNTIF(#REF!,Z1618))</f>
        <v>#REF!</v>
      </c>
      <c r="AD1618" t="e">
        <f>IF(A1618="","",IF(AC1618&gt;1,"REVISAR DUPLICADO",IF(AA1618&lt;&gt;"","ACTUALIZADO POR EYR","SIN REPORTE EYR")))</f>
        <v>#REF!</v>
      </c>
    </row>
    <row r="1619" spans="1:30" x14ac:dyDescent="0.3">
      <c r="A1619" s="5" t="s">
        <v>1072</v>
      </c>
      <c r="B1619" t="s">
        <v>1071</v>
      </c>
      <c r="C1619" s="4" t="s">
        <v>1070</v>
      </c>
      <c r="D1619" t="s">
        <v>21</v>
      </c>
      <c r="E1619" t="s">
        <v>21</v>
      </c>
      <c r="F1619" t="s">
        <v>62</v>
      </c>
      <c r="G1619" s="3">
        <v>8295629669</v>
      </c>
      <c r="H1619" s="2">
        <v>46139</v>
      </c>
      <c r="K1619" s="1">
        <f ca="1">IF(A1619="","",IF(OR(L1619="ENTREGADA",L1619="RETORNADA",L1619="ENTREGA DIGITAL"),0,MAX(0,5-NETWORKDAYS(H1619+1,TODAY()))))</f>
        <v>1</v>
      </c>
      <c r="L1619">
        <f>IF(A1619="","",IFERROR(LOOKUP(2,1/(#REF!=Z1619),#REF!),Y1619))</f>
        <v>0</v>
      </c>
      <c r="Z1619" t="str">
        <f>IF(A1619="","",TEXT(A1619,"0")&amp;"|"&amp;TEXT(H1619,"0"))</f>
        <v>4921017922546870|46139</v>
      </c>
      <c r="AA1619" t="str">
        <f>IF(Z1619="","",IFERROR(LOOKUP(2,1/(#REF!=Z1619),#REF!),""))</f>
        <v/>
      </c>
      <c r="AB1619" t="str">
        <f>IF(Z1619="","",IFERROR(LOOKUP(2,1/(#REF!=Z1619),#REF!),""))</f>
        <v/>
      </c>
      <c r="AC1619" t="e">
        <f>IF(Z1619="","",COUNTIF(#REF!,Z1619))</f>
        <v>#REF!</v>
      </c>
      <c r="AD1619" t="e">
        <f>IF(A1619="","",IF(AC1619&gt;1,"REVISAR DUPLICADO",IF(AA1619&lt;&gt;"","ACTUALIZADO POR EYR","SIN REPORTE EYR")))</f>
        <v>#REF!</v>
      </c>
    </row>
    <row r="1620" spans="1:30" x14ac:dyDescent="0.3">
      <c r="A1620" s="5" t="s">
        <v>1069</v>
      </c>
      <c r="B1620" t="s">
        <v>1068</v>
      </c>
      <c r="C1620" s="4" t="s">
        <v>1067</v>
      </c>
      <c r="D1620" t="s">
        <v>21</v>
      </c>
      <c r="F1620" t="s">
        <v>13</v>
      </c>
      <c r="G1620" s="3">
        <v>8099318630</v>
      </c>
      <c r="H1620" s="2">
        <v>46139</v>
      </c>
      <c r="K1620" s="1">
        <f ca="1">IF(A1620="","",IF(OR(L1620="ENTREGADA",L1620="RETORNADA",L1620="ENTREGA DIGITAL"),0,MAX(0,5-NETWORKDAYS(H1620+1,TODAY()))))</f>
        <v>1</v>
      </c>
      <c r="L1620">
        <f>IF(A1620="","",IFERROR(LOOKUP(2,1/(#REF!=Z1620),#REF!),Y1620))</f>
        <v>0</v>
      </c>
      <c r="Z1620" t="str">
        <f>IF(A1620="","",TEXT(A1620,"0")&amp;"|"&amp;TEXT(H1620,"0"))</f>
        <v>4921017918684560|46139</v>
      </c>
      <c r="AA1620" t="str">
        <f>IF(Z1620="","",IFERROR(LOOKUP(2,1/(#REF!=Z1620),#REF!),""))</f>
        <v/>
      </c>
      <c r="AB1620" t="str">
        <f>IF(Z1620="","",IFERROR(LOOKUP(2,1/(#REF!=Z1620),#REF!),""))</f>
        <v/>
      </c>
      <c r="AC1620" t="e">
        <f>IF(Z1620="","",COUNTIF(#REF!,Z1620))</f>
        <v>#REF!</v>
      </c>
      <c r="AD1620" t="e">
        <f>IF(A1620="","",IF(AC1620&gt;1,"REVISAR DUPLICADO",IF(AA1620&lt;&gt;"","ACTUALIZADO POR EYR","SIN REPORTE EYR")))</f>
        <v>#REF!</v>
      </c>
    </row>
    <row r="1621" spans="1:30" x14ac:dyDescent="0.3">
      <c r="A1621" s="5" t="s">
        <v>1066</v>
      </c>
      <c r="B1621" t="s">
        <v>1065</v>
      </c>
      <c r="C1621" s="4" t="s">
        <v>1064</v>
      </c>
      <c r="D1621" t="s">
        <v>21</v>
      </c>
      <c r="F1621" t="s">
        <v>13</v>
      </c>
      <c r="G1621" s="3">
        <v>8092460001</v>
      </c>
      <c r="H1621" s="2">
        <v>46139</v>
      </c>
      <c r="K1621" s="1">
        <f ca="1">IF(A1621="","",IF(OR(L1621="ENTREGADA",L1621="RETORNADA",L1621="ENTREGA DIGITAL"),0,MAX(0,5-NETWORKDAYS(H1621+1,TODAY()))))</f>
        <v>1</v>
      </c>
      <c r="L1621">
        <f>IF(A1621="","",IFERROR(LOOKUP(2,1/(#REF!=Z1621),#REF!),Y1621))</f>
        <v>0</v>
      </c>
      <c r="Z1621" t="str">
        <f>IF(A1621="","",TEXT(A1621,"0")&amp;"|"&amp;TEXT(H1621,"0"))</f>
        <v>5400017915285950|46139</v>
      </c>
      <c r="AA1621" t="str">
        <f>IF(Z1621="","",IFERROR(LOOKUP(2,1/(#REF!=Z1621),#REF!),""))</f>
        <v/>
      </c>
      <c r="AB1621" t="str">
        <f>IF(Z1621="","",IFERROR(LOOKUP(2,1/(#REF!=Z1621),#REF!),""))</f>
        <v/>
      </c>
      <c r="AC1621" t="e">
        <f>IF(Z1621="","",COUNTIF(#REF!,Z1621))</f>
        <v>#REF!</v>
      </c>
      <c r="AD1621" t="e">
        <f>IF(A1621="","",IF(AC1621&gt;1,"REVISAR DUPLICADO",IF(AA1621&lt;&gt;"","ACTUALIZADO POR EYR","SIN REPORTE EYR")))</f>
        <v>#REF!</v>
      </c>
    </row>
    <row r="1622" spans="1:30" x14ac:dyDescent="0.3">
      <c r="A1622" s="5" t="s">
        <v>1063</v>
      </c>
      <c r="B1622" t="s">
        <v>1062</v>
      </c>
      <c r="C1622" s="4" t="s">
        <v>1061</v>
      </c>
      <c r="D1622" t="s">
        <v>21</v>
      </c>
      <c r="F1622" t="s">
        <v>13</v>
      </c>
      <c r="G1622" s="3">
        <v>8296104313</v>
      </c>
      <c r="H1622" s="2">
        <v>46139</v>
      </c>
      <c r="K1622" s="1">
        <f ca="1">IF(A1622="","",IF(OR(L1622="ENTREGADA",L1622="RETORNADA",L1622="ENTREGA DIGITAL"),0,MAX(0,5-NETWORKDAYS(H1622+1,TODAY()))))</f>
        <v>1</v>
      </c>
      <c r="L1622">
        <f>IF(A1622="","",IFERROR(LOOKUP(2,1/(#REF!=Z1622),#REF!),Y1622))</f>
        <v>0</v>
      </c>
      <c r="Z1622" t="str">
        <f>IF(A1622="","",TEXT(A1622,"0")&amp;"|"&amp;TEXT(H1622,"0"))</f>
        <v>4921017917447570|46139</v>
      </c>
      <c r="AA1622" t="str">
        <f>IF(Z1622="","",IFERROR(LOOKUP(2,1/(#REF!=Z1622),#REF!),""))</f>
        <v/>
      </c>
      <c r="AB1622" t="str">
        <f>IF(Z1622="","",IFERROR(LOOKUP(2,1/(#REF!=Z1622),#REF!),""))</f>
        <v/>
      </c>
      <c r="AC1622" t="e">
        <f>IF(Z1622="","",COUNTIF(#REF!,Z1622))</f>
        <v>#REF!</v>
      </c>
      <c r="AD1622" t="e">
        <f>IF(A1622="","",IF(AC1622&gt;1,"REVISAR DUPLICADO",IF(AA1622&lt;&gt;"","ACTUALIZADO POR EYR","SIN REPORTE EYR")))</f>
        <v>#REF!</v>
      </c>
    </row>
    <row r="1623" spans="1:30" x14ac:dyDescent="0.3">
      <c r="A1623" s="5" t="s">
        <v>1060</v>
      </c>
      <c r="B1623" t="s">
        <v>1059</v>
      </c>
      <c r="C1623" s="4" t="s">
        <v>1058</v>
      </c>
      <c r="D1623" t="s">
        <v>21</v>
      </c>
      <c r="F1623" t="s">
        <v>1057</v>
      </c>
      <c r="G1623" s="3">
        <v>8092153477</v>
      </c>
      <c r="H1623" s="2">
        <v>46139</v>
      </c>
      <c r="K1623" s="1">
        <f ca="1">IF(A1623="","",IF(OR(L1623="ENTREGADA",L1623="RETORNADA",L1623="ENTREGA DIGITAL"),0,MAX(0,5-NETWORKDAYS(H1623+1,TODAY()))))</f>
        <v>1</v>
      </c>
      <c r="L1623">
        <f>IF(A1623="","",IFERROR(LOOKUP(2,1/(#REF!=Z1623),#REF!),Y1623))</f>
        <v>0</v>
      </c>
      <c r="Z1623" t="str">
        <f>IF(A1623="","",TEXT(A1623,"0")&amp;"|"&amp;TEXT(H1623,"0"))</f>
        <v>4921017918449190|46139</v>
      </c>
      <c r="AA1623" t="str">
        <f>IF(Z1623="","",IFERROR(LOOKUP(2,1/(#REF!=Z1623),#REF!),""))</f>
        <v/>
      </c>
      <c r="AB1623" t="str">
        <f>IF(Z1623="","",IFERROR(LOOKUP(2,1/(#REF!=Z1623),#REF!),""))</f>
        <v/>
      </c>
      <c r="AC1623" t="e">
        <f>IF(Z1623="","",COUNTIF(#REF!,Z1623))</f>
        <v>#REF!</v>
      </c>
      <c r="AD1623" t="e">
        <f>IF(A1623="","",IF(AC1623&gt;1,"REVISAR DUPLICADO",IF(AA1623&lt;&gt;"","ACTUALIZADO POR EYR","SIN REPORTE EYR")))</f>
        <v>#REF!</v>
      </c>
    </row>
    <row r="1624" spans="1:30" x14ac:dyDescent="0.3">
      <c r="A1624" s="5" t="s">
        <v>1056</v>
      </c>
      <c r="B1624" t="s">
        <v>1055</v>
      </c>
      <c r="C1624" s="4" t="s">
        <v>1054</v>
      </c>
      <c r="D1624" t="s">
        <v>21</v>
      </c>
      <c r="E1624" t="s">
        <v>21</v>
      </c>
      <c r="F1624" t="s">
        <v>62</v>
      </c>
      <c r="G1624" s="3">
        <v>8096715490</v>
      </c>
      <c r="H1624" s="2">
        <v>46139</v>
      </c>
      <c r="K1624" s="1">
        <f ca="1">IF(A1624="","",IF(OR(L1624="ENTREGADA",L1624="RETORNADA",L1624="ENTREGA DIGITAL"),0,MAX(0,5-NETWORKDAYS(H1624+1,TODAY()))))</f>
        <v>1</v>
      </c>
      <c r="L1624">
        <f>IF(A1624="","",IFERROR(LOOKUP(2,1/(#REF!=Z1624),#REF!),Y1624))</f>
        <v>0</v>
      </c>
      <c r="Z1624" t="str">
        <f>IF(A1624="","",TEXT(A1624,"0")&amp;"|"&amp;TEXT(H1624,"0"))</f>
        <v>4025017919193110|46139</v>
      </c>
      <c r="AA1624" t="str">
        <f>IF(Z1624="","",IFERROR(LOOKUP(2,1/(#REF!=Z1624),#REF!),""))</f>
        <v/>
      </c>
      <c r="AB1624" t="str">
        <f>IF(Z1624="","",IFERROR(LOOKUP(2,1/(#REF!=Z1624),#REF!),""))</f>
        <v/>
      </c>
      <c r="AC1624" t="e">
        <f>IF(Z1624="","",COUNTIF(#REF!,Z1624))</f>
        <v>#REF!</v>
      </c>
      <c r="AD1624" t="e">
        <f>IF(A1624="","",IF(AC1624&gt;1,"REVISAR DUPLICADO",IF(AA1624&lt;&gt;"","ACTUALIZADO POR EYR","SIN REPORTE EYR")))</f>
        <v>#REF!</v>
      </c>
    </row>
    <row r="1625" spans="1:30" x14ac:dyDescent="0.3">
      <c r="A1625" s="5" t="s">
        <v>1053</v>
      </c>
      <c r="B1625" t="s">
        <v>1052</v>
      </c>
      <c r="C1625" s="4" t="s">
        <v>1051</v>
      </c>
      <c r="D1625" t="s">
        <v>21</v>
      </c>
      <c r="F1625" t="s">
        <v>1050</v>
      </c>
      <c r="G1625" s="3">
        <v>8296760981</v>
      </c>
      <c r="H1625" s="2">
        <v>46139</v>
      </c>
      <c r="K1625" s="1">
        <f ca="1">IF(A1625="","",IF(OR(L1625="ENTREGADA",L1625="RETORNADA",L1625="ENTREGA DIGITAL"),0,MAX(0,5-NETWORKDAYS(H1625+1,TODAY()))))</f>
        <v>1</v>
      </c>
      <c r="L1625">
        <f>IF(A1625="","",IFERROR(LOOKUP(2,1/(#REF!=Z1625),#REF!),Y1625))</f>
        <v>0</v>
      </c>
      <c r="Z1625" t="str">
        <f>IF(A1625="","",TEXT(A1625,"0")&amp;"|"&amp;TEXT(H1625,"0"))</f>
        <v>4921017921651740|46139</v>
      </c>
      <c r="AA1625" t="str">
        <f>IF(Z1625="","",IFERROR(LOOKUP(2,1/(#REF!=Z1625),#REF!),""))</f>
        <v/>
      </c>
      <c r="AB1625" t="str">
        <f>IF(Z1625="","",IFERROR(LOOKUP(2,1/(#REF!=Z1625),#REF!),""))</f>
        <v/>
      </c>
      <c r="AC1625" t="e">
        <f>IF(Z1625="","",COUNTIF(#REF!,Z1625))</f>
        <v>#REF!</v>
      </c>
      <c r="AD1625" t="e">
        <f>IF(A1625="","",IF(AC1625&gt;1,"REVISAR DUPLICADO",IF(AA1625&lt;&gt;"","ACTUALIZADO POR EYR","SIN REPORTE EYR")))</f>
        <v>#REF!</v>
      </c>
    </row>
    <row r="1626" spans="1:30" x14ac:dyDescent="0.3">
      <c r="A1626" s="5" t="s">
        <v>1049</v>
      </c>
      <c r="B1626" t="s">
        <v>1048</v>
      </c>
      <c r="C1626" s="4" t="s">
        <v>1047</v>
      </c>
      <c r="D1626" t="s">
        <v>600</v>
      </c>
      <c r="F1626" t="s">
        <v>1046</v>
      </c>
      <c r="G1626" s="3">
        <v>8095395364</v>
      </c>
      <c r="H1626" s="2">
        <v>46140</v>
      </c>
      <c r="K1626" s="1">
        <f ca="1">IF(A1626="","",IF(OR(L1626="ENTREGADA",L1626="RETORNADA",L1626="ENTREGA DIGITAL"),0,MAX(0,5-NETWORKDAYS(H1626+1,TODAY()))))</f>
        <v>2</v>
      </c>
      <c r="L1626">
        <f>IF(A1626="","",IFERROR(LOOKUP(2,1/(#REF!=Z1626),#REF!),Y1626))</f>
        <v>0</v>
      </c>
      <c r="Z1626" t="str">
        <f>IF(A1626="","",TEXT(A1626,"0")&amp;"|"&amp;TEXT(H1626,"0"))</f>
        <v>4025017923016320|46140</v>
      </c>
      <c r="AA1626" t="str">
        <f>IF(Z1626="","",IFERROR(LOOKUP(2,1/(#REF!=Z1626),#REF!),""))</f>
        <v/>
      </c>
      <c r="AB1626" t="str">
        <f>IF(Z1626="","",IFERROR(LOOKUP(2,1/(#REF!=Z1626),#REF!),""))</f>
        <v/>
      </c>
      <c r="AC1626" t="e">
        <f>IF(Z1626="","",COUNTIF(#REF!,Z1626))</f>
        <v>#REF!</v>
      </c>
      <c r="AD1626" t="e">
        <f>IF(A1626="","",IF(AC1626&gt;1,"REVISAR DUPLICADO",IF(AA1626&lt;&gt;"","ACTUALIZADO POR EYR","SIN REPORTE EYR")))</f>
        <v>#REF!</v>
      </c>
    </row>
    <row r="1627" spans="1:30" x14ac:dyDescent="0.3">
      <c r="A1627" s="5" t="s">
        <v>1045</v>
      </c>
      <c r="B1627" t="s">
        <v>1044</v>
      </c>
      <c r="C1627" s="4" t="s">
        <v>1043</v>
      </c>
      <c r="D1627" t="s">
        <v>600</v>
      </c>
      <c r="F1627" t="s">
        <v>1042</v>
      </c>
      <c r="G1627" s="3">
        <v>8092726111</v>
      </c>
      <c r="H1627" s="2">
        <v>46140</v>
      </c>
      <c r="K1627" s="1">
        <f ca="1">IF(A1627="","",IF(OR(L1627="ENTREGADA",L1627="RETORNADA",L1627="ENTREGA DIGITAL"),0,MAX(0,5-NETWORKDAYS(H1627+1,TODAY()))))</f>
        <v>2</v>
      </c>
      <c r="L1627">
        <f>IF(A1627="","",IFERROR(LOOKUP(2,1/(#REF!=Z1627),#REF!),Y1627))</f>
        <v>0</v>
      </c>
      <c r="Z1627" t="str">
        <f>IF(A1627="","",TEXT(A1627,"0")&amp;"|"&amp;TEXT(H1627,"0"))</f>
        <v>5415017914110130|46140</v>
      </c>
      <c r="AA1627" t="str">
        <f>IF(Z1627="","",IFERROR(LOOKUP(2,1/(#REF!=Z1627),#REF!),""))</f>
        <v/>
      </c>
      <c r="AB1627" t="str">
        <f>IF(Z1627="","",IFERROR(LOOKUP(2,1/(#REF!=Z1627),#REF!),""))</f>
        <v/>
      </c>
      <c r="AC1627" t="e">
        <f>IF(Z1627="","",COUNTIF(#REF!,Z1627))</f>
        <v>#REF!</v>
      </c>
      <c r="AD1627" t="e">
        <f>IF(A1627="","",IF(AC1627&gt;1,"REVISAR DUPLICADO",IF(AA1627&lt;&gt;"","ACTUALIZADO POR EYR","SIN REPORTE EYR")))</f>
        <v>#REF!</v>
      </c>
    </row>
    <row r="1628" spans="1:30" x14ac:dyDescent="0.3">
      <c r="A1628" s="5" t="s">
        <v>1041</v>
      </c>
      <c r="B1628" t="s">
        <v>1040</v>
      </c>
      <c r="C1628" s="4" t="s">
        <v>1039</v>
      </c>
      <c r="D1628" t="s">
        <v>600</v>
      </c>
      <c r="F1628" t="s">
        <v>1038</v>
      </c>
      <c r="G1628" s="3">
        <v>8294451907</v>
      </c>
      <c r="H1628" s="2">
        <v>46140</v>
      </c>
      <c r="K1628" s="1">
        <f ca="1">IF(A1628="","",IF(OR(L1628="ENTREGADA",L1628="RETORNADA",L1628="ENTREGA DIGITAL"),0,MAX(0,5-NETWORKDAYS(H1628+1,TODAY()))))</f>
        <v>2</v>
      </c>
      <c r="L1628">
        <f>IF(A1628="","",IFERROR(LOOKUP(2,1/(#REF!=Z1628),#REF!),Y1628))</f>
        <v>0</v>
      </c>
      <c r="Z1628" t="str">
        <f>IF(A1628="","",TEXT(A1628,"0")&amp;"|"&amp;TEXT(H1628,"0"))</f>
        <v>4921017916229390|46140</v>
      </c>
      <c r="AA1628" t="str">
        <f>IF(Z1628="","",IFERROR(LOOKUP(2,1/(#REF!=Z1628),#REF!),""))</f>
        <v/>
      </c>
      <c r="AB1628" t="str">
        <f>IF(Z1628="","",IFERROR(LOOKUP(2,1/(#REF!=Z1628),#REF!),""))</f>
        <v/>
      </c>
      <c r="AC1628" t="e">
        <f>IF(Z1628="","",COUNTIF(#REF!,Z1628))</f>
        <v>#REF!</v>
      </c>
      <c r="AD1628" t="e">
        <f>IF(A1628="","",IF(AC1628&gt;1,"REVISAR DUPLICADO",IF(AA1628&lt;&gt;"","ACTUALIZADO POR EYR","SIN REPORTE EYR")))</f>
        <v>#REF!</v>
      </c>
    </row>
    <row r="1629" spans="1:30" x14ac:dyDescent="0.3">
      <c r="A1629" s="5" t="s">
        <v>1037</v>
      </c>
      <c r="B1629" t="s">
        <v>1036</v>
      </c>
      <c r="C1629" s="4" t="s">
        <v>1035</v>
      </c>
      <c r="D1629" t="s">
        <v>600</v>
      </c>
      <c r="F1629" t="s">
        <v>1034</v>
      </c>
      <c r="G1629" s="3">
        <v>8296404232</v>
      </c>
      <c r="H1629" s="2">
        <v>46140</v>
      </c>
      <c r="K1629" s="1">
        <f ca="1">IF(A1629="","",IF(OR(L1629="ENTREGADA",L1629="RETORNADA",L1629="ENTREGA DIGITAL"),0,MAX(0,5-NETWORKDAYS(H1629+1,TODAY()))))</f>
        <v>2</v>
      </c>
      <c r="L1629">
        <f>IF(A1629="","",IFERROR(LOOKUP(2,1/(#REF!=Z1629),#REF!),Y1629))</f>
        <v>0</v>
      </c>
      <c r="Z1629" t="str">
        <f>IF(A1629="","",TEXT(A1629,"0")&amp;"|"&amp;TEXT(H1629,"0"))</f>
        <v>4921017918436400|46140</v>
      </c>
      <c r="AA1629" t="str">
        <f>IF(Z1629="","",IFERROR(LOOKUP(2,1/(#REF!=Z1629),#REF!),""))</f>
        <v/>
      </c>
      <c r="AB1629" t="str">
        <f>IF(Z1629="","",IFERROR(LOOKUP(2,1/(#REF!=Z1629),#REF!),""))</f>
        <v/>
      </c>
      <c r="AC1629" t="e">
        <f>IF(Z1629="","",COUNTIF(#REF!,Z1629))</f>
        <v>#REF!</v>
      </c>
      <c r="AD1629" t="e">
        <f>IF(A1629="","",IF(AC1629&gt;1,"REVISAR DUPLICADO",IF(AA1629&lt;&gt;"","ACTUALIZADO POR EYR","SIN REPORTE EYR")))</f>
        <v>#REF!</v>
      </c>
    </row>
    <row r="1630" spans="1:30" x14ac:dyDescent="0.3">
      <c r="A1630" s="5" t="s">
        <v>1033</v>
      </c>
      <c r="B1630" t="s">
        <v>1032</v>
      </c>
      <c r="C1630" s="4" t="s">
        <v>1031</v>
      </c>
      <c r="D1630" t="s">
        <v>600</v>
      </c>
      <c r="F1630" t="s">
        <v>1030</v>
      </c>
      <c r="G1630" s="3">
        <v>8296228787</v>
      </c>
      <c r="H1630" s="2">
        <v>46140</v>
      </c>
      <c r="K1630" s="1">
        <f ca="1">IF(A1630="","",IF(OR(L1630="ENTREGADA",L1630="RETORNADA",L1630="ENTREGA DIGITAL"),0,MAX(0,5-NETWORKDAYS(H1630+1,TODAY()))))</f>
        <v>2</v>
      </c>
      <c r="L1630">
        <f>IF(A1630="","",IFERROR(LOOKUP(2,1/(#REF!=Z1630),#REF!),Y1630))</f>
        <v>0</v>
      </c>
      <c r="Z1630" t="str">
        <f>IF(A1630="","",TEXT(A1630,"0")&amp;"|"&amp;TEXT(H1630,"0"))</f>
        <v>4025017919301300|46140</v>
      </c>
      <c r="AA1630" t="str">
        <f>IF(Z1630="","",IFERROR(LOOKUP(2,1/(#REF!=Z1630),#REF!),""))</f>
        <v/>
      </c>
      <c r="AB1630" t="str">
        <f>IF(Z1630="","",IFERROR(LOOKUP(2,1/(#REF!=Z1630),#REF!),""))</f>
        <v/>
      </c>
      <c r="AC1630" t="e">
        <f>IF(Z1630="","",COUNTIF(#REF!,Z1630))</f>
        <v>#REF!</v>
      </c>
      <c r="AD1630" t="e">
        <f>IF(A1630="","",IF(AC1630&gt;1,"REVISAR DUPLICADO",IF(AA1630&lt;&gt;"","ACTUALIZADO POR EYR","SIN REPORTE EYR")))</f>
        <v>#REF!</v>
      </c>
    </row>
    <row r="1631" spans="1:30" x14ac:dyDescent="0.3">
      <c r="A1631" s="5" t="s">
        <v>1029</v>
      </c>
      <c r="B1631" t="s">
        <v>1028</v>
      </c>
      <c r="C1631" s="4" t="s">
        <v>1027</v>
      </c>
      <c r="D1631" t="s">
        <v>600</v>
      </c>
      <c r="F1631" t="s">
        <v>13</v>
      </c>
      <c r="G1631" s="3">
        <v>8292898554</v>
      </c>
      <c r="H1631" s="2">
        <v>46140</v>
      </c>
      <c r="K1631" s="1">
        <f ca="1">IF(A1631="","",IF(OR(L1631="ENTREGADA",L1631="RETORNADA",L1631="ENTREGA DIGITAL"),0,MAX(0,5-NETWORKDAYS(H1631+1,TODAY()))))</f>
        <v>2</v>
      </c>
      <c r="L1631">
        <f>IF(A1631="","",IFERROR(LOOKUP(2,1/(#REF!=Z1631),#REF!),Y1631))</f>
        <v>0</v>
      </c>
      <c r="Z1631" t="str">
        <f>IF(A1631="","",TEXT(A1631,"0")&amp;"|"&amp;TEXT(H1631,"0"))</f>
        <v>4025017919543640|46140</v>
      </c>
      <c r="AA1631" t="str">
        <f>IF(Z1631="","",IFERROR(LOOKUP(2,1/(#REF!=Z1631),#REF!),""))</f>
        <v/>
      </c>
      <c r="AB1631" t="str">
        <f>IF(Z1631="","",IFERROR(LOOKUP(2,1/(#REF!=Z1631),#REF!),""))</f>
        <v/>
      </c>
      <c r="AC1631" t="e">
        <f>IF(Z1631="","",COUNTIF(#REF!,Z1631))</f>
        <v>#REF!</v>
      </c>
      <c r="AD1631" t="e">
        <f>IF(A1631="","",IF(AC1631&gt;1,"REVISAR DUPLICADO",IF(AA1631&lt;&gt;"","ACTUALIZADO POR EYR","SIN REPORTE EYR")))</f>
        <v>#REF!</v>
      </c>
    </row>
    <row r="1632" spans="1:30" x14ac:dyDescent="0.3">
      <c r="A1632" s="5" t="s">
        <v>1026</v>
      </c>
      <c r="B1632" t="s">
        <v>1025</v>
      </c>
      <c r="C1632" s="4" t="s">
        <v>1024</v>
      </c>
      <c r="D1632" t="s">
        <v>600</v>
      </c>
      <c r="F1632" t="s">
        <v>13</v>
      </c>
      <c r="G1632" s="3">
        <v>8293635529</v>
      </c>
      <c r="H1632" s="2">
        <v>46140</v>
      </c>
      <c r="K1632" s="1">
        <f ca="1">IF(A1632="","",IF(OR(L1632="ENTREGADA",L1632="RETORNADA",L1632="ENTREGA DIGITAL"),0,MAX(0,5-NETWORKDAYS(H1632+1,TODAY()))))</f>
        <v>2</v>
      </c>
      <c r="L1632">
        <f>IF(A1632="","",IFERROR(LOOKUP(2,1/(#REF!=Z1632),#REF!),Y1632))</f>
        <v>0</v>
      </c>
      <c r="Z1632" t="str">
        <f>IF(A1632="","",TEXT(A1632,"0")&amp;"|"&amp;TEXT(H1632,"0"))</f>
        <v>4921017921209230|46140</v>
      </c>
      <c r="AA1632" t="str">
        <f>IF(Z1632="","",IFERROR(LOOKUP(2,1/(#REF!=Z1632),#REF!),""))</f>
        <v/>
      </c>
      <c r="AB1632" t="str">
        <f>IF(Z1632="","",IFERROR(LOOKUP(2,1/(#REF!=Z1632),#REF!),""))</f>
        <v/>
      </c>
      <c r="AC1632" t="e">
        <f>IF(Z1632="","",COUNTIF(#REF!,Z1632))</f>
        <v>#REF!</v>
      </c>
      <c r="AD1632" t="e">
        <f>IF(A1632="","",IF(AC1632&gt;1,"REVISAR DUPLICADO",IF(AA1632&lt;&gt;"","ACTUALIZADO POR EYR","SIN REPORTE EYR")))</f>
        <v>#REF!</v>
      </c>
    </row>
    <row r="1633" spans="1:30" x14ac:dyDescent="0.3">
      <c r="A1633" s="5" t="s">
        <v>1023</v>
      </c>
      <c r="B1633" t="s">
        <v>1022</v>
      </c>
      <c r="C1633" s="4" t="s">
        <v>1021</v>
      </c>
      <c r="D1633" t="s">
        <v>600</v>
      </c>
      <c r="F1633" t="s">
        <v>1020</v>
      </c>
      <c r="G1633" s="3">
        <v>8298561504</v>
      </c>
      <c r="H1633" s="2">
        <v>46140</v>
      </c>
      <c r="K1633" s="1">
        <f ca="1">IF(A1633="","",IF(OR(L1633="ENTREGADA",L1633="RETORNADA",L1633="ENTREGA DIGITAL"),0,MAX(0,5-NETWORKDAYS(H1633+1,TODAY()))))</f>
        <v>2</v>
      </c>
      <c r="L1633">
        <f>IF(A1633="","",IFERROR(LOOKUP(2,1/(#REF!=Z1633),#REF!),Y1633))</f>
        <v>0</v>
      </c>
      <c r="Z1633" t="str">
        <f>IF(A1633="","",TEXT(A1633,"0")&amp;"|"&amp;TEXT(H1633,"0"))</f>
        <v>4921017918608270|46140</v>
      </c>
      <c r="AA1633" t="str">
        <f>IF(Z1633="","",IFERROR(LOOKUP(2,1/(#REF!=Z1633),#REF!),""))</f>
        <v/>
      </c>
      <c r="AB1633" t="str">
        <f>IF(Z1633="","",IFERROR(LOOKUP(2,1/(#REF!=Z1633),#REF!),""))</f>
        <v/>
      </c>
      <c r="AC1633" t="e">
        <f>IF(Z1633="","",COUNTIF(#REF!,Z1633))</f>
        <v>#REF!</v>
      </c>
      <c r="AD1633" t="e">
        <f>IF(A1633="","",IF(AC1633&gt;1,"REVISAR DUPLICADO",IF(AA1633&lt;&gt;"","ACTUALIZADO POR EYR","SIN REPORTE EYR")))</f>
        <v>#REF!</v>
      </c>
    </row>
    <row r="1634" spans="1:30" x14ac:dyDescent="0.3">
      <c r="A1634" s="5" t="s">
        <v>1019</v>
      </c>
      <c r="B1634" t="s">
        <v>1018</v>
      </c>
      <c r="C1634" s="4" t="s">
        <v>1017</v>
      </c>
      <c r="D1634" t="s">
        <v>600</v>
      </c>
      <c r="F1634" t="s">
        <v>1016</v>
      </c>
      <c r="G1634" s="3">
        <v>8099047348</v>
      </c>
      <c r="H1634" s="2">
        <v>46140</v>
      </c>
      <c r="K1634" s="1">
        <f ca="1">IF(A1634="","",IF(OR(L1634="ENTREGADA",L1634="RETORNADA",L1634="ENTREGA DIGITAL"),0,MAX(0,5-NETWORKDAYS(H1634+1,TODAY()))))</f>
        <v>2</v>
      </c>
      <c r="L1634">
        <f>IF(A1634="","",IFERROR(LOOKUP(2,1/(#REF!=Z1634),#REF!),Y1634))</f>
        <v>0</v>
      </c>
      <c r="Z1634" t="str">
        <f>IF(A1634="","",TEXT(A1634,"0")&amp;"|"&amp;TEXT(H1634,"0"))</f>
        <v>5188017924208070|46140</v>
      </c>
      <c r="AA1634" t="str">
        <f>IF(Z1634="","",IFERROR(LOOKUP(2,1/(#REF!=Z1634),#REF!),""))</f>
        <v/>
      </c>
      <c r="AB1634" t="str">
        <f>IF(Z1634="","",IFERROR(LOOKUP(2,1/(#REF!=Z1634),#REF!),""))</f>
        <v/>
      </c>
      <c r="AC1634" t="e">
        <f>IF(Z1634="","",COUNTIF(#REF!,Z1634))</f>
        <v>#REF!</v>
      </c>
      <c r="AD1634" t="e">
        <f>IF(A1634="","",IF(AC1634&gt;1,"REVISAR DUPLICADO",IF(AA1634&lt;&gt;"","ACTUALIZADO POR EYR","SIN REPORTE EYR")))</f>
        <v>#REF!</v>
      </c>
    </row>
    <row r="1635" spans="1:30" x14ac:dyDescent="0.3">
      <c r="A1635" s="5" t="s">
        <v>1015</v>
      </c>
      <c r="B1635" t="s">
        <v>1014</v>
      </c>
      <c r="C1635" s="4" t="s">
        <v>1013</v>
      </c>
      <c r="D1635" t="s">
        <v>600</v>
      </c>
      <c r="F1635" t="s">
        <v>979</v>
      </c>
      <c r="G1635" s="3">
        <v>8298475846</v>
      </c>
      <c r="H1635" s="2">
        <v>46140</v>
      </c>
      <c r="K1635" s="1">
        <f ca="1">IF(A1635="","",IF(OR(L1635="ENTREGADA",L1635="RETORNADA",L1635="ENTREGA DIGITAL"),0,MAX(0,5-NETWORKDAYS(H1635+1,TODAY()))))</f>
        <v>2</v>
      </c>
      <c r="L1635">
        <f>IF(A1635="","",IFERROR(LOOKUP(2,1/(#REF!=Z1635),#REF!),Y1635))</f>
        <v>0</v>
      </c>
      <c r="Z1635" t="str">
        <f>IF(A1635="","",TEXT(A1635,"0")&amp;"|"&amp;TEXT(H1635,"0"))</f>
        <v>4921017917131440|46140</v>
      </c>
      <c r="AA1635" t="str">
        <f>IF(Z1635="","",IFERROR(LOOKUP(2,1/(#REF!=Z1635),#REF!),""))</f>
        <v/>
      </c>
      <c r="AB1635" t="str">
        <f>IF(Z1635="","",IFERROR(LOOKUP(2,1/(#REF!=Z1635),#REF!),""))</f>
        <v/>
      </c>
      <c r="AC1635" t="e">
        <f>IF(Z1635="","",COUNTIF(#REF!,Z1635))</f>
        <v>#REF!</v>
      </c>
      <c r="AD1635" t="e">
        <f>IF(A1635="","",IF(AC1635&gt;1,"REVISAR DUPLICADO",IF(AA1635&lt;&gt;"","ACTUALIZADO POR EYR","SIN REPORTE EYR")))</f>
        <v>#REF!</v>
      </c>
    </row>
    <row r="1636" spans="1:30" x14ac:dyDescent="0.3">
      <c r="A1636" s="5" t="s">
        <v>1012</v>
      </c>
      <c r="B1636" t="s">
        <v>1011</v>
      </c>
      <c r="C1636" s="4" t="s">
        <v>1010</v>
      </c>
      <c r="D1636" t="s">
        <v>600</v>
      </c>
      <c r="F1636" t="s">
        <v>1009</v>
      </c>
      <c r="G1636" s="3">
        <v>8099999998</v>
      </c>
      <c r="H1636" s="2">
        <v>46140</v>
      </c>
      <c r="K1636" s="1">
        <f ca="1">IF(A1636="","",IF(OR(L1636="ENTREGADA",L1636="RETORNADA",L1636="ENTREGA DIGITAL"),0,MAX(0,5-NETWORKDAYS(H1636+1,TODAY()))))</f>
        <v>2</v>
      </c>
      <c r="L1636">
        <f>IF(A1636="","",IFERROR(LOOKUP(2,1/(#REF!=Z1636),#REF!),Y1636))</f>
        <v>0</v>
      </c>
      <c r="Z1636" t="str">
        <f>IF(A1636="","",TEXT(A1636,"0")&amp;"|"&amp;TEXT(H1636,"0"))</f>
        <v>4921017921692660|46140</v>
      </c>
      <c r="AA1636" t="str">
        <f>IF(Z1636="","",IFERROR(LOOKUP(2,1/(#REF!=Z1636),#REF!),""))</f>
        <v/>
      </c>
      <c r="AB1636" t="str">
        <f>IF(Z1636="","",IFERROR(LOOKUP(2,1/(#REF!=Z1636),#REF!),""))</f>
        <v/>
      </c>
      <c r="AC1636" t="e">
        <f>IF(Z1636="","",COUNTIF(#REF!,Z1636))</f>
        <v>#REF!</v>
      </c>
      <c r="AD1636" t="e">
        <f>IF(A1636="","",IF(AC1636&gt;1,"REVISAR DUPLICADO",IF(AA1636&lt;&gt;"","ACTUALIZADO POR EYR","SIN REPORTE EYR")))</f>
        <v>#REF!</v>
      </c>
    </row>
    <row r="1637" spans="1:30" x14ac:dyDescent="0.3">
      <c r="A1637" s="5" t="s">
        <v>1008</v>
      </c>
      <c r="B1637" t="s">
        <v>1007</v>
      </c>
      <c r="C1637" s="4" t="s">
        <v>1006</v>
      </c>
      <c r="D1637" t="s">
        <v>600</v>
      </c>
      <c r="F1637" t="s">
        <v>1002</v>
      </c>
      <c r="G1637" s="3">
        <v>8294064478</v>
      </c>
      <c r="H1637" s="2">
        <v>46140</v>
      </c>
      <c r="K1637" s="1">
        <f ca="1">IF(A1637="","",IF(OR(L1637="ENTREGADA",L1637="RETORNADA",L1637="ENTREGA DIGITAL"),0,MAX(0,5-NETWORKDAYS(H1637+1,TODAY()))))</f>
        <v>2</v>
      </c>
      <c r="L1637">
        <f>IF(A1637="","",IFERROR(LOOKUP(2,1/(#REF!=Z1637),#REF!),Y1637))</f>
        <v>0</v>
      </c>
      <c r="Z1637" t="str">
        <f>IF(A1637="","",TEXT(A1637,"0")&amp;"|"&amp;TEXT(H1637,"0"))</f>
        <v>4921017922684940|46140</v>
      </c>
      <c r="AA1637" t="str">
        <f>IF(Z1637="","",IFERROR(LOOKUP(2,1/(#REF!=Z1637),#REF!),""))</f>
        <v/>
      </c>
      <c r="AB1637" t="str">
        <f>IF(Z1637="","",IFERROR(LOOKUP(2,1/(#REF!=Z1637),#REF!),""))</f>
        <v/>
      </c>
      <c r="AC1637" t="e">
        <f>IF(Z1637="","",COUNTIF(#REF!,Z1637))</f>
        <v>#REF!</v>
      </c>
      <c r="AD1637" t="e">
        <f>IF(A1637="","",IF(AC1637&gt;1,"REVISAR DUPLICADO",IF(AA1637&lt;&gt;"","ACTUALIZADO POR EYR","SIN REPORTE EYR")))</f>
        <v>#REF!</v>
      </c>
    </row>
    <row r="1638" spans="1:30" x14ac:dyDescent="0.3">
      <c r="A1638" s="5" t="s">
        <v>1005</v>
      </c>
      <c r="B1638" t="s">
        <v>1004</v>
      </c>
      <c r="C1638" s="4" t="s">
        <v>1003</v>
      </c>
      <c r="D1638" t="s">
        <v>600</v>
      </c>
      <c r="F1638" t="s">
        <v>1002</v>
      </c>
      <c r="G1638" s="3">
        <v>8092364720</v>
      </c>
      <c r="H1638" s="2">
        <v>46140</v>
      </c>
      <c r="K1638" s="1">
        <f ca="1">IF(A1638="","",IF(OR(L1638="ENTREGADA",L1638="RETORNADA",L1638="ENTREGA DIGITAL"),0,MAX(0,5-NETWORKDAYS(H1638+1,TODAY()))))</f>
        <v>2</v>
      </c>
      <c r="L1638">
        <f>IF(A1638="","",IFERROR(LOOKUP(2,1/(#REF!=Z1638),#REF!),Y1638))</f>
        <v>0</v>
      </c>
      <c r="Z1638" t="str">
        <f>IF(A1638="","",TEXT(A1638,"0")&amp;"|"&amp;TEXT(H1638,"0"))</f>
        <v>4921017917332140|46140</v>
      </c>
      <c r="AA1638" t="str">
        <f>IF(Z1638="","",IFERROR(LOOKUP(2,1/(#REF!=Z1638),#REF!),""))</f>
        <v/>
      </c>
      <c r="AB1638" t="str">
        <f>IF(Z1638="","",IFERROR(LOOKUP(2,1/(#REF!=Z1638),#REF!),""))</f>
        <v/>
      </c>
      <c r="AC1638" t="e">
        <f>IF(Z1638="","",COUNTIF(#REF!,Z1638))</f>
        <v>#REF!</v>
      </c>
      <c r="AD1638" t="e">
        <f>IF(A1638="","",IF(AC1638&gt;1,"REVISAR DUPLICADO",IF(AA1638&lt;&gt;"","ACTUALIZADO POR EYR","SIN REPORTE EYR")))</f>
        <v>#REF!</v>
      </c>
    </row>
    <row r="1639" spans="1:30" x14ac:dyDescent="0.3">
      <c r="A1639" s="5" t="s">
        <v>1001</v>
      </c>
      <c r="B1639" t="s">
        <v>1000</v>
      </c>
      <c r="C1639" s="4" t="s">
        <v>999</v>
      </c>
      <c r="D1639" t="s">
        <v>600</v>
      </c>
      <c r="F1639" t="s">
        <v>998</v>
      </c>
      <c r="G1639" s="3">
        <v>8092503286</v>
      </c>
      <c r="H1639" s="2">
        <v>46140</v>
      </c>
      <c r="K1639" s="1">
        <f ca="1">IF(A1639="","",IF(OR(L1639="ENTREGADA",L1639="RETORNADA",L1639="ENTREGA DIGITAL"),0,MAX(0,5-NETWORKDAYS(H1639+1,TODAY()))))</f>
        <v>2</v>
      </c>
      <c r="L1639">
        <f>IF(A1639="","",IFERROR(LOOKUP(2,1/(#REF!=Z1639),#REF!),Y1639))</f>
        <v>0</v>
      </c>
      <c r="Z1639" t="str">
        <f>IF(A1639="","",TEXT(A1639,"0")&amp;"|"&amp;TEXT(H1639,"0"))</f>
        <v>4921017922501160|46140</v>
      </c>
      <c r="AA1639" t="str">
        <f>IF(Z1639="","",IFERROR(LOOKUP(2,1/(#REF!=Z1639),#REF!),""))</f>
        <v/>
      </c>
      <c r="AB1639" t="str">
        <f>IF(Z1639="","",IFERROR(LOOKUP(2,1/(#REF!=Z1639),#REF!),""))</f>
        <v/>
      </c>
      <c r="AC1639" t="e">
        <f>IF(Z1639="","",COUNTIF(#REF!,Z1639))</f>
        <v>#REF!</v>
      </c>
      <c r="AD1639" t="e">
        <f>IF(A1639="","",IF(AC1639&gt;1,"REVISAR DUPLICADO",IF(AA1639&lt;&gt;"","ACTUALIZADO POR EYR","SIN REPORTE EYR")))</f>
        <v>#REF!</v>
      </c>
    </row>
    <row r="1640" spans="1:30" x14ac:dyDescent="0.3">
      <c r="A1640" s="5" t="s">
        <v>997</v>
      </c>
      <c r="B1640" t="s">
        <v>996</v>
      </c>
      <c r="C1640" s="4" t="s">
        <v>995</v>
      </c>
      <c r="D1640" t="s">
        <v>600</v>
      </c>
      <c r="F1640" t="s">
        <v>979</v>
      </c>
      <c r="G1640" s="3">
        <v>8097151958</v>
      </c>
      <c r="H1640" s="2">
        <v>46140</v>
      </c>
      <c r="K1640" s="1">
        <f ca="1">IF(A1640="","",IF(OR(L1640="ENTREGADA",L1640="RETORNADA",L1640="ENTREGA DIGITAL"),0,MAX(0,5-NETWORKDAYS(H1640+1,TODAY()))))</f>
        <v>2</v>
      </c>
      <c r="L1640">
        <f>IF(A1640="","",IFERROR(LOOKUP(2,1/(#REF!=Z1640),#REF!),Y1640))</f>
        <v>0</v>
      </c>
      <c r="Z1640" t="str">
        <f>IF(A1640="","",TEXT(A1640,"0")&amp;"|"&amp;TEXT(H1640,"0"))</f>
        <v>5400017915272750|46140</v>
      </c>
      <c r="AA1640" t="str">
        <f>IF(Z1640="","",IFERROR(LOOKUP(2,1/(#REF!=Z1640),#REF!),""))</f>
        <v/>
      </c>
      <c r="AB1640" t="str">
        <f>IF(Z1640="","",IFERROR(LOOKUP(2,1/(#REF!=Z1640),#REF!),""))</f>
        <v/>
      </c>
      <c r="AC1640" t="e">
        <f>IF(Z1640="","",COUNTIF(#REF!,Z1640))</f>
        <v>#REF!</v>
      </c>
      <c r="AD1640" t="e">
        <f>IF(A1640="","",IF(AC1640&gt;1,"REVISAR DUPLICADO",IF(AA1640&lt;&gt;"","ACTUALIZADO POR EYR","SIN REPORTE EYR")))</f>
        <v>#REF!</v>
      </c>
    </row>
    <row r="1641" spans="1:30" x14ac:dyDescent="0.3">
      <c r="A1641" s="5" t="s">
        <v>994</v>
      </c>
      <c r="B1641" t="s">
        <v>993</v>
      </c>
      <c r="C1641" s="4" t="s">
        <v>992</v>
      </c>
      <c r="D1641" t="s">
        <v>600</v>
      </c>
      <c r="F1641" t="s">
        <v>991</v>
      </c>
      <c r="G1641" s="3">
        <v>8295807298</v>
      </c>
      <c r="H1641" s="2">
        <v>46140</v>
      </c>
      <c r="K1641" s="1">
        <f ca="1">IF(A1641="","",IF(OR(L1641="ENTREGADA",L1641="RETORNADA",L1641="ENTREGA DIGITAL"),0,MAX(0,5-NETWORKDAYS(H1641+1,TODAY()))))</f>
        <v>2</v>
      </c>
      <c r="L1641">
        <f>IF(A1641="","",IFERROR(LOOKUP(2,1/(#REF!=Z1641),#REF!),Y1641))</f>
        <v>0</v>
      </c>
      <c r="Z1641" t="str">
        <f>IF(A1641="","",TEXT(A1641,"0")&amp;"|"&amp;TEXT(H1641,"0"))</f>
        <v>4921017924745940|46140</v>
      </c>
      <c r="AA1641" t="str">
        <f>IF(Z1641="","",IFERROR(LOOKUP(2,1/(#REF!=Z1641),#REF!),""))</f>
        <v/>
      </c>
      <c r="AB1641" t="str">
        <f>IF(Z1641="","",IFERROR(LOOKUP(2,1/(#REF!=Z1641),#REF!),""))</f>
        <v/>
      </c>
      <c r="AC1641" t="e">
        <f>IF(Z1641="","",COUNTIF(#REF!,Z1641))</f>
        <v>#REF!</v>
      </c>
      <c r="AD1641" t="e">
        <f>IF(A1641="","",IF(AC1641&gt;1,"REVISAR DUPLICADO",IF(AA1641&lt;&gt;"","ACTUALIZADO POR EYR","SIN REPORTE EYR")))</f>
        <v>#REF!</v>
      </c>
    </row>
    <row r="1642" spans="1:30" x14ac:dyDescent="0.3">
      <c r="A1642" s="5" t="s">
        <v>990</v>
      </c>
      <c r="B1642" t="s">
        <v>989</v>
      </c>
      <c r="C1642" s="4" t="s">
        <v>988</v>
      </c>
      <c r="D1642" t="s">
        <v>600</v>
      </c>
      <c r="F1642" t="s">
        <v>987</v>
      </c>
      <c r="G1642" s="3">
        <v>8295731227</v>
      </c>
      <c r="H1642" s="2">
        <v>46140</v>
      </c>
      <c r="K1642" s="1">
        <f ca="1">IF(A1642="","",IF(OR(L1642="ENTREGADA",L1642="RETORNADA",L1642="ENTREGA DIGITAL"),0,MAX(0,5-NETWORKDAYS(H1642+1,TODAY()))))</f>
        <v>2</v>
      </c>
      <c r="L1642">
        <f>IF(A1642="","",IFERROR(LOOKUP(2,1/(#REF!=Z1642),#REF!),Y1642))</f>
        <v>0</v>
      </c>
      <c r="Z1642" t="str">
        <f>IF(A1642="","",TEXT(A1642,"0")&amp;"|"&amp;TEXT(H1642,"0"))</f>
        <v>4921017925419600|46140</v>
      </c>
      <c r="AA1642" t="str">
        <f>IF(Z1642="","",IFERROR(LOOKUP(2,1/(#REF!=Z1642),#REF!),""))</f>
        <v/>
      </c>
      <c r="AB1642" t="str">
        <f>IF(Z1642="","",IFERROR(LOOKUP(2,1/(#REF!=Z1642),#REF!),""))</f>
        <v/>
      </c>
      <c r="AC1642" t="e">
        <f>IF(Z1642="","",COUNTIF(#REF!,Z1642))</f>
        <v>#REF!</v>
      </c>
      <c r="AD1642" t="e">
        <f>IF(A1642="","",IF(AC1642&gt;1,"REVISAR DUPLICADO",IF(AA1642&lt;&gt;"","ACTUALIZADO POR EYR","SIN REPORTE EYR")))</f>
        <v>#REF!</v>
      </c>
    </row>
    <row r="1643" spans="1:30" x14ac:dyDescent="0.3">
      <c r="A1643" s="5" t="s">
        <v>986</v>
      </c>
      <c r="B1643" t="s">
        <v>985</v>
      </c>
      <c r="C1643" s="4" t="s">
        <v>984</v>
      </c>
      <c r="D1643" t="s">
        <v>600</v>
      </c>
      <c r="F1643" t="s">
        <v>983</v>
      </c>
      <c r="G1643" s="3">
        <v>8096857131</v>
      </c>
      <c r="H1643" s="2">
        <v>46140</v>
      </c>
      <c r="K1643" s="1">
        <f ca="1">IF(A1643="","",IF(OR(L1643="ENTREGADA",L1643="RETORNADA",L1643="ENTREGA DIGITAL"),0,MAX(0,5-NETWORKDAYS(H1643+1,TODAY()))))</f>
        <v>2</v>
      </c>
      <c r="L1643">
        <f>IF(A1643="","",IFERROR(LOOKUP(2,1/(#REF!=Z1643),#REF!),Y1643))</f>
        <v>0</v>
      </c>
      <c r="Z1643" t="str">
        <f>IF(A1643="","",TEXT(A1643,"0")&amp;"|"&amp;TEXT(H1643,"0"))</f>
        <v>4921017925353770|46140</v>
      </c>
      <c r="AA1643" t="str">
        <f>IF(Z1643="","",IFERROR(LOOKUP(2,1/(#REF!=Z1643),#REF!),""))</f>
        <v/>
      </c>
      <c r="AB1643" t="str">
        <f>IF(Z1643="","",IFERROR(LOOKUP(2,1/(#REF!=Z1643),#REF!),""))</f>
        <v/>
      </c>
      <c r="AC1643" t="e">
        <f>IF(Z1643="","",COUNTIF(#REF!,Z1643))</f>
        <v>#REF!</v>
      </c>
      <c r="AD1643" t="e">
        <f>IF(A1643="","",IF(AC1643&gt;1,"REVISAR DUPLICADO",IF(AA1643&lt;&gt;"","ACTUALIZADO POR EYR","SIN REPORTE EYR")))</f>
        <v>#REF!</v>
      </c>
    </row>
    <row r="1644" spans="1:30" x14ac:dyDescent="0.3">
      <c r="A1644" s="5" t="s">
        <v>982</v>
      </c>
      <c r="B1644" t="s">
        <v>981</v>
      </c>
      <c r="C1644" s="4" t="s">
        <v>980</v>
      </c>
      <c r="D1644" t="s">
        <v>600</v>
      </c>
      <c r="F1644" t="s">
        <v>979</v>
      </c>
      <c r="G1644" s="3">
        <v>8092387474</v>
      </c>
      <c r="H1644" s="2">
        <v>46140</v>
      </c>
      <c r="K1644" s="1">
        <f ca="1">IF(A1644="","",IF(OR(L1644="ENTREGADA",L1644="RETORNADA",L1644="ENTREGA DIGITAL"),0,MAX(0,5-NETWORKDAYS(H1644+1,TODAY()))))</f>
        <v>2</v>
      </c>
      <c r="L1644">
        <f>IF(A1644="","",IFERROR(LOOKUP(2,1/(#REF!=Z1644),#REF!),Y1644))</f>
        <v>0</v>
      </c>
      <c r="Z1644" t="str">
        <f>IF(A1644="","",TEXT(A1644,"0")&amp;"|"&amp;TEXT(H1644,"0"))</f>
        <v>5227017920645090|46140</v>
      </c>
      <c r="AA1644" t="str">
        <f>IF(Z1644="","",IFERROR(LOOKUP(2,1/(#REF!=Z1644),#REF!),""))</f>
        <v/>
      </c>
      <c r="AB1644" t="str">
        <f>IF(Z1644="","",IFERROR(LOOKUP(2,1/(#REF!=Z1644),#REF!),""))</f>
        <v/>
      </c>
      <c r="AC1644" t="e">
        <f>IF(Z1644="","",COUNTIF(#REF!,Z1644))</f>
        <v>#REF!</v>
      </c>
      <c r="AD1644" t="e">
        <f>IF(A1644="","",IF(AC1644&gt;1,"REVISAR DUPLICADO",IF(AA1644&lt;&gt;"","ACTUALIZADO POR EYR","SIN REPORTE EYR")))</f>
        <v>#REF!</v>
      </c>
    </row>
    <row r="1645" spans="1:30" x14ac:dyDescent="0.3">
      <c r="A1645" s="5" t="s">
        <v>978</v>
      </c>
      <c r="B1645" t="s">
        <v>977</v>
      </c>
      <c r="C1645" s="4" t="s">
        <v>976</v>
      </c>
      <c r="D1645" t="s">
        <v>600</v>
      </c>
      <c r="F1645" t="s">
        <v>975</v>
      </c>
      <c r="G1645" s="3">
        <v>4013409511</v>
      </c>
      <c r="H1645" s="2">
        <v>46140</v>
      </c>
      <c r="K1645" s="1">
        <f ca="1">IF(A1645="","",IF(OR(L1645="ENTREGADA",L1645="RETORNADA",L1645="ENTREGA DIGITAL"),0,MAX(0,5-NETWORKDAYS(H1645+1,TODAY()))))</f>
        <v>2</v>
      </c>
      <c r="L1645">
        <f>IF(A1645="","",IFERROR(LOOKUP(2,1/(#REF!=Z1645),#REF!),Y1645))</f>
        <v>0</v>
      </c>
      <c r="Z1645" t="str">
        <f>IF(A1645="","",TEXT(A1645,"0")&amp;"|"&amp;TEXT(H1645,"0"))</f>
        <v>4025017292009830|46140</v>
      </c>
      <c r="AA1645" t="str">
        <f>IF(Z1645="","",IFERROR(LOOKUP(2,1/(#REF!=Z1645),#REF!),""))</f>
        <v/>
      </c>
      <c r="AB1645" t="str">
        <f>IF(Z1645="","",IFERROR(LOOKUP(2,1/(#REF!=Z1645),#REF!),""))</f>
        <v/>
      </c>
      <c r="AC1645" t="e">
        <f>IF(Z1645="","",COUNTIF(#REF!,Z1645))</f>
        <v>#REF!</v>
      </c>
      <c r="AD1645" t="e">
        <f>IF(A1645="","",IF(AC1645&gt;1,"REVISAR DUPLICADO",IF(AA1645&lt;&gt;"","ACTUALIZADO POR EYR","SIN REPORTE EYR")))</f>
        <v>#REF!</v>
      </c>
    </row>
    <row r="1646" spans="1:30" x14ac:dyDescent="0.3">
      <c r="A1646" s="5" t="s">
        <v>974</v>
      </c>
      <c r="B1646" t="s">
        <v>967</v>
      </c>
      <c r="C1646" s="4" t="s">
        <v>966</v>
      </c>
      <c r="D1646" t="s">
        <v>600</v>
      </c>
      <c r="F1646" t="s">
        <v>965</v>
      </c>
      <c r="G1646" s="3">
        <v>8093037563</v>
      </c>
      <c r="H1646" s="2">
        <v>46140</v>
      </c>
      <c r="K1646" s="1">
        <f ca="1">IF(A1646="","",IF(OR(L1646="ENTREGADA",L1646="RETORNADA",L1646="ENTREGA DIGITAL"),0,MAX(0,5-NETWORKDAYS(H1646+1,TODAY()))))</f>
        <v>2</v>
      </c>
      <c r="L1646">
        <f>IF(A1646="","",IFERROR(LOOKUP(2,1/(#REF!=Z1646),#REF!),Y1646))</f>
        <v>0</v>
      </c>
      <c r="Z1646" t="str">
        <f>IF(A1646="","",TEXT(A1646,"0")&amp;"|"&amp;TEXT(H1646,"0"))</f>
        <v>5415017913978080|46140</v>
      </c>
      <c r="AA1646" t="str">
        <f>IF(Z1646="","",IFERROR(LOOKUP(2,1/(#REF!=Z1646),#REF!),""))</f>
        <v/>
      </c>
      <c r="AB1646" t="str">
        <f>IF(Z1646="","",IFERROR(LOOKUP(2,1/(#REF!=Z1646),#REF!),""))</f>
        <v/>
      </c>
      <c r="AC1646" t="e">
        <f>IF(Z1646="","",COUNTIF(#REF!,Z1646))</f>
        <v>#REF!</v>
      </c>
      <c r="AD1646" t="e">
        <f>IF(A1646="","",IF(AC1646&gt;1,"REVISAR DUPLICADO",IF(AA1646&lt;&gt;"","ACTUALIZADO POR EYR","SIN REPORTE EYR")))</f>
        <v>#REF!</v>
      </c>
    </row>
    <row r="1647" spans="1:30" x14ac:dyDescent="0.3">
      <c r="A1647" s="5" t="s">
        <v>973</v>
      </c>
      <c r="B1647" t="s">
        <v>972</v>
      </c>
      <c r="C1647" s="4" t="s">
        <v>971</v>
      </c>
      <c r="D1647" t="s">
        <v>600</v>
      </c>
      <c r="F1647" t="s">
        <v>970</v>
      </c>
      <c r="G1647" s="3">
        <v>8493436909</v>
      </c>
      <c r="H1647" s="2">
        <v>46140</v>
      </c>
      <c r="K1647" s="1">
        <f ca="1">IF(A1647="","",IF(OR(L1647="ENTREGADA",L1647="RETORNADA",L1647="ENTREGA DIGITAL"),0,MAX(0,5-NETWORKDAYS(H1647+1,TODAY()))))</f>
        <v>2</v>
      </c>
      <c r="L1647">
        <f>IF(A1647="","",IFERROR(LOOKUP(2,1/(#REF!=Z1647),#REF!),Y1647))</f>
        <v>0</v>
      </c>
      <c r="Z1647" t="str">
        <f>IF(A1647="","",TEXT(A1647,"0")&amp;"|"&amp;TEXT(H1647,"0"))</f>
        <v>5188017922460240|46140</v>
      </c>
      <c r="AA1647" t="str">
        <f>IF(Z1647="","",IFERROR(LOOKUP(2,1/(#REF!=Z1647),#REF!),""))</f>
        <v/>
      </c>
      <c r="AB1647" t="str">
        <f>IF(Z1647="","",IFERROR(LOOKUP(2,1/(#REF!=Z1647),#REF!),""))</f>
        <v/>
      </c>
      <c r="AC1647" t="e">
        <f>IF(Z1647="","",COUNTIF(#REF!,Z1647))</f>
        <v>#REF!</v>
      </c>
      <c r="AD1647" t="e">
        <f>IF(A1647="","",IF(AC1647&gt;1,"REVISAR DUPLICADO",IF(AA1647&lt;&gt;"","ACTUALIZADO POR EYR","SIN REPORTE EYR")))</f>
        <v>#REF!</v>
      </c>
    </row>
    <row r="1648" spans="1:30" x14ac:dyDescent="0.3">
      <c r="A1648" s="5" t="s">
        <v>969</v>
      </c>
      <c r="B1648" t="s">
        <v>967</v>
      </c>
      <c r="C1648" s="4" t="s">
        <v>966</v>
      </c>
      <c r="D1648" t="s">
        <v>600</v>
      </c>
      <c r="F1648" t="s">
        <v>965</v>
      </c>
      <c r="G1648" s="3">
        <v>8093037563</v>
      </c>
      <c r="H1648" s="2">
        <v>46140</v>
      </c>
      <c r="K1648" s="1">
        <f ca="1">IF(A1648="","",IF(OR(L1648="ENTREGADA",L1648="RETORNADA",L1648="ENTREGA DIGITAL"),0,MAX(0,5-NETWORKDAYS(H1648+1,TODAY()))))</f>
        <v>2</v>
      </c>
      <c r="L1648">
        <f>IF(A1648="","",IFERROR(LOOKUP(2,1/(#REF!=Z1648),#REF!),Y1648))</f>
        <v>0</v>
      </c>
      <c r="Z1648" t="str">
        <f>IF(A1648="","",TEXT(A1648,"0")&amp;"|"&amp;TEXT(H1648,"0"))</f>
        <v>5415017914686990|46140</v>
      </c>
      <c r="AA1648" t="str">
        <f>IF(Z1648="","",IFERROR(LOOKUP(2,1/(#REF!=Z1648),#REF!),""))</f>
        <v/>
      </c>
      <c r="AB1648" t="str">
        <f>IF(Z1648="","",IFERROR(LOOKUP(2,1/(#REF!=Z1648),#REF!),""))</f>
        <v/>
      </c>
      <c r="AC1648" t="e">
        <f>IF(Z1648="","",COUNTIF(#REF!,Z1648))</f>
        <v>#REF!</v>
      </c>
      <c r="AD1648" t="e">
        <f>IF(A1648="","",IF(AC1648&gt;1,"REVISAR DUPLICADO",IF(AA1648&lt;&gt;"","ACTUALIZADO POR EYR","SIN REPORTE EYR")))</f>
        <v>#REF!</v>
      </c>
    </row>
    <row r="1649" spans="1:30" x14ac:dyDescent="0.3">
      <c r="A1649" s="5" t="s">
        <v>968</v>
      </c>
      <c r="B1649" t="s">
        <v>967</v>
      </c>
      <c r="C1649" s="4" t="s">
        <v>966</v>
      </c>
      <c r="D1649" t="s">
        <v>600</v>
      </c>
      <c r="F1649" t="s">
        <v>965</v>
      </c>
      <c r="G1649" s="3">
        <v>8093037563</v>
      </c>
      <c r="H1649" s="2">
        <v>46140</v>
      </c>
      <c r="K1649" s="1">
        <f ca="1">IF(A1649="","",IF(OR(L1649="ENTREGADA",L1649="RETORNADA",L1649="ENTREGA DIGITAL"),0,MAX(0,5-NETWORKDAYS(H1649+1,TODAY()))))</f>
        <v>2</v>
      </c>
      <c r="L1649">
        <f>IF(A1649="","",IFERROR(LOOKUP(2,1/(#REF!=Z1649),#REF!),Y1649))</f>
        <v>0</v>
      </c>
      <c r="Z1649" t="str">
        <f>IF(A1649="","",TEXT(A1649,"0")&amp;"|"&amp;TEXT(H1649,"0"))</f>
        <v>5415017913980490|46140</v>
      </c>
      <c r="AA1649" t="str">
        <f>IF(Z1649="","",IFERROR(LOOKUP(2,1/(#REF!=Z1649),#REF!),""))</f>
        <v/>
      </c>
      <c r="AB1649" t="str">
        <f>IF(Z1649="","",IFERROR(LOOKUP(2,1/(#REF!=Z1649),#REF!),""))</f>
        <v/>
      </c>
      <c r="AC1649" t="e">
        <f>IF(Z1649="","",COUNTIF(#REF!,Z1649))</f>
        <v>#REF!</v>
      </c>
      <c r="AD1649" t="e">
        <f>IF(A1649="","",IF(AC1649&gt;1,"REVISAR DUPLICADO",IF(AA1649&lt;&gt;"","ACTUALIZADO POR EYR","SIN REPORTE EYR")))</f>
        <v>#REF!</v>
      </c>
    </row>
    <row r="1650" spans="1:30" x14ac:dyDescent="0.3">
      <c r="A1650" s="5" t="s">
        <v>964</v>
      </c>
      <c r="B1650" t="s">
        <v>963</v>
      </c>
      <c r="C1650" s="4" t="s">
        <v>962</v>
      </c>
      <c r="D1650" t="s">
        <v>600</v>
      </c>
      <c r="F1650" t="s">
        <v>13</v>
      </c>
      <c r="G1650" s="3">
        <v>8093101533</v>
      </c>
      <c r="H1650" s="2">
        <v>46140</v>
      </c>
      <c r="K1650" s="1">
        <f ca="1">IF(A1650="","",IF(OR(L1650="ENTREGADA",L1650="RETORNADA",L1650="ENTREGA DIGITAL"),0,MAX(0,5-NETWORKDAYS(H1650+1,TODAY()))))</f>
        <v>2</v>
      </c>
      <c r="L1650">
        <f>IF(A1650="","",IFERROR(LOOKUP(2,1/(#REF!=Z1650),#REF!),Y1650))</f>
        <v>0</v>
      </c>
      <c r="Z1650" t="str">
        <f>IF(A1650="","",TEXT(A1650,"0")&amp;"|"&amp;TEXT(H1650,"0"))</f>
        <v>4921017921332010|46140</v>
      </c>
      <c r="AA1650" t="str">
        <f>IF(Z1650="","",IFERROR(LOOKUP(2,1/(#REF!=Z1650),#REF!),""))</f>
        <v/>
      </c>
      <c r="AB1650" t="str">
        <f>IF(Z1650="","",IFERROR(LOOKUP(2,1/(#REF!=Z1650),#REF!),""))</f>
        <v/>
      </c>
      <c r="AC1650" t="e">
        <f>IF(Z1650="","",COUNTIF(#REF!,Z1650))</f>
        <v>#REF!</v>
      </c>
      <c r="AD1650" t="e">
        <f>IF(A1650="","",IF(AC1650&gt;1,"REVISAR DUPLICADO",IF(AA1650&lt;&gt;"","ACTUALIZADO POR EYR","SIN REPORTE EYR")))</f>
        <v>#REF!</v>
      </c>
    </row>
    <row r="1651" spans="1:30" x14ac:dyDescent="0.3">
      <c r="A1651" s="5" t="s">
        <v>961</v>
      </c>
      <c r="B1651" s="8" t="s">
        <v>960</v>
      </c>
      <c r="C1651" s="4" t="s">
        <v>959</v>
      </c>
      <c r="D1651" t="s">
        <v>600</v>
      </c>
      <c r="F1651" t="s">
        <v>13</v>
      </c>
      <c r="G1651" s="3">
        <v>8094434313</v>
      </c>
      <c r="H1651" s="2">
        <v>46140</v>
      </c>
      <c r="K1651" s="1">
        <f ca="1">IF(A1651="","",IF(OR(L1651="ENTREGADA",L1651="RETORNADA",L1651="ENTREGA DIGITAL"),0,MAX(0,5-NETWORKDAYS(H1651+1,TODAY()))))</f>
        <v>2</v>
      </c>
      <c r="L1651">
        <f>IF(A1651="","",IFERROR(LOOKUP(2,1/(#REF!=Z1651),#REF!),Y1651))</f>
        <v>0</v>
      </c>
      <c r="Z1651" t="str">
        <f>IF(A1651="","",TEXT(A1651,"0")&amp;"|"&amp;TEXT(H1651,"0"))</f>
        <v>5415017923559670|46140</v>
      </c>
      <c r="AA1651" t="str">
        <f>IF(Z1651="","",IFERROR(LOOKUP(2,1/(#REF!=Z1651),#REF!),""))</f>
        <v/>
      </c>
      <c r="AB1651" t="str">
        <f>IF(Z1651="","",IFERROR(LOOKUP(2,1/(#REF!=Z1651),#REF!),""))</f>
        <v/>
      </c>
      <c r="AC1651" t="e">
        <f>IF(Z1651="","",COUNTIF(#REF!,Z1651))</f>
        <v>#REF!</v>
      </c>
      <c r="AD1651" t="e">
        <f>IF(A1651="","",IF(AC1651&gt;1,"REVISAR DUPLICADO",IF(AA1651&lt;&gt;"","ACTUALIZADO POR EYR","SIN REPORTE EYR")))</f>
        <v>#REF!</v>
      </c>
    </row>
    <row r="1652" spans="1:30" x14ac:dyDescent="0.3">
      <c r="A1652" s="5" t="s">
        <v>958</v>
      </c>
      <c r="B1652" t="s">
        <v>957</v>
      </c>
      <c r="C1652" s="4" t="s">
        <v>956</v>
      </c>
      <c r="D1652" t="s">
        <v>600</v>
      </c>
      <c r="F1652" t="s">
        <v>955</v>
      </c>
      <c r="G1652" s="3">
        <v>8499168386</v>
      </c>
      <c r="H1652" s="2">
        <v>46140</v>
      </c>
      <c r="K1652" s="1">
        <f ca="1">IF(A1652="","",IF(OR(L1652="ENTREGADA",L1652="RETORNADA",L1652="ENTREGA DIGITAL"),0,MAX(0,5-NETWORKDAYS(H1652+1,TODAY()))))</f>
        <v>2</v>
      </c>
      <c r="L1652">
        <f>IF(A1652="","",IFERROR(LOOKUP(2,1/(#REF!=Z1652),#REF!),Y1652))</f>
        <v>0</v>
      </c>
      <c r="Z1652" t="str">
        <f>IF(A1652="","",TEXT(A1652,"0")&amp;"|"&amp;TEXT(H1652,"0"))</f>
        <v>4921017917319460|46140</v>
      </c>
      <c r="AA1652" t="str">
        <f>IF(Z1652="","",IFERROR(LOOKUP(2,1/(#REF!=Z1652),#REF!),""))</f>
        <v/>
      </c>
      <c r="AB1652" t="str">
        <f>IF(Z1652="","",IFERROR(LOOKUP(2,1/(#REF!=Z1652),#REF!),""))</f>
        <v/>
      </c>
      <c r="AC1652" t="e">
        <f>IF(Z1652="","",COUNTIF(#REF!,Z1652))</f>
        <v>#REF!</v>
      </c>
      <c r="AD1652" t="e">
        <f>IF(A1652="","",IF(AC1652&gt;1,"REVISAR DUPLICADO",IF(AA1652&lt;&gt;"","ACTUALIZADO POR EYR","SIN REPORTE EYR")))</f>
        <v>#REF!</v>
      </c>
    </row>
    <row r="1653" spans="1:30" x14ac:dyDescent="0.3">
      <c r="A1653" s="5" t="s">
        <v>954</v>
      </c>
      <c r="B1653" t="s">
        <v>953</v>
      </c>
      <c r="C1653" s="4" t="s">
        <v>952</v>
      </c>
      <c r="D1653" t="s">
        <v>600</v>
      </c>
      <c r="F1653" t="s">
        <v>951</v>
      </c>
      <c r="G1653" s="3">
        <v>8098155457</v>
      </c>
      <c r="H1653" s="2">
        <v>46140</v>
      </c>
      <c r="K1653" s="1">
        <f ca="1">IF(A1653="","",IF(OR(L1653="ENTREGADA",L1653="RETORNADA",L1653="ENTREGA DIGITAL"),0,MAX(0,5-NETWORKDAYS(H1653+1,TODAY()))))</f>
        <v>2</v>
      </c>
      <c r="L1653">
        <f>IF(A1653="","",IFERROR(LOOKUP(2,1/(#REF!=Z1653),#REF!),Y1653))</f>
        <v>0</v>
      </c>
      <c r="Z1653" t="str">
        <f>IF(A1653="","",TEXT(A1653,"0")&amp;"|"&amp;TEXT(H1653,"0"))</f>
        <v>5415017914171010|46140</v>
      </c>
      <c r="AA1653" t="str">
        <f>IF(Z1653="","",IFERROR(LOOKUP(2,1/(#REF!=Z1653),#REF!),""))</f>
        <v/>
      </c>
      <c r="AB1653" t="str">
        <f>IF(Z1653="","",IFERROR(LOOKUP(2,1/(#REF!=Z1653),#REF!),""))</f>
        <v/>
      </c>
      <c r="AC1653" t="e">
        <f>IF(Z1653="","",COUNTIF(#REF!,Z1653))</f>
        <v>#REF!</v>
      </c>
      <c r="AD1653" t="e">
        <f>IF(A1653="","",IF(AC1653&gt;1,"REVISAR DUPLICADO",IF(AA1653&lt;&gt;"","ACTUALIZADO POR EYR","SIN REPORTE EYR")))</f>
        <v>#REF!</v>
      </c>
    </row>
    <row r="1654" spans="1:30" x14ac:dyDescent="0.3">
      <c r="A1654" s="5" t="s">
        <v>950</v>
      </c>
      <c r="B1654" t="s">
        <v>949</v>
      </c>
      <c r="C1654" s="4" t="s">
        <v>948</v>
      </c>
      <c r="D1654" t="s">
        <v>600</v>
      </c>
      <c r="F1654" t="s">
        <v>13</v>
      </c>
      <c r="G1654" s="3">
        <v>8293838810</v>
      </c>
      <c r="H1654" s="2">
        <v>46140</v>
      </c>
      <c r="K1654" s="1">
        <f ca="1">IF(A1654="","",IF(OR(L1654="ENTREGADA",L1654="RETORNADA",L1654="ENTREGA DIGITAL"),0,MAX(0,5-NETWORKDAYS(H1654+1,TODAY()))))</f>
        <v>2</v>
      </c>
      <c r="L1654">
        <f>IF(A1654="","",IFERROR(LOOKUP(2,1/(#REF!=Z1654),#REF!),Y1654))</f>
        <v>0</v>
      </c>
      <c r="Z1654" t="str">
        <f>IF(A1654="","",TEXT(A1654,"0")&amp;"|"&amp;TEXT(H1654,"0"))</f>
        <v>5188017915816660|46140</v>
      </c>
      <c r="AA1654" t="str">
        <f>IF(Z1654="","",IFERROR(LOOKUP(2,1/(#REF!=Z1654),#REF!),""))</f>
        <v/>
      </c>
      <c r="AB1654" t="str">
        <f>IF(Z1654="","",IFERROR(LOOKUP(2,1/(#REF!=Z1654),#REF!),""))</f>
        <v/>
      </c>
      <c r="AC1654" t="e">
        <f>IF(Z1654="","",COUNTIF(#REF!,Z1654))</f>
        <v>#REF!</v>
      </c>
      <c r="AD1654" t="e">
        <f>IF(A1654="","",IF(AC1654&gt;1,"REVISAR DUPLICADO",IF(AA1654&lt;&gt;"","ACTUALIZADO POR EYR","SIN REPORTE EYR")))</f>
        <v>#REF!</v>
      </c>
    </row>
    <row r="1655" spans="1:30" x14ac:dyDescent="0.3">
      <c r="A1655" s="5" t="s">
        <v>947</v>
      </c>
      <c r="B1655" t="s">
        <v>946</v>
      </c>
      <c r="C1655" s="4" t="s">
        <v>945</v>
      </c>
      <c r="D1655" t="s">
        <v>595</v>
      </c>
      <c r="F1655" t="s">
        <v>944</v>
      </c>
      <c r="G1655" s="3">
        <v>5666643</v>
      </c>
      <c r="H1655" s="2">
        <v>46140</v>
      </c>
      <c r="K1655" s="1">
        <f ca="1">IF(A1655="","",IF(OR(L1655="ENTREGADA",L1655="RETORNADA",L1655="ENTREGA DIGITAL"),0,MAX(0,5-NETWORKDAYS(H1655+1,TODAY()))))</f>
        <v>2</v>
      </c>
      <c r="L1655">
        <f>IF(A1655="","",IFERROR(LOOKUP(2,1/(#REF!=Z1655),#REF!),Y1655))</f>
        <v>0</v>
      </c>
      <c r="Z1655" t="str">
        <f>IF(A1655="","",TEXT(A1655,"0")&amp;"|"&amp;TEXT(H1655,"0"))</f>
        <v>4966017924949500|46140</v>
      </c>
      <c r="AA1655" t="str">
        <f>IF(Z1655="","",IFERROR(LOOKUP(2,1/(#REF!=Z1655),#REF!),""))</f>
        <v/>
      </c>
      <c r="AB1655" t="str">
        <f>IF(Z1655="","",IFERROR(LOOKUP(2,1/(#REF!=Z1655),#REF!),""))</f>
        <v/>
      </c>
      <c r="AC1655" t="e">
        <f>IF(Z1655="","",COUNTIF(#REF!,Z1655))</f>
        <v>#REF!</v>
      </c>
      <c r="AD1655" t="e">
        <f>IF(A1655="","",IF(AC1655&gt;1,"REVISAR DUPLICADO",IF(AA1655&lt;&gt;"","ACTUALIZADO POR EYR","SIN REPORTE EYR")))</f>
        <v>#REF!</v>
      </c>
    </row>
    <row r="1656" spans="1:30" x14ac:dyDescent="0.3">
      <c r="A1656" t="s">
        <v>943</v>
      </c>
      <c r="B1656" t="s">
        <v>942</v>
      </c>
      <c r="C1656" s="4" t="s">
        <v>941</v>
      </c>
      <c r="D1656" t="s">
        <v>600</v>
      </c>
      <c r="F1656" t="s">
        <v>940</v>
      </c>
      <c r="G1656" s="3">
        <v>8099771479</v>
      </c>
      <c r="H1656" s="2">
        <v>46140</v>
      </c>
      <c r="K1656" s="1">
        <f ca="1">IF(A1656="","",IF(OR(L1656="ENTREGADA",L1656="RETORNADA",L1656="ENTREGA DIGITAL"),0,MAX(0,5-NETWORKDAYS(H1656+1,TODAY()))))</f>
        <v>2</v>
      </c>
      <c r="L1656">
        <f>IF(A1656="","",IFERROR(LOOKUP(2,1/(#REF!=Z1656),#REF!),Y1656))</f>
        <v>0</v>
      </c>
      <c r="Z1656" t="str">
        <f>IF(A1656="","",TEXT(A1656,"0")&amp;"|"&amp;TEXT(H1656,"0"))</f>
        <v>4921017917868670|46140</v>
      </c>
      <c r="AA1656" t="str">
        <f>IF(Z1656="","",IFERROR(LOOKUP(2,1/(#REF!=Z1656),#REF!),""))</f>
        <v/>
      </c>
      <c r="AB1656" t="str">
        <f>IF(Z1656="","",IFERROR(LOOKUP(2,1/(#REF!=Z1656),#REF!),""))</f>
        <v/>
      </c>
      <c r="AC1656" t="e">
        <f>IF(Z1656="","",COUNTIF(#REF!,Z1656))</f>
        <v>#REF!</v>
      </c>
      <c r="AD1656" t="e">
        <f>IF(A1656="","",IF(AC1656&gt;1,"REVISAR DUPLICADO",IF(AA1656&lt;&gt;"","ACTUALIZADO POR EYR","SIN REPORTE EYR")))</f>
        <v>#REF!</v>
      </c>
    </row>
    <row r="1657" spans="1:30" x14ac:dyDescent="0.3">
      <c r="A1657" t="s">
        <v>939</v>
      </c>
      <c r="B1657" t="s">
        <v>938</v>
      </c>
      <c r="C1657" s="4" t="s">
        <v>937</v>
      </c>
      <c r="D1657" t="s">
        <v>600</v>
      </c>
      <c r="F1657" t="s">
        <v>936</v>
      </c>
      <c r="G1657" s="3">
        <v>8295426302</v>
      </c>
      <c r="H1657" s="2">
        <v>46140</v>
      </c>
      <c r="K1657" s="1">
        <f ca="1">IF(A1657="","",IF(OR(L1657="ENTREGADA",L1657="RETORNADA",L1657="ENTREGA DIGITAL"),0,MAX(0,5-NETWORKDAYS(H1657+1,TODAY()))))</f>
        <v>2</v>
      </c>
      <c r="L1657">
        <f>IF(A1657="","",IFERROR(LOOKUP(2,1/(#REF!=Z1657),#REF!),Y1657))</f>
        <v>0</v>
      </c>
      <c r="Z1657" t="str">
        <f>IF(A1657="","",TEXT(A1657,"0")&amp;"|"&amp;TEXT(H1657,"0"))</f>
        <v>4921017925926270|46140</v>
      </c>
      <c r="AA1657" t="str">
        <f>IF(Z1657="","",IFERROR(LOOKUP(2,1/(#REF!=Z1657),#REF!),""))</f>
        <v/>
      </c>
      <c r="AB1657" t="str">
        <f>IF(Z1657="","",IFERROR(LOOKUP(2,1/(#REF!=Z1657),#REF!),""))</f>
        <v/>
      </c>
      <c r="AC1657" t="e">
        <f>IF(Z1657="","",COUNTIF(#REF!,Z1657))</f>
        <v>#REF!</v>
      </c>
      <c r="AD1657" t="e">
        <f>IF(A1657="","",IF(AC1657&gt;1,"REVISAR DUPLICADO",IF(AA1657&lt;&gt;"","ACTUALIZADO POR EYR","SIN REPORTE EYR")))</f>
        <v>#REF!</v>
      </c>
    </row>
    <row r="1658" spans="1:30" x14ac:dyDescent="0.3">
      <c r="A1658" t="s">
        <v>935</v>
      </c>
      <c r="B1658" t="s">
        <v>934</v>
      </c>
      <c r="C1658" s="4" t="s">
        <v>933</v>
      </c>
      <c r="D1658" t="s">
        <v>600</v>
      </c>
      <c r="F1658" t="s">
        <v>932</v>
      </c>
      <c r="G1658" s="3">
        <v>8292788041</v>
      </c>
      <c r="H1658" s="2">
        <v>46140</v>
      </c>
      <c r="K1658" s="1">
        <f ca="1">IF(A1658="","",IF(OR(L1658="ENTREGADA",L1658="RETORNADA",L1658="ENTREGA DIGITAL"),0,MAX(0,5-NETWORKDAYS(H1658+1,TODAY()))))</f>
        <v>2</v>
      </c>
      <c r="L1658">
        <f>IF(A1658="","",IFERROR(LOOKUP(2,1/(#REF!=Z1658),#REF!),Y1658))</f>
        <v>0</v>
      </c>
      <c r="Z1658" t="str">
        <f>IF(A1658="","",TEXT(A1658,"0")&amp;"|"&amp;TEXT(H1658,"0"))</f>
        <v>4025017863478150|46140</v>
      </c>
      <c r="AA1658" t="str">
        <f>IF(Z1658="","",IFERROR(LOOKUP(2,1/(#REF!=Z1658),#REF!),""))</f>
        <v/>
      </c>
      <c r="AB1658" t="str">
        <f>IF(Z1658="","",IFERROR(LOOKUP(2,1/(#REF!=Z1658),#REF!),""))</f>
        <v/>
      </c>
      <c r="AC1658" t="e">
        <f>IF(Z1658="","",COUNTIF(#REF!,Z1658))</f>
        <v>#REF!</v>
      </c>
      <c r="AD1658" t="e">
        <f>IF(A1658="","",IF(AC1658&gt;1,"REVISAR DUPLICADO",IF(AA1658&lt;&gt;"","ACTUALIZADO POR EYR","SIN REPORTE EYR")))</f>
        <v>#REF!</v>
      </c>
    </row>
    <row r="1659" spans="1:30" x14ac:dyDescent="0.3">
      <c r="A1659" t="s">
        <v>931</v>
      </c>
      <c r="B1659" t="s">
        <v>930</v>
      </c>
      <c r="C1659" s="4" t="s">
        <v>929</v>
      </c>
      <c r="D1659" t="s">
        <v>600</v>
      </c>
      <c r="F1659" t="s">
        <v>928</v>
      </c>
      <c r="G1659" s="3">
        <v>8098573238</v>
      </c>
      <c r="H1659" s="2">
        <v>46140</v>
      </c>
      <c r="K1659" s="1">
        <f ca="1">IF(A1659="","",IF(OR(L1659="ENTREGADA",L1659="RETORNADA",L1659="ENTREGA DIGITAL"),0,MAX(0,5-NETWORKDAYS(H1659+1,TODAY()))))</f>
        <v>2</v>
      </c>
      <c r="L1659">
        <f>IF(A1659="","",IFERROR(LOOKUP(2,1/(#REF!=Z1659),#REF!),Y1659))</f>
        <v>0</v>
      </c>
      <c r="Z1659" t="str">
        <f>IF(A1659="","",TEXT(A1659,"0")&amp;"|"&amp;TEXT(H1659,"0"))</f>
        <v>5400017859805290|46140</v>
      </c>
      <c r="AA1659" t="str">
        <f>IF(Z1659="","",IFERROR(LOOKUP(2,1/(#REF!=Z1659),#REF!),""))</f>
        <v/>
      </c>
      <c r="AB1659" t="str">
        <f>IF(Z1659="","",IFERROR(LOOKUP(2,1/(#REF!=Z1659),#REF!),""))</f>
        <v/>
      </c>
      <c r="AC1659" t="e">
        <f>IF(Z1659="","",COUNTIF(#REF!,Z1659))</f>
        <v>#REF!</v>
      </c>
      <c r="AD1659" t="e">
        <f>IF(A1659="","",IF(AC1659&gt;1,"REVISAR DUPLICADO",IF(AA1659&lt;&gt;"","ACTUALIZADO POR EYR","SIN REPORTE EYR")))</f>
        <v>#REF!</v>
      </c>
    </row>
    <row r="1660" spans="1:30" x14ac:dyDescent="0.3">
      <c r="A1660" t="s">
        <v>927</v>
      </c>
      <c r="B1660" t="s">
        <v>926</v>
      </c>
      <c r="C1660" s="4" t="s">
        <v>925</v>
      </c>
      <c r="D1660" t="s">
        <v>600</v>
      </c>
      <c r="F1660" t="s">
        <v>917</v>
      </c>
      <c r="G1660" s="3">
        <v>8292018642</v>
      </c>
      <c r="H1660" s="2">
        <v>46140</v>
      </c>
      <c r="K1660" s="1">
        <f ca="1">IF(A1660="","",IF(OR(L1660="ENTREGADA",L1660="RETORNADA",L1660="ENTREGA DIGITAL"),0,MAX(0,5-NETWORKDAYS(H1660+1,TODAY()))))</f>
        <v>2</v>
      </c>
      <c r="L1660">
        <f>IF(A1660="","",IFERROR(LOOKUP(2,1/(#REF!=Z1660),#REF!),Y1660))</f>
        <v>0</v>
      </c>
      <c r="Z1660" t="str">
        <f>IF(A1660="","",TEXT(A1660,"0")&amp;"|"&amp;TEXT(H1660,"0"))</f>
        <v>5188017922415720|46140</v>
      </c>
      <c r="AA1660" t="str">
        <f>IF(Z1660="","",IFERROR(LOOKUP(2,1/(#REF!=Z1660),#REF!),""))</f>
        <v/>
      </c>
      <c r="AB1660" t="str">
        <f>IF(Z1660="","",IFERROR(LOOKUP(2,1/(#REF!=Z1660),#REF!),""))</f>
        <v/>
      </c>
      <c r="AC1660" t="e">
        <f>IF(Z1660="","",COUNTIF(#REF!,Z1660))</f>
        <v>#REF!</v>
      </c>
      <c r="AD1660" t="e">
        <f>IF(A1660="","",IF(AC1660&gt;1,"REVISAR DUPLICADO",IF(AA1660&lt;&gt;"","ACTUALIZADO POR EYR","SIN REPORTE EYR")))</f>
        <v>#REF!</v>
      </c>
    </row>
    <row r="1661" spans="1:30" x14ac:dyDescent="0.3">
      <c r="A1661" t="s">
        <v>924</v>
      </c>
      <c r="B1661" s="8" t="s">
        <v>923</v>
      </c>
      <c r="C1661" s="4" t="s">
        <v>922</v>
      </c>
      <c r="D1661" t="s">
        <v>600</v>
      </c>
      <c r="F1661" t="s">
        <v>921</v>
      </c>
      <c r="G1661" s="3">
        <v>8493786163</v>
      </c>
      <c r="H1661" s="2">
        <v>46140</v>
      </c>
      <c r="K1661" s="1">
        <f ca="1">IF(A1661="","",IF(OR(L1661="ENTREGADA",L1661="RETORNADA",L1661="ENTREGA DIGITAL"),0,MAX(0,5-NETWORKDAYS(H1661+1,TODAY()))))</f>
        <v>2</v>
      </c>
      <c r="L1661">
        <f>IF(A1661="","",IFERROR(LOOKUP(2,1/(#REF!=Z1661),#REF!),Y1661))</f>
        <v>0</v>
      </c>
      <c r="Z1661" t="str">
        <f>IF(A1661="","",TEXT(A1661,"0")&amp;"|"&amp;TEXT(H1661,"0"))</f>
        <v>5188017884781880|46140</v>
      </c>
      <c r="AA1661" t="str">
        <f>IF(Z1661="","",IFERROR(LOOKUP(2,1/(#REF!=Z1661),#REF!),""))</f>
        <v/>
      </c>
      <c r="AB1661" t="str">
        <f>IF(Z1661="","",IFERROR(LOOKUP(2,1/(#REF!=Z1661),#REF!),""))</f>
        <v/>
      </c>
      <c r="AC1661" t="e">
        <f>IF(Z1661="","",COUNTIF(#REF!,Z1661))</f>
        <v>#REF!</v>
      </c>
      <c r="AD1661" t="e">
        <f>IF(A1661="","",IF(AC1661&gt;1,"REVISAR DUPLICADO",IF(AA1661&lt;&gt;"","ACTUALIZADO POR EYR","SIN REPORTE EYR")))</f>
        <v>#REF!</v>
      </c>
    </row>
    <row r="1662" spans="1:30" x14ac:dyDescent="0.3">
      <c r="A1662" t="s">
        <v>920</v>
      </c>
      <c r="B1662" t="s">
        <v>919</v>
      </c>
      <c r="C1662" s="4" t="s">
        <v>918</v>
      </c>
      <c r="D1662" t="s">
        <v>600</v>
      </c>
      <c r="F1662" t="s">
        <v>917</v>
      </c>
      <c r="G1662" s="3">
        <v>8292746956</v>
      </c>
      <c r="H1662" s="2">
        <v>46140</v>
      </c>
      <c r="K1662" s="1">
        <f ca="1">IF(A1662="","",IF(OR(L1662="ENTREGADA",L1662="RETORNADA",L1662="ENTREGA DIGITAL"),0,MAX(0,5-NETWORKDAYS(H1662+1,TODAY()))))</f>
        <v>2</v>
      </c>
      <c r="L1662">
        <f>IF(A1662="","",IFERROR(LOOKUP(2,1/(#REF!=Z1662),#REF!),Y1662))</f>
        <v>0</v>
      </c>
      <c r="Z1662" t="str">
        <f>IF(A1662="","",TEXT(A1662,"0")&amp;"|"&amp;TEXT(H1662,"0"))</f>
        <v>5415017920396370|46140</v>
      </c>
      <c r="AA1662" t="str">
        <f>IF(Z1662="","",IFERROR(LOOKUP(2,1/(#REF!=Z1662),#REF!),""))</f>
        <v/>
      </c>
      <c r="AB1662" t="str">
        <f>IF(Z1662="","",IFERROR(LOOKUP(2,1/(#REF!=Z1662),#REF!),""))</f>
        <v/>
      </c>
      <c r="AC1662" t="e">
        <f>IF(Z1662="","",COUNTIF(#REF!,Z1662))</f>
        <v>#REF!</v>
      </c>
      <c r="AD1662" t="e">
        <f>IF(A1662="","",IF(AC1662&gt;1,"REVISAR DUPLICADO",IF(AA1662&lt;&gt;"","ACTUALIZADO POR EYR","SIN REPORTE EYR")))</f>
        <v>#REF!</v>
      </c>
    </row>
    <row r="1663" spans="1:30" x14ac:dyDescent="0.3">
      <c r="A1663" t="s">
        <v>916</v>
      </c>
      <c r="B1663" t="s">
        <v>915</v>
      </c>
      <c r="C1663" s="4" t="s">
        <v>914</v>
      </c>
      <c r="D1663" t="s">
        <v>600</v>
      </c>
      <c r="F1663" t="s">
        <v>13</v>
      </c>
      <c r="G1663" s="3">
        <v>8093891254</v>
      </c>
      <c r="H1663" s="2">
        <v>46140</v>
      </c>
      <c r="K1663" s="1">
        <f ca="1">IF(A1663="","",IF(OR(L1663="ENTREGADA",L1663="RETORNADA",L1663="ENTREGA DIGITAL"),0,MAX(0,5-NETWORKDAYS(H1663+1,TODAY()))))</f>
        <v>2</v>
      </c>
      <c r="L1663">
        <f>IF(A1663="","",IFERROR(LOOKUP(2,1/(#REF!=Z1663),#REF!),Y1663))</f>
        <v>0</v>
      </c>
      <c r="Z1663" t="str">
        <f>IF(A1663="","",TEXT(A1663,"0")&amp;"|"&amp;TEXT(H1663,"0"))</f>
        <v>5415017914035140|46140</v>
      </c>
      <c r="AA1663" t="str">
        <f>IF(Z1663="","",IFERROR(LOOKUP(2,1/(#REF!=Z1663),#REF!),""))</f>
        <v/>
      </c>
      <c r="AB1663" t="str">
        <f>IF(Z1663="","",IFERROR(LOOKUP(2,1/(#REF!=Z1663),#REF!),""))</f>
        <v/>
      </c>
      <c r="AC1663" t="e">
        <f>IF(Z1663="","",COUNTIF(#REF!,Z1663))</f>
        <v>#REF!</v>
      </c>
      <c r="AD1663" t="e">
        <f>IF(A1663="","",IF(AC1663&gt;1,"REVISAR DUPLICADO",IF(AA1663&lt;&gt;"","ACTUALIZADO POR EYR","SIN REPORTE EYR")))</f>
        <v>#REF!</v>
      </c>
    </row>
    <row r="1664" spans="1:30" x14ac:dyDescent="0.3">
      <c r="A1664" t="s">
        <v>913</v>
      </c>
      <c r="B1664" t="s">
        <v>912</v>
      </c>
      <c r="C1664" s="4" t="s">
        <v>911</v>
      </c>
      <c r="D1664" t="s">
        <v>600</v>
      </c>
      <c r="F1664" t="s">
        <v>910</v>
      </c>
      <c r="G1664" s="3">
        <v>8292639305</v>
      </c>
      <c r="H1664" s="2">
        <v>46140</v>
      </c>
      <c r="K1664" s="1">
        <f ca="1">IF(A1664="","",IF(OR(L1664="ENTREGADA",L1664="RETORNADA",L1664="ENTREGA DIGITAL"),0,MAX(0,5-NETWORKDAYS(H1664+1,TODAY()))))</f>
        <v>2</v>
      </c>
      <c r="L1664">
        <f>IF(A1664="","",IFERROR(LOOKUP(2,1/(#REF!=Z1664),#REF!),Y1664))</f>
        <v>0</v>
      </c>
      <c r="Z1664" t="str">
        <f>IF(A1664="","",TEXT(A1664,"0")&amp;"|"&amp;TEXT(H1664,"0"))</f>
        <v>5188017915701450|46140</v>
      </c>
      <c r="AA1664" t="str">
        <f>IF(Z1664="","",IFERROR(LOOKUP(2,1/(#REF!=Z1664),#REF!),""))</f>
        <v/>
      </c>
      <c r="AB1664" t="str">
        <f>IF(Z1664="","",IFERROR(LOOKUP(2,1/(#REF!=Z1664),#REF!),""))</f>
        <v/>
      </c>
      <c r="AC1664" t="e">
        <f>IF(Z1664="","",COUNTIF(#REF!,Z1664))</f>
        <v>#REF!</v>
      </c>
      <c r="AD1664" t="e">
        <f>IF(A1664="","",IF(AC1664&gt;1,"REVISAR DUPLICADO",IF(AA1664&lt;&gt;"","ACTUALIZADO POR EYR","SIN REPORTE EYR")))</f>
        <v>#REF!</v>
      </c>
    </row>
    <row r="1665" spans="1:30" x14ac:dyDescent="0.3">
      <c r="A1665" t="s">
        <v>909</v>
      </c>
      <c r="B1665" t="s">
        <v>908</v>
      </c>
      <c r="C1665" s="4" t="s">
        <v>907</v>
      </c>
      <c r="D1665" t="s">
        <v>600</v>
      </c>
      <c r="E1665" t="s">
        <v>214</v>
      </c>
      <c r="F1665" t="s">
        <v>906</v>
      </c>
      <c r="G1665" s="3">
        <v>8296512020</v>
      </c>
      <c r="H1665" s="2">
        <v>46140</v>
      </c>
      <c r="K1665" s="1">
        <f ca="1">IF(A1665="","",IF(OR(L1665="ENTREGADA",L1665="RETORNADA",L1665="ENTREGA DIGITAL"),0,MAX(0,5-NETWORKDAYS(H1665+1,TODAY()))))</f>
        <v>2</v>
      </c>
      <c r="L1665">
        <f>IF(A1665="","",IFERROR(LOOKUP(2,1/(#REF!=Z1665),#REF!),Y1665))</f>
        <v>0</v>
      </c>
      <c r="Z1665" t="str">
        <f>IF(A1665="","",TEXT(A1665,"0")&amp;"|"&amp;TEXT(H1665,"0"))</f>
        <v>4921017918340150|46140</v>
      </c>
      <c r="AA1665" t="str">
        <f>IF(Z1665="","",IFERROR(LOOKUP(2,1/(#REF!=Z1665),#REF!),""))</f>
        <v/>
      </c>
      <c r="AB1665" t="str">
        <f>IF(Z1665="","",IFERROR(LOOKUP(2,1/(#REF!=Z1665),#REF!),""))</f>
        <v/>
      </c>
      <c r="AC1665" t="e">
        <f>IF(Z1665="","",COUNTIF(#REF!,Z1665))</f>
        <v>#REF!</v>
      </c>
      <c r="AD1665" t="e">
        <f>IF(A1665="","",IF(AC1665&gt;1,"REVISAR DUPLICADO",IF(AA1665&lt;&gt;"","ACTUALIZADO POR EYR","SIN REPORTE EYR")))</f>
        <v>#REF!</v>
      </c>
    </row>
    <row r="1666" spans="1:30" x14ac:dyDescent="0.3">
      <c r="A1666" t="s">
        <v>905</v>
      </c>
      <c r="B1666" t="s">
        <v>904</v>
      </c>
      <c r="C1666" s="4" t="s">
        <v>903</v>
      </c>
      <c r="D1666" t="s">
        <v>600</v>
      </c>
      <c r="F1666" t="s">
        <v>902</v>
      </c>
      <c r="G1666" s="3">
        <v>8297850797</v>
      </c>
      <c r="H1666" s="2">
        <v>46140</v>
      </c>
      <c r="K1666" s="1">
        <f ca="1">IF(A1666="","",IF(OR(L1666="ENTREGADA",L1666="RETORNADA",L1666="ENTREGA DIGITAL"),0,MAX(0,5-NETWORKDAYS(H1666+1,TODAY()))))</f>
        <v>2</v>
      </c>
      <c r="L1666">
        <f>IF(A1666="","",IFERROR(LOOKUP(2,1/(#REF!=Z1666),#REF!),Y1666))</f>
        <v>0</v>
      </c>
      <c r="Z1666" t="str">
        <f>IF(A1666="","",TEXT(A1666,"0")&amp;"|"&amp;TEXT(H1666,"0"))</f>
        <v>4921017870580850|46140</v>
      </c>
      <c r="AA1666" t="str">
        <f>IF(Z1666="","",IFERROR(LOOKUP(2,1/(#REF!=Z1666),#REF!),""))</f>
        <v/>
      </c>
      <c r="AB1666" t="str">
        <f>IF(Z1666="","",IFERROR(LOOKUP(2,1/(#REF!=Z1666),#REF!),""))</f>
        <v/>
      </c>
      <c r="AC1666" t="e">
        <f>IF(Z1666="","",COUNTIF(#REF!,Z1666))</f>
        <v>#REF!</v>
      </c>
      <c r="AD1666" t="e">
        <f>IF(A1666="","",IF(AC1666&gt;1,"REVISAR DUPLICADO",IF(AA1666&lt;&gt;"","ACTUALIZADO POR EYR","SIN REPORTE EYR")))</f>
        <v>#REF!</v>
      </c>
    </row>
    <row r="1667" spans="1:30" x14ac:dyDescent="0.3">
      <c r="A1667" t="s">
        <v>901</v>
      </c>
      <c r="B1667" t="s">
        <v>900</v>
      </c>
      <c r="C1667" s="4" t="s">
        <v>899</v>
      </c>
      <c r="D1667" t="s">
        <v>600</v>
      </c>
      <c r="F1667" t="s">
        <v>898</v>
      </c>
      <c r="G1667" s="3">
        <v>8296761818</v>
      </c>
      <c r="H1667" s="2">
        <v>46140</v>
      </c>
      <c r="K1667" s="1">
        <f ca="1">IF(A1667="","",IF(OR(L1667="ENTREGADA",L1667="RETORNADA",L1667="ENTREGA DIGITAL"),0,MAX(0,5-NETWORKDAYS(H1667+1,TODAY()))))</f>
        <v>2</v>
      </c>
      <c r="L1667">
        <f>IF(A1667="","",IFERROR(LOOKUP(2,1/(#REF!=Z1667),#REF!),Y1667))</f>
        <v>0</v>
      </c>
      <c r="Z1667" t="str">
        <f>IF(A1667="","",TEXT(A1667,"0")&amp;"|"&amp;TEXT(H1667,"0"))</f>
        <v>5415017914342350|46140</v>
      </c>
      <c r="AA1667" t="str">
        <f>IF(Z1667="","",IFERROR(LOOKUP(2,1/(#REF!=Z1667),#REF!),""))</f>
        <v/>
      </c>
      <c r="AB1667" t="str">
        <f>IF(Z1667="","",IFERROR(LOOKUP(2,1/(#REF!=Z1667),#REF!),""))</f>
        <v/>
      </c>
      <c r="AC1667" t="e">
        <f>IF(Z1667="","",COUNTIF(#REF!,Z1667))</f>
        <v>#REF!</v>
      </c>
      <c r="AD1667" t="e">
        <f>IF(A1667="","",IF(AC1667&gt;1,"REVISAR DUPLICADO",IF(AA1667&lt;&gt;"","ACTUALIZADO POR EYR","SIN REPORTE EYR")))</f>
        <v>#REF!</v>
      </c>
    </row>
    <row r="1668" spans="1:30" x14ac:dyDescent="0.3">
      <c r="A1668" t="s">
        <v>897</v>
      </c>
      <c r="B1668" t="s">
        <v>896</v>
      </c>
      <c r="C1668" s="4" t="s">
        <v>895</v>
      </c>
      <c r="D1668" t="s">
        <v>600</v>
      </c>
      <c r="F1668" t="s">
        <v>13</v>
      </c>
      <c r="G1668" s="3">
        <v>8099122360</v>
      </c>
      <c r="H1668" s="2">
        <v>46140</v>
      </c>
      <c r="K1668" s="1">
        <f ca="1">IF(A1668="","",IF(OR(L1668="ENTREGADA",L1668="RETORNADA",L1668="ENTREGA DIGITAL"),0,MAX(0,5-NETWORKDAYS(H1668+1,TODAY()))))</f>
        <v>2</v>
      </c>
      <c r="L1668">
        <f>IF(A1668="","",IFERROR(LOOKUP(2,1/(#REF!=Z1668),#REF!),Y1668))</f>
        <v>0</v>
      </c>
      <c r="Z1668" t="str">
        <f>IF(A1668="","",TEXT(A1668,"0")&amp;"|"&amp;TEXT(H1668,"0"))</f>
        <v>5188017920708470|46140</v>
      </c>
      <c r="AA1668" t="str">
        <f>IF(Z1668="","",IFERROR(LOOKUP(2,1/(#REF!=Z1668),#REF!),""))</f>
        <v/>
      </c>
      <c r="AB1668" t="str">
        <f>IF(Z1668="","",IFERROR(LOOKUP(2,1/(#REF!=Z1668),#REF!),""))</f>
        <v/>
      </c>
      <c r="AC1668" t="e">
        <f>IF(Z1668="","",COUNTIF(#REF!,Z1668))</f>
        <v>#REF!</v>
      </c>
      <c r="AD1668" t="e">
        <f>IF(A1668="","",IF(AC1668&gt;1,"REVISAR DUPLICADO",IF(AA1668&lt;&gt;"","ACTUALIZADO POR EYR","SIN REPORTE EYR")))</f>
        <v>#REF!</v>
      </c>
    </row>
    <row r="1669" spans="1:30" x14ac:dyDescent="0.3">
      <c r="A1669" t="s">
        <v>894</v>
      </c>
      <c r="B1669" t="s">
        <v>893</v>
      </c>
      <c r="C1669" s="4" t="s">
        <v>892</v>
      </c>
      <c r="D1669" t="s">
        <v>600</v>
      </c>
      <c r="F1669" t="s">
        <v>891</v>
      </c>
      <c r="G1669" s="3">
        <v>8497970613</v>
      </c>
      <c r="H1669" s="2">
        <v>46140</v>
      </c>
      <c r="K1669" s="1">
        <f ca="1">IF(A1669="","",IF(OR(L1669="ENTREGADA",L1669="RETORNADA",L1669="ENTREGA DIGITAL"),0,MAX(0,5-NETWORKDAYS(H1669+1,TODAY()))))</f>
        <v>2</v>
      </c>
      <c r="L1669">
        <f>IF(A1669="","",IFERROR(LOOKUP(2,1/(#REF!=Z1669),#REF!),Y1669))</f>
        <v>0</v>
      </c>
      <c r="Z1669" t="str">
        <f>IF(A1669="","",TEXT(A1669,"0")&amp;"|"&amp;TEXT(H1669,"0"))</f>
        <v>4921017918019140|46140</v>
      </c>
      <c r="AA1669" t="str">
        <f>IF(Z1669="","",IFERROR(LOOKUP(2,1/(#REF!=Z1669),#REF!),""))</f>
        <v/>
      </c>
      <c r="AB1669" t="str">
        <f>IF(Z1669="","",IFERROR(LOOKUP(2,1/(#REF!=Z1669),#REF!),""))</f>
        <v/>
      </c>
      <c r="AC1669" t="e">
        <f>IF(Z1669="","",COUNTIF(#REF!,Z1669))</f>
        <v>#REF!</v>
      </c>
      <c r="AD1669" t="e">
        <f>IF(A1669="","",IF(AC1669&gt;1,"REVISAR DUPLICADO",IF(AA1669&lt;&gt;"","ACTUALIZADO POR EYR","SIN REPORTE EYR")))</f>
        <v>#REF!</v>
      </c>
    </row>
    <row r="1670" spans="1:30" x14ac:dyDescent="0.3">
      <c r="A1670" t="s">
        <v>890</v>
      </c>
      <c r="B1670" t="s">
        <v>889</v>
      </c>
      <c r="C1670" s="4" t="s">
        <v>888</v>
      </c>
      <c r="D1670" t="s">
        <v>600</v>
      </c>
      <c r="F1670" t="s">
        <v>887</v>
      </c>
      <c r="G1670" s="3">
        <v>8095984645</v>
      </c>
      <c r="H1670" s="2">
        <v>46140</v>
      </c>
      <c r="K1670" s="1">
        <f ca="1">IF(A1670="","",IF(OR(L1670="ENTREGADA",L1670="RETORNADA",L1670="ENTREGA DIGITAL"),0,MAX(0,5-NETWORKDAYS(H1670+1,TODAY()))))</f>
        <v>2</v>
      </c>
      <c r="L1670">
        <f>IF(A1670="","",IFERROR(LOOKUP(2,1/(#REF!=Z1670),#REF!),Y1670))</f>
        <v>0</v>
      </c>
      <c r="Z1670" t="str">
        <f>IF(A1670="","",TEXT(A1670,"0")&amp;"|"&amp;TEXT(H1670,"0"))</f>
        <v>4921017917707890|46140</v>
      </c>
      <c r="AA1670" t="str">
        <f>IF(Z1670="","",IFERROR(LOOKUP(2,1/(#REF!=Z1670),#REF!),""))</f>
        <v/>
      </c>
      <c r="AB1670" t="str">
        <f>IF(Z1670="","",IFERROR(LOOKUP(2,1/(#REF!=Z1670),#REF!),""))</f>
        <v/>
      </c>
      <c r="AC1670" t="e">
        <f>IF(Z1670="","",COUNTIF(#REF!,Z1670))</f>
        <v>#REF!</v>
      </c>
      <c r="AD1670" t="e">
        <f>IF(A1670="","",IF(AC1670&gt;1,"REVISAR DUPLICADO",IF(AA1670&lt;&gt;"","ACTUALIZADO POR EYR","SIN REPORTE EYR")))</f>
        <v>#REF!</v>
      </c>
    </row>
    <row r="1671" spans="1:30" x14ac:dyDescent="0.3">
      <c r="A1671" t="s">
        <v>886</v>
      </c>
      <c r="B1671" t="s">
        <v>885</v>
      </c>
      <c r="C1671" s="4" t="s">
        <v>884</v>
      </c>
      <c r="D1671" t="s">
        <v>600</v>
      </c>
      <c r="F1671" t="s">
        <v>883</v>
      </c>
      <c r="G1671" s="3">
        <v>8096175062</v>
      </c>
      <c r="H1671" s="2">
        <v>46140</v>
      </c>
      <c r="K1671" s="1">
        <f ca="1">IF(A1671="","",IF(OR(L1671="ENTREGADA",L1671="RETORNADA",L1671="ENTREGA DIGITAL"),0,MAX(0,5-NETWORKDAYS(H1671+1,TODAY()))))</f>
        <v>2</v>
      </c>
      <c r="L1671">
        <f>IF(A1671="","",IFERROR(LOOKUP(2,1/(#REF!=Z1671),#REF!),Y1671))</f>
        <v>0</v>
      </c>
      <c r="Z1671" t="str">
        <f>IF(A1671="","",TEXT(A1671,"0")&amp;"|"&amp;TEXT(H1671,"0"))</f>
        <v>5415017915030610|46140</v>
      </c>
      <c r="AA1671" t="str">
        <f>IF(Z1671="","",IFERROR(LOOKUP(2,1/(#REF!=Z1671),#REF!),""))</f>
        <v/>
      </c>
      <c r="AB1671" t="str">
        <f>IF(Z1671="","",IFERROR(LOOKUP(2,1/(#REF!=Z1671),#REF!),""))</f>
        <v/>
      </c>
      <c r="AC1671" t="e">
        <f>IF(Z1671="","",COUNTIF(#REF!,Z1671))</f>
        <v>#REF!</v>
      </c>
      <c r="AD1671" t="e">
        <f>IF(A1671="","",IF(AC1671&gt;1,"REVISAR DUPLICADO",IF(AA1671&lt;&gt;"","ACTUALIZADO POR EYR","SIN REPORTE EYR")))</f>
        <v>#REF!</v>
      </c>
    </row>
    <row r="1672" spans="1:30" x14ac:dyDescent="0.3">
      <c r="A1672" t="s">
        <v>882</v>
      </c>
      <c r="B1672" t="s">
        <v>881</v>
      </c>
      <c r="C1672" s="4" t="s">
        <v>880</v>
      </c>
      <c r="D1672" t="s">
        <v>600</v>
      </c>
      <c r="F1672" t="s">
        <v>879</v>
      </c>
      <c r="G1672" s="3">
        <v>8299690262</v>
      </c>
      <c r="H1672" s="2">
        <v>46140</v>
      </c>
      <c r="K1672" s="1">
        <f ca="1">IF(A1672="","",IF(OR(L1672="ENTREGADA",L1672="RETORNADA",L1672="ENTREGA DIGITAL"),0,MAX(0,5-NETWORKDAYS(H1672+1,TODAY()))))</f>
        <v>2</v>
      </c>
      <c r="L1672">
        <f>IF(A1672="","",IFERROR(LOOKUP(2,1/(#REF!=Z1672),#REF!),Y1672))</f>
        <v>0</v>
      </c>
      <c r="Z1672" t="str">
        <f>IF(A1672="","",TEXT(A1672,"0")&amp;"|"&amp;TEXT(H1672,"0"))</f>
        <v>4921017918581610|46140</v>
      </c>
      <c r="AA1672" t="str">
        <f>IF(Z1672="","",IFERROR(LOOKUP(2,1/(#REF!=Z1672),#REF!),""))</f>
        <v/>
      </c>
      <c r="AB1672" t="str">
        <f>IF(Z1672="","",IFERROR(LOOKUP(2,1/(#REF!=Z1672),#REF!),""))</f>
        <v/>
      </c>
      <c r="AC1672" t="e">
        <f>IF(Z1672="","",COUNTIF(#REF!,Z1672))</f>
        <v>#REF!</v>
      </c>
      <c r="AD1672" t="e">
        <f>IF(A1672="","",IF(AC1672&gt;1,"REVISAR DUPLICADO",IF(AA1672&lt;&gt;"","ACTUALIZADO POR EYR","SIN REPORTE EYR")))</f>
        <v>#REF!</v>
      </c>
    </row>
    <row r="1673" spans="1:30" x14ac:dyDescent="0.3">
      <c r="A1673" t="s">
        <v>878</v>
      </c>
      <c r="B1673" t="s">
        <v>877</v>
      </c>
      <c r="C1673" s="4" t="s">
        <v>876</v>
      </c>
      <c r="D1673" t="s">
        <v>600</v>
      </c>
      <c r="F1673" t="s">
        <v>875</v>
      </c>
      <c r="G1673" s="3">
        <v>8299031979</v>
      </c>
      <c r="H1673" s="2">
        <v>46140</v>
      </c>
      <c r="K1673" s="1">
        <f ca="1">IF(A1673="","",IF(OR(L1673="ENTREGADA",L1673="RETORNADA",L1673="ENTREGA DIGITAL"),0,MAX(0,5-NETWORKDAYS(H1673+1,TODAY()))))</f>
        <v>2</v>
      </c>
      <c r="L1673">
        <f>IF(A1673="","",IFERROR(LOOKUP(2,1/(#REF!=Z1673),#REF!),Y1673))</f>
        <v>0</v>
      </c>
      <c r="Z1673" t="str">
        <f>IF(A1673="","",TEXT(A1673,"0")&amp;"|"&amp;TEXT(H1673,"0"))</f>
        <v>4025017923056770|46140</v>
      </c>
      <c r="AA1673" t="str">
        <f>IF(Z1673="","",IFERROR(LOOKUP(2,1/(#REF!=Z1673),#REF!),""))</f>
        <v/>
      </c>
      <c r="AB1673" t="str">
        <f>IF(Z1673="","",IFERROR(LOOKUP(2,1/(#REF!=Z1673),#REF!),""))</f>
        <v/>
      </c>
      <c r="AC1673" t="e">
        <f>IF(Z1673="","",COUNTIF(#REF!,Z1673))</f>
        <v>#REF!</v>
      </c>
      <c r="AD1673" t="e">
        <f>IF(A1673="","",IF(AC1673&gt;1,"REVISAR DUPLICADO",IF(AA1673&lt;&gt;"","ACTUALIZADO POR EYR","SIN REPORTE EYR")))</f>
        <v>#REF!</v>
      </c>
    </row>
    <row r="1674" spans="1:30" x14ac:dyDescent="0.3">
      <c r="A1674" t="s">
        <v>874</v>
      </c>
      <c r="B1674" t="s">
        <v>873</v>
      </c>
      <c r="C1674" s="4" t="s">
        <v>872</v>
      </c>
      <c r="D1674" t="s">
        <v>600</v>
      </c>
      <c r="F1674" t="s">
        <v>13</v>
      </c>
      <c r="G1674" s="3">
        <v>8094040290</v>
      </c>
      <c r="H1674" s="2">
        <v>46140</v>
      </c>
      <c r="K1674" s="1">
        <f ca="1">IF(A1674="","",IF(OR(L1674="ENTREGADA",L1674="RETORNADA",L1674="ENTREGA DIGITAL"),0,MAX(0,5-NETWORKDAYS(H1674+1,TODAY()))))</f>
        <v>2</v>
      </c>
      <c r="L1674">
        <f>IF(A1674="","",IFERROR(LOOKUP(2,1/(#REF!=Z1674),#REF!),Y1674))</f>
        <v>0</v>
      </c>
      <c r="Z1674" t="str">
        <f>IF(A1674="","",TEXT(A1674,"0")&amp;"|"&amp;TEXT(H1674,"0"))</f>
        <v>4921017921295910|46140</v>
      </c>
      <c r="AA1674" t="str">
        <f>IF(Z1674="","",IFERROR(LOOKUP(2,1/(#REF!=Z1674),#REF!),""))</f>
        <v/>
      </c>
      <c r="AB1674" t="str">
        <f>IF(Z1674="","",IFERROR(LOOKUP(2,1/(#REF!=Z1674),#REF!),""))</f>
        <v/>
      </c>
      <c r="AC1674" t="e">
        <f>IF(Z1674="","",COUNTIF(#REF!,Z1674))</f>
        <v>#REF!</v>
      </c>
      <c r="AD1674" t="e">
        <f>IF(A1674="","",IF(AC1674&gt;1,"REVISAR DUPLICADO",IF(AA1674&lt;&gt;"","ACTUALIZADO POR EYR","SIN REPORTE EYR")))</f>
        <v>#REF!</v>
      </c>
    </row>
    <row r="1675" spans="1:30" x14ac:dyDescent="0.3">
      <c r="A1675" t="s">
        <v>871</v>
      </c>
      <c r="B1675" t="s">
        <v>870</v>
      </c>
      <c r="C1675" s="4" t="s">
        <v>869</v>
      </c>
      <c r="D1675" t="s">
        <v>600</v>
      </c>
      <c r="F1675" t="s">
        <v>13</v>
      </c>
      <c r="G1675" s="3">
        <v>8094831510</v>
      </c>
      <c r="H1675" s="2">
        <v>46140</v>
      </c>
      <c r="K1675" s="1">
        <f ca="1">IF(A1675="","",IF(OR(L1675="ENTREGADA",L1675="RETORNADA",L1675="ENTREGA DIGITAL"),0,MAX(0,5-NETWORKDAYS(H1675+1,TODAY()))))</f>
        <v>2</v>
      </c>
      <c r="L1675">
        <f>IF(A1675="","",IFERROR(LOOKUP(2,1/(#REF!=Z1675),#REF!),Y1675))</f>
        <v>0</v>
      </c>
      <c r="Z1675" t="str">
        <f>IF(A1675="","",TEXT(A1675,"0")&amp;"|"&amp;TEXT(H1675,"0"))</f>
        <v>4921017918121520|46140</v>
      </c>
      <c r="AA1675" t="str">
        <f>IF(Z1675="","",IFERROR(LOOKUP(2,1/(#REF!=Z1675),#REF!),""))</f>
        <v/>
      </c>
      <c r="AB1675" t="str">
        <f>IF(Z1675="","",IFERROR(LOOKUP(2,1/(#REF!=Z1675),#REF!),""))</f>
        <v/>
      </c>
      <c r="AC1675" t="e">
        <f>IF(Z1675="","",COUNTIF(#REF!,Z1675))</f>
        <v>#REF!</v>
      </c>
      <c r="AD1675" t="e">
        <f>IF(A1675="","",IF(AC1675&gt;1,"REVISAR DUPLICADO",IF(AA1675&lt;&gt;"","ACTUALIZADO POR EYR","SIN REPORTE EYR")))</f>
        <v>#REF!</v>
      </c>
    </row>
    <row r="1676" spans="1:30" x14ac:dyDescent="0.3">
      <c r="A1676" t="s">
        <v>868</v>
      </c>
      <c r="B1676" t="s">
        <v>867</v>
      </c>
      <c r="C1676" s="4" t="s">
        <v>866</v>
      </c>
      <c r="D1676" t="s">
        <v>1</v>
      </c>
      <c r="F1676" t="s">
        <v>865</v>
      </c>
      <c r="G1676" s="3">
        <v>8096033524</v>
      </c>
      <c r="H1676" s="2">
        <v>46140</v>
      </c>
      <c r="K1676" s="1">
        <f ca="1">IF(A1676="","",IF(OR(L1676="ENTREGADA",L1676="RETORNADA",L1676="ENTREGA DIGITAL"),0,MAX(0,5-NETWORKDAYS(H1676+1,TODAY()))))</f>
        <v>2</v>
      </c>
      <c r="L1676">
        <f>IF(A1676="","",IFERROR(LOOKUP(2,1/(#REF!=Z1676),#REF!),Y1676))</f>
        <v>0</v>
      </c>
      <c r="Z1676" t="str">
        <f>IF(A1676="","",TEXT(A1676,"0")&amp;"|"&amp;TEXT(H1676,"0"))</f>
        <v>4741017919711820|46140</v>
      </c>
      <c r="AA1676" t="str">
        <f>IF(Z1676="","",IFERROR(LOOKUP(2,1/(#REF!=Z1676),#REF!),""))</f>
        <v/>
      </c>
      <c r="AB1676" t="str">
        <f>IF(Z1676="","",IFERROR(LOOKUP(2,1/(#REF!=Z1676),#REF!),""))</f>
        <v/>
      </c>
      <c r="AC1676" t="e">
        <f>IF(Z1676="","",COUNTIF(#REF!,Z1676))</f>
        <v>#REF!</v>
      </c>
      <c r="AD1676" t="e">
        <f>IF(A1676="","",IF(AC1676&gt;1,"REVISAR DUPLICADO",IF(AA1676&lt;&gt;"","ACTUALIZADO POR EYR","SIN REPORTE EYR")))</f>
        <v>#REF!</v>
      </c>
    </row>
    <row r="1677" spans="1:30" x14ac:dyDescent="0.3">
      <c r="A1677" t="s">
        <v>864</v>
      </c>
      <c r="B1677" t="s">
        <v>863</v>
      </c>
      <c r="C1677" s="4" t="s">
        <v>862</v>
      </c>
      <c r="D1677" t="s">
        <v>1</v>
      </c>
      <c r="F1677" t="s">
        <v>861</v>
      </c>
      <c r="G1677" s="3">
        <v>8099518442</v>
      </c>
      <c r="H1677" s="2">
        <v>46140</v>
      </c>
      <c r="K1677" s="1">
        <f ca="1">IF(A1677="","",IF(OR(L1677="ENTREGADA",L1677="RETORNADA",L1677="ENTREGA DIGITAL"),0,MAX(0,5-NETWORKDAYS(H1677+1,TODAY()))))</f>
        <v>2</v>
      </c>
      <c r="L1677">
        <f>IF(A1677="","",IFERROR(LOOKUP(2,1/(#REF!=Z1677),#REF!),Y1677))</f>
        <v>0</v>
      </c>
      <c r="Z1677" t="str">
        <f>IF(A1677="","",TEXT(A1677,"0")&amp;"|"&amp;TEXT(H1677,"0"))</f>
        <v>4921017746294600|46140</v>
      </c>
      <c r="AA1677" t="str">
        <f>IF(Z1677="","",IFERROR(LOOKUP(2,1/(#REF!=Z1677),#REF!),""))</f>
        <v/>
      </c>
      <c r="AB1677" t="str">
        <f>IF(Z1677="","",IFERROR(LOOKUP(2,1/(#REF!=Z1677),#REF!),""))</f>
        <v/>
      </c>
      <c r="AC1677" t="e">
        <f>IF(Z1677="","",COUNTIF(#REF!,Z1677))</f>
        <v>#REF!</v>
      </c>
      <c r="AD1677" t="e">
        <f>IF(A1677="","",IF(AC1677&gt;1,"REVISAR DUPLICADO",IF(AA1677&lt;&gt;"","ACTUALIZADO POR EYR","SIN REPORTE EYR")))</f>
        <v>#REF!</v>
      </c>
    </row>
    <row r="1678" spans="1:30" x14ac:dyDescent="0.3">
      <c r="A1678" t="s">
        <v>860</v>
      </c>
      <c r="B1678" t="s">
        <v>859</v>
      </c>
      <c r="C1678" s="4" t="s">
        <v>858</v>
      </c>
      <c r="D1678" t="s">
        <v>1</v>
      </c>
      <c r="F1678" t="s">
        <v>857</v>
      </c>
      <c r="G1678" s="3">
        <v>8094529550</v>
      </c>
      <c r="H1678" s="2">
        <v>46140</v>
      </c>
      <c r="K1678" s="1">
        <f ca="1">IF(A1678="","",IF(OR(L1678="ENTREGADA",L1678="RETORNADA",L1678="ENTREGA DIGITAL"),0,MAX(0,5-NETWORKDAYS(H1678+1,TODAY()))))</f>
        <v>2</v>
      </c>
      <c r="L1678">
        <f>IF(A1678="","",IFERROR(LOOKUP(2,1/(#REF!=Z1678),#REF!),Y1678))</f>
        <v>0</v>
      </c>
      <c r="Z1678" t="str">
        <f>IF(A1678="","",TEXT(A1678,"0")&amp;"|"&amp;TEXT(H1678,"0"))</f>
        <v>4921017925850970|46140</v>
      </c>
      <c r="AA1678" t="str">
        <f>IF(Z1678="","",IFERROR(LOOKUP(2,1/(#REF!=Z1678),#REF!),""))</f>
        <v/>
      </c>
      <c r="AB1678" t="str">
        <f>IF(Z1678="","",IFERROR(LOOKUP(2,1/(#REF!=Z1678),#REF!),""))</f>
        <v/>
      </c>
      <c r="AC1678" t="e">
        <f>IF(Z1678="","",COUNTIF(#REF!,Z1678))</f>
        <v>#REF!</v>
      </c>
      <c r="AD1678" t="e">
        <f>IF(A1678="","",IF(AC1678&gt;1,"REVISAR DUPLICADO",IF(AA1678&lt;&gt;"","ACTUALIZADO POR EYR","SIN REPORTE EYR")))</f>
        <v>#REF!</v>
      </c>
    </row>
    <row r="1679" spans="1:30" x14ac:dyDescent="0.3">
      <c r="A1679" t="s">
        <v>856</v>
      </c>
      <c r="B1679" t="s">
        <v>855</v>
      </c>
      <c r="C1679" s="4" t="s">
        <v>854</v>
      </c>
      <c r="D1679" t="s">
        <v>1</v>
      </c>
      <c r="F1679" t="s">
        <v>853</v>
      </c>
      <c r="G1679" s="3">
        <v>8498624947</v>
      </c>
      <c r="H1679" s="2">
        <v>46140</v>
      </c>
      <c r="K1679" s="1">
        <f ca="1">IF(A1679="","",IF(OR(L1679="ENTREGADA",L1679="RETORNADA",L1679="ENTREGA DIGITAL"),0,MAX(0,5-NETWORKDAYS(H1679+1,TODAY()))))</f>
        <v>2</v>
      </c>
      <c r="L1679">
        <f>IF(A1679="","",IFERROR(LOOKUP(2,1/(#REF!=Z1679),#REF!),Y1679))</f>
        <v>0</v>
      </c>
      <c r="Z1679" t="str">
        <f>IF(A1679="","",TEXT(A1679,"0")&amp;"|"&amp;TEXT(H1679,"0"))</f>
        <v>4921017921302310|46140</v>
      </c>
      <c r="AA1679" t="str">
        <f>IF(Z1679="","",IFERROR(LOOKUP(2,1/(#REF!=Z1679),#REF!),""))</f>
        <v/>
      </c>
      <c r="AB1679" t="str">
        <f>IF(Z1679="","",IFERROR(LOOKUP(2,1/(#REF!=Z1679),#REF!),""))</f>
        <v/>
      </c>
      <c r="AC1679" t="e">
        <f>IF(Z1679="","",COUNTIF(#REF!,Z1679))</f>
        <v>#REF!</v>
      </c>
      <c r="AD1679" t="e">
        <f>IF(A1679="","",IF(AC1679&gt;1,"REVISAR DUPLICADO",IF(AA1679&lt;&gt;"","ACTUALIZADO POR EYR","SIN REPORTE EYR")))</f>
        <v>#REF!</v>
      </c>
    </row>
    <row r="1680" spans="1:30" x14ac:dyDescent="0.3">
      <c r="A1680" t="s">
        <v>852</v>
      </c>
      <c r="B1680" t="s">
        <v>851</v>
      </c>
      <c r="C1680" s="4" t="s">
        <v>850</v>
      </c>
      <c r="D1680" t="s">
        <v>1</v>
      </c>
      <c r="F1680" t="s">
        <v>13</v>
      </c>
      <c r="G1680" s="3">
        <v>8296237078</v>
      </c>
      <c r="H1680" s="2">
        <v>46140</v>
      </c>
      <c r="K1680" s="1">
        <f ca="1">IF(A1680="","",IF(OR(L1680="ENTREGADA",L1680="RETORNADA",L1680="ENTREGA DIGITAL"),0,MAX(0,5-NETWORKDAYS(H1680+1,TODAY()))))</f>
        <v>2</v>
      </c>
      <c r="L1680">
        <f>IF(A1680="","",IFERROR(LOOKUP(2,1/(#REF!=Z1680),#REF!),Y1680))</f>
        <v>0</v>
      </c>
      <c r="Z1680" t="str">
        <f>IF(A1680="","",TEXT(A1680,"0")&amp;"|"&amp;TEXT(H1680,"0"))</f>
        <v>4921017836935060|46140</v>
      </c>
      <c r="AA1680" t="str">
        <f>IF(Z1680="","",IFERROR(LOOKUP(2,1/(#REF!=Z1680),#REF!),""))</f>
        <v/>
      </c>
      <c r="AB1680" t="str">
        <f>IF(Z1680="","",IFERROR(LOOKUP(2,1/(#REF!=Z1680),#REF!),""))</f>
        <v/>
      </c>
      <c r="AC1680" t="e">
        <f>IF(Z1680="","",COUNTIF(#REF!,Z1680))</f>
        <v>#REF!</v>
      </c>
      <c r="AD1680" t="e">
        <f>IF(A1680="","",IF(AC1680&gt;1,"REVISAR DUPLICADO",IF(AA1680&lt;&gt;"","ACTUALIZADO POR EYR","SIN REPORTE EYR")))</f>
        <v>#REF!</v>
      </c>
    </row>
    <row r="1681" spans="1:30" x14ac:dyDescent="0.3">
      <c r="A1681" t="s">
        <v>849</v>
      </c>
      <c r="B1681" t="s">
        <v>848</v>
      </c>
      <c r="C1681" s="4" t="s">
        <v>847</v>
      </c>
      <c r="D1681" t="s">
        <v>21</v>
      </c>
      <c r="F1681" t="s">
        <v>846</v>
      </c>
      <c r="G1681" s="3">
        <v>8296486272</v>
      </c>
      <c r="H1681" s="2">
        <v>46140</v>
      </c>
      <c r="K1681" s="1">
        <f ca="1">IF(A1681="","",IF(OR(L1681="ENTREGADA",L1681="RETORNADA",L1681="ENTREGA DIGITAL"),0,MAX(0,5-NETWORKDAYS(H1681+1,TODAY()))))</f>
        <v>2</v>
      </c>
      <c r="L1681">
        <f>IF(A1681="","",IFERROR(LOOKUP(2,1/(#REF!=Z1681),#REF!),Y1681))</f>
        <v>0</v>
      </c>
      <c r="Z1681" t="str">
        <f>IF(A1681="","",TEXT(A1681,"0")&amp;"|"&amp;TEXT(H1681,"0"))</f>
        <v>5188017924174470|46140</v>
      </c>
      <c r="AA1681" t="str">
        <f>IF(Z1681="","",IFERROR(LOOKUP(2,1/(#REF!=Z1681),#REF!),""))</f>
        <v/>
      </c>
      <c r="AB1681" t="str">
        <f>IF(Z1681="","",IFERROR(LOOKUP(2,1/(#REF!=Z1681),#REF!),""))</f>
        <v/>
      </c>
      <c r="AC1681" t="e">
        <f>IF(Z1681="","",COUNTIF(#REF!,Z1681))</f>
        <v>#REF!</v>
      </c>
      <c r="AD1681" t="e">
        <f>IF(A1681="","",IF(AC1681&gt;1,"REVISAR DUPLICADO",IF(AA1681&lt;&gt;"","ACTUALIZADO POR EYR","SIN REPORTE EYR")))</f>
        <v>#REF!</v>
      </c>
    </row>
    <row r="1682" spans="1:30" x14ac:dyDescent="0.3">
      <c r="A1682" t="s">
        <v>845</v>
      </c>
      <c r="B1682" t="s">
        <v>844</v>
      </c>
      <c r="C1682" s="4" t="s">
        <v>843</v>
      </c>
      <c r="D1682" t="s">
        <v>21</v>
      </c>
      <c r="F1682" t="s">
        <v>842</v>
      </c>
      <c r="G1682" s="3">
        <v>8293136984</v>
      </c>
      <c r="H1682" s="2">
        <v>46140</v>
      </c>
      <c r="K1682" s="1">
        <f ca="1">IF(A1682="","",IF(OR(L1682="ENTREGADA",L1682="RETORNADA",L1682="ENTREGA DIGITAL"),0,MAX(0,5-NETWORKDAYS(H1682+1,TODAY()))))</f>
        <v>2</v>
      </c>
      <c r="L1682">
        <f>IF(A1682="","",IFERROR(LOOKUP(2,1/(#REF!=Z1682),#REF!),Y1682))</f>
        <v>0</v>
      </c>
      <c r="Z1682" t="str">
        <f>IF(A1682="","",TEXT(A1682,"0")&amp;"|"&amp;TEXT(H1682,"0"))</f>
        <v>4921017925456350|46140</v>
      </c>
      <c r="AA1682" t="str">
        <f>IF(Z1682="","",IFERROR(LOOKUP(2,1/(#REF!=Z1682),#REF!),""))</f>
        <v/>
      </c>
      <c r="AB1682" t="str">
        <f>IF(Z1682="","",IFERROR(LOOKUP(2,1/(#REF!=Z1682),#REF!),""))</f>
        <v/>
      </c>
      <c r="AC1682" t="e">
        <f>IF(Z1682="","",COUNTIF(#REF!,Z1682))</f>
        <v>#REF!</v>
      </c>
      <c r="AD1682" t="e">
        <f>IF(A1682="","",IF(AC1682&gt;1,"REVISAR DUPLICADO",IF(AA1682&lt;&gt;"","ACTUALIZADO POR EYR","SIN REPORTE EYR")))</f>
        <v>#REF!</v>
      </c>
    </row>
    <row r="1683" spans="1:30" x14ac:dyDescent="0.3">
      <c r="A1683" t="s">
        <v>841</v>
      </c>
      <c r="B1683" t="s">
        <v>840</v>
      </c>
      <c r="C1683" s="4" t="s">
        <v>839</v>
      </c>
      <c r="D1683" t="s">
        <v>21</v>
      </c>
      <c r="F1683" t="s">
        <v>838</v>
      </c>
      <c r="G1683" s="3">
        <v>8097875477</v>
      </c>
      <c r="H1683" s="2">
        <v>46140</v>
      </c>
      <c r="K1683" s="1">
        <f ca="1">IF(A1683="","",IF(OR(L1683="ENTREGADA",L1683="RETORNADA",L1683="ENTREGA DIGITAL"),0,MAX(0,5-NETWORKDAYS(H1683+1,TODAY()))))</f>
        <v>2</v>
      </c>
      <c r="L1683">
        <f>IF(A1683="","",IFERROR(LOOKUP(2,1/(#REF!=Z1683),#REF!),Y1683))</f>
        <v>0</v>
      </c>
      <c r="Z1683" t="str">
        <f>IF(A1683="","",TEXT(A1683,"0")&amp;"|"&amp;TEXT(H1683,"0"))</f>
        <v>4921017925666840|46140</v>
      </c>
      <c r="AA1683" t="str">
        <f>IF(Z1683="","",IFERROR(LOOKUP(2,1/(#REF!=Z1683),#REF!),""))</f>
        <v/>
      </c>
      <c r="AB1683" t="str">
        <f>IF(Z1683="","",IFERROR(LOOKUP(2,1/(#REF!=Z1683),#REF!),""))</f>
        <v/>
      </c>
      <c r="AC1683" t="e">
        <f>IF(Z1683="","",COUNTIF(#REF!,Z1683))</f>
        <v>#REF!</v>
      </c>
      <c r="AD1683" t="e">
        <f>IF(A1683="","",IF(AC1683&gt;1,"REVISAR DUPLICADO",IF(AA1683&lt;&gt;"","ACTUALIZADO POR EYR","SIN REPORTE EYR")))</f>
        <v>#REF!</v>
      </c>
    </row>
    <row r="1684" spans="1:30" x14ac:dyDescent="0.3">
      <c r="A1684" t="s">
        <v>837</v>
      </c>
      <c r="B1684" t="s">
        <v>836</v>
      </c>
      <c r="C1684" s="4" t="s">
        <v>835</v>
      </c>
      <c r="D1684" t="s">
        <v>21</v>
      </c>
      <c r="F1684" t="s">
        <v>834</v>
      </c>
      <c r="G1684" s="3">
        <v>8492096579</v>
      </c>
      <c r="H1684" s="2">
        <v>46140</v>
      </c>
      <c r="K1684" s="1">
        <f ca="1">IF(A1684="","",IF(OR(L1684="ENTREGADA",L1684="RETORNADA",L1684="ENTREGA DIGITAL"),0,MAX(0,5-NETWORKDAYS(H1684+1,TODAY()))))</f>
        <v>2</v>
      </c>
      <c r="L1684">
        <f>IF(A1684="","",IFERROR(LOOKUP(2,1/(#REF!=Z1684),#REF!),Y1684))</f>
        <v>0</v>
      </c>
      <c r="Z1684" t="str">
        <f>IF(A1684="","",TEXT(A1684,"0")&amp;"|"&amp;TEXT(H1684,"0"))</f>
        <v>5188017915879910|46140</v>
      </c>
      <c r="AA1684" t="str">
        <f>IF(Z1684="","",IFERROR(LOOKUP(2,1/(#REF!=Z1684),#REF!),""))</f>
        <v/>
      </c>
      <c r="AB1684" t="str">
        <f>IF(Z1684="","",IFERROR(LOOKUP(2,1/(#REF!=Z1684),#REF!),""))</f>
        <v/>
      </c>
      <c r="AC1684" t="e">
        <f>IF(Z1684="","",COUNTIF(#REF!,Z1684))</f>
        <v>#REF!</v>
      </c>
      <c r="AD1684" t="e">
        <f>IF(A1684="","",IF(AC1684&gt;1,"REVISAR DUPLICADO",IF(AA1684&lt;&gt;"","ACTUALIZADO POR EYR","SIN REPORTE EYR")))</f>
        <v>#REF!</v>
      </c>
    </row>
    <row r="1685" spans="1:30" x14ac:dyDescent="0.3">
      <c r="A1685" t="s">
        <v>833</v>
      </c>
      <c r="B1685" t="s">
        <v>832</v>
      </c>
      <c r="C1685" s="4" t="s">
        <v>831</v>
      </c>
      <c r="D1685" t="s">
        <v>21</v>
      </c>
      <c r="F1685" t="s">
        <v>830</v>
      </c>
      <c r="G1685" s="3">
        <v>8297612852</v>
      </c>
      <c r="H1685" s="2">
        <v>46140</v>
      </c>
      <c r="K1685" s="1">
        <f ca="1">IF(A1685="","",IF(OR(L1685="ENTREGADA",L1685="RETORNADA",L1685="ENTREGA DIGITAL"),0,MAX(0,5-NETWORKDAYS(H1685+1,TODAY()))))</f>
        <v>2</v>
      </c>
      <c r="L1685">
        <f>IF(A1685="","",IFERROR(LOOKUP(2,1/(#REF!=Z1685),#REF!),Y1685))</f>
        <v>0</v>
      </c>
      <c r="Z1685" t="str">
        <f>IF(A1685="","",TEXT(A1685,"0")&amp;"|"&amp;TEXT(H1685,"0"))</f>
        <v>5415017914265020|46140</v>
      </c>
      <c r="AA1685" t="str">
        <f>IF(Z1685="","",IFERROR(LOOKUP(2,1/(#REF!=Z1685),#REF!),""))</f>
        <v/>
      </c>
      <c r="AB1685" t="str">
        <f>IF(Z1685="","",IFERROR(LOOKUP(2,1/(#REF!=Z1685),#REF!),""))</f>
        <v/>
      </c>
      <c r="AC1685" t="e">
        <f>IF(Z1685="","",COUNTIF(#REF!,Z1685))</f>
        <v>#REF!</v>
      </c>
      <c r="AD1685" t="e">
        <f>IF(A1685="","",IF(AC1685&gt;1,"REVISAR DUPLICADO",IF(AA1685&lt;&gt;"","ACTUALIZADO POR EYR","SIN REPORTE EYR")))</f>
        <v>#REF!</v>
      </c>
    </row>
    <row r="1686" spans="1:30" x14ac:dyDescent="0.3">
      <c r="A1686" t="s">
        <v>829</v>
      </c>
      <c r="B1686" t="s">
        <v>828</v>
      </c>
      <c r="C1686" s="4" t="s">
        <v>827</v>
      </c>
      <c r="D1686" t="s">
        <v>21</v>
      </c>
      <c r="F1686" t="s">
        <v>826</v>
      </c>
      <c r="G1686" s="3">
        <v>8296062745</v>
      </c>
      <c r="H1686" s="2">
        <v>46140</v>
      </c>
      <c r="K1686" s="1">
        <f ca="1">IF(A1686="","",IF(OR(L1686="ENTREGADA",L1686="RETORNADA",L1686="ENTREGA DIGITAL"),0,MAX(0,5-NETWORKDAYS(H1686+1,TODAY()))))</f>
        <v>2</v>
      </c>
      <c r="L1686">
        <f>IF(A1686="","",IFERROR(LOOKUP(2,1/(#REF!=Z1686),#REF!),Y1686))</f>
        <v>0</v>
      </c>
      <c r="Z1686" t="str">
        <f>IF(A1686="","",TEXT(A1686,"0")&amp;"|"&amp;TEXT(H1686,"0"))</f>
        <v>5415017914254570|46140</v>
      </c>
      <c r="AA1686" t="str">
        <f>IF(Z1686="","",IFERROR(LOOKUP(2,1/(#REF!=Z1686),#REF!),""))</f>
        <v/>
      </c>
      <c r="AB1686" t="str">
        <f>IF(Z1686="","",IFERROR(LOOKUP(2,1/(#REF!=Z1686),#REF!),""))</f>
        <v/>
      </c>
      <c r="AC1686" t="e">
        <f>IF(Z1686="","",COUNTIF(#REF!,Z1686))</f>
        <v>#REF!</v>
      </c>
      <c r="AD1686" t="e">
        <f>IF(A1686="","",IF(AC1686&gt;1,"REVISAR DUPLICADO",IF(AA1686&lt;&gt;"","ACTUALIZADO POR EYR","SIN REPORTE EYR")))</f>
        <v>#REF!</v>
      </c>
    </row>
    <row r="1687" spans="1:30" x14ac:dyDescent="0.3">
      <c r="A1687" t="s">
        <v>825</v>
      </c>
      <c r="B1687" t="s">
        <v>824</v>
      </c>
      <c r="C1687" s="4" t="s">
        <v>823</v>
      </c>
      <c r="D1687" t="s">
        <v>21</v>
      </c>
      <c r="F1687" t="s">
        <v>13</v>
      </c>
      <c r="G1687" s="3">
        <v>8494076954</v>
      </c>
      <c r="H1687" s="2">
        <v>46140</v>
      </c>
      <c r="K1687" s="1">
        <f ca="1">IF(A1687="","",IF(OR(L1687="ENTREGADA",L1687="RETORNADA",L1687="ENTREGA DIGITAL"),0,MAX(0,5-NETWORKDAYS(H1687+1,TODAY()))))</f>
        <v>2</v>
      </c>
      <c r="L1687">
        <f>IF(A1687="","",IFERROR(LOOKUP(2,1/(#REF!=Z1687),#REF!),Y1687))</f>
        <v>0</v>
      </c>
      <c r="Z1687" t="str">
        <f>IF(A1687="","",TEXT(A1687,"0")&amp;"|"&amp;TEXT(H1687,"0"))</f>
        <v>5188017915827270|46140</v>
      </c>
      <c r="AA1687" t="str">
        <f>IF(Z1687="","",IFERROR(LOOKUP(2,1/(#REF!=Z1687),#REF!),""))</f>
        <v/>
      </c>
      <c r="AB1687" t="str">
        <f>IF(Z1687="","",IFERROR(LOOKUP(2,1/(#REF!=Z1687),#REF!),""))</f>
        <v/>
      </c>
      <c r="AC1687" t="e">
        <f>IF(Z1687="","",COUNTIF(#REF!,Z1687))</f>
        <v>#REF!</v>
      </c>
      <c r="AD1687" t="e">
        <f>IF(A1687="","",IF(AC1687&gt;1,"REVISAR DUPLICADO",IF(AA1687&lt;&gt;"","ACTUALIZADO POR EYR","SIN REPORTE EYR")))</f>
        <v>#REF!</v>
      </c>
    </row>
    <row r="1688" spans="1:30" x14ac:dyDescent="0.3">
      <c r="A1688" t="s">
        <v>822</v>
      </c>
      <c r="B1688" t="s">
        <v>821</v>
      </c>
      <c r="C1688" s="4" t="s">
        <v>820</v>
      </c>
      <c r="D1688" t="s">
        <v>21</v>
      </c>
      <c r="F1688" t="s">
        <v>680</v>
      </c>
      <c r="G1688" s="3">
        <v>8298373801</v>
      </c>
      <c r="H1688" s="2">
        <v>46140</v>
      </c>
      <c r="K1688" s="1">
        <f ca="1">IF(A1688="","",IF(OR(L1688="ENTREGADA",L1688="RETORNADA",L1688="ENTREGA DIGITAL"),0,MAX(0,5-NETWORKDAYS(H1688+1,TODAY()))))</f>
        <v>2</v>
      </c>
      <c r="L1688">
        <f>IF(A1688="","",IFERROR(LOOKUP(2,1/(#REF!=Z1688),#REF!),Y1688))</f>
        <v>0</v>
      </c>
      <c r="Z1688" t="str">
        <f>IF(A1688="","",TEXT(A1688,"0")&amp;"|"&amp;TEXT(H1688,"0"))</f>
        <v>4921017924890840|46140</v>
      </c>
      <c r="AA1688" t="str">
        <f>IF(Z1688="","",IFERROR(LOOKUP(2,1/(#REF!=Z1688),#REF!),""))</f>
        <v/>
      </c>
      <c r="AB1688" t="str">
        <f>IF(Z1688="","",IFERROR(LOOKUP(2,1/(#REF!=Z1688),#REF!),""))</f>
        <v/>
      </c>
      <c r="AC1688" t="e">
        <f>IF(Z1688="","",COUNTIF(#REF!,Z1688))</f>
        <v>#REF!</v>
      </c>
      <c r="AD1688" t="e">
        <f>IF(A1688="","",IF(AC1688&gt;1,"REVISAR DUPLICADO",IF(AA1688&lt;&gt;"","ACTUALIZADO POR EYR","SIN REPORTE EYR")))</f>
        <v>#REF!</v>
      </c>
    </row>
    <row r="1689" spans="1:30" x14ac:dyDescent="0.3">
      <c r="A1689" t="s">
        <v>819</v>
      </c>
      <c r="B1689" t="s">
        <v>818</v>
      </c>
      <c r="C1689" s="4" t="s">
        <v>817</v>
      </c>
      <c r="D1689" t="s">
        <v>21</v>
      </c>
      <c r="F1689" t="s">
        <v>13</v>
      </c>
      <c r="G1689" s="3">
        <v>8298899573</v>
      </c>
      <c r="H1689" s="2">
        <v>46140</v>
      </c>
      <c r="K1689" s="1">
        <f ca="1">IF(A1689="","",IF(OR(L1689="ENTREGADA",L1689="RETORNADA",L1689="ENTREGA DIGITAL"),0,MAX(0,5-NETWORKDAYS(H1689+1,TODAY()))))</f>
        <v>2</v>
      </c>
      <c r="L1689">
        <f>IF(A1689="","",IFERROR(LOOKUP(2,1/(#REF!=Z1689),#REF!),Y1689))</f>
        <v>0</v>
      </c>
      <c r="Z1689" t="str">
        <f>IF(A1689="","",TEXT(A1689,"0")&amp;"|"&amp;TEXT(H1689,"0"))</f>
        <v>4921017921646450|46140</v>
      </c>
      <c r="AA1689" t="str">
        <f>IF(Z1689="","",IFERROR(LOOKUP(2,1/(#REF!=Z1689),#REF!),""))</f>
        <v/>
      </c>
      <c r="AB1689" t="str">
        <f>IF(Z1689="","",IFERROR(LOOKUP(2,1/(#REF!=Z1689),#REF!),""))</f>
        <v/>
      </c>
      <c r="AC1689" t="e">
        <f>IF(Z1689="","",COUNTIF(#REF!,Z1689))</f>
        <v>#REF!</v>
      </c>
      <c r="AD1689" t="e">
        <f>IF(A1689="","",IF(AC1689&gt;1,"REVISAR DUPLICADO",IF(AA1689&lt;&gt;"","ACTUALIZADO POR EYR","SIN REPORTE EYR")))</f>
        <v>#REF!</v>
      </c>
    </row>
    <row r="1690" spans="1:30" x14ac:dyDescent="0.3">
      <c r="A1690" t="s">
        <v>816</v>
      </c>
      <c r="B1690" t="s">
        <v>815</v>
      </c>
      <c r="C1690" s="4" t="s">
        <v>814</v>
      </c>
      <c r="D1690" t="s">
        <v>21</v>
      </c>
      <c r="F1690" t="s">
        <v>813</v>
      </c>
      <c r="G1690" s="3">
        <v>8299839114</v>
      </c>
      <c r="H1690" s="2">
        <v>46140</v>
      </c>
      <c r="K1690" s="1">
        <f ca="1">IF(A1690="","",IF(OR(L1690="ENTREGADA",L1690="RETORNADA",L1690="ENTREGA DIGITAL"),0,MAX(0,5-NETWORKDAYS(H1690+1,TODAY()))))</f>
        <v>2</v>
      </c>
      <c r="L1690">
        <f>IF(A1690="","",IFERROR(LOOKUP(2,1/(#REF!=Z1690),#REF!),Y1690))</f>
        <v>0</v>
      </c>
      <c r="Z1690" t="str">
        <f>IF(A1690="","",TEXT(A1690,"0")&amp;"|"&amp;TEXT(H1690,"0"))</f>
        <v>4741017919675850|46140</v>
      </c>
      <c r="AA1690" t="str">
        <f>IF(Z1690="","",IFERROR(LOOKUP(2,1/(#REF!=Z1690),#REF!),""))</f>
        <v/>
      </c>
      <c r="AB1690" t="str">
        <f>IF(Z1690="","",IFERROR(LOOKUP(2,1/(#REF!=Z1690),#REF!),""))</f>
        <v/>
      </c>
      <c r="AC1690" t="e">
        <f>IF(Z1690="","",COUNTIF(#REF!,Z1690))</f>
        <v>#REF!</v>
      </c>
      <c r="AD1690" t="e">
        <f>IF(A1690="","",IF(AC1690&gt;1,"REVISAR DUPLICADO",IF(AA1690&lt;&gt;"","ACTUALIZADO POR EYR","SIN REPORTE EYR")))</f>
        <v>#REF!</v>
      </c>
    </row>
    <row r="1691" spans="1:30" x14ac:dyDescent="0.3">
      <c r="A1691" t="s">
        <v>812</v>
      </c>
      <c r="B1691" t="s">
        <v>811</v>
      </c>
      <c r="C1691" s="4" t="s">
        <v>810</v>
      </c>
      <c r="D1691" t="s">
        <v>21</v>
      </c>
      <c r="F1691" t="s">
        <v>13</v>
      </c>
      <c r="G1691" s="3">
        <v>8095537083</v>
      </c>
      <c r="H1691" s="2">
        <v>46140</v>
      </c>
      <c r="K1691" s="1">
        <f ca="1">IF(A1691="","",IF(OR(L1691="ENTREGADA",L1691="RETORNADA",L1691="ENTREGA DIGITAL"),0,MAX(0,5-NETWORKDAYS(H1691+1,TODAY()))))</f>
        <v>2</v>
      </c>
      <c r="L1691">
        <f>IF(A1691="","",IFERROR(LOOKUP(2,1/(#REF!=Z1691),#REF!),Y1691))</f>
        <v>0</v>
      </c>
      <c r="Z1691" t="str">
        <f>IF(A1691="","",TEXT(A1691,"0")&amp;"|"&amp;TEXT(H1691,"0"))</f>
        <v>5523017922052350|46140</v>
      </c>
      <c r="AA1691" t="str">
        <f>IF(Z1691="","",IFERROR(LOOKUP(2,1/(#REF!=Z1691),#REF!),""))</f>
        <v/>
      </c>
      <c r="AB1691" t="str">
        <f>IF(Z1691="","",IFERROR(LOOKUP(2,1/(#REF!=Z1691),#REF!),""))</f>
        <v/>
      </c>
      <c r="AC1691" t="e">
        <f>IF(Z1691="","",COUNTIF(#REF!,Z1691))</f>
        <v>#REF!</v>
      </c>
      <c r="AD1691" t="e">
        <f>IF(A1691="","",IF(AC1691&gt;1,"REVISAR DUPLICADO",IF(AA1691&lt;&gt;"","ACTUALIZADO POR EYR","SIN REPORTE EYR")))</f>
        <v>#REF!</v>
      </c>
    </row>
    <row r="1692" spans="1:30" x14ac:dyDescent="0.3">
      <c r="A1692" t="s">
        <v>809</v>
      </c>
      <c r="B1692" t="s">
        <v>808</v>
      </c>
      <c r="C1692" s="4" t="s">
        <v>807</v>
      </c>
      <c r="D1692" t="s">
        <v>77</v>
      </c>
      <c r="F1692" t="s">
        <v>13</v>
      </c>
      <c r="G1692" s="3">
        <v>8296277461</v>
      </c>
      <c r="H1692" s="2">
        <v>46140</v>
      </c>
      <c r="K1692" s="1">
        <f ca="1">IF(A1692="","",IF(OR(L1692="ENTREGADA",L1692="RETORNADA",L1692="ENTREGA DIGITAL"),0,MAX(0,5-NETWORKDAYS(H1692+1,TODAY()))))</f>
        <v>2</v>
      </c>
      <c r="L1692">
        <f>IF(A1692="","",IFERROR(LOOKUP(2,1/(#REF!=Z1692),#REF!),Y1692))</f>
        <v>0</v>
      </c>
      <c r="Z1692" t="str">
        <f>IF(A1692="","",TEXT(A1692,"0")&amp;"|"&amp;TEXT(H1692,"0"))</f>
        <v>5227017924120920|46140</v>
      </c>
      <c r="AA1692" t="str">
        <f>IF(Z1692="","",IFERROR(LOOKUP(2,1/(#REF!=Z1692),#REF!),""))</f>
        <v/>
      </c>
      <c r="AB1692" t="str">
        <f>IF(Z1692="","",IFERROR(LOOKUP(2,1/(#REF!=Z1692),#REF!),""))</f>
        <v/>
      </c>
      <c r="AC1692" t="e">
        <f>IF(Z1692="","",COUNTIF(#REF!,Z1692))</f>
        <v>#REF!</v>
      </c>
      <c r="AD1692" t="e">
        <f>IF(A1692="","",IF(AC1692&gt;1,"REVISAR DUPLICADO",IF(AA1692&lt;&gt;"","ACTUALIZADO POR EYR","SIN REPORTE EYR")))</f>
        <v>#REF!</v>
      </c>
    </row>
    <row r="1693" spans="1:30" x14ac:dyDescent="0.3">
      <c r="A1693" t="s">
        <v>806</v>
      </c>
      <c r="B1693" t="s">
        <v>805</v>
      </c>
      <c r="C1693" s="4" t="s">
        <v>804</v>
      </c>
      <c r="D1693" t="s">
        <v>77</v>
      </c>
      <c r="F1693" t="s">
        <v>135</v>
      </c>
      <c r="G1693" s="3">
        <v>8499254915</v>
      </c>
      <c r="H1693" s="2">
        <v>46140</v>
      </c>
      <c r="K1693" s="1">
        <f ca="1">IF(A1693="","",IF(OR(L1693="ENTREGADA",L1693="RETORNADA",L1693="ENTREGA DIGITAL"),0,MAX(0,5-NETWORKDAYS(H1693+1,TODAY()))))</f>
        <v>2</v>
      </c>
      <c r="L1693">
        <f>IF(A1693="","",IFERROR(LOOKUP(2,1/(#REF!=Z1693),#REF!),Y1693))</f>
        <v>0</v>
      </c>
      <c r="Z1693" t="str">
        <f>IF(A1693="","",TEXT(A1693,"0")&amp;"|"&amp;TEXT(H1693,"0"))</f>
        <v>5415017923273310|46140</v>
      </c>
      <c r="AA1693" t="str">
        <f>IF(Z1693="","",IFERROR(LOOKUP(2,1/(#REF!=Z1693),#REF!),""))</f>
        <v/>
      </c>
      <c r="AB1693" t="str">
        <f>IF(Z1693="","",IFERROR(LOOKUP(2,1/(#REF!=Z1693),#REF!),""))</f>
        <v/>
      </c>
      <c r="AC1693" t="e">
        <f>IF(Z1693="","",COUNTIF(#REF!,Z1693))</f>
        <v>#REF!</v>
      </c>
      <c r="AD1693" t="e">
        <f>IF(A1693="","",IF(AC1693&gt;1,"REVISAR DUPLICADO",IF(AA1693&lt;&gt;"","ACTUALIZADO POR EYR","SIN REPORTE EYR")))</f>
        <v>#REF!</v>
      </c>
    </row>
    <row r="1694" spans="1:30" x14ac:dyDescent="0.3">
      <c r="A1694" t="s">
        <v>803</v>
      </c>
      <c r="B1694" t="s">
        <v>802</v>
      </c>
      <c r="C1694" s="4" t="s">
        <v>801</v>
      </c>
      <c r="D1694" t="s">
        <v>77</v>
      </c>
      <c r="E1694" t="s">
        <v>214</v>
      </c>
      <c r="F1694" t="s">
        <v>391</v>
      </c>
      <c r="G1694" s="3">
        <v>8094786994</v>
      </c>
      <c r="H1694" s="2">
        <v>46140</v>
      </c>
      <c r="K1694" s="1">
        <f ca="1">IF(A1694="","",IF(OR(L1694="ENTREGADA",L1694="RETORNADA",L1694="ENTREGA DIGITAL"),0,MAX(0,5-NETWORKDAYS(H1694+1,TODAY()))))</f>
        <v>2</v>
      </c>
      <c r="L1694">
        <f>IF(A1694="","",IFERROR(LOOKUP(2,1/(#REF!=Z1694),#REF!),Y1694))</f>
        <v>0</v>
      </c>
      <c r="Z1694" t="str">
        <f>IF(A1694="","",TEXT(A1694,"0")&amp;"|"&amp;TEXT(H1694,"0"))</f>
        <v>5188017924190360|46140</v>
      </c>
      <c r="AA1694" t="str">
        <f>IF(Z1694="","",IFERROR(LOOKUP(2,1/(#REF!=Z1694),#REF!),""))</f>
        <v/>
      </c>
      <c r="AB1694" t="str">
        <f>IF(Z1694="","",IFERROR(LOOKUP(2,1/(#REF!=Z1694),#REF!),""))</f>
        <v/>
      </c>
      <c r="AC1694" t="e">
        <f>IF(Z1694="","",COUNTIF(#REF!,Z1694))</f>
        <v>#REF!</v>
      </c>
      <c r="AD1694" t="e">
        <f>IF(A1694="","",IF(AC1694&gt;1,"REVISAR DUPLICADO",IF(AA1694&lt;&gt;"","ACTUALIZADO POR EYR","SIN REPORTE EYR")))</f>
        <v>#REF!</v>
      </c>
    </row>
    <row r="1695" spans="1:30" x14ac:dyDescent="0.3">
      <c r="A1695" t="s">
        <v>800</v>
      </c>
      <c r="B1695" t="s">
        <v>799</v>
      </c>
      <c r="C1695" s="4" t="s">
        <v>798</v>
      </c>
      <c r="D1695" t="s">
        <v>77</v>
      </c>
      <c r="F1695" t="s">
        <v>13</v>
      </c>
      <c r="G1695" s="3">
        <v>8299015598</v>
      </c>
      <c r="H1695" s="2">
        <v>46140</v>
      </c>
      <c r="K1695" s="1">
        <f ca="1">IF(A1695="","",IF(OR(L1695="ENTREGADA",L1695="RETORNADA",L1695="ENTREGA DIGITAL"),0,MAX(0,5-NETWORKDAYS(H1695+1,TODAY()))))</f>
        <v>2</v>
      </c>
      <c r="L1695">
        <f>IF(A1695="","",IFERROR(LOOKUP(2,1/(#REF!=Z1695),#REF!),Y1695))</f>
        <v>0</v>
      </c>
      <c r="Z1695" t="str">
        <f>IF(A1695="","",TEXT(A1695,"0")&amp;"|"&amp;TEXT(H1695,"0"))</f>
        <v>5415017923560430|46140</v>
      </c>
      <c r="AA1695" t="str">
        <f>IF(Z1695="","",IFERROR(LOOKUP(2,1/(#REF!=Z1695),#REF!),""))</f>
        <v/>
      </c>
      <c r="AB1695" t="str">
        <f>IF(Z1695="","",IFERROR(LOOKUP(2,1/(#REF!=Z1695),#REF!),""))</f>
        <v/>
      </c>
      <c r="AC1695" t="e">
        <f>IF(Z1695="","",COUNTIF(#REF!,Z1695))</f>
        <v>#REF!</v>
      </c>
      <c r="AD1695" t="e">
        <f>IF(A1695="","",IF(AC1695&gt;1,"REVISAR DUPLICADO",IF(AA1695&lt;&gt;"","ACTUALIZADO POR EYR","SIN REPORTE EYR")))</f>
        <v>#REF!</v>
      </c>
    </row>
    <row r="1696" spans="1:30" x14ac:dyDescent="0.3">
      <c r="A1696" t="s">
        <v>797</v>
      </c>
      <c r="B1696" t="s">
        <v>796</v>
      </c>
      <c r="C1696" s="4" t="s">
        <v>795</v>
      </c>
      <c r="D1696" t="s">
        <v>77</v>
      </c>
      <c r="F1696" t="s">
        <v>13</v>
      </c>
      <c r="G1696" s="3">
        <v>8094767777</v>
      </c>
      <c r="H1696" s="2">
        <v>46140</v>
      </c>
      <c r="K1696" s="1">
        <f ca="1">IF(A1696="","",IF(OR(L1696="ENTREGADA",L1696="RETORNADA",L1696="ENTREGA DIGITAL"),0,MAX(0,5-NETWORKDAYS(H1696+1,TODAY()))))</f>
        <v>2</v>
      </c>
      <c r="L1696">
        <f>IF(A1696="","",IFERROR(LOOKUP(2,1/(#REF!=Z1696),#REF!),Y1696))</f>
        <v>0</v>
      </c>
      <c r="Z1696" t="str">
        <f>IF(A1696="","",TEXT(A1696,"0")&amp;"|"&amp;TEXT(H1696,"0"))</f>
        <v>4921017925423180|46140</v>
      </c>
      <c r="AA1696" t="str">
        <f>IF(Z1696="","",IFERROR(LOOKUP(2,1/(#REF!=Z1696),#REF!),""))</f>
        <v/>
      </c>
      <c r="AB1696" t="str">
        <f>IF(Z1696="","",IFERROR(LOOKUP(2,1/(#REF!=Z1696),#REF!),""))</f>
        <v/>
      </c>
      <c r="AC1696" t="e">
        <f>IF(Z1696="","",COUNTIF(#REF!,Z1696))</f>
        <v>#REF!</v>
      </c>
      <c r="AD1696" t="e">
        <f>IF(A1696="","",IF(AC1696&gt;1,"REVISAR DUPLICADO",IF(AA1696&lt;&gt;"","ACTUALIZADO POR EYR","SIN REPORTE EYR")))</f>
        <v>#REF!</v>
      </c>
    </row>
    <row r="1697" spans="1:30" x14ac:dyDescent="0.3">
      <c r="A1697" t="s">
        <v>794</v>
      </c>
      <c r="B1697" t="s">
        <v>793</v>
      </c>
      <c r="C1697" s="4" t="s">
        <v>792</v>
      </c>
      <c r="D1697" t="s">
        <v>77</v>
      </c>
      <c r="F1697" t="s">
        <v>13</v>
      </c>
      <c r="G1697" s="3">
        <v>8297531204</v>
      </c>
      <c r="H1697" s="2">
        <v>46140</v>
      </c>
      <c r="K1697" s="1">
        <f ca="1">IF(A1697="","",IF(OR(L1697="ENTREGADA",L1697="RETORNADA",L1697="ENTREGA DIGITAL"),0,MAX(0,5-NETWORKDAYS(H1697+1,TODAY()))))</f>
        <v>2</v>
      </c>
      <c r="L1697">
        <f>IF(A1697="","",IFERROR(LOOKUP(2,1/(#REF!=Z1697),#REF!),Y1697))</f>
        <v>0</v>
      </c>
      <c r="Z1697" t="str">
        <f>IF(A1697="","",TEXT(A1697,"0")&amp;"|"&amp;TEXT(H1697,"0"))</f>
        <v>4921017925402150|46140</v>
      </c>
      <c r="AA1697" t="str">
        <f>IF(Z1697="","",IFERROR(LOOKUP(2,1/(#REF!=Z1697),#REF!),""))</f>
        <v/>
      </c>
      <c r="AB1697" t="str">
        <f>IF(Z1697="","",IFERROR(LOOKUP(2,1/(#REF!=Z1697),#REF!),""))</f>
        <v/>
      </c>
      <c r="AC1697" t="e">
        <f>IF(Z1697="","",COUNTIF(#REF!,Z1697))</f>
        <v>#REF!</v>
      </c>
      <c r="AD1697" t="e">
        <f>IF(A1697="","",IF(AC1697&gt;1,"REVISAR DUPLICADO",IF(AA1697&lt;&gt;"","ACTUALIZADO POR EYR","SIN REPORTE EYR")))</f>
        <v>#REF!</v>
      </c>
    </row>
    <row r="1698" spans="1:30" x14ac:dyDescent="0.3">
      <c r="A1698" t="s">
        <v>791</v>
      </c>
      <c r="B1698" t="s">
        <v>790</v>
      </c>
      <c r="C1698" s="4" t="s">
        <v>789</v>
      </c>
      <c r="D1698" t="s">
        <v>77</v>
      </c>
      <c r="F1698" t="s">
        <v>13</v>
      </c>
      <c r="G1698" s="3">
        <v>8095841144</v>
      </c>
      <c r="H1698" s="2">
        <v>46140</v>
      </c>
      <c r="K1698" s="1">
        <f ca="1">IF(A1698="","",IF(OR(L1698="ENTREGADA",L1698="RETORNADA",L1698="ENTREGA DIGITAL"),0,MAX(0,5-NETWORKDAYS(H1698+1,TODAY()))))</f>
        <v>2</v>
      </c>
      <c r="L1698">
        <f>IF(A1698="","",IFERROR(LOOKUP(2,1/(#REF!=Z1698),#REF!),Y1698))</f>
        <v>0</v>
      </c>
      <c r="Z1698" t="str">
        <f>IF(A1698="","",TEXT(A1698,"0")&amp;"|"&amp;TEXT(H1698,"0"))</f>
        <v>5415017923391560|46140</v>
      </c>
      <c r="AA1698" t="str">
        <f>IF(Z1698="","",IFERROR(LOOKUP(2,1/(#REF!=Z1698),#REF!),""))</f>
        <v/>
      </c>
      <c r="AB1698" t="str">
        <f>IF(Z1698="","",IFERROR(LOOKUP(2,1/(#REF!=Z1698),#REF!),""))</f>
        <v/>
      </c>
      <c r="AC1698" t="e">
        <f>IF(Z1698="","",COUNTIF(#REF!,Z1698))</f>
        <v>#REF!</v>
      </c>
      <c r="AD1698" t="e">
        <f>IF(A1698="","",IF(AC1698&gt;1,"REVISAR DUPLICADO",IF(AA1698&lt;&gt;"","ACTUALIZADO POR EYR","SIN REPORTE EYR")))</f>
        <v>#REF!</v>
      </c>
    </row>
    <row r="1699" spans="1:30" x14ac:dyDescent="0.3">
      <c r="A1699" t="s">
        <v>788</v>
      </c>
      <c r="B1699" t="s">
        <v>787</v>
      </c>
      <c r="C1699" s="4" t="s">
        <v>786</v>
      </c>
      <c r="D1699" t="s">
        <v>77</v>
      </c>
      <c r="F1699" t="s">
        <v>785</v>
      </c>
      <c r="G1699" s="3">
        <v>8494792748</v>
      </c>
      <c r="H1699" s="2">
        <v>46140</v>
      </c>
      <c r="K1699" s="1">
        <f ca="1">IF(A1699="","",IF(OR(L1699="ENTREGADA",L1699="RETORNADA",L1699="ENTREGA DIGITAL"),0,MAX(0,5-NETWORKDAYS(H1699+1,TODAY()))))</f>
        <v>2</v>
      </c>
      <c r="L1699">
        <f>IF(A1699="","",IFERROR(LOOKUP(2,1/(#REF!=Z1699),#REF!),Y1699))</f>
        <v>0</v>
      </c>
      <c r="Z1699" t="str">
        <f>IF(A1699="","",TEXT(A1699,"0")&amp;"|"&amp;TEXT(H1699,"0"))</f>
        <v>5415017923307110|46140</v>
      </c>
      <c r="AA1699" t="str">
        <f>IF(Z1699="","",IFERROR(LOOKUP(2,1/(#REF!=Z1699),#REF!),""))</f>
        <v/>
      </c>
      <c r="AB1699" t="str">
        <f>IF(Z1699="","",IFERROR(LOOKUP(2,1/(#REF!=Z1699),#REF!),""))</f>
        <v/>
      </c>
      <c r="AC1699" t="e">
        <f>IF(Z1699="","",COUNTIF(#REF!,Z1699))</f>
        <v>#REF!</v>
      </c>
      <c r="AD1699" t="e">
        <f>IF(A1699="","",IF(AC1699&gt;1,"REVISAR DUPLICADO",IF(AA1699&lt;&gt;"","ACTUALIZADO POR EYR","SIN REPORTE EYR")))</f>
        <v>#REF!</v>
      </c>
    </row>
    <row r="1700" spans="1:30" x14ac:dyDescent="0.3">
      <c r="A1700" t="s">
        <v>784</v>
      </c>
      <c r="B1700" t="s">
        <v>783</v>
      </c>
      <c r="C1700" s="4" t="s">
        <v>782</v>
      </c>
      <c r="D1700" t="s">
        <v>77</v>
      </c>
      <c r="F1700" t="s">
        <v>781</v>
      </c>
      <c r="G1700" s="3">
        <v>8299591335</v>
      </c>
      <c r="H1700" s="2">
        <v>46140</v>
      </c>
      <c r="K1700" s="1">
        <f ca="1">IF(A1700="","",IF(OR(L1700="ENTREGADA",L1700="RETORNADA",L1700="ENTREGA DIGITAL"),0,MAX(0,5-NETWORKDAYS(H1700+1,TODAY()))))</f>
        <v>2</v>
      </c>
      <c r="L1700">
        <f>IF(A1700="","",IFERROR(LOOKUP(2,1/(#REF!=Z1700),#REF!),Y1700))</f>
        <v>0</v>
      </c>
      <c r="Z1700" t="str">
        <f>IF(A1700="","",TEXT(A1700,"0")&amp;"|"&amp;TEXT(H1700,"0"))</f>
        <v>4921017921470850|46140</v>
      </c>
      <c r="AA1700" t="str">
        <f>IF(Z1700="","",IFERROR(LOOKUP(2,1/(#REF!=Z1700),#REF!),""))</f>
        <v/>
      </c>
      <c r="AB1700" t="str">
        <f>IF(Z1700="","",IFERROR(LOOKUP(2,1/(#REF!=Z1700),#REF!),""))</f>
        <v/>
      </c>
      <c r="AC1700" t="e">
        <f>IF(Z1700="","",COUNTIF(#REF!,Z1700))</f>
        <v>#REF!</v>
      </c>
      <c r="AD1700" t="e">
        <f>IF(A1700="","",IF(AC1700&gt;1,"REVISAR DUPLICADO",IF(AA1700&lt;&gt;"","ACTUALIZADO POR EYR","SIN REPORTE EYR")))</f>
        <v>#REF!</v>
      </c>
    </row>
    <row r="1701" spans="1:30" x14ac:dyDescent="0.3">
      <c r="A1701" t="s">
        <v>780</v>
      </c>
      <c r="B1701" t="s">
        <v>779</v>
      </c>
      <c r="C1701" s="4" t="s">
        <v>778</v>
      </c>
      <c r="D1701" t="s">
        <v>77</v>
      </c>
      <c r="F1701" t="s">
        <v>777</v>
      </c>
      <c r="G1701" s="3">
        <v>8297032792</v>
      </c>
      <c r="H1701" s="2">
        <v>46140</v>
      </c>
      <c r="K1701" s="1">
        <f ca="1">IF(A1701="","",IF(OR(L1701="ENTREGADA",L1701="RETORNADA",L1701="ENTREGA DIGITAL"),0,MAX(0,5-NETWORKDAYS(H1701+1,TODAY()))))</f>
        <v>2</v>
      </c>
      <c r="L1701">
        <f>IF(A1701="","",IFERROR(LOOKUP(2,1/(#REF!=Z1701),#REF!),Y1701))</f>
        <v>0</v>
      </c>
      <c r="Z1701" t="str">
        <f>IF(A1701="","",TEXT(A1701,"0")&amp;"|"&amp;TEXT(H1701,"0"))</f>
        <v>5415017914967270|46140</v>
      </c>
      <c r="AA1701" t="str">
        <f>IF(Z1701="","",IFERROR(LOOKUP(2,1/(#REF!=Z1701),#REF!),""))</f>
        <v/>
      </c>
      <c r="AB1701" t="str">
        <f>IF(Z1701="","",IFERROR(LOOKUP(2,1/(#REF!=Z1701),#REF!),""))</f>
        <v/>
      </c>
      <c r="AC1701" t="e">
        <f>IF(Z1701="","",COUNTIF(#REF!,Z1701))</f>
        <v>#REF!</v>
      </c>
      <c r="AD1701" t="e">
        <f>IF(A1701="","",IF(AC1701&gt;1,"REVISAR DUPLICADO",IF(AA1701&lt;&gt;"","ACTUALIZADO POR EYR","SIN REPORTE EYR")))</f>
        <v>#REF!</v>
      </c>
    </row>
    <row r="1702" spans="1:30" x14ac:dyDescent="0.3">
      <c r="A1702" t="s">
        <v>776</v>
      </c>
      <c r="B1702" t="s">
        <v>775</v>
      </c>
      <c r="C1702" s="4" t="s">
        <v>774</v>
      </c>
      <c r="D1702" t="s">
        <v>77</v>
      </c>
      <c r="F1702" t="s">
        <v>13</v>
      </c>
      <c r="G1702" s="3">
        <v>8299826213</v>
      </c>
      <c r="H1702" s="2">
        <v>46140</v>
      </c>
      <c r="K1702" s="1">
        <f ca="1">IF(A1702="","",IF(OR(L1702="ENTREGADA",L1702="RETORNADA",L1702="ENTREGA DIGITAL"),0,MAX(0,5-NETWORKDAYS(H1702+1,TODAY()))))</f>
        <v>2</v>
      </c>
      <c r="L1702">
        <f>IF(A1702="","",IFERROR(LOOKUP(2,1/(#REF!=Z1702),#REF!),Y1702))</f>
        <v>0</v>
      </c>
      <c r="Z1702" t="str">
        <f>IF(A1702="","",TEXT(A1702,"0")&amp;"|"&amp;TEXT(H1702,"0"))</f>
        <v>4025017919455160|46140</v>
      </c>
      <c r="AA1702" t="str">
        <f>IF(Z1702="","",IFERROR(LOOKUP(2,1/(#REF!=Z1702),#REF!),""))</f>
        <v/>
      </c>
      <c r="AB1702" t="str">
        <f>IF(Z1702="","",IFERROR(LOOKUP(2,1/(#REF!=Z1702),#REF!),""))</f>
        <v/>
      </c>
      <c r="AC1702" t="e">
        <f>IF(Z1702="","",COUNTIF(#REF!,Z1702))</f>
        <v>#REF!</v>
      </c>
      <c r="AD1702" t="e">
        <f>IF(A1702="","",IF(AC1702&gt;1,"REVISAR DUPLICADO",IF(AA1702&lt;&gt;"","ACTUALIZADO POR EYR","SIN REPORTE EYR")))</f>
        <v>#REF!</v>
      </c>
    </row>
    <row r="1703" spans="1:30" x14ac:dyDescent="0.3">
      <c r="A1703" t="s">
        <v>773</v>
      </c>
      <c r="B1703" t="s">
        <v>772</v>
      </c>
      <c r="C1703" s="4" t="s">
        <v>771</v>
      </c>
      <c r="D1703" t="s">
        <v>77</v>
      </c>
      <c r="F1703" t="s">
        <v>13</v>
      </c>
      <c r="G1703" s="3">
        <v>8094913091</v>
      </c>
      <c r="H1703" s="2">
        <v>46140</v>
      </c>
      <c r="K1703" s="1">
        <f ca="1">IF(A1703="","",IF(OR(L1703="ENTREGADA",L1703="RETORNADA",L1703="ENTREGA DIGITAL"),0,MAX(0,5-NETWORKDAYS(H1703+1,TODAY()))))</f>
        <v>2</v>
      </c>
      <c r="L1703">
        <f>IF(A1703="","",IFERROR(LOOKUP(2,1/(#REF!=Z1703),#REF!),Y1703))</f>
        <v>0</v>
      </c>
      <c r="Z1703" t="str">
        <f>IF(A1703="","",TEXT(A1703,"0")&amp;"|"&amp;TEXT(H1703,"0"))</f>
        <v>5415017914944390|46140</v>
      </c>
      <c r="AA1703" t="str">
        <f>IF(Z1703="","",IFERROR(LOOKUP(2,1/(#REF!=Z1703),#REF!),""))</f>
        <v/>
      </c>
      <c r="AB1703" t="str">
        <f>IF(Z1703="","",IFERROR(LOOKUP(2,1/(#REF!=Z1703),#REF!),""))</f>
        <v/>
      </c>
      <c r="AC1703" t="e">
        <f>IF(Z1703="","",COUNTIF(#REF!,Z1703))</f>
        <v>#REF!</v>
      </c>
      <c r="AD1703" t="e">
        <f>IF(A1703="","",IF(AC1703&gt;1,"REVISAR DUPLICADO",IF(AA1703&lt;&gt;"","ACTUALIZADO POR EYR","SIN REPORTE EYR")))</f>
        <v>#REF!</v>
      </c>
    </row>
    <row r="1704" spans="1:30" x14ac:dyDescent="0.3">
      <c r="A1704" t="s">
        <v>770</v>
      </c>
      <c r="B1704" t="s">
        <v>769</v>
      </c>
      <c r="C1704" s="4" t="s">
        <v>768</v>
      </c>
      <c r="D1704" t="s">
        <v>77</v>
      </c>
      <c r="F1704" t="s">
        <v>13</v>
      </c>
      <c r="G1704" s="3">
        <v>8095543061</v>
      </c>
      <c r="H1704" s="2">
        <v>46140</v>
      </c>
      <c r="K1704" s="1">
        <f ca="1">IF(A1704="","",IF(OR(L1704="ENTREGADA",L1704="RETORNADA",L1704="ENTREGA DIGITAL"),0,MAX(0,5-NETWORKDAYS(H1704+1,TODAY()))))</f>
        <v>2</v>
      </c>
      <c r="L1704">
        <f>IF(A1704="","",IFERROR(LOOKUP(2,1/(#REF!=Z1704),#REF!),Y1704))</f>
        <v>0</v>
      </c>
      <c r="Z1704" t="str">
        <f>IF(A1704="","",TEXT(A1704,"0")&amp;"|"&amp;TEXT(H1704,"0"))</f>
        <v>4741017919950610|46140</v>
      </c>
      <c r="AA1704" t="str">
        <f>IF(Z1704="","",IFERROR(LOOKUP(2,1/(#REF!=Z1704),#REF!),""))</f>
        <v/>
      </c>
      <c r="AB1704" t="str">
        <f>IF(Z1704="","",IFERROR(LOOKUP(2,1/(#REF!=Z1704),#REF!),""))</f>
        <v/>
      </c>
      <c r="AC1704" t="e">
        <f>IF(Z1704="","",COUNTIF(#REF!,Z1704))</f>
        <v>#REF!</v>
      </c>
      <c r="AD1704" t="e">
        <f>IF(A1704="","",IF(AC1704&gt;1,"REVISAR DUPLICADO",IF(AA1704&lt;&gt;"","ACTUALIZADO POR EYR","SIN REPORTE EYR")))</f>
        <v>#REF!</v>
      </c>
    </row>
    <row r="1705" spans="1:30" x14ac:dyDescent="0.3">
      <c r="A1705" t="s">
        <v>767</v>
      </c>
      <c r="B1705" t="s">
        <v>766</v>
      </c>
      <c r="C1705" s="4" t="s">
        <v>765</v>
      </c>
      <c r="D1705" t="s">
        <v>77</v>
      </c>
      <c r="F1705" t="s">
        <v>764</v>
      </c>
      <c r="G1705" s="3">
        <v>8498816172</v>
      </c>
      <c r="H1705" s="2">
        <v>46140</v>
      </c>
      <c r="K1705" s="1">
        <f ca="1">IF(A1705="","",IF(OR(L1705="ENTREGADA",L1705="RETORNADA",L1705="ENTREGA DIGITAL"),0,MAX(0,5-NETWORKDAYS(H1705+1,TODAY()))))</f>
        <v>2</v>
      </c>
      <c r="L1705">
        <f>IF(A1705="","",IFERROR(LOOKUP(2,1/(#REF!=Z1705),#REF!),Y1705))</f>
        <v>0</v>
      </c>
      <c r="Z1705" t="str">
        <f>IF(A1705="","",TEXT(A1705,"0")&amp;"|"&amp;TEXT(H1705,"0"))</f>
        <v>5523017914470830|46140</v>
      </c>
      <c r="AA1705" t="str">
        <f>IF(Z1705="","",IFERROR(LOOKUP(2,1/(#REF!=Z1705),#REF!),""))</f>
        <v/>
      </c>
      <c r="AB1705" t="str">
        <f>IF(Z1705="","",IFERROR(LOOKUP(2,1/(#REF!=Z1705),#REF!),""))</f>
        <v/>
      </c>
      <c r="AC1705" t="e">
        <f>IF(Z1705="","",COUNTIF(#REF!,Z1705))</f>
        <v>#REF!</v>
      </c>
      <c r="AD1705" t="e">
        <f>IF(A1705="","",IF(AC1705&gt;1,"REVISAR DUPLICADO",IF(AA1705&lt;&gt;"","ACTUALIZADO POR EYR","SIN REPORTE EYR")))</f>
        <v>#REF!</v>
      </c>
    </row>
    <row r="1706" spans="1:30" x14ac:dyDescent="0.3">
      <c r="A1706" s="5" t="s">
        <v>763</v>
      </c>
      <c r="B1706" t="s">
        <v>762</v>
      </c>
      <c r="C1706" s="4" t="s">
        <v>761</v>
      </c>
      <c r="D1706" t="s">
        <v>77</v>
      </c>
      <c r="F1706">
        <v>6</v>
      </c>
      <c r="G1706" s="3">
        <v>8295496984</v>
      </c>
      <c r="H1706" s="2">
        <v>46140</v>
      </c>
      <c r="K1706" s="1">
        <f ca="1">IF(A1706="","",IF(OR(L1706="ENTREGADA",L1706="RETORNADA",L1706="ENTREGA DIGITAL"),0,MAX(0,5-NETWORKDAYS(H1706+1,TODAY()))))</f>
        <v>2</v>
      </c>
      <c r="L1706">
        <f>IF(A1706="","",IFERROR(LOOKUP(2,1/(#REF!=Z1706),#REF!),Y1706))</f>
        <v>0</v>
      </c>
      <c r="Z1706" t="str">
        <f>IF(A1706="","",TEXT(A1706,"0")&amp;"|"&amp;TEXT(H1706,"0"))</f>
        <v>4025017853757430|46140</v>
      </c>
      <c r="AA1706" t="str">
        <f>IF(Z1706="","",IFERROR(LOOKUP(2,1/(#REF!=Z1706),#REF!),""))</f>
        <v/>
      </c>
      <c r="AB1706" t="str">
        <f>IF(Z1706="","",IFERROR(LOOKUP(2,1/(#REF!=Z1706),#REF!),""))</f>
        <v/>
      </c>
      <c r="AC1706" t="e">
        <f>IF(Z1706="","",COUNTIF(#REF!,Z1706))</f>
        <v>#REF!</v>
      </c>
      <c r="AD1706" t="e">
        <f>IF(A1706="","",IF(AC1706&gt;1,"REVISAR DUPLICADO",IF(AA1706&lt;&gt;"","ACTUALIZADO POR EYR","SIN REPORTE EYR")))</f>
        <v>#REF!</v>
      </c>
    </row>
    <row r="1707" spans="1:30" x14ac:dyDescent="0.3">
      <c r="A1707" s="5" t="s">
        <v>760</v>
      </c>
      <c r="B1707" t="s">
        <v>759</v>
      </c>
      <c r="C1707" s="4" t="s">
        <v>758</v>
      </c>
      <c r="D1707" t="s">
        <v>77</v>
      </c>
      <c r="F1707" t="s">
        <v>13</v>
      </c>
      <c r="G1707" s="3">
        <v>8494257609</v>
      </c>
      <c r="H1707" s="2">
        <v>46140</v>
      </c>
      <c r="K1707" s="1">
        <f ca="1">IF(A1707="","",IF(OR(L1707="ENTREGADA",L1707="RETORNADA",L1707="ENTREGA DIGITAL"),0,MAX(0,5-NETWORKDAYS(H1707+1,TODAY()))))</f>
        <v>2</v>
      </c>
      <c r="L1707">
        <f>IF(A1707="","",IFERROR(LOOKUP(2,1/(#REF!=Z1707),#REF!),Y1707))</f>
        <v>0</v>
      </c>
      <c r="Z1707" t="str">
        <f>IF(A1707="","",TEXT(A1707,"0")&amp;"|"&amp;TEXT(H1707,"0"))</f>
        <v>5188017860115910|46140</v>
      </c>
      <c r="AA1707" t="str">
        <f>IF(Z1707="","",IFERROR(LOOKUP(2,1/(#REF!=Z1707),#REF!),""))</f>
        <v/>
      </c>
      <c r="AB1707" t="str">
        <f>IF(Z1707="","",IFERROR(LOOKUP(2,1/(#REF!=Z1707),#REF!),""))</f>
        <v/>
      </c>
      <c r="AC1707" t="e">
        <f>IF(Z1707="","",COUNTIF(#REF!,Z1707))</f>
        <v>#REF!</v>
      </c>
      <c r="AD1707" t="e">
        <f>IF(A1707="","",IF(AC1707&gt;1,"REVISAR DUPLICADO",IF(AA1707&lt;&gt;"","ACTUALIZADO POR EYR","SIN REPORTE EYR")))</f>
        <v>#REF!</v>
      </c>
    </row>
    <row r="1708" spans="1:30" x14ac:dyDescent="0.3">
      <c r="A1708" s="5" t="s">
        <v>757</v>
      </c>
      <c r="B1708" t="s">
        <v>756</v>
      </c>
      <c r="C1708" s="4" t="s">
        <v>755</v>
      </c>
      <c r="D1708" t="s">
        <v>77</v>
      </c>
      <c r="F1708" t="s">
        <v>754</v>
      </c>
      <c r="G1708" s="3">
        <v>8295295064</v>
      </c>
      <c r="H1708" s="2">
        <v>46140</v>
      </c>
      <c r="K1708" s="1">
        <f ca="1">IF(A1708="","",IF(OR(L1708="ENTREGADA",L1708="RETORNADA",L1708="ENTREGA DIGITAL"),0,MAX(0,5-NETWORKDAYS(H1708+1,TODAY()))))</f>
        <v>2</v>
      </c>
      <c r="L1708">
        <f>IF(A1708="","",IFERROR(LOOKUP(2,1/(#REF!=Z1708),#REF!),Y1708))</f>
        <v>0</v>
      </c>
      <c r="Z1708" t="str">
        <f>IF(A1708="","",TEXT(A1708,"0")&amp;"|"&amp;TEXT(H1708,"0"))</f>
        <v>5415017883938860|46140</v>
      </c>
      <c r="AA1708" t="str">
        <f>IF(Z1708="","",IFERROR(LOOKUP(2,1/(#REF!=Z1708),#REF!),""))</f>
        <v/>
      </c>
      <c r="AB1708" t="str">
        <f>IF(Z1708="","",IFERROR(LOOKUP(2,1/(#REF!=Z1708),#REF!),""))</f>
        <v/>
      </c>
      <c r="AC1708" t="e">
        <f>IF(Z1708="","",COUNTIF(#REF!,Z1708))</f>
        <v>#REF!</v>
      </c>
      <c r="AD1708" t="e">
        <f>IF(A1708="","",IF(AC1708&gt;1,"REVISAR DUPLICADO",IF(AA1708&lt;&gt;"","ACTUALIZADO POR EYR","SIN REPORTE EYR")))</f>
        <v>#REF!</v>
      </c>
    </row>
    <row r="1709" spans="1:30" x14ac:dyDescent="0.3">
      <c r="A1709" s="5" t="s">
        <v>753</v>
      </c>
      <c r="B1709" t="s">
        <v>752</v>
      </c>
      <c r="C1709" s="4" t="s">
        <v>751</v>
      </c>
      <c r="D1709" t="s">
        <v>77</v>
      </c>
      <c r="F1709" t="s">
        <v>750</v>
      </c>
      <c r="G1709" s="3">
        <v>8097204098</v>
      </c>
      <c r="H1709" s="2">
        <v>46140</v>
      </c>
      <c r="K1709" s="1">
        <f ca="1">IF(A1709="","",IF(OR(L1709="ENTREGADA",L1709="RETORNADA",L1709="ENTREGA DIGITAL"),0,MAX(0,5-NETWORKDAYS(H1709+1,TODAY()))))</f>
        <v>2</v>
      </c>
      <c r="L1709">
        <f>IF(A1709="","",IFERROR(LOOKUP(2,1/(#REF!=Z1709),#REF!),Y1709))</f>
        <v>0</v>
      </c>
      <c r="Z1709" t="str">
        <f>IF(A1709="","",TEXT(A1709,"0")&amp;"|"&amp;TEXT(H1709,"0"))</f>
        <v>5188017698394220|46140</v>
      </c>
      <c r="AA1709" t="str">
        <f>IF(Z1709="","",IFERROR(LOOKUP(2,1/(#REF!=Z1709),#REF!),""))</f>
        <v/>
      </c>
      <c r="AB1709" t="str">
        <f>IF(Z1709="","",IFERROR(LOOKUP(2,1/(#REF!=Z1709),#REF!),""))</f>
        <v/>
      </c>
      <c r="AC1709" t="e">
        <f>IF(Z1709="","",COUNTIF(#REF!,Z1709))</f>
        <v>#REF!</v>
      </c>
      <c r="AD1709" t="e">
        <f>IF(A1709="","",IF(AC1709&gt;1,"REVISAR DUPLICADO",IF(AA1709&lt;&gt;"","ACTUALIZADO POR EYR","SIN REPORTE EYR")))</f>
        <v>#REF!</v>
      </c>
    </row>
    <row r="1710" spans="1:30" x14ac:dyDescent="0.3">
      <c r="A1710" s="5" t="s">
        <v>749</v>
      </c>
      <c r="B1710" t="s">
        <v>748</v>
      </c>
      <c r="C1710" s="4" t="s">
        <v>747</v>
      </c>
      <c r="D1710" t="s">
        <v>77</v>
      </c>
      <c r="F1710" t="s">
        <v>746</v>
      </c>
      <c r="G1710" s="3">
        <v>8295534890</v>
      </c>
      <c r="H1710" s="2">
        <v>46140</v>
      </c>
      <c r="K1710" s="1">
        <f ca="1">IF(A1710="","",IF(OR(L1710="ENTREGADA",L1710="RETORNADA",L1710="ENTREGA DIGITAL"),0,MAX(0,5-NETWORKDAYS(H1710+1,TODAY()))))</f>
        <v>2</v>
      </c>
      <c r="L1710">
        <f>IF(A1710="","",IFERROR(LOOKUP(2,1/(#REF!=Z1710),#REF!),Y1710))</f>
        <v>0</v>
      </c>
      <c r="Z1710" t="str">
        <f>IF(A1710="","",TEXT(A1710,"0")&amp;"|"&amp;TEXT(H1710,"0"))</f>
        <v>5188017845180980|46140</v>
      </c>
      <c r="AA1710" t="str">
        <f>IF(Z1710="","",IFERROR(LOOKUP(2,1/(#REF!=Z1710),#REF!),""))</f>
        <v/>
      </c>
      <c r="AB1710" t="str">
        <f>IF(Z1710="","",IFERROR(LOOKUP(2,1/(#REF!=Z1710),#REF!),""))</f>
        <v/>
      </c>
      <c r="AC1710" t="e">
        <f>IF(Z1710="","",COUNTIF(#REF!,Z1710))</f>
        <v>#REF!</v>
      </c>
      <c r="AD1710" t="e">
        <f>IF(A1710="","",IF(AC1710&gt;1,"REVISAR DUPLICADO",IF(AA1710&lt;&gt;"","ACTUALIZADO POR EYR","SIN REPORTE EYR")))</f>
        <v>#REF!</v>
      </c>
    </row>
    <row r="1711" spans="1:30" x14ac:dyDescent="0.3">
      <c r="A1711" s="5" t="s">
        <v>745</v>
      </c>
      <c r="B1711" t="s">
        <v>744</v>
      </c>
      <c r="C1711" s="4" t="s">
        <v>743</v>
      </c>
      <c r="D1711" t="s">
        <v>77</v>
      </c>
      <c r="F1711" t="s">
        <v>742</v>
      </c>
      <c r="G1711" s="3">
        <v>8294489083</v>
      </c>
      <c r="H1711" s="2">
        <v>46140</v>
      </c>
      <c r="K1711" s="1">
        <f ca="1">IF(A1711="","",IF(OR(L1711="ENTREGADA",L1711="RETORNADA",L1711="ENTREGA DIGITAL"),0,MAX(0,5-NETWORKDAYS(H1711+1,TODAY()))))</f>
        <v>2</v>
      </c>
      <c r="L1711">
        <f>IF(A1711="","",IFERROR(LOOKUP(2,1/(#REF!=Z1711),#REF!),Y1711))</f>
        <v>0</v>
      </c>
      <c r="Z1711" t="str">
        <f>IF(A1711="","",TEXT(A1711,"0")&amp;"|"&amp;TEXT(H1711,"0"))</f>
        <v>4921017721874930|46140</v>
      </c>
      <c r="AA1711" t="str">
        <f>IF(Z1711="","",IFERROR(LOOKUP(2,1/(#REF!=Z1711),#REF!),""))</f>
        <v/>
      </c>
      <c r="AB1711" t="str">
        <f>IF(Z1711="","",IFERROR(LOOKUP(2,1/(#REF!=Z1711),#REF!),""))</f>
        <v/>
      </c>
      <c r="AC1711" t="e">
        <f>IF(Z1711="","",COUNTIF(#REF!,Z1711))</f>
        <v>#REF!</v>
      </c>
      <c r="AD1711" t="e">
        <f>IF(A1711="","",IF(AC1711&gt;1,"REVISAR DUPLICADO",IF(AA1711&lt;&gt;"","ACTUALIZADO POR EYR","SIN REPORTE EYR")))</f>
        <v>#REF!</v>
      </c>
    </row>
    <row r="1712" spans="1:30" x14ac:dyDescent="0.3">
      <c r="A1712" s="5" t="s">
        <v>741</v>
      </c>
      <c r="B1712" t="s">
        <v>740</v>
      </c>
      <c r="C1712" s="4" t="s">
        <v>739</v>
      </c>
      <c r="D1712" t="s">
        <v>77</v>
      </c>
      <c r="F1712" t="s">
        <v>0</v>
      </c>
      <c r="G1712" s="3">
        <v>8093545895</v>
      </c>
      <c r="H1712" s="2">
        <v>46140</v>
      </c>
      <c r="K1712" s="1">
        <f ca="1">IF(A1712="","",IF(OR(L1712="ENTREGADA",L1712="RETORNADA",L1712="ENTREGA DIGITAL"),0,MAX(0,5-NETWORKDAYS(H1712+1,TODAY()))))</f>
        <v>2</v>
      </c>
      <c r="L1712">
        <f>IF(A1712="","",IFERROR(LOOKUP(2,1/(#REF!=Z1712),#REF!),Y1712))</f>
        <v>0</v>
      </c>
      <c r="Z1712" t="str">
        <f>IF(A1712="","",TEXT(A1712,"0")&amp;"|"&amp;TEXT(H1712,"0"))</f>
        <v>4921017687626310|46140</v>
      </c>
      <c r="AA1712" t="str">
        <f>IF(Z1712="","",IFERROR(LOOKUP(2,1/(#REF!=Z1712),#REF!),""))</f>
        <v/>
      </c>
      <c r="AB1712" t="str">
        <f>IF(Z1712="","",IFERROR(LOOKUP(2,1/(#REF!=Z1712),#REF!),""))</f>
        <v/>
      </c>
      <c r="AC1712" t="e">
        <f>IF(Z1712="","",COUNTIF(#REF!,Z1712))</f>
        <v>#REF!</v>
      </c>
      <c r="AD1712" t="e">
        <f>IF(A1712="","",IF(AC1712&gt;1,"REVISAR DUPLICADO",IF(AA1712&lt;&gt;"","ACTUALIZADO POR EYR","SIN REPORTE EYR")))</f>
        <v>#REF!</v>
      </c>
    </row>
    <row r="1713" spans="1:30" x14ac:dyDescent="0.3">
      <c r="A1713" s="5" t="s">
        <v>738</v>
      </c>
      <c r="B1713" t="s">
        <v>737</v>
      </c>
      <c r="C1713" s="4" t="s">
        <v>736</v>
      </c>
      <c r="D1713" t="s">
        <v>77</v>
      </c>
      <c r="F1713" t="s">
        <v>13</v>
      </c>
      <c r="G1713" s="3">
        <v>8099849280</v>
      </c>
      <c r="H1713" s="2">
        <v>46140</v>
      </c>
      <c r="K1713" s="1">
        <f ca="1">IF(A1713="","",IF(OR(L1713="ENTREGADA",L1713="RETORNADA",L1713="ENTREGA DIGITAL"),0,MAX(0,5-NETWORKDAYS(H1713+1,TODAY()))))</f>
        <v>2</v>
      </c>
      <c r="L1713">
        <f>IF(A1713="","",IFERROR(LOOKUP(2,1/(#REF!=Z1713),#REF!),Y1713))</f>
        <v>0</v>
      </c>
      <c r="Z1713" t="str">
        <f>IF(A1713="","",TEXT(A1713,"0")&amp;"|"&amp;TEXT(H1713,"0"))</f>
        <v>4966017924934700|46140</v>
      </c>
      <c r="AA1713" t="str">
        <f>IF(Z1713="","",IFERROR(LOOKUP(2,1/(#REF!=Z1713),#REF!),""))</f>
        <v/>
      </c>
      <c r="AB1713" t="str">
        <f>IF(Z1713="","",IFERROR(LOOKUP(2,1/(#REF!=Z1713),#REF!),""))</f>
        <v/>
      </c>
      <c r="AC1713" t="e">
        <f>IF(Z1713="","",COUNTIF(#REF!,Z1713))</f>
        <v>#REF!</v>
      </c>
      <c r="AD1713" t="e">
        <f>IF(A1713="","",IF(AC1713&gt;1,"REVISAR DUPLICADO",IF(AA1713&lt;&gt;"","ACTUALIZADO POR EYR","SIN REPORTE EYR")))</f>
        <v>#REF!</v>
      </c>
    </row>
    <row r="1714" spans="1:30" x14ac:dyDescent="0.3">
      <c r="A1714" s="5" t="s">
        <v>735</v>
      </c>
      <c r="B1714" t="s">
        <v>734</v>
      </c>
      <c r="C1714" s="4" t="s">
        <v>733</v>
      </c>
      <c r="D1714" t="s">
        <v>77</v>
      </c>
      <c r="E1714" t="s">
        <v>214</v>
      </c>
      <c r="F1714" t="s">
        <v>391</v>
      </c>
      <c r="G1714" s="3">
        <v>8298444859</v>
      </c>
      <c r="H1714" s="2">
        <v>46140</v>
      </c>
      <c r="K1714" s="1">
        <f ca="1">IF(A1714="","",IF(OR(L1714="ENTREGADA",L1714="RETORNADA",L1714="ENTREGA DIGITAL"),0,MAX(0,5-NETWORKDAYS(H1714+1,TODAY()))))</f>
        <v>2</v>
      </c>
      <c r="L1714">
        <f>IF(A1714="","",IFERROR(LOOKUP(2,1/(#REF!=Z1714),#REF!),Y1714))</f>
        <v>0</v>
      </c>
      <c r="Z1714" t="str">
        <f>IF(A1714="","",TEXT(A1714,"0")&amp;"|"&amp;TEXT(H1714,"0"))</f>
        <v>4025017931850640|46140</v>
      </c>
      <c r="AA1714" t="str">
        <f>IF(Z1714="","",IFERROR(LOOKUP(2,1/(#REF!=Z1714),#REF!),""))</f>
        <v/>
      </c>
      <c r="AB1714" t="str">
        <f>IF(Z1714="","",IFERROR(LOOKUP(2,1/(#REF!=Z1714),#REF!),""))</f>
        <v/>
      </c>
      <c r="AC1714" t="e">
        <f>IF(Z1714="","",COUNTIF(#REF!,Z1714))</f>
        <v>#REF!</v>
      </c>
      <c r="AD1714" t="e">
        <f>IF(A1714="","",IF(AC1714&gt;1,"REVISAR DUPLICADO",IF(AA1714&lt;&gt;"","ACTUALIZADO POR EYR","SIN REPORTE EYR")))</f>
        <v>#REF!</v>
      </c>
    </row>
    <row r="1715" spans="1:30" x14ac:dyDescent="0.3">
      <c r="A1715" s="5" t="s">
        <v>732</v>
      </c>
      <c r="B1715" t="s">
        <v>731</v>
      </c>
      <c r="C1715" s="4" t="s">
        <v>730</v>
      </c>
      <c r="D1715" t="s">
        <v>77</v>
      </c>
      <c r="F1715" t="s">
        <v>150</v>
      </c>
      <c r="G1715" s="3">
        <v>8297865939</v>
      </c>
      <c r="H1715" s="2">
        <v>46140</v>
      </c>
      <c r="K1715" s="1">
        <f ca="1">IF(A1715="","",IF(OR(L1715="ENTREGADA",L1715="RETORNADA",L1715="ENTREGA DIGITAL"),0,MAX(0,5-NETWORKDAYS(H1715+1,TODAY()))))</f>
        <v>2</v>
      </c>
      <c r="L1715">
        <f>IF(A1715="","",IFERROR(LOOKUP(2,1/(#REF!=Z1715),#REF!),Y1715))</f>
        <v>0</v>
      </c>
      <c r="Z1715" t="str">
        <f>IF(A1715="","",TEXT(A1715,"0")&amp;"|"&amp;TEXT(H1715,"0"))</f>
        <v>5415017926463390|46140</v>
      </c>
      <c r="AA1715" t="str">
        <f>IF(Z1715="","",IFERROR(LOOKUP(2,1/(#REF!=Z1715),#REF!),""))</f>
        <v/>
      </c>
      <c r="AB1715" t="str">
        <f>IF(Z1715="","",IFERROR(LOOKUP(2,1/(#REF!=Z1715),#REF!),""))</f>
        <v/>
      </c>
      <c r="AC1715" t="e">
        <f>IF(Z1715="","",COUNTIF(#REF!,Z1715))</f>
        <v>#REF!</v>
      </c>
      <c r="AD1715" t="e">
        <f>IF(A1715="","",IF(AC1715&gt;1,"REVISAR DUPLICADO",IF(AA1715&lt;&gt;"","ACTUALIZADO POR EYR","SIN REPORTE EYR")))</f>
        <v>#REF!</v>
      </c>
    </row>
    <row r="1716" spans="1:30" x14ac:dyDescent="0.3">
      <c r="A1716" s="5" t="s">
        <v>729</v>
      </c>
      <c r="B1716" t="s">
        <v>728</v>
      </c>
      <c r="C1716" s="4" t="s">
        <v>727</v>
      </c>
      <c r="D1716" t="s">
        <v>77</v>
      </c>
      <c r="F1716" t="s">
        <v>13</v>
      </c>
      <c r="G1716" s="3">
        <v>8097623166</v>
      </c>
      <c r="H1716" s="2">
        <v>46140</v>
      </c>
      <c r="K1716" s="1">
        <f ca="1">IF(A1716="","",IF(OR(L1716="ENTREGADA",L1716="RETORNADA",L1716="ENTREGA DIGITAL"),0,MAX(0,5-NETWORKDAYS(H1716+1,TODAY()))))</f>
        <v>2</v>
      </c>
      <c r="L1716">
        <f>IF(A1716="","",IFERROR(LOOKUP(2,1/(#REF!=Z1716),#REF!),Y1716))</f>
        <v>0</v>
      </c>
      <c r="Z1716" t="str">
        <f>IF(A1716="","",TEXT(A1716,"0")&amp;"|"&amp;TEXT(H1716,"0"))</f>
        <v>4921017931467080|46140</v>
      </c>
      <c r="AA1716" t="str">
        <f>IF(Z1716="","",IFERROR(LOOKUP(2,1/(#REF!=Z1716),#REF!),""))</f>
        <v/>
      </c>
      <c r="AB1716" t="str">
        <f>IF(Z1716="","",IFERROR(LOOKUP(2,1/(#REF!=Z1716),#REF!),""))</f>
        <v/>
      </c>
      <c r="AC1716" t="e">
        <f>IF(Z1716="","",COUNTIF(#REF!,Z1716))</f>
        <v>#REF!</v>
      </c>
      <c r="AD1716" t="e">
        <f>IF(A1716="","",IF(AC1716&gt;1,"REVISAR DUPLICADO",IF(AA1716&lt;&gt;"","ACTUALIZADO POR EYR","SIN REPORTE EYR")))</f>
        <v>#REF!</v>
      </c>
    </row>
    <row r="1717" spans="1:30" x14ac:dyDescent="0.3">
      <c r="A1717" s="5" t="s">
        <v>726</v>
      </c>
      <c r="B1717" t="s">
        <v>725</v>
      </c>
      <c r="C1717" s="4" t="s">
        <v>724</v>
      </c>
      <c r="D1717" t="s">
        <v>77</v>
      </c>
      <c r="E1717" t="s">
        <v>214</v>
      </c>
      <c r="F1717" t="s">
        <v>391</v>
      </c>
      <c r="G1717" s="3">
        <v>8294199087</v>
      </c>
      <c r="H1717" s="2">
        <v>46140</v>
      </c>
      <c r="K1717" s="1">
        <f ca="1">IF(A1717="","",IF(OR(L1717="ENTREGADA",L1717="RETORNADA",L1717="ENTREGA DIGITAL"),0,MAX(0,5-NETWORKDAYS(H1717+1,TODAY()))))</f>
        <v>2</v>
      </c>
      <c r="L1717">
        <f>IF(A1717="","",IFERROR(LOOKUP(2,1/(#REF!=Z1717),#REF!),Y1717))</f>
        <v>0</v>
      </c>
      <c r="Z1717" t="str">
        <f>IF(A1717="","",TEXT(A1717,"0")&amp;"|"&amp;TEXT(H1717,"0"))</f>
        <v>4921017930319780|46140</v>
      </c>
      <c r="AA1717" t="str">
        <f>IF(Z1717="","",IFERROR(LOOKUP(2,1/(#REF!=Z1717),#REF!),""))</f>
        <v/>
      </c>
      <c r="AB1717" t="str">
        <f>IF(Z1717="","",IFERROR(LOOKUP(2,1/(#REF!=Z1717),#REF!),""))</f>
        <v/>
      </c>
      <c r="AC1717" t="e">
        <f>IF(Z1717="","",COUNTIF(#REF!,Z1717))</f>
        <v>#REF!</v>
      </c>
      <c r="AD1717" t="e">
        <f>IF(A1717="","",IF(AC1717&gt;1,"REVISAR DUPLICADO",IF(AA1717&lt;&gt;"","ACTUALIZADO POR EYR","SIN REPORTE EYR")))</f>
        <v>#REF!</v>
      </c>
    </row>
    <row r="1718" spans="1:30" x14ac:dyDescent="0.3">
      <c r="A1718" s="5" t="s">
        <v>723</v>
      </c>
      <c r="B1718" t="s">
        <v>722</v>
      </c>
      <c r="C1718" s="4" t="s">
        <v>721</v>
      </c>
      <c r="D1718" t="s">
        <v>77</v>
      </c>
      <c r="F1718" t="s">
        <v>13</v>
      </c>
      <c r="G1718" s="3">
        <v>8298640942</v>
      </c>
      <c r="H1718" s="2">
        <v>46140</v>
      </c>
      <c r="K1718" s="1">
        <f ca="1">IF(A1718="","",IF(OR(L1718="ENTREGADA",L1718="RETORNADA",L1718="ENTREGA DIGITAL"),0,MAX(0,5-NETWORKDAYS(H1718+1,TODAY()))))</f>
        <v>2</v>
      </c>
      <c r="L1718">
        <f>IF(A1718="","",IFERROR(LOOKUP(2,1/(#REF!=Z1718),#REF!),Y1718))</f>
        <v>0</v>
      </c>
      <c r="Z1718" t="str">
        <f>IF(A1718="","",TEXT(A1718,"0")&amp;"|"&amp;TEXT(H1718,"0"))</f>
        <v>4921017930552990|46140</v>
      </c>
      <c r="AA1718" t="str">
        <f>IF(Z1718="","",IFERROR(LOOKUP(2,1/(#REF!=Z1718),#REF!),""))</f>
        <v/>
      </c>
      <c r="AB1718" t="str">
        <f>IF(Z1718="","",IFERROR(LOOKUP(2,1/(#REF!=Z1718),#REF!),""))</f>
        <v/>
      </c>
      <c r="AC1718" t="e">
        <f>IF(Z1718="","",COUNTIF(#REF!,Z1718))</f>
        <v>#REF!</v>
      </c>
      <c r="AD1718" t="e">
        <f>IF(A1718="","",IF(AC1718&gt;1,"REVISAR DUPLICADO",IF(AA1718&lt;&gt;"","ACTUALIZADO POR EYR","SIN REPORTE EYR")))</f>
        <v>#REF!</v>
      </c>
    </row>
    <row r="1719" spans="1:30" x14ac:dyDescent="0.3">
      <c r="A1719" s="5" t="s">
        <v>720</v>
      </c>
      <c r="B1719" t="s">
        <v>719</v>
      </c>
      <c r="C1719" s="4" t="s">
        <v>718</v>
      </c>
      <c r="D1719" t="s">
        <v>77</v>
      </c>
      <c r="E1719" t="s">
        <v>214</v>
      </c>
      <c r="F1719" t="s">
        <v>391</v>
      </c>
      <c r="G1719" s="3">
        <v>8092015143</v>
      </c>
      <c r="H1719" s="2">
        <v>46140</v>
      </c>
      <c r="K1719" s="1">
        <f ca="1">IF(A1719="","",IF(OR(L1719="ENTREGADA",L1719="RETORNADA",L1719="ENTREGA DIGITAL"),0,MAX(0,5-NETWORKDAYS(H1719+1,TODAY()))))</f>
        <v>2</v>
      </c>
      <c r="L1719">
        <f>IF(A1719="","",IFERROR(LOOKUP(2,1/(#REF!=Z1719),#REF!),Y1719))</f>
        <v>0</v>
      </c>
      <c r="Z1719" t="str">
        <f>IF(A1719="","",TEXT(A1719,"0")&amp;"|"&amp;TEXT(H1719,"0"))</f>
        <v>4921017930157310|46140</v>
      </c>
      <c r="AA1719" t="str">
        <f>IF(Z1719="","",IFERROR(LOOKUP(2,1/(#REF!=Z1719),#REF!),""))</f>
        <v/>
      </c>
      <c r="AB1719" t="str">
        <f>IF(Z1719="","",IFERROR(LOOKUP(2,1/(#REF!=Z1719),#REF!),""))</f>
        <v/>
      </c>
      <c r="AC1719" t="e">
        <f>IF(Z1719="","",COUNTIF(#REF!,Z1719))</f>
        <v>#REF!</v>
      </c>
      <c r="AD1719" t="e">
        <f>IF(A1719="","",IF(AC1719&gt;1,"REVISAR DUPLICADO",IF(AA1719&lt;&gt;"","ACTUALIZADO POR EYR","SIN REPORTE EYR")))</f>
        <v>#REF!</v>
      </c>
    </row>
    <row r="1720" spans="1:30" x14ac:dyDescent="0.3">
      <c r="A1720" s="5" t="s">
        <v>717</v>
      </c>
      <c r="B1720" t="s">
        <v>130</v>
      </c>
      <c r="C1720" s="4" t="s">
        <v>129</v>
      </c>
      <c r="D1720" t="s">
        <v>77</v>
      </c>
      <c r="F1720" t="s">
        <v>13</v>
      </c>
      <c r="G1720" s="3">
        <v>8097296283</v>
      </c>
      <c r="H1720" s="2">
        <v>46140</v>
      </c>
      <c r="K1720" s="1">
        <f ca="1">IF(A1720="","",IF(OR(L1720="ENTREGADA",L1720="RETORNADA",L1720="ENTREGA DIGITAL"),0,MAX(0,5-NETWORKDAYS(H1720+1,TODAY()))))</f>
        <v>2</v>
      </c>
      <c r="L1720">
        <f>IF(A1720="","",IFERROR(LOOKUP(2,1/(#REF!=Z1720),#REF!),Y1720))</f>
        <v>0</v>
      </c>
      <c r="Z1720" t="str">
        <f>IF(A1720="","",TEXT(A1720,"0")&amp;"|"&amp;TEXT(H1720,"0"))</f>
        <v>4921017930675740|46140</v>
      </c>
      <c r="AA1720" t="str">
        <f>IF(Z1720="","",IFERROR(LOOKUP(2,1/(#REF!=Z1720),#REF!),""))</f>
        <v/>
      </c>
      <c r="AB1720" t="str">
        <f>IF(Z1720="","",IFERROR(LOOKUP(2,1/(#REF!=Z1720),#REF!),""))</f>
        <v/>
      </c>
      <c r="AC1720" t="e">
        <f>IF(Z1720="","",COUNTIF(#REF!,Z1720))</f>
        <v>#REF!</v>
      </c>
      <c r="AD1720" t="e">
        <f>IF(A1720="","",IF(AC1720&gt;1,"REVISAR DUPLICADO",IF(AA1720&lt;&gt;"","ACTUALIZADO POR EYR","SIN REPORTE EYR")))</f>
        <v>#REF!</v>
      </c>
    </row>
    <row r="1721" spans="1:30" x14ac:dyDescent="0.3">
      <c r="A1721" s="5" t="s">
        <v>716</v>
      </c>
      <c r="B1721" t="s">
        <v>715</v>
      </c>
      <c r="C1721" s="4" t="s">
        <v>714</v>
      </c>
      <c r="D1721" t="s">
        <v>21</v>
      </c>
      <c r="F1721" t="s">
        <v>13</v>
      </c>
      <c r="G1721" s="3">
        <v>8295222108</v>
      </c>
      <c r="H1721" s="2">
        <v>46140</v>
      </c>
      <c r="K1721" s="1">
        <f ca="1">IF(A1721="","",IF(OR(L1721="ENTREGADA",L1721="RETORNADA",L1721="ENTREGA DIGITAL"),0,MAX(0,5-NETWORKDAYS(H1721+1,TODAY()))))</f>
        <v>2</v>
      </c>
      <c r="L1721">
        <f>IF(A1721="","",IFERROR(LOOKUP(2,1/(#REF!=Z1721),#REF!),Y1721))</f>
        <v>0</v>
      </c>
      <c r="Z1721" t="str">
        <f>IF(A1721="","",TEXT(A1721,"0")&amp;"|"&amp;TEXT(H1721,"0"))</f>
        <v>4921017930970410|46140</v>
      </c>
      <c r="AA1721" t="str">
        <f>IF(Z1721="","",IFERROR(LOOKUP(2,1/(#REF!=Z1721),#REF!),""))</f>
        <v/>
      </c>
      <c r="AB1721" t="str">
        <f>IF(Z1721="","",IFERROR(LOOKUP(2,1/(#REF!=Z1721),#REF!),""))</f>
        <v/>
      </c>
      <c r="AC1721" t="e">
        <f>IF(Z1721="","",COUNTIF(#REF!,Z1721))</f>
        <v>#REF!</v>
      </c>
      <c r="AD1721" t="e">
        <f>IF(A1721="","",IF(AC1721&gt;1,"REVISAR DUPLICADO",IF(AA1721&lt;&gt;"","ACTUALIZADO POR EYR","SIN REPORTE EYR")))</f>
        <v>#REF!</v>
      </c>
    </row>
    <row r="1722" spans="1:30" x14ac:dyDescent="0.3">
      <c r="A1722" s="5" t="s">
        <v>713</v>
      </c>
      <c r="B1722" t="s">
        <v>712</v>
      </c>
      <c r="C1722" s="4" t="s">
        <v>711</v>
      </c>
      <c r="D1722" t="s">
        <v>21</v>
      </c>
      <c r="F1722" t="s">
        <v>13</v>
      </c>
      <c r="G1722" s="3">
        <v>8292937574</v>
      </c>
      <c r="H1722" s="2">
        <v>46140</v>
      </c>
      <c r="K1722" s="1">
        <f ca="1">IF(A1722="","",IF(OR(L1722="ENTREGADA",L1722="RETORNADA",L1722="ENTREGA DIGITAL"),0,MAX(0,5-NETWORKDAYS(H1722+1,TODAY()))))</f>
        <v>2</v>
      </c>
      <c r="L1722">
        <f>IF(A1722="","",IFERROR(LOOKUP(2,1/(#REF!=Z1722),#REF!),Y1722))</f>
        <v>0</v>
      </c>
      <c r="Z1722" t="str">
        <f>IF(A1722="","",TEXT(A1722,"0")&amp;"|"&amp;TEXT(H1722,"0"))</f>
        <v>4921017931366760|46140</v>
      </c>
      <c r="AA1722" t="str">
        <f>IF(Z1722="","",IFERROR(LOOKUP(2,1/(#REF!=Z1722),#REF!),""))</f>
        <v/>
      </c>
      <c r="AB1722" t="str">
        <f>IF(Z1722="","",IFERROR(LOOKUP(2,1/(#REF!=Z1722),#REF!),""))</f>
        <v/>
      </c>
      <c r="AC1722" t="e">
        <f>IF(Z1722="","",COUNTIF(#REF!,Z1722))</f>
        <v>#REF!</v>
      </c>
      <c r="AD1722" t="e">
        <f>IF(A1722="","",IF(AC1722&gt;1,"REVISAR DUPLICADO",IF(AA1722&lt;&gt;"","ACTUALIZADO POR EYR","SIN REPORTE EYR")))</f>
        <v>#REF!</v>
      </c>
    </row>
    <row r="1723" spans="1:30" x14ac:dyDescent="0.3">
      <c r="A1723" s="5" t="s">
        <v>710</v>
      </c>
      <c r="B1723" t="s">
        <v>709</v>
      </c>
      <c r="C1723" s="4" t="s">
        <v>708</v>
      </c>
      <c r="D1723" t="s">
        <v>21</v>
      </c>
      <c r="F1723" t="s">
        <v>13</v>
      </c>
      <c r="G1723" s="3">
        <v>8494793854</v>
      </c>
      <c r="H1723" s="2">
        <v>46140</v>
      </c>
      <c r="K1723" s="1">
        <f ca="1">IF(A1723="","",IF(OR(L1723="ENTREGADA",L1723="RETORNADA",L1723="ENTREGA DIGITAL"),0,MAX(0,5-NETWORKDAYS(H1723+1,TODAY()))))</f>
        <v>2</v>
      </c>
      <c r="L1723">
        <f>IF(A1723="","",IFERROR(LOOKUP(2,1/(#REF!=Z1723),#REF!),Y1723))</f>
        <v>0</v>
      </c>
      <c r="Z1723" t="str">
        <f>IF(A1723="","",TEXT(A1723,"0")&amp;"|"&amp;TEXT(H1723,"0"))</f>
        <v>4921017928947530|46140</v>
      </c>
      <c r="AA1723" t="str">
        <f>IF(Z1723="","",IFERROR(LOOKUP(2,1/(#REF!=Z1723),#REF!),""))</f>
        <v/>
      </c>
      <c r="AB1723" t="str">
        <f>IF(Z1723="","",IFERROR(LOOKUP(2,1/(#REF!=Z1723),#REF!),""))</f>
        <v/>
      </c>
      <c r="AC1723" t="e">
        <f>IF(Z1723="","",COUNTIF(#REF!,Z1723))</f>
        <v>#REF!</v>
      </c>
      <c r="AD1723" t="e">
        <f>IF(A1723="","",IF(AC1723&gt;1,"REVISAR DUPLICADO",IF(AA1723&lt;&gt;"","ACTUALIZADO POR EYR","SIN REPORTE EYR")))</f>
        <v>#REF!</v>
      </c>
    </row>
    <row r="1724" spans="1:30" x14ac:dyDescent="0.3">
      <c r="A1724" s="5" t="s">
        <v>707</v>
      </c>
      <c r="B1724" t="s">
        <v>706</v>
      </c>
      <c r="C1724" s="4" t="s">
        <v>705</v>
      </c>
      <c r="D1724" t="s">
        <v>21</v>
      </c>
      <c r="F1724" t="s">
        <v>704</v>
      </c>
      <c r="G1724" s="3">
        <v>8495196580</v>
      </c>
      <c r="H1724" s="2">
        <v>46140</v>
      </c>
      <c r="K1724" s="1">
        <f ca="1">IF(A1724="","",IF(OR(L1724="ENTREGADA",L1724="RETORNADA",L1724="ENTREGA DIGITAL"),0,MAX(0,5-NETWORKDAYS(H1724+1,TODAY()))))</f>
        <v>2</v>
      </c>
      <c r="L1724">
        <f>IF(A1724="","",IFERROR(LOOKUP(2,1/(#REF!=Z1724),#REF!),Y1724))</f>
        <v>0</v>
      </c>
      <c r="Z1724" t="str">
        <f>IF(A1724="","",TEXT(A1724,"0")&amp;"|"&amp;TEXT(H1724,"0"))</f>
        <v>5415017927402730|46140</v>
      </c>
      <c r="AA1724" t="str">
        <f>IF(Z1724="","",IFERROR(LOOKUP(2,1/(#REF!=Z1724),#REF!),""))</f>
        <v/>
      </c>
      <c r="AB1724" t="str">
        <f>IF(Z1724="","",IFERROR(LOOKUP(2,1/(#REF!=Z1724),#REF!),""))</f>
        <v/>
      </c>
      <c r="AC1724" t="e">
        <f>IF(Z1724="","",COUNTIF(#REF!,Z1724))</f>
        <v>#REF!</v>
      </c>
      <c r="AD1724" t="e">
        <f>IF(A1724="","",IF(AC1724&gt;1,"REVISAR DUPLICADO",IF(AA1724&lt;&gt;"","ACTUALIZADO POR EYR","SIN REPORTE EYR")))</f>
        <v>#REF!</v>
      </c>
    </row>
    <row r="1725" spans="1:30" x14ac:dyDescent="0.3">
      <c r="A1725" s="5" t="s">
        <v>703</v>
      </c>
      <c r="B1725" t="s">
        <v>702</v>
      </c>
      <c r="C1725" s="4" t="s">
        <v>701</v>
      </c>
      <c r="D1725" t="s">
        <v>21</v>
      </c>
      <c r="F1725" t="s">
        <v>13</v>
      </c>
      <c r="G1725" s="3">
        <v>8294013078</v>
      </c>
      <c r="H1725" s="2">
        <v>46140</v>
      </c>
      <c r="K1725" s="1">
        <f ca="1">IF(A1725="","",IF(OR(L1725="ENTREGADA",L1725="RETORNADA",L1725="ENTREGA DIGITAL"),0,MAX(0,5-NETWORKDAYS(H1725+1,TODAY()))))</f>
        <v>2</v>
      </c>
      <c r="L1725">
        <f>IF(A1725="","",IFERROR(LOOKUP(2,1/(#REF!=Z1725),#REF!),Y1725))</f>
        <v>0</v>
      </c>
      <c r="Z1725" t="str">
        <f>IF(A1725="","",TEXT(A1725,"0")&amp;"|"&amp;TEXT(H1725,"0"))</f>
        <v>4921017928957290|46140</v>
      </c>
      <c r="AA1725" t="str">
        <f>IF(Z1725="","",IFERROR(LOOKUP(2,1/(#REF!=Z1725),#REF!),""))</f>
        <v/>
      </c>
      <c r="AB1725" t="str">
        <f>IF(Z1725="","",IFERROR(LOOKUP(2,1/(#REF!=Z1725),#REF!),""))</f>
        <v/>
      </c>
      <c r="AC1725" t="e">
        <f>IF(Z1725="","",COUNTIF(#REF!,Z1725))</f>
        <v>#REF!</v>
      </c>
      <c r="AD1725" t="e">
        <f>IF(A1725="","",IF(AC1725&gt;1,"REVISAR DUPLICADO",IF(AA1725&lt;&gt;"","ACTUALIZADO POR EYR","SIN REPORTE EYR")))</f>
        <v>#REF!</v>
      </c>
    </row>
    <row r="1726" spans="1:30" x14ac:dyDescent="0.3">
      <c r="A1726" s="5" t="s">
        <v>700</v>
      </c>
      <c r="B1726" t="s">
        <v>699</v>
      </c>
      <c r="C1726" s="4" t="s">
        <v>698</v>
      </c>
      <c r="D1726" t="s">
        <v>21</v>
      </c>
      <c r="F1726" t="s">
        <v>13</v>
      </c>
      <c r="G1726" s="3">
        <v>8294975145</v>
      </c>
      <c r="H1726" s="2">
        <v>46140</v>
      </c>
      <c r="K1726" s="1">
        <f ca="1">IF(A1726="","",IF(OR(L1726="ENTREGADA",L1726="RETORNADA",L1726="ENTREGA DIGITAL"),0,MAX(0,5-NETWORKDAYS(H1726+1,TODAY()))))</f>
        <v>2</v>
      </c>
      <c r="L1726">
        <f>IF(A1726="","",IFERROR(LOOKUP(2,1/(#REF!=Z1726),#REF!),Y1726))</f>
        <v>0</v>
      </c>
      <c r="Z1726" t="str">
        <f>IF(A1726="","",TEXT(A1726,"0")&amp;"|"&amp;TEXT(H1726,"0"))</f>
        <v>5188017928599540|46140</v>
      </c>
      <c r="AA1726" t="str">
        <f>IF(Z1726="","",IFERROR(LOOKUP(2,1/(#REF!=Z1726),#REF!),""))</f>
        <v/>
      </c>
      <c r="AB1726" t="str">
        <f>IF(Z1726="","",IFERROR(LOOKUP(2,1/(#REF!=Z1726),#REF!),""))</f>
        <v/>
      </c>
      <c r="AC1726" t="e">
        <f>IF(Z1726="","",COUNTIF(#REF!,Z1726))</f>
        <v>#REF!</v>
      </c>
      <c r="AD1726" t="e">
        <f>IF(A1726="","",IF(AC1726&gt;1,"REVISAR DUPLICADO",IF(AA1726&lt;&gt;"","ACTUALIZADO POR EYR","SIN REPORTE EYR")))</f>
        <v>#REF!</v>
      </c>
    </row>
    <row r="1727" spans="1:30" x14ac:dyDescent="0.3">
      <c r="A1727" s="5" t="s">
        <v>697</v>
      </c>
      <c r="B1727" t="s">
        <v>696</v>
      </c>
      <c r="C1727" s="4" t="s">
        <v>695</v>
      </c>
      <c r="D1727" t="s">
        <v>21</v>
      </c>
      <c r="F1727" t="s">
        <v>694</v>
      </c>
      <c r="G1727" s="3">
        <v>8096124652</v>
      </c>
      <c r="H1727" s="2">
        <v>46140</v>
      </c>
      <c r="K1727" s="1">
        <f ca="1">IF(A1727="","",IF(OR(L1727="ENTREGADA",L1727="RETORNADA",L1727="ENTREGA DIGITAL"),0,MAX(0,5-NETWORKDAYS(H1727+1,TODAY()))))</f>
        <v>2</v>
      </c>
      <c r="L1727">
        <f>IF(A1727="","",IFERROR(LOOKUP(2,1/(#REF!=Z1727),#REF!),Y1727))</f>
        <v>0</v>
      </c>
      <c r="Z1727" t="str">
        <f>IF(A1727="","",TEXT(A1727,"0")&amp;"|"&amp;TEXT(H1727,"0"))</f>
        <v>5192017928721920|46140</v>
      </c>
      <c r="AA1727" t="str">
        <f>IF(Z1727="","",IFERROR(LOOKUP(2,1/(#REF!=Z1727),#REF!),""))</f>
        <v/>
      </c>
      <c r="AB1727" t="str">
        <f>IF(Z1727="","",IFERROR(LOOKUP(2,1/(#REF!=Z1727),#REF!),""))</f>
        <v/>
      </c>
      <c r="AC1727" t="e">
        <f>IF(Z1727="","",COUNTIF(#REF!,Z1727))</f>
        <v>#REF!</v>
      </c>
      <c r="AD1727" t="e">
        <f>IF(A1727="","",IF(AC1727&gt;1,"REVISAR DUPLICADO",IF(AA1727&lt;&gt;"","ACTUALIZADO POR EYR","SIN REPORTE EYR")))</f>
        <v>#REF!</v>
      </c>
    </row>
    <row r="1728" spans="1:30" x14ac:dyDescent="0.3">
      <c r="A1728" s="5" t="s">
        <v>693</v>
      </c>
      <c r="B1728" t="s">
        <v>692</v>
      </c>
      <c r="C1728" s="4" t="s">
        <v>691</v>
      </c>
      <c r="D1728" t="s">
        <v>21</v>
      </c>
      <c r="E1728" t="s">
        <v>21</v>
      </c>
      <c r="F1728" t="s">
        <v>62</v>
      </c>
      <c r="G1728" s="3">
        <v>8095269966</v>
      </c>
      <c r="H1728" s="2">
        <v>46140</v>
      </c>
      <c r="K1728" s="1">
        <f ca="1">IF(A1728="","",IF(OR(L1728="ENTREGADA",L1728="RETORNADA",L1728="ENTREGA DIGITAL"),0,MAX(0,5-NETWORKDAYS(H1728+1,TODAY()))))</f>
        <v>2</v>
      </c>
      <c r="L1728">
        <f>IF(A1728="","",IFERROR(LOOKUP(2,1/(#REF!=Z1728),#REF!),Y1728))</f>
        <v>0</v>
      </c>
      <c r="Z1728" t="str">
        <f>IF(A1728="","",TEXT(A1728,"0")&amp;"|"&amp;TEXT(H1728,"0"))</f>
        <v>5400017927789130|46140</v>
      </c>
      <c r="AA1728" t="str">
        <f>IF(Z1728="","",IFERROR(LOOKUP(2,1/(#REF!=Z1728),#REF!),""))</f>
        <v/>
      </c>
      <c r="AB1728" t="str">
        <f>IF(Z1728="","",IFERROR(LOOKUP(2,1/(#REF!=Z1728),#REF!),""))</f>
        <v/>
      </c>
      <c r="AC1728" t="e">
        <f>IF(Z1728="","",COUNTIF(#REF!,Z1728))</f>
        <v>#REF!</v>
      </c>
      <c r="AD1728" t="e">
        <f>IF(A1728="","",IF(AC1728&gt;1,"REVISAR DUPLICADO",IF(AA1728&lt;&gt;"","ACTUALIZADO POR EYR","SIN REPORTE EYR")))</f>
        <v>#REF!</v>
      </c>
    </row>
    <row r="1729" spans="1:30" x14ac:dyDescent="0.3">
      <c r="A1729" s="5" t="s">
        <v>690</v>
      </c>
      <c r="B1729" t="s">
        <v>689</v>
      </c>
      <c r="C1729" s="4" t="s">
        <v>688</v>
      </c>
      <c r="D1729" t="s">
        <v>21</v>
      </c>
      <c r="F1729" t="s">
        <v>687</v>
      </c>
      <c r="G1729" s="3">
        <v>8494767085</v>
      </c>
      <c r="H1729" s="2">
        <v>46140</v>
      </c>
      <c r="K1729" s="1">
        <f ca="1">IF(A1729="","",IF(OR(L1729="ENTREGADA",L1729="RETORNADA",L1729="ENTREGA DIGITAL"),0,MAX(0,5-NETWORKDAYS(H1729+1,TODAY()))))</f>
        <v>2</v>
      </c>
      <c r="L1729">
        <f>IF(A1729="","",IFERROR(LOOKUP(2,1/(#REF!=Z1729),#REF!),Y1729))</f>
        <v>0</v>
      </c>
      <c r="Z1729" t="str">
        <f>IF(A1729="","",TEXT(A1729,"0")&amp;"|"&amp;TEXT(H1729,"0"))</f>
        <v>5227017928034000|46140</v>
      </c>
      <c r="AA1729" t="str">
        <f>IF(Z1729="","",IFERROR(LOOKUP(2,1/(#REF!=Z1729),#REF!),""))</f>
        <v/>
      </c>
      <c r="AB1729" t="str">
        <f>IF(Z1729="","",IFERROR(LOOKUP(2,1/(#REF!=Z1729),#REF!),""))</f>
        <v/>
      </c>
      <c r="AC1729" t="e">
        <f>IF(Z1729="","",COUNTIF(#REF!,Z1729))</f>
        <v>#REF!</v>
      </c>
      <c r="AD1729" t="e">
        <f>IF(A1729="","",IF(AC1729&gt;1,"REVISAR DUPLICADO",IF(AA1729&lt;&gt;"","ACTUALIZADO POR EYR","SIN REPORTE EYR")))</f>
        <v>#REF!</v>
      </c>
    </row>
    <row r="1730" spans="1:30" x14ac:dyDescent="0.3">
      <c r="A1730" s="5" t="s">
        <v>686</v>
      </c>
      <c r="B1730" t="s">
        <v>685</v>
      </c>
      <c r="C1730" s="4" t="s">
        <v>684</v>
      </c>
      <c r="D1730" t="s">
        <v>21</v>
      </c>
      <c r="F1730" t="s">
        <v>269</v>
      </c>
      <c r="G1730" s="3">
        <v>8293328313</v>
      </c>
      <c r="H1730" s="2">
        <v>46140</v>
      </c>
      <c r="K1730" s="1">
        <f ca="1">IF(A1730="","",IF(OR(L1730="ENTREGADA",L1730="RETORNADA",L1730="ENTREGA DIGITAL"),0,MAX(0,5-NETWORKDAYS(H1730+1,TODAY()))))</f>
        <v>2</v>
      </c>
      <c r="L1730">
        <f>IF(A1730="","",IFERROR(LOOKUP(2,1/(#REF!=Z1730),#REF!),Y1730))</f>
        <v>0</v>
      </c>
      <c r="Z1730" t="str">
        <f>IF(A1730="","",TEXT(A1730,"0")&amp;"|"&amp;TEXT(H1730,"0"))</f>
        <v>5427017928098520|46140</v>
      </c>
      <c r="AA1730" t="str">
        <f>IF(Z1730="","",IFERROR(LOOKUP(2,1/(#REF!=Z1730),#REF!),""))</f>
        <v/>
      </c>
      <c r="AB1730" t="str">
        <f>IF(Z1730="","",IFERROR(LOOKUP(2,1/(#REF!=Z1730),#REF!),""))</f>
        <v/>
      </c>
      <c r="AC1730" t="e">
        <f>IF(Z1730="","",COUNTIF(#REF!,Z1730))</f>
        <v>#REF!</v>
      </c>
      <c r="AD1730" t="e">
        <f>IF(A1730="","",IF(AC1730&gt;1,"REVISAR DUPLICADO",IF(AA1730&lt;&gt;"","ACTUALIZADO POR EYR","SIN REPORTE EYR")))</f>
        <v>#REF!</v>
      </c>
    </row>
    <row r="1731" spans="1:30" x14ac:dyDescent="0.3">
      <c r="A1731" s="5" t="s">
        <v>683</v>
      </c>
      <c r="B1731" t="s">
        <v>682</v>
      </c>
      <c r="C1731" s="4" t="s">
        <v>681</v>
      </c>
      <c r="D1731" t="s">
        <v>21</v>
      </c>
      <c r="F1731" t="s">
        <v>680</v>
      </c>
      <c r="G1731" s="3">
        <v>8298053591</v>
      </c>
      <c r="H1731" s="2">
        <v>46140</v>
      </c>
      <c r="K1731" s="1">
        <f ca="1">IF(A1731="","",IF(OR(L1731="ENTREGADA",L1731="RETORNADA",L1731="ENTREGA DIGITAL"),0,MAX(0,5-NETWORKDAYS(H1731+1,TODAY()))))</f>
        <v>2</v>
      </c>
      <c r="L1731">
        <f>IF(A1731="","",IFERROR(LOOKUP(2,1/(#REF!=Z1731),#REF!),Y1731))</f>
        <v>0</v>
      </c>
      <c r="Z1731" t="str">
        <f>IF(A1731="","",TEXT(A1731,"0")&amp;"|"&amp;TEXT(H1731,"0"))</f>
        <v>4921017930180370|46140</v>
      </c>
      <c r="AA1731" t="str">
        <f>IF(Z1731="","",IFERROR(LOOKUP(2,1/(#REF!=Z1731),#REF!),""))</f>
        <v/>
      </c>
      <c r="AB1731" t="str">
        <f>IF(Z1731="","",IFERROR(LOOKUP(2,1/(#REF!=Z1731),#REF!),""))</f>
        <v/>
      </c>
      <c r="AC1731" t="e">
        <f>IF(Z1731="","",COUNTIF(#REF!,Z1731))</f>
        <v>#REF!</v>
      </c>
      <c r="AD1731" t="e">
        <f>IF(A1731="","",IF(AC1731&gt;1,"REVISAR DUPLICADO",IF(AA1731&lt;&gt;"","ACTUALIZADO POR EYR","SIN REPORTE EYR")))</f>
        <v>#REF!</v>
      </c>
    </row>
    <row r="1732" spans="1:30" x14ac:dyDescent="0.3">
      <c r="A1732" s="5" t="s">
        <v>679</v>
      </c>
      <c r="B1732" t="s">
        <v>678</v>
      </c>
      <c r="C1732" s="4" t="s">
        <v>677</v>
      </c>
      <c r="D1732" t="s">
        <v>21</v>
      </c>
      <c r="F1732" t="s">
        <v>13</v>
      </c>
      <c r="G1732" s="3">
        <v>8492482000</v>
      </c>
      <c r="H1732" s="2">
        <v>46140</v>
      </c>
      <c r="K1732" s="1">
        <f ca="1">IF(A1732="","",IF(OR(L1732="ENTREGADA",L1732="RETORNADA",L1732="ENTREGA DIGITAL"),0,MAX(0,5-NETWORKDAYS(H1732+1,TODAY()))))</f>
        <v>2</v>
      </c>
      <c r="L1732">
        <f>IF(A1732="","",IFERROR(LOOKUP(2,1/(#REF!=Z1732),#REF!),Y1732))</f>
        <v>0</v>
      </c>
      <c r="Z1732" t="str">
        <f>IF(A1732="","",TEXT(A1732,"0")&amp;"|"&amp;TEXT(H1732,"0"))</f>
        <v>4921017930715440|46140</v>
      </c>
      <c r="AA1732" t="str">
        <f>IF(Z1732="","",IFERROR(LOOKUP(2,1/(#REF!=Z1732),#REF!),""))</f>
        <v/>
      </c>
      <c r="AB1732" t="str">
        <f>IF(Z1732="","",IFERROR(LOOKUP(2,1/(#REF!=Z1732),#REF!),""))</f>
        <v/>
      </c>
      <c r="AC1732" t="e">
        <f>IF(Z1732="","",COUNTIF(#REF!,Z1732))</f>
        <v>#REF!</v>
      </c>
      <c r="AD1732" t="e">
        <f>IF(A1732="","",IF(AC1732&gt;1,"REVISAR DUPLICADO",IF(AA1732&lt;&gt;"","ACTUALIZADO POR EYR","SIN REPORTE EYR")))</f>
        <v>#REF!</v>
      </c>
    </row>
    <row r="1733" spans="1:30" x14ac:dyDescent="0.3">
      <c r="A1733" s="5" t="s">
        <v>676</v>
      </c>
      <c r="B1733" t="s">
        <v>675</v>
      </c>
      <c r="C1733" s="4" t="s">
        <v>674</v>
      </c>
      <c r="D1733" t="s">
        <v>21</v>
      </c>
      <c r="F1733" t="s">
        <v>13</v>
      </c>
      <c r="G1733" s="3">
        <v>5657765</v>
      </c>
      <c r="H1733" s="2">
        <v>46140</v>
      </c>
      <c r="K1733" s="1">
        <f ca="1">IF(A1733="","",IF(OR(L1733="ENTREGADA",L1733="RETORNADA",L1733="ENTREGA DIGITAL"),0,MAX(0,5-NETWORKDAYS(H1733+1,TODAY()))))</f>
        <v>2</v>
      </c>
      <c r="L1733">
        <f>IF(A1733="","",IFERROR(LOOKUP(2,1/(#REF!=Z1733),#REF!),Y1733))</f>
        <v>0</v>
      </c>
      <c r="Z1733" t="str">
        <f>IF(A1733="","",TEXT(A1733,"0")&amp;"|"&amp;TEXT(H1733,"0"))</f>
        <v>5415017927396590|46140</v>
      </c>
      <c r="AA1733" t="str">
        <f>IF(Z1733="","",IFERROR(LOOKUP(2,1/(#REF!=Z1733),#REF!),""))</f>
        <v/>
      </c>
      <c r="AB1733" t="str">
        <f>IF(Z1733="","",IFERROR(LOOKUP(2,1/(#REF!=Z1733),#REF!),""))</f>
        <v/>
      </c>
      <c r="AC1733" t="e">
        <f>IF(Z1733="","",COUNTIF(#REF!,Z1733))</f>
        <v>#REF!</v>
      </c>
      <c r="AD1733" t="e">
        <f>IF(A1733="","",IF(AC1733&gt;1,"REVISAR DUPLICADO",IF(AA1733&lt;&gt;"","ACTUALIZADO POR EYR","SIN REPORTE EYR")))</f>
        <v>#REF!</v>
      </c>
    </row>
    <row r="1734" spans="1:30" x14ac:dyDescent="0.3">
      <c r="A1734" s="5" t="s">
        <v>673</v>
      </c>
      <c r="B1734" t="s">
        <v>672</v>
      </c>
      <c r="C1734" s="4" t="s">
        <v>671</v>
      </c>
      <c r="D1734" t="s">
        <v>21</v>
      </c>
      <c r="F1734" t="s">
        <v>0</v>
      </c>
      <c r="G1734" s="3">
        <v>8294943935</v>
      </c>
      <c r="H1734" s="2">
        <v>46140</v>
      </c>
      <c r="K1734" s="1">
        <f ca="1">IF(A1734="","",IF(OR(L1734="ENTREGADA",L1734="RETORNADA",L1734="ENTREGA DIGITAL"),0,MAX(0,5-NETWORKDAYS(H1734+1,TODAY()))))</f>
        <v>2</v>
      </c>
      <c r="L1734">
        <f>IF(A1734="","",IFERROR(LOOKUP(2,1/(#REF!=Z1734),#REF!),Y1734))</f>
        <v>0</v>
      </c>
      <c r="Z1734" t="str">
        <f>IF(A1734="","",TEXT(A1734,"0")&amp;"|"&amp;TEXT(H1734,"0"))</f>
        <v>5415017839116800|46140</v>
      </c>
      <c r="AA1734" t="str">
        <f>IF(Z1734="","",IFERROR(LOOKUP(2,1/(#REF!=Z1734),#REF!),""))</f>
        <v/>
      </c>
      <c r="AB1734" t="str">
        <f>IF(Z1734="","",IFERROR(LOOKUP(2,1/(#REF!=Z1734),#REF!),""))</f>
        <v/>
      </c>
      <c r="AC1734" t="e">
        <f>IF(Z1734="","",COUNTIF(#REF!,Z1734))</f>
        <v>#REF!</v>
      </c>
      <c r="AD1734" t="e">
        <f>IF(A1734="","",IF(AC1734&gt;1,"REVISAR DUPLICADO",IF(AA1734&lt;&gt;"","ACTUALIZADO POR EYR","SIN REPORTE EYR")))</f>
        <v>#REF!</v>
      </c>
    </row>
    <row r="1735" spans="1:30" x14ac:dyDescent="0.3">
      <c r="A1735" s="5" t="s">
        <v>670</v>
      </c>
      <c r="B1735" t="s">
        <v>669</v>
      </c>
      <c r="C1735" s="4" t="s">
        <v>668</v>
      </c>
      <c r="D1735" t="s">
        <v>21</v>
      </c>
      <c r="F1735" t="s">
        <v>667</v>
      </c>
      <c r="G1735" s="3">
        <v>8494068527</v>
      </c>
      <c r="H1735" s="2">
        <v>46140</v>
      </c>
      <c r="K1735" s="1">
        <f ca="1">IF(A1735="","",IF(OR(L1735="ENTREGADA",L1735="RETORNADA",L1735="ENTREGA DIGITAL"),0,MAX(0,5-NETWORKDAYS(H1735+1,TODAY()))))</f>
        <v>2</v>
      </c>
      <c r="L1735">
        <f>IF(A1735="","",IFERROR(LOOKUP(2,1/(#REF!=Z1735),#REF!),Y1735))</f>
        <v>0</v>
      </c>
      <c r="Z1735" t="str">
        <f>IF(A1735="","",TEXT(A1735,"0")&amp;"|"&amp;TEXT(H1735,"0"))</f>
        <v>4921017851824990|46140</v>
      </c>
      <c r="AA1735" t="str">
        <f>IF(Z1735="","",IFERROR(LOOKUP(2,1/(#REF!=Z1735),#REF!),""))</f>
        <v/>
      </c>
      <c r="AB1735" t="str">
        <f>IF(Z1735="","",IFERROR(LOOKUP(2,1/(#REF!=Z1735),#REF!),""))</f>
        <v/>
      </c>
      <c r="AC1735" t="e">
        <f>IF(Z1735="","",COUNTIF(#REF!,Z1735))</f>
        <v>#REF!</v>
      </c>
      <c r="AD1735" t="e">
        <f>IF(A1735="","",IF(AC1735&gt;1,"REVISAR DUPLICADO",IF(AA1735&lt;&gt;"","ACTUALIZADO POR EYR","SIN REPORTE EYR")))</f>
        <v>#REF!</v>
      </c>
    </row>
    <row r="1736" spans="1:30" x14ac:dyDescent="0.3">
      <c r="A1736" s="5" t="s">
        <v>666</v>
      </c>
      <c r="B1736" t="s">
        <v>665</v>
      </c>
      <c r="C1736" s="4" t="s">
        <v>664</v>
      </c>
      <c r="D1736" t="s">
        <v>21</v>
      </c>
      <c r="F1736" t="s">
        <v>13</v>
      </c>
      <c r="G1736" s="3">
        <v>8496528336</v>
      </c>
      <c r="H1736" s="2">
        <v>46140</v>
      </c>
      <c r="K1736" s="1">
        <f ca="1">IF(A1736="","",IF(OR(L1736="ENTREGADA",L1736="RETORNADA",L1736="ENTREGA DIGITAL"),0,MAX(0,5-NETWORKDAYS(H1736+1,TODAY()))))</f>
        <v>2</v>
      </c>
      <c r="L1736">
        <f>IF(A1736="","",IFERROR(LOOKUP(2,1/(#REF!=Z1736),#REF!),Y1736))</f>
        <v>0</v>
      </c>
      <c r="Z1736" t="str">
        <f>IF(A1736="","",TEXT(A1736,"0")&amp;"|"&amp;TEXT(H1736,"0"))</f>
        <v>4921017925861040|46140</v>
      </c>
      <c r="AA1736" t="str">
        <f>IF(Z1736="","",IFERROR(LOOKUP(2,1/(#REF!=Z1736),#REF!),""))</f>
        <v/>
      </c>
      <c r="AB1736" t="str">
        <f>IF(Z1736="","",IFERROR(LOOKUP(2,1/(#REF!=Z1736),#REF!),""))</f>
        <v/>
      </c>
      <c r="AC1736" t="e">
        <f>IF(Z1736="","",COUNTIF(#REF!,Z1736))</f>
        <v>#REF!</v>
      </c>
      <c r="AD1736" t="e">
        <f>IF(A1736="","",IF(AC1736&gt;1,"REVISAR DUPLICADO",IF(AA1736&lt;&gt;"","ACTUALIZADO POR EYR","SIN REPORTE EYR")))</f>
        <v>#REF!</v>
      </c>
    </row>
    <row r="1737" spans="1:30" x14ac:dyDescent="0.3">
      <c r="A1737" s="5" t="s">
        <v>663</v>
      </c>
      <c r="B1737" t="s">
        <v>662</v>
      </c>
      <c r="C1737" s="4" t="s">
        <v>661</v>
      </c>
      <c r="D1737" t="s">
        <v>21</v>
      </c>
      <c r="F1737" t="s">
        <v>13</v>
      </c>
      <c r="G1737" s="3">
        <v>8298262842</v>
      </c>
      <c r="H1737" s="2">
        <v>46140</v>
      </c>
      <c r="K1737" s="1">
        <f ca="1">IF(A1737="","",IF(OR(L1737="ENTREGADA",L1737="RETORNADA",L1737="ENTREGA DIGITAL"),0,MAX(0,5-NETWORKDAYS(H1737+1,TODAY()))))</f>
        <v>2</v>
      </c>
      <c r="L1737">
        <f>IF(A1737="","",IFERROR(LOOKUP(2,1/(#REF!=Z1737),#REF!),Y1737))</f>
        <v>0</v>
      </c>
      <c r="Z1737" t="str">
        <f>IF(A1737="","",TEXT(A1737,"0")&amp;"|"&amp;TEXT(H1737,"0"))</f>
        <v>4921017821950240|46140</v>
      </c>
      <c r="AA1737" t="str">
        <f>IF(Z1737="","",IFERROR(LOOKUP(2,1/(#REF!=Z1737),#REF!),""))</f>
        <v/>
      </c>
      <c r="AB1737" t="str">
        <f>IF(Z1737="","",IFERROR(LOOKUP(2,1/(#REF!=Z1737),#REF!),""))</f>
        <v/>
      </c>
      <c r="AC1737" t="e">
        <f>IF(Z1737="","",COUNTIF(#REF!,Z1737))</f>
        <v>#REF!</v>
      </c>
      <c r="AD1737" t="e">
        <f>IF(A1737="","",IF(AC1737&gt;1,"REVISAR DUPLICADO",IF(AA1737&lt;&gt;"","ACTUALIZADO POR EYR","SIN REPORTE EYR")))</f>
        <v>#REF!</v>
      </c>
    </row>
    <row r="1738" spans="1:30" x14ac:dyDescent="0.3">
      <c r="A1738" s="5" t="s">
        <v>660</v>
      </c>
      <c r="B1738" t="s">
        <v>659</v>
      </c>
      <c r="C1738" s="4" t="s">
        <v>658</v>
      </c>
      <c r="D1738" t="s">
        <v>1</v>
      </c>
      <c r="F1738" t="s">
        <v>9</v>
      </c>
      <c r="G1738" s="3">
        <v>8094071103</v>
      </c>
      <c r="H1738" s="2">
        <v>46140</v>
      </c>
      <c r="K1738" s="1">
        <f ca="1">IF(A1738="","",IF(OR(L1738="ENTREGADA",L1738="RETORNADA",L1738="ENTREGA DIGITAL"),0,MAX(0,5-NETWORKDAYS(H1738+1,TODAY()))))</f>
        <v>2</v>
      </c>
      <c r="L1738">
        <f>IF(A1738="","",IFERROR(LOOKUP(2,1/(#REF!=Z1738),#REF!),Y1738))</f>
        <v>0</v>
      </c>
      <c r="Z1738" t="str">
        <f>IF(A1738="","",TEXT(A1738,"0")&amp;"|"&amp;TEXT(H1738,"0"))</f>
        <v>5415017927285540|46140</v>
      </c>
      <c r="AA1738" t="str">
        <f>IF(Z1738="","",IFERROR(LOOKUP(2,1/(#REF!=Z1738),#REF!),""))</f>
        <v/>
      </c>
      <c r="AB1738" t="str">
        <f>IF(Z1738="","",IFERROR(LOOKUP(2,1/(#REF!=Z1738),#REF!),""))</f>
        <v/>
      </c>
      <c r="AC1738" t="e">
        <f>IF(Z1738="","",COUNTIF(#REF!,Z1738))</f>
        <v>#REF!</v>
      </c>
      <c r="AD1738" t="e">
        <f>IF(A1738="","",IF(AC1738&gt;1,"REVISAR DUPLICADO",IF(AA1738&lt;&gt;"","ACTUALIZADO POR EYR","SIN REPORTE EYR")))</f>
        <v>#REF!</v>
      </c>
    </row>
    <row r="1739" spans="1:30" x14ac:dyDescent="0.3">
      <c r="A1739" s="5" t="s">
        <v>657</v>
      </c>
      <c r="B1739" t="s">
        <v>656</v>
      </c>
      <c r="C1739" s="4" t="s">
        <v>655</v>
      </c>
      <c r="D1739" t="s">
        <v>1</v>
      </c>
      <c r="F1739" t="s">
        <v>9</v>
      </c>
      <c r="G1739" s="3">
        <v>8098204660</v>
      </c>
      <c r="H1739" s="2">
        <v>46140</v>
      </c>
      <c r="K1739" s="1">
        <f ca="1">IF(A1739="","",IF(OR(L1739="ENTREGADA",L1739="RETORNADA",L1739="ENTREGA DIGITAL"),0,MAX(0,5-NETWORKDAYS(H1739+1,TODAY()))))</f>
        <v>2</v>
      </c>
      <c r="L1739">
        <f>IF(A1739="","",IFERROR(LOOKUP(2,1/(#REF!=Z1739),#REF!),Y1739))</f>
        <v>0</v>
      </c>
      <c r="Z1739" t="str">
        <f>IF(A1739="","",TEXT(A1739,"0")&amp;"|"&amp;TEXT(H1739,"0"))</f>
        <v>4025017932141130|46140</v>
      </c>
      <c r="AA1739" t="str">
        <f>IF(Z1739="","",IFERROR(LOOKUP(2,1/(#REF!=Z1739),#REF!),""))</f>
        <v/>
      </c>
      <c r="AB1739" t="str">
        <f>IF(Z1739="","",IFERROR(LOOKUP(2,1/(#REF!=Z1739),#REF!),""))</f>
        <v/>
      </c>
      <c r="AC1739" t="e">
        <f>IF(Z1739="","",COUNTIF(#REF!,Z1739))</f>
        <v>#REF!</v>
      </c>
      <c r="AD1739" t="e">
        <f>IF(A1739="","",IF(AC1739&gt;1,"REVISAR DUPLICADO",IF(AA1739&lt;&gt;"","ACTUALIZADO POR EYR","SIN REPORTE EYR")))</f>
        <v>#REF!</v>
      </c>
    </row>
    <row r="1740" spans="1:30" x14ac:dyDescent="0.3">
      <c r="A1740" s="5" t="s">
        <v>654</v>
      </c>
      <c r="B1740" t="s">
        <v>653</v>
      </c>
      <c r="C1740" s="4" t="s">
        <v>652</v>
      </c>
      <c r="D1740" t="s">
        <v>1</v>
      </c>
      <c r="F1740" t="s">
        <v>13</v>
      </c>
      <c r="G1740" s="3">
        <v>8299823241</v>
      </c>
      <c r="H1740" s="2">
        <v>46140</v>
      </c>
      <c r="K1740" s="1">
        <f ca="1">IF(A1740="","",IF(OR(L1740="ENTREGADA",L1740="RETORNADA",L1740="ENTREGA DIGITAL"),0,MAX(0,5-NETWORKDAYS(H1740+1,TODAY()))))</f>
        <v>2</v>
      </c>
      <c r="L1740">
        <f>IF(A1740="","",IFERROR(LOOKUP(2,1/(#REF!=Z1740),#REF!),Y1740))</f>
        <v>0</v>
      </c>
      <c r="Z1740" t="str">
        <f>IF(A1740="","",TEXT(A1740,"0")&amp;"|"&amp;TEXT(H1740,"0"))</f>
        <v>5227017927979460|46140</v>
      </c>
      <c r="AA1740" t="str">
        <f>IF(Z1740="","",IFERROR(LOOKUP(2,1/(#REF!=Z1740),#REF!),""))</f>
        <v/>
      </c>
      <c r="AB1740" t="str">
        <f>IF(Z1740="","",IFERROR(LOOKUP(2,1/(#REF!=Z1740),#REF!),""))</f>
        <v/>
      </c>
      <c r="AC1740" t="e">
        <f>IF(Z1740="","",COUNTIF(#REF!,Z1740))</f>
        <v>#REF!</v>
      </c>
      <c r="AD1740" t="e">
        <f>IF(A1740="","",IF(AC1740&gt;1,"REVISAR DUPLICADO",IF(AA1740&lt;&gt;"","ACTUALIZADO POR EYR","SIN REPORTE EYR")))</f>
        <v>#REF!</v>
      </c>
    </row>
    <row r="1741" spans="1:30" x14ac:dyDescent="0.3">
      <c r="A1741" s="5" t="s">
        <v>651</v>
      </c>
      <c r="B1741" t="s">
        <v>650</v>
      </c>
      <c r="C1741" s="4" t="s">
        <v>649</v>
      </c>
      <c r="D1741" t="s">
        <v>1</v>
      </c>
      <c r="E1741" t="s">
        <v>214</v>
      </c>
      <c r="F1741" t="s">
        <v>648</v>
      </c>
      <c r="G1741" s="3">
        <v>8492731080</v>
      </c>
      <c r="H1741" s="2">
        <v>46140</v>
      </c>
      <c r="K1741" s="1">
        <f ca="1">IF(A1741="","",IF(OR(L1741="ENTREGADA",L1741="RETORNADA",L1741="ENTREGA DIGITAL"),0,MAX(0,5-NETWORKDAYS(H1741+1,TODAY()))))</f>
        <v>2</v>
      </c>
      <c r="L1741">
        <f>IF(A1741="","",IFERROR(LOOKUP(2,1/(#REF!=Z1741),#REF!),Y1741))</f>
        <v>0</v>
      </c>
      <c r="Z1741" t="str">
        <f>IF(A1741="","",TEXT(A1741,"0")&amp;"|"&amp;TEXT(H1741,"0"))</f>
        <v>4921017929049140|46140</v>
      </c>
      <c r="AA1741" t="str">
        <f>IF(Z1741="","",IFERROR(LOOKUP(2,1/(#REF!=Z1741),#REF!),""))</f>
        <v/>
      </c>
      <c r="AB1741" t="str">
        <f>IF(Z1741="","",IFERROR(LOOKUP(2,1/(#REF!=Z1741),#REF!),""))</f>
        <v/>
      </c>
      <c r="AC1741" t="e">
        <f>IF(Z1741="","",COUNTIF(#REF!,Z1741))</f>
        <v>#REF!</v>
      </c>
      <c r="AD1741" t="e">
        <f>IF(A1741="","",IF(AC1741&gt;1,"REVISAR DUPLICADO",IF(AA1741&lt;&gt;"","ACTUALIZADO POR EYR","SIN REPORTE EYR")))</f>
        <v>#REF!</v>
      </c>
    </row>
    <row r="1742" spans="1:30" x14ac:dyDescent="0.3">
      <c r="A1742" s="5" t="s">
        <v>647</v>
      </c>
      <c r="B1742" t="s">
        <v>646</v>
      </c>
      <c r="C1742" s="4" t="s">
        <v>645</v>
      </c>
      <c r="D1742" t="s">
        <v>1</v>
      </c>
      <c r="F1742" t="s">
        <v>13</v>
      </c>
      <c r="G1742" s="3">
        <v>8094455622</v>
      </c>
      <c r="H1742" s="2">
        <v>46140</v>
      </c>
      <c r="K1742" s="1">
        <f ca="1">IF(A1742="","",IF(OR(L1742="ENTREGADA",L1742="RETORNADA",L1742="ENTREGA DIGITAL"),0,MAX(0,5-NETWORKDAYS(H1742+1,TODAY()))))</f>
        <v>2</v>
      </c>
      <c r="L1742">
        <f>IF(A1742="","",IFERROR(LOOKUP(2,1/(#REF!=Z1742),#REF!),Y1742))</f>
        <v>0</v>
      </c>
      <c r="Z1742" t="str">
        <f>IF(A1742="","",TEXT(A1742,"0")&amp;"|"&amp;TEXT(H1742,"0"))</f>
        <v>5188017928437040|46140</v>
      </c>
      <c r="AA1742" t="str">
        <f>IF(Z1742="","",IFERROR(LOOKUP(2,1/(#REF!=Z1742),#REF!),""))</f>
        <v/>
      </c>
      <c r="AB1742" t="str">
        <f>IF(Z1742="","",IFERROR(LOOKUP(2,1/(#REF!=Z1742),#REF!),""))</f>
        <v/>
      </c>
      <c r="AC1742" t="e">
        <f>IF(Z1742="","",COUNTIF(#REF!,Z1742))</f>
        <v>#REF!</v>
      </c>
      <c r="AD1742" t="e">
        <f>IF(A1742="","",IF(AC1742&gt;1,"REVISAR DUPLICADO",IF(AA1742&lt;&gt;"","ACTUALIZADO POR EYR","SIN REPORTE EYR")))</f>
        <v>#REF!</v>
      </c>
    </row>
    <row r="1743" spans="1:30" x14ac:dyDescent="0.3">
      <c r="A1743" s="5" t="s">
        <v>644</v>
      </c>
      <c r="B1743" t="s">
        <v>643</v>
      </c>
      <c r="C1743" s="4" t="s">
        <v>642</v>
      </c>
      <c r="D1743" t="s">
        <v>595</v>
      </c>
      <c r="F1743" t="s">
        <v>13</v>
      </c>
      <c r="G1743" s="3">
        <v>8095331495</v>
      </c>
      <c r="H1743" s="2">
        <v>46141</v>
      </c>
      <c r="K1743" s="1">
        <f ca="1">IF(A1743="","",IF(OR(L1743="ENTREGADA",L1743="RETORNADA",L1743="ENTREGA DIGITAL"),0,MAX(0,5-NETWORKDAYS(H1743+1,TODAY()))))</f>
        <v>3</v>
      </c>
      <c r="L1743">
        <f>IF(A1743="","",IFERROR(LOOKUP(2,1/(#REF!=Z1743),#REF!),Y1743))</f>
        <v>0</v>
      </c>
      <c r="Z1743" t="str">
        <f>IF(A1743="","",TEXT(A1743,"0")&amp;"|"&amp;TEXT(H1743,"0"))</f>
        <v>4025017931822840|46141</v>
      </c>
      <c r="AA1743" t="str">
        <f>IF(Z1743="","",IFERROR(LOOKUP(2,1/(#REF!=Z1743),#REF!),""))</f>
        <v/>
      </c>
      <c r="AB1743" t="str">
        <f>IF(Z1743="","",IFERROR(LOOKUP(2,1/(#REF!=Z1743),#REF!),""))</f>
        <v/>
      </c>
      <c r="AC1743" t="e">
        <f>IF(Z1743="","",COUNTIF(#REF!,Z1743))</f>
        <v>#REF!</v>
      </c>
      <c r="AD1743" t="e">
        <f>IF(A1743="","",IF(AC1743&gt;1,"REVISAR DUPLICADO",IF(AA1743&lt;&gt;"","ACTUALIZADO POR EYR","SIN REPORTE EYR")))</f>
        <v>#REF!</v>
      </c>
    </row>
    <row r="1744" spans="1:30" x14ac:dyDescent="0.3">
      <c r="A1744" s="5" t="s">
        <v>641</v>
      </c>
      <c r="B1744" t="s">
        <v>640</v>
      </c>
      <c r="C1744" s="4" t="s">
        <v>639</v>
      </c>
      <c r="D1744" t="s">
        <v>595</v>
      </c>
      <c r="F1744" t="s">
        <v>0</v>
      </c>
      <c r="G1744" s="3">
        <v>8092241172</v>
      </c>
      <c r="H1744" s="2">
        <v>46141</v>
      </c>
      <c r="K1744" s="1">
        <f ca="1">IF(A1744="","",IF(OR(L1744="ENTREGADA",L1744="RETORNADA",L1744="ENTREGA DIGITAL"),0,MAX(0,5-NETWORKDAYS(H1744+1,TODAY()))))</f>
        <v>3</v>
      </c>
      <c r="L1744">
        <f>IF(A1744="","",IFERROR(LOOKUP(2,1/(#REF!=Z1744),#REF!),Y1744))</f>
        <v>0</v>
      </c>
      <c r="Z1744" t="str">
        <f>IF(A1744="","",TEXT(A1744,"0")&amp;"|"&amp;TEXT(H1744,"0"))</f>
        <v>5415017914691930|46141</v>
      </c>
      <c r="AA1744" t="str">
        <f>IF(Z1744="","",IFERROR(LOOKUP(2,1/(#REF!=Z1744),#REF!),""))</f>
        <v/>
      </c>
      <c r="AB1744" t="str">
        <f>IF(Z1744="","",IFERROR(LOOKUP(2,1/(#REF!=Z1744),#REF!),""))</f>
        <v/>
      </c>
      <c r="AC1744" t="e">
        <f>IF(Z1744="","",COUNTIF(#REF!,Z1744))</f>
        <v>#REF!</v>
      </c>
      <c r="AD1744" t="e">
        <f>IF(A1744="","",IF(AC1744&gt;1,"REVISAR DUPLICADO",IF(AA1744&lt;&gt;"","ACTUALIZADO POR EYR","SIN REPORTE EYR")))</f>
        <v>#REF!</v>
      </c>
    </row>
    <row r="1745" spans="1:30" x14ac:dyDescent="0.3">
      <c r="A1745" s="5" t="s">
        <v>638</v>
      </c>
      <c r="B1745" t="s">
        <v>637</v>
      </c>
      <c r="C1745" s="4" t="s">
        <v>636</v>
      </c>
      <c r="D1745" t="s">
        <v>600</v>
      </c>
      <c r="F1745" t="s">
        <v>635</v>
      </c>
      <c r="G1745" s="3">
        <v>8097293371</v>
      </c>
      <c r="H1745" s="2">
        <v>46141</v>
      </c>
      <c r="K1745" s="1">
        <f ca="1">IF(A1745="","",IF(OR(L1745="ENTREGADA",L1745="RETORNADA",L1745="ENTREGA DIGITAL"),0,MAX(0,5-NETWORKDAYS(H1745+1,TODAY()))))</f>
        <v>3</v>
      </c>
      <c r="L1745">
        <f>IF(A1745="","",IFERROR(LOOKUP(2,1/(#REF!=Z1745),#REF!),Y1745))</f>
        <v>0</v>
      </c>
      <c r="Z1745" t="str">
        <f>IF(A1745="","",TEXT(A1745,"0")&amp;"|"&amp;TEXT(H1745,"0"))</f>
        <v>4921017935746700|46141</v>
      </c>
      <c r="AA1745" t="str">
        <f>IF(Z1745="","",IFERROR(LOOKUP(2,1/(#REF!=Z1745),#REF!),""))</f>
        <v/>
      </c>
      <c r="AB1745" t="str">
        <f>IF(Z1745="","",IFERROR(LOOKUP(2,1/(#REF!=Z1745),#REF!),""))</f>
        <v/>
      </c>
      <c r="AC1745" t="e">
        <f>IF(Z1745="","",COUNTIF(#REF!,Z1745))</f>
        <v>#REF!</v>
      </c>
      <c r="AD1745" t="e">
        <f>IF(A1745="","",IF(AC1745&gt;1,"REVISAR DUPLICADO",IF(AA1745&lt;&gt;"","ACTUALIZADO POR EYR","SIN REPORTE EYR")))</f>
        <v>#REF!</v>
      </c>
    </row>
    <row r="1746" spans="1:30" x14ac:dyDescent="0.3">
      <c r="A1746" s="5" t="s">
        <v>634</v>
      </c>
      <c r="B1746" t="s">
        <v>633</v>
      </c>
      <c r="C1746" s="4" t="s">
        <v>632</v>
      </c>
      <c r="D1746" t="s">
        <v>600</v>
      </c>
      <c r="F1746" t="s">
        <v>631</v>
      </c>
      <c r="G1746" s="3">
        <v>8097948158</v>
      </c>
      <c r="H1746" s="2">
        <v>46141</v>
      </c>
      <c r="K1746" s="1">
        <f ca="1">IF(A1746="","",IF(OR(L1746="ENTREGADA",L1746="RETORNADA",L1746="ENTREGA DIGITAL"),0,MAX(0,5-NETWORKDAYS(H1746+1,TODAY()))))</f>
        <v>3</v>
      </c>
      <c r="L1746">
        <f>IF(A1746="","",IFERROR(LOOKUP(2,1/(#REF!=Z1746),#REF!),Y1746))</f>
        <v>0</v>
      </c>
      <c r="Z1746" t="str">
        <f>IF(A1746="","",TEXT(A1746,"0")&amp;"|"&amp;TEXT(H1746,"0"))</f>
        <v>4025017936706240|46141</v>
      </c>
      <c r="AA1746" t="str">
        <f>IF(Z1746="","",IFERROR(LOOKUP(2,1/(#REF!=Z1746),#REF!),""))</f>
        <v/>
      </c>
      <c r="AB1746" t="str">
        <f>IF(Z1746="","",IFERROR(LOOKUP(2,1/(#REF!=Z1746),#REF!),""))</f>
        <v/>
      </c>
      <c r="AC1746" t="e">
        <f>IF(Z1746="","",COUNTIF(#REF!,Z1746))</f>
        <v>#REF!</v>
      </c>
      <c r="AD1746" t="e">
        <f>IF(A1746="","",IF(AC1746&gt;1,"REVISAR DUPLICADO",IF(AA1746&lt;&gt;"","ACTUALIZADO POR EYR","SIN REPORTE EYR")))</f>
        <v>#REF!</v>
      </c>
    </row>
    <row r="1747" spans="1:30" x14ac:dyDescent="0.3">
      <c r="A1747" s="5" t="s">
        <v>630</v>
      </c>
      <c r="B1747" t="s">
        <v>629</v>
      </c>
      <c r="C1747" s="4" t="s">
        <v>628</v>
      </c>
      <c r="D1747" t="s">
        <v>600</v>
      </c>
      <c r="F1747" t="s">
        <v>627</v>
      </c>
      <c r="G1747" s="3">
        <v>8299343794</v>
      </c>
      <c r="H1747" s="2">
        <v>46141</v>
      </c>
      <c r="K1747" s="1">
        <f ca="1">IF(A1747="","",IF(OR(L1747="ENTREGADA",L1747="RETORNADA",L1747="ENTREGA DIGITAL"),0,MAX(0,5-NETWORKDAYS(H1747+1,TODAY()))))</f>
        <v>3</v>
      </c>
      <c r="L1747">
        <f>IF(A1747="","",IFERROR(LOOKUP(2,1/(#REF!=Z1747),#REF!),Y1747))</f>
        <v>0</v>
      </c>
      <c r="Z1747" t="str">
        <f>IF(A1747="","",TEXT(A1747,"0")&amp;"|"&amp;TEXT(H1747,"0"))</f>
        <v>5415017933677400|46141</v>
      </c>
      <c r="AA1747" t="str">
        <f>IF(Z1747="","",IFERROR(LOOKUP(2,1/(#REF!=Z1747),#REF!),""))</f>
        <v/>
      </c>
      <c r="AB1747" t="str">
        <f>IF(Z1747="","",IFERROR(LOOKUP(2,1/(#REF!=Z1747),#REF!),""))</f>
        <v/>
      </c>
      <c r="AC1747" t="e">
        <f>IF(Z1747="","",COUNTIF(#REF!,Z1747))</f>
        <v>#REF!</v>
      </c>
      <c r="AD1747" t="e">
        <f>IF(A1747="","",IF(AC1747&gt;1,"REVISAR DUPLICADO",IF(AA1747&lt;&gt;"","ACTUALIZADO POR EYR","SIN REPORTE EYR")))</f>
        <v>#REF!</v>
      </c>
    </row>
    <row r="1748" spans="1:30" x14ac:dyDescent="0.3">
      <c r="A1748" s="5" t="s">
        <v>626</v>
      </c>
      <c r="B1748" t="s">
        <v>625</v>
      </c>
      <c r="C1748" s="4" t="s">
        <v>624</v>
      </c>
      <c r="D1748" t="s">
        <v>600</v>
      </c>
      <c r="F1748" t="s">
        <v>517</v>
      </c>
      <c r="G1748" s="3">
        <v>8494575802</v>
      </c>
      <c r="H1748" s="2">
        <v>46141</v>
      </c>
      <c r="K1748" s="1">
        <f ca="1">IF(A1748="","",IF(OR(L1748="ENTREGADA",L1748="RETORNADA",L1748="ENTREGA DIGITAL"),0,MAX(0,5-NETWORKDAYS(H1748+1,TODAY()))))</f>
        <v>3</v>
      </c>
      <c r="L1748">
        <f>IF(A1748="","",IFERROR(LOOKUP(2,1/(#REF!=Z1748),#REF!),Y1748))</f>
        <v>0</v>
      </c>
      <c r="Z1748" t="str">
        <f>IF(A1748="","",TEXT(A1748,"0")&amp;"|"&amp;TEXT(H1748,"0"))</f>
        <v>5188017933991210|46141</v>
      </c>
      <c r="AA1748" t="str">
        <f>IF(Z1748="","",IFERROR(LOOKUP(2,1/(#REF!=Z1748),#REF!),""))</f>
        <v/>
      </c>
      <c r="AB1748" t="str">
        <f>IF(Z1748="","",IFERROR(LOOKUP(2,1/(#REF!=Z1748),#REF!),""))</f>
        <v/>
      </c>
      <c r="AC1748" t="e">
        <f>IF(Z1748="","",COUNTIF(#REF!,Z1748))</f>
        <v>#REF!</v>
      </c>
      <c r="AD1748" t="e">
        <f>IF(A1748="","",IF(AC1748&gt;1,"REVISAR DUPLICADO",IF(AA1748&lt;&gt;"","ACTUALIZADO POR EYR","SIN REPORTE EYR")))</f>
        <v>#REF!</v>
      </c>
    </row>
    <row r="1749" spans="1:30" x14ac:dyDescent="0.3">
      <c r="A1749" s="5" t="s">
        <v>623</v>
      </c>
      <c r="B1749" t="s">
        <v>622</v>
      </c>
      <c r="C1749" s="4" t="s">
        <v>621</v>
      </c>
      <c r="D1749" t="s">
        <v>600</v>
      </c>
      <c r="F1749" t="s">
        <v>517</v>
      </c>
      <c r="G1749" s="3">
        <v>8496572266</v>
      </c>
      <c r="H1749" s="2">
        <v>46141</v>
      </c>
      <c r="K1749" s="1">
        <f ca="1">IF(A1749="","",IF(OR(L1749="ENTREGADA",L1749="RETORNADA",L1749="ENTREGA DIGITAL"),0,MAX(0,5-NETWORKDAYS(H1749+1,TODAY()))))</f>
        <v>3</v>
      </c>
      <c r="L1749">
        <f>IF(A1749="","",IFERROR(LOOKUP(2,1/(#REF!=Z1749),#REF!),Y1749))</f>
        <v>0</v>
      </c>
      <c r="Z1749" t="str">
        <f>IF(A1749="","",TEXT(A1749,"0")&amp;"|"&amp;TEXT(H1749,"0"))</f>
        <v>5188017934546270|46141</v>
      </c>
      <c r="AA1749" t="str">
        <f>IF(Z1749="","",IFERROR(LOOKUP(2,1/(#REF!=Z1749),#REF!),""))</f>
        <v/>
      </c>
      <c r="AB1749" t="str">
        <f>IF(Z1749="","",IFERROR(LOOKUP(2,1/(#REF!=Z1749),#REF!),""))</f>
        <v/>
      </c>
      <c r="AC1749" t="e">
        <f>IF(Z1749="","",COUNTIF(#REF!,Z1749))</f>
        <v>#REF!</v>
      </c>
      <c r="AD1749" t="e">
        <f>IF(A1749="","",IF(AC1749&gt;1,"REVISAR DUPLICADO",IF(AA1749&lt;&gt;"","ACTUALIZADO POR EYR","SIN REPORTE EYR")))</f>
        <v>#REF!</v>
      </c>
    </row>
    <row r="1750" spans="1:30" x14ac:dyDescent="0.3">
      <c r="A1750" s="5" t="s">
        <v>620</v>
      </c>
      <c r="B1750" t="s">
        <v>619</v>
      </c>
      <c r="C1750" s="4" t="s">
        <v>618</v>
      </c>
      <c r="D1750" t="s">
        <v>600</v>
      </c>
      <c r="F1750" t="s">
        <v>13</v>
      </c>
      <c r="G1750" s="3">
        <v>8096170195</v>
      </c>
      <c r="H1750" s="2">
        <v>46141</v>
      </c>
      <c r="K1750" s="1">
        <f ca="1">IF(A1750="","",IF(OR(L1750="ENTREGADA",L1750="RETORNADA",L1750="ENTREGA DIGITAL"),0,MAX(0,5-NETWORKDAYS(H1750+1,TODAY()))))</f>
        <v>3</v>
      </c>
      <c r="L1750">
        <f>IF(A1750="","",IFERROR(LOOKUP(2,1/(#REF!=Z1750),#REF!),Y1750))</f>
        <v>0</v>
      </c>
      <c r="Z1750" t="str">
        <f>IF(A1750="","",TEXT(A1750,"0")&amp;"|"&amp;TEXT(H1750,"0"))</f>
        <v>5188017934165690|46141</v>
      </c>
      <c r="AA1750" t="str">
        <f>IF(Z1750="","",IFERROR(LOOKUP(2,1/(#REF!=Z1750),#REF!),""))</f>
        <v/>
      </c>
      <c r="AB1750" t="str">
        <f>IF(Z1750="","",IFERROR(LOOKUP(2,1/(#REF!=Z1750),#REF!),""))</f>
        <v/>
      </c>
      <c r="AC1750" t="e">
        <f>IF(Z1750="","",COUNTIF(#REF!,Z1750))</f>
        <v>#REF!</v>
      </c>
      <c r="AD1750" t="e">
        <f>IF(A1750="","",IF(AC1750&gt;1,"REVISAR DUPLICADO",IF(AA1750&lt;&gt;"","ACTUALIZADO POR EYR","SIN REPORTE EYR")))</f>
        <v>#REF!</v>
      </c>
    </row>
    <row r="1751" spans="1:30" x14ac:dyDescent="0.3">
      <c r="A1751" s="5" t="s">
        <v>617</v>
      </c>
      <c r="B1751" t="s">
        <v>616</v>
      </c>
      <c r="C1751" s="4" t="s">
        <v>615</v>
      </c>
      <c r="D1751" t="s">
        <v>600</v>
      </c>
      <c r="F1751" t="s">
        <v>13</v>
      </c>
      <c r="G1751" s="3">
        <v>8293997883</v>
      </c>
      <c r="H1751" s="2">
        <v>46141</v>
      </c>
      <c r="K1751" s="1">
        <f ca="1">IF(A1751="","",IF(OR(L1751="ENTREGADA",L1751="RETORNADA",L1751="ENTREGA DIGITAL"),0,MAX(0,5-NETWORKDAYS(H1751+1,TODAY()))))</f>
        <v>3</v>
      </c>
      <c r="L1751">
        <f>IF(A1751="","",IFERROR(LOOKUP(2,1/(#REF!=Z1751),#REF!),Y1751))</f>
        <v>0</v>
      </c>
      <c r="Z1751" t="str">
        <f>IF(A1751="","",TEXT(A1751,"0")&amp;"|"&amp;TEXT(H1751,"0"))</f>
        <v>5188017934362590|46141</v>
      </c>
      <c r="AA1751" t="str">
        <f>IF(Z1751="","",IFERROR(LOOKUP(2,1/(#REF!=Z1751),#REF!),""))</f>
        <v/>
      </c>
      <c r="AB1751" t="str">
        <f>IF(Z1751="","",IFERROR(LOOKUP(2,1/(#REF!=Z1751),#REF!),""))</f>
        <v/>
      </c>
      <c r="AC1751" t="e">
        <f>IF(Z1751="","",COUNTIF(#REF!,Z1751))</f>
        <v>#REF!</v>
      </c>
      <c r="AD1751" t="e">
        <f>IF(A1751="","",IF(AC1751&gt;1,"REVISAR DUPLICADO",IF(AA1751&lt;&gt;"","ACTUALIZADO POR EYR","SIN REPORTE EYR")))</f>
        <v>#REF!</v>
      </c>
    </row>
    <row r="1752" spans="1:30" x14ac:dyDescent="0.3">
      <c r="A1752" s="5" t="s">
        <v>614</v>
      </c>
      <c r="B1752" t="s">
        <v>613</v>
      </c>
      <c r="C1752" s="4" t="s">
        <v>612</v>
      </c>
      <c r="D1752" t="s">
        <v>600</v>
      </c>
      <c r="F1752" t="s">
        <v>599</v>
      </c>
      <c r="G1752" s="3">
        <v>8494639039</v>
      </c>
      <c r="H1752" s="2">
        <v>46141</v>
      </c>
      <c r="K1752" s="1">
        <f ca="1">IF(A1752="","",IF(OR(L1752="ENTREGADA",L1752="RETORNADA",L1752="ENTREGA DIGITAL"),0,MAX(0,5-NETWORKDAYS(H1752+1,TODAY()))))</f>
        <v>3</v>
      </c>
      <c r="L1752">
        <f>IF(A1752="","",IFERROR(LOOKUP(2,1/(#REF!=Z1752),#REF!),Y1752))</f>
        <v>0</v>
      </c>
      <c r="Z1752" t="str">
        <f>IF(A1752="","",TEXT(A1752,"0")&amp;"|"&amp;TEXT(H1752,"0"))</f>
        <v>4921017936259950|46141</v>
      </c>
      <c r="AA1752" t="str">
        <f>IF(Z1752="","",IFERROR(LOOKUP(2,1/(#REF!=Z1752),#REF!),""))</f>
        <v/>
      </c>
      <c r="AB1752" t="str">
        <f>IF(Z1752="","",IFERROR(LOOKUP(2,1/(#REF!=Z1752),#REF!),""))</f>
        <v/>
      </c>
      <c r="AC1752" t="e">
        <f>IF(Z1752="","",COUNTIF(#REF!,Z1752))</f>
        <v>#REF!</v>
      </c>
      <c r="AD1752" t="e">
        <f>IF(A1752="","",IF(AC1752&gt;1,"REVISAR DUPLICADO",IF(AA1752&lt;&gt;"","ACTUALIZADO POR EYR","SIN REPORTE EYR")))</f>
        <v>#REF!</v>
      </c>
    </row>
    <row r="1753" spans="1:30" x14ac:dyDescent="0.3">
      <c r="A1753" s="5" t="s">
        <v>611</v>
      </c>
      <c r="B1753" t="s">
        <v>610</v>
      </c>
      <c r="C1753" s="4" t="s">
        <v>609</v>
      </c>
      <c r="D1753" t="s">
        <v>600</v>
      </c>
      <c r="F1753" t="s">
        <v>608</v>
      </c>
      <c r="G1753" s="3">
        <v>8095390058</v>
      </c>
      <c r="H1753" s="2">
        <v>46141</v>
      </c>
      <c r="K1753" s="1">
        <f ca="1">IF(A1753="","",IF(OR(L1753="ENTREGADA",L1753="RETORNADA",L1753="ENTREGA DIGITAL"),0,MAX(0,5-NETWORKDAYS(H1753+1,TODAY()))))</f>
        <v>3</v>
      </c>
      <c r="L1753">
        <f>IF(A1753="","",IFERROR(LOOKUP(2,1/(#REF!=Z1753),#REF!),Y1753))</f>
        <v>0</v>
      </c>
      <c r="Z1753" t="str">
        <f>IF(A1753="","",TEXT(A1753,"0")&amp;"|"&amp;TEXT(H1753,"0"))</f>
        <v>4025017932197150|46141</v>
      </c>
      <c r="AA1753" t="str">
        <f>IF(Z1753="","",IFERROR(LOOKUP(2,1/(#REF!=Z1753),#REF!),""))</f>
        <v/>
      </c>
      <c r="AB1753" t="str">
        <f>IF(Z1753="","",IFERROR(LOOKUP(2,1/(#REF!=Z1753),#REF!),""))</f>
        <v/>
      </c>
      <c r="AC1753" t="e">
        <f>IF(Z1753="","",COUNTIF(#REF!,Z1753))</f>
        <v>#REF!</v>
      </c>
      <c r="AD1753" t="e">
        <f>IF(A1753="","",IF(AC1753&gt;1,"REVISAR DUPLICADO",IF(AA1753&lt;&gt;"","ACTUALIZADO POR EYR","SIN REPORTE EYR")))</f>
        <v>#REF!</v>
      </c>
    </row>
    <row r="1754" spans="1:30" x14ac:dyDescent="0.3">
      <c r="A1754" s="5" t="s">
        <v>607</v>
      </c>
      <c r="B1754" t="s">
        <v>606</v>
      </c>
      <c r="C1754" s="4" t="s">
        <v>605</v>
      </c>
      <c r="D1754" t="s">
        <v>600</v>
      </c>
      <c r="F1754" t="s">
        <v>604</v>
      </c>
      <c r="G1754" s="3">
        <v>8292730981</v>
      </c>
      <c r="H1754" s="2">
        <v>46141</v>
      </c>
      <c r="K1754" s="1">
        <f ca="1">IF(A1754="","",IF(OR(L1754="ENTREGADA",L1754="RETORNADA",L1754="ENTREGA DIGITAL"),0,MAX(0,5-NETWORKDAYS(H1754+1,TODAY()))))</f>
        <v>3</v>
      </c>
      <c r="L1754">
        <f>IF(A1754="","",IFERROR(LOOKUP(2,1/(#REF!=Z1754),#REF!),Y1754))</f>
        <v>0</v>
      </c>
      <c r="Z1754" t="str">
        <f>IF(A1754="","",TEXT(A1754,"0")&amp;"|"&amp;TEXT(H1754,"0"))</f>
        <v>5188017934223130|46141</v>
      </c>
      <c r="AA1754" t="str">
        <f>IF(Z1754="","",IFERROR(LOOKUP(2,1/(#REF!=Z1754),#REF!),""))</f>
        <v/>
      </c>
      <c r="AB1754" t="str">
        <f>IF(Z1754="","",IFERROR(LOOKUP(2,1/(#REF!=Z1754),#REF!),""))</f>
        <v/>
      </c>
      <c r="AC1754" t="e">
        <f>IF(Z1754="","",COUNTIF(#REF!,Z1754))</f>
        <v>#REF!</v>
      </c>
      <c r="AD1754" t="e">
        <f>IF(A1754="","",IF(AC1754&gt;1,"REVISAR DUPLICADO",IF(AA1754&lt;&gt;"","ACTUALIZADO POR EYR","SIN REPORTE EYR")))</f>
        <v>#REF!</v>
      </c>
    </row>
    <row r="1755" spans="1:30" x14ac:dyDescent="0.3">
      <c r="A1755" s="5" t="s">
        <v>603</v>
      </c>
      <c r="B1755" t="s">
        <v>602</v>
      </c>
      <c r="C1755" s="4" t="s">
        <v>601</v>
      </c>
      <c r="D1755" t="s">
        <v>600</v>
      </c>
      <c r="F1755" t="s">
        <v>599</v>
      </c>
      <c r="G1755" s="3">
        <v>8094250401</v>
      </c>
      <c r="H1755" s="2">
        <v>46141</v>
      </c>
      <c r="K1755" s="1">
        <f ca="1">IF(A1755="","",IF(OR(L1755="ENTREGADA",L1755="RETORNADA",L1755="ENTREGA DIGITAL"),0,MAX(0,5-NETWORKDAYS(H1755+1,TODAY()))))</f>
        <v>3</v>
      </c>
      <c r="L1755">
        <f>IF(A1755="","",IFERROR(LOOKUP(2,1/(#REF!=Z1755),#REF!),Y1755))</f>
        <v>0</v>
      </c>
      <c r="Z1755" t="str">
        <f>IF(A1755="","",TEXT(A1755,"0")&amp;"|"&amp;TEXT(H1755,"0"))</f>
        <v>4921017935544410|46141</v>
      </c>
      <c r="AA1755" t="str">
        <f>IF(Z1755="","",IFERROR(LOOKUP(2,1/(#REF!=Z1755),#REF!),""))</f>
        <v/>
      </c>
      <c r="AB1755" t="str">
        <f>IF(Z1755="","",IFERROR(LOOKUP(2,1/(#REF!=Z1755),#REF!),""))</f>
        <v/>
      </c>
      <c r="AC1755" t="e">
        <f>IF(Z1755="","",COUNTIF(#REF!,Z1755))</f>
        <v>#REF!</v>
      </c>
      <c r="AD1755" t="e">
        <f>IF(A1755="","",IF(AC1755&gt;1,"REVISAR DUPLICADO",IF(AA1755&lt;&gt;"","ACTUALIZADO POR EYR","SIN REPORTE EYR")))</f>
        <v>#REF!</v>
      </c>
    </row>
    <row r="1756" spans="1:30" x14ac:dyDescent="0.3">
      <c r="A1756" s="5" t="s">
        <v>598</v>
      </c>
      <c r="B1756" t="s">
        <v>597</v>
      </c>
      <c r="C1756" s="4" t="s">
        <v>596</v>
      </c>
      <c r="D1756" t="s">
        <v>595</v>
      </c>
      <c r="F1756" t="s">
        <v>594</v>
      </c>
      <c r="G1756" s="3">
        <v>8097108886</v>
      </c>
      <c r="H1756" s="2">
        <v>46141</v>
      </c>
      <c r="K1756" s="1">
        <f ca="1">IF(A1756="","",IF(OR(L1756="ENTREGADA",L1756="RETORNADA",L1756="ENTREGA DIGITAL"),0,MAX(0,5-NETWORKDAYS(H1756+1,TODAY()))))</f>
        <v>3</v>
      </c>
      <c r="L1756">
        <f>IF(A1756="","",IFERROR(LOOKUP(2,1/(#REF!=Z1756),#REF!),Y1756))</f>
        <v>0</v>
      </c>
      <c r="Z1756" t="str">
        <f>IF(A1756="","",TEXT(A1756,"0")&amp;"|"&amp;TEXT(H1756,"0"))</f>
        <v>5523017933346740|46141</v>
      </c>
      <c r="AA1756" t="str">
        <f>IF(Z1756="","",IFERROR(LOOKUP(2,1/(#REF!=Z1756),#REF!),""))</f>
        <v/>
      </c>
      <c r="AB1756" t="str">
        <f>IF(Z1756="","",IFERROR(LOOKUP(2,1/(#REF!=Z1756),#REF!),""))</f>
        <v/>
      </c>
      <c r="AC1756" t="e">
        <f>IF(Z1756="","",COUNTIF(#REF!,Z1756))</f>
        <v>#REF!</v>
      </c>
      <c r="AD1756" t="e">
        <f>IF(A1756="","",IF(AC1756&gt;1,"REVISAR DUPLICADO",IF(AA1756&lt;&gt;"","ACTUALIZADO POR EYR","SIN REPORTE EYR")))</f>
        <v>#REF!</v>
      </c>
    </row>
    <row r="1757" spans="1:30" x14ac:dyDescent="0.3">
      <c r="A1757" s="5" t="s">
        <v>593</v>
      </c>
      <c r="B1757" t="s">
        <v>592</v>
      </c>
      <c r="C1757" s="4" t="s">
        <v>591</v>
      </c>
      <c r="D1757" t="s">
        <v>21</v>
      </c>
      <c r="F1757" t="s">
        <v>13</v>
      </c>
      <c r="G1757" s="3">
        <v>8093096881</v>
      </c>
      <c r="H1757" s="2">
        <v>46141</v>
      </c>
      <c r="K1757" s="1">
        <f ca="1">IF(A1757="","",IF(OR(L1757="ENTREGADA",L1757="RETORNADA",L1757="ENTREGA DIGITAL"),0,MAX(0,5-NETWORKDAYS(H1757+1,TODAY()))))</f>
        <v>3</v>
      </c>
      <c r="L1757">
        <f>IF(A1757="","",IFERROR(LOOKUP(2,1/(#REF!=Z1757),#REF!),Y1757))</f>
        <v>0</v>
      </c>
      <c r="Z1757" t="str">
        <f>IF(A1757="","",TEXT(A1757,"0")&amp;"|"&amp;TEXT(H1757,"0"))</f>
        <v>4741017932511900|46141</v>
      </c>
      <c r="AA1757" t="str">
        <f>IF(Z1757="","",IFERROR(LOOKUP(2,1/(#REF!=Z1757),#REF!),""))</f>
        <v/>
      </c>
      <c r="AB1757" t="str">
        <f>IF(Z1757="","",IFERROR(LOOKUP(2,1/(#REF!=Z1757),#REF!),""))</f>
        <v/>
      </c>
      <c r="AC1757" t="e">
        <f>IF(Z1757="","",COUNTIF(#REF!,Z1757))</f>
        <v>#REF!</v>
      </c>
      <c r="AD1757" t="e">
        <f>IF(A1757="","",IF(AC1757&gt;1,"REVISAR DUPLICADO",IF(AA1757&lt;&gt;"","ACTUALIZADO POR EYR","SIN REPORTE EYR")))</f>
        <v>#REF!</v>
      </c>
    </row>
    <row r="1758" spans="1:30" x14ac:dyDescent="0.3">
      <c r="A1758" s="5" t="s">
        <v>590</v>
      </c>
      <c r="B1758" t="s">
        <v>589</v>
      </c>
      <c r="C1758" s="4" t="s">
        <v>588</v>
      </c>
      <c r="D1758" t="s">
        <v>21</v>
      </c>
      <c r="F1758" t="s">
        <v>587</v>
      </c>
      <c r="G1758" s="3">
        <v>8094533927</v>
      </c>
      <c r="H1758" s="2">
        <v>46141</v>
      </c>
      <c r="K1758" s="1">
        <f ca="1">IF(A1758="","",IF(OR(L1758="ENTREGADA",L1758="RETORNADA",L1758="ENTREGA DIGITAL"),0,MAX(0,5-NETWORKDAYS(H1758+1,TODAY()))))</f>
        <v>3</v>
      </c>
      <c r="L1758">
        <f>IF(A1758="","",IFERROR(LOOKUP(2,1/(#REF!=Z1758),#REF!),Y1758))</f>
        <v>0</v>
      </c>
      <c r="Z1758" t="str">
        <f>IF(A1758="","",TEXT(A1758,"0")&amp;"|"&amp;TEXT(H1758,"0"))</f>
        <v>4921017936426730|46141</v>
      </c>
      <c r="AA1758" t="str">
        <f>IF(Z1758="","",IFERROR(LOOKUP(2,1/(#REF!=Z1758),#REF!),""))</f>
        <v/>
      </c>
      <c r="AB1758" t="str">
        <f>IF(Z1758="","",IFERROR(LOOKUP(2,1/(#REF!=Z1758),#REF!),""))</f>
        <v/>
      </c>
      <c r="AC1758" t="e">
        <f>IF(Z1758="","",COUNTIF(#REF!,Z1758))</f>
        <v>#REF!</v>
      </c>
      <c r="AD1758" t="e">
        <f>IF(A1758="","",IF(AC1758&gt;1,"REVISAR DUPLICADO",IF(AA1758&lt;&gt;"","ACTUALIZADO POR EYR","SIN REPORTE EYR")))</f>
        <v>#REF!</v>
      </c>
    </row>
    <row r="1759" spans="1:30" x14ac:dyDescent="0.3">
      <c r="A1759" s="5" t="s">
        <v>586</v>
      </c>
      <c r="B1759" t="s">
        <v>585</v>
      </c>
      <c r="C1759" s="4" t="s">
        <v>584</v>
      </c>
      <c r="D1759" t="s">
        <v>21</v>
      </c>
      <c r="F1759" t="s">
        <v>583</v>
      </c>
      <c r="G1759" s="3">
        <v>8293569887</v>
      </c>
      <c r="H1759" s="2">
        <v>46141</v>
      </c>
      <c r="K1759" s="1">
        <f ca="1">IF(A1759="","",IF(OR(L1759="ENTREGADA",L1759="RETORNADA",L1759="ENTREGA DIGITAL"),0,MAX(0,5-NETWORKDAYS(H1759+1,TODAY()))))</f>
        <v>3</v>
      </c>
      <c r="L1759">
        <f>IF(A1759="","",IFERROR(LOOKUP(2,1/(#REF!=Z1759),#REF!),Y1759))</f>
        <v>0</v>
      </c>
      <c r="Z1759" t="str">
        <f>IF(A1759="","",TEXT(A1759,"0")&amp;"|"&amp;TEXT(H1759,"0"))</f>
        <v>5188017934426410|46141</v>
      </c>
      <c r="AA1759" t="str">
        <f>IF(Z1759="","",IFERROR(LOOKUP(2,1/(#REF!=Z1759),#REF!),""))</f>
        <v/>
      </c>
      <c r="AB1759" t="str">
        <f>IF(Z1759="","",IFERROR(LOOKUP(2,1/(#REF!=Z1759),#REF!),""))</f>
        <v/>
      </c>
      <c r="AC1759" t="e">
        <f>IF(Z1759="","",COUNTIF(#REF!,Z1759))</f>
        <v>#REF!</v>
      </c>
      <c r="AD1759" t="e">
        <f>IF(A1759="","",IF(AC1759&gt;1,"REVISAR DUPLICADO",IF(AA1759&lt;&gt;"","ACTUALIZADO POR EYR","SIN REPORTE EYR")))</f>
        <v>#REF!</v>
      </c>
    </row>
    <row r="1760" spans="1:30" x14ac:dyDescent="0.3">
      <c r="A1760" s="5" t="s">
        <v>582</v>
      </c>
      <c r="B1760" t="s">
        <v>581</v>
      </c>
      <c r="C1760" s="4" t="s">
        <v>580</v>
      </c>
      <c r="D1760" t="s">
        <v>21</v>
      </c>
      <c r="F1760" t="s">
        <v>579</v>
      </c>
      <c r="G1760" s="3">
        <v>8093392224</v>
      </c>
      <c r="H1760" s="2">
        <v>46141</v>
      </c>
      <c r="K1760" s="1">
        <f ca="1">IF(A1760="","",IF(OR(L1760="ENTREGADA",L1760="RETORNADA",L1760="ENTREGA DIGITAL"),0,MAX(0,5-NETWORKDAYS(H1760+1,TODAY()))))</f>
        <v>3</v>
      </c>
      <c r="L1760">
        <f>IF(A1760="","",IFERROR(LOOKUP(2,1/(#REF!=Z1760),#REF!),Y1760))</f>
        <v>0</v>
      </c>
      <c r="Z1760" t="str">
        <f>IF(A1760="","",TEXT(A1760,"0")&amp;"|"&amp;TEXT(H1760,"0"))</f>
        <v>4921017936069970|46141</v>
      </c>
      <c r="AA1760" t="str">
        <f>IF(Z1760="","",IFERROR(LOOKUP(2,1/(#REF!=Z1760),#REF!),""))</f>
        <v/>
      </c>
      <c r="AB1760" t="str">
        <f>IF(Z1760="","",IFERROR(LOOKUP(2,1/(#REF!=Z1760),#REF!),""))</f>
        <v/>
      </c>
      <c r="AC1760" t="e">
        <f>IF(Z1760="","",COUNTIF(#REF!,Z1760))</f>
        <v>#REF!</v>
      </c>
      <c r="AD1760" t="e">
        <f>IF(A1760="","",IF(AC1760&gt;1,"REVISAR DUPLICADO",IF(AA1760&lt;&gt;"","ACTUALIZADO POR EYR","SIN REPORTE EYR")))</f>
        <v>#REF!</v>
      </c>
    </row>
    <row r="1761" spans="1:30" x14ac:dyDescent="0.3">
      <c r="A1761" s="5" t="s">
        <v>578</v>
      </c>
      <c r="B1761" t="s">
        <v>577</v>
      </c>
      <c r="C1761" s="4" t="s">
        <v>576</v>
      </c>
      <c r="D1761" t="s">
        <v>21</v>
      </c>
      <c r="F1761" t="s">
        <v>13</v>
      </c>
      <c r="G1761" s="3">
        <v>8093162859</v>
      </c>
      <c r="H1761" s="2">
        <v>46141</v>
      </c>
      <c r="K1761" s="1">
        <f ca="1">IF(A1761="","",IF(OR(L1761="ENTREGADA",L1761="RETORNADA",L1761="ENTREGA DIGITAL"),0,MAX(0,5-NETWORKDAYS(H1761+1,TODAY()))))</f>
        <v>3</v>
      </c>
      <c r="L1761">
        <f>IF(A1761="","",IFERROR(LOOKUP(2,1/(#REF!=Z1761),#REF!),Y1761))</f>
        <v>0</v>
      </c>
      <c r="Z1761" t="str">
        <f>IF(A1761="","",TEXT(A1761,"0")&amp;"|"&amp;TEXT(H1761,"0"))</f>
        <v>5188017928276240|46141</v>
      </c>
      <c r="AA1761" t="str">
        <f>IF(Z1761="","",IFERROR(LOOKUP(2,1/(#REF!=Z1761),#REF!),""))</f>
        <v/>
      </c>
      <c r="AB1761" t="str">
        <f>IF(Z1761="","",IFERROR(LOOKUP(2,1/(#REF!=Z1761),#REF!),""))</f>
        <v/>
      </c>
      <c r="AC1761" t="e">
        <f>IF(Z1761="","",COUNTIF(#REF!,Z1761))</f>
        <v>#REF!</v>
      </c>
      <c r="AD1761" t="e">
        <f>IF(A1761="","",IF(AC1761&gt;1,"REVISAR DUPLICADO",IF(AA1761&lt;&gt;"","ACTUALIZADO POR EYR","SIN REPORTE EYR")))</f>
        <v>#REF!</v>
      </c>
    </row>
    <row r="1762" spans="1:30" x14ac:dyDescent="0.3">
      <c r="A1762" s="5" t="s">
        <v>575</v>
      </c>
      <c r="B1762" t="s">
        <v>574</v>
      </c>
      <c r="C1762" s="4" t="s">
        <v>573</v>
      </c>
      <c r="D1762" t="s">
        <v>21</v>
      </c>
      <c r="F1762" t="s">
        <v>13</v>
      </c>
      <c r="G1762" s="3">
        <v>8298723167</v>
      </c>
      <c r="H1762" s="2">
        <v>46141</v>
      </c>
      <c r="K1762" s="1">
        <f ca="1">IF(A1762="","",IF(OR(L1762="ENTREGADA",L1762="RETORNADA",L1762="ENTREGA DIGITAL"),0,MAX(0,5-NETWORKDAYS(H1762+1,TODAY()))))</f>
        <v>3</v>
      </c>
      <c r="L1762">
        <f>IF(A1762="","",IFERROR(LOOKUP(2,1/(#REF!=Z1762),#REF!),Y1762))</f>
        <v>0</v>
      </c>
      <c r="Z1762" t="str">
        <f>IF(A1762="","",TEXT(A1762,"0")&amp;"|"&amp;TEXT(H1762,"0"))</f>
        <v>4921017928966930|46141</v>
      </c>
      <c r="AA1762" t="str">
        <f>IF(Z1762="","",IFERROR(LOOKUP(2,1/(#REF!=Z1762),#REF!),""))</f>
        <v/>
      </c>
      <c r="AB1762" t="str">
        <f>IF(Z1762="","",IFERROR(LOOKUP(2,1/(#REF!=Z1762),#REF!),""))</f>
        <v/>
      </c>
      <c r="AC1762" t="e">
        <f>IF(Z1762="","",COUNTIF(#REF!,Z1762))</f>
        <v>#REF!</v>
      </c>
      <c r="AD1762" t="e">
        <f>IF(A1762="","",IF(AC1762&gt;1,"REVISAR DUPLICADO",IF(AA1762&lt;&gt;"","ACTUALIZADO POR EYR","SIN REPORTE EYR")))</f>
        <v>#REF!</v>
      </c>
    </row>
    <row r="1763" spans="1:30" x14ac:dyDescent="0.3">
      <c r="A1763" s="5" t="s">
        <v>572</v>
      </c>
      <c r="B1763" t="s">
        <v>571</v>
      </c>
      <c r="C1763" s="4" t="s">
        <v>570</v>
      </c>
      <c r="D1763" t="s">
        <v>21</v>
      </c>
      <c r="F1763" t="s">
        <v>569</v>
      </c>
      <c r="G1763" s="3">
        <v>8093393083</v>
      </c>
      <c r="H1763" s="2">
        <v>46141</v>
      </c>
      <c r="K1763" s="1">
        <f ca="1">IF(A1763="","",IF(OR(L1763="ENTREGADA",L1763="RETORNADA",L1763="ENTREGA DIGITAL"),0,MAX(0,5-NETWORKDAYS(H1763+1,TODAY()))))</f>
        <v>3</v>
      </c>
      <c r="L1763">
        <f>IF(A1763="","",IFERROR(LOOKUP(2,1/(#REF!=Z1763),#REF!),Y1763))</f>
        <v>0</v>
      </c>
      <c r="Z1763" t="str">
        <f>IF(A1763="","",TEXT(A1763,"0")&amp;"|"&amp;TEXT(H1763,"0"))</f>
        <v>5192017934577750|46141</v>
      </c>
      <c r="AA1763" t="str">
        <f>IF(Z1763="","",IFERROR(LOOKUP(2,1/(#REF!=Z1763),#REF!),""))</f>
        <v/>
      </c>
      <c r="AB1763" t="str">
        <f>IF(Z1763="","",IFERROR(LOOKUP(2,1/(#REF!=Z1763),#REF!),""))</f>
        <v/>
      </c>
      <c r="AC1763" t="e">
        <f>IF(Z1763="","",COUNTIF(#REF!,Z1763))</f>
        <v>#REF!</v>
      </c>
      <c r="AD1763" t="e">
        <f>IF(A1763="","",IF(AC1763&gt;1,"REVISAR DUPLICADO",IF(AA1763&lt;&gt;"","ACTUALIZADO POR EYR","SIN REPORTE EYR")))</f>
        <v>#REF!</v>
      </c>
    </row>
    <row r="1764" spans="1:30" x14ac:dyDescent="0.3">
      <c r="A1764" s="5" t="s">
        <v>568</v>
      </c>
      <c r="B1764" t="s">
        <v>567</v>
      </c>
      <c r="C1764" s="4" t="s">
        <v>566</v>
      </c>
      <c r="D1764" t="s">
        <v>21</v>
      </c>
      <c r="F1764" t="s">
        <v>13</v>
      </c>
      <c r="G1764" s="3">
        <v>8298389652</v>
      </c>
      <c r="H1764" s="2">
        <v>46141</v>
      </c>
      <c r="K1764" s="1">
        <f ca="1">IF(A1764="","",IF(OR(L1764="ENTREGADA",L1764="RETORNADA",L1764="ENTREGA DIGITAL"),0,MAX(0,5-NETWORKDAYS(H1764+1,TODAY()))))</f>
        <v>3</v>
      </c>
      <c r="L1764">
        <f>IF(A1764="","",IFERROR(LOOKUP(2,1/(#REF!=Z1764),#REF!),Y1764))</f>
        <v>0</v>
      </c>
      <c r="Z1764" t="str">
        <f>IF(A1764="","",TEXT(A1764,"0")&amp;"|"&amp;TEXT(H1764,"0"))</f>
        <v>4741017932871160|46141</v>
      </c>
      <c r="AA1764" t="str">
        <f>IF(Z1764="","",IFERROR(LOOKUP(2,1/(#REF!=Z1764),#REF!),""))</f>
        <v/>
      </c>
      <c r="AB1764" t="str">
        <f>IF(Z1764="","",IFERROR(LOOKUP(2,1/(#REF!=Z1764),#REF!),""))</f>
        <v/>
      </c>
      <c r="AC1764" t="e">
        <f>IF(Z1764="","",COUNTIF(#REF!,Z1764))</f>
        <v>#REF!</v>
      </c>
      <c r="AD1764" t="e">
        <f>IF(A1764="","",IF(AC1764&gt;1,"REVISAR DUPLICADO",IF(AA1764&lt;&gt;"","ACTUALIZADO POR EYR","SIN REPORTE EYR")))</f>
        <v>#REF!</v>
      </c>
    </row>
    <row r="1765" spans="1:30" x14ac:dyDescent="0.3">
      <c r="A1765" s="5" t="s">
        <v>565</v>
      </c>
      <c r="B1765" t="s">
        <v>564</v>
      </c>
      <c r="C1765" s="4" t="s">
        <v>563</v>
      </c>
      <c r="D1765" t="s">
        <v>77</v>
      </c>
      <c r="F1765" t="s">
        <v>13</v>
      </c>
      <c r="G1765" s="3">
        <v>8297971660</v>
      </c>
      <c r="H1765" s="2">
        <v>46141</v>
      </c>
      <c r="K1765" s="1">
        <f ca="1">IF(A1765="","",IF(OR(L1765="ENTREGADA",L1765="RETORNADA",L1765="ENTREGA DIGITAL"),0,MAX(0,5-NETWORKDAYS(H1765+1,TODAY()))))</f>
        <v>3</v>
      </c>
      <c r="L1765">
        <f>IF(A1765="","",IFERROR(LOOKUP(2,1/(#REF!=Z1765),#REF!),Y1765))</f>
        <v>0</v>
      </c>
      <c r="Z1765" t="str">
        <f>IF(A1765="","",TEXT(A1765,"0")&amp;"|"&amp;TEXT(H1765,"0"))</f>
        <v>5549017927609980|46141</v>
      </c>
      <c r="AA1765" t="str">
        <f>IF(Z1765="","",IFERROR(LOOKUP(2,1/(#REF!=Z1765),#REF!),""))</f>
        <v/>
      </c>
      <c r="AB1765" t="str">
        <f>IF(Z1765="","",IFERROR(LOOKUP(2,1/(#REF!=Z1765),#REF!),""))</f>
        <v/>
      </c>
      <c r="AC1765" t="e">
        <f>IF(Z1765="","",COUNTIF(#REF!,Z1765))</f>
        <v>#REF!</v>
      </c>
      <c r="AD1765" t="e">
        <f>IF(A1765="","",IF(AC1765&gt;1,"REVISAR DUPLICADO",IF(AA1765&lt;&gt;"","ACTUALIZADO POR EYR","SIN REPORTE EYR")))</f>
        <v>#REF!</v>
      </c>
    </row>
    <row r="1766" spans="1:30" x14ac:dyDescent="0.3">
      <c r="A1766" s="5" t="s">
        <v>562</v>
      </c>
      <c r="B1766" t="s">
        <v>561</v>
      </c>
      <c r="C1766" s="4" t="s">
        <v>560</v>
      </c>
      <c r="D1766" t="s">
        <v>77</v>
      </c>
      <c r="F1766" t="s">
        <v>559</v>
      </c>
      <c r="G1766" s="3">
        <v>8293833432</v>
      </c>
      <c r="H1766" s="2">
        <v>46141</v>
      </c>
      <c r="K1766" s="1">
        <f ca="1">IF(A1766="","",IF(OR(L1766="ENTREGADA",L1766="RETORNADA",L1766="ENTREGA DIGITAL"),0,MAX(0,5-NETWORKDAYS(H1766+1,TODAY()))))</f>
        <v>3</v>
      </c>
      <c r="L1766">
        <f>IF(A1766="","",IFERROR(LOOKUP(2,1/(#REF!=Z1766),#REF!),Y1766))</f>
        <v>0</v>
      </c>
      <c r="Z1766" t="str">
        <f>IF(A1766="","",TEXT(A1766,"0")&amp;"|"&amp;TEXT(H1766,"0"))</f>
        <v>4741017932261390|46141</v>
      </c>
      <c r="AA1766" t="str">
        <f>IF(Z1766="","",IFERROR(LOOKUP(2,1/(#REF!=Z1766),#REF!),""))</f>
        <v/>
      </c>
      <c r="AB1766" t="str">
        <f>IF(Z1766="","",IFERROR(LOOKUP(2,1/(#REF!=Z1766),#REF!),""))</f>
        <v/>
      </c>
      <c r="AC1766" t="e">
        <f>IF(Z1766="","",COUNTIF(#REF!,Z1766))</f>
        <v>#REF!</v>
      </c>
      <c r="AD1766" t="e">
        <f>IF(A1766="","",IF(AC1766&gt;1,"REVISAR DUPLICADO",IF(AA1766&lt;&gt;"","ACTUALIZADO POR EYR","SIN REPORTE EYR")))</f>
        <v>#REF!</v>
      </c>
    </row>
    <row r="1767" spans="1:30" x14ac:dyDescent="0.3">
      <c r="A1767" s="5" t="s">
        <v>558</v>
      </c>
      <c r="B1767" t="s">
        <v>557</v>
      </c>
      <c r="C1767" s="4" t="s">
        <v>556</v>
      </c>
      <c r="D1767" t="s">
        <v>77</v>
      </c>
      <c r="F1767" t="s">
        <v>13</v>
      </c>
      <c r="G1767" s="3">
        <v>8094403070</v>
      </c>
      <c r="H1767" s="2">
        <v>46141</v>
      </c>
      <c r="K1767" s="1">
        <f ca="1">IF(A1767="","",IF(OR(L1767="ENTREGADA",L1767="RETORNADA",L1767="ENTREGA DIGITAL"),0,MAX(0,5-NETWORKDAYS(H1767+1,TODAY()))))</f>
        <v>3</v>
      </c>
      <c r="L1767">
        <f>IF(A1767="","",IFERROR(LOOKUP(2,1/(#REF!=Z1767),#REF!),Y1767))</f>
        <v>0</v>
      </c>
      <c r="Z1767" t="str">
        <f>IF(A1767="","",TEXT(A1767,"0")&amp;"|"&amp;TEXT(H1767,"0"))</f>
        <v>5549017927542180|46141</v>
      </c>
      <c r="AA1767" t="str">
        <f>IF(Z1767="","",IFERROR(LOOKUP(2,1/(#REF!=Z1767),#REF!),""))</f>
        <v/>
      </c>
      <c r="AB1767" t="str">
        <f>IF(Z1767="","",IFERROR(LOOKUP(2,1/(#REF!=Z1767),#REF!),""))</f>
        <v/>
      </c>
      <c r="AC1767" t="e">
        <f>IF(Z1767="","",COUNTIF(#REF!,Z1767))</f>
        <v>#REF!</v>
      </c>
      <c r="AD1767" t="e">
        <f>IF(A1767="","",IF(AC1767&gt;1,"REVISAR DUPLICADO",IF(AA1767&lt;&gt;"","ACTUALIZADO POR EYR","SIN REPORTE EYR")))</f>
        <v>#REF!</v>
      </c>
    </row>
    <row r="1768" spans="1:30" x14ac:dyDescent="0.3">
      <c r="A1768" s="5" t="s">
        <v>555</v>
      </c>
      <c r="B1768" t="s">
        <v>554</v>
      </c>
      <c r="C1768" s="4" t="s">
        <v>553</v>
      </c>
      <c r="D1768" t="s">
        <v>77</v>
      </c>
      <c r="F1768" t="s">
        <v>552</v>
      </c>
      <c r="G1768" s="3">
        <v>8097462791</v>
      </c>
      <c r="H1768" s="2">
        <v>46141</v>
      </c>
      <c r="K1768" s="1">
        <f ca="1">IF(A1768="","",IF(OR(L1768="ENTREGADA",L1768="RETORNADA",L1768="ENTREGA DIGITAL"),0,MAX(0,5-NETWORKDAYS(H1768+1,TODAY()))))</f>
        <v>3</v>
      </c>
      <c r="L1768">
        <f>IF(A1768="","",IFERROR(LOOKUP(2,1/(#REF!=Z1768),#REF!),Y1768))</f>
        <v>0</v>
      </c>
      <c r="Z1768" t="str">
        <f>IF(A1768="","",TEXT(A1768,"0")&amp;"|"&amp;TEXT(H1768,"0"))</f>
        <v>4025017932075450|46141</v>
      </c>
      <c r="AA1768" t="str">
        <f>IF(Z1768="","",IFERROR(LOOKUP(2,1/(#REF!=Z1768),#REF!),""))</f>
        <v/>
      </c>
      <c r="AB1768" t="str">
        <f>IF(Z1768="","",IFERROR(LOOKUP(2,1/(#REF!=Z1768),#REF!),""))</f>
        <v/>
      </c>
      <c r="AC1768" t="e">
        <f>IF(Z1768="","",COUNTIF(#REF!,Z1768))</f>
        <v>#REF!</v>
      </c>
      <c r="AD1768" t="e">
        <f>IF(A1768="","",IF(AC1768&gt;1,"REVISAR DUPLICADO",IF(AA1768&lt;&gt;"","ACTUALIZADO POR EYR","SIN REPORTE EYR")))</f>
        <v>#REF!</v>
      </c>
    </row>
    <row r="1769" spans="1:30" x14ac:dyDescent="0.3">
      <c r="A1769" s="5" t="s">
        <v>551</v>
      </c>
      <c r="B1769" t="s">
        <v>550</v>
      </c>
      <c r="C1769" s="4" t="s">
        <v>549</v>
      </c>
      <c r="D1769" t="s">
        <v>77</v>
      </c>
      <c r="F1769" t="s">
        <v>548</v>
      </c>
      <c r="G1769" s="3">
        <v>8097460156</v>
      </c>
      <c r="H1769" s="2">
        <v>46141</v>
      </c>
      <c r="K1769" s="1">
        <f ca="1">IF(A1769="","",IF(OR(L1769="ENTREGADA",L1769="RETORNADA",L1769="ENTREGA DIGITAL"),0,MAX(0,5-NETWORKDAYS(H1769+1,TODAY()))))</f>
        <v>3</v>
      </c>
      <c r="L1769">
        <f>IF(A1769="","",IFERROR(LOOKUP(2,1/(#REF!=Z1769),#REF!),Y1769))</f>
        <v>0</v>
      </c>
      <c r="Z1769" t="str">
        <f>IF(A1769="","",TEXT(A1769,"0")&amp;"|"&amp;TEXT(H1769,"0"))</f>
        <v>4741017936938840|46141</v>
      </c>
      <c r="AA1769" t="str">
        <f>IF(Z1769="","",IFERROR(LOOKUP(2,1/(#REF!=Z1769),#REF!),""))</f>
        <v/>
      </c>
      <c r="AB1769" t="str">
        <f>IF(Z1769="","",IFERROR(LOOKUP(2,1/(#REF!=Z1769),#REF!),""))</f>
        <v/>
      </c>
      <c r="AC1769" t="e">
        <f>IF(Z1769="","",COUNTIF(#REF!,Z1769))</f>
        <v>#REF!</v>
      </c>
      <c r="AD1769" t="e">
        <f>IF(A1769="","",IF(AC1769&gt;1,"REVISAR DUPLICADO",IF(AA1769&lt;&gt;"","ACTUALIZADO POR EYR","SIN REPORTE EYR")))</f>
        <v>#REF!</v>
      </c>
    </row>
    <row r="1770" spans="1:30" x14ac:dyDescent="0.3">
      <c r="A1770" s="5" t="s">
        <v>547</v>
      </c>
      <c r="B1770" t="s">
        <v>546</v>
      </c>
      <c r="C1770" s="4" t="s">
        <v>545</v>
      </c>
      <c r="D1770" t="s">
        <v>77</v>
      </c>
      <c r="F1770" t="s">
        <v>544</v>
      </c>
      <c r="G1770" s="3">
        <v>8296270419</v>
      </c>
      <c r="H1770" s="2">
        <v>46141</v>
      </c>
      <c r="K1770" s="1">
        <f ca="1">IF(A1770="","",IF(OR(L1770="ENTREGADA",L1770="RETORNADA",L1770="ENTREGA DIGITAL"),0,MAX(0,5-NETWORKDAYS(H1770+1,TODAY()))))</f>
        <v>3</v>
      </c>
      <c r="L1770">
        <f>IF(A1770="","",IFERROR(LOOKUP(2,1/(#REF!=Z1770),#REF!),Y1770))</f>
        <v>0</v>
      </c>
      <c r="Z1770" t="str">
        <f>IF(A1770="","",TEXT(A1770,"0")&amp;"|"&amp;TEXT(H1770,"0"))</f>
        <v>5188017934521830|46141</v>
      </c>
      <c r="AA1770" t="str">
        <f>IF(Z1770="","",IFERROR(LOOKUP(2,1/(#REF!=Z1770),#REF!),""))</f>
        <v/>
      </c>
      <c r="AB1770" t="str">
        <f>IF(Z1770="","",IFERROR(LOOKUP(2,1/(#REF!=Z1770),#REF!),""))</f>
        <v/>
      </c>
      <c r="AC1770" t="e">
        <f>IF(Z1770="","",COUNTIF(#REF!,Z1770))</f>
        <v>#REF!</v>
      </c>
      <c r="AD1770" t="e">
        <f>IF(A1770="","",IF(AC1770&gt;1,"REVISAR DUPLICADO",IF(AA1770&lt;&gt;"","ACTUALIZADO POR EYR","SIN REPORTE EYR")))</f>
        <v>#REF!</v>
      </c>
    </row>
    <row r="1771" spans="1:30" x14ac:dyDescent="0.3">
      <c r="A1771" s="5" t="s">
        <v>543</v>
      </c>
      <c r="B1771" t="s">
        <v>542</v>
      </c>
      <c r="C1771" s="4" t="s">
        <v>541</v>
      </c>
      <c r="D1771" t="s">
        <v>77</v>
      </c>
      <c r="F1771" t="s">
        <v>540</v>
      </c>
      <c r="G1771" s="3">
        <v>8298772447</v>
      </c>
      <c r="H1771" s="2">
        <v>46141</v>
      </c>
      <c r="K1771" s="1">
        <f ca="1">IF(A1771="","",IF(OR(L1771="ENTREGADA",L1771="RETORNADA",L1771="ENTREGA DIGITAL"),0,MAX(0,5-NETWORKDAYS(H1771+1,TODAY()))))</f>
        <v>3</v>
      </c>
      <c r="L1771">
        <f>IF(A1771="","",IFERROR(LOOKUP(2,1/(#REF!=Z1771),#REF!),Y1771))</f>
        <v>0</v>
      </c>
      <c r="Z1771" t="str">
        <f>IF(A1771="","",TEXT(A1771,"0")&amp;"|"&amp;TEXT(H1771,"0"))</f>
        <v>4921017935937390|46141</v>
      </c>
      <c r="AA1771" t="str">
        <f>IF(Z1771="","",IFERROR(LOOKUP(2,1/(#REF!=Z1771),#REF!),""))</f>
        <v/>
      </c>
      <c r="AB1771" t="str">
        <f>IF(Z1771="","",IFERROR(LOOKUP(2,1/(#REF!=Z1771),#REF!),""))</f>
        <v/>
      </c>
      <c r="AC1771" t="e">
        <f>IF(Z1771="","",COUNTIF(#REF!,Z1771))</f>
        <v>#REF!</v>
      </c>
      <c r="AD1771" t="e">
        <f>IF(A1771="","",IF(AC1771&gt;1,"REVISAR DUPLICADO",IF(AA1771&lt;&gt;"","ACTUALIZADO POR EYR","SIN REPORTE EYR")))</f>
        <v>#REF!</v>
      </c>
    </row>
    <row r="1772" spans="1:30" x14ac:dyDescent="0.3">
      <c r="A1772" s="5" t="s">
        <v>539</v>
      </c>
      <c r="B1772" t="s">
        <v>538</v>
      </c>
      <c r="C1772" s="4" t="s">
        <v>537</v>
      </c>
      <c r="D1772" t="s">
        <v>77</v>
      </c>
      <c r="F1772" t="s">
        <v>13</v>
      </c>
      <c r="G1772" s="3">
        <v>8297920744</v>
      </c>
      <c r="H1772" s="2">
        <v>46141</v>
      </c>
      <c r="K1772" s="1">
        <f ca="1">IF(A1772="","",IF(OR(L1772="ENTREGADA",L1772="RETORNADA",L1772="ENTREGA DIGITAL"),0,MAX(0,5-NETWORKDAYS(H1772+1,TODAY()))))</f>
        <v>3</v>
      </c>
      <c r="L1772">
        <f>IF(A1772="","",IFERROR(LOOKUP(2,1/(#REF!=Z1772),#REF!),Y1772))</f>
        <v>0</v>
      </c>
      <c r="Z1772" t="str">
        <f>IF(A1772="","",TEXT(A1772,"0")&amp;"|"&amp;TEXT(H1772,"0"))</f>
        <v>5400017927799880|46141</v>
      </c>
      <c r="AA1772" t="str">
        <f>IF(Z1772="","",IFERROR(LOOKUP(2,1/(#REF!=Z1772),#REF!),""))</f>
        <v/>
      </c>
      <c r="AB1772" t="str">
        <f>IF(Z1772="","",IFERROR(LOOKUP(2,1/(#REF!=Z1772),#REF!),""))</f>
        <v/>
      </c>
      <c r="AC1772" t="e">
        <f>IF(Z1772="","",COUNTIF(#REF!,Z1772))</f>
        <v>#REF!</v>
      </c>
      <c r="AD1772" t="e">
        <f>IF(A1772="","",IF(AC1772&gt;1,"REVISAR DUPLICADO",IF(AA1772&lt;&gt;"","ACTUALIZADO POR EYR","SIN REPORTE EYR")))</f>
        <v>#REF!</v>
      </c>
    </row>
    <row r="1773" spans="1:30" x14ac:dyDescent="0.3">
      <c r="A1773" s="5" t="s">
        <v>536</v>
      </c>
      <c r="B1773" t="s">
        <v>535</v>
      </c>
      <c r="C1773" s="4" t="s">
        <v>534</v>
      </c>
      <c r="D1773" t="s">
        <v>77</v>
      </c>
      <c r="F1773" t="s">
        <v>13</v>
      </c>
      <c r="G1773" s="3">
        <v>9999999999</v>
      </c>
      <c r="H1773" s="2">
        <v>46141</v>
      </c>
      <c r="K1773" s="1">
        <f ca="1">IF(A1773="","",IF(OR(L1773="ENTREGADA",L1773="RETORNADA",L1773="ENTREGA DIGITAL"),0,MAX(0,5-NETWORKDAYS(H1773+1,TODAY()))))</f>
        <v>3</v>
      </c>
      <c r="L1773">
        <f>IF(A1773="","",IFERROR(LOOKUP(2,1/(#REF!=Z1773),#REF!),Y1773))</f>
        <v>0</v>
      </c>
      <c r="Z1773" t="str">
        <f>IF(A1773="","",TEXT(A1773,"0")&amp;"|"&amp;TEXT(H1773,"0"))</f>
        <v>4173017933059530|46141</v>
      </c>
      <c r="AA1773" t="str">
        <f>IF(Z1773="","",IFERROR(LOOKUP(2,1/(#REF!=Z1773),#REF!),""))</f>
        <v/>
      </c>
      <c r="AB1773" t="str">
        <f>IF(Z1773="","",IFERROR(LOOKUP(2,1/(#REF!=Z1773),#REF!),""))</f>
        <v/>
      </c>
      <c r="AC1773" t="e">
        <f>IF(Z1773="","",COUNTIF(#REF!,Z1773))</f>
        <v>#REF!</v>
      </c>
      <c r="AD1773" t="e">
        <f>IF(A1773="","",IF(AC1773&gt;1,"REVISAR DUPLICADO",IF(AA1773&lt;&gt;"","ACTUALIZADO POR EYR","SIN REPORTE EYR")))</f>
        <v>#REF!</v>
      </c>
    </row>
    <row r="1774" spans="1:30" x14ac:dyDescent="0.3">
      <c r="A1774" s="5" t="s">
        <v>533</v>
      </c>
      <c r="B1774" t="s">
        <v>532</v>
      </c>
      <c r="C1774" s="4" t="s">
        <v>531</v>
      </c>
      <c r="D1774" t="s">
        <v>77</v>
      </c>
      <c r="F1774" t="s">
        <v>530</v>
      </c>
      <c r="G1774" s="3">
        <v>8093998415</v>
      </c>
      <c r="H1774" s="2">
        <v>46141</v>
      </c>
      <c r="K1774" s="1">
        <f ca="1">IF(A1774="","",IF(OR(L1774="ENTREGADA",L1774="RETORNADA",L1774="ENTREGA DIGITAL"),0,MAX(0,5-NETWORKDAYS(H1774+1,TODAY()))))</f>
        <v>3</v>
      </c>
      <c r="L1774">
        <f>IF(A1774="","",IFERROR(LOOKUP(2,1/(#REF!=Z1774),#REF!),Y1774))</f>
        <v>0</v>
      </c>
      <c r="Z1774" t="str">
        <f>IF(A1774="","",TEXT(A1774,"0")&amp;"|"&amp;TEXT(H1774,"0"))</f>
        <v>5523017926779270|46141</v>
      </c>
      <c r="AA1774" t="str">
        <f>IF(Z1774="","",IFERROR(LOOKUP(2,1/(#REF!=Z1774),#REF!),""))</f>
        <v/>
      </c>
      <c r="AB1774" t="str">
        <f>IF(Z1774="","",IFERROR(LOOKUP(2,1/(#REF!=Z1774),#REF!),""))</f>
        <v/>
      </c>
      <c r="AC1774" t="e">
        <f>IF(Z1774="","",COUNTIF(#REF!,Z1774))</f>
        <v>#REF!</v>
      </c>
      <c r="AD1774" t="e">
        <f>IF(A1774="","",IF(AC1774&gt;1,"REVISAR DUPLICADO",IF(AA1774&lt;&gt;"","ACTUALIZADO POR EYR","SIN REPORTE EYR")))</f>
        <v>#REF!</v>
      </c>
    </row>
    <row r="1775" spans="1:30" x14ac:dyDescent="0.3">
      <c r="A1775" s="5" t="s">
        <v>529</v>
      </c>
      <c r="B1775" t="s">
        <v>528</v>
      </c>
      <c r="C1775" s="4" t="s">
        <v>527</v>
      </c>
      <c r="D1775" t="s">
        <v>1</v>
      </c>
      <c r="F1775" t="s">
        <v>13</v>
      </c>
      <c r="G1775" s="3">
        <v>8097066846</v>
      </c>
      <c r="H1775" s="2">
        <v>46141</v>
      </c>
      <c r="K1775" s="1">
        <f ca="1">IF(A1775="","",IF(OR(L1775="ENTREGADA",L1775="RETORNADA",L1775="ENTREGA DIGITAL"),0,MAX(0,5-NETWORKDAYS(H1775+1,TODAY()))))</f>
        <v>3</v>
      </c>
      <c r="L1775">
        <f>IF(A1775="","",IFERROR(LOOKUP(2,1/(#REF!=Z1775),#REF!),Y1775))</f>
        <v>0</v>
      </c>
      <c r="Z1775" t="str">
        <f>IF(A1775="","",TEXT(A1775,"0")&amp;"|"&amp;TEXT(H1775,"0"))</f>
        <v>4966017935098080|46141</v>
      </c>
      <c r="AA1775" t="str">
        <f>IF(Z1775="","",IFERROR(LOOKUP(2,1/(#REF!=Z1775),#REF!),""))</f>
        <v/>
      </c>
      <c r="AB1775" t="str">
        <f>IF(Z1775="","",IFERROR(LOOKUP(2,1/(#REF!=Z1775),#REF!),""))</f>
        <v/>
      </c>
      <c r="AC1775" t="e">
        <f>IF(Z1775="","",COUNTIF(#REF!,Z1775))</f>
        <v>#REF!</v>
      </c>
      <c r="AD1775" t="e">
        <f>IF(A1775="","",IF(AC1775&gt;1,"REVISAR DUPLICADO",IF(AA1775&lt;&gt;"","ACTUALIZADO POR EYR","SIN REPORTE EYR")))</f>
        <v>#REF!</v>
      </c>
    </row>
    <row r="1776" spans="1:30" x14ac:dyDescent="0.3">
      <c r="A1776" s="5" t="s">
        <v>526</v>
      </c>
      <c r="B1776" t="s">
        <v>525</v>
      </c>
      <c r="C1776" s="4" t="s">
        <v>524</v>
      </c>
      <c r="D1776" t="s">
        <v>21</v>
      </c>
      <c r="E1776" t="s">
        <v>21</v>
      </c>
      <c r="F1776" t="s">
        <v>62</v>
      </c>
      <c r="G1776" s="3">
        <v>8098391691</v>
      </c>
      <c r="H1776" s="2">
        <v>46141</v>
      </c>
      <c r="K1776" s="1">
        <f ca="1">IF(A1776="","",IF(OR(L1776="ENTREGADA",L1776="RETORNADA",L1776="ENTREGA DIGITAL"),0,MAX(0,5-NETWORKDAYS(H1776+1,TODAY()))))</f>
        <v>3</v>
      </c>
      <c r="L1776">
        <f>IF(A1776="","",IFERROR(LOOKUP(2,1/(#REF!=Z1776),#REF!),Y1776))</f>
        <v>0</v>
      </c>
      <c r="Z1776" t="str">
        <f>IF(A1776="","",TEXT(A1776,"0")&amp;"|"&amp;TEXT(H1776,"0"))</f>
        <v>5415017933655790|46141</v>
      </c>
      <c r="AA1776" t="str">
        <f>IF(Z1776="","",IFERROR(LOOKUP(2,1/(#REF!=Z1776),#REF!),""))</f>
        <v/>
      </c>
      <c r="AB1776" t="str">
        <f>IF(Z1776="","",IFERROR(LOOKUP(2,1/(#REF!=Z1776),#REF!),""))</f>
        <v/>
      </c>
      <c r="AC1776" t="e">
        <f>IF(Z1776="","",COUNTIF(#REF!,Z1776))</f>
        <v>#REF!</v>
      </c>
      <c r="AD1776" t="e">
        <f>IF(A1776="","",IF(AC1776&gt;1,"REVISAR DUPLICADO",IF(AA1776&lt;&gt;"","ACTUALIZADO POR EYR","SIN REPORTE EYR")))</f>
        <v>#REF!</v>
      </c>
    </row>
    <row r="1777" spans="1:30" x14ac:dyDescent="0.3">
      <c r="A1777" s="5" t="s">
        <v>523</v>
      </c>
      <c r="B1777" t="s">
        <v>522</v>
      </c>
      <c r="C1777" s="4" t="s">
        <v>521</v>
      </c>
      <c r="D1777" t="s">
        <v>21</v>
      </c>
      <c r="F1777" t="s">
        <v>13</v>
      </c>
      <c r="G1777" s="3">
        <v>8094074989</v>
      </c>
      <c r="H1777" s="2">
        <v>46141</v>
      </c>
      <c r="K1777" s="1">
        <f ca="1">IF(A1777="","",IF(OR(L1777="ENTREGADA",L1777="RETORNADA",L1777="ENTREGA DIGITAL"),0,MAX(0,5-NETWORKDAYS(H1777+1,TODAY()))))</f>
        <v>3</v>
      </c>
      <c r="L1777">
        <f>IF(A1777="","",IFERROR(LOOKUP(2,1/(#REF!=Z1777),#REF!),Y1777))</f>
        <v>0</v>
      </c>
      <c r="Z1777" t="str">
        <f>IF(A1777="","",TEXT(A1777,"0")&amp;"|"&amp;TEXT(H1777,"0"))</f>
        <v>4025017936822590|46141</v>
      </c>
      <c r="AA1777" t="str">
        <f>IF(Z1777="","",IFERROR(LOOKUP(2,1/(#REF!=Z1777),#REF!),""))</f>
        <v/>
      </c>
      <c r="AB1777" t="str">
        <f>IF(Z1777="","",IFERROR(LOOKUP(2,1/(#REF!=Z1777),#REF!),""))</f>
        <v/>
      </c>
      <c r="AC1777" t="e">
        <f>IF(Z1777="","",COUNTIF(#REF!,Z1777))</f>
        <v>#REF!</v>
      </c>
      <c r="AD1777" t="e">
        <f>IF(A1777="","",IF(AC1777&gt;1,"REVISAR DUPLICADO",IF(AA1777&lt;&gt;"","ACTUALIZADO POR EYR","SIN REPORTE EYR")))</f>
        <v>#REF!</v>
      </c>
    </row>
    <row r="1778" spans="1:30" x14ac:dyDescent="0.3">
      <c r="A1778" s="5" t="s">
        <v>520</v>
      </c>
      <c r="B1778" t="s">
        <v>519</v>
      </c>
      <c r="C1778" s="4" t="s">
        <v>518</v>
      </c>
      <c r="D1778" t="s">
        <v>21</v>
      </c>
      <c r="F1778" t="s">
        <v>517</v>
      </c>
      <c r="G1778" s="3">
        <v>8096886631</v>
      </c>
      <c r="H1778" s="2">
        <v>46141</v>
      </c>
      <c r="K1778" s="1">
        <f ca="1">IF(A1778="","",IF(OR(L1778="ENTREGADA",L1778="RETORNADA",L1778="ENTREGA DIGITAL"),0,MAX(0,5-NETWORKDAYS(H1778+1,TODAY()))))</f>
        <v>3</v>
      </c>
      <c r="L1778">
        <f>IF(A1778="","",IFERROR(LOOKUP(2,1/(#REF!=Z1778),#REF!),Y1778))</f>
        <v>0</v>
      </c>
      <c r="Z1778" t="str">
        <f>IF(A1778="","",TEXT(A1778,"0")&amp;"|"&amp;TEXT(H1778,"0"))</f>
        <v>5188017933500230|46141</v>
      </c>
      <c r="AA1778" t="str">
        <f>IF(Z1778="","",IFERROR(LOOKUP(2,1/(#REF!=Z1778),#REF!),""))</f>
        <v/>
      </c>
      <c r="AB1778" t="str">
        <f>IF(Z1778="","",IFERROR(LOOKUP(2,1/(#REF!=Z1778),#REF!),""))</f>
        <v/>
      </c>
      <c r="AC1778" t="e">
        <f>IF(Z1778="","",COUNTIF(#REF!,Z1778))</f>
        <v>#REF!</v>
      </c>
      <c r="AD1778" t="e">
        <f>IF(A1778="","",IF(AC1778&gt;1,"REVISAR DUPLICADO",IF(AA1778&lt;&gt;"","ACTUALIZADO POR EYR","SIN REPORTE EYR")))</f>
        <v>#REF!</v>
      </c>
    </row>
    <row r="1779" spans="1:30" x14ac:dyDescent="0.3">
      <c r="A1779" s="5" t="s">
        <v>516</v>
      </c>
      <c r="B1779" t="s">
        <v>515</v>
      </c>
      <c r="C1779" s="4" t="s">
        <v>514</v>
      </c>
      <c r="D1779" t="s">
        <v>21</v>
      </c>
      <c r="F1779" t="s">
        <v>13</v>
      </c>
      <c r="G1779" s="3">
        <v>8493985415</v>
      </c>
      <c r="H1779" s="2">
        <v>46141</v>
      </c>
      <c r="K1779" s="1">
        <f ca="1">IF(A1779="","",IF(OR(L1779="ENTREGADA",L1779="RETORNADA",L1779="ENTREGA DIGITAL"),0,MAX(0,5-NETWORKDAYS(H1779+1,TODAY()))))</f>
        <v>3</v>
      </c>
      <c r="L1779">
        <f>IF(A1779="","",IFERROR(LOOKUP(2,1/(#REF!=Z1779),#REF!),Y1779))</f>
        <v>0</v>
      </c>
      <c r="Z1779" t="str">
        <f>IF(A1779="","",TEXT(A1779,"0")&amp;"|"&amp;TEXT(H1779,"0"))</f>
        <v>4921017936504100|46141</v>
      </c>
      <c r="AA1779" t="str">
        <f>IF(Z1779="","",IFERROR(LOOKUP(2,1/(#REF!=Z1779),#REF!),""))</f>
        <v/>
      </c>
      <c r="AB1779" t="str">
        <f>IF(Z1779="","",IFERROR(LOOKUP(2,1/(#REF!=Z1779),#REF!),""))</f>
        <v/>
      </c>
      <c r="AC1779" t="e">
        <f>IF(Z1779="","",COUNTIF(#REF!,Z1779))</f>
        <v>#REF!</v>
      </c>
      <c r="AD1779" t="e">
        <f>IF(A1779="","",IF(AC1779&gt;1,"REVISAR DUPLICADO",IF(AA1779&lt;&gt;"","ACTUALIZADO POR EYR","SIN REPORTE EYR")))</f>
        <v>#REF!</v>
      </c>
    </row>
    <row r="1780" spans="1:30" x14ac:dyDescent="0.3">
      <c r="A1780" s="5" t="s">
        <v>513</v>
      </c>
      <c r="B1780" t="s">
        <v>512</v>
      </c>
      <c r="C1780" s="4" t="s">
        <v>511</v>
      </c>
      <c r="D1780" t="s">
        <v>21</v>
      </c>
      <c r="F1780" t="s">
        <v>13</v>
      </c>
      <c r="G1780" s="3">
        <v>8298856645</v>
      </c>
      <c r="H1780" s="2">
        <v>46141</v>
      </c>
      <c r="K1780" s="1">
        <f ca="1">IF(A1780="","",IF(OR(L1780="ENTREGADA",L1780="RETORNADA",L1780="ENTREGA DIGITAL"),0,MAX(0,5-NETWORKDAYS(H1780+1,TODAY()))))</f>
        <v>3</v>
      </c>
      <c r="L1780">
        <f>IF(A1780="","",IFERROR(LOOKUP(2,1/(#REF!=Z1780),#REF!),Y1780))</f>
        <v>0</v>
      </c>
      <c r="Z1780" t="str">
        <f>IF(A1780="","",TEXT(A1780,"0")&amp;"|"&amp;TEXT(H1780,"0"))</f>
        <v>4921017936485890|46141</v>
      </c>
      <c r="AA1780" t="str">
        <f>IF(Z1780="","",IFERROR(LOOKUP(2,1/(#REF!=Z1780),#REF!),""))</f>
        <v/>
      </c>
      <c r="AB1780" t="str">
        <f>IF(Z1780="","",IFERROR(LOOKUP(2,1/(#REF!=Z1780),#REF!),""))</f>
        <v/>
      </c>
      <c r="AC1780" t="e">
        <f>IF(Z1780="","",COUNTIF(#REF!,Z1780))</f>
        <v>#REF!</v>
      </c>
      <c r="AD1780" t="e">
        <f>IF(A1780="","",IF(AC1780&gt;1,"REVISAR DUPLICADO",IF(AA1780&lt;&gt;"","ACTUALIZADO POR EYR","SIN REPORTE EYR")))</f>
        <v>#REF!</v>
      </c>
    </row>
    <row r="1781" spans="1:30" x14ac:dyDescent="0.3">
      <c r="A1781" s="5" t="s">
        <v>510</v>
      </c>
      <c r="B1781" t="s">
        <v>509</v>
      </c>
      <c r="C1781" s="4" t="s">
        <v>508</v>
      </c>
      <c r="D1781" t="s">
        <v>21</v>
      </c>
      <c r="F1781" t="s">
        <v>507</v>
      </c>
      <c r="G1781" s="3">
        <v>8295913344</v>
      </c>
      <c r="H1781" s="2">
        <v>46141</v>
      </c>
      <c r="K1781" s="1">
        <f ca="1">IF(A1781="","",IF(OR(L1781="ENTREGADA",L1781="RETORNADA",L1781="ENTREGA DIGITAL"),0,MAX(0,5-NETWORKDAYS(H1781+1,TODAY()))))</f>
        <v>3</v>
      </c>
      <c r="L1781">
        <f>IF(A1781="","",IFERROR(LOOKUP(2,1/(#REF!=Z1781),#REF!),Y1781))</f>
        <v>0</v>
      </c>
      <c r="Z1781" t="str">
        <f>IF(A1781="","",TEXT(A1781,"0")&amp;"|"&amp;TEXT(H1781,"0"))</f>
        <v>4921017936216230|46141</v>
      </c>
      <c r="AA1781" t="str">
        <f>IF(Z1781="","",IFERROR(LOOKUP(2,1/(#REF!=Z1781),#REF!),""))</f>
        <v/>
      </c>
      <c r="AB1781" t="str">
        <f>IF(Z1781="","",IFERROR(LOOKUP(2,1/(#REF!=Z1781),#REF!),""))</f>
        <v/>
      </c>
      <c r="AC1781" t="e">
        <f>IF(Z1781="","",COUNTIF(#REF!,Z1781))</f>
        <v>#REF!</v>
      </c>
      <c r="AD1781" t="e">
        <f>IF(A1781="","",IF(AC1781&gt;1,"REVISAR DUPLICADO",IF(AA1781&lt;&gt;"","ACTUALIZADO POR EYR","SIN REPORTE EYR")))</f>
        <v>#REF!</v>
      </c>
    </row>
    <row r="1782" spans="1:30" x14ac:dyDescent="0.3">
      <c r="A1782" s="5" t="s">
        <v>506</v>
      </c>
      <c r="B1782" t="s">
        <v>505</v>
      </c>
      <c r="C1782" s="4" t="s">
        <v>504</v>
      </c>
      <c r="D1782" t="s">
        <v>21</v>
      </c>
      <c r="F1782" t="s">
        <v>13</v>
      </c>
      <c r="G1782" s="3">
        <v>8494816729</v>
      </c>
      <c r="H1782" s="2">
        <v>46141</v>
      </c>
      <c r="K1782" s="1">
        <f ca="1">IF(A1782="","",IF(OR(L1782="ENTREGADA",L1782="RETORNADA",L1782="ENTREGA DIGITAL"),0,MAX(0,5-NETWORKDAYS(H1782+1,TODAY()))))</f>
        <v>3</v>
      </c>
      <c r="L1782">
        <f>IF(A1782="","",IFERROR(LOOKUP(2,1/(#REF!=Z1782),#REF!),Y1782))</f>
        <v>0</v>
      </c>
      <c r="Z1782" t="str">
        <f>IF(A1782="","",TEXT(A1782,"0")&amp;"|"&amp;TEXT(H1782,"0"))</f>
        <v>5188017934037700|46141</v>
      </c>
      <c r="AA1782" t="str">
        <f>IF(Z1782="","",IFERROR(LOOKUP(2,1/(#REF!=Z1782),#REF!),""))</f>
        <v/>
      </c>
      <c r="AB1782" t="str">
        <f>IF(Z1782="","",IFERROR(LOOKUP(2,1/(#REF!=Z1782),#REF!),""))</f>
        <v/>
      </c>
      <c r="AC1782" t="e">
        <f>IF(Z1782="","",COUNTIF(#REF!,Z1782))</f>
        <v>#REF!</v>
      </c>
      <c r="AD1782" t="e">
        <f>IF(A1782="","",IF(AC1782&gt;1,"REVISAR DUPLICADO",IF(AA1782&lt;&gt;"","ACTUALIZADO POR EYR","SIN REPORTE EYR")))</f>
        <v>#REF!</v>
      </c>
    </row>
    <row r="1783" spans="1:30" x14ac:dyDescent="0.3">
      <c r="A1783" s="5" t="s">
        <v>503</v>
      </c>
      <c r="B1783" t="s">
        <v>502</v>
      </c>
      <c r="C1783" s="4" t="s">
        <v>501</v>
      </c>
      <c r="D1783" t="s">
        <v>21</v>
      </c>
      <c r="F1783" t="s">
        <v>13</v>
      </c>
      <c r="G1783" s="3">
        <v>8293535414</v>
      </c>
      <c r="H1783" s="2">
        <v>46141</v>
      </c>
      <c r="K1783" s="1">
        <f ca="1">IF(A1783="","",IF(OR(L1783="ENTREGADA",L1783="RETORNADA",L1783="ENTREGA DIGITAL"),0,MAX(0,5-NETWORKDAYS(H1783+1,TODAY()))))</f>
        <v>3</v>
      </c>
      <c r="L1783">
        <f>IF(A1783="","",IFERROR(LOOKUP(2,1/(#REF!=Z1783),#REF!),Y1783))</f>
        <v>0</v>
      </c>
      <c r="Z1783" t="str">
        <f>IF(A1783="","",TEXT(A1783,"0")&amp;"|"&amp;TEXT(H1783,"0"))</f>
        <v>5188017934198640|46141</v>
      </c>
      <c r="AA1783" t="str">
        <f>IF(Z1783="","",IFERROR(LOOKUP(2,1/(#REF!=Z1783),#REF!),""))</f>
        <v/>
      </c>
      <c r="AB1783" t="str">
        <f>IF(Z1783="","",IFERROR(LOOKUP(2,1/(#REF!=Z1783),#REF!),""))</f>
        <v/>
      </c>
      <c r="AC1783" t="e">
        <f>IF(Z1783="","",COUNTIF(#REF!,Z1783))</f>
        <v>#REF!</v>
      </c>
      <c r="AD1783" t="e">
        <f>IF(A1783="","",IF(AC1783&gt;1,"REVISAR DUPLICADO",IF(AA1783&lt;&gt;"","ACTUALIZADO POR EYR","SIN REPORTE EYR")))</f>
        <v>#REF!</v>
      </c>
    </row>
    <row r="1784" spans="1:30" x14ac:dyDescent="0.3">
      <c r="A1784" s="5" t="s">
        <v>500</v>
      </c>
      <c r="B1784" t="s">
        <v>499</v>
      </c>
      <c r="C1784" s="4" t="s">
        <v>498</v>
      </c>
      <c r="D1784" t="s">
        <v>77</v>
      </c>
      <c r="F1784" t="s">
        <v>13</v>
      </c>
      <c r="G1784" s="3">
        <v>8298579915</v>
      </c>
      <c r="H1784" s="2">
        <v>46141</v>
      </c>
      <c r="K1784" s="1">
        <f ca="1">IF(A1784="","",IF(OR(L1784="ENTREGADA",L1784="RETORNADA",L1784="ENTREGA DIGITAL"),0,MAX(0,5-NETWORKDAYS(H1784+1,TODAY()))))</f>
        <v>3</v>
      </c>
      <c r="L1784">
        <f>IF(A1784="","",IFERROR(LOOKUP(2,1/(#REF!=Z1784),#REF!),Y1784))</f>
        <v>0</v>
      </c>
      <c r="Z1784" t="str">
        <f>IF(A1784="","",TEXT(A1784,"0")&amp;"|"&amp;TEXT(H1784,"0"))</f>
        <v>4966017934921770|46141</v>
      </c>
      <c r="AA1784" t="str">
        <f>IF(Z1784="","",IFERROR(LOOKUP(2,1/(#REF!=Z1784),#REF!),""))</f>
        <v/>
      </c>
      <c r="AB1784" t="str">
        <f>IF(Z1784="","",IFERROR(LOOKUP(2,1/(#REF!=Z1784),#REF!),""))</f>
        <v/>
      </c>
      <c r="AC1784" t="e">
        <f>IF(Z1784="","",COUNTIF(#REF!,Z1784))</f>
        <v>#REF!</v>
      </c>
      <c r="AD1784" t="e">
        <f>IF(A1784="","",IF(AC1784&gt;1,"REVISAR DUPLICADO",IF(AA1784&lt;&gt;"","ACTUALIZADO POR EYR","SIN REPORTE EYR")))</f>
        <v>#REF!</v>
      </c>
    </row>
    <row r="1785" spans="1:30" x14ac:dyDescent="0.3">
      <c r="A1785" s="5" t="s">
        <v>497</v>
      </c>
      <c r="B1785" t="s">
        <v>496</v>
      </c>
      <c r="C1785" s="4" t="s">
        <v>495</v>
      </c>
      <c r="D1785" t="s">
        <v>77</v>
      </c>
      <c r="F1785" t="s">
        <v>13</v>
      </c>
      <c r="G1785" s="3">
        <v>8095064937</v>
      </c>
      <c r="H1785" s="2">
        <v>46141</v>
      </c>
      <c r="K1785" s="1">
        <f ca="1">IF(A1785="","",IF(OR(L1785="ENTREGADA",L1785="RETORNADA",L1785="ENTREGA DIGITAL"),0,MAX(0,5-NETWORKDAYS(H1785+1,TODAY()))))</f>
        <v>3</v>
      </c>
      <c r="L1785">
        <f>IF(A1785="","",IFERROR(LOOKUP(2,1/(#REF!=Z1785),#REF!),Y1785))</f>
        <v>0</v>
      </c>
      <c r="Z1785" t="str">
        <f>IF(A1785="","",TEXT(A1785,"0")&amp;"|"&amp;TEXT(H1785,"0"))</f>
        <v>5415017933570850|46141</v>
      </c>
      <c r="AA1785" t="str">
        <f>IF(Z1785="","",IFERROR(LOOKUP(2,1/(#REF!=Z1785),#REF!),""))</f>
        <v/>
      </c>
      <c r="AB1785" t="str">
        <f>IF(Z1785="","",IFERROR(LOOKUP(2,1/(#REF!=Z1785),#REF!),""))</f>
        <v/>
      </c>
      <c r="AC1785" t="e">
        <f>IF(Z1785="","",COUNTIF(#REF!,Z1785))</f>
        <v>#REF!</v>
      </c>
      <c r="AD1785" t="e">
        <f>IF(A1785="","",IF(AC1785&gt;1,"REVISAR DUPLICADO",IF(AA1785&lt;&gt;"","ACTUALIZADO POR EYR","SIN REPORTE EYR")))</f>
        <v>#REF!</v>
      </c>
    </row>
    <row r="1786" spans="1:30" x14ac:dyDescent="0.3">
      <c r="A1786" s="5" t="s">
        <v>494</v>
      </c>
      <c r="B1786" t="s">
        <v>493</v>
      </c>
      <c r="C1786" s="4" t="s">
        <v>492</v>
      </c>
      <c r="D1786" t="s">
        <v>77</v>
      </c>
      <c r="F1786" t="s">
        <v>13</v>
      </c>
      <c r="G1786" s="3">
        <v>8296651728</v>
      </c>
      <c r="H1786" s="2">
        <v>46141</v>
      </c>
      <c r="K1786" s="1">
        <f ca="1">IF(A1786="","",IF(OR(L1786="ENTREGADA",L1786="RETORNADA",L1786="ENTREGA DIGITAL"),0,MAX(0,5-NETWORKDAYS(H1786+1,TODAY()))))</f>
        <v>3</v>
      </c>
      <c r="L1786">
        <f>IF(A1786="","",IFERROR(LOOKUP(2,1/(#REF!=Z1786),#REF!),Y1786))</f>
        <v>0</v>
      </c>
      <c r="Z1786" t="str">
        <f>IF(A1786="","",TEXT(A1786,"0")&amp;"|"&amp;TEXT(H1786,"0"))</f>
        <v>4921017935533100|46141</v>
      </c>
      <c r="AA1786" t="str">
        <f>IF(Z1786="","",IFERROR(LOOKUP(2,1/(#REF!=Z1786),#REF!),""))</f>
        <v/>
      </c>
      <c r="AB1786" t="str">
        <f>IF(Z1786="","",IFERROR(LOOKUP(2,1/(#REF!=Z1786),#REF!),""))</f>
        <v/>
      </c>
      <c r="AC1786" t="e">
        <f>IF(Z1786="","",COUNTIF(#REF!,Z1786))</f>
        <v>#REF!</v>
      </c>
      <c r="AD1786" t="e">
        <f>IF(A1786="","",IF(AC1786&gt;1,"REVISAR DUPLICADO",IF(AA1786&lt;&gt;"","ACTUALIZADO POR EYR","SIN REPORTE EYR")))</f>
        <v>#REF!</v>
      </c>
    </row>
    <row r="1787" spans="1:30" x14ac:dyDescent="0.3">
      <c r="A1787" s="5" t="s">
        <v>491</v>
      </c>
      <c r="B1787" t="s">
        <v>490</v>
      </c>
      <c r="C1787" s="4" t="s">
        <v>489</v>
      </c>
      <c r="D1787" t="s">
        <v>77</v>
      </c>
      <c r="F1787" t="s">
        <v>13</v>
      </c>
      <c r="G1787" s="3">
        <v>8294574208</v>
      </c>
      <c r="H1787" s="2">
        <v>46141</v>
      </c>
      <c r="K1787" s="1">
        <f ca="1">IF(A1787="","",IF(OR(L1787="ENTREGADA",L1787="RETORNADA",L1787="ENTREGA DIGITAL"),0,MAX(0,5-NETWORKDAYS(H1787+1,TODAY()))))</f>
        <v>3</v>
      </c>
      <c r="L1787">
        <f>IF(A1787="","",IFERROR(LOOKUP(2,1/(#REF!=Z1787),#REF!),Y1787))</f>
        <v>0</v>
      </c>
      <c r="Z1787" t="str">
        <f>IF(A1787="","",TEXT(A1787,"0")&amp;"|"&amp;TEXT(H1787,"0"))</f>
        <v>5415017933594930|46141</v>
      </c>
      <c r="AA1787" t="str">
        <f>IF(Z1787="","",IFERROR(LOOKUP(2,1/(#REF!=Z1787),#REF!),""))</f>
        <v/>
      </c>
      <c r="AB1787" t="str">
        <f>IF(Z1787="","",IFERROR(LOOKUP(2,1/(#REF!=Z1787),#REF!),""))</f>
        <v/>
      </c>
      <c r="AC1787" t="e">
        <f>IF(Z1787="","",COUNTIF(#REF!,Z1787))</f>
        <v>#REF!</v>
      </c>
      <c r="AD1787" t="e">
        <f>IF(A1787="","",IF(AC1787&gt;1,"REVISAR DUPLICADO",IF(AA1787&lt;&gt;"","ACTUALIZADO POR EYR","SIN REPORTE EYR")))</f>
        <v>#REF!</v>
      </c>
    </row>
    <row r="1788" spans="1:30" x14ac:dyDescent="0.3">
      <c r="A1788" s="5" t="s">
        <v>488</v>
      </c>
      <c r="B1788" t="s">
        <v>487</v>
      </c>
      <c r="C1788" s="4" t="s">
        <v>486</v>
      </c>
      <c r="D1788" t="s">
        <v>77</v>
      </c>
      <c r="F1788" t="s">
        <v>13</v>
      </c>
      <c r="G1788" s="3">
        <v>8097218170</v>
      </c>
      <c r="H1788" s="2">
        <v>46141</v>
      </c>
      <c r="K1788" s="1">
        <f ca="1">IF(A1788="","",IF(OR(L1788="ENTREGADA",L1788="RETORNADA",L1788="ENTREGA DIGITAL"),0,MAX(0,5-NETWORKDAYS(H1788+1,TODAY()))))</f>
        <v>3</v>
      </c>
      <c r="L1788">
        <f>IF(A1788="","",IFERROR(LOOKUP(2,1/(#REF!=Z1788),#REF!),Y1788))</f>
        <v>0</v>
      </c>
      <c r="Z1788" t="str">
        <f>IF(A1788="","",TEXT(A1788,"0")&amp;"|"&amp;TEXT(H1788,"0"))</f>
        <v>5415017933610790|46141</v>
      </c>
      <c r="AA1788" t="str">
        <f>IF(Z1788="","",IFERROR(LOOKUP(2,1/(#REF!=Z1788),#REF!),""))</f>
        <v/>
      </c>
      <c r="AB1788" t="str">
        <f>IF(Z1788="","",IFERROR(LOOKUP(2,1/(#REF!=Z1788),#REF!),""))</f>
        <v/>
      </c>
      <c r="AC1788" t="e">
        <f>IF(Z1788="","",COUNTIF(#REF!,Z1788))</f>
        <v>#REF!</v>
      </c>
      <c r="AD1788" t="e">
        <f>IF(A1788="","",IF(AC1788&gt;1,"REVISAR DUPLICADO",IF(AA1788&lt;&gt;"","ACTUALIZADO POR EYR","SIN REPORTE EYR")))</f>
        <v>#REF!</v>
      </c>
    </row>
    <row r="1789" spans="1:30" x14ac:dyDescent="0.3">
      <c r="A1789" s="5" t="s">
        <v>485</v>
      </c>
      <c r="B1789" t="s">
        <v>484</v>
      </c>
      <c r="C1789" s="4" t="s">
        <v>483</v>
      </c>
      <c r="D1789" t="s">
        <v>77</v>
      </c>
      <c r="F1789" t="s">
        <v>482</v>
      </c>
      <c r="G1789" s="3">
        <v>8298141743</v>
      </c>
      <c r="H1789" s="2">
        <v>46141</v>
      </c>
      <c r="K1789" s="1">
        <f ca="1">IF(A1789="","",IF(OR(L1789="ENTREGADA",L1789="RETORNADA",L1789="ENTREGA DIGITAL"),0,MAX(0,5-NETWORKDAYS(H1789+1,TODAY()))))</f>
        <v>3</v>
      </c>
      <c r="L1789">
        <f>IF(A1789="","",IFERROR(LOOKUP(2,1/(#REF!=Z1789),#REF!),Y1789))</f>
        <v>0</v>
      </c>
      <c r="Z1789" t="str">
        <f>IF(A1789="","",TEXT(A1789,"0")&amp;"|"&amp;TEXT(H1789,"0"))</f>
        <v>4921017936589090|46141</v>
      </c>
      <c r="AA1789" t="str">
        <f>IF(Z1789="","",IFERROR(LOOKUP(2,1/(#REF!=Z1789),#REF!),""))</f>
        <v/>
      </c>
      <c r="AB1789" t="str">
        <f>IF(Z1789="","",IFERROR(LOOKUP(2,1/(#REF!=Z1789),#REF!),""))</f>
        <v/>
      </c>
      <c r="AC1789" t="e">
        <f>IF(Z1789="","",COUNTIF(#REF!,Z1789))</f>
        <v>#REF!</v>
      </c>
      <c r="AD1789" t="e">
        <f>IF(A1789="","",IF(AC1789&gt;1,"REVISAR DUPLICADO",IF(AA1789&lt;&gt;"","ACTUALIZADO POR EYR","SIN REPORTE EYR")))</f>
        <v>#REF!</v>
      </c>
    </row>
    <row r="1790" spans="1:30" x14ac:dyDescent="0.3">
      <c r="A1790" s="5" t="s">
        <v>481</v>
      </c>
      <c r="B1790" t="s">
        <v>480</v>
      </c>
      <c r="C1790" s="4" t="s">
        <v>479</v>
      </c>
      <c r="D1790" t="s">
        <v>77</v>
      </c>
      <c r="E1790" t="s">
        <v>214</v>
      </c>
      <c r="F1790" t="s">
        <v>391</v>
      </c>
      <c r="G1790" s="3">
        <v>8092466249</v>
      </c>
      <c r="H1790" s="2">
        <v>46141</v>
      </c>
      <c r="K1790" s="1">
        <f ca="1">IF(A1790="","",IF(OR(L1790="ENTREGADA",L1790="RETORNADA",L1790="ENTREGA DIGITAL"),0,MAX(0,5-NETWORKDAYS(H1790+1,TODAY()))))</f>
        <v>3</v>
      </c>
      <c r="L1790">
        <f>IF(A1790="","",IFERROR(LOOKUP(2,1/(#REF!=Z1790),#REF!),Y1790))</f>
        <v>0</v>
      </c>
      <c r="Z1790" t="str">
        <f>IF(A1790="","",TEXT(A1790,"0")&amp;"|"&amp;TEXT(H1790,"0"))</f>
        <v>5188017933526960|46141</v>
      </c>
      <c r="AA1790" t="str">
        <f>IF(Z1790="","",IFERROR(LOOKUP(2,1/(#REF!=Z1790),#REF!),""))</f>
        <v/>
      </c>
      <c r="AB1790" t="str">
        <f>IF(Z1790="","",IFERROR(LOOKUP(2,1/(#REF!=Z1790),#REF!),""))</f>
        <v/>
      </c>
      <c r="AC1790" t="e">
        <f>IF(Z1790="","",COUNTIF(#REF!,Z1790))</f>
        <v>#REF!</v>
      </c>
      <c r="AD1790" t="e">
        <f>IF(A1790="","",IF(AC1790&gt;1,"REVISAR DUPLICADO",IF(AA1790&lt;&gt;"","ACTUALIZADO POR EYR","SIN REPORTE EYR")))</f>
        <v>#REF!</v>
      </c>
    </row>
    <row r="1791" spans="1:30" x14ac:dyDescent="0.3">
      <c r="A1791" s="5" t="s">
        <v>478</v>
      </c>
      <c r="B1791" t="s">
        <v>477</v>
      </c>
      <c r="C1791" s="4" t="s">
        <v>476</v>
      </c>
      <c r="D1791" t="s">
        <v>77</v>
      </c>
      <c r="F1791" t="s">
        <v>13</v>
      </c>
      <c r="G1791" s="3">
        <v>8092982351</v>
      </c>
      <c r="H1791" s="2">
        <v>46141</v>
      </c>
      <c r="K1791" s="1">
        <f ca="1">IF(A1791="","",IF(OR(L1791="ENTREGADA",L1791="RETORNADA",L1791="ENTREGA DIGITAL"),0,MAX(0,5-NETWORKDAYS(H1791+1,TODAY()))))</f>
        <v>3</v>
      </c>
      <c r="L1791">
        <f>IF(A1791="","",IFERROR(LOOKUP(2,1/(#REF!=Z1791),#REF!),Y1791))</f>
        <v>0</v>
      </c>
      <c r="Z1791" t="str">
        <f>IF(A1791="","",TEXT(A1791,"0")&amp;"|"&amp;TEXT(H1791,"0"))</f>
        <v>5415017933580490|46141</v>
      </c>
      <c r="AA1791" t="str">
        <f>IF(Z1791="","",IFERROR(LOOKUP(2,1/(#REF!=Z1791),#REF!),""))</f>
        <v/>
      </c>
      <c r="AB1791" t="str">
        <f>IF(Z1791="","",IFERROR(LOOKUP(2,1/(#REF!=Z1791),#REF!),""))</f>
        <v/>
      </c>
      <c r="AC1791" t="e">
        <f>IF(Z1791="","",COUNTIF(#REF!,Z1791))</f>
        <v>#REF!</v>
      </c>
      <c r="AD1791" t="e">
        <f>IF(A1791="","",IF(AC1791&gt;1,"REVISAR DUPLICADO",IF(AA1791&lt;&gt;"","ACTUALIZADO POR EYR","SIN REPORTE EYR")))</f>
        <v>#REF!</v>
      </c>
    </row>
    <row r="1792" spans="1:30" x14ac:dyDescent="0.3">
      <c r="A1792" s="5" t="s">
        <v>475</v>
      </c>
      <c r="B1792" t="s">
        <v>474</v>
      </c>
      <c r="C1792" s="4" t="s">
        <v>473</v>
      </c>
      <c r="D1792" t="s">
        <v>21</v>
      </c>
      <c r="F1792" t="s">
        <v>472</v>
      </c>
      <c r="G1792" s="3">
        <v>8492445581</v>
      </c>
      <c r="H1792" s="2">
        <v>46141</v>
      </c>
      <c r="K1792" s="1">
        <f ca="1">IF(A1792="","",IF(OR(L1792="ENTREGADA",L1792="RETORNADA",L1792="ENTREGA DIGITAL"),0,MAX(0,5-NETWORKDAYS(H1792+1,TODAY()))))</f>
        <v>3</v>
      </c>
      <c r="L1792">
        <f>IF(A1792="","",IFERROR(LOOKUP(2,1/(#REF!=Z1792),#REF!),Y1792))</f>
        <v>0</v>
      </c>
      <c r="Z1792" t="str">
        <f>IF(A1792="","",TEXT(A1792,"0")&amp;"|"&amp;TEXT(H1792,"0"))</f>
        <v>4921017939808140|46141</v>
      </c>
      <c r="AA1792" t="str">
        <f>IF(Z1792="","",IFERROR(LOOKUP(2,1/(#REF!=Z1792),#REF!),""))</f>
        <v/>
      </c>
      <c r="AB1792" t="str">
        <f>IF(Z1792="","",IFERROR(LOOKUP(2,1/(#REF!=Z1792),#REF!),""))</f>
        <v/>
      </c>
      <c r="AC1792" t="e">
        <f>IF(Z1792="","",COUNTIF(#REF!,Z1792))</f>
        <v>#REF!</v>
      </c>
      <c r="AD1792" t="e">
        <f>IF(A1792="","",IF(AC1792&gt;1,"REVISAR DUPLICADO",IF(AA1792&lt;&gt;"","ACTUALIZADO POR EYR","SIN REPORTE EYR")))</f>
        <v>#REF!</v>
      </c>
    </row>
    <row r="1793" spans="1:30" x14ac:dyDescent="0.3">
      <c r="A1793" s="5" t="s">
        <v>471</v>
      </c>
      <c r="B1793" t="s">
        <v>470</v>
      </c>
      <c r="C1793" s="4" t="s">
        <v>469</v>
      </c>
      <c r="D1793" t="s">
        <v>21</v>
      </c>
      <c r="F1793" t="s">
        <v>468</v>
      </c>
      <c r="G1793" s="3">
        <v>8293503280</v>
      </c>
      <c r="H1793" s="2">
        <v>46141</v>
      </c>
      <c r="K1793" s="1">
        <f ca="1">IF(A1793="","",IF(OR(L1793="ENTREGADA",L1793="RETORNADA",L1793="ENTREGA DIGITAL"),0,MAX(0,5-NETWORKDAYS(H1793+1,TODAY()))))</f>
        <v>3</v>
      </c>
      <c r="L1793">
        <f>IF(A1793="","",IFERROR(LOOKUP(2,1/(#REF!=Z1793),#REF!),Y1793))</f>
        <v>0</v>
      </c>
      <c r="Z1793" t="str">
        <f>IF(A1793="","",TEXT(A1793,"0")&amp;"|"&amp;TEXT(H1793,"0"))</f>
        <v>5415017937401050|46141</v>
      </c>
      <c r="AA1793" t="str">
        <f>IF(Z1793="","",IFERROR(LOOKUP(2,1/(#REF!=Z1793),#REF!),""))</f>
        <v/>
      </c>
      <c r="AB1793" t="str">
        <f>IF(Z1793="","",IFERROR(LOOKUP(2,1/(#REF!=Z1793),#REF!),""))</f>
        <v/>
      </c>
      <c r="AC1793" t="e">
        <f>IF(Z1793="","",COUNTIF(#REF!,Z1793))</f>
        <v>#REF!</v>
      </c>
      <c r="AD1793" t="e">
        <f>IF(A1793="","",IF(AC1793&gt;1,"REVISAR DUPLICADO",IF(AA1793&lt;&gt;"","ACTUALIZADO POR EYR","SIN REPORTE EYR")))</f>
        <v>#REF!</v>
      </c>
    </row>
    <row r="1794" spans="1:30" x14ac:dyDescent="0.3">
      <c r="A1794" s="5" t="s">
        <v>467</v>
      </c>
      <c r="B1794" t="s">
        <v>466</v>
      </c>
      <c r="C1794" s="4" t="s">
        <v>465</v>
      </c>
      <c r="D1794" t="s">
        <v>21</v>
      </c>
      <c r="F1794" t="s">
        <v>464</v>
      </c>
      <c r="G1794" s="3">
        <v>8299773095</v>
      </c>
      <c r="H1794" s="2">
        <v>46141</v>
      </c>
      <c r="K1794" s="1">
        <f ca="1">IF(A1794="","",IF(OR(L1794="ENTREGADA",L1794="RETORNADA",L1794="ENTREGA DIGITAL"),0,MAX(0,5-NETWORKDAYS(H1794+1,TODAY()))))</f>
        <v>3</v>
      </c>
      <c r="L1794">
        <f>IF(A1794="","",IFERROR(LOOKUP(2,1/(#REF!=Z1794),#REF!),Y1794))</f>
        <v>0</v>
      </c>
      <c r="Z1794" t="str">
        <f>IF(A1794="","",TEXT(A1794,"0")&amp;"|"&amp;TEXT(H1794,"0"))</f>
        <v>5415017937165660|46141</v>
      </c>
      <c r="AA1794" t="str">
        <f>IF(Z1794="","",IFERROR(LOOKUP(2,1/(#REF!=Z1794),#REF!),""))</f>
        <v/>
      </c>
      <c r="AB1794" t="str">
        <f>IF(Z1794="","",IFERROR(LOOKUP(2,1/(#REF!=Z1794),#REF!),""))</f>
        <v/>
      </c>
      <c r="AC1794" t="e">
        <f>IF(Z1794="","",COUNTIF(#REF!,Z1794))</f>
        <v>#REF!</v>
      </c>
      <c r="AD1794" t="e">
        <f>IF(A1794="","",IF(AC1794&gt;1,"REVISAR DUPLICADO",IF(AA1794&lt;&gt;"","ACTUALIZADO POR EYR","SIN REPORTE EYR")))</f>
        <v>#REF!</v>
      </c>
    </row>
    <row r="1795" spans="1:30" x14ac:dyDescent="0.3">
      <c r="A1795" s="5" t="s">
        <v>463</v>
      </c>
      <c r="B1795" t="s">
        <v>462</v>
      </c>
      <c r="C1795" s="4" t="s">
        <v>459</v>
      </c>
      <c r="D1795" t="s">
        <v>21</v>
      </c>
      <c r="E1795" t="s">
        <v>21</v>
      </c>
      <c r="F1795" t="s">
        <v>62</v>
      </c>
      <c r="G1795" s="3">
        <v>8493303522</v>
      </c>
      <c r="H1795" s="2">
        <v>46141</v>
      </c>
      <c r="K1795" s="1">
        <f ca="1">IF(A1795="","",IF(OR(L1795="ENTREGADA",L1795="RETORNADA",L1795="ENTREGA DIGITAL"),0,MAX(0,5-NETWORKDAYS(H1795+1,TODAY()))))</f>
        <v>3</v>
      </c>
      <c r="L1795">
        <f>IF(A1795="","",IFERROR(LOOKUP(2,1/(#REF!=Z1795),#REF!),Y1795))</f>
        <v>0</v>
      </c>
      <c r="Z1795" t="str">
        <f>IF(A1795="","",TEXT(A1795,"0")&amp;"|"&amp;TEXT(H1795,"0"))</f>
        <v>5415017937462040|46141</v>
      </c>
      <c r="AA1795" t="str">
        <f>IF(Z1795="","",IFERROR(LOOKUP(2,1/(#REF!=Z1795),#REF!),""))</f>
        <v/>
      </c>
      <c r="AB1795" t="str">
        <f>IF(Z1795="","",IFERROR(LOOKUP(2,1/(#REF!=Z1795),#REF!),""))</f>
        <v/>
      </c>
      <c r="AC1795" t="e">
        <f>IF(Z1795="","",COUNTIF(#REF!,Z1795))</f>
        <v>#REF!</v>
      </c>
      <c r="AD1795" t="e">
        <f>IF(A1795="","",IF(AC1795&gt;1,"REVISAR DUPLICADO",IF(AA1795&lt;&gt;"","ACTUALIZADO POR EYR","SIN REPORTE EYR")))</f>
        <v>#REF!</v>
      </c>
    </row>
    <row r="1796" spans="1:30" x14ac:dyDescent="0.3">
      <c r="A1796" s="5" t="s">
        <v>461</v>
      </c>
      <c r="B1796" t="s">
        <v>460</v>
      </c>
      <c r="C1796" s="4" t="s">
        <v>459</v>
      </c>
      <c r="D1796" t="s">
        <v>21</v>
      </c>
      <c r="E1796" t="s">
        <v>21</v>
      </c>
      <c r="F1796" t="s">
        <v>62</v>
      </c>
      <c r="G1796" s="3">
        <v>8493303522</v>
      </c>
      <c r="H1796" s="2">
        <v>46141</v>
      </c>
      <c r="K1796" s="1">
        <f ca="1">IF(A1796="","",IF(OR(L1796="ENTREGADA",L1796="RETORNADA",L1796="ENTREGA DIGITAL"),0,MAX(0,5-NETWORKDAYS(H1796+1,TODAY()))))</f>
        <v>3</v>
      </c>
      <c r="L1796">
        <f>IF(A1796="","",IFERROR(LOOKUP(2,1/(#REF!=Z1796),#REF!),Y1796))</f>
        <v>0</v>
      </c>
      <c r="Z1796" t="str">
        <f>IF(A1796="","",TEXT(A1796,"0")&amp;"|"&amp;TEXT(H1796,"0"))</f>
        <v>4921017942342460|46141</v>
      </c>
      <c r="AA1796" t="str">
        <f>IF(Z1796="","",IFERROR(LOOKUP(2,1/(#REF!=Z1796),#REF!),""))</f>
        <v/>
      </c>
      <c r="AB1796" t="str">
        <f>IF(Z1796="","",IFERROR(LOOKUP(2,1/(#REF!=Z1796),#REF!),""))</f>
        <v/>
      </c>
      <c r="AC1796" t="e">
        <f>IF(Z1796="","",COUNTIF(#REF!,Z1796))</f>
        <v>#REF!</v>
      </c>
      <c r="AD1796" t="e">
        <f>IF(A1796="","",IF(AC1796&gt;1,"REVISAR DUPLICADO",IF(AA1796&lt;&gt;"","ACTUALIZADO POR EYR","SIN REPORTE EYR")))</f>
        <v>#REF!</v>
      </c>
    </row>
    <row r="1797" spans="1:30" x14ac:dyDescent="0.3">
      <c r="A1797" s="5" t="s">
        <v>458</v>
      </c>
      <c r="B1797" t="s">
        <v>457</v>
      </c>
      <c r="C1797" s="4" t="s">
        <v>456</v>
      </c>
      <c r="D1797" t="s">
        <v>21</v>
      </c>
      <c r="F1797" t="s">
        <v>455</v>
      </c>
      <c r="G1797" s="3">
        <v>9999999999</v>
      </c>
      <c r="H1797" s="2">
        <v>46141</v>
      </c>
      <c r="K1797" s="1">
        <f ca="1">IF(A1797="","",IF(OR(L1797="ENTREGADA",L1797="RETORNADA",L1797="ENTREGA DIGITAL"),0,MAX(0,5-NETWORKDAYS(H1797+1,TODAY()))))</f>
        <v>3</v>
      </c>
      <c r="L1797">
        <f>IF(A1797="","",IFERROR(LOOKUP(2,1/(#REF!=Z1797),#REF!),Y1797))</f>
        <v>0</v>
      </c>
      <c r="Z1797" t="str">
        <f>IF(A1797="","",TEXT(A1797,"0")&amp;"|"&amp;TEXT(H1797,"0"))</f>
        <v>4921017940566310|46141</v>
      </c>
      <c r="AA1797" t="str">
        <f>IF(Z1797="","",IFERROR(LOOKUP(2,1/(#REF!=Z1797),#REF!),""))</f>
        <v/>
      </c>
      <c r="AB1797" t="str">
        <f>IF(Z1797="","",IFERROR(LOOKUP(2,1/(#REF!=Z1797),#REF!),""))</f>
        <v/>
      </c>
      <c r="AC1797" t="e">
        <f>IF(Z1797="","",COUNTIF(#REF!,Z1797))</f>
        <v>#REF!</v>
      </c>
      <c r="AD1797" t="e">
        <f>IF(A1797="","",IF(AC1797&gt;1,"REVISAR DUPLICADO",IF(AA1797&lt;&gt;"","ACTUALIZADO POR EYR","SIN REPORTE EYR")))</f>
        <v>#REF!</v>
      </c>
    </row>
    <row r="1798" spans="1:30" x14ac:dyDescent="0.3">
      <c r="A1798" s="5" t="s">
        <v>454</v>
      </c>
      <c r="B1798" t="s">
        <v>453</v>
      </c>
      <c r="C1798" s="4" t="s">
        <v>452</v>
      </c>
      <c r="D1798" t="s">
        <v>21</v>
      </c>
      <c r="F1798" t="s">
        <v>13</v>
      </c>
      <c r="G1798" s="3">
        <v>8095260140</v>
      </c>
      <c r="H1798" s="2">
        <v>46141</v>
      </c>
      <c r="K1798" s="1">
        <f ca="1">IF(A1798="","",IF(OR(L1798="ENTREGADA",L1798="RETORNADA",L1798="ENTREGA DIGITAL"),0,MAX(0,5-NETWORKDAYS(H1798+1,TODAY()))))</f>
        <v>3</v>
      </c>
      <c r="L1798">
        <f>IF(A1798="","",IFERROR(LOOKUP(2,1/(#REF!=Z1798),#REF!),Y1798))</f>
        <v>0</v>
      </c>
      <c r="Z1798" t="str">
        <f>IF(A1798="","",TEXT(A1798,"0")&amp;"|"&amp;TEXT(H1798,"0"))</f>
        <v>4921017940940240|46141</v>
      </c>
      <c r="AA1798" t="str">
        <f>IF(Z1798="","",IFERROR(LOOKUP(2,1/(#REF!=Z1798),#REF!),""))</f>
        <v/>
      </c>
      <c r="AB1798" t="str">
        <f>IF(Z1798="","",IFERROR(LOOKUP(2,1/(#REF!=Z1798),#REF!),""))</f>
        <v/>
      </c>
      <c r="AC1798" t="e">
        <f>IF(Z1798="","",COUNTIF(#REF!,Z1798))</f>
        <v>#REF!</v>
      </c>
      <c r="AD1798" t="e">
        <f>IF(A1798="","",IF(AC1798&gt;1,"REVISAR DUPLICADO",IF(AA1798&lt;&gt;"","ACTUALIZADO POR EYR","SIN REPORTE EYR")))</f>
        <v>#REF!</v>
      </c>
    </row>
    <row r="1799" spans="1:30" x14ac:dyDescent="0.3">
      <c r="A1799" s="5" t="s">
        <v>451</v>
      </c>
      <c r="B1799" t="s">
        <v>450</v>
      </c>
      <c r="C1799" s="4" t="s">
        <v>449</v>
      </c>
      <c r="D1799" t="s">
        <v>21</v>
      </c>
      <c r="F1799" t="s">
        <v>13</v>
      </c>
      <c r="G1799" s="3">
        <v>8294370189</v>
      </c>
      <c r="H1799" s="2">
        <v>46141</v>
      </c>
      <c r="K1799" s="1">
        <f ca="1">IF(A1799="","",IF(OR(L1799="ENTREGADA",L1799="RETORNADA",L1799="ENTREGA DIGITAL"),0,MAX(0,5-NETWORKDAYS(H1799+1,TODAY()))))</f>
        <v>3</v>
      </c>
      <c r="L1799">
        <f>IF(A1799="","",IFERROR(LOOKUP(2,1/(#REF!=Z1799),#REF!),Y1799))</f>
        <v>0</v>
      </c>
      <c r="Z1799" t="str">
        <f>IF(A1799="","",TEXT(A1799,"0")&amp;"|"&amp;TEXT(H1799,"0"))</f>
        <v>4921017941202070|46141</v>
      </c>
      <c r="AA1799" t="str">
        <f>IF(Z1799="","",IFERROR(LOOKUP(2,1/(#REF!=Z1799),#REF!),""))</f>
        <v/>
      </c>
      <c r="AB1799" t="str">
        <f>IF(Z1799="","",IFERROR(LOOKUP(2,1/(#REF!=Z1799),#REF!),""))</f>
        <v/>
      </c>
      <c r="AC1799" t="e">
        <f>IF(Z1799="","",COUNTIF(#REF!,Z1799))</f>
        <v>#REF!</v>
      </c>
      <c r="AD1799" t="e">
        <f>IF(A1799="","",IF(AC1799&gt;1,"REVISAR DUPLICADO",IF(AA1799&lt;&gt;"","ACTUALIZADO POR EYR","SIN REPORTE EYR")))</f>
        <v>#REF!</v>
      </c>
    </row>
    <row r="1800" spans="1:30" x14ac:dyDescent="0.3">
      <c r="A1800" s="5" t="s">
        <v>448</v>
      </c>
      <c r="B1800" t="s">
        <v>446</v>
      </c>
      <c r="C1800" s="4" t="s">
        <v>445</v>
      </c>
      <c r="D1800" t="s">
        <v>21</v>
      </c>
      <c r="F1800" t="s">
        <v>444</v>
      </c>
      <c r="G1800" s="3">
        <v>8092464417</v>
      </c>
      <c r="H1800" s="2">
        <v>46141</v>
      </c>
      <c r="K1800" s="1">
        <f ca="1">IF(A1800="","",IF(OR(L1800="ENTREGADA",L1800="RETORNADA",L1800="ENTREGA DIGITAL"),0,MAX(0,5-NETWORKDAYS(H1800+1,TODAY()))))</f>
        <v>3</v>
      </c>
      <c r="L1800">
        <f>IF(A1800="","",IFERROR(LOOKUP(2,1/(#REF!=Z1800),#REF!),Y1800))</f>
        <v>0</v>
      </c>
      <c r="Z1800" t="str">
        <f>IF(A1800="","",TEXT(A1800,"0")&amp;"|"&amp;TEXT(H1800,"0"))</f>
        <v>5415017859145390|46141</v>
      </c>
      <c r="AA1800" t="str">
        <f>IF(Z1800="","",IFERROR(LOOKUP(2,1/(#REF!=Z1800),#REF!),""))</f>
        <v/>
      </c>
      <c r="AB1800" t="str">
        <f>IF(Z1800="","",IFERROR(LOOKUP(2,1/(#REF!=Z1800),#REF!),""))</f>
        <v/>
      </c>
      <c r="AC1800" t="e">
        <f>IF(Z1800="","",COUNTIF(#REF!,Z1800))</f>
        <v>#REF!</v>
      </c>
      <c r="AD1800" t="e">
        <f>IF(A1800="","",IF(AC1800&gt;1,"REVISAR DUPLICADO",IF(AA1800&lt;&gt;"","ACTUALIZADO POR EYR","SIN REPORTE EYR")))</f>
        <v>#REF!</v>
      </c>
    </row>
    <row r="1801" spans="1:30" x14ac:dyDescent="0.3">
      <c r="A1801" s="5" t="s">
        <v>447</v>
      </c>
      <c r="B1801" t="s">
        <v>446</v>
      </c>
      <c r="C1801" s="4" t="s">
        <v>445</v>
      </c>
      <c r="D1801" t="s">
        <v>21</v>
      </c>
      <c r="F1801" t="s">
        <v>444</v>
      </c>
      <c r="G1801" s="3">
        <v>8092464417</v>
      </c>
      <c r="H1801" s="2">
        <v>46141</v>
      </c>
      <c r="K1801" s="1">
        <f ca="1">IF(A1801="","",IF(OR(L1801="ENTREGADA",L1801="RETORNADA",L1801="ENTREGA DIGITAL"),0,MAX(0,5-NETWORKDAYS(H1801+1,TODAY()))))</f>
        <v>3</v>
      </c>
      <c r="L1801">
        <f>IF(A1801="","",IFERROR(LOOKUP(2,1/(#REF!=Z1801),#REF!),Y1801))</f>
        <v>0</v>
      </c>
      <c r="Z1801" t="str">
        <f>IF(A1801="","",TEXT(A1801,"0")&amp;"|"&amp;TEXT(H1801,"0"))</f>
        <v>4921017861504120|46141</v>
      </c>
      <c r="AA1801" t="str">
        <f>IF(Z1801="","",IFERROR(LOOKUP(2,1/(#REF!=Z1801),#REF!),""))</f>
        <v/>
      </c>
      <c r="AB1801" t="str">
        <f>IF(Z1801="","",IFERROR(LOOKUP(2,1/(#REF!=Z1801),#REF!),""))</f>
        <v/>
      </c>
      <c r="AC1801" t="e">
        <f>IF(Z1801="","",COUNTIF(#REF!,Z1801))</f>
        <v>#REF!</v>
      </c>
      <c r="AD1801" t="e">
        <f>IF(A1801="","",IF(AC1801&gt;1,"REVISAR DUPLICADO",IF(AA1801&lt;&gt;"","ACTUALIZADO POR EYR","SIN REPORTE EYR")))</f>
        <v>#REF!</v>
      </c>
    </row>
    <row r="1802" spans="1:30" x14ac:dyDescent="0.3">
      <c r="A1802" s="5" t="s">
        <v>443</v>
      </c>
      <c r="B1802" t="s">
        <v>442</v>
      </c>
      <c r="C1802" s="4" t="s">
        <v>441</v>
      </c>
      <c r="D1802" t="s">
        <v>21</v>
      </c>
      <c r="F1802" t="s">
        <v>13</v>
      </c>
      <c r="G1802" s="3">
        <v>8095299999</v>
      </c>
      <c r="H1802" s="2">
        <v>46141</v>
      </c>
      <c r="K1802" s="1">
        <f ca="1">IF(A1802="","",IF(OR(L1802="ENTREGADA",L1802="RETORNADA",L1802="ENTREGA DIGITAL"),0,MAX(0,5-NETWORKDAYS(H1802+1,TODAY()))))</f>
        <v>3</v>
      </c>
      <c r="L1802">
        <f>IF(A1802="","",IFERROR(LOOKUP(2,1/(#REF!=Z1802),#REF!),Y1802))</f>
        <v>0</v>
      </c>
      <c r="Z1802" t="str">
        <f>IF(A1802="","",TEXT(A1802,"0")&amp;"|"&amp;TEXT(H1802,"0"))</f>
        <v>4921017941873080|46141</v>
      </c>
      <c r="AA1802" t="str">
        <f>IF(Z1802="","",IFERROR(LOOKUP(2,1/(#REF!=Z1802),#REF!),""))</f>
        <v/>
      </c>
      <c r="AB1802" t="str">
        <f>IF(Z1802="","",IFERROR(LOOKUP(2,1/(#REF!=Z1802),#REF!),""))</f>
        <v/>
      </c>
      <c r="AC1802" t="e">
        <f>IF(Z1802="","",COUNTIF(#REF!,Z1802))</f>
        <v>#REF!</v>
      </c>
      <c r="AD1802" t="e">
        <f>IF(A1802="","",IF(AC1802&gt;1,"REVISAR DUPLICADO",IF(AA1802&lt;&gt;"","ACTUALIZADO POR EYR","SIN REPORTE EYR")))</f>
        <v>#REF!</v>
      </c>
    </row>
    <row r="1803" spans="1:30" x14ac:dyDescent="0.3">
      <c r="A1803" s="5" t="s">
        <v>440</v>
      </c>
      <c r="B1803" t="s">
        <v>439</v>
      </c>
      <c r="C1803" s="4" t="s">
        <v>438</v>
      </c>
      <c r="D1803" t="s">
        <v>21</v>
      </c>
      <c r="F1803" t="s">
        <v>13</v>
      </c>
      <c r="G1803" s="3">
        <v>8295342354</v>
      </c>
      <c r="H1803" s="2">
        <v>46141</v>
      </c>
      <c r="K1803" s="1">
        <f ca="1">IF(A1803="","",IF(OR(L1803="ENTREGADA",L1803="RETORNADA",L1803="ENTREGA DIGITAL"),0,MAX(0,5-NETWORKDAYS(H1803+1,TODAY()))))</f>
        <v>3</v>
      </c>
      <c r="L1803">
        <f>IF(A1803="","",IFERROR(LOOKUP(2,1/(#REF!=Z1803),#REF!),Y1803))</f>
        <v>0</v>
      </c>
      <c r="Z1803" t="str">
        <f>IF(A1803="","",TEXT(A1803,"0")&amp;"|"&amp;TEXT(H1803,"0"))</f>
        <v>5227017938602190|46141</v>
      </c>
      <c r="AA1803" t="str">
        <f>IF(Z1803="","",IFERROR(LOOKUP(2,1/(#REF!=Z1803),#REF!),""))</f>
        <v/>
      </c>
      <c r="AB1803" t="str">
        <f>IF(Z1803="","",IFERROR(LOOKUP(2,1/(#REF!=Z1803),#REF!),""))</f>
        <v/>
      </c>
      <c r="AC1803" t="e">
        <f>IF(Z1803="","",COUNTIF(#REF!,Z1803))</f>
        <v>#REF!</v>
      </c>
      <c r="AD1803" t="e">
        <f>IF(A1803="","",IF(AC1803&gt;1,"REVISAR DUPLICADO",IF(AA1803&lt;&gt;"","ACTUALIZADO POR EYR","SIN REPORTE EYR")))</f>
        <v>#REF!</v>
      </c>
    </row>
    <row r="1804" spans="1:30" x14ac:dyDescent="0.3">
      <c r="A1804" s="5" t="s">
        <v>437</v>
      </c>
      <c r="B1804" t="s">
        <v>436</v>
      </c>
      <c r="C1804" s="4" t="s">
        <v>435</v>
      </c>
      <c r="D1804" t="s">
        <v>21</v>
      </c>
      <c r="F1804" t="s">
        <v>0</v>
      </c>
      <c r="G1804" s="3">
        <v>8494043994</v>
      </c>
      <c r="H1804" s="2">
        <v>46141</v>
      </c>
      <c r="K1804" s="1">
        <f ca="1">IF(A1804="","",IF(OR(L1804="ENTREGADA",L1804="RETORNADA",L1804="ENTREGA DIGITAL"),0,MAX(0,5-NETWORKDAYS(H1804+1,TODAY()))))</f>
        <v>3</v>
      </c>
      <c r="L1804">
        <f>IF(A1804="","",IFERROR(LOOKUP(2,1/(#REF!=Z1804),#REF!),Y1804))</f>
        <v>0</v>
      </c>
      <c r="Z1804" t="str">
        <f>IF(A1804="","",TEXT(A1804,"0")&amp;"|"&amp;TEXT(H1804,"0"))</f>
        <v>5415017890246640|46141</v>
      </c>
      <c r="AA1804" t="str">
        <f>IF(Z1804="","",IFERROR(LOOKUP(2,1/(#REF!=Z1804),#REF!),""))</f>
        <v/>
      </c>
      <c r="AB1804" t="str">
        <f>IF(Z1804="","",IFERROR(LOOKUP(2,1/(#REF!=Z1804),#REF!),""))</f>
        <v/>
      </c>
      <c r="AC1804" t="e">
        <f>IF(Z1804="","",COUNTIF(#REF!,Z1804))</f>
        <v>#REF!</v>
      </c>
      <c r="AD1804" t="e">
        <f>IF(A1804="","",IF(AC1804&gt;1,"REVISAR DUPLICADO",IF(AA1804&lt;&gt;"","ACTUALIZADO POR EYR","SIN REPORTE EYR")))</f>
        <v>#REF!</v>
      </c>
    </row>
    <row r="1805" spans="1:30" x14ac:dyDescent="0.3">
      <c r="A1805" s="5" t="s">
        <v>434</v>
      </c>
      <c r="B1805" t="s">
        <v>433</v>
      </c>
      <c r="C1805" s="4" t="s">
        <v>432</v>
      </c>
      <c r="D1805" t="s">
        <v>21</v>
      </c>
      <c r="F1805" t="s">
        <v>431</v>
      </c>
      <c r="G1805" s="3">
        <v>8297035581</v>
      </c>
      <c r="H1805" s="2">
        <v>46141</v>
      </c>
      <c r="K1805" s="1">
        <f ca="1">IF(A1805="","",IF(OR(L1805="ENTREGADA",L1805="RETORNADA",L1805="ENTREGA DIGITAL"),0,MAX(0,5-NETWORKDAYS(H1805+1,TODAY()))))</f>
        <v>3</v>
      </c>
      <c r="L1805">
        <f>IF(A1805="","",IFERROR(LOOKUP(2,1/(#REF!=Z1805),#REF!),Y1805))</f>
        <v>0</v>
      </c>
      <c r="Z1805" t="str">
        <f>IF(A1805="","",TEXT(A1805,"0")&amp;"|"&amp;TEXT(H1805,"0"))</f>
        <v>5415017937294460|46141</v>
      </c>
      <c r="AA1805" t="str">
        <f>IF(Z1805="","",IFERROR(LOOKUP(2,1/(#REF!=Z1805),#REF!),""))</f>
        <v/>
      </c>
      <c r="AB1805" t="str">
        <f>IF(Z1805="","",IFERROR(LOOKUP(2,1/(#REF!=Z1805),#REF!),""))</f>
        <v/>
      </c>
      <c r="AC1805" t="e">
        <f>IF(Z1805="","",COUNTIF(#REF!,Z1805))</f>
        <v>#REF!</v>
      </c>
      <c r="AD1805" t="e">
        <f>IF(A1805="","",IF(AC1805&gt;1,"REVISAR DUPLICADO",IF(AA1805&lt;&gt;"","ACTUALIZADO POR EYR","SIN REPORTE EYR")))</f>
        <v>#REF!</v>
      </c>
    </row>
    <row r="1806" spans="1:30" x14ac:dyDescent="0.3">
      <c r="A1806" s="5" t="s">
        <v>430</v>
      </c>
      <c r="B1806" t="s">
        <v>429</v>
      </c>
      <c r="C1806" s="4" t="s">
        <v>428</v>
      </c>
      <c r="D1806" t="s">
        <v>1</v>
      </c>
      <c r="F1806" t="s">
        <v>427</v>
      </c>
      <c r="G1806" s="3">
        <v>8297543418</v>
      </c>
      <c r="H1806" s="2">
        <v>46141</v>
      </c>
      <c r="K1806" s="1">
        <f ca="1">IF(A1806="","",IF(OR(L1806="ENTREGADA",L1806="RETORNADA",L1806="ENTREGA DIGITAL"),0,MAX(0,5-NETWORKDAYS(H1806+1,TODAY()))))</f>
        <v>3</v>
      </c>
      <c r="L1806">
        <f>IF(A1806="","",IFERROR(LOOKUP(2,1/(#REF!=Z1806),#REF!),Y1806))</f>
        <v>0</v>
      </c>
      <c r="Z1806" t="str">
        <f>IF(A1806="","",TEXT(A1806,"0")&amp;"|"&amp;TEXT(H1806,"0"))</f>
        <v>5188017939340080|46141</v>
      </c>
      <c r="AA1806" t="str">
        <f>IF(Z1806="","",IFERROR(LOOKUP(2,1/(#REF!=Z1806),#REF!),""))</f>
        <v/>
      </c>
      <c r="AB1806" t="str">
        <f>IF(Z1806="","",IFERROR(LOOKUP(2,1/(#REF!=Z1806),#REF!),""))</f>
        <v/>
      </c>
      <c r="AC1806" t="e">
        <f>IF(Z1806="","",COUNTIF(#REF!,Z1806))</f>
        <v>#REF!</v>
      </c>
      <c r="AD1806" t="e">
        <f>IF(A1806="","",IF(AC1806&gt;1,"REVISAR DUPLICADO",IF(AA1806&lt;&gt;"","ACTUALIZADO POR EYR","SIN REPORTE EYR")))</f>
        <v>#REF!</v>
      </c>
    </row>
    <row r="1807" spans="1:30" x14ac:dyDescent="0.3">
      <c r="A1807" s="5" t="s">
        <v>426</v>
      </c>
      <c r="B1807" t="s">
        <v>425</v>
      </c>
      <c r="C1807" s="4" t="s">
        <v>424</v>
      </c>
      <c r="D1807" t="s">
        <v>1</v>
      </c>
      <c r="E1807" t="s">
        <v>214</v>
      </c>
      <c r="F1807" t="s">
        <v>423</v>
      </c>
      <c r="G1807" s="3">
        <v>8295900554</v>
      </c>
      <c r="H1807" s="2">
        <v>46141</v>
      </c>
      <c r="K1807" s="1">
        <f ca="1">IF(A1807="","",IF(OR(L1807="ENTREGADA",L1807="RETORNADA",L1807="ENTREGA DIGITAL"),0,MAX(0,5-NETWORKDAYS(H1807+1,TODAY()))))</f>
        <v>3</v>
      </c>
      <c r="L1807">
        <f>IF(A1807="","",IFERROR(LOOKUP(2,1/(#REF!=Z1807),#REF!),Y1807))</f>
        <v>0</v>
      </c>
      <c r="Z1807" t="str">
        <f>IF(A1807="","",TEXT(A1807,"0")&amp;"|"&amp;TEXT(H1807,"0"))</f>
        <v>4921017942056950|46141</v>
      </c>
      <c r="AA1807" t="str">
        <f>IF(Z1807="","",IFERROR(LOOKUP(2,1/(#REF!=Z1807),#REF!),""))</f>
        <v/>
      </c>
      <c r="AB1807" t="str">
        <f>IF(Z1807="","",IFERROR(LOOKUP(2,1/(#REF!=Z1807),#REF!),""))</f>
        <v/>
      </c>
      <c r="AC1807" t="e">
        <f>IF(Z1807="","",COUNTIF(#REF!,Z1807))</f>
        <v>#REF!</v>
      </c>
      <c r="AD1807" t="e">
        <f>IF(A1807="","",IF(AC1807&gt;1,"REVISAR DUPLICADO",IF(AA1807&lt;&gt;"","ACTUALIZADO POR EYR","SIN REPORTE EYR")))</f>
        <v>#REF!</v>
      </c>
    </row>
    <row r="1808" spans="1:30" x14ac:dyDescent="0.3">
      <c r="A1808" s="5" t="s">
        <v>422</v>
      </c>
      <c r="B1808" t="s">
        <v>421</v>
      </c>
      <c r="C1808" s="4" t="s">
        <v>420</v>
      </c>
      <c r="D1808" t="s">
        <v>1</v>
      </c>
      <c r="F1808" t="s">
        <v>9</v>
      </c>
      <c r="G1808" s="3">
        <v>8294556366</v>
      </c>
      <c r="H1808" s="2">
        <v>46141</v>
      </c>
      <c r="K1808" s="1">
        <f ca="1">IF(A1808="","",IF(OR(L1808="ENTREGADA",L1808="RETORNADA",L1808="ENTREGA DIGITAL"),0,MAX(0,5-NETWORKDAYS(H1808+1,TODAY()))))</f>
        <v>3</v>
      </c>
      <c r="L1808">
        <f>IF(A1808="","",IFERROR(LOOKUP(2,1/(#REF!=Z1808),#REF!),Y1808))</f>
        <v>0</v>
      </c>
      <c r="Z1808" t="str">
        <f>IF(A1808="","",TEXT(A1808,"0")&amp;"|"&amp;TEXT(H1808,"0"))</f>
        <v>4921017940884040|46141</v>
      </c>
      <c r="AA1808" t="str">
        <f>IF(Z1808="","",IFERROR(LOOKUP(2,1/(#REF!=Z1808),#REF!),""))</f>
        <v/>
      </c>
      <c r="AB1808" t="str">
        <f>IF(Z1808="","",IFERROR(LOOKUP(2,1/(#REF!=Z1808),#REF!),""))</f>
        <v/>
      </c>
      <c r="AC1808" t="e">
        <f>IF(Z1808="","",COUNTIF(#REF!,Z1808))</f>
        <v>#REF!</v>
      </c>
      <c r="AD1808" t="e">
        <f>IF(A1808="","",IF(AC1808&gt;1,"REVISAR DUPLICADO",IF(AA1808&lt;&gt;"","ACTUALIZADO POR EYR","SIN REPORTE EYR")))</f>
        <v>#REF!</v>
      </c>
    </row>
    <row r="1809" spans="1:30" x14ac:dyDescent="0.3">
      <c r="A1809" s="5" t="s">
        <v>419</v>
      </c>
      <c r="B1809" t="s">
        <v>418</v>
      </c>
      <c r="C1809" s="4" t="s">
        <v>417</v>
      </c>
      <c r="D1809" t="s">
        <v>1</v>
      </c>
      <c r="F1809" t="s">
        <v>13</v>
      </c>
      <c r="G1809" s="3">
        <v>8293592389</v>
      </c>
      <c r="H1809" s="2">
        <v>46141</v>
      </c>
      <c r="K1809" s="1">
        <f ca="1">IF(A1809="","",IF(OR(L1809="ENTREGADA",L1809="RETORNADA",L1809="ENTREGA DIGITAL"),0,MAX(0,5-NETWORKDAYS(H1809+1,TODAY()))))</f>
        <v>3</v>
      </c>
      <c r="L1809">
        <f>IF(A1809="","",IFERROR(LOOKUP(2,1/(#REF!=Z1809),#REF!),Y1809))</f>
        <v>0</v>
      </c>
      <c r="Z1809" t="str">
        <f>IF(A1809="","",TEXT(A1809,"0")&amp;"|"&amp;TEXT(H1809,"0"))</f>
        <v>4921017940606850|46141</v>
      </c>
      <c r="AA1809" t="str">
        <f>IF(Z1809="","",IFERROR(LOOKUP(2,1/(#REF!=Z1809),#REF!),""))</f>
        <v/>
      </c>
      <c r="AB1809" t="str">
        <f>IF(Z1809="","",IFERROR(LOOKUP(2,1/(#REF!=Z1809),#REF!),""))</f>
        <v/>
      </c>
      <c r="AC1809" t="e">
        <f>IF(Z1809="","",COUNTIF(#REF!,Z1809))</f>
        <v>#REF!</v>
      </c>
      <c r="AD1809" t="e">
        <f>IF(A1809="","",IF(AC1809&gt;1,"REVISAR DUPLICADO",IF(AA1809&lt;&gt;"","ACTUALIZADO POR EYR","SIN REPORTE EYR")))</f>
        <v>#REF!</v>
      </c>
    </row>
    <row r="1810" spans="1:30" x14ac:dyDescent="0.3">
      <c r="A1810" s="5" t="s">
        <v>416</v>
      </c>
      <c r="B1810" t="s">
        <v>415</v>
      </c>
      <c r="C1810" s="4" t="s">
        <v>414</v>
      </c>
      <c r="D1810" t="s">
        <v>1</v>
      </c>
      <c r="E1810" t="s">
        <v>214</v>
      </c>
      <c r="F1810" t="s">
        <v>413</v>
      </c>
      <c r="G1810" s="3">
        <v>8492714167</v>
      </c>
      <c r="H1810" s="2">
        <v>46141</v>
      </c>
      <c r="K1810" s="1">
        <f ca="1">IF(A1810="","",IF(OR(L1810="ENTREGADA",L1810="RETORNADA",L1810="ENTREGA DIGITAL"),0,MAX(0,5-NETWORKDAYS(H1810+1,TODAY()))))</f>
        <v>3</v>
      </c>
      <c r="L1810">
        <f>IF(A1810="","",IFERROR(LOOKUP(2,1/(#REF!=Z1810),#REF!),Y1810))</f>
        <v>0</v>
      </c>
      <c r="Z1810" t="str">
        <f>IF(A1810="","",TEXT(A1810,"0")&amp;"|"&amp;TEXT(H1810,"0"))</f>
        <v>4025017942565860|46141</v>
      </c>
      <c r="AA1810" t="str">
        <f>IF(Z1810="","",IFERROR(LOOKUP(2,1/(#REF!=Z1810),#REF!),""))</f>
        <v/>
      </c>
      <c r="AB1810" t="str">
        <f>IF(Z1810="","",IFERROR(LOOKUP(2,1/(#REF!=Z1810),#REF!),""))</f>
        <v/>
      </c>
      <c r="AC1810" t="e">
        <f>IF(Z1810="","",COUNTIF(#REF!,Z1810))</f>
        <v>#REF!</v>
      </c>
      <c r="AD1810" t="e">
        <f>IF(A1810="","",IF(AC1810&gt;1,"REVISAR DUPLICADO",IF(AA1810&lt;&gt;"","ACTUALIZADO POR EYR","SIN REPORTE EYR")))</f>
        <v>#REF!</v>
      </c>
    </row>
    <row r="1811" spans="1:30" x14ac:dyDescent="0.3">
      <c r="A1811" s="5" t="s">
        <v>412</v>
      </c>
      <c r="B1811" t="s">
        <v>411</v>
      </c>
      <c r="C1811" s="4" t="s">
        <v>410</v>
      </c>
      <c r="D1811" t="s">
        <v>1</v>
      </c>
      <c r="F1811" t="s">
        <v>409</v>
      </c>
      <c r="G1811" s="3">
        <v>8094151365</v>
      </c>
      <c r="H1811" s="2">
        <v>46141</v>
      </c>
      <c r="K1811" s="1">
        <f ca="1">IF(A1811="","",IF(OR(L1811="ENTREGADA",L1811="RETORNADA",L1811="ENTREGA DIGITAL"),0,MAX(0,5-NETWORKDAYS(H1811+1,TODAY()))))</f>
        <v>3</v>
      </c>
      <c r="L1811">
        <f>IF(A1811="","",IFERROR(LOOKUP(2,1/(#REF!=Z1811),#REF!),Y1811))</f>
        <v>0</v>
      </c>
      <c r="Z1811" t="str">
        <f>IF(A1811="","",TEXT(A1811,"0")&amp;"|"&amp;TEXT(H1811,"0"))</f>
        <v>4921017940557210|46141</v>
      </c>
      <c r="AA1811" t="str">
        <f>IF(Z1811="","",IFERROR(LOOKUP(2,1/(#REF!=Z1811),#REF!),""))</f>
        <v/>
      </c>
      <c r="AB1811" t="str">
        <f>IF(Z1811="","",IFERROR(LOOKUP(2,1/(#REF!=Z1811),#REF!),""))</f>
        <v/>
      </c>
      <c r="AC1811" t="e">
        <f>IF(Z1811="","",COUNTIF(#REF!,Z1811))</f>
        <v>#REF!</v>
      </c>
      <c r="AD1811" t="e">
        <f>IF(A1811="","",IF(AC1811&gt;1,"REVISAR DUPLICADO",IF(AA1811&lt;&gt;"","ACTUALIZADO POR EYR","SIN REPORTE EYR")))</f>
        <v>#REF!</v>
      </c>
    </row>
    <row r="1812" spans="1:30" x14ac:dyDescent="0.3">
      <c r="A1812" s="5" t="s">
        <v>408</v>
      </c>
      <c r="B1812" t="s">
        <v>407</v>
      </c>
      <c r="C1812" s="4" t="s">
        <v>406</v>
      </c>
      <c r="D1812" t="s">
        <v>77</v>
      </c>
      <c r="F1812" t="s">
        <v>0</v>
      </c>
      <c r="G1812" s="3">
        <v>8293422796</v>
      </c>
      <c r="H1812" s="2">
        <v>46141</v>
      </c>
      <c r="K1812" s="1">
        <f ca="1">IF(A1812="","",IF(OR(L1812="ENTREGADA",L1812="RETORNADA",L1812="ENTREGA DIGITAL"),0,MAX(0,5-NETWORKDAYS(H1812+1,TODAY()))))</f>
        <v>3</v>
      </c>
      <c r="L1812">
        <f>IF(A1812="","",IFERROR(LOOKUP(2,1/(#REF!=Z1812),#REF!),Y1812))</f>
        <v>0</v>
      </c>
      <c r="Z1812" t="str">
        <f>IF(A1812="","",TEXT(A1812,"0")&amp;"|"&amp;TEXT(H1812,"0"))</f>
        <v>4025017858191980|46141</v>
      </c>
      <c r="AA1812" t="str">
        <f>IF(Z1812="","",IFERROR(LOOKUP(2,1/(#REF!=Z1812),#REF!),""))</f>
        <v/>
      </c>
      <c r="AB1812" t="str">
        <f>IF(Z1812="","",IFERROR(LOOKUP(2,1/(#REF!=Z1812),#REF!),""))</f>
        <v/>
      </c>
      <c r="AC1812" t="e">
        <f>IF(Z1812="","",COUNTIF(#REF!,Z1812))</f>
        <v>#REF!</v>
      </c>
      <c r="AD1812" t="e">
        <f>IF(A1812="","",IF(AC1812&gt;1,"REVISAR DUPLICADO",IF(AA1812&lt;&gt;"","ACTUALIZADO POR EYR","SIN REPORTE EYR")))</f>
        <v>#REF!</v>
      </c>
    </row>
    <row r="1813" spans="1:30" x14ac:dyDescent="0.3">
      <c r="A1813" s="5" t="s">
        <v>405</v>
      </c>
      <c r="B1813" t="s">
        <v>404</v>
      </c>
      <c r="C1813" s="4" t="s">
        <v>403</v>
      </c>
      <c r="D1813" t="s">
        <v>77</v>
      </c>
      <c r="F1813" t="s">
        <v>402</v>
      </c>
      <c r="G1813" s="3">
        <v>8097684748</v>
      </c>
      <c r="H1813" s="2">
        <v>46141</v>
      </c>
      <c r="K1813" s="1">
        <f ca="1">IF(A1813="","",IF(OR(L1813="ENTREGADA",L1813="RETORNADA",L1813="ENTREGA DIGITAL"),0,MAX(0,5-NETWORKDAYS(H1813+1,TODAY()))))</f>
        <v>3</v>
      </c>
      <c r="L1813">
        <f>IF(A1813="","",IFERROR(LOOKUP(2,1/(#REF!=Z1813),#REF!),Y1813))</f>
        <v>0</v>
      </c>
      <c r="Z1813" t="str">
        <f>IF(A1813="","",TEXT(A1813,"0")&amp;"|"&amp;TEXT(H1813,"0"))</f>
        <v>5415017937313060|46141</v>
      </c>
      <c r="AA1813" t="str">
        <f>IF(Z1813="","",IFERROR(LOOKUP(2,1/(#REF!=Z1813),#REF!),""))</f>
        <v/>
      </c>
      <c r="AB1813" t="str">
        <f>IF(Z1813="","",IFERROR(LOOKUP(2,1/(#REF!=Z1813),#REF!),""))</f>
        <v/>
      </c>
      <c r="AC1813" t="e">
        <f>IF(Z1813="","",COUNTIF(#REF!,Z1813))</f>
        <v>#REF!</v>
      </c>
      <c r="AD1813" t="e">
        <f>IF(A1813="","",IF(AC1813&gt;1,"REVISAR DUPLICADO",IF(AA1813&lt;&gt;"","ACTUALIZADO POR EYR","SIN REPORTE EYR")))</f>
        <v>#REF!</v>
      </c>
    </row>
    <row r="1814" spans="1:30" x14ac:dyDescent="0.3">
      <c r="A1814" s="5" t="s">
        <v>401</v>
      </c>
      <c r="B1814" t="s">
        <v>400</v>
      </c>
      <c r="C1814" s="4" t="s">
        <v>399</v>
      </c>
      <c r="D1814" t="s">
        <v>77</v>
      </c>
      <c r="F1814" t="s">
        <v>398</v>
      </c>
      <c r="G1814" s="3">
        <v>8299351219</v>
      </c>
      <c r="H1814" s="2">
        <v>46141</v>
      </c>
      <c r="K1814" s="1">
        <f ca="1">IF(A1814="","",IF(OR(L1814="ENTREGADA",L1814="RETORNADA",L1814="ENTREGA DIGITAL"),0,MAX(0,5-NETWORKDAYS(H1814+1,TODAY()))))</f>
        <v>3</v>
      </c>
      <c r="L1814">
        <f>IF(A1814="","",IFERROR(LOOKUP(2,1/(#REF!=Z1814),#REF!),Y1814))</f>
        <v>0</v>
      </c>
      <c r="Z1814" t="str">
        <f>IF(A1814="","",TEXT(A1814,"0")&amp;"|"&amp;TEXT(H1814,"0"))</f>
        <v>5415017937444370|46141</v>
      </c>
      <c r="AA1814" t="str">
        <f>IF(Z1814="","",IFERROR(LOOKUP(2,1/(#REF!=Z1814),#REF!),""))</f>
        <v/>
      </c>
      <c r="AB1814" t="str">
        <f>IF(Z1814="","",IFERROR(LOOKUP(2,1/(#REF!=Z1814),#REF!),""))</f>
        <v/>
      </c>
      <c r="AC1814" t="e">
        <f>IF(Z1814="","",COUNTIF(#REF!,Z1814))</f>
        <v>#REF!</v>
      </c>
      <c r="AD1814" t="e">
        <f>IF(A1814="","",IF(AC1814&gt;1,"REVISAR DUPLICADO",IF(AA1814&lt;&gt;"","ACTUALIZADO POR EYR","SIN REPORTE EYR")))</f>
        <v>#REF!</v>
      </c>
    </row>
    <row r="1815" spans="1:30" x14ac:dyDescent="0.3">
      <c r="A1815" s="5" t="s">
        <v>397</v>
      </c>
      <c r="B1815" t="s">
        <v>396</v>
      </c>
      <c r="C1815" s="4" t="s">
        <v>395</v>
      </c>
      <c r="D1815" t="s">
        <v>77</v>
      </c>
      <c r="F1815" t="s">
        <v>13</v>
      </c>
      <c r="G1815" s="3">
        <v>8093237138</v>
      </c>
      <c r="H1815" s="2">
        <v>46141</v>
      </c>
      <c r="K1815" s="1">
        <f ca="1">IF(A1815="","",IF(OR(L1815="ENTREGADA",L1815="RETORNADA",L1815="ENTREGA DIGITAL"),0,MAX(0,5-NETWORKDAYS(H1815+1,TODAY()))))</f>
        <v>3</v>
      </c>
      <c r="L1815">
        <f>IF(A1815="","",IFERROR(LOOKUP(2,1/(#REF!=Z1815),#REF!),Y1815))</f>
        <v>0</v>
      </c>
      <c r="Z1815" t="str">
        <f>IF(A1815="","",TEXT(A1815,"0")&amp;"|"&amp;TEXT(H1815,"0"))</f>
        <v>4921017941764510|46141</v>
      </c>
      <c r="AA1815" t="str">
        <f>IF(Z1815="","",IFERROR(LOOKUP(2,1/(#REF!=Z1815),#REF!),""))</f>
        <v/>
      </c>
      <c r="AB1815" t="str">
        <f>IF(Z1815="","",IFERROR(LOOKUP(2,1/(#REF!=Z1815),#REF!),""))</f>
        <v/>
      </c>
      <c r="AC1815" t="e">
        <f>IF(Z1815="","",COUNTIF(#REF!,Z1815))</f>
        <v>#REF!</v>
      </c>
      <c r="AD1815" t="e">
        <f>IF(A1815="","",IF(AC1815&gt;1,"REVISAR DUPLICADO",IF(AA1815&lt;&gt;"","ACTUALIZADO POR EYR","SIN REPORTE EYR")))</f>
        <v>#REF!</v>
      </c>
    </row>
    <row r="1816" spans="1:30" x14ac:dyDescent="0.3">
      <c r="A1816" s="5" t="s">
        <v>394</v>
      </c>
      <c r="B1816" t="s">
        <v>393</v>
      </c>
      <c r="C1816" s="4" t="s">
        <v>392</v>
      </c>
      <c r="D1816" t="s">
        <v>77</v>
      </c>
      <c r="E1816" t="s">
        <v>214</v>
      </c>
      <c r="F1816" t="s">
        <v>391</v>
      </c>
      <c r="G1816" s="3">
        <v>8494530290</v>
      </c>
      <c r="H1816" s="2">
        <v>46141</v>
      </c>
      <c r="K1816" s="1">
        <f ca="1">IF(A1816="","",IF(OR(L1816="ENTREGADA",L1816="RETORNADA",L1816="ENTREGA DIGITAL"),0,MAX(0,5-NETWORKDAYS(H1816+1,TODAY()))))</f>
        <v>3</v>
      </c>
      <c r="L1816">
        <f>IF(A1816="","",IFERROR(LOOKUP(2,1/(#REF!=Z1816),#REF!),Y1816))</f>
        <v>0</v>
      </c>
      <c r="Z1816" t="str">
        <f>IF(A1816="","",TEXT(A1816,"0")&amp;"|"&amp;TEXT(H1816,"0"))</f>
        <v>5188017938744920|46141</v>
      </c>
      <c r="AA1816" t="str">
        <f>IF(Z1816="","",IFERROR(LOOKUP(2,1/(#REF!=Z1816),#REF!),""))</f>
        <v/>
      </c>
      <c r="AB1816" t="str">
        <f>IF(Z1816="","",IFERROR(LOOKUP(2,1/(#REF!=Z1816),#REF!),""))</f>
        <v/>
      </c>
      <c r="AC1816" t="e">
        <f>IF(Z1816="","",COUNTIF(#REF!,Z1816))</f>
        <v>#REF!</v>
      </c>
      <c r="AD1816" t="e">
        <f>IF(A1816="","",IF(AC1816&gt;1,"REVISAR DUPLICADO",IF(AA1816&lt;&gt;"","ACTUALIZADO POR EYR","SIN REPORTE EYR")))</f>
        <v>#REF!</v>
      </c>
    </row>
    <row r="1817" spans="1:30" x14ac:dyDescent="0.3">
      <c r="A1817" s="5" t="s">
        <v>390</v>
      </c>
      <c r="B1817" t="s">
        <v>389</v>
      </c>
      <c r="C1817" s="4" t="s">
        <v>388</v>
      </c>
      <c r="D1817" t="s">
        <v>77</v>
      </c>
      <c r="F1817" t="s">
        <v>387</v>
      </c>
      <c r="G1817" s="3">
        <v>8293458712</v>
      </c>
      <c r="H1817" s="2">
        <v>46141</v>
      </c>
      <c r="K1817" s="1">
        <f ca="1">IF(A1817="","",IF(OR(L1817="ENTREGADA",L1817="RETORNADA",L1817="ENTREGA DIGITAL"),0,MAX(0,5-NETWORKDAYS(H1817+1,TODAY()))))</f>
        <v>3</v>
      </c>
      <c r="L1817">
        <f>IF(A1817="","",IFERROR(LOOKUP(2,1/(#REF!=Z1817),#REF!),Y1817))</f>
        <v>0</v>
      </c>
      <c r="Z1817" t="str">
        <f>IF(A1817="","",TEXT(A1817,"0")&amp;"|"&amp;TEXT(H1817,"0"))</f>
        <v>4921017941305730|46141</v>
      </c>
      <c r="AA1817" t="str">
        <f>IF(Z1817="","",IFERROR(LOOKUP(2,1/(#REF!=Z1817),#REF!),""))</f>
        <v/>
      </c>
      <c r="AB1817" t="str">
        <f>IF(Z1817="","",IFERROR(LOOKUP(2,1/(#REF!=Z1817),#REF!),""))</f>
        <v/>
      </c>
      <c r="AC1817" t="e">
        <f>IF(Z1817="","",COUNTIF(#REF!,Z1817))</f>
        <v>#REF!</v>
      </c>
      <c r="AD1817" t="e">
        <f>IF(A1817="","",IF(AC1817&gt;1,"REVISAR DUPLICADO",IF(AA1817&lt;&gt;"","ACTUALIZADO POR EYR","SIN REPORTE EYR")))</f>
        <v>#REF!</v>
      </c>
    </row>
    <row r="1818" spans="1:30" x14ac:dyDescent="0.3">
      <c r="A1818" s="5" t="s">
        <v>386</v>
      </c>
      <c r="B1818" t="s">
        <v>385</v>
      </c>
      <c r="C1818" s="4" t="s">
        <v>384</v>
      </c>
      <c r="D1818" t="s">
        <v>77</v>
      </c>
      <c r="F1818" t="s">
        <v>13</v>
      </c>
      <c r="G1818" s="3">
        <v>8296980570</v>
      </c>
      <c r="H1818" s="2">
        <v>46141</v>
      </c>
      <c r="K1818" s="1">
        <f ca="1">IF(A1818="","",IF(OR(L1818="ENTREGADA",L1818="RETORNADA",L1818="ENTREGA DIGITAL"),0,MAX(0,5-NETWORKDAYS(H1818+1,TODAY()))))</f>
        <v>3</v>
      </c>
      <c r="L1818">
        <f>IF(A1818="","",IFERROR(LOOKUP(2,1/(#REF!=Z1818),#REF!),Y1818))</f>
        <v>0</v>
      </c>
      <c r="Z1818" t="str">
        <f>IF(A1818="","",TEXT(A1818,"0")&amp;"|"&amp;TEXT(H1818,"0"))</f>
        <v>4921017942251630|46141</v>
      </c>
      <c r="AA1818" t="str">
        <f>IF(Z1818="","",IFERROR(LOOKUP(2,1/(#REF!=Z1818),#REF!),""))</f>
        <v/>
      </c>
      <c r="AB1818" t="str">
        <f>IF(Z1818="","",IFERROR(LOOKUP(2,1/(#REF!=Z1818),#REF!),""))</f>
        <v/>
      </c>
      <c r="AC1818" t="e">
        <f>IF(Z1818="","",COUNTIF(#REF!,Z1818))</f>
        <v>#REF!</v>
      </c>
      <c r="AD1818" t="e">
        <f>IF(A1818="","",IF(AC1818&gt;1,"REVISAR DUPLICADO",IF(AA1818&lt;&gt;"","ACTUALIZADO POR EYR","SIN REPORTE EYR")))</f>
        <v>#REF!</v>
      </c>
    </row>
    <row r="1819" spans="1:30" x14ac:dyDescent="0.3">
      <c r="A1819" s="5" t="s">
        <v>383</v>
      </c>
      <c r="B1819" t="s">
        <v>382</v>
      </c>
      <c r="C1819" s="4" t="s">
        <v>381</v>
      </c>
      <c r="D1819" t="s">
        <v>77</v>
      </c>
      <c r="E1819" t="s">
        <v>214</v>
      </c>
      <c r="F1819" t="s">
        <v>362</v>
      </c>
      <c r="G1819" s="3">
        <v>8294592745</v>
      </c>
      <c r="H1819" s="2">
        <v>46141</v>
      </c>
      <c r="K1819" s="1">
        <f ca="1">IF(A1819="","",IF(OR(L1819="ENTREGADA",L1819="RETORNADA",L1819="ENTREGA DIGITAL"),0,MAX(0,5-NETWORKDAYS(H1819+1,TODAY()))))</f>
        <v>3</v>
      </c>
      <c r="L1819">
        <f>IF(A1819="","",IFERROR(LOOKUP(2,1/(#REF!=Z1819),#REF!),Y1819))</f>
        <v>0</v>
      </c>
      <c r="Z1819" t="str">
        <f>IF(A1819="","",TEXT(A1819,"0")&amp;"|"&amp;TEXT(H1819,"0"))</f>
        <v>5415017937266700|46141</v>
      </c>
      <c r="AA1819" t="str">
        <f>IF(Z1819="","",IFERROR(LOOKUP(2,1/(#REF!=Z1819),#REF!),""))</f>
        <v/>
      </c>
      <c r="AB1819" t="str">
        <f>IF(Z1819="","",IFERROR(LOOKUP(2,1/(#REF!=Z1819),#REF!),""))</f>
        <v/>
      </c>
      <c r="AC1819" t="e">
        <f>IF(Z1819="","",COUNTIF(#REF!,Z1819))</f>
        <v>#REF!</v>
      </c>
      <c r="AD1819" t="e">
        <f>IF(A1819="","",IF(AC1819&gt;1,"REVISAR DUPLICADO",IF(AA1819&lt;&gt;"","ACTUALIZADO POR EYR","SIN REPORTE EYR")))</f>
        <v>#REF!</v>
      </c>
    </row>
    <row r="1820" spans="1:30" x14ac:dyDescent="0.3">
      <c r="A1820" s="5" t="s">
        <v>380</v>
      </c>
      <c r="B1820" t="s">
        <v>379</v>
      </c>
      <c r="C1820" s="4" t="s">
        <v>378</v>
      </c>
      <c r="D1820" t="s">
        <v>77</v>
      </c>
      <c r="F1820" t="s">
        <v>377</v>
      </c>
      <c r="G1820" s="3">
        <v>8299458540</v>
      </c>
      <c r="H1820" s="2">
        <v>46141</v>
      </c>
      <c r="K1820" s="1">
        <f ca="1">IF(A1820="","",IF(OR(L1820="ENTREGADA",L1820="RETORNADA",L1820="ENTREGA DIGITAL"),0,MAX(0,5-NETWORKDAYS(H1820+1,TODAY()))))</f>
        <v>3</v>
      </c>
      <c r="L1820">
        <f>IF(A1820="","",IFERROR(LOOKUP(2,1/(#REF!=Z1820),#REF!),Y1820))</f>
        <v>0</v>
      </c>
      <c r="Z1820" t="str">
        <f>IF(A1820="","",TEXT(A1820,"0")&amp;"|"&amp;TEXT(H1820,"0"))</f>
        <v>5415017937340210|46141</v>
      </c>
      <c r="AA1820" t="str">
        <f>IF(Z1820="","",IFERROR(LOOKUP(2,1/(#REF!=Z1820),#REF!),""))</f>
        <v/>
      </c>
      <c r="AB1820" t="str">
        <f>IF(Z1820="","",IFERROR(LOOKUP(2,1/(#REF!=Z1820),#REF!),""))</f>
        <v/>
      </c>
      <c r="AC1820" t="e">
        <f>IF(Z1820="","",COUNTIF(#REF!,Z1820))</f>
        <v>#REF!</v>
      </c>
      <c r="AD1820" t="e">
        <f>IF(A1820="","",IF(AC1820&gt;1,"REVISAR DUPLICADO",IF(AA1820&lt;&gt;"","ACTUALIZADO POR EYR","SIN REPORTE EYR")))</f>
        <v>#REF!</v>
      </c>
    </row>
    <row r="1821" spans="1:30" x14ac:dyDescent="0.3">
      <c r="A1821" s="5" t="s">
        <v>376</v>
      </c>
      <c r="B1821" t="s">
        <v>375</v>
      </c>
      <c r="C1821" s="4" t="s">
        <v>374</v>
      </c>
      <c r="D1821" t="s">
        <v>1</v>
      </c>
      <c r="F1821" t="s">
        <v>13</v>
      </c>
      <c r="G1821" s="3">
        <v>8299100584</v>
      </c>
      <c r="H1821" s="6">
        <v>46142</v>
      </c>
      <c r="K1821" s="1">
        <f ca="1">IF(A1821="","",IF(OR(L1821="ENTREGADA",L1821="RETORNADA",L1821="ENTREGA DIGITAL"),0,MAX(0,5-NETWORKDAYS(H1821+1,TODAY()))))</f>
        <v>4</v>
      </c>
      <c r="L1821">
        <f>IF(A1821="","",IFERROR(LOOKUP(2,1/(#REF!=Z1821),#REF!),Y1821))</f>
        <v>0</v>
      </c>
      <c r="Z1821" t="str">
        <f>IF(A1821="","",TEXT(A1821,"0")&amp;"|"&amp;TEXT(H1821,"0"))</f>
        <v>5188017937734120|46142</v>
      </c>
      <c r="AA1821" t="str">
        <f>IF(Z1821="","",IFERROR(LOOKUP(2,1/(#REF!=Z1821),#REF!),""))</f>
        <v/>
      </c>
      <c r="AB1821" t="str">
        <f>IF(Z1821="","",IFERROR(LOOKUP(2,1/(#REF!=Z1821),#REF!),""))</f>
        <v/>
      </c>
      <c r="AC1821" t="e">
        <f>IF(Z1821="","",COUNTIF(#REF!,Z1821))</f>
        <v>#REF!</v>
      </c>
      <c r="AD1821" t="e">
        <f>IF(A1821="","",IF(AC1821&gt;1,"REVISAR DUPLICADO",IF(AA1821&lt;&gt;"","ACTUALIZADO POR EYR","SIN REPORTE EYR")))</f>
        <v>#REF!</v>
      </c>
    </row>
    <row r="1822" spans="1:30" x14ac:dyDescent="0.3">
      <c r="A1822" s="5" t="s">
        <v>373</v>
      </c>
      <c r="B1822" t="s">
        <v>372</v>
      </c>
      <c r="C1822" s="4" t="s">
        <v>371</v>
      </c>
      <c r="D1822" t="s">
        <v>1</v>
      </c>
      <c r="F1822" t="s">
        <v>370</v>
      </c>
      <c r="G1822" s="3">
        <v>8094516390</v>
      </c>
      <c r="H1822" s="6">
        <v>46142</v>
      </c>
      <c r="K1822" s="1">
        <f ca="1">IF(A1822="","",IF(OR(L1822="ENTREGADA",L1822="RETORNADA",L1822="ENTREGA DIGITAL"),0,MAX(0,5-NETWORKDAYS(H1822+1,TODAY()))))</f>
        <v>4</v>
      </c>
      <c r="L1822">
        <f>IF(A1822="","",IFERROR(LOOKUP(2,1/(#REF!=Z1822),#REF!),Y1822))</f>
        <v>0</v>
      </c>
      <c r="Z1822" t="str">
        <f>IF(A1822="","",TEXT(A1822,"0")&amp;"|"&amp;TEXT(H1822,"0"))</f>
        <v>4921017941098820|46142</v>
      </c>
      <c r="AA1822" t="str">
        <f>IF(Z1822="","",IFERROR(LOOKUP(2,1/(#REF!=Z1822),#REF!),""))</f>
        <v/>
      </c>
      <c r="AB1822" t="str">
        <f>IF(Z1822="","",IFERROR(LOOKUP(2,1/(#REF!=Z1822),#REF!),""))</f>
        <v/>
      </c>
      <c r="AC1822" t="e">
        <f>IF(Z1822="","",COUNTIF(#REF!,Z1822))</f>
        <v>#REF!</v>
      </c>
      <c r="AD1822" t="e">
        <f>IF(A1822="","",IF(AC1822&gt;1,"REVISAR DUPLICADO",IF(AA1822&lt;&gt;"","ACTUALIZADO POR EYR","SIN REPORTE EYR")))</f>
        <v>#REF!</v>
      </c>
    </row>
    <row r="1823" spans="1:30" x14ac:dyDescent="0.3">
      <c r="A1823" s="5" t="s">
        <v>369</v>
      </c>
      <c r="B1823" t="s">
        <v>368</v>
      </c>
      <c r="C1823" s="4" t="s">
        <v>367</v>
      </c>
      <c r="D1823" t="s">
        <v>1</v>
      </c>
      <c r="E1823" t="s">
        <v>214</v>
      </c>
      <c r="F1823" t="s">
        <v>366</v>
      </c>
      <c r="G1823" s="3">
        <v>8096152375</v>
      </c>
      <c r="H1823" s="6">
        <v>46142</v>
      </c>
      <c r="K1823" s="1">
        <f ca="1">IF(A1823="","",IF(OR(L1823="ENTREGADA",L1823="RETORNADA",L1823="ENTREGA DIGITAL"),0,MAX(0,5-NETWORKDAYS(H1823+1,TODAY()))))</f>
        <v>4</v>
      </c>
      <c r="L1823">
        <f>IF(A1823="","",IFERROR(LOOKUP(2,1/(#REF!=Z1823),#REF!),Y1823))</f>
        <v>0</v>
      </c>
      <c r="Z1823" t="str">
        <f>IF(A1823="","",TEXT(A1823,"0")&amp;"|"&amp;TEXT(H1823,"0"))</f>
        <v>4921017947048230|46142</v>
      </c>
      <c r="AA1823" t="str">
        <f>IF(Z1823="","",IFERROR(LOOKUP(2,1/(#REF!=Z1823),#REF!),""))</f>
        <v/>
      </c>
      <c r="AB1823" t="str">
        <f>IF(Z1823="","",IFERROR(LOOKUP(2,1/(#REF!=Z1823),#REF!),""))</f>
        <v/>
      </c>
      <c r="AC1823" t="e">
        <f>IF(Z1823="","",COUNTIF(#REF!,Z1823))</f>
        <v>#REF!</v>
      </c>
      <c r="AD1823" t="e">
        <f>IF(A1823="","",IF(AC1823&gt;1,"REVISAR DUPLICADO",IF(AA1823&lt;&gt;"","ACTUALIZADO POR EYR","SIN REPORTE EYR")))</f>
        <v>#REF!</v>
      </c>
    </row>
    <row r="1824" spans="1:30" x14ac:dyDescent="0.3">
      <c r="A1824" s="5" t="s">
        <v>365</v>
      </c>
      <c r="B1824" t="s">
        <v>364</v>
      </c>
      <c r="C1824" s="4" t="s">
        <v>363</v>
      </c>
      <c r="D1824" t="s">
        <v>1</v>
      </c>
      <c r="E1824" t="s">
        <v>214</v>
      </c>
      <c r="F1824" t="s">
        <v>362</v>
      </c>
      <c r="G1824" s="3">
        <v>8294048283</v>
      </c>
      <c r="H1824" s="6">
        <v>46142</v>
      </c>
      <c r="K1824" s="1">
        <f ca="1">IF(A1824="","",IF(OR(L1824="ENTREGADA",L1824="RETORNADA",L1824="ENTREGA DIGITAL"),0,MAX(0,5-NETWORKDAYS(H1824+1,TODAY()))))</f>
        <v>4</v>
      </c>
      <c r="L1824">
        <f>IF(A1824="","",IFERROR(LOOKUP(2,1/(#REF!=Z1824),#REF!),Y1824))</f>
        <v>0</v>
      </c>
      <c r="Z1824" t="str">
        <f>IF(A1824="","",TEXT(A1824,"0")&amp;"|"&amp;TEXT(H1824,"0"))</f>
        <v>4025017947182210|46142</v>
      </c>
      <c r="AA1824" t="str">
        <f>IF(Z1824="","",IFERROR(LOOKUP(2,1/(#REF!=Z1824),#REF!),""))</f>
        <v/>
      </c>
      <c r="AB1824" t="str">
        <f>IF(Z1824="","",IFERROR(LOOKUP(2,1/(#REF!=Z1824),#REF!),""))</f>
        <v/>
      </c>
      <c r="AC1824" t="e">
        <f>IF(Z1824="","",COUNTIF(#REF!,Z1824))</f>
        <v>#REF!</v>
      </c>
      <c r="AD1824" t="e">
        <f>IF(A1824="","",IF(AC1824&gt;1,"REVISAR DUPLICADO",IF(AA1824&lt;&gt;"","ACTUALIZADO POR EYR","SIN REPORTE EYR")))</f>
        <v>#REF!</v>
      </c>
    </row>
    <row r="1825" spans="1:30" x14ac:dyDescent="0.3">
      <c r="A1825" s="5" t="s">
        <v>361</v>
      </c>
      <c r="B1825" t="s">
        <v>360</v>
      </c>
      <c r="C1825" s="4" t="s">
        <v>359</v>
      </c>
      <c r="D1825" t="s">
        <v>1</v>
      </c>
      <c r="F1825" t="s">
        <v>13</v>
      </c>
      <c r="G1825" s="3">
        <v>8297121948</v>
      </c>
      <c r="H1825" s="6">
        <v>46142</v>
      </c>
      <c r="K1825" s="1">
        <f ca="1">IF(A1825="","",IF(OR(L1825="ENTREGADA",L1825="RETORNADA",L1825="ENTREGA DIGITAL"),0,MAX(0,5-NETWORKDAYS(H1825+1,TODAY()))))</f>
        <v>4</v>
      </c>
      <c r="L1825">
        <f>IF(A1825="","",IFERROR(LOOKUP(2,1/(#REF!=Z1825),#REF!),Y1825))</f>
        <v>0</v>
      </c>
      <c r="Z1825" t="str">
        <f>IF(A1825="","",TEXT(A1825,"0")&amp;"|"&amp;TEXT(H1825,"0"))</f>
        <v>4921017946544980|46142</v>
      </c>
      <c r="AA1825" t="str">
        <f>IF(Z1825="","",IFERROR(LOOKUP(2,1/(#REF!=Z1825),#REF!),""))</f>
        <v/>
      </c>
      <c r="AB1825" t="str">
        <f>IF(Z1825="","",IFERROR(LOOKUP(2,1/(#REF!=Z1825),#REF!),""))</f>
        <v/>
      </c>
      <c r="AC1825" t="e">
        <f>IF(Z1825="","",COUNTIF(#REF!,Z1825))</f>
        <v>#REF!</v>
      </c>
      <c r="AD1825" t="e">
        <f>IF(A1825="","",IF(AC1825&gt;1,"REVISAR DUPLICADO",IF(AA1825&lt;&gt;"","ACTUALIZADO POR EYR","SIN REPORTE EYR")))</f>
        <v>#REF!</v>
      </c>
    </row>
    <row r="1826" spans="1:30" x14ac:dyDescent="0.3">
      <c r="A1826" s="5" t="s">
        <v>358</v>
      </c>
      <c r="B1826" t="s">
        <v>357</v>
      </c>
      <c r="C1826" s="4" t="s">
        <v>356</v>
      </c>
      <c r="D1826" t="s">
        <v>1</v>
      </c>
      <c r="F1826" t="s">
        <v>13</v>
      </c>
      <c r="G1826" s="3">
        <v>8094385178</v>
      </c>
      <c r="H1826" s="6">
        <v>46142</v>
      </c>
      <c r="K1826" s="1">
        <f ca="1">IF(A1826="","",IF(OR(L1826="ENTREGADA",L1826="RETORNADA",L1826="ENTREGA DIGITAL"),0,MAX(0,5-NETWORKDAYS(H1826+1,TODAY()))))</f>
        <v>4</v>
      </c>
      <c r="L1826">
        <f>IF(A1826="","",IFERROR(LOOKUP(2,1/(#REF!=Z1826),#REF!),Y1826))</f>
        <v>0</v>
      </c>
      <c r="Z1826" t="str">
        <f>IF(A1826="","",TEXT(A1826,"0")&amp;"|"&amp;TEXT(H1826,"0"))</f>
        <v>4921017946458770|46142</v>
      </c>
      <c r="AA1826" t="str">
        <f>IF(Z1826="","",IFERROR(LOOKUP(2,1/(#REF!=Z1826),#REF!),""))</f>
        <v/>
      </c>
      <c r="AB1826" t="str">
        <f>IF(Z1826="","",IFERROR(LOOKUP(2,1/(#REF!=Z1826),#REF!),""))</f>
        <v/>
      </c>
      <c r="AC1826" t="e">
        <f>IF(Z1826="","",COUNTIF(#REF!,Z1826))</f>
        <v>#REF!</v>
      </c>
      <c r="AD1826" t="e">
        <f>IF(A1826="","",IF(AC1826&gt;1,"REVISAR DUPLICADO",IF(AA1826&lt;&gt;"","ACTUALIZADO POR EYR","SIN REPORTE EYR")))</f>
        <v>#REF!</v>
      </c>
    </row>
    <row r="1827" spans="1:30" x14ac:dyDescent="0.3">
      <c r="A1827" s="5" t="s">
        <v>355</v>
      </c>
      <c r="B1827" t="s">
        <v>354</v>
      </c>
      <c r="C1827" s="4" t="s">
        <v>353</v>
      </c>
      <c r="D1827" t="s">
        <v>77</v>
      </c>
      <c r="F1827" t="s">
        <v>9</v>
      </c>
      <c r="G1827" s="3">
        <v>8098387673</v>
      </c>
      <c r="H1827" s="6">
        <v>46142</v>
      </c>
      <c r="K1827" s="1">
        <f ca="1">IF(A1827="","",IF(OR(L1827="ENTREGADA",L1827="RETORNADA",L1827="ENTREGA DIGITAL"),0,MAX(0,5-NETWORKDAYS(H1827+1,TODAY()))))</f>
        <v>4</v>
      </c>
      <c r="L1827">
        <f>IF(A1827="","",IFERROR(LOOKUP(2,1/(#REF!=Z1827),#REF!),Y1827))</f>
        <v>0</v>
      </c>
      <c r="Z1827" t="str">
        <f>IF(A1827="","",TEXT(A1827,"0")&amp;"|"&amp;TEXT(H1827,"0"))</f>
        <v>4921017946888910|46142</v>
      </c>
      <c r="AA1827" t="str">
        <f>IF(Z1827="","",IFERROR(LOOKUP(2,1/(#REF!=Z1827),#REF!),""))</f>
        <v/>
      </c>
      <c r="AB1827" t="str">
        <f>IF(Z1827="","",IFERROR(LOOKUP(2,1/(#REF!=Z1827),#REF!),""))</f>
        <v/>
      </c>
      <c r="AC1827" t="e">
        <f>IF(Z1827="","",COUNTIF(#REF!,Z1827))</f>
        <v>#REF!</v>
      </c>
      <c r="AD1827" t="e">
        <f>IF(A1827="","",IF(AC1827&gt;1,"REVISAR DUPLICADO",IF(AA1827&lt;&gt;"","ACTUALIZADO POR EYR","SIN REPORTE EYR")))</f>
        <v>#REF!</v>
      </c>
    </row>
    <row r="1828" spans="1:30" x14ac:dyDescent="0.3">
      <c r="A1828" s="5" t="s">
        <v>352</v>
      </c>
      <c r="B1828" t="s">
        <v>351</v>
      </c>
      <c r="C1828" s="4" t="s">
        <v>350</v>
      </c>
      <c r="D1828" t="s">
        <v>77</v>
      </c>
      <c r="F1828" t="s">
        <v>0</v>
      </c>
      <c r="G1828" s="3">
        <v>8297836271</v>
      </c>
      <c r="H1828" s="6">
        <v>46142</v>
      </c>
      <c r="K1828" s="1">
        <f ca="1">IF(A1828="","",IF(OR(L1828="ENTREGADA",L1828="RETORNADA",L1828="ENTREGA DIGITAL"),0,MAX(0,5-NETWORKDAYS(H1828+1,TODAY()))))</f>
        <v>4</v>
      </c>
      <c r="L1828">
        <f>IF(A1828="","",IFERROR(LOOKUP(2,1/(#REF!=Z1828),#REF!),Y1828))</f>
        <v>0</v>
      </c>
      <c r="Z1828" t="str">
        <f>IF(A1828="","",TEXT(A1828,"0")&amp;"|"&amp;TEXT(H1828,"0"))</f>
        <v>5188017848847480|46142</v>
      </c>
      <c r="AA1828" t="str">
        <f>IF(Z1828="","",IFERROR(LOOKUP(2,1/(#REF!=Z1828),#REF!),""))</f>
        <v/>
      </c>
      <c r="AB1828" t="str">
        <f>IF(Z1828="","",IFERROR(LOOKUP(2,1/(#REF!=Z1828),#REF!),""))</f>
        <v/>
      </c>
      <c r="AC1828" t="e">
        <f>IF(Z1828="","",COUNTIF(#REF!,Z1828))</f>
        <v>#REF!</v>
      </c>
      <c r="AD1828" t="e">
        <f>IF(A1828="","",IF(AC1828&gt;1,"REVISAR DUPLICADO",IF(AA1828&lt;&gt;"","ACTUALIZADO POR EYR","SIN REPORTE EYR")))</f>
        <v>#REF!</v>
      </c>
    </row>
    <row r="1829" spans="1:30" x14ac:dyDescent="0.3">
      <c r="A1829" s="5" t="s">
        <v>349</v>
      </c>
      <c r="B1829" t="s">
        <v>348</v>
      </c>
      <c r="C1829" s="4" t="s">
        <v>347</v>
      </c>
      <c r="D1829" t="s">
        <v>77</v>
      </c>
      <c r="F1829" t="s">
        <v>346</v>
      </c>
      <c r="G1829" s="3">
        <v>9999999999</v>
      </c>
      <c r="H1829" s="6">
        <v>46142</v>
      </c>
      <c r="K1829" s="1">
        <f ca="1">IF(A1829="","",IF(OR(L1829="ENTREGADA",L1829="RETORNADA",L1829="ENTREGA DIGITAL"),0,MAX(0,5-NETWORKDAYS(H1829+1,TODAY()))))</f>
        <v>4</v>
      </c>
      <c r="L1829">
        <f>IF(A1829="","",IFERROR(LOOKUP(2,1/(#REF!=Z1829),#REF!),Y1829))</f>
        <v>0</v>
      </c>
      <c r="Z1829" t="str">
        <f>IF(A1829="","",TEXT(A1829,"0")&amp;"|"&amp;TEXT(H1829,"0"))</f>
        <v>4921017941446360|46142</v>
      </c>
      <c r="AA1829" t="str">
        <f>IF(Z1829="","",IFERROR(LOOKUP(2,1/(#REF!=Z1829),#REF!),""))</f>
        <v/>
      </c>
      <c r="AB1829" t="str">
        <f>IF(Z1829="","",IFERROR(LOOKUP(2,1/(#REF!=Z1829),#REF!),""))</f>
        <v/>
      </c>
      <c r="AC1829" t="e">
        <f>IF(Z1829="","",COUNTIF(#REF!,Z1829))</f>
        <v>#REF!</v>
      </c>
      <c r="AD1829" t="e">
        <f>IF(A1829="","",IF(AC1829&gt;1,"REVISAR DUPLICADO",IF(AA1829&lt;&gt;"","ACTUALIZADO POR EYR","SIN REPORTE EYR")))</f>
        <v>#REF!</v>
      </c>
    </row>
    <row r="1830" spans="1:30" x14ac:dyDescent="0.3">
      <c r="A1830" s="5" t="s">
        <v>345</v>
      </c>
      <c r="B1830" t="s">
        <v>344</v>
      </c>
      <c r="C1830" s="4" t="s">
        <v>343</v>
      </c>
      <c r="D1830" t="s">
        <v>77</v>
      </c>
      <c r="F1830" t="s">
        <v>13</v>
      </c>
      <c r="G1830" s="3">
        <v>8094656849</v>
      </c>
      <c r="H1830" s="6">
        <v>46142</v>
      </c>
      <c r="K1830" s="1">
        <f ca="1">IF(A1830="","",IF(OR(L1830="ENTREGADA",L1830="RETORNADA",L1830="ENTREGA DIGITAL"),0,MAX(0,5-NETWORKDAYS(H1830+1,TODAY()))))</f>
        <v>4</v>
      </c>
      <c r="L1830">
        <f>IF(A1830="","",IFERROR(LOOKUP(2,1/(#REF!=Z1830),#REF!),Y1830))</f>
        <v>0</v>
      </c>
      <c r="Z1830" t="str">
        <f>IF(A1830="","",TEXT(A1830,"0")&amp;"|"&amp;TEXT(H1830,"0"))</f>
        <v>4921017940577240|46142</v>
      </c>
      <c r="AA1830" t="str">
        <f>IF(Z1830="","",IFERROR(LOOKUP(2,1/(#REF!=Z1830),#REF!),""))</f>
        <v/>
      </c>
      <c r="AB1830" t="str">
        <f>IF(Z1830="","",IFERROR(LOOKUP(2,1/(#REF!=Z1830),#REF!),""))</f>
        <v/>
      </c>
      <c r="AC1830" t="e">
        <f>IF(Z1830="","",COUNTIF(#REF!,Z1830))</f>
        <v>#REF!</v>
      </c>
      <c r="AD1830" t="e">
        <f>IF(A1830="","",IF(AC1830&gt;1,"REVISAR DUPLICADO",IF(AA1830&lt;&gt;"","ACTUALIZADO POR EYR","SIN REPORTE EYR")))</f>
        <v>#REF!</v>
      </c>
    </row>
    <row r="1831" spans="1:30" x14ac:dyDescent="0.3">
      <c r="A1831" s="5" t="s">
        <v>342</v>
      </c>
      <c r="B1831" t="s">
        <v>341</v>
      </c>
      <c r="C1831" s="4" t="s">
        <v>340</v>
      </c>
      <c r="D1831" t="s">
        <v>77</v>
      </c>
      <c r="F1831" t="s">
        <v>13</v>
      </c>
      <c r="G1831" s="3">
        <v>8293508107</v>
      </c>
      <c r="H1831" s="6">
        <v>46142</v>
      </c>
      <c r="K1831" s="1">
        <f ca="1">IF(A1831="","",IF(OR(L1831="ENTREGADA",L1831="RETORNADA",L1831="ENTREGA DIGITAL"),0,MAX(0,5-NETWORKDAYS(H1831+1,TODAY()))))</f>
        <v>4</v>
      </c>
      <c r="L1831">
        <f>IF(A1831="","",IFERROR(LOOKUP(2,1/(#REF!=Z1831),#REF!),Y1831))</f>
        <v>0</v>
      </c>
      <c r="Z1831" t="str">
        <f>IF(A1831="","",TEXT(A1831,"0")&amp;"|"&amp;TEXT(H1831,"0"))</f>
        <v>4921017940635690|46142</v>
      </c>
      <c r="AA1831" t="str">
        <f>IF(Z1831="","",IFERROR(LOOKUP(2,1/(#REF!=Z1831),#REF!),""))</f>
        <v/>
      </c>
      <c r="AB1831" t="str">
        <f>IF(Z1831="","",IFERROR(LOOKUP(2,1/(#REF!=Z1831),#REF!),""))</f>
        <v/>
      </c>
      <c r="AC1831" t="e">
        <f>IF(Z1831="","",COUNTIF(#REF!,Z1831))</f>
        <v>#REF!</v>
      </c>
      <c r="AD1831" t="e">
        <f>IF(A1831="","",IF(AC1831&gt;1,"REVISAR DUPLICADO",IF(AA1831&lt;&gt;"","ACTUALIZADO POR EYR","SIN REPORTE EYR")))</f>
        <v>#REF!</v>
      </c>
    </row>
    <row r="1832" spans="1:30" x14ac:dyDescent="0.3">
      <c r="A1832" s="5" t="s">
        <v>339</v>
      </c>
      <c r="B1832" t="s">
        <v>338</v>
      </c>
      <c r="C1832" s="4" t="s">
        <v>337</v>
      </c>
      <c r="D1832" t="s">
        <v>77</v>
      </c>
      <c r="F1832" t="s">
        <v>13</v>
      </c>
      <c r="G1832" s="3">
        <v>8092091839</v>
      </c>
      <c r="H1832" s="6">
        <v>46142</v>
      </c>
      <c r="K1832" s="1">
        <f ca="1">IF(A1832="","",IF(OR(L1832="ENTREGADA",L1832="RETORNADA",L1832="ENTREGA DIGITAL"),0,MAX(0,5-NETWORKDAYS(H1832+1,TODAY()))))</f>
        <v>4</v>
      </c>
      <c r="L1832">
        <f>IF(A1832="","",IFERROR(LOOKUP(2,1/(#REF!=Z1832),#REF!),Y1832))</f>
        <v>0</v>
      </c>
      <c r="Z1832" t="str">
        <f>IF(A1832="","",TEXT(A1832,"0")&amp;"|"&amp;TEXT(H1832,"0"))</f>
        <v>5188017939264800|46142</v>
      </c>
      <c r="AA1832" t="str">
        <f>IF(Z1832="","",IFERROR(LOOKUP(2,1/(#REF!=Z1832),#REF!),""))</f>
        <v/>
      </c>
      <c r="AB1832" t="str">
        <f>IF(Z1832="","",IFERROR(LOOKUP(2,1/(#REF!=Z1832),#REF!),""))</f>
        <v/>
      </c>
      <c r="AC1832" t="e">
        <f>IF(Z1832="","",COUNTIF(#REF!,Z1832))</f>
        <v>#REF!</v>
      </c>
      <c r="AD1832" t="e">
        <f>IF(A1832="","",IF(AC1832&gt;1,"REVISAR DUPLICADO",IF(AA1832&lt;&gt;"","ACTUALIZADO POR EYR","SIN REPORTE EYR")))</f>
        <v>#REF!</v>
      </c>
    </row>
    <row r="1833" spans="1:30" x14ac:dyDescent="0.3">
      <c r="A1833" s="5" t="s">
        <v>336</v>
      </c>
      <c r="B1833" t="s">
        <v>335</v>
      </c>
      <c r="C1833" s="4" t="s">
        <v>334</v>
      </c>
      <c r="D1833" t="s">
        <v>77</v>
      </c>
      <c r="F1833" t="s">
        <v>135</v>
      </c>
      <c r="G1833" s="3">
        <v>8097530644</v>
      </c>
      <c r="H1833" s="6">
        <v>46142</v>
      </c>
      <c r="K1833" s="1">
        <f ca="1">IF(A1833="","",IF(OR(L1833="ENTREGADA",L1833="RETORNADA",L1833="ENTREGA DIGITAL"),0,MAX(0,5-NETWORKDAYS(H1833+1,TODAY()))))</f>
        <v>4</v>
      </c>
      <c r="L1833">
        <f>IF(A1833="","",IFERROR(LOOKUP(2,1/(#REF!=Z1833),#REF!),Y1833))</f>
        <v>0</v>
      </c>
      <c r="Z1833" t="str">
        <f>IF(A1833="","",TEXT(A1833,"0")&amp;"|"&amp;TEXT(H1833,"0"))</f>
        <v>4025017947156200|46142</v>
      </c>
      <c r="AA1833" t="str">
        <f>IF(Z1833="","",IFERROR(LOOKUP(2,1/(#REF!=Z1833),#REF!),""))</f>
        <v/>
      </c>
      <c r="AB1833" t="str">
        <f>IF(Z1833="","",IFERROR(LOOKUP(2,1/(#REF!=Z1833),#REF!),""))</f>
        <v/>
      </c>
      <c r="AC1833" t="e">
        <f>IF(Z1833="","",COUNTIF(#REF!,Z1833))</f>
        <v>#REF!</v>
      </c>
      <c r="AD1833" t="e">
        <f>IF(A1833="","",IF(AC1833&gt;1,"REVISAR DUPLICADO",IF(AA1833&lt;&gt;"","ACTUALIZADO POR EYR","SIN REPORTE EYR")))</f>
        <v>#REF!</v>
      </c>
    </row>
    <row r="1834" spans="1:30" x14ac:dyDescent="0.3">
      <c r="A1834" s="5" t="s">
        <v>333</v>
      </c>
      <c r="B1834" t="s">
        <v>332</v>
      </c>
      <c r="C1834" s="4" t="s">
        <v>331</v>
      </c>
      <c r="D1834" t="s">
        <v>77</v>
      </c>
      <c r="F1834" t="s">
        <v>330</v>
      </c>
      <c r="G1834" s="3">
        <v>8094582942</v>
      </c>
      <c r="H1834" s="6">
        <v>46142</v>
      </c>
      <c r="K1834" s="1">
        <f ca="1">IF(A1834="","",IF(OR(L1834="ENTREGADA",L1834="RETORNADA",L1834="ENTREGA DIGITAL"),0,MAX(0,5-NETWORKDAYS(H1834+1,TODAY()))))</f>
        <v>4</v>
      </c>
      <c r="L1834">
        <f>IF(A1834="","",IFERROR(LOOKUP(2,1/(#REF!=Z1834),#REF!),Y1834))</f>
        <v>0</v>
      </c>
      <c r="Z1834" t="str">
        <f>IF(A1834="","",TEXT(A1834,"0")&amp;"|"&amp;TEXT(H1834,"0"))</f>
        <v>4921017946850650|46142</v>
      </c>
      <c r="AA1834" t="str">
        <f>IF(Z1834="","",IFERROR(LOOKUP(2,1/(#REF!=Z1834),#REF!),""))</f>
        <v/>
      </c>
      <c r="AB1834" t="str">
        <f>IF(Z1834="","",IFERROR(LOOKUP(2,1/(#REF!=Z1834),#REF!),""))</f>
        <v/>
      </c>
      <c r="AC1834" t="e">
        <f>IF(Z1834="","",COUNTIF(#REF!,Z1834))</f>
        <v>#REF!</v>
      </c>
      <c r="AD1834" t="e">
        <f>IF(A1834="","",IF(AC1834&gt;1,"REVISAR DUPLICADO",IF(AA1834&lt;&gt;"","ACTUALIZADO POR EYR","SIN REPORTE EYR")))</f>
        <v>#REF!</v>
      </c>
    </row>
    <row r="1835" spans="1:30" x14ac:dyDescent="0.3">
      <c r="A1835" s="5" t="s">
        <v>329</v>
      </c>
      <c r="B1835" t="s">
        <v>328</v>
      </c>
      <c r="C1835" s="4" t="s">
        <v>327</v>
      </c>
      <c r="D1835" t="s">
        <v>77</v>
      </c>
      <c r="F1835" t="s">
        <v>13</v>
      </c>
      <c r="G1835" s="3">
        <v>8293762857</v>
      </c>
      <c r="H1835" s="6">
        <v>46142</v>
      </c>
      <c r="K1835" s="1">
        <f ca="1">IF(A1835="","",IF(OR(L1835="ENTREGADA",L1835="RETORNADA",L1835="ENTREGA DIGITAL"),0,MAX(0,5-NETWORKDAYS(H1835+1,TODAY()))))</f>
        <v>4</v>
      </c>
      <c r="L1835">
        <f>IF(A1835="","",IFERROR(LOOKUP(2,1/(#REF!=Z1835),#REF!),Y1835))</f>
        <v>0</v>
      </c>
      <c r="Z1835" t="str">
        <f>IF(A1835="","",TEXT(A1835,"0")&amp;"|"&amp;TEXT(H1835,"0"))</f>
        <v>4921017946387810|46142</v>
      </c>
      <c r="AA1835" t="str">
        <f>IF(Z1835="","",IFERROR(LOOKUP(2,1/(#REF!=Z1835),#REF!),""))</f>
        <v/>
      </c>
      <c r="AB1835" t="str">
        <f>IF(Z1835="","",IFERROR(LOOKUP(2,1/(#REF!=Z1835),#REF!),""))</f>
        <v/>
      </c>
      <c r="AC1835" t="e">
        <f>IF(Z1835="","",COUNTIF(#REF!,Z1835))</f>
        <v>#REF!</v>
      </c>
      <c r="AD1835" t="e">
        <f>IF(A1835="","",IF(AC1835&gt;1,"REVISAR DUPLICADO",IF(AA1835&lt;&gt;"","ACTUALIZADO POR EYR","SIN REPORTE EYR")))</f>
        <v>#REF!</v>
      </c>
    </row>
    <row r="1836" spans="1:30" x14ac:dyDescent="0.3">
      <c r="A1836" s="5" t="s">
        <v>326</v>
      </c>
      <c r="B1836" t="s">
        <v>325</v>
      </c>
      <c r="C1836" s="4" t="s">
        <v>324</v>
      </c>
      <c r="D1836" t="s">
        <v>77</v>
      </c>
      <c r="F1836" t="s">
        <v>13</v>
      </c>
      <c r="G1836" s="3">
        <v>8297691781</v>
      </c>
      <c r="H1836" s="6">
        <v>46142</v>
      </c>
      <c r="K1836" s="1">
        <f ca="1">IF(A1836="","",IF(OR(L1836="ENTREGADA",L1836="RETORNADA",L1836="ENTREGA DIGITAL"),0,MAX(0,5-NETWORKDAYS(H1836+1,TODAY()))))</f>
        <v>4</v>
      </c>
      <c r="L1836">
        <f>IF(A1836="","",IFERROR(LOOKUP(2,1/(#REF!=Z1836),#REF!),Y1836))</f>
        <v>0</v>
      </c>
      <c r="Z1836" t="str">
        <f>IF(A1836="","",TEXT(A1836,"0")&amp;"|"&amp;TEXT(H1836,"0"))</f>
        <v>4921017946395090|46142</v>
      </c>
      <c r="AA1836" t="str">
        <f>IF(Z1836="","",IFERROR(LOOKUP(2,1/(#REF!=Z1836),#REF!),""))</f>
        <v/>
      </c>
      <c r="AB1836" t="str">
        <f>IF(Z1836="","",IFERROR(LOOKUP(2,1/(#REF!=Z1836),#REF!),""))</f>
        <v/>
      </c>
      <c r="AC1836" t="e">
        <f>IF(Z1836="","",COUNTIF(#REF!,Z1836))</f>
        <v>#REF!</v>
      </c>
      <c r="AD1836" t="e">
        <f>IF(A1836="","",IF(AC1836&gt;1,"REVISAR DUPLICADO",IF(AA1836&lt;&gt;"","ACTUALIZADO POR EYR","SIN REPORTE EYR")))</f>
        <v>#REF!</v>
      </c>
    </row>
    <row r="1837" spans="1:30" x14ac:dyDescent="0.3">
      <c r="A1837" s="5" t="s">
        <v>323</v>
      </c>
      <c r="B1837" t="s">
        <v>322</v>
      </c>
      <c r="C1837" s="4" t="s">
        <v>321</v>
      </c>
      <c r="D1837" t="s">
        <v>77</v>
      </c>
      <c r="F1837" t="s">
        <v>13</v>
      </c>
      <c r="G1837" s="3">
        <v>8095051229</v>
      </c>
      <c r="H1837" s="6">
        <v>46142</v>
      </c>
      <c r="K1837" s="1">
        <f ca="1">IF(A1837="","",IF(OR(L1837="ENTREGADA",L1837="RETORNADA",L1837="ENTREGA DIGITAL"),0,MAX(0,5-NETWORKDAYS(H1837+1,TODAY()))))</f>
        <v>4</v>
      </c>
      <c r="L1837">
        <f>IF(A1837="","",IFERROR(LOOKUP(2,1/(#REF!=Z1837),#REF!),Y1837))</f>
        <v>0</v>
      </c>
      <c r="Z1837" t="str">
        <f>IF(A1837="","",TEXT(A1837,"0")&amp;"|"&amp;TEXT(H1837,"0"))</f>
        <v>4921017946751690|46142</v>
      </c>
      <c r="AA1837" t="str">
        <f>IF(Z1837="","",IFERROR(LOOKUP(2,1/(#REF!=Z1837),#REF!),""))</f>
        <v/>
      </c>
      <c r="AB1837" t="str">
        <f>IF(Z1837="","",IFERROR(LOOKUP(2,1/(#REF!=Z1837),#REF!),""))</f>
        <v/>
      </c>
      <c r="AC1837" t="e">
        <f>IF(Z1837="","",COUNTIF(#REF!,Z1837))</f>
        <v>#REF!</v>
      </c>
      <c r="AD1837" t="e">
        <f>IF(A1837="","",IF(AC1837&gt;1,"REVISAR DUPLICADO",IF(AA1837&lt;&gt;"","ACTUALIZADO POR EYR","SIN REPORTE EYR")))</f>
        <v>#REF!</v>
      </c>
    </row>
    <row r="1838" spans="1:30" x14ac:dyDescent="0.3">
      <c r="A1838" s="5" t="s">
        <v>320</v>
      </c>
      <c r="B1838" t="s">
        <v>319</v>
      </c>
      <c r="C1838" s="4" t="s">
        <v>318</v>
      </c>
      <c r="D1838" t="s">
        <v>77</v>
      </c>
      <c r="F1838" t="s">
        <v>13</v>
      </c>
      <c r="G1838" s="3">
        <v>8096712476</v>
      </c>
      <c r="H1838" s="6">
        <v>46142</v>
      </c>
      <c r="K1838" s="1">
        <f ca="1">IF(A1838="","",IF(OR(L1838="ENTREGADA",L1838="RETORNADA",L1838="ENTREGA DIGITAL"),0,MAX(0,5-NETWORKDAYS(H1838+1,TODAY()))))</f>
        <v>4</v>
      </c>
      <c r="L1838">
        <f>IF(A1838="","",IFERROR(LOOKUP(2,1/(#REF!=Z1838),#REF!),Y1838))</f>
        <v>0</v>
      </c>
      <c r="Z1838" t="str">
        <f>IF(A1838="","",TEXT(A1838,"0")&amp;"|"&amp;TEXT(H1838,"0"))</f>
        <v>5400017944004990|46142</v>
      </c>
      <c r="AA1838" t="str">
        <f>IF(Z1838="","",IFERROR(LOOKUP(2,1/(#REF!=Z1838),#REF!),""))</f>
        <v/>
      </c>
      <c r="AB1838" t="str">
        <f>IF(Z1838="","",IFERROR(LOOKUP(2,1/(#REF!=Z1838),#REF!),""))</f>
        <v/>
      </c>
      <c r="AC1838" t="e">
        <f>IF(Z1838="","",COUNTIF(#REF!,Z1838))</f>
        <v>#REF!</v>
      </c>
      <c r="AD1838" t="e">
        <f>IF(A1838="","",IF(AC1838&gt;1,"REVISAR DUPLICADO",IF(AA1838&lt;&gt;"","ACTUALIZADO POR EYR","SIN REPORTE EYR")))</f>
        <v>#REF!</v>
      </c>
    </row>
    <row r="1839" spans="1:30" x14ac:dyDescent="0.3">
      <c r="A1839" s="5" t="s">
        <v>317</v>
      </c>
      <c r="B1839" t="s">
        <v>316</v>
      </c>
      <c r="C1839" s="4" t="s">
        <v>315</v>
      </c>
      <c r="D1839" t="s">
        <v>77</v>
      </c>
      <c r="F1839" t="s">
        <v>13</v>
      </c>
      <c r="G1839" s="3">
        <v>8094483122</v>
      </c>
      <c r="H1839" s="6">
        <v>46142</v>
      </c>
      <c r="K1839" s="1">
        <f ca="1">IF(A1839="","",IF(OR(L1839="ENTREGADA",L1839="RETORNADA",L1839="ENTREGA DIGITAL"),0,MAX(0,5-NETWORKDAYS(H1839+1,TODAY()))))</f>
        <v>4</v>
      </c>
      <c r="L1839">
        <f>IF(A1839="","",IFERROR(LOOKUP(2,1/(#REF!=Z1839),#REF!),Y1839))</f>
        <v>0</v>
      </c>
      <c r="Z1839" t="str">
        <f>IF(A1839="","",TEXT(A1839,"0")&amp;"|"&amp;TEXT(H1839,"0"))</f>
        <v>4921017946050170|46142</v>
      </c>
      <c r="AA1839" t="str">
        <f>IF(Z1839="","",IFERROR(LOOKUP(2,1/(#REF!=Z1839),#REF!),""))</f>
        <v/>
      </c>
      <c r="AB1839" t="str">
        <f>IF(Z1839="","",IFERROR(LOOKUP(2,1/(#REF!=Z1839),#REF!),""))</f>
        <v/>
      </c>
      <c r="AC1839" t="e">
        <f>IF(Z1839="","",COUNTIF(#REF!,Z1839))</f>
        <v>#REF!</v>
      </c>
      <c r="AD1839" t="e">
        <f>IF(A1839="","",IF(AC1839&gt;1,"REVISAR DUPLICADO",IF(AA1839&lt;&gt;"","ACTUALIZADO POR EYR","SIN REPORTE EYR")))</f>
        <v>#REF!</v>
      </c>
    </row>
    <row r="1840" spans="1:30" x14ac:dyDescent="0.3">
      <c r="A1840" s="5" t="s">
        <v>314</v>
      </c>
      <c r="B1840" t="s">
        <v>313</v>
      </c>
      <c r="C1840" s="4" t="s">
        <v>312</v>
      </c>
      <c r="D1840" t="s">
        <v>77</v>
      </c>
      <c r="F1840" t="s">
        <v>13</v>
      </c>
      <c r="G1840" s="3">
        <v>8097051019</v>
      </c>
      <c r="H1840" s="6">
        <v>46142</v>
      </c>
      <c r="K1840" s="1">
        <f ca="1">IF(A1840="","",IF(OR(L1840="ENTREGADA",L1840="RETORNADA",L1840="ENTREGA DIGITAL"),0,MAX(0,5-NETWORKDAYS(H1840+1,TODAY()))))</f>
        <v>4</v>
      </c>
      <c r="L1840">
        <f>IF(A1840="","",IFERROR(LOOKUP(2,1/(#REF!=Z1840),#REF!),Y1840))</f>
        <v>0</v>
      </c>
      <c r="Z1840" t="str">
        <f>IF(A1840="","",TEXT(A1840,"0")&amp;"|"&amp;TEXT(H1840,"0"))</f>
        <v>4966017945258880|46142</v>
      </c>
      <c r="AA1840" t="str">
        <f>IF(Z1840="","",IFERROR(LOOKUP(2,1/(#REF!=Z1840),#REF!),""))</f>
        <v/>
      </c>
      <c r="AB1840" t="str">
        <f>IF(Z1840="","",IFERROR(LOOKUP(2,1/(#REF!=Z1840),#REF!),""))</f>
        <v/>
      </c>
      <c r="AC1840" t="e">
        <f>IF(Z1840="","",COUNTIF(#REF!,Z1840))</f>
        <v>#REF!</v>
      </c>
      <c r="AD1840" t="e">
        <f>IF(A1840="","",IF(AC1840&gt;1,"REVISAR DUPLICADO",IF(AA1840&lt;&gt;"","ACTUALIZADO POR EYR","SIN REPORTE EYR")))</f>
        <v>#REF!</v>
      </c>
    </row>
    <row r="1841" spans="1:30" x14ac:dyDescent="0.3">
      <c r="A1841" s="5" t="s">
        <v>311</v>
      </c>
      <c r="B1841" t="s">
        <v>310</v>
      </c>
      <c r="C1841" s="4" t="s">
        <v>309</v>
      </c>
      <c r="D1841" t="s">
        <v>77</v>
      </c>
      <c r="F1841" t="s">
        <v>13</v>
      </c>
      <c r="G1841" s="3">
        <v>8295762628</v>
      </c>
      <c r="H1841" s="6">
        <v>46142</v>
      </c>
      <c r="K1841" s="1">
        <f ca="1">IF(A1841="","",IF(OR(L1841="ENTREGADA",L1841="RETORNADA",L1841="ENTREGA DIGITAL"),0,MAX(0,5-NETWORKDAYS(H1841+1,TODAY()))))</f>
        <v>4</v>
      </c>
      <c r="L1841">
        <f>IF(A1841="","",IFERROR(LOOKUP(2,1/(#REF!=Z1841),#REF!),Y1841))</f>
        <v>0</v>
      </c>
      <c r="Z1841" t="str">
        <f>IF(A1841="","",TEXT(A1841,"0")&amp;"|"&amp;TEXT(H1841,"0"))</f>
        <v>5400017944025060|46142</v>
      </c>
      <c r="AA1841" t="str">
        <f>IF(Z1841="","",IFERROR(LOOKUP(2,1/(#REF!=Z1841),#REF!),""))</f>
        <v/>
      </c>
      <c r="AB1841" t="str">
        <f>IF(Z1841="","",IFERROR(LOOKUP(2,1/(#REF!=Z1841),#REF!),""))</f>
        <v/>
      </c>
      <c r="AC1841" t="e">
        <f>IF(Z1841="","",COUNTIF(#REF!,Z1841))</f>
        <v>#REF!</v>
      </c>
      <c r="AD1841" t="e">
        <f>IF(A1841="","",IF(AC1841&gt;1,"REVISAR DUPLICADO",IF(AA1841&lt;&gt;"","ACTUALIZADO POR EYR","SIN REPORTE EYR")))</f>
        <v>#REF!</v>
      </c>
    </row>
    <row r="1842" spans="1:30" x14ac:dyDescent="0.3">
      <c r="A1842" s="5" t="s">
        <v>308</v>
      </c>
      <c r="B1842" t="s">
        <v>307</v>
      </c>
      <c r="C1842" s="4" t="s">
        <v>306</v>
      </c>
      <c r="D1842" t="s">
        <v>77</v>
      </c>
      <c r="F1842" t="s">
        <v>305</v>
      </c>
      <c r="G1842" s="3">
        <v>8496548909</v>
      </c>
      <c r="H1842" s="6">
        <v>46142</v>
      </c>
      <c r="K1842" s="1">
        <f ca="1">IF(A1842="","",IF(OR(L1842="ENTREGADA",L1842="RETORNADA",L1842="ENTREGA DIGITAL"),0,MAX(0,5-NETWORKDAYS(H1842+1,TODAY()))))</f>
        <v>4</v>
      </c>
      <c r="L1842">
        <f>IF(A1842="","",IFERROR(LOOKUP(2,1/(#REF!=Z1842),#REF!),Y1842))</f>
        <v>0</v>
      </c>
      <c r="Z1842" t="str">
        <f>IF(A1842="","",TEXT(A1842,"0")&amp;"|"&amp;TEXT(H1842,"0"))</f>
        <v>4921017946535670|46142</v>
      </c>
      <c r="AA1842" t="str">
        <f>IF(Z1842="","",IFERROR(LOOKUP(2,1/(#REF!=Z1842),#REF!),""))</f>
        <v/>
      </c>
      <c r="AB1842" t="str">
        <f>IF(Z1842="","",IFERROR(LOOKUP(2,1/(#REF!=Z1842),#REF!),""))</f>
        <v/>
      </c>
      <c r="AC1842" t="e">
        <f>IF(Z1842="","",COUNTIF(#REF!,Z1842))</f>
        <v>#REF!</v>
      </c>
      <c r="AD1842" t="e">
        <f>IF(A1842="","",IF(AC1842&gt;1,"REVISAR DUPLICADO",IF(AA1842&lt;&gt;"","ACTUALIZADO POR EYR","SIN REPORTE EYR")))</f>
        <v>#REF!</v>
      </c>
    </row>
    <row r="1843" spans="1:30" x14ac:dyDescent="0.3">
      <c r="A1843" s="5" t="s">
        <v>304</v>
      </c>
      <c r="B1843" t="s">
        <v>303</v>
      </c>
      <c r="C1843" s="4" t="s">
        <v>302</v>
      </c>
      <c r="D1843" t="s">
        <v>77</v>
      </c>
      <c r="F1843" t="s">
        <v>122</v>
      </c>
      <c r="G1843" s="3">
        <v>8293504029</v>
      </c>
      <c r="H1843" s="6">
        <v>46142</v>
      </c>
      <c r="K1843" s="1">
        <f ca="1">IF(A1843="","",IF(OR(L1843="ENTREGADA",L1843="RETORNADA",L1843="ENTREGA DIGITAL"),0,MAX(0,5-NETWORKDAYS(H1843+1,TODAY()))))</f>
        <v>4</v>
      </c>
      <c r="L1843">
        <f>IF(A1843="","",IFERROR(LOOKUP(2,1/(#REF!=Z1843),#REF!),Y1843))</f>
        <v>0</v>
      </c>
      <c r="Z1843" t="str">
        <f>IF(A1843="","",TEXT(A1843,"0")&amp;"|"&amp;TEXT(H1843,"0"))</f>
        <v>4921017946350700|46142</v>
      </c>
      <c r="AA1843" t="str">
        <f>IF(Z1843="","",IFERROR(LOOKUP(2,1/(#REF!=Z1843),#REF!),""))</f>
        <v/>
      </c>
      <c r="AB1843" t="str">
        <f>IF(Z1843="","",IFERROR(LOOKUP(2,1/(#REF!=Z1843),#REF!),""))</f>
        <v/>
      </c>
      <c r="AC1843" t="e">
        <f>IF(Z1843="","",COUNTIF(#REF!,Z1843))</f>
        <v>#REF!</v>
      </c>
      <c r="AD1843" t="e">
        <f>IF(A1843="","",IF(AC1843&gt;1,"REVISAR DUPLICADO",IF(AA1843&lt;&gt;"","ACTUALIZADO POR EYR","SIN REPORTE EYR")))</f>
        <v>#REF!</v>
      </c>
    </row>
    <row r="1844" spans="1:30" x14ac:dyDescent="0.3">
      <c r="A1844" s="5" t="s">
        <v>301</v>
      </c>
      <c r="B1844" t="s">
        <v>300</v>
      </c>
      <c r="C1844" s="4" t="s">
        <v>299</v>
      </c>
      <c r="D1844" t="s">
        <v>77</v>
      </c>
      <c r="F1844" t="s">
        <v>135</v>
      </c>
      <c r="G1844" s="3">
        <v>8296911740</v>
      </c>
      <c r="H1844" s="6">
        <v>46142</v>
      </c>
      <c r="K1844" s="1">
        <f ca="1">IF(A1844="","",IF(OR(L1844="ENTREGADA",L1844="RETORNADA",L1844="ENTREGA DIGITAL"),0,MAX(0,5-NETWORKDAYS(H1844+1,TODAY()))))</f>
        <v>4</v>
      </c>
      <c r="L1844">
        <f>IF(A1844="","",IFERROR(LOOKUP(2,1/(#REF!=Z1844),#REF!),Y1844))</f>
        <v>0</v>
      </c>
      <c r="Z1844" t="str">
        <f>IF(A1844="","",TEXT(A1844,"0")&amp;"|"&amp;TEXT(H1844,"0"))</f>
        <v>4921017946664420|46142</v>
      </c>
      <c r="AA1844" t="str">
        <f>IF(Z1844="","",IFERROR(LOOKUP(2,1/(#REF!=Z1844),#REF!),""))</f>
        <v/>
      </c>
      <c r="AB1844" t="str">
        <f>IF(Z1844="","",IFERROR(LOOKUP(2,1/(#REF!=Z1844),#REF!),""))</f>
        <v/>
      </c>
      <c r="AC1844" t="e">
        <f>IF(Z1844="","",COUNTIF(#REF!,Z1844))</f>
        <v>#REF!</v>
      </c>
      <c r="AD1844" t="e">
        <f>IF(A1844="","",IF(AC1844&gt;1,"REVISAR DUPLICADO",IF(AA1844&lt;&gt;"","ACTUALIZADO POR EYR","SIN REPORTE EYR")))</f>
        <v>#REF!</v>
      </c>
    </row>
    <row r="1845" spans="1:30" x14ac:dyDescent="0.3">
      <c r="A1845" s="5" t="s">
        <v>298</v>
      </c>
      <c r="B1845" t="s">
        <v>297</v>
      </c>
      <c r="C1845" s="4" t="s">
        <v>296</v>
      </c>
      <c r="D1845" t="s">
        <v>21</v>
      </c>
      <c r="F1845" t="s">
        <v>13</v>
      </c>
      <c r="G1845" s="3">
        <v>8492662497</v>
      </c>
      <c r="H1845" s="6">
        <v>46142</v>
      </c>
      <c r="K1845" s="1">
        <f ca="1">IF(A1845="","",IF(OR(L1845="ENTREGADA",L1845="RETORNADA",L1845="ENTREGA DIGITAL"),0,MAX(0,5-NETWORKDAYS(H1845+1,TODAY()))))</f>
        <v>4</v>
      </c>
      <c r="L1845">
        <f>IF(A1845="","",IFERROR(LOOKUP(2,1/(#REF!=Z1845),#REF!),Y1845))</f>
        <v>0</v>
      </c>
      <c r="Z1845" t="str">
        <f>IF(A1845="","",TEXT(A1845,"0")&amp;"|"&amp;TEXT(H1845,"0"))</f>
        <v>4921017939719130|46142</v>
      </c>
      <c r="AA1845" t="str">
        <f>IF(Z1845="","",IFERROR(LOOKUP(2,1/(#REF!=Z1845),#REF!),""))</f>
        <v/>
      </c>
      <c r="AB1845" t="str">
        <f>IF(Z1845="","",IFERROR(LOOKUP(2,1/(#REF!=Z1845),#REF!),""))</f>
        <v/>
      </c>
      <c r="AC1845" t="e">
        <f>IF(Z1845="","",COUNTIF(#REF!,Z1845))</f>
        <v>#REF!</v>
      </c>
      <c r="AD1845" t="e">
        <f>IF(A1845="","",IF(AC1845&gt;1,"REVISAR DUPLICADO",IF(AA1845&lt;&gt;"","ACTUALIZADO POR EYR","SIN REPORTE EYR")))</f>
        <v>#REF!</v>
      </c>
    </row>
    <row r="1846" spans="1:30" x14ac:dyDescent="0.3">
      <c r="A1846" s="5" t="s">
        <v>295</v>
      </c>
      <c r="B1846" t="s">
        <v>292</v>
      </c>
      <c r="C1846" s="4" t="s">
        <v>291</v>
      </c>
      <c r="D1846" t="s">
        <v>21</v>
      </c>
      <c r="F1846" t="s">
        <v>294</v>
      </c>
      <c r="G1846" s="3">
        <v>8494098325</v>
      </c>
      <c r="H1846" s="6">
        <v>46142</v>
      </c>
      <c r="K1846" s="1">
        <f ca="1">IF(A1846="","",IF(OR(L1846="ENTREGADA",L1846="RETORNADA",L1846="ENTREGA DIGITAL"),0,MAX(0,5-NETWORKDAYS(H1846+1,TODAY()))))</f>
        <v>4</v>
      </c>
      <c r="L1846">
        <f>IF(A1846="","",IFERROR(LOOKUP(2,1/(#REF!=Z1846),#REF!),Y1846))</f>
        <v>0</v>
      </c>
      <c r="Z1846" t="str">
        <f>IF(A1846="","",TEXT(A1846,"0")&amp;"|"&amp;TEXT(H1846,"0"))</f>
        <v>4025017942435930|46142</v>
      </c>
      <c r="AA1846" t="str">
        <f>IF(Z1846="","",IFERROR(LOOKUP(2,1/(#REF!=Z1846),#REF!),""))</f>
        <v/>
      </c>
      <c r="AB1846" t="str">
        <f>IF(Z1846="","",IFERROR(LOOKUP(2,1/(#REF!=Z1846),#REF!),""))</f>
        <v/>
      </c>
      <c r="AC1846" t="e">
        <f>IF(Z1846="","",COUNTIF(#REF!,Z1846))</f>
        <v>#REF!</v>
      </c>
      <c r="AD1846" t="e">
        <f>IF(A1846="","",IF(AC1846&gt;1,"REVISAR DUPLICADO",IF(AA1846&lt;&gt;"","ACTUALIZADO POR EYR","SIN REPORTE EYR")))</f>
        <v>#REF!</v>
      </c>
    </row>
    <row r="1847" spans="1:30" x14ac:dyDescent="0.3">
      <c r="A1847" s="5" t="s">
        <v>293</v>
      </c>
      <c r="B1847" t="s">
        <v>292</v>
      </c>
      <c r="C1847" s="4" t="s">
        <v>291</v>
      </c>
      <c r="D1847" t="s">
        <v>21</v>
      </c>
      <c r="F1847" t="s">
        <v>13</v>
      </c>
      <c r="G1847" s="3">
        <v>8494098325</v>
      </c>
      <c r="H1847" s="6">
        <v>46142</v>
      </c>
      <c r="K1847" s="1">
        <f ca="1">IF(A1847="","",IF(OR(L1847="ENTREGADA",L1847="RETORNADA",L1847="ENTREGA DIGITAL"),0,MAX(0,5-NETWORKDAYS(H1847+1,TODAY()))))</f>
        <v>4</v>
      </c>
      <c r="L1847">
        <f>IF(A1847="","",IFERROR(LOOKUP(2,1/(#REF!=Z1847),#REF!),Y1847))</f>
        <v>0</v>
      </c>
      <c r="Z1847" t="str">
        <f>IF(A1847="","",TEXT(A1847,"0")&amp;"|"&amp;TEXT(H1847,"0"))</f>
        <v>4921017940490630|46142</v>
      </c>
      <c r="AA1847" t="str">
        <f>IF(Z1847="","",IFERROR(LOOKUP(2,1/(#REF!=Z1847),#REF!),""))</f>
        <v/>
      </c>
      <c r="AB1847" t="str">
        <f>IF(Z1847="","",IFERROR(LOOKUP(2,1/(#REF!=Z1847),#REF!),""))</f>
        <v/>
      </c>
      <c r="AC1847" t="e">
        <f>IF(Z1847="","",COUNTIF(#REF!,Z1847))</f>
        <v>#REF!</v>
      </c>
      <c r="AD1847" t="e">
        <f>IF(A1847="","",IF(AC1847&gt;1,"REVISAR DUPLICADO",IF(AA1847&lt;&gt;"","ACTUALIZADO POR EYR","SIN REPORTE EYR")))</f>
        <v>#REF!</v>
      </c>
    </row>
    <row r="1848" spans="1:30" x14ac:dyDescent="0.3">
      <c r="A1848" s="5" t="s">
        <v>290</v>
      </c>
      <c r="B1848" t="s">
        <v>289</v>
      </c>
      <c r="C1848" s="4" t="s">
        <v>288</v>
      </c>
      <c r="D1848" t="s">
        <v>21</v>
      </c>
      <c r="F1848" t="s">
        <v>287</v>
      </c>
      <c r="G1848" s="3">
        <v>8293164121</v>
      </c>
      <c r="H1848" s="6">
        <v>46142</v>
      </c>
      <c r="K1848" s="1">
        <f ca="1">IF(A1848="","",IF(OR(L1848="ENTREGADA",L1848="RETORNADA",L1848="ENTREGA DIGITAL"),0,MAX(0,5-NETWORKDAYS(H1848+1,TODAY()))))</f>
        <v>4</v>
      </c>
      <c r="L1848">
        <f>IF(A1848="","",IFERROR(LOOKUP(2,1/(#REF!=Z1848),#REF!),Y1848))</f>
        <v>0</v>
      </c>
      <c r="Z1848" t="str">
        <f>IF(A1848="","",TEXT(A1848,"0")&amp;"|"&amp;TEXT(H1848,"0"))</f>
        <v>5227017938628190|46142</v>
      </c>
      <c r="AA1848" t="str">
        <f>IF(Z1848="","",IFERROR(LOOKUP(2,1/(#REF!=Z1848),#REF!),""))</f>
        <v/>
      </c>
      <c r="AB1848" t="str">
        <f>IF(Z1848="","",IFERROR(LOOKUP(2,1/(#REF!=Z1848),#REF!),""))</f>
        <v/>
      </c>
      <c r="AC1848" t="e">
        <f>IF(Z1848="","",COUNTIF(#REF!,Z1848))</f>
        <v>#REF!</v>
      </c>
      <c r="AD1848" t="e">
        <f>IF(A1848="","",IF(AC1848&gt;1,"REVISAR DUPLICADO",IF(AA1848&lt;&gt;"","ACTUALIZADO POR EYR","SIN REPORTE EYR")))</f>
        <v>#REF!</v>
      </c>
    </row>
    <row r="1849" spans="1:30" x14ac:dyDescent="0.3">
      <c r="A1849" s="5" t="s">
        <v>286</v>
      </c>
      <c r="B1849" t="s">
        <v>285</v>
      </c>
      <c r="C1849" s="4" t="s">
        <v>284</v>
      </c>
      <c r="D1849" t="s">
        <v>21</v>
      </c>
      <c r="F1849" t="s">
        <v>13</v>
      </c>
      <c r="G1849" s="3">
        <v>8299676549</v>
      </c>
      <c r="H1849" s="6">
        <v>46142</v>
      </c>
      <c r="K1849" s="1">
        <f ca="1">IF(A1849="","",IF(OR(L1849="ENTREGADA",L1849="RETORNADA",L1849="ENTREGA DIGITAL"),0,MAX(0,5-NETWORKDAYS(H1849+1,TODAY()))))</f>
        <v>4</v>
      </c>
      <c r="L1849">
        <f>IF(A1849="","",IFERROR(LOOKUP(2,1/(#REF!=Z1849),#REF!),Y1849))</f>
        <v>0</v>
      </c>
      <c r="Z1849" t="str">
        <f>IF(A1849="","",TEXT(A1849,"0")&amp;"|"&amp;TEXT(H1849,"0"))</f>
        <v>4921017941001870|46142</v>
      </c>
      <c r="AA1849" t="str">
        <f>IF(Z1849="","",IFERROR(LOOKUP(2,1/(#REF!=Z1849),#REF!),""))</f>
        <v/>
      </c>
      <c r="AB1849" t="str">
        <f>IF(Z1849="","",IFERROR(LOOKUP(2,1/(#REF!=Z1849),#REF!),""))</f>
        <v/>
      </c>
      <c r="AC1849" t="e">
        <f>IF(Z1849="","",COUNTIF(#REF!,Z1849))</f>
        <v>#REF!</v>
      </c>
      <c r="AD1849" t="e">
        <f>IF(A1849="","",IF(AC1849&gt;1,"REVISAR DUPLICADO",IF(AA1849&lt;&gt;"","ACTUALIZADO POR EYR","SIN REPORTE EYR")))</f>
        <v>#REF!</v>
      </c>
    </row>
    <row r="1850" spans="1:30" x14ac:dyDescent="0.3">
      <c r="A1850" s="5" t="s">
        <v>283</v>
      </c>
      <c r="B1850" t="s">
        <v>282</v>
      </c>
      <c r="C1850" s="4" t="s">
        <v>281</v>
      </c>
      <c r="D1850" t="s">
        <v>21</v>
      </c>
      <c r="F1850" t="s">
        <v>280</v>
      </c>
      <c r="G1850" s="3">
        <v>8294068049</v>
      </c>
      <c r="H1850" s="6">
        <v>46142</v>
      </c>
      <c r="K1850" s="1">
        <f ca="1">IF(A1850="","",IF(OR(L1850="ENTREGADA",L1850="RETORNADA",L1850="ENTREGA DIGITAL"),0,MAX(0,5-NETWORKDAYS(H1850+1,TODAY()))))</f>
        <v>4</v>
      </c>
      <c r="L1850">
        <f>IF(A1850="","",IFERROR(LOOKUP(2,1/(#REF!=Z1850),#REF!),Y1850))</f>
        <v>0</v>
      </c>
      <c r="Z1850" t="str">
        <f>IF(A1850="","",TEXT(A1850,"0")&amp;"|"&amp;TEXT(H1850,"0"))</f>
        <v>5415017937370280|46142</v>
      </c>
      <c r="AA1850" t="str">
        <f>IF(Z1850="","",IFERROR(LOOKUP(2,1/(#REF!=Z1850),#REF!),""))</f>
        <v/>
      </c>
      <c r="AB1850" t="str">
        <f>IF(Z1850="","",IFERROR(LOOKUP(2,1/(#REF!=Z1850),#REF!),""))</f>
        <v/>
      </c>
      <c r="AC1850" t="e">
        <f>IF(Z1850="","",COUNTIF(#REF!,Z1850))</f>
        <v>#REF!</v>
      </c>
      <c r="AD1850" t="e">
        <f>IF(A1850="","",IF(AC1850&gt;1,"REVISAR DUPLICADO",IF(AA1850&lt;&gt;"","ACTUALIZADO POR EYR","SIN REPORTE EYR")))</f>
        <v>#REF!</v>
      </c>
    </row>
    <row r="1851" spans="1:30" x14ac:dyDescent="0.3">
      <c r="A1851" s="5" t="s">
        <v>279</v>
      </c>
      <c r="B1851" t="s">
        <v>278</v>
      </c>
      <c r="C1851" s="4" t="s">
        <v>277</v>
      </c>
      <c r="D1851" t="s">
        <v>21</v>
      </c>
      <c r="F1851" t="s">
        <v>13</v>
      </c>
      <c r="G1851" s="3">
        <v>8097903831</v>
      </c>
      <c r="H1851" s="6">
        <v>46142</v>
      </c>
      <c r="K1851" s="1">
        <f ca="1">IF(A1851="","",IF(OR(L1851="ENTREGADA",L1851="RETORNADA",L1851="ENTREGA DIGITAL"),0,MAX(0,5-NETWORKDAYS(H1851+1,TODAY()))))</f>
        <v>4</v>
      </c>
      <c r="L1851">
        <f>IF(A1851="","",IFERROR(LOOKUP(2,1/(#REF!=Z1851),#REF!),Y1851))</f>
        <v>0</v>
      </c>
      <c r="Z1851" t="str">
        <f>IF(A1851="","",TEXT(A1851,"0")&amp;"|"&amp;TEXT(H1851,"0"))</f>
        <v>4921017946989090|46142</v>
      </c>
      <c r="AA1851" t="str">
        <f>IF(Z1851="","",IFERROR(LOOKUP(2,1/(#REF!=Z1851),#REF!),""))</f>
        <v/>
      </c>
      <c r="AB1851" t="str">
        <f>IF(Z1851="","",IFERROR(LOOKUP(2,1/(#REF!=Z1851),#REF!),""))</f>
        <v/>
      </c>
      <c r="AC1851" t="e">
        <f>IF(Z1851="","",COUNTIF(#REF!,Z1851))</f>
        <v>#REF!</v>
      </c>
      <c r="AD1851" t="e">
        <f>IF(A1851="","",IF(AC1851&gt;1,"REVISAR DUPLICADO",IF(AA1851&lt;&gt;"","ACTUALIZADO POR EYR","SIN REPORTE EYR")))</f>
        <v>#REF!</v>
      </c>
    </row>
    <row r="1852" spans="1:30" x14ac:dyDescent="0.3">
      <c r="A1852" s="5" t="s">
        <v>276</v>
      </c>
      <c r="B1852" t="s">
        <v>275</v>
      </c>
      <c r="C1852" s="4" t="s">
        <v>274</v>
      </c>
      <c r="D1852" t="s">
        <v>21</v>
      </c>
      <c r="F1852" t="s">
        <v>273</v>
      </c>
      <c r="G1852" s="3">
        <v>8292710618</v>
      </c>
      <c r="H1852" s="6">
        <v>46142</v>
      </c>
      <c r="K1852" s="1">
        <f ca="1">IF(A1852="","",IF(OR(L1852="ENTREGADA",L1852="RETORNADA",L1852="ENTREGA DIGITAL"),0,MAX(0,5-NETWORKDAYS(H1852+1,TODAY()))))</f>
        <v>4</v>
      </c>
      <c r="L1852">
        <f>IF(A1852="","",IFERROR(LOOKUP(2,1/(#REF!=Z1852),#REF!),Y1852))</f>
        <v>0</v>
      </c>
      <c r="Z1852" t="str">
        <f>IF(A1852="","",TEXT(A1852,"0")&amp;"|"&amp;TEXT(H1852,"0"))</f>
        <v>5188017944818440|46142</v>
      </c>
      <c r="AA1852" t="str">
        <f>IF(Z1852="","",IFERROR(LOOKUP(2,1/(#REF!=Z1852),#REF!),""))</f>
        <v/>
      </c>
      <c r="AB1852" t="str">
        <f>IF(Z1852="","",IFERROR(LOOKUP(2,1/(#REF!=Z1852),#REF!),""))</f>
        <v/>
      </c>
      <c r="AC1852" t="e">
        <f>IF(Z1852="","",COUNTIF(#REF!,Z1852))</f>
        <v>#REF!</v>
      </c>
      <c r="AD1852" t="e">
        <f>IF(A1852="","",IF(AC1852&gt;1,"REVISAR DUPLICADO",IF(AA1852&lt;&gt;"","ACTUALIZADO POR EYR","SIN REPORTE EYR")))</f>
        <v>#REF!</v>
      </c>
    </row>
    <row r="1853" spans="1:30" x14ac:dyDescent="0.3">
      <c r="A1853" s="5" t="s">
        <v>272</v>
      </c>
      <c r="B1853" t="s">
        <v>271</v>
      </c>
      <c r="C1853" s="4" t="s">
        <v>270</v>
      </c>
      <c r="D1853" t="s">
        <v>21</v>
      </c>
      <c r="F1853" t="s">
        <v>269</v>
      </c>
      <c r="G1853" s="3">
        <v>8493619091</v>
      </c>
      <c r="H1853" s="6">
        <v>46142</v>
      </c>
      <c r="K1853" s="1">
        <f ca="1">IF(A1853="","",IF(OR(L1853="ENTREGADA",L1853="RETORNADA",L1853="ENTREGA DIGITAL"),0,MAX(0,5-NETWORKDAYS(H1853+1,TODAY()))))</f>
        <v>4</v>
      </c>
      <c r="L1853">
        <f>IF(A1853="","",IFERROR(LOOKUP(2,1/(#REF!=Z1853),#REF!),Y1853))</f>
        <v>0</v>
      </c>
      <c r="Z1853" t="str">
        <f>IF(A1853="","",TEXT(A1853,"0")&amp;"|"&amp;TEXT(H1853,"0"))</f>
        <v>4921017945050890|46142</v>
      </c>
      <c r="AA1853" t="str">
        <f>IF(Z1853="","",IFERROR(LOOKUP(2,1/(#REF!=Z1853),#REF!),""))</f>
        <v/>
      </c>
      <c r="AB1853" t="str">
        <f>IF(Z1853="","",IFERROR(LOOKUP(2,1/(#REF!=Z1853),#REF!),""))</f>
        <v/>
      </c>
      <c r="AC1853" t="e">
        <f>IF(Z1853="","",COUNTIF(#REF!,Z1853))</f>
        <v>#REF!</v>
      </c>
      <c r="AD1853" t="e">
        <f>IF(A1853="","",IF(AC1853&gt;1,"REVISAR DUPLICADO",IF(AA1853&lt;&gt;"","ACTUALIZADO POR EYR","SIN REPORTE EYR")))</f>
        <v>#REF!</v>
      </c>
    </row>
    <row r="1854" spans="1:30" x14ac:dyDescent="0.3">
      <c r="A1854" s="5" t="s">
        <v>268</v>
      </c>
      <c r="B1854" t="s">
        <v>267</v>
      </c>
      <c r="C1854" s="4" t="s">
        <v>266</v>
      </c>
      <c r="D1854" t="s">
        <v>21</v>
      </c>
      <c r="F1854" t="s">
        <v>265</v>
      </c>
      <c r="G1854" s="3">
        <v>8093392100</v>
      </c>
      <c r="H1854" s="6">
        <v>46142</v>
      </c>
      <c r="K1854" s="1">
        <f ca="1">IF(A1854="","",IF(OR(L1854="ENTREGADA",L1854="RETORNADA",L1854="ENTREGA DIGITAL"),0,MAX(0,5-NETWORKDAYS(H1854+1,TODAY()))))</f>
        <v>4</v>
      </c>
      <c r="L1854">
        <f>IF(A1854="","",IFERROR(LOOKUP(2,1/(#REF!=Z1854),#REF!),Y1854))</f>
        <v>0</v>
      </c>
      <c r="Z1854" t="str">
        <f>IF(A1854="","",TEXT(A1854,"0")&amp;"|"&amp;TEXT(H1854,"0"))</f>
        <v>5227017944212510|46142</v>
      </c>
      <c r="AA1854" t="str">
        <f>IF(Z1854="","",IFERROR(LOOKUP(2,1/(#REF!=Z1854),#REF!),""))</f>
        <v/>
      </c>
      <c r="AB1854" t="str">
        <f>IF(Z1854="","",IFERROR(LOOKUP(2,1/(#REF!=Z1854),#REF!),""))</f>
        <v/>
      </c>
      <c r="AC1854" t="e">
        <f>IF(Z1854="","",COUNTIF(#REF!,Z1854))</f>
        <v>#REF!</v>
      </c>
      <c r="AD1854" t="e">
        <f>IF(A1854="","",IF(AC1854&gt;1,"REVISAR DUPLICADO",IF(AA1854&lt;&gt;"","ACTUALIZADO POR EYR","SIN REPORTE EYR")))</f>
        <v>#REF!</v>
      </c>
    </row>
    <row r="1855" spans="1:30" x14ac:dyDescent="0.3">
      <c r="A1855" s="5" t="s">
        <v>264</v>
      </c>
      <c r="B1855" t="s">
        <v>263</v>
      </c>
      <c r="C1855" s="4" t="s">
        <v>262</v>
      </c>
      <c r="D1855" t="s">
        <v>21</v>
      </c>
      <c r="F1855" t="s">
        <v>13</v>
      </c>
      <c r="G1855" s="3">
        <v>8498757145</v>
      </c>
      <c r="H1855" s="6">
        <v>46142</v>
      </c>
      <c r="K1855" s="1">
        <f ca="1">IF(A1855="","",IF(OR(L1855="ENTREGADA",L1855="RETORNADA",L1855="ENTREGA DIGITAL"),0,MAX(0,5-NETWORKDAYS(H1855+1,TODAY()))))</f>
        <v>4</v>
      </c>
      <c r="L1855">
        <f>IF(A1855="","",IFERROR(LOOKUP(2,1/(#REF!=Z1855),#REF!),Y1855))</f>
        <v>0</v>
      </c>
      <c r="Z1855" t="str">
        <f>IF(A1855="","",TEXT(A1855,"0")&amp;"|"&amp;TEXT(H1855,"0"))</f>
        <v>4921017945084270|46142</v>
      </c>
      <c r="AA1855" t="str">
        <f>IF(Z1855="","",IFERROR(LOOKUP(2,1/(#REF!=Z1855),#REF!),""))</f>
        <v/>
      </c>
      <c r="AB1855" t="str">
        <f>IF(Z1855="","",IFERROR(LOOKUP(2,1/(#REF!=Z1855),#REF!),""))</f>
        <v/>
      </c>
      <c r="AC1855" t="e">
        <f>IF(Z1855="","",COUNTIF(#REF!,Z1855))</f>
        <v>#REF!</v>
      </c>
      <c r="AD1855" t="e">
        <f>IF(A1855="","",IF(AC1855&gt;1,"REVISAR DUPLICADO",IF(AA1855&lt;&gt;"","ACTUALIZADO POR EYR","SIN REPORTE EYR")))</f>
        <v>#REF!</v>
      </c>
    </row>
    <row r="1856" spans="1:30" x14ac:dyDescent="0.3">
      <c r="A1856" s="5" t="s">
        <v>261</v>
      </c>
      <c r="B1856" t="s">
        <v>260</v>
      </c>
      <c r="C1856" s="4" t="s">
        <v>259</v>
      </c>
      <c r="D1856" t="s">
        <v>21</v>
      </c>
      <c r="F1856" t="s">
        <v>13</v>
      </c>
      <c r="G1856" s="3">
        <v>8492121602</v>
      </c>
      <c r="H1856" s="6">
        <v>46142</v>
      </c>
      <c r="K1856" s="1">
        <f ca="1">IF(A1856="","",IF(OR(L1856="ENTREGADA",L1856="RETORNADA",L1856="ENTREGA DIGITAL"),0,MAX(0,5-NETWORKDAYS(H1856+1,TODAY()))))</f>
        <v>4</v>
      </c>
      <c r="L1856">
        <f>IF(A1856="","",IFERROR(LOOKUP(2,1/(#REF!=Z1856),#REF!),Y1856))</f>
        <v>0</v>
      </c>
      <c r="Z1856" t="str">
        <f>IF(A1856="","",TEXT(A1856,"0")&amp;"|"&amp;TEXT(H1856,"0"))</f>
        <v>4966017945426150|46142</v>
      </c>
      <c r="AA1856" t="str">
        <f>IF(Z1856="","",IFERROR(LOOKUP(2,1/(#REF!=Z1856),#REF!),""))</f>
        <v/>
      </c>
      <c r="AB1856" t="str">
        <f>IF(Z1856="","",IFERROR(LOOKUP(2,1/(#REF!=Z1856),#REF!),""))</f>
        <v/>
      </c>
      <c r="AC1856" t="e">
        <f>IF(Z1856="","",COUNTIF(#REF!,Z1856))</f>
        <v>#REF!</v>
      </c>
      <c r="AD1856" t="e">
        <f>IF(A1856="","",IF(AC1856&gt;1,"REVISAR DUPLICADO",IF(AA1856&lt;&gt;"","ACTUALIZADO POR EYR","SIN REPORTE EYR")))</f>
        <v>#REF!</v>
      </c>
    </row>
    <row r="1857" spans="1:30" x14ac:dyDescent="0.3">
      <c r="A1857" s="5" t="s">
        <v>258</v>
      </c>
      <c r="B1857" t="s">
        <v>257</v>
      </c>
      <c r="C1857" s="4" t="s">
        <v>256</v>
      </c>
      <c r="D1857" t="s">
        <v>21</v>
      </c>
      <c r="F1857" t="s">
        <v>13</v>
      </c>
      <c r="G1857" s="3">
        <v>8094018137</v>
      </c>
      <c r="H1857" s="6">
        <v>46142</v>
      </c>
      <c r="K1857" s="1">
        <f ca="1">IF(A1857="","",IF(OR(L1857="ENTREGADA",L1857="RETORNADA",L1857="ENTREGA DIGITAL"),0,MAX(0,5-NETWORKDAYS(H1857+1,TODAY()))))</f>
        <v>4</v>
      </c>
      <c r="L1857">
        <f>IF(A1857="","",IFERROR(LOOKUP(2,1/(#REF!=Z1857),#REF!),Y1857))</f>
        <v>0</v>
      </c>
      <c r="Z1857" t="str">
        <f>IF(A1857="","",TEXT(A1857,"0")&amp;"|"&amp;TEXT(H1857,"0"))</f>
        <v>5415017943536700|46142</v>
      </c>
      <c r="AA1857" t="str">
        <f>IF(Z1857="","",IFERROR(LOOKUP(2,1/(#REF!=Z1857),#REF!),""))</f>
        <v/>
      </c>
      <c r="AB1857" t="str">
        <f>IF(Z1857="","",IFERROR(LOOKUP(2,1/(#REF!=Z1857),#REF!),""))</f>
        <v/>
      </c>
      <c r="AC1857" t="e">
        <f>IF(Z1857="","",COUNTIF(#REF!,Z1857))</f>
        <v>#REF!</v>
      </c>
      <c r="AD1857" t="e">
        <f>IF(A1857="","",IF(AC1857&gt;1,"REVISAR DUPLICADO",IF(AA1857&lt;&gt;"","ACTUALIZADO POR EYR","SIN REPORTE EYR")))</f>
        <v>#REF!</v>
      </c>
    </row>
    <row r="1858" spans="1:30" x14ac:dyDescent="0.3">
      <c r="A1858" s="5" t="s">
        <v>255</v>
      </c>
      <c r="B1858" t="s">
        <v>254</v>
      </c>
      <c r="C1858" s="4" t="s">
        <v>253</v>
      </c>
      <c r="D1858" t="s">
        <v>21</v>
      </c>
      <c r="F1858" t="s">
        <v>13</v>
      </c>
      <c r="G1858" s="3">
        <v>8093021032</v>
      </c>
      <c r="H1858" s="6">
        <v>46142</v>
      </c>
      <c r="K1858" s="1">
        <f ca="1">IF(A1858="","",IF(OR(L1858="ENTREGADA",L1858="RETORNADA",L1858="ENTREGA DIGITAL"),0,MAX(0,5-NETWORKDAYS(H1858+1,TODAY()))))</f>
        <v>4</v>
      </c>
      <c r="L1858">
        <f>IF(A1858="","",IFERROR(LOOKUP(2,1/(#REF!=Z1858),#REF!),Y1858))</f>
        <v>0</v>
      </c>
      <c r="Z1858" t="str">
        <f>IF(A1858="","",TEXT(A1858,"0")&amp;"|"&amp;TEXT(H1858,"0"))</f>
        <v>4921017947017610|46142</v>
      </c>
      <c r="AA1858" t="str">
        <f>IF(Z1858="","",IFERROR(LOOKUP(2,1/(#REF!=Z1858),#REF!),""))</f>
        <v/>
      </c>
      <c r="AB1858" t="str">
        <f>IF(Z1858="","",IFERROR(LOOKUP(2,1/(#REF!=Z1858),#REF!),""))</f>
        <v/>
      </c>
      <c r="AC1858" t="e">
        <f>IF(Z1858="","",COUNTIF(#REF!,Z1858))</f>
        <v>#REF!</v>
      </c>
      <c r="AD1858" t="e">
        <f>IF(A1858="","",IF(AC1858&gt;1,"REVISAR DUPLICADO",IF(AA1858&lt;&gt;"","ACTUALIZADO POR EYR","SIN REPORTE EYR")))</f>
        <v>#REF!</v>
      </c>
    </row>
    <row r="1859" spans="1:30" x14ac:dyDescent="0.3">
      <c r="A1859" s="5" t="s">
        <v>252</v>
      </c>
      <c r="B1859" t="s">
        <v>251</v>
      </c>
      <c r="C1859" s="4" t="s">
        <v>250</v>
      </c>
      <c r="D1859" t="s">
        <v>21</v>
      </c>
      <c r="F1859" t="s">
        <v>13</v>
      </c>
      <c r="G1859" s="3">
        <v>8094983803</v>
      </c>
      <c r="H1859" s="6">
        <v>46142</v>
      </c>
      <c r="K1859" s="1">
        <f ca="1">IF(A1859="","",IF(OR(L1859="ENTREGADA",L1859="RETORNADA",L1859="ENTREGA DIGITAL"),0,MAX(0,5-NETWORKDAYS(H1859+1,TODAY()))))</f>
        <v>4</v>
      </c>
      <c r="L1859">
        <f>IF(A1859="","",IFERROR(LOOKUP(2,1/(#REF!=Z1859),#REF!),Y1859))</f>
        <v>0</v>
      </c>
      <c r="Z1859" t="str">
        <f>IF(A1859="","",TEXT(A1859,"0")&amp;"|"&amp;TEXT(H1859,"0"))</f>
        <v>4364017945493990|46142</v>
      </c>
      <c r="AA1859" t="str">
        <f>IF(Z1859="","",IFERROR(LOOKUP(2,1/(#REF!=Z1859),#REF!),""))</f>
        <v/>
      </c>
      <c r="AB1859" t="str">
        <f>IF(Z1859="","",IFERROR(LOOKUP(2,1/(#REF!=Z1859),#REF!),""))</f>
        <v/>
      </c>
      <c r="AC1859" t="e">
        <f>IF(Z1859="","",COUNTIF(#REF!,Z1859))</f>
        <v>#REF!</v>
      </c>
      <c r="AD1859" t="e">
        <f>IF(A1859="","",IF(AC1859&gt;1,"REVISAR DUPLICADO",IF(AA1859&lt;&gt;"","ACTUALIZADO POR EYR","SIN REPORTE EYR")))</f>
        <v>#REF!</v>
      </c>
    </row>
    <row r="1860" spans="1:30" x14ac:dyDescent="0.3">
      <c r="A1860" s="5" t="s">
        <v>249</v>
      </c>
      <c r="B1860" t="s">
        <v>248</v>
      </c>
      <c r="C1860" s="4" t="s">
        <v>247</v>
      </c>
      <c r="D1860" t="s">
        <v>21</v>
      </c>
      <c r="F1860" t="s">
        <v>13</v>
      </c>
      <c r="G1860" s="3">
        <v>8092460525</v>
      </c>
      <c r="H1860" s="6">
        <v>46142</v>
      </c>
      <c r="K1860" s="1">
        <f ca="1">IF(A1860="","",IF(OR(L1860="ENTREGADA",L1860="RETORNADA",L1860="ENTREGA DIGITAL"),0,MAX(0,5-NETWORKDAYS(H1860+1,TODAY()))))</f>
        <v>4</v>
      </c>
      <c r="L1860">
        <f>IF(A1860="","",IFERROR(LOOKUP(2,1/(#REF!=Z1860),#REF!),Y1860))</f>
        <v>0</v>
      </c>
      <c r="Z1860" t="str">
        <f>IF(A1860="","",TEXT(A1860,"0")&amp;"|"&amp;TEXT(H1860,"0"))</f>
        <v>5400017944055590|46142</v>
      </c>
      <c r="AA1860" t="str">
        <f>IF(Z1860="","",IFERROR(LOOKUP(2,1/(#REF!=Z1860),#REF!),""))</f>
        <v/>
      </c>
      <c r="AB1860" t="str">
        <f>IF(Z1860="","",IFERROR(LOOKUP(2,1/(#REF!=Z1860),#REF!),""))</f>
        <v/>
      </c>
      <c r="AC1860" t="e">
        <f>IF(Z1860="","",COUNTIF(#REF!,Z1860))</f>
        <v>#REF!</v>
      </c>
      <c r="AD1860" t="e">
        <f>IF(A1860="","",IF(AC1860&gt;1,"REVISAR DUPLICADO",IF(AA1860&lt;&gt;"","ACTUALIZADO POR EYR","SIN REPORTE EYR")))</f>
        <v>#REF!</v>
      </c>
    </row>
    <row r="1861" spans="1:30" x14ac:dyDescent="0.3">
      <c r="A1861" s="5" t="s">
        <v>246</v>
      </c>
      <c r="B1861" t="s">
        <v>245</v>
      </c>
      <c r="C1861" s="4" t="s">
        <v>244</v>
      </c>
      <c r="D1861" t="s">
        <v>21</v>
      </c>
      <c r="F1861" t="s">
        <v>243</v>
      </c>
      <c r="G1861" s="3">
        <v>8498841611</v>
      </c>
      <c r="H1861" s="6">
        <v>46142</v>
      </c>
      <c r="K1861" s="1">
        <f ca="1">IF(A1861="","",IF(OR(L1861="ENTREGADA",L1861="RETORNADA",L1861="ENTREGA DIGITAL"),0,MAX(0,5-NETWORKDAYS(H1861+1,TODAY()))))</f>
        <v>4</v>
      </c>
      <c r="L1861">
        <f>IF(A1861="","",IFERROR(LOOKUP(2,1/(#REF!=Z1861),#REF!),Y1861))</f>
        <v>0</v>
      </c>
      <c r="Z1861" t="str">
        <f>IF(A1861="","",TEXT(A1861,"0")&amp;"|"&amp;TEXT(H1861,"0"))</f>
        <v>4921017945045700|46142</v>
      </c>
      <c r="AA1861" t="str">
        <f>IF(Z1861="","",IFERROR(LOOKUP(2,1/(#REF!=Z1861),#REF!),""))</f>
        <v/>
      </c>
      <c r="AB1861" t="str">
        <f>IF(Z1861="","",IFERROR(LOOKUP(2,1/(#REF!=Z1861),#REF!),""))</f>
        <v/>
      </c>
      <c r="AC1861" t="e">
        <f>IF(Z1861="","",COUNTIF(#REF!,Z1861))</f>
        <v>#REF!</v>
      </c>
      <c r="AD1861" t="e">
        <f>IF(A1861="","",IF(AC1861&gt;1,"REVISAR DUPLICADO",IF(AA1861&lt;&gt;"","ACTUALIZADO POR EYR","SIN REPORTE EYR")))</f>
        <v>#REF!</v>
      </c>
    </row>
    <row r="1862" spans="1:30" x14ac:dyDescent="0.3">
      <c r="A1862" s="5" t="s">
        <v>242</v>
      </c>
      <c r="B1862" t="s">
        <v>241</v>
      </c>
      <c r="C1862" s="4" t="s">
        <v>240</v>
      </c>
      <c r="D1862" t="s">
        <v>21</v>
      </c>
      <c r="F1862" t="s">
        <v>13</v>
      </c>
      <c r="G1862" s="3">
        <v>8296138094</v>
      </c>
      <c r="H1862" s="6">
        <v>46142</v>
      </c>
      <c r="K1862" s="1">
        <f ca="1">IF(A1862="","",IF(OR(L1862="ENTREGADA",L1862="RETORNADA",L1862="ENTREGA DIGITAL"),0,MAX(0,5-NETWORKDAYS(H1862+1,TODAY()))))</f>
        <v>4</v>
      </c>
      <c r="L1862">
        <f>IF(A1862="","",IFERROR(LOOKUP(2,1/(#REF!=Z1862),#REF!),Y1862))</f>
        <v>0</v>
      </c>
      <c r="Z1862" t="str">
        <f>IF(A1862="","",TEXT(A1862,"0")&amp;"|"&amp;TEXT(H1862,"0"))</f>
        <v>4921017942240170|46142</v>
      </c>
      <c r="AA1862" t="str">
        <f>IF(Z1862="","",IFERROR(LOOKUP(2,1/(#REF!=Z1862),#REF!),""))</f>
        <v/>
      </c>
      <c r="AB1862" t="str">
        <f>IF(Z1862="","",IFERROR(LOOKUP(2,1/(#REF!=Z1862),#REF!),""))</f>
        <v/>
      </c>
      <c r="AC1862" t="e">
        <f>IF(Z1862="","",COUNTIF(#REF!,Z1862))</f>
        <v>#REF!</v>
      </c>
      <c r="AD1862" t="e">
        <f>IF(A1862="","",IF(AC1862&gt;1,"REVISAR DUPLICADO",IF(AA1862&lt;&gt;"","ACTUALIZADO POR EYR","SIN REPORTE EYR")))</f>
        <v>#REF!</v>
      </c>
    </row>
    <row r="1863" spans="1:30" x14ac:dyDescent="0.3">
      <c r="A1863" s="5" t="s">
        <v>239</v>
      </c>
      <c r="B1863" t="s">
        <v>238</v>
      </c>
      <c r="C1863" s="4" t="s">
        <v>237</v>
      </c>
      <c r="D1863" t="s">
        <v>21</v>
      </c>
      <c r="F1863" t="s">
        <v>13</v>
      </c>
      <c r="G1863" s="3">
        <v>8296866933</v>
      </c>
      <c r="H1863" s="6">
        <v>46142</v>
      </c>
      <c r="K1863" s="1">
        <f ca="1">IF(A1863="","",IF(OR(L1863="ENTREGADA",L1863="RETORNADA",L1863="ENTREGA DIGITAL"),0,MAX(0,5-NETWORKDAYS(H1863+1,TODAY()))))</f>
        <v>4</v>
      </c>
      <c r="L1863">
        <f>IF(A1863="","",IFERROR(LOOKUP(2,1/(#REF!=Z1863),#REF!),Y1863))</f>
        <v>0</v>
      </c>
      <c r="Z1863" t="str">
        <f>IF(A1863="","",TEXT(A1863,"0")&amp;"|"&amp;TEXT(H1863,"0"))</f>
        <v>4921017941560970|46142</v>
      </c>
      <c r="AA1863" t="str">
        <f>IF(Z1863="","",IFERROR(LOOKUP(2,1/(#REF!=Z1863),#REF!),""))</f>
        <v/>
      </c>
      <c r="AB1863" t="str">
        <f>IF(Z1863="","",IFERROR(LOOKUP(2,1/(#REF!=Z1863),#REF!),""))</f>
        <v/>
      </c>
      <c r="AC1863" t="e">
        <f>IF(Z1863="","",COUNTIF(#REF!,Z1863))</f>
        <v>#REF!</v>
      </c>
      <c r="AD1863" t="e">
        <f>IF(A1863="","",IF(AC1863&gt;1,"REVISAR DUPLICADO",IF(AA1863&lt;&gt;"","ACTUALIZADO POR EYR","SIN REPORTE EYR")))</f>
        <v>#REF!</v>
      </c>
    </row>
    <row r="1864" spans="1:30" x14ac:dyDescent="0.3">
      <c r="A1864" s="5" t="s">
        <v>236</v>
      </c>
      <c r="B1864" t="s">
        <v>235</v>
      </c>
      <c r="C1864" s="4" t="s">
        <v>234</v>
      </c>
      <c r="D1864" t="s">
        <v>21</v>
      </c>
      <c r="F1864" t="s">
        <v>233</v>
      </c>
      <c r="G1864" s="3">
        <v>8495647420</v>
      </c>
      <c r="H1864" s="6">
        <v>46142</v>
      </c>
      <c r="K1864" s="1">
        <f ca="1">IF(A1864="","",IF(OR(L1864="ENTREGADA",L1864="RETORNADA",L1864="ENTREGA DIGITAL"),0,MAX(0,5-NETWORKDAYS(H1864+1,TODAY()))))</f>
        <v>4</v>
      </c>
      <c r="L1864">
        <f>IF(A1864="","",IFERROR(LOOKUP(2,1/(#REF!=Z1864),#REF!),Y1864))</f>
        <v>0</v>
      </c>
      <c r="Z1864" t="str">
        <f>IF(A1864="","",TEXT(A1864,"0")&amp;"|"&amp;TEXT(H1864,"0"))</f>
        <v>4025017942576070|46142</v>
      </c>
      <c r="AA1864" t="str">
        <f>IF(Z1864="","",IFERROR(LOOKUP(2,1/(#REF!=Z1864),#REF!),""))</f>
        <v/>
      </c>
      <c r="AB1864" t="str">
        <f>IF(Z1864="","",IFERROR(LOOKUP(2,1/(#REF!=Z1864),#REF!),""))</f>
        <v/>
      </c>
      <c r="AC1864" t="e">
        <f>IF(Z1864="","",COUNTIF(#REF!,Z1864))</f>
        <v>#REF!</v>
      </c>
      <c r="AD1864" t="e">
        <f>IF(A1864="","",IF(AC1864&gt;1,"REVISAR DUPLICADO",IF(AA1864&lt;&gt;"","ACTUALIZADO POR EYR","SIN REPORTE EYR")))</f>
        <v>#REF!</v>
      </c>
    </row>
    <row r="1865" spans="1:30" x14ac:dyDescent="0.3">
      <c r="A1865" s="5" t="s">
        <v>232</v>
      </c>
      <c r="B1865" t="s">
        <v>231</v>
      </c>
      <c r="C1865" s="4" t="s">
        <v>230</v>
      </c>
      <c r="D1865" t="s">
        <v>77</v>
      </c>
      <c r="F1865" t="s">
        <v>13</v>
      </c>
      <c r="G1865" s="3">
        <v>0</v>
      </c>
      <c r="H1865" s="6">
        <v>46142</v>
      </c>
      <c r="K1865" s="1">
        <f ca="1">IF(A1865="","",IF(OR(L1865="ENTREGADA",L1865="RETORNADA",L1865="ENTREGA DIGITAL"),0,MAX(0,5-NETWORKDAYS(H1865+1,TODAY()))))</f>
        <v>4</v>
      </c>
      <c r="L1865">
        <f>IF(A1865="","",IFERROR(LOOKUP(2,1/(#REF!=Z1865),#REF!),Y1865))</f>
        <v>0</v>
      </c>
      <c r="Z1865" t="str">
        <f>IF(A1865="","",TEXT(A1865,"0")&amp;"|"&amp;TEXT(H1865,"0"))</f>
        <v>5401002408632070|46142</v>
      </c>
      <c r="AA1865" t="str">
        <f>IF(Z1865="","",IFERROR(LOOKUP(2,1/(#REF!=Z1865),#REF!),""))</f>
        <v/>
      </c>
      <c r="AB1865" t="str">
        <f>IF(Z1865="","",IFERROR(LOOKUP(2,1/(#REF!=Z1865),#REF!),""))</f>
        <v/>
      </c>
      <c r="AC1865" t="e">
        <f>IF(Z1865="","",COUNTIF(#REF!,Z1865))</f>
        <v>#REF!</v>
      </c>
      <c r="AD1865" t="e">
        <f>IF(A1865="","",IF(AC1865&gt;1,"REVISAR DUPLICADO",IF(AA1865&lt;&gt;"","ACTUALIZADO POR EYR","SIN REPORTE EYR")))</f>
        <v>#REF!</v>
      </c>
    </row>
    <row r="1866" spans="1:30" x14ac:dyDescent="0.3">
      <c r="A1866" s="5" t="s">
        <v>229</v>
      </c>
      <c r="B1866" t="s">
        <v>228</v>
      </c>
      <c r="C1866" s="4" t="s">
        <v>227</v>
      </c>
      <c r="D1866" t="s">
        <v>1</v>
      </c>
      <c r="F1866" t="s">
        <v>13</v>
      </c>
      <c r="G1866" s="3">
        <v>8094758587</v>
      </c>
      <c r="H1866" s="6">
        <v>46142</v>
      </c>
      <c r="K1866" s="1">
        <f ca="1">IF(A1866="","",IF(OR(L1866="ENTREGADA",L1866="RETORNADA",L1866="ENTREGA DIGITAL"),0,MAX(0,5-NETWORKDAYS(H1866+1,TODAY()))))</f>
        <v>4</v>
      </c>
      <c r="L1866">
        <f>IF(A1866="","",IFERROR(LOOKUP(2,1/(#REF!=Z1866),#REF!),Y1866))</f>
        <v>0</v>
      </c>
      <c r="Z1866" t="str">
        <f>IF(A1866="","",TEXT(A1866,"0")&amp;"|"&amp;TEXT(H1866,"0"))</f>
        <v>4173017943306430|46142</v>
      </c>
      <c r="AA1866" t="str">
        <f>IF(Z1866="","",IFERROR(LOOKUP(2,1/(#REF!=Z1866),#REF!),""))</f>
        <v/>
      </c>
      <c r="AB1866" t="str">
        <f>IF(Z1866="","",IFERROR(LOOKUP(2,1/(#REF!=Z1866),#REF!),""))</f>
        <v/>
      </c>
      <c r="AC1866" t="e">
        <f>IF(Z1866="","",COUNTIF(#REF!,Z1866))</f>
        <v>#REF!</v>
      </c>
      <c r="AD1866" t="e">
        <f>IF(A1866="","",IF(AC1866&gt;1,"REVISAR DUPLICADO",IF(AA1866&lt;&gt;"","ACTUALIZADO POR EYR","SIN REPORTE EYR")))</f>
        <v>#REF!</v>
      </c>
    </row>
    <row r="1867" spans="1:30" x14ac:dyDescent="0.3">
      <c r="A1867" s="5" t="s">
        <v>226</v>
      </c>
      <c r="B1867" t="s">
        <v>225</v>
      </c>
      <c r="C1867" s="4" t="s">
        <v>224</v>
      </c>
      <c r="D1867" t="s">
        <v>1</v>
      </c>
      <c r="F1867" t="s">
        <v>0</v>
      </c>
      <c r="G1867" s="3">
        <v>8092563135</v>
      </c>
      <c r="H1867" s="6">
        <v>46142</v>
      </c>
      <c r="K1867" s="1">
        <f ca="1">IF(A1867="","",IF(OR(L1867="ENTREGADA",L1867="RETORNADA",L1867="ENTREGA DIGITAL"),0,MAX(0,5-NETWORKDAYS(H1867+1,TODAY()))))</f>
        <v>4</v>
      </c>
      <c r="L1867">
        <f>IF(A1867="","",IFERROR(LOOKUP(2,1/(#REF!=Z1867),#REF!),Y1867))</f>
        <v>0</v>
      </c>
      <c r="Z1867" t="str">
        <f>IF(A1867="","",TEXT(A1867,"0")&amp;"|"&amp;TEXT(H1867,"0"))</f>
        <v>4921017890901620|46142</v>
      </c>
      <c r="AA1867" t="str">
        <f>IF(Z1867="","",IFERROR(LOOKUP(2,1/(#REF!=Z1867),#REF!),""))</f>
        <v/>
      </c>
      <c r="AB1867" t="str">
        <f>IF(Z1867="","",IFERROR(LOOKUP(2,1/(#REF!=Z1867),#REF!),""))</f>
        <v/>
      </c>
      <c r="AC1867" t="e">
        <f>IF(Z1867="","",COUNTIF(#REF!,Z1867))</f>
        <v>#REF!</v>
      </c>
      <c r="AD1867" t="e">
        <f>IF(A1867="","",IF(AC1867&gt;1,"REVISAR DUPLICADO",IF(AA1867&lt;&gt;"","ACTUALIZADO POR EYR","SIN REPORTE EYR")))</f>
        <v>#REF!</v>
      </c>
    </row>
    <row r="1868" spans="1:30" x14ac:dyDescent="0.3">
      <c r="A1868" s="5" t="s">
        <v>223</v>
      </c>
      <c r="B1868" t="s">
        <v>222</v>
      </c>
      <c r="C1868" s="4" t="s">
        <v>221</v>
      </c>
      <c r="D1868" t="s">
        <v>1</v>
      </c>
      <c r="F1868" t="s">
        <v>9</v>
      </c>
      <c r="G1868" s="3">
        <v>8093277466</v>
      </c>
      <c r="H1868" s="6">
        <v>46142</v>
      </c>
      <c r="K1868" s="1">
        <f ca="1">IF(A1868="","",IF(OR(L1868="ENTREGADA",L1868="RETORNADA",L1868="ENTREGA DIGITAL"),0,MAX(0,5-NETWORKDAYS(H1868+1,TODAY()))))</f>
        <v>4</v>
      </c>
      <c r="L1868">
        <f>IF(A1868="","",IFERROR(LOOKUP(2,1/(#REF!=Z1868),#REF!),Y1868))</f>
        <v>0</v>
      </c>
      <c r="Z1868" t="str">
        <f>IF(A1868="","",TEXT(A1868,"0")&amp;"|"&amp;TEXT(H1868,"0"))</f>
        <v>4966017951025020|46142</v>
      </c>
      <c r="AA1868" t="str">
        <f>IF(Z1868="","",IFERROR(LOOKUP(2,1/(#REF!=Z1868),#REF!),""))</f>
        <v/>
      </c>
      <c r="AB1868" t="str">
        <f>IF(Z1868="","",IFERROR(LOOKUP(2,1/(#REF!=Z1868),#REF!),""))</f>
        <v/>
      </c>
      <c r="AC1868" t="e">
        <f>IF(Z1868="","",COUNTIF(#REF!,Z1868))</f>
        <v>#REF!</v>
      </c>
      <c r="AD1868" t="e">
        <f>IF(A1868="","",IF(AC1868&gt;1,"REVISAR DUPLICADO",IF(AA1868&lt;&gt;"","ACTUALIZADO POR EYR","SIN REPORTE EYR")))</f>
        <v>#REF!</v>
      </c>
    </row>
    <row r="1869" spans="1:30" x14ac:dyDescent="0.3">
      <c r="A1869" s="5" t="s">
        <v>220</v>
      </c>
      <c r="B1869" t="s">
        <v>219</v>
      </c>
      <c r="C1869" s="4" t="s">
        <v>218</v>
      </c>
      <c r="D1869" t="s">
        <v>1</v>
      </c>
      <c r="F1869" t="s">
        <v>0</v>
      </c>
      <c r="G1869" s="3">
        <v>8494923120</v>
      </c>
      <c r="H1869" s="6">
        <v>46142</v>
      </c>
      <c r="K1869" s="1">
        <f ca="1">IF(A1869="","",IF(OR(L1869="ENTREGADA",L1869="RETORNADA",L1869="ENTREGA DIGITAL"),0,MAX(0,5-NETWORKDAYS(H1869+1,TODAY()))))</f>
        <v>4</v>
      </c>
      <c r="L1869">
        <f>IF(A1869="","",IFERROR(LOOKUP(2,1/(#REF!=Z1869),#REF!),Y1869))</f>
        <v>0</v>
      </c>
      <c r="Z1869" t="str">
        <f>IF(A1869="","",TEXT(A1869,"0")&amp;"|"&amp;TEXT(H1869,"0"))</f>
        <v>5188017950099410|46142</v>
      </c>
      <c r="AA1869" t="str">
        <f>IF(Z1869="","",IFERROR(LOOKUP(2,1/(#REF!=Z1869),#REF!),""))</f>
        <v/>
      </c>
      <c r="AB1869" t="str">
        <f>IF(Z1869="","",IFERROR(LOOKUP(2,1/(#REF!=Z1869),#REF!),""))</f>
        <v/>
      </c>
      <c r="AC1869" t="e">
        <f>IF(Z1869="","",COUNTIF(#REF!,Z1869))</f>
        <v>#REF!</v>
      </c>
      <c r="AD1869" t="e">
        <f>IF(A1869="","",IF(AC1869&gt;1,"REVISAR DUPLICADO",IF(AA1869&lt;&gt;"","ACTUALIZADO POR EYR","SIN REPORTE EYR")))</f>
        <v>#REF!</v>
      </c>
    </row>
    <row r="1870" spans="1:30" x14ac:dyDescent="0.3">
      <c r="A1870" s="5" t="s">
        <v>217</v>
      </c>
      <c r="B1870" t="s">
        <v>216</v>
      </c>
      <c r="C1870" s="4" t="s">
        <v>215</v>
      </c>
      <c r="D1870" t="s">
        <v>1</v>
      </c>
      <c r="E1870" t="s">
        <v>214</v>
      </c>
      <c r="F1870" t="s">
        <v>213</v>
      </c>
      <c r="G1870" s="3">
        <v>8494328035</v>
      </c>
      <c r="H1870" s="6">
        <v>46142</v>
      </c>
      <c r="K1870" s="1">
        <f ca="1">IF(A1870="","",IF(OR(L1870="ENTREGADA",L1870="RETORNADA",L1870="ENTREGA DIGITAL"),0,MAX(0,5-NETWORKDAYS(H1870+1,TODAY()))))</f>
        <v>4</v>
      </c>
      <c r="L1870">
        <f>IF(A1870="","",IFERROR(LOOKUP(2,1/(#REF!=Z1870),#REF!),Y1870))</f>
        <v>0</v>
      </c>
      <c r="Z1870" t="str">
        <f>IF(A1870="","",TEXT(A1870,"0")&amp;"|"&amp;TEXT(H1870,"0"))</f>
        <v>4966017950964860|46142</v>
      </c>
      <c r="AA1870" t="str">
        <f>IF(Z1870="","",IFERROR(LOOKUP(2,1/(#REF!=Z1870),#REF!),""))</f>
        <v/>
      </c>
      <c r="AB1870" t="str">
        <f>IF(Z1870="","",IFERROR(LOOKUP(2,1/(#REF!=Z1870),#REF!),""))</f>
        <v/>
      </c>
      <c r="AC1870" t="e">
        <f>IF(Z1870="","",COUNTIF(#REF!,Z1870))</f>
        <v>#REF!</v>
      </c>
      <c r="AD1870" t="e">
        <f>IF(A1870="","",IF(AC1870&gt;1,"REVISAR DUPLICADO",IF(AA1870&lt;&gt;"","ACTUALIZADO POR EYR","SIN REPORTE EYR")))</f>
        <v>#REF!</v>
      </c>
    </row>
    <row r="1871" spans="1:30" x14ac:dyDescent="0.3">
      <c r="A1871" s="5" t="s">
        <v>212</v>
      </c>
      <c r="B1871" t="s">
        <v>211</v>
      </c>
      <c r="C1871" s="4" t="s">
        <v>210</v>
      </c>
      <c r="D1871" t="s">
        <v>77</v>
      </c>
      <c r="F1871" t="s">
        <v>209</v>
      </c>
      <c r="G1871" s="3">
        <v>8299864804</v>
      </c>
      <c r="H1871" s="6">
        <v>46142</v>
      </c>
      <c r="K1871" s="1">
        <f ca="1">IF(A1871="","",IF(OR(L1871="ENTREGADA",L1871="RETORNADA",L1871="ENTREGA DIGITAL"),0,MAX(0,5-NETWORKDAYS(H1871+1,TODAY()))))</f>
        <v>4</v>
      </c>
      <c r="L1871">
        <f>IF(A1871="","",IFERROR(LOOKUP(2,1/(#REF!=Z1871),#REF!),Y1871))</f>
        <v>0</v>
      </c>
      <c r="Z1871" t="str">
        <f>IF(A1871="","",TEXT(A1871,"0")&amp;"|"&amp;TEXT(H1871,"0"))</f>
        <v>4025017888994300|46142</v>
      </c>
      <c r="AA1871" t="str">
        <f>IF(Z1871="","",IFERROR(LOOKUP(2,1/(#REF!=Z1871),#REF!),""))</f>
        <v/>
      </c>
      <c r="AB1871" t="str">
        <f>IF(Z1871="","",IFERROR(LOOKUP(2,1/(#REF!=Z1871),#REF!),""))</f>
        <v/>
      </c>
      <c r="AC1871" t="e">
        <f>IF(Z1871="","",COUNTIF(#REF!,Z1871))</f>
        <v>#REF!</v>
      </c>
      <c r="AD1871" t="e">
        <f>IF(A1871="","",IF(AC1871&gt;1,"REVISAR DUPLICADO",IF(AA1871&lt;&gt;"","ACTUALIZADO POR EYR","SIN REPORTE EYR")))</f>
        <v>#REF!</v>
      </c>
    </row>
    <row r="1872" spans="1:30" x14ac:dyDescent="0.3">
      <c r="A1872" s="5" t="s">
        <v>208</v>
      </c>
      <c r="B1872" t="s">
        <v>207</v>
      </c>
      <c r="C1872" s="4" t="s">
        <v>206</v>
      </c>
      <c r="D1872" t="s">
        <v>77</v>
      </c>
      <c r="F1872" t="s">
        <v>205</v>
      </c>
      <c r="G1872" s="3">
        <v>8097298454</v>
      </c>
      <c r="H1872" s="6">
        <v>46142</v>
      </c>
      <c r="K1872" s="1">
        <f ca="1">IF(A1872="","",IF(OR(L1872="ENTREGADA",L1872="RETORNADA",L1872="ENTREGA DIGITAL"),0,MAX(0,5-NETWORKDAYS(H1872+1,TODAY()))))</f>
        <v>4</v>
      </c>
      <c r="L1872">
        <f>IF(A1872="","",IFERROR(LOOKUP(2,1/(#REF!=Z1872),#REF!),Y1872))</f>
        <v>0</v>
      </c>
      <c r="Z1872" t="str">
        <f>IF(A1872="","",TEXT(A1872,"0")&amp;"|"&amp;TEXT(H1872,"0"))</f>
        <v>4921017866859630|46142</v>
      </c>
      <c r="AA1872" t="str">
        <f>IF(Z1872="","",IFERROR(LOOKUP(2,1/(#REF!=Z1872),#REF!),""))</f>
        <v/>
      </c>
      <c r="AB1872" t="str">
        <f>IF(Z1872="","",IFERROR(LOOKUP(2,1/(#REF!=Z1872),#REF!),""))</f>
        <v/>
      </c>
      <c r="AC1872" t="e">
        <f>IF(Z1872="","",COUNTIF(#REF!,Z1872))</f>
        <v>#REF!</v>
      </c>
      <c r="AD1872" t="e">
        <f>IF(A1872="","",IF(AC1872&gt;1,"REVISAR DUPLICADO",IF(AA1872&lt;&gt;"","ACTUALIZADO POR EYR","SIN REPORTE EYR")))</f>
        <v>#REF!</v>
      </c>
    </row>
    <row r="1873" spans="1:30" x14ac:dyDescent="0.3">
      <c r="A1873" s="5" t="s">
        <v>204</v>
      </c>
      <c r="B1873" t="s">
        <v>203</v>
      </c>
      <c r="C1873" s="4" t="s">
        <v>202</v>
      </c>
      <c r="D1873" t="s">
        <v>77</v>
      </c>
      <c r="F1873" t="s">
        <v>135</v>
      </c>
      <c r="G1873" s="3">
        <v>8493588024</v>
      </c>
      <c r="H1873" s="6">
        <v>46142</v>
      </c>
      <c r="K1873" s="1">
        <f ca="1">IF(A1873="","",IF(OR(L1873="ENTREGADA",L1873="RETORNADA",L1873="ENTREGA DIGITAL"),0,MAX(0,5-NETWORKDAYS(H1873+1,TODAY()))))</f>
        <v>4</v>
      </c>
      <c r="L1873">
        <f>IF(A1873="","",IFERROR(LOOKUP(2,1/(#REF!=Z1873),#REF!),Y1873))</f>
        <v>0</v>
      </c>
      <c r="Z1873" t="str">
        <f>IF(A1873="","",TEXT(A1873,"0")&amp;"|"&amp;TEXT(H1873,"0"))</f>
        <v>4921017950329470|46142</v>
      </c>
      <c r="AA1873" t="str">
        <f>IF(Z1873="","",IFERROR(LOOKUP(2,1/(#REF!=Z1873),#REF!),""))</f>
        <v/>
      </c>
      <c r="AB1873" t="str">
        <f>IF(Z1873="","",IFERROR(LOOKUP(2,1/(#REF!=Z1873),#REF!),""))</f>
        <v/>
      </c>
      <c r="AC1873" t="e">
        <f>IF(Z1873="","",COUNTIF(#REF!,Z1873))</f>
        <v>#REF!</v>
      </c>
      <c r="AD1873" t="e">
        <f>IF(A1873="","",IF(AC1873&gt;1,"REVISAR DUPLICADO",IF(AA1873&lt;&gt;"","ACTUALIZADO POR EYR","SIN REPORTE EYR")))</f>
        <v>#REF!</v>
      </c>
    </row>
    <row r="1874" spans="1:30" x14ac:dyDescent="0.3">
      <c r="A1874" s="5" t="s">
        <v>201</v>
      </c>
      <c r="B1874" t="s">
        <v>200</v>
      </c>
      <c r="C1874" s="4" t="s">
        <v>199</v>
      </c>
      <c r="D1874" t="s">
        <v>77</v>
      </c>
      <c r="F1874" t="s">
        <v>13</v>
      </c>
      <c r="G1874" s="3">
        <v>8094294160</v>
      </c>
      <c r="H1874" s="6">
        <v>46142</v>
      </c>
      <c r="K1874" s="1">
        <f ca="1">IF(A1874="","",IF(OR(L1874="ENTREGADA",L1874="RETORNADA",L1874="ENTREGA DIGITAL"),0,MAX(0,5-NETWORKDAYS(H1874+1,TODAY()))))</f>
        <v>4</v>
      </c>
      <c r="L1874">
        <f>IF(A1874="","",IFERROR(LOOKUP(2,1/(#REF!=Z1874),#REF!),Y1874))</f>
        <v>0</v>
      </c>
      <c r="Z1874" t="str">
        <f>IF(A1874="","",TEXT(A1874,"0")&amp;"|"&amp;TEXT(H1874,"0"))</f>
        <v>5227017949552630|46142</v>
      </c>
      <c r="AA1874" t="str">
        <f>IF(Z1874="","",IFERROR(LOOKUP(2,1/(#REF!=Z1874),#REF!),""))</f>
        <v/>
      </c>
      <c r="AB1874" t="str">
        <f>IF(Z1874="","",IFERROR(LOOKUP(2,1/(#REF!=Z1874),#REF!),""))</f>
        <v/>
      </c>
      <c r="AC1874" t="e">
        <f>IF(Z1874="","",COUNTIF(#REF!,Z1874))</f>
        <v>#REF!</v>
      </c>
      <c r="AD1874" t="e">
        <f>IF(A1874="","",IF(AC1874&gt;1,"REVISAR DUPLICADO",IF(AA1874&lt;&gt;"","ACTUALIZADO POR EYR","SIN REPORTE EYR")))</f>
        <v>#REF!</v>
      </c>
    </row>
    <row r="1875" spans="1:30" x14ac:dyDescent="0.3">
      <c r="A1875" s="5" t="s">
        <v>198</v>
      </c>
      <c r="B1875" t="s">
        <v>197</v>
      </c>
      <c r="C1875" s="4" t="s">
        <v>196</v>
      </c>
      <c r="D1875" t="s">
        <v>77</v>
      </c>
      <c r="F1875" t="s">
        <v>13</v>
      </c>
      <c r="G1875" s="3">
        <v>8299459017</v>
      </c>
      <c r="H1875" s="6">
        <v>46142</v>
      </c>
      <c r="K1875" s="1">
        <f ca="1">IF(A1875="","",IF(OR(L1875="ENTREGADA",L1875="RETORNADA",L1875="ENTREGA DIGITAL"),0,MAX(0,5-NETWORKDAYS(H1875+1,TODAY()))))</f>
        <v>4</v>
      </c>
      <c r="L1875">
        <f>IF(A1875="","",IFERROR(LOOKUP(2,1/(#REF!=Z1875),#REF!),Y1875))</f>
        <v>0</v>
      </c>
      <c r="Z1875" t="str">
        <f>IF(A1875="","",TEXT(A1875,"0")&amp;"|"&amp;TEXT(H1875,"0"))</f>
        <v>5400017949322100|46142</v>
      </c>
      <c r="AA1875" t="str">
        <f>IF(Z1875="","",IFERROR(LOOKUP(2,1/(#REF!=Z1875),#REF!),""))</f>
        <v/>
      </c>
      <c r="AB1875" t="str">
        <f>IF(Z1875="","",IFERROR(LOOKUP(2,1/(#REF!=Z1875),#REF!),""))</f>
        <v/>
      </c>
      <c r="AC1875" t="e">
        <f>IF(Z1875="","",COUNTIF(#REF!,Z1875))</f>
        <v>#REF!</v>
      </c>
      <c r="AD1875" t="e">
        <f>IF(A1875="","",IF(AC1875&gt;1,"REVISAR DUPLICADO",IF(AA1875&lt;&gt;"","ACTUALIZADO POR EYR","SIN REPORTE EYR")))</f>
        <v>#REF!</v>
      </c>
    </row>
    <row r="1876" spans="1:30" x14ac:dyDescent="0.3">
      <c r="A1876" s="5" t="s">
        <v>195</v>
      </c>
      <c r="B1876" t="s">
        <v>194</v>
      </c>
      <c r="C1876" s="4" t="s">
        <v>193</v>
      </c>
      <c r="D1876" t="s">
        <v>77</v>
      </c>
      <c r="F1876" t="s">
        <v>13</v>
      </c>
      <c r="G1876" s="3">
        <v>8293435773</v>
      </c>
      <c r="H1876" s="6">
        <v>46142</v>
      </c>
      <c r="K1876" s="1">
        <f ca="1">IF(A1876="","",IF(OR(L1876="ENTREGADA",L1876="RETORNADA",L1876="ENTREGA DIGITAL"),0,MAX(0,5-NETWORKDAYS(H1876+1,TODAY()))))</f>
        <v>4</v>
      </c>
      <c r="L1876">
        <f>IF(A1876="","",IFERROR(LOOKUP(2,1/(#REF!=Z1876),#REF!),Y1876))</f>
        <v>0</v>
      </c>
      <c r="Z1876" t="str">
        <f>IF(A1876="","",TEXT(A1876,"0")&amp;"|"&amp;TEXT(H1876,"0"))</f>
        <v>5415017947861290|46142</v>
      </c>
      <c r="AA1876" t="str">
        <f>IF(Z1876="","",IFERROR(LOOKUP(2,1/(#REF!=Z1876),#REF!),""))</f>
        <v/>
      </c>
      <c r="AB1876" t="str">
        <f>IF(Z1876="","",IFERROR(LOOKUP(2,1/(#REF!=Z1876),#REF!),""))</f>
        <v/>
      </c>
      <c r="AC1876" t="e">
        <f>IF(Z1876="","",COUNTIF(#REF!,Z1876))</f>
        <v>#REF!</v>
      </c>
      <c r="AD1876" t="e">
        <f>IF(A1876="","",IF(AC1876&gt;1,"REVISAR DUPLICADO",IF(AA1876&lt;&gt;"","ACTUALIZADO POR EYR","SIN REPORTE EYR")))</f>
        <v>#REF!</v>
      </c>
    </row>
    <row r="1877" spans="1:30" x14ac:dyDescent="0.3">
      <c r="A1877" s="5" t="s">
        <v>192</v>
      </c>
      <c r="B1877" t="s">
        <v>191</v>
      </c>
      <c r="C1877" s="4" t="s">
        <v>190</v>
      </c>
      <c r="D1877" t="s">
        <v>77</v>
      </c>
      <c r="F1877" t="s">
        <v>13</v>
      </c>
      <c r="G1877" s="3">
        <v>8297012615</v>
      </c>
      <c r="H1877" s="6">
        <v>46142</v>
      </c>
      <c r="K1877" s="1">
        <f ca="1">IF(A1877="","",IF(OR(L1877="ENTREGADA",L1877="RETORNADA",L1877="ENTREGA DIGITAL"),0,MAX(0,5-NETWORKDAYS(H1877+1,TODAY()))))</f>
        <v>4</v>
      </c>
      <c r="L1877">
        <f>IF(A1877="","",IFERROR(LOOKUP(2,1/(#REF!=Z1877),#REF!),Y1877))</f>
        <v>0</v>
      </c>
      <c r="Z1877" t="str">
        <f>IF(A1877="","",TEXT(A1877,"0")&amp;"|"&amp;TEXT(H1877,"0"))</f>
        <v>5427017949645150|46142</v>
      </c>
      <c r="AA1877" t="str">
        <f>IF(Z1877="","",IFERROR(LOOKUP(2,1/(#REF!=Z1877),#REF!),""))</f>
        <v/>
      </c>
      <c r="AB1877" t="str">
        <f>IF(Z1877="","",IFERROR(LOOKUP(2,1/(#REF!=Z1877),#REF!),""))</f>
        <v/>
      </c>
      <c r="AC1877" t="e">
        <f>IF(Z1877="","",COUNTIF(#REF!,Z1877))</f>
        <v>#REF!</v>
      </c>
      <c r="AD1877" t="e">
        <f>IF(A1877="","",IF(AC1877&gt;1,"REVISAR DUPLICADO",IF(AA1877&lt;&gt;"","ACTUALIZADO POR EYR","SIN REPORTE EYR")))</f>
        <v>#REF!</v>
      </c>
    </row>
    <row r="1878" spans="1:30" x14ac:dyDescent="0.3">
      <c r="A1878" s="5" t="s">
        <v>189</v>
      </c>
      <c r="B1878" t="s">
        <v>188</v>
      </c>
      <c r="C1878" s="4" t="s">
        <v>187</v>
      </c>
      <c r="D1878" t="s">
        <v>77</v>
      </c>
      <c r="F1878" t="s">
        <v>13</v>
      </c>
      <c r="G1878" s="3">
        <v>8293622209</v>
      </c>
      <c r="H1878" s="6">
        <v>46142</v>
      </c>
      <c r="K1878" s="1">
        <f ca="1">IF(A1878="","",IF(OR(L1878="ENTREGADA",L1878="RETORNADA",L1878="ENTREGA DIGITAL"),0,MAX(0,5-NETWORKDAYS(H1878+1,TODAY()))))</f>
        <v>4</v>
      </c>
      <c r="L1878">
        <f>IF(A1878="","",IFERROR(LOOKUP(2,1/(#REF!=Z1878),#REF!),Y1878))</f>
        <v>0</v>
      </c>
      <c r="Z1878" t="str">
        <f>IF(A1878="","",TEXT(A1878,"0")&amp;"|"&amp;TEXT(H1878,"0"))</f>
        <v>4921017951593780|46142</v>
      </c>
      <c r="AA1878" t="str">
        <f>IF(Z1878="","",IFERROR(LOOKUP(2,1/(#REF!=Z1878),#REF!),""))</f>
        <v/>
      </c>
      <c r="AB1878" t="str">
        <f>IF(Z1878="","",IFERROR(LOOKUP(2,1/(#REF!=Z1878),#REF!),""))</f>
        <v/>
      </c>
      <c r="AC1878" t="e">
        <f>IF(Z1878="","",COUNTIF(#REF!,Z1878))</f>
        <v>#REF!</v>
      </c>
      <c r="AD1878" t="e">
        <f>IF(A1878="","",IF(AC1878&gt;1,"REVISAR DUPLICADO",IF(AA1878&lt;&gt;"","ACTUALIZADO POR EYR","SIN REPORTE EYR")))</f>
        <v>#REF!</v>
      </c>
    </row>
    <row r="1879" spans="1:30" x14ac:dyDescent="0.3">
      <c r="A1879" s="5" t="s">
        <v>186</v>
      </c>
      <c r="B1879" t="s">
        <v>185</v>
      </c>
      <c r="C1879" s="4" t="s">
        <v>184</v>
      </c>
      <c r="D1879" t="s">
        <v>77</v>
      </c>
      <c r="F1879" t="s">
        <v>13</v>
      </c>
      <c r="G1879" s="3">
        <v>8299457961</v>
      </c>
      <c r="H1879" s="6">
        <v>46142</v>
      </c>
      <c r="K1879" s="1">
        <f ca="1">IF(A1879="","",IF(OR(L1879="ENTREGADA",L1879="RETORNADA",L1879="ENTREGA DIGITAL"),0,MAX(0,5-NETWORKDAYS(H1879+1,TODAY()))))</f>
        <v>4</v>
      </c>
      <c r="L1879">
        <f>IF(A1879="","",IFERROR(LOOKUP(2,1/(#REF!=Z1879),#REF!),Y1879))</f>
        <v>0</v>
      </c>
      <c r="Z1879" t="str">
        <f>IF(A1879="","",TEXT(A1879,"0")&amp;"|"&amp;TEXT(H1879,"0"))</f>
        <v>4921017952591880|46142</v>
      </c>
      <c r="AA1879" t="str">
        <f>IF(Z1879="","",IFERROR(LOOKUP(2,1/(#REF!=Z1879),#REF!),""))</f>
        <v/>
      </c>
      <c r="AB1879" t="str">
        <f>IF(Z1879="","",IFERROR(LOOKUP(2,1/(#REF!=Z1879),#REF!),""))</f>
        <v/>
      </c>
      <c r="AC1879" t="e">
        <f>IF(Z1879="","",COUNTIF(#REF!,Z1879))</f>
        <v>#REF!</v>
      </c>
      <c r="AD1879" t="e">
        <f>IF(A1879="","",IF(AC1879&gt;1,"REVISAR DUPLICADO",IF(AA1879&lt;&gt;"","ACTUALIZADO POR EYR","SIN REPORTE EYR")))</f>
        <v>#REF!</v>
      </c>
    </row>
    <row r="1880" spans="1:30" x14ac:dyDescent="0.3">
      <c r="A1880" s="5" t="s">
        <v>183</v>
      </c>
      <c r="B1880" t="s">
        <v>182</v>
      </c>
      <c r="C1880" s="4" t="s">
        <v>181</v>
      </c>
      <c r="D1880" t="s">
        <v>77</v>
      </c>
      <c r="F1880" t="s">
        <v>135</v>
      </c>
      <c r="G1880" s="3">
        <v>8295519528</v>
      </c>
      <c r="H1880" s="6">
        <v>46142</v>
      </c>
      <c r="K1880" s="1">
        <f ca="1">IF(A1880="","",IF(OR(L1880="ENTREGADA",L1880="RETORNADA",L1880="ENTREGA DIGITAL"),0,MAX(0,5-NETWORKDAYS(H1880+1,TODAY()))))</f>
        <v>4</v>
      </c>
      <c r="L1880">
        <f>IF(A1880="","",IFERROR(LOOKUP(2,1/(#REF!=Z1880),#REF!),Y1880))</f>
        <v>0</v>
      </c>
      <c r="Z1880" t="str">
        <f>IF(A1880="","",TEXT(A1880,"0")&amp;"|"&amp;TEXT(H1880,"0"))</f>
        <v>4921017952035920|46142</v>
      </c>
      <c r="AA1880" t="str">
        <f>IF(Z1880="","",IFERROR(LOOKUP(2,1/(#REF!=Z1880),#REF!),""))</f>
        <v/>
      </c>
      <c r="AB1880" t="str">
        <f>IF(Z1880="","",IFERROR(LOOKUP(2,1/(#REF!=Z1880),#REF!),""))</f>
        <v/>
      </c>
      <c r="AC1880" t="e">
        <f>IF(Z1880="","",COUNTIF(#REF!,Z1880))</f>
        <v>#REF!</v>
      </c>
      <c r="AD1880" t="e">
        <f>IF(A1880="","",IF(AC1880&gt;1,"REVISAR DUPLICADO",IF(AA1880&lt;&gt;"","ACTUALIZADO POR EYR","SIN REPORTE EYR")))</f>
        <v>#REF!</v>
      </c>
    </row>
    <row r="1881" spans="1:30" x14ac:dyDescent="0.3">
      <c r="A1881" s="5" t="s">
        <v>180</v>
      </c>
      <c r="B1881" t="s">
        <v>179</v>
      </c>
      <c r="C1881" s="4" t="s">
        <v>178</v>
      </c>
      <c r="D1881" t="s">
        <v>21</v>
      </c>
      <c r="F1881" t="s">
        <v>177</v>
      </c>
      <c r="G1881" s="3">
        <v>8494255689</v>
      </c>
      <c r="H1881" s="6">
        <v>46142</v>
      </c>
      <c r="K1881" s="1">
        <f ca="1">IF(A1881="","",IF(OR(L1881="ENTREGADA",L1881="RETORNADA",L1881="ENTREGA DIGITAL"),0,MAX(0,5-NETWORKDAYS(H1881+1,TODAY()))))</f>
        <v>4</v>
      </c>
      <c r="L1881">
        <f>IF(A1881="","",IFERROR(LOOKUP(2,1/(#REF!=Z1881),#REF!),Y1881))</f>
        <v>0</v>
      </c>
      <c r="Z1881" t="str">
        <f>IF(A1881="","",TEXT(A1881,"0")&amp;"|"&amp;TEXT(H1881,"0"))</f>
        <v>4921017950449850|46142</v>
      </c>
      <c r="AA1881" t="str">
        <f>IF(Z1881="","",IFERROR(LOOKUP(2,1/(#REF!=Z1881),#REF!),""))</f>
        <v/>
      </c>
      <c r="AB1881" t="str">
        <f>IF(Z1881="","",IFERROR(LOOKUP(2,1/(#REF!=Z1881),#REF!),""))</f>
        <v/>
      </c>
      <c r="AC1881" t="e">
        <f>IF(Z1881="","",COUNTIF(#REF!,Z1881))</f>
        <v>#REF!</v>
      </c>
      <c r="AD1881" t="e">
        <f>IF(A1881="","",IF(AC1881&gt;1,"REVISAR DUPLICADO",IF(AA1881&lt;&gt;"","ACTUALIZADO POR EYR","SIN REPORTE EYR")))</f>
        <v>#REF!</v>
      </c>
    </row>
    <row r="1882" spans="1:30" x14ac:dyDescent="0.3">
      <c r="A1882" s="5" t="s">
        <v>176</v>
      </c>
      <c r="B1882" t="s">
        <v>175</v>
      </c>
      <c r="C1882" s="4" t="s">
        <v>174</v>
      </c>
      <c r="D1882" t="s">
        <v>21</v>
      </c>
      <c r="E1882" t="s">
        <v>21</v>
      </c>
      <c r="F1882" t="s">
        <v>62</v>
      </c>
      <c r="G1882" s="3">
        <v>8097673186</v>
      </c>
      <c r="H1882" s="6">
        <v>46142</v>
      </c>
      <c r="K1882" s="1">
        <f ca="1">IF(A1882="","",IF(OR(L1882="ENTREGADA",L1882="RETORNADA",L1882="ENTREGA DIGITAL"),0,MAX(0,5-NETWORKDAYS(H1882+1,TODAY()))))</f>
        <v>4</v>
      </c>
      <c r="L1882">
        <f>IF(A1882="","",IFERROR(LOOKUP(2,1/(#REF!=Z1882),#REF!),Y1882))</f>
        <v>0</v>
      </c>
      <c r="Z1882" t="str">
        <f>IF(A1882="","",TEXT(A1882,"0")&amp;"|"&amp;TEXT(H1882,"0"))</f>
        <v>5188017949682250|46142</v>
      </c>
      <c r="AA1882" t="str">
        <f>IF(Z1882="","",IFERROR(LOOKUP(2,1/(#REF!=Z1882),#REF!),""))</f>
        <v/>
      </c>
      <c r="AB1882" t="str">
        <f>IF(Z1882="","",IFERROR(LOOKUP(2,1/(#REF!=Z1882),#REF!),""))</f>
        <v/>
      </c>
      <c r="AC1882" t="e">
        <f>IF(Z1882="","",COUNTIF(#REF!,Z1882))</f>
        <v>#REF!</v>
      </c>
      <c r="AD1882" t="e">
        <f>IF(A1882="","",IF(AC1882&gt;1,"REVISAR DUPLICADO",IF(AA1882&lt;&gt;"","ACTUALIZADO POR EYR","SIN REPORTE EYR")))</f>
        <v>#REF!</v>
      </c>
    </row>
    <row r="1883" spans="1:30" x14ac:dyDescent="0.3">
      <c r="A1883" s="5" t="s">
        <v>173</v>
      </c>
      <c r="B1883" t="s">
        <v>172</v>
      </c>
      <c r="C1883" s="4" t="s">
        <v>171</v>
      </c>
      <c r="D1883" t="s">
        <v>21</v>
      </c>
      <c r="E1883" t="s">
        <v>21</v>
      </c>
      <c r="F1883" t="s">
        <v>62</v>
      </c>
      <c r="G1883" s="3">
        <v>8492031164</v>
      </c>
      <c r="H1883" s="6">
        <v>46142</v>
      </c>
      <c r="K1883" s="1">
        <f ca="1">IF(A1883="","",IF(OR(L1883="ENTREGADA",L1883="RETORNADA",L1883="ENTREGA DIGITAL"),0,MAX(0,5-NETWORKDAYS(H1883+1,TODAY()))))</f>
        <v>4</v>
      </c>
      <c r="L1883">
        <f>IF(A1883="","",IFERROR(LOOKUP(2,1/(#REF!=Z1883),#REF!),Y1883))</f>
        <v>0</v>
      </c>
      <c r="Z1883" t="str">
        <f>IF(A1883="","",TEXT(A1883,"0")&amp;"|"&amp;TEXT(H1883,"0"))</f>
        <v>5188017949711380|46142</v>
      </c>
      <c r="AA1883" t="str">
        <f>IF(Z1883="","",IFERROR(LOOKUP(2,1/(#REF!=Z1883),#REF!),""))</f>
        <v/>
      </c>
      <c r="AB1883" t="str">
        <f>IF(Z1883="","",IFERROR(LOOKUP(2,1/(#REF!=Z1883),#REF!),""))</f>
        <v/>
      </c>
      <c r="AC1883" t="e">
        <f>IF(Z1883="","",COUNTIF(#REF!,Z1883))</f>
        <v>#REF!</v>
      </c>
      <c r="AD1883" t="e">
        <f>IF(A1883="","",IF(AC1883&gt;1,"REVISAR DUPLICADO",IF(AA1883&lt;&gt;"","ACTUALIZADO POR EYR","SIN REPORTE EYR")))</f>
        <v>#REF!</v>
      </c>
    </row>
    <row r="1884" spans="1:30" x14ac:dyDescent="0.3">
      <c r="A1884" s="5" t="s">
        <v>170</v>
      </c>
      <c r="B1884" t="s">
        <v>169</v>
      </c>
      <c r="C1884" s="4" t="s">
        <v>168</v>
      </c>
      <c r="D1884" t="s">
        <v>21</v>
      </c>
      <c r="F1884" t="s">
        <v>167</v>
      </c>
      <c r="G1884" s="3">
        <v>9999999999</v>
      </c>
      <c r="H1884" s="6">
        <v>46142</v>
      </c>
      <c r="K1884" s="1">
        <f ca="1">IF(A1884="","",IF(OR(L1884="ENTREGADA",L1884="RETORNADA",L1884="ENTREGA DIGITAL"),0,MAX(0,5-NETWORKDAYS(H1884+1,TODAY()))))</f>
        <v>4</v>
      </c>
      <c r="L1884">
        <f>IF(A1884="","",IFERROR(LOOKUP(2,1/(#REF!=Z1884),#REF!),Y1884))</f>
        <v>0</v>
      </c>
      <c r="Z1884" t="str">
        <f>IF(A1884="","",TEXT(A1884,"0")&amp;"|"&amp;TEXT(H1884,"0"))</f>
        <v>5427017949629390|46142</v>
      </c>
      <c r="AA1884" t="str">
        <f>IF(Z1884="","",IFERROR(LOOKUP(2,1/(#REF!=Z1884),#REF!),""))</f>
        <v/>
      </c>
      <c r="AB1884" t="str">
        <f>IF(Z1884="","",IFERROR(LOOKUP(2,1/(#REF!=Z1884),#REF!),""))</f>
        <v/>
      </c>
      <c r="AC1884" t="e">
        <f>IF(Z1884="","",COUNTIF(#REF!,Z1884))</f>
        <v>#REF!</v>
      </c>
      <c r="AD1884" t="e">
        <f>IF(A1884="","",IF(AC1884&gt;1,"REVISAR DUPLICADO",IF(AA1884&lt;&gt;"","ACTUALIZADO POR EYR","SIN REPORTE EYR")))</f>
        <v>#REF!</v>
      </c>
    </row>
    <row r="1885" spans="1:30" x14ac:dyDescent="0.3">
      <c r="A1885" s="5" t="s">
        <v>166</v>
      </c>
      <c r="B1885" t="s">
        <v>165</v>
      </c>
      <c r="C1885" s="4" t="s">
        <v>164</v>
      </c>
      <c r="D1885" t="s">
        <v>21</v>
      </c>
      <c r="F1885" t="s">
        <v>13</v>
      </c>
      <c r="G1885" s="3">
        <v>8092176570</v>
      </c>
      <c r="H1885" s="6">
        <v>46142</v>
      </c>
      <c r="K1885" s="1">
        <f ca="1">IF(A1885="","",IF(OR(L1885="ENTREGADA",L1885="RETORNADA",L1885="ENTREGA DIGITAL"),0,MAX(0,5-NETWORKDAYS(H1885+1,TODAY()))))</f>
        <v>4</v>
      </c>
      <c r="L1885">
        <f>IF(A1885="","",IFERROR(LOOKUP(2,1/(#REF!=Z1885),#REF!),Y1885))</f>
        <v>0</v>
      </c>
      <c r="Z1885" t="str">
        <f>IF(A1885="","",TEXT(A1885,"0")&amp;"|"&amp;TEXT(H1885,"0"))</f>
        <v>4025017953504690|46142</v>
      </c>
      <c r="AA1885" t="str">
        <f>IF(Z1885="","",IFERROR(LOOKUP(2,1/(#REF!=Z1885),#REF!),""))</f>
        <v/>
      </c>
      <c r="AB1885" t="str">
        <f>IF(Z1885="","",IFERROR(LOOKUP(2,1/(#REF!=Z1885),#REF!),""))</f>
        <v/>
      </c>
      <c r="AC1885" t="e">
        <f>IF(Z1885="","",COUNTIF(#REF!,Z1885))</f>
        <v>#REF!</v>
      </c>
      <c r="AD1885" t="e">
        <f>IF(A1885="","",IF(AC1885&gt;1,"REVISAR DUPLICADO",IF(AA1885&lt;&gt;"","ACTUALIZADO POR EYR","SIN REPORTE EYR")))</f>
        <v>#REF!</v>
      </c>
    </row>
    <row r="1886" spans="1:30" x14ac:dyDescent="0.3">
      <c r="A1886" s="5" t="s">
        <v>163</v>
      </c>
      <c r="B1886" t="s">
        <v>162</v>
      </c>
      <c r="C1886" s="4" t="s">
        <v>161</v>
      </c>
      <c r="D1886" t="s">
        <v>21</v>
      </c>
      <c r="F1886" t="s">
        <v>13</v>
      </c>
      <c r="G1886" s="3">
        <v>8294470815</v>
      </c>
      <c r="H1886" s="6">
        <v>46142</v>
      </c>
      <c r="K1886" s="1">
        <f ca="1">IF(A1886="","",IF(OR(L1886="ENTREGADA",L1886="RETORNADA",L1886="ENTREGA DIGITAL"),0,MAX(0,5-NETWORKDAYS(H1886+1,TODAY()))))</f>
        <v>4</v>
      </c>
      <c r="L1886">
        <f>IF(A1886="","",IFERROR(LOOKUP(2,1/(#REF!=Z1886),#REF!),Y1886))</f>
        <v>0</v>
      </c>
      <c r="Z1886" t="str">
        <f>IF(A1886="","",TEXT(A1886,"0")&amp;"|"&amp;TEXT(H1886,"0"))</f>
        <v>5188017950179310|46142</v>
      </c>
      <c r="AA1886" t="str">
        <f>IF(Z1886="","",IFERROR(LOOKUP(2,1/(#REF!=Z1886),#REF!),""))</f>
        <v/>
      </c>
      <c r="AB1886" t="str">
        <f>IF(Z1886="","",IFERROR(LOOKUP(2,1/(#REF!=Z1886),#REF!),""))</f>
        <v/>
      </c>
      <c r="AC1886" t="e">
        <f>IF(Z1886="","",COUNTIF(#REF!,Z1886))</f>
        <v>#REF!</v>
      </c>
      <c r="AD1886" t="e">
        <f>IF(A1886="","",IF(AC1886&gt;1,"REVISAR DUPLICADO",IF(AA1886&lt;&gt;"","ACTUALIZADO POR EYR","SIN REPORTE EYR")))</f>
        <v>#REF!</v>
      </c>
    </row>
    <row r="1887" spans="1:30" x14ac:dyDescent="0.3">
      <c r="A1887" s="5" t="s">
        <v>160</v>
      </c>
      <c r="B1887" t="s">
        <v>159</v>
      </c>
      <c r="C1887" s="4" t="s">
        <v>158</v>
      </c>
      <c r="D1887" t="s">
        <v>21</v>
      </c>
      <c r="F1887" t="s">
        <v>157</v>
      </c>
      <c r="G1887" s="3">
        <v>8098386242</v>
      </c>
      <c r="H1887" s="6">
        <v>46142</v>
      </c>
      <c r="K1887" s="1">
        <f ca="1">IF(A1887="","",IF(OR(L1887="ENTREGADA",L1887="RETORNADA",L1887="ENTREGA DIGITAL"),0,MAX(0,5-NETWORKDAYS(H1887+1,TODAY()))))</f>
        <v>4</v>
      </c>
      <c r="L1887">
        <f>IF(A1887="","",IFERROR(LOOKUP(2,1/(#REF!=Z1887),#REF!),Y1887))</f>
        <v>0</v>
      </c>
      <c r="Z1887" t="str">
        <f>IF(A1887="","",TEXT(A1887,"0")&amp;"|"&amp;TEXT(H1887,"0"))</f>
        <v>4921017950548420|46142</v>
      </c>
      <c r="AA1887" t="str">
        <f>IF(Z1887="","",IFERROR(LOOKUP(2,1/(#REF!=Z1887),#REF!),""))</f>
        <v/>
      </c>
      <c r="AB1887" t="str">
        <f>IF(Z1887="","",IFERROR(LOOKUP(2,1/(#REF!=Z1887),#REF!),""))</f>
        <v/>
      </c>
      <c r="AC1887" t="e">
        <f>IF(Z1887="","",COUNTIF(#REF!,Z1887))</f>
        <v>#REF!</v>
      </c>
      <c r="AD1887" t="e">
        <f>IF(A1887="","",IF(AC1887&gt;1,"REVISAR DUPLICADO",IF(AA1887&lt;&gt;"","ACTUALIZADO POR EYR","SIN REPORTE EYR")))</f>
        <v>#REF!</v>
      </c>
    </row>
    <row r="1888" spans="1:30" x14ac:dyDescent="0.3">
      <c r="A1888" s="5" t="s">
        <v>156</v>
      </c>
      <c r="B1888" t="s">
        <v>155</v>
      </c>
      <c r="C1888" s="4" t="s">
        <v>154</v>
      </c>
      <c r="D1888" t="s">
        <v>21</v>
      </c>
      <c r="E1888" t="s">
        <v>21</v>
      </c>
      <c r="F1888" t="s">
        <v>62</v>
      </c>
      <c r="G1888" s="3">
        <v>8093715293</v>
      </c>
      <c r="H1888" s="6">
        <v>46142</v>
      </c>
      <c r="K1888" s="1">
        <f ca="1">IF(A1888="","",IF(OR(L1888="ENTREGADA",L1888="RETORNADA",L1888="ENTREGA DIGITAL"),0,MAX(0,5-NETWORKDAYS(H1888+1,TODAY()))))</f>
        <v>4</v>
      </c>
      <c r="L1888">
        <f>IF(A1888="","",IFERROR(LOOKUP(2,1/(#REF!=Z1888),#REF!),Y1888))</f>
        <v>0</v>
      </c>
      <c r="Z1888" t="str">
        <f>IF(A1888="","",TEXT(A1888,"0")&amp;"|"&amp;TEXT(H1888,"0"))</f>
        <v>4921017950311410|46142</v>
      </c>
      <c r="AA1888" t="str">
        <f>IF(Z1888="","",IFERROR(LOOKUP(2,1/(#REF!=Z1888),#REF!),""))</f>
        <v/>
      </c>
      <c r="AB1888" t="str">
        <f>IF(Z1888="","",IFERROR(LOOKUP(2,1/(#REF!=Z1888),#REF!),""))</f>
        <v/>
      </c>
      <c r="AC1888" t="e">
        <f>IF(Z1888="","",COUNTIF(#REF!,Z1888))</f>
        <v>#REF!</v>
      </c>
      <c r="AD1888" t="e">
        <f>IF(A1888="","",IF(AC1888&gt;1,"REVISAR DUPLICADO",IF(AA1888&lt;&gt;"","ACTUALIZADO POR EYR","SIN REPORTE EYR")))</f>
        <v>#REF!</v>
      </c>
    </row>
    <row r="1889" spans="1:30" x14ac:dyDescent="0.3">
      <c r="A1889" s="7" t="s">
        <v>153</v>
      </c>
      <c r="B1889" s="7" t="s">
        <v>152</v>
      </c>
      <c r="C1889" s="7" t="s">
        <v>151</v>
      </c>
      <c r="D1889" s="7" t="s">
        <v>77</v>
      </c>
      <c r="F1889" t="s">
        <v>150</v>
      </c>
      <c r="G1889" s="3">
        <v>8095547895</v>
      </c>
      <c r="H1889" s="6">
        <v>46135</v>
      </c>
      <c r="K1889" s="1">
        <f ca="1">IF(A1889="","",IF(OR(L1889="ENTREGADA",L1889="RETORNADA",L1889="ENTREGA DIGITAL"),0,MAX(0,5-NETWORKDAYS(H1889+1,TODAY()))))</f>
        <v>0</v>
      </c>
      <c r="L1889">
        <f>IF(A1889="","",IFERROR(LOOKUP(2,1/(#REF!=Z1889),#REF!),Y1889))</f>
        <v>0</v>
      </c>
      <c r="Z1889" t="str">
        <f>IF(A1889="","",TEXT(A1889,"0")&amp;"|"&amp;TEXT(H1889,"0"))</f>
        <v>4921017885434640|46135</v>
      </c>
      <c r="AA1889" t="str">
        <f>IF(Z1889="","",IFERROR(LOOKUP(2,1/(#REF!=Z1889),#REF!),""))</f>
        <v/>
      </c>
      <c r="AB1889" t="str">
        <f>IF(Z1889="","",IFERROR(LOOKUP(2,1/(#REF!=Z1889),#REF!),""))</f>
        <v/>
      </c>
      <c r="AC1889" t="e">
        <f>IF(Z1889="","",COUNTIF(#REF!,Z1889))</f>
        <v>#REF!</v>
      </c>
      <c r="AD1889" t="e">
        <f>IF(A1889="","",IF(AC1889&gt;1,"REVISAR DUPLICADO",IF(AA1889&lt;&gt;"","ACTUALIZADO POR EYR","SIN REPORTE EYR")))</f>
        <v>#REF!</v>
      </c>
    </row>
    <row r="1890" spans="1:30" x14ac:dyDescent="0.3">
      <c r="A1890" s="7" t="s">
        <v>149</v>
      </c>
      <c r="B1890" s="7" t="s">
        <v>148</v>
      </c>
      <c r="C1890" s="7" t="s">
        <v>147</v>
      </c>
      <c r="D1890" s="7" t="s">
        <v>77</v>
      </c>
      <c r="F1890" t="s">
        <v>146</v>
      </c>
      <c r="G1890" s="7" t="s">
        <v>145</v>
      </c>
      <c r="H1890" s="6">
        <v>46135</v>
      </c>
      <c r="K1890" s="1">
        <f ca="1">IF(A1890="","",IF(OR(L1890="ENTREGADA",L1890="RETORNADA",L1890="ENTREGA DIGITAL"),0,MAX(0,5-NETWORKDAYS(H1890+1,TODAY()))))</f>
        <v>0</v>
      </c>
      <c r="L1890">
        <f>IF(A1890="","",IFERROR(LOOKUP(2,1/(#REF!=Z1890),#REF!),Y1890))</f>
        <v>0</v>
      </c>
      <c r="Z1890" t="str">
        <f>IF(A1890="","",TEXT(A1890,"0")&amp;"|"&amp;TEXT(H1890,"0"))</f>
        <v>5188017811315170|46135</v>
      </c>
      <c r="AA1890" t="str">
        <f>IF(Z1890="","",IFERROR(LOOKUP(2,1/(#REF!=Z1890),#REF!),""))</f>
        <v/>
      </c>
      <c r="AB1890" t="str">
        <f>IF(Z1890="","",IFERROR(LOOKUP(2,1/(#REF!=Z1890),#REF!),""))</f>
        <v/>
      </c>
      <c r="AC1890" t="e">
        <f>IF(Z1890="","",COUNTIF(#REF!,Z1890))</f>
        <v>#REF!</v>
      </c>
      <c r="AD1890" t="e">
        <f>IF(A1890="","",IF(AC1890&gt;1,"REVISAR DUPLICADO",IF(AA1890&lt;&gt;"","ACTUALIZADO POR EYR","SIN REPORTE EYR")))</f>
        <v>#REF!</v>
      </c>
    </row>
    <row r="1891" spans="1:30" x14ac:dyDescent="0.3">
      <c r="A1891" s="7" t="s">
        <v>144</v>
      </c>
      <c r="B1891" s="7" t="s">
        <v>143</v>
      </c>
      <c r="C1891" s="7" t="s">
        <v>142</v>
      </c>
      <c r="D1891" s="7" t="s">
        <v>77</v>
      </c>
      <c r="F1891" t="s">
        <v>13</v>
      </c>
      <c r="G1891" s="3">
        <v>8494501740</v>
      </c>
      <c r="H1891" s="6">
        <v>46135</v>
      </c>
      <c r="K1891" s="1">
        <f ca="1">IF(A1891="","",IF(OR(L1891="ENTREGADA",L1891="RETORNADA",L1891="ENTREGA DIGITAL"),0,MAX(0,5-NETWORKDAYS(H1891+1,TODAY()))))</f>
        <v>0</v>
      </c>
      <c r="L1891">
        <f>IF(A1891="","",IFERROR(LOOKUP(2,1/(#REF!=Z1891),#REF!),Y1891))</f>
        <v>0</v>
      </c>
      <c r="Z1891" t="str">
        <f>IF(A1891="","",TEXT(A1891,"0")&amp;"|"&amp;TEXT(H1891,"0"))</f>
        <v>4921017891591340|46135</v>
      </c>
      <c r="AA1891" t="str">
        <f>IF(Z1891="","",IFERROR(LOOKUP(2,1/(#REF!=Z1891),#REF!),""))</f>
        <v/>
      </c>
      <c r="AB1891" t="str">
        <f>IF(Z1891="","",IFERROR(LOOKUP(2,1/(#REF!=Z1891),#REF!),""))</f>
        <v/>
      </c>
      <c r="AC1891" t="e">
        <f>IF(Z1891="","",COUNTIF(#REF!,Z1891))</f>
        <v>#REF!</v>
      </c>
      <c r="AD1891" t="e">
        <f>IF(A1891="","",IF(AC1891&gt;1,"REVISAR DUPLICADO",IF(AA1891&lt;&gt;"","ACTUALIZADO POR EYR","SIN REPORTE EYR")))</f>
        <v>#REF!</v>
      </c>
    </row>
    <row r="1892" spans="1:30" x14ac:dyDescent="0.3">
      <c r="A1892" s="5" t="s">
        <v>141</v>
      </c>
      <c r="B1892" t="s">
        <v>140</v>
      </c>
      <c r="C1892" s="4" t="s">
        <v>139</v>
      </c>
      <c r="D1892" t="s">
        <v>77</v>
      </c>
      <c r="F1892" t="s">
        <v>135</v>
      </c>
      <c r="G1892" s="3">
        <v>8095511093</v>
      </c>
      <c r="H1892" s="6">
        <v>46135</v>
      </c>
      <c r="K1892" s="1">
        <f ca="1">IF(A1892="","",IF(OR(L1892="ENTREGADA",L1892="RETORNADA",L1892="ENTREGA DIGITAL"),0,MAX(0,5-NETWORKDAYS(H1892+1,TODAY()))))</f>
        <v>0</v>
      </c>
      <c r="L1892">
        <f>IF(A1892="","",IFERROR(LOOKUP(2,1/(#REF!=Z1892),#REF!),Y1892))</f>
        <v>0</v>
      </c>
      <c r="Z1892" t="str">
        <f>IF(A1892="","",TEXT(A1892,"0")&amp;"|"&amp;TEXT(H1892,"0"))</f>
        <v>4921017891465580|46135</v>
      </c>
      <c r="AA1892" t="str">
        <f>IF(Z1892="","",IFERROR(LOOKUP(2,1/(#REF!=Z1892),#REF!),""))</f>
        <v/>
      </c>
      <c r="AB1892" t="str">
        <f>IF(Z1892="","",IFERROR(LOOKUP(2,1/(#REF!=Z1892),#REF!),""))</f>
        <v/>
      </c>
      <c r="AC1892" t="e">
        <f>IF(Z1892="","",COUNTIF(#REF!,Z1892))</f>
        <v>#REF!</v>
      </c>
      <c r="AD1892" t="e">
        <f>IF(A1892="","",IF(AC1892&gt;1,"REVISAR DUPLICADO",IF(AA1892&lt;&gt;"","ACTUALIZADO POR EYR","SIN REPORTE EYR")))</f>
        <v>#REF!</v>
      </c>
    </row>
    <row r="1893" spans="1:30" x14ac:dyDescent="0.3">
      <c r="A1893" s="5" t="s">
        <v>138</v>
      </c>
      <c r="B1893" t="s">
        <v>137</v>
      </c>
      <c r="C1893" s="4" t="s">
        <v>136</v>
      </c>
      <c r="D1893" t="s">
        <v>77</v>
      </c>
      <c r="F1893" t="s">
        <v>135</v>
      </c>
      <c r="G1893" s="3">
        <v>8492869832</v>
      </c>
      <c r="H1893" s="6">
        <v>46135</v>
      </c>
      <c r="K1893" s="1">
        <f ca="1">IF(A1893="","",IF(OR(L1893="ENTREGADA",L1893="RETORNADA",L1893="ENTREGA DIGITAL"),0,MAX(0,5-NETWORKDAYS(H1893+1,TODAY()))))</f>
        <v>0</v>
      </c>
      <c r="L1893">
        <f>IF(A1893="","",IFERROR(LOOKUP(2,1/(#REF!=Z1893),#REF!),Y1893))</f>
        <v>0</v>
      </c>
      <c r="Z1893" t="str">
        <f>IF(A1893="","",TEXT(A1893,"0")&amp;"|"&amp;TEXT(H1893,"0"))</f>
        <v>4966017891317610|46135</v>
      </c>
      <c r="AA1893" t="str">
        <f>IF(Z1893="","",IFERROR(LOOKUP(2,1/(#REF!=Z1893),#REF!),""))</f>
        <v/>
      </c>
      <c r="AB1893" t="str">
        <f>IF(Z1893="","",IFERROR(LOOKUP(2,1/(#REF!=Z1893),#REF!),""))</f>
        <v/>
      </c>
      <c r="AC1893" t="e">
        <f>IF(Z1893="","",COUNTIF(#REF!,Z1893))</f>
        <v>#REF!</v>
      </c>
      <c r="AD1893" t="e">
        <f>IF(A1893="","",IF(AC1893&gt;1,"REVISAR DUPLICADO",IF(AA1893&lt;&gt;"","ACTUALIZADO POR EYR","SIN REPORTE EYR")))</f>
        <v>#REF!</v>
      </c>
    </row>
    <row r="1894" spans="1:30" x14ac:dyDescent="0.3">
      <c r="A1894" s="5" t="s">
        <v>134</v>
      </c>
      <c r="B1894" t="s">
        <v>133</v>
      </c>
      <c r="C1894" s="4" t="s">
        <v>132</v>
      </c>
      <c r="D1894" t="s">
        <v>77</v>
      </c>
      <c r="F1894" t="s">
        <v>13</v>
      </c>
      <c r="G1894" s="3">
        <v>8496329307</v>
      </c>
      <c r="H1894" s="6">
        <v>46135</v>
      </c>
      <c r="K1894" s="1">
        <f ca="1">IF(A1894="","",IF(OR(L1894="ENTREGADA",L1894="RETORNADA",L1894="ENTREGA DIGITAL"),0,MAX(0,5-NETWORKDAYS(H1894+1,TODAY()))))</f>
        <v>0</v>
      </c>
      <c r="L1894">
        <f>IF(A1894="","",IFERROR(LOOKUP(2,1/(#REF!=Z1894),#REF!),Y1894))</f>
        <v>0</v>
      </c>
      <c r="Z1894" t="str">
        <f>IF(A1894="","",TEXT(A1894,"0")&amp;"|"&amp;TEXT(H1894,"0"))</f>
        <v>5415017889900690|46135</v>
      </c>
      <c r="AA1894" t="str">
        <f>IF(Z1894="","",IFERROR(LOOKUP(2,1/(#REF!=Z1894),#REF!),""))</f>
        <v/>
      </c>
      <c r="AB1894" t="str">
        <f>IF(Z1894="","",IFERROR(LOOKUP(2,1/(#REF!=Z1894),#REF!),""))</f>
        <v/>
      </c>
      <c r="AC1894" t="e">
        <f>IF(Z1894="","",COUNTIF(#REF!,Z1894))</f>
        <v>#REF!</v>
      </c>
      <c r="AD1894" t="e">
        <f>IF(A1894="","",IF(AC1894&gt;1,"REVISAR DUPLICADO",IF(AA1894&lt;&gt;"","ACTUALIZADO POR EYR","SIN REPORTE EYR")))</f>
        <v>#REF!</v>
      </c>
    </row>
    <row r="1895" spans="1:30" x14ac:dyDescent="0.3">
      <c r="A1895" s="5" t="s">
        <v>131</v>
      </c>
      <c r="B1895" t="s">
        <v>130</v>
      </c>
      <c r="C1895" s="4" t="s">
        <v>129</v>
      </c>
      <c r="D1895" t="s">
        <v>77</v>
      </c>
      <c r="F1895" t="s">
        <v>13</v>
      </c>
      <c r="G1895" s="3">
        <v>8097296283</v>
      </c>
      <c r="H1895" s="6">
        <v>46135</v>
      </c>
      <c r="K1895" s="1">
        <f ca="1">IF(A1895="","",IF(OR(L1895="ENTREGADA",L1895="RETORNADA",L1895="ENTREGA DIGITAL"),0,MAX(0,5-NETWORKDAYS(H1895+1,TODAY()))))</f>
        <v>0</v>
      </c>
      <c r="L1895">
        <f>IF(A1895="","",IFERROR(LOOKUP(2,1/(#REF!=Z1895),#REF!),Y1895))</f>
        <v>0</v>
      </c>
      <c r="Z1895" t="str">
        <f>IF(A1895="","",TEXT(A1895,"0")&amp;"|"&amp;TEXT(H1895,"0"))</f>
        <v>4921017892134190|46135</v>
      </c>
      <c r="AA1895" t="str">
        <f>IF(Z1895="","",IFERROR(LOOKUP(2,1/(#REF!=Z1895),#REF!),""))</f>
        <v/>
      </c>
      <c r="AB1895" t="str">
        <f>IF(Z1895="","",IFERROR(LOOKUP(2,1/(#REF!=Z1895),#REF!),""))</f>
        <v/>
      </c>
      <c r="AC1895" t="e">
        <f>IF(Z1895="","",COUNTIF(#REF!,Z1895))</f>
        <v>#REF!</v>
      </c>
      <c r="AD1895" t="e">
        <f>IF(A1895="","",IF(AC1895&gt;1,"REVISAR DUPLICADO",IF(AA1895&lt;&gt;"","ACTUALIZADO POR EYR","SIN REPORTE EYR")))</f>
        <v>#REF!</v>
      </c>
    </row>
    <row r="1896" spans="1:30" x14ac:dyDescent="0.3">
      <c r="A1896" s="5" t="s">
        <v>128</v>
      </c>
      <c r="B1896" t="s">
        <v>127</v>
      </c>
      <c r="C1896" s="4" t="s">
        <v>126</v>
      </c>
      <c r="D1896" t="s">
        <v>77</v>
      </c>
      <c r="F1896" t="s">
        <v>122</v>
      </c>
      <c r="G1896" s="3">
        <v>9999999999</v>
      </c>
      <c r="H1896" s="6">
        <v>46135</v>
      </c>
      <c r="K1896" s="1">
        <f ca="1">IF(A1896="","",IF(OR(L1896="ENTREGADA",L1896="RETORNADA",L1896="ENTREGA DIGITAL"),0,MAX(0,5-NETWORKDAYS(H1896+1,TODAY()))))</f>
        <v>0</v>
      </c>
      <c r="L1896">
        <f>IF(A1896="","",IFERROR(LOOKUP(2,1/(#REF!=Z1896),#REF!),Y1896))</f>
        <v>0</v>
      </c>
      <c r="Z1896" t="str">
        <f>IF(A1896="","",TEXT(A1896,"0")&amp;"|"&amp;TEXT(H1896,"0"))</f>
        <v>4921017892670640|46135</v>
      </c>
      <c r="AA1896" t="str">
        <f>IF(Z1896="","",IFERROR(LOOKUP(2,1/(#REF!=Z1896),#REF!),""))</f>
        <v/>
      </c>
      <c r="AB1896" t="str">
        <f>IF(Z1896="","",IFERROR(LOOKUP(2,1/(#REF!=Z1896),#REF!),""))</f>
        <v/>
      </c>
      <c r="AC1896" t="e">
        <f>IF(Z1896="","",COUNTIF(#REF!,Z1896))</f>
        <v>#REF!</v>
      </c>
      <c r="AD1896" t="e">
        <f>IF(A1896="","",IF(AC1896&gt;1,"REVISAR DUPLICADO",IF(AA1896&lt;&gt;"","ACTUALIZADO POR EYR","SIN REPORTE EYR")))</f>
        <v>#REF!</v>
      </c>
    </row>
    <row r="1897" spans="1:30" x14ac:dyDescent="0.3">
      <c r="A1897" s="5" t="s">
        <v>125</v>
      </c>
      <c r="B1897" t="s">
        <v>124</v>
      </c>
      <c r="C1897" s="4" t="s">
        <v>123</v>
      </c>
      <c r="D1897" t="s">
        <v>77</v>
      </c>
      <c r="F1897" t="s">
        <v>122</v>
      </c>
      <c r="G1897" s="3">
        <v>8493836722</v>
      </c>
      <c r="H1897" s="6">
        <v>46135</v>
      </c>
      <c r="K1897" s="1">
        <f ca="1">IF(A1897="","",IF(OR(L1897="ENTREGADA",L1897="RETORNADA",L1897="ENTREGA DIGITAL"),0,MAX(0,5-NETWORKDAYS(H1897+1,TODAY()))))</f>
        <v>0</v>
      </c>
      <c r="L1897">
        <f>IF(A1897="","",IFERROR(LOOKUP(2,1/(#REF!=Z1897),#REF!),Y1897))</f>
        <v>0</v>
      </c>
      <c r="Z1897" t="str">
        <f>IF(A1897="","",TEXT(A1897,"0")&amp;"|"&amp;TEXT(H1897,"0"))</f>
        <v>4921017891528830|46135</v>
      </c>
      <c r="AA1897" t="str">
        <f>IF(Z1897="","",IFERROR(LOOKUP(2,1/(#REF!=Z1897),#REF!),""))</f>
        <v/>
      </c>
      <c r="AB1897" t="str">
        <f>IF(Z1897="","",IFERROR(LOOKUP(2,1/(#REF!=Z1897),#REF!),""))</f>
        <v/>
      </c>
      <c r="AC1897" t="e">
        <f>IF(Z1897="","",COUNTIF(#REF!,Z1897))</f>
        <v>#REF!</v>
      </c>
      <c r="AD1897" t="e">
        <f>IF(A1897="","",IF(AC1897&gt;1,"REVISAR DUPLICADO",IF(AA1897&lt;&gt;"","ACTUALIZADO POR EYR","SIN REPORTE EYR")))</f>
        <v>#REF!</v>
      </c>
    </row>
    <row r="1898" spans="1:30" x14ac:dyDescent="0.3">
      <c r="A1898" s="5" t="s">
        <v>121</v>
      </c>
      <c r="B1898" t="s">
        <v>120</v>
      </c>
      <c r="C1898" s="4" t="s">
        <v>119</v>
      </c>
      <c r="D1898" t="s">
        <v>77</v>
      </c>
      <c r="F1898" t="s">
        <v>13</v>
      </c>
      <c r="G1898" s="3">
        <v>8294379409</v>
      </c>
      <c r="H1898" s="6">
        <v>46135</v>
      </c>
      <c r="K1898" s="1">
        <f ca="1">IF(A1898="","",IF(OR(L1898="ENTREGADA",L1898="RETORNADA",L1898="ENTREGA DIGITAL"),0,MAX(0,5-NETWORKDAYS(H1898+1,TODAY()))))</f>
        <v>0</v>
      </c>
      <c r="L1898">
        <f>IF(A1898="","",IFERROR(LOOKUP(2,1/(#REF!=Z1898),#REF!),Y1898))</f>
        <v>0</v>
      </c>
      <c r="Z1898" t="str">
        <f>IF(A1898="","",TEXT(A1898,"0")&amp;"|"&amp;TEXT(H1898,"0"))</f>
        <v>5415017890204920|46135</v>
      </c>
      <c r="AA1898" t="str">
        <f>IF(Z1898="","",IFERROR(LOOKUP(2,1/(#REF!=Z1898),#REF!),""))</f>
        <v/>
      </c>
      <c r="AB1898" t="str">
        <f>IF(Z1898="","",IFERROR(LOOKUP(2,1/(#REF!=Z1898),#REF!),""))</f>
        <v/>
      </c>
      <c r="AC1898" t="e">
        <f>IF(Z1898="","",COUNTIF(#REF!,Z1898))</f>
        <v>#REF!</v>
      </c>
      <c r="AD1898" t="e">
        <f>IF(A1898="","",IF(AC1898&gt;1,"REVISAR DUPLICADO",IF(AA1898&lt;&gt;"","ACTUALIZADO POR EYR","SIN REPORTE EYR")))</f>
        <v>#REF!</v>
      </c>
    </row>
    <row r="1899" spans="1:30" x14ac:dyDescent="0.3">
      <c r="A1899" s="5" t="s">
        <v>118</v>
      </c>
      <c r="B1899" t="s">
        <v>117</v>
      </c>
      <c r="C1899" s="4" t="s">
        <v>116</v>
      </c>
      <c r="D1899" t="s">
        <v>77</v>
      </c>
      <c r="F1899" t="s">
        <v>115</v>
      </c>
      <c r="G1899" s="3">
        <v>8294652511</v>
      </c>
      <c r="H1899" s="6">
        <v>46135</v>
      </c>
      <c r="K1899" s="1">
        <f ca="1">IF(A1899="","",IF(OR(L1899="ENTREGADA",L1899="RETORNADA",L1899="ENTREGA DIGITAL"),0,MAX(0,5-NETWORKDAYS(H1899+1,TODAY()))))</f>
        <v>0</v>
      </c>
      <c r="L1899">
        <f>IF(A1899="","",IFERROR(LOOKUP(2,1/(#REF!=Z1899),#REF!),Y1899))</f>
        <v>0</v>
      </c>
      <c r="Z1899" t="str">
        <f>IF(A1899="","",TEXT(A1899,"0")&amp;"|"&amp;TEXT(H1899,"0"))</f>
        <v>4921017736748750|46135</v>
      </c>
      <c r="AA1899" t="str">
        <f>IF(Z1899="","",IFERROR(LOOKUP(2,1/(#REF!=Z1899),#REF!),""))</f>
        <v/>
      </c>
      <c r="AB1899" t="str">
        <f>IF(Z1899="","",IFERROR(LOOKUP(2,1/(#REF!=Z1899),#REF!),""))</f>
        <v/>
      </c>
      <c r="AC1899" t="e">
        <f>IF(Z1899="","",COUNTIF(#REF!,Z1899))</f>
        <v>#REF!</v>
      </c>
      <c r="AD1899" t="e">
        <f>IF(A1899="","",IF(AC1899&gt;1,"REVISAR DUPLICADO",IF(AA1899&lt;&gt;"","ACTUALIZADO POR EYR","SIN REPORTE EYR")))</f>
        <v>#REF!</v>
      </c>
    </row>
    <row r="1900" spans="1:30" x14ac:dyDescent="0.3">
      <c r="A1900" s="5" t="s">
        <v>114</v>
      </c>
      <c r="B1900" t="s">
        <v>113</v>
      </c>
      <c r="C1900" s="4" t="s">
        <v>112</v>
      </c>
      <c r="D1900" t="s">
        <v>77</v>
      </c>
      <c r="F1900" t="s">
        <v>13</v>
      </c>
      <c r="G1900" s="3">
        <v>8493420691</v>
      </c>
      <c r="H1900" s="6">
        <v>46135</v>
      </c>
      <c r="K1900" s="1">
        <f ca="1">IF(A1900="","",IF(OR(L1900="ENTREGADA",L1900="RETORNADA",L1900="ENTREGA DIGITAL"),0,MAX(0,5-NETWORKDAYS(H1900+1,TODAY()))))</f>
        <v>0</v>
      </c>
      <c r="L1900">
        <f>IF(A1900="","",IFERROR(LOOKUP(2,1/(#REF!=Z1900),#REF!),Y1900))</f>
        <v>0</v>
      </c>
      <c r="Z1900" t="str">
        <f>IF(A1900="","",TEXT(A1900,"0")&amp;"|"&amp;TEXT(H1900,"0"))</f>
        <v>4921017885943000|46135</v>
      </c>
      <c r="AA1900" t="str">
        <f>IF(Z1900="","",IFERROR(LOOKUP(2,1/(#REF!=Z1900),#REF!),""))</f>
        <v/>
      </c>
      <c r="AB1900" t="str">
        <f>IF(Z1900="","",IFERROR(LOOKUP(2,1/(#REF!=Z1900),#REF!),""))</f>
        <v/>
      </c>
      <c r="AC1900" t="e">
        <f>IF(Z1900="","",COUNTIF(#REF!,Z1900))</f>
        <v>#REF!</v>
      </c>
      <c r="AD1900" t="e">
        <f>IF(A1900="","",IF(AC1900&gt;1,"REVISAR DUPLICADO",IF(AA1900&lt;&gt;"","ACTUALIZADO POR EYR","SIN REPORTE EYR")))</f>
        <v>#REF!</v>
      </c>
    </row>
    <row r="1901" spans="1:30" x14ac:dyDescent="0.3">
      <c r="A1901" s="5" t="s">
        <v>111</v>
      </c>
      <c r="B1901" t="s">
        <v>110</v>
      </c>
      <c r="C1901" s="4" t="s">
        <v>109</v>
      </c>
      <c r="D1901" t="s">
        <v>77</v>
      </c>
      <c r="F1901" t="s">
        <v>0</v>
      </c>
      <c r="G1901" s="3">
        <v>8094965112</v>
      </c>
      <c r="H1901" s="6">
        <v>46135</v>
      </c>
      <c r="K1901" s="1">
        <f ca="1">IF(A1901="","",IF(OR(L1901="ENTREGADA",L1901="RETORNADA",L1901="ENTREGA DIGITAL"),0,MAX(0,5-NETWORKDAYS(H1901+1,TODAY()))))</f>
        <v>0</v>
      </c>
      <c r="L1901">
        <f>IF(A1901="","",IFERROR(LOOKUP(2,1/(#REF!=Z1901),#REF!),Y1901))</f>
        <v>0</v>
      </c>
      <c r="Z1901" t="str">
        <f>IF(A1901="","",TEXT(A1901,"0")&amp;"|"&amp;TEXT(H1901,"0"))</f>
        <v>4921017798558830|46135</v>
      </c>
      <c r="AA1901" t="str">
        <f>IF(Z1901="","",IFERROR(LOOKUP(2,1/(#REF!=Z1901),#REF!),""))</f>
        <v/>
      </c>
      <c r="AB1901" t="str">
        <f>IF(Z1901="","",IFERROR(LOOKUP(2,1/(#REF!=Z1901),#REF!),""))</f>
        <v/>
      </c>
      <c r="AC1901" t="e">
        <f>IF(Z1901="","",COUNTIF(#REF!,Z1901))</f>
        <v>#REF!</v>
      </c>
      <c r="AD1901" t="e">
        <f>IF(A1901="","",IF(AC1901&gt;1,"REVISAR DUPLICADO",IF(AA1901&lt;&gt;"","ACTUALIZADO POR EYR","SIN REPORTE EYR")))</f>
        <v>#REF!</v>
      </c>
    </row>
    <row r="1902" spans="1:30" x14ac:dyDescent="0.3">
      <c r="A1902" s="5" t="s">
        <v>108</v>
      </c>
      <c r="B1902" t="s">
        <v>107</v>
      </c>
      <c r="C1902" s="4" t="s">
        <v>106</v>
      </c>
      <c r="D1902" t="s">
        <v>77</v>
      </c>
      <c r="F1902" t="s">
        <v>105</v>
      </c>
      <c r="G1902" s="3">
        <v>8493892835</v>
      </c>
      <c r="H1902" s="6">
        <v>46135</v>
      </c>
      <c r="K1902" s="1">
        <f ca="1">IF(A1902="","",IF(OR(L1902="ENTREGADA",L1902="RETORNADA",L1902="ENTREGA DIGITAL"),0,MAX(0,5-NETWORKDAYS(H1902+1,TODAY()))))</f>
        <v>0</v>
      </c>
      <c r="L1902">
        <f>IF(A1902="","",IFERROR(LOOKUP(2,1/(#REF!=Z1902),#REF!),Y1902))</f>
        <v>0</v>
      </c>
      <c r="Z1902" t="str">
        <f>IF(A1902="","",TEXT(A1902,"0")&amp;"|"&amp;TEXT(H1902,"0"))</f>
        <v>4921017807457420|46135</v>
      </c>
      <c r="AA1902" t="str">
        <f>IF(Z1902="","",IFERROR(LOOKUP(2,1/(#REF!=Z1902),#REF!),""))</f>
        <v/>
      </c>
      <c r="AB1902" t="str">
        <f>IF(Z1902="","",IFERROR(LOOKUP(2,1/(#REF!=Z1902),#REF!),""))</f>
        <v/>
      </c>
      <c r="AC1902" t="e">
        <f>IF(Z1902="","",COUNTIF(#REF!,Z1902))</f>
        <v>#REF!</v>
      </c>
      <c r="AD1902" t="e">
        <f>IF(A1902="","",IF(AC1902&gt;1,"REVISAR DUPLICADO",IF(AA1902&lt;&gt;"","ACTUALIZADO POR EYR","SIN REPORTE EYR")))</f>
        <v>#REF!</v>
      </c>
    </row>
    <row r="1903" spans="1:30" x14ac:dyDescent="0.3">
      <c r="A1903" s="5" t="s">
        <v>104</v>
      </c>
      <c r="B1903" t="s">
        <v>103</v>
      </c>
      <c r="C1903" s="4" t="s">
        <v>102</v>
      </c>
      <c r="D1903" t="s">
        <v>77</v>
      </c>
      <c r="F1903" t="s">
        <v>13</v>
      </c>
      <c r="G1903" s="3">
        <v>8292032161</v>
      </c>
      <c r="H1903" s="6">
        <v>46135</v>
      </c>
      <c r="K1903" s="1">
        <f ca="1">IF(A1903="","",IF(OR(L1903="ENTREGADA",L1903="RETORNADA",L1903="ENTREGA DIGITAL"),0,MAX(0,5-NETWORKDAYS(H1903+1,TODAY()))))</f>
        <v>0</v>
      </c>
      <c r="L1903">
        <f>IF(A1903="","",IFERROR(LOOKUP(2,1/(#REF!=Z1903),#REF!),Y1903))</f>
        <v>0</v>
      </c>
      <c r="Z1903" t="str">
        <f>IF(A1903="","",TEXT(A1903,"0")&amp;"|"&amp;TEXT(H1903,"0"))</f>
        <v>4921017755326650|46135</v>
      </c>
      <c r="AA1903" t="str">
        <f>IF(Z1903="","",IFERROR(LOOKUP(2,1/(#REF!=Z1903),#REF!),""))</f>
        <v/>
      </c>
      <c r="AB1903" t="str">
        <f>IF(Z1903="","",IFERROR(LOOKUP(2,1/(#REF!=Z1903),#REF!),""))</f>
        <v/>
      </c>
      <c r="AC1903" t="e">
        <f>IF(Z1903="","",COUNTIF(#REF!,Z1903))</f>
        <v>#REF!</v>
      </c>
      <c r="AD1903" t="e">
        <f>IF(A1903="","",IF(AC1903&gt;1,"REVISAR DUPLICADO",IF(AA1903&lt;&gt;"","ACTUALIZADO POR EYR","SIN REPORTE EYR")))</f>
        <v>#REF!</v>
      </c>
    </row>
    <row r="1904" spans="1:30" x14ac:dyDescent="0.3">
      <c r="A1904" s="5" t="s">
        <v>101</v>
      </c>
      <c r="B1904" t="s">
        <v>100</v>
      </c>
      <c r="C1904" s="4" t="s">
        <v>99</v>
      </c>
      <c r="D1904" t="s">
        <v>77</v>
      </c>
      <c r="F1904" t="s">
        <v>98</v>
      </c>
      <c r="G1904" s="3">
        <v>8293627308</v>
      </c>
      <c r="H1904" s="6">
        <v>46135</v>
      </c>
      <c r="K1904" s="1">
        <f ca="1">IF(A1904="","",IF(OR(L1904="ENTREGADA",L1904="RETORNADA",L1904="ENTREGA DIGITAL"),0,MAX(0,5-NETWORKDAYS(H1904+1,TODAY()))))</f>
        <v>0</v>
      </c>
      <c r="L1904">
        <f>IF(A1904="","",IFERROR(LOOKUP(2,1/(#REF!=Z1904),#REF!),Y1904))</f>
        <v>0</v>
      </c>
      <c r="Z1904" t="str">
        <f>IF(A1904="","",TEXT(A1904,"0")&amp;"|"&amp;TEXT(H1904,"0"))</f>
        <v>4921017885627160|46135</v>
      </c>
      <c r="AA1904" t="str">
        <f>IF(Z1904="","",IFERROR(LOOKUP(2,1/(#REF!=Z1904),#REF!),""))</f>
        <v/>
      </c>
      <c r="AB1904" t="str">
        <f>IF(Z1904="","",IFERROR(LOOKUP(2,1/(#REF!=Z1904),#REF!),""))</f>
        <v/>
      </c>
      <c r="AC1904" t="e">
        <f>IF(Z1904="","",COUNTIF(#REF!,Z1904))</f>
        <v>#REF!</v>
      </c>
      <c r="AD1904" t="e">
        <f>IF(A1904="","",IF(AC1904&gt;1,"REVISAR DUPLICADO",IF(AA1904&lt;&gt;"","ACTUALIZADO POR EYR","SIN REPORTE EYR")))</f>
        <v>#REF!</v>
      </c>
    </row>
    <row r="1905" spans="1:30" x14ac:dyDescent="0.3">
      <c r="A1905" s="5" t="s">
        <v>97</v>
      </c>
      <c r="B1905" t="s">
        <v>96</v>
      </c>
      <c r="C1905" s="4" t="s">
        <v>95</v>
      </c>
      <c r="D1905" t="s">
        <v>77</v>
      </c>
      <c r="F1905" t="s">
        <v>94</v>
      </c>
      <c r="G1905" s="3">
        <v>8098141455</v>
      </c>
      <c r="H1905" s="6">
        <v>46135</v>
      </c>
      <c r="K1905" s="1">
        <f ca="1">IF(A1905="","",IF(OR(L1905="ENTREGADA",L1905="RETORNADA",L1905="ENTREGA DIGITAL"),0,MAX(0,5-NETWORKDAYS(H1905+1,TODAY()))))</f>
        <v>0</v>
      </c>
      <c r="L1905">
        <f>IF(A1905="","",IFERROR(LOOKUP(2,1/(#REF!=Z1905),#REF!),Y1905))</f>
        <v>0</v>
      </c>
      <c r="Z1905" t="str">
        <f>IF(A1905="","",TEXT(A1905,"0")&amp;"|"&amp;TEXT(H1905,"0"))</f>
        <v>5188017883692170|46135</v>
      </c>
      <c r="AA1905" t="str">
        <f>IF(Z1905="","",IFERROR(LOOKUP(2,1/(#REF!=Z1905),#REF!),""))</f>
        <v/>
      </c>
      <c r="AB1905" t="str">
        <f>IF(Z1905="","",IFERROR(LOOKUP(2,1/(#REF!=Z1905),#REF!),""))</f>
        <v/>
      </c>
      <c r="AC1905" t="e">
        <f>IF(Z1905="","",COUNTIF(#REF!,Z1905))</f>
        <v>#REF!</v>
      </c>
      <c r="AD1905" t="e">
        <f>IF(A1905="","",IF(AC1905&gt;1,"REVISAR DUPLICADO",IF(AA1905&lt;&gt;"","ACTUALIZADO POR EYR","SIN REPORTE EYR")))</f>
        <v>#REF!</v>
      </c>
    </row>
    <row r="1906" spans="1:30" x14ac:dyDescent="0.3">
      <c r="A1906" s="5" t="s">
        <v>93</v>
      </c>
      <c r="B1906" t="s">
        <v>92</v>
      </c>
      <c r="C1906" s="4" t="s">
        <v>91</v>
      </c>
      <c r="D1906" t="s">
        <v>77</v>
      </c>
      <c r="F1906" t="s">
        <v>0</v>
      </c>
      <c r="G1906" s="3">
        <v>9999999999</v>
      </c>
      <c r="H1906" s="6">
        <v>46135</v>
      </c>
      <c r="K1906" s="1">
        <f ca="1">IF(A1906="","",IF(OR(L1906="ENTREGADA",L1906="RETORNADA",L1906="ENTREGA DIGITAL"),0,MAX(0,5-NETWORKDAYS(H1906+1,TODAY()))))</f>
        <v>0</v>
      </c>
      <c r="L1906">
        <f>IF(A1906="","",IFERROR(LOOKUP(2,1/(#REF!=Z1906),#REF!),Y1906))</f>
        <v>0</v>
      </c>
      <c r="Z1906" t="str">
        <f>IF(A1906="","",TEXT(A1906,"0")&amp;"|"&amp;TEXT(H1906,"0"))</f>
        <v>4966017866871100|46135</v>
      </c>
      <c r="AA1906" t="str">
        <f>IF(Z1906="","",IFERROR(LOOKUP(2,1/(#REF!=Z1906),#REF!),""))</f>
        <v/>
      </c>
      <c r="AB1906" t="str">
        <f>IF(Z1906="","",IFERROR(LOOKUP(2,1/(#REF!=Z1906),#REF!),""))</f>
        <v/>
      </c>
      <c r="AC1906" t="e">
        <f>IF(Z1906="","",COUNTIF(#REF!,Z1906))</f>
        <v>#REF!</v>
      </c>
      <c r="AD1906" t="e">
        <f>IF(A1906="","",IF(AC1906&gt;1,"REVISAR DUPLICADO",IF(AA1906&lt;&gt;"","ACTUALIZADO POR EYR","SIN REPORTE EYR")))</f>
        <v>#REF!</v>
      </c>
    </row>
    <row r="1907" spans="1:30" x14ac:dyDescent="0.3">
      <c r="A1907" s="5" t="s">
        <v>90</v>
      </c>
      <c r="B1907" t="s">
        <v>89</v>
      </c>
      <c r="C1907" s="4" t="s">
        <v>88</v>
      </c>
      <c r="D1907" t="s">
        <v>77</v>
      </c>
      <c r="F1907" t="s">
        <v>13</v>
      </c>
      <c r="G1907" s="3">
        <v>8093514230</v>
      </c>
      <c r="H1907" s="6">
        <v>46135</v>
      </c>
      <c r="K1907" s="1">
        <f ca="1">IF(A1907="","",IF(OR(L1907="ENTREGADA",L1907="RETORNADA",L1907="ENTREGA DIGITAL"),0,MAX(0,5-NETWORKDAYS(H1907+1,TODAY()))))</f>
        <v>0</v>
      </c>
      <c r="L1907">
        <f>IF(A1907="","",IFERROR(LOOKUP(2,1/(#REF!=Z1907),#REF!),Y1907))</f>
        <v>0</v>
      </c>
      <c r="Z1907" t="str">
        <f>IF(A1907="","",TEXT(A1907,"0")&amp;"|"&amp;TEXT(H1907,"0"))</f>
        <v>4921017891059910|46135</v>
      </c>
      <c r="AA1907" t="str">
        <f>IF(Z1907="","",IFERROR(LOOKUP(2,1/(#REF!=Z1907),#REF!),""))</f>
        <v/>
      </c>
      <c r="AB1907" t="str">
        <f>IF(Z1907="","",IFERROR(LOOKUP(2,1/(#REF!=Z1907),#REF!),""))</f>
        <v/>
      </c>
      <c r="AC1907" t="e">
        <f>IF(Z1907="","",COUNTIF(#REF!,Z1907))</f>
        <v>#REF!</v>
      </c>
      <c r="AD1907" t="e">
        <f>IF(A1907="","",IF(AC1907&gt;1,"REVISAR DUPLICADO",IF(AA1907&lt;&gt;"","ACTUALIZADO POR EYR","SIN REPORTE EYR")))</f>
        <v>#REF!</v>
      </c>
    </row>
    <row r="1908" spans="1:30" x14ac:dyDescent="0.3">
      <c r="A1908" s="5" t="s">
        <v>87</v>
      </c>
      <c r="B1908" t="s">
        <v>86</v>
      </c>
      <c r="C1908" s="4" t="s">
        <v>85</v>
      </c>
      <c r="D1908" t="s">
        <v>77</v>
      </c>
      <c r="F1908" t="s">
        <v>13</v>
      </c>
      <c r="G1908" s="3">
        <v>8292675333</v>
      </c>
      <c r="H1908" s="6">
        <v>46135</v>
      </c>
      <c r="K1908" s="1">
        <f ca="1">IF(A1908="","",IF(OR(L1908="ENTREGADA",L1908="RETORNADA",L1908="ENTREGA DIGITAL"),0,MAX(0,5-NETWORKDAYS(H1908+1,TODAY()))))</f>
        <v>0</v>
      </c>
      <c r="L1908">
        <f>IF(A1908="","",IFERROR(LOOKUP(2,1/(#REF!=Z1908),#REF!),Y1908))</f>
        <v>0</v>
      </c>
      <c r="Z1908" t="str">
        <f>IF(A1908="","",TEXT(A1908,"0")&amp;"|"&amp;TEXT(H1908,"0"))</f>
        <v>4921017892113190|46135</v>
      </c>
      <c r="AA1908" t="str">
        <f>IF(Z1908="","",IFERROR(LOOKUP(2,1/(#REF!=Z1908),#REF!),""))</f>
        <v/>
      </c>
      <c r="AB1908" t="str">
        <f>IF(Z1908="","",IFERROR(LOOKUP(2,1/(#REF!=Z1908),#REF!),""))</f>
        <v/>
      </c>
      <c r="AC1908" t="e">
        <f>IF(Z1908="","",COUNTIF(#REF!,Z1908))</f>
        <v>#REF!</v>
      </c>
      <c r="AD1908" t="e">
        <f>IF(A1908="","",IF(AC1908&gt;1,"REVISAR DUPLICADO",IF(AA1908&lt;&gt;"","ACTUALIZADO POR EYR","SIN REPORTE EYR")))</f>
        <v>#REF!</v>
      </c>
    </row>
    <row r="1909" spans="1:30" x14ac:dyDescent="0.3">
      <c r="A1909" s="5" t="s">
        <v>84</v>
      </c>
      <c r="B1909" t="s">
        <v>83</v>
      </c>
      <c r="C1909" s="4" t="s">
        <v>82</v>
      </c>
      <c r="D1909" t="s">
        <v>77</v>
      </c>
      <c r="F1909" t="s">
        <v>81</v>
      </c>
      <c r="G1909" s="3">
        <v>8297082130</v>
      </c>
      <c r="H1909" s="6">
        <v>46135</v>
      </c>
      <c r="K1909" s="1">
        <f ca="1">IF(A1909="","",IF(OR(L1909="ENTREGADA",L1909="RETORNADA",L1909="ENTREGA DIGITAL"),0,MAX(0,5-NETWORKDAYS(H1909+1,TODAY()))))</f>
        <v>0</v>
      </c>
      <c r="L1909">
        <f>IF(A1909="","",IFERROR(LOOKUP(2,1/(#REF!=Z1909),#REF!),Y1909))</f>
        <v>0</v>
      </c>
      <c r="Z1909" t="str">
        <f>IF(A1909="","",TEXT(A1909,"0")&amp;"|"&amp;TEXT(H1909,"0"))</f>
        <v>4921017891870520|46135</v>
      </c>
      <c r="AA1909" t="str">
        <f>IF(Z1909="","",IFERROR(LOOKUP(2,1/(#REF!=Z1909),#REF!),""))</f>
        <v/>
      </c>
      <c r="AB1909" t="str">
        <f>IF(Z1909="","",IFERROR(LOOKUP(2,1/(#REF!=Z1909),#REF!),""))</f>
        <v/>
      </c>
      <c r="AC1909" t="e">
        <f>IF(Z1909="","",COUNTIF(#REF!,Z1909))</f>
        <v>#REF!</v>
      </c>
      <c r="AD1909" t="e">
        <f>IF(A1909="","",IF(AC1909&gt;1,"REVISAR DUPLICADO",IF(AA1909&lt;&gt;"","ACTUALIZADO POR EYR","SIN REPORTE EYR")))</f>
        <v>#REF!</v>
      </c>
    </row>
    <row r="1910" spans="1:30" x14ac:dyDescent="0.3">
      <c r="A1910" s="5" t="s">
        <v>80</v>
      </c>
      <c r="B1910" t="s">
        <v>79</v>
      </c>
      <c r="C1910" s="4" t="s">
        <v>78</v>
      </c>
      <c r="D1910" t="s">
        <v>77</v>
      </c>
      <c r="F1910" t="s">
        <v>76</v>
      </c>
      <c r="G1910" s="3">
        <v>8097537593</v>
      </c>
      <c r="H1910" s="6">
        <v>46135</v>
      </c>
      <c r="K1910" s="1">
        <f ca="1">IF(A1910="","",IF(OR(L1910="ENTREGADA",L1910="RETORNADA",L1910="ENTREGA DIGITAL"),0,MAX(0,5-NETWORKDAYS(H1910+1,TODAY()))))</f>
        <v>0</v>
      </c>
      <c r="L1910">
        <f>IF(A1910="","",IFERROR(LOOKUP(2,1/(#REF!=Z1910),#REF!),Y1910))</f>
        <v>0</v>
      </c>
      <c r="Z1910" t="str">
        <f>IF(A1910="","",TEXT(A1910,"0")&amp;"|"&amp;TEXT(H1910,"0"))</f>
        <v>5523017889959660|46135</v>
      </c>
      <c r="AA1910" t="str">
        <f>IF(Z1910="","",IFERROR(LOOKUP(2,1/(#REF!=Z1910),#REF!),""))</f>
        <v/>
      </c>
      <c r="AB1910" t="str">
        <f>IF(Z1910="","",IFERROR(LOOKUP(2,1/(#REF!=Z1910),#REF!),""))</f>
        <v/>
      </c>
      <c r="AC1910" t="e">
        <f>IF(Z1910="","",COUNTIF(#REF!,Z1910))</f>
        <v>#REF!</v>
      </c>
      <c r="AD1910" t="e">
        <f>IF(A1910="","",IF(AC1910&gt;1,"REVISAR DUPLICADO",IF(AA1910&lt;&gt;"","ACTUALIZADO POR EYR","SIN REPORTE EYR")))</f>
        <v>#REF!</v>
      </c>
    </row>
    <row r="1911" spans="1:30" x14ac:dyDescent="0.3">
      <c r="A1911" s="5" t="s">
        <v>75</v>
      </c>
      <c r="B1911" t="s">
        <v>74</v>
      </c>
      <c r="C1911" s="4" t="s">
        <v>73</v>
      </c>
      <c r="D1911" t="s">
        <v>21</v>
      </c>
      <c r="F1911" t="s">
        <v>72</v>
      </c>
      <c r="G1911" s="3">
        <v>8295294211</v>
      </c>
      <c r="H1911" s="6">
        <v>46135</v>
      </c>
      <c r="K1911" s="1">
        <f ca="1">IF(A1911="","",IF(OR(L1911="ENTREGADA",L1911="RETORNADA",L1911="ENTREGA DIGITAL"),0,MAX(0,5-NETWORKDAYS(H1911+1,TODAY()))))</f>
        <v>0</v>
      </c>
      <c r="L1911">
        <f>IF(A1911="","",IFERROR(LOOKUP(2,1/(#REF!=Z1911),#REF!),Y1911))</f>
        <v>0</v>
      </c>
      <c r="Z1911" t="str">
        <f>IF(A1911="","",TEXT(A1911,"0")&amp;"|"&amp;TEXT(H1911,"0"))</f>
        <v>4921017892594860|46135</v>
      </c>
      <c r="AA1911" t="str">
        <f>IF(Z1911="","",IFERROR(LOOKUP(2,1/(#REF!=Z1911),#REF!),""))</f>
        <v/>
      </c>
      <c r="AB1911" t="str">
        <f>IF(Z1911="","",IFERROR(LOOKUP(2,1/(#REF!=Z1911),#REF!),""))</f>
        <v/>
      </c>
      <c r="AC1911" t="e">
        <f>IF(Z1911="","",COUNTIF(#REF!,Z1911))</f>
        <v>#REF!</v>
      </c>
      <c r="AD1911" t="e">
        <f>IF(A1911="","",IF(AC1911&gt;1,"REVISAR DUPLICADO",IF(AA1911&lt;&gt;"","ACTUALIZADO POR EYR","SIN REPORTE EYR")))</f>
        <v>#REF!</v>
      </c>
    </row>
    <row r="1912" spans="1:30" x14ac:dyDescent="0.3">
      <c r="A1912" s="5" t="s">
        <v>71</v>
      </c>
      <c r="B1912" t="s">
        <v>70</v>
      </c>
      <c r="C1912" s="4" t="s">
        <v>69</v>
      </c>
      <c r="D1912" t="s">
        <v>21</v>
      </c>
      <c r="F1912" t="s">
        <v>13</v>
      </c>
      <c r="G1912" s="3">
        <v>8093452558</v>
      </c>
      <c r="H1912" s="6">
        <v>46135</v>
      </c>
      <c r="K1912" s="1">
        <f ca="1">IF(A1912="","",IF(OR(L1912="ENTREGADA",L1912="RETORNADA",L1912="ENTREGA DIGITAL"),0,MAX(0,5-NETWORKDAYS(H1912+1,TODAY()))))</f>
        <v>0</v>
      </c>
      <c r="L1912">
        <f>IF(A1912="","",IFERROR(LOOKUP(2,1/(#REF!=Z1912),#REF!),Y1912))</f>
        <v>0</v>
      </c>
      <c r="Z1912" t="str">
        <f>IF(A1912="","",TEXT(A1912,"0")&amp;"|"&amp;TEXT(H1912,"0"))</f>
        <v>5188017890699880|46135</v>
      </c>
      <c r="AA1912" t="str">
        <f>IF(Z1912="","",IFERROR(LOOKUP(2,1/(#REF!=Z1912),#REF!),""))</f>
        <v/>
      </c>
      <c r="AB1912" t="str">
        <f>IF(Z1912="","",IFERROR(LOOKUP(2,1/(#REF!=Z1912),#REF!),""))</f>
        <v/>
      </c>
      <c r="AC1912" t="e">
        <f>IF(Z1912="","",COUNTIF(#REF!,Z1912))</f>
        <v>#REF!</v>
      </c>
      <c r="AD1912" t="e">
        <f>IF(A1912="","",IF(AC1912&gt;1,"REVISAR DUPLICADO",IF(AA1912&lt;&gt;"","ACTUALIZADO POR EYR","SIN REPORTE EYR")))</f>
        <v>#REF!</v>
      </c>
    </row>
    <row r="1913" spans="1:30" x14ac:dyDescent="0.3">
      <c r="A1913" s="5" t="s">
        <v>68</v>
      </c>
      <c r="B1913" t="s">
        <v>67</v>
      </c>
      <c r="C1913" s="4" t="s">
        <v>66</v>
      </c>
      <c r="D1913" t="s">
        <v>21</v>
      </c>
      <c r="F1913" t="s">
        <v>13</v>
      </c>
      <c r="G1913" s="3">
        <v>8295260098</v>
      </c>
      <c r="H1913" s="6">
        <v>46135</v>
      </c>
      <c r="K1913" s="1">
        <f ca="1">IF(A1913="","",IF(OR(L1913="ENTREGADA",L1913="RETORNADA",L1913="ENTREGA DIGITAL"),0,MAX(0,5-NETWORKDAYS(H1913+1,TODAY()))))</f>
        <v>0</v>
      </c>
      <c r="L1913">
        <f>IF(A1913="","",IFERROR(LOOKUP(2,1/(#REF!=Z1913),#REF!),Y1913))</f>
        <v>0</v>
      </c>
      <c r="Z1913" t="str">
        <f>IF(A1913="","",TEXT(A1913,"0")&amp;"|"&amp;TEXT(H1913,"0"))</f>
        <v>4025017892867110|46135</v>
      </c>
      <c r="AA1913" t="str">
        <f>IF(Z1913="","",IFERROR(LOOKUP(2,1/(#REF!=Z1913),#REF!),""))</f>
        <v/>
      </c>
      <c r="AB1913" t="str">
        <f>IF(Z1913="","",IFERROR(LOOKUP(2,1/(#REF!=Z1913),#REF!),""))</f>
        <v/>
      </c>
      <c r="AC1913" t="e">
        <f>IF(Z1913="","",COUNTIF(#REF!,Z1913))</f>
        <v>#REF!</v>
      </c>
      <c r="AD1913" t="e">
        <f>IF(A1913="","",IF(AC1913&gt;1,"REVISAR DUPLICADO",IF(AA1913&lt;&gt;"","ACTUALIZADO POR EYR","SIN REPORTE EYR")))</f>
        <v>#REF!</v>
      </c>
    </row>
    <row r="1914" spans="1:30" x14ac:dyDescent="0.3">
      <c r="A1914" s="5" t="s">
        <v>65</v>
      </c>
      <c r="B1914" t="s">
        <v>64</v>
      </c>
      <c r="C1914" s="4" t="s">
        <v>63</v>
      </c>
      <c r="D1914" t="s">
        <v>21</v>
      </c>
      <c r="E1914" t="s">
        <v>21</v>
      </c>
      <c r="F1914" t="s">
        <v>62</v>
      </c>
      <c r="G1914" s="3">
        <v>8496388719</v>
      </c>
      <c r="H1914" s="6">
        <v>46135</v>
      </c>
      <c r="K1914" s="1">
        <f ca="1">IF(A1914="","",IF(OR(L1914="ENTREGADA",L1914="RETORNADA",L1914="ENTREGA DIGITAL"),0,MAX(0,5-NETWORKDAYS(H1914+1,TODAY()))))</f>
        <v>0</v>
      </c>
      <c r="L1914">
        <f>IF(A1914="","",IFERROR(LOOKUP(2,1/(#REF!=Z1914),#REF!),Y1914))</f>
        <v>0</v>
      </c>
      <c r="Z1914" t="str">
        <f>IF(A1914="","",TEXT(A1914,"0")&amp;"|"&amp;TEXT(H1914,"0"))</f>
        <v>4921017891480650|46135</v>
      </c>
      <c r="AA1914" t="str">
        <f>IF(Z1914="","",IFERROR(LOOKUP(2,1/(#REF!=Z1914),#REF!),""))</f>
        <v/>
      </c>
      <c r="AB1914" t="str">
        <f>IF(Z1914="","",IFERROR(LOOKUP(2,1/(#REF!=Z1914),#REF!),""))</f>
        <v/>
      </c>
      <c r="AC1914" t="e">
        <f>IF(Z1914="","",COUNTIF(#REF!,Z1914))</f>
        <v>#REF!</v>
      </c>
      <c r="AD1914" t="e">
        <f>IF(A1914="","",IF(AC1914&gt;1,"REVISAR DUPLICADO",IF(AA1914&lt;&gt;"","ACTUALIZADO POR EYR","SIN REPORTE EYR")))</f>
        <v>#REF!</v>
      </c>
    </row>
    <row r="1915" spans="1:30" x14ac:dyDescent="0.3">
      <c r="A1915" s="5" t="s">
        <v>61</v>
      </c>
      <c r="B1915" t="s">
        <v>60</v>
      </c>
      <c r="C1915" s="4" t="s">
        <v>59</v>
      </c>
      <c r="D1915" t="s">
        <v>21</v>
      </c>
      <c r="F1915" t="s">
        <v>58</v>
      </c>
      <c r="G1915" s="3">
        <v>8094579903</v>
      </c>
      <c r="H1915" s="6">
        <v>46135</v>
      </c>
      <c r="K1915" s="1">
        <f ca="1">IF(A1915="","",IF(OR(L1915="ENTREGADA",L1915="RETORNADA",L1915="ENTREGA DIGITAL"),0,MAX(0,5-NETWORKDAYS(H1915+1,TODAY()))))</f>
        <v>0</v>
      </c>
      <c r="L1915">
        <f>IF(A1915="","",IFERROR(LOOKUP(2,1/(#REF!=Z1915),#REF!),Y1915))</f>
        <v>0</v>
      </c>
      <c r="Z1915" t="str">
        <f>IF(A1915="","",TEXT(A1915,"0")&amp;"|"&amp;TEXT(H1915,"0"))</f>
        <v>5415017890134880|46135</v>
      </c>
      <c r="AA1915" t="str">
        <f>IF(Z1915="","",IFERROR(LOOKUP(2,1/(#REF!=Z1915),#REF!),""))</f>
        <v/>
      </c>
      <c r="AB1915" t="str">
        <f>IF(Z1915="","",IFERROR(LOOKUP(2,1/(#REF!=Z1915),#REF!),""))</f>
        <v/>
      </c>
      <c r="AC1915" t="e">
        <f>IF(Z1915="","",COUNTIF(#REF!,Z1915))</f>
        <v>#REF!</v>
      </c>
      <c r="AD1915" t="e">
        <f>IF(A1915="","",IF(AC1915&gt;1,"REVISAR DUPLICADO",IF(AA1915&lt;&gt;"","ACTUALIZADO POR EYR","SIN REPORTE EYR")))</f>
        <v>#REF!</v>
      </c>
    </row>
    <row r="1916" spans="1:30" x14ac:dyDescent="0.3">
      <c r="A1916" s="5" t="s">
        <v>57</v>
      </c>
      <c r="B1916" t="s">
        <v>56</v>
      </c>
      <c r="C1916" s="4" t="s">
        <v>55</v>
      </c>
      <c r="D1916" t="s">
        <v>21</v>
      </c>
      <c r="F1916" t="s">
        <v>13</v>
      </c>
      <c r="G1916" s="3">
        <v>8298061243</v>
      </c>
      <c r="H1916" s="6">
        <v>46135</v>
      </c>
      <c r="K1916" s="1">
        <f ca="1">IF(A1916="","",IF(OR(L1916="ENTREGADA",L1916="RETORNADA",L1916="ENTREGA DIGITAL"),0,MAX(0,5-NETWORKDAYS(H1916+1,TODAY()))))</f>
        <v>0</v>
      </c>
      <c r="L1916">
        <f>IF(A1916="","",IFERROR(LOOKUP(2,1/(#REF!=Z1916),#REF!),Y1916))</f>
        <v>0</v>
      </c>
      <c r="Z1916" t="str">
        <f>IF(A1916="","",TEXT(A1916,"0")&amp;"|"&amp;TEXT(H1916,"0"))</f>
        <v>4921017891113330|46135</v>
      </c>
      <c r="AA1916" t="str">
        <f>IF(Z1916="","",IFERROR(LOOKUP(2,1/(#REF!=Z1916),#REF!),""))</f>
        <v/>
      </c>
      <c r="AB1916" t="str">
        <f>IF(Z1916="","",IFERROR(LOOKUP(2,1/(#REF!=Z1916),#REF!),""))</f>
        <v/>
      </c>
      <c r="AC1916" t="e">
        <f>IF(Z1916="","",COUNTIF(#REF!,Z1916))</f>
        <v>#REF!</v>
      </c>
      <c r="AD1916" t="e">
        <f>IF(A1916="","",IF(AC1916&gt;1,"REVISAR DUPLICADO",IF(AA1916&lt;&gt;"","ACTUALIZADO POR EYR","SIN REPORTE EYR")))</f>
        <v>#REF!</v>
      </c>
    </row>
    <row r="1917" spans="1:30" x14ac:dyDescent="0.3">
      <c r="A1917" s="5" t="s">
        <v>54</v>
      </c>
      <c r="B1917" t="s">
        <v>53</v>
      </c>
      <c r="C1917" s="4" t="s">
        <v>52</v>
      </c>
      <c r="D1917" t="s">
        <v>21</v>
      </c>
      <c r="F1917" t="s">
        <v>13</v>
      </c>
      <c r="G1917" s="3">
        <v>8493846503</v>
      </c>
      <c r="H1917" s="6">
        <v>46135</v>
      </c>
      <c r="K1917" s="1">
        <f ca="1">IF(A1917="","",IF(OR(L1917="ENTREGADA",L1917="RETORNADA",L1917="ENTREGA DIGITAL"),0,MAX(0,5-NETWORKDAYS(H1917+1,TODAY()))))</f>
        <v>0</v>
      </c>
      <c r="L1917">
        <f>IF(A1917="","",IFERROR(LOOKUP(2,1/(#REF!=Z1917),#REF!),Y1917))</f>
        <v>0</v>
      </c>
      <c r="Z1917" t="str">
        <f>IF(A1917="","",TEXT(A1917,"0")&amp;"|"&amp;TEXT(H1917,"0"))</f>
        <v>4921017891109890|46135</v>
      </c>
      <c r="AA1917" t="str">
        <f>IF(Z1917="","",IFERROR(LOOKUP(2,1/(#REF!=Z1917),#REF!),""))</f>
        <v/>
      </c>
      <c r="AB1917" t="str">
        <f>IF(Z1917="","",IFERROR(LOOKUP(2,1/(#REF!=Z1917),#REF!),""))</f>
        <v/>
      </c>
      <c r="AC1917" t="e">
        <f>IF(Z1917="","",COUNTIF(#REF!,Z1917))</f>
        <v>#REF!</v>
      </c>
      <c r="AD1917" t="e">
        <f>IF(A1917="","",IF(AC1917&gt;1,"REVISAR DUPLICADO",IF(AA1917&lt;&gt;"","ACTUALIZADO POR EYR","SIN REPORTE EYR")))</f>
        <v>#REF!</v>
      </c>
    </row>
    <row r="1918" spans="1:30" x14ac:dyDescent="0.3">
      <c r="A1918" s="5" t="s">
        <v>51</v>
      </c>
      <c r="B1918" t="s">
        <v>50</v>
      </c>
      <c r="C1918" s="4" t="s">
        <v>49</v>
      </c>
      <c r="D1918" t="s">
        <v>21</v>
      </c>
      <c r="F1918" t="s">
        <v>0</v>
      </c>
      <c r="G1918" s="3">
        <v>8096466891</v>
      </c>
      <c r="H1918" s="6">
        <v>46135</v>
      </c>
      <c r="K1918" s="1">
        <f ca="1">IF(A1918="","",IF(OR(L1918="ENTREGADA",L1918="RETORNADA",L1918="ENTREGA DIGITAL"),0,MAX(0,5-NETWORKDAYS(H1918+1,TODAY()))))</f>
        <v>0</v>
      </c>
      <c r="L1918">
        <f>IF(A1918="","",IFERROR(LOOKUP(2,1/(#REF!=Z1918),#REF!),Y1918))</f>
        <v>0</v>
      </c>
      <c r="Z1918" t="str">
        <f>IF(A1918="","",TEXT(A1918,"0")&amp;"|"&amp;TEXT(H1918,"0"))</f>
        <v>4921017785999180|46135</v>
      </c>
      <c r="AA1918" t="str">
        <f>IF(Z1918="","",IFERROR(LOOKUP(2,1/(#REF!=Z1918),#REF!),""))</f>
        <v/>
      </c>
      <c r="AB1918" t="str">
        <f>IF(Z1918="","",IFERROR(LOOKUP(2,1/(#REF!=Z1918),#REF!),""))</f>
        <v/>
      </c>
      <c r="AC1918" t="e">
        <f>IF(Z1918="","",COUNTIF(#REF!,Z1918))</f>
        <v>#REF!</v>
      </c>
      <c r="AD1918" t="e">
        <f>IF(A1918="","",IF(AC1918&gt;1,"REVISAR DUPLICADO",IF(AA1918&lt;&gt;"","ACTUALIZADO POR EYR","SIN REPORTE EYR")))</f>
        <v>#REF!</v>
      </c>
    </row>
    <row r="1919" spans="1:30" x14ac:dyDescent="0.3">
      <c r="A1919" s="5" t="s">
        <v>48</v>
      </c>
      <c r="B1919" t="s">
        <v>47</v>
      </c>
      <c r="C1919" s="4" t="s">
        <v>46</v>
      </c>
      <c r="D1919" t="s">
        <v>21</v>
      </c>
      <c r="F1919" t="s">
        <v>0</v>
      </c>
      <c r="G1919" s="3">
        <v>8098475732</v>
      </c>
      <c r="H1919" s="6">
        <v>46135</v>
      </c>
      <c r="K1919" s="1">
        <f ca="1">IF(A1919="","",IF(OR(L1919="ENTREGADA",L1919="RETORNADA",L1919="ENTREGA DIGITAL"),0,MAX(0,5-NETWORKDAYS(H1919+1,TODAY()))))</f>
        <v>0</v>
      </c>
      <c r="L1919">
        <f>IF(A1919="","",IFERROR(LOOKUP(2,1/(#REF!=Z1919),#REF!),Y1919))</f>
        <v>0</v>
      </c>
      <c r="Z1919" t="str">
        <f>IF(A1919="","",TEXT(A1919,"0")&amp;"|"&amp;TEXT(H1919,"0"))</f>
        <v>4921017782317030|46135</v>
      </c>
      <c r="AA1919" t="str">
        <f>IF(Z1919="","",IFERROR(LOOKUP(2,1/(#REF!=Z1919),#REF!),""))</f>
        <v/>
      </c>
      <c r="AB1919" t="str">
        <f>IF(Z1919="","",IFERROR(LOOKUP(2,1/(#REF!=Z1919),#REF!),""))</f>
        <v/>
      </c>
      <c r="AC1919" t="e">
        <f>IF(Z1919="","",COUNTIF(#REF!,Z1919))</f>
        <v>#REF!</v>
      </c>
      <c r="AD1919" t="e">
        <f>IF(A1919="","",IF(AC1919&gt;1,"REVISAR DUPLICADO",IF(AA1919&lt;&gt;"","ACTUALIZADO POR EYR","SIN REPORTE EYR")))</f>
        <v>#REF!</v>
      </c>
    </row>
    <row r="1920" spans="1:30" x14ac:dyDescent="0.3">
      <c r="A1920" s="5" t="s">
        <v>45</v>
      </c>
      <c r="B1920" t="s">
        <v>44</v>
      </c>
      <c r="C1920" s="4" t="s">
        <v>43</v>
      </c>
      <c r="D1920" t="s">
        <v>21</v>
      </c>
      <c r="F1920" t="s">
        <v>13</v>
      </c>
      <c r="G1920" s="3">
        <v>8492663824</v>
      </c>
      <c r="H1920" s="6">
        <v>46135</v>
      </c>
      <c r="K1920" s="1">
        <f ca="1">IF(A1920="","",IF(OR(L1920="ENTREGADA",L1920="RETORNADA",L1920="ENTREGA DIGITAL"),0,MAX(0,5-NETWORKDAYS(H1920+1,TODAY()))))</f>
        <v>0</v>
      </c>
      <c r="L1920">
        <f>IF(A1920="","",IFERROR(LOOKUP(2,1/(#REF!=Z1920),#REF!),Y1920))</f>
        <v>0</v>
      </c>
      <c r="Z1920" t="str">
        <f>IF(A1920="","",TEXT(A1920,"0")&amp;"|"&amp;TEXT(H1920,"0"))</f>
        <v>4921017887642390|46135</v>
      </c>
      <c r="AA1920" t="str">
        <f>IF(Z1920="","",IFERROR(LOOKUP(2,1/(#REF!=Z1920),#REF!),""))</f>
        <v/>
      </c>
      <c r="AB1920" t="str">
        <f>IF(Z1920="","",IFERROR(LOOKUP(2,1/(#REF!=Z1920),#REF!),""))</f>
        <v/>
      </c>
      <c r="AC1920" t="e">
        <f>IF(Z1920="","",COUNTIF(#REF!,Z1920))</f>
        <v>#REF!</v>
      </c>
      <c r="AD1920" t="e">
        <f>IF(A1920="","",IF(AC1920&gt;1,"REVISAR DUPLICADO",IF(AA1920&lt;&gt;"","ACTUALIZADO POR EYR","SIN REPORTE EYR")))</f>
        <v>#REF!</v>
      </c>
    </row>
    <row r="1921" spans="1:30" x14ac:dyDescent="0.3">
      <c r="A1921" s="5" t="s">
        <v>42</v>
      </c>
      <c r="B1921" t="s">
        <v>41</v>
      </c>
      <c r="C1921" s="4" t="s">
        <v>40</v>
      </c>
      <c r="D1921" t="s">
        <v>21</v>
      </c>
      <c r="F1921" t="s">
        <v>39</v>
      </c>
      <c r="G1921" s="3">
        <v>8295493851</v>
      </c>
      <c r="H1921" s="6">
        <v>46135</v>
      </c>
      <c r="K1921" s="1">
        <f ca="1">IF(A1921="","",IF(OR(L1921="ENTREGADA",L1921="RETORNADA",L1921="ENTREGA DIGITAL"),0,MAX(0,5-NETWORKDAYS(H1921+1,TODAY()))))</f>
        <v>0</v>
      </c>
      <c r="L1921">
        <f>IF(A1921="","",IFERROR(LOOKUP(2,1/(#REF!=Z1921),#REF!),Y1921))</f>
        <v>0</v>
      </c>
      <c r="Z1921" t="str">
        <f>IF(A1921="","",TEXT(A1921,"0")&amp;"|"&amp;TEXT(H1921,"0"))</f>
        <v>4921017891161060|46135</v>
      </c>
      <c r="AA1921" t="str">
        <f>IF(Z1921="","",IFERROR(LOOKUP(2,1/(#REF!=Z1921),#REF!),""))</f>
        <v/>
      </c>
      <c r="AB1921" t="str">
        <f>IF(Z1921="","",IFERROR(LOOKUP(2,1/(#REF!=Z1921),#REF!),""))</f>
        <v/>
      </c>
      <c r="AC1921" t="e">
        <f>IF(Z1921="","",COUNTIF(#REF!,Z1921))</f>
        <v>#REF!</v>
      </c>
      <c r="AD1921" t="e">
        <f>IF(A1921="","",IF(AC1921&gt;1,"REVISAR DUPLICADO",IF(AA1921&lt;&gt;"","ACTUALIZADO POR EYR","SIN REPORTE EYR")))</f>
        <v>#REF!</v>
      </c>
    </row>
    <row r="1922" spans="1:30" x14ac:dyDescent="0.3">
      <c r="A1922" s="5" t="s">
        <v>38</v>
      </c>
      <c r="B1922" t="s">
        <v>37</v>
      </c>
      <c r="C1922" s="4" t="s">
        <v>36</v>
      </c>
      <c r="D1922" t="s">
        <v>21</v>
      </c>
      <c r="F1922" t="s">
        <v>35</v>
      </c>
      <c r="G1922" s="3">
        <v>8294250627</v>
      </c>
      <c r="H1922" s="6">
        <v>46135</v>
      </c>
      <c r="K1922" s="1">
        <f ca="1">IF(A1922="","",IF(OR(L1922="ENTREGADA",L1922="RETORNADA",L1922="ENTREGA DIGITAL"),0,MAX(0,5-NETWORKDAYS(H1922+1,TODAY()))))</f>
        <v>0</v>
      </c>
      <c r="L1922">
        <f>IF(A1922="","",IFERROR(LOOKUP(2,1/(#REF!=Z1922),#REF!),Y1922))</f>
        <v>0</v>
      </c>
      <c r="Z1922" t="str">
        <f>IF(A1922="","",TEXT(A1922,"0")&amp;"|"&amp;TEXT(H1922,"0"))</f>
        <v>4921017891097020|46135</v>
      </c>
      <c r="AA1922" t="str">
        <f>IF(Z1922="","",IFERROR(LOOKUP(2,1/(#REF!=Z1922),#REF!),""))</f>
        <v/>
      </c>
      <c r="AB1922" t="str">
        <f>IF(Z1922="","",IFERROR(LOOKUP(2,1/(#REF!=Z1922),#REF!),""))</f>
        <v/>
      </c>
      <c r="AC1922" t="e">
        <f>IF(Z1922="","",COUNTIF(#REF!,Z1922))</f>
        <v>#REF!</v>
      </c>
      <c r="AD1922" t="e">
        <f>IF(A1922="","",IF(AC1922&gt;1,"REVISAR DUPLICADO",IF(AA1922&lt;&gt;"","ACTUALIZADO POR EYR","SIN REPORTE EYR")))</f>
        <v>#REF!</v>
      </c>
    </row>
    <row r="1923" spans="1:30" x14ac:dyDescent="0.3">
      <c r="A1923" s="5" t="s">
        <v>34</v>
      </c>
      <c r="B1923" t="s">
        <v>33</v>
      </c>
      <c r="C1923" s="4" t="s">
        <v>32</v>
      </c>
      <c r="D1923" t="s">
        <v>21</v>
      </c>
      <c r="F1923" t="s">
        <v>13</v>
      </c>
      <c r="G1923" s="3">
        <v>8296900616</v>
      </c>
      <c r="H1923" s="6">
        <v>46135</v>
      </c>
      <c r="K1923" s="1">
        <f ca="1">IF(A1923="","",IF(OR(L1923="ENTREGADA",L1923="RETORNADA",L1923="ENTREGA DIGITAL"),0,MAX(0,5-NETWORKDAYS(H1923+1,TODAY()))))</f>
        <v>0</v>
      </c>
      <c r="L1923">
        <f>IF(A1923="","",IFERROR(LOOKUP(2,1/(#REF!=Z1923),#REF!),Y1923))</f>
        <v>0</v>
      </c>
      <c r="Z1923" t="str">
        <f>IF(A1923="","",TEXT(A1923,"0")&amp;"|"&amp;TEXT(H1923,"0"))</f>
        <v>4741017889169170|46135</v>
      </c>
      <c r="AA1923" t="str">
        <f>IF(Z1923="","",IFERROR(LOOKUP(2,1/(#REF!=Z1923),#REF!),""))</f>
        <v/>
      </c>
      <c r="AB1923" t="str">
        <f>IF(Z1923="","",IFERROR(LOOKUP(2,1/(#REF!=Z1923),#REF!),""))</f>
        <v/>
      </c>
      <c r="AC1923" t="e">
        <f>IF(Z1923="","",COUNTIF(#REF!,Z1923))</f>
        <v>#REF!</v>
      </c>
      <c r="AD1923" t="e">
        <f>IF(A1923="","",IF(AC1923&gt;1,"REVISAR DUPLICADO",IF(AA1923&lt;&gt;"","ACTUALIZADO POR EYR","SIN REPORTE EYR")))</f>
        <v>#REF!</v>
      </c>
    </row>
    <row r="1924" spans="1:30" x14ac:dyDescent="0.3">
      <c r="A1924" s="5" t="s">
        <v>31</v>
      </c>
      <c r="B1924" t="s">
        <v>30</v>
      </c>
      <c r="C1924" s="4" t="s">
        <v>29</v>
      </c>
      <c r="D1924" t="s">
        <v>21</v>
      </c>
      <c r="F1924" t="s">
        <v>13</v>
      </c>
      <c r="G1924" s="3">
        <v>8095296633</v>
      </c>
      <c r="H1924" s="6">
        <v>46135</v>
      </c>
      <c r="K1924" s="1">
        <f ca="1">IF(A1924="","",IF(OR(L1924="ENTREGADA",L1924="RETORNADA",L1924="ENTREGA DIGITAL"),0,MAX(0,5-NETWORKDAYS(H1924+1,TODAY()))))</f>
        <v>0</v>
      </c>
      <c r="L1924">
        <f>IF(A1924="","",IFERROR(LOOKUP(2,1/(#REF!=Z1924),#REF!),Y1924))</f>
        <v>0</v>
      </c>
      <c r="Z1924" t="str">
        <f>IF(A1924="","",TEXT(A1924,"0")&amp;"|"&amp;TEXT(H1924,"0"))</f>
        <v>4741017889154760|46135</v>
      </c>
      <c r="AA1924" t="str">
        <f>IF(Z1924="","",IFERROR(LOOKUP(2,1/(#REF!=Z1924),#REF!),""))</f>
        <v/>
      </c>
      <c r="AB1924" t="str">
        <f>IF(Z1924="","",IFERROR(LOOKUP(2,1/(#REF!=Z1924),#REF!),""))</f>
        <v/>
      </c>
      <c r="AC1924" t="e">
        <f>IF(Z1924="","",COUNTIF(#REF!,Z1924))</f>
        <v>#REF!</v>
      </c>
      <c r="AD1924" t="e">
        <f>IF(A1924="","",IF(AC1924&gt;1,"REVISAR DUPLICADO",IF(AA1924&lt;&gt;"","ACTUALIZADO POR EYR","SIN REPORTE EYR")))</f>
        <v>#REF!</v>
      </c>
    </row>
    <row r="1925" spans="1:30" x14ac:dyDescent="0.3">
      <c r="A1925" s="5" t="s">
        <v>28</v>
      </c>
      <c r="B1925" t="s">
        <v>27</v>
      </c>
      <c r="C1925" s="4" t="s">
        <v>26</v>
      </c>
      <c r="D1925" t="s">
        <v>21</v>
      </c>
      <c r="F1925" t="s">
        <v>25</v>
      </c>
      <c r="G1925" s="3">
        <v>8298606124</v>
      </c>
      <c r="H1925" s="6">
        <v>46135</v>
      </c>
      <c r="K1925" s="1">
        <f ca="1">IF(A1925="","",IF(OR(L1925="ENTREGADA",L1925="RETORNADA",L1925="ENTREGA DIGITAL"),0,MAX(0,5-NETWORKDAYS(H1925+1,TODAY()))))</f>
        <v>0</v>
      </c>
      <c r="L1925">
        <f>IF(A1925="","",IFERROR(LOOKUP(2,1/(#REF!=Z1925),#REF!),Y1925))</f>
        <v>0</v>
      </c>
      <c r="Z1925" t="str">
        <f>IF(A1925="","",TEXT(A1925,"0")&amp;"|"&amp;TEXT(H1925,"0"))</f>
        <v>4741017889229890|46135</v>
      </c>
      <c r="AA1925" t="str">
        <f>IF(Z1925="","",IFERROR(LOOKUP(2,1/(#REF!=Z1925),#REF!),""))</f>
        <v/>
      </c>
      <c r="AB1925" t="str">
        <f>IF(Z1925="","",IFERROR(LOOKUP(2,1/(#REF!=Z1925),#REF!),""))</f>
        <v/>
      </c>
      <c r="AC1925" t="e">
        <f>IF(Z1925="","",COUNTIF(#REF!,Z1925))</f>
        <v>#REF!</v>
      </c>
      <c r="AD1925" t="e">
        <f>IF(A1925="","",IF(AC1925&gt;1,"REVISAR DUPLICADO",IF(AA1925&lt;&gt;"","ACTUALIZADO POR EYR","SIN REPORTE EYR")))</f>
        <v>#REF!</v>
      </c>
    </row>
    <row r="1926" spans="1:30" x14ac:dyDescent="0.3">
      <c r="A1926" s="5" t="s">
        <v>24</v>
      </c>
      <c r="B1926" t="s">
        <v>23</v>
      </c>
      <c r="C1926" s="4" t="s">
        <v>22</v>
      </c>
      <c r="D1926" t="s">
        <v>21</v>
      </c>
      <c r="F1926" t="s">
        <v>13</v>
      </c>
      <c r="G1926" s="3">
        <v>8094082662</v>
      </c>
      <c r="H1926" s="6">
        <v>46135</v>
      </c>
      <c r="K1926" s="1">
        <f ca="1">IF(A1926="","",IF(OR(L1926="ENTREGADA",L1926="RETORNADA",L1926="ENTREGA DIGITAL"),0,MAX(0,5-NETWORKDAYS(H1926+1,TODAY()))))</f>
        <v>0</v>
      </c>
      <c r="L1926">
        <f>IF(A1926="","",IFERROR(LOOKUP(2,1/(#REF!=Z1926),#REF!),Y1926))</f>
        <v>0</v>
      </c>
      <c r="Z1926" t="str">
        <f>IF(A1926="","",TEXT(A1926,"0")&amp;"|"&amp;TEXT(H1926,"0"))</f>
        <v>4741017889235400|46135</v>
      </c>
      <c r="AA1926" t="str">
        <f>IF(Z1926="","",IFERROR(LOOKUP(2,1/(#REF!=Z1926),#REF!),""))</f>
        <v/>
      </c>
      <c r="AB1926" t="str">
        <f>IF(Z1926="","",IFERROR(LOOKUP(2,1/(#REF!=Z1926),#REF!),""))</f>
        <v/>
      </c>
      <c r="AC1926" t="e">
        <f>IF(Z1926="","",COUNTIF(#REF!,Z1926))</f>
        <v>#REF!</v>
      </c>
      <c r="AD1926" t="e">
        <f>IF(A1926="","",IF(AC1926&gt;1,"REVISAR DUPLICADO",IF(AA1926&lt;&gt;"","ACTUALIZADO POR EYR","SIN REPORTE EYR")))</f>
        <v>#REF!</v>
      </c>
    </row>
    <row r="1927" spans="1:30" x14ac:dyDescent="0.3">
      <c r="A1927" s="5" t="s">
        <v>20</v>
      </c>
      <c r="B1927" t="s">
        <v>19</v>
      </c>
      <c r="C1927" s="4" t="s">
        <v>18</v>
      </c>
      <c r="D1927" t="s">
        <v>1</v>
      </c>
      <c r="F1927" t="s">
        <v>17</v>
      </c>
      <c r="G1927" s="3">
        <v>8293146418</v>
      </c>
      <c r="H1927" s="6">
        <v>46135</v>
      </c>
      <c r="K1927" s="1">
        <f ca="1">IF(A1927="","",IF(OR(L1927="ENTREGADA",L1927="RETORNADA",L1927="ENTREGA DIGITAL"),0,MAX(0,5-NETWORKDAYS(H1927+1,TODAY()))))</f>
        <v>0</v>
      </c>
      <c r="L1927">
        <f>IF(A1927="","",IFERROR(LOOKUP(2,1/(#REF!=Z1927),#REF!),Y1927))</f>
        <v>0</v>
      </c>
      <c r="Z1927" t="str">
        <f>IF(A1927="","",TEXT(A1927,"0")&amp;"|"&amp;TEXT(H1927,"0"))</f>
        <v>4025017892990190|46135</v>
      </c>
      <c r="AA1927" t="str">
        <f>IF(Z1927="","",IFERROR(LOOKUP(2,1/(#REF!=Z1927),#REF!),""))</f>
        <v/>
      </c>
      <c r="AB1927" t="str">
        <f>IF(Z1927="","",IFERROR(LOOKUP(2,1/(#REF!=Z1927),#REF!),""))</f>
        <v/>
      </c>
      <c r="AC1927" t="e">
        <f>IF(Z1927="","",COUNTIF(#REF!,Z1927))</f>
        <v>#REF!</v>
      </c>
      <c r="AD1927" t="e">
        <f>IF(A1927="","",IF(AC1927&gt;1,"REVISAR DUPLICADO",IF(AA1927&lt;&gt;"","ACTUALIZADO POR EYR","SIN REPORTE EYR")))</f>
        <v>#REF!</v>
      </c>
    </row>
    <row r="1928" spans="1:30" x14ac:dyDescent="0.3">
      <c r="A1928" s="5" t="s">
        <v>16</v>
      </c>
      <c r="B1928" t="s">
        <v>15</v>
      </c>
      <c r="C1928" s="4" t="s">
        <v>14</v>
      </c>
      <c r="D1928" t="s">
        <v>1</v>
      </c>
      <c r="F1928" t="s">
        <v>13</v>
      </c>
      <c r="G1928" s="3">
        <v>8093914831</v>
      </c>
      <c r="H1928" s="6">
        <v>46135</v>
      </c>
      <c r="K1928" s="1">
        <f ca="1">IF(A1928="","",IF(OR(L1928="ENTREGADA",L1928="RETORNADA",L1928="ENTREGA DIGITAL"),0,MAX(0,5-NETWORKDAYS(H1928+1,TODAY()))))</f>
        <v>0</v>
      </c>
      <c r="L1928">
        <f>IF(A1928="","",IFERROR(LOOKUP(2,1/(#REF!=Z1928),#REF!),Y1928))</f>
        <v>0</v>
      </c>
      <c r="Z1928" t="str">
        <f>IF(A1928="","",TEXT(A1928,"0")&amp;"|"&amp;TEXT(H1928,"0"))</f>
        <v>4921017796491520|46135</v>
      </c>
      <c r="AA1928" t="str">
        <f>IF(Z1928="","",IFERROR(LOOKUP(2,1/(#REF!=Z1928),#REF!),""))</f>
        <v/>
      </c>
      <c r="AB1928" t="str">
        <f>IF(Z1928="","",IFERROR(LOOKUP(2,1/(#REF!=Z1928),#REF!),""))</f>
        <v/>
      </c>
      <c r="AC1928" t="e">
        <f>IF(Z1928="","",COUNTIF(#REF!,Z1928))</f>
        <v>#REF!</v>
      </c>
      <c r="AD1928" t="e">
        <f>IF(A1928="","",IF(AC1928&gt;1,"REVISAR DUPLICADO",IF(AA1928&lt;&gt;"","ACTUALIZADO POR EYR","SIN REPORTE EYR")))</f>
        <v>#REF!</v>
      </c>
    </row>
    <row r="1929" spans="1:30" x14ac:dyDescent="0.3">
      <c r="A1929" s="5" t="s">
        <v>12</v>
      </c>
      <c r="B1929" t="s">
        <v>11</v>
      </c>
      <c r="C1929" s="4" t="s">
        <v>10</v>
      </c>
      <c r="D1929" t="s">
        <v>1</v>
      </c>
      <c r="F1929" t="s">
        <v>9</v>
      </c>
      <c r="G1929" s="3">
        <v>8297871924</v>
      </c>
      <c r="H1929" s="6">
        <v>46135</v>
      </c>
      <c r="K1929" s="1">
        <f ca="1">IF(A1929="","",IF(OR(L1929="ENTREGADA",L1929="RETORNADA",L1929="ENTREGA DIGITAL"),0,MAX(0,5-NETWORKDAYS(H1929+1,TODAY()))))</f>
        <v>0</v>
      </c>
      <c r="L1929">
        <f>IF(A1929="","",IFERROR(LOOKUP(2,1/(#REF!=Z1929),#REF!),Y1929))</f>
        <v>0</v>
      </c>
      <c r="Z1929" t="str">
        <f>IF(A1929="","",TEXT(A1929,"0")&amp;"|"&amp;TEXT(H1929,"0"))</f>
        <v>4921017891142060|46135</v>
      </c>
      <c r="AA1929" t="str">
        <f>IF(Z1929="","",IFERROR(LOOKUP(2,1/(#REF!=Z1929),#REF!),""))</f>
        <v/>
      </c>
      <c r="AB1929" t="str">
        <f>IF(Z1929="","",IFERROR(LOOKUP(2,1/(#REF!=Z1929),#REF!),""))</f>
        <v/>
      </c>
      <c r="AC1929" t="e">
        <f>IF(Z1929="","",COUNTIF(#REF!,Z1929))</f>
        <v>#REF!</v>
      </c>
      <c r="AD1929" t="e">
        <f>IF(A1929="","",IF(AC1929&gt;1,"REVISAR DUPLICADO",IF(AA1929&lt;&gt;"","ACTUALIZADO POR EYR","SIN REPORTE EYR")))</f>
        <v>#REF!</v>
      </c>
    </row>
    <row r="1930" spans="1:30" x14ac:dyDescent="0.3">
      <c r="A1930" s="5" t="s">
        <v>8</v>
      </c>
      <c r="B1930" t="s">
        <v>7</v>
      </c>
      <c r="C1930" s="4" t="s">
        <v>6</v>
      </c>
      <c r="D1930" t="s">
        <v>1</v>
      </c>
      <c r="F1930" t="s">
        <v>5</v>
      </c>
      <c r="G1930" s="3">
        <v>9999999999</v>
      </c>
      <c r="H1930" s="6">
        <v>46135</v>
      </c>
      <c r="K1930" s="1">
        <f ca="1">IF(A1930="","",IF(OR(L1930="ENTREGADA",L1930="RETORNADA",L1930="ENTREGA DIGITAL"),0,MAX(0,5-NETWORKDAYS(H1930+1,TODAY()))))</f>
        <v>0</v>
      </c>
      <c r="L1930">
        <f>IF(A1930="","",IFERROR(LOOKUP(2,1/(#REF!=Z1930),#REF!),Y1930))</f>
        <v>0</v>
      </c>
      <c r="Z1930" t="str">
        <f>IF(A1930="","",TEXT(A1930,"0")&amp;"|"&amp;TEXT(H1930,"0"))</f>
        <v>4741017889147860|46135</v>
      </c>
      <c r="AA1930" t="str">
        <f>IF(Z1930="","",IFERROR(LOOKUP(2,1/(#REF!=Z1930),#REF!),""))</f>
        <v/>
      </c>
      <c r="AB1930" t="str">
        <f>IF(Z1930="","",IFERROR(LOOKUP(2,1/(#REF!=Z1930),#REF!),""))</f>
        <v/>
      </c>
      <c r="AC1930" t="e">
        <f>IF(Z1930="","",COUNTIF(#REF!,Z1930))</f>
        <v>#REF!</v>
      </c>
      <c r="AD1930" t="e">
        <f>IF(A1930="","",IF(AC1930&gt;1,"REVISAR DUPLICADO",IF(AA1930&lt;&gt;"","ACTUALIZADO POR EYR","SIN REPORTE EYR")))</f>
        <v>#REF!</v>
      </c>
    </row>
    <row r="1931" spans="1:30" x14ac:dyDescent="0.3">
      <c r="A1931" s="5" t="s">
        <v>4</v>
      </c>
      <c r="B1931" t="s">
        <v>3</v>
      </c>
      <c r="C1931" s="4" t="s">
        <v>2</v>
      </c>
      <c r="D1931" t="s">
        <v>1</v>
      </c>
      <c r="F1931" t="s">
        <v>0</v>
      </c>
      <c r="G1931" s="3">
        <v>8296685816</v>
      </c>
      <c r="H1931" s="6">
        <v>46135</v>
      </c>
      <c r="K1931" s="1">
        <f ca="1">IF(A1931="","",IF(OR(L1931="ENTREGADA",L1931="RETORNADA",L1931="ENTREGA DIGITAL"),0,MAX(0,5-NETWORKDAYS(H1931+1,TODAY()))))</f>
        <v>0</v>
      </c>
      <c r="L1931">
        <f>IF(A1931="","",IFERROR(LOOKUP(2,1/(#REF!=Z1931),#REF!),Y1931))</f>
        <v>0</v>
      </c>
      <c r="Z1931" t="str">
        <f>IF(A1931="","",TEXT(A1931,"0")&amp;"|"&amp;TEXT(H1931,"0"))</f>
        <v>5415017787122790|46135</v>
      </c>
      <c r="AA1931" t="str">
        <f>IF(Z1931="","",IFERROR(LOOKUP(2,1/(#REF!=Z1931),#REF!),""))</f>
        <v/>
      </c>
      <c r="AB1931" t="str">
        <f>IF(Z1931="","",IFERROR(LOOKUP(2,1/(#REF!=Z1931),#REF!),""))</f>
        <v/>
      </c>
      <c r="AC1931" t="e">
        <f>IF(Z1931="","",COUNTIF(#REF!,Z1931))</f>
        <v>#REF!</v>
      </c>
      <c r="AD1931" t="e">
        <f>IF(A1931="","",IF(AC1931&gt;1,"REVISAR DUPLICADO",IF(AA1931&lt;&gt;"","ACTUALIZADO POR EYR","SIN REPORTE EYR")))</f>
        <v>#REF!</v>
      </c>
    </row>
    <row r="1932" spans="1:30" x14ac:dyDescent="0.3">
      <c r="K1932" s="1" t="str">
        <f ca="1">IF(A1932="","",IF(OR(L1932="ENTREGADA",L1932="RETORNADA",L1932="ENTREGA DIGITAL"),0,MAX(0,5-NETWORKDAYS(H1932+1,TODAY()))))</f>
        <v/>
      </c>
      <c r="L1932" t="str">
        <f>IF(A1932="","",IFERROR(LOOKUP(2,1/(#REF!=Z1932),#REF!),Y1932))</f>
        <v/>
      </c>
      <c r="Z1932" t="str">
        <f>IF(A1932="","",TEXT(A1932,"0")&amp;"|"&amp;TEXT(H1932,"0"))</f>
        <v/>
      </c>
      <c r="AA1932" t="str">
        <f>IF(Z1932="","",IFERROR(LOOKUP(2,1/(#REF!=Z1932),#REF!),""))</f>
        <v/>
      </c>
      <c r="AB1932" t="str">
        <f>IF(Z1932="","",IFERROR(LOOKUP(2,1/(#REF!=Z1932),#REF!),""))</f>
        <v/>
      </c>
      <c r="AC1932" t="str">
        <f>IF(Z1932="","",COUNTIF(#REF!,Z1932))</f>
        <v/>
      </c>
      <c r="AD1932" t="str">
        <f>IF(A1932="","",IF(AC1932&gt;1,"REVISAR DUPLICADO",IF(AA1932&lt;&gt;"","ACTUALIZADO POR EYR","SIN REPORTE EYR")))</f>
        <v/>
      </c>
    </row>
    <row r="1933" spans="1:30" x14ac:dyDescent="0.3">
      <c r="K1933" s="1" t="str">
        <f ca="1">IF(A1933="","",IF(OR(L1933="ENTREGADA",L1933="RETORNADA",L1933="ENTREGA DIGITAL"),0,MAX(0,5-NETWORKDAYS(H1933+1,TODAY()))))</f>
        <v/>
      </c>
      <c r="L1933" t="str">
        <f>IF(A1933="","",IFERROR(LOOKUP(2,1/(#REF!=Z1933),#REF!),Y1933))</f>
        <v/>
      </c>
      <c r="Z1933" t="str">
        <f>IF(A1933="","",TEXT(A1933,"0")&amp;"|"&amp;TEXT(H1933,"0"))</f>
        <v/>
      </c>
      <c r="AA1933" t="str">
        <f>IF(Z1933="","",IFERROR(LOOKUP(2,1/(#REF!=Z1933),#REF!),""))</f>
        <v/>
      </c>
      <c r="AB1933" t="str">
        <f>IF(Z1933="","",IFERROR(LOOKUP(2,1/(#REF!=Z1933),#REF!),""))</f>
        <v/>
      </c>
      <c r="AC1933" t="str">
        <f>IF(Z1933="","",COUNTIF(#REF!,Z1933))</f>
        <v/>
      </c>
      <c r="AD1933" t="str">
        <f>IF(A1933="","",IF(AC1933&gt;1,"REVISAR DUPLICADO",IF(AA1933&lt;&gt;"","ACTUALIZADO POR EYR","SIN REPORTE EYR")))</f>
        <v/>
      </c>
    </row>
    <row r="1934" spans="1:30" x14ac:dyDescent="0.3">
      <c r="K1934" s="1" t="str">
        <f ca="1">IF(A1934="","",IF(OR(L1934="ENTREGADA",L1934="RETORNADA",L1934="ENTREGA DIGITAL"),0,MAX(0,5-NETWORKDAYS(H1934+1,TODAY()))))</f>
        <v/>
      </c>
      <c r="L1934" t="str">
        <f>IF(A1934="","",IFERROR(LOOKUP(2,1/(#REF!=Z1934),#REF!),Y1934))</f>
        <v/>
      </c>
      <c r="Z1934" t="str">
        <f>IF(A1934="","",TEXT(A1934,"0")&amp;"|"&amp;TEXT(H1934,"0"))</f>
        <v/>
      </c>
      <c r="AA1934" t="str">
        <f>IF(Z1934="","",IFERROR(LOOKUP(2,1/(#REF!=Z1934),#REF!),""))</f>
        <v/>
      </c>
      <c r="AB1934" t="str">
        <f>IF(Z1934="","",IFERROR(LOOKUP(2,1/(#REF!=Z1934),#REF!),""))</f>
        <v/>
      </c>
      <c r="AC1934" t="str">
        <f>IF(Z1934="","",COUNTIF(#REF!,Z1934))</f>
        <v/>
      </c>
      <c r="AD1934" t="str">
        <f>IF(A1934="","",IF(AC1934&gt;1,"REVISAR DUPLICADO",IF(AA1934&lt;&gt;"","ACTUALIZADO POR EYR","SIN REPORTE EYR")))</f>
        <v/>
      </c>
    </row>
    <row r="1935" spans="1:30" x14ac:dyDescent="0.3">
      <c r="K1935" s="1" t="str">
        <f ca="1">IF(A1935="","",IF(OR(L1935="ENTREGADA",L1935="RETORNADA",L1935="ENTREGA DIGITAL"),0,MAX(0,5-NETWORKDAYS(H1935+1,TODAY()))))</f>
        <v/>
      </c>
      <c r="L1935" t="str">
        <f>IF(A1935="","",IFERROR(LOOKUP(2,1/(#REF!=Z1935),#REF!),Y1935))</f>
        <v/>
      </c>
      <c r="Z1935" t="str">
        <f>IF(A1935="","",TEXT(A1935,"0")&amp;"|"&amp;TEXT(H1935,"0"))</f>
        <v/>
      </c>
      <c r="AA1935" t="str">
        <f>IF(Z1935="","",IFERROR(LOOKUP(2,1/(#REF!=Z1935),#REF!),""))</f>
        <v/>
      </c>
      <c r="AB1935" t="str">
        <f>IF(Z1935="","",IFERROR(LOOKUP(2,1/(#REF!=Z1935),#REF!),""))</f>
        <v/>
      </c>
      <c r="AC1935" t="str">
        <f>IF(Z1935="","",COUNTIF(#REF!,Z1935))</f>
        <v/>
      </c>
      <c r="AD1935" t="str">
        <f>IF(A1935="","",IF(AC1935&gt;1,"REVISAR DUPLICADO",IF(AA1935&lt;&gt;"","ACTUALIZADO POR EYR","SIN REPORTE EYR")))</f>
        <v/>
      </c>
    </row>
    <row r="1936" spans="1:30" x14ac:dyDescent="0.3">
      <c r="K1936" s="1" t="str">
        <f ca="1">IF(A1936="","",IF(OR(L1936="ENTREGADA",L1936="RETORNADA",L1936="ENTREGA DIGITAL"),0,MAX(0,5-NETWORKDAYS(H1936+1,TODAY()))))</f>
        <v/>
      </c>
      <c r="L1936" t="str">
        <f>IF(A1936="","",IFERROR(LOOKUP(2,1/(#REF!=Z1936),#REF!),Y1936))</f>
        <v/>
      </c>
      <c r="Z1936" t="str">
        <f>IF(A1936="","",TEXT(A1936,"0")&amp;"|"&amp;TEXT(H1936,"0"))</f>
        <v/>
      </c>
      <c r="AA1936" t="str">
        <f>IF(Z1936="","",IFERROR(LOOKUP(2,1/(#REF!=Z1936),#REF!),""))</f>
        <v/>
      </c>
      <c r="AB1936" t="str">
        <f>IF(Z1936="","",IFERROR(LOOKUP(2,1/(#REF!=Z1936),#REF!),""))</f>
        <v/>
      </c>
      <c r="AC1936" t="str">
        <f>IF(Z1936="","",COUNTIF(#REF!,Z1936))</f>
        <v/>
      </c>
      <c r="AD1936" t="str">
        <f>IF(A1936="","",IF(AC1936&gt;1,"REVISAR DUPLICADO",IF(AA1936&lt;&gt;"","ACTUALIZADO POR EYR","SIN REPORTE EYR")))</f>
        <v/>
      </c>
    </row>
    <row r="1937" spans="11:30" x14ac:dyDescent="0.3">
      <c r="K1937" s="1" t="str">
        <f ca="1">IF(A1937="","",IF(OR(L1937="ENTREGADA",L1937="RETORNADA",L1937="ENTREGA DIGITAL"),0,MAX(0,5-NETWORKDAYS(H1937+1,TODAY()))))</f>
        <v/>
      </c>
      <c r="L1937" t="str">
        <f>IF(A1937="","",IFERROR(LOOKUP(2,1/(#REF!=Z1937),#REF!),Y1937))</f>
        <v/>
      </c>
      <c r="Z1937" t="str">
        <f>IF(A1937="","",TEXT(A1937,"0")&amp;"|"&amp;TEXT(H1937,"0"))</f>
        <v/>
      </c>
      <c r="AA1937" t="str">
        <f>IF(Z1937="","",IFERROR(LOOKUP(2,1/(#REF!=Z1937),#REF!),""))</f>
        <v/>
      </c>
      <c r="AB1937" t="str">
        <f>IF(Z1937="","",IFERROR(LOOKUP(2,1/(#REF!=Z1937),#REF!),""))</f>
        <v/>
      </c>
      <c r="AC1937" t="str">
        <f>IF(Z1937="","",COUNTIF(#REF!,Z1937))</f>
        <v/>
      </c>
      <c r="AD1937" t="str">
        <f>IF(A1937="","",IF(AC1937&gt;1,"REVISAR DUPLICADO",IF(AA1937&lt;&gt;"","ACTUALIZADO POR EYR","SIN REPORTE EYR")))</f>
        <v/>
      </c>
    </row>
    <row r="1938" spans="11:30" x14ac:dyDescent="0.3">
      <c r="K1938" s="1" t="str">
        <f ca="1">IF(A1938="","",IF(OR(L1938="ENTREGADA",L1938="RETORNADA",L1938="ENTREGA DIGITAL"),0,MAX(0,5-NETWORKDAYS(H1938+1,TODAY()))))</f>
        <v/>
      </c>
      <c r="L1938" t="str">
        <f>IF(A1938="","",IFERROR(LOOKUP(2,1/(#REF!=Z1938),#REF!),Y1938))</f>
        <v/>
      </c>
      <c r="Z1938" t="str">
        <f>IF(A1938="","",TEXT(A1938,"0")&amp;"|"&amp;TEXT(H1938,"0"))</f>
        <v/>
      </c>
      <c r="AA1938" t="str">
        <f>IF(Z1938="","",IFERROR(LOOKUP(2,1/(#REF!=Z1938),#REF!),""))</f>
        <v/>
      </c>
      <c r="AB1938" t="str">
        <f>IF(Z1938="","",IFERROR(LOOKUP(2,1/(#REF!=Z1938),#REF!),""))</f>
        <v/>
      </c>
      <c r="AC1938" t="str">
        <f>IF(Z1938="","",COUNTIF(#REF!,Z1938))</f>
        <v/>
      </c>
      <c r="AD1938" t="str">
        <f>IF(A1938="","",IF(AC1938&gt;1,"REVISAR DUPLICADO",IF(AA1938&lt;&gt;"","ACTUALIZADO POR EYR","SIN REPORTE EYR")))</f>
        <v/>
      </c>
    </row>
    <row r="1939" spans="11:30" x14ac:dyDescent="0.3">
      <c r="K1939" s="1" t="str">
        <f ca="1">IF(A1939="","",IF(OR(L1939="ENTREGADA",L1939="RETORNADA",L1939="ENTREGA DIGITAL"),0,MAX(0,5-NETWORKDAYS(H1939+1,TODAY()))))</f>
        <v/>
      </c>
      <c r="L1939" t="str">
        <f>IF(A1939="","",IFERROR(LOOKUP(2,1/(#REF!=Z1939),#REF!),Y1939))</f>
        <v/>
      </c>
      <c r="Z1939" t="str">
        <f>IF(A1939="","",TEXT(A1939,"0")&amp;"|"&amp;TEXT(H1939,"0"))</f>
        <v/>
      </c>
      <c r="AA1939" t="str">
        <f>IF(Z1939="","",IFERROR(LOOKUP(2,1/(#REF!=Z1939),#REF!),""))</f>
        <v/>
      </c>
      <c r="AB1939" t="str">
        <f>IF(Z1939="","",IFERROR(LOOKUP(2,1/(#REF!=Z1939),#REF!),""))</f>
        <v/>
      </c>
      <c r="AC1939" t="str">
        <f>IF(Z1939="","",COUNTIF(#REF!,Z1939))</f>
        <v/>
      </c>
      <c r="AD1939" t="str">
        <f>IF(A1939="","",IF(AC1939&gt;1,"REVISAR DUPLICADO",IF(AA1939&lt;&gt;"","ACTUALIZADO POR EYR","SIN REPORTE EYR")))</f>
        <v/>
      </c>
    </row>
    <row r="1940" spans="11:30" x14ac:dyDescent="0.3">
      <c r="K1940" s="1" t="str">
        <f ca="1">IF(A1940="","",IF(OR(L1940="ENTREGADA",L1940="RETORNADA",L1940="ENTREGA DIGITAL"),0,MAX(0,5-NETWORKDAYS(H1940+1,TODAY()))))</f>
        <v/>
      </c>
      <c r="L1940" t="str">
        <f>IF(A1940="","",IFERROR(LOOKUP(2,1/(#REF!=Z1940),#REF!),Y1940))</f>
        <v/>
      </c>
      <c r="Z1940" t="str">
        <f>IF(A1940="","",TEXT(A1940,"0")&amp;"|"&amp;TEXT(H1940,"0"))</f>
        <v/>
      </c>
      <c r="AA1940" t="str">
        <f>IF(Z1940="","",IFERROR(LOOKUP(2,1/(#REF!=Z1940),#REF!),""))</f>
        <v/>
      </c>
      <c r="AB1940" t="str">
        <f>IF(Z1940="","",IFERROR(LOOKUP(2,1/(#REF!=Z1940),#REF!),""))</f>
        <v/>
      </c>
      <c r="AC1940" t="str">
        <f>IF(Z1940="","",COUNTIF(#REF!,Z1940))</f>
        <v/>
      </c>
      <c r="AD1940" t="str">
        <f>IF(A1940="","",IF(AC1940&gt;1,"REVISAR DUPLICADO",IF(AA1940&lt;&gt;"","ACTUALIZADO POR EYR","SIN REPORTE EYR")))</f>
        <v/>
      </c>
    </row>
    <row r="1941" spans="11:30" x14ac:dyDescent="0.3">
      <c r="K1941" s="1" t="str">
        <f ca="1">IF(A1941="","",IF(OR(L1941="ENTREGADA",L1941="RETORNADA",L1941="ENTREGA DIGITAL"),0,MAX(0,5-NETWORKDAYS(H1941+1,TODAY()))))</f>
        <v/>
      </c>
      <c r="L1941" t="str">
        <f>IF(A1941="","",IFERROR(LOOKUP(2,1/(#REF!=Z1941),#REF!),Y1941))</f>
        <v/>
      </c>
      <c r="Z1941" t="str">
        <f>IF(A1941="","",TEXT(A1941,"0")&amp;"|"&amp;TEXT(H1941,"0"))</f>
        <v/>
      </c>
      <c r="AA1941" t="str">
        <f>IF(Z1941="","",IFERROR(LOOKUP(2,1/(#REF!=Z1941),#REF!),""))</f>
        <v/>
      </c>
      <c r="AB1941" t="str">
        <f>IF(Z1941="","",IFERROR(LOOKUP(2,1/(#REF!=Z1941),#REF!),""))</f>
        <v/>
      </c>
      <c r="AC1941" t="str">
        <f>IF(Z1941="","",COUNTIF(#REF!,Z1941))</f>
        <v/>
      </c>
      <c r="AD1941" t="str">
        <f>IF(A1941="","",IF(AC1941&gt;1,"REVISAR DUPLICADO",IF(AA1941&lt;&gt;"","ACTUALIZADO POR EYR","SIN REPORTE EYR")))</f>
        <v/>
      </c>
    </row>
    <row r="1942" spans="11:30" x14ac:dyDescent="0.3">
      <c r="K1942" s="1" t="str">
        <f ca="1">IF(A1942="","",IF(OR(L1942="ENTREGADA",L1942="RETORNADA",L1942="ENTREGA DIGITAL"),0,MAX(0,5-NETWORKDAYS(H1942+1,TODAY()))))</f>
        <v/>
      </c>
      <c r="L1942" t="str">
        <f>IF(A1942="","",IFERROR(LOOKUP(2,1/(#REF!=Z1942),#REF!),Y1942))</f>
        <v/>
      </c>
      <c r="Z1942" t="str">
        <f>IF(A1942="","",TEXT(A1942,"0")&amp;"|"&amp;TEXT(H1942,"0"))</f>
        <v/>
      </c>
      <c r="AA1942" t="str">
        <f>IF(Z1942="","",IFERROR(LOOKUP(2,1/(#REF!=Z1942),#REF!),""))</f>
        <v/>
      </c>
      <c r="AB1942" t="str">
        <f>IF(Z1942="","",IFERROR(LOOKUP(2,1/(#REF!=Z1942),#REF!),""))</f>
        <v/>
      </c>
      <c r="AC1942" t="str">
        <f>IF(Z1942="","",COUNTIF(#REF!,Z1942))</f>
        <v/>
      </c>
      <c r="AD1942" t="str">
        <f>IF(A1942="","",IF(AC1942&gt;1,"REVISAR DUPLICADO",IF(AA1942&lt;&gt;"","ACTUALIZADO POR EYR","SIN REPORTE EYR")))</f>
        <v/>
      </c>
    </row>
    <row r="1943" spans="11:30" x14ac:dyDescent="0.3">
      <c r="K1943" s="1" t="str">
        <f ca="1">IF(A1943="","",IF(OR(L1943="ENTREGADA",L1943="RETORNADA",L1943="ENTREGA DIGITAL"),0,MAX(0,5-NETWORKDAYS(H1943+1,TODAY()))))</f>
        <v/>
      </c>
      <c r="L1943" t="str">
        <f>IF(A1943="","",IFERROR(LOOKUP(2,1/(#REF!=Z1943),#REF!),Y1943))</f>
        <v/>
      </c>
      <c r="Z1943" t="str">
        <f>IF(A1943="","",TEXT(A1943,"0")&amp;"|"&amp;TEXT(H1943,"0"))</f>
        <v/>
      </c>
      <c r="AA1943" t="str">
        <f>IF(Z1943="","",IFERROR(LOOKUP(2,1/(#REF!=Z1943),#REF!),""))</f>
        <v/>
      </c>
      <c r="AB1943" t="str">
        <f>IF(Z1943="","",IFERROR(LOOKUP(2,1/(#REF!=Z1943),#REF!),""))</f>
        <v/>
      </c>
      <c r="AC1943" t="str">
        <f>IF(Z1943="","",COUNTIF(#REF!,Z1943))</f>
        <v/>
      </c>
      <c r="AD1943" t="str">
        <f>IF(A1943="","",IF(AC1943&gt;1,"REVISAR DUPLICADO",IF(AA1943&lt;&gt;"","ACTUALIZADO POR EYR","SIN REPORTE EYR")))</f>
        <v/>
      </c>
    </row>
    <row r="1944" spans="11:30" x14ac:dyDescent="0.3">
      <c r="K1944" s="1" t="str">
        <f ca="1">IF(A1944="","",IF(OR(L1944="ENTREGADA",L1944="RETORNADA",L1944="ENTREGA DIGITAL"),0,MAX(0,5-NETWORKDAYS(H1944+1,TODAY()))))</f>
        <v/>
      </c>
      <c r="L1944" t="str">
        <f>IF(A1944="","",IFERROR(LOOKUP(2,1/(#REF!=Z1944),#REF!),Y1944))</f>
        <v/>
      </c>
      <c r="Z1944" t="str">
        <f>IF(A1944="","",TEXT(A1944,"0")&amp;"|"&amp;TEXT(H1944,"0"))</f>
        <v/>
      </c>
      <c r="AA1944" t="str">
        <f>IF(Z1944="","",IFERROR(LOOKUP(2,1/(#REF!=Z1944),#REF!),""))</f>
        <v/>
      </c>
      <c r="AB1944" t="str">
        <f>IF(Z1944="","",IFERROR(LOOKUP(2,1/(#REF!=Z1944),#REF!),""))</f>
        <v/>
      </c>
      <c r="AC1944" t="str">
        <f>IF(Z1944="","",COUNTIF(#REF!,Z1944))</f>
        <v/>
      </c>
      <c r="AD1944" t="str">
        <f>IF(A1944="","",IF(AC1944&gt;1,"REVISAR DUPLICADO",IF(AA1944&lt;&gt;"","ACTUALIZADO POR EYR","SIN REPORTE EYR")))</f>
        <v/>
      </c>
    </row>
    <row r="1945" spans="11:30" x14ac:dyDescent="0.3">
      <c r="K1945" s="1" t="str">
        <f ca="1">IF(A1945="","",IF(OR(L1945="ENTREGADA",L1945="RETORNADA",L1945="ENTREGA DIGITAL"),0,MAX(0,5-NETWORKDAYS(H1945+1,TODAY()))))</f>
        <v/>
      </c>
      <c r="L1945" t="str">
        <f>IF(A1945="","",IFERROR(LOOKUP(2,1/(#REF!=Z1945),#REF!),Y1945))</f>
        <v/>
      </c>
      <c r="Z1945" t="str">
        <f>IF(A1945="","",TEXT(A1945,"0")&amp;"|"&amp;TEXT(H1945,"0"))</f>
        <v/>
      </c>
      <c r="AA1945" t="str">
        <f>IF(Z1945="","",IFERROR(LOOKUP(2,1/(#REF!=Z1945),#REF!),""))</f>
        <v/>
      </c>
      <c r="AB1945" t="str">
        <f>IF(Z1945="","",IFERROR(LOOKUP(2,1/(#REF!=Z1945),#REF!),""))</f>
        <v/>
      </c>
      <c r="AC1945" t="str">
        <f>IF(Z1945="","",COUNTIF(#REF!,Z1945))</f>
        <v/>
      </c>
      <c r="AD1945" t="str">
        <f>IF(A1945="","",IF(AC1945&gt;1,"REVISAR DUPLICADO",IF(AA1945&lt;&gt;"","ACTUALIZADO POR EYR","SIN REPORTE EYR")))</f>
        <v/>
      </c>
    </row>
    <row r="1946" spans="11:30" x14ac:dyDescent="0.3">
      <c r="K1946" s="1" t="str">
        <f ca="1">IF(A1946="","",IF(OR(L1946="ENTREGADA",L1946="RETORNADA",L1946="ENTREGA DIGITAL"),0,MAX(0,5-NETWORKDAYS(H1946+1,TODAY()))))</f>
        <v/>
      </c>
      <c r="L1946" t="str">
        <f>IF(A1946="","",IFERROR(LOOKUP(2,1/(#REF!=Z1946),#REF!),Y1946))</f>
        <v/>
      </c>
      <c r="Z1946" t="str">
        <f>IF(A1946="","",TEXT(A1946,"0")&amp;"|"&amp;TEXT(H1946,"0"))</f>
        <v/>
      </c>
      <c r="AA1946" t="str">
        <f>IF(Z1946="","",IFERROR(LOOKUP(2,1/(#REF!=Z1946),#REF!),""))</f>
        <v/>
      </c>
      <c r="AB1946" t="str">
        <f>IF(Z1946="","",IFERROR(LOOKUP(2,1/(#REF!=Z1946),#REF!),""))</f>
        <v/>
      </c>
      <c r="AC1946" t="str">
        <f>IF(Z1946="","",COUNTIF(#REF!,Z1946))</f>
        <v/>
      </c>
      <c r="AD1946" t="str">
        <f>IF(A1946="","",IF(AC1946&gt;1,"REVISAR DUPLICADO",IF(AA1946&lt;&gt;"","ACTUALIZADO POR EYR","SIN REPORTE EYR")))</f>
        <v/>
      </c>
    </row>
    <row r="1947" spans="11:30" x14ac:dyDescent="0.3">
      <c r="K1947" s="1" t="str">
        <f ca="1">IF(A1947="","",IF(OR(L1947="ENTREGADA",L1947="RETORNADA",L1947="ENTREGA DIGITAL"),0,MAX(0,5-NETWORKDAYS(H1947+1,TODAY()))))</f>
        <v/>
      </c>
      <c r="L1947" t="str">
        <f>IF(A1947="","",IFERROR(LOOKUP(2,1/(#REF!=Z1947),#REF!),Y1947))</f>
        <v/>
      </c>
      <c r="Z1947" t="str">
        <f>IF(A1947="","",TEXT(A1947,"0")&amp;"|"&amp;TEXT(H1947,"0"))</f>
        <v/>
      </c>
      <c r="AA1947" t="str">
        <f>IF(Z1947="","",IFERROR(LOOKUP(2,1/(#REF!=Z1947),#REF!),""))</f>
        <v/>
      </c>
      <c r="AB1947" t="str">
        <f>IF(Z1947="","",IFERROR(LOOKUP(2,1/(#REF!=Z1947),#REF!),""))</f>
        <v/>
      </c>
      <c r="AC1947" t="str">
        <f>IF(Z1947="","",COUNTIF(#REF!,Z1947))</f>
        <v/>
      </c>
      <c r="AD1947" t="str">
        <f>IF(A1947="","",IF(AC1947&gt;1,"REVISAR DUPLICADO",IF(AA1947&lt;&gt;"","ACTUALIZADO POR EYR","SIN REPORTE EYR")))</f>
        <v/>
      </c>
    </row>
    <row r="1948" spans="11:30" x14ac:dyDescent="0.3">
      <c r="K1948" s="1" t="str">
        <f ca="1">IF(A1948="","",IF(OR(L1948="ENTREGADA",L1948="RETORNADA",L1948="ENTREGA DIGITAL"),0,MAX(0,5-NETWORKDAYS(H1948+1,TODAY()))))</f>
        <v/>
      </c>
      <c r="L1948" t="str">
        <f>IF(A1948="","",IFERROR(LOOKUP(2,1/(#REF!=Z1948),#REF!),Y1948))</f>
        <v/>
      </c>
      <c r="Z1948" t="str">
        <f>IF(A1948="","",TEXT(A1948,"0")&amp;"|"&amp;TEXT(H1948,"0"))</f>
        <v/>
      </c>
      <c r="AA1948" t="str">
        <f>IF(Z1948="","",IFERROR(LOOKUP(2,1/(#REF!=Z1948),#REF!),""))</f>
        <v/>
      </c>
      <c r="AB1948" t="str">
        <f>IF(Z1948="","",IFERROR(LOOKUP(2,1/(#REF!=Z1948),#REF!),""))</f>
        <v/>
      </c>
      <c r="AC1948" t="str">
        <f>IF(Z1948="","",COUNTIF(#REF!,Z1948))</f>
        <v/>
      </c>
      <c r="AD1948" t="str">
        <f>IF(A1948="","",IF(AC1948&gt;1,"REVISAR DUPLICADO",IF(AA1948&lt;&gt;"","ACTUALIZADO POR EYR","SIN REPORTE EYR")))</f>
        <v/>
      </c>
    </row>
    <row r="1949" spans="11:30" x14ac:dyDescent="0.3">
      <c r="K1949" s="1" t="str">
        <f ca="1">IF(A1949="","",IF(OR(L1949="ENTREGADA",L1949="RETORNADA",L1949="ENTREGA DIGITAL"),0,MAX(0,5-NETWORKDAYS(H1949+1,TODAY()))))</f>
        <v/>
      </c>
      <c r="L1949" t="str">
        <f>IF(A1949="","",IFERROR(LOOKUP(2,1/(#REF!=Z1949),#REF!),Y1949))</f>
        <v/>
      </c>
      <c r="Z1949" t="str">
        <f>IF(A1949="","",TEXT(A1949,"0")&amp;"|"&amp;TEXT(H1949,"0"))</f>
        <v/>
      </c>
      <c r="AA1949" t="str">
        <f>IF(Z1949="","",IFERROR(LOOKUP(2,1/(#REF!=Z1949),#REF!),""))</f>
        <v/>
      </c>
      <c r="AB1949" t="str">
        <f>IF(Z1949="","",IFERROR(LOOKUP(2,1/(#REF!=Z1949),#REF!),""))</f>
        <v/>
      </c>
      <c r="AC1949" t="str">
        <f>IF(Z1949="","",COUNTIF(#REF!,Z1949))</f>
        <v/>
      </c>
      <c r="AD1949" t="str">
        <f>IF(A1949="","",IF(AC1949&gt;1,"REVISAR DUPLICADO",IF(AA1949&lt;&gt;"","ACTUALIZADO POR EYR","SIN REPORTE EYR")))</f>
        <v/>
      </c>
    </row>
    <row r="1950" spans="11:30" x14ac:dyDescent="0.3">
      <c r="K1950" s="1" t="str">
        <f ca="1">IF(A1950="","",IF(OR(L1950="ENTREGADA",L1950="RETORNADA",L1950="ENTREGA DIGITAL"),0,MAX(0,5-NETWORKDAYS(H1950+1,TODAY()))))</f>
        <v/>
      </c>
      <c r="L1950" t="str">
        <f>IF(A1950="","",IFERROR(LOOKUP(2,1/(#REF!=Z1950),#REF!),Y1950))</f>
        <v/>
      </c>
      <c r="Z1950" t="str">
        <f>IF(A1950="","",TEXT(A1950,"0")&amp;"|"&amp;TEXT(H1950,"0"))</f>
        <v/>
      </c>
      <c r="AA1950" t="str">
        <f>IF(Z1950="","",IFERROR(LOOKUP(2,1/(#REF!=Z1950),#REF!),""))</f>
        <v/>
      </c>
      <c r="AB1950" t="str">
        <f>IF(Z1950="","",IFERROR(LOOKUP(2,1/(#REF!=Z1950),#REF!),""))</f>
        <v/>
      </c>
      <c r="AC1950" t="str">
        <f>IF(Z1950="","",COUNTIF(#REF!,Z1950))</f>
        <v/>
      </c>
      <c r="AD1950" t="str">
        <f>IF(A1950="","",IF(AC1950&gt;1,"REVISAR DUPLICADO",IF(AA1950&lt;&gt;"","ACTUALIZADO POR EYR","SIN REPORTE EYR")))</f>
        <v/>
      </c>
    </row>
    <row r="1951" spans="11:30" x14ac:dyDescent="0.3">
      <c r="K1951" s="1" t="str">
        <f ca="1">IF(A1951="","",IF(OR(L1951="ENTREGADA",L1951="RETORNADA",L1951="ENTREGA DIGITAL"),0,MAX(0,5-NETWORKDAYS(H1951+1,TODAY()))))</f>
        <v/>
      </c>
      <c r="L1951" t="str">
        <f>IF(A1951="","",IFERROR(LOOKUP(2,1/(#REF!=Z1951),#REF!),Y1951))</f>
        <v/>
      </c>
      <c r="Z1951" t="str">
        <f>IF(A1951="","",TEXT(A1951,"0")&amp;"|"&amp;TEXT(H1951,"0"))</f>
        <v/>
      </c>
      <c r="AA1951" t="str">
        <f>IF(Z1951="","",IFERROR(LOOKUP(2,1/(#REF!=Z1951),#REF!),""))</f>
        <v/>
      </c>
      <c r="AB1951" t="str">
        <f>IF(Z1951="","",IFERROR(LOOKUP(2,1/(#REF!=Z1951),#REF!),""))</f>
        <v/>
      </c>
      <c r="AC1951" t="str">
        <f>IF(Z1951="","",COUNTIF(#REF!,Z1951))</f>
        <v/>
      </c>
      <c r="AD1951" t="str">
        <f>IF(A1951="","",IF(AC1951&gt;1,"REVISAR DUPLICADO",IF(AA1951&lt;&gt;"","ACTUALIZADO POR EYR","SIN REPORTE EYR")))</f>
        <v/>
      </c>
    </row>
    <row r="1952" spans="11:30" x14ac:dyDescent="0.3">
      <c r="K1952" s="1" t="str">
        <f ca="1">IF(A1952="","",IF(OR(L1952="ENTREGADA",L1952="RETORNADA",L1952="ENTREGA DIGITAL"),0,MAX(0,5-NETWORKDAYS(H1952+1,TODAY()))))</f>
        <v/>
      </c>
      <c r="L1952" t="str">
        <f>IF(A1952="","",IFERROR(LOOKUP(2,1/(#REF!=Z1952),#REF!),Y1952))</f>
        <v/>
      </c>
      <c r="Z1952" t="str">
        <f>IF(A1952="","",TEXT(A1952,"0")&amp;"|"&amp;TEXT(H1952,"0"))</f>
        <v/>
      </c>
      <c r="AA1952" t="str">
        <f>IF(Z1952="","",IFERROR(LOOKUP(2,1/(#REF!=Z1952),#REF!),""))</f>
        <v/>
      </c>
      <c r="AB1952" t="str">
        <f>IF(Z1952="","",IFERROR(LOOKUP(2,1/(#REF!=Z1952),#REF!),""))</f>
        <v/>
      </c>
      <c r="AC1952" t="str">
        <f>IF(Z1952="","",COUNTIF(#REF!,Z1952))</f>
        <v/>
      </c>
      <c r="AD1952" t="str">
        <f>IF(A1952="","",IF(AC1952&gt;1,"REVISAR DUPLICADO",IF(AA1952&lt;&gt;"","ACTUALIZADO POR EYR","SIN REPORTE EYR")))</f>
        <v/>
      </c>
    </row>
    <row r="1953" spans="11:30" x14ac:dyDescent="0.3">
      <c r="K1953" s="1" t="str">
        <f ca="1">IF(A1953="","",IF(OR(L1953="ENTREGADA",L1953="RETORNADA",L1953="ENTREGA DIGITAL"),0,MAX(0,5-NETWORKDAYS(H1953+1,TODAY()))))</f>
        <v/>
      </c>
      <c r="L1953" t="str">
        <f>IF(A1953="","",IFERROR(LOOKUP(2,1/(#REF!=Z1953),#REF!),Y1953))</f>
        <v/>
      </c>
      <c r="Z1953" t="str">
        <f>IF(A1953="","",TEXT(A1953,"0")&amp;"|"&amp;TEXT(H1953,"0"))</f>
        <v/>
      </c>
      <c r="AA1953" t="str">
        <f>IF(Z1953="","",IFERROR(LOOKUP(2,1/(#REF!=Z1953),#REF!),""))</f>
        <v/>
      </c>
      <c r="AB1953" t="str">
        <f>IF(Z1953="","",IFERROR(LOOKUP(2,1/(#REF!=Z1953),#REF!),""))</f>
        <v/>
      </c>
      <c r="AC1953" t="str">
        <f>IF(Z1953="","",COUNTIF(#REF!,Z1953))</f>
        <v/>
      </c>
      <c r="AD1953" t="str">
        <f>IF(A1953="","",IF(AC1953&gt;1,"REVISAR DUPLICADO",IF(AA1953&lt;&gt;"","ACTUALIZADO POR EYR","SIN REPORTE EYR")))</f>
        <v/>
      </c>
    </row>
    <row r="1954" spans="11:30" x14ac:dyDescent="0.3">
      <c r="K1954" s="1" t="str">
        <f ca="1">IF(A1954="","",IF(OR(L1954="ENTREGADA",L1954="RETORNADA",L1954="ENTREGA DIGITAL"),0,MAX(0,5-NETWORKDAYS(H1954+1,TODAY()))))</f>
        <v/>
      </c>
      <c r="L1954" t="str">
        <f>IF(A1954="","",IFERROR(LOOKUP(2,1/(#REF!=Z1954),#REF!),Y1954))</f>
        <v/>
      </c>
      <c r="Z1954" t="str">
        <f>IF(A1954="","",TEXT(A1954,"0")&amp;"|"&amp;TEXT(H1954,"0"))</f>
        <v/>
      </c>
      <c r="AA1954" t="str">
        <f>IF(Z1954="","",IFERROR(LOOKUP(2,1/(#REF!=Z1954),#REF!),""))</f>
        <v/>
      </c>
      <c r="AB1954" t="str">
        <f>IF(Z1954="","",IFERROR(LOOKUP(2,1/(#REF!=Z1954),#REF!),""))</f>
        <v/>
      </c>
      <c r="AC1954" t="str">
        <f>IF(Z1954="","",COUNTIF(#REF!,Z1954))</f>
        <v/>
      </c>
      <c r="AD1954" t="str">
        <f>IF(A1954="","",IF(AC1954&gt;1,"REVISAR DUPLICADO",IF(AA1954&lt;&gt;"","ACTUALIZADO POR EYR","SIN REPORTE EYR")))</f>
        <v/>
      </c>
    </row>
    <row r="1955" spans="11:30" x14ac:dyDescent="0.3">
      <c r="K1955" s="1" t="str">
        <f ca="1">IF(A1955="","",IF(OR(L1955="ENTREGADA",L1955="RETORNADA",L1955="ENTREGA DIGITAL"),0,MAX(0,5-NETWORKDAYS(H1955+1,TODAY()))))</f>
        <v/>
      </c>
      <c r="L1955" t="str">
        <f>IF(A1955="","",IFERROR(LOOKUP(2,1/(#REF!=Z1955),#REF!),Y1955))</f>
        <v/>
      </c>
      <c r="Z1955" t="str">
        <f>IF(A1955="","",TEXT(A1955,"0")&amp;"|"&amp;TEXT(H1955,"0"))</f>
        <v/>
      </c>
      <c r="AA1955" t="str">
        <f>IF(Z1955="","",IFERROR(LOOKUP(2,1/(#REF!=Z1955),#REF!),""))</f>
        <v/>
      </c>
      <c r="AB1955" t="str">
        <f>IF(Z1955="","",IFERROR(LOOKUP(2,1/(#REF!=Z1955),#REF!),""))</f>
        <v/>
      </c>
      <c r="AC1955" t="str">
        <f>IF(Z1955="","",COUNTIF(#REF!,Z1955))</f>
        <v/>
      </c>
      <c r="AD1955" t="str">
        <f>IF(A1955="","",IF(AC1955&gt;1,"REVISAR DUPLICADO",IF(AA1955&lt;&gt;"","ACTUALIZADO POR EYR","SIN REPORTE EYR")))</f>
        <v/>
      </c>
    </row>
    <row r="1956" spans="11:30" x14ac:dyDescent="0.3">
      <c r="K1956" s="1" t="str">
        <f ca="1">IF(A1956="","",IF(OR(L1956="ENTREGADA",L1956="RETORNADA",L1956="ENTREGA DIGITAL"),0,MAX(0,5-NETWORKDAYS(H1956+1,TODAY()))))</f>
        <v/>
      </c>
      <c r="L1956" t="str">
        <f>IF(A1956="","",IFERROR(LOOKUP(2,1/(#REF!=Z1956),#REF!),Y1956))</f>
        <v/>
      </c>
      <c r="Z1956" t="str">
        <f>IF(A1956="","",TEXT(A1956,"0")&amp;"|"&amp;TEXT(H1956,"0"))</f>
        <v/>
      </c>
      <c r="AA1956" t="str">
        <f>IF(Z1956="","",IFERROR(LOOKUP(2,1/(#REF!=Z1956),#REF!),""))</f>
        <v/>
      </c>
      <c r="AB1956" t="str">
        <f>IF(Z1956="","",IFERROR(LOOKUP(2,1/(#REF!=Z1956),#REF!),""))</f>
        <v/>
      </c>
      <c r="AC1956" t="str">
        <f>IF(Z1956="","",COUNTIF(#REF!,Z1956))</f>
        <v/>
      </c>
      <c r="AD1956" t="str">
        <f>IF(A1956="","",IF(AC1956&gt;1,"REVISAR DUPLICADO",IF(AA1956&lt;&gt;"","ACTUALIZADO POR EYR","SIN REPORTE EYR")))</f>
        <v/>
      </c>
    </row>
    <row r="1957" spans="11:30" x14ac:dyDescent="0.3">
      <c r="K1957" s="1" t="str">
        <f ca="1">IF(A1957="","",IF(OR(L1957="ENTREGADA",L1957="RETORNADA",L1957="ENTREGA DIGITAL"),0,MAX(0,5-NETWORKDAYS(H1957+1,TODAY()))))</f>
        <v/>
      </c>
      <c r="L1957" t="str">
        <f>IF(A1957="","",IFERROR(LOOKUP(2,1/(#REF!=Z1957),#REF!),Y1957))</f>
        <v/>
      </c>
      <c r="Z1957" t="str">
        <f>IF(A1957="","",TEXT(A1957,"0")&amp;"|"&amp;TEXT(H1957,"0"))</f>
        <v/>
      </c>
      <c r="AA1957" t="str">
        <f>IF(Z1957="","",IFERROR(LOOKUP(2,1/(#REF!=Z1957),#REF!),""))</f>
        <v/>
      </c>
      <c r="AB1957" t="str">
        <f>IF(Z1957="","",IFERROR(LOOKUP(2,1/(#REF!=Z1957),#REF!),""))</f>
        <v/>
      </c>
      <c r="AC1957" t="str">
        <f>IF(Z1957="","",COUNTIF(#REF!,Z1957))</f>
        <v/>
      </c>
      <c r="AD1957" t="str">
        <f>IF(A1957="","",IF(AC1957&gt;1,"REVISAR DUPLICADO",IF(AA1957&lt;&gt;"","ACTUALIZADO POR EYR","SIN REPORTE EYR")))</f>
        <v/>
      </c>
    </row>
    <row r="1958" spans="11:30" x14ac:dyDescent="0.3">
      <c r="K1958" s="1" t="str">
        <f ca="1">IF(A1958="","",IF(OR(L1958="ENTREGADA",L1958="RETORNADA",L1958="ENTREGA DIGITAL"),0,MAX(0,5-NETWORKDAYS(H1958+1,TODAY()))))</f>
        <v/>
      </c>
      <c r="L1958" t="str">
        <f>IF(A1958="","",IFERROR(LOOKUP(2,1/(#REF!=Z1958),#REF!),Y1958))</f>
        <v/>
      </c>
      <c r="Z1958" t="str">
        <f>IF(A1958="","",TEXT(A1958,"0")&amp;"|"&amp;TEXT(H1958,"0"))</f>
        <v/>
      </c>
      <c r="AA1958" t="str">
        <f>IF(Z1958="","",IFERROR(LOOKUP(2,1/(#REF!=Z1958),#REF!),""))</f>
        <v/>
      </c>
      <c r="AB1958" t="str">
        <f>IF(Z1958="","",IFERROR(LOOKUP(2,1/(#REF!=Z1958),#REF!),""))</f>
        <v/>
      </c>
      <c r="AC1958" t="str">
        <f>IF(Z1958="","",COUNTIF(#REF!,Z1958))</f>
        <v/>
      </c>
      <c r="AD1958" t="str">
        <f>IF(A1958="","",IF(AC1958&gt;1,"REVISAR DUPLICADO",IF(AA1958&lt;&gt;"","ACTUALIZADO POR EYR","SIN REPORTE EYR")))</f>
        <v/>
      </c>
    </row>
    <row r="1959" spans="11:30" x14ac:dyDescent="0.3">
      <c r="K1959" s="1" t="str">
        <f ca="1">IF(A1959="","",IF(OR(L1959="ENTREGADA",L1959="RETORNADA",L1959="ENTREGA DIGITAL"),0,MAX(0,5-NETWORKDAYS(H1959+1,TODAY()))))</f>
        <v/>
      </c>
      <c r="L1959" t="str">
        <f>IF(A1959="","",IFERROR(LOOKUP(2,1/(#REF!=Z1959),#REF!),Y1959))</f>
        <v/>
      </c>
      <c r="Z1959" t="str">
        <f>IF(A1959="","",TEXT(A1959,"0")&amp;"|"&amp;TEXT(H1959,"0"))</f>
        <v/>
      </c>
      <c r="AA1959" t="str">
        <f>IF(Z1959="","",IFERROR(LOOKUP(2,1/(#REF!=Z1959),#REF!),""))</f>
        <v/>
      </c>
      <c r="AB1959" t="str">
        <f>IF(Z1959="","",IFERROR(LOOKUP(2,1/(#REF!=Z1959),#REF!),""))</f>
        <v/>
      </c>
      <c r="AC1959" t="str">
        <f>IF(Z1959="","",COUNTIF(#REF!,Z1959))</f>
        <v/>
      </c>
      <c r="AD1959" t="str">
        <f>IF(A1959="","",IF(AC1959&gt;1,"REVISAR DUPLICADO",IF(AA1959&lt;&gt;"","ACTUALIZADO POR EYR","SIN REPORTE EYR")))</f>
        <v/>
      </c>
    </row>
    <row r="1960" spans="11:30" x14ac:dyDescent="0.3">
      <c r="K1960" s="1" t="str">
        <f ca="1">IF(A1960="","",IF(OR(L1960="ENTREGADA",L1960="RETORNADA",L1960="ENTREGA DIGITAL"),0,MAX(0,5-NETWORKDAYS(H1960+1,TODAY()))))</f>
        <v/>
      </c>
      <c r="L1960" t="str">
        <f>IF(A1960="","",IFERROR(LOOKUP(2,1/(#REF!=Z1960),#REF!),Y1960))</f>
        <v/>
      </c>
      <c r="Z1960" t="str">
        <f>IF(A1960="","",TEXT(A1960,"0")&amp;"|"&amp;TEXT(H1960,"0"))</f>
        <v/>
      </c>
      <c r="AA1960" t="str">
        <f>IF(Z1960="","",IFERROR(LOOKUP(2,1/(#REF!=Z1960),#REF!),""))</f>
        <v/>
      </c>
      <c r="AB1960" t="str">
        <f>IF(Z1960="","",IFERROR(LOOKUP(2,1/(#REF!=Z1960),#REF!),""))</f>
        <v/>
      </c>
      <c r="AC1960" t="str">
        <f>IF(Z1960="","",COUNTIF(#REF!,Z1960))</f>
        <v/>
      </c>
      <c r="AD1960" t="str">
        <f>IF(A1960="","",IF(AC1960&gt;1,"REVISAR DUPLICADO",IF(AA1960&lt;&gt;"","ACTUALIZADO POR EYR","SIN REPORTE EYR")))</f>
        <v/>
      </c>
    </row>
    <row r="1961" spans="11:30" x14ac:dyDescent="0.3">
      <c r="K1961" s="1" t="str">
        <f ca="1">IF(A1961="","",IF(OR(L1961="ENTREGADA",L1961="RETORNADA",L1961="ENTREGA DIGITAL"),0,MAX(0,5-NETWORKDAYS(H1961+1,TODAY()))))</f>
        <v/>
      </c>
      <c r="L1961" t="str">
        <f>IF(A1961="","",IFERROR(LOOKUP(2,1/(#REF!=Z1961),#REF!),Y1961))</f>
        <v/>
      </c>
      <c r="Z1961" t="str">
        <f>IF(A1961="","",TEXT(A1961,"0")&amp;"|"&amp;TEXT(H1961,"0"))</f>
        <v/>
      </c>
      <c r="AA1961" t="str">
        <f>IF(Z1961="","",IFERROR(LOOKUP(2,1/(#REF!=Z1961),#REF!),""))</f>
        <v/>
      </c>
      <c r="AB1961" t="str">
        <f>IF(Z1961="","",IFERROR(LOOKUP(2,1/(#REF!=Z1961),#REF!),""))</f>
        <v/>
      </c>
      <c r="AC1961" t="str">
        <f>IF(Z1961="","",COUNTIF(#REF!,Z1961))</f>
        <v/>
      </c>
      <c r="AD1961" t="str">
        <f>IF(A1961="","",IF(AC1961&gt;1,"REVISAR DUPLICADO",IF(AA1961&lt;&gt;"","ACTUALIZADO POR EYR","SIN REPORTE EYR")))</f>
        <v/>
      </c>
    </row>
    <row r="1962" spans="11:30" x14ac:dyDescent="0.3">
      <c r="K1962" s="1" t="str">
        <f ca="1">IF(A1962="","",IF(OR(L1962="ENTREGADA",L1962="RETORNADA",L1962="ENTREGA DIGITAL"),0,MAX(0,5-NETWORKDAYS(H1962+1,TODAY()))))</f>
        <v/>
      </c>
      <c r="L1962" t="str">
        <f>IF(A1962="","",IFERROR(LOOKUP(2,1/(#REF!=Z1962),#REF!),Y1962))</f>
        <v/>
      </c>
      <c r="Z1962" t="str">
        <f>IF(A1962="","",TEXT(A1962,"0")&amp;"|"&amp;TEXT(H1962,"0"))</f>
        <v/>
      </c>
      <c r="AA1962" t="str">
        <f>IF(Z1962="","",IFERROR(LOOKUP(2,1/(#REF!=Z1962),#REF!),""))</f>
        <v/>
      </c>
      <c r="AB1962" t="str">
        <f>IF(Z1962="","",IFERROR(LOOKUP(2,1/(#REF!=Z1962),#REF!),""))</f>
        <v/>
      </c>
      <c r="AC1962" t="str">
        <f>IF(Z1962="","",COUNTIF(#REF!,Z1962))</f>
        <v/>
      </c>
      <c r="AD1962" t="str">
        <f>IF(A1962="","",IF(AC1962&gt;1,"REVISAR DUPLICADO",IF(AA1962&lt;&gt;"","ACTUALIZADO POR EYR","SIN REPORTE EYR")))</f>
        <v/>
      </c>
    </row>
    <row r="1963" spans="11:30" x14ac:dyDescent="0.3">
      <c r="K1963" s="1" t="str">
        <f ca="1">IF(A1963="","",IF(OR(L1963="ENTREGADA",L1963="RETORNADA",L1963="ENTREGA DIGITAL"),0,MAX(0,5-NETWORKDAYS(H1963+1,TODAY()))))</f>
        <v/>
      </c>
      <c r="L1963" t="str">
        <f>IF(A1963="","",IFERROR(LOOKUP(2,1/(#REF!=Z1963),#REF!),Y1963))</f>
        <v/>
      </c>
      <c r="Z1963" t="str">
        <f>IF(A1963="","",TEXT(A1963,"0")&amp;"|"&amp;TEXT(H1963,"0"))</f>
        <v/>
      </c>
      <c r="AA1963" t="str">
        <f>IF(Z1963="","",IFERROR(LOOKUP(2,1/(#REF!=Z1963),#REF!),""))</f>
        <v/>
      </c>
      <c r="AB1963" t="str">
        <f>IF(Z1963="","",IFERROR(LOOKUP(2,1/(#REF!=Z1963),#REF!),""))</f>
        <v/>
      </c>
      <c r="AC1963" t="str">
        <f>IF(Z1963="","",COUNTIF(#REF!,Z1963))</f>
        <v/>
      </c>
      <c r="AD1963" t="str">
        <f>IF(A1963="","",IF(AC1963&gt;1,"REVISAR DUPLICADO",IF(AA1963&lt;&gt;"","ACTUALIZADO POR EYR","SIN REPORTE EYR")))</f>
        <v/>
      </c>
    </row>
    <row r="1964" spans="11:30" x14ac:dyDescent="0.3">
      <c r="K1964" s="1" t="str">
        <f ca="1">IF(A1964="","",IF(OR(L1964="ENTREGADA",L1964="RETORNADA",L1964="ENTREGA DIGITAL"),0,MAX(0,5-NETWORKDAYS(H1964+1,TODAY()))))</f>
        <v/>
      </c>
      <c r="L1964" t="str">
        <f>IF(A1964="","",IFERROR(LOOKUP(2,1/(#REF!=Z1964),#REF!),Y1964))</f>
        <v/>
      </c>
      <c r="Z1964" t="str">
        <f>IF(A1964="","",TEXT(A1964,"0")&amp;"|"&amp;TEXT(H1964,"0"))</f>
        <v/>
      </c>
      <c r="AA1964" t="str">
        <f>IF(Z1964="","",IFERROR(LOOKUP(2,1/(#REF!=Z1964),#REF!),""))</f>
        <v/>
      </c>
      <c r="AB1964" t="str">
        <f>IF(Z1964="","",IFERROR(LOOKUP(2,1/(#REF!=Z1964),#REF!),""))</f>
        <v/>
      </c>
      <c r="AC1964" t="str">
        <f>IF(Z1964="","",COUNTIF(#REF!,Z1964))</f>
        <v/>
      </c>
      <c r="AD1964" t="str">
        <f>IF(A1964="","",IF(AC1964&gt;1,"REVISAR DUPLICADO",IF(AA1964&lt;&gt;"","ACTUALIZADO POR EYR","SIN REPORTE EYR")))</f>
        <v/>
      </c>
    </row>
    <row r="1965" spans="11:30" x14ac:dyDescent="0.3">
      <c r="K1965" s="1" t="str">
        <f ca="1">IF(A1965="","",IF(OR(L1965="ENTREGADA",L1965="RETORNADA",L1965="ENTREGA DIGITAL"),0,MAX(0,5-NETWORKDAYS(H1965+1,TODAY()))))</f>
        <v/>
      </c>
      <c r="L1965" t="str">
        <f>IF(A1965="","",IFERROR(LOOKUP(2,1/(#REF!=Z1965),#REF!),Y1965))</f>
        <v/>
      </c>
      <c r="Z1965" t="str">
        <f>IF(A1965="","",TEXT(A1965,"0")&amp;"|"&amp;TEXT(H1965,"0"))</f>
        <v/>
      </c>
      <c r="AA1965" t="str">
        <f>IF(Z1965="","",IFERROR(LOOKUP(2,1/(#REF!=Z1965),#REF!),""))</f>
        <v/>
      </c>
      <c r="AB1965" t="str">
        <f>IF(Z1965="","",IFERROR(LOOKUP(2,1/(#REF!=Z1965),#REF!),""))</f>
        <v/>
      </c>
      <c r="AC1965" t="str">
        <f>IF(Z1965="","",COUNTIF(#REF!,Z1965))</f>
        <v/>
      </c>
      <c r="AD1965" t="str">
        <f>IF(A1965="","",IF(AC1965&gt;1,"REVISAR DUPLICADO",IF(AA1965&lt;&gt;"","ACTUALIZADO POR EYR","SIN REPORTE EYR")))</f>
        <v/>
      </c>
    </row>
    <row r="1966" spans="11:30" x14ac:dyDescent="0.3">
      <c r="K1966" s="1" t="str">
        <f ca="1">IF(A1966="","",IF(OR(L1966="ENTREGADA",L1966="RETORNADA",L1966="ENTREGA DIGITAL"),0,MAX(0,5-NETWORKDAYS(H1966+1,TODAY()))))</f>
        <v/>
      </c>
      <c r="L1966" t="str">
        <f>IF(A1966="","",IFERROR(LOOKUP(2,1/(#REF!=Z1966),#REF!),Y1966))</f>
        <v/>
      </c>
      <c r="Z1966" t="str">
        <f>IF(A1966="","",TEXT(A1966,"0")&amp;"|"&amp;TEXT(H1966,"0"))</f>
        <v/>
      </c>
      <c r="AA1966" t="str">
        <f>IF(Z1966="","",IFERROR(LOOKUP(2,1/(#REF!=Z1966),#REF!),""))</f>
        <v/>
      </c>
      <c r="AB1966" t="str">
        <f>IF(Z1966="","",IFERROR(LOOKUP(2,1/(#REF!=Z1966),#REF!),""))</f>
        <v/>
      </c>
      <c r="AC1966" t="str">
        <f>IF(Z1966="","",COUNTIF(#REF!,Z1966))</f>
        <v/>
      </c>
      <c r="AD1966" t="str">
        <f>IF(A1966="","",IF(AC1966&gt;1,"REVISAR DUPLICADO",IF(AA1966&lt;&gt;"","ACTUALIZADO POR EYR","SIN REPORTE EYR")))</f>
        <v/>
      </c>
    </row>
    <row r="1967" spans="11:30" x14ac:dyDescent="0.3">
      <c r="K1967" s="1" t="str">
        <f ca="1">IF(A1967="","",IF(OR(L1967="ENTREGADA",L1967="RETORNADA",L1967="ENTREGA DIGITAL"),0,MAX(0,5-NETWORKDAYS(H1967+1,TODAY()))))</f>
        <v/>
      </c>
      <c r="L1967" t="str">
        <f>IF(A1967="","",IFERROR(LOOKUP(2,1/(#REF!=Z1967),#REF!),Y1967))</f>
        <v/>
      </c>
      <c r="Z1967" t="str">
        <f>IF(A1967="","",TEXT(A1967,"0")&amp;"|"&amp;TEXT(H1967,"0"))</f>
        <v/>
      </c>
      <c r="AA1967" t="str">
        <f>IF(Z1967="","",IFERROR(LOOKUP(2,1/(#REF!=Z1967),#REF!),""))</f>
        <v/>
      </c>
      <c r="AB1967" t="str">
        <f>IF(Z1967="","",IFERROR(LOOKUP(2,1/(#REF!=Z1967),#REF!),""))</f>
        <v/>
      </c>
      <c r="AC1967" t="str">
        <f>IF(Z1967="","",COUNTIF(#REF!,Z1967))</f>
        <v/>
      </c>
      <c r="AD1967" t="str">
        <f>IF(A1967="","",IF(AC1967&gt;1,"REVISAR DUPLICADO",IF(AA1967&lt;&gt;"","ACTUALIZADO POR EYR","SIN REPORTE EYR")))</f>
        <v/>
      </c>
    </row>
    <row r="1968" spans="11:30" x14ac:dyDescent="0.3">
      <c r="K1968" s="1" t="str">
        <f ca="1">IF(A1968="","",IF(OR(L1968="ENTREGADA",L1968="RETORNADA",L1968="ENTREGA DIGITAL"),0,MAX(0,5-NETWORKDAYS(H1968+1,TODAY()))))</f>
        <v/>
      </c>
      <c r="L1968" t="str">
        <f>IF(A1968="","",IFERROR(LOOKUP(2,1/(#REF!=Z1968),#REF!),Y1968))</f>
        <v/>
      </c>
      <c r="Z1968" t="str">
        <f>IF(A1968="","",TEXT(A1968,"0")&amp;"|"&amp;TEXT(H1968,"0"))</f>
        <v/>
      </c>
      <c r="AA1968" t="str">
        <f>IF(Z1968="","",IFERROR(LOOKUP(2,1/(#REF!=Z1968),#REF!),""))</f>
        <v/>
      </c>
      <c r="AB1968" t="str">
        <f>IF(Z1968="","",IFERROR(LOOKUP(2,1/(#REF!=Z1968),#REF!),""))</f>
        <v/>
      </c>
      <c r="AC1968" t="str">
        <f>IF(Z1968="","",COUNTIF(#REF!,Z1968))</f>
        <v/>
      </c>
      <c r="AD1968" t="str">
        <f>IF(A1968="","",IF(AC1968&gt;1,"REVISAR DUPLICADO",IF(AA1968&lt;&gt;"","ACTUALIZADO POR EYR","SIN REPORTE EYR")))</f>
        <v/>
      </c>
    </row>
    <row r="1969" spans="11:30" x14ac:dyDescent="0.3">
      <c r="K1969" s="1" t="str">
        <f ca="1">IF(A1969="","",IF(OR(L1969="ENTREGADA",L1969="RETORNADA",L1969="ENTREGA DIGITAL"),0,MAX(0,5-NETWORKDAYS(H1969+1,TODAY()))))</f>
        <v/>
      </c>
      <c r="L1969" t="str">
        <f>IF(A1969="","",IFERROR(LOOKUP(2,1/(#REF!=Z1969),#REF!),Y1969))</f>
        <v/>
      </c>
      <c r="Z1969" t="str">
        <f>IF(A1969="","",TEXT(A1969,"0")&amp;"|"&amp;TEXT(H1969,"0"))</f>
        <v/>
      </c>
      <c r="AA1969" t="str">
        <f>IF(Z1969="","",IFERROR(LOOKUP(2,1/(#REF!=Z1969),#REF!),""))</f>
        <v/>
      </c>
      <c r="AB1969" t="str">
        <f>IF(Z1969="","",IFERROR(LOOKUP(2,1/(#REF!=Z1969),#REF!),""))</f>
        <v/>
      </c>
      <c r="AC1969" t="str">
        <f>IF(Z1969="","",COUNTIF(#REF!,Z1969))</f>
        <v/>
      </c>
      <c r="AD1969" t="str">
        <f>IF(A1969="","",IF(AC1969&gt;1,"REVISAR DUPLICADO",IF(AA1969&lt;&gt;"","ACTUALIZADO POR EYR","SIN REPORTE EYR")))</f>
        <v/>
      </c>
    </row>
    <row r="1970" spans="11:30" x14ac:dyDescent="0.3">
      <c r="K1970" s="1" t="str">
        <f ca="1">IF(A1970="","",IF(OR(L1970="ENTREGADA",L1970="RETORNADA",L1970="ENTREGA DIGITAL"),0,MAX(0,5-NETWORKDAYS(H1970+1,TODAY()))))</f>
        <v/>
      </c>
      <c r="L1970" t="str">
        <f>IF(A1970="","",IFERROR(LOOKUP(2,1/(#REF!=Z1970),#REF!),Y1970))</f>
        <v/>
      </c>
      <c r="Z1970" t="str">
        <f>IF(A1970="","",TEXT(A1970,"0")&amp;"|"&amp;TEXT(H1970,"0"))</f>
        <v/>
      </c>
      <c r="AA1970" t="str">
        <f>IF(Z1970="","",IFERROR(LOOKUP(2,1/(#REF!=Z1970),#REF!),""))</f>
        <v/>
      </c>
      <c r="AB1970" t="str">
        <f>IF(Z1970="","",IFERROR(LOOKUP(2,1/(#REF!=Z1970),#REF!),""))</f>
        <v/>
      </c>
      <c r="AC1970" t="str">
        <f>IF(Z1970="","",COUNTIF(#REF!,Z1970))</f>
        <v/>
      </c>
      <c r="AD1970" t="str">
        <f>IF(A1970="","",IF(AC1970&gt;1,"REVISAR DUPLICADO",IF(AA1970&lt;&gt;"","ACTUALIZADO POR EYR","SIN REPORTE EYR")))</f>
        <v/>
      </c>
    </row>
    <row r="1971" spans="11:30" x14ac:dyDescent="0.3">
      <c r="K1971" s="1" t="str">
        <f ca="1">IF(A1971="","",IF(OR(L1971="ENTREGADA",L1971="RETORNADA",L1971="ENTREGA DIGITAL"),0,MAX(0,5-NETWORKDAYS(H1971+1,TODAY()))))</f>
        <v/>
      </c>
      <c r="L1971" t="str">
        <f>IF(A1971="","",IFERROR(LOOKUP(2,1/(#REF!=Z1971),#REF!),Y1971))</f>
        <v/>
      </c>
      <c r="Z1971" t="str">
        <f>IF(A1971="","",TEXT(A1971,"0")&amp;"|"&amp;TEXT(H1971,"0"))</f>
        <v/>
      </c>
      <c r="AA1971" t="str">
        <f>IF(Z1971="","",IFERROR(LOOKUP(2,1/(#REF!=Z1971),#REF!),""))</f>
        <v/>
      </c>
      <c r="AB1971" t="str">
        <f>IF(Z1971="","",IFERROR(LOOKUP(2,1/(#REF!=Z1971),#REF!),""))</f>
        <v/>
      </c>
      <c r="AC1971" t="str">
        <f>IF(Z1971="","",COUNTIF(#REF!,Z1971))</f>
        <v/>
      </c>
      <c r="AD1971" t="str">
        <f>IF(A1971="","",IF(AC1971&gt;1,"REVISAR DUPLICADO",IF(AA1971&lt;&gt;"","ACTUALIZADO POR EYR","SIN REPORTE EYR")))</f>
        <v/>
      </c>
    </row>
    <row r="1972" spans="11:30" x14ac:dyDescent="0.3">
      <c r="K1972" s="1" t="str">
        <f ca="1">IF(A1972="","",IF(OR(L1972="ENTREGADA",L1972="RETORNADA",L1972="ENTREGA DIGITAL"),0,MAX(0,5-NETWORKDAYS(H1972+1,TODAY()))))</f>
        <v/>
      </c>
      <c r="L1972" t="str">
        <f>IF(A1972="","",IFERROR(LOOKUP(2,1/(#REF!=Z1972),#REF!),Y1972))</f>
        <v/>
      </c>
      <c r="Z1972" t="str">
        <f>IF(A1972="","",TEXT(A1972,"0")&amp;"|"&amp;TEXT(H1972,"0"))</f>
        <v/>
      </c>
      <c r="AA1972" t="str">
        <f>IF(Z1972="","",IFERROR(LOOKUP(2,1/(#REF!=Z1972),#REF!),""))</f>
        <v/>
      </c>
      <c r="AB1972" t="str">
        <f>IF(Z1972="","",IFERROR(LOOKUP(2,1/(#REF!=Z1972),#REF!),""))</f>
        <v/>
      </c>
      <c r="AC1972" t="str">
        <f>IF(Z1972="","",COUNTIF(#REF!,Z1972))</f>
        <v/>
      </c>
      <c r="AD1972" t="str">
        <f>IF(A1972="","",IF(AC1972&gt;1,"REVISAR DUPLICADO",IF(AA1972&lt;&gt;"","ACTUALIZADO POR EYR","SIN REPORTE EYR")))</f>
        <v/>
      </c>
    </row>
    <row r="1973" spans="11:30" x14ac:dyDescent="0.3">
      <c r="K1973" s="1" t="str">
        <f ca="1">IF(A1973="","",IF(OR(L1973="ENTREGADA",L1973="RETORNADA",L1973="ENTREGA DIGITAL"),0,MAX(0,5-NETWORKDAYS(H1973+1,TODAY()))))</f>
        <v/>
      </c>
      <c r="L1973" t="str">
        <f>IF(A1973="","",IFERROR(LOOKUP(2,1/(#REF!=Z1973),#REF!),Y1973))</f>
        <v/>
      </c>
      <c r="Z1973" t="str">
        <f>IF(A1973="","",TEXT(A1973,"0")&amp;"|"&amp;TEXT(H1973,"0"))</f>
        <v/>
      </c>
      <c r="AA1973" t="str">
        <f>IF(Z1973="","",IFERROR(LOOKUP(2,1/(#REF!=Z1973),#REF!),""))</f>
        <v/>
      </c>
      <c r="AB1973" t="str">
        <f>IF(Z1973="","",IFERROR(LOOKUP(2,1/(#REF!=Z1973),#REF!),""))</f>
        <v/>
      </c>
      <c r="AC1973" t="str">
        <f>IF(Z1973="","",COUNTIF(#REF!,Z1973))</f>
        <v/>
      </c>
      <c r="AD1973" t="str">
        <f>IF(A1973="","",IF(AC1973&gt;1,"REVISAR DUPLICADO",IF(AA1973&lt;&gt;"","ACTUALIZADO POR EYR","SIN REPORTE EYR")))</f>
        <v/>
      </c>
    </row>
    <row r="1974" spans="11:30" x14ac:dyDescent="0.3">
      <c r="K1974" s="1" t="str">
        <f ca="1">IF(A1974="","",IF(OR(L1974="ENTREGADA",L1974="RETORNADA",L1974="ENTREGA DIGITAL"),0,MAX(0,5-NETWORKDAYS(H1974+1,TODAY()))))</f>
        <v/>
      </c>
      <c r="L1974" t="str">
        <f>IF(A1974="","",IFERROR(LOOKUP(2,1/(#REF!=Z1974),#REF!),Y1974))</f>
        <v/>
      </c>
      <c r="Z1974" t="str">
        <f>IF(A1974="","",TEXT(A1974,"0")&amp;"|"&amp;TEXT(H1974,"0"))</f>
        <v/>
      </c>
      <c r="AA1974" t="str">
        <f>IF(Z1974="","",IFERROR(LOOKUP(2,1/(#REF!=Z1974),#REF!),""))</f>
        <v/>
      </c>
      <c r="AB1974" t="str">
        <f>IF(Z1974="","",IFERROR(LOOKUP(2,1/(#REF!=Z1974),#REF!),""))</f>
        <v/>
      </c>
      <c r="AC1974" t="str">
        <f>IF(Z1974="","",COUNTIF(#REF!,Z1974))</f>
        <v/>
      </c>
      <c r="AD1974" t="str">
        <f>IF(A1974="","",IF(AC1974&gt;1,"REVISAR DUPLICADO",IF(AA1974&lt;&gt;"","ACTUALIZADO POR EYR","SIN REPORTE EYR")))</f>
        <v/>
      </c>
    </row>
    <row r="1975" spans="11:30" x14ac:dyDescent="0.3">
      <c r="K1975" s="1" t="str">
        <f ca="1">IF(A1975="","",IF(OR(L1975="ENTREGADA",L1975="RETORNADA",L1975="ENTREGA DIGITAL"),0,MAX(0,5-NETWORKDAYS(H1975+1,TODAY()))))</f>
        <v/>
      </c>
      <c r="L1975" t="str">
        <f>IF(A1975="","",IFERROR(LOOKUP(2,1/(#REF!=Z1975),#REF!),Y1975))</f>
        <v/>
      </c>
      <c r="Z1975" t="str">
        <f>IF(A1975="","",TEXT(A1975,"0")&amp;"|"&amp;TEXT(H1975,"0"))</f>
        <v/>
      </c>
      <c r="AA1975" t="str">
        <f>IF(Z1975="","",IFERROR(LOOKUP(2,1/(#REF!=Z1975),#REF!),""))</f>
        <v/>
      </c>
      <c r="AB1975" t="str">
        <f>IF(Z1975="","",IFERROR(LOOKUP(2,1/(#REF!=Z1975),#REF!),""))</f>
        <v/>
      </c>
      <c r="AC1975" t="str">
        <f>IF(Z1975="","",COUNTIF(#REF!,Z1975))</f>
        <v/>
      </c>
      <c r="AD1975" t="str">
        <f>IF(A1975="","",IF(AC1975&gt;1,"REVISAR DUPLICADO",IF(AA1975&lt;&gt;"","ACTUALIZADO POR EYR","SIN REPORTE EYR")))</f>
        <v/>
      </c>
    </row>
    <row r="1976" spans="11:30" x14ac:dyDescent="0.3">
      <c r="K1976" s="1" t="str">
        <f ca="1">IF(A1976="","",IF(OR(L1976="ENTREGADA",L1976="RETORNADA",L1976="ENTREGA DIGITAL"),0,MAX(0,5-NETWORKDAYS(H1976+1,TODAY()))))</f>
        <v/>
      </c>
      <c r="L1976" t="str">
        <f>IF(A1976="","",IFERROR(LOOKUP(2,1/(#REF!=Z1976),#REF!),Y1976))</f>
        <v/>
      </c>
      <c r="Z1976" t="str">
        <f>IF(A1976="","",TEXT(A1976,"0")&amp;"|"&amp;TEXT(H1976,"0"))</f>
        <v/>
      </c>
      <c r="AA1976" t="str">
        <f>IF(Z1976="","",IFERROR(LOOKUP(2,1/(#REF!=Z1976),#REF!),""))</f>
        <v/>
      </c>
      <c r="AB1976" t="str">
        <f>IF(Z1976="","",IFERROR(LOOKUP(2,1/(#REF!=Z1976),#REF!),""))</f>
        <v/>
      </c>
      <c r="AC1976" t="str">
        <f>IF(Z1976="","",COUNTIF(#REF!,Z1976))</f>
        <v/>
      </c>
      <c r="AD1976" t="str">
        <f>IF(A1976="","",IF(AC1976&gt;1,"REVISAR DUPLICADO",IF(AA1976&lt;&gt;"","ACTUALIZADO POR EYR","SIN REPORTE EYR")))</f>
        <v/>
      </c>
    </row>
    <row r="1977" spans="11:30" x14ac:dyDescent="0.3">
      <c r="K1977" s="1" t="str">
        <f ca="1">IF(A1977="","",IF(OR(L1977="ENTREGADA",L1977="RETORNADA",L1977="ENTREGA DIGITAL"),0,MAX(0,5-NETWORKDAYS(H1977+1,TODAY()))))</f>
        <v/>
      </c>
      <c r="L1977" t="str">
        <f>IF(A1977="","",IFERROR(LOOKUP(2,1/(#REF!=Z1977),#REF!),Y1977))</f>
        <v/>
      </c>
      <c r="Z1977" t="str">
        <f>IF(A1977="","",TEXT(A1977,"0")&amp;"|"&amp;TEXT(H1977,"0"))</f>
        <v/>
      </c>
      <c r="AA1977" t="str">
        <f>IF(Z1977="","",IFERROR(LOOKUP(2,1/(#REF!=Z1977),#REF!),""))</f>
        <v/>
      </c>
      <c r="AB1977" t="str">
        <f>IF(Z1977="","",IFERROR(LOOKUP(2,1/(#REF!=Z1977),#REF!),""))</f>
        <v/>
      </c>
      <c r="AC1977" t="str">
        <f>IF(Z1977="","",COUNTIF(#REF!,Z1977))</f>
        <v/>
      </c>
      <c r="AD1977" t="str">
        <f>IF(A1977="","",IF(AC1977&gt;1,"REVISAR DUPLICADO",IF(AA1977&lt;&gt;"","ACTUALIZADO POR EYR","SIN REPORTE EYR")))</f>
        <v/>
      </c>
    </row>
    <row r="1978" spans="11:30" x14ac:dyDescent="0.3">
      <c r="K1978" s="1" t="str">
        <f ca="1">IF(A1978="","",IF(OR(L1978="ENTREGADA",L1978="RETORNADA",L1978="ENTREGA DIGITAL"),0,MAX(0,5-NETWORKDAYS(H1978+1,TODAY()))))</f>
        <v/>
      </c>
      <c r="L1978" t="str">
        <f>IF(A1978="","",IFERROR(LOOKUP(2,1/(#REF!=Z1978),#REF!),Y1978))</f>
        <v/>
      </c>
      <c r="Z1978" t="str">
        <f>IF(A1978="","",TEXT(A1978,"0")&amp;"|"&amp;TEXT(H1978,"0"))</f>
        <v/>
      </c>
      <c r="AA1978" t="str">
        <f>IF(Z1978="","",IFERROR(LOOKUP(2,1/(#REF!=Z1978),#REF!),""))</f>
        <v/>
      </c>
      <c r="AB1978" t="str">
        <f>IF(Z1978="","",IFERROR(LOOKUP(2,1/(#REF!=Z1978),#REF!),""))</f>
        <v/>
      </c>
      <c r="AC1978" t="str">
        <f>IF(Z1978="","",COUNTIF(#REF!,Z1978))</f>
        <v/>
      </c>
      <c r="AD1978" t="str">
        <f>IF(A1978="","",IF(AC1978&gt;1,"REVISAR DUPLICADO",IF(AA1978&lt;&gt;"","ACTUALIZADO POR EYR","SIN REPORTE EYR")))</f>
        <v/>
      </c>
    </row>
    <row r="1979" spans="11:30" x14ac:dyDescent="0.3">
      <c r="K1979" s="1" t="str">
        <f ca="1">IF(A1979="","",IF(OR(L1979="ENTREGADA",L1979="RETORNADA",L1979="ENTREGA DIGITAL"),0,MAX(0,5-NETWORKDAYS(H1979+1,TODAY()))))</f>
        <v/>
      </c>
      <c r="L1979" t="str">
        <f>IF(A1979="","",IFERROR(LOOKUP(2,1/(#REF!=Z1979),#REF!),Y1979))</f>
        <v/>
      </c>
      <c r="Z1979" t="str">
        <f>IF(A1979="","",TEXT(A1979,"0")&amp;"|"&amp;TEXT(H1979,"0"))</f>
        <v/>
      </c>
      <c r="AA1979" t="str">
        <f>IF(Z1979="","",IFERROR(LOOKUP(2,1/(#REF!=Z1979),#REF!),""))</f>
        <v/>
      </c>
      <c r="AB1979" t="str">
        <f>IF(Z1979="","",IFERROR(LOOKUP(2,1/(#REF!=Z1979),#REF!),""))</f>
        <v/>
      </c>
      <c r="AC1979" t="str">
        <f>IF(Z1979="","",COUNTIF(#REF!,Z1979))</f>
        <v/>
      </c>
      <c r="AD1979" t="str">
        <f>IF(A1979="","",IF(AC1979&gt;1,"REVISAR DUPLICADO",IF(AA1979&lt;&gt;"","ACTUALIZADO POR EYR","SIN REPORTE EYR")))</f>
        <v/>
      </c>
    </row>
    <row r="1980" spans="11:30" x14ac:dyDescent="0.3">
      <c r="K1980" s="1" t="str">
        <f ca="1">IF(A1980="","",IF(OR(L1980="ENTREGADA",L1980="RETORNADA",L1980="ENTREGA DIGITAL"),0,MAX(0,5-NETWORKDAYS(H1980+1,TODAY()))))</f>
        <v/>
      </c>
      <c r="L1980" t="str">
        <f>IF(A1980="","",IFERROR(LOOKUP(2,1/(#REF!=Z1980),#REF!),Y1980))</f>
        <v/>
      </c>
      <c r="Z1980" t="str">
        <f>IF(A1980="","",TEXT(A1980,"0")&amp;"|"&amp;TEXT(H1980,"0"))</f>
        <v/>
      </c>
      <c r="AA1980" t="str">
        <f>IF(Z1980="","",IFERROR(LOOKUP(2,1/(#REF!=Z1980),#REF!),""))</f>
        <v/>
      </c>
      <c r="AB1980" t="str">
        <f>IF(Z1980="","",IFERROR(LOOKUP(2,1/(#REF!=Z1980),#REF!),""))</f>
        <v/>
      </c>
      <c r="AC1980" t="str">
        <f>IF(Z1980="","",COUNTIF(#REF!,Z1980))</f>
        <v/>
      </c>
      <c r="AD1980" t="str">
        <f>IF(A1980="","",IF(AC1980&gt;1,"REVISAR DUPLICADO",IF(AA1980&lt;&gt;"","ACTUALIZADO POR EYR","SIN REPORTE EYR")))</f>
        <v/>
      </c>
    </row>
    <row r="1981" spans="11:30" x14ac:dyDescent="0.3">
      <c r="K1981" s="1" t="str">
        <f ca="1">IF(A1981="","",IF(OR(L1981="ENTREGADA",L1981="RETORNADA",L1981="ENTREGA DIGITAL"),0,MAX(0,5-NETWORKDAYS(H1981+1,TODAY()))))</f>
        <v/>
      </c>
      <c r="L1981" t="str">
        <f>IF(A1981="","",IFERROR(LOOKUP(2,1/(#REF!=Z1981),#REF!),Y1981))</f>
        <v/>
      </c>
      <c r="Z1981" t="str">
        <f>IF(A1981="","",TEXT(A1981,"0")&amp;"|"&amp;TEXT(H1981,"0"))</f>
        <v/>
      </c>
      <c r="AA1981" t="str">
        <f>IF(Z1981="","",IFERROR(LOOKUP(2,1/(#REF!=Z1981),#REF!),""))</f>
        <v/>
      </c>
      <c r="AB1981" t="str">
        <f>IF(Z1981="","",IFERROR(LOOKUP(2,1/(#REF!=Z1981),#REF!),""))</f>
        <v/>
      </c>
      <c r="AC1981" t="str">
        <f>IF(Z1981="","",COUNTIF(#REF!,Z1981))</f>
        <v/>
      </c>
      <c r="AD1981" t="str">
        <f>IF(A1981="","",IF(AC1981&gt;1,"REVISAR DUPLICADO",IF(AA1981&lt;&gt;"","ACTUALIZADO POR EYR","SIN REPORTE EYR")))</f>
        <v/>
      </c>
    </row>
    <row r="1982" spans="11:30" x14ac:dyDescent="0.3">
      <c r="K1982" s="1" t="str">
        <f ca="1">IF(A1982="","",IF(OR(L1982="ENTREGADA",L1982="RETORNADA",L1982="ENTREGA DIGITAL"),0,MAX(0,5-NETWORKDAYS(H1982+1,TODAY()))))</f>
        <v/>
      </c>
      <c r="L1982" t="str">
        <f>IF(A1982="","",IFERROR(LOOKUP(2,1/(#REF!=Z1982),#REF!),Y1982))</f>
        <v/>
      </c>
      <c r="Z1982" t="str">
        <f>IF(A1982="","",TEXT(A1982,"0")&amp;"|"&amp;TEXT(H1982,"0"))</f>
        <v/>
      </c>
      <c r="AA1982" t="str">
        <f>IF(Z1982="","",IFERROR(LOOKUP(2,1/(#REF!=Z1982),#REF!),""))</f>
        <v/>
      </c>
      <c r="AB1982" t="str">
        <f>IF(Z1982="","",IFERROR(LOOKUP(2,1/(#REF!=Z1982),#REF!),""))</f>
        <v/>
      </c>
      <c r="AC1982" t="str">
        <f>IF(Z1982="","",COUNTIF(#REF!,Z1982))</f>
        <v/>
      </c>
      <c r="AD1982" t="str">
        <f>IF(A1982="","",IF(AC1982&gt;1,"REVISAR DUPLICADO",IF(AA1982&lt;&gt;"","ACTUALIZADO POR EYR","SIN REPORTE EYR")))</f>
        <v/>
      </c>
    </row>
    <row r="1983" spans="11:30" x14ac:dyDescent="0.3">
      <c r="K1983" s="1" t="str">
        <f ca="1">IF(A1983="","",IF(OR(L1983="ENTREGADA",L1983="RETORNADA",L1983="ENTREGA DIGITAL"),0,MAX(0,5-NETWORKDAYS(H1983+1,TODAY()))))</f>
        <v/>
      </c>
      <c r="L1983" t="str">
        <f>IF(A1983="","",IFERROR(LOOKUP(2,1/(#REF!=Z1983),#REF!),Y1983))</f>
        <v/>
      </c>
      <c r="Z1983" t="str">
        <f>IF(A1983="","",TEXT(A1983,"0")&amp;"|"&amp;TEXT(H1983,"0"))</f>
        <v/>
      </c>
      <c r="AA1983" t="str">
        <f>IF(Z1983="","",IFERROR(LOOKUP(2,1/(#REF!=Z1983),#REF!),""))</f>
        <v/>
      </c>
      <c r="AB1983" t="str">
        <f>IF(Z1983="","",IFERROR(LOOKUP(2,1/(#REF!=Z1983),#REF!),""))</f>
        <v/>
      </c>
      <c r="AC1983" t="str">
        <f>IF(Z1983="","",COUNTIF(#REF!,Z1983))</f>
        <v/>
      </c>
      <c r="AD1983" t="str">
        <f>IF(A1983="","",IF(AC1983&gt;1,"REVISAR DUPLICADO",IF(AA1983&lt;&gt;"","ACTUALIZADO POR EYR","SIN REPORTE EYR")))</f>
        <v/>
      </c>
    </row>
    <row r="1984" spans="11:30" x14ac:dyDescent="0.3">
      <c r="K1984" s="1" t="str">
        <f ca="1">IF(A1984="","",IF(OR(L1984="ENTREGADA",L1984="RETORNADA",L1984="ENTREGA DIGITAL"),0,MAX(0,5-NETWORKDAYS(H1984+1,TODAY()))))</f>
        <v/>
      </c>
      <c r="L1984" t="str">
        <f>IF(A1984="","",IFERROR(LOOKUP(2,1/(#REF!=Z1984),#REF!),Y1984))</f>
        <v/>
      </c>
      <c r="Z1984" t="str">
        <f>IF(A1984="","",TEXT(A1984,"0")&amp;"|"&amp;TEXT(H1984,"0"))</f>
        <v/>
      </c>
      <c r="AA1984" t="str">
        <f>IF(Z1984="","",IFERROR(LOOKUP(2,1/(#REF!=Z1984),#REF!),""))</f>
        <v/>
      </c>
      <c r="AB1984" t="str">
        <f>IF(Z1984="","",IFERROR(LOOKUP(2,1/(#REF!=Z1984),#REF!),""))</f>
        <v/>
      </c>
      <c r="AC1984" t="str">
        <f>IF(Z1984="","",COUNTIF(#REF!,Z1984))</f>
        <v/>
      </c>
      <c r="AD1984" t="str">
        <f>IF(A1984="","",IF(AC1984&gt;1,"REVISAR DUPLICADO",IF(AA1984&lt;&gt;"","ACTUALIZADO POR EYR","SIN REPORTE EYR")))</f>
        <v/>
      </c>
    </row>
    <row r="1985" spans="11:30" x14ac:dyDescent="0.3">
      <c r="K1985" s="1" t="str">
        <f ca="1">IF(A1985="","",IF(OR(L1985="ENTREGADA",L1985="RETORNADA",L1985="ENTREGA DIGITAL"),0,MAX(0,5-NETWORKDAYS(H1985+1,TODAY()))))</f>
        <v/>
      </c>
      <c r="L1985" t="str">
        <f>IF(A1985="","",IFERROR(LOOKUP(2,1/(#REF!=Z1985),#REF!),Y1985))</f>
        <v/>
      </c>
      <c r="Z1985" t="str">
        <f>IF(A1985="","",TEXT(A1985,"0")&amp;"|"&amp;TEXT(H1985,"0"))</f>
        <v/>
      </c>
      <c r="AA1985" t="str">
        <f>IF(Z1985="","",IFERROR(LOOKUP(2,1/(#REF!=Z1985),#REF!),""))</f>
        <v/>
      </c>
      <c r="AB1985" t="str">
        <f>IF(Z1985="","",IFERROR(LOOKUP(2,1/(#REF!=Z1985),#REF!),""))</f>
        <v/>
      </c>
      <c r="AC1985" t="str">
        <f>IF(Z1985="","",COUNTIF(#REF!,Z1985))</f>
        <v/>
      </c>
      <c r="AD1985" t="str">
        <f>IF(A1985="","",IF(AC1985&gt;1,"REVISAR DUPLICADO",IF(AA1985&lt;&gt;"","ACTUALIZADO POR EYR","SIN REPORTE EYR")))</f>
        <v/>
      </c>
    </row>
    <row r="1986" spans="11:30" x14ac:dyDescent="0.3">
      <c r="K1986" s="1" t="str">
        <f ca="1">IF(A1986="","",IF(OR(L1986="ENTREGADA",L1986="RETORNADA",L1986="ENTREGA DIGITAL"),0,MAX(0,5-NETWORKDAYS(H1986+1,TODAY()))))</f>
        <v/>
      </c>
      <c r="L1986" t="str">
        <f>IF(A1986="","",IFERROR(LOOKUP(2,1/(#REF!=Z1986),#REF!),Y1986))</f>
        <v/>
      </c>
      <c r="Z1986" t="str">
        <f>IF(A1986="","",TEXT(A1986,"0")&amp;"|"&amp;TEXT(H1986,"0"))</f>
        <v/>
      </c>
      <c r="AA1986" t="str">
        <f>IF(Z1986="","",IFERROR(LOOKUP(2,1/(#REF!=Z1986),#REF!),""))</f>
        <v/>
      </c>
      <c r="AB1986" t="str">
        <f>IF(Z1986="","",IFERROR(LOOKUP(2,1/(#REF!=Z1986),#REF!),""))</f>
        <v/>
      </c>
      <c r="AC1986" t="str">
        <f>IF(Z1986="","",COUNTIF(#REF!,Z1986))</f>
        <v/>
      </c>
      <c r="AD1986" t="str">
        <f>IF(A1986="","",IF(AC1986&gt;1,"REVISAR DUPLICADO",IF(AA1986&lt;&gt;"","ACTUALIZADO POR EYR","SIN REPORTE EYR")))</f>
        <v/>
      </c>
    </row>
    <row r="1987" spans="11:30" x14ac:dyDescent="0.3">
      <c r="K1987" s="1" t="str">
        <f ca="1">IF(A1987="","",IF(OR(L1987="ENTREGADA",L1987="RETORNADA",L1987="ENTREGA DIGITAL"),0,MAX(0,5-NETWORKDAYS(H1987+1,TODAY()))))</f>
        <v/>
      </c>
      <c r="L1987" t="str">
        <f>IF(A1987="","",IFERROR(LOOKUP(2,1/(#REF!=Z1987),#REF!),Y1987))</f>
        <v/>
      </c>
      <c r="Z1987" t="str">
        <f>IF(A1987="","",TEXT(A1987,"0")&amp;"|"&amp;TEXT(H1987,"0"))</f>
        <v/>
      </c>
      <c r="AA1987" t="str">
        <f>IF(Z1987="","",IFERROR(LOOKUP(2,1/(#REF!=Z1987),#REF!),""))</f>
        <v/>
      </c>
      <c r="AB1987" t="str">
        <f>IF(Z1987="","",IFERROR(LOOKUP(2,1/(#REF!=Z1987),#REF!),""))</f>
        <v/>
      </c>
      <c r="AC1987" t="str">
        <f>IF(Z1987="","",COUNTIF(#REF!,Z1987))</f>
        <v/>
      </c>
      <c r="AD1987" t="str">
        <f>IF(A1987="","",IF(AC1987&gt;1,"REVISAR DUPLICADO",IF(AA1987&lt;&gt;"","ACTUALIZADO POR EYR","SIN REPORTE EYR")))</f>
        <v/>
      </c>
    </row>
    <row r="1988" spans="11:30" x14ac:dyDescent="0.3">
      <c r="K1988" s="1" t="str">
        <f ca="1">IF(A1988="","",IF(OR(L1988="ENTREGADA",L1988="RETORNADA",L1988="ENTREGA DIGITAL"),0,MAX(0,5-NETWORKDAYS(H1988+1,TODAY()))))</f>
        <v/>
      </c>
      <c r="L1988" t="str">
        <f>IF(A1988="","",IFERROR(LOOKUP(2,1/(#REF!=Z1988),#REF!),Y1988))</f>
        <v/>
      </c>
      <c r="Z1988" t="str">
        <f>IF(A1988="","",TEXT(A1988,"0")&amp;"|"&amp;TEXT(H1988,"0"))</f>
        <v/>
      </c>
      <c r="AA1988" t="str">
        <f>IF(Z1988="","",IFERROR(LOOKUP(2,1/(#REF!=Z1988),#REF!),""))</f>
        <v/>
      </c>
      <c r="AB1988" t="str">
        <f>IF(Z1988="","",IFERROR(LOOKUP(2,1/(#REF!=Z1988),#REF!),""))</f>
        <v/>
      </c>
      <c r="AC1988" t="str">
        <f>IF(Z1988="","",COUNTIF(#REF!,Z1988))</f>
        <v/>
      </c>
      <c r="AD1988" t="str">
        <f>IF(A1988="","",IF(AC1988&gt;1,"REVISAR DUPLICADO",IF(AA1988&lt;&gt;"","ACTUALIZADO POR EYR","SIN REPORTE EYR")))</f>
        <v/>
      </c>
    </row>
    <row r="1989" spans="11:30" x14ac:dyDescent="0.3">
      <c r="K1989" s="1" t="str">
        <f ca="1">IF(A1989="","",IF(OR(L1989="ENTREGADA",L1989="RETORNADA",L1989="ENTREGA DIGITAL"),0,MAX(0,5-NETWORKDAYS(H1989+1,TODAY()))))</f>
        <v/>
      </c>
      <c r="L1989" t="str">
        <f>IF(A1989="","",IFERROR(LOOKUP(2,1/(#REF!=Z1989),#REF!),Y1989))</f>
        <v/>
      </c>
      <c r="Z1989" t="str">
        <f>IF(A1989="","",TEXT(A1989,"0")&amp;"|"&amp;TEXT(H1989,"0"))</f>
        <v/>
      </c>
      <c r="AA1989" t="str">
        <f>IF(Z1989="","",IFERROR(LOOKUP(2,1/(#REF!=Z1989),#REF!),""))</f>
        <v/>
      </c>
      <c r="AB1989" t="str">
        <f>IF(Z1989="","",IFERROR(LOOKUP(2,1/(#REF!=Z1989),#REF!),""))</f>
        <v/>
      </c>
      <c r="AC1989" t="str">
        <f>IF(Z1989="","",COUNTIF(#REF!,Z1989))</f>
        <v/>
      </c>
      <c r="AD1989" t="str">
        <f>IF(A1989="","",IF(AC1989&gt;1,"REVISAR DUPLICADO",IF(AA1989&lt;&gt;"","ACTUALIZADO POR EYR","SIN REPORTE EYR")))</f>
        <v/>
      </c>
    </row>
    <row r="1990" spans="11:30" x14ac:dyDescent="0.3">
      <c r="K1990" s="1" t="str">
        <f ca="1">IF(A1990="","",IF(OR(L1990="ENTREGADA",L1990="RETORNADA",L1990="ENTREGA DIGITAL"),0,MAX(0,5-NETWORKDAYS(H1990+1,TODAY()))))</f>
        <v/>
      </c>
      <c r="L1990" t="str">
        <f>IF(A1990="","",IFERROR(LOOKUP(2,1/(#REF!=Z1990),#REF!),Y1990))</f>
        <v/>
      </c>
      <c r="Z1990" t="str">
        <f>IF(A1990="","",TEXT(A1990,"0")&amp;"|"&amp;TEXT(H1990,"0"))</f>
        <v/>
      </c>
      <c r="AA1990" t="str">
        <f>IF(Z1990="","",IFERROR(LOOKUP(2,1/(#REF!=Z1990),#REF!),""))</f>
        <v/>
      </c>
      <c r="AB1990" t="str">
        <f>IF(Z1990="","",IFERROR(LOOKUP(2,1/(#REF!=Z1990),#REF!),""))</f>
        <v/>
      </c>
      <c r="AC1990" t="str">
        <f>IF(Z1990="","",COUNTIF(#REF!,Z1990))</f>
        <v/>
      </c>
      <c r="AD1990" t="str">
        <f>IF(A1990="","",IF(AC1990&gt;1,"REVISAR DUPLICADO",IF(AA1990&lt;&gt;"","ACTUALIZADO POR EYR","SIN REPORTE EYR")))</f>
        <v/>
      </c>
    </row>
    <row r="1991" spans="11:30" x14ac:dyDescent="0.3">
      <c r="K1991" s="1" t="str">
        <f ca="1">IF(A1991="","",IF(OR(L1991="ENTREGADA",L1991="RETORNADA",L1991="ENTREGA DIGITAL"),0,MAX(0,5-NETWORKDAYS(H1991+1,TODAY()))))</f>
        <v/>
      </c>
      <c r="L1991" t="str">
        <f>IF(A1991="","",IFERROR(LOOKUP(2,1/(#REF!=Z1991),#REF!),Y1991))</f>
        <v/>
      </c>
      <c r="Z1991" t="str">
        <f>IF(A1991="","",TEXT(A1991,"0")&amp;"|"&amp;TEXT(H1991,"0"))</f>
        <v/>
      </c>
      <c r="AA1991" t="str">
        <f>IF(Z1991="","",IFERROR(LOOKUP(2,1/(#REF!=Z1991),#REF!),""))</f>
        <v/>
      </c>
      <c r="AB1991" t="str">
        <f>IF(Z1991="","",IFERROR(LOOKUP(2,1/(#REF!=Z1991),#REF!),""))</f>
        <v/>
      </c>
      <c r="AC1991" t="str">
        <f>IF(Z1991="","",COUNTIF(#REF!,Z1991))</f>
        <v/>
      </c>
      <c r="AD1991" t="str">
        <f>IF(A1991="","",IF(AC1991&gt;1,"REVISAR DUPLICADO",IF(AA1991&lt;&gt;"","ACTUALIZADO POR EYR","SIN REPORTE EYR")))</f>
        <v/>
      </c>
    </row>
    <row r="1992" spans="11:30" x14ac:dyDescent="0.3">
      <c r="K1992" s="1" t="str">
        <f ca="1">IF(A1992="","",IF(OR(L1992="ENTREGADA",L1992="RETORNADA",L1992="ENTREGA DIGITAL"),0,MAX(0,5-NETWORKDAYS(H1992+1,TODAY()))))</f>
        <v/>
      </c>
      <c r="L1992" t="str">
        <f>IF(A1992="","",IFERROR(LOOKUP(2,1/(#REF!=Z1992),#REF!),Y1992))</f>
        <v/>
      </c>
      <c r="Z1992" t="str">
        <f>IF(A1992="","",TEXT(A1992,"0")&amp;"|"&amp;TEXT(H1992,"0"))</f>
        <v/>
      </c>
      <c r="AA1992" t="str">
        <f>IF(Z1992="","",IFERROR(LOOKUP(2,1/(#REF!=Z1992),#REF!),""))</f>
        <v/>
      </c>
      <c r="AB1992" t="str">
        <f>IF(Z1992="","",IFERROR(LOOKUP(2,1/(#REF!=Z1992),#REF!),""))</f>
        <v/>
      </c>
      <c r="AC1992" t="str">
        <f>IF(Z1992="","",COUNTIF(#REF!,Z1992))</f>
        <v/>
      </c>
      <c r="AD1992" t="str">
        <f>IF(A1992="","",IF(AC1992&gt;1,"REVISAR DUPLICADO",IF(AA1992&lt;&gt;"","ACTUALIZADO POR EYR","SIN REPORTE EYR")))</f>
        <v/>
      </c>
    </row>
    <row r="1993" spans="11:30" x14ac:dyDescent="0.3">
      <c r="K1993" s="1" t="str">
        <f ca="1">IF(A1993="","",IF(OR(L1993="ENTREGADA",L1993="RETORNADA",L1993="ENTREGA DIGITAL"),0,MAX(0,5-NETWORKDAYS(H1993+1,TODAY()))))</f>
        <v/>
      </c>
      <c r="L1993" t="str">
        <f>IF(A1993="","",IFERROR(LOOKUP(2,1/(#REF!=Z1993),#REF!),Y1993))</f>
        <v/>
      </c>
      <c r="Z1993" t="str">
        <f>IF(A1993="","",TEXT(A1993,"0")&amp;"|"&amp;TEXT(H1993,"0"))</f>
        <v/>
      </c>
      <c r="AA1993" t="str">
        <f>IF(Z1993="","",IFERROR(LOOKUP(2,1/(#REF!=Z1993),#REF!),""))</f>
        <v/>
      </c>
      <c r="AB1993" t="str">
        <f>IF(Z1993="","",IFERROR(LOOKUP(2,1/(#REF!=Z1993),#REF!),""))</f>
        <v/>
      </c>
      <c r="AC1993" t="str">
        <f>IF(Z1993="","",COUNTIF(#REF!,Z1993))</f>
        <v/>
      </c>
      <c r="AD1993" t="str">
        <f>IF(A1993="","",IF(AC1993&gt;1,"REVISAR DUPLICADO",IF(AA1993&lt;&gt;"","ACTUALIZADO POR EYR","SIN REPORTE EYR")))</f>
        <v/>
      </c>
    </row>
    <row r="1994" spans="11:30" x14ac:dyDescent="0.3">
      <c r="K1994" s="1" t="str">
        <f ca="1">IF(A1994="","",IF(OR(L1994="ENTREGADA",L1994="RETORNADA",L1994="ENTREGA DIGITAL"),0,MAX(0,5-NETWORKDAYS(H1994+1,TODAY()))))</f>
        <v/>
      </c>
      <c r="L1994" t="str">
        <f>IF(A1994="","",IFERROR(LOOKUP(2,1/(#REF!=Z1994),#REF!),Y1994))</f>
        <v/>
      </c>
      <c r="Z1994" t="str">
        <f>IF(A1994="","",TEXT(A1994,"0")&amp;"|"&amp;TEXT(H1994,"0"))</f>
        <v/>
      </c>
      <c r="AA1994" t="str">
        <f>IF(Z1994="","",IFERROR(LOOKUP(2,1/(#REF!=Z1994),#REF!),""))</f>
        <v/>
      </c>
      <c r="AB1994" t="str">
        <f>IF(Z1994="","",IFERROR(LOOKUP(2,1/(#REF!=Z1994),#REF!),""))</f>
        <v/>
      </c>
      <c r="AC1994" t="str">
        <f>IF(Z1994="","",COUNTIF(#REF!,Z1994))</f>
        <v/>
      </c>
      <c r="AD1994" t="str">
        <f>IF(A1994="","",IF(AC1994&gt;1,"REVISAR DUPLICADO",IF(AA1994&lt;&gt;"","ACTUALIZADO POR EYR","SIN REPORTE EYR")))</f>
        <v/>
      </c>
    </row>
    <row r="1995" spans="11:30" x14ac:dyDescent="0.3">
      <c r="K1995" s="1" t="str">
        <f ca="1">IF(A1995="","",IF(OR(L1995="ENTREGADA",L1995="RETORNADA",L1995="ENTREGA DIGITAL"),0,MAX(0,5-NETWORKDAYS(H1995+1,TODAY()))))</f>
        <v/>
      </c>
      <c r="L1995" t="str">
        <f>IF(A1995="","",IFERROR(LOOKUP(2,1/(#REF!=Z1995),#REF!),Y1995))</f>
        <v/>
      </c>
      <c r="Z1995" t="str">
        <f>IF(A1995="","",TEXT(A1995,"0")&amp;"|"&amp;TEXT(H1995,"0"))</f>
        <v/>
      </c>
      <c r="AA1995" t="str">
        <f>IF(Z1995="","",IFERROR(LOOKUP(2,1/(#REF!=Z1995),#REF!),""))</f>
        <v/>
      </c>
      <c r="AB1995" t="str">
        <f>IF(Z1995="","",IFERROR(LOOKUP(2,1/(#REF!=Z1995),#REF!),""))</f>
        <v/>
      </c>
      <c r="AC1995" t="str">
        <f>IF(Z1995="","",COUNTIF(#REF!,Z1995))</f>
        <v/>
      </c>
      <c r="AD1995" t="str">
        <f>IF(A1995="","",IF(AC1995&gt;1,"REVISAR DUPLICADO",IF(AA1995&lt;&gt;"","ACTUALIZADO POR EYR","SIN REPORTE EYR")))</f>
        <v/>
      </c>
    </row>
    <row r="1996" spans="11:30" x14ac:dyDescent="0.3">
      <c r="K1996" s="1" t="str">
        <f ca="1">IF(A1996="","",IF(OR(L1996="ENTREGADA",L1996="RETORNADA",L1996="ENTREGA DIGITAL"),0,MAX(0,5-NETWORKDAYS(H1996+1,TODAY()))))</f>
        <v/>
      </c>
      <c r="L1996" t="str">
        <f>IF(A1996="","",IFERROR(LOOKUP(2,1/(#REF!=Z1996),#REF!),Y1996))</f>
        <v/>
      </c>
      <c r="Z1996" t="str">
        <f>IF(A1996="","",TEXT(A1996,"0")&amp;"|"&amp;TEXT(H1996,"0"))</f>
        <v/>
      </c>
      <c r="AA1996" t="str">
        <f>IF(Z1996="","",IFERROR(LOOKUP(2,1/(#REF!=Z1996),#REF!),""))</f>
        <v/>
      </c>
      <c r="AB1996" t="str">
        <f>IF(Z1996="","",IFERROR(LOOKUP(2,1/(#REF!=Z1996),#REF!),""))</f>
        <v/>
      </c>
      <c r="AC1996" t="str">
        <f>IF(Z1996="","",COUNTIF(#REF!,Z1996))</f>
        <v/>
      </c>
      <c r="AD1996" t="str">
        <f>IF(A1996="","",IF(AC1996&gt;1,"REVISAR DUPLICADO",IF(AA1996&lt;&gt;"","ACTUALIZADO POR EYR","SIN REPORTE EYR")))</f>
        <v/>
      </c>
    </row>
    <row r="1997" spans="11:30" x14ac:dyDescent="0.3">
      <c r="K1997" s="1" t="str">
        <f ca="1">IF(A1997="","",IF(OR(L1997="ENTREGADA",L1997="RETORNADA",L1997="ENTREGA DIGITAL"),0,MAX(0,5-NETWORKDAYS(H1997+1,TODAY()))))</f>
        <v/>
      </c>
      <c r="L1997" t="str">
        <f>IF(A1997="","",IFERROR(LOOKUP(2,1/(#REF!=Z1997),#REF!),Y1997))</f>
        <v/>
      </c>
      <c r="Z1997" t="str">
        <f>IF(A1997="","",TEXT(A1997,"0")&amp;"|"&amp;TEXT(H1997,"0"))</f>
        <v/>
      </c>
      <c r="AA1997" t="str">
        <f>IF(Z1997="","",IFERROR(LOOKUP(2,1/(#REF!=Z1997),#REF!),""))</f>
        <v/>
      </c>
      <c r="AB1997" t="str">
        <f>IF(Z1997="","",IFERROR(LOOKUP(2,1/(#REF!=Z1997),#REF!),""))</f>
        <v/>
      </c>
      <c r="AC1997" t="str">
        <f>IF(Z1997="","",COUNTIF(#REF!,Z1997))</f>
        <v/>
      </c>
      <c r="AD1997" t="str">
        <f>IF(A1997="","",IF(AC1997&gt;1,"REVISAR DUPLICADO",IF(AA1997&lt;&gt;"","ACTUALIZADO POR EYR","SIN REPORTE EYR")))</f>
        <v/>
      </c>
    </row>
    <row r="1998" spans="11:30" x14ac:dyDescent="0.3">
      <c r="K1998" s="1" t="str">
        <f ca="1">IF(A1998="","",IF(OR(L1998="ENTREGADA",L1998="RETORNADA",L1998="ENTREGA DIGITAL"),0,MAX(0,5-NETWORKDAYS(H1998+1,TODAY()))))</f>
        <v/>
      </c>
      <c r="L1998" t="str">
        <f>IF(A1998="","",IFERROR(LOOKUP(2,1/(#REF!=Z1998),#REF!),Y1998))</f>
        <v/>
      </c>
      <c r="Z1998" t="str">
        <f>IF(A1998="","",TEXT(A1998,"0")&amp;"|"&amp;TEXT(H1998,"0"))</f>
        <v/>
      </c>
      <c r="AA1998" t="str">
        <f>IF(Z1998="","",IFERROR(LOOKUP(2,1/(#REF!=Z1998),#REF!),""))</f>
        <v/>
      </c>
      <c r="AB1998" t="str">
        <f>IF(Z1998="","",IFERROR(LOOKUP(2,1/(#REF!=Z1998),#REF!),""))</f>
        <v/>
      </c>
      <c r="AC1998" t="str">
        <f>IF(Z1998="","",COUNTIF(#REF!,Z1998))</f>
        <v/>
      </c>
      <c r="AD1998" t="str">
        <f>IF(A1998="","",IF(AC1998&gt;1,"REVISAR DUPLICADO",IF(AA1998&lt;&gt;"","ACTUALIZADO POR EYR","SIN REPORTE EYR")))</f>
        <v/>
      </c>
    </row>
    <row r="1999" spans="11:30" x14ac:dyDescent="0.3">
      <c r="K1999" s="1" t="str">
        <f ca="1">IF(A1999="","",IF(OR(L1999="ENTREGADA",L1999="RETORNADA",L1999="ENTREGA DIGITAL"),0,MAX(0,5-NETWORKDAYS(H1999+1,TODAY()))))</f>
        <v/>
      </c>
      <c r="L1999" t="str">
        <f>IF(A1999="","",IFERROR(LOOKUP(2,1/(#REF!=Z1999),#REF!),Y1999))</f>
        <v/>
      </c>
      <c r="Z1999" t="str">
        <f>IF(A1999="","",TEXT(A1999,"0")&amp;"|"&amp;TEXT(H1999,"0"))</f>
        <v/>
      </c>
      <c r="AA1999" t="str">
        <f>IF(Z1999="","",IFERROR(LOOKUP(2,1/(#REF!=Z1999),#REF!),""))</f>
        <v/>
      </c>
      <c r="AB1999" t="str">
        <f>IF(Z1999="","",IFERROR(LOOKUP(2,1/(#REF!=Z1999),#REF!),""))</f>
        <v/>
      </c>
      <c r="AC1999" t="str">
        <f>IF(Z1999="","",COUNTIF(#REF!,Z1999))</f>
        <v/>
      </c>
      <c r="AD1999" t="str">
        <f>IF(A1999="","",IF(AC1999&gt;1,"REVISAR DUPLICADO",IF(AA1999&lt;&gt;"","ACTUALIZADO POR EYR","SIN REPORTE EYR")))</f>
        <v/>
      </c>
    </row>
    <row r="2000" spans="11:30" x14ac:dyDescent="0.3">
      <c r="K2000" s="1" t="str">
        <f ca="1">IF(A2000="","",IF(OR(L2000="ENTREGADA",L2000="RETORNADA",L2000="ENTREGA DIGITAL"),0,MAX(0,5-NETWORKDAYS(H2000+1,TODAY()))))</f>
        <v/>
      </c>
      <c r="L2000" t="str">
        <f>IF(A2000="","",IFERROR(LOOKUP(2,1/(#REF!=Z2000),#REF!),Y2000))</f>
        <v/>
      </c>
      <c r="Z2000" t="str">
        <f>IF(A2000="","",TEXT(A2000,"0")&amp;"|"&amp;TEXT(H2000,"0"))</f>
        <v/>
      </c>
      <c r="AA2000" t="str">
        <f>IF(Z2000="","",IFERROR(LOOKUP(2,1/(#REF!=Z2000),#REF!),""))</f>
        <v/>
      </c>
      <c r="AB2000" t="str">
        <f>IF(Z2000="","",IFERROR(LOOKUP(2,1/(#REF!=Z2000),#REF!),""))</f>
        <v/>
      </c>
      <c r="AC2000" t="str">
        <f>IF(Z2000="","",COUNTIF(#REF!,Z2000))</f>
        <v/>
      </c>
      <c r="AD2000" t="str">
        <f>IF(A2000="","",IF(AC2000&gt;1,"REVISAR DUPLICADO",IF(AA2000&lt;&gt;"","ACTUALIZADO POR EYR","SIN REPORTE EYR")))</f>
        <v/>
      </c>
    </row>
    <row r="2001" spans="11:30" x14ac:dyDescent="0.3">
      <c r="K2001" s="1" t="str">
        <f ca="1">IF(A2001="","",IF(OR(L2001="ENTREGADA",L2001="RETORNADA",L2001="ENTREGA DIGITAL"),0,MAX(0,5-NETWORKDAYS(H2001+1,TODAY()))))</f>
        <v/>
      </c>
      <c r="L2001" t="str">
        <f>IF(A2001="","",IFERROR(LOOKUP(2,1/(#REF!=Z2001),#REF!),Y2001))</f>
        <v/>
      </c>
      <c r="Z2001" t="str">
        <f>IF(A2001="","",TEXT(A2001,"0")&amp;"|"&amp;TEXT(H2001,"0"))</f>
        <v/>
      </c>
      <c r="AA2001" t="str">
        <f>IF(Z2001="","",IFERROR(LOOKUP(2,1/(#REF!=Z2001),#REF!),""))</f>
        <v/>
      </c>
      <c r="AB2001" t="str">
        <f>IF(Z2001="","",IFERROR(LOOKUP(2,1/(#REF!=Z2001),#REF!),""))</f>
        <v/>
      </c>
      <c r="AC2001" t="str">
        <f>IF(Z2001="","",COUNTIF(#REF!,Z2001))</f>
        <v/>
      </c>
      <c r="AD2001" t="str">
        <f>IF(A2001="","",IF(AC2001&gt;1,"REVISAR DUPLICADO",IF(AA2001&lt;&gt;"","ACTUALIZADO POR EYR","SIN REPORTE EYR")))</f>
        <v/>
      </c>
    </row>
    <row r="2002" spans="11:30" x14ac:dyDescent="0.3">
      <c r="K2002" s="1" t="str">
        <f ca="1">IF(A2002="","",IF(OR(L2002="ENTREGADA",L2002="RETORNADA",L2002="ENTREGA DIGITAL"),0,MAX(0,5-NETWORKDAYS(H2002+1,TODAY()))))</f>
        <v/>
      </c>
      <c r="L2002" t="str">
        <f>IF(A2002="","",IFERROR(LOOKUP(2,1/(#REF!=Z2002),#REF!),Y2002))</f>
        <v/>
      </c>
      <c r="Z2002" t="str">
        <f>IF(A2002="","",TEXT(A2002,"0")&amp;"|"&amp;TEXT(H2002,"0"))</f>
        <v/>
      </c>
      <c r="AA2002" t="str">
        <f>IF(Z2002="","",IFERROR(LOOKUP(2,1/(#REF!=Z2002),#REF!),""))</f>
        <v/>
      </c>
      <c r="AB2002" t="str">
        <f>IF(Z2002="","",IFERROR(LOOKUP(2,1/(#REF!=Z2002),#REF!),""))</f>
        <v/>
      </c>
      <c r="AC2002" t="str">
        <f>IF(Z2002="","",COUNTIF(#REF!,Z2002))</f>
        <v/>
      </c>
      <c r="AD2002" t="str">
        <f>IF(A2002="","",IF(AC2002&gt;1,"REVISAR DUPLICADO",IF(AA2002&lt;&gt;"","ACTUALIZADO POR EYR","SIN REPORTE EYR")))</f>
        <v/>
      </c>
    </row>
    <row r="2003" spans="11:30" x14ac:dyDescent="0.3">
      <c r="K2003" s="1" t="str">
        <f ca="1">IF(A2003="","",IF(OR(L2003="ENTREGADA",L2003="RETORNADA",L2003="ENTREGA DIGITAL"),0,MAX(0,5-NETWORKDAYS(H2003+1,TODAY()))))</f>
        <v/>
      </c>
      <c r="L2003" t="str">
        <f>IF(A2003="","",IFERROR(LOOKUP(2,1/(#REF!=Z2003),#REF!),Y2003))</f>
        <v/>
      </c>
      <c r="Z2003" t="str">
        <f>IF(A2003="","",TEXT(A2003,"0")&amp;"|"&amp;TEXT(H2003,"0"))</f>
        <v/>
      </c>
      <c r="AA2003" t="str">
        <f>IF(Z2003="","",IFERROR(LOOKUP(2,1/(#REF!=Z2003),#REF!),""))</f>
        <v/>
      </c>
      <c r="AB2003" t="str">
        <f>IF(Z2003="","",IFERROR(LOOKUP(2,1/(#REF!=Z2003),#REF!),""))</f>
        <v/>
      </c>
      <c r="AC2003" t="str">
        <f>IF(Z2003="","",COUNTIF(#REF!,Z2003))</f>
        <v/>
      </c>
      <c r="AD2003" t="str">
        <f>IF(A2003="","",IF(AC2003&gt;1,"REVISAR DUPLICADO",IF(AA2003&lt;&gt;"","ACTUALIZADO POR EYR","SIN REPORTE EYR")))</f>
        <v/>
      </c>
    </row>
    <row r="2004" spans="11:30" x14ac:dyDescent="0.3">
      <c r="K2004" s="1" t="str">
        <f ca="1">IF(A2004="","",IF(OR(L2004="ENTREGADA",L2004="RETORNADA",L2004="ENTREGA DIGITAL"),0,MAX(0,5-NETWORKDAYS(H2004+1,TODAY()))))</f>
        <v/>
      </c>
      <c r="L2004" t="str">
        <f>IF(A2004="","",IFERROR(LOOKUP(2,1/(#REF!=Z2004),#REF!),Y2004))</f>
        <v/>
      </c>
      <c r="Z2004" t="str">
        <f>IF(A2004="","",TEXT(A2004,"0")&amp;"|"&amp;TEXT(H2004,"0"))</f>
        <v/>
      </c>
      <c r="AA2004" t="str">
        <f>IF(Z2004="","",IFERROR(LOOKUP(2,1/(#REF!=Z2004),#REF!),""))</f>
        <v/>
      </c>
      <c r="AB2004" t="str">
        <f>IF(Z2004="","",IFERROR(LOOKUP(2,1/(#REF!=Z2004),#REF!),""))</f>
        <v/>
      </c>
      <c r="AC2004" t="str">
        <f>IF(Z2004="","",COUNTIF(#REF!,Z2004))</f>
        <v/>
      </c>
      <c r="AD2004" t="str">
        <f>IF(A2004="","",IF(AC2004&gt;1,"REVISAR DUPLICADO",IF(AA2004&lt;&gt;"","ACTUALIZADO POR EYR","SIN REPORTE EYR")))</f>
        <v/>
      </c>
    </row>
    <row r="2005" spans="11:30" x14ac:dyDescent="0.3">
      <c r="K2005" s="1" t="str">
        <f ca="1">IF(A2005="","",IF(OR(L2005="ENTREGADA",L2005="RETORNADA",L2005="ENTREGA DIGITAL"),0,MAX(0,5-NETWORKDAYS(H2005+1,TODAY()))))</f>
        <v/>
      </c>
      <c r="L2005" t="str">
        <f>IF(A2005="","",IFERROR(LOOKUP(2,1/(#REF!=Z2005),#REF!),Y2005))</f>
        <v/>
      </c>
      <c r="Z2005" t="str">
        <f>IF(A2005="","",TEXT(A2005,"0")&amp;"|"&amp;TEXT(H2005,"0"))</f>
        <v/>
      </c>
      <c r="AA2005" t="str">
        <f>IF(Z2005="","",IFERROR(LOOKUP(2,1/(#REF!=Z2005),#REF!),""))</f>
        <v/>
      </c>
      <c r="AB2005" t="str">
        <f>IF(Z2005="","",IFERROR(LOOKUP(2,1/(#REF!=Z2005),#REF!),""))</f>
        <v/>
      </c>
      <c r="AC2005" t="str">
        <f>IF(Z2005="","",COUNTIF(#REF!,Z2005))</f>
        <v/>
      </c>
      <c r="AD2005" t="str">
        <f>IF(A2005="","",IF(AC2005&gt;1,"REVISAR DUPLICADO",IF(AA2005&lt;&gt;"","ACTUALIZADO POR EYR","SIN REPORTE EYR")))</f>
        <v/>
      </c>
    </row>
    <row r="2006" spans="11:30" x14ac:dyDescent="0.3">
      <c r="K2006" s="1" t="str">
        <f ca="1">IF(A2006="","",IF(OR(L2006="ENTREGADA",L2006="RETORNADA",L2006="ENTREGA DIGITAL"),0,MAX(0,5-NETWORKDAYS(H2006+1,TODAY()))))</f>
        <v/>
      </c>
      <c r="L2006" t="str">
        <f>IF(A2006="","",IFERROR(LOOKUP(2,1/(#REF!=Z2006),#REF!),Y2006))</f>
        <v/>
      </c>
      <c r="Z2006" t="str">
        <f>IF(A2006="","",TEXT(A2006,"0")&amp;"|"&amp;TEXT(H2006,"0"))</f>
        <v/>
      </c>
      <c r="AA2006" t="str">
        <f>IF(Z2006="","",IFERROR(LOOKUP(2,1/(#REF!=Z2006),#REF!),""))</f>
        <v/>
      </c>
      <c r="AB2006" t="str">
        <f>IF(Z2006="","",IFERROR(LOOKUP(2,1/(#REF!=Z2006),#REF!),""))</f>
        <v/>
      </c>
      <c r="AC2006" t="str">
        <f>IF(Z2006="","",COUNTIF(#REF!,Z2006))</f>
        <v/>
      </c>
      <c r="AD2006" t="str">
        <f>IF(A2006="","",IF(AC2006&gt;1,"REVISAR DUPLICADO",IF(AA2006&lt;&gt;"","ACTUALIZADO POR EYR","SIN REPORTE EYR")))</f>
        <v/>
      </c>
    </row>
    <row r="2007" spans="11:30" x14ac:dyDescent="0.3">
      <c r="K2007" s="1" t="str">
        <f ca="1">IF(A2007="","",IF(OR(L2007="ENTREGADA",L2007="RETORNADA",L2007="ENTREGA DIGITAL"),0,MAX(0,5-NETWORKDAYS(H2007+1,TODAY()))))</f>
        <v/>
      </c>
      <c r="L2007" t="str">
        <f>IF(A2007="","",IFERROR(LOOKUP(2,1/(#REF!=Z2007),#REF!),Y2007))</f>
        <v/>
      </c>
      <c r="Z2007" t="str">
        <f>IF(A2007="","",TEXT(A2007,"0")&amp;"|"&amp;TEXT(H2007,"0"))</f>
        <v/>
      </c>
      <c r="AA2007" t="str">
        <f>IF(Z2007="","",IFERROR(LOOKUP(2,1/(#REF!=Z2007),#REF!),""))</f>
        <v/>
      </c>
      <c r="AB2007" t="str">
        <f>IF(Z2007="","",IFERROR(LOOKUP(2,1/(#REF!=Z2007),#REF!),""))</f>
        <v/>
      </c>
      <c r="AC2007" t="str">
        <f>IF(Z2007="","",COUNTIF(#REF!,Z2007))</f>
        <v/>
      </c>
      <c r="AD2007" t="str">
        <f>IF(A2007="","",IF(AC2007&gt;1,"REVISAR DUPLICADO",IF(AA2007&lt;&gt;"","ACTUALIZADO POR EYR","SIN REPORTE EYR")))</f>
        <v/>
      </c>
    </row>
    <row r="2008" spans="11:30" x14ac:dyDescent="0.3">
      <c r="K2008" s="1" t="str">
        <f ca="1">IF(A2008="","",IF(OR(L2008="ENTREGADA",L2008="RETORNADA",L2008="ENTREGA DIGITAL"),0,MAX(0,5-NETWORKDAYS(H2008+1,TODAY()))))</f>
        <v/>
      </c>
      <c r="L2008" t="str">
        <f>IF(A2008="","",IFERROR(LOOKUP(2,1/(#REF!=Z2008),#REF!),Y2008))</f>
        <v/>
      </c>
      <c r="Z2008" t="str">
        <f>IF(A2008="","",TEXT(A2008,"0")&amp;"|"&amp;TEXT(H2008,"0"))</f>
        <v/>
      </c>
      <c r="AA2008" t="str">
        <f>IF(Z2008="","",IFERROR(LOOKUP(2,1/(#REF!=Z2008),#REF!),""))</f>
        <v/>
      </c>
      <c r="AB2008" t="str">
        <f>IF(Z2008="","",IFERROR(LOOKUP(2,1/(#REF!=Z2008),#REF!),""))</f>
        <v/>
      </c>
      <c r="AC2008" t="str">
        <f>IF(Z2008="","",COUNTIF(#REF!,Z2008))</f>
        <v/>
      </c>
      <c r="AD2008" t="str">
        <f>IF(A2008="","",IF(AC2008&gt;1,"REVISAR DUPLICADO",IF(AA2008&lt;&gt;"","ACTUALIZADO POR EYR","SIN REPORTE EYR")))</f>
        <v/>
      </c>
    </row>
    <row r="2009" spans="11:30" x14ac:dyDescent="0.3">
      <c r="K2009" s="1" t="str">
        <f ca="1">IF(A2009="","",IF(OR(L2009="ENTREGADA",L2009="RETORNADA",L2009="ENTREGA DIGITAL"),0,MAX(0,5-NETWORKDAYS(H2009+1,TODAY()))))</f>
        <v/>
      </c>
      <c r="L2009" t="str">
        <f>IF(A2009="","",IFERROR(LOOKUP(2,1/(#REF!=Z2009),#REF!),Y2009))</f>
        <v/>
      </c>
      <c r="Z2009" t="str">
        <f>IF(A2009="","",TEXT(A2009,"0")&amp;"|"&amp;TEXT(H2009,"0"))</f>
        <v/>
      </c>
      <c r="AA2009" t="str">
        <f>IF(Z2009="","",IFERROR(LOOKUP(2,1/(#REF!=Z2009),#REF!),""))</f>
        <v/>
      </c>
      <c r="AB2009" t="str">
        <f>IF(Z2009="","",IFERROR(LOOKUP(2,1/(#REF!=Z2009),#REF!),""))</f>
        <v/>
      </c>
      <c r="AC2009" t="str">
        <f>IF(Z2009="","",COUNTIF(#REF!,Z2009))</f>
        <v/>
      </c>
      <c r="AD2009" t="str">
        <f>IF(A2009="","",IF(AC2009&gt;1,"REVISAR DUPLICADO",IF(AA2009&lt;&gt;"","ACTUALIZADO POR EYR","SIN REPORTE EYR")))</f>
        <v/>
      </c>
    </row>
    <row r="2010" spans="11:30" x14ac:dyDescent="0.3">
      <c r="K2010" s="1" t="str">
        <f ca="1">IF(A2010="","",IF(OR(L2010="ENTREGADA",L2010="RETORNADA",L2010="ENTREGA DIGITAL"),0,MAX(0,5-NETWORKDAYS(H2010+1,TODAY()))))</f>
        <v/>
      </c>
      <c r="L2010" t="str">
        <f>IF(A2010="","",IFERROR(LOOKUP(2,1/(#REF!=Z2010),#REF!),Y2010))</f>
        <v/>
      </c>
      <c r="Z2010" t="str">
        <f>IF(A2010="","",TEXT(A2010,"0")&amp;"|"&amp;TEXT(H2010,"0"))</f>
        <v/>
      </c>
      <c r="AA2010" t="str">
        <f>IF(Z2010="","",IFERROR(LOOKUP(2,1/(#REF!=Z2010),#REF!),""))</f>
        <v/>
      </c>
      <c r="AB2010" t="str">
        <f>IF(Z2010="","",IFERROR(LOOKUP(2,1/(#REF!=Z2010),#REF!),""))</f>
        <v/>
      </c>
      <c r="AC2010" t="str">
        <f>IF(Z2010="","",COUNTIF(#REF!,Z2010))</f>
        <v/>
      </c>
      <c r="AD2010" t="str">
        <f>IF(A2010="","",IF(AC2010&gt;1,"REVISAR DUPLICADO",IF(AA2010&lt;&gt;"","ACTUALIZADO POR EYR","SIN REPORTE EYR")))</f>
        <v/>
      </c>
    </row>
    <row r="2011" spans="11:30" x14ac:dyDescent="0.3">
      <c r="K2011" s="1" t="str">
        <f ca="1">IF(A2011="","",IF(OR(L2011="ENTREGADA",L2011="RETORNADA",L2011="ENTREGA DIGITAL"),0,MAX(0,5-NETWORKDAYS(H2011+1,TODAY()))))</f>
        <v/>
      </c>
      <c r="L2011" t="str">
        <f>IF(A2011="","",IFERROR(LOOKUP(2,1/(#REF!=Z2011),#REF!),Y2011))</f>
        <v/>
      </c>
      <c r="Z2011" t="str">
        <f>IF(A2011="","",TEXT(A2011,"0")&amp;"|"&amp;TEXT(H2011,"0"))</f>
        <v/>
      </c>
      <c r="AA2011" t="str">
        <f>IF(Z2011="","",IFERROR(LOOKUP(2,1/(#REF!=Z2011),#REF!),""))</f>
        <v/>
      </c>
      <c r="AB2011" t="str">
        <f>IF(Z2011="","",IFERROR(LOOKUP(2,1/(#REF!=Z2011),#REF!),""))</f>
        <v/>
      </c>
      <c r="AC2011" t="str">
        <f>IF(Z2011="","",COUNTIF(#REF!,Z2011))</f>
        <v/>
      </c>
      <c r="AD2011" t="str">
        <f>IF(A2011="","",IF(AC2011&gt;1,"REVISAR DUPLICADO",IF(AA2011&lt;&gt;"","ACTUALIZADO POR EYR","SIN REPORTE EYR")))</f>
        <v/>
      </c>
    </row>
    <row r="2012" spans="11:30" x14ac:dyDescent="0.3">
      <c r="K2012" s="1" t="str">
        <f ca="1">IF(A2012="","",IF(OR(L2012="ENTREGADA",L2012="RETORNADA",L2012="ENTREGA DIGITAL"),0,MAX(0,5-NETWORKDAYS(H2012+1,TODAY()))))</f>
        <v/>
      </c>
      <c r="L2012" t="str">
        <f>IF(A2012="","",IFERROR(LOOKUP(2,1/(#REF!=Z2012),#REF!),Y2012))</f>
        <v/>
      </c>
      <c r="Z2012" t="str">
        <f>IF(A2012="","",TEXT(A2012,"0")&amp;"|"&amp;TEXT(H2012,"0"))</f>
        <v/>
      </c>
      <c r="AA2012" t="str">
        <f>IF(Z2012="","",IFERROR(LOOKUP(2,1/(#REF!=Z2012),#REF!),""))</f>
        <v/>
      </c>
      <c r="AB2012" t="str">
        <f>IF(Z2012="","",IFERROR(LOOKUP(2,1/(#REF!=Z2012),#REF!),""))</f>
        <v/>
      </c>
      <c r="AC2012" t="str">
        <f>IF(Z2012="","",COUNTIF(#REF!,Z2012))</f>
        <v/>
      </c>
      <c r="AD2012" t="str">
        <f>IF(A2012="","",IF(AC2012&gt;1,"REVISAR DUPLICADO",IF(AA2012&lt;&gt;"","ACTUALIZADO POR EYR","SIN REPORTE EYR")))</f>
        <v/>
      </c>
    </row>
    <row r="2013" spans="11:30" x14ac:dyDescent="0.3">
      <c r="K2013" s="1" t="str">
        <f ca="1">IF(A2013="","",IF(OR(L2013="ENTREGADA",L2013="RETORNADA",L2013="ENTREGA DIGITAL"),0,MAX(0,5-NETWORKDAYS(H2013+1,TODAY()))))</f>
        <v/>
      </c>
      <c r="L2013" t="str">
        <f>IF(A2013="","",IFERROR(LOOKUP(2,1/(#REF!=Z2013),#REF!),Y2013))</f>
        <v/>
      </c>
      <c r="Z2013" t="str">
        <f>IF(A2013="","",TEXT(A2013,"0")&amp;"|"&amp;TEXT(H2013,"0"))</f>
        <v/>
      </c>
      <c r="AA2013" t="str">
        <f>IF(Z2013="","",IFERROR(LOOKUP(2,1/(#REF!=Z2013),#REF!),""))</f>
        <v/>
      </c>
      <c r="AB2013" t="str">
        <f>IF(Z2013="","",IFERROR(LOOKUP(2,1/(#REF!=Z2013),#REF!),""))</f>
        <v/>
      </c>
      <c r="AC2013" t="str">
        <f>IF(Z2013="","",COUNTIF(#REF!,Z2013))</f>
        <v/>
      </c>
      <c r="AD2013" t="str">
        <f>IF(A2013="","",IF(AC2013&gt;1,"REVISAR DUPLICADO",IF(AA2013&lt;&gt;"","ACTUALIZADO POR EYR","SIN REPORTE EYR")))</f>
        <v/>
      </c>
    </row>
    <row r="2014" spans="11:30" x14ac:dyDescent="0.3">
      <c r="K2014" s="1" t="str">
        <f ca="1">IF(A2014="","",IF(OR(L2014="ENTREGADA",L2014="RETORNADA",L2014="ENTREGA DIGITAL"),0,MAX(0,5-NETWORKDAYS(H2014+1,TODAY()))))</f>
        <v/>
      </c>
      <c r="L2014" t="str">
        <f>IF(A2014="","",IFERROR(LOOKUP(2,1/(#REF!=Z2014),#REF!),Y2014))</f>
        <v/>
      </c>
      <c r="Z2014" t="str">
        <f>IF(A2014="","",TEXT(A2014,"0")&amp;"|"&amp;TEXT(H2014,"0"))</f>
        <v/>
      </c>
      <c r="AA2014" t="str">
        <f>IF(Z2014="","",IFERROR(LOOKUP(2,1/(#REF!=Z2014),#REF!),""))</f>
        <v/>
      </c>
      <c r="AB2014" t="str">
        <f>IF(Z2014="","",IFERROR(LOOKUP(2,1/(#REF!=Z2014),#REF!),""))</f>
        <v/>
      </c>
      <c r="AC2014" t="str">
        <f>IF(Z2014="","",COUNTIF(#REF!,Z2014))</f>
        <v/>
      </c>
      <c r="AD2014" t="str">
        <f>IF(A2014="","",IF(AC2014&gt;1,"REVISAR DUPLICADO",IF(AA2014&lt;&gt;"","ACTUALIZADO POR EYR","SIN REPORTE EYR")))</f>
        <v/>
      </c>
    </row>
    <row r="2015" spans="11:30" x14ac:dyDescent="0.3">
      <c r="K2015" s="1" t="str">
        <f ca="1">IF(A2015="","",IF(OR(L2015="ENTREGADA",L2015="RETORNADA",L2015="ENTREGA DIGITAL"),0,MAX(0,5-NETWORKDAYS(H2015+1,TODAY()))))</f>
        <v/>
      </c>
      <c r="L2015" t="str">
        <f>IF(A2015="","",IFERROR(LOOKUP(2,1/(#REF!=Z2015),#REF!),Y2015))</f>
        <v/>
      </c>
      <c r="Z2015" t="str">
        <f>IF(A2015="","",TEXT(A2015,"0")&amp;"|"&amp;TEXT(H2015,"0"))</f>
        <v/>
      </c>
      <c r="AA2015" t="str">
        <f>IF(Z2015="","",IFERROR(LOOKUP(2,1/(#REF!=Z2015),#REF!),""))</f>
        <v/>
      </c>
      <c r="AB2015" t="str">
        <f>IF(Z2015="","",IFERROR(LOOKUP(2,1/(#REF!=Z2015),#REF!),""))</f>
        <v/>
      </c>
      <c r="AC2015" t="str">
        <f>IF(Z2015="","",COUNTIF(#REF!,Z2015))</f>
        <v/>
      </c>
      <c r="AD2015" t="str">
        <f>IF(A2015="","",IF(AC2015&gt;1,"REVISAR DUPLICADO",IF(AA2015&lt;&gt;"","ACTUALIZADO POR EYR","SIN REPORTE EYR")))</f>
        <v/>
      </c>
    </row>
    <row r="2016" spans="11:30" x14ac:dyDescent="0.3">
      <c r="K2016" s="1" t="str">
        <f ca="1">IF(A2016="","",IF(OR(L2016="ENTREGADA",L2016="RETORNADA",L2016="ENTREGA DIGITAL"),0,MAX(0,5-NETWORKDAYS(H2016+1,TODAY()))))</f>
        <v/>
      </c>
      <c r="L2016" t="str">
        <f>IF(A2016="","",IFERROR(LOOKUP(2,1/(#REF!=Z2016),#REF!),Y2016))</f>
        <v/>
      </c>
      <c r="Z2016" t="str">
        <f>IF(A2016="","",TEXT(A2016,"0")&amp;"|"&amp;TEXT(H2016,"0"))</f>
        <v/>
      </c>
      <c r="AA2016" t="str">
        <f>IF(Z2016="","",IFERROR(LOOKUP(2,1/(#REF!=Z2016),#REF!),""))</f>
        <v/>
      </c>
      <c r="AB2016" t="str">
        <f>IF(Z2016="","",IFERROR(LOOKUP(2,1/(#REF!=Z2016),#REF!),""))</f>
        <v/>
      </c>
      <c r="AC2016" t="str">
        <f>IF(Z2016="","",COUNTIF(#REF!,Z2016))</f>
        <v/>
      </c>
      <c r="AD2016" t="str">
        <f>IF(A2016="","",IF(AC2016&gt;1,"REVISAR DUPLICADO",IF(AA2016&lt;&gt;"","ACTUALIZADO POR EYR","SIN REPORTE EYR")))</f>
        <v/>
      </c>
    </row>
    <row r="2017" spans="11:30" x14ac:dyDescent="0.3">
      <c r="K2017" s="1" t="str">
        <f ca="1">IF(A2017="","",IF(OR(L2017="ENTREGADA",L2017="RETORNADA",L2017="ENTREGA DIGITAL"),0,MAX(0,5-NETWORKDAYS(H2017+1,TODAY()))))</f>
        <v/>
      </c>
      <c r="L2017" t="str">
        <f>IF(A2017="","",IFERROR(LOOKUP(2,1/(#REF!=Z2017),#REF!),Y2017))</f>
        <v/>
      </c>
      <c r="Z2017" t="str">
        <f>IF(A2017="","",TEXT(A2017,"0")&amp;"|"&amp;TEXT(H2017,"0"))</f>
        <v/>
      </c>
      <c r="AA2017" t="str">
        <f>IF(Z2017="","",IFERROR(LOOKUP(2,1/(#REF!=Z2017),#REF!),""))</f>
        <v/>
      </c>
      <c r="AB2017" t="str">
        <f>IF(Z2017="","",IFERROR(LOOKUP(2,1/(#REF!=Z2017),#REF!),""))</f>
        <v/>
      </c>
      <c r="AC2017" t="str">
        <f>IF(Z2017="","",COUNTIF(#REF!,Z2017))</f>
        <v/>
      </c>
      <c r="AD2017" t="str">
        <f>IF(A2017="","",IF(AC2017&gt;1,"REVISAR DUPLICADO",IF(AA2017&lt;&gt;"","ACTUALIZADO POR EYR","SIN REPORTE EYR")))</f>
        <v/>
      </c>
    </row>
    <row r="2018" spans="11:30" x14ac:dyDescent="0.3">
      <c r="K2018" s="1" t="str">
        <f ca="1">IF(A2018="","",IF(OR(L2018="ENTREGADA",L2018="RETORNADA",L2018="ENTREGA DIGITAL"),0,MAX(0,5-NETWORKDAYS(H2018+1,TODAY()))))</f>
        <v/>
      </c>
      <c r="L2018" t="str">
        <f>IF(A2018="","",IFERROR(LOOKUP(2,1/(#REF!=Z2018),#REF!),Y2018))</f>
        <v/>
      </c>
      <c r="Z2018" t="str">
        <f>IF(A2018="","",TEXT(A2018,"0")&amp;"|"&amp;TEXT(H2018,"0"))</f>
        <v/>
      </c>
      <c r="AA2018" t="str">
        <f>IF(Z2018="","",IFERROR(LOOKUP(2,1/(#REF!=Z2018),#REF!),""))</f>
        <v/>
      </c>
      <c r="AB2018" t="str">
        <f>IF(Z2018="","",IFERROR(LOOKUP(2,1/(#REF!=Z2018),#REF!),""))</f>
        <v/>
      </c>
      <c r="AC2018" t="str">
        <f>IF(Z2018="","",COUNTIF(#REF!,Z2018))</f>
        <v/>
      </c>
      <c r="AD2018" t="str">
        <f>IF(A2018="","",IF(AC2018&gt;1,"REVISAR DUPLICADO",IF(AA2018&lt;&gt;"","ACTUALIZADO POR EYR","SIN REPORTE EYR")))</f>
        <v/>
      </c>
    </row>
    <row r="2019" spans="11:30" x14ac:dyDescent="0.3">
      <c r="K2019" s="1" t="str">
        <f ca="1">IF(A2019="","",IF(OR(L2019="ENTREGADA",L2019="RETORNADA",L2019="ENTREGA DIGITAL"),0,MAX(0,5-NETWORKDAYS(H2019+1,TODAY()))))</f>
        <v/>
      </c>
      <c r="L2019" t="str">
        <f>IF(A2019="","",IFERROR(LOOKUP(2,1/(#REF!=Z2019),#REF!),Y2019))</f>
        <v/>
      </c>
      <c r="Z2019" t="str">
        <f>IF(A2019="","",TEXT(A2019,"0")&amp;"|"&amp;TEXT(H2019,"0"))</f>
        <v/>
      </c>
      <c r="AA2019" t="str">
        <f>IF(Z2019="","",IFERROR(LOOKUP(2,1/(#REF!=Z2019),#REF!),""))</f>
        <v/>
      </c>
      <c r="AB2019" t="str">
        <f>IF(Z2019="","",IFERROR(LOOKUP(2,1/(#REF!=Z2019),#REF!),""))</f>
        <v/>
      </c>
      <c r="AC2019" t="str">
        <f>IF(Z2019="","",COUNTIF(#REF!,Z2019))</f>
        <v/>
      </c>
      <c r="AD2019" t="str">
        <f>IF(A2019="","",IF(AC2019&gt;1,"REVISAR DUPLICADO",IF(AA2019&lt;&gt;"","ACTUALIZADO POR EYR","SIN REPORTE EYR")))</f>
        <v/>
      </c>
    </row>
    <row r="2020" spans="11:30" x14ac:dyDescent="0.3">
      <c r="K2020" s="1" t="str">
        <f ca="1">IF(A2020="","",IF(OR(L2020="ENTREGADA",L2020="RETORNADA",L2020="ENTREGA DIGITAL"),0,MAX(0,5-NETWORKDAYS(H2020+1,TODAY()))))</f>
        <v/>
      </c>
      <c r="L2020" t="str">
        <f>IF(A2020="","",IFERROR(LOOKUP(2,1/(#REF!=Z2020),#REF!),Y2020))</f>
        <v/>
      </c>
      <c r="Z2020" t="str">
        <f>IF(A2020="","",TEXT(A2020,"0")&amp;"|"&amp;TEXT(H2020,"0"))</f>
        <v/>
      </c>
      <c r="AA2020" t="str">
        <f>IF(Z2020="","",IFERROR(LOOKUP(2,1/(#REF!=Z2020),#REF!),""))</f>
        <v/>
      </c>
      <c r="AB2020" t="str">
        <f>IF(Z2020="","",IFERROR(LOOKUP(2,1/(#REF!=Z2020),#REF!),""))</f>
        <v/>
      </c>
      <c r="AC2020" t="str">
        <f>IF(Z2020="","",COUNTIF(#REF!,Z2020))</f>
        <v/>
      </c>
      <c r="AD2020" t="str">
        <f>IF(A2020="","",IF(AC2020&gt;1,"REVISAR DUPLICADO",IF(AA2020&lt;&gt;"","ACTUALIZADO POR EYR","SIN REPORTE EYR")))</f>
        <v/>
      </c>
    </row>
    <row r="2021" spans="11:30" x14ac:dyDescent="0.3">
      <c r="K2021" s="1" t="str">
        <f ca="1">IF(A2021="","",IF(OR(L2021="ENTREGADA",L2021="RETORNADA",L2021="ENTREGA DIGITAL"),0,MAX(0,5-NETWORKDAYS(H2021+1,TODAY()))))</f>
        <v/>
      </c>
      <c r="L2021" t="str">
        <f>IF(A2021="","",IFERROR(LOOKUP(2,1/(#REF!=Z2021),#REF!),Y2021))</f>
        <v/>
      </c>
      <c r="Z2021" t="str">
        <f>IF(A2021="","",TEXT(A2021,"0")&amp;"|"&amp;TEXT(H2021,"0"))</f>
        <v/>
      </c>
      <c r="AA2021" t="str">
        <f>IF(Z2021="","",IFERROR(LOOKUP(2,1/(#REF!=Z2021),#REF!),""))</f>
        <v/>
      </c>
      <c r="AB2021" t="str">
        <f>IF(Z2021="","",IFERROR(LOOKUP(2,1/(#REF!=Z2021),#REF!),""))</f>
        <v/>
      </c>
      <c r="AC2021" t="str">
        <f>IF(Z2021="","",COUNTIF(#REF!,Z2021))</f>
        <v/>
      </c>
      <c r="AD2021" t="str">
        <f>IF(A2021="","",IF(AC2021&gt;1,"REVISAR DUPLICADO",IF(AA2021&lt;&gt;"","ACTUALIZADO POR EYR","SIN REPORTE EYR")))</f>
        <v/>
      </c>
    </row>
    <row r="2022" spans="11:30" x14ac:dyDescent="0.3">
      <c r="K2022" s="1" t="str">
        <f ca="1">IF(A2022="","",IF(OR(L2022="ENTREGADA",L2022="RETORNADA",L2022="ENTREGA DIGITAL"),0,MAX(0,5-NETWORKDAYS(H2022+1,TODAY()))))</f>
        <v/>
      </c>
      <c r="L2022" t="str">
        <f>IF(A2022="","",IFERROR(LOOKUP(2,1/(#REF!=Z2022),#REF!),Y2022))</f>
        <v/>
      </c>
      <c r="Z2022" t="str">
        <f>IF(A2022="","",TEXT(A2022,"0")&amp;"|"&amp;TEXT(H2022,"0"))</f>
        <v/>
      </c>
      <c r="AA2022" t="str">
        <f>IF(Z2022="","",IFERROR(LOOKUP(2,1/(#REF!=Z2022),#REF!),""))</f>
        <v/>
      </c>
      <c r="AB2022" t="str">
        <f>IF(Z2022="","",IFERROR(LOOKUP(2,1/(#REF!=Z2022),#REF!),""))</f>
        <v/>
      </c>
      <c r="AC2022" t="str">
        <f>IF(Z2022="","",COUNTIF(#REF!,Z2022))</f>
        <v/>
      </c>
      <c r="AD2022" t="str">
        <f>IF(A2022="","",IF(AC2022&gt;1,"REVISAR DUPLICADO",IF(AA2022&lt;&gt;"","ACTUALIZADO POR EYR","SIN REPORTE EYR")))</f>
        <v/>
      </c>
    </row>
    <row r="2023" spans="11:30" x14ac:dyDescent="0.3">
      <c r="K2023" s="1" t="str">
        <f ca="1">IF(A2023="","",IF(OR(L2023="ENTREGADA",L2023="RETORNADA",L2023="ENTREGA DIGITAL"),0,MAX(0,5-NETWORKDAYS(H2023+1,TODAY()))))</f>
        <v/>
      </c>
      <c r="L2023" t="str">
        <f>IF(A2023="","",IFERROR(LOOKUP(2,1/(#REF!=Z2023),#REF!),Y2023))</f>
        <v/>
      </c>
      <c r="Z2023" t="str">
        <f>IF(A2023="","",TEXT(A2023,"0")&amp;"|"&amp;TEXT(H2023,"0"))</f>
        <v/>
      </c>
      <c r="AA2023" t="str">
        <f>IF(Z2023="","",IFERROR(LOOKUP(2,1/(#REF!=Z2023),#REF!),""))</f>
        <v/>
      </c>
      <c r="AB2023" t="str">
        <f>IF(Z2023="","",IFERROR(LOOKUP(2,1/(#REF!=Z2023),#REF!),""))</f>
        <v/>
      </c>
      <c r="AC2023" t="str">
        <f>IF(Z2023="","",COUNTIF(#REF!,Z2023))</f>
        <v/>
      </c>
      <c r="AD2023" t="str">
        <f>IF(A2023="","",IF(AC2023&gt;1,"REVISAR DUPLICADO",IF(AA2023&lt;&gt;"","ACTUALIZADO POR EYR","SIN REPORTE EYR")))</f>
        <v/>
      </c>
    </row>
    <row r="2024" spans="11:30" x14ac:dyDescent="0.3">
      <c r="K2024" s="1" t="str">
        <f ca="1">IF(A2024="","",IF(OR(L2024="ENTREGADA",L2024="RETORNADA",L2024="ENTREGA DIGITAL"),0,MAX(0,5-NETWORKDAYS(H2024+1,TODAY()))))</f>
        <v/>
      </c>
      <c r="L2024" t="str">
        <f>IF(A2024="","",IFERROR(LOOKUP(2,1/(#REF!=Z2024),#REF!),Y2024))</f>
        <v/>
      </c>
      <c r="Z2024" t="str">
        <f>IF(A2024="","",TEXT(A2024,"0")&amp;"|"&amp;TEXT(H2024,"0"))</f>
        <v/>
      </c>
      <c r="AA2024" t="str">
        <f>IF(Z2024="","",IFERROR(LOOKUP(2,1/(#REF!=Z2024),#REF!),""))</f>
        <v/>
      </c>
      <c r="AB2024" t="str">
        <f>IF(Z2024="","",IFERROR(LOOKUP(2,1/(#REF!=Z2024),#REF!),""))</f>
        <v/>
      </c>
      <c r="AC2024" t="str">
        <f>IF(Z2024="","",COUNTIF(#REF!,Z2024))</f>
        <v/>
      </c>
      <c r="AD2024" t="str">
        <f>IF(A2024="","",IF(AC2024&gt;1,"REVISAR DUPLICADO",IF(AA2024&lt;&gt;"","ACTUALIZADO POR EYR","SIN REPORTE EYR")))</f>
        <v/>
      </c>
    </row>
    <row r="2025" spans="11:30" x14ac:dyDescent="0.3">
      <c r="K2025" s="1" t="str">
        <f ca="1">IF(A2025="","",IF(OR(L2025="ENTREGADA",L2025="RETORNADA",L2025="ENTREGA DIGITAL"),0,MAX(0,5-NETWORKDAYS(H2025+1,TODAY()))))</f>
        <v/>
      </c>
      <c r="L2025" t="str">
        <f>IF(A2025="","",IFERROR(LOOKUP(2,1/(#REF!=Z2025),#REF!),Y2025))</f>
        <v/>
      </c>
      <c r="Z2025" t="str">
        <f>IF(A2025="","",TEXT(A2025,"0")&amp;"|"&amp;TEXT(H2025,"0"))</f>
        <v/>
      </c>
      <c r="AA2025" t="str">
        <f>IF(Z2025="","",IFERROR(LOOKUP(2,1/(#REF!=Z2025),#REF!),""))</f>
        <v/>
      </c>
      <c r="AB2025" t="str">
        <f>IF(Z2025="","",IFERROR(LOOKUP(2,1/(#REF!=Z2025),#REF!),""))</f>
        <v/>
      </c>
      <c r="AC2025" t="str">
        <f>IF(Z2025="","",COUNTIF(#REF!,Z2025))</f>
        <v/>
      </c>
      <c r="AD2025" t="str">
        <f>IF(A2025="","",IF(AC2025&gt;1,"REVISAR DUPLICADO",IF(AA2025&lt;&gt;"","ACTUALIZADO POR EYR","SIN REPORTE EYR")))</f>
        <v/>
      </c>
    </row>
    <row r="2026" spans="11:30" x14ac:dyDescent="0.3">
      <c r="K2026" s="1" t="str">
        <f ca="1">IF(A2026="","",IF(OR(L2026="ENTREGADA",L2026="RETORNADA",L2026="ENTREGA DIGITAL"),0,MAX(0,5-NETWORKDAYS(H2026+1,TODAY()))))</f>
        <v/>
      </c>
      <c r="L2026" t="str">
        <f>IF(A2026="","",IFERROR(LOOKUP(2,1/(#REF!=Z2026),#REF!),Y2026))</f>
        <v/>
      </c>
      <c r="Z2026" t="str">
        <f>IF(A2026="","",TEXT(A2026,"0")&amp;"|"&amp;TEXT(H2026,"0"))</f>
        <v/>
      </c>
      <c r="AA2026" t="str">
        <f>IF(Z2026="","",IFERROR(LOOKUP(2,1/(#REF!=Z2026),#REF!),""))</f>
        <v/>
      </c>
      <c r="AB2026" t="str">
        <f>IF(Z2026="","",IFERROR(LOOKUP(2,1/(#REF!=Z2026),#REF!),""))</f>
        <v/>
      </c>
      <c r="AC2026" t="str">
        <f>IF(Z2026="","",COUNTIF(#REF!,Z2026))</f>
        <v/>
      </c>
      <c r="AD2026" t="str">
        <f>IF(A2026="","",IF(AC2026&gt;1,"REVISAR DUPLICADO",IF(AA2026&lt;&gt;"","ACTUALIZADO POR EYR","SIN REPORTE EYR")))</f>
        <v/>
      </c>
    </row>
    <row r="2027" spans="11:30" x14ac:dyDescent="0.3">
      <c r="K2027" s="1" t="str">
        <f ca="1">IF(A2027="","",IF(OR(L2027="ENTREGADA",L2027="RETORNADA",L2027="ENTREGA DIGITAL"),0,MAX(0,5-NETWORKDAYS(H2027+1,TODAY()))))</f>
        <v/>
      </c>
      <c r="L2027" t="str">
        <f>IF(A2027="","",IFERROR(LOOKUP(2,1/(#REF!=Z2027),#REF!),Y2027))</f>
        <v/>
      </c>
      <c r="Z2027" t="str">
        <f>IF(A2027="","",TEXT(A2027,"0")&amp;"|"&amp;TEXT(H2027,"0"))</f>
        <v/>
      </c>
      <c r="AA2027" t="str">
        <f>IF(Z2027="","",IFERROR(LOOKUP(2,1/(#REF!=Z2027),#REF!),""))</f>
        <v/>
      </c>
      <c r="AB2027" t="str">
        <f>IF(Z2027="","",IFERROR(LOOKUP(2,1/(#REF!=Z2027),#REF!),""))</f>
        <v/>
      </c>
      <c r="AC2027" t="str">
        <f>IF(Z2027="","",COUNTIF(#REF!,Z2027))</f>
        <v/>
      </c>
      <c r="AD2027" t="str">
        <f>IF(A2027="","",IF(AC2027&gt;1,"REVISAR DUPLICADO",IF(AA2027&lt;&gt;"","ACTUALIZADO POR EYR","SIN REPORTE EYR")))</f>
        <v/>
      </c>
    </row>
    <row r="2028" spans="11:30" x14ac:dyDescent="0.3">
      <c r="K2028" s="1" t="str">
        <f ca="1">IF(A2028="","",IF(OR(L2028="ENTREGADA",L2028="RETORNADA",L2028="ENTREGA DIGITAL"),0,MAX(0,5-NETWORKDAYS(H2028+1,TODAY()))))</f>
        <v/>
      </c>
      <c r="L2028" t="str">
        <f>IF(A2028="","",IFERROR(LOOKUP(2,1/(#REF!=Z2028),#REF!),Y2028))</f>
        <v/>
      </c>
      <c r="Z2028" t="str">
        <f>IF(A2028="","",TEXT(A2028,"0")&amp;"|"&amp;TEXT(H2028,"0"))</f>
        <v/>
      </c>
      <c r="AA2028" t="str">
        <f>IF(Z2028="","",IFERROR(LOOKUP(2,1/(#REF!=Z2028),#REF!),""))</f>
        <v/>
      </c>
      <c r="AB2028" t="str">
        <f>IF(Z2028="","",IFERROR(LOOKUP(2,1/(#REF!=Z2028),#REF!),""))</f>
        <v/>
      </c>
      <c r="AC2028" t="str">
        <f>IF(Z2028="","",COUNTIF(#REF!,Z2028))</f>
        <v/>
      </c>
      <c r="AD2028" t="str">
        <f>IF(A2028="","",IF(AC2028&gt;1,"REVISAR DUPLICADO",IF(AA2028&lt;&gt;"","ACTUALIZADO POR EYR","SIN REPORTE EYR")))</f>
        <v/>
      </c>
    </row>
    <row r="2029" spans="11:30" x14ac:dyDescent="0.3">
      <c r="K2029" s="1" t="str">
        <f ca="1">IF(A2029="","",IF(OR(L2029="ENTREGADA",L2029="RETORNADA",L2029="ENTREGA DIGITAL"),0,MAX(0,5-NETWORKDAYS(H2029+1,TODAY()))))</f>
        <v/>
      </c>
      <c r="L2029" t="str">
        <f>IF(A2029="","",IFERROR(LOOKUP(2,1/(#REF!=Z2029),#REF!),Y2029))</f>
        <v/>
      </c>
      <c r="Z2029" t="str">
        <f>IF(A2029="","",TEXT(A2029,"0")&amp;"|"&amp;TEXT(H2029,"0"))</f>
        <v/>
      </c>
      <c r="AA2029" t="str">
        <f>IF(Z2029="","",IFERROR(LOOKUP(2,1/(#REF!=Z2029),#REF!),""))</f>
        <v/>
      </c>
      <c r="AB2029" t="str">
        <f>IF(Z2029="","",IFERROR(LOOKUP(2,1/(#REF!=Z2029),#REF!),""))</f>
        <v/>
      </c>
      <c r="AC2029" t="str">
        <f>IF(Z2029="","",COUNTIF(#REF!,Z2029))</f>
        <v/>
      </c>
      <c r="AD2029" t="str">
        <f>IF(A2029="","",IF(AC2029&gt;1,"REVISAR DUPLICADO",IF(AA2029&lt;&gt;"","ACTUALIZADO POR EYR","SIN REPORTE EYR")))</f>
        <v/>
      </c>
    </row>
    <row r="2030" spans="11:30" x14ac:dyDescent="0.3">
      <c r="K2030" s="1" t="str">
        <f ca="1">IF(A2030="","",IF(OR(L2030="ENTREGADA",L2030="RETORNADA",L2030="ENTREGA DIGITAL"),0,MAX(0,5-NETWORKDAYS(H2030+1,TODAY()))))</f>
        <v/>
      </c>
      <c r="L2030" t="str">
        <f>IF(A2030="","",IFERROR(LOOKUP(2,1/(#REF!=Z2030),#REF!),Y2030))</f>
        <v/>
      </c>
      <c r="Z2030" t="str">
        <f>IF(A2030="","",TEXT(A2030,"0")&amp;"|"&amp;TEXT(H2030,"0"))</f>
        <v/>
      </c>
      <c r="AA2030" t="str">
        <f>IF(Z2030="","",IFERROR(LOOKUP(2,1/(#REF!=Z2030),#REF!),""))</f>
        <v/>
      </c>
      <c r="AB2030" t="str">
        <f>IF(Z2030="","",IFERROR(LOOKUP(2,1/(#REF!=Z2030),#REF!),""))</f>
        <v/>
      </c>
      <c r="AC2030" t="str">
        <f>IF(Z2030="","",COUNTIF(#REF!,Z2030))</f>
        <v/>
      </c>
      <c r="AD2030" t="str">
        <f>IF(A2030="","",IF(AC2030&gt;1,"REVISAR DUPLICADO",IF(AA2030&lt;&gt;"","ACTUALIZADO POR EYR","SIN REPORTE EYR")))</f>
        <v/>
      </c>
    </row>
    <row r="2031" spans="11:30" x14ac:dyDescent="0.3">
      <c r="K2031" s="1" t="str">
        <f ca="1">IF(A2031="","",IF(OR(L2031="ENTREGADA",L2031="RETORNADA",L2031="ENTREGA DIGITAL"),0,MAX(0,5-NETWORKDAYS(H2031+1,TODAY()))))</f>
        <v/>
      </c>
      <c r="L2031" t="str">
        <f>IF(A2031="","",IFERROR(LOOKUP(2,1/(#REF!=Z2031),#REF!),Y2031))</f>
        <v/>
      </c>
      <c r="Z2031" t="str">
        <f>IF(A2031="","",TEXT(A2031,"0")&amp;"|"&amp;TEXT(H2031,"0"))</f>
        <v/>
      </c>
      <c r="AA2031" t="str">
        <f>IF(Z2031="","",IFERROR(LOOKUP(2,1/(#REF!=Z2031),#REF!),""))</f>
        <v/>
      </c>
      <c r="AB2031" t="str">
        <f>IF(Z2031="","",IFERROR(LOOKUP(2,1/(#REF!=Z2031),#REF!),""))</f>
        <v/>
      </c>
      <c r="AC2031" t="str">
        <f>IF(Z2031="","",COUNTIF(#REF!,Z2031))</f>
        <v/>
      </c>
      <c r="AD2031" t="str">
        <f>IF(A2031="","",IF(AC2031&gt;1,"REVISAR DUPLICADO",IF(AA2031&lt;&gt;"","ACTUALIZADO POR EYR","SIN REPORTE EYR")))</f>
        <v/>
      </c>
    </row>
    <row r="2032" spans="11:30" x14ac:dyDescent="0.3">
      <c r="K2032" s="1" t="str">
        <f ca="1">IF(A2032="","",IF(OR(L2032="ENTREGADA",L2032="RETORNADA",L2032="ENTREGA DIGITAL"),0,MAX(0,5-NETWORKDAYS(H2032+1,TODAY()))))</f>
        <v/>
      </c>
      <c r="L2032" t="str">
        <f>IF(A2032="","",IFERROR(LOOKUP(2,1/(#REF!=Z2032),#REF!),Y2032))</f>
        <v/>
      </c>
      <c r="Z2032" t="str">
        <f>IF(A2032="","",TEXT(A2032,"0")&amp;"|"&amp;TEXT(H2032,"0"))</f>
        <v/>
      </c>
      <c r="AA2032" t="str">
        <f>IF(Z2032="","",IFERROR(LOOKUP(2,1/(#REF!=Z2032),#REF!),""))</f>
        <v/>
      </c>
      <c r="AB2032" t="str">
        <f>IF(Z2032="","",IFERROR(LOOKUP(2,1/(#REF!=Z2032),#REF!),""))</f>
        <v/>
      </c>
      <c r="AC2032" t="str">
        <f>IF(Z2032="","",COUNTIF(#REF!,Z2032))</f>
        <v/>
      </c>
      <c r="AD2032" t="str">
        <f>IF(A2032="","",IF(AC2032&gt;1,"REVISAR DUPLICADO",IF(AA2032&lt;&gt;"","ACTUALIZADO POR EYR","SIN REPORTE EYR")))</f>
        <v/>
      </c>
    </row>
    <row r="2033" spans="11:30" x14ac:dyDescent="0.3">
      <c r="K2033" s="1" t="str">
        <f ca="1">IF(A2033="","",IF(OR(L2033="ENTREGADA",L2033="RETORNADA",L2033="ENTREGA DIGITAL"),0,MAX(0,5-NETWORKDAYS(H2033+1,TODAY()))))</f>
        <v/>
      </c>
      <c r="L2033" t="str">
        <f>IF(A2033="","",IFERROR(LOOKUP(2,1/(#REF!=Z2033),#REF!),Y2033))</f>
        <v/>
      </c>
      <c r="Z2033" t="str">
        <f>IF(A2033="","",TEXT(A2033,"0")&amp;"|"&amp;TEXT(H2033,"0"))</f>
        <v/>
      </c>
      <c r="AA2033" t="str">
        <f>IF(Z2033="","",IFERROR(LOOKUP(2,1/(#REF!=Z2033),#REF!),""))</f>
        <v/>
      </c>
      <c r="AB2033" t="str">
        <f>IF(Z2033="","",IFERROR(LOOKUP(2,1/(#REF!=Z2033),#REF!),""))</f>
        <v/>
      </c>
      <c r="AC2033" t="str">
        <f>IF(Z2033="","",COUNTIF(#REF!,Z2033))</f>
        <v/>
      </c>
      <c r="AD2033" t="str">
        <f>IF(A2033="","",IF(AC2033&gt;1,"REVISAR DUPLICADO",IF(AA2033&lt;&gt;"","ACTUALIZADO POR EYR","SIN REPORTE EYR")))</f>
        <v/>
      </c>
    </row>
    <row r="2034" spans="11:30" x14ac:dyDescent="0.3">
      <c r="K2034" s="1" t="str">
        <f ca="1">IF(A2034="","",IF(OR(L2034="ENTREGADA",L2034="RETORNADA",L2034="ENTREGA DIGITAL"),0,MAX(0,5-NETWORKDAYS(H2034+1,TODAY()))))</f>
        <v/>
      </c>
      <c r="L2034" t="str">
        <f>IF(A2034="","",IFERROR(LOOKUP(2,1/(#REF!=Z2034),#REF!),Y2034))</f>
        <v/>
      </c>
      <c r="Z2034" t="str">
        <f>IF(A2034="","",TEXT(A2034,"0")&amp;"|"&amp;TEXT(H2034,"0"))</f>
        <v/>
      </c>
      <c r="AA2034" t="str">
        <f>IF(Z2034="","",IFERROR(LOOKUP(2,1/(#REF!=Z2034),#REF!),""))</f>
        <v/>
      </c>
      <c r="AB2034" t="str">
        <f>IF(Z2034="","",IFERROR(LOOKUP(2,1/(#REF!=Z2034),#REF!),""))</f>
        <v/>
      </c>
      <c r="AC2034" t="str">
        <f>IF(Z2034="","",COUNTIF(#REF!,Z2034))</f>
        <v/>
      </c>
      <c r="AD2034" t="str">
        <f>IF(A2034="","",IF(AC2034&gt;1,"REVISAR DUPLICADO",IF(AA2034&lt;&gt;"","ACTUALIZADO POR EYR","SIN REPORTE EYR")))</f>
        <v/>
      </c>
    </row>
    <row r="2035" spans="11:30" x14ac:dyDescent="0.3">
      <c r="K2035" s="1" t="str">
        <f ca="1">IF(A2035="","",IF(OR(L2035="ENTREGADA",L2035="RETORNADA",L2035="ENTREGA DIGITAL"),0,MAX(0,5-NETWORKDAYS(H2035+1,TODAY()))))</f>
        <v/>
      </c>
      <c r="L2035" t="str">
        <f>IF(A2035="","",IFERROR(LOOKUP(2,1/(#REF!=Z2035),#REF!),Y2035))</f>
        <v/>
      </c>
      <c r="Z2035" t="str">
        <f>IF(A2035="","",TEXT(A2035,"0")&amp;"|"&amp;TEXT(H2035,"0"))</f>
        <v/>
      </c>
      <c r="AA2035" t="str">
        <f>IF(Z2035="","",IFERROR(LOOKUP(2,1/(#REF!=Z2035),#REF!),""))</f>
        <v/>
      </c>
      <c r="AB2035" t="str">
        <f>IF(Z2035="","",IFERROR(LOOKUP(2,1/(#REF!=Z2035),#REF!),""))</f>
        <v/>
      </c>
      <c r="AC2035" t="str">
        <f>IF(Z2035="","",COUNTIF(#REF!,Z2035))</f>
        <v/>
      </c>
      <c r="AD2035" t="str">
        <f>IF(A2035="","",IF(AC2035&gt;1,"REVISAR DUPLICADO",IF(AA2035&lt;&gt;"","ACTUALIZADO POR EYR","SIN REPORTE EYR")))</f>
        <v/>
      </c>
    </row>
    <row r="2036" spans="11:30" x14ac:dyDescent="0.3">
      <c r="K2036" s="1" t="str">
        <f ca="1">IF(A2036="","",IF(OR(L2036="ENTREGADA",L2036="RETORNADA",L2036="ENTREGA DIGITAL"),0,MAX(0,5-NETWORKDAYS(H2036+1,TODAY()))))</f>
        <v/>
      </c>
      <c r="L2036" t="str">
        <f>IF(A2036="","",IFERROR(LOOKUP(2,1/(#REF!=Z2036),#REF!),Y2036))</f>
        <v/>
      </c>
      <c r="Z2036" t="str">
        <f>IF(A2036="","",TEXT(A2036,"0")&amp;"|"&amp;TEXT(H2036,"0"))</f>
        <v/>
      </c>
      <c r="AA2036" t="str">
        <f>IF(Z2036="","",IFERROR(LOOKUP(2,1/(#REF!=Z2036),#REF!),""))</f>
        <v/>
      </c>
      <c r="AB2036" t="str">
        <f>IF(Z2036="","",IFERROR(LOOKUP(2,1/(#REF!=Z2036),#REF!),""))</f>
        <v/>
      </c>
      <c r="AC2036" t="str">
        <f>IF(Z2036="","",COUNTIF(#REF!,Z2036))</f>
        <v/>
      </c>
      <c r="AD2036" t="str">
        <f>IF(A2036="","",IF(AC2036&gt;1,"REVISAR DUPLICADO",IF(AA2036&lt;&gt;"","ACTUALIZADO POR EYR","SIN REPORTE EYR")))</f>
        <v/>
      </c>
    </row>
    <row r="2037" spans="11:30" x14ac:dyDescent="0.3">
      <c r="K2037" s="1" t="str">
        <f ca="1">IF(A2037="","",IF(OR(L2037="ENTREGADA",L2037="RETORNADA",L2037="ENTREGA DIGITAL"),0,MAX(0,5-NETWORKDAYS(H2037+1,TODAY()))))</f>
        <v/>
      </c>
      <c r="L2037" t="str">
        <f>IF(A2037="","",IFERROR(LOOKUP(2,1/(#REF!=Z2037),#REF!),Y2037))</f>
        <v/>
      </c>
      <c r="Z2037" t="str">
        <f>IF(A2037="","",TEXT(A2037,"0")&amp;"|"&amp;TEXT(H2037,"0"))</f>
        <v/>
      </c>
      <c r="AA2037" t="str">
        <f>IF(Z2037="","",IFERROR(LOOKUP(2,1/(#REF!=Z2037),#REF!),""))</f>
        <v/>
      </c>
      <c r="AB2037" t="str">
        <f>IF(Z2037="","",IFERROR(LOOKUP(2,1/(#REF!=Z2037),#REF!),""))</f>
        <v/>
      </c>
      <c r="AC2037" t="str">
        <f>IF(Z2037="","",COUNTIF(#REF!,Z2037))</f>
        <v/>
      </c>
      <c r="AD2037" t="str">
        <f>IF(A2037="","",IF(AC2037&gt;1,"REVISAR DUPLICADO",IF(AA2037&lt;&gt;"","ACTUALIZADO POR EYR","SIN REPORTE EYR")))</f>
        <v/>
      </c>
    </row>
    <row r="2038" spans="11:30" x14ac:dyDescent="0.3">
      <c r="K2038" s="1" t="str">
        <f ca="1">IF(A2038="","",IF(OR(L2038="ENTREGADA",L2038="RETORNADA",L2038="ENTREGA DIGITAL"),0,MAX(0,5-NETWORKDAYS(H2038+1,TODAY()))))</f>
        <v/>
      </c>
      <c r="L2038" t="str">
        <f>IF(A2038="","",IFERROR(LOOKUP(2,1/(#REF!=Z2038),#REF!),Y2038))</f>
        <v/>
      </c>
      <c r="Z2038" t="str">
        <f>IF(A2038="","",TEXT(A2038,"0")&amp;"|"&amp;TEXT(H2038,"0"))</f>
        <v/>
      </c>
      <c r="AA2038" t="str">
        <f>IF(Z2038="","",IFERROR(LOOKUP(2,1/(#REF!=Z2038),#REF!),""))</f>
        <v/>
      </c>
      <c r="AB2038" t="str">
        <f>IF(Z2038="","",IFERROR(LOOKUP(2,1/(#REF!=Z2038),#REF!),""))</f>
        <v/>
      </c>
      <c r="AC2038" t="str">
        <f>IF(Z2038="","",COUNTIF(#REF!,Z2038))</f>
        <v/>
      </c>
      <c r="AD2038" t="str">
        <f>IF(A2038="","",IF(AC2038&gt;1,"REVISAR DUPLICADO",IF(AA2038&lt;&gt;"","ACTUALIZADO POR EYR","SIN REPORTE EYR")))</f>
        <v/>
      </c>
    </row>
    <row r="2039" spans="11:30" x14ac:dyDescent="0.3">
      <c r="K2039" s="1" t="str">
        <f ca="1">IF(A2039="","",IF(OR(L2039="ENTREGADA",L2039="RETORNADA",L2039="ENTREGA DIGITAL"),0,MAX(0,5-NETWORKDAYS(H2039+1,TODAY()))))</f>
        <v/>
      </c>
      <c r="L2039" t="str">
        <f>IF(A2039="","",IFERROR(LOOKUP(2,1/(#REF!=Z2039),#REF!),Y2039))</f>
        <v/>
      </c>
      <c r="Z2039" t="str">
        <f>IF(A2039="","",TEXT(A2039,"0")&amp;"|"&amp;TEXT(H2039,"0"))</f>
        <v/>
      </c>
      <c r="AA2039" t="str">
        <f>IF(Z2039="","",IFERROR(LOOKUP(2,1/(#REF!=Z2039),#REF!),""))</f>
        <v/>
      </c>
      <c r="AB2039" t="str">
        <f>IF(Z2039="","",IFERROR(LOOKUP(2,1/(#REF!=Z2039),#REF!),""))</f>
        <v/>
      </c>
      <c r="AC2039" t="str">
        <f>IF(Z2039="","",COUNTIF(#REF!,Z2039))</f>
        <v/>
      </c>
      <c r="AD2039" t="str">
        <f>IF(A2039="","",IF(AC2039&gt;1,"REVISAR DUPLICADO",IF(AA2039&lt;&gt;"","ACTUALIZADO POR EYR","SIN REPORTE EYR")))</f>
        <v/>
      </c>
    </row>
    <row r="2040" spans="11:30" x14ac:dyDescent="0.3">
      <c r="K2040" s="1" t="str">
        <f ca="1">IF(A2040="","",IF(OR(L2040="ENTREGADA",L2040="RETORNADA",L2040="ENTREGA DIGITAL"),0,MAX(0,5-NETWORKDAYS(H2040+1,TODAY()))))</f>
        <v/>
      </c>
      <c r="L2040" t="str">
        <f>IF(A2040="","",IFERROR(LOOKUP(2,1/(#REF!=Z2040),#REF!),Y2040))</f>
        <v/>
      </c>
      <c r="Z2040" t="str">
        <f>IF(A2040="","",TEXT(A2040,"0")&amp;"|"&amp;TEXT(H2040,"0"))</f>
        <v/>
      </c>
      <c r="AA2040" t="str">
        <f>IF(Z2040="","",IFERROR(LOOKUP(2,1/(#REF!=Z2040),#REF!),""))</f>
        <v/>
      </c>
      <c r="AB2040" t="str">
        <f>IF(Z2040="","",IFERROR(LOOKUP(2,1/(#REF!=Z2040),#REF!),""))</f>
        <v/>
      </c>
      <c r="AC2040" t="str">
        <f>IF(Z2040="","",COUNTIF(#REF!,Z2040))</f>
        <v/>
      </c>
      <c r="AD2040" t="str">
        <f>IF(A2040="","",IF(AC2040&gt;1,"REVISAR DUPLICADO",IF(AA2040&lt;&gt;"","ACTUALIZADO POR EYR","SIN REPORTE EYR")))</f>
        <v/>
      </c>
    </row>
    <row r="2041" spans="11:30" x14ac:dyDescent="0.3">
      <c r="K2041" s="1" t="str">
        <f ca="1">IF(A2041="","",IF(OR(L2041="ENTREGADA",L2041="RETORNADA",L2041="ENTREGA DIGITAL"),0,MAX(0,5-NETWORKDAYS(H2041+1,TODAY()))))</f>
        <v/>
      </c>
      <c r="L2041" t="str">
        <f>IF(A2041="","",IFERROR(LOOKUP(2,1/(#REF!=Z2041),#REF!),Y2041))</f>
        <v/>
      </c>
      <c r="Z2041" t="str">
        <f>IF(A2041="","",TEXT(A2041,"0")&amp;"|"&amp;TEXT(H2041,"0"))</f>
        <v/>
      </c>
      <c r="AA2041" t="str">
        <f>IF(Z2041="","",IFERROR(LOOKUP(2,1/(#REF!=Z2041),#REF!),""))</f>
        <v/>
      </c>
      <c r="AB2041" t="str">
        <f>IF(Z2041="","",IFERROR(LOOKUP(2,1/(#REF!=Z2041),#REF!),""))</f>
        <v/>
      </c>
      <c r="AC2041" t="str">
        <f>IF(Z2041="","",COUNTIF(#REF!,Z2041))</f>
        <v/>
      </c>
      <c r="AD2041" t="str">
        <f>IF(A2041="","",IF(AC2041&gt;1,"REVISAR DUPLICADO",IF(AA2041&lt;&gt;"","ACTUALIZADO POR EYR","SIN REPORTE EYR")))</f>
        <v/>
      </c>
    </row>
    <row r="2042" spans="11:30" x14ac:dyDescent="0.3">
      <c r="K2042" s="1" t="str">
        <f ca="1">IF(A2042="","",IF(OR(L2042="ENTREGADA",L2042="RETORNADA",L2042="ENTREGA DIGITAL"),0,MAX(0,5-NETWORKDAYS(H2042+1,TODAY()))))</f>
        <v/>
      </c>
      <c r="L2042" t="str">
        <f>IF(A2042="","",IFERROR(LOOKUP(2,1/(#REF!=Z2042),#REF!),Y2042))</f>
        <v/>
      </c>
      <c r="Z2042" t="str">
        <f>IF(A2042="","",TEXT(A2042,"0")&amp;"|"&amp;TEXT(H2042,"0"))</f>
        <v/>
      </c>
      <c r="AA2042" t="str">
        <f>IF(Z2042="","",IFERROR(LOOKUP(2,1/(#REF!=Z2042),#REF!),""))</f>
        <v/>
      </c>
      <c r="AB2042" t="str">
        <f>IF(Z2042="","",IFERROR(LOOKUP(2,1/(#REF!=Z2042),#REF!),""))</f>
        <v/>
      </c>
      <c r="AC2042" t="str">
        <f>IF(Z2042="","",COUNTIF(#REF!,Z2042))</f>
        <v/>
      </c>
      <c r="AD2042" t="str">
        <f>IF(A2042="","",IF(AC2042&gt;1,"REVISAR DUPLICADO",IF(AA2042&lt;&gt;"","ACTUALIZADO POR EYR","SIN REPORTE EYR")))</f>
        <v/>
      </c>
    </row>
    <row r="2043" spans="11:30" x14ac:dyDescent="0.3">
      <c r="K2043" s="1" t="str">
        <f ca="1">IF(A2043="","",IF(OR(L2043="ENTREGADA",L2043="RETORNADA",L2043="ENTREGA DIGITAL"),0,MAX(0,5-NETWORKDAYS(H2043+1,TODAY()))))</f>
        <v/>
      </c>
      <c r="L2043" t="str">
        <f>IF(A2043="","",IFERROR(LOOKUP(2,1/(#REF!=Z2043),#REF!),Y2043))</f>
        <v/>
      </c>
      <c r="Z2043" t="str">
        <f>IF(A2043="","",TEXT(A2043,"0")&amp;"|"&amp;TEXT(H2043,"0"))</f>
        <v/>
      </c>
      <c r="AA2043" t="str">
        <f>IF(Z2043="","",IFERROR(LOOKUP(2,1/(#REF!=Z2043),#REF!),""))</f>
        <v/>
      </c>
      <c r="AB2043" t="str">
        <f>IF(Z2043="","",IFERROR(LOOKUP(2,1/(#REF!=Z2043),#REF!),""))</f>
        <v/>
      </c>
      <c r="AC2043" t="str">
        <f>IF(Z2043="","",COUNTIF(#REF!,Z2043))</f>
        <v/>
      </c>
      <c r="AD2043" t="str">
        <f>IF(A2043="","",IF(AC2043&gt;1,"REVISAR DUPLICADO",IF(AA2043&lt;&gt;"","ACTUALIZADO POR EYR","SIN REPORTE EYR")))</f>
        <v/>
      </c>
    </row>
    <row r="2044" spans="11:30" x14ac:dyDescent="0.3">
      <c r="K2044" s="1" t="str">
        <f ca="1">IF(A2044="","",IF(OR(L2044="ENTREGADA",L2044="RETORNADA",L2044="ENTREGA DIGITAL"),0,MAX(0,5-NETWORKDAYS(H2044+1,TODAY()))))</f>
        <v/>
      </c>
      <c r="L2044" t="str">
        <f>IF(A2044="","",IFERROR(LOOKUP(2,1/(#REF!=Z2044),#REF!),Y2044))</f>
        <v/>
      </c>
      <c r="Z2044" t="str">
        <f>IF(A2044="","",TEXT(A2044,"0")&amp;"|"&amp;TEXT(H2044,"0"))</f>
        <v/>
      </c>
      <c r="AA2044" t="str">
        <f>IF(Z2044="","",IFERROR(LOOKUP(2,1/(#REF!=Z2044),#REF!),""))</f>
        <v/>
      </c>
      <c r="AB2044" t="str">
        <f>IF(Z2044="","",IFERROR(LOOKUP(2,1/(#REF!=Z2044),#REF!),""))</f>
        <v/>
      </c>
      <c r="AC2044" t="str">
        <f>IF(Z2044="","",COUNTIF(#REF!,Z2044))</f>
        <v/>
      </c>
      <c r="AD2044" t="str">
        <f>IF(A2044="","",IF(AC2044&gt;1,"REVISAR DUPLICADO",IF(AA2044&lt;&gt;"","ACTUALIZADO POR EYR","SIN REPORTE EYR")))</f>
        <v/>
      </c>
    </row>
    <row r="2045" spans="11:30" x14ac:dyDescent="0.3">
      <c r="K2045" s="1" t="str">
        <f ca="1">IF(A2045="","",IF(OR(L2045="ENTREGADA",L2045="RETORNADA",L2045="ENTREGA DIGITAL"),0,MAX(0,5-NETWORKDAYS(H2045+1,TODAY()))))</f>
        <v/>
      </c>
      <c r="L2045" t="str">
        <f>IF(A2045="","",IFERROR(LOOKUP(2,1/(#REF!=Z2045),#REF!),Y2045))</f>
        <v/>
      </c>
      <c r="Z2045" t="str">
        <f>IF(A2045="","",TEXT(A2045,"0")&amp;"|"&amp;TEXT(H2045,"0"))</f>
        <v/>
      </c>
      <c r="AA2045" t="str">
        <f>IF(Z2045="","",IFERROR(LOOKUP(2,1/(#REF!=Z2045),#REF!),""))</f>
        <v/>
      </c>
      <c r="AB2045" t="str">
        <f>IF(Z2045="","",IFERROR(LOOKUP(2,1/(#REF!=Z2045),#REF!),""))</f>
        <v/>
      </c>
      <c r="AC2045" t="str">
        <f>IF(Z2045="","",COUNTIF(#REF!,Z2045))</f>
        <v/>
      </c>
      <c r="AD2045" t="str">
        <f>IF(A2045="","",IF(AC2045&gt;1,"REVISAR DUPLICADO",IF(AA2045&lt;&gt;"","ACTUALIZADO POR EYR","SIN REPORTE EYR")))</f>
        <v/>
      </c>
    </row>
    <row r="2046" spans="11:30" x14ac:dyDescent="0.3">
      <c r="K2046" s="1" t="str">
        <f ca="1">IF(A2046="","",IF(OR(L2046="ENTREGADA",L2046="RETORNADA",L2046="ENTREGA DIGITAL"),0,MAX(0,5-NETWORKDAYS(H2046+1,TODAY()))))</f>
        <v/>
      </c>
      <c r="L2046" t="str">
        <f>IF(A2046="","",IFERROR(LOOKUP(2,1/(#REF!=Z2046),#REF!),Y2046))</f>
        <v/>
      </c>
      <c r="Z2046" t="str">
        <f>IF(A2046="","",TEXT(A2046,"0")&amp;"|"&amp;TEXT(H2046,"0"))</f>
        <v/>
      </c>
      <c r="AA2046" t="str">
        <f>IF(Z2046="","",IFERROR(LOOKUP(2,1/(#REF!=Z2046),#REF!),""))</f>
        <v/>
      </c>
      <c r="AB2046" t="str">
        <f>IF(Z2046="","",IFERROR(LOOKUP(2,1/(#REF!=Z2046),#REF!),""))</f>
        <v/>
      </c>
      <c r="AC2046" t="str">
        <f>IF(Z2046="","",COUNTIF(#REF!,Z2046))</f>
        <v/>
      </c>
      <c r="AD2046" t="str">
        <f>IF(A2046="","",IF(AC2046&gt;1,"REVISAR DUPLICADO",IF(AA2046&lt;&gt;"","ACTUALIZADO POR EYR","SIN REPORTE EYR")))</f>
        <v/>
      </c>
    </row>
    <row r="2047" spans="11:30" x14ac:dyDescent="0.3">
      <c r="K2047" s="1" t="str">
        <f ca="1">IF(A2047="","",IF(OR(L2047="ENTREGADA",L2047="RETORNADA",L2047="ENTREGA DIGITAL"),0,MAX(0,5-NETWORKDAYS(H2047+1,TODAY()))))</f>
        <v/>
      </c>
      <c r="L2047" t="str">
        <f>IF(A2047="","",IFERROR(LOOKUP(2,1/(#REF!=Z2047),#REF!),Y2047))</f>
        <v/>
      </c>
      <c r="Z2047" t="str">
        <f>IF(A2047="","",TEXT(A2047,"0")&amp;"|"&amp;TEXT(H2047,"0"))</f>
        <v/>
      </c>
      <c r="AA2047" t="str">
        <f>IF(Z2047="","",IFERROR(LOOKUP(2,1/(#REF!=Z2047),#REF!),""))</f>
        <v/>
      </c>
      <c r="AB2047" t="str">
        <f>IF(Z2047="","",IFERROR(LOOKUP(2,1/(#REF!=Z2047),#REF!),""))</f>
        <v/>
      </c>
      <c r="AC2047" t="str">
        <f>IF(Z2047="","",COUNTIF(#REF!,Z2047))</f>
        <v/>
      </c>
      <c r="AD2047" t="str">
        <f>IF(A2047="","",IF(AC2047&gt;1,"REVISAR DUPLICADO",IF(AA2047&lt;&gt;"","ACTUALIZADO POR EYR","SIN REPORTE EYR")))</f>
        <v/>
      </c>
    </row>
    <row r="2048" spans="11:30" x14ac:dyDescent="0.3">
      <c r="K2048" s="1" t="str">
        <f ca="1">IF(A2048="","",IF(OR(L2048="ENTREGADA",L2048="RETORNADA",L2048="ENTREGA DIGITAL"),0,MAX(0,5-NETWORKDAYS(H2048+1,TODAY()))))</f>
        <v/>
      </c>
      <c r="L2048" t="str">
        <f>IF(A2048="","",IFERROR(LOOKUP(2,1/(#REF!=Z2048),#REF!),Y2048))</f>
        <v/>
      </c>
      <c r="Z2048" t="str">
        <f>IF(A2048="","",TEXT(A2048,"0")&amp;"|"&amp;TEXT(H2048,"0"))</f>
        <v/>
      </c>
      <c r="AA2048" t="str">
        <f>IF(Z2048="","",IFERROR(LOOKUP(2,1/(#REF!=Z2048),#REF!),""))</f>
        <v/>
      </c>
      <c r="AB2048" t="str">
        <f>IF(Z2048="","",IFERROR(LOOKUP(2,1/(#REF!=Z2048),#REF!),""))</f>
        <v/>
      </c>
      <c r="AC2048" t="str">
        <f>IF(Z2048="","",COUNTIF(#REF!,Z2048))</f>
        <v/>
      </c>
      <c r="AD2048" t="str">
        <f>IF(A2048="","",IF(AC2048&gt;1,"REVISAR DUPLICADO",IF(AA2048&lt;&gt;"","ACTUALIZADO POR EYR","SIN REPORTE EYR")))</f>
        <v/>
      </c>
    </row>
    <row r="2049" spans="11:30" x14ac:dyDescent="0.3">
      <c r="K2049" s="1" t="str">
        <f ca="1">IF(A2049="","",IF(OR(L2049="ENTREGADA",L2049="RETORNADA",L2049="ENTREGA DIGITAL"),0,MAX(0,5-NETWORKDAYS(H2049+1,TODAY()))))</f>
        <v/>
      </c>
      <c r="L2049" t="str">
        <f>IF(A2049="","",IFERROR(LOOKUP(2,1/(#REF!=Z2049),#REF!),Y2049))</f>
        <v/>
      </c>
      <c r="Z2049" t="str">
        <f>IF(A2049="","",TEXT(A2049,"0")&amp;"|"&amp;TEXT(H2049,"0"))</f>
        <v/>
      </c>
      <c r="AA2049" t="str">
        <f>IF(Z2049="","",IFERROR(LOOKUP(2,1/(#REF!=Z2049),#REF!),""))</f>
        <v/>
      </c>
      <c r="AB2049" t="str">
        <f>IF(Z2049="","",IFERROR(LOOKUP(2,1/(#REF!=Z2049),#REF!),""))</f>
        <v/>
      </c>
      <c r="AC2049" t="str">
        <f>IF(Z2049="","",COUNTIF(#REF!,Z2049))</f>
        <v/>
      </c>
      <c r="AD2049" t="str">
        <f>IF(A2049="","",IF(AC2049&gt;1,"REVISAR DUPLICADO",IF(AA2049&lt;&gt;"","ACTUALIZADO POR EYR","SIN REPORTE EYR")))</f>
        <v/>
      </c>
    </row>
    <row r="2050" spans="11:30" x14ac:dyDescent="0.3">
      <c r="K2050" s="1" t="str">
        <f ca="1">IF(A2050="","",IF(OR(L2050="ENTREGADA",L2050="RETORNADA",L2050="ENTREGA DIGITAL"),0,MAX(0,5-NETWORKDAYS(H2050+1,TODAY()))))</f>
        <v/>
      </c>
      <c r="L2050" t="str">
        <f>IF(A2050="","",IFERROR(LOOKUP(2,1/(#REF!=Z2050),#REF!),Y2050))</f>
        <v/>
      </c>
      <c r="Z2050" t="str">
        <f>IF(A2050="","",TEXT(A2050,"0")&amp;"|"&amp;TEXT(H2050,"0"))</f>
        <v/>
      </c>
      <c r="AA2050" t="str">
        <f>IF(Z2050="","",IFERROR(LOOKUP(2,1/(#REF!=Z2050),#REF!),""))</f>
        <v/>
      </c>
      <c r="AB2050" t="str">
        <f>IF(Z2050="","",IFERROR(LOOKUP(2,1/(#REF!=Z2050),#REF!),""))</f>
        <v/>
      </c>
      <c r="AC2050" t="str">
        <f>IF(Z2050="","",COUNTIF(#REF!,Z2050))</f>
        <v/>
      </c>
      <c r="AD2050" t="str">
        <f>IF(A2050="","",IF(AC2050&gt;1,"REVISAR DUPLICADO",IF(AA2050&lt;&gt;"","ACTUALIZADO POR EYR","SIN REPORTE EYR")))</f>
        <v/>
      </c>
    </row>
    <row r="2051" spans="11:30" x14ac:dyDescent="0.3">
      <c r="K2051" s="1" t="str">
        <f ca="1">IF(A2051="","",IF(OR(L2051="ENTREGADA",L2051="RETORNADA",L2051="ENTREGA DIGITAL"),0,MAX(0,5-NETWORKDAYS(H2051+1,TODAY()))))</f>
        <v/>
      </c>
      <c r="L2051" t="str">
        <f>IF(A2051="","",IFERROR(LOOKUP(2,1/(#REF!=Z2051),#REF!),Y2051))</f>
        <v/>
      </c>
      <c r="Z2051" t="str">
        <f>IF(A2051="","",TEXT(A2051,"0")&amp;"|"&amp;TEXT(H2051,"0"))</f>
        <v/>
      </c>
      <c r="AA2051" t="str">
        <f>IF(Z2051="","",IFERROR(LOOKUP(2,1/(#REF!=Z2051),#REF!),""))</f>
        <v/>
      </c>
      <c r="AB2051" t="str">
        <f>IF(Z2051="","",IFERROR(LOOKUP(2,1/(#REF!=Z2051),#REF!),""))</f>
        <v/>
      </c>
      <c r="AC2051" t="str">
        <f>IF(Z2051="","",COUNTIF(#REF!,Z2051))</f>
        <v/>
      </c>
      <c r="AD2051" t="str">
        <f>IF(A2051="","",IF(AC2051&gt;1,"REVISAR DUPLICADO",IF(AA2051&lt;&gt;"","ACTUALIZADO POR EYR","SIN REPORTE EYR")))</f>
        <v/>
      </c>
    </row>
    <row r="2052" spans="11:30" x14ac:dyDescent="0.3">
      <c r="K2052" s="1" t="str">
        <f ca="1">IF(A2052="","",IF(OR(L2052="ENTREGADA",L2052="RETORNADA",L2052="ENTREGA DIGITAL"),0,MAX(0,5-NETWORKDAYS(H2052+1,TODAY()))))</f>
        <v/>
      </c>
      <c r="L2052" t="str">
        <f>IF(A2052="","",IFERROR(LOOKUP(2,1/(#REF!=Z2052),#REF!),Y2052))</f>
        <v/>
      </c>
      <c r="Z2052" t="str">
        <f>IF(A2052="","",TEXT(A2052,"0")&amp;"|"&amp;TEXT(H2052,"0"))</f>
        <v/>
      </c>
      <c r="AA2052" t="str">
        <f>IF(Z2052="","",IFERROR(LOOKUP(2,1/(#REF!=Z2052),#REF!),""))</f>
        <v/>
      </c>
      <c r="AB2052" t="str">
        <f>IF(Z2052="","",IFERROR(LOOKUP(2,1/(#REF!=Z2052),#REF!),""))</f>
        <v/>
      </c>
      <c r="AC2052" t="str">
        <f>IF(Z2052="","",COUNTIF(#REF!,Z2052))</f>
        <v/>
      </c>
      <c r="AD2052" t="str">
        <f>IF(A2052="","",IF(AC2052&gt;1,"REVISAR DUPLICADO",IF(AA2052&lt;&gt;"","ACTUALIZADO POR EYR","SIN REPORTE EYR")))</f>
        <v/>
      </c>
    </row>
    <row r="2053" spans="11:30" x14ac:dyDescent="0.3">
      <c r="K2053" s="1" t="str">
        <f ca="1">IF(A2053="","",IF(OR(L2053="ENTREGADA",L2053="RETORNADA",L2053="ENTREGA DIGITAL"),0,MAX(0,5-NETWORKDAYS(H2053+1,TODAY()))))</f>
        <v/>
      </c>
      <c r="L2053" t="str">
        <f>IF(A2053="","",IFERROR(LOOKUP(2,1/(#REF!=Z2053),#REF!),Y2053))</f>
        <v/>
      </c>
      <c r="Z2053" t="str">
        <f>IF(A2053="","",TEXT(A2053,"0")&amp;"|"&amp;TEXT(H2053,"0"))</f>
        <v/>
      </c>
      <c r="AA2053" t="str">
        <f>IF(Z2053="","",IFERROR(LOOKUP(2,1/(#REF!=Z2053),#REF!),""))</f>
        <v/>
      </c>
      <c r="AB2053" t="str">
        <f>IF(Z2053="","",IFERROR(LOOKUP(2,1/(#REF!=Z2053),#REF!),""))</f>
        <v/>
      </c>
      <c r="AC2053" t="str">
        <f>IF(Z2053="","",COUNTIF(#REF!,Z2053))</f>
        <v/>
      </c>
      <c r="AD2053" t="str">
        <f>IF(A2053="","",IF(AC2053&gt;1,"REVISAR DUPLICADO",IF(AA2053&lt;&gt;"","ACTUALIZADO POR EYR","SIN REPORTE EYR")))</f>
        <v/>
      </c>
    </row>
    <row r="2054" spans="11:30" x14ac:dyDescent="0.3">
      <c r="K2054" s="1" t="str">
        <f ca="1">IF(A2054="","",IF(OR(L2054="ENTREGADA",L2054="RETORNADA",L2054="ENTREGA DIGITAL"),0,MAX(0,5-NETWORKDAYS(H2054+1,TODAY()))))</f>
        <v/>
      </c>
      <c r="L2054" t="str">
        <f>IF(A2054="","",IFERROR(LOOKUP(2,1/(#REF!=Z2054),#REF!),Y2054))</f>
        <v/>
      </c>
      <c r="Z2054" t="str">
        <f>IF(A2054="","",TEXT(A2054,"0")&amp;"|"&amp;TEXT(H2054,"0"))</f>
        <v/>
      </c>
      <c r="AA2054" t="str">
        <f>IF(Z2054="","",IFERROR(LOOKUP(2,1/(#REF!=Z2054),#REF!),""))</f>
        <v/>
      </c>
      <c r="AB2054" t="str">
        <f>IF(Z2054="","",IFERROR(LOOKUP(2,1/(#REF!=Z2054),#REF!),""))</f>
        <v/>
      </c>
      <c r="AC2054" t="str">
        <f>IF(Z2054="","",COUNTIF(#REF!,Z2054))</f>
        <v/>
      </c>
      <c r="AD2054" t="str">
        <f>IF(A2054="","",IF(AC2054&gt;1,"REVISAR DUPLICADO",IF(AA2054&lt;&gt;"","ACTUALIZADO POR EYR","SIN REPORTE EYR")))</f>
        <v/>
      </c>
    </row>
    <row r="2055" spans="11:30" x14ac:dyDescent="0.3">
      <c r="K2055" s="1" t="str">
        <f ca="1">IF(A2055="","",IF(OR(L2055="ENTREGADA",L2055="RETORNADA",L2055="ENTREGA DIGITAL"),0,MAX(0,5-NETWORKDAYS(H2055+1,TODAY()))))</f>
        <v/>
      </c>
      <c r="L2055" t="str">
        <f>IF(A2055="","",IFERROR(LOOKUP(2,1/(#REF!=Z2055),#REF!),Y2055))</f>
        <v/>
      </c>
      <c r="Z2055" t="str">
        <f>IF(A2055="","",TEXT(A2055,"0")&amp;"|"&amp;TEXT(H2055,"0"))</f>
        <v/>
      </c>
      <c r="AA2055" t="str">
        <f>IF(Z2055="","",IFERROR(LOOKUP(2,1/(#REF!=Z2055),#REF!),""))</f>
        <v/>
      </c>
      <c r="AB2055" t="str">
        <f>IF(Z2055="","",IFERROR(LOOKUP(2,1/(#REF!=Z2055),#REF!),""))</f>
        <v/>
      </c>
      <c r="AC2055" t="str">
        <f>IF(Z2055="","",COUNTIF(#REF!,Z2055))</f>
        <v/>
      </c>
      <c r="AD2055" t="str">
        <f>IF(A2055="","",IF(AC2055&gt;1,"REVISAR DUPLICADO",IF(AA2055&lt;&gt;"","ACTUALIZADO POR EYR","SIN REPORTE EYR")))</f>
        <v/>
      </c>
    </row>
    <row r="2056" spans="11:30" x14ac:dyDescent="0.3">
      <c r="K2056" s="1" t="str">
        <f ca="1">IF(A2056="","",IF(OR(L2056="ENTREGADA",L2056="RETORNADA",L2056="ENTREGA DIGITAL"),0,MAX(0,5-NETWORKDAYS(H2056+1,TODAY()))))</f>
        <v/>
      </c>
      <c r="L2056" t="str">
        <f>IF(A2056="","",IFERROR(LOOKUP(2,1/(#REF!=Z2056),#REF!),Y2056))</f>
        <v/>
      </c>
      <c r="Z2056" t="str">
        <f>IF(A2056="","",TEXT(A2056,"0")&amp;"|"&amp;TEXT(H2056,"0"))</f>
        <v/>
      </c>
      <c r="AA2056" t="str">
        <f>IF(Z2056="","",IFERROR(LOOKUP(2,1/(#REF!=Z2056),#REF!),""))</f>
        <v/>
      </c>
      <c r="AB2056" t="str">
        <f>IF(Z2056="","",IFERROR(LOOKUP(2,1/(#REF!=Z2056),#REF!),""))</f>
        <v/>
      </c>
      <c r="AC2056" t="str">
        <f>IF(Z2056="","",COUNTIF(#REF!,Z2056))</f>
        <v/>
      </c>
      <c r="AD2056" t="str">
        <f>IF(A2056="","",IF(AC2056&gt;1,"REVISAR DUPLICADO",IF(AA2056&lt;&gt;"","ACTUALIZADO POR EYR","SIN REPORTE EYR")))</f>
        <v/>
      </c>
    </row>
    <row r="2057" spans="11:30" x14ac:dyDescent="0.3">
      <c r="K2057" s="1" t="str">
        <f ca="1">IF(A2057="","",IF(OR(L2057="ENTREGADA",L2057="RETORNADA",L2057="ENTREGA DIGITAL"),0,MAX(0,5-NETWORKDAYS(H2057+1,TODAY()))))</f>
        <v/>
      </c>
      <c r="L2057" t="str">
        <f>IF(A2057="","",IFERROR(LOOKUP(2,1/(#REF!=Z2057),#REF!),Y2057))</f>
        <v/>
      </c>
      <c r="Z2057" t="str">
        <f>IF(A2057="","",TEXT(A2057,"0")&amp;"|"&amp;TEXT(H2057,"0"))</f>
        <v/>
      </c>
      <c r="AA2057" t="str">
        <f>IF(Z2057="","",IFERROR(LOOKUP(2,1/(#REF!=Z2057),#REF!),""))</f>
        <v/>
      </c>
      <c r="AB2057" t="str">
        <f>IF(Z2057="","",IFERROR(LOOKUP(2,1/(#REF!=Z2057),#REF!),""))</f>
        <v/>
      </c>
      <c r="AC2057" t="str">
        <f>IF(Z2057="","",COUNTIF(#REF!,Z2057))</f>
        <v/>
      </c>
      <c r="AD2057" t="str">
        <f>IF(A2057="","",IF(AC2057&gt;1,"REVISAR DUPLICADO",IF(AA2057&lt;&gt;"","ACTUALIZADO POR EYR","SIN REPORTE EYR")))</f>
        <v/>
      </c>
    </row>
    <row r="2058" spans="11:30" x14ac:dyDescent="0.3">
      <c r="K2058" s="1" t="str">
        <f ca="1">IF(A2058="","",IF(OR(L2058="ENTREGADA",L2058="RETORNADA",L2058="ENTREGA DIGITAL"),0,MAX(0,5-NETWORKDAYS(H2058+1,TODAY()))))</f>
        <v/>
      </c>
      <c r="L2058" t="str">
        <f>IF(A2058="","",IFERROR(LOOKUP(2,1/(#REF!=Z2058),#REF!),Y2058))</f>
        <v/>
      </c>
      <c r="Z2058" t="str">
        <f>IF(A2058="","",TEXT(A2058,"0")&amp;"|"&amp;TEXT(H2058,"0"))</f>
        <v/>
      </c>
      <c r="AA2058" t="str">
        <f>IF(Z2058="","",IFERROR(LOOKUP(2,1/(#REF!=Z2058),#REF!),""))</f>
        <v/>
      </c>
      <c r="AB2058" t="str">
        <f>IF(Z2058="","",IFERROR(LOOKUP(2,1/(#REF!=Z2058),#REF!),""))</f>
        <v/>
      </c>
      <c r="AC2058" t="str">
        <f>IF(Z2058="","",COUNTIF(#REF!,Z2058))</f>
        <v/>
      </c>
      <c r="AD2058" t="str">
        <f>IF(A2058="","",IF(AC2058&gt;1,"REVISAR DUPLICADO",IF(AA2058&lt;&gt;"","ACTUALIZADO POR EYR","SIN REPORTE EYR")))</f>
        <v/>
      </c>
    </row>
    <row r="2059" spans="11:30" x14ac:dyDescent="0.3">
      <c r="K2059" s="1" t="str">
        <f ca="1">IF(A2059="","",IF(OR(L2059="ENTREGADA",L2059="RETORNADA",L2059="ENTREGA DIGITAL"),0,MAX(0,5-NETWORKDAYS(H2059+1,TODAY()))))</f>
        <v/>
      </c>
      <c r="L2059" t="str">
        <f>IF(A2059="","",IFERROR(LOOKUP(2,1/(#REF!=Z2059),#REF!),Y2059))</f>
        <v/>
      </c>
      <c r="Z2059" t="str">
        <f>IF(A2059="","",TEXT(A2059,"0")&amp;"|"&amp;TEXT(H2059,"0"))</f>
        <v/>
      </c>
      <c r="AA2059" t="str">
        <f>IF(Z2059="","",IFERROR(LOOKUP(2,1/(#REF!=Z2059),#REF!),""))</f>
        <v/>
      </c>
      <c r="AB2059" t="str">
        <f>IF(Z2059="","",IFERROR(LOOKUP(2,1/(#REF!=Z2059),#REF!),""))</f>
        <v/>
      </c>
      <c r="AC2059" t="str">
        <f>IF(Z2059="","",COUNTIF(#REF!,Z2059))</f>
        <v/>
      </c>
      <c r="AD2059" t="str">
        <f>IF(A2059="","",IF(AC2059&gt;1,"REVISAR DUPLICADO",IF(AA2059&lt;&gt;"","ACTUALIZADO POR EYR","SIN REPORTE EYR")))</f>
        <v/>
      </c>
    </row>
    <row r="2060" spans="11:30" x14ac:dyDescent="0.3">
      <c r="K2060" s="1" t="str">
        <f ca="1">IF(A2060="","",IF(OR(L2060="ENTREGADA",L2060="RETORNADA",L2060="ENTREGA DIGITAL"),0,MAX(0,5-NETWORKDAYS(H2060+1,TODAY()))))</f>
        <v/>
      </c>
      <c r="L2060" t="str">
        <f>IF(A2060="","",IFERROR(LOOKUP(2,1/(#REF!=Z2060),#REF!),Y2060))</f>
        <v/>
      </c>
      <c r="Z2060" t="str">
        <f>IF(A2060="","",TEXT(A2060,"0")&amp;"|"&amp;TEXT(H2060,"0"))</f>
        <v/>
      </c>
      <c r="AA2060" t="str">
        <f>IF(Z2060="","",IFERROR(LOOKUP(2,1/(#REF!=Z2060),#REF!),""))</f>
        <v/>
      </c>
      <c r="AB2060" t="str">
        <f>IF(Z2060="","",IFERROR(LOOKUP(2,1/(#REF!=Z2060),#REF!),""))</f>
        <v/>
      </c>
      <c r="AC2060" t="str">
        <f>IF(Z2060="","",COUNTIF(#REF!,Z2060))</f>
        <v/>
      </c>
      <c r="AD2060" t="str">
        <f>IF(A2060="","",IF(AC2060&gt;1,"REVISAR DUPLICADO",IF(AA2060&lt;&gt;"","ACTUALIZADO POR EYR","SIN REPORTE EYR")))</f>
        <v/>
      </c>
    </row>
    <row r="2061" spans="11:30" x14ac:dyDescent="0.3">
      <c r="K2061" s="1" t="str">
        <f ca="1">IF(A2061="","",IF(OR(L2061="ENTREGADA",L2061="RETORNADA",L2061="ENTREGA DIGITAL"),0,MAX(0,5-NETWORKDAYS(H2061+1,TODAY()))))</f>
        <v/>
      </c>
      <c r="L2061" t="str">
        <f>IF(A2061="","",IFERROR(LOOKUP(2,1/(#REF!=Z2061),#REF!),Y2061))</f>
        <v/>
      </c>
      <c r="Z2061" t="str">
        <f>IF(A2061="","",TEXT(A2061,"0")&amp;"|"&amp;TEXT(H2061,"0"))</f>
        <v/>
      </c>
      <c r="AA2061" t="str">
        <f>IF(Z2061="","",IFERROR(LOOKUP(2,1/(#REF!=Z2061),#REF!),""))</f>
        <v/>
      </c>
      <c r="AB2061" t="str">
        <f>IF(Z2061="","",IFERROR(LOOKUP(2,1/(#REF!=Z2061),#REF!),""))</f>
        <v/>
      </c>
      <c r="AC2061" t="str">
        <f>IF(Z2061="","",COUNTIF(#REF!,Z2061))</f>
        <v/>
      </c>
      <c r="AD2061" t="str">
        <f>IF(A2061="","",IF(AC2061&gt;1,"REVISAR DUPLICADO",IF(AA2061&lt;&gt;"","ACTUALIZADO POR EYR","SIN REPORTE EYR")))</f>
        <v/>
      </c>
    </row>
    <row r="2062" spans="11:30" x14ac:dyDescent="0.3">
      <c r="K2062" s="1" t="str">
        <f ca="1">IF(A2062="","",IF(OR(L2062="ENTREGADA",L2062="RETORNADA",L2062="ENTREGA DIGITAL"),0,MAX(0,5-NETWORKDAYS(H2062+1,TODAY()))))</f>
        <v/>
      </c>
      <c r="L2062" t="str">
        <f>IF(A2062="","",IFERROR(LOOKUP(2,1/(#REF!=Z2062),#REF!),Y2062))</f>
        <v/>
      </c>
      <c r="Z2062" t="str">
        <f>IF(A2062="","",TEXT(A2062,"0")&amp;"|"&amp;TEXT(H2062,"0"))</f>
        <v/>
      </c>
      <c r="AA2062" t="str">
        <f>IF(Z2062="","",IFERROR(LOOKUP(2,1/(#REF!=Z2062),#REF!),""))</f>
        <v/>
      </c>
      <c r="AB2062" t="str">
        <f>IF(Z2062="","",IFERROR(LOOKUP(2,1/(#REF!=Z2062),#REF!),""))</f>
        <v/>
      </c>
      <c r="AC2062" t="str">
        <f>IF(Z2062="","",COUNTIF(#REF!,Z2062))</f>
        <v/>
      </c>
      <c r="AD2062" t="str">
        <f>IF(A2062="","",IF(AC2062&gt;1,"REVISAR DUPLICADO",IF(AA2062&lt;&gt;"","ACTUALIZADO POR EYR","SIN REPORTE EYR")))</f>
        <v/>
      </c>
    </row>
    <row r="2063" spans="11:30" x14ac:dyDescent="0.3">
      <c r="K2063" s="1" t="str">
        <f ca="1">IF(A2063="","",IF(OR(L2063="ENTREGADA",L2063="RETORNADA",L2063="ENTREGA DIGITAL"),0,MAX(0,5-NETWORKDAYS(H2063+1,TODAY()))))</f>
        <v/>
      </c>
      <c r="L2063" t="str">
        <f>IF(A2063="","",IFERROR(LOOKUP(2,1/(#REF!=Z2063),#REF!),Y2063))</f>
        <v/>
      </c>
      <c r="Z2063" t="str">
        <f>IF(A2063="","",TEXT(A2063,"0")&amp;"|"&amp;TEXT(H2063,"0"))</f>
        <v/>
      </c>
      <c r="AA2063" t="str">
        <f>IF(Z2063="","",IFERROR(LOOKUP(2,1/(#REF!=Z2063),#REF!),""))</f>
        <v/>
      </c>
      <c r="AB2063" t="str">
        <f>IF(Z2063="","",IFERROR(LOOKUP(2,1/(#REF!=Z2063),#REF!),""))</f>
        <v/>
      </c>
      <c r="AC2063" t="str">
        <f>IF(Z2063="","",COUNTIF(#REF!,Z2063))</f>
        <v/>
      </c>
      <c r="AD2063" t="str">
        <f>IF(A2063="","",IF(AC2063&gt;1,"REVISAR DUPLICADO",IF(AA2063&lt;&gt;"","ACTUALIZADO POR EYR","SIN REPORTE EYR")))</f>
        <v/>
      </c>
    </row>
    <row r="2064" spans="11:30" x14ac:dyDescent="0.3">
      <c r="K2064" s="1" t="str">
        <f ca="1">IF(A2064="","",IF(OR(L2064="ENTREGADA",L2064="RETORNADA",L2064="ENTREGA DIGITAL"),0,MAX(0,5-NETWORKDAYS(H2064+1,TODAY()))))</f>
        <v/>
      </c>
      <c r="L2064" t="str">
        <f>IF(A2064="","",IFERROR(LOOKUP(2,1/(#REF!=Z2064),#REF!),Y2064))</f>
        <v/>
      </c>
      <c r="Z2064" t="str">
        <f>IF(A2064="","",TEXT(A2064,"0")&amp;"|"&amp;TEXT(H2064,"0"))</f>
        <v/>
      </c>
      <c r="AA2064" t="str">
        <f>IF(Z2064="","",IFERROR(LOOKUP(2,1/(#REF!=Z2064),#REF!),""))</f>
        <v/>
      </c>
      <c r="AB2064" t="str">
        <f>IF(Z2064="","",IFERROR(LOOKUP(2,1/(#REF!=Z2064),#REF!),""))</f>
        <v/>
      </c>
      <c r="AC2064" t="str">
        <f>IF(Z2064="","",COUNTIF(#REF!,Z2064))</f>
        <v/>
      </c>
      <c r="AD2064" t="str">
        <f>IF(A2064="","",IF(AC2064&gt;1,"REVISAR DUPLICADO",IF(AA2064&lt;&gt;"","ACTUALIZADO POR EYR","SIN REPORTE EYR")))</f>
        <v/>
      </c>
    </row>
    <row r="2065" spans="11:30" x14ac:dyDescent="0.3">
      <c r="K2065" s="1" t="str">
        <f ca="1">IF(A2065="","",IF(OR(L2065="ENTREGADA",L2065="RETORNADA",L2065="ENTREGA DIGITAL"),0,MAX(0,5-NETWORKDAYS(H2065+1,TODAY()))))</f>
        <v/>
      </c>
      <c r="L2065" t="str">
        <f>IF(A2065="","",IFERROR(LOOKUP(2,1/(#REF!=Z2065),#REF!),Y2065))</f>
        <v/>
      </c>
      <c r="Z2065" t="str">
        <f>IF(A2065="","",TEXT(A2065,"0")&amp;"|"&amp;TEXT(H2065,"0"))</f>
        <v/>
      </c>
      <c r="AA2065" t="str">
        <f>IF(Z2065="","",IFERROR(LOOKUP(2,1/(#REF!=Z2065),#REF!),""))</f>
        <v/>
      </c>
      <c r="AB2065" t="str">
        <f>IF(Z2065="","",IFERROR(LOOKUP(2,1/(#REF!=Z2065),#REF!),""))</f>
        <v/>
      </c>
      <c r="AC2065" t="str">
        <f>IF(Z2065="","",COUNTIF(#REF!,Z2065))</f>
        <v/>
      </c>
      <c r="AD2065" t="str">
        <f>IF(A2065="","",IF(AC2065&gt;1,"REVISAR DUPLICADO",IF(AA2065&lt;&gt;"","ACTUALIZADO POR EYR","SIN REPORTE EYR")))</f>
        <v/>
      </c>
    </row>
    <row r="2066" spans="11:30" x14ac:dyDescent="0.3">
      <c r="K2066" s="1" t="str">
        <f ca="1">IF(A2066="","",IF(OR(L2066="ENTREGADA",L2066="RETORNADA",L2066="ENTREGA DIGITAL"),0,MAX(0,5-NETWORKDAYS(H2066+1,TODAY()))))</f>
        <v/>
      </c>
      <c r="L2066" t="str">
        <f>IF(A2066="","",IFERROR(LOOKUP(2,1/(#REF!=Z2066),#REF!),Y2066))</f>
        <v/>
      </c>
      <c r="Z2066" t="str">
        <f>IF(A2066="","",TEXT(A2066,"0")&amp;"|"&amp;TEXT(H2066,"0"))</f>
        <v/>
      </c>
      <c r="AA2066" t="str">
        <f>IF(Z2066="","",IFERROR(LOOKUP(2,1/(#REF!=Z2066),#REF!),""))</f>
        <v/>
      </c>
      <c r="AB2066" t="str">
        <f>IF(Z2066="","",IFERROR(LOOKUP(2,1/(#REF!=Z2066),#REF!),""))</f>
        <v/>
      </c>
      <c r="AC2066" t="str">
        <f>IF(Z2066="","",COUNTIF(#REF!,Z2066))</f>
        <v/>
      </c>
      <c r="AD2066" t="str">
        <f>IF(A2066="","",IF(AC2066&gt;1,"REVISAR DUPLICADO",IF(AA2066&lt;&gt;"","ACTUALIZADO POR EYR","SIN REPORTE EYR")))</f>
        <v/>
      </c>
    </row>
    <row r="2067" spans="11:30" x14ac:dyDescent="0.3">
      <c r="K2067" s="1" t="str">
        <f ca="1">IF(A2067="","",IF(OR(L2067="ENTREGADA",L2067="RETORNADA",L2067="ENTREGA DIGITAL"),0,MAX(0,5-NETWORKDAYS(H2067+1,TODAY()))))</f>
        <v/>
      </c>
      <c r="L2067" t="str">
        <f>IF(A2067="","",IFERROR(LOOKUP(2,1/(#REF!=Z2067),#REF!),Y2067))</f>
        <v/>
      </c>
      <c r="Z2067" t="str">
        <f>IF(A2067="","",TEXT(A2067,"0")&amp;"|"&amp;TEXT(H2067,"0"))</f>
        <v/>
      </c>
      <c r="AA2067" t="str">
        <f>IF(Z2067="","",IFERROR(LOOKUP(2,1/(#REF!=Z2067),#REF!),""))</f>
        <v/>
      </c>
      <c r="AB2067" t="str">
        <f>IF(Z2067="","",IFERROR(LOOKUP(2,1/(#REF!=Z2067),#REF!),""))</f>
        <v/>
      </c>
      <c r="AC2067" t="str">
        <f>IF(Z2067="","",COUNTIF(#REF!,Z2067))</f>
        <v/>
      </c>
      <c r="AD2067" t="str">
        <f>IF(A2067="","",IF(AC2067&gt;1,"REVISAR DUPLICADO",IF(AA2067&lt;&gt;"","ACTUALIZADO POR EYR","SIN REPORTE EYR")))</f>
        <v/>
      </c>
    </row>
    <row r="2068" spans="11:30" x14ac:dyDescent="0.3">
      <c r="K2068" s="1" t="str">
        <f ca="1">IF(A2068="","",IF(OR(L2068="ENTREGADA",L2068="RETORNADA",L2068="ENTREGA DIGITAL"),0,MAX(0,5-NETWORKDAYS(H2068+1,TODAY()))))</f>
        <v/>
      </c>
      <c r="L2068" t="str">
        <f>IF(A2068="","",IFERROR(LOOKUP(2,1/(#REF!=Z2068),#REF!),Y2068))</f>
        <v/>
      </c>
      <c r="Z2068" t="str">
        <f>IF(A2068="","",TEXT(A2068,"0")&amp;"|"&amp;TEXT(H2068,"0"))</f>
        <v/>
      </c>
      <c r="AA2068" t="str">
        <f>IF(Z2068="","",IFERROR(LOOKUP(2,1/(#REF!=Z2068),#REF!),""))</f>
        <v/>
      </c>
      <c r="AB2068" t="str">
        <f>IF(Z2068="","",IFERROR(LOOKUP(2,1/(#REF!=Z2068),#REF!),""))</f>
        <v/>
      </c>
      <c r="AC2068" t="str">
        <f>IF(Z2068="","",COUNTIF(#REF!,Z2068))</f>
        <v/>
      </c>
      <c r="AD2068" t="str">
        <f>IF(A2068="","",IF(AC2068&gt;1,"REVISAR DUPLICADO",IF(AA2068&lt;&gt;"","ACTUALIZADO POR EYR","SIN REPORTE EYR")))</f>
        <v/>
      </c>
    </row>
    <row r="2069" spans="11:30" x14ac:dyDescent="0.3">
      <c r="K2069" s="1" t="str">
        <f ca="1">IF(A2069="","",IF(OR(L2069="ENTREGADA",L2069="RETORNADA",L2069="ENTREGA DIGITAL"),0,MAX(0,5-NETWORKDAYS(H2069+1,TODAY()))))</f>
        <v/>
      </c>
      <c r="L2069" t="str">
        <f>IF(A2069="","",IFERROR(LOOKUP(2,1/(#REF!=Z2069),#REF!),Y2069))</f>
        <v/>
      </c>
      <c r="Z2069" t="str">
        <f>IF(A2069="","",TEXT(A2069,"0")&amp;"|"&amp;TEXT(H2069,"0"))</f>
        <v/>
      </c>
      <c r="AA2069" t="str">
        <f>IF(Z2069="","",IFERROR(LOOKUP(2,1/(#REF!=Z2069),#REF!),""))</f>
        <v/>
      </c>
      <c r="AB2069" t="str">
        <f>IF(Z2069="","",IFERROR(LOOKUP(2,1/(#REF!=Z2069),#REF!),""))</f>
        <v/>
      </c>
      <c r="AC2069" t="str">
        <f>IF(Z2069="","",COUNTIF(#REF!,Z2069))</f>
        <v/>
      </c>
      <c r="AD2069" t="str">
        <f>IF(A2069="","",IF(AC2069&gt;1,"REVISAR DUPLICADO",IF(AA2069&lt;&gt;"","ACTUALIZADO POR EYR","SIN REPORTE EYR")))</f>
        <v/>
      </c>
    </row>
    <row r="2070" spans="11:30" x14ac:dyDescent="0.3">
      <c r="K2070" s="1" t="str">
        <f ca="1">IF(A2070="","",IF(OR(L2070="ENTREGADA",L2070="RETORNADA",L2070="ENTREGA DIGITAL"),0,MAX(0,5-NETWORKDAYS(H2070+1,TODAY()))))</f>
        <v/>
      </c>
      <c r="L2070" t="str">
        <f>IF(A2070="","",IFERROR(LOOKUP(2,1/(#REF!=Z2070),#REF!),Y2070))</f>
        <v/>
      </c>
      <c r="Z2070" t="str">
        <f>IF(A2070="","",TEXT(A2070,"0")&amp;"|"&amp;TEXT(H2070,"0"))</f>
        <v/>
      </c>
      <c r="AA2070" t="str">
        <f>IF(Z2070="","",IFERROR(LOOKUP(2,1/(#REF!=Z2070),#REF!),""))</f>
        <v/>
      </c>
      <c r="AB2070" t="str">
        <f>IF(Z2070="","",IFERROR(LOOKUP(2,1/(#REF!=Z2070),#REF!),""))</f>
        <v/>
      </c>
      <c r="AC2070" t="str">
        <f>IF(Z2070="","",COUNTIF(#REF!,Z2070))</f>
        <v/>
      </c>
      <c r="AD2070" t="str">
        <f>IF(A2070="","",IF(AC2070&gt;1,"REVISAR DUPLICADO",IF(AA2070&lt;&gt;"","ACTUALIZADO POR EYR","SIN REPORTE EYR")))</f>
        <v/>
      </c>
    </row>
    <row r="2071" spans="11:30" x14ac:dyDescent="0.3">
      <c r="K2071" s="1" t="str">
        <f ca="1">IF(A2071="","",IF(OR(L2071="ENTREGADA",L2071="RETORNADA",L2071="ENTREGA DIGITAL"),0,MAX(0,5-NETWORKDAYS(H2071+1,TODAY()))))</f>
        <v/>
      </c>
      <c r="L2071" t="str">
        <f>IF(A2071="","",IFERROR(LOOKUP(2,1/(#REF!=Z2071),#REF!),Y2071))</f>
        <v/>
      </c>
      <c r="Z2071" t="str">
        <f>IF(A2071="","",TEXT(A2071,"0")&amp;"|"&amp;TEXT(H2071,"0"))</f>
        <v/>
      </c>
      <c r="AA2071" t="str">
        <f>IF(Z2071="","",IFERROR(LOOKUP(2,1/(#REF!=Z2071),#REF!),""))</f>
        <v/>
      </c>
      <c r="AB2071" t="str">
        <f>IF(Z2071="","",IFERROR(LOOKUP(2,1/(#REF!=Z2071),#REF!),""))</f>
        <v/>
      </c>
      <c r="AC2071" t="str">
        <f>IF(Z2071="","",COUNTIF(#REF!,Z2071))</f>
        <v/>
      </c>
      <c r="AD2071" t="str">
        <f>IF(A2071="","",IF(AC2071&gt;1,"REVISAR DUPLICADO",IF(AA2071&lt;&gt;"","ACTUALIZADO POR EYR","SIN REPORTE EYR")))</f>
        <v/>
      </c>
    </row>
    <row r="2072" spans="11:30" x14ac:dyDescent="0.3">
      <c r="K2072" s="1" t="str">
        <f ca="1">IF(A2072="","",IF(OR(L2072="ENTREGADA",L2072="RETORNADA",L2072="ENTREGA DIGITAL"),0,MAX(0,5-NETWORKDAYS(H2072+1,TODAY()))))</f>
        <v/>
      </c>
      <c r="L2072" t="str">
        <f>IF(A2072="","",IFERROR(LOOKUP(2,1/(#REF!=Z2072),#REF!),Y2072))</f>
        <v/>
      </c>
      <c r="Z2072" t="str">
        <f>IF(A2072="","",TEXT(A2072,"0")&amp;"|"&amp;TEXT(H2072,"0"))</f>
        <v/>
      </c>
      <c r="AA2072" t="str">
        <f>IF(Z2072="","",IFERROR(LOOKUP(2,1/(#REF!=Z2072),#REF!),""))</f>
        <v/>
      </c>
      <c r="AB2072" t="str">
        <f>IF(Z2072="","",IFERROR(LOOKUP(2,1/(#REF!=Z2072),#REF!),""))</f>
        <v/>
      </c>
      <c r="AC2072" t="str">
        <f>IF(Z2072="","",COUNTIF(#REF!,Z2072))</f>
        <v/>
      </c>
      <c r="AD2072" t="str">
        <f>IF(A2072="","",IF(AC2072&gt;1,"REVISAR DUPLICADO",IF(AA2072&lt;&gt;"","ACTUALIZADO POR EYR","SIN REPORTE EYR")))</f>
        <v/>
      </c>
    </row>
    <row r="2073" spans="11:30" x14ac:dyDescent="0.3">
      <c r="K2073" s="1" t="str">
        <f ca="1">IF(A2073="","",IF(OR(L2073="ENTREGADA",L2073="RETORNADA",L2073="ENTREGA DIGITAL"),0,MAX(0,5-NETWORKDAYS(H2073+1,TODAY()))))</f>
        <v/>
      </c>
      <c r="L2073" t="str">
        <f>IF(A2073="","",IFERROR(LOOKUP(2,1/(#REF!=Z2073),#REF!),Y2073))</f>
        <v/>
      </c>
      <c r="Z2073" t="str">
        <f>IF(A2073="","",TEXT(A2073,"0")&amp;"|"&amp;TEXT(H2073,"0"))</f>
        <v/>
      </c>
      <c r="AA2073" t="str">
        <f>IF(Z2073="","",IFERROR(LOOKUP(2,1/(#REF!=Z2073),#REF!),""))</f>
        <v/>
      </c>
      <c r="AB2073" t="str">
        <f>IF(Z2073="","",IFERROR(LOOKUP(2,1/(#REF!=Z2073),#REF!),""))</f>
        <v/>
      </c>
      <c r="AC2073" t="str">
        <f>IF(Z2073="","",COUNTIF(#REF!,Z2073))</f>
        <v/>
      </c>
      <c r="AD2073" t="str">
        <f>IF(A2073="","",IF(AC2073&gt;1,"REVISAR DUPLICADO",IF(AA2073&lt;&gt;"","ACTUALIZADO POR EYR","SIN REPORTE EYR")))</f>
        <v/>
      </c>
    </row>
    <row r="2074" spans="11:30" x14ac:dyDescent="0.3">
      <c r="K2074" s="1" t="str">
        <f ca="1">IF(A2074="","",IF(OR(L2074="ENTREGADA",L2074="RETORNADA",L2074="ENTREGA DIGITAL"),0,MAX(0,5-NETWORKDAYS(H2074+1,TODAY()))))</f>
        <v/>
      </c>
      <c r="L2074" t="str">
        <f>IF(A2074="","",IFERROR(LOOKUP(2,1/(#REF!=Z2074),#REF!),Y2074))</f>
        <v/>
      </c>
      <c r="Z2074" t="str">
        <f>IF(A2074="","",TEXT(A2074,"0")&amp;"|"&amp;TEXT(H2074,"0"))</f>
        <v/>
      </c>
      <c r="AA2074" t="str">
        <f>IF(Z2074="","",IFERROR(LOOKUP(2,1/(#REF!=Z2074),#REF!),""))</f>
        <v/>
      </c>
      <c r="AB2074" t="str">
        <f>IF(Z2074="","",IFERROR(LOOKUP(2,1/(#REF!=Z2074),#REF!),""))</f>
        <v/>
      </c>
      <c r="AC2074" t="str">
        <f>IF(Z2074="","",COUNTIF(#REF!,Z2074))</f>
        <v/>
      </c>
      <c r="AD2074" t="str">
        <f>IF(A2074="","",IF(AC2074&gt;1,"REVISAR DUPLICADO",IF(AA2074&lt;&gt;"","ACTUALIZADO POR EYR","SIN REPORTE EYR")))</f>
        <v/>
      </c>
    </row>
    <row r="2075" spans="11:30" x14ac:dyDescent="0.3">
      <c r="K2075" s="1" t="str">
        <f ca="1">IF(A2075="","",IF(OR(L2075="ENTREGADA",L2075="RETORNADA",L2075="ENTREGA DIGITAL"),0,MAX(0,5-NETWORKDAYS(H2075+1,TODAY()))))</f>
        <v/>
      </c>
      <c r="L2075" t="str">
        <f>IF(A2075="","",IFERROR(LOOKUP(2,1/(#REF!=Z2075),#REF!),Y2075))</f>
        <v/>
      </c>
      <c r="Z2075" t="str">
        <f>IF(A2075="","",TEXT(A2075,"0")&amp;"|"&amp;TEXT(H2075,"0"))</f>
        <v/>
      </c>
      <c r="AA2075" t="str">
        <f>IF(Z2075="","",IFERROR(LOOKUP(2,1/(#REF!=Z2075),#REF!),""))</f>
        <v/>
      </c>
      <c r="AB2075" t="str">
        <f>IF(Z2075="","",IFERROR(LOOKUP(2,1/(#REF!=Z2075),#REF!),""))</f>
        <v/>
      </c>
      <c r="AC2075" t="str">
        <f>IF(Z2075="","",COUNTIF(#REF!,Z2075))</f>
        <v/>
      </c>
      <c r="AD2075" t="str">
        <f>IF(A2075="","",IF(AC2075&gt;1,"REVISAR DUPLICADO",IF(AA2075&lt;&gt;"","ACTUALIZADO POR EYR","SIN REPORTE EYR")))</f>
        <v/>
      </c>
    </row>
    <row r="2076" spans="11:30" x14ac:dyDescent="0.3">
      <c r="K2076" s="1" t="str">
        <f ca="1">IF(A2076="","",IF(OR(L2076="ENTREGADA",L2076="RETORNADA",L2076="ENTREGA DIGITAL"),0,MAX(0,5-NETWORKDAYS(H2076+1,TODAY()))))</f>
        <v/>
      </c>
      <c r="L2076" t="str">
        <f>IF(A2076="","",IFERROR(LOOKUP(2,1/(#REF!=Z2076),#REF!),Y2076))</f>
        <v/>
      </c>
      <c r="Z2076" t="str">
        <f>IF(A2076="","",TEXT(A2076,"0")&amp;"|"&amp;TEXT(H2076,"0"))</f>
        <v/>
      </c>
      <c r="AA2076" t="str">
        <f>IF(Z2076="","",IFERROR(LOOKUP(2,1/(#REF!=Z2076),#REF!),""))</f>
        <v/>
      </c>
      <c r="AB2076" t="str">
        <f>IF(Z2076="","",IFERROR(LOOKUP(2,1/(#REF!=Z2076),#REF!),""))</f>
        <v/>
      </c>
      <c r="AC2076" t="str">
        <f>IF(Z2076="","",COUNTIF(#REF!,Z2076))</f>
        <v/>
      </c>
      <c r="AD2076" t="str">
        <f>IF(A2076="","",IF(AC2076&gt;1,"REVISAR DUPLICADO",IF(AA2076&lt;&gt;"","ACTUALIZADO POR EYR","SIN REPORTE EYR")))</f>
        <v/>
      </c>
    </row>
    <row r="2077" spans="11:30" x14ac:dyDescent="0.3">
      <c r="K2077" s="1" t="str">
        <f ca="1">IF(A2077="","",IF(OR(L2077="ENTREGADA",L2077="RETORNADA",L2077="ENTREGA DIGITAL"),0,MAX(0,5-NETWORKDAYS(H2077+1,TODAY()))))</f>
        <v/>
      </c>
      <c r="L2077" t="str">
        <f>IF(A2077="","",IFERROR(LOOKUP(2,1/(#REF!=Z2077),#REF!),Y2077))</f>
        <v/>
      </c>
      <c r="Z2077" t="str">
        <f>IF(A2077="","",TEXT(A2077,"0")&amp;"|"&amp;TEXT(H2077,"0"))</f>
        <v/>
      </c>
      <c r="AA2077" t="str">
        <f>IF(Z2077="","",IFERROR(LOOKUP(2,1/(#REF!=Z2077),#REF!),""))</f>
        <v/>
      </c>
      <c r="AB2077" t="str">
        <f>IF(Z2077="","",IFERROR(LOOKUP(2,1/(#REF!=Z2077),#REF!),""))</f>
        <v/>
      </c>
      <c r="AC2077" t="str">
        <f>IF(Z2077="","",COUNTIF(#REF!,Z2077))</f>
        <v/>
      </c>
      <c r="AD2077" t="str">
        <f>IF(A2077="","",IF(AC2077&gt;1,"REVISAR DUPLICADO",IF(AA2077&lt;&gt;"","ACTUALIZADO POR EYR","SIN REPORTE EYR")))</f>
        <v/>
      </c>
    </row>
    <row r="2078" spans="11:30" x14ac:dyDescent="0.3">
      <c r="K2078" s="1" t="str">
        <f ca="1">IF(A2078="","",IF(OR(L2078="ENTREGADA",L2078="RETORNADA",L2078="ENTREGA DIGITAL"),0,MAX(0,5-NETWORKDAYS(H2078+1,TODAY()))))</f>
        <v/>
      </c>
      <c r="L2078" t="str">
        <f>IF(A2078="","",IFERROR(LOOKUP(2,1/(#REF!=Z2078),#REF!),Y2078))</f>
        <v/>
      </c>
      <c r="Z2078" t="str">
        <f>IF(A2078="","",TEXT(A2078,"0")&amp;"|"&amp;TEXT(H2078,"0"))</f>
        <v/>
      </c>
      <c r="AA2078" t="str">
        <f>IF(Z2078="","",IFERROR(LOOKUP(2,1/(#REF!=Z2078),#REF!),""))</f>
        <v/>
      </c>
      <c r="AB2078" t="str">
        <f>IF(Z2078="","",IFERROR(LOOKUP(2,1/(#REF!=Z2078),#REF!),""))</f>
        <v/>
      </c>
      <c r="AC2078" t="str">
        <f>IF(Z2078="","",COUNTIF(#REF!,Z2078))</f>
        <v/>
      </c>
      <c r="AD2078" t="str">
        <f>IF(A2078="","",IF(AC2078&gt;1,"REVISAR DUPLICADO",IF(AA2078&lt;&gt;"","ACTUALIZADO POR EYR","SIN REPORTE EYR")))</f>
        <v/>
      </c>
    </row>
    <row r="2079" spans="11:30" x14ac:dyDescent="0.3">
      <c r="K2079" s="1" t="str">
        <f ca="1">IF(A2079="","",IF(OR(L2079="ENTREGADA",L2079="RETORNADA",L2079="ENTREGA DIGITAL"),0,MAX(0,5-NETWORKDAYS(H2079+1,TODAY()))))</f>
        <v/>
      </c>
      <c r="L2079" t="str">
        <f>IF(A2079="","",IFERROR(LOOKUP(2,1/(#REF!=Z2079),#REF!),Y2079))</f>
        <v/>
      </c>
      <c r="Z2079" t="str">
        <f>IF(A2079="","",TEXT(A2079,"0")&amp;"|"&amp;TEXT(H2079,"0"))</f>
        <v/>
      </c>
      <c r="AA2079" t="str">
        <f>IF(Z2079="","",IFERROR(LOOKUP(2,1/(#REF!=Z2079),#REF!),""))</f>
        <v/>
      </c>
      <c r="AB2079" t="str">
        <f>IF(Z2079="","",IFERROR(LOOKUP(2,1/(#REF!=Z2079),#REF!),""))</f>
        <v/>
      </c>
      <c r="AC2079" t="str">
        <f>IF(Z2079="","",COUNTIF(#REF!,Z2079))</f>
        <v/>
      </c>
      <c r="AD2079" t="str">
        <f>IF(A2079="","",IF(AC2079&gt;1,"REVISAR DUPLICADO",IF(AA2079&lt;&gt;"","ACTUALIZADO POR EYR","SIN REPORTE EYR")))</f>
        <v/>
      </c>
    </row>
    <row r="2080" spans="11:30" x14ac:dyDescent="0.3">
      <c r="K2080" s="1" t="str">
        <f ca="1">IF(A2080="","",IF(OR(L2080="ENTREGADA",L2080="RETORNADA",L2080="ENTREGA DIGITAL"),0,MAX(0,5-NETWORKDAYS(H2080+1,TODAY()))))</f>
        <v/>
      </c>
      <c r="L2080" t="str">
        <f>IF(A2080="","",IFERROR(LOOKUP(2,1/(#REF!=Z2080),#REF!),Y2080))</f>
        <v/>
      </c>
      <c r="Z2080" t="str">
        <f>IF(A2080="","",TEXT(A2080,"0")&amp;"|"&amp;TEXT(H2080,"0"))</f>
        <v/>
      </c>
      <c r="AA2080" t="str">
        <f>IF(Z2080="","",IFERROR(LOOKUP(2,1/(#REF!=Z2080),#REF!),""))</f>
        <v/>
      </c>
      <c r="AB2080" t="str">
        <f>IF(Z2080="","",IFERROR(LOOKUP(2,1/(#REF!=Z2080),#REF!),""))</f>
        <v/>
      </c>
      <c r="AC2080" t="str">
        <f>IF(Z2080="","",COUNTIF(#REF!,Z2080))</f>
        <v/>
      </c>
      <c r="AD2080" t="str">
        <f>IF(A2080="","",IF(AC2080&gt;1,"REVISAR DUPLICADO",IF(AA2080&lt;&gt;"","ACTUALIZADO POR EYR","SIN REPORTE EYR")))</f>
        <v/>
      </c>
    </row>
    <row r="2081" spans="11:30" x14ac:dyDescent="0.3">
      <c r="K2081" s="1" t="str">
        <f ca="1">IF(A2081="","",IF(OR(L2081="ENTREGADA",L2081="RETORNADA",L2081="ENTREGA DIGITAL"),0,MAX(0,5-NETWORKDAYS(H2081+1,TODAY()))))</f>
        <v/>
      </c>
      <c r="L2081" t="str">
        <f>IF(A2081="","",IFERROR(LOOKUP(2,1/(#REF!=Z2081),#REF!),Y2081))</f>
        <v/>
      </c>
      <c r="Z2081" t="str">
        <f>IF(A2081="","",TEXT(A2081,"0")&amp;"|"&amp;TEXT(H2081,"0"))</f>
        <v/>
      </c>
      <c r="AA2081" t="str">
        <f>IF(Z2081="","",IFERROR(LOOKUP(2,1/(#REF!=Z2081),#REF!),""))</f>
        <v/>
      </c>
      <c r="AB2081" t="str">
        <f>IF(Z2081="","",IFERROR(LOOKUP(2,1/(#REF!=Z2081),#REF!),""))</f>
        <v/>
      </c>
      <c r="AC2081" t="str">
        <f>IF(Z2081="","",COUNTIF(#REF!,Z2081))</f>
        <v/>
      </c>
      <c r="AD2081" t="str">
        <f>IF(A2081="","",IF(AC2081&gt;1,"REVISAR DUPLICADO",IF(AA2081&lt;&gt;"","ACTUALIZADO POR EYR","SIN REPORTE EYR")))</f>
        <v/>
      </c>
    </row>
    <row r="2082" spans="11:30" x14ac:dyDescent="0.3">
      <c r="K2082" s="1" t="str">
        <f ca="1">IF(A2082="","",IF(OR(L2082="ENTREGADA",L2082="RETORNADA",L2082="ENTREGA DIGITAL"),0,MAX(0,5-NETWORKDAYS(H2082+1,TODAY()))))</f>
        <v/>
      </c>
      <c r="L2082" t="str">
        <f>IF(A2082="","",IFERROR(LOOKUP(2,1/(#REF!=Z2082),#REF!),Y2082))</f>
        <v/>
      </c>
      <c r="Z2082" t="str">
        <f>IF(A2082="","",TEXT(A2082,"0")&amp;"|"&amp;TEXT(H2082,"0"))</f>
        <v/>
      </c>
      <c r="AA2082" t="str">
        <f>IF(Z2082="","",IFERROR(LOOKUP(2,1/(#REF!=Z2082),#REF!),""))</f>
        <v/>
      </c>
      <c r="AB2082" t="str">
        <f>IF(Z2082="","",IFERROR(LOOKUP(2,1/(#REF!=Z2082),#REF!),""))</f>
        <v/>
      </c>
      <c r="AC2082" t="str">
        <f>IF(Z2082="","",COUNTIF(#REF!,Z2082))</f>
        <v/>
      </c>
      <c r="AD2082" t="str">
        <f>IF(A2082="","",IF(AC2082&gt;1,"REVISAR DUPLICADO",IF(AA2082&lt;&gt;"","ACTUALIZADO POR EYR","SIN REPORTE EYR")))</f>
        <v/>
      </c>
    </row>
    <row r="2083" spans="11:30" x14ac:dyDescent="0.3">
      <c r="K2083" s="1" t="str">
        <f ca="1">IF(A2083="","",IF(OR(L2083="ENTREGADA",L2083="RETORNADA",L2083="ENTREGA DIGITAL"),0,MAX(0,5-NETWORKDAYS(H2083+1,TODAY()))))</f>
        <v/>
      </c>
      <c r="L2083" t="str">
        <f>IF(A2083="","",IFERROR(LOOKUP(2,1/(#REF!=Z2083),#REF!),Y2083))</f>
        <v/>
      </c>
      <c r="Z2083" t="str">
        <f>IF(A2083="","",TEXT(A2083,"0")&amp;"|"&amp;TEXT(H2083,"0"))</f>
        <v/>
      </c>
      <c r="AA2083" t="str">
        <f>IF(Z2083="","",IFERROR(LOOKUP(2,1/(#REF!=Z2083),#REF!),""))</f>
        <v/>
      </c>
      <c r="AB2083" t="str">
        <f>IF(Z2083="","",IFERROR(LOOKUP(2,1/(#REF!=Z2083),#REF!),""))</f>
        <v/>
      </c>
      <c r="AC2083" t="str">
        <f>IF(Z2083="","",COUNTIF(#REF!,Z2083))</f>
        <v/>
      </c>
      <c r="AD2083" t="str">
        <f>IF(A2083="","",IF(AC2083&gt;1,"REVISAR DUPLICADO",IF(AA2083&lt;&gt;"","ACTUALIZADO POR EYR","SIN REPORTE EYR")))</f>
        <v/>
      </c>
    </row>
    <row r="2084" spans="11:30" x14ac:dyDescent="0.3">
      <c r="K2084" s="1" t="str">
        <f ca="1">IF(A2084="","",IF(OR(L2084="ENTREGADA",L2084="RETORNADA",L2084="ENTREGA DIGITAL"),0,MAX(0,5-NETWORKDAYS(H2084+1,TODAY()))))</f>
        <v/>
      </c>
      <c r="L2084" t="str">
        <f>IF(A2084="","",IFERROR(LOOKUP(2,1/(#REF!=Z2084),#REF!),Y2084))</f>
        <v/>
      </c>
      <c r="Z2084" t="str">
        <f>IF(A2084="","",TEXT(A2084,"0")&amp;"|"&amp;TEXT(H2084,"0"))</f>
        <v/>
      </c>
      <c r="AA2084" t="str">
        <f>IF(Z2084="","",IFERROR(LOOKUP(2,1/(#REF!=Z2084),#REF!),""))</f>
        <v/>
      </c>
      <c r="AB2084" t="str">
        <f>IF(Z2084="","",IFERROR(LOOKUP(2,1/(#REF!=Z2084),#REF!),""))</f>
        <v/>
      </c>
      <c r="AC2084" t="str">
        <f>IF(Z2084="","",COUNTIF(#REF!,Z2084))</f>
        <v/>
      </c>
      <c r="AD2084" t="str">
        <f>IF(A2084="","",IF(AC2084&gt;1,"REVISAR DUPLICADO",IF(AA2084&lt;&gt;"","ACTUALIZADO POR EYR","SIN REPORTE EYR")))</f>
        <v/>
      </c>
    </row>
    <row r="2085" spans="11:30" x14ac:dyDescent="0.3">
      <c r="K2085" s="1" t="str">
        <f ca="1">IF(A2085="","",IF(OR(L2085="ENTREGADA",L2085="RETORNADA",L2085="ENTREGA DIGITAL"),0,MAX(0,5-NETWORKDAYS(H2085+1,TODAY()))))</f>
        <v/>
      </c>
      <c r="L2085" t="str">
        <f>IF(A2085="","",IFERROR(LOOKUP(2,1/(#REF!=Z2085),#REF!),Y2085))</f>
        <v/>
      </c>
      <c r="Z2085" t="str">
        <f>IF(A2085="","",TEXT(A2085,"0")&amp;"|"&amp;TEXT(H2085,"0"))</f>
        <v/>
      </c>
      <c r="AA2085" t="str">
        <f>IF(Z2085="","",IFERROR(LOOKUP(2,1/(#REF!=Z2085),#REF!),""))</f>
        <v/>
      </c>
      <c r="AB2085" t="str">
        <f>IF(Z2085="","",IFERROR(LOOKUP(2,1/(#REF!=Z2085),#REF!),""))</f>
        <v/>
      </c>
      <c r="AC2085" t="str">
        <f>IF(Z2085="","",COUNTIF(#REF!,Z2085))</f>
        <v/>
      </c>
      <c r="AD2085" t="str">
        <f>IF(A2085="","",IF(AC2085&gt;1,"REVISAR DUPLICADO",IF(AA2085&lt;&gt;"","ACTUALIZADO POR EYR","SIN REPORTE EYR")))</f>
        <v/>
      </c>
    </row>
    <row r="2086" spans="11:30" x14ac:dyDescent="0.3">
      <c r="K2086" s="1" t="str">
        <f ca="1">IF(A2086="","",IF(OR(L2086="ENTREGADA",L2086="RETORNADA",L2086="ENTREGA DIGITAL"),0,MAX(0,5-NETWORKDAYS(H2086+1,TODAY()))))</f>
        <v/>
      </c>
      <c r="L2086" t="str">
        <f>IF(A2086="","",IFERROR(LOOKUP(2,1/(#REF!=Z2086),#REF!),Y2086))</f>
        <v/>
      </c>
      <c r="Z2086" t="str">
        <f>IF(A2086="","",TEXT(A2086,"0")&amp;"|"&amp;TEXT(H2086,"0"))</f>
        <v/>
      </c>
      <c r="AA2086" t="str">
        <f>IF(Z2086="","",IFERROR(LOOKUP(2,1/(#REF!=Z2086),#REF!),""))</f>
        <v/>
      </c>
      <c r="AB2086" t="str">
        <f>IF(Z2086="","",IFERROR(LOOKUP(2,1/(#REF!=Z2086),#REF!),""))</f>
        <v/>
      </c>
      <c r="AC2086" t="str">
        <f>IF(Z2086="","",COUNTIF(#REF!,Z2086))</f>
        <v/>
      </c>
      <c r="AD2086" t="str">
        <f>IF(A2086="","",IF(AC2086&gt;1,"REVISAR DUPLICADO",IF(AA2086&lt;&gt;"","ACTUALIZADO POR EYR","SIN REPORTE EYR")))</f>
        <v/>
      </c>
    </row>
    <row r="2087" spans="11:30" x14ac:dyDescent="0.3">
      <c r="K2087" s="1" t="str">
        <f ca="1">IF(A2087="","",IF(OR(L2087="ENTREGADA",L2087="RETORNADA",L2087="ENTREGA DIGITAL"),0,MAX(0,5-NETWORKDAYS(H2087+1,TODAY()))))</f>
        <v/>
      </c>
      <c r="L2087" t="str">
        <f>IF(A2087="","",IFERROR(LOOKUP(2,1/(#REF!=Z2087),#REF!),Y2087))</f>
        <v/>
      </c>
      <c r="Z2087" t="str">
        <f>IF(A2087="","",TEXT(A2087,"0")&amp;"|"&amp;TEXT(H2087,"0"))</f>
        <v/>
      </c>
      <c r="AA2087" t="str">
        <f>IF(Z2087="","",IFERROR(LOOKUP(2,1/(#REF!=Z2087),#REF!),""))</f>
        <v/>
      </c>
      <c r="AB2087" t="str">
        <f>IF(Z2087="","",IFERROR(LOOKUP(2,1/(#REF!=Z2087),#REF!),""))</f>
        <v/>
      </c>
      <c r="AC2087" t="str">
        <f>IF(Z2087="","",COUNTIF(#REF!,Z2087))</f>
        <v/>
      </c>
      <c r="AD2087" t="str">
        <f>IF(A2087="","",IF(AC2087&gt;1,"REVISAR DUPLICADO",IF(AA2087&lt;&gt;"","ACTUALIZADO POR EYR","SIN REPORTE EYR")))</f>
        <v/>
      </c>
    </row>
    <row r="2088" spans="11:30" x14ac:dyDescent="0.3">
      <c r="K2088" s="1" t="str">
        <f ca="1">IF(A2088="","",IF(OR(L2088="ENTREGADA",L2088="RETORNADA",L2088="ENTREGA DIGITAL"),0,MAX(0,5-NETWORKDAYS(H2088+1,TODAY()))))</f>
        <v/>
      </c>
      <c r="L2088" t="str">
        <f>IF(A2088="","",IFERROR(LOOKUP(2,1/(#REF!=Z2088),#REF!),Y2088))</f>
        <v/>
      </c>
      <c r="Z2088" t="str">
        <f>IF(A2088="","",TEXT(A2088,"0")&amp;"|"&amp;TEXT(H2088,"0"))</f>
        <v/>
      </c>
      <c r="AA2088" t="str">
        <f>IF(Z2088="","",IFERROR(LOOKUP(2,1/(#REF!=Z2088),#REF!),""))</f>
        <v/>
      </c>
      <c r="AB2088" t="str">
        <f>IF(Z2088="","",IFERROR(LOOKUP(2,1/(#REF!=Z2088),#REF!),""))</f>
        <v/>
      </c>
      <c r="AC2088" t="str">
        <f>IF(Z2088="","",COUNTIF(#REF!,Z2088))</f>
        <v/>
      </c>
      <c r="AD2088" t="str">
        <f>IF(A2088="","",IF(AC2088&gt;1,"REVISAR DUPLICADO",IF(AA2088&lt;&gt;"","ACTUALIZADO POR EYR","SIN REPORTE EYR")))</f>
        <v/>
      </c>
    </row>
    <row r="2089" spans="11:30" x14ac:dyDescent="0.3">
      <c r="K2089" s="1" t="str">
        <f ca="1">IF(A2089="","",IF(OR(L2089="ENTREGADA",L2089="RETORNADA",L2089="ENTREGA DIGITAL"),0,MAX(0,5-NETWORKDAYS(H2089+1,TODAY()))))</f>
        <v/>
      </c>
      <c r="L2089" t="str">
        <f>IF(A2089="","",IFERROR(LOOKUP(2,1/(#REF!=Z2089),#REF!),Y2089))</f>
        <v/>
      </c>
      <c r="Z2089" t="str">
        <f>IF(A2089="","",TEXT(A2089,"0")&amp;"|"&amp;TEXT(H2089,"0"))</f>
        <v/>
      </c>
      <c r="AA2089" t="str">
        <f>IF(Z2089="","",IFERROR(LOOKUP(2,1/(#REF!=Z2089),#REF!),""))</f>
        <v/>
      </c>
      <c r="AB2089" t="str">
        <f>IF(Z2089="","",IFERROR(LOOKUP(2,1/(#REF!=Z2089),#REF!),""))</f>
        <v/>
      </c>
      <c r="AC2089" t="str">
        <f>IF(Z2089="","",COUNTIF(#REF!,Z2089))</f>
        <v/>
      </c>
      <c r="AD2089" t="str">
        <f>IF(A2089="","",IF(AC2089&gt;1,"REVISAR DUPLICADO",IF(AA2089&lt;&gt;"","ACTUALIZADO POR EYR","SIN REPORTE EYR")))</f>
        <v/>
      </c>
    </row>
    <row r="2090" spans="11:30" x14ac:dyDescent="0.3">
      <c r="K2090" s="1" t="str">
        <f ca="1">IF(A2090="","",IF(OR(L2090="ENTREGADA",L2090="RETORNADA",L2090="ENTREGA DIGITAL"),0,MAX(0,5-NETWORKDAYS(H2090+1,TODAY()))))</f>
        <v/>
      </c>
      <c r="L2090" t="str">
        <f>IF(A2090="","",IFERROR(LOOKUP(2,1/(#REF!=Z2090),#REF!),Y2090))</f>
        <v/>
      </c>
      <c r="Z2090" t="str">
        <f>IF(A2090="","",TEXT(A2090,"0")&amp;"|"&amp;TEXT(H2090,"0"))</f>
        <v/>
      </c>
      <c r="AA2090" t="str">
        <f>IF(Z2090="","",IFERROR(LOOKUP(2,1/(#REF!=Z2090),#REF!),""))</f>
        <v/>
      </c>
      <c r="AB2090" t="str">
        <f>IF(Z2090="","",IFERROR(LOOKUP(2,1/(#REF!=Z2090),#REF!),""))</f>
        <v/>
      </c>
      <c r="AC2090" t="str">
        <f>IF(Z2090="","",COUNTIF(#REF!,Z2090))</f>
        <v/>
      </c>
      <c r="AD2090" t="str">
        <f>IF(A2090="","",IF(AC2090&gt;1,"REVISAR DUPLICADO",IF(AA2090&lt;&gt;"","ACTUALIZADO POR EYR","SIN REPORTE EYR")))</f>
        <v/>
      </c>
    </row>
    <row r="2091" spans="11:30" x14ac:dyDescent="0.3">
      <c r="K2091" s="1" t="str">
        <f ca="1">IF(A2091="","",IF(OR(L2091="ENTREGADA",L2091="RETORNADA",L2091="ENTREGA DIGITAL"),0,MAX(0,5-NETWORKDAYS(H2091+1,TODAY()))))</f>
        <v/>
      </c>
      <c r="L2091" t="str">
        <f>IF(A2091="","",IFERROR(LOOKUP(2,1/(#REF!=Z2091),#REF!),Y2091))</f>
        <v/>
      </c>
      <c r="Z2091" t="str">
        <f>IF(A2091="","",TEXT(A2091,"0")&amp;"|"&amp;TEXT(H2091,"0"))</f>
        <v/>
      </c>
      <c r="AA2091" t="str">
        <f>IF(Z2091="","",IFERROR(LOOKUP(2,1/(#REF!=Z2091),#REF!),""))</f>
        <v/>
      </c>
      <c r="AB2091" t="str">
        <f>IF(Z2091="","",IFERROR(LOOKUP(2,1/(#REF!=Z2091),#REF!),""))</f>
        <v/>
      </c>
      <c r="AC2091" t="str">
        <f>IF(Z2091="","",COUNTIF(#REF!,Z2091))</f>
        <v/>
      </c>
      <c r="AD2091" t="str">
        <f>IF(A2091="","",IF(AC2091&gt;1,"REVISAR DUPLICADO",IF(AA2091&lt;&gt;"","ACTUALIZADO POR EYR","SIN REPORTE EYR")))</f>
        <v/>
      </c>
    </row>
    <row r="2092" spans="11:30" x14ac:dyDescent="0.3">
      <c r="K2092" s="1" t="str">
        <f ca="1">IF(A2092="","",IF(OR(L2092="ENTREGADA",L2092="RETORNADA",L2092="ENTREGA DIGITAL"),0,MAX(0,5-NETWORKDAYS(H2092+1,TODAY()))))</f>
        <v/>
      </c>
      <c r="L2092" t="str">
        <f>IF(A2092="","",IFERROR(LOOKUP(2,1/(#REF!=Z2092),#REF!),Y2092))</f>
        <v/>
      </c>
      <c r="Z2092" t="str">
        <f>IF(A2092="","",TEXT(A2092,"0")&amp;"|"&amp;TEXT(H2092,"0"))</f>
        <v/>
      </c>
      <c r="AA2092" t="str">
        <f>IF(Z2092="","",IFERROR(LOOKUP(2,1/(#REF!=Z2092),#REF!),""))</f>
        <v/>
      </c>
      <c r="AB2092" t="str">
        <f>IF(Z2092="","",IFERROR(LOOKUP(2,1/(#REF!=Z2092),#REF!),""))</f>
        <v/>
      </c>
      <c r="AC2092" t="str">
        <f>IF(Z2092="","",COUNTIF(#REF!,Z2092))</f>
        <v/>
      </c>
      <c r="AD2092" t="str">
        <f>IF(A2092="","",IF(AC2092&gt;1,"REVISAR DUPLICADO",IF(AA2092&lt;&gt;"","ACTUALIZADO POR EYR","SIN REPORTE EYR")))</f>
        <v/>
      </c>
    </row>
    <row r="2093" spans="11:30" x14ac:dyDescent="0.3">
      <c r="K2093" s="1" t="str">
        <f ca="1">IF(A2093="","",IF(OR(L2093="ENTREGADA",L2093="RETORNADA",L2093="ENTREGA DIGITAL"),0,MAX(0,5-NETWORKDAYS(H2093+1,TODAY()))))</f>
        <v/>
      </c>
      <c r="L2093" t="str">
        <f>IF(A2093="","",IFERROR(LOOKUP(2,1/(#REF!=Z2093),#REF!),Y2093))</f>
        <v/>
      </c>
      <c r="Z2093" t="str">
        <f>IF(A2093="","",TEXT(A2093,"0")&amp;"|"&amp;TEXT(H2093,"0"))</f>
        <v/>
      </c>
      <c r="AA2093" t="str">
        <f>IF(Z2093="","",IFERROR(LOOKUP(2,1/(#REF!=Z2093),#REF!),""))</f>
        <v/>
      </c>
      <c r="AB2093" t="str">
        <f>IF(Z2093="","",IFERROR(LOOKUP(2,1/(#REF!=Z2093),#REF!),""))</f>
        <v/>
      </c>
      <c r="AC2093" t="str">
        <f>IF(Z2093="","",COUNTIF(#REF!,Z2093))</f>
        <v/>
      </c>
      <c r="AD2093" t="str">
        <f>IF(A2093="","",IF(AC2093&gt;1,"REVISAR DUPLICADO",IF(AA2093&lt;&gt;"","ACTUALIZADO POR EYR","SIN REPORTE EYR")))</f>
        <v/>
      </c>
    </row>
    <row r="2094" spans="11:30" x14ac:dyDescent="0.3">
      <c r="K2094" s="1" t="str">
        <f ca="1">IF(A2094="","",IF(OR(L2094="ENTREGADA",L2094="RETORNADA",L2094="ENTREGA DIGITAL"),0,MAX(0,5-NETWORKDAYS(H2094+1,TODAY()))))</f>
        <v/>
      </c>
      <c r="L2094" t="str">
        <f>IF(A2094="","",IFERROR(LOOKUP(2,1/(#REF!=Z2094),#REF!),Y2094))</f>
        <v/>
      </c>
      <c r="Z2094" t="str">
        <f>IF(A2094="","",TEXT(A2094,"0")&amp;"|"&amp;TEXT(H2094,"0"))</f>
        <v/>
      </c>
      <c r="AA2094" t="str">
        <f>IF(Z2094="","",IFERROR(LOOKUP(2,1/(#REF!=Z2094),#REF!),""))</f>
        <v/>
      </c>
      <c r="AB2094" t="str">
        <f>IF(Z2094="","",IFERROR(LOOKUP(2,1/(#REF!=Z2094),#REF!),""))</f>
        <v/>
      </c>
      <c r="AC2094" t="str">
        <f>IF(Z2094="","",COUNTIF(#REF!,Z2094))</f>
        <v/>
      </c>
      <c r="AD2094" t="str">
        <f>IF(A2094="","",IF(AC2094&gt;1,"REVISAR DUPLICADO",IF(AA2094&lt;&gt;"","ACTUALIZADO POR EYR","SIN REPORTE EYR")))</f>
        <v/>
      </c>
    </row>
    <row r="2095" spans="11:30" x14ac:dyDescent="0.3">
      <c r="K2095" s="1" t="str">
        <f ca="1">IF(A2095="","",IF(OR(L2095="ENTREGADA",L2095="RETORNADA",L2095="ENTREGA DIGITAL"),0,MAX(0,5-NETWORKDAYS(H2095+1,TODAY()))))</f>
        <v/>
      </c>
      <c r="L2095" t="str">
        <f>IF(A2095="","",IFERROR(LOOKUP(2,1/(#REF!=Z2095),#REF!),Y2095))</f>
        <v/>
      </c>
      <c r="Z2095" t="str">
        <f>IF(A2095="","",TEXT(A2095,"0")&amp;"|"&amp;TEXT(H2095,"0"))</f>
        <v/>
      </c>
      <c r="AA2095" t="str">
        <f>IF(Z2095="","",IFERROR(LOOKUP(2,1/(#REF!=Z2095),#REF!),""))</f>
        <v/>
      </c>
      <c r="AB2095" t="str">
        <f>IF(Z2095="","",IFERROR(LOOKUP(2,1/(#REF!=Z2095),#REF!),""))</f>
        <v/>
      </c>
      <c r="AC2095" t="str">
        <f>IF(Z2095="","",COUNTIF(#REF!,Z2095))</f>
        <v/>
      </c>
      <c r="AD2095" t="str">
        <f>IF(A2095="","",IF(AC2095&gt;1,"REVISAR DUPLICADO",IF(AA2095&lt;&gt;"","ACTUALIZADO POR EYR","SIN REPORTE EYR")))</f>
        <v/>
      </c>
    </row>
    <row r="2096" spans="11:30" x14ac:dyDescent="0.3">
      <c r="K2096" s="1" t="str">
        <f ca="1">IF(A2096="","",IF(OR(L2096="ENTREGADA",L2096="RETORNADA",L2096="ENTREGA DIGITAL"),0,MAX(0,5-NETWORKDAYS(H2096+1,TODAY()))))</f>
        <v/>
      </c>
      <c r="L2096" t="str">
        <f>IF(A2096="","",IFERROR(LOOKUP(2,1/(#REF!=Z2096),#REF!),Y2096))</f>
        <v/>
      </c>
      <c r="Z2096" t="str">
        <f>IF(A2096="","",TEXT(A2096,"0")&amp;"|"&amp;TEXT(H2096,"0"))</f>
        <v/>
      </c>
      <c r="AA2096" t="str">
        <f>IF(Z2096="","",IFERROR(LOOKUP(2,1/(#REF!=Z2096),#REF!),""))</f>
        <v/>
      </c>
      <c r="AB2096" t="str">
        <f>IF(Z2096="","",IFERROR(LOOKUP(2,1/(#REF!=Z2096),#REF!),""))</f>
        <v/>
      </c>
      <c r="AC2096" t="str">
        <f>IF(Z2096="","",COUNTIF(#REF!,Z2096))</f>
        <v/>
      </c>
      <c r="AD2096" t="str">
        <f>IF(A2096="","",IF(AC2096&gt;1,"REVISAR DUPLICADO",IF(AA2096&lt;&gt;"","ACTUALIZADO POR EYR","SIN REPORTE EYR")))</f>
        <v/>
      </c>
    </row>
    <row r="2097" spans="11:30" x14ac:dyDescent="0.3">
      <c r="K2097" s="1" t="str">
        <f ca="1">IF(A2097="","",IF(OR(L2097="ENTREGADA",L2097="RETORNADA",L2097="ENTREGA DIGITAL"),0,MAX(0,5-NETWORKDAYS(H2097+1,TODAY()))))</f>
        <v/>
      </c>
      <c r="L2097" t="str">
        <f>IF(A2097="","",IFERROR(LOOKUP(2,1/(#REF!=Z2097),#REF!),Y2097))</f>
        <v/>
      </c>
      <c r="Z2097" t="str">
        <f>IF(A2097="","",TEXT(A2097,"0")&amp;"|"&amp;TEXT(H2097,"0"))</f>
        <v/>
      </c>
      <c r="AA2097" t="str">
        <f>IF(Z2097="","",IFERROR(LOOKUP(2,1/(#REF!=Z2097),#REF!),""))</f>
        <v/>
      </c>
      <c r="AB2097" t="str">
        <f>IF(Z2097="","",IFERROR(LOOKUP(2,1/(#REF!=Z2097),#REF!),""))</f>
        <v/>
      </c>
      <c r="AC2097" t="str">
        <f>IF(Z2097="","",COUNTIF(#REF!,Z2097))</f>
        <v/>
      </c>
      <c r="AD2097" t="str">
        <f>IF(A2097="","",IF(AC2097&gt;1,"REVISAR DUPLICADO",IF(AA2097&lt;&gt;"","ACTUALIZADO POR EYR","SIN REPORTE EYR")))</f>
        <v/>
      </c>
    </row>
    <row r="2098" spans="11:30" x14ac:dyDescent="0.3">
      <c r="K2098" s="1" t="str">
        <f ca="1">IF(A2098="","",IF(OR(L2098="ENTREGADA",L2098="RETORNADA",L2098="ENTREGA DIGITAL"),0,MAX(0,5-NETWORKDAYS(H2098+1,TODAY()))))</f>
        <v/>
      </c>
      <c r="L2098" t="str">
        <f>IF(A2098="","",IFERROR(LOOKUP(2,1/(#REF!=Z2098),#REF!),Y2098))</f>
        <v/>
      </c>
      <c r="Z2098" t="str">
        <f>IF(A2098="","",TEXT(A2098,"0")&amp;"|"&amp;TEXT(H2098,"0"))</f>
        <v/>
      </c>
      <c r="AA2098" t="str">
        <f>IF(Z2098="","",IFERROR(LOOKUP(2,1/(#REF!=Z2098),#REF!),""))</f>
        <v/>
      </c>
      <c r="AB2098" t="str">
        <f>IF(Z2098="","",IFERROR(LOOKUP(2,1/(#REF!=Z2098),#REF!),""))</f>
        <v/>
      </c>
      <c r="AC2098" t="str">
        <f>IF(Z2098="","",COUNTIF(#REF!,Z2098))</f>
        <v/>
      </c>
      <c r="AD2098" t="str">
        <f>IF(A2098="","",IF(AC2098&gt;1,"REVISAR DUPLICADO",IF(AA2098&lt;&gt;"","ACTUALIZADO POR EYR","SIN REPORTE EYR")))</f>
        <v/>
      </c>
    </row>
    <row r="2099" spans="11:30" x14ac:dyDescent="0.3">
      <c r="K2099" s="1" t="str">
        <f ca="1">IF(A2099="","",IF(OR(L2099="ENTREGADA",L2099="RETORNADA",L2099="ENTREGA DIGITAL"),0,MAX(0,5-NETWORKDAYS(H2099+1,TODAY()))))</f>
        <v/>
      </c>
      <c r="L2099" t="str">
        <f>IF(A2099="","",IFERROR(LOOKUP(2,1/(#REF!=Z2099),#REF!),Y2099))</f>
        <v/>
      </c>
      <c r="Z2099" t="str">
        <f>IF(A2099="","",TEXT(A2099,"0")&amp;"|"&amp;TEXT(H2099,"0"))</f>
        <v/>
      </c>
      <c r="AA2099" t="str">
        <f>IF(Z2099="","",IFERROR(LOOKUP(2,1/(#REF!=Z2099),#REF!),""))</f>
        <v/>
      </c>
      <c r="AB2099" t="str">
        <f>IF(Z2099="","",IFERROR(LOOKUP(2,1/(#REF!=Z2099),#REF!),""))</f>
        <v/>
      </c>
      <c r="AC2099" t="str">
        <f>IF(Z2099="","",COUNTIF(#REF!,Z2099))</f>
        <v/>
      </c>
      <c r="AD2099" t="str">
        <f>IF(A2099="","",IF(AC2099&gt;1,"REVISAR DUPLICADO",IF(AA2099&lt;&gt;"","ACTUALIZADO POR EYR","SIN REPORTE EYR")))</f>
        <v/>
      </c>
    </row>
    <row r="2100" spans="11:30" x14ac:dyDescent="0.3">
      <c r="K2100" s="1" t="str">
        <f ca="1">IF(A2100="","",IF(OR(L2100="ENTREGADA",L2100="RETORNADA",L2100="ENTREGA DIGITAL"),0,MAX(0,5-NETWORKDAYS(H2100+1,TODAY()))))</f>
        <v/>
      </c>
      <c r="L2100" t="str">
        <f>IF(A2100="","",IFERROR(LOOKUP(2,1/(#REF!=Z2100),#REF!),Y2100))</f>
        <v/>
      </c>
      <c r="Z2100" t="str">
        <f>IF(A2100="","",TEXT(A2100,"0")&amp;"|"&amp;TEXT(H2100,"0"))</f>
        <v/>
      </c>
      <c r="AA2100" t="str">
        <f>IF(Z2100="","",IFERROR(LOOKUP(2,1/(#REF!=Z2100),#REF!),""))</f>
        <v/>
      </c>
      <c r="AB2100" t="str">
        <f>IF(Z2100="","",IFERROR(LOOKUP(2,1/(#REF!=Z2100),#REF!),""))</f>
        <v/>
      </c>
      <c r="AC2100" t="str">
        <f>IF(Z2100="","",COUNTIF(#REF!,Z2100))</f>
        <v/>
      </c>
      <c r="AD2100" t="str">
        <f>IF(A2100="","",IF(AC2100&gt;1,"REVISAR DUPLICADO",IF(AA2100&lt;&gt;"","ACTUALIZADO POR EYR","SIN REPORTE EYR")))</f>
        <v/>
      </c>
    </row>
    <row r="2101" spans="11:30" x14ac:dyDescent="0.3">
      <c r="K2101" s="1" t="str">
        <f ca="1">IF(A2101="","",IF(OR(L2101="ENTREGADA",L2101="RETORNADA",L2101="ENTREGA DIGITAL"),0,MAX(0,5-NETWORKDAYS(H2101+1,TODAY()))))</f>
        <v/>
      </c>
      <c r="L2101" t="str">
        <f>IF(A2101="","",IFERROR(LOOKUP(2,1/(#REF!=Z2101),#REF!),Y2101))</f>
        <v/>
      </c>
      <c r="Z2101" t="str">
        <f>IF(A2101="","",TEXT(A2101,"0")&amp;"|"&amp;TEXT(H2101,"0"))</f>
        <v/>
      </c>
      <c r="AA2101" t="str">
        <f>IF(Z2101="","",IFERROR(LOOKUP(2,1/(#REF!=Z2101),#REF!),""))</f>
        <v/>
      </c>
      <c r="AB2101" t="str">
        <f>IF(Z2101="","",IFERROR(LOOKUP(2,1/(#REF!=Z2101),#REF!),""))</f>
        <v/>
      </c>
      <c r="AC2101" t="str">
        <f>IF(Z2101="","",COUNTIF(#REF!,Z2101))</f>
        <v/>
      </c>
      <c r="AD2101" t="str">
        <f>IF(A2101="","",IF(AC2101&gt;1,"REVISAR DUPLICADO",IF(AA2101&lt;&gt;"","ACTUALIZADO POR EYR","SIN REPORTE EYR")))</f>
        <v/>
      </c>
    </row>
    <row r="2102" spans="11:30" x14ac:dyDescent="0.3">
      <c r="K2102" s="1" t="str">
        <f ca="1">IF(A2102="","",IF(OR(L2102="ENTREGADA",L2102="RETORNADA",L2102="ENTREGA DIGITAL"),0,MAX(0,5-NETWORKDAYS(H2102+1,TODAY()))))</f>
        <v/>
      </c>
      <c r="L2102" t="str">
        <f>IF(A2102="","",IFERROR(LOOKUP(2,1/(#REF!=Z2102),#REF!),Y2102))</f>
        <v/>
      </c>
      <c r="Z2102" t="str">
        <f>IF(A2102="","",TEXT(A2102,"0")&amp;"|"&amp;TEXT(H2102,"0"))</f>
        <v/>
      </c>
      <c r="AA2102" t="str">
        <f>IF(Z2102="","",IFERROR(LOOKUP(2,1/(#REF!=Z2102),#REF!),""))</f>
        <v/>
      </c>
      <c r="AB2102" t="str">
        <f>IF(Z2102="","",IFERROR(LOOKUP(2,1/(#REF!=Z2102),#REF!),""))</f>
        <v/>
      </c>
      <c r="AC2102" t="str">
        <f>IF(Z2102="","",COUNTIF(#REF!,Z2102))</f>
        <v/>
      </c>
      <c r="AD2102" t="str">
        <f>IF(A2102="","",IF(AC2102&gt;1,"REVISAR DUPLICADO",IF(AA2102&lt;&gt;"","ACTUALIZADO POR EYR","SIN REPORTE EYR")))</f>
        <v/>
      </c>
    </row>
    <row r="2103" spans="11:30" x14ac:dyDescent="0.3">
      <c r="K2103" s="1" t="str">
        <f ca="1">IF(A2103="","",IF(OR(L2103="ENTREGADA",L2103="RETORNADA",L2103="ENTREGA DIGITAL"),0,MAX(0,5-NETWORKDAYS(H2103+1,TODAY()))))</f>
        <v/>
      </c>
      <c r="L2103" t="str">
        <f>IF(A2103="","",IFERROR(LOOKUP(2,1/(#REF!=Z2103),#REF!),Y2103))</f>
        <v/>
      </c>
      <c r="Z2103" t="str">
        <f>IF(A2103="","",TEXT(A2103,"0")&amp;"|"&amp;TEXT(H2103,"0"))</f>
        <v/>
      </c>
      <c r="AA2103" t="str">
        <f>IF(Z2103="","",IFERROR(LOOKUP(2,1/(#REF!=Z2103),#REF!),""))</f>
        <v/>
      </c>
      <c r="AB2103" t="str">
        <f>IF(Z2103="","",IFERROR(LOOKUP(2,1/(#REF!=Z2103),#REF!),""))</f>
        <v/>
      </c>
      <c r="AC2103" t="str">
        <f>IF(Z2103="","",COUNTIF(#REF!,Z2103))</f>
        <v/>
      </c>
      <c r="AD2103" t="str">
        <f>IF(A2103="","",IF(AC2103&gt;1,"REVISAR DUPLICADO",IF(AA2103&lt;&gt;"","ACTUALIZADO POR EYR","SIN REPORTE EYR")))</f>
        <v/>
      </c>
    </row>
    <row r="2104" spans="11:30" x14ac:dyDescent="0.3">
      <c r="K2104" s="1" t="str">
        <f ca="1">IF(A2104="","",IF(OR(L2104="ENTREGADA",L2104="RETORNADA",L2104="ENTREGA DIGITAL"),0,MAX(0,5-NETWORKDAYS(H2104+1,TODAY()))))</f>
        <v/>
      </c>
      <c r="L2104" t="str">
        <f>IF(A2104="","",IFERROR(LOOKUP(2,1/(#REF!=Z2104),#REF!),Y2104))</f>
        <v/>
      </c>
      <c r="Z2104" t="str">
        <f>IF(A2104="","",TEXT(A2104,"0")&amp;"|"&amp;TEXT(H2104,"0"))</f>
        <v/>
      </c>
      <c r="AA2104" t="str">
        <f>IF(Z2104="","",IFERROR(LOOKUP(2,1/(#REF!=Z2104),#REF!),""))</f>
        <v/>
      </c>
      <c r="AB2104" t="str">
        <f>IF(Z2104="","",IFERROR(LOOKUP(2,1/(#REF!=Z2104),#REF!),""))</f>
        <v/>
      </c>
      <c r="AC2104" t="str">
        <f>IF(Z2104="","",COUNTIF(#REF!,Z2104))</f>
        <v/>
      </c>
      <c r="AD2104" t="str">
        <f>IF(A2104="","",IF(AC2104&gt;1,"REVISAR DUPLICADO",IF(AA2104&lt;&gt;"","ACTUALIZADO POR EYR","SIN REPORTE EYR")))</f>
        <v/>
      </c>
    </row>
    <row r="2105" spans="11:30" x14ac:dyDescent="0.3">
      <c r="K2105" s="1" t="str">
        <f ca="1">IF(A2105="","",IF(OR(L2105="ENTREGADA",L2105="RETORNADA",L2105="ENTREGA DIGITAL"),0,MAX(0,5-NETWORKDAYS(H2105+1,TODAY()))))</f>
        <v/>
      </c>
      <c r="L2105" t="str">
        <f>IF(A2105="","",IFERROR(LOOKUP(2,1/(#REF!=Z2105),#REF!),Y2105))</f>
        <v/>
      </c>
      <c r="Z2105" t="str">
        <f>IF(A2105="","",TEXT(A2105,"0")&amp;"|"&amp;TEXT(H2105,"0"))</f>
        <v/>
      </c>
      <c r="AA2105" t="str">
        <f>IF(Z2105="","",IFERROR(LOOKUP(2,1/(#REF!=Z2105),#REF!),""))</f>
        <v/>
      </c>
      <c r="AB2105" t="str">
        <f>IF(Z2105="","",IFERROR(LOOKUP(2,1/(#REF!=Z2105),#REF!),""))</f>
        <v/>
      </c>
      <c r="AC2105" t="str">
        <f>IF(Z2105="","",COUNTIF(#REF!,Z2105))</f>
        <v/>
      </c>
      <c r="AD2105" t="str">
        <f>IF(A2105="","",IF(AC2105&gt;1,"REVISAR DUPLICADO",IF(AA2105&lt;&gt;"","ACTUALIZADO POR EYR","SIN REPORTE EYR")))</f>
        <v/>
      </c>
    </row>
    <row r="2106" spans="11:30" x14ac:dyDescent="0.3">
      <c r="K2106" s="1" t="str">
        <f ca="1">IF(A2106="","",IF(OR(L2106="ENTREGADA",L2106="RETORNADA",L2106="ENTREGA DIGITAL"),0,MAX(0,5-NETWORKDAYS(H2106+1,TODAY()))))</f>
        <v/>
      </c>
      <c r="L2106" t="str">
        <f>IF(A2106="","",IFERROR(LOOKUP(2,1/(#REF!=Z2106),#REF!),Y2106))</f>
        <v/>
      </c>
      <c r="Z2106" t="str">
        <f>IF(A2106="","",TEXT(A2106,"0")&amp;"|"&amp;TEXT(H2106,"0"))</f>
        <v/>
      </c>
      <c r="AA2106" t="str">
        <f>IF(Z2106="","",IFERROR(LOOKUP(2,1/(#REF!=Z2106),#REF!),""))</f>
        <v/>
      </c>
      <c r="AB2106" t="str">
        <f>IF(Z2106="","",IFERROR(LOOKUP(2,1/(#REF!=Z2106),#REF!),""))</f>
        <v/>
      </c>
      <c r="AC2106" t="str">
        <f>IF(Z2106="","",COUNTIF(#REF!,Z2106))</f>
        <v/>
      </c>
      <c r="AD2106" t="str">
        <f>IF(A2106="","",IF(AC2106&gt;1,"REVISAR DUPLICADO",IF(AA2106&lt;&gt;"","ACTUALIZADO POR EYR","SIN REPORTE EYR")))</f>
        <v/>
      </c>
    </row>
    <row r="2107" spans="11:30" x14ac:dyDescent="0.3">
      <c r="K2107" s="1" t="str">
        <f ca="1">IF(A2107="","",IF(OR(L2107="ENTREGADA",L2107="RETORNADA",L2107="ENTREGA DIGITAL"),0,MAX(0,5-NETWORKDAYS(H2107+1,TODAY()))))</f>
        <v/>
      </c>
      <c r="L2107" t="str">
        <f>IF(A2107="","",IFERROR(LOOKUP(2,1/(#REF!=Z2107),#REF!),Y2107))</f>
        <v/>
      </c>
      <c r="Z2107" t="str">
        <f>IF(A2107="","",TEXT(A2107,"0")&amp;"|"&amp;TEXT(H2107,"0"))</f>
        <v/>
      </c>
      <c r="AA2107" t="str">
        <f>IF(Z2107="","",IFERROR(LOOKUP(2,1/(#REF!=Z2107),#REF!),""))</f>
        <v/>
      </c>
      <c r="AB2107" t="str">
        <f>IF(Z2107="","",IFERROR(LOOKUP(2,1/(#REF!=Z2107),#REF!),""))</f>
        <v/>
      </c>
      <c r="AC2107" t="str">
        <f>IF(Z2107="","",COUNTIF(#REF!,Z2107))</f>
        <v/>
      </c>
      <c r="AD2107" t="str">
        <f>IF(A2107="","",IF(AC2107&gt;1,"REVISAR DUPLICADO",IF(AA2107&lt;&gt;"","ACTUALIZADO POR EYR","SIN REPORTE EYR")))</f>
        <v/>
      </c>
    </row>
    <row r="2108" spans="11:30" x14ac:dyDescent="0.3">
      <c r="K2108" s="1" t="str">
        <f ca="1">IF(A2108="","",IF(OR(L2108="ENTREGADA",L2108="RETORNADA",L2108="ENTREGA DIGITAL"),0,MAX(0,5-NETWORKDAYS(H2108+1,TODAY()))))</f>
        <v/>
      </c>
      <c r="L2108" t="str">
        <f>IF(A2108="","",IFERROR(LOOKUP(2,1/(#REF!=Z2108),#REF!),Y2108))</f>
        <v/>
      </c>
      <c r="Z2108" t="str">
        <f>IF(A2108="","",TEXT(A2108,"0")&amp;"|"&amp;TEXT(H2108,"0"))</f>
        <v/>
      </c>
      <c r="AA2108" t="str">
        <f>IF(Z2108="","",IFERROR(LOOKUP(2,1/(#REF!=Z2108),#REF!),""))</f>
        <v/>
      </c>
      <c r="AB2108" t="str">
        <f>IF(Z2108="","",IFERROR(LOOKUP(2,1/(#REF!=Z2108),#REF!),""))</f>
        <v/>
      </c>
      <c r="AC2108" t="str">
        <f>IF(Z2108="","",COUNTIF(#REF!,Z2108))</f>
        <v/>
      </c>
      <c r="AD2108" t="str">
        <f>IF(A2108="","",IF(AC2108&gt;1,"REVISAR DUPLICADO",IF(AA2108&lt;&gt;"","ACTUALIZADO POR EYR","SIN REPORTE EYR")))</f>
        <v/>
      </c>
    </row>
    <row r="2109" spans="11:30" x14ac:dyDescent="0.3">
      <c r="K2109" s="1" t="str">
        <f ca="1">IF(A2109="","",IF(OR(L2109="ENTREGADA",L2109="RETORNADA",L2109="ENTREGA DIGITAL"),0,MAX(0,5-NETWORKDAYS(H2109+1,TODAY()))))</f>
        <v/>
      </c>
      <c r="L2109" t="str">
        <f>IF(A2109="","",IFERROR(LOOKUP(2,1/(#REF!=Z2109),#REF!),Y2109))</f>
        <v/>
      </c>
      <c r="Z2109" t="str">
        <f>IF(A2109="","",TEXT(A2109,"0")&amp;"|"&amp;TEXT(H2109,"0"))</f>
        <v/>
      </c>
      <c r="AA2109" t="str">
        <f>IF(Z2109="","",IFERROR(LOOKUP(2,1/(#REF!=Z2109),#REF!),""))</f>
        <v/>
      </c>
      <c r="AB2109" t="str">
        <f>IF(Z2109="","",IFERROR(LOOKUP(2,1/(#REF!=Z2109),#REF!),""))</f>
        <v/>
      </c>
      <c r="AC2109" t="str">
        <f>IF(Z2109="","",COUNTIF(#REF!,Z2109))</f>
        <v/>
      </c>
      <c r="AD2109" t="str">
        <f>IF(A2109="","",IF(AC2109&gt;1,"REVISAR DUPLICADO",IF(AA2109&lt;&gt;"","ACTUALIZADO POR EYR","SIN REPORTE EYR")))</f>
        <v/>
      </c>
    </row>
    <row r="2110" spans="11:30" x14ac:dyDescent="0.3">
      <c r="K2110" s="1" t="str">
        <f ca="1">IF(A2110="","",IF(OR(L2110="ENTREGADA",L2110="RETORNADA",L2110="ENTREGA DIGITAL"),0,MAX(0,5-NETWORKDAYS(H2110+1,TODAY()))))</f>
        <v/>
      </c>
      <c r="L2110" t="str">
        <f>IF(A2110="","",IFERROR(LOOKUP(2,1/(#REF!=Z2110),#REF!),Y2110))</f>
        <v/>
      </c>
      <c r="Z2110" t="str">
        <f>IF(A2110="","",TEXT(A2110,"0")&amp;"|"&amp;TEXT(H2110,"0"))</f>
        <v/>
      </c>
      <c r="AA2110" t="str">
        <f>IF(Z2110="","",IFERROR(LOOKUP(2,1/(#REF!=Z2110),#REF!),""))</f>
        <v/>
      </c>
      <c r="AB2110" t="str">
        <f>IF(Z2110="","",IFERROR(LOOKUP(2,1/(#REF!=Z2110),#REF!),""))</f>
        <v/>
      </c>
      <c r="AC2110" t="str">
        <f>IF(Z2110="","",COUNTIF(#REF!,Z2110))</f>
        <v/>
      </c>
      <c r="AD2110" t="str">
        <f>IF(A2110="","",IF(AC2110&gt;1,"REVISAR DUPLICADO",IF(AA2110&lt;&gt;"","ACTUALIZADO POR EYR","SIN REPORTE EYR")))</f>
        <v/>
      </c>
    </row>
    <row r="2111" spans="11:30" x14ac:dyDescent="0.3">
      <c r="K2111" s="1" t="str">
        <f ca="1">IF(A2111="","",IF(OR(L2111="ENTREGADA",L2111="RETORNADA",L2111="ENTREGA DIGITAL"),0,MAX(0,5-NETWORKDAYS(H2111+1,TODAY()))))</f>
        <v/>
      </c>
      <c r="L2111" t="str">
        <f>IF(A2111="","",IFERROR(LOOKUP(2,1/(#REF!=Z2111),#REF!),Y2111))</f>
        <v/>
      </c>
      <c r="Z2111" t="str">
        <f>IF(A2111="","",TEXT(A2111,"0")&amp;"|"&amp;TEXT(H2111,"0"))</f>
        <v/>
      </c>
      <c r="AA2111" t="str">
        <f>IF(Z2111="","",IFERROR(LOOKUP(2,1/(#REF!=Z2111),#REF!),""))</f>
        <v/>
      </c>
      <c r="AB2111" t="str">
        <f>IF(Z2111="","",IFERROR(LOOKUP(2,1/(#REF!=Z2111),#REF!),""))</f>
        <v/>
      </c>
      <c r="AC2111" t="str">
        <f>IF(Z2111="","",COUNTIF(#REF!,Z2111))</f>
        <v/>
      </c>
      <c r="AD2111" t="str">
        <f>IF(A2111="","",IF(AC2111&gt;1,"REVISAR DUPLICADO",IF(AA2111&lt;&gt;"","ACTUALIZADO POR EYR","SIN REPORTE EYR")))</f>
        <v/>
      </c>
    </row>
    <row r="2112" spans="11:30" x14ac:dyDescent="0.3">
      <c r="K2112" s="1" t="str">
        <f ca="1">IF(A2112="","",IF(OR(L2112="ENTREGADA",L2112="RETORNADA",L2112="ENTREGA DIGITAL"),0,MAX(0,5-NETWORKDAYS(H2112+1,TODAY()))))</f>
        <v/>
      </c>
      <c r="L2112" t="str">
        <f>IF(A2112="","",IFERROR(LOOKUP(2,1/(#REF!=Z2112),#REF!),Y2112))</f>
        <v/>
      </c>
      <c r="Z2112" t="str">
        <f>IF(A2112="","",TEXT(A2112,"0")&amp;"|"&amp;TEXT(H2112,"0"))</f>
        <v/>
      </c>
      <c r="AA2112" t="str">
        <f>IF(Z2112="","",IFERROR(LOOKUP(2,1/(#REF!=Z2112),#REF!),""))</f>
        <v/>
      </c>
      <c r="AB2112" t="str">
        <f>IF(Z2112="","",IFERROR(LOOKUP(2,1/(#REF!=Z2112),#REF!),""))</f>
        <v/>
      </c>
      <c r="AC2112" t="str">
        <f>IF(Z2112="","",COUNTIF(#REF!,Z2112))</f>
        <v/>
      </c>
      <c r="AD2112" t="str">
        <f>IF(A2112="","",IF(AC2112&gt;1,"REVISAR DUPLICADO",IF(AA2112&lt;&gt;"","ACTUALIZADO POR EYR","SIN REPORTE EYR")))</f>
        <v/>
      </c>
    </row>
    <row r="2113" spans="11:30" x14ac:dyDescent="0.3">
      <c r="K2113" s="1" t="str">
        <f ca="1">IF(A2113="","",IF(OR(L2113="ENTREGADA",L2113="RETORNADA",L2113="ENTREGA DIGITAL"),0,MAX(0,5-NETWORKDAYS(H2113+1,TODAY()))))</f>
        <v/>
      </c>
      <c r="L2113" t="str">
        <f>IF(A2113="","",IFERROR(LOOKUP(2,1/(#REF!=Z2113),#REF!),Y2113))</f>
        <v/>
      </c>
      <c r="Z2113" t="str">
        <f>IF(A2113="","",TEXT(A2113,"0")&amp;"|"&amp;TEXT(H2113,"0"))</f>
        <v/>
      </c>
      <c r="AA2113" t="str">
        <f>IF(Z2113="","",IFERROR(LOOKUP(2,1/(#REF!=Z2113),#REF!),""))</f>
        <v/>
      </c>
      <c r="AB2113" t="str">
        <f>IF(Z2113="","",IFERROR(LOOKUP(2,1/(#REF!=Z2113),#REF!),""))</f>
        <v/>
      </c>
      <c r="AC2113" t="str">
        <f>IF(Z2113="","",COUNTIF(#REF!,Z2113))</f>
        <v/>
      </c>
      <c r="AD2113" t="str">
        <f>IF(A2113="","",IF(AC2113&gt;1,"REVISAR DUPLICADO",IF(AA2113&lt;&gt;"","ACTUALIZADO POR EYR","SIN REPORTE EYR")))</f>
        <v/>
      </c>
    </row>
    <row r="2114" spans="11:30" x14ac:dyDescent="0.3">
      <c r="K2114" s="1" t="str">
        <f ca="1">IF(A2114="","",IF(OR(L2114="ENTREGADA",L2114="RETORNADA",L2114="ENTREGA DIGITAL"),0,MAX(0,5-NETWORKDAYS(H2114+1,TODAY()))))</f>
        <v/>
      </c>
      <c r="L2114" t="str">
        <f>IF(A2114="","",IFERROR(LOOKUP(2,1/(#REF!=Z2114),#REF!),Y2114))</f>
        <v/>
      </c>
      <c r="Z2114" t="str">
        <f>IF(A2114="","",TEXT(A2114,"0")&amp;"|"&amp;TEXT(H2114,"0"))</f>
        <v/>
      </c>
      <c r="AA2114" t="str">
        <f>IF(Z2114="","",IFERROR(LOOKUP(2,1/(#REF!=Z2114),#REF!),""))</f>
        <v/>
      </c>
      <c r="AB2114" t="str">
        <f>IF(Z2114="","",IFERROR(LOOKUP(2,1/(#REF!=Z2114),#REF!),""))</f>
        <v/>
      </c>
      <c r="AC2114" t="str">
        <f>IF(Z2114="","",COUNTIF(#REF!,Z2114))</f>
        <v/>
      </c>
      <c r="AD2114" t="str">
        <f>IF(A2114="","",IF(AC2114&gt;1,"REVISAR DUPLICADO",IF(AA2114&lt;&gt;"","ACTUALIZADO POR EYR","SIN REPORTE EYR")))</f>
        <v/>
      </c>
    </row>
    <row r="2115" spans="11:30" x14ac:dyDescent="0.3">
      <c r="K2115" s="1" t="str">
        <f ca="1">IF(A2115="","",IF(OR(L2115="ENTREGADA",L2115="RETORNADA",L2115="ENTREGA DIGITAL"),0,MAX(0,5-NETWORKDAYS(H2115+1,TODAY()))))</f>
        <v/>
      </c>
      <c r="L2115" t="str">
        <f>IF(A2115="","",IFERROR(LOOKUP(2,1/(#REF!=Z2115),#REF!),Y2115))</f>
        <v/>
      </c>
      <c r="Z2115" t="str">
        <f>IF(A2115="","",TEXT(A2115,"0")&amp;"|"&amp;TEXT(H2115,"0"))</f>
        <v/>
      </c>
      <c r="AA2115" t="str">
        <f>IF(Z2115="","",IFERROR(LOOKUP(2,1/(#REF!=Z2115),#REF!),""))</f>
        <v/>
      </c>
      <c r="AB2115" t="str">
        <f>IF(Z2115="","",IFERROR(LOOKUP(2,1/(#REF!=Z2115),#REF!),""))</f>
        <v/>
      </c>
      <c r="AC2115" t="str">
        <f>IF(Z2115="","",COUNTIF(#REF!,Z2115))</f>
        <v/>
      </c>
      <c r="AD2115" t="str">
        <f>IF(A2115="","",IF(AC2115&gt;1,"REVISAR DUPLICADO",IF(AA2115&lt;&gt;"","ACTUALIZADO POR EYR","SIN REPORTE EYR")))</f>
        <v/>
      </c>
    </row>
    <row r="2116" spans="11:30" x14ac:dyDescent="0.3">
      <c r="K2116" s="1" t="str">
        <f ca="1">IF(A2116="","",IF(OR(L2116="ENTREGADA",L2116="RETORNADA",L2116="ENTREGA DIGITAL"),0,MAX(0,5-NETWORKDAYS(H2116+1,TODAY()))))</f>
        <v/>
      </c>
      <c r="L2116" t="str">
        <f>IF(A2116="","",IFERROR(LOOKUP(2,1/(#REF!=Z2116),#REF!),Y2116))</f>
        <v/>
      </c>
      <c r="Z2116" t="str">
        <f>IF(A2116="","",TEXT(A2116,"0")&amp;"|"&amp;TEXT(H2116,"0"))</f>
        <v/>
      </c>
      <c r="AA2116" t="str">
        <f>IF(Z2116="","",IFERROR(LOOKUP(2,1/(#REF!=Z2116),#REF!),""))</f>
        <v/>
      </c>
      <c r="AB2116" t="str">
        <f>IF(Z2116="","",IFERROR(LOOKUP(2,1/(#REF!=Z2116),#REF!),""))</f>
        <v/>
      </c>
      <c r="AC2116" t="str">
        <f>IF(Z2116="","",COUNTIF(#REF!,Z2116))</f>
        <v/>
      </c>
      <c r="AD2116" t="str">
        <f>IF(A2116="","",IF(AC2116&gt;1,"REVISAR DUPLICADO",IF(AA2116&lt;&gt;"","ACTUALIZADO POR EYR","SIN REPORTE EYR")))</f>
        <v/>
      </c>
    </row>
    <row r="2117" spans="11:30" x14ac:dyDescent="0.3">
      <c r="K2117" s="1" t="str">
        <f ca="1">IF(A2117="","",IF(OR(L2117="ENTREGADA",L2117="RETORNADA",L2117="ENTREGA DIGITAL"),0,MAX(0,5-NETWORKDAYS(H2117+1,TODAY()))))</f>
        <v/>
      </c>
      <c r="L2117" t="str">
        <f>IF(A2117="","",IFERROR(LOOKUP(2,1/(#REF!=Z2117),#REF!),Y2117))</f>
        <v/>
      </c>
      <c r="Z2117" t="str">
        <f>IF(A2117="","",TEXT(A2117,"0")&amp;"|"&amp;TEXT(H2117,"0"))</f>
        <v/>
      </c>
      <c r="AA2117" t="str">
        <f>IF(Z2117="","",IFERROR(LOOKUP(2,1/(#REF!=Z2117),#REF!),""))</f>
        <v/>
      </c>
      <c r="AB2117" t="str">
        <f>IF(Z2117="","",IFERROR(LOOKUP(2,1/(#REF!=Z2117),#REF!),""))</f>
        <v/>
      </c>
      <c r="AC2117" t="str">
        <f>IF(Z2117="","",COUNTIF(#REF!,Z2117))</f>
        <v/>
      </c>
      <c r="AD2117" t="str">
        <f>IF(A2117="","",IF(AC2117&gt;1,"REVISAR DUPLICADO",IF(AA2117&lt;&gt;"","ACTUALIZADO POR EYR","SIN REPORTE EYR")))</f>
        <v/>
      </c>
    </row>
    <row r="2118" spans="11:30" x14ac:dyDescent="0.3">
      <c r="K2118" s="1" t="str">
        <f ca="1">IF(A2118="","",IF(OR(L2118="ENTREGADA",L2118="RETORNADA",L2118="ENTREGA DIGITAL"),0,MAX(0,5-NETWORKDAYS(H2118+1,TODAY()))))</f>
        <v/>
      </c>
      <c r="L2118" t="str">
        <f>IF(A2118="","",IFERROR(LOOKUP(2,1/(#REF!=Z2118),#REF!),Y2118))</f>
        <v/>
      </c>
      <c r="Z2118" t="str">
        <f>IF(A2118="","",TEXT(A2118,"0")&amp;"|"&amp;TEXT(H2118,"0"))</f>
        <v/>
      </c>
      <c r="AA2118" t="str">
        <f>IF(Z2118="","",IFERROR(LOOKUP(2,1/(#REF!=Z2118),#REF!),""))</f>
        <v/>
      </c>
      <c r="AB2118" t="str">
        <f>IF(Z2118="","",IFERROR(LOOKUP(2,1/(#REF!=Z2118),#REF!),""))</f>
        <v/>
      </c>
      <c r="AC2118" t="str">
        <f>IF(Z2118="","",COUNTIF(#REF!,Z2118))</f>
        <v/>
      </c>
      <c r="AD2118" t="str">
        <f>IF(A2118="","",IF(AC2118&gt;1,"REVISAR DUPLICADO",IF(AA2118&lt;&gt;"","ACTUALIZADO POR EYR","SIN REPORTE EYR")))</f>
        <v/>
      </c>
    </row>
    <row r="2119" spans="11:30" x14ac:dyDescent="0.3">
      <c r="K2119" s="1" t="str">
        <f ca="1">IF(A2119="","",IF(OR(L2119="ENTREGADA",L2119="RETORNADA",L2119="ENTREGA DIGITAL"),0,MAX(0,5-NETWORKDAYS(H2119+1,TODAY()))))</f>
        <v/>
      </c>
      <c r="L2119" t="str">
        <f>IF(A2119="","",IFERROR(LOOKUP(2,1/(#REF!=Z2119),#REF!),Y2119))</f>
        <v/>
      </c>
      <c r="Z2119" t="str">
        <f>IF(A2119="","",TEXT(A2119,"0")&amp;"|"&amp;TEXT(H2119,"0"))</f>
        <v/>
      </c>
      <c r="AA2119" t="str">
        <f>IF(Z2119="","",IFERROR(LOOKUP(2,1/(#REF!=Z2119),#REF!),""))</f>
        <v/>
      </c>
      <c r="AB2119" t="str">
        <f>IF(Z2119="","",IFERROR(LOOKUP(2,1/(#REF!=Z2119),#REF!),""))</f>
        <v/>
      </c>
      <c r="AC2119" t="str">
        <f>IF(Z2119="","",COUNTIF(#REF!,Z2119))</f>
        <v/>
      </c>
      <c r="AD2119" t="str">
        <f>IF(A2119="","",IF(AC2119&gt;1,"REVISAR DUPLICADO",IF(AA2119&lt;&gt;"","ACTUALIZADO POR EYR","SIN REPORTE EYR")))</f>
        <v/>
      </c>
    </row>
    <row r="2120" spans="11:30" x14ac:dyDescent="0.3">
      <c r="K2120" s="1" t="str">
        <f ca="1">IF(A2120="","",IF(OR(L2120="ENTREGADA",L2120="RETORNADA",L2120="ENTREGA DIGITAL"),0,MAX(0,5-NETWORKDAYS(H2120+1,TODAY()))))</f>
        <v/>
      </c>
      <c r="L2120" t="str">
        <f>IF(A2120="","",IFERROR(LOOKUP(2,1/(#REF!=Z2120),#REF!),Y2120))</f>
        <v/>
      </c>
      <c r="Z2120" t="str">
        <f>IF(A2120="","",TEXT(A2120,"0")&amp;"|"&amp;TEXT(H2120,"0"))</f>
        <v/>
      </c>
      <c r="AA2120" t="str">
        <f>IF(Z2120="","",IFERROR(LOOKUP(2,1/(#REF!=Z2120),#REF!),""))</f>
        <v/>
      </c>
      <c r="AB2120" t="str">
        <f>IF(Z2120="","",IFERROR(LOOKUP(2,1/(#REF!=Z2120),#REF!),""))</f>
        <v/>
      </c>
      <c r="AC2120" t="str">
        <f>IF(Z2120="","",COUNTIF(#REF!,Z2120))</f>
        <v/>
      </c>
      <c r="AD2120" t="str">
        <f>IF(A2120="","",IF(AC2120&gt;1,"REVISAR DUPLICADO",IF(AA2120&lt;&gt;"","ACTUALIZADO POR EYR","SIN REPORTE EYR")))</f>
        <v/>
      </c>
    </row>
    <row r="2121" spans="11:30" x14ac:dyDescent="0.3">
      <c r="K2121" s="1" t="str">
        <f ca="1">IF(A2121="","",IF(OR(L2121="ENTREGADA",L2121="RETORNADA",L2121="ENTREGA DIGITAL"),0,MAX(0,5-NETWORKDAYS(H2121+1,TODAY()))))</f>
        <v/>
      </c>
      <c r="L2121" t="str">
        <f>IF(A2121="","",IFERROR(LOOKUP(2,1/(#REF!=Z2121),#REF!),Y2121))</f>
        <v/>
      </c>
      <c r="Z2121" t="str">
        <f>IF(A2121="","",TEXT(A2121,"0")&amp;"|"&amp;TEXT(H2121,"0"))</f>
        <v/>
      </c>
      <c r="AA2121" t="str">
        <f>IF(Z2121="","",IFERROR(LOOKUP(2,1/(#REF!=Z2121),#REF!),""))</f>
        <v/>
      </c>
      <c r="AB2121" t="str">
        <f>IF(Z2121="","",IFERROR(LOOKUP(2,1/(#REF!=Z2121),#REF!),""))</f>
        <v/>
      </c>
      <c r="AC2121" t="str">
        <f>IF(Z2121="","",COUNTIF(#REF!,Z2121))</f>
        <v/>
      </c>
      <c r="AD2121" t="str">
        <f>IF(A2121="","",IF(AC2121&gt;1,"REVISAR DUPLICADO",IF(AA2121&lt;&gt;"","ACTUALIZADO POR EYR","SIN REPORTE EYR")))</f>
        <v/>
      </c>
    </row>
    <row r="2122" spans="11:30" x14ac:dyDescent="0.3">
      <c r="K2122" s="1" t="str">
        <f ca="1">IF(A2122="","",IF(OR(L2122="ENTREGADA",L2122="RETORNADA",L2122="ENTREGA DIGITAL"),0,MAX(0,5-NETWORKDAYS(H2122+1,TODAY()))))</f>
        <v/>
      </c>
      <c r="L2122" t="str">
        <f>IF(A2122="","",IFERROR(LOOKUP(2,1/(#REF!=Z2122),#REF!),Y2122))</f>
        <v/>
      </c>
      <c r="Z2122" t="str">
        <f>IF(A2122="","",TEXT(A2122,"0")&amp;"|"&amp;TEXT(H2122,"0"))</f>
        <v/>
      </c>
      <c r="AA2122" t="str">
        <f>IF(Z2122="","",IFERROR(LOOKUP(2,1/(#REF!=Z2122),#REF!),""))</f>
        <v/>
      </c>
      <c r="AB2122" t="str">
        <f>IF(Z2122="","",IFERROR(LOOKUP(2,1/(#REF!=Z2122),#REF!),""))</f>
        <v/>
      </c>
      <c r="AC2122" t="str">
        <f>IF(Z2122="","",COUNTIF(#REF!,Z2122))</f>
        <v/>
      </c>
      <c r="AD2122" t="str">
        <f>IF(A2122="","",IF(AC2122&gt;1,"REVISAR DUPLICADO",IF(AA2122&lt;&gt;"","ACTUALIZADO POR EYR","SIN REPORTE EYR")))</f>
        <v/>
      </c>
    </row>
    <row r="2123" spans="11:30" x14ac:dyDescent="0.3">
      <c r="K2123" s="1" t="str">
        <f ca="1">IF(A2123="","",IF(OR(L2123="ENTREGADA",L2123="RETORNADA",L2123="ENTREGA DIGITAL"),0,MAX(0,5-NETWORKDAYS(H2123+1,TODAY()))))</f>
        <v/>
      </c>
      <c r="L2123" t="str">
        <f>IF(A2123="","",IFERROR(LOOKUP(2,1/(#REF!=Z2123),#REF!),Y2123))</f>
        <v/>
      </c>
      <c r="Z2123" t="str">
        <f>IF(A2123="","",TEXT(A2123,"0")&amp;"|"&amp;TEXT(H2123,"0"))</f>
        <v/>
      </c>
      <c r="AA2123" t="str">
        <f>IF(Z2123="","",IFERROR(LOOKUP(2,1/(#REF!=Z2123),#REF!),""))</f>
        <v/>
      </c>
      <c r="AB2123" t="str">
        <f>IF(Z2123="","",IFERROR(LOOKUP(2,1/(#REF!=Z2123),#REF!),""))</f>
        <v/>
      </c>
      <c r="AC2123" t="str">
        <f>IF(Z2123="","",COUNTIF(#REF!,Z2123))</f>
        <v/>
      </c>
      <c r="AD2123" t="str">
        <f>IF(A2123="","",IF(AC2123&gt;1,"REVISAR DUPLICADO",IF(AA2123&lt;&gt;"","ACTUALIZADO POR EYR","SIN REPORTE EYR")))</f>
        <v/>
      </c>
    </row>
    <row r="2124" spans="11:30" x14ac:dyDescent="0.3">
      <c r="K2124" s="1" t="str">
        <f ca="1">IF(A2124="","",IF(OR(L2124="ENTREGADA",L2124="RETORNADA",L2124="ENTREGA DIGITAL"),0,MAX(0,5-NETWORKDAYS(H2124+1,TODAY()))))</f>
        <v/>
      </c>
      <c r="L2124" t="str">
        <f>IF(A2124="","",IFERROR(LOOKUP(2,1/(#REF!=Z2124),#REF!),Y2124))</f>
        <v/>
      </c>
      <c r="Z2124" t="str">
        <f>IF(A2124="","",TEXT(A2124,"0")&amp;"|"&amp;TEXT(H2124,"0"))</f>
        <v/>
      </c>
      <c r="AA2124" t="str">
        <f>IF(Z2124="","",IFERROR(LOOKUP(2,1/(#REF!=Z2124),#REF!),""))</f>
        <v/>
      </c>
      <c r="AB2124" t="str">
        <f>IF(Z2124="","",IFERROR(LOOKUP(2,1/(#REF!=Z2124),#REF!),""))</f>
        <v/>
      </c>
      <c r="AC2124" t="str">
        <f>IF(Z2124="","",COUNTIF(#REF!,Z2124))</f>
        <v/>
      </c>
      <c r="AD2124" t="str">
        <f>IF(A2124="","",IF(AC2124&gt;1,"REVISAR DUPLICADO",IF(AA2124&lt;&gt;"","ACTUALIZADO POR EYR","SIN REPORTE EYR")))</f>
        <v/>
      </c>
    </row>
    <row r="2125" spans="11:30" x14ac:dyDescent="0.3">
      <c r="K2125" s="1" t="str">
        <f ca="1">IF(A2125="","",IF(OR(L2125="ENTREGADA",L2125="RETORNADA",L2125="ENTREGA DIGITAL"),0,MAX(0,5-NETWORKDAYS(H2125+1,TODAY()))))</f>
        <v/>
      </c>
      <c r="L2125" t="str">
        <f>IF(A2125="","",IFERROR(LOOKUP(2,1/(#REF!=Z2125),#REF!),Y2125))</f>
        <v/>
      </c>
      <c r="Z2125" t="str">
        <f>IF(A2125="","",TEXT(A2125,"0")&amp;"|"&amp;TEXT(H2125,"0"))</f>
        <v/>
      </c>
      <c r="AA2125" t="str">
        <f>IF(Z2125="","",IFERROR(LOOKUP(2,1/(#REF!=Z2125),#REF!),""))</f>
        <v/>
      </c>
      <c r="AB2125" t="str">
        <f>IF(Z2125="","",IFERROR(LOOKUP(2,1/(#REF!=Z2125),#REF!),""))</f>
        <v/>
      </c>
      <c r="AC2125" t="str">
        <f>IF(Z2125="","",COUNTIF(#REF!,Z2125))</f>
        <v/>
      </c>
      <c r="AD2125" t="str">
        <f>IF(A2125="","",IF(AC2125&gt;1,"REVISAR DUPLICADO",IF(AA2125&lt;&gt;"","ACTUALIZADO POR EYR","SIN REPORTE EYR")))</f>
        <v/>
      </c>
    </row>
    <row r="2126" spans="11:30" x14ac:dyDescent="0.3">
      <c r="K2126" s="1" t="str">
        <f ca="1">IF(A2126="","",IF(OR(L2126="ENTREGADA",L2126="RETORNADA",L2126="ENTREGA DIGITAL"),0,MAX(0,5-NETWORKDAYS(H2126+1,TODAY()))))</f>
        <v/>
      </c>
      <c r="L2126" t="str">
        <f>IF(A2126="","",IFERROR(LOOKUP(2,1/(#REF!=Z2126),#REF!),Y2126))</f>
        <v/>
      </c>
      <c r="Z2126" t="str">
        <f>IF(A2126="","",TEXT(A2126,"0")&amp;"|"&amp;TEXT(H2126,"0"))</f>
        <v/>
      </c>
      <c r="AA2126" t="str">
        <f>IF(Z2126="","",IFERROR(LOOKUP(2,1/(#REF!=Z2126),#REF!),""))</f>
        <v/>
      </c>
      <c r="AB2126" t="str">
        <f>IF(Z2126="","",IFERROR(LOOKUP(2,1/(#REF!=Z2126),#REF!),""))</f>
        <v/>
      </c>
      <c r="AC2126" t="str">
        <f>IF(Z2126="","",COUNTIF(#REF!,Z2126))</f>
        <v/>
      </c>
      <c r="AD2126" t="str">
        <f>IF(A2126="","",IF(AC2126&gt;1,"REVISAR DUPLICADO",IF(AA2126&lt;&gt;"","ACTUALIZADO POR EYR","SIN REPORTE EYR")))</f>
        <v/>
      </c>
    </row>
    <row r="2127" spans="11:30" x14ac:dyDescent="0.3">
      <c r="K2127" s="1" t="str">
        <f ca="1">IF(A2127="","",IF(OR(L2127="ENTREGADA",L2127="RETORNADA",L2127="ENTREGA DIGITAL"),0,MAX(0,5-NETWORKDAYS(H2127+1,TODAY()))))</f>
        <v/>
      </c>
      <c r="L2127" t="str">
        <f>IF(A2127="","",IFERROR(LOOKUP(2,1/(#REF!=Z2127),#REF!),Y2127))</f>
        <v/>
      </c>
      <c r="Z2127" t="str">
        <f>IF(A2127="","",TEXT(A2127,"0")&amp;"|"&amp;TEXT(H2127,"0"))</f>
        <v/>
      </c>
      <c r="AA2127" t="str">
        <f>IF(Z2127="","",IFERROR(LOOKUP(2,1/(#REF!=Z2127),#REF!),""))</f>
        <v/>
      </c>
      <c r="AB2127" t="str">
        <f>IF(Z2127="","",IFERROR(LOOKUP(2,1/(#REF!=Z2127),#REF!),""))</f>
        <v/>
      </c>
      <c r="AC2127" t="str">
        <f>IF(Z2127="","",COUNTIF(#REF!,Z2127))</f>
        <v/>
      </c>
      <c r="AD2127" t="str">
        <f>IF(A2127="","",IF(AC2127&gt;1,"REVISAR DUPLICADO",IF(AA2127&lt;&gt;"","ACTUALIZADO POR EYR","SIN REPORTE EYR")))</f>
        <v/>
      </c>
    </row>
    <row r="2128" spans="11:30" x14ac:dyDescent="0.3">
      <c r="K2128" s="1" t="str">
        <f ca="1">IF(A2128="","",IF(OR(L2128="ENTREGADA",L2128="RETORNADA",L2128="ENTREGA DIGITAL"),0,MAX(0,5-NETWORKDAYS(H2128+1,TODAY()))))</f>
        <v/>
      </c>
      <c r="L2128" t="str">
        <f>IF(A2128="","",IFERROR(LOOKUP(2,1/(#REF!=Z2128),#REF!),Y2128))</f>
        <v/>
      </c>
      <c r="Z2128" t="str">
        <f>IF(A2128="","",TEXT(A2128,"0")&amp;"|"&amp;TEXT(H2128,"0"))</f>
        <v/>
      </c>
      <c r="AA2128" t="str">
        <f>IF(Z2128="","",IFERROR(LOOKUP(2,1/(#REF!=Z2128),#REF!),""))</f>
        <v/>
      </c>
      <c r="AB2128" t="str">
        <f>IF(Z2128="","",IFERROR(LOOKUP(2,1/(#REF!=Z2128),#REF!),""))</f>
        <v/>
      </c>
      <c r="AC2128" t="str">
        <f>IF(Z2128="","",COUNTIF(#REF!,Z2128))</f>
        <v/>
      </c>
      <c r="AD2128" t="str">
        <f>IF(A2128="","",IF(AC2128&gt;1,"REVISAR DUPLICADO",IF(AA2128&lt;&gt;"","ACTUALIZADO POR EYR","SIN REPORTE EYR")))</f>
        <v/>
      </c>
    </row>
    <row r="2129" spans="11:30" x14ac:dyDescent="0.3">
      <c r="K2129" s="1" t="str">
        <f ca="1">IF(A2129="","",IF(OR(L2129="ENTREGADA",L2129="RETORNADA",L2129="ENTREGA DIGITAL"),0,MAX(0,5-NETWORKDAYS(H2129+1,TODAY()))))</f>
        <v/>
      </c>
      <c r="L2129" t="str">
        <f>IF(A2129="","",IFERROR(LOOKUP(2,1/(#REF!=Z2129),#REF!),Y2129))</f>
        <v/>
      </c>
      <c r="Z2129" t="str">
        <f>IF(A2129="","",TEXT(A2129,"0")&amp;"|"&amp;TEXT(H2129,"0"))</f>
        <v/>
      </c>
      <c r="AA2129" t="str">
        <f>IF(Z2129="","",IFERROR(LOOKUP(2,1/(#REF!=Z2129),#REF!),""))</f>
        <v/>
      </c>
      <c r="AB2129" t="str">
        <f>IF(Z2129="","",IFERROR(LOOKUP(2,1/(#REF!=Z2129),#REF!),""))</f>
        <v/>
      </c>
      <c r="AC2129" t="str">
        <f>IF(Z2129="","",COUNTIF(#REF!,Z2129))</f>
        <v/>
      </c>
      <c r="AD2129" t="str">
        <f>IF(A2129="","",IF(AC2129&gt;1,"REVISAR DUPLICADO",IF(AA2129&lt;&gt;"","ACTUALIZADO POR EYR","SIN REPORTE EYR")))</f>
        <v/>
      </c>
    </row>
    <row r="2130" spans="11:30" x14ac:dyDescent="0.3">
      <c r="K2130" s="1" t="str">
        <f ca="1">IF(A2130="","",IF(OR(L2130="ENTREGADA",L2130="RETORNADA",L2130="ENTREGA DIGITAL"),0,MAX(0,5-NETWORKDAYS(H2130+1,TODAY()))))</f>
        <v/>
      </c>
      <c r="L2130" t="str">
        <f>IF(A2130="","",IFERROR(LOOKUP(2,1/(#REF!=Z2130),#REF!),Y2130))</f>
        <v/>
      </c>
      <c r="Z2130" t="str">
        <f>IF(A2130="","",TEXT(A2130,"0")&amp;"|"&amp;TEXT(H2130,"0"))</f>
        <v/>
      </c>
      <c r="AA2130" t="str">
        <f>IF(Z2130="","",IFERROR(LOOKUP(2,1/(#REF!=Z2130),#REF!),""))</f>
        <v/>
      </c>
      <c r="AB2130" t="str">
        <f>IF(Z2130="","",IFERROR(LOOKUP(2,1/(#REF!=Z2130),#REF!),""))</f>
        <v/>
      </c>
      <c r="AC2130" t="str">
        <f>IF(Z2130="","",COUNTIF(#REF!,Z2130))</f>
        <v/>
      </c>
      <c r="AD2130" t="str">
        <f>IF(A2130="","",IF(AC2130&gt;1,"REVISAR DUPLICADO",IF(AA2130&lt;&gt;"","ACTUALIZADO POR EYR","SIN REPORTE EYR")))</f>
        <v/>
      </c>
    </row>
    <row r="2131" spans="11:30" x14ac:dyDescent="0.3">
      <c r="K2131" s="1" t="str">
        <f ca="1">IF(A2131="","",IF(OR(L2131="ENTREGADA",L2131="RETORNADA",L2131="ENTREGA DIGITAL"),0,MAX(0,5-NETWORKDAYS(H2131+1,TODAY()))))</f>
        <v/>
      </c>
      <c r="L2131" t="str">
        <f>IF(A2131="","",IFERROR(LOOKUP(2,1/(#REF!=Z2131),#REF!),Y2131))</f>
        <v/>
      </c>
      <c r="Z2131" t="str">
        <f>IF(A2131="","",TEXT(A2131,"0")&amp;"|"&amp;TEXT(H2131,"0"))</f>
        <v/>
      </c>
      <c r="AA2131" t="str">
        <f>IF(Z2131="","",IFERROR(LOOKUP(2,1/(#REF!=Z2131),#REF!),""))</f>
        <v/>
      </c>
      <c r="AB2131" t="str">
        <f>IF(Z2131="","",IFERROR(LOOKUP(2,1/(#REF!=Z2131),#REF!),""))</f>
        <v/>
      </c>
      <c r="AC2131" t="str">
        <f>IF(Z2131="","",COUNTIF(#REF!,Z2131))</f>
        <v/>
      </c>
      <c r="AD2131" t="str">
        <f>IF(A2131="","",IF(AC2131&gt;1,"REVISAR DUPLICADO",IF(AA2131&lt;&gt;"","ACTUALIZADO POR EYR","SIN REPORTE EYR")))</f>
        <v/>
      </c>
    </row>
    <row r="2132" spans="11:30" x14ac:dyDescent="0.3">
      <c r="K2132" s="1" t="str">
        <f ca="1">IF(A2132="","",IF(OR(L2132="ENTREGADA",L2132="RETORNADA",L2132="ENTREGA DIGITAL"),0,MAX(0,5-NETWORKDAYS(H2132+1,TODAY()))))</f>
        <v/>
      </c>
      <c r="L2132" t="str">
        <f>IF(A2132="","",IFERROR(LOOKUP(2,1/(#REF!=Z2132),#REF!),Y2132))</f>
        <v/>
      </c>
      <c r="Z2132" t="str">
        <f>IF(A2132="","",TEXT(A2132,"0")&amp;"|"&amp;TEXT(H2132,"0"))</f>
        <v/>
      </c>
      <c r="AA2132" t="str">
        <f>IF(Z2132="","",IFERROR(LOOKUP(2,1/(#REF!=Z2132),#REF!),""))</f>
        <v/>
      </c>
      <c r="AB2132" t="str">
        <f>IF(Z2132="","",IFERROR(LOOKUP(2,1/(#REF!=Z2132),#REF!),""))</f>
        <v/>
      </c>
      <c r="AC2132" t="str">
        <f>IF(Z2132="","",COUNTIF(#REF!,Z2132))</f>
        <v/>
      </c>
      <c r="AD2132" t="str">
        <f>IF(A2132="","",IF(AC2132&gt;1,"REVISAR DUPLICADO",IF(AA2132&lt;&gt;"","ACTUALIZADO POR EYR","SIN REPORTE EYR")))</f>
        <v/>
      </c>
    </row>
    <row r="2133" spans="11:30" x14ac:dyDescent="0.3">
      <c r="K2133" s="1" t="str">
        <f ca="1">IF(A2133="","",IF(OR(L2133="ENTREGADA",L2133="RETORNADA",L2133="ENTREGA DIGITAL"),0,MAX(0,5-NETWORKDAYS(H2133+1,TODAY()))))</f>
        <v/>
      </c>
      <c r="L2133" t="str">
        <f>IF(A2133="","",IFERROR(LOOKUP(2,1/(#REF!=Z2133),#REF!),Y2133))</f>
        <v/>
      </c>
      <c r="Z2133" t="str">
        <f>IF(A2133="","",TEXT(A2133,"0")&amp;"|"&amp;TEXT(H2133,"0"))</f>
        <v/>
      </c>
      <c r="AA2133" t="str">
        <f>IF(Z2133="","",IFERROR(LOOKUP(2,1/(#REF!=Z2133),#REF!),""))</f>
        <v/>
      </c>
      <c r="AB2133" t="str">
        <f>IF(Z2133="","",IFERROR(LOOKUP(2,1/(#REF!=Z2133),#REF!),""))</f>
        <v/>
      </c>
      <c r="AC2133" t="str">
        <f>IF(Z2133="","",COUNTIF(#REF!,Z2133))</f>
        <v/>
      </c>
      <c r="AD2133" t="str">
        <f>IF(A2133="","",IF(AC2133&gt;1,"REVISAR DUPLICADO",IF(AA2133&lt;&gt;"","ACTUALIZADO POR EYR","SIN REPORTE EYR")))</f>
        <v/>
      </c>
    </row>
    <row r="2134" spans="11:30" x14ac:dyDescent="0.3">
      <c r="K2134" s="1" t="str">
        <f ca="1">IF(A2134="","",IF(OR(L2134="ENTREGADA",L2134="RETORNADA",L2134="ENTREGA DIGITAL"),0,MAX(0,5-NETWORKDAYS(H2134+1,TODAY()))))</f>
        <v/>
      </c>
      <c r="L2134" t="str">
        <f>IF(A2134="","",IFERROR(LOOKUP(2,1/(#REF!=Z2134),#REF!),Y2134))</f>
        <v/>
      </c>
      <c r="Z2134" t="str">
        <f>IF(A2134="","",TEXT(A2134,"0")&amp;"|"&amp;TEXT(H2134,"0"))</f>
        <v/>
      </c>
      <c r="AA2134" t="str">
        <f>IF(Z2134="","",IFERROR(LOOKUP(2,1/(#REF!=Z2134),#REF!),""))</f>
        <v/>
      </c>
      <c r="AB2134" t="str">
        <f>IF(Z2134="","",IFERROR(LOOKUP(2,1/(#REF!=Z2134),#REF!),""))</f>
        <v/>
      </c>
      <c r="AC2134" t="str">
        <f>IF(Z2134="","",COUNTIF(#REF!,Z2134))</f>
        <v/>
      </c>
      <c r="AD2134" t="str">
        <f>IF(A2134="","",IF(AC2134&gt;1,"REVISAR DUPLICADO",IF(AA2134&lt;&gt;"","ACTUALIZADO POR EYR","SIN REPORTE EYR")))</f>
        <v/>
      </c>
    </row>
    <row r="2135" spans="11:30" x14ac:dyDescent="0.3">
      <c r="K2135" s="1" t="str">
        <f ca="1">IF(A2135="","",IF(OR(L2135="ENTREGADA",L2135="RETORNADA",L2135="ENTREGA DIGITAL"),0,MAX(0,5-NETWORKDAYS(H2135+1,TODAY()))))</f>
        <v/>
      </c>
      <c r="L2135" t="str">
        <f>IF(A2135="","",IFERROR(LOOKUP(2,1/(#REF!=Z2135),#REF!),Y2135))</f>
        <v/>
      </c>
      <c r="Z2135" t="str">
        <f>IF(A2135="","",TEXT(A2135,"0")&amp;"|"&amp;TEXT(H2135,"0"))</f>
        <v/>
      </c>
      <c r="AA2135" t="str">
        <f>IF(Z2135="","",IFERROR(LOOKUP(2,1/(#REF!=Z2135),#REF!),""))</f>
        <v/>
      </c>
      <c r="AB2135" t="str">
        <f>IF(Z2135="","",IFERROR(LOOKUP(2,1/(#REF!=Z2135),#REF!),""))</f>
        <v/>
      </c>
      <c r="AC2135" t="str">
        <f>IF(Z2135="","",COUNTIF(#REF!,Z2135))</f>
        <v/>
      </c>
      <c r="AD2135" t="str">
        <f>IF(A2135="","",IF(AC2135&gt;1,"REVISAR DUPLICADO",IF(AA2135&lt;&gt;"","ACTUALIZADO POR EYR","SIN REPORTE EYR")))</f>
        <v/>
      </c>
    </row>
    <row r="2136" spans="11:30" x14ac:dyDescent="0.3">
      <c r="K2136" s="1" t="str">
        <f ca="1">IF(A2136="","",IF(OR(L2136="ENTREGADA",L2136="RETORNADA",L2136="ENTREGA DIGITAL"),0,MAX(0,5-NETWORKDAYS(H2136+1,TODAY()))))</f>
        <v/>
      </c>
      <c r="L2136" t="str">
        <f>IF(A2136="","",IFERROR(LOOKUP(2,1/(#REF!=Z2136),#REF!),Y2136))</f>
        <v/>
      </c>
      <c r="Z2136" t="str">
        <f>IF(A2136="","",TEXT(A2136,"0")&amp;"|"&amp;TEXT(H2136,"0"))</f>
        <v/>
      </c>
      <c r="AA2136" t="str">
        <f>IF(Z2136="","",IFERROR(LOOKUP(2,1/(#REF!=Z2136),#REF!),""))</f>
        <v/>
      </c>
      <c r="AB2136" t="str">
        <f>IF(Z2136="","",IFERROR(LOOKUP(2,1/(#REF!=Z2136),#REF!),""))</f>
        <v/>
      </c>
      <c r="AC2136" t="str">
        <f>IF(Z2136="","",COUNTIF(#REF!,Z2136))</f>
        <v/>
      </c>
      <c r="AD2136" t="str">
        <f>IF(A2136="","",IF(AC2136&gt;1,"REVISAR DUPLICADO",IF(AA2136&lt;&gt;"","ACTUALIZADO POR EYR","SIN REPORTE EYR")))</f>
        <v/>
      </c>
    </row>
    <row r="2137" spans="11:30" x14ac:dyDescent="0.3">
      <c r="K2137" s="1" t="str">
        <f ca="1">IF(A2137="","",IF(OR(L2137="ENTREGADA",L2137="RETORNADA",L2137="ENTREGA DIGITAL"),0,MAX(0,5-NETWORKDAYS(H2137+1,TODAY()))))</f>
        <v/>
      </c>
      <c r="L2137" t="str">
        <f>IF(A2137="","",IFERROR(LOOKUP(2,1/(#REF!=Z2137),#REF!),Y2137))</f>
        <v/>
      </c>
      <c r="Z2137" t="str">
        <f>IF(A2137="","",TEXT(A2137,"0")&amp;"|"&amp;TEXT(H2137,"0"))</f>
        <v/>
      </c>
      <c r="AA2137" t="str">
        <f>IF(Z2137="","",IFERROR(LOOKUP(2,1/(#REF!=Z2137),#REF!),""))</f>
        <v/>
      </c>
      <c r="AB2137" t="str">
        <f>IF(Z2137="","",IFERROR(LOOKUP(2,1/(#REF!=Z2137),#REF!),""))</f>
        <v/>
      </c>
      <c r="AC2137" t="str">
        <f>IF(Z2137="","",COUNTIF(#REF!,Z2137))</f>
        <v/>
      </c>
      <c r="AD2137" t="str">
        <f>IF(A2137="","",IF(AC2137&gt;1,"REVISAR DUPLICADO",IF(AA2137&lt;&gt;"","ACTUALIZADO POR EYR","SIN REPORTE EYR")))</f>
        <v/>
      </c>
    </row>
    <row r="2138" spans="11:30" x14ac:dyDescent="0.3">
      <c r="K2138" s="1" t="str">
        <f ca="1">IF(A2138="","",IF(OR(L2138="ENTREGADA",L2138="RETORNADA",L2138="ENTREGA DIGITAL"),0,MAX(0,5-NETWORKDAYS(H2138+1,TODAY()))))</f>
        <v/>
      </c>
      <c r="L2138" t="str">
        <f>IF(A2138="","",IFERROR(LOOKUP(2,1/(#REF!=Z2138),#REF!),Y2138))</f>
        <v/>
      </c>
      <c r="Z2138" t="str">
        <f>IF(A2138="","",TEXT(A2138,"0")&amp;"|"&amp;TEXT(H2138,"0"))</f>
        <v/>
      </c>
      <c r="AA2138" t="str">
        <f>IF(Z2138="","",IFERROR(LOOKUP(2,1/(#REF!=Z2138),#REF!),""))</f>
        <v/>
      </c>
      <c r="AB2138" t="str">
        <f>IF(Z2138="","",IFERROR(LOOKUP(2,1/(#REF!=Z2138),#REF!),""))</f>
        <v/>
      </c>
      <c r="AC2138" t="str">
        <f>IF(Z2138="","",COUNTIF(#REF!,Z2138))</f>
        <v/>
      </c>
      <c r="AD2138" t="str">
        <f>IF(A2138="","",IF(AC2138&gt;1,"REVISAR DUPLICADO",IF(AA2138&lt;&gt;"","ACTUALIZADO POR EYR","SIN REPORTE EYR")))</f>
        <v/>
      </c>
    </row>
    <row r="2139" spans="11:30" x14ac:dyDescent="0.3">
      <c r="K2139" s="1" t="str">
        <f ca="1">IF(A2139="","",IF(OR(L2139="ENTREGADA",L2139="RETORNADA",L2139="ENTREGA DIGITAL"),0,MAX(0,5-NETWORKDAYS(H2139+1,TODAY()))))</f>
        <v/>
      </c>
      <c r="L2139" t="str">
        <f>IF(A2139="","",IFERROR(LOOKUP(2,1/(#REF!=Z2139),#REF!),Y2139))</f>
        <v/>
      </c>
      <c r="Z2139" t="str">
        <f>IF(A2139="","",TEXT(A2139,"0")&amp;"|"&amp;TEXT(H2139,"0"))</f>
        <v/>
      </c>
      <c r="AA2139" t="str">
        <f>IF(Z2139="","",IFERROR(LOOKUP(2,1/(#REF!=Z2139),#REF!),""))</f>
        <v/>
      </c>
      <c r="AB2139" t="str">
        <f>IF(Z2139="","",IFERROR(LOOKUP(2,1/(#REF!=Z2139),#REF!),""))</f>
        <v/>
      </c>
      <c r="AC2139" t="str">
        <f>IF(Z2139="","",COUNTIF(#REF!,Z2139))</f>
        <v/>
      </c>
      <c r="AD2139" t="str">
        <f>IF(A2139="","",IF(AC2139&gt;1,"REVISAR DUPLICADO",IF(AA2139&lt;&gt;"","ACTUALIZADO POR EYR","SIN REPORTE EYR")))</f>
        <v/>
      </c>
    </row>
    <row r="2140" spans="11:30" x14ac:dyDescent="0.3">
      <c r="K2140" s="1" t="str">
        <f ca="1">IF(A2140="","",IF(OR(L2140="ENTREGADA",L2140="RETORNADA",L2140="ENTREGA DIGITAL"),0,MAX(0,5-NETWORKDAYS(H2140+1,TODAY()))))</f>
        <v/>
      </c>
      <c r="L2140" t="str">
        <f>IF(A2140="","",IFERROR(LOOKUP(2,1/(#REF!=Z2140),#REF!),Y2140))</f>
        <v/>
      </c>
      <c r="Z2140" t="str">
        <f>IF(A2140="","",TEXT(A2140,"0")&amp;"|"&amp;TEXT(H2140,"0"))</f>
        <v/>
      </c>
      <c r="AA2140" t="str">
        <f>IF(Z2140="","",IFERROR(LOOKUP(2,1/(#REF!=Z2140),#REF!),""))</f>
        <v/>
      </c>
      <c r="AB2140" t="str">
        <f>IF(Z2140="","",IFERROR(LOOKUP(2,1/(#REF!=Z2140),#REF!),""))</f>
        <v/>
      </c>
      <c r="AC2140" t="str">
        <f>IF(Z2140="","",COUNTIF(#REF!,Z2140))</f>
        <v/>
      </c>
      <c r="AD2140" t="str">
        <f>IF(A2140="","",IF(AC2140&gt;1,"REVISAR DUPLICADO",IF(AA2140&lt;&gt;"","ACTUALIZADO POR EYR","SIN REPORTE EYR")))</f>
        <v/>
      </c>
    </row>
    <row r="2141" spans="11:30" x14ac:dyDescent="0.3">
      <c r="K2141" s="1" t="str">
        <f ca="1">IF(A2141="","",IF(OR(L2141="ENTREGADA",L2141="RETORNADA",L2141="ENTREGA DIGITAL"),0,MAX(0,5-NETWORKDAYS(H2141+1,TODAY()))))</f>
        <v/>
      </c>
      <c r="L2141" t="str">
        <f>IF(A2141="","",IFERROR(LOOKUP(2,1/(#REF!=Z2141),#REF!),Y2141))</f>
        <v/>
      </c>
      <c r="Z2141" t="str">
        <f>IF(A2141="","",TEXT(A2141,"0")&amp;"|"&amp;TEXT(H2141,"0"))</f>
        <v/>
      </c>
      <c r="AA2141" t="str">
        <f>IF(Z2141="","",IFERROR(LOOKUP(2,1/(#REF!=Z2141),#REF!),""))</f>
        <v/>
      </c>
      <c r="AB2141" t="str">
        <f>IF(Z2141="","",IFERROR(LOOKUP(2,1/(#REF!=Z2141),#REF!),""))</f>
        <v/>
      </c>
      <c r="AC2141" t="str">
        <f>IF(Z2141="","",COUNTIF(#REF!,Z2141))</f>
        <v/>
      </c>
      <c r="AD2141" t="str">
        <f>IF(A2141="","",IF(AC2141&gt;1,"REVISAR DUPLICADO",IF(AA2141&lt;&gt;"","ACTUALIZADO POR EYR","SIN REPORTE EYR")))</f>
        <v/>
      </c>
    </row>
    <row r="2142" spans="11:30" x14ac:dyDescent="0.3">
      <c r="K2142" s="1" t="str">
        <f ca="1">IF(A2142="","",IF(OR(L2142="ENTREGADA",L2142="RETORNADA",L2142="ENTREGA DIGITAL"),0,MAX(0,5-NETWORKDAYS(H2142+1,TODAY()))))</f>
        <v/>
      </c>
      <c r="L2142" t="str">
        <f>IF(A2142="","",IFERROR(LOOKUP(2,1/(#REF!=Z2142),#REF!),Y2142))</f>
        <v/>
      </c>
      <c r="Z2142" t="str">
        <f>IF(A2142="","",TEXT(A2142,"0")&amp;"|"&amp;TEXT(H2142,"0"))</f>
        <v/>
      </c>
      <c r="AA2142" t="str">
        <f>IF(Z2142="","",IFERROR(LOOKUP(2,1/(#REF!=Z2142),#REF!),""))</f>
        <v/>
      </c>
      <c r="AB2142" t="str">
        <f>IF(Z2142="","",IFERROR(LOOKUP(2,1/(#REF!=Z2142),#REF!),""))</f>
        <v/>
      </c>
      <c r="AC2142" t="str">
        <f>IF(Z2142="","",COUNTIF(#REF!,Z2142))</f>
        <v/>
      </c>
      <c r="AD2142" t="str">
        <f>IF(A2142="","",IF(AC2142&gt;1,"REVISAR DUPLICADO",IF(AA2142&lt;&gt;"","ACTUALIZADO POR EYR","SIN REPORTE EYR")))</f>
        <v/>
      </c>
    </row>
    <row r="2143" spans="11:30" x14ac:dyDescent="0.3">
      <c r="K2143" s="1" t="str">
        <f ca="1">IF(A2143="","",IF(OR(L2143="ENTREGADA",L2143="RETORNADA",L2143="ENTREGA DIGITAL"),0,MAX(0,5-NETWORKDAYS(H2143+1,TODAY()))))</f>
        <v/>
      </c>
      <c r="L2143" t="str">
        <f>IF(A2143="","",IFERROR(LOOKUP(2,1/(#REF!=Z2143),#REF!),Y2143))</f>
        <v/>
      </c>
      <c r="Z2143" t="str">
        <f>IF(A2143="","",TEXT(A2143,"0")&amp;"|"&amp;TEXT(H2143,"0"))</f>
        <v/>
      </c>
      <c r="AA2143" t="str">
        <f>IF(Z2143="","",IFERROR(LOOKUP(2,1/(#REF!=Z2143),#REF!),""))</f>
        <v/>
      </c>
      <c r="AB2143" t="str">
        <f>IF(Z2143="","",IFERROR(LOOKUP(2,1/(#REF!=Z2143),#REF!),""))</f>
        <v/>
      </c>
      <c r="AC2143" t="str">
        <f>IF(Z2143="","",COUNTIF(#REF!,Z2143))</f>
        <v/>
      </c>
      <c r="AD2143" t="str">
        <f>IF(A2143="","",IF(AC2143&gt;1,"REVISAR DUPLICADO",IF(AA2143&lt;&gt;"","ACTUALIZADO POR EYR","SIN REPORTE EYR")))</f>
        <v/>
      </c>
    </row>
    <row r="2144" spans="11:30" x14ac:dyDescent="0.3">
      <c r="K2144" s="1" t="str">
        <f ca="1">IF(A2144="","",IF(OR(L2144="ENTREGADA",L2144="RETORNADA",L2144="ENTREGA DIGITAL"),0,MAX(0,5-NETWORKDAYS(H2144+1,TODAY()))))</f>
        <v/>
      </c>
      <c r="L2144" t="str">
        <f>IF(A2144="","",IFERROR(LOOKUP(2,1/(#REF!=Z2144),#REF!),Y2144))</f>
        <v/>
      </c>
      <c r="Z2144" t="str">
        <f>IF(A2144="","",TEXT(A2144,"0")&amp;"|"&amp;TEXT(H2144,"0"))</f>
        <v/>
      </c>
      <c r="AA2144" t="str">
        <f>IF(Z2144="","",IFERROR(LOOKUP(2,1/(#REF!=Z2144),#REF!),""))</f>
        <v/>
      </c>
      <c r="AB2144" t="str">
        <f>IF(Z2144="","",IFERROR(LOOKUP(2,1/(#REF!=Z2144),#REF!),""))</f>
        <v/>
      </c>
      <c r="AC2144" t="str">
        <f>IF(Z2144="","",COUNTIF(#REF!,Z2144))</f>
        <v/>
      </c>
      <c r="AD2144" t="str">
        <f>IF(A2144="","",IF(AC2144&gt;1,"REVISAR DUPLICADO",IF(AA2144&lt;&gt;"","ACTUALIZADO POR EYR","SIN REPORTE EYR")))</f>
        <v/>
      </c>
    </row>
    <row r="2145" spans="11:30" x14ac:dyDescent="0.3">
      <c r="K2145" s="1" t="str">
        <f ca="1">IF(A2145="","",IF(OR(L2145="ENTREGADA",L2145="RETORNADA",L2145="ENTREGA DIGITAL"),0,MAX(0,5-NETWORKDAYS(H2145+1,TODAY()))))</f>
        <v/>
      </c>
      <c r="L2145" t="str">
        <f>IF(A2145="","",IFERROR(LOOKUP(2,1/(#REF!=Z2145),#REF!),Y2145))</f>
        <v/>
      </c>
      <c r="Z2145" t="str">
        <f>IF(A2145="","",TEXT(A2145,"0")&amp;"|"&amp;TEXT(H2145,"0"))</f>
        <v/>
      </c>
      <c r="AA2145" t="str">
        <f>IF(Z2145="","",IFERROR(LOOKUP(2,1/(#REF!=Z2145),#REF!),""))</f>
        <v/>
      </c>
      <c r="AB2145" t="str">
        <f>IF(Z2145="","",IFERROR(LOOKUP(2,1/(#REF!=Z2145),#REF!),""))</f>
        <v/>
      </c>
      <c r="AC2145" t="str">
        <f>IF(Z2145="","",COUNTIF(#REF!,Z2145))</f>
        <v/>
      </c>
      <c r="AD2145" t="str">
        <f>IF(A2145="","",IF(AC2145&gt;1,"REVISAR DUPLICADO",IF(AA2145&lt;&gt;"","ACTUALIZADO POR EYR","SIN REPORTE EYR")))</f>
        <v/>
      </c>
    </row>
    <row r="2146" spans="11:30" x14ac:dyDescent="0.3">
      <c r="K2146" s="1" t="str">
        <f ca="1">IF(A2146="","",IF(OR(L2146="ENTREGADA",L2146="RETORNADA",L2146="ENTREGA DIGITAL"),0,MAX(0,5-NETWORKDAYS(H2146+1,TODAY()))))</f>
        <v/>
      </c>
      <c r="L2146" t="str">
        <f>IF(A2146="","",IFERROR(LOOKUP(2,1/(#REF!=Z2146),#REF!),Y2146))</f>
        <v/>
      </c>
      <c r="Z2146" t="str">
        <f>IF(A2146="","",TEXT(A2146,"0")&amp;"|"&amp;TEXT(H2146,"0"))</f>
        <v/>
      </c>
      <c r="AA2146" t="str">
        <f>IF(Z2146="","",IFERROR(LOOKUP(2,1/(#REF!=Z2146),#REF!),""))</f>
        <v/>
      </c>
      <c r="AB2146" t="str">
        <f>IF(Z2146="","",IFERROR(LOOKUP(2,1/(#REF!=Z2146),#REF!),""))</f>
        <v/>
      </c>
      <c r="AC2146" t="str">
        <f>IF(Z2146="","",COUNTIF(#REF!,Z2146))</f>
        <v/>
      </c>
      <c r="AD2146" t="str">
        <f>IF(A2146="","",IF(AC2146&gt;1,"REVISAR DUPLICADO",IF(AA2146&lt;&gt;"","ACTUALIZADO POR EYR","SIN REPORTE EYR")))</f>
        <v/>
      </c>
    </row>
    <row r="2147" spans="11:30" x14ac:dyDescent="0.3">
      <c r="K2147" s="1" t="str">
        <f ca="1">IF(A2147="","",IF(OR(L2147="ENTREGADA",L2147="RETORNADA",L2147="ENTREGA DIGITAL"),0,MAX(0,5-NETWORKDAYS(H2147+1,TODAY()))))</f>
        <v/>
      </c>
      <c r="L2147" t="str">
        <f>IF(A2147="","",IFERROR(LOOKUP(2,1/(#REF!=Z2147),#REF!),Y2147))</f>
        <v/>
      </c>
      <c r="Z2147" t="str">
        <f>IF(A2147="","",TEXT(A2147,"0")&amp;"|"&amp;TEXT(H2147,"0"))</f>
        <v/>
      </c>
      <c r="AA2147" t="str">
        <f>IF(Z2147="","",IFERROR(LOOKUP(2,1/(#REF!=Z2147),#REF!),""))</f>
        <v/>
      </c>
      <c r="AB2147" t="str">
        <f>IF(Z2147="","",IFERROR(LOOKUP(2,1/(#REF!=Z2147),#REF!),""))</f>
        <v/>
      </c>
      <c r="AC2147" t="str">
        <f>IF(Z2147="","",COUNTIF(#REF!,Z2147))</f>
        <v/>
      </c>
      <c r="AD2147" t="str">
        <f>IF(A2147="","",IF(AC2147&gt;1,"REVISAR DUPLICADO",IF(AA2147&lt;&gt;"","ACTUALIZADO POR EYR","SIN REPORTE EYR")))</f>
        <v/>
      </c>
    </row>
    <row r="2148" spans="11:30" x14ac:dyDescent="0.3">
      <c r="K2148" s="1" t="str">
        <f ca="1">IF(A2148="","",IF(OR(L2148="ENTREGADA",L2148="RETORNADA",L2148="ENTREGA DIGITAL"),0,MAX(0,5-NETWORKDAYS(H2148+1,TODAY()))))</f>
        <v/>
      </c>
      <c r="L2148" t="str">
        <f>IF(A2148="","",IFERROR(LOOKUP(2,1/(#REF!=Z2148),#REF!),Y2148))</f>
        <v/>
      </c>
      <c r="Z2148" t="str">
        <f>IF(A2148="","",TEXT(A2148,"0")&amp;"|"&amp;TEXT(H2148,"0"))</f>
        <v/>
      </c>
      <c r="AA2148" t="str">
        <f>IF(Z2148="","",IFERROR(LOOKUP(2,1/(#REF!=Z2148),#REF!),""))</f>
        <v/>
      </c>
      <c r="AB2148" t="str">
        <f>IF(Z2148="","",IFERROR(LOOKUP(2,1/(#REF!=Z2148),#REF!),""))</f>
        <v/>
      </c>
      <c r="AC2148" t="str">
        <f>IF(Z2148="","",COUNTIF(#REF!,Z2148))</f>
        <v/>
      </c>
      <c r="AD2148" t="str">
        <f>IF(A2148="","",IF(AC2148&gt;1,"REVISAR DUPLICADO",IF(AA2148&lt;&gt;"","ACTUALIZADO POR EYR","SIN REPORTE EYR")))</f>
        <v/>
      </c>
    </row>
    <row r="2149" spans="11:30" x14ac:dyDescent="0.3">
      <c r="K2149" s="1" t="str">
        <f ca="1">IF(A2149="","",IF(OR(L2149="ENTREGADA",L2149="RETORNADA",L2149="ENTREGA DIGITAL"),0,MAX(0,5-NETWORKDAYS(H2149+1,TODAY()))))</f>
        <v/>
      </c>
      <c r="L2149" t="str">
        <f>IF(A2149="","",IFERROR(LOOKUP(2,1/(#REF!=Z2149),#REF!),Y2149))</f>
        <v/>
      </c>
      <c r="Z2149" t="str">
        <f>IF(A2149="","",TEXT(A2149,"0")&amp;"|"&amp;TEXT(H2149,"0"))</f>
        <v/>
      </c>
      <c r="AA2149" t="str">
        <f>IF(Z2149="","",IFERROR(LOOKUP(2,1/(#REF!=Z2149),#REF!),""))</f>
        <v/>
      </c>
      <c r="AB2149" t="str">
        <f>IF(Z2149="","",IFERROR(LOOKUP(2,1/(#REF!=Z2149),#REF!),""))</f>
        <v/>
      </c>
      <c r="AC2149" t="str">
        <f>IF(Z2149="","",COUNTIF(#REF!,Z2149))</f>
        <v/>
      </c>
      <c r="AD2149" t="str">
        <f>IF(A2149="","",IF(AC2149&gt;1,"REVISAR DUPLICADO",IF(AA2149&lt;&gt;"","ACTUALIZADO POR EYR","SIN REPORTE EYR")))</f>
        <v/>
      </c>
    </row>
    <row r="2150" spans="11:30" x14ac:dyDescent="0.3">
      <c r="K2150" s="1" t="str">
        <f ca="1">IF(A2150="","",IF(OR(L2150="ENTREGADA",L2150="RETORNADA",L2150="ENTREGA DIGITAL"),0,MAX(0,5-NETWORKDAYS(H2150+1,TODAY()))))</f>
        <v/>
      </c>
      <c r="L2150" t="str">
        <f>IF(A2150="","",IFERROR(LOOKUP(2,1/(#REF!=Z2150),#REF!),Y2150))</f>
        <v/>
      </c>
      <c r="Z2150" t="str">
        <f>IF(A2150="","",TEXT(A2150,"0")&amp;"|"&amp;TEXT(H2150,"0"))</f>
        <v/>
      </c>
      <c r="AA2150" t="str">
        <f>IF(Z2150="","",IFERROR(LOOKUP(2,1/(#REF!=Z2150),#REF!),""))</f>
        <v/>
      </c>
      <c r="AB2150" t="str">
        <f>IF(Z2150="","",IFERROR(LOOKUP(2,1/(#REF!=Z2150),#REF!),""))</f>
        <v/>
      </c>
      <c r="AC2150" t="str">
        <f>IF(Z2150="","",COUNTIF(#REF!,Z2150))</f>
        <v/>
      </c>
      <c r="AD2150" t="str">
        <f>IF(A2150="","",IF(AC2150&gt;1,"REVISAR DUPLICADO",IF(AA2150&lt;&gt;"","ACTUALIZADO POR EYR","SIN REPORTE EYR")))</f>
        <v/>
      </c>
    </row>
    <row r="2151" spans="11:30" x14ac:dyDescent="0.3">
      <c r="K2151" s="1" t="str">
        <f ca="1">IF(A2151="","",IF(OR(L2151="ENTREGADA",L2151="RETORNADA",L2151="ENTREGA DIGITAL"),0,MAX(0,5-NETWORKDAYS(H2151+1,TODAY()))))</f>
        <v/>
      </c>
      <c r="L2151" t="str">
        <f>IF(A2151="","",IFERROR(LOOKUP(2,1/(#REF!=Z2151),#REF!),Y2151))</f>
        <v/>
      </c>
      <c r="Z2151" t="str">
        <f>IF(A2151="","",TEXT(A2151,"0")&amp;"|"&amp;TEXT(H2151,"0"))</f>
        <v/>
      </c>
      <c r="AA2151" t="str">
        <f>IF(Z2151="","",IFERROR(LOOKUP(2,1/(#REF!=Z2151),#REF!),""))</f>
        <v/>
      </c>
      <c r="AB2151" t="str">
        <f>IF(Z2151="","",IFERROR(LOOKUP(2,1/(#REF!=Z2151),#REF!),""))</f>
        <v/>
      </c>
      <c r="AC2151" t="str">
        <f>IF(Z2151="","",COUNTIF(#REF!,Z2151))</f>
        <v/>
      </c>
      <c r="AD2151" t="str">
        <f>IF(A2151="","",IF(AC2151&gt;1,"REVISAR DUPLICADO",IF(AA2151&lt;&gt;"","ACTUALIZADO POR EYR","SIN REPORTE EYR")))</f>
        <v/>
      </c>
    </row>
    <row r="2152" spans="11:30" x14ac:dyDescent="0.3">
      <c r="K2152" s="1" t="str">
        <f ca="1">IF(A2152="","",IF(OR(L2152="ENTREGADA",L2152="RETORNADA",L2152="ENTREGA DIGITAL"),0,MAX(0,5-NETWORKDAYS(H2152+1,TODAY()))))</f>
        <v/>
      </c>
      <c r="L2152" t="str">
        <f>IF(A2152="","",IFERROR(LOOKUP(2,1/(#REF!=Z2152),#REF!),Y2152))</f>
        <v/>
      </c>
      <c r="Z2152" t="str">
        <f>IF(A2152="","",TEXT(A2152,"0")&amp;"|"&amp;TEXT(H2152,"0"))</f>
        <v/>
      </c>
      <c r="AA2152" t="str">
        <f>IF(Z2152="","",IFERROR(LOOKUP(2,1/(#REF!=Z2152),#REF!),""))</f>
        <v/>
      </c>
      <c r="AB2152" t="str">
        <f>IF(Z2152="","",IFERROR(LOOKUP(2,1/(#REF!=Z2152),#REF!),""))</f>
        <v/>
      </c>
      <c r="AC2152" t="str">
        <f>IF(Z2152="","",COUNTIF(#REF!,Z2152))</f>
        <v/>
      </c>
      <c r="AD2152" t="str">
        <f>IF(A2152="","",IF(AC2152&gt;1,"REVISAR DUPLICADO",IF(AA2152&lt;&gt;"","ACTUALIZADO POR EYR","SIN REPORTE EYR")))</f>
        <v/>
      </c>
    </row>
    <row r="2153" spans="11:30" x14ac:dyDescent="0.3">
      <c r="K2153" s="1" t="str">
        <f ca="1">IF(A2153="","",IF(OR(L2153="ENTREGADA",L2153="RETORNADA",L2153="ENTREGA DIGITAL"),0,MAX(0,5-NETWORKDAYS(H2153+1,TODAY()))))</f>
        <v/>
      </c>
      <c r="L2153" t="str">
        <f>IF(A2153="","",IFERROR(LOOKUP(2,1/(#REF!=Z2153),#REF!),Y2153))</f>
        <v/>
      </c>
      <c r="Z2153" t="str">
        <f>IF(A2153="","",TEXT(A2153,"0")&amp;"|"&amp;TEXT(H2153,"0"))</f>
        <v/>
      </c>
      <c r="AA2153" t="str">
        <f>IF(Z2153="","",IFERROR(LOOKUP(2,1/(#REF!=Z2153),#REF!),""))</f>
        <v/>
      </c>
      <c r="AB2153" t="str">
        <f>IF(Z2153="","",IFERROR(LOOKUP(2,1/(#REF!=Z2153),#REF!),""))</f>
        <v/>
      </c>
      <c r="AC2153" t="str">
        <f>IF(Z2153="","",COUNTIF(#REF!,Z2153))</f>
        <v/>
      </c>
      <c r="AD2153" t="str">
        <f>IF(A2153="","",IF(AC2153&gt;1,"REVISAR DUPLICADO",IF(AA2153&lt;&gt;"","ACTUALIZADO POR EYR","SIN REPORTE EYR")))</f>
        <v/>
      </c>
    </row>
    <row r="2154" spans="11:30" x14ac:dyDescent="0.3">
      <c r="K2154" s="1" t="str">
        <f ca="1">IF(A2154="","",IF(OR(L2154="ENTREGADA",L2154="RETORNADA",L2154="ENTREGA DIGITAL"),0,MAX(0,5-NETWORKDAYS(H2154+1,TODAY()))))</f>
        <v/>
      </c>
      <c r="L2154" t="str">
        <f>IF(A2154="","",IFERROR(LOOKUP(2,1/(#REF!=Z2154),#REF!),Y2154))</f>
        <v/>
      </c>
      <c r="Z2154" t="str">
        <f>IF(A2154="","",TEXT(A2154,"0")&amp;"|"&amp;TEXT(H2154,"0"))</f>
        <v/>
      </c>
      <c r="AA2154" t="str">
        <f>IF(Z2154="","",IFERROR(LOOKUP(2,1/(#REF!=Z2154),#REF!),""))</f>
        <v/>
      </c>
      <c r="AB2154" t="str">
        <f>IF(Z2154="","",IFERROR(LOOKUP(2,1/(#REF!=Z2154),#REF!),""))</f>
        <v/>
      </c>
      <c r="AC2154" t="str">
        <f>IF(Z2154="","",COUNTIF(#REF!,Z2154))</f>
        <v/>
      </c>
      <c r="AD2154" t="str">
        <f>IF(A2154="","",IF(AC2154&gt;1,"REVISAR DUPLICADO",IF(AA2154&lt;&gt;"","ACTUALIZADO POR EYR","SIN REPORTE EYR")))</f>
        <v/>
      </c>
    </row>
    <row r="2155" spans="11:30" x14ac:dyDescent="0.3">
      <c r="K2155" s="1" t="str">
        <f ca="1">IF(A2155="","",IF(OR(L2155="ENTREGADA",L2155="RETORNADA",L2155="ENTREGA DIGITAL"),0,MAX(0,5-NETWORKDAYS(H2155+1,TODAY()))))</f>
        <v/>
      </c>
      <c r="L2155" t="str">
        <f>IF(A2155="","",IFERROR(LOOKUP(2,1/(#REF!=Z2155),#REF!),Y2155))</f>
        <v/>
      </c>
      <c r="Z2155" t="str">
        <f>IF(A2155="","",TEXT(A2155,"0")&amp;"|"&amp;TEXT(H2155,"0"))</f>
        <v/>
      </c>
      <c r="AA2155" t="str">
        <f>IF(Z2155="","",IFERROR(LOOKUP(2,1/(#REF!=Z2155),#REF!),""))</f>
        <v/>
      </c>
      <c r="AB2155" t="str">
        <f>IF(Z2155="","",IFERROR(LOOKUP(2,1/(#REF!=Z2155),#REF!),""))</f>
        <v/>
      </c>
      <c r="AC2155" t="str">
        <f>IF(Z2155="","",COUNTIF(#REF!,Z2155))</f>
        <v/>
      </c>
      <c r="AD2155" t="str">
        <f>IF(A2155="","",IF(AC2155&gt;1,"REVISAR DUPLICADO",IF(AA2155&lt;&gt;"","ACTUALIZADO POR EYR","SIN REPORTE EYR")))</f>
        <v/>
      </c>
    </row>
    <row r="2156" spans="11:30" x14ac:dyDescent="0.3">
      <c r="K2156" s="1" t="str">
        <f ca="1">IF(A2156="","",IF(OR(L2156="ENTREGADA",L2156="RETORNADA",L2156="ENTREGA DIGITAL"),0,MAX(0,5-NETWORKDAYS(H2156+1,TODAY()))))</f>
        <v/>
      </c>
      <c r="L2156" t="str">
        <f>IF(A2156="","",IFERROR(LOOKUP(2,1/(#REF!=Z2156),#REF!),Y2156))</f>
        <v/>
      </c>
      <c r="Z2156" t="str">
        <f>IF(A2156="","",TEXT(A2156,"0")&amp;"|"&amp;TEXT(H2156,"0"))</f>
        <v/>
      </c>
      <c r="AA2156" t="str">
        <f>IF(Z2156="","",IFERROR(LOOKUP(2,1/(#REF!=Z2156),#REF!),""))</f>
        <v/>
      </c>
      <c r="AB2156" t="str">
        <f>IF(Z2156="","",IFERROR(LOOKUP(2,1/(#REF!=Z2156),#REF!),""))</f>
        <v/>
      </c>
      <c r="AC2156" t="str">
        <f>IF(Z2156="","",COUNTIF(#REF!,Z2156))</f>
        <v/>
      </c>
      <c r="AD2156" t="str">
        <f>IF(A2156="","",IF(AC2156&gt;1,"REVISAR DUPLICADO",IF(AA2156&lt;&gt;"","ACTUALIZADO POR EYR","SIN REPORTE EYR")))</f>
        <v/>
      </c>
    </row>
    <row r="2157" spans="11:30" x14ac:dyDescent="0.3">
      <c r="K2157" s="1" t="str">
        <f ca="1">IF(A2157="","",IF(OR(L2157="ENTREGADA",L2157="RETORNADA",L2157="ENTREGA DIGITAL"),0,MAX(0,5-NETWORKDAYS(H2157+1,TODAY()))))</f>
        <v/>
      </c>
      <c r="L2157" t="str">
        <f>IF(A2157="","",IFERROR(LOOKUP(2,1/(#REF!=Z2157),#REF!),Y2157))</f>
        <v/>
      </c>
      <c r="Z2157" t="str">
        <f>IF(A2157="","",TEXT(A2157,"0")&amp;"|"&amp;TEXT(H2157,"0"))</f>
        <v/>
      </c>
      <c r="AA2157" t="str">
        <f>IF(Z2157="","",IFERROR(LOOKUP(2,1/(#REF!=Z2157),#REF!),""))</f>
        <v/>
      </c>
      <c r="AB2157" t="str">
        <f>IF(Z2157="","",IFERROR(LOOKUP(2,1/(#REF!=Z2157),#REF!),""))</f>
        <v/>
      </c>
      <c r="AC2157" t="str">
        <f>IF(Z2157="","",COUNTIF(#REF!,Z2157))</f>
        <v/>
      </c>
      <c r="AD2157" t="str">
        <f>IF(A2157="","",IF(AC2157&gt;1,"REVISAR DUPLICADO",IF(AA2157&lt;&gt;"","ACTUALIZADO POR EYR","SIN REPORTE EYR")))</f>
        <v/>
      </c>
    </row>
    <row r="2158" spans="11:30" x14ac:dyDescent="0.3">
      <c r="K2158" s="1" t="str">
        <f ca="1">IF(A2158="","",IF(OR(L2158="ENTREGADA",L2158="RETORNADA",L2158="ENTREGA DIGITAL"),0,MAX(0,5-NETWORKDAYS(H2158+1,TODAY()))))</f>
        <v/>
      </c>
      <c r="L2158" t="str">
        <f>IF(A2158="","",IFERROR(LOOKUP(2,1/(#REF!=Z2158),#REF!),Y2158))</f>
        <v/>
      </c>
      <c r="Z2158" t="str">
        <f>IF(A2158="","",TEXT(A2158,"0")&amp;"|"&amp;TEXT(H2158,"0"))</f>
        <v/>
      </c>
      <c r="AA2158" t="str">
        <f>IF(Z2158="","",IFERROR(LOOKUP(2,1/(#REF!=Z2158),#REF!),""))</f>
        <v/>
      </c>
      <c r="AB2158" t="str">
        <f>IF(Z2158="","",IFERROR(LOOKUP(2,1/(#REF!=Z2158),#REF!),""))</f>
        <v/>
      </c>
      <c r="AC2158" t="str">
        <f>IF(Z2158="","",COUNTIF(#REF!,Z2158))</f>
        <v/>
      </c>
      <c r="AD2158" t="str">
        <f>IF(A2158="","",IF(AC2158&gt;1,"REVISAR DUPLICADO",IF(AA2158&lt;&gt;"","ACTUALIZADO POR EYR","SIN REPORTE EYR")))</f>
        <v/>
      </c>
    </row>
    <row r="2159" spans="11:30" x14ac:dyDescent="0.3">
      <c r="K2159" s="1" t="str">
        <f ca="1">IF(A2159="","",IF(OR(L2159="ENTREGADA",L2159="RETORNADA",L2159="ENTREGA DIGITAL"),0,MAX(0,5-NETWORKDAYS(H2159+1,TODAY()))))</f>
        <v/>
      </c>
      <c r="L2159" t="str">
        <f>IF(A2159="","",IFERROR(LOOKUP(2,1/(#REF!=Z2159),#REF!),Y2159))</f>
        <v/>
      </c>
      <c r="Z2159" t="str">
        <f>IF(A2159="","",TEXT(A2159,"0")&amp;"|"&amp;TEXT(H2159,"0"))</f>
        <v/>
      </c>
      <c r="AA2159" t="str">
        <f>IF(Z2159="","",IFERROR(LOOKUP(2,1/(#REF!=Z2159),#REF!),""))</f>
        <v/>
      </c>
      <c r="AB2159" t="str">
        <f>IF(Z2159="","",IFERROR(LOOKUP(2,1/(#REF!=Z2159),#REF!),""))</f>
        <v/>
      </c>
      <c r="AC2159" t="str">
        <f>IF(Z2159="","",COUNTIF(#REF!,Z2159))</f>
        <v/>
      </c>
      <c r="AD2159" t="str">
        <f>IF(A2159="","",IF(AC2159&gt;1,"REVISAR DUPLICADO",IF(AA2159&lt;&gt;"","ACTUALIZADO POR EYR","SIN REPORTE EYR")))</f>
        <v/>
      </c>
    </row>
    <row r="2160" spans="11:30" x14ac:dyDescent="0.3">
      <c r="K2160" s="1" t="str">
        <f ca="1">IF(A2160="","",IF(OR(L2160="ENTREGADA",L2160="RETORNADA",L2160="ENTREGA DIGITAL"),0,MAX(0,5-NETWORKDAYS(H2160+1,TODAY()))))</f>
        <v/>
      </c>
      <c r="L2160" t="str">
        <f>IF(A2160="","",IFERROR(LOOKUP(2,1/(#REF!=Z2160),#REF!),Y2160))</f>
        <v/>
      </c>
      <c r="Z2160" t="str">
        <f>IF(A2160="","",TEXT(A2160,"0")&amp;"|"&amp;TEXT(H2160,"0"))</f>
        <v/>
      </c>
      <c r="AA2160" t="str">
        <f>IF(Z2160="","",IFERROR(LOOKUP(2,1/(#REF!=Z2160),#REF!),""))</f>
        <v/>
      </c>
      <c r="AB2160" t="str">
        <f>IF(Z2160="","",IFERROR(LOOKUP(2,1/(#REF!=Z2160),#REF!),""))</f>
        <v/>
      </c>
      <c r="AC2160" t="str">
        <f>IF(Z2160="","",COUNTIF(#REF!,Z2160))</f>
        <v/>
      </c>
      <c r="AD2160" t="str">
        <f>IF(A2160="","",IF(AC2160&gt;1,"REVISAR DUPLICADO",IF(AA2160&lt;&gt;"","ACTUALIZADO POR EYR","SIN REPORTE EYR")))</f>
        <v/>
      </c>
    </row>
    <row r="2161" spans="11:30" x14ac:dyDescent="0.3">
      <c r="K2161" s="1" t="str">
        <f ca="1">IF(A2161="","",IF(OR(L2161="ENTREGADA",L2161="RETORNADA",L2161="ENTREGA DIGITAL"),0,MAX(0,5-NETWORKDAYS(H2161+1,TODAY()))))</f>
        <v/>
      </c>
      <c r="L2161" t="str">
        <f>IF(A2161="","",IFERROR(LOOKUP(2,1/(#REF!=Z2161),#REF!),Y2161))</f>
        <v/>
      </c>
      <c r="Z2161" t="str">
        <f>IF(A2161="","",TEXT(A2161,"0")&amp;"|"&amp;TEXT(H2161,"0"))</f>
        <v/>
      </c>
      <c r="AA2161" t="str">
        <f>IF(Z2161="","",IFERROR(LOOKUP(2,1/(#REF!=Z2161),#REF!),""))</f>
        <v/>
      </c>
      <c r="AB2161" t="str">
        <f>IF(Z2161="","",IFERROR(LOOKUP(2,1/(#REF!=Z2161),#REF!),""))</f>
        <v/>
      </c>
      <c r="AC2161" t="str">
        <f>IF(Z2161="","",COUNTIF(#REF!,Z2161))</f>
        <v/>
      </c>
      <c r="AD2161" t="str">
        <f>IF(A2161="","",IF(AC2161&gt;1,"REVISAR DUPLICADO",IF(AA2161&lt;&gt;"","ACTUALIZADO POR EYR","SIN REPORTE EYR")))</f>
        <v/>
      </c>
    </row>
    <row r="2162" spans="11:30" x14ac:dyDescent="0.3">
      <c r="K2162" s="1" t="str">
        <f ca="1">IF(A2162="","",IF(OR(L2162="ENTREGADA",L2162="RETORNADA",L2162="ENTREGA DIGITAL"),0,MAX(0,5-NETWORKDAYS(H2162+1,TODAY()))))</f>
        <v/>
      </c>
      <c r="L2162" t="str">
        <f>IF(A2162="","",IFERROR(LOOKUP(2,1/(#REF!=Z2162),#REF!),Y2162))</f>
        <v/>
      </c>
      <c r="Z2162" t="str">
        <f>IF(A2162="","",TEXT(A2162,"0")&amp;"|"&amp;TEXT(H2162,"0"))</f>
        <v/>
      </c>
      <c r="AA2162" t="str">
        <f>IF(Z2162="","",IFERROR(LOOKUP(2,1/(#REF!=Z2162),#REF!),""))</f>
        <v/>
      </c>
      <c r="AB2162" t="str">
        <f>IF(Z2162="","",IFERROR(LOOKUP(2,1/(#REF!=Z2162),#REF!),""))</f>
        <v/>
      </c>
      <c r="AC2162" t="str">
        <f>IF(Z2162="","",COUNTIF(#REF!,Z2162))</f>
        <v/>
      </c>
      <c r="AD2162" t="str">
        <f>IF(A2162="","",IF(AC2162&gt;1,"REVISAR DUPLICADO",IF(AA2162&lt;&gt;"","ACTUALIZADO POR EYR","SIN REPORTE EYR")))</f>
        <v/>
      </c>
    </row>
    <row r="2163" spans="11:30" x14ac:dyDescent="0.3">
      <c r="K2163" s="1" t="str">
        <f ca="1">IF(A2163="","",IF(OR(L2163="ENTREGADA",L2163="RETORNADA",L2163="ENTREGA DIGITAL"),0,MAX(0,5-NETWORKDAYS(H2163+1,TODAY()))))</f>
        <v/>
      </c>
      <c r="L2163" t="str">
        <f>IF(A2163="","",IFERROR(LOOKUP(2,1/(#REF!=Z2163),#REF!),Y2163))</f>
        <v/>
      </c>
      <c r="Z2163" t="str">
        <f>IF(A2163="","",TEXT(A2163,"0")&amp;"|"&amp;TEXT(H2163,"0"))</f>
        <v/>
      </c>
      <c r="AA2163" t="str">
        <f>IF(Z2163="","",IFERROR(LOOKUP(2,1/(#REF!=Z2163),#REF!),""))</f>
        <v/>
      </c>
      <c r="AB2163" t="str">
        <f>IF(Z2163="","",IFERROR(LOOKUP(2,1/(#REF!=Z2163),#REF!),""))</f>
        <v/>
      </c>
      <c r="AC2163" t="str">
        <f>IF(Z2163="","",COUNTIF(#REF!,Z2163))</f>
        <v/>
      </c>
      <c r="AD2163" t="str">
        <f>IF(A2163="","",IF(AC2163&gt;1,"REVISAR DUPLICADO",IF(AA2163&lt;&gt;"","ACTUALIZADO POR EYR","SIN REPORTE EYR")))</f>
        <v/>
      </c>
    </row>
    <row r="2164" spans="11:30" x14ac:dyDescent="0.3">
      <c r="K2164" s="1" t="str">
        <f ca="1">IF(A2164="","",IF(OR(L2164="ENTREGADA",L2164="RETORNADA",L2164="ENTREGA DIGITAL"),0,MAX(0,5-NETWORKDAYS(H2164+1,TODAY()))))</f>
        <v/>
      </c>
      <c r="L2164" t="str">
        <f>IF(A2164="","",IFERROR(LOOKUP(2,1/(#REF!=Z2164),#REF!),Y2164))</f>
        <v/>
      </c>
      <c r="Z2164" t="str">
        <f>IF(A2164="","",TEXT(A2164,"0")&amp;"|"&amp;TEXT(H2164,"0"))</f>
        <v/>
      </c>
      <c r="AA2164" t="str">
        <f>IF(Z2164="","",IFERROR(LOOKUP(2,1/(#REF!=Z2164),#REF!),""))</f>
        <v/>
      </c>
      <c r="AB2164" t="str">
        <f>IF(Z2164="","",IFERROR(LOOKUP(2,1/(#REF!=Z2164),#REF!),""))</f>
        <v/>
      </c>
      <c r="AC2164" t="str">
        <f>IF(Z2164="","",COUNTIF(#REF!,Z2164))</f>
        <v/>
      </c>
      <c r="AD2164" t="str">
        <f>IF(A2164="","",IF(AC2164&gt;1,"REVISAR DUPLICADO",IF(AA2164&lt;&gt;"","ACTUALIZADO POR EYR","SIN REPORTE EYR")))</f>
        <v/>
      </c>
    </row>
    <row r="2165" spans="11:30" x14ac:dyDescent="0.3">
      <c r="K2165" s="1" t="str">
        <f ca="1">IF(A2165="","",IF(OR(L2165="ENTREGADA",L2165="RETORNADA",L2165="ENTREGA DIGITAL"),0,MAX(0,5-NETWORKDAYS(H2165+1,TODAY()))))</f>
        <v/>
      </c>
      <c r="L2165" t="str">
        <f>IF(A2165="","",IFERROR(LOOKUP(2,1/(#REF!=Z2165),#REF!),Y2165))</f>
        <v/>
      </c>
      <c r="Z2165" t="str">
        <f>IF(A2165="","",TEXT(A2165,"0")&amp;"|"&amp;TEXT(H2165,"0"))</f>
        <v/>
      </c>
      <c r="AA2165" t="str">
        <f>IF(Z2165="","",IFERROR(LOOKUP(2,1/(#REF!=Z2165),#REF!),""))</f>
        <v/>
      </c>
      <c r="AB2165" t="str">
        <f>IF(Z2165="","",IFERROR(LOOKUP(2,1/(#REF!=Z2165),#REF!),""))</f>
        <v/>
      </c>
      <c r="AC2165" t="str">
        <f>IF(Z2165="","",COUNTIF(#REF!,Z2165))</f>
        <v/>
      </c>
      <c r="AD2165" t="str">
        <f>IF(A2165="","",IF(AC2165&gt;1,"REVISAR DUPLICADO",IF(AA2165&lt;&gt;"","ACTUALIZADO POR EYR","SIN REPORTE EYR")))</f>
        <v/>
      </c>
    </row>
    <row r="2166" spans="11:30" x14ac:dyDescent="0.3">
      <c r="K2166" s="1" t="str">
        <f ca="1">IF(A2166="","",IF(OR(L2166="ENTREGADA",L2166="RETORNADA",L2166="ENTREGA DIGITAL"),0,MAX(0,5-NETWORKDAYS(H2166+1,TODAY()))))</f>
        <v/>
      </c>
      <c r="L2166" t="str">
        <f>IF(A2166="","",IFERROR(LOOKUP(2,1/(#REF!=Z2166),#REF!),Y2166))</f>
        <v/>
      </c>
      <c r="Z2166" t="str">
        <f>IF(A2166="","",TEXT(A2166,"0")&amp;"|"&amp;TEXT(H2166,"0"))</f>
        <v/>
      </c>
      <c r="AA2166" t="str">
        <f>IF(Z2166="","",IFERROR(LOOKUP(2,1/(#REF!=Z2166),#REF!),""))</f>
        <v/>
      </c>
      <c r="AB2166" t="str">
        <f>IF(Z2166="","",IFERROR(LOOKUP(2,1/(#REF!=Z2166),#REF!),""))</f>
        <v/>
      </c>
      <c r="AC2166" t="str">
        <f>IF(Z2166="","",COUNTIF(#REF!,Z2166))</f>
        <v/>
      </c>
      <c r="AD2166" t="str">
        <f>IF(A2166="","",IF(AC2166&gt;1,"REVISAR DUPLICADO",IF(AA2166&lt;&gt;"","ACTUALIZADO POR EYR","SIN REPORTE EYR")))</f>
        <v/>
      </c>
    </row>
    <row r="2167" spans="11:30" x14ac:dyDescent="0.3">
      <c r="K2167" s="1" t="str">
        <f ca="1">IF(A2167="","",IF(OR(L2167="ENTREGADA",L2167="RETORNADA",L2167="ENTREGA DIGITAL"),0,MAX(0,5-NETWORKDAYS(H2167+1,TODAY()))))</f>
        <v/>
      </c>
      <c r="L2167" t="str">
        <f>IF(A2167="","",IFERROR(LOOKUP(2,1/(#REF!=Z2167),#REF!),Y2167))</f>
        <v/>
      </c>
      <c r="Z2167" t="str">
        <f>IF(A2167="","",TEXT(A2167,"0")&amp;"|"&amp;TEXT(H2167,"0"))</f>
        <v/>
      </c>
      <c r="AA2167" t="str">
        <f>IF(Z2167="","",IFERROR(LOOKUP(2,1/(#REF!=Z2167),#REF!),""))</f>
        <v/>
      </c>
      <c r="AB2167" t="str">
        <f>IF(Z2167="","",IFERROR(LOOKUP(2,1/(#REF!=Z2167),#REF!),""))</f>
        <v/>
      </c>
      <c r="AC2167" t="str">
        <f>IF(Z2167="","",COUNTIF(#REF!,Z2167))</f>
        <v/>
      </c>
      <c r="AD2167" t="str">
        <f>IF(A2167="","",IF(AC2167&gt;1,"REVISAR DUPLICADO",IF(AA2167&lt;&gt;"","ACTUALIZADO POR EYR","SIN REPORTE EYR")))</f>
        <v/>
      </c>
    </row>
    <row r="2168" spans="11:30" x14ac:dyDescent="0.3">
      <c r="K2168" s="1" t="str">
        <f ca="1">IF(A2168="","",IF(OR(L2168="ENTREGADA",L2168="RETORNADA",L2168="ENTREGA DIGITAL"),0,MAX(0,5-NETWORKDAYS(H2168+1,TODAY()))))</f>
        <v/>
      </c>
      <c r="L2168" t="str">
        <f>IF(A2168="","",IFERROR(LOOKUP(2,1/(#REF!=Z2168),#REF!),Y2168))</f>
        <v/>
      </c>
      <c r="Z2168" t="str">
        <f>IF(A2168="","",TEXT(A2168,"0")&amp;"|"&amp;TEXT(H2168,"0"))</f>
        <v/>
      </c>
      <c r="AA2168" t="str">
        <f>IF(Z2168="","",IFERROR(LOOKUP(2,1/(#REF!=Z2168),#REF!),""))</f>
        <v/>
      </c>
      <c r="AB2168" t="str">
        <f>IF(Z2168="","",IFERROR(LOOKUP(2,1/(#REF!=Z2168),#REF!),""))</f>
        <v/>
      </c>
      <c r="AC2168" t="str">
        <f>IF(Z2168="","",COUNTIF(#REF!,Z2168))</f>
        <v/>
      </c>
      <c r="AD2168" t="str">
        <f>IF(A2168="","",IF(AC2168&gt;1,"REVISAR DUPLICADO",IF(AA2168&lt;&gt;"","ACTUALIZADO POR EYR","SIN REPORTE EYR")))</f>
        <v/>
      </c>
    </row>
    <row r="2169" spans="11:30" x14ac:dyDescent="0.3">
      <c r="K2169" s="1" t="str">
        <f ca="1">IF(A2169="","",IF(OR(L2169="ENTREGADA",L2169="RETORNADA",L2169="ENTREGA DIGITAL"),0,MAX(0,5-NETWORKDAYS(H2169+1,TODAY()))))</f>
        <v/>
      </c>
      <c r="L2169" t="str">
        <f>IF(A2169="","",IFERROR(LOOKUP(2,1/(#REF!=Z2169),#REF!),Y2169))</f>
        <v/>
      </c>
      <c r="Z2169" t="str">
        <f>IF(A2169="","",TEXT(A2169,"0")&amp;"|"&amp;TEXT(H2169,"0"))</f>
        <v/>
      </c>
      <c r="AA2169" t="str">
        <f>IF(Z2169="","",IFERROR(LOOKUP(2,1/(#REF!=Z2169),#REF!),""))</f>
        <v/>
      </c>
      <c r="AB2169" t="str">
        <f>IF(Z2169="","",IFERROR(LOOKUP(2,1/(#REF!=Z2169),#REF!),""))</f>
        <v/>
      </c>
      <c r="AC2169" t="str">
        <f>IF(Z2169="","",COUNTIF(#REF!,Z2169))</f>
        <v/>
      </c>
      <c r="AD2169" t="str">
        <f>IF(A2169="","",IF(AC2169&gt;1,"REVISAR DUPLICADO",IF(AA2169&lt;&gt;"","ACTUALIZADO POR EYR","SIN REPORTE EYR")))</f>
        <v/>
      </c>
    </row>
    <row r="2170" spans="11:30" x14ac:dyDescent="0.3">
      <c r="K2170" s="1" t="str">
        <f ca="1">IF(A2170="","",IF(OR(L2170="ENTREGADA",L2170="RETORNADA",L2170="ENTREGA DIGITAL"),0,MAX(0,5-NETWORKDAYS(H2170+1,TODAY()))))</f>
        <v/>
      </c>
      <c r="L2170" t="str">
        <f>IF(A2170="","",IFERROR(LOOKUP(2,1/(#REF!=Z2170),#REF!),Y2170))</f>
        <v/>
      </c>
      <c r="Z2170" t="str">
        <f>IF(A2170="","",TEXT(A2170,"0")&amp;"|"&amp;TEXT(H2170,"0"))</f>
        <v/>
      </c>
      <c r="AA2170" t="str">
        <f>IF(Z2170="","",IFERROR(LOOKUP(2,1/(#REF!=Z2170),#REF!),""))</f>
        <v/>
      </c>
      <c r="AB2170" t="str">
        <f>IF(Z2170="","",IFERROR(LOOKUP(2,1/(#REF!=Z2170),#REF!),""))</f>
        <v/>
      </c>
      <c r="AC2170" t="str">
        <f>IF(Z2170="","",COUNTIF(#REF!,Z2170))</f>
        <v/>
      </c>
      <c r="AD2170" t="str">
        <f>IF(A2170="","",IF(AC2170&gt;1,"REVISAR DUPLICADO",IF(AA2170&lt;&gt;"","ACTUALIZADO POR EYR","SIN REPORTE EYR")))</f>
        <v/>
      </c>
    </row>
    <row r="2171" spans="11:30" x14ac:dyDescent="0.3">
      <c r="K2171" s="1" t="str">
        <f ca="1">IF(A2171="","",IF(OR(L2171="ENTREGADA",L2171="RETORNADA",L2171="ENTREGA DIGITAL"),0,MAX(0,5-NETWORKDAYS(H2171+1,TODAY()))))</f>
        <v/>
      </c>
      <c r="L2171" t="str">
        <f>IF(A2171="","",IFERROR(LOOKUP(2,1/(#REF!=Z2171),#REF!),Y2171))</f>
        <v/>
      </c>
      <c r="Z2171" t="str">
        <f>IF(A2171="","",TEXT(A2171,"0")&amp;"|"&amp;TEXT(H2171,"0"))</f>
        <v/>
      </c>
      <c r="AA2171" t="str">
        <f>IF(Z2171="","",IFERROR(LOOKUP(2,1/(#REF!=Z2171),#REF!),""))</f>
        <v/>
      </c>
      <c r="AB2171" t="str">
        <f>IF(Z2171="","",IFERROR(LOOKUP(2,1/(#REF!=Z2171),#REF!),""))</f>
        <v/>
      </c>
      <c r="AC2171" t="str">
        <f>IF(Z2171="","",COUNTIF(#REF!,Z2171))</f>
        <v/>
      </c>
      <c r="AD2171" t="str">
        <f>IF(A2171="","",IF(AC2171&gt;1,"REVISAR DUPLICADO",IF(AA2171&lt;&gt;"","ACTUALIZADO POR EYR","SIN REPORTE EYR")))</f>
        <v/>
      </c>
    </row>
    <row r="2172" spans="11:30" x14ac:dyDescent="0.3">
      <c r="K2172" s="1" t="str">
        <f ca="1">IF(A2172="","",IF(OR(L2172="ENTREGADA",L2172="RETORNADA",L2172="ENTREGA DIGITAL"),0,MAX(0,5-NETWORKDAYS(H2172+1,TODAY()))))</f>
        <v/>
      </c>
      <c r="L2172" t="str">
        <f>IF(A2172="","",IFERROR(LOOKUP(2,1/(#REF!=Z2172),#REF!),Y2172))</f>
        <v/>
      </c>
      <c r="Z2172" t="str">
        <f>IF(A2172="","",TEXT(A2172,"0")&amp;"|"&amp;TEXT(H2172,"0"))</f>
        <v/>
      </c>
      <c r="AA2172" t="str">
        <f>IF(Z2172="","",IFERROR(LOOKUP(2,1/(#REF!=Z2172),#REF!),""))</f>
        <v/>
      </c>
      <c r="AB2172" t="str">
        <f>IF(Z2172="","",IFERROR(LOOKUP(2,1/(#REF!=Z2172),#REF!),""))</f>
        <v/>
      </c>
      <c r="AC2172" t="str">
        <f>IF(Z2172="","",COUNTIF(#REF!,Z2172))</f>
        <v/>
      </c>
      <c r="AD2172" t="str">
        <f>IF(A2172="","",IF(AC2172&gt;1,"REVISAR DUPLICADO",IF(AA2172&lt;&gt;"","ACTUALIZADO POR EYR","SIN REPORTE EYR")))</f>
        <v/>
      </c>
    </row>
    <row r="2173" spans="11:30" x14ac:dyDescent="0.3">
      <c r="K2173" s="1" t="str">
        <f ca="1">IF(A2173="","",IF(OR(L2173="ENTREGADA",L2173="RETORNADA",L2173="ENTREGA DIGITAL"),0,MAX(0,5-NETWORKDAYS(H2173+1,TODAY()))))</f>
        <v/>
      </c>
      <c r="L2173" t="str">
        <f>IF(A2173="","",IFERROR(LOOKUP(2,1/(#REF!=Z2173),#REF!),Y2173))</f>
        <v/>
      </c>
      <c r="Z2173" t="str">
        <f>IF(A2173="","",TEXT(A2173,"0")&amp;"|"&amp;TEXT(H2173,"0"))</f>
        <v/>
      </c>
      <c r="AA2173" t="str">
        <f>IF(Z2173="","",IFERROR(LOOKUP(2,1/(#REF!=Z2173),#REF!),""))</f>
        <v/>
      </c>
      <c r="AB2173" t="str">
        <f>IF(Z2173="","",IFERROR(LOOKUP(2,1/(#REF!=Z2173),#REF!),""))</f>
        <v/>
      </c>
      <c r="AC2173" t="str">
        <f>IF(Z2173="","",COUNTIF(#REF!,Z2173))</f>
        <v/>
      </c>
      <c r="AD2173" t="str">
        <f>IF(A2173="","",IF(AC2173&gt;1,"REVISAR DUPLICADO",IF(AA2173&lt;&gt;"","ACTUALIZADO POR EYR","SIN REPORTE EYR")))</f>
        <v/>
      </c>
    </row>
    <row r="2174" spans="11:30" x14ac:dyDescent="0.3">
      <c r="K2174" s="1" t="str">
        <f ca="1">IF(A2174="","",IF(OR(L2174="ENTREGADA",L2174="RETORNADA",L2174="ENTREGA DIGITAL"),0,MAX(0,5-NETWORKDAYS(H2174+1,TODAY()))))</f>
        <v/>
      </c>
      <c r="L2174" t="str">
        <f>IF(A2174="","",IFERROR(LOOKUP(2,1/(#REF!=Z2174),#REF!),Y2174))</f>
        <v/>
      </c>
      <c r="Z2174" t="str">
        <f>IF(A2174="","",TEXT(A2174,"0")&amp;"|"&amp;TEXT(H2174,"0"))</f>
        <v/>
      </c>
      <c r="AA2174" t="str">
        <f>IF(Z2174="","",IFERROR(LOOKUP(2,1/(#REF!=Z2174),#REF!),""))</f>
        <v/>
      </c>
      <c r="AB2174" t="str">
        <f>IF(Z2174="","",IFERROR(LOOKUP(2,1/(#REF!=Z2174),#REF!),""))</f>
        <v/>
      </c>
      <c r="AC2174" t="str">
        <f>IF(Z2174="","",COUNTIF(#REF!,Z2174))</f>
        <v/>
      </c>
      <c r="AD2174" t="str">
        <f>IF(A2174="","",IF(AC2174&gt;1,"REVISAR DUPLICADO",IF(AA2174&lt;&gt;"","ACTUALIZADO POR EYR","SIN REPORTE EYR")))</f>
        <v/>
      </c>
    </row>
    <row r="2175" spans="11:30" x14ac:dyDescent="0.3">
      <c r="K2175" s="1" t="str">
        <f ca="1">IF(A2175="","",IF(OR(L2175="ENTREGADA",L2175="RETORNADA",L2175="ENTREGA DIGITAL"),0,MAX(0,5-NETWORKDAYS(H2175+1,TODAY()))))</f>
        <v/>
      </c>
      <c r="L2175" t="str">
        <f>IF(A2175="","",IFERROR(LOOKUP(2,1/(#REF!=Z2175),#REF!),Y2175))</f>
        <v/>
      </c>
      <c r="Z2175" t="str">
        <f>IF(A2175="","",TEXT(A2175,"0")&amp;"|"&amp;TEXT(H2175,"0"))</f>
        <v/>
      </c>
      <c r="AA2175" t="str">
        <f>IF(Z2175="","",IFERROR(LOOKUP(2,1/(#REF!=Z2175),#REF!),""))</f>
        <v/>
      </c>
      <c r="AB2175" t="str">
        <f>IF(Z2175="","",IFERROR(LOOKUP(2,1/(#REF!=Z2175),#REF!),""))</f>
        <v/>
      </c>
      <c r="AC2175" t="str">
        <f>IF(Z2175="","",COUNTIF(#REF!,Z2175))</f>
        <v/>
      </c>
      <c r="AD2175" t="str">
        <f>IF(A2175="","",IF(AC2175&gt;1,"REVISAR DUPLICADO",IF(AA2175&lt;&gt;"","ACTUALIZADO POR EYR","SIN REPORTE EYR")))</f>
        <v/>
      </c>
    </row>
    <row r="2176" spans="11:30" x14ac:dyDescent="0.3">
      <c r="K2176" s="1" t="str">
        <f ca="1">IF(A2176="","",IF(OR(L2176="ENTREGADA",L2176="RETORNADA",L2176="ENTREGA DIGITAL"),0,MAX(0,5-NETWORKDAYS(H2176+1,TODAY()))))</f>
        <v/>
      </c>
      <c r="L2176" t="str">
        <f>IF(A2176="","",IFERROR(LOOKUP(2,1/(#REF!=Z2176),#REF!),Y2176))</f>
        <v/>
      </c>
      <c r="Z2176" t="str">
        <f>IF(A2176="","",TEXT(A2176,"0")&amp;"|"&amp;TEXT(H2176,"0"))</f>
        <v/>
      </c>
      <c r="AA2176" t="str">
        <f>IF(Z2176="","",IFERROR(LOOKUP(2,1/(#REF!=Z2176),#REF!),""))</f>
        <v/>
      </c>
      <c r="AB2176" t="str">
        <f>IF(Z2176="","",IFERROR(LOOKUP(2,1/(#REF!=Z2176),#REF!),""))</f>
        <v/>
      </c>
      <c r="AC2176" t="str">
        <f>IF(Z2176="","",COUNTIF(#REF!,Z2176))</f>
        <v/>
      </c>
      <c r="AD2176" t="str">
        <f>IF(A2176="","",IF(AC2176&gt;1,"REVISAR DUPLICADO",IF(AA2176&lt;&gt;"","ACTUALIZADO POR EYR","SIN REPORTE EYR")))</f>
        <v/>
      </c>
    </row>
    <row r="2177" spans="11:30" x14ac:dyDescent="0.3">
      <c r="K2177" s="1" t="str">
        <f ca="1">IF(A2177="","",IF(OR(L2177="ENTREGADA",L2177="RETORNADA",L2177="ENTREGA DIGITAL"),0,MAX(0,5-NETWORKDAYS(H2177+1,TODAY()))))</f>
        <v/>
      </c>
      <c r="L2177" t="str">
        <f>IF(A2177="","",IFERROR(LOOKUP(2,1/(#REF!=Z2177),#REF!),Y2177))</f>
        <v/>
      </c>
      <c r="Z2177" t="str">
        <f>IF(A2177="","",TEXT(A2177,"0")&amp;"|"&amp;TEXT(H2177,"0"))</f>
        <v/>
      </c>
      <c r="AA2177" t="str">
        <f>IF(Z2177="","",IFERROR(LOOKUP(2,1/(#REF!=Z2177),#REF!),""))</f>
        <v/>
      </c>
      <c r="AB2177" t="str">
        <f>IF(Z2177="","",IFERROR(LOOKUP(2,1/(#REF!=Z2177),#REF!),""))</f>
        <v/>
      </c>
      <c r="AC2177" t="str">
        <f>IF(Z2177="","",COUNTIF(#REF!,Z2177))</f>
        <v/>
      </c>
      <c r="AD2177" t="str">
        <f>IF(A2177="","",IF(AC2177&gt;1,"REVISAR DUPLICADO",IF(AA2177&lt;&gt;"","ACTUALIZADO POR EYR","SIN REPORTE EYR")))</f>
        <v/>
      </c>
    </row>
    <row r="2178" spans="11:30" x14ac:dyDescent="0.3">
      <c r="K2178" s="1" t="str">
        <f ca="1">IF(A2178="","",IF(OR(L2178="ENTREGADA",L2178="RETORNADA",L2178="ENTREGA DIGITAL"),0,MAX(0,5-NETWORKDAYS(H2178+1,TODAY()))))</f>
        <v/>
      </c>
      <c r="L2178" t="str">
        <f>IF(A2178="","",IFERROR(LOOKUP(2,1/(#REF!=Z2178),#REF!),Y2178))</f>
        <v/>
      </c>
      <c r="Z2178" t="str">
        <f>IF(A2178="","",TEXT(A2178,"0")&amp;"|"&amp;TEXT(H2178,"0"))</f>
        <v/>
      </c>
      <c r="AA2178" t="str">
        <f>IF(Z2178="","",IFERROR(LOOKUP(2,1/(#REF!=Z2178),#REF!),""))</f>
        <v/>
      </c>
      <c r="AB2178" t="str">
        <f>IF(Z2178="","",IFERROR(LOOKUP(2,1/(#REF!=Z2178),#REF!),""))</f>
        <v/>
      </c>
      <c r="AC2178" t="str">
        <f>IF(Z2178="","",COUNTIF(#REF!,Z2178))</f>
        <v/>
      </c>
      <c r="AD2178" t="str">
        <f>IF(A2178="","",IF(AC2178&gt;1,"REVISAR DUPLICADO",IF(AA2178&lt;&gt;"","ACTUALIZADO POR EYR","SIN REPORTE EYR")))</f>
        <v/>
      </c>
    </row>
    <row r="2179" spans="11:30" x14ac:dyDescent="0.3">
      <c r="K2179" s="1" t="str">
        <f ca="1">IF(A2179="","",IF(OR(L2179="ENTREGADA",L2179="RETORNADA",L2179="ENTREGA DIGITAL"),0,MAX(0,5-NETWORKDAYS(H2179+1,TODAY()))))</f>
        <v/>
      </c>
      <c r="L2179" t="str">
        <f>IF(A2179="","",IFERROR(LOOKUP(2,1/(#REF!=Z2179),#REF!),Y2179))</f>
        <v/>
      </c>
      <c r="Z2179" t="str">
        <f>IF(A2179="","",TEXT(A2179,"0")&amp;"|"&amp;TEXT(H2179,"0"))</f>
        <v/>
      </c>
      <c r="AA2179" t="str">
        <f>IF(Z2179="","",IFERROR(LOOKUP(2,1/(#REF!=Z2179),#REF!),""))</f>
        <v/>
      </c>
      <c r="AB2179" t="str">
        <f>IF(Z2179="","",IFERROR(LOOKUP(2,1/(#REF!=Z2179),#REF!),""))</f>
        <v/>
      </c>
      <c r="AC2179" t="str">
        <f>IF(Z2179="","",COUNTIF(#REF!,Z2179))</f>
        <v/>
      </c>
      <c r="AD2179" t="str">
        <f>IF(A2179="","",IF(AC2179&gt;1,"REVISAR DUPLICADO",IF(AA2179&lt;&gt;"","ACTUALIZADO POR EYR","SIN REPORTE EYR")))</f>
        <v/>
      </c>
    </row>
    <row r="2180" spans="11:30" x14ac:dyDescent="0.3">
      <c r="K2180" s="1" t="str">
        <f ca="1">IF(A2180="","",IF(OR(L2180="ENTREGADA",L2180="RETORNADA",L2180="ENTREGA DIGITAL"),0,MAX(0,5-NETWORKDAYS(H2180+1,TODAY()))))</f>
        <v/>
      </c>
      <c r="L2180" t="str">
        <f>IF(A2180="","",IFERROR(LOOKUP(2,1/(#REF!=Z2180),#REF!),Y2180))</f>
        <v/>
      </c>
      <c r="Z2180" t="str">
        <f>IF(A2180="","",TEXT(A2180,"0")&amp;"|"&amp;TEXT(H2180,"0"))</f>
        <v/>
      </c>
      <c r="AA2180" t="str">
        <f>IF(Z2180="","",IFERROR(LOOKUP(2,1/(#REF!=Z2180),#REF!),""))</f>
        <v/>
      </c>
      <c r="AB2180" t="str">
        <f>IF(Z2180="","",IFERROR(LOOKUP(2,1/(#REF!=Z2180),#REF!),""))</f>
        <v/>
      </c>
      <c r="AC2180" t="str">
        <f>IF(Z2180="","",COUNTIF(#REF!,Z2180))</f>
        <v/>
      </c>
      <c r="AD2180" t="str">
        <f>IF(A2180="","",IF(AC2180&gt;1,"REVISAR DUPLICADO",IF(AA2180&lt;&gt;"","ACTUALIZADO POR EYR","SIN REPORTE EYR")))</f>
        <v/>
      </c>
    </row>
    <row r="2181" spans="11:30" x14ac:dyDescent="0.3">
      <c r="K2181" s="1" t="str">
        <f ca="1">IF(A2181="","",IF(OR(L2181="ENTREGADA",L2181="RETORNADA",L2181="ENTREGA DIGITAL"),0,MAX(0,5-NETWORKDAYS(H2181+1,TODAY()))))</f>
        <v/>
      </c>
      <c r="L2181" t="str">
        <f>IF(A2181="","",IFERROR(LOOKUP(2,1/(#REF!=Z2181),#REF!),Y2181))</f>
        <v/>
      </c>
      <c r="Z2181" t="str">
        <f>IF(A2181="","",TEXT(A2181,"0")&amp;"|"&amp;TEXT(H2181,"0"))</f>
        <v/>
      </c>
      <c r="AA2181" t="str">
        <f>IF(Z2181="","",IFERROR(LOOKUP(2,1/(#REF!=Z2181),#REF!),""))</f>
        <v/>
      </c>
      <c r="AB2181" t="str">
        <f>IF(Z2181="","",IFERROR(LOOKUP(2,1/(#REF!=Z2181),#REF!),""))</f>
        <v/>
      </c>
      <c r="AC2181" t="str">
        <f>IF(Z2181="","",COUNTIF(#REF!,Z2181))</f>
        <v/>
      </c>
      <c r="AD2181" t="str">
        <f>IF(A2181="","",IF(AC2181&gt;1,"REVISAR DUPLICADO",IF(AA2181&lt;&gt;"","ACTUALIZADO POR EYR","SIN REPORTE EYR")))</f>
        <v/>
      </c>
    </row>
    <row r="2182" spans="11:30" x14ac:dyDescent="0.3">
      <c r="K2182" s="1" t="str">
        <f ca="1">IF(A2182="","",IF(OR(L2182="ENTREGADA",L2182="RETORNADA",L2182="ENTREGA DIGITAL"),0,MAX(0,5-NETWORKDAYS(H2182+1,TODAY()))))</f>
        <v/>
      </c>
      <c r="L2182" t="str">
        <f>IF(A2182="","",IFERROR(LOOKUP(2,1/(#REF!=Z2182),#REF!),Y2182))</f>
        <v/>
      </c>
      <c r="Z2182" t="str">
        <f>IF(A2182="","",TEXT(A2182,"0")&amp;"|"&amp;TEXT(H2182,"0"))</f>
        <v/>
      </c>
      <c r="AA2182" t="str">
        <f>IF(Z2182="","",IFERROR(LOOKUP(2,1/(#REF!=Z2182),#REF!),""))</f>
        <v/>
      </c>
      <c r="AB2182" t="str">
        <f>IF(Z2182="","",IFERROR(LOOKUP(2,1/(#REF!=Z2182),#REF!),""))</f>
        <v/>
      </c>
      <c r="AC2182" t="str">
        <f>IF(Z2182="","",COUNTIF(#REF!,Z2182))</f>
        <v/>
      </c>
      <c r="AD2182" t="str">
        <f>IF(A2182="","",IF(AC2182&gt;1,"REVISAR DUPLICADO",IF(AA2182&lt;&gt;"","ACTUALIZADO POR EYR","SIN REPORTE EYR")))</f>
        <v/>
      </c>
    </row>
    <row r="2183" spans="11:30" x14ac:dyDescent="0.3">
      <c r="K2183" s="1" t="str">
        <f ca="1">IF(A2183="","",IF(OR(L2183="ENTREGADA",L2183="RETORNADA",L2183="ENTREGA DIGITAL"),0,MAX(0,5-NETWORKDAYS(H2183+1,TODAY()))))</f>
        <v/>
      </c>
      <c r="L2183" t="str">
        <f>IF(A2183="","",IFERROR(LOOKUP(2,1/(#REF!=Z2183),#REF!),Y2183))</f>
        <v/>
      </c>
      <c r="Z2183" t="str">
        <f>IF(A2183="","",TEXT(A2183,"0")&amp;"|"&amp;TEXT(H2183,"0"))</f>
        <v/>
      </c>
      <c r="AA2183" t="str">
        <f>IF(Z2183="","",IFERROR(LOOKUP(2,1/(#REF!=Z2183),#REF!),""))</f>
        <v/>
      </c>
      <c r="AB2183" t="str">
        <f>IF(Z2183="","",IFERROR(LOOKUP(2,1/(#REF!=Z2183),#REF!),""))</f>
        <v/>
      </c>
      <c r="AC2183" t="str">
        <f>IF(Z2183="","",COUNTIF(#REF!,Z2183))</f>
        <v/>
      </c>
      <c r="AD2183" t="str">
        <f>IF(A2183="","",IF(AC2183&gt;1,"REVISAR DUPLICADO",IF(AA2183&lt;&gt;"","ACTUALIZADO POR EYR","SIN REPORTE EYR")))</f>
        <v/>
      </c>
    </row>
    <row r="2184" spans="11:30" x14ac:dyDescent="0.3">
      <c r="K2184" s="1" t="str">
        <f ca="1">IF(A2184="","",IF(OR(L2184="ENTREGADA",L2184="RETORNADA",L2184="ENTREGA DIGITAL"),0,MAX(0,5-NETWORKDAYS(H2184+1,TODAY()))))</f>
        <v/>
      </c>
      <c r="L2184" t="str">
        <f>IF(A2184="","",IFERROR(LOOKUP(2,1/(#REF!=Z2184),#REF!),Y2184))</f>
        <v/>
      </c>
      <c r="Z2184" t="str">
        <f>IF(A2184="","",TEXT(A2184,"0")&amp;"|"&amp;TEXT(H2184,"0"))</f>
        <v/>
      </c>
      <c r="AA2184" t="str">
        <f>IF(Z2184="","",IFERROR(LOOKUP(2,1/(#REF!=Z2184),#REF!),""))</f>
        <v/>
      </c>
      <c r="AB2184" t="str">
        <f>IF(Z2184="","",IFERROR(LOOKUP(2,1/(#REF!=Z2184),#REF!),""))</f>
        <v/>
      </c>
      <c r="AC2184" t="str">
        <f>IF(Z2184="","",COUNTIF(#REF!,Z2184))</f>
        <v/>
      </c>
      <c r="AD2184" t="str">
        <f>IF(A2184="","",IF(AC2184&gt;1,"REVISAR DUPLICADO",IF(AA2184&lt;&gt;"","ACTUALIZADO POR EYR","SIN REPORTE EYR")))</f>
        <v/>
      </c>
    </row>
    <row r="2185" spans="11:30" x14ac:dyDescent="0.3">
      <c r="K2185" s="1" t="str">
        <f ca="1">IF(A2185="","",IF(OR(L2185="ENTREGADA",L2185="RETORNADA",L2185="ENTREGA DIGITAL"),0,MAX(0,5-NETWORKDAYS(H2185+1,TODAY()))))</f>
        <v/>
      </c>
      <c r="L2185" t="str">
        <f>IF(A2185="","",IFERROR(LOOKUP(2,1/(#REF!=Z2185),#REF!),Y2185))</f>
        <v/>
      </c>
      <c r="Z2185" t="str">
        <f>IF(A2185="","",TEXT(A2185,"0")&amp;"|"&amp;TEXT(H2185,"0"))</f>
        <v/>
      </c>
      <c r="AA2185" t="str">
        <f>IF(Z2185="","",IFERROR(LOOKUP(2,1/(#REF!=Z2185),#REF!),""))</f>
        <v/>
      </c>
      <c r="AB2185" t="str">
        <f>IF(Z2185="","",IFERROR(LOOKUP(2,1/(#REF!=Z2185),#REF!),""))</f>
        <v/>
      </c>
      <c r="AC2185" t="str">
        <f>IF(Z2185="","",COUNTIF(#REF!,Z2185))</f>
        <v/>
      </c>
      <c r="AD2185" t="str">
        <f>IF(A2185="","",IF(AC2185&gt;1,"REVISAR DUPLICADO",IF(AA2185&lt;&gt;"","ACTUALIZADO POR EYR","SIN REPORTE EYR")))</f>
        <v/>
      </c>
    </row>
    <row r="2186" spans="11:30" x14ac:dyDescent="0.3">
      <c r="K2186" s="1" t="str">
        <f ca="1">IF(A2186="","",IF(OR(L2186="ENTREGADA",L2186="RETORNADA",L2186="ENTREGA DIGITAL"),0,MAX(0,5-NETWORKDAYS(H2186+1,TODAY()))))</f>
        <v/>
      </c>
      <c r="L2186" t="str">
        <f>IF(A2186="","",IFERROR(LOOKUP(2,1/(#REF!=Z2186),#REF!),Y2186))</f>
        <v/>
      </c>
      <c r="Z2186" t="str">
        <f>IF(A2186="","",TEXT(A2186,"0")&amp;"|"&amp;TEXT(H2186,"0"))</f>
        <v/>
      </c>
      <c r="AA2186" t="str">
        <f>IF(Z2186="","",IFERROR(LOOKUP(2,1/(#REF!=Z2186),#REF!),""))</f>
        <v/>
      </c>
      <c r="AB2186" t="str">
        <f>IF(Z2186="","",IFERROR(LOOKUP(2,1/(#REF!=Z2186),#REF!),""))</f>
        <v/>
      </c>
      <c r="AC2186" t="str">
        <f>IF(Z2186="","",COUNTIF(#REF!,Z2186))</f>
        <v/>
      </c>
      <c r="AD2186" t="str">
        <f>IF(A2186="","",IF(AC2186&gt;1,"REVISAR DUPLICADO",IF(AA2186&lt;&gt;"","ACTUALIZADO POR EYR","SIN REPORTE EYR")))</f>
        <v/>
      </c>
    </row>
    <row r="2187" spans="11:30" x14ac:dyDescent="0.3">
      <c r="K2187" s="1" t="str">
        <f ca="1">IF(A2187="","",IF(OR(L2187="ENTREGADA",L2187="RETORNADA",L2187="ENTREGA DIGITAL"),0,MAX(0,5-NETWORKDAYS(H2187+1,TODAY()))))</f>
        <v/>
      </c>
      <c r="L2187" t="str">
        <f>IF(A2187="","",IFERROR(LOOKUP(2,1/(#REF!=Z2187),#REF!),Y2187))</f>
        <v/>
      </c>
      <c r="Z2187" t="str">
        <f>IF(A2187="","",TEXT(A2187,"0")&amp;"|"&amp;TEXT(H2187,"0"))</f>
        <v/>
      </c>
      <c r="AA2187" t="str">
        <f>IF(Z2187="","",IFERROR(LOOKUP(2,1/(#REF!=Z2187),#REF!),""))</f>
        <v/>
      </c>
      <c r="AB2187" t="str">
        <f>IF(Z2187="","",IFERROR(LOOKUP(2,1/(#REF!=Z2187),#REF!),""))</f>
        <v/>
      </c>
      <c r="AC2187" t="str">
        <f>IF(Z2187="","",COUNTIF(#REF!,Z2187))</f>
        <v/>
      </c>
      <c r="AD2187" t="str">
        <f>IF(A2187="","",IF(AC2187&gt;1,"REVISAR DUPLICADO",IF(AA2187&lt;&gt;"","ACTUALIZADO POR EYR","SIN REPORTE EYR")))</f>
        <v/>
      </c>
    </row>
    <row r="2188" spans="11:30" x14ac:dyDescent="0.3">
      <c r="K2188" s="1" t="str">
        <f ca="1">IF(A2188="","",IF(OR(L2188="ENTREGADA",L2188="RETORNADA",L2188="ENTREGA DIGITAL"),0,MAX(0,5-NETWORKDAYS(H2188+1,TODAY()))))</f>
        <v/>
      </c>
      <c r="L2188" t="str">
        <f>IF(A2188="","",IFERROR(LOOKUP(2,1/(#REF!=Z2188),#REF!),Y2188))</f>
        <v/>
      </c>
      <c r="Z2188" t="str">
        <f>IF(A2188="","",TEXT(A2188,"0")&amp;"|"&amp;TEXT(H2188,"0"))</f>
        <v/>
      </c>
      <c r="AA2188" t="str">
        <f>IF(Z2188="","",IFERROR(LOOKUP(2,1/(#REF!=Z2188),#REF!),""))</f>
        <v/>
      </c>
      <c r="AB2188" t="str">
        <f>IF(Z2188="","",IFERROR(LOOKUP(2,1/(#REF!=Z2188),#REF!),""))</f>
        <v/>
      </c>
      <c r="AC2188" t="str">
        <f>IF(Z2188="","",COUNTIF(#REF!,Z2188))</f>
        <v/>
      </c>
      <c r="AD2188" t="str">
        <f>IF(A2188="","",IF(AC2188&gt;1,"REVISAR DUPLICADO",IF(AA2188&lt;&gt;"","ACTUALIZADO POR EYR","SIN REPORTE EYR")))</f>
        <v/>
      </c>
    </row>
    <row r="2189" spans="11:30" x14ac:dyDescent="0.3">
      <c r="K2189" s="1" t="str">
        <f ca="1">IF(A2189="","",IF(OR(L2189="ENTREGADA",L2189="RETORNADA",L2189="ENTREGA DIGITAL"),0,MAX(0,5-NETWORKDAYS(H2189+1,TODAY()))))</f>
        <v/>
      </c>
      <c r="L2189" t="str">
        <f>IF(A2189="","",IFERROR(LOOKUP(2,1/(#REF!=Z2189),#REF!),Y2189))</f>
        <v/>
      </c>
      <c r="Z2189" t="str">
        <f>IF(A2189="","",TEXT(A2189,"0")&amp;"|"&amp;TEXT(H2189,"0"))</f>
        <v/>
      </c>
      <c r="AA2189" t="str">
        <f>IF(Z2189="","",IFERROR(LOOKUP(2,1/(#REF!=Z2189),#REF!),""))</f>
        <v/>
      </c>
      <c r="AB2189" t="str">
        <f>IF(Z2189="","",IFERROR(LOOKUP(2,1/(#REF!=Z2189),#REF!),""))</f>
        <v/>
      </c>
      <c r="AC2189" t="str">
        <f>IF(Z2189="","",COUNTIF(#REF!,Z2189))</f>
        <v/>
      </c>
      <c r="AD2189" t="str">
        <f>IF(A2189="","",IF(AC2189&gt;1,"REVISAR DUPLICADO",IF(AA2189&lt;&gt;"","ACTUALIZADO POR EYR","SIN REPORTE EYR")))</f>
        <v/>
      </c>
    </row>
    <row r="2190" spans="11:30" x14ac:dyDescent="0.3">
      <c r="K2190" s="1" t="str">
        <f ca="1">IF(A2190="","",IF(OR(L2190="ENTREGADA",L2190="RETORNADA",L2190="ENTREGA DIGITAL"),0,MAX(0,5-NETWORKDAYS(H2190+1,TODAY()))))</f>
        <v/>
      </c>
      <c r="L2190" t="str">
        <f>IF(A2190="","",IFERROR(LOOKUP(2,1/(#REF!=Z2190),#REF!),Y2190))</f>
        <v/>
      </c>
      <c r="Z2190" t="str">
        <f>IF(A2190="","",TEXT(A2190,"0")&amp;"|"&amp;TEXT(H2190,"0"))</f>
        <v/>
      </c>
      <c r="AA2190" t="str">
        <f>IF(Z2190="","",IFERROR(LOOKUP(2,1/(#REF!=Z2190),#REF!),""))</f>
        <v/>
      </c>
      <c r="AB2190" t="str">
        <f>IF(Z2190="","",IFERROR(LOOKUP(2,1/(#REF!=Z2190),#REF!),""))</f>
        <v/>
      </c>
      <c r="AC2190" t="str">
        <f>IF(Z2190="","",COUNTIF(#REF!,Z2190))</f>
        <v/>
      </c>
      <c r="AD2190" t="str">
        <f>IF(A2190="","",IF(AC2190&gt;1,"REVISAR DUPLICADO",IF(AA2190&lt;&gt;"","ACTUALIZADO POR EYR","SIN REPORTE EYR")))</f>
        <v/>
      </c>
    </row>
    <row r="2191" spans="11:30" x14ac:dyDescent="0.3">
      <c r="K2191" s="1" t="str">
        <f ca="1">IF(A2191="","",IF(OR(L2191="ENTREGADA",L2191="RETORNADA",L2191="ENTREGA DIGITAL"),0,MAX(0,5-NETWORKDAYS(H2191+1,TODAY()))))</f>
        <v/>
      </c>
      <c r="L2191" t="str">
        <f>IF(A2191="","",IFERROR(LOOKUP(2,1/(#REF!=Z2191),#REF!),Y2191))</f>
        <v/>
      </c>
      <c r="Z2191" t="str">
        <f>IF(A2191="","",TEXT(A2191,"0")&amp;"|"&amp;TEXT(H2191,"0"))</f>
        <v/>
      </c>
      <c r="AA2191" t="str">
        <f>IF(Z2191="","",IFERROR(LOOKUP(2,1/(#REF!=Z2191),#REF!),""))</f>
        <v/>
      </c>
      <c r="AB2191" t="str">
        <f>IF(Z2191="","",IFERROR(LOOKUP(2,1/(#REF!=Z2191),#REF!),""))</f>
        <v/>
      </c>
      <c r="AC2191" t="str">
        <f>IF(Z2191="","",COUNTIF(#REF!,Z2191))</f>
        <v/>
      </c>
      <c r="AD2191" t="str">
        <f>IF(A2191="","",IF(AC2191&gt;1,"REVISAR DUPLICADO",IF(AA2191&lt;&gt;"","ACTUALIZADO POR EYR","SIN REPORTE EYR")))</f>
        <v/>
      </c>
    </row>
    <row r="2192" spans="11:30" x14ac:dyDescent="0.3">
      <c r="K2192" s="1" t="str">
        <f ca="1">IF(A2192="","",IF(OR(L2192="ENTREGADA",L2192="RETORNADA",L2192="ENTREGA DIGITAL"),0,MAX(0,5-NETWORKDAYS(H2192+1,TODAY()))))</f>
        <v/>
      </c>
      <c r="L2192" t="str">
        <f>IF(A2192="","",IFERROR(LOOKUP(2,1/(#REF!=Z2192),#REF!),Y2192))</f>
        <v/>
      </c>
      <c r="Z2192" t="str">
        <f>IF(A2192="","",TEXT(A2192,"0")&amp;"|"&amp;TEXT(H2192,"0"))</f>
        <v/>
      </c>
      <c r="AA2192" t="str">
        <f>IF(Z2192="","",IFERROR(LOOKUP(2,1/(#REF!=Z2192),#REF!),""))</f>
        <v/>
      </c>
      <c r="AB2192" t="str">
        <f>IF(Z2192="","",IFERROR(LOOKUP(2,1/(#REF!=Z2192),#REF!),""))</f>
        <v/>
      </c>
      <c r="AC2192" t="str">
        <f>IF(Z2192="","",COUNTIF(#REF!,Z2192))</f>
        <v/>
      </c>
      <c r="AD2192" t="str">
        <f>IF(A2192="","",IF(AC2192&gt;1,"REVISAR DUPLICADO",IF(AA2192&lt;&gt;"","ACTUALIZADO POR EYR","SIN REPORTE EYR")))</f>
        <v/>
      </c>
    </row>
    <row r="2193" spans="11:30" x14ac:dyDescent="0.3">
      <c r="K2193" s="1" t="str">
        <f ca="1">IF(A2193="","",IF(OR(L2193="ENTREGADA",L2193="RETORNADA",L2193="ENTREGA DIGITAL"),0,MAX(0,5-NETWORKDAYS(H2193+1,TODAY()))))</f>
        <v/>
      </c>
      <c r="L2193" t="str">
        <f>IF(A2193="","",IFERROR(LOOKUP(2,1/(#REF!=Z2193),#REF!),Y2193))</f>
        <v/>
      </c>
      <c r="Z2193" t="str">
        <f>IF(A2193="","",TEXT(A2193,"0")&amp;"|"&amp;TEXT(H2193,"0"))</f>
        <v/>
      </c>
      <c r="AA2193" t="str">
        <f>IF(Z2193="","",IFERROR(LOOKUP(2,1/(#REF!=Z2193),#REF!),""))</f>
        <v/>
      </c>
      <c r="AB2193" t="str">
        <f>IF(Z2193="","",IFERROR(LOOKUP(2,1/(#REF!=Z2193),#REF!),""))</f>
        <v/>
      </c>
      <c r="AC2193" t="str">
        <f>IF(Z2193="","",COUNTIF(#REF!,Z2193))</f>
        <v/>
      </c>
      <c r="AD2193" t="str">
        <f>IF(A2193="","",IF(AC2193&gt;1,"REVISAR DUPLICADO",IF(AA2193&lt;&gt;"","ACTUALIZADO POR EYR","SIN REPORTE EYR")))</f>
        <v/>
      </c>
    </row>
    <row r="2194" spans="11:30" x14ac:dyDescent="0.3">
      <c r="K2194" s="1" t="str">
        <f ca="1">IF(A2194="","",IF(OR(L2194="ENTREGADA",L2194="RETORNADA",L2194="ENTREGA DIGITAL"),0,MAX(0,5-NETWORKDAYS(H2194+1,TODAY()))))</f>
        <v/>
      </c>
      <c r="L2194" t="str">
        <f>IF(A2194="","",IFERROR(LOOKUP(2,1/(#REF!=Z2194),#REF!),Y2194))</f>
        <v/>
      </c>
      <c r="Z2194" t="str">
        <f>IF(A2194="","",TEXT(A2194,"0")&amp;"|"&amp;TEXT(H2194,"0"))</f>
        <v/>
      </c>
      <c r="AA2194" t="str">
        <f>IF(Z2194="","",IFERROR(LOOKUP(2,1/(#REF!=Z2194),#REF!),""))</f>
        <v/>
      </c>
      <c r="AB2194" t="str">
        <f>IF(Z2194="","",IFERROR(LOOKUP(2,1/(#REF!=Z2194),#REF!),""))</f>
        <v/>
      </c>
      <c r="AC2194" t="str">
        <f>IF(Z2194="","",COUNTIF(#REF!,Z2194))</f>
        <v/>
      </c>
      <c r="AD2194" t="str">
        <f>IF(A2194="","",IF(AC2194&gt;1,"REVISAR DUPLICADO",IF(AA2194&lt;&gt;"","ACTUALIZADO POR EYR","SIN REPORTE EYR")))</f>
        <v/>
      </c>
    </row>
    <row r="2195" spans="11:30" x14ac:dyDescent="0.3">
      <c r="K2195" s="1" t="str">
        <f ca="1">IF(A2195="","",IF(OR(L2195="ENTREGADA",L2195="RETORNADA",L2195="ENTREGA DIGITAL"),0,MAX(0,5-NETWORKDAYS(H2195+1,TODAY()))))</f>
        <v/>
      </c>
      <c r="L2195" t="str">
        <f>IF(A2195="","",IFERROR(LOOKUP(2,1/(#REF!=Z2195),#REF!),Y2195))</f>
        <v/>
      </c>
      <c r="Z2195" t="str">
        <f>IF(A2195="","",TEXT(A2195,"0")&amp;"|"&amp;TEXT(H2195,"0"))</f>
        <v/>
      </c>
      <c r="AA2195" t="str">
        <f>IF(Z2195="","",IFERROR(LOOKUP(2,1/(#REF!=Z2195),#REF!),""))</f>
        <v/>
      </c>
      <c r="AB2195" t="str">
        <f>IF(Z2195="","",IFERROR(LOOKUP(2,1/(#REF!=Z2195),#REF!),""))</f>
        <v/>
      </c>
      <c r="AC2195" t="str">
        <f>IF(Z2195="","",COUNTIF(#REF!,Z2195))</f>
        <v/>
      </c>
      <c r="AD2195" t="str">
        <f>IF(A2195="","",IF(AC2195&gt;1,"REVISAR DUPLICADO",IF(AA2195&lt;&gt;"","ACTUALIZADO POR EYR","SIN REPORTE EYR")))</f>
        <v/>
      </c>
    </row>
    <row r="2196" spans="11:30" x14ac:dyDescent="0.3">
      <c r="K2196" s="1" t="str">
        <f ca="1">IF(A2196="","",IF(OR(L2196="ENTREGADA",L2196="RETORNADA",L2196="ENTREGA DIGITAL"),0,MAX(0,5-NETWORKDAYS(H2196+1,TODAY()))))</f>
        <v/>
      </c>
      <c r="L2196" t="str">
        <f>IF(A2196="","",IFERROR(LOOKUP(2,1/(#REF!=Z2196),#REF!),Y2196))</f>
        <v/>
      </c>
      <c r="Z2196" t="str">
        <f>IF(A2196="","",TEXT(A2196,"0")&amp;"|"&amp;TEXT(H2196,"0"))</f>
        <v/>
      </c>
      <c r="AA2196" t="str">
        <f>IF(Z2196="","",IFERROR(LOOKUP(2,1/(#REF!=Z2196),#REF!),""))</f>
        <v/>
      </c>
      <c r="AB2196" t="str">
        <f>IF(Z2196="","",IFERROR(LOOKUP(2,1/(#REF!=Z2196),#REF!),""))</f>
        <v/>
      </c>
      <c r="AC2196" t="str">
        <f>IF(Z2196="","",COUNTIF(#REF!,Z2196))</f>
        <v/>
      </c>
      <c r="AD2196" t="str">
        <f>IF(A2196="","",IF(AC2196&gt;1,"REVISAR DUPLICADO",IF(AA2196&lt;&gt;"","ACTUALIZADO POR EYR","SIN REPORTE EYR")))</f>
        <v/>
      </c>
    </row>
    <row r="2197" spans="11:30" x14ac:dyDescent="0.3">
      <c r="K2197" s="1" t="str">
        <f ca="1">IF(A2197="","",IF(OR(L2197="ENTREGADA",L2197="RETORNADA",L2197="ENTREGA DIGITAL"),0,MAX(0,5-NETWORKDAYS(H2197+1,TODAY()))))</f>
        <v/>
      </c>
      <c r="L2197" t="str">
        <f>IF(A2197="","",IFERROR(LOOKUP(2,1/(#REF!=Z2197),#REF!),Y2197))</f>
        <v/>
      </c>
      <c r="Z2197" t="str">
        <f>IF(A2197="","",TEXT(A2197,"0")&amp;"|"&amp;TEXT(H2197,"0"))</f>
        <v/>
      </c>
      <c r="AA2197" t="str">
        <f>IF(Z2197="","",IFERROR(LOOKUP(2,1/(#REF!=Z2197),#REF!),""))</f>
        <v/>
      </c>
      <c r="AB2197" t="str">
        <f>IF(Z2197="","",IFERROR(LOOKUP(2,1/(#REF!=Z2197),#REF!),""))</f>
        <v/>
      </c>
      <c r="AC2197" t="str">
        <f>IF(Z2197="","",COUNTIF(#REF!,Z2197))</f>
        <v/>
      </c>
      <c r="AD2197" t="str">
        <f>IF(A2197="","",IF(AC2197&gt;1,"REVISAR DUPLICADO",IF(AA2197&lt;&gt;"","ACTUALIZADO POR EYR","SIN REPORTE EYR")))</f>
        <v/>
      </c>
    </row>
    <row r="2198" spans="11:30" x14ac:dyDescent="0.3">
      <c r="K2198" s="1" t="str">
        <f ca="1">IF(A2198="","",IF(OR(L2198="ENTREGADA",L2198="RETORNADA",L2198="ENTREGA DIGITAL"),0,MAX(0,5-NETWORKDAYS(H2198+1,TODAY()))))</f>
        <v/>
      </c>
      <c r="L2198" t="str">
        <f>IF(A2198="","",IFERROR(LOOKUP(2,1/(#REF!=Z2198),#REF!),Y2198))</f>
        <v/>
      </c>
      <c r="Z2198" t="str">
        <f>IF(A2198="","",TEXT(A2198,"0")&amp;"|"&amp;TEXT(H2198,"0"))</f>
        <v/>
      </c>
      <c r="AA2198" t="str">
        <f>IF(Z2198="","",IFERROR(LOOKUP(2,1/(#REF!=Z2198),#REF!),""))</f>
        <v/>
      </c>
      <c r="AB2198" t="str">
        <f>IF(Z2198="","",IFERROR(LOOKUP(2,1/(#REF!=Z2198),#REF!),""))</f>
        <v/>
      </c>
      <c r="AC2198" t="str">
        <f>IF(Z2198="","",COUNTIF(#REF!,Z2198))</f>
        <v/>
      </c>
      <c r="AD2198" t="str">
        <f>IF(A2198="","",IF(AC2198&gt;1,"REVISAR DUPLICADO",IF(AA2198&lt;&gt;"","ACTUALIZADO POR EYR","SIN REPORTE EYR")))</f>
        <v/>
      </c>
    </row>
    <row r="2199" spans="11:30" x14ac:dyDescent="0.3">
      <c r="K2199" s="1" t="str">
        <f ca="1">IF(A2199="","",IF(OR(L2199="ENTREGADA",L2199="RETORNADA",L2199="ENTREGA DIGITAL"),0,MAX(0,5-NETWORKDAYS(H2199+1,TODAY()))))</f>
        <v/>
      </c>
      <c r="L2199" t="str">
        <f>IF(A2199="","",IFERROR(LOOKUP(2,1/(#REF!=Z2199),#REF!),Y2199))</f>
        <v/>
      </c>
      <c r="Z2199" t="str">
        <f>IF(A2199="","",TEXT(A2199,"0")&amp;"|"&amp;TEXT(H2199,"0"))</f>
        <v/>
      </c>
      <c r="AA2199" t="str">
        <f>IF(Z2199="","",IFERROR(LOOKUP(2,1/(#REF!=Z2199),#REF!),""))</f>
        <v/>
      </c>
      <c r="AB2199" t="str">
        <f>IF(Z2199="","",IFERROR(LOOKUP(2,1/(#REF!=Z2199),#REF!),""))</f>
        <v/>
      </c>
      <c r="AC2199" t="str">
        <f>IF(Z2199="","",COUNTIF(#REF!,Z2199))</f>
        <v/>
      </c>
      <c r="AD2199" t="str">
        <f>IF(A2199="","",IF(AC2199&gt;1,"REVISAR DUPLICADO",IF(AA2199&lt;&gt;"","ACTUALIZADO POR EYR","SIN REPORTE EYR")))</f>
        <v/>
      </c>
    </row>
    <row r="2200" spans="11:30" x14ac:dyDescent="0.3">
      <c r="K2200" s="1" t="str">
        <f ca="1">IF(A2200="","",IF(OR(L2200="ENTREGADA",L2200="RETORNADA",L2200="ENTREGA DIGITAL"),0,MAX(0,5-NETWORKDAYS(H2200+1,TODAY()))))</f>
        <v/>
      </c>
      <c r="L2200" t="str">
        <f>IF(A2200="","",IFERROR(LOOKUP(2,1/(#REF!=Z2200),#REF!),Y2200))</f>
        <v/>
      </c>
      <c r="Z2200" t="str">
        <f>IF(A2200="","",TEXT(A2200,"0")&amp;"|"&amp;TEXT(H2200,"0"))</f>
        <v/>
      </c>
      <c r="AA2200" t="str">
        <f>IF(Z2200="","",IFERROR(LOOKUP(2,1/(#REF!=Z2200),#REF!),""))</f>
        <v/>
      </c>
      <c r="AB2200" t="str">
        <f>IF(Z2200="","",IFERROR(LOOKUP(2,1/(#REF!=Z2200),#REF!),""))</f>
        <v/>
      </c>
      <c r="AC2200" t="str">
        <f>IF(Z2200="","",COUNTIF(#REF!,Z2200))</f>
        <v/>
      </c>
      <c r="AD2200" t="str">
        <f>IF(A2200="","",IF(AC2200&gt;1,"REVISAR DUPLICADO",IF(AA2200&lt;&gt;"","ACTUALIZADO POR EYR","SIN REPORTE EYR")))</f>
        <v/>
      </c>
    </row>
    <row r="2201" spans="11:30" x14ac:dyDescent="0.3">
      <c r="K2201" s="1" t="str">
        <f ca="1">IF(A2201="","",IF(OR(L2201="ENTREGADA",L2201="RETORNADA",L2201="ENTREGA DIGITAL"),0,MAX(0,5-NETWORKDAYS(H2201+1,TODAY()))))</f>
        <v/>
      </c>
      <c r="L2201" t="str">
        <f>IF(A2201="","",IFERROR(LOOKUP(2,1/(#REF!=Z2201),#REF!),Y2201))</f>
        <v/>
      </c>
      <c r="Z2201" t="str">
        <f>IF(A2201="","",TEXT(A2201,"0")&amp;"|"&amp;TEXT(H2201,"0"))</f>
        <v/>
      </c>
      <c r="AA2201" t="str">
        <f>IF(Z2201="","",IFERROR(LOOKUP(2,1/(#REF!=Z2201),#REF!),""))</f>
        <v/>
      </c>
      <c r="AB2201" t="str">
        <f>IF(Z2201="","",IFERROR(LOOKUP(2,1/(#REF!=Z2201),#REF!),""))</f>
        <v/>
      </c>
      <c r="AC2201" t="str">
        <f>IF(Z2201="","",COUNTIF(#REF!,Z2201))</f>
        <v/>
      </c>
      <c r="AD2201" t="str">
        <f>IF(A2201="","",IF(AC2201&gt;1,"REVISAR DUPLICADO",IF(AA2201&lt;&gt;"","ACTUALIZADO POR EYR","SIN REPORTE EYR")))</f>
        <v/>
      </c>
    </row>
    <row r="2202" spans="11:30" x14ac:dyDescent="0.3">
      <c r="K2202" s="1" t="str">
        <f ca="1">IF(A2202="","",IF(OR(L2202="ENTREGADA",L2202="RETORNADA",L2202="ENTREGA DIGITAL"),0,MAX(0,5-NETWORKDAYS(H2202+1,TODAY()))))</f>
        <v/>
      </c>
      <c r="L2202" t="str">
        <f>IF(A2202="","",IFERROR(LOOKUP(2,1/(#REF!=Z2202),#REF!),Y2202))</f>
        <v/>
      </c>
      <c r="Z2202" t="str">
        <f>IF(A2202="","",TEXT(A2202,"0")&amp;"|"&amp;TEXT(H2202,"0"))</f>
        <v/>
      </c>
      <c r="AA2202" t="str">
        <f>IF(Z2202="","",IFERROR(LOOKUP(2,1/(#REF!=Z2202),#REF!),""))</f>
        <v/>
      </c>
      <c r="AB2202" t="str">
        <f>IF(Z2202="","",IFERROR(LOOKUP(2,1/(#REF!=Z2202),#REF!),""))</f>
        <v/>
      </c>
      <c r="AC2202" t="str">
        <f>IF(Z2202="","",COUNTIF(#REF!,Z2202))</f>
        <v/>
      </c>
      <c r="AD2202" t="str">
        <f>IF(A2202="","",IF(AC2202&gt;1,"REVISAR DUPLICADO",IF(AA2202&lt;&gt;"","ACTUALIZADO POR EYR","SIN REPORTE EYR")))</f>
        <v/>
      </c>
    </row>
    <row r="2203" spans="11:30" x14ac:dyDescent="0.3">
      <c r="K2203" s="1" t="str">
        <f ca="1">IF(A2203="","",IF(OR(L2203="ENTREGADA",L2203="RETORNADA",L2203="ENTREGA DIGITAL"),0,MAX(0,5-NETWORKDAYS(H2203+1,TODAY()))))</f>
        <v/>
      </c>
      <c r="L2203" t="str">
        <f>IF(A2203="","",IFERROR(LOOKUP(2,1/(#REF!=Z2203),#REF!),Y2203))</f>
        <v/>
      </c>
      <c r="Z2203" t="str">
        <f>IF(A2203="","",TEXT(A2203,"0")&amp;"|"&amp;TEXT(H2203,"0"))</f>
        <v/>
      </c>
      <c r="AA2203" t="str">
        <f>IF(Z2203="","",IFERROR(LOOKUP(2,1/(#REF!=Z2203),#REF!),""))</f>
        <v/>
      </c>
      <c r="AB2203" t="str">
        <f>IF(Z2203="","",IFERROR(LOOKUP(2,1/(#REF!=Z2203),#REF!),""))</f>
        <v/>
      </c>
      <c r="AC2203" t="str">
        <f>IF(Z2203="","",COUNTIF(#REF!,Z2203))</f>
        <v/>
      </c>
      <c r="AD2203" t="str">
        <f>IF(A2203="","",IF(AC2203&gt;1,"REVISAR DUPLICADO",IF(AA2203&lt;&gt;"","ACTUALIZADO POR EYR","SIN REPORTE EYR")))</f>
        <v/>
      </c>
    </row>
    <row r="2204" spans="11:30" x14ac:dyDescent="0.3">
      <c r="K2204" s="1" t="str">
        <f ca="1">IF(A2204="","",IF(OR(L2204="ENTREGADA",L2204="RETORNADA",L2204="ENTREGA DIGITAL"),0,MAX(0,5-NETWORKDAYS(H2204+1,TODAY()))))</f>
        <v/>
      </c>
      <c r="L2204" t="str">
        <f>IF(A2204="","",IFERROR(LOOKUP(2,1/(#REF!=Z2204),#REF!),Y2204))</f>
        <v/>
      </c>
      <c r="Z2204" t="str">
        <f>IF(A2204="","",TEXT(A2204,"0")&amp;"|"&amp;TEXT(H2204,"0"))</f>
        <v/>
      </c>
      <c r="AA2204" t="str">
        <f>IF(Z2204="","",IFERROR(LOOKUP(2,1/(#REF!=Z2204),#REF!),""))</f>
        <v/>
      </c>
      <c r="AB2204" t="str">
        <f>IF(Z2204="","",IFERROR(LOOKUP(2,1/(#REF!=Z2204),#REF!),""))</f>
        <v/>
      </c>
      <c r="AC2204" t="str">
        <f>IF(Z2204="","",COUNTIF(#REF!,Z2204))</f>
        <v/>
      </c>
      <c r="AD2204" t="str">
        <f>IF(A2204="","",IF(AC2204&gt;1,"REVISAR DUPLICADO",IF(AA2204&lt;&gt;"","ACTUALIZADO POR EYR","SIN REPORTE EYR")))</f>
        <v/>
      </c>
    </row>
    <row r="2205" spans="11:30" x14ac:dyDescent="0.3">
      <c r="K2205" s="1" t="str">
        <f ca="1">IF(A2205="","",IF(OR(L2205="ENTREGADA",L2205="RETORNADA",L2205="ENTREGA DIGITAL"),0,MAX(0,5-NETWORKDAYS(H2205+1,TODAY()))))</f>
        <v/>
      </c>
      <c r="L2205" t="str">
        <f>IF(A2205="","",IFERROR(LOOKUP(2,1/(#REF!=Z2205),#REF!),Y2205))</f>
        <v/>
      </c>
      <c r="Z2205" t="str">
        <f>IF(A2205="","",TEXT(A2205,"0")&amp;"|"&amp;TEXT(H2205,"0"))</f>
        <v/>
      </c>
      <c r="AA2205" t="str">
        <f>IF(Z2205="","",IFERROR(LOOKUP(2,1/(#REF!=Z2205),#REF!),""))</f>
        <v/>
      </c>
      <c r="AB2205" t="str">
        <f>IF(Z2205="","",IFERROR(LOOKUP(2,1/(#REF!=Z2205),#REF!),""))</f>
        <v/>
      </c>
      <c r="AC2205" t="str">
        <f>IF(Z2205="","",COUNTIF(#REF!,Z2205))</f>
        <v/>
      </c>
      <c r="AD2205" t="str">
        <f>IF(A2205="","",IF(AC2205&gt;1,"REVISAR DUPLICADO",IF(AA2205&lt;&gt;"","ACTUALIZADO POR EYR","SIN REPORTE EYR")))</f>
        <v/>
      </c>
    </row>
    <row r="2206" spans="11:30" x14ac:dyDescent="0.3">
      <c r="K2206" s="1" t="str">
        <f ca="1">IF(A2206="","",IF(OR(L2206="ENTREGADA",L2206="RETORNADA",L2206="ENTREGA DIGITAL"),0,MAX(0,5-NETWORKDAYS(H2206+1,TODAY()))))</f>
        <v/>
      </c>
      <c r="L2206" t="str">
        <f>IF(A2206="","",IFERROR(LOOKUP(2,1/(#REF!=Z2206),#REF!),Y2206))</f>
        <v/>
      </c>
      <c r="Z2206" t="str">
        <f>IF(A2206="","",TEXT(A2206,"0")&amp;"|"&amp;TEXT(H2206,"0"))</f>
        <v/>
      </c>
      <c r="AA2206" t="str">
        <f>IF(Z2206="","",IFERROR(LOOKUP(2,1/(#REF!=Z2206),#REF!),""))</f>
        <v/>
      </c>
      <c r="AB2206" t="str">
        <f>IF(Z2206="","",IFERROR(LOOKUP(2,1/(#REF!=Z2206),#REF!),""))</f>
        <v/>
      </c>
      <c r="AC2206" t="str">
        <f>IF(Z2206="","",COUNTIF(#REF!,Z2206))</f>
        <v/>
      </c>
      <c r="AD2206" t="str">
        <f>IF(A2206="","",IF(AC2206&gt;1,"REVISAR DUPLICADO",IF(AA2206&lt;&gt;"","ACTUALIZADO POR EYR","SIN REPORTE EYR")))</f>
        <v/>
      </c>
    </row>
    <row r="2207" spans="11:30" x14ac:dyDescent="0.3">
      <c r="K2207" s="1" t="str">
        <f ca="1">IF(A2207="","",IF(OR(L2207="ENTREGADA",L2207="RETORNADA",L2207="ENTREGA DIGITAL"),0,MAX(0,5-NETWORKDAYS(H2207+1,TODAY()))))</f>
        <v/>
      </c>
      <c r="L2207" t="str">
        <f>IF(A2207="","",IFERROR(LOOKUP(2,1/(#REF!=Z2207),#REF!),Y2207))</f>
        <v/>
      </c>
      <c r="Z2207" t="str">
        <f>IF(A2207="","",TEXT(A2207,"0")&amp;"|"&amp;TEXT(H2207,"0"))</f>
        <v/>
      </c>
      <c r="AA2207" t="str">
        <f>IF(Z2207="","",IFERROR(LOOKUP(2,1/(#REF!=Z2207),#REF!),""))</f>
        <v/>
      </c>
      <c r="AB2207" t="str">
        <f>IF(Z2207="","",IFERROR(LOOKUP(2,1/(#REF!=Z2207),#REF!),""))</f>
        <v/>
      </c>
      <c r="AC2207" t="str">
        <f>IF(Z2207="","",COUNTIF(#REF!,Z2207))</f>
        <v/>
      </c>
      <c r="AD2207" t="str">
        <f>IF(A2207="","",IF(AC2207&gt;1,"REVISAR DUPLICADO",IF(AA2207&lt;&gt;"","ACTUALIZADO POR EYR","SIN REPORTE EYR")))</f>
        <v/>
      </c>
    </row>
    <row r="2208" spans="11:30" x14ac:dyDescent="0.3">
      <c r="K2208" s="1" t="str">
        <f ca="1">IF(A2208="","",IF(OR(L2208="ENTREGADA",L2208="RETORNADA",L2208="ENTREGA DIGITAL"),0,MAX(0,5-NETWORKDAYS(H2208+1,TODAY()))))</f>
        <v/>
      </c>
      <c r="L2208" t="str">
        <f>IF(A2208="","",IFERROR(LOOKUP(2,1/(#REF!=Z2208),#REF!),Y2208))</f>
        <v/>
      </c>
      <c r="Z2208" t="str">
        <f>IF(A2208="","",TEXT(A2208,"0")&amp;"|"&amp;TEXT(H2208,"0"))</f>
        <v/>
      </c>
      <c r="AA2208" t="str">
        <f>IF(Z2208="","",IFERROR(LOOKUP(2,1/(#REF!=Z2208),#REF!),""))</f>
        <v/>
      </c>
      <c r="AB2208" t="str">
        <f>IF(Z2208="","",IFERROR(LOOKUP(2,1/(#REF!=Z2208),#REF!),""))</f>
        <v/>
      </c>
      <c r="AC2208" t="str">
        <f>IF(Z2208="","",COUNTIF(#REF!,Z2208))</f>
        <v/>
      </c>
      <c r="AD2208" t="str">
        <f>IF(A2208="","",IF(AC2208&gt;1,"REVISAR DUPLICADO",IF(AA2208&lt;&gt;"","ACTUALIZADO POR EYR","SIN REPORTE EYR")))</f>
        <v/>
      </c>
    </row>
    <row r="2209" spans="11:30" x14ac:dyDescent="0.3">
      <c r="K2209" s="1" t="str">
        <f ca="1">IF(A2209="","",IF(OR(L2209="ENTREGADA",L2209="RETORNADA",L2209="ENTREGA DIGITAL"),0,MAX(0,5-NETWORKDAYS(H2209+1,TODAY()))))</f>
        <v/>
      </c>
      <c r="L2209" t="str">
        <f>IF(A2209="","",IFERROR(LOOKUP(2,1/(#REF!=Z2209),#REF!),Y2209))</f>
        <v/>
      </c>
      <c r="Z2209" t="str">
        <f>IF(A2209="","",TEXT(A2209,"0")&amp;"|"&amp;TEXT(H2209,"0"))</f>
        <v/>
      </c>
      <c r="AA2209" t="str">
        <f>IF(Z2209="","",IFERROR(LOOKUP(2,1/(#REF!=Z2209),#REF!),""))</f>
        <v/>
      </c>
      <c r="AB2209" t="str">
        <f>IF(Z2209="","",IFERROR(LOOKUP(2,1/(#REF!=Z2209),#REF!),""))</f>
        <v/>
      </c>
      <c r="AC2209" t="str">
        <f>IF(Z2209="","",COUNTIF(#REF!,Z2209))</f>
        <v/>
      </c>
      <c r="AD2209" t="str">
        <f>IF(A2209="","",IF(AC2209&gt;1,"REVISAR DUPLICADO",IF(AA2209&lt;&gt;"","ACTUALIZADO POR EYR","SIN REPORTE EYR")))</f>
        <v/>
      </c>
    </row>
    <row r="2210" spans="11:30" x14ac:dyDescent="0.3">
      <c r="K2210" s="1" t="str">
        <f ca="1">IF(A2210="","",IF(OR(L2210="ENTREGADA",L2210="RETORNADA",L2210="ENTREGA DIGITAL"),0,MAX(0,5-NETWORKDAYS(H2210+1,TODAY()))))</f>
        <v/>
      </c>
      <c r="L2210" t="str">
        <f>IF(A2210="","",IFERROR(LOOKUP(2,1/(#REF!=Z2210),#REF!),Y2210))</f>
        <v/>
      </c>
      <c r="Z2210" t="str">
        <f>IF(A2210="","",TEXT(A2210,"0")&amp;"|"&amp;TEXT(H2210,"0"))</f>
        <v/>
      </c>
      <c r="AA2210" t="str">
        <f>IF(Z2210="","",IFERROR(LOOKUP(2,1/(#REF!=Z2210),#REF!),""))</f>
        <v/>
      </c>
      <c r="AB2210" t="str">
        <f>IF(Z2210="","",IFERROR(LOOKUP(2,1/(#REF!=Z2210),#REF!),""))</f>
        <v/>
      </c>
      <c r="AC2210" t="str">
        <f>IF(Z2210="","",COUNTIF(#REF!,Z2210))</f>
        <v/>
      </c>
      <c r="AD2210" t="str">
        <f>IF(A2210="","",IF(AC2210&gt;1,"REVISAR DUPLICADO",IF(AA2210&lt;&gt;"","ACTUALIZADO POR EYR","SIN REPORTE EYR")))</f>
        <v/>
      </c>
    </row>
    <row r="2211" spans="11:30" x14ac:dyDescent="0.3">
      <c r="K2211" s="1" t="str">
        <f ca="1">IF(A2211="","",IF(OR(L2211="ENTREGADA",L2211="RETORNADA",L2211="ENTREGA DIGITAL"),0,MAX(0,5-NETWORKDAYS(H2211+1,TODAY()))))</f>
        <v/>
      </c>
      <c r="L2211" t="str">
        <f>IF(A2211="","",IFERROR(LOOKUP(2,1/(#REF!=Z2211),#REF!),Y2211))</f>
        <v/>
      </c>
      <c r="Z2211" t="str">
        <f>IF(A2211="","",TEXT(A2211,"0")&amp;"|"&amp;TEXT(H2211,"0"))</f>
        <v/>
      </c>
      <c r="AA2211" t="str">
        <f>IF(Z2211="","",IFERROR(LOOKUP(2,1/(#REF!=Z2211),#REF!),""))</f>
        <v/>
      </c>
      <c r="AB2211" t="str">
        <f>IF(Z2211="","",IFERROR(LOOKUP(2,1/(#REF!=Z2211),#REF!),""))</f>
        <v/>
      </c>
      <c r="AC2211" t="str">
        <f>IF(Z2211="","",COUNTIF(#REF!,Z2211))</f>
        <v/>
      </c>
      <c r="AD2211" t="str">
        <f>IF(A2211="","",IF(AC2211&gt;1,"REVISAR DUPLICADO",IF(AA2211&lt;&gt;"","ACTUALIZADO POR EYR","SIN REPORTE EYR")))</f>
        <v/>
      </c>
    </row>
    <row r="2212" spans="11:30" x14ac:dyDescent="0.3">
      <c r="K2212" s="1" t="str">
        <f ca="1">IF(A2212="","",IF(OR(L2212="ENTREGADA",L2212="RETORNADA",L2212="ENTREGA DIGITAL"),0,MAX(0,5-NETWORKDAYS(H2212+1,TODAY()))))</f>
        <v/>
      </c>
      <c r="L2212" t="str">
        <f>IF(A2212="","",IFERROR(LOOKUP(2,1/(#REF!=Z2212),#REF!),Y2212))</f>
        <v/>
      </c>
      <c r="Z2212" t="str">
        <f>IF(A2212="","",TEXT(A2212,"0")&amp;"|"&amp;TEXT(H2212,"0"))</f>
        <v/>
      </c>
      <c r="AA2212" t="str">
        <f>IF(Z2212="","",IFERROR(LOOKUP(2,1/(#REF!=Z2212),#REF!),""))</f>
        <v/>
      </c>
      <c r="AB2212" t="str">
        <f>IF(Z2212="","",IFERROR(LOOKUP(2,1/(#REF!=Z2212),#REF!),""))</f>
        <v/>
      </c>
      <c r="AC2212" t="str">
        <f>IF(Z2212="","",COUNTIF(#REF!,Z2212))</f>
        <v/>
      </c>
      <c r="AD2212" t="str">
        <f>IF(A2212="","",IF(AC2212&gt;1,"REVISAR DUPLICADO",IF(AA2212&lt;&gt;"","ACTUALIZADO POR EYR","SIN REPORTE EYR")))</f>
        <v/>
      </c>
    </row>
    <row r="2213" spans="11:30" x14ac:dyDescent="0.3">
      <c r="K2213" s="1" t="str">
        <f ca="1">IF(A2213="","",IF(OR(L2213="ENTREGADA",L2213="RETORNADA",L2213="ENTREGA DIGITAL"),0,MAX(0,5-NETWORKDAYS(H2213+1,TODAY()))))</f>
        <v/>
      </c>
      <c r="L2213" t="str">
        <f>IF(A2213="","",IFERROR(LOOKUP(2,1/(#REF!=Z2213),#REF!),Y2213))</f>
        <v/>
      </c>
      <c r="Z2213" t="str">
        <f>IF(A2213="","",TEXT(A2213,"0")&amp;"|"&amp;TEXT(H2213,"0"))</f>
        <v/>
      </c>
      <c r="AA2213" t="str">
        <f>IF(Z2213="","",IFERROR(LOOKUP(2,1/(#REF!=Z2213),#REF!),""))</f>
        <v/>
      </c>
      <c r="AB2213" t="str">
        <f>IF(Z2213="","",IFERROR(LOOKUP(2,1/(#REF!=Z2213),#REF!),""))</f>
        <v/>
      </c>
      <c r="AC2213" t="str">
        <f>IF(Z2213="","",COUNTIF(#REF!,Z2213))</f>
        <v/>
      </c>
      <c r="AD2213" t="str">
        <f>IF(A2213="","",IF(AC2213&gt;1,"REVISAR DUPLICADO",IF(AA2213&lt;&gt;"","ACTUALIZADO POR EYR","SIN REPORTE EYR")))</f>
        <v/>
      </c>
    </row>
    <row r="2214" spans="11:30" x14ac:dyDescent="0.3">
      <c r="K2214" s="1" t="str">
        <f ca="1">IF(A2214="","",IF(OR(L2214="ENTREGADA",L2214="RETORNADA",L2214="ENTREGA DIGITAL"),0,MAX(0,5-NETWORKDAYS(H2214+1,TODAY()))))</f>
        <v/>
      </c>
      <c r="L2214" t="str">
        <f>IF(A2214="","",IFERROR(LOOKUP(2,1/(#REF!=Z2214),#REF!),Y2214))</f>
        <v/>
      </c>
      <c r="Z2214" t="str">
        <f>IF(A2214="","",TEXT(A2214,"0")&amp;"|"&amp;TEXT(H2214,"0"))</f>
        <v/>
      </c>
      <c r="AA2214" t="str">
        <f>IF(Z2214="","",IFERROR(LOOKUP(2,1/(#REF!=Z2214),#REF!),""))</f>
        <v/>
      </c>
      <c r="AB2214" t="str">
        <f>IF(Z2214="","",IFERROR(LOOKUP(2,1/(#REF!=Z2214),#REF!),""))</f>
        <v/>
      </c>
      <c r="AC2214" t="str">
        <f>IF(Z2214="","",COUNTIF(#REF!,Z2214))</f>
        <v/>
      </c>
      <c r="AD2214" t="str">
        <f>IF(A2214="","",IF(AC2214&gt;1,"REVISAR DUPLICADO",IF(AA2214&lt;&gt;"","ACTUALIZADO POR EYR","SIN REPORTE EYR")))</f>
        <v/>
      </c>
    </row>
    <row r="2215" spans="11:30" x14ac:dyDescent="0.3">
      <c r="K2215" s="1" t="str">
        <f ca="1">IF(A2215="","",IF(OR(L2215="ENTREGADA",L2215="RETORNADA",L2215="ENTREGA DIGITAL"),0,MAX(0,5-NETWORKDAYS(H2215+1,TODAY()))))</f>
        <v/>
      </c>
      <c r="L2215" t="str">
        <f>IF(A2215="","",IFERROR(LOOKUP(2,1/(#REF!=Z2215),#REF!),Y2215))</f>
        <v/>
      </c>
      <c r="Z2215" t="str">
        <f>IF(A2215="","",TEXT(A2215,"0")&amp;"|"&amp;TEXT(H2215,"0"))</f>
        <v/>
      </c>
      <c r="AA2215" t="str">
        <f>IF(Z2215="","",IFERROR(LOOKUP(2,1/(#REF!=Z2215),#REF!),""))</f>
        <v/>
      </c>
      <c r="AB2215" t="str">
        <f>IF(Z2215="","",IFERROR(LOOKUP(2,1/(#REF!=Z2215),#REF!),""))</f>
        <v/>
      </c>
      <c r="AC2215" t="str">
        <f>IF(Z2215="","",COUNTIF(#REF!,Z2215))</f>
        <v/>
      </c>
      <c r="AD2215" t="str">
        <f>IF(A2215="","",IF(AC2215&gt;1,"REVISAR DUPLICADO",IF(AA2215&lt;&gt;"","ACTUALIZADO POR EYR","SIN REPORTE EYR")))</f>
        <v/>
      </c>
    </row>
    <row r="2216" spans="11:30" x14ac:dyDescent="0.3">
      <c r="K2216" s="1" t="str">
        <f ca="1">IF(A2216="","",IF(OR(L2216="ENTREGADA",L2216="RETORNADA",L2216="ENTREGA DIGITAL"),0,MAX(0,5-NETWORKDAYS(H2216+1,TODAY()))))</f>
        <v/>
      </c>
      <c r="L2216" t="str">
        <f>IF(A2216="","",IFERROR(LOOKUP(2,1/(#REF!=Z2216),#REF!),Y2216))</f>
        <v/>
      </c>
      <c r="Z2216" t="str">
        <f>IF(A2216="","",TEXT(A2216,"0")&amp;"|"&amp;TEXT(H2216,"0"))</f>
        <v/>
      </c>
      <c r="AA2216" t="str">
        <f>IF(Z2216="","",IFERROR(LOOKUP(2,1/(#REF!=Z2216),#REF!),""))</f>
        <v/>
      </c>
      <c r="AB2216" t="str">
        <f>IF(Z2216="","",IFERROR(LOOKUP(2,1/(#REF!=Z2216),#REF!),""))</f>
        <v/>
      </c>
      <c r="AC2216" t="str">
        <f>IF(Z2216="","",COUNTIF(#REF!,Z2216))</f>
        <v/>
      </c>
      <c r="AD2216" t="str">
        <f>IF(A2216="","",IF(AC2216&gt;1,"REVISAR DUPLICADO",IF(AA2216&lt;&gt;"","ACTUALIZADO POR EYR","SIN REPORTE EYR")))</f>
        <v/>
      </c>
    </row>
    <row r="2217" spans="11:30" x14ac:dyDescent="0.3">
      <c r="K2217" s="1" t="str">
        <f ca="1">IF(A2217="","",IF(OR(L2217="ENTREGADA",L2217="RETORNADA",L2217="ENTREGA DIGITAL"),0,MAX(0,5-NETWORKDAYS(H2217+1,TODAY()))))</f>
        <v/>
      </c>
      <c r="L2217" t="str">
        <f>IF(A2217="","",IFERROR(LOOKUP(2,1/(#REF!=Z2217),#REF!),Y2217))</f>
        <v/>
      </c>
      <c r="Z2217" t="str">
        <f>IF(A2217="","",TEXT(A2217,"0")&amp;"|"&amp;TEXT(H2217,"0"))</f>
        <v/>
      </c>
      <c r="AA2217" t="str">
        <f>IF(Z2217="","",IFERROR(LOOKUP(2,1/(#REF!=Z2217),#REF!),""))</f>
        <v/>
      </c>
      <c r="AB2217" t="str">
        <f>IF(Z2217="","",IFERROR(LOOKUP(2,1/(#REF!=Z2217),#REF!),""))</f>
        <v/>
      </c>
      <c r="AC2217" t="str">
        <f>IF(Z2217="","",COUNTIF(#REF!,Z2217))</f>
        <v/>
      </c>
      <c r="AD2217" t="str">
        <f>IF(A2217="","",IF(AC2217&gt;1,"REVISAR DUPLICADO",IF(AA2217&lt;&gt;"","ACTUALIZADO POR EYR","SIN REPORTE EYR")))</f>
        <v/>
      </c>
    </row>
    <row r="2218" spans="11:30" x14ac:dyDescent="0.3">
      <c r="K2218" s="1" t="str">
        <f ca="1">IF(A2218="","",IF(OR(L2218="ENTREGADA",L2218="RETORNADA",L2218="ENTREGA DIGITAL"),0,MAX(0,5-NETWORKDAYS(H2218+1,TODAY()))))</f>
        <v/>
      </c>
      <c r="L2218" t="str">
        <f>IF(A2218="","",IFERROR(LOOKUP(2,1/(#REF!=Z2218),#REF!),Y2218))</f>
        <v/>
      </c>
      <c r="Z2218" t="str">
        <f>IF(A2218="","",TEXT(A2218,"0")&amp;"|"&amp;TEXT(H2218,"0"))</f>
        <v/>
      </c>
      <c r="AA2218" t="str">
        <f>IF(Z2218="","",IFERROR(LOOKUP(2,1/(#REF!=Z2218),#REF!),""))</f>
        <v/>
      </c>
      <c r="AB2218" t="str">
        <f>IF(Z2218="","",IFERROR(LOOKUP(2,1/(#REF!=Z2218),#REF!),""))</f>
        <v/>
      </c>
      <c r="AC2218" t="str">
        <f>IF(Z2218="","",COUNTIF(#REF!,Z2218))</f>
        <v/>
      </c>
      <c r="AD2218" t="str">
        <f>IF(A2218="","",IF(AC2218&gt;1,"REVISAR DUPLICADO",IF(AA2218&lt;&gt;"","ACTUALIZADO POR EYR","SIN REPORTE EYR")))</f>
        <v/>
      </c>
    </row>
    <row r="2219" spans="11:30" x14ac:dyDescent="0.3">
      <c r="K2219" s="1" t="str">
        <f ca="1">IF(A2219="","",IF(OR(L2219="ENTREGADA",L2219="RETORNADA",L2219="ENTREGA DIGITAL"),0,MAX(0,5-NETWORKDAYS(H2219+1,TODAY()))))</f>
        <v/>
      </c>
      <c r="L2219" t="str">
        <f>IF(A2219="","",IFERROR(LOOKUP(2,1/(#REF!=Z2219),#REF!),Y2219))</f>
        <v/>
      </c>
      <c r="Z2219" t="str">
        <f>IF(A2219="","",TEXT(A2219,"0")&amp;"|"&amp;TEXT(H2219,"0"))</f>
        <v/>
      </c>
      <c r="AA2219" t="str">
        <f>IF(Z2219="","",IFERROR(LOOKUP(2,1/(#REF!=Z2219),#REF!),""))</f>
        <v/>
      </c>
      <c r="AB2219" t="str">
        <f>IF(Z2219="","",IFERROR(LOOKUP(2,1/(#REF!=Z2219),#REF!),""))</f>
        <v/>
      </c>
      <c r="AC2219" t="str">
        <f>IF(Z2219="","",COUNTIF(#REF!,Z2219))</f>
        <v/>
      </c>
      <c r="AD2219" t="str">
        <f>IF(A2219="","",IF(AC2219&gt;1,"REVISAR DUPLICADO",IF(AA2219&lt;&gt;"","ACTUALIZADO POR EYR","SIN REPORTE EYR")))</f>
        <v/>
      </c>
    </row>
    <row r="2220" spans="11:30" x14ac:dyDescent="0.3">
      <c r="K2220" s="1" t="str">
        <f ca="1">IF(A2220="","",IF(OR(L2220="ENTREGADA",L2220="RETORNADA",L2220="ENTREGA DIGITAL"),0,MAX(0,5-NETWORKDAYS(H2220+1,TODAY()))))</f>
        <v/>
      </c>
      <c r="L2220" t="str">
        <f>IF(A2220="","",IFERROR(LOOKUP(2,1/(#REF!=Z2220),#REF!),Y2220))</f>
        <v/>
      </c>
      <c r="Z2220" t="str">
        <f>IF(A2220="","",TEXT(A2220,"0")&amp;"|"&amp;TEXT(H2220,"0"))</f>
        <v/>
      </c>
      <c r="AA2220" t="str">
        <f>IF(Z2220="","",IFERROR(LOOKUP(2,1/(#REF!=Z2220),#REF!),""))</f>
        <v/>
      </c>
      <c r="AB2220" t="str">
        <f>IF(Z2220="","",IFERROR(LOOKUP(2,1/(#REF!=Z2220),#REF!),""))</f>
        <v/>
      </c>
      <c r="AC2220" t="str">
        <f>IF(Z2220="","",COUNTIF(#REF!,Z2220))</f>
        <v/>
      </c>
      <c r="AD2220" t="str">
        <f>IF(A2220="","",IF(AC2220&gt;1,"REVISAR DUPLICADO",IF(AA2220&lt;&gt;"","ACTUALIZADO POR EYR","SIN REPORTE EYR")))</f>
        <v/>
      </c>
    </row>
    <row r="2221" spans="11:30" x14ac:dyDescent="0.3">
      <c r="K2221" s="1" t="str">
        <f ca="1">IF(A2221="","",IF(OR(L2221="ENTREGADA",L2221="RETORNADA",L2221="ENTREGA DIGITAL"),0,MAX(0,5-NETWORKDAYS(H2221+1,TODAY()))))</f>
        <v/>
      </c>
      <c r="L2221" t="str">
        <f>IF(A2221="","",IFERROR(LOOKUP(2,1/(#REF!=Z2221),#REF!),Y2221))</f>
        <v/>
      </c>
      <c r="Z2221" t="str">
        <f>IF(A2221="","",TEXT(A2221,"0")&amp;"|"&amp;TEXT(H2221,"0"))</f>
        <v/>
      </c>
      <c r="AA2221" t="str">
        <f>IF(Z2221="","",IFERROR(LOOKUP(2,1/(#REF!=Z2221),#REF!),""))</f>
        <v/>
      </c>
      <c r="AB2221" t="str">
        <f>IF(Z2221="","",IFERROR(LOOKUP(2,1/(#REF!=Z2221),#REF!),""))</f>
        <v/>
      </c>
      <c r="AC2221" t="str">
        <f>IF(Z2221="","",COUNTIF(#REF!,Z2221))</f>
        <v/>
      </c>
      <c r="AD2221" t="str">
        <f>IF(A2221="","",IF(AC2221&gt;1,"REVISAR DUPLICADO",IF(AA2221&lt;&gt;"","ACTUALIZADO POR EYR","SIN REPORTE EYR")))</f>
        <v/>
      </c>
    </row>
    <row r="2222" spans="11:30" x14ac:dyDescent="0.3">
      <c r="K2222" s="1" t="str">
        <f ca="1">IF(A2222="","",IF(OR(L2222="ENTREGADA",L2222="RETORNADA",L2222="ENTREGA DIGITAL"),0,MAX(0,5-NETWORKDAYS(H2222+1,TODAY()))))</f>
        <v/>
      </c>
      <c r="L2222" t="str">
        <f>IF(A2222="","",IFERROR(LOOKUP(2,1/(#REF!=Z2222),#REF!),Y2222))</f>
        <v/>
      </c>
      <c r="Z2222" t="str">
        <f>IF(A2222="","",TEXT(A2222,"0")&amp;"|"&amp;TEXT(H2222,"0"))</f>
        <v/>
      </c>
      <c r="AA2222" t="str">
        <f>IF(Z2222="","",IFERROR(LOOKUP(2,1/(#REF!=Z2222),#REF!),""))</f>
        <v/>
      </c>
      <c r="AB2222" t="str">
        <f>IF(Z2222="","",IFERROR(LOOKUP(2,1/(#REF!=Z2222),#REF!),""))</f>
        <v/>
      </c>
      <c r="AC2222" t="str">
        <f>IF(Z2222="","",COUNTIF(#REF!,Z2222))</f>
        <v/>
      </c>
      <c r="AD2222" t="str">
        <f>IF(A2222="","",IF(AC2222&gt;1,"REVISAR DUPLICADO",IF(AA2222&lt;&gt;"","ACTUALIZADO POR EYR","SIN REPORTE EYR")))</f>
        <v/>
      </c>
    </row>
    <row r="2223" spans="11:30" x14ac:dyDescent="0.3">
      <c r="K2223" s="1" t="str">
        <f ca="1">IF(A2223="","",IF(OR(L2223="ENTREGADA",L2223="RETORNADA",L2223="ENTREGA DIGITAL"),0,MAX(0,5-NETWORKDAYS(H2223+1,TODAY()))))</f>
        <v/>
      </c>
      <c r="L2223" t="str">
        <f>IF(A2223="","",IFERROR(LOOKUP(2,1/(#REF!=Z2223),#REF!),Y2223))</f>
        <v/>
      </c>
      <c r="Z2223" t="str">
        <f>IF(A2223="","",TEXT(A2223,"0")&amp;"|"&amp;TEXT(H2223,"0"))</f>
        <v/>
      </c>
      <c r="AA2223" t="str">
        <f>IF(Z2223="","",IFERROR(LOOKUP(2,1/(#REF!=Z2223),#REF!),""))</f>
        <v/>
      </c>
      <c r="AB2223" t="str">
        <f>IF(Z2223="","",IFERROR(LOOKUP(2,1/(#REF!=Z2223),#REF!),""))</f>
        <v/>
      </c>
      <c r="AC2223" t="str">
        <f>IF(Z2223="","",COUNTIF(#REF!,Z2223))</f>
        <v/>
      </c>
      <c r="AD2223" t="str">
        <f>IF(A2223="","",IF(AC2223&gt;1,"REVISAR DUPLICADO",IF(AA2223&lt;&gt;"","ACTUALIZADO POR EYR","SIN REPORTE EYR")))</f>
        <v/>
      </c>
    </row>
    <row r="2224" spans="11:30" x14ac:dyDescent="0.3">
      <c r="K2224" s="1" t="str">
        <f ca="1">IF(A2224="","",IF(OR(L2224="ENTREGADA",L2224="RETORNADA",L2224="ENTREGA DIGITAL"),0,MAX(0,5-NETWORKDAYS(H2224+1,TODAY()))))</f>
        <v/>
      </c>
      <c r="L2224" t="str">
        <f>IF(A2224="","",IFERROR(LOOKUP(2,1/(#REF!=Z2224),#REF!),Y2224))</f>
        <v/>
      </c>
      <c r="Z2224" t="str">
        <f>IF(A2224="","",TEXT(A2224,"0")&amp;"|"&amp;TEXT(H2224,"0"))</f>
        <v/>
      </c>
      <c r="AA2224" t="str">
        <f>IF(Z2224="","",IFERROR(LOOKUP(2,1/(#REF!=Z2224),#REF!),""))</f>
        <v/>
      </c>
      <c r="AB2224" t="str">
        <f>IF(Z2224="","",IFERROR(LOOKUP(2,1/(#REF!=Z2224),#REF!),""))</f>
        <v/>
      </c>
      <c r="AC2224" t="str">
        <f>IF(Z2224="","",COUNTIF(#REF!,Z2224))</f>
        <v/>
      </c>
      <c r="AD2224" t="str">
        <f>IF(A2224="","",IF(AC2224&gt;1,"REVISAR DUPLICADO",IF(AA2224&lt;&gt;"","ACTUALIZADO POR EYR","SIN REPORTE EYR")))</f>
        <v/>
      </c>
    </row>
    <row r="2225" spans="11:30" x14ac:dyDescent="0.3">
      <c r="K2225" s="1" t="str">
        <f ca="1">IF(A2225="","",IF(OR(L2225="ENTREGADA",L2225="RETORNADA",L2225="ENTREGA DIGITAL"),0,MAX(0,5-NETWORKDAYS(H2225+1,TODAY()))))</f>
        <v/>
      </c>
      <c r="L2225" t="str">
        <f>IF(A2225="","",IFERROR(LOOKUP(2,1/(#REF!=Z2225),#REF!),Y2225))</f>
        <v/>
      </c>
      <c r="Z2225" t="str">
        <f>IF(A2225="","",TEXT(A2225,"0")&amp;"|"&amp;TEXT(H2225,"0"))</f>
        <v/>
      </c>
      <c r="AA2225" t="str">
        <f>IF(Z2225="","",IFERROR(LOOKUP(2,1/(#REF!=Z2225),#REF!),""))</f>
        <v/>
      </c>
      <c r="AB2225" t="str">
        <f>IF(Z2225="","",IFERROR(LOOKUP(2,1/(#REF!=Z2225),#REF!),""))</f>
        <v/>
      </c>
      <c r="AC2225" t="str">
        <f>IF(Z2225="","",COUNTIF(#REF!,Z2225))</f>
        <v/>
      </c>
      <c r="AD2225" t="str">
        <f>IF(A2225="","",IF(AC2225&gt;1,"REVISAR DUPLICADO",IF(AA2225&lt;&gt;"","ACTUALIZADO POR EYR","SIN REPORTE EYR")))</f>
        <v/>
      </c>
    </row>
    <row r="2226" spans="11:30" x14ac:dyDescent="0.3">
      <c r="K2226" s="1" t="str">
        <f ca="1">IF(A2226="","",IF(OR(L2226="ENTREGADA",L2226="RETORNADA",L2226="ENTREGA DIGITAL"),0,MAX(0,5-NETWORKDAYS(H2226+1,TODAY()))))</f>
        <v/>
      </c>
      <c r="L2226" t="str">
        <f>IF(A2226="","",IFERROR(LOOKUP(2,1/(#REF!=Z2226),#REF!),Y2226))</f>
        <v/>
      </c>
      <c r="Z2226" t="str">
        <f>IF(A2226="","",TEXT(A2226,"0")&amp;"|"&amp;TEXT(H2226,"0"))</f>
        <v/>
      </c>
      <c r="AA2226" t="str">
        <f>IF(Z2226="","",IFERROR(LOOKUP(2,1/(#REF!=Z2226),#REF!),""))</f>
        <v/>
      </c>
      <c r="AB2226" t="str">
        <f>IF(Z2226="","",IFERROR(LOOKUP(2,1/(#REF!=Z2226),#REF!),""))</f>
        <v/>
      </c>
      <c r="AC2226" t="str">
        <f>IF(Z2226="","",COUNTIF(#REF!,Z2226))</f>
        <v/>
      </c>
      <c r="AD2226" t="str">
        <f>IF(A2226="","",IF(AC2226&gt;1,"REVISAR DUPLICADO",IF(AA2226&lt;&gt;"","ACTUALIZADO POR EYR","SIN REPORTE EYR")))</f>
        <v/>
      </c>
    </row>
    <row r="2227" spans="11:30" x14ac:dyDescent="0.3">
      <c r="K2227" s="1" t="str">
        <f ca="1">IF(A2227="","",IF(OR(L2227="ENTREGADA",L2227="RETORNADA",L2227="ENTREGA DIGITAL"),0,MAX(0,5-NETWORKDAYS(H2227+1,TODAY()))))</f>
        <v/>
      </c>
      <c r="L2227" t="str">
        <f>IF(A2227="","",IFERROR(LOOKUP(2,1/(#REF!=Z2227),#REF!),Y2227))</f>
        <v/>
      </c>
      <c r="Z2227" t="str">
        <f>IF(A2227="","",TEXT(A2227,"0")&amp;"|"&amp;TEXT(H2227,"0"))</f>
        <v/>
      </c>
      <c r="AA2227" t="str">
        <f>IF(Z2227="","",IFERROR(LOOKUP(2,1/(#REF!=Z2227),#REF!),""))</f>
        <v/>
      </c>
      <c r="AB2227" t="str">
        <f>IF(Z2227="","",IFERROR(LOOKUP(2,1/(#REF!=Z2227),#REF!),""))</f>
        <v/>
      </c>
      <c r="AC2227" t="str">
        <f>IF(Z2227="","",COUNTIF(#REF!,Z2227))</f>
        <v/>
      </c>
      <c r="AD2227" t="str">
        <f>IF(A2227="","",IF(AC2227&gt;1,"REVISAR DUPLICADO",IF(AA2227&lt;&gt;"","ACTUALIZADO POR EYR","SIN REPORTE EYR")))</f>
        <v/>
      </c>
    </row>
    <row r="2228" spans="11:30" x14ac:dyDescent="0.3">
      <c r="K2228" s="1" t="str">
        <f ca="1">IF(A2228="","",IF(OR(L2228="ENTREGADA",L2228="RETORNADA",L2228="ENTREGA DIGITAL"),0,MAX(0,5-NETWORKDAYS(H2228+1,TODAY()))))</f>
        <v/>
      </c>
      <c r="L2228" t="str">
        <f>IF(A2228="","",IFERROR(LOOKUP(2,1/(#REF!=Z2228),#REF!),Y2228))</f>
        <v/>
      </c>
      <c r="Z2228" t="str">
        <f>IF(A2228="","",TEXT(A2228,"0")&amp;"|"&amp;TEXT(H2228,"0"))</f>
        <v/>
      </c>
      <c r="AA2228" t="str">
        <f>IF(Z2228="","",IFERROR(LOOKUP(2,1/(#REF!=Z2228),#REF!),""))</f>
        <v/>
      </c>
      <c r="AB2228" t="str">
        <f>IF(Z2228="","",IFERROR(LOOKUP(2,1/(#REF!=Z2228),#REF!),""))</f>
        <v/>
      </c>
      <c r="AC2228" t="str">
        <f>IF(Z2228="","",COUNTIF(#REF!,Z2228))</f>
        <v/>
      </c>
      <c r="AD2228" t="str">
        <f>IF(A2228="","",IF(AC2228&gt;1,"REVISAR DUPLICADO",IF(AA2228&lt;&gt;"","ACTUALIZADO POR EYR","SIN REPORTE EYR")))</f>
        <v/>
      </c>
    </row>
    <row r="2229" spans="11:30" x14ac:dyDescent="0.3">
      <c r="K2229" s="1" t="str">
        <f ca="1">IF(A2229="","",IF(OR(L2229="ENTREGADA",L2229="RETORNADA",L2229="ENTREGA DIGITAL"),0,MAX(0,5-NETWORKDAYS(H2229+1,TODAY()))))</f>
        <v/>
      </c>
      <c r="L2229" t="str">
        <f>IF(A2229="","",IFERROR(LOOKUP(2,1/(#REF!=Z2229),#REF!),Y2229))</f>
        <v/>
      </c>
      <c r="Z2229" t="str">
        <f>IF(A2229="","",TEXT(A2229,"0")&amp;"|"&amp;TEXT(H2229,"0"))</f>
        <v/>
      </c>
      <c r="AA2229" t="str">
        <f>IF(Z2229="","",IFERROR(LOOKUP(2,1/(#REF!=Z2229),#REF!),""))</f>
        <v/>
      </c>
      <c r="AB2229" t="str">
        <f>IF(Z2229="","",IFERROR(LOOKUP(2,1/(#REF!=Z2229),#REF!),""))</f>
        <v/>
      </c>
      <c r="AC2229" t="str">
        <f>IF(Z2229="","",COUNTIF(#REF!,Z2229))</f>
        <v/>
      </c>
      <c r="AD2229" t="str">
        <f>IF(A2229="","",IF(AC2229&gt;1,"REVISAR DUPLICADO",IF(AA2229&lt;&gt;"","ACTUALIZADO POR EYR","SIN REPORTE EYR")))</f>
        <v/>
      </c>
    </row>
    <row r="2230" spans="11:30" x14ac:dyDescent="0.3">
      <c r="K2230" s="1" t="str">
        <f ca="1">IF(A2230="","",IF(OR(L2230="ENTREGADA",L2230="RETORNADA",L2230="ENTREGA DIGITAL"),0,MAX(0,5-NETWORKDAYS(H2230+1,TODAY()))))</f>
        <v/>
      </c>
      <c r="L2230" t="str">
        <f>IF(A2230="","",IFERROR(LOOKUP(2,1/(#REF!=Z2230),#REF!),Y2230))</f>
        <v/>
      </c>
      <c r="Z2230" t="str">
        <f>IF(A2230="","",TEXT(A2230,"0")&amp;"|"&amp;TEXT(H2230,"0"))</f>
        <v/>
      </c>
      <c r="AA2230" t="str">
        <f>IF(Z2230="","",IFERROR(LOOKUP(2,1/(#REF!=Z2230),#REF!),""))</f>
        <v/>
      </c>
      <c r="AB2230" t="str">
        <f>IF(Z2230="","",IFERROR(LOOKUP(2,1/(#REF!=Z2230),#REF!),""))</f>
        <v/>
      </c>
      <c r="AC2230" t="str">
        <f>IF(Z2230="","",COUNTIF(#REF!,Z2230))</f>
        <v/>
      </c>
      <c r="AD2230" t="str">
        <f>IF(A2230="","",IF(AC2230&gt;1,"REVISAR DUPLICADO",IF(AA2230&lt;&gt;"","ACTUALIZADO POR EYR","SIN REPORTE EYR")))</f>
        <v/>
      </c>
    </row>
    <row r="2231" spans="11:30" x14ac:dyDescent="0.3">
      <c r="K2231" s="1" t="str">
        <f ca="1">IF(A2231="","",IF(OR(L2231="ENTREGADA",L2231="RETORNADA",L2231="ENTREGA DIGITAL"),0,MAX(0,5-NETWORKDAYS(H2231+1,TODAY()))))</f>
        <v/>
      </c>
      <c r="L2231" t="str">
        <f>IF(A2231="","",IFERROR(LOOKUP(2,1/(#REF!=Z2231),#REF!),Y2231))</f>
        <v/>
      </c>
      <c r="Z2231" t="str">
        <f>IF(A2231="","",TEXT(A2231,"0")&amp;"|"&amp;TEXT(H2231,"0"))</f>
        <v/>
      </c>
      <c r="AA2231" t="str">
        <f>IF(Z2231="","",IFERROR(LOOKUP(2,1/(#REF!=Z2231),#REF!),""))</f>
        <v/>
      </c>
      <c r="AB2231" t="str">
        <f>IF(Z2231="","",IFERROR(LOOKUP(2,1/(#REF!=Z2231),#REF!),""))</f>
        <v/>
      </c>
      <c r="AC2231" t="str">
        <f>IF(Z2231="","",COUNTIF(#REF!,Z2231))</f>
        <v/>
      </c>
      <c r="AD2231" t="str">
        <f>IF(A2231="","",IF(AC2231&gt;1,"REVISAR DUPLICADO",IF(AA2231&lt;&gt;"","ACTUALIZADO POR EYR","SIN REPORTE EYR")))</f>
        <v/>
      </c>
    </row>
    <row r="2232" spans="11:30" x14ac:dyDescent="0.3">
      <c r="K2232" s="1" t="str">
        <f ca="1">IF(A2232="","",IF(OR(L2232="ENTREGADA",L2232="RETORNADA",L2232="ENTREGA DIGITAL"),0,MAX(0,5-NETWORKDAYS(H2232+1,TODAY()))))</f>
        <v/>
      </c>
      <c r="L2232" t="str">
        <f>IF(A2232="","",IFERROR(LOOKUP(2,1/(#REF!=Z2232),#REF!),Y2232))</f>
        <v/>
      </c>
      <c r="Z2232" t="str">
        <f>IF(A2232="","",TEXT(A2232,"0")&amp;"|"&amp;TEXT(H2232,"0"))</f>
        <v/>
      </c>
      <c r="AA2232" t="str">
        <f>IF(Z2232="","",IFERROR(LOOKUP(2,1/(#REF!=Z2232),#REF!),""))</f>
        <v/>
      </c>
      <c r="AB2232" t="str">
        <f>IF(Z2232="","",IFERROR(LOOKUP(2,1/(#REF!=Z2232),#REF!),""))</f>
        <v/>
      </c>
      <c r="AC2232" t="str">
        <f>IF(Z2232="","",COUNTIF(#REF!,Z2232))</f>
        <v/>
      </c>
      <c r="AD2232" t="str">
        <f>IF(A2232="","",IF(AC2232&gt;1,"REVISAR DUPLICADO",IF(AA2232&lt;&gt;"","ACTUALIZADO POR EYR","SIN REPORTE EYR")))</f>
        <v/>
      </c>
    </row>
    <row r="2233" spans="11:30" x14ac:dyDescent="0.3">
      <c r="K2233" s="1" t="str">
        <f ca="1">IF(A2233="","",IF(OR(L2233="ENTREGADA",L2233="RETORNADA",L2233="ENTREGA DIGITAL"),0,MAX(0,5-NETWORKDAYS(H2233+1,TODAY()))))</f>
        <v/>
      </c>
      <c r="L2233" t="str">
        <f>IF(A2233="","",IFERROR(LOOKUP(2,1/(#REF!=Z2233),#REF!),Y2233))</f>
        <v/>
      </c>
      <c r="Z2233" t="str">
        <f>IF(A2233="","",TEXT(A2233,"0")&amp;"|"&amp;TEXT(H2233,"0"))</f>
        <v/>
      </c>
      <c r="AA2233" t="str">
        <f>IF(Z2233="","",IFERROR(LOOKUP(2,1/(#REF!=Z2233),#REF!),""))</f>
        <v/>
      </c>
      <c r="AB2233" t="str">
        <f>IF(Z2233="","",IFERROR(LOOKUP(2,1/(#REF!=Z2233),#REF!),""))</f>
        <v/>
      </c>
      <c r="AC2233" t="str">
        <f>IF(Z2233="","",COUNTIF(#REF!,Z2233))</f>
        <v/>
      </c>
      <c r="AD2233" t="str">
        <f>IF(A2233="","",IF(AC2233&gt;1,"REVISAR DUPLICADO",IF(AA2233&lt;&gt;"","ACTUALIZADO POR EYR","SIN REPORTE EYR")))</f>
        <v/>
      </c>
    </row>
    <row r="2234" spans="11:30" x14ac:dyDescent="0.3">
      <c r="K2234" s="1" t="str">
        <f ca="1">IF(A2234="","",IF(OR(L2234="ENTREGADA",L2234="RETORNADA",L2234="ENTREGA DIGITAL"),0,MAX(0,5-NETWORKDAYS(H2234+1,TODAY()))))</f>
        <v/>
      </c>
      <c r="L2234" t="str">
        <f>IF(A2234="","",IFERROR(LOOKUP(2,1/(#REF!=Z2234),#REF!),Y2234))</f>
        <v/>
      </c>
      <c r="Z2234" t="str">
        <f>IF(A2234="","",TEXT(A2234,"0")&amp;"|"&amp;TEXT(H2234,"0"))</f>
        <v/>
      </c>
      <c r="AA2234" t="str">
        <f>IF(Z2234="","",IFERROR(LOOKUP(2,1/(#REF!=Z2234),#REF!),""))</f>
        <v/>
      </c>
      <c r="AB2234" t="str">
        <f>IF(Z2234="","",IFERROR(LOOKUP(2,1/(#REF!=Z2234),#REF!),""))</f>
        <v/>
      </c>
      <c r="AC2234" t="str">
        <f>IF(Z2234="","",COUNTIF(#REF!,Z2234))</f>
        <v/>
      </c>
      <c r="AD2234" t="str">
        <f>IF(A2234="","",IF(AC2234&gt;1,"REVISAR DUPLICADO",IF(AA2234&lt;&gt;"","ACTUALIZADO POR EYR","SIN REPORTE EYR")))</f>
        <v/>
      </c>
    </row>
    <row r="2235" spans="11:30" x14ac:dyDescent="0.3">
      <c r="K2235" s="1" t="str">
        <f ca="1">IF(A2235="","",IF(OR(L2235="ENTREGADA",L2235="RETORNADA",L2235="ENTREGA DIGITAL"),0,MAX(0,5-NETWORKDAYS(H2235+1,TODAY()))))</f>
        <v/>
      </c>
      <c r="L2235" t="str">
        <f>IF(A2235="","",IFERROR(LOOKUP(2,1/(#REF!=Z2235),#REF!),Y2235))</f>
        <v/>
      </c>
      <c r="Z2235" t="str">
        <f>IF(A2235="","",TEXT(A2235,"0")&amp;"|"&amp;TEXT(H2235,"0"))</f>
        <v/>
      </c>
      <c r="AA2235" t="str">
        <f>IF(Z2235="","",IFERROR(LOOKUP(2,1/(#REF!=Z2235),#REF!),""))</f>
        <v/>
      </c>
      <c r="AB2235" t="str">
        <f>IF(Z2235="","",IFERROR(LOOKUP(2,1/(#REF!=Z2235),#REF!),""))</f>
        <v/>
      </c>
      <c r="AC2235" t="str">
        <f>IF(Z2235="","",COUNTIF(#REF!,Z2235))</f>
        <v/>
      </c>
      <c r="AD2235" t="str">
        <f>IF(A2235="","",IF(AC2235&gt;1,"REVISAR DUPLICADO",IF(AA2235&lt;&gt;"","ACTUALIZADO POR EYR","SIN REPORTE EYR")))</f>
        <v/>
      </c>
    </row>
    <row r="2236" spans="11:30" x14ac:dyDescent="0.3">
      <c r="K2236" s="1" t="str">
        <f ca="1">IF(A2236="","",IF(OR(L2236="ENTREGADA",L2236="RETORNADA",L2236="ENTREGA DIGITAL"),0,MAX(0,5-NETWORKDAYS(H2236+1,TODAY()))))</f>
        <v/>
      </c>
      <c r="L2236" t="str">
        <f>IF(A2236="","",IFERROR(LOOKUP(2,1/(#REF!=Z2236),#REF!),Y2236))</f>
        <v/>
      </c>
      <c r="Z2236" t="str">
        <f>IF(A2236="","",TEXT(A2236,"0")&amp;"|"&amp;TEXT(H2236,"0"))</f>
        <v/>
      </c>
      <c r="AA2236" t="str">
        <f>IF(Z2236="","",IFERROR(LOOKUP(2,1/(#REF!=Z2236),#REF!),""))</f>
        <v/>
      </c>
      <c r="AB2236" t="str">
        <f>IF(Z2236="","",IFERROR(LOOKUP(2,1/(#REF!=Z2236),#REF!),""))</f>
        <v/>
      </c>
      <c r="AC2236" t="str">
        <f>IF(Z2236="","",COUNTIF(#REF!,Z2236))</f>
        <v/>
      </c>
      <c r="AD2236" t="str">
        <f>IF(A2236="","",IF(AC2236&gt;1,"REVISAR DUPLICADO",IF(AA2236&lt;&gt;"","ACTUALIZADO POR EYR","SIN REPORTE EYR")))</f>
        <v/>
      </c>
    </row>
    <row r="2237" spans="11:30" x14ac:dyDescent="0.3">
      <c r="K2237" s="1" t="str">
        <f ca="1">IF(A2237="","",IF(OR(L2237="ENTREGADA",L2237="RETORNADA",L2237="ENTREGA DIGITAL"),0,MAX(0,5-NETWORKDAYS(H2237+1,TODAY()))))</f>
        <v/>
      </c>
      <c r="L2237" t="str">
        <f>IF(A2237="","",IFERROR(LOOKUP(2,1/(#REF!=Z2237),#REF!),Y2237))</f>
        <v/>
      </c>
      <c r="Z2237" t="str">
        <f>IF(A2237="","",TEXT(A2237,"0")&amp;"|"&amp;TEXT(H2237,"0"))</f>
        <v/>
      </c>
      <c r="AA2237" t="str">
        <f>IF(Z2237="","",IFERROR(LOOKUP(2,1/(#REF!=Z2237),#REF!),""))</f>
        <v/>
      </c>
      <c r="AB2237" t="str">
        <f>IF(Z2237="","",IFERROR(LOOKUP(2,1/(#REF!=Z2237),#REF!),""))</f>
        <v/>
      </c>
      <c r="AC2237" t="str">
        <f>IF(Z2237="","",COUNTIF(#REF!,Z2237))</f>
        <v/>
      </c>
      <c r="AD2237" t="str">
        <f>IF(A2237="","",IF(AC2237&gt;1,"REVISAR DUPLICADO",IF(AA2237&lt;&gt;"","ACTUALIZADO POR EYR","SIN REPORTE EYR")))</f>
        <v/>
      </c>
    </row>
    <row r="2238" spans="11:30" x14ac:dyDescent="0.3">
      <c r="K2238" s="1" t="str">
        <f ca="1">IF(A2238="","",IF(OR(L2238="ENTREGADA",L2238="RETORNADA",L2238="ENTREGA DIGITAL"),0,MAX(0,5-NETWORKDAYS(H2238+1,TODAY()))))</f>
        <v/>
      </c>
      <c r="L2238" t="str">
        <f>IF(A2238="","",IFERROR(LOOKUP(2,1/(#REF!=Z2238),#REF!),Y2238))</f>
        <v/>
      </c>
      <c r="Z2238" t="str">
        <f>IF(A2238="","",TEXT(A2238,"0")&amp;"|"&amp;TEXT(H2238,"0"))</f>
        <v/>
      </c>
      <c r="AA2238" t="str">
        <f>IF(Z2238="","",IFERROR(LOOKUP(2,1/(#REF!=Z2238),#REF!),""))</f>
        <v/>
      </c>
      <c r="AB2238" t="str">
        <f>IF(Z2238="","",IFERROR(LOOKUP(2,1/(#REF!=Z2238),#REF!),""))</f>
        <v/>
      </c>
      <c r="AC2238" t="str">
        <f>IF(Z2238="","",COUNTIF(#REF!,Z2238))</f>
        <v/>
      </c>
      <c r="AD2238" t="str">
        <f>IF(A2238="","",IF(AC2238&gt;1,"REVISAR DUPLICADO",IF(AA2238&lt;&gt;"","ACTUALIZADO POR EYR","SIN REPORTE EYR")))</f>
        <v/>
      </c>
    </row>
    <row r="2239" spans="11:30" x14ac:dyDescent="0.3">
      <c r="K2239" s="1" t="str">
        <f ca="1">IF(A2239="","",IF(OR(L2239="ENTREGADA",L2239="RETORNADA",L2239="ENTREGA DIGITAL"),0,MAX(0,5-NETWORKDAYS(H2239+1,TODAY()))))</f>
        <v/>
      </c>
      <c r="L2239" t="str">
        <f>IF(A2239="","",IFERROR(LOOKUP(2,1/(#REF!=Z2239),#REF!),Y2239))</f>
        <v/>
      </c>
      <c r="Z2239" t="str">
        <f>IF(A2239="","",TEXT(A2239,"0")&amp;"|"&amp;TEXT(H2239,"0"))</f>
        <v/>
      </c>
      <c r="AA2239" t="str">
        <f>IF(Z2239="","",IFERROR(LOOKUP(2,1/(#REF!=Z2239),#REF!),""))</f>
        <v/>
      </c>
      <c r="AB2239" t="str">
        <f>IF(Z2239="","",IFERROR(LOOKUP(2,1/(#REF!=Z2239),#REF!),""))</f>
        <v/>
      </c>
      <c r="AC2239" t="str">
        <f>IF(Z2239="","",COUNTIF(#REF!,Z2239))</f>
        <v/>
      </c>
      <c r="AD2239" t="str">
        <f>IF(A2239="","",IF(AC2239&gt;1,"REVISAR DUPLICADO",IF(AA2239&lt;&gt;"","ACTUALIZADO POR EYR","SIN REPORTE EYR")))</f>
        <v/>
      </c>
    </row>
    <row r="2240" spans="11:30" x14ac:dyDescent="0.3">
      <c r="K2240" s="1" t="str">
        <f ca="1">IF(A2240="","",IF(OR(L2240="ENTREGADA",L2240="RETORNADA",L2240="ENTREGA DIGITAL"),0,MAX(0,5-NETWORKDAYS(H2240+1,TODAY()))))</f>
        <v/>
      </c>
      <c r="L2240" t="str">
        <f>IF(A2240="","",IFERROR(LOOKUP(2,1/(#REF!=Z2240),#REF!),Y2240))</f>
        <v/>
      </c>
      <c r="Z2240" t="str">
        <f>IF(A2240="","",TEXT(A2240,"0")&amp;"|"&amp;TEXT(H2240,"0"))</f>
        <v/>
      </c>
      <c r="AA2240" t="str">
        <f>IF(Z2240="","",IFERROR(LOOKUP(2,1/(#REF!=Z2240),#REF!),""))</f>
        <v/>
      </c>
      <c r="AB2240" t="str">
        <f>IF(Z2240="","",IFERROR(LOOKUP(2,1/(#REF!=Z2240),#REF!),""))</f>
        <v/>
      </c>
      <c r="AC2240" t="str">
        <f>IF(Z2240="","",COUNTIF(#REF!,Z2240))</f>
        <v/>
      </c>
      <c r="AD2240" t="str">
        <f>IF(A2240="","",IF(AC2240&gt;1,"REVISAR DUPLICADO",IF(AA2240&lt;&gt;"","ACTUALIZADO POR EYR","SIN REPORTE EYR")))</f>
        <v/>
      </c>
    </row>
    <row r="2241" spans="11:30" x14ac:dyDescent="0.3">
      <c r="K2241" s="1" t="str">
        <f ca="1">IF(A2241="","",IF(OR(L2241="ENTREGADA",L2241="RETORNADA",L2241="ENTREGA DIGITAL"),0,MAX(0,5-NETWORKDAYS(H2241+1,TODAY()))))</f>
        <v/>
      </c>
      <c r="L2241" t="str">
        <f>IF(A2241="","",IFERROR(LOOKUP(2,1/(#REF!=Z2241),#REF!),Y2241))</f>
        <v/>
      </c>
      <c r="Z2241" t="str">
        <f>IF(A2241="","",TEXT(A2241,"0")&amp;"|"&amp;TEXT(H2241,"0"))</f>
        <v/>
      </c>
      <c r="AA2241" t="str">
        <f>IF(Z2241="","",IFERROR(LOOKUP(2,1/(#REF!=Z2241),#REF!),""))</f>
        <v/>
      </c>
      <c r="AB2241" t="str">
        <f>IF(Z2241="","",IFERROR(LOOKUP(2,1/(#REF!=Z2241),#REF!),""))</f>
        <v/>
      </c>
      <c r="AC2241" t="str">
        <f>IF(Z2241="","",COUNTIF(#REF!,Z2241))</f>
        <v/>
      </c>
      <c r="AD2241" t="str">
        <f>IF(A2241="","",IF(AC2241&gt;1,"REVISAR DUPLICADO",IF(AA2241&lt;&gt;"","ACTUALIZADO POR EYR","SIN REPORTE EYR")))</f>
        <v/>
      </c>
    </row>
    <row r="2242" spans="11:30" x14ac:dyDescent="0.3">
      <c r="K2242" s="1" t="str">
        <f ca="1">IF(A2242="","",IF(OR(L2242="ENTREGADA",L2242="RETORNADA",L2242="ENTREGA DIGITAL"),0,MAX(0,5-NETWORKDAYS(H2242+1,TODAY()))))</f>
        <v/>
      </c>
      <c r="L2242" t="str">
        <f>IF(A2242="","",IFERROR(LOOKUP(2,1/(#REF!=Z2242),#REF!),Y2242))</f>
        <v/>
      </c>
      <c r="Z2242" t="str">
        <f>IF(A2242="","",TEXT(A2242,"0")&amp;"|"&amp;TEXT(H2242,"0"))</f>
        <v/>
      </c>
      <c r="AA2242" t="str">
        <f>IF(Z2242="","",IFERROR(LOOKUP(2,1/(#REF!=Z2242),#REF!),""))</f>
        <v/>
      </c>
      <c r="AB2242" t="str">
        <f>IF(Z2242="","",IFERROR(LOOKUP(2,1/(#REF!=Z2242),#REF!),""))</f>
        <v/>
      </c>
      <c r="AC2242" t="str">
        <f>IF(Z2242="","",COUNTIF(#REF!,Z2242))</f>
        <v/>
      </c>
      <c r="AD2242" t="str">
        <f>IF(A2242="","",IF(AC2242&gt;1,"REVISAR DUPLICADO",IF(AA2242&lt;&gt;"","ACTUALIZADO POR EYR","SIN REPORTE EYR")))</f>
        <v/>
      </c>
    </row>
    <row r="2243" spans="11:30" x14ac:dyDescent="0.3">
      <c r="K2243" s="1" t="str">
        <f ca="1">IF(A2243="","",IF(OR(L2243="ENTREGADA",L2243="RETORNADA",L2243="ENTREGA DIGITAL"),0,MAX(0,5-NETWORKDAYS(H2243+1,TODAY()))))</f>
        <v/>
      </c>
      <c r="L2243" t="str">
        <f>IF(A2243="","",IFERROR(LOOKUP(2,1/(#REF!=Z2243),#REF!),Y2243))</f>
        <v/>
      </c>
      <c r="Z2243" t="str">
        <f>IF(A2243="","",TEXT(A2243,"0")&amp;"|"&amp;TEXT(H2243,"0"))</f>
        <v/>
      </c>
      <c r="AA2243" t="str">
        <f>IF(Z2243="","",IFERROR(LOOKUP(2,1/(#REF!=Z2243),#REF!),""))</f>
        <v/>
      </c>
      <c r="AB2243" t="str">
        <f>IF(Z2243="","",IFERROR(LOOKUP(2,1/(#REF!=Z2243),#REF!),""))</f>
        <v/>
      </c>
      <c r="AC2243" t="str">
        <f>IF(Z2243="","",COUNTIF(#REF!,Z2243))</f>
        <v/>
      </c>
      <c r="AD2243" t="str">
        <f>IF(A2243="","",IF(AC2243&gt;1,"REVISAR DUPLICADO",IF(AA2243&lt;&gt;"","ACTUALIZADO POR EYR","SIN REPORTE EYR")))</f>
        <v/>
      </c>
    </row>
    <row r="2244" spans="11:30" x14ac:dyDescent="0.3">
      <c r="K2244" s="1" t="str">
        <f ca="1">IF(A2244="","",IF(OR(L2244="ENTREGADA",L2244="RETORNADA",L2244="ENTREGA DIGITAL"),0,MAX(0,5-NETWORKDAYS(H2244+1,TODAY()))))</f>
        <v/>
      </c>
      <c r="L2244" t="str">
        <f>IF(A2244="","",IFERROR(LOOKUP(2,1/(#REF!=Z2244),#REF!),Y2244))</f>
        <v/>
      </c>
      <c r="Z2244" t="str">
        <f>IF(A2244="","",TEXT(A2244,"0")&amp;"|"&amp;TEXT(H2244,"0"))</f>
        <v/>
      </c>
      <c r="AA2244" t="str">
        <f>IF(Z2244="","",IFERROR(LOOKUP(2,1/(#REF!=Z2244),#REF!),""))</f>
        <v/>
      </c>
      <c r="AB2244" t="str">
        <f>IF(Z2244="","",IFERROR(LOOKUP(2,1/(#REF!=Z2244),#REF!),""))</f>
        <v/>
      </c>
      <c r="AC2244" t="str">
        <f>IF(Z2244="","",COUNTIF(#REF!,Z2244))</f>
        <v/>
      </c>
      <c r="AD2244" t="str">
        <f>IF(A2244="","",IF(AC2244&gt;1,"REVISAR DUPLICADO",IF(AA2244&lt;&gt;"","ACTUALIZADO POR EYR","SIN REPORTE EYR")))</f>
        <v/>
      </c>
    </row>
    <row r="2245" spans="11:30" x14ac:dyDescent="0.3">
      <c r="K2245" s="1" t="str">
        <f ca="1">IF(A2245="","",IF(OR(L2245="ENTREGADA",L2245="RETORNADA",L2245="ENTREGA DIGITAL"),0,MAX(0,5-NETWORKDAYS(H2245+1,TODAY()))))</f>
        <v/>
      </c>
      <c r="L2245" t="str">
        <f>IF(A2245="","",IFERROR(LOOKUP(2,1/(#REF!=Z2245),#REF!),Y2245))</f>
        <v/>
      </c>
      <c r="Z2245" t="str">
        <f>IF(A2245="","",TEXT(A2245,"0")&amp;"|"&amp;TEXT(H2245,"0"))</f>
        <v/>
      </c>
      <c r="AA2245" t="str">
        <f>IF(Z2245="","",IFERROR(LOOKUP(2,1/(#REF!=Z2245),#REF!),""))</f>
        <v/>
      </c>
      <c r="AB2245" t="str">
        <f>IF(Z2245="","",IFERROR(LOOKUP(2,1/(#REF!=Z2245),#REF!),""))</f>
        <v/>
      </c>
      <c r="AC2245" t="str">
        <f>IF(Z2245="","",COUNTIF(#REF!,Z2245))</f>
        <v/>
      </c>
      <c r="AD2245" t="str">
        <f>IF(A2245="","",IF(AC2245&gt;1,"REVISAR DUPLICADO",IF(AA2245&lt;&gt;"","ACTUALIZADO POR EYR","SIN REPORTE EYR")))</f>
        <v/>
      </c>
    </row>
    <row r="2246" spans="11:30" x14ac:dyDescent="0.3">
      <c r="K2246" s="1" t="str">
        <f ca="1">IF(A2246="","",IF(OR(L2246="ENTREGADA",L2246="RETORNADA",L2246="ENTREGA DIGITAL"),0,MAX(0,5-NETWORKDAYS(H2246+1,TODAY()))))</f>
        <v/>
      </c>
      <c r="L2246" t="str">
        <f>IF(A2246="","",IFERROR(LOOKUP(2,1/(#REF!=Z2246),#REF!),Y2246))</f>
        <v/>
      </c>
      <c r="Z2246" t="str">
        <f>IF(A2246="","",TEXT(A2246,"0")&amp;"|"&amp;TEXT(H2246,"0"))</f>
        <v/>
      </c>
      <c r="AA2246" t="str">
        <f>IF(Z2246="","",IFERROR(LOOKUP(2,1/(#REF!=Z2246),#REF!),""))</f>
        <v/>
      </c>
      <c r="AB2246" t="str">
        <f>IF(Z2246="","",IFERROR(LOOKUP(2,1/(#REF!=Z2246),#REF!),""))</f>
        <v/>
      </c>
      <c r="AC2246" t="str">
        <f>IF(Z2246="","",COUNTIF(#REF!,Z2246))</f>
        <v/>
      </c>
      <c r="AD2246" t="str">
        <f>IF(A2246="","",IF(AC2246&gt;1,"REVISAR DUPLICADO",IF(AA2246&lt;&gt;"","ACTUALIZADO POR EYR","SIN REPORTE EYR")))</f>
        <v/>
      </c>
    </row>
    <row r="2247" spans="11:30" x14ac:dyDescent="0.3">
      <c r="K2247" s="1" t="str">
        <f ca="1">IF(A2247="","",IF(OR(L2247="ENTREGADA",L2247="RETORNADA",L2247="ENTREGA DIGITAL"),0,MAX(0,5-NETWORKDAYS(H2247+1,TODAY()))))</f>
        <v/>
      </c>
      <c r="L2247" t="str">
        <f>IF(A2247="","",IFERROR(LOOKUP(2,1/(#REF!=Z2247),#REF!),Y2247))</f>
        <v/>
      </c>
      <c r="Z2247" t="str">
        <f>IF(A2247="","",TEXT(A2247,"0")&amp;"|"&amp;TEXT(H2247,"0"))</f>
        <v/>
      </c>
      <c r="AA2247" t="str">
        <f>IF(Z2247="","",IFERROR(LOOKUP(2,1/(#REF!=Z2247),#REF!),""))</f>
        <v/>
      </c>
      <c r="AB2247" t="str">
        <f>IF(Z2247="","",IFERROR(LOOKUP(2,1/(#REF!=Z2247),#REF!),""))</f>
        <v/>
      </c>
      <c r="AC2247" t="str">
        <f>IF(Z2247="","",COUNTIF(#REF!,Z2247))</f>
        <v/>
      </c>
      <c r="AD2247" t="str">
        <f>IF(A2247="","",IF(AC2247&gt;1,"REVISAR DUPLICADO",IF(AA2247&lt;&gt;"","ACTUALIZADO POR EYR","SIN REPORTE EYR")))</f>
        <v/>
      </c>
    </row>
    <row r="2248" spans="11:30" x14ac:dyDescent="0.3">
      <c r="K2248" s="1" t="str">
        <f ca="1">IF(A2248="","",IF(OR(L2248="ENTREGADA",L2248="RETORNADA",L2248="ENTREGA DIGITAL"),0,MAX(0,5-NETWORKDAYS(H2248+1,TODAY()))))</f>
        <v/>
      </c>
      <c r="L2248" t="str">
        <f>IF(A2248="","",IFERROR(LOOKUP(2,1/(#REF!=Z2248),#REF!),Y2248))</f>
        <v/>
      </c>
      <c r="Z2248" t="str">
        <f>IF(A2248="","",TEXT(A2248,"0")&amp;"|"&amp;TEXT(H2248,"0"))</f>
        <v/>
      </c>
      <c r="AA2248" t="str">
        <f>IF(Z2248="","",IFERROR(LOOKUP(2,1/(#REF!=Z2248),#REF!),""))</f>
        <v/>
      </c>
      <c r="AB2248" t="str">
        <f>IF(Z2248="","",IFERROR(LOOKUP(2,1/(#REF!=Z2248),#REF!),""))</f>
        <v/>
      </c>
      <c r="AC2248" t="str">
        <f>IF(Z2248="","",COUNTIF(#REF!,Z2248))</f>
        <v/>
      </c>
      <c r="AD2248" t="str">
        <f>IF(A2248="","",IF(AC2248&gt;1,"REVISAR DUPLICADO",IF(AA2248&lt;&gt;"","ACTUALIZADO POR EYR","SIN REPORTE EYR")))</f>
        <v/>
      </c>
    </row>
    <row r="2249" spans="11:30" x14ac:dyDescent="0.3">
      <c r="K2249" s="1" t="str">
        <f ca="1">IF(A2249="","",IF(OR(L2249="ENTREGADA",L2249="RETORNADA",L2249="ENTREGA DIGITAL"),0,MAX(0,5-NETWORKDAYS(H2249+1,TODAY()))))</f>
        <v/>
      </c>
      <c r="L2249" t="str">
        <f>IF(A2249="","",IFERROR(LOOKUP(2,1/(#REF!=Z2249),#REF!),Y2249))</f>
        <v/>
      </c>
      <c r="Z2249" t="str">
        <f>IF(A2249="","",TEXT(A2249,"0")&amp;"|"&amp;TEXT(H2249,"0"))</f>
        <v/>
      </c>
      <c r="AA2249" t="str">
        <f>IF(Z2249="","",IFERROR(LOOKUP(2,1/(#REF!=Z2249),#REF!),""))</f>
        <v/>
      </c>
      <c r="AB2249" t="str">
        <f>IF(Z2249="","",IFERROR(LOOKUP(2,1/(#REF!=Z2249),#REF!),""))</f>
        <v/>
      </c>
      <c r="AC2249" t="str">
        <f>IF(Z2249="","",COUNTIF(#REF!,Z2249))</f>
        <v/>
      </c>
      <c r="AD2249" t="str">
        <f>IF(A2249="","",IF(AC2249&gt;1,"REVISAR DUPLICADO",IF(AA2249&lt;&gt;"","ACTUALIZADO POR EYR","SIN REPORTE EYR")))</f>
        <v/>
      </c>
    </row>
    <row r="2250" spans="11:30" x14ac:dyDescent="0.3">
      <c r="K2250" s="1" t="str">
        <f ca="1">IF(A2250="","",IF(OR(L2250="ENTREGADA",L2250="RETORNADA",L2250="ENTREGA DIGITAL"),0,MAX(0,5-NETWORKDAYS(H2250+1,TODAY()))))</f>
        <v/>
      </c>
      <c r="L2250" t="str">
        <f>IF(A2250="","",IFERROR(LOOKUP(2,1/(#REF!=Z2250),#REF!),Y2250))</f>
        <v/>
      </c>
      <c r="Z2250" t="str">
        <f>IF(A2250="","",TEXT(A2250,"0")&amp;"|"&amp;TEXT(H2250,"0"))</f>
        <v/>
      </c>
      <c r="AA2250" t="str">
        <f>IF(Z2250="","",IFERROR(LOOKUP(2,1/(#REF!=Z2250),#REF!),""))</f>
        <v/>
      </c>
      <c r="AB2250" t="str">
        <f>IF(Z2250="","",IFERROR(LOOKUP(2,1/(#REF!=Z2250),#REF!),""))</f>
        <v/>
      </c>
      <c r="AC2250" t="str">
        <f>IF(Z2250="","",COUNTIF(#REF!,Z2250))</f>
        <v/>
      </c>
      <c r="AD2250" t="str">
        <f>IF(A2250="","",IF(AC2250&gt;1,"REVISAR DUPLICADO",IF(AA2250&lt;&gt;"","ACTUALIZADO POR EYR","SIN REPORTE EYR")))</f>
        <v/>
      </c>
    </row>
    <row r="2251" spans="11:30" x14ac:dyDescent="0.3">
      <c r="K2251" s="1" t="str">
        <f ca="1">IF(A2251="","",IF(OR(L2251="ENTREGADA",L2251="RETORNADA",L2251="ENTREGA DIGITAL"),0,MAX(0,5-NETWORKDAYS(H2251+1,TODAY()))))</f>
        <v/>
      </c>
      <c r="L2251" t="str">
        <f>IF(A2251="","",IFERROR(LOOKUP(2,1/(#REF!=Z2251),#REF!),Y2251))</f>
        <v/>
      </c>
      <c r="Z2251" t="str">
        <f>IF(A2251="","",TEXT(A2251,"0")&amp;"|"&amp;TEXT(H2251,"0"))</f>
        <v/>
      </c>
      <c r="AA2251" t="str">
        <f>IF(Z2251="","",IFERROR(LOOKUP(2,1/(#REF!=Z2251),#REF!),""))</f>
        <v/>
      </c>
      <c r="AB2251" t="str">
        <f>IF(Z2251="","",IFERROR(LOOKUP(2,1/(#REF!=Z2251),#REF!),""))</f>
        <v/>
      </c>
      <c r="AC2251" t="str">
        <f>IF(Z2251="","",COUNTIF(#REF!,Z2251))</f>
        <v/>
      </c>
      <c r="AD2251" t="str">
        <f>IF(A2251="","",IF(AC2251&gt;1,"REVISAR DUPLICADO",IF(AA2251&lt;&gt;"","ACTUALIZADO POR EYR","SIN REPORTE EYR")))</f>
        <v/>
      </c>
    </row>
    <row r="2252" spans="11:30" x14ac:dyDescent="0.3">
      <c r="K2252" s="1" t="str">
        <f ca="1">IF(A2252="","",IF(OR(L2252="ENTREGADA",L2252="RETORNADA",L2252="ENTREGA DIGITAL"),0,MAX(0,5-NETWORKDAYS(H2252+1,TODAY()))))</f>
        <v/>
      </c>
      <c r="L2252" t="str">
        <f>IF(A2252="","",IFERROR(LOOKUP(2,1/(#REF!=Z2252),#REF!),Y2252))</f>
        <v/>
      </c>
      <c r="Z2252" t="str">
        <f>IF(A2252="","",TEXT(A2252,"0")&amp;"|"&amp;TEXT(H2252,"0"))</f>
        <v/>
      </c>
      <c r="AA2252" t="str">
        <f>IF(Z2252="","",IFERROR(LOOKUP(2,1/(#REF!=Z2252),#REF!),""))</f>
        <v/>
      </c>
      <c r="AB2252" t="str">
        <f>IF(Z2252="","",IFERROR(LOOKUP(2,1/(#REF!=Z2252),#REF!),""))</f>
        <v/>
      </c>
      <c r="AC2252" t="str">
        <f>IF(Z2252="","",COUNTIF(#REF!,Z2252))</f>
        <v/>
      </c>
      <c r="AD2252" t="str">
        <f>IF(A2252="","",IF(AC2252&gt;1,"REVISAR DUPLICADO",IF(AA2252&lt;&gt;"","ACTUALIZADO POR EYR","SIN REPORTE EYR")))</f>
        <v/>
      </c>
    </row>
    <row r="2253" spans="11:30" x14ac:dyDescent="0.3">
      <c r="K2253" s="1" t="str">
        <f ca="1">IF(A2253="","",IF(OR(L2253="ENTREGADA",L2253="RETORNADA",L2253="ENTREGA DIGITAL"),0,MAX(0,5-NETWORKDAYS(H2253+1,TODAY()))))</f>
        <v/>
      </c>
      <c r="L2253" t="str">
        <f>IF(A2253="","",IFERROR(LOOKUP(2,1/(#REF!=Z2253),#REF!),Y2253))</f>
        <v/>
      </c>
      <c r="Z2253" t="str">
        <f>IF(A2253="","",TEXT(A2253,"0")&amp;"|"&amp;TEXT(H2253,"0"))</f>
        <v/>
      </c>
      <c r="AA2253" t="str">
        <f>IF(Z2253="","",IFERROR(LOOKUP(2,1/(#REF!=Z2253),#REF!),""))</f>
        <v/>
      </c>
      <c r="AB2253" t="str">
        <f>IF(Z2253="","",IFERROR(LOOKUP(2,1/(#REF!=Z2253),#REF!),""))</f>
        <v/>
      </c>
      <c r="AC2253" t="str">
        <f>IF(Z2253="","",COUNTIF(#REF!,Z2253))</f>
        <v/>
      </c>
      <c r="AD2253" t="str">
        <f>IF(A2253="","",IF(AC2253&gt;1,"REVISAR DUPLICADO",IF(AA2253&lt;&gt;"","ACTUALIZADO POR EYR","SIN REPORTE EYR")))</f>
        <v/>
      </c>
    </row>
    <row r="2254" spans="11:30" x14ac:dyDescent="0.3">
      <c r="K2254" s="1" t="str">
        <f ca="1">IF(A2254="","",IF(OR(L2254="ENTREGADA",L2254="RETORNADA",L2254="ENTREGA DIGITAL"),0,MAX(0,5-NETWORKDAYS(H2254+1,TODAY()))))</f>
        <v/>
      </c>
      <c r="L2254" t="str">
        <f>IF(A2254="","",IFERROR(LOOKUP(2,1/(#REF!=Z2254),#REF!),Y2254))</f>
        <v/>
      </c>
      <c r="Z2254" t="str">
        <f>IF(A2254="","",TEXT(A2254,"0")&amp;"|"&amp;TEXT(H2254,"0"))</f>
        <v/>
      </c>
      <c r="AA2254" t="str">
        <f>IF(Z2254="","",IFERROR(LOOKUP(2,1/(#REF!=Z2254),#REF!),""))</f>
        <v/>
      </c>
      <c r="AB2254" t="str">
        <f>IF(Z2254="","",IFERROR(LOOKUP(2,1/(#REF!=Z2254),#REF!),""))</f>
        <v/>
      </c>
      <c r="AC2254" t="str">
        <f>IF(Z2254="","",COUNTIF(#REF!,Z2254))</f>
        <v/>
      </c>
      <c r="AD2254" t="str">
        <f>IF(A2254="","",IF(AC2254&gt;1,"REVISAR DUPLICADO",IF(AA2254&lt;&gt;"","ACTUALIZADO POR EYR","SIN REPORTE EYR")))</f>
        <v/>
      </c>
    </row>
    <row r="2255" spans="11:30" x14ac:dyDescent="0.3">
      <c r="K2255" s="1" t="str">
        <f ca="1">IF(A2255="","",IF(OR(L2255="ENTREGADA",L2255="RETORNADA",L2255="ENTREGA DIGITAL"),0,MAX(0,5-NETWORKDAYS(H2255+1,TODAY()))))</f>
        <v/>
      </c>
      <c r="L2255" t="str">
        <f>IF(A2255="","",IFERROR(LOOKUP(2,1/(#REF!=Z2255),#REF!),Y2255))</f>
        <v/>
      </c>
      <c r="Z2255" t="str">
        <f>IF(A2255="","",TEXT(A2255,"0")&amp;"|"&amp;TEXT(H2255,"0"))</f>
        <v/>
      </c>
      <c r="AA2255" t="str">
        <f>IF(Z2255="","",IFERROR(LOOKUP(2,1/(#REF!=Z2255),#REF!),""))</f>
        <v/>
      </c>
      <c r="AB2255" t="str">
        <f>IF(Z2255="","",IFERROR(LOOKUP(2,1/(#REF!=Z2255),#REF!),""))</f>
        <v/>
      </c>
      <c r="AC2255" t="str">
        <f>IF(Z2255="","",COUNTIF(#REF!,Z2255))</f>
        <v/>
      </c>
      <c r="AD2255" t="str">
        <f>IF(A2255="","",IF(AC2255&gt;1,"REVISAR DUPLICADO",IF(AA2255&lt;&gt;"","ACTUALIZADO POR EYR","SIN REPORTE EYR")))</f>
        <v/>
      </c>
    </row>
    <row r="2256" spans="11:30" x14ac:dyDescent="0.3">
      <c r="K2256" s="1" t="str">
        <f ca="1">IF(A2256="","",IF(OR(L2256="ENTREGADA",L2256="RETORNADA",L2256="ENTREGA DIGITAL"),0,MAX(0,5-NETWORKDAYS(H2256+1,TODAY()))))</f>
        <v/>
      </c>
      <c r="L2256" t="str">
        <f>IF(A2256="","",IFERROR(LOOKUP(2,1/(#REF!=Z2256),#REF!),Y2256))</f>
        <v/>
      </c>
      <c r="Z2256" t="str">
        <f>IF(A2256="","",TEXT(A2256,"0")&amp;"|"&amp;TEXT(H2256,"0"))</f>
        <v/>
      </c>
      <c r="AA2256" t="str">
        <f>IF(Z2256="","",IFERROR(LOOKUP(2,1/(#REF!=Z2256),#REF!),""))</f>
        <v/>
      </c>
      <c r="AB2256" t="str">
        <f>IF(Z2256="","",IFERROR(LOOKUP(2,1/(#REF!=Z2256),#REF!),""))</f>
        <v/>
      </c>
      <c r="AC2256" t="str">
        <f>IF(Z2256="","",COUNTIF(#REF!,Z2256))</f>
        <v/>
      </c>
      <c r="AD2256" t="str">
        <f>IF(A2256="","",IF(AC2256&gt;1,"REVISAR DUPLICADO",IF(AA2256&lt;&gt;"","ACTUALIZADO POR EYR","SIN REPORTE EYR")))</f>
        <v/>
      </c>
    </row>
    <row r="2257" spans="11:30" x14ac:dyDescent="0.3">
      <c r="K2257" s="1" t="str">
        <f ca="1">IF(A2257="","",IF(OR(L2257="ENTREGADA",L2257="RETORNADA",L2257="ENTREGA DIGITAL"),0,MAX(0,5-NETWORKDAYS(H2257+1,TODAY()))))</f>
        <v/>
      </c>
      <c r="L2257" t="str">
        <f>IF(A2257="","",IFERROR(LOOKUP(2,1/(#REF!=Z2257),#REF!),Y2257))</f>
        <v/>
      </c>
      <c r="Z2257" t="str">
        <f>IF(A2257="","",TEXT(A2257,"0")&amp;"|"&amp;TEXT(H2257,"0"))</f>
        <v/>
      </c>
      <c r="AA2257" t="str">
        <f>IF(Z2257="","",IFERROR(LOOKUP(2,1/(#REF!=Z2257),#REF!),""))</f>
        <v/>
      </c>
      <c r="AB2257" t="str">
        <f>IF(Z2257="","",IFERROR(LOOKUP(2,1/(#REF!=Z2257),#REF!),""))</f>
        <v/>
      </c>
      <c r="AC2257" t="str">
        <f>IF(Z2257="","",COUNTIF(#REF!,Z2257))</f>
        <v/>
      </c>
      <c r="AD2257" t="str">
        <f>IF(A2257="","",IF(AC2257&gt;1,"REVISAR DUPLICADO",IF(AA2257&lt;&gt;"","ACTUALIZADO POR EYR","SIN REPORTE EYR")))</f>
        <v/>
      </c>
    </row>
    <row r="2258" spans="11:30" x14ac:dyDescent="0.3">
      <c r="K2258" s="1" t="str">
        <f ca="1">IF(A2258="","",IF(OR(L2258="ENTREGADA",L2258="RETORNADA",L2258="ENTREGA DIGITAL"),0,MAX(0,5-NETWORKDAYS(H2258+1,TODAY()))))</f>
        <v/>
      </c>
      <c r="L2258" t="str">
        <f>IF(A2258="","",IFERROR(LOOKUP(2,1/(#REF!=Z2258),#REF!),Y2258))</f>
        <v/>
      </c>
      <c r="Z2258" t="str">
        <f>IF(A2258="","",TEXT(A2258,"0")&amp;"|"&amp;TEXT(H2258,"0"))</f>
        <v/>
      </c>
      <c r="AA2258" t="str">
        <f>IF(Z2258="","",IFERROR(LOOKUP(2,1/(#REF!=Z2258),#REF!),""))</f>
        <v/>
      </c>
      <c r="AB2258" t="str">
        <f>IF(Z2258="","",IFERROR(LOOKUP(2,1/(#REF!=Z2258),#REF!),""))</f>
        <v/>
      </c>
      <c r="AC2258" t="str">
        <f>IF(Z2258="","",COUNTIF(#REF!,Z2258))</f>
        <v/>
      </c>
      <c r="AD2258" t="str">
        <f>IF(A2258="","",IF(AC2258&gt;1,"REVISAR DUPLICADO",IF(AA2258&lt;&gt;"","ACTUALIZADO POR EYR","SIN REPORTE EYR")))</f>
        <v/>
      </c>
    </row>
    <row r="2259" spans="11:30" x14ac:dyDescent="0.3">
      <c r="K2259" s="1" t="str">
        <f ca="1">IF(A2259="","",IF(OR(L2259="ENTREGADA",L2259="RETORNADA",L2259="ENTREGA DIGITAL"),0,MAX(0,5-NETWORKDAYS(H2259+1,TODAY()))))</f>
        <v/>
      </c>
      <c r="L2259" t="str">
        <f>IF(A2259="","",IFERROR(LOOKUP(2,1/(#REF!=Z2259),#REF!),Y2259))</f>
        <v/>
      </c>
      <c r="Z2259" t="str">
        <f>IF(A2259="","",TEXT(A2259,"0")&amp;"|"&amp;TEXT(H2259,"0"))</f>
        <v/>
      </c>
      <c r="AA2259" t="str">
        <f>IF(Z2259="","",IFERROR(LOOKUP(2,1/(#REF!=Z2259),#REF!),""))</f>
        <v/>
      </c>
      <c r="AB2259" t="str">
        <f>IF(Z2259="","",IFERROR(LOOKUP(2,1/(#REF!=Z2259),#REF!),""))</f>
        <v/>
      </c>
      <c r="AC2259" t="str">
        <f>IF(Z2259="","",COUNTIF(#REF!,Z2259))</f>
        <v/>
      </c>
      <c r="AD2259" t="str">
        <f>IF(A2259="","",IF(AC2259&gt;1,"REVISAR DUPLICADO",IF(AA2259&lt;&gt;"","ACTUALIZADO POR EYR","SIN REPORTE EYR")))</f>
        <v/>
      </c>
    </row>
    <row r="2260" spans="11:30" x14ac:dyDescent="0.3">
      <c r="K2260" s="1" t="str">
        <f ca="1">IF(A2260="","",IF(OR(L2260="ENTREGADA",L2260="RETORNADA",L2260="ENTREGA DIGITAL"),0,MAX(0,5-NETWORKDAYS(H2260+1,TODAY()))))</f>
        <v/>
      </c>
      <c r="L2260" t="str">
        <f>IF(A2260="","",IFERROR(LOOKUP(2,1/(#REF!=Z2260),#REF!),Y2260))</f>
        <v/>
      </c>
      <c r="Z2260" t="str">
        <f>IF(A2260="","",TEXT(A2260,"0")&amp;"|"&amp;TEXT(H2260,"0"))</f>
        <v/>
      </c>
      <c r="AA2260" t="str">
        <f>IF(Z2260="","",IFERROR(LOOKUP(2,1/(#REF!=Z2260),#REF!),""))</f>
        <v/>
      </c>
      <c r="AB2260" t="str">
        <f>IF(Z2260="","",IFERROR(LOOKUP(2,1/(#REF!=Z2260),#REF!),""))</f>
        <v/>
      </c>
      <c r="AC2260" t="str">
        <f>IF(Z2260="","",COUNTIF(#REF!,Z2260))</f>
        <v/>
      </c>
      <c r="AD2260" t="str">
        <f>IF(A2260="","",IF(AC2260&gt;1,"REVISAR DUPLICADO",IF(AA2260&lt;&gt;"","ACTUALIZADO POR EYR","SIN REPORTE EYR")))</f>
        <v/>
      </c>
    </row>
    <row r="2261" spans="11:30" x14ac:dyDescent="0.3">
      <c r="K2261" s="1" t="str">
        <f ca="1">IF(A2261="","",IF(OR(L2261="ENTREGADA",L2261="RETORNADA",L2261="ENTREGA DIGITAL"),0,MAX(0,5-NETWORKDAYS(H2261+1,TODAY()))))</f>
        <v/>
      </c>
      <c r="L2261" t="str">
        <f>IF(A2261="","",IFERROR(LOOKUP(2,1/(#REF!=Z2261),#REF!),Y2261))</f>
        <v/>
      </c>
      <c r="Z2261" t="str">
        <f>IF(A2261="","",TEXT(A2261,"0")&amp;"|"&amp;TEXT(H2261,"0"))</f>
        <v/>
      </c>
      <c r="AA2261" t="str">
        <f>IF(Z2261="","",IFERROR(LOOKUP(2,1/(#REF!=Z2261),#REF!),""))</f>
        <v/>
      </c>
      <c r="AB2261" t="str">
        <f>IF(Z2261="","",IFERROR(LOOKUP(2,1/(#REF!=Z2261),#REF!),""))</f>
        <v/>
      </c>
      <c r="AC2261" t="str">
        <f>IF(Z2261="","",COUNTIF(#REF!,Z2261))</f>
        <v/>
      </c>
      <c r="AD2261" t="str">
        <f>IF(A2261="","",IF(AC2261&gt;1,"REVISAR DUPLICADO",IF(AA2261&lt;&gt;"","ACTUALIZADO POR EYR","SIN REPORTE EYR")))</f>
        <v/>
      </c>
    </row>
    <row r="2262" spans="11:30" x14ac:dyDescent="0.3">
      <c r="K2262" s="1" t="str">
        <f ca="1">IF(A2262="","",IF(OR(L2262="ENTREGADA",L2262="RETORNADA",L2262="ENTREGA DIGITAL"),0,MAX(0,5-NETWORKDAYS(H2262+1,TODAY()))))</f>
        <v/>
      </c>
      <c r="L2262" t="str">
        <f>IF(A2262="","",IFERROR(LOOKUP(2,1/(#REF!=Z2262),#REF!),Y2262))</f>
        <v/>
      </c>
      <c r="Z2262" t="str">
        <f>IF(A2262="","",TEXT(A2262,"0")&amp;"|"&amp;TEXT(H2262,"0"))</f>
        <v/>
      </c>
      <c r="AA2262" t="str">
        <f>IF(Z2262="","",IFERROR(LOOKUP(2,1/(#REF!=Z2262),#REF!),""))</f>
        <v/>
      </c>
      <c r="AB2262" t="str">
        <f>IF(Z2262="","",IFERROR(LOOKUP(2,1/(#REF!=Z2262),#REF!),""))</f>
        <v/>
      </c>
      <c r="AC2262" t="str">
        <f>IF(Z2262="","",COUNTIF(#REF!,Z2262))</f>
        <v/>
      </c>
      <c r="AD2262" t="str">
        <f>IF(A2262="","",IF(AC2262&gt;1,"REVISAR DUPLICADO",IF(AA2262&lt;&gt;"","ACTUALIZADO POR EYR","SIN REPORTE EYR")))</f>
        <v/>
      </c>
    </row>
    <row r="2263" spans="11:30" x14ac:dyDescent="0.3">
      <c r="K2263" s="1" t="str">
        <f ca="1">IF(A2263="","",IF(OR(L2263="ENTREGADA",L2263="RETORNADA",L2263="ENTREGA DIGITAL"),0,MAX(0,5-NETWORKDAYS(H2263+1,TODAY()))))</f>
        <v/>
      </c>
      <c r="L2263" t="str">
        <f>IF(A2263="","",IFERROR(LOOKUP(2,1/(#REF!=Z2263),#REF!),Y2263))</f>
        <v/>
      </c>
      <c r="Z2263" t="str">
        <f>IF(A2263="","",TEXT(A2263,"0")&amp;"|"&amp;TEXT(H2263,"0"))</f>
        <v/>
      </c>
      <c r="AA2263" t="str">
        <f>IF(Z2263="","",IFERROR(LOOKUP(2,1/(#REF!=Z2263),#REF!),""))</f>
        <v/>
      </c>
      <c r="AB2263" t="str">
        <f>IF(Z2263="","",IFERROR(LOOKUP(2,1/(#REF!=Z2263),#REF!),""))</f>
        <v/>
      </c>
      <c r="AC2263" t="str">
        <f>IF(Z2263="","",COUNTIF(#REF!,Z2263))</f>
        <v/>
      </c>
      <c r="AD2263" t="str">
        <f>IF(A2263="","",IF(AC2263&gt;1,"REVISAR DUPLICADO",IF(AA2263&lt;&gt;"","ACTUALIZADO POR EYR","SIN REPORTE EYR")))</f>
        <v/>
      </c>
    </row>
    <row r="2264" spans="11:30" x14ac:dyDescent="0.3">
      <c r="K2264" s="1" t="str">
        <f ca="1">IF(A2264="","",IF(OR(L2264="ENTREGADA",L2264="RETORNADA",L2264="ENTREGA DIGITAL"),0,MAX(0,5-NETWORKDAYS(H2264+1,TODAY()))))</f>
        <v/>
      </c>
      <c r="L2264" t="str">
        <f>IF(A2264="","",IFERROR(LOOKUP(2,1/(#REF!=Z2264),#REF!),Y2264))</f>
        <v/>
      </c>
      <c r="Z2264" t="str">
        <f>IF(A2264="","",TEXT(A2264,"0")&amp;"|"&amp;TEXT(H2264,"0"))</f>
        <v/>
      </c>
      <c r="AA2264" t="str">
        <f>IF(Z2264="","",IFERROR(LOOKUP(2,1/(#REF!=Z2264),#REF!),""))</f>
        <v/>
      </c>
      <c r="AB2264" t="str">
        <f>IF(Z2264="","",IFERROR(LOOKUP(2,1/(#REF!=Z2264),#REF!),""))</f>
        <v/>
      </c>
      <c r="AC2264" t="str">
        <f>IF(Z2264="","",COUNTIF(#REF!,Z2264))</f>
        <v/>
      </c>
      <c r="AD2264" t="str">
        <f>IF(A2264="","",IF(AC2264&gt;1,"REVISAR DUPLICADO",IF(AA2264&lt;&gt;"","ACTUALIZADO POR EYR","SIN REPORTE EYR")))</f>
        <v/>
      </c>
    </row>
    <row r="2265" spans="11:30" x14ac:dyDescent="0.3">
      <c r="K2265" s="1" t="str">
        <f ca="1">IF(A2265="","",IF(OR(L2265="ENTREGADA",L2265="RETORNADA",L2265="ENTREGA DIGITAL"),0,MAX(0,5-NETWORKDAYS(H2265+1,TODAY()))))</f>
        <v/>
      </c>
      <c r="L2265" t="str">
        <f>IF(A2265="","",IFERROR(LOOKUP(2,1/(#REF!=Z2265),#REF!),Y2265))</f>
        <v/>
      </c>
      <c r="Z2265" t="str">
        <f>IF(A2265="","",TEXT(A2265,"0")&amp;"|"&amp;TEXT(H2265,"0"))</f>
        <v/>
      </c>
      <c r="AA2265" t="str">
        <f>IF(Z2265="","",IFERROR(LOOKUP(2,1/(#REF!=Z2265),#REF!),""))</f>
        <v/>
      </c>
      <c r="AB2265" t="str">
        <f>IF(Z2265="","",IFERROR(LOOKUP(2,1/(#REF!=Z2265),#REF!),""))</f>
        <v/>
      </c>
      <c r="AC2265" t="str">
        <f>IF(Z2265="","",COUNTIF(#REF!,Z2265))</f>
        <v/>
      </c>
      <c r="AD2265" t="str">
        <f>IF(A2265="","",IF(AC2265&gt;1,"REVISAR DUPLICADO",IF(AA2265&lt;&gt;"","ACTUALIZADO POR EYR","SIN REPORTE EYR")))</f>
        <v/>
      </c>
    </row>
    <row r="2266" spans="11:30" x14ac:dyDescent="0.3">
      <c r="K2266" s="1" t="str">
        <f ca="1">IF(A2266="","",IF(OR(L2266="ENTREGADA",L2266="RETORNADA",L2266="ENTREGA DIGITAL"),0,MAX(0,5-NETWORKDAYS(H2266+1,TODAY()))))</f>
        <v/>
      </c>
      <c r="L2266" t="str">
        <f>IF(A2266="","",IFERROR(LOOKUP(2,1/(#REF!=Z2266),#REF!),Y2266))</f>
        <v/>
      </c>
      <c r="Z2266" t="str">
        <f>IF(A2266="","",TEXT(A2266,"0")&amp;"|"&amp;TEXT(H2266,"0"))</f>
        <v/>
      </c>
      <c r="AA2266" t="str">
        <f>IF(Z2266="","",IFERROR(LOOKUP(2,1/(#REF!=Z2266),#REF!),""))</f>
        <v/>
      </c>
      <c r="AB2266" t="str">
        <f>IF(Z2266="","",IFERROR(LOOKUP(2,1/(#REF!=Z2266),#REF!),""))</f>
        <v/>
      </c>
      <c r="AC2266" t="str">
        <f>IF(Z2266="","",COUNTIF(#REF!,Z2266))</f>
        <v/>
      </c>
      <c r="AD2266" t="str">
        <f>IF(A2266="","",IF(AC2266&gt;1,"REVISAR DUPLICADO",IF(AA2266&lt;&gt;"","ACTUALIZADO POR EYR","SIN REPORTE EYR")))</f>
        <v/>
      </c>
    </row>
    <row r="2267" spans="11:30" x14ac:dyDescent="0.3">
      <c r="K2267" s="1" t="str">
        <f ca="1">IF(A2267="","",IF(OR(L2267="ENTREGADA",L2267="RETORNADA",L2267="ENTREGA DIGITAL"),0,MAX(0,5-NETWORKDAYS(H2267+1,TODAY()))))</f>
        <v/>
      </c>
      <c r="L2267" t="str">
        <f>IF(A2267="","",IFERROR(LOOKUP(2,1/(#REF!=Z2267),#REF!),Y2267))</f>
        <v/>
      </c>
      <c r="Z2267" t="str">
        <f>IF(A2267="","",TEXT(A2267,"0")&amp;"|"&amp;TEXT(H2267,"0"))</f>
        <v/>
      </c>
      <c r="AA2267" t="str">
        <f>IF(Z2267="","",IFERROR(LOOKUP(2,1/(#REF!=Z2267),#REF!),""))</f>
        <v/>
      </c>
      <c r="AB2267" t="str">
        <f>IF(Z2267="","",IFERROR(LOOKUP(2,1/(#REF!=Z2267),#REF!),""))</f>
        <v/>
      </c>
      <c r="AC2267" t="str">
        <f>IF(Z2267="","",COUNTIF(#REF!,Z2267))</f>
        <v/>
      </c>
      <c r="AD2267" t="str">
        <f>IF(A2267="","",IF(AC2267&gt;1,"REVISAR DUPLICADO",IF(AA2267&lt;&gt;"","ACTUALIZADO POR EYR","SIN REPORTE EYR")))</f>
        <v/>
      </c>
    </row>
    <row r="2268" spans="11:30" x14ac:dyDescent="0.3">
      <c r="K2268" s="1" t="str">
        <f ca="1">IF(A2268="","",IF(OR(L2268="ENTREGADA",L2268="RETORNADA",L2268="ENTREGA DIGITAL"),0,MAX(0,5-NETWORKDAYS(H2268+1,TODAY()))))</f>
        <v/>
      </c>
      <c r="L2268" t="str">
        <f>IF(A2268="","",IFERROR(LOOKUP(2,1/(#REF!=Z2268),#REF!),Y2268))</f>
        <v/>
      </c>
      <c r="Z2268" t="str">
        <f>IF(A2268="","",TEXT(A2268,"0")&amp;"|"&amp;TEXT(H2268,"0"))</f>
        <v/>
      </c>
      <c r="AA2268" t="str">
        <f>IF(Z2268="","",IFERROR(LOOKUP(2,1/(#REF!=Z2268),#REF!),""))</f>
        <v/>
      </c>
      <c r="AB2268" t="str">
        <f>IF(Z2268="","",IFERROR(LOOKUP(2,1/(#REF!=Z2268),#REF!),""))</f>
        <v/>
      </c>
      <c r="AC2268" t="str">
        <f>IF(Z2268="","",COUNTIF(#REF!,Z2268))</f>
        <v/>
      </c>
      <c r="AD2268" t="str">
        <f>IF(A2268="","",IF(AC2268&gt;1,"REVISAR DUPLICADO",IF(AA2268&lt;&gt;"","ACTUALIZADO POR EYR","SIN REPORTE EYR")))</f>
        <v/>
      </c>
    </row>
    <row r="2269" spans="11:30" x14ac:dyDescent="0.3">
      <c r="K2269" s="1" t="str">
        <f ca="1">IF(A2269="","",IF(OR(L2269="ENTREGADA",L2269="RETORNADA",L2269="ENTREGA DIGITAL"),0,MAX(0,5-NETWORKDAYS(H2269+1,TODAY()))))</f>
        <v/>
      </c>
      <c r="L2269" t="str">
        <f>IF(A2269="","",IFERROR(LOOKUP(2,1/(#REF!=Z2269),#REF!),Y2269))</f>
        <v/>
      </c>
      <c r="Z2269" t="str">
        <f>IF(A2269="","",TEXT(A2269,"0")&amp;"|"&amp;TEXT(H2269,"0"))</f>
        <v/>
      </c>
      <c r="AA2269" t="str">
        <f>IF(Z2269="","",IFERROR(LOOKUP(2,1/(#REF!=Z2269),#REF!),""))</f>
        <v/>
      </c>
      <c r="AB2269" t="str">
        <f>IF(Z2269="","",IFERROR(LOOKUP(2,1/(#REF!=Z2269),#REF!),""))</f>
        <v/>
      </c>
      <c r="AC2269" t="str">
        <f>IF(Z2269="","",COUNTIF(#REF!,Z2269))</f>
        <v/>
      </c>
      <c r="AD2269" t="str">
        <f>IF(A2269="","",IF(AC2269&gt;1,"REVISAR DUPLICADO",IF(AA2269&lt;&gt;"","ACTUALIZADO POR EYR","SIN REPORTE EYR")))</f>
        <v/>
      </c>
    </row>
    <row r="2270" spans="11:30" x14ac:dyDescent="0.3">
      <c r="K2270" s="1" t="str">
        <f ca="1">IF(A2270="","",IF(OR(L2270="ENTREGADA",L2270="RETORNADA",L2270="ENTREGA DIGITAL"),0,MAX(0,5-NETWORKDAYS(H2270+1,TODAY()))))</f>
        <v/>
      </c>
      <c r="L2270" t="str">
        <f>IF(A2270="","",IFERROR(LOOKUP(2,1/(#REF!=Z2270),#REF!),Y2270))</f>
        <v/>
      </c>
      <c r="Z2270" t="str">
        <f>IF(A2270="","",TEXT(A2270,"0")&amp;"|"&amp;TEXT(H2270,"0"))</f>
        <v/>
      </c>
      <c r="AA2270" t="str">
        <f>IF(Z2270="","",IFERROR(LOOKUP(2,1/(#REF!=Z2270),#REF!),""))</f>
        <v/>
      </c>
      <c r="AB2270" t="str">
        <f>IF(Z2270="","",IFERROR(LOOKUP(2,1/(#REF!=Z2270),#REF!),""))</f>
        <v/>
      </c>
      <c r="AC2270" t="str">
        <f>IF(Z2270="","",COUNTIF(#REF!,Z2270))</f>
        <v/>
      </c>
      <c r="AD2270" t="str">
        <f>IF(A2270="","",IF(AC2270&gt;1,"REVISAR DUPLICADO",IF(AA2270&lt;&gt;"","ACTUALIZADO POR EYR","SIN REPORTE EYR")))</f>
        <v/>
      </c>
    </row>
    <row r="2271" spans="11:30" x14ac:dyDescent="0.3">
      <c r="K2271" s="1" t="str">
        <f ca="1">IF(A2271="","",IF(OR(L2271="ENTREGADA",L2271="RETORNADA",L2271="ENTREGA DIGITAL"),0,MAX(0,5-NETWORKDAYS(H2271+1,TODAY()))))</f>
        <v/>
      </c>
      <c r="L2271" t="str">
        <f>IF(A2271="","",IFERROR(LOOKUP(2,1/(#REF!=Z2271),#REF!),Y2271))</f>
        <v/>
      </c>
      <c r="Z2271" t="str">
        <f>IF(A2271="","",TEXT(A2271,"0")&amp;"|"&amp;TEXT(H2271,"0"))</f>
        <v/>
      </c>
      <c r="AA2271" t="str">
        <f>IF(Z2271="","",IFERROR(LOOKUP(2,1/(#REF!=Z2271),#REF!),""))</f>
        <v/>
      </c>
      <c r="AB2271" t="str">
        <f>IF(Z2271="","",IFERROR(LOOKUP(2,1/(#REF!=Z2271),#REF!),""))</f>
        <v/>
      </c>
      <c r="AC2271" t="str">
        <f>IF(Z2271="","",COUNTIF(#REF!,Z2271))</f>
        <v/>
      </c>
      <c r="AD2271" t="str">
        <f>IF(A2271="","",IF(AC2271&gt;1,"REVISAR DUPLICADO",IF(AA2271&lt;&gt;"","ACTUALIZADO POR EYR","SIN REPORTE EYR")))</f>
        <v/>
      </c>
    </row>
    <row r="2272" spans="11:30" x14ac:dyDescent="0.3">
      <c r="K2272" s="1" t="str">
        <f ca="1">IF(A2272="","",IF(OR(L2272="ENTREGADA",L2272="RETORNADA",L2272="ENTREGA DIGITAL"),0,MAX(0,5-NETWORKDAYS(H2272+1,TODAY()))))</f>
        <v/>
      </c>
      <c r="L2272" t="str">
        <f>IF(A2272="","",IFERROR(LOOKUP(2,1/(#REF!=Z2272),#REF!),Y2272))</f>
        <v/>
      </c>
      <c r="Z2272" t="str">
        <f>IF(A2272="","",TEXT(A2272,"0")&amp;"|"&amp;TEXT(H2272,"0"))</f>
        <v/>
      </c>
      <c r="AA2272" t="str">
        <f>IF(Z2272="","",IFERROR(LOOKUP(2,1/(#REF!=Z2272),#REF!),""))</f>
        <v/>
      </c>
      <c r="AB2272" t="str">
        <f>IF(Z2272="","",IFERROR(LOOKUP(2,1/(#REF!=Z2272),#REF!),""))</f>
        <v/>
      </c>
      <c r="AC2272" t="str">
        <f>IF(Z2272="","",COUNTIF(#REF!,Z2272))</f>
        <v/>
      </c>
      <c r="AD2272" t="str">
        <f>IF(A2272="","",IF(AC2272&gt;1,"REVISAR DUPLICADO",IF(AA2272&lt;&gt;"","ACTUALIZADO POR EYR","SIN REPORTE EYR")))</f>
        <v/>
      </c>
    </row>
    <row r="2273" spans="11:30" x14ac:dyDescent="0.3">
      <c r="K2273" s="1" t="str">
        <f ca="1">IF(A2273="","",IF(OR(L2273="ENTREGADA",L2273="RETORNADA",L2273="ENTREGA DIGITAL"),0,MAX(0,5-NETWORKDAYS(H2273+1,TODAY()))))</f>
        <v/>
      </c>
      <c r="L2273" t="str">
        <f>IF(A2273="","",IFERROR(LOOKUP(2,1/(#REF!=Z2273),#REF!),Y2273))</f>
        <v/>
      </c>
      <c r="Z2273" t="str">
        <f>IF(A2273="","",TEXT(A2273,"0")&amp;"|"&amp;TEXT(H2273,"0"))</f>
        <v/>
      </c>
      <c r="AA2273" t="str">
        <f>IF(Z2273="","",IFERROR(LOOKUP(2,1/(#REF!=Z2273),#REF!),""))</f>
        <v/>
      </c>
      <c r="AB2273" t="str">
        <f>IF(Z2273="","",IFERROR(LOOKUP(2,1/(#REF!=Z2273),#REF!),""))</f>
        <v/>
      </c>
      <c r="AC2273" t="str">
        <f>IF(Z2273="","",COUNTIF(#REF!,Z2273))</f>
        <v/>
      </c>
      <c r="AD2273" t="str">
        <f>IF(A2273="","",IF(AC2273&gt;1,"REVISAR DUPLICADO",IF(AA2273&lt;&gt;"","ACTUALIZADO POR EYR","SIN REPORTE EYR")))</f>
        <v/>
      </c>
    </row>
    <row r="2274" spans="11:30" x14ac:dyDescent="0.3">
      <c r="K2274" s="1" t="str">
        <f ca="1">IF(A2274="","",IF(OR(L2274="ENTREGADA",L2274="RETORNADA",L2274="ENTREGA DIGITAL"),0,MAX(0,5-NETWORKDAYS(H2274+1,TODAY()))))</f>
        <v/>
      </c>
      <c r="L2274" t="str">
        <f>IF(A2274="","",IFERROR(LOOKUP(2,1/(#REF!=Z2274),#REF!),Y2274))</f>
        <v/>
      </c>
      <c r="Z2274" t="str">
        <f>IF(A2274="","",TEXT(A2274,"0")&amp;"|"&amp;TEXT(H2274,"0"))</f>
        <v/>
      </c>
      <c r="AA2274" t="str">
        <f>IF(Z2274="","",IFERROR(LOOKUP(2,1/(#REF!=Z2274),#REF!),""))</f>
        <v/>
      </c>
      <c r="AB2274" t="str">
        <f>IF(Z2274="","",IFERROR(LOOKUP(2,1/(#REF!=Z2274),#REF!),""))</f>
        <v/>
      </c>
      <c r="AC2274" t="str">
        <f>IF(Z2274="","",COUNTIF(#REF!,Z2274))</f>
        <v/>
      </c>
      <c r="AD2274" t="str">
        <f>IF(A2274="","",IF(AC2274&gt;1,"REVISAR DUPLICADO",IF(AA2274&lt;&gt;"","ACTUALIZADO POR EYR","SIN REPORTE EYR")))</f>
        <v/>
      </c>
    </row>
    <row r="2275" spans="11:30" x14ac:dyDescent="0.3">
      <c r="K2275" s="1" t="str">
        <f ca="1">IF(A2275="","",IF(OR(L2275="ENTREGADA",L2275="RETORNADA",L2275="ENTREGA DIGITAL"),0,MAX(0,5-NETWORKDAYS(H2275+1,TODAY()))))</f>
        <v/>
      </c>
      <c r="L2275" t="str">
        <f>IF(A2275="","",IFERROR(LOOKUP(2,1/(#REF!=Z2275),#REF!),Y2275))</f>
        <v/>
      </c>
      <c r="Z2275" t="str">
        <f>IF(A2275="","",TEXT(A2275,"0")&amp;"|"&amp;TEXT(H2275,"0"))</f>
        <v/>
      </c>
      <c r="AA2275" t="str">
        <f>IF(Z2275="","",IFERROR(LOOKUP(2,1/(#REF!=Z2275),#REF!),""))</f>
        <v/>
      </c>
      <c r="AB2275" t="str">
        <f>IF(Z2275="","",IFERROR(LOOKUP(2,1/(#REF!=Z2275),#REF!),""))</f>
        <v/>
      </c>
      <c r="AC2275" t="str">
        <f>IF(Z2275="","",COUNTIF(#REF!,Z2275))</f>
        <v/>
      </c>
      <c r="AD2275" t="str">
        <f>IF(A2275="","",IF(AC2275&gt;1,"REVISAR DUPLICADO",IF(AA2275&lt;&gt;"","ACTUALIZADO POR EYR","SIN REPORTE EYR")))</f>
        <v/>
      </c>
    </row>
    <row r="2276" spans="11:30" x14ac:dyDescent="0.3">
      <c r="K2276" s="1" t="str">
        <f ca="1">IF(A2276="","",IF(OR(L2276="ENTREGADA",L2276="RETORNADA",L2276="ENTREGA DIGITAL"),0,MAX(0,5-NETWORKDAYS(H2276+1,TODAY()))))</f>
        <v/>
      </c>
      <c r="L2276" t="str">
        <f>IF(A2276="","",IFERROR(LOOKUP(2,1/(#REF!=Z2276),#REF!),Y2276))</f>
        <v/>
      </c>
      <c r="Z2276" t="str">
        <f>IF(A2276="","",TEXT(A2276,"0")&amp;"|"&amp;TEXT(H2276,"0"))</f>
        <v/>
      </c>
      <c r="AA2276" t="str">
        <f>IF(Z2276="","",IFERROR(LOOKUP(2,1/(#REF!=Z2276),#REF!),""))</f>
        <v/>
      </c>
      <c r="AB2276" t="str">
        <f>IF(Z2276="","",IFERROR(LOOKUP(2,1/(#REF!=Z2276),#REF!),""))</f>
        <v/>
      </c>
      <c r="AC2276" t="str">
        <f>IF(Z2276="","",COUNTIF(#REF!,Z2276))</f>
        <v/>
      </c>
      <c r="AD2276" t="str">
        <f>IF(A2276="","",IF(AC2276&gt;1,"REVISAR DUPLICADO",IF(AA2276&lt;&gt;"","ACTUALIZADO POR EYR","SIN REPORTE EYR")))</f>
        <v/>
      </c>
    </row>
    <row r="2277" spans="11:30" x14ac:dyDescent="0.3">
      <c r="K2277" s="1" t="str">
        <f ca="1">IF(A2277="","",IF(OR(L2277="ENTREGADA",L2277="RETORNADA",L2277="ENTREGA DIGITAL"),0,MAX(0,5-NETWORKDAYS(H2277+1,TODAY()))))</f>
        <v/>
      </c>
      <c r="L2277" t="str">
        <f>IF(A2277="","",IFERROR(LOOKUP(2,1/(#REF!=Z2277),#REF!),Y2277))</f>
        <v/>
      </c>
      <c r="Z2277" t="str">
        <f>IF(A2277="","",TEXT(A2277,"0")&amp;"|"&amp;TEXT(H2277,"0"))</f>
        <v/>
      </c>
      <c r="AA2277" t="str">
        <f>IF(Z2277="","",IFERROR(LOOKUP(2,1/(#REF!=Z2277),#REF!),""))</f>
        <v/>
      </c>
      <c r="AB2277" t="str">
        <f>IF(Z2277="","",IFERROR(LOOKUP(2,1/(#REF!=Z2277),#REF!),""))</f>
        <v/>
      </c>
      <c r="AC2277" t="str">
        <f>IF(Z2277="","",COUNTIF(#REF!,Z2277))</f>
        <v/>
      </c>
      <c r="AD2277" t="str">
        <f>IF(A2277="","",IF(AC2277&gt;1,"REVISAR DUPLICADO",IF(AA2277&lt;&gt;"","ACTUALIZADO POR EYR","SIN REPORTE EYR")))</f>
        <v/>
      </c>
    </row>
    <row r="2278" spans="11:30" x14ac:dyDescent="0.3">
      <c r="K2278" s="1" t="str">
        <f ca="1">IF(A2278="","",IF(OR(L2278="ENTREGADA",L2278="RETORNADA",L2278="ENTREGA DIGITAL"),0,MAX(0,5-NETWORKDAYS(H2278+1,TODAY()))))</f>
        <v/>
      </c>
      <c r="L2278" t="str">
        <f>IF(A2278="","",IFERROR(LOOKUP(2,1/(#REF!=Z2278),#REF!),Y2278))</f>
        <v/>
      </c>
      <c r="Z2278" t="str">
        <f>IF(A2278="","",TEXT(A2278,"0")&amp;"|"&amp;TEXT(H2278,"0"))</f>
        <v/>
      </c>
      <c r="AA2278" t="str">
        <f>IF(Z2278="","",IFERROR(LOOKUP(2,1/(#REF!=Z2278),#REF!),""))</f>
        <v/>
      </c>
      <c r="AB2278" t="str">
        <f>IF(Z2278="","",IFERROR(LOOKUP(2,1/(#REF!=Z2278),#REF!),""))</f>
        <v/>
      </c>
      <c r="AC2278" t="str">
        <f>IF(Z2278="","",COUNTIF(#REF!,Z2278))</f>
        <v/>
      </c>
      <c r="AD2278" t="str">
        <f>IF(A2278="","",IF(AC2278&gt;1,"REVISAR DUPLICADO",IF(AA2278&lt;&gt;"","ACTUALIZADO POR EYR","SIN REPORTE EYR")))</f>
        <v/>
      </c>
    </row>
    <row r="2279" spans="11:30" x14ac:dyDescent="0.3">
      <c r="K2279" s="1" t="str">
        <f ca="1">IF(A2279="","",IF(OR(L2279="ENTREGADA",L2279="RETORNADA",L2279="ENTREGA DIGITAL"),0,MAX(0,5-NETWORKDAYS(H2279+1,TODAY()))))</f>
        <v/>
      </c>
      <c r="L2279" t="str">
        <f>IF(A2279="","",IFERROR(LOOKUP(2,1/(#REF!=Z2279),#REF!),Y2279))</f>
        <v/>
      </c>
      <c r="Z2279" t="str">
        <f>IF(A2279="","",TEXT(A2279,"0")&amp;"|"&amp;TEXT(H2279,"0"))</f>
        <v/>
      </c>
      <c r="AA2279" t="str">
        <f>IF(Z2279="","",IFERROR(LOOKUP(2,1/(#REF!=Z2279),#REF!),""))</f>
        <v/>
      </c>
      <c r="AB2279" t="str">
        <f>IF(Z2279="","",IFERROR(LOOKUP(2,1/(#REF!=Z2279),#REF!),""))</f>
        <v/>
      </c>
      <c r="AC2279" t="str">
        <f>IF(Z2279="","",COUNTIF(#REF!,Z2279))</f>
        <v/>
      </c>
      <c r="AD2279" t="str">
        <f>IF(A2279="","",IF(AC2279&gt;1,"REVISAR DUPLICADO",IF(AA2279&lt;&gt;"","ACTUALIZADO POR EYR","SIN REPORTE EYR")))</f>
        <v/>
      </c>
    </row>
    <row r="2280" spans="11:30" x14ac:dyDescent="0.3">
      <c r="K2280" s="1" t="str">
        <f ca="1">IF(A2280="","",IF(OR(L2280="ENTREGADA",L2280="RETORNADA",L2280="ENTREGA DIGITAL"),0,MAX(0,5-NETWORKDAYS(H2280+1,TODAY()))))</f>
        <v/>
      </c>
      <c r="L2280" t="str">
        <f>IF(A2280="","",IFERROR(LOOKUP(2,1/(#REF!=Z2280),#REF!),Y2280))</f>
        <v/>
      </c>
      <c r="Z2280" t="str">
        <f>IF(A2280="","",TEXT(A2280,"0")&amp;"|"&amp;TEXT(H2280,"0"))</f>
        <v/>
      </c>
      <c r="AA2280" t="str">
        <f>IF(Z2280="","",IFERROR(LOOKUP(2,1/(#REF!=Z2280),#REF!),""))</f>
        <v/>
      </c>
      <c r="AB2280" t="str">
        <f>IF(Z2280="","",IFERROR(LOOKUP(2,1/(#REF!=Z2280),#REF!),""))</f>
        <v/>
      </c>
      <c r="AC2280" t="str">
        <f>IF(Z2280="","",COUNTIF(#REF!,Z2280))</f>
        <v/>
      </c>
      <c r="AD2280" t="str">
        <f>IF(A2280="","",IF(AC2280&gt;1,"REVISAR DUPLICADO",IF(AA2280&lt;&gt;"","ACTUALIZADO POR EYR","SIN REPORTE EYR")))</f>
        <v/>
      </c>
    </row>
    <row r="2281" spans="11:30" x14ac:dyDescent="0.3">
      <c r="K2281" s="1" t="str">
        <f ca="1">IF(A2281="","",IF(OR(L2281="ENTREGADA",L2281="RETORNADA",L2281="ENTREGA DIGITAL"),0,MAX(0,5-NETWORKDAYS(H2281+1,TODAY()))))</f>
        <v/>
      </c>
      <c r="L2281" t="str">
        <f>IF(A2281="","",IFERROR(LOOKUP(2,1/(#REF!=Z2281),#REF!),Y2281))</f>
        <v/>
      </c>
      <c r="Z2281" t="str">
        <f>IF(A2281="","",TEXT(A2281,"0")&amp;"|"&amp;TEXT(H2281,"0"))</f>
        <v/>
      </c>
      <c r="AA2281" t="str">
        <f>IF(Z2281="","",IFERROR(LOOKUP(2,1/(#REF!=Z2281),#REF!),""))</f>
        <v/>
      </c>
      <c r="AB2281" t="str">
        <f>IF(Z2281="","",IFERROR(LOOKUP(2,1/(#REF!=Z2281),#REF!),""))</f>
        <v/>
      </c>
      <c r="AC2281" t="str">
        <f>IF(Z2281="","",COUNTIF(#REF!,Z2281))</f>
        <v/>
      </c>
      <c r="AD2281" t="str">
        <f>IF(A2281="","",IF(AC2281&gt;1,"REVISAR DUPLICADO",IF(AA2281&lt;&gt;"","ACTUALIZADO POR EYR","SIN REPORTE EYR")))</f>
        <v/>
      </c>
    </row>
    <row r="2282" spans="11:30" x14ac:dyDescent="0.3">
      <c r="K2282" s="1" t="str">
        <f ca="1">IF(A2282="","",IF(OR(L2282="ENTREGADA",L2282="RETORNADA",L2282="ENTREGA DIGITAL"),0,MAX(0,5-NETWORKDAYS(H2282+1,TODAY()))))</f>
        <v/>
      </c>
      <c r="L2282" t="str">
        <f>IF(A2282="","",IFERROR(LOOKUP(2,1/(#REF!=Z2282),#REF!),Y2282))</f>
        <v/>
      </c>
      <c r="Z2282" t="str">
        <f>IF(A2282="","",TEXT(A2282,"0")&amp;"|"&amp;TEXT(H2282,"0"))</f>
        <v/>
      </c>
      <c r="AA2282" t="str">
        <f>IF(Z2282="","",IFERROR(LOOKUP(2,1/(#REF!=Z2282),#REF!),""))</f>
        <v/>
      </c>
      <c r="AB2282" t="str">
        <f>IF(Z2282="","",IFERROR(LOOKUP(2,1/(#REF!=Z2282),#REF!),""))</f>
        <v/>
      </c>
      <c r="AC2282" t="str">
        <f>IF(Z2282="","",COUNTIF(#REF!,Z2282))</f>
        <v/>
      </c>
      <c r="AD2282" t="str">
        <f>IF(A2282="","",IF(AC2282&gt;1,"REVISAR DUPLICADO",IF(AA2282&lt;&gt;"","ACTUALIZADO POR EYR","SIN REPORTE EYR")))</f>
        <v/>
      </c>
    </row>
    <row r="2283" spans="11:30" x14ac:dyDescent="0.3">
      <c r="K2283" s="1" t="str">
        <f ca="1">IF(A2283="","",IF(OR(L2283="ENTREGADA",L2283="RETORNADA",L2283="ENTREGA DIGITAL"),0,MAX(0,5-NETWORKDAYS(H2283+1,TODAY()))))</f>
        <v/>
      </c>
      <c r="L2283" t="str">
        <f>IF(A2283="","",IFERROR(LOOKUP(2,1/(#REF!=Z2283),#REF!),Y2283))</f>
        <v/>
      </c>
      <c r="Z2283" t="str">
        <f>IF(A2283="","",TEXT(A2283,"0")&amp;"|"&amp;TEXT(H2283,"0"))</f>
        <v/>
      </c>
      <c r="AA2283" t="str">
        <f>IF(Z2283="","",IFERROR(LOOKUP(2,1/(#REF!=Z2283),#REF!),""))</f>
        <v/>
      </c>
      <c r="AB2283" t="str">
        <f>IF(Z2283="","",IFERROR(LOOKUP(2,1/(#REF!=Z2283),#REF!),""))</f>
        <v/>
      </c>
      <c r="AC2283" t="str">
        <f>IF(Z2283="","",COUNTIF(#REF!,Z2283))</f>
        <v/>
      </c>
      <c r="AD2283" t="str">
        <f>IF(A2283="","",IF(AC2283&gt;1,"REVISAR DUPLICADO",IF(AA2283&lt;&gt;"","ACTUALIZADO POR EYR","SIN REPORTE EYR")))</f>
        <v/>
      </c>
    </row>
    <row r="2284" spans="11:30" x14ac:dyDescent="0.3">
      <c r="K2284" s="1" t="str">
        <f ca="1">IF(A2284="","",IF(OR(L2284="ENTREGADA",L2284="RETORNADA",L2284="ENTREGA DIGITAL"),0,MAX(0,5-NETWORKDAYS(H2284+1,TODAY()))))</f>
        <v/>
      </c>
      <c r="L2284" t="str">
        <f>IF(A2284="","",IFERROR(LOOKUP(2,1/(#REF!=Z2284),#REF!),Y2284))</f>
        <v/>
      </c>
      <c r="Z2284" t="str">
        <f>IF(A2284="","",TEXT(A2284,"0")&amp;"|"&amp;TEXT(H2284,"0"))</f>
        <v/>
      </c>
      <c r="AA2284" t="str">
        <f>IF(Z2284="","",IFERROR(LOOKUP(2,1/(#REF!=Z2284),#REF!),""))</f>
        <v/>
      </c>
      <c r="AB2284" t="str">
        <f>IF(Z2284="","",IFERROR(LOOKUP(2,1/(#REF!=Z2284),#REF!),""))</f>
        <v/>
      </c>
      <c r="AC2284" t="str">
        <f>IF(Z2284="","",COUNTIF(#REF!,Z2284))</f>
        <v/>
      </c>
      <c r="AD2284" t="str">
        <f>IF(A2284="","",IF(AC2284&gt;1,"REVISAR DUPLICADO",IF(AA2284&lt;&gt;"","ACTUALIZADO POR EYR","SIN REPORTE EYR")))</f>
        <v/>
      </c>
    </row>
    <row r="2285" spans="11:30" x14ac:dyDescent="0.3">
      <c r="K2285" s="1" t="str">
        <f ca="1">IF(A2285="","",IF(OR(L2285="ENTREGADA",L2285="RETORNADA",L2285="ENTREGA DIGITAL"),0,MAX(0,5-NETWORKDAYS(H2285+1,TODAY()))))</f>
        <v/>
      </c>
      <c r="L2285" t="str">
        <f>IF(A2285="","",IFERROR(LOOKUP(2,1/(#REF!=Z2285),#REF!),Y2285))</f>
        <v/>
      </c>
      <c r="Z2285" t="str">
        <f>IF(A2285="","",TEXT(A2285,"0")&amp;"|"&amp;TEXT(H2285,"0"))</f>
        <v/>
      </c>
      <c r="AA2285" t="str">
        <f>IF(Z2285="","",IFERROR(LOOKUP(2,1/(#REF!=Z2285),#REF!),""))</f>
        <v/>
      </c>
      <c r="AB2285" t="str">
        <f>IF(Z2285="","",IFERROR(LOOKUP(2,1/(#REF!=Z2285),#REF!),""))</f>
        <v/>
      </c>
      <c r="AC2285" t="str">
        <f>IF(Z2285="","",COUNTIF(#REF!,Z2285))</f>
        <v/>
      </c>
      <c r="AD2285" t="str">
        <f>IF(A2285="","",IF(AC2285&gt;1,"REVISAR DUPLICADO",IF(AA2285&lt;&gt;"","ACTUALIZADO POR EYR","SIN REPORTE EYR")))</f>
        <v/>
      </c>
    </row>
    <row r="2286" spans="11:30" x14ac:dyDescent="0.3">
      <c r="K2286" s="1" t="str">
        <f ca="1">IF(A2286="","",IF(OR(L2286="ENTREGADA",L2286="RETORNADA",L2286="ENTREGA DIGITAL"),0,MAX(0,5-NETWORKDAYS(H2286+1,TODAY()))))</f>
        <v/>
      </c>
      <c r="L2286" t="str">
        <f>IF(A2286="","",IFERROR(LOOKUP(2,1/(#REF!=Z2286),#REF!),Y2286))</f>
        <v/>
      </c>
      <c r="Z2286" t="str">
        <f>IF(A2286="","",TEXT(A2286,"0")&amp;"|"&amp;TEXT(H2286,"0"))</f>
        <v/>
      </c>
      <c r="AA2286" t="str">
        <f>IF(Z2286="","",IFERROR(LOOKUP(2,1/(#REF!=Z2286),#REF!),""))</f>
        <v/>
      </c>
      <c r="AB2286" t="str">
        <f>IF(Z2286="","",IFERROR(LOOKUP(2,1/(#REF!=Z2286),#REF!),""))</f>
        <v/>
      </c>
      <c r="AC2286" t="str">
        <f>IF(Z2286="","",COUNTIF(#REF!,Z2286))</f>
        <v/>
      </c>
      <c r="AD2286" t="str">
        <f>IF(A2286="","",IF(AC2286&gt;1,"REVISAR DUPLICADO",IF(AA2286&lt;&gt;"","ACTUALIZADO POR EYR","SIN REPORTE EYR")))</f>
        <v/>
      </c>
    </row>
    <row r="2287" spans="11:30" x14ac:dyDescent="0.3">
      <c r="K2287" s="1" t="str">
        <f ca="1">IF(A2287="","",IF(OR(L2287="ENTREGADA",L2287="RETORNADA",L2287="ENTREGA DIGITAL"),0,MAX(0,5-NETWORKDAYS(H2287+1,TODAY()))))</f>
        <v/>
      </c>
      <c r="L2287" t="str">
        <f>IF(A2287="","",IFERROR(LOOKUP(2,1/(#REF!=Z2287),#REF!),Y2287))</f>
        <v/>
      </c>
      <c r="Z2287" t="str">
        <f>IF(A2287="","",TEXT(A2287,"0")&amp;"|"&amp;TEXT(H2287,"0"))</f>
        <v/>
      </c>
      <c r="AA2287" t="str">
        <f>IF(Z2287="","",IFERROR(LOOKUP(2,1/(#REF!=Z2287),#REF!),""))</f>
        <v/>
      </c>
      <c r="AB2287" t="str">
        <f>IF(Z2287="","",IFERROR(LOOKUP(2,1/(#REF!=Z2287),#REF!),""))</f>
        <v/>
      </c>
      <c r="AC2287" t="str">
        <f>IF(Z2287="","",COUNTIF(#REF!,Z2287))</f>
        <v/>
      </c>
      <c r="AD2287" t="str">
        <f>IF(A2287="","",IF(AC2287&gt;1,"REVISAR DUPLICADO",IF(AA2287&lt;&gt;"","ACTUALIZADO POR EYR","SIN REPORTE EYR")))</f>
        <v/>
      </c>
    </row>
    <row r="2288" spans="11:30" x14ac:dyDescent="0.3">
      <c r="K2288" s="1" t="str">
        <f ca="1">IF(A2288="","",IF(OR(L2288="ENTREGADA",L2288="RETORNADA",L2288="ENTREGA DIGITAL"),0,MAX(0,5-NETWORKDAYS(H2288+1,TODAY()))))</f>
        <v/>
      </c>
      <c r="L2288" t="str">
        <f>IF(A2288="","",IFERROR(LOOKUP(2,1/(#REF!=Z2288),#REF!),Y2288))</f>
        <v/>
      </c>
      <c r="Z2288" t="str">
        <f>IF(A2288="","",TEXT(A2288,"0")&amp;"|"&amp;TEXT(H2288,"0"))</f>
        <v/>
      </c>
      <c r="AA2288" t="str">
        <f>IF(Z2288="","",IFERROR(LOOKUP(2,1/(#REF!=Z2288),#REF!),""))</f>
        <v/>
      </c>
      <c r="AB2288" t="str">
        <f>IF(Z2288="","",IFERROR(LOOKUP(2,1/(#REF!=Z2288),#REF!),""))</f>
        <v/>
      </c>
      <c r="AC2288" t="str">
        <f>IF(Z2288="","",COUNTIF(#REF!,Z2288))</f>
        <v/>
      </c>
      <c r="AD2288" t="str">
        <f>IF(A2288="","",IF(AC2288&gt;1,"REVISAR DUPLICADO",IF(AA2288&lt;&gt;"","ACTUALIZADO POR EYR","SIN REPORTE EYR")))</f>
        <v/>
      </c>
    </row>
    <row r="2289" spans="11:30" x14ac:dyDescent="0.3">
      <c r="K2289" s="1" t="str">
        <f ca="1">IF(A2289="","",IF(OR(L2289="ENTREGADA",L2289="RETORNADA",L2289="ENTREGA DIGITAL"),0,MAX(0,5-NETWORKDAYS(H2289+1,TODAY()))))</f>
        <v/>
      </c>
      <c r="L2289" t="str">
        <f>IF(A2289="","",IFERROR(LOOKUP(2,1/(#REF!=Z2289),#REF!),Y2289))</f>
        <v/>
      </c>
      <c r="Z2289" t="str">
        <f>IF(A2289="","",TEXT(A2289,"0")&amp;"|"&amp;TEXT(H2289,"0"))</f>
        <v/>
      </c>
      <c r="AA2289" t="str">
        <f>IF(Z2289="","",IFERROR(LOOKUP(2,1/(#REF!=Z2289),#REF!),""))</f>
        <v/>
      </c>
      <c r="AB2289" t="str">
        <f>IF(Z2289="","",IFERROR(LOOKUP(2,1/(#REF!=Z2289),#REF!),""))</f>
        <v/>
      </c>
      <c r="AC2289" t="str">
        <f>IF(Z2289="","",COUNTIF(#REF!,Z2289))</f>
        <v/>
      </c>
      <c r="AD2289" t="str">
        <f>IF(A2289="","",IF(AC2289&gt;1,"REVISAR DUPLICADO",IF(AA2289&lt;&gt;"","ACTUALIZADO POR EYR","SIN REPORTE EYR")))</f>
        <v/>
      </c>
    </row>
    <row r="2290" spans="11:30" x14ac:dyDescent="0.3">
      <c r="K2290" s="1" t="str">
        <f ca="1">IF(A2290="","",IF(OR(L2290="ENTREGADA",L2290="RETORNADA",L2290="ENTREGA DIGITAL"),0,MAX(0,5-NETWORKDAYS(H2290+1,TODAY()))))</f>
        <v/>
      </c>
      <c r="L2290" t="str">
        <f>IF(A2290="","",IFERROR(LOOKUP(2,1/(#REF!=Z2290),#REF!),Y2290))</f>
        <v/>
      </c>
      <c r="Z2290" t="str">
        <f>IF(A2290="","",TEXT(A2290,"0")&amp;"|"&amp;TEXT(H2290,"0"))</f>
        <v/>
      </c>
      <c r="AA2290" t="str">
        <f>IF(Z2290="","",IFERROR(LOOKUP(2,1/(#REF!=Z2290),#REF!),""))</f>
        <v/>
      </c>
      <c r="AB2290" t="str">
        <f>IF(Z2290="","",IFERROR(LOOKUP(2,1/(#REF!=Z2290),#REF!),""))</f>
        <v/>
      </c>
      <c r="AC2290" t="str">
        <f>IF(Z2290="","",COUNTIF(#REF!,Z2290))</f>
        <v/>
      </c>
      <c r="AD2290" t="str">
        <f>IF(A2290="","",IF(AC2290&gt;1,"REVISAR DUPLICADO",IF(AA2290&lt;&gt;"","ACTUALIZADO POR EYR","SIN REPORTE EYR")))</f>
        <v/>
      </c>
    </row>
    <row r="2291" spans="11:30" x14ac:dyDescent="0.3">
      <c r="K2291" s="1" t="str">
        <f ca="1">IF(A2291="","",IF(OR(L2291="ENTREGADA",L2291="RETORNADA",L2291="ENTREGA DIGITAL"),0,MAX(0,5-NETWORKDAYS(H2291+1,TODAY()))))</f>
        <v/>
      </c>
      <c r="L2291" t="str">
        <f>IF(A2291="","",IFERROR(LOOKUP(2,1/(#REF!=Z2291),#REF!),Y2291))</f>
        <v/>
      </c>
      <c r="Z2291" t="str">
        <f>IF(A2291="","",TEXT(A2291,"0")&amp;"|"&amp;TEXT(H2291,"0"))</f>
        <v/>
      </c>
      <c r="AA2291" t="str">
        <f>IF(Z2291="","",IFERROR(LOOKUP(2,1/(#REF!=Z2291),#REF!),""))</f>
        <v/>
      </c>
      <c r="AB2291" t="str">
        <f>IF(Z2291="","",IFERROR(LOOKUP(2,1/(#REF!=Z2291),#REF!),""))</f>
        <v/>
      </c>
      <c r="AC2291" t="str">
        <f>IF(Z2291="","",COUNTIF(#REF!,Z2291))</f>
        <v/>
      </c>
      <c r="AD2291" t="str">
        <f>IF(A2291="","",IF(AC2291&gt;1,"REVISAR DUPLICADO",IF(AA2291&lt;&gt;"","ACTUALIZADO POR EYR","SIN REPORTE EYR")))</f>
        <v/>
      </c>
    </row>
    <row r="2292" spans="11:30" x14ac:dyDescent="0.3">
      <c r="K2292" s="1" t="str">
        <f ca="1">IF(A2292="","",IF(OR(L2292="ENTREGADA",L2292="RETORNADA",L2292="ENTREGA DIGITAL"),0,MAX(0,5-NETWORKDAYS(H2292+1,TODAY()))))</f>
        <v/>
      </c>
      <c r="L2292" t="str">
        <f>IF(A2292="","",IFERROR(LOOKUP(2,1/(#REF!=Z2292),#REF!),Y2292))</f>
        <v/>
      </c>
      <c r="Z2292" t="str">
        <f>IF(A2292="","",TEXT(A2292,"0")&amp;"|"&amp;TEXT(H2292,"0"))</f>
        <v/>
      </c>
      <c r="AA2292" t="str">
        <f>IF(Z2292="","",IFERROR(LOOKUP(2,1/(#REF!=Z2292),#REF!),""))</f>
        <v/>
      </c>
      <c r="AB2292" t="str">
        <f>IF(Z2292="","",IFERROR(LOOKUP(2,1/(#REF!=Z2292),#REF!),""))</f>
        <v/>
      </c>
      <c r="AC2292" t="str">
        <f>IF(Z2292="","",COUNTIF(#REF!,Z2292))</f>
        <v/>
      </c>
      <c r="AD2292" t="str">
        <f>IF(A2292="","",IF(AC2292&gt;1,"REVISAR DUPLICADO",IF(AA2292&lt;&gt;"","ACTUALIZADO POR EYR","SIN REPORTE EYR")))</f>
        <v/>
      </c>
    </row>
    <row r="2293" spans="11:30" x14ac:dyDescent="0.3">
      <c r="K2293" s="1" t="str">
        <f ca="1">IF(A2293="","",IF(OR(L2293="ENTREGADA",L2293="RETORNADA",L2293="ENTREGA DIGITAL"),0,MAX(0,5-NETWORKDAYS(H2293+1,TODAY()))))</f>
        <v/>
      </c>
      <c r="L2293" t="str">
        <f>IF(A2293="","",IFERROR(LOOKUP(2,1/(#REF!=Z2293),#REF!),Y2293))</f>
        <v/>
      </c>
      <c r="Z2293" t="str">
        <f>IF(A2293="","",TEXT(A2293,"0")&amp;"|"&amp;TEXT(H2293,"0"))</f>
        <v/>
      </c>
      <c r="AA2293" t="str">
        <f>IF(Z2293="","",IFERROR(LOOKUP(2,1/(#REF!=Z2293),#REF!),""))</f>
        <v/>
      </c>
      <c r="AB2293" t="str">
        <f>IF(Z2293="","",IFERROR(LOOKUP(2,1/(#REF!=Z2293),#REF!),""))</f>
        <v/>
      </c>
      <c r="AC2293" t="str">
        <f>IF(Z2293="","",COUNTIF(#REF!,Z2293))</f>
        <v/>
      </c>
      <c r="AD2293" t="str">
        <f>IF(A2293="","",IF(AC2293&gt;1,"REVISAR DUPLICADO",IF(AA2293&lt;&gt;"","ACTUALIZADO POR EYR","SIN REPORTE EYR")))</f>
        <v/>
      </c>
    </row>
    <row r="2294" spans="11:30" x14ac:dyDescent="0.3">
      <c r="K2294" s="1" t="str">
        <f ca="1">IF(A2294="","",IF(OR(L2294="ENTREGADA",L2294="RETORNADA",L2294="ENTREGA DIGITAL"),0,MAX(0,5-NETWORKDAYS(H2294+1,TODAY()))))</f>
        <v/>
      </c>
      <c r="L2294" t="str">
        <f>IF(A2294="","",IFERROR(LOOKUP(2,1/(#REF!=Z2294),#REF!),Y2294))</f>
        <v/>
      </c>
      <c r="Z2294" t="str">
        <f>IF(A2294="","",TEXT(A2294,"0")&amp;"|"&amp;TEXT(H2294,"0"))</f>
        <v/>
      </c>
      <c r="AA2294" t="str">
        <f>IF(Z2294="","",IFERROR(LOOKUP(2,1/(#REF!=Z2294),#REF!),""))</f>
        <v/>
      </c>
      <c r="AB2294" t="str">
        <f>IF(Z2294="","",IFERROR(LOOKUP(2,1/(#REF!=Z2294),#REF!),""))</f>
        <v/>
      </c>
      <c r="AC2294" t="str">
        <f>IF(Z2294="","",COUNTIF(#REF!,Z2294))</f>
        <v/>
      </c>
      <c r="AD2294" t="str">
        <f>IF(A2294="","",IF(AC2294&gt;1,"REVISAR DUPLICADO",IF(AA2294&lt;&gt;"","ACTUALIZADO POR EYR","SIN REPORTE EYR")))</f>
        <v/>
      </c>
    </row>
    <row r="2295" spans="11:30" x14ac:dyDescent="0.3">
      <c r="K2295" s="1" t="str">
        <f ca="1">IF(A2295="","",IF(OR(L2295="ENTREGADA",L2295="RETORNADA",L2295="ENTREGA DIGITAL"),0,MAX(0,5-NETWORKDAYS(H2295+1,TODAY()))))</f>
        <v/>
      </c>
      <c r="L2295" t="str">
        <f>IF(A2295="","",IFERROR(LOOKUP(2,1/(#REF!=Z2295),#REF!),Y2295))</f>
        <v/>
      </c>
      <c r="Z2295" t="str">
        <f>IF(A2295="","",TEXT(A2295,"0")&amp;"|"&amp;TEXT(H2295,"0"))</f>
        <v/>
      </c>
      <c r="AA2295" t="str">
        <f>IF(Z2295="","",IFERROR(LOOKUP(2,1/(#REF!=Z2295),#REF!),""))</f>
        <v/>
      </c>
      <c r="AB2295" t="str">
        <f>IF(Z2295="","",IFERROR(LOOKUP(2,1/(#REF!=Z2295),#REF!),""))</f>
        <v/>
      </c>
      <c r="AC2295" t="str">
        <f>IF(Z2295="","",COUNTIF(#REF!,Z2295))</f>
        <v/>
      </c>
      <c r="AD2295" t="str">
        <f>IF(A2295="","",IF(AC2295&gt;1,"REVISAR DUPLICADO",IF(AA2295&lt;&gt;"","ACTUALIZADO POR EYR","SIN REPORTE EYR")))</f>
        <v/>
      </c>
    </row>
    <row r="2296" spans="11:30" x14ac:dyDescent="0.3">
      <c r="K2296" s="1" t="str">
        <f ca="1">IF(A2296="","",IF(OR(L2296="ENTREGADA",L2296="RETORNADA",L2296="ENTREGA DIGITAL"),0,MAX(0,5-NETWORKDAYS(H2296+1,TODAY()))))</f>
        <v/>
      </c>
      <c r="L2296" t="str">
        <f>IF(A2296="","",IFERROR(LOOKUP(2,1/(#REF!=Z2296),#REF!),Y2296))</f>
        <v/>
      </c>
      <c r="Z2296" t="str">
        <f>IF(A2296="","",TEXT(A2296,"0")&amp;"|"&amp;TEXT(H2296,"0"))</f>
        <v/>
      </c>
      <c r="AA2296" t="str">
        <f>IF(Z2296="","",IFERROR(LOOKUP(2,1/(#REF!=Z2296),#REF!),""))</f>
        <v/>
      </c>
      <c r="AB2296" t="str">
        <f>IF(Z2296="","",IFERROR(LOOKUP(2,1/(#REF!=Z2296),#REF!),""))</f>
        <v/>
      </c>
      <c r="AC2296" t="str">
        <f>IF(Z2296="","",COUNTIF(#REF!,Z2296))</f>
        <v/>
      </c>
      <c r="AD2296" t="str">
        <f>IF(A2296="","",IF(AC2296&gt;1,"REVISAR DUPLICADO",IF(AA2296&lt;&gt;"","ACTUALIZADO POR EYR","SIN REPORTE EYR")))</f>
        <v/>
      </c>
    </row>
    <row r="2297" spans="11:30" x14ac:dyDescent="0.3">
      <c r="K2297" s="1" t="str">
        <f ca="1">IF(A2297="","",IF(OR(L2297="ENTREGADA",L2297="RETORNADA",L2297="ENTREGA DIGITAL"),0,MAX(0,5-NETWORKDAYS(H2297+1,TODAY()))))</f>
        <v/>
      </c>
      <c r="L2297" t="str">
        <f>IF(A2297="","",IFERROR(LOOKUP(2,1/(#REF!=Z2297),#REF!),Y2297))</f>
        <v/>
      </c>
      <c r="Z2297" t="str">
        <f>IF(A2297="","",TEXT(A2297,"0")&amp;"|"&amp;TEXT(H2297,"0"))</f>
        <v/>
      </c>
      <c r="AA2297" t="str">
        <f>IF(Z2297="","",IFERROR(LOOKUP(2,1/(#REF!=Z2297),#REF!),""))</f>
        <v/>
      </c>
      <c r="AB2297" t="str">
        <f>IF(Z2297="","",IFERROR(LOOKUP(2,1/(#REF!=Z2297),#REF!),""))</f>
        <v/>
      </c>
      <c r="AC2297" t="str">
        <f>IF(Z2297="","",COUNTIF(#REF!,Z2297))</f>
        <v/>
      </c>
      <c r="AD2297" t="str">
        <f>IF(A2297="","",IF(AC2297&gt;1,"REVISAR DUPLICADO",IF(AA2297&lt;&gt;"","ACTUALIZADO POR EYR","SIN REPORTE EYR")))</f>
        <v/>
      </c>
    </row>
    <row r="2298" spans="11:30" x14ac:dyDescent="0.3">
      <c r="K2298" s="1" t="str">
        <f ca="1">IF(A2298="","",IF(OR(L2298="ENTREGADA",L2298="RETORNADA",L2298="ENTREGA DIGITAL"),0,MAX(0,5-NETWORKDAYS(H2298+1,TODAY()))))</f>
        <v/>
      </c>
      <c r="L2298" t="str">
        <f>IF(A2298="","",IFERROR(LOOKUP(2,1/(#REF!=Z2298),#REF!),Y2298))</f>
        <v/>
      </c>
      <c r="Z2298" t="str">
        <f>IF(A2298="","",TEXT(A2298,"0")&amp;"|"&amp;TEXT(H2298,"0"))</f>
        <v/>
      </c>
      <c r="AA2298" t="str">
        <f>IF(Z2298="","",IFERROR(LOOKUP(2,1/(#REF!=Z2298),#REF!),""))</f>
        <v/>
      </c>
      <c r="AB2298" t="str">
        <f>IF(Z2298="","",IFERROR(LOOKUP(2,1/(#REF!=Z2298),#REF!),""))</f>
        <v/>
      </c>
      <c r="AC2298" t="str">
        <f>IF(Z2298="","",COUNTIF(#REF!,Z2298))</f>
        <v/>
      </c>
      <c r="AD2298" t="str">
        <f>IF(A2298="","",IF(AC2298&gt;1,"REVISAR DUPLICADO",IF(AA2298&lt;&gt;"","ACTUALIZADO POR EYR","SIN REPORTE EYR")))</f>
        <v/>
      </c>
    </row>
    <row r="2299" spans="11:30" x14ac:dyDescent="0.3">
      <c r="K2299" s="1" t="str">
        <f ca="1">IF(A2299="","",IF(OR(L2299="ENTREGADA",L2299="RETORNADA",L2299="ENTREGA DIGITAL"),0,MAX(0,5-NETWORKDAYS(H2299+1,TODAY()))))</f>
        <v/>
      </c>
      <c r="L2299" t="str">
        <f>IF(A2299="","",IFERROR(LOOKUP(2,1/(#REF!=Z2299),#REF!),Y2299))</f>
        <v/>
      </c>
      <c r="Z2299" t="str">
        <f>IF(A2299="","",TEXT(A2299,"0")&amp;"|"&amp;TEXT(H2299,"0"))</f>
        <v/>
      </c>
      <c r="AA2299" t="str">
        <f>IF(Z2299="","",IFERROR(LOOKUP(2,1/(#REF!=Z2299),#REF!),""))</f>
        <v/>
      </c>
      <c r="AB2299" t="str">
        <f>IF(Z2299="","",IFERROR(LOOKUP(2,1/(#REF!=Z2299),#REF!),""))</f>
        <v/>
      </c>
      <c r="AC2299" t="str">
        <f>IF(Z2299="","",COUNTIF(#REF!,Z2299))</f>
        <v/>
      </c>
      <c r="AD2299" t="str">
        <f>IF(A2299="","",IF(AC2299&gt;1,"REVISAR DUPLICADO",IF(AA2299&lt;&gt;"","ACTUALIZADO POR EYR","SIN REPORTE EYR")))</f>
        <v/>
      </c>
    </row>
    <row r="2300" spans="11:30" x14ac:dyDescent="0.3">
      <c r="K2300" s="1" t="str">
        <f ca="1">IF(A2300="","",IF(OR(L2300="ENTREGADA",L2300="RETORNADA",L2300="ENTREGA DIGITAL"),0,MAX(0,5-NETWORKDAYS(H2300+1,TODAY()))))</f>
        <v/>
      </c>
      <c r="L2300" t="str">
        <f>IF(A2300="","",IFERROR(LOOKUP(2,1/(#REF!=Z2300),#REF!),Y2300))</f>
        <v/>
      </c>
      <c r="Z2300" t="str">
        <f>IF(A2300="","",TEXT(A2300,"0")&amp;"|"&amp;TEXT(H2300,"0"))</f>
        <v/>
      </c>
      <c r="AA2300" t="str">
        <f>IF(Z2300="","",IFERROR(LOOKUP(2,1/(#REF!=Z2300),#REF!),""))</f>
        <v/>
      </c>
      <c r="AB2300" t="str">
        <f>IF(Z2300="","",IFERROR(LOOKUP(2,1/(#REF!=Z2300),#REF!),""))</f>
        <v/>
      </c>
      <c r="AC2300" t="str">
        <f>IF(Z2300="","",COUNTIF(#REF!,Z2300))</f>
        <v/>
      </c>
      <c r="AD2300" t="str">
        <f>IF(A2300="","",IF(AC2300&gt;1,"REVISAR DUPLICADO",IF(AA2300&lt;&gt;"","ACTUALIZADO POR EYR","SIN REPORTE EYR")))</f>
        <v/>
      </c>
    </row>
    <row r="2301" spans="11:30" x14ac:dyDescent="0.3">
      <c r="K2301" s="1" t="str">
        <f ca="1">IF(A2301="","",IF(OR(L2301="ENTREGADA",L2301="RETORNADA",L2301="ENTREGA DIGITAL"),0,MAX(0,5-NETWORKDAYS(H2301+1,TODAY()))))</f>
        <v/>
      </c>
      <c r="L2301" t="str">
        <f>IF(A2301="","",IFERROR(LOOKUP(2,1/(#REF!=Z2301),#REF!),Y2301))</f>
        <v/>
      </c>
      <c r="Z2301" t="str">
        <f>IF(A2301="","",TEXT(A2301,"0")&amp;"|"&amp;TEXT(H2301,"0"))</f>
        <v/>
      </c>
      <c r="AA2301" t="str">
        <f>IF(Z2301="","",IFERROR(LOOKUP(2,1/(#REF!=Z2301),#REF!),""))</f>
        <v/>
      </c>
      <c r="AB2301" t="str">
        <f>IF(Z2301="","",IFERROR(LOOKUP(2,1/(#REF!=Z2301),#REF!),""))</f>
        <v/>
      </c>
      <c r="AC2301" t="str">
        <f>IF(Z2301="","",COUNTIF(#REF!,Z2301))</f>
        <v/>
      </c>
      <c r="AD2301" t="str">
        <f>IF(A2301="","",IF(AC2301&gt;1,"REVISAR DUPLICADO",IF(AA2301&lt;&gt;"","ACTUALIZADO POR EYR","SIN REPORTE EYR")))</f>
        <v/>
      </c>
    </row>
    <row r="2302" spans="11:30" x14ac:dyDescent="0.3">
      <c r="K2302" s="1" t="str">
        <f ca="1">IF(A2302="","",IF(OR(L2302="ENTREGADA",L2302="RETORNADA",L2302="ENTREGA DIGITAL"),0,MAX(0,5-NETWORKDAYS(H2302+1,TODAY()))))</f>
        <v/>
      </c>
      <c r="L2302" t="str">
        <f>IF(A2302="","",IFERROR(LOOKUP(2,1/(#REF!=Z2302),#REF!),Y2302))</f>
        <v/>
      </c>
      <c r="Z2302" t="str">
        <f>IF(A2302="","",TEXT(A2302,"0")&amp;"|"&amp;TEXT(H2302,"0"))</f>
        <v/>
      </c>
      <c r="AA2302" t="str">
        <f>IF(Z2302="","",IFERROR(LOOKUP(2,1/(#REF!=Z2302),#REF!),""))</f>
        <v/>
      </c>
      <c r="AB2302" t="str">
        <f>IF(Z2302="","",IFERROR(LOOKUP(2,1/(#REF!=Z2302),#REF!),""))</f>
        <v/>
      </c>
      <c r="AC2302" t="str">
        <f>IF(Z2302="","",COUNTIF(#REF!,Z2302))</f>
        <v/>
      </c>
      <c r="AD2302" t="str">
        <f>IF(A2302="","",IF(AC2302&gt;1,"REVISAR DUPLICADO",IF(AA2302&lt;&gt;"","ACTUALIZADO POR EYR","SIN REPORTE EYR")))</f>
        <v/>
      </c>
    </row>
    <row r="2303" spans="11:30" x14ac:dyDescent="0.3">
      <c r="K2303" s="1" t="str">
        <f ca="1">IF(A2303="","",IF(OR(L2303="ENTREGADA",L2303="RETORNADA",L2303="ENTREGA DIGITAL"),0,MAX(0,5-NETWORKDAYS(H2303+1,TODAY()))))</f>
        <v/>
      </c>
      <c r="L2303" t="str">
        <f>IF(A2303="","",IFERROR(LOOKUP(2,1/(#REF!=Z2303),#REF!),Y2303))</f>
        <v/>
      </c>
      <c r="Z2303" t="str">
        <f>IF(A2303="","",TEXT(A2303,"0")&amp;"|"&amp;TEXT(H2303,"0"))</f>
        <v/>
      </c>
      <c r="AA2303" t="str">
        <f>IF(Z2303="","",IFERROR(LOOKUP(2,1/(#REF!=Z2303),#REF!),""))</f>
        <v/>
      </c>
      <c r="AB2303" t="str">
        <f>IF(Z2303="","",IFERROR(LOOKUP(2,1/(#REF!=Z2303),#REF!),""))</f>
        <v/>
      </c>
      <c r="AC2303" t="str">
        <f>IF(Z2303="","",COUNTIF(#REF!,Z2303))</f>
        <v/>
      </c>
      <c r="AD2303" t="str">
        <f>IF(A2303="","",IF(AC2303&gt;1,"REVISAR DUPLICADO",IF(AA2303&lt;&gt;"","ACTUALIZADO POR EYR","SIN REPORTE EYR")))</f>
        <v/>
      </c>
    </row>
    <row r="2304" spans="11:30" x14ac:dyDescent="0.3">
      <c r="K2304" s="1" t="str">
        <f ca="1">IF(A2304="","",IF(OR(L2304="ENTREGADA",L2304="RETORNADA",L2304="ENTREGA DIGITAL"),0,MAX(0,5-NETWORKDAYS(H2304+1,TODAY()))))</f>
        <v/>
      </c>
      <c r="L2304" t="str">
        <f>IF(A2304="","",IFERROR(LOOKUP(2,1/(#REF!=Z2304),#REF!),Y2304))</f>
        <v/>
      </c>
      <c r="Z2304" t="str">
        <f>IF(A2304="","",TEXT(A2304,"0")&amp;"|"&amp;TEXT(H2304,"0"))</f>
        <v/>
      </c>
      <c r="AA2304" t="str">
        <f>IF(Z2304="","",IFERROR(LOOKUP(2,1/(#REF!=Z2304),#REF!),""))</f>
        <v/>
      </c>
      <c r="AB2304" t="str">
        <f>IF(Z2304="","",IFERROR(LOOKUP(2,1/(#REF!=Z2304),#REF!),""))</f>
        <v/>
      </c>
      <c r="AC2304" t="str">
        <f>IF(Z2304="","",COUNTIF(#REF!,Z2304))</f>
        <v/>
      </c>
      <c r="AD2304" t="str">
        <f>IF(A2304="","",IF(AC2304&gt;1,"REVISAR DUPLICADO",IF(AA2304&lt;&gt;"","ACTUALIZADO POR EYR","SIN REPORTE EYR")))</f>
        <v/>
      </c>
    </row>
    <row r="2305" spans="11:30" x14ac:dyDescent="0.3">
      <c r="K2305" s="1" t="str">
        <f ca="1">IF(A2305="","",IF(OR(L2305="ENTREGADA",L2305="RETORNADA",L2305="ENTREGA DIGITAL"),0,MAX(0,5-NETWORKDAYS(H2305+1,TODAY()))))</f>
        <v/>
      </c>
      <c r="L2305" t="str">
        <f>IF(A2305="","",IFERROR(LOOKUP(2,1/(#REF!=Z2305),#REF!),Y2305))</f>
        <v/>
      </c>
      <c r="Z2305" t="str">
        <f>IF(A2305="","",TEXT(A2305,"0")&amp;"|"&amp;TEXT(H2305,"0"))</f>
        <v/>
      </c>
      <c r="AA2305" t="str">
        <f>IF(Z2305="","",IFERROR(LOOKUP(2,1/(#REF!=Z2305),#REF!),""))</f>
        <v/>
      </c>
      <c r="AB2305" t="str">
        <f>IF(Z2305="","",IFERROR(LOOKUP(2,1/(#REF!=Z2305),#REF!),""))</f>
        <v/>
      </c>
      <c r="AC2305" t="str">
        <f>IF(Z2305="","",COUNTIF(#REF!,Z2305))</f>
        <v/>
      </c>
      <c r="AD2305" t="str">
        <f>IF(A2305="","",IF(AC2305&gt;1,"REVISAR DUPLICADO",IF(AA2305&lt;&gt;"","ACTUALIZADO POR EYR","SIN REPORTE EYR")))</f>
        <v/>
      </c>
    </row>
    <row r="2306" spans="11:30" x14ac:dyDescent="0.3">
      <c r="K2306" s="1" t="str">
        <f ca="1">IF(A2306="","",IF(OR(L2306="ENTREGADA",L2306="RETORNADA",L2306="ENTREGA DIGITAL"),0,MAX(0,5-NETWORKDAYS(H2306+1,TODAY()))))</f>
        <v/>
      </c>
      <c r="L2306" t="str">
        <f>IF(A2306="","",IFERROR(LOOKUP(2,1/(#REF!=Z2306),#REF!),Y2306))</f>
        <v/>
      </c>
      <c r="Z2306" t="str">
        <f>IF(A2306="","",TEXT(A2306,"0")&amp;"|"&amp;TEXT(H2306,"0"))</f>
        <v/>
      </c>
      <c r="AA2306" t="str">
        <f>IF(Z2306="","",IFERROR(LOOKUP(2,1/(#REF!=Z2306),#REF!),""))</f>
        <v/>
      </c>
      <c r="AB2306" t="str">
        <f>IF(Z2306="","",IFERROR(LOOKUP(2,1/(#REF!=Z2306),#REF!),""))</f>
        <v/>
      </c>
      <c r="AC2306" t="str">
        <f>IF(Z2306="","",COUNTIF(#REF!,Z2306))</f>
        <v/>
      </c>
      <c r="AD2306" t="str">
        <f>IF(A2306="","",IF(AC2306&gt;1,"REVISAR DUPLICADO",IF(AA2306&lt;&gt;"","ACTUALIZADO POR EYR","SIN REPORTE EYR")))</f>
        <v/>
      </c>
    </row>
    <row r="2307" spans="11:30" x14ac:dyDescent="0.3">
      <c r="K2307" s="1" t="str">
        <f ca="1">IF(A2307="","",IF(OR(L2307="ENTREGADA",L2307="RETORNADA",L2307="ENTREGA DIGITAL"),0,MAX(0,5-NETWORKDAYS(H2307+1,TODAY()))))</f>
        <v/>
      </c>
      <c r="L2307" t="str">
        <f>IF(A2307="","",IFERROR(LOOKUP(2,1/(#REF!=Z2307),#REF!),Y2307))</f>
        <v/>
      </c>
      <c r="Z2307" t="str">
        <f>IF(A2307="","",TEXT(A2307,"0")&amp;"|"&amp;TEXT(H2307,"0"))</f>
        <v/>
      </c>
      <c r="AA2307" t="str">
        <f>IF(Z2307="","",IFERROR(LOOKUP(2,1/(#REF!=Z2307),#REF!),""))</f>
        <v/>
      </c>
      <c r="AB2307" t="str">
        <f>IF(Z2307="","",IFERROR(LOOKUP(2,1/(#REF!=Z2307),#REF!),""))</f>
        <v/>
      </c>
      <c r="AC2307" t="str">
        <f>IF(Z2307="","",COUNTIF(#REF!,Z2307))</f>
        <v/>
      </c>
      <c r="AD2307" t="str">
        <f>IF(A2307="","",IF(AC2307&gt;1,"REVISAR DUPLICADO",IF(AA2307&lt;&gt;"","ACTUALIZADO POR EYR","SIN REPORTE EYR")))</f>
        <v/>
      </c>
    </row>
    <row r="2308" spans="11:30" x14ac:dyDescent="0.3">
      <c r="K2308" s="1" t="str">
        <f ca="1">IF(A2308="","",IF(OR(L2308="ENTREGADA",L2308="RETORNADA",L2308="ENTREGA DIGITAL"),0,MAX(0,5-NETWORKDAYS(H2308+1,TODAY()))))</f>
        <v/>
      </c>
      <c r="L2308" t="str">
        <f>IF(A2308="","",IFERROR(LOOKUP(2,1/(#REF!=Z2308),#REF!),Y2308))</f>
        <v/>
      </c>
      <c r="Z2308" t="str">
        <f>IF(A2308="","",TEXT(A2308,"0")&amp;"|"&amp;TEXT(H2308,"0"))</f>
        <v/>
      </c>
      <c r="AA2308" t="str">
        <f>IF(Z2308="","",IFERROR(LOOKUP(2,1/(#REF!=Z2308),#REF!),""))</f>
        <v/>
      </c>
      <c r="AB2308" t="str">
        <f>IF(Z2308="","",IFERROR(LOOKUP(2,1/(#REF!=Z2308),#REF!),""))</f>
        <v/>
      </c>
      <c r="AC2308" t="str">
        <f>IF(Z2308="","",COUNTIF(#REF!,Z2308))</f>
        <v/>
      </c>
      <c r="AD2308" t="str">
        <f>IF(A2308="","",IF(AC2308&gt;1,"REVISAR DUPLICADO",IF(AA2308&lt;&gt;"","ACTUALIZADO POR EYR","SIN REPORTE EYR")))</f>
        <v/>
      </c>
    </row>
    <row r="2309" spans="11:30" x14ac:dyDescent="0.3">
      <c r="K2309" s="1" t="str">
        <f ca="1">IF(A2309="","",IF(OR(L2309="ENTREGADA",L2309="RETORNADA",L2309="ENTREGA DIGITAL"),0,MAX(0,5-NETWORKDAYS(H2309+1,TODAY()))))</f>
        <v/>
      </c>
      <c r="L2309" t="str">
        <f>IF(A2309="","",IFERROR(LOOKUP(2,1/(#REF!=Z2309),#REF!),Y2309))</f>
        <v/>
      </c>
      <c r="Z2309" t="str">
        <f>IF(A2309="","",TEXT(A2309,"0")&amp;"|"&amp;TEXT(H2309,"0"))</f>
        <v/>
      </c>
      <c r="AA2309" t="str">
        <f>IF(Z2309="","",IFERROR(LOOKUP(2,1/(#REF!=Z2309),#REF!),""))</f>
        <v/>
      </c>
      <c r="AB2309" t="str">
        <f>IF(Z2309="","",IFERROR(LOOKUP(2,1/(#REF!=Z2309),#REF!),""))</f>
        <v/>
      </c>
      <c r="AC2309" t="str">
        <f>IF(Z2309="","",COUNTIF(#REF!,Z2309))</f>
        <v/>
      </c>
      <c r="AD2309" t="str">
        <f>IF(A2309="","",IF(AC2309&gt;1,"REVISAR DUPLICADO",IF(AA2309&lt;&gt;"","ACTUALIZADO POR EYR","SIN REPORTE EYR")))</f>
        <v/>
      </c>
    </row>
    <row r="2310" spans="11:30" x14ac:dyDescent="0.3">
      <c r="K2310" s="1" t="str">
        <f ca="1">IF(A2310="","",IF(OR(L2310="ENTREGADA",L2310="RETORNADA",L2310="ENTREGA DIGITAL"),0,MAX(0,5-NETWORKDAYS(H2310+1,TODAY()))))</f>
        <v/>
      </c>
      <c r="L2310" t="str">
        <f>IF(A2310="","",IFERROR(LOOKUP(2,1/(#REF!=Z2310),#REF!),Y2310))</f>
        <v/>
      </c>
      <c r="Z2310" t="str">
        <f>IF(A2310="","",TEXT(A2310,"0")&amp;"|"&amp;TEXT(H2310,"0"))</f>
        <v/>
      </c>
      <c r="AA2310" t="str">
        <f>IF(Z2310="","",IFERROR(LOOKUP(2,1/(#REF!=Z2310),#REF!),""))</f>
        <v/>
      </c>
      <c r="AB2310" t="str">
        <f>IF(Z2310="","",IFERROR(LOOKUP(2,1/(#REF!=Z2310),#REF!),""))</f>
        <v/>
      </c>
      <c r="AC2310" t="str">
        <f>IF(Z2310="","",COUNTIF(#REF!,Z2310))</f>
        <v/>
      </c>
      <c r="AD2310" t="str">
        <f>IF(A2310="","",IF(AC2310&gt;1,"REVISAR DUPLICADO",IF(AA2310&lt;&gt;"","ACTUALIZADO POR EYR","SIN REPORTE EYR")))</f>
        <v/>
      </c>
    </row>
    <row r="2311" spans="11:30" x14ac:dyDescent="0.3">
      <c r="K2311" s="1" t="str">
        <f ca="1">IF(A2311="","",IF(OR(L2311="ENTREGADA",L2311="RETORNADA",L2311="ENTREGA DIGITAL"),0,MAX(0,5-NETWORKDAYS(H2311+1,TODAY()))))</f>
        <v/>
      </c>
      <c r="L2311" t="str">
        <f>IF(A2311="","",IFERROR(LOOKUP(2,1/(#REF!=Z2311),#REF!),Y2311))</f>
        <v/>
      </c>
      <c r="Z2311" t="str">
        <f>IF(A2311="","",TEXT(A2311,"0")&amp;"|"&amp;TEXT(H2311,"0"))</f>
        <v/>
      </c>
      <c r="AA2311" t="str">
        <f>IF(Z2311="","",IFERROR(LOOKUP(2,1/(#REF!=Z2311),#REF!),""))</f>
        <v/>
      </c>
      <c r="AB2311" t="str">
        <f>IF(Z2311="","",IFERROR(LOOKUP(2,1/(#REF!=Z2311),#REF!),""))</f>
        <v/>
      </c>
      <c r="AC2311" t="str">
        <f>IF(Z2311="","",COUNTIF(#REF!,Z2311))</f>
        <v/>
      </c>
      <c r="AD2311" t="str">
        <f>IF(A2311="","",IF(AC2311&gt;1,"REVISAR DUPLICADO",IF(AA2311&lt;&gt;"","ACTUALIZADO POR EYR","SIN REPORTE EYR")))</f>
        <v/>
      </c>
    </row>
    <row r="2312" spans="11:30" x14ac:dyDescent="0.3">
      <c r="K2312" s="1" t="str">
        <f ca="1">IF(A2312="","",IF(OR(L2312="ENTREGADA",L2312="RETORNADA",L2312="ENTREGA DIGITAL"),0,MAX(0,5-NETWORKDAYS(H2312+1,TODAY()))))</f>
        <v/>
      </c>
      <c r="L2312" t="str">
        <f>IF(A2312="","",IFERROR(LOOKUP(2,1/(#REF!=Z2312),#REF!),Y2312))</f>
        <v/>
      </c>
      <c r="Z2312" t="str">
        <f>IF(A2312="","",TEXT(A2312,"0")&amp;"|"&amp;TEXT(H2312,"0"))</f>
        <v/>
      </c>
      <c r="AA2312" t="str">
        <f>IF(Z2312="","",IFERROR(LOOKUP(2,1/(#REF!=Z2312),#REF!),""))</f>
        <v/>
      </c>
      <c r="AB2312" t="str">
        <f>IF(Z2312="","",IFERROR(LOOKUP(2,1/(#REF!=Z2312),#REF!),""))</f>
        <v/>
      </c>
      <c r="AC2312" t="str">
        <f>IF(Z2312="","",COUNTIF(#REF!,Z2312))</f>
        <v/>
      </c>
      <c r="AD2312" t="str">
        <f>IF(A2312="","",IF(AC2312&gt;1,"REVISAR DUPLICADO",IF(AA2312&lt;&gt;"","ACTUALIZADO POR EYR","SIN REPORTE EYR")))</f>
        <v/>
      </c>
    </row>
    <row r="2313" spans="11:30" x14ac:dyDescent="0.3">
      <c r="K2313" s="1" t="str">
        <f ca="1">IF(A2313="","",IF(OR(L2313="ENTREGADA",L2313="RETORNADA",L2313="ENTREGA DIGITAL"),0,MAX(0,5-NETWORKDAYS(H2313+1,TODAY()))))</f>
        <v/>
      </c>
      <c r="L2313" t="str">
        <f>IF(A2313="","",IFERROR(LOOKUP(2,1/(#REF!=Z2313),#REF!),Y2313))</f>
        <v/>
      </c>
      <c r="Z2313" t="str">
        <f>IF(A2313="","",TEXT(A2313,"0")&amp;"|"&amp;TEXT(H2313,"0"))</f>
        <v/>
      </c>
      <c r="AA2313" t="str">
        <f>IF(Z2313="","",IFERROR(LOOKUP(2,1/(#REF!=Z2313),#REF!),""))</f>
        <v/>
      </c>
      <c r="AB2313" t="str">
        <f>IF(Z2313="","",IFERROR(LOOKUP(2,1/(#REF!=Z2313),#REF!),""))</f>
        <v/>
      </c>
      <c r="AC2313" t="str">
        <f>IF(Z2313="","",COUNTIF(#REF!,Z2313))</f>
        <v/>
      </c>
      <c r="AD2313" t="str">
        <f>IF(A2313="","",IF(AC2313&gt;1,"REVISAR DUPLICADO",IF(AA2313&lt;&gt;"","ACTUALIZADO POR EYR","SIN REPORTE EYR")))</f>
        <v/>
      </c>
    </row>
    <row r="2314" spans="11:30" x14ac:dyDescent="0.3">
      <c r="K2314" s="1" t="str">
        <f ca="1">IF(A2314="","",IF(OR(L2314="ENTREGADA",L2314="RETORNADA",L2314="ENTREGA DIGITAL"),0,MAX(0,5-NETWORKDAYS(H2314+1,TODAY()))))</f>
        <v/>
      </c>
      <c r="L2314" t="str">
        <f>IF(A2314="","",IFERROR(LOOKUP(2,1/(#REF!=Z2314),#REF!),Y2314))</f>
        <v/>
      </c>
      <c r="Z2314" t="str">
        <f>IF(A2314="","",TEXT(A2314,"0")&amp;"|"&amp;TEXT(H2314,"0"))</f>
        <v/>
      </c>
      <c r="AA2314" t="str">
        <f>IF(Z2314="","",IFERROR(LOOKUP(2,1/(#REF!=Z2314),#REF!),""))</f>
        <v/>
      </c>
      <c r="AB2314" t="str">
        <f>IF(Z2314="","",IFERROR(LOOKUP(2,1/(#REF!=Z2314),#REF!),""))</f>
        <v/>
      </c>
      <c r="AC2314" t="str">
        <f>IF(Z2314="","",COUNTIF(#REF!,Z2314))</f>
        <v/>
      </c>
      <c r="AD2314" t="str">
        <f>IF(A2314="","",IF(AC2314&gt;1,"REVISAR DUPLICADO",IF(AA2314&lt;&gt;"","ACTUALIZADO POR EYR","SIN REPORTE EYR")))</f>
        <v/>
      </c>
    </row>
    <row r="2315" spans="11:30" x14ac:dyDescent="0.3">
      <c r="K2315" s="1" t="str">
        <f ca="1">IF(A2315="","",IF(OR(L2315="ENTREGADA",L2315="RETORNADA",L2315="ENTREGA DIGITAL"),0,MAX(0,5-NETWORKDAYS(H2315+1,TODAY()))))</f>
        <v/>
      </c>
      <c r="L2315" t="str">
        <f>IF(A2315="","",IFERROR(LOOKUP(2,1/(#REF!=Z2315),#REF!),Y2315))</f>
        <v/>
      </c>
      <c r="Z2315" t="str">
        <f>IF(A2315="","",TEXT(A2315,"0")&amp;"|"&amp;TEXT(H2315,"0"))</f>
        <v/>
      </c>
      <c r="AA2315" t="str">
        <f>IF(Z2315="","",IFERROR(LOOKUP(2,1/(#REF!=Z2315),#REF!),""))</f>
        <v/>
      </c>
      <c r="AB2315" t="str">
        <f>IF(Z2315="","",IFERROR(LOOKUP(2,1/(#REF!=Z2315),#REF!),""))</f>
        <v/>
      </c>
      <c r="AC2315" t="str">
        <f>IF(Z2315="","",COUNTIF(#REF!,Z2315))</f>
        <v/>
      </c>
      <c r="AD2315" t="str">
        <f>IF(A2315="","",IF(AC2315&gt;1,"REVISAR DUPLICADO",IF(AA2315&lt;&gt;"","ACTUALIZADO POR EYR","SIN REPORTE EYR")))</f>
        <v/>
      </c>
    </row>
    <row r="2316" spans="11:30" x14ac:dyDescent="0.3">
      <c r="K2316" s="1" t="str">
        <f ca="1">IF(A2316="","",IF(OR(L2316="ENTREGADA",L2316="RETORNADA",L2316="ENTREGA DIGITAL"),0,MAX(0,5-NETWORKDAYS(H2316+1,TODAY()))))</f>
        <v/>
      </c>
      <c r="L2316" t="str">
        <f>IF(A2316="","",IFERROR(LOOKUP(2,1/(#REF!=Z2316),#REF!),Y2316))</f>
        <v/>
      </c>
      <c r="Z2316" t="str">
        <f>IF(A2316="","",TEXT(A2316,"0")&amp;"|"&amp;TEXT(H2316,"0"))</f>
        <v/>
      </c>
      <c r="AA2316" t="str">
        <f>IF(Z2316="","",IFERROR(LOOKUP(2,1/(#REF!=Z2316),#REF!),""))</f>
        <v/>
      </c>
      <c r="AB2316" t="str">
        <f>IF(Z2316="","",IFERROR(LOOKUP(2,1/(#REF!=Z2316),#REF!),""))</f>
        <v/>
      </c>
      <c r="AC2316" t="str">
        <f>IF(Z2316="","",COUNTIF(#REF!,Z2316))</f>
        <v/>
      </c>
      <c r="AD2316" t="str">
        <f>IF(A2316="","",IF(AC2316&gt;1,"REVISAR DUPLICADO",IF(AA2316&lt;&gt;"","ACTUALIZADO POR EYR","SIN REPORTE EYR")))</f>
        <v/>
      </c>
    </row>
    <row r="2317" spans="11:30" x14ac:dyDescent="0.3">
      <c r="K2317" s="1" t="str">
        <f ca="1">IF(A2317="","",IF(OR(L2317="ENTREGADA",L2317="RETORNADA",L2317="ENTREGA DIGITAL"),0,MAX(0,5-NETWORKDAYS(H2317+1,TODAY()))))</f>
        <v/>
      </c>
      <c r="L2317" t="str">
        <f>IF(A2317="","",IFERROR(LOOKUP(2,1/(#REF!=Z2317),#REF!),Y2317))</f>
        <v/>
      </c>
      <c r="Z2317" t="str">
        <f>IF(A2317="","",TEXT(A2317,"0")&amp;"|"&amp;TEXT(H2317,"0"))</f>
        <v/>
      </c>
      <c r="AA2317" t="str">
        <f>IF(Z2317="","",IFERROR(LOOKUP(2,1/(#REF!=Z2317),#REF!),""))</f>
        <v/>
      </c>
      <c r="AB2317" t="str">
        <f>IF(Z2317="","",IFERROR(LOOKUP(2,1/(#REF!=Z2317),#REF!),""))</f>
        <v/>
      </c>
      <c r="AC2317" t="str">
        <f>IF(Z2317="","",COUNTIF(#REF!,Z2317))</f>
        <v/>
      </c>
      <c r="AD2317" t="str">
        <f>IF(A2317="","",IF(AC2317&gt;1,"REVISAR DUPLICADO",IF(AA2317&lt;&gt;"","ACTUALIZADO POR EYR","SIN REPORTE EYR")))</f>
        <v/>
      </c>
    </row>
    <row r="2318" spans="11:30" x14ac:dyDescent="0.3">
      <c r="K2318" s="1" t="str">
        <f ca="1">IF(A2318="","",IF(OR(L2318="ENTREGADA",L2318="RETORNADA",L2318="ENTREGA DIGITAL"),0,MAX(0,5-NETWORKDAYS(H2318+1,TODAY()))))</f>
        <v/>
      </c>
      <c r="L2318" t="str">
        <f>IF(A2318="","",IFERROR(LOOKUP(2,1/(#REF!=Z2318),#REF!),Y2318))</f>
        <v/>
      </c>
      <c r="Z2318" t="str">
        <f>IF(A2318="","",TEXT(A2318,"0")&amp;"|"&amp;TEXT(H2318,"0"))</f>
        <v/>
      </c>
      <c r="AA2318" t="str">
        <f>IF(Z2318="","",IFERROR(LOOKUP(2,1/(#REF!=Z2318),#REF!),""))</f>
        <v/>
      </c>
      <c r="AB2318" t="str">
        <f>IF(Z2318="","",IFERROR(LOOKUP(2,1/(#REF!=Z2318),#REF!),""))</f>
        <v/>
      </c>
      <c r="AC2318" t="str">
        <f>IF(Z2318="","",COUNTIF(#REF!,Z2318))</f>
        <v/>
      </c>
      <c r="AD2318" t="str">
        <f>IF(A2318="","",IF(AC2318&gt;1,"REVISAR DUPLICADO",IF(AA2318&lt;&gt;"","ACTUALIZADO POR EYR","SIN REPORTE EYR")))</f>
        <v/>
      </c>
    </row>
    <row r="2319" spans="11:30" x14ac:dyDescent="0.3">
      <c r="K2319" s="1" t="str">
        <f ca="1">IF(A2319="","",IF(OR(L2319="ENTREGADA",L2319="RETORNADA",L2319="ENTREGA DIGITAL"),0,MAX(0,5-NETWORKDAYS(H2319+1,TODAY()))))</f>
        <v/>
      </c>
      <c r="L2319" t="str">
        <f>IF(A2319="","",IFERROR(LOOKUP(2,1/(#REF!=Z2319),#REF!),Y2319))</f>
        <v/>
      </c>
      <c r="Z2319" t="str">
        <f>IF(A2319="","",TEXT(A2319,"0")&amp;"|"&amp;TEXT(H2319,"0"))</f>
        <v/>
      </c>
      <c r="AA2319" t="str">
        <f>IF(Z2319="","",IFERROR(LOOKUP(2,1/(#REF!=Z2319),#REF!),""))</f>
        <v/>
      </c>
      <c r="AB2319" t="str">
        <f>IF(Z2319="","",IFERROR(LOOKUP(2,1/(#REF!=Z2319),#REF!),""))</f>
        <v/>
      </c>
      <c r="AC2319" t="str">
        <f>IF(Z2319="","",COUNTIF(#REF!,Z2319))</f>
        <v/>
      </c>
      <c r="AD2319" t="str">
        <f>IF(A2319="","",IF(AC2319&gt;1,"REVISAR DUPLICADO",IF(AA2319&lt;&gt;"","ACTUALIZADO POR EYR","SIN REPORTE EYR")))</f>
        <v/>
      </c>
    </row>
    <row r="2320" spans="11:30" x14ac:dyDescent="0.3">
      <c r="K2320" s="1" t="str">
        <f ca="1">IF(A2320="","",IF(OR(L2320="ENTREGADA",L2320="RETORNADA",L2320="ENTREGA DIGITAL"),0,MAX(0,5-NETWORKDAYS(H2320+1,TODAY()))))</f>
        <v/>
      </c>
      <c r="L2320" t="str">
        <f>IF(A2320="","",IFERROR(LOOKUP(2,1/(#REF!=Z2320),#REF!),Y2320))</f>
        <v/>
      </c>
      <c r="Z2320" t="str">
        <f>IF(A2320="","",TEXT(A2320,"0")&amp;"|"&amp;TEXT(H2320,"0"))</f>
        <v/>
      </c>
      <c r="AA2320" t="str">
        <f>IF(Z2320="","",IFERROR(LOOKUP(2,1/(#REF!=Z2320),#REF!),""))</f>
        <v/>
      </c>
      <c r="AB2320" t="str">
        <f>IF(Z2320="","",IFERROR(LOOKUP(2,1/(#REF!=Z2320),#REF!),""))</f>
        <v/>
      </c>
      <c r="AC2320" t="str">
        <f>IF(Z2320="","",COUNTIF(#REF!,Z2320))</f>
        <v/>
      </c>
      <c r="AD2320" t="str">
        <f>IF(A2320="","",IF(AC2320&gt;1,"REVISAR DUPLICADO",IF(AA2320&lt;&gt;"","ACTUALIZADO POR EYR","SIN REPORTE EYR")))</f>
        <v/>
      </c>
    </row>
    <row r="2321" spans="11:30" x14ac:dyDescent="0.3">
      <c r="K2321" s="1" t="str">
        <f ca="1">IF(A2321="","",IF(OR(L2321="ENTREGADA",L2321="RETORNADA",L2321="ENTREGA DIGITAL"),0,MAX(0,5-NETWORKDAYS(H2321+1,TODAY()))))</f>
        <v/>
      </c>
      <c r="L2321" t="str">
        <f>IF(A2321="","",IFERROR(LOOKUP(2,1/(#REF!=Z2321),#REF!),Y2321))</f>
        <v/>
      </c>
      <c r="Z2321" t="str">
        <f>IF(A2321="","",TEXT(A2321,"0")&amp;"|"&amp;TEXT(H2321,"0"))</f>
        <v/>
      </c>
      <c r="AA2321" t="str">
        <f>IF(Z2321="","",IFERROR(LOOKUP(2,1/(#REF!=Z2321),#REF!),""))</f>
        <v/>
      </c>
      <c r="AB2321" t="str">
        <f>IF(Z2321="","",IFERROR(LOOKUP(2,1/(#REF!=Z2321),#REF!),""))</f>
        <v/>
      </c>
      <c r="AC2321" t="str">
        <f>IF(Z2321="","",COUNTIF(#REF!,Z2321))</f>
        <v/>
      </c>
      <c r="AD2321" t="str">
        <f>IF(A2321="","",IF(AC2321&gt;1,"REVISAR DUPLICADO",IF(AA2321&lt;&gt;"","ACTUALIZADO POR EYR","SIN REPORTE EYR")))</f>
        <v/>
      </c>
    </row>
    <row r="2322" spans="11:30" x14ac:dyDescent="0.3">
      <c r="K2322" s="1" t="str">
        <f ca="1">IF(A2322="","",IF(OR(L2322="ENTREGADA",L2322="RETORNADA",L2322="ENTREGA DIGITAL"),0,MAX(0,5-NETWORKDAYS(H2322+1,TODAY()))))</f>
        <v/>
      </c>
      <c r="L2322" t="str">
        <f>IF(A2322="","",IFERROR(LOOKUP(2,1/(#REF!=Z2322),#REF!),Y2322))</f>
        <v/>
      </c>
      <c r="Z2322" t="str">
        <f>IF(A2322="","",TEXT(A2322,"0")&amp;"|"&amp;TEXT(H2322,"0"))</f>
        <v/>
      </c>
      <c r="AA2322" t="str">
        <f>IF(Z2322="","",IFERROR(LOOKUP(2,1/(#REF!=Z2322),#REF!),""))</f>
        <v/>
      </c>
      <c r="AB2322" t="str">
        <f>IF(Z2322="","",IFERROR(LOOKUP(2,1/(#REF!=Z2322),#REF!),""))</f>
        <v/>
      </c>
      <c r="AC2322" t="str">
        <f>IF(Z2322="","",COUNTIF(#REF!,Z2322))</f>
        <v/>
      </c>
      <c r="AD2322" t="str">
        <f>IF(A2322="","",IF(AC2322&gt;1,"REVISAR DUPLICADO",IF(AA2322&lt;&gt;"","ACTUALIZADO POR EYR","SIN REPORTE EYR")))</f>
        <v/>
      </c>
    </row>
    <row r="2323" spans="11:30" x14ac:dyDescent="0.3">
      <c r="K2323" s="1" t="str">
        <f ca="1">IF(A2323="","",IF(OR(L2323="ENTREGADA",L2323="RETORNADA",L2323="ENTREGA DIGITAL"),0,MAX(0,5-NETWORKDAYS(H2323+1,TODAY()))))</f>
        <v/>
      </c>
      <c r="L2323" t="str">
        <f>IF(A2323="","",IFERROR(LOOKUP(2,1/(#REF!=Z2323),#REF!),Y2323))</f>
        <v/>
      </c>
      <c r="Z2323" t="str">
        <f>IF(A2323="","",TEXT(A2323,"0")&amp;"|"&amp;TEXT(H2323,"0"))</f>
        <v/>
      </c>
      <c r="AA2323" t="str">
        <f>IF(Z2323="","",IFERROR(LOOKUP(2,1/(#REF!=Z2323),#REF!),""))</f>
        <v/>
      </c>
      <c r="AB2323" t="str">
        <f>IF(Z2323="","",IFERROR(LOOKUP(2,1/(#REF!=Z2323),#REF!),""))</f>
        <v/>
      </c>
      <c r="AC2323" t="str">
        <f>IF(Z2323="","",COUNTIF(#REF!,Z2323))</f>
        <v/>
      </c>
      <c r="AD2323" t="str">
        <f>IF(A2323="","",IF(AC2323&gt;1,"REVISAR DUPLICADO",IF(AA2323&lt;&gt;"","ACTUALIZADO POR EYR","SIN REPORTE EYR")))</f>
        <v/>
      </c>
    </row>
    <row r="2324" spans="11:30" x14ac:dyDescent="0.3">
      <c r="K2324" s="1" t="str">
        <f ca="1">IF(A2324="","",IF(OR(L2324="ENTREGADA",L2324="RETORNADA",L2324="ENTREGA DIGITAL"),0,MAX(0,5-NETWORKDAYS(H2324+1,TODAY()))))</f>
        <v/>
      </c>
      <c r="L2324" t="str">
        <f>IF(A2324="","",IFERROR(LOOKUP(2,1/(#REF!=Z2324),#REF!),Y2324))</f>
        <v/>
      </c>
      <c r="Z2324" t="str">
        <f>IF(A2324="","",TEXT(A2324,"0")&amp;"|"&amp;TEXT(H2324,"0"))</f>
        <v/>
      </c>
      <c r="AA2324" t="str">
        <f>IF(Z2324="","",IFERROR(LOOKUP(2,1/(#REF!=Z2324),#REF!),""))</f>
        <v/>
      </c>
      <c r="AB2324" t="str">
        <f>IF(Z2324="","",IFERROR(LOOKUP(2,1/(#REF!=Z2324),#REF!),""))</f>
        <v/>
      </c>
      <c r="AC2324" t="str">
        <f>IF(Z2324="","",COUNTIF(#REF!,Z2324))</f>
        <v/>
      </c>
      <c r="AD2324" t="str">
        <f>IF(A2324="","",IF(AC2324&gt;1,"REVISAR DUPLICADO",IF(AA2324&lt;&gt;"","ACTUALIZADO POR EYR","SIN REPORTE EYR")))</f>
        <v/>
      </c>
    </row>
    <row r="2325" spans="11:30" x14ac:dyDescent="0.3">
      <c r="K2325" s="1" t="str">
        <f ca="1">IF(A2325="","",IF(OR(L2325="ENTREGADA",L2325="RETORNADA",L2325="ENTREGA DIGITAL"),0,MAX(0,5-NETWORKDAYS(H2325+1,TODAY()))))</f>
        <v/>
      </c>
      <c r="L2325" t="str">
        <f>IF(A2325="","",IFERROR(LOOKUP(2,1/(#REF!=Z2325),#REF!),Y2325))</f>
        <v/>
      </c>
      <c r="Z2325" t="str">
        <f>IF(A2325="","",TEXT(A2325,"0")&amp;"|"&amp;TEXT(H2325,"0"))</f>
        <v/>
      </c>
      <c r="AA2325" t="str">
        <f>IF(Z2325="","",IFERROR(LOOKUP(2,1/(#REF!=Z2325),#REF!),""))</f>
        <v/>
      </c>
      <c r="AB2325" t="str">
        <f>IF(Z2325="","",IFERROR(LOOKUP(2,1/(#REF!=Z2325),#REF!),""))</f>
        <v/>
      </c>
      <c r="AC2325" t="str">
        <f>IF(Z2325="","",COUNTIF(#REF!,Z2325))</f>
        <v/>
      </c>
      <c r="AD2325" t="str">
        <f>IF(A2325="","",IF(AC2325&gt;1,"REVISAR DUPLICADO",IF(AA2325&lt;&gt;"","ACTUALIZADO POR EYR","SIN REPORTE EYR")))</f>
        <v/>
      </c>
    </row>
    <row r="2326" spans="11:30" x14ac:dyDescent="0.3">
      <c r="K2326" s="1" t="str">
        <f ca="1">IF(A2326="","",IF(OR(L2326="ENTREGADA",L2326="RETORNADA",L2326="ENTREGA DIGITAL"),0,MAX(0,5-NETWORKDAYS(H2326+1,TODAY()))))</f>
        <v/>
      </c>
      <c r="L2326" t="str">
        <f>IF(A2326="","",IFERROR(LOOKUP(2,1/(#REF!=Z2326),#REF!),Y2326))</f>
        <v/>
      </c>
      <c r="Z2326" t="str">
        <f>IF(A2326="","",TEXT(A2326,"0")&amp;"|"&amp;TEXT(H2326,"0"))</f>
        <v/>
      </c>
      <c r="AA2326" t="str">
        <f>IF(Z2326="","",IFERROR(LOOKUP(2,1/(#REF!=Z2326),#REF!),""))</f>
        <v/>
      </c>
      <c r="AB2326" t="str">
        <f>IF(Z2326="","",IFERROR(LOOKUP(2,1/(#REF!=Z2326),#REF!),""))</f>
        <v/>
      </c>
      <c r="AC2326" t="str">
        <f>IF(Z2326="","",COUNTIF(#REF!,Z2326))</f>
        <v/>
      </c>
      <c r="AD2326" t="str">
        <f>IF(A2326="","",IF(AC2326&gt;1,"REVISAR DUPLICADO",IF(AA2326&lt;&gt;"","ACTUALIZADO POR EYR","SIN REPORTE EYR")))</f>
        <v/>
      </c>
    </row>
    <row r="2327" spans="11:30" x14ac:dyDescent="0.3">
      <c r="K2327" s="1" t="str">
        <f ca="1">IF(A2327="","",IF(OR(L2327="ENTREGADA",L2327="RETORNADA",L2327="ENTREGA DIGITAL"),0,MAX(0,5-NETWORKDAYS(H2327+1,TODAY()))))</f>
        <v/>
      </c>
      <c r="L2327" t="str">
        <f>IF(A2327="","",IFERROR(LOOKUP(2,1/(#REF!=Z2327),#REF!),Y2327))</f>
        <v/>
      </c>
      <c r="Z2327" t="str">
        <f>IF(A2327="","",TEXT(A2327,"0")&amp;"|"&amp;TEXT(H2327,"0"))</f>
        <v/>
      </c>
      <c r="AA2327" t="str">
        <f>IF(Z2327="","",IFERROR(LOOKUP(2,1/(#REF!=Z2327),#REF!),""))</f>
        <v/>
      </c>
      <c r="AB2327" t="str">
        <f>IF(Z2327="","",IFERROR(LOOKUP(2,1/(#REF!=Z2327),#REF!),""))</f>
        <v/>
      </c>
      <c r="AC2327" t="str">
        <f>IF(Z2327="","",COUNTIF(#REF!,Z2327))</f>
        <v/>
      </c>
      <c r="AD2327" t="str">
        <f>IF(A2327="","",IF(AC2327&gt;1,"REVISAR DUPLICADO",IF(AA2327&lt;&gt;"","ACTUALIZADO POR EYR","SIN REPORTE EYR")))</f>
        <v/>
      </c>
    </row>
    <row r="2328" spans="11:30" x14ac:dyDescent="0.3">
      <c r="K2328" s="1" t="str">
        <f ca="1">IF(A2328="","",IF(OR(L2328="ENTREGADA",L2328="RETORNADA",L2328="ENTREGA DIGITAL"),0,MAX(0,5-NETWORKDAYS(H2328+1,TODAY()))))</f>
        <v/>
      </c>
      <c r="L2328" t="str">
        <f>IF(A2328="","",IFERROR(LOOKUP(2,1/(#REF!=Z2328),#REF!),Y2328))</f>
        <v/>
      </c>
      <c r="Z2328" t="str">
        <f>IF(A2328="","",TEXT(A2328,"0")&amp;"|"&amp;TEXT(H2328,"0"))</f>
        <v/>
      </c>
      <c r="AA2328" t="str">
        <f>IF(Z2328="","",IFERROR(LOOKUP(2,1/(#REF!=Z2328),#REF!),""))</f>
        <v/>
      </c>
      <c r="AB2328" t="str">
        <f>IF(Z2328="","",IFERROR(LOOKUP(2,1/(#REF!=Z2328),#REF!),""))</f>
        <v/>
      </c>
      <c r="AC2328" t="str">
        <f>IF(Z2328="","",COUNTIF(#REF!,Z2328))</f>
        <v/>
      </c>
      <c r="AD2328" t="str">
        <f>IF(A2328="","",IF(AC2328&gt;1,"REVISAR DUPLICADO",IF(AA2328&lt;&gt;"","ACTUALIZADO POR EYR","SIN REPORTE EYR")))</f>
        <v/>
      </c>
    </row>
    <row r="2329" spans="11:30" x14ac:dyDescent="0.3">
      <c r="K2329" s="1" t="str">
        <f ca="1">IF(A2329="","",IF(OR(L2329="ENTREGADA",L2329="RETORNADA",L2329="ENTREGA DIGITAL"),0,MAX(0,5-NETWORKDAYS(H2329+1,TODAY()))))</f>
        <v/>
      </c>
      <c r="L2329" t="str">
        <f>IF(A2329="","",IFERROR(LOOKUP(2,1/(#REF!=Z2329),#REF!),Y2329))</f>
        <v/>
      </c>
      <c r="Z2329" t="str">
        <f>IF(A2329="","",TEXT(A2329,"0")&amp;"|"&amp;TEXT(H2329,"0"))</f>
        <v/>
      </c>
      <c r="AA2329" t="str">
        <f>IF(Z2329="","",IFERROR(LOOKUP(2,1/(#REF!=Z2329),#REF!),""))</f>
        <v/>
      </c>
      <c r="AB2329" t="str">
        <f>IF(Z2329="","",IFERROR(LOOKUP(2,1/(#REF!=Z2329),#REF!),""))</f>
        <v/>
      </c>
      <c r="AC2329" t="str">
        <f>IF(Z2329="","",COUNTIF(#REF!,Z2329))</f>
        <v/>
      </c>
      <c r="AD2329" t="str">
        <f>IF(A2329="","",IF(AC2329&gt;1,"REVISAR DUPLICADO",IF(AA2329&lt;&gt;"","ACTUALIZADO POR EYR","SIN REPORTE EYR")))</f>
        <v/>
      </c>
    </row>
    <row r="2330" spans="11:30" x14ac:dyDescent="0.3">
      <c r="K2330" s="1" t="str">
        <f ca="1">IF(A2330="","",IF(OR(L2330="ENTREGADA",L2330="RETORNADA",L2330="ENTREGA DIGITAL"),0,MAX(0,5-NETWORKDAYS(H2330+1,TODAY()))))</f>
        <v/>
      </c>
      <c r="L2330" t="str">
        <f>IF(A2330="","",IFERROR(LOOKUP(2,1/(#REF!=Z2330),#REF!),Y2330))</f>
        <v/>
      </c>
      <c r="Z2330" t="str">
        <f>IF(A2330="","",TEXT(A2330,"0")&amp;"|"&amp;TEXT(H2330,"0"))</f>
        <v/>
      </c>
      <c r="AA2330" t="str">
        <f>IF(Z2330="","",IFERROR(LOOKUP(2,1/(#REF!=Z2330),#REF!),""))</f>
        <v/>
      </c>
      <c r="AB2330" t="str">
        <f>IF(Z2330="","",IFERROR(LOOKUP(2,1/(#REF!=Z2330),#REF!),""))</f>
        <v/>
      </c>
      <c r="AC2330" t="str">
        <f>IF(Z2330="","",COUNTIF(#REF!,Z2330))</f>
        <v/>
      </c>
      <c r="AD2330" t="str">
        <f>IF(A2330="","",IF(AC2330&gt;1,"REVISAR DUPLICADO",IF(AA2330&lt;&gt;"","ACTUALIZADO POR EYR","SIN REPORTE EYR")))</f>
        <v/>
      </c>
    </row>
    <row r="2331" spans="11:30" x14ac:dyDescent="0.3">
      <c r="K2331" s="1" t="str">
        <f ca="1">IF(A2331="","",IF(OR(L2331="ENTREGADA",L2331="RETORNADA",L2331="ENTREGA DIGITAL"),0,MAX(0,5-NETWORKDAYS(H2331+1,TODAY()))))</f>
        <v/>
      </c>
      <c r="L2331" t="str">
        <f>IF(A2331="","",IFERROR(LOOKUP(2,1/(#REF!=Z2331),#REF!),Y2331))</f>
        <v/>
      </c>
      <c r="Z2331" t="str">
        <f>IF(A2331="","",TEXT(A2331,"0")&amp;"|"&amp;TEXT(H2331,"0"))</f>
        <v/>
      </c>
      <c r="AA2331" t="str">
        <f>IF(Z2331="","",IFERROR(LOOKUP(2,1/(#REF!=Z2331),#REF!),""))</f>
        <v/>
      </c>
      <c r="AB2331" t="str">
        <f>IF(Z2331="","",IFERROR(LOOKUP(2,1/(#REF!=Z2331),#REF!),""))</f>
        <v/>
      </c>
      <c r="AC2331" t="str">
        <f>IF(Z2331="","",COUNTIF(#REF!,Z2331))</f>
        <v/>
      </c>
      <c r="AD2331" t="str">
        <f>IF(A2331="","",IF(AC2331&gt;1,"REVISAR DUPLICADO",IF(AA2331&lt;&gt;"","ACTUALIZADO POR EYR","SIN REPORTE EYR")))</f>
        <v/>
      </c>
    </row>
    <row r="2332" spans="11:30" x14ac:dyDescent="0.3">
      <c r="K2332" s="1" t="str">
        <f ca="1">IF(A2332="","",IF(OR(L2332="ENTREGADA",L2332="RETORNADA",L2332="ENTREGA DIGITAL"),0,MAX(0,5-NETWORKDAYS(H2332+1,TODAY()))))</f>
        <v/>
      </c>
      <c r="L2332" t="str">
        <f>IF(A2332="","",IFERROR(LOOKUP(2,1/(#REF!=Z2332),#REF!),Y2332))</f>
        <v/>
      </c>
      <c r="Z2332" t="str">
        <f>IF(A2332="","",TEXT(A2332,"0")&amp;"|"&amp;TEXT(H2332,"0"))</f>
        <v/>
      </c>
      <c r="AA2332" t="str">
        <f>IF(Z2332="","",IFERROR(LOOKUP(2,1/(#REF!=Z2332),#REF!),""))</f>
        <v/>
      </c>
      <c r="AB2332" t="str">
        <f>IF(Z2332="","",IFERROR(LOOKUP(2,1/(#REF!=Z2332),#REF!),""))</f>
        <v/>
      </c>
      <c r="AC2332" t="str">
        <f>IF(Z2332="","",COUNTIF(#REF!,Z2332))</f>
        <v/>
      </c>
      <c r="AD2332" t="str">
        <f>IF(A2332="","",IF(AC2332&gt;1,"REVISAR DUPLICADO",IF(AA2332&lt;&gt;"","ACTUALIZADO POR EYR","SIN REPORTE EYR")))</f>
        <v/>
      </c>
    </row>
    <row r="2333" spans="11:30" x14ac:dyDescent="0.3">
      <c r="K2333" s="1" t="str">
        <f ca="1">IF(A2333="","",IF(OR(L2333="ENTREGADA",L2333="RETORNADA",L2333="ENTREGA DIGITAL"),0,MAX(0,5-NETWORKDAYS(H2333+1,TODAY()))))</f>
        <v/>
      </c>
      <c r="L2333" t="str">
        <f>IF(A2333="","",IFERROR(LOOKUP(2,1/(#REF!=Z2333),#REF!),Y2333))</f>
        <v/>
      </c>
      <c r="Z2333" t="str">
        <f>IF(A2333="","",TEXT(A2333,"0")&amp;"|"&amp;TEXT(H2333,"0"))</f>
        <v/>
      </c>
      <c r="AA2333" t="str">
        <f>IF(Z2333="","",IFERROR(LOOKUP(2,1/(#REF!=Z2333),#REF!),""))</f>
        <v/>
      </c>
      <c r="AB2333" t="str">
        <f>IF(Z2333="","",IFERROR(LOOKUP(2,1/(#REF!=Z2333),#REF!),""))</f>
        <v/>
      </c>
      <c r="AC2333" t="str">
        <f>IF(Z2333="","",COUNTIF(#REF!,Z2333))</f>
        <v/>
      </c>
      <c r="AD2333" t="str">
        <f>IF(A2333="","",IF(AC2333&gt;1,"REVISAR DUPLICADO",IF(AA2333&lt;&gt;"","ACTUALIZADO POR EYR","SIN REPORTE EYR")))</f>
        <v/>
      </c>
    </row>
    <row r="2334" spans="11:30" x14ac:dyDescent="0.3">
      <c r="K2334" s="1" t="str">
        <f ca="1">IF(A2334="","",IF(OR(L2334="ENTREGADA",L2334="RETORNADA",L2334="ENTREGA DIGITAL"),0,MAX(0,5-NETWORKDAYS(H2334+1,TODAY()))))</f>
        <v/>
      </c>
      <c r="L2334" t="str">
        <f>IF(A2334="","",IFERROR(LOOKUP(2,1/(#REF!=Z2334),#REF!),Y2334))</f>
        <v/>
      </c>
      <c r="Z2334" t="str">
        <f>IF(A2334="","",TEXT(A2334,"0")&amp;"|"&amp;TEXT(H2334,"0"))</f>
        <v/>
      </c>
      <c r="AA2334" t="str">
        <f>IF(Z2334="","",IFERROR(LOOKUP(2,1/(#REF!=Z2334),#REF!),""))</f>
        <v/>
      </c>
      <c r="AB2334" t="str">
        <f>IF(Z2334="","",IFERROR(LOOKUP(2,1/(#REF!=Z2334),#REF!),""))</f>
        <v/>
      </c>
      <c r="AC2334" t="str">
        <f>IF(Z2334="","",COUNTIF(#REF!,Z2334))</f>
        <v/>
      </c>
      <c r="AD2334" t="str">
        <f>IF(A2334="","",IF(AC2334&gt;1,"REVISAR DUPLICADO",IF(AA2334&lt;&gt;"","ACTUALIZADO POR EYR","SIN REPORTE EYR")))</f>
        <v/>
      </c>
    </row>
    <row r="2335" spans="11:30" x14ac:dyDescent="0.3">
      <c r="K2335" s="1" t="str">
        <f ca="1">IF(A2335="","",IF(OR(L2335="ENTREGADA",L2335="RETORNADA",L2335="ENTREGA DIGITAL"),0,MAX(0,5-NETWORKDAYS(H2335+1,TODAY()))))</f>
        <v/>
      </c>
      <c r="L2335" t="str">
        <f>IF(A2335="","",IFERROR(LOOKUP(2,1/(#REF!=Z2335),#REF!),Y2335))</f>
        <v/>
      </c>
      <c r="Z2335" t="str">
        <f>IF(A2335="","",TEXT(A2335,"0")&amp;"|"&amp;TEXT(H2335,"0"))</f>
        <v/>
      </c>
      <c r="AA2335" t="str">
        <f>IF(Z2335="","",IFERROR(LOOKUP(2,1/(#REF!=Z2335),#REF!),""))</f>
        <v/>
      </c>
      <c r="AB2335" t="str">
        <f>IF(Z2335="","",IFERROR(LOOKUP(2,1/(#REF!=Z2335),#REF!),""))</f>
        <v/>
      </c>
      <c r="AC2335" t="str">
        <f>IF(Z2335="","",COUNTIF(#REF!,Z2335))</f>
        <v/>
      </c>
      <c r="AD2335" t="str">
        <f>IF(A2335="","",IF(AC2335&gt;1,"REVISAR DUPLICADO",IF(AA2335&lt;&gt;"","ACTUALIZADO POR EYR","SIN REPORTE EYR")))</f>
        <v/>
      </c>
    </row>
    <row r="2336" spans="11:30" x14ac:dyDescent="0.3">
      <c r="K2336" s="1" t="str">
        <f ca="1">IF(A2336="","",IF(OR(L2336="ENTREGADA",L2336="RETORNADA",L2336="ENTREGA DIGITAL"),0,MAX(0,5-NETWORKDAYS(H2336+1,TODAY()))))</f>
        <v/>
      </c>
      <c r="L2336" t="str">
        <f>IF(A2336="","",IFERROR(LOOKUP(2,1/(#REF!=Z2336),#REF!),Y2336))</f>
        <v/>
      </c>
      <c r="Z2336" t="str">
        <f>IF(A2336="","",TEXT(A2336,"0")&amp;"|"&amp;TEXT(H2336,"0"))</f>
        <v/>
      </c>
      <c r="AA2336" t="str">
        <f>IF(Z2336="","",IFERROR(LOOKUP(2,1/(#REF!=Z2336),#REF!),""))</f>
        <v/>
      </c>
      <c r="AB2336" t="str">
        <f>IF(Z2336="","",IFERROR(LOOKUP(2,1/(#REF!=Z2336),#REF!),""))</f>
        <v/>
      </c>
      <c r="AC2336" t="str">
        <f>IF(Z2336="","",COUNTIF(#REF!,Z2336))</f>
        <v/>
      </c>
      <c r="AD2336" t="str">
        <f>IF(A2336="","",IF(AC2336&gt;1,"REVISAR DUPLICADO",IF(AA2336&lt;&gt;"","ACTUALIZADO POR EYR","SIN REPORTE EYR")))</f>
        <v/>
      </c>
    </row>
    <row r="2337" spans="11:30" x14ac:dyDescent="0.3">
      <c r="K2337" s="1" t="str">
        <f ca="1">IF(A2337="","",IF(OR(L2337="ENTREGADA",L2337="RETORNADA",L2337="ENTREGA DIGITAL"),0,MAX(0,5-NETWORKDAYS(H2337+1,TODAY()))))</f>
        <v/>
      </c>
      <c r="L2337" t="str">
        <f>IF(A2337="","",IFERROR(LOOKUP(2,1/(#REF!=Z2337),#REF!),Y2337))</f>
        <v/>
      </c>
      <c r="Z2337" t="str">
        <f>IF(A2337="","",TEXT(A2337,"0")&amp;"|"&amp;TEXT(H2337,"0"))</f>
        <v/>
      </c>
      <c r="AA2337" t="str">
        <f>IF(Z2337="","",IFERROR(LOOKUP(2,1/(#REF!=Z2337),#REF!),""))</f>
        <v/>
      </c>
      <c r="AB2337" t="str">
        <f>IF(Z2337="","",IFERROR(LOOKUP(2,1/(#REF!=Z2337),#REF!),""))</f>
        <v/>
      </c>
      <c r="AC2337" t="str">
        <f>IF(Z2337="","",COUNTIF(#REF!,Z2337))</f>
        <v/>
      </c>
      <c r="AD2337" t="str">
        <f>IF(A2337="","",IF(AC2337&gt;1,"REVISAR DUPLICADO",IF(AA2337&lt;&gt;"","ACTUALIZADO POR EYR","SIN REPORTE EYR")))</f>
        <v/>
      </c>
    </row>
    <row r="2338" spans="11:30" x14ac:dyDescent="0.3">
      <c r="K2338" s="1" t="str">
        <f ca="1">IF(A2338="","",IF(OR(L2338="ENTREGADA",L2338="RETORNADA",L2338="ENTREGA DIGITAL"),0,MAX(0,5-NETWORKDAYS(H2338+1,TODAY()))))</f>
        <v/>
      </c>
      <c r="L2338" t="str">
        <f>IF(A2338="","",IFERROR(LOOKUP(2,1/(#REF!=Z2338),#REF!),Y2338))</f>
        <v/>
      </c>
      <c r="Z2338" t="str">
        <f>IF(A2338="","",TEXT(A2338,"0")&amp;"|"&amp;TEXT(H2338,"0"))</f>
        <v/>
      </c>
      <c r="AA2338" t="str">
        <f>IF(Z2338="","",IFERROR(LOOKUP(2,1/(#REF!=Z2338),#REF!),""))</f>
        <v/>
      </c>
      <c r="AB2338" t="str">
        <f>IF(Z2338="","",IFERROR(LOOKUP(2,1/(#REF!=Z2338),#REF!),""))</f>
        <v/>
      </c>
      <c r="AC2338" t="str">
        <f>IF(Z2338="","",COUNTIF(#REF!,Z2338))</f>
        <v/>
      </c>
      <c r="AD2338" t="str">
        <f>IF(A2338="","",IF(AC2338&gt;1,"REVISAR DUPLICADO",IF(AA2338&lt;&gt;"","ACTUALIZADO POR EYR","SIN REPORTE EYR")))</f>
        <v/>
      </c>
    </row>
    <row r="2339" spans="11:30" x14ac:dyDescent="0.3">
      <c r="K2339" s="1" t="str">
        <f ca="1">IF(A2339="","",IF(OR(L2339="ENTREGADA",L2339="RETORNADA",L2339="ENTREGA DIGITAL"),0,MAX(0,5-NETWORKDAYS(H2339+1,TODAY()))))</f>
        <v/>
      </c>
      <c r="L2339" t="str">
        <f>IF(A2339="","",IFERROR(LOOKUP(2,1/(#REF!=Z2339),#REF!),Y2339))</f>
        <v/>
      </c>
      <c r="Z2339" t="str">
        <f>IF(A2339="","",TEXT(A2339,"0")&amp;"|"&amp;TEXT(H2339,"0"))</f>
        <v/>
      </c>
      <c r="AA2339" t="str">
        <f>IF(Z2339="","",IFERROR(LOOKUP(2,1/(#REF!=Z2339),#REF!),""))</f>
        <v/>
      </c>
      <c r="AB2339" t="str">
        <f>IF(Z2339="","",IFERROR(LOOKUP(2,1/(#REF!=Z2339),#REF!),""))</f>
        <v/>
      </c>
      <c r="AC2339" t="str">
        <f>IF(Z2339="","",COUNTIF(#REF!,Z2339))</f>
        <v/>
      </c>
      <c r="AD2339" t="str">
        <f>IF(A2339="","",IF(AC2339&gt;1,"REVISAR DUPLICADO",IF(AA2339&lt;&gt;"","ACTUALIZADO POR EYR","SIN REPORTE EYR")))</f>
        <v/>
      </c>
    </row>
    <row r="2340" spans="11:30" x14ac:dyDescent="0.3">
      <c r="K2340" s="1" t="str">
        <f ca="1">IF(A2340="","",IF(OR(L2340="ENTREGADA",L2340="RETORNADA",L2340="ENTREGA DIGITAL"),0,MAX(0,5-NETWORKDAYS(H2340+1,TODAY()))))</f>
        <v/>
      </c>
      <c r="L2340" t="str">
        <f>IF(A2340="","",IFERROR(LOOKUP(2,1/(#REF!=Z2340),#REF!),Y2340))</f>
        <v/>
      </c>
      <c r="Z2340" t="str">
        <f>IF(A2340="","",TEXT(A2340,"0")&amp;"|"&amp;TEXT(H2340,"0"))</f>
        <v/>
      </c>
      <c r="AA2340" t="str">
        <f>IF(Z2340="","",IFERROR(LOOKUP(2,1/(#REF!=Z2340),#REF!),""))</f>
        <v/>
      </c>
      <c r="AB2340" t="str">
        <f>IF(Z2340="","",IFERROR(LOOKUP(2,1/(#REF!=Z2340),#REF!),""))</f>
        <v/>
      </c>
      <c r="AC2340" t="str">
        <f>IF(Z2340="","",COUNTIF(#REF!,Z2340))</f>
        <v/>
      </c>
      <c r="AD2340" t="str">
        <f>IF(A2340="","",IF(AC2340&gt;1,"REVISAR DUPLICADO",IF(AA2340&lt;&gt;"","ACTUALIZADO POR EYR","SIN REPORTE EYR")))</f>
        <v/>
      </c>
    </row>
    <row r="2341" spans="11:30" x14ac:dyDescent="0.3">
      <c r="K2341" s="1" t="str">
        <f ca="1">IF(A2341="","",IF(OR(L2341="ENTREGADA",L2341="RETORNADA",L2341="ENTREGA DIGITAL"),0,MAX(0,5-NETWORKDAYS(H2341+1,TODAY()))))</f>
        <v/>
      </c>
      <c r="L2341" t="str">
        <f>IF(A2341="","",IFERROR(LOOKUP(2,1/(#REF!=Z2341),#REF!),Y2341))</f>
        <v/>
      </c>
      <c r="Z2341" t="str">
        <f>IF(A2341="","",TEXT(A2341,"0")&amp;"|"&amp;TEXT(H2341,"0"))</f>
        <v/>
      </c>
      <c r="AA2341" t="str">
        <f>IF(Z2341="","",IFERROR(LOOKUP(2,1/(#REF!=Z2341),#REF!),""))</f>
        <v/>
      </c>
      <c r="AB2341" t="str">
        <f>IF(Z2341="","",IFERROR(LOOKUP(2,1/(#REF!=Z2341),#REF!),""))</f>
        <v/>
      </c>
      <c r="AC2341" t="str">
        <f>IF(Z2341="","",COUNTIF(#REF!,Z2341))</f>
        <v/>
      </c>
      <c r="AD2341" t="str">
        <f>IF(A2341="","",IF(AC2341&gt;1,"REVISAR DUPLICADO",IF(AA2341&lt;&gt;"","ACTUALIZADO POR EYR","SIN REPORTE EYR")))</f>
        <v/>
      </c>
    </row>
    <row r="2342" spans="11:30" x14ac:dyDescent="0.3">
      <c r="K2342" s="1" t="str">
        <f ca="1">IF(A2342="","",IF(OR(L2342="ENTREGADA",L2342="RETORNADA",L2342="ENTREGA DIGITAL"),0,MAX(0,5-NETWORKDAYS(H2342+1,TODAY()))))</f>
        <v/>
      </c>
      <c r="L2342" t="str">
        <f>IF(A2342="","",IFERROR(LOOKUP(2,1/(#REF!=Z2342),#REF!),Y2342))</f>
        <v/>
      </c>
      <c r="Z2342" t="str">
        <f>IF(A2342="","",TEXT(A2342,"0")&amp;"|"&amp;TEXT(H2342,"0"))</f>
        <v/>
      </c>
      <c r="AA2342" t="str">
        <f>IF(Z2342="","",IFERROR(LOOKUP(2,1/(#REF!=Z2342),#REF!),""))</f>
        <v/>
      </c>
      <c r="AB2342" t="str">
        <f>IF(Z2342="","",IFERROR(LOOKUP(2,1/(#REF!=Z2342),#REF!),""))</f>
        <v/>
      </c>
      <c r="AC2342" t="str">
        <f>IF(Z2342="","",COUNTIF(#REF!,Z2342))</f>
        <v/>
      </c>
      <c r="AD2342" t="str">
        <f>IF(A2342="","",IF(AC2342&gt;1,"REVISAR DUPLICADO",IF(AA2342&lt;&gt;"","ACTUALIZADO POR EYR","SIN REPORTE EYR")))</f>
        <v/>
      </c>
    </row>
    <row r="2343" spans="11:30" x14ac:dyDescent="0.3">
      <c r="K2343" s="1" t="str">
        <f ca="1">IF(A2343="","",IF(OR(L2343="ENTREGADA",L2343="RETORNADA",L2343="ENTREGA DIGITAL"),0,MAX(0,5-NETWORKDAYS(H2343+1,TODAY()))))</f>
        <v/>
      </c>
      <c r="L2343" t="str">
        <f>IF(A2343="","",IFERROR(LOOKUP(2,1/(#REF!=Z2343),#REF!),Y2343))</f>
        <v/>
      </c>
      <c r="Z2343" t="str">
        <f>IF(A2343="","",TEXT(A2343,"0")&amp;"|"&amp;TEXT(H2343,"0"))</f>
        <v/>
      </c>
      <c r="AA2343" t="str">
        <f>IF(Z2343="","",IFERROR(LOOKUP(2,1/(#REF!=Z2343),#REF!),""))</f>
        <v/>
      </c>
      <c r="AB2343" t="str">
        <f>IF(Z2343="","",IFERROR(LOOKUP(2,1/(#REF!=Z2343),#REF!),""))</f>
        <v/>
      </c>
      <c r="AC2343" t="str">
        <f>IF(Z2343="","",COUNTIF(#REF!,Z2343))</f>
        <v/>
      </c>
      <c r="AD2343" t="str">
        <f>IF(A2343="","",IF(AC2343&gt;1,"REVISAR DUPLICADO",IF(AA2343&lt;&gt;"","ACTUALIZADO POR EYR","SIN REPORTE EYR")))</f>
        <v/>
      </c>
    </row>
    <row r="2344" spans="11:30" x14ac:dyDescent="0.3">
      <c r="K2344" s="1" t="str">
        <f ca="1">IF(A2344="","",IF(OR(L2344="ENTREGADA",L2344="RETORNADA",L2344="ENTREGA DIGITAL"),0,MAX(0,5-NETWORKDAYS(H2344+1,TODAY()))))</f>
        <v/>
      </c>
      <c r="L2344" t="str">
        <f>IF(A2344="","",IFERROR(LOOKUP(2,1/(#REF!=Z2344),#REF!),Y2344))</f>
        <v/>
      </c>
      <c r="Z2344" t="str">
        <f>IF(A2344="","",TEXT(A2344,"0")&amp;"|"&amp;TEXT(H2344,"0"))</f>
        <v/>
      </c>
      <c r="AA2344" t="str">
        <f>IF(Z2344="","",IFERROR(LOOKUP(2,1/(#REF!=Z2344),#REF!),""))</f>
        <v/>
      </c>
      <c r="AB2344" t="str">
        <f>IF(Z2344="","",IFERROR(LOOKUP(2,1/(#REF!=Z2344),#REF!),""))</f>
        <v/>
      </c>
      <c r="AC2344" t="str">
        <f>IF(Z2344="","",COUNTIF(#REF!,Z2344))</f>
        <v/>
      </c>
      <c r="AD2344" t="str">
        <f>IF(A2344="","",IF(AC2344&gt;1,"REVISAR DUPLICADO",IF(AA2344&lt;&gt;"","ACTUALIZADO POR EYR","SIN REPORTE EYR")))</f>
        <v/>
      </c>
    </row>
    <row r="2345" spans="11:30" x14ac:dyDescent="0.3">
      <c r="K2345" s="1" t="str">
        <f ca="1">IF(A2345="","",IF(OR(L2345="ENTREGADA",L2345="RETORNADA",L2345="ENTREGA DIGITAL"),0,MAX(0,5-NETWORKDAYS(H2345+1,TODAY()))))</f>
        <v/>
      </c>
      <c r="L2345" t="str">
        <f>IF(A2345="","",IFERROR(LOOKUP(2,1/(#REF!=Z2345),#REF!),Y2345))</f>
        <v/>
      </c>
      <c r="Z2345" t="str">
        <f>IF(A2345="","",TEXT(A2345,"0")&amp;"|"&amp;TEXT(H2345,"0"))</f>
        <v/>
      </c>
      <c r="AA2345" t="str">
        <f>IF(Z2345="","",IFERROR(LOOKUP(2,1/(#REF!=Z2345),#REF!),""))</f>
        <v/>
      </c>
      <c r="AB2345" t="str">
        <f>IF(Z2345="","",IFERROR(LOOKUP(2,1/(#REF!=Z2345),#REF!),""))</f>
        <v/>
      </c>
      <c r="AC2345" t="str">
        <f>IF(Z2345="","",COUNTIF(#REF!,Z2345))</f>
        <v/>
      </c>
      <c r="AD2345" t="str">
        <f>IF(A2345="","",IF(AC2345&gt;1,"REVISAR DUPLICADO",IF(AA2345&lt;&gt;"","ACTUALIZADO POR EYR","SIN REPORTE EYR")))</f>
        <v/>
      </c>
    </row>
    <row r="2346" spans="11:30" x14ac:dyDescent="0.3">
      <c r="K2346" s="1" t="str">
        <f ca="1">IF(A2346="","",IF(OR(L2346="ENTREGADA",L2346="RETORNADA",L2346="ENTREGA DIGITAL"),0,MAX(0,5-NETWORKDAYS(H2346+1,TODAY()))))</f>
        <v/>
      </c>
      <c r="L2346" t="str">
        <f>IF(A2346="","",IFERROR(LOOKUP(2,1/(#REF!=Z2346),#REF!),Y2346))</f>
        <v/>
      </c>
      <c r="Z2346" t="str">
        <f>IF(A2346="","",TEXT(A2346,"0")&amp;"|"&amp;TEXT(H2346,"0"))</f>
        <v/>
      </c>
      <c r="AA2346" t="str">
        <f>IF(Z2346="","",IFERROR(LOOKUP(2,1/(#REF!=Z2346),#REF!),""))</f>
        <v/>
      </c>
      <c r="AB2346" t="str">
        <f>IF(Z2346="","",IFERROR(LOOKUP(2,1/(#REF!=Z2346),#REF!),""))</f>
        <v/>
      </c>
      <c r="AC2346" t="str">
        <f>IF(Z2346="","",COUNTIF(#REF!,Z2346))</f>
        <v/>
      </c>
      <c r="AD2346" t="str">
        <f>IF(A2346="","",IF(AC2346&gt;1,"REVISAR DUPLICADO",IF(AA2346&lt;&gt;"","ACTUALIZADO POR EYR","SIN REPORTE EYR")))</f>
        <v/>
      </c>
    </row>
    <row r="2347" spans="11:30" x14ac:dyDescent="0.3">
      <c r="K2347" s="1" t="str">
        <f ca="1">IF(A2347="","",IF(OR(L2347="ENTREGADA",L2347="RETORNADA",L2347="ENTREGA DIGITAL"),0,MAX(0,5-NETWORKDAYS(H2347+1,TODAY()))))</f>
        <v/>
      </c>
      <c r="L2347" t="str">
        <f>IF(A2347="","",IFERROR(LOOKUP(2,1/(#REF!=Z2347),#REF!),Y2347))</f>
        <v/>
      </c>
      <c r="Z2347" t="str">
        <f>IF(A2347="","",TEXT(A2347,"0")&amp;"|"&amp;TEXT(H2347,"0"))</f>
        <v/>
      </c>
      <c r="AA2347" t="str">
        <f>IF(Z2347="","",IFERROR(LOOKUP(2,1/(#REF!=Z2347),#REF!),""))</f>
        <v/>
      </c>
      <c r="AB2347" t="str">
        <f>IF(Z2347="","",IFERROR(LOOKUP(2,1/(#REF!=Z2347),#REF!),""))</f>
        <v/>
      </c>
      <c r="AC2347" t="str">
        <f>IF(Z2347="","",COUNTIF(#REF!,Z2347))</f>
        <v/>
      </c>
      <c r="AD2347" t="str">
        <f>IF(A2347="","",IF(AC2347&gt;1,"REVISAR DUPLICADO",IF(AA2347&lt;&gt;"","ACTUALIZADO POR EYR","SIN REPORTE EYR")))</f>
        <v/>
      </c>
    </row>
    <row r="2348" spans="11:30" x14ac:dyDescent="0.3">
      <c r="K2348" s="1" t="str">
        <f ca="1">IF(A2348="","",IF(OR(L2348="ENTREGADA",L2348="RETORNADA",L2348="ENTREGA DIGITAL"),0,MAX(0,5-NETWORKDAYS(H2348+1,TODAY()))))</f>
        <v/>
      </c>
      <c r="L2348" t="str">
        <f>IF(A2348="","",IFERROR(LOOKUP(2,1/(#REF!=Z2348),#REF!),Y2348))</f>
        <v/>
      </c>
      <c r="Z2348" t="str">
        <f>IF(A2348="","",TEXT(A2348,"0")&amp;"|"&amp;TEXT(H2348,"0"))</f>
        <v/>
      </c>
      <c r="AA2348" t="str">
        <f>IF(Z2348="","",IFERROR(LOOKUP(2,1/(#REF!=Z2348),#REF!),""))</f>
        <v/>
      </c>
      <c r="AB2348" t="str">
        <f>IF(Z2348="","",IFERROR(LOOKUP(2,1/(#REF!=Z2348),#REF!),""))</f>
        <v/>
      </c>
      <c r="AC2348" t="str">
        <f>IF(Z2348="","",COUNTIF(#REF!,Z2348))</f>
        <v/>
      </c>
      <c r="AD2348" t="str">
        <f>IF(A2348="","",IF(AC2348&gt;1,"REVISAR DUPLICADO",IF(AA2348&lt;&gt;"","ACTUALIZADO POR EYR","SIN REPORTE EYR")))</f>
        <v/>
      </c>
    </row>
    <row r="2349" spans="11:30" x14ac:dyDescent="0.3">
      <c r="K2349" s="1" t="str">
        <f ca="1">IF(A2349="","",IF(OR(L2349="ENTREGADA",L2349="RETORNADA",L2349="ENTREGA DIGITAL"),0,MAX(0,5-NETWORKDAYS(H2349+1,TODAY()))))</f>
        <v/>
      </c>
      <c r="L2349" t="str">
        <f>IF(A2349="","",IFERROR(LOOKUP(2,1/(#REF!=Z2349),#REF!),Y2349))</f>
        <v/>
      </c>
      <c r="Z2349" t="str">
        <f>IF(A2349="","",TEXT(A2349,"0")&amp;"|"&amp;TEXT(H2349,"0"))</f>
        <v/>
      </c>
      <c r="AA2349" t="str">
        <f>IF(Z2349="","",IFERROR(LOOKUP(2,1/(#REF!=Z2349),#REF!),""))</f>
        <v/>
      </c>
      <c r="AB2349" t="str">
        <f>IF(Z2349="","",IFERROR(LOOKUP(2,1/(#REF!=Z2349),#REF!),""))</f>
        <v/>
      </c>
      <c r="AC2349" t="str">
        <f>IF(Z2349="","",COUNTIF(#REF!,Z2349))</f>
        <v/>
      </c>
      <c r="AD2349" t="str">
        <f>IF(A2349="","",IF(AC2349&gt;1,"REVISAR DUPLICADO",IF(AA2349&lt;&gt;"","ACTUALIZADO POR EYR","SIN REPORTE EYR")))</f>
        <v/>
      </c>
    </row>
    <row r="2350" spans="11:30" x14ac:dyDescent="0.3">
      <c r="K2350" s="1" t="str">
        <f ca="1">IF(A2350="","",IF(OR(L2350="ENTREGADA",L2350="RETORNADA",L2350="ENTREGA DIGITAL"),0,MAX(0,5-NETWORKDAYS(H2350+1,TODAY()))))</f>
        <v/>
      </c>
      <c r="L2350" t="str">
        <f>IF(A2350="","",IFERROR(LOOKUP(2,1/(#REF!=Z2350),#REF!),Y2350))</f>
        <v/>
      </c>
      <c r="Z2350" t="str">
        <f>IF(A2350="","",TEXT(A2350,"0")&amp;"|"&amp;TEXT(H2350,"0"))</f>
        <v/>
      </c>
      <c r="AA2350" t="str">
        <f>IF(Z2350="","",IFERROR(LOOKUP(2,1/(#REF!=Z2350),#REF!),""))</f>
        <v/>
      </c>
      <c r="AB2350" t="str">
        <f>IF(Z2350="","",IFERROR(LOOKUP(2,1/(#REF!=Z2350),#REF!),""))</f>
        <v/>
      </c>
      <c r="AC2350" t="str">
        <f>IF(Z2350="","",COUNTIF(#REF!,Z2350))</f>
        <v/>
      </c>
      <c r="AD2350" t="str">
        <f>IF(A2350="","",IF(AC2350&gt;1,"REVISAR DUPLICADO",IF(AA2350&lt;&gt;"","ACTUALIZADO POR EYR","SIN REPORTE EYR")))</f>
        <v/>
      </c>
    </row>
    <row r="2351" spans="11:30" x14ac:dyDescent="0.3">
      <c r="K2351" s="1" t="str">
        <f ca="1">IF(A2351="","",IF(OR(L2351="ENTREGADA",L2351="RETORNADA",L2351="ENTREGA DIGITAL"),0,MAX(0,5-NETWORKDAYS(H2351+1,TODAY()))))</f>
        <v/>
      </c>
      <c r="L2351" t="str">
        <f>IF(A2351="","",IFERROR(LOOKUP(2,1/(#REF!=Z2351),#REF!),Y2351))</f>
        <v/>
      </c>
      <c r="Z2351" t="str">
        <f>IF(A2351="","",TEXT(A2351,"0")&amp;"|"&amp;TEXT(H2351,"0"))</f>
        <v/>
      </c>
      <c r="AA2351" t="str">
        <f>IF(Z2351="","",IFERROR(LOOKUP(2,1/(#REF!=Z2351),#REF!),""))</f>
        <v/>
      </c>
      <c r="AB2351" t="str">
        <f>IF(Z2351="","",IFERROR(LOOKUP(2,1/(#REF!=Z2351),#REF!),""))</f>
        <v/>
      </c>
      <c r="AC2351" t="str">
        <f>IF(Z2351="","",COUNTIF(#REF!,Z2351))</f>
        <v/>
      </c>
      <c r="AD2351" t="str">
        <f>IF(A2351="","",IF(AC2351&gt;1,"REVISAR DUPLICADO",IF(AA2351&lt;&gt;"","ACTUALIZADO POR EYR","SIN REPORTE EYR")))</f>
        <v/>
      </c>
    </row>
    <row r="2352" spans="11:30" x14ac:dyDescent="0.3">
      <c r="K2352" s="1" t="str">
        <f ca="1">IF(A2352="","",IF(OR(L2352="ENTREGADA",L2352="RETORNADA",L2352="ENTREGA DIGITAL"),0,MAX(0,5-NETWORKDAYS(H2352+1,TODAY()))))</f>
        <v/>
      </c>
      <c r="L2352" t="str">
        <f>IF(A2352="","",IFERROR(LOOKUP(2,1/(#REF!=Z2352),#REF!),Y2352))</f>
        <v/>
      </c>
      <c r="Z2352" t="str">
        <f>IF(A2352="","",TEXT(A2352,"0")&amp;"|"&amp;TEXT(H2352,"0"))</f>
        <v/>
      </c>
      <c r="AA2352" t="str">
        <f>IF(Z2352="","",IFERROR(LOOKUP(2,1/(#REF!=Z2352),#REF!),""))</f>
        <v/>
      </c>
      <c r="AB2352" t="str">
        <f>IF(Z2352="","",IFERROR(LOOKUP(2,1/(#REF!=Z2352),#REF!),""))</f>
        <v/>
      </c>
      <c r="AC2352" t="str">
        <f>IF(Z2352="","",COUNTIF(#REF!,Z2352))</f>
        <v/>
      </c>
      <c r="AD2352" t="str">
        <f>IF(A2352="","",IF(AC2352&gt;1,"REVISAR DUPLICADO",IF(AA2352&lt;&gt;"","ACTUALIZADO POR EYR","SIN REPORTE EYR")))</f>
        <v/>
      </c>
    </row>
    <row r="2353" spans="11:30" x14ac:dyDescent="0.3">
      <c r="K2353" s="1" t="str">
        <f ca="1">IF(A2353="","",IF(OR(L2353="ENTREGADA",L2353="RETORNADA",L2353="ENTREGA DIGITAL"),0,MAX(0,5-NETWORKDAYS(H2353+1,TODAY()))))</f>
        <v/>
      </c>
      <c r="L2353" t="str">
        <f>IF(A2353="","",IFERROR(LOOKUP(2,1/(#REF!=Z2353),#REF!),Y2353))</f>
        <v/>
      </c>
      <c r="Z2353" t="str">
        <f>IF(A2353="","",TEXT(A2353,"0")&amp;"|"&amp;TEXT(H2353,"0"))</f>
        <v/>
      </c>
      <c r="AA2353" t="str">
        <f>IF(Z2353="","",IFERROR(LOOKUP(2,1/(#REF!=Z2353),#REF!),""))</f>
        <v/>
      </c>
      <c r="AB2353" t="str">
        <f>IF(Z2353="","",IFERROR(LOOKUP(2,1/(#REF!=Z2353),#REF!),""))</f>
        <v/>
      </c>
      <c r="AC2353" t="str">
        <f>IF(Z2353="","",COUNTIF(#REF!,Z2353))</f>
        <v/>
      </c>
      <c r="AD2353" t="str">
        <f>IF(A2353="","",IF(AC2353&gt;1,"REVISAR DUPLICADO",IF(AA2353&lt;&gt;"","ACTUALIZADO POR EYR","SIN REPORTE EYR")))</f>
        <v/>
      </c>
    </row>
    <row r="2354" spans="11:30" x14ac:dyDescent="0.3">
      <c r="K2354" s="1" t="str">
        <f ca="1">IF(A2354="","",IF(OR(L2354="ENTREGADA",L2354="RETORNADA",L2354="ENTREGA DIGITAL"),0,MAX(0,5-NETWORKDAYS(H2354+1,TODAY()))))</f>
        <v/>
      </c>
      <c r="L2354" t="str">
        <f>IF(A2354="","",IFERROR(LOOKUP(2,1/(#REF!=Z2354),#REF!),Y2354))</f>
        <v/>
      </c>
      <c r="Z2354" t="str">
        <f>IF(A2354="","",TEXT(A2354,"0")&amp;"|"&amp;TEXT(H2354,"0"))</f>
        <v/>
      </c>
      <c r="AA2354" t="str">
        <f>IF(Z2354="","",IFERROR(LOOKUP(2,1/(#REF!=Z2354),#REF!),""))</f>
        <v/>
      </c>
      <c r="AB2354" t="str">
        <f>IF(Z2354="","",IFERROR(LOOKUP(2,1/(#REF!=Z2354),#REF!),""))</f>
        <v/>
      </c>
      <c r="AC2354" t="str">
        <f>IF(Z2354="","",COUNTIF(#REF!,Z2354))</f>
        <v/>
      </c>
      <c r="AD2354" t="str">
        <f>IF(A2354="","",IF(AC2354&gt;1,"REVISAR DUPLICADO",IF(AA2354&lt;&gt;"","ACTUALIZADO POR EYR","SIN REPORTE EYR")))</f>
        <v/>
      </c>
    </row>
    <row r="2355" spans="11:30" x14ac:dyDescent="0.3">
      <c r="K2355" s="1" t="str">
        <f ca="1">IF(A2355="","",IF(OR(L2355="ENTREGADA",L2355="RETORNADA",L2355="ENTREGA DIGITAL"),0,MAX(0,5-NETWORKDAYS(H2355+1,TODAY()))))</f>
        <v/>
      </c>
      <c r="L2355" t="str">
        <f>IF(A2355="","",IFERROR(LOOKUP(2,1/(#REF!=Z2355),#REF!),Y2355))</f>
        <v/>
      </c>
      <c r="Z2355" t="str">
        <f>IF(A2355="","",TEXT(A2355,"0")&amp;"|"&amp;TEXT(H2355,"0"))</f>
        <v/>
      </c>
      <c r="AA2355" t="str">
        <f>IF(Z2355="","",IFERROR(LOOKUP(2,1/(#REF!=Z2355),#REF!),""))</f>
        <v/>
      </c>
      <c r="AB2355" t="str">
        <f>IF(Z2355="","",IFERROR(LOOKUP(2,1/(#REF!=Z2355),#REF!),""))</f>
        <v/>
      </c>
      <c r="AC2355" t="str">
        <f>IF(Z2355="","",COUNTIF(#REF!,Z2355))</f>
        <v/>
      </c>
      <c r="AD2355" t="str">
        <f>IF(A2355="","",IF(AC2355&gt;1,"REVISAR DUPLICADO",IF(AA2355&lt;&gt;"","ACTUALIZADO POR EYR","SIN REPORTE EYR")))</f>
        <v/>
      </c>
    </row>
    <row r="2356" spans="11:30" x14ac:dyDescent="0.3">
      <c r="K2356" s="1" t="str">
        <f ca="1">IF(A2356="","",IF(OR(L2356="ENTREGADA",L2356="RETORNADA",L2356="ENTREGA DIGITAL"),0,MAX(0,5-NETWORKDAYS(H2356+1,TODAY()))))</f>
        <v/>
      </c>
      <c r="L2356" t="str">
        <f>IF(A2356="","",IFERROR(LOOKUP(2,1/(#REF!=Z2356),#REF!),Y2356))</f>
        <v/>
      </c>
      <c r="Z2356" t="str">
        <f>IF(A2356="","",TEXT(A2356,"0")&amp;"|"&amp;TEXT(H2356,"0"))</f>
        <v/>
      </c>
      <c r="AA2356" t="str">
        <f>IF(Z2356="","",IFERROR(LOOKUP(2,1/(#REF!=Z2356),#REF!),""))</f>
        <v/>
      </c>
      <c r="AB2356" t="str">
        <f>IF(Z2356="","",IFERROR(LOOKUP(2,1/(#REF!=Z2356),#REF!),""))</f>
        <v/>
      </c>
      <c r="AC2356" t="str">
        <f>IF(Z2356="","",COUNTIF(#REF!,Z2356))</f>
        <v/>
      </c>
      <c r="AD2356" t="str">
        <f>IF(A2356="","",IF(AC2356&gt;1,"REVISAR DUPLICADO",IF(AA2356&lt;&gt;"","ACTUALIZADO POR EYR","SIN REPORTE EYR")))</f>
        <v/>
      </c>
    </row>
    <row r="2357" spans="11:30" x14ac:dyDescent="0.3">
      <c r="K2357" s="1" t="str">
        <f ca="1">IF(A2357="","",IF(OR(L2357="ENTREGADA",L2357="RETORNADA",L2357="ENTREGA DIGITAL"),0,MAX(0,5-NETWORKDAYS(H2357+1,TODAY()))))</f>
        <v/>
      </c>
      <c r="L2357" t="str">
        <f>IF(A2357="","",IFERROR(LOOKUP(2,1/(#REF!=Z2357),#REF!),Y2357))</f>
        <v/>
      </c>
      <c r="Z2357" t="str">
        <f>IF(A2357="","",TEXT(A2357,"0")&amp;"|"&amp;TEXT(H2357,"0"))</f>
        <v/>
      </c>
      <c r="AA2357" t="str">
        <f>IF(Z2357="","",IFERROR(LOOKUP(2,1/(#REF!=Z2357),#REF!),""))</f>
        <v/>
      </c>
      <c r="AB2357" t="str">
        <f>IF(Z2357="","",IFERROR(LOOKUP(2,1/(#REF!=Z2357),#REF!),""))</f>
        <v/>
      </c>
      <c r="AC2357" t="str">
        <f>IF(Z2357="","",COUNTIF(#REF!,Z2357))</f>
        <v/>
      </c>
      <c r="AD2357" t="str">
        <f>IF(A2357="","",IF(AC2357&gt;1,"REVISAR DUPLICADO",IF(AA2357&lt;&gt;"","ACTUALIZADO POR EYR","SIN REPORTE EYR")))</f>
        <v/>
      </c>
    </row>
    <row r="2358" spans="11:30" x14ac:dyDescent="0.3">
      <c r="K2358" s="1" t="str">
        <f ca="1">IF(A2358="","",IF(OR(L2358="ENTREGADA",L2358="RETORNADA",L2358="ENTREGA DIGITAL"),0,MAX(0,5-NETWORKDAYS(H2358+1,TODAY()))))</f>
        <v/>
      </c>
      <c r="L2358" t="str">
        <f>IF(A2358="","",IFERROR(LOOKUP(2,1/(#REF!=Z2358),#REF!),Y2358))</f>
        <v/>
      </c>
      <c r="Z2358" t="str">
        <f>IF(A2358="","",TEXT(A2358,"0")&amp;"|"&amp;TEXT(H2358,"0"))</f>
        <v/>
      </c>
      <c r="AA2358" t="str">
        <f>IF(Z2358="","",IFERROR(LOOKUP(2,1/(#REF!=Z2358),#REF!),""))</f>
        <v/>
      </c>
      <c r="AB2358" t="str">
        <f>IF(Z2358="","",IFERROR(LOOKUP(2,1/(#REF!=Z2358),#REF!),""))</f>
        <v/>
      </c>
      <c r="AC2358" t="str">
        <f>IF(Z2358="","",COUNTIF(#REF!,Z2358))</f>
        <v/>
      </c>
      <c r="AD2358" t="str">
        <f>IF(A2358="","",IF(AC2358&gt;1,"REVISAR DUPLICADO",IF(AA2358&lt;&gt;"","ACTUALIZADO POR EYR","SIN REPORTE EYR")))</f>
        <v/>
      </c>
    </row>
    <row r="2359" spans="11:30" x14ac:dyDescent="0.3">
      <c r="K2359" s="1" t="str">
        <f ca="1">IF(A2359="","",IF(OR(L2359="ENTREGADA",L2359="RETORNADA",L2359="ENTREGA DIGITAL"),0,MAX(0,5-NETWORKDAYS(H2359+1,TODAY()))))</f>
        <v/>
      </c>
      <c r="L2359" t="str">
        <f>IF(A2359="","",IFERROR(LOOKUP(2,1/(#REF!=Z2359),#REF!),Y2359))</f>
        <v/>
      </c>
      <c r="Z2359" t="str">
        <f>IF(A2359="","",TEXT(A2359,"0")&amp;"|"&amp;TEXT(H2359,"0"))</f>
        <v/>
      </c>
      <c r="AA2359" t="str">
        <f>IF(Z2359="","",IFERROR(LOOKUP(2,1/(#REF!=Z2359),#REF!),""))</f>
        <v/>
      </c>
      <c r="AB2359" t="str">
        <f>IF(Z2359="","",IFERROR(LOOKUP(2,1/(#REF!=Z2359),#REF!),""))</f>
        <v/>
      </c>
      <c r="AC2359" t="str">
        <f>IF(Z2359="","",COUNTIF(#REF!,Z2359))</f>
        <v/>
      </c>
      <c r="AD2359" t="str">
        <f>IF(A2359="","",IF(AC2359&gt;1,"REVISAR DUPLICADO",IF(AA2359&lt;&gt;"","ACTUALIZADO POR EYR","SIN REPORTE EYR")))</f>
        <v/>
      </c>
    </row>
    <row r="2360" spans="11:30" x14ac:dyDescent="0.3">
      <c r="K2360" s="1" t="str">
        <f ca="1">IF(A2360="","",IF(OR(L2360="ENTREGADA",L2360="RETORNADA",L2360="ENTREGA DIGITAL"),0,MAX(0,5-NETWORKDAYS(H2360+1,TODAY()))))</f>
        <v/>
      </c>
      <c r="L2360" t="str">
        <f>IF(A2360="","",IFERROR(LOOKUP(2,1/(#REF!=Z2360),#REF!),Y2360))</f>
        <v/>
      </c>
      <c r="Z2360" t="str">
        <f>IF(A2360="","",TEXT(A2360,"0")&amp;"|"&amp;TEXT(H2360,"0"))</f>
        <v/>
      </c>
      <c r="AA2360" t="str">
        <f>IF(Z2360="","",IFERROR(LOOKUP(2,1/(#REF!=Z2360),#REF!),""))</f>
        <v/>
      </c>
      <c r="AB2360" t="str">
        <f>IF(Z2360="","",IFERROR(LOOKUP(2,1/(#REF!=Z2360),#REF!),""))</f>
        <v/>
      </c>
      <c r="AC2360" t="str">
        <f>IF(Z2360="","",COUNTIF(#REF!,Z2360))</f>
        <v/>
      </c>
      <c r="AD2360" t="str">
        <f>IF(A2360="","",IF(AC2360&gt;1,"REVISAR DUPLICADO",IF(AA2360&lt;&gt;"","ACTUALIZADO POR EYR","SIN REPORTE EYR")))</f>
        <v/>
      </c>
    </row>
    <row r="2361" spans="11:30" x14ac:dyDescent="0.3">
      <c r="K2361" s="1" t="str">
        <f ca="1">IF(A2361="","",IF(OR(L2361="ENTREGADA",L2361="RETORNADA",L2361="ENTREGA DIGITAL"),0,MAX(0,5-NETWORKDAYS(H2361+1,TODAY()))))</f>
        <v/>
      </c>
      <c r="L2361" t="str">
        <f>IF(A2361="","",IFERROR(LOOKUP(2,1/(#REF!=Z2361),#REF!),Y2361))</f>
        <v/>
      </c>
      <c r="Z2361" t="str">
        <f>IF(A2361="","",TEXT(A2361,"0")&amp;"|"&amp;TEXT(H2361,"0"))</f>
        <v/>
      </c>
      <c r="AA2361" t="str">
        <f>IF(Z2361="","",IFERROR(LOOKUP(2,1/(#REF!=Z2361),#REF!),""))</f>
        <v/>
      </c>
      <c r="AB2361" t="str">
        <f>IF(Z2361="","",IFERROR(LOOKUP(2,1/(#REF!=Z2361),#REF!),""))</f>
        <v/>
      </c>
      <c r="AC2361" t="str">
        <f>IF(Z2361="","",COUNTIF(#REF!,Z2361))</f>
        <v/>
      </c>
      <c r="AD2361" t="str">
        <f>IF(A2361="","",IF(AC2361&gt;1,"REVISAR DUPLICADO",IF(AA2361&lt;&gt;"","ACTUALIZADO POR EYR","SIN REPORTE EYR")))</f>
        <v/>
      </c>
    </row>
    <row r="2362" spans="11:30" x14ac:dyDescent="0.3">
      <c r="K2362" s="1" t="str">
        <f ca="1">IF(A2362="","",IF(OR(L2362="ENTREGADA",L2362="RETORNADA",L2362="ENTREGA DIGITAL"),0,MAX(0,5-NETWORKDAYS(H2362+1,TODAY()))))</f>
        <v/>
      </c>
      <c r="L2362" t="str">
        <f>IF(A2362="","",IFERROR(LOOKUP(2,1/(#REF!=Z2362),#REF!),Y2362))</f>
        <v/>
      </c>
      <c r="Z2362" t="str">
        <f>IF(A2362="","",TEXT(A2362,"0")&amp;"|"&amp;TEXT(H2362,"0"))</f>
        <v/>
      </c>
      <c r="AA2362" t="str">
        <f>IF(Z2362="","",IFERROR(LOOKUP(2,1/(#REF!=Z2362),#REF!),""))</f>
        <v/>
      </c>
      <c r="AB2362" t="str">
        <f>IF(Z2362="","",IFERROR(LOOKUP(2,1/(#REF!=Z2362),#REF!),""))</f>
        <v/>
      </c>
      <c r="AC2362" t="str">
        <f>IF(Z2362="","",COUNTIF(#REF!,Z2362))</f>
        <v/>
      </c>
      <c r="AD2362" t="str">
        <f>IF(A2362="","",IF(AC2362&gt;1,"REVISAR DUPLICADO",IF(AA2362&lt;&gt;"","ACTUALIZADO POR EYR","SIN REPORTE EYR")))</f>
        <v/>
      </c>
    </row>
    <row r="2363" spans="11:30" x14ac:dyDescent="0.3">
      <c r="K2363" s="1" t="str">
        <f ca="1">IF(A2363="","",IF(OR(L2363="ENTREGADA",L2363="RETORNADA",L2363="ENTREGA DIGITAL"),0,MAX(0,5-NETWORKDAYS(H2363+1,TODAY()))))</f>
        <v/>
      </c>
      <c r="L2363" t="str">
        <f>IF(A2363="","",IFERROR(LOOKUP(2,1/(#REF!=Z2363),#REF!),Y2363))</f>
        <v/>
      </c>
      <c r="Z2363" t="str">
        <f>IF(A2363="","",TEXT(A2363,"0")&amp;"|"&amp;TEXT(H2363,"0"))</f>
        <v/>
      </c>
      <c r="AA2363" t="str">
        <f>IF(Z2363="","",IFERROR(LOOKUP(2,1/(#REF!=Z2363),#REF!),""))</f>
        <v/>
      </c>
      <c r="AB2363" t="str">
        <f>IF(Z2363="","",IFERROR(LOOKUP(2,1/(#REF!=Z2363),#REF!),""))</f>
        <v/>
      </c>
      <c r="AC2363" t="str">
        <f>IF(Z2363="","",COUNTIF(#REF!,Z2363))</f>
        <v/>
      </c>
      <c r="AD2363" t="str">
        <f>IF(A2363="","",IF(AC2363&gt;1,"REVISAR DUPLICADO",IF(AA2363&lt;&gt;"","ACTUALIZADO POR EYR","SIN REPORTE EYR")))</f>
        <v/>
      </c>
    </row>
    <row r="2364" spans="11:30" x14ac:dyDescent="0.3">
      <c r="K2364" s="1" t="str">
        <f ca="1">IF(A2364="","",IF(OR(L2364="ENTREGADA",L2364="RETORNADA",L2364="ENTREGA DIGITAL"),0,MAX(0,5-NETWORKDAYS(H2364+1,TODAY()))))</f>
        <v/>
      </c>
      <c r="L2364" t="str">
        <f>IF(A2364="","",IFERROR(LOOKUP(2,1/(#REF!=Z2364),#REF!),Y2364))</f>
        <v/>
      </c>
      <c r="Z2364" t="str">
        <f>IF(A2364="","",TEXT(A2364,"0")&amp;"|"&amp;TEXT(H2364,"0"))</f>
        <v/>
      </c>
      <c r="AA2364" t="str">
        <f>IF(Z2364="","",IFERROR(LOOKUP(2,1/(#REF!=Z2364),#REF!),""))</f>
        <v/>
      </c>
      <c r="AB2364" t="str">
        <f>IF(Z2364="","",IFERROR(LOOKUP(2,1/(#REF!=Z2364),#REF!),""))</f>
        <v/>
      </c>
      <c r="AC2364" t="str">
        <f>IF(Z2364="","",COUNTIF(#REF!,Z2364))</f>
        <v/>
      </c>
      <c r="AD2364" t="str">
        <f>IF(A2364="","",IF(AC2364&gt;1,"REVISAR DUPLICADO",IF(AA2364&lt;&gt;"","ACTUALIZADO POR EYR","SIN REPORTE EYR")))</f>
        <v/>
      </c>
    </row>
    <row r="2365" spans="11:30" x14ac:dyDescent="0.3">
      <c r="K2365" s="1" t="str">
        <f ca="1">IF(A2365="","",IF(OR(L2365="ENTREGADA",L2365="RETORNADA",L2365="ENTREGA DIGITAL"),0,MAX(0,5-NETWORKDAYS(H2365+1,TODAY()))))</f>
        <v/>
      </c>
      <c r="L2365" t="str">
        <f>IF(A2365="","",IFERROR(LOOKUP(2,1/(#REF!=Z2365),#REF!),Y2365))</f>
        <v/>
      </c>
      <c r="Z2365" t="str">
        <f>IF(A2365="","",TEXT(A2365,"0")&amp;"|"&amp;TEXT(H2365,"0"))</f>
        <v/>
      </c>
      <c r="AA2365" t="str">
        <f>IF(Z2365="","",IFERROR(LOOKUP(2,1/(#REF!=Z2365),#REF!),""))</f>
        <v/>
      </c>
      <c r="AB2365" t="str">
        <f>IF(Z2365="","",IFERROR(LOOKUP(2,1/(#REF!=Z2365),#REF!),""))</f>
        <v/>
      </c>
      <c r="AC2365" t="str">
        <f>IF(Z2365="","",COUNTIF(#REF!,Z2365))</f>
        <v/>
      </c>
      <c r="AD2365" t="str">
        <f>IF(A2365="","",IF(AC2365&gt;1,"REVISAR DUPLICADO",IF(AA2365&lt;&gt;"","ACTUALIZADO POR EYR","SIN REPORTE EYR")))</f>
        <v/>
      </c>
    </row>
    <row r="2366" spans="11:30" x14ac:dyDescent="0.3">
      <c r="K2366" s="1" t="str">
        <f ca="1">IF(A2366="","",IF(OR(L2366="ENTREGADA",L2366="RETORNADA",L2366="ENTREGA DIGITAL"),0,MAX(0,5-NETWORKDAYS(H2366+1,TODAY()))))</f>
        <v/>
      </c>
      <c r="L2366" t="str">
        <f>IF(A2366="","",IFERROR(LOOKUP(2,1/(#REF!=Z2366),#REF!),Y2366))</f>
        <v/>
      </c>
      <c r="Z2366" t="str">
        <f>IF(A2366="","",TEXT(A2366,"0")&amp;"|"&amp;TEXT(H2366,"0"))</f>
        <v/>
      </c>
      <c r="AA2366" t="str">
        <f>IF(Z2366="","",IFERROR(LOOKUP(2,1/(#REF!=Z2366),#REF!),""))</f>
        <v/>
      </c>
      <c r="AB2366" t="str">
        <f>IF(Z2366="","",IFERROR(LOOKUP(2,1/(#REF!=Z2366),#REF!),""))</f>
        <v/>
      </c>
      <c r="AC2366" t="str">
        <f>IF(Z2366="","",COUNTIF(#REF!,Z2366))</f>
        <v/>
      </c>
      <c r="AD2366" t="str">
        <f>IF(A2366="","",IF(AC2366&gt;1,"REVISAR DUPLICADO",IF(AA2366&lt;&gt;"","ACTUALIZADO POR EYR","SIN REPORTE EYR")))</f>
        <v/>
      </c>
    </row>
    <row r="2367" spans="11:30" x14ac:dyDescent="0.3">
      <c r="K2367" s="1" t="str">
        <f ca="1">IF(A2367="","",IF(OR(L2367="ENTREGADA",L2367="RETORNADA",L2367="ENTREGA DIGITAL"),0,MAX(0,5-NETWORKDAYS(H2367+1,TODAY()))))</f>
        <v/>
      </c>
      <c r="L2367" t="str">
        <f>IF(A2367="","",IFERROR(LOOKUP(2,1/(#REF!=Z2367),#REF!),Y2367))</f>
        <v/>
      </c>
      <c r="Z2367" t="str">
        <f>IF(A2367="","",TEXT(A2367,"0")&amp;"|"&amp;TEXT(H2367,"0"))</f>
        <v/>
      </c>
      <c r="AA2367" t="str">
        <f>IF(Z2367="","",IFERROR(LOOKUP(2,1/(#REF!=Z2367),#REF!),""))</f>
        <v/>
      </c>
      <c r="AB2367" t="str">
        <f>IF(Z2367="","",IFERROR(LOOKUP(2,1/(#REF!=Z2367),#REF!),""))</f>
        <v/>
      </c>
      <c r="AC2367" t="str">
        <f>IF(Z2367="","",COUNTIF(#REF!,Z2367))</f>
        <v/>
      </c>
      <c r="AD2367" t="str">
        <f>IF(A2367="","",IF(AC2367&gt;1,"REVISAR DUPLICADO",IF(AA2367&lt;&gt;"","ACTUALIZADO POR EYR","SIN REPORTE EYR")))</f>
        <v/>
      </c>
    </row>
    <row r="2368" spans="11:30" x14ac:dyDescent="0.3">
      <c r="K2368" s="1" t="str">
        <f ca="1">IF(A2368="","",IF(OR(L2368="ENTREGADA",L2368="RETORNADA",L2368="ENTREGA DIGITAL"),0,MAX(0,5-NETWORKDAYS(H2368+1,TODAY()))))</f>
        <v/>
      </c>
      <c r="L2368" t="str">
        <f>IF(A2368="","",IFERROR(LOOKUP(2,1/(#REF!=Z2368),#REF!),Y2368))</f>
        <v/>
      </c>
      <c r="Z2368" t="str">
        <f>IF(A2368="","",TEXT(A2368,"0")&amp;"|"&amp;TEXT(H2368,"0"))</f>
        <v/>
      </c>
      <c r="AA2368" t="str">
        <f>IF(Z2368="","",IFERROR(LOOKUP(2,1/(#REF!=Z2368),#REF!),""))</f>
        <v/>
      </c>
      <c r="AB2368" t="str">
        <f>IF(Z2368="","",IFERROR(LOOKUP(2,1/(#REF!=Z2368),#REF!),""))</f>
        <v/>
      </c>
      <c r="AC2368" t="str">
        <f>IF(Z2368="","",COUNTIF(#REF!,Z2368))</f>
        <v/>
      </c>
      <c r="AD2368" t="str">
        <f>IF(A2368="","",IF(AC2368&gt;1,"REVISAR DUPLICADO",IF(AA2368&lt;&gt;"","ACTUALIZADO POR EYR","SIN REPORTE EYR")))</f>
        <v/>
      </c>
    </row>
    <row r="2369" spans="11:30" x14ac:dyDescent="0.3">
      <c r="K2369" s="1" t="str">
        <f ca="1">IF(A2369="","",IF(OR(L2369="ENTREGADA",L2369="RETORNADA",L2369="ENTREGA DIGITAL"),0,MAX(0,5-NETWORKDAYS(H2369+1,TODAY()))))</f>
        <v/>
      </c>
      <c r="L2369" t="str">
        <f>IF(A2369="","",IFERROR(LOOKUP(2,1/(#REF!=Z2369),#REF!),Y2369))</f>
        <v/>
      </c>
      <c r="Z2369" t="str">
        <f>IF(A2369="","",TEXT(A2369,"0")&amp;"|"&amp;TEXT(H2369,"0"))</f>
        <v/>
      </c>
      <c r="AA2369" t="str">
        <f>IF(Z2369="","",IFERROR(LOOKUP(2,1/(#REF!=Z2369),#REF!),""))</f>
        <v/>
      </c>
      <c r="AB2369" t="str">
        <f>IF(Z2369="","",IFERROR(LOOKUP(2,1/(#REF!=Z2369),#REF!),""))</f>
        <v/>
      </c>
      <c r="AC2369" t="str">
        <f>IF(Z2369="","",COUNTIF(#REF!,Z2369))</f>
        <v/>
      </c>
      <c r="AD2369" t="str">
        <f>IF(A2369="","",IF(AC2369&gt;1,"REVISAR DUPLICADO",IF(AA2369&lt;&gt;"","ACTUALIZADO POR EYR","SIN REPORTE EYR")))</f>
        <v/>
      </c>
    </row>
    <row r="2370" spans="11:30" x14ac:dyDescent="0.3">
      <c r="K2370" s="1" t="str">
        <f ca="1">IF(A2370="","",IF(OR(L2370="ENTREGADA",L2370="RETORNADA",L2370="ENTREGA DIGITAL"),0,MAX(0,5-NETWORKDAYS(H2370+1,TODAY()))))</f>
        <v/>
      </c>
      <c r="L2370" t="str">
        <f>IF(A2370="","",IFERROR(LOOKUP(2,1/(#REF!=Z2370),#REF!),Y2370))</f>
        <v/>
      </c>
      <c r="Z2370" t="str">
        <f>IF(A2370="","",TEXT(A2370,"0")&amp;"|"&amp;TEXT(H2370,"0"))</f>
        <v/>
      </c>
      <c r="AA2370" t="str">
        <f>IF(Z2370="","",IFERROR(LOOKUP(2,1/(#REF!=Z2370),#REF!),""))</f>
        <v/>
      </c>
      <c r="AB2370" t="str">
        <f>IF(Z2370="","",IFERROR(LOOKUP(2,1/(#REF!=Z2370),#REF!),""))</f>
        <v/>
      </c>
      <c r="AC2370" t="str">
        <f>IF(Z2370="","",COUNTIF(#REF!,Z2370))</f>
        <v/>
      </c>
      <c r="AD2370" t="str">
        <f>IF(A2370="","",IF(AC2370&gt;1,"REVISAR DUPLICADO",IF(AA2370&lt;&gt;"","ACTUALIZADO POR EYR","SIN REPORTE EYR")))</f>
        <v/>
      </c>
    </row>
    <row r="2371" spans="11:30" x14ac:dyDescent="0.3">
      <c r="K2371" s="1" t="str">
        <f ca="1">IF(A2371="","",IF(OR(L2371="ENTREGADA",L2371="RETORNADA",L2371="ENTREGA DIGITAL"),0,MAX(0,5-NETWORKDAYS(H2371+1,TODAY()))))</f>
        <v/>
      </c>
      <c r="L2371" t="str">
        <f>IF(A2371="","",IFERROR(LOOKUP(2,1/(#REF!=Z2371),#REF!),Y2371))</f>
        <v/>
      </c>
      <c r="Z2371" t="str">
        <f>IF(A2371="","",TEXT(A2371,"0")&amp;"|"&amp;TEXT(H2371,"0"))</f>
        <v/>
      </c>
      <c r="AA2371" t="str">
        <f>IF(Z2371="","",IFERROR(LOOKUP(2,1/(#REF!=Z2371),#REF!),""))</f>
        <v/>
      </c>
      <c r="AB2371" t="str">
        <f>IF(Z2371="","",IFERROR(LOOKUP(2,1/(#REF!=Z2371),#REF!),""))</f>
        <v/>
      </c>
      <c r="AC2371" t="str">
        <f>IF(Z2371="","",COUNTIF(#REF!,Z2371))</f>
        <v/>
      </c>
      <c r="AD2371" t="str">
        <f>IF(A2371="","",IF(AC2371&gt;1,"REVISAR DUPLICADO",IF(AA2371&lt;&gt;"","ACTUALIZADO POR EYR","SIN REPORTE EYR")))</f>
        <v/>
      </c>
    </row>
    <row r="2372" spans="11:30" x14ac:dyDescent="0.3">
      <c r="K2372" s="1" t="str">
        <f ca="1">IF(A2372="","",IF(OR(L2372="ENTREGADA",L2372="RETORNADA",L2372="ENTREGA DIGITAL"),0,MAX(0,5-NETWORKDAYS(H2372+1,TODAY()))))</f>
        <v/>
      </c>
      <c r="L2372" t="str">
        <f>IF(A2372="","",IFERROR(LOOKUP(2,1/(#REF!=Z2372),#REF!),Y2372))</f>
        <v/>
      </c>
      <c r="Z2372" t="str">
        <f>IF(A2372="","",TEXT(A2372,"0")&amp;"|"&amp;TEXT(H2372,"0"))</f>
        <v/>
      </c>
      <c r="AA2372" t="str">
        <f>IF(Z2372="","",IFERROR(LOOKUP(2,1/(#REF!=Z2372),#REF!),""))</f>
        <v/>
      </c>
      <c r="AB2372" t="str">
        <f>IF(Z2372="","",IFERROR(LOOKUP(2,1/(#REF!=Z2372),#REF!),""))</f>
        <v/>
      </c>
      <c r="AC2372" t="str">
        <f>IF(Z2372="","",COUNTIF(#REF!,Z2372))</f>
        <v/>
      </c>
      <c r="AD2372" t="str">
        <f>IF(A2372="","",IF(AC2372&gt;1,"REVISAR DUPLICADO",IF(AA2372&lt;&gt;"","ACTUALIZADO POR EYR","SIN REPORTE EYR")))</f>
        <v/>
      </c>
    </row>
    <row r="2373" spans="11:30" x14ac:dyDescent="0.3">
      <c r="K2373" s="1" t="str">
        <f ca="1">IF(A2373="","",IF(OR(L2373="ENTREGADA",L2373="RETORNADA",L2373="ENTREGA DIGITAL"),0,MAX(0,5-NETWORKDAYS(H2373+1,TODAY()))))</f>
        <v/>
      </c>
      <c r="L2373" t="str">
        <f>IF(A2373="","",IFERROR(LOOKUP(2,1/(#REF!=Z2373),#REF!),Y2373))</f>
        <v/>
      </c>
      <c r="Z2373" t="str">
        <f>IF(A2373="","",TEXT(A2373,"0")&amp;"|"&amp;TEXT(H2373,"0"))</f>
        <v/>
      </c>
      <c r="AA2373" t="str">
        <f>IF(Z2373="","",IFERROR(LOOKUP(2,1/(#REF!=Z2373),#REF!),""))</f>
        <v/>
      </c>
      <c r="AB2373" t="str">
        <f>IF(Z2373="","",IFERROR(LOOKUP(2,1/(#REF!=Z2373),#REF!),""))</f>
        <v/>
      </c>
      <c r="AC2373" t="str">
        <f>IF(Z2373="","",COUNTIF(#REF!,Z2373))</f>
        <v/>
      </c>
      <c r="AD2373" t="str">
        <f>IF(A2373="","",IF(AC2373&gt;1,"REVISAR DUPLICADO",IF(AA2373&lt;&gt;"","ACTUALIZADO POR EYR","SIN REPORTE EYR")))</f>
        <v/>
      </c>
    </row>
    <row r="2374" spans="11:30" x14ac:dyDescent="0.3">
      <c r="K2374" s="1" t="str">
        <f ca="1">IF(A2374="","",IF(OR(L2374="ENTREGADA",L2374="RETORNADA",L2374="ENTREGA DIGITAL"),0,MAX(0,5-NETWORKDAYS(H2374+1,TODAY()))))</f>
        <v/>
      </c>
      <c r="L2374" t="str">
        <f>IF(A2374="","",IFERROR(LOOKUP(2,1/(#REF!=Z2374),#REF!),Y2374))</f>
        <v/>
      </c>
      <c r="Z2374" t="str">
        <f>IF(A2374="","",TEXT(A2374,"0")&amp;"|"&amp;TEXT(H2374,"0"))</f>
        <v/>
      </c>
      <c r="AA2374" t="str">
        <f>IF(Z2374="","",IFERROR(LOOKUP(2,1/(#REF!=Z2374),#REF!),""))</f>
        <v/>
      </c>
      <c r="AB2374" t="str">
        <f>IF(Z2374="","",IFERROR(LOOKUP(2,1/(#REF!=Z2374),#REF!),""))</f>
        <v/>
      </c>
      <c r="AC2374" t="str">
        <f>IF(Z2374="","",COUNTIF(#REF!,Z2374))</f>
        <v/>
      </c>
      <c r="AD2374" t="str">
        <f>IF(A2374="","",IF(AC2374&gt;1,"REVISAR DUPLICADO",IF(AA2374&lt;&gt;"","ACTUALIZADO POR EYR","SIN REPORTE EYR")))</f>
        <v/>
      </c>
    </row>
    <row r="2375" spans="11:30" x14ac:dyDescent="0.3">
      <c r="K2375" s="1" t="str">
        <f ca="1">IF(A2375="","",IF(OR(L2375="ENTREGADA",L2375="RETORNADA",L2375="ENTREGA DIGITAL"),0,MAX(0,5-NETWORKDAYS(H2375+1,TODAY()))))</f>
        <v/>
      </c>
      <c r="L2375" t="str">
        <f>IF(A2375="","",IFERROR(LOOKUP(2,1/(#REF!=Z2375),#REF!),Y2375))</f>
        <v/>
      </c>
      <c r="Z2375" t="str">
        <f>IF(A2375="","",TEXT(A2375,"0")&amp;"|"&amp;TEXT(H2375,"0"))</f>
        <v/>
      </c>
      <c r="AA2375" t="str">
        <f>IF(Z2375="","",IFERROR(LOOKUP(2,1/(#REF!=Z2375),#REF!),""))</f>
        <v/>
      </c>
      <c r="AB2375" t="str">
        <f>IF(Z2375="","",IFERROR(LOOKUP(2,1/(#REF!=Z2375),#REF!),""))</f>
        <v/>
      </c>
      <c r="AC2375" t="str">
        <f>IF(Z2375="","",COUNTIF(#REF!,Z2375))</f>
        <v/>
      </c>
      <c r="AD2375" t="str">
        <f>IF(A2375="","",IF(AC2375&gt;1,"REVISAR DUPLICADO",IF(AA2375&lt;&gt;"","ACTUALIZADO POR EYR","SIN REPORTE EYR")))</f>
        <v/>
      </c>
    </row>
    <row r="2376" spans="11:30" x14ac:dyDescent="0.3">
      <c r="K2376" s="1" t="str">
        <f ca="1">IF(A2376="","",IF(OR(L2376="ENTREGADA",L2376="RETORNADA",L2376="ENTREGA DIGITAL"),0,MAX(0,5-NETWORKDAYS(H2376+1,TODAY()))))</f>
        <v/>
      </c>
      <c r="L2376" t="str">
        <f>IF(A2376="","",IFERROR(LOOKUP(2,1/(#REF!=Z2376),#REF!),Y2376))</f>
        <v/>
      </c>
      <c r="Z2376" t="str">
        <f>IF(A2376="","",TEXT(A2376,"0")&amp;"|"&amp;TEXT(H2376,"0"))</f>
        <v/>
      </c>
      <c r="AA2376" t="str">
        <f>IF(Z2376="","",IFERROR(LOOKUP(2,1/(#REF!=Z2376),#REF!),""))</f>
        <v/>
      </c>
      <c r="AB2376" t="str">
        <f>IF(Z2376="","",IFERROR(LOOKUP(2,1/(#REF!=Z2376),#REF!),""))</f>
        <v/>
      </c>
      <c r="AC2376" t="str">
        <f>IF(Z2376="","",COUNTIF(#REF!,Z2376))</f>
        <v/>
      </c>
      <c r="AD2376" t="str">
        <f>IF(A2376="","",IF(AC2376&gt;1,"REVISAR DUPLICADO",IF(AA2376&lt;&gt;"","ACTUALIZADO POR EYR","SIN REPORTE EYR")))</f>
        <v/>
      </c>
    </row>
    <row r="2377" spans="11:30" x14ac:dyDescent="0.3">
      <c r="K2377" s="1" t="str">
        <f ca="1">IF(A2377="","",IF(OR(L2377="ENTREGADA",L2377="RETORNADA",L2377="ENTREGA DIGITAL"),0,MAX(0,5-NETWORKDAYS(H2377+1,TODAY()))))</f>
        <v/>
      </c>
      <c r="L2377" t="str">
        <f>IF(A2377="","",IFERROR(LOOKUP(2,1/(#REF!=Z2377),#REF!),Y2377))</f>
        <v/>
      </c>
      <c r="Z2377" t="str">
        <f>IF(A2377="","",TEXT(A2377,"0")&amp;"|"&amp;TEXT(H2377,"0"))</f>
        <v/>
      </c>
      <c r="AA2377" t="str">
        <f>IF(Z2377="","",IFERROR(LOOKUP(2,1/(#REF!=Z2377),#REF!),""))</f>
        <v/>
      </c>
      <c r="AB2377" t="str">
        <f>IF(Z2377="","",IFERROR(LOOKUP(2,1/(#REF!=Z2377),#REF!),""))</f>
        <v/>
      </c>
      <c r="AC2377" t="str">
        <f>IF(Z2377="","",COUNTIF(#REF!,Z2377))</f>
        <v/>
      </c>
      <c r="AD2377" t="str">
        <f>IF(A2377="","",IF(AC2377&gt;1,"REVISAR DUPLICADO",IF(AA2377&lt;&gt;"","ACTUALIZADO POR EYR","SIN REPORTE EYR")))</f>
        <v/>
      </c>
    </row>
    <row r="2378" spans="11:30" x14ac:dyDescent="0.3">
      <c r="K2378" s="1" t="str">
        <f ca="1">IF(A2378="","",IF(OR(L2378="ENTREGADA",L2378="RETORNADA",L2378="ENTREGA DIGITAL"),0,MAX(0,5-NETWORKDAYS(H2378+1,TODAY()))))</f>
        <v/>
      </c>
      <c r="L2378" t="str">
        <f>IF(A2378="","",IFERROR(LOOKUP(2,1/(#REF!=Z2378),#REF!),Y2378))</f>
        <v/>
      </c>
      <c r="Z2378" t="str">
        <f>IF(A2378="","",TEXT(A2378,"0")&amp;"|"&amp;TEXT(H2378,"0"))</f>
        <v/>
      </c>
      <c r="AA2378" t="str">
        <f>IF(Z2378="","",IFERROR(LOOKUP(2,1/(#REF!=Z2378),#REF!),""))</f>
        <v/>
      </c>
      <c r="AB2378" t="str">
        <f>IF(Z2378="","",IFERROR(LOOKUP(2,1/(#REF!=Z2378),#REF!),""))</f>
        <v/>
      </c>
      <c r="AC2378" t="str">
        <f>IF(Z2378="","",COUNTIF(#REF!,Z2378))</f>
        <v/>
      </c>
      <c r="AD2378" t="str">
        <f>IF(A2378="","",IF(AC2378&gt;1,"REVISAR DUPLICADO",IF(AA2378&lt;&gt;"","ACTUALIZADO POR EYR","SIN REPORTE EYR")))</f>
        <v/>
      </c>
    </row>
    <row r="2379" spans="11:30" x14ac:dyDescent="0.3">
      <c r="K2379" s="1" t="str">
        <f ca="1">IF(A2379="","",IF(OR(L2379="ENTREGADA",L2379="RETORNADA",L2379="ENTREGA DIGITAL"),0,MAX(0,5-NETWORKDAYS(H2379+1,TODAY()))))</f>
        <v/>
      </c>
      <c r="L2379" t="str">
        <f>IF(A2379="","",IFERROR(LOOKUP(2,1/(#REF!=Z2379),#REF!),Y2379))</f>
        <v/>
      </c>
      <c r="Z2379" t="str">
        <f>IF(A2379="","",TEXT(A2379,"0")&amp;"|"&amp;TEXT(H2379,"0"))</f>
        <v/>
      </c>
      <c r="AA2379" t="str">
        <f>IF(Z2379="","",IFERROR(LOOKUP(2,1/(#REF!=Z2379),#REF!),""))</f>
        <v/>
      </c>
      <c r="AB2379" t="str">
        <f>IF(Z2379="","",IFERROR(LOOKUP(2,1/(#REF!=Z2379),#REF!),""))</f>
        <v/>
      </c>
      <c r="AC2379" t="str">
        <f>IF(Z2379="","",COUNTIF(#REF!,Z2379))</f>
        <v/>
      </c>
      <c r="AD2379" t="str">
        <f>IF(A2379="","",IF(AC2379&gt;1,"REVISAR DUPLICADO",IF(AA2379&lt;&gt;"","ACTUALIZADO POR EYR","SIN REPORTE EYR")))</f>
        <v/>
      </c>
    </row>
    <row r="2380" spans="11:30" x14ac:dyDescent="0.3">
      <c r="K2380" s="1" t="str">
        <f ca="1">IF(A2380="","",IF(OR(L2380="ENTREGADA",L2380="RETORNADA",L2380="ENTREGA DIGITAL"),0,MAX(0,5-NETWORKDAYS(H2380+1,TODAY()))))</f>
        <v/>
      </c>
      <c r="L2380" t="str">
        <f>IF(A2380="","",IFERROR(LOOKUP(2,1/(#REF!=Z2380),#REF!),Y2380))</f>
        <v/>
      </c>
      <c r="Z2380" t="str">
        <f>IF(A2380="","",TEXT(A2380,"0")&amp;"|"&amp;TEXT(H2380,"0"))</f>
        <v/>
      </c>
      <c r="AA2380" t="str">
        <f>IF(Z2380="","",IFERROR(LOOKUP(2,1/(#REF!=Z2380),#REF!),""))</f>
        <v/>
      </c>
      <c r="AB2380" t="str">
        <f>IF(Z2380="","",IFERROR(LOOKUP(2,1/(#REF!=Z2380),#REF!),""))</f>
        <v/>
      </c>
      <c r="AC2380" t="str">
        <f>IF(Z2380="","",COUNTIF(#REF!,Z2380))</f>
        <v/>
      </c>
      <c r="AD2380" t="str">
        <f>IF(A2380="","",IF(AC2380&gt;1,"REVISAR DUPLICADO",IF(AA2380&lt;&gt;"","ACTUALIZADO POR EYR","SIN REPORTE EYR")))</f>
        <v/>
      </c>
    </row>
    <row r="2381" spans="11:30" x14ac:dyDescent="0.3">
      <c r="K2381" s="1" t="str">
        <f ca="1">IF(A2381="","",IF(OR(L2381="ENTREGADA",L2381="RETORNADA",L2381="ENTREGA DIGITAL"),0,MAX(0,5-NETWORKDAYS(H2381+1,TODAY()))))</f>
        <v/>
      </c>
      <c r="L2381" t="str">
        <f>IF(A2381="","",IFERROR(LOOKUP(2,1/(#REF!=Z2381),#REF!),Y2381))</f>
        <v/>
      </c>
      <c r="Z2381" t="str">
        <f>IF(A2381="","",TEXT(A2381,"0")&amp;"|"&amp;TEXT(H2381,"0"))</f>
        <v/>
      </c>
      <c r="AA2381" t="str">
        <f>IF(Z2381="","",IFERROR(LOOKUP(2,1/(#REF!=Z2381),#REF!),""))</f>
        <v/>
      </c>
      <c r="AB2381" t="str">
        <f>IF(Z2381="","",IFERROR(LOOKUP(2,1/(#REF!=Z2381),#REF!),""))</f>
        <v/>
      </c>
      <c r="AC2381" t="str">
        <f>IF(Z2381="","",COUNTIF(#REF!,Z2381))</f>
        <v/>
      </c>
      <c r="AD2381" t="str">
        <f>IF(A2381="","",IF(AC2381&gt;1,"REVISAR DUPLICADO",IF(AA2381&lt;&gt;"","ACTUALIZADO POR EYR","SIN REPORTE EYR")))</f>
        <v/>
      </c>
    </row>
    <row r="2382" spans="11:30" x14ac:dyDescent="0.3">
      <c r="K2382" s="1" t="str">
        <f ca="1">IF(A2382="","",IF(OR(L2382="ENTREGADA",L2382="RETORNADA",L2382="ENTREGA DIGITAL"),0,MAX(0,5-NETWORKDAYS(H2382+1,TODAY()))))</f>
        <v/>
      </c>
      <c r="L2382" t="str">
        <f>IF(A2382="","",IFERROR(LOOKUP(2,1/(#REF!=Z2382),#REF!),Y2382))</f>
        <v/>
      </c>
      <c r="Z2382" t="str">
        <f>IF(A2382="","",TEXT(A2382,"0")&amp;"|"&amp;TEXT(H2382,"0"))</f>
        <v/>
      </c>
      <c r="AA2382" t="str">
        <f>IF(Z2382="","",IFERROR(LOOKUP(2,1/(#REF!=Z2382),#REF!),""))</f>
        <v/>
      </c>
      <c r="AB2382" t="str">
        <f>IF(Z2382="","",IFERROR(LOOKUP(2,1/(#REF!=Z2382),#REF!),""))</f>
        <v/>
      </c>
      <c r="AC2382" t="str">
        <f>IF(Z2382="","",COUNTIF(#REF!,Z2382))</f>
        <v/>
      </c>
      <c r="AD2382" t="str">
        <f>IF(A2382="","",IF(AC2382&gt;1,"REVISAR DUPLICADO",IF(AA2382&lt;&gt;"","ACTUALIZADO POR EYR","SIN REPORTE EYR")))</f>
        <v/>
      </c>
    </row>
    <row r="2383" spans="11:30" x14ac:dyDescent="0.3">
      <c r="K2383" s="1" t="str">
        <f ca="1">IF(A2383="","",IF(OR(L2383="ENTREGADA",L2383="RETORNADA",L2383="ENTREGA DIGITAL"),0,MAX(0,5-NETWORKDAYS(H2383+1,TODAY()))))</f>
        <v/>
      </c>
      <c r="L2383" t="str">
        <f>IF(A2383="","",IFERROR(LOOKUP(2,1/(#REF!=Z2383),#REF!),Y2383))</f>
        <v/>
      </c>
      <c r="Z2383" t="str">
        <f>IF(A2383="","",TEXT(A2383,"0")&amp;"|"&amp;TEXT(H2383,"0"))</f>
        <v/>
      </c>
      <c r="AA2383" t="str">
        <f>IF(Z2383="","",IFERROR(LOOKUP(2,1/(#REF!=Z2383),#REF!),""))</f>
        <v/>
      </c>
      <c r="AB2383" t="str">
        <f>IF(Z2383="","",IFERROR(LOOKUP(2,1/(#REF!=Z2383),#REF!),""))</f>
        <v/>
      </c>
      <c r="AC2383" t="str">
        <f>IF(Z2383="","",COUNTIF(#REF!,Z2383))</f>
        <v/>
      </c>
      <c r="AD2383" t="str">
        <f>IF(A2383="","",IF(AC2383&gt;1,"REVISAR DUPLICADO",IF(AA2383&lt;&gt;"","ACTUALIZADO POR EYR","SIN REPORTE EYR")))</f>
        <v/>
      </c>
    </row>
    <row r="2384" spans="11:30" x14ac:dyDescent="0.3">
      <c r="K2384" s="1" t="str">
        <f ca="1">IF(A2384="","",IF(OR(L2384="ENTREGADA",L2384="RETORNADA",L2384="ENTREGA DIGITAL"),0,MAX(0,5-NETWORKDAYS(H2384+1,TODAY()))))</f>
        <v/>
      </c>
      <c r="L2384" t="str">
        <f>IF(A2384="","",IFERROR(LOOKUP(2,1/(#REF!=Z2384),#REF!),Y2384))</f>
        <v/>
      </c>
      <c r="Z2384" t="str">
        <f>IF(A2384="","",TEXT(A2384,"0")&amp;"|"&amp;TEXT(H2384,"0"))</f>
        <v/>
      </c>
      <c r="AA2384" t="str">
        <f>IF(Z2384="","",IFERROR(LOOKUP(2,1/(#REF!=Z2384),#REF!),""))</f>
        <v/>
      </c>
      <c r="AB2384" t="str">
        <f>IF(Z2384="","",IFERROR(LOOKUP(2,1/(#REF!=Z2384),#REF!),""))</f>
        <v/>
      </c>
      <c r="AC2384" t="str">
        <f>IF(Z2384="","",COUNTIF(#REF!,Z2384))</f>
        <v/>
      </c>
      <c r="AD2384" t="str">
        <f>IF(A2384="","",IF(AC2384&gt;1,"REVISAR DUPLICADO",IF(AA2384&lt;&gt;"","ACTUALIZADO POR EYR","SIN REPORTE EYR")))</f>
        <v/>
      </c>
    </row>
    <row r="2385" spans="11:30" x14ac:dyDescent="0.3">
      <c r="K2385" s="1" t="str">
        <f ca="1">IF(A2385="","",IF(OR(L2385="ENTREGADA",L2385="RETORNADA",L2385="ENTREGA DIGITAL"),0,MAX(0,5-NETWORKDAYS(H2385+1,TODAY()))))</f>
        <v/>
      </c>
      <c r="L2385" t="str">
        <f>IF(A2385="","",IFERROR(LOOKUP(2,1/(#REF!=Z2385),#REF!),Y2385))</f>
        <v/>
      </c>
      <c r="Z2385" t="str">
        <f>IF(A2385="","",TEXT(A2385,"0")&amp;"|"&amp;TEXT(H2385,"0"))</f>
        <v/>
      </c>
      <c r="AA2385" t="str">
        <f>IF(Z2385="","",IFERROR(LOOKUP(2,1/(#REF!=Z2385),#REF!),""))</f>
        <v/>
      </c>
      <c r="AB2385" t="str">
        <f>IF(Z2385="","",IFERROR(LOOKUP(2,1/(#REF!=Z2385),#REF!),""))</f>
        <v/>
      </c>
      <c r="AC2385" t="str">
        <f>IF(Z2385="","",COUNTIF(#REF!,Z2385))</f>
        <v/>
      </c>
      <c r="AD2385" t="str">
        <f>IF(A2385="","",IF(AC2385&gt;1,"REVISAR DUPLICADO",IF(AA2385&lt;&gt;"","ACTUALIZADO POR EYR","SIN REPORTE EYR")))</f>
        <v/>
      </c>
    </row>
    <row r="2386" spans="11:30" x14ac:dyDescent="0.3">
      <c r="K2386" s="1" t="str">
        <f ca="1">IF(A2386="","",IF(OR(L2386="ENTREGADA",L2386="RETORNADA",L2386="ENTREGA DIGITAL"),0,MAX(0,5-NETWORKDAYS(H2386+1,TODAY()))))</f>
        <v/>
      </c>
      <c r="L2386" t="str">
        <f>IF(A2386="","",IFERROR(LOOKUP(2,1/(#REF!=Z2386),#REF!),Y2386))</f>
        <v/>
      </c>
      <c r="Z2386" t="str">
        <f>IF(A2386="","",TEXT(A2386,"0")&amp;"|"&amp;TEXT(H2386,"0"))</f>
        <v/>
      </c>
      <c r="AA2386" t="str">
        <f>IF(Z2386="","",IFERROR(LOOKUP(2,1/(#REF!=Z2386),#REF!),""))</f>
        <v/>
      </c>
      <c r="AB2386" t="str">
        <f>IF(Z2386="","",IFERROR(LOOKUP(2,1/(#REF!=Z2386),#REF!),""))</f>
        <v/>
      </c>
      <c r="AC2386" t="str">
        <f>IF(Z2386="","",COUNTIF(#REF!,Z2386))</f>
        <v/>
      </c>
      <c r="AD2386" t="str">
        <f>IF(A2386="","",IF(AC2386&gt;1,"REVISAR DUPLICADO",IF(AA2386&lt;&gt;"","ACTUALIZADO POR EYR","SIN REPORTE EYR")))</f>
        <v/>
      </c>
    </row>
    <row r="2387" spans="11:30" x14ac:dyDescent="0.3">
      <c r="K2387" s="1" t="str">
        <f ca="1">IF(A2387="","",IF(OR(L2387="ENTREGADA",L2387="RETORNADA",L2387="ENTREGA DIGITAL"),0,MAX(0,5-NETWORKDAYS(H2387+1,TODAY()))))</f>
        <v/>
      </c>
      <c r="L2387" t="str">
        <f>IF(A2387="","",IFERROR(LOOKUP(2,1/(#REF!=Z2387),#REF!),Y2387))</f>
        <v/>
      </c>
      <c r="Z2387" t="str">
        <f>IF(A2387="","",TEXT(A2387,"0")&amp;"|"&amp;TEXT(H2387,"0"))</f>
        <v/>
      </c>
      <c r="AA2387" t="str">
        <f>IF(Z2387="","",IFERROR(LOOKUP(2,1/(#REF!=Z2387),#REF!),""))</f>
        <v/>
      </c>
      <c r="AB2387" t="str">
        <f>IF(Z2387="","",IFERROR(LOOKUP(2,1/(#REF!=Z2387),#REF!),""))</f>
        <v/>
      </c>
      <c r="AC2387" t="str">
        <f>IF(Z2387="","",COUNTIF(#REF!,Z2387))</f>
        <v/>
      </c>
      <c r="AD2387" t="str">
        <f>IF(A2387="","",IF(AC2387&gt;1,"REVISAR DUPLICADO",IF(AA2387&lt;&gt;"","ACTUALIZADO POR EYR","SIN REPORTE EYR")))</f>
        <v/>
      </c>
    </row>
    <row r="2388" spans="11:30" x14ac:dyDescent="0.3">
      <c r="K2388" s="1" t="str">
        <f ca="1">IF(A2388="","",IF(OR(L2388="ENTREGADA",L2388="RETORNADA",L2388="ENTREGA DIGITAL"),0,MAX(0,5-NETWORKDAYS(H2388+1,TODAY()))))</f>
        <v/>
      </c>
      <c r="L2388" t="str">
        <f>IF(A2388="","",IFERROR(LOOKUP(2,1/(#REF!=Z2388),#REF!),Y2388))</f>
        <v/>
      </c>
      <c r="Z2388" t="str">
        <f>IF(A2388="","",TEXT(A2388,"0")&amp;"|"&amp;TEXT(H2388,"0"))</f>
        <v/>
      </c>
      <c r="AA2388" t="str">
        <f>IF(Z2388="","",IFERROR(LOOKUP(2,1/(#REF!=Z2388),#REF!),""))</f>
        <v/>
      </c>
      <c r="AB2388" t="str">
        <f>IF(Z2388="","",IFERROR(LOOKUP(2,1/(#REF!=Z2388),#REF!),""))</f>
        <v/>
      </c>
      <c r="AC2388" t="str">
        <f>IF(Z2388="","",COUNTIF(#REF!,Z2388))</f>
        <v/>
      </c>
      <c r="AD2388" t="str">
        <f>IF(A2388="","",IF(AC2388&gt;1,"REVISAR DUPLICADO",IF(AA2388&lt;&gt;"","ACTUALIZADO POR EYR","SIN REPORTE EYR")))</f>
        <v/>
      </c>
    </row>
    <row r="2389" spans="11:30" x14ac:dyDescent="0.3">
      <c r="K2389" s="1" t="str">
        <f ca="1">IF(A2389="","",IF(OR(L2389="ENTREGADA",L2389="RETORNADA",L2389="ENTREGA DIGITAL"),0,MAX(0,5-NETWORKDAYS(H2389+1,TODAY()))))</f>
        <v/>
      </c>
      <c r="L2389" t="str">
        <f>IF(A2389="","",IFERROR(LOOKUP(2,1/(#REF!=Z2389),#REF!),Y2389))</f>
        <v/>
      </c>
      <c r="Z2389" t="str">
        <f>IF(A2389="","",TEXT(A2389,"0")&amp;"|"&amp;TEXT(H2389,"0"))</f>
        <v/>
      </c>
      <c r="AA2389" t="str">
        <f>IF(Z2389="","",IFERROR(LOOKUP(2,1/(#REF!=Z2389),#REF!),""))</f>
        <v/>
      </c>
      <c r="AB2389" t="str">
        <f>IF(Z2389="","",IFERROR(LOOKUP(2,1/(#REF!=Z2389),#REF!),""))</f>
        <v/>
      </c>
      <c r="AC2389" t="str">
        <f>IF(Z2389="","",COUNTIF(#REF!,Z2389))</f>
        <v/>
      </c>
      <c r="AD2389" t="str">
        <f>IF(A2389="","",IF(AC2389&gt;1,"REVISAR DUPLICADO",IF(AA2389&lt;&gt;"","ACTUALIZADO POR EYR","SIN REPORTE EYR")))</f>
        <v/>
      </c>
    </row>
    <row r="2390" spans="11:30" x14ac:dyDescent="0.3">
      <c r="K2390" s="1" t="str">
        <f ca="1">IF(A2390="","",IF(OR(L2390="ENTREGADA",L2390="RETORNADA",L2390="ENTREGA DIGITAL"),0,MAX(0,5-NETWORKDAYS(H2390+1,TODAY()))))</f>
        <v/>
      </c>
      <c r="L2390" t="str">
        <f>IF(A2390="","",IFERROR(LOOKUP(2,1/(#REF!=Z2390),#REF!),Y2390))</f>
        <v/>
      </c>
      <c r="Z2390" t="str">
        <f>IF(A2390="","",TEXT(A2390,"0")&amp;"|"&amp;TEXT(H2390,"0"))</f>
        <v/>
      </c>
      <c r="AA2390" t="str">
        <f>IF(Z2390="","",IFERROR(LOOKUP(2,1/(#REF!=Z2390),#REF!),""))</f>
        <v/>
      </c>
      <c r="AB2390" t="str">
        <f>IF(Z2390="","",IFERROR(LOOKUP(2,1/(#REF!=Z2390),#REF!),""))</f>
        <v/>
      </c>
      <c r="AC2390" t="str">
        <f>IF(Z2390="","",COUNTIF(#REF!,Z2390))</f>
        <v/>
      </c>
      <c r="AD2390" t="str">
        <f>IF(A2390="","",IF(AC2390&gt;1,"REVISAR DUPLICADO",IF(AA2390&lt;&gt;"","ACTUALIZADO POR EYR","SIN REPORTE EYR")))</f>
        <v/>
      </c>
    </row>
    <row r="2391" spans="11:30" x14ac:dyDescent="0.3">
      <c r="K2391" s="1" t="str">
        <f ca="1">IF(A2391="","",IF(OR(L2391="ENTREGADA",L2391="RETORNADA",L2391="ENTREGA DIGITAL"),0,MAX(0,5-NETWORKDAYS(H2391+1,TODAY()))))</f>
        <v/>
      </c>
      <c r="L2391" t="str">
        <f>IF(A2391="","",IFERROR(LOOKUP(2,1/(#REF!=Z2391),#REF!),Y2391))</f>
        <v/>
      </c>
      <c r="Z2391" t="str">
        <f>IF(A2391="","",TEXT(A2391,"0")&amp;"|"&amp;TEXT(H2391,"0"))</f>
        <v/>
      </c>
      <c r="AA2391" t="str">
        <f>IF(Z2391="","",IFERROR(LOOKUP(2,1/(#REF!=Z2391),#REF!),""))</f>
        <v/>
      </c>
      <c r="AB2391" t="str">
        <f>IF(Z2391="","",IFERROR(LOOKUP(2,1/(#REF!=Z2391),#REF!),""))</f>
        <v/>
      </c>
      <c r="AC2391" t="str">
        <f>IF(Z2391="","",COUNTIF(#REF!,Z2391))</f>
        <v/>
      </c>
      <c r="AD2391" t="str">
        <f>IF(A2391="","",IF(AC2391&gt;1,"REVISAR DUPLICADO",IF(AA2391&lt;&gt;"","ACTUALIZADO POR EYR","SIN REPORTE EYR")))</f>
        <v/>
      </c>
    </row>
    <row r="2392" spans="11:30" x14ac:dyDescent="0.3">
      <c r="K2392" s="1" t="str">
        <f ca="1">IF(A2392="","",IF(OR(L2392="ENTREGADA",L2392="RETORNADA",L2392="ENTREGA DIGITAL"),0,MAX(0,5-NETWORKDAYS(H2392+1,TODAY()))))</f>
        <v/>
      </c>
      <c r="L2392" t="str">
        <f>IF(A2392="","",IFERROR(LOOKUP(2,1/(#REF!=Z2392),#REF!),Y2392))</f>
        <v/>
      </c>
      <c r="Z2392" t="str">
        <f>IF(A2392="","",TEXT(A2392,"0")&amp;"|"&amp;TEXT(H2392,"0"))</f>
        <v/>
      </c>
      <c r="AA2392" t="str">
        <f>IF(Z2392="","",IFERROR(LOOKUP(2,1/(#REF!=Z2392),#REF!),""))</f>
        <v/>
      </c>
      <c r="AB2392" t="str">
        <f>IF(Z2392="","",IFERROR(LOOKUP(2,1/(#REF!=Z2392),#REF!),""))</f>
        <v/>
      </c>
      <c r="AC2392" t="str">
        <f>IF(Z2392="","",COUNTIF(#REF!,Z2392))</f>
        <v/>
      </c>
      <c r="AD2392" t="str">
        <f>IF(A2392="","",IF(AC2392&gt;1,"REVISAR DUPLICADO",IF(AA2392&lt;&gt;"","ACTUALIZADO POR EYR","SIN REPORTE EYR")))</f>
        <v/>
      </c>
    </row>
    <row r="2393" spans="11:30" x14ac:dyDescent="0.3">
      <c r="K2393" s="1" t="str">
        <f ca="1">IF(A2393="","",IF(OR(L2393="ENTREGADA",L2393="RETORNADA",L2393="ENTREGA DIGITAL"),0,MAX(0,5-NETWORKDAYS(H2393+1,TODAY()))))</f>
        <v/>
      </c>
      <c r="L2393" t="str">
        <f>IF(A2393="","",IFERROR(LOOKUP(2,1/(#REF!=Z2393),#REF!),Y2393))</f>
        <v/>
      </c>
      <c r="Z2393" t="str">
        <f>IF(A2393="","",TEXT(A2393,"0")&amp;"|"&amp;TEXT(H2393,"0"))</f>
        <v/>
      </c>
      <c r="AA2393" t="str">
        <f>IF(Z2393="","",IFERROR(LOOKUP(2,1/(#REF!=Z2393),#REF!),""))</f>
        <v/>
      </c>
      <c r="AB2393" t="str">
        <f>IF(Z2393="","",IFERROR(LOOKUP(2,1/(#REF!=Z2393),#REF!),""))</f>
        <v/>
      </c>
      <c r="AC2393" t="str">
        <f>IF(Z2393="","",COUNTIF(#REF!,Z2393))</f>
        <v/>
      </c>
      <c r="AD2393" t="str">
        <f>IF(A2393="","",IF(AC2393&gt;1,"REVISAR DUPLICADO",IF(AA2393&lt;&gt;"","ACTUALIZADO POR EYR","SIN REPORTE EYR")))</f>
        <v/>
      </c>
    </row>
    <row r="2394" spans="11:30" x14ac:dyDescent="0.3">
      <c r="K2394" s="1" t="str">
        <f ca="1">IF(A2394="","",IF(OR(L2394="ENTREGADA",L2394="RETORNADA",L2394="ENTREGA DIGITAL"),0,MAX(0,5-NETWORKDAYS(H2394+1,TODAY()))))</f>
        <v/>
      </c>
      <c r="L2394" t="str">
        <f>IF(A2394="","",IFERROR(LOOKUP(2,1/(#REF!=Z2394),#REF!),Y2394))</f>
        <v/>
      </c>
      <c r="Z2394" t="str">
        <f>IF(A2394="","",TEXT(A2394,"0")&amp;"|"&amp;TEXT(H2394,"0"))</f>
        <v/>
      </c>
      <c r="AA2394" t="str">
        <f>IF(Z2394="","",IFERROR(LOOKUP(2,1/(#REF!=Z2394),#REF!),""))</f>
        <v/>
      </c>
      <c r="AB2394" t="str">
        <f>IF(Z2394="","",IFERROR(LOOKUP(2,1/(#REF!=Z2394),#REF!),""))</f>
        <v/>
      </c>
      <c r="AC2394" t="str">
        <f>IF(Z2394="","",COUNTIF(#REF!,Z2394))</f>
        <v/>
      </c>
      <c r="AD2394" t="str">
        <f>IF(A2394="","",IF(AC2394&gt;1,"REVISAR DUPLICADO",IF(AA2394&lt;&gt;"","ACTUALIZADO POR EYR","SIN REPORTE EYR")))</f>
        <v/>
      </c>
    </row>
    <row r="2395" spans="11:30" x14ac:dyDescent="0.3">
      <c r="K2395" s="1" t="str">
        <f ca="1">IF(A2395="","",IF(OR(L2395="ENTREGADA",L2395="RETORNADA",L2395="ENTREGA DIGITAL"),0,MAX(0,5-NETWORKDAYS(H2395+1,TODAY()))))</f>
        <v/>
      </c>
      <c r="L2395" t="str">
        <f>IF(A2395="","",IFERROR(LOOKUP(2,1/(#REF!=Z2395),#REF!),Y2395))</f>
        <v/>
      </c>
      <c r="Z2395" t="str">
        <f>IF(A2395="","",TEXT(A2395,"0")&amp;"|"&amp;TEXT(H2395,"0"))</f>
        <v/>
      </c>
      <c r="AA2395" t="str">
        <f>IF(Z2395="","",IFERROR(LOOKUP(2,1/(#REF!=Z2395),#REF!),""))</f>
        <v/>
      </c>
      <c r="AB2395" t="str">
        <f>IF(Z2395="","",IFERROR(LOOKUP(2,1/(#REF!=Z2395),#REF!),""))</f>
        <v/>
      </c>
      <c r="AC2395" t="str">
        <f>IF(Z2395="","",COUNTIF(#REF!,Z2395))</f>
        <v/>
      </c>
      <c r="AD2395" t="str">
        <f>IF(A2395="","",IF(AC2395&gt;1,"REVISAR DUPLICADO",IF(AA2395&lt;&gt;"","ACTUALIZADO POR EYR","SIN REPORTE EYR")))</f>
        <v/>
      </c>
    </row>
    <row r="2396" spans="11:30" x14ac:dyDescent="0.3">
      <c r="K2396" s="1" t="str">
        <f ca="1">IF(A2396="","",IF(OR(L2396="ENTREGADA",L2396="RETORNADA",L2396="ENTREGA DIGITAL"),0,MAX(0,5-NETWORKDAYS(H2396+1,TODAY()))))</f>
        <v/>
      </c>
      <c r="L2396" t="str">
        <f>IF(A2396="","",IFERROR(LOOKUP(2,1/(#REF!=Z2396),#REF!),Y2396))</f>
        <v/>
      </c>
      <c r="Z2396" t="str">
        <f>IF(A2396="","",TEXT(A2396,"0")&amp;"|"&amp;TEXT(H2396,"0"))</f>
        <v/>
      </c>
      <c r="AA2396" t="str">
        <f>IF(Z2396="","",IFERROR(LOOKUP(2,1/(#REF!=Z2396),#REF!),""))</f>
        <v/>
      </c>
      <c r="AB2396" t="str">
        <f>IF(Z2396="","",IFERROR(LOOKUP(2,1/(#REF!=Z2396),#REF!),""))</f>
        <v/>
      </c>
      <c r="AC2396" t="str">
        <f>IF(Z2396="","",COUNTIF(#REF!,Z2396))</f>
        <v/>
      </c>
      <c r="AD2396" t="str">
        <f>IF(A2396="","",IF(AC2396&gt;1,"REVISAR DUPLICADO",IF(AA2396&lt;&gt;"","ACTUALIZADO POR EYR","SIN REPORTE EYR")))</f>
        <v/>
      </c>
    </row>
    <row r="2397" spans="11:30" x14ac:dyDescent="0.3">
      <c r="K2397" s="1" t="str">
        <f ca="1">IF(A2397="","",IF(OR(L2397="ENTREGADA",L2397="RETORNADA",L2397="ENTREGA DIGITAL"),0,MAX(0,5-NETWORKDAYS(H2397+1,TODAY()))))</f>
        <v/>
      </c>
      <c r="L2397" t="str">
        <f>IF(A2397="","",IFERROR(LOOKUP(2,1/(#REF!=Z2397),#REF!),Y2397))</f>
        <v/>
      </c>
      <c r="Z2397" t="str">
        <f>IF(A2397="","",TEXT(A2397,"0")&amp;"|"&amp;TEXT(H2397,"0"))</f>
        <v/>
      </c>
      <c r="AA2397" t="str">
        <f>IF(Z2397="","",IFERROR(LOOKUP(2,1/(#REF!=Z2397),#REF!),""))</f>
        <v/>
      </c>
      <c r="AB2397" t="str">
        <f>IF(Z2397="","",IFERROR(LOOKUP(2,1/(#REF!=Z2397),#REF!),""))</f>
        <v/>
      </c>
      <c r="AC2397" t="str">
        <f>IF(Z2397="","",COUNTIF(#REF!,Z2397))</f>
        <v/>
      </c>
      <c r="AD2397" t="str">
        <f>IF(A2397="","",IF(AC2397&gt;1,"REVISAR DUPLICADO",IF(AA2397&lt;&gt;"","ACTUALIZADO POR EYR","SIN REPORTE EYR")))</f>
        <v/>
      </c>
    </row>
    <row r="2398" spans="11:30" x14ac:dyDescent="0.3">
      <c r="K2398" s="1" t="str">
        <f ca="1">IF(A2398="","",IF(OR(L2398="ENTREGADA",L2398="RETORNADA",L2398="ENTREGA DIGITAL"),0,MAX(0,5-NETWORKDAYS(H2398+1,TODAY()))))</f>
        <v/>
      </c>
      <c r="L2398" t="str">
        <f>IF(A2398="","",IFERROR(LOOKUP(2,1/(#REF!=Z2398),#REF!),Y2398))</f>
        <v/>
      </c>
      <c r="Z2398" t="str">
        <f>IF(A2398="","",TEXT(A2398,"0")&amp;"|"&amp;TEXT(H2398,"0"))</f>
        <v/>
      </c>
      <c r="AA2398" t="str">
        <f>IF(Z2398="","",IFERROR(LOOKUP(2,1/(#REF!=Z2398),#REF!),""))</f>
        <v/>
      </c>
      <c r="AB2398" t="str">
        <f>IF(Z2398="","",IFERROR(LOOKUP(2,1/(#REF!=Z2398),#REF!),""))</f>
        <v/>
      </c>
      <c r="AC2398" t="str">
        <f>IF(Z2398="","",COUNTIF(#REF!,Z2398))</f>
        <v/>
      </c>
      <c r="AD2398" t="str">
        <f>IF(A2398="","",IF(AC2398&gt;1,"REVISAR DUPLICADO",IF(AA2398&lt;&gt;"","ACTUALIZADO POR EYR","SIN REPORTE EYR")))</f>
        <v/>
      </c>
    </row>
    <row r="2399" spans="11:30" x14ac:dyDescent="0.3">
      <c r="K2399" s="1" t="str">
        <f ca="1">IF(A2399="","",IF(OR(L2399="ENTREGADA",L2399="RETORNADA",L2399="ENTREGA DIGITAL"),0,MAX(0,5-NETWORKDAYS(H2399+1,TODAY()))))</f>
        <v/>
      </c>
      <c r="L2399" t="str">
        <f>IF(A2399="","",IFERROR(LOOKUP(2,1/(#REF!=Z2399),#REF!),Y2399))</f>
        <v/>
      </c>
      <c r="Z2399" t="str">
        <f>IF(A2399="","",TEXT(A2399,"0")&amp;"|"&amp;TEXT(H2399,"0"))</f>
        <v/>
      </c>
      <c r="AA2399" t="str">
        <f>IF(Z2399="","",IFERROR(LOOKUP(2,1/(#REF!=Z2399),#REF!),""))</f>
        <v/>
      </c>
      <c r="AB2399" t="str">
        <f>IF(Z2399="","",IFERROR(LOOKUP(2,1/(#REF!=Z2399),#REF!),""))</f>
        <v/>
      </c>
      <c r="AC2399" t="str">
        <f>IF(Z2399="","",COUNTIF(#REF!,Z2399))</f>
        <v/>
      </c>
      <c r="AD2399" t="str">
        <f>IF(A2399="","",IF(AC2399&gt;1,"REVISAR DUPLICADO",IF(AA2399&lt;&gt;"","ACTUALIZADO POR EYR","SIN REPORTE EYR")))</f>
        <v/>
      </c>
    </row>
    <row r="2400" spans="11:30" x14ac:dyDescent="0.3">
      <c r="K2400" s="1" t="str">
        <f ca="1">IF(A2400="","",IF(OR(L2400="ENTREGADA",L2400="RETORNADA",L2400="ENTREGA DIGITAL"),0,MAX(0,5-NETWORKDAYS(H2400+1,TODAY()))))</f>
        <v/>
      </c>
      <c r="L2400" t="str">
        <f>IF(A2400="","",IFERROR(LOOKUP(2,1/(#REF!=Z2400),#REF!),Y2400))</f>
        <v/>
      </c>
      <c r="Z2400" t="str">
        <f>IF(A2400="","",TEXT(A2400,"0")&amp;"|"&amp;TEXT(H2400,"0"))</f>
        <v/>
      </c>
      <c r="AA2400" t="str">
        <f>IF(Z2400="","",IFERROR(LOOKUP(2,1/(#REF!=Z2400),#REF!),""))</f>
        <v/>
      </c>
      <c r="AB2400" t="str">
        <f>IF(Z2400="","",IFERROR(LOOKUP(2,1/(#REF!=Z2400),#REF!),""))</f>
        <v/>
      </c>
      <c r="AC2400" t="str">
        <f>IF(Z2400="","",COUNTIF(#REF!,Z2400))</f>
        <v/>
      </c>
      <c r="AD2400" t="str">
        <f>IF(A2400="","",IF(AC2400&gt;1,"REVISAR DUPLICADO",IF(AA2400&lt;&gt;"","ACTUALIZADO POR EYR","SIN REPORTE EYR")))</f>
        <v/>
      </c>
    </row>
    <row r="2401" spans="11:30" x14ac:dyDescent="0.3">
      <c r="K2401" s="1" t="str">
        <f ca="1">IF(A2401="","",IF(OR(L2401="ENTREGADA",L2401="RETORNADA",L2401="ENTREGA DIGITAL"),0,MAX(0,5-NETWORKDAYS(H2401+1,TODAY()))))</f>
        <v/>
      </c>
      <c r="L2401" t="str">
        <f>IF(A2401="","",IFERROR(LOOKUP(2,1/(#REF!=Z2401),#REF!),Y2401))</f>
        <v/>
      </c>
      <c r="Z2401" t="str">
        <f>IF(A2401="","",TEXT(A2401,"0")&amp;"|"&amp;TEXT(H2401,"0"))</f>
        <v/>
      </c>
      <c r="AA2401" t="str">
        <f>IF(Z2401="","",IFERROR(LOOKUP(2,1/(#REF!=Z2401),#REF!),""))</f>
        <v/>
      </c>
      <c r="AB2401" t="str">
        <f>IF(Z2401="","",IFERROR(LOOKUP(2,1/(#REF!=Z2401),#REF!),""))</f>
        <v/>
      </c>
      <c r="AC2401" t="str">
        <f>IF(Z2401="","",COUNTIF(#REF!,Z2401))</f>
        <v/>
      </c>
      <c r="AD2401" t="str">
        <f>IF(A2401="","",IF(AC2401&gt;1,"REVISAR DUPLICADO",IF(AA2401&lt;&gt;"","ACTUALIZADO POR EYR","SIN REPORTE EYR")))</f>
        <v/>
      </c>
    </row>
    <row r="2402" spans="11:30" x14ac:dyDescent="0.3">
      <c r="K2402" s="1" t="str">
        <f ca="1">IF(A2402="","",IF(OR(L2402="ENTREGADA",L2402="RETORNADA",L2402="ENTREGA DIGITAL"),0,MAX(0,5-NETWORKDAYS(H2402+1,TODAY()))))</f>
        <v/>
      </c>
      <c r="L2402" t="str">
        <f>IF(A2402="","",IFERROR(LOOKUP(2,1/(#REF!=Z2402),#REF!),Y2402))</f>
        <v/>
      </c>
      <c r="Z2402" t="str">
        <f>IF(A2402="","",TEXT(A2402,"0")&amp;"|"&amp;TEXT(H2402,"0"))</f>
        <v/>
      </c>
      <c r="AA2402" t="str">
        <f>IF(Z2402="","",IFERROR(LOOKUP(2,1/(#REF!=Z2402),#REF!),""))</f>
        <v/>
      </c>
      <c r="AB2402" t="str">
        <f>IF(Z2402="","",IFERROR(LOOKUP(2,1/(#REF!=Z2402),#REF!),""))</f>
        <v/>
      </c>
      <c r="AC2402" t="str">
        <f>IF(Z2402="","",COUNTIF(#REF!,Z2402))</f>
        <v/>
      </c>
      <c r="AD2402" t="str">
        <f>IF(A2402="","",IF(AC2402&gt;1,"REVISAR DUPLICADO",IF(AA2402&lt;&gt;"","ACTUALIZADO POR EYR","SIN REPORTE EYR")))</f>
        <v/>
      </c>
    </row>
    <row r="2403" spans="11:30" x14ac:dyDescent="0.3">
      <c r="K2403" s="1" t="str">
        <f ca="1">IF(A2403="","",IF(OR(L2403="ENTREGADA",L2403="RETORNADA",L2403="ENTREGA DIGITAL"),0,MAX(0,5-NETWORKDAYS(H2403+1,TODAY()))))</f>
        <v/>
      </c>
      <c r="L2403" t="str">
        <f>IF(A2403="","",IFERROR(LOOKUP(2,1/(#REF!=Z2403),#REF!),Y2403))</f>
        <v/>
      </c>
      <c r="Z2403" t="str">
        <f>IF(A2403="","",TEXT(A2403,"0")&amp;"|"&amp;TEXT(H2403,"0"))</f>
        <v/>
      </c>
      <c r="AA2403" t="str">
        <f>IF(Z2403="","",IFERROR(LOOKUP(2,1/(#REF!=Z2403),#REF!),""))</f>
        <v/>
      </c>
      <c r="AB2403" t="str">
        <f>IF(Z2403="","",IFERROR(LOOKUP(2,1/(#REF!=Z2403),#REF!),""))</f>
        <v/>
      </c>
      <c r="AC2403" t="str">
        <f>IF(Z2403="","",COUNTIF(#REF!,Z2403))</f>
        <v/>
      </c>
      <c r="AD2403" t="str">
        <f>IF(A2403="","",IF(AC2403&gt;1,"REVISAR DUPLICADO",IF(AA2403&lt;&gt;"","ACTUALIZADO POR EYR","SIN REPORTE EYR")))</f>
        <v/>
      </c>
    </row>
    <row r="2404" spans="11:30" x14ac:dyDescent="0.3">
      <c r="K2404" s="1" t="str">
        <f ca="1">IF(A2404="","",IF(OR(L2404="ENTREGADA",L2404="RETORNADA",L2404="ENTREGA DIGITAL"),0,MAX(0,5-NETWORKDAYS(H2404+1,TODAY()))))</f>
        <v/>
      </c>
      <c r="L2404" t="str">
        <f>IF(A2404="","",IFERROR(LOOKUP(2,1/(#REF!=Z2404),#REF!),Y2404))</f>
        <v/>
      </c>
      <c r="Z2404" t="str">
        <f>IF(A2404="","",TEXT(A2404,"0")&amp;"|"&amp;TEXT(H2404,"0"))</f>
        <v/>
      </c>
      <c r="AA2404" t="str">
        <f>IF(Z2404="","",IFERROR(LOOKUP(2,1/(#REF!=Z2404),#REF!),""))</f>
        <v/>
      </c>
      <c r="AB2404" t="str">
        <f>IF(Z2404="","",IFERROR(LOOKUP(2,1/(#REF!=Z2404),#REF!),""))</f>
        <v/>
      </c>
      <c r="AC2404" t="str">
        <f>IF(Z2404="","",COUNTIF(#REF!,Z2404))</f>
        <v/>
      </c>
      <c r="AD2404" t="str">
        <f>IF(A2404="","",IF(AC2404&gt;1,"REVISAR DUPLICADO",IF(AA2404&lt;&gt;"","ACTUALIZADO POR EYR","SIN REPORTE EYR")))</f>
        <v/>
      </c>
    </row>
    <row r="2405" spans="11:30" x14ac:dyDescent="0.3">
      <c r="K2405" s="1" t="str">
        <f ca="1">IF(A2405="","",IF(OR(L2405="ENTREGADA",L2405="RETORNADA",L2405="ENTREGA DIGITAL"),0,MAX(0,5-NETWORKDAYS(H2405+1,TODAY()))))</f>
        <v/>
      </c>
      <c r="L2405" t="str">
        <f>IF(A2405="","",IFERROR(LOOKUP(2,1/(#REF!=Z2405),#REF!),Y2405))</f>
        <v/>
      </c>
      <c r="Z2405" t="str">
        <f>IF(A2405="","",TEXT(A2405,"0")&amp;"|"&amp;TEXT(H2405,"0"))</f>
        <v/>
      </c>
      <c r="AA2405" t="str">
        <f>IF(Z2405="","",IFERROR(LOOKUP(2,1/(#REF!=Z2405),#REF!),""))</f>
        <v/>
      </c>
      <c r="AB2405" t="str">
        <f>IF(Z2405="","",IFERROR(LOOKUP(2,1/(#REF!=Z2405),#REF!),""))</f>
        <v/>
      </c>
      <c r="AC2405" t="str">
        <f>IF(Z2405="","",COUNTIF(#REF!,Z2405))</f>
        <v/>
      </c>
      <c r="AD2405" t="str">
        <f>IF(A2405="","",IF(AC2405&gt;1,"REVISAR DUPLICADO",IF(AA2405&lt;&gt;"","ACTUALIZADO POR EYR","SIN REPORTE EYR")))</f>
        <v/>
      </c>
    </row>
    <row r="2406" spans="11:30" x14ac:dyDescent="0.3">
      <c r="K2406" s="1" t="str">
        <f ca="1">IF(A2406="","",IF(OR(L2406="ENTREGADA",L2406="RETORNADA",L2406="ENTREGA DIGITAL"),0,MAX(0,5-NETWORKDAYS(H2406+1,TODAY()))))</f>
        <v/>
      </c>
      <c r="L2406" t="str">
        <f>IF(A2406="","",IFERROR(LOOKUP(2,1/(#REF!=Z2406),#REF!),Y2406))</f>
        <v/>
      </c>
      <c r="Z2406" t="str">
        <f>IF(A2406="","",TEXT(A2406,"0")&amp;"|"&amp;TEXT(H2406,"0"))</f>
        <v/>
      </c>
      <c r="AA2406" t="str">
        <f>IF(Z2406="","",IFERROR(LOOKUP(2,1/(#REF!=Z2406),#REF!),""))</f>
        <v/>
      </c>
      <c r="AB2406" t="str">
        <f>IF(Z2406="","",IFERROR(LOOKUP(2,1/(#REF!=Z2406),#REF!),""))</f>
        <v/>
      </c>
      <c r="AC2406" t="str">
        <f>IF(Z2406="","",COUNTIF(#REF!,Z2406))</f>
        <v/>
      </c>
      <c r="AD2406" t="str">
        <f>IF(A2406="","",IF(AC2406&gt;1,"REVISAR DUPLICADO",IF(AA2406&lt;&gt;"","ACTUALIZADO POR EYR","SIN REPORTE EYR")))</f>
        <v/>
      </c>
    </row>
    <row r="2407" spans="11:30" x14ac:dyDescent="0.3">
      <c r="K2407" s="1" t="str">
        <f ca="1">IF(A2407="","",IF(OR(L2407="ENTREGADA",L2407="RETORNADA",L2407="ENTREGA DIGITAL"),0,MAX(0,5-NETWORKDAYS(H2407+1,TODAY()))))</f>
        <v/>
      </c>
      <c r="L2407" t="str">
        <f>IF(A2407="","",IFERROR(LOOKUP(2,1/(#REF!=Z2407),#REF!),Y2407))</f>
        <v/>
      </c>
      <c r="Z2407" t="str">
        <f>IF(A2407="","",TEXT(A2407,"0")&amp;"|"&amp;TEXT(H2407,"0"))</f>
        <v/>
      </c>
      <c r="AA2407" t="str">
        <f>IF(Z2407="","",IFERROR(LOOKUP(2,1/(#REF!=Z2407),#REF!),""))</f>
        <v/>
      </c>
      <c r="AB2407" t="str">
        <f>IF(Z2407="","",IFERROR(LOOKUP(2,1/(#REF!=Z2407),#REF!),""))</f>
        <v/>
      </c>
      <c r="AC2407" t="str">
        <f>IF(Z2407="","",COUNTIF(#REF!,Z2407))</f>
        <v/>
      </c>
      <c r="AD2407" t="str">
        <f>IF(A2407="","",IF(AC2407&gt;1,"REVISAR DUPLICADO",IF(AA2407&lt;&gt;"","ACTUALIZADO POR EYR","SIN REPORTE EYR")))</f>
        <v/>
      </c>
    </row>
    <row r="2408" spans="11:30" x14ac:dyDescent="0.3">
      <c r="K2408" s="1" t="str">
        <f ca="1">IF(A2408="","",IF(OR(L2408="ENTREGADA",L2408="RETORNADA",L2408="ENTREGA DIGITAL"),0,MAX(0,5-NETWORKDAYS(H2408+1,TODAY()))))</f>
        <v/>
      </c>
      <c r="L2408" t="str">
        <f>IF(A2408="","",IFERROR(LOOKUP(2,1/(#REF!=Z2408),#REF!),Y2408))</f>
        <v/>
      </c>
      <c r="Z2408" t="str">
        <f>IF(A2408="","",TEXT(A2408,"0")&amp;"|"&amp;TEXT(H2408,"0"))</f>
        <v/>
      </c>
      <c r="AA2408" t="str">
        <f>IF(Z2408="","",IFERROR(LOOKUP(2,1/(#REF!=Z2408),#REF!),""))</f>
        <v/>
      </c>
      <c r="AB2408" t="str">
        <f>IF(Z2408="","",IFERROR(LOOKUP(2,1/(#REF!=Z2408),#REF!),""))</f>
        <v/>
      </c>
      <c r="AC2408" t="str">
        <f>IF(Z2408="","",COUNTIF(#REF!,Z2408))</f>
        <v/>
      </c>
      <c r="AD2408" t="str">
        <f>IF(A2408="","",IF(AC2408&gt;1,"REVISAR DUPLICADO",IF(AA2408&lt;&gt;"","ACTUALIZADO POR EYR","SIN REPORTE EYR")))</f>
        <v/>
      </c>
    </row>
    <row r="2409" spans="11:30" x14ac:dyDescent="0.3">
      <c r="K2409" s="1" t="str">
        <f ca="1">IF(A2409="","",IF(OR(L2409="ENTREGADA",L2409="RETORNADA",L2409="ENTREGA DIGITAL"),0,MAX(0,5-NETWORKDAYS(H2409+1,TODAY()))))</f>
        <v/>
      </c>
      <c r="L2409" t="str">
        <f>IF(A2409="","",IFERROR(LOOKUP(2,1/(#REF!=Z2409),#REF!),Y2409))</f>
        <v/>
      </c>
      <c r="Z2409" t="str">
        <f>IF(A2409="","",TEXT(A2409,"0")&amp;"|"&amp;TEXT(H2409,"0"))</f>
        <v/>
      </c>
      <c r="AA2409" t="str">
        <f>IF(Z2409="","",IFERROR(LOOKUP(2,1/(#REF!=Z2409),#REF!),""))</f>
        <v/>
      </c>
      <c r="AB2409" t="str">
        <f>IF(Z2409="","",IFERROR(LOOKUP(2,1/(#REF!=Z2409),#REF!),""))</f>
        <v/>
      </c>
      <c r="AC2409" t="str">
        <f>IF(Z2409="","",COUNTIF(#REF!,Z2409))</f>
        <v/>
      </c>
      <c r="AD2409" t="str">
        <f>IF(A2409="","",IF(AC2409&gt;1,"REVISAR DUPLICADO",IF(AA2409&lt;&gt;"","ACTUALIZADO POR EYR","SIN REPORTE EYR")))</f>
        <v/>
      </c>
    </row>
    <row r="2410" spans="11:30" x14ac:dyDescent="0.3">
      <c r="K2410" s="1" t="str">
        <f ca="1">IF(A2410="","",IF(OR(L2410="ENTREGADA",L2410="RETORNADA",L2410="ENTREGA DIGITAL"),0,MAX(0,5-NETWORKDAYS(H2410+1,TODAY()))))</f>
        <v/>
      </c>
      <c r="L2410" t="str">
        <f>IF(A2410="","",IFERROR(LOOKUP(2,1/(#REF!=Z2410),#REF!),Y2410))</f>
        <v/>
      </c>
      <c r="Z2410" t="str">
        <f>IF(A2410="","",TEXT(A2410,"0")&amp;"|"&amp;TEXT(H2410,"0"))</f>
        <v/>
      </c>
      <c r="AA2410" t="str">
        <f>IF(Z2410="","",IFERROR(LOOKUP(2,1/(#REF!=Z2410),#REF!),""))</f>
        <v/>
      </c>
      <c r="AB2410" t="str">
        <f>IF(Z2410="","",IFERROR(LOOKUP(2,1/(#REF!=Z2410),#REF!),""))</f>
        <v/>
      </c>
      <c r="AC2410" t="str">
        <f>IF(Z2410="","",COUNTIF(#REF!,Z2410))</f>
        <v/>
      </c>
      <c r="AD2410" t="str">
        <f>IF(A2410="","",IF(AC2410&gt;1,"REVISAR DUPLICADO",IF(AA2410&lt;&gt;"","ACTUALIZADO POR EYR","SIN REPORTE EYR")))</f>
        <v/>
      </c>
    </row>
    <row r="2411" spans="11:30" x14ac:dyDescent="0.3">
      <c r="K2411" s="1" t="str">
        <f ca="1">IF(A2411="","",IF(OR(L2411="ENTREGADA",L2411="RETORNADA",L2411="ENTREGA DIGITAL"),0,MAX(0,5-NETWORKDAYS(H2411+1,TODAY()))))</f>
        <v/>
      </c>
      <c r="L2411" t="str">
        <f>IF(A2411="","",IFERROR(LOOKUP(2,1/(#REF!=Z2411),#REF!),Y2411))</f>
        <v/>
      </c>
      <c r="Z2411" t="str">
        <f>IF(A2411="","",TEXT(A2411,"0")&amp;"|"&amp;TEXT(H2411,"0"))</f>
        <v/>
      </c>
      <c r="AA2411" t="str">
        <f>IF(Z2411="","",IFERROR(LOOKUP(2,1/(#REF!=Z2411),#REF!),""))</f>
        <v/>
      </c>
      <c r="AB2411" t="str">
        <f>IF(Z2411="","",IFERROR(LOOKUP(2,1/(#REF!=Z2411),#REF!),""))</f>
        <v/>
      </c>
      <c r="AC2411" t="str">
        <f>IF(Z2411="","",COUNTIF(#REF!,Z2411))</f>
        <v/>
      </c>
      <c r="AD2411" t="str">
        <f>IF(A2411="","",IF(AC2411&gt;1,"REVISAR DUPLICADO",IF(AA2411&lt;&gt;"","ACTUALIZADO POR EYR","SIN REPORTE EYR")))</f>
        <v/>
      </c>
    </row>
    <row r="2412" spans="11:30" x14ac:dyDescent="0.3">
      <c r="K2412" s="1" t="str">
        <f ca="1">IF(A2412="","",IF(OR(L2412="ENTREGADA",L2412="RETORNADA",L2412="ENTREGA DIGITAL"),0,MAX(0,5-NETWORKDAYS(H2412+1,TODAY()))))</f>
        <v/>
      </c>
      <c r="L2412" t="str">
        <f>IF(A2412="","",IFERROR(LOOKUP(2,1/(#REF!=Z2412),#REF!),Y2412))</f>
        <v/>
      </c>
      <c r="Z2412" t="str">
        <f>IF(A2412="","",TEXT(A2412,"0")&amp;"|"&amp;TEXT(H2412,"0"))</f>
        <v/>
      </c>
      <c r="AA2412" t="str">
        <f>IF(Z2412="","",IFERROR(LOOKUP(2,1/(#REF!=Z2412),#REF!),""))</f>
        <v/>
      </c>
      <c r="AB2412" t="str">
        <f>IF(Z2412="","",IFERROR(LOOKUP(2,1/(#REF!=Z2412),#REF!),""))</f>
        <v/>
      </c>
      <c r="AC2412" t="str">
        <f>IF(Z2412="","",COUNTIF(#REF!,Z2412))</f>
        <v/>
      </c>
      <c r="AD2412" t="str">
        <f>IF(A2412="","",IF(AC2412&gt;1,"REVISAR DUPLICADO",IF(AA2412&lt;&gt;"","ACTUALIZADO POR EYR","SIN REPORTE EYR")))</f>
        <v/>
      </c>
    </row>
    <row r="2413" spans="11:30" x14ac:dyDescent="0.3">
      <c r="K2413" s="1" t="str">
        <f ca="1">IF(A2413="","",IF(OR(L2413="ENTREGADA",L2413="RETORNADA",L2413="ENTREGA DIGITAL"),0,MAX(0,5-NETWORKDAYS(H2413+1,TODAY()))))</f>
        <v/>
      </c>
      <c r="L2413" t="str">
        <f>IF(A2413="","",IFERROR(LOOKUP(2,1/(#REF!=Z2413),#REF!),Y2413))</f>
        <v/>
      </c>
      <c r="Z2413" t="str">
        <f>IF(A2413="","",TEXT(A2413,"0")&amp;"|"&amp;TEXT(H2413,"0"))</f>
        <v/>
      </c>
      <c r="AA2413" t="str">
        <f>IF(Z2413="","",IFERROR(LOOKUP(2,1/(#REF!=Z2413),#REF!),""))</f>
        <v/>
      </c>
      <c r="AB2413" t="str">
        <f>IF(Z2413="","",IFERROR(LOOKUP(2,1/(#REF!=Z2413),#REF!),""))</f>
        <v/>
      </c>
      <c r="AC2413" t="str">
        <f>IF(Z2413="","",COUNTIF(#REF!,Z2413))</f>
        <v/>
      </c>
      <c r="AD2413" t="str">
        <f>IF(A2413="","",IF(AC2413&gt;1,"REVISAR DUPLICADO",IF(AA2413&lt;&gt;"","ACTUALIZADO POR EYR","SIN REPORTE EYR")))</f>
        <v/>
      </c>
    </row>
    <row r="2414" spans="11:30" x14ac:dyDescent="0.3">
      <c r="K2414" s="1" t="str">
        <f ca="1">IF(A2414="","",IF(OR(L2414="ENTREGADA",L2414="RETORNADA",L2414="ENTREGA DIGITAL"),0,MAX(0,5-NETWORKDAYS(H2414+1,TODAY()))))</f>
        <v/>
      </c>
      <c r="L2414" t="str">
        <f>IF(A2414="","",IFERROR(LOOKUP(2,1/(#REF!=Z2414),#REF!),Y2414))</f>
        <v/>
      </c>
      <c r="Z2414" t="str">
        <f>IF(A2414="","",TEXT(A2414,"0")&amp;"|"&amp;TEXT(H2414,"0"))</f>
        <v/>
      </c>
      <c r="AA2414" t="str">
        <f>IF(Z2414="","",IFERROR(LOOKUP(2,1/(#REF!=Z2414),#REF!),""))</f>
        <v/>
      </c>
      <c r="AB2414" t="str">
        <f>IF(Z2414="","",IFERROR(LOOKUP(2,1/(#REF!=Z2414),#REF!),""))</f>
        <v/>
      </c>
      <c r="AC2414" t="str">
        <f>IF(Z2414="","",COUNTIF(#REF!,Z2414))</f>
        <v/>
      </c>
      <c r="AD2414" t="str">
        <f>IF(A2414="","",IF(AC2414&gt;1,"REVISAR DUPLICADO",IF(AA2414&lt;&gt;"","ACTUALIZADO POR EYR","SIN REPORTE EYR")))</f>
        <v/>
      </c>
    </row>
    <row r="2415" spans="11:30" x14ac:dyDescent="0.3">
      <c r="K2415" s="1" t="str">
        <f ca="1">IF(A2415="","",IF(OR(L2415="ENTREGADA",L2415="RETORNADA",L2415="ENTREGA DIGITAL"),0,MAX(0,5-NETWORKDAYS(H2415+1,TODAY()))))</f>
        <v/>
      </c>
      <c r="L2415" t="str">
        <f>IF(A2415="","",IFERROR(LOOKUP(2,1/(#REF!=Z2415),#REF!),Y2415))</f>
        <v/>
      </c>
      <c r="Z2415" t="str">
        <f>IF(A2415="","",TEXT(A2415,"0")&amp;"|"&amp;TEXT(H2415,"0"))</f>
        <v/>
      </c>
      <c r="AA2415" t="str">
        <f>IF(Z2415="","",IFERROR(LOOKUP(2,1/(#REF!=Z2415),#REF!),""))</f>
        <v/>
      </c>
      <c r="AB2415" t="str">
        <f>IF(Z2415="","",IFERROR(LOOKUP(2,1/(#REF!=Z2415),#REF!),""))</f>
        <v/>
      </c>
      <c r="AC2415" t="str">
        <f>IF(Z2415="","",COUNTIF(#REF!,Z2415))</f>
        <v/>
      </c>
      <c r="AD2415" t="str">
        <f>IF(A2415="","",IF(AC2415&gt;1,"REVISAR DUPLICADO",IF(AA2415&lt;&gt;"","ACTUALIZADO POR EYR","SIN REPORTE EYR")))</f>
        <v/>
      </c>
    </row>
    <row r="2416" spans="11:30" x14ac:dyDescent="0.3">
      <c r="K2416" s="1" t="str">
        <f ca="1">IF(A2416="","",IF(OR(L2416="ENTREGADA",L2416="RETORNADA",L2416="ENTREGA DIGITAL"),0,MAX(0,5-NETWORKDAYS(H2416+1,TODAY()))))</f>
        <v/>
      </c>
      <c r="L2416" t="str">
        <f>IF(A2416="","",IFERROR(LOOKUP(2,1/(#REF!=Z2416),#REF!),Y2416))</f>
        <v/>
      </c>
      <c r="Z2416" t="str">
        <f>IF(A2416="","",TEXT(A2416,"0")&amp;"|"&amp;TEXT(H2416,"0"))</f>
        <v/>
      </c>
      <c r="AA2416" t="str">
        <f>IF(Z2416="","",IFERROR(LOOKUP(2,1/(#REF!=Z2416),#REF!),""))</f>
        <v/>
      </c>
      <c r="AB2416" t="str">
        <f>IF(Z2416="","",IFERROR(LOOKUP(2,1/(#REF!=Z2416),#REF!),""))</f>
        <v/>
      </c>
      <c r="AC2416" t="str">
        <f>IF(Z2416="","",COUNTIF(#REF!,Z2416))</f>
        <v/>
      </c>
      <c r="AD2416" t="str">
        <f>IF(A2416="","",IF(AC2416&gt;1,"REVISAR DUPLICADO",IF(AA2416&lt;&gt;"","ACTUALIZADO POR EYR","SIN REPORTE EYR")))</f>
        <v/>
      </c>
    </row>
    <row r="2417" spans="11:30" x14ac:dyDescent="0.3">
      <c r="K2417" s="1" t="str">
        <f ca="1">IF(A2417="","",IF(OR(L2417="ENTREGADA",L2417="RETORNADA",L2417="ENTREGA DIGITAL"),0,MAX(0,5-NETWORKDAYS(H2417+1,TODAY()))))</f>
        <v/>
      </c>
      <c r="L2417" t="str">
        <f>IF(A2417="","",IFERROR(LOOKUP(2,1/(#REF!=Z2417),#REF!),Y2417))</f>
        <v/>
      </c>
      <c r="Z2417" t="str">
        <f>IF(A2417="","",TEXT(A2417,"0")&amp;"|"&amp;TEXT(H2417,"0"))</f>
        <v/>
      </c>
      <c r="AA2417" t="str">
        <f>IF(Z2417="","",IFERROR(LOOKUP(2,1/(#REF!=Z2417),#REF!),""))</f>
        <v/>
      </c>
      <c r="AB2417" t="str">
        <f>IF(Z2417="","",IFERROR(LOOKUP(2,1/(#REF!=Z2417),#REF!),""))</f>
        <v/>
      </c>
      <c r="AC2417" t="str">
        <f>IF(Z2417="","",COUNTIF(#REF!,Z2417))</f>
        <v/>
      </c>
      <c r="AD2417" t="str">
        <f>IF(A2417="","",IF(AC2417&gt;1,"REVISAR DUPLICADO",IF(AA2417&lt;&gt;"","ACTUALIZADO POR EYR","SIN REPORTE EYR")))</f>
        <v/>
      </c>
    </row>
    <row r="2418" spans="11:30" x14ac:dyDescent="0.3">
      <c r="K2418" s="1" t="str">
        <f ca="1">IF(A2418="","",IF(OR(L2418="ENTREGADA",L2418="RETORNADA",L2418="ENTREGA DIGITAL"),0,MAX(0,5-NETWORKDAYS(H2418+1,TODAY()))))</f>
        <v/>
      </c>
      <c r="L2418" t="str">
        <f>IF(A2418="","",IFERROR(LOOKUP(2,1/(#REF!=Z2418),#REF!),Y2418))</f>
        <v/>
      </c>
      <c r="Z2418" t="str">
        <f>IF(A2418="","",TEXT(A2418,"0")&amp;"|"&amp;TEXT(H2418,"0"))</f>
        <v/>
      </c>
      <c r="AA2418" t="str">
        <f>IF(Z2418="","",IFERROR(LOOKUP(2,1/(#REF!=Z2418),#REF!),""))</f>
        <v/>
      </c>
      <c r="AB2418" t="str">
        <f>IF(Z2418="","",IFERROR(LOOKUP(2,1/(#REF!=Z2418),#REF!),""))</f>
        <v/>
      </c>
      <c r="AC2418" t="str">
        <f>IF(Z2418="","",COUNTIF(#REF!,Z2418))</f>
        <v/>
      </c>
      <c r="AD2418" t="str">
        <f>IF(A2418="","",IF(AC2418&gt;1,"REVISAR DUPLICADO",IF(AA2418&lt;&gt;"","ACTUALIZADO POR EYR","SIN REPORTE EYR")))</f>
        <v/>
      </c>
    </row>
    <row r="2419" spans="11:30" x14ac:dyDescent="0.3">
      <c r="K2419" s="1" t="str">
        <f ca="1">IF(A2419="","",IF(OR(L2419="ENTREGADA",L2419="RETORNADA",L2419="ENTREGA DIGITAL"),0,MAX(0,5-NETWORKDAYS(H2419+1,TODAY()))))</f>
        <v/>
      </c>
      <c r="L2419" t="str">
        <f>IF(A2419="","",IFERROR(LOOKUP(2,1/(#REF!=Z2419),#REF!),Y2419))</f>
        <v/>
      </c>
      <c r="Z2419" t="str">
        <f>IF(A2419="","",TEXT(A2419,"0")&amp;"|"&amp;TEXT(H2419,"0"))</f>
        <v/>
      </c>
      <c r="AA2419" t="str">
        <f>IF(Z2419="","",IFERROR(LOOKUP(2,1/(#REF!=Z2419),#REF!),""))</f>
        <v/>
      </c>
      <c r="AB2419" t="str">
        <f>IF(Z2419="","",IFERROR(LOOKUP(2,1/(#REF!=Z2419),#REF!),""))</f>
        <v/>
      </c>
      <c r="AC2419" t="str">
        <f>IF(Z2419="","",COUNTIF(#REF!,Z2419))</f>
        <v/>
      </c>
      <c r="AD2419" t="str">
        <f>IF(A2419="","",IF(AC2419&gt;1,"REVISAR DUPLICADO",IF(AA2419&lt;&gt;"","ACTUALIZADO POR EYR","SIN REPORTE EYR")))</f>
        <v/>
      </c>
    </row>
    <row r="2420" spans="11:30" x14ac:dyDescent="0.3">
      <c r="K2420" s="1" t="str">
        <f ca="1">IF(A2420="","",IF(OR(L2420="ENTREGADA",L2420="RETORNADA",L2420="ENTREGA DIGITAL"),0,MAX(0,5-NETWORKDAYS(H2420+1,TODAY()))))</f>
        <v/>
      </c>
      <c r="L2420" t="str">
        <f>IF(A2420="","",IFERROR(LOOKUP(2,1/(#REF!=Z2420),#REF!),Y2420))</f>
        <v/>
      </c>
      <c r="Z2420" t="str">
        <f>IF(A2420="","",TEXT(A2420,"0")&amp;"|"&amp;TEXT(H2420,"0"))</f>
        <v/>
      </c>
      <c r="AA2420" t="str">
        <f>IF(Z2420="","",IFERROR(LOOKUP(2,1/(#REF!=Z2420),#REF!),""))</f>
        <v/>
      </c>
      <c r="AB2420" t="str">
        <f>IF(Z2420="","",IFERROR(LOOKUP(2,1/(#REF!=Z2420),#REF!),""))</f>
        <v/>
      </c>
      <c r="AC2420" t="str">
        <f>IF(Z2420="","",COUNTIF(#REF!,Z2420))</f>
        <v/>
      </c>
      <c r="AD2420" t="str">
        <f>IF(A2420="","",IF(AC2420&gt;1,"REVISAR DUPLICADO",IF(AA2420&lt;&gt;"","ACTUALIZADO POR EYR","SIN REPORTE EYR")))</f>
        <v/>
      </c>
    </row>
    <row r="2421" spans="11:30" x14ac:dyDescent="0.3">
      <c r="K2421" s="1" t="str">
        <f ca="1">IF(A2421="","",IF(OR(L2421="ENTREGADA",L2421="RETORNADA",L2421="ENTREGA DIGITAL"),0,MAX(0,5-NETWORKDAYS(H2421+1,TODAY()))))</f>
        <v/>
      </c>
      <c r="L2421" t="str">
        <f>IF(A2421="","",IFERROR(LOOKUP(2,1/(#REF!=Z2421),#REF!),Y2421))</f>
        <v/>
      </c>
      <c r="Z2421" t="str">
        <f>IF(A2421="","",TEXT(A2421,"0")&amp;"|"&amp;TEXT(H2421,"0"))</f>
        <v/>
      </c>
      <c r="AA2421" t="str">
        <f>IF(Z2421="","",IFERROR(LOOKUP(2,1/(#REF!=Z2421),#REF!),""))</f>
        <v/>
      </c>
      <c r="AB2421" t="str">
        <f>IF(Z2421="","",IFERROR(LOOKUP(2,1/(#REF!=Z2421),#REF!),""))</f>
        <v/>
      </c>
      <c r="AC2421" t="str">
        <f>IF(Z2421="","",COUNTIF(#REF!,Z2421))</f>
        <v/>
      </c>
      <c r="AD2421" t="str">
        <f>IF(A2421="","",IF(AC2421&gt;1,"REVISAR DUPLICADO",IF(AA2421&lt;&gt;"","ACTUALIZADO POR EYR","SIN REPORTE EYR")))</f>
        <v/>
      </c>
    </row>
    <row r="2422" spans="11:30" x14ac:dyDescent="0.3">
      <c r="K2422" s="1" t="str">
        <f ca="1">IF(A2422="","",IF(OR(L2422="ENTREGADA",L2422="RETORNADA",L2422="ENTREGA DIGITAL"),0,MAX(0,5-NETWORKDAYS(H2422+1,TODAY()))))</f>
        <v/>
      </c>
      <c r="L2422" t="str">
        <f>IF(A2422="","",IFERROR(LOOKUP(2,1/(#REF!=Z2422),#REF!),Y2422))</f>
        <v/>
      </c>
      <c r="Z2422" t="str">
        <f>IF(A2422="","",TEXT(A2422,"0")&amp;"|"&amp;TEXT(H2422,"0"))</f>
        <v/>
      </c>
      <c r="AA2422" t="str">
        <f>IF(Z2422="","",IFERROR(LOOKUP(2,1/(#REF!=Z2422),#REF!),""))</f>
        <v/>
      </c>
      <c r="AB2422" t="str">
        <f>IF(Z2422="","",IFERROR(LOOKUP(2,1/(#REF!=Z2422),#REF!),""))</f>
        <v/>
      </c>
      <c r="AC2422" t="str">
        <f>IF(Z2422="","",COUNTIF(#REF!,Z2422))</f>
        <v/>
      </c>
      <c r="AD2422" t="str">
        <f>IF(A2422="","",IF(AC2422&gt;1,"REVISAR DUPLICADO",IF(AA2422&lt;&gt;"","ACTUALIZADO POR EYR","SIN REPORTE EYR")))</f>
        <v/>
      </c>
    </row>
    <row r="2423" spans="11:30" x14ac:dyDescent="0.3">
      <c r="K2423" s="1" t="str">
        <f ca="1">IF(A2423="","",IF(OR(L2423="ENTREGADA",L2423="RETORNADA",L2423="ENTREGA DIGITAL"),0,MAX(0,5-NETWORKDAYS(H2423+1,TODAY()))))</f>
        <v/>
      </c>
      <c r="L2423" t="str">
        <f>IF(A2423="","",IFERROR(LOOKUP(2,1/(#REF!=Z2423),#REF!),Y2423))</f>
        <v/>
      </c>
      <c r="Z2423" t="str">
        <f>IF(A2423="","",TEXT(A2423,"0")&amp;"|"&amp;TEXT(H2423,"0"))</f>
        <v/>
      </c>
      <c r="AA2423" t="str">
        <f>IF(Z2423="","",IFERROR(LOOKUP(2,1/(#REF!=Z2423),#REF!),""))</f>
        <v/>
      </c>
      <c r="AB2423" t="str">
        <f>IF(Z2423="","",IFERROR(LOOKUP(2,1/(#REF!=Z2423),#REF!),""))</f>
        <v/>
      </c>
      <c r="AC2423" t="str">
        <f>IF(Z2423="","",COUNTIF(#REF!,Z2423))</f>
        <v/>
      </c>
      <c r="AD2423" t="str">
        <f>IF(A2423="","",IF(AC2423&gt;1,"REVISAR DUPLICADO",IF(AA2423&lt;&gt;"","ACTUALIZADO POR EYR","SIN REPORTE EYR")))</f>
        <v/>
      </c>
    </row>
    <row r="2424" spans="11:30" x14ac:dyDescent="0.3">
      <c r="K2424" s="1" t="str">
        <f ca="1">IF(A2424="","",IF(OR(L2424="ENTREGADA",L2424="RETORNADA",L2424="ENTREGA DIGITAL"),0,MAX(0,5-NETWORKDAYS(H2424+1,TODAY()))))</f>
        <v/>
      </c>
      <c r="L2424" t="str">
        <f>IF(A2424="","",IFERROR(LOOKUP(2,1/(#REF!=Z2424),#REF!),Y2424))</f>
        <v/>
      </c>
      <c r="Z2424" t="str">
        <f>IF(A2424="","",TEXT(A2424,"0")&amp;"|"&amp;TEXT(H2424,"0"))</f>
        <v/>
      </c>
      <c r="AA2424" t="str">
        <f>IF(Z2424="","",IFERROR(LOOKUP(2,1/(#REF!=Z2424),#REF!),""))</f>
        <v/>
      </c>
      <c r="AB2424" t="str">
        <f>IF(Z2424="","",IFERROR(LOOKUP(2,1/(#REF!=Z2424),#REF!),""))</f>
        <v/>
      </c>
      <c r="AC2424" t="str">
        <f>IF(Z2424="","",COUNTIF(#REF!,Z2424))</f>
        <v/>
      </c>
      <c r="AD2424" t="str">
        <f>IF(A2424="","",IF(AC2424&gt;1,"REVISAR DUPLICADO",IF(AA2424&lt;&gt;"","ACTUALIZADO POR EYR","SIN REPORTE EYR")))</f>
        <v/>
      </c>
    </row>
    <row r="2425" spans="11:30" x14ac:dyDescent="0.3">
      <c r="K2425" s="1" t="str">
        <f ca="1">IF(A2425="","",IF(OR(L2425="ENTREGADA",L2425="RETORNADA",L2425="ENTREGA DIGITAL"),0,MAX(0,5-NETWORKDAYS(H2425+1,TODAY()))))</f>
        <v/>
      </c>
      <c r="L2425" t="str">
        <f>IF(A2425="","",IFERROR(LOOKUP(2,1/(#REF!=Z2425),#REF!),Y2425))</f>
        <v/>
      </c>
      <c r="Z2425" t="str">
        <f>IF(A2425="","",TEXT(A2425,"0")&amp;"|"&amp;TEXT(H2425,"0"))</f>
        <v/>
      </c>
      <c r="AA2425" t="str">
        <f>IF(Z2425="","",IFERROR(LOOKUP(2,1/(#REF!=Z2425),#REF!),""))</f>
        <v/>
      </c>
      <c r="AB2425" t="str">
        <f>IF(Z2425="","",IFERROR(LOOKUP(2,1/(#REF!=Z2425),#REF!),""))</f>
        <v/>
      </c>
      <c r="AC2425" t="str">
        <f>IF(Z2425="","",COUNTIF(#REF!,Z2425))</f>
        <v/>
      </c>
      <c r="AD2425" t="str">
        <f>IF(A2425="","",IF(AC2425&gt;1,"REVISAR DUPLICADO",IF(AA2425&lt;&gt;"","ACTUALIZADO POR EYR","SIN REPORTE EYR")))</f>
        <v/>
      </c>
    </row>
    <row r="2426" spans="11:30" x14ac:dyDescent="0.3">
      <c r="K2426" s="1" t="str">
        <f ca="1">IF(A2426="","",IF(OR(L2426="ENTREGADA",L2426="RETORNADA",L2426="ENTREGA DIGITAL"),0,MAX(0,5-NETWORKDAYS(H2426+1,TODAY()))))</f>
        <v/>
      </c>
      <c r="L2426" t="str">
        <f>IF(A2426="","",IFERROR(LOOKUP(2,1/(#REF!=Z2426),#REF!),Y2426))</f>
        <v/>
      </c>
      <c r="Z2426" t="str">
        <f>IF(A2426="","",TEXT(A2426,"0")&amp;"|"&amp;TEXT(H2426,"0"))</f>
        <v/>
      </c>
      <c r="AA2426" t="str">
        <f>IF(Z2426="","",IFERROR(LOOKUP(2,1/(#REF!=Z2426),#REF!),""))</f>
        <v/>
      </c>
      <c r="AB2426" t="str">
        <f>IF(Z2426="","",IFERROR(LOOKUP(2,1/(#REF!=Z2426),#REF!),""))</f>
        <v/>
      </c>
      <c r="AC2426" t="str">
        <f>IF(Z2426="","",COUNTIF(#REF!,Z2426))</f>
        <v/>
      </c>
      <c r="AD2426" t="str">
        <f>IF(A2426="","",IF(AC2426&gt;1,"REVISAR DUPLICADO",IF(AA2426&lt;&gt;"","ACTUALIZADO POR EYR","SIN REPORTE EYR")))</f>
        <v/>
      </c>
    </row>
    <row r="2427" spans="11:30" x14ac:dyDescent="0.3">
      <c r="K2427" s="1" t="str">
        <f ca="1">IF(A2427="","",IF(OR(L2427="ENTREGADA",L2427="RETORNADA",L2427="ENTREGA DIGITAL"),0,MAX(0,5-NETWORKDAYS(H2427+1,TODAY()))))</f>
        <v/>
      </c>
      <c r="L2427" t="str">
        <f>IF(A2427="","",IFERROR(LOOKUP(2,1/(#REF!=Z2427),#REF!),Y2427))</f>
        <v/>
      </c>
      <c r="Z2427" t="str">
        <f>IF(A2427="","",TEXT(A2427,"0")&amp;"|"&amp;TEXT(H2427,"0"))</f>
        <v/>
      </c>
      <c r="AA2427" t="str">
        <f>IF(Z2427="","",IFERROR(LOOKUP(2,1/(#REF!=Z2427),#REF!),""))</f>
        <v/>
      </c>
      <c r="AB2427" t="str">
        <f>IF(Z2427="","",IFERROR(LOOKUP(2,1/(#REF!=Z2427),#REF!),""))</f>
        <v/>
      </c>
      <c r="AC2427" t="str">
        <f>IF(Z2427="","",COUNTIF(#REF!,Z2427))</f>
        <v/>
      </c>
      <c r="AD2427" t="str">
        <f>IF(A2427="","",IF(AC2427&gt;1,"REVISAR DUPLICADO",IF(AA2427&lt;&gt;"","ACTUALIZADO POR EYR","SIN REPORTE EYR")))</f>
        <v/>
      </c>
    </row>
    <row r="2428" spans="11:30" x14ac:dyDescent="0.3">
      <c r="K2428" s="1" t="str">
        <f ca="1">IF(A2428="","",IF(OR(L2428="ENTREGADA",L2428="RETORNADA",L2428="ENTREGA DIGITAL"),0,MAX(0,5-NETWORKDAYS(H2428+1,TODAY()))))</f>
        <v/>
      </c>
      <c r="L2428" t="str">
        <f>IF(A2428="","",IFERROR(LOOKUP(2,1/(#REF!=Z2428),#REF!),Y2428))</f>
        <v/>
      </c>
      <c r="Z2428" t="str">
        <f>IF(A2428="","",TEXT(A2428,"0")&amp;"|"&amp;TEXT(H2428,"0"))</f>
        <v/>
      </c>
      <c r="AA2428" t="str">
        <f>IF(Z2428="","",IFERROR(LOOKUP(2,1/(#REF!=Z2428),#REF!),""))</f>
        <v/>
      </c>
      <c r="AB2428" t="str">
        <f>IF(Z2428="","",IFERROR(LOOKUP(2,1/(#REF!=Z2428),#REF!),""))</f>
        <v/>
      </c>
      <c r="AC2428" t="str">
        <f>IF(Z2428="","",COUNTIF(#REF!,Z2428))</f>
        <v/>
      </c>
      <c r="AD2428" t="str">
        <f>IF(A2428="","",IF(AC2428&gt;1,"REVISAR DUPLICADO",IF(AA2428&lt;&gt;"","ACTUALIZADO POR EYR","SIN REPORTE EYR")))</f>
        <v/>
      </c>
    </row>
    <row r="2429" spans="11:30" x14ac:dyDescent="0.3">
      <c r="K2429" s="1" t="str">
        <f ca="1">IF(A2429="","",IF(OR(L2429="ENTREGADA",L2429="RETORNADA",L2429="ENTREGA DIGITAL"),0,MAX(0,5-NETWORKDAYS(H2429+1,TODAY()))))</f>
        <v/>
      </c>
      <c r="L2429" t="str">
        <f>IF(A2429="","",IFERROR(LOOKUP(2,1/(#REF!=Z2429),#REF!),Y2429))</f>
        <v/>
      </c>
      <c r="Z2429" t="str">
        <f>IF(A2429="","",TEXT(A2429,"0")&amp;"|"&amp;TEXT(H2429,"0"))</f>
        <v/>
      </c>
      <c r="AA2429" t="str">
        <f>IF(Z2429="","",IFERROR(LOOKUP(2,1/(#REF!=Z2429),#REF!),""))</f>
        <v/>
      </c>
      <c r="AB2429" t="str">
        <f>IF(Z2429="","",IFERROR(LOOKUP(2,1/(#REF!=Z2429),#REF!),""))</f>
        <v/>
      </c>
      <c r="AC2429" t="str">
        <f>IF(Z2429="","",COUNTIF(#REF!,Z2429))</f>
        <v/>
      </c>
      <c r="AD2429" t="str">
        <f>IF(A2429="","",IF(AC2429&gt;1,"REVISAR DUPLICADO",IF(AA2429&lt;&gt;"","ACTUALIZADO POR EYR","SIN REPORTE EYR")))</f>
        <v/>
      </c>
    </row>
    <row r="2430" spans="11:30" x14ac:dyDescent="0.3">
      <c r="K2430" s="1" t="str">
        <f ca="1">IF(A2430="","",IF(OR(L2430="ENTREGADA",L2430="RETORNADA",L2430="ENTREGA DIGITAL"),0,MAX(0,5-NETWORKDAYS(H2430+1,TODAY()))))</f>
        <v/>
      </c>
      <c r="L2430" t="str">
        <f>IF(A2430="","",IFERROR(LOOKUP(2,1/(#REF!=Z2430),#REF!),Y2430))</f>
        <v/>
      </c>
      <c r="Z2430" t="str">
        <f>IF(A2430="","",TEXT(A2430,"0")&amp;"|"&amp;TEXT(H2430,"0"))</f>
        <v/>
      </c>
      <c r="AA2430" t="str">
        <f>IF(Z2430="","",IFERROR(LOOKUP(2,1/(#REF!=Z2430),#REF!),""))</f>
        <v/>
      </c>
      <c r="AB2430" t="str">
        <f>IF(Z2430="","",IFERROR(LOOKUP(2,1/(#REF!=Z2430),#REF!),""))</f>
        <v/>
      </c>
      <c r="AC2430" t="str">
        <f>IF(Z2430="","",COUNTIF(#REF!,Z2430))</f>
        <v/>
      </c>
      <c r="AD2430" t="str">
        <f>IF(A2430="","",IF(AC2430&gt;1,"REVISAR DUPLICADO",IF(AA2430&lt;&gt;"","ACTUALIZADO POR EYR","SIN REPORTE EYR")))</f>
        <v/>
      </c>
    </row>
    <row r="2431" spans="11:30" x14ac:dyDescent="0.3">
      <c r="K2431" s="1" t="str">
        <f ca="1">IF(A2431="","",IF(OR(L2431="ENTREGADA",L2431="RETORNADA",L2431="ENTREGA DIGITAL"),0,MAX(0,5-NETWORKDAYS(H2431+1,TODAY()))))</f>
        <v/>
      </c>
      <c r="L2431" t="str">
        <f>IF(A2431="","",IFERROR(LOOKUP(2,1/(#REF!=Z2431),#REF!),Y2431))</f>
        <v/>
      </c>
      <c r="Z2431" t="str">
        <f>IF(A2431="","",TEXT(A2431,"0")&amp;"|"&amp;TEXT(H2431,"0"))</f>
        <v/>
      </c>
      <c r="AA2431" t="str">
        <f>IF(Z2431="","",IFERROR(LOOKUP(2,1/(#REF!=Z2431),#REF!),""))</f>
        <v/>
      </c>
      <c r="AB2431" t="str">
        <f>IF(Z2431="","",IFERROR(LOOKUP(2,1/(#REF!=Z2431),#REF!),""))</f>
        <v/>
      </c>
      <c r="AC2431" t="str">
        <f>IF(Z2431="","",COUNTIF(#REF!,Z2431))</f>
        <v/>
      </c>
      <c r="AD2431" t="str">
        <f>IF(A2431="","",IF(AC2431&gt;1,"REVISAR DUPLICADO",IF(AA2431&lt;&gt;"","ACTUALIZADO POR EYR","SIN REPORTE EYR")))</f>
        <v/>
      </c>
    </row>
    <row r="2432" spans="11:30" x14ac:dyDescent="0.3">
      <c r="K2432" s="1" t="str">
        <f ca="1">IF(A2432="","",IF(OR(L2432="ENTREGADA",L2432="RETORNADA",L2432="ENTREGA DIGITAL"),0,MAX(0,5-NETWORKDAYS(H2432+1,TODAY()))))</f>
        <v/>
      </c>
      <c r="L2432" t="str">
        <f>IF(A2432="","",IFERROR(LOOKUP(2,1/(#REF!=Z2432),#REF!),Y2432))</f>
        <v/>
      </c>
      <c r="Z2432" t="str">
        <f>IF(A2432="","",TEXT(A2432,"0")&amp;"|"&amp;TEXT(H2432,"0"))</f>
        <v/>
      </c>
      <c r="AA2432" t="str">
        <f>IF(Z2432="","",IFERROR(LOOKUP(2,1/(#REF!=Z2432),#REF!),""))</f>
        <v/>
      </c>
      <c r="AB2432" t="str">
        <f>IF(Z2432="","",IFERROR(LOOKUP(2,1/(#REF!=Z2432),#REF!),""))</f>
        <v/>
      </c>
      <c r="AC2432" t="str">
        <f>IF(Z2432="","",COUNTIF(#REF!,Z2432))</f>
        <v/>
      </c>
      <c r="AD2432" t="str">
        <f>IF(A2432="","",IF(AC2432&gt;1,"REVISAR DUPLICADO",IF(AA2432&lt;&gt;"","ACTUALIZADO POR EYR","SIN REPORTE EYR")))</f>
        <v/>
      </c>
    </row>
    <row r="2433" spans="11:30" x14ac:dyDescent="0.3">
      <c r="K2433" s="1" t="str">
        <f ca="1">IF(A2433="","",IF(OR(L2433="ENTREGADA",L2433="RETORNADA",L2433="ENTREGA DIGITAL"),0,MAX(0,5-NETWORKDAYS(H2433+1,TODAY()))))</f>
        <v/>
      </c>
      <c r="L2433" t="str">
        <f>IF(A2433="","",IFERROR(LOOKUP(2,1/(#REF!=Z2433),#REF!),Y2433))</f>
        <v/>
      </c>
      <c r="Z2433" t="str">
        <f>IF(A2433="","",TEXT(A2433,"0")&amp;"|"&amp;TEXT(H2433,"0"))</f>
        <v/>
      </c>
      <c r="AA2433" t="str">
        <f>IF(Z2433="","",IFERROR(LOOKUP(2,1/(#REF!=Z2433),#REF!),""))</f>
        <v/>
      </c>
      <c r="AB2433" t="str">
        <f>IF(Z2433="","",IFERROR(LOOKUP(2,1/(#REF!=Z2433),#REF!),""))</f>
        <v/>
      </c>
      <c r="AC2433" t="str">
        <f>IF(Z2433="","",COUNTIF(#REF!,Z2433))</f>
        <v/>
      </c>
      <c r="AD2433" t="str">
        <f>IF(A2433="","",IF(AC2433&gt;1,"REVISAR DUPLICADO",IF(AA2433&lt;&gt;"","ACTUALIZADO POR EYR","SIN REPORTE EYR")))</f>
        <v/>
      </c>
    </row>
    <row r="2434" spans="11:30" x14ac:dyDescent="0.3">
      <c r="K2434" s="1" t="str">
        <f ca="1">IF(A2434="","",IF(OR(L2434="ENTREGADA",L2434="RETORNADA",L2434="ENTREGA DIGITAL"),0,MAX(0,5-NETWORKDAYS(H2434+1,TODAY()))))</f>
        <v/>
      </c>
      <c r="L2434" t="str">
        <f>IF(A2434="","",IFERROR(LOOKUP(2,1/(#REF!=Z2434),#REF!),Y2434))</f>
        <v/>
      </c>
      <c r="Z2434" t="str">
        <f>IF(A2434="","",TEXT(A2434,"0")&amp;"|"&amp;TEXT(H2434,"0"))</f>
        <v/>
      </c>
      <c r="AA2434" t="str">
        <f>IF(Z2434="","",IFERROR(LOOKUP(2,1/(#REF!=Z2434),#REF!),""))</f>
        <v/>
      </c>
      <c r="AB2434" t="str">
        <f>IF(Z2434="","",IFERROR(LOOKUP(2,1/(#REF!=Z2434),#REF!),""))</f>
        <v/>
      </c>
      <c r="AC2434" t="str">
        <f>IF(Z2434="","",COUNTIF(#REF!,Z2434))</f>
        <v/>
      </c>
      <c r="AD2434" t="str">
        <f>IF(A2434="","",IF(AC2434&gt;1,"REVISAR DUPLICADO",IF(AA2434&lt;&gt;"","ACTUALIZADO POR EYR","SIN REPORTE EYR")))</f>
        <v/>
      </c>
    </row>
    <row r="2435" spans="11:30" x14ac:dyDescent="0.3">
      <c r="K2435" s="1" t="str">
        <f ca="1">IF(A2435="","",IF(OR(L2435="ENTREGADA",L2435="RETORNADA",L2435="ENTREGA DIGITAL"),0,MAX(0,5-NETWORKDAYS(H2435+1,TODAY()))))</f>
        <v/>
      </c>
      <c r="L2435" t="str">
        <f>IF(A2435="","",IFERROR(LOOKUP(2,1/(#REF!=Z2435),#REF!),Y2435))</f>
        <v/>
      </c>
      <c r="Z2435" t="str">
        <f>IF(A2435="","",TEXT(A2435,"0")&amp;"|"&amp;TEXT(H2435,"0"))</f>
        <v/>
      </c>
      <c r="AA2435" t="str">
        <f>IF(Z2435="","",IFERROR(LOOKUP(2,1/(#REF!=Z2435),#REF!),""))</f>
        <v/>
      </c>
      <c r="AB2435" t="str">
        <f>IF(Z2435="","",IFERROR(LOOKUP(2,1/(#REF!=Z2435),#REF!),""))</f>
        <v/>
      </c>
      <c r="AC2435" t="str">
        <f>IF(Z2435="","",COUNTIF(#REF!,Z2435))</f>
        <v/>
      </c>
      <c r="AD2435" t="str">
        <f>IF(A2435="","",IF(AC2435&gt;1,"REVISAR DUPLICADO",IF(AA2435&lt;&gt;"","ACTUALIZADO POR EYR","SIN REPORTE EYR")))</f>
        <v/>
      </c>
    </row>
    <row r="2436" spans="11:30" x14ac:dyDescent="0.3">
      <c r="K2436" s="1" t="str">
        <f ca="1">IF(A2436="","",IF(OR(L2436="ENTREGADA",L2436="RETORNADA",L2436="ENTREGA DIGITAL"),0,MAX(0,5-NETWORKDAYS(H2436+1,TODAY()))))</f>
        <v/>
      </c>
      <c r="L2436" t="str">
        <f>IF(A2436="","",IFERROR(LOOKUP(2,1/(#REF!=Z2436),#REF!),Y2436))</f>
        <v/>
      </c>
      <c r="Z2436" t="str">
        <f>IF(A2436="","",TEXT(A2436,"0")&amp;"|"&amp;TEXT(H2436,"0"))</f>
        <v/>
      </c>
      <c r="AA2436" t="str">
        <f>IF(Z2436="","",IFERROR(LOOKUP(2,1/(#REF!=Z2436),#REF!),""))</f>
        <v/>
      </c>
      <c r="AB2436" t="str">
        <f>IF(Z2436="","",IFERROR(LOOKUP(2,1/(#REF!=Z2436),#REF!),""))</f>
        <v/>
      </c>
      <c r="AC2436" t="str">
        <f>IF(Z2436="","",COUNTIF(#REF!,Z2436))</f>
        <v/>
      </c>
      <c r="AD2436" t="str">
        <f>IF(A2436="","",IF(AC2436&gt;1,"REVISAR DUPLICADO",IF(AA2436&lt;&gt;"","ACTUALIZADO POR EYR","SIN REPORTE EYR")))</f>
        <v/>
      </c>
    </row>
    <row r="2437" spans="11:30" x14ac:dyDescent="0.3">
      <c r="K2437" s="1" t="str">
        <f ca="1">IF(A2437="","",IF(OR(L2437="ENTREGADA",L2437="RETORNADA",L2437="ENTREGA DIGITAL"),0,MAX(0,5-NETWORKDAYS(H2437+1,TODAY()))))</f>
        <v/>
      </c>
      <c r="L2437" t="str">
        <f>IF(A2437="","",IFERROR(LOOKUP(2,1/(#REF!=Z2437),#REF!),Y2437))</f>
        <v/>
      </c>
      <c r="Z2437" t="str">
        <f>IF(A2437="","",TEXT(A2437,"0")&amp;"|"&amp;TEXT(H2437,"0"))</f>
        <v/>
      </c>
      <c r="AA2437" t="str">
        <f>IF(Z2437="","",IFERROR(LOOKUP(2,1/(#REF!=Z2437),#REF!),""))</f>
        <v/>
      </c>
      <c r="AB2437" t="str">
        <f>IF(Z2437="","",IFERROR(LOOKUP(2,1/(#REF!=Z2437),#REF!),""))</f>
        <v/>
      </c>
      <c r="AC2437" t="str">
        <f>IF(Z2437="","",COUNTIF(#REF!,Z2437))</f>
        <v/>
      </c>
      <c r="AD2437" t="str">
        <f>IF(A2437="","",IF(AC2437&gt;1,"REVISAR DUPLICADO",IF(AA2437&lt;&gt;"","ACTUALIZADO POR EYR","SIN REPORTE EYR")))</f>
        <v/>
      </c>
    </row>
    <row r="2438" spans="11:30" x14ac:dyDescent="0.3">
      <c r="K2438" s="1" t="str">
        <f ca="1">IF(A2438="","",IF(OR(L2438="ENTREGADA",L2438="RETORNADA",L2438="ENTREGA DIGITAL"),0,MAX(0,5-NETWORKDAYS(H2438+1,TODAY()))))</f>
        <v/>
      </c>
      <c r="L2438" t="str">
        <f>IF(A2438="","",IFERROR(LOOKUP(2,1/(#REF!=Z2438),#REF!),Y2438))</f>
        <v/>
      </c>
      <c r="Z2438" t="str">
        <f>IF(A2438="","",TEXT(A2438,"0")&amp;"|"&amp;TEXT(H2438,"0"))</f>
        <v/>
      </c>
      <c r="AA2438" t="str">
        <f>IF(Z2438="","",IFERROR(LOOKUP(2,1/(#REF!=Z2438),#REF!),""))</f>
        <v/>
      </c>
      <c r="AB2438" t="str">
        <f>IF(Z2438="","",IFERROR(LOOKUP(2,1/(#REF!=Z2438),#REF!),""))</f>
        <v/>
      </c>
      <c r="AC2438" t="str">
        <f>IF(Z2438="","",COUNTIF(#REF!,Z2438))</f>
        <v/>
      </c>
      <c r="AD2438" t="str">
        <f>IF(A2438="","",IF(AC2438&gt;1,"REVISAR DUPLICADO",IF(AA2438&lt;&gt;"","ACTUALIZADO POR EYR","SIN REPORTE EYR")))</f>
        <v/>
      </c>
    </row>
    <row r="2439" spans="11:30" x14ac:dyDescent="0.3">
      <c r="K2439" s="1" t="str">
        <f ca="1">IF(A2439="","",IF(OR(L2439="ENTREGADA",L2439="RETORNADA",L2439="ENTREGA DIGITAL"),0,MAX(0,5-NETWORKDAYS(H2439+1,TODAY()))))</f>
        <v/>
      </c>
      <c r="L2439" t="str">
        <f>IF(A2439="","",IFERROR(LOOKUP(2,1/(#REF!=Z2439),#REF!),Y2439))</f>
        <v/>
      </c>
      <c r="Z2439" t="str">
        <f>IF(A2439="","",TEXT(A2439,"0")&amp;"|"&amp;TEXT(H2439,"0"))</f>
        <v/>
      </c>
      <c r="AA2439" t="str">
        <f>IF(Z2439="","",IFERROR(LOOKUP(2,1/(#REF!=Z2439),#REF!),""))</f>
        <v/>
      </c>
      <c r="AB2439" t="str">
        <f>IF(Z2439="","",IFERROR(LOOKUP(2,1/(#REF!=Z2439),#REF!),""))</f>
        <v/>
      </c>
      <c r="AC2439" t="str">
        <f>IF(Z2439="","",COUNTIF(#REF!,Z2439))</f>
        <v/>
      </c>
      <c r="AD2439" t="str">
        <f>IF(A2439="","",IF(AC2439&gt;1,"REVISAR DUPLICADO",IF(AA2439&lt;&gt;"","ACTUALIZADO POR EYR","SIN REPORTE EYR")))</f>
        <v/>
      </c>
    </row>
    <row r="2440" spans="11:30" x14ac:dyDescent="0.3">
      <c r="K2440" s="1" t="str">
        <f ca="1">IF(A2440="","",IF(OR(L2440="ENTREGADA",L2440="RETORNADA",L2440="ENTREGA DIGITAL"),0,MAX(0,5-NETWORKDAYS(H2440+1,TODAY()))))</f>
        <v/>
      </c>
      <c r="L2440" t="str">
        <f>IF(A2440="","",IFERROR(LOOKUP(2,1/(#REF!=Z2440),#REF!),Y2440))</f>
        <v/>
      </c>
      <c r="Z2440" t="str">
        <f>IF(A2440="","",TEXT(A2440,"0")&amp;"|"&amp;TEXT(H2440,"0"))</f>
        <v/>
      </c>
      <c r="AA2440" t="str">
        <f>IF(Z2440="","",IFERROR(LOOKUP(2,1/(#REF!=Z2440),#REF!),""))</f>
        <v/>
      </c>
      <c r="AB2440" t="str">
        <f>IF(Z2440="","",IFERROR(LOOKUP(2,1/(#REF!=Z2440),#REF!),""))</f>
        <v/>
      </c>
      <c r="AC2440" t="str">
        <f>IF(Z2440="","",COUNTIF(#REF!,Z2440))</f>
        <v/>
      </c>
      <c r="AD2440" t="str">
        <f>IF(A2440="","",IF(AC2440&gt;1,"REVISAR DUPLICADO",IF(AA2440&lt;&gt;"","ACTUALIZADO POR EYR","SIN REPORTE EYR")))</f>
        <v/>
      </c>
    </row>
    <row r="2441" spans="11:30" x14ac:dyDescent="0.3">
      <c r="K2441" s="1" t="str">
        <f ca="1">IF(A2441="","",IF(OR(L2441="ENTREGADA",L2441="RETORNADA",L2441="ENTREGA DIGITAL"),0,MAX(0,5-NETWORKDAYS(H2441+1,TODAY()))))</f>
        <v/>
      </c>
      <c r="L2441" t="str">
        <f>IF(A2441="","",IFERROR(LOOKUP(2,1/(#REF!=Z2441),#REF!),Y2441))</f>
        <v/>
      </c>
      <c r="Z2441" t="str">
        <f>IF(A2441="","",TEXT(A2441,"0")&amp;"|"&amp;TEXT(H2441,"0"))</f>
        <v/>
      </c>
      <c r="AA2441" t="str">
        <f>IF(Z2441="","",IFERROR(LOOKUP(2,1/(#REF!=Z2441),#REF!),""))</f>
        <v/>
      </c>
      <c r="AB2441" t="str">
        <f>IF(Z2441="","",IFERROR(LOOKUP(2,1/(#REF!=Z2441),#REF!),""))</f>
        <v/>
      </c>
      <c r="AC2441" t="str">
        <f>IF(Z2441="","",COUNTIF(#REF!,Z2441))</f>
        <v/>
      </c>
      <c r="AD2441" t="str">
        <f>IF(A2441="","",IF(AC2441&gt;1,"REVISAR DUPLICADO",IF(AA2441&lt;&gt;"","ACTUALIZADO POR EYR","SIN REPORTE EYR")))</f>
        <v/>
      </c>
    </row>
    <row r="2442" spans="11:30" x14ac:dyDescent="0.3">
      <c r="K2442" s="1" t="str">
        <f ca="1">IF(A2442="","",IF(OR(L2442="ENTREGADA",L2442="RETORNADA",L2442="ENTREGA DIGITAL"),0,MAX(0,5-NETWORKDAYS(H2442+1,TODAY()))))</f>
        <v/>
      </c>
      <c r="L2442" t="str">
        <f>IF(A2442="","",IFERROR(LOOKUP(2,1/(#REF!=Z2442),#REF!),Y2442))</f>
        <v/>
      </c>
      <c r="Z2442" t="str">
        <f>IF(A2442="","",TEXT(A2442,"0")&amp;"|"&amp;TEXT(H2442,"0"))</f>
        <v/>
      </c>
      <c r="AA2442" t="str">
        <f>IF(Z2442="","",IFERROR(LOOKUP(2,1/(#REF!=Z2442),#REF!),""))</f>
        <v/>
      </c>
      <c r="AB2442" t="str">
        <f>IF(Z2442="","",IFERROR(LOOKUP(2,1/(#REF!=Z2442),#REF!),""))</f>
        <v/>
      </c>
      <c r="AC2442" t="str">
        <f>IF(Z2442="","",COUNTIF(#REF!,Z2442))</f>
        <v/>
      </c>
      <c r="AD2442" t="str">
        <f>IF(A2442="","",IF(AC2442&gt;1,"REVISAR DUPLICADO",IF(AA2442&lt;&gt;"","ACTUALIZADO POR EYR","SIN REPORTE EYR")))</f>
        <v/>
      </c>
    </row>
    <row r="2443" spans="11:30" x14ac:dyDescent="0.3">
      <c r="K2443" s="1" t="str">
        <f ca="1">IF(A2443="","",IF(OR(L2443="ENTREGADA",L2443="RETORNADA",L2443="ENTREGA DIGITAL"),0,MAX(0,5-NETWORKDAYS(H2443+1,TODAY()))))</f>
        <v/>
      </c>
      <c r="L2443" t="str">
        <f>IF(A2443="","",IFERROR(LOOKUP(2,1/(#REF!=Z2443),#REF!),Y2443))</f>
        <v/>
      </c>
      <c r="Z2443" t="str">
        <f>IF(A2443="","",TEXT(A2443,"0")&amp;"|"&amp;TEXT(H2443,"0"))</f>
        <v/>
      </c>
      <c r="AA2443" t="str">
        <f>IF(Z2443="","",IFERROR(LOOKUP(2,1/(#REF!=Z2443),#REF!),""))</f>
        <v/>
      </c>
      <c r="AB2443" t="str">
        <f>IF(Z2443="","",IFERROR(LOOKUP(2,1/(#REF!=Z2443),#REF!),""))</f>
        <v/>
      </c>
      <c r="AC2443" t="str">
        <f>IF(Z2443="","",COUNTIF(#REF!,Z2443))</f>
        <v/>
      </c>
      <c r="AD2443" t="str">
        <f>IF(A2443="","",IF(AC2443&gt;1,"REVISAR DUPLICADO",IF(AA2443&lt;&gt;"","ACTUALIZADO POR EYR","SIN REPORTE EYR")))</f>
        <v/>
      </c>
    </row>
    <row r="2444" spans="11:30" x14ac:dyDescent="0.3">
      <c r="K2444" s="1" t="str">
        <f ca="1">IF(A2444="","",IF(OR(L2444="ENTREGADA",L2444="RETORNADA",L2444="ENTREGA DIGITAL"),0,MAX(0,5-NETWORKDAYS(H2444+1,TODAY()))))</f>
        <v/>
      </c>
      <c r="L2444" t="str">
        <f>IF(A2444="","",IFERROR(LOOKUP(2,1/(#REF!=Z2444),#REF!),Y2444))</f>
        <v/>
      </c>
      <c r="Z2444" t="str">
        <f>IF(A2444="","",TEXT(A2444,"0")&amp;"|"&amp;TEXT(H2444,"0"))</f>
        <v/>
      </c>
      <c r="AA2444" t="str">
        <f>IF(Z2444="","",IFERROR(LOOKUP(2,1/(#REF!=Z2444),#REF!),""))</f>
        <v/>
      </c>
      <c r="AB2444" t="str">
        <f>IF(Z2444="","",IFERROR(LOOKUP(2,1/(#REF!=Z2444),#REF!),""))</f>
        <v/>
      </c>
      <c r="AC2444" t="str">
        <f>IF(Z2444="","",COUNTIF(#REF!,Z2444))</f>
        <v/>
      </c>
      <c r="AD2444" t="str">
        <f>IF(A2444="","",IF(AC2444&gt;1,"REVISAR DUPLICADO",IF(AA2444&lt;&gt;"","ACTUALIZADO POR EYR","SIN REPORTE EYR")))</f>
        <v/>
      </c>
    </row>
    <row r="2445" spans="11:30" x14ac:dyDescent="0.3">
      <c r="K2445" s="1" t="str">
        <f ca="1">IF(A2445="","",IF(OR(L2445="ENTREGADA",L2445="RETORNADA",L2445="ENTREGA DIGITAL"),0,MAX(0,5-NETWORKDAYS(H2445+1,TODAY()))))</f>
        <v/>
      </c>
      <c r="L2445" t="str">
        <f>IF(A2445="","",IFERROR(LOOKUP(2,1/(#REF!=Z2445),#REF!),Y2445))</f>
        <v/>
      </c>
      <c r="Z2445" t="str">
        <f>IF(A2445="","",TEXT(A2445,"0")&amp;"|"&amp;TEXT(H2445,"0"))</f>
        <v/>
      </c>
      <c r="AA2445" t="str">
        <f>IF(Z2445="","",IFERROR(LOOKUP(2,1/(#REF!=Z2445),#REF!),""))</f>
        <v/>
      </c>
      <c r="AB2445" t="str">
        <f>IF(Z2445="","",IFERROR(LOOKUP(2,1/(#REF!=Z2445),#REF!),""))</f>
        <v/>
      </c>
      <c r="AC2445" t="str">
        <f>IF(Z2445="","",COUNTIF(#REF!,Z2445))</f>
        <v/>
      </c>
      <c r="AD2445" t="str">
        <f>IF(A2445="","",IF(AC2445&gt;1,"REVISAR DUPLICADO",IF(AA2445&lt;&gt;"","ACTUALIZADO POR EYR","SIN REPORTE EYR")))</f>
        <v/>
      </c>
    </row>
    <row r="2446" spans="11:30" x14ac:dyDescent="0.3">
      <c r="K2446" s="1" t="str">
        <f ca="1">IF(A2446="","",IF(OR(L2446="ENTREGADA",L2446="RETORNADA",L2446="ENTREGA DIGITAL"),0,MAX(0,5-NETWORKDAYS(H2446+1,TODAY()))))</f>
        <v/>
      </c>
      <c r="L2446" t="str">
        <f>IF(A2446="","",IFERROR(LOOKUP(2,1/(#REF!=Z2446),#REF!),Y2446))</f>
        <v/>
      </c>
      <c r="Z2446" t="str">
        <f>IF(A2446="","",TEXT(A2446,"0")&amp;"|"&amp;TEXT(H2446,"0"))</f>
        <v/>
      </c>
      <c r="AA2446" t="str">
        <f>IF(Z2446="","",IFERROR(LOOKUP(2,1/(#REF!=Z2446),#REF!),""))</f>
        <v/>
      </c>
      <c r="AB2446" t="str">
        <f>IF(Z2446="","",IFERROR(LOOKUP(2,1/(#REF!=Z2446),#REF!),""))</f>
        <v/>
      </c>
      <c r="AC2446" t="str">
        <f>IF(Z2446="","",COUNTIF(#REF!,Z2446))</f>
        <v/>
      </c>
      <c r="AD2446" t="str">
        <f>IF(A2446="","",IF(AC2446&gt;1,"REVISAR DUPLICADO",IF(AA2446&lt;&gt;"","ACTUALIZADO POR EYR","SIN REPORTE EYR")))</f>
        <v/>
      </c>
    </row>
    <row r="2447" spans="11:30" x14ac:dyDescent="0.3">
      <c r="K2447" s="1" t="str">
        <f ca="1">IF(A2447="","",IF(OR(L2447="ENTREGADA",L2447="RETORNADA",L2447="ENTREGA DIGITAL"),0,MAX(0,5-NETWORKDAYS(H2447+1,TODAY()))))</f>
        <v/>
      </c>
      <c r="L2447" t="str">
        <f>IF(A2447="","",IFERROR(LOOKUP(2,1/(#REF!=Z2447),#REF!),Y2447))</f>
        <v/>
      </c>
      <c r="Z2447" t="str">
        <f>IF(A2447="","",TEXT(A2447,"0")&amp;"|"&amp;TEXT(H2447,"0"))</f>
        <v/>
      </c>
      <c r="AA2447" t="str">
        <f>IF(Z2447="","",IFERROR(LOOKUP(2,1/(#REF!=Z2447),#REF!),""))</f>
        <v/>
      </c>
      <c r="AB2447" t="str">
        <f>IF(Z2447="","",IFERROR(LOOKUP(2,1/(#REF!=Z2447),#REF!),""))</f>
        <v/>
      </c>
      <c r="AC2447" t="str">
        <f>IF(Z2447="","",COUNTIF(#REF!,Z2447))</f>
        <v/>
      </c>
      <c r="AD2447" t="str">
        <f>IF(A2447="","",IF(AC2447&gt;1,"REVISAR DUPLICADO",IF(AA2447&lt;&gt;"","ACTUALIZADO POR EYR","SIN REPORTE EYR")))</f>
        <v/>
      </c>
    </row>
    <row r="2448" spans="11:30" x14ac:dyDescent="0.3">
      <c r="K2448" s="1" t="str">
        <f ca="1">IF(A2448="","",IF(OR(L2448="ENTREGADA",L2448="RETORNADA",L2448="ENTREGA DIGITAL"),0,MAX(0,5-NETWORKDAYS(H2448+1,TODAY()))))</f>
        <v/>
      </c>
      <c r="L2448" t="str">
        <f>IF(A2448="","",IFERROR(LOOKUP(2,1/(#REF!=Z2448),#REF!),Y2448))</f>
        <v/>
      </c>
      <c r="Z2448" t="str">
        <f>IF(A2448="","",TEXT(A2448,"0")&amp;"|"&amp;TEXT(H2448,"0"))</f>
        <v/>
      </c>
      <c r="AA2448" t="str">
        <f>IF(Z2448="","",IFERROR(LOOKUP(2,1/(#REF!=Z2448),#REF!),""))</f>
        <v/>
      </c>
      <c r="AB2448" t="str">
        <f>IF(Z2448="","",IFERROR(LOOKUP(2,1/(#REF!=Z2448),#REF!),""))</f>
        <v/>
      </c>
      <c r="AC2448" t="str">
        <f>IF(Z2448="","",COUNTIF(#REF!,Z2448))</f>
        <v/>
      </c>
      <c r="AD2448" t="str">
        <f>IF(A2448="","",IF(AC2448&gt;1,"REVISAR DUPLICADO",IF(AA2448&lt;&gt;"","ACTUALIZADO POR EYR","SIN REPORTE EYR")))</f>
        <v/>
      </c>
    </row>
    <row r="2449" spans="11:30" x14ac:dyDescent="0.3">
      <c r="K2449" s="1" t="str">
        <f ca="1">IF(A2449="","",IF(OR(L2449="ENTREGADA",L2449="RETORNADA",L2449="ENTREGA DIGITAL"),0,MAX(0,5-NETWORKDAYS(H2449+1,TODAY()))))</f>
        <v/>
      </c>
      <c r="L2449" t="str">
        <f>IF(A2449="","",IFERROR(LOOKUP(2,1/(#REF!=Z2449),#REF!),Y2449))</f>
        <v/>
      </c>
      <c r="Z2449" t="str">
        <f>IF(A2449="","",TEXT(A2449,"0")&amp;"|"&amp;TEXT(H2449,"0"))</f>
        <v/>
      </c>
      <c r="AA2449" t="str">
        <f>IF(Z2449="","",IFERROR(LOOKUP(2,1/(#REF!=Z2449),#REF!),""))</f>
        <v/>
      </c>
      <c r="AB2449" t="str">
        <f>IF(Z2449="","",IFERROR(LOOKUP(2,1/(#REF!=Z2449),#REF!),""))</f>
        <v/>
      </c>
      <c r="AC2449" t="str">
        <f>IF(Z2449="","",COUNTIF(#REF!,Z2449))</f>
        <v/>
      </c>
      <c r="AD2449" t="str">
        <f>IF(A2449="","",IF(AC2449&gt;1,"REVISAR DUPLICADO",IF(AA2449&lt;&gt;"","ACTUALIZADO POR EYR","SIN REPORTE EYR")))</f>
        <v/>
      </c>
    </row>
    <row r="2450" spans="11:30" x14ac:dyDescent="0.3">
      <c r="K2450" s="1" t="str">
        <f ca="1">IF(A2450="","",IF(OR(L2450="ENTREGADA",L2450="RETORNADA",L2450="ENTREGA DIGITAL"),0,MAX(0,5-NETWORKDAYS(H2450+1,TODAY()))))</f>
        <v/>
      </c>
      <c r="L2450" t="str">
        <f>IF(A2450="","",IFERROR(LOOKUP(2,1/(#REF!=Z2450),#REF!),Y2450))</f>
        <v/>
      </c>
      <c r="Z2450" t="str">
        <f>IF(A2450="","",TEXT(A2450,"0")&amp;"|"&amp;TEXT(H2450,"0"))</f>
        <v/>
      </c>
      <c r="AA2450" t="str">
        <f>IF(Z2450="","",IFERROR(LOOKUP(2,1/(#REF!=Z2450),#REF!),""))</f>
        <v/>
      </c>
      <c r="AB2450" t="str">
        <f>IF(Z2450="","",IFERROR(LOOKUP(2,1/(#REF!=Z2450),#REF!),""))</f>
        <v/>
      </c>
      <c r="AC2450" t="str">
        <f>IF(Z2450="","",COUNTIF(#REF!,Z2450))</f>
        <v/>
      </c>
      <c r="AD2450" t="str">
        <f>IF(A2450="","",IF(AC2450&gt;1,"REVISAR DUPLICADO",IF(AA2450&lt;&gt;"","ACTUALIZADO POR EYR","SIN REPORTE EYR")))</f>
        <v/>
      </c>
    </row>
    <row r="2451" spans="11:30" x14ac:dyDescent="0.3">
      <c r="K2451" s="1" t="str">
        <f ca="1">IF(A2451="","",IF(OR(L2451="ENTREGADA",L2451="RETORNADA",L2451="ENTREGA DIGITAL"),0,MAX(0,5-NETWORKDAYS(H2451+1,TODAY()))))</f>
        <v/>
      </c>
      <c r="L2451" t="str">
        <f>IF(A2451="","",IFERROR(LOOKUP(2,1/(#REF!=Z2451),#REF!),Y2451))</f>
        <v/>
      </c>
      <c r="Z2451" t="str">
        <f>IF(A2451="","",TEXT(A2451,"0")&amp;"|"&amp;TEXT(H2451,"0"))</f>
        <v/>
      </c>
      <c r="AA2451" t="str">
        <f>IF(Z2451="","",IFERROR(LOOKUP(2,1/(#REF!=Z2451),#REF!),""))</f>
        <v/>
      </c>
      <c r="AB2451" t="str">
        <f>IF(Z2451="","",IFERROR(LOOKUP(2,1/(#REF!=Z2451),#REF!),""))</f>
        <v/>
      </c>
      <c r="AC2451" t="str">
        <f>IF(Z2451="","",COUNTIF(#REF!,Z2451))</f>
        <v/>
      </c>
      <c r="AD2451" t="str">
        <f>IF(A2451="","",IF(AC2451&gt;1,"REVISAR DUPLICADO",IF(AA2451&lt;&gt;"","ACTUALIZADO POR EYR","SIN REPORTE EYR")))</f>
        <v/>
      </c>
    </row>
    <row r="2452" spans="11:30" x14ac:dyDescent="0.3">
      <c r="K2452" s="1" t="str">
        <f ca="1">IF(A2452="","",IF(OR(L2452="ENTREGADA",L2452="RETORNADA",L2452="ENTREGA DIGITAL"),0,MAX(0,5-NETWORKDAYS(H2452+1,TODAY()))))</f>
        <v/>
      </c>
      <c r="L2452" t="str">
        <f>IF(A2452="","",IFERROR(LOOKUP(2,1/(#REF!=Z2452),#REF!),Y2452))</f>
        <v/>
      </c>
      <c r="Z2452" t="str">
        <f>IF(A2452="","",TEXT(A2452,"0")&amp;"|"&amp;TEXT(H2452,"0"))</f>
        <v/>
      </c>
      <c r="AA2452" t="str">
        <f>IF(Z2452="","",IFERROR(LOOKUP(2,1/(#REF!=Z2452),#REF!),""))</f>
        <v/>
      </c>
      <c r="AB2452" t="str">
        <f>IF(Z2452="","",IFERROR(LOOKUP(2,1/(#REF!=Z2452),#REF!),""))</f>
        <v/>
      </c>
      <c r="AC2452" t="str">
        <f>IF(Z2452="","",COUNTIF(#REF!,Z2452))</f>
        <v/>
      </c>
      <c r="AD2452" t="str">
        <f>IF(A2452="","",IF(AC2452&gt;1,"REVISAR DUPLICADO",IF(AA2452&lt;&gt;"","ACTUALIZADO POR EYR","SIN REPORTE EYR")))</f>
        <v/>
      </c>
    </row>
    <row r="2453" spans="11:30" x14ac:dyDescent="0.3">
      <c r="K2453" s="1" t="str">
        <f ca="1">IF(A2453="","",IF(OR(L2453="ENTREGADA",L2453="RETORNADA",L2453="ENTREGA DIGITAL"),0,MAX(0,5-NETWORKDAYS(H2453+1,TODAY()))))</f>
        <v/>
      </c>
      <c r="L2453" t="str">
        <f>IF(A2453="","",IFERROR(LOOKUP(2,1/(#REF!=Z2453),#REF!),Y2453))</f>
        <v/>
      </c>
      <c r="Z2453" t="str">
        <f>IF(A2453="","",TEXT(A2453,"0")&amp;"|"&amp;TEXT(H2453,"0"))</f>
        <v/>
      </c>
      <c r="AA2453" t="str">
        <f>IF(Z2453="","",IFERROR(LOOKUP(2,1/(#REF!=Z2453),#REF!),""))</f>
        <v/>
      </c>
      <c r="AB2453" t="str">
        <f>IF(Z2453="","",IFERROR(LOOKUP(2,1/(#REF!=Z2453),#REF!),""))</f>
        <v/>
      </c>
      <c r="AC2453" t="str">
        <f>IF(Z2453="","",COUNTIF(#REF!,Z2453))</f>
        <v/>
      </c>
      <c r="AD2453" t="str">
        <f>IF(A2453="","",IF(AC2453&gt;1,"REVISAR DUPLICADO",IF(AA2453&lt;&gt;"","ACTUALIZADO POR EYR","SIN REPORTE EYR")))</f>
        <v/>
      </c>
    </row>
    <row r="2454" spans="11:30" x14ac:dyDescent="0.3">
      <c r="K2454" s="1" t="str">
        <f ca="1">IF(A2454="","",IF(OR(L2454="ENTREGADA",L2454="RETORNADA",L2454="ENTREGA DIGITAL"),0,MAX(0,5-NETWORKDAYS(H2454+1,TODAY()))))</f>
        <v/>
      </c>
      <c r="L2454" t="str">
        <f>IF(A2454="","",IFERROR(LOOKUP(2,1/(#REF!=Z2454),#REF!),Y2454))</f>
        <v/>
      </c>
      <c r="Z2454" t="str">
        <f>IF(A2454="","",TEXT(A2454,"0")&amp;"|"&amp;TEXT(H2454,"0"))</f>
        <v/>
      </c>
      <c r="AA2454" t="str">
        <f>IF(Z2454="","",IFERROR(LOOKUP(2,1/(#REF!=Z2454),#REF!),""))</f>
        <v/>
      </c>
      <c r="AB2454" t="str">
        <f>IF(Z2454="","",IFERROR(LOOKUP(2,1/(#REF!=Z2454),#REF!),""))</f>
        <v/>
      </c>
      <c r="AC2454" t="str">
        <f>IF(Z2454="","",COUNTIF(#REF!,Z2454))</f>
        <v/>
      </c>
      <c r="AD2454" t="str">
        <f>IF(A2454="","",IF(AC2454&gt;1,"REVISAR DUPLICADO",IF(AA2454&lt;&gt;"","ACTUALIZADO POR EYR","SIN REPORTE EYR")))</f>
        <v/>
      </c>
    </row>
    <row r="2455" spans="11:30" x14ac:dyDescent="0.3">
      <c r="K2455" s="1" t="str">
        <f ca="1">IF(A2455="","",IF(OR(L2455="ENTREGADA",L2455="RETORNADA",L2455="ENTREGA DIGITAL"),0,MAX(0,5-NETWORKDAYS(H2455+1,TODAY()))))</f>
        <v/>
      </c>
      <c r="L2455" t="str">
        <f>IF(A2455="","",IFERROR(LOOKUP(2,1/(#REF!=Z2455),#REF!),Y2455))</f>
        <v/>
      </c>
      <c r="Z2455" t="str">
        <f>IF(A2455="","",TEXT(A2455,"0")&amp;"|"&amp;TEXT(H2455,"0"))</f>
        <v/>
      </c>
      <c r="AA2455" t="str">
        <f>IF(Z2455="","",IFERROR(LOOKUP(2,1/(#REF!=Z2455),#REF!),""))</f>
        <v/>
      </c>
      <c r="AB2455" t="str">
        <f>IF(Z2455="","",IFERROR(LOOKUP(2,1/(#REF!=Z2455),#REF!),""))</f>
        <v/>
      </c>
      <c r="AC2455" t="str">
        <f>IF(Z2455="","",COUNTIF(#REF!,Z2455))</f>
        <v/>
      </c>
      <c r="AD2455" t="str">
        <f>IF(A2455="","",IF(AC2455&gt;1,"REVISAR DUPLICADO",IF(AA2455&lt;&gt;"","ACTUALIZADO POR EYR","SIN REPORTE EYR")))</f>
        <v/>
      </c>
    </row>
    <row r="2456" spans="11:30" x14ac:dyDescent="0.3">
      <c r="K2456" s="1" t="str">
        <f ca="1">IF(A2456="","",IF(OR(L2456="ENTREGADA",L2456="RETORNADA",L2456="ENTREGA DIGITAL"),0,MAX(0,5-NETWORKDAYS(H2456+1,TODAY()))))</f>
        <v/>
      </c>
      <c r="L2456" t="str">
        <f>IF(A2456="","",IFERROR(LOOKUP(2,1/(#REF!=Z2456),#REF!),Y2456))</f>
        <v/>
      </c>
      <c r="Z2456" t="str">
        <f>IF(A2456="","",TEXT(A2456,"0")&amp;"|"&amp;TEXT(H2456,"0"))</f>
        <v/>
      </c>
      <c r="AA2456" t="str">
        <f>IF(Z2456="","",IFERROR(LOOKUP(2,1/(#REF!=Z2456),#REF!),""))</f>
        <v/>
      </c>
      <c r="AB2456" t="str">
        <f>IF(Z2456="","",IFERROR(LOOKUP(2,1/(#REF!=Z2456),#REF!),""))</f>
        <v/>
      </c>
      <c r="AC2456" t="str">
        <f>IF(Z2456="","",COUNTIF(#REF!,Z2456))</f>
        <v/>
      </c>
      <c r="AD2456" t="str">
        <f>IF(A2456="","",IF(AC2456&gt;1,"REVISAR DUPLICADO",IF(AA2456&lt;&gt;"","ACTUALIZADO POR EYR","SIN REPORTE EYR")))</f>
        <v/>
      </c>
    </row>
    <row r="2457" spans="11:30" x14ac:dyDescent="0.3">
      <c r="K2457" s="1" t="str">
        <f ca="1">IF(A2457="","",IF(OR(L2457="ENTREGADA",L2457="RETORNADA",L2457="ENTREGA DIGITAL"),0,MAX(0,5-NETWORKDAYS(H2457+1,TODAY()))))</f>
        <v/>
      </c>
      <c r="L2457" t="str">
        <f>IF(A2457="","",IFERROR(LOOKUP(2,1/(#REF!=Z2457),#REF!),Y2457))</f>
        <v/>
      </c>
      <c r="Z2457" t="str">
        <f>IF(A2457="","",TEXT(A2457,"0")&amp;"|"&amp;TEXT(H2457,"0"))</f>
        <v/>
      </c>
      <c r="AA2457" t="str">
        <f>IF(Z2457="","",IFERROR(LOOKUP(2,1/(#REF!=Z2457),#REF!),""))</f>
        <v/>
      </c>
      <c r="AB2457" t="str">
        <f>IF(Z2457="","",IFERROR(LOOKUP(2,1/(#REF!=Z2457),#REF!),""))</f>
        <v/>
      </c>
      <c r="AC2457" t="str">
        <f>IF(Z2457="","",COUNTIF(#REF!,Z2457))</f>
        <v/>
      </c>
      <c r="AD2457" t="str">
        <f>IF(A2457="","",IF(AC2457&gt;1,"REVISAR DUPLICADO",IF(AA2457&lt;&gt;"","ACTUALIZADO POR EYR","SIN REPORTE EYR")))</f>
        <v/>
      </c>
    </row>
    <row r="2458" spans="11:30" x14ac:dyDescent="0.3">
      <c r="K2458" s="1" t="str">
        <f ca="1">IF(A2458="","",IF(OR(L2458="ENTREGADA",L2458="RETORNADA",L2458="ENTREGA DIGITAL"),0,MAX(0,5-NETWORKDAYS(H2458+1,TODAY()))))</f>
        <v/>
      </c>
      <c r="L2458" t="str">
        <f>IF(A2458="","",IFERROR(LOOKUP(2,1/(#REF!=Z2458),#REF!),Y2458))</f>
        <v/>
      </c>
      <c r="Z2458" t="str">
        <f>IF(A2458="","",TEXT(A2458,"0")&amp;"|"&amp;TEXT(H2458,"0"))</f>
        <v/>
      </c>
      <c r="AA2458" t="str">
        <f>IF(Z2458="","",IFERROR(LOOKUP(2,1/(#REF!=Z2458),#REF!),""))</f>
        <v/>
      </c>
      <c r="AB2458" t="str">
        <f>IF(Z2458="","",IFERROR(LOOKUP(2,1/(#REF!=Z2458),#REF!),""))</f>
        <v/>
      </c>
      <c r="AC2458" t="str">
        <f>IF(Z2458="","",COUNTIF(#REF!,Z2458))</f>
        <v/>
      </c>
      <c r="AD2458" t="str">
        <f>IF(A2458="","",IF(AC2458&gt;1,"REVISAR DUPLICADO",IF(AA2458&lt;&gt;"","ACTUALIZADO POR EYR","SIN REPORTE EYR")))</f>
        <v/>
      </c>
    </row>
    <row r="2459" spans="11:30" x14ac:dyDescent="0.3">
      <c r="K2459" s="1" t="str">
        <f ca="1">IF(A2459="","",IF(OR(L2459="ENTREGADA",L2459="RETORNADA",L2459="ENTREGA DIGITAL"),0,MAX(0,5-NETWORKDAYS(H2459+1,TODAY()))))</f>
        <v/>
      </c>
      <c r="L2459" t="str">
        <f>IF(A2459="","",IFERROR(LOOKUP(2,1/(#REF!=Z2459),#REF!),Y2459))</f>
        <v/>
      </c>
      <c r="Z2459" t="str">
        <f>IF(A2459="","",TEXT(A2459,"0")&amp;"|"&amp;TEXT(H2459,"0"))</f>
        <v/>
      </c>
      <c r="AA2459" t="str">
        <f>IF(Z2459="","",IFERROR(LOOKUP(2,1/(#REF!=Z2459),#REF!),""))</f>
        <v/>
      </c>
      <c r="AB2459" t="str">
        <f>IF(Z2459="","",IFERROR(LOOKUP(2,1/(#REF!=Z2459),#REF!),""))</f>
        <v/>
      </c>
      <c r="AC2459" t="str">
        <f>IF(Z2459="","",COUNTIF(#REF!,Z2459))</f>
        <v/>
      </c>
      <c r="AD2459" t="str">
        <f>IF(A2459="","",IF(AC2459&gt;1,"REVISAR DUPLICADO",IF(AA2459&lt;&gt;"","ACTUALIZADO POR EYR","SIN REPORTE EYR")))</f>
        <v/>
      </c>
    </row>
    <row r="2460" spans="11:30" x14ac:dyDescent="0.3">
      <c r="K2460" s="1" t="str">
        <f ca="1">IF(A2460="","",IF(OR(L2460="ENTREGADA",L2460="RETORNADA",L2460="ENTREGA DIGITAL"),0,MAX(0,5-NETWORKDAYS(H2460+1,TODAY()))))</f>
        <v/>
      </c>
      <c r="L2460" t="str">
        <f>IF(A2460="","",IFERROR(LOOKUP(2,1/(#REF!=Z2460),#REF!),Y2460))</f>
        <v/>
      </c>
      <c r="Z2460" t="str">
        <f>IF(A2460="","",TEXT(A2460,"0")&amp;"|"&amp;TEXT(H2460,"0"))</f>
        <v/>
      </c>
      <c r="AA2460" t="str">
        <f>IF(Z2460="","",IFERROR(LOOKUP(2,1/(#REF!=Z2460),#REF!),""))</f>
        <v/>
      </c>
      <c r="AB2460" t="str">
        <f>IF(Z2460="","",IFERROR(LOOKUP(2,1/(#REF!=Z2460),#REF!),""))</f>
        <v/>
      </c>
      <c r="AC2460" t="str">
        <f>IF(Z2460="","",COUNTIF(#REF!,Z2460))</f>
        <v/>
      </c>
      <c r="AD2460" t="str">
        <f>IF(A2460="","",IF(AC2460&gt;1,"REVISAR DUPLICADO",IF(AA2460&lt;&gt;"","ACTUALIZADO POR EYR","SIN REPORTE EYR")))</f>
        <v/>
      </c>
    </row>
    <row r="2461" spans="11:30" x14ac:dyDescent="0.3">
      <c r="K2461" s="1" t="str">
        <f ca="1">IF(A2461="","",IF(OR(L2461="ENTREGADA",L2461="RETORNADA",L2461="ENTREGA DIGITAL"),0,MAX(0,5-NETWORKDAYS(H2461+1,TODAY()))))</f>
        <v/>
      </c>
      <c r="L2461" t="str">
        <f>IF(A2461="","",IFERROR(LOOKUP(2,1/(#REF!=Z2461),#REF!),Y2461))</f>
        <v/>
      </c>
      <c r="Z2461" t="str">
        <f>IF(A2461="","",TEXT(A2461,"0")&amp;"|"&amp;TEXT(H2461,"0"))</f>
        <v/>
      </c>
      <c r="AA2461" t="str">
        <f>IF(Z2461="","",IFERROR(LOOKUP(2,1/(#REF!=Z2461),#REF!),""))</f>
        <v/>
      </c>
      <c r="AB2461" t="str">
        <f>IF(Z2461="","",IFERROR(LOOKUP(2,1/(#REF!=Z2461),#REF!),""))</f>
        <v/>
      </c>
      <c r="AC2461" t="str">
        <f>IF(Z2461="","",COUNTIF(#REF!,Z2461))</f>
        <v/>
      </c>
      <c r="AD2461" t="str">
        <f>IF(A2461="","",IF(AC2461&gt;1,"REVISAR DUPLICADO",IF(AA2461&lt;&gt;"","ACTUALIZADO POR EYR","SIN REPORTE EYR")))</f>
        <v/>
      </c>
    </row>
    <row r="2462" spans="11:30" x14ac:dyDescent="0.3">
      <c r="K2462" s="1" t="str">
        <f ca="1">IF(A2462="","",IF(OR(L2462="ENTREGADA",L2462="RETORNADA",L2462="ENTREGA DIGITAL"),0,MAX(0,5-NETWORKDAYS(H2462+1,TODAY()))))</f>
        <v/>
      </c>
      <c r="L2462" t="str">
        <f>IF(A2462="","",IFERROR(LOOKUP(2,1/(#REF!=Z2462),#REF!),Y2462))</f>
        <v/>
      </c>
      <c r="Z2462" t="str">
        <f>IF(A2462="","",TEXT(A2462,"0")&amp;"|"&amp;TEXT(H2462,"0"))</f>
        <v/>
      </c>
      <c r="AA2462" t="str">
        <f>IF(Z2462="","",IFERROR(LOOKUP(2,1/(#REF!=Z2462),#REF!),""))</f>
        <v/>
      </c>
      <c r="AB2462" t="str">
        <f>IF(Z2462="","",IFERROR(LOOKUP(2,1/(#REF!=Z2462),#REF!),""))</f>
        <v/>
      </c>
      <c r="AC2462" t="str">
        <f>IF(Z2462="","",COUNTIF(#REF!,Z2462))</f>
        <v/>
      </c>
      <c r="AD2462" t="str">
        <f>IF(A2462="","",IF(AC2462&gt;1,"REVISAR DUPLICADO",IF(AA2462&lt;&gt;"","ACTUALIZADO POR EYR","SIN REPORTE EYR")))</f>
        <v/>
      </c>
    </row>
    <row r="2463" spans="11:30" x14ac:dyDescent="0.3">
      <c r="K2463" s="1" t="str">
        <f ca="1">IF(A2463="","",IF(OR(L2463="ENTREGADA",L2463="RETORNADA",L2463="ENTREGA DIGITAL"),0,MAX(0,5-NETWORKDAYS(H2463+1,TODAY()))))</f>
        <v/>
      </c>
      <c r="L2463" t="str">
        <f>IF(A2463="","",IFERROR(LOOKUP(2,1/(#REF!=Z2463),#REF!),Y2463))</f>
        <v/>
      </c>
      <c r="Z2463" t="str">
        <f>IF(A2463="","",TEXT(A2463,"0")&amp;"|"&amp;TEXT(H2463,"0"))</f>
        <v/>
      </c>
      <c r="AA2463" t="str">
        <f>IF(Z2463="","",IFERROR(LOOKUP(2,1/(#REF!=Z2463),#REF!),""))</f>
        <v/>
      </c>
      <c r="AB2463" t="str">
        <f>IF(Z2463="","",IFERROR(LOOKUP(2,1/(#REF!=Z2463),#REF!),""))</f>
        <v/>
      </c>
      <c r="AC2463" t="str">
        <f>IF(Z2463="","",COUNTIF(#REF!,Z2463))</f>
        <v/>
      </c>
      <c r="AD2463" t="str">
        <f>IF(A2463="","",IF(AC2463&gt;1,"REVISAR DUPLICADO",IF(AA2463&lt;&gt;"","ACTUALIZADO POR EYR","SIN REPORTE EYR")))</f>
        <v/>
      </c>
    </row>
    <row r="2464" spans="11:30" x14ac:dyDescent="0.3">
      <c r="K2464" s="1" t="str">
        <f ca="1">IF(A2464="","",IF(OR(L2464="ENTREGADA",L2464="RETORNADA",L2464="ENTREGA DIGITAL"),0,MAX(0,5-NETWORKDAYS(H2464+1,TODAY()))))</f>
        <v/>
      </c>
      <c r="L2464" t="str">
        <f>IF(A2464="","",IFERROR(LOOKUP(2,1/(#REF!=Z2464),#REF!),Y2464))</f>
        <v/>
      </c>
      <c r="Z2464" t="str">
        <f>IF(A2464="","",TEXT(A2464,"0")&amp;"|"&amp;TEXT(H2464,"0"))</f>
        <v/>
      </c>
      <c r="AA2464" t="str">
        <f>IF(Z2464="","",IFERROR(LOOKUP(2,1/(#REF!=Z2464),#REF!),""))</f>
        <v/>
      </c>
      <c r="AB2464" t="str">
        <f>IF(Z2464="","",IFERROR(LOOKUP(2,1/(#REF!=Z2464),#REF!),""))</f>
        <v/>
      </c>
      <c r="AC2464" t="str">
        <f>IF(Z2464="","",COUNTIF(#REF!,Z2464))</f>
        <v/>
      </c>
      <c r="AD2464" t="str">
        <f>IF(A2464="","",IF(AC2464&gt;1,"REVISAR DUPLICADO",IF(AA2464&lt;&gt;"","ACTUALIZADO POR EYR","SIN REPORTE EYR")))</f>
        <v/>
      </c>
    </row>
    <row r="2465" spans="11:30" x14ac:dyDescent="0.3">
      <c r="K2465" s="1" t="str">
        <f ca="1">IF(A2465="","",IF(OR(L2465="ENTREGADA",L2465="RETORNADA",L2465="ENTREGA DIGITAL"),0,MAX(0,5-NETWORKDAYS(H2465+1,TODAY()))))</f>
        <v/>
      </c>
      <c r="L2465" t="str">
        <f>IF(A2465="","",IFERROR(LOOKUP(2,1/(#REF!=Z2465),#REF!),Y2465))</f>
        <v/>
      </c>
      <c r="Z2465" t="str">
        <f>IF(A2465="","",TEXT(A2465,"0")&amp;"|"&amp;TEXT(H2465,"0"))</f>
        <v/>
      </c>
      <c r="AA2465" t="str">
        <f>IF(Z2465="","",IFERROR(LOOKUP(2,1/(#REF!=Z2465),#REF!),""))</f>
        <v/>
      </c>
      <c r="AB2465" t="str">
        <f>IF(Z2465="","",IFERROR(LOOKUP(2,1/(#REF!=Z2465),#REF!),""))</f>
        <v/>
      </c>
      <c r="AC2465" t="str">
        <f>IF(Z2465="","",COUNTIF(#REF!,Z2465))</f>
        <v/>
      </c>
      <c r="AD2465" t="str">
        <f>IF(A2465="","",IF(AC2465&gt;1,"REVISAR DUPLICADO",IF(AA2465&lt;&gt;"","ACTUALIZADO POR EYR","SIN REPORTE EYR")))</f>
        <v/>
      </c>
    </row>
    <row r="2466" spans="11:30" x14ac:dyDescent="0.3">
      <c r="K2466" s="1" t="str">
        <f ca="1">IF(A2466="","",IF(OR(L2466="ENTREGADA",L2466="RETORNADA",L2466="ENTREGA DIGITAL"),0,MAX(0,5-NETWORKDAYS(H2466+1,TODAY()))))</f>
        <v/>
      </c>
      <c r="L2466" t="str">
        <f>IF(A2466="","",IFERROR(LOOKUP(2,1/(#REF!=Z2466),#REF!),Y2466))</f>
        <v/>
      </c>
      <c r="Z2466" t="str">
        <f>IF(A2466="","",TEXT(A2466,"0")&amp;"|"&amp;TEXT(H2466,"0"))</f>
        <v/>
      </c>
      <c r="AA2466" t="str">
        <f>IF(Z2466="","",IFERROR(LOOKUP(2,1/(#REF!=Z2466),#REF!),""))</f>
        <v/>
      </c>
      <c r="AB2466" t="str">
        <f>IF(Z2466="","",IFERROR(LOOKUP(2,1/(#REF!=Z2466),#REF!),""))</f>
        <v/>
      </c>
      <c r="AC2466" t="str">
        <f>IF(Z2466="","",COUNTIF(#REF!,Z2466))</f>
        <v/>
      </c>
      <c r="AD2466" t="str">
        <f>IF(A2466="","",IF(AC2466&gt;1,"REVISAR DUPLICADO",IF(AA2466&lt;&gt;"","ACTUALIZADO POR EYR","SIN REPORTE EYR")))</f>
        <v/>
      </c>
    </row>
    <row r="2467" spans="11:30" x14ac:dyDescent="0.3">
      <c r="K2467" s="1" t="str">
        <f ca="1">IF(A2467="","",IF(OR(L2467="ENTREGADA",L2467="RETORNADA",L2467="ENTREGA DIGITAL"),0,MAX(0,5-NETWORKDAYS(H2467+1,TODAY()))))</f>
        <v/>
      </c>
      <c r="L2467" t="str">
        <f>IF(A2467="","",IFERROR(LOOKUP(2,1/(#REF!=Z2467),#REF!),Y2467))</f>
        <v/>
      </c>
      <c r="Z2467" t="str">
        <f>IF(A2467="","",TEXT(A2467,"0")&amp;"|"&amp;TEXT(H2467,"0"))</f>
        <v/>
      </c>
      <c r="AA2467" t="str">
        <f>IF(Z2467="","",IFERROR(LOOKUP(2,1/(#REF!=Z2467),#REF!),""))</f>
        <v/>
      </c>
      <c r="AB2467" t="str">
        <f>IF(Z2467="","",IFERROR(LOOKUP(2,1/(#REF!=Z2467),#REF!),""))</f>
        <v/>
      </c>
      <c r="AC2467" t="str">
        <f>IF(Z2467="","",COUNTIF(#REF!,Z2467))</f>
        <v/>
      </c>
      <c r="AD2467" t="str">
        <f>IF(A2467="","",IF(AC2467&gt;1,"REVISAR DUPLICADO",IF(AA2467&lt;&gt;"","ACTUALIZADO POR EYR","SIN REPORTE EYR")))</f>
        <v/>
      </c>
    </row>
    <row r="2468" spans="11:30" x14ac:dyDescent="0.3">
      <c r="K2468" s="1" t="str">
        <f ca="1">IF(A2468="","",IF(OR(L2468="ENTREGADA",L2468="RETORNADA",L2468="ENTREGA DIGITAL"),0,MAX(0,5-NETWORKDAYS(H2468+1,TODAY()))))</f>
        <v/>
      </c>
      <c r="L2468" t="str">
        <f>IF(A2468="","",IFERROR(LOOKUP(2,1/(#REF!=Z2468),#REF!),Y2468))</f>
        <v/>
      </c>
      <c r="Z2468" t="str">
        <f>IF(A2468="","",TEXT(A2468,"0")&amp;"|"&amp;TEXT(H2468,"0"))</f>
        <v/>
      </c>
      <c r="AA2468" t="str">
        <f>IF(Z2468="","",IFERROR(LOOKUP(2,1/(#REF!=Z2468),#REF!),""))</f>
        <v/>
      </c>
      <c r="AB2468" t="str">
        <f>IF(Z2468="","",IFERROR(LOOKUP(2,1/(#REF!=Z2468),#REF!),""))</f>
        <v/>
      </c>
      <c r="AC2468" t="str">
        <f>IF(Z2468="","",COUNTIF(#REF!,Z2468))</f>
        <v/>
      </c>
      <c r="AD2468" t="str">
        <f>IF(A2468="","",IF(AC2468&gt;1,"REVISAR DUPLICADO",IF(AA2468&lt;&gt;"","ACTUALIZADO POR EYR","SIN REPORTE EYR")))</f>
        <v/>
      </c>
    </row>
    <row r="2469" spans="11:30" x14ac:dyDescent="0.3">
      <c r="K2469" s="1" t="str">
        <f ca="1">IF(A2469="","",IF(OR(L2469="ENTREGADA",L2469="RETORNADA",L2469="ENTREGA DIGITAL"),0,MAX(0,5-NETWORKDAYS(H2469+1,TODAY()))))</f>
        <v/>
      </c>
      <c r="L2469" t="str">
        <f>IF(A2469="","",IFERROR(LOOKUP(2,1/(#REF!=Z2469),#REF!),Y2469))</f>
        <v/>
      </c>
      <c r="Z2469" t="str">
        <f>IF(A2469="","",TEXT(A2469,"0")&amp;"|"&amp;TEXT(H2469,"0"))</f>
        <v/>
      </c>
      <c r="AA2469" t="str">
        <f>IF(Z2469="","",IFERROR(LOOKUP(2,1/(#REF!=Z2469),#REF!),""))</f>
        <v/>
      </c>
      <c r="AB2469" t="str">
        <f>IF(Z2469="","",IFERROR(LOOKUP(2,1/(#REF!=Z2469),#REF!),""))</f>
        <v/>
      </c>
      <c r="AC2469" t="str">
        <f>IF(Z2469="","",COUNTIF(#REF!,Z2469))</f>
        <v/>
      </c>
      <c r="AD2469" t="str">
        <f>IF(A2469="","",IF(AC2469&gt;1,"REVISAR DUPLICADO",IF(AA2469&lt;&gt;"","ACTUALIZADO POR EYR","SIN REPORTE EYR")))</f>
        <v/>
      </c>
    </row>
    <row r="2470" spans="11:30" x14ac:dyDescent="0.3">
      <c r="K2470" s="1" t="str">
        <f ca="1">IF(A2470="","",IF(OR(L2470="ENTREGADA",L2470="RETORNADA",L2470="ENTREGA DIGITAL"),0,MAX(0,5-NETWORKDAYS(H2470+1,TODAY()))))</f>
        <v/>
      </c>
      <c r="L2470" t="str">
        <f>IF(A2470="","",IFERROR(LOOKUP(2,1/(#REF!=Z2470),#REF!),Y2470))</f>
        <v/>
      </c>
      <c r="Z2470" t="str">
        <f>IF(A2470="","",TEXT(A2470,"0")&amp;"|"&amp;TEXT(H2470,"0"))</f>
        <v/>
      </c>
      <c r="AA2470" t="str">
        <f>IF(Z2470="","",IFERROR(LOOKUP(2,1/(#REF!=Z2470),#REF!),""))</f>
        <v/>
      </c>
      <c r="AB2470" t="str">
        <f>IF(Z2470="","",IFERROR(LOOKUP(2,1/(#REF!=Z2470),#REF!),""))</f>
        <v/>
      </c>
      <c r="AC2470" t="str">
        <f>IF(Z2470="","",COUNTIF(#REF!,Z2470))</f>
        <v/>
      </c>
      <c r="AD2470" t="str">
        <f>IF(A2470="","",IF(AC2470&gt;1,"REVISAR DUPLICADO",IF(AA2470&lt;&gt;"","ACTUALIZADO POR EYR","SIN REPORTE EYR")))</f>
        <v/>
      </c>
    </row>
    <row r="2471" spans="11:30" x14ac:dyDescent="0.3">
      <c r="K2471" s="1" t="str">
        <f ca="1">IF(A2471="","",IF(OR(L2471="ENTREGADA",L2471="RETORNADA",L2471="ENTREGA DIGITAL"),0,MAX(0,5-NETWORKDAYS(H2471+1,TODAY()))))</f>
        <v/>
      </c>
      <c r="L2471" t="str">
        <f>IF(A2471="","",IFERROR(LOOKUP(2,1/(#REF!=Z2471),#REF!),Y2471))</f>
        <v/>
      </c>
      <c r="Z2471" t="str">
        <f>IF(A2471="","",TEXT(A2471,"0")&amp;"|"&amp;TEXT(H2471,"0"))</f>
        <v/>
      </c>
      <c r="AA2471" t="str">
        <f>IF(Z2471="","",IFERROR(LOOKUP(2,1/(#REF!=Z2471),#REF!),""))</f>
        <v/>
      </c>
      <c r="AB2471" t="str">
        <f>IF(Z2471="","",IFERROR(LOOKUP(2,1/(#REF!=Z2471),#REF!),""))</f>
        <v/>
      </c>
      <c r="AC2471" t="str">
        <f>IF(Z2471="","",COUNTIF(#REF!,Z2471))</f>
        <v/>
      </c>
      <c r="AD2471" t="str">
        <f>IF(A2471="","",IF(AC2471&gt;1,"REVISAR DUPLICADO",IF(AA2471&lt;&gt;"","ACTUALIZADO POR EYR","SIN REPORTE EYR")))</f>
        <v/>
      </c>
    </row>
    <row r="2472" spans="11:30" x14ac:dyDescent="0.3">
      <c r="K2472" s="1" t="str">
        <f ca="1">IF(A2472="","",IF(OR(L2472="ENTREGADA",L2472="RETORNADA",L2472="ENTREGA DIGITAL"),0,MAX(0,5-NETWORKDAYS(H2472+1,TODAY()))))</f>
        <v/>
      </c>
      <c r="L2472" t="str">
        <f>IF(A2472="","",IFERROR(LOOKUP(2,1/(#REF!=Z2472),#REF!),Y2472))</f>
        <v/>
      </c>
      <c r="Z2472" t="str">
        <f>IF(A2472="","",TEXT(A2472,"0")&amp;"|"&amp;TEXT(H2472,"0"))</f>
        <v/>
      </c>
      <c r="AA2472" t="str">
        <f>IF(Z2472="","",IFERROR(LOOKUP(2,1/(#REF!=Z2472),#REF!),""))</f>
        <v/>
      </c>
      <c r="AB2472" t="str">
        <f>IF(Z2472="","",IFERROR(LOOKUP(2,1/(#REF!=Z2472),#REF!),""))</f>
        <v/>
      </c>
      <c r="AC2472" t="str">
        <f>IF(Z2472="","",COUNTIF(#REF!,Z2472))</f>
        <v/>
      </c>
      <c r="AD2472" t="str">
        <f>IF(A2472="","",IF(AC2472&gt;1,"REVISAR DUPLICADO",IF(AA2472&lt;&gt;"","ACTUALIZADO POR EYR","SIN REPORTE EYR")))</f>
        <v/>
      </c>
    </row>
    <row r="2473" spans="11:30" x14ac:dyDescent="0.3">
      <c r="K2473" s="1" t="str">
        <f ca="1">IF(A2473="","",IF(OR(L2473="ENTREGADA",L2473="RETORNADA",L2473="ENTREGA DIGITAL"),0,MAX(0,5-NETWORKDAYS(H2473+1,TODAY()))))</f>
        <v/>
      </c>
      <c r="L2473" t="str">
        <f>IF(A2473="","",IFERROR(LOOKUP(2,1/(#REF!=Z2473),#REF!),Y2473))</f>
        <v/>
      </c>
      <c r="Z2473" t="str">
        <f>IF(A2473="","",TEXT(A2473,"0")&amp;"|"&amp;TEXT(H2473,"0"))</f>
        <v/>
      </c>
      <c r="AA2473" t="str">
        <f>IF(Z2473="","",IFERROR(LOOKUP(2,1/(#REF!=Z2473),#REF!),""))</f>
        <v/>
      </c>
      <c r="AB2473" t="str">
        <f>IF(Z2473="","",IFERROR(LOOKUP(2,1/(#REF!=Z2473),#REF!),""))</f>
        <v/>
      </c>
      <c r="AC2473" t="str">
        <f>IF(Z2473="","",COUNTIF(#REF!,Z2473))</f>
        <v/>
      </c>
      <c r="AD2473" t="str">
        <f>IF(A2473="","",IF(AC2473&gt;1,"REVISAR DUPLICADO",IF(AA2473&lt;&gt;"","ACTUALIZADO POR EYR","SIN REPORTE EYR")))</f>
        <v/>
      </c>
    </row>
    <row r="2474" spans="11:30" x14ac:dyDescent="0.3">
      <c r="K2474" s="1" t="str">
        <f ca="1">IF(A2474="","",IF(OR(L2474="ENTREGADA",L2474="RETORNADA",L2474="ENTREGA DIGITAL"),0,MAX(0,5-NETWORKDAYS(H2474+1,TODAY()))))</f>
        <v/>
      </c>
      <c r="L2474" t="str">
        <f>IF(A2474="","",IFERROR(LOOKUP(2,1/(#REF!=Z2474),#REF!),Y2474))</f>
        <v/>
      </c>
      <c r="Z2474" t="str">
        <f>IF(A2474="","",TEXT(A2474,"0")&amp;"|"&amp;TEXT(H2474,"0"))</f>
        <v/>
      </c>
      <c r="AA2474" t="str">
        <f>IF(Z2474="","",IFERROR(LOOKUP(2,1/(#REF!=Z2474),#REF!),""))</f>
        <v/>
      </c>
      <c r="AB2474" t="str">
        <f>IF(Z2474="","",IFERROR(LOOKUP(2,1/(#REF!=Z2474),#REF!),""))</f>
        <v/>
      </c>
      <c r="AC2474" t="str">
        <f>IF(Z2474="","",COUNTIF(#REF!,Z2474))</f>
        <v/>
      </c>
      <c r="AD2474" t="str">
        <f>IF(A2474="","",IF(AC2474&gt;1,"REVISAR DUPLICADO",IF(AA2474&lt;&gt;"","ACTUALIZADO POR EYR","SIN REPORTE EYR")))</f>
        <v/>
      </c>
    </row>
    <row r="2475" spans="11:30" x14ac:dyDescent="0.3">
      <c r="K2475" s="1" t="str">
        <f ca="1">IF(A2475="","",IF(OR(L2475="ENTREGADA",L2475="RETORNADA",L2475="ENTREGA DIGITAL"),0,MAX(0,5-NETWORKDAYS(H2475+1,TODAY()))))</f>
        <v/>
      </c>
      <c r="L2475" t="str">
        <f>IF(A2475="","",IFERROR(LOOKUP(2,1/(#REF!=Z2475),#REF!),Y2475))</f>
        <v/>
      </c>
      <c r="Z2475" t="str">
        <f>IF(A2475="","",TEXT(A2475,"0")&amp;"|"&amp;TEXT(H2475,"0"))</f>
        <v/>
      </c>
      <c r="AA2475" t="str">
        <f>IF(Z2475="","",IFERROR(LOOKUP(2,1/(#REF!=Z2475),#REF!),""))</f>
        <v/>
      </c>
      <c r="AB2475" t="str">
        <f>IF(Z2475="","",IFERROR(LOOKUP(2,1/(#REF!=Z2475),#REF!),""))</f>
        <v/>
      </c>
      <c r="AC2475" t="str">
        <f>IF(Z2475="","",COUNTIF(#REF!,Z2475))</f>
        <v/>
      </c>
      <c r="AD2475" t="str">
        <f>IF(A2475="","",IF(AC2475&gt;1,"REVISAR DUPLICADO",IF(AA2475&lt;&gt;"","ACTUALIZADO POR EYR","SIN REPORTE EYR")))</f>
        <v/>
      </c>
    </row>
    <row r="2476" spans="11:30" x14ac:dyDescent="0.3">
      <c r="K2476" s="1" t="str">
        <f ca="1">IF(A2476="","",IF(OR(L2476="ENTREGADA",L2476="RETORNADA",L2476="ENTREGA DIGITAL"),0,MAX(0,5-NETWORKDAYS(H2476+1,TODAY()))))</f>
        <v/>
      </c>
      <c r="L2476" t="str">
        <f>IF(A2476="","",IFERROR(LOOKUP(2,1/(#REF!=Z2476),#REF!),Y2476))</f>
        <v/>
      </c>
      <c r="Z2476" t="str">
        <f>IF(A2476="","",TEXT(A2476,"0")&amp;"|"&amp;TEXT(H2476,"0"))</f>
        <v/>
      </c>
      <c r="AA2476" t="str">
        <f>IF(Z2476="","",IFERROR(LOOKUP(2,1/(#REF!=Z2476),#REF!),""))</f>
        <v/>
      </c>
      <c r="AB2476" t="str">
        <f>IF(Z2476="","",IFERROR(LOOKUP(2,1/(#REF!=Z2476),#REF!),""))</f>
        <v/>
      </c>
      <c r="AC2476" t="str">
        <f>IF(Z2476="","",COUNTIF(#REF!,Z2476))</f>
        <v/>
      </c>
      <c r="AD2476" t="str">
        <f>IF(A2476="","",IF(AC2476&gt;1,"REVISAR DUPLICADO",IF(AA2476&lt;&gt;"","ACTUALIZADO POR EYR","SIN REPORTE EYR")))</f>
        <v/>
      </c>
    </row>
    <row r="2477" spans="11:30" x14ac:dyDescent="0.3">
      <c r="K2477" s="1" t="str">
        <f ca="1">IF(A2477="","",IF(OR(L2477="ENTREGADA",L2477="RETORNADA",L2477="ENTREGA DIGITAL"),0,MAX(0,5-NETWORKDAYS(H2477+1,TODAY()))))</f>
        <v/>
      </c>
      <c r="L2477" t="str">
        <f>IF(A2477="","",IFERROR(LOOKUP(2,1/(#REF!=Z2477),#REF!),Y2477))</f>
        <v/>
      </c>
      <c r="Z2477" t="str">
        <f>IF(A2477="","",TEXT(A2477,"0")&amp;"|"&amp;TEXT(H2477,"0"))</f>
        <v/>
      </c>
      <c r="AA2477" t="str">
        <f>IF(Z2477="","",IFERROR(LOOKUP(2,1/(#REF!=Z2477),#REF!),""))</f>
        <v/>
      </c>
      <c r="AB2477" t="str">
        <f>IF(Z2477="","",IFERROR(LOOKUP(2,1/(#REF!=Z2477),#REF!),""))</f>
        <v/>
      </c>
      <c r="AC2477" t="str">
        <f>IF(Z2477="","",COUNTIF(#REF!,Z2477))</f>
        <v/>
      </c>
      <c r="AD2477" t="str">
        <f>IF(A2477="","",IF(AC2477&gt;1,"REVISAR DUPLICADO",IF(AA2477&lt;&gt;"","ACTUALIZADO POR EYR","SIN REPORTE EYR")))</f>
        <v/>
      </c>
    </row>
    <row r="2478" spans="11:30" x14ac:dyDescent="0.3">
      <c r="K2478" s="1" t="str">
        <f ca="1">IF(A2478="","",IF(OR(L2478="ENTREGADA",L2478="RETORNADA",L2478="ENTREGA DIGITAL"),0,MAX(0,5-NETWORKDAYS(H2478+1,TODAY()))))</f>
        <v/>
      </c>
      <c r="L2478" t="str">
        <f>IF(A2478="","",IFERROR(LOOKUP(2,1/(#REF!=Z2478),#REF!),Y2478))</f>
        <v/>
      </c>
      <c r="Z2478" t="str">
        <f>IF(A2478="","",TEXT(A2478,"0")&amp;"|"&amp;TEXT(H2478,"0"))</f>
        <v/>
      </c>
      <c r="AA2478" t="str">
        <f>IF(Z2478="","",IFERROR(LOOKUP(2,1/(#REF!=Z2478),#REF!),""))</f>
        <v/>
      </c>
      <c r="AB2478" t="str">
        <f>IF(Z2478="","",IFERROR(LOOKUP(2,1/(#REF!=Z2478),#REF!),""))</f>
        <v/>
      </c>
      <c r="AC2478" t="str">
        <f>IF(Z2478="","",COUNTIF(#REF!,Z2478))</f>
        <v/>
      </c>
      <c r="AD2478" t="str">
        <f>IF(A2478="","",IF(AC2478&gt;1,"REVISAR DUPLICADO",IF(AA2478&lt;&gt;"","ACTUALIZADO POR EYR","SIN REPORTE EYR")))</f>
        <v/>
      </c>
    </row>
    <row r="2479" spans="11:30" x14ac:dyDescent="0.3">
      <c r="K2479" s="1" t="str">
        <f ca="1">IF(A2479="","",IF(OR(L2479="ENTREGADA",L2479="RETORNADA",L2479="ENTREGA DIGITAL"),0,MAX(0,5-NETWORKDAYS(H2479+1,TODAY()))))</f>
        <v/>
      </c>
      <c r="L2479" t="str">
        <f>IF(A2479="","",IFERROR(LOOKUP(2,1/(#REF!=Z2479),#REF!),Y2479))</f>
        <v/>
      </c>
      <c r="Z2479" t="str">
        <f>IF(A2479="","",TEXT(A2479,"0")&amp;"|"&amp;TEXT(H2479,"0"))</f>
        <v/>
      </c>
      <c r="AA2479" t="str">
        <f>IF(Z2479="","",IFERROR(LOOKUP(2,1/(#REF!=Z2479),#REF!),""))</f>
        <v/>
      </c>
      <c r="AB2479" t="str">
        <f>IF(Z2479="","",IFERROR(LOOKUP(2,1/(#REF!=Z2479),#REF!),""))</f>
        <v/>
      </c>
      <c r="AC2479" t="str">
        <f>IF(Z2479="","",COUNTIF(#REF!,Z2479))</f>
        <v/>
      </c>
      <c r="AD2479" t="str">
        <f>IF(A2479="","",IF(AC2479&gt;1,"REVISAR DUPLICADO",IF(AA2479&lt;&gt;"","ACTUALIZADO POR EYR","SIN REPORTE EYR")))</f>
        <v/>
      </c>
    </row>
    <row r="2480" spans="11:30" x14ac:dyDescent="0.3">
      <c r="K2480" s="1" t="str">
        <f ca="1">IF(A2480="","",IF(OR(L2480="ENTREGADA",L2480="RETORNADA",L2480="ENTREGA DIGITAL"),0,MAX(0,5-NETWORKDAYS(H2480+1,TODAY()))))</f>
        <v/>
      </c>
      <c r="L2480" t="str">
        <f>IF(A2480="","",IFERROR(LOOKUP(2,1/(#REF!=Z2480),#REF!),Y2480))</f>
        <v/>
      </c>
      <c r="Z2480" t="str">
        <f>IF(A2480="","",TEXT(A2480,"0")&amp;"|"&amp;TEXT(H2480,"0"))</f>
        <v/>
      </c>
      <c r="AA2480" t="str">
        <f>IF(Z2480="","",IFERROR(LOOKUP(2,1/(#REF!=Z2480),#REF!),""))</f>
        <v/>
      </c>
      <c r="AB2480" t="str">
        <f>IF(Z2480="","",IFERROR(LOOKUP(2,1/(#REF!=Z2480),#REF!),""))</f>
        <v/>
      </c>
      <c r="AC2480" t="str">
        <f>IF(Z2480="","",COUNTIF(#REF!,Z2480))</f>
        <v/>
      </c>
      <c r="AD2480" t="str">
        <f>IF(A2480="","",IF(AC2480&gt;1,"REVISAR DUPLICADO",IF(AA2480&lt;&gt;"","ACTUALIZADO POR EYR","SIN REPORTE EYR")))</f>
        <v/>
      </c>
    </row>
    <row r="2481" spans="11:30" x14ac:dyDescent="0.3">
      <c r="K2481" s="1" t="str">
        <f ca="1">IF(A2481="","",IF(OR(L2481="ENTREGADA",L2481="RETORNADA",L2481="ENTREGA DIGITAL"),0,MAX(0,5-NETWORKDAYS(H2481+1,TODAY()))))</f>
        <v/>
      </c>
      <c r="L2481" t="str">
        <f>IF(A2481="","",IFERROR(LOOKUP(2,1/(#REF!=Z2481),#REF!),Y2481))</f>
        <v/>
      </c>
      <c r="Z2481" t="str">
        <f>IF(A2481="","",TEXT(A2481,"0")&amp;"|"&amp;TEXT(H2481,"0"))</f>
        <v/>
      </c>
      <c r="AA2481" t="str">
        <f>IF(Z2481="","",IFERROR(LOOKUP(2,1/(#REF!=Z2481),#REF!),""))</f>
        <v/>
      </c>
      <c r="AB2481" t="str">
        <f>IF(Z2481="","",IFERROR(LOOKUP(2,1/(#REF!=Z2481),#REF!),""))</f>
        <v/>
      </c>
      <c r="AC2481" t="str">
        <f>IF(Z2481="","",COUNTIF(#REF!,Z2481))</f>
        <v/>
      </c>
      <c r="AD2481" t="str">
        <f>IF(A2481="","",IF(AC2481&gt;1,"REVISAR DUPLICADO",IF(AA2481&lt;&gt;"","ACTUALIZADO POR EYR","SIN REPORTE EYR")))</f>
        <v/>
      </c>
    </row>
    <row r="2482" spans="11:30" x14ac:dyDescent="0.3">
      <c r="K2482" s="1" t="str">
        <f ca="1">IF(A2482="","",IF(OR(L2482="ENTREGADA",L2482="RETORNADA",L2482="ENTREGA DIGITAL"),0,MAX(0,5-NETWORKDAYS(H2482+1,TODAY()))))</f>
        <v/>
      </c>
      <c r="L2482" t="str">
        <f>IF(A2482="","",IFERROR(LOOKUP(2,1/(#REF!=Z2482),#REF!),Y2482))</f>
        <v/>
      </c>
      <c r="Z2482" t="str">
        <f>IF(A2482="","",TEXT(A2482,"0")&amp;"|"&amp;TEXT(H2482,"0"))</f>
        <v/>
      </c>
      <c r="AA2482" t="str">
        <f>IF(Z2482="","",IFERROR(LOOKUP(2,1/(#REF!=Z2482),#REF!),""))</f>
        <v/>
      </c>
      <c r="AB2482" t="str">
        <f>IF(Z2482="","",IFERROR(LOOKUP(2,1/(#REF!=Z2482),#REF!),""))</f>
        <v/>
      </c>
      <c r="AC2482" t="str">
        <f>IF(Z2482="","",COUNTIF(#REF!,Z2482))</f>
        <v/>
      </c>
      <c r="AD2482" t="str">
        <f>IF(A2482="","",IF(AC2482&gt;1,"REVISAR DUPLICADO",IF(AA2482&lt;&gt;"","ACTUALIZADO POR EYR","SIN REPORTE EYR")))</f>
        <v/>
      </c>
    </row>
    <row r="2483" spans="11:30" x14ac:dyDescent="0.3">
      <c r="K2483" s="1" t="str">
        <f ca="1">IF(A2483="","",IF(OR(L2483="ENTREGADA",L2483="RETORNADA",L2483="ENTREGA DIGITAL"),0,MAX(0,5-NETWORKDAYS(H2483+1,TODAY()))))</f>
        <v/>
      </c>
      <c r="L2483" t="str">
        <f>IF(A2483="","",IFERROR(LOOKUP(2,1/(#REF!=Z2483),#REF!),Y2483))</f>
        <v/>
      </c>
      <c r="Z2483" t="str">
        <f>IF(A2483="","",TEXT(A2483,"0")&amp;"|"&amp;TEXT(H2483,"0"))</f>
        <v/>
      </c>
      <c r="AA2483" t="str">
        <f>IF(Z2483="","",IFERROR(LOOKUP(2,1/(#REF!=Z2483),#REF!),""))</f>
        <v/>
      </c>
      <c r="AB2483" t="str">
        <f>IF(Z2483="","",IFERROR(LOOKUP(2,1/(#REF!=Z2483),#REF!),""))</f>
        <v/>
      </c>
      <c r="AC2483" t="str">
        <f>IF(Z2483="","",COUNTIF(#REF!,Z2483))</f>
        <v/>
      </c>
      <c r="AD2483" t="str">
        <f>IF(A2483="","",IF(AC2483&gt;1,"REVISAR DUPLICADO",IF(AA2483&lt;&gt;"","ACTUALIZADO POR EYR","SIN REPORTE EYR")))</f>
        <v/>
      </c>
    </row>
    <row r="2484" spans="11:30" x14ac:dyDescent="0.3">
      <c r="K2484" s="1" t="str">
        <f ca="1">IF(A2484="","",IF(OR(L2484="ENTREGADA",L2484="RETORNADA",L2484="ENTREGA DIGITAL"),0,MAX(0,5-NETWORKDAYS(H2484+1,TODAY()))))</f>
        <v/>
      </c>
      <c r="L2484" t="str">
        <f>IF(A2484="","",IFERROR(LOOKUP(2,1/(#REF!=Z2484),#REF!),Y2484))</f>
        <v/>
      </c>
      <c r="Z2484" t="str">
        <f>IF(A2484="","",TEXT(A2484,"0")&amp;"|"&amp;TEXT(H2484,"0"))</f>
        <v/>
      </c>
      <c r="AA2484" t="str">
        <f>IF(Z2484="","",IFERROR(LOOKUP(2,1/(#REF!=Z2484),#REF!),""))</f>
        <v/>
      </c>
      <c r="AB2484" t="str">
        <f>IF(Z2484="","",IFERROR(LOOKUP(2,1/(#REF!=Z2484),#REF!),""))</f>
        <v/>
      </c>
      <c r="AC2484" t="str">
        <f>IF(Z2484="","",COUNTIF(#REF!,Z2484))</f>
        <v/>
      </c>
      <c r="AD2484" t="str">
        <f>IF(A2484="","",IF(AC2484&gt;1,"REVISAR DUPLICADO",IF(AA2484&lt;&gt;"","ACTUALIZADO POR EYR","SIN REPORTE EYR")))</f>
        <v/>
      </c>
    </row>
    <row r="2485" spans="11:30" x14ac:dyDescent="0.3">
      <c r="K2485" s="1" t="str">
        <f ca="1">IF(A2485="","",IF(OR(L2485="ENTREGADA",L2485="RETORNADA",L2485="ENTREGA DIGITAL"),0,MAX(0,5-NETWORKDAYS(H2485+1,TODAY()))))</f>
        <v/>
      </c>
      <c r="L2485" t="str">
        <f>IF(A2485="","",IFERROR(LOOKUP(2,1/(#REF!=Z2485),#REF!),Y2485))</f>
        <v/>
      </c>
      <c r="Z2485" t="str">
        <f>IF(A2485="","",TEXT(A2485,"0")&amp;"|"&amp;TEXT(H2485,"0"))</f>
        <v/>
      </c>
      <c r="AA2485" t="str">
        <f>IF(Z2485="","",IFERROR(LOOKUP(2,1/(#REF!=Z2485),#REF!),""))</f>
        <v/>
      </c>
      <c r="AB2485" t="str">
        <f>IF(Z2485="","",IFERROR(LOOKUP(2,1/(#REF!=Z2485),#REF!),""))</f>
        <v/>
      </c>
      <c r="AC2485" t="str">
        <f>IF(Z2485="","",COUNTIF(#REF!,Z2485))</f>
        <v/>
      </c>
      <c r="AD2485" t="str">
        <f>IF(A2485="","",IF(AC2485&gt;1,"REVISAR DUPLICADO",IF(AA2485&lt;&gt;"","ACTUALIZADO POR EYR","SIN REPORTE EYR")))</f>
        <v/>
      </c>
    </row>
    <row r="2486" spans="11:30" x14ac:dyDescent="0.3">
      <c r="K2486" s="1" t="str">
        <f ca="1">IF(A2486="","",IF(OR(L2486="ENTREGADA",L2486="RETORNADA",L2486="ENTREGA DIGITAL"),0,MAX(0,5-NETWORKDAYS(H2486+1,TODAY()))))</f>
        <v/>
      </c>
      <c r="L2486" t="str">
        <f>IF(A2486="","",IFERROR(LOOKUP(2,1/(#REF!=Z2486),#REF!),Y2486))</f>
        <v/>
      </c>
      <c r="Z2486" t="str">
        <f>IF(A2486="","",TEXT(A2486,"0")&amp;"|"&amp;TEXT(H2486,"0"))</f>
        <v/>
      </c>
      <c r="AA2486" t="str">
        <f>IF(Z2486="","",IFERROR(LOOKUP(2,1/(#REF!=Z2486),#REF!),""))</f>
        <v/>
      </c>
      <c r="AB2486" t="str">
        <f>IF(Z2486="","",IFERROR(LOOKUP(2,1/(#REF!=Z2486),#REF!),""))</f>
        <v/>
      </c>
      <c r="AC2486" t="str">
        <f>IF(Z2486="","",COUNTIF(#REF!,Z2486))</f>
        <v/>
      </c>
      <c r="AD2486" t="str">
        <f>IF(A2486="","",IF(AC2486&gt;1,"REVISAR DUPLICADO",IF(AA2486&lt;&gt;"","ACTUALIZADO POR EYR","SIN REPORTE EYR")))</f>
        <v/>
      </c>
    </row>
    <row r="2487" spans="11:30" x14ac:dyDescent="0.3">
      <c r="K2487" s="1" t="str">
        <f ca="1">IF(A2487="","",IF(OR(L2487="ENTREGADA",L2487="RETORNADA",L2487="ENTREGA DIGITAL"),0,MAX(0,5-NETWORKDAYS(H2487+1,TODAY()))))</f>
        <v/>
      </c>
      <c r="L2487" t="str">
        <f>IF(A2487="","",IFERROR(LOOKUP(2,1/(#REF!=Z2487),#REF!),Y2487))</f>
        <v/>
      </c>
      <c r="Z2487" t="str">
        <f>IF(A2487="","",TEXT(A2487,"0")&amp;"|"&amp;TEXT(H2487,"0"))</f>
        <v/>
      </c>
      <c r="AA2487" t="str">
        <f>IF(Z2487="","",IFERROR(LOOKUP(2,1/(#REF!=Z2487),#REF!),""))</f>
        <v/>
      </c>
      <c r="AB2487" t="str">
        <f>IF(Z2487="","",IFERROR(LOOKUP(2,1/(#REF!=Z2487),#REF!),""))</f>
        <v/>
      </c>
      <c r="AC2487" t="str">
        <f>IF(Z2487="","",COUNTIF(#REF!,Z2487))</f>
        <v/>
      </c>
      <c r="AD2487" t="str">
        <f>IF(A2487="","",IF(AC2487&gt;1,"REVISAR DUPLICADO",IF(AA2487&lt;&gt;"","ACTUALIZADO POR EYR","SIN REPORTE EYR")))</f>
        <v/>
      </c>
    </row>
    <row r="2488" spans="11:30" x14ac:dyDescent="0.3">
      <c r="K2488" s="1" t="str">
        <f ca="1">IF(A2488="","",IF(OR(L2488="ENTREGADA",L2488="RETORNADA",L2488="ENTREGA DIGITAL"),0,MAX(0,5-NETWORKDAYS(H2488+1,TODAY()))))</f>
        <v/>
      </c>
      <c r="L2488" t="str">
        <f>IF(A2488="","",IFERROR(LOOKUP(2,1/(#REF!=Z2488),#REF!),Y2488))</f>
        <v/>
      </c>
      <c r="Z2488" t="str">
        <f>IF(A2488="","",TEXT(A2488,"0")&amp;"|"&amp;TEXT(H2488,"0"))</f>
        <v/>
      </c>
      <c r="AA2488" t="str">
        <f>IF(Z2488="","",IFERROR(LOOKUP(2,1/(#REF!=Z2488),#REF!),""))</f>
        <v/>
      </c>
      <c r="AB2488" t="str">
        <f>IF(Z2488="","",IFERROR(LOOKUP(2,1/(#REF!=Z2488),#REF!),""))</f>
        <v/>
      </c>
      <c r="AC2488" t="str">
        <f>IF(Z2488="","",COUNTIF(#REF!,Z2488))</f>
        <v/>
      </c>
      <c r="AD2488" t="str">
        <f>IF(A2488="","",IF(AC2488&gt;1,"REVISAR DUPLICADO",IF(AA2488&lt;&gt;"","ACTUALIZADO POR EYR","SIN REPORTE EYR")))</f>
        <v/>
      </c>
    </row>
    <row r="2489" spans="11:30" x14ac:dyDescent="0.3">
      <c r="K2489" s="1" t="str">
        <f ca="1">IF(A2489="","",IF(OR(L2489="ENTREGADA",L2489="RETORNADA",L2489="ENTREGA DIGITAL"),0,MAX(0,5-NETWORKDAYS(H2489+1,TODAY()))))</f>
        <v/>
      </c>
      <c r="L2489" t="str">
        <f>IF(A2489="","",IFERROR(LOOKUP(2,1/(#REF!=Z2489),#REF!),Y2489))</f>
        <v/>
      </c>
      <c r="Z2489" t="str">
        <f>IF(A2489="","",TEXT(A2489,"0")&amp;"|"&amp;TEXT(H2489,"0"))</f>
        <v/>
      </c>
      <c r="AA2489" t="str">
        <f>IF(Z2489="","",IFERROR(LOOKUP(2,1/(#REF!=Z2489),#REF!),""))</f>
        <v/>
      </c>
      <c r="AB2489" t="str">
        <f>IF(Z2489="","",IFERROR(LOOKUP(2,1/(#REF!=Z2489),#REF!),""))</f>
        <v/>
      </c>
      <c r="AC2489" t="str">
        <f>IF(Z2489="","",COUNTIF(#REF!,Z2489))</f>
        <v/>
      </c>
      <c r="AD2489" t="str">
        <f>IF(A2489="","",IF(AC2489&gt;1,"REVISAR DUPLICADO",IF(AA2489&lt;&gt;"","ACTUALIZADO POR EYR","SIN REPORTE EYR")))</f>
        <v/>
      </c>
    </row>
    <row r="2490" spans="11:30" x14ac:dyDescent="0.3">
      <c r="K2490" s="1" t="str">
        <f ca="1">IF(A2490="","",IF(OR(L2490="ENTREGADA",L2490="RETORNADA",L2490="ENTREGA DIGITAL"),0,MAX(0,5-NETWORKDAYS(H2490+1,TODAY()))))</f>
        <v/>
      </c>
      <c r="L2490" t="str">
        <f>IF(A2490="","",IFERROR(LOOKUP(2,1/(#REF!=Z2490),#REF!),Y2490))</f>
        <v/>
      </c>
      <c r="Z2490" t="str">
        <f>IF(A2490="","",TEXT(A2490,"0")&amp;"|"&amp;TEXT(H2490,"0"))</f>
        <v/>
      </c>
      <c r="AA2490" t="str">
        <f>IF(Z2490="","",IFERROR(LOOKUP(2,1/(#REF!=Z2490),#REF!),""))</f>
        <v/>
      </c>
      <c r="AB2490" t="str">
        <f>IF(Z2490="","",IFERROR(LOOKUP(2,1/(#REF!=Z2490),#REF!),""))</f>
        <v/>
      </c>
      <c r="AC2490" t="str">
        <f>IF(Z2490="","",COUNTIF(#REF!,Z2490))</f>
        <v/>
      </c>
      <c r="AD2490" t="str">
        <f>IF(A2490="","",IF(AC2490&gt;1,"REVISAR DUPLICADO",IF(AA2490&lt;&gt;"","ACTUALIZADO POR EYR","SIN REPORTE EYR")))</f>
        <v/>
      </c>
    </row>
    <row r="2491" spans="11:30" x14ac:dyDescent="0.3">
      <c r="K2491" s="1" t="str">
        <f ca="1">IF(A2491="","",IF(OR(L2491="ENTREGADA",L2491="RETORNADA",L2491="ENTREGA DIGITAL"),0,MAX(0,5-NETWORKDAYS(H2491+1,TODAY()))))</f>
        <v/>
      </c>
      <c r="L2491" t="str">
        <f>IF(A2491="","",IFERROR(LOOKUP(2,1/(#REF!=Z2491),#REF!),Y2491))</f>
        <v/>
      </c>
      <c r="Z2491" t="str">
        <f>IF(A2491="","",TEXT(A2491,"0")&amp;"|"&amp;TEXT(H2491,"0"))</f>
        <v/>
      </c>
      <c r="AA2491" t="str">
        <f>IF(Z2491="","",IFERROR(LOOKUP(2,1/(#REF!=Z2491),#REF!),""))</f>
        <v/>
      </c>
      <c r="AB2491" t="str">
        <f>IF(Z2491="","",IFERROR(LOOKUP(2,1/(#REF!=Z2491),#REF!),""))</f>
        <v/>
      </c>
      <c r="AC2491" t="str">
        <f>IF(Z2491="","",COUNTIF(#REF!,Z2491))</f>
        <v/>
      </c>
      <c r="AD2491" t="str">
        <f>IF(A2491="","",IF(AC2491&gt;1,"REVISAR DUPLICADO",IF(AA2491&lt;&gt;"","ACTUALIZADO POR EYR","SIN REPORTE EYR")))</f>
        <v/>
      </c>
    </row>
    <row r="2492" spans="11:30" x14ac:dyDescent="0.3">
      <c r="K2492" s="1" t="str">
        <f ca="1">IF(A2492="","",IF(OR(L2492="ENTREGADA",L2492="RETORNADA",L2492="ENTREGA DIGITAL"),0,MAX(0,5-NETWORKDAYS(H2492+1,TODAY()))))</f>
        <v/>
      </c>
      <c r="L2492" t="str">
        <f>IF(A2492="","",IFERROR(LOOKUP(2,1/(#REF!=Z2492),#REF!),Y2492))</f>
        <v/>
      </c>
      <c r="Z2492" t="str">
        <f>IF(A2492="","",TEXT(A2492,"0")&amp;"|"&amp;TEXT(H2492,"0"))</f>
        <v/>
      </c>
      <c r="AA2492" t="str">
        <f>IF(Z2492="","",IFERROR(LOOKUP(2,1/(#REF!=Z2492),#REF!),""))</f>
        <v/>
      </c>
      <c r="AB2492" t="str">
        <f>IF(Z2492="","",IFERROR(LOOKUP(2,1/(#REF!=Z2492),#REF!),""))</f>
        <v/>
      </c>
      <c r="AC2492" t="str">
        <f>IF(Z2492="","",COUNTIF(#REF!,Z2492))</f>
        <v/>
      </c>
      <c r="AD2492" t="str">
        <f>IF(A2492="","",IF(AC2492&gt;1,"REVISAR DUPLICADO",IF(AA2492&lt;&gt;"","ACTUALIZADO POR EYR","SIN REPORTE EYR")))</f>
        <v/>
      </c>
    </row>
    <row r="2493" spans="11:30" x14ac:dyDescent="0.3">
      <c r="K2493" s="1" t="str">
        <f ca="1">IF(A2493="","",IF(OR(L2493="ENTREGADA",L2493="RETORNADA",L2493="ENTREGA DIGITAL"),0,MAX(0,5-NETWORKDAYS(H2493+1,TODAY()))))</f>
        <v/>
      </c>
      <c r="L2493" t="str">
        <f>IF(A2493="","",IFERROR(LOOKUP(2,1/(#REF!=Z2493),#REF!),Y2493))</f>
        <v/>
      </c>
      <c r="Z2493" t="str">
        <f>IF(A2493="","",TEXT(A2493,"0")&amp;"|"&amp;TEXT(H2493,"0"))</f>
        <v/>
      </c>
      <c r="AA2493" t="str">
        <f>IF(Z2493="","",IFERROR(LOOKUP(2,1/(#REF!=Z2493),#REF!),""))</f>
        <v/>
      </c>
      <c r="AB2493" t="str">
        <f>IF(Z2493="","",IFERROR(LOOKUP(2,1/(#REF!=Z2493),#REF!),""))</f>
        <v/>
      </c>
      <c r="AC2493" t="str">
        <f>IF(Z2493="","",COUNTIF(#REF!,Z2493))</f>
        <v/>
      </c>
      <c r="AD2493" t="str">
        <f>IF(A2493="","",IF(AC2493&gt;1,"REVISAR DUPLICADO",IF(AA2493&lt;&gt;"","ACTUALIZADO POR EYR","SIN REPORTE EYR")))</f>
        <v/>
      </c>
    </row>
    <row r="2494" spans="11:30" x14ac:dyDescent="0.3">
      <c r="K2494" s="1" t="str">
        <f ca="1">IF(A2494="","",IF(OR(L2494="ENTREGADA",L2494="RETORNADA",L2494="ENTREGA DIGITAL"),0,MAX(0,5-NETWORKDAYS(H2494+1,TODAY()))))</f>
        <v/>
      </c>
      <c r="L2494" t="str">
        <f>IF(A2494="","",IFERROR(LOOKUP(2,1/(#REF!=Z2494),#REF!),Y2494))</f>
        <v/>
      </c>
      <c r="Z2494" t="str">
        <f>IF(A2494="","",TEXT(A2494,"0")&amp;"|"&amp;TEXT(H2494,"0"))</f>
        <v/>
      </c>
      <c r="AA2494" t="str">
        <f>IF(Z2494="","",IFERROR(LOOKUP(2,1/(#REF!=Z2494),#REF!),""))</f>
        <v/>
      </c>
      <c r="AB2494" t="str">
        <f>IF(Z2494="","",IFERROR(LOOKUP(2,1/(#REF!=Z2494),#REF!),""))</f>
        <v/>
      </c>
      <c r="AC2494" t="str">
        <f>IF(Z2494="","",COUNTIF(#REF!,Z2494))</f>
        <v/>
      </c>
      <c r="AD2494" t="str">
        <f>IF(A2494="","",IF(AC2494&gt;1,"REVISAR DUPLICADO",IF(AA2494&lt;&gt;"","ACTUALIZADO POR EYR","SIN REPORTE EYR")))</f>
        <v/>
      </c>
    </row>
    <row r="2495" spans="11:30" x14ac:dyDescent="0.3">
      <c r="K2495" s="1" t="str">
        <f ca="1">IF(A2495="","",IF(OR(L2495="ENTREGADA",L2495="RETORNADA",L2495="ENTREGA DIGITAL"),0,MAX(0,5-NETWORKDAYS(H2495+1,TODAY()))))</f>
        <v/>
      </c>
      <c r="L2495" t="str">
        <f>IF(A2495="","",IFERROR(LOOKUP(2,1/(#REF!=Z2495),#REF!),Y2495))</f>
        <v/>
      </c>
      <c r="Z2495" t="str">
        <f>IF(A2495="","",TEXT(A2495,"0")&amp;"|"&amp;TEXT(H2495,"0"))</f>
        <v/>
      </c>
      <c r="AA2495" t="str">
        <f>IF(Z2495="","",IFERROR(LOOKUP(2,1/(#REF!=Z2495),#REF!),""))</f>
        <v/>
      </c>
      <c r="AB2495" t="str">
        <f>IF(Z2495="","",IFERROR(LOOKUP(2,1/(#REF!=Z2495),#REF!),""))</f>
        <v/>
      </c>
      <c r="AC2495" t="str">
        <f>IF(Z2495="","",COUNTIF(#REF!,Z2495))</f>
        <v/>
      </c>
      <c r="AD2495" t="str">
        <f>IF(A2495="","",IF(AC2495&gt;1,"REVISAR DUPLICADO",IF(AA2495&lt;&gt;"","ACTUALIZADO POR EYR","SIN REPORTE EYR")))</f>
        <v/>
      </c>
    </row>
    <row r="2496" spans="11:30" x14ac:dyDescent="0.3">
      <c r="K2496" s="1" t="str">
        <f ca="1">IF(A2496="","",IF(OR(L2496="ENTREGADA",L2496="RETORNADA",L2496="ENTREGA DIGITAL"),0,MAX(0,5-NETWORKDAYS(H2496+1,TODAY()))))</f>
        <v/>
      </c>
      <c r="L2496" t="str">
        <f>IF(A2496="","",IFERROR(LOOKUP(2,1/(#REF!=Z2496),#REF!),Y2496))</f>
        <v/>
      </c>
      <c r="Z2496" t="str">
        <f>IF(A2496="","",TEXT(A2496,"0")&amp;"|"&amp;TEXT(H2496,"0"))</f>
        <v/>
      </c>
      <c r="AA2496" t="str">
        <f>IF(Z2496="","",IFERROR(LOOKUP(2,1/(#REF!=Z2496),#REF!),""))</f>
        <v/>
      </c>
      <c r="AB2496" t="str">
        <f>IF(Z2496="","",IFERROR(LOOKUP(2,1/(#REF!=Z2496),#REF!),""))</f>
        <v/>
      </c>
      <c r="AC2496" t="str">
        <f>IF(Z2496="","",COUNTIF(#REF!,Z2496))</f>
        <v/>
      </c>
      <c r="AD2496" t="str">
        <f>IF(A2496="","",IF(AC2496&gt;1,"REVISAR DUPLICADO",IF(AA2496&lt;&gt;"","ACTUALIZADO POR EYR","SIN REPORTE EYR")))</f>
        <v/>
      </c>
    </row>
    <row r="2497" spans="11:30" x14ac:dyDescent="0.3">
      <c r="K2497" s="1" t="str">
        <f ca="1">IF(A2497="","",IF(OR(L2497="ENTREGADA",L2497="RETORNADA",L2497="ENTREGA DIGITAL"),0,MAX(0,5-NETWORKDAYS(H2497+1,TODAY()))))</f>
        <v/>
      </c>
      <c r="L2497" t="str">
        <f>IF(A2497="","",IFERROR(LOOKUP(2,1/(#REF!=Z2497),#REF!),Y2497))</f>
        <v/>
      </c>
      <c r="Z2497" t="str">
        <f>IF(A2497="","",TEXT(A2497,"0")&amp;"|"&amp;TEXT(H2497,"0"))</f>
        <v/>
      </c>
      <c r="AA2497" t="str">
        <f>IF(Z2497="","",IFERROR(LOOKUP(2,1/(#REF!=Z2497),#REF!),""))</f>
        <v/>
      </c>
      <c r="AB2497" t="str">
        <f>IF(Z2497="","",IFERROR(LOOKUP(2,1/(#REF!=Z2497),#REF!),""))</f>
        <v/>
      </c>
      <c r="AC2497" t="str">
        <f>IF(Z2497="","",COUNTIF(#REF!,Z2497))</f>
        <v/>
      </c>
      <c r="AD2497" t="str">
        <f>IF(A2497="","",IF(AC2497&gt;1,"REVISAR DUPLICADO",IF(AA2497&lt;&gt;"","ACTUALIZADO POR EYR","SIN REPORTE EYR")))</f>
        <v/>
      </c>
    </row>
    <row r="2498" spans="11:30" x14ac:dyDescent="0.3">
      <c r="K2498" s="1" t="str">
        <f ca="1">IF(A2498="","",IF(OR(L2498="ENTREGADA",L2498="RETORNADA",L2498="ENTREGA DIGITAL"),0,MAX(0,5-NETWORKDAYS(H2498+1,TODAY()))))</f>
        <v/>
      </c>
      <c r="L2498" t="str">
        <f>IF(A2498="","",IFERROR(LOOKUP(2,1/(#REF!=Z2498),#REF!),Y2498))</f>
        <v/>
      </c>
      <c r="Z2498" t="str">
        <f>IF(A2498="","",TEXT(A2498,"0")&amp;"|"&amp;TEXT(H2498,"0"))</f>
        <v/>
      </c>
      <c r="AA2498" t="str">
        <f>IF(Z2498="","",IFERROR(LOOKUP(2,1/(#REF!=Z2498),#REF!),""))</f>
        <v/>
      </c>
      <c r="AB2498" t="str">
        <f>IF(Z2498="","",IFERROR(LOOKUP(2,1/(#REF!=Z2498),#REF!),""))</f>
        <v/>
      </c>
      <c r="AC2498" t="str">
        <f>IF(Z2498="","",COUNTIF(#REF!,Z2498))</f>
        <v/>
      </c>
      <c r="AD2498" t="str">
        <f>IF(A2498="","",IF(AC2498&gt;1,"REVISAR DUPLICADO",IF(AA2498&lt;&gt;"","ACTUALIZADO POR EYR","SIN REPORTE EYR")))</f>
        <v/>
      </c>
    </row>
    <row r="2499" spans="11:30" x14ac:dyDescent="0.3">
      <c r="K2499" s="1" t="str">
        <f ca="1">IF(A2499="","",IF(OR(L2499="ENTREGADA",L2499="RETORNADA",L2499="ENTREGA DIGITAL"),0,MAX(0,5-NETWORKDAYS(H2499+1,TODAY()))))</f>
        <v/>
      </c>
      <c r="L2499" t="str">
        <f>IF(A2499="","",IFERROR(LOOKUP(2,1/(#REF!=Z2499),#REF!),Y2499))</f>
        <v/>
      </c>
      <c r="Z2499" t="str">
        <f>IF(A2499="","",TEXT(A2499,"0")&amp;"|"&amp;TEXT(H2499,"0"))</f>
        <v/>
      </c>
      <c r="AA2499" t="str">
        <f>IF(Z2499="","",IFERROR(LOOKUP(2,1/(#REF!=Z2499),#REF!),""))</f>
        <v/>
      </c>
      <c r="AB2499" t="str">
        <f>IF(Z2499="","",IFERROR(LOOKUP(2,1/(#REF!=Z2499),#REF!),""))</f>
        <v/>
      </c>
      <c r="AC2499" t="str">
        <f>IF(Z2499="","",COUNTIF(#REF!,Z2499))</f>
        <v/>
      </c>
      <c r="AD2499" t="str">
        <f>IF(A2499="","",IF(AC2499&gt;1,"REVISAR DUPLICADO",IF(AA2499&lt;&gt;"","ACTUALIZADO POR EYR","SIN REPORTE EYR")))</f>
        <v/>
      </c>
    </row>
    <row r="2500" spans="11:30" x14ac:dyDescent="0.3">
      <c r="K2500" s="1" t="str">
        <f ca="1">IF(A2500="","",IF(OR(L2500="ENTREGADA",L2500="RETORNADA",L2500="ENTREGA DIGITAL"),0,MAX(0,5-NETWORKDAYS(H2500+1,TODAY()))))</f>
        <v/>
      </c>
      <c r="L2500" t="str">
        <f>IF(A2500="","",IFERROR(LOOKUP(2,1/(#REF!=Z2500),#REF!),Y2500))</f>
        <v/>
      </c>
      <c r="Z2500" t="str">
        <f>IF(A2500="","",TEXT(A2500,"0")&amp;"|"&amp;TEXT(H2500,"0"))</f>
        <v/>
      </c>
      <c r="AA2500" t="str">
        <f>IF(Z2500="","",IFERROR(LOOKUP(2,1/(#REF!=Z2500),#REF!),""))</f>
        <v/>
      </c>
      <c r="AB2500" t="str">
        <f>IF(Z2500="","",IFERROR(LOOKUP(2,1/(#REF!=Z2500),#REF!),""))</f>
        <v/>
      </c>
      <c r="AC2500" t="str">
        <f>IF(Z2500="","",COUNTIF(#REF!,Z2500))</f>
        <v/>
      </c>
      <c r="AD2500" t="str">
        <f>IF(A2500="","",IF(AC2500&gt;1,"REVISAR DUPLICADO",IF(AA2500&lt;&gt;"","ACTUALIZADO POR EYR","SIN REPORTE EYR")))</f>
        <v/>
      </c>
    </row>
    <row r="2501" spans="11:30" x14ac:dyDescent="0.3">
      <c r="K2501" s="1" t="str">
        <f ca="1">IF(A2501="","",IF(OR(L2501="ENTREGADA",L2501="RETORNADA",L2501="ENTREGA DIGITAL"),0,MAX(0,5-NETWORKDAYS(H2501+1,TODAY()))))</f>
        <v/>
      </c>
      <c r="L2501" t="str">
        <f>IF(A2501="","",IFERROR(LOOKUP(2,1/(#REF!=Z2501),#REF!),Y2501))</f>
        <v/>
      </c>
      <c r="Z2501" t="str">
        <f>IF(A2501="","",TEXT(A2501,"0")&amp;"|"&amp;TEXT(H2501,"0"))</f>
        <v/>
      </c>
      <c r="AA2501" t="str">
        <f>IF(Z2501="","",IFERROR(LOOKUP(2,1/(#REF!=Z2501),#REF!),""))</f>
        <v/>
      </c>
      <c r="AB2501" t="str">
        <f>IF(Z2501="","",IFERROR(LOOKUP(2,1/(#REF!=Z2501),#REF!),""))</f>
        <v/>
      </c>
      <c r="AC2501" t="str">
        <f>IF(Z2501="","",COUNTIF(#REF!,Z2501))</f>
        <v/>
      </c>
      <c r="AD2501" t="str">
        <f>IF(A2501="","",IF(AC2501&gt;1,"REVISAR DUPLICADO",IF(AA2501&lt;&gt;"","ACTUALIZADO POR EYR","SIN REPORTE EYR")))</f>
        <v/>
      </c>
    </row>
    <row r="2502" spans="11:30" x14ac:dyDescent="0.3">
      <c r="K2502" s="1" t="str">
        <f ca="1">IF(A2502="","",IF(OR(L2502="ENTREGADA",L2502="RETORNADA",L2502="ENTREGA DIGITAL"),0,MAX(0,5-NETWORKDAYS(H2502+1,TODAY()))))</f>
        <v/>
      </c>
      <c r="L2502" t="str">
        <f>IF(A2502="","",IFERROR(LOOKUP(2,1/(#REF!=Z2502),#REF!),Y2502))</f>
        <v/>
      </c>
      <c r="Z2502" t="str">
        <f>IF(A2502="","",TEXT(A2502,"0")&amp;"|"&amp;TEXT(H2502,"0"))</f>
        <v/>
      </c>
      <c r="AA2502" t="str">
        <f>IF(Z2502="","",IFERROR(LOOKUP(2,1/(#REF!=Z2502),#REF!),""))</f>
        <v/>
      </c>
      <c r="AB2502" t="str">
        <f>IF(Z2502="","",IFERROR(LOOKUP(2,1/(#REF!=Z2502),#REF!),""))</f>
        <v/>
      </c>
      <c r="AC2502" t="str">
        <f>IF(Z2502="","",COUNTIF(#REF!,Z2502))</f>
        <v/>
      </c>
      <c r="AD2502" t="str">
        <f>IF(A2502="","",IF(AC2502&gt;1,"REVISAR DUPLICADO",IF(AA2502&lt;&gt;"","ACTUALIZADO POR EYR","SIN REPORTE EYR")))</f>
        <v/>
      </c>
    </row>
    <row r="2503" spans="11:30" x14ac:dyDescent="0.3">
      <c r="K2503" s="1" t="str">
        <f ca="1">IF(A2503="","",IF(OR(L2503="ENTREGADA",L2503="RETORNADA",L2503="ENTREGA DIGITAL"),0,MAX(0,5-NETWORKDAYS(H2503+1,TODAY()))))</f>
        <v/>
      </c>
      <c r="L2503" t="str">
        <f>IF(A2503="","",IFERROR(LOOKUP(2,1/(#REF!=Z2503),#REF!),Y2503))</f>
        <v/>
      </c>
      <c r="Z2503" t="str">
        <f>IF(A2503="","",TEXT(A2503,"0")&amp;"|"&amp;TEXT(H2503,"0"))</f>
        <v/>
      </c>
      <c r="AA2503" t="str">
        <f>IF(Z2503="","",IFERROR(LOOKUP(2,1/(#REF!=Z2503),#REF!),""))</f>
        <v/>
      </c>
      <c r="AB2503" t="str">
        <f>IF(Z2503="","",IFERROR(LOOKUP(2,1/(#REF!=Z2503),#REF!),""))</f>
        <v/>
      </c>
      <c r="AC2503" t="str">
        <f>IF(Z2503="","",COUNTIF(#REF!,Z2503))</f>
        <v/>
      </c>
      <c r="AD2503" t="str">
        <f>IF(A2503="","",IF(AC2503&gt;1,"REVISAR DUPLICADO",IF(AA2503&lt;&gt;"","ACTUALIZADO POR EYR","SIN REPORTE EYR")))</f>
        <v/>
      </c>
    </row>
    <row r="2504" spans="11:30" x14ac:dyDescent="0.3">
      <c r="K2504" s="1" t="str">
        <f ca="1">IF(A2504="","",IF(OR(L2504="ENTREGADA",L2504="RETORNADA",L2504="ENTREGA DIGITAL"),0,MAX(0,5-NETWORKDAYS(H2504+1,TODAY()))))</f>
        <v/>
      </c>
      <c r="L2504" t="str">
        <f>IF(A2504="","",IFERROR(LOOKUP(2,1/(#REF!=Z2504),#REF!),Y2504))</f>
        <v/>
      </c>
      <c r="Z2504" t="str">
        <f>IF(A2504="","",TEXT(A2504,"0")&amp;"|"&amp;TEXT(H2504,"0"))</f>
        <v/>
      </c>
      <c r="AA2504" t="str">
        <f>IF(Z2504="","",IFERROR(LOOKUP(2,1/(#REF!=Z2504),#REF!),""))</f>
        <v/>
      </c>
      <c r="AB2504" t="str">
        <f>IF(Z2504="","",IFERROR(LOOKUP(2,1/(#REF!=Z2504),#REF!),""))</f>
        <v/>
      </c>
      <c r="AC2504" t="str">
        <f>IF(Z2504="","",COUNTIF(#REF!,Z2504))</f>
        <v/>
      </c>
      <c r="AD2504" t="str">
        <f>IF(A2504="","",IF(AC2504&gt;1,"REVISAR DUPLICADO",IF(AA2504&lt;&gt;"","ACTUALIZADO POR EYR","SIN REPORTE EYR")))</f>
        <v/>
      </c>
    </row>
    <row r="2505" spans="11:30" x14ac:dyDescent="0.3">
      <c r="K2505" s="1" t="str">
        <f ca="1">IF(A2505="","",IF(OR(L2505="ENTREGADA",L2505="RETORNADA",L2505="ENTREGA DIGITAL"),0,MAX(0,5-NETWORKDAYS(H2505+1,TODAY()))))</f>
        <v/>
      </c>
      <c r="L2505" t="str">
        <f>IF(A2505="","",IFERROR(LOOKUP(2,1/(#REF!=Z2505),#REF!),Y2505))</f>
        <v/>
      </c>
      <c r="Z2505" t="str">
        <f>IF(A2505="","",TEXT(A2505,"0")&amp;"|"&amp;TEXT(H2505,"0"))</f>
        <v/>
      </c>
      <c r="AA2505" t="str">
        <f>IF(Z2505="","",IFERROR(LOOKUP(2,1/(#REF!=Z2505),#REF!),""))</f>
        <v/>
      </c>
      <c r="AB2505" t="str">
        <f>IF(Z2505="","",IFERROR(LOOKUP(2,1/(#REF!=Z2505),#REF!),""))</f>
        <v/>
      </c>
      <c r="AC2505" t="str">
        <f>IF(Z2505="","",COUNTIF(#REF!,Z2505))</f>
        <v/>
      </c>
      <c r="AD2505" t="str">
        <f>IF(A2505="","",IF(AC2505&gt;1,"REVISAR DUPLICADO",IF(AA2505&lt;&gt;"","ACTUALIZADO POR EYR","SIN REPORTE EYR")))</f>
        <v/>
      </c>
    </row>
    <row r="2506" spans="11:30" x14ac:dyDescent="0.3">
      <c r="K2506" s="1" t="str">
        <f ca="1">IF(A2506="","",IF(OR(L2506="ENTREGADA",L2506="RETORNADA",L2506="ENTREGA DIGITAL"),0,MAX(0,5-NETWORKDAYS(H2506+1,TODAY()))))</f>
        <v/>
      </c>
      <c r="L2506" t="str">
        <f>IF(A2506="","",IFERROR(LOOKUP(2,1/(#REF!=Z2506),#REF!),Y2506))</f>
        <v/>
      </c>
      <c r="Z2506" t="str">
        <f>IF(A2506="","",TEXT(A2506,"0")&amp;"|"&amp;TEXT(H2506,"0"))</f>
        <v/>
      </c>
      <c r="AA2506" t="str">
        <f>IF(Z2506="","",IFERROR(LOOKUP(2,1/(#REF!=Z2506),#REF!),""))</f>
        <v/>
      </c>
      <c r="AB2506" t="str">
        <f>IF(Z2506="","",IFERROR(LOOKUP(2,1/(#REF!=Z2506),#REF!),""))</f>
        <v/>
      </c>
      <c r="AC2506" t="str">
        <f>IF(Z2506="","",COUNTIF(#REF!,Z2506))</f>
        <v/>
      </c>
      <c r="AD2506" t="str">
        <f>IF(A2506="","",IF(AC2506&gt;1,"REVISAR DUPLICADO",IF(AA2506&lt;&gt;"","ACTUALIZADO POR EYR","SIN REPORTE EYR")))</f>
        <v/>
      </c>
    </row>
    <row r="2507" spans="11:30" x14ac:dyDescent="0.3">
      <c r="K2507" s="1" t="str">
        <f ca="1">IF(A2507="","",IF(OR(L2507="ENTREGADA",L2507="RETORNADA",L2507="ENTREGA DIGITAL"),0,MAX(0,5-NETWORKDAYS(H2507+1,TODAY()))))</f>
        <v/>
      </c>
      <c r="L2507" t="str">
        <f>IF(A2507="","",IFERROR(LOOKUP(2,1/(#REF!=Z2507),#REF!),Y2507))</f>
        <v/>
      </c>
      <c r="Z2507" t="str">
        <f>IF(A2507="","",TEXT(A2507,"0")&amp;"|"&amp;TEXT(H2507,"0"))</f>
        <v/>
      </c>
      <c r="AA2507" t="str">
        <f>IF(Z2507="","",IFERROR(LOOKUP(2,1/(#REF!=Z2507),#REF!),""))</f>
        <v/>
      </c>
      <c r="AB2507" t="str">
        <f>IF(Z2507="","",IFERROR(LOOKUP(2,1/(#REF!=Z2507),#REF!),""))</f>
        <v/>
      </c>
      <c r="AC2507" t="str">
        <f>IF(Z2507="","",COUNTIF(#REF!,Z2507))</f>
        <v/>
      </c>
      <c r="AD2507" t="str">
        <f>IF(A2507="","",IF(AC2507&gt;1,"REVISAR DUPLICADO",IF(AA2507&lt;&gt;"","ACTUALIZADO POR EYR","SIN REPORTE EYR")))</f>
        <v/>
      </c>
    </row>
    <row r="2508" spans="11:30" x14ac:dyDescent="0.3">
      <c r="K2508" s="1" t="str">
        <f ca="1">IF(A2508="","",IF(OR(L2508="ENTREGADA",L2508="RETORNADA",L2508="ENTREGA DIGITAL"),0,MAX(0,5-NETWORKDAYS(H2508+1,TODAY()))))</f>
        <v/>
      </c>
      <c r="L2508" t="str">
        <f>IF(A2508="","",IFERROR(LOOKUP(2,1/(#REF!=Z2508),#REF!),Y2508))</f>
        <v/>
      </c>
      <c r="Z2508" t="str">
        <f>IF(A2508="","",TEXT(A2508,"0")&amp;"|"&amp;TEXT(H2508,"0"))</f>
        <v/>
      </c>
      <c r="AA2508" t="str">
        <f>IF(Z2508="","",IFERROR(LOOKUP(2,1/(#REF!=Z2508),#REF!),""))</f>
        <v/>
      </c>
      <c r="AB2508" t="str">
        <f>IF(Z2508="","",IFERROR(LOOKUP(2,1/(#REF!=Z2508),#REF!),""))</f>
        <v/>
      </c>
      <c r="AC2508" t="str">
        <f>IF(Z2508="","",COUNTIF(#REF!,Z2508))</f>
        <v/>
      </c>
      <c r="AD2508" t="str">
        <f>IF(A2508="","",IF(AC2508&gt;1,"REVISAR DUPLICADO",IF(AA2508&lt;&gt;"","ACTUALIZADO POR EYR","SIN REPORTE EYR")))</f>
        <v/>
      </c>
    </row>
    <row r="2509" spans="11:30" x14ac:dyDescent="0.3">
      <c r="K2509" s="1" t="str">
        <f ca="1">IF(A2509="","",IF(OR(L2509="ENTREGADA",L2509="RETORNADA",L2509="ENTREGA DIGITAL"),0,MAX(0,5-NETWORKDAYS(H2509+1,TODAY()))))</f>
        <v/>
      </c>
      <c r="L2509" t="str">
        <f>IF(A2509="","",IFERROR(LOOKUP(2,1/(#REF!=Z2509),#REF!),Y2509))</f>
        <v/>
      </c>
      <c r="Z2509" t="str">
        <f>IF(A2509="","",TEXT(A2509,"0")&amp;"|"&amp;TEXT(H2509,"0"))</f>
        <v/>
      </c>
      <c r="AA2509" t="str">
        <f>IF(Z2509="","",IFERROR(LOOKUP(2,1/(#REF!=Z2509),#REF!),""))</f>
        <v/>
      </c>
      <c r="AB2509" t="str">
        <f>IF(Z2509="","",IFERROR(LOOKUP(2,1/(#REF!=Z2509),#REF!),""))</f>
        <v/>
      </c>
      <c r="AC2509" t="str">
        <f>IF(Z2509="","",COUNTIF(#REF!,Z2509))</f>
        <v/>
      </c>
      <c r="AD2509" t="str">
        <f>IF(A2509="","",IF(AC2509&gt;1,"REVISAR DUPLICADO",IF(AA2509&lt;&gt;"","ACTUALIZADO POR EYR","SIN REPORTE EYR")))</f>
        <v/>
      </c>
    </row>
    <row r="2510" spans="11:30" x14ac:dyDescent="0.3">
      <c r="K2510" s="1" t="str">
        <f ca="1">IF(A2510="","",IF(OR(L2510="ENTREGADA",L2510="RETORNADA",L2510="ENTREGA DIGITAL"),0,MAX(0,5-NETWORKDAYS(H2510+1,TODAY()))))</f>
        <v/>
      </c>
      <c r="L2510" t="str">
        <f>IF(A2510="","",IFERROR(LOOKUP(2,1/(#REF!=Z2510),#REF!),Y2510))</f>
        <v/>
      </c>
      <c r="Z2510" t="str">
        <f>IF(A2510="","",TEXT(A2510,"0")&amp;"|"&amp;TEXT(H2510,"0"))</f>
        <v/>
      </c>
      <c r="AA2510" t="str">
        <f>IF(Z2510="","",IFERROR(LOOKUP(2,1/(#REF!=Z2510),#REF!),""))</f>
        <v/>
      </c>
      <c r="AB2510" t="str">
        <f>IF(Z2510="","",IFERROR(LOOKUP(2,1/(#REF!=Z2510),#REF!),""))</f>
        <v/>
      </c>
      <c r="AC2510" t="str">
        <f>IF(Z2510="","",COUNTIF(#REF!,Z2510))</f>
        <v/>
      </c>
      <c r="AD2510" t="str">
        <f>IF(A2510="","",IF(AC2510&gt;1,"REVISAR DUPLICADO",IF(AA2510&lt;&gt;"","ACTUALIZADO POR EYR","SIN REPORTE EYR")))</f>
        <v/>
      </c>
    </row>
    <row r="2511" spans="11:30" x14ac:dyDescent="0.3">
      <c r="K2511" s="1" t="str">
        <f ca="1">IF(A2511="","",IF(OR(L2511="ENTREGADA",L2511="RETORNADA",L2511="ENTREGA DIGITAL"),0,MAX(0,5-NETWORKDAYS(H2511+1,TODAY()))))</f>
        <v/>
      </c>
      <c r="L2511" t="str">
        <f>IF(A2511="","",IFERROR(LOOKUP(2,1/(#REF!=Z2511),#REF!),Y2511))</f>
        <v/>
      </c>
      <c r="Z2511" t="str">
        <f>IF(A2511="","",TEXT(A2511,"0")&amp;"|"&amp;TEXT(H2511,"0"))</f>
        <v/>
      </c>
      <c r="AA2511" t="str">
        <f>IF(Z2511="","",IFERROR(LOOKUP(2,1/(#REF!=Z2511),#REF!),""))</f>
        <v/>
      </c>
      <c r="AB2511" t="str">
        <f>IF(Z2511="","",IFERROR(LOOKUP(2,1/(#REF!=Z2511),#REF!),""))</f>
        <v/>
      </c>
      <c r="AC2511" t="str">
        <f>IF(Z2511="","",COUNTIF(#REF!,Z2511))</f>
        <v/>
      </c>
      <c r="AD2511" t="str">
        <f>IF(A2511="","",IF(AC2511&gt;1,"REVISAR DUPLICADO",IF(AA2511&lt;&gt;"","ACTUALIZADO POR EYR","SIN REPORTE EYR")))</f>
        <v/>
      </c>
    </row>
    <row r="2512" spans="11:30" x14ac:dyDescent="0.3">
      <c r="K2512" s="1" t="str">
        <f ca="1">IF(A2512="","",IF(OR(L2512="ENTREGADA",L2512="RETORNADA",L2512="ENTREGA DIGITAL"),0,MAX(0,5-NETWORKDAYS(H2512+1,TODAY()))))</f>
        <v/>
      </c>
      <c r="L2512" t="str">
        <f>IF(A2512="","",IFERROR(LOOKUP(2,1/(#REF!=Z2512),#REF!),Y2512))</f>
        <v/>
      </c>
      <c r="Z2512" t="str">
        <f>IF(A2512="","",TEXT(A2512,"0")&amp;"|"&amp;TEXT(H2512,"0"))</f>
        <v/>
      </c>
      <c r="AA2512" t="str">
        <f>IF(Z2512="","",IFERROR(LOOKUP(2,1/(#REF!=Z2512),#REF!),""))</f>
        <v/>
      </c>
      <c r="AB2512" t="str">
        <f>IF(Z2512="","",IFERROR(LOOKUP(2,1/(#REF!=Z2512),#REF!),""))</f>
        <v/>
      </c>
      <c r="AC2512" t="str">
        <f>IF(Z2512="","",COUNTIF(#REF!,Z2512))</f>
        <v/>
      </c>
      <c r="AD2512" t="str">
        <f>IF(A2512="","",IF(AC2512&gt;1,"REVISAR DUPLICADO",IF(AA2512&lt;&gt;"","ACTUALIZADO POR EYR","SIN REPORTE EYR")))</f>
        <v/>
      </c>
    </row>
    <row r="2513" spans="11:30" x14ac:dyDescent="0.3">
      <c r="K2513" s="1" t="str">
        <f ca="1">IF(A2513="","",IF(OR(L2513="ENTREGADA",L2513="RETORNADA",L2513="ENTREGA DIGITAL"),0,MAX(0,5-NETWORKDAYS(H2513+1,TODAY()))))</f>
        <v/>
      </c>
      <c r="L2513" t="str">
        <f>IF(A2513="","",IFERROR(LOOKUP(2,1/(#REF!=Z2513),#REF!),Y2513))</f>
        <v/>
      </c>
      <c r="Z2513" t="str">
        <f>IF(A2513="","",TEXT(A2513,"0")&amp;"|"&amp;TEXT(H2513,"0"))</f>
        <v/>
      </c>
      <c r="AA2513" t="str">
        <f>IF(Z2513="","",IFERROR(LOOKUP(2,1/(#REF!=Z2513),#REF!),""))</f>
        <v/>
      </c>
      <c r="AB2513" t="str">
        <f>IF(Z2513="","",IFERROR(LOOKUP(2,1/(#REF!=Z2513),#REF!),""))</f>
        <v/>
      </c>
      <c r="AC2513" t="str">
        <f>IF(Z2513="","",COUNTIF(#REF!,Z2513))</f>
        <v/>
      </c>
      <c r="AD2513" t="str">
        <f>IF(A2513="","",IF(AC2513&gt;1,"REVISAR DUPLICADO",IF(AA2513&lt;&gt;"","ACTUALIZADO POR EYR","SIN REPORTE EYR")))</f>
        <v/>
      </c>
    </row>
    <row r="2514" spans="11:30" x14ac:dyDescent="0.3">
      <c r="K2514" s="1" t="str">
        <f ca="1">IF(A2514="","",IF(OR(L2514="ENTREGADA",L2514="RETORNADA",L2514="ENTREGA DIGITAL"),0,MAX(0,5-NETWORKDAYS(H2514+1,TODAY()))))</f>
        <v/>
      </c>
      <c r="L2514" t="str">
        <f>IF(A2514="","",IFERROR(LOOKUP(2,1/(#REF!=Z2514),#REF!),Y2514))</f>
        <v/>
      </c>
      <c r="Z2514" t="str">
        <f>IF(A2514="","",TEXT(A2514,"0")&amp;"|"&amp;TEXT(H2514,"0"))</f>
        <v/>
      </c>
      <c r="AA2514" t="str">
        <f>IF(Z2514="","",IFERROR(LOOKUP(2,1/(#REF!=Z2514),#REF!),""))</f>
        <v/>
      </c>
      <c r="AB2514" t="str">
        <f>IF(Z2514="","",IFERROR(LOOKUP(2,1/(#REF!=Z2514),#REF!),""))</f>
        <v/>
      </c>
      <c r="AC2514" t="str">
        <f>IF(Z2514="","",COUNTIF(#REF!,Z2514))</f>
        <v/>
      </c>
      <c r="AD2514" t="str">
        <f>IF(A2514="","",IF(AC2514&gt;1,"REVISAR DUPLICADO",IF(AA2514&lt;&gt;"","ACTUALIZADO POR EYR","SIN REPORTE EYR")))</f>
        <v/>
      </c>
    </row>
    <row r="2515" spans="11:30" x14ac:dyDescent="0.3">
      <c r="K2515" s="1" t="str">
        <f ca="1">IF(A2515="","",IF(OR(L2515="ENTREGADA",L2515="RETORNADA",L2515="ENTREGA DIGITAL"),0,MAX(0,5-NETWORKDAYS(H2515+1,TODAY()))))</f>
        <v/>
      </c>
      <c r="L2515" t="str">
        <f>IF(A2515="","",IFERROR(LOOKUP(2,1/(#REF!=Z2515),#REF!),Y2515))</f>
        <v/>
      </c>
      <c r="Z2515" t="str">
        <f>IF(A2515="","",TEXT(A2515,"0")&amp;"|"&amp;TEXT(H2515,"0"))</f>
        <v/>
      </c>
      <c r="AA2515" t="str">
        <f>IF(Z2515="","",IFERROR(LOOKUP(2,1/(#REF!=Z2515),#REF!),""))</f>
        <v/>
      </c>
      <c r="AB2515" t="str">
        <f>IF(Z2515="","",IFERROR(LOOKUP(2,1/(#REF!=Z2515),#REF!),""))</f>
        <v/>
      </c>
      <c r="AC2515" t="str">
        <f>IF(Z2515="","",COUNTIF(#REF!,Z2515))</f>
        <v/>
      </c>
      <c r="AD2515" t="str">
        <f>IF(A2515="","",IF(AC2515&gt;1,"REVISAR DUPLICADO",IF(AA2515&lt;&gt;"","ACTUALIZADO POR EYR","SIN REPORTE EYR")))</f>
        <v/>
      </c>
    </row>
    <row r="2516" spans="11:30" x14ac:dyDescent="0.3">
      <c r="K2516" s="1" t="str">
        <f ca="1">IF(A2516="","",IF(OR(L2516="ENTREGADA",L2516="RETORNADA",L2516="ENTREGA DIGITAL"),0,MAX(0,5-NETWORKDAYS(H2516+1,TODAY()))))</f>
        <v/>
      </c>
      <c r="L2516" t="str">
        <f>IF(A2516="","",IFERROR(LOOKUP(2,1/(#REF!=Z2516),#REF!),Y2516))</f>
        <v/>
      </c>
      <c r="Z2516" t="str">
        <f>IF(A2516="","",TEXT(A2516,"0")&amp;"|"&amp;TEXT(H2516,"0"))</f>
        <v/>
      </c>
      <c r="AA2516" t="str">
        <f>IF(Z2516="","",IFERROR(LOOKUP(2,1/(#REF!=Z2516),#REF!),""))</f>
        <v/>
      </c>
      <c r="AB2516" t="str">
        <f>IF(Z2516="","",IFERROR(LOOKUP(2,1/(#REF!=Z2516),#REF!),""))</f>
        <v/>
      </c>
      <c r="AC2516" t="str">
        <f>IF(Z2516="","",COUNTIF(#REF!,Z2516))</f>
        <v/>
      </c>
      <c r="AD2516" t="str">
        <f>IF(A2516="","",IF(AC2516&gt;1,"REVISAR DUPLICADO",IF(AA2516&lt;&gt;"","ACTUALIZADO POR EYR","SIN REPORTE EYR")))</f>
        <v/>
      </c>
    </row>
    <row r="2517" spans="11:30" x14ac:dyDescent="0.3">
      <c r="K2517" s="1" t="str">
        <f ca="1">IF(A2517="","",IF(OR(L2517="ENTREGADA",L2517="RETORNADA",L2517="ENTREGA DIGITAL"),0,MAX(0,5-NETWORKDAYS(H2517+1,TODAY()))))</f>
        <v/>
      </c>
      <c r="L2517" t="str">
        <f>IF(A2517="","",IFERROR(LOOKUP(2,1/(#REF!=Z2517),#REF!),Y2517))</f>
        <v/>
      </c>
      <c r="Z2517" t="str">
        <f>IF(A2517="","",TEXT(A2517,"0")&amp;"|"&amp;TEXT(H2517,"0"))</f>
        <v/>
      </c>
      <c r="AA2517" t="str">
        <f>IF(Z2517="","",IFERROR(LOOKUP(2,1/(#REF!=Z2517),#REF!),""))</f>
        <v/>
      </c>
      <c r="AB2517" t="str">
        <f>IF(Z2517="","",IFERROR(LOOKUP(2,1/(#REF!=Z2517),#REF!),""))</f>
        <v/>
      </c>
      <c r="AC2517" t="str">
        <f>IF(Z2517="","",COUNTIF(#REF!,Z2517))</f>
        <v/>
      </c>
      <c r="AD2517" t="str">
        <f>IF(A2517="","",IF(AC2517&gt;1,"REVISAR DUPLICADO",IF(AA2517&lt;&gt;"","ACTUALIZADO POR EYR","SIN REPORTE EYR")))</f>
        <v/>
      </c>
    </row>
    <row r="2518" spans="11:30" x14ac:dyDescent="0.3">
      <c r="K2518" s="1" t="str">
        <f ca="1">IF(A2518="","",IF(OR(L2518="ENTREGADA",L2518="RETORNADA",L2518="ENTREGA DIGITAL"),0,MAX(0,5-NETWORKDAYS(H2518+1,TODAY()))))</f>
        <v/>
      </c>
      <c r="L2518" t="str">
        <f>IF(A2518="","",IFERROR(LOOKUP(2,1/(#REF!=Z2518),#REF!),Y2518))</f>
        <v/>
      </c>
      <c r="Z2518" t="str">
        <f>IF(A2518="","",TEXT(A2518,"0")&amp;"|"&amp;TEXT(H2518,"0"))</f>
        <v/>
      </c>
      <c r="AA2518" t="str">
        <f>IF(Z2518="","",IFERROR(LOOKUP(2,1/(#REF!=Z2518),#REF!),""))</f>
        <v/>
      </c>
      <c r="AB2518" t="str">
        <f>IF(Z2518="","",IFERROR(LOOKUP(2,1/(#REF!=Z2518),#REF!),""))</f>
        <v/>
      </c>
      <c r="AC2518" t="str">
        <f>IF(Z2518="","",COUNTIF(#REF!,Z2518))</f>
        <v/>
      </c>
      <c r="AD2518" t="str">
        <f>IF(A2518="","",IF(AC2518&gt;1,"REVISAR DUPLICADO",IF(AA2518&lt;&gt;"","ACTUALIZADO POR EYR","SIN REPORTE EYR")))</f>
        <v/>
      </c>
    </row>
    <row r="2519" spans="11:30" x14ac:dyDescent="0.3">
      <c r="K2519" s="1" t="str">
        <f ca="1">IF(A2519="","",IF(OR(L2519="ENTREGADA",L2519="RETORNADA",L2519="ENTREGA DIGITAL"),0,MAX(0,5-NETWORKDAYS(H2519+1,TODAY()))))</f>
        <v/>
      </c>
      <c r="L2519" t="str">
        <f>IF(A2519="","",IFERROR(LOOKUP(2,1/(#REF!=Z2519),#REF!),Y2519))</f>
        <v/>
      </c>
      <c r="Z2519" t="str">
        <f>IF(A2519="","",TEXT(A2519,"0")&amp;"|"&amp;TEXT(H2519,"0"))</f>
        <v/>
      </c>
      <c r="AA2519" t="str">
        <f>IF(Z2519="","",IFERROR(LOOKUP(2,1/(#REF!=Z2519),#REF!),""))</f>
        <v/>
      </c>
      <c r="AB2519" t="str">
        <f>IF(Z2519="","",IFERROR(LOOKUP(2,1/(#REF!=Z2519),#REF!),""))</f>
        <v/>
      </c>
      <c r="AC2519" t="str">
        <f>IF(Z2519="","",COUNTIF(#REF!,Z2519))</f>
        <v/>
      </c>
      <c r="AD2519" t="str">
        <f>IF(A2519="","",IF(AC2519&gt;1,"REVISAR DUPLICADO",IF(AA2519&lt;&gt;"","ACTUALIZADO POR EYR","SIN REPORTE EYR")))</f>
        <v/>
      </c>
    </row>
    <row r="2520" spans="11:30" x14ac:dyDescent="0.3">
      <c r="K2520" s="1" t="str">
        <f ca="1">IF(A2520="","",IF(OR(L2520="ENTREGADA",L2520="RETORNADA",L2520="ENTREGA DIGITAL"),0,MAX(0,5-NETWORKDAYS(H2520+1,TODAY()))))</f>
        <v/>
      </c>
      <c r="L2520" t="str">
        <f>IF(A2520="","",IFERROR(LOOKUP(2,1/(#REF!=Z2520),#REF!),Y2520))</f>
        <v/>
      </c>
      <c r="Z2520" t="str">
        <f>IF(A2520="","",TEXT(A2520,"0")&amp;"|"&amp;TEXT(H2520,"0"))</f>
        <v/>
      </c>
      <c r="AA2520" t="str">
        <f>IF(Z2520="","",IFERROR(LOOKUP(2,1/(#REF!=Z2520),#REF!),""))</f>
        <v/>
      </c>
      <c r="AB2520" t="str">
        <f>IF(Z2520="","",IFERROR(LOOKUP(2,1/(#REF!=Z2520),#REF!),""))</f>
        <v/>
      </c>
      <c r="AC2520" t="str">
        <f>IF(Z2520="","",COUNTIF(#REF!,Z2520))</f>
        <v/>
      </c>
      <c r="AD2520" t="str">
        <f>IF(A2520="","",IF(AC2520&gt;1,"REVISAR DUPLICADO",IF(AA2520&lt;&gt;"","ACTUALIZADO POR EYR","SIN REPORTE EYR")))</f>
        <v/>
      </c>
    </row>
    <row r="2521" spans="11:30" x14ac:dyDescent="0.3">
      <c r="K2521" s="1" t="str">
        <f ca="1">IF(A2521="","",IF(OR(L2521="ENTREGADA",L2521="RETORNADA",L2521="ENTREGA DIGITAL"),0,MAX(0,5-NETWORKDAYS(H2521+1,TODAY()))))</f>
        <v/>
      </c>
      <c r="L2521" t="str">
        <f>IF(A2521="","",IFERROR(LOOKUP(2,1/(#REF!=Z2521),#REF!),Y2521))</f>
        <v/>
      </c>
      <c r="Z2521" t="str">
        <f>IF(A2521="","",TEXT(A2521,"0")&amp;"|"&amp;TEXT(H2521,"0"))</f>
        <v/>
      </c>
      <c r="AA2521" t="str">
        <f>IF(Z2521="","",IFERROR(LOOKUP(2,1/(#REF!=Z2521),#REF!),""))</f>
        <v/>
      </c>
      <c r="AB2521" t="str">
        <f>IF(Z2521="","",IFERROR(LOOKUP(2,1/(#REF!=Z2521),#REF!),""))</f>
        <v/>
      </c>
      <c r="AC2521" t="str">
        <f>IF(Z2521="","",COUNTIF(#REF!,Z2521))</f>
        <v/>
      </c>
      <c r="AD2521" t="str">
        <f>IF(A2521="","",IF(AC2521&gt;1,"REVISAR DUPLICADO",IF(AA2521&lt;&gt;"","ACTUALIZADO POR EYR","SIN REPORTE EYR")))</f>
        <v/>
      </c>
    </row>
    <row r="2522" spans="11:30" x14ac:dyDescent="0.3">
      <c r="K2522" s="1" t="str">
        <f ca="1">IF(A2522="","",IF(OR(L2522="ENTREGADA",L2522="RETORNADA",L2522="ENTREGA DIGITAL"),0,MAX(0,5-NETWORKDAYS(H2522+1,TODAY()))))</f>
        <v/>
      </c>
      <c r="L2522" t="str">
        <f>IF(A2522="","",IFERROR(LOOKUP(2,1/(#REF!=Z2522),#REF!),Y2522))</f>
        <v/>
      </c>
      <c r="Z2522" t="str">
        <f>IF(A2522="","",TEXT(A2522,"0")&amp;"|"&amp;TEXT(H2522,"0"))</f>
        <v/>
      </c>
      <c r="AA2522" t="str">
        <f>IF(Z2522="","",IFERROR(LOOKUP(2,1/(#REF!=Z2522),#REF!),""))</f>
        <v/>
      </c>
      <c r="AB2522" t="str">
        <f>IF(Z2522="","",IFERROR(LOOKUP(2,1/(#REF!=Z2522),#REF!),""))</f>
        <v/>
      </c>
      <c r="AC2522" t="str">
        <f>IF(Z2522="","",COUNTIF(#REF!,Z2522))</f>
        <v/>
      </c>
      <c r="AD2522" t="str">
        <f>IF(A2522="","",IF(AC2522&gt;1,"REVISAR DUPLICADO",IF(AA2522&lt;&gt;"","ACTUALIZADO POR EYR","SIN REPORTE EYR")))</f>
        <v/>
      </c>
    </row>
    <row r="2523" spans="11:30" x14ac:dyDescent="0.3">
      <c r="K2523" s="1" t="str">
        <f ca="1">IF(A2523="","",IF(OR(L2523="ENTREGADA",L2523="RETORNADA",L2523="ENTREGA DIGITAL"),0,MAX(0,5-NETWORKDAYS(H2523+1,TODAY()))))</f>
        <v/>
      </c>
      <c r="L2523" t="str">
        <f>IF(A2523="","",IFERROR(LOOKUP(2,1/(#REF!=Z2523),#REF!),Y2523))</f>
        <v/>
      </c>
      <c r="Z2523" t="str">
        <f>IF(A2523="","",TEXT(A2523,"0")&amp;"|"&amp;TEXT(H2523,"0"))</f>
        <v/>
      </c>
      <c r="AA2523" t="str">
        <f>IF(Z2523="","",IFERROR(LOOKUP(2,1/(#REF!=Z2523),#REF!),""))</f>
        <v/>
      </c>
      <c r="AB2523" t="str">
        <f>IF(Z2523="","",IFERROR(LOOKUP(2,1/(#REF!=Z2523),#REF!),""))</f>
        <v/>
      </c>
      <c r="AC2523" t="str">
        <f>IF(Z2523="","",COUNTIF(#REF!,Z2523))</f>
        <v/>
      </c>
      <c r="AD2523" t="str">
        <f>IF(A2523="","",IF(AC2523&gt;1,"REVISAR DUPLICADO",IF(AA2523&lt;&gt;"","ACTUALIZADO POR EYR","SIN REPORTE EYR")))</f>
        <v/>
      </c>
    </row>
    <row r="2524" spans="11:30" x14ac:dyDescent="0.3">
      <c r="K2524" s="1" t="str">
        <f ca="1">IF(A2524="","",IF(OR(L2524="ENTREGADA",L2524="RETORNADA",L2524="ENTREGA DIGITAL"),0,MAX(0,5-NETWORKDAYS(H2524+1,TODAY()))))</f>
        <v/>
      </c>
      <c r="L2524" t="str">
        <f>IF(A2524="","",IFERROR(LOOKUP(2,1/(#REF!=Z2524),#REF!),Y2524))</f>
        <v/>
      </c>
      <c r="Z2524" t="str">
        <f>IF(A2524="","",TEXT(A2524,"0")&amp;"|"&amp;TEXT(H2524,"0"))</f>
        <v/>
      </c>
      <c r="AA2524" t="str">
        <f>IF(Z2524="","",IFERROR(LOOKUP(2,1/(#REF!=Z2524),#REF!),""))</f>
        <v/>
      </c>
      <c r="AB2524" t="str">
        <f>IF(Z2524="","",IFERROR(LOOKUP(2,1/(#REF!=Z2524),#REF!),""))</f>
        <v/>
      </c>
      <c r="AC2524" t="str">
        <f>IF(Z2524="","",COUNTIF(#REF!,Z2524))</f>
        <v/>
      </c>
      <c r="AD2524" t="str">
        <f>IF(A2524="","",IF(AC2524&gt;1,"REVISAR DUPLICADO",IF(AA2524&lt;&gt;"","ACTUALIZADO POR EYR","SIN REPORTE EYR")))</f>
        <v/>
      </c>
    </row>
    <row r="2525" spans="11:30" x14ac:dyDescent="0.3">
      <c r="K2525" s="1" t="str">
        <f ca="1">IF(A2525="","",IF(OR(L2525="ENTREGADA",L2525="RETORNADA",L2525="ENTREGA DIGITAL"),0,MAX(0,5-NETWORKDAYS(H2525+1,TODAY()))))</f>
        <v/>
      </c>
      <c r="L2525" t="str">
        <f>IF(A2525="","",IFERROR(LOOKUP(2,1/(#REF!=Z2525),#REF!),Y2525))</f>
        <v/>
      </c>
      <c r="Z2525" t="str">
        <f>IF(A2525="","",TEXT(A2525,"0")&amp;"|"&amp;TEXT(H2525,"0"))</f>
        <v/>
      </c>
      <c r="AA2525" t="str">
        <f>IF(Z2525="","",IFERROR(LOOKUP(2,1/(#REF!=Z2525),#REF!),""))</f>
        <v/>
      </c>
      <c r="AB2525" t="str">
        <f>IF(Z2525="","",IFERROR(LOOKUP(2,1/(#REF!=Z2525),#REF!),""))</f>
        <v/>
      </c>
      <c r="AC2525" t="str">
        <f>IF(Z2525="","",COUNTIF(#REF!,Z2525))</f>
        <v/>
      </c>
      <c r="AD2525" t="str">
        <f>IF(A2525="","",IF(AC2525&gt;1,"REVISAR DUPLICADO",IF(AA2525&lt;&gt;"","ACTUALIZADO POR EYR","SIN REPORTE EYR")))</f>
        <v/>
      </c>
    </row>
    <row r="2526" spans="11:30" x14ac:dyDescent="0.3">
      <c r="K2526" s="1" t="str">
        <f ca="1">IF(A2526="","",IF(OR(L2526="ENTREGADA",L2526="RETORNADA",L2526="ENTREGA DIGITAL"),0,MAX(0,5-NETWORKDAYS(H2526+1,TODAY()))))</f>
        <v/>
      </c>
      <c r="L2526" t="str">
        <f>IF(A2526="","",IFERROR(LOOKUP(2,1/(#REF!=Z2526),#REF!),Y2526))</f>
        <v/>
      </c>
      <c r="Z2526" t="str">
        <f>IF(A2526="","",TEXT(A2526,"0")&amp;"|"&amp;TEXT(H2526,"0"))</f>
        <v/>
      </c>
      <c r="AA2526" t="str">
        <f>IF(Z2526="","",IFERROR(LOOKUP(2,1/(#REF!=Z2526),#REF!),""))</f>
        <v/>
      </c>
      <c r="AB2526" t="str">
        <f>IF(Z2526="","",IFERROR(LOOKUP(2,1/(#REF!=Z2526),#REF!),""))</f>
        <v/>
      </c>
      <c r="AC2526" t="str">
        <f>IF(Z2526="","",COUNTIF(#REF!,Z2526))</f>
        <v/>
      </c>
      <c r="AD2526" t="str">
        <f>IF(A2526="","",IF(AC2526&gt;1,"REVISAR DUPLICADO",IF(AA2526&lt;&gt;"","ACTUALIZADO POR EYR","SIN REPORTE EYR")))</f>
        <v/>
      </c>
    </row>
    <row r="2527" spans="11:30" x14ac:dyDescent="0.3">
      <c r="K2527" s="1" t="str">
        <f ca="1">IF(A2527="","",IF(OR(L2527="ENTREGADA",L2527="RETORNADA",L2527="ENTREGA DIGITAL"),0,MAX(0,5-NETWORKDAYS(H2527+1,TODAY()))))</f>
        <v/>
      </c>
      <c r="L2527" t="str">
        <f>IF(A2527="","",IFERROR(LOOKUP(2,1/(#REF!=Z2527),#REF!),Y2527))</f>
        <v/>
      </c>
      <c r="Z2527" t="str">
        <f>IF(A2527="","",TEXT(A2527,"0")&amp;"|"&amp;TEXT(H2527,"0"))</f>
        <v/>
      </c>
      <c r="AA2527" t="str">
        <f>IF(Z2527="","",IFERROR(LOOKUP(2,1/(#REF!=Z2527),#REF!),""))</f>
        <v/>
      </c>
      <c r="AB2527" t="str">
        <f>IF(Z2527="","",IFERROR(LOOKUP(2,1/(#REF!=Z2527),#REF!),""))</f>
        <v/>
      </c>
      <c r="AC2527" t="str">
        <f>IF(Z2527="","",COUNTIF(#REF!,Z2527))</f>
        <v/>
      </c>
      <c r="AD2527" t="str">
        <f>IF(A2527="","",IF(AC2527&gt;1,"REVISAR DUPLICADO",IF(AA2527&lt;&gt;"","ACTUALIZADO POR EYR","SIN REPORTE EYR")))</f>
        <v/>
      </c>
    </row>
    <row r="2528" spans="11:30" x14ac:dyDescent="0.3">
      <c r="K2528" s="1" t="str">
        <f ca="1">IF(A2528="","",IF(OR(L2528="ENTREGADA",L2528="RETORNADA",L2528="ENTREGA DIGITAL"),0,MAX(0,5-NETWORKDAYS(H2528+1,TODAY()))))</f>
        <v/>
      </c>
      <c r="L2528" t="str">
        <f>IF(A2528="","",IFERROR(LOOKUP(2,1/(#REF!=Z2528),#REF!),Y2528))</f>
        <v/>
      </c>
      <c r="Z2528" t="str">
        <f>IF(A2528="","",TEXT(A2528,"0")&amp;"|"&amp;TEXT(H2528,"0"))</f>
        <v/>
      </c>
      <c r="AA2528" t="str">
        <f>IF(Z2528="","",IFERROR(LOOKUP(2,1/(#REF!=Z2528),#REF!),""))</f>
        <v/>
      </c>
      <c r="AB2528" t="str">
        <f>IF(Z2528="","",IFERROR(LOOKUP(2,1/(#REF!=Z2528),#REF!),""))</f>
        <v/>
      </c>
      <c r="AC2528" t="str">
        <f>IF(Z2528="","",COUNTIF(#REF!,Z2528))</f>
        <v/>
      </c>
      <c r="AD2528" t="str">
        <f>IF(A2528="","",IF(AC2528&gt;1,"REVISAR DUPLICADO",IF(AA2528&lt;&gt;"","ACTUALIZADO POR EYR","SIN REPORTE EYR")))</f>
        <v/>
      </c>
    </row>
    <row r="2529" spans="11:30" x14ac:dyDescent="0.3">
      <c r="K2529" s="1" t="str">
        <f ca="1">IF(A2529="","",IF(OR(L2529="ENTREGADA",L2529="RETORNADA",L2529="ENTREGA DIGITAL"),0,MAX(0,5-NETWORKDAYS(H2529+1,TODAY()))))</f>
        <v/>
      </c>
      <c r="L2529" t="str">
        <f>IF(A2529="","",IFERROR(LOOKUP(2,1/(#REF!=Z2529),#REF!),Y2529))</f>
        <v/>
      </c>
      <c r="Z2529" t="str">
        <f>IF(A2529="","",TEXT(A2529,"0")&amp;"|"&amp;TEXT(H2529,"0"))</f>
        <v/>
      </c>
      <c r="AA2529" t="str">
        <f>IF(Z2529="","",IFERROR(LOOKUP(2,1/(#REF!=Z2529),#REF!),""))</f>
        <v/>
      </c>
      <c r="AB2529" t="str">
        <f>IF(Z2529="","",IFERROR(LOOKUP(2,1/(#REF!=Z2529),#REF!),""))</f>
        <v/>
      </c>
      <c r="AC2529" t="str">
        <f>IF(Z2529="","",COUNTIF(#REF!,Z2529))</f>
        <v/>
      </c>
      <c r="AD2529" t="str">
        <f>IF(A2529="","",IF(AC2529&gt;1,"REVISAR DUPLICADO",IF(AA2529&lt;&gt;"","ACTUALIZADO POR EYR","SIN REPORTE EYR")))</f>
        <v/>
      </c>
    </row>
    <row r="2530" spans="11:30" x14ac:dyDescent="0.3">
      <c r="K2530" s="1" t="str">
        <f ca="1">IF(A2530="","",IF(OR(L2530="ENTREGADA",L2530="RETORNADA",L2530="ENTREGA DIGITAL"),0,MAX(0,5-NETWORKDAYS(H2530+1,TODAY()))))</f>
        <v/>
      </c>
      <c r="L2530" t="str">
        <f>IF(A2530="","",IFERROR(LOOKUP(2,1/(#REF!=Z2530),#REF!),Y2530))</f>
        <v/>
      </c>
      <c r="Z2530" t="str">
        <f>IF(A2530="","",TEXT(A2530,"0")&amp;"|"&amp;TEXT(H2530,"0"))</f>
        <v/>
      </c>
      <c r="AA2530" t="str">
        <f>IF(Z2530="","",IFERROR(LOOKUP(2,1/(#REF!=Z2530),#REF!),""))</f>
        <v/>
      </c>
      <c r="AB2530" t="str">
        <f>IF(Z2530="","",IFERROR(LOOKUP(2,1/(#REF!=Z2530),#REF!),""))</f>
        <v/>
      </c>
      <c r="AC2530" t="str">
        <f>IF(Z2530="","",COUNTIF(#REF!,Z2530))</f>
        <v/>
      </c>
      <c r="AD2530" t="str">
        <f>IF(A2530="","",IF(AC2530&gt;1,"REVISAR DUPLICADO",IF(AA2530&lt;&gt;"","ACTUALIZADO POR EYR","SIN REPORTE EYR")))</f>
        <v/>
      </c>
    </row>
    <row r="2531" spans="11:30" x14ac:dyDescent="0.3">
      <c r="K2531" s="1" t="str">
        <f ca="1">IF(A2531="","",IF(OR(L2531="ENTREGADA",L2531="RETORNADA",L2531="ENTREGA DIGITAL"),0,MAX(0,5-NETWORKDAYS(H2531+1,TODAY()))))</f>
        <v/>
      </c>
      <c r="L2531" t="str">
        <f>IF(A2531="","",IFERROR(LOOKUP(2,1/(#REF!=Z2531),#REF!),Y2531))</f>
        <v/>
      </c>
      <c r="Z2531" t="str">
        <f>IF(A2531="","",TEXT(A2531,"0")&amp;"|"&amp;TEXT(H2531,"0"))</f>
        <v/>
      </c>
      <c r="AA2531" t="str">
        <f>IF(Z2531="","",IFERROR(LOOKUP(2,1/(#REF!=Z2531),#REF!),""))</f>
        <v/>
      </c>
      <c r="AB2531" t="str">
        <f>IF(Z2531="","",IFERROR(LOOKUP(2,1/(#REF!=Z2531),#REF!),""))</f>
        <v/>
      </c>
      <c r="AC2531" t="str">
        <f>IF(Z2531="","",COUNTIF(#REF!,Z2531))</f>
        <v/>
      </c>
      <c r="AD2531" t="str">
        <f>IF(A2531="","",IF(AC2531&gt;1,"REVISAR DUPLICADO",IF(AA2531&lt;&gt;"","ACTUALIZADO POR EYR","SIN REPORTE EYR")))</f>
        <v/>
      </c>
    </row>
    <row r="2532" spans="11:30" x14ac:dyDescent="0.3">
      <c r="K2532" s="1" t="str">
        <f ca="1">IF(A2532="","",IF(OR(L2532="ENTREGADA",L2532="RETORNADA",L2532="ENTREGA DIGITAL"),0,MAX(0,5-NETWORKDAYS(H2532+1,TODAY()))))</f>
        <v/>
      </c>
      <c r="L2532" t="str">
        <f>IF(A2532="","",IFERROR(LOOKUP(2,1/(#REF!=Z2532),#REF!),Y2532))</f>
        <v/>
      </c>
      <c r="Z2532" t="str">
        <f>IF(A2532="","",TEXT(A2532,"0")&amp;"|"&amp;TEXT(H2532,"0"))</f>
        <v/>
      </c>
      <c r="AA2532" t="str">
        <f>IF(Z2532="","",IFERROR(LOOKUP(2,1/(#REF!=Z2532),#REF!),""))</f>
        <v/>
      </c>
      <c r="AB2532" t="str">
        <f>IF(Z2532="","",IFERROR(LOOKUP(2,1/(#REF!=Z2532),#REF!),""))</f>
        <v/>
      </c>
      <c r="AC2532" t="str">
        <f>IF(Z2532="","",COUNTIF(#REF!,Z2532))</f>
        <v/>
      </c>
      <c r="AD2532" t="str">
        <f>IF(A2532="","",IF(AC2532&gt;1,"REVISAR DUPLICADO",IF(AA2532&lt;&gt;"","ACTUALIZADO POR EYR","SIN REPORTE EYR")))</f>
        <v/>
      </c>
    </row>
    <row r="2533" spans="11:30" x14ac:dyDescent="0.3">
      <c r="K2533" s="1" t="str">
        <f ca="1">IF(A2533="","",IF(OR(L2533="ENTREGADA",L2533="RETORNADA",L2533="ENTREGA DIGITAL"),0,MAX(0,5-NETWORKDAYS(H2533+1,TODAY()))))</f>
        <v/>
      </c>
      <c r="L2533" t="str">
        <f>IF(A2533="","",IFERROR(LOOKUP(2,1/(#REF!=Z2533),#REF!),Y2533))</f>
        <v/>
      </c>
      <c r="Z2533" t="str">
        <f>IF(A2533="","",TEXT(A2533,"0")&amp;"|"&amp;TEXT(H2533,"0"))</f>
        <v/>
      </c>
      <c r="AA2533" t="str">
        <f>IF(Z2533="","",IFERROR(LOOKUP(2,1/(#REF!=Z2533),#REF!),""))</f>
        <v/>
      </c>
      <c r="AB2533" t="str">
        <f>IF(Z2533="","",IFERROR(LOOKUP(2,1/(#REF!=Z2533),#REF!),""))</f>
        <v/>
      </c>
      <c r="AC2533" t="str">
        <f>IF(Z2533="","",COUNTIF(#REF!,Z2533))</f>
        <v/>
      </c>
      <c r="AD2533" t="str">
        <f>IF(A2533="","",IF(AC2533&gt;1,"REVISAR DUPLICADO",IF(AA2533&lt;&gt;"","ACTUALIZADO POR EYR","SIN REPORTE EYR")))</f>
        <v/>
      </c>
    </row>
    <row r="2534" spans="11:30" x14ac:dyDescent="0.3">
      <c r="K2534" s="1" t="str">
        <f ca="1">IF(A2534="","",IF(OR(L2534="ENTREGADA",L2534="RETORNADA",L2534="ENTREGA DIGITAL"),0,MAX(0,5-NETWORKDAYS(H2534+1,TODAY()))))</f>
        <v/>
      </c>
      <c r="L2534" t="str">
        <f>IF(A2534="","",IFERROR(LOOKUP(2,1/(#REF!=Z2534),#REF!),Y2534))</f>
        <v/>
      </c>
      <c r="Z2534" t="str">
        <f>IF(A2534="","",TEXT(A2534,"0")&amp;"|"&amp;TEXT(H2534,"0"))</f>
        <v/>
      </c>
      <c r="AA2534" t="str">
        <f>IF(Z2534="","",IFERROR(LOOKUP(2,1/(#REF!=Z2534),#REF!),""))</f>
        <v/>
      </c>
      <c r="AB2534" t="str">
        <f>IF(Z2534="","",IFERROR(LOOKUP(2,1/(#REF!=Z2534),#REF!),""))</f>
        <v/>
      </c>
      <c r="AC2534" t="str">
        <f>IF(Z2534="","",COUNTIF(#REF!,Z2534))</f>
        <v/>
      </c>
      <c r="AD2534" t="str">
        <f>IF(A2534="","",IF(AC2534&gt;1,"REVISAR DUPLICADO",IF(AA2534&lt;&gt;"","ACTUALIZADO POR EYR","SIN REPORTE EYR")))</f>
        <v/>
      </c>
    </row>
    <row r="2535" spans="11:30" x14ac:dyDescent="0.3">
      <c r="K2535" s="1" t="str">
        <f ca="1">IF(A2535="","",IF(OR(L2535="ENTREGADA",L2535="RETORNADA",L2535="ENTREGA DIGITAL"),0,MAX(0,5-NETWORKDAYS(H2535+1,TODAY()))))</f>
        <v/>
      </c>
      <c r="L2535" t="str">
        <f>IF(A2535="","",IFERROR(LOOKUP(2,1/(#REF!=Z2535),#REF!),Y2535))</f>
        <v/>
      </c>
      <c r="Z2535" t="str">
        <f>IF(A2535="","",TEXT(A2535,"0")&amp;"|"&amp;TEXT(H2535,"0"))</f>
        <v/>
      </c>
      <c r="AA2535" t="str">
        <f>IF(Z2535="","",IFERROR(LOOKUP(2,1/(#REF!=Z2535),#REF!),""))</f>
        <v/>
      </c>
      <c r="AB2535" t="str">
        <f>IF(Z2535="","",IFERROR(LOOKUP(2,1/(#REF!=Z2535),#REF!),""))</f>
        <v/>
      </c>
      <c r="AC2535" t="str">
        <f>IF(Z2535="","",COUNTIF(#REF!,Z2535))</f>
        <v/>
      </c>
      <c r="AD2535" t="str">
        <f>IF(A2535="","",IF(AC2535&gt;1,"REVISAR DUPLICADO",IF(AA2535&lt;&gt;"","ACTUALIZADO POR EYR","SIN REPORTE EYR")))</f>
        <v/>
      </c>
    </row>
    <row r="2536" spans="11:30" x14ac:dyDescent="0.3">
      <c r="K2536" s="1" t="str">
        <f ca="1">IF(A2536="","",IF(OR(L2536="ENTREGADA",L2536="RETORNADA",L2536="ENTREGA DIGITAL"),0,MAX(0,5-NETWORKDAYS(H2536+1,TODAY()))))</f>
        <v/>
      </c>
      <c r="L2536" t="str">
        <f>IF(A2536="","",IFERROR(LOOKUP(2,1/(#REF!=Z2536),#REF!),Y2536))</f>
        <v/>
      </c>
      <c r="Z2536" t="str">
        <f>IF(A2536="","",TEXT(A2536,"0")&amp;"|"&amp;TEXT(H2536,"0"))</f>
        <v/>
      </c>
      <c r="AA2536" t="str">
        <f>IF(Z2536="","",IFERROR(LOOKUP(2,1/(#REF!=Z2536),#REF!),""))</f>
        <v/>
      </c>
      <c r="AB2536" t="str">
        <f>IF(Z2536="","",IFERROR(LOOKUP(2,1/(#REF!=Z2536),#REF!),""))</f>
        <v/>
      </c>
      <c r="AC2536" t="str">
        <f>IF(Z2536="","",COUNTIF(#REF!,Z2536))</f>
        <v/>
      </c>
      <c r="AD2536" t="str">
        <f>IF(A2536="","",IF(AC2536&gt;1,"REVISAR DUPLICADO",IF(AA2536&lt;&gt;"","ACTUALIZADO POR EYR","SIN REPORTE EYR")))</f>
        <v/>
      </c>
    </row>
    <row r="2537" spans="11:30" x14ac:dyDescent="0.3">
      <c r="K2537" s="1" t="str">
        <f ca="1">IF(A2537="","",IF(OR(L2537="ENTREGADA",L2537="RETORNADA",L2537="ENTREGA DIGITAL"),0,MAX(0,5-NETWORKDAYS(H2537+1,TODAY()))))</f>
        <v/>
      </c>
      <c r="L2537" t="str">
        <f>IF(A2537="","",IFERROR(LOOKUP(2,1/(#REF!=Z2537),#REF!),Y2537))</f>
        <v/>
      </c>
      <c r="Z2537" t="str">
        <f>IF(A2537="","",TEXT(A2537,"0")&amp;"|"&amp;TEXT(H2537,"0"))</f>
        <v/>
      </c>
      <c r="AA2537" t="str">
        <f>IF(Z2537="","",IFERROR(LOOKUP(2,1/(#REF!=Z2537),#REF!),""))</f>
        <v/>
      </c>
      <c r="AB2537" t="str">
        <f>IF(Z2537="","",IFERROR(LOOKUP(2,1/(#REF!=Z2537),#REF!),""))</f>
        <v/>
      </c>
      <c r="AC2537" t="str">
        <f>IF(Z2537="","",COUNTIF(#REF!,Z2537))</f>
        <v/>
      </c>
      <c r="AD2537" t="str">
        <f>IF(A2537="","",IF(AC2537&gt;1,"REVISAR DUPLICADO",IF(AA2537&lt;&gt;"","ACTUALIZADO POR EYR","SIN REPORTE EYR")))</f>
        <v/>
      </c>
    </row>
    <row r="2538" spans="11:30" x14ac:dyDescent="0.3">
      <c r="K2538" s="1" t="str">
        <f ca="1">IF(A2538="","",IF(OR(L2538="ENTREGADA",L2538="RETORNADA",L2538="ENTREGA DIGITAL"),0,MAX(0,5-NETWORKDAYS(H2538+1,TODAY()))))</f>
        <v/>
      </c>
      <c r="L2538" t="str">
        <f>IF(A2538="","",IFERROR(LOOKUP(2,1/(#REF!=Z2538),#REF!),Y2538))</f>
        <v/>
      </c>
      <c r="Z2538" t="str">
        <f>IF(A2538="","",TEXT(A2538,"0")&amp;"|"&amp;TEXT(H2538,"0"))</f>
        <v/>
      </c>
      <c r="AA2538" t="str">
        <f>IF(Z2538="","",IFERROR(LOOKUP(2,1/(#REF!=Z2538),#REF!),""))</f>
        <v/>
      </c>
      <c r="AB2538" t="str">
        <f>IF(Z2538="","",IFERROR(LOOKUP(2,1/(#REF!=Z2538),#REF!),""))</f>
        <v/>
      </c>
      <c r="AC2538" t="str">
        <f>IF(Z2538="","",COUNTIF(#REF!,Z2538))</f>
        <v/>
      </c>
      <c r="AD2538" t="str">
        <f>IF(A2538="","",IF(AC2538&gt;1,"REVISAR DUPLICADO",IF(AA2538&lt;&gt;"","ACTUALIZADO POR EYR","SIN REPORTE EYR")))</f>
        <v/>
      </c>
    </row>
    <row r="2539" spans="11:30" x14ac:dyDescent="0.3">
      <c r="K2539" s="1" t="str">
        <f ca="1">IF(A2539="","",IF(OR(L2539="ENTREGADA",L2539="RETORNADA",L2539="ENTREGA DIGITAL"),0,MAX(0,5-NETWORKDAYS(H2539+1,TODAY()))))</f>
        <v/>
      </c>
      <c r="L2539" t="str">
        <f>IF(A2539="","",IFERROR(LOOKUP(2,1/(#REF!=Z2539),#REF!),Y2539))</f>
        <v/>
      </c>
      <c r="Z2539" t="str">
        <f>IF(A2539="","",TEXT(A2539,"0")&amp;"|"&amp;TEXT(H2539,"0"))</f>
        <v/>
      </c>
      <c r="AA2539" t="str">
        <f>IF(Z2539="","",IFERROR(LOOKUP(2,1/(#REF!=Z2539),#REF!),""))</f>
        <v/>
      </c>
      <c r="AB2539" t="str">
        <f>IF(Z2539="","",IFERROR(LOOKUP(2,1/(#REF!=Z2539),#REF!),""))</f>
        <v/>
      </c>
      <c r="AC2539" t="str">
        <f>IF(Z2539="","",COUNTIF(#REF!,Z2539))</f>
        <v/>
      </c>
      <c r="AD2539" t="str">
        <f>IF(A2539="","",IF(AC2539&gt;1,"REVISAR DUPLICADO",IF(AA2539&lt;&gt;"","ACTUALIZADO POR EYR","SIN REPORTE EYR")))</f>
        <v/>
      </c>
    </row>
    <row r="2540" spans="11:30" x14ac:dyDescent="0.3">
      <c r="K2540" s="1" t="str">
        <f ca="1">IF(A2540="","",IF(OR(L2540="ENTREGADA",L2540="RETORNADA",L2540="ENTREGA DIGITAL"),0,MAX(0,5-NETWORKDAYS(H2540+1,TODAY()))))</f>
        <v/>
      </c>
      <c r="L2540" t="str">
        <f>IF(A2540="","",IFERROR(LOOKUP(2,1/(#REF!=Z2540),#REF!),Y2540))</f>
        <v/>
      </c>
      <c r="Z2540" t="str">
        <f>IF(A2540="","",TEXT(A2540,"0")&amp;"|"&amp;TEXT(H2540,"0"))</f>
        <v/>
      </c>
      <c r="AA2540" t="str">
        <f>IF(Z2540="","",IFERROR(LOOKUP(2,1/(#REF!=Z2540),#REF!),""))</f>
        <v/>
      </c>
      <c r="AB2540" t="str">
        <f>IF(Z2540="","",IFERROR(LOOKUP(2,1/(#REF!=Z2540),#REF!),""))</f>
        <v/>
      </c>
      <c r="AC2540" t="str">
        <f>IF(Z2540="","",COUNTIF(#REF!,Z2540))</f>
        <v/>
      </c>
      <c r="AD2540" t="str">
        <f>IF(A2540="","",IF(AC2540&gt;1,"REVISAR DUPLICADO",IF(AA2540&lt;&gt;"","ACTUALIZADO POR EYR","SIN REPORTE EYR")))</f>
        <v/>
      </c>
    </row>
    <row r="2541" spans="11:30" x14ac:dyDescent="0.3">
      <c r="K2541" s="1" t="str">
        <f ca="1">IF(A2541="","",IF(OR(L2541="ENTREGADA",L2541="RETORNADA",L2541="ENTREGA DIGITAL"),0,MAX(0,5-NETWORKDAYS(H2541+1,TODAY()))))</f>
        <v/>
      </c>
      <c r="L2541" t="str">
        <f>IF(A2541="","",IFERROR(LOOKUP(2,1/(#REF!=Z2541),#REF!),Y2541))</f>
        <v/>
      </c>
      <c r="Z2541" t="str">
        <f>IF(A2541="","",TEXT(A2541,"0")&amp;"|"&amp;TEXT(H2541,"0"))</f>
        <v/>
      </c>
      <c r="AA2541" t="str">
        <f>IF(Z2541="","",IFERROR(LOOKUP(2,1/(#REF!=Z2541),#REF!),""))</f>
        <v/>
      </c>
      <c r="AB2541" t="str">
        <f>IF(Z2541="","",IFERROR(LOOKUP(2,1/(#REF!=Z2541),#REF!),""))</f>
        <v/>
      </c>
      <c r="AC2541" t="str">
        <f>IF(Z2541="","",COUNTIF(#REF!,Z2541))</f>
        <v/>
      </c>
      <c r="AD2541" t="str">
        <f>IF(A2541="","",IF(AC2541&gt;1,"REVISAR DUPLICADO",IF(AA2541&lt;&gt;"","ACTUALIZADO POR EYR","SIN REPORTE EYR")))</f>
        <v/>
      </c>
    </row>
    <row r="2542" spans="11:30" x14ac:dyDescent="0.3">
      <c r="K2542" s="1" t="str">
        <f ca="1">IF(A2542="","",IF(OR(L2542="ENTREGADA",L2542="RETORNADA",L2542="ENTREGA DIGITAL"),0,MAX(0,5-NETWORKDAYS(H2542+1,TODAY()))))</f>
        <v/>
      </c>
      <c r="L2542" t="str">
        <f>IF(A2542="","",IFERROR(LOOKUP(2,1/(#REF!=Z2542),#REF!),Y2542))</f>
        <v/>
      </c>
      <c r="Z2542" t="str">
        <f>IF(A2542="","",TEXT(A2542,"0")&amp;"|"&amp;TEXT(H2542,"0"))</f>
        <v/>
      </c>
      <c r="AA2542" t="str">
        <f>IF(Z2542="","",IFERROR(LOOKUP(2,1/(#REF!=Z2542),#REF!),""))</f>
        <v/>
      </c>
      <c r="AB2542" t="str">
        <f>IF(Z2542="","",IFERROR(LOOKUP(2,1/(#REF!=Z2542),#REF!),""))</f>
        <v/>
      </c>
      <c r="AC2542" t="str">
        <f>IF(Z2542="","",COUNTIF(#REF!,Z2542))</f>
        <v/>
      </c>
      <c r="AD2542" t="str">
        <f>IF(A2542="","",IF(AC2542&gt;1,"REVISAR DUPLICADO",IF(AA2542&lt;&gt;"","ACTUALIZADO POR EYR","SIN REPORTE EYR")))</f>
        <v/>
      </c>
    </row>
    <row r="2543" spans="11:30" x14ac:dyDescent="0.3">
      <c r="K2543" s="1" t="str">
        <f ca="1">IF(A2543="","",IF(OR(L2543="ENTREGADA",L2543="RETORNADA",L2543="ENTREGA DIGITAL"),0,MAX(0,5-NETWORKDAYS(H2543+1,TODAY()))))</f>
        <v/>
      </c>
      <c r="L2543" t="str">
        <f>IF(A2543="","",IFERROR(LOOKUP(2,1/(#REF!=Z2543),#REF!),Y2543))</f>
        <v/>
      </c>
      <c r="Z2543" t="str">
        <f>IF(A2543="","",TEXT(A2543,"0")&amp;"|"&amp;TEXT(H2543,"0"))</f>
        <v/>
      </c>
      <c r="AA2543" t="str">
        <f>IF(Z2543="","",IFERROR(LOOKUP(2,1/(#REF!=Z2543),#REF!),""))</f>
        <v/>
      </c>
      <c r="AB2543" t="str">
        <f>IF(Z2543="","",IFERROR(LOOKUP(2,1/(#REF!=Z2543),#REF!),""))</f>
        <v/>
      </c>
      <c r="AC2543" t="str">
        <f>IF(Z2543="","",COUNTIF(#REF!,Z2543))</f>
        <v/>
      </c>
      <c r="AD2543" t="str">
        <f>IF(A2543="","",IF(AC2543&gt;1,"REVISAR DUPLICADO",IF(AA2543&lt;&gt;"","ACTUALIZADO POR EYR","SIN REPORTE EYR")))</f>
        <v/>
      </c>
    </row>
    <row r="2544" spans="11:30" x14ac:dyDescent="0.3">
      <c r="K2544" s="1" t="str">
        <f ca="1">IF(A2544="","",IF(OR(L2544="ENTREGADA",L2544="RETORNADA",L2544="ENTREGA DIGITAL"),0,MAX(0,5-NETWORKDAYS(H2544+1,TODAY()))))</f>
        <v/>
      </c>
      <c r="L2544" t="str">
        <f>IF(A2544="","",IFERROR(LOOKUP(2,1/(#REF!=Z2544),#REF!),Y2544))</f>
        <v/>
      </c>
      <c r="Z2544" t="str">
        <f>IF(A2544="","",TEXT(A2544,"0")&amp;"|"&amp;TEXT(H2544,"0"))</f>
        <v/>
      </c>
      <c r="AA2544" t="str">
        <f>IF(Z2544="","",IFERROR(LOOKUP(2,1/(#REF!=Z2544),#REF!),""))</f>
        <v/>
      </c>
      <c r="AB2544" t="str">
        <f>IF(Z2544="","",IFERROR(LOOKUP(2,1/(#REF!=Z2544),#REF!),""))</f>
        <v/>
      </c>
      <c r="AC2544" t="str">
        <f>IF(Z2544="","",COUNTIF(#REF!,Z2544))</f>
        <v/>
      </c>
      <c r="AD2544" t="str">
        <f>IF(A2544="","",IF(AC2544&gt;1,"REVISAR DUPLICADO",IF(AA2544&lt;&gt;"","ACTUALIZADO POR EYR","SIN REPORTE EYR")))</f>
        <v/>
      </c>
    </row>
    <row r="2545" spans="11:30" x14ac:dyDescent="0.3">
      <c r="K2545" s="1" t="str">
        <f ca="1">IF(A2545="","",IF(OR(L2545="ENTREGADA",L2545="RETORNADA",L2545="ENTREGA DIGITAL"),0,MAX(0,5-NETWORKDAYS(H2545+1,TODAY()))))</f>
        <v/>
      </c>
      <c r="L2545" t="str">
        <f>IF(A2545="","",IFERROR(LOOKUP(2,1/(#REF!=Z2545),#REF!),Y2545))</f>
        <v/>
      </c>
      <c r="Z2545" t="str">
        <f>IF(A2545="","",TEXT(A2545,"0")&amp;"|"&amp;TEXT(H2545,"0"))</f>
        <v/>
      </c>
      <c r="AA2545" t="str">
        <f>IF(Z2545="","",IFERROR(LOOKUP(2,1/(#REF!=Z2545),#REF!),""))</f>
        <v/>
      </c>
      <c r="AB2545" t="str">
        <f>IF(Z2545="","",IFERROR(LOOKUP(2,1/(#REF!=Z2545),#REF!),""))</f>
        <v/>
      </c>
      <c r="AC2545" t="str">
        <f>IF(Z2545="","",COUNTIF(#REF!,Z2545))</f>
        <v/>
      </c>
      <c r="AD2545" t="str">
        <f>IF(A2545="","",IF(AC2545&gt;1,"REVISAR DUPLICADO",IF(AA2545&lt;&gt;"","ACTUALIZADO POR EYR","SIN REPORTE EYR")))</f>
        <v/>
      </c>
    </row>
    <row r="2546" spans="11:30" x14ac:dyDescent="0.3">
      <c r="K2546" s="1" t="str">
        <f ca="1">IF(A2546="","",IF(OR(L2546="ENTREGADA",L2546="RETORNADA",L2546="ENTREGA DIGITAL"),0,MAX(0,5-NETWORKDAYS(H2546+1,TODAY()))))</f>
        <v/>
      </c>
      <c r="L2546" t="str">
        <f>IF(A2546="","",IFERROR(LOOKUP(2,1/(#REF!=Z2546),#REF!),Y2546))</f>
        <v/>
      </c>
      <c r="Z2546" t="str">
        <f>IF(A2546="","",TEXT(A2546,"0")&amp;"|"&amp;TEXT(H2546,"0"))</f>
        <v/>
      </c>
      <c r="AA2546" t="str">
        <f>IF(Z2546="","",IFERROR(LOOKUP(2,1/(#REF!=Z2546),#REF!),""))</f>
        <v/>
      </c>
      <c r="AB2546" t="str">
        <f>IF(Z2546="","",IFERROR(LOOKUP(2,1/(#REF!=Z2546),#REF!),""))</f>
        <v/>
      </c>
      <c r="AC2546" t="str">
        <f>IF(Z2546="","",COUNTIF(#REF!,Z2546))</f>
        <v/>
      </c>
      <c r="AD2546" t="str">
        <f>IF(A2546="","",IF(AC2546&gt;1,"REVISAR DUPLICADO",IF(AA2546&lt;&gt;"","ACTUALIZADO POR EYR","SIN REPORTE EYR")))</f>
        <v/>
      </c>
    </row>
    <row r="2547" spans="11:30" x14ac:dyDescent="0.3">
      <c r="K2547" s="1" t="str">
        <f ca="1">IF(A2547="","",IF(OR(L2547="ENTREGADA",L2547="RETORNADA",L2547="ENTREGA DIGITAL"),0,MAX(0,5-NETWORKDAYS(H2547+1,TODAY()))))</f>
        <v/>
      </c>
      <c r="L2547" t="str">
        <f>IF(A2547="","",IFERROR(LOOKUP(2,1/(#REF!=Z2547),#REF!),Y2547))</f>
        <v/>
      </c>
      <c r="Z2547" t="str">
        <f>IF(A2547="","",TEXT(A2547,"0")&amp;"|"&amp;TEXT(H2547,"0"))</f>
        <v/>
      </c>
      <c r="AA2547" t="str">
        <f>IF(Z2547="","",IFERROR(LOOKUP(2,1/(#REF!=Z2547),#REF!),""))</f>
        <v/>
      </c>
      <c r="AB2547" t="str">
        <f>IF(Z2547="","",IFERROR(LOOKUP(2,1/(#REF!=Z2547),#REF!),""))</f>
        <v/>
      </c>
      <c r="AC2547" t="str">
        <f>IF(Z2547="","",COUNTIF(#REF!,Z2547))</f>
        <v/>
      </c>
      <c r="AD2547" t="str">
        <f>IF(A2547="","",IF(AC2547&gt;1,"REVISAR DUPLICADO",IF(AA2547&lt;&gt;"","ACTUALIZADO POR EYR","SIN REPORTE EYR")))</f>
        <v/>
      </c>
    </row>
    <row r="2548" spans="11:30" x14ac:dyDescent="0.3">
      <c r="K2548" s="1" t="str">
        <f ca="1">IF(A2548="","",IF(OR(L2548="ENTREGADA",L2548="RETORNADA",L2548="ENTREGA DIGITAL"),0,MAX(0,5-NETWORKDAYS(H2548+1,TODAY()))))</f>
        <v/>
      </c>
      <c r="L2548" t="str">
        <f>IF(A2548="","",IFERROR(LOOKUP(2,1/(#REF!=Z2548),#REF!),Y2548))</f>
        <v/>
      </c>
      <c r="Z2548" t="str">
        <f>IF(A2548="","",TEXT(A2548,"0")&amp;"|"&amp;TEXT(H2548,"0"))</f>
        <v/>
      </c>
      <c r="AA2548" t="str">
        <f>IF(Z2548="","",IFERROR(LOOKUP(2,1/(#REF!=Z2548),#REF!),""))</f>
        <v/>
      </c>
      <c r="AB2548" t="str">
        <f>IF(Z2548="","",IFERROR(LOOKUP(2,1/(#REF!=Z2548),#REF!),""))</f>
        <v/>
      </c>
      <c r="AC2548" t="str">
        <f>IF(Z2548="","",COUNTIF(#REF!,Z2548))</f>
        <v/>
      </c>
      <c r="AD2548" t="str">
        <f>IF(A2548="","",IF(AC2548&gt;1,"REVISAR DUPLICADO",IF(AA2548&lt;&gt;"","ACTUALIZADO POR EYR","SIN REPORTE EYR")))</f>
        <v/>
      </c>
    </row>
    <row r="2549" spans="11:30" x14ac:dyDescent="0.3">
      <c r="K2549" s="1" t="str">
        <f ca="1">IF(A2549="","",IF(OR(L2549="ENTREGADA",L2549="RETORNADA",L2549="ENTREGA DIGITAL"),0,MAX(0,5-NETWORKDAYS(H2549+1,TODAY()))))</f>
        <v/>
      </c>
      <c r="L2549" t="str">
        <f>IF(A2549="","",IFERROR(LOOKUP(2,1/(#REF!=Z2549),#REF!),Y2549))</f>
        <v/>
      </c>
      <c r="Z2549" t="str">
        <f>IF(A2549="","",TEXT(A2549,"0")&amp;"|"&amp;TEXT(H2549,"0"))</f>
        <v/>
      </c>
      <c r="AA2549" t="str">
        <f>IF(Z2549="","",IFERROR(LOOKUP(2,1/(#REF!=Z2549),#REF!),""))</f>
        <v/>
      </c>
      <c r="AB2549" t="str">
        <f>IF(Z2549="","",IFERROR(LOOKUP(2,1/(#REF!=Z2549),#REF!),""))</f>
        <v/>
      </c>
      <c r="AC2549" t="str">
        <f>IF(Z2549="","",COUNTIF(#REF!,Z2549))</f>
        <v/>
      </c>
      <c r="AD2549" t="str">
        <f>IF(A2549="","",IF(AC2549&gt;1,"REVISAR DUPLICADO",IF(AA2549&lt;&gt;"","ACTUALIZADO POR EYR","SIN REPORTE EYR")))</f>
        <v/>
      </c>
    </row>
    <row r="2550" spans="11:30" x14ac:dyDescent="0.3">
      <c r="K2550" s="1" t="str">
        <f ca="1">IF(A2550="","",IF(OR(L2550="ENTREGADA",L2550="RETORNADA",L2550="ENTREGA DIGITAL"),0,MAX(0,5-NETWORKDAYS(H2550+1,TODAY()))))</f>
        <v/>
      </c>
      <c r="L2550" t="str">
        <f>IF(A2550="","",IFERROR(LOOKUP(2,1/(#REF!=Z2550),#REF!),Y2550))</f>
        <v/>
      </c>
      <c r="Z2550" t="str">
        <f>IF(A2550="","",TEXT(A2550,"0")&amp;"|"&amp;TEXT(H2550,"0"))</f>
        <v/>
      </c>
      <c r="AA2550" t="str">
        <f>IF(Z2550="","",IFERROR(LOOKUP(2,1/(#REF!=Z2550),#REF!),""))</f>
        <v/>
      </c>
      <c r="AB2550" t="str">
        <f>IF(Z2550="","",IFERROR(LOOKUP(2,1/(#REF!=Z2550),#REF!),""))</f>
        <v/>
      </c>
      <c r="AC2550" t="str">
        <f>IF(Z2550="","",COUNTIF(#REF!,Z2550))</f>
        <v/>
      </c>
      <c r="AD2550" t="str">
        <f>IF(A2550="","",IF(AC2550&gt;1,"REVISAR DUPLICADO",IF(AA2550&lt;&gt;"","ACTUALIZADO POR EYR","SIN REPORTE EYR")))</f>
        <v/>
      </c>
    </row>
    <row r="2551" spans="11:30" x14ac:dyDescent="0.3">
      <c r="K2551" s="1" t="str">
        <f ca="1">IF(A2551="","",IF(OR(L2551="ENTREGADA",L2551="RETORNADA",L2551="ENTREGA DIGITAL"),0,MAX(0,5-NETWORKDAYS(H2551+1,TODAY()))))</f>
        <v/>
      </c>
      <c r="L2551" t="str">
        <f>IF(A2551="","",IFERROR(LOOKUP(2,1/(#REF!=Z2551),#REF!),Y2551))</f>
        <v/>
      </c>
      <c r="Z2551" t="str">
        <f>IF(A2551="","",TEXT(A2551,"0")&amp;"|"&amp;TEXT(H2551,"0"))</f>
        <v/>
      </c>
      <c r="AA2551" t="str">
        <f>IF(Z2551="","",IFERROR(LOOKUP(2,1/(#REF!=Z2551),#REF!),""))</f>
        <v/>
      </c>
      <c r="AB2551" t="str">
        <f>IF(Z2551="","",IFERROR(LOOKUP(2,1/(#REF!=Z2551),#REF!),""))</f>
        <v/>
      </c>
      <c r="AC2551" t="str">
        <f>IF(Z2551="","",COUNTIF(#REF!,Z2551))</f>
        <v/>
      </c>
      <c r="AD2551" t="str">
        <f>IF(A2551="","",IF(AC2551&gt;1,"REVISAR DUPLICADO",IF(AA2551&lt;&gt;"","ACTUALIZADO POR EYR","SIN REPORTE EYR")))</f>
        <v/>
      </c>
    </row>
    <row r="2552" spans="11:30" x14ac:dyDescent="0.3">
      <c r="K2552" s="1" t="str">
        <f ca="1">IF(A2552="","",IF(OR(L2552="ENTREGADA",L2552="RETORNADA",L2552="ENTREGA DIGITAL"),0,MAX(0,5-NETWORKDAYS(H2552+1,TODAY()))))</f>
        <v/>
      </c>
      <c r="L2552" t="str">
        <f>IF(A2552="","",IFERROR(LOOKUP(2,1/(#REF!=Z2552),#REF!),Y2552))</f>
        <v/>
      </c>
      <c r="Z2552" t="str">
        <f>IF(A2552="","",TEXT(A2552,"0")&amp;"|"&amp;TEXT(H2552,"0"))</f>
        <v/>
      </c>
      <c r="AA2552" t="str">
        <f>IF(Z2552="","",IFERROR(LOOKUP(2,1/(#REF!=Z2552),#REF!),""))</f>
        <v/>
      </c>
      <c r="AB2552" t="str">
        <f>IF(Z2552="","",IFERROR(LOOKUP(2,1/(#REF!=Z2552),#REF!),""))</f>
        <v/>
      </c>
      <c r="AC2552" t="str">
        <f>IF(Z2552="","",COUNTIF(#REF!,Z2552))</f>
        <v/>
      </c>
      <c r="AD2552" t="str">
        <f>IF(A2552="","",IF(AC2552&gt;1,"REVISAR DUPLICADO",IF(AA2552&lt;&gt;"","ACTUALIZADO POR EYR","SIN REPORTE EYR")))</f>
        <v/>
      </c>
    </row>
    <row r="2553" spans="11:30" x14ac:dyDescent="0.3">
      <c r="K2553" s="1" t="str">
        <f ca="1">IF(A2553="","",IF(OR(L2553="ENTREGADA",L2553="RETORNADA",L2553="ENTREGA DIGITAL"),0,MAX(0,5-NETWORKDAYS(H2553+1,TODAY()))))</f>
        <v/>
      </c>
      <c r="L2553" t="str">
        <f>IF(A2553="","",IFERROR(LOOKUP(2,1/(#REF!=Z2553),#REF!),Y2553))</f>
        <v/>
      </c>
      <c r="Z2553" t="str">
        <f>IF(A2553="","",TEXT(A2553,"0")&amp;"|"&amp;TEXT(H2553,"0"))</f>
        <v/>
      </c>
      <c r="AA2553" t="str">
        <f>IF(Z2553="","",IFERROR(LOOKUP(2,1/(#REF!=Z2553),#REF!),""))</f>
        <v/>
      </c>
      <c r="AB2553" t="str">
        <f>IF(Z2553="","",IFERROR(LOOKUP(2,1/(#REF!=Z2553),#REF!),""))</f>
        <v/>
      </c>
      <c r="AC2553" t="str">
        <f>IF(Z2553="","",COUNTIF(#REF!,Z2553))</f>
        <v/>
      </c>
      <c r="AD2553" t="str">
        <f>IF(A2553="","",IF(AC2553&gt;1,"REVISAR DUPLICADO",IF(AA2553&lt;&gt;"","ACTUALIZADO POR EYR","SIN REPORTE EYR")))</f>
        <v/>
      </c>
    </row>
    <row r="2554" spans="11:30" x14ac:dyDescent="0.3">
      <c r="K2554" s="1" t="str">
        <f ca="1">IF(A2554="","",IF(OR(L2554="ENTREGADA",L2554="RETORNADA",L2554="ENTREGA DIGITAL"),0,MAX(0,5-NETWORKDAYS(H2554+1,TODAY()))))</f>
        <v/>
      </c>
      <c r="L2554" t="str">
        <f>IF(A2554="","",IFERROR(LOOKUP(2,1/(#REF!=Z2554),#REF!),Y2554))</f>
        <v/>
      </c>
      <c r="Z2554" t="str">
        <f>IF(A2554="","",TEXT(A2554,"0")&amp;"|"&amp;TEXT(H2554,"0"))</f>
        <v/>
      </c>
      <c r="AA2554" t="str">
        <f>IF(Z2554="","",IFERROR(LOOKUP(2,1/(#REF!=Z2554),#REF!),""))</f>
        <v/>
      </c>
      <c r="AB2554" t="str">
        <f>IF(Z2554="","",IFERROR(LOOKUP(2,1/(#REF!=Z2554),#REF!),""))</f>
        <v/>
      </c>
      <c r="AC2554" t="str">
        <f>IF(Z2554="","",COUNTIF(#REF!,Z2554))</f>
        <v/>
      </c>
      <c r="AD2554" t="str">
        <f>IF(A2554="","",IF(AC2554&gt;1,"REVISAR DUPLICADO",IF(AA2554&lt;&gt;"","ACTUALIZADO POR EYR","SIN REPORTE EYR")))</f>
        <v/>
      </c>
    </row>
    <row r="2555" spans="11:30" x14ac:dyDescent="0.3">
      <c r="K2555" s="1" t="str">
        <f ca="1">IF(A2555="","",IF(OR(L2555="ENTREGADA",L2555="RETORNADA",L2555="ENTREGA DIGITAL"),0,MAX(0,5-NETWORKDAYS(H2555+1,TODAY()))))</f>
        <v/>
      </c>
      <c r="L2555" t="str">
        <f>IF(A2555="","",IFERROR(LOOKUP(2,1/(#REF!=Z2555),#REF!),Y2555))</f>
        <v/>
      </c>
      <c r="Z2555" t="str">
        <f>IF(A2555="","",TEXT(A2555,"0")&amp;"|"&amp;TEXT(H2555,"0"))</f>
        <v/>
      </c>
      <c r="AA2555" t="str">
        <f>IF(Z2555="","",IFERROR(LOOKUP(2,1/(#REF!=Z2555),#REF!),""))</f>
        <v/>
      </c>
      <c r="AB2555" t="str">
        <f>IF(Z2555="","",IFERROR(LOOKUP(2,1/(#REF!=Z2555),#REF!),""))</f>
        <v/>
      </c>
      <c r="AC2555" t="str">
        <f>IF(Z2555="","",COUNTIF(#REF!,Z2555))</f>
        <v/>
      </c>
      <c r="AD2555" t="str">
        <f>IF(A2555="","",IF(AC2555&gt;1,"REVISAR DUPLICADO",IF(AA2555&lt;&gt;"","ACTUALIZADO POR EYR","SIN REPORTE EYR")))</f>
        <v/>
      </c>
    </row>
    <row r="2556" spans="11:30" x14ac:dyDescent="0.3">
      <c r="K2556" s="1" t="str">
        <f ca="1">IF(A2556="","",IF(OR(L2556="ENTREGADA",L2556="RETORNADA",L2556="ENTREGA DIGITAL"),0,MAX(0,5-NETWORKDAYS(H2556+1,TODAY()))))</f>
        <v/>
      </c>
      <c r="L2556" t="str">
        <f>IF(A2556="","",IFERROR(LOOKUP(2,1/(#REF!=Z2556),#REF!),Y2556))</f>
        <v/>
      </c>
      <c r="Z2556" t="str">
        <f>IF(A2556="","",TEXT(A2556,"0")&amp;"|"&amp;TEXT(H2556,"0"))</f>
        <v/>
      </c>
      <c r="AA2556" t="str">
        <f>IF(Z2556="","",IFERROR(LOOKUP(2,1/(#REF!=Z2556),#REF!),""))</f>
        <v/>
      </c>
      <c r="AB2556" t="str">
        <f>IF(Z2556="","",IFERROR(LOOKUP(2,1/(#REF!=Z2556),#REF!),""))</f>
        <v/>
      </c>
      <c r="AC2556" t="str">
        <f>IF(Z2556="","",COUNTIF(#REF!,Z2556))</f>
        <v/>
      </c>
      <c r="AD2556" t="str">
        <f>IF(A2556="","",IF(AC2556&gt;1,"REVISAR DUPLICADO",IF(AA2556&lt;&gt;"","ACTUALIZADO POR EYR","SIN REPORTE EYR")))</f>
        <v/>
      </c>
    </row>
    <row r="2557" spans="11:30" x14ac:dyDescent="0.3">
      <c r="K2557" s="1" t="str">
        <f ca="1">IF(A2557="","",IF(OR(L2557="ENTREGADA",L2557="RETORNADA",L2557="ENTREGA DIGITAL"),0,MAX(0,5-NETWORKDAYS(H2557+1,TODAY()))))</f>
        <v/>
      </c>
      <c r="L2557" t="str">
        <f>IF(A2557="","",IFERROR(LOOKUP(2,1/(#REF!=Z2557),#REF!),Y2557))</f>
        <v/>
      </c>
      <c r="Z2557" t="str">
        <f>IF(A2557="","",TEXT(A2557,"0")&amp;"|"&amp;TEXT(H2557,"0"))</f>
        <v/>
      </c>
      <c r="AA2557" t="str">
        <f>IF(Z2557="","",IFERROR(LOOKUP(2,1/(#REF!=Z2557),#REF!),""))</f>
        <v/>
      </c>
      <c r="AB2557" t="str">
        <f>IF(Z2557="","",IFERROR(LOOKUP(2,1/(#REF!=Z2557),#REF!),""))</f>
        <v/>
      </c>
      <c r="AC2557" t="str">
        <f>IF(Z2557="","",COUNTIF(#REF!,Z2557))</f>
        <v/>
      </c>
      <c r="AD2557" t="str">
        <f>IF(A2557="","",IF(AC2557&gt;1,"REVISAR DUPLICADO",IF(AA2557&lt;&gt;"","ACTUALIZADO POR EYR","SIN REPORTE EYR")))</f>
        <v/>
      </c>
    </row>
    <row r="2558" spans="11:30" x14ac:dyDescent="0.3">
      <c r="K2558" s="1" t="str">
        <f ca="1">IF(A2558="","",IF(OR(L2558="ENTREGADA",L2558="RETORNADA",L2558="ENTREGA DIGITAL"),0,MAX(0,5-NETWORKDAYS(H2558+1,TODAY()))))</f>
        <v/>
      </c>
      <c r="L2558" t="str">
        <f>IF(A2558="","",IFERROR(LOOKUP(2,1/(#REF!=Z2558),#REF!),Y2558))</f>
        <v/>
      </c>
      <c r="Z2558" t="str">
        <f>IF(A2558="","",TEXT(A2558,"0")&amp;"|"&amp;TEXT(H2558,"0"))</f>
        <v/>
      </c>
      <c r="AA2558" t="str">
        <f>IF(Z2558="","",IFERROR(LOOKUP(2,1/(#REF!=Z2558),#REF!),""))</f>
        <v/>
      </c>
      <c r="AB2558" t="str">
        <f>IF(Z2558="","",IFERROR(LOOKUP(2,1/(#REF!=Z2558),#REF!),""))</f>
        <v/>
      </c>
      <c r="AC2558" t="str">
        <f>IF(Z2558="","",COUNTIF(#REF!,Z2558))</f>
        <v/>
      </c>
      <c r="AD2558" t="str">
        <f>IF(A2558="","",IF(AC2558&gt;1,"REVISAR DUPLICADO",IF(AA2558&lt;&gt;"","ACTUALIZADO POR EYR","SIN REPORTE EYR")))</f>
        <v/>
      </c>
    </row>
    <row r="2559" spans="11:30" x14ac:dyDescent="0.3">
      <c r="K2559" s="1" t="str">
        <f ca="1">IF(A2559="","",IF(OR(L2559="ENTREGADA",L2559="RETORNADA",L2559="ENTREGA DIGITAL"),0,MAX(0,5-NETWORKDAYS(H2559+1,TODAY()))))</f>
        <v/>
      </c>
      <c r="L2559" t="str">
        <f>IF(A2559="","",IFERROR(LOOKUP(2,1/(#REF!=Z2559),#REF!),Y2559))</f>
        <v/>
      </c>
      <c r="Z2559" t="str">
        <f>IF(A2559="","",TEXT(A2559,"0")&amp;"|"&amp;TEXT(H2559,"0"))</f>
        <v/>
      </c>
      <c r="AA2559" t="str">
        <f>IF(Z2559="","",IFERROR(LOOKUP(2,1/(#REF!=Z2559),#REF!),""))</f>
        <v/>
      </c>
      <c r="AB2559" t="str">
        <f>IF(Z2559="","",IFERROR(LOOKUP(2,1/(#REF!=Z2559),#REF!),""))</f>
        <v/>
      </c>
      <c r="AC2559" t="str">
        <f>IF(Z2559="","",COUNTIF(#REF!,Z2559))</f>
        <v/>
      </c>
      <c r="AD2559" t="str">
        <f>IF(A2559="","",IF(AC2559&gt;1,"REVISAR DUPLICADO",IF(AA2559&lt;&gt;"","ACTUALIZADO POR EYR","SIN REPORTE EYR")))</f>
        <v/>
      </c>
    </row>
    <row r="2560" spans="11:30" x14ac:dyDescent="0.3">
      <c r="K2560" s="1" t="str">
        <f ca="1">IF(A2560="","",IF(OR(L2560="ENTREGADA",L2560="RETORNADA",L2560="ENTREGA DIGITAL"),0,MAX(0,5-NETWORKDAYS(H2560+1,TODAY()))))</f>
        <v/>
      </c>
      <c r="L2560" t="str">
        <f>IF(A2560="","",IFERROR(LOOKUP(2,1/(#REF!=Z2560),#REF!),Y2560))</f>
        <v/>
      </c>
      <c r="Z2560" t="str">
        <f>IF(A2560="","",TEXT(A2560,"0")&amp;"|"&amp;TEXT(H2560,"0"))</f>
        <v/>
      </c>
      <c r="AA2560" t="str">
        <f>IF(Z2560="","",IFERROR(LOOKUP(2,1/(#REF!=Z2560),#REF!),""))</f>
        <v/>
      </c>
      <c r="AB2560" t="str">
        <f>IF(Z2560="","",IFERROR(LOOKUP(2,1/(#REF!=Z2560),#REF!),""))</f>
        <v/>
      </c>
      <c r="AC2560" t="str">
        <f>IF(Z2560="","",COUNTIF(#REF!,Z2560))</f>
        <v/>
      </c>
      <c r="AD2560" t="str">
        <f>IF(A2560="","",IF(AC2560&gt;1,"REVISAR DUPLICADO",IF(AA2560&lt;&gt;"","ACTUALIZADO POR EYR","SIN REPORTE EYR")))</f>
        <v/>
      </c>
    </row>
    <row r="2561" spans="11:30" x14ac:dyDescent="0.3">
      <c r="K2561" s="1" t="str">
        <f ca="1">IF(A2561="","",IF(OR(L2561="ENTREGADA",L2561="RETORNADA",L2561="ENTREGA DIGITAL"),0,MAX(0,5-NETWORKDAYS(H2561+1,TODAY()))))</f>
        <v/>
      </c>
      <c r="L2561" t="str">
        <f>IF(A2561="","",IFERROR(LOOKUP(2,1/(#REF!=Z2561),#REF!),Y2561))</f>
        <v/>
      </c>
      <c r="Z2561" t="str">
        <f>IF(A2561="","",TEXT(A2561,"0")&amp;"|"&amp;TEXT(H2561,"0"))</f>
        <v/>
      </c>
      <c r="AA2561" t="str">
        <f>IF(Z2561="","",IFERROR(LOOKUP(2,1/(#REF!=Z2561),#REF!),""))</f>
        <v/>
      </c>
      <c r="AB2561" t="str">
        <f>IF(Z2561="","",IFERROR(LOOKUP(2,1/(#REF!=Z2561),#REF!),""))</f>
        <v/>
      </c>
      <c r="AC2561" t="str">
        <f>IF(Z2561="","",COUNTIF(#REF!,Z2561))</f>
        <v/>
      </c>
      <c r="AD2561" t="str">
        <f>IF(A2561="","",IF(AC2561&gt;1,"REVISAR DUPLICADO",IF(AA2561&lt;&gt;"","ACTUALIZADO POR EYR","SIN REPORTE EYR")))</f>
        <v/>
      </c>
    </row>
    <row r="2562" spans="11:30" x14ac:dyDescent="0.3">
      <c r="K2562" s="1" t="str">
        <f ca="1">IF(A2562="","",IF(OR(L2562="ENTREGADA",L2562="RETORNADA",L2562="ENTREGA DIGITAL"),0,MAX(0,5-NETWORKDAYS(H2562+1,TODAY()))))</f>
        <v/>
      </c>
      <c r="L2562" t="str">
        <f>IF(A2562="","",IFERROR(LOOKUP(2,1/(#REF!=Z2562),#REF!),Y2562))</f>
        <v/>
      </c>
      <c r="Z2562" t="str">
        <f>IF(A2562="","",TEXT(A2562,"0")&amp;"|"&amp;TEXT(H2562,"0"))</f>
        <v/>
      </c>
      <c r="AA2562" t="str">
        <f>IF(Z2562="","",IFERROR(LOOKUP(2,1/(#REF!=Z2562),#REF!),""))</f>
        <v/>
      </c>
      <c r="AB2562" t="str">
        <f>IF(Z2562="","",IFERROR(LOOKUP(2,1/(#REF!=Z2562),#REF!),""))</f>
        <v/>
      </c>
      <c r="AC2562" t="str">
        <f>IF(Z2562="","",COUNTIF(#REF!,Z2562))</f>
        <v/>
      </c>
      <c r="AD2562" t="str">
        <f>IF(A2562="","",IF(AC2562&gt;1,"REVISAR DUPLICADO",IF(AA2562&lt;&gt;"","ACTUALIZADO POR EYR","SIN REPORTE EYR")))</f>
        <v/>
      </c>
    </row>
    <row r="2563" spans="11:30" x14ac:dyDescent="0.3">
      <c r="K2563" s="1" t="str">
        <f ca="1">IF(A2563="","",IF(OR(L2563="ENTREGADA",L2563="RETORNADA",L2563="ENTREGA DIGITAL"),0,MAX(0,5-NETWORKDAYS(H2563+1,TODAY()))))</f>
        <v/>
      </c>
      <c r="L2563" t="str">
        <f>IF(A2563="","",IFERROR(LOOKUP(2,1/(#REF!=Z2563),#REF!),Y2563))</f>
        <v/>
      </c>
      <c r="Z2563" t="str">
        <f>IF(A2563="","",TEXT(A2563,"0")&amp;"|"&amp;TEXT(H2563,"0"))</f>
        <v/>
      </c>
      <c r="AA2563" t="str">
        <f>IF(Z2563="","",IFERROR(LOOKUP(2,1/(#REF!=Z2563),#REF!),""))</f>
        <v/>
      </c>
      <c r="AB2563" t="str">
        <f>IF(Z2563="","",IFERROR(LOOKUP(2,1/(#REF!=Z2563),#REF!),""))</f>
        <v/>
      </c>
      <c r="AC2563" t="str">
        <f>IF(Z2563="","",COUNTIF(#REF!,Z2563))</f>
        <v/>
      </c>
      <c r="AD2563" t="str">
        <f>IF(A2563="","",IF(AC2563&gt;1,"REVISAR DUPLICADO",IF(AA2563&lt;&gt;"","ACTUALIZADO POR EYR","SIN REPORTE EYR")))</f>
        <v/>
      </c>
    </row>
    <row r="2564" spans="11:30" x14ac:dyDescent="0.3">
      <c r="K2564" s="1" t="str">
        <f ca="1">IF(A2564="","",IF(OR(L2564="ENTREGADA",L2564="RETORNADA",L2564="ENTREGA DIGITAL"),0,MAX(0,5-NETWORKDAYS(H2564+1,TODAY()))))</f>
        <v/>
      </c>
      <c r="L2564" t="str">
        <f>IF(A2564="","",IFERROR(LOOKUP(2,1/(#REF!=Z2564),#REF!),Y2564))</f>
        <v/>
      </c>
      <c r="Z2564" t="str">
        <f>IF(A2564="","",TEXT(A2564,"0")&amp;"|"&amp;TEXT(H2564,"0"))</f>
        <v/>
      </c>
      <c r="AA2564" t="str">
        <f>IF(Z2564="","",IFERROR(LOOKUP(2,1/(#REF!=Z2564),#REF!),""))</f>
        <v/>
      </c>
      <c r="AB2564" t="str">
        <f>IF(Z2564="","",IFERROR(LOOKUP(2,1/(#REF!=Z2564),#REF!),""))</f>
        <v/>
      </c>
      <c r="AC2564" t="str">
        <f>IF(Z2564="","",COUNTIF(#REF!,Z2564))</f>
        <v/>
      </c>
      <c r="AD2564" t="str">
        <f>IF(A2564="","",IF(AC2564&gt;1,"REVISAR DUPLICADO",IF(AA2564&lt;&gt;"","ACTUALIZADO POR EYR","SIN REPORTE EYR")))</f>
        <v/>
      </c>
    </row>
    <row r="2565" spans="11:30" x14ac:dyDescent="0.3">
      <c r="K2565" s="1" t="str">
        <f ca="1">IF(A2565="","",IF(OR(L2565="ENTREGADA",L2565="RETORNADA",L2565="ENTREGA DIGITAL"),0,MAX(0,5-NETWORKDAYS(H2565+1,TODAY()))))</f>
        <v/>
      </c>
      <c r="L2565" t="str">
        <f>IF(A2565="","",IFERROR(LOOKUP(2,1/(#REF!=Z2565),#REF!),Y2565))</f>
        <v/>
      </c>
      <c r="Z2565" t="str">
        <f>IF(A2565="","",TEXT(A2565,"0")&amp;"|"&amp;TEXT(H2565,"0"))</f>
        <v/>
      </c>
      <c r="AA2565" t="str">
        <f>IF(Z2565="","",IFERROR(LOOKUP(2,1/(#REF!=Z2565),#REF!),""))</f>
        <v/>
      </c>
      <c r="AB2565" t="str">
        <f>IF(Z2565="","",IFERROR(LOOKUP(2,1/(#REF!=Z2565),#REF!),""))</f>
        <v/>
      </c>
      <c r="AC2565" t="str">
        <f>IF(Z2565="","",COUNTIF(#REF!,Z2565))</f>
        <v/>
      </c>
      <c r="AD2565" t="str">
        <f>IF(A2565="","",IF(AC2565&gt;1,"REVISAR DUPLICADO",IF(AA2565&lt;&gt;"","ACTUALIZADO POR EYR","SIN REPORTE EYR")))</f>
        <v/>
      </c>
    </row>
    <row r="2566" spans="11:30" x14ac:dyDescent="0.3">
      <c r="K2566" s="1" t="str">
        <f ca="1">IF(A2566="","",IF(OR(L2566="ENTREGADA",L2566="RETORNADA",L2566="ENTREGA DIGITAL"),0,MAX(0,5-NETWORKDAYS(H2566+1,TODAY()))))</f>
        <v/>
      </c>
      <c r="L2566" t="str">
        <f>IF(A2566="","",IFERROR(LOOKUP(2,1/(#REF!=Z2566),#REF!),Y2566))</f>
        <v/>
      </c>
      <c r="Z2566" t="str">
        <f>IF(A2566="","",TEXT(A2566,"0")&amp;"|"&amp;TEXT(H2566,"0"))</f>
        <v/>
      </c>
      <c r="AA2566" t="str">
        <f>IF(Z2566="","",IFERROR(LOOKUP(2,1/(#REF!=Z2566),#REF!),""))</f>
        <v/>
      </c>
      <c r="AB2566" t="str">
        <f>IF(Z2566="","",IFERROR(LOOKUP(2,1/(#REF!=Z2566),#REF!),""))</f>
        <v/>
      </c>
      <c r="AC2566" t="str">
        <f>IF(Z2566="","",COUNTIF(#REF!,Z2566))</f>
        <v/>
      </c>
      <c r="AD2566" t="str">
        <f>IF(A2566="","",IF(AC2566&gt;1,"REVISAR DUPLICADO",IF(AA2566&lt;&gt;"","ACTUALIZADO POR EYR","SIN REPORTE EYR")))</f>
        <v/>
      </c>
    </row>
    <row r="2567" spans="11:30" x14ac:dyDescent="0.3">
      <c r="K2567" s="1" t="str">
        <f ca="1">IF(A2567="","",IF(OR(L2567="ENTREGADA",L2567="RETORNADA",L2567="ENTREGA DIGITAL"),0,MAX(0,5-NETWORKDAYS(H2567+1,TODAY()))))</f>
        <v/>
      </c>
      <c r="L2567" t="str">
        <f>IF(A2567="","",IFERROR(LOOKUP(2,1/(#REF!=Z2567),#REF!),Y2567))</f>
        <v/>
      </c>
      <c r="Z2567" t="str">
        <f>IF(A2567="","",TEXT(A2567,"0")&amp;"|"&amp;TEXT(H2567,"0"))</f>
        <v/>
      </c>
      <c r="AA2567" t="str">
        <f>IF(Z2567="","",IFERROR(LOOKUP(2,1/(#REF!=Z2567),#REF!),""))</f>
        <v/>
      </c>
      <c r="AB2567" t="str">
        <f>IF(Z2567="","",IFERROR(LOOKUP(2,1/(#REF!=Z2567),#REF!),""))</f>
        <v/>
      </c>
      <c r="AC2567" t="str">
        <f>IF(Z2567="","",COUNTIF(#REF!,Z2567))</f>
        <v/>
      </c>
      <c r="AD2567" t="str">
        <f>IF(A2567="","",IF(AC2567&gt;1,"REVISAR DUPLICADO",IF(AA2567&lt;&gt;"","ACTUALIZADO POR EYR","SIN REPORTE EYR")))</f>
        <v/>
      </c>
    </row>
    <row r="2568" spans="11:30" x14ac:dyDescent="0.3">
      <c r="K2568" s="1" t="str">
        <f ca="1">IF(A2568="","",IF(OR(L2568="ENTREGADA",L2568="RETORNADA",L2568="ENTREGA DIGITAL"),0,MAX(0,5-NETWORKDAYS(H2568+1,TODAY()))))</f>
        <v/>
      </c>
      <c r="L2568" t="str">
        <f>IF(A2568="","",IFERROR(LOOKUP(2,1/(#REF!=Z2568),#REF!),Y2568))</f>
        <v/>
      </c>
      <c r="Z2568" t="str">
        <f>IF(A2568="","",TEXT(A2568,"0")&amp;"|"&amp;TEXT(H2568,"0"))</f>
        <v/>
      </c>
      <c r="AA2568" t="str">
        <f>IF(Z2568="","",IFERROR(LOOKUP(2,1/(#REF!=Z2568),#REF!),""))</f>
        <v/>
      </c>
      <c r="AB2568" t="str">
        <f>IF(Z2568="","",IFERROR(LOOKUP(2,1/(#REF!=Z2568),#REF!),""))</f>
        <v/>
      </c>
      <c r="AC2568" t="str">
        <f>IF(Z2568="","",COUNTIF(#REF!,Z2568))</f>
        <v/>
      </c>
      <c r="AD2568" t="str">
        <f>IF(A2568="","",IF(AC2568&gt;1,"REVISAR DUPLICADO",IF(AA2568&lt;&gt;"","ACTUALIZADO POR EYR","SIN REPORTE EYR")))</f>
        <v/>
      </c>
    </row>
    <row r="2569" spans="11:30" x14ac:dyDescent="0.3">
      <c r="K2569" s="1" t="str">
        <f ca="1">IF(A2569="","",IF(OR(L2569="ENTREGADA",L2569="RETORNADA",L2569="ENTREGA DIGITAL"),0,MAX(0,5-NETWORKDAYS(H2569+1,TODAY()))))</f>
        <v/>
      </c>
      <c r="L2569" t="str">
        <f>IF(A2569="","",IFERROR(LOOKUP(2,1/(#REF!=Z2569),#REF!),Y2569))</f>
        <v/>
      </c>
      <c r="Z2569" t="str">
        <f>IF(A2569="","",TEXT(A2569,"0")&amp;"|"&amp;TEXT(H2569,"0"))</f>
        <v/>
      </c>
      <c r="AA2569" t="str">
        <f>IF(Z2569="","",IFERROR(LOOKUP(2,1/(#REF!=Z2569),#REF!),""))</f>
        <v/>
      </c>
      <c r="AB2569" t="str">
        <f>IF(Z2569="","",IFERROR(LOOKUP(2,1/(#REF!=Z2569),#REF!),""))</f>
        <v/>
      </c>
      <c r="AC2569" t="str">
        <f>IF(Z2569="","",COUNTIF(#REF!,Z2569))</f>
        <v/>
      </c>
      <c r="AD2569" t="str">
        <f>IF(A2569="","",IF(AC2569&gt;1,"REVISAR DUPLICADO",IF(AA2569&lt;&gt;"","ACTUALIZADO POR EYR","SIN REPORTE EYR")))</f>
        <v/>
      </c>
    </row>
    <row r="2570" spans="11:30" x14ac:dyDescent="0.3">
      <c r="K2570" s="1" t="str">
        <f ca="1">IF(A2570="","",IF(OR(L2570="ENTREGADA",L2570="RETORNADA",L2570="ENTREGA DIGITAL"),0,MAX(0,5-NETWORKDAYS(H2570+1,TODAY()))))</f>
        <v/>
      </c>
      <c r="L2570" t="str">
        <f>IF(A2570="","",IFERROR(LOOKUP(2,1/(#REF!=Z2570),#REF!),Y2570))</f>
        <v/>
      </c>
      <c r="Z2570" t="str">
        <f>IF(A2570="","",TEXT(A2570,"0")&amp;"|"&amp;TEXT(H2570,"0"))</f>
        <v/>
      </c>
      <c r="AA2570" t="str">
        <f>IF(Z2570="","",IFERROR(LOOKUP(2,1/(#REF!=Z2570),#REF!),""))</f>
        <v/>
      </c>
      <c r="AB2570" t="str">
        <f>IF(Z2570="","",IFERROR(LOOKUP(2,1/(#REF!=Z2570),#REF!),""))</f>
        <v/>
      </c>
      <c r="AC2570" t="str">
        <f>IF(Z2570="","",COUNTIF(#REF!,Z2570))</f>
        <v/>
      </c>
      <c r="AD2570" t="str">
        <f>IF(A2570="","",IF(AC2570&gt;1,"REVISAR DUPLICADO",IF(AA2570&lt;&gt;"","ACTUALIZADO POR EYR","SIN REPORTE EYR")))</f>
        <v/>
      </c>
    </row>
    <row r="2571" spans="11:30" x14ac:dyDescent="0.3">
      <c r="K2571" s="1" t="str">
        <f ca="1">IF(A2571="","",IF(OR(L2571="ENTREGADA",L2571="RETORNADA",L2571="ENTREGA DIGITAL"),0,MAX(0,5-NETWORKDAYS(H2571+1,TODAY()))))</f>
        <v/>
      </c>
      <c r="L2571" t="str">
        <f>IF(A2571="","",IFERROR(LOOKUP(2,1/(#REF!=Z2571),#REF!),Y2571))</f>
        <v/>
      </c>
      <c r="Z2571" t="str">
        <f>IF(A2571="","",TEXT(A2571,"0")&amp;"|"&amp;TEXT(H2571,"0"))</f>
        <v/>
      </c>
      <c r="AA2571" t="str">
        <f>IF(Z2571="","",IFERROR(LOOKUP(2,1/(#REF!=Z2571),#REF!),""))</f>
        <v/>
      </c>
      <c r="AB2571" t="str">
        <f>IF(Z2571="","",IFERROR(LOOKUP(2,1/(#REF!=Z2571),#REF!),""))</f>
        <v/>
      </c>
      <c r="AC2571" t="str">
        <f>IF(Z2571="","",COUNTIF(#REF!,Z2571))</f>
        <v/>
      </c>
      <c r="AD2571" t="str">
        <f>IF(A2571="","",IF(AC2571&gt;1,"REVISAR DUPLICADO",IF(AA2571&lt;&gt;"","ACTUALIZADO POR EYR","SIN REPORTE EYR")))</f>
        <v/>
      </c>
    </row>
    <row r="2572" spans="11:30" x14ac:dyDescent="0.3">
      <c r="K2572" s="1" t="str">
        <f ca="1">IF(A2572="","",IF(OR(L2572="ENTREGADA",L2572="RETORNADA",L2572="ENTREGA DIGITAL"),0,MAX(0,5-NETWORKDAYS(H2572+1,TODAY()))))</f>
        <v/>
      </c>
      <c r="L2572" t="str">
        <f>IF(A2572="","",IFERROR(LOOKUP(2,1/(#REF!=Z2572),#REF!),Y2572))</f>
        <v/>
      </c>
      <c r="Z2572" t="str">
        <f>IF(A2572="","",TEXT(A2572,"0")&amp;"|"&amp;TEXT(H2572,"0"))</f>
        <v/>
      </c>
      <c r="AA2572" t="str">
        <f>IF(Z2572="","",IFERROR(LOOKUP(2,1/(#REF!=Z2572),#REF!),""))</f>
        <v/>
      </c>
      <c r="AB2572" t="str">
        <f>IF(Z2572="","",IFERROR(LOOKUP(2,1/(#REF!=Z2572),#REF!),""))</f>
        <v/>
      </c>
      <c r="AC2572" t="str">
        <f>IF(Z2572="","",COUNTIF(#REF!,Z2572))</f>
        <v/>
      </c>
      <c r="AD2572" t="str">
        <f>IF(A2572="","",IF(AC2572&gt;1,"REVISAR DUPLICADO",IF(AA2572&lt;&gt;"","ACTUALIZADO POR EYR","SIN REPORTE EYR")))</f>
        <v/>
      </c>
    </row>
    <row r="2573" spans="11:30" x14ac:dyDescent="0.3">
      <c r="K2573" s="1" t="str">
        <f ca="1">IF(A2573="","",IF(OR(L2573="ENTREGADA",L2573="RETORNADA",L2573="ENTREGA DIGITAL"),0,MAX(0,5-NETWORKDAYS(H2573+1,TODAY()))))</f>
        <v/>
      </c>
      <c r="L2573" t="str">
        <f>IF(A2573="","",IFERROR(LOOKUP(2,1/(#REF!=Z2573),#REF!),Y2573))</f>
        <v/>
      </c>
      <c r="Z2573" t="str">
        <f>IF(A2573="","",TEXT(A2573,"0")&amp;"|"&amp;TEXT(H2573,"0"))</f>
        <v/>
      </c>
      <c r="AA2573" t="str">
        <f>IF(Z2573="","",IFERROR(LOOKUP(2,1/(#REF!=Z2573),#REF!),""))</f>
        <v/>
      </c>
      <c r="AB2573" t="str">
        <f>IF(Z2573="","",IFERROR(LOOKUP(2,1/(#REF!=Z2573),#REF!),""))</f>
        <v/>
      </c>
      <c r="AC2573" t="str">
        <f>IF(Z2573="","",COUNTIF(#REF!,Z2573))</f>
        <v/>
      </c>
      <c r="AD2573" t="str">
        <f>IF(A2573="","",IF(AC2573&gt;1,"REVISAR DUPLICADO",IF(AA2573&lt;&gt;"","ACTUALIZADO POR EYR","SIN REPORTE EYR")))</f>
        <v/>
      </c>
    </row>
    <row r="2574" spans="11:30" x14ac:dyDescent="0.3">
      <c r="K2574" s="1" t="str">
        <f ca="1">IF(A2574="","",IF(OR(L2574="ENTREGADA",L2574="RETORNADA",L2574="ENTREGA DIGITAL"),0,MAX(0,5-NETWORKDAYS(H2574+1,TODAY()))))</f>
        <v/>
      </c>
      <c r="L2574" t="str">
        <f>IF(A2574="","",IFERROR(LOOKUP(2,1/(#REF!=Z2574),#REF!),Y2574))</f>
        <v/>
      </c>
      <c r="Z2574" t="str">
        <f>IF(A2574="","",TEXT(A2574,"0")&amp;"|"&amp;TEXT(H2574,"0"))</f>
        <v/>
      </c>
      <c r="AA2574" t="str">
        <f>IF(Z2574="","",IFERROR(LOOKUP(2,1/(#REF!=Z2574),#REF!),""))</f>
        <v/>
      </c>
      <c r="AB2574" t="str">
        <f>IF(Z2574="","",IFERROR(LOOKUP(2,1/(#REF!=Z2574),#REF!),""))</f>
        <v/>
      </c>
      <c r="AC2574" t="str">
        <f>IF(Z2574="","",COUNTIF(#REF!,Z2574))</f>
        <v/>
      </c>
      <c r="AD2574" t="str">
        <f>IF(A2574="","",IF(AC2574&gt;1,"REVISAR DUPLICADO",IF(AA2574&lt;&gt;"","ACTUALIZADO POR EYR","SIN REPORTE EYR")))</f>
        <v/>
      </c>
    </row>
    <row r="2575" spans="11:30" x14ac:dyDescent="0.3">
      <c r="K2575" s="1" t="str">
        <f ca="1">IF(A2575="","",IF(OR(L2575="ENTREGADA",L2575="RETORNADA",L2575="ENTREGA DIGITAL"),0,MAX(0,5-NETWORKDAYS(H2575+1,TODAY()))))</f>
        <v/>
      </c>
      <c r="L2575" t="str">
        <f>IF(A2575="","",IFERROR(LOOKUP(2,1/(#REF!=Z2575),#REF!),Y2575))</f>
        <v/>
      </c>
      <c r="Z2575" t="str">
        <f>IF(A2575="","",TEXT(A2575,"0")&amp;"|"&amp;TEXT(H2575,"0"))</f>
        <v/>
      </c>
      <c r="AA2575" t="str">
        <f>IF(Z2575="","",IFERROR(LOOKUP(2,1/(#REF!=Z2575),#REF!),""))</f>
        <v/>
      </c>
      <c r="AB2575" t="str">
        <f>IF(Z2575="","",IFERROR(LOOKUP(2,1/(#REF!=Z2575),#REF!),""))</f>
        <v/>
      </c>
      <c r="AC2575" t="str">
        <f>IF(Z2575="","",COUNTIF(#REF!,Z2575))</f>
        <v/>
      </c>
      <c r="AD2575" t="str">
        <f>IF(A2575="","",IF(AC2575&gt;1,"REVISAR DUPLICADO",IF(AA2575&lt;&gt;"","ACTUALIZADO POR EYR","SIN REPORTE EYR")))</f>
        <v/>
      </c>
    </row>
    <row r="2576" spans="11:30" x14ac:dyDescent="0.3">
      <c r="K2576" s="1" t="str">
        <f ca="1">IF(A2576="","",IF(OR(L2576="ENTREGADA",L2576="RETORNADA",L2576="ENTREGA DIGITAL"),0,MAX(0,5-NETWORKDAYS(H2576+1,TODAY()))))</f>
        <v/>
      </c>
      <c r="L2576" t="str">
        <f>IF(A2576="","",IFERROR(LOOKUP(2,1/(#REF!=Z2576),#REF!),Y2576))</f>
        <v/>
      </c>
      <c r="Z2576" t="str">
        <f>IF(A2576="","",TEXT(A2576,"0")&amp;"|"&amp;TEXT(H2576,"0"))</f>
        <v/>
      </c>
      <c r="AA2576" t="str">
        <f>IF(Z2576="","",IFERROR(LOOKUP(2,1/(#REF!=Z2576),#REF!),""))</f>
        <v/>
      </c>
      <c r="AB2576" t="str">
        <f>IF(Z2576="","",IFERROR(LOOKUP(2,1/(#REF!=Z2576),#REF!),""))</f>
        <v/>
      </c>
      <c r="AC2576" t="str">
        <f>IF(Z2576="","",COUNTIF(#REF!,Z2576))</f>
        <v/>
      </c>
      <c r="AD2576" t="str">
        <f>IF(A2576="","",IF(AC2576&gt;1,"REVISAR DUPLICADO",IF(AA2576&lt;&gt;"","ACTUALIZADO POR EYR","SIN REPORTE EYR")))</f>
        <v/>
      </c>
    </row>
    <row r="2577" spans="11:30" x14ac:dyDescent="0.3">
      <c r="K2577" s="1" t="str">
        <f ca="1">IF(A2577="","",IF(OR(L2577="ENTREGADA",L2577="RETORNADA",L2577="ENTREGA DIGITAL"),0,MAX(0,5-NETWORKDAYS(H2577+1,TODAY()))))</f>
        <v/>
      </c>
      <c r="L2577" t="str">
        <f>IF(A2577="","",IFERROR(LOOKUP(2,1/(#REF!=Z2577),#REF!),Y2577))</f>
        <v/>
      </c>
      <c r="Z2577" t="str">
        <f>IF(A2577="","",TEXT(A2577,"0")&amp;"|"&amp;TEXT(H2577,"0"))</f>
        <v/>
      </c>
      <c r="AA2577" t="str">
        <f>IF(Z2577="","",IFERROR(LOOKUP(2,1/(#REF!=Z2577),#REF!),""))</f>
        <v/>
      </c>
      <c r="AB2577" t="str">
        <f>IF(Z2577="","",IFERROR(LOOKUP(2,1/(#REF!=Z2577),#REF!),""))</f>
        <v/>
      </c>
      <c r="AC2577" t="str">
        <f>IF(Z2577="","",COUNTIF(#REF!,Z2577))</f>
        <v/>
      </c>
      <c r="AD2577" t="str">
        <f>IF(A2577="","",IF(AC2577&gt;1,"REVISAR DUPLICADO",IF(AA2577&lt;&gt;"","ACTUALIZADO POR EYR","SIN REPORTE EYR")))</f>
        <v/>
      </c>
    </row>
    <row r="2578" spans="11:30" x14ac:dyDescent="0.3">
      <c r="K2578" s="1" t="str">
        <f ca="1">IF(A2578="","",IF(OR(L2578="ENTREGADA",L2578="RETORNADA",L2578="ENTREGA DIGITAL"),0,MAX(0,5-NETWORKDAYS(H2578+1,TODAY()))))</f>
        <v/>
      </c>
      <c r="L2578" t="str">
        <f>IF(A2578="","",IFERROR(LOOKUP(2,1/(#REF!=Z2578),#REF!),Y2578))</f>
        <v/>
      </c>
      <c r="Z2578" t="str">
        <f>IF(A2578="","",TEXT(A2578,"0")&amp;"|"&amp;TEXT(H2578,"0"))</f>
        <v/>
      </c>
      <c r="AA2578" t="str">
        <f>IF(Z2578="","",IFERROR(LOOKUP(2,1/(#REF!=Z2578),#REF!),""))</f>
        <v/>
      </c>
      <c r="AB2578" t="str">
        <f>IF(Z2578="","",IFERROR(LOOKUP(2,1/(#REF!=Z2578),#REF!),""))</f>
        <v/>
      </c>
      <c r="AC2578" t="str">
        <f>IF(Z2578="","",COUNTIF(#REF!,Z2578))</f>
        <v/>
      </c>
      <c r="AD2578" t="str">
        <f>IF(A2578="","",IF(AC2578&gt;1,"REVISAR DUPLICADO",IF(AA2578&lt;&gt;"","ACTUALIZADO POR EYR","SIN REPORTE EYR")))</f>
        <v/>
      </c>
    </row>
    <row r="2579" spans="11:30" x14ac:dyDescent="0.3">
      <c r="K2579" s="1" t="str">
        <f ca="1">IF(A2579="","",IF(OR(L2579="ENTREGADA",L2579="RETORNADA",L2579="ENTREGA DIGITAL"),0,MAX(0,5-NETWORKDAYS(H2579+1,TODAY()))))</f>
        <v/>
      </c>
      <c r="L2579" t="str">
        <f>IF(A2579="","",IFERROR(LOOKUP(2,1/(#REF!=Z2579),#REF!),Y2579))</f>
        <v/>
      </c>
      <c r="Z2579" t="str">
        <f>IF(A2579="","",TEXT(A2579,"0")&amp;"|"&amp;TEXT(H2579,"0"))</f>
        <v/>
      </c>
      <c r="AA2579" t="str">
        <f>IF(Z2579="","",IFERROR(LOOKUP(2,1/(#REF!=Z2579),#REF!),""))</f>
        <v/>
      </c>
      <c r="AB2579" t="str">
        <f>IF(Z2579="","",IFERROR(LOOKUP(2,1/(#REF!=Z2579),#REF!),""))</f>
        <v/>
      </c>
      <c r="AC2579" t="str">
        <f>IF(Z2579="","",COUNTIF(#REF!,Z2579))</f>
        <v/>
      </c>
      <c r="AD2579" t="str">
        <f>IF(A2579="","",IF(AC2579&gt;1,"REVISAR DUPLICADO",IF(AA2579&lt;&gt;"","ACTUALIZADO POR EYR","SIN REPORTE EYR")))</f>
        <v/>
      </c>
    </row>
    <row r="2580" spans="11:30" x14ac:dyDescent="0.3">
      <c r="K2580" s="1" t="str">
        <f ca="1">IF(A2580="","",IF(OR(L2580="ENTREGADA",L2580="RETORNADA",L2580="ENTREGA DIGITAL"),0,MAX(0,5-NETWORKDAYS(H2580+1,TODAY()))))</f>
        <v/>
      </c>
      <c r="L2580" t="str">
        <f>IF(A2580="","",IFERROR(LOOKUP(2,1/(#REF!=Z2580),#REF!),Y2580))</f>
        <v/>
      </c>
      <c r="Z2580" t="str">
        <f>IF(A2580="","",TEXT(A2580,"0")&amp;"|"&amp;TEXT(H2580,"0"))</f>
        <v/>
      </c>
      <c r="AA2580" t="str">
        <f>IF(Z2580="","",IFERROR(LOOKUP(2,1/(#REF!=Z2580),#REF!),""))</f>
        <v/>
      </c>
      <c r="AB2580" t="str">
        <f>IF(Z2580="","",IFERROR(LOOKUP(2,1/(#REF!=Z2580),#REF!),""))</f>
        <v/>
      </c>
      <c r="AC2580" t="str">
        <f>IF(Z2580="","",COUNTIF(#REF!,Z2580))</f>
        <v/>
      </c>
      <c r="AD2580" t="str">
        <f>IF(A2580="","",IF(AC2580&gt;1,"REVISAR DUPLICADO",IF(AA2580&lt;&gt;"","ACTUALIZADO POR EYR","SIN REPORTE EYR")))</f>
        <v/>
      </c>
    </row>
    <row r="2581" spans="11:30" x14ac:dyDescent="0.3">
      <c r="K2581" s="1" t="str">
        <f ca="1">IF(A2581="","",IF(OR(L2581="ENTREGADA",L2581="RETORNADA",L2581="ENTREGA DIGITAL"),0,MAX(0,5-NETWORKDAYS(H2581+1,TODAY()))))</f>
        <v/>
      </c>
      <c r="L2581" t="str">
        <f>IF(A2581="","",IFERROR(LOOKUP(2,1/(#REF!=Z2581),#REF!),Y2581))</f>
        <v/>
      </c>
      <c r="Z2581" t="str">
        <f>IF(A2581="","",TEXT(A2581,"0")&amp;"|"&amp;TEXT(H2581,"0"))</f>
        <v/>
      </c>
      <c r="AA2581" t="str">
        <f>IF(Z2581="","",IFERROR(LOOKUP(2,1/(#REF!=Z2581),#REF!),""))</f>
        <v/>
      </c>
      <c r="AB2581" t="str">
        <f>IF(Z2581="","",IFERROR(LOOKUP(2,1/(#REF!=Z2581),#REF!),""))</f>
        <v/>
      </c>
      <c r="AC2581" t="str">
        <f>IF(Z2581="","",COUNTIF(#REF!,Z2581))</f>
        <v/>
      </c>
      <c r="AD2581" t="str">
        <f>IF(A2581="","",IF(AC2581&gt;1,"REVISAR DUPLICADO",IF(AA2581&lt;&gt;"","ACTUALIZADO POR EYR","SIN REPORTE EYR")))</f>
        <v/>
      </c>
    </row>
    <row r="2582" spans="11:30" x14ac:dyDescent="0.3">
      <c r="K2582" s="1" t="str">
        <f ca="1">IF(A2582="","",IF(OR(L2582="ENTREGADA",L2582="RETORNADA",L2582="ENTREGA DIGITAL"),0,MAX(0,5-NETWORKDAYS(H2582+1,TODAY()))))</f>
        <v/>
      </c>
      <c r="L2582" t="str">
        <f>IF(A2582="","",IFERROR(LOOKUP(2,1/(#REF!=Z2582),#REF!),Y2582))</f>
        <v/>
      </c>
      <c r="Z2582" t="str">
        <f>IF(A2582="","",TEXT(A2582,"0")&amp;"|"&amp;TEXT(H2582,"0"))</f>
        <v/>
      </c>
      <c r="AA2582" t="str">
        <f>IF(Z2582="","",IFERROR(LOOKUP(2,1/(#REF!=Z2582),#REF!),""))</f>
        <v/>
      </c>
      <c r="AB2582" t="str">
        <f>IF(Z2582="","",IFERROR(LOOKUP(2,1/(#REF!=Z2582),#REF!),""))</f>
        <v/>
      </c>
      <c r="AC2582" t="str">
        <f>IF(Z2582="","",COUNTIF(#REF!,Z2582))</f>
        <v/>
      </c>
      <c r="AD2582" t="str">
        <f>IF(A2582="","",IF(AC2582&gt;1,"REVISAR DUPLICADO",IF(AA2582&lt;&gt;"","ACTUALIZADO POR EYR","SIN REPORTE EYR")))</f>
        <v/>
      </c>
    </row>
    <row r="2583" spans="11:30" x14ac:dyDescent="0.3">
      <c r="K2583" s="1" t="str">
        <f ca="1">IF(A2583="","",IF(OR(L2583="ENTREGADA",L2583="RETORNADA",L2583="ENTREGA DIGITAL"),0,MAX(0,5-NETWORKDAYS(H2583+1,TODAY()))))</f>
        <v/>
      </c>
      <c r="L2583" t="str">
        <f>IF(A2583="","",IFERROR(LOOKUP(2,1/(#REF!=Z2583),#REF!),Y2583))</f>
        <v/>
      </c>
      <c r="Z2583" t="str">
        <f>IF(A2583="","",TEXT(A2583,"0")&amp;"|"&amp;TEXT(H2583,"0"))</f>
        <v/>
      </c>
      <c r="AA2583" t="str">
        <f>IF(Z2583="","",IFERROR(LOOKUP(2,1/(#REF!=Z2583),#REF!),""))</f>
        <v/>
      </c>
      <c r="AB2583" t="str">
        <f>IF(Z2583="","",IFERROR(LOOKUP(2,1/(#REF!=Z2583),#REF!),""))</f>
        <v/>
      </c>
      <c r="AC2583" t="str">
        <f>IF(Z2583="","",COUNTIF(#REF!,Z2583))</f>
        <v/>
      </c>
      <c r="AD2583" t="str">
        <f>IF(A2583="","",IF(AC2583&gt;1,"REVISAR DUPLICADO",IF(AA2583&lt;&gt;"","ACTUALIZADO POR EYR","SIN REPORTE EYR")))</f>
        <v/>
      </c>
    </row>
    <row r="2584" spans="11:30" x14ac:dyDescent="0.3">
      <c r="K2584" s="1" t="str">
        <f ca="1">IF(A2584="","",IF(OR(L2584="ENTREGADA",L2584="RETORNADA",L2584="ENTREGA DIGITAL"),0,MAX(0,5-NETWORKDAYS(H2584+1,TODAY()))))</f>
        <v/>
      </c>
      <c r="L2584" t="str">
        <f>IF(A2584="","",IFERROR(LOOKUP(2,1/(#REF!=Z2584),#REF!),Y2584))</f>
        <v/>
      </c>
      <c r="Z2584" t="str">
        <f>IF(A2584="","",TEXT(A2584,"0")&amp;"|"&amp;TEXT(H2584,"0"))</f>
        <v/>
      </c>
      <c r="AA2584" t="str">
        <f>IF(Z2584="","",IFERROR(LOOKUP(2,1/(#REF!=Z2584),#REF!),""))</f>
        <v/>
      </c>
      <c r="AB2584" t="str">
        <f>IF(Z2584="","",IFERROR(LOOKUP(2,1/(#REF!=Z2584),#REF!),""))</f>
        <v/>
      </c>
      <c r="AC2584" t="str">
        <f>IF(Z2584="","",COUNTIF(#REF!,Z2584))</f>
        <v/>
      </c>
      <c r="AD2584" t="str">
        <f>IF(A2584="","",IF(AC2584&gt;1,"REVISAR DUPLICADO",IF(AA2584&lt;&gt;"","ACTUALIZADO POR EYR","SIN REPORTE EYR")))</f>
        <v/>
      </c>
    </row>
    <row r="2585" spans="11:30" x14ac:dyDescent="0.3">
      <c r="K2585" s="1" t="str">
        <f ca="1">IF(A2585="","",IF(OR(L2585="ENTREGADA",L2585="RETORNADA",L2585="ENTREGA DIGITAL"),0,MAX(0,5-NETWORKDAYS(H2585+1,TODAY()))))</f>
        <v/>
      </c>
      <c r="L2585" t="str">
        <f>IF(A2585="","",IFERROR(LOOKUP(2,1/(#REF!=Z2585),#REF!),Y2585))</f>
        <v/>
      </c>
      <c r="Z2585" t="str">
        <f>IF(A2585="","",TEXT(A2585,"0")&amp;"|"&amp;TEXT(H2585,"0"))</f>
        <v/>
      </c>
      <c r="AA2585" t="str">
        <f>IF(Z2585="","",IFERROR(LOOKUP(2,1/(#REF!=Z2585),#REF!),""))</f>
        <v/>
      </c>
      <c r="AB2585" t="str">
        <f>IF(Z2585="","",IFERROR(LOOKUP(2,1/(#REF!=Z2585),#REF!),""))</f>
        <v/>
      </c>
      <c r="AC2585" t="str">
        <f>IF(Z2585="","",COUNTIF(#REF!,Z2585))</f>
        <v/>
      </c>
      <c r="AD2585" t="str">
        <f>IF(A2585="","",IF(AC2585&gt;1,"REVISAR DUPLICADO",IF(AA2585&lt;&gt;"","ACTUALIZADO POR EYR","SIN REPORTE EYR")))</f>
        <v/>
      </c>
    </row>
    <row r="2586" spans="11:30" x14ac:dyDescent="0.3">
      <c r="K2586" s="1" t="str">
        <f ca="1">IF(A2586="","",IF(OR(L2586="ENTREGADA",L2586="RETORNADA",L2586="ENTREGA DIGITAL"),0,MAX(0,5-NETWORKDAYS(H2586+1,TODAY()))))</f>
        <v/>
      </c>
      <c r="L2586" t="str">
        <f>IF(A2586="","",IFERROR(LOOKUP(2,1/(#REF!=Z2586),#REF!),Y2586))</f>
        <v/>
      </c>
      <c r="Z2586" t="str">
        <f>IF(A2586="","",TEXT(A2586,"0")&amp;"|"&amp;TEXT(H2586,"0"))</f>
        <v/>
      </c>
      <c r="AA2586" t="str">
        <f>IF(Z2586="","",IFERROR(LOOKUP(2,1/(#REF!=Z2586),#REF!),""))</f>
        <v/>
      </c>
      <c r="AB2586" t="str">
        <f>IF(Z2586="","",IFERROR(LOOKUP(2,1/(#REF!=Z2586),#REF!),""))</f>
        <v/>
      </c>
      <c r="AC2586" t="str">
        <f>IF(Z2586="","",COUNTIF(#REF!,Z2586))</f>
        <v/>
      </c>
      <c r="AD2586" t="str">
        <f>IF(A2586="","",IF(AC2586&gt;1,"REVISAR DUPLICADO",IF(AA2586&lt;&gt;"","ACTUALIZADO POR EYR","SIN REPORTE EYR")))</f>
        <v/>
      </c>
    </row>
    <row r="2587" spans="11:30" x14ac:dyDescent="0.3">
      <c r="K2587" s="1" t="str">
        <f ca="1">IF(A2587="","",IF(OR(L2587="ENTREGADA",L2587="RETORNADA",L2587="ENTREGA DIGITAL"),0,MAX(0,5-NETWORKDAYS(H2587+1,TODAY()))))</f>
        <v/>
      </c>
      <c r="L2587" t="str">
        <f>IF(A2587="","",IFERROR(LOOKUP(2,1/(#REF!=Z2587),#REF!),Y2587))</f>
        <v/>
      </c>
      <c r="Z2587" t="str">
        <f>IF(A2587="","",TEXT(A2587,"0")&amp;"|"&amp;TEXT(H2587,"0"))</f>
        <v/>
      </c>
      <c r="AA2587" t="str">
        <f>IF(Z2587="","",IFERROR(LOOKUP(2,1/(#REF!=Z2587),#REF!),""))</f>
        <v/>
      </c>
      <c r="AB2587" t="str">
        <f>IF(Z2587="","",IFERROR(LOOKUP(2,1/(#REF!=Z2587),#REF!),""))</f>
        <v/>
      </c>
      <c r="AC2587" t="str">
        <f>IF(Z2587="","",COUNTIF(#REF!,Z2587))</f>
        <v/>
      </c>
      <c r="AD2587" t="str">
        <f>IF(A2587="","",IF(AC2587&gt;1,"REVISAR DUPLICADO",IF(AA2587&lt;&gt;"","ACTUALIZADO POR EYR","SIN REPORTE EYR")))</f>
        <v/>
      </c>
    </row>
    <row r="2588" spans="11:30" x14ac:dyDescent="0.3">
      <c r="K2588" s="1" t="str">
        <f ca="1">IF(A2588="","",IF(OR(L2588="ENTREGADA",L2588="RETORNADA",L2588="ENTREGA DIGITAL"),0,MAX(0,5-NETWORKDAYS(H2588+1,TODAY()))))</f>
        <v/>
      </c>
      <c r="L2588" t="str">
        <f>IF(A2588="","",IFERROR(LOOKUP(2,1/(#REF!=Z2588),#REF!),Y2588))</f>
        <v/>
      </c>
      <c r="Z2588" t="str">
        <f>IF(A2588="","",TEXT(A2588,"0")&amp;"|"&amp;TEXT(H2588,"0"))</f>
        <v/>
      </c>
      <c r="AA2588" t="str">
        <f>IF(Z2588="","",IFERROR(LOOKUP(2,1/(#REF!=Z2588),#REF!),""))</f>
        <v/>
      </c>
      <c r="AB2588" t="str">
        <f>IF(Z2588="","",IFERROR(LOOKUP(2,1/(#REF!=Z2588),#REF!),""))</f>
        <v/>
      </c>
      <c r="AC2588" t="str">
        <f>IF(Z2588="","",COUNTIF(#REF!,Z2588))</f>
        <v/>
      </c>
      <c r="AD2588" t="str">
        <f>IF(A2588="","",IF(AC2588&gt;1,"REVISAR DUPLICADO",IF(AA2588&lt;&gt;"","ACTUALIZADO POR EYR","SIN REPORTE EYR")))</f>
        <v/>
      </c>
    </row>
    <row r="2589" spans="11:30" x14ac:dyDescent="0.3">
      <c r="K2589" s="1" t="str">
        <f ca="1">IF(A2589="","",IF(OR(L2589="ENTREGADA",L2589="RETORNADA",L2589="ENTREGA DIGITAL"),0,MAX(0,5-NETWORKDAYS(H2589+1,TODAY()))))</f>
        <v/>
      </c>
      <c r="L2589" t="str">
        <f>IF(A2589="","",IFERROR(LOOKUP(2,1/(#REF!=Z2589),#REF!),Y2589))</f>
        <v/>
      </c>
      <c r="Z2589" t="str">
        <f>IF(A2589="","",TEXT(A2589,"0")&amp;"|"&amp;TEXT(H2589,"0"))</f>
        <v/>
      </c>
      <c r="AA2589" t="str">
        <f>IF(Z2589="","",IFERROR(LOOKUP(2,1/(#REF!=Z2589),#REF!),""))</f>
        <v/>
      </c>
      <c r="AB2589" t="str">
        <f>IF(Z2589="","",IFERROR(LOOKUP(2,1/(#REF!=Z2589),#REF!),""))</f>
        <v/>
      </c>
      <c r="AC2589" t="str">
        <f>IF(Z2589="","",COUNTIF(#REF!,Z2589))</f>
        <v/>
      </c>
      <c r="AD2589" t="str">
        <f>IF(A2589="","",IF(AC2589&gt;1,"REVISAR DUPLICADO",IF(AA2589&lt;&gt;"","ACTUALIZADO POR EYR","SIN REPORTE EYR")))</f>
        <v/>
      </c>
    </row>
    <row r="2590" spans="11:30" x14ac:dyDescent="0.3">
      <c r="K2590" s="1" t="str">
        <f ca="1">IF(A2590="","",IF(OR(L2590="ENTREGADA",L2590="RETORNADA",L2590="ENTREGA DIGITAL"),0,MAX(0,5-NETWORKDAYS(H2590+1,TODAY()))))</f>
        <v/>
      </c>
      <c r="L2590" t="str">
        <f>IF(A2590="","",IFERROR(LOOKUP(2,1/(#REF!=Z2590),#REF!),Y2590))</f>
        <v/>
      </c>
      <c r="Z2590" t="str">
        <f>IF(A2590="","",TEXT(A2590,"0")&amp;"|"&amp;TEXT(H2590,"0"))</f>
        <v/>
      </c>
      <c r="AA2590" t="str">
        <f>IF(Z2590="","",IFERROR(LOOKUP(2,1/(#REF!=Z2590),#REF!),""))</f>
        <v/>
      </c>
      <c r="AB2590" t="str">
        <f>IF(Z2590="","",IFERROR(LOOKUP(2,1/(#REF!=Z2590),#REF!),""))</f>
        <v/>
      </c>
      <c r="AC2590" t="str">
        <f>IF(Z2590="","",COUNTIF(#REF!,Z2590))</f>
        <v/>
      </c>
      <c r="AD2590" t="str">
        <f>IF(A2590="","",IF(AC2590&gt;1,"REVISAR DUPLICADO",IF(AA2590&lt;&gt;"","ACTUALIZADO POR EYR","SIN REPORTE EYR")))</f>
        <v/>
      </c>
    </row>
    <row r="2591" spans="11:30" x14ac:dyDescent="0.3">
      <c r="K2591" s="1" t="str">
        <f ca="1">IF(A2591="","",IF(OR(L2591="ENTREGADA",L2591="RETORNADA",L2591="ENTREGA DIGITAL"),0,MAX(0,5-NETWORKDAYS(H2591+1,TODAY()))))</f>
        <v/>
      </c>
      <c r="L2591" t="str">
        <f>IF(A2591="","",IFERROR(LOOKUP(2,1/(#REF!=Z2591),#REF!),Y2591))</f>
        <v/>
      </c>
      <c r="Z2591" t="str">
        <f>IF(A2591="","",TEXT(A2591,"0")&amp;"|"&amp;TEXT(H2591,"0"))</f>
        <v/>
      </c>
      <c r="AA2591" t="str">
        <f>IF(Z2591="","",IFERROR(LOOKUP(2,1/(#REF!=Z2591),#REF!),""))</f>
        <v/>
      </c>
      <c r="AB2591" t="str">
        <f>IF(Z2591="","",IFERROR(LOOKUP(2,1/(#REF!=Z2591),#REF!),""))</f>
        <v/>
      </c>
      <c r="AC2591" t="str">
        <f>IF(Z2591="","",COUNTIF(#REF!,Z2591))</f>
        <v/>
      </c>
      <c r="AD2591" t="str">
        <f>IF(A2591="","",IF(AC2591&gt;1,"REVISAR DUPLICADO",IF(AA2591&lt;&gt;"","ACTUALIZADO POR EYR","SIN REPORTE EYR")))</f>
        <v/>
      </c>
    </row>
    <row r="2592" spans="11:30" x14ac:dyDescent="0.3">
      <c r="K2592" s="1" t="str">
        <f ca="1">IF(A2592="","",IF(OR(L2592="ENTREGADA",L2592="RETORNADA",L2592="ENTREGA DIGITAL"),0,MAX(0,5-NETWORKDAYS(H2592+1,TODAY()))))</f>
        <v/>
      </c>
      <c r="L2592" t="str">
        <f>IF(A2592="","",IFERROR(LOOKUP(2,1/(#REF!=Z2592),#REF!),Y2592))</f>
        <v/>
      </c>
      <c r="Z2592" t="str">
        <f>IF(A2592="","",TEXT(A2592,"0")&amp;"|"&amp;TEXT(H2592,"0"))</f>
        <v/>
      </c>
      <c r="AA2592" t="str">
        <f>IF(Z2592="","",IFERROR(LOOKUP(2,1/(#REF!=Z2592),#REF!),""))</f>
        <v/>
      </c>
      <c r="AB2592" t="str">
        <f>IF(Z2592="","",IFERROR(LOOKUP(2,1/(#REF!=Z2592),#REF!),""))</f>
        <v/>
      </c>
      <c r="AC2592" t="str">
        <f>IF(Z2592="","",COUNTIF(#REF!,Z2592))</f>
        <v/>
      </c>
      <c r="AD2592" t="str">
        <f>IF(A2592="","",IF(AC2592&gt;1,"REVISAR DUPLICADO",IF(AA2592&lt;&gt;"","ACTUALIZADO POR EYR","SIN REPORTE EYR")))</f>
        <v/>
      </c>
    </row>
    <row r="2593" spans="11:30" x14ac:dyDescent="0.3">
      <c r="K2593" s="1" t="str">
        <f ca="1">IF(A2593="","",IF(OR(L2593="ENTREGADA",L2593="RETORNADA",L2593="ENTREGA DIGITAL"),0,MAX(0,5-NETWORKDAYS(H2593+1,TODAY()))))</f>
        <v/>
      </c>
      <c r="L2593" t="str">
        <f>IF(A2593="","",IFERROR(LOOKUP(2,1/(#REF!=Z2593),#REF!),Y2593))</f>
        <v/>
      </c>
      <c r="Z2593" t="str">
        <f>IF(A2593="","",TEXT(A2593,"0")&amp;"|"&amp;TEXT(H2593,"0"))</f>
        <v/>
      </c>
      <c r="AA2593" t="str">
        <f>IF(Z2593="","",IFERROR(LOOKUP(2,1/(#REF!=Z2593),#REF!),""))</f>
        <v/>
      </c>
      <c r="AB2593" t="str">
        <f>IF(Z2593="","",IFERROR(LOOKUP(2,1/(#REF!=Z2593),#REF!),""))</f>
        <v/>
      </c>
      <c r="AC2593" t="str">
        <f>IF(Z2593="","",COUNTIF(#REF!,Z2593))</f>
        <v/>
      </c>
      <c r="AD2593" t="str">
        <f>IF(A2593="","",IF(AC2593&gt;1,"REVISAR DUPLICADO",IF(AA2593&lt;&gt;"","ACTUALIZADO POR EYR","SIN REPORTE EYR")))</f>
        <v/>
      </c>
    </row>
    <row r="2594" spans="11:30" x14ac:dyDescent="0.3">
      <c r="K2594" s="1" t="str">
        <f ca="1">IF(A2594="","",IF(OR(L2594="ENTREGADA",L2594="RETORNADA",L2594="ENTREGA DIGITAL"),0,MAX(0,5-NETWORKDAYS(H2594+1,TODAY()))))</f>
        <v/>
      </c>
      <c r="L2594" t="str">
        <f>IF(A2594="","",IFERROR(LOOKUP(2,1/(#REF!=Z2594),#REF!),Y2594))</f>
        <v/>
      </c>
      <c r="Z2594" t="str">
        <f>IF(A2594="","",TEXT(A2594,"0")&amp;"|"&amp;TEXT(H2594,"0"))</f>
        <v/>
      </c>
      <c r="AA2594" t="str">
        <f>IF(Z2594="","",IFERROR(LOOKUP(2,1/(#REF!=Z2594),#REF!),""))</f>
        <v/>
      </c>
      <c r="AB2594" t="str">
        <f>IF(Z2594="","",IFERROR(LOOKUP(2,1/(#REF!=Z2594),#REF!),""))</f>
        <v/>
      </c>
      <c r="AC2594" t="str">
        <f>IF(Z2594="","",COUNTIF(#REF!,Z2594))</f>
        <v/>
      </c>
      <c r="AD2594" t="str">
        <f>IF(A2594="","",IF(AC2594&gt;1,"REVISAR DUPLICADO",IF(AA2594&lt;&gt;"","ACTUALIZADO POR EYR","SIN REPORTE EYR")))</f>
        <v/>
      </c>
    </row>
    <row r="2595" spans="11:30" x14ac:dyDescent="0.3">
      <c r="K2595" s="1" t="str">
        <f ca="1">IF(A2595="","",IF(OR(L2595="ENTREGADA",L2595="RETORNADA",L2595="ENTREGA DIGITAL"),0,MAX(0,5-NETWORKDAYS(H2595+1,TODAY()))))</f>
        <v/>
      </c>
      <c r="L2595" t="str">
        <f>IF(A2595="","",IFERROR(LOOKUP(2,1/(#REF!=Z2595),#REF!),Y2595))</f>
        <v/>
      </c>
      <c r="Z2595" t="str">
        <f>IF(A2595="","",TEXT(A2595,"0")&amp;"|"&amp;TEXT(H2595,"0"))</f>
        <v/>
      </c>
      <c r="AA2595" t="str">
        <f>IF(Z2595="","",IFERROR(LOOKUP(2,1/(#REF!=Z2595),#REF!),""))</f>
        <v/>
      </c>
      <c r="AB2595" t="str">
        <f>IF(Z2595="","",IFERROR(LOOKUP(2,1/(#REF!=Z2595),#REF!),""))</f>
        <v/>
      </c>
      <c r="AC2595" t="str">
        <f>IF(Z2595="","",COUNTIF(#REF!,Z2595))</f>
        <v/>
      </c>
      <c r="AD2595" t="str">
        <f>IF(A2595="","",IF(AC2595&gt;1,"REVISAR DUPLICADO",IF(AA2595&lt;&gt;"","ACTUALIZADO POR EYR","SIN REPORTE EYR")))</f>
        <v/>
      </c>
    </row>
    <row r="2596" spans="11:30" x14ac:dyDescent="0.3">
      <c r="K2596" s="1" t="str">
        <f ca="1">IF(A2596="","",IF(OR(L2596="ENTREGADA",L2596="RETORNADA",L2596="ENTREGA DIGITAL"),0,MAX(0,5-NETWORKDAYS(H2596+1,TODAY()))))</f>
        <v/>
      </c>
      <c r="L2596" t="str">
        <f>IF(A2596="","",IFERROR(LOOKUP(2,1/(#REF!=Z2596),#REF!),Y2596))</f>
        <v/>
      </c>
      <c r="Z2596" t="str">
        <f>IF(A2596="","",TEXT(A2596,"0")&amp;"|"&amp;TEXT(H2596,"0"))</f>
        <v/>
      </c>
      <c r="AA2596" t="str">
        <f>IF(Z2596="","",IFERROR(LOOKUP(2,1/(#REF!=Z2596),#REF!),""))</f>
        <v/>
      </c>
      <c r="AB2596" t="str">
        <f>IF(Z2596="","",IFERROR(LOOKUP(2,1/(#REF!=Z2596),#REF!),""))</f>
        <v/>
      </c>
      <c r="AC2596" t="str">
        <f>IF(Z2596="","",COUNTIF(#REF!,Z2596))</f>
        <v/>
      </c>
      <c r="AD2596" t="str">
        <f>IF(A2596="","",IF(AC2596&gt;1,"REVISAR DUPLICADO",IF(AA2596&lt;&gt;"","ACTUALIZADO POR EYR","SIN REPORTE EYR")))</f>
        <v/>
      </c>
    </row>
    <row r="2597" spans="11:30" x14ac:dyDescent="0.3">
      <c r="K2597" s="1" t="str">
        <f ca="1">IF(A2597="","",IF(OR(L2597="ENTREGADA",L2597="RETORNADA",L2597="ENTREGA DIGITAL"),0,MAX(0,5-NETWORKDAYS(H2597+1,TODAY()))))</f>
        <v/>
      </c>
      <c r="L2597" t="str">
        <f>IF(A2597="","",IFERROR(LOOKUP(2,1/(#REF!=Z2597),#REF!),Y2597))</f>
        <v/>
      </c>
      <c r="Z2597" t="str">
        <f>IF(A2597="","",TEXT(A2597,"0")&amp;"|"&amp;TEXT(H2597,"0"))</f>
        <v/>
      </c>
      <c r="AA2597" t="str">
        <f>IF(Z2597="","",IFERROR(LOOKUP(2,1/(#REF!=Z2597),#REF!),""))</f>
        <v/>
      </c>
      <c r="AB2597" t="str">
        <f>IF(Z2597="","",IFERROR(LOOKUP(2,1/(#REF!=Z2597),#REF!),""))</f>
        <v/>
      </c>
      <c r="AC2597" t="str">
        <f>IF(Z2597="","",COUNTIF(#REF!,Z2597))</f>
        <v/>
      </c>
      <c r="AD2597" t="str">
        <f>IF(A2597="","",IF(AC2597&gt;1,"REVISAR DUPLICADO",IF(AA2597&lt;&gt;"","ACTUALIZADO POR EYR","SIN REPORTE EYR")))</f>
        <v/>
      </c>
    </row>
    <row r="2598" spans="11:30" x14ac:dyDescent="0.3">
      <c r="K2598" s="1" t="str">
        <f ca="1">IF(A2598="","",IF(OR(L2598="ENTREGADA",L2598="RETORNADA",L2598="ENTREGA DIGITAL"),0,MAX(0,5-NETWORKDAYS(H2598+1,TODAY()))))</f>
        <v/>
      </c>
      <c r="L2598" t="str">
        <f>IF(A2598="","",IFERROR(LOOKUP(2,1/(#REF!=Z2598),#REF!),Y2598))</f>
        <v/>
      </c>
      <c r="Z2598" t="str">
        <f>IF(A2598="","",TEXT(A2598,"0")&amp;"|"&amp;TEXT(H2598,"0"))</f>
        <v/>
      </c>
      <c r="AA2598" t="str">
        <f>IF(Z2598="","",IFERROR(LOOKUP(2,1/(#REF!=Z2598),#REF!),""))</f>
        <v/>
      </c>
      <c r="AB2598" t="str">
        <f>IF(Z2598="","",IFERROR(LOOKUP(2,1/(#REF!=Z2598),#REF!),""))</f>
        <v/>
      </c>
      <c r="AC2598" t="str">
        <f>IF(Z2598="","",COUNTIF(#REF!,Z2598))</f>
        <v/>
      </c>
      <c r="AD2598" t="str">
        <f>IF(A2598="","",IF(AC2598&gt;1,"REVISAR DUPLICADO",IF(AA2598&lt;&gt;"","ACTUALIZADO POR EYR","SIN REPORTE EYR")))</f>
        <v/>
      </c>
    </row>
    <row r="2599" spans="11:30" x14ac:dyDescent="0.3">
      <c r="K2599" s="1" t="str">
        <f ca="1">IF(A2599="","",IF(OR(L2599="ENTREGADA",L2599="RETORNADA",L2599="ENTREGA DIGITAL"),0,MAX(0,5-NETWORKDAYS(H2599+1,TODAY()))))</f>
        <v/>
      </c>
      <c r="L2599" t="str">
        <f>IF(A2599="","",IFERROR(LOOKUP(2,1/(#REF!=Z2599),#REF!),Y2599))</f>
        <v/>
      </c>
      <c r="Z2599" t="str">
        <f>IF(A2599="","",TEXT(A2599,"0")&amp;"|"&amp;TEXT(H2599,"0"))</f>
        <v/>
      </c>
      <c r="AA2599" t="str">
        <f>IF(Z2599="","",IFERROR(LOOKUP(2,1/(#REF!=Z2599),#REF!),""))</f>
        <v/>
      </c>
      <c r="AB2599" t="str">
        <f>IF(Z2599="","",IFERROR(LOOKUP(2,1/(#REF!=Z2599),#REF!),""))</f>
        <v/>
      </c>
      <c r="AC2599" t="str">
        <f>IF(Z2599="","",COUNTIF(#REF!,Z2599))</f>
        <v/>
      </c>
      <c r="AD2599" t="str">
        <f>IF(A2599="","",IF(AC2599&gt;1,"REVISAR DUPLICADO",IF(AA2599&lt;&gt;"","ACTUALIZADO POR EYR","SIN REPORTE EYR")))</f>
        <v/>
      </c>
    </row>
    <row r="2600" spans="11:30" x14ac:dyDescent="0.3">
      <c r="K2600" s="1" t="str">
        <f ca="1">IF(A2600="","",IF(OR(L2600="ENTREGADA",L2600="RETORNADA",L2600="ENTREGA DIGITAL"),0,MAX(0,5-NETWORKDAYS(H2600+1,TODAY()))))</f>
        <v/>
      </c>
      <c r="L2600" t="str">
        <f>IF(A2600="","",IFERROR(LOOKUP(2,1/(#REF!=Z2600),#REF!),Y2600))</f>
        <v/>
      </c>
      <c r="Z2600" t="str">
        <f>IF(A2600="","",TEXT(A2600,"0")&amp;"|"&amp;TEXT(H2600,"0"))</f>
        <v/>
      </c>
      <c r="AA2600" t="str">
        <f>IF(Z2600="","",IFERROR(LOOKUP(2,1/(#REF!=Z2600),#REF!),""))</f>
        <v/>
      </c>
      <c r="AB2600" t="str">
        <f>IF(Z2600="","",IFERROR(LOOKUP(2,1/(#REF!=Z2600),#REF!),""))</f>
        <v/>
      </c>
      <c r="AC2600" t="str">
        <f>IF(Z2600="","",COUNTIF(#REF!,Z2600))</f>
        <v/>
      </c>
      <c r="AD2600" t="str">
        <f>IF(A2600="","",IF(AC2600&gt;1,"REVISAR DUPLICADO",IF(AA2600&lt;&gt;"","ACTUALIZADO POR EYR","SIN REPORTE EYR")))</f>
        <v/>
      </c>
    </row>
    <row r="2601" spans="11:30" x14ac:dyDescent="0.3">
      <c r="K2601" s="1" t="str">
        <f ca="1">IF(A2601="","",IF(OR(L2601="ENTREGADA",L2601="RETORNADA",L2601="ENTREGA DIGITAL"),0,MAX(0,5-NETWORKDAYS(H2601+1,TODAY()))))</f>
        <v/>
      </c>
      <c r="L2601" t="str">
        <f>IF(A2601="","",IFERROR(LOOKUP(2,1/(#REF!=Z2601),#REF!),Y2601))</f>
        <v/>
      </c>
      <c r="Z2601" t="str">
        <f>IF(A2601="","",TEXT(A2601,"0")&amp;"|"&amp;TEXT(H2601,"0"))</f>
        <v/>
      </c>
      <c r="AA2601" t="str">
        <f>IF(Z2601="","",IFERROR(LOOKUP(2,1/(#REF!=Z2601),#REF!),""))</f>
        <v/>
      </c>
      <c r="AB2601" t="str">
        <f>IF(Z2601="","",IFERROR(LOOKUP(2,1/(#REF!=Z2601),#REF!),""))</f>
        <v/>
      </c>
      <c r="AC2601" t="str">
        <f>IF(Z2601="","",COUNTIF(#REF!,Z2601))</f>
        <v/>
      </c>
      <c r="AD2601" t="str">
        <f>IF(A2601="","",IF(AC2601&gt;1,"REVISAR DUPLICADO",IF(AA2601&lt;&gt;"","ACTUALIZADO POR EYR","SIN REPORTE EYR")))</f>
        <v/>
      </c>
    </row>
    <row r="2602" spans="11:30" x14ac:dyDescent="0.3">
      <c r="K2602" s="1" t="str">
        <f ca="1">IF(A2602="","",IF(OR(L2602="ENTREGADA",L2602="RETORNADA",L2602="ENTREGA DIGITAL"),0,MAX(0,5-NETWORKDAYS(H2602+1,TODAY()))))</f>
        <v/>
      </c>
      <c r="L2602" t="str">
        <f>IF(A2602="","",IFERROR(LOOKUP(2,1/(#REF!=Z2602),#REF!),Y2602))</f>
        <v/>
      </c>
      <c r="Z2602" t="str">
        <f>IF(A2602="","",TEXT(A2602,"0")&amp;"|"&amp;TEXT(H2602,"0"))</f>
        <v/>
      </c>
      <c r="AA2602" t="str">
        <f>IF(Z2602="","",IFERROR(LOOKUP(2,1/(#REF!=Z2602),#REF!),""))</f>
        <v/>
      </c>
      <c r="AB2602" t="str">
        <f>IF(Z2602="","",IFERROR(LOOKUP(2,1/(#REF!=Z2602),#REF!),""))</f>
        <v/>
      </c>
      <c r="AC2602" t="str">
        <f>IF(Z2602="","",COUNTIF(#REF!,Z2602))</f>
        <v/>
      </c>
      <c r="AD2602" t="str">
        <f>IF(A2602="","",IF(AC2602&gt;1,"REVISAR DUPLICADO",IF(AA2602&lt;&gt;"","ACTUALIZADO POR EYR","SIN REPORTE EYR")))</f>
        <v/>
      </c>
    </row>
    <row r="2603" spans="11:30" x14ac:dyDescent="0.3">
      <c r="K2603" s="1" t="str">
        <f ca="1">IF(A2603="","",IF(OR(L2603="ENTREGADA",L2603="RETORNADA",L2603="ENTREGA DIGITAL"),0,MAX(0,5-NETWORKDAYS(H2603+1,TODAY()))))</f>
        <v/>
      </c>
      <c r="L2603" t="str">
        <f>IF(A2603="","",IFERROR(LOOKUP(2,1/(#REF!=Z2603),#REF!),Y2603))</f>
        <v/>
      </c>
      <c r="Z2603" t="str">
        <f>IF(A2603="","",TEXT(A2603,"0")&amp;"|"&amp;TEXT(H2603,"0"))</f>
        <v/>
      </c>
      <c r="AA2603" t="str">
        <f>IF(Z2603="","",IFERROR(LOOKUP(2,1/(#REF!=Z2603),#REF!),""))</f>
        <v/>
      </c>
      <c r="AB2603" t="str">
        <f>IF(Z2603="","",IFERROR(LOOKUP(2,1/(#REF!=Z2603),#REF!),""))</f>
        <v/>
      </c>
      <c r="AC2603" t="str">
        <f>IF(Z2603="","",COUNTIF(#REF!,Z2603))</f>
        <v/>
      </c>
      <c r="AD2603" t="str">
        <f>IF(A2603="","",IF(AC2603&gt;1,"REVISAR DUPLICADO",IF(AA2603&lt;&gt;"","ACTUALIZADO POR EYR","SIN REPORTE EYR")))</f>
        <v/>
      </c>
    </row>
    <row r="2604" spans="11:30" x14ac:dyDescent="0.3">
      <c r="K2604" s="1" t="str">
        <f ca="1">IF(A2604="","",IF(OR(L2604="ENTREGADA",L2604="RETORNADA",L2604="ENTREGA DIGITAL"),0,MAX(0,5-NETWORKDAYS(H2604+1,TODAY()))))</f>
        <v/>
      </c>
      <c r="L2604" t="str">
        <f>IF(A2604="","",IFERROR(LOOKUP(2,1/(#REF!=Z2604),#REF!),Y2604))</f>
        <v/>
      </c>
      <c r="Z2604" t="str">
        <f>IF(A2604="","",TEXT(A2604,"0")&amp;"|"&amp;TEXT(H2604,"0"))</f>
        <v/>
      </c>
      <c r="AA2604" t="str">
        <f>IF(Z2604="","",IFERROR(LOOKUP(2,1/(#REF!=Z2604),#REF!),""))</f>
        <v/>
      </c>
      <c r="AB2604" t="str">
        <f>IF(Z2604="","",IFERROR(LOOKUP(2,1/(#REF!=Z2604),#REF!),""))</f>
        <v/>
      </c>
      <c r="AC2604" t="str">
        <f>IF(Z2604="","",COUNTIF(#REF!,Z2604))</f>
        <v/>
      </c>
      <c r="AD2604" t="str">
        <f>IF(A2604="","",IF(AC2604&gt;1,"REVISAR DUPLICADO",IF(AA2604&lt;&gt;"","ACTUALIZADO POR EYR","SIN REPORTE EYR")))</f>
        <v/>
      </c>
    </row>
    <row r="2605" spans="11:30" x14ac:dyDescent="0.3">
      <c r="K2605" s="1" t="str">
        <f ca="1">IF(A2605="","",IF(OR(L2605="ENTREGADA",L2605="RETORNADA",L2605="ENTREGA DIGITAL"),0,MAX(0,5-NETWORKDAYS(H2605+1,TODAY()))))</f>
        <v/>
      </c>
      <c r="L2605" t="str">
        <f>IF(A2605="","",IFERROR(LOOKUP(2,1/(#REF!=Z2605),#REF!),Y2605))</f>
        <v/>
      </c>
      <c r="Z2605" t="str">
        <f>IF(A2605="","",TEXT(A2605,"0")&amp;"|"&amp;TEXT(H2605,"0"))</f>
        <v/>
      </c>
      <c r="AA2605" t="str">
        <f>IF(Z2605="","",IFERROR(LOOKUP(2,1/(#REF!=Z2605),#REF!),""))</f>
        <v/>
      </c>
      <c r="AB2605" t="str">
        <f>IF(Z2605="","",IFERROR(LOOKUP(2,1/(#REF!=Z2605),#REF!),""))</f>
        <v/>
      </c>
      <c r="AC2605" t="str">
        <f>IF(Z2605="","",COUNTIF(#REF!,Z2605))</f>
        <v/>
      </c>
      <c r="AD2605" t="str">
        <f>IF(A2605="","",IF(AC2605&gt;1,"REVISAR DUPLICADO",IF(AA2605&lt;&gt;"","ACTUALIZADO POR EYR","SIN REPORTE EYR")))</f>
        <v/>
      </c>
    </row>
    <row r="2606" spans="11:30" x14ac:dyDescent="0.3">
      <c r="K2606" s="1" t="str">
        <f ca="1">IF(A2606="","",IF(OR(L2606="ENTREGADA",L2606="RETORNADA",L2606="ENTREGA DIGITAL"),0,MAX(0,5-NETWORKDAYS(H2606+1,TODAY()))))</f>
        <v/>
      </c>
      <c r="L2606" t="str">
        <f>IF(A2606="","",IFERROR(LOOKUP(2,1/(#REF!=Z2606),#REF!),Y2606))</f>
        <v/>
      </c>
      <c r="Z2606" t="str">
        <f>IF(A2606="","",TEXT(A2606,"0")&amp;"|"&amp;TEXT(H2606,"0"))</f>
        <v/>
      </c>
      <c r="AA2606" t="str">
        <f>IF(Z2606="","",IFERROR(LOOKUP(2,1/(#REF!=Z2606),#REF!),""))</f>
        <v/>
      </c>
      <c r="AB2606" t="str">
        <f>IF(Z2606="","",IFERROR(LOOKUP(2,1/(#REF!=Z2606),#REF!),""))</f>
        <v/>
      </c>
      <c r="AC2606" t="str">
        <f>IF(Z2606="","",COUNTIF(#REF!,Z2606))</f>
        <v/>
      </c>
      <c r="AD2606" t="str">
        <f>IF(A2606="","",IF(AC2606&gt;1,"REVISAR DUPLICADO",IF(AA2606&lt;&gt;"","ACTUALIZADO POR EYR","SIN REPORTE EYR")))</f>
        <v/>
      </c>
    </row>
    <row r="2607" spans="11:30" x14ac:dyDescent="0.3">
      <c r="K2607" s="1" t="str">
        <f ca="1">IF(A2607="","",IF(OR(L2607="ENTREGADA",L2607="RETORNADA",L2607="ENTREGA DIGITAL"),0,MAX(0,5-NETWORKDAYS(H2607+1,TODAY()))))</f>
        <v/>
      </c>
      <c r="L2607" t="str">
        <f>IF(A2607="","",IFERROR(LOOKUP(2,1/(#REF!=Z2607),#REF!),Y2607))</f>
        <v/>
      </c>
      <c r="Z2607" t="str">
        <f>IF(A2607="","",TEXT(A2607,"0")&amp;"|"&amp;TEXT(H2607,"0"))</f>
        <v/>
      </c>
      <c r="AA2607" t="str">
        <f>IF(Z2607="","",IFERROR(LOOKUP(2,1/(#REF!=Z2607),#REF!),""))</f>
        <v/>
      </c>
      <c r="AB2607" t="str">
        <f>IF(Z2607="","",IFERROR(LOOKUP(2,1/(#REF!=Z2607),#REF!),""))</f>
        <v/>
      </c>
      <c r="AC2607" t="str">
        <f>IF(Z2607="","",COUNTIF(#REF!,Z2607))</f>
        <v/>
      </c>
      <c r="AD2607" t="str">
        <f>IF(A2607="","",IF(AC2607&gt;1,"REVISAR DUPLICADO",IF(AA2607&lt;&gt;"","ACTUALIZADO POR EYR","SIN REPORTE EYR")))</f>
        <v/>
      </c>
    </row>
    <row r="2608" spans="11:30" x14ac:dyDescent="0.3">
      <c r="K2608" s="1" t="str">
        <f ca="1">IF(A2608="","",IF(OR(L2608="ENTREGADA",L2608="RETORNADA",L2608="ENTREGA DIGITAL"),0,MAX(0,5-NETWORKDAYS(H2608+1,TODAY()))))</f>
        <v/>
      </c>
      <c r="L2608" t="str">
        <f>IF(A2608="","",IFERROR(LOOKUP(2,1/(#REF!=Z2608),#REF!),Y2608))</f>
        <v/>
      </c>
      <c r="Z2608" t="str">
        <f>IF(A2608="","",TEXT(A2608,"0")&amp;"|"&amp;TEXT(H2608,"0"))</f>
        <v/>
      </c>
      <c r="AA2608" t="str">
        <f>IF(Z2608="","",IFERROR(LOOKUP(2,1/(#REF!=Z2608),#REF!),""))</f>
        <v/>
      </c>
      <c r="AB2608" t="str">
        <f>IF(Z2608="","",IFERROR(LOOKUP(2,1/(#REF!=Z2608),#REF!),""))</f>
        <v/>
      </c>
      <c r="AC2608" t="str">
        <f>IF(Z2608="","",COUNTIF(#REF!,Z2608))</f>
        <v/>
      </c>
      <c r="AD2608" t="str">
        <f>IF(A2608="","",IF(AC2608&gt;1,"REVISAR DUPLICADO",IF(AA2608&lt;&gt;"","ACTUALIZADO POR EYR","SIN REPORTE EYR")))</f>
        <v/>
      </c>
    </row>
    <row r="2609" spans="11:30" x14ac:dyDescent="0.3">
      <c r="K2609" s="1" t="str">
        <f ca="1">IF(A2609="","",IF(OR(L2609="ENTREGADA",L2609="RETORNADA",L2609="ENTREGA DIGITAL"),0,MAX(0,5-NETWORKDAYS(H2609+1,TODAY()))))</f>
        <v/>
      </c>
      <c r="L2609" t="str">
        <f>IF(A2609="","",IFERROR(LOOKUP(2,1/(#REF!=Z2609),#REF!),Y2609))</f>
        <v/>
      </c>
      <c r="Z2609" t="str">
        <f>IF(A2609="","",TEXT(A2609,"0")&amp;"|"&amp;TEXT(H2609,"0"))</f>
        <v/>
      </c>
      <c r="AA2609" t="str">
        <f>IF(Z2609="","",IFERROR(LOOKUP(2,1/(#REF!=Z2609),#REF!),""))</f>
        <v/>
      </c>
      <c r="AB2609" t="str">
        <f>IF(Z2609="","",IFERROR(LOOKUP(2,1/(#REF!=Z2609),#REF!),""))</f>
        <v/>
      </c>
      <c r="AC2609" t="str">
        <f>IF(Z2609="","",COUNTIF(#REF!,Z2609))</f>
        <v/>
      </c>
      <c r="AD2609" t="str">
        <f>IF(A2609="","",IF(AC2609&gt;1,"REVISAR DUPLICADO",IF(AA2609&lt;&gt;"","ACTUALIZADO POR EYR","SIN REPORTE EYR")))</f>
        <v/>
      </c>
    </row>
    <row r="2610" spans="11:30" x14ac:dyDescent="0.3">
      <c r="K2610" s="1" t="str">
        <f ca="1">IF(A2610="","",IF(OR(L2610="ENTREGADA",L2610="RETORNADA",L2610="ENTREGA DIGITAL"),0,MAX(0,5-NETWORKDAYS(H2610+1,TODAY()))))</f>
        <v/>
      </c>
      <c r="L2610" t="str">
        <f>IF(A2610="","",IFERROR(LOOKUP(2,1/(#REF!=Z2610),#REF!),Y2610))</f>
        <v/>
      </c>
      <c r="Z2610" t="str">
        <f>IF(A2610="","",TEXT(A2610,"0")&amp;"|"&amp;TEXT(H2610,"0"))</f>
        <v/>
      </c>
      <c r="AA2610" t="str">
        <f>IF(Z2610="","",IFERROR(LOOKUP(2,1/(#REF!=Z2610),#REF!),""))</f>
        <v/>
      </c>
      <c r="AB2610" t="str">
        <f>IF(Z2610="","",IFERROR(LOOKUP(2,1/(#REF!=Z2610),#REF!),""))</f>
        <v/>
      </c>
      <c r="AC2610" t="str">
        <f>IF(Z2610="","",COUNTIF(#REF!,Z2610))</f>
        <v/>
      </c>
      <c r="AD2610" t="str">
        <f>IF(A2610="","",IF(AC2610&gt;1,"REVISAR DUPLICADO",IF(AA2610&lt;&gt;"","ACTUALIZADO POR EYR","SIN REPORTE EYR")))</f>
        <v/>
      </c>
    </row>
    <row r="2611" spans="11:30" x14ac:dyDescent="0.3">
      <c r="K2611" s="1" t="str">
        <f ca="1">IF(A2611="","",IF(OR(L2611="ENTREGADA",L2611="RETORNADA",L2611="ENTREGA DIGITAL"),0,MAX(0,5-NETWORKDAYS(H2611+1,TODAY()))))</f>
        <v/>
      </c>
      <c r="L2611" t="str">
        <f>IF(A2611="","",IFERROR(LOOKUP(2,1/(#REF!=Z2611),#REF!),Y2611))</f>
        <v/>
      </c>
      <c r="Z2611" t="str">
        <f>IF(A2611="","",TEXT(A2611,"0")&amp;"|"&amp;TEXT(H2611,"0"))</f>
        <v/>
      </c>
      <c r="AA2611" t="str">
        <f>IF(Z2611="","",IFERROR(LOOKUP(2,1/(#REF!=Z2611),#REF!),""))</f>
        <v/>
      </c>
      <c r="AB2611" t="str">
        <f>IF(Z2611="","",IFERROR(LOOKUP(2,1/(#REF!=Z2611),#REF!),""))</f>
        <v/>
      </c>
      <c r="AC2611" t="str">
        <f>IF(Z2611="","",COUNTIF(#REF!,Z2611))</f>
        <v/>
      </c>
      <c r="AD2611" t="str">
        <f>IF(A2611="","",IF(AC2611&gt;1,"REVISAR DUPLICADO",IF(AA2611&lt;&gt;"","ACTUALIZADO POR EYR","SIN REPORTE EYR")))</f>
        <v/>
      </c>
    </row>
    <row r="2612" spans="11:30" x14ac:dyDescent="0.3">
      <c r="K2612" s="1" t="str">
        <f ca="1">IF(A2612="","",IF(OR(L2612="ENTREGADA",L2612="RETORNADA",L2612="ENTREGA DIGITAL"),0,MAX(0,5-NETWORKDAYS(H2612+1,TODAY()))))</f>
        <v/>
      </c>
      <c r="L2612" t="str">
        <f>IF(A2612="","",IFERROR(LOOKUP(2,1/(#REF!=Z2612),#REF!),Y2612))</f>
        <v/>
      </c>
      <c r="Z2612" t="str">
        <f>IF(A2612="","",TEXT(A2612,"0")&amp;"|"&amp;TEXT(H2612,"0"))</f>
        <v/>
      </c>
      <c r="AA2612" t="str">
        <f>IF(Z2612="","",IFERROR(LOOKUP(2,1/(#REF!=Z2612),#REF!),""))</f>
        <v/>
      </c>
      <c r="AB2612" t="str">
        <f>IF(Z2612="","",IFERROR(LOOKUP(2,1/(#REF!=Z2612),#REF!),""))</f>
        <v/>
      </c>
      <c r="AC2612" t="str">
        <f>IF(Z2612="","",COUNTIF(#REF!,Z2612))</f>
        <v/>
      </c>
      <c r="AD2612" t="str">
        <f>IF(A2612="","",IF(AC2612&gt;1,"REVISAR DUPLICADO",IF(AA2612&lt;&gt;"","ACTUALIZADO POR EYR","SIN REPORTE EYR")))</f>
        <v/>
      </c>
    </row>
    <row r="2613" spans="11:30" x14ac:dyDescent="0.3">
      <c r="K2613" s="1" t="str">
        <f ca="1">IF(A2613="","",IF(OR(L2613="ENTREGADA",L2613="RETORNADA",L2613="ENTREGA DIGITAL"),0,MAX(0,5-NETWORKDAYS(H2613+1,TODAY()))))</f>
        <v/>
      </c>
      <c r="L2613" t="str">
        <f>IF(A2613="","",IFERROR(LOOKUP(2,1/(#REF!=Z2613),#REF!),Y2613))</f>
        <v/>
      </c>
      <c r="Z2613" t="str">
        <f>IF(A2613="","",TEXT(A2613,"0")&amp;"|"&amp;TEXT(H2613,"0"))</f>
        <v/>
      </c>
      <c r="AA2613" t="str">
        <f>IF(Z2613="","",IFERROR(LOOKUP(2,1/(#REF!=Z2613),#REF!),""))</f>
        <v/>
      </c>
      <c r="AB2613" t="str">
        <f>IF(Z2613="","",IFERROR(LOOKUP(2,1/(#REF!=Z2613),#REF!),""))</f>
        <v/>
      </c>
      <c r="AC2613" t="str">
        <f>IF(Z2613="","",COUNTIF(#REF!,Z2613))</f>
        <v/>
      </c>
      <c r="AD2613" t="str">
        <f>IF(A2613="","",IF(AC2613&gt;1,"REVISAR DUPLICADO",IF(AA2613&lt;&gt;"","ACTUALIZADO POR EYR","SIN REPORTE EYR")))</f>
        <v/>
      </c>
    </row>
    <row r="2614" spans="11:30" x14ac:dyDescent="0.3">
      <c r="K2614" s="1" t="str">
        <f ca="1">IF(A2614="","",IF(OR(L2614="ENTREGADA",L2614="RETORNADA",L2614="ENTREGA DIGITAL"),0,MAX(0,5-NETWORKDAYS(H2614+1,TODAY()))))</f>
        <v/>
      </c>
      <c r="L2614" t="str">
        <f>IF(A2614="","",IFERROR(LOOKUP(2,1/(#REF!=Z2614),#REF!),Y2614))</f>
        <v/>
      </c>
      <c r="Z2614" t="str">
        <f>IF(A2614="","",TEXT(A2614,"0")&amp;"|"&amp;TEXT(H2614,"0"))</f>
        <v/>
      </c>
      <c r="AA2614" t="str">
        <f>IF(Z2614="","",IFERROR(LOOKUP(2,1/(#REF!=Z2614),#REF!),""))</f>
        <v/>
      </c>
      <c r="AB2614" t="str">
        <f>IF(Z2614="","",IFERROR(LOOKUP(2,1/(#REF!=Z2614),#REF!),""))</f>
        <v/>
      </c>
      <c r="AC2614" t="str">
        <f>IF(Z2614="","",COUNTIF(#REF!,Z2614))</f>
        <v/>
      </c>
      <c r="AD2614" t="str">
        <f>IF(A2614="","",IF(AC2614&gt;1,"REVISAR DUPLICADO",IF(AA2614&lt;&gt;"","ACTUALIZADO POR EYR","SIN REPORTE EYR")))</f>
        <v/>
      </c>
    </row>
    <row r="2615" spans="11:30" x14ac:dyDescent="0.3">
      <c r="K2615" s="1" t="str">
        <f ca="1">IF(A2615="","",IF(OR(L2615="ENTREGADA",L2615="RETORNADA",L2615="ENTREGA DIGITAL"),0,MAX(0,5-NETWORKDAYS(H2615+1,TODAY()))))</f>
        <v/>
      </c>
      <c r="L2615" t="str">
        <f>IF(A2615="","",IFERROR(LOOKUP(2,1/(#REF!=Z2615),#REF!),Y2615))</f>
        <v/>
      </c>
      <c r="Z2615" t="str">
        <f>IF(A2615="","",TEXT(A2615,"0")&amp;"|"&amp;TEXT(H2615,"0"))</f>
        <v/>
      </c>
      <c r="AA2615" t="str">
        <f>IF(Z2615="","",IFERROR(LOOKUP(2,1/(#REF!=Z2615),#REF!),""))</f>
        <v/>
      </c>
      <c r="AB2615" t="str">
        <f>IF(Z2615="","",IFERROR(LOOKUP(2,1/(#REF!=Z2615),#REF!),""))</f>
        <v/>
      </c>
      <c r="AC2615" t="str">
        <f>IF(Z2615="","",COUNTIF(#REF!,Z2615))</f>
        <v/>
      </c>
      <c r="AD2615" t="str">
        <f>IF(A2615="","",IF(AC2615&gt;1,"REVISAR DUPLICADO",IF(AA2615&lt;&gt;"","ACTUALIZADO POR EYR","SIN REPORTE EYR")))</f>
        <v/>
      </c>
    </row>
    <row r="2616" spans="11:30" x14ac:dyDescent="0.3">
      <c r="K2616" s="1" t="str">
        <f ca="1">IF(A2616="","",IF(OR(L2616="ENTREGADA",L2616="RETORNADA",L2616="ENTREGA DIGITAL"),0,MAX(0,5-NETWORKDAYS(H2616+1,TODAY()))))</f>
        <v/>
      </c>
      <c r="L2616" t="str">
        <f>IF(A2616="","",IFERROR(LOOKUP(2,1/(#REF!=Z2616),#REF!),Y2616))</f>
        <v/>
      </c>
      <c r="Z2616" t="str">
        <f>IF(A2616="","",TEXT(A2616,"0")&amp;"|"&amp;TEXT(H2616,"0"))</f>
        <v/>
      </c>
      <c r="AA2616" t="str">
        <f>IF(Z2616="","",IFERROR(LOOKUP(2,1/(#REF!=Z2616),#REF!),""))</f>
        <v/>
      </c>
      <c r="AB2616" t="str">
        <f>IF(Z2616="","",IFERROR(LOOKUP(2,1/(#REF!=Z2616),#REF!),""))</f>
        <v/>
      </c>
      <c r="AC2616" t="str">
        <f>IF(Z2616="","",COUNTIF(#REF!,Z2616))</f>
        <v/>
      </c>
      <c r="AD2616" t="str">
        <f>IF(A2616="","",IF(AC2616&gt;1,"REVISAR DUPLICADO",IF(AA2616&lt;&gt;"","ACTUALIZADO POR EYR","SIN REPORTE EYR")))</f>
        <v/>
      </c>
    </row>
    <row r="2617" spans="11:30" x14ac:dyDescent="0.3">
      <c r="K2617" s="1" t="str">
        <f ca="1">IF(A2617="","",IF(OR(L2617="ENTREGADA",L2617="RETORNADA",L2617="ENTREGA DIGITAL"),0,MAX(0,5-NETWORKDAYS(H2617+1,TODAY()))))</f>
        <v/>
      </c>
      <c r="L2617" t="str">
        <f>IF(A2617="","",IFERROR(LOOKUP(2,1/(#REF!=Z2617),#REF!),Y2617))</f>
        <v/>
      </c>
      <c r="Z2617" t="str">
        <f>IF(A2617="","",TEXT(A2617,"0")&amp;"|"&amp;TEXT(H2617,"0"))</f>
        <v/>
      </c>
      <c r="AA2617" t="str">
        <f>IF(Z2617="","",IFERROR(LOOKUP(2,1/(#REF!=Z2617),#REF!),""))</f>
        <v/>
      </c>
      <c r="AB2617" t="str">
        <f>IF(Z2617="","",IFERROR(LOOKUP(2,1/(#REF!=Z2617),#REF!),""))</f>
        <v/>
      </c>
      <c r="AC2617" t="str">
        <f>IF(Z2617="","",COUNTIF(#REF!,Z2617))</f>
        <v/>
      </c>
      <c r="AD2617" t="str">
        <f>IF(A2617="","",IF(AC2617&gt;1,"REVISAR DUPLICADO",IF(AA2617&lt;&gt;"","ACTUALIZADO POR EYR","SIN REPORTE EYR")))</f>
        <v/>
      </c>
    </row>
    <row r="2618" spans="11:30" x14ac:dyDescent="0.3">
      <c r="K2618" s="1" t="str">
        <f ca="1">IF(A2618="","",IF(OR(L2618="ENTREGADA",L2618="RETORNADA",L2618="ENTREGA DIGITAL"),0,MAX(0,5-NETWORKDAYS(H2618+1,TODAY()))))</f>
        <v/>
      </c>
      <c r="L2618" t="str">
        <f>IF(A2618="","",IFERROR(LOOKUP(2,1/(#REF!=Z2618),#REF!),Y2618))</f>
        <v/>
      </c>
      <c r="Z2618" t="str">
        <f>IF(A2618="","",TEXT(A2618,"0")&amp;"|"&amp;TEXT(H2618,"0"))</f>
        <v/>
      </c>
      <c r="AA2618" t="str">
        <f>IF(Z2618="","",IFERROR(LOOKUP(2,1/(#REF!=Z2618),#REF!),""))</f>
        <v/>
      </c>
      <c r="AB2618" t="str">
        <f>IF(Z2618="","",IFERROR(LOOKUP(2,1/(#REF!=Z2618),#REF!),""))</f>
        <v/>
      </c>
      <c r="AC2618" t="str">
        <f>IF(Z2618="","",COUNTIF(#REF!,Z2618))</f>
        <v/>
      </c>
      <c r="AD2618" t="str">
        <f>IF(A2618="","",IF(AC2618&gt;1,"REVISAR DUPLICADO",IF(AA2618&lt;&gt;"","ACTUALIZADO POR EYR","SIN REPORTE EYR")))</f>
        <v/>
      </c>
    </row>
    <row r="2619" spans="11:30" x14ac:dyDescent="0.3">
      <c r="K2619" s="1" t="str">
        <f ca="1">IF(A2619="","",IF(OR(L2619="ENTREGADA",L2619="RETORNADA",L2619="ENTREGA DIGITAL"),0,MAX(0,5-NETWORKDAYS(H2619+1,TODAY()))))</f>
        <v/>
      </c>
      <c r="L2619" t="str">
        <f>IF(A2619="","",IFERROR(LOOKUP(2,1/(#REF!=Z2619),#REF!),Y2619))</f>
        <v/>
      </c>
      <c r="Z2619" t="str">
        <f>IF(A2619="","",TEXT(A2619,"0")&amp;"|"&amp;TEXT(H2619,"0"))</f>
        <v/>
      </c>
      <c r="AA2619" t="str">
        <f>IF(Z2619="","",IFERROR(LOOKUP(2,1/(#REF!=Z2619),#REF!),""))</f>
        <v/>
      </c>
      <c r="AB2619" t="str">
        <f>IF(Z2619="","",IFERROR(LOOKUP(2,1/(#REF!=Z2619),#REF!),""))</f>
        <v/>
      </c>
      <c r="AC2619" t="str">
        <f>IF(Z2619="","",COUNTIF(#REF!,Z2619))</f>
        <v/>
      </c>
      <c r="AD2619" t="str">
        <f>IF(A2619="","",IF(AC2619&gt;1,"REVISAR DUPLICADO",IF(AA2619&lt;&gt;"","ACTUALIZADO POR EYR","SIN REPORTE EYR")))</f>
        <v/>
      </c>
    </row>
    <row r="2620" spans="11:30" x14ac:dyDescent="0.3">
      <c r="K2620" s="1" t="str">
        <f ca="1">IF(A2620="","",IF(OR(L2620="ENTREGADA",L2620="RETORNADA",L2620="ENTREGA DIGITAL"),0,MAX(0,5-NETWORKDAYS(H2620+1,TODAY()))))</f>
        <v/>
      </c>
      <c r="L2620" t="str">
        <f>IF(A2620="","",IFERROR(LOOKUP(2,1/(#REF!=Z2620),#REF!),Y2620))</f>
        <v/>
      </c>
      <c r="Z2620" t="str">
        <f>IF(A2620="","",TEXT(A2620,"0")&amp;"|"&amp;TEXT(H2620,"0"))</f>
        <v/>
      </c>
      <c r="AA2620" t="str">
        <f>IF(Z2620="","",IFERROR(LOOKUP(2,1/(#REF!=Z2620),#REF!),""))</f>
        <v/>
      </c>
      <c r="AB2620" t="str">
        <f>IF(Z2620="","",IFERROR(LOOKUP(2,1/(#REF!=Z2620),#REF!),""))</f>
        <v/>
      </c>
      <c r="AC2620" t="str">
        <f>IF(Z2620="","",COUNTIF(#REF!,Z2620))</f>
        <v/>
      </c>
      <c r="AD2620" t="str">
        <f>IF(A2620="","",IF(AC2620&gt;1,"REVISAR DUPLICADO",IF(AA2620&lt;&gt;"","ACTUALIZADO POR EYR","SIN REPORTE EYR")))</f>
        <v/>
      </c>
    </row>
    <row r="2621" spans="11:30" x14ac:dyDescent="0.3">
      <c r="K2621" s="1" t="str">
        <f ca="1">IF(A2621="","",IF(OR(L2621="ENTREGADA",L2621="RETORNADA",L2621="ENTREGA DIGITAL"),0,MAX(0,5-NETWORKDAYS(H2621+1,TODAY()))))</f>
        <v/>
      </c>
      <c r="L2621" t="str">
        <f>IF(A2621="","",IFERROR(LOOKUP(2,1/(#REF!=Z2621),#REF!),Y2621))</f>
        <v/>
      </c>
      <c r="Z2621" t="str">
        <f>IF(A2621="","",TEXT(A2621,"0")&amp;"|"&amp;TEXT(H2621,"0"))</f>
        <v/>
      </c>
      <c r="AA2621" t="str">
        <f>IF(Z2621="","",IFERROR(LOOKUP(2,1/(#REF!=Z2621),#REF!),""))</f>
        <v/>
      </c>
      <c r="AB2621" t="str">
        <f>IF(Z2621="","",IFERROR(LOOKUP(2,1/(#REF!=Z2621),#REF!),""))</f>
        <v/>
      </c>
      <c r="AC2621" t="str">
        <f>IF(Z2621="","",COUNTIF(#REF!,Z2621))</f>
        <v/>
      </c>
      <c r="AD2621" t="str">
        <f>IF(A2621="","",IF(AC2621&gt;1,"REVISAR DUPLICADO",IF(AA2621&lt;&gt;"","ACTUALIZADO POR EYR","SIN REPORTE EYR")))</f>
        <v/>
      </c>
    </row>
    <row r="2622" spans="11:30" x14ac:dyDescent="0.3">
      <c r="K2622" s="1" t="str">
        <f ca="1">IF(A2622="","",IF(OR(L2622="ENTREGADA",L2622="RETORNADA",L2622="ENTREGA DIGITAL"),0,MAX(0,5-NETWORKDAYS(H2622+1,TODAY()))))</f>
        <v/>
      </c>
      <c r="L2622" t="str">
        <f>IF(A2622="","",IFERROR(LOOKUP(2,1/(#REF!=Z2622),#REF!),Y2622))</f>
        <v/>
      </c>
      <c r="Z2622" t="str">
        <f>IF(A2622="","",TEXT(A2622,"0")&amp;"|"&amp;TEXT(H2622,"0"))</f>
        <v/>
      </c>
      <c r="AA2622" t="str">
        <f>IF(Z2622="","",IFERROR(LOOKUP(2,1/(#REF!=Z2622),#REF!),""))</f>
        <v/>
      </c>
      <c r="AB2622" t="str">
        <f>IF(Z2622="","",IFERROR(LOOKUP(2,1/(#REF!=Z2622),#REF!),""))</f>
        <v/>
      </c>
      <c r="AC2622" t="str">
        <f>IF(Z2622="","",COUNTIF(#REF!,Z2622))</f>
        <v/>
      </c>
      <c r="AD2622" t="str">
        <f>IF(A2622="","",IF(AC2622&gt;1,"REVISAR DUPLICADO",IF(AA2622&lt;&gt;"","ACTUALIZADO POR EYR","SIN REPORTE EYR")))</f>
        <v/>
      </c>
    </row>
    <row r="2623" spans="11:30" x14ac:dyDescent="0.3">
      <c r="K2623" s="1" t="str">
        <f ca="1">IF(A2623="","",IF(OR(L2623="ENTREGADA",L2623="RETORNADA",L2623="ENTREGA DIGITAL"),0,MAX(0,5-NETWORKDAYS(H2623+1,TODAY()))))</f>
        <v/>
      </c>
      <c r="L2623" t="str">
        <f>IF(A2623="","",IFERROR(LOOKUP(2,1/(#REF!=Z2623),#REF!),Y2623))</f>
        <v/>
      </c>
      <c r="Z2623" t="str">
        <f>IF(A2623="","",TEXT(A2623,"0")&amp;"|"&amp;TEXT(H2623,"0"))</f>
        <v/>
      </c>
      <c r="AA2623" t="str">
        <f>IF(Z2623="","",IFERROR(LOOKUP(2,1/(#REF!=Z2623),#REF!),""))</f>
        <v/>
      </c>
      <c r="AB2623" t="str">
        <f>IF(Z2623="","",IFERROR(LOOKUP(2,1/(#REF!=Z2623),#REF!),""))</f>
        <v/>
      </c>
      <c r="AC2623" t="str">
        <f>IF(Z2623="","",COUNTIF(#REF!,Z2623))</f>
        <v/>
      </c>
      <c r="AD2623" t="str">
        <f>IF(A2623="","",IF(AC2623&gt;1,"REVISAR DUPLICADO",IF(AA2623&lt;&gt;"","ACTUALIZADO POR EYR","SIN REPORTE EYR")))</f>
        <v/>
      </c>
    </row>
    <row r="2624" spans="11:30" x14ac:dyDescent="0.3">
      <c r="K2624" s="1" t="str">
        <f ca="1">IF(A2624="","",IF(OR(L2624="ENTREGADA",L2624="RETORNADA",L2624="ENTREGA DIGITAL"),0,MAX(0,5-NETWORKDAYS(H2624+1,TODAY()))))</f>
        <v/>
      </c>
      <c r="L2624" t="str">
        <f>IF(A2624="","",IFERROR(LOOKUP(2,1/(#REF!=Z2624),#REF!),Y2624))</f>
        <v/>
      </c>
      <c r="Z2624" t="str">
        <f>IF(A2624="","",TEXT(A2624,"0")&amp;"|"&amp;TEXT(H2624,"0"))</f>
        <v/>
      </c>
      <c r="AA2624" t="str">
        <f>IF(Z2624="","",IFERROR(LOOKUP(2,1/(#REF!=Z2624),#REF!),""))</f>
        <v/>
      </c>
      <c r="AB2624" t="str">
        <f>IF(Z2624="","",IFERROR(LOOKUP(2,1/(#REF!=Z2624),#REF!),""))</f>
        <v/>
      </c>
      <c r="AC2624" t="str">
        <f>IF(Z2624="","",COUNTIF(#REF!,Z2624))</f>
        <v/>
      </c>
      <c r="AD2624" t="str">
        <f>IF(A2624="","",IF(AC2624&gt;1,"REVISAR DUPLICADO",IF(AA2624&lt;&gt;"","ACTUALIZADO POR EYR","SIN REPORTE EYR")))</f>
        <v/>
      </c>
    </row>
    <row r="2625" spans="11:30" x14ac:dyDescent="0.3">
      <c r="K2625" s="1" t="str">
        <f ca="1">IF(A2625="","",IF(OR(L2625="ENTREGADA",L2625="RETORNADA",L2625="ENTREGA DIGITAL"),0,MAX(0,5-NETWORKDAYS(H2625+1,TODAY()))))</f>
        <v/>
      </c>
      <c r="L2625" t="str">
        <f>IF(A2625="","",IFERROR(LOOKUP(2,1/(#REF!=Z2625),#REF!),Y2625))</f>
        <v/>
      </c>
      <c r="Z2625" t="str">
        <f>IF(A2625="","",TEXT(A2625,"0")&amp;"|"&amp;TEXT(H2625,"0"))</f>
        <v/>
      </c>
      <c r="AA2625" t="str">
        <f>IF(Z2625="","",IFERROR(LOOKUP(2,1/(#REF!=Z2625),#REF!),""))</f>
        <v/>
      </c>
      <c r="AB2625" t="str">
        <f>IF(Z2625="","",IFERROR(LOOKUP(2,1/(#REF!=Z2625),#REF!),""))</f>
        <v/>
      </c>
      <c r="AC2625" t="str">
        <f>IF(Z2625="","",COUNTIF(#REF!,Z2625))</f>
        <v/>
      </c>
      <c r="AD2625" t="str">
        <f>IF(A2625="","",IF(AC2625&gt;1,"REVISAR DUPLICADO",IF(AA2625&lt;&gt;"","ACTUALIZADO POR EYR","SIN REPORTE EYR")))</f>
        <v/>
      </c>
    </row>
    <row r="2626" spans="11:30" x14ac:dyDescent="0.3">
      <c r="K2626" s="1" t="str">
        <f ca="1">IF(A2626="","",IF(OR(L2626="ENTREGADA",L2626="RETORNADA",L2626="ENTREGA DIGITAL"),0,MAX(0,5-NETWORKDAYS(H2626+1,TODAY()))))</f>
        <v/>
      </c>
      <c r="L2626" t="str">
        <f>IF(A2626="","",IFERROR(LOOKUP(2,1/(#REF!=Z2626),#REF!),Y2626))</f>
        <v/>
      </c>
      <c r="Z2626" t="str">
        <f>IF(A2626="","",TEXT(A2626,"0")&amp;"|"&amp;TEXT(H2626,"0"))</f>
        <v/>
      </c>
      <c r="AA2626" t="str">
        <f>IF(Z2626="","",IFERROR(LOOKUP(2,1/(#REF!=Z2626),#REF!),""))</f>
        <v/>
      </c>
      <c r="AB2626" t="str">
        <f>IF(Z2626="","",IFERROR(LOOKUP(2,1/(#REF!=Z2626),#REF!),""))</f>
        <v/>
      </c>
      <c r="AC2626" t="str">
        <f>IF(Z2626="","",COUNTIF(#REF!,Z2626))</f>
        <v/>
      </c>
      <c r="AD2626" t="str">
        <f>IF(A2626="","",IF(AC2626&gt;1,"REVISAR DUPLICADO",IF(AA2626&lt;&gt;"","ACTUALIZADO POR EYR","SIN REPORTE EYR")))</f>
        <v/>
      </c>
    </row>
    <row r="2627" spans="11:30" x14ac:dyDescent="0.3">
      <c r="K2627" s="1" t="str">
        <f ca="1">IF(A2627="","",IF(OR(L2627="ENTREGADA",L2627="RETORNADA",L2627="ENTREGA DIGITAL"),0,MAX(0,5-NETWORKDAYS(H2627+1,TODAY()))))</f>
        <v/>
      </c>
      <c r="L2627" t="str">
        <f>IF(A2627="","",IFERROR(LOOKUP(2,1/(#REF!=Z2627),#REF!),Y2627))</f>
        <v/>
      </c>
      <c r="Z2627" t="str">
        <f>IF(A2627="","",TEXT(A2627,"0")&amp;"|"&amp;TEXT(H2627,"0"))</f>
        <v/>
      </c>
      <c r="AA2627" t="str">
        <f>IF(Z2627="","",IFERROR(LOOKUP(2,1/(#REF!=Z2627),#REF!),""))</f>
        <v/>
      </c>
      <c r="AB2627" t="str">
        <f>IF(Z2627="","",IFERROR(LOOKUP(2,1/(#REF!=Z2627),#REF!),""))</f>
        <v/>
      </c>
      <c r="AC2627" t="str">
        <f>IF(Z2627="","",COUNTIF(#REF!,Z2627))</f>
        <v/>
      </c>
      <c r="AD2627" t="str">
        <f>IF(A2627="","",IF(AC2627&gt;1,"REVISAR DUPLICADO",IF(AA2627&lt;&gt;"","ACTUALIZADO POR EYR","SIN REPORTE EYR")))</f>
        <v/>
      </c>
    </row>
    <row r="2628" spans="11:30" x14ac:dyDescent="0.3">
      <c r="K2628" s="1" t="str">
        <f ca="1">IF(A2628="","",IF(OR(L2628="ENTREGADA",L2628="RETORNADA",L2628="ENTREGA DIGITAL"),0,MAX(0,5-NETWORKDAYS(H2628+1,TODAY()))))</f>
        <v/>
      </c>
      <c r="L2628" t="str">
        <f>IF(A2628="","",IFERROR(LOOKUP(2,1/(#REF!=Z2628),#REF!),Y2628))</f>
        <v/>
      </c>
      <c r="Z2628" t="str">
        <f>IF(A2628="","",TEXT(A2628,"0")&amp;"|"&amp;TEXT(H2628,"0"))</f>
        <v/>
      </c>
      <c r="AA2628" t="str">
        <f>IF(Z2628="","",IFERROR(LOOKUP(2,1/(#REF!=Z2628),#REF!),""))</f>
        <v/>
      </c>
      <c r="AB2628" t="str">
        <f>IF(Z2628="","",IFERROR(LOOKUP(2,1/(#REF!=Z2628),#REF!),""))</f>
        <v/>
      </c>
      <c r="AC2628" t="str">
        <f>IF(Z2628="","",COUNTIF(#REF!,Z2628))</f>
        <v/>
      </c>
      <c r="AD2628" t="str">
        <f>IF(A2628="","",IF(AC2628&gt;1,"REVISAR DUPLICADO",IF(AA2628&lt;&gt;"","ACTUALIZADO POR EYR","SIN REPORTE EYR")))</f>
        <v/>
      </c>
    </row>
    <row r="2629" spans="11:30" x14ac:dyDescent="0.3">
      <c r="K2629" s="1" t="str">
        <f ca="1">IF(A2629="","",IF(OR(L2629="ENTREGADA",L2629="RETORNADA",L2629="ENTREGA DIGITAL"),0,MAX(0,5-NETWORKDAYS(H2629+1,TODAY()))))</f>
        <v/>
      </c>
      <c r="L2629" t="str">
        <f>IF(A2629="","",IFERROR(LOOKUP(2,1/(#REF!=Z2629),#REF!),Y2629))</f>
        <v/>
      </c>
      <c r="Z2629" t="str">
        <f>IF(A2629="","",TEXT(A2629,"0")&amp;"|"&amp;TEXT(H2629,"0"))</f>
        <v/>
      </c>
      <c r="AA2629" t="str">
        <f>IF(Z2629="","",IFERROR(LOOKUP(2,1/(#REF!=Z2629),#REF!),""))</f>
        <v/>
      </c>
      <c r="AB2629" t="str">
        <f>IF(Z2629="","",IFERROR(LOOKUP(2,1/(#REF!=Z2629),#REF!),""))</f>
        <v/>
      </c>
      <c r="AC2629" t="str">
        <f>IF(Z2629="","",COUNTIF(#REF!,Z2629))</f>
        <v/>
      </c>
      <c r="AD2629" t="str">
        <f>IF(A2629="","",IF(AC2629&gt;1,"REVISAR DUPLICADO",IF(AA2629&lt;&gt;"","ACTUALIZADO POR EYR","SIN REPORTE EYR")))</f>
        <v/>
      </c>
    </row>
    <row r="2630" spans="11:30" x14ac:dyDescent="0.3">
      <c r="K2630" s="1" t="str">
        <f ca="1">IF(A2630="","",IF(OR(L2630="ENTREGADA",L2630="RETORNADA",L2630="ENTREGA DIGITAL"),0,MAX(0,5-NETWORKDAYS(H2630+1,TODAY()))))</f>
        <v/>
      </c>
      <c r="L2630" t="str">
        <f>IF(A2630="","",IFERROR(LOOKUP(2,1/(#REF!=Z2630),#REF!),Y2630))</f>
        <v/>
      </c>
      <c r="Z2630" t="str">
        <f>IF(A2630="","",TEXT(A2630,"0")&amp;"|"&amp;TEXT(H2630,"0"))</f>
        <v/>
      </c>
      <c r="AA2630" t="str">
        <f>IF(Z2630="","",IFERROR(LOOKUP(2,1/(#REF!=Z2630),#REF!),""))</f>
        <v/>
      </c>
      <c r="AB2630" t="str">
        <f>IF(Z2630="","",IFERROR(LOOKUP(2,1/(#REF!=Z2630),#REF!),""))</f>
        <v/>
      </c>
      <c r="AC2630" t="str">
        <f>IF(Z2630="","",COUNTIF(#REF!,Z2630))</f>
        <v/>
      </c>
      <c r="AD2630" t="str">
        <f>IF(A2630="","",IF(AC2630&gt;1,"REVISAR DUPLICADO",IF(AA2630&lt;&gt;"","ACTUALIZADO POR EYR","SIN REPORTE EYR")))</f>
        <v/>
      </c>
    </row>
    <row r="2631" spans="11:30" x14ac:dyDescent="0.3">
      <c r="K2631" s="1" t="str">
        <f ca="1">IF(A2631="","",IF(OR(L2631="ENTREGADA",L2631="RETORNADA",L2631="ENTREGA DIGITAL"),0,MAX(0,5-NETWORKDAYS(H2631+1,TODAY()))))</f>
        <v/>
      </c>
      <c r="L2631" t="str">
        <f>IF(A2631="","",IFERROR(LOOKUP(2,1/(#REF!=Z2631),#REF!),Y2631))</f>
        <v/>
      </c>
      <c r="Z2631" t="str">
        <f>IF(A2631="","",TEXT(A2631,"0")&amp;"|"&amp;TEXT(H2631,"0"))</f>
        <v/>
      </c>
      <c r="AA2631" t="str">
        <f>IF(Z2631="","",IFERROR(LOOKUP(2,1/(#REF!=Z2631),#REF!),""))</f>
        <v/>
      </c>
      <c r="AB2631" t="str">
        <f>IF(Z2631="","",IFERROR(LOOKUP(2,1/(#REF!=Z2631),#REF!),""))</f>
        <v/>
      </c>
      <c r="AC2631" t="str">
        <f>IF(Z2631="","",COUNTIF(#REF!,Z2631))</f>
        <v/>
      </c>
      <c r="AD2631" t="str">
        <f>IF(A2631="","",IF(AC2631&gt;1,"REVISAR DUPLICADO",IF(AA2631&lt;&gt;"","ACTUALIZADO POR EYR","SIN REPORTE EYR")))</f>
        <v/>
      </c>
    </row>
    <row r="2632" spans="11:30" x14ac:dyDescent="0.3">
      <c r="K2632" s="1" t="str">
        <f ca="1">IF(A2632="","",IF(OR(L2632="ENTREGADA",L2632="RETORNADA",L2632="ENTREGA DIGITAL"),0,MAX(0,5-NETWORKDAYS(H2632+1,TODAY()))))</f>
        <v/>
      </c>
      <c r="L2632" t="str">
        <f>IF(A2632="","",IFERROR(LOOKUP(2,1/(#REF!=Z2632),#REF!),Y2632))</f>
        <v/>
      </c>
      <c r="Z2632" t="str">
        <f>IF(A2632="","",TEXT(A2632,"0")&amp;"|"&amp;TEXT(H2632,"0"))</f>
        <v/>
      </c>
      <c r="AA2632" t="str">
        <f>IF(Z2632="","",IFERROR(LOOKUP(2,1/(#REF!=Z2632),#REF!),""))</f>
        <v/>
      </c>
      <c r="AB2632" t="str">
        <f>IF(Z2632="","",IFERROR(LOOKUP(2,1/(#REF!=Z2632),#REF!),""))</f>
        <v/>
      </c>
      <c r="AC2632" t="str">
        <f>IF(Z2632="","",COUNTIF(#REF!,Z2632))</f>
        <v/>
      </c>
      <c r="AD2632" t="str">
        <f>IF(A2632="","",IF(AC2632&gt;1,"REVISAR DUPLICADO",IF(AA2632&lt;&gt;"","ACTUALIZADO POR EYR","SIN REPORTE EYR")))</f>
        <v/>
      </c>
    </row>
    <row r="2633" spans="11:30" x14ac:dyDescent="0.3">
      <c r="K2633" s="1" t="str">
        <f ca="1">IF(A2633="","",IF(OR(L2633="ENTREGADA",L2633="RETORNADA",L2633="ENTREGA DIGITAL"),0,MAX(0,5-NETWORKDAYS(H2633+1,TODAY()))))</f>
        <v/>
      </c>
      <c r="L2633" t="str">
        <f>IF(A2633="","",IFERROR(LOOKUP(2,1/(#REF!=Z2633),#REF!),Y2633))</f>
        <v/>
      </c>
      <c r="Z2633" t="str">
        <f>IF(A2633="","",TEXT(A2633,"0")&amp;"|"&amp;TEXT(H2633,"0"))</f>
        <v/>
      </c>
      <c r="AA2633" t="str">
        <f>IF(Z2633="","",IFERROR(LOOKUP(2,1/(#REF!=Z2633),#REF!),""))</f>
        <v/>
      </c>
      <c r="AB2633" t="str">
        <f>IF(Z2633="","",IFERROR(LOOKUP(2,1/(#REF!=Z2633),#REF!),""))</f>
        <v/>
      </c>
      <c r="AC2633" t="str">
        <f>IF(Z2633="","",COUNTIF(#REF!,Z2633))</f>
        <v/>
      </c>
      <c r="AD2633" t="str">
        <f>IF(A2633="","",IF(AC2633&gt;1,"REVISAR DUPLICADO",IF(AA2633&lt;&gt;"","ACTUALIZADO POR EYR","SIN REPORTE EYR")))</f>
        <v/>
      </c>
    </row>
    <row r="2634" spans="11:30" x14ac:dyDescent="0.3">
      <c r="K2634" s="1" t="str">
        <f ca="1">IF(A2634="","",IF(OR(L2634="ENTREGADA",L2634="RETORNADA",L2634="ENTREGA DIGITAL"),0,MAX(0,5-NETWORKDAYS(H2634+1,TODAY()))))</f>
        <v/>
      </c>
      <c r="L2634" t="str">
        <f>IF(A2634="","",IFERROR(LOOKUP(2,1/(#REF!=Z2634),#REF!),Y2634))</f>
        <v/>
      </c>
      <c r="Z2634" t="str">
        <f>IF(A2634="","",TEXT(A2634,"0")&amp;"|"&amp;TEXT(H2634,"0"))</f>
        <v/>
      </c>
      <c r="AA2634" t="str">
        <f>IF(Z2634="","",IFERROR(LOOKUP(2,1/(#REF!=Z2634),#REF!),""))</f>
        <v/>
      </c>
      <c r="AB2634" t="str">
        <f>IF(Z2634="","",IFERROR(LOOKUP(2,1/(#REF!=Z2634),#REF!),""))</f>
        <v/>
      </c>
      <c r="AC2634" t="str">
        <f>IF(Z2634="","",COUNTIF(#REF!,Z2634))</f>
        <v/>
      </c>
      <c r="AD2634" t="str">
        <f>IF(A2634="","",IF(AC2634&gt;1,"REVISAR DUPLICADO",IF(AA2634&lt;&gt;"","ACTUALIZADO POR EYR","SIN REPORTE EYR")))</f>
        <v/>
      </c>
    </row>
    <row r="2635" spans="11:30" x14ac:dyDescent="0.3">
      <c r="K2635" s="1" t="str">
        <f ca="1">IF(A2635="","",IF(OR(L2635="ENTREGADA",L2635="RETORNADA",L2635="ENTREGA DIGITAL"),0,MAX(0,5-NETWORKDAYS(H2635+1,TODAY()))))</f>
        <v/>
      </c>
      <c r="L2635" t="str">
        <f>IF(A2635="","",IFERROR(LOOKUP(2,1/(#REF!=Z2635),#REF!),Y2635))</f>
        <v/>
      </c>
      <c r="Z2635" t="str">
        <f>IF(A2635="","",TEXT(A2635,"0")&amp;"|"&amp;TEXT(H2635,"0"))</f>
        <v/>
      </c>
      <c r="AA2635" t="str">
        <f>IF(Z2635="","",IFERROR(LOOKUP(2,1/(#REF!=Z2635),#REF!),""))</f>
        <v/>
      </c>
      <c r="AB2635" t="str">
        <f>IF(Z2635="","",IFERROR(LOOKUP(2,1/(#REF!=Z2635),#REF!),""))</f>
        <v/>
      </c>
      <c r="AC2635" t="str">
        <f>IF(Z2635="","",COUNTIF(#REF!,Z2635))</f>
        <v/>
      </c>
      <c r="AD2635" t="str">
        <f>IF(A2635="","",IF(AC2635&gt;1,"REVISAR DUPLICADO",IF(AA2635&lt;&gt;"","ACTUALIZADO POR EYR","SIN REPORTE EYR")))</f>
        <v/>
      </c>
    </row>
    <row r="2636" spans="11:30" x14ac:dyDescent="0.3">
      <c r="K2636" s="1" t="str">
        <f ca="1">IF(A2636="","",IF(OR(L2636="ENTREGADA",L2636="RETORNADA",L2636="ENTREGA DIGITAL"),0,MAX(0,5-NETWORKDAYS(H2636+1,TODAY()))))</f>
        <v/>
      </c>
      <c r="L2636" t="str">
        <f>IF(A2636="","",IFERROR(LOOKUP(2,1/(#REF!=Z2636),#REF!),Y2636))</f>
        <v/>
      </c>
      <c r="Z2636" t="str">
        <f>IF(A2636="","",TEXT(A2636,"0")&amp;"|"&amp;TEXT(H2636,"0"))</f>
        <v/>
      </c>
      <c r="AA2636" t="str">
        <f>IF(Z2636="","",IFERROR(LOOKUP(2,1/(#REF!=Z2636),#REF!),""))</f>
        <v/>
      </c>
      <c r="AB2636" t="str">
        <f>IF(Z2636="","",IFERROR(LOOKUP(2,1/(#REF!=Z2636),#REF!),""))</f>
        <v/>
      </c>
      <c r="AC2636" t="str">
        <f>IF(Z2636="","",COUNTIF(#REF!,Z2636))</f>
        <v/>
      </c>
      <c r="AD2636" t="str">
        <f>IF(A2636="","",IF(AC2636&gt;1,"REVISAR DUPLICADO",IF(AA2636&lt;&gt;"","ACTUALIZADO POR EYR","SIN REPORTE EYR")))</f>
        <v/>
      </c>
    </row>
    <row r="2637" spans="11:30" x14ac:dyDescent="0.3">
      <c r="K2637" s="1" t="str">
        <f ca="1">IF(A2637="","",IF(OR(L2637="ENTREGADA",L2637="RETORNADA",L2637="ENTREGA DIGITAL"),0,MAX(0,5-NETWORKDAYS(H2637+1,TODAY()))))</f>
        <v/>
      </c>
      <c r="L2637" t="str">
        <f>IF(A2637="","",IFERROR(LOOKUP(2,1/(#REF!=Z2637),#REF!),Y2637))</f>
        <v/>
      </c>
      <c r="Z2637" t="str">
        <f>IF(A2637="","",TEXT(A2637,"0")&amp;"|"&amp;TEXT(H2637,"0"))</f>
        <v/>
      </c>
      <c r="AA2637" t="str">
        <f>IF(Z2637="","",IFERROR(LOOKUP(2,1/(#REF!=Z2637),#REF!),""))</f>
        <v/>
      </c>
      <c r="AB2637" t="str">
        <f>IF(Z2637="","",IFERROR(LOOKUP(2,1/(#REF!=Z2637),#REF!),""))</f>
        <v/>
      </c>
      <c r="AC2637" t="str">
        <f>IF(Z2637="","",COUNTIF(#REF!,Z2637))</f>
        <v/>
      </c>
      <c r="AD2637" t="str">
        <f>IF(A2637="","",IF(AC2637&gt;1,"REVISAR DUPLICADO",IF(AA2637&lt;&gt;"","ACTUALIZADO POR EYR","SIN REPORTE EYR")))</f>
        <v/>
      </c>
    </row>
    <row r="2638" spans="11:30" x14ac:dyDescent="0.3">
      <c r="K2638" s="1" t="str">
        <f ca="1">IF(A2638="","",IF(OR(L2638="ENTREGADA",L2638="RETORNADA",L2638="ENTREGA DIGITAL"),0,MAX(0,5-NETWORKDAYS(H2638+1,TODAY()))))</f>
        <v/>
      </c>
      <c r="L2638" t="str">
        <f>IF(A2638="","",IFERROR(LOOKUP(2,1/(#REF!=Z2638),#REF!),Y2638))</f>
        <v/>
      </c>
      <c r="Z2638" t="str">
        <f>IF(A2638="","",TEXT(A2638,"0")&amp;"|"&amp;TEXT(H2638,"0"))</f>
        <v/>
      </c>
      <c r="AA2638" t="str">
        <f>IF(Z2638="","",IFERROR(LOOKUP(2,1/(#REF!=Z2638),#REF!),""))</f>
        <v/>
      </c>
      <c r="AB2638" t="str">
        <f>IF(Z2638="","",IFERROR(LOOKUP(2,1/(#REF!=Z2638),#REF!),""))</f>
        <v/>
      </c>
      <c r="AC2638" t="str">
        <f>IF(Z2638="","",COUNTIF(#REF!,Z2638))</f>
        <v/>
      </c>
      <c r="AD2638" t="str">
        <f>IF(A2638="","",IF(AC2638&gt;1,"REVISAR DUPLICADO",IF(AA2638&lt;&gt;"","ACTUALIZADO POR EYR","SIN REPORTE EYR")))</f>
        <v/>
      </c>
    </row>
    <row r="2639" spans="11:30" x14ac:dyDescent="0.3">
      <c r="K2639" s="1" t="str">
        <f ca="1">IF(A2639="","",IF(OR(L2639="ENTREGADA",L2639="RETORNADA",L2639="ENTREGA DIGITAL"),0,MAX(0,5-NETWORKDAYS(H2639+1,TODAY()))))</f>
        <v/>
      </c>
      <c r="L2639" t="str">
        <f>IF(A2639="","",IFERROR(LOOKUP(2,1/(#REF!=Z2639),#REF!),Y2639))</f>
        <v/>
      </c>
      <c r="Z2639" t="str">
        <f>IF(A2639="","",TEXT(A2639,"0")&amp;"|"&amp;TEXT(H2639,"0"))</f>
        <v/>
      </c>
      <c r="AA2639" t="str">
        <f>IF(Z2639="","",IFERROR(LOOKUP(2,1/(#REF!=Z2639),#REF!),""))</f>
        <v/>
      </c>
      <c r="AB2639" t="str">
        <f>IF(Z2639="","",IFERROR(LOOKUP(2,1/(#REF!=Z2639),#REF!),""))</f>
        <v/>
      </c>
      <c r="AC2639" t="str">
        <f>IF(Z2639="","",COUNTIF(#REF!,Z2639))</f>
        <v/>
      </c>
      <c r="AD2639" t="str">
        <f>IF(A2639="","",IF(AC2639&gt;1,"REVISAR DUPLICADO",IF(AA2639&lt;&gt;"","ACTUALIZADO POR EYR","SIN REPORTE EYR")))</f>
        <v/>
      </c>
    </row>
    <row r="2640" spans="11:30" x14ac:dyDescent="0.3">
      <c r="K2640" s="1" t="str">
        <f ca="1">IF(A2640="","",IF(OR(L2640="ENTREGADA",L2640="RETORNADA",L2640="ENTREGA DIGITAL"),0,MAX(0,5-NETWORKDAYS(H2640+1,TODAY()))))</f>
        <v/>
      </c>
      <c r="L2640" t="str">
        <f>IF(A2640="","",IFERROR(LOOKUP(2,1/(#REF!=Z2640),#REF!),Y2640))</f>
        <v/>
      </c>
      <c r="Z2640" t="str">
        <f>IF(A2640="","",TEXT(A2640,"0")&amp;"|"&amp;TEXT(H2640,"0"))</f>
        <v/>
      </c>
      <c r="AA2640" t="str">
        <f>IF(Z2640="","",IFERROR(LOOKUP(2,1/(#REF!=Z2640),#REF!),""))</f>
        <v/>
      </c>
      <c r="AB2640" t="str">
        <f>IF(Z2640="","",IFERROR(LOOKUP(2,1/(#REF!=Z2640),#REF!),""))</f>
        <v/>
      </c>
      <c r="AC2640" t="str">
        <f>IF(Z2640="","",COUNTIF(#REF!,Z2640))</f>
        <v/>
      </c>
      <c r="AD2640" t="str">
        <f>IF(A2640="","",IF(AC2640&gt;1,"REVISAR DUPLICADO",IF(AA2640&lt;&gt;"","ACTUALIZADO POR EYR","SIN REPORTE EYR")))</f>
        <v/>
      </c>
    </row>
    <row r="2641" spans="11:30" x14ac:dyDescent="0.3">
      <c r="K2641" s="1" t="str">
        <f ca="1">IF(A2641="","",IF(OR(L2641="ENTREGADA",L2641="RETORNADA",L2641="ENTREGA DIGITAL"),0,MAX(0,5-NETWORKDAYS(H2641+1,TODAY()))))</f>
        <v/>
      </c>
      <c r="L2641" t="str">
        <f>IF(A2641="","",IFERROR(LOOKUP(2,1/(#REF!=Z2641),#REF!),Y2641))</f>
        <v/>
      </c>
      <c r="Z2641" t="str">
        <f>IF(A2641="","",TEXT(A2641,"0")&amp;"|"&amp;TEXT(H2641,"0"))</f>
        <v/>
      </c>
      <c r="AA2641" t="str">
        <f>IF(Z2641="","",IFERROR(LOOKUP(2,1/(#REF!=Z2641),#REF!),""))</f>
        <v/>
      </c>
      <c r="AB2641" t="str">
        <f>IF(Z2641="","",IFERROR(LOOKUP(2,1/(#REF!=Z2641),#REF!),""))</f>
        <v/>
      </c>
      <c r="AC2641" t="str">
        <f>IF(Z2641="","",COUNTIF(#REF!,Z2641))</f>
        <v/>
      </c>
      <c r="AD2641" t="str">
        <f>IF(A2641="","",IF(AC2641&gt;1,"REVISAR DUPLICADO",IF(AA2641&lt;&gt;"","ACTUALIZADO POR EYR","SIN REPORTE EYR")))</f>
        <v/>
      </c>
    </row>
    <row r="2642" spans="11:30" x14ac:dyDescent="0.3">
      <c r="K2642" s="1" t="str">
        <f ca="1">IF(A2642="","",IF(OR(L2642="ENTREGADA",L2642="RETORNADA",L2642="ENTREGA DIGITAL"),0,MAX(0,5-NETWORKDAYS(H2642+1,TODAY()))))</f>
        <v/>
      </c>
      <c r="L2642" t="str">
        <f>IF(A2642="","",IFERROR(LOOKUP(2,1/(#REF!=Z2642),#REF!),Y2642))</f>
        <v/>
      </c>
      <c r="Z2642" t="str">
        <f>IF(A2642="","",TEXT(A2642,"0")&amp;"|"&amp;TEXT(H2642,"0"))</f>
        <v/>
      </c>
      <c r="AA2642" t="str">
        <f>IF(Z2642="","",IFERROR(LOOKUP(2,1/(#REF!=Z2642),#REF!),""))</f>
        <v/>
      </c>
      <c r="AB2642" t="str">
        <f>IF(Z2642="","",IFERROR(LOOKUP(2,1/(#REF!=Z2642),#REF!),""))</f>
        <v/>
      </c>
      <c r="AC2642" t="str">
        <f>IF(Z2642="","",COUNTIF(#REF!,Z2642))</f>
        <v/>
      </c>
      <c r="AD2642" t="str">
        <f>IF(A2642="","",IF(AC2642&gt;1,"REVISAR DUPLICADO",IF(AA2642&lt;&gt;"","ACTUALIZADO POR EYR","SIN REPORTE EYR")))</f>
        <v/>
      </c>
    </row>
    <row r="2643" spans="11:30" x14ac:dyDescent="0.3">
      <c r="K2643" s="1" t="str">
        <f ca="1">IF(A2643="","",IF(OR(L2643="ENTREGADA",L2643="RETORNADA",L2643="ENTREGA DIGITAL"),0,MAX(0,5-NETWORKDAYS(H2643+1,TODAY()))))</f>
        <v/>
      </c>
      <c r="L2643" t="str">
        <f>IF(A2643="","",IFERROR(LOOKUP(2,1/(#REF!=Z2643),#REF!),Y2643))</f>
        <v/>
      </c>
      <c r="Z2643" t="str">
        <f>IF(A2643="","",TEXT(A2643,"0")&amp;"|"&amp;TEXT(H2643,"0"))</f>
        <v/>
      </c>
      <c r="AA2643" t="str">
        <f>IF(Z2643="","",IFERROR(LOOKUP(2,1/(#REF!=Z2643),#REF!),""))</f>
        <v/>
      </c>
      <c r="AB2643" t="str">
        <f>IF(Z2643="","",IFERROR(LOOKUP(2,1/(#REF!=Z2643),#REF!),""))</f>
        <v/>
      </c>
      <c r="AC2643" t="str">
        <f>IF(Z2643="","",COUNTIF(#REF!,Z2643))</f>
        <v/>
      </c>
      <c r="AD2643" t="str">
        <f>IF(A2643="","",IF(AC2643&gt;1,"REVISAR DUPLICADO",IF(AA2643&lt;&gt;"","ACTUALIZADO POR EYR","SIN REPORTE EYR")))</f>
        <v/>
      </c>
    </row>
    <row r="2644" spans="11:30" x14ac:dyDescent="0.3">
      <c r="K2644" s="1" t="str">
        <f ca="1">IF(A2644="","",IF(OR(L2644="ENTREGADA",L2644="RETORNADA",L2644="ENTREGA DIGITAL"),0,MAX(0,5-NETWORKDAYS(H2644+1,TODAY()))))</f>
        <v/>
      </c>
      <c r="L2644" t="str">
        <f>IF(A2644="","",IFERROR(LOOKUP(2,1/(#REF!=Z2644),#REF!),Y2644))</f>
        <v/>
      </c>
      <c r="Z2644" t="str">
        <f>IF(A2644="","",TEXT(A2644,"0")&amp;"|"&amp;TEXT(H2644,"0"))</f>
        <v/>
      </c>
      <c r="AA2644" t="str">
        <f>IF(Z2644="","",IFERROR(LOOKUP(2,1/(#REF!=Z2644),#REF!),""))</f>
        <v/>
      </c>
      <c r="AB2644" t="str">
        <f>IF(Z2644="","",IFERROR(LOOKUP(2,1/(#REF!=Z2644),#REF!),""))</f>
        <v/>
      </c>
      <c r="AC2644" t="str">
        <f>IF(Z2644="","",COUNTIF(#REF!,Z2644))</f>
        <v/>
      </c>
      <c r="AD2644" t="str">
        <f>IF(A2644="","",IF(AC2644&gt;1,"REVISAR DUPLICADO",IF(AA2644&lt;&gt;"","ACTUALIZADO POR EYR","SIN REPORTE EYR")))</f>
        <v/>
      </c>
    </row>
    <row r="2645" spans="11:30" x14ac:dyDescent="0.3">
      <c r="K2645" s="1" t="str">
        <f ca="1">IF(A2645="","",IF(OR(L2645="ENTREGADA",L2645="RETORNADA",L2645="ENTREGA DIGITAL"),0,MAX(0,5-NETWORKDAYS(H2645+1,TODAY()))))</f>
        <v/>
      </c>
      <c r="L2645" t="str">
        <f>IF(A2645="","",IFERROR(LOOKUP(2,1/(#REF!=Z2645),#REF!),Y2645))</f>
        <v/>
      </c>
      <c r="Z2645" t="str">
        <f>IF(A2645="","",TEXT(A2645,"0")&amp;"|"&amp;TEXT(H2645,"0"))</f>
        <v/>
      </c>
      <c r="AA2645" t="str">
        <f>IF(Z2645="","",IFERROR(LOOKUP(2,1/(#REF!=Z2645),#REF!),""))</f>
        <v/>
      </c>
      <c r="AB2645" t="str">
        <f>IF(Z2645="","",IFERROR(LOOKUP(2,1/(#REF!=Z2645),#REF!),""))</f>
        <v/>
      </c>
      <c r="AC2645" t="str">
        <f>IF(Z2645="","",COUNTIF(#REF!,Z2645))</f>
        <v/>
      </c>
      <c r="AD2645" t="str">
        <f>IF(A2645="","",IF(AC2645&gt;1,"REVISAR DUPLICADO",IF(AA2645&lt;&gt;"","ACTUALIZADO POR EYR","SIN REPORTE EYR")))</f>
        <v/>
      </c>
    </row>
    <row r="2646" spans="11:30" x14ac:dyDescent="0.3">
      <c r="K2646" s="1" t="str">
        <f ca="1">IF(A2646="","",IF(OR(L2646="ENTREGADA",L2646="RETORNADA",L2646="ENTREGA DIGITAL"),0,MAX(0,5-NETWORKDAYS(H2646+1,TODAY()))))</f>
        <v/>
      </c>
      <c r="L2646" t="str">
        <f>IF(A2646="","",IFERROR(LOOKUP(2,1/(#REF!=Z2646),#REF!),Y2646))</f>
        <v/>
      </c>
      <c r="Z2646" t="str">
        <f>IF(A2646="","",TEXT(A2646,"0")&amp;"|"&amp;TEXT(H2646,"0"))</f>
        <v/>
      </c>
      <c r="AA2646" t="str">
        <f>IF(Z2646="","",IFERROR(LOOKUP(2,1/(#REF!=Z2646),#REF!),""))</f>
        <v/>
      </c>
      <c r="AB2646" t="str">
        <f>IF(Z2646="","",IFERROR(LOOKUP(2,1/(#REF!=Z2646),#REF!),""))</f>
        <v/>
      </c>
      <c r="AC2646" t="str">
        <f>IF(Z2646="","",COUNTIF(#REF!,Z2646))</f>
        <v/>
      </c>
      <c r="AD2646" t="str">
        <f>IF(A2646="","",IF(AC2646&gt;1,"REVISAR DUPLICADO",IF(AA2646&lt;&gt;"","ACTUALIZADO POR EYR","SIN REPORTE EYR")))</f>
        <v/>
      </c>
    </row>
    <row r="2647" spans="11:30" x14ac:dyDescent="0.3">
      <c r="K2647" s="1" t="str">
        <f ca="1">IF(A2647="","",IF(OR(L2647="ENTREGADA",L2647="RETORNADA",L2647="ENTREGA DIGITAL"),0,MAX(0,5-NETWORKDAYS(H2647+1,TODAY()))))</f>
        <v/>
      </c>
      <c r="L2647" t="str">
        <f>IF(A2647="","",IFERROR(LOOKUP(2,1/(#REF!=Z2647),#REF!),Y2647))</f>
        <v/>
      </c>
      <c r="Z2647" t="str">
        <f>IF(A2647="","",TEXT(A2647,"0")&amp;"|"&amp;TEXT(H2647,"0"))</f>
        <v/>
      </c>
      <c r="AA2647" t="str">
        <f>IF(Z2647="","",IFERROR(LOOKUP(2,1/(#REF!=Z2647),#REF!),""))</f>
        <v/>
      </c>
      <c r="AB2647" t="str">
        <f>IF(Z2647="","",IFERROR(LOOKUP(2,1/(#REF!=Z2647),#REF!),""))</f>
        <v/>
      </c>
      <c r="AC2647" t="str">
        <f>IF(Z2647="","",COUNTIF(#REF!,Z2647))</f>
        <v/>
      </c>
      <c r="AD2647" t="str">
        <f>IF(A2647="","",IF(AC2647&gt;1,"REVISAR DUPLICADO",IF(AA2647&lt;&gt;"","ACTUALIZADO POR EYR","SIN REPORTE EYR")))</f>
        <v/>
      </c>
    </row>
    <row r="2648" spans="11:30" x14ac:dyDescent="0.3">
      <c r="K2648" s="1" t="str">
        <f ca="1">IF(A2648="","",IF(OR(L2648="ENTREGADA",L2648="RETORNADA",L2648="ENTREGA DIGITAL"),0,MAX(0,5-NETWORKDAYS(H2648+1,TODAY()))))</f>
        <v/>
      </c>
      <c r="L2648" t="str">
        <f>IF(A2648="","",IFERROR(LOOKUP(2,1/(#REF!=Z2648),#REF!),Y2648))</f>
        <v/>
      </c>
      <c r="Z2648" t="str">
        <f>IF(A2648="","",TEXT(A2648,"0")&amp;"|"&amp;TEXT(H2648,"0"))</f>
        <v/>
      </c>
      <c r="AA2648" t="str">
        <f>IF(Z2648="","",IFERROR(LOOKUP(2,1/(#REF!=Z2648),#REF!),""))</f>
        <v/>
      </c>
      <c r="AB2648" t="str">
        <f>IF(Z2648="","",IFERROR(LOOKUP(2,1/(#REF!=Z2648),#REF!),""))</f>
        <v/>
      </c>
      <c r="AC2648" t="str">
        <f>IF(Z2648="","",COUNTIF(#REF!,Z2648))</f>
        <v/>
      </c>
      <c r="AD2648" t="str">
        <f>IF(A2648="","",IF(AC2648&gt;1,"REVISAR DUPLICADO",IF(AA2648&lt;&gt;"","ACTUALIZADO POR EYR","SIN REPORTE EYR")))</f>
        <v/>
      </c>
    </row>
    <row r="2649" spans="11:30" x14ac:dyDescent="0.3">
      <c r="K2649" s="1" t="str">
        <f ca="1">IF(A2649="","",IF(OR(L2649="ENTREGADA",L2649="RETORNADA",L2649="ENTREGA DIGITAL"),0,MAX(0,5-NETWORKDAYS(H2649+1,TODAY()))))</f>
        <v/>
      </c>
      <c r="L2649" t="str">
        <f>IF(A2649="","",IFERROR(LOOKUP(2,1/(#REF!=Z2649),#REF!),Y2649))</f>
        <v/>
      </c>
      <c r="Z2649" t="str">
        <f>IF(A2649="","",TEXT(A2649,"0")&amp;"|"&amp;TEXT(H2649,"0"))</f>
        <v/>
      </c>
      <c r="AA2649" t="str">
        <f>IF(Z2649="","",IFERROR(LOOKUP(2,1/(#REF!=Z2649),#REF!),""))</f>
        <v/>
      </c>
      <c r="AB2649" t="str">
        <f>IF(Z2649="","",IFERROR(LOOKUP(2,1/(#REF!=Z2649),#REF!),""))</f>
        <v/>
      </c>
      <c r="AC2649" t="str">
        <f>IF(Z2649="","",COUNTIF(#REF!,Z2649))</f>
        <v/>
      </c>
      <c r="AD2649" t="str">
        <f>IF(A2649="","",IF(AC2649&gt;1,"REVISAR DUPLICADO",IF(AA2649&lt;&gt;"","ACTUALIZADO POR EYR","SIN REPORTE EYR")))</f>
        <v/>
      </c>
    </row>
    <row r="2650" spans="11:30" x14ac:dyDescent="0.3">
      <c r="K2650" s="1" t="str">
        <f ca="1">IF(A2650="","",IF(OR(L2650="ENTREGADA",L2650="RETORNADA",L2650="ENTREGA DIGITAL"),0,MAX(0,5-NETWORKDAYS(H2650+1,TODAY()))))</f>
        <v/>
      </c>
      <c r="L2650" t="str">
        <f>IF(A2650="","",IFERROR(LOOKUP(2,1/(#REF!=Z2650),#REF!),Y2650))</f>
        <v/>
      </c>
      <c r="Z2650" t="str">
        <f>IF(A2650="","",TEXT(A2650,"0")&amp;"|"&amp;TEXT(H2650,"0"))</f>
        <v/>
      </c>
      <c r="AA2650" t="str">
        <f>IF(Z2650="","",IFERROR(LOOKUP(2,1/(#REF!=Z2650),#REF!),""))</f>
        <v/>
      </c>
      <c r="AB2650" t="str">
        <f>IF(Z2650="","",IFERROR(LOOKUP(2,1/(#REF!=Z2650),#REF!),""))</f>
        <v/>
      </c>
      <c r="AC2650" t="str">
        <f>IF(Z2650="","",COUNTIF(#REF!,Z2650))</f>
        <v/>
      </c>
      <c r="AD2650" t="str">
        <f>IF(A2650="","",IF(AC2650&gt;1,"REVISAR DUPLICADO",IF(AA2650&lt;&gt;"","ACTUALIZADO POR EYR","SIN REPORTE EYR")))</f>
        <v/>
      </c>
    </row>
    <row r="2651" spans="11:30" x14ac:dyDescent="0.3">
      <c r="K2651" s="1" t="str">
        <f ca="1">IF(A2651="","",IF(OR(L2651="ENTREGADA",L2651="RETORNADA",L2651="ENTREGA DIGITAL"),0,MAX(0,5-NETWORKDAYS(H2651+1,TODAY()))))</f>
        <v/>
      </c>
      <c r="L2651" t="str">
        <f>IF(A2651="","",IFERROR(LOOKUP(2,1/(#REF!=Z2651),#REF!),Y2651))</f>
        <v/>
      </c>
      <c r="Z2651" t="str">
        <f>IF(A2651="","",TEXT(A2651,"0")&amp;"|"&amp;TEXT(H2651,"0"))</f>
        <v/>
      </c>
      <c r="AA2651" t="str">
        <f>IF(Z2651="","",IFERROR(LOOKUP(2,1/(#REF!=Z2651),#REF!),""))</f>
        <v/>
      </c>
      <c r="AB2651" t="str">
        <f>IF(Z2651="","",IFERROR(LOOKUP(2,1/(#REF!=Z2651),#REF!),""))</f>
        <v/>
      </c>
      <c r="AC2651" t="str">
        <f>IF(Z2651="","",COUNTIF(#REF!,Z2651))</f>
        <v/>
      </c>
      <c r="AD2651" t="str">
        <f>IF(A2651="","",IF(AC2651&gt;1,"REVISAR DUPLICADO",IF(AA2651&lt;&gt;"","ACTUALIZADO POR EYR","SIN REPORTE EYR")))</f>
        <v/>
      </c>
    </row>
    <row r="2652" spans="11:30" x14ac:dyDescent="0.3">
      <c r="K2652" s="1" t="str">
        <f ca="1">IF(A2652="","",IF(OR(L2652="ENTREGADA",L2652="RETORNADA",L2652="ENTREGA DIGITAL"),0,MAX(0,5-NETWORKDAYS(H2652+1,TODAY()))))</f>
        <v/>
      </c>
      <c r="L2652" t="str">
        <f>IF(A2652="","",IFERROR(LOOKUP(2,1/(#REF!=Z2652),#REF!),Y2652))</f>
        <v/>
      </c>
      <c r="Z2652" t="str">
        <f>IF(A2652="","",TEXT(A2652,"0")&amp;"|"&amp;TEXT(H2652,"0"))</f>
        <v/>
      </c>
      <c r="AA2652" t="str">
        <f>IF(Z2652="","",IFERROR(LOOKUP(2,1/(#REF!=Z2652),#REF!),""))</f>
        <v/>
      </c>
      <c r="AB2652" t="str">
        <f>IF(Z2652="","",IFERROR(LOOKUP(2,1/(#REF!=Z2652),#REF!),""))</f>
        <v/>
      </c>
      <c r="AC2652" t="str">
        <f>IF(Z2652="","",COUNTIF(#REF!,Z2652))</f>
        <v/>
      </c>
      <c r="AD2652" t="str">
        <f>IF(A2652="","",IF(AC2652&gt;1,"REVISAR DUPLICADO",IF(AA2652&lt;&gt;"","ACTUALIZADO POR EYR","SIN REPORTE EYR")))</f>
        <v/>
      </c>
    </row>
    <row r="2653" spans="11:30" x14ac:dyDescent="0.3">
      <c r="K2653" s="1" t="str">
        <f ca="1">IF(A2653="","",IF(OR(L2653="ENTREGADA",L2653="RETORNADA",L2653="ENTREGA DIGITAL"),0,MAX(0,5-NETWORKDAYS(H2653+1,TODAY()))))</f>
        <v/>
      </c>
      <c r="L2653" t="str">
        <f>IF(A2653="","",IFERROR(LOOKUP(2,1/(#REF!=Z2653),#REF!),Y2653))</f>
        <v/>
      </c>
      <c r="Z2653" t="str">
        <f>IF(A2653="","",TEXT(A2653,"0")&amp;"|"&amp;TEXT(H2653,"0"))</f>
        <v/>
      </c>
      <c r="AA2653" t="str">
        <f>IF(Z2653="","",IFERROR(LOOKUP(2,1/(#REF!=Z2653),#REF!),""))</f>
        <v/>
      </c>
      <c r="AB2653" t="str">
        <f>IF(Z2653="","",IFERROR(LOOKUP(2,1/(#REF!=Z2653),#REF!),""))</f>
        <v/>
      </c>
      <c r="AC2653" t="str">
        <f>IF(Z2653="","",COUNTIF(#REF!,Z2653))</f>
        <v/>
      </c>
      <c r="AD2653" t="str">
        <f>IF(A2653="","",IF(AC2653&gt;1,"REVISAR DUPLICADO",IF(AA2653&lt;&gt;"","ACTUALIZADO POR EYR","SIN REPORTE EYR")))</f>
        <v/>
      </c>
    </row>
    <row r="2654" spans="11:30" x14ac:dyDescent="0.3">
      <c r="K2654" s="1" t="str">
        <f ca="1">IF(A2654="","",IF(OR(L2654="ENTREGADA",L2654="RETORNADA",L2654="ENTREGA DIGITAL"),0,MAX(0,5-NETWORKDAYS(H2654+1,TODAY()))))</f>
        <v/>
      </c>
      <c r="L2654" t="str">
        <f>IF(A2654="","",IFERROR(LOOKUP(2,1/(#REF!=Z2654),#REF!),Y2654))</f>
        <v/>
      </c>
      <c r="Z2654" t="str">
        <f>IF(A2654="","",TEXT(A2654,"0")&amp;"|"&amp;TEXT(H2654,"0"))</f>
        <v/>
      </c>
      <c r="AA2654" t="str">
        <f>IF(Z2654="","",IFERROR(LOOKUP(2,1/(#REF!=Z2654),#REF!),""))</f>
        <v/>
      </c>
      <c r="AB2654" t="str">
        <f>IF(Z2654="","",IFERROR(LOOKUP(2,1/(#REF!=Z2654),#REF!),""))</f>
        <v/>
      </c>
      <c r="AC2654" t="str">
        <f>IF(Z2654="","",COUNTIF(#REF!,Z2654))</f>
        <v/>
      </c>
      <c r="AD2654" t="str">
        <f>IF(A2654="","",IF(AC2654&gt;1,"REVISAR DUPLICADO",IF(AA2654&lt;&gt;"","ACTUALIZADO POR EYR","SIN REPORTE EYR")))</f>
        <v/>
      </c>
    </row>
    <row r="2655" spans="11:30" x14ac:dyDescent="0.3">
      <c r="K2655" s="1" t="str">
        <f ca="1">IF(A2655="","",IF(OR(L2655="ENTREGADA",L2655="RETORNADA",L2655="ENTREGA DIGITAL"),0,MAX(0,5-NETWORKDAYS(H2655+1,TODAY()))))</f>
        <v/>
      </c>
      <c r="L2655" t="str">
        <f>IF(A2655="","",IFERROR(LOOKUP(2,1/(#REF!=Z2655),#REF!),Y2655))</f>
        <v/>
      </c>
      <c r="Z2655" t="str">
        <f>IF(A2655="","",TEXT(A2655,"0")&amp;"|"&amp;TEXT(H2655,"0"))</f>
        <v/>
      </c>
      <c r="AA2655" t="str">
        <f>IF(Z2655="","",IFERROR(LOOKUP(2,1/(#REF!=Z2655),#REF!),""))</f>
        <v/>
      </c>
      <c r="AB2655" t="str">
        <f>IF(Z2655="","",IFERROR(LOOKUP(2,1/(#REF!=Z2655),#REF!),""))</f>
        <v/>
      </c>
      <c r="AC2655" t="str">
        <f>IF(Z2655="","",COUNTIF(#REF!,Z2655))</f>
        <v/>
      </c>
      <c r="AD2655" t="str">
        <f>IF(A2655="","",IF(AC2655&gt;1,"REVISAR DUPLICADO",IF(AA2655&lt;&gt;"","ACTUALIZADO POR EYR","SIN REPORTE EYR")))</f>
        <v/>
      </c>
    </row>
    <row r="2656" spans="11:30" x14ac:dyDescent="0.3">
      <c r="K2656" s="1" t="str">
        <f ca="1">IF(A2656="","",IF(OR(L2656="ENTREGADA",L2656="RETORNADA",L2656="ENTREGA DIGITAL"),0,MAX(0,5-NETWORKDAYS(H2656+1,TODAY()))))</f>
        <v/>
      </c>
      <c r="L2656" t="str">
        <f>IF(A2656="","",IFERROR(LOOKUP(2,1/(#REF!=Z2656),#REF!),Y2656))</f>
        <v/>
      </c>
      <c r="Z2656" t="str">
        <f>IF(A2656="","",TEXT(A2656,"0")&amp;"|"&amp;TEXT(H2656,"0"))</f>
        <v/>
      </c>
      <c r="AA2656" t="str">
        <f>IF(Z2656="","",IFERROR(LOOKUP(2,1/(#REF!=Z2656),#REF!),""))</f>
        <v/>
      </c>
      <c r="AB2656" t="str">
        <f>IF(Z2656="","",IFERROR(LOOKUP(2,1/(#REF!=Z2656),#REF!),""))</f>
        <v/>
      </c>
      <c r="AC2656" t="str">
        <f>IF(Z2656="","",COUNTIF(#REF!,Z2656))</f>
        <v/>
      </c>
      <c r="AD2656" t="str">
        <f>IF(A2656="","",IF(AC2656&gt;1,"REVISAR DUPLICADO",IF(AA2656&lt;&gt;"","ACTUALIZADO POR EYR","SIN REPORTE EYR")))</f>
        <v/>
      </c>
    </row>
    <row r="2657" spans="11:30" x14ac:dyDescent="0.3">
      <c r="K2657" s="1" t="str">
        <f ca="1">IF(A2657="","",IF(OR(L2657="ENTREGADA",L2657="RETORNADA",L2657="ENTREGA DIGITAL"),0,MAX(0,5-NETWORKDAYS(H2657+1,TODAY()))))</f>
        <v/>
      </c>
      <c r="L2657" t="str">
        <f>IF(A2657="","",IFERROR(LOOKUP(2,1/(#REF!=Z2657),#REF!),Y2657))</f>
        <v/>
      </c>
      <c r="Z2657" t="str">
        <f>IF(A2657="","",TEXT(A2657,"0")&amp;"|"&amp;TEXT(H2657,"0"))</f>
        <v/>
      </c>
      <c r="AA2657" t="str">
        <f>IF(Z2657="","",IFERROR(LOOKUP(2,1/(#REF!=Z2657),#REF!),""))</f>
        <v/>
      </c>
      <c r="AB2657" t="str">
        <f>IF(Z2657="","",IFERROR(LOOKUP(2,1/(#REF!=Z2657),#REF!),""))</f>
        <v/>
      </c>
      <c r="AC2657" t="str">
        <f>IF(Z2657="","",COUNTIF(#REF!,Z2657))</f>
        <v/>
      </c>
      <c r="AD2657" t="str">
        <f>IF(A2657="","",IF(AC2657&gt;1,"REVISAR DUPLICADO",IF(AA2657&lt;&gt;"","ACTUALIZADO POR EYR","SIN REPORTE EYR")))</f>
        <v/>
      </c>
    </row>
    <row r="2658" spans="11:30" x14ac:dyDescent="0.3">
      <c r="K2658" s="1" t="str">
        <f ca="1">IF(A2658="","",IF(OR(L2658="ENTREGADA",L2658="RETORNADA",L2658="ENTREGA DIGITAL"),0,MAX(0,5-NETWORKDAYS(H2658+1,TODAY()))))</f>
        <v/>
      </c>
      <c r="L2658" t="str">
        <f>IF(A2658="","",IFERROR(LOOKUP(2,1/(#REF!=Z2658),#REF!),Y2658))</f>
        <v/>
      </c>
      <c r="Z2658" t="str">
        <f>IF(A2658="","",TEXT(A2658,"0")&amp;"|"&amp;TEXT(H2658,"0"))</f>
        <v/>
      </c>
      <c r="AA2658" t="str">
        <f>IF(Z2658="","",IFERROR(LOOKUP(2,1/(#REF!=Z2658),#REF!),""))</f>
        <v/>
      </c>
      <c r="AB2658" t="str">
        <f>IF(Z2658="","",IFERROR(LOOKUP(2,1/(#REF!=Z2658),#REF!),""))</f>
        <v/>
      </c>
      <c r="AC2658" t="str">
        <f>IF(Z2658="","",COUNTIF(#REF!,Z2658))</f>
        <v/>
      </c>
      <c r="AD2658" t="str">
        <f>IF(A2658="","",IF(AC2658&gt;1,"REVISAR DUPLICADO",IF(AA2658&lt;&gt;"","ACTUALIZADO POR EYR","SIN REPORTE EYR")))</f>
        <v/>
      </c>
    </row>
    <row r="2659" spans="11:30" x14ac:dyDescent="0.3">
      <c r="K2659" s="1" t="str">
        <f ca="1">IF(A2659="","",IF(OR(L2659="ENTREGADA",L2659="RETORNADA",L2659="ENTREGA DIGITAL"),0,MAX(0,5-NETWORKDAYS(H2659+1,TODAY()))))</f>
        <v/>
      </c>
      <c r="L2659" t="str">
        <f>IF(A2659="","",IFERROR(LOOKUP(2,1/(#REF!=Z2659),#REF!),Y2659))</f>
        <v/>
      </c>
      <c r="Z2659" t="str">
        <f>IF(A2659="","",TEXT(A2659,"0")&amp;"|"&amp;TEXT(H2659,"0"))</f>
        <v/>
      </c>
      <c r="AA2659" t="str">
        <f>IF(Z2659="","",IFERROR(LOOKUP(2,1/(#REF!=Z2659),#REF!),""))</f>
        <v/>
      </c>
      <c r="AB2659" t="str">
        <f>IF(Z2659="","",IFERROR(LOOKUP(2,1/(#REF!=Z2659),#REF!),""))</f>
        <v/>
      </c>
      <c r="AC2659" t="str">
        <f>IF(Z2659="","",COUNTIF(#REF!,Z2659))</f>
        <v/>
      </c>
      <c r="AD2659" t="str">
        <f>IF(A2659="","",IF(AC2659&gt;1,"REVISAR DUPLICADO",IF(AA2659&lt;&gt;"","ACTUALIZADO POR EYR","SIN REPORTE EYR")))</f>
        <v/>
      </c>
    </row>
    <row r="2660" spans="11:30" x14ac:dyDescent="0.3">
      <c r="K2660" s="1" t="str">
        <f ca="1">IF(A2660="","",IF(OR(L2660="ENTREGADA",L2660="RETORNADA",L2660="ENTREGA DIGITAL"),0,MAX(0,5-NETWORKDAYS(H2660+1,TODAY()))))</f>
        <v/>
      </c>
      <c r="L2660" t="str">
        <f>IF(A2660="","",IFERROR(LOOKUP(2,1/(#REF!=Z2660),#REF!),Y2660))</f>
        <v/>
      </c>
      <c r="Z2660" t="str">
        <f>IF(A2660="","",TEXT(A2660,"0")&amp;"|"&amp;TEXT(H2660,"0"))</f>
        <v/>
      </c>
      <c r="AA2660" t="str">
        <f>IF(Z2660="","",IFERROR(LOOKUP(2,1/(#REF!=Z2660),#REF!),""))</f>
        <v/>
      </c>
      <c r="AB2660" t="str">
        <f>IF(Z2660="","",IFERROR(LOOKUP(2,1/(#REF!=Z2660),#REF!),""))</f>
        <v/>
      </c>
      <c r="AC2660" t="str">
        <f>IF(Z2660="","",COUNTIF(#REF!,Z2660))</f>
        <v/>
      </c>
      <c r="AD2660" t="str">
        <f>IF(A2660="","",IF(AC2660&gt;1,"REVISAR DUPLICADO",IF(AA2660&lt;&gt;"","ACTUALIZADO POR EYR","SIN REPORTE EYR")))</f>
        <v/>
      </c>
    </row>
    <row r="2661" spans="11:30" x14ac:dyDescent="0.3">
      <c r="K2661" s="1" t="str">
        <f ca="1">IF(A2661="","",IF(OR(L2661="ENTREGADA",L2661="RETORNADA",L2661="ENTREGA DIGITAL"),0,MAX(0,5-NETWORKDAYS(H2661+1,TODAY()))))</f>
        <v/>
      </c>
      <c r="L2661" t="str">
        <f>IF(A2661="","",IFERROR(LOOKUP(2,1/(#REF!=Z2661),#REF!),Y2661))</f>
        <v/>
      </c>
      <c r="Z2661" t="str">
        <f>IF(A2661="","",TEXT(A2661,"0")&amp;"|"&amp;TEXT(H2661,"0"))</f>
        <v/>
      </c>
      <c r="AA2661" t="str">
        <f>IF(Z2661="","",IFERROR(LOOKUP(2,1/(#REF!=Z2661),#REF!),""))</f>
        <v/>
      </c>
      <c r="AB2661" t="str">
        <f>IF(Z2661="","",IFERROR(LOOKUP(2,1/(#REF!=Z2661),#REF!),""))</f>
        <v/>
      </c>
      <c r="AC2661" t="str">
        <f>IF(Z2661="","",COUNTIF(#REF!,Z2661))</f>
        <v/>
      </c>
      <c r="AD2661" t="str">
        <f>IF(A2661="","",IF(AC2661&gt;1,"REVISAR DUPLICADO",IF(AA2661&lt;&gt;"","ACTUALIZADO POR EYR","SIN REPORTE EYR")))</f>
        <v/>
      </c>
    </row>
    <row r="2662" spans="11:30" x14ac:dyDescent="0.3">
      <c r="K2662" s="1" t="str">
        <f ca="1">IF(A2662="","",IF(OR(L2662="ENTREGADA",L2662="RETORNADA",L2662="ENTREGA DIGITAL"),0,MAX(0,5-NETWORKDAYS(H2662+1,TODAY()))))</f>
        <v/>
      </c>
      <c r="L2662" t="str">
        <f>IF(A2662="","",IFERROR(LOOKUP(2,1/(#REF!=Z2662),#REF!),Y2662))</f>
        <v/>
      </c>
      <c r="Z2662" t="str">
        <f>IF(A2662="","",TEXT(A2662,"0")&amp;"|"&amp;TEXT(H2662,"0"))</f>
        <v/>
      </c>
      <c r="AA2662" t="str">
        <f>IF(Z2662="","",IFERROR(LOOKUP(2,1/(#REF!=Z2662),#REF!),""))</f>
        <v/>
      </c>
      <c r="AB2662" t="str">
        <f>IF(Z2662="","",IFERROR(LOOKUP(2,1/(#REF!=Z2662),#REF!),""))</f>
        <v/>
      </c>
      <c r="AC2662" t="str">
        <f>IF(Z2662="","",COUNTIF(#REF!,Z2662))</f>
        <v/>
      </c>
      <c r="AD2662" t="str">
        <f>IF(A2662="","",IF(AC2662&gt;1,"REVISAR DUPLICADO",IF(AA2662&lt;&gt;"","ACTUALIZADO POR EYR","SIN REPORTE EYR")))</f>
        <v/>
      </c>
    </row>
    <row r="2663" spans="11:30" x14ac:dyDescent="0.3">
      <c r="K2663" s="1" t="str">
        <f ca="1">IF(A2663="","",IF(OR(L2663="ENTREGADA",L2663="RETORNADA",L2663="ENTREGA DIGITAL"),0,MAX(0,5-NETWORKDAYS(H2663+1,TODAY()))))</f>
        <v/>
      </c>
      <c r="L2663" t="str">
        <f>IF(A2663="","",IFERROR(LOOKUP(2,1/(#REF!=Z2663),#REF!),Y2663))</f>
        <v/>
      </c>
      <c r="Z2663" t="str">
        <f>IF(A2663="","",TEXT(A2663,"0")&amp;"|"&amp;TEXT(H2663,"0"))</f>
        <v/>
      </c>
      <c r="AA2663" t="str">
        <f>IF(Z2663="","",IFERROR(LOOKUP(2,1/(#REF!=Z2663),#REF!),""))</f>
        <v/>
      </c>
      <c r="AB2663" t="str">
        <f>IF(Z2663="","",IFERROR(LOOKUP(2,1/(#REF!=Z2663),#REF!),""))</f>
        <v/>
      </c>
      <c r="AC2663" t="str">
        <f>IF(Z2663="","",COUNTIF(#REF!,Z2663))</f>
        <v/>
      </c>
      <c r="AD2663" t="str">
        <f>IF(A2663="","",IF(AC2663&gt;1,"REVISAR DUPLICADO",IF(AA2663&lt;&gt;"","ACTUALIZADO POR EYR","SIN REPORTE EYR")))</f>
        <v/>
      </c>
    </row>
    <row r="2664" spans="11:30" x14ac:dyDescent="0.3">
      <c r="K2664" s="1" t="str">
        <f ca="1">IF(A2664="","",IF(OR(L2664="ENTREGADA",L2664="RETORNADA",L2664="ENTREGA DIGITAL"),0,MAX(0,5-NETWORKDAYS(H2664+1,TODAY()))))</f>
        <v/>
      </c>
      <c r="L2664" t="str">
        <f>IF(A2664="","",IFERROR(LOOKUP(2,1/(#REF!=Z2664),#REF!),Y2664))</f>
        <v/>
      </c>
      <c r="Z2664" t="str">
        <f>IF(A2664="","",TEXT(A2664,"0")&amp;"|"&amp;TEXT(H2664,"0"))</f>
        <v/>
      </c>
      <c r="AA2664" t="str">
        <f>IF(Z2664="","",IFERROR(LOOKUP(2,1/(#REF!=Z2664),#REF!),""))</f>
        <v/>
      </c>
      <c r="AB2664" t="str">
        <f>IF(Z2664="","",IFERROR(LOOKUP(2,1/(#REF!=Z2664),#REF!),""))</f>
        <v/>
      </c>
      <c r="AC2664" t="str">
        <f>IF(Z2664="","",COUNTIF(#REF!,Z2664))</f>
        <v/>
      </c>
      <c r="AD2664" t="str">
        <f>IF(A2664="","",IF(AC2664&gt;1,"REVISAR DUPLICADO",IF(AA2664&lt;&gt;"","ACTUALIZADO POR EYR","SIN REPORTE EYR")))</f>
        <v/>
      </c>
    </row>
    <row r="2665" spans="11:30" x14ac:dyDescent="0.3">
      <c r="K2665" s="1" t="str">
        <f ca="1">IF(A2665="","",IF(OR(L2665="ENTREGADA",L2665="RETORNADA",L2665="ENTREGA DIGITAL"),0,MAX(0,5-NETWORKDAYS(H2665+1,TODAY()))))</f>
        <v/>
      </c>
      <c r="L2665" t="str">
        <f>IF(A2665="","",IFERROR(LOOKUP(2,1/(#REF!=Z2665),#REF!),Y2665))</f>
        <v/>
      </c>
      <c r="Z2665" t="str">
        <f>IF(A2665="","",TEXT(A2665,"0")&amp;"|"&amp;TEXT(H2665,"0"))</f>
        <v/>
      </c>
      <c r="AA2665" t="str">
        <f>IF(Z2665="","",IFERROR(LOOKUP(2,1/(#REF!=Z2665),#REF!),""))</f>
        <v/>
      </c>
      <c r="AB2665" t="str">
        <f>IF(Z2665="","",IFERROR(LOOKUP(2,1/(#REF!=Z2665),#REF!),""))</f>
        <v/>
      </c>
      <c r="AC2665" t="str">
        <f>IF(Z2665="","",COUNTIF(#REF!,Z2665))</f>
        <v/>
      </c>
      <c r="AD2665" t="str">
        <f>IF(A2665="","",IF(AC2665&gt;1,"REVISAR DUPLICADO",IF(AA2665&lt;&gt;"","ACTUALIZADO POR EYR","SIN REPORTE EYR")))</f>
        <v/>
      </c>
    </row>
    <row r="2666" spans="11:30" x14ac:dyDescent="0.3">
      <c r="K2666" s="1" t="str">
        <f ca="1">IF(A2666="","",IF(OR(L2666="ENTREGADA",L2666="RETORNADA",L2666="ENTREGA DIGITAL"),0,MAX(0,5-NETWORKDAYS(H2666+1,TODAY()))))</f>
        <v/>
      </c>
      <c r="L2666" t="str">
        <f>IF(A2666="","",IFERROR(LOOKUP(2,1/(#REF!=Z2666),#REF!),Y2666))</f>
        <v/>
      </c>
      <c r="Z2666" t="str">
        <f>IF(A2666="","",TEXT(A2666,"0")&amp;"|"&amp;TEXT(H2666,"0"))</f>
        <v/>
      </c>
      <c r="AA2666" t="str">
        <f>IF(Z2666="","",IFERROR(LOOKUP(2,1/(#REF!=Z2666),#REF!),""))</f>
        <v/>
      </c>
      <c r="AB2666" t="str">
        <f>IF(Z2666="","",IFERROR(LOOKUP(2,1/(#REF!=Z2666),#REF!),""))</f>
        <v/>
      </c>
      <c r="AC2666" t="str">
        <f>IF(Z2666="","",COUNTIF(#REF!,Z2666))</f>
        <v/>
      </c>
      <c r="AD2666" t="str">
        <f>IF(A2666="","",IF(AC2666&gt;1,"REVISAR DUPLICADO",IF(AA2666&lt;&gt;"","ACTUALIZADO POR EYR","SIN REPORTE EYR")))</f>
        <v/>
      </c>
    </row>
    <row r="2667" spans="11:30" x14ac:dyDescent="0.3">
      <c r="K2667" s="1" t="str">
        <f ca="1">IF(A2667="","",IF(OR(L2667="ENTREGADA",L2667="RETORNADA",L2667="ENTREGA DIGITAL"),0,MAX(0,5-NETWORKDAYS(H2667+1,TODAY()))))</f>
        <v/>
      </c>
      <c r="L2667" t="str">
        <f>IF(A2667="","",IFERROR(LOOKUP(2,1/(#REF!=Z2667),#REF!),Y2667))</f>
        <v/>
      </c>
      <c r="Z2667" t="str">
        <f>IF(A2667="","",TEXT(A2667,"0")&amp;"|"&amp;TEXT(H2667,"0"))</f>
        <v/>
      </c>
      <c r="AA2667" t="str">
        <f>IF(Z2667="","",IFERROR(LOOKUP(2,1/(#REF!=Z2667),#REF!),""))</f>
        <v/>
      </c>
      <c r="AB2667" t="str">
        <f>IF(Z2667="","",IFERROR(LOOKUP(2,1/(#REF!=Z2667),#REF!),""))</f>
        <v/>
      </c>
      <c r="AC2667" t="str">
        <f>IF(Z2667="","",COUNTIF(#REF!,Z2667))</f>
        <v/>
      </c>
      <c r="AD2667" t="str">
        <f>IF(A2667="","",IF(AC2667&gt;1,"REVISAR DUPLICADO",IF(AA2667&lt;&gt;"","ACTUALIZADO POR EYR","SIN REPORTE EYR")))</f>
        <v/>
      </c>
    </row>
    <row r="2668" spans="11:30" x14ac:dyDescent="0.3">
      <c r="K2668" s="1" t="str">
        <f ca="1">IF(A2668="","",IF(OR(L2668="ENTREGADA",L2668="RETORNADA",L2668="ENTREGA DIGITAL"),0,MAX(0,5-NETWORKDAYS(H2668+1,TODAY()))))</f>
        <v/>
      </c>
      <c r="L2668" t="str">
        <f>IF(A2668="","",IFERROR(LOOKUP(2,1/(#REF!=Z2668),#REF!),Y2668))</f>
        <v/>
      </c>
      <c r="Z2668" t="str">
        <f>IF(A2668="","",TEXT(A2668,"0")&amp;"|"&amp;TEXT(H2668,"0"))</f>
        <v/>
      </c>
      <c r="AA2668" t="str">
        <f>IF(Z2668="","",IFERROR(LOOKUP(2,1/(#REF!=Z2668),#REF!),""))</f>
        <v/>
      </c>
      <c r="AB2668" t="str">
        <f>IF(Z2668="","",IFERROR(LOOKUP(2,1/(#REF!=Z2668),#REF!),""))</f>
        <v/>
      </c>
      <c r="AC2668" t="str">
        <f>IF(Z2668="","",COUNTIF(#REF!,Z2668))</f>
        <v/>
      </c>
      <c r="AD2668" t="str">
        <f>IF(A2668="","",IF(AC2668&gt;1,"REVISAR DUPLICADO",IF(AA2668&lt;&gt;"","ACTUALIZADO POR EYR","SIN REPORTE EYR")))</f>
        <v/>
      </c>
    </row>
    <row r="2669" spans="11:30" x14ac:dyDescent="0.3">
      <c r="K2669" s="1" t="str">
        <f ca="1">IF(A2669="","",IF(OR(L2669="ENTREGADA",L2669="RETORNADA",L2669="ENTREGA DIGITAL"),0,MAX(0,5-NETWORKDAYS(H2669+1,TODAY()))))</f>
        <v/>
      </c>
      <c r="L2669" t="str">
        <f>IF(A2669="","",IFERROR(LOOKUP(2,1/(#REF!=Z2669),#REF!),Y2669))</f>
        <v/>
      </c>
      <c r="Z2669" t="str">
        <f>IF(A2669="","",TEXT(A2669,"0")&amp;"|"&amp;TEXT(H2669,"0"))</f>
        <v/>
      </c>
      <c r="AA2669" t="str">
        <f>IF(Z2669="","",IFERROR(LOOKUP(2,1/(#REF!=Z2669),#REF!),""))</f>
        <v/>
      </c>
      <c r="AB2669" t="str">
        <f>IF(Z2669="","",IFERROR(LOOKUP(2,1/(#REF!=Z2669),#REF!),""))</f>
        <v/>
      </c>
      <c r="AC2669" t="str">
        <f>IF(Z2669="","",COUNTIF(#REF!,Z2669))</f>
        <v/>
      </c>
      <c r="AD2669" t="str">
        <f>IF(A2669="","",IF(AC2669&gt;1,"REVISAR DUPLICADO",IF(AA2669&lt;&gt;"","ACTUALIZADO POR EYR","SIN REPORTE EYR")))</f>
        <v/>
      </c>
    </row>
    <row r="2670" spans="11:30" x14ac:dyDescent="0.3">
      <c r="K2670" s="1" t="str">
        <f ca="1">IF(A2670="","",IF(OR(L2670="ENTREGADA",L2670="RETORNADA",L2670="ENTREGA DIGITAL"),0,MAX(0,5-NETWORKDAYS(H2670+1,TODAY()))))</f>
        <v/>
      </c>
      <c r="L2670" t="str">
        <f>IF(A2670="","",IFERROR(LOOKUP(2,1/(#REF!=Z2670),#REF!),Y2670))</f>
        <v/>
      </c>
      <c r="Z2670" t="str">
        <f>IF(A2670="","",TEXT(A2670,"0")&amp;"|"&amp;TEXT(H2670,"0"))</f>
        <v/>
      </c>
      <c r="AA2670" t="str">
        <f>IF(Z2670="","",IFERROR(LOOKUP(2,1/(#REF!=Z2670),#REF!),""))</f>
        <v/>
      </c>
      <c r="AB2670" t="str">
        <f>IF(Z2670="","",IFERROR(LOOKUP(2,1/(#REF!=Z2670),#REF!),""))</f>
        <v/>
      </c>
      <c r="AC2670" t="str">
        <f>IF(Z2670="","",COUNTIF(#REF!,Z2670))</f>
        <v/>
      </c>
      <c r="AD2670" t="str">
        <f>IF(A2670="","",IF(AC2670&gt;1,"REVISAR DUPLICADO",IF(AA2670&lt;&gt;"","ACTUALIZADO POR EYR","SIN REPORTE EYR")))</f>
        <v/>
      </c>
    </row>
    <row r="2671" spans="11:30" x14ac:dyDescent="0.3">
      <c r="K2671" s="1" t="str">
        <f ca="1">IF(A2671="","",IF(OR(L2671="ENTREGADA",L2671="RETORNADA",L2671="ENTREGA DIGITAL"),0,MAX(0,5-NETWORKDAYS(H2671+1,TODAY()))))</f>
        <v/>
      </c>
      <c r="L2671" t="str">
        <f>IF(A2671="","",IFERROR(LOOKUP(2,1/(#REF!=Z2671),#REF!),Y2671))</f>
        <v/>
      </c>
      <c r="Z2671" t="str">
        <f>IF(A2671="","",TEXT(A2671,"0")&amp;"|"&amp;TEXT(H2671,"0"))</f>
        <v/>
      </c>
      <c r="AA2671" t="str">
        <f>IF(Z2671="","",IFERROR(LOOKUP(2,1/(#REF!=Z2671),#REF!),""))</f>
        <v/>
      </c>
      <c r="AB2671" t="str">
        <f>IF(Z2671="","",IFERROR(LOOKUP(2,1/(#REF!=Z2671),#REF!),""))</f>
        <v/>
      </c>
      <c r="AC2671" t="str">
        <f>IF(Z2671="","",COUNTIF(#REF!,Z2671))</f>
        <v/>
      </c>
      <c r="AD2671" t="str">
        <f>IF(A2671="","",IF(AC2671&gt;1,"REVISAR DUPLICADO",IF(AA2671&lt;&gt;"","ACTUALIZADO POR EYR","SIN REPORTE EYR")))</f>
        <v/>
      </c>
    </row>
    <row r="2672" spans="11:30" x14ac:dyDescent="0.3">
      <c r="K2672" s="1" t="str">
        <f ca="1">IF(A2672="","",IF(OR(L2672="ENTREGADA",L2672="RETORNADA",L2672="ENTREGA DIGITAL"),0,MAX(0,5-NETWORKDAYS(H2672+1,TODAY()))))</f>
        <v/>
      </c>
      <c r="L2672" t="str">
        <f>IF(A2672="","",IFERROR(LOOKUP(2,1/(#REF!=Z2672),#REF!),Y2672))</f>
        <v/>
      </c>
      <c r="Z2672" t="str">
        <f>IF(A2672="","",TEXT(A2672,"0")&amp;"|"&amp;TEXT(H2672,"0"))</f>
        <v/>
      </c>
      <c r="AA2672" t="str">
        <f>IF(Z2672="","",IFERROR(LOOKUP(2,1/(#REF!=Z2672),#REF!),""))</f>
        <v/>
      </c>
      <c r="AB2672" t="str">
        <f>IF(Z2672="","",IFERROR(LOOKUP(2,1/(#REF!=Z2672),#REF!),""))</f>
        <v/>
      </c>
      <c r="AC2672" t="str">
        <f>IF(Z2672="","",COUNTIF(#REF!,Z2672))</f>
        <v/>
      </c>
      <c r="AD2672" t="str">
        <f>IF(A2672="","",IF(AC2672&gt;1,"REVISAR DUPLICADO",IF(AA2672&lt;&gt;"","ACTUALIZADO POR EYR","SIN REPORTE EYR")))</f>
        <v/>
      </c>
    </row>
    <row r="2673" spans="11:30" x14ac:dyDescent="0.3">
      <c r="K2673" s="1" t="str">
        <f ca="1">IF(A2673="","",IF(OR(L2673="ENTREGADA",L2673="RETORNADA",L2673="ENTREGA DIGITAL"),0,MAX(0,5-NETWORKDAYS(H2673+1,TODAY()))))</f>
        <v/>
      </c>
      <c r="L2673" t="str">
        <f>IF(A2673="","",IFERROR(LOOKUP(2,1/(#REF!=Z2673),#REF!),Y2673))</f>
        <v/>
      </c>
      <c r="Z2673" t="str">
        <f>IF(A2673="","",TEXT(A2673,"0")&amp;"|"&amp;TEXT(H2673,"0"))</f>
        <v/>
      </c>
      <c r="AA2673" t="str">
        <f>IF(Z2673="","",IFERROR(LOOKUP(2,1/(#REF!=Z2673),#REF!),""))</f>
        <v/>
      </c>
      <c r="AB2673" t="str">
        <f>IF(Z2673="","",IFERROR(LOOKUP(2,1/(#REF!=Z2673),#REF!),""))</f>
        <v/>
      </c>
      <c r="AC2673" t="str">
        <f>IF(Z2673="","",COUNTIF(#REF!,Z2673))</f>
        <v/>
      </c>
      <c r="AD2673" t="str">
        <f>IF(A2673="","",IF(AC2673&gt;1,"REVISAR DUPLICADO",IF(AA2673&lt;&gt;"","ACTUALIZADO POR EYR","SIN REPORTE EYR")))</f>
        <v/>
      </c>
    </row>
    <row r="2674" spans="11:30" x14ac:dyDescent="0.3">
      <c r="K2674" s="1" t="str">
        <f ca="1">IF(A2674="","",IF(OR(L2674="ENTREGADA",L2674="RETORNADA",L2674="ENTREGA DIGITAL"),0,MAX(0,5-NETWORKDAYS(H2674+1,TODAY()))))</f>
        <v/>
      </c>
      <c r="L2674" t="str">
        <f>IF(A2674="","",IFERROR(LOOKUP(2,1/(#REF!=Z2674),#REF!),Y2674))</f>
        <v/>
      </c>
      <c r="Z2674" t="str">
        <f>IF(A2674="","",TEXT(A2674,"0")&amp;"|"&amp;TEXT(H2674,"0"))</f>
        <v/>
      </c>
      <c r="AA2674" t="str">
        <f>IF(Z2674="","",IFERROR(LOOKUP(2,1/(#REF!=Z2674),#REF!),""))</f>
        <v/>
      </c>
      <c r="AB2674" t="str">
        <f>IF(Z2674="","",IFERROR(LOOKUP(2,1/(#REF!=Z2674),#REF!),""))</f>
        <v/>
      </c>
      <c r="AC2674" t="str">
        <f>IF(Z2674="","",COUNTIF(#REF!,Z2674))</f>
        <v/>
      </c>
      <c r="AD2674" t="str">
        <f>IF(A2674="","",IF(AC2674&gt;1,"REVISAR DUPLICADO",IF(AA2674&lt;&gt;"","ACTUALIZADO POR EYR","SIN REPORTE EYR")))</f>
        <v/>
      </c>
    </row>
    <row r="2675" spans="11:30" x14ac:dyDescent="0.3">
      <c r="K2675" s="1" t="str">
        <f ca="1">IF(A2675="","",IF(OR(L2675="ENTREGADA",L2675="RETORNADA",L2675="ENTREGA DIGITAL"),0,MAX(0,5-NETWORKDAYS(H2675+1,TODAY()))))</f>
        <v/>
      </c>
      <c r="L2675" t="str">
        <f>IF(A2675="","",IFERROR(LOOKUP(2,1/(#REF!=Z2675),#REF!),Y2675))</f>
        <v/>
      </c>
      <c r="Z2675" t="str">
        <f>IF(A2675="","",TEXT(A2675,"0")&amp;"|"&amp;TEXT(H2675,"0"))</f>
        <v/>
      </c>
      <c r="AA2675" t="str">
        <f>IF(Z2675="","",IFERROR(LOOKUP(2,1/(#REF!=Z2675),#REF!),""))</f>
        <v/>
      </c>
      <c r="AB2675" t="str">
        <f>IF(Z2675="","",IFERROR(LOOKUP(2,1/(#REF!=Z2675),#REF!),""))</f>
        <v/>
      </c>
      <c r="AC2675" t="str">
        <f>IF(Z2675="","",COUNTIF(#REF!,Z2675))</f>
        <v/>
      </c>
      <c r="AD2675" t="str">
        <f>IF(A2675="","",IF(AC2675&gt;1,"REVISAR DUPLICADO",IF(AA2675&lt;&gt;"","ACTUALIZADO POR EYR","SIN REPORTE EYR")))</f>
        <v/>
      </c>
    </row>
    <row r="2676" spans="11:30" x14ac:dyDescent="0.3">
      <c r="K2676" s="1" t="str">
        <f ca="1">IF(A2676="","",IF(OR(L2676="ENTREGADA",L2676="RETORNADA",L2676="ENTREGA DIGITAL"),0,MAX(0,5-NETWORKDAYS(H2676+1,TODAY()))))</f>
        <v/>
      </c>
      <c r="L2676" t="str">
        <f>IF(A2676="","",IFERROR(LOOKUP(2,1/(#REF!=Z2676),#REF!),Y2676))</f>
        <v/>
      </c>
      <c r="Z2676" t="str">
        <f>IF(A2676="","",TEXT(A2676,"0")&amp;"|"&amp;TEXT(H2676,"0"))</f>
        <v/>
      </c>
      <c r="AA2676" t="str">
        <f>IF(Z2676="","",IFERROR(LOOKUP(2,1/(#REF!=Z2676),#REF!),""))</f>
        <v/>
      </c>
      <c r="AB2676" t="str">
        <f>IF(Z2676="","",IFERROR(LOOKUP(2,1/(#REF!=Z2676),#REF!),""))</f>
        <v/>
      </c>
      <c r="AC2676" t="str">
        <f>IF(Z2676="","",COUNTIF(#REF!,Z2676))</f>
        <v/>
      </c>
      <c r="AD2676" t="str">
        <f>IF(A2676="","",IF(AC2676&gt;1,"REVISAR DUPLICADO",IF(AA2676&lt;&gt;"","ACTUALIZADO POR EYR","SIN REPORTE EYR")))</f>
        <v/>
      </c>
    </row>
    <row r="2677" spans="11:30" x14ac:dyDescent="0.3">
      <c r="K2677" s="1" t="str">
        <f ca="1">IF(A2677="","",IF(OR(L2677="ENTREGADA",L2677="RETORNADA",L2677="ENTREGA DIGITAL"),0,MAX(0,5-NETWORKDAYS(H2677+1,TODAY()))))</f>
        <v/>
      </c>
      <c r="L2677" t="str">
        <f>IF(A2677="","",IFERROR(LOOKUP(2,1/(#REF!=Z2677),#REF!),Y2677))</f>
        <v/>
      </c>
      <c r="Z2677" t="str">
        <f>IF(A2677="","",TEXT(A2677,"0")&amp;"|"&amp;TEXT(H2677,"0"))</f>
        <v/>
      </c>
      <c r="AA2677" t="str">
        <f>IF(Z2677="","",IFERROR(LOOKUP(2,1/(#REF!=Z2677),#REF!),""))</f>
        <v/>
      </c>
      <c r="AB2677" t="str">
        <f>IF(Z2677="","",IFERROR(LOOKUP(2,1/(#REF!=Z2677),#REF!),""))</f>
        <v/>
      </c>
      <c r="AC2677" t="str">
        <f>IF(Z2677="","",COUNTIF(#REF!,Z2677))</f>
        <v/>
      </c>
      <c r="AD2677" t="str">
        <f>IF(A2677="","",IF(AC2677&gt;1,"REVISAR DUPLICADO",IF(AA2677&lt;&gt;"","ACTUALIZADO POR EYR","SIN REPORTE EYR")))</f>
        <v/>
      </c>
    </row>
    <row r="2678" spans="11:30" x14ac:dyDescent="0.3">
      <c r="K2678" s="1" t="str">
        <f ca="1">IF(A2678="","",IF(OR(L2678="ENTREGADA",L2678="RETORNADA",L2678="ENTREGA DIGITAL"),0,MAX(0,5-NETWORKDAYS(H2678+1,TODAY()))))</f>
        <v/>
      </c>
      <c r="L2678" t="str">
        <f>IF(A2678="","",IFERROR(LOOKUP(2,1/(#REF!=Z2678),#REF!),Y2678))</f>
        <v/>
      </c>
      <c r="Z2678" t="str">
        <f>IF(A2678="","",TEXT(A2678,"0")&amp;"|"&amp;TEXT(H2678,"0"))</f>
        <v/>
      </c>
      <c r="AA2678" t="str">
        <f>IF(Z2678="","",IFERROR(LOOKUP(2,1/(#REF!=Z2678),#REF!),""))</f>
        <v/>
      </c>
      <c r="AB2678" t="str">
        <f>IF(Z2678="","",IFERROR(LOOKUP(2,1/(#REF!=Z2678),#REF!),""))</f>
        <v/>
      </c>
      <c r="AC2678" t="str">
        <f>IF(Z2678="","",COUNTIF(#REF!,Z2678))</f>
        <v/>
      </c>
      <c r="AD2678" t="str">
        <f>IF(A2678="","",IF(AC2678&gt;1,"REVISAR DUPLICADO",IF(AA2678&lt;&gt;"","ACTUALIZADO POR EYR","SIN REPORTE EYR")))</f>
        <v/>
      </c>
    </row>
    <row r="2679" spans="11:30" x14ac:dyDescent="0.3">
      <c r="K2679" s="1" t="str">
        <f ca="1">IF(A2679="","",IF(OR(L2679="ENTREGADA",L2679="RETORNADA",L2679="ENTREGA DIGITAL"),0,MAX(0,5-NETWORKDAYS(H2679+1,TODAY()))))</f>
        <v/>
      </c>
      <c r="L2679" t="str">
        <f>IF(A2679="","",IFERROR(LOOKUP(2,1/(#REF!=Z2679),#REF!),Y2679))</f>
        <v/>
      </c>
      <c r="Z2679" t="str">
        <f>IF(A2679="","",TEXT(A2679,"0")&amp;"|"&amp;TEXT(H2679,"0"))</f>
        <v/>
      </c>
      <c r="AA2679" t="str">
        <f>IF(Z2679="","",IFERROR(LOOKUP(2,1/(#REF!=Z2679),#REF!),""))</f>
        <v/>
      </c>
      <c r="AB2679" t="str">
        <f>IF(Z2679="","",IFERROR(LOOKUP(2,1/(#REF!=Z2679),#REF!),""))</f>
        <v/>
      </c>
      <c r="AC2679" t="str">
        <f>IF(Z2679="","",COUNTIF(#REF!,Z2679))</f>
        <v/>
      </c>
      <c r="AD2679" t="str">
        <f>IF(A2679="","",IF(AC2679&gt;1,"REVISAR DUPLICADO",IF(AA2679&lt;&gt;"","ACTUALIZADO POR EYR","SIN REPORTE EYR")))</f>
        <v/>
      </c>
    </row>
    <row r="2680" spans="11:30" x14ac:dyDescent="0.3">
      <c r="K2680" s="1" t="str">
        <f ca="1">IF(A2680="","",IF(OR(L2680="ENTREGADA",L2680="RETORNADA",L2680="ENTREGA DIGITAL"),0,MAX(0,5-NETWORKDAYS(H2680+1,TODAY()))))</f>
        <v/>
      </c>
      <c r="L2680" t="str">
        <f>IF(A2680="","",IFERROR(LOOKUP(2,1/(#REF!=Z2680),#REF!),Y2680))</f>
        <v/>
      </c>
      <c r="Z2680" t="str">
        <f>IF(A2680="","",TEXT(A2680,"0")&amp;"|"&amp;TEXT(H2680,"0"))</f>
        <v/>
      </c>
      <c r="AA2680" t="str">
        <f>IF(Z2680="","",IFERROR(LOOKUP(2,1/(#REF!=Z2680),#REF!),""))</f>
        <v/>
      </c>
      <c r="AB2680" t="str">
        <f>IF(Z2680="","",IFERROR(LOOKUP(2,1/(#REF!=Z2680),#REF!),""))</f>
        <v/>
      </c>
      <c r="AC2680" t="str">
        <f>IF(Z2680="","",COUNTIF(#REF!,Z2680))</f>
        <v/>
      </c>
      <c r="AD2680" t="str">
        <f>IF(A2680="","",IF(AC2680&gt;1,"REVISAR DUPLICADO",IF(AA2680&lt;&gt;"","ACTUALIZADO POR EYR","SIN REPORTE EYR")))</f>
        <v/>
      </c>
    </row>
    <row r="2681" spans="11:30" x14ac:dyDescent="0.3">
      <c r="K2681" s="1" t="str">
        <f ca="1">IF(A2681="","",IF(OR(L2681="ENTREGADA",L2681="RETORNADA",L2681="ENTREGA DIGITAL"),0,MAX(0,5-NETWORKDAYS(H2681+1,TODAY()))))</f>
        <v/>
      </c>
      <c r="L2681" t="str">
        <f>IF(A2681="","",IFERROR(LOOKUP(2,1/(#REF!=Z2681),#REF!),Y2681))</f>
        <v/>
      </c>
      <c r="Z2681" t="str">
        <f>IF(A2681="","",TEXT(A2681,"0")&amp;"|"&amp;TEXT(H2681,"0"))</f>
        <v/>
      </c>
      <c r="AA2681" t="str">
        <f>IF(Z2681="","",IFERROR(LOOKUP(2,1/(#REF!=Z2681),#REF!),""))</f>
        <v/>
      </c>
      <c r="AB2681" t="str">
        <f>IF(Z2681="","",IFERROR(LOOKUP(2,1/(#REF!=Z2681),#REF!),""))</f>
        <v/>
      </c>
      <c r="AC2681" t="str">
        <f>IF(Z2681="","",COUNTIF(#REF!,Z2681))</f>
        <v/>
      </c>
      <c r="AD2681" t="str">
        <f>IF(A2681="","",IF(AC2681&gt;1,"REVISAR DUPLICADO",IF(AA2681&lt;&gt;"","ACTUALIZADO POR EYR","SIN REPORTE EYR")))</f>
        <v/>
      </c>
    </row>
    <row r="2682" spans="11:30" x14ac:dyDescent="0.3">
      <c r="K2682" s="1" t="str">
        <f ca="1">IF(A2682="","",IF(OR(L2682="ENTREGADA",L2682="RETORNADA",L2682="ENTREGA DIGITAL"),0,MAX(0,5-NETWORKDAYS(H2682+1,TODAY()))))</f>
        <v/>
      </c>
      <c r="L2682" t="str">
        <f>IF(A2682="","",IFERROR(LOOKUP(2,1/(#REF!=Z2682),#REF!),Y2682))</f>
        <v/>
      </c>
      <c r="Z2682" t="str">
        <f>IF(A2682="","",TEXT(A2682,"0")&amp;"|"&amp;TEXT(H2682,"0"))</f>
        <v/>
      </c>
      <c r="AA2682" t="str">
        <f>IF(Z2682="","",IFERROR(LOOKUP(2,1/(#REF!=Z2682),#REF!),""))</f>
        <v/>
      </c>
      <c r="AB2682" t="str">
        <f>IF(Z2682="","",IFERROR(LOOKUP(2,1/(#REF!=Z2682),#REF!),""))</f>
        <v/>
      </c>
      <c r="AC2682" t="str">
        <f>IF(Z2682="","",COUNTIF(#REF!,Z2682))</f>
        <v/>
      </c>
      <c r="AD2682" t="str">
        <f>IF(A2682="","",IF(AC2682&gt;1,"REVISAR DUPLICADO",IF(AA2682&lt;&gt;"","ACTUALIZADO POR EYR","SIN REPORTE EYR")))</f>
        <v/>
      </c>
    </row>
    <row r="2683" spans="11:30" x14ac:dyDescent="0.3">
      <c r="K2683" s="1" t="str">
        <f ca="1">IF(A2683="","",IF(OR(L2683="ENTREGADA",L2683="RETORNADA",L2683="ENTREGA DIGITAL"),0,MAX(0,5-NETWORKDAYS(H2683+1,TODAY()))))</f>
        <v/>
      </c>
      <c r="L2683" t="str">
        <f>IF(A2683="","",IFERROR(LOOKUP(2,1/(#REF!=Z2683),#REF!),Y2683))</f>
        <v/>
      </c>
      <c r="Z2683" t="str">
        <f>IF(A2683="","",TEXT(A2683,"0")&amp;"|"&amp;TEXT(H2683,"0"))</f>
        <v/>
      </c>
      <c r="AA2683" t="str">
        <f>IF(Z2683="","",IFERROR(LOOKUP(2,1/(#REF!=Z2683),#REF!),""))</f>
        <v/>
      </c>
      <c r="AB2683" t="str">
        <f>IF(Z2683="","",IFERROR(LOOKUP(2,1/(#REF!=Z2683),#REF!),""))</f>
        <v/>
      </c>
      <c r="AC2683" t="str">
        <f>IF(Z2683="","",COUNTIF(#REF!,Z2683))</f>
        <v/>
      </c>
      <c r="AD2683" t="str">
        <f>IF(A2683="","",IF(AC2683&gt;1,"REVISAR DUPLICADO",IF(AA2683&lt;&gt;"","ACTUALIZADO POR EYR","SIN REPORTE EYR")))</f>
        <v/>
      </c>
    </row>
    <row r="2684" spans="11:30" x14ac:dyDescent="0.3">
      <c r="K2684" s="1" t="str">
        <f ca="1">IF(A2684="","",IF(OR(L2684="ENTREGADA",L2684="RETORNADA",L2684="ENTREGA DIGITAL"),0,MAX(0,5-NETWORKDAYS(H2684+1,TODAY()))))</f>
        <v/>
      </c>
      <c r="L2684" t="str">
        <f>IF(A2684="","",IFERROR(LOOKUP(2,1/(#REF!=Z2684),#REF!),Y2684))</f>
        <v/>
      </c>
      <c r="Z2684" t="str">
        <f>IF(A2684="","",TEXT(A2684,"0")&amp;"|"&amp;TEXT(H2684,"0"))</f>
        <v/>
      </c>
      <c r="AA2684" t="str">
        <f>IF(Z2684="","",IFERROR(LOOKUP(2,1/(#REF!=Z2684),#REF!),""))</f>
        <v/>
      </c>
      <c r="AB2684" t="str">
        <f>IF(Z2684="","",IFERROR(LOOKUP(2,1/(#REF!=Z2684),#REF!),""))</f>
        <v/>
      </c>
      <c r="AC2684" t="str">
        <f>IF(Z2684="","",COUNTIF(#REF!,Z2684))</f>
        <v/>
      </c>
      <c r="AD2684" t="str">
        <f>IF(A2684="","",IF(AC2684&gt;1,"REVISAR DUPLICADO",IF(AA2684&lt;&gt;"","ACTUALIZADO POR EYR","SIN REPORTE EYR")))</f>
        <v/>
      </c>
    </row>
    <row r="2685" spans="11:30" x14ac:dyDescent="0.3">
      <c r="K2685" s="1" t="str">
        <f ca="1">IF(A2685="","",IF(OR(L2685="ENTREGADA",L2685="RETORNADA",L2685="ENTREGA DIGITAL"),0,MAX(0,5-NETWORKDAYS(H2685+1,TODAY()))))</f>
        <v/>
      </c>
      <c r="L2685" t="str">
        <f>IF(A2685="","",IFERROR(LOOKUP(2,1/(#REF!=Z2685),#REF!),Y2685))</f>
        <v/>
      </c>
      <c r="Z2685" t="str">
        <f>IF(A2685="","",TEXT(A2685,"0")&amp;"|"&amp;TEXT(H2685,"0"))</f>
        <v/>
      </c>
      <c r="AA2685" t="str">
        <f>IF(Z2685="","",IFERROR(LOOKUP(2,1/(#REF!=Z2685),#REF!),""))</f>
        <v/>
      </c>
      <c r="AB2685" t="str">
        <f>IF(Z2685="","",IFERROR(LOOKUP(2,1/(#REF!=Z2685),#REF!),""))</f>
        <v/>
      </c>
      <c r="AC2685" t="str">
        <f>IF(Z2685="","",COUNTIF(#REF!,Z2685))</f>
        <v/>
      </c>
      <c r="AD2685" t="str">
        <f>IF(A2685="","",IF(AC2685&gt;1,"REVISAR DUPLICADO",IF(AA2685&lt;&gt;"","ACTUALIZADO POR EYR","SIN REPORTE EYR")))</f>
        <v/>
      </c>
    </row>
    <row r="2686" spans="11:30" x14ac:dyDescent="0.3">
      <c r="K2686" s="1" t="str">
        <f ca="1">IF(A2686="","",IF(OR(L2686="ENTREGADA",L2686="RETORNADA",L2686="ENTREGA DIGITAL"),0,MAX(0,5-NETWORKDAYS(H2686+1,TODAY()))))</f>
        <v/>
      </c>
      <c r="L2686" t="str">
        <f>IF(A2686="","",IFERROR(LOOKUP(2,1/(#REF!=Z2686),#REF!),Y2686))</f>
        <v/>
      </c>
      <c r="Z2686" t="str">
        <f>IF(A2686="","",TEXT(A2686,"0")&amp;"|"&amp;TEXT(H2686,"0"))</f>
        <v/>
      </c>
      <c r="AA2686" t="str">
        <f>IF(Z2686="","",IFERROR(LOOKUP(2,1/(#REF!=Z2686),#REF!),""))</f>
        <v/>
      </c>
      <c r="AB2686" t="str">
        <f>IF(Z2686="","",IFERROR(LOOKUP(2,1/(#REF!=Z2686),#REF!),""))</f>
        <v/>
      </c>
      <c r="AC2686" t="str">
        <f>IF(Z2686="","",COUNTIF(#REF!,Z2686))</f>
        <v/>
      </c>
      <c r="AD2686" t="str">
        <f>IF(A2686="","",IF(AC2686&gt;1,"REVISAR DUPLICADO",IF(AA2686&lt;&gt;"","ACTUALIZADO POR EYR","SIN REPORTE EYR")))</f>
        <v/>
      </c>
    </row>
    <row r="2687" spans="11:30" x14ac:dyDescent="0.3">
      <c r="K2687" s="1" t="str">
        <f ca="1">IF(A2687="","",IF(OR(L2687="ENTREGADA",L2687="RETORNADA",L2687="ENTREGA DIGITAL"),0,MAX(0,5-NETWORKDAYS(H2687+1,TODAY()))))</f>
        <v/>
      </c>
      <c r="L2687" t="str">
        <f>IF(A2687="","",IFERROR(LOOKUP(2,1/(#REF!=Z2687),#REF!),Y2687))</f>
        <v/>
      </c>
      <c r="Z2687" t="str">
        <f>IF(A2687="","",TEXT(A2687,"0")&amp;"|"&amp;TEXT(H2687,"0"))</f>
        <v/>
      </c>
      <c r="AA2687" t="str">
        <f>IF(Z2687="","",IFERROR(LOOKUP(2,1/(#REF!=Z2687),#REF!),""))</f>
        <v/>
      </c>
      <c r="AB2687" t="str">
        <f>IF(Z2687="","",IFERROR(LOOKUP(2,1/(#REF!=Z2687),#REF!),""))</f>
        <v/>
      </c>
      <c r="AC2687" t="str">
        <f>IF(Z2687="","",COUNTIF(#REF!,Z2687))</f>
        <v/>
      </c>
      <c r="AD2687" t="str">
        <f>IF(A2687="","",IF(AC2687&gt;1,"REVISAR DUPLICADO",IF(AA2687&lt;&gt;"","ACTUALIZADO POR EYR","SIN REPORTE EYR")))</f>
        <v/>
      </c>
    </row>
    <row r="2688" spans="11:30" x14ac:dyDescent="0.3">
      <c r="K2688" s="1" t="str">
        <f ca="1">IF(A2688="","",IF(OR(L2688="ENTREGADA",L2688="RETORNADA",L2688="ENTREGA DIGITAL"),0,MAX(0,5-NETWORKDAYS(H2688+1,TODAY()))))</f>
        <v/>
      </c>
      <c r="L2688" t="str">
        <f>IF(A2688="","",IFERROR(LOOKUP(2,1/(#REF!=Z2688),#REF!),Y2688))</f>
        <v/>
      </c>
      <c r="Z2688" t="str">
        <f>IF(A2688="","",TEXT(A2688,"0")&amp;"|"&amp;TEXT(H2688,"0"))</f>
        <v/>
      </c>
      <c r="AA2688" t="str">
        <f>IF(Z2688="","",IFERROR(LOOKUP(2,1/(#REF!=Z2688),#REF!),""))</f>
        <v/>
      </c>
      <c r="AB2688" t="str">
        <f>IF(Z2688="","",IFERROR(LOOKUP(2,1/(#REF!=Z2688),#REF!),""))</f>
        <v/>
      </c>
      <c r="AC2688" t="str">
        <f>IF(Z2688="","",COUNTIF(#REF!,Z2688))</f>
        <v/>
      </c>
      <c r="AD2688" t="str">
        <f>IF(A2688="","",IF(AC2688&gt;1,"REVISAR DUPLICADO",IF(AA2688&lt;&gt;"","ACTUALIZADO POR EYR","SIN REPORTE EYR")))</f>
        <v/>
      </c>
    </row>
    <row r="2689" spans="11:30" x14ac:dyDescent="0.3">
      <c r="K2689" s="1" t="str">
        <f ca="1">IF(A2689="","",IF(OR(L2689="ENTREGADA",L2689="RETORNADA",L2689="ENTREGA DIGITAL"),0,MAX(0,5-NETWORKDAYS(H2689+1,TODAY()))))</f>
        <v/>
      </c>
      <c r="L2689" t="str">
        <f>IF(A2689="","",IFERROR(LOOKUP(2,1/(#REF!=Z2689),#REF!),Y2689))</f>
        <v/>
      </c>
      <c r="Z2689" t="str">
        <f>IF(A2689="","",TEXT(A2689,"0")&amp;"|"&amp;TEXT(H2689,"0"))</f>
        <v/>
      </c>
      <c r="AA2689" t="str">
        <f>IF(Z2689="","",IFERROR(LOOKUP(2,1/(#REF!=Z2689),#REF!),""))</f>
        <v/>
      </c>
      <c r="AB2689" t="str">
        <f>IF(Z2689="","",IFERROR(LOOKUP(2,1/(#REF!=Z2689),#REF!),""))</f>
        <v/>
      </c>
      <c r="AC2689" t="str">
        <f>IF(Z2689="","",COUNTIF(#REF!,Z2689))</f>
        <v/>
      </c>
      <c r="AD2689" t="str">
        <f>IF(A2689="","",IF(AC2689&gt;1,"REVISAR DUPLICADO",IF(AA2689&lt;&gt;"","ACTUALIZADO POR EYR","SIN REPORTE EYR")))</f>
        <v/>
      </c>
    </row>
    <row r="2690" spans="11:30" x14ac:dyDescent="0.3">
      <c r="K2690" s="1" t="str">
        <f ca="1">IF(A2690="","",IF(OR(L2690="ENTREGADA",L2690="RETORNADA",L2690="ENTREGA DIGITAL"),0,MAX(0,5-NETWORKDAYS(H2690+1,TODAY()))))</f>
        <v/>
      </c>
      <c r="L2690" t="str">
        <f>IF(A2690="","",IFERROR(LOOKUP(2,1/(#REF!=Z2690),#REF!),Y2690))</f>
        <v/>
      </c>
      <c r="Z2690" t="str">
        <f>IF(A2690="","",TEXT(A2690,"0")&amp;"|"&amp;TEXT(H2690,"0"))</f>
        <v/>
      </c>
      <c r="AA2690" t="str">
        <f>IF(Z2690="","",IFERROR(LOOKUP(2,1/(#REF!=Z2690),#REF!),""))</f>
        <v/>
      </c>
      <c r="AB2690" t="str">
        <f>IF(Z2690="","",IFERROR(LOOKUP(2,1/(#REF!=Z2690),#REF!),""))</f>
        <v/>
      </c>
      <c r="AC2690" t="str">
        <f>IF(Z2690="","",COUNTIF(#REF!,Z2690))</f>
        <v/>
      </c>
      <c r="AD2690" t="str">
        <f>IF(A2690="","",IF(AC2690&gt;1,"REVISAR DUPLICADO",IF(AA2690&lt;&gt;"","ACTUALIZADO POR EYR","SIN REPORTE EYR")))</f>
        <v/>
      </c>
    </row>
    <row r="2691" spans="11:30" x14ac:dyDescent="0.3">
      <c r="K2691" s="1" t="str">
        <f ca="1">IF(A2691="","",IF(OR(L2691="ENTREGADA",L2691="RETORNADA",L2691="ENTREGA DIGITAL"),0,MAX(0,5-NETWORKDAYS(H2691+1,TODAY()))))</f>
        <v/>
      </c>
      <c r="L2691" t="str">
        <f>IF(A2691="","",IFERROR(LOOKUP(2,1/(#REF!=Z2691),#REF!),Y2691))</f>
        <v/>
      </c>
      <c r="Z2691" t="str">
        <f>IF(A2691="","",TEXT(A2691,"0")&amp;"|"&amp;TEXT(H2691,"0"))</f>
        <v/>
      </c>
      <c r="AA2691" t="str">
        <f>IF(Z2691="","",IFERROR(LOOKUP(2,1/(#REF!=Z2691),#REF!),""))</f>
        <v/>
      </c>
      <c r="AB2691" t="str">
        <f>IF(Z2691="","",IFERROR(LOOKUP(2,1/(#REF!=Z2691),#REF!),""))</f>
        <v/>
      </c>
      <c r="AC2691" t="str">
        <f>IF(Z2691="","",COUNTIF(#REF!,Z2691))</f>
        <v/>
      </c>
      <c r="AD2691" t="str">
        <f>IF(A2691="","",IF(AC2691&gt;1,"REVISAR DUPLICADO",IF(AA2691&lt;&gt;"","ACTUALIZADO POR EYR","SIN REPORTE EYR")))</f>
        <v/>
      </c>
    </row>
    <row r="2692" spans="11:30" x14ac:dyDescent="0.3">
      <c r="K2692" s="1" t="str">
        <f ca="1">IF(A2692="","",IF(OR(L2692="ENTREGADA",L2692="RETORNADA",L2692="ENTREGA DIGITAL"),0,MAX(0,5-NETWORKDAYS(H2692+1,TODAY()))))</f>
        <v/>
      </c>
      <c r="L2692" t="str">
        <f>IF(A2692="","",IFERROR(LOOKUP(2,1/(#REF!=Z2692),#REF!),Y2692))</f>
        <v/>
      </c>
      <c r="Z2692" t="str">
        <f>IF(A2692="","",TEXT(A2692,"0")&amp;"|"&amp;TEXT(H2692,"0"))</f>
        <v/>
      </c>
      <c r="AA2692" t="str">
        <f>IF(Z2692="","",IFERROR(LOOKUP(2,1/(#REF!=Z2692),#REF!),""))</f>
        <v/>
      </c>
      <c r="AB2692" t="str">
        <f>IF(Z2692="","",IFERROR(LOOKUP(2,1/(#REF!=Z2692),#REF!),""))</f>
        <v/>
      </c>
      <c r="AC2692" t="str">
        <f>IF(Z2692="","",COUNTIF(#REF!,Z2692))</f>
        <v/>
      </c>
      <c r="AD2692" t="str">
        <f>IF(A2692="","",IF(AC2692&gt;1,"REVISAR DUPLICADO",IF(AA2692&lt;&gt;"","ACTUALIZADO POR EYR","SIN REPORTE EYR")))</f>
        <v/>
      </c>
    </row>
    <row r="2693" spans="11:30" x14ac:dyDescent="0.3">
      <c r="K2693" s="1" t="str">
        <f ca="1">IF(A2693="","",IF(OR(L2693="ENTREGADA",L2693="RETORNADA",L2693="ENTREGA DIGITAL"),0,MAX(0,5-NETWORKDAYS(H2693+1,TODAY()))))</f>
        <v/>
      </c>
      <c r="L2693" t="str">
        <f>IF(A2693="","",IFERROR(LOOKUP(2,1/(#REF!=Z2693),#REF!),Y2693))</f>
        <v/>
      </c>
      <c r="Z2693" t="str">
        <f>IF(A2693="","",TEXT(A2693,"0")&amp;"|"&amp;TEXT(H2693,"0"))</f>
        <v/>
      </c>
      <c r="AA2693" t="str">
        <f>IF(Z2693="","",IFERROR(LOOKUP(2,1/(#REF!=Z2693),#REF!),""))</f>
        <v/>
      </c>
      <c r="AB2693" t="str">
        <f>IF(Z2693="","",IFERROR(LOOKUP(2,1/(#REF!=Z2693),#REF!),""))</f>
        <v/>
      </c>
      <c r="AC2693" t="str">
        <f>IF(Z2693="","",COUNTIF(#REF!,Z2693))</f>
        <v/>
      </c>
      <c r="AD2693" t="str">
        <f>IF(A2693="","",IF(AC2693&gt;1,"REVISAR DUPLICADO",IF(AA2693&lt;&gt;"","ACTUALIZADO POR EYR","SIN REPORTE EYR")))</f>
        <v/>
      </c>
    </row>
    <row r="2694" spans="11:30" x14ac:dyDescent="0.3">
      <c r="K2694" s="1" t="str">
        <f ca="1">IF(A2694="","",IF(OR(L2694="ENTREGADA",L2694="RETORNADA",L2694="ENTREGA DIGITAL"),0,MAX(0,5-NETWORKDAYS(H2694+1,TODAY()))))</f>
        <v/>
      </c>
      <c r="L2694" t="str">
        <f>IF(A2694="","",IFERROR(LOOKUP(2,1/(#REF!=Z2694),#REF!),Y2694))</f>
        <v/>
      </c>
      <c r="Z2694" t="str">
        <f>IF(A2694="","",TEXT(A2694,"0")&amp;"|"&amp;TEXT(H2694,"0"))</f>
        <v/>
      </c>
      <c r="AA2694" t="str">
        <f>IF(Z2694="","",IFERROR(LOOKUP(2,1/(#REF!=Z2694),#REF!),""))</f>
        <v/>
      </c>
      <c r="AB2694" t="str">
        <f>IF(Z2694="","",IFERROR(LOOKUP(2,1/(#REF!=Z2694),#REF!),""))</f>
        <v/>
      </c>
      <c r="AC2694" t="str">
        <f>IF(Z2694="","",COUNTIF(#REF!,Z2694))</f>
        <v/>
      </c>
      <c r="AD2694" t="str">
        <f>IF(A2694="","",IF(AC2694&gt;1,"REVISAR DUPLICADO",IF(AA2694&lt;&gt;"","ACTUALIZADO POR EYR","SIN REPORTE EYR")))</f>
        <v/>
      </c>
    </row>
    <row r="2695" spans="11:30" x14ac:dyDescent="0.3">
      <c r="K2695" s="1" t="str">
        <f ca="1">IF(A2695="","",IF(OR(L2695="ENTREGADA",L2695="RETORNADA",L2695="ENTREGA DIGITAL"),0,MAX(0,5-NETWORKDAYS(H2695+1,TODAY()))))</f>
        <v/>
      </c>
      <c r="L2695" t="str">
        <f>IF(A2695="","",IFERROR(LOOKUP(2,1/(#REF!=Z2695),#REF!),Y2695))</f>
        <v/>
      </c>
      <c r="Z2695" t="str">
        <f>IF(A2695="","",TEXT(A2695,"0")&amp;"|"&amp;TEXT(H2695,"0"))</f>
        <v/>
      </c>
      <c r="AA2695" t="str">
        <f>IF(Z2695="","",IFERROR(LOOKUP(2,1/(#REF!=Z2695),#REF!),""))</f>
        <v/>
      </c>
      <c r="AB2695" t="str">
        <f>IF(Z2695="","",IFERROR(LOOKUP(2,1/(#REF!=Z2695),#REF!),""))</f>
        <v/>
      </c>
      <c r="AC2695" t="str">
        <f>IF(Z2695="","",COUNTIF(#REF!,Z2695))</f>
        <v/>
      </c>
      <c r="AD2695" t="str">
        <f>IF(A2695="","",IF(AC2695&gt;1,"REVISAR DUPLICADO",IF(AA2695&lt;&gt;"","ACTUALIZADO POR EYR","SIN REPORTE EYR")))</f>
        <v/>
      </c>
    </row>
    <row r="2696" spans="11:30" x14ac:dyDescent="0.3">
      <c r="K2696" s="1" t="str">
        <f ca="1">IF(A2696="","",IF(OR(L2696="ENTREGADA",L2696="RETORNADA",L2696="ENTREGA DIGITAL"),0,MAX(0,5-NETWORKDAYS(H2696+1,TODAY()))))</f>
        <v/>
      </c>
      <c r="L2696" t="str">
        <f>IF(A2696="","",IFERROR(LOOKUP(2,1/(#REF!=Z2696),#REF!),Y2696))</f>
        <v/>
      </c>
      <c r="Z2696" t="str">
        <f>IF(A2696="","",TEXT(A2696,"0")&amp;"|"&amp;TEXT(H2696,"0"))</f>
        <v/>
      </c>
      <c r="AA2696" t="str">
        <f>IF(Z2696="","",IFERROR(LOOKUP(2,1/(#REF!=Z2696),#REF!),""))</f>
        <v/>
      </c>
      <c r="AB2696" t="str">
        <f>IF(Z2696="","",IFERROR(LOOKUP(2,1/(#REF!=Z2696),#REF!),""))</f>
        <v/>
      </c>
      <c r="AC2696" t="str">
        <f>IF(Z2696="","",COUNTIF(#REF!,Z2696))</f>
        <v/>
      </c>
      <c r="AD2696" t="str">
        <f>IF(A2696="","",IF(AC2696&gt;1,"REVISAR DUPLICADO",IF(AA2696&lt;&gt;"","ACTUALIZADO POR EYR","SIN REPORTE EYR")))</f>
        <v/>
      </c>
    </row>
    <row r="2697" spans="11:30" x14ac:dyDescent="0.3">
      <c r="K2697" s="1" t="str">
        <f ca="1">IF(A2697="","",IF(OR(L2697="ENTREGADA",L2697="RETORNADA",L2697="ENTREGA DIGITAL"),0,MAX(0,5-NETWORKDAYS(H2697+1,TODAY()))))</f>
        <v/>
      </c>
      <c r="L2697" t="str">
        <f>IF(A2697="","",IFERROR(LOOKUP(2,1/(#REF!=Z2697),#REF!),Y2697))</f>
        <v/>
      </c>
      <c r="Z2697" t="str">
        <f>IF(A2697="","",TEXT(A2697,"0")&amp;"|"&amp;TEXT(H2697,"0"))</f>
        <v/>
      </c>
      <c r="AA2697" t="str">
        <f>IF(Z2697="","",IFERROR(LOOKUP(2,1/(#REF!=Z2697),#REF!),""))</f>
        <v/>
      </c>
      <c r="AB2697" t="str">
        <f>IF(Z2697="","",IFERROR(LOOKUP(2,1/(#REF!=Z2697),#REF!),""))</f>
        <v/>
      </c>
      <c r="AC2697" t="str">
        <f>IF(Z2697="","",COUNTIF(#REF!,Z2697))</f>
        <v/>
      </c>
      <c r="AD2697" t="str">
        <f>IF(A2697="","",IF(AC2697&gt;1,"REVISAR DUPLICADO",IF(AA2697&lt;&gt;"","ACTUALIZADO POR EYR","SIN REPORTE EYR")))</f>
        <v/>
      </c>
    </row>
    <row r="2698" spans="11:30" x14ac:dyDescent="0.3">
      <c r="K2698" s="1" t="str">
        <f ca="1">IF(A2698="","",IF(OR(L2698="ENTREGADA",L2698="RETORNADA",L2698="ENTREGA DIGITAL"),0,MAX(0,5-NETWORKDAYS(H2698+1,TODAY()))))</f>
        <v/>
      </c>
      <c r="L2698" t="str">
        <f>IF(A2698="","",IFERROR(LOOKUP(2,1/(#REF!=Z2698),#REF!),Y2698))</f>
        <v/>
      </c>
      <c r="Z2698" t="str">
        <f>IF(A2698="","",TEXT(A2698,"0")&amp;"|"&amp;TEXT(H2698,"0"))</f>
        <v/>
      </c>
      <c r="AA2698" t="str">
        <f>IF(Z2698="","",IFERROR(LOOKUP(2,1/(#REF!=Z2698),#REF!),""))</f>
        <v/>
      </c>
      <c r="AB2698" t="str">
        <f>IF(Z2698="","",IFERROR(LOOKUP(2,1/(#REF!=Z2698),#REF!),""))</f>
        <v/>
      </c>
      <c r="AC2698" t="str">
        <f>IF(Z2698="","",COUNTIF(#REF!,Z2698))</f>
        <v/>
      </c>
      <c r="AD2698" t="str">
        <f>IF(A2698="","",IF(AC2698&gt;1,"REVISAR DUPLICADO",IF(AA2698&lt;&gt;"","ACTUALIZADO POR EYR","SIN REPORTE EYR")))</f>
        <v/>
      </c>
    </row>
    <row r="2699" spans="11:30" x14ac:dyDescent="0.3">
      <c r="K2699" s="1" t="str">
        <f ca="1">IF(A2699="","",IF(OR(L2699="ENTREGADA",L2699="RETORNADA",L2699="ENTREGA DIGITAL"),0,MAX(0,5-NETWORKDAYS(H2699+1,TODAY()))))</f>
        <v/>
      </c>
      <c r="L2699" t="str">
        <f>IF(A2699="","",IFERROR(LOOKUP(2,1/(#REF!=Z2699),#REF!),Y2699))</f>
        <v/>
      </c>
      <c r="Z2699" t="str">
        <f>IF(A2699="","",TEXT(A2699,"0")&amp;"|"&amp;TEXT(H2699,"0"))</f>
        <v/>
      </c>
      <c r="AA2699" t="str">
        <f>IF(Z2699="","",IFERROR(LOOKUP(2,1/(#REF!=Z2699),#REF!),""))</f>
        <v/>
      </c>
      <c r="AB2699" t="str">
        <f>IF(Z2699="","",IFERROR(LOOKUP(2,1/(#REF!=Z2699),#REF!),""))</f>
        <v/>
      </c>
      <c r="AC2699" t="str">
        <f>IF(Z2699="","",COUNTIF(#REF!,Z2699))</f>
        <v/>
      </c>
      <c r="AD2699" t="str">
        <f>IF(A2699="","",IF(AC2699&gt;1,"REVISAR DUPLICADO",IF(AA2699&lt;&gt;"","ACTUALIZADO POR EYR","SIN REPORTE EYR")))</f>
        <v/>
      </c>
    </row>
    <row r="2700" spans="11:30" x14ac:dyDescent="0.3">
      <c r="K2700" s="1" t="str">
        <f ca="1">IF(A2700="","",IF(OR(L2700="ENTREGADA",L2700="RETORNADA",L2700="ENTREGA DIGITAL"),0,MAX(0,5-NETWORKDAYS(H2700+1,TODAY()))))</f>
        <v/>
      </c>
      <c r="L2700" t="str">
        <f>IF(A2700="","",IFERROR(LOOKUP(2,1/(#REF!=Z2700),#REF!),Y2700))</f>
        <v/>
      </c>
      <c r="Z2700" t="str">
        <f>IF(A2700="","",TEXT(A2700,"0")&amp;"|"&amp;TEXT(H2700,"0"))</f>
        <v/>
      </c>
      <c r="AA2700" t="str">
        <f>IF(Z2700="","",IFERROR(LOOKUP(2,1/(#REF!=Z2700),#REF!),""))</f>
        <v/>
      </c>
      <c r="AB2700" t="str">
        <f>IF(Z2700="","",IFERROR(LOOKUP(2,1/(#REF!=Z2700),#REF!),""))</f>
        <v/>
      </c>
      <c r="AC2700" t="str">
        <f>IF(Z2700="","",COUNTIF(#REF!,Z2700))</f>
        <v/>
      </c>
      <c r="AD2700" t="str">
        <f>IF(A2700="","",IF(AC2700&gt;1,"REVISAR DUPLICADO",IF(AA2700&lt;&gt;"","ACTUALIZADO POR EYR","SIN REPORTE EYR")))</f>
        <v/>
      </c>
    </row>
    <row r="2701" spans="11:30" x14ac:dyDescent="0.3">
      <c r="K2701" s="1" t="str">
        <f ca="1">IF(A2701="","",IF(OR(L2701="ENTREGADA",L2701="RETORNADA",L2701="ENTREGA DIGITAL"),0,MAX(0,5-NETWORKDAYS(H2701+1,TODAY()))))</f>
        <v/>
      </c>
      <c r="L2701" t="str">
        <f>IF(A2701="","",IFERROR(LOOKUP(2,1/(#REF!=Z2701),#REF!),Y2701))</f>
        <v/>
      </c>
      <c r="Z2701" t="str">
        <f>IF(A2701="","",TEXT(A2701,"0")&amp;"|"&amp;TEXT(H2701,"0"))</f>
        <v/>
      </c>
      <c r="AA2701" t="str">
        <f>IF(Z2701="","",IFERROR(LOOKUP(2,1/(#REF!=Z2701),#REF!),""))</f>
        <v/>
      </c>
      <c r="AB2701" t="str">
        <f>IF(Z2701="","",IFERROR(LOOKUP(2,1/(#REF!=Z2701),#REF!),""))</f>
        <v/>
      </c>
      <c r="AC2701" t="str">
        <f>IF(Z2701="","",COUNTIF(#REF!,Z2701))</f>
        <v/>
      </c>
      <c r="AD2701" t="str">
        <f>IF(A2701="","",IF(AC2701&gt;1,"REVISAR DUPLICADO",IF(AA2701&lt;&gt;"","ACTUALIZADO POR EYR","SIN REPORTE EYR")))</f>
        <v/>
      </c>
    </row>
    <row r="2702" spans="11:30" x14ac:dyDescent="0.3">
      <c r="K2702" s="1" t="str">
        <f ca="1">IF(A2702="","",IF(OR(L2702="ENTREGADA",L2702="RETORNADA",L2702="ENTREGA DIGITAL"),0,MAX(0,5-NETWORKDAYS(H2702+1,TODAY()))))</f>
        <v/>
      </c>
      <c r="L2702" t="str">
        <f>IF(A2702="","",IFERROR(LOOKUP(2,1/(#REF!=Z2702),#REF!),Y2702))</f>
        <v/>
      </c>
      <c r="Z2702" t="str">
        <f>IF(A2702="","",TEXT(A2702,"0")&amp;"|"&amp;TEXT(H2702,"0"))</f>
        <v/>
      </c>
      <c r="AA2702" t="str">
        <f>IF(Z2702="","",IFERROR(LOOKUP(2,1/(#REF!=Z2702),#REF!),""))</f>
        <v/>
      </c>
      <c r="AB2702" t="str">
        <f>IF(Z2702="","",IFERROR(LOOKUP(2,1/(#REF!=Z2702),#REF!),""))</f>
        <v/>
      </c>
      <c r="AC2702" t="str">
        <f>IF(Z2702="","",COUNTIF(#REF!,Z2702))</f>
        <v/>
      </c>
      <c r="AD2702" t="str">
        <f>IF(A2702="","",IF(AC2702&gt;1,"REVISAR DUPLICADO",IF(AA2702&lt;&gt;"","ACTUALIZADO POR EYR","SIN REPORTE EYR")))</f>
        <v/>
      </c>
    </row>
    <row r="2703" spans="11:30" x14ac:dyDescent="0.3">
      <c r="K2703" s="1" t="str">
        <f ca="1">IF(A2703="","",IF(OR(L2703="ENTREGADA",L2703="RETORNADA",L2703="ENTREGA DIGITAL"),0,MAX(0,5-NETWORKDAYS(H2703+1,TODAY()))))</f>
        <v/>
      </c>
      <c r="L2703" t="str">
        <f>IF(A2703="","",IFERROR(LOOKUP(2,1/(#REF!=Z2703),#REF!),Y2703))</f>
        <v/>
      </c>
      <c r="Z2703" t="str">
        <f>IF(A2703="","",TEXT(A2703,"0")&amp;"|"&amp;TEXT(H2703,"0"))</f>
        <v/>
      </c>
      <c r="AA2703" t="str">
        <f>IF(Z2703="","",IFERROR(LOOKUP(2,1/(#REF!=Z2703),#REF!),""))</f>
        <v/>
      </c>
      <c r="AB2703" t="str">
        <f>IF(Z2703="","",IFERROR(LOOKUP(2,1/(#REF!=Z2703),#REF!),""))</f>
        <v/>
      </c>
      <c r="AC2703" t="str">
        <f>IF(Z2703="","",COUNTIF(#REF!,Z2703))</f>
        <v/>
      </c>
      <c r="AD2703" t="str">
        <f>IF(A2703="","",IF(AC2703&gt;1,"REVISAR DUPLICADO",IF(AA2703&lt;&gt;"","ACTUALIZADO POR EYR","SIN REPORTE EYR")))</f>
        <v/>
      </c>
    </row>
    <row r="2704" spans="11:30" x14ac:dyDescent="0.3">
      <c r="K2704" s="1" t="str">
        <f ca="1">IF(A2704="","",IF(OR(L2704="ENTREGADA",L2704="RETORNADA",L2704="ENTREGA DIGITAL"),0,MAX(0,5-NETWORKDAYS(H2704+1,TODAY()))))</f>
        <v/>
      </c>
      <c r="L2704" t="str">
        <f>IF(A2704="","",IFERROR(LOOKUP(2,1/(#REF!=Z2704),#REF!),Y2704))</f>
        <v/>
      </c>
      <c r="Z2704" t="str">
        <f>IF(A2704="","",TEXT(A2704,"0")&amp;"|"&amp;TEXT(H2704,"0"))</f>
        <v/>
      </c>
      <c r="AA2704" t="str">
        <f>IF(Z2704="","",IFERROR(LOOKUP(2,1/(#REF!=Z2704),#REF!),""))</f>
        <v/>
      </c>
      <c r="AB2704" t="str">
        <f>IF(Z2704="","",IFERROR(LOOKUP(2,1/(#REF!=Z2704),#REF!),""))</f>
        <v/>
      </c>
      <c r="AC2704" t="str">
        <f>IF(Z2704="","",COUNTIF(#REF!,Z2704))</f>
        <v/>
      </c>
      <c r="AD2704" t="str">
        <f>IF(A2704="","",IF(AC2704&gt;1,"REVISAR DUPLICADO",IF(AA2704&lt;&gt;"","ACTUALIZADO POR EYR","SIN REPORTE EYR")))</f>
        <v/>
      </c>
    </row>
    <row r="2705" spans="11:30" x14ac:dyDescent="0.3">
      <c r="K2705" s="1" t="str">
        <f ca="1">IF(A2705="","",IF(OR(L2705="ENTREGADA",L2705="RETORNADA",L2705="ENTREGA DIGITAL"),0,MAX(0,5-NETWORKDAYS(H2705+1,TODAY()))))</f>
        <v/>
      </c>
      <c r="L2705" t="str">
        <f>IF(A2705="","",IFERROR(LOOKUP(2,1/(#REF!=Z2705),#REF!),Y2705))</f>
        <v/>
      </c>
      <c r="Z2705" t="str">
        <f>IF(A2705="","",TEXT(A2705,"0")&amp;"|"&amp;TEXT(H2705,"0"))</f>
        <v/>
      </c>
      <c r="AA2705" t="str">
        <f>IF(Z2705="","",IFERROR(LOOKUP(2,1/(#REF!=Z2705),#REF!),""))</f>
        <v/>
      </c>
      <c r="AB2705" t="str">
        <f>IF(Z2705="","",IFERROR(LOOKUP(2,1/(#REF!=Z2705),#REF!),""))</f>
        <v/>
      </c>
      <c r="AC2705" t="str">
        <f>IF(Z2705="","",COUNTIF(#REF!,Z2705))</f>
        <v/>
      </c>
      <c r="AD2705" t="str">
        <f>IF(A2705="","",IF(AC2705&gt;1,"REVISAR DUPLICADO",IF(AA2705&lt;&gt;"","ACTUALIZADO POR EYR","SIN REPORTE EYR")))</f>
        <v/>
      </c>
    </row>
    <row r="2706" spans="11:30" x14ac:dyDescent="0.3">
      <c r="K2706" s="1" t="str">
        <f ca="1">IF(A2706="","",IF(OR(L2706="ENTREGADA",L2706="RETORNADA",L2706="ENTREGA DIGITAL"),0,MAX(0,5-NETWORKDAYS(H2706+1,TODAY()))))</f>
        <v/>
      </c>
      <c r="L2706" t="str">
        <f>IF(A2706="","",IFERROR(LOOKUP(2,1/(#REF!=Z2706),#REF!),Y2706))</f>
        <v/>
      </c>
      <c r="Z2706" t="str">
        <f>IF(A2706="","",TEXT(A2706,"0")&amp;"|"&amp;TEXT(H2706,"0"))</f>
        <v/>
      </c>
      <c r="AA2706" t="str">
        <f>IF(Z2706="","",IFERROR(LOOKUP(2,1/(#REF!=Z2706),#REF!),""))</f>
        <v/>
      </c>
      <c r="AB2706" t="str">
        <f>IF(Z2706="","",IFERROR(LOOKUP(2,1/(#REF!=Z2706),#REF!),""))</f>
        <v/>
      </c>
      <c r="AC2706" t="str">
        <f>IF(Z2706="","",COUNTIF(#REF!,Z2706))</f>
        <v/>
      </c>
      <c r="AD2706" t="str">
        <f>IF(A2706="","",IF(AC2706&gt;1,"REVISAR DUPLICADO",IF(AA2706&lt;&gt;"","ACTUALIZADO POR EYR","SIN REPORTE EYR")))</f>
        <v/>
      </c>
    </row>
    <row r="2707" spans="11:30" x14ac:dyDescent="0.3">
      <c r="K2707" s="1" t="str">
        <f ca="1">IF(A2707="","",IF(OR(L2707="ENTREGADA",L2707="RETORNADA",L2707="ENTREGA DIGITAL"),0,MAX(0,5-NETWORKDAYS(H2707+1,TODAY()))))</f>
        <v/>
      </c>
      <c r="L2707" t="str">
        <f>IF(A2707="","",IFERROR(LOOKUP(2,1/(#REF!=Z2707),#REF!),Y2707))</f>
        <v/>
      </c>
      <c r="Z2707" t="str">
        <f>IF(A2707="","",TEXT(A2707,"0")&amp;"|"&amp;TEXT(H2707,"0"))</f>
        <v/>
      </c>
      <c r="AA2707" t="str">
        <f>IF(Z2707="","",IFERROR(LOOKUP(2,1/(#REF!=Z2707),#REF!),""))</f>
        <v/>
      </c>
      <c r="AB2707" t="str">
        <f>IF(Z2707="","",IFERROR(LOOKUP(2,1/(#REF!=Z2707),#REF!),""))</f>
        <v/>
      </c>
      <c r="AC2707" t="str">
        <f>IF(Z2707="","",COUNTIF(#REF!,Z2707))</f>
        <v/>
      </c>
      <c r="AD2707" t="str">
        <f>IF(A2707="","",IF(AC2707&gt;1,"REVISAR DUPLICADO",IF(AA2707&lt;&gt;"","ACTUALIZADO POR EYR","SIN REPORTE EYR")))</f>
        <v/>
      </c>
    </row>
    <row r="2708" spans="11:30" x14ac:dyDescent="0.3">
      <c r="K2708" s="1" t="str">
        <f ca="1">IF(A2708="","",IF(OR(L2708="ENTREGADA",L2708="RETORNADA",L2708="ENTREGA DIGITAL"),0,MAX(0,5-NETWORKDAYS(H2708+1,TODAY()))))</f>
        <v/>
      </c>
      <c r="L2708" t="str">
        <f>IF(A2708="","",IFERROR(LOOKUP(2,1/(#REF!=Z2708),#REF!),Y2708))</f>
        <v/>
      </c>
      <c r="Z2708" t="str">
        <f>IF(A2708="","",TEXT(A2708,"0")&amp;"|"&amp;TEXT(H2708,"0"))</f>
        <v/>
      </c>
      <c r="AA2708" t="str">
        <f>IF(Z2708="","",IFERROR(LOOKUP(2,1/(#REF!=Z2708),#REF!),""))</f>
        <v/>
      </c>
      <c r="AB2708" t="str">
        <f>IF(Z2708="","",IFERROR(LOOKUP(2,1/(#REF!=Z2708),#REF!),""))</f>
        <v/>
      </c>
      <c r="AC2708" t="str">
        <f>IF(Z2708="","",COUNTIF(#REF!,Z2708))</f>
        <v/>
      </c>
      <c r="AD2708" t="str">
        <f>IF(A2708="","",IF(AC2708&gt;1,"REVISAR DUPLICADO",IF(AA2708&lt;&gt;"","ACTUALIZADO POR EYR","SIN REPORTE EYR")))</f>
        <v/>
      </c>
    </row>
    <row r="2709" spans="11:30" x14ac:dyDescent="0.3">
      <c r="K2709" s="1" t="str">
        <f ca="1">IF(A2709="","",IF(OR(L2709="ENTREGADA",L2709="RETORNADA",L2709="ENTREGA DIGITAL"),0,MAX(0,5-NETWORKDAYS(H2709+1,TODAY()))))</f>
        <v/>
      </c>
      <c r="L2709" t="str">
        <f>IF(A2709="","",IFERROR(LOOKUP(2,1/(#REF!=Z2709),#REF!),Y2709))</f>
        <v/>
      </c>
      <c r="Z2709" t="str">
        <f>IF(A2709="","",TEXT(A2709,"0")&amp;"|"&amp;TEXT(H2709,"0"))</f>
        <v/>
      </c>
      <c r="AA2709" t="str">
        <f>IF(Z2709="","",IFERROR(LOOKUP(2,1/(#REF!=Z2709),#REF!),""))</f>
        <v/>
      </c>
      <c r="AB2709" t="str">
        <f>IF(Z2709="","",IFERROR(LOOKUP(2,1/(#REF!=Z2709),#REF!),""))</f>
        <v/>
      </c>
      <c r="AC2709" t="str">
        <f>IF(Z2709="","",COUNTIF(#REF!,Z2709))</f>
        <v/>
      </c>
      <c r="AD2709" t="str">
        <f>IF(A2709="","",IF(AC2709&gt;1,"REVISAR DUPLICADO",IF(AA2709&lt;&gt;"","ACTUALIZADO POR EYR","SIN REPORTE EYR")))</f>
        <v/>
      </c>
    </row>
    <row r="2710" spans="11:30" x14ac:dyDescent="0.3">
      <c r="K2710" s="1" t="str">
        <f ca="1">IF(A2710="","",IF(OR(L2710="ENTREGADA",L2710="RETORNADA",L2710="ENTREGA DIGITAL"),0,MAX(0,5-NETWORKDAYS(H2710+1,TODAY()))))</f>
        <v/>
      </c>
      <c r="L2710" t="str">
        <f>IF(A2710="","",IFERROR(LOOKUP(2,1/(#REF!=Z2710),#REF!),Y2710))</f>
        <v/>
      </c>
      <c r="Z2710" t="str">
        <f>IF(A2710="","",TEXT(A2710,"0")&amp;"|"&amp;TEXT(H2710,"0"))</f>
        <v/>
      </c>
      <c r="AA2710" t="str">
        <f>IF(Z2710="","",IFERROR(LOOKUP(2,1/(#REF!=Z2710),#REF!),""))</f>
        <v/>
      </c>
      <c r="AB2710" t="str">
        <f>IF(Z2710="","",IFERROR(LOOKUP(2,1/(#REF!=Z2710),#REF!),""))</f>
        <v/>
      </c>
      <c r="AC2710" t="str">
        <f>IF(Z2710="","",COUNTIF(#REF!,Z2710))</f>
        <v/>
      </c>
      <c r="AD2710" t="str">
        <f>IF(A2710="","",IF(AC2710&gt;1,"REVISAR DUPLICADO",IF(AA2710&lt;&gt;"","ACTUALIZADO POR EYR","SIN REPORTE EYR")))</f>
        <v/>
      </c>
    </row>
    <row r="2711" spans="11:30" x14ac:dyDescent="0.3">
      <c r="K2711" s="1" t="str">
        <f ca="1">IF(A2711="","",IF(OR(L2711="ENTREGADA",L2711="RETORNADA",L2711="ENTREGA DIGITAL"),0,MAX(0,5-NETWORKDAYS(H2711+1,TODAY()))))</f>
        <v/>
      </c>
      <c r="L2711" t="str">
        <f>IF(A2711="","",IFERROR(LOOKUP(2,1/(#REF!=Z2711),#REF!),Y2711))</f>
        <v/>
      </c>
      <c r="Z2711" t="str">
        <f>IF(A2711="","",TEXT(A2711,"0")&amp;"|"&amp;TEXT(H2711,"0"))</f>
        <v/>
      </c>
      <c r="AA2711" t="str">
        <f>IF(Z2711="","",IFERROR(LOOKUP(2,1/(#REF!=Z2711),#REF!),""))</f>
        <v/>
      </c>
      <c r="AB2711" t="str">
        <f>IF(Z2711="","",IFERROR(LOOKUP(2,1/(#REF!=Z2711),#REF!),""))</f>
        <v/>
      </c>
      <c r="AC2711" t="str">
        <f>IF(Z2711="","",COUNTIF(#REF!,Z2711))</f>
        <v/>
      </c>
      <c r="AD2711" t="str">
        <f>IF(A2711="","",IF(AC2711&gt;1,"REVISAR DUPLICADO",IF(AA2711&lt;&gt;"","ACTUALIZADO POR EYR","SIN REPORTE EYR")))</f>
        <v/>
      </c>
    </row>
    <row r="2712" spans="11:30" x14ac:dyDescent="0.3">
      <c r="K2712" s="1" t="str">
        <f ca="1">IF(A2712="","",IF(OR(L2712="ENTREGADA",L2712="RETORNADA",L2712="ENTREGA DIGITAL"),0,MAX(0,5-NETWORKDAYS(H2712+1,TODAY()))))</f>
        <v/>
      </c>
      <c r="L2712" t="str">
        <f>IF(A2712="","",IFERROR(LOOKUP(2,1/(#REF!=Z2712),#REF!),Y2712))</f>
        <v/>
      </c>
      <c r="Z2712" t="str">
        <f>IF(A2712="","",TEXT(A2712,"0")&amp;"|"&amp;TEXT(H2712,"0"))</f>
        <v/>
      </c>
      <c r="AA2712" t="str">
        <f>IF(Z2712="","",IFERROR(LOOKUP(2,1/(#REF!=Z2712),#REF!),""))</f>
        <v/>
      </c>
      <c r="AB2712" t="str">
        <f>IF(Z2712="","",IFERROR(LOOKUP(2,1/(#REF!=Z2712),#REF!),""))</f>
        <v/>
      </c>
      <c r="AC2712" t="str">
        <f>IF(Z2712="","",COUNTIF(#REF!,Z2712))</f>
        <v/>
      </c>
      <c r="AD2712" t="str">
        <f>IF(A2712="","",IF(AC2712&gt;1,"REVISAR DUPLICADO",IF(AA2712&lt;&gt;"","ACTUALIZADO POR EYR","SIN REPORTE EYR")))</f>
        <v/>
      </c>
    </row>
    <row r="2713" spans="11:30" x14ac:dyDescent="0.3">
      <c r="K2713" s="1" t="str">
        <f ca="1">IF(A2713="","",IF(OR(L2713="ENTREGADA",L2713="RETORNADA",L2713="ENTREGA DIGITAL"),0,MAX(0,5-NETWORKDAYS(H2713+1,TODAY()))))</f>
        <v/>
      </c>
      <c r="L2713" t="str">
        <f>IF(A2713="","",IFERROR(LOOKUP(2,1/(#REF!=Z2713),#REF!),Y2713))</f>
        <v/>
      </c>
      <c r="Z2713" t="str">
        <f>IF(A2713="","",TEXT(A2713,"0")&amp;"|"&amp;TEXT(H2713,"0"))</f>
        <v/>
      </c>
      <c r="AA2713" t="str">
        <f>IF(Z2713="","",IFERROR(LOOKUP(2,1/(#REF!=Z2713),#REF!),""))</f>
        <v/>
      </c>
      <c r="AB2713" t="str">
        <f>IF(Z2713="","",IFERROR(LOOKUP(2,1/(#REF!=Z2713),#REF!),""))</f>
        <v/>
      </c>
      <c r="AC2713" t="str">
        <f>IF(Z2713="","",COUNTIF(#REF!,Z2713))</f>
        <v/>
      </c>
      <c r="AD2713" t="str">
        <f>IF(A2713="","",IF(AC2713&gt;1,"REVISAR DUPLICADO",IF(AA2713&lt;&gt;"","ACTUALIZADO POR EYR","SIN REPORTE EYR")))</f>
        <v/>
      </c>
    </row>
    <row r="2714" spans="11:30" x14ac:dyDescent="0.3">
      <c r="K2714" s="1" t="str">
        <f ca="1">IF(A2714="","",IF(OR(L2714="ENTREGADA",L2714="RETORNADA",L2714="ENTREGA DIGITAL"),0,MAX(0,5-NETWORKDAYS(H2714+1,TODAY()))))</f>
        <v/>
      </c>
      <c r="L2714" t="str">
        <f>IF(A2714="","",IFERROR(LOOKUP(2,1/(#REF!=Z2714),#REF!),Y2714))</f>
        <v/>
      </c>
      <c r="Z2714" t="str">
        <f>IF(A2714="","",TEXT(A2714,"0")&amp;"|"&amp;TEXT(H2714,"0"))</f>
        <v/>
      </c>
      <c r="AA2714" t="str">
        <f>IF(Z2714="","",IFERROR(LOOKUP(2,1/(#REF!=Z2714),#REF!),""))</f>
        <v/>
      </c>
      <c r="AB2714" t="str">
        <f>IF(Z2714="","",IFERROR(LOOKUP(2,1/(#REF!=Z2714),#REF!),""))</f>
        <v/>
      </c>
      <c r="AC2714" t="str">
        <f>IF(Z2714="","",COUNTIF(#REF!,Z2714))</f>
        <v/>
      </c>
      <c r="AD2714" t="str">
        <f>IF(A2714="","",IF(AC2714&gt;1,"REVISAR DUPLICADO",IF(AA2714&lt;&gt;"","ACTUALIZADO POR EYR","SIN REPORTE EYR")))</f>
        <v/>
      </c>
    </row>
    <row r="2715" spans="11:30" x14ac:dyDescent="0.3">
      <c r="K2715" s="1" t="str">
        <f ca="1">IF(A2715="","",IF(OR(L2715="ENTREGADA",L2715="RETORNADA",L2715="ENTREGA DIGITAL"),0,MAX(0,5-NETWORKDAYS(H2715+1,TODAY()))))</f>
        <v/>
      </c>
      <c r="L2715" t="str">
        <f>IF(A2715="","",IFERROR(LOOKUP(2,1/(#REF!=Z2715),#REF!),Y2715))</f>
        <v/>
      </c>
      <c r="Z2715" t="str">
        <f>IF(A2715="","",TEXT(A2715,"0")&amp;"|"&amp;TEXT(H2715,"0"))</f>
        <v/>
      </c>
      <c r="AA2715" t="str">
        <f>IF(Z2715="","",IFERROR(LOOKUP(2,1/(#REF!=Z2715),#REF!),""))</f>
        <v/>
      </c>
      <c r="AB2715" t="str">
        <f>IF(Z2715="","",IFERROR(LOOKUP(2,1/(#REF!=Z2715),#REF!),""))</f>
        <v/>
      </c>
      <c r="AC2715" t="str">
        <f>IF(Z2715="","",COUNTIF(#REF!,Z2715))</f>
        <v/>
      </c>
      <c r="AD2715" t="str">
        <f>IF(A2715="","",IF(AC2715&gt;1,"REVISAR DUPLICADO",IF(AA2715&lt;&gt;"","ACTUALIZADO POR EYR","SIN REPORTE EYR")))</f>
        <v/>
      </c>
    </row>
    <row r="2716" spans="11:30" x14ac:dyDescent="0.3">
      <c r="K2716" s="1" t="str">
        <f ca="1">IF(A2716="","",IF(OR(L2716="ENTREGADA",L2716="RETORNADA",L2716="ENTREGA DIGITAL"),0,MAX(0,5-NETWORKDAYS(H2716+1,TODAY()))))</f>
        <v/>
      </c>
      <c r="L2716" t="str">
        <f>IF(A2716="","",IFERROR(LOOKUP(2,1/(#REF!=Z2716),#REF!),Y2716))</f>
        <v/>
      </c>
      <c r="Z2716" t="str">
        <f>IF(A2716="","",TEXT(A2716,"0")&amp;"|"&amp;TEXT(H2716,"0"))</f>
        <v/>
      </c>
      <c r="AA2716" t="str">
        <f>IF(Z2716="","",IFERROR(LOOKUP(2,1/(#REF!=Z2716),#REF!),""))</f>
        <v/>
      </c>
      <c r="AB2716" t="str">
        <f>IF(Z2716="","",IFERROR(LOOKUP(2,1/(#REF!=Z2716),#REF!),""))</f>
        <v/>
      </c>
      <c r="AC2716" t="str">
        <f>IF(Z2716="","",COUNTIF(#REF!,Z2716))</f>
        <v/>
      </c>
      <c r="AD2716" t="str">
        <f>IF(A2716="","",IF(AC2716&gt;1,"REVISAR DUPLICADO",IF(AA2716&lt;&gt;"","ACTUALIZADO POR EYR","SIN REPORTE EYR")))</f>
        <v/>
      </c>
    </row>
    <row r="2717" spans="11:30" x14ac:dyDescent="0.3">
      <c r="K2717" s="1" t="str">
        <f ca="1">IF(A2717="","",IF(OR(L2717="ENTREGADA",L2717="RETORNADA",L2717="ENTREGA DIGITAL"),0,MAX(0,5-NETWORKDAYS(H2717+1,TODAY()))))</f>
        <v/>
      </c>
      <c r="L2717" t="str">
        <f>IF(A2717="","",IFERROR(LOOKUP(2,1/(#REF!=Z2717),#REF!),Y2717))</f>
        <v/>
      </c>
      <c r="Z2717" t="str">
        <f>IF(A2717="","",TEXT(A2717,"0")&amp;"|"&amp;TEXT(H2717,"0"))</f>
        <v/>
      </c>
      <c r="AA2717" t="str">
        <f>IF(Z2717="","",IFERROR(LOOKUP(2,1/(#REF!=Z2717),#REF!),""))</f>
        <v/>
      </c>
      <c r="AB2717" t="str">
        <f>IF(Z2717="","",IFERROR(LOOKUP(2,1/(#REF!=Z2717),#REF!),""))</f>
        <v/>
      </c>
      <c r="AC2717" t="str">
        <f>IF(Z2717="","",COUNTIF(#REF!,Z2717))</f>
        <v/>
      </c>
      <c r="AD2717" t="str">
        <f>IF(A2717="","",IF(AC2717&gt;1,"REVISAR DUPLICADO",IF(AA2717&lt;&gt;"","ACTUALIZADO POR EYR","SIN REPORTE EYR")))</f>
        <v/>
      </c>
    </row>
    <row r="2718" spans="11:30" x14ac:dyDescent="0.3">
      <c r="K2718" s="1" t="str">
        <f ca="1">IF(A2718="","",IF(OR(L2718="ENTREGADA",L2718="RETORNADA",L2718="ENTREGA DIGITAL"),0,MAX(0,5-NETWORKDAYS(H2718+1,TODAY()))))</f>
        <v/>
      </c>
      <c r="L2718" t="str">
        <f>IF(A2718="","",IFERROR(LOOKUP(2,1/(#REF!=Z2718),#REF!),Y2718))</f>
        <v/>
      </c>
      <c r="Z2718" t="str">
        <f>IF(A2718="","",TEXT(A2718,"0")&amp;"|"&amp;TEXT(H2718,"0"))</f>
        <v/>
      </c>
      <c r="AA2718" t="str">
        <f>IF(Z2718="","",IFERROR(LOOKUP(2,1/(#REF!=Z2718),#REF!),""))</f>
        <v/>
      </c>
      <c r="AB2718" t="str">
        <f>IF(Z2718="","",IFERROR(LOOKUP(2,1/(#REF!=Z2718),#REF!),""))</f>
        <v/>
      </c>
      <c r="AC2718" t="str">
        <f>IF(Z2718="","",COUNTIF(#REF!,Z2718))</f>
        <v/>
      </c>
      <c r="AD2718" t="str">
        <f>IF(A2718="","",IF(AC2718&gt;1,"REVISAR DUPLICADO",IF(AA2718&lt;&gt;"","ACTUALIZADO POR EYR","SIN REPORTE EYR")))</f>
        <v/>
      </c>
    </row>
    <row r="2719" spans="11:30" x14ac:dyDescent="0.3">
      <c r="K2719" s="1" t="str">
        <f ca="1">IF(A2719="","",IF(OR(L2719="ENTREGADA",L2719="RETORNADA",L2719="ENTREGA DIGITAL"),0,MAX(0,5-NETWORKDAYS(H2719+1,TODAY()))))</f>
        <v/>
      </c>
      <c r="L2719" t="str">
        <f>IF(A2719="","",IFERROR(LOOKUP(2,1/(#REF!=Z2719),#REF!),Y2719))</f>
        <v/>
      </c>
      <c r="Z2719" t="str">
        <f>IF(A2719="","",TEXT(A2719,"0")&amp;"|"&amp;TEXT(H2719,"0"))</f>
        <v/>
      </c>
      <c r="AA2719" t="str">
        <f>IF(Z2719="","",IFERROR(LOOKUP(2,1/(#REF!=Z2719),#REF!),""))</f>
        <v/>
      </c>
      <c r="AB2719" t="str">
        <f>IF(Z2719="","",IFERROR(LOOKUP(2,1/(#REF!=Z2719),#REF!),""))</f>
        <v/>
      </c>
      <c r="AC2719" t="str">
        <f>IF(Z2719="","",COUNTIF(#REF!,Z2719))</f>
        <v/>
      </c>
      <c r="AD2719" t="str">
        <f>IF(A2719="","",IF(AC2719&gt;1,"REVISAR DUPLICADO",IF(AA2719&lt;&gt;"","ACTUALIZADO POR EYR","SIN REPORTE EYR")))</f>
        <v/>
      </c>
    </row>
    <row r="2720" spans="11:30" x14ac:dyDescent="0.3">
      <c r="K2720" s="1" t="str">
        <f ca="1">IF(A2720="","",IF(OR(L2720="ENTREGADA",L2720="RETORNADA",L2720="ENTREGA DIGITAL"),0,MAX(0,5-NETWORKDAYS(H2720+1,TODAY()))))</f>
        <v/>
      </c>
      <c r="L2720" t="str">
        <f>IF(A2720="","",IFERROR(LOOKUP(2,1/(#REF!=Z2720),#REF!),Y2720))</f>
        <v/>
      </c>
      <c r="Z2720" t="str">
        <f>IF(A2720="","",TEXT(A2720,"0")&amp;"|"&amp;TEXT(H2720,"0"))</f>
        <v/>
      </c>
      <c r="AA2720" t="str">
        <f>IF(Z2720="","",IFERROR(LOOKUP(2,1/(#REF!=Z2720),#REF!),""))</f>
        <v/>
      </c>
      <c r="AB2720" t="str">
        <f>IF(Z2720="","",IFERROR(LOOKUP(2,1/(#REF!=Z2720),#REF!),""))</f>
        <v/>
      </c>
      <c r="AC2720" t="str">
        <f>IF(Z2720="","",COUNTIF(#REF!,Z2720))</f>
        <v/>
      </c>
      <c r="AD2720" t="str">
        <f>IF(A2720="","",IF(AC2720&gt;1,"REVISAR DUPLICADO",IF(AA2720&lt;&gt;"","ACTUALIZADO POR EYR","SIN REPORTE EYR")))</f>
        <v/>
      </c>
    </row>
    <row r="2721" spans="11:30" x14ac:dyDescent="0.3">
      <c r="K2721" s="1" t="str">
        <f ca="1">IF(A2721="","",IF(OR(L2721="ENTREGADA",L2721="RETORNADA",L2721="ENTREGA DIGITAL"),0,MAX(0,5-NETWORKDAYS(H2721+1,TODAY()))))</f>
        <v/>
      </c>
      <c r="L2721" t="str">
        <f>IF(A2721="","",IFERROR(LOOKUP(2,1/(#REF!=Z2721),#REF!),Y2721))</f>
        <v/>
      </c>
      <c r="Z2721" t="str">
        <f>IF(A2721="","",TEXT(A2721,"0")&amp;"|"&amp;TEXT(H2721,"0"))</f>
        <v/>
      </c>
      <c r="AA2721" t="str">
        <f>IF(Z2721="","",IFERROR(LOOKUP(2,1/(#REF!=Z2721),#REF!),""))</f>
        <v/>
      </c>
      <c r="AB2721" t="str">
        <f>IF(Z2721="","",IFERROR(LOOKUP(2,1/(#REF!=Z2721),#REF!),""))</f>
        <v/>
      </c>
      <c r="AC2721" t="str">
        <f>IF(Z2721="","",COUNTIF(#REF!,Z2721))</f>
        <v/>
      </c>
      <c r="AD2721" t="str">
        <f>IF(A2721="","",IF(AC2721&gt;1,"REVISAR DUPLICADO",IF(AA2721&lt;&gt;"","ACTUALIZADO POR EYR","SIN REPORTE EYR")))</f>
        <v/>
      </c>
    </row>
    <row r="2722" spans="11:30" x14ac:dyDescent="0.3">
      <c r="K2722" s="1" t="str">
        <f ca="1">IF(A2722="","",IF(OR(L2722="ENTREGADA",L2722="RETORNADA",L2722="ENTREGA DIGITAL"),0,MAX(0,5-NETWORKDAYS(H2722+1,TODAY()))))</f>
        <v/>
      </c>
      <c r="L2722" t="str">
        <f>IF(A2722="","",IFERROR(LOOKUP(2,1/(#REF!=Z2722),#REF!),Y2722))</f>
        <v/>
      </c>
      <c r="Z2722" t="str">
        <f>IF(A2722="","",TEXT(A2722,"0")&amp;"|"&amp;TEXT(H2722,"0"))</f>
        <v/>
      </c>
      <c r="AA2722" t="str">
        <f>IF(Z2722="","",IFERROR(LOOKUP(2,1/(#REF!=Z2722),#REF!),""))</f>
        <v/>
      </c>
      <c r="AB2722" t="str">
        <f>IF(Z2722="","",IFERROR(LOOKUP(2,1/(#REF!=Z2722),#REF!),""))</f>
        <v/>
      </c>
      <c r="AC2722" t="str">
        <f>IF(Z2722="","",COUNTIF(#REF!,Z2722))</f>
        <v/>
      </c>
      <c r="AD2722" t="str">
        <f>IF(A2722="","",IF(AC2722&gt;1,"REVISAR DUPLICADO",IF(AA2722&lt;&gt;"","ACTUALIZADO POR EYR","SIN REPORTE EYR")))</f>
        <v/>
      </c>
    </row>
    <row r="2723" spans="11:30" x14ac:dyDescent="0.3">
      <c r="K2723" s="1" t="str">
        <f ca="1">IF(A2723="","",IF(OR(L2723="ENTREGADA",L2723="RETORNADA",L2723="ENTREGA DIGITAL"),0,MAX(0,5-NETWORKDAYS(H2723+1,TODAY()))))</f>
        <v/>
      </c>
      <c r="L2723" t="str">
        <f>IF(A2723="","",IFERROR(LOOKUP(2,1/(#REF!=Z2723),#REF!),Y2723))</f>
        <v/>
      </c>
      <c r="Z2723" t="str">
        <f>IF(A2723="","",TEXT(A2723,"0")&amp;"|"&amp;TEXT(H2723,"0"))</f>
        <v/>
      </c>
      <c r="AA2723" t="str">
        <f>IF(Z2723="","",IFERROR(LOOKUP(2,1/(#REF!=Z2723),#REF!),""))</f>
        <v/>
      </c>
      <c r="AB2723" t="str">
        <f>IF(Z2723="","",IFERROR(LOOKUP(2,1/(#REF!=Z2723),#REF!),""))</f>
        <v/>
      </c>
      <c r="AC2723" t="str">
        <f>IF(Z2723="","",COUNTIF(#REF!,Z2723))</f>
        <v/>
      </c>
      <c r="AD2723" t="str">
        <f>IF(A2723="","",IF(AC2723&gt;1,"REVISAR DUPLICADO",IF(AA2723&lt;&gt;"","ACTUALIZADO POR EYR","SIN REPORTE EYR")))</f>
        <v/>
      </c>
    </row>
    <row r="2724" spans="11:30" x14ac:dyDescent="0.3">
      <c r="K2724" s="1" t="str">
        <f ca="1">IF(A2724="","",IF(OR(L2724="ENTREGADA",L2724="RETORNADA",L2724="ENTREGA DIGITAL"),0,MAX(0,5-NETWORKDAYS(H2724+1,TODAY()))))</f>
        <v/>
      </c>
      <c r="L2724" t="str">
        <f>IF(A2724="","",IFERROR(LOOKUP(2,1/(#REF!=Z2724),#REF!),Y2724))</f>
        <v/>
      </c>
      <c r="Z2724" t="str">
        <f>IF(A2724="","",TEXT(A2724,"0")&amp;"|"&amp;TEXT(H2724,"0"))</f>
        <v/>
      </c>
      <c r="AA2724" t="str">
        <f>IF(Z2724="","",IFERROR(LOOKUP(2,1/(#REF!=Z2724),#REF!),""))</f>
        <v/>
      </c>
      <c r="AB2724" t="str">
        <f>IF(Z2724="","",IFERROR(LOOKUP(2,1/(#REF!=Z2724),#REF!),""))</f>
        <v/>
      </c>
      <c r="AC2724" t="str">
        <f>IF(Z2724="","",COUNTIF(#REF!,Z2724))</f>
        <v/>
      </c>
      <c r="AD2724" t="str">
        <f>IF(A2724="","",IF(AC2724&gt;1,"REVISAR DUPLICADO",IF(AA2724&lt;&gt;"","ACTUALIZADO POR EYR","SIN REPORTE EYR")))</f>
        <v/>
      </c>
    </row>
    <row r="2725" spans="11:30" x14ac:dyDescent="0.3">
      <c r="K2725" s="1" t="str">
        <f ca="1">IF(A2725="","",IF(OR(L2725="ENTREGADA",L2725="RETORNADA",L2725="ENTREGA DIGITAL"),0,MAX(0,5-NETWORKDAYS(H2725+1,TODAY()))))</f>
        <v/>
      </c>
      <c r="L2725" t="str">
        <f>IF(A2725="","",IFERROR(LOOKUP(2,1/(#REF!=Z2725),#REF!),Y2725))</f>
        <v/>
      </c>
      <c r="Z2725" t="str">
        <f>IF(A2725="","",TEXT(A2725,"0")&amp;"|"&amp;TEXT(H2725,"0"))</f>
        <v/>
      </c>
      <c r="AA2725" t="str">
        <f>IF(Z2725="","",IFERROR(LOOKUP(2,1/(#REF!=Z2725),#REF!),""))</f>
        <v/>
      </c>
      <c r="AB2725" t="str">
        <f>IF(Z2725="","",IFERROR(LOOKUP(2,1/(#REF!=Z2725),#REF!),""))</f>
        <v/>
      </c>
      <c r="AC2725" t="str">
        <f>IF(Z2725="","",COUNTIF(#REF!,Z2725))</f>
        <v/>
      </c>
      <c r="AD2725" t="str">
        <f>IF(A2725="","",IF(AC2725&gt;1,"REVISAR DUPLICADO",IF(AA2725&lt;&gt;"","ACTUALIZADO POR EYR","SIN REPORTE EYR")))</f>
        <v/>
      </c>
    </row>
    <row r="2726" spans="11:30" x14ac:dyDescent="0.3">
      <c r="K2726" s="1" t="str">
        <f ca="1">IF(A2726="","",IF(OR(L2726="ENTREGADA",L2726="RETORNADA",L2726="ENTREGA DIGITAL"),0,MAX(0,5-NETWORKDAYS(H2726+1,TODAY()))))</f>
        <v/>
      </c>
      <c r="L2726" t="str">
        <f>IF(A2726="","",IFERROR(LOOKUP(2,1/(#REF!=Z2726),#REF!),Y2726))</f>
        <v/>
      </c>
      <c r="Z2726" t="str">
        <f>IF(A2726="","",TEXT(A2726,"0")&amp;"|"&amp;TEXT(H2726,"0"))</f>
        <v/>
      </c>
      <c r="AA2726" t="str">
        <f>IF(Z2726="","",IFERROR(LOOKUP(2,1/(#REF!=Z2726),#REF!),""))</f>
        <v/>
      </c>
      <c r="AB2726" t="str">
        <f>IF(Z2726="","",IFERROR(LOOKUP(2,1/(#REF!=Z2726),#REF!),""))</f>
        <v/>
      </c>
      <c r="AC2726" t="str">
        <f>IF(Z2726="","",COUNTIF(#REF!,Z2726))</f>
        <v/>
      </c>
      <c r="AD2726" t="str">
        <f>IF(A2726="","",IF(AC2726&gt;1,"REVISAR DUPLICADO",IF(AA2726&lt;&gt;"","ACTUALIZADO POR EYR","SIN REPORTE EYR")))</f>
        <v/>
      </c>
    </row>
    <row r="2727" spans="11:30" x14ac:dyDescent="0.3">
      <c r="K2727" s="1" t="str">
        <f ca="1">IF(A2727="","",IF(OR(L2727="ENTREGADA",L2727="RETORNADA",L2727="ENTREGA DIGITAL"),0,MAX(0,5-NETWORKDAYS(H2727+1,TODAY()))))</f>
        <v/>
      </c>
      <c r="L2727" t="str">
        <f>IF(A2727="","",IFERROR(LOOKUP(2,1/(#REF!=Z2727),#REF!),Y2727))</f>
        <v/>
      </c>
      <c r="Z2727" t="str">
        <f>IF(A2727="","",TEXT(A2727,"0")&amp;"|"&amp;TEXT(H2727,"0"))</f>
        <v/>
      </c>
      <c r="AA2727" t="str">
        <f>IF(Z2727="","",IFERROR(LOOKUP(2,1/(#REF!=Z2727),#REF!),""))</f>
        <v/>
      </c>
      <c r="AB2727" t="str">
        <f>IF(Z2727="","",IFERROR(LOOKUP(2,1/(#REF!=Z2727),#REF!),""))</f>
        <v/>
      </c>
      <c r="AC2727" t="str">
        <f>IF(Z2727="","",COUNTIF(#REF!,Z2727))</f>
        <v/>
      </c>
      <c r="AD2727" t="str">
        <f>IF(A2727="","",IF(AC2727&gt;1,"REVISAR DUPLICADO",IF(AA2727&lt;&gt;"","ACTUALIZADO POR EYR","SIN REPORTE EYR")))</f>
        <v/>
      </c>
    </row>
    <row r="2728" spans="11:30" x14ac:dyDescent="0.3">
      <c r="K2728" s="1" t="str">
        <f ca="1">IF(A2728="","",IF(OR(L2728="ENTREGADA",L2728="RETORNADA",L2728="ENTREGA DIGITAL"),0,MAX(0,5-NETWORKDAYS(H2728+1,TODAY()))))</f>
        <v/>
      </c>
      <c r="L2728" t="str">
        <f>IF(A2728="","",IFERROR(LOOKUP(2,1/(#REF!=Z2728),#REF!),Y2728))</f>
        <v/>
      </c>
      <c r="Z2728" t="str">
        <f>IF(A2728="","",TEXT(A2728,"0")&amp;"|"&amp;TEXT(H2728,"0"))</f>
        <v/>
      </c>
      <c r="AA2728" t="str">
        <f>IF(Z2728="","",IFERROR(LOOKUP(2,1/(#REF!=Z2728),#REF!),""))</f>
        <v/>
      </c>
      <c r="AB2728" t="str">
        <f>IF(Z2728="","",IFERROR(LOOKUP(2,1/(#REF!=Z2728),#REF!),""))</f>
        <v/>
      </c>
      <c r="AC2728" t="str">
        <f>IF(Z2728="","",COUNTIF(#REF!,Z2728))</f>
        <v/>
      </c>
      <c r="AD2728" t="str">
        <f>IF(A2728="","",IF(AC2728&gt;1,"REVISAR DUPLICADO",IF(AA2728&lt;&gt;"","ACTUALIZADO POR EYR","SIN REPORTE EYR")))</f>
        <v/>
      </c>
    </row>
    <row r="2729" spans="11:30" x14ac:dyDescent="0.3">
      <c r="K2729" s="1" t="str">
        <f ca="1">IF(A2729="","",IF(OR(L2729="ENTREGADA",L2729="RETORNADA",L2729="ENTREGA DIGITAL"),0,MAX(0,5-NETWORKDAYS(H2729+1,TODAY()))))</f>
        <v/>
      </c>
      <c r="L2729" t="str">
        <f>IF(A2729="","",IFERROR(LOOKUP(2,1/(#REF!=Z2729),#REF!),Y2729))</f>
        <v/>
      </c>
      <c r="Z2729" t="str">
        <f>IF(A2729="","",TEXT(A2729,"0")&amp;"|"&amp;TEXT(H2729,"0"))</f>
        <v/>
      </c>
      <c r="AA2729" t="str">
        <f>IF(Z2729="","",IFERROR(LOOKUP(2,1/(#REF!=Z2729),#REF!),""))</f>
        <v/>
      </c>
      <c r="AB2729" t="str">
        <f>IF(Z2729="","",IFERROR(LOOKUP(2,1/(#REF!=Z2729),#REF!),""))</f>
        <v/>
      </c>
      <c r="AC2729" t="str">
        <f>IF(Z2729="","",COUNTIF(#REF!,Z2729))</f>
        <v/>
      </c>
      <c r="AD2729" t="str">
        <f>IF(A2729="","",IF(AC2729&gt;1,"REVISAR DUPLICADO",IF(AA2729&lt;&gt;"","ACTUALIZADO POR EYR","SIN REPORTE EYR")))</f>
        <v/>
      </c>
    </row>
    <row r="2730" spans="11:30" x14ac:dyDescent="0.3">
      <c r="K2730" s="1" t="str">
        <f ca="1">IF(A2730="","",IF(OR(L2730="ENTREGADA",L2730="RETORNADA",L2730="ENTREGA DIGITAL"),0,MAX(0,5-NETWORKDAYS(H2730+1,TODAY()))))</f>
        <v/>
      </c>
      <c r="L2730" t="str">
        <f>IF(A2730="","",IFERROR(LOOKUP(2,1/(#REF!=Z2730),#REF!),Y2730))</f>
        <v/>
      </c>
      <c r="Z2730" t="str">
        <f>IF(A2730="","",TEXT(A2730,"0")&amp;"|"&amp;TEXT(H2730,"0"))</f>
        <v/>
      </c>
      <c r="AA2730" t="str">
        <f>IF(Z2730="","",IFERROR(LOOKUP(2,1/(#REF!=Z2730),#REF!),""))</f>
        <v/>
      </c>
      <c r="AB2730" t="str">
        <f>IF(Z2730="","",IFERROR(LOOKUP(2,1/(#REF!=Z2730),#REF!),""))</f>
        <v/>
      </c>
      <c r="AC2730" t="str">
        <f>IF(Z2730="","",COUNTIF(#REF!,Z2730))</f>
        <v/>
      </c>
      <c r="AD2730" t="str">
        <f>IF(A2730="","",IF(AC2730&gt;1,"REVISAR DUPLICADO",IF(AA2730&lt;&gt;"","ACTUALIZADO POR EYR","SIN REPORTE EYR")))</f>
        <v/>
      </c>
    </row>
    <row r="2731" spans="11:30" x14ac:dyDescent="0.3">
      <c r="K2731" s="1" t="str">
        <f ca="1">IF(A2731="","",IF(OR(L2731="ENTREGADA",L2731="RETORNADA",L2731="ENTREGA DIGITAL"),0,MAX(0,5-NETWORKDAYS(H2731+1,TODAY()))))</f>
        <v/>
      </c>
      <c r="L2731" t="str">
        <f>IF(A2731="","",IFERROR(LOOKUP(2,1/(#REF!=Z2731),#REF!),Y2731))</f>
        <v/>
      </c>
      <c r="Z2731" t="str">
        <f>IF(A2731="","",TEXT(A2731,"0")&amp;"|"&amp;TEXT(H2731,"0"))</f>
        <v/>
      </c>
      <c r="AA2731" t="str">
        <f>IF(Z2731="","",IFERROR(LOOKUP(2,1/(#REF!=Z2731),#REF!),""))</f>
        <v/>
      </c>
      <c r="AB2731" t="str">
        <f>IF(Z2731="","",IFERROR(LOOKUP(2,1/(#REF!=Z2731),#REF!),""))</f>
        <v/>
      </c>
      <c r="AC2731" t="str">
        <f>IF(Z2731="","",COUNTIF(#REF!,Z2731))</f>
        <v/>
      </c>
      <c r="AD2731" t="str">
        <f>IF(A2731="","",IF(AC2731&gt;1,"REVISAR DUPLICADO",IF(AA2731&lt;&gt;"","ACTUALIZADO POR EYR","SIN REPORTE EYR")))</f>
        <v/>
      </c>
    </row>
    <row r="2732" spans="11:30" x14ac:dyDescent="0.3">
      <c r="K2732" s="1" t="str">
        <f ca="1">IF(A2732="","",IF(OR(L2732="ENTREGADA",L2732="RETORNADA",L2732="ENTREGA DIGITAL"),0,MAX(0,5-NETWORKDAYS(H2732+1,TODAY()))))</f>
        <v/>
      </c>
      <c r="L2732" t="str">
        <f>IF(A2732="","",IFERROR(LOOKUP(2,1/(#REF!=Z2732),#REF!),Y2732))</f>
        <v/>
      </c>
      <c r="Z2732" t="str">
        <f>IF(A2732="","",TEXT(A2732,"0")&amp;"|"&amp;TEXT(H2732,"0"))</f>
        <v/>
      </c>
      <c r="AA2732" t="str">
        <f>IF(Z2732="","",IFERROR(LOOKUP(2,1/(#REF!=Z2732),#REF!),""))</f>
        <v/>
      </c>
      <c r="AB2732" t="str">
        <f>IF(Z2732="","",IFERROR(LOOKUP(2,1/(#REF!=Z2732),#REF!),""))</f>
        <v/>
      </c>
      <c r="AC2732" t="str">
        <f>IF(Z2732="","",COUNTIF(#REF!,Z2732))</f>
        <v/>
      </c>
      <c r="AD2732" t="str">
        <f>IF(A2732="","",IF(AC2732&gt;1,"REVISAR DUPLICADO",IF(AA2732&lt;&gt;"","ACTUALIZADO POR EYR","SIN REPORTE EYR")))</f>
        <v/>
      </c>
    </row>
    <row r="2733" spans="11:30" x14ac:dyDescent="0.3">
      <c r="K2733" s="1" t="str">
        <f ca="1">IF(A2733="","",IF(OR(L2733="ENTREGADA",L2733="RETORNADA",L2733="ENTREGA DIGITAL"),0,MAX(0,5-NETWORKDAYS(H2733+1,TODAY()))))</f>
        <v/>
      </c>
      <c r="L2733" t="str">
        <f>IF(A2733="","",IFERROR(LOOKUP(2,1/(#REF!=Z2733),#REF!),Y2733))</f>
        <v/>
      </c>
      <c r="Z2733" t="str">
        <f>IF(A2733="","",TEXT(A2733,"0")&amp;"|"&amp;TEXT(H2733,"0"))</f>
        <v/>
      </c>
      <c r="AA2733" t="str">
        <f>IF(Z2733="","",IFERROR(LOOKUP(2,1/(#REF!=Z2733),#REF!),""))</f>
        <v/>
      </c>
      <c r="AB2733" t="str">
        <f>IF(Z2733="","",IFERROR(LOOKUP(2,1/(#REF!=Z2733),#REF!),""))</f>
        <v/>
      </c>
      <c r="AC2733" t="str">
        <f>IF(Z2733="","",COUNTIF(#REF!,Z2733))</f>
        <v/>
      </c>
      <c r="AD2733" t="str">
        <f>IF(A2733="","",IF(AC2733&gt;1,"REVISAR DUPLICADO",IF(AA2733&lt;&gt;"","ACTUALIZADO POR EYR","SIN REPORTE EYR")))</f>
        <v/>
      </c>
    </row>
    <row r="2734" spans="11:30" x14ac:dyDescent="0.3">
      <c r="K2734" s="1" t="str">
        <f ca="1">IF(A2734="","",IF(OR(L2734="ENTREGADA",L2734="RETORNADA",L2734="ENTREGA DIGITAL"),0,MAX(0,5-NETWORKDAYS(H2734+1,TODAY()))))</f>
        <v/>
      </c>
      <c r="L2734" t="str">
        <f>IF(A2734="","",IFERROR(LOOKUP(2,1/(#REF!=Z2734),#REF!),Y2734))</f>
        <v/>
      </c>
      <c r="Z2734" t="str">
        <f>IF(A2734="","",TEXT(A2734,"0")&amp;"|"&amp;TEXT(H2734,"0"))</f>
        <v/>
      </c>
      <c r="AA2734" t="str">
        <f>IF(Z2734="","",IFERROR(LOOKUP(2,1/(#REF!=Z2734),#REF!),""))</f>
        <v/>
      </c>
      <c r="AB2734" t="str">
        <f>IF(Z2734="","",IFERROR(LOOKUP(2,1/(#REF!=Z2734),#REF!),""))</f>
        <v/>
      </c>
      <c r="AC2734" t="str">
        <f>IF(Z2734="","",COUNTIF(#REF!,Z2734))</f>
        <v/>
      </c>
      <c r="AD2734" t="str">
        <f>IF(A2734="","",IF(AC2734&gt;1,"REVISAR DUPLICADO",IF(AA2734&lt;&gt;"","ACTUALIZADO POR EYR","SIN REPORTE EYR")))</f>
        <v/>
      </c>
    </row>
    <row r="2735" spans="11:30" x14ac:dyDescent="0.3">
      <c r="K2735" s="1" t="str">
        <f ca="1">IF(A2735="","",IF(OR(L2735="ENTREGADA",L2735="RETORNADA",L2735="ENTREGA DIGITAL"),0,MAX(0,5-NETWORKDAYS(H2735+1,TODAY()))))</f>
        <v/>
      </c>
      <c r="L2735" t="str">
        <f>IF(A2735="","",IFERROR(LOOKUP(2,1/(#REF!=Z2735),#REF!),Y2735))</f>
        <v/>
      </c>
      <c r="Z2735" t="str">
        <f>IF(A2735="","",TEXT(A2735,"0")&amp;"|"&amp;TEXT(H2735,"0"))</f>
        <v/>
      </c>
      <c r="AA2735" t="str">
        <f>IF(Z2735="","",IFERROR(LOOKUP(2,1/(#REF!=Z2735),#REF!),""))</f>
        <v/>
      </c>
      <c r="AB2735" t="str">
        <f>IF(Z2735="","",IFERROR(LOOKUP(2,1/(#REF!=Z2735),#REF!),""))</f>
        <v/>
      </c>
      <c r="AC2735" t="str">
        <f>IF(Z2735="","",COUNTIF(#REF!,Z2735))</f>
        <v/>
      </c>
      <c r="AD2735" t="str">
        <f>IF(A2735="","",IF(AC2735&gt;1,"REVISAR DUPLICADO",IF(AA2735&lt;&gt;"","ACTUALIZADO POR EYR","SIN REPORTE EYR")))</f>
        <v/>
      </c>
    </row>
    <row r="2736" spans="11:30" x14ac:dyDescent="0.3">
      <c r="K2736" s="1" t="str">
        <f ca="1">IF(A2736="","",IF(OR(L2736="ENTREGADA",L2736="RETORNADA",L2736="ENTREGA DIGITAL"),0,MAX(0,5-NETWORKDAYS(H2736+1,TODAY()))))</f>
        <v/>
      </c>
      <c r="L2736" t="str">
        <f>IF(A2736="","",IFERROR(LOOKUP(2,1/(#REF!=Z2736),#REF!),Y2736))</f>
        <v/>
      </c>
      <c r="Z2736" t="str">
        <f>IF(A2736="","",TEXT(A2736,"0")&amp;"|"&amp;TEXT(H2736,"0"))</f>
        <v/>
      </c>
      <c r="AA2736" t="str">
        <f>IF(Z2736="","",IFERROR(LOOKUP(2,1/(#REF!=Z2736),#REF!),""))</f>
        <v/>
      </c>
      <c r="AB2736" t="str">
        <f>IF(Z2736="","",IFERROR(LOOKUP(2,1/(#REF!=Z2736),#REF!),""))</f>
        <v/>
      </c>
      <c r="AC2736" t="str">
        <f>IF(Z2736="","",COUNTIF(#REF!,Z2736))</f>
        <v/>
      </c>
      <c r="AD2736" t="str">
        <f>IF(A2736="","",IF(AC2736&gt;1,"REVISAR DUPLICADO",IF(AA2736&lt;&gt;"","ACTUALIZADO POR EYR","SIN REPORTE EYR")))</f>
        <v/>
      </c>
    </row>
    <row r="2737" spans="11:30" x14ac:dyDescent="0.3">
      <c r="K2737" s="1" t="str">
        <f ca="1">IF(A2737="","",IF(OR(L2737="ENTREGADA",L2737="RETORNADA",L2737="ENTREGA DIGITAL"),0,MAX(0,5-NETWORKDAYS(H2737+1,TODAY()))))</f>
        <v/>
      </c>
      <c r="L2737" t="str">
        <f>IF(A2737="","",IFERROR(LOOKUP(2,1/(#REF!=Z2737),#REF!),Y2737))</f>
        <v/>
      </c>
      <c r="Z2737" t="str">
        <f>IF(A2737="","",TEXT(A2737,"0")&amp;"|"&amp;TEXT(H2737,"0"))</f>
        <v/>
      </c>
      <c r="AA2737" t="str">
        <f>IF(Z2737="","",IFERROR(LOOKUP(2,1/(#REF!=Z2737),#REF!),""))</f>
        <v/>
      </c>
      <c r="AB2737" t="str">
        <f>IF(Z2737="","",IFERROR(LOOKUP(2,1/(#REF!=Z2737),#REF!),""))</f>
        <v/>
      </c>
      <c r="AC2737" t="str">
        <f>IF(Z2737="","",COUNTIF(#REF!,Z2737))</f>
        <v/>
      </c>
      <c r="AD2737" t="str">
        <f>IF(A2737="","",IF(AC2737&gt;1,"REVISAR DUPLICADO",IF(AA2737&lt;&gt;"","ACTUALIZADO POR EYR","SIN REPORTE EYR")))</f>
        <v/>
      </c>
    </row>
    <row r="2738" spans="11:30" x14ac:dyDescent="0.3">
      <c r="K2738" s="1" t="str">
        <f ca="1">IF(A2738="","",IF(OR(L2738="ENTREGADA",L2738="RETORNADA",L2738="ENTREGA DIGITAL"),0,MAX(0,5-NETWORKDAYS(H2738+1,TODAY()))))</f>
        <v/>
      </c>
      <c r="L2738" t="str">
        <f>IF(A2738="","",IFERROR(LOOKUP(2,1/(#REF!=Z2738),#REF!),Y2738))</f>
        <v/>
      </c>
      <c r="Z2738" t="str">
        <f>IF(A2738="","",TEXT(A2738,"0")&amp;"|"&amp;TEXT(H2738,"0"))</f>
        <v/>
      </c>
      <c r="AA2738" t="str">
        <f>IF(Z2738="","",IFERROR(LOOKUP(2,1/(#REF!=Z2738),#REF!),""))</f>
        <v/>
      </c>
      <c r="AB2738" t="str">
        <f>IF(Z2738="","",IFERROR(LOOKUP(2,1/(#REF!=Z2738),#REF!),""))</f>
        <v/>
      </c>
      <c r="AC2738" t="str">
        <f>IF(Z2738="","",COUNTIF(#REF!,Z2738))</f>
        <v/>
      </c>
      <c r="AD2738" t="str">
        <f>IF(A2738="","",IF(AC2738&gt;1,"REVISAR DUPLICADO",IF(AA2738&lt;&gt;"","ACTUALIZADO POR EYR","SIN REPORTE EYR")))</f>
        <v/>
      </c>
    </row>
    <row r="2739" spans="11:30" x14ac:dyDescent="0.3">
      <c r="K2739" s="1" t="str">
        <f ca="1">IF(A2739="","",IF(OR(L2739="ENTREGADA",L2739="RETORNADA",L2739="ENTREGA DIGITAL"),0,MAX(0,5-NETWORKDAYS(H2739+1,TODAY()))))</f>
        <v/>
      </c>
      <c r="L2739" t="str">
        <f>IF(A2739="","",IFERROR(LOOKUP(2,1/(#REF!=Z2739),#REF!),Y2739))</f>
        <v/>
      </c>
      <c r="Z2739" t="str">
        <f>IF(A2739="","",TEXT(A2739,"0")&amp;"|"&amp;TEXT(H2739,"0"))</f>
        <v/>
      </c>
      <c r="AA2739" t="str">
        <f>IF(Z2739="","",IFERROR(LOOKUP(2,1/(#REF!=Z2739),#REF!),""))</f>
        <v/>
      </c>
      <c r="AB2739" t="str">
        <f>IF(Z2739="","",IFERROR(LOOKUP(2,1/(#REF!=Z2739),#REF!),""))</f>
        <v/>
      </c>
      <c r="AC2739" t="str">
        <f>IF(Z2739="","",COUNTIF(#REF!,Z2739))</f>
        <v/>
      </c>
      <c r="AD2739" t="str">
        <f>IF(A2739="","",IF(AC2739&gt;1,"REVISAR DUPLICADO",IF(AA2739&lt;&gt;"","ACTUALIZADO POR EYR","SIN REPORTE EYR")))</f>
        <v/>
      </c>
    </row>
    <row r="2740" spans="11:30" x14ac:dyDescent="0.3">
      <c r="K2740" s="1" t="str">
        <f ca="1">IF(A2740="","",IF(OR(L2740="ENTREGADA",L2740="RETORNADA",L2740="ENTREGA DIGITAL"),0,MAX(0,5-NETWORKDAYS(H2740+1,TODAY()))))</f>
        <v/>
      </c>
      <c r="L2740" t="str">
        <f>IF(A2740="","",IFERROR(LOOKUP(2,1/(#REF!=Z2740),#REF!),Y2740))</f>
        <v/>
      </c>
      <c r="Z2740" t="str">
        <f>IF(A2740="","",TEXT(A2740,"0")&amp;"|"&amp;TEXT(H2740,"0"))</f>
        <v/>
      </c>
      <c r="AA2740" t="str">
        <f>IF(Z2740="","",IFERROR(LOOKUP(2,1/(#REF!=Z2740),#REF!),""))</f>
        <v/>
      </c>
      <c r="AB2740" t="str">
        <f>IF(Z2740="","",IFERROR(LOOKUP(2,1/(#REF!=Z2740),#REF!),""))</f>
        <v/>
      </c>
      <c r="AC2740" t="str">
        <f>IF(Z2740="","",COUNTIF(#REF!,Z2740))</f>
        <v/>
      </c>
      <c r="AD2740" t="str">
        <f>IF(A2740="","",IF(AC2740&gt;1,"REVISAR DUPLICADO",IF(AA2740&lt;&gt;"","ACTUALIZADO POR EYR","SIN REPORTE EYR")))</f>
        <v/>
      </c>
    </row>
    <row r="2741" spans="11:30" x14ac:dyDescent="0.3">
      <c r="K2741" s="1" t="str">
        <f ca="1">IF(A2741="","",IF(OR(L2741="ENTREGADA",L2741="RETORNADA",L2741="ENTREGA DIGITAL"),0,MAX(0,5-NETWORKDAYS(H2741+1,TODAY()))))</f>
        <v/>
      </c>
      <c r="L2741" t="str">
        <f>IF(A2741="","",IFERROR(LOOKUP(2,1/(#REF!=Z2741),#REF!),Y2741))</f>
        <v/>
      </c>
      <c r="Z2741" t="str">
        <f>IF(A2741="","",TEXT(A2741,"0")&amp;"|"&amp;TEXT(H2741,"0"))</f>
        <v/>
      </c>
      <c r="AA2741" t="str">
        <f>IF(Z2741="","",IFERROR(LOOKUP(2,1/(#REF!=Z2741),#REF!),""))</f>
        <v/>
      </c>
      <c r="AB2741" t="str">
        <f>IF(Z2741="","",IFERROR(LOOKUP(2,1/(#REF!=Z2741),#REF!),""))</f>
        <v/>
      </c>
      <c r="AC2741" t="str">
        <f>IF(Z2741="","",COUNTIF(#REF!,Z2741))</f>
        <v/>
      </c>
      <c r="AD2741" t="str">
        <f>IF(A2741="","",IF(AC2741&gt;1,"REVISAR DUPLICADO",IF(AA2741&lt;&gt;"","ACTUALIZADO POR EYR","SIN REPORTE EYR")))</f>
        <v/>
      </c>
    </row>
    <row r="2742" spans="11:30" x14ac:dyDescent="0.3">
      <c r="K2742" s="1" t="str">
        <f ca="1">IF(A2742="","",IF(OR(L2742="ENTREGADA",L2742="RETORNADA",L2742="ENTREGA DIGITAL"),0,MAX(0,5-NETWORKDAYS(H2742+1,TODAY()))))</f>
        <v/>
      </c>
      <c r="L2742" t="str">
        <f>IF(A2742="","",IFERROR(LOOKUP(2,1/(#REF!=Z2742),#REF!),Y2742))</f>
        <v/>
      </c>
      <c r="Z2742" t="str">
        <f>IF(A2742="","",TEXT(A2742,"0")&amp;"|"&amp;TEXT(H2742,"0"))</f>
        <v/>
      </c>
      <c r="AA2742" t="str">
        <f>IF(Z2742="","",IFERROR(LOOKUP(2,1/(#REF!=Z2742),#REF!),""))</f>
        <v/>
      </c>
      <c r="AB2742" t="str">
        <f>IF(Z2742="","",IFERROR(LOOKUP(2,1/(#REF!=Z2742),#REF!),""))</f>
        <v/>
      </c>
      <c r="AC2742" t="str">
        <f>IF(Z2742="","",COUNTIF(#REF!,Z2742))</f>
        <v/>
      </c>
      <c r="AD2742" t="str">
        <f>IF(A2742="","",IF(AC2742&gt;1,"REVISAR DUPLICADO",IF(AA2742&lt;&gt;"","ACTUALIZADO POR EYR","SIN REPORTE EYR")))</f>
        <v/>
      </c>
    </row>
    <row r="2743" spans="11:30" x14ac:dyDescent="0.3">
      <c r="K2743" s="1" t="str">
        <f ca="1">IF(A2743="","",IF(OR(L2743="ENTREGADA",L2743="RETORNADA",L2743="ENTREGA DIGITAL"),0,MAX(0,5-NETWORKDAYS(H2743+1,TODAY()))))</f>
        <v/>
      </c>
      <c r="L2743" t="str">
        <f>IF(A2743="","",IFERROR(LOOKUP(2,1/(#REF!=Z2743),#REF!),Y2743))</f>
        <v/>
      </c>
      <c r="Z2743" t="str">
        <f>IF(A2743="","",TEXT(A2743,"0")&amp;"|"&amp;TEXT(H2743,"0"))</f>
        <v/>
      </c>
      <c r="AA2743" t="str">
        <f>IF(Z2743="","",IFERROR(LOOKUP(2,1/(#REF!=Z2743),#REF!),""))</f>
        <v/>
      </c>
      <c r="AB2743" t="str">
        <f>IF(Z2743="","",IFERROR(LOOKUP(2,1/(#REF!=Z2743),#REF!),""))</f>
        <v/>
      </c>
      <c r="AC2743" t="str">
        <f>IF(Z2743="","",COUNTIF(#REF!,Z2743))</f>
        <v/>
      </c>
      <c r="AD2743" t="str">
        <f>IF(A2743="","",IF(AC2743&gt;1,"REVISAR DUPLICADO",IF(AA2743&lt;&gt;"","ACTUALIZADO POR EYR","SIN REPORTE EYR")))</f>
        <v/>
      </c>
    </row>
    <row r="2744" spans="11:30" x14ac:dyDescent="0.3">
      <c r="K2744" s="1" t="str">
        <f ca="1">IF(A2744="","",IF(OR(L2744="ENTREGADA",L2744="RETORNADA",L2744="ENTREGA DIGITAL"),0,MAX(0,5-NETWORKDAYS(H2744+1,TODAY()))))</f>
        <v/>
      </c>
      <c r="L2744" t="str">
        <f>IF(A2744="","",IFERROR(LOOKUP(2,1/(#REF!=Z2744),#REF!),Y2744))</f>
        <v/>
      </c>
      <c r="Z2744" t="str">
        <f>IF(A2744="","",TEXT(A2744,"0")&amp;"|"&amp;TEXT(H2744,"0"))</f>
        <v/>
      </c>
      <c r="AA2744" t="str">
        <f>IF(Z2744="","",IFERROR(LOOKUP(2,1/(#REF!=Z2744),#REF!),""))</f>
        <v/>
      </c>
      <c r="AB2744" t="str">
        <f>IF(Z2744="","",IFERROR(LOOKUP(2,1/(#REF!=Z2744),#REF!),""))</f>
        <v/>
      </c>
      <c r="AC2744" t="str">
        <f>IF(Z2744="","",COUNTIF(#REF!,Z2744))</f>
        <v/>
      </c>
      <c r="AD2744" t="str">
        <f>IF(A2744="","",IF(AC2744&gt;1,"REVISAR DUPLICADO",IF(AA2744&lt;&gt;"","ACTUALIZADO POR EYR","SIN REPORTE EYR")))</f>
        <v/>
      </c>
    </row>
    <row r="2745" spans="11:30" x14ac:dyDescent="0.3">
      <c r="K2745" s="1" t="str">
        <f ca="1">IF(A2745="","",IF(OR(L2745="ENTREGADA",L2745="RETORNADA",L2745="ENTREGA DIGITAL"),0,MAX(0,5-NETWORKDAYS(H2745+1,TODAY()))))</f>
        <v/>
      </c>
      <c r="L2745" t="str">
        <f>IF(A2745="","",IFERROR(LOOKUP(2,1/(#REF!=Z2745),#REF!),Y2745))</f>
        <v/>
      </c>
      <c r="Z2745" t="str">
        <f>IF(A2745="","",TEXT(A2745,"0")&amp;"|"&amp;TEXT(H2745,"0"))</f>
        <v/>
      </c>
      <c r="AA2745" t="str">
        <f>IF(Z2745="","",IFERROR(LOOKUP(2,1/(#REF!=Z2745),#REF!),""))</f>
        <v/>
      </c>
      <c r="AB2745" t="str">
        <f>IF(Z2745="","",IFERROR(LOOKUP(2,1/(#REF!=Z2745),#REF!),""))</f>
        <v/>
      </c>
      <c r="AC2745" t="str">
        <f>IF(Z2745="","",COUNTIF(#REF!,Z2745))</f>
        <v/>
      </c>
      <c r="AD2745" t="str">
        <f>IF(A2745="","",IF(AC2745&gt;1,"REVISAR DUPLICADO",IF(AA2745&lt;&gt;"","ACTUALIZADO POR EYR","SIN REPORTE EYR")))</f>
        <v/>
      </c>
    </row>
    <row r="2746" spans="11:30" x14ac:dyDescent="0.3">
      <c r="K2746" s="1" t="str">
        <f ca="1">IF(A2746="","",IF(OR(L2746="ENTREGADA",L2746="RETORNADA",L2746="ENTREGA DIGITAL"),0,MAX(0,5-NETWORKDAYS(H2746+1,TODAY()))))</f>
        <v/>
      </c>
      <c r="L2746" t="str">
        <f>IF(A2746="","",IFERROR(LOOKUP(2,1/(#REF!=Z2746),#REF!),Y2746))</f>
        <v/>
      </c>
      <c r="Z2746" t="str">
        <f>IF(A2746="","",TEXT(A2746,"0")&amp;"|"&amp;TEXT(H2746,"0"))</f>
        <v/>
      </c>
      <c r="AA2746" t="str">
        <f>IF(Z2746="","",IFERROR(LOOKUP(2,1/(#REF!=Z2746),#REF!),""))</f>
        <v/>
      </c>
      <c r="AB2746" t="str">
        <f>IF(Z2746="","",IFERROR(LOOKUP(2,1/(#REF!=Z2746),#REF!),""))</f>
        <v/>
      </c>
      <c r="AC2746" t="str">
        <f>IF(Z2746="","",COUNTIF(#REF!,Z2746))</f>
        <v/>
      </c>
      <c r="AD2746" t="str">
        <f>IF(A2746="","",IF(AC2746&gt;1,"REVISAR DUPLICADO",IF(AA2746&lt;&gt;"","ACTUALIZADO POR EYR","SIN REPORTE EYR")))</f>
        <v/>
      </c>
    </row>
    <row r="2747" spans="11:30" x14ac:dyDescent="0.3">
      <c r="K2747" s="1" t="str">
        <f ca="1">IF(A2747="","",IF(OR(L2747="ENTREGADA",L2747="RETORNADA",L2747="ENTREGA DIGITAL"),0,MAX(0,5-NETWORKDAYS(H2747+1,TODAY()))))</f>
        <v/>
      </c>
      <c r="L2747" t="str">
        <f>IF(A2747="","",IFERROR(LOOKUP(2,1/(#REF!=Z2747),#REF!),Y2747))</f>
        <v/>
      </c>
      <c r="Z2747" t="str">
        <f>IF(A2747="","",TEXT(A2747,"0")&amp;"|"&amp;TEXT(H2747,"0"))</f>
        <v/>
      </c>
      <c r="AA2747" t="str">
        <f>IF(Z2747="","",IFERROR(LOOKUP(2,1/(#REF!=Z2747),#REF!),""))</f>
        <v/>
      </c>
      <c r="AB2747" t="str">
        <f>IF(Z2747="","",IFERROR(LOOKUP(2,1/(#REF!=Z2747),#REF!),""))</f>
        <v/>
      </c>
      <c r="AC2747" t="str">
        <f>IF(Z2747="","",COUNTIF(#REF!,Z2747))</f>
        <v/>
      </c>
      <c r="AD2747" t="str">
        <f>IF(A2747="","",IF(AC2747&gt;1,"REVISAR DUPLICADO",IF(AA2747&lt;&gt;"","ACTUALIZADO POR EYR","SIN REPORTE EYR")))</f>
        <v/>
      </c>
    </row>
    <row r="2748" spans="11:30" x14ac:dyDescent="0.3">
      <c r="K2748" s="1" t="str">
        <f ca="1">IF(A2748="","",IF(OR(L2748="ENTREGADA",L2748="RETORNADA",L2748="ENTREGA DIGITAL"),0,MAX(0,5-NETWORKDAYS(H2748+1,TODAY()))))</f>
        <v/>
      </c>
      <c r="L2748" t="str">
        <f>IF(A2748="","",IFERROR(LOOKUP(2,1/(#REF!=Z2748),#REF!),Y2748))</f>
        <v/>
      </c>
      <c r="Z2748" t="str">
        <f>IF(A2748="","",TEXT(A2748,"0")&amp;"|"&amp;TEXT(H2748,"0"))</f>
        <v/>
      </c>
      <c r="AA2748" t="str">
        <f>IF(Z2748="","",IFERROR(LOOKUP(2,1/(#REF!=Z2748),#REF!),""))</f>
        <v/>
      </c>
      <c r="AB2748" t="str">
        <f>IF(Z2748="","",IFERROR(LOOKUP(2,1/(#REF!=Z2748),#REF!),""))</f>
        <v/>
      </c>
      <c r="AC2748" t="str">
        <f>IF(Z2748="","",COUNTIF(#REF!,Z2748))</f>
        <v/>
      </c>
      <c r="AD2748" t="str">
        <f>IF(A2748="","",IF(AC2748&gt;1,"REVISAR DUPLICADO",IF(AA2748&lt;&gt;"","ACTUALIZADO POR EYR","SIN REPORTE EYR")))</f>
        <v/>
      </c>
    </row>
    <row r="2749" spans="11:30" x14ac:dyDescent="0.3">
      <c r="K2749" s="1" t="str">
        <f ca="1">IF(A2749="","",IF(OR(L2749="ENTREGADA",L2749="RETORNADA",L2749="ENTREGA DIGITAL"),0,MAX(0,5-NETWORKDAYS(H2749+1,TODAY()))))</f>
        <v/>
      </c>
      <c r="L2749" t="str">
        <f>IF(A2749="","",IFERROR(LOOKUP(2,1/(#REF!=Z2749),#REF!),Y2749))</f>
        <v/>
      </c>
      <c r="Z2749" t="str">
        <f>IF(A2749="","",TEXT(A2749,"0")&amp;"|"&amp;TEXT(H2749,"0"))</f>
        <v/>
      </c>
      <c r="AA2749" t="str">
        <f>IF(Z2749="","",IFERROR(LOOKUP(2,1/(#REF!=Z2749),#REF!),""))</f>
        <v/>
      </c>
      <c r="AB2749" t="str">
        <f>IF(Z2749="","",IFERROR(LOOKUP(2,1/(#REF!=Z2749),#REF!),""))</f>
        <v/>
      </c>
      <c r="AC2749" t="str">
        <f>IF(Z2749="","",COUNTIF(#REF!,Z2749))</f>
        <v/>
      </c>
      <c r="AD2749" t="str">
        <f>IF(A2749="","",IF(AC2749&gt;1,"REVISAR DUPLICADO",IF(AA2749&lt;&gt;"","ACTUALIZADO POR EYR","SIN REPORTE EYR")))</f>
        <v/>
      </c>
    </row>
    <row r="2750" spans="11:30" x14ac:dyDescent="0.3">
      <c r="K2750" s="1" t="str">
        <f ca="1">IF(A2750="","",IF(OR(L2750="ENTREGADA",L2750="RETORNADA",L2750="ENTREGA DIGITAL"),0,MAX(0,5-NETWORKDAYS(H2750+1,TODAY()))))</f>
        <v/>
      </c>
      <c r="L2750" t="str">
        <f>IF(A2750="","",IFERROR(LOOKUP(2,1/(#REF!=Z2750),#REF!),Y2750))</f>
        <v/>
      </c>
      <c r="Z2750" t="str">
        <f>IF(A2750="","",TEXT(A2750,"0")&amp;"|"&amp;TEXT(H2750,"0"))</f>
        <v/>
      </c>
      <c r="AA2750" t="str">
        <f>IF(Z2750="","",IFERROR(LOOKUP(2,1/(#REF!=Z2750),#REF!),""))</f>
        <v/>
      </c>
      <c r="AB2750" t="str">
        <f>IF(Z2750="","",IFERROR(LOOKUP(2,1/(#REF!=Z2750),#REF!),""))</f>
        <v/>
      </c>
      <c r="AC2750" t="str">
        <f>IF(Z2750="","",COUNTIF(#REF!,Z2750))</f>
        <v/>
      </c>
      <c r="AD2750" t="str">
        <f>IF(A2750="","",IF(AC2750&gt;1,"REVISAR DUPLICADO",IF(AA2750&lt;&gt;"","ACTUALIZADO POR EYR","SIN REPORTE EYR")))</f>
        <v/>
      </c>
    </row>
    <row r="2751" spans="11:30" x14ac:dyDescent="0.3">
      <c r="K2751" s="1" t="str">
        <f ca="1">IF(A2751="","",IF(OR(L2751="ENTREGADA",L2751="RETORNADA",L2751="ENTREGA DIGITAL"),0,MAX(0,5-NETWORKDAYS(H2751+1,TODAY()))))</f>
        <v/>
      </c>
      <c r="L2751" t="str">
        <f>IF(A2751="","",IFERROR(LOOKUP(2,1/(#REF!=Z2751),#REF!),Y2751))</f>
        <v/>
      </c>
      <c r="Z2751" t="str">
        <f>IF(A2751="","",TEXT(A2751,"0")&amp;"|"&amp;TEXT(H2751,"0"))</f>
        <v/>
      </c>
      <c r="AA2751" t="str">
        <f>IF(Z2751="","",IFERROR(LOOKUP(2,1/(#REF!=Z2751),#REF!),""))</f>
        <v/>
      </c>
      <c r="AB2751" t="str">
        <f>IF(Z2751="","",IFERROR(LOOKUP(2,1/(#REF!=Z2751),#REF!),""))</f>
        <v/>
      </c>
      <c r="AC2751" t="str">
        <f>IF(Z2751="","",COUNTIF(#REF!,Z2751))</f>
        <v/>
      </c>
      <c r="AD2751" t="str">
        <f>IF(A2751="","",IF(AC2751&gt;1,"REVISAR DUPLICADO",IF(AA2751&lt;&gt;"","ACTUALIZADO POR EYR","SIN REPORTE EYR")))</f>
        <v/>
      </c>
    </row>
    <row r="2752" spans="11:30" x14ac:dyDescent="0.3">
      <c r="K2752" s="1" t="str">
        <f ca="1">IF(A2752="","",IF(OR(L2752="ENTREGADA",L2752="RETORNADA",L2752="ENTREGA DIGITAL"),0,MAX(0,5-NETWORKDAYS(H2752+1,TODAY()))))</f>
        <v/>
      </c>
      <c r="L2752" t="str">
        <f>IF(A2752="","",IFERROR(LOOKUP(2,1/(#REF!=Z2752),#REF!),Y2752))</f>
        <v/>
      </c>
      <c r="Z2752" t="str">
        <f>IF(A2752="","",TEXT(A2752,"0")&amp;"|"&amp;TEXT(H2752,"0"))</f>
        <v/>
      </c>
      <c r="AA2752" t="str">
        <f>IF(Z2752="","",IFERROR(LOOKUP(2,1/(#REF!=Z2752),#REF!),""))</f>
        <v/>
      </c>
      <c r="AB2752" t="str">
        <f>IF(Z2752="","",IFERROR(LOOKUP(2,1/(#REF!=Z2752),#REF!),""))</f>
        <v/>
      </c>
      <c r="AC2752" t="str">
        <f>IF(Z2752="","",COUNTIF(#REF!,Z2752))</f>
        <v/>
      </c>
      <c r="AD2752" t="str">
        <f>IF(A2752="","",IF(AC2752&gt;1,"REVISAR DUPLICADO",IF(AA2752&lt;&gt;"","ACTUALIZADO POR EYR","SIN REPORTE EYR")))</f>
        <v/>
      </c>
    </row>
    <row r="2753" spans="11:30" x14ac:dyDescent="0.3">
      <c r="K2753" s="1" t="str">
        <f ca="1">IF(A2753="","",IF(OR(L2753="ENTREGADA",L2753="RETORNADA",L2753="ENTREGA DIGITAL"),0,MAX(0,5-NETWORKDAYS(H2753+1,TODAY()))))</f>
        <v/>
      </c>
      <c r="L2753" t="str">
        <f>IF(A2753="","",IFERROR(LOOKUP(2,1/(#REF!=Z2753),#REF!),Y2753))</f>
        <v/>
      </c>
      <c r="Z2753" t="str">
        <f>IF(A2753="","",TEXT(A2753,"0")&amp;"|"&amp;TEXT(H2753,"0"))</f>
        <v/>
      </c>
      <c r="AA2753" t="str">
        <f>IF(Z2753="","",IFERROR(LOOKUP(2,1/(#REF!=Z2753),#REF!),""))</f>
        <v/>
      </c>
      <c r="AB2753" t="str">
        <f>IF(Z2753="","",IFERROR(LOOKUP(2,1/(#REF!=Z2753),#REF!),""))</f>
        <v/>
      </c>
      <c r="AC2753" t="str">
        <f>IF(Z2753="","",COUNTIF(#REF!,Z2753))</f>
        <v/>
      </c>
      <c r="AD2753" t="str">
        <f>IF(A2753="","",IF(AC2753&gt;1,"REVISAR DUPLICADO",IF(AA2753&lt;&gt;"","ACTUALIZADO POR EYR","SIN REPORTE EYR")))</f>
        <v/>
      </c>
    </row>
    <row r="2754" spans="11:30" x14ac:dyDescent="0.3">
      <c r="K2754" s="1" t="str">
        <f ca="1">IF(A2754="","",IF(OR(L2754="ENTREGADA",L2754="RETORNADA",L2754="ENTREGA DIGITAL"),0,MAX(0,5-NETWORKDAYS(H2754+1,TODAY()))))</f>
        <v/>
      </c>
      <c r="L2754" t="str">
        <f>IF(A2754="","",IFERROR(LOOKUP(2,1/(#REF!=Z2754),#REF!),Y2754))</f>
        <v/>
      </c>
      <c r="Z2754" t="str">
        <f>IF(A2754="","",TEXT(A2754,"0")&amp;"|"&amp;TEXT(H2754,"0"))</f>
        <v/>
      </c>
      <c r="AA2754" t="str">
        <f>IF(Z2754="","",IFERROR(LOOKUP(2,1/(#REF!=Z2754),#REF!),""))</f>
        <v/>
      </c>
      <c r="AB2754" t="str">
        <f>IF(Z2754="","",IFERROR(LOOKUP(2,1/(#REF!=Z2754),#REF!),""))</f>
        <v/>
      </c>
      <c r="AC2754" t="str">
        <f>IF(Z2754="","",COUNTIF(#REF!,Z2754))</f>
        <v/>
      </c>
      <c r="AD2754" t="str">
        <f>IF(A2754="","",IF(AC2754&gt;1,"REVISAR DUPLICADO",IF(AA2754&lt;&gt;"","ACTUALIZADO POR EYR","SIN REPORTE EYR")))</f>
        <v/>
      </c>
    </row>
    <row r="2755" spans="11:30" x14ac:dyDescent="0.3">
      <c r="K2755" s="1" t="str">
        <f ca="1">IF(A2755="","",IF(OR(L2755="ENTREGADA",L2755="RETORNADA",L2755="ENTREGA DIGITAL"),0,MAX(0,5-NETWORKDAYS(H2755+1,TODAY()))))</f>
        <v/>
      </c>
      <c r="L2755" t="str">
        <f>IF(A2755="","",IFERROR(LOOKUP(2,1/(#REF!=Z2755),#REF!),Y2755))</f>
        <v/>
      </c>
      <c r="Z2755" t="str">
        <f>IF(A2755="","",TEXT(A2755,"0")&amp;"|"&amp;TEXT(H2755,"0"))</f>
        <v/>
      </c>
      <c r="AA2755" t="str">
        <f>IF(Z2755="","",IFERROR(LOOKUP(2,1/(#REF!=Z2755),#REF!),""))</f>
        <v/>
      </c>
      <c r="AB2755" t="str">
        <f>IF(Z2755="","",IFERROR(LOOKUP(2,1/(#REF!=Z2755),#REF!),""))</f>
        <v/>
      </c>
      <c r="AC2755" t="str">
        <f>IF(Z2755="","",COUNTIF(#REF!,Z2755))</f>
        <v/>
      </c>
      <c r="AD2755" t="str">
        <f>IF(A2755="","",IF(AC2755&gt;1,"REVISAR DUPLICADO",IF(AA2755&lt;&gt;"","ACTUALIZADO POR EYR","SIN REPORTE EYR")))</f>
        <v/>
      </c>
    </row>
    <row r="2756" spans="11:30" x14ac:dyDescent="0.3">
      <c r="K2756" s="1" t="str">
        <f ca="1">IF(A2756="","",IF(OR(L2756="ENTREGADA",L2756="RETORNADA",L2756="ENTREGA DIGITAL"),0,MAX(0,5-NETWORKDAYS(H2756+1,TODAY()))))</f>
        <v/>
      </c>
      <c r="L2756" t="str">
        <f>IF(A2756="","",IFERROR(LOOKUP(2,1/(#REF!=Z2756),#REF!),Y2756))</f>
        <v/>
      </c>
      <c r="Z2756" t="str">
        <f>IF(A2756="","",TEXT(A2756,"0")&amp;"|"&amp;TEXT(H2756,"0"))</f>
        <v/>
      </c>
      <c r="AA2756" t="str">
        <f>IF(Z2756="","",IFERROR(LOOKUP(2,1/(#REF!=Z2756),#REF!),""))</f>
        <v/>
      </c>
      <c r="AB2756" t="str">
        <f>IF(Z2756="","",IFERROR(LOOKUP(2,1/(#REF!=Z2756),#REF!),""))</f>
        <v/>
      </c>
      <c r="AC2756" t="str">
        <f>IF(Z2756="","",COUNTIF(#REF!,Z2756))</f>
        <v/>
      </c>
      <c r="AD2756" t="str">
        <f>IF(A2756="","",IF(AC2756&gt;1,"REVISAR DUPLICADO",IF(AA2756&lt;&gt;"","ACTUALIZADO POR EYR","SIN REPORTE EYR")))</f>
        <v/>
      </c>
    </row>
    <row r="2757" spans="11:30" x14ac:dyDescent="0.3">
      <c r="K2757" s="1" t="str">
        <f ca="1">IF(A2757="","",IF(OR(L2757="ENTREGADA",L2757="RETORNADA",L2757="ENTREGA DIGITAL"),0,MAX(0,5-NETWORKDAYS(H2757+1,TODAY()))))</f>
        <v/>
      </c>
      <c r="L2757" t="str">
        <f>IF(A2757="","",IFERROR(LOOKUP(2,1/(#REF!=Z2757),#REF!),Y2757))</f>
        <v/>
      </c>
      <c r="Z2757" t="str">
        <f>IF(A2757="","",TEXT(A2757,"0")&amp;"|"&amp;TEXT(H2757,"0"))</f>
        <v/>
      </c>
      <c r="AA2757" t="str">
        <f>IF(Z2757="","",IFERROR(LOOKUP(2,1/(#REF!=Z2757),#REF!),""))</f>
        <v/>
      </c>
      <c r="AB2757" t="str">
        <f>IF(Z2757="","",IFERROR(LOOKUP(2,1/(#REF!=Z2757),#REF!),""))</f>
        <v/>
      </c>
      <c r="AC2757" t="str">
        <f>IF(Z2757="","",COUNTIF(#REF!,Z2757))</f>
        <v/>
      </c>
      <c r="AD2757" t="str">
        <f>IF(A2757="","",IF(AC2757&gt;1,"REVISAR DUPLICADO",IF(AA2757&lt;&gt;"","ACTUALIZADO POR EYR","SIN REPORTE EYR")))</f>
        <v/>
      </c>
    </row>
    <row r="2758" spans="11:30" x14ac:dyDescent="0.3">
      <c r="K2758" s="1" t="str">
        <f ca="1">IF(A2758="","",IF(OR(L2758="ENTREGADA",L2758="RETORNADA",L2758="ENTREGA DIGITAL"),0,MAX(0,5-NETWORKDAYS(H2758+1,TODAY()))))</f>
        <v/>
      </c>
      <c r="L2758" t="str">
        <f>IF(A2758="","",IFERROR(LOOKUP(2,1/(#REF!=Z2758),#REF!),Y2758))</f>
        <v/>
      </c>
      <c r="Z2758" t="str">
        <f>IF(A2758="","",TEXT(A2758,"0")&amp;"|"&amp;TEXT(H2758,"0"))</f>
        <v/>
      </c>
      <c r="AA2758" t="str">
        <f>IF(Z2758="","",IFERROR(LOOKUP(2,1/(#REF!=Z2758),#REF!),""))</f>
        <v/>
      </c>
      <c r="AB2758" t="str">
        <f>IF(Z2758="","",IFERROR(LOOKUP(2,1/(#REF!=Z2758),#REF!),""))</f>
        <v/>
      </c>
      <c r="AC2758" t="str">
        <f>IF(Z2758="","",COUNTIF(#REF!,Z2758))</f>
        <v/>
      </c>
      <c r="AD2758" t="str">
        <f>IF(A2758="","",IF(AC2758&gt;1,"REVISAR DUPLICADO",IF(AA2758&lt;&gt;"","ACTUALIZADO POR EYR","SIN REPORTE EYR")))</f>
        <v/>
      </c>
    </row>
    <row r="2759" spans="11:30" x14ac:dyDescent="0.3">
      <c r="K2759" s="1" t="str">
        <f ca="1">IF(A2759="","",IF(OR(L2759="ENTREGADA",L2759="RETORNADA",L2759="ENTREGA DIGITAL"),0,MAX(0,5-NETWORKDAYS(H2759+1,TODAY()))))</f>
        <v/>
      </c>
      <c r="L2759" t="str">
        <f>IF(A2759="","",IFERROR(LOOKUP(2,1/(#REF!=Z2759),#REF!),Y2759))</f>
        <v/>
      </c>
      <c r="Z2759" t="str">
        <f>IF(A2759="","",TEXT(A2759,"0")&amp;"|"&amp;TEXT(H2759,"0"))</f>
        <v/>
      </c>
      <c r="AA2759" t="str">
        <f>IF(Z2759="","",IFERROR(LOOKUP(2,1/(#REF!=Z2759),#REF!),""))</f>
        <v/>
      </c>
      <c r="AB2759" t="str">
        <f>IF(Z2759="","",IFERROR(LOOKUP(2,1/(#REF!=Z2759),#REF!),""))</f>
        <v/>
      </c>
      <c r="AC2759" t="str">
        <f>IF(Z2759="","",COUNTIF(#REF!,Z2759))</f>
        <v/>
      </c>
      <c r="AD2759" t="str">
        <f>IF(A2759="","",IF(AC2759&gt;1,"REVISAR DUPLICADO",IF(AA2759&lt;&gt;"","ACTUALIZADO POR EYR","SIN REPORTE EYR")))</f>
        <v/>
      </c>
    </row>
    <row r="2760" spans="11:30" x14ac:dyDescent="0.3">
      <c r="K2760" s="1" t="str">
        <f ca="1">IF(A2760="","",IF(OR(L2760="ENTREGADA",L2760="RETORNADA",L2760="ENTREGA DIGITAL"),0,MAX(0,5-NETWORKDAYS(H2760+1,TODAY()))))</f>
        <v/>
      </c>
      <c r="L2760" t="str">
        <f>IF(A2760="","",IFERROR(LOOKUP(2,1/(#REF!=Z2760),#REF!),Y2760))</f>
        <v/>
      </c>
      <c r="Z2760" t="str">
        <f>IF(A2760="","",TEXT(A2760,"0")&amp;"|"&amp;TEXT(H2760,"0"))</f>
        <v/>
      </c>
      <c r="AA2760" t="str">
        <f>IF(Z2760="","",IFERROR(LOOKUP(2,1/(#REF!=Z2760),#REF!),""))</f>
        <v/>
      </c>
      <c r="AB2760" t="str">
        <f>IF(Z2760="","",IFERROR(LOOKUP(2,1/(#REF!=Z2760),#REF!),""))</f>
        <v/>
      </c>
      <c r="AC2760" t="str">
        <f>IF(Z2760="","",COUNTIF(#REF!,Z2760))</f>
        <v/>
      </c>
      <c r="AD2760" t="str">
        <f>IF(A2760="","",IF(AC2760&gt;1,"REVISAR DUPLICADO",IF(AA2760&lt;&gt;"","ACTUALIZADO POR EYR","SIN REPORTE EYR")))</f>
        <v/>
      </c>
    </row>
    <row r="2761" spans="11:30" x14ac:dyDescent="0.3">
      <c r="K2761" s="1" t="str">
        <f ca="1">IF(A2761="","",IF(OR(L2761="ENTREGADA",L2761="RETORNADA",L2761="ENTREGA DIGITAL"),0,MAX(0,5-NETWORKDAYS(H2761+1,TODAY()))))</f>
        <v/>
      </c>
      <c r="L2761" t="str">
        <f>IF(A2761="","",IFERROR(LOOKUP(2,1/(#REF!=Z2761),#REF!),Y2761))</f>
        <v/>
      </c>
      <c r="Z2761" t="str">
        <f>IF(A2761="","",TEXT(A2761,"0")&amp;"|"&amp;TEXT(H2761,"0"))</f>
        <v/>
      </c>
      <c r="AA2761" t="str">
        <f>IF(Z2761="","",IFERROR(LOOKUP(2,1/(#REF!=Z2761),#REF!),""))</f>
        <v/>
      </c>
      <c r="AB2761" t="str">
        <f>IF(Z2761="","",IFERROR(LOOKUP(2,1/(#REF!=Z2761),#REF!),""))</f>
        <v/>
      </c>
      <c r="AC2761" t="str">
        <f>IF(Z2761="","",COUNTIF(#REF!,Z2761))</f>
        <v/>
      </c>
      <c r="AD2761" t="str">
        <f>IF(A2761="","",IF(AC2761&gt;1,"REVISAR DUPLICADO",IF(AA2761&lt;&gt;"","ACTUALIZADO POR EYR","SIN REPORTE EYR")))</f>
        <v/>
      </c>
    </row>
    <row r="2762" spans="11:30" x14ac:dyDescent="0.3">
      <c r="K2762" s="1" t="str">
        <f ca="1">IF(A2762="","",IF(OR(L2762="ENTREGADA",L2762="RETORNADA",L2762="ENTREGA DIGITAL"),0,MAX(0,5-NETWORKDAYS(H2762+1,TODAY()))))</f>
        <v/>
      </c>
      <c r="L2762" t="str">
        <f>IF(A2762="","",IFERROR(LOOKUP(2,1/(#REF!=Z2762),#REF!),Y2762))</f>
        <v/>
      </c>
      <c r="Z2762" t="str">
        <f>IF(A2762="","",TEXT(A2762,"0")&amp;"|"&amp;TEXT(H2762,"0"))</f>
        <v/>
      </c>
      <c r="AA2762" t="str">
        <f>IF(Z2762="","",IFERROR(LOOKUP(2,1/(#REF!=Z2762),#REF!),""))</f>
        <v/>
      </c>
      <c r="AB2762" t="str">
        <f>IF(Z2762="","",IFERROR(LOOKUP(2,1/(#REF!=Z2762),#REF!),""))</f>
        <v/>
      </c>
      <c r="AC2762" t="str">
        <f>IF(Z2762="","",COUNTIF(#REF!,Z2762))</f>
        <v/>
      </c>
      <c r="AD2762" t="str">
        <f>IF(A2762="","",IF(AC2762&gt;1,"REVISAR DUPLICADO",IF(AA2762&lt;&gt;"","ACTUALIZADO POR EYR","SIN REPORTE EYR")))</f>
        <v/>
      </c>
    </row>
    <row r="2763" spans="11:30" x14ac:dyDescent="0.3">
      <c r="K2763" s="1" t="str">
        <f ca="1">IF(A2763="","",IF(OR(L2763="ENTREGADA",L2763="RETORNADA",L2763="ENTREGA DIGITAL"),0,MAX(0,5-NETWORKDAYS(H2763+1,TODAY()))))</f>
        <v/>
      </c>
      <c r="L2763" t="str">
        <f>IF(A2763="","",IFERROR(LOOKUP(2,1/(#REF!=Z2763),#REF!),Y2763))</f>
        <v/>
      </c>
      <c r="Z2763" t="str">
        <f>IF(A2763="","",TEXT(A2763,"0")&amp;"|"&amp;TEXT(H2763,"0"))</f>
        <v/>
      </c>
      <c r="AA2763" t="str">
        <f>IF(Z2763="","",IFERROR(LOOKUP(2,1/(#REF!=Z2763),#REF!),""))</f>
        <v/>
      </c>
      <c r="AB2763" t="str">
        <f>IF(Z2763="","",IFERROR(LOOKUP(2,1/(#REF!=Z2763),#REF!),""))</f>
        <v/>
      </c>
      <c r="AC2763" t="str">
        <f>IF(Z2763="","",COUNTIF(#REF!,Z2763))</f>
        <v/>
      </c>
      <c r="AD2763" t="str">
        <f>IF(A2763="","",IF(AC2763&gt;1,"REVISAR DUPLICADO",IF(AA2763&lt;&gt;"","ACTUALIZADO POR EYR","SIN REPORTE EYR")))</f>
        <v/>
      </c>
    </row>
    <row r="2764" spans="11:30" x14ac:dyDescent="0.3">
      <c r="K2764" s="1" t="str">
        <f ca="1">IF(A2764="","",IF(OR(L2764="ENTREGADA",L2764="RETORNADA",L2764="ENTREGA DIGITAL"),0,MAX(0,5-NETWORKDAYS(H2764+1,TODAY()))))</f>
        <v/>
      </c>
      <c r="L2764" t="str">
        <f>IF(A2764="","",IFERROR(LOOKUP(2,1/(#REF!=Z2764),#REF!),Y2764))</f>
        <v/>
      </c>
      <c r="Z2764" t="str">
        <f>IF(A2764="","",TEXT(A2764,"0")&amp;"|"&amp;TEXT(H2764,"0"))</f>
        <v/>
      </c>
      <c r="AA2764" t="str">
        <f>IF(Z2764="","",IFERROR(LOOKUP(2,1/(#REF!=Z2764),#REF!),""))</f>
        <v/>
      </c>
      <c r="AB2764" t="str">
        <f>IF(Z2764="","",IFERROR(LOOKUP(2,1/(#REF!=Z2764),#REF!),""))</f>
        <v/>
      </c>
      <c r="AC2764" t="str">
        <f>IF(Z2764="","",COUNTIF(#REF!,Z2764))</f>
        <v/>
      </c>
      <c r="AD2764" t="str">
        <f>IF(A2764="","",IF(AC2764&gt;1,"REVISAR DUPLICADO",IF(AA2764&lt;&gt;"","ACTUALIZADO POR EYR","SIN REPORTE EYR")))</f>
        <v/>
      </c>
    </row>
    <row r="2765" spans="11:30" x14ac:dyDescent="0.3">
      <c r="K2765" s="1" t="str">
        <f ca="1">IF(A2765="","",IF(OR(L2765="ENTREGADA",L2765="RETORNADA",L2765="ENTREGA DIGITAL"),0,MAX(0,5-NETWORKDAYS(H2765+1,TODAY()))))</f>
        <v/>
      </c>
      <c r="L2765" t="str">
        <f>IF(A2765="","",IFERROR(LOOKUP(2,1/(#REF!=Z2765),#REF!),Y2765))</f>
        <v/>
      </c>
      <c r="Z2765" t="str">
        <f>IF(A2765="","",TEXT(A2765,"0")&amp;"|"&amp;TEXT(H2765,"0"))</f>
        <v/>
      </c>
      <c r="AA2765" t="str">
        <f>IF(Z2765="","",IFERROR(LOOKUP(2,1/(#REF!=Z2765),#REF!),""))</f>
        <v/>
      </c>
      <c r="AB2765" t="str">
        <f>IF(Z2765="","",IFERROR(LOOKUP(2,1/(#REF!=Z2765),#REF!),""))</f>
        <v/>
      </c>
      <c r="AC2765" t="str">
        <f>IF(Z2765="","",COUNTIF(#REF!,Z2765))</f>
        <v/>
      </c>
      <c r="AD2765" t="str">
        <f>IF(A2765="","",IF(AC2765&gt;1,"REVISAR DUPLICADO",IF(AA2765&lt;&gt;"","ACTUALIZADO POR EYR","SIN REPORTE EYR")))</f>
        <v/>
      </c>
    </row>
    <row r="2766" spans="11:30" x14ac:dyDescent="0.3">
      <c r="K2766" s="1" t="str">
        <f ca="1">IF(A2766="","",IF(OR(L2766="ENTREGADA",L2766="RETORNADA",L2766="ENTREGA DIGITAL"),0,MAX(0,5-NETWORKDAYS(H2766+1,TODAY()))))</f>
        <v/>
      </c>
      <c r="L2766" t="str">
        <f>IF(A2766="","",IFERROR(LOOKUP(2,1/(#REF!=Z2766),#REF!),Y2766))</f>
        <v/>
      </c>
      <c r="Z2766" t="str">
        <f>IF(A2766="","",TEXT(A2766,"0")&amp;"|"&amp;TEXT(H2766,"0"))</f>
        <v/>
      </c>
      <c r="AA2766" t="str">
        <f>IF(Z2766="","",IFERROR(LOOKUP(2,1/(#REF!=Z2766),#REF!),""))</f>
        <v/>
      </c>
      <c r="AB2766" t="str">
        <f>IF(Z2766="","",IFERROR(LOOKUP(2,1/(#REF!=Z2766),#REF!),""))</f>
        <v/>
      </c>
      <c r="AC2766" t="str">
        <f>IF(Z2766="","",COUNTIF(#REF!,Z2766))</f>
        <v/>
      </c>
      <c r="AD2766" t="str">
        <f>IF(A2766="","",IF(AC2766&gt;1,"REVISAR DUPLICADO",IF(AA2766&lt;&gt;"","ACTUALIZADO POR EYR","SIN REPORTE EYR")))</f>
        <v/>
      </c>
    </row>
    <row r="2767" spans="11:30" x14ac:dyDescent="0.3">
      <c r="K2767" s="1" t="str">
        <f ca="1">IF(A2767="","",IF(OR(L2767="ENTREGADA",L2767="RETORNADA",L2767="ENTREGA DIGITAL"),0,MAX(0,5-NETWORKDAYS(H2767+1,TODAY()))))</f>
        <v/>
      </c>
      <c r="L2767" t="str">
        <f>IF(A2767="","",IFERROR(LOOKUP(2,1/(#REF!=Z2767),#REF!),Y2767))</f>
        <v/>
      </c>
      <c r="Z2767" t="str">
        <f>IF(A2767="","",TEXT(A2767,"0")&amp;"|"&amp;TEXT(H2767,"0"))</f>
        <v/>
      </c>
      <c r="AA2767" t="str">
        <f>IF(Z2767="","",IFERROR(LOOKUP(2,1/(#REF!=Z2767),#REF!),""))</f>
        <v/>
      </c>
      <c r="AB2767" t="str">
        <f>IF(Z2767="","",IFERROR(LOOKUP(2,1/(#REF!=Z2767),#REF!),""))</f>
        <v/>
      </c>
      <c r="AC2767" t="str">
        <f>IF(Z2767="","",COUNTIF(#REF!,Z2767))</f>
        <v/>
      </c>
      <c r="AD2767" t="str">
        <f>IF(A2767="","",IF(AC2767&gt;1,"REVISAR DUPLICADO",IF(AA2767&lt;&gt;"","ACTUALIZADO POR EYR","SIN REPORTE EYR")))</f>
        <v/>
      </c>
    </row>
    <row r="2768" spans="11:30" x14ac:dyDescent="0.3">
      <c r="K2768" s="1" t="str">
        <f ca="1">IF(A2768="","",IF(OR(L2768="ENTREGADA",L2768="RETORNADA",L2768="ENTREGA DIGITAL"),0,MAX(0,5-NETWORKDAYS(H2768+1,TODAY()))))</f>
        <v/>
      </c>
      <c r="L2768" t="str">
        <f>IF(A2768="","",IFERROR(LOOKUP(2,1/(#REF!=Z2768),#REF!),Y2768))</f>
        <v/>
      </c>
      <c r="Z2768" t="str">
        <f>IF(A2768="","",TEXT(A2768,"0")&amp;"|"&amp;TEXT(H2768,"0"))</f>
        <v/>
      </c>
      <c r="AA2768" t="str">
        <f>IF(Z2768="","",IFERROR(LOOKUP(2,1/(#REF!=Z2768),#REF!),""))</f>
        <v/>
      </c>
      <c r="AB2768" t="str">
        <f>IF(Z2768="","",IFERROR(LOOKUP(2,1/(#REF!=Z2768),#REF!),""))</f>
        <v/>
      </c>
      <c r="AC2768" t="str">
        <f>IF(Z2768="","",COUNTIF(#REF!,Z2768))</f>
        <v/>
      </c>
      <c r="AD2768" t="str">
        <f>IF(A2768="","",IF(AC2768&gt;1,"REVISAR DUPLICADO",IF(AA2768&lt;&gt;"","ACTUALIZADO POR EYR","SIN REPORTE EYR")))</f>
        <v/>
      </c>
    </row>
    <row r="2769" spans="11:30" x14ac:dyDescent="0.3">
      <c r="K2769" s="1" t="str">
        <f ca="1">IF(A2769="","",IF(OR(L2769="ENTREGADA",L2769="RETORNADA",L2769="ENTREGA DIGITAL"),0,MAX(0,5-NETWORKDAYS(H2769+1,TODAY()))))</f>
        <v/>
      </c>
      <c r="L2769" t="str">
        <f>IF(A2769="","",IFERROR(LOOKUP(2,1/(#REF!=Z2769),#REF!),Y2769))</f>
        <v/>
      </c>
      <c r="Z2769" t="str">
        <f>IF(A2769="","",TEXT(A2769,"0")&amp;"|"&amp;TEXT(H2769,"0"))</f>
        <v/>
      </c>
      <c r="AA2769" t="str">
        <f>IF(Z2769="","",IFERROR(LOOKUP(2,1/(#REF!=Z2769),#REF!),""))</f>
        <v/>
      </c>
      <c r="AB2769" t="str">
        <f>IF(Z2769="","",IFERROR(LOOKUP(2,1/(#REF!=Z2769),#REF!),""))</f>
        <v/>
      </c>
      <c r="AC2769" t="str">
        <f>IF(Z2769="","",COUNTIF(#REF!,Z2769))</f>
        <v/>
      </c>
      <c r="AD2769" t="str">
        <f>IF(A2769="","",IF(AC2769&gt;1,"REVISAR DUPLICADO",IF(AA2769&lt;&gt;"","ACTUALIZADO POR EYR","SIN REPORTE EYR")))</f>
        <v/>
      </c>
    </row>
    <row r="2770" spans="11:30" x14ac:dyDescent="0.3">
      <c r="K2770" s="1" t="str">
        <f ca="1">IF(A2770="","",IF(OR(L2770="ENTREGADA",L2770="RETORNADA",L2770="ENTREGA DIGITAL"),0,MAX(0,5-NETWORKDAYS(H2770+1,TODAY()))))</f>
        <v/>
      </c>
      <c r="L2770" t="str">
        <f>IF(A2770="","",IFERROR(LOOKUP(2,1/(#REF!=Z2770),#REF!),Y2770))</f>
        <v/>
      </c>
      <c r="Z2770" t="str">
        <f>IF(A2770="","",TEXT(A2770,"0")&amp;"|"&amp;TEXT(H2770,"0"))</f>
        <v/>
      </c>
      <c r="AA2770" t="str">
        <f>IF(Z2770="","",IFERROR(LOOKUP(2,1/(#REF!=Z2770),#REF!),""))</f>
        <v/>
      </c>
      <c r="AB2770" t="str">
        <f>IF(Z2770="","",IFERROR(LOOKUP(2,1/(#REF!=Z2770),#REF!),""))</f>
        <v/>
      </c>
      <c r="AC2770" t="str">
        <f>IF(Z2770="","",COUNTIF(#REF!,Z2770))</f>
        <v/>
      </c>
      <c r="AD2770" t="str">
        <f>IF(A2770="","",IF(AC2770&gt;1,"REVISAR DUPLICADO",IF(AA2770&lt;&gt;"","ACTUALIZADO POR EYR","SIN REPORTE EYR")))</f>
        <v/>
      </c>
    </row>
    <row r="2771" spans="11:30" x14ac:dyDescent="0.3">
      <c r="K2771" s="1" t="str">
        <f ca="1">IF(A2771="","",IF(OR(L2771="ENTREGADA",L2771="RETORNADA",L2771="ENTREGA DIGITAL"),0,MAX(0,5-NETWORKDAYS(H2771+1,TODAY()))))</f>
        <v/>
      </c>
      <c r="L2771" t="str">
        <f>IF(A2771="","",IFERROR(LOOKUP(2,1/(#REF!=Z2771),#REF!),Y2771))</f>
        <v/>
      </c>
      <c r="Z2771" t="str">
        <f>IF(A2771="","",TEXT(A2771,"0")&amp;"|"&amp;TEXT(H2771,"0"))</f>
        <v/>
      </c>
      <c r="AA2771" t="str">
        <f>IF(Z2771="","",IFERROR(LOOKUP(2,1/(#REF!=Z2771),#REF!),""))</f>
        <v/>
      </c>
      <c r="AB2771" t="str">
        <f>IF(Z2771="","",IFERROR(LOOKUP(2,1/(#REF!=Z2771),#REF!),""))</f>
        <v/>
      </c>
      <c r="AC2771" t="str">
        <f>IF(Z2771="","",COUNTIF(#REF!,Z2771))</f>
        <v/>
      </c>
      <c r="AD2771" t="str">
        <f>IF(A2771="","",IF(AC2771&gt;1,"REVISAR DUPLICADO",IF(AA2771&lt;&gt;"","ACTUALIZADO POR EYR","SIN REPORTE EYR")))</f>
        <v/>
      </c>
    </row>
    <row r="2772" spans="11:30" x14ac:dyDescent="0.3">
      <c r="K2772" s="1" t="str">
        <f ca="1">IF(A2772="","",IF(OR(L2772="ENTREGADA",L2772="RETORNADA",L2772="ENTREGA DIGITAL"),0,MAX(0,5-NETWORKDAYS(H2772+1,TODAY()))))</f>
        <v/>
      </c>
      <c r="L2772" t="str">
        <f>IF(A2772="","",IFERROR(LOOKUP(2,1/(#REF!=Z2772),#REF!),Y2772))</f>
        <v/>
      </c>
      <c r="Z2772" t="str">
        <f>IF(A2772="","",TEXT(A2772,"0")&amp;"|"&amp;TEXT(H2772,"0"))</f>
        <v/>
      </c>
      <c r="AA2772" t="str">
        <f>IF(Z2772="","",IFERROR(LOOKUP(2,1/(#REF!=Z2772),#REF!),""))</f>
        <v/>
      </c>
      <c r="AB2772" t="str">
        <f>IF(Z2772="","",IFERROR(LOOKUP(2,1/(#REF!=Z2772),#REF!),""))</f>
        <v/>
      </c>
      <c r="AC2772" t="str">
        <f>IF(Z2772="","",COUNTIF(#REF!,Z2772))</f>
        <v/>
      </c>
      <c r="AD2772" t="str">
        <f>IF(A2772="","",IF(AC2772&gt;1,"REVISAR DUPLICADO",IF(AA2772&lt;&gt;"","ACTUALIZADO POR EYR","SIN REPORTE EYR")))</f>
        <v/>
      </c>
    </row>
    <row r="2773" spans="11:30" x14ac:dyDescent="0.3">
      <c r="K2773" s="1" t="str">
        <f ca="1">IF(A2773="","",IF(OR(L2773="ENTREGADA",L2773="RETORNADA",L2773="ENTREGA DIGITAL"),0,MAX(0,5-NETWORKDAYS(H2773+1,TODAY()))))</f>
        <v/>
      </c>
      <c r="L2773" t="str">
        <f>IF(A2773="","",IFERROR(LOOKUP(2,1/(#REF!=Z2773),#REF!),Y2773))</f>
        <v/>
      </c>
      <c r="Z2773" t="str">
        <f>IF(A2773="","",TEXT(A2773,"0")&amp;"|"&amp;TEXT(H2773,"0"))</f>
        <v/>
      </c>
      <c r="AA2773" t="str">
        <f>IF(Z2773="","",IFERROR(LOOKUP(2,1/(#REF!=Z2773),#REF!),""))</f>
        <v/>
      </c>
      <c r="AB2773" t="str">
        <f>IF(Z2773="","",IFERROR(LOOKUP(2,1/(#REF!=Z2773),#REF!),""))</f>
        <v/>
      </c>
      <c r="AC2773" t="str">
        <f>IF(Z2773="","",COUNTIF(#REF!,Z2773))</f>
        <v/>
      </c>
      <c r="AD2773" t="str">
        <f>IF(A2773="","",IF(AC2773&gt;1,"REVISAR DUPLICADO",IF(AA2773&lt;&gt;"","ACTUALIZADO POR EYR","SIN REPORTE EYR")))</f>
        <v/>
      </c>
    </row>
    <row r="2774" spans="11:30" x14ac:dyDescent="0.3">
      <c r="K2774" s="1" t="str">
        <f ca="1">IF(A2774="","",IF(OR(L2774="ENTREGADA",L2774="RETORNADA",L2774="ENTREGA DIGITAL"),0,MAX(0,5-NETWORKDAYS(H2774+1,TODAY()))))</f>
        <v/>
      </c>
      <c r="L2774" t="str">
        <f>IF(A2774="","",IFERROR(LOOKUP(2,1/(#REF!=Z2774),#REF!),Y2774))</f>
        <v/>
      </c>
      <c r="Z2774" t="str">
        <f>IF(A2774="","",TEXT(A2774,"0")&amp;"|"&amp;TEXT(H2774,"0"))</f>
        <v/>
      </c>
      <c r="AA2774" t="str">
        <f>IF(Z2774="","",IFERROR(LOOKUP(2,1/(#REF!=Z2774),#REF!),""))</f>
        <v/>
      </c>
      <c r="AB2774" t="str">
        <f>IF(Z2774="","",IFERROR(LOOKUP(2,1/(#REF!=Z2774),#REF!),""))</f>
        <v/>
      </c>
      <c r="AC2774" t="str">
        <f>IF(Z2774="","",COUNTIF(#REF!,Z2774))</f>
        <v/>
      </c>
      <c r="AD2774" t="str">
        <f>IF(A2774="","",IF(AC2774&gt;1,"REVISAR DUPLICADO",IF(AA2774&lt;&gt;"","ACTUALIZADO POR EYR","SIN REPORTE EYR")))</f>
        <v/>
      </c>
    </row>
    <row r="2775" spans="11:30" x14ac:dyDescent="0.3">
      <c r="K2775" s="1" t="str">
        <f ca="1">IF(A2775="","",IF(OR(L2775="ENTREGADA",L2775="RETORNADA",L2775="ENTREGA DIGITAL"),0,MAX(0,5-NETWORKDAYS(H2775+1,TODAY()))))</f>
        <v/>
      </c>
      <c r="L2775" t="str">
        <f>IF(A2775="","",IFERROR(LOOKUP(2,1/(#REF!=Z2775),#REF!),Y2775))</f>
        <v/>
      </c>
      <c r="Z2775" t="str">
        <f>IF(A2775="","",TEXT(A2775,"0")&amp;"|"&amp;TEXT(H2775,"0"))</f>
        <v/>
      </c>
      <c r="AA2775" t="str">
        <f>IF(Z2775="","",IFERROR(LOOKUP(2,1/(#REF!=Z2775),#REF!),""))</f>
        <v/>
      </c>
      <c r="AB2775" t="str">
        <f>IF(Z2775="","",IFERROR(LOOKUP(2,1/(#REF!=Z2775),#REF!),""))</f>
        <v/>
      </c>
      <c r="AC2775" t="str">
        <f>IF(Z2775="","",COUNTIF(#REF!,Z2775))</f>
        <v/>
      </c>
      <c r="AD2775" t="str">
        <f>IF(A2775="","",IF(AC2775&gt;1,"REVISAR DUPLICADO",IF(AA2775&lt;&gt;"","ACTUALIZADO POR EYR","SIN REPORTE EYR")))</f>
        <v/>
      </c>
    </row>
    <row r="2776" spans="11:30" x14ac:dyDescent="0.3">
      <c r="K2776" s="1" t="str">
        <f ca="1">IF(A2776="","",IF(OR(L2776="ENTREGADA",L2776="RETORNADA",L2776="ENTREGA DIGITAL"),0,MAX(0,5-NETWORKDAYS(H2776+1,TODAY()))))</f>
        <v/>
      </c>
      <c r="L2776" t="str">
        <f>IF(A2776="","",IFERROR(LOOKUP(2,1/(#REF!=Z2776),#REF!),Y2776))</f>
        <v/>
      </c>
      <c r="Z2776" t="str">
        <f>IF(A2776="","",TEXT(A2776,"0")&amp;"|"&amp;TEXT(H2776,"0"))</f>
        <v/>
      </c>
      <c r="AA2776" t="str">
        <f>IF(Z2776="","",IFERROR(LOOKUP(2,1/(#REF!=Z2776),#REF!),""))</f>
        <v/>
      </c>
      <c r="AB2776" t="str">
        <f>IF(Z2776="","",IFERROR(LOOKUP(2,1/(#REF!=Z2776),#REF!),""))</f>
        <v/>
      </c>
      <c r="AC2776" t="str">
        <f>IF(Z2776="","",COUNTIF(#REF!,Z2776))</f>
        <v/>
      </c>
      <c r="AD2776" t="str">
        <f>IF(A2776="","",IF(AC2776&gt;1,"REVISAR DUPLICADO",IF(AA2776&lt;&gt;"","ACTUALIZADO POR EYR","SIN REPORTE EYR")))</f>
        <v/>
      </c>
    </row>
    <row r="2777" spans="11:30" x14ac:dyDescent="0.3">
      <c r="K2777" s="1" t="str">
        <f ca="1">IF(A2777="","",IF(OR(L2777="ENTREGADA",L2777="RETORNADA",L2777="ENTREGA DIGITAL"),0,MAX(0,5-NETWORKDAYS(H2777+1,TODAY()))))</f>
        <v/>
      </c>
      <c r="L2777" t="str">
        <f>IF(A2777="","",IFERROR(LOOKUP(2,1/(#REF!=Z2777),#REF!),Y2777))</f>
        <v/>
      </c>
      <c r="Z2777" t="str">
        <f>IF(A2777="","",TEXT(A2777,"0")&amp;"|"&amp;TEXT(H2777,"0"))</f>
        <v/>
      </c>
      <c r="AA2777" t="str">
        <f>IF(Z2777="","",IFERROR(LOOKUP(2,1/(#REF!=Z2777),#REF!),""))</f>
        <v/>
      </c>
      <c r="AB2777" t="str">
        <f>IF(Z2777="","",IFERROR(LOOKUP(2,1/(#REF!=Z2777),#REF!),""))</f>
        <v/>
      </c>
      <c r="AC2777" t="str">
        <f>IF(Z2777="","",COUNTIF(#REF!,Z2777))</f>
        <v/>
      </c>
      <c r="AD2777" t="str">
        <f>IF(A2777="","",IF(AC2777&gt;1,"REVISAR DUPLICADO",IF(AA2777&lt;&gt;"","ACTUALIZADO POR EYR","SIN REPORTE EYR")))</f>
        <v/>
      </c>
    </row>
    <row r="2778" spans="11:30" x14ac:dyDescent="0.3">
      <c r="K2778" s="1" t="str">
        <f ca="1">IF(A2778="","",IF(OR(L2778="ENTREGADA",L2778="RETORNADA",L2778="ENTREGA DIGITAL"),0,MAX(0,5-NETWORKDAYS(H2778+1,TODAY()))))</f>
        <v/>
      </c>
      <c r="L2778" t="str">
        <f>IF(A2778="","",IFERROR(LOOKUP(2,1/(#REF!=Z2778),#REF!),Y2778))</f>
        <v/>
      </c>
      <c r="Z2778" t="str">
        <f>IF(A2778="","",TEXT(A2778,"0")&amp;"|"&amp;TEXT(H2778,"0"))</f>
        <v/>
      </c>
      <c r="AA2778" t="str">
        <f>IF(Z2778="","",IFERROR(LOOKUP(2,1/(#REF!=Z2778),#REF!),""))</f>
        <v/>
      </c>
      <c r="AB2778" t="str">
        <f>IF(Z2778="","",IFERROR(LOOKUP(2,1/(#REF!=Z2778),#REF!),""))</f>
        <v/>
      </c>
      <c r="AC2778" t="str">
        <f>IF(Z2778="","",COUNTIF(#REF!,Z2778))</f>
        <v/>
      </c>
      <c r="AD2778" t="str">
        <f>IF(A2778="","",IF(AC2778&gt;1,"REVISAR DUPLICADO",IF(AA2778&lt;&gt;"","ACTUALIZADO POR EYR","SIN REPORTE EYR")))</f>
        <v/>
      </c>
    </row>
    <row r="2779" spans="11:30" x14ac:dyDescent="0.3">
      <c r="K2779" s="1" t="str">
        <f ca="1">IF(A2779="","",IF(OR(L2779="ENTREGADA",L2779="RETORNADA",L2779="ENTREGA DIGITAL"),0,MAX(0,5-NETWORKDAYS(H2779+1,TODAY()))))</f>
        <v/>
      </c>
      <c r="L2779" t="str">
        <f>IF(A2779="","",IFERROR(LOOKUP(2,1/(#REF!=Z2779),#REF!),Y2779))</f>
        <v/>
      </c>
      <c r="Z2779" t="str">
        <f>IF(A2779="","",TEXT(A2779,"0")&amp;"|"&amp;TEXT(H2779,"0"))</f>
        <v/>
      </c>
      <c r="AA2779" t="str">
        <f>IF(Z2779="","",IFERROR(LOOKUP(2,1/(#REF!=Z2779),#REF!),""))</f>
        <v/>
      </c>
      <c r="AB2779" t="str">
        <f>IF(Z2779="","",IFERROR(LOOKUP(2,1/(#REF!=Z2779),#REF!),""))</f>
        <v/>
      </c>
      <c r="AC2779" t="str">
        <f>IF(Z2779="","",COUNTIF(#REF!,Z2779))</f>
        <v/>
      </c>
      <c r="AD2779" t="str">
        <f>IF(A2779="","",IF(AC2779&gt;1,"REVISAR DUPLICADO",IF(AA2779&lt;&gt;"","ACTUALIZADO POR EYR","SIN REPORTE EYR")))</f>
        <v/>
      </c>
    </row>
    <row r="2780" spans="11:30" x14ac:dyDescent="0.3">
      <c r="K2780" s="1" t="str">
        <f ca="1">IF(A2780="","",IF(OR(L2780="ENTREGADA",L2780="RETORNADA",L2780="ENTREGA DIGITAL"),0,MAX(0,5-NETWORKDAYS(H2780+1,TODAY()))))</f>
        <v/>
      </c>
      <c r="L2780" t="str">
        <f>IF(A2780="","",IFERROR(LOOKUP(2,1/(#REF!=Z2780),#REF!),Y2780))</f>
        <v/>
      </c>
      <c r="Z2780" t="str">
        <f>IF(A2780="","",TEXT(A2780,"0")&amp;"|"&amp;TEXT(H2780,"0"))</f>
        <v/>
      </c>
      <c r="AA2780" t="str">
        <f>IF(Z2780="","",IFERROR(LOOKUP(2,1/(#REF!=Z2780),#REF!),""))</f>
        <v/>
      </c>
      <c r="AB2780" t="str">
        <f>IF(Z2780="","",IFERROR(LOOKUP(2,1/(#REF!=Z2780),#REF!),""))</f>
        <v/>
      </c>
      <c r="AC2780" t="str">
        <f>IF(Z2780="","",COUNTIF(#REF!,Z2780))</f>
        <v/>
      </c>
      <c r="AD2780" t="str">
        <f>IF(A2780="","",IF(AC2780&gt;1,"REVISAR DUPLICADO",IF(AA2780&lt;&gt;"","ACTUALIZADO POR EYR","SIN REPORTE EYR")))</f>
        <v/>
      </c>
    </row>
    <row r="2781" spans="11:30" x14ac:dyDescent="0.3">
      <c r="K2781" s="1" t="str">
        <f ca="1">IF(A2781="","",IF(OR(L2781="ENTREGADA",L2781="RETORNADA",L2781="ENTREGA DIGITAL"),0,MAX(0,5-NETWORKDAYS(H2781+1,TODAY()))))</f>
        <v/>
      </c>
      <c r="L2781" t="str">
        <f>IF(A2781="","",IFERROR(LOOKUP(2,1/(#REF!=Z2781),#REF!),Y2781))</f>
        <v/>
      </c>
      <c r="Z2781" t="str">
        <f>IF(A2781="","",TEXT(A2781,"0")&amp;"|"&amp;TEXT(H2781,"0"))</f>
        <v/>
      </c>
      <c r="AA2781" t="str">
        <f>IF(Z2781="","",IFERROR(LOOKUP(2,1/(#REF!=Z2781),#REF!),""))</f>
        <v/>
      </c>
      <c r="AB2781" t="str">
        <f>IF(Z2781="","",IFERROR(LOOKUP(2,1/(#REF!=Z2781),#REF!),""))</f>
        <v/>
      </c>
      <c r="AC2781" t="str">
        <f>IF(Z2781="","",COUNTIF(#REF!,Z2781))</f>
        <v/>
      </c>
      <c r="AD2781" t="str">
        <f>IF(A2781="","",IF(AC2781&gt;1,"REVISAR DUPLICADO",IF(AA2781&lt;&gt;"","ACTUALIZADO POR EYR","SIN REPORTE EYR")))</f>
        <v/>
      </c>
    </row>
    <row r="2782" spans="11:30" x14ac:dyDescent="0.3">
      <c r="K2782" s="1" t="str">
        <f ca="1">IF(A2782="","",IF(OR(L2782="ENTREGADA",L2782="RETORNADA",L2782="ENTREGA DIGITAL"),0,MAX(0,5-NETWORKDAYS(H2782+1,TODAY()))))</f>
        <v/>
      </c>
      <c r="L2782" t="str">
        <f>IF(A2782="","",IFERROR(LOOKUP(2,1/(#REF!=Z2782),#REF!),Y2782))</f>
        <v/>
      </c>
      <c r="Z2782" t="str">
        <f>IF(A2782="","",TEXT(A2782,"0")&amp;"|"&amp;TEXT(H2782,"0"))</f>
        <v/>
      </c>
      <c r="AA2782" t="str">
        <f>IF(Z2782="","",IFERROR(LOOKUP(2,1/(#REF!=Z2782),#REF!),""))</f>
        <v/>
      </c>
      <c r="AB2782" t="str">
        <f>IF(Z2782="","",IFERROR(LOOKUP(2,1/(#REF!=Z2782),#REF!),""))</f>
        <v/>
      </c>
      <c r="AC2782" t="str">
        <f>IF(Z2782="","",COUNTIF(#REF!,Z2782))</f>
        <v/>
      </c>
      <c r="AD2782" t="str">
        <f>IF(A2782="","",IF(AC2782&gt;1,"REVISAR DUPLICADO",IF(AA2782&lt;&gt;"","ACTUALIZADO POR EYR","SIN REPORTE EYR")))</f>
        <v/>
      </c>
    </row>
    <row r="2783" spans="11:30" x14ac:dyDescent="0.3">
      <c r="K2783" s="1" t="str">
        <f ca="1">IF(A2783="","",IF(OR(L2783="ENTREGADA",L2783="RETORNADA",L2783="ENTREGA DIGITAL"),0,MAX(0,5-NETWORKDAYS(H2783+1,TODAY()))))</f>
        <v/>
      </c>
      <c r="L2783" t="str">
        <f>IF(A2783="","",IFERROR(LOOKUP(2,1/(#REF!=Z2783),#REF!),Y2783))</f>
        <v/>
      </c>
      <c r="Z2783" t="str">
        <f>IF(A2783="","",TEXT(A2783,"0")&amp;"|"&amp;TEXT(H2783,"0"))</f>
        <v/>
      </c>
      <c r="AA2783" t="str">
        <f>IF(Z2783="","",IFERROR(LOOKUP(2,1/(#REF!=Z2783),#REF!),""))</f>
        <v/>
      </c>
      <c r="AB2783" t="str">
        <f>IF(Z2783="","",IFERROR(LOOKUP(2,1/(#REF!=Z2783),#REF!),""))</f>
        <v/>
      </c>
      <c r="AC2783" t="str">
        <f>IF(Z2783="","",COUNTIF(#REF!,Z2783))</f>
        <v/>
      </c>
      <c r="AD2783" t="str">
        <f>IF(A2783="","",IF(AC2783&gt;1,"REVISAR DUPLICADO",IF(AA2783&lt;&gt;"","ACTUALIZADO POR EYR","SIN REPORTE EYR")))</f>
        <v/>
      </c>
    </row>
    <row r="2784" spans="11:30" x14ac:dyDescent="0.3">
      <c r="K2784" s="1" t="str">
        <f ca="1">IF(A2784="","",IF(OR(L2784="ENTREGADA",L2784="RETORNADA",L2784="ENTREGA DIGITAL"),0,MAX(0,5-NETWORKDAYS(H2784+1,TODAY()))))</f>
        <v/>
      </c>
      <c r="L2784" t="str">
        <f>IF(A2784="","",IFERROR(LOOKUP(2,1/(#REF!=Z2784),#REF!),Y2784))</f>
        <v/>
      </c>
      <c r="Z2784" t="str">
        <f>IF(A2784="","",TEXT(A2784,"0")&amp;"|"&amp;TEXT(H2784,"0"))</f>
        <v/>
      </c>
      <c r="AA2784" t="str">
        <f>IF(Z2784="","",IFERROR(LOOKUP(2,1/(#REF!=Z2784),#REF!),""))</f>
        <v/>
      </c>
      <c r="AB2784" t="str">
        <f>IF(Z2784="","",IFERROR(LOOKUP(2,1/(#REF!=Z2784),#REF!),""))</f>
        <v/>
      </c>
      <c r="AC2784" t="str">
        <f>IF(Z2784="","",COUNTIF(#REF!,Z2784))</f>
        <v/>
      </c>
      <c r="AD2784" t="str">
        <f>IF(A2784="","",IF(AC2784&gt;1,"REVISAR DUPLICADO",IF(AA2784&lt;&gt;"","ACTUALIZADO POR EYR","SIN REPORTE EYR")))</f>
        <v/>
      </c>
    </row>
    <row r="2785" spans="11:30" x14ac:dyDescent="0.3">
      <c r="K2785" s="1" t="str">
        <f ca="1">IF(A2785="","",IF(OR(L2785="ENTREGADA",L2785="RETORNADA",L2785="ENTREGA DIGITAL"),0,MAX(0,5-NETWORKDAYS(H2785+1,TODAY()))))</f>
        <v/>
      </c>
      <c r="L2785" t="str">
        <f>IF(A2785="","",IFERROR(LOOKUP(2,1/(#REF!=Z2785),#REF!),Y2785))</f>
        <v/>
      </c>
      <c r="Z2785" t="str">
        <f>IF(A2785="","",TEXT(A2785,"0")&amp;"|"&amp;TEXT(H2785,"0"))</f>
        <v/>
      </c>
      <c r="AA2785" t="str">
        <f>IF(Z2785="","",IFERROR(LOOKUP(2,1/(#REF!=Z2785),#REF!),""))</f>
        <v/>
      </c>
      <c r="AB2785" t="str">
        <f>IF(Z2785="","",IFERROR(LOOKUP(2,1/(#REF!=Z2785),#REF!),""))</f>
        <v/>
      </c>
      <c r="AC2785" t="str">
        <f>IF(Z2785="","",COUNTIF(#REF!,Z2785))</f>
        <v/>
      </c>
      <c r="AD2785" t="str">
        <f>IF(A2785="","",IF(AC2785&gt;1,"REVISAR DUPLICADO",IF(AA2785&lt;&gt;"","ACTUALIZADO POR EYR","SIN REPORTE EYR")))</f>
        <v/>
      </c>
    </row>
    <row r="2786" spans="11:30" x14ac:dyDescent="0.3">
      <c r="K2786" s="1" t="str">
        <f ca="1">IF(A2786="","",IF(OR(L2786="ENTREGADA",L2786="RETORNADA",L2786="ENTREGA DIGITAL"),0,MAX(0,5-NETWORKDAYS(H2786+1,TODAY()))))</f>
        <v/>
      </c>
      <c r="L2786" t="str">
        <f>IF(A2786="","",IFERROR(LOOKUP(2,1/(#REF!=Z2786),#REF!),Y2786))</f>
        <v/>
      </c>
      <c r="Z2786" t="str">
        <f>IF(A2786="","",TEXT(A2786,"0")&amp;"|"&amp;TEXT(H2786,"0"))</f>
        <v/>
      </c>
      <c r="AA2786" t="str">
        <f>IF(Z2786="","",IFERROR(LOOKUP(2,1/(#REF!=Z2786),#REF!),""))</f>
        <v/>
      </c>
      <c r="AB2786" t="str">
        <f>IF(Z2786="","",IFERROR(LOOKUP(2,1/(#REF!=Z2786),#REF!),""))</f>
        <v/>
      </c>
      <c r="AC2786" t="str">
        <f>IF(Z2786="","",COUNTIF(#REF!,Z2786))</f>
        <v/>
      </c>
      <c r="AD2786" t="str">
        <f>IF(A2786="","",IF(AC2786&gt;1,"REVISAR DUPLICADO",IF(AA2786&lt;&gt;"","ACTUALIZADO POR EYR","SIN REPORTE EYR")))</f>
        <v/>
      </c>
    </row>
    <row r="2787" spans="11:30" x14ac:dyDescent="0.3">
      <c r="K2787" s="1" t="str">
        <f ca="1">IF(A2787="","",IF(OR(L2787="ENTREGADA",L2787="RETORNADA",L2787="ENTREGA DIGITAL"),0,MAX(0,5-NETWORKDAYS(H2787+1,TODAY()))))</f>
        <v/>
      </c>
      <c r="L2787" t="str">
        <f>IF(A2787="","",IFERROR(LOOKUP(2,1/(#REF!=Z2787),#REF!),Y2787))</f>
        <v/>
      </c>
      <c r="Z2787" t="str">
        <f>IF(A2787="","",TEXT(A2787,"0")&amp;"|"&amp;TEXT(H2787,"0"))</f>
        <v/>
      </c>
      <c r="AA2787" t="str">
        <f>IF(Z2787="","",IFERROR(LOOKUP(2,1/(#REF!=Z2787),#REF!),""))</f>
        <v/>
      </c>
      <c r="AB2787" t="str">
        <f>IF(Z2787="","",IFERROR(LOOKUP(2,1/(#REF!=Z2787),#REF!),""))</f>
        <v/>
      </c>
      <c r="AC2787" t="str">
        <f>IF(Z2787="","",COUNTIF(#REF!,Z2787))</f>
        <v/>
      </c>
      <c r="AD2787" t="str">
        <f>IF(A2787="","",IF(AC2787&gt;1,"REVISAR DUPLICADO",IF(AA2787&lt;&gt;"","ACTUALIZADO POR EYR","SIN REPORTE EYR")))</f>
        <v/>
      </c>
    </row>
    <row r="2788" spans="11:30" x14ac:dyDescent="0.3">
      <c r="K2788" s="1" t="str">
        <f ca="1">IF(A2788="","",IF(OR(L2788="ENTREGADA",L2788="RETORNADA",L2788="ENTREGA DIGITAL"),0,MAX(0,5-NETWORKDAYS(H2788+1,TODAY()))))</f>
        <v/>
      </c>
      <c r="L2788" t="str">
        <f>IF(A2788="","",IFERROR(LOOKUP(2,1/(#REF!=Z2788),#REF!),Y2788))</f>
        <v/>
      </c>
      <c r="Z2788" t="str">
        <f>IF(A2788="","",TEXT(A2788,"0")&amp;"|"&amp;TEXT(H2788,"0"))</f>
        <v/>
      </c>
      <c r="AA2788" t="str">
        <f>IF(Z2788="","",IFERROR(LOOKUP(2,1/(#REF!=Z2788),#REF!),""))</f>
        <v/>
      </c>
      <c r="AB2788" t="str">
        <f>IF(Z2788="","",IFERROR(LOOKUP(2,1/(#REF!=Z2788),#REF!),""))</f>
        <v/>
      </c>
      <c r="AC2788" t="str">
        <f>IF(Z2788="","",COUNTIF(#REF!,Z2788))</f>
        <v/>
      </c>
      <c r="AD2788" t="str">
        <f>IF(A2788="","",IF(AC2788&gt;1,"REVISAR DUPLICADO",IF(AA2788&lt;&gt;"","ACTUALIZADO POR EYR","SIN REPORTE EYR")))</f>
        <v/>
      </c>
    </row>
    <row r="2789" spans="11:30" x14ac:dyDescent="0.3">
      <c r="K2789" s="1" t="str">
        <f ca="1">IF(A2789="","",IF(OR(L2789="ENTREGADA",L2789="RETORNADA",L2789="ENTREGA DIGITAL"),0,MAX(0,5-NETWORKDAYS(H2789+1,TODAY()))))</f>
        <v/>
      </c>
      <c r="L2789" t="str">
        <f>IF(A2789="","",IFERROR(LOOKUP(2,1/(#REF!=Z2789),#REF!),Y2789))</f>
        <v/>
      </c>
      <c r="Z2789" t="str">
        <f>IF(A2789="","",TEXT(A2789,"0")&amp;"|"&amp;TEXT(H2789,"0"))</f>
        <v/>
      </c>
      <c r="AA2789" t="str">
        <f>IF(Z2789="","",IFERROR(LOOKUP(2,1/(#REF!=Z2789),#REF!),""))</f>
        <v/>
      </c>
      <c r="AB2789" t="str">
        <f>IF(Z2789="","",IFERROR(LOOKUP(2,1/(#REF!=Z2789),#REF!),""))</f>
        <v/>
      </c>
      <c r="AC2789" t="str">
        <f>IF(Z2789="","",COUNTIF(#REF!,Z2789))</f>
        <v/>
      </c>
      <c r="AD2789" t="str">
        <f>IF(A2789="","",IF(AC2789&gt;1,"REVISAR DUPLICADO",IF(AA2789&lt;&gt;"","ACTUALIZADO POR EYR","SIN REPORTE EYR")))</f>
        <v/>
      </c>
    </row>
    <row r="2790" spans="11:30" x14ac:dyDescent="0.3">
      <c r="K2790" s="1" t="str">
        <f ca="1">IF(A2790="","",IF(OR(L2790="ENTREGADA",L2790="RETORNADA",L2790="ENTREGA DIGITAL"),0,MAX(0,5-NETWORKDAYS(H2790+1,TODAY()))))</f>
        <v/>
      </c>
      <c r="L2790" t="str">
        <f>IF(A2790="","",IFERROR(LOOKUP(2,1/(#REF!=Z2790),#REF!),Y2790))</f>
        <v/>
      </c>
      <c r="Z2790" t="str">
        <f>IF(A2790="","",TEXT(A2790,"0")&amp;"|"&amp;TEXT(H2790,"0"))</f>
        <v/>
      </c>
      <c r="AA2790" t="str">
        <f>IF(Z2790="","",IFERROR(LOOKUP(2,1/(#REF!=Z2790),#REF!),""))</f>
        <v/>
      </c>
      <c r="AB2790" t="str">
        <f>IF(Z2790="","",IFERROR(LOOKUP(2,1/(#REF!=Z2790),#REF!),""))</f>
        <v/>
      </c>
      <c r="AC2790" t="str">
        <f>IF(Z2790="","",COUNTIF(#REF!,Z2790))</f>
        <v/>
      </c>
      <c r="AD2790" t="str">
        <f>IF(A2790="","",IF(AC2790&gt;1,"REVISAR DUPLICADO",IF(AA2790&lt;&gt;"","ACTUALIZADO POR EYR","SIN REPORTE EYR")))</f>
        <v/>
      </c>
    </row>
    <row r="2791" spans="11:30" x14ac:dyDescent="0.3">
      <c r="K2791" s="1" t="str">
        <f ca="1">IF(A2791="","",IF(OR(L2791="ENTREGADA",L2791="RETORNADA",L2791="ENTREGA DIGITAL"),0,MAX(0,5-NETWORKDAYS(H2791+1,TODAY()))))</f>
        <v/>
      </c>
      <c r="L2791" t="str">
        <f>IF(A2791="","",IFERROR(LOOKUP(2,1/(#REF!=Z2791),#REF!),Y2791))</f>
        <v/>
      </c>
      <c r="Z2791" t="str">
        <f>IF(A2791="","",TEXT(A2791,"0")&amp;"|"&amp;TEXT(H2791,"0"))</f>
        <v/>
      </c>
      <c r="AA2791" t="str">
        <f>IF(Z2791="","",IFERROR(LOOKUP(2,1/(#REF!=Z2791),#REF!),""))</f>
        <v/>
      </c>
      <c r="AB2791" t="str">
        <f>IF(Z2791="","",IFERROR(LOOKUP(2,1/(#REF!=Z2791),#REF!),""))</f>
        <v/>
      </c>
      <c r="AC2791" t="str">
        <f>IF(Z2791="","",COUNTIF(#REF!,Z2791))</f>
        <v/>
      </c>
      <c r="AD2791" t="str">
        <f>IF(A2791="","",IF(AC2791&gt;1,"REVISAR DUPLICADO",IF(AA2791&lt;&gt;"","ACTUALIZADO POR EYR","SIN REPORTE EYR")))</f>
        <v/>
      </c>
    </row>
    <row r="2792" spans="11:30" x14ac:dyDescent="0.3">
      <c r="K2792" s="1" t="str">
        <f ca="1">IF(A2792="","",IF(OR(L2792="ENTREGADA",L2792="RETORNADA",L2792="ENTREGA DIGITAL"),0,MAX(0,5-NETWORKDAYS(H2792+1,TODAY()))))</f>
        <v/>
      </c>
      <c r="L2792" t="str">
        <f>IF(A2792="","",IFERROR(LOOKUP(2,1/(#REF!=Z2792),#REF!),Y2792))</f>
        <v/>
      </c>
      <c r="Z2792" t="str">
        <f>IF(A2792="","",TEXT(A2792,"0")&amp;"|"&amp;TEXT(H2792,"0"))</f>
        <v/>
      </c>
      <c r="AA2792" t="str">
        <f>IF(Z2792="","",IFERROR(LOOKUP(2,1/(#REF!=Z2792),#REF!),""))</f>
        <v/>
      </c>
      <c r="AB2792" t="str">
        <f>IF(Z2792="","",IFERROR(LOOKUP(2,1/(#REF!=Z2792),#REF!),""))</f>
        <v/>
      </c>
      <c r="AC2792" t="str">
        <f>IF(Z2792="","",COUNTIF(#REF!,Z2792))</f>
        <v/>
      </c>
      <c r="AD2792" t="str">
        <f>IF(A2792="","",IF(AC2792&gt;1,"REVISAR DUPLICADO",IF(AA2792&lt;&gt;"","ACTUALIZADO POR EYR","SIN REPORTE EYR")))</f>
        <v/>
      </c>
    </row>
    <row r="2793" spans="11:30" x14ac:dyDescent="0.3">
      <c r="K2793" s="1" t="str">
        <f ca="1">IF(A2793="","",IF(OR(L2793="ENTREGADA",L2793="RETORNADA",L2793="ENTREGA DIGITAL"),0,MAX(0,5-NETWORKDAYS(H2793+1,TODAY()))))</f>
        <v/>
      </c>
      <c r="L2793" t="str">
        <f>IF(A2793="","",IFERROR(LOOKUP(2,1/(#REF!=Z2793),#REF!),Y2793))</f>
        <v/>
      </c>
      <c r="Z2793" t="str">
        <f>IF(A2793="","",TEXT(A2793,"0")&amp;"|"&amp;TEXT(H2793,"0"))</f>
        <v/>
      </c>
      <c r="AA2793" t="str">
        <f>IF(Z2793="","",IFERROR(LOOKUP(2,1/(#REF!=Z2793),#REF!),""))</f>
        <v/>
      </c>
      <c r="AB2793" t="str">
        <f>IF(Z2793="","",IFERROR(LOOKUP(2,1/(#REF!=Z2793),#REF!),""))</f>
        <v/>
      </c>
      <c r="AC2793" t="str">
        <f>IF(Z2793="","",COUNTIF(#REF!,Z2793))</f>
        <v/>
      </c>
      <c r="AD2793" t="str">
        <f>IF(A2793="","",IF(AC2793&gt;1,"REVISAR DUPLICADO",IF(AA2793&lt;&gt;"","ACTUALIZADO POR EYR","SIN REPORTE EYR")))</f>
        <v/>
      </c>
    </row>
    <row r="2794" spans="11:30" x14ac:dyDescent="0.3">
      <c r="K2794" s="1" t="str">
        <f ca="1">IF(A2794="","",IF(OR(L2794="ENTREGADA",L2794="RETORNADA",L2794="ENTREGA DIGITAL"),0,MAX(0,5-NETWORKDAYS(H2794+1,TODAY()))))</f>
        <v/>
      </c>
      <c r="L2794" t="str">
        <f>IF(A2794="","",IFERROR(LOOKUP(2,1/(#REF!=Z2794),#REF!),Y2794))</f>
        <v/>
      </c>
      <c r="Z2794" t="str">
        <f>IF(A2794="","",TEXT(A2794,"0")&amp;"|"&amp;TEXT(H2794,"0"))</f>
        <v/>
      </c>
      <c r="AA2794" t="str">
        <f>IF(Z2794="","",IFERROR(LOOKUP(2,1/(#REF!=Z2794),#REF!),""))</f>
        <v/>
      </c>
      <c r="AB2794" t="str">
        <f>IF(Z2794="","",IFERROR(LOOKUP(2,1/(#REF!=Z2794),#REF!),""))</f>
        <v/>
      </c>
      <c r="AC2794" t="str">
        <f>IF(Z2794="","",COUNTIF(#REF!,Z2794))</f>
        <v/>
      </c>
      <c r="AD2794" t="str">
        <f>IF(A2794="","",IF(AC2794&gt;1,"REVISAR DUPLICADO",IF(AA2794&lt;&gt;"","ACTUALIZADO POR EYR","SIN REPORTE EYR")))</f>
        <v/>
      </c>
    </row>
    <row r="2795" spans="11:30" x14ac:dyDescent="0.3">
      <c r="K2795" s="1" t="str">
        <f ca="1">IF(A2795="","",IF(OR(L2795="ENTREGADA",L2795="RETORNADA",L2795="ENTREGA DIGITAL"),0,MAX(0,5-NETWORKDAYS(H2795+1,TODAY()))))</f>
        <v/>
      </c>
      <c r="L2795" t="str">
        <f>IF(A2795="","",IFERROR(LOOKUP(2,1/(#REF!=Z2795),#REF!),Y2795))</f>
        <v/>
      </c>
      <c r="Z2795" t="str">
        <f>IF(A2795="","",TEXT(A2795,"0")&amp;"|"&amp;TEXT(H2795,"0"))</f>
        <v/>
      </c>
      <c r="AA2795" t="str">
        <f>IF(Z2795="","",IFERROR(LOOKUP(2,1/(#REF!=Z2795),#REF!),""))</f>
        <v/>
      </c>
      <c r="AB2795" t="str">
        <f>IF(Z2795="","",IFERROR(LOOKUP(2,1/(#REF!=Z2795),#REF!),""))</f>
        <v/>
      </c>
      <c r="AC2795" t="str">
        <f>IF(Z2795="","",COUNTIF(#REF!,Z2795))</f>
        <v/>
      </c>
      <c r="AD2795" t="str">
        <f>IF(A2795="","",IF(AC2795&gt;1,"REVISAR DUPLICADO",IF(AA2795&lt;&gt;"","ACTUALIZADO POR EYR","SIN REPORTE EYR")))</f>
        <v/>
      </c>
    </row>
    <row r="2796" spans="11:30" x14ac:dyDescent="0.3">
      <c r="K2796" s="1" t="str">
        <f ca="1">IF(A2796="","",IF(OR(L2796="ENTREGADA",L2796="RETORNADA",L2796="ENTREGA DIGITAL"),0,MAX(0,5-NETWORKDAYS(H2796+1,TODAY()))))</f>
        <v/>
      </c>
      <c r="L2796" t="str">
        <f>IF(A2796="","",IFERROR(LOOKUP(2,1/(#REF!=Z2796),#REF!),Y2796))</f>
        <v/>
      </c>
      <c r="Z2796" t="str">
        <f>IF(A2796="","",TEXT(A2796,"0")&amp;"|"&amp;TEXT(H2796,"0"))</f>
        <v/>
      </c>
      <c r="AA2796" t="str">
        <f>IF(Z2796="","",IFERROR(LOOKUP(2,1/(#REF!=Z2796),#REF!),""))</f>
        <v/>
      </c>
      <c r="AB2796" t="str">
        <f>IF(Z2796="","",IFERROR(LOOKUP(2,1/(#REF!=Z2796),#REF!),""))</f>
        <v/>
      </c>
      <c r="AC2796" t="str">
        <f>IF(Z2796="","",COUNTIF(#REF!,Z2796))</f>
        <v/>
      </c>
      <c r="AD2796" t="str">
        <f>IF(A2796="","",IF(AC2796&gt;1,"REVISAR DUPLICADO",IF(AA2796&lt;&gt;"","ACTUALIZADO POR EYR","SIN REPORTE EYR")))</f>
        <v/>
      </c>
    </row>
    <row r="2797" spans="11:30" x14ac:dyDescent="0.3">
      <c r="K2797" s="1" t="str">
        <f ca="1">IF(A2797="","",IF(OR(L2797="ENTREGADA",L2797="RETORNADA",L2797="ENTREGA DIGITAL"),0,MAX(0,5-NETWORKDAYS(H2797+1,TODAY()))))</f>
        <v/>
      </c>
      <c r="L2797" t="str">
        <f>IF(A2797="","",IFERROR(LOOKUP(2,1/(#REF!=Z2797),#REF!),Y2797))</f>
        <v/>
      </c>
      <c r="Z2797" t="str">
        <f>IF(A2797="","",TEXT(A2797,"0")&amp;"|"&amp;TEXT(H2797,"0"))</f>
        <v/>
      </c>
      <c r="AA2797" t="str">
        <f>IF(Z2797="","",IFERROR(LOOKUP(2,1/(#REF!=Z2797),#REF!),""))</f>
        <v/>
      </c>
      <c r="AB2797" t="str">
        <f>IF(Z2797="","",IFERROR(LOOKUP(2,1/(#REF!=Z2797),#REF!),""))</f>
        <v/>
      </c>
      <c r="AC2797" t="str">
        <f>IF(Z2797="","",COUNTIF(#REF!,Z2797))</f>
        <v/>
      </c>
      <c r="AD2797" t="str">
        <f>IF(A2797="","",IF(AC2797&gt;1,"REVISAR DUPLICADO",IF(AA2797&lt;&gt;"","ACTUALIZADO POR EYR","SIN REPORTE EYR")))</f>
        <v/>
      </c>
    </row>
    <row r="2798" spans="11:30" x14ac:dyDescent="0.3">
      <c r="K2798" s="1" t="str">
        <f ca="1">IF(A2798="","",IF(OR(L2798="ENTREGADA",L2798="RETORNADA",L2798="ENTREGA DIGITAL"),0,MAX(0,5-NETWORKDAYS(H2798+1,TODAY()))))</f>
        <v/>
      </c>
      <c r="L2798" t="str">
        <f>IF(A2798="","",IFERROR(LOOKUP(2,1/(#REF!=Z2798),#REF!),Y2798))</f>
        <v/>
      </c>
      <c r="Z2798" t="str">
        <f>IF(A2798="","",TEXT(A2798,"0")&amp;"|"&amp;TEXT(H2798,"0"))</f>
        <v/>
      </c>
      <c r="AA2798" t="str">
        <f>IF(Z2798="","",IFERROR(LOOKUP(2,1/(#REF!=Z2798),#REF!),""))</f>
        <v/>
      </c>
      <c r="AB2798" t="str">
        <f>IF(Z2798="","",IFERROR(LOOKUP(2,1/(#REF!=Z2798),#REF!),""))</f>
        <v/>
      </c>
      <c r="AC2798" t="str">
        <f>IF(Z2798="","",COUNTIF(#REF!,Z2798))</f>
        <v/>
      </c>
      <c r="AD2798" t="str">
        <f>IF(A2798="","",IF(AC2798&gt;1,"REVISAR DUPLICADO",IF(AA2798&lt;&gt;"","ACTUALIZADO POR EYR","SIN REPORTE EYR")))</f>
        <v/>
      </c>
    </row>
    <row r="2799" spans="11:30" x14ac:dyDescent="0.3">
      <c r="K2799" s="1" t="str">
        <f ca="1">IF(A2799="","",IF(OR(L2799="ENTREGADA",L2799="RETORNADA",L2799="ENTREGA DIGITAL"),0,MAX(0,5-NETWORKDAYS(H2799+1,TODAY()))))</f>
        <v/>
      </c>
      <c r="L2799" t="str">
        <f>IF(A2799="","",IFERROR(LOOKUP(2,1/(#REF!=Z2799),#REF!),Y2799))</f>
        <v/>
      </c>
      <c r="Z2799" t="str">
        <f>IF(A2799="","",TEXT(A2799,"0")&amp;"|"&amp;TEXT(H2799,"0"))</f>
        <v/>
      </c>
      <c r="AA2799" t="str">
        <f>IF(Z2799="","",IFERROR(LOOKUP(2,1/(#REF!=Z2799),#REF!),""))</f>
        <v/>
      </c>
      <c r="AB2799" t="str">
        <f>IF(Z2799="","",IFERROR(LOOKUP(2,1/(#REF!=Z2799),#REF!),""))</f>
        <v/>
      </c>
      <c r="AC2799" t="str">
        <f>IF(Z2799="","",COUNTIF(#REF!,Z2799))</f>
        <v/>
      </c>
      <c r="AD2799" t="str">
        <f>IF(A2799="","",IF(AC2799&gt;1,"REVISAR DUPLICADO",IF(AA2799&lt;&gt;"","ACTUALIZADO POR EYR","SIN REPORTE EYR")))</f>
        <v/>
      </c>
    </row>
    <row r="2800" spans="11:30" x14ac:dyDescent="0.3">
      <c r="K2800" s="1" t="str">
        <f ca="1">IF(A2800="","",IF(OR(L2800="ENTREGADA",L2800="RETORNADA",L2800="ENTREGA DIGITAL"),0,MAX(0,5-NETWORKDAYS(H2800+1,TODAY()))))</f>
        <v/>
      </c>
      <c r="L2800" t="str">
        <f>IF(A2800="","",IFERROR(LOOKUP(2,1/(#REF!=Z2800),#REF!),Y2800))</f>
        <v/>
      </c>
      <c r="Z2800" t="str">
        <f>IF(A2800="","",TEXT(A2800,"0")&amp;"|"&amp;TEXT(H2800,"0"))</f>
        <v/>
      </c>
      <c r="AA2800" t="str">
        <f>IF(Z2800="","",IFERROR(LOOKUP(2,1/(#REF!=Z2800),#REF!),""))</f>
        <v/>
      </c>
      <c r="AB2800" t="str">
        <f>IF(Z2800="","",IFERROR(LOOKUP(2,1/(#REF!=Z2800),#REF!),""))</f>
        <v/>
      </c>
      <c r="AC2800" t="str">
        <f>IF(Z2800="","",COUNTIF(#REF!,Z2800))</f>
        <v/>
      </c>
      <c r="AD2800" t="str">
        <f>IF(A2800="","",IF(AC2800&gt;1,"REVISAR DUPLICADO",IF(AA2800&lt;&gt;"","ACTUALIZADO POR EYR","SIN REPORTE EYR")))</f>
        <v/>
      </c>
    </row>
    <row r="2801" spans="11:30" x14ac:dyDescent="0.3">
      <c r="K2801" s="1" t="str">
        <f ca="1">IF(A2801="","",IF(OR(L2801="ENTREGADA",L2801="RETORNADA",L2801="ENTREGA DIGITAL"),0,MAX(0,5-NETWORKDAYS(H2801+1,TODAY()))))</f>
        <v/>
      </c>
      <c r="L2801" t="str">
        <f>IF(A2801="","",IFERROR(LOOKUP(2,1/(#REF!=Z2801),#REF!),Y2801))</f>
        <v/>
      </c>
      <c r="Z2801" t="str">
        <f>IF(A2801="","",TEXT(A2801,"0")&amp;"|"&amp;TEXT(H2801,"0"))</f>
        <v/>
      </c>
      <c r="AA2801" t="str">
        <f>IF(Z2801="","",IFERROR(LOOKUP(2,1/(#REF!=Z2801),#REF!),""))</f>
        <v/>
      </c>
      <c r="AB2801" t="str">
        <f>IF(Z2801="","",IFERROR(LOOKUP(2,1/(#REF!=Z2801),#REF!),""))</f>
        <v/>
      </c>
      <c r="AC2801" t="str">
        <f>IF(Z2801="","",COUNTIF(#REF!,Z2801))</f>
        <v/>
      </c>
      <c r="AD2801" t="str">
        <f>IF(A2801="","",IF(AC2801&gt;1,"REVISAR DUPLICADO",IF(AA2801&lt;&gt;"","ACTUALIZADO POR EYR","SIN REPORTE EYR")))</f>
        <v/>
      </c>
    </row>
    <row r="2802" spans="11:30" x14ac:dyDescent="0.3">
      <c r="K2802" s="1" t="str">
        <f ca="1">IF(A2802="","",IF(OR(L2802="ENTREGADA",L2802="RETORNADA",L2802="ENTREGA DIGITAL"),0,MAX(0,5-NETWORKDAYS(H2802+1,TODAY()))))</f>
        <v/>
      </c>
      <c r="L2802" t="str">
        <f>IF(A2802="","",IFERROR(LOOKUP(2,1/(#REF!=Z2802),#REF!),Y2802))</f>
        <v/>
      </c>
      <c r="Z2802" t="str">
        <f>IF(A2802="","",TEXT(A2802,"0")&amp;"|"&amp;TEXT(H2802,"0"))</f>
        <v/>
      </c>
      <c r="AA2802" t="str">
        <f>IF(Z2802="","",IFERROR(LOOKUP(2,1/(#REF!=Z2802),#REF!),""))</f>
        <v/>
      </c>
      <c r="AB2802" t="str">
        <f>IF(Z2802="","",IFERROR(LOOKUP(2,1/(#REF!=Z2802),#REF!),""))</f>
        <v/>
      </c>
      <c r="AC2802" t="str">
        <f>IF(Z2802="","",COUNTIF(#REF!,Z2802))</f>
        <v/>
      </c>
      <c r="AD2802" t="str">
        <f>IF(A2802="","",IF(AC2802&gt;1,"REVISAR DUPLICADO",IF(AA2802&lt;&gt;"","ACTUALIZADO POR EYR","SIN REPORTE EYR")))</f>
        <v/>
      </c>
    </row>
    <row r="2803" spans="11:30" x14ac:dyDescent="0.3">
      <c r="K2803" s="1" t="str">
        <f ca="1">IF(A2803="","",IF(OR(L2803="ENTREGADA",L2803="RETORNADA",L2803="ENTREGA DIGITAL"),0,MAX(0,5-NETWORKDAYS(H2803+1,TODAY()))))</f>
        <v/>
      </c>
      <c r="L2803" t="str">
        <f>IF(A2803="","",IFERROR(LOOKUP(2,1/(#REF!=Z2803),#REF!),Y2803))</f>
        <v/>
      </c>
      <c r="Z2803" t="str">
        <f>IF(A2803="","",TEXT(A2803,"0")&amp;"|"&amp;TEXT(H2803,"0"))</f>
        <v/>
      </c>
      <c r="AA2803" t="str">
        <f>IF(Z2803="","",IFERROR(LOOKUP(2,1/(#REF!=Z2803),#REF!),""))</f>
        <v/>
      </c>
      <c r="AB2803" t="str">
        <f>IF(Z2803="","",IFERROR(LOOKUP(2,1/(#REF!=Z2803),#REF!),""))</f>
        <v/>
      </c>
      <c r="AC2803" t="str">
        <f>IF(Z2803="","",COUNTIF(#REF!,Z2803))</f>
        <v/>
      </c>
      <c r="AD2803" t="str">
        <f>IF(A2803="","",IF(AC2803&gt;1,"REVISAR DUPLICADO",IF(AA2803&lt;&gt;"","ACTUALIZADO POR EYR","SIN REPORTE EYR")))</f>
        <v/>
      </c>
    </row>
    <row r="2804" spans="11:30" x14ac:dyDescent="0.3">
      <c r="K2804" s="1" t="str">
        <f ca="1">IF(A2804="","",IF(OR(L2804="ENTREGADA",L2804="RETORNADA",L2804="ENTREGA DIGITAL"),0,MAX(0,5-NETWORKDAYS(H2804+1,TODAY()))))</f>
        <v/>
      </c>
      <c r="L2804" t="str">
        <f>IF(A2804="","",IFERROR(LOOKUP(2,1/(#REF!=Z2804),#REF!),Y2804))</f>
        <v/>
      </c>
      <c r="Z2804" t="str">
        <f>IF(A2804="","",TEXT(A2804,"0")&amp;"|"&amp;TEXT(H2804,"0"))</f>
        <v/>
      </c>
      <c r="AA2804" t="str">
        <f>IF(Z2804="","",IFERROR(LOOKUP(2,1/(#REF!=Z2804),#REF!),""))</f>
        <v/>
      </c>
      <c r="AB2804" t="str">
        <f>IF(Z2804="","",IFERROR(LOOKUP(2,1/(#REF!=Z2804),#REF!),""))</f>
        <v/>
      </c>
      <c r="AC2804" t="str">
        <f>IF(Z2804="","",COUNTIF(#REF!,Z2804))</f>
        <v/>
      </c>
      <c r="AD2804" t="str">
        <f>IF(A2804="","",IF(AC2804&gt;1,"REVISAR DUPLICADO",IF(AA2804&lt;&gt;"","ACTUALIZADO POR EYR","SIN REPORTE EYR")))</f>
        <v/>
      </c>
    </row>
    <row r="2805" spans="11:30" x14ac:dyDescent="0.3">
      <c r="K2805" s="1" t="str">
        <f ca="1">IF(A2805="","",IF(OR(L2805="ENTREGADA",L2805="RETORNADA",L2805="ENTREGA DIGITAL"),0,MAX(0,5-NETWORKDAYS(H2805+1,TODAY()))))</f>
        <v/>
      </c>
      <c r="L2805" t="str">
        <f>IF(A2805="","",IFERROR(LOOKUP(2,1/(#REF!=Z2805),#REF!),Y2805))</f>
        <v/>
      </c>
      <c r="Z2805" t="str">
        <f>IF(A2805="","",TEXT(A2805,"0")&amp;"|"&amp;TEXT(H2805,"0"))</f>
        <v/>
      </c>
      <c r="AA2805" t="str">
        <f>IF(Z2805="","",IFERROR(LOOKUP(2,1/(#REF!=Z2805),#REF!),""))</f>
        <v/>
      </c>
      <c r="AB2805" t="str">
        <f>IF(Z2805="","",IFERROR(LOOKUP(2,1/(#REF!=Z2805),#REF!),""))</f>
        <v/>
      </c>
      <c r="AC2805" t="str">
        <f>IF(Z2805="","",COUNTIF(#REF!,Z2805))</f>
        <v/>
      </c>
      <c r="AD2805" t="str">
        <f>IF(A2805="","",IF(AC2805&gt;1,"REVISAR DUPLICADO",IF(AA2805&lt;&gt;"","ACTUALIZADO POR EYR","SIN REPORTE EYR")))</f>
        <v/>
      </c>
    </row>
    <row r="2806" spans="11:30" x14ac:dyDescent="0.3">
      <c r="K2806" s="1" t="str">
        <f ca="1">IF(A2806="","",IF(OR(L2806="ENTREGADA",L2806="RETORNADA",L2806="ENTREGA DIGITAL"),0,MAX(0,5-NETWORKDAYS(H2806+1,TODAY()))))</f>
        <v/>
      </c>
      <c r="L2806" t="str">
        <f>IF(A2806="","",IFERROR(LOOKUP(2,1/(#REF!=Z2806),#REF!),Y2806))</f>
        <v/>
      </c>
      <c r="Z2806" t="str">
        <f>IF(A2806="","",TEXT(A2806,"0")&amp;"|"&amp;TEXT(H2806,"0"))</f>
        <v/>
      </c>
      <c r="AA2806" t="str">
        <f>IF(Z2806="","",IFERROR(LOOKUP(2,1/(#REF!=Z2806),#REF!),""))</f>
        <v/>
      </c>
      <c r="AB2806" t="str">
        <f>IF(Z2806="","",IFERROR(LOOKUP(2,1/(#REF!=Z2806),#REF!),""))</f>
        <v/>
      </c>
      <c r="AC2806" t="str">
        <f>IF(Z2806="","",COUNTIF(#REF!,Z2806))</f>
        <v/>
      </c>
      <c r="AD2806" t="str">
        <f>IF(A2806="","",IF(AC2806&gt;1,"REVISAR DUPLICADO",IF(AA2806&lt;&gt;"","ACTUALIZADO POR EYR","SIN REPORTE EYR")))</f>
        <v/>
      </c>
    </row>
    <row r="2807" spans="11:30" x14ac:dyDescent="0.3">
      <c r="K2807" s="1" t="str">
        <f ca="1">IF(A2807="","",IF(OR(L2807="ENTREGADA",L2807="RETORNADA",L2807="ENTREGA DIGITAL"),0,MAX(0,5-NETWORKDAYS(H2807+1,TODAY()))))</f>
        <v/>
      </c>
      <c r="L2807" t="str">
        <f>IF(A2807="","",IFERROR(LOOKUP(2,1/(#REF!=Z2807),#REF!),Y2807))</f>
        <v/>
      </c>
      <c r="Z2807" t="str">
        <f>IF(A2807="","",TEXT(A2807,"0")&amp;"|"&amp;TEXT(H2807,"0"))</f>
        <v/>
      </c>
      <c r="AA2807" t="str">
        <f>IF(Z2807="","",IFERROR(LOOKUP(2,1/(#REF!=Z2807),#REF!),""))</f>
        <v/>
      </c>
      <c r="AB2807" t="str">
        <f>IF(Z2807="","",IFERROR(LOOKUP(2,1/(#REF!=Z2807),#REF!),""))</f>
        <v/>
      </c>
      <c r="AC2807" t="str">
        <f>IF(Z2807="","",COUNTIF(#REF!,Z2807))</f>
        <v/>
      </c>
      <c r="AD2807" t="str">
        <f>IF(A2807="","",IF(AC2807&gt;1,"REVISAR DUPLICADO",IF(AA2807&lt;&gt;"","ACTUALIZADO POR EYR","SIN REPORTE EYR")))</f>
        <v/>
      </c>
    </row>
    <row r="2808" spans="11:30" x14ac:dyDescent="0.3">
      <c r="K2808" s="1" t="str">
        <f ca="1">IF(A2808="","",IF(OR(L2808="ENTREGADA",L2808="RETORNADA",L2808="ENTREGA DIGITAL"),0,MAX(0,5-NETWORKDAYS(H2808+1,TODAY()))))</f>
        <v/>
      </c>
      <c r="L2808" t="str">
        <f>IF(A2808="","",IFERROR(LOOKUP(2,1/(#REF!=Z2808),#REF!),Y2808))</f>
        <v/>
      </c>
      <c r="Z2808" t="str">
        <f>IF(A2808="","",TEXT(A2808,"0")&amp;"|"&amp;TEXT(H2808,"0"))</f>
        <v/>
      </c>
      <c r="AA2808" t="str">
        <f>IF(Z2808="","",IFERROR(LOOKUP(2,1/(#REF!=Z2808),#REF!),""))</f>
        <v/>
      </c>
      <c r="AB2808" t="str">
        <f>IF(Z2808="","",IFERROR(LOOKUP(2,1/(#REF!=Z2808),#REF!),""))</f>
        <v/>
      </c>
      <c r="AC2808" t="str">
        <f>IF(Z2808="","",COUNTIF(#REF!,Z2808))</f>
        <v/>
      </c>
      <c r="AD2808" t="str">
        <f>IF(A2808="","",IF(AC2808&gt;1,"REVISAR DUPLICADO",IF(AA2808&lt;&gt;"","ACTUALIZADO POR EYR","SIN REPORTE EYR")))</f>
        <v/>
      </c>
    </row>
    <row r="2809" spans="11:30" x14ac:dyDescent="0.3">
      <c r="K2809" s="1" t="str">
        <f ca="1">IF(A2809="","",IF(OR(L2809="ENTREGADA",L2809="RETORNADA",L2809="ENTREGA DIGITAL"),0,MAX(0,5-NETWORKDAYS(H2809+1,TODAY()))))</f>
        <v/>
      </c>
      <c r="L2809" t="str">
        <f>IF(A2809="","",IFERROR(LOOKUP(2,1/(#REF!=Z2809),#REF!),Y2809))</f>
        <v/>
      </c>
      <c r="Z2809" t="str">
        <f>IF(A2809="","",TEXT(A2809,"0")&amp;"|"&amp;TEXT(H2809,"0"))</f>
        <v/>
      </c>
      <c r="AA2809" t="str">
        <f>IF(Z2809="","",IFERROR(LOOKUP(2,1/(#REF!=Z2809),#REF!),""))</f>
        <v/>
      </c>
      <c r="AB2809" t="str">
        <f>IF(Z2809="","",IFERROR(LOOKUP(2,1/(#REF!=Z2809),#REF!),""))</f>
        <v/>
      </c>
      <c r="AC2809" t="str">
        <f>IF(Z2809="","",COUNTIF(#REF!,Z2809))</f>
        <v/>
      </c>
      <c r="AD2809" t="str">
        <f>IF(A2809="","",IF(AC2809&gt;1,"REVISAR DUPLICADO",IF(AA2809&lt;&gt;"","ACTUALIZADO POR EYR","SIN REPORTE EYR")))</f>
        <v/>
      </c>
    </row>
    <row r="2810" spans="11:30" x14ac:dyDescent="0.3">
      <c r="K2810" s="1" t="str">
        <f ca="1">IF(A2810="","",IF(OR(L2810="ENTREGADA",L2810="RETORNADA",L2810="ENTREGA DIGITAL"),0,MAX(0,5-NETWORKDAYS(H2810+1,TODAY()))))</f>
        <v/>
      </c>
      <c r="L2810" t="str">
        <f>IF(A2810="","",IFERROR(LOOKUP(2,1/(#REF!=Z2810),#REF!),Y2810))</f>
        <v/>
      </c>
      <c r="Z2810" t="str">
        <f>IF(A2810="","",TEXT(A2810,"0")&amp;"|"&amp;TEXT(H2810,"0"))</f>
        <v/>
      </c>
      <c r="AA2810" t="str">
        <f>IF(Z2810="","",IFERROR(LOOKUP(2,1/(#REF!=Z2810),#REF!),""))</f>
        <v/>
      </c>
      <c r="AB2810" t="str">
        <f>IF(Z2810="","",IFERROR(LOOKUP(2,1/(#REF!=Z2810),#REF!),""))</f>
        <v/>
      </c>
      <c r="AC2810" t="str">
        <f>IF(Z2810="","",COUNTIF(#REF!,Z2810))</f>
        <v/>
      </c>
      <c r="AD2810" t="str">
        <f>IF(A2810="","",IF(AC2810&gt;1,"REVISAR DUPLICADO",IF(AA2810&lt;&gt;"","ACTUALIZADO POR EYR","SIN REPORTE EYR")))</f>
        <v/>
      </c>
    </row>
    <row r="2811" spans="11:30" x14ac:dyDescent="0.3">
      <c r="K2811" s="1" t="str">
        <f ca="1">IF(A2811="","",IF(OR(L2811="ENTREGADA",L2811="RETORNADA",L2811="ENTREGA DIGITAL"),0,MAX(0,5-NETWORKDAYS(H2811+1,TODAY()))))</f>
        <v/>
      </c>
      <c r="L2811" t="str">
        <f>IF(A2811="","",IFERROR(LOOKUP(2,1/(#REF!=Z2811),#REF!),Y2811))</f>
        <v/>
      </c>
      <c r="Z2811" t="str">
        <f>IF(A2811="","",TEXT(A2811,"0")&amp;"|"&amp;TEXT(H2811,"0"))</f>
        <v/>
      </c>
      <c r="AA2811" t="str">
        <f>IF(Z2811="","",IFERROR(LOOKUP(2,1/(#REF!=Z2811),#REF!),""))</f>
        <v/>
      </c>
      <c r="AB2811" t="str">
        <f>IF(Z2811="","",IFERROR(LOOKUP(2,1/(#REF!=Z2811),#REF!),""))</f>
        <v/>
      </c>
      <c r="AC2811" t="str">
        <f>IF(Z2811="","",COUNTIF(#REF!,Z2811))</f>
        <v/>
      </c>
      <c r="AD2811" t="str">
        <f>IF(A2811="","",IF(AC2811&gt;1,"REVISAR DUPLICADO",IF(AA2811&lt;&gt;"","ACTUALIZADO POR EYR","SIN REPORTE EYR")))</f>
        <v/>
      </c>
    </row>
    <row r="2812" spans="11:30" x14ac:dyDescent="0.3">
      <c r="K2812" s="1" t="str">
        <f ca="1">IF(A2812="","",IF(OR(L2812="ENTREGADA",L2812="RETORNADA",L2812="ENTREGA DIGITAL"),0,MAX(0,5-NETWORKDAYS(H2812+1,TODAY()))))</f>
        <v/>
      </c>
      <c r="L2812" t="str">
        <f>IF(A2812="","",IFERROR(LOOKUP(2,1/(#REF!=Z2812),#REF!),Y2812))</f>
        <v/>
      </c>
      <c r="Z2812" t="str">
        <f>IF(A2812="","",TEXT(A2812,"0")&amp;"|"&amp;TEXT(H2812,"0"))</f>
        <v/>
      </c>
      <c r="AA2812" t="str">
        <f>IF(Z2812="","",IFERROR(LOOKUP(2,1/(#REF!=Z2812),#REF!),""))</f>
        <v/>
      </c>
      <c r="AB2812" t="str">
        <f>IF(Z2812="","",IFERROR(LOOKUP(2,1/(#REF!=Z2812),#REF!),""))</f>
        <v/>
      </c>
      <c r="AC2812" t="str">
        <f>IF(Z2812="","",COUNTIF(#REF!,Z2812))</f>
        <v/>
      </c>
      <c r="AD2812" t="str">
        <f>IF(A2812="","",IF(AC2812&gt;1,"REVISAR DUPLICADO",IF(AA2812&lt;&gt;"","ACTUALIZADO POR EYR","SIN REPORTE EYR")))</f>
        <v/>
      </c>
    </row>
    <row r="2813" spans="11:30" x14ac:dyDescent="0.3">
      <c r="K2813" s="1" t="str">
        <f ca="1">IF(A2813="","",IF(OR(L2813="ENTREGADA",L2813="RETORNADA",L2813="ENTREGA DIGITAL"),0,MAX(0,5-NETWORKDAYS(H2813+1,TODAY()))))</f>
        <v/>
      </c>
      <c r="L2813" t="str">
        <f>IF(A2813="","",IFERROR(LOOKUP(2,1/(#REF!=Z2813),#REF!),Y2813))</f>
        <v/>
      </c>
      <c r="Z2813" t="str">
        <f>IF(A2813="","",TEXT(A2813,"0")&amp;"|"&amp;TEXT(H2813,"0"))</f>
        <v/>
      </c>
      <c r="AA2813" t="str">
        <f>IF(Z2813="","",IFERROR(LOOKUP(2,1/(#REF!=Z2813),#REF!),""))</f>
        <v/>
      </c>
      <c r="AB2813" t="str">
        <f>IF(Z2813="","",IFERROR(LOOKUP(2,1/(#REF!=Z2813),#REF!),""))</f>
        <v/>
      </c>
      <c r="AC2813" t="str">
        <f>IF(Z2813="","",COUNTIF(#REF!,Z2813))</f>
        <v/>
      </c>
      <c r="AD2813" t="str">
        <f>IF(A2813="","",IF(AC2813&gt;1,"REVISAR DUPLICADO",IF(AA2813&lt;&gt;"","ACTUALIZADO POR EYR","SIN REPORTE EYR")))</f>
        <v/>
      </c>
    </row>
    <row r="2814" spans="11:30" x14ac:dyDescent="0.3">
      <c r="K2814" s="1" t="str">
        <f ca="1">IF(A2814="","",IF(OR(L2814="ENTREGADA",L2814="RETORNADA",L2814="ENTREGA DIGITAL"),0,MAX(0,5-NETWORKDAYS(H2814+1,TODAY()))))</f>
        <v/>
      </c>
      <c r="L2814" t="str">
        <f>IF(A2814="","",IFERROR(LOOKUP(2,1/(#REF!=Z2814),#REF!),Y2814))</f>
        <v/>
      </c>
      <c r="Z2814" t="str">
        <f>IF(A2814="","",TEXT(A2814,"0")&amp;"|"&amp;TEXT(H2814,"0"))</f>
        <v/>
      </c>
      <c r="AA2814" t="str">
        <f>IF(Z2814="","",IFERROR(LOOKUP(2,1/(#REF!=Z2814),#REF!),""))</f>
        <v/>
      </c>
      <c r="AB2814" t="str">
        <f>IF(Z2814="","",IFERROR(LOOKUP(2,1/(#REF!=Z2814),#REF!),""))</f>
        <v/>
      </c>
      <c r="AC2814" t="str">
        <f>IF(Z2814="","",COUNTIF(#REF!,Z2814))</f>
        <v/>
      </c>
      <c r="AD2814" t="str">
        <f>IF(A2814="","",IF(AC2814&gt;1,"REVISAR DUPLICADO",IF(AA2814&lt;&gt;"","ACTUALIZADO POR EYR","SIN REPORTE EYR")))</f>
        <v/>
      </c>
    </row>
    <row r="2815" spans="11:30" x14ac:dyDescent="0.3">
      <c r="K2815" s="1" t="str">
        <f ca="1">IF(A2815="","",IF(OR(L2815="ENTREGADA",L2815="RETORNADA",L2815="ENTREGA DIGITAL"),0,MAX(0,5-NETWORKDAYS(H2815+1,TODAY()))))</f>
        <v/>
      </c>
      <c r="L2815" t="str">
        <f>IF(A2815="","",IFERROR(LOOKUP(2,1/(#REF!=Z2815),#REF!),Y2815))</f>
        <v/>
      </c>
      <c r="Z2815" t="str">
        <f>IF(A2815="","",TEXT(A2815,"0")&amp;"|"&amp;TEXT(H2815,"0"))</f>
        <v/>
      </c>
      <c r="AA2815" t="str">
        <f>IF(Z2815="","",IFERROR(LOOKUP(2,1/(#REF!=Z2815),#REF!),""))</f>
        <v/>
      </c>
      <c r="AB2815" t="str">
        <f>IF(Z2815="","",IFERROR(LOOKUP(2,1/(#REF!=Z2815),#REF!),""))</f>
        <v/>
      </c>
      <c r="AC2815" t="str">
        <f>IF(Z2815="","",COUNTIF(#REF!,Z2815))</f>
        <v/>
      </c>
      <c r="AD2815" t="str">
        <f>IF(A2815="","",IF(AC2815&gt;1,"REVISAR DUPLICADO",IF(AA2815&lt;&gt;"","ACTUALIZADO POR EYR","SIN REPORTE EYR")))</f>
        <v/>
      </c>
    </row>
    <row r="2816" spans="11:30" x14ac:dyDescent="0.3">
      <c r="K2816" s="1" t="str">
        <f ca="1">IF(A2816="","",IF(OR(L2816="ENTREGADA",L2816="RETORNADA",L2816="ENTREGA DIGITAL"),0,MAX(0,5-NETWORKDAYS(H2816+1,TODAY()))))</f>
        <v/>
      </c>
      <c r="L2816" t="str">
        <f>IF(A2816="","",IFERROR(LOOKUP(2,1/(#REF!=Z2816),#REF!),Y2816))</f>
        <v/>
      </c>
      <c r="Z2816" t="str">
        <f>IF(A2816="","",TEXT(A2816,"0")&amp;"|"&amp;TEXT(H2816,"0"))</f>
        <v/>
      </c>
      <c r="AA2816" t="str">
        <f>IF(Z2816="","",IFERROR(LOOKUP(2,1/(#REF!=Z2816),#REF!),""))</f>
        <v/>
      </c>
      <c r="AB2816" t="str">
        <f>IF(Z2816="","",IFERROR(LOOKUP(2,1/(#REF!=Z2816),#REF!),""))</f>
        <v/>
      </c>
      <c r="AC2816" t="str">
        <f>IF(Z2816="","",COUNTIF(#REF!,Z2816))</f>
        <v/>
      </c>
      <c r="AD2816" t="str">
        <f>IF(A2816="","",IF(AC2816&gt;1,"REVISAR DUPLICADO",IF(AA2816&lt;&gt;"","ACTUALIZADO POR EYR","SIN REPORTE EYR")))</f>
        <v/>
      </c>
    </row>
    <row r="2817" spans="11:30" x14ac:dyDescent="0.3">
      <c r="K2817" s="1" t="str">
        <f ca="1">IF(A2817="","",IF(OR(L2817="ENTREGADA",L2817="RETORNADA",L2817="ENTREGA DIGITAL"),0,MAX(0,5-NETWORKDAYS(H2817+1,TODAY()))))</f>
        <v/>
      </c>
      <c r="L2817" t="str">
        <f>IF(A2817="","",IFERROR(LOOKUP(2,1/(#REF!=Z2817),#REF!),Y2817))</f>
        <v/>
      </c>
      <c r="Z2817" t="str">
        <f>IF(A2817="","",TEXT(A2817,"0")&amp;"|"&amp;TEXT(H2817,"0"))</f>
        <v/>
      </c>
      <c r="AA2817" t="str">
        <f>IF(Z2817="","",IFERROR(LOOKUP(2,1/(#REF!=Z2817),#REF!),""))</f>
        <v/>
      </c>
      <c r="AB2817" t="str">
        <f>IF(Z2817="","",IFERROR(LOOKUP(2,1/(#REF!=Z2817),#REF!),""))</f>
        <v/>
      </c>
      <c r="AC2817" t="str">
        <f>IF(Z2817="","",COUNTIF(#REF!,Z2817))</f>
        <v/>
      </c>
      <c r="AD2817" t="str">
        <f>IF(A2817="","",IF(AC2817&gt;1,"REVISAR DUPLICADO",IF(AA2817&lt;&gt;"","ACTUALIZADO POR EYR","SIN REPORTE EYR")))</f>
        <v/>
      </c>
    </row>
    <row r="2818" spans="11:30" x14ac:dyDescent="0.3">
      <c r="K2818" s="1" t="str">
        <f ca="1">IF(A2818="","",IF(OR(L2818="ENTREGADA",L2818="RETORNADA",L2818="ENTREGA DIGITAL"),0,MAX(0,5-NETWORKDAYS(H2818+1,TODAY()))))</f>
        <v/>
      </c>
      <c r="L2818" t="str">
        <f>IF(A2818="","",IFERROR(LOOKUP(2,1/(#REF!=Z2818),#REF!),Y2818))</f>
        <v/>
      </c>
      <c r="Z2818" t="str">
        <f>IF(A2818="","",TEXT(A2818,"0")&amp;"|"&amp;TEXT(H2818,"0"))</f>
        <v/>
      </c>
      <c r="AA2818" t="str">
        <f>IF(Z2818="","",IFERROR(LOOKUP(2,1/(#REF!=Z2818),#REF!),""))</f>
        <v/>
      </c>
      <c r="AB2818" t="str">
        <f>IF(Z2818="","",IFERROR(LOOKUP(2,1/(#REF!=Z2818),#REF!),""))</f>
        <v/>
      </c>
      <c r="AC2818" t="str">
        <f>IF(Z2818="","",COUNTIF(#REF!,Z2818))</f>
        <v/>
      </c>
      <c r="AD2818" t="str">
        <f>IF(A2818="","",IF(AC2818&gt;1,"REVISAR DUPLICADO",IF(AA2818&lt;&gt;"","ACTUALIZADO POR EYR","SIN REPORTE EYR")))</f>
        <v/>
      </c>
    </row>
    <row r="2819" spans="11:30" x14ac:dyDescent="0.3">
      <c r="K2819" s="1" t="str">
        <f ca="1">IF(A2819="","",IF(OR(L2819="ENTREGADA",L2819="RETORNADA",L2819="ENTREGA DIGITAL"),0,MAX(0,5-NETWORKDAYS(H2819+1,TODAY()))))</f>
        <v/>
      </c>
      <c r="L2819" t="str">
        <f>IF(A2819="","",IFERROR(LOOKUP(2,1/(#REF!=Z2819),#REF!),Y2819))</f>
        <v/>
      </c>
      <c r="Z2819" t="str">
        <f>IF(A2819="","",TEXT(A2819,"0")&amp;"|"&amp;TEXT(H2819,"0"))</f>
        <v/>
      </c>
      <c r="AA2819" t="str">
        <f>IF(Z2819="","",IFERROR(LOOKUP(2,1/(#REF!=Z2819),#REF!),""))</f>
        <v/>
      </c>
      <c r="AB2819" t="str">
        <f>IF(Z2819="","",IFERROR(LOOKUP(2,1/(#REF!=Z2819),#REF!),""))</f>
        <v/>
      </c>
      <c r="AC2819" t="str">
        <f>IF(Z2819="","",COUNTIF(#REF!,Z2819))</f>
        <v/>
      </c>
      <c r="AD2819" t="str">
        <f>IF(A2819="","",IF(AC2819&gt;1,"REVISAR DUPLICADO",IF(AA2819&lt;&gt;"","ACTUALIZADO POR EYR","SIN REPORTE EYR")))</f>
        <v/>
      </c>
    </row>
    <row r="2820" spans="11:30" x14ac:dyDescent="0.3">
      <c r="K2820" s="1" t="str">
        <f ca="1">IF(A2820="","",IF(OR(L2820="ENTREGADA",L2820="RETORNADA",L2820="ENTREGA DIGITAL"),0,MAX(0,5-NETWORKDAYS(H2820+1,TODAY()))))</f>
        <v/>
      </c>
      <c r="L2820" t="str">
        <f>IF(A2820="","",IFERROR(LOOKUP(2,1/(#REF!=Z2820),#REF!),Y2820))</f>
        <v/>
      </c>
      <c r="Z2820" t="str">
        <f>IF(A2820="","",TEXT(A2820,"0")&amp;"|"&amp;TEXT(H2820,"0"))</f>
        <v/>
      </c>
      <c r="AA2820" t="str">
        <f>IF(Z2820="","",IFERROR(LOOKUP(2,1/(#REF!=Z2820),#REF!),""))</f>
        <v/>
      </c>
      <c r="AB2820" t="str">
        <f>IF(Z2820="","",IFERROR(LOOKUP(2,1/(#REF!=Z2820),#REF!),""))</f>
        <v/>
      </c>
      <c r="AC2820" t="str">
        <f>IF(Z2820="","",COUNTIF(#REF!,Z2820))</f>
        <v/>
      </c>
      <c r="AD2820" t="str">
        <f>IF(A2820="","",IF(AC2820&gt;1,"REVISAR DUPLICADO",IF(AA2820&lt;&gt;"","ACTUALIZADO POR EYR","SIN REPORTE EYR")))</f>
        <v/>
      </c>
    </row>
    <row r="2821" spans="11:30" x14ac:dyDescent="0.3">
      <c r="K2821" s="1" t="str">
        <f ca="1">IF(A2821="","",IF(OR(L2821="ENTREGADA",L2821="RETORNADA",L2821="ENTREGA DIGITAL"),0,MAX(0,5-NETWORKDAYS(H2821+1,TODAY()))))</f>
        <v/>
      </c>
      <c r="L2821" t="str">
        <f>IF(A2821="","",IFERROR(LOOKUP(2,1/(#REF!=Z2821),#REF!),Y2821))</f>
        <v/>
      </c>
      <c r="Z2821" t="str">
        <f>IF(A2821="","",TEXT(A2821,"0")&amp;"|"&amp;TEXT(H2821,"0"))</f>
        <v/>
      </c>
      <c r="AA2821" t="str">
        <f>IF(Z2821="","",IFERROR(LOOKUP(2,1/(#REF!=Z2821),#REF!),""))</f>
        <v/>
      </c>
      <c r="AB2821" t="str">
        <f>IF(Z2821="","",IFERROR(LOOKUP(2,1/(#REF!=Z2821),#REF!),""))</f>
        <v/>
      </c>
      <c r="AC2821" t="str">
        <f>IF(Z2821="","",COUNTIF(#REF!,Z2821))</f>
        <v/>
      </c>
      <c r="AD2821" t="str">
        <f>IF(A2821="","",IF(AC2821&gt;1,"REVISAR DUPLICADO",IF(AA2821&lt;&gt;"","ACTUALIZADO POR EYR","SIN REPORTE EYR")))</f>
        <v/>
      </c>
    </row>
    <row r="2822" spans="11:30" x14ac:dyDescent="0.3">
      <c r="K2822" s="1" t="str">
        <f ca="1">IF(A2822="","",IF(OR(L2822="ENTREGADA",L2822="RETORNADA",L2822="ENTREGA DIGITAL"),0,MAX(0,5-NETWORKDAYS(H2822+1,TODAY()))))</f>
        <v/>
      </c>
      <c r="L2822" t="str">
        <f>IF(A2822="","",IFERROR(LOOKUP(2,1/(#REF!=Z2822),#REF!),Y2822))</f>
        <v/>
      </c>
      <c r="Z2822" t="str">
        <f>IF(A2822="","",TEXT(A2822,"0")&amp;"|"&amp;TEXT(H2822,"0"))</f>
        <v/>
      </c>
      <c r="AA2822" t="str">
        <f>IF(Z2822="","",IFERROR(LOOKUP(2,1/(#REF!=Z2822),#REF!),""))</f>
        <v/>
      </c>
      <c r="AB2822" t="str">
        <f>IF(Z2822="","",IFERROR(LOOKUP(2,1/(#REF!=Z2822),#REF!),""))</f>
        <v/>
      </c>
      <c r="AC2822" t="str">
        <f>IF(Z2822="","",COUNTIF(#REF!,Z2822))</f>
        <v/>
      </c>
      <c r="AD2822" t="str">
        <f>IF(A2822="","",IF(AC2822&gt;1,"REVISAR DUPLICADO",IF(AA2822&lt;&gt;"","ACTUALIZADO POR EYR","SIN REPORTE EYR")))</f>
        <v/>
      </c>
    </row>
    <row r="2823" spans="11:30" x14ac:dyDescent="0.3">
      <c r="K2823" s="1" t="str">
        <f ca="1">IF(A2823="","",IF(OR(L2823="ENTREGADA",L2823="RETORNADA",L2823="ENTREGA DIGITAL"),0,MAX(0,5-NETWORKDAYS(H2823+1,TODAY()))))</f>
        <v/>
      </c>
      <c r="L2823" t="str">
        <f>IF(A2823="","",IFERROR(LOOKUP(2,1/(#REF!=Z2823),#REF!),Y2823))</f>
        <v/>
      </c>
      <c r="Z2823" t="str">
        <f>IF(A2823="","",TEXT(A2823,"0")&amp;"|"&amp;TEXT(H2823,"0"))</f>
        <v/>
      </c>
      <c r="AA2823" t="str">
        <f>IF(Z2823="","",IFERROR(LOOKUP(2,1/(#REF!=Z2823),#REF!),""))</f>
        <v/>
      </c>
      <c r="AB2823" t="str">
        <f>IF(Z2823="","",IFERROR(LOOKUP(2,1/(#REF!=Z2823),#REF!),""))</f>
        <v/>
      </c>
      <c r="AC2823" t="str">
        <f>IF(Z2823="","",COUNTIF(#REF!,Z2823))</f>
        <v/>
      </c>
      <c r="AD2823" t="str">
        <f>IF(A2823="","",IF(AC2823&gt;1,"REVISAR DUPLICADO",IF(AA2823&lt;&gt;"","ACTUALIZADO POR EYR","SIN REPORTE EYR")))</f>
        <v/>
      </c>
    </row>
    <row r="2824" spans="11:30" x14ac:dyDescent="0.3">
      <c r="K2824" s="1" t="str">
        <f ca="1">IF(A2824="","",IF(OR(L2824="ENTREGADA",L2824="RETORNADA",L2824="ENTREGA DIGITAL"),0,MAX(0,5-NETWORKDAYS(H2824+1,TODAY()))))</f>
        <v/>
      </c>
      <c r="L2824" t="str">
        <f>IF(A2824="","",IFERROR(LOOKUP(2,1/(#REF!=Z2824),#REF!),Y2824))</f>
        <v/>
      </c>
      <c r="Z2824" t="str">
        <f>IF(A2824="","",TEXT(A2824,"0")&amp;"|"&amp;TEXT(H2824,"0"))</f>
        <v/>
      </c>
      <c r="AA2824" t="str">
        <f>IF(Z2824="","",IFERROR(LOOKUP(2,1/(#REF!=Z2824),#REF!),""))</f>
        <v/>
      </c>
      <c r="AB2824" t="str">
        <f>IF(Z2824="","",IFERROR(LOOKUP(2,1/(#REF!=Z2824),#REF!),""))</f>
        <v/>
      </c>
      <c r="AC2824" t="str">
        <f>IF(Z2824="","",COUNTIF(#REF!,Z2824))</f>
        <v/>
      </c>
      <c r="AD2824" t="str">
        <f>IF(A2824="","",IF(AC2824&gt;1,"REVISAR DUPLICADO",IF(AA2824&lt;&gt;"","ACTUALIZADO POR EYR","SIN REPORTE EYR")))</f>
        <v/>
      </c>
    </row>
    <row r="2825" spans="11:30" x14ac:dyDescent="0.3">
      <c r="K2825" s="1" t="str">
        <f ca="1">IF(A2825="","",IF(OR(L2825="ENTREGADA",L2825="RETORNADA",L2825="ENTREGA DIGITAL"),0,MAX(0,5-NETWORKDAYS(H2825+1,TODAY()))))</f>
        <v/>
      </c>
      <c r="L2825" t="str">
        <f>IF(A2825="","",IFERROR(LOOKUP(2,1/(#REF!=Z2825),#REF!),Y2825))</f>
        <v/>
      </c>
      <c r="Z2825" t="str">
        <f>IF(A2825="","",TEXT(A2825,"0")&amp;"|"&amp;TEXT(H2825,"0"))</f>
        <v/>
      </c>
      <c r="AA2825" t="str">
        <f>IF(Z2825="","",IFERROR(LOOKUP(2,1/(#REF!=Z2825),#REF!),""))</f>
        <v/>
      </c>
      <c r="AB2825" t="str">
        <f>IF(Z2825="","",IFERROR(LOOKUP(2,1/(#REF!=Z2825),#REF!),""))</f>
        <v/>
      </c>
      <c r="AC2825" t="str">
        <f>IF(Z2825="","",COUNTIF(#REF!,Z2825))</f>
        <v/>
      </c>
      <c r="AD2825" t="str">
        <f>IF(A2825="","",IF(AC2825&gt;1,"REVISAR DUPLICADO",IF(AA2825&lt;&gt;"","ACTUALIZADO POR EYR","SIN REPORTE EYR")))</f>
        <v/>
      </c>
    </row>
    <row r="2826" spans="11:30" x14ac:dyDescent="0.3">
      <c r="K2826" s="1" t="str">
        <f ca="1">IF(A2826="","",IF(OR(L2826="ENTREGADA",L2826="RETORNADA",L2826="ENTREGA DIGITAL"),0,MAX(0,5-NETWORKDAYS(H2826+1,TODAY()))))</f>
        <v/>
      </c>
      <c r="L2826" t="str">
        <f>IF(A2826="","",IFERROR(LOOKUP(2,1/(#REF!=Z2826),#REF!),Y2826))</f>
        <v/>
      </c>
      <c r="Z2826" t="str">
        <f>IF(A2826="","",TEXT(A2826,"0")&amp;"|"&amp;TEXT(H2826,"0"))</f>
        <v/>
      </c>
      <c r="AA2826" t="str">
        <f>IF(Z2826="","",IFERROR(LOOKUP(2,1/(#REF!=Z2826),#REF!),""))</f>
        <v/>
      </c>
      <c r="AB2826" t="str">
        <f>IF(Z2826="","",IFERROR(LOOKUP(2,1/(#REF!=Z2826),#REF!),""))</f>
        <v/>
      </c>
      <c r="AC2826" t="str">
        <f>IF(Z2826="","",COUNTIF(#REF!,Z2826))</f>
        <v/>
      </c>
      <c r="AD2826" t="str">
        <f>IF(A2826="","",IF(AC2826&gt;1,"REVISAR DUPLICADO",IF(AA2826&lt;&gt;"","ACTUALIZADO POR EYR","SIN REPORTE EYR")))</f>
        <v/>
      </c>
    </row>
    <row r="2827" spans="11:30" x14ac:dyDescent="0.3">
      <c r="K2827" s="1" t="str">
        <f ca="1">IF(A2827="","",IF(OR(L2827="ENTREGADA",L2827="RETORNADA",L2827="ENTREGA DIGITAL"),0,MAX(0,5-NETWORKDAYS(H2827+1,TODAY()))))</f>
        <v/>
      </c>
      <c r="L2827" t="str">
        <f>IF(A2827="","",IFERROR(LOOKUP(2,1/(#REF!=Z2827),#REF!),Y2827))</f>
        <v/>
      </c>
      <c r="Z2827" t="str">
        <f>IF(A2827="","",TEXT(A2827,"0")&amp;"|"&amp;TEXT(H2827,"0"))</f>
        <v/>
      </c>
      <c r="AA2827" t="str">
        <f>IF(Z2827="","",IFERROR(LOOKUP(2,1/(#REF!=Z2827),#REF!),""))</f>
        <v/>
      </c>
      <c r="AB2827" t="str">
        <f>IF(Z2827="","",IFERROR(LOOKUP(2,1/(#REF!=Z2827),#REF!),""))</f>
        <v/>
      </c>
      <c r="AC2827" t="str">
        <f>IF(Z2827="","",COUNTIF(#REF!,Z2827))</f>
        <v/>
      </c>
      <c r="AD2827" t="str">
        <f>IF(A2827="","",IF(AC2827&gt;1,"REVISAR DUPLICADO",IF(AA2827&lt;&gt;"","ACTUALIZADO POR EYR","SIN REPORTE EYR")))</f>
        <v/>
      </c>
    </row>
    <row r="2828" spans="11:30" x14ac:dyDescent="0.3">
      <c r="K2828" s="1" t="str">
        <f ca="1">IF(A2828="","",IF(OR(L2828="ENTREGADA",L2828="RETORNADA",L2828="ENTREGA DIGITAL"),0,MAX(0,5-NETWORKDAYS(H2828+1,TODAY()))))</f>
        <v/>
      </c>
      <c r="L2828" t="str">
        <f>IF(A2828="","",IFERROR(LOOKUP(2,1/(#REF!=Z2828),#REF!),Y2828))</f>
        <v/>
      </c>
      <c r="Z2828" t="str">
        <f>IF(A2828="","",TEXT(A2828,"0")&amp;"|"&amp;TEXT(H2828,"0"))</f>
        <v/>
      </c>
      <c r="AA2828" t="str">
        <f>IF(Z2828="","",IFERROR(LOOKUP(2,1/(#REF!=Z2828),#REF!),""))</f>
        <v/>
      </c>
      <c r="AB2828" t="str">
        <f>IF(Z2828="","",IFERROR(LOOKUP(2,1/(#REF!=Z2828),#REF!),""))</f>
        <v/>
      </c>
      <c r="AC2828" t="str">
        <f>IF(Z2828="","",COUNTIF(#REF!,Z2828))</f>
        <v/>
      </c>
      <c r="AD2828" t="str">
        <f>IF(A2828="","",IF(AC2828&gt;1,"REVISAR DUPLICADO",IF(AA2828&lt;&gt;"","ACTUALIZADO POR EYR","SIN REPORTE EYR")))</f>
        <v/>
      </c>
    </row>
    <row r="2829" spans="11:30" x14ac:dyDescent="0.3">
      <c r="K2829" s="1" t="str">
        <f ca="1">IF(A2829="","",IF(OR(L2829="ENTREGADA",L2829="RETORNADA",L2829="ENTREGA DIGITAL"),0,MAX(0,5-NETWORKDAYS(H2829+1,TODAY()))))</f>
        <v/>
      </c>
      <c r="L2829" t="str">
        <f>IF(A2829="","",IFERROR(LOOKUP(2,1/(#REF!=Z2829),#REF!),Y2829))</f>
        <v/>
      </c>
      <c r="Z2829" t="str">
        <f>IF(A2829="","",TEXT(A2829,"0")&amp;"|"&amp;TEXT(H2829,"0"))</f>
        <v/>
      </c>
      <c r="AA2829" t="str">
        <f>IF(Z2829="","",IFERROR(LOOKUP(2,1/(#REF!=Z2829),#REF!),""))</f>
        <v/>
      </c>
      <c r="AB2829" t="str">
        <f>IF(Z2829="","",IFERROR(LOOKUP(2,1/(#REF!=Z2829),#REF!),""))</f>
        <v/>
      </c>
      <c r="AC2829" t="str">
        <f>IF(Z2829="","",COUNTIF(#REF!,Z2829))</f>
        <v/>
      </c>
      <c r="AD2829" t="str">
        <f>IF(A2829="","",IF(AC2829&gt;1,"REVISAR DUPLICADO",IF(AA2829&lt;&gt;"","ACTUALIZADO POR EYR","SIN REPORTE EYR")))</f>
        <v/>
      </c>
    </row>
    <row r="2830" spans="11:30" x14ac:dyDescent="0.3">
      <c r="K2830" s="1" t="str">
        <f ca="1">IF(A2830="","",IF(OR(L2830="ENTREGADA",L2830="RETORNADA",L2830="ENTREGA DIGITAL"),0,MAX(0,5-NETWORKDAYS(H2830+1,TODAY()))))</f>
        <v/>
      </c>
      <c r="L2830" t="str">
        <f>IF(A2830="","",IFERROR(LOOKUP(2,1/(#REF!=Z2830),#REF!),Y2830))</f>
        <v/>
      </c>
      <c r="Z2830" t="str">
        <f>IF(A2830="","",TEXT(A2830,"0")&amp;"|"&amp;TEXT(H2830,"0"))</f>
        <v/>
      </c>
      <c r="AA2830" t="str">
        <f>IF(Z2830="","",IFERROR(LOOKUP(2,1/(#REF!=Z2830),#REF!),""))</f>
        <v/>
      </c>
      <c r="AB2830" t="str">
        <f>IF(Z2830="","",IFERROR(LOOKUP(2,1/(#REF!=Z2830),#REF!),""))</f>
        <v/>
      </c>
      <c r="AC2830" t="str">
        <f>IF(Z2830="","",COUNTIF(#REF!,Z2830))</f>
        <v/>
      </c>
      <c r="AD2830" t="str">
        <f>IF(A2830="","",IF(AC2830&gt;1,"REVISAR DUPLICADO",IF(AA2830&lt;&gt;"","ACTUALIZADO POR EYR","SIN REPORTE EYR")))</f>
        <v/>
      </c>
    </row>
    <row r="2831" spans="11:30" x14ac:dyDescent="0.3">
      <c r="K2831" s="1" t="str">
        <f ca="1">IF(A2831="","",IF(OR(L2831="ENTREGADA",L2831="RETORNADA",L2831="ENTREGA DIGITAL"),0,MAX(0,5-NETWORKDAYS(H2831+1,TODAY()))))</f>
        <v/>
      </c>
      <c r="L2831" t="str">
        <f>IF(A2831="","",IFERROR(LOOKUP(2,1/(#REF!=Z2831),#REF!),Y2831))</f>
        <v/>
      </c>
      <c r="Z2831" t="str">
        <f>IF(A2831="","",TEXT(A2831,"0")&amp;"|"&amp;TEXT(H2831,"0"))</f>
        <v/>
      </c>
      <c r="AA2831" t="str">
        <f>IF(Z2831="","",IFERROR(LOOKUP(2,1/(#REF!=Z2831),#REF!),""))</f>
        <v/>
      </c>
      <c r="AB2831" t="str">
        <f>IF(Z2831="","",IFERROR(LOOKUP(2,1/(#REF!=Z2831),#REF!),""))</f>
        <v/>
      </c>
      <c r="AC2831" t="str">
        <f>IF(Z2831="","",COUNTIF(#REF!,Z2831))</f>
        <v/>
      </c>
      <c r="AD2831" t="str">
        <f>IF(A2831="","",IF(AC2831&gt;1,"REVISAR DUPLICADO",IF(AA2831&lt;&gt;"","ACTUALIZADO POR EYR","SIN REPORTE EYR")))</f>
        <v/>
      </c>
    </row>
    <row r="2832" spans="11:30" x14ac:dyDescent="0.3">
      <c r="K2832" s="1" t="str">
        <f ca="1">IF(A2832="","",IF(OR(L2832="ENTREGADA",L2832="RETORNADA",L2832="ENTREGA DIGITAL"),0,MAX(0,5-NETWORKDAYS(H2832+1,TODAY()))))</f>
        <v/>
      </c>
      <c r="L2832" t="str">
        <f>IF(A2832="","",IFERROR(LOOKUP(2,1/(#REF!=Z2832),#REF!),Y2832))</f>
        <v/>
      </c>
      <c r="Z2832" t="str">
        <f>IF(A2832="","",TEXT(A2832,"0")&amp;"|"&amp;TEXT(H2832,"0"))</f>
        <v/>
      </c>
      <c r="AA2832" t="str">
        <f>IF(Z2832="","",IFERROR(LOOKUP(2,1/(#REF!=Z2832),#REF!),""))</f>
        <v/>
      </c>
      <c r="AB2832" t="str">
        <f>IF(Z2832="","",IFERROR(LOOKUP(2,1/(#REF!=Z2832),#REF!),""))</f>
        <v/>
      </c>
      <c r="AC2832" t="str">
        <f>IF(Z2832="","",COUNTIF(#REF!,Z2832))</f>
        <v/>
      </c>
      <c r="AD2832" t="str">
        <f>IF(A2832="","",IF(AC2832&gt;1,"REVISAR DUPLICADO",IF(AA2832&lt;&gt;"","ACTUALIZADO POR EYR","SIN REPORTE EYR")))</f>
        <v/>
      </c>
    </row>
    <row r="2833" spans="11:30" x14ac:dyDescent="0.3">
      <c r="K2833" s="1" t="str">
        <f ca="1">IF(A2833="","",IF(OR(L2833="ENTREGADA",L2833="RETORNADA",L2833="ENTREGA DIGITAL"),0,MAX(0,5-NETWORKDAYS(H2833+1,TODAY()))))</f>
        <v/>
      </c>
      <c r="L2833" t="str">
        <f>IF(A2833="","",IFERROR(LOOKUP(2,1/(#REF!=Z2833),#REF!),Y2833))</f>
        <v/>
      </c>
      <c r="Z2833" t="str">
        <f>IF(A2833="","",TEXT(A2833,"0")&amp;"|"&amp;TEXT(H2833,"0"))</f>
        <v/>
      </c>
      <c r="AA2833" t="str">
        <f>IF(Z2833="","",IFERROR(LOOKUP(2,1/(#REF!=Z2833),#REF!),""))</f>
        <v/>
      </c>
      <c r="AB2833" t="str">
        <f>IF(Z2833="","",IFERROR(LOOKUP(2,1/(#REF!=Z2833),#REF!),""))</f>
        <v/>
      </c>
      <c r="AC2833" t="str">
        <f>IF(Z2833="","",COUNTIF(#REF!,Z2833))</f>
        <v/>
      </c>
      <c r="AD2833" t="str">
        <f>IF(A2833="","",IF(AC2833&gt;1,"REVISAR DUPLICADO",IF(AA2833&lt;&gt;"","ACTUALIZADO POR EYR","SIN REPORTE EYR")))</f>
        <v/>
      </c>
    </row>
    <row r="2834" spans="11:30" x14ac:dyDescent="0.3">
      <c r="K2834" s="1" t="str">
        <f ca="1">IF(A2834="","",IF(OR(L2834="ENTREGADA",L2834="RETORNADA",L2834="ENTREGA DIGITAL"),0,MAX(0,5-NETWORKDAYS(H2834+1,TODAY()))))</f>
        <v/>
      </c>
      <c r="L2834" t="str">
        <f>IF(A2834="","",IFERROR(LOOKUP(2,1/(#REF!=Z2834),#REF!),Y2834))</f>
        <v/>
      </c>
      <c r="Z2834" t="str">
        <f>IF(A2834="","",TEXT(A2834,"0")&amp;"|"&amp;TEXT(H2834,"0"))</f>
        <v/>
      </c>
      <c r="AA2834" t="str">
        <f>IF(Z2834="","",IFERROR(LOOKUP(2,1/(#REF!=Z2834),#REF!),""))</f>
        <v/>
      </c>
      <c r="AB2834" t="str">
        <f>IF(Z2834="","",IFERROR(LOOKUP(2,1/(#REF!=Z2834),#REF!),""))</f>
        <v/>
      </c>
      <c r="AC2834" t="str">
        <f>IF(Z2834="","",COUNTIF(#REF!,Z2834))</f>
        <v/>
      </c>
      <c r="AD2834" t="str">
        <f>IF(A2834="","",IF(AC2834&gt;1,"REVISAR DUPLICADO",IF(AA2834&lt;&gt;"","ACTUALIZADO POR EYR","SIN REPORTE EYR")))</f>
        <v/>
      </c>
    </row>
    <row r="2835" spans="11:30" x14ac:dyDescent="0.3">
      <c r="K2835" s="1" t="str">
        <f ca="1">IF(A2835="","",IF(OR(L2835="ENTREGADA",L2835="RETORNADA",L2835="ENTREGA DIGITAL"),0,MAX(0,5-NETWORKDAYS(H2835+1,TODAY()))))</f>
        <v/>
      </c>
      <c r="L2835" t="str">
        <f>IF(A2835="","",IFERROR(LOOKUP(2,1/(#REF!=Z2835),#REF!),Y2835))</f>
        <v/>
      </c>
      <c r="Z2835" t="str">
        <f>IF(A2835="","",TEXT(A2835,"0")&amp;"|"&amp;TEXT(H2835,"0"))</f>
        <v/>
      </c>
      <c r="AA2835" t="str">
        <f>IF(Z2835="","",IFERROR(LOOKUP(2,1/(#REF!=Z2835),#REF!),""))</f>
        <v/>
      </c>
      <c r="AB2835" t="str">
        <f>IF(Z2835="","",IFERROR(LOOKUP(2,1/(#REF!=Z2835),#REF!),""))</f>
        <v/>
      </c>
      <c r="AC2835" t="str">
        <f>IF(Z2835="","",COUNTIF(#REF!,Z2835))</f>
        <v/>
      </c>
      <c r="AD2835" t="str">
        <f>IF(A2835="","",IF(AC2835&gt;1,"REVISAR DUPLICADO",IF(AA2835&lt;&gt;"","ACTUALIZADO POR EYR","SIN REPORTE EYR")))</f>
        <v/>
      </c>
    </row>
    <row r="2836" spans="11:30" x14ac:dyDescent="0.3">
      <c r="K2836" s="1" t="str">
        <f ca="1">IF(A2836="","",IF(OR(L2836="ENTREGADA",L2836="RETORNADA",L2836="ENTREGA DIGITAL"),0,MAX(0,5-NETWORKDAYS(H2836+1,TODAY()))))</f>
        <v/>
      </c>
      <c r="L2836" t="str">
        <f>IF(A2836="","",IFERROR(LOOKUP(2,1/(#REF!=Z2836),#REF!),Y2836))</f>
        <v/>
      </c>
      <c r="Z2836" t="str">
        <f>IF(A2836="","",TEXT(A2836,"0")&amp;"|"&amp;TEXT(H2836,"0"))</f>
        <v/>
      </c>
      <c r="AA2836" t="str">
        <f>IF(Z2836="","",IFERROR(LOOKUP(2,1/(#REF!=Z2836),#REF!),""))</f>
        <v/>
      </c>
      <c r="AB2836" t="str">
        <f>IF(Z2836="","",IFERROR(LOOKUP(2,1/(#REF!=Z2836),#REF!),""))</f>
        <v/>
      </c>
      <c r="AC2836" t="str">
        <f>IF(Z2836="","",COUNTIF(#REF!,Z2836))</f>
        <v/>
      </c>
      <c r="AD2836" t="str">
        <f>IF(A2836="","",IF(AC2836&gt;1,"REVISAR DUPLICADO",IF(AA2836&lt;&gt;"","ACTUALIZADO POR EYR","SIN REPORTE EYR")))</f>
        <v/>
      </c>
    </row>
    <row r="2837" spans="11:30" x14ac:dyDescent="0.3">
      <c r="K2837" s="1" t="str">
        <f ca="1">IF(A2837="","",IF(OR(L2837="ENTREGADA",L2837="RETORNADA",L2837="ENTREGA DIGITAL"),0,MAX(0,5-NETWORKDAYS(H2837+1,TODAY()))))</f>
        <v/>
      </c>
      <c r="L2837" t="str">
        <f>IF(A2837="","",IFERROR(LOOKUP(2,1/(#REF!=Z2837),#REF!),Y2837))</f>
        <v/>
      </c>
      <c r="Z2837" t="str">
        <f>IF(A2837="","",TEXT(A2837,"0")&amp;"|"&amp;TEXT(H2837,"0"))</f>
        <v/>
      </c>
      <c r="AA2837" t="str">
        <f>IF(Z2837="","",IFERROR(LOOKUP(2,1/(#REF!=Z2837),#REF!),""))</f>
        <v/>
      </c>
      <c r="AB2837" t="str">
        <f>IF(Z2837="","",IFERROR(LOOKUP(2,1/(#REF!=Z2837),#REF!),""))</f>
        <v/>
      </c>
      <c r="AC2837" t="str">
        <f>IF(Z2837="","",COUNTIF(#REF!,Z2837))</f>
        <v/>
      </c>
      <c r="AD2837" t="str">
        <f>IF(A2837="","",IF(AC2837&gt;1,"REVISAR DUPLICADO",IF(AA2837&lt;&gt;"","ACTUALIZADO POR EYR","SIN REPORTE EYR")))</f>
        <v/>
      </c>
    </row>
    <row r="2838" spans="11:30" x14ac:dyDescent="0.3">
      <c r="K2838" s="1" t="str">
        <f ca="1">IF(A2838="","",IF(OR(L2838="ENTREGADA",L2838="RETORNADA",L2838="ENTREGA DIGITAL"),0,MAX(0,5-NETWORKDAYS(H2838+1,TODAY()))))</f>
        <v/>
      </c>
      <c r="L2838" t="str">
        <f>IF(A2838="","",IFERROR(LOOKUP(2,1/(#REF!=Z2838),#REF!),Y2838))</f>
        <v/>
      </c>
      <c r="Z2838" t="str">
        <f>IF(A2838="","",TEXT(A2838,"0")&amp;"|"&amp;TEXT(H2838,"0"))</f>
        <v/>
      </c>
      <c r="AA2838" t="str">
        <f>IF(Z2838="","",IFERROR(LOOKUP(2,1/(#REF!=Z2838),#REF!),""))</f>
        <v/>
      </c>
      <c r="AB2838" t="str">
        <f>IF(Z2838="","",IFERROR(LOOKUP(2,1/(#REF!=Z2838),#REF!),""))</f>
        <v/>
      </c>
      <c r="AC2838" t="str">
        <f>IF(Z2838="","",COUNTIF(#REF!,Z2838))</f>
        <v/>
      </c>
      <c r="AD2838" t="str">
        <f>IF(A2838="","",IF(AC2838&gt;1,"REVISAR DUPLICADO",IF(AA2838&lt;&gt;"","ACTUALIZADO POR EYR","SIN REPORTE EYR")))</f>
        <v/>
      </c>
    </row>
    <row r="2839" spans="11:30" x14ac:dyDescent="0.3">
      <c r="K2839" s="1" t="str">
        <f ca="1">IF(A2839="","",IF(OR(L2839="ENTREGADA",L2839="RETORNADA",L2839="ENTREGA DIGITAL"),0,MAX(0,5-NETWORKDAYS(H2839+1,TODAY()))))</f>
        <v/>
      </c>
      <c r="L2839" t="str">
        <f>IF(A2839="","",IFERROR(LOOKUP(2,1/(#REF!=Z2839),#REF!),Y2839))</f>
        <v/>
      </c>
      <c r="Z2839" t="str">
        <f>IF(A2839="","",TEXT(A2839,"0")&amp;"|"&amp;TEXT(H2839,"0"))</f>
        <v/>
      </c>
      <c r="AA2839" t="str">
        <f>IF(Z2839="","",IFERROR(LOOKUP(2,1/(#REF!=Z2839),#REF!),""))</f>
        <v/>
      </c>
      <c r="AB2839" t="str">
        <f>IF(Z2839="","",IFERROR(LOOKUP(2,1/(#REF!=Z2839),#REF!),""))</f>
        <v/>
      </c>
      <c r="AC2839" t="str">
        <f>IF(Z2839="","",COUNTIF(#REF!,Z2839))</f>
        <v/>
      </c>
      <c r="AD2839" t="str">
        <f>IF(A2839="","",IF(AC2839&gt;1,"REVISAR DUPLICADO",IF(AA2839&lt;&gt;"","ACTUALIZADO POR EYR","SIN REPORTE EYR")))</f>
        <v/>
      </c>
    </row>
    <row r="2840" spans="11:30" x14ac:dyDescent="0.3">
      <c r="K2840" s="1" t="str">
        <f ca="1">IF(A2840="","",IF(OR(L2840="ENTREGADA",L2840="RETORNADA",L2840="ENTREGA DIGITAL"),0,MAX(0,5-NETWORKDAYS(H2840+1,TODAY()))))</f>
        <v/>
      </c>
      <c r="L2840" t="str">
        <f>IF(A2840="","",IFERROR(LOOKUP(2,1/(#REF!=Z2840),#REF!),Y2840))</f>
        <v/>
      </c>
      <c r="Z2840" t="str">
        <f>IF(A2840="","",TEXT(A2840,"0")&amp;"|"&amp;TEXT(H2840,"0"))</f>
        <v/>
      </c>
      <c r="AA2840" t="str">
        <f>IF(Z2840="","",IFERROR(LOOKUP(2,1/(#REF!=Z2840),#REF!),""))</f>
        <v/>
      </c>
      <c r="AB2840" t="str">
        <f>IF(Z2840="","",IFERROR(LOOKUP(2,1/(#REF!=Z2840),#REF!),""))</f>
        <v/>
      </c>
      <c r="AC2840" t="str">
        <f>IF(Z2840="","",COUNTIF(#REF!,Z2840))</f>
        <v/>
      </c>
      <c r="AD2840" t="str">
        <f>IF(A2840="","",IF(AC2840&gt;1,"REVISAR DUPLICADO",IF(AA2840&lt;&gt;"","ACTUALIZADO POR EYR","SIN REPORTE EYR")))</f>
        <v/>
      </c>
    </row>
    <row r="2841" spans="11:30" x14ac:dyDescent="0.3">
      <c r="K2841" s="1" t="str">
        <f ca="1">IF(A2841="","",IF(OR(L2841="ENTREGADA",L2841="RETORNADA",L2841="ENTREGA DIGITAL"),0,MAX(0,5-NETWORKDAYS(H2841+1,TODAY()))))</f>
        <v/>
      </c>
      <c r="L2841" t="str">
        <f>IF(A2841="","",IFERROR(LOOKUP(2,1/(#REF!=Z2841),#REF!),Y2841))</f>
        <v/>
      </c>
      <c r="Z2841" t="str">
        <f>IF(A2841="","",TEXT(A2841,"0")&amp;"|"&amp;TEXT(H2841,"0"))</f>
        <v/>
      </c>
      <c r="AA2841" t="str">
        <f>IF(Z2841="","",IFERROR(LOOKUP(2,1/(#REF!=Z2841),#REF!),""))</f>
        <v/>
      </c>
      <c r="AB2841" t="str">
        <f>IF(Z2841="","",IFERROR(LOOKUP(2,1/(#REF!=Z2841),#REF!),""))</f>
        <v/>
      </c>
      <c r="AC2841" t="str">
        <f>IF(Z2841="","",COUNTIF(#REF!,Z2841))</f>
        <v/>
      </c>
      <c r="AD2841" t="str">
        <f>IF(A2841="","",IF(AC2841&gt;1,"REVISAR DUPLICADO",IF(AA2841&lt;&gt;"","ACTUALIZADO POR EYR","SIN REPORTE EYR")))</f>
        <v/>
      </c>
    </row>
    <row r="2842" spans="11:30" x14ac:dyDescent="0.3">
      <c r="K2842" s="1" t="str">
        <f ca="1">IF(A2842="","",IF(OR(L2842="ENTREGADA",L2842="RETORNADA",L2842="ENTREGA DIGITAL"),0,MAX(0,5-NETWORKDAYS(H2842+1,TODAY()))))</f>
        <v/>
      </c>
      <c r="L2842" t="str">
        <f>IF(A2842="","",IFERROR(LOOKUP(2,1/(#REF!=Z2842),#REF!),Y2842))</f>
        <v/>
      </c>
      <c r="Z2842" t="str">
        <f>IF(A2842="","",TEXT(A2842,"0")&amp;"|"&amp;TEXT(H2842,"0"))</f>
        <v/>
      </c>
      <c r="AA2842" t="str">
        <f>IF(Z2842="","",IFERROR(LOOKUP(2,1/(#REF!=Z2842),#REF!),""))</f>
        <v/>
      </c>
      <c r="AB2842" t="str">
        <f>IF(Z2842="","",IFERROR(LOOKUP(2,1/(#REF!=Z2842),#REF!),""))</f>
        <v/>
      </c>
      <c r="AC2842" t="str">
        <f>IF(Z2842="","",COUNTIF(#REF!,Z2842))</f>
        <v/>
      </c>
      <c r="AD2842" t="str">
        <f>IF(A2842="","",IF(AC2842&gt;1,"REVISAR DUPLICADO",IF(AA2842&lt;&gt;"","ACTUALIZADO POR EYR","SIN REPORTE EYR")))</f>
        <v/>
      </c>
    </row>
    <row r="2843" spans="11:30" x14ac:dyDescent="0.3">
      <c r="K2843" s="1" t="str">
        <f ca="1">IF(A2843="","",IF(OR(L2843="ENTREGADA",L2843="RETORNADA",L2843="ENTREGA DIGITAL"),0,MAX(0,5-NETWORKDAYS(H2843+1,TODAY()))))</f>
        <v/>
      </c>
      <c r="L2843" t="str">
        <f>IF(A2843="","",IFERROR(LOOKUP(2,1/(#REF!=Z2843),#REF!),Y2843))</f>
        <v/>
      </c>
      <c r="Z2843" t="str">
        <f>IF(A2843="","",TEXT(A2843,"0")&amp;"|"&amp;TEXT(H2843,"0"))</f>
        <v/>
      </c>
      <c r="AA2843" t="str">
        <f>IF(Z2843="","",IFERROR(LOOKUP(2,1/(#REF!=Z2843),#REF!),""))</f>
        <v/>
      </c>
      <c r="AB2843" t="str">
        <f>IF(Z2843="","",IFERROR(LOOKUP(2,1/(#REF!=Z2843),#REF!),""))</f>
        <v/>
      </c>
      <c r="AC2843" t="str">
        <f>IF(Z2843="","",COUNTIF(#REF!,Z2843))</f>
        <v/>
      </c>
      <c r="AD2843" t="str">
        <f>IF(A2843="","",IF(AC2843&gt;1,"REVISAR DUPLICADO",IF(AA2843&lt;&gt;"","ACTUALIZADO POR EYR","SIN REPORTE EYR")))</f>
        <v/>
      </c>
    </row>
    <row r="2844" spans="11:30" x14ac:dyDescent="0.3">
      <c r="K2844" s="1" t="str">
        <f ca="1">IF(A2844="","",IF(OR(L2844="ENTREGADA",L2844="RETORNADA",L2844="ENTREGA DIGITAL"),0,MAX(0,5-NETWORKDAYS(H2844+1,TODAY()))))</f>
        <v/>
      </c>
      <c r="L2844" t="str">
        <f>IF(A2844="","",IFERROR(LOOKUP(2,1/(#REF!=Z2844),#REF!),Y2844))</f>
        <v/>
      </c>
      <c r="Z2844" t="str">
        <f>IF(A2844="","",TEXT(A2844,"0")&amp;"|"&amp;TEXT(H2844,"0"))</f>
        <v/>
      </c>
      <c r="AA2844" t="str">
        <f>IF(Z2844="","",IFERROR(LOOKUP(2,1/(#REF!=Z2844),#REF!),""))</f>
        <v/>
      </c>
      <c r="AB2844" t="str">
        <f>IF(Z2844="","",IFERROR(LOOKUP(2,1/(#REF!=Z2844),#REF!),""))</f>
        <v/>
      </c>
      <c r="AC2844" t="str">
        <f>IF(Z2844="","",COUNTIF(#REF!,Z2844))</f>
        <v/>
      </c>
      <c r="AD2844" t="str">
        <f>IF(A2844="","",IF(AC2844&gt;1,"REVISAR DUPLICADO",IF(AA2844&lt;&gt;"","ACTUALIZADO POR EYR","SIN REPORTE EYR")))</f>
        <v/>
      </c>
    </row>
    <row r="2845" spans="11:30" x14ac:dyDescent="0.3">
      <c r="K2845" s="1" t="str">
        <f ca="1">IF(A2845="","",IF(OR(L2845="ENTREGADA",L2845="RETORNADA",L2845="ENTREGA DIGITAL"),0,MAX(0,5-NETWORKDAYS(H2845+1,TODAY()))))</f>
        <v/>
      </c>
      <c r="L2845" t="str">
        <f>IF(A2845="","",IFERROR(LOOKUP(2,1/(#REF!=Z2845),#REF!),Y2845))</f>
        <v/>
      </c>
      <c r="Z2845" t="str">
        <f>IF(A2845="","",TEXT(A2845,"0")&amp;"|"&amp;TEXT(H2845,"0"))</f>
        <v/>
      </c>
      <c r="AA2845" t="str">
        <f>IF(Z2845="","",IFERROR(LOOKUP(2,1/(#REF!=Z2845),#REF!),""))</f>
        <v/>
      </c>
      <c r="AB2845" t="str">
        <f>IF(Z2845="","",IFERROR(LOOKUP(2,1/(#REF!=Z2845),#REF!),""))</f>
        <v/>
      </c>
      <c r="AC2845" t="str">
        <f>IF(Z2845="","",COUNTIF(#REF!,Z2845))</f>
        <v/>
      </c>
      <c r="AD2845" t="str">
        <f>IF(A2845="","",IF(AC2845&gt;1,"REVISAR DUPLICADO",IF(AA2845&lt;&gt;"","ACTUALIZADO POR EYR","SIN REPORTE EYR")))</f>
        <v/>
      </c>
    </row>
    <row r="2846" spans="11:30" x14ac:dyDescent="0.3">
      <c r="K2846" s="1" t="str">
        <f ca="1">IF(A2846="","",IF(OR(L2846="ENTREGADA",L2846="RETORNADA",L2846="ENTREGA DIGITAL"),0,MAX(0,5-NETWORKDAYS(H2846+1,TODAY()))))</f>
        <v/>
      </c>
      <c r="L2846" t="str">
        <f>IF(A2846="","",IFERROR(LOOKUP(2,1/(#REF!=Z2846),#REF!),Y2846))</f>
        <v/>
      </c>
      <c r="Z2846" t="str">
        <f>IF(A2846="","",TEXT(A2846,"0")&amp;"|"&amp;TEXT(H2846,"0"))</f>
        <v/>
      </c>
      <c r="AA2846" t="str">
        <f>IF(Z2846="","",IFERROR(LOOKUP(2,1/(#REF!=Z2846),#REF!),""))</f>
        <v/>
      </c>
      <c r="AB2846" t="str">
        <f>IF(Z2846="","",IFERROR(LOOKUP(2,1/(#REF!=Z2846),#REF!),""))</f>
        <v/>
      </c>
      <c r="AC2846" t="str">
        <f>IF(Z2846="","",COUNTIF(#REF!,Z2846))</f>
        <v/>
      </c>
      <c r="AD2846" t="str">
        <f>IF(A2846="","",IF(AC2846&gt;1,"REVISAR DUPLICADO",IF(AA2846&lt;&gt;"","ACTUALIZADO POR EYR","SIN REPORTE EYR")))</f>
        <v/>
      </c>
    </row>
    <row r="2847" spans="11:30" x14ac:dyDescent="0.3">
      <c r="K2847" s="1" t="str">
        <f ca="1">IF(A2847="","",IF(OR(L2847="ENTREGADA",L2847="RETORNADA",L2847="ENTREGA DIGITAL"),0,MAX(0,5-NETWORKDAYS(H2847+1,TODAY()))))</f>
        <v/>
      </c>
      <c r="L2847" t="str">
        <f>IF(A2847="","",IFERROR(LOOKUP(2,1/(#REF!=Z2847),#REF!),Y2847))</f>
        <v/>
      </c>
      <c r="Z2847" t="str">
        <f>IF(A2847="","",TEXT(A2847,"0")&amp;"|"&amp;TEXT(H2847,"0"))</f>
        <v/>
      </c>
      <c r="AA2847" t="str">
        <f>IF(Z2847="","",IFERROR(LOOKUP(2,1/(#REF!=Z2847),#REF!),""))</f>
        <v/>
      </c>
      <c r="AB2847" t="str">
        <f>IF(Z2847="","",IFERROR(LOOKUP(2,1/(#REF!=Z2847),#REF!),""))</f>
        <v/>
      </c>
      <c r="AC2847" t="str">
        <f>IF(Z2847="","",COUNTIF(#REF!,Z2847))</f>
        <v/>
      </c>
      <c r="AD2847" t="str">
        <f>IF(A2847="","",IF(AC2847&gt;1,"REVISAR DUPLICADO",IF(AA2847&lt;&gt;"","ACTUALIZADO POR EYR","SIN REPORTE EYR")))</f>
        <v/>
      </c>
    </row>
    <row r="2848" spans="11:30" x14ac:dyDescent="0.3">
      <c r="K2848" s="1" t="str">
        <f ca="1">IF(A2848="","",IF(OR(L2848="ENTREGADA",L2848="RETORNADA",L2848="ENTREGA DIGITAL"),0,MAX(0,5-NETWORKDAYS(H2848+1,TODAY()))))</f>
        <v/>
      </c>
      <c r="L2848" t="str">
        <f>IF(A2848="","",IFERROR(LOOKUP(2,1/(#REF!=Z2848),#REF!),Y2848))</f>
        <v/>
      </c>
      <c r="Z2848" t="str">
        <f>IF(A2848="","",TEXT(A2848,"0")&amp;"|"&amp;TEXT(H2848,"0"))</f>
        <v/>
      </c>
      <c r="AA2848" t="str">
        <f>IF(Z2848="","",IFERROR(LOOKUP(2,1/(#REF!=Z2848),#REF!),""))</f>
        <v/>
      </c>
      <c r="AB2848" t="str">
        <f>IF(Z2848="","",IFERROR(LOOKUP(2,1/(#REF!=Z2848),#REF!),""))</f>
        <v/>
      </c>
      <c r="AC2848" t="str">
        <f>IF(Z2848="","",COUNTIF(#REF!,Z2848))</f>
        <v/>
      </c>
      <c r="AD2848" t="str">
        <f>IF(A2848="","",IF(AC2848&gt;1,"REVISAR DUPLICADO",IF(AA2848&lt;&gt;"","ACTUALIZADO POR EYR","SIN REPORTE EYR")))</f>
        <v/>
      </c>
    </row>
    <row r="2849" spans="11:30" x14ac:dyDescent="0.3">
      <c r="K2849" s="1" t="str">
        <f ca="1">IF(A2849="","",IF(OR(L2849="ENTREGADA",L2849="RETORNADA",L2849="ENTREGA DIGITAL"),0,MAX(0,5-NETWORKDAYS(H2849+1,TODAY()))))</f>
        <v/>
      </c>
      <c r="L2849" t="str">
        <f>IF(A2849="","",IFERROR(LOOKUP(2,1/(#REF!=Z2849),#REF!),Y2849))</f>
        <v/>
      </c>
      <c r="Z2849" t="str">
        <f>IF(A2849="","",TEXT(A2849,"0")&amp;"|"&amp;TEXT(H2849,"0"))</f>
        <v/>
      </c>
      <c r="AA2849" t="str">
        <f>IF(Z2849="","",IFERROR(LOOKUP(2,1/(#REF!=Z2849),#REF!),""))</f>
        <v/>
      </c>
      <c r="AB2849" t="str">
        <f>IF(Z2849="","",IFERROR(LOOKUP(2,1/(#REF!=Z2849),#REF!),""))</f>
        <v/>
      </c>
      <c r="AC2849" t="str">
        <f>IF(Z2849="","",COUNTIF(#REF!,Z2849))</f>
        <v/>
      </c>
      <c r="AD2849" t="str">
        <f>IF(A2849="","",IF(AC2849&gt;1,"REVISAR DUPLICADO",IF(AA2849&lt;&gt;"","ACTUALIZADO POR EYR","SIN REPORTE EYR")))</f>
        <v/>
      </c>
    </row>
    <row r="2850" spans="11:30" x14ac:dyDescent="0.3">
      <c r="K2850" s="1" t="str">
        <f ca="1">IF(A2850="","",IF(OR(L2850="ENTREGADA",L2850="RETORNADA",L2850="ENTREGA DIGITAL"),0,MAX(0,5-NETWORKDAYS(H2850+1,TODAY()))))</f>
        <v/>
      </c>
      <c r="L2850" t="str">
        <f>IF(A2850="","",IFERROR(LOOKUP(2,1/(#REF!=Z2850),#REF!),Y2850))</f>
        <v/>
      </c>
      <c r="Z2850" t="str">
        <f>IF(A2850="","",TEXT(A2850,"0")&amp;"|"&amp;TEXT(H2850,"0"))</f>
        <v/>
      </c>
      <c r="AA2850" t="str">
        <f>IF(Z2850="","",IFERROR(LOOKUP(2,1/(#REF!=Z2850),#REF!),""))</f>
        <v/>
      </c>
      <c r="AB2850" t="str">
        <f>IF(Z2850="","",IFERROR(LOOKUP(2,1/(#REF!=Z2850),#REF!),""))</f>
        <v/>
      </c>
      <c r="AC2850" t="str">
        <f>IF(Z2850="","",COUNTIF(#REF!,Z2850))</f>
        <v/>
      </c>
      <c r="AD2850" t="str">
        <f>IF(A2850="","",IF(AC2850&gt;1,"REVISAR DUPLICADO",IF(AA2850&lt;&gt;"","ACTUALIZADO POR EYR","SIN REPORTE EYR")))</f>
        <v/>
      </c>
    </row>
    <row r="2851" spans="11:30" x14ac:dyDescent="0.3">
      <c r="K2851" s="1" t="str">
        <f ca="1">IF(A2851="","",IF(OR(L2851="ENTREGADA",L2851="RETORNADA",L2851="ENTREGA DIGITAL"),0,MAX(0,5-NETWORKDAYS(H2851+1,TODAY()))))</f>
        <v/>
      </c>
      <c r="L2851" t="str">
        <f>IF(A2851="","",IFERROR(LOOKUP(2,1/(#REF!=Z2851),#REF!),Y2851))</f>
        <v/>
      </c>
      <c r="Z2851" t="str">
        <f>IF(A2851="","",TEXT(A2851,"0")&amp;"|"&amp;TEXT(H2851,"0"))</f>
        <v/>
      </c>
      <c r="AA2851" t="str">
        <f>IF(Z2851="","",IFERROR(LOOKUP(2,1/(#REF!=Z2851),#REF!),""))</f>
        <v/>
      </c>
      <c r="AB2851" t="str">
        <f>IF(Z2851="","",IFERROR(LOOKUP(2,1/(#REF!=Z2851),#REF!),""))</f>
        <v/>
      </c>
      <c r="AC2851" t="str">
        <f>IF(Z2851="","",COUNTIF(#REF!,Z2851))</f>
        <v/>
      </c>
      <c r="AD2851" t="str">
        <f>IF(A2851="","",IF(AC2851&gt;1,"REVISAR DUPLICADO",IF(AA2851&lt;&gt;"","ACTUALIZADO POR EYR","SIN REPORTE EYR")))</f>
        <v/>
      </c>
    </row>
    <row r="2852" spans="11:30" x14ac:dyDescent="0.3">
      <c r="K2852" s="1" t="str">
        <f ca="1">IF(A2852="","",IF(OR(L2852="ENTREGADA",L2852="RETORNADA",L2852="ENTREGA DIGITAL"),0,MAX(0,5-NETWORKDAYS(H2852+1,TODAY()))))</f>
        <v/>
      </c>
      <c r="L2852" t="str">
        <f>IF(A2852="","",IFERROR(LOOKUP(2,1/(#REF!=Z2852),#REF!),Y2852))</f>
        <v/>
      </c>
      <c r="Z2852" t="str">
        <f>IF(A2852="","",TEXT(A2852,"0")&amp;"|"&amp;TEXT(H2852,"0"))</f>
        <v/>
      </c>
      <c r="AA2852" t="str">
        <f>IF(Z2852="","",IFERROR(LOOKUP(2,1/(#REF!=Z2852),#REF!),""))</f>
        <v/>
      </c>
      <c r="AB2852" t="str">
        <f>IF(Z2852="","",IFERROR(LOOKUP(2,1/(#REF!=Z2852),#REF!),""))</f>
        <v/>
      </c>
      <c r="AC2852" t="str">
        <f>IF(Z2852="","",COUNTIF(#REF!,Z2852))</f>
        <v/>
      </c>
      <c r="AD2852" t="str">
        <f>IF(A2852="","",IF(AC2852&gt;1,"REVISAR DUPLICADO",IF(AA2852&lt;&gt;"","ACTUALIZADO POR EYR","SIN REPORTE EYR")))</f>
        <v/>
      </c>
    </row>
    <row r="2853" spans="11:30" x14ac:dyDescent="0.3">
      <c r="K2853" s="1" t="str">
        <f ca="1">IF(A2853="","",IF(OR(L2853="ENTREGADA",L2853="RETORNADA",L2853="ENTREGA DIGITAL"),0,MAX(0,5-NETWORKDAYS(H2853+1,TODAY()))))</f>
        <v/>
      </c>
      <c r="L2853" t="str">
        <f>IF(A2853="","",IFERROR(LOOKUP(2,1/(#REF!=Z2853),#REF!),Y2853))</f>
        <v/>
      </c>
      <c r="Z2853" t="str">
        <f>IF(A2853="","",TEXT(A2853,"0")&amp;"|"&amp;TEXT(H2853,"0"))</f>
        <v/>
      </c>
      <c r="AA2853" t="str">
        <f>IF(Z2853="","",IFERROR(LOOKUP(2,1/(#REF!=Z2853),#REF!),""))</f>
        <v/>
      </c>
      <c r="AB2853" t="str">
        <f>IF(Z2853="","",IFERROR(LOOKUP(2,1/(#REF!=Z2853),#REF!),""))</f>
        <v/>
      </c>
      <c r="AC2853" t="str">
        <f>IF(Z2853="","",COUNTIF(#REF!,Z2853))</f>
        <v/>
      </c>
      <c r="AD2853" t="str">
        <f>IF(A2853="","",IF(AC2853&gt;1,"REVISAR DUPLICADO",IF(AA2853&lt;&gt;"","ACTUALIZADO POR EYR","SIN REPORTE EYR")))</f>
        <v/>
      </c>
    </row>
    <row r="2854" spans="11:30" x14ac:dyDescent="0.3">
      <c r="K2854" s="1" t="str">
        <f ca="1">IF(A2854="","",IF(OR(L2854="ENTREGADA",L2854="RETORNADA",L2854="ENTREGA DIGITAL"),0,MAX(0,5-NETWORKDAYS(H2854+1,TODAY()))))</f>
        <v/>
      </c>
      <c r="L2854" t="str">
        <f>IF(A2854="","",IFERROR(LOOKUP(2,1/(#REF!=Z2854),#REF!),Y2854))</f>
        <v/>
      </c>
      <c r="Z2854" t="str">
        <f>IF(A2854="","",TEXT(A2854,"0")&amp;"|"&amp;TEXT(H2854,"0"))</f>
        <v/>
      </c>
      <c r="AA2854" t="str">
        <f>IF(Z2854="","",IFERROR(LOOKUP(2,1/(#REF!=Z2854),#REF!),""))</f>
        <v/>
      </c>
      <c r="AB2854" t="str">
        <f>IF(Z2854="","",IFERROR(LOOKUP(2,1/(#REF!=Z2854),#REF!),""))</f>
        <v/>
      </c>
      <c r="AC2854" t="str">
        <f>IF(Z2854="","",COUNTIF(#REF!,Z2854))</f>
        <v/>
      </c>
      <c r="AD2854" t="str">
        <f>IF(A2854="","",IF(AC2854&gt;1,"REVISAR DUPLICADO",IF(AA2854&lt;&gt;"","ACTUALIZADO POR EYR","SIN REPORTE EYR")))</f>
        <v/>
      </c>
    </row>
    <row r="2855" spans="11:30" x14ac:dyDescent="0.3">
      <c r="K2855" s="1" t="str">
        <f ca="1">IF(A2855="","",IF(OR(L2855="ENTREGADA",L2855="RETORNADA",L2855="ENTREGA DIGITAL"),0,MAX(0,5-NETWORKDAYS(H2855+1,TODAY()))))</f>
        <v/>
      </c>
      <c r="L2855" t="str">
        <f>IF(A2855="","",IFERROR(LOOKUP(2,1/(#REF!=Z2855),#REF!),Y2855))</f>
        <v/>
      </c>
      <c r="Z2855" t="str">
        <f>IF(A2855="","",TEXT(A2855,"0")&amp;"|"&amp;TEXT(H2855,"0"))</f>
        <v/>
      </c>
      <c r="AA2855" t="str">
        <f>IF(Z2855="","",IFERROR(LOOKUP(2,1/(#REF!=Z2855),#REF!),""))</f>
        <v/>
      </c>
      <c r="AB2855" t="str">
        <f>IF(Z2855="","",IFERROR(LOOKUP(2,1/(#REF!=Z2855),#REF!),""))</f>
        <v/>
      </c>
      <c r="AC2855" t="str">
        <f>IF(Z2855="","",COUNTIF(#REF!,Z2855))</f>
        <v/>
      </c>
      <c r="AD2855" t="str">
        <f>IF(A2855="","",IF(AC2855&gt;1,"REVISAR DUPLICADO",IF(AA2855&lt;&gt;"","ACTUALIZADO POR EYR","SIN REPORTE EYR")))</f>
        <v/>
      </c>
    </row>
    <row r="2856" spans="11:30" x14ac:dyDescent="0.3">
      <c r="K2856" s="1" t="str">
        <f ca="1">IF(A2856="","",IF(OR(L2856="ENTREGADA",L2856="RETORNADA",L2856="ENTREGA DIGITAL"),0,MAX(0,5-NETWORKDAYS(H2856+1,TODAY()))))</f>
        <v/>
      </c>
      <c r="L2856" t="str">
        <f>IF(A2856="","",IFERROR(LOOKUP(2,1/(#REF!=Z2856),#REF!),Y2856))</f>
        <v/>
      </c>
      <c r="Z2856" t="str">
        <f>IF(A2856="","",TEXT(A2856,"0")&amp;"|"&amp;TEXT(H2856,"0"))</f>
        <v/>
      </c>
      <c r="AA2856" t="str">
        <f>IF(Z2856="","",IFERROR(LOOKUP(2,1/(#REF!=Z2856),#REF!),""))</f>
        <v/>
      </c>
      <c r="AB2856" t="str">
        <f>IF(Z2856="","",IFERROR(LOOKUP(2,1/(#REF!=Z2856),#REF!),""))</f>
        <v/>
      </c>
      <c r="AC2856" t="str">
        <f>IF(Z2856="","",COUNTIF(#REF!,Z2856))</f>
        <v/>
      </c>
      <c r="AD2856" t="str">
        <f>IF(A2856="","",IF(AC2856&gt;1,"REVISAR DUPLICADO",IF(AA2856&lt;&gt;"","ACTUALIZADO POR EYR","SIN REPORTE EYR")))</f>
        <v/>
      </c>
    </row>
    <row r="2857" spans="11:30" x14ac:dyDescent="0.3">
      <c r="K2857" s="1" t="str">
        <f ca="1">IF(A2857="","",IF(OR(L2857="ENTREGADA",L2857="RETORNADA",L2857="ENTREGA DIGITAL"),0,MAX(0,5-NETWORKDAYS(H2857+1,TODAY()))))</f>
        <v/>
      </c>
      <c r="L2857" t="str">
        <f>IF(A2857="","",IFERROR(LOOKUP(2,1/(#REF!=Z2857),#REF!),Y2857))</f>
        <v/>
      </c>
      <c r="Z2857" t="str">
        <f>IF(A2857="","",TEXT(A2857,"0")&amp;"|"&amp;TEXT(H2857,"0"))</f>
        <v/>
      </c>
      <c r="AA2857" t="str">
        <f>IF(Z2857="","",IFERROR(LOOKUP(2,1/(#REF!=Z2857),#REF!),""))</f>
        <v/>
      </c>
      <c r="AB2857" t="str">
        <f>IF(Z2857="","",IFERROR(LOOKUP(2,1/(#REF!=Z2857),#REF!),""))</f>
        <v/>
      </c>
      <c r="AC2857" t="str">
        <f>IF(Z2857="","",COUNTIF(#REF!,Z2857))</f>
        <v/>
      </c>
      <c r="AD2857" t="str">
        <f>IF(A2857="","",IF(AC2857&gt;1,"REVISAR DUPLICADO",IF(AA2857&lt;&gt;"","ACTUALIZADO POR EYR","SIN REPORTE EYR")))</f>
        <v/>
      </c>
    </row>
    <row r="2858" spans="11:30" x14ac:dyDescent="0.3">
      <c r="K2858" s="1" t="str">
        <f ca="1">IF(A2858="","",IF(OR(L2858="ENTREGADA",L2858="RETORNADA",L2858="ENTREGA DIGITAL"),0,MAX(0,5-NETWORKDAYS(H2858+1,TODAY()))))</f>
        <v/>
      </c>
      <c r="L2858" t="str">
        <f>IF(A2858="","",IFERROR(LOOKUP(2,1/(#REF!=Z2858),#REF!),Y2858))</f>
        <v/>
      </c>
      <c r="Z2858" t="str">
        <f>IF(A2858="","",TEXT(A2858,"0")&amp;"|"&amp;TEXT(H2858,"0"))</f>
        <v/>
      </c>
      <c r="AA2858" t="str">
        <f>IF(Z2858="","",IFERROR(LOOKUP(2,1/(#REF!=Z2858),#REF!),""))</f>
        <v/>
      </c>
      <c r="AB2858" t="str">
        <f>IF(Z2858="","",IFERROR(LOOKUP(2,1/(#REF!=Z2858),#REF!),""))</f>
        <v/>
      </c>
      <c r="AC2858" t="str">
        <f>IF(Z2858="","",COUNTIF(#REF!,Z2858))</f>
        <v/>
      </c>
      <c r="AD2858" t="str">
        <f>IF(A2858="","",IF(AC2858&gt;1,"REVISAR DUPLICADO",IF(AA2858&lt;&gt;"","ACTUALIZADO POR EYR","SIN REPORTE EYR")))</f>
        <v/>
      </c>
    </row>
    <row r="2859" spans="11:30" x14ac:dyDescent="0.3">
      <c r="K2859" s="1" t="str">
        <f ca="1">IF(A2859="","",IF(OR(L2859="ENTREGADA",L2859="RETORNADA",L2859="ENTREGA DIGITAL"),0,MAX(0,5-NETWORKDAYS(H2859+1,TODAY()))))</f>
        <v/>
      </c>
      <c r="L2859" t="str">
        <f>IF(A2859="","",IFERROR(LOOKUP(2,1/(#REF!=Z2859),#REF!),Y2859))</f>
        <v/>
      </c>
      <c r="Z2859" t="str">
        <f>IF(A2859="","",TEXT(A2859,"0")&amp;"|"&amp;TEXT(H2859,"0"))</f>
        <v/>
      </c>
      <c r="AA2859" t="str">
        <f>IF(Z2859="","",IFERROR(LOOKUP(2,1/(#REF!=Z2859),#REF!),""))</f>
        <v/>
      </c>
      <c r="AB2859" t="str">
        <f>IF(Z2859="","",IFERROR(LOOKUP(2,1/(#REF!=Z2859),#REF!),""))</f>
        <v/>
      </c>
      <c r="AC2859" t="str">
        <f>IF(Z2859="","",COUNTIF(#REF!,Z2859))</f>
        <v/>
      </c>
      <c r="AD2859" t="str">
        <f>IF(A2859="","",IF(AC2859&gt;1,"REVISAR DUPLICADO",IF(AA2859&lt;&gt;"","ACTUALIZADO POR EYR","SIN REPORTE EYR")))</f>
        <v/>
      </c>
    </row>
    <row r="2860" spans="11:30" x14ac:dyDescent="0.3">
      <c r="K2860" s="1" t="str">
        <f ca="1">IF(A2860="","",IF(OR(L2860="ENTREGADA",L2860="RETORNADA",L2860="ENTREGA DIGITAL"),0,MAX(0,5-NETWORKDAYS(H2860+1,TODAY()))))</f>
        <v/>
      </c>
      <c r="L2860" t="str">
        <f>IF(A2860="","",IFERROR(LOOKUP(2,1/(#REF!=Z2860),#REF!),Y2860))</f>
        <v/>
      </c>
      <c r="Z2860" t="str">
        <f>IF(A2860="","",TEXT(A2860,"0")&amp;"|"&amp;TEXT(H2860,"0"))</f>
        <v/>
      </c>
      <c r="AA2860" t="str">
        <f>IF(Z2860="","",IFERROR(LOOKUP(2,1/(#REF!=Z2860),#REF!),""))</f>
        <v/>
      </c>
      <c r="AB2860" t="str">
        <f>IF(Z2860="","",IFERROR(LOOKUP(2,1/(#REF!=Z2860),#REF!),""))</f>
        <v/>
      </c>
      <c r="AC2860" t="str">
        <f>IF(Z2860="","",COUNTIF(#REF!,Z2860))</f>
        <v/>
      </c>
      <c r="AD2860" t="str">
        <f>IF(A2860="","",IF(AC2860&gt;1,"REVISAR DUPLICADO",IF(AA2860&lt;&gt;"","ACTUALIZADO POR EYR","SIN REPORTE EYR")))</f>
        <v/>
      </c>
    </row>
    <row r="2861" spans="11:30" x14ac:dyDescent="0.3">
      <c r="K2861" s="1" t="str">
        <f ca="1">IF(A2861="","",IF(OR(L2861="ENTREGADA",L2861="RETORNADA",L2861="ENTREGA DIGITAL"),0,MAX(0,5-NETWORKDAYS(H2861+1,TODAY()))))</f>
        <v/>
      </c>
      <c r="L2861" t="str">
        <f>IF(A2861="","",IFERROR(LOOKUP(2,1/(#REF!=Z2861),#REF!),Y2861))</f>
        <v/>
      </c>
      <c r="Z2861" t="str">
        <f>IF(A2861="","",TEXT(A2861,"0")&amp;"|"&amp;TEXT(H2861,"0"))</f>
        <v/>
      </c>
      <c r="AA2861" t="str">
        <f>IF(Z2861="","",IFERROR(LOOKUP(2,1/(#REF!=Z2861),#REF!),""))</f>
        <v/>
      </c>
      <c r="AB2861" t="str">
        <f>IF(Z2861="","",IFERROR(LOOKUP(2,1/(#REF!=Z2861),#REF!),""))</f>
        <v/>
      </c>
      <c r="AC2861" t="str">
        <f>IF(Z2861="","",COUNTIF(#REF!,Z2861))</f>
        <v/>
      </c>
      <c r="AD2861" t="str">
        <f>IF(A2861="","",IF(AC2861&gt;1,"REVISAR DUPLICADO",IF(AA2861&lt;&gt;"","ACTUALIZADO POR EYR","SIN REPORTE EYR")))</f>
        <v/>
      </c>
    </row>
    <row r="2862" spans="11:30" x14ac:dyDescent="0.3">
      <c r="K2862" s="1" t="str">
        <f ca="1">IF(A2862="","",IF(OR(L2862="ENTREGADA",L2862="RETORNADA",L2862="ENTREGA DIGITAL"),0,MAX(0,5-NETWORKDAYS(H2862+1,TODAY()))))</f>
        <v/>
      </c>
      <c r="L2862" t="str">
        <f>IF(A2862="","",IFERROR(LOOKUP(2,1/(#REF!=Z2862),#REF!),Y2862))</f>
        <v/>
      </c>
      <c r="Z2862" t="str">
        <f>IF(A2862="","",TEXT(A2862,"0")&amp;"|"&amp;TEXT(H2862,"0"))</f>
        <v/>
      </c>
      <c r="AA2862" t="str">
        <f>IF(Z2862="","",IFERROR(LOOKUP(2,1/(#REF!=Z2862),#REF!),""))</f>
        <v/>
      </c>
      <c r="AB2862" t="str">
        <f>IF(Z2862="","",IFERROR(LOOKUP(2,1/(#REF!=Z2862),#REF!),""))</f>
        <v/>
      </c>
      <c r="AC2862" t="str">
        <f>IF(Z2862="","",COUNTIF(#REF!,Z2862))</f>
        <v/>
      </c>
      <c r="AD2862" t="str">
        <f>IF(A2862="","",IF(AC2862&gt;1,"REVISAR DUPLICADO",IF(AA2862&lt;&gt;"","ACTUALIZADO POR EYR","SIN REPORTE EYR")))</f>
        <v/>
      </c>
    </row>
    <row r="2863" spans="11:30" x14ac:dyDescent="0.3">
      <c r="K2863" s="1" t="str">
        <f ca="1">IF(A2863="","",IF(OR(L2863="ENTREGADA",L2863="RETORNADA",L2863="ENTREGA DIGITAL"),0,MAX(0,5-NETWORKDAYS(H2863+1,TODAY()))))</f>
        <v/>
      </c>
      <c r="L2863" t="str">
        <f>IF(A2863="","",IFERROR(LOOKUP(2,1/(#REF!=Z2863),#REF!),Y2863))</f>
        <v/>
      </c>
      <c r="Z2863" t="str">
        <f>IF(A2863="","",TEXT(A2863,"0")&amp;"|"&amp;TEXT(H2863,"0"))</f>
        <v/>
      </c>
      <c r="AA2863" t="str">
        <f>IF(Z2863="","",IFERROR(LOOKUP(2,1/(#REF!=Z2863),#REF!),""))</f>
        <v/>
      </c>
      <c r="AB2863" t="str">
        <f>IF(Z2863="","",IFERROR(LOOKUP(2,1/(#REF!=Z2863),#REF!),""))</f>
        <v/>
      </c>
      <c r="AC2863" t="str">
        <f>IF(Z2863="","",COUNTIF(#REF!,Z2863))</f>
        <v/>
      </c>
      <c r="AD2863" t="str">
        <f>IF(A2863="","",IF(AC2863&gt;1,"REVISAR DUPLICADO",IF(AA2863&lt;&gt;"","ACTUALIZADO POR EYR","SIN REPORTE EYR")))</f>
        <v/>
      </c>
    </row>
    <row r="2864" spans="11:30" x14ac:dyDescent="0.3">
      <c r="K2864" s="1" t="str">
        <f ca="1">IF(A2864="","",IF(OR(L2864="ENTREGADA",L2864="RETORNADA",L2864="ENTREGA DIGITAL"),0,MAX(0,5-NETWORKDAYS(H2864+1,TODAY()))))</f>
        <v/>
      </c>
      <c r="L2864" t="str">
        <f>IF(A2864="","",IFERROR(LOOKUP(2,1/(#REF!=Z2864),#REF!),Y2864))</f>
        <v/>
      </c>
      <c r="Z2864" t="str">
        <f>IF(A2864="","",TEXT(A2864,"0")&amp;"|"&amp;TEXT(H2864,"0"))</f>
        <v/>
      </c>
      <c r="AA2864" t="str">
        <f>IF(Z2864="","",IFERROR(LOOKUP(2,1/(#REF!=Z2864),#REF!),""))</f>
        <v/>
      </c>
      <c r="AB2864" t="str">
        <f>IF(Z2864="","",IFERROR(LOOKUP(2,1/(#REF!=Z2864),#REF!),""))</f>
        <v/>
      </c>
      <c r="AC2864" t="str">
        <f>IF(Z2864="","",COUNTIF(#REF!,Z2864))</f>
        <v/>
      </c>
      <c r="AD2864" t="str">
        <f>IF(A2864="","",IF(AC2864&gt;1,"REVISAR DUPLICADO",IF(AA2864&lt;&gt;"","ACTUALIZADO POR EYR","SIN REPORTE EYR")))</f>
        <v/>
      </c>
    </row>
    <row r="2865" spans="11:30" x14ac:dyDescent="0.3">
      <c r="K2865" s="1" t="str">
        <f ca="1">IF(A2865="","",IF(OR(L2865="ENTREGADA",L2865="RETORNADA",L2865="ENTREGA DIGITAL"),0,MAX(0,5-NETWORKDAYS(H2865+1,TODAY()))))</f>
        <v/>
      </c>
      <c r="L2865" t="str">
        <f>IF(A2865="","",IFERROR(LOOKUP(2,1/(#REF!=Z2865),#REF!),Y2865))</f>
        <v/>
      </c>
      <c r="Z2865" t="str">
        <f>IF(A2865="","",TEXT(A2865,"0")&amp;"|"&amp;TEXT(H2865,"0"))</f>
        <v/>
      </c>
      <c r="AA2865" t="str">
        <f>IF(Z2865="","",IFERROR(LOOKUP(2,1/(#REF!=Z2865),#REF!),""))</f>
        <v/>
      </c>
      <c r="AB2865" t="str">
        <f>IF(Z2865="","",IFERROR(LOOKUP(2,1/(#REF!=Z2865),#REF!),""))</f>
        <v/>
      </c>
      <c r="AC2865" t="str">
        <f>IF(Z2865="","",COUNTIF(#REF!,Z2865))</f>
        <v/>
      </c>
      <c r="AD2865" t="str">
        <f>IF(A2865="","",IF(AC2865&gt;1,"REVISAR DUPLICADO",IF(AA2865&lt;&gt;"","ACTUALIZADO POR EYR","SIN REPORTE EYR")))</f>
        <v/>
      </c>
    </row>
    <row r="2866" spans="11:30" x14ac:dyDescent="0.3">
      <c r="K2866" s="1" t="str">
        <f ca="1">IF(A2866="","",IF(OR(L2866="ENTREGADA",L2866="RETORNADA",L2866="ENTREGA DIGITAL"),0,MAX(0,5-NETWORKDAYS(H2866+1,TODAY()))))</f>
        <v/>
      </c>
      <c r="L2866" t="str">
        <f>IF(A2866="","",IFERROR(LOOKUP(2,1/(#REF!=Z2866),#REF!),Y2866))</f>
        <v/>
      </c>
      <c r="Z2866" t="str">
        <f>IF(A2866="","",TEXT(A2866,"0")&amp;"|"&amp;TEXT(H2866,"0"))</f>
        <v/>
      </c>
      <c r="AA2866" t="str">
        <f>IF(Z2866="","",IFERROR(LOOKUP(2,1/(#REF!=Z2866),#REF!),""))</f>
        <v/>
      </c>
      <c r="AB2866" t="str">
        <f>IF(Z2866="","",IFERROR(LOOKUP(2,1/(#REF!=Z2866),#REF!),""))</f>
        <v/>
      </c>
      <c r="AC2866" t="str">
        <f>IF(Z2866="","",COUNTIF(#REF!,Z2866))</f>
        <v/>
      </c>
      <c r="AD2866" t="str">
        <f>IF(A2866="","",IF(AC2866&gt;1,"REVISAR DUPLICADO",IF(AA2866&lt;&gt;"","ACTUALIZADO POR EYR","SIN REPORTE EYR")))</f>
        <v/>
      </c>
    </row>
    <row r="2867" spans="11:30" x14ac:dyDescent="0.3">
      <c r="K2867" s="1" t="str">
        <f ca="1">IF(A2867="","",IF(OR(L2867="ENTREGADA",L2867="RETORNADA",L2867="ENTREGA DIGITAL"),0,MAX(0,5-NETWORKDAYS(H2867+1,TODAY()))))</f>
        <v/>
      </c>
      <c r="L2867" t="str">
        <f>IF(A2867="","",IFERROR(LOOKUP(2,1/(#REF!=Z2867),#REF!),Y2867))</f>
        <v/>
      </c>
      <c r="Z2867" t="str">
        <f>IF(A2867="","",TEXT(A2867,"0")&amp;"|"&amp;TEXT(H2867,"0"))</f>
        <v/>
      </c>
      <c r="AA2867" t="str">
        <f>IF(Z2867="","",IFERROR(LOOKUP(2,1/(#REF!=Z2867),#REF!),""))</f>
        <v/>
      </c>
      <c r="AB2867" t="str">
        <f>IF(Z2867="","",IFERROR(LOOKUP(2,1/(#REF!=Z2867),#REF!),""))</f>
        <v/>
      </c>
      <c r="AC2867" t="str">
        <f>IF(Z2867="","",COUNTIF(#REF!,Z2867))</f>
        <v/>
      </c>
      <c r="AD2867" t="str">
        <f>IF(A2867="","",IF(AC2867&gt;1,"REVISAR DUPLICADO",IF(AA2867&lt;&gt;"","ACTUALIZADO POR EYR","SIN REPORTE EYR")))</f>
        <v/>
      </c>
    </row>
    <row r="2868" spans="11:30" x14ac:dyDescent="0.3">
      <c r="K2868" s="1" t="str">
        <f ca="1">IF(A2868="","",IF(OR(L2868="ENTREGADA",L2868="RETORNADA",L2868="ENTREGA DIGITAL"),0,MAX(0,5-NETWORKDAYS(H2868+1,TODAY()))))</f>
        <v/>
      </c>
      <c r="L2868" t="str">
        <f>IF(A2868="","",IFERROR(LOOKUP(2,1/(#REF!=Z2868),#REF!),Y2868))</f>
        <v/>
      </c>
      <c r="Z2868" t="str">
        <f>IF(A2868="","",TEXT(A2868,"0")&amp;"|"&amp;TEXT(H2868,"0"))</f>
        <v/>
      </c>
      <c r="AA2868" t="str">
        <f>IF(Z2868="","",IFERROR(LOOKUP(2,1/(#REF!=Z2868),#REF!),""))</f>
        <v/>
      </c>
      <c r="AB2868" t="str">
        <f>IF(Z2868="","",IFERROR(LOOKUP(2,1/(#REF!=Z2868),#REF!),""))</f>
        <v/>
      </c>
      <c r="AC2868" t="str">
        <f>IF(Z2868="","",COUNTIF(#REF!,Z2868))</f>
        <v/>
      </c>
      <c r="AD2868" t="str">
        <f>IF(A2868="","",IF(AC2868&gt;1,"REVISAR DUPLICADO",IF(AA2868&lt;&gt;"","ACTUALIZADO POR EYR","SIN REPORTE EYR")))</f>
        <v/>
      </c>
    </row>
    <row r="2869" spans="11:30" x14ac:dyDescent="0.3">
      <c r="K2869" s="1" t="str">
        <f ca="1">IF(A2869="","",IF(OR(L2869="ENTREGADA",L2869="RETORNADA",L2869="ENTREGA DIGITAL"),0,MAX(0,5-NETWORKDAYS(H2869+1,TODAY()))))</f>
        <v/>
      </c>
      <c r="L2869" t="str">
        <f>IF(A2869="","",IFERROR(LOOKUP(2,1/(#REF!=Z2869),#REF!),Y2869))</f>
        <v/>
      </c>
      <c r="Z2869" t="str">
        <f>IF(A2869="","",TEXT(A2869,"0")&amp;"|"&amp;TEXT(H2869,"0"))</f>
        <v/>
      </c>
      <c r="AA2869" t="str">
        <f>IF(Z2869="","",IFERROR(LOOKUP(2,1/(#REF!=Z2869),#REF!),""))</f>
        <v/>
      </c>
      <c r="AB2869" t="str">
        <f>IF(Z2869="","",IFERROR(LOOKUP(2,1/(#REF!=Z2869),#REF!),""))</f>
        <v/>
      </c>
      <c r="AC2869" t="str">
        <f>IF(Z2869="","",COUNTIF(#REF!,Z2869))</f>
        <v/>
      </c>
      <c r="AD2869" t="str">
        <f>IF(A2869="","",IF(AC2869&gt;1,"REVISAR DUPLICADO",IF(AA2869&lt;&gt;"","ACTUALIZADO POR EYR","SIN REPORTE EYR")))</f>
        <v/>
      </c>
    </row>
    <row r="2870" spans="11:30" x14ac:dyDescent="0.3">
      <c r="K2870" s="1" t="str">
        <f ca="1">IF(A2870="","",IF(OR(L2870="ENTREGADA",L2870="RETORNADA",L2870="ENTREGA DIGITAL"),0,MAX(0,5-NETWORKDAYS(H2870+1,TODAY()))))</f>
        <v/>
      </c>
      <c r="L2870" t="str">
        <f>IF(A2870="","",IFERROR(LOOKUP(2,1/(#REF!=Z2870),#REF!),Y2870))</f>
        <v/>
      </c>
      <c r="Z2870" t="str">
        <f>IF(A2870="","",TEXT(A2870,"0")&amp;"|"&amp;TEXT(H2870,"0"))</f>
        <v/>
      </c>
      <c r="AA2870" t="str">
        <f>IF(Z2870="","",IFERROR(LOOKUP(2,1/(#REF!=Z2870),#REF!),""))</f>
        <v/>
      </c>
      <c r="AB2870" t="str">
        <f>IF(Z2870="","",IFERROR(LOOKUP(2,1/(#REF!=Z2870),#REF!),""))</f>
        <v/>
      </c>
      <c r="AC2870" t="str">
        <f>IF(Z2870="","",COUNTIF(#REF!,Z2870))</f>
        <v/>
      </c>
      <c r="AD2870" t="str">
        <f>IF(A2870="","",IF(AC2870&gt;1,"REVISAR DUPLICADO",IF(AA2870&lt;&gt;"","ACTUALIZADO POR EYR","SIN REPORTE EYR")))</f>
        <v/>
      </c>
    </row>
    <row r="2871" spans="11:30" x14ac:dyDescent="0.3">
      <c r="K2871" s="1" t="str">
        <f ca="1">IF(A2871="","",IF(OR(L2871="ENTREGADA",L2871="RETORNADA",L2871="ENTREGA DIGITAL"),0,MAX(0,5-NETWORKDAYS(H2871+1,TODAY()))))</f>
        <v/>
      </c>
      <c r="L2871" t="str">
        <f>IF(A2871="","",IFERROR(LOOKUP(2,1/(#REF!=Z2871),#REF!),Y2871))</f>
        <v/>
      </c>
      <c r="Z2871" t="str">
        <f>IF(A2871="","",TEXT(A2871,"0")&amp;"|"&amp;TEXT(H2871,"0"))</f>
        <v/>
      </c>
      <c r="AA2871" t="str">
        <f>IF(Z2871="","",IFERROR(LOOKUP(2,1/(#REF!=Z2871),#REF!),""))</f>
        <v/>
      </c>
      <c r="AB2871" t="str">
        <f>IF(Z2871="","",IFERROR(LOOKUP(2,1/(#REF!=Z2871),#REF!),""))</f>
        <v/>
      </c>
      <c r="AC2871" t="str">
        <f>IF(Z2871="","",COUNTIF(#REF!,Z2871))</f>
        <v/>
      </c>
      <c r="AD2871" t="str">
        <f>IF(A2871="","",IF(AC2871&gt;1,"REVISAR DUPLICADO",IF(AA2871&lt;&gt;"","ACTUALIZADO POR EYR","SIN REPORTE EYR")))</f>
        <v/>
      </c>
    </row>
    <row r="2872" spans="11:30" x14ac:dyDescent="0.3">
      <c r="K2872" s="1" t="str">
        <f ca="1">IF(A2872="","",IF(OR(L2872="ENTREGADA",L2872="RETORNADA",L2872="ENTREGA DIGITAL"),0,MAX(0,5-NETWORKDAYS(H2872+1,TODAY()))))</f>
        <v/>
      </c>
      <c r="L2872" t="str">
        <f>IF(A2872="","",IFERROR(LOOKUP(2,1/(#REF!=Z2872),#REF!),Y2872))</f>
        <v/>
      </c>
      <c r="Z2872" t="str">
        <f>IF(A2872="","",TEXT(A2872,"0")&amp;"|"&amp;TEXT(H2872,"0"))</f>
        <v/>
      </c>
      <c r="AA2872" t="str">
        <f>IF(Z2872="","",IFERROR(LOOKUP(2,1/(#REF!=Z2872),#REF!),""))</f>
        <v/>
      </c>
      <c r="AB2872" t="str">
        <f>IF(Z2872="","",IFERROR(LOOKUP(2,1/(#REF!=Z2872),#REF!),""))</f>
        <v/>
      </c>
      <c r="AC2872" t="str">
        <f>IF(Z2872="","",COUNTIF(#REF!,Z2872))</f>
        <v/>
      </c>
      <c r="AD2872" t="str">
        <f>IF(A2872="","",IF(AC2872&gt;1,"REVISAR DUPLICADO",IF(AA2872&lt;&gt;"","ACTUALIZADO POR EYR","SIN REPORTE EYR")))</f>
        <v/>
      </c>
    </row>
    <row r="2873" spans="11:30" x14ac:dyDescent="0.3">
      <c r="K2873" s="1" t="str">
        <f ca="1">IF(A2873="","",IF(OR(L2873="ENTREGADA",L2873="RETORNADA",L2873="ENTREGA DIGITAL"),0,MAX(0,5-NETWORKDAYS(H2873+1,TODAY()))))</f>
        <v/>
      </c>
      <c r="L2873" t="str">
        <f>IF(A2873="","",IFERROR(LOOKUP(2,1/(#REF!=Z2873),#REF!),Y2873))</f>
        <v/>
      </c>
      <c r="Z2873" t="str">
        <f>IF(A2873="","",TEXT(A2873,"0")&amp;"|"&amp;TEXT(H2873,"0"))</f>
        <v/>
      </c>
      <c r="AA2873" t="str">
        <f>IF(Z2873="","",IFERROR(LOOKUP(2,1/(#REF!=Z2873),#REF!),""))</f>
        <v/>
      </c>
      <c r="AB2873" t="str">
        <f>IF(Z2873="","",IFERROR(LOOKUP(2,1/(#REF!=Z2873),#REF!),""))</f>
        <v/>
      </c>
      <c r="AC2873" t="str">
        <f>IF(Z2873="","",COUNTIF(#REF!,Z2873))</f>
        <v/>
      </c>
      <c r="AD2873" t="str">
        <f>IF(A2873="","",IF(AC2873&gt;1,"REVISAR DUPLICADO",IF(AA2873&lt;&gt;"","ACTUALIZADO POR EYR","SIN REPORTE EYR")))</f>
        <v/>
      </c>
    </row>
    <row r="2874" spans="11:30" x14ac:dyDescent="0.3">
      <c r="K2874" s="1" t="str">
        <f ca="1">IF(A2874="","",IF(OR(L2874="ENTREGADA",L2874="RETORNADA",L2874="ENTREGA DIGITAL"),0,MAX(0,5-NETWORKDAYS(H2874+1,TODAY()))))</f>
        <v/>
      </c>
      <c r="L2874" t="str">
        <f>IF(A2874="","",IFERROR(LOOKUP(2,1/(#REF!=Z2874),#REF!),Y2874))</f>
        <v/>
      </c>
      <c r="Z2874" t="str">
        <f>IF(A2874="","",TEXT(A2874,"0")&amp;"|"&amp;TEXT(H2874,"0"))</f>
        <v/>
      </c>
      <c r="AA2874" t="str">
        <f>IF(Z2874="","",IFERROR(LOOKUP(2,1/(#REF!=Z2874),#REF!),""))</f>
        <v/>
      </c>
      <c r="AB2874" t="str">
        <f>IF(Z2874="","",IFERROR(LOOKUP(2,1/(#REF!=Z2874),#REF!),""))</f>
        <v/>
      </c>
      <c r="AC2874" t="str">
        <f>IF(Z2874="","",COUNTIF(#REF!,Z2874))</f>
        <v/>
      </c>
      <c r="AD2874" t="str">
        <f>IF(A2874="","",IF(AC2874&gt;1,"REVISAR DUPLICADO",IF(AA2874&lt;&gt;"","ACTUALIZADO POR EYR","SIN REPORTE EYR")))</f>
        <v/>
      </c>
    </row>
    <row r="2875" spans="11:30" x14ac:dyDescent="0.3">
      <c r="K2875" s="1" t="str">
        <f ca="1">IF(A2875="","",IF(OR(L2875="ENTREGADA",L2875="RETORNADA",L2875="ENTREGA DIGITAL"),0,MAX(0,5-NETWORKDAYS(H2875+1,TODAY()))))</f>
        <v/>
      </c>
      <c r="L2875" t="str">
        <f>IF(A2875="","",IFERROR(LOOKUP(2,1/(#REF!=Z2875),#REF!),Y2875))</f>
        <v/>
      </c>
      <c r="Z2875" t="str">
        <f>IF(A2875="","",TEXT(A2875,"0")&amp;"|"&amp;TEXT(H2875,"0"))</f>
        <v/>
      </c>
      <c r="AA2875" t="str">
        <f>IF(Z2875="","",IFERROR(LOOKUP(2,1/(#REF!=Z2875),#REF!),""))</f>
        <v/>
      </c>
      <c r="AB2875" t="str">
        <f>IF(Z2875="","",IFERROR(LOOKUP(2,1/(#REF!=Z2875),#REF!),""))</f>
        <v/>
      </c>
      <c r="AC2875" t="str">
        <f>IF(Z2875="","",COUNTIF(#REF!,Z2875))</f>
        <v/>
      </c>
      <c r="AD2875" t="str">
        <f>IF(A2875="","",IF(AC2875&gt;1,"REVISAR DUPLICADO",IF(AA2875&lt;&gt;"","ACTUALIZADO POR EYR","SIN REPORTE EYR")))</f>
        <v/>
      </c>
    </row>
    <row r="2876" spans="11:30" x14ac:dyDescent="0.3">
      <c r="K2876" s="1" t="str">
        <f ca="1">IF(A2876="","",IF(OR(L2876="ENTREGADA",L2876="RETORNADA",L2876="ENTREGA DIGITAL"),0,MAX(0,5-NETWORKDAYS(H2876+1,TODAY()))))</f>
        <v/>
      </c>
      <c r="L2876" t="str">
        <f>IF(A2876="","",IFERROR(LOOKUP(2,1/(#REF!=Z2876),#REF!),Y2876))</f>
        <v/>
      </c>
      <c r="Z2876" t="str">
        <f>IF(A2876="","",TEXT(A2876,"0")&amp;"|"&amp;TEXT(H2876,"0"))</f>
        <v/>
      </c>
      <c r="AA2876" t="str">
        <f>IF(Z2876="","",IFERROR(LOOKUP(2,1/(#REF!=Z2876),#REF!),""))</f>
        <v/>
      </c>
      <c r="AB2876" t="str">
        <f>IF(Z2876="","",IFERROR(LOOKUP(2,1/(#REF!=Z2876),#REF!),""))</f>
        <v/>
      </c>
      <c r="AC2876" t="str">
        <f>IF(Z2876="","",COUNTIF(#REF!,Z2876))</f>
        <v/>
      </c>
      <c r="AD2876" t="str">
        <f>IF(A2876="","",IF(AC2876&gt;1,"REVISAR DUPLICADO",IF(AA2876&lt;&gt;"","ACTUALIZADO POR EYR","SIN REPORTE EYR")))</f>
        <v/>
      </c>
    </row>
    <row r="2877" spans="11:30" x14ac:dyDescent="0.3">
      <c r="K2877" s="1" t="str">
        <f ca="1">IF(A2877="","",IF(OR(L2877="ENTREGADA",L2877="RETORNADA",L2877="ENTREGA DIGITAL"),0,MAX(0,5-NETWORKDAYS(H2877+1,TODAY()))))</f>
        <v/>
      </c>
      <c r="L2877" t="str">
        <f>IF(A2877="","",IFERROR(LOOKUP(2,1/(#REF!=Z2877),#REF!),Y2877))</f>
        <v/>
      </c>
      <c r="Z2877" t="str">
        <f>IF(A2877="","",TEXT(A2877,"0")&amp;"|"&amp;TEXT(H2877,"0"))</f>
        <v/>
      </c>
      <c r="AA2877" t="str">
        <f>IF(Z2877="","",IFERROR(LOOKUP(2,1/(#REF!=Z2877),#REF!),""))</f>
        <v/>
      </c>
      <c r="AB2877" t="str">
        <f>IF(Z2877="","",IFERROR(LOOKUP(2,1/(#REF!=Z2877),#REF!),""))</f>
        <v/>
      </c>
      <c r="AC2877" t="str">
        <f>IF(Z2877="","",COUNTIF(#REF!,Z2877))</f>
        <v/>
      </c>
      <c r="AD2877" t="str">
        <f>IF(A2877="","",IF(AC2877&gt;1,"REVISAR DUPLICADO",IF(AA2877&lt;&gt;"","ACTUALIZADO POR EYR","SIN REPORTE EYR")))</f>
        <v/>
      </c>
    </row>
    <row r="2878" spans="11:30" x14ac:dyDescent="0.3">
      <c r="K2878" s="1" t="str">
        <f ca="1">IF(A2878="","",IF(OR(L2878="ENTREGADA",L2878="RETORNADA",L2878="ENTREGA DIGITAL"),0,MAX(0,5-NETWORKDAYS(H2878+1,TODAY()))))</f>
        <v/>
      </c>
      <c r="L2878" t="str">
        <f>IF(A2878="","",IFERROR(LOOKUP(2,1/(#REF!=Z2878),#REF!),Y2878))</f>
        <v/>
      </c>
      <c r="Z2878" t="str">
        <f>IF(A2878="","",TEXT(A2878,"0")&amp;"|"&amp;TEXT(H2878,"0"))</f>
        <v/>
      </c>
      <c r="AA2878" t="str">
        <f>IF(Z2878="","",IFERROR(LOOKUP(2,1/(#REF!=Z2878),#REF!),""))</f>
        <v/>
      </c>
      <c r="AB2878" t="str">
        <f>IF(Z2878="","",IFERROR(LOOKUP(2,1/(#REF!=Z2878),#REF!),""))</f>
        <v/>
      </c>
      <c r="AC2878" t="str">
        <f>IF(Z2878="","",COUNTIF(#REF!,Z2878))</f>
        <v/>
      </c>
      <c r="AD2878" t="str">
        <f>IF(A2878="","",IF(AC2878&gt;1,"REVISAR DUPLICADO",IF(AA2878&lt;&gt;"","ACTUALIZADO POR EYR","SIN REPORTE EYR")))</f>
        <v/>
      </c>
    </row>
    <row r="2879" spans="11:30" x14ac:dyDescent="0.3">
      <c r="K2879" s="1" t="str">
        <f ca="1">IF(A2879="","",IF(OR(L2879="ENTREGADA",L2879="RETORNADA",L2879="ENTREGA DIGITAL"),0,MAX(0,5-NETWORKDAYS(H2879+1,TODAY()))))</f>
        <v/>
      </c>
      <c r="L2879" t="str">
        <f>IF(A2879="","",IFERROR(LOOKUP(2,1/(#REF!=Z2879),#REF!),Y2879))</f>
        <v/>
      </c>
      <c r="Z2879" t="str">
        <f>IF(A2879="","",TEXT(A2879,"0")&amp;"|"&amp;TEXT(H2879,"0"))</f>
        <v/>
      </c>
      <c r="AA2879" t="str">
        <f>IF(Z2879="","",IFERROR(LOOKUP(2,1/(#REF!=Z2879),#REF!),""))</f>
        <v/>
      </c>
      <c r="AB2879" t="str">
        <f>IF(Z2879="","",IFERROR(LOOKUP(2,1/(#REF!=Z2879),#REF!),""))</f>
        <v/>
      </c>
      <c r="AC2879" t="str">
        <f>IF(Z2879="","",COUNTIF(#REF!,Z2879))</f>
        <v/>
      </c>
      <c r="AD2879" t="str">
        <f>IF(A2879="","",IF(AC2879&gt;1,"REVISAR DUPLICADO",IF(AA2879&lt;&gt;"","ACTUALIZADO POR EYR","SIN REPORTE EYR")))</f>
        <v/>
      </c>
    </row>
    <row r="2880" spans="11:30" x14ac:dyDescent="0.3">
      <c r="K2880" s="1" t="str">
        <f ca="1">IF(A2880="","",IF(OR(L2880="ENTREGADA",L2880="RETORNADA",L2880="ENTREGA DIGITAL"),0,MAX(0,5-NETWORKDAYS(H2880+1,TODAY()))))</f>
        <v/>
      </c>
      <c r="L2880" t="str">
        <f>IF(A2880="","",IFERROR(LOOKUP(2,1/(#REF!=Z2880),#REF!),Y2880))</f>
        <v/>
      </c>
      <c r="Z2880" t="str">
        <f>IF(A2880="","",TEXT(A2880,"0")&amp;"|"&amp;TEXT(H2880,"0"))</f>
        <v/>
      </c>
      <c r="AA2880" t="str">
        <f>IF(Z2880="","",IFERROR(LOOKUP(2,1/(#REF!=Z2880),#REF!),""))</f>
        <v/>
      </c>
      <c r="AB2880" t="str">
        <f>IF(Z2880="","",IFERROR(LOOKUP(2,1/(#REF!=Z2880),#REF!),""))</f>
        <v/>
      </c>
      <c r="AC2880" t="str">
        <f>IF(Z2880="","",COUNTIF(#REF!,Z2880))</f>
        <v/>
      </c>
      <c r="AD2880" t="str">
        <f>IF(A2880="","",IF(AC2880&gt;1,"REVISAR DUPLICADO",IF(AA2880&lt;&gt;"","ACTUALIZADO POR EYR","SIN REPORTE EYR")))</f>
        <v/>
      </c>
    </row>
    <row r="2881" spans="11:30" x14ac:dyDescent="0.3">
      <c r="K2881" s="1" t="str">
        <f ca="1">IF(A2881="","",IF(OR(L2881="ENTREGADA",L2881="RETORNADA",L2881="ENTREGA DIGITAL"),0,MAX(0,5-NETWORKDAYS(H2881+1,TODAY()))))</f>
        <v/>
      </c>
      <c r="L2881" t="str">
        <f>IF(A2881="","",IFERROR(LOOKUP(2,1/(#REF!=Z2881),#REF!),Y2881))</f>
        <v/>
      </c>
      <c r="Z2881" t="str">
        <f>IF(A2881="","",TEXT(A2881,"0")&amp;"|"&amp;TEXT(H2881,"0"))</f>
        <v/>
      </c>
      <c r="AA2881" t="str">
        <f>IF(Z2881="","",IFERROR(LOOKUP(2,1/(#REF!=Z2881),#REF!),""))</f>
        <v/>
      </c>
      <c r="AB2881" t="str">
        <f>IF(Z2881="","",IFERROR(LOOKUP(2,1/(#REF!=Z2881),#REF!),""))</f>
        <v/>
      </c>
      <c r="AC2881" t="str">
        <f>IF(Z2881="","",COUNTIF(#REF!,Z2881))</f>
        <v/>
      </c>
      <c r="AD2881" t="str">
        <f>IF(A2881="","",IF(AC2881&gt;1,"REVISAR DUPLICADO",IF(AA2881&lt;&gt;"","ACTUALIZADO POR EYR","SIN REPORTE EYR")))</f>
        <v/>
      </c>
    </row>
    <row r="2882" spans="11:30" x14ac:dyDescent="0.3">
      <c r="K2882" s="1" t="str">
        <f ca="1">IF(A2882="","",IF(OR(L2882="ENTREGADA",L2882="RETORNADA",L2882="ENTREGA DIGITAL"),0,MAX(0,5-NETWORKDAYS(H2882+1,TODAY()))))</f>
        <v/>
      </c>
      <c r="L2882" t="str">
        <f>IF(A2882="","",IFERROR(LOOKUP(2,1/(#REF!=Z2882),#REF!),Y2882))</f>
        <v/>
      </c>
      <c r="Z2882" t="str">
        <f>IF(A2882="","",TEXT(A2882,"0")&amp;"|"&amp;TEXT(H2882,"0"))</f>
        <v/>
      </c>
      <c r="AA2882" t="str">
        <f>IF(Z2882="","",IFERROR(LOOKUP(2,1/(#REF!=Z2882),#REF!),""))</f>
        <v/>
      </c>
      <c r="AB2882" t="str">
        <f>IF(Z2882="","",IFERROR(LOOKUP(2,1/(#REF!=Z2882),#REF!),""))</f>
        <v/>
      </c>
      <c r="AC2882" t="str">
        <f>IF(Z2882="","",COUNTIF(#REF!,Z2882))</f>
        <v/>
      </c>
      <c r="AD2882" t="str">
        <f>IF(A2882="","",IF(AC2882&gt;1,"REVISAR DUPLICADO",IF(AA2882&lt;&gt;"","ACTUALIZADO POR EYR","SIN REPORTE EYR")))</f>
        <v/>
      </c>
    </row>
    <row r="2883" spans="11:30" x14ac:dyDescent="0.3">
      <c r="K2883" s="1" t="str">
        <f ca="1">IF(A2883="","",IF(OR(L2883="ENTREGADA",L2883="RETORNADA",L2883="ENTREGA DIGITAL"),0,MAX(0,5-NETWORKDAYS(H2883+1,TODAY()))))</f>
        <v/>
      </c>
      <c r="L2883" t="str">
        <f>IF(A2883="","",IFERROR(LOOKUP(2,1/(#REF!=Z2883),#REF!),Y2883))</f>
        <v/>
      </c>
      <c r="Z2883" t="str">
        <f>IF(A2883="","",TEXT(A2883,"0")&amp;"|"&amp;TEXT(H2883,"0"))</f>
        <v/>
      </c>
      <c r="AA2883" t="str">
        <f>IF(Z2883="","",IFERROR(LOOKUP(2,1/(#REF!=Z2883),#REF!),""))</f>
        <v/>
      </c>
      <c r="AB2883" t="str">
        <f>IF(Z2883="","",IFERROR(LOOKUP(2,1/(#REF!=Z2883),#REF!),""))</f>
        <v/>
      </c>
      <c r="AC2883" t="str">
        <f>IF(Z2883="","",COUNTIF(#REF!,Z2883))</f>
        <v/>
      </c>
      <c r="AD2883" t="str">
        <f>IF(A2883="","",IF(AC2883&gt;1,"REVISAR DUPLICADO",IF(AA2883&lt;&gt;"","ACTUALIZADO POR EYR","SIN REPORTE EYR")))</f>
        <v/>
      </c>
    </row>
    <row r="2884" spans="11:30" x14ac:dyDescent="0.3">
      <c r="K2884" s="1" t="str">
        <f ca="1">IF(A2884="","",IF(OR(L2884="ENTREGADA",L2884="RETORNADA",L2884="ENTREGA DIGITAL"),0,MAX(0,5-NETWORKDAYS(H2884+1,TODAY()))))</f>
        <v/>
      </c>
      <c r="L2884" t="str">
        <f>IF(A2884="","",IFERROR(LOOKUP(2,1/(#REF!=Z2884),#REF!),Y2884))</f>
        <v/>
      </c>
      <c r="Z2884" t="str">
        <f>IF(A2884="","",TEXT(A2884,"0")&amp;"|"&amp;TEXT(H2884,"0"))</f>
        <v/>
      </c>
      <c r="AA2884" t="str">
        <f>IF(Z2884="","",IFERROR(LOOKUP(2,1/(#REF!=Z2884),#REF!),""))</f>
        <v/>
      </c>
      <c r="AB2884" t="str">
        <f>IF(Z2884="","",IFERROR(LOOKUP(2,1/(#REF!=Z2884),#REF!),""))</f>
        <v/>
      </c>
      <c r="AC2884" t="str">
        <f>IF(Z2884="","",COUNTIF(#REF!,Z2884))</f>
        <v/>
      </c>
      <c r="AD2884" t="str">
        <f>IF(A2884="","",IF(AC2884&gt;1,"REVISAR DUPLICADO",IF(AA2884&lt;&gt;"","ACTUALIZADO POR EYR","SIN REPORTE EYR")))</f>
        <v/>
      </c>
    </row>
    <row r="2885" spans="11:30" x14ac:dyDescent="0.3">
      <c r="K2885" s="1" t="str">
        <f ca="1">IF(A2885="","",IF(OR(L2885="ENTREGADA",L2885="RETORNADA",L2885="ENTREGA DIGITAL"),0,MAX(0,5-NETWORKDAYS(H2885+1,TODAY()))))</f>
        <v/>
      </c>
      <c r="L2885" t="str">
        <f>IF(A2885="","",IFERROR(LOOKUP(2,1/(#REF!=Z2885),#REF!),Y2885))</f>
        <v/>
      </c>
      <c r="Z2885" t="str">
        <f>IF(A2885="","",TEXT(A2885,"0")&amp;"|"&amp;TEXT(H2885,"0"))</f>
        <v/>
      </c>
      <c r="AA2885" t="str">
        <f>IF(Z2885="","",IFERROR(LOOKUP(2,1/(#REF!=Z2885),#REF!),""))</f>
        <v/>
      </c>
      <c r="AB2885" t="str">
        <f>IF(Z2885="","",IFERROR(LOOKUP(2,1/(#REF!=Z2885),#REF!),""))</f>
        <v/>
      </c>
      <c r="AC2885" t="str">
        <f>IF(Z2885="","",COUNTIF(#REF!,Z2885))</f>
        <v/>
      </c>
      <c r="AD2885" t="str">
        <f>IF(A2885="","",IF(AC2885&gt;1,"REVISAR DUPLICADO",IF(AA2885&lt;&gt;"","ACTUALIZADO POR EYR","SIN REPORTE EYR")))</f>
        <v/>
      </c>
    </row>
    <row r="2886" spans="11:30" x14ac:dyDescent="0.3">
      <c r="K2886" s="1" t="str">
        <f ca="1">IF(A2886="","",IF(OR(L2886="ENTREGADA",L2886="RETORNADA",L2886="ENTREGA DIGITAL"),0,MAX(0,5-NETWORKDAYS(H2886+1,TODAY()))))</f>
        <v/>
      </c>
      <c r="L2886" t="str">
        <f>IF(A2886="","",IFERROR(LOOKUP(2,1/(#REF!=Z2886),#REF!),Y2886))</f>
        <v/>
      </c>
      <c r="Z2886" t="str">
        <f>IF(A2886="","",TEXT(A2886,"0")&amp;"|"&amp;TEXT(H2886,"0"))</f>
        <v/>
      </c>
      <c r="AA2886" t="str">
        <f>IF(Z2886="","",IFERROR(LOOKUP(2,1/(#REF!=Z2886),#REF!),""))</f>
        <v/>
      </c>
      <c r="AB2886" t="str">
        <f>IF(Z2886="","",IFERROR(LOOKUP(2,1/(#REF!=Z2886),#REF!),""))</f>
        <v/>
      </c>
      <c r="AC2886" t="str">
        <f>IF(Z2886="","",COUNTIF(#REF!,Z2886))</f>
        <v/>
      </c>
      <c r="AD2886" t="str">
        <f>IF(A2886="","",IF(AC2886&gt;1,"REVISAR DUPLICADO",IF(AA2886&lt;&gt;"","ACTUALIZADO POR EYR","SIN REPORTE EYR")))</f>
        <v/>
      </c>
    </row>
    <row r="2887" spans="11:30" x14ac:dyDescent="0.3">
      <c r="K2887" s="1" t="str">
        <f ca="1">IF(A2887="","",IF(OR(L2887="ENTREGADA",L2887="RETORNADA",L2887="ENTREGA DIGITAL"),0,MAX(0,5-NETWORKDAYS(H2887+1,TODAY()))))</f>
        <v/>
      </c>
      <c r="L2887" t="str">
        <f>IF(A2887="","",IFERROR(LOOKUP(2,1/(#REF!=Z2887),#REF!),Y2887))</f>
        <v/>
      </c>
      <c r="Z2887" t="str">
        <f>IF(A2887="","",TEXT(A2887,"0")&amp;"|"&amp;TEXT(H2887,"0"))</f>
        <v/>
      </c>
      <c r="AA2887" t="str">
        <f>IF(Z2887="","",IFERROR(LOOKUP(2,1/(#REF!=Z2887),#REF!),""))</f>
        <v/>
      </c>
      <c r="AB2887" t="str">
        <f>IF(Z2887="","",IFERROR(LOOKUP(2,1/(#REF!=Z2887),#REF!),""))</f>
        <v/>
      </c>
      <c r="AC2887" t="str">
        <f>IF(Z2887="","",COUNTIF(#REF!,Z2887))</f>
        <v/>
      </c>
      <c r="AD2887" t="str">
        <f>IF(A2887="","",IF(AC2887&gt;1,"REVISAR DUPLICADO",IF(AA2887&lt;&gt;"","ACTUALIZADO POR EYR","SIN REPORTE EYR")))</f>
        <v/>
      </c>
    </row>
    <row r="2888" spans="11:30" x14ac:dyDescent="0.3">
      <c r="K2888" s="1" t="str">
        <f ca="1">IF(A2888="","",IF(OR(L2888="ENTREGADA",L2888="RETORNADA",L2888="ENTREGA DIGITAL"),0,MAX(0,5-NETWORKDAYS(H2888+1,TODAY()))))</f>
        <v/>
      </c>
      <c r="L2888" t="str">
        <f>IF(A2888="","",IFERROR(LOOKUP(2,1/(#REF!=Z2888),#REF!),Y2888))</f>
        <v/>
      </c>
      <c r="Z2888" t="str">
        <f>IF(A2888="","",TEXT(A2888,"0")&amp;"|"&amp;TEXT(H2888,"0"))</f>
        <v/>
      </c>
      <c r="AA2888" t="str">
        <f>IF(Z2888="","",IFERROR(LOOKUP(2,1/(#REF!=Z2888),#REF!),""))</f>
        <v/>
      </c>
      <c r="AB2888" t="str">
        <f>IF(Z2888="","",IFERROR(LOOKUP(2,1/(#REF!=Z2888),#REF!),""))</f>
        <v/>
      </c>
      <c r="AC2888" t="str">
        <f>IF(Z2888="","",COUNTIF(#REF!,Z2888))</f>
        <v/>
      </c>
      <c r="AD2888" t="str">
        <f>IF(A2888="","",IF(AC2888&gt;1,"REVISAR DUPLICADO",IF(AA2888&lt;&gt;"","ACTUALIZADO POR EYR","SIN REPORTE EYR")))</f>
        <v/>
      </c>
    </row>
    <row r="2889" spans="11:30" x14ac:dyDescent="0.3">
      <c r="K2889" s="1" t="str">
        <f ca="1">IF(A2889="","",IF(OR(L2889="ENTREGADA",L2889="RETORNADA",L2889="ENTREGA DIGITAL"),0,MAX(0,5-NETWORKDAYS(H2889+1,TODAY()))))</f>
        <v/>
      </c>
      <c r="L2889" t="str">
        <f>IF(A2889="","",IFERROR(LOOKUP(2,1/(#REF!=Z2889),#REF!),Y2889))</f>
        <v/>
      </c>
      <c r="Z2889" t="str">
        <f>IF(A2889="","",TEXT(A2889,"0")&amp;"|"&amp;TEXT(H2889,"0"))</f>
        <v/>
      </c>
      <c r="AA2889" t="str">
        <f>IF(Z2889="","",IFERROR(LOOKUP(2,1/(#REF!=Z2889),#REF!),""))</f>
        <v/>
      </c>
      <c r="AB2889" t="str">
        <f>IF(Z2889="","",IFERROR(LOOKUP(2,1/(#REF!=Z2889),#REF!),""))</f>
        <v/>
      </c>
      <c r="AC2889" t="str">
        <f>IF(Z2889="","",COUNTIF(#REF!,Z2889))</f>
        <v/>
      </c>
      <c r="AD2889" t="str">
        <f>IF(A2889="","",IF(AC2889&gt;1,"REVISAR DUPLICADO",IF(AA2889&lt;&gt;"","ACTUALIZADO POR EYR","SIN REPORTE EYR")))</f>
        <v/>
      </c>
    </row>
    <row r="2890" spans="11:30" x14ac:dyDescent="0.3">
      <c r="K2890" s="1" t="str">
        <f ca="1">IF(A2890="","",IF(OR(L2890="ENTREGADA",L2890="RETORNADA",L2890="ENTREGA DIGITAL"),0,MAX(0,5-NETWORKDAYS(H2890+1,TODAY()))))</f>
        <v/>
      </c>
      <c r="L2890" t="str">
        <f>IF(A2890="","",IFERROR(LOOKUP(2,1/(#REF!=Z2890),#REF!),Y2890))</f>
        <v/>
      </c>
      <c r="Z2890" t="str">
        <f>IF(A2890="","",TEXT(A2890,"0")&amp;"|"&amp;TEXT(H2890,"0"))</f>
        <v/>
      </c>
      <c r="AA2890" t="str">
        <f>IF(Z2890="","",IFERROR(LOOKUP(2,1/(#REF!=Z2890),#REF!),""))</f>
        <v/>
      </c>
      <c r="AB2890" t="str">
        <f>IF(Z2890="","",IFERROR(LOOKUP(2,1/(#REF!=Z2890),#REF!),""))</f>
        <v/>
      </c>
      <c r="AC2890" t="str">
        <f>IF(Z2890="","",COUNTIF(#REF!,Z2890))</f>
        <v/>
      </c>
      <c r="AD2890" t="str">
        <f>IF(A2890="","",IF(AC2890&gt;1,"REVISAR DUPLICADO",IF(AA2890&lt;&gt;"","ACTUALIZADO POR EYR","SIN REPORTE EYR")))</f>
        <v/>
      </c>
    </row>
    <row r="2891" spans="11:30" x14ac:dyDescent="0.3">
      <c r="K2891" s="1" t="str">
        <f ca="1">IF(A2891="","",IF(OR(L2891="ENTREGADA",L2891="RETORNADA",L2891="ENTREGA DIGITAL"),0,MAX(0,5-NETWORKDAYS(H2891+1,TODAY()))))</f>
        <v/>
      </c>
      <c r="L2891" t="str">
        <f>IF(A2891="","",IFERROR(LOOKUP(2,1/(#REF!=Z2891),#REF!),Y2891))</f>
        <v/>
      </c>
      <c r="Z2891" t="str">
        <f>IF(A2891="","",TEXT(A2891,"0")&amp;"|"&amp;TEXT(H2891,"0"))</f>
        <v/>
      </c>
      <c r="AA2891" t="str">
        <f>IF(Z2891="","",IFERROR(LOOKUP(2,1/(#REF!=Z2891),#REF!),""))</f>
        <v/>
      </c>
      <c r="AB2891" t="str">
        <f>IF(Z2891="","",IFERROR(LOOKUP(2,1/(#REF!=Z2891),#REF!),""))</f>
        <v/>
      </c>
      <c r="AC2891" t="str">
        <f>IF(Z2891="","",COUNTIF(#REF!,Z2891))</f>
        <v/>
      </c>
      <c r="AD2891" t="str">
        <f>IF(A2891="","",IF(AC2891&gt;1,"REVISAR DUPLICADO",IF(AA2891&lt;&gt;"","ACTUALIZADO POR EYR","SIN REPORTE EYR")))</f>
        <v/>
      </c>
    </row>
    <row r="2892" spans="11:30" x14ac:dyDescent="0.3">
      <c r="K2892" s="1" t="str">
        <f ca="1">IF(A2892="","",IF(OR(L2892="ENTREGADA",L2892="RETORNADA",L2892="ENTREGA DIGITAL"),0,MAX(0,5-NETWORKDAYS(H2892+1,TODAY()))))</f>
        <v/>
      </c>
      <c r="L2892" t="str">
        <f>IF(A2892="","",IFERROR(LOOKUP(2,1/(#REF!=Z2892),#REF!),Y2892))</f>
        <v/>
      </c>
      <c r="Z2892" t="str">
        <f>IF(A2892="","",TEXT(A2892,"0")&amp;"|"&amp;TEXT(H2892,"0"))</f>
        <v/>
      </c>
      <c r="AA2892" t="str">
        <f>IF(Z2892="","",IFERROR(LOOKUP(2,1/(#REF!=Z2892),#REF!),""))</f>
        <v/>
      </c>
      <c r="AB2892" t="str">
        <f>IF(Z2892="","",IFERROR(LOOKUP(2,1/(#REF!=Z2892),#REF!),""))</f>
        <v/>
      </c>
      <c r="AC2892" t="str">
        <f>IF(Z2892="","",COUNTIF(#REF!,Z2892))</f>
        <v/>
      </c>
      <c r="AD2892" t="str">
        <f>IF(A2892="","",IF(AC2892&gt;1,"REVISAR DUPLICADO",IF(AA2892&lt;&gt;"","ACTUALIZADO POR EYR","SIN REPORTE EYR")))</f>
        <v/>
      </c>
    </row>
    <row r="2893" spans="11:30" x14ac:dyDescent="0.3">
      <c r="K2893" s="1" t="str">
        <f ca="1">IF(A2893="","",IF(OR(L2893="ENTREGADA",L2893="RETORNADA",L2893="ENTREGA DIGITAL"),0,MAX(0,5-NETWORKDAYS(H2893+1,TODAY()))))</f>
        <v/>
      </c>
      <c r="L2893" t="str">
        <f>IF(A2893="","",IFERROR(LOOKUP(2,1/(#REF!=Z2893),#REF!),Y2893))</f>
        <v/>
      </c>
      <c r="Z2893" t="str">
        <f>IF(A2893="","",TEXT(A2893,"0")&amp;"|"&amp;TEXT(H2893,"0"))</f>
        <v/>
      </c>
      <c r="AA2893" t="str">
        <f>IF(Z2893="","",IFERROR(LOOKUP(2,1/(#REF!=Z2893),#REF!),""))</f>
        <v/>
      </c>
      <c r="AB2893" t="str">
        <f>IF(Z2893="","",IFERROR(LOOKUP(2,1/(#REF!=Z2893),#REF!),""))</f>
        <v/>
      </c>
      <c r="AC2893" t="str">
        <f>IF(Z2893="","",COUNTIF(#REF!,Z2893))</f>
        <v/>
      </c>
      <c r="AD2893" t="str">
        <f>IF(A2893="","",IF(AC2893&gt;1,"REVISAR DUPLICADO",IF(AA2893&lt;&gt;"","ACTUALIZADO POR EYR","SIN REPORTE EYR")))</f>
        <v/>
      </c>
    </row>
    <row r="2894" spans="11:30" x14ac:dyDescent="0.3">
      <c r="K2894" s="1" t="str">
        <f ca="1">IF(A2894="","",IF(OR(L2894="ENTREGADA",L2894="RETORNADA",L2894="ENTREGA DIGITAL"),0,MAX(0,5-NETWORKDAYS(H2894+1,TODAY()))))</f>
        <v/>
      </c>
      <c r="L2894" t="str">
        <f>IF(A2894="","",IFERROR(LOOKUP(2,1/(#REF!=Z2894),#REF!),Y2894))</f>
        <v/>
      </c>
      <c r="Z2894" t="str">
        <f>IF(A2894="","",TEXT(A2894,"0")&amp;"|"&amp;TEXT(H2894,"0"))</f>
        <v/>
      </c>
      <c r="AA2894" t="str">
        <f>IF(Z2894="","",IFERROR(LOOKUP(2,1/(#REF!=Z2894),#REF!),""))</f>
        <v/>
      </c>
      <c r="AB2894" t="str">
        <f>IF(Z2894="","",IFERROR(LOOKUP(2,1/(#REF!=Z2894),#REF!),""))</f>
        <v/>
      </c>
      <c r="AC2894" t="str">
        <f>IF(Z2894="","",COUNTIF(#REF!,Z2894))</f>
        <v/>
      </c>
      <c r="AD2894" t="str">
        <f>IF(A2894="","",IF(AC2894&gt;1,"REVISAR DUPLICADO",IF(AA2894&lt;&gt;"","ACTUALIZADO POR EYR","SIN REPORTE EYR")))</f>
        <v/>
      </c>
    </row>
    <row r="2895" spans="11:30" x14ac:dyDescent="0.3">
      <c r="K2895" s="1" t="str">
        <f ca="1">IF(A2895="","",IF(OR(L2895="ENTREGADA",L2895="RETORNADA",L2895="ENTREGA DIGITAL"),0,MAX(0,5-NETWORKDAYS(H2895+1,TODAY()))))</f>
        <v/>
      </c>
      <c r="L2895" t="str">
        <f>IF(A2895="","",IFERROR(LOOKUP(2,1/(#REF!=Z2895),#REF!),Y2895))</f>
        <v/>
      </c>
      <c r="Z2895" t="str">
        <f>IF(A2895="","",TEXT(A2895,"0")&amp;"|"&amp;TEXT(H2895,"0"))</f>
        <v/>
      </c>
      <c r="AA2895" t="str">
        <f>IF(Z2895="","",IFERROR(LOOKUP(2,1/(#REF!=Z2895),#REF!),""))</f>
        <v/>
      </c>
      <c r="AB2895" t="str">
        <f>IF(Z2895="","",IFERROR(LOOKUP(2,1/(#REF!=Z2895),#REF!),""))</f>
        <v/>
      </c>
      <c r="AC2895" t="str">
        <f>IF(Z2895="","",COUNTIF(#REF!,Z2895))</f>
        <v/>
      </c>
      <c r="AD2895" t="str">
        <f>IF(A2895="","",IF(AC2895&gt;1,"REVISAR DUPLICADO",IF(AA2895&lt;&gt;"","ACTUALIZADO POR EYR","SIN REPORTE EYR")))</f>
        <v/>
      </c>
    </row>
    <row r="2896" spans="11:30" x14ac:dyDescent="0.3">
      <c r="K2896" s="1" t="str">
        <f ca="1">IF(A2896="","",IF(OR(L2896="ENTREGADA",L2896="RETORNADA",L2896="ENTREGA DIGITAL"),0,MAX(0,5-NETWORKDAYS(H2896+1,TODAY()))))</f>
        <v/>
      </c>
      <c r="L2896" t="str">
        <f>IF(A2896="","",IFERROR(LOOKUP(2,1/(#REF!=Z2896),#REF!),Y2896))</f>
        <v/>
      </c>
      <c r="Z2896" t="str">
        <f>IF(A2896="","",TEXT(A2896,"0")&amp;"|"&amp;TEXT(H2896,"0"))</f>
        <v/>
      </c>
      <c r="AA2896" t="str">
        <f>IF(Z2896="","",IFERROR(LOOKUP(2,1/(#REF!=Z2896),#REF!),""))</f>
        <v/>
      </c>
      <c r="AB2896" t="str">
        <f>IF(Z2896="","",IFERROR(LOOKUP(2,1/(#REF!=Z2896),#REF!),""))</f>
        <v/>
      </c>
      <c r="AC2896" t="str">
        <f>IF(Z2896="","",COUNTIF(#REF!,Z2896))</f>
        <v/>
      </c>
      <c r="AD2896" t="str">
        <f>IF(A2896="","",IF(AC2896&gt;1,"REVISAR DUPLICADO",IF(AA2896&lt;&gt;"","ACTUALIZADO POR EYR","SIN REPORTE EYR")))</f>
        <v/>
      </c>
    </row>
    <row r="2897" spans="11:30" x14ac:dyDescent="0.3">
      <c r="K2897" s="1" t="str">
        <f ca="1">IF(A2897="","",IF(OR(L2897="ENTREGADA",L2897="RETORNADA",L2897="ENTREGA DIGITAL"),0,MAX(0,5-NETWORKDAYS(H2897+1,TODAY()))))</f>
        <v/>
      </c>
      <c r="L2897" t="str">
        <f>IF(A2897="","",IFERROR(LOOKUP(2,1/(#REF!=Z2897),#REF!),Y2897))</f>
        <v/>
      </c>
      <c r="Z2897" t="str">
        <f>IF(A2897="","",TEXT(A2897,"0")&amp;"|"&amp;TEXT(H2897,"0"))</f>
        <v/>
      </c>
      <c r="AA2897" t="str">
        <f>IF(Z2897="","",IFERROR(LOOKUP(2,1/(#REF!=Z2897),#REF!),""))</f>
        <v/>
      </c>
      <c r="AB2897" t="str">
        <f>IF(Z2897="","",IFERROR(LOOKUP(2,1/(#REF!=Z2897),#REF!),""))</f>
        <v/>
      </c>
      <c r="AC2897" t="str">
        <f>IF(Z2897="","",COUNTIF(#REF!,Z2897))</f>
        <v/>
      </c>
      <c r="AD2897" t="str">
        <f>IF(A2897="","",IF(AC2897&gt;1,"REVISAR DUPLICADO",IF(AA2897&lt;&gt;"","ACTUALIZADO POR EYR","SIN REPORTE EYR")))</f>
        <v/>
      </c>
    </row>
    <row r="2898" spans="11:30" x14ac:dyDescent="0.3">
      <c r="K2898" s="1" t="str">
        <f ca="1">IF(A2898="","",IF(OR(L2898="ENTREGADA",L2898="RETORNADA",L2898="ENTREGA DIGITAL"),0,MAX(0,5-NETWORKDAYS(H2898+1,TODAY()))))</f>
        <v/>
      </c>
      <c r="L2898" t="str">
        <f>IF(A2898="","",IFERROR(LOOKUP(2,1/(#REF!=Z2898),#REF!),Y2898))</f>
        <v/>
      </c>
      <c r="Z2898" t="str">
        <f>IF(A2898="","",TEXT(A2898,"0")&amp;"|"&amp;TEXT(H2898,"0"))</f>
        <v/>
      </c>
      <c r="AA2898" t="str">
        <f>IF(Z2898="","",IFERROR(LOOKUP(2,1/(#REF!=Z2898),#REF!),""))</f>
        <v/>
      </c>
      <c r="AB2898" t="str">
        <f>IF(Z2898="","",IFERROR(LOOKUP(2,1/(#REF!=Z2898),#REF!),""))</f>
        <v/>
      </c>
      <c r="AC2898" t="str">
        <f>IF(Z2898="","",COUNTIF(#REF!,Z2898))</f>
        <v/>
      </c>
      <c r="AD2898" t="str">
        <f>IF(A2898="","",IF(AC2898&gt;1,"REVISAR DUPLICADO",IF(AA2898&lt;&gt;"","ACTUALIZADO POR EYR","SIN REPORTE EYR")))</f>
        <v/>
      </c>
    </row>
    <row r="2899" spans="11:30" x14ac:dyDescent="0.3">
      <c r="K2899" s="1" t="str">
        <f ca="1">IF(A2899="","",IF(OR(L2899="ENTREGADA",L2899="RETORNADA",L2899="ENTREGA DIGITAL"),0,MAX(0,5-NETWORKDAYS(H2899+1,TODAY()))))</f>
        <v/>
      </c>
      <c r="L2899" t="str">
        <f>IF(A2899="","",IFERROR(LOOKUP(2,1/(#REF!=Z2899),#REF!),Y2899))</f>
        <v/>
      </c>
      <c r="Z2899" t="str">
        <f>IF(A2899="","",TEXT(A2899,"0")&amp;"|"&amp;TEXT(H2899,"0"))</f>
        <v/>
      </c>
      <c r="AA2899" t="str">
        <f>IF(Z2899="","",IFERROR(LOOKUP(2,1/(#REF!=Z2899),#REF!),""))</f>
        <v/>
      </c>
      <c r="AB2899" t="str">
        <f>IF(Z2899="","",IFERROR(LOOKUP(2,1/(#REF!=Z2899),#REF!),""))</f>
        <v/>
      </c>
      <c r="AC2899" t="str">
        <f>IF(Z2899="","",COUNTIF(#REF!,Z2899))</f>
        <v/>
      </c>
      <c r="AD2899" t="str">
        <f>IF(A2899="","",IF(AC2899&gt;1,"REVISAR DUPLICADO",IF(AA2899&lt;&gt;"","ACTUALIZADO POR EYR","SIN REPORTE EYR")))</f>
        <v/>
      </c>
    </row>
    <row r="2900" spans="11:30" x14ac:dyDescent="0.3">
      <c r="K2900" s="1" t="str">
        <f ca="1">IF(A2900="","",IF(OR(L2900="ENTREGADA",L2900="RETORNADA",L2900="ENTREGA DIGITAL"),0,MAX(0,5-NETWORKDAYS(H2900+1,TODAY()))))</f>
        <v/>
      </c>
      <c r="L2900" t="str">
        <f>IF(A2900="","",IFERROR(LOOKUP(2,1/(#REF!=Z2900),#REF!),Y2900))</f>
        <v/>
      </c>
      <c r="Z2900" t="str">
        <f>IF(A2900="","",TEXT(A2900,"0")&amp;"|"&amp;TEXT(H2900,"0"))</f>
        <v/>
      </c>
      <c r="AA2900" t="str">
        <f>IF(Z2900="","",IFERROR(LOOKUP(2,1/(#REF!=Z2900),#REF!),""))</f>
        <v/>
      </c>
      <c r="AB2900" t="str">
        <f>IF(Z2900="","",IFERROR(LOOKUP(2,1/(#REF!=Z2900),#REF!),""))</f>
        <v/>
      </c>
      <c r="AC2900" t="str">
        <f>IF(Z2900="","",COUNTIF(#REF!,Z2900))</f>
        <v/>
      </c>
      <c r="AD2900" t="str">
        <f>IF(A2900="","",IF(AC2900&gt;1,"REVISAR DUPLICADO",IF(AA2900&lt;&gt;"","ACTUALIZADO POR EYR","SIN REPORTE EYR")))</f>
        <v/>
      </c>
    </row>
    <row r="2901" spans="11:30" x14ac:dyDescent="0.3">
      <c r="K2901" s="1" t="str">
        <f ca="1">IF(A2901="","",IF(OR(L2901="ENTREGADA",L2901="RETORNADA",L2901="ENTREGA DIGITAL"),0,MAX(0,5-NETWORKDAYS(H2901+1,TODAY()))))</f>
        <v/>
      </c>
      <c r="L2901" t="str">
        <f>IF(A2901="","",IFERROR(LOOKUP(2,1/(#REF!=Z2901),#REF!),Y2901))</f>
        <v/>
      </c>
      <c r="Z2901" t="str">
        <f>IF(A2901="","",TEXT(A2901,"0")&amp;"|"&amp;TEXT(H2901,"0"))</f>
        <v/>
      </c>
      <c r="AA2901" t="str">
        <f>IF(Z2901="","",IFERROR(LOOKUP(2,1/(#REF!=Z2901),#REF!),""))</f>
        <v/>
      </c>
      <c r="AB2901" t="str">
        <f>IF(Z2901="","",IFERROR(LOOKUP(2,1/(#REF!=Z2901),#REF!),""))</f>
        <v/>
      </c>
      <c r="AC2901" t="str">
        <f>IF(Z2901="","",COUNTIF(#REF!,Z2901))</f>
        <v/>
      </c>
      <c r="AD2901" t="str">
        <f>IF(A2901="","",IF(AC2901&gt;1,"REVISAR DUPLICADO",IF(AA2901&lt;&gt;"","ACTUALIZADO POR EYR","SIN REPORTE EYR")))</f>
        <v/>
      </c>
    </row>
    <row r="2902" spans="11:30" x14ac:dyDescent="0.3">
      <c r="K2902" s="1" t="str">
        <f ca="1">IF(A2902="","",IF(OR(L2902="ENTREGADA",L2902="RETORNADA",L2902="ENTREGA DIGITAL"),0,MAX(0,5-NETWORKDAYS(H2902+1,TODAY()))))</f>
        <v/>
      </c>
      <c r="L2902" t="str">
        <f>IF(A2902="","",IFERROR(LOOKUP(2,1/(#REF!=Z2902),#REF!),Y2902))</f>
        <v/>
      </c>
      <c r="Z2902" t="str">
        <f>IF(A2902="","",TEXT(A2902,"0")&amp;"|"&amp;TEXT(H2902,"0"))</f>
        <v/>
      </c>
      <c r="AA2902" t="str">
        <f>IF(Z2902="","",IFERROR(LOOKUP(2,1/(#REF!=Z2902),#REF!),""))</f>
        <v/>
      </c>
      <c r="AB2902" t="str">
        <f>IF(Z2902="","",IFERROR(LOOKUP(2,1/(#REF!=Z2902),#REF!),""))</f>
        <v/>
      </c>
      <c r="AC2902" t="str">
        <f>IF(Z2902="","",COUNTIF(#REF!,Z2902))</f>
        <v/>
      </c>
      <c r="AD2902" t="str">
        <f>IF(A2902="","",IF(AC2902&gt;1,"REVISAR DUPLICADO",IF(AA2902&lt;&gt;"","ACTUALIZADO POR EYR","SIN REPORTE EYR")))</f>
        <v/>
      </c>
    </row>
    <row r="2903" spans="11:30" x14ac:dyDescent="0.3">
      <c r="K2903" s="1" t="str">
        <f ca="1">IF(A2903="","",IF(OR(L2903="ENTREGADA",L2903="RETORNADA",L2903="ENTREGA DIGITAL"),0,MAX(0,5-NETWORKDAYS(H2903+1,TODAY()))))</f>
        <v/>
      </c>
      <c r="L2903" t="str">
        <f>IF(A2903="","",IFERROR(LOOKUP(2,1/(#REF!=Z2903),#REF!),Y2903))</f>
        <v/>
      </c>
      <c r="Z2903" t="str">
        <f>IF(A2903="","",TEXT(A2903,"0")&amp;"|"&amp;TEXT(H2903,"0"))</f>
        <v/>
      </c>
      <c r="AA2903" t="str">
        <f>IF(Z2903="","",IFERROR(LOOKUP(2,1/(#REF!=Z2903),#REF!),""))</f>
        <v/>
      </c>
      <c r="AB2903" t="str">
        <f>IF(Z2903="","",IFERROR(LOOKUP(2,1/(#REF!=Z2903),#REF!),""))</f>
        <v/>
      </c>
      <c r="AC2903" t="str">
        <f>IF(Z2903="","",COUNTIF(#REF!,Z2903))</f>
        <v/>
      </c>
      <c r="AD2903" t="str">
        <f>IF(A2903="","",IF(AC2903&gt;1,"REVISAR DUPLICADO",IF(AA2903&lt;&gt;"","ACTUALIZADO POR EYR","SIN REPORTE EYR")))</f>
        <v/>
      </c>
    </row>
    <row r="2904" spans="11:30" x14ac:dyDescent="0.3">
      <c r="K2904" s="1" t="str">
        <f ca="1">IF(A2904="","",IF(OR(L2904="ENTREGADA",L2904="RETORNADA",L2904="ENTREGA DIGITAL"),0,MAX(0,5-NETWORKDAYS(H2904+1,TODAY()))))</f>
        <v/>
      </c>
      <c r="L2904" t="str">
        <f>IF(A2904="","",IFERROR(LOOKUP(2,1/(#REF!=Z2904),#REF!),Y2904))</f>
        <v/>
      </c>
      <c r="Z2904" t="str">
        <f>IF(A2904="","",TEXT(A2904,"0")&amp;"|"&amp;TEXT(H2904,"0"))</f>
        <v/>
      </c>
      <c r="AA2904" t="str">
        <f>IF(Z2904="","",IFERROR(LOOKUP(2,1/(#REF!=Z2904),#REF!),""))</f>
        <v/>
      </c>
      <c r="AB2904" t="str">
        <f>IF(Z2904="","",IFERROR(LOOKUP(2,1/(#REF!=Z2904),#REF!),""))</f>
        <v/>
      </c>
      <c r="AC2904" t="str">
        <f>IF(Z2904="","",COUNTIF(#REF!,Z2904))</f>
        <v/>
      </c>
      <c r="AD2904" t="str">
        <f>IF(A2904="","",IF(AC2904&gt;1,"REVISAR DUPLICADO",IF(AA2904&lt;&gt;"","ACTUALIZADO POR EYR","SIN REPORTE EYR")))</f>
        <v/>
      </c>
    </row>
    <row r="2905" spans="11:30" x14ac:dyDescent="0.3">
      <c r="K2905" s="1" t="str">
        <f ca="1">IF(A2905="","",IF(OR(L2905="ENTREGADA",L2905="RETORNADA",L2905="ENTREGA DIGITAL"),0,MAX(0,5-NETWORKDAYS(H2905+1,TODAY()))))</f>
        <v/>
      </c>
      <c r="L2905" t="str">
        <f>IF(A2905="","",IFERROR(LOOKUP(2,1/(#REF!=Z2905),#REF!),Y2905))</f>
        <v/>
      </c>
      <c r="Z2905" t="str">
        <f>IF(A2905="","",TEXT(A2905,"0")&amp;"|"&amp;TEXT(H2905,"0"))</f>
        <v/>
      </c>
      <c r="AA2905" t="str">
        <f>IF(Z2905="","",IFERROR(LOOKUP(2,1/(#REF!=Z2905),#REF!),""))</f>
        <v/>
      </c>
      <c r="AB2905" t="str">
        <f>IF(Z2905="","",IFERROR(LOOKUP(2,1/(#REF!=Z2905),#REF!),""))</f>
        <v/>
      </c>
      <c r="AC2905" t="str">
        <f>IF(Z2905="","",COUNTIF(#REF!,Z2905))</f>
        <v/>
      </c>
      <c r="AD2905" t="str">
        <f>IF(A2905="","",IF(AC2905&gt;1,"REVISAR DUPLICADO",IF(AA2905&lt;&gt;"","ACTUALIZADO POR EYR","SIN REPORTE EYR")))</f>
        <v/>
      </c>
    </row>
    <row r="2906" spans="11:30" x14ac:dyDescent="0.3">
      <c r="K2906" s="1" t="str">
        <f ca="1">IF(A2906="","",IF(OR(L2906="ENTREGADA",L2906="RETORNADA",L2906="ENTREGA DIGITAL"),0,MAX(0,5-NETWORKDAYS(H2906+1,TODAY()))))</f>
        <v/>
      </c>
      <c r="L2906" t="str">
        <f>IF(A2906="","",IFERROR(LOOKUP(2,1/(#REF!=Z2906),#REF!),Y2906))</f>
        <v/>
      </c>
      <c r="Z2906" t="str">
        <f>IF(A2906="","",TEXT(A2906,"0")&amp;"|"&amp;TEXT(H2906,"0"))</f>
        <v/>
      </c>
      <c r="AA2906" t="str">
        <f>IF(Z2906="","",IFERROR(LOOKUP(2,1/(#REF!=Z2906),#REF!),""))</f>
        <v/>
      </c>
      <c r="AB2906" t="str">
        <f>IF(Z2906="","",IFERROR(LOOKUP(2,1/(#REF!=Z2906),#REF!),""))</f>
        <v/>
      </c>
      <c r="AC2906" t="str">
        <f>IF(Z2906="","",COUNTIF(#REF!,Z2906))</f>
        <v/>
      </c>
      <c r="AD2906" t="str">
        <f>IF(A2906="","",IF(AC2906&gt;1,"REVISAR DUPLICADO",IF(AA2906&lt;&gt;"","ACTUALIZADO POR EYR","SIN REPORTE EYR")))</f>
        <v/>
      </c>
    </row>
    <row r="2907" spans="11:30" x14ac:dyDescent="0.3">
      <c r="K2907" s="1" t="str">
        <f ca="1">IF(A2907="","",IF(OR(L2907="ENTREGADA",L2907="RETORNADA",L2907="ENTREGA DIGITAL"),0,MAX(0,5-NETWORKDAYS(H2907+1,TODAY()))))</f>
        <v/>
      </c>
      <c r="L2907" t="str">
        <f>IF(A2907="","",IFERROR(LOOKUP(2,1/(#REF!=Z2907),#REF!),Y2907))</f>
        <v/>
      </c>
      <c r="Z2907" t="str">
        <f>IF(A2907="","",TEXT(A2907,"0")&amp;"|"&amp;TEXT(H2907,"0"))</f>
        <v/>
      </c>
      <c r="AA2907" t="str">
        <f>IF(Z2907="","",IFERROR(LOOKUP(2,1/(#REF!=Z2907),#REF!),""))</f>
        <v/>
      </c>
      <c r="AB2907" t="str">
        <f>IF(Z2907="","",IFERROR(LOOKUP(2,1/(#REF!=Z2907),#REF!),""))</f>
        <v/>
      </c>
      <c r="AC2907" t="str">
        <f>IF(Z2907="","",COUNTIF(#REF!,Z2907))</f>
        <v/>
      </c>
      <c r="AD2907" t="str">
        <f>IF(A2907="","",IF(AC2907&gt;1,"REVISAR DUPLICADO",IF(AA2907&lt;&gt;"","ACTUALIZADO POR EYR","SIN REPORTE EYR")))</f>
        <v/>
      </c>
    </row>
    <row r="2908" spans="11:30" x14ac:dyDescent="0.3">
      <c r="K2908" s="1" t="str">
        <f ca="1">IF(A2908="","",IF(OR(L2908="ENTREGADA",L2908="RETORNADA",L2908="ENTREGA DIGITAL"),0,MAX(0,5-NETWORKDAYS(H2908+1,TODAY()))))</f>
        <v/>
      </c>
      <c r="L2908" t="str">
        <f>IF(A2908="","",IFERROR(LOOKUP(2,1/(#REF!=Z2908),#REF!),Y2908))</f>
        <v/>
      </c>
      <c r="Z2908" t="str">
        <f>IF(A2908="","",TEXT(A2908,"0")&amp;"|"&amp;TEXT(H2908,"0"))</f>
        <v/>
      </c>
      <c r="AA2908" t="str">
        <f>IF(Z2908="","",IFERROR(LOOKUP(2,1/(#REF!=Z2908),#REF!),""))</f>
        <v/>
      </c>
      <c r="AB2908" t="str">
        <f>IF(Z2908="","",IFERROR(LOOKUP(2,1/(#REF!=Z2908),#REF!),""))</f>
        <v/>
      </c>
      <c r="AC2908" t="str">
        <f>IF(Z2908="","",COUNTIF(#REF!,Z2908))</f>
        <v/>
      </c>
      <c r="AD2908" t="str">
        <f>IF(A2908="","",IF(AC2908&gt;1,"REVISAR DUPLICADO",IF(AA2908&lt;&gt;"","ACTUALIZADO POR EYR","SIN REPORTE EYR")))</f>
        <v/>
      </c>
    </row>
    <row r="2909" spans="11:30" x14ac:dyDescent="0.3">
      <c r="K2909" s="1" t="str">
        <f ca="1">IF(A2909="","",IF(OR(L2909="ENTREGADA",L2909="RETORNADA",L2909="ENTREGA DIGITAL"),0,MAX(0,5-NETWORKDAYS(H2909+1,TODAY()))))</f>
        <v/>
      </c>
      <c r="L2909" t="str">
        <f>IF(A2909="","",IFERROR(LOOKUP(2,1/(#REF!=Z2909),#REF!),Y2909))</f>
        <v/>
      </c>
      <c r="Z2909" t="str">
        <f>IF(A2909="","",TEXT(A2909,"0")&amp;"|"&amp;TEXT(H2909,"0"))</f>
        <v/>
      </c>
      <c r="AA2909" t="str">
        <f>IF(Z2909="","",IFERROR(LOOKUP(2,1/(#REF!=Z2909),#REF!),""))</f>
        <v/>
      </c>
      <c r="AB2909" t="str">
        <f>IF(Z2909="","",IFERROR(LOOKUP(2,1/(#REF!=Z2909),#REF!),""))</f>
        <v/>
      </c>
      <c r="AC2909" t="str">
        <f>IF(Z2909="","",COUNTIF(#REF!,Z2909))</f>
        <v/>
      </c>
      <c r="AD2909" t="str">
        <f>IF(A2909="","",IF(AC2909&gt;1,"REVISAR DUPLICADO",IF(AA2909&lt;&gt;"","ACTUALIZADO POR EYR","SIN REPORTE EYR")))</f>
        <v/>
      </c>
    </row>
    <row r="2910" spans="11:30" x14ac:dyDescent="0.3">
      <c r="K2910" s="1" t="str">
        <f ca="1">IF(A2910="","",IF(OR(L2910="ENTREGADA",L2910="RETORNADA",L2910="ENTREGA DIGITAL"),0,MAX(0,5-NETWORKDAYS(H2910+1,TODAY()))))</f>
        <v/>
      </c>
      <c r="L2910" t="str">
        <f>IF(A2910="","",IFERROR(LOOKUP(2,1/(#REF!=Z2910),#REF!),Y2910))</f>
        <v/>
      </c>
      <c r="Z2910" t="str">
        <f>IF(A2910="","",TEXT(A2910,"0")&amp;"|"&amp;TEXT(H2910,"0"))</f>
        <v/>
      </c>
      <c r="AA2910" t="str">
        <f>IF(Z2910="","",IFERROR(LOOKUP(2,1/(#REF!=Z2910),#REF!),""))</f>
        <v/>
      </c>
      <c r="AB2910" t="str">
        <f>IF(Z2910="","",IFERROR(LOOKUP(2,1/(#REF!=Z2910),#REF!),""))</f>
        <v/>
      </c>
      <c r="AC2910" t="str">
        <f>IF(Z2910="","",COUNTIF(#REF!,Z2910))</f>
        <v/>
      </c>
      <c r="AD2910" t="str">
        <f>IF(A2910="","",IF(AC2910&gt;1,"REVISAR DUPLICADO",IF(AA2910&lt;&gt;"","ACTUALIZADO POR EYR","SIN REPORTE EYR")))</f>
        <v/>
      </c>
    </row>
    <row r="2911" spans="11:30" x14ac:dyDescent="0.3">
      <c r="K2911" s="1" t="str">
        <f ca="1">IF(A2911="","",IF(OR(L2911="ENTREGADA",L2911="RETORNADA",L2911="ENTREGA DIGITAL"),0,MAX(0,5-NETWORKDAYS(H2911+1,TODAY()))))</f>
        <v/>
      </c>
      <c r="L2911" t="str">
        <f>IF(A2911="","",IFERROR(LOOKUP(2,1/(#REF!=Z2911),#REF!),Y2911))</f>
        <v/>
      </c>
      <c r="Z2911" t="str">
        <f>IF(A2911="","",TEXT(A2911,"0")&amp;"|"&amp;TEXT(H2911,"0"))</f>
        <v/>
      </c>
      <c r="AA2911" t="str">
        <f>IF(Z2911="","",IFERROR(LOOKUP(2,1/(#REF!=Z2911),#REF!),""))</f>
        <v/>
      </c>
      <c r="AB2911" t="str">
        <f>IF(Z2911="","",IFERROR(LOOKUP(2,1/(#REF!=Z2911),#REF!),""))</f>
        <v/>
      </c>
      <c r="AC2911" t="str">
        <f>IF(Z2911="","",COUNTIF(#REF!,Z2911))</f>
        <v/>
      </c>
      <c r="AD2911" t="str">
        <f>IF(A2911="","",IF(AC2911&gt;1,"REVISAR DUPLICADO",IF(AA2911&lt;&gt;"","ACTUALIZADO POR EYR","SIN REPORTE EYR")))</f>
        <v/>
      </c>
    </row>
    <row r="2912" spans="11:30" x14ac:dyDescent="0.3">
      <c r="K2912" s="1" t="str">
        <f ca="1">IF(A2912="","",IF(OR(L2912="ENTREGADA",L2912="RETORNADA",L2912="ENTREGA DIGITAL"),0,MAX(0,5-NETWORKDAYS(H2912+1,TODAY()))))</f>
        <v/>
      </c>
      <c r="L2912" t="str">
        <f>IF(A2912="","",IFERROR(LOOKUP(2,1/(#REF!=Z2912),#REF!),Y2912))</f>
        <v/>
      </c>
      <c r="Z2912" t="str">
        <f>IF(A2912="","",TEXT(A2912,"0")&amp;"|"&amp;TEXT(H2912,"0"))</f>
        <v/>
      </c>
      <c r="AA2912" t="str">
        <f>IF(Z2912="","",IFERROR(LOOKUP(2,1/(#REF!=Z2912),#REF!),""))</f>
        <v/>
      </c>
      <c r="AB2912" t="str">
        <f>IF(Z2912="","",IFERROR(LOOKUP(2,1/(#REF!=Z2912),#REF!),""))</f>
        <v/>
      </c>
      <c r="AC2912" t="str">
        <f>IF(Z2912="","",COUNTIF(#REF!,Z2912))</f>
        <v/>
      </c>
      <c r="AD2912" t="str">
        <f>IF(A2912="","",IF(AC2912&gt;1,"REVISAR DUPLICADO",IF(AA2912&lt;&gt;"","ACTUALIZADO POR EYR","SIN REPORTE EYR")))</f>
        <v/>
      </c>
    </row>
    <row r="2913" spans="11:30" x14ac:dyDescent="0.3">
      <c r="K2913" s="1" t="str">
        <f ca="1">IF(A2913="","",IF(OR(L2913="ENTREGADA",L2913="RETORNADA",L2913="ENTREGA DIGITAL"),0,MAX(0,5-NETWORKDAYS(H2913+1,TODAY()))))</f>
        <v/>
      </c>
      <c r="L2913" t="str">
        <f>IF(A2913="","",IFERROR(LOOKUP(2,1/(#REF!=Z2913),#REF!),Y2913))</f>
        <v/>
      </c>
      <c r="Z2913" t="str">
        <f>IF(A2913="","",TEXT(A2913,"0")&amp;"|"&amp;TEXT(H2913,"0"))</f>
        <v/>
      </c>
      <c r="AA2913" t="str">
        <f>IF(Z2913="","",IFERROR(LOOKUP(2,1/(#REF!=Z2913),#REF!),""))</f>
        <v/>
      </c>
      <c r="AB2913" t="str">
        <f>IF(Z2913="","",IFERROR(LOOKUP(2,1/(#REF!=Z2913),#REF!),""))</f>
        <v/>
      </c>
      <c r="AC2913" t="str">
        <f>IF(Z2913="","",COUNTIF(#REF!,Z2913))</f>
        <v/>
      </c>
      <c r="AD2913" t="str">
        <f>IF(A2913="","",IF(AC2913&gt;1,"REVISAR DUPLICADO",IF(AA2913&lt;&gt;"","ACTUALIZADO POR EYR","SIN REPORTE EYR")))</f>
        <v/>
      </c>
    </row>
    <row r="2914" spans="11:30" x14ac:dyDescent="0.3">
      <c r="K2914" s="1" t="str">
        <f ca="1">IF(A2914="","",IF(OR(L2914="ENTREGADA",L2914="RETORNADA",L2914="ENTREGA DIGITAL"),0,MAX(0,5-NETWORKDAYS(H2914+1,TODAY()))))</f>
        <v/>
      </c>
      <c r="L2914" t="str">
        <f>IF(A2914="","",IFERROR(LOOKUP(2,1/(#REF!=Z2914),#REF!),Y2914))</f>
        <v/>
      </c>
      <c r="Z2914" t="str">
        <f>IF(A2914="","",TEXT(A2914,"0")&amp;"|"&amp;TEXT(H2914,"0"))</f>
        <v/>
      </c>
      <c r="AA2914" t="str">
        <f>IF(Z2914="","",IFERROR(LOOKUP(2,1/(#REF!=Z2914),#REF!),""))</f>
        <v/>
      </c>
      <c r="AB2914" t="str">
        <f>IF(Z2914="","",IFERROR(LOOKUP(2,1/(#REF!=Z2914),#REF!),""))</f>
        <v/>
      </c>
      <c r="AC2914" t="str">
        <f>IF(Z2914="","",COUNTIF(#REF!,Z2914))</f>
        <v/>
      </c>
      <c r="AD2914" t="str">
        <f>IF(A2914="","",IF(AC2914&gt;1,"REVISAR DUPLICADO",IF(AA2914&lt;&gt;"","ACTUALIZADO POR EYR","SIN REPORTE EYR")))</f>
        <v/>
      </c>
    </row>
    <row r="2915" spans="11:30" x14ac:dyDescent="0.3">
      <c r="K2915" s="1" t="str">
        <f ca="1">IF(A2915="","",IF(OR(L2915="ENTREGADA",L2915="RETORNADA",L2915="ENTREGA DIGITAL"),0,MAX(0,5-NETWORKDAYS(H2915+1,TODAY()))))</f>
        <v/>
      </c>
      <c r="L2915" t="str">
        <f>IF(A2915="","",IFERROR(LOOKUP(2,1/(#REF!=Z2915),#REF!),Y2915))</f>
        <v/>
      </c>
      <c r="Z2915" t="str">
        <f>IF(A2915="","",TEXT(A2915,"0")&amp;"|"&amp;TEXT(H2915,"0"))</f>
        <v/>
      </c>
      <c r="AA2915" t="str">
        <f>IF(Z2915="","",IFERROR(LOOKUP(2,1/(#REF!=Z2915),#REF!),""))</f>
        <v/>
      </c>
      <c r="AB2915" t="str">
        <f>IF(Z2915="","",IFERROR(LOOKUP(2,1/(#REF!=Z2915),#REF!),""))</f>
        <v/>
      </c>
      <c r="AC2915" t="str">
        <f>IF(Z2915="","",COUNTIF(#REF!,Z2915))</f>
        <v/>
      </c>
      <c r="AD2915" t="str">
        <f>IF(A2915="","",IF(AC2915&gt;1,"REVISAR DUPLICADO",IF(AA2915&lt;&gt;"","ACTUALIZADO POR EYR","SIN REPORTE EYR")))</f>
        <v/>
      </c>
    </row>
    <row r="2916" spans="11:30" x14ac:dyDescent="0.3">
      <c r="K2916" s="1" t="str">
        <f ca="1">IF(A2916="","",IF(OR(L2916="ENTREGADA",L2916="RETORNADA",L2916="ENTREGA DIGITAL"),0,MAX(0,5-NETWORKDAYS(H2916+1,TODAY()))))</f>
        <v/>
      </c>
      <c r="L2916" t="str">
        <f>IF(A2916="","",IFERROR(LOOKUP(2,1/(#REF!=Z2916),#REF!),Y2916))</f>
        <v/>
      </c>
      <c r="Z2916" t="str">
        <f>IF(A2916="","",TEXT(A2916,"0")&amp;"|"&amp;TEXT(H2916,"0"))</f>
        <v/>
      </c>
      <c r="AA2916" t="str">
        <f>IF(Z2916="","",IFERROR(LOOKUP(2,1/(#REF!=Z2916),#REF!),""))</f>
        <v/>
      </c>
      <c r="AB2916" t="str">
        <f>IF(Z2916="","",IFERROR(LOOKUP(2,1/(#REF!=Z2916),#REF!),""))</f>
        <v/>
      </c>
      <c r="AC2916" t="str">
        <f>IF(Z2916="","",COUNTIF(#REF!,Z2916))</f>
        <v/>
      </c>
      <c r="AD2916" t="str">
        <f>IF(A2916="","",IF(AC2916&gt;1,"REVISAR DUPLICADO",IF(AA2916&lt;&gt;"","ACTUALIZADO POR EYR","SIN REPORTE EYR")))</f>
        <v/>
      </c>
    </row>
    <row r="2917" spans="11:30" x14ac:dyDescent="0.3">
      <c r="K2917" s="1" t="str">
        <f ca="1">IF(A2917="","",IF(OR(L2917="ENTREGADA",L2917="RETORNADA",L2917="ENTREGA DIGITAL"),0,MAX(0,5-NETWORKDAYS(H2917+1,TODAY()))))</f>
        <v/>
      </c>
      <c r="L2917" t="str">
        <f>IF(A2917="","",IFERROR(LOOKUP(2,1/(#REF!=Z2917),#REF!),Y2917))</f>
        <v/>
      </c>
      <c r="Z2917" t="str">
        <f>IF(A2917="","",TEXT(A2917,"0")&amp;"|"&amp;TEXT(H2917,"0"))</f>
        <v/>
      </c>
      <c r="AA2917" t="str">
        <f>IF(Z2917="","",IFERROR(LOOKUP(2,1/(#REF!=Z2917),#REF!),""))</f>
        <v/>
      </c>
      <c r="AB2917" t="str">
        <f>IF(Z2917="","",IFERROR(LOOKUP(2,1/(#REF!=Z2917),#REF!),""))</f>
        <v/>
      </c>
      <c r="AC2917" t="str">
        <f>IF(Z2917="","",COUNTIF(#REF!,Z2917))</f>
        <v/>
      </c>
      <c r="AD2917" t="str">
        <f>IF(A2917="","",IF(AC2917&gt;1,"REVISAR DUPLICADO",IF(AA2917&lt;&gt;"","ACTUALIZADO POR EYR","SIN REPORTE EYR")))</f>
        <v/>
      </c>
    </row>
    <row r="2918" spans="11:30" x14ac:dyDescent="0.3">
      <c r="K2918" s="1" t="str">
        <f ca="1">IF(A2918="","",IF(OR(L2918="ENTREGADA",L2918="RETORNADA",L2918="ENTREGA DIGITAL"),0,MAX(0,5-NETWORKDAYS(H2918+1,TODAY()))))</f>
        <v/>
      </c>
      <c r="L2918" t="str">
        <f>IF(A2918="","",IFERROR(LOOKUP(2,1/(#REF!=Z2918),#REF!),Y2918))</f>
        <v/>
      </c>
      <c r="Z2918" t="str">
        <f>IF(A2918="","",TEXT(A2918,"0")&amp;"|"&amp;TEXT(H2918,"0"))</f>
        <v/>
      </c>
      <c r="AA2918" t="str">
        <f>IF(Z2918="","",IFERROR(LOOKUP(2,1/(#REF!=Z2918),#REF!),""))</f>
        <v/>
      </c>
      <c r="AB2918" t="str">
        <f>IF(Z2918="","",IFERROR(LOOKUP(2,1/(#REF!=Z2918),#REF!),""))</f>
        <v/>
      </c>
      <c r="AC2918" t="str">
        <f>IF(Z2918="","",COUNTIF(#REF!,Z2918))</f>
        <v/>
      </c>
      <c r="AD2918" t="str">
        <f>IF(A2918="","",IF(AC2918&gt;1,"REVISAR DUPLICADO",IF(AA2918&lt;&gt;"","ACTUALIZADO POR EYR","SIN REPORTE EYR")))</f>
        <v/>
      </c>
    </row>
    <row r="2919" spans="11:30" x14ac:dyDescent="0.3">
      <c r="K2919" s="1" t="str">
        <f ca="1">IF(A2919="","",IF(OR(L2919="ENTREGADA",L2919="RETORNADA",L2919="ENTREGA DIGITAL"),0,MAX(0,5-NETWORKDAYS(H2919+1,TODAY()))))</f>
        <v/>
      </c>
      <c r="L2919" t="str">
        <f>IF(A2919="","",IFERROR(LOOKUP(2,1/(#REF!=Z2919),#REF!),Y2919))</f>
        <v/>
      </c>
      <c r="Z2919" t="str">
        <f>IF(A2919="","",TEXT(A2919,"0")&amp;"|"&amp;TEXT(H2919,"0"))</f>
        <v/>
      </c>
      <c r="AA2919" t="str">
        <f>IF(Z2919="","",IFERROR(LOOKUP(2,1/(#REF!=Z2919),#REF!),""))</f>
        <v/>
      </c>
      <c r="AB2919" t="str">
        <f>IF(Z2919="","",IFERROR(LOOKUP(2,1/(#REF!=Z2919),#REF!),""))</f>
        <v/>
      </c>
      <c r="AC2919" t="str">
        <f>IF(Z2919="","",COUNTIF(#REF!,Z2919))</f>
        <v/>
      </c>
      <c r="AD2919" t="str">
        <f>IF(A2919="","",IF(AC2919&gt;1,"REVISAR DUPLICADO",IF(AA2919&lt;&gt;"","ACTUALIZADO POR EYR","SIN REPORTE EYR")))</f>
        <v/>
      </c>
    </row>
    <row r="2920" spans="11:30" x14ac:dyDescent="0.3">
      <c r="K2920" s="1" t="str">
        <f ca="1">IF(A2920="","",IF(OR(L2920="ENTREGADA",L2920="RETORNADA",L2920="ENTREGA DIGITAL"),0,MAX(0,5-NETWORKDAYS(H2920+1,TODAY()))))</f>
        <v/>
      </c>
      <c r="L2920" t="str">
        <f>IF(A2920="","",IFERROR(LOOKUP(2,1/(#REF!=Z2920),#REF!),Y2920))</f>
        <v/>
      </c>
      <c r="Z2920" t="str">
        <f>IF(A2920="","",TEXT(A2920,"0")&amp;"|"&amp;TEXT(H2920,"0"))</f>
        <v/>
      </c>
      <c r="AA2920" t="str">
        <f>IF(Z2920="","",IFERROR(LOOKUP(2,1/(#REF!=Z2920),#REF!),""))</f>
        <v/>
      </c>
      <c r="AB2920" t="str">
        <f>IF(Z2920="","",IFERROR(LOOKUP(2,1/(#REF!=Z2920),#REF!),""))</f>
        <v/>
      </c>
      <c r="AC2920" t="str">
        <f>IF(Z2920="","",COUNTIF(#REF!,Z2920))</f>
        <v/>
      </c>
      <c r="AD2920" t="str">
        <f>IF(A2920="","",IF(AC2920&gt;1,"REVISAR DUPLICADO",IF(AA2920&lt;&gt;"","ACTUALIZADO POR EYR","SIN REPORTE EYR")))</f>
        <v/>
      </c>
    </row>
    <row r="2921" spans="11:30" x14ac:dyDescent="0.3">
      <c r="K2921" s="1" t="str">
        <f ca="1">IF(A2921="","",IF(OR(L2921="ENTREGADA",L2921="RETORNADA",L2921="ENTREGA DIGITAL"),0,MAX(0,5-NETWORKDAYS(H2921+1,TODAY()))))</f>
        <v/>
      </c>
      <c r="L2921" t="str">
        <f>IF(A2921="","",IFERROR(LOOKUP(2,1/(#REF!=Z2921),#REF!),Y2921))</f>
        <v/>
      </c>
      <c r="Z2921" t="str">
        <f>IF(A2921="","",TEXT(A2921,"0")&amp;"|"&amp;TEXT(H2921,"0"))</f>
        <v/>
      </c>
      <c r="AA2921" t="str">
        <f>IF(Z2921="","",IFERROR(LOOKUP(2,1/(#REF!=Z2921),#REF!),""))</f>
        <v/>
      </c>
      <c r="AB2921" t="str">
        <f>IF(Z2921="","",IFERROR(LOOKUP(2,1/(#REF!=Z2921),#REF!),""))</f>
        <v/>
      </c>
      <c r="AC2921" t="str">
        <f>IF(Z2921="","",COUNTIF(#REF!,Z2921))</f>
        <v/>
      </c>
      <c r="AD2921" t="str">
        <f>IF(A2921="","",IF(AC2921&gt;1,"REVISAR DUPLICADO",IF(AA2921&lt;&gt;"","ACTUALIZADO POR EYR","SIN REPORTE EYR")))</f>
        <v/>
      </c>
    </row>
    <row r="2922" spans="11:30" x14ac:dyDescent="0.3">
      <c r="K2922" s="1" t="str">
        <f ca="1">IF(A2922="","",IF(OR(L2922="ENTREGADA",L2922="RETORNADA",L2922="ENTREGA DIGITAL"),0,MAX(0,5-NETWORKDAYS(H2922+1,TODAY()))))</f>
        <v/>
      </c>
      <c r="L2922" t="str">
        <f>IF(A2922="","",IFERROR(LOOKUP(2,1/(#REF!=Z2922),#REF!),Y2922))</f>
        <v/>
      </c>
      <c r="Z2922" t="str">
        <f>IF(A2922="","",TEXT(A2922,"0")&amp;"|"&amp;TEXT(H2922,"0"))</f>
        <v/>
      </c>
      <c r="AA2922" t="str">
        <f>IF(Z2922="","",IFERROR(LOOKUP(2,1/(#REF!=Z2922),#REF!),""))</f>
        <v/>
      </c>
      <c r="AB2922" t="str">
        <f>IF(Z2922="","",IFERROR(LOOKUP(2,1/(#REF!=Z2922),#REF!),""))</f>
        <v/>
      </c>
      <c r="AC2922" t="str">
        <f>IF(Z2922="","",COUNTIF(#REF!,Z2922))</f>
        <v/>
      </c>
      <c r="AD2922" t="str">
        <f>IF(A2922="","",IF(AC2922&gt;1,"REVISAR DUPLICADO",IF(AA2922&lt;&gt;"","ACTUALIZADO POR EYR","SIN REPORTE EYR")))</f>
        <v/>
      </c>
    </row>
    <row r="2923" spans="11:30" x14ac:dyDescent="0.3">
      <c r="K2923" s="1" t="str">
        <f ca="1">IF(A2923="","",IF(OR(L2923="ENTREGADA",L2923="RETORNADA",L2923="ENTREGA DIGITAL"),0,MAX(0,5-NETWORKDAYS(H2923+1,TODAY()))))</f>
        <v/>
      </c>
      <c r="L2923" t="str">
        <f>IF(A2923="","",IFERROR(LOOKUP(2,1/(#REF!=Z2923),#REF!),Y2923))</f>
        <v/>
      </c>
      <c r="Z2923" t="str">
        <f>IF(A2923="","",TEXT(A2923,"0")&amp;"|"&amp;TEXT(H2923,"0"))</f>
        <v/>
      </c>
      <c r="AA2923" t="str">
        <f>IF(Z2923="","",IFERROR(LOOKUP(2,1/(#REF!=Z2923),#REF!),""))</f>
        <v/>
      </c>
      <c r="AB2923" t="str">
        <f>IF(Z2923="","",IFERROR(LOOKUP(2,1/(#REF!=Z2923),#REF!),""))</f>
        <v/>
      </c>
      <c r="AC2923" t="str">
        <f>IF(Z2923="","",COUNTIF(#REF!,Z2923))</f>
        <v/>
      </c>
      <c r="AD2923" t="str">
        <f>IF(A2923="","",IF(AC2923&gt;1,"REVISAR DUPLICADO",IF(AA2923&lt;&gt;"","ACTUALIZADO POR EYR","SIN REPORTE EYR")))</f>
        <v/>
      </c>
    </row>
    <row r="2924" spans="11:30" x14ac:dyDescent="0.3">
      <c r="K2924" s="1" t="str">
        <f ca="1">IF(A2924="","",IF(OR(L2924="ENTREGADA",L2924="RETORNADA",L2924="ENTREGA DIGITAL"),0,MAX(0,5-NETWORKDAYS(H2924+1,TODAY()))))</f>
        <v/>
      </c>
      <c r="L2924" t="str">
        <f>IF(A2924="","",IFERROR(LOOKUP(2,1/(#REF!=Z2924),#REF!),Y2924))</f>
        <v/>
      </c>
      <c r="Z2924" t="str">
        <f>IF(A2924="","",TEXT(A2924,"0")&amp;"|"&amp;TEXT(H2924,"0"))</f>
        <v/>
      </c>
      <c r="AA2924" t="str">
        <f>IF(Z2924="","",IFERROR(LOOKUP(2,1/(#REF!=Z2924),#REF!),""))</f>
        <v/>
      </c>
      <c r="AB2924" t="str">
        <f>IF(Z2924="","",IFERROR(LOOKUP(2,1/(#REF!=Z2924),#REF!),""))</f>
        <v/>
      </c>
      <c r="AC2924" t="str">
        <f>IF(Z2924="","",COUNTIF(#REF!,Z2924))</f>
        <v/>
      </c>
      <c r="AD2924" t="str">
        <f>IF(A2924="","",IF(AC2924&gt;1,"REVISAR DUPLICADO",IF(AA2924&lt;&gt;"","ACTUALIZADO POR EYR","SIN REPORTE EYR")))</f>
        <v/>
      </c>
    </row>
    <row r="2925" spans="11:30" x14ac:dyDescent="0.3">
      <c r="K2925" s="1" t="str">
        <f ca="1">IF(A2925="","",IF(OR(L2925="ENTREGADA",L2925="RETORNADA",L2925="ENTREGA DIGITAL"),0,MAX(0,5-NETWORKDAYS(H2925+1,TODAY()))))</f>
        <v/>
      </c>
      <c r="L2925" t="str">
        <f>IF(A2925="","",IFERROR(LOOKUP(2,1/(#REF!=Z2925),#REF!),Y2925))</f>
        <v/>
      </c>
      <c r="Z2925" t="str">
        <f>IF(A2925="","",TEXT(A2925,"0")&amp;"|"&amp;TEXT(H2925,"0"))</f>
        <v/>
      </c>
      <c r="AA2925" t="str">
        <f>IF(Z2925="","",IFERROR(LOOKUP(2,1/(#REF!=Z2925),#REF!),""))</f>
        <v/>
      </c>
      <c r="AB2925" t="str">
        <f>IF(Z2925="","",IFERROR(LOOKUP(2,1/(#REF!=Z2925),#REF!),""))</f>
        <v/>
      </c>
      <c r="AC2925" t="str">
        <f>IF(Z2925="","",COUNTIF(#REF!,Z2925))</f>
        <v/>
      </c>
      <c r="AD2925" t="str">
        <f>IF(A2925="","",IF(AC2925&gt;1,"REVISAR DUPLICADO",IF(AA2925&lt;&gt;"","ACTUALIZADO POR EYR","SIN REPORTE EYR")))</f>
        <v/>
      </c>
    </row>
    <row r="2926" spans="11:30" x14ac:dyDescent="0.3">
      <c r="K2926" s="1" t="str">
        <f ca="1">IF(A2926="","",IF(OR(L2926="ENTREGADA",L2926="RETORNADA",L2926="ENTREGA DIGITAL"),0,MAX(0,5-NETWORKDAYS(H2926+1,TODAY()))))</f>
        <v/>
      </c>
      <c r="L2926" t="str">
        <f>IF(A2926="","",IFERROR(LOOKUP(2,1/(#REF!=Z2926),#REF!),Y2926))</f>
        <v/>
      </c>
      <c r="Z2926" t="str">
        <f>IF(A2926="","",TEXT(A2926,"0")&amp;"|"&amp;TEXT(H2926,"0"))</f>
        <v/>
      </c>
      <c r="AA2926" t="str">
        <f>IF(Z2926="","",IFERROR(LOOKUP(2,1/(#REF!=Z2926),#REF!),""))</f>
        <v/>
      </c>
      <c r="AB2926" t="str">
        <f>IF(Z2926="","",IFERROR(LOOKUP(2,1/(#REF!=Z2926),#REF!),""))</f>
        <v/>
      </c>
      <c r="AC2926" t="str">
        <f>IF(Z2926="","",COUNTIF(#REF!,Z2926))</f>
        <v/>
      </c>
      <c r="AD2926" t="str">
        <f>IF(A2926="","",IF(AC2926&gt;1,"REVISAR DUPLICADO",IF(AA2926&lt;&gt;"","ACTUALIZADO POR EYR","SIN REPORTE EYR")))</f>
        <v/>
      </c>
    </row>
    <row r="2927" spans="11:30" x14ac:dyDescent="0.3">
      <c r="K2927" s="1" t="str">
        <f ca="1">IF(A2927="","",IF(OR(L2927="ENTREGADA",L2927="RETORNADA",L2927="ENTREGA DIGITAL"),0,MAX(0,5-NETWORKDAYS(H2927+1,TODAY()))))</f>
        <v/>
      </c>
      <c r="L2927" t="str">
        <f>IF(A2927="","",IFERROR(LOOKUP(2,1/(#REF!=Z2927),#REF!),Y2927))</f>
        <v/>
      </c>
      <c r="Z2927" t="str">
        <f>IF(A2927="","",TEXT(A2927,"0")&amp;"|"&amp;TEXT(H2927,"0"))</f>
        <v/>
      </c>
      <c r="AA2927" t="str">
        <f>IF(Z2927="","",IFERROR(LOOKUP(2,1/(#REF!=Z2927),#REF!),""))</f>
        <v/>
      </c>
      <c r="AB2927" t="str">
        <f>IF(Z2927="","",IFERROR(LOOKUP(2,1/(#REF!=Z2927),#REF!),""))</f>
        <v/>
      </c>
      <c r="AC2927" t="str">
        <f>IF(Z2927="","",COUNTIF(#REF!,Z2927))</f>
        <v/>
      </c>
      <c r="AD2927" t="str">
        <f>IF(A2927="","",IF(AC2927&gt;1,"REVISAR DUPLICADO",IF(AA2927&lt;&gt;"","ACTUALIZADO POR EYR","SIN REPORTE EYR")))</f>
        <v/>
      </c>
    </row>
    <row r="2928" spans="11:30" x14ac:dyDescent="0.3">
      <c r="K2928" s="1" t="str">
        <f ca="1">IF(A2928="","",IF(OR(L2928="ENTREGADA",L2928="RETORNADA",L2928="ENTREGA DIGITAL"),0,MAX(0,5-NETWORKDAYS(H2928+1,TODAY()))))</f>
        <v/>
      </c>
      <c r="L2928" t="str">
        <f>IF(A2928="","",IFERROR(LOOKUP(2,1/(#REF!=Z2928),#REF!),Y2928))</f>
        <v/>
      </c>
      <c r="Z2928" t="str">
        <f>IF(A2928="","",TEXT(A2928,"0")&amp;"|"&amp;TEXT(H2928,"0"))</f>
        <v/>
      </c>
      <c r="AA2928" t="str">
        <f>IF(Z2928="","",IFERROR(LOOKUP(2,1/(#REF!=Z2928),#REF!),""))</f>
        <v/>
      </c>
      <c r="AB2928" t="str">
        <f>IF(Z2928="","",IFERROR(LOOKUP(2,1/(#REF!=Z2928),#REF!),""))</f>
        <v/>
      </c>
      <c r="AC2928" t="str">
        <f>IF(Z2928="","",COUNTIF(#REF!,Z2928))</f>
        <v/>
      </c>
      <c r="AD2928" t="str">
        <f>IF(A2928="","",IF(AC2928&gt;1,"REVISAR DUPLICADO",IF(AA2928&lt;&gt;"","ACTUALIZADO POR EYR","SIN REPORTE EYR")))</f>
        <v/>
      </c>
    </row>
    <row r="2929" spans="11:30" x14ac:dyDescent="0.3">
      <c r="K2929" s="1" t="str">
        <f ca="1">IF(A2929="","",IF(OR(L2929="ENTREGADA",L2929="RETORNADA",L2929="ENTREGA DIGITAL"),0,MAX(0,5-NETWORKDAYS(H2929+1,TODAY()))))</f>
        <v/>
      </c>
      <c r="L2929" t="str">
        <f>IF(A2929="","",IFERROR(LOOKUP(2,1/(#REF!=Z2929),#REF!),Y2929))</f>
        <v/>
      </c>
      <c r="Z2929" t="str">
        <f>IF(A2929="","",TEXT(A2929,"0")&amp;"|"&amp;TEXT(H2929,"0"))</f>
        <v/>
      </c>
      <c r="AA2929" t="str">
        <f>IF(Z2929="","",IFERROR(LOOKUP(2,1/(#REF!=Z2929),#REF!),""))</f>
        <v/>
      </c>
      <c r="AB2929" t="str">
        <f>IF(Z2929="","",IFERROR(LOOKUP(2,1/(#REF!=Z2929),#REF!),""))</f>
        <v/>
      </c>
      <c r="AC2929" t="str">
        <f>IF(Z2929="","",COUNTIF(#REF!,Z2929))</f>
        <v/>
      </c>
      <c r="AD2929" t="str">
        <f>IF(A2929="","",IF(AC2929&gt;1,"REVISAR DUPLICADO",IF(AA2929&lt;&gt;"","ACTUALIZADO POR EYR","SIN REPORTE EYR")))</f>
        <v/>
      </c>
    </row>
    <row r="2930" spans="11:30" x14ac:dyDescent="0.3">
      <c r="K2930" s="1" t="str">
        <f ca="1">IF(A2930="","",IF(OR(L2930="ENTREGADA",L2930="RETORNADA",L2930="ENTREGA DIGITAL"),0,MAX(0,5-NETWORKDAYS(H2930+1,TODAY()))))</f>
        <v/>
      </c>
      <c r="L2930" t="str">
        <f>IF(A2930="","",IFERROR(LOOKUP(2,1/(#REF!=Z2930),#REF!),Y2930))</f>
        <v/>
      </c>
      <c r="Z2930" t="str">
        <f>IF(A2930="","",TEXT(A2930,"0")&amp;"|"&amp;TEXT(H2930,"0"))</f>
        <v/>
      </c>
      <c r="AA2930" t="str">
        <f>IF(Z2930="","",IFERROR(LOOKUP(2,1/(#REF!=Z2930),#REF!),""))</f>
        <v/>
      </c>
      <c r="AB2930" t="str">
        <f>IF(Z2930="","",IFERROR(LOOKUP(2,1/(#REF!=Z2930),#REF!),""))</f>
        <v/>
      </c>
      <c r="AC2930" t="str">
        <f>IF(Z2930="","",COUNTIF(#REF!,Z2930))</f>
        <v/>
      </c>
      <c r="AD2930" t="str">
        <f>IF(A2930="","",IF(AC2930&gt;1,"REVISAR DUPLICADO",IF(AA2930&lt;&gt;"","ACTUALIZADO POR EYR","SIN REPORTE EYR")))</f>
        <v/>
      </c>
    </row>
    <row r="2931" spans="11:30" x14ac:dyDescent="0.3">
      <c r="K2931" s="1" t="str">
        <f ca="1">IF(A2931="","",IF(OR(L2931="ENTREGADA",L2931="RETORNADA",L2931="ENTREGA DIGITAL"),0,MAX(0,5-NETWORKDAYS(H2931+1,TODAY()))))</f>
        <v/>
      </c>
      <c r="L2931" t="str">
        <f>IF(A2931="","",IFERROR(LOOKUP(2,1/(#REF!=Z2931),#REF!),Y2931))</f>
        <v/>
      </c>
      <c r="Z2931" t="str">
        <f>IF(A2931="","",TEXT(A2931,"0")&amp;"|"&amp;TEXT(H2931,"0"))</f>
        <v/>
      </c>
      <c r="AA2931" t="str">
        <f>IF(Z2931="","",IFERROR(LOOKUP(2,1/(#REF!=Z2931),#REF!),""))</f>
        <v/>
      </c>
      <c r="AB2931" t="str">
        <f>IF(Z2931="","",IFERROR(LOOKUP(2,1/(#REF!=Z2931),#REF!),""))</f>
        <v/>
      </c>
      <c r="AC2931" t="str">
        <f>IF(Z2931="","",COUNTIF(#REF!,Z2931))</f>
        <v/>
      </c>
      <c r="AD2931" t="str">
        <f>IF(A2931="","",IF(AC2931&gt;1,"REVISAR DUPLICADO",IF(AA2931&lt;&gt;"","ACTUALIZADO POR EYR","SIN REPORTE EYR")))</f>
        <v/>
      </c>
    </row>
    <row r="2932" spans="11:30" x14ac:dyDescent="0.3">
      <c r="K2932" s="1" t="str">
        <f ca="1">IF(A2932="","",IF(OR(L2932="ENTREGADA",L2932="RETORNADA",L2932="ENTREGA DIGITAL"),0,MAX(0,5-NETWORKDAYS(H2932+1,TODAY()))))</f>
        <v/>
      </c>
      <c r="L2932" t="str">
        <f>IF(A2932="","",IFERROR(LOOKUP(2,1/(#REF!=Z2932),#REF!),Y2932))</f>
        <v/>
      </c>
      <c r="Z2932" t="str">
        <f>IF(A2932="","",TEXT(A2932,"0")&amp;"|"&amp;TEXT(H2932,"0"))</f>
        <v/>
      </c>
      <c r="AA2932" t="str">
        <f>IF(Z2932="","",IFERROR(LOOKUP(2,1/(#REF!=Z2932),#REF!),""))</f>
        <v/>
      </c>
      <c r="AB2932" t="str">
        <f>IF(Z2932="","",IFERROR(LOOKUP(2,1/(#REF!=Z2932),#REF!),""))</f>
        <v/>
      </c>
      <c r="AC2932" t="str">
        <f>IF(Z2932="","",COUNTIF(#REF!,Z2932))</f>
        <v/>
      </c>
      <c r="AD2932" t="str">
        <f>IF(A2932="","",IF(AC2932&gt;1,"REVISAR DUPLICADO",IF(AA2932&lt;&gt;"","ACTUALIZADO POR EYR","SIN REPORTE EYR")))</f>
        <v/>
      </c>
    </row>
    <row r="2933" spans="11:30" x14ac:dyDescent="0.3">
      <c r="K2933" s="1" t="str">
        <f ca="1">IF(A2933="","",IF(OR(L2933="ENTREGADA",L2933="RETORNADA",L2933="ENTREGA DIGITAL"),0,MAX(0,5-NETWORKDAYS(H2933+1,TODAY()))))</f>
        <v/>
      </c>
      <c r="L2933" t="str">
        <f>IF(A2933="","",IFERROR(LOOKUP(2,1/(#REF!=Z2933),#REF!),Y2933))</f>
        <v/>
      </c>
      <c r="Z2933" t="str">
        <f>IF(A2933="","",TEXT(A2933,"0")&amp;"|"&amp;TEXT(H2933,"0"))</f>
        <v/>
      </c>
      <c r="AA2933" t="str">
        <f>IF(Z2933="","",IFERROR(LOOKUP(2,1/(#REF!=Z2933),#REF!),""))</f>
        <v/>
      </c>
      <c r="AB2933" t="str">
        <f>IF(Z2933="","",IFERROR(LOOKUP(2,1/(#REF!=Z2933),#REF!),""))</f>
        <v/>
      </c>
      <c r="AC2933" t="str">
        <f>IF(Z2933="","",COUNTIF(#REF!,Z2933))</f>
        <v/>
      </c>
      <c r="AD2933" t="str">
        <f>IF(A2933="","",IF(AC2933&gt;1,"REVISAR DUPLICADO",IF(AA2933&lt;&gt;"","ACTUALIZADO POR EYR","SIN REPORTE EYR")))</f>
        <v/>
      </c>
    </row>
    <row r="2934" spans="11:30" x14ac:dyDescent="0.3">
      <c r="K2934" s="1" t="str">
        <f ca="1">IF(A2934="","",IF(OR(L2934="ENTREGADA",L2934="RETORNADA",L2934="ENTREGA DIGITAL"),0,MAX(0,5-NETWORKDAYS(H2934+1,TODAY()))))</f>
        <v/>
      </c>
      <c r="L2934" t="str">
        <f>IF(A2934="","",IFERROR(LOOKUP(2,1/(#REF!=Z2934),#REF!),Y2934))</f>
        <v/>
      </c>
      <c r="Z2934" t="str">
        <f>IF(A2934="","",TEXT(A2934,"0")&amp;"|"&amp;TEXT(H2934,"0"))</f>
        <v/>
      </c>
      <c r="AA2934" t="str">
        <f>IF(Z2934="","",IFERROR(LOOKUP(2,1/(#REF!=Z2934),#REF!),""))</f>
        <v/>
      </c>
      <c r="AB2934" t="str">
        <f>IF(Z2934="","",IFERROR(LOOKUP(2,1/(#REF!=Z2934),#REF!),""))</f>
        <v/>
      </c>
      <c r="AC2934" t="str">
        <f>IF(Z2934="","",COUNTIF(#REF!,Z2934))</f>
        <v/>
      </c>
      <c r="AD2934" t="str">
        <f>IF(A2934="","",IF(AC2934&gt;1,"REVISAR DUPLICADO",IF(AA2934&lt;&gt;"","ACTUALIZADO POR EYR","SIN REPORTE EYR")))</f>
        <v/>
      </c>
    </row>
    <row r="2935" spans="11:30" x14ac:dyDescent="0.3">
      <c r="K2935" s="1" t="str">
        <f ca="1">IF(A2935="","",IF(OR(L2935="ENTREGADA",L2935="RETORNADA",L2935="ENTREGA DIGITAL"),0,MAX(0,5-NETWORKDAYS(H2935+1,TODAY()))))</f>
        <v/>
      </c>
      <c r="L2935" t="str">
        <f>IF(A2935="","",IFERROR(LOOKUP(2,1/(#REF!=Z2935),#REF!),Y2935))</f>
        <v/>
      </c>
      <c r="Z2935" t="str">
        <f>IF(A2935="","",TEXT(A2935,"0")&amp;"|"&amp;TEXT(H2935,"0"))</f>
        <v/>
      </c>
      <c r="AA2935" t="str">
        <f>IF(Z2935="","",IFERROR(LOOKUP(2,1/(#REF!=Z2935),#REF!),""))</f>
        <v/>
      </c>
      <c r="AB2935" t="str">
        <f>IF(Z2935="","",IFERROR(LOOKUP(2,1/(#REF!=Z2935),#REF!),""))</f>
        <v/>
      </c>
      <c r="AC2935" t="str">
        <f>IF(Z2935="","",COUNTIF(#REF!,Z2935))</f>
        <v/>
      </c>
      <c r="AD2935" t="str">
        <f>IF(A2935="","",IF(AC2935&gt;1,"REVISAR DUPLICADO",IF(AA2935&lt;&gt;"","ACTUALIZADO POR EYR","SIN REPORTE EYR")))</f>
        <v/>
      </c>
    </row>
    <row r="2936" spans="11:30" x14ac:dyDescent="0.3">
      <c r="K2936" s="1" t="str">
        <f ca="1">IF(A2936="","",IF(OR(L2936="ENTREGADA",L2936="RETORNADA",L2936="ENTREGA DIGITAL"),0,MAX(0,5-NETWORKDAYS(H2936+1,TODAY()))))</f>
        <v/>
      </c>
      <c r="L2936" t="str">
        <f>IF(A2936="","",IFERROR(LOOKUP(2,1/(#REF!=Z2936),#REF!),Y2936))</f>
        <v/>
      </c>
      <c r="Z2936" t="str">
        <f>IF(A2936="","",TEXT(A2936,"0")&amp;"|"&amp;TEXT(H2936,"0"))</f>
        <v/>
      </c>
      <c r="AA2936" t="str">
        <f>IF(Z2936="","",IFERROR(LOOKUP(2,1/(#REF!=Z2936),#REF!),""))</f>
        <v/>
      </c>
      <c r="AB2936" t="str">
        <f>IF(Z2936="","",IFERROR(LOOKUP(2,1/(#REF!=Z2936),#REF!),""))</f>
        <v/>
      </c>
      <c r="AC2936" t="str">
        <f>IF(Z2936="","",COUNTIF(#REF!,Z2936))</f>
        <v/>
      </c>
      <c r="AD2936" t="str">
        <f>IF(A2936="","",IF(AC2936&gt;1,"REVISAR DUPLICADO",IF(AA2936&lt;&gt;"","ACTUALIZADO POR EYR","SIN REPORTE EYR")))</f>
        <v/>
      </c>
    </row>
    <row r="2937" spans="11:30" x14ac:dyDescent="0.3">
      <c r="K2937" s="1" t="str">
        <f ca="1">IF(A2937="","",IF(OR(L2937="ENTREGADA",L2937="RETORNADA",L2937="ENTREGA DIGITAL"),0,MAX(0,5-NETWORKDAYS(H2937+1,TODAY()))))</f>
        <v/>
      </c>
      <c r="L2937" t="str">
        <f>IF(A2937="","",IFERROR(LOOKUP(2,1/(#REF!=Z2937),#REF!),Y2937))</f>
        <v/>
      </c>
      <c r="Z2937" t="str">
        <f>IF(A2937="","",TEXT(A2937,"0")&amp;"|"&amp;TEXT(H2937,"0"))</f>
        <v/>
      </c>
      <c r="AA2937" t="str">
        <f>IF(Z2937="","",IFERROR(LOOKUP(2,1/(#REF!=Z2937),#REF!),""))</f>
        <v/>
      </c>
      <c r="AB2937" t="str">
        <f>IF(Z2937="","",IFERROR(LOOKUP(2,1/(#REF!=Z2937),#REF!),""))</f>
        <v/>
      </c>
      <c r="AC2937" t="str">
        <f>IF(Z2937="","",COUNTIF(#REF!,Z2937))</f>
        <v/>
      </c>
      <c r="AD2937" t="str">
        <f>IF(A2937="","",IF(AC2937&gt;1,"REVISAR DUPLICADO",IF(AA2937&lt;&gt;"","ACTUALIZADO POR EYR","SIN REPORTE EYR")))</f>
        <v/>
      </c>
    </row>
    <row r="2938" spans="11:30" x14ac:dyDescent="0.3">
      <c r="K2938" s="1" t="str">
        <f ca="1">IF(A2938="","",IF(OR(L2938="ENTREGADA",L2938="RETORNADA",L2938="ENTREGA DIGITAL"),0,MAX(0,5-NETWORKDAYS(H2938+1,TODAY()))))</f>
        <v/>
      </c>
      <c r="L2938" t="str">
        <f>IF(A2938="","",IFERROR(LOOKUP(2,1/(#REF!=Z2938),#REF!),Y2938))</f>
        <v/>
      </c>
      <c r="Z2938" t="str">
        <f>IF(A2938="","",TEXT(A2938,"0")&amp;"|"&amp;TEXT(H2938,"0"))</f>
        <v/>
      </c>
      <c r="AA2938" t="str">
        <f>IF(Z2938="","",IFERROR(LOOKUP(2,1/(#REF!=Z2938),#REF!),""))</f>
        <v/>
      </c>
      <c r="AB2938" t="str">
        <f>IF(Z2938="","",IFERROR(LOOKUP(2,1/(#REF!=Z2938),#REF!),""))</f>
        <v/>
      </c>
      <c r="AC2938" t="str">
        <f>IF(Z2938="","",COUNTIF(#REF!,Z2938))</f>
        <v/>
      </c>
      <c r="AD2938" t="str">
        <f>IF(A2938="","",IF(AC2938&gt;1,"REVISAR DUPLICADO",IF(AA2938&lt;&gt;"","ACTUALIZADO POR EYR","SIN REPORTE EYR")))</f>
        <v/>
      </c>
    </row>
    <row r="2939" spans="11:30" x14ac:dyDescent="0.3">
      <c r="K2939" s="1" t="str">
        <f ca="1">IF(A2939="","",IF(OR(L2939="ENTREGADA",L2939="RETORNADA",L2939="ENTREGA DIGITAL"),0,MAX(0,5-NETWORKDAYS(H2939+1,TODAY()))))</f>
        <v/>
      </c>
      <c r="L2939" t="str">
        <f>IF(A2939="","",IFERROR(LOOKUP(2,1/(#REF!=Z2939),#REF!),Y2939))</f>
        <v/>
      </c>
      <c r="Z2939" t="str">
        <f>IF(A2939="","",TEXT(A2939,"0")&amp;"|"&amp;TEXT(H2939,"0"))</f>
        <v/>
      </c>
      <c r="AA2939" t="str">
        <f>IF(Z2939="","",IFERROR(LOOKUP(2,1/(#REF!=Z2939),#REF!),""))</f>
        <v/>
      </c>
      <c r="AB2939" t="str">
        <f>IF(Z2939="","",IFERROR(LOOKUP(2,1/(#REF!=Z2939),#REF!),""))</f>
        <v/>
      </c>
      <c r="AC2939" t="str">
        <f>IF(Z2939="","",COUNTIF(#REF!,Z2939))</f>
        <v/>
      </c>
      <c r="AD2939" t="str">
        <f>IF(A2939="","",IF(AC2939&gt;1,"REVISAR DUPLICADO",IF(AA2939&lt;&gt;"","ACTUALIZADO POR EYR","SIN REPORTE EYR")))</f>
        <v/>
      </c>
    </row>
    <row r="2940" spans="11:30" x14ac:dyDescent="0.3">
      <c r="K2940" s="1" t="str">
        <f ca="1">IF(A2940="","",IF(OR(L2940="ENTREGADA",L2940="RETORNADA",L2940="ENTREGA DIGITAL"),0,MAX(0,5-NETWORKDAYS(H2940+1,TODAY()))))</f>
        <v/>
      </c>
      <c r="L2940" t="str">
        <f>IF(A2940="","",IFERROR(LOOKUP(2,1/(#REF!=Z2940),#REF!),Y2940))</f>
        <v/>
      </c>
      <c r="Z2940" t="str">
        <f>IF(A2940="","",TEXT(A2940,"0")&amp;"|"&amp;TEXT(H2940,"0"))</f>
        <v/>
      </c>
      <c r="AA2940" t="str">
        <f>IF(Z2940="","",IFERROR(LOOKUP(2,1/(#REF!=Z2940),#REF!),""))</f>
        <v/>
      </c>
      <c r="AB2940" t="str">
        <f>IF(Z2940="","",IFERROR(LOOKUP(2,1/(#REF!=Z2940),#REF!),""))</f>
        <v/>
      </c>
      <c r="AC2940" t="str">
        <f>IF(Z2940="","",COUNTIF(#REF!,Z2940))</f>
        <v/>
      </c>
      <c r="AD2940" t="str">
        <f>IF(A2940="","",IF(AC2940&gt;1,"REVISAR DUPLICADO",IF(AA2940&lt;&gt;"","ACTUALIZADO POR EYR","SIN REPORTE EYR")))</f>
        <v/>
      </c>
    </row>
    <row r="2941" spans="11:30" x14ac:dyDescent="0.3">
      <c r="K2941" s="1" t="str">
        <f ca="1">IF(A2941="","",IF(OR(L2941="ENTREGADA",L2941="RETORNADA",L2941="ENTREGA DIGITAL"),0,MAX(0,5-NETWORKDAYS(H2941+1,TODAY()))))</f>
        <v/>
      </c>
      <c r="L2941" t="str">
        <f>IF(A2941="","",IFERROR(LOOKUP(2,1/(#REF!=Z2941),#REF!),Y2941))</f>
        <v/>
      </c>
      <c r="Z2941" t="str">
        <f>IF(A2941="","",TEXT(A2941,"0")&amp;"|"&amp;TEXT(H2941,"0"))</f>
        <v/>
      </c>
      <c r="AA2941" t="str">
        <f>IF(Z2941="","",IFERROR(LOOKUP(2,1/(#REF!=Z2941),#REF!),""))</f>
        <v/>
      </c>
      <c r="AB2941" t="str">
        <f>IF(Z2941="","",IFERROR(LOOKUP(2,1/(#REF!=Z2941),#REF!),""))</f>
        <v/>
      </c>
      <c r="AC2941" t="str">
        <f>IF(Z2941="","",COUNTIF(#REF!,Z2941))</f>
        <v/>
      </c>
      <c r="AD2941" t="str">
        <f>IF(A2941="","",IF(AC2941&gt;1,"REVISAR DUPLICADO",IF(AA2941&lt;&gt;"","ACTUALIZADO POR EYR","SIN REPORTE EYR")))</f>
        <v/>
      </c>
    </row>
    <row r="2942" spans="11:30" x14ac:dyDescent="0.3">
      <c r="K2942" s="1" t="str">
        <f ca="1">IF(A2942="","",IF(OR(L2942="ENTREGADA",L2942="RETORNADA",L2942="ENTREGA DIGITAL"),0,MAX(0,5-NETWORKDAYS(H2942+1,TODAY()))))</f>
        <v/>
      </c>
      <c r="L2942" t="str">
        <f>IF(A2942="","",IFERROR(LOOKUP(2,1/(#REF!=Z2942),#REF!),Y2942))</f>
        <v/>
      </c>
      <c r="Z2942" t="str">
        <f>IF(A2942="","",TEXT(A2942,"0")&amp;"|"&amp;TEXT(H2942,"0"))</f>
        <v/>
      </c>
      <c r="AA2942" t="str">
        <f>IF(Z2942="","",IFERROR(LOOKUP(2,1/(#REF!=Z2942),#REF!),""))</f>
        <v/>
      </c>
      <c r="AB2942" t="str">
        <f>IF(Z2942="","",IFERROR(LOOKUP(2,1/(#REF!=Z2942),#REF!),""))</f>
        <v/>
      </c>
      <c r="AC2942" t="str">
        <f>IF(Z2942="","",COUNTIF(#REF!,Z2942))</f>
        <v/>
      </c>
      <c r="AD2942" t="str">
        <f>IF(A2942="","",IF(AC2942&gt;1,"REVISAR DUPLICADO",IF(AA2942&lt;&gt;"","ACTUALIZADO POR EYR","SIN REPORTE EYR")))</f>
        <v/>
      </c>
    </row>
    <row r="2943" spans="11:30" x14ac:dyDescent="0.3">
      <c r="K2943" s="1" t="str">
        <f ca="1">IF(A2943="","",IF(OR(L2943="ENTREGADA",L2943="RETORNADA",L2943="ENTREGA DIGITAL"),0,MAX(0,5-NETWORKDAYS(H2943+1,TODAY()))))</f>
        <v/>
      </c>
      <c r="L2943" t="str">
        <f>IF(A2943="","",IFERROR(LOOKUP(2,1/(#REF!=Z2943),#REF!),Y2943))</f>
        <v/>
      </c>
      <c r="Z2943" t="str">
        <f>IF(A2943="","",TEXT(A2943,"0")&amp;"|"&amp;TEXT(H2943,"0"))</f>
        <v/>
      </c>
      <c r="AA2943" t="str">
        <f>IF(Z2943="","",IFERROR(LOOKUP(2,1/(#REF!=Z2943),#REF!),""))</f>
        <v/>
      </c>
      <c r="AB2943" t="str">
        <f>IF(Z2943="","",IFERROR(LOOKUP(2,1/(#REF!=Z2943),#REF!),""))</f>
        <v/>
      </c>
      <c r="AC2943" t="str">
        <f>IF(Z2943="","",COUNTIF(#REF!,Z2943))</f>
        <v/>
      </c>
      <c r="AD2943" t="str">
        <f>IF(A2943="","",IF(AC2943&gt;1,"REVISAR DUPLICADO",IF(AA2943&lt;&gt;"","ACTUALIZADO POR EYR","SIN REPORTE EYR")))</f>
        <v/>
      </c>
    </row>
    <row r="2944" spans="11:30" x14ac:dyDescent="0.3">
      <c r="K2944" s="1" t="str">
        <f ca="1">IF(A2944="","",IF(OR(L2944="ENTREGADA",L2944="RETORNADA",L2944="ENTREGA DIGITAL"),0,MAX(0,5-NETWORKDAYS(H2944+1,TODAY()))))</f>
        <v/>
      </c>
      <c r="L2944" t="str">
        <f>IF(A2944="","",IFERROR(LOOKUP(2,1/(#REF!=Z2944),#REF!),Y2944))</f>
        <v/>
      </c>
      <c r="Z2944" t="str">
        <f>IF(A2944="","",TEXT(A2944,"0")&amp;"|"&amp;TEXT(H2944,"0"))</f>
        <v/>
      </c>
      <c r="AA2944" t="str">
        <f>IF(Z2944="","",IFERROR(LOOKUP(2,1/(#REF!=Z2944),#REF!),""))</f>
        <v/>
      </c>
      <c r="AB2944" t="str">
        <f>IF(Z2944="","",IFERROR(LOOKUP(2,1/(#REF!=Z2944),#REF!),""))</f>
        <v/>
      </c>
      <c r="AC2944" t="str">
        <f>IF(Z2944="","",COUNTIF(#REF!,Z2944))</f>
        <v/>
      </c>
      <c r="AD2944" t="str">
        <f>IF(A2944="","",IF(AC2944&gt;1,"REVISAR DUPLICADO",IF(AA2944&lt;&gt;"","ACTUALIZADO POR EYR","SIN REPORTE EYR")))</f>
        <v/>
      </c>
    </row>
    <row r="2945" spans="11:30" x14ac:dyDescent="0.3">
      <c r="K2945" s="1" t="str">
        <f ca="1">IF(A2945="","",IF(OR(L2945="ENTREGADA",L2945="RETORNADA",L2945="ENTREGA DIGITAL"),0,MAX(0,5-NETWORKDAYS(H2945+1,TODAY()))))</f>
        <v/>
      </c>
      <c r="L2945" t="str">
        <f>IF(A2945="","",IFERROR(LOOKUP(2,1/(#REF!=Z2945),#REF!),Y2945))</f>
        <v/>
      </c>
      <c r="Z2945" t="str">
        <f>IF(A2945="","",TEXT(A2945,"0")&amp;"|"&amp;TEXT(H2945,"0"))</f>
        <v/>
      </c>
      <c r="AA2945" t="str">
        <f>IF(Z2945="","",IFERROR(LOOKUP(2,1/(#REF!=Z2945),#REF!),""))</f>
        <v/>
      </c>
      <c r="AB2945" t="str">
        <f>IF(Z2945="","",IFERROR(LOOKUP(2,1/(#REF!=Z2945),#REF!),""))</f>
        <v/>
      </c>
      <c r="AC2945" t="str">
        <f>IF(Z2945="","",COUNTIF(#REF!,Z2945))</f>
        <v/>
      </c>
      <c r="AD2945" t="str">
        <f>IF(A2945="","",IF(AC2945&gt;1,"REVISAR DUPLICADO",IF(AA2945&lt;&gt;"","ACTUALIZADO POR EYR","SIN REPORTE EYR")))</f>
        <v/>
      </c>
    </row>
    <row r="2946" spans="11:30" x14ac:dyDescent="0.3">
      <c r="K2946" s="1" t="str">
        <f ca="1">IF(A2946="","",IF(OR(L2946="ENTREGADA",L2946="RETORNADA",L2946="ENTREGA DIGITAL"),0,MAX(0,5-NETWORKDAYS(H2946+1,TODAY()))))</f>
        <v/>
      </c>
      <c r="L2946" t="str">
        <f>IF(A2946="","",IFERROR(LOOKUP(2,1/(#REF!=Z2946),#REF!),Y2946))</f>
        <v/>
      </c>
      <c r="Z2946" t="str">
        <f>IF(A2946="","",TEXT(A2946,"0")&amp;"|"&amp;TEXT(H2946,"0"))</f>
        <v/>
      </c>
      <c r="AA2946" t="str">
        <f>IF(Z2946="","",IFERROR(LOOKUP(2,1/(#REF!=Z2946),#REF!),""))</f>
        <v/>
      </c>
      <c r="AB2946" t="str">
        <f>IF(Z2946="","",IFERROR(LOOKUP(2,1/(#REF!=Z2946),#REF!),""))</f>
        <v/>
      </c>
      <c r="AC2946" t="str">
        <f>IF(Z2946="","",COUNTIF(#REF!,Z2946))</f>
        <v/>
      </c>
      <c r="AD2946" t="str">
        <f>IF(A2946="","",IF(AC2946&gt;1,"REVISAR DUPLICADO",IF(AA2946&lt;&gt;"","ACTUALIZADO POR EYR","SIN REPORTE EYR")))</f>
        <v/>
      </c>
    </row>
    <row r="2947" spans="11:30" x14ac:dyDescent="0.3">
      <c r="K2947" s="1" t="str">
        <f ca="1">IF(A2947="","",IF(OR(L2947="ENTREGADA",L2947="RETORNADA",L2947="ENTREGA DIGITAL"),0,MAX(0,5-NETWORKDAYS(H2947+1,TODAY()))))</f>
        <v/>
      </c>
      <c r="L2947" t="str">
        <f>IF(A2947="","",IFERROR(LOOKUP(2,1/(#REF!=Z2947),#REF!),Y2947))</f>
        <v/>
      </c>
      <c r="Z2947" t="str">
        <f>IF(A2947="","",TEXT(A2947,"0")&amp;"|"&amp;TEXT(H2947,"0"))</f>
        <v/>
      </c>
      <c r="AA2947" t="str">
        <f>IF(Z2947="","",IFERROR(LOOKUP(2,1/(#REF!=Z2947),#REF!),""))</f>
        <v/>
      </c>
      <c r="AB2947" t="str">
        <f>IF(Z2947="","",IFERROR(LOOKUP(2,1/(#REF!=Z2947),#REF!),""))</f>
        <v/>
      </c>
      <c r="AC2947" t="str">
        <f>IF(Z2947="","",COUNTIF(#REF!,Z2947))</f>
        <v/>
      </c>
      <c r="AD2947" t="str">
        <f>IF(A2947="","",IF(AC2947&gt;1,"REVISAR DUPLICADO",IF(AA2947&lt;&gt;"","ACTUALIZADO POR EYR","SIN REPORTE EYR")))</f>
        <v/>
      </c>
    </row>
    <row r="2948" spans="11:30" x14ac:dyDescent="0.3">
      <c r="K2948" s="1" t="str">
        <f ca="1">IF(A2948="","",IF(OR(L2948="ENTREGADA",L2948="RETORNADA",L2948="ENTREGA DIGITAL"),0,MAX(0,5-NETWORKDAYS(H2948+1,TODAY()))))</f>
        <v/>
      </c>
      <c r="L2948" t="str">
        <f>IF(A2948="","",IFERROR(LOOKUP(2,1/(#REF!=Z2948),#REF!),Y2948))</f>
        <v/>
      </c>
      <c r="Z2948" t="str">
        <f>IF(A2948="","",TEXT(A2948,"0")&amp;"|"&amp;TEXT(H2948,"0"))</f>
        <v/>
      </c>
      <c r="AA2948" t="str">
        <f>IF(Z2948="","",IFERROR(LOOKUP(2,1/(#REF!=Z2948),#REF!),""))</f>
        <v/>
      </c>
      <c r="AB2948" t="str">
        <f>IF(Z2948="","",IFERROR(LOOKUP(2,1/(#REF!=Z2948),#REF!),""))</f>
        <v/>
      </c>
      <c r="AC2948" t="str">
        <f>IF(Z2948="","",COUNTIF(#REF!,Z2948))</f>
        <v/>
      </c>
      <c r="AD2948" t="str">
        <f>IF(A2948="","",IF(AC2948&gt;1,"REVISAR DUPLICADO",IF(AA2948&lt;&gt;"","ACTUALIZADO POR EYR","SIN REPORTE EYR")))</f>
        <v/>
      </c>
    </row>
    <row r="2949" spans="11:30" x14ac:dyDescent="0.3">
      <c r="K2949" s="1" t="str">
        <f ca="1">IF(A2949="","",IF(OR(L2949="ENTREGADA",L2949="RETORNADA",L2949="ENTREGA DIGITAL"),0,MAX(0,5-NETWORKDAYS(H2949+1,TODAY()))))</f>
        <v/>
      </c>
      <c r="L2949" t="str">
        <f>IF(A2949="","",IFERROR(LOOKUP(2,1/(#REF!=Z2949),#REF!),Y2949))</f>
        <v/>
      </c>
      <c r="Z2949" t="str">
        <f>IF(A2949="","",TEXT(A2949,"0")&amp;"|"&amp;TEXT(H2949,"0"))</f>
        <v/>
      </c>
      <c r="AA2949" t="str">
        <f>IF(Z2949="","",IFERROR(LOOKUP(2,1/(#REF!=Z2949),#REF!),""))</f>
        <v/>
      </c>
      <c r="AB2949" t="str">
        <f>IF(Z2949="","",IFERROR(LOOKUP(2,1/(#REF!=Z2949),#REF!),""))</f>
        <v/>
      </c>
      <c r="AC2949" t="str">
        <f>IF(Z2949="","",COUNTIF(#REF!,Z2949))</f>
        <v/>
      </c>
      <c r="AD2949" t="str">
        <f>IF(A2949="","",IF(AC2949&gt;1,"REVISAR DUPLICADO",IF(AA2949&lt;&gt;"","ACTUALIZADO POR EYR","SIN REPORTE EYR")))</f>
        <v/>
      </c>
    </row>
    <row r="2950" spans="11:30" x14ac:dyDescent="0.3">
      <c r="K2950" s="1" t="str">
        <f ca="1">IF(A2950="","",IF(OR(L2950="ENTREGADA",L2950="RETORNADA",L2950="ENTREGA DIGITAL"),0,MAX(0,5-NETWORKDAYS(H2950+1,TODAY()))))</f>
        <v/>
      </c>
      <c r="L2950" t="str">
        <f>IF(A2950="","",IFERROR(LOOKUP(2,1/(#REF!=Z2950),#REF!),Y2950))</f>
        <v/>
      </c>
      <c r="Z2950" t="str">
        <f>IF(A2950="","",TEXT(A2950,"0")&amp;"|"&amp;TEXT(H2950,"0"))</f>
        <v/>
      </c>
      <c r="AA2950" t="str">
        <f>IF(Z2950="","",IFERROR(LOOKUP(2,1/(#REF!=Z2950),#REF!),""))</f>
        <v/>
      </c>
      <c r="AB2950" t="str">
        <f>IF(Z2950="","",IFERROR(LOOKUP(2,1/(#REF!=Z2950),#REF!),""))</f>
        <v/>
      </c>
      <c r="AC2950" t="str">
        <f>IF(Z2950="","",COUNTIF(#REF!,Z2950))</f>
        <v/>
      </c>
      <c r="AD2950" t="str">
        <f>IF(A2950="","",IF(AC2950&gt;1,"REVISAR DUPLICADO",IF(AA2950&lt;&gt;"","ACTUALIZADO POR EYR","SIN REPORTE EYR")))</f>
        <v/>
      </c>
    </row>
    <row r="2951" spans="11:30" x14ac:dyDescent="0.3">
      <c r="K2951" s="1" t="str">
        <f ca="1">IF(A2951="","",IF(OR(L2951="ENTREGADA",L2951="RETORNADA",L2951="ENTREGA DIGITAL"),0,MAX(0,5-NETWORKDAYS(H2951+1,TODAY()))))</f>
        <v/>
      </c>
      <c r="L2951" t="str">
        <f>IF(A2951="","",IFERROR(LOOKUP(2,1/(#REF!=Z2951),#REF!),Y2951))</f>
        <v/>
      </c>
      <c r="Z2951" t="str">
        <f>IF(A2951="","",TEXT(A2951,"0")&amp;"|"&amp;TEXT(H2951,"0"))</f>
        <v/>
      </c>
      <c r="AA2951" t="str">
        <f>IF(Z2951="","",IFERROR(LOOKUP(2,1/(#REF!=Z2951),#REF!),""))</f>
        <v/>
      </c>
      <c r="AB2951" t="str">
        <f>IF(Z2951="","",IFERROR(LOOKUP(2,1/(#REF!=Z2951),#REF!),""))</f>
        <v/>
      </c>
      <c r="AC2951" t="str">
        <f>IF(Z2951="","",COUNTIF(#REF!,Z2951))</f>
        <v/>
      </c>
      <c r="AD2951" t="str">
        <f>IF(A2951="","",IF(AC2951&gt;1,"REVISAR DUPLICADO",IF(AA2951&lt;&gt;"","ACTUALIZADO POR EYR","SIN REPORTE EYR")))</f>
        <v/>
      </c>
    </row>
    <row r="2952" spans="11:30" x14ac:dyDescent="0.3">
      <c r="K2952" s="1" t="str">
        <f ca="1">IF(A2952="","",IF(OR(L2952="ENTREGADA",L2952="RETORNADA",L2952="ENTREGA DIGITAL"),0,MAX(0,5-NETWORKDAYS(H2952+1,TODAY()))))</f>
        <v/>
      </c>
      <c r="L2952" t="str">
        <f>IF(A2952="","",IFERROR(LOOKUP(2,1/(#REF!=Z2952),#REF!),Y2952))</f>
        <v/>
      </c>
      <c r="Z2952" t="str">
        <f>IF(A2952="","",TEXT(A2952,"0")&amp;"|"&amp;TEXT(H2952,"0"))</f>
        <v/>
      </c>
      <c r="AA2952" t="str">
        <f>IF(Z2952="","",IFERROR(LOOKUP(2,1/(#REF!=Z2952),#REF!),""))</f>
        <v/>
      </c>
      <c r="AB2952" t="str">
        <f>IF(Z2952="","",IFERROR(LOOKUP(2,1/(#REF!=Z2952),#REF!),""))</f>
        <v/>
      </c>
      <c r="AC2952" t="str">
        <f>IF(Z2952="","",COUNTIF(#REF!,Z2952))</f>
        <v/>
      </c>
      <c r="AD2952" t="str">
        <f>IF(A2952="","",IF(AC2952&gt;1,"REVISAR DUPLICADO",IF(AA2952&lt;&gt;"","ACTUALIZADO POR EYR","SIN REPORTE EYR")))</f>
        <v/>
      </c>
    </row>
    <row r="2953" spans="11:30" x14ac:dyDescent="0.3">
      <c r="K2953" s="1" t="str">
        <f ca="1">IF(A2953="","",IF(OR(L2953="ENTREGADA",L2953="RETORNADA",L2953="ENTREGA DIGITAL"),0,MAX(0,5-NETWORKDAYS(H2953+1,TODAY()))))</f>
        <v/>
      </c>
      <c r="L2953" t="str">
        <f>IF(A2953="","",IFERROR(LOOKUP(2,1/(#REF!=Z2953),#REF!),Y2953))</f>
        <v/>
      </c>
      <c r="Z2953" t="str">
        <f>IF(A2953="","",TEXT(A2953,"0")&amp;"|"&amp;TEXT(H2953,"0"))</f>
        <v/>
      </c>
      <c r="AA2953" t="str">
        <f>IF(Z2953="","",IFERROR(LOOKUP(2,1/(#REF!=Z2953),#REF!),""))</f>
        <v/>
      </c>
      <c r="AB2953" t="str">
        <f>IF(Z2953="","",IFERROR(LOOKUP(2,1/(#REF!=Z2953),#REF!),""))</f>
        <v/>
      </c>
      <c r="AC2953" t="str">
        <f>IF(Z2953="","",COUNTIF(#REF!,Z2953))</f>
        <v/>
      </c>
      <c r="AD2953" t="str">
        <f>IF(A2953="","",IF(AC2953&gt;1,"REVISAR DUPLICADO",IF(AA2953&lt;&gt;"","ACTUALIZADO POR EYR","SIN REPORTE EYR")))</f>
        <v/>
      </c>
    </row>
    <row r="2954" spans="11:30" x14ac:dyDescent="0.3">
      <c r="K2954" s="1" t="str">
        <f ca="1">IF(A2954="","",IF(OR(L2954="ENTREGADA",L2954="RETORNADA",L2954="ENTREGA DIGITAL"),0,MAX(0,5-NETWORKDAYS(H2954+1,TODAY()))))</f>
        <v/>
      </c>
      <c r="L2954" t="str">
        <f>IF(A2954="","",IFERROR(LOOKUP(2,1/(#REF!=Z2954),#REF!),Y2954))</f>
        <v/>
      </c>
      <c r="Z2954" t="str">
        <f>IF(A2954="","",TEXT(A2954,"0")&amp;"|"&amp;TEXT(H2954,"0"))</f>
        <v/>
      </c>
      <c r="AA2954" t="str">
        <f>IF(Z2954="","",IFERROR(LOOKUP(2,1/(#REF!=Z2954),#REF!),""))</f>
        <v/>
      </c>
      <c r="AB2954" t="str">
        <f>IF(Z2954="","",IFERROR(LOOKUP(2,1/(#REF!=Z2954),#REF!),""))</f>
        <v/>
      </c>
      <c r="AC2954" t="str">
        <f>IF(Z2954="","",COUNTIF(#REF!,Z2954))</f>
        <v/>
      </c>
      <c r="AD2954" t="str">
        <f>IF(A2954="","",IF(AC2954&gt;1,"REVISAR DUPLICADO",IF(AA2954&lt;&gt;"","ACTUALIZADO POR EYR","SIN REPORTE EYR")))</f>
        <v/>
      </c>
    </row>
    <row r="2955" spans="11:30" x14ac:dyDescent="0.3">
      <c r="K2955" s="1" t="str">
        <f ca="1">IF(A2955="","",IF(OR(L2955="ENTREGADA",L2955="RETORNADA",L2955="ENTREGA DIGITAL"),0,MAX(0,5-NETWORKDAYS(H2955+1,TODAY()))))</f>
        <v/>
      </c>
      <c r="L2955" t="str">
        <f>IF(A2955="","",IFERROR(LOOKUP(2,1/(#REF!=Z2955),#REF!),Y2955))</f>
        <v/>
      </c>
      <c r="Z2955" t="str">
        <f>IF(A2955="","",TEXT(A2955,"0")&amp;"|"&amp;TEXT(H2955,"0"))</f>
        <v/>
      </c>
      <c r="AA2955" t="str">
        <f>IF(Z2955="","",IFERROR(LOOKUP(2,1/(#REF!=Z2955),#REF!),""))</f>
        <v/>
      </c>
      <c r="AB2955" t="str">
        <f>IF(Z2955="","",IFERROR(LOOKUP(2,1/(#REF!=Z2955),#REF!),""))</f>
        <v/>
      </c>
      <c r="AC2955" t="str">
        <f>IF(Z2955="","",COUNTIF(#REF!,Z2955))</f>
        <v/>
      </c>
      <c r="AD2955" t="str">
        <f>IF(A2955="","",IF(AC2955&gt;1,"REVISAR DUPLICADO",IF(AA2955&lt;&gt;"","ACTUALIZADO POR EYR","SIN REPORTE EYR")))</f>
        <v/>
      </c>
    </row>
    <row r="2956" spans="11:30" x14ac:dyDescent="0.3">
      <c r="K2956" s="1" t="str">
        <f ca="1">IF(A2956="","",IF(OR(L2956="ENTREGADA",L2956="RETORNADA",L2956="ENTREGA DIGITAL"),0,MAX(0,5-NETWORKDAYS(H2956+1,TODAY()))))</f>
        <v/>
      </c>
      <c r="L2956" t="str">
        <f>IF(A2956="","",IFERROR(LOOKUP(2,1/(#REF!=Z2956),#REF!),Y2956))</f>
        <v/>
      </c>
      <c r="Z2956" t="str">
        <f>IF(A2956="","",TEXT(A2956,"0")&amp;"|"&amp;TEXT(H2956,"0"))</f>
        <v/>
      </c>
      <c r="AA2956" t="str">
        <f>IF(Z2956="","",IFERROR(LOOKUP(2,1/(#REF!=Z2956),#REF!),""))</f>
        <v/>
      </c>
      <c r="AB2956" t="str">
        <f>IF(Z2956="","",IFERROR(LOOKUP(2,1/(#REF!=Z2956),#REF!),""))</f>
        <v/>
      </c>
      <c r="AC2956" t="str">
        <f>IF(Z2956="","",COUNTIF(#REF!,Z2956))</f>
        <v/>
      </c>
      <c r="AD2956" t="str">
        <f>IF(A2956="","",IF(AC2956&gt;1,"REVISAR DUPLICADO",IF(AA2956&lt;&gt;"","ACTUALIZADO POR EYR","SIN REPORTE EYR")))</f>
        <v/>
      </c>
    </row>
    <row r="2957" spans="11:30" x14ac:dyDescent="0.3">
      <c r="K2957" s="1" t="str">
        <f ca="1">IF(A2957="","",IF(OR(L2957="ENTREGADA",L2957="RETORNADA",L2957="ENTREGA DIGITAL"),0,MAX(0,5-NETWORKDAYS(H2957+1,TODAY()))))</f>
        <v/>
      </c>
      <c r="L2957" t="str">
        <f>IF(A2957="","",IFERROR(LOOKUP(2,1/(#REF!=Z2957),#REF!),Y2957))</f>
        <v/>
      </c>
      <c r="Z2957" t="str">
        <f>IF(A2957="","",TEXT(A2957,"0")&amp;"|"&amp;TEXT(H2957,"0"))</f>
        <v/>
      </c>
      <c r="AA2957" t="str">
        <f>IF(Z2957="","",IFERROR(LOOKUP(2,1/(#REF!=Z2957),#REF!),""))</f>
        <v/>
      </c>
      <c r="AB2957" t="str">
        <f>IF(Z2957="","",IFERROR(LOOKUP(2,1/(#REF!=Z2957),#REF!),""))</f>
        <v/>
      </c>
      <c r="AC2957" t="str">
        <f>IF(Z2957="","",COUNTIF(#REF!,Z2957))</f>
        <v/>
      </c>
      <c r="AD2957" t="str">
        <f>IF(A2957="","",IF(AC2957&gt;1,"REVISAR DUPLICADO",IF(AA2957&lt;&gt;"","ACTUALIZADO POR EYR","SIN REPORTE EYR")))</f>
        <v/>
      </c>
    </row>
    <row r="2958" spans="11:30" x14ac:dyDescent="0.3">
      <c r="K2958" s="1" t="str">
        <f ca="1">IF(A2958="","",IF(OR(L2958="ENTREGADA",L2958="RETORNADA",L2958="ENTREGA DIGITAL"),0,MAX(0,5-NETWORKDAYS(H2958+1,TODAY()))))</f>
        <v/>
      </c>
      <c r="L2958" t="str">
        <f>IF(A2958="","",IFERROR(LOOKUP(2,1/(#REF!=Z2958),#REF!),Y2958))</f>
        <v/>
      </c>
      <c r="Z2958" t="str">
        <f>IF(A2958="","",TEXT(A2958,"0")&amp;"|"&amp;TEXT(H2958,"0"))</f>
        <v/>
      </c>
      <c r="AA2958" t="str">
        <f>IF(Z2958="","",IFERROR(LOOKUP(2,1/(#REF!=Z2958),#REF!),""))</f>
        <v/>
      </c>
      <c r="AB2958" t="str">
        <f>IF(Z2958="","",IFERROR(LOOKUP(2,1/(#REF!=Z2958),#REF!),""))</f>
        <v/>
      </c>
      <c r="AC2958" t="str">
        <f>IF(Z2958="","",COUNTIF(#REF!,Z2958))</f>
        <v/>
      </c>
      <c r="AD2958" t="str">
        <f>IF(A2958="","",IF(AC2958&gt;1,"REVISAR DUPLICADO",IF(AA2958&lt;&gt;"","ACTUALIZADO POR EYR","SIN REPORTE EYR")))</f>
        <v/>
      </c>
    </row>
    <row r="2959" spans="11:30" x14ac:dyDescent="0.3">
      <c r="K2959" s="1" t="str">
        <f ca="1">IF(A2959="","",IF(OR(L2959="ENTREGADA",L2959="RETORNADA",L2959="ENTREGA DIGITAL"),0,MAX(0,5-NETWORKDAYS(H2959+1,TODAY()))))</f>
        <v/>
      </c>
      <c r="L2959" t="str">
        <f>IF(A2959="","",IFERROR(LOOKUP(2,1/(#REF!=Z2959),#REF!),Y2959))</f>
        <v/>
      </c>
      <c r="Z2959" t="str">
        <f>IF(A2959="","",TEXT(A2959,"0")&amp;"|"&amp;TEXT(H2959,"0"))</f>
        <v/>
      </c>
      <c r="AA2959" t="str">
        <f>IF(Z2959="","",IFERROR(LOOKUP(2,1/(#REF!=Z2959),#REF!),""))</f>
        <v/>
      </c>
      <c r="AB2959" t="str">
        <f>IF(Z2959="","",IFERROR(LOOKUP(2,1/(#REF!=Z2959),#REF!),""))</f>
        <v/>
      </c>
      <c r="AC2959" t="str">
        <f>IF(Z2959="","",COUNTIF(#REF!,Z2959))</f>
        <v/>
      </c>
      <c r="AD2959" t="str">
        <f>IF(A2959="","",IF(AC2959&gt;1,"REVISAR DUPLICADO",IF(AA2959&lt;&gt;"","ACTUALIZADO POR EYR","SIN REPORTE EYR")))</f>
        <v/>
      </c>
    </row>
    <row r="2960" spans="11:30" x14ac:dyDescent="0.3">
      <c r="K2960" s="1" t="str">
        <f ca="1">IF(A2960="","",IF(OR(L2960="ENTREGADA",L2960="RETORNADA",L2960="ENTREGA DIGITAL"),0,MAX(0,5-NETWORKDAYS(H2960+1,TODAY()))))</f>
        <v/>
      </c>
      <c r="L2960" t="str">
        <f>IF(A2960="","",IFERROR(LOOKUP(2,1/(#REF!=Z2960),#REF!),Y2960))</f>
        <v/>
      </c>
      <c r="Z2960" t="str">
        <f>IF(A2960="","",TEXT(A2960,"0")&amp;"|"&amp;TEXT(H2960,"0"))</f>
        <v/>
      </c>
      <c r="AA2960" t="str">
        <f>IF(Z2960="","",IFERROR(LOOKUP(2,1/(#REF!=Z2960),#REF!),""))</f>
        <v/>
      </c>
      <c r="AB2960" t="str">
        <f>IF(Z2960="","",IFERROR(LOOKUP(2,1/(#REF!=Z2960),#REF!),""))</f>
        <v/>
      </c>
      <c r="AC2960" t="str">
        <f>IF(Z2960="","",COUNTIF(#REF!,Z2960))</f>
        <v/>
      </c>
      <c r="AD2960" t="str">
        <f>IF(A2960="","",IF(AC2960&gt;1,"REVISAR DUPLICADO",IF(AA2960&lt;&gt;"","ACTUALIZADO POR EYR","SIN REPORTE EYR")))</f>
        <v/>
      </c>
    </row>
    <row r="2961" spans="11:30" x14ac:dyDescent="0.3">
      <c r="K2961" s="1" t="str">
        <f ca="1">IF(A2961="","",IF(OR(L2961="ENTREGADA",L2961="RETORNADA",L2961="ENTREGA DIGITAL"),0,MAX(0,5-NETWORKDAYS(H2961+1,TODAY()))))</f>
        <v/>
      </c>
      <c r="L2961" t="str">
        <f>IF(A2961="","",IFERROR(LOOKUP(2,1/(#REF!=Z2961),#REF!),Y2961))</f>
        <v/>
      </c>
      <c r="Z2961" t="str">
        <f>IF(A2961="","",TEXT(A2961,"0")&amp;"|"&amp;TEXT(H2961,"0"))</f>
        <v/>
      </c>
      <c r="AA2961" t="str">
        <f>IF(Z2961="","",IFERROR(LOOKUP(2,1/(#REF!=Z2961),#REF!),""))</f>
        <v/>
      </c>
      <c r="AB2961" t="str">
        <f>IF(Z2961="","",IFERROR(LOOKUP(2,1/(#REF!=Z2961),#REF!),""))</f>
        <v/>
      </c>
      <c r="AC2961" t="str">
        <f>IF(Z2961="","",COUNTIF(#REF!,Z2961))</f>
        <v/>
      </c>
      <c r="AD2961" t="str">
        <f>IF(A2961="","",IF(AC2961&gt;1,"REVISAR DUPLICADO",IF(AA2961&lt;&gt;"","ACTUALIZADO POR EYR","SIN REPORTE EYR")))</f>
        <v/>
      </c>
    </row>
    <row r="2962" spans="11:30" x14ac:dyDescent="0.3">
      <c r="K2962" s="1" t="str">
        <f ca="1">IF(A2962="","",IF(OR(L2962="ENTREGADA",L2962="RETORNADA",L2962="ENTREGA DIGITAL"),0,MAX(0,5-NETWORKDAYS(H2962+1,TODAY()))))</f>
        <v/>
      </c>
      <c r="L2962" t="str">
        <f>IF(A2962="","",IFERROR(LOOKUP(2,1/(#REF!=Z2962),#REF!),Y2962))</f>
        <v/>
      </c>
      <c r="Z2962" t="str">
        <f>IF(A2962="","",TEXT(A2962,"0")&amp;"|"&amp;TEXT(H2962,"0"))</f>
        <v/>
      </c>
      <c r="AA2962" t="str">
        <f>IF(Z2962="","",IFERROR(LOOKUP(2,1/(#REF!=Z2962),#REF!),""))</f>
        <v/>
      </c>
      <c r="AB2962" t="str">
        <f>IF(Z2962="","",IFERROR(LOOKUP(2,1/(#REF!=Z2962),#REF!),""))</f>
        <v/>
      </c>
      <c r="AC2962" t="str">
        <f>IF(Z2962="","",COUNTIF(#REF!,Z2962))</f>
        <v/>
      </c>
      <c r="AD2962" t="str">
        <f>IF(A2962="","",IF(AC2962&gt;1,"REVISAR DUPLICADO",IF(AA2962&lt;&gt;"","ACTUALIZADO POR EYR","SIN REPORTE EYR")))</f>
        <v/>
      </c>
    </row>
    <row r="2963" spans="11:30" x14ac:dyDescent="0.3">
      <c r="K2963" s="1" t="str">
        <f ca="1">IF(A2963="","",IF(OR(L2963="ENTREGADA",L2963="RETORNADA",L2963="ENTREGA DIGITAL"),0,MAX(0,5-NETWORKDAYS(H2963+1,TODAY()))))</f>
        <v/>
      </c>
      <c r="L2963" t="str">
        <f>IF(A2963="","",IFERROR(LOOKUP(2,1/(#REF!=Z2963),#REF!),Y2963))</f>
        <v/>
      </c>
      <c r="Z2963" t="str">
        <f>IF(A2963="","",TEXT(A2963,"0")&amp;"|"&amp;TEXT(H2963,"0"))</f>
        <v/>
      </c>
      <c r="AA2963" t="str">
        <f>IF(Z2963="","",IFERROR(LOOKUP(2,1/(#REF!=Z2963),#REF!),""))</f>
        <v/>
      </c>
      <c r="AB2963" t="str">
        <f>IF(Z2963="","",IFERROR(LOOKUP(2,1/(#REF!=Z2963),#REF!),""))</f>
        <v/>
      </c>
      <c r="AC2963" t="str">
        <f>IF(Z2963="","",COUNTIF(#REF!,Z2963))</f>
        <v/>
      </c>
      <c r="AD2963" t="str">
        <f>IF(A2963="","",IF(AC2963&gt;1,"REVISAR DUPLICADO",IF(AA2963&lt;&gt;"","ACTUALIZADO POR EYR","SIN REPORTE EYR")))</f>
        <v/>
      </c>
    </row>
    <row r="2964" spans="11:30" x14ac:dyDescent="0.3">
      <c r="K2964" s="1" t="str">
        <f ca="1">IF(A2964="","",IF(OR(L2964="ENTREGADA",L2964="RETORNADA",L2964="ENTREGA DIGITAL"),0,MAX(0,5-NETWORKDAYS(H2964+1,TODAY()))))</f>
        <v/>
      </c>
      <c r="L2964" t="str">
        <f>IF(A2964="","",IFERROR(LOOKUP(2,1/(#REF!=Z2964),#REF!),Y2964))</f>
        <v/>
      </c>
      <c r="Z2964" t="str">
        <f>IF(A2964="","",TEXT(A2964,"0")&amp;"|"&amp;TEXT(H2964,"0"))</f>
        <v/>
      </c>
      <c r="AA2964" t="str">
        <f>IF(Z2964="","",IFERROR(LOOKUP(2,1/(#REF!=Z2964),#REF!),""))</f>
        <v/>
      </c>
      <c r="AB2964" t="str">
        <f>IF(Z2964="","",IFERROR(LOOKUP(2,1/(#REF!=Z2964),#REF!),""))</f>
        <v/>
      </c>
      <c r="AC2964" t="str">
        <f>IF(Z2964="","",COUNTIF(#REF!,Z2964))</f>
        <v/>
      </c>
      <c r="AD2964" t="str">
        <f>IF(A2964="","",IF(AC2964&gt;1,"REVISAR DUPLICADO",IF(AA2964&lt;&gt;"","ACTUALIZADO POR EYR","SIN REPORTE EYR")))</f>
        <v/>
      </c>
    </row>
    <row r="2965" spans="11:30" x14ac:dyDescent="0.3">
      <c r="K2965" s="1" t="str">
        <f ca="1">IF(A2965="","",IF(OR(L2965="ENTREGADA",L2965="RETORNADA",L2965="ENTREGA DIGITAL"),0,MAX(0,5-NETWORKDAYS(H2965+1,TODAY()))))</f>
        <v/>
      </c>
      <c r="L2965" t="str">
        <f>IF(A2965="","",IFERROR(LOOKUP(2,1/(#REF!=Z2965),#REF!),Y2965))</f>
        <v/>
      </c>
      <c r="Z2965" t="str">
        <f>IF(A2965="","",TEXT(A2965,"0")&amp;"|"&amp;TEXT(H2965,"0"))</f>
        <v/>
      </c>
      <c r="AA2965" t="str">
        <f>IF(Z2965="","",IFERROR(LOOKUP(2,1/(#REF!=Z2965),#REF!),""))</f>
        <v/>
      </c>
      <c r="AB2965" t="str">
        <f>IF(Z2965="","",IFERROR(LOOKUP(2,1/(#REF!=Z2965),#REF!),""))</f>
        <v/>
      </c>
      <c r="AC2965" t="str">
        <f>IF(Z2965="","",COUNTIF(#REF!,Z2965))</f>
        <v/>
      </c>
      <c r="AD2965" t="str">
        <f>IF(A2965="","",IF(AC2965&gt;1,"REVISAR DUPLICADO",IF(AA2965&lt;&gt;"","ACTUALIZADO POR EYR","SIN REPORTE EYR")))</f>
        <v/>
      </c>
    </row>
    <row r="2966" spans="11:30" x14ac:dyDescent="0.3">
      <c r="K2966" s="1" t="str">
        <f ca="1">IF(A2966="","",IF(OR(L2966="ENTREGADA",L2966="RETORNADA",L2966="ENTREGA DIGITAL"),0,MAX(0,5-NETWORKDAYS(H2966+1,TODAY()))))</f>
        <v/>
      </c>
      <c r="L2966" t="str">
        <f>IF(A2966="","",IFERROR(LOOKUP(2,1/(#REF!=Z2966),#REF!),Y2966))</f>
        <v/>
      </c>
      <c r="Z2966" t="str">
        <f>IF(A2966="","",TEXT(A2966,"0")&amp;"|"&amp;TEXT(H2966,"0"))</f>
        <v/>
      </c>
      <c r="AA2966" t="str">
        <f>IF(Z2966="","",IFERROR(LOOKUP(2,1/(#REF!=Z2966),#REF!),""))</f>
        <v/>
      </c>
      <c r="AB2966" t="str">
        <f>IF(Z2966="","",IFERROR(LOOKUP(2,1/(#REF!=Z2966),#REF!),""))</f>
        <v/>
      </c>
      <c r="AC2966" t="str">
        <f>IF(Z2966="","",COUNTIF(#REF!,Z2966))</f>
        <v/>
      </c>
      <c r="AD2966" t="str">
        <f>IF(A2966="","",IF(AC2966&gt;1,"REVISAR DUPLICADO",IF(AA2966&lt;&gt;"","ACTUALIZADO POR EYR","SIN REPORTE EYR")))</f>
        <v/>
      </c>
    </row>
    <row r="2967" spans="11:30" x14ac:dyDescent="0.3">
      <c r="K2967" s="1" t="str">
        <f ca="1">IF(A2967="","",IF(OR(L2967="ENTREGADA",L2967="RETORNADA",L2967="ENTREGA DIGITAL"),0,MAX(0,5-NETWORKDAYS(H2967+1,TODAY()))))</f>
        <v/>
      </c>
      <c r="L2967" t="str">
        <f>IF(A2967="","",IFERROR(LOOKUP(2,1/(#REF!=Z2967),#REF!),Y2967))</f>
        <v/>
      </c>
      <c r="Z2967" t="str">
        <f>IF(A2967="","",TEXT(A2967,"0")&amp;"|"&amp;TEXT(H2967,"0"))</f>
        <v/>
      </c>
      <c r="AA2967" t="str">
        <f>IF(Z2967="","",IFERROR(LOOKUP(2,1/(#REF!=Z2967),#REF!),""))</f>
        <v/>
      </c>
      <c r="AB2967" t="str">
        <f>IF(Z2967="","",IFERROR(LOOKUP(2,1/(#REF!=Z2967),#REF!),""))</f>
        <v/>
      </c>
      <c r="AC2967" t="str">
        <f>IF(Z2967="","",COUNTIF(#REF!,Z2967))</f>
        <v/>
      </c>
      <c r="AD2967" t="str">
        <f>IF(A2967="","",IF(AC2967&gt;1,"REVISAR DUPLICADO",IF(AA2967&lt;&gt;"","ACTUALIZADO POR EYR","SIN REPORTE EYR")))</f>
        <v/>
      </c>
    </row>
    <row r="2968" spans="11:30" x14ac:dyDescent="0.3">
      <c r="K2968" s="1" t="str">
        <f ca="1">IF(A2968="","",IF(OR(L2968="ENTREGADA",L2968="RETORNADA",L2968="ENTREGA DIGITAL"),0,MAX(0,5-NETWORKDAYS(H2968+1,TODAY()))))</f>
        <v/>
      </c>
      <c r="L2968" t="str">
        <f>IF(A2968="","",IFERROR(LOOKUP(2,1/(#REF!=Z2968),#REF!),Y2968))</f>
        <v/>
      </c>
      <c r="Z2968" t="str">
        <f>IF(A2968="","",TEXT(A2968,"0")&amp;"|"&amp;TEXT(H2968,"0"))</f>
        <v/>
      </c>
      <c r="AA2968" t="str">
        <f>IF(Z2968="","",IFERROR(LOOKUP(2,1/(#REF!=Z2968),#REF!),""))</f>
        <v/>
      </c>
      <c r="AB2968" t="str">
        <f>IF(Z2968="","",IFERROR(LOOKUP(2,1/(#REF!=Z2968),#REF!),""))</f>
        <v/>
      </c>
      <c r="AC2968" t="str">
        <f>IF(Z2968="","",COUNTIF(#REF!,Z2968))</f>
        <v/>
      </c>
      <c r="AD2968" t="str">
        <f>IF(A2968="","",IF(AC2968&gt;1,"REVISAR DUPLICADO",IF(AA2968&lt;&gt;"","ACTUALIZADO POR EYR","SIN REPORTE EYR")))</f>
        <v/>
      </c>
    </row>
    <row r="2969" spans="11:30" x14ac:dyDescent="0.3">
      <c r="K2969" s="1" t="str">
        <f ca="1">IF(A2969="","",IF(OR(L2969="ENTREGADA",L2969="RETORNADA",L2969="ENTREGA DIGITAL"),0,MAX(0,5-NETWORKDAYS(H2969+1,TODAY()))))</f>
        <v/>
      </c>
      <c r="L2969" t="str">
        <f>IF(A2969="","",IFERROR(LOOKUP(2,1/(#REF!=Z2969),#REF!),Y2969))</f>
        <v/>
      </c>
      <c r="Z2969" t="str">
        <f>IF(A2969="","",TEXT(A2969,"0")&amp;"|"&amp;TEXT(H2969,"0"))</f>
        <v/>
      </c>
      <c r="AA2969" t="str">
        <f>IF(Z2969="","",IFERROR(LOOKUP(2,1/(#REF!=Z2969),#REF!),""))</f>
        <v/>
      </c>
      <c r="AB2969" t="str">
        <f>IF(Z2969="","",IFERROR(LOOKUP(2,1/(#REF!=Z2969),#REF!),""))</f>
        <v/>
      </c>
      <c r="AC2969" t="str">
        <f>IF(Z2969="","",COUNTIF(#REF!,Z2969))</f>
        <v/>
      </c>
      <c r="AD2969" t="str">
        <f>IF(A2969="","",IF(AC2969&gt;1,"REVISAR DUPLICADO",IF(AA2969&lt;&gt;"","ACTUALIZADO POR EYR","SIN REPORTE EYR")))</f>
        <v/>
      </c>
    </row>
    <row r="2970" spans="11:30" x14ac:dyDescent="0.3">
      <c r="K2970" s="1" t="str">
        <f ca="1">IF(A2970="","",IF(OR(L2970="ENTREGADA",L2970="RETORNADA",L2970="ENTREGA DIGITAL"),0,MAX(0,5-NETWORKDAYS(H2970+1,TODAY()))))</f>
        <v/>
      </c>
      <c r="L2970" t="str">
        <f>IF(A2970="","",IFERROR(LOOKUP(2,1/(#REF!=Z2970),#REF!),Y2970))</f>
        <v/>
      </c>
      <c r="Z2970" t="str">
        <f>IF(A2970="","",TEXT(A2970,"0")&amp;"|"&amp;TEXT(H2970,"0"))</f>
        <v/>
      </c>
      <c r="AA2970" t="str">
        <f>IF(Z2970="","",IFERROR(LOOKUP(2,1/(#REF!=Z2970),#REF!),""))</f>
        <v/>
      </c>
      <c r="AB2970" t="str">
        <f>IF(Z2970="","",IFERROR(LOOKUP(2,1/(#REF!=Z2970),#REF!),""))</f>
        <v/>
      </c>
      <c r="AC2970" t="str">
        <f>IF(Z2970="","",COUNTIF(#REF!,Z2970))</f>
        <v/>
      </c>
      <c r="AD2970" t="str">
        <f>IF(A2970="","",IF(AC2970&gt;1,"REVISAR DUPLICADO",IF(AA2970&lt;&gt;"","ACTUALIZADO POR EYR","SIN REPORTE EYR")))</f>
        <v/>
      </c>
    </row>
    <row r="2971" spans="11:30" x14ac:dyDescent="0.3">
      <c r="K2971" s="1" t="str">
        <f ca="1">IF(A2971="","",IF(OR(L2971="ENTREGADA",L2971="RETORNADA",L2971="ENTREGA DIGITAL"),0,MAX(0,5-NETWORKDAYS(H2971+1,TODAY()))))</f>
        <v/>
      </c>
      <c r="L2971" t="str">
        <f>IF(A2971="","",IFERROR(LOOKUP(2,1/(#REF!=Z2971),#REF!),Y2971))</f>
        <v/>
      </c>
      <c r="Z2971" t="str">
        <f>IF(A2971="","",TEXT(A2971,"0")&amp;"|"&amp;TEXT(H2971,"0"))</f>
        <v/>
      </c>
      <c r="AA2971" t="str">
        <f>IF(Z2971="","",IFERROR(LOOKUP(2,1/(#REF!=Z2971),#REF!),""))</f>
        <v/>
      </c>
      <c r="AB2971" t="str">
        <f>IF(Z2971="","",IFERROR(LOOKUP(2,1/(#REF!=Z2971),#REF!),""))</f>
        <v/>
      </c>
      <c r="AC2971" t="str">
        <f>IF(Z2971="","",COUNTIF(#REF!,Z2971))</f>
        <v/>
      </c>
      <c r="AD2971" t="str">
        <f>IF(A2971="","",IF(AC2971&gt;1,"REVISAR DUPLICADO",IF(AA2971&lt;&gt;"","ACTUALIZADO POR EYR","SIN REPORTE EYR")))</f>
        <v/>
      </c>
    </row>
    <row r="2972" spans="11:30" x14ac:dyDescent="0.3">
      <c r="K2972" s="1" t="str">
        <f ca="1">IF(A2972="","",IF(OR(L2972="ENTREGADA",L2972="RETORNADA",L2972="ENTREGA DIGITAL"),0,MAX(0,5-NETWORKDAYS(H2972+1,TODAY()))))</f>
        <v/>
      </c>
      <c r="L2972" t="str">
        <f>IF(A2972="","",IFERROR(LOOKUP(2,1/(#REF!=Z2972),#REF!),Y2972))</f>
        <v/>
      </c>
      <c r="Z2972" t="str">
        <f>IF(A2972="","",TEXT(A2972,"0")&amp;"|"&amp;TEXT(H2972,"0"))</f>
        <v/>
      </c>
      <c r="AA2972" t="str">
        <f>IF(Z2972="","",IFERROR(LOOKUP(2,1/(#REF!=Z2972),#REF!),""))</f>
        <v/>
      </c>
      <c r="AB2972" t="str">
        <f>IF(Z2972="","",IFERROR(LOOKUP(2,1/(#REF!=Z2972),#REF!),""))</f>
        <v/>
      </c>
      <c r="AC2972" t="str">
        <f>IF(Z2972="","",COUNTIF(#REF!,Z2972))</f>
        <v/>
      </c>
      <c r="AD2972" t="str">
        <f>IF(A2972="","",IF(AC2972&gt;1,"REVISAR DUPLICADO",IF(AA2972&lt;&gt;"","ACTUALIZADO POR EYR","SIN REPORTE EYR")))</f>
        <v/>
      </c>
    </row>
    <row r="2973" spans="11:30" x14ac:dyDescent="0.3">
      <c r="K2973" s="1" t="str">
        <f ca="1">IF(A2973="","",IF(OR(L2973="ENTREGADA",L2973="RETORNADA",L2973="ENTREGA DIGITAL"),0,MAX(0,5-NETWORKDAYS(H2973+1,TODAY()))))</f>
        <v/>
      </c>
      <c r="L2973" t="str">
        <f>IF(A2973="","",IFERROR(LOOKUP(2,1/(#REF!=Z2973),#REF!),Y2973))</f>
        <v/>
      </c>
      <c r="Z2973" t="str">
        <f>IF(A2973="","",TEXT(A2973,"0")&amp;"|"&amp;TEXT(H2973,"0"))</f>
        <v/>
      </c>
      <c r="AA2973" t="str">
        <f>IF(Z2973="","",IFERROR(LOOKUP(2,1/(#REF!=Z2973),#REF!),""))</f>
        <v/>
      </c>
      <c r="AB2973" t="str">
        <f>IF(Z2973="","",IFERROR(LOOKUP(2,1/(#REF!=Z2973),#REF!),""))</f>
        <v/>
      </c>
      <c r="AC2973" t="str">
        <f>IF(Z2973="","",COUNTIF(#REF!,Z2973))</f>
        <v/>
      </c>
      <c r="AD2973" t="str">
        <f>IF(A2973="","",IF(AC2973&gt;1,"REVISAR DUPLICADO",IF(AA2973&lt;&gt;"","ACTUALIZADO POR EYR","SIN REPORTE EYR")))</f>
        <v/>
      </c>
    </row>
    <row r="2974" spans="11:30" x14ac:dyDescent="0.3">
      <c r="K2974" s="1" t="str">
        <f ca="1">IF(A2974="","",IF(OR(L2974="ENTREGADA",L2974="RETORNADA",L2974="ENTREGA DIGITAL"),0,MAX(0,5-NETWORKDAYS(H2974+1,TODAY()))))</f>
        <v/>
      </c>
      <c r="L2974" t="str">
        <f>IF(A2974="","",IFERROR(LOOKUP(2,1/(#REF!=Z2974),#REF!),Y2974))</f>
        <v/>
      </c>
      <c r="Z2974" t="str">
        <f>IF(A2974="","",TEXT(A2974,"0")&amp;"|"&amp;TEXT(H2974,"0"))</f>
        <v/>
      </c>
      <c r="AA2974" t="str">
        <f>IF(Z2974="","",IFERROR(LOOKUP(2,1/(#REF!=Z2974),#REF!),""))</f>
        <v/>
      </c>
      <c r="AB2974" t="str">
        <f>IF(Z2974="","",IFERROR(LOOKUP(2,1/(#REF!=Z2974),#REF!),""))</f>
        <v/>
      </c>
      <c r="AC2974" t="str">
        <f>IF(Z2974="","",COUNTIF(#REF!,Z2974))</f>
        <v/>
      </c>
      <c r="AD2974" t="str">
        <f>IF(A2974="","",IF(AC2974&gt;1,"REVISAR DUPLICADO",IF(AA2974&lt;&gt;"","ACTUALIZADO POR EYR","SIN REPORTE EYR")))</f>
        <v/>
      </c>
    </row>
    <row r="2975" spans="11:30" x14ac:dyDescent="0.3">
      <c r="K2975" s="1" t="str">
        <f ca="1">IF(A2975="","",IF(OR(L2975="ENTREGADA",L2975="RETORNADA",L2975="ENTREGA DIGITAL"),0,MAX(0,5-NETWORKDAYS(H2975+1,TODAY()))))</f>
        <v/>
      </c>
      <c r="L2975" t="str">
        <f>IF(A2975="","",IFERROR(LOOKUP(2,1/(#REF!=Z2975),#REF!),Y2975))</f>
        <v/>
      </c>
      <c r="Z2975" t="str">
        <f>IF(A2975="","",TEXT(A2975,"0")&amp;"|"&amp;TEXT(H2975,"0"))</f>
        <v/>
      </c>
      <c r="AA2975" t="str">
        <f>IF(Z2975="","",IFERROR(LOOKUP(2,1/(#REF!=Z2975),#REF!),""))</f>
        <v/>
      </c>
      <c r="AB2975" t="str">
        <f>IF(Z2975="","",IFERROR(LOOKUP(2,1/(#REF!=Z2975),#REF!),""))</f>
        <v/>
      </c>
      <c r="AC2975" t="str">
        <f>IF(Z2975="","",COUNTIF(#REF!,Z2975))</f>
        <v/>
      </c>
      <c r="AD2975" t="str">
        <f>IF(A2975="","",IF(AC2975&gt;1,"REVISAR DUPLICADO",IF(AA2975&lt;&gt;"","ACTUALIZADO POR EYR","SIN REPORTE EYR")))</f>
        <v/>
      </c>
    </row>
    <row r="2976" spans="11:30" x14ac:dyDescent="0.3">
      <c r="K2976" s="1" t="str">
        <f ca="1">IF(A2976="","",IF(OR(L2976="ENTREGADA",L2976="RETORNADA",L2976="ENTREGA DIGITAL"),0,MAX(0,5-NETWORKDAYS(H2976+1,TODAY()))))</f>
        <v/>
      </c>
      <c r="L2976" t="str">
        <f>IF(A2976="","",IFERROR(LOOKUP(2,1/(#REF!=Z2976),#REF!),Y2976))</f>
        <v/>
      </c>
      <c r="Z2976" t="str">
        <f>IF(A2976="","",TEXT(A2976,"0")&amp;"|"&amp;TEXT(H2976,"0"))</f>
        <v/>
      </c>
      <c r="AA2976" t="str">
        <f>IF(Z2976="","",IFERROR(LOOKUP(2,1/(#REF!=Z2976),#REF!),""))</f>
        <v/>
      </c>
      <c r="AB2976" t="str">
        <f>IF(Z2976="","",IFERROR(LOOKUP(2,1/(#REF!=Z2976),#REF!),""))</f>
        <v/>
      </c>
      <c r="AC2976" t="str">
        <f>IF(Z2976="","",COUNTIF(#REF!,Z2976))</f>
        <v/>
      </c>
      <c r="AD2976" t="str">
        <f>IF(A2976="","",IF(AC2976&gt;1,"REVISAR DUPLICADO",IF(AA2976&lt;&gt;"","ACTUALIZADO POR EYR","SIN REPORTE EYR")))</f>
        <v/>
      </c>
    </row>
    <row r="2977" spans="11:30" x14ac:dyDescent="0.3">
      <c r="K2977" s="1" t="str">
        <f ca="1">IF(A2977="","",IF(OR(L2977="ENTREGADA",L2977="RETORNADA",L2977="ENTREGA DIGITAL"),0,MAX(0,5-NETWORKDAYS(H2977+1,TODAY()))))</f>
        <v/>
      </c>
      <c r="L2977" t="str">
        <f>IF(A2977="","",IFERROR(LOOKUP(2,1/(#REF!=Z2977),#REF!),Y2977))</f>
        <v/>
      </c>
      <c r="Z2977" t="str">
        <f>IF(A2977="","",TEXT(A2977,"0")&amp;"|"&amp;TEXT(H2977,"0"))</f>
        <v/>
      </c>
      <c r="AA2977" t="str">
        <f>IF(Z2977="","",IFERROR(LOOKUP(2,1/(#REF!=Z2977),#REF!),""))</f>
        <v/>
      </c>
      <c r="AB2977" t="str">
        <f>IF(Z2977="","",IFERROR(LOOKUP(2,1/(#REF!=Z2977),#REF!),""))</f>
        <v/>
      </c>
      <c r="AC2977" t="str">
        <f>IF(Z2977="","",COUNTIF(#REF!,Z2977))</f>
        <v/>
      </c>
      <c r="AD2977" t="str">
        <f>IF(A2977="","",IF(AC2977&gt;1,"REVISAR DUPLICADO",IF(AA2977&lt;&gt;"","ACTUALIZADO POR EYR","SIN REPORTE EYR")))</f>
        <v/>
      </c>
    </row>
    <row r="2978" spans="11:30" x14ac:dyDescent="0.3">
      <c r="K2978" s="1" t="str">
        <f ca="1">IF(A2978="","",IF(OR(L2978="ENTREGADA",L2978="RETORNADA",L2978="ENTREGA DIGITAL"),0,MAX(0,5-NETWORKDAYS(H2978+1,TODAY()))))</f>
        <v/>
      </c>
      <c r="L2978" t="str">
        <f>IF(A2978="","",IFERROR(LOOKUP(2,1/(#REF!=Z2978),#REF!),Y2978))</f>
        <v/>
      </c>
      <c r="Z2978" t="str">
        <f>IF(A2978="","",TEXT(A2978,"0")&amp;"|"&amp;TEXT(H2978,"0"))</f>
        <v/>
      </c>
      <c r="AA2978" t="str">
        <f>IF(Z2978="","",IFERROR(LOOKUP(2,1/(#REF!=Z2978),#REF!),""))</f>
        <v/>
      </c>
      <c r="AB2978" t="str">
        <f>IF(Z2978="","",IFERROR(LOOKUP(2,1/(#REF!=Z2978),#REF!),""))</f>
        <v/>
      </c>
      <c r="AC2978" t="str">
        <f>IF(Z2978="","",COUNTIF(#REF!,Z2978))</f>
        <v/>
      </c>
      <c r="AD2978" t="str">
        <f>IF(A2978="","",IF(AC2978&gt;1,"REVISAR DUPLICADO",IF(AA2978&lt;&gt;"","ACTUALIZADO POR EYR","SIN REPORTE EYR")))</f>
        <v/>
      </c>
    </row>
    <row r="2979" spans="11:30" x14ac:dyDescent="0.3">
      <c r="K2979" s="1" t="str">
        <f ca="1">IF(A2979="","",IF(OR(L2979="ENTREGADA",L2979="RETORNADA",L2979="ENTREGA DIGITAL"),0,MAX(0,5-NETWORKDAYS(H2979+1,TODAY()))))</f>
        <v/>
      </c>
      <c r="L2979" t="str">
        <f>IF(A2979="","",IFERROR(LOOKUP(2,1/(#REF!=Z2979),#REF!),Y2979))</f>
        <v/>
      </c>
      <c r="Z2979" t="str">
        <f>IF(A2979="","",TEXT(A2979,"0")&amp;"|"&amp;TEXT(H2979,"0"))</f>
        <v/>
      </c>
      <c r="AA2979" t="str">
        <f>IF(Z2979="","",IFERROR(LOOKUP(2,1/(#REF!=Z2979),#REF!),""))</f>
        <v/>
      </c>
      <c r="AB2979" t="str">
        <f>IF(Z2979="","",IFERROR(LOOKUP(2,1/(#REF!=Z2979),#REF!),""))</f>
        <v/>
      </c>
      <c r="AC2979" t="str">
        <f>IF(Z2979="","",COUNTIF(#REF!,Z2979))</f>
        <v/>
      </c>
      <c r="AD2979" t="str">
        <f>IF(A2979="","",IF(AC2979&gt;1,"REVISAR DUPLICADO",IF(AA2979&lt;&gt;"","ACTUALIZADO POR EYR","SIN REPORTE EYR")))</f>
        <v/>
      </c>
    </row>
    <row r="2980" spans="11:30" x14ac:dyDescent="0.3">
      <c r="K2980" s="1" t="str">
        <f ca="1">IF(A2980="","",IF(OR(L2980="ENTREGADA",L2980="RETORNADA",L2980="ENTREGA DIGITAL"),0,MAX(0,5-NETWORKDAYS(H2980+1,TODAY()))))</f>
        <v/>
      </c>
      <c r="L2980" t="str">
        <f>IF(A2980="","",IFERROR(LOOKUP(2,1/(#REF!=Z2980),#REF!),Y2980))</f>
        <v/>
      </c>
      <c r="Z2980" t="str">
        <f>IF(A2980="","",TEXT(A2980,"0")&amp;"|"&amp;TEXT(H2980,"0"))</f>
        <v/>
      </c>
      <c r="AA2980" t="str">
        <f>IF(Z2980="","",IFERROR(LOOKUP(2,1/(#REF!=Z2980),#REF!),""))</f>
        <v/>
      </c>
      <c r="AB2980" t="str">
        <f>IF(Z2980="","",IFERROR(LOOKUP(2,1/(#REF!=Z2980),#REF!),""))</f>
        <v/>
      </c>
      <c r="AC2980" t="str">
        <f>IF(Z2980="","",COUNTIF(#REF!,Z2980))</f>
        <v/>
      </c>
      <c r="AD2980" t="str">
        <f>IF(A2980="","",IF(AC2980&gt;1,"REVISAR DUPLICADO",IF(AA2980&lt;&gt;"","ACTUALIZADO POR EYR","SIN REPORTE EYR")))</f>
        <v/>
      </c>
    </row>
    <row r="2981" spans="11:30" x14ac:dyDescent="0.3">
      <c r="K2981" s="1" t="str">
        <f ca="1">IF(A2981="","",IF(OR(L2981="ENTREGADA",L2981="RETORNADA",L2981="ENTREGA DIGITAL"),0,MAX(0,5-NETWORKDAYS(H2981+1,TODAY()))))</f>
        <v/>
      </c>
      <c r="L2981" t="str">
        <f>IF(A2981="","",IFERROR(LOOKUP(2,1/(#REF!=Z2981),#REF!),Y2981))</f>
        <v/>
      </c>
      <c r="Z2981" t="str">
        <f>IF(A2981="","",TEXT(A2981,"0")&amp;"|"&amp;TEXT(H2981,"0"))</f>
        <v/>
      </c>
      <c r="AA2981" t="str">
        <f>IF(Z2981="","",IFERROR(LOOKUP(2,1/(#REF!=Z2981),#REF!),""))</f>
        <v/>
      </c>
      <c r="AB2981" t="str">
        <f>IF(Z2981="","",IFERROR(LOOKUP(2,1/(#REF!=Z2981),#REF!),""))</f>
        <v/>
      </c>
      <c r="AC2981" t="str">
        <f>IF(Z2981="","",COUNTIF(#REF!,Z2981))</f>
        <v/>
      </c>
      <c r="AD2981" t="str">
        <f>IF(A2981="","",IF(AC2981&gt;1,"REVISAR DUPLICADO",IF(AA2981&lt;&gt;"","ACTUALIZADO POR EYR","SIN REPORTE EYR")))</f>
        <v/>
      </c>
    </row>
    <row r="2982" spans="11:30" x14ac:dyDescent="0.3">
      <c r="K2982" s="1" t="str">
        <f ca="1">IF(A2982="","",IF(OR(L2982="ENTREGADA",L2982="RETORNADA",L2982="ENTREGA DIGITAL"),0,MAX(0,5-NETWORKDAYS(H2982+1,TODAY()))))</f>
        <v/>
      </c>
      <c r="L2982" t="str">
        <f>IF(A2982="","",IFERROR(LOOKUP(2,1/(#REF!=Z2982),#REF!),Y2982))</f>
        <v/>
      </c>
      <c r="Z2982" t="str">
        <f>IF(A2982="","",TEXT(A2982,"0")&amp;"|"&amp;TEXT(H2982,"0"))</f>
        <v/>
      </c>
      <c r="AA2982" t="str">
        <f>IF(Z2982="","",IFERROR(LOOKUP(2,1/(#REF!=Z2982),#REF!),""))</f>
        <v/>
      </c>
      <c r="AB2982" t="str">
        <f>IF(Z2982="","",IFERROR(LOOKUP(2,1/(#REF!=Z2982),#REF!),""))</f>
        <v/>
      </c>
      <c r="AC2982" t="str">
        <f>IF(Z2982="","",COUNTIF(#REF!,Z2982))</f>
        <v/>
      </c>
      <c r="AD2982" t="str">
        <f>IF(A2982="","",IF(AC2982&gt;1,"REVISAR DUPLICADO",IF(AA2982&lt;&gt;"","ACTUALIZADO POR EYR","SIN REPORTE EYR")))</f>
        <v/>
      </c>
    </row>
    <row r="2983" spans="11:30" x14ac:dyDescent="0.3">
      <c r="K2983" s="1" t="str">
        <f ca="1">IF(A2983="","",IF(OR(L2983="ENTREGADA",L2983="RETORNADA",L2983="ENTREGA DIGITAL"),0,MAX(0,5-NETWORKDAYS(H2983+1,TODAY()))))</f>
        <v/>
      </c>
      <c r="L2983" t="str">
        <f>IF(A2983="","",IFERROR(LOOKUP(2,1/(#REF!=Z2983),#REF!),Y2983))</f>
        <v/>
      </c>
      <c r="Z2983" t="str">
        <f>IF(A2983="","",TEXT(A2983,"0")&amp;"|"&amp;TEXT(H2983,"0"))</f>
        <v/>
      </c>
      <c r="AA2983" t="str">
        <f>IF(Z2983="","",IFERROR(LOOKUP(2,1/(#REF!=Z2983),#REF!),""))</f>
        <v/>
      </c>
      <c r="AB2983" t="str">
        <f>IF(Z2983="","",IFERROR(LOOKUP(2,1/(#REF!=Z2983),#REF!),""))</f>
        <v/>
      </c>
      <c r="AC2983" t="str">
        <f>IF(Z2983="","",COUNTIF(#REF!,Z2983))</f>
        <v/>
      </c>
      <c r="AD2983" t="str">
        <f>IF(A2983="","",IF(AC2983&gt;1,"REVISAR DUPLICADO",IF(AA2983&lt;&gt;"","ACTUALIZADO POR EYR","SIN REPORTE EYR")))</f>
        <v/>
      </c>
    </row>
    <row r="2984" spans="11:30" x14ac:dyDescent="0.3">
      <c r="K2984" s="1" t="str">
        <f ca="1">IF(A2984="","",IF(OR(L2984="ENTREGADA",L2984="RETORNADA",L2984="ENTREGA DIGITAL"),0,MAX(0,5-NETWORKDAYS(H2984+1,TODAY()))))</f>
        <v/>
      </c>
      <c r="L2984" t="str">
        <f>IF(A2984="","",IFERROR(LOOKUP(2,1/(#REF!=Z2984),#REF!),Y2984))</f>
        <v/>
      </c>
      <c r="Z2984" t="str">
        <f>IF(A2984="","",TEXT(A2984,"0")&amp;"|"&amp;TEXT(H2984,"0"))</f>
        <v/>
      </c>
      <c r="AA2984" t="str">
        <f>IF(Z2984="","",IFERROR(LOOKUP(2,1/(#REF!=Z2984),#REF!),""))</f>
        <v/>
      </c>
      <c r="AB2984" t="str">
        <f>IF(Z2984="","",IFERROR(LOOKUP(2,1/(#REF!=Z2984),#REF!),""))</f>
        <v/>
      </c>
      <c r="AC2984" t="str">
        <f>IF(Z2984="","",COUNTIF(#REF!,Z2984))</f>
        <v/>
      </c>
      <c r="AD2984" t="str">
        <f>IF(A2984="","",IF(AC2984&gt;1,"REVISAR DUPLICADO",IF(AA2984&lt;&gt;"","ACTUALIZADO POR EYR","SIN REPORTE EYR")))</f>
        <v/>
      </c>
    </row>
    <row r="2985" spans="11:30" x14ac:dyDescent="0.3">
      <c r="K2985" s="1" t="str">
        <f ca="1">IF(A2985="","",IF(OR(L2985="ENTREGADA",L2985="RETORNADA",L2985="ENTREGA DIGITAL"),0,MAX(0,5-NETWORKDAYS(H2985+1,TODAY()))))</f>
        <v/>
      </c>
      <c r="L2985" t="str">
        <f>IF(A2985="","",IFERROR(LOOKUP(2,1/(#REF!=Z2985),#REF!),Y2985))</f>
        <v/>
      </c>
      <c r="Z2985" t="str">
        <f>IF(A2985="","",TEXT(A2985,"0")&amp;"|"&amp;TEXT(H2985,"0"))</f>
        <v/>
      </c>
      <c r="AA2985" t="str">
        <f>IF(Z2985="","",IFERROR(LOOKUP(2,1/(#REF!=Z2985),#REF!),""))</f>
        <v/>
      </c>
      <c r="AB2985" t="str">
        <f>IF(Z2985="","",IFERROR(LOOKUP(2,1/(#REF!=Z2985),#REF!),""))</f>
        <v/>
      </c>
      <c r="AC2985" t="str">
        <f>IF(Z2985="","",COUNTIF(#REF!,Z2985))</f>
        <v/>
      </c>
      <c r="AD2985" t="str">
        <f>IF(A2985="","",IF(AC2985&gt;1,"REVISAR DUPLICADO",IF(AA2985&lt;&gt;"","ACTUALIZADO POR EYR","SIN REPORTE EYR")))</f>
        <v/>
      </c>
    </row>
    <row r="2986" spans="11:30" x14ac:dyDescent="0.3">
      <c r="K2986" s="1" t="str">
        <f ca="1">IF(A2986="","",IF(OR(L2986="ENTREGADA",L2986="RETORNADA",L2986="ENTREGA DIGITAL"),0,MAX(0,5-NETWORKDAYS(H2986+1,TODAY()))))</f>
        <v/>
      </c>
      <c r="L2986" t="str">
        <f>IF(A2986="","",IFERROR(LOOKUP(2,1/(#REF!=Z2986),#REF!),Y2986))</f>
        <v/>
      </c>
      <c r="Z2986" t="str">
        <f>IF(A2986="","",TEXT(A2986,"0")&amp;"|"&amp;TEXT(H2986,"0"))</f>
        <v/>
      </c>
      <c r="AA2986" t="str">
        <f>IF(Z2986="","",IFERROR(LOOKUP(2,1/(#REF!=Z2986),#REF!),""))</f>
        <v/>
      </c>
      <c r="AB2986" t="str">
        <f>IF(Z2986="","",IFERROR(LOOKUP(2,1/(#REF!=Z2986),#REF!),""))</f>
        <v/>
      </c>
      <c r="AC2986" t="str">
        <f>IF(Z2986="","",COUNTIF(#REF!,Z2986))</f>
        <v/>
      </c>
      <c r="AD2986" t="str">
        <f>IF(A2986="","",IF(AC2986&gt;1,"REVISAR DUPLICADO",IF(AA2986&lt;&gt;"","ACTUALIZADO POR EYR","SIN REPORTE EYR")))</f>
        <v/>
      </c>
    </row>
    <row r="2987" spans="11:30" x14ac:dyDescent="0.3">
      <c r="K2987" s="1" t="str">
        <f ca="1">IF(A2987="","",IF(OR(L2987="ENTREGADA",L2987="RETORNADA",L2987="ENTREGA DIGITAL"),0,MAX(0,5-NETWORKDAYS(H2987+1,TODAY()))))</f>
        <v/>
      </c>
      <c r="L2987" t="str">
        <f>IF(A2987="","",IFERROR(LOOKUP(2,1/(#REF!=Z2987),#REF!),Y2987))</f>
        <v/>
      </c>
      <c r="Z2987" t="str">
        <f>IF(A2987="","",TEXT(A2987,"0")&amp;"|"&amp;TEXT(H2987,"0"))</f>
        <v/>
      </c>
      <c r="AA2987" t="str">
        <f>IF(Z2987="","",IFERROR(LOOKUP(2,1/(#REF!=Z2987),#REF!),""))</f>
        <v/>
      </c>
      <c r="AB2987" t="str">
        <f>IF(Z2987="","",IFERROR(LOOKUP(2,1/(#REF!=Z2987),#REF!),""))</f>
        <v/>
      </c>
      <c r="AC2987" t="str">
        <f>IF(Z2987="","",COUNTIF(#REF!,Z2987))</f>
        <v/>
      </c>
      <c r="AD2987" t="str">
        <f>IF(A2987="","",IF(AC2987&gt;1,"REVISAR DUPLICADO",IF(AA2987&lt;&gt;"","ACTUALIZADO POR EYR","SIN REPORTE EYR")))</f>
        <v/>
      </c>
    </row>
    <row r="2988" spans="11:30" x14ac:dyDescent="0.3">
      <c r="K2988" s="1" t="str">
        <f ca="1">IF(A2988="","",IF(OR(L2988="ENTREGADA",L2988="RETORNADA",L2988="ENTREGA DIGITAL"),0,MAX(0,5-NETWORKDAYS(H2988+1,TODAY()))))</f>
        <v/>
      </c>
      <c r="L2988" t="str">
        <f>IF(A2988="","",IFERROR(LOOKUP(2,1/(#REF!=Z2988),#REF!),Y2988))</f>
        <v/>
      </c>
      <c r="Z2988" t="str">
        <f>IF(A2988="","",TEXT(A2988,"0")&amp;"|"&amp;TEXT(H2988,"0"))</f>
        <v/>
      </c>
      <c r="AA2988" t="str">
        <f>IF(Z2988="","",IFERROR(LOOKUP(2,1/(#REF!=Z2988),#REF!),""))</f>
        <v/>
      </c>
      <c r="AB2988" t="str">
        <f>IF(Z2988="","",IFERROR(LOOKUP(2,1/(#REF!=Z2988),#REF!),""))</f>
        <v/>
      </c>
      <c r="AC2988" t="str">
        <f>IF(Z2988="","",COUNTIF(#REF!,Z2988))</f>
        <v/>
      </c>
      <c r="AD2988" t="str">
        <f>IF(A2988="","",IF(AC2988&gt;1,"REVISAR DUPLICADO",IF(AA2988&lt;&gt;"","ACTUALIZADO POR EYR","SIN REPORTE EYR")))</f>
        <v/>
      </c>
    </row>
    <row r="2989" spans="11:30" x14ac:dyDescent="0.3">
      <c r="K2989" s="1" t="str">
        <f ca="1">IF(A2989="","",IF(OR(L2989="ENTREGADA",L2989="RETORNADA",L2989="ENTREGA DIGITAL"),0,MAX(0,5-NETWORKDAYS(H2989+1,TODAY()))))</f>
        <v/>
      </c>
      <c r="L2989" t="str">
        <f>IF(A2989="","",IFERROR(LOOKUP(2,1/(#REF!=Z2989),#REF!),Y2989))</f>
        <v/>
      </c>
      <c r="Z2989" t="str">
        <f>IF(A2989="","",TEXT(A2989,"0")&amp;"|"&amp;TEXT(H2989,"0"))</f>
        <v/>
      </c>
      <c r="AA2989" t="str">
        <f>IF(Z2989="","",IFERROR(LOOKUP(2,1/(#REF!=Z2989),#REF!),""))</f>
        <v/>
      </c>
      <c r="AB2989" t="str">
        <f>IF(Z2989="","",IFERROR(LOOKUP(2,1/(#REF!=Z2989),#REF!),""))</f>
        <v/>
      </c>
      <c r="AC2989" t="str">
        <f>IF(Z2989="","",COUNTIF(#REF!,Z2989))</f>
        <v/>
      </c>
      <c r="AD2989" t="str">
        <f>IF(A2989="","",IF(AC2989&gt;1,"REVISAR DUPLICADO",IF(AA2989&lt;&gt;"","ACTUALIZADO POR EYR","SIN REPORTE EYR")))</f>
        <v/>
      </c>
    </row>
    <row r="2990" spans="11:30" x14ac:dyDescent="0.3">
      <c r="K2990" s="1" t="str">
        <f ca="1">IF(A2990="","",IF(OR(L2990="ENTREGADA",L2990="RETORNADA",L2990="ENTREGA DIGITAL"),0,MAX(0,5-NETWORKDAYS(H2990+1,TODAY()))))</f>
        <v/>
      </c>
      <c r="L2990" t="str">
        <f>IF(A2990="","",IFERROR(LOOKUP(2,1/(#REF!=Z2990),#REF!),Y2990))</f>
        <v/>
      </c>
      <c r="Z2990" t="str">
        <f>IF(A2990="","",TEXT(A2990,"0")&amp;"|"&amp;TEXT(H2990,"0"))</f>
        <v/>
      </c>
      <c r="AA2990" t="str">
        <f>IF(Z2990="","",IFERROR(LOOKUP(2,1/(#REF!=Z2990),#REF!),""))</f>
        <v/>
      </c>
      <c r="AB2990" t="str">
        <f>IF(Z2990="","",IFERROR(LOOKUP(2,1/(#REF!=Z2990),#REF!),""))</f>
        <v/>
      </c>
      <c r="AC2990" t="str">
        <f>IF(Z2990="","",COUNTIF(#REF!,Z2990))</f>
        <v/>
      </c>
      <c r="AD2990" t="str">
        <f>IF(A2990="","",IF(AC2990&gt;1,"REVISAR DUPLICADO",IF(AA2990&lt;&gt;"","ACTUALIZADO POR EYR","SIN REPORTE EYR")))</f>
        <v/>
      </c>
    </row>
    <row r="2991" spans="11:30" x14ac:dyDescent="0.3">
      <c r="K2991" s="1" t="str">
        <f ca="1">IF(A2991="","",IF(OR(L2991="ENTREGADA",L2991="RETORNADA",L2991="ENTREGA DIGITAL"),0,MAX(0,5-NETWORKDAYS(H2991+1,TODAY()))))</f>
        <v/>
      </c>
      <c r="L2991" t="str">
        <f>IF(A2991="","",IFERROR(LOOKUP(2,1/(#REF!=Z2991),#REF!),Y2991))</f>
        <v/>
      </c>
      <c r="Z2991" t="str">
        <f>IF(A2991="","",TEXT(A2991,"0")&amp;"|"&amp;TEXT(H2991,"0"))</f>
        <v/>
      </c>
      <c r="AA2991" t="str">
        <f>IF(Z2991="","",IFERROR(LOOKUP(2,1/(#REF!=Z2991),#REF!),""))</f>
        <v/>
      </c>
      <c r="AB2991" t="str">
        <f>IF(Z2991="","",IFERROR(LOOKUP(2,1/(#REF!=Z2991),#REF!),""))</f>
        <v/>
      </c>
      <c r="AC2991" t="str">
        <f>IF(Z2991="","",COUNTIF(#REF!,Z2991))</f>
        <v/>
      </c>
      <c r="AD2991" t="str">
        <f>IF(A2991="","",IF(AC2991&gt;1,"REVISAR DUPLICADO",IF(AA2991&lt;&gt;"","ACTUALIZADO POR EYR","SIN REPORTE EYR")))</f>
        <v/>
      </c>
    </row>
    <row r="2992" spans="11:30" x14ac:dyDescent="0.3">
      <c r="K2992" s="1" t="str">
        <f ca="1">IF(A2992="","",IF(OR(L2992="ENTREGADA",L2992="RETORNADA",L2992="ENTREGA DIGITAL"),0,MAX(0,5-NETWORKDAYS(H2992+1,TODAY()))))</f>
        <v/>
      </c>
      <c r="L2992" t="str">
        <f>IF(A2992="","",IFERROR(LOOKUP(2,1/(#REF!=Z2992),#REF!),Y2992))</f>
        <v/>
      </c>
      <c r="Z2992" t="str">
        <f>IF(A2992="","",TEXT(A2992,"0")&amp;"|"&amp;TEXT(H2992,"0"))</f>
        <v/>
      </c>
      <c r="AA2992" t="str">
        <f>IF(Z2992="","",IFERROR(LOOKUP(2,1/(#REF!=Z2992),#REF!),""))</f>
        <v/>
      </c>
      <c r="AB2992" t="str">
        <f>IF(Z2992="","",IFERROR(LOOKUP(2,1/(#REF!=Z2992),#REF!),""))</f>
        <v/>
      </c>
      <c r="AC2992" t="str">
        <f>IF(Z2992="","",COUNTIF(#REF!,Z2992))</f>
        <v/>
      </c>
      <c r="AD2992" t="str">
        <f>IF(A2992="","",IF(AC2992&gt;1,"REVISAR DUPLICADO",IF(AA2992&lt;&gt;"","ACTUALIZADO POR EYR","SIN REPORTE EYR")))</f>
        <v/>
      </c>
    </row>
    <row r="2993" spans="11:30" x14ac:dyDescent="0.3">
      <c r="K2993" s="1" t="str">
        <f ca="1">IF(A2993="","",IF(OR(L2993="ENTREGADA",L2993="RETORNADA",L2993="ENTREGA DIGITAL"),0,MAX(0,5-NETWORKDAYS(H2993+1,TODAY()))))</f>
        <v/>
      </c>
      <c r="L2993" t="str">
        <f>IF(A2993="","",IFERROR(LOOKUP(2,1/(#REF!=Z2993),#REF!),Y2993))</f>
        <v/>
      </c>
      <c r="Z2993" t="str">
        <f>IF(A2993="","",TEXT(A2993,"0")&amp;"|"&amp;TEXT(H2993,"0"))</f>
        <v/>
      </c>
      <c r="AA2993" t="str">
        <f>IF(Z2993="","",IFERROR(LOOKUP(2,1/(#REF!=Z2993),#REF!),""))</f>
        <v/>
      </c>
      <c r="AB2993" t="str">
        <f>IF(Z2993="","",IFERROR(LOOKUP(2,1/(#REF!=Z2993),#REF!),""))</f>
        <v/>
      </c>
      <c r="AC2993" t="str">
        <f>IF(Z2993="","",COUNTIF(#REF!,Z2993))</f>
        <v/>
      </c>
      <c r="AD2993" t="str">
        <f>IF(A2993="","",IF(AC2993&gt;1,"REVISAR DUPLICADO",IF(AA2993&lt;&gt;"","ACTUALIZADO POR EYR","SIN REPORTE EYR")))</f>
        <v/>
      </c>
    </row>
    <row r="2994" spans="11:30" x14ac:dyDescent="0.3">
      <c r="K2994" s="1" t="str">
        <f ca="1">IF(A2994="","",IF(OR(L2994="ENTREGADA",L2994="RETORNADA",L2994="ENTREGA DIGITAL"),0,MAX(0,5-NETWORKDAYS(H2994+1,TODAY()))))</f>
        <v/>
      </c>
      <c r="L2994" t="str">
        <f>IF(A2994="","",IFERROR(LOOKUP(2,1/(#REF!=Z2994),#REF!),Y2994))</f>
        <v/>
      </c>
      <c r="Z2994" t="str">
        <f>IF(A2994="","",TEXT(A2994,"0")&amp;"|"&amp;TEXT(H2994,"0"))</f>
        <v/>
      </c>
      <c r="AA2994" t="str">
        <f>IF(Z2994="","",IFERROR(LOOKUP(2,1/(#REF!=Z2994),#REF!),""))</f>
        <v/>
      </c>
      <c r="AB2994" t="str">
        <f>IF(Z2994="","",IFERROR(LOOKUP(2,1/(#REF!=Z2994),#REF!),""))</f>
        <v/>
      </c>
      <c r="AC2994" t="str">
        <f>IF(Z2994="","",COUNTIF(#REF!,Z2994))</f>
        <v/>
      </c>
      <c r="AD2994" t="str">
        <f>IF(A2994="","",IF(AC2994&gt;1,"REVISAR DUPLICADO",IF(AA2994&lt;&gt;"","ACTUALIZADO POR EYR","SIN REPORTE EYR")))</f>
        <v/>
      </c>
    </row>
    <row r="2995" spans="11:30" x14ac:dyDescent="0.3">
      <c r="K2995" s="1" t="str">
        <f ca="1">IF(A2995="","",IF(OR(L2995="ENTREGADA",L2995="RETORNADA",L2995="ENTREGA DIGITAL"),0,MAX(0,5-NETWORKDAYS(H2995+1,TODAY()))))</f>
        <v/>
      </c>
      <c r="L2995" t="str">
        <f>IF(A2995="","",IFERROR(LOOKUP(2,1/(#REF!=Z2995),#REF!),Y2995))</f>
        <v/>
      </c>
      <c r="Z2995" t="str">
        <f>IF(A2995="","",TEXT(A2995,"0")&amp;"|"&amp;TEXT(H2995,"0"))</f>
        <v/>
      </c>
      <c r="AA2995" t="str">
        <f>IF(Z2995="","",IFERROR(LOOKUP(2,1/(#REF!=Z2995),#REF!),""))</f>
        <v/>
      </c>
      <c r="AB2995" t="str">
        <f>IF(Z2995="","",IFERROR(LOOKUP(2,1/(#REF!=Z2995),#REF!),""))</f>
        <v/>
      </c>
      <c r="AC2995" t="str">
        <f>IF(Z2995="","",COUNTIF(#REF!,Z2995))</f>
        <v/>
      </c>
      <c r="AD2995" t="str">
        <f>IF(A2995="","",IF(AC2995&gt;1,"REVISAR DUPLICADO",IF(AA2995&lt;&gt;"","ACTUALIZADO POR EYR","SIN REPORTE EYR")))</f>
        <v/>
      </c>
    </row>
    <row r="2996" spans="11:30" x14ac:dyDescent="0.3">
      <c r="K2996" s="1" t="str">
        <f ca="1">IF(A2996="","",IF(OR(L2996="ENTREGADA",L2996="RETORNADA",L2996="ENTREGA DIGITAL"),0,MAX(0,5-NETWORKDAYS(H2996+1,TODAY()))))</f>
        <v/>
      </c>
      <c r="L2996" t="str">
        <f>IF(A2996="","",IFERROR(LOOKUP(2,1/(#REF!=Z2996),#REF!),Y2996))</f>
        <v/>
      </c>
      <c r="Z2996" t="str">
        <f>IF(A2996="","",TEXT(A2996,"0")&amp;"|"&amp;TEXT(H2996,"0"))</f>
        <v/>
      </c>
      <c r="AA2996" t="str">
        <f>IF(Z2996="","",IFERROR(LOOKUP(2,1/(#REF!=Z2996),#REF!),""))</f>
        <v/>
      </c>
      <c r="AB2996" t="str">
        <f>IF(Z2996="","",IFERROR(LOOKUP(2,1/(#REF!=Z2996),#REF!),""))</f>
        <v/>
      </c>
      <c r="AC2996" t="str">
        <f>IF(Z2996="","",COUNTIF(#REF!,Z2996))</f>
        <v/>
      </c>
      <c r="AD2996" t="str">
        <f>IF(A2996="","",IF(AC2996&gt;1,"REVISAR DUPLICADO",IF(AA2996&lt;&gt;"","ACTUALIZADO POR EYR","SIN REPORTE EYR")))</f>
        <v/>
      </c>
    </row>
    <row r="2997" spans="11:30" x14ac:dyDescent="0.3">
      <c r="K2997" s="1" t="str">
        <f ca="1">IF(A2997="","",IF(OR(L2997="ENTREGADA",L2997="RETORNADA",L2997="ENTREGA DIGITAL"),0,MAX(0,5-NETWORKDAYS(H2997+1,TODAY()))))</f>
        <v/>
      </c>
      <c r="L2997" t="str">
        <f>IF(A2997="","",IFERROR(LOOKUP(2,1/(#REF!=Z2997),#REF!),Y2997))</f>
        <v/>
      </c>
      <c r="Z2997" t="str">
        <f>IF(A2997="","",TEXT(A2997,"0")&amp;"|"&amp;TEXT(H2997,"0"))</f>
        <v/>
      </c>
      <c r="AA2997" t="str">
        <f>IF(Z2997="","",IFERROR(LOOKUP(2,1/(#REF!=Z2997),#REF!),""))</f>
        <v/>
      </c>
      <c r="AB2997" t="str">
        <f>IF(Z2997="","",IFERROR(LOOKUP(2,1/(#REF!=Z2997),#REF!),""))</f>
        <v/>
      </c>
      <c r="AC2997" t="str">
        <f>IF(Z2997="","",COUNTIF(#REF!,Z2997))</f>
        <v/>
      </c>
      <c r="AD2997" t="str">
        <f>IF(A2997="","",IF(AC2997&gt;1,"REVISAR DUPLICADO",IF(AA2997&lt;&gt;"","ACTUALIZADO POR EYR","SIN REPORTE EYR")))</f>
        <v/>
      </c>
    </row>
    <row r="2998" spans="11:30" x14ac:dyDescent="0.3">
      <c r="K2998" s="1" t="str">
        <f ca="1">IF(A2998="","",IF(OR(L2998="ENTREGADA",L2998="RETORNADA",L2998="ENTREGA DIGITAL"),0,MAX(0,5-NETWORKDAYS(H2998+1,TODAY()))))</f>
        <v/>
      </c>
      <c r="L2998" t="str">
        <f>IF(A2998="","",IFERROR(LOOKUP(2,1/(#REF!=Z2998),#REF!),Y2998))</f>
        <v/>
      </c>
      <c r="Z2998" t="str">
        <f>IF(A2998="","",TEXT(A2998,"0")&amp;"|"&amp;TEXT(H2998,"0"))</f>
        <v/>
      </c>
      <c r="AA2998" t="str">
        <f>IF(Z2998="","",IFERROR(LOOKUP(2,1/(#REF!=Z2998),#REF!),""))</f>
        <v/>
      </c>
      <c r="AB2998" t="str">
        <f>IF(Z2998="","",IFERROR(LOOKUP(2,1/(#REF!=Z2998),#REF!),""))</f>
        <v/>
      </c>
      <c r="AC2998" t="str">
        <f>IF(Z2998="","",COUNTIF(#REF!,Z2998))</f>
        <v/>
      </c>
      <c r="AD2998" t="str">
        <f>IF(A2998="","",IF(AC2998&gt;1,"REVISAR DUPLICADO",IF(AA2998&lt;&gt;"","ACTUALIZADO POR EYR","SIN REPORTE EYR")))</f>
        <v/>
      </c>
    </row>
    <row r="2999" spans="11:30" x14ac:dyDescent="0.3">
      <c r="K2999" s="1" t="str">
        <f ca="1">IF(A2999="","",IF(OR(L2999="ENTREGADA",L2999="RETORNADA",L2999="ENTREGA DIGITAL"),0,MAX(0,5-NETWORKDAYS(H2999+1,TODAY()))))</f>
        <v/>
      </c>
      <c r="L2999" t="str">
        <f>IF(A2999="","",IFERROR(LOOKUP(2,1/(#REF!=Z2999),#REF!),Y2999))</f>
        <v/>
      </c>
      <c r="Z2999" t="str">
        <f>IF(A2999="","",TEXT(A2999,"0")&amp;"|"&amp;TEXT(H2999,"0"))</f>
        <v/>
      </c>
      <c r="AA2999" t="str">
        <f>IF(Z2999="","",IFERROR(LOOKUP(2,1/(#REF!=Z2999),#REF!),""))</f>
        <v/>
      </c>
      <c r="AB2999" t="str">
        <f>IF(Z2999="","",IFERROR(LOOKUP(2,1/(#REF!=Z2999),#REF!),""))</f>
        <v/>
      </c>
      <c r="AC2999" t="str">
        <f>IF(Z2999="","",COUNTIF(#REF!,Z2999))</f>
        <v/>
      </c>
      <c r="AD2999" t="str">
        <f>IF(A2999="","",IF(AC2999&gt;1,"REVISAR DUPLICADO",IF(AA2999&lt;&gt;"","ACTUALIZADO POR EYR","SIN REPORTE EYR")))</f>
        <v/>
      </c>
    </row>
    <row r="3000" spans="11:30" x14ac:dyDescent="0.3">
      <c r="K3000" s="1" t="str">
        <f ca="1">IF(A3000="","",IF(OR(L3000="ENTREGADA",L3000="RETORNADA",L3000="ENTREGA DIGITAL"),0,MAX(0,5-NETWORKDAYS(H3000+1,TODAY()))))</f>
        <v/>
      </c>
      <c r="L3000" t="str">
        <f>IF(A3000="","",IFERROR(LOOKUP(2,1/(#REF!=Z3000),#REF!),Y3000))</f>
        <v/>
      </c>
      <c r="Z3000" t="str">
        <f>IF(A3000="","",TEXT(A3000,"0")&amp;"|"&amp;TEXT(H3000,"0"))</f>
        <v/>
      </c>
      <c r="AA3000" t="str">
        <f>IF(Z3000="","",IFERROR(LOOKUP(2,1/(#REF!=Z3000),#REF!),""))</f>
        <v/>
      </c>
      <c r="AB3000" t="str">
        <f>IF(Z3000="","",IFERROR(LOOKUP(2,1/(#REF!=Z3000),#REF!),""))</f>
        <v/>
      </c>
      <c r="AC3000" t="str">
        <f>IF(Z3000="","",COUNTIF(#REF!,Z3000))</f>
        <v/>
      </c>
      <c r="AD3000" t="str">
        <f>IF(A3000="","",IF(AC3000&gt;1,"REVISAR DUPLICADO",IF(AA3000&lt;&gt;"","ACTUALIZADO POR EYR","SIN REPORTE EYR")))</f>
        <v/>
      </c>
    </row>
    <row r="3001" spans="11:30" x14ac:dyDescent="0.3">
      <c r="K3001" s="1" t="str">
        <f ca="1">IF(A3001="","",IF(OR(L3001="ENTREGADA",L3001="RETORNADA",L3001="ENTREGA DIGITAL"),0,MAX(0,5-NETWORKDAYS(H3001+1,TODAY()))))</f>
        <v/>
      </c>
      <c r="L3001" t="str">
        <f>IF(A3001="","",IFERROR(LOOKUP(2,1/(#REF!=Z3001),#REF!),Y3001))</f>
        <v/>
      </c>
      <c r="Z3001" t="str">
        <f>IF(A3001="","",TEXT(A3001,"0")&amp;"|"&amp;TEXT(H3001,"0"))</f>
        <v/>
      </c>
      <c r="AA3001" t="str">
        <f>IF(Z3001="","",IFERROR(LOOKUP(2,1/(#REF!=Z3001),#REF!),""))</f>
        <v/>
      </c>
      <c r="AB3001" t="str">
        <f>IF(Z3001="","",IFERROR(LOOKUP(2,1/(#REF!=Z3001),#REF!),""))</f>
        <v/>
      </c>
      <c r="AC3001" t="str">
        <f>IF(Z3001="","",COUNTIF(#REF!,Z3001))</f>
        <v/>
      </c>
      <c r="AD3001" t="str">
        <f>IF(A3001="","",IF(AC3001&gt;1,"REVISAR DUPLICADO",IF(AA3001&lt;&gt;"","ACTUALIZADO POR EYR","SIN REPORTE EYR")))</f>
        <v/>
      </c>
    </row>
    <row r="3002" spans="11:30" x14ac:dyDescent="0.3">
      <c r="K3002" s="1" t="str">
        <f ca="1">IF(A3002="","",IF(OR(L3002="ENTREGADA",L3002="RETORNADA",L3002="ENTREGA DIGITAL"),0,MAX(0,5-NETWORKDAYS(H3002+1,TODAY()))))</f>
        <v/>
      </c>
      <c r="L3002" t="str">
        <f>IF(A3002="","",IFERROR(LOOKUP(2,1/(#REF!=Z3002),#REF!),Y3002))</f>
        <v/>
      </c>
      <c r="Z3002" t="str">
        <f>IF(A3002="","",TEXT(A3002,"0")&amp;"|"&amp;TEXT(H3002,"0"))</f>
        <v/>
      </c>
      <c r="AA3002" t="str">
        <f>IF(Z3002="","",IFERROR(LOOKUP(2,1/(#REF!=Z3002),#REF!),""))</f>
        <v/>
      </c>
      <c r="AB3002" t="str">
        <f>IF(Z3002="","",IFERROR(LOOKUP(2,1/(#REF!=Z3002),#REF!),""))</f>
        <v/>
      </c>
      <c r="AC3002" t="str">
        <f>IF(Z3002="","",COUNTIF(#REF!,Z3002))</f>
        <v/>
      </c>
      <c r="AD3002" t="str">
        <f>IF(A3002="","",IF(AC3002&gt;1,"REVISAR DUPLICADO",IF(AA3002&lt;&gt;"","ACTUALIZADO POR EYR","SIN REPORTE EYR")))</f>
        <v/>
      </c>
    </row>
    <row r="3003" spans="11:30" x14ac:dyDescent="0.3">
      <c r="K3003" s="1" t="str">
        <f ca="1">IF(A3003="","",IF(OR(L3003="ENTREGADA",L3003="RETORNADA",L3003="ENTREGA DIGITAL"),0,MAX(0,5-NETWORKDAYS(H3003+1,TODAY()))))</f>
        <v/>
      </c>
      <c r="L3003" t="str">
        <f>IF(A3003="","",IFERROR(LOOKUP(2,1/(#REF!=Z3003),#REF!),Y3003))</f>
        <v/>
      </c>
      <c r="Z3003" t="str">
        <f>IF(A3003="","",TEXT(A3003,"0")&amp;"|"&amp;TEXT(H3003,"0"))</f>
        <v/>
      </c>
      <c r="AA3003" t="str">
        <f>IF(Z3003="","",IFERROR(LOOKUP(2,1/(#REF!=Z3003),#REF!),""))</f>
        <v/>
      </c>
      <c r="AB3003" t="str">
        <f>IF(Z3003="","",IFERROR(LOOKUP(2,1/(#REF!=Z3003),#REF!),""))</f>
        <v/>
      </c>
      <c r="AC3003" t="str">
        <f>IF(Z3003="","",COUNTIF(#REF!,Z3003))</f>
        <v/>
      </c>
      <c r="AD3003" t="str">
        <f>IF(A3003="","",IF(AC3003&gt;1,"REVISAR DUPLICADO",IF(AA3003&lt;&gt;"","ACTUALIZADO POR EYR","SIN REPORTE EYR")))</f>
        <v/>
      </c>
    </row>
    <row r="3004" spans="11:30" x14ac:dyDescent="0.3">
      <c r="K3004" s="1" t="str">
        <f ca="1">IF(A3004="","",IF(OR(L3004="ENTREGADA",L3004="RETORNADA",L3004="ENTREGA DIGITAL"),0,MAX(0,5-NETWORKDAYS(H3004+1,TODAY()))))</f>
        <v/>
      </c>
      <c r="L3004" t="str">
        <f>IF(A3004="","",IFERROR(LOOKUP(2,1/(#REF!=Z3004),#REF!),Y3004))</f>
        <v/>
      </c>
      <c r="Z3004" t="str">
        <f>IF(A3004="","",TEXT(A3004,"0")&amp;"|"&amp;TEXT(H3004,"0"))</f>
        <v/>
      </c>
      <c r="AA3004" t="str">
        <f>IF(Z3004="","",IFERROR(LOOKUP(2,1/(#REF!=Z3004),#REF!),""))</f>
        <v/>
      </c>
      <c r="AB3004" t="str">
        <f>IF(Z3004="","",IFERROR(LOOKUP(2,1/(#REF!=Z3004),#REF!),""))</f>
        <v/>
      </c>
      <c r="AC3004" t="str">
        <f>IF(Z3004="","",COUNTIF(#REF!,Z3004))</f>
        <v/>
      </c>
      <c r="AD3004" t="str">
        <f>IF(A3004="","",IF(AC3004&gt;1,"REVISAR DUPLICADO",IF(AA3004&lt;&gt;"","ACTUALIZADO POR EYR","SIN REPORTE EYR")))</f>
        <v/>
      </c>
    </row>
    <row r="3005" spans="11:30" x14ac:dyDescent="0.3">
      <c r="K3005" s="1" t="str">
        <f ca="1">IF(A3005="","",IF(OR(L3005="ENTREGADA",L3005="RETORNADA",L3005="ENTREGA DIGITAL"),0,MAX(0,5-NETWORKDAYS(H3005+1,TODAY()))))</f>
        <v/>
      </c>
      <c r="L3005" t="str">
        <f>IF(A3005="","",IFERROR(LOOKUP(2,1/(#REF!=Z3005),#REF!),Y3005))</f>
        <v/>
      </c>
      <c r="Z3005" t="str">
        <f>IF(A3005="","",TEXT(A3005,"0")&amp;"|"&amp;TEXT(H3005,"0"))</f>
        <v/>
      </c>
      <c r="AA3005" t="str">
        <f>IF(Z3005="","",IFERROR(LOOKUP(2,1/(#REF!=Z3005),#REF!),""))</f>
        <v/>
      </c>
      <c r="AB3005" t="str">
        <f>IF(Z3005="","",IFERROR(LOOKUP(2,1/(#REF!=Z3005),#REF!),""))</f>
        <v/>
      </c>
      <c r="AC3005" t="str">
        <f>IF(Z3005="","",COUNTIF(#REF!,Z3005))</f>
        <v/>
      </c>
      <c r="AD3005" t="str">
        <f>IF(A3005="","",IF(AC3005&gt;1,"REVISAR DUPLICADO",IF(AA3005&lt;&gt;"","ACTUALIZADO POR EYR","SIN REPORTE EYR")))</f>
        <v/>
      </c>
    </row>
    <row r="3006" spans="11:30" x14ac:dyDescent="0.3">
      <c r="K3006" s="1" t="str">
        <f ca="1">IF(A3006="","",IF(OR(L3006="ENTREGADA",L3006="RETORNADA",L3006="ENTREGA DIGITAL"),0,MAX(0,5-NETWORKDAYS(H3006+1,TODAY()))))</f>
        <v/>
      </c>
      <c r="L3006" t="str">
        <f>IF(A3006="","",IFERROR(LOOKUP(2,1/(#REF!=Z3006),#REF!),Y3006))</f>
        <v/>
      </c>
      <c r="Z3006" t="str">
        <f>IF(A3006="","",TEXT(A3006,"0")&amp;"|"&amp;TEXT(H3006,"0"))</f>
        <v/>
      </c>
      <c r="AA3006" t="str">
        <f>IF(Z3006="","",IFERROR(LOOKUP(2,1/(#REF!=Z3006),#REF!),""))</f>
        <v/>
      </c>
      <c r="AB3006" t="str">
        <f>IF(Z3006="","",IFERROR(LOOKUP(2,1/(#REF!=Z3006),#REF!),""))</f>
        <v/>
      </c>
      <c r="AC3006" t="str">
        <f>IF(Z3006="","",COUNTIF(#REF!,Z3006))</f>
        <v/>
      </c>
      <c r="AD3006" t="str">
        <f>IF(A3006="","",IF(AC3006&gt;1,"REVISAR DUPLICADO",IF(AA3006&lt;&gt;"","ACTUALIZADO POR EYR","SIN REPORTE EYR")))</f>
        <v/>
      </c>
    </row>
    <row r="3007" spans="11:30" x14ac:dyDescent="0.3">
      <c r="K3007" s="1" t="str">
        <f ca="1">IF(A3007="","",IF(OR(L3007="ENTREGADA",L3007="RETORNADA",L3007="ENTREGA DIGITAL"),0,MAX(0,5-NETWORKDAYS(H3007+1,TODAY()))))</f>
        <v/>
      </c>
      <c r="L3007" t="str">
        <f>IF(A3007="","",IFERROR(LOOKUP(2,1/(#REF!=Z3007),#REF!),Y3007))</f>
        <v/>
      </c>
      <c r="Z3007" t="str">
        <f>IF(A3007="","",TEXT(A3007,"0")&amp;"|"&amp;TEXT(H3007,"0"))</f>
        <v/>
      </c>
      <c r="AA3007" t="str">
        <f>IF(Z3007="","",IFERROR(LOOKUP(2,1/(#REF!=Z3007),#REF!),""))</f>
        <v/>
      </c>
      <c r="AB3007" t="str">
        <f>IF(Z3007="","",IFERROR(LOOKUP(2,1/(#REF!=Z3007),#REF!),""))</f>
        <v/>
      </c>
      <c r="AC3007" t="str">
        <f>IF(Z3007="","",COUNTIF(#REF!,Z3007))</f>
        <v/>
      </c>
      <c r="AD3007" t="str">
        <f>IF(A3007="","",IF(AC3007&gt;1,"REVISAR DUPLICADO",IF(AA3007&lt;&gt;"","ACTUALIZADO POR EYR","SIN REPORTE EYR")))</f>
        <v/>
      </c>
    </row>
    <row r="3008" spans="11:30" x14ac:dyDescent="0.3">
      <c r="K3008" s="1" t="str">
        <f ca="1">IF(A3008="","",IF(OR(L3008="ENTREGADA",L3008="RETORNADA",L3008="ENTREGA DIGITAL"),0,MAX(0,5-NETWORKDAYS(H3008+1,TODAY()))))</f>
        <v/>
      </c>
      <c r="L3008" t="str">
        <f>IF(A3008="","",IFERROR(LOOKUP(2,1/(#REF!=Z3008),#REF!),Y3008))</f>
        <v/>
      </c>
      <c r="Z3008" t="str">
        <f>IF(A3008="","",TEXT(A3008,"0")&amp;"|"&amp;TEXT(H3008,"0"))</f>
        <v/>
      </c>
      <c r="AA3008" t="str">
        <f>IF(Z3008="","",IFERROR(LOOKUP(2,1/(#REF!=Z3008),#REF!),""))</f>
        <v/>
      </c>
      <c r="AB3008" t="str">
        <f>IF(Z3008="","",IFERROR(LOOKUP(2,1/(#REF!=Z3008),#REF!),""))</f>
        <v/>
      </c>
      <c r="AC3008" t="str">
        <f>IF(Z3008="","",COUNTIF(#REF!,Z3008))</f>
        <v/>
      </c>
      <c r="AD3008" t="str">
        <f>IF(A3008="","",IF(AC3008&gt;1,"REVISAR DUPLICADO",IF(AA3008&lt;&gt;"","ACTUALIZADO POR EYR","SIN REPORTE EYR")))</f>
        <v/>
      </c>
    </row>
    <row r="3009" spans="11:30" x14ac:dyDescent="0.3">
      <c r="K3009" s="1" t="str">
        <f ca="1">IF(A3009="","",IF(OR(L3009="ENTREGADA",L3009="RETORNADA",L3009="ENTREGA DIGITAL"),0,MAX(0,5-NETWORKDAYS(H3009+1,TODAY()))))</f>
        <v/>
      </c>
      <c r="L3009" t="str">
        <f>IF(A3009="","",IFERROR(LOOKUP(2,1/(#REF!=Z3009),#REF!),Y3009))</f>
        <v/>
      </c>
      <c r="Z3009" t="str">
        <f>IF(A3009="","",TEXT(A3009,"0")&amp;"|"&amp;TEXT(H3009,"0"))</f>
        <v/>
      </c>
      <c r="AA3009" t="str">
        <f>IF(Z3009="","",IFERROR(LOOKUP(2,1/(#REF!=Z3009),#REF!),""))</f>
        <v/>
      </c>
      <c r="AB3009" t="str">
        <f>IF(Z3009="","",IFERROR(LOOKUP(2,1/(#REF!=Z3009),#REF!),""))</f>
        <v/>
      </c>
      <c r="AC3009" t="str">
        <f>IF(Z3009="","",COUNTIF(#REF!,Z3009))</f>
        <v/>
      </c>
      <c r="AD3009" t="str">
        <f>IF(A3009="","",IF(AC3009&gt;1,"REVISAR DUPLICADO",IF(AA3009&lt;&gt;"","ACTUALIZADO POR EYR","SIN REPORTE EYR")))</f>
        <v/>
      </c>
    </row>
    <row r="3010" spans="11:30" x14ac:dyDescent="0.3">
      <c r="K3010" s="1" t="str">
        <f ca="1">IF(A3010="","",IF(OR(L3010="ENTREGADA",L3010="RETORNADA",L3010="ENTREGA DIGITAL"),0,MAX(0,5-NETWORKDAYS(H3010+1,TODAY()))))</f>
        <v/>
      </c>
      <c r="L3010" t="str">
        <f>IF(A3010="","",IFERROR(LOOKUP(2,1/(#REF!=Z3010),#REF!),Y3010))</f>
        <v/>
      </c>
      <c r="Z3010" t="str">
        <f>IF(A3010="","",TEXT(A3010,"0")&amp;"|"&amp;TEXT(H3010,"0"))</f>
        <v/>
      </c>
      <c r="AA3010" t="str">
        <f>IF(Z3010="","",IFERROR(LOOKUP(2,1/(#REF!=Z3010),#REF!),""))</f>
        <v/>
      </c>
      <c r="AB3010" t="str">
        <f>IF(Z3010="","",IFERROR(LOOKUP(2,1/(#REF!=Z3010),#REF!),""))</f>
        <v/>
      </c>
      <c r="AC3010" t="str">
        <f>IF(Z3010="","",COUNTIF(#REF!,Z3010))</f>
        <v/>
      </c>
      <c r="AD3010" t="str">
        <f>IF(A3010="","",IF(AC3010&gt;1,"REVISAR DUPLICADO",IF(AA3010&lt;&gt;"","ACTUALIZADO POR EYR","SIN REPORTE EYR")))</f>
        <v/>
      </c>
    </row>
    <row r="3011" spans="11:30" x14ac:dyDescent="0.3">
      <c r="K3011" s="1" t="str">
        <f ca="1">IF(A3011="","",IF(OR(L3011="ENTREGADA",L3011="RETORNADA",L3011="ENTREGA DIGITAL"),0,MAX(0,5-NETWORKDAYS(H3011+1,TODAY()))))</f>
        <v/>
      </c>
      <c r="L3011" t="str">
        <f>IF(A3011="","",IFERROR(LOOKUP(2,1/(#REF!=Z3011),#REF!),Y3011))</f>
        <v/>
      </c>
      <c r="Z3011" t="str">
        <f>IF(A3011="","",TEXT(A3011,"0")&amp;"|"&amp;TEXT(H3011,"0"))</f>
        <v/>
      </c>
      <c r="AA3011" t="str">
        <f>IF(Z3011="","",IFERROR(LOOKUP(2,1/(#REF!=Z3011),#REF!),""))</f>
        <v/>
      </c>
      <c r="AB3011" t="str">
        <f>IF(Z3011="","",IFERROR(LOOKUP(2,1/(#REF!=Z3011),#REF!),""))</f>
        <v/>
      </c>
      <c r="AC3011" t="str">
        <f>IF(Z3011="","",COUNTIF(#REF!,Z3011))</f>
        <v/>
      </c>
      <c r="AD3011" t="str">
        <f>IF(A3011="","",IF(AC3011&gt;1,"REVISAR DUPLICADO",IF(AA3011&lt;&gt;"","ACTUALIZADO POR EYR","SIN REPORTE EYR")))</f>
        <v/>
      </c>
    </row>
    <row r="3012" spans="11:30" x14ac:dyDescent="0.3">
      <c r="K3012" s="1" t="str">
        <f ca="1">IF(A3012="","",IF(OR(L3012="ENTREGADA",L3012="RETORNADA",L3012="ENTREGA DIGITAL"),0,MAX(0,5-NETWORKDAYS(H3012+1,TODAY()))))</f>
        <v/>
      </c>
      <c r="L3012" t="str">
        <f>IF(A3012="","",IFERROR(LOOKUP(2,1/(#REF!=Z3012),#REF!),Y3012))</f>
        <v/>
      </c>
      <c r="Z3012" t="str">
        <f>IF(A3012="","",TEXT(A3012,"0")&amp;"|"&amp;TEXT(H3012,"0"))</f>
        <v/>
      </c>
      <c r="AA3012" t="str">
        <f>IF(Z3012="","",IFERROR(LOOKUP(2,1/(#REF!=Z3012),#REF!),""))</f>
        <v/>
      </c>
      <c r="AB3012" t="str">
        <f>IF(Z3012="","",IFERROR(LOOKUP(2,1/(#REF!=Z3012),#REF!),""))</f>
        <v/>
      </c>
      <c r="AC3012" t="str">
        <f>IF(Z3012="","",COUNTIF(#REF!,Z3012))</f>
        <v/>
      </c>
      <c r="AD3012" t="str">
        <f>IF(A3012="","",IF(AC3012&gt;1,"REVISAR DUPLICADO",IF(AA3012&lt;&gt;"","ACTUALIZADO POR EYR","SIN REPORTE EYR")))</f>
        <v/>
      </c>
    </row>
    <row r="3013" spans="11:30" x14ac:dyDescent="0.3">
      <c r="K3013" s="1" t="str">
        <f ca="1">IF(A3013="","",IF(OR(L3013="ENTREGADA",L3013="RETORNADA",L3013="ENTREGA DIGITAL"),0,MAX(0,5-NETWORKDAYS(H3013+1,TODAY()))))</f>
        <v/>
      </c>
      <c r="L3013" t="str">
        <f>IF(A3013="","",IFERROR(LOOKUP(2,1/(#REF!=Z3013),#REF!),Y3013))</f>
        <v/>
      </c>
      <c r="Z3013" t="str">
        <f>IF(A3013="","",TEXT(A3013,"0")&amp;"|"&amp;TEXT(H3013,"0"))</f>
        <v/>
      </c>
      <c r="AA3013" t="str">
        <f>IF(Z3013="","",IFERROR(LOOKUP(2,1/(#REF!=Z3013),#REF!),""))</f>
        <v/>
      </c>
      <c r="AB3013" t="str">
        <f>IF(Z3013="","",IFERROR(LOOKUP(2,1/(#REF!=Z3013),#REF!),""))</f>
        <v/>
      </c>
      <c r="AC3013" t="str">
        <f>IF(Z3013="","",COUNTIF(#REF!,Z3013))</f>
        <v/>
      </c>
      <c r="AD3013" t="str">
        <f>IF(A3013="","",IF(AC3013&gt;1,"REVISAR DUPLICADO",IF(AA3013&lt;&gt;"","ACTUALIZADO POR EYR","SIN REPORTE EYR")))</f>
        <v/>
      </c>
    </row>
    <row r="3014" spans="11:30" x14ac:dyDescent="0.3">
      <c r="K3014" s="1" t="str">
        <f ca="1">IF(A3014="","",IF(OR(L3014="ENTREGADA",L3014="RETORNADA",L3014="ENTREGA DIGITAL"),0,MAX(0,5-NETWORKDAYS(H3014+1,TODAY()))))</f>
        <v/>
      </c>
      <c r="L3014" t="str">
        <f>IF(A3014="","",IFERROR(LOOKUP(2,1/(#REF!=Z3014),#REF!),Y3014))</f>
        <v/>
      </c>
      <c r="Z3014" t="str">
        <f>IF(A3014="","",TEXT(A3014,"0")&amp;"|"&amp;TEXT(H3014,"0"))</f>
        <v/>
      </c>
      <c r="AA3014" t="str">
        <f>IF(Z3014="","",IFERROR(LOOKUP(2,1/(#REF!=Z3014),#REF!),""))</f>
        <v/>
      </c>
      <c r="AB3014" t="str">
        <f>IF(Z3014="","",IFERROR(LOOKUP(2,1/(#REF!=Z3014),#REF!),""))</f>
        <v/>
      </c>
      <c r="AC3014" t="str">
        <f>IF(Z3014="","",COUNTIF(#REF!,Z3014))</f>
        <v/>
      </c>
      <c r="AD3014" t="str">
        <f>IF(A3014="","",IF(AC3014&gt;1,"REVISAR DUPLICADO",IF(AA3014&lt;&gt;"","ACTUALIZADO POR EYR","SIN REPORTE EYR")))</f>
        <v/>
      </c>
    </row>
    <row r="3015" spans="11:30" x14ac:dyDescent="0.3">
      <c r="K3015" s="1" t="str">
        <f ca="1">IF(A3015="","",IF(OR(L3015="ENTREGADA",L3015="RETORNADA",L3015="ENTREGA DIGITAL"),0,MAX(0,5-NETWORKDAYS(H3015+1,TODAY()))))</f>
        <v/>
      </c>
      <c r="L3015" t="str">
        <f>IF(A3015="","",IFERROR(LOOKUP(2,1/(#REF!=Z3015),#REF!),Y3015))</f>
        <v/>
      </c>
      <c r="Z3015" t="str">
        <f>IF(A3015="","",TEXT(A3015,"0")&amp;"|"&amp;TEXT(H3015,"0"))</f>
        <v/>
      </c>
      <c r="AA3015" t="str">
        <f>IF(Z3015="","",IFERROR(LOOKUP(2,1/(#REF!=Z3015),#REF!),""))</f>
        <v/>
      </c>
      <c r="AB3015" t="str">
        <f>IF(Z3015="","",IFERROR(LOOKUP(2,1/(#REF!=Z3015),#REF!),""))</f>
        <v/>
      </c>
      <c r="AC3015" t="str">
        <f>IF(Z3015="","",COUNTIF(#REF!,Z3015))</f>
        <v/>
      </c>
      <c r="AD3015" t="str">
        <f>IF(A3015="","",IF(AC3015&gt;1,"REVISAR DUPLICADO",IF(AA3015&lt;&gt;"","ACTUALIZADO POR EYR","SIN REPORTE EYR")))</f>
        <v/>
      </c>
    </row>
    <row r="3016" spans="11:30" x14ac:dyDescent="0.3">
      <c r="K3016" s="1" t="str">
        <f ca="1">IF(A3016="","",IF(OR(L3016="ENTREGADA",L3016="RETORNADA",L3016="ENTREGA DIGITAL"),0,MAX(0,5-NETWORKDAYS(H3016+1,TODAY()))))</f>
        <v/>
      </c>
      <c r="L3016" t="str">
        <f>IF(A3016="","",IFERROR(LOOKUP(2,1/(#REF!=Z3016),#REF!),Y3016))</f>
        <v/>
      </c>
      <c r="Z3016" t="str">
        <f>IF(A3016="","",TEXT(A3016,"0")&amp;"|"&amp;TEXT(H3016,"0"))</f>
        <v/>
      </c>
      <c r="AA3016" t="str">
        <f>IF(Z3016="","",IFERROR(LOOKUP(2,1/(#REF!=Z3016),#REF!),""))</f>
        <v/>
      </c>
      <c r="AB3016" t="str">
        <f>IF(Z3016="","",IFERROR(LOOKUP(2,1/(#REF!=Z3016),#REF!),""))</f>
        <v/>
      </c>
      <c r="AC3016" t="str">
        <f>IF(Z3016="","",COUNTIF(#REF!,Z3016))</f>
        <v/>
      </c>
      <c r="AD3016" t="str">
        <f>IF(A3016="","",IF(AC3016&gt;1,"REVISAR DUPLICADO",IF(AA3016&lt;&gt;"","ACTUALIZADO POR EYR","SIN REPORTE EYR")))</f>
        <v/>
      </c>
    </row>
    <row r="3017" spans="11:30" x14ac:dyDescent="0.3">
      <c r="K3017" s="1" t="str">
        <f ca="1">IF(A3017="","",IF(OR(L3017="ENTREGADA",L3017="RETORNADA",L3017="ENTREGA DIGITAL"),0,MAX(0,5-NETWORKDAYS(H3017+1,TODAY()))))</f>
        <v/>
      </c>
      <c r="L3017" t="str">
        <f>IF(A3017="","",IFERROR(LOOKUP(2,1/(#REF!=Z3017),#REF!),Y3017))</f>
        <v/>
      </c>
      <c r="Z3017" t="str">
        <f>IF(A3017="","",TEXT(A3017,"0")&amp;"|"&amp;TEXT(H3017,"0"))</f>
        <v/>
      </c>
      <c r="AA3017" t="str">
        <f>IF(Z3017="","",IFERROR(LOOKUP(2,1/(#REF!=Z3017),#REF!),""))</f>
        <v/>
      </c>
      <c r="AB3017" t="str">
        <f>IF(Z3017="","",IFERROR(LOOKUP(2,1/(#REF!=Z3017),#REF!),""))</f>
        <v/>
      </c>
      <c r="AC3017" t="str">
        <f>IF(Z3017="","",COUNTIF(#REF!,Z3017))</f>
        <v/>
      </c>
      <c r="AD3017" t="str">
        <f>IF(A3017="","",IF(AC3017&gt;1,"REVISAR DUPLICADO",IF(AA3017&lt;&gt;"","ACTUALIZADO POR EYR","SIN REPORTE EYR")))</f>
        <v/>
      </c>
    </row>
    <row r="3018" spans="11:30" x14ac:dyDescent="0.3">
      <c r="K3018" s="1" t="str">
        <f ca="1">IF(A3018="","",IF(OR(L3018="ENTREGADA",L3018="RETORNADA",L3018="ENTREGA DIGITAL"),0,MAX(0,5-NETWORKDAYS(H3018+1,TODAY()))))</f>
        <v/>
      </c>
      <c r="L3018" t="str">
        <f>IF(A3018="","",IFERROR(LOOKUP(2,1/(#REF!=Z3018),#REF!),Y3018))</f>
        <v/>
      </c>
      <c r="Z3018" t="str">
        <f>IF(A3018="","",TEXT(A3018,"0")&amp;"|"&amp;TEXT(H3018,"0"))</f>
        <v/>
      </c>
      <c r="AA3018" t="str">
        <f>IF(Z3018="","",IFERROR(LOOKUP(2,1/(#REF!=Z3018),#REF!),""))</f>
        <v/>
      </c>
      <c r="AB3018" t="str">
        <f>IF(Z3018="","",IFERROR(LOOKUP(2,1/(#REF!=Z3018),#REF!),""))</f>
        <v/>
      </c>
      <c r="AC3018" t="str">
        <f>IF(Z3018="","",COUNTIF(#REF!,Z3018))</f>
        <v/>
      </c>
      <c r="AD3018" t="str">
        <f>IF(A3018="","",IF(AC3018&gt;1,"REVISAR DUPLICADO",IF(AA3018&lt;&gt;"","ACTUALIZADO POR EYR","SIN REPORTE EYR")))</f>
        <v/>
      </c>
    </row>
    <row r="3019" spans="11:30" x14ac:dyDescent="0.3">
      <c r="K3019" s="1" t="str">
        <f ca="1">IF(A3019="","",IF(OR(L3019="ENTREGADA",L3019="RETORNADA",L3019="ENTREGA DIGITAL"),0,MAX(0,5-NETWORKDAYS(H3019+1,TODAY()))))</f>
        <v/>
      </c>
      <c r="L3019" t="str">
        <f>IF(A3019="","",IFERROR(LOOKUP(2,1/(#REF!=Z3019),#REF!),Y3019))</f>
        <v/>
      </c>
      <c r="Z3019" t="str">
        <f>IF(A3019="","",TEXT(A3019,"0")&amp;"|"&amp;TEXT(H3019,"0"))</f>
        <v/>
      </c>
      <c r="AA3019" t="str">
        <f>IF(Z3019="","",IFERROR(LOOKUP(2,1/(#REF!=Z3019),#REF!),""))</f>
        <v/>
      </c>
      <c r="AB3019" t="str">
        <f>IF(Z3019="","",IFERROR(LOOKUP(2,1/(#REF!=Z3019),#REF!),""))</f>
        <v/>
      </c>
      <c r="AC3019" t="str">
        <f>IF(Z3019="","",COUNTIF(#REF!,Z3019))</f>
        <v/>
      </c>
      <c r="AD3019" t="str">
        <f>IF(A3019="","",IF(AC3019&gt;1,"REVISAR DUPLICADO",IF(AA3019&lt;&gt;"","ACTUALIZADO POR EYR","SIN REPORTE EYR")))</f>
        <v/>
      </c>
    </row>
    <row r="3020" spans="11:30" x14ac:dyDescent="0.3">
      <c r="K3020" s="1" t="str">
        <f ca="1">IF(A3020="","",IF(OR(L3020="ENTREGADA",L3020="RETORNADA",L3020="ENTREGA DIGITAL"),0,MAX(0,5-NETWORKDAYS(H3020+1,TODAY()))))</f>
        <v/>
      </c>
      <c r="L3020" t="str">
        <f>IF(A3020="","",IFERROR(LOOKUP(2,1/(#REF!=Z3020),#REF!),Y3020))</f>
        <v/>
      </c>
      <c r="Z3020" t="str">
        <f>IF(A3020="","",TEXT(A3020,"0")&amp;"|"&amp;TEXT(H3020,"0"))</f>
        <v/>
      </c>
      <c r="AA3020" t="str">
        <f>IF(Z3020="","",IFERROR(LOOKUP(2,1/(#REF!=Z3020),#REF!),""))</f>
        <v/>
      </c>
      <c r="AB3020" t="str">
        <f>IF(Z3020="","",IFERROR(LOOKUP(2,1/(#REF!=Z3020),#REF!),""))</f>
        <v/>
      </c>
      <c r="AC3020" t="str">
        <f>IF(Z3020="","",COUNTIF(#REF!,Z3020))</f>
        <v/>
      </c>
      <c r="AD3020" t="str">
        <f>IF(A3020="","",IF(AC3020&gt;1,"REVISAR DUPLICADO",IF(AA3020&lt;&gt;"","ACTUALIZADO POR EYR","SIN REPORTE EYR")))</f>
        <v/>
      </c>
    </row>
    <row r="3021" spans="11:30" x14ac:dyDescent="0.3">
      <c r="K3021" s="1" t="str">
        <f ca="1">IF(A3021="","",IF(OR(L3021="ENTREGADA",L3021="RETORNADA",L3021="ENTREGA DIGITAL"),0,MAX(0,5-NETWORKDAYS(H3021+1,TODAY()))))</f>
        <v/>
      </c>
      <c r="L3021" t="str">
        <f>IF(A3021="","",IFERROR(LOOKUP(2,1/(#REF!=Z3021),#REF!),Y3021))</f>
        <v/>
      </c>
      <c r="Z3021" t="str">
        <f>IF(A3021="","",TEXT(A3021,"0")&amp;"|"&amp;TEXT(H3021,"0"))</f>
        <v/>
      </c>
      <c r="AA3021" t="str">
        <f>IF(Z3021="","",IFERROR(LOOKUP(2,1/(#REF!=Z3021),#REF!),""))</f>
        <v/>
      </c>
      <c r="AB3021" t="str">
        <f>IF(Z3021="","",IFERROR(LOOKUP(2,1/(#REF!=Z3021),#REF!),""))</f>
        <v/>
      </c>
      <c r="AC3021" t="str">
        <f>IF(Z3021="","",COUNTIF(#REF!,Z3021))</f>
        <v/>
      </c>
      <c r="AD3021" t="str">
        <f>IF(A3021="","",IF(AC3021&gt;1,"REVISAR DUPLICADO",IF(AA3021&lt;&gt;"","ACTUALIZADO POR EYR","SIN REPORTE EYR")))</f>
        <v/>
      </c>
    </row>
    <row r="3022" spans="11:30" x14ac:dyDescent="0.3">
      <c r="K3022" s="1" t="str">
        <f ca="1">IF(A3022="","",IF(OR(L3022="ENTREGADA",L3022="RETORNADA",L3022="ENTREGA DIGITAL"),0,MAX(0,5-NETWORKDAYS(H3022+1,TODAY()))))</f>
        <v/>
      </c>
      <c r="L3022" t="str">
        <f>IF(A3022="","",IFERROR(LOOKUP(2,1/(#REF!=Z3022),#REF!),Y3022))</f>
        <v/>
      </c>
      <c r="Z3022" t="str">
        <f>IF(A3022="","",TEXT(A3022,"0")&amp;"|"&amp;TEXT(H3022,"0"))</f>
        <v/>
      </c>
      <c r="AA3022" t="str">
        <f>IF(Z3022="","",IFERROR(LOOKUP(2,1/(#REF!=Z3022),#REF!),""))</f>
        <v/>
      </c>
      <c r="AB3022" t="str">
        <f>IF(Z3022="","",IFERROR(LOOKUP(2,1/(#REF!=Z3022),#REF!),""))</f>
        <v/>
      </c>
      <c r="AC3022" t="str">
        <f>IF(Z3022="","",COUNTIF(#REF!,Z3022))</f>
        <v/>
      </c>
      <c r="AD3022" t="str">
        <f>IF(A3022="","",IF(AC3022&gt;1,"REVISAR DUPLICADO",IF(AA3022&lt;&gt;"","ACTUALIZADO POR EYR","SIN REPORTE EYR")))</f>
        <v/>
      </c>
    </row>
    <row r="3023" spans="11:30" x14ac:dyDescent="0.3">
      <c r="K3023" s="1" t="str">
        <f ca="1">IF(A3023="","",IF(OR(L3023="ENTREGADA",L3023="RETORNADA",L3023="ENTREGA DIGITAL"),0,MAX(0,5-NETWORKDAYS(H3023+1,TODAY()))))</f>
        <v/>
      </c>
      <c r="L3023" t="str">
        <f>IF(A3023="","",IFERROR(LOOKUP(2,1/(#REF!=Z3023),#REF!),Y3023))</f>
        <v/>
      </c>
      <c r="Z3023" t="str">
        <f>IF(A3023="","",TEXT(A3023,"0")&amp;"|"&amp;TEXT(H3023,"0"))</f>
        <v/>
      </c>
      <c r="AA3023" t="str">
        <f>IF(Z3023="","",IFERROR(LOOKUP(2,1/(#REF!=Z3023),#REF!),""))</f>
        <v/>
      </c>
      <c r="AB3023" t="str">
        <f>IF(Z3023="","",IFERROR(LOOKUP(2,1/(#REF!=Z3023),#REF!),""))</f>
        <v/>
      </c>
      <c r="AC3023" t="str">
        <f>IF(Z3023="","",COUNTIF(#REF!,Z3023))</f>
        <v/>
      </c>
      <c r="AD3023" t="str">
        <f>IF(A3023="","",IF(AC3023&gt;1,"REVISAR DUPLICADO",IF(AA3023&lt;&gt;"","ACTUALIZADO POR EYR","SIN REPORTE EYR")))</f>
        <v/>
      </c>
    </row>
    <row r="3024" spans="11:30" x14ac:dyDescent="0.3">
      <c r="K3024" s="1" t="str">
        <f ca="1">IF(A3024="","",IF(OR(L3024="ENTREGADA",L3024="RETORNADA",L3024="ENTREGA DIGITAL"),0,MAX(0,5-NETWORKDAYS(H3024+1,TODAY()))))</f>
        <v/>
      </c>
      <c r="L3024" t="str">
        <f>IF(A3024="","",IFERROR(LOOKUP(2,1/(#REF!=Z3024),#REF!),Y3024))</f>
        <v/>
      </c>
      <c r="Z3024" t="str">
        <f>IF(A3024="","",TEXT(A3024,"0")&amp;"|"&amp;TEXT(H3024,"0"))</f>
        <v/>
      </c>
      <c r="AA3024" t="str">
        <f>IF(Z3024="","",IFERROR(LOOKUP(2,1/(#REF!=Z3024),#REF!),""))</f>
        <v/>
      </c>
      <c r="AB3024" t="str">
        <f>IF(Z3024="","",IFERROR(LOOKUP(2,1/(#REF!=Z3024),#REF!),""))</f>
        <v/>
      </c>
      <c r="AC3024" t="str">
        <f>IF(Z3024="","",COUNTIF(#REF!,Z3024))</f>
        <v/>
      </c>
      <c r="AD3024" t="str">
        <f>IF(A3024="","",IF(AC3024&gt;1,"REVISAR DUPLICADO",IF(AA3024&lt;&gt;"","ACTUALIZADO POR EYR","SIN REPORTE EYR")))</f>
        <v/>
      </c>
    </row>
    <row r="3025" spans="11:30" x14ac:dyDescent="0.3">
      <c r="K3025" s="1" t="str">
        <f ca="1">IF(A3025="","",IF(OR(L3025="ENTREGADA",L3025="RETORNADA",L3025="ENTREGA DIGITAL"),0,MAX(0,5-NETWORKDAYS(H3025+1,TODAY()))))</f>
        <v/>
      </c>
      <c r="L3025" t="str">
        <f>IF(A3025="","",IFERROR(LOOKUP(2,1/(#REF!=Z3025),#REF!),Y3025))</f>
        <v/>
      </c>
      <c r="Z3025" t="str">
        <f>IF(A3025="","",TEXT(A3025,"0")&amp;"|"&amp;TEXT(H3025,"0"))</f>
        <v/>
      </c>
      <c r="AA3025" t="str">
        <f>IF(Z3025="","",IFERROR(LOOKUP(2,1/(#REF!=Z3025),#REF!),""))</f>
        <v/>
      </c>
      <c r="AB3025" t="str">
        <f>IF(Z3025="","",IFERROR(LOOKUP(2,1/(#REF!=Z3025),#REF!),""))</f>
        <v/>
      </c>
      <c r="AC3025" t="str">
        <f>IF(Z3025="","",COUNTIF(#REF!,Z3025))</f>
        <v/>
      </c>
      <c r="AD3025" t="str">
        <f>IF(A3025="","",IF(AC3025&gt;1,"REVISAR DUPLICADO",IF(AA3025&lt;&gt;"","ACTUALIZADO POR EYR","SIN REPORTE EYR")))</f>
        <v/>
      </c>
    </row>
    <row r="3026" spans="11:30" x14ac:dyDescent="0.3">
      <c r="K3026" s="1" t="str">
        <f ca="1">IF(A3026="","",IF(OR(L3026="ENTREGADA",L3026="RETORNADA",L3026="ENTREGA DIGITAL"),0,MAX(0,5-NETWORKDAYS(H3026+1,TODAY()))))</f>
        <v/>
      </c>
      <c r="L3026" t="str">
        <f>IF(A3026="","",IFERROR(LOOKUP(2,1/(#REF!=Z3026),#REF!),Y3026))</f>
        <v/>
      </c>
      <c r="Z3026" t="str">
        <f>IF(A3026="","",TEXT(A3026,"0")&amp;"|"&amp;TEXT(H3026,"0"))</f>
        <v/>
      </c>
      <c r="AA3026" t="str">
        <f>IF(Z3026="","",IFERROR(LOOKUP(2,1/(#REF!=Z3026),#REF!),""))</f>
        <v/>
      </c>
      <c r="AB3026" t="str">
        <f>IF(Z3026="","",IFERROR(LOOKUP(2,1/(#REF!=Z3026),#REF!),""))</f>
        <v/>
      </c>
      <c r="AC3026" t="str">
        <f>IF(Z3026="","",COUNTIF(#REF!,Z3026))</f>
        <v/>
      </c>
      <c r="AD3026" t="str">
        <f>IF(A3026="","",IF(AC3026&gt;1,"REVISAR DUPLICADO",IF(AA3026&lt;&gt;"","ACTUALIZADO POR EYR","SIN REPORTE EYR")))</f>
        <v/>
      </c>
    </row>
    <row r="3027" spans="11:30" x14ac:dyDescent="0.3">
      <c r="K3027" s="1" t="str">
        <f ca="1">IF(A3027="","",IF(OR(L3027="ENTREGADA",L3027="RETORNADA",L3027="ENTREGA DIGITAL"),0,MAX(0,5-NETWORKDAYS(H3027+1,TODAY()))))</f>
        <v/>
      </c>
      <c r="L3027" t="str">
        <f>IF(A3027="","",IFERROR(LOOKUP(2,1/(#REF!=Z3027),#REF!),Y3027))</f>
        <v/>
      </c>
      <c r="Z3027" t="str">
        <f>IF(A3027="","",TEXT(A3027,"0")&amp;"|"&amp;TEXT(H3027,"0"))</f>
        <v/>
      </c>
      <c r="AA3027" t="str">
        <f>IF(Z3027="","",IFERROR(LOOKUP(2,1/(#REF!=Z3027),#REF!),""))</f>
        <v/>
      </c>
      <c r="AB3027" t="str">
        <f>IF(Z3027="","",IFERROR(LOOKUP(2,1/(#REF!=Z3027),#REF!),""))</f>
        <v/>
      </c>
      <c r="AC3027" t="str">
        <f>IF(Z3027="","",COUNTIF(#REF!,Z3027))</f>
        <v/>
      </c>
      <c r="AD3027" t="str">
        <f>IF(A3027="","",IF(AC3027&gt;1,"REVISAR DUPLICADO",IF(AA3027&lt;&gt;"","ACTUALIZADO POR EYR","SIN REPORTE EYR")))</f>
        <v/>
      </c>
    </row>
    <row r="3028" spans="11:30" x14ac:dyDescent="0.3">
      <c r="K3028" s="1" t="str">
        <f ca="1">IF(A3028="","",IF(OR(L3028="ENTREGADA",L3028="RETORNADA",L3028="ENTREGA DIGITAL"),0,MAX(0,5-NETWORKDAYS(H3028+1,TODAY()))))</f>
        <v/>
      </c>
      <c r="L3028" t="str">
        <f>IF(A3028="","",IFERROR(LOOKUP(2,1/(#REF!=Z3028),#REF!),Y3028))</f>
        <v/>
      </c>
      <c r="Z3028" t="str">
        <f>IF(A3028="","",TEXT(A3028,"0")&amp;"|"&amp;TEXT(H3028,"0"))</f>
        <v/>
      </c>
      <c r="AA3028" t="str">
        <f>IF(Z3028="","",IFERROR(LOOKUP(2,1/(#REF!=Z3028),#REF!),""))</f>
        <v/>
      </c>
      <c r="AB3028" t="str">
        <f>IF(Z3028="","",IFERROR(LOOKUP(2,1/(#REF!=Z3028),#REF!),""))</f>
        <v/>
      </c>
      <c r="AC3028" t="str">
        <f>IF(Z3028="","",COUNTIF(#REF!,Z3028))</f>
        <v/>
      </c>
      <c r="AD3028" t="str">
        <f>IF(A3028="","",IF(AC3028&gt;1,"REVISAR DUPLICADO",IF(AA3028&lt;&gt;"","ACTUALIZADO POR EYR","SIN REPORTE EYR")))</f>
        <v/>
      </c>
    </row>
    <row r="3029" spans="11:30" x14ac:dyDescent="0.3">
      <c r="K3029" s="1" t="str">
        <f ca="1">IF(A3029="","",IF(OR(L3029="ENTREGADA",L3029="RETORNADA",L3029="ENTREGA DIGITAL"),0,MAX(0,5-NETWORKDAYS(H3029+1,TODAY()))))</f>
        <v/>
      </c>
      <c r="L3029" t="str">
        <f>IF(A3029="","",IFERROR(LOOKUP(2,1/(#REF!=Z3029),#REF!),Y3029))</f>
        <v/>
      </c>
      <c r="Z3029" t="str">
        <f>IF(A3029="","",TEXT(A3029,"0")&amp;"|"&amp;TEXT(H3029,"0"))</f>
        <v/>
      </c>
      <c r="AA3029" t="str">
        <f>IF(Z3029="","",IFERROR(LOOKUP(2,1/(#REF!=Z3029),#REF!),""))</f>
        <v/>
      </c>
      <c r="AB3029" t="str">
        <f>IF(Z3029="","",IFERROR(LOOKUP(2,1/(#REF!=Z3029),#REF!),""))</f>
        <v/>
      </c>
      <c r="AC3029" t="str">
        <f>IF(Z3029="","",COUNTIF(#REF!,Z3029))</f>
        <v/>
      </c>
      <c r="AD3029" t="str">
        <f>IF(A3029="","",IF(AC3029&gt;1,"REVISAR DUPLICADO",IF(AA3029&lt;&gt;"","ACTUALIZADO POR EYR","SIN REPORTE EYR")))</f>
        <v/>
      </c>
    </row>
    <row r="3030" spans="11:30" x14ac:dyDescent="0.3">
      <c r="K3030" s="1" t="str">
        <f ca="1">IF(A3030="","",IF(OR(L3030="ENTREGADA",L3030="RETORNADA",L3030="ENTREGA DIGITAL"),0,MAX(0,5-NETWORKDAYS(H3030+1,TODAY()))))</f>
        <v/>
      </c>
      <c r="L3030" t="str">
        <f>IF(A3030="","",IFERROR(LOOKUP(2,1/(#REF!=Z3030),#REF!),Y3030))</f>
        <v/>
      </c>
      <c r="Z3030" t="str">
        <f>IF(A3030="","",TEXT(A3030,"0")&amp;"|"&amp;TEXT(H3030,"0"))</f>
        <v/>
      </c>
      <c r="AA3030" t="str">
        <f>IF(Z3030="","",IFERROR(LOOKUP(2,1/(#REF!=Z3030),#REF!),""))</f>
        <v/>
      </c>
      <c r="AB3030" t="str">
        <f>IF(Z3030="","",IFERROR(LOOKUP(2,1/(#REF!=Z3030),#REF!),""))</f>
        <v/>
      </c>
      <c r="AC3030" t="str">
        <f>IF(Z3030="","",COUNTIF(#REF!,Z3030))</f>
        <v/>
      </c>
      <c r="AD3030" t="str">
        <f>IF(A3030="","",IF(AC3030&gt;1,"REVISAR DUPLICADO",IF(AA3030&lt;&gt;"","ACTUALIZADO POR EYR","SIN REPORTE EYR")))</f>
        <v/>
      </c>
    </row>
    <row r="3031" spans="11:30" x14ac:dyDescent="0.3">
      <c r="K3031" s="1" t="str">
        <f ca="1">IF(A3031="","",IF(OR(L3031="ENTREGADA",L3031="RETORNADA",L3031="ENTREGA DIGITAL"),0,MAX(0,5-NETWORKDAYS(H3031+1,TODAY()))))</f>
        <v/>
      </c>
      <c r="L3031" t="str">
        <f>IF(A3031="","",IFERROR(LOOKUP(2,1/(#REF!=Z3031),#REF!),Y3031))</f>
        <v/>
      </c>
      <c r="Z3031" t="str">
        <f>IF(A3031="","",TEXT(A3031,"0")&amp;"|"&amp;TEXT(H3031,"0"))</f>
        <v/>
      </c>
      <c r="AA3031" t="str">
        <f>IF(Z3031="","",IFERROR(LOOKUP(2,1/(#REF!=Z3031),#REF!),""))</f>
        <v/>
      </c>
      <c r="AB3031" t="str">
        <f>IF(Z3031="","",IFERROR(LOOKUP(2,1/(#REF!=Z3031),#REF!),""))</f>
        <v/>
      </c>
      <c r="AC3031" t="str">
        <f>IF(Z3031="","",COUNTIF(#REF!,Z3031))</f>
        <v/>
      </c>
      <c r="AD3031" t="str">
        <f>IF(A3031="","",IF(AC3031&gt;1,"REVISAR DUPLICADO",IF(AA3031&lt;&gt;"","ACTUALIZADO POR EYR","SIN REPORTE EYR")))</f>
        <v/>
      </c>
    </row>
    <row r="3032" spans="11:30" x14ac:dyDescent="0.3">
      <c r="K3032" s="1" t="str">
        <f ca="1">IF(A3032="","",IF(OR(L3032="ENTREGADA",L3032="RETORNADA",L3032="ENTREGA DIGITAL"),0,MAX(0,5-NETWORKDAYS(H3032+1,TODAY()))))</f>
        <v/>
      </c>
      <c r="L3032" t="str">
        <f>IF(A3032="","",IFERROR(LOOKUP(2,1/(#REF!=Z3032),#REF!),Y3032))</f>
        <v/>
      </c>
      <c r="Z3032" t="str">
        <f>IF(A3032="","",TEXT(A3032,"0")&amp;"|"&amp;TEXT(H3032,"0"))</f>
        <v/>
      </c>
      <c r="AA3032" t="str">
        <f>IF(Z3032="","",IFERROR(LOOKUP(2,1/(#REF!=Z3032),#REF!),""))</f>
        <v/>
      </c>
      <c r="AB3032" t="str">
        <f>IF(Z3032="","",IFERROR(LOOKUP(2,1/(#REF!=Z3032),#REF!),""))</f>
        <v/>
      </c>
      <c r="AC3032" t="str">
        <f>IF(Z3032="","",COUNTIF(#REF!,Z3032))</f>
        <v/>
      </c>
      <c r="AD3032" t="str">
        <f>IF(A3032="","",IF(AC3032&gt;1,"REVISAR DUPLICADO",IF(AA3032&lt;&gt;"","ACTUALIZADO POR EYR","SIN REPORTE EYR")))</f>
        <v/>
      </c>
    </row>
    <row r="3033" spans="11:30" x14ac:dyDescent="0.3">
      <c r="K3033" s="1" t="str">
        <f ca="1">IF(A3033="","",IF(OR(L3033="ENTREGADA",L3033="RETORNADA",L3033="ENTREGA DIGITAL"),0,MAX(0,5-NETWORKDAYS(H3033+1,TODAY()))))</f>
        <v/>
      </c>
      <c r="L3033" t="str">
        <f>IF(A3033="","",IFERROR(LOOKUP(2,1/(#REF!=Z3033),#REF!),Y3033))</f>
        <v/>
      </c>
      <c r="Z3033" t="str">
        <f>IF(A3033="","",TEXT(A3033,"0")&amp;"|"&amp;TEXT(H3033,"0"))</f>
        <v/>
      </c>
      <c r="AA3033" t="str">
        <f>IF(Z3033="","",IFERROR(LOOKUP(2,1/(#REF!=Z3033),#REF!),""))</f>
        <v/>
      </c>
      <c r="AB3033" t="str">
        <f>IF(Z3033="","",IFERROR(LOOKUP(2,1/(#REF!=Z3033),#REF!),""))</f>
        <v/>
      </c>
      <c r="AC3033" t="str">
        <f>IF(Z3033="","",COUNTIF(#REF!,Z3033))</f>
        <v/>
      </c>
      <c r="AD3033" t="str">
        <f>IF(A3033="","",IF(AC3033&gt;1,"REVISAR DUPLICADO",IF(AA3033&lt;&gt;"","ACTUALIZADO POR EYR","SIN REPORTE EYR")))</f>
        <v/>
      </c>
    </row>
    <row r="3034" spans="11:30" x14ac:dyDescent="0.3">
      <c r="K3034" s="1" t="str">
        <f ca="1">IF(A3034="","",IF(OR(L3034="ENTREGADA",L3034="RETORNADA",L3034="ENTREGA DIGITAL"),0,MAX(0,5-NETWORKDAYS(H3034+1,TODAY()))))</f>
        <v/>
      </c>
      <c r="L3034" t="str">
        <f>IF(A3034="","",IFERROR(LOOKUP(2,1/(#REF!=Z3034),#REF!),Y3034))</f>
        <v/>
      </c>
      <c r="Z3034" t="str">
        <f>IF(A3034="","",TEXT(A3034,"0")&amp;"|"&amp;TEXT(H3034,"0"))</f>
        <v/>
      </c>
      <c r="AA3034" t="str">
        <f>IF(Z3034="","",IFERROR(LOOKUP(2,1/(#REF!=Z3034),#REF!),""))</f>
        <v/>
      </c>
      <c r="AB3034" t="str">
        <f>IF(Z3034="","",IFERROR(LOOKUP(2,1/(#REF!=Z3034),#REF!),""))</f>
        <v/>
      </c>
      <c r="AC3034" t="str">
        <f>IF(Z3034="","",COUNTIF(#REF!,Z3034))</f>
        <v/>
      </c>
      <c r="AD3034" t="str">
        <f>IF(A3034="","",IF(AC3034&gt;1,"REVISAR DUPLICADO",IF(AA3034&lt;&gt;"","ACTUALIZADO POR EYR","SIN REPORTE EYR")))</f>
        <v/>
      </c>
    </row>
    <row r="3035" spans="11:30" x14ac:dyDescent="0.3">
      <c r="K3035" s="1" t="str">
        <f ca="1">IF(A3035="","",IF(OR(L3035="ENTREGADA",L3035="RETORNADA",L3035="ENTREGA DIGITAL"),0,MAX(0,5-NETWORKDAYS(H3035+1,TODAY()))))</f>
        <v/>
      </c>
      <c r="L3035" t="str">
        <f>IF(A3035="","",IFERROR(LOOKUP(2,1/(#REF!=Z3035),#REF!),Y3035))</f>
        <v/>
      </c>
      <c r="Z3035" t="str">
        <f>IF(A3035="","",TEXT(A3035,"0")&amp;"|"&amp;TEXT(H3035,"0"))</f>
        <v/>
      </c>
      <c r="AA3035" t="str">
        <f>IF(Z3035="","",IFERROR(LOOKUP(2,1/(#REF!=Z3035),#REF!),""))</f>
        <v/>
      </c>
      <c r="AB3035" t="str">
        <f>IF(Z3035="","",IFERROR(LOOKUP(2,1/(#REF!=Z3035),#REF!),""))</f>
        <v/>
      </c>
      <c r="AC3035" t="str">
        <f>IF(Z3035="","",COUNTIF(#REF!,Z3035))</f>
        <v/>
      </c>
      <c r="AD3035" t="str">
        <f>IF(A3035="","",IF(AC3035&gt;1,"REVISAR DUPLICADO",IF(AA3035&lt;&gt;"","ACTUALIZADO POR EYR","SIN REPORTE EYR")))</f>
        <v/>
      </c>
    </row>
    <row r="3036" spans="11:30" x14ac:dyDescent="0.3">
      <c r="K3036" s="1" t="str">
        <f ca="1">IF(A3036="","",IF(OR(L3036="ENTREGADA",L3036="RETORNADA",L3036="ENTREGA DIGITAL"),0,MAX(0,5-NETWORKDAYS(H3036+1,TODAY()))))</f>
        <v/>
      </c>
      <c r="L3036" t="str">
        <f>IF(A3036="","",IFERROR(LOOKUP(2,1/(#REF!=Z3036),#REF!),Y3036))</f>
        <v/>
      </c>
      <c r="Z3036" t="str">
        <f>IF(A3036="","",TEXT(A3036,"0")&amp;"|"&amp;TEXT(H3036,"0"))</f>
        <v/>
      </c>
      <c r="AA3036" t="str">
        <f>IF(Z3036="","",IFERROR(LOOKUP(2,1/(#REF!=Z3036),#REF!),""))</f>
        <v/>
      </c>
      <c r="AB3036" t="str">
        <f>IF(Z3036="","",IFERROR(LOOKUP(2,1/(#REF!=Z3036),#REF!),""))</f>
        <v/>
      </c>
      <c r="AC3036" t="str">
        <f>IF(Z3036="","",COUNTIF(#REF!,Z3036))</f>
        <v/>
      </c>
      <c r="AD3036" t="str">
        <f>IF(A3036="","",IF(AC3036&gt;1,"REVISAR DUPLICADO",IF(AA3036&lt;&gt;"","ACTUALIZADO POR EYR","SIN REPORTE EYR")))</f>
        <v/>
      </c>
    </row>
    <row r="3037" spans="11:30" x14ac:dyDescent="0.3">
      <c r="K3037" s="1" t="str">
        <f ca="1">IF(A3037="","",IF(OR(L3037="ENTREGADA",L3037="RETORNADA",L3037="ENTREGA DIGITAL"),0,MAX(0,5-NETWORKDAYS(H3037+1,TODAY()))))</f>
        <v/>
      </c>
      <c r="L3037" t="str">
        <f>IF(A3037="","",IFERROR(LOOKUP(2,1/(#REF!=Z3037),#REF!),Y3037))</f>
        <v/>
      </c>
      <c r="Z3037" t="str">
        <f>IF(A3037="","",TEXT(A3037,"0")&amp;"|"&amp;TEXT(H3037,"0"))</f>
        <v/>
      </c>
      <c r="AA3037" t="str">
        <f>IF(Z3037="","",IFERROR(LOOKUP(2,1/(#REF!=Z3037),#REF!),""))</f>
        <v/>
      </c>
      <c r="AB3037" t="str">
        <f>IF(Z3037="","",IFERROR(LOOKUP(2,1/(#REF!=Z3037),#REF!),""))</f>
        <v/>
      </c>
      <c r="AC3037" t="str">
        <f>IF(Z3037="","",COUNTIF(#REF!,Z3037))</f>
        <v/>
      </c>
      <c r="AD3037" t="str">
        <f>IF(A3037="","",IF(AC3037&gt;1,"REVISAR DUPLICADO",IF(AA3037&lt;&gt;"","ACTUALIZADO POR EYR","SIN REPORTE EYR")))</f>
        <v/>
      </c>
    </row>
    <row r="3038" spans="11:30" x14ac:dyDescent="0.3">
      <c r="K3038" s="1" t="str">
        <f ca="1">IF(A3038="","",IF(OR(L3038="ENTREGADA",L3038="RETORNADA",L3038="ENTREGA DIGITAL"),0,MAX(0,5-NETWORKDAYS(H3038+1,TODAY()))))</f>
        <v/>
      </c>
      <c r="L3038" t="str">
        <f>IF(A3038="","",IFERROR(LOOKUP(2,1/(#REF!=Z3038),#REF!),Y3038))</f>
        <v/>
      </c>
      <c r="Z3038" t="str">
        <f>IF(A3038="","",TEXT(A3038,"0")&amp;"|"&amp;TEXT(H3038,"0"))</f>
        <v/>
      </c>
      <c r="AA3038" t="str">
        <f>IF(Z3038="","",IFERROR(LOOKUP(2,1/(#REF!=Z3038),#REF!),""))</f>
        <v/>
      </c>
      <c r="AB3038" t="str">
        <f>IF(Z3038="","",IFERROR(LOOKUP(2,1/(#REF!=Z3038),#REF!),""))</f>
        <v/>
      </c>
      <c r="AC3038" t="str">
        <f>IF(Z3038="","",COUNTIF(#REF!,Z3038))</f>
        <v/>
      </c>
      <c r="AD3038" t="str">
        <f>IF(A3038="","",IF(AC3038&gt;1,"REVISAR DUPLICADO",IF(AA3038&lt;&gt;"","ACTUALIZADO POR EYR","SIN REPORTE EYR")))</f>
        <v/>
      </c>
    </row>
    <row r="3039" spans="11:30" x14ac:dyDescent="0.3">
      <c r="K3039" s="1" t="str">
        <f ca="1">IF(A3039="","",IF(OR(L3039="ENTREGADA",L3039="RETORNADA",L3039="ENTREGA DIGITAL"),0,MAX(0,5-NETWORKDAYS(H3039+1,TODAY()))))</f>
        <v/>
      </c>
      <c r="L3039" t="str">
        <f>IF(A3039="","",IFERROR(LOOKUP(2,1/(#REF!=Z3039),#REF!),Y3039))</f>
        <v/>
      </c>
      <c r="Z3039" t="str">
        <f>IF(A3039="","",TEXT(A3039,"0")&amp;"|"&amp;TEXT(H3039,"0"))</f>
        <v/>
      </c>
      <c r="AA3039" t="str">
        <f>IF(Z3039="","",IFERROR(LOOKUP(2,1/(#REF!=Z3039),#REF!),""))</f>
        <v/>
      </c>
      <c r="AB3039" t="str">
        <f>IF(Z3039="","",IFERROR(LOOKUP(2,1/(#REF!=Z3039),#REF!),""))</f>
        <v/>
      </c>
      <c r="AC3039" t="str">
        <f>IF(Z3039="","",COUNTIF(#REF!,Z3039))</f>
        <v/>
      </c>
      <c r="AD3039" t="str">
        <f>IF(A3039="","",IF(AC3039&gt;1,"REVISAR DUPLICADO",IF(AA3039&lt;&gt;"","ACTUALIZADO POR EYR","SIN REPORTE EYR")))</f>
        <v/>
      </c>
    </row>
    <row r="3040" spans="11:30" x14ac:dyDescent="0.3">
      <c r="K3040" s="1" t="str">
        <f ca="1">IF(A3040="","",IF(OR(L3040="ENTREGADA",L3040="RETORNADA",L3040="ENTREGA DIGITAL"),0,MAX(0,5-NETWORKDAYS(H3040+1,TODAY()))))</f>
        <v/>
      </c>
      <c r="L3040" t="str">
        <f>IF(A3040="","",IFERROR(LOOKUP(2,1/(#REF!=Z3040),#REF!),Y3040))</f>
        <v/>
      </c>
      <c r="Z3040" t="str">
        <f>IF(A3040="","",TEXT(A3040,"0")&amp;"|"&amp;TEXT(H3040,"0"))</f>
        <v/>
      </c>
      <c r="AA3040" t="str">
        <f>IF(Z3040="","",IFERROR(LOOKUP(2,1/(#REF!=Z3040),#REF!),""))</f>
        <v/>
      </c>
      <c r="AB3040" t="str">
        <f>IF(Z3040="","",IFERROR(LOOKUP(2,1/(#REF!=Z3040),#REF!),""))</f>
        <v/>
      </c>
      <c r="AC3040" t="str">
        <f>IF(Z3040="","",COUNTIF(#REF!,Z3040))</f>
        <v/>
      </c>
      <c r="AD3040" t="str">
        <f>IF(A3040="","",IF(AC3040&gt;1,"REVISAR DUPLICADO",IF(AA3040&lt;&gt;"","ACTUALIZADO POR EYR","SIN REPORTE EYR")))</f>
        <v/>
      </c>
    </row>
    <row r="3041" spans="11:30" x14ac:dyDescent="0.3">
      <c r="K3041" s="1" t="str">
        <f ca="1">IF(A3041="","",IF(OR(L3041="ENTREGADA",L3041="RETORNADA",L3041="ENTREGA DIGITAL"),0,MAX(0,5-NETWORKDAYS(H3041+1,TODAY()))))</f>
        <v/>
      </c>
      <c r="L3041" t="str">
        <f>IF(A3041="","",IFERROR(LOOKUP(2,1/(#REF!=Z3041),#REF!),Y3041))</f>
        <v/>
      </c>
      <c r="Z3041" t="str">
        <f>IF(A3041="","",TEXT(A3041,"0")&amp;"|"&amp;TEXT(H3041,"0"))</f>
        <v/>
      </c>
      <c r="AA3041" t="str">
        <f>IF(Z3041="","",IFERROR(LOOKUP(2,1/(#REF!=Z3041),#REF!),""))</f>
        <v/>
      </c>
      <c r="AB3041" t="str">
        <f>IF(Z3041="","",IFERROR(LOOKUP(2,1/(#REF!=Z3041),#REF!),""))</f>
        <v/>
      </c>
      <c r="AC3041" t="str">
        <f>IF(Z3041="","",COUNTIF(#REF!,Z3041))</f>
        <v/>
      </c>
      <c r="AD3041" t="str">
        <f>IF(A3041="","",IF(AC3041&gt;1,"REVISAR DUPLICADO",IF(AA3041&lt;&gt;"","ACTUALIZADO POR EYR","SIN REPORTE EYR")))</f>
        <v/>
      </c>
    </row>
    <row r="3042" spans="11:30" x14ac:dyDescent="0.3">
      <c r="K3042" s="1" t="str">
        <f ca="1">IF(A3042="","",IF(OR(L3042="ENTREGADA",L3042="RETORNADA",L3042="ENTREGA DIGITAL"),0,MAX(0,5-NETWORKDAYS(H3042+1,TODAY()))))</f>
        <v/>
      </c>
      <c r="L3042" t="str">
        <f>IF(A3042="","",IFERROR(LOOKUP(2,1/(#REF!=Z3042),#REF!),Y3042))</f>
        <v/>
      </c>
      <c r="Z3042" t="str">
        <f>IF(A3042="","",TEXT(A3042,"0")&amp;"|"&amp;TEXT(H3042,"0"))</f>
        <v/>
      </c>
      <c r="AA3042" t="str">
        <f>IF(Z3042="","",IFERROR(LOOKUP(2,1/(#REF!=Z3042),#REF!),""))</f>
        <v/>
      </c>
      <c r="AB3042" t="str">
        <f>IF(Z3042="","",IFERROR(LOOKUP(2,1/(#REF!=Z3042),#REF!),""))</f>
        <v/>
      </c>
      <c r="AC3042" t="str">
        <f>IF(Z3042="","",COUNTIF(#REF!,Z3042))</f>
        <v/>
      </c>
      <c r="AD3042" t="str">
        <f>IF(A3042="","",IF(AC3042&gt;1,"REVISAR DUPLICADO",IF(AA3042&lt;&gt;"","ACTUALIZADO POR EYR","SIN REPORTE EYR")))</f>
        <v/>
      </c>
    </row>
    <row r="3043" spans="11:30" x14ac:dyDescent="0.3">
      <c r="K3043" s="1" t="str">
        <f ca="1">IF(A3043="","",IF(OR(L3043="ENTREGADA",L3043="RETORNADA",L3043="ENTREGA DIGITAL"),0,MAX(0,5-NETWORKDAYS(H3043+1,TODAY()))))</f>
        <v/>
      </c>
      <c r="L3043" t="str">
        <f>IF(A3043="","",IFERROR(LOOKUP(2,1/(#REF!=Z3043),#REF!),Y3043))</f>
        <v/>
      </c>
      <c r="Z3043" t="str">
        <f>IF(A3043="","",TEXT(A3043,"0")&amp;"|"&amp;TEXT(H3043,"0"))</f>
        <v/>
      </c>
      <c r="AA3043" t="str">
        <f>IF(Z3043="","",IFERROR(LOOKUP(2,1/(#REF!=Z3043),#REF!),""))</f>
        <v/>
      </c>
      <c r="AB3043" t="str">
        <f>IF(Z3043="","",IFERROR(LOOKUP(2,1/(#REF!=Z3043),#REF!),""))</f>
        <v/>
      </c>
      <c r="AC3043" t="str">
        <f>IF(Z3043="","",COUNTIF(#REF!,Z3043))</f>
        <v/>
      </c>
      <c r="AD3043" t="str">
        <f>IF(A3043="","",IF(AC3043&gt;1,"REVISAR DUPLICADO",IF(AA3043&lt;&gt;"","ACTUALIZADO POR EYR","SIN REPORTE EYR")))</f>
        <v/>
      </c>
    </row>
    <row r="3044" spans="11:30" x14ac:dyDescent="0.3">
      <c r="K3044" s="1" t="str">
        <f ca="1">IF(A3044="","",IF(OR(L3044="ENTREGADA",L3044="RETORNADA",L3044="ENTREGA DIGITAL"),0,MAX(0,5-NETWORKDAYS(H3044+1,TODAY()))))</f>
        <v/>
      </c>
      <c r="L3044" t="str">
        <f>IF(A3044="","",IFERROR(LOOKUP(2,1/(#REF!=Z3044),#REF!),Y3044))</f>
        <v/>
      </c>
      <c r="Z3044" t="str">
        <f>IF(A3044="","",TEXT(A3044,"0")&amp;"|"&amp;TEXT(H3044,"0"))</f>
        <v/>
      </c>
      <c r="AA3044" t="str">
        <f>IF(Z3044="","",IFERROR(LOOKUP(2,1/(#REF!=Z3044),#REF!),""))</f>
        <v/>
      </c>
      <c r="AB3044" t="str">
        <f>IF(Z3044="","",IFERROR(LOOKUP(2,1/(#REF!=Z3044),#REF!),""))</f>
        <v/>
      </c>
      <c r="AC3044" t="str">
        <f>IF(Z3044="","",COUNTIF(#REF!,Z3044))</f>
        <v/>
      </c>
      <c r="AD3044" t="str">
        <f>IF(A3044="","",IF(AC3044&gt;1,"REVISAR DUPLICADO",IF(AA3044&lt;&gt;"","ACTUALIZADO POR EYR","SIN REPORTE EYR")))</f>
        <v/>
      </c>
    </row>
    <row r="3045" spans="11:30" x14ac:dyDescent="0.3">
      <c r="K3045" s="1" t="str">
        <f ca="1">IF(A3045="","",IF(OR(L3045="ENTREGADA",L3045="RETORNADA",L3045="ENTREGA DIGITAL"),0,MAX(0,5-NETWORKDAYS(H3045+1,TODAY()))))</f>
        <v/>
      </c>
      <c r="L3045" t="str">
        <f>IF(A3045="","",IFERROR(LOOKUP(2,1/(#REF!=Z3045),#REF!),Y3045))</f>
        <v/>
      </c>
      <c r="Z3045" t="str">
        <f>IF(A3045="","",TEXT(A3045,"0")&amp;"|"&amp;TEXT(H3045,"0"))</f>
        <v/>
      </c>
      <c r="AA3045" t="str">
        <f>IF(Z3045="","",IFERROR(LOOKUP(2,1/(#REF!=Z3045),#REF!),""))</f>
        <v/>
      </c>
      <c r="AB3045" t="str">
        <f>IF(Z3045="","",IFERROR(LOOKUP(2,1/(#REF!=Z3045),#REF!),""))</f>
        <v/>
      </c>
      <c r="AC3045" t="str">
        <f>IF(Z3045="","",COUNTIF(#REF!,Z3045))</f>
        <v/>
      </c>
      <c r="AD3045" t="str">
        <f>IF(A3045="","",IF(AC3045&gt;1,"REVISAR DUPLICADO",IF(AA3045&lt;&gt;"","ACTUALIZADO POR EYR","SIN REPORTE EYR")))</f>
        <v/>
      </c>
    </row>
    <row r="3046" spans="11:30" x14ac:dyDescent="0.3">
      <c r="K3046" s="1" t="str">
        <f ca="1">IF(A3046="","",IF(OR(L3046="ENTREGADA",L3046="RETORNADA",L3046="ENTREGA DIGITAL"),0,MAX(0,5-NETWORKDAYS(H3046+1,TODAY()))))</f>
        <v/>
      </c>
      <c r="L3046" t="str">
        <f>IF(A3046="","",IFERROR(LOOKUP(2,1/(#REF!=Z3046),#REF!),Y3046))</f>
        <v/>
      </c>
      <c r="Z3046" t="str">
        <f>IF(A3046="","",TEXT(A3046,"0")&amp;"|"&amp;TEXT(H3046,"0"))</f>
        <v/>
      </c>
      <c r="AA3046" t="str">
        <f>IF(Z3046="","",IFERROR(LOOKUP(2,1/(#REF!=Z3046),#REF!),""))</f>
        <v/>
      </c>
      <c r="AB3046" t="str">
        <f>IF(Z3046="","",IFERROR(LOOKUP(2,1/(#REF!=Z3046),#REF!),""))</f>
        <v/>
      </c>
      <c r="AC3046" t="str">
        <f>IF(Z3046="","",COUNTIF(#REF!,Z3046))</f>
        <v/>
      </c>
      <c r="AD3046" t="str">
        <f>IF(A3046="","",IF(AC3046&gt;1,"REVISAR DUPLICADO",IF(AA3046&lt;&gt;"","ACTUALIZADO POR EYR","SIN REPORTE EYR")))</f>
        <v/>
      </c>
    </row>
    <row r="3047" spans="11:30" x14ac:dyDescent="0.3">
      <c r="K3047" s="1" t="str">
        <f ca="1">IF(A3047="","",IF(OR(L3047="ENTREGADA",L3047="RETORNADA",L3047="ENTREGA DIGITAL"),0,MAX(0,5-NETWORKDAYS(H3047+1,TODAY()))))</f>
        <v/>
      </c>
      <c r="L3047" t="str">
        <f>IF(A3047="","",IFERROR(LOOKUP(2,1/(#REF!=Z3047),#REF!),Y3047))</f>
        <v/>
      </c>
      <c r="Z3047" t="str">
        <f>IF(A3047="","",TEXT(A3047,"0")&amp;"|"&amp;TEXT(H3047,"0"))</f>
        <v/>
      </c>
      <c r="AA3047" t="str">
        <f>IF(Z3047="","",IFERROR(LOOKUP(2,1/(#REF!=Z3047),#REF!),""))</f>
        <v/>
      </c>
      <c r="AB3047" t="str">
        <f>IF(Z3047="","",IFERROR(LOOKUP(2,1/(#REF!=Z3047),#REF!),""))</f>
        <v/>
      </c>
      <c r="AC3047" t="str">
        <f>IF(Z3047="","",COUNTIF(#REF!,Z3047))</f>
        <v/>
      </c>
      <c r="AD3047" t="str">
        <f>IF(A3047="","",IF(AC3047&gt;1,"REVISAR DUPLICADO",IF(AA3047&lt;&gt;"","ACTUALIZADO POR EYR","SIN REPORTE EYR")))</f>
        <v/>
      </c>
    </row>
    <row r="3048" spans="11:30" x14ac:dyDescent="0.3">
      <c r="K3048" s="1" t="str">
        <f ca="1">IF(A3048="","",IF(OR(L3048="ENTREGADA",L3048="RETORNADA",L3048="ENTREGA DIGITAL"),0,MAX(0,5-NETWORKDAYS(H3048+1,TODAY()))))</f>
        <v/>
      </c>
      <c r="L3048" t="str">
        <f>IF(A3048="","",IFERROR(LOOKUP(2,1/(#REF!=Z3048),#REF!),Y3048))</f>
        <v/>
      </c>
      <c r="Z3048" t="str">
        <f>IF(A3048="","",TEXT(A3048,"0")&amp;"|"&amp;TEXT(H3048,"0"))</f>
        <v/>
      </c>
      <c r="AA3048" t="str">
        <f>IF(Z3048="","",IFERROR(LOOKUP(2,1/(#REF!=Z3048),#REF!),""))</f>
        <v/>
      </c>
      <c r="AB3048" t="str">
        <f>IF(Z3048="","",IFERROR(LOOKUP(2,1/(#REF!=Z3048),#REF!),""))</f>
        <v/>
      </c>
      <c r="AC3048" t="str">
        <f>IF(Z3048="","",COUNTIF(#REF!,Z3048))</f>
        <v/>
      </c>
      <c r="AD3048" t="str">
        <f>IF(A3048="","",IF(AC3048&gt;1,"REVISAR DUPLICADO",IF(AA3048&lt;&gt;"","ACTUALIZADO POR EYR","SIN REPORTE EYR")))</f>
        <v/>
      </c>
    </row>
    <row r="3049" spans="11:30" x14ac:dyDescent="0.3">
      <c r="K3049" s="1" t="str">
        <f ca="1">IF(A3049="","",IF(OR(L3049="ENTREGADA",L3049="RETORNADA",L3049="ENTREGA DIGITAL"),0,MAX(0,5-NETWORKDAYS(H3049+1,TODAY()))))</f>
        <v/>
      </c>
      <c r="L3049" t="str">
        <f>IF(A3049="","",IFERROR(LOOKUP(2,1/(#REF!=Z3049),#REF!),Y3049))</f>
        <v/>
      </c>
      <c r="Z3049" t="str">
        <f>IF(A3049="","",TEXT(A3049,"0")&amp;"|"&amp;TEXT(H3049,"0"))</f>
        <v/>
      </c>
      <c r="AA3049" t="str">
        <f>IF(Z3049="","",IFERROR(LOOKUP(2,1/(#REF!=Z3049),#REF!),""))</f>
        <v/>
      </c>
      <c r="AB3049" t="str">
        <f>IF(Z3049="","",IFERROR(LOOKUP(2,1/(#REF!=Z3049),#REF!),""))</f>
        <v/>
      </c>
      <c r="AC3049" t="str">
        <f>IF(Z3049="","",COUNTIF(#REF!,Z3049))</f>
        <v/>
      </c>
      <c r="AD3049" t="str">
        <f>IF(A3049="","",IF(AC3049&gt;1,"REVISAR DUPLICADO",IF(AA3049&lt;&gt;"","ACTUALIZADO POR EYR","SIN REPORTE EYR")))</f>
        <v/>
      </c>
    </row>
    <row r="3050" spans="11:30" x14ac:dyDescent="0.3">
      <c r="K3050" s="1" t="str">
        <f ca="1">IF(A3050="","",IF(OR(L3050="ENTREGADA",L3050="RETORNADA",L3050="ENTREGA DIGITAL"),0,MAX(0,5-NETWORKDAYS(H3050+1,TODAY()))))</f>
        <v/>
      </c>
      <c r="L3050" t="str">
        <f>IF(A3050="","",IFERROR(LOOKUP(2,1/(#REF!=Z3050),#REF!),Y3050))</f>
        <v/>
      </c>
      <c r="Z3050" t="str">
        <f>IF(A3050="","",TEXT(A3050,"0")&amp;"|"&amp;TEXT(H3050,"0"))</f>
        <v/>
      </c>
      <c r="AA3050" t="str">
        <f>IF(Z3050="","",IFERROR(LOOKUP(2,1/(#REF!=Z3050),#REF!),""))</f>
        <v/>
      </c>
      <c r="AB3050" t="str">
        <f>IF(Z3050="","",IFERROR(LOOKUP(2,1/(#REF!=Z3050),#REF!),""))</f>
        <v/>
      </c>
      <c r="AC3050" t="str">
        <f>IF(Z3050="","",COUNTIF(#REF!,Z3050))</f>
        <v/>
      </c>
      <c r="AD3050" t="str">
        <f>IF(A3050="","",IF(AC3050&gt;1,"REVISAR DUPLICADO",IF(AA3050&lt;&gt;"","ACTUALIZADO POR EYR","SIN REPORTE EYR")))</f>
        <v/>
      </c>
    </row>
    <row r="3051" spans="11:30" x14ac:dyDescent="0.3">
      <c r="K3051" s="1" t="str">
        <f ca="1">IF(A3051="","",IF(OR(L3051="ENTREGADA",L3051="RETORNADA",L3051="ENTREGA DIGITAL"),0,MAX(0,5-NETWORKDAYS(H3051+1,TODAY()))))</f>
        <v/>
      </c>
      <c r="L3051" t="str">
        <f>IF(A3051="","",IFERROR(LOOKUP(2,1/(#REF!=Z3051),#REF!),Y3051))</f>
        <v/>
      </c>
      <c r="Z3051" t="str">
        <f>IF(A3051="","",TEXT(A3051,"0")&amp;"|"&amp;TEXT(H3051,"0"))</f>
        <v/>
      </c>
      <c r="AA3051" t="str">
        <f>IF(Z3051="","",IFERROR(LOOKUP(2,1/(#REF!=Z3051),#REF!),""))</f>
        <v/>
      </c>
      <c r="AB3051" t="str">
        <f>IF(Z3051="","",IFERROR(LOOKUP(2,1/(#REF!=Z3051),#REF!),""))</f>
        <v/>
      </c>
      <c r="AC3051" t="str">
        <f>IF(Z3051="","",COUNTIF(#REF!,Z3051))</f>
        <v/>
      </c>
      <c r="AD3051" t="str">
        <f>IF(A3051="","",IF(AC3051&gt;1,"REVISAR DUPLICADO",IF(AA3051&lt;&gt;"","ACTUALIZADO POR EYR","SIN REPORTE EYR")))</f>
        <v/>
      </c>
    </row>
    <row r="3052" spans="11:30" x14ac:dyDescent="0.3">
      <c r="K3052" s="1" t="str">
        <f ca="1">IF(A3052="","",IF(OR(L3052="ENTREGADA",L3052="RETORNADA",L3052="ENTREGA DIGITAL"),0,MAX(0,5-NETWORKDAYS(H3052+1,TODAY()))))</f>
        <v/>
      </c>
      <c r="L3052" t="str">
        <f>IF(A3052="","",IFERROR(LOOKUP(2,1/(#REF!=Z3052),#REF!),Y3052))</f>
        <v/>
      </c>
      <c r="Z3052" t="str">
        <f>IF(A3052="","",TEXT(A3052,"0")&amp;"|"&amp;TEXT(H3052,"0"))</f>
        <v/>
      </c>
      <c r="AA3052" t="str">
        <f>IF(Z3052="","",IFERROR(LOOKUP(2,1/(#REF!=Z3052),#REF!),""))</f>
        <v/>
      </c>
      <c r="AB3052" t="str">
        <f>IF(Z3052="","",IFERROR(LOOKUP(2,1/(#REF!=Z3052),#REF!),""))</f>
        <v/>
      </c>
      <c r="AC3052" t="str">
        <f>IF(Z3052="","",COUNTIF(#REF!,Z3052))</f>
        <v/>
      </c>
      <c r="AD3052" t="str">
        <f>IF(A3052="","",IF(AC3052&gt;1,"REVISAR DUPLICADO",IF(AA3052&lt;&gt;"","ACTUALIZADO POR EYR","SIN REPORTE EYR")))</f>
        <v/>
      </c>
    </row>
    <row r="3053" spans="11:30" x14ac:dyDescent="0.3">
      <c r="K3053" s="1" t="str">
        <f ca="1">IF(A3053="","",IF(OR(L3053="ENTREGADA",L3053="RETORNADA",L3053="ENTREGA DIGITAL"),0,MAX(0,5-NETWORKDAYS(H3053+1,TODAY()))))</f>
        <v/>
      </c>
      <c r="L3053" t="str">
        <f>IF(A3053="","",IFERROR(LOOKUP(2,1/(#REF!=Z3053),#REF!),Y3053))</f>
        <v/>
      </c>
      <c r="Z3053" t="str">
        <f>IF(A3053="","",TEXT(A3053,"0")&amp;"|"&amp;TEXT(H3053,"0"))</f>
        <v/>
      </c>
      <c r="AA3053" t="str">
        <f>IF(Z3053="","",IFERROR(LOOKUP(2,1/(#REF!=Z3053),#REF!),""))</f>
        <v/>
      </c>
      <c r="AB3053" t="str">
        <f>IF(Z3053="","",IFERROR(LOOKUP(2,1/(#REF!=Z3053),#REF!),""))</f>
        <v/>
      </c>
      <c r="AC3053" t="str">
        <f>IF(Z3053="","",COUNTIF(#REF!,Z3053))</f>
        <v/>
      </c>
      <c r="AD3053" t="str">
        <f>IF(A3053="","",IF(AC3053&gt;1,"REVISAR DUPLICADO",IF(AA3053&lt;&gt;"","ACTUALIZADO POR EYR","SIN REPORTE EYR")))</f>
        <v/>
      </c>
    </row>
    <row r="3054" spans="11:30" x14ac:dyDescent="0.3">
      <c r="K3054" s="1" t="str">
        <f ca="1">IF(A3054="","",IF(OR(L3054="ENTREGADA",L3054="RETORNADA",L3054="ENTREGA DIGITAL"),0,MAX(0,5-NETWORKDAYS(H3054+1,TODAY()))))</f>
        <v/>
      </c>
      <c r="L3054" t="str">
        <f>IF(A3054="","",IFERROR(LOOKUP(2,1/(#REF!=Z3054),#REF!),Y3054))</f>
        <v/>
      </c>
      <c r="Z3054" t="str">
        <f>IF(A3054="","",TEXT(A3054,"0")&amp;"|"&amp;TEXT(H3054,"0"))</f>
        <v/>
      </c>
      <c r="AA3054" t="str">
        <f>IF(Z3054="","",IFERROR(LOOKUP(2,1/(#REF!=Z3054),#REF!),""))</f>
        <v/>
      </c>
      <c r="AB3054" t="str">
        <f>IF(Z3054="","",IFERROR(LOOKUP(2,1/(#REF!=Z3054),#REF!),""))</f>
        <v/>
      </c>
      <c r="AC3054" t="str">
        <f>IF(Z3054="","",COUNTIF(#REF!,Z3054))</f>
        <v/>
      </c>
      <c r="AD3054" t="str">
        <f>IF(A3054="","",IF(AC3054&gt;1,"REVISAR DUPLICADO",IF(AA3054&lt;&gt;"","ACTUALIZADO POR EYR","SIN REPORTE EYR")))</f>
        <v/>
      </c>
    </row>
    <row r="3055" spans="11:30" x14ac:dyDescent="0.3">
      <c r="K3055" s="1" t="str">
        <f ca="1">IF(A3055="","",IF(OR(L3055="ENTREGADA",L3055="RETORNADA",L3055="ENTREGA DIGITAL"),0,MAX(0,5-NETWORKDAYS(H3055+1,TODAY()))))</f>
        <v/>
      </c>
      <c r="L3055" t="str">
        <f>IF(A3055="","",IFERROR(LOOKUP(2,1/(#REF!=Z3055),#REF!),Y3055))</f>
        <v/>
      </c>
      <c r="Z3055" t="str">
        <f>IF(A3055="","",TEXT(A3055,"0")&amp;"|"&amp;TEXT(H3055,"0"))</f>
        <v/>
      </c>
      <c r="AA3055" t="str">
        <f>IF(Z3055="","",IFERROR(LOOKUP(2,1/(#REF!=Z3055),#REF!),""))</f>
        <v/>
      </c>
      <c r="AB3055" t="str">
        <f>IF(Z3055="","",IFERROR(LOOKUP(2,1/(#REF!=Z3055),#REF!),""))</f>
        <v/>
      </c>
      <c r="AC3055" t="str">
        <f>IF(Z3055="","",COUNTIF(#REF!,Z3055))</f>
        <v/>
      </c>
      <c r="AD3055" t="str">
        <f>IF(A3055="","",IF(AC3055&gt;1,"REVISAR DUPLICADO",IF(AA3055&lt;&gt;"","ACTUALIZADO POR EYR","SIN REPORTE EYR")))</f>
        <v/>
      </c>
    </row>
    <row r="3056" spans="11:30" x14ac:dyDescent="0.3">
      <c r="K3056" s="1" t="str">
        <f ca="1">IF(A3056="","",IF(OR(L3056="ENTREGADA",L3056="RETORNADA",L3056="ENTREGA DIGITAL"),0,MAX(0,5-NETWORKDAYS(H3056+1,TODAY()))))</f>
        <v/>
      </c>
      <c r="L3056" t="str">
        <f>IF(A3056="","",IFERROR(LOOKUP(2,1/(#REF!=Z3056),#REF!),Y3056))</f>
        <v/>
      </c>
      <c r="Z3056" t="str">
        <f>IF(A3056="","",TEXT(A3056,"0")&amp;"|"&amp;TEXT(H3056,"0"))</f>
        <v/>
      </c>
      <c r="AA3056" t="str">
        <f>IF(Z3056="","",IFERROR(LOOKUP(2,1/(#REF!=Z3056),#REF!),""))</f>
        <v/>
      </c>
      <c r="AB3056" t="str">
        <f>IF(Z3056="","",IFERROR(LOOKUP(2,1/(#REF!=Z3056),#REF!),""))</f>
        <v/>
      </c>
      <c r="AC3056" t="str">
        <f>IF(Z3056="","",COUNTIF(#REF!,Z3056))</f>
        <v/>
      </c>
      <c r="AD3056" t="str">
        <f>IF(A3056="","",IF(AC3056&gt;1,"REVISAR DUPLICADO",IF(AA3056&lt;&gt;"","ACTUALIZADO POR EYR","SIN REPORTE EYR")))</f>
        <v/>
      </c>
    </row>
    <row r="3057" spans="11:30" x14ac:dyDescent="0.3">
      <c r="K3057" s="1" t="str">
        <f ca="1">IF(A3057="","",IF(OR(L3057="ENTREGADA",L3057="RETORNADA",L3057="ENTREGA DIGITAL"),0,MAX(0,5-NETWORKDAYS(H3057+1,TODAY()))))</f>
        <v/>
      </c>
      <c r="L3057" t="str">
        <f>IF(A3057="","",IFERROR(LOOKUP(2,1/(#REF!=Z3057),#REF!),Y3057))</f>
        <v/>
      </c>
      <c r="Z3057" t="str">
        <f>IF(A3057="","",TEXT(A3057,"0")&amp;"|"&amp;TEXT(H3057,"0"))</f>
        <v/>
      </c>
      <c r="AA3057" t="str">
        <f>IF(Z3057="","",IFERROR(LOOKUP(2,1/(#REF!=Z3057),#REF!),""))</f>
        <v/>
      </c>
      <c r="AB3057" t="str">
        <f>IF(Z3057="","",IFERROR(LOOKUP(2,1/(#REF!=Z3057),#REF!),""))</f>
        <v/>
      </c>
      <c r="AC3057" t="str">
        <f>IF(Z3057="","",COUNTIF(#REF!,Z3057))</f>
        <v/>
      </c>
      <c r="AD3057" t="str">
        <f>IF(A3057="","",IF(AC3057&gt;1,"REVISAR DUPLICADO",IF(AA3057&lt;&gt;"","ACTUALIZADO POR EYR","SIN REPORTE EYR")))</f>
        <v/>
      </c>
    </row>
    <row r="3058" spans="11:30" x14ac:dyDescent="0.3">
      <c r="K3058" s="1" t="str">
        <f ca="1">IF(A3058="","",IF(OR(L3058="ENTREGADA",L3058="RETORNADA",L3058="ENTREGA DIGITAL"),0,MAX(0,5-NETWORKDAYS(H3058+1,TODAY()))))</f>
        <v/>
      </c>
      <c r="L3058" t="str">
        <f>IF(A3058="","",IFERROR(LOOKUP(2,1/(#REF!=Z3058),#REF!),Y3058))</f>
        <v/>
      </c>
      <c r="Z3058" t="str">
        <f>IF(A3058="","",TEXT(A3058,"0")&amp;"|"&amp;TEXT(H3058,"0"))</f>
        <v/>
      </c>
      <c r="AA3058" t="str">
        <f>IF(Z3058="","",IFERROR(LOOKUP(2,1/(#REF!=Z3058),#REF!),""))</f>
        <v/>
      </c>
      <c r="AB3058" t="str">
        <f>IF(Z3058="","",IFERROR(LOOKUP(2,1/(#REF!=Z3058),#REF!),""))</f>
        <v/>
      </c>
      <c r="AC3058" t="str">
        <f>IF(Z3058="","",COUNTIF(#REF!,Z3058))</f>
        <v/>
      </c>
      <c r="AD3058" t="str">
        <f>IF(A3058="","",IF(AC3058&gt;1,"REVISAR DUPLICADO",IF(AA3058&lt;&gt;"","ACTUALIZADO POR EYR","SIN REPORTE EYR")))</f>
        <v/>
      </c>
    </row>
    <row r="3059" spans="11:30" x14ac:dyDescent="0.3">
      <c r="K3059" s="1" t="str">
        <f ca="1">IF(A3059="","",IF(OR(L3059="ENTREGADA",L3059="RETORNADA",L3059="ENTREGA DIGITAL"),0,MAX(0,5-NETWORKDAYS(H3059+1,TODAY()))))</f>
        <v/>
      </c>
      <c r="L3059" t="str">
        <f>IF(A3059="","",IFERROR(LOOKUP(2,1/(#REF!=Z3059),#REF!),Y3059))</f>
        <v/>
      </c>
      <c r="Z3059" t="str">
        <f>IF(A3059="","",TEXT(A3059,"0")&amp;"|"&amp;TEXT(H3059,"0"))</f>
        <v/>
      </c>
      <c r="AA3059" t="str">
        <f>IF(Z3059="","",IFERROR(LOOKUP(2,1/(#REF!=Z3059),#REF!),""))</f>
        <v/>
      </c>
      <c r="AB3059" t="str">
        <f>IF(Z3059="","",IFERROR(LOOKUP(2,1/(#REF!=Z3059),#REF!),""))</f>
        <v/>
      </c>
      <c r="AC3059" t="str">
        <f>IF(Z3059="","",COUNTIF(#REF!,Z3059))</f>
        <v/>
      </c>
      <c r="AD3059" t="str">
        <f>IF(A3059="","",IF(AC3059&gt;1,"REVISAR DUPLICADO",IF(AA3059&lt;&gt;"","ACTUALIZADO POR EYR","SIN REPORTE EYR")))</f>
        <v/>
      </c>
    </row>
    <row r="3060" spans="11:30" x14ac:dyDescent="0.3">
      <c r="K3060" s="1" t="str">
        <f ca="1">IF(A3060="","",IF(OR(L3060="ENTREGADA",L3060="RETORNADA",L3060="ENTREGA DIGITAL"),0,MAX(0,5-NETWORKDAYS(H3060+1,TODAY()))))</f>
        <v/>
      </c>
      <c r="L3060" t="str">
        <f>IF(A3060="","",IFERROR(LOOKUP(2,1/(#REF!=Z3060),#REF!),Y3060))</f>
        <v/>
      </c>
      <c r="Z3060" t="str">
        <f>IF(A3060="","",TEXT(A3060,"0")&amp;"|"&amp;TEXT(H3060,"0"))</f>
        <v/>
      </c>
      <c r="AA3060" t="str">
        <f>IF(Z3060="","",IFERROR(LOOKUP(2,1/(#REF!=Z3060),#REF!),""))</f>
        <v/>
      </c>
      <c r="AB3060" t="str">
        <f>IF(Z3060="","",IFERROR(LOOKUP(2,1/(#REF!=Z3060),#REF!),""))</f>
        <v/>
      </c>
      <c r="AC3060" t="str">
        <f>IF(Z3060="","",COUNTIF(#REF!,Z3060))</f>
        <v/>
      </c>
      <c r="AD3060" t="str">
        <f>IF(A3060="","",IF(AC3060&gt;1,"REVISAR DUPLICADO",IF(AA3060&lt;&gt;"","ACTUALIZADO POR EYR","SIN REPORTE EYR")))</f>
        <v/>
      </c>
    </row>
    <row r="3061" spans="11:30" x14ac:dyDescent="0.3">
      <c r="K3061" s="1" t="str">
        <f ca="1">IF(A3061="","",IF(OR(L3061="ENTREGADA",L3061="RETORNADA",L3061="ENTREGA DIGITAL"),0,MAX(0,5-NETWORKDAYS(H3061+1,TODAY()))))</f>
        <v/>
      </c>
      <c r="L3061" t="str">
        <f>IF(A3061="","",IFERROR(LOOKUP(2,1/(#REF!=Z3061),#REF!),Y3061))</f>
        <v/>
      </c>
      <c r="Z3061" t="str">
        <f>IF(A3061="","",TEXT(A3061,"0")&amp;"|"&amp;TEXT(H3061,"0"))</f>
        <v/>
      </c>
      <c r="AA3061" t="str">
        <f>IF(Z3061="","",IFERROR(LOOKUP(2,1/(#REF!=Z3061),#REF!),""))</f>
        <v/>
      </c>
      <c r="AB3061" t="str">
        <f>IF(Z3061="","",IFERROR(LOOKUP(2,1/(#REF!=Z3061),#REF!),""))</f>
        <v/>
      </c>
      <c r="AC3061" t="str">
        <f>IF(Z3061="","",COUNTIF(#REF!,Z3061))</f>
        <v/>
      </c>
      <c r="AD3061" t="str">
        <f>IF(A3061="","",IF(AC3061&gt;1,"REVISAR DUPLICADO",IF(AA3061&lt;&gt;"","ACTUALIZADO POR EYR","SIN REPORTE EYR")))</f>
        <v/>
      </c>
    </row>
    <row r="3062" spans="11:30" x14ac:dyDescent="0.3">
      <c r="K3062" s="1" t="str">
        <f ca="1">IF(A3062="","",IF(OR(L3062="ENTREGADA",L3062="RETORNADA",L3062="ENTREGA DIGITAL"),0,MAX(0,5-NETWORKDAYS(H3062+1,TODAY()))))</f>
        <v/>
      </c>
      <c r="L3062" t="str">
        <f>IF(A3062="","",IFERROR(LOOKUP(2,1/(#REF!=Z3062),#REF!),Y3062))</f>
        <v/>
      </c>
      <c r="Z3062" t="str">
        <f>IF(A3062="","",TEXT(A3062,"0")&amp;"|"&amp;TEXT(H3062,"0"))</f>
        <v/>
      </c>
      <c r="AA3062" t="str">
        <f>IF(Z3062="","",IFERROR(LOOKUP(2,1/(#REF!=Z3062),#REF!),""))</f>
        <v/>
      </c>
      <c r="AB3062" t="str">
        <f>IF(Z3062="","",IFERROR(LOOKUP(2,1/(#REF!=Z3062),#REF!),""))</f>
        <v/>
      </c>
      <c r="AC3062" t="str">
        <f>IF(Z3062="","",COUNTIF(#REF!,Z3062))</f>
        <v/>
      </c>
      <c r="AD3062" t="str">
        <f>IF(A3062="","",IF(AC3062&gt;1,"REVISAR DUPLICADO",IF(AA3062&lt;&gt;"","ACTUALIZADO POR EYR","SIN REPORTE EYR")))</f>
        <v/>
      </c>
    </row>
    <row r="3063" spans="11:30" x14ac:dyDescent="0.3">
      <c r="K3063" s="1" t="str">
        <f ca="1">IF(A3063="","",IF(OR(L3063="ENTREGADA",L3063="RETORNADA",L3063="ENTREGA DIGITAL"),0,MAX(0,5-NETWORKDAYS(H3063+1,TODAY()))))</f>
        <v/>
      </c>
      <c r="L3063" t="str">
        <f>IF(A3063="","",IFERROR(LOOKUP(2,1/(#REF!=Z3063),#REF!),Y3063))</f>
        <v/>
      </c>
      <c r="Z3063" t="str">
        <f>IF(A3063="","",TEXT(A3063,"0")&amp;"|"&amp;TEXT(H3063,"0"))</f>
        <v/>
      </c>
      <c r="AA3063" t="str">
        <f>IF(Z3063="","",IFERROR(LOOKUP(2,1/(#REF!=Z3063),#REF!),""))</f>
        <v/>
      </c>
      <c r="AB3063" t="str">
        <f>IF(Z3063="","",IFERROR(LOOKUP(2,1/(#REF!=Z3063),#REF!),""))</f>
        <v/>
      </c>
      <c r="AC3063" t="str">
        <f>IF(Z3063="","",COUNTIF(#REF!,Z3063))</f>
        <v/>
      </c>
      <c r="AD3063" t="str">
        <f>IF(A3063="","",IF(AC3063&gt;1,"REVISAR DUPLICADO",IF(AA3063&lt;&gt;"","ACTUALIZADO POR EYR","SIN REPORTE EYR")))</f>
        <v/>
      </c>
    </row>
    <row r="3064" spans="11:30" x14ac:dyDescent="0.3">
      <c r="K3064" s="1" t="str">
        <f ca="1">IF(A3064="","",IF(OR(L3064="ENTREGADA",L3064="RETORNADA",L3064="ENTREGA DIGITAL"),0,MAX(0,5-NETWORKDAYS(H3064+1,TODAY()))))</f>
        <v/>
      </c>
      <c r="L3064" t="str">
        <f>IF(A3064="","",IFERROR(LOOKUP(2,1/(#REF!=Z3064),#REF!),Y3064))</f>
        <v/>
      </c>
      <c r="Z3064" t="str">
        <f>IF(A3064="","",TEXT(A3064,"0")&amp;"|"&amp;TEXT(H3064,"0"))</f>
        <v/>
      </c>
      <c r="AA3064" t="str">
        <f>IF(Z3064="","",IFERROR(LOOKUP(2,1/(#REF!=Z3064),#REF!),""))</f>
        <v/>
      </c>
      <c r="AB3064" t="str">
        <f>IF(Z3064="","",IFERROR(LOOKUP(2,1/(#REF!=Z3064),#REF!),""))</f>
        <v/>
      </c>
      <c r="AC3064" t="str">
        <f>IF(Z3064="","",COUNTIF(#REF!,Z3064))</f>
        <v/>
      </c>
      <c r="AD3064" t="str">
        <f>IF(A3064="","",IF(AC3064&gt;1,"REVISAR DUPLICADO",IF(AA3064&lt;&gt;"","ACTUALIZADO POR EYR","SIN REPORTE EYR")))</f>
        <v/>
      </c>
    </row>
    <row r="3065" spans="11:30" x14ac:dyDescent="0.3">
      <c r="K3065" s="1" t="str">
        <f ca="1">IF(A3065="","",IF(OR(L3065="ENTREGADA",L3065="RETORNADA",L3065="ENTREGA DIGITAL"),0,MAX(0,5-NETWORKDAYS(H3065+1,TODAY()))))</f>
        <v/>
      </c>
      <c r="L3065" t="str">
        <f>IF(A3065="","",IFERROR(LOOKUP(2,1/(#REF!=Z3065),#REF!),Y3065))</f>
        <v/>
      </c>
      <c r="Z3065" t="str">
        <f>IF(A3065="","",TEXT(A3065,"0")&amp;"|"&amp;TEXT(H3065,"0"))</f>
        <v/>
      </c>
      <c r="AA3065" t="str">
        <f>IF(Z3065="","",IFERROR(LOOKUP(2,1/(#REF!=Z3065),#REF!),""))</f>
        <v/>
      </c>
      <c r="AB3065" t="str">
        <f>IF(Z3065="","",IFERROR(LOOKUP(2,1/(#REF!=Z3065),#REF!),""))</f>
        <v/>
      </c>
      <c r="AC3065" t="str">
        <f>IF(Z3065="","",COUNTIF(#REF!,Z3065))</f>
        <v/>
      </c>
      <c r="AD3065" t="str">
        <f>IF(A3065="","",IF(AC3065&gt;1,"REVISAR DUPLICADO",IF(AA3065&lt;&gt;"","ACTUALIZADO POR EYR","SIN REPORTE EYR")))</f>
        <v/>
      </c>
    </row>
    <row r="3066" spans="11:30" x14ac:dyDescent="0.3">
      <c r="K3066" s="1" t="str">
        <f ca="1">IF(A3066="","",IF(OR(L3066="ENTREGADA",L3066="RETORNADA",L3066="ENTREGA DIGITAL"),0,MAX(0,5-NETWORKDAYS(H3066+1,TODAY()))))</f>
        <v/>
      </c>
      <c r="L3066" t="str">
        <f>IF(A3066="","",IFERROR(LOOKUP(2,1/(#REF!=Z3066),#REF!),Y3066))</f>
        <v/>
      </c>
      <c r="Z3066" t="str">
        <f>IF(A3066="","",TEXT(A3066,"0")&amp;"|"&amp;TEXT(H3066,"0"))</f>
        <v/>
      </c>
      <c r="AA3066" t="str">
        <f>IF(Z3066="","",IFERROR(LOOKUP(2,1/(#REF!=Z3066),#REF!),""))</f>
        <v/>
      </c>
      <c r="AB3066" t="str">
        <f>IF(Z3066="","",IFERROR(LOOKUP(2,1/(#REF!=Z3066),#REF!),""))</f>
        <v/>
      </c>
      <c r="AC3066" t="str">
        <f>IF(Z3066="","",COUNTIF(#REF!,Z3066))</f>
        <v/>
      </c>
      <c r="AD3066" t="str">
        <f>IF(A3066="","",IF(AC3066&gt;1,"REVISAR DUPLICADO",IF(AA3066&lt;&gt;"","ACTUALIZADO POR EYR","SIN REPORTE EYR")))</f>
        <v/>
      </c>
    </row>
    <row r="3067" spans="11:30" x14ac:dyDescent="0.3">
      <c r="K3067" s="1" t="str">
        <f ca="1">IF(A3067="","",IF(OR(L3067="ENTREGADA",L3067="RETORNADA",L3067="ENTREGA DIGITAL"),0,MAX(0,5-NETWORKDAYS(H3067+1,TODAY()))))</f>
        <v/>
      </c>
      <c r="L3067" t="str">
        <f>IF(A3067="","",IFERROR(LOOKUP(2,1/(#REF!=Z3067),#REF!),Y3067))</f>
        <v/>
      </c>
      <c r="Z3067" t="str">
        <f>IF(A3067="","",TEXT(A3067,"0")&amp;"|"&amp;TEXT(H3067,"0"))</f>
        <v/>
      </c>
      <c r="AA3067" t="str">
        <f>IF(Z3067="","",IFERROR(LOOKUP(2,1/(#REF!=Z3067),#REF!),""))</f>
        <v/>
      </c>
      <c r="AB3067" t="str">
        <f>IF(Z3067="","",IFERROR(LOOKUP(2,1/(#REF!=Z3067),#REF!),""))</f>
        <v/>
      </c>
      <c r="AC3067" t="str">
        <f>IF(Z3067="","",COUNTIF(#REF!,Z3067))</f>
        <v/>
      </c>
      <c r="AD3067" t="str">
        <f>IF(A3067="","",IF(AC3067&gt;1,"REVISAR DUPLICADO",IF(AA3067&lt;&gt;"","ACTUALIZADO POR EYR","SIN REPORTE EYR")))</f>
        <v/>
      </c>
    </row>
    <row r="3068" spans="11:30" x14ac:dyDescent="0.3">
      <c r="K3068" s="1" t="str">
        <f ca="1">IF(A3068="","",IF(OR(L3068="ENTREGADA",L3068="RETORNADA",L3068="ENTREGA DIGITAL"),0,MAX(0,5-NETWORKDAYS(H3068+1,TODAY()))))</f>
        <v/>
      </c>
      <c r="L3068" t="str">
        <f>IF(A3068="","",IFERROR(LOOKUP(2,1/(#REF!=Z3068),#REF!),Y3068))</f>
        <v/>
      </c>
      <c r="Z3068" t="str">
        <f>IF(A3068="","",TEXT(A3068,"0")&amp;"|"&amp;TEXT(H3068,"0"))</f>
        <v/>
      </c>
      <c r="AA3068" t="str">
        <f>IF(Z3068="","",IFERROR(LOOKUP(2,1/(#REF!=Z3068),#REF!),""))</f>
        <v/>
      </c>
      <c r="AB3068" t="str">
        <f>IF(Z3068="","",IFERROR(LOOKUP(2,1/(#REF!=Z3068),#REF!),""))</f>
        <v/>
      </c>
      <c r="AC3068" t="str">
        <f>IF(Z3068="","",COUNTIF(#REF!,Z3068))</f>
        <v/>
      </c>
      <c r="AD3068" t="str">
        <f>IF(A3068="","",IF(AC3068&gt;1,"REVISAR DUPLICADO",IF(AA3068&lt;&gt;"","ACTUALIZADO POR EYR","SIN REPORTE EYR")))</f>
        <v/>
      </c>
    </row>
    <row r="3069" spans="11:30" x14ac:dyDescent="0.3">
      <c r="K3069" s="1" t="str">
        <f ca="1">IF(A3069="","",IF(OR(L3069="ENTREGADA",L3069="RETORNADA",L3069="ENTREGA DIGITAL"),0,MAX(0,5-NETWORKDAYS(H3069+1,TODAY()))))</f>
        <v/>
      </c>
      <c r="L3069" t="str">
        <f>IF(A3069="","",IFERROR(LOOKUP(2,1/(#REF!=Z3069),#REF!),Y3069))</f>
        <v/>
      </c>
      <c r="Z3069" t="str">
        <f>IF(A3069="","",TEXT(A3069,"0")&amp;"|"&amp;TEXT(H3069,"0"))</f>
        <v/>
      </c>
      <c r="AA3069" t="str">
        <f>IF(Z3069="","",IFERROR(LOOKUP(2,1/(#REF!=Z3069),#REF!),""))</f>
        <v/>
      </c>
      <c r="AB3069" t="str">
        <f>IF(Z3069="","",IFERROR(LOOKUP(2,1/(#REF!=Z3069),#REF!),""))</f>
        <v/>
      </c>
      <c r="AC3069" t="str">
        <f>IF(Z3069="","",COUNTIF(#REF!,Z3069))</f>
        <v/>
      </c>
      <c r="AD3069" t="str">
        <f>IF(A3069="","",IF(AC3069&gt;1,"REVISAR DUPLICADO",IF(AA3069&lt;&gt;"","ACTUALIZADO POR EYR","SIN REPORTE EYR")))</f>
        <v/>
      </c>
    </row>
    <row r="3070" spans="11:30" x14ac:dyDescent="0.3">
      <c r="K3070" s="1" t="str">
        <f ca="1">IF(A3070="","",IF(OR(L3070="ENTREGADA",L3070="RETORNADA",L3070="ENTREGA DIGITAL"),0,MAX(0,5-NETWORKDAYS(H3070+1,TODAY()))))</f>
        <v/>
      </c>
      <c r="L3070" t="str">
        <f>IF(A3070="","",IFERROR(LOOKUP(2,1/(#REF!=Z3070),#REF!),Y3070))</f>
        <v/>
      </c>
      <c r="Z3070" t="str">
        <f>IF(A3070="","",TEXT(A3070,"0")&amp;"|"&amp;TEXT(H3070,"0"))</f>
        <v/>
      </c>
      <c r="AA3070" t="str">
        <f>IF(Z3070="","",IFERROR(LOOKUP(2,1/(#REF!=Z3070),#REF!),""))</f>
        <v/>
      </c>
      <c r="AB3070" t="str">
        <f>IF(Z3070="","",IFERROR(LOOKUP(2,1/(#REF!=Z3070),#REF!),""))</f>
        <v/>
      </c>
      <c r="AC3070" t="str">
        <f>IF(Z3070="","",COUNTIF(#REF!,Z3070))</f>
        <v/>
      </c>
      <c r="AD3070" t="str">
        <f>IF(A3070="","",IF(AC3070&gt;1,"REVISAR DUPLICADO",IF(AA3070&lt;&gt;"","ACTUALIZADO POR EYR","SIN REPORTE EYR")))</f>
        <v/>
      </c>
    </row>
    <row r="3071" spans="11:30" x14ac:dyDescent="0.3">
      <c r="K3071" s="1" t="str">
        <f ca="1">IF(A3071="","",IF(OR(L3071="ENTREGADA",L3071="RETORNADA",L3071="ENTREGA DIGITAL"),0,MAX(0,5-NETWORKDAYS(H3071+1,TODAY()))))</f>
        <v/>
      </c>
      <c r="L3071" t="str">
        <f>IF(A3071="","",IFERROR(LOOKUP(2,1/(#REF!=Z3071),#REF!),Y3071))</f>
        <v/>
      </c>
      <c r="Z3071" t="str">
        <f>IF(A3071="","",TEXT(A3071,"0")&amp;"|"&amp;TEXT(H3071,"0"))</f>
        <v/>
      </c>
      <c r="AA3071" t="str">
        <f>IF(Z3071="","",IFERROR(LOOKUP(2,1/(#REF!=Z3071),#REF!),""))</f>
        <v/>
      </c>
      <c r="AB3071" t="str">
        <f>IF(Z3071="","",IFERROR(LOOKUP(2,1/(#REF!=Z3071),#REF!),""))</f>
        <v/>
      </c>
      <c r="AC3071" t="str">
        <f>IF(Z3071="","",COUNTIF(#REF!,Z3071))</f>
        <v/>
      </c>
      <c r="AD3071" t="str">
        <f>IF(A3071="","",IF(AC3071&gt;1,"REVISAR DUPLICADO",IF(AA3071&lt;&gt;"","ACTUALIZADO POR EYR","SIN REPORTE EYR")))</f>
        <v/>
      </c>
    </row>
    <row r="3072" spans="11:30" x14ac:dyDescent="0.3">
      <c r="K3072" s="1" t="str">
        <f ca="1">IF(A3072="","",IF(OR(L3072="ENTREGADA",L3072="RETORNADA",L3072="ENTREGA DIGITAL"),0,MAX(0,5-NETWORKDAYS(H3072+1,TODAY()))))</f>
        <v/>
      </c>
      <c r="L3072" t="str">
        <f>IF(A3072="","",IFERROR(LOOKUP(2,1/(#REF!=Z3072),#REF!),Y3072))</f>
        <v/>
      </c>
      <c r="Z3072" t="str">
        <f>IF(A3072="","",TEXT(A3072,"0")&amp;"|"&amp;TEXT(H3072,"0"))</f>
        <v/>
      </c>
      <c r="AA3072" t="str">
        <f>IF(Z3072="","",IFERROR(LOOKUP(2,1/(#REF!=Z3072),#REF!),""))</f>
        <v/>
      </c>
      <c r="AB3072" t="str">
        <f>IF(Z3072="","",IFERROR(LOOKUP(2,1/(#REF!=Z3072),#REF!),""))</f>
        <v/>
      </c>
      <c r="AC3072" t="str">
        <f>IF(Z3072="","",COUNTIF(#REF!,Z3072))</f>
        <v/>
      </c>
      <c r="AD3072" t="str">
        <f>IF(A3072="","",IF(AC3072&gt;1,"REVISAR DUPLICADO",IF(AA3072&lt;&gt;"","ACTUALIZADO POR EYR","SIN REPORTE EYR")))</f>
        <v/>
      </c>
    </row>
    <row r="3073" spans="11:30" x14ac:dyDescent="0.3">
      <c r="K3073" s="1" t="str">
        <f ca="1">IF(A3073="","",IF(OR(L3073="ENTREGADA",L3073="RETORNADA",L3073="ENTREGA DIGITAL"),0,MAX(0,5-NETWORKDAYS(H3073+1,TODAY()))))</f>
        <v/>
      </c>
      <c r="L3073" t="str">
        <f>IF(A3073="","",IFERROR(LOOKUP(2,1/(#REF!=Z3073),#REF!),Y3073))</f>
        <v/>
      </c>
      <c r="Z3073" t="str">
        <f>IF(A3073="","",TEXT(A3073,"0")&amp;"|"&amp;TEXT(H3073,"0"))</f>
        <v/>
      </c>
      <c r="AA3073" t="str">
        <f>IF(Z3073="","",IFERROR(LOOKUP(2,1/(#REF!=Z3073),#REF!),""))</f>
        <v/>
      </c>
      <c r="AB3073" t="str">
        <f>IF(Z3073="","",IFERROR(LOOKUP(2,1/(#REF!=Z3073),#REF!),""))</f>
        <v/>
      </c>
      <c r="AC3073" t="str">
        <f>IF(Z3073="","",COUNTIF(#REF!,Z3073))</f>
        <v/>
      </c>
      <c r="AD3073" t="str">
        <f>IF(A3073="","",IF(AC3073&gt;1,"REVISAR DUPLICADO",IF(AA3073&lt;&gt;"","ACTUALIZADO POR EYR","SIN REPORTE EYR")))</f>
        <v/>
      </c>
    </row>
    <row r="3074" spans="11:30" x14ac:dyDescent="0.3">
      <c r="K3074" s="1" t="str">
        <f ca="1">IF(A3074="","",IF(OR(L3074="ENTREGADA",L3074="RETORNADA",L3074="ENTREGA DIGITAL"),0,MAX(0,5-NETWORKDAYS(H3074+1,TODAY()))))</f>
        <v/>
      </c>
      <c r="L3074" t="str">
        <f>IF(A3074="","",IFERROR(LOOKUP(2,1/(#REF!=Z3074),#REF!),Y3074))</f>
        <v/>
      </c>
      <c r="Z3074" t="str">
        <f>IF(A3074="","",TEXT(A3074,"0")&amp;"|"&amp;TEXT(H3074,"0"))</f>
        <v/>
      </c>
      <c r="AA3074" t="str">
        <f>IF(Z3074="","",IFERROR(LOOKUP(2,1/(#REF!=Z3074),#REF!),""))</f>
        <v/>
      </c>
      <c r="AB3074" t="str">
        <f>IF(Z3074="","",IFERROR(LOOKUP(2,1/(#REF!=Z3074),#REF!),""))</f>
        <v/>
      </c>
      <c r="AC3074" t="str">
        <f>IF(Z3074="","",COUNTIF(#REF!,Z3074))</f>
        <v/>
      </c>
      <c r="AD3074" t="str">
        <f>IF(A3074="","",IF(AC3074&gt;1,"REVISAR DUPLICADO",IF(AA3074&lt;&gt;"","ACTUALIZADO POR EYR","SIN REPORTE EYR")))</f>
        <v/>
      </c>
    </row>
    <row r="3075" spans="11:30" x14ac:dyDescent="0.3">
      <c r="K3075" s="1" t="str">
        <f ca="1">IF(A3075="","",IF(OR(L3075="ENTREGADA",L3075="RETORNADA",L3075="ENTREGA DIGITAL"),0,MAX(0,5-NETWORKDAYS(H3075+1,TODAY()))))</f>
        <v/>
      </c>
      <c r="L3075" t="str">
        <f>IF(A3075="","",IFERROR(LOOKUP(2,1/(#REF!=Z3075),#REF!),Y3075))</f>
        <v/>
      </c>
      <c r="Z3075" t="str">
        <f>IF(A3075="","",TEXT(A3075,"0")&amp;"|"&amp;TEXT(H3075,"0"))</f>
        <v/>
      </c>
      <c r="AA3075" t="str">
        <f>IF(Z3075="","",IFERROR(LOOKUP(2,1/(#REF!=Z3075),#REF!),""))</f>
        <v/>
      </c>
      <c r="AB3075" t="str">
        <f>IF(Z3075="","",IFERROR(LOOKUP(2,1/(#REF!=Z3075),#REF!),""))</f>
        <v/>
      </c>
      <c r="AC3075" t="str">
        <f>IF(Z3075="","",COUNTIF(#REF!,Z3075))</f>
        <v/>
      </c>
      <c r="AD3075" t="str">
        <f>IF(A3075="","",IF(AC3075&gt;1,"REVISAR DUPLICADO",IF(AA3075&lt;&gt;"","ACTUALIZADO POR EYR","SIN REPORTE EYR")))</f>
        <v/>
      </c>
    </row>
    <row r="3076" spans="11:30" x14ac:dyDescent="0.3">
      <c r="K3076" s="1" t="str">
        <f ca="1">IF(A3076="","",IF(OR(L3076="ENTREGADA",L3076="RETORNADA",L3076="ENTREGA DIGITAL"),0,MAX(0,5-NETWORKDAYS(H3076+1,TODAY()))))</f>
        <v/>
      </c>
      <c r="L3076" t="str">
        <f>IF(A3076="","",IFERROR(LOOKUP(2,1/(#REF!=Z3076),#REF!),Y3076))</f>
        <v/>
      </c>
      <c r="Z3076" t="str">
        <f>IF(A3076="","",TEXT(A3076,"0")&amp;"|"&amp;TEXT(H3076,"0"))</f>
        <v/>
      </c>
      <c r="AA3076" t="str">
        <f>IF(Z3076="","",IFERROR(LOOKUP(2,1/(#REF!=Z3076),#REF!),""))</f>
        <v/>
      </c>
      <c r="AB3076" t="str">
        <f>IF(Z3076="","",IFERROR(LOOKUP(2,1/(#REF!=Z3076),#REF!),""))</f>
        <v/>
      </c>
      <c r="AC3076" t="str">
        <f>IF(Z3076="","",COUNTIF(#REF!,Z3076))</f>
        <v/>
      </c>
      <c r="AD3076" t="str">
        <f>IF(A3076="","",IF(AC3076&gt;1,"REVISAR DUPLICADO",IF(AA3076&lt;&gt;"","ACTUALIZADO POR EYR","SIN REPORTE EYR")))</f>
        <v/>
      </c>
    </row>
    <row r="3077" spans="11:30" x14ac:dyDescent="0.3">
      <c r="K3077" s="1" t="str">
        <f ca="1">IF(A3077="","",IF(OR(L3077="ENTREGADA",L3077="RETORNADA",L3077="ENTREGA DIGITAL"),0,MAX(0,5-NETWORKDAYS(H3077+1,TODAY()))))</f>
        <v/>
      </c>
      <c r="L3077" t="str">
        <f>IF(A3077="","",IFERROR(LOOKUP(2,1/(#REF!=Z3077),#REF!),Y3077))</f>
        <v/>
      </c>
      <c r="Z3077" t="str">
        <f>IF(A3077="","",TEXT(A3077,"0")&amp;"|"&amp;TEXT(H3077,"0"))</f>
        <v/>
      </c>
      <c r="AA3077" t="str">
        <f>IF(Z3077="","",IFERROR(LOOKUP(2,1/(#REF!=Z3077),#REF!),""))</f>
        <v/>
      </c>
      <c r="AB3077" t="str">
        <f>IF(Z3077="","",IFERROR(LOOKUP(2,1/(#REF!=Z3077),#REF!),""))</f>
        <v/>
      </c>
      <c r="AC3077" t="str">
        <f>IF(Z3077="","",COUNTIF(#REF!,Z3077))</f>
        <v/>
      </c>
      <c r="AD3077" t="str">
        <f>IF(A3077="","",IF(AC3077&gt;1,"REVISAR DUPLICADO",IF(AA3077&lt;&gt;"","ACTUALIZADO POR EYR","SIN REPORTE EYR")))</f>
        <v/>
      </c>
    </row>
    <row r="3078" spans="11:30" x14ac:dyDescent="0.3">
      <c r="K3078" s="1" t="str">
        <f ca="1">IF(A3078="","",IF(OR(L3078="ENTREGADA",L3078="RETORNADA",L3078="ENTREGA DIGITAL"),0,MAX(0,5-NETWORKDAYS(H3078+1,TODAY()))))</f>
        <v/>
      </c>
      <c r="L3078" t="str">
        <f>IF(A3078="","",IFERROR(LOOKUP(2,1/(#REF!=Z3078),#REF!),Y3078))</f>
        <v/>
      </c>
      <c r="Z3078" t="str">
        <f>IF(A3078="","",TEXT(A3078,"0")&amp;"|"&amp;TEXT(H3078,"0"))</f>
        <v/>
      </c>
      <c r="AA3078" t="str">
        <f>IF(Z3078="","",IFERROR(LOOKUP(2,1/(#REF!=Z3078),#REF!),""))</f>
        <v/>
      </c>
      <c r="AB3078" t="str">
        <f>IF(Z3078="","",IFERROR(LOOKUP(2,1/(#REF!=Z3078),#REF!),""))</f>
        <v/>
      </c>
      <c r="AC3078" t="str">
        <f>IF(Z3078="","",COUNTIF(#REF!,Z3078))</f>
        <v/>
      </c>
      <c r="AD3078" t="str">
        <f>IF(A3078="","",IF(AC3078&gt;1,"REVISAR DUPLICADO",IF(AA3078&lt;&gt;"","ACTUALIZADO POR EYR","SIN REPORTE EYR")))</f>
        <v/>
      </c>
    </row>
    <row r="3079" spans="11:30" x14ac:dyDescent="0.3">
      <c r="K3079" s="1" t="str">
        <f ca="1">IF(A3079="","",IF(OR(L3079="ENTREGADA",L3079="RETORNADA",L3079="ENTREGA DIGITAL"),0,MAX(0,5-NETWORKDAYS(H3079+1,TODAY()))))</f>
        <v/>
      </c>
      <c r="L3079" t="str">
        <f>IF(A3079="","",IFERROR(LOOKUP(2,1/(#REF!=Z3079),#REF!),Y3079))</f>
        <v/>
      </c>
      <c r="Z3079" t="str">
        <f>IF(A3079="","",TEXT(A3079,"0")&amp;"|"&amp;TEXT(H3079,"0"))</f>
        <v/>
      </c>
      <c r="AA3079" t="str">
        <f>IF(Z3079="","",IFERROR(LOOKUP(2,1/(#REF!=Z3079),#REF!),""))</f>
        <v/>
      </c>
      <c r="AB3079" t="str">
        <f>IF(Z3079="","",IFERROR(LOOKUP(2,1/(#REF!=Z3079),#REF!),""))</f>
        <v/>
      </c>
      <c r="AC3079" t="str">
        <f>IF(Z3079="","",COUNTIF(#REF!,Z3079))</f>
        <v/>
      </c>
      <c r="AD3079" t="str">
        <f>IF(A3079="","",IF(AC3079&gt;1,"REVISAR DUPLICADO",IF(AA3079&lt;&gt;"","ACTUALIZADO POR EYR","SIN REPORTE EYR")))</f>
        <v/>
      </c>
    </row>
    <row r="3080" spans="11:30" x14ac:dyDescent="0.3">
      <c r="K3080" s="1" t="str">
        <f ca="1">IF(A3080="","",IF(OR(L3080="ENTREGADA",L3080="RETORNADA",L3080="ENTREGA DIGITAL"),0,MAX(0,5-NETWORKDAYS(H3080+1,TODAY()))))</f>
        <v/>
      </c>
      <c r="L3080" t="str">
        <f>IF(A3080="","",IFERROR(LOOKUP(2,1/(#REF!=Z3080),#REF!),Y3080))</f>
        <v/>
      </c>
      <c r="Z3080" t="str">
        <f>IF(A3080="","",TEXT(A3080,"0")&amp;"|"&amp;TEXT(H3080,"0"))</f>
        <v/>
      </c>
      <c r="AA3080" t="str">
        <f>IF(Z3080="","",IFERROR(LOOKUP(2,1/(#REF!=Z3080),#REF!),""))</f>
        <v/>
      </c>
      <c r="AB3080" t="str">
        <f>IF(Z3080="","",IFERROR(LOOKUP(2,1/(#REF!=Z3080),#REF!),""))</f>
        <v/>
      </c>
      <c r="AC3080" t="str">
        <f>IF(Z3080="","",COUNTIF(#REF!,Z3080))</f>
        <v/>
      </c>
      <c r="AD3080" t="str">
        <f>IF(A3080="","",IF(AC3080&gt;1,"REVISAR DUPLICADO",IF(AA3080&lt;&gt;"","ACTUALIZADO POR EYR","SIN REPORTE EYR")))</f>
        <v/>
      </c>
    </row>
    <row r="3081" spans="11:30" x14ac:dyDescent="0.3">
      <c r="K3081" s="1" t="str">
        <f ca="1">IF(A3081="","",IF(OR(L3081="ENTREGADA",L3081="RETORNADA",L3081="ENTREGA DIGITAL"),0,MAX(0,5-NETWORKDAYS(H3081+1,TODAY()))))</f>
        <v/>
      </c>
      <c r="L3081" t="str">
        <f>IF(A3081="","",IFERROR(LOOKUP(2,1/(#REF!=Z3081),#REF!),Y3081))</f>
        <v/>
      </c>
      <c r="Z3081" t="str">
        <f>IF(A3081="","",TEXT(A3081,"0")&amp;"|"&amp;TEXT(H3081,"0"))</f>
        <v/>
      </c>
      <c r="AA3081" t="str">
        <f>IF(Z3081="","",IFERROR(LOOKUP(2,1/(#REF!=Z3081),#REF!),""))</f>
        <v/>
      </c>
      <c r="AB3081" t="str">
        <f>IF(Z3081="","",IFERROR(LOOKUP(2,1/(#REF!=Z3081),#REF!),""))</f>
        <v/>
      </c>
      <c r="AC3081" t="str">
        <f>IF(Z3081="","",COUNTIF(#REF!,Z3081))</f>
        <v/>
      </c>
      <c r="AD3081" t="str">
        <f>IF(A3081="","",IF(AC3081&gt;1,"REVISAR DUPLICADO",IF(AA3081&lt;&gt;"","ACTUALIZADO POR EYR","SIN REPORTE EYR")))</f>
        <v/>
      </c>
    </row>
    <row r="3082" spans="11:30" x14ac:dyDescent="0.3">
      <c r="K3082" s="1" t="str">
        <f ca="1">IF(A3082="","",IF(OR(L3082="ENTREGADA",L3082="RETORNADA",L3082="ENTREGA DIGITAL"),0,MAX(0,5-NETWORKDAYS(H3082+1,TODAY()))))</f>
        <v/>
      </c>
      <c r="L3082" t="str">
        <f>IF(A3082="","",IFERROR(LOOKUP(2,1/(#REF!=Z3082),#REF!),Y3082))</f>
        <v/>
      </c>
      <c r="Z3082" t="str">
        <f>IF(A3082="","",TEXT(A3082,"0")&amp;"|"&amp;TEXT(H3082,"0"))</f>
        <v/>
      </c>
      <c r="AA3082" t="str">
        <f>IF(Z3082="","",IFERROR(LOOKUP(2,1/(#REF!=Z3082),#REF!),""))</f>
        <v/>
      </c>
      <c r="AB3082" t="str">
        <f>IF(Z3082="","",IFERROR(LOOKUP(2,1/(#REF!=Z3082),#REF!),""))</f>
        <v/>
      </c>
      <c r="AC3082" t="str">
        <f>IF(Z3082="","",COUNTIF(#REF!,Z3082))</f>
        <v/>
      </c>
      <c r="AD3082" t="str">
        <f>IF(A3082="","",IF(AC3082&gt;1,"REVISAR DUPLICADO",IF(AA3082&lt;&gt;"","ACTUALIZADO POR EYR","SIN REPORTE EYR")))</f>
        <v/>
      </c>
    </row>
    <row r="3083" spans="11:30" x14ac:dyDescent="0.3">
      <c r="K3083" s="1" t="str">
        <f ca="1">IF(A3083="","",IF(OR(L3083="ENTREGADA",L3083="RETORNADA",L3083="ENTREGA DIGITAL"),0,MAX(0,5-NETWORKDAYS(H3083+1,TODAY()))))</f>
        <v/>
      </c>
      <c r="L3083" t="str">
        <f>IF(A3083="","",IFERROR(LOOKUP(2,1/(#REF!=Z3083),#REF!),Y3083))</f>
        <v/>
      </c>
      <c r="Z3083" t="str">
        <f>IF(A3083="","",TEXT(A3083,"0")&amp;"|"&amp;TEXT(H3083,"0"))</f>
        <v/>
      </c>
      <c r="AA3083" t="str">
        <f>IF(Z3083="","",IFERROR(LOOKUP(2,1/(#REF!=Z3083),#REF!),""))</f>
        <v/>
      </c>
      <c r="AB3083" t="str">
        <f>IF(Z3083="","",IFERROR(LOOKUP(2,1/(#REF!=Z3083),#REF!),""))</f>
        <v/>
      </c>
      <c r="AC3083" t="str">
        <f>IF(Z3083="","",COUNTIF(#REF!,Z3083))</f>
        <v/>
      </c>
      <c r="AD3083" t="str">
        <f>IF(A3083="","",IF(AC3083&gt;1,"REVISAR DUPLICADO",IF(AA3083&lt;&gt;"","ACTUALIZADO POR EYR","SIN REPORTE EYR")))</f>
        <v/>
      </c>
    </row>
    <row r="3084" spans="11:30" x14ac:dyDescent="0.3">
      <c r="K3084" s="1" t="str">
        <f ca="1">IF(A3084="","",IF(OR(L3084="ENTREGADA",L3084="RETORNADA",L3084="ENTREGA DIGITAL"),0,MAX(0,5-NETWORKDAYS(H3084+1,TODAY()))))</f>
        <v/>
      </c>
      <c r="L3084" t="str">
        <f>IF(A3084="","",IFERROR(LOOKUP(2,1/(#REF!=Z3084),#REF!),Y3084))</f>
        <v/>
      </c>
      <c r="Z3084" t="str">
        <f>IF(A3084="","",TEXT(A3084,"0")&amp;"|"&amp;TEXT(H3084,"0"))</f>
        <v/>
      </c>
      <c r="AA3084" t="str">
        <f>IF(Z3084="","",IFERROR(LOOKUP(2,1/(#REF!=Z3084),#REF!),""))</f>
        <v/>
      </c>
      <c r="AB3084" t="str">
        <f>IF(Z3084="","",IFERROR(LOOKUP(2,1/(#REF!=Z3084),#REF!),""))</f>
        <v/>
      </c>
      <c r="AC3084" t="str">
        <f>IF(Z3084="","",COUNTIF(#REF!,Z3084))</f>
        <v/>
      </c>
      <c r="AD3084" t="str">
        <f>IF(A3084="","",IF(AC3084&gt;1,"REVISAR DUPLICADO",IF(AA3084&lt;&gt;"","ACTUALIZADO POR EYR","SIN REPORTE EYR")))</f>
        <v/>
      </c>
    </row>
    <row r="3085" spans="11:30" x14ac:dyDescent="0.3">
      <c r="K3085" s="1" t="str">
        <f ca="1">IF(A3085="","",IF(OR(L3085="ENTREGADA",L3085="RETORNADA",L3085="ENTREGA DIGITAL"),0,MAX(0,5-NETWORKDAYS(H3085+1,TODAY()))))</f>
        <v/>
      </c>
      <c r="L3085" t="str">
        <f>IF(A3085="","",IFERROR(LOOKUP(2,1/(#REF!=Z3085),#REF!),Y3085))</f>
        <v/>
      </c>
      <c r="Z3085" t="str">
        <f>IF(A3085="","",TEXT(A3085,"0")&amp;"|"&amp;TEXT(H3085,"0"))</f>
        <v/>
      </c>
      <c r="AA3085" t="str">
        <f>IF(Z3085="","",IFERROR(LOOKUP(2,1/(#REF!=Z3085),#REF!),""))</f>
        <v/>
      </c>
      <c r="AB3085" t="str">
        <f>IF(Z3085="","",IFERROR(LOOKUP(2,1/(#REF!=Z3085),#REF!),""))</f>
        <v/>
      </c>
      <c r="AC3085" t="str">
        <f>IF(Z3085="","",COUNTIF(#REF!,Z3085))</f>
        <v/>
      </c>
      <c r="AD3085" t="str">
        <f>IF(A3085="","",IF(AC3085&gt;1,"REVISAR DUPLICADO",IF(AA3085&lt;&gt;"","ACTUALIZADO POR EYR","SIN REPORTE EYR")))</f>
        <v/>
      </c>
    </row>
    <row r="3086" spans="11:30" x14ac:dyDescent="0.3">
      <c r="K3086" s="1" t="str">
        <f ca="1">IF(A3086="","",IF(OR(L3086="ENTREGADA",L3086="RETORNADA",L3086="ENTREGA DIGITAL"),0,MAX(0,5-NETWORKDAYS(H3086+1,TODAY()))))</f>
        <v/>
      </c>
      <c r="L3086" t="str">
        <f>IF(A3086="","",IFERROR(LOOKUP(2,1/(#REF!=Z3086),#REF!),Y3086))</f>
        <v/>
      </c>
      <c r="Z3086" t="str">
        <f>IF(A3086="","",TEXT(A3086,"0")&amp;"|"&amp;TEXT(H3086,"0"))</f>
        <v/>
      </c>
      <c r="AA3086" t="str">
        <f>IF(Z3086="","",IFERROR(LOOKUP(2,1/(#REF!=Z3086),#REF!),""))</f>
        <v/>
      </c>
      <c r="AB3086" t="str">
        <f>IF(Z3086="","",IFERROR(LOOKUP(2,1/(#REF!=Z3086),#REF!),""))</f>
        <v/>
      </c>
      <c r="AC3086" t="str">
        <f>IF(Z3086="","",COUNTIF(#REF!,Z3086))</f>
        <v/>
      </c>
      <c r="AD3086" t="str">
        <f>IF(A3086="","",IF(AC3086&gt;1,"REVISAR DUPLICADO",IF(AA3086&lt;&gt;"","ACTUALIZADO POR EYR","SIN REPORTE EYR")))</f>
        <v/>
      </c>
    </row>
    <row r="3087" spans="11:30" x14ac:dyDescent="0.3">
      <c r="K3087" s="1" t="str">
        <f ca="1">IF(A3087="","",IF(OR(L3087="ENTREGADA",L3087="RETORNADA",L3087="ENTREGA DIGITAL"),0,MAX(0,5-NETWORKDAYS(H3087+1,TODAY()))))</f>
        <v/>
      </c>
      <c r="L3087" t="str">
        <f>IF(A3087="","",IFERROR(LOOKUP(2,1/(#REF!=Z3087),#REF!),Y3087))</f>
        <v/>
      </c>
      <c r="Z3087" t="str">
        <f>IF(A3087="","",TEXT(A3087,"0")&amp;"|"&amp;TEXT(H3087,"0"))</f>
        <v/>
      </c>
      <c r="AA3087" t="str">
        <f>IF(Z3087="","",IFERROR(LOOKUP(2,1/(#REF!=Z3087),#REF!),""))</f>
        <v/>
      </c>
      <c r="AB3087" t="str">
        <f>IF(Z3087="","",IFERROR(LOOKUP(2,1/(#REF!=Z3087),#REF!),""))</f>
        <v/>
      </c>
      <c r="AC3087" t="str">
        <f>IF(Z3087="","",COUNTIF(#REF!,Z3087))</f>
        <v/>
      </c>
      <c r="AD3087" t="str">
        <f>IF(A3087="","",IF(AC3087&gt;1,"REVISAR DUPLICADO",IF(AA3087&lt;&gt;"","ACTUALIZADO POR EYR","SIN REPORTE EYR")))</f>
        <v/>
      </c>
    </row>
    <row r="3088" spans="11:30" x14ac:dyDescent="0.3">
      <c r="K3088" s="1" t="str">
        <f ca="1">IF(A3088="","",IF(OR(L3088="ENTREGADA",L3088="RETORNADA",L3088="ENTREGA DIGITAL"),0,MAX(0,5-NETWORKDAYS(H3088+1,TODAY()))))</f>
        <v/>
      </c>
      <c r="L3088" t="str">
        <f>IF(A3088="","",IFERROR(LOOKUP(2,1/(#REF!=Z3088),#REF!),Y3088))</f>
        <v/>
      </c>
      <c r="Z3088" t="str">
        <f>IF(A3088="","",TEXT(A3088,"0")&amp;"|"&amp;TEXT(H3088,"0"))</f>
        <v/>
      </c>
      <c r="AA3088" t="str">
        <f>IF(Z3088="","",IFERROR(LOOKUP(2,1/(#REF!=Z3088),#REF!),""))</f>
        <v/>
      </c>
      <c r="AB3088" t="str">
        <f>IF(Z3088="","",IFERROR(LOOKUP(2,1/(#REF!=Z3088),#REF!),""))</f>
        <v/>
      </c>
      <c r="AC3088" t="str">
        <f>IF(Z3088="","",COUNTIF(#REF!,Z3088))</f>
        <v/>
      </c>
      <c r="AD3088" t="str">
        <f>IF(A3088="","",IF(AC3088&gt;1,"REVISAR DUPLICADO",IF(AA3088&lt;&gt;"","ACTUALIZADO POR EYR","SIN REPORTE EYR")))</f>
        <v/>
      </c>
    </row>
    <row r="3089" spans="11:30" x14ac:dyDescent="0.3">
      <c r="K3089" s="1" t="str">
        <f ca="1">IF(A3089="","",IF(OR(L3089="ENTREGADA",L3089="RETORNADA",L3089="ENTREGA DIGITAL"),0,MAX(0,5-NETWORKDAYS(H3089+1,TODAY()))))</f>
        <v/>
      </c>
      <c r="L3089" t="str">
        <f>IF(A3089="","",IFERROR(LOOKUP(2,1/(#REF!=Z3089),#REF!),Y3089))</f>
        <v/>
      </c>
      <c r="Z3089" t="str">
        <f>IF(A3089="","",TEXT(A3089,"0")&amp;"|"&amp;TEXT(H3089,"0"))</f>
        <v/>
      </c>
      <c r="AA3089" t="str">
        <f>IF(Z3089="","",IFERROR(LOOKUP(2,1/(#REF!=Z3089),#REF!),""))</f>
        <v/>
      </c>
      <c r="AB3089" t="str">
        <f>IF(Z3089="","",IFERROR(LOOKUP(2,1/(#REF!=Z3089),#REF!),""))</f>
        <v/>
      </c>
      <c r="AC3089" t="str">
        <f>IF(Z3089="","",COUNTIF(#REF!,Z3089))</f>
        <v/>
      </c>
      <c r="AD3089" t="str">
        <f>IF(A3089="","",IF(AC3089&gt;1,"REVISAR DUPLICADO",IF(AA3089&lt;&gt;"","ACTUALIZADO POR EYR","SIN REPORTE EYR")))</f>
        <v/>
      </c>
    </row>
    <row r="3090" spans="11:30" x14ac:dyDescent="0.3">
      <c r="K3090" s="1" t="str">
        <f ca="1">IF(A3090="","",IF(OR(L3090="ENTREGADA",L3090="RETORNADA",L3090="ENTREGA DIGITAL"),0,MAX(0,5-NETWORKDAYS(H3090+1,TODAY()))))</f>
        <v/>
      </c>
      <c r="L3090" t="str">
        <f>IF(A3090="","",IFERROR(LOOKUP(2,1/(#REF!=Z3090),#REF!),Y3090))</f>
        <v/>
      </c>
      <c r="Z3090" t="str">
        <f>IF(A3090="","",TEXT(A3090,"0")&amp;"|"&amp;TEXT(H3090,"0"))</f>
        <v/>
      </c>
      <c r="AA3090" t="str">
        <f>IF(Z3090="","",IFERROR(LOOKUP(2,1/(#REF!=Z3090),#REF!),""))</f>
        <v/>
      </c>
      <c r="AB3090" t="str">
        <f>IF(Z3090="","",IFERROR(LOOKUP(2,1/(#REF!=Z3090),#REF!),""))</f>
        <v/>
      </c>
      <c r="AC3090" t="str">
        <f>IF(Z3090="","",COUNTIF(#REF!,Z3090))</f>
        <v/>
      </c>
      <c r="AD3090" t="str">
        <f>IF(A3090="","",IF(AC3090&gt;1,"REVISAR DUPLICADO",IF(AA3090&lt;&gt;"","ACTUALIZADO POR EYR","SIN REPORTE EYR")))</f>
        <v/>
      </c>
    </row>
    <row r="3091" spans="11:30" x14ac:dyDescent="0.3">
      <c r="K3091" s="1" t="str">
        <f ca="1">IF(A3091="","",IF(OR(L3091="ENTREGADA",L3091="RETORNADA",L3091="ENTREGA DIGITAL"),0,MAX(0,5-NETWORKDAYS(H3091+1,TODAY()))))</f>
        <v/>
      </c>
      <c r="L3091" t="str">
        <f>IF(A3091="","",IFERROR(LOOKUP(2,1/(#REF!=Z3091),#REF!),Y3091))</f>
        <v/>
      </c>
      <c r="Z3091" t="str">
        <f>IF(A3091="","",TEXT(A3091,"0")&amp;"|"&amp;TEXT(H3091,"0"))</f>
        <v/>
      </c>
      <c r="AA3091" t="str">
        <f>IF(Z3091="","",IFERROR(LOOKUP(2,1/(#REF!=Z3091),#REF!),""))</f>
        <v/>
      </c>
      <c r="AB3091" t="str">
        <f>IF(Z3091="","",IFERROR(LOOKUP(2,1/(#REF!=Z3091),#REF!),""))</f>
        <v/>
      </c>
      <c r="AC3091" t="str">
        <f>IF(Z3091="","",COUNTIF(#REF!,Z3091))</f>
        <v/>
      </c>
      <c r="AD3091" t="str">
        <f>IF(A3091="","",IF(AC3091&gt;1,"REVISAR DUPLICADO",IF(AA3091&lt;&gt;"","ACTUALIZADO POR EYR","SIN REPORTE EYR")))</f>
        <v/>
      </c>
    </row>
    <row r="3092" spans="11:30" x14ac:dyDescent="0.3">
      <c r="K3092" s="1" t="str">
        <f ca="1">IF(A3092="","",IF(OR(L3092="ENTREGADA",L3092="RETORNADA",L3092="ENTREGA DIGITAL"),0,MAX(0,5-NETWORKDAYS(H3092+1,TODAY()))))</f>
        <v/>
      </c>
      <c r="L3092" t="str">
        <f>IF(A3092="","",IFERROR(LOOKUP(2,1/(#REF!=Z3092),#REF!),Y3092))</f>
        <v/>
      </c>
      <c r="Z3092" t="str">
        <f>IF(A3092="","",TEXT(A3092,"0")&amp;"|"&amp;TEXT(H3092,"0"))</f>
        <v/>
      </c>
      <c r="AA3092" t="str">
        <f>IF(Z3092="","",IFERROR(LOOKUP(2,1/(#REF!=Z3092),#REF!),""))</f>
        <v/>
      </c>
      <c r="AB3092" t="str">
        <f>IF(Z3092="","",IFERROR(LOOKUP(2,1/(#REF!=Z3092),#REF!),""))</f>
        <v/>
      </c>
      <c r="AC3092" t="str">
        <f>IF(Z3092="","",COUNTIF(#REF!,Z3092))</f>
        <v/>
      </c>
      <c r="AD3092" t="str">
        <f>IF(A3092="","",IF(AC3092&gt;1,"REVISAR DUPLICADO",IF(AA3092&lt;&gt;"","ACTUALIZADO POR EYR","SIN REPORTE EYR")))</f>
        <v/>
      </c>
    </row>
    <row r="3093" spans="11:30" x14ac:dyDescent="0.3">
      <c r="K3093" s="1" t="str">
        <f ca="1">IF(A3093="","",IF(OR(L3093="ENTREGADA",L3093="RETORNADA",L3093="ENTREGA DIGITAL"),0,MAX(0,5-NETWORKDAYS(H3093+1,TODAY()))))</f>
        <v/>
      </c>
      <c r="L3093" t="str">
        <f>IF(A3093="","",IFERROR(LOOKUP(2,1/(#REF!=Z3093),#REF!),Y3093))</f>
        <v/>
      </c>
      <c r="Z3093" t="str">
        <f>IF(A3093="","",TEXT(A3093,"0")&amp;"|"&amp;TEXT(H3093,"0"))</f>
        <v/>
      </c>
      <c r="AA3093" t="str">
        <f>IF(Z3093="","",IFERROR(LOOKUP(2,1/(#REF!=Z3093),#REF!),""))</f>
        <v/>
      </c>
      <c r="AB3093" t="str">
        <f>IF(Z3093="","",IFERROR(LOOKUP(2,1/(#REF!=Z3093),#REF!),""))</f>
        <v/>
      </c>
      <c r="AC3093" t="str">
        <f>IF(Z3093="","",COUNTIF(#REF!,Z3093))</f>
        <v/>
      </c>
      <c r="AD3093" t="str">
        <f>IF(A3093="","",IF(AC3093&gt;1,"REVISAR DUPLICADO",IF(AA3093&lt;&gt;"","ACTUALIZADO POR EYR","SIN REPORTE EYR")))</f>
        <v/>
      </c>
    </row>
    <row r="3094" spans="11:30" x14ac:dyDescent="0.3">
      <c r="K3094" s="1" t="str">
        <f ca="1">IF(A3094="","",IF(OR(L3094="ENTREGADA",L3094="RETORNADA",L3094="ENTREGA DIGITAL"),0,MAX(0,5-NETWORKDAYS(H3094+1,TODAY()))))</f>
        <v/>
      </c>
      <c r="L3094" t="str">
        <f>IF(A3094="","",IFERROR(LOOKUP(2,1/(#REF!=Z3094),#REF!),Y3094))</f>
        <v/>
      </c>
      <c r="Z3094" t="str">
        <f>IF(A3094="","",TEXT(A3094,"0")&amp;"|"&amp;TEXT(H3094,"0"))</f>
        <v/>
      </c>
      <c r="AA3094" t="str">
        <f>IF(Z3094="","",IFERROR(LOOKUP(2,1/(#REF!=Z3094),#REF!),""))</f>
        <v/>
      </c>
      <c r="AB3094" t="str">
        <f>IF(Z3094="","",IFERROR(LOOKUP(2,1/(#REF!=Z3094),#REF!),""))</f>
        <v/>
      </c>
      <c r="AC3094" t="str">
        <f>IF(Z3094="","",COUNTIF(#REF!,Z3094))</f>
        <v/>
      </c>
      <c r="AD3094" t="str">
        <f>IF(A3094="","",IF(AC3094&gt;1,"REVISAR DUPLICADO",IF(AA3094&lt;&gt;"","ACTUALIZADO POR EYR","SIN REPORTE EYR")))</f>
        <v/>
      </c>
    </row>
    <row r="3095" spans="11:30" x14ac:dyDescent="0.3">
      <c r="K3095" s="1" t="str">
        <f ca="1">IF(A3095="","",IF(OR(L3095="ENTREGADA",L3095="RETORNADA",L3095="ENTREGA DIGITAL"),0,MAX(0,5-NETWORKDAYS(H3095+1,TODAY()))))</f>
        <v/>
      </c>
      <c r="L3095" t="str">
        <f>IF(A3095="","",IFERROR(LOOKUP(2,1/(#REF!=Z3095),#REF!),Y3095))</f>
        <v/>
      </c>
      <c r="Z3095" t="str">
        <f>IF(A3095="","",TEXT(A3095,"0")&amp;"|"&amp;TEXT(H3095,"0"))</f>
        <v/>
      </c>
      <c r="AA3095" t="str">
        <f>IF(Z3095="","",IFERROR(LOOKUP(2,1/(#REF!=Z3095),#REF!),""))</f>
        <v/>
      </c>
      <c r="AB3095" t="str">
        <f>IF(Z3095="","",IFERROR(LOOKUP(2,1/(#REF!=Z3095),#REF!),""))</f>
        <v/>
      </c>
      <c r="AC3095" t="str">
        <f>IF(Z3095="","",COUNTIF(#REF!,Z3095))</f>
        <v/>
      </c>
      <c r="AD3095" t="str">
        <f>IF(A3095="","",IF(AC3095&gt;1,"REVISAR DUPLICADO",IF(AA3095&lt;&gt;"","ACTUALIZADO POR EYR","SIN REPORTE EYR")))</f>
        <v/>
      </c>
    </row>
    <row r="3096" spans="11:30" x14ac:dyDescent="0.3">
      <c r="K3096" s="1" t="str">
        <f ca="1">IF(A3096="","",IF(OR(L3096="ENTREGADA",L3096="RETORNADA",L3096="ENTREGA DIGITAL"),0,MAX(0,5-NETWORKDAYS(H3096+1,TODAY()))))</f>
        <v/>
      </c>
      <c r="L3096" t="str">
        <f>IF(A3096="","",IFERROR(LOOKUP(2,1/(#REF!=Z3096),#REF!),Y3096))</f>
        <v/>
      </c>
      <c r="Z3096" t="str">
        <f>IF(A3096="","",TEXT(A3096,"0")&amp;"|"&amp;TEXT(H3096,"0"))</f>
        <v/>
      </c>
      <c r="AA3096" t="str">
        <f>IF(Z3096="","",IFERROR(LOOKUP(2,1/(#REF!=Z3096),#REF!),""))</f>
        <v/>
      </c>
      <c r="AB3096" t="str">
        <f>IF(Z3096="","",IFERROR(LOOKUP(2,1/(#REF!=Z3096),#REF!),""))</f>
        <v/>
      </c>
      <c r="AC3096" t="str">
        <f>IF(Z3096="","",COUNTIF(#REF!,Z3096))</f>
        <v/>
      </c>
      <c r="AD3096" t="str">
        <f>IF(A3096="","",IF(AC3096&gt;1,"REVISAR DUPLICADO",IF(AA3096&lt;&gt;"","ACTUALIZADO POR EYR","SIN REPORTE EYR")))</f>
        <v/>
      </c>
    </row>
    <row r="3097" spans="11:30" x14ac:dyDescent="0.3">
      <c r="K3097" s="1" t="str">
        <f ca="1">IF(A3097="","",IF(OR(L3097="ENTREGADA",L3097="RETORNADA",L3097="ENTREGA DIGITAL"),0,MAX(0,5-NETWORKDAYS(H3097+1,TODAY()))))</f>
        <v/>
      </c>
      <c r="L3097" t="str">
        <f>IF(A3097="","",IFERROR(LOOKUP(2,1/(#REF!=Z3097),#REF!),Y3097))</f>
        <v/>
      </c>
      <c r="Z3097" t="str">
        <f>IF(A3097="","",TEXT(A3097,"0")&amp;"|"&amp;TEXT(H3097,"0"))</f>
        <v/>
      </c>
      <c r="AA3097" t="str">
        <f>IF(Z3097="","",IFERROR(LOOKUP(2,1/(#REF!=Z3097),#REF!),""))</f>
        <v/>
      </c>
      <c r="AB3097" t="str">
        <f>IF(Z3097="","",IFERROR(LOOKUP(2,1/(#REF!=Z3097),#REF!),""))</f>
        <v/>
      </c>
      <c r="AC3097" t="str">
        <f>IF(Z3097="","",COUNTIF(#REF!,Z3097))</f>
        <v/>
      </c>
      <c r="AD3097" t="str">
        <f>IF(A3097="","",IF(AC3097&gt;1,"REVISAR DUPLICADO",IF(AA3097&lt;&gt;"","ACTUALIZADO POR EYR","SIN REPORTE EYR")))</f>
        <v/>
      </c>
    </row>
    <row r="3098" spans="11:30" x14ac:dyDescent="0.3">
      <c r="K3098" s="1" t="str">
        <f ca="1">IF(A3098="","",IF(OR(L3098="ENTREGADA",L3098="RETORNADA",L3098="ENTREGA DIGITAL"),0,MAX(0,5-NETWORKDAYS(H3098+1,TODAY()))))</f>
        <v/>
      </c>
      <c r="L3098" t="str">
        <f>IF(A3098="","",IFERROR(LOOKUP(2,1/(#REF!=Z3098),#REF!),Y3098))</f>
        <v/>
      </c>
      <c r="Z3098" t="str">
        <f>IF(A3098="","",TEXT(A3098,"0")&amp;"|"&amp;TEXT(H3098,"0"))</f>
        <v/>
      </c>
      <c r="AA3098" t="str">
        <f>IF(Z3098="","",IFERROR(LOOKUP(2,1/(#REF!=Z3098),#REF!),""))</f>
        <v/>
      </c>
      <c r="AB3098" t="str">
        <f>IF(Z3098="","",IFERROR(LOOKUP(2,1/(#REF!=Z3098),#REF!),""))</f>
        <v/>
      </c>
      <c r="AC3098" t="str">
        <f>IF(Z3098="","",COUNTIF(#REF!,Z3098))</f>
        <v/>
      </c>
      <c r="AD3098" t="str">
        <f>IF(A3098="","",IF(AC3098&gt;1,"REVISAR DUPLICADO",IF(AA3098&lt;&gt;"","ACTUALIZADO POR EYR","SIN REPORTE EYR")))</f>
        <v/>
      </c>
    </row>
    <row r="3099" spans="11:30" x14ac:dyDescent="0.3">
      <c r="K3099" s="1" t="str">
        <f ca="1">IF(A3099="","",IF(OR(L3099="ENTREGADA",L3099="RETORNADA",L3099="ENTREGA DIGITAL"),0,MAX(0,5-NETWORKDAYS(H3099+1,TODAY()))))</f>
        <v/>
      </c>
      <c r="L3099" t="str">
        <f>IF(A3099="","",IFERROR(LOOKUP(2,1/(#REF!=Z3099),#REF!),Y3099))</f>
        <v/>
      </c>
      <c r="Z3099" t="str">
        <f>IF(A3099="","",TEXT(A3099,"0")&amp;"|"&amp;TEXT(H3099,"0"))</f>
        <v/>
      </c>
      <c r="AA3099" t="str">
        <f>IF(Z3099="","",IFERROR(LOOKUP(2,1/(#REF!=Z3099),#REF!),""))</f>
        <v/>
      </c>
      <c r="AB3099" t="str">
        <f>IF(Z3099="","",IFERROR(LOOKUP(2,1/(#REF!=Z3099),#REF!),""))</f>
        <v/>
      </c>
      <c r="AC3099" t="str">
        <f>IF(Z3099="","",COUNTIF(#REF!,Z3099))</f>
        <v/>
      </c>
      <c r="AD3099" t="str">
        <f>IF(A3099="","",IF(AC3099&gt;1,"REVISAR DUPLICADO",IF(AA3099&lt;&gt;"","ACTUALIZADO POR EYR","SIN REPORTE EYR")))</f>
        <v/>
      </c>
    </row>
    <row r="3100" spans="11:30" x14ac:dyDescent="0.3">
      <c r="K3100" s="1" t="str">
        <f ca="1">IF(A3100="","",IF(OR(L3100="ENTREGADA",L3100="RETORNADA",L3100="ENTREGA DIGITAL"),0,MAX(0,5-NETWORKDAYS(H3100+1,TODAY()))))</f>
        <v/>
      </c>
      <c r="L3100" t="str">
        <f>IF(A3100="","",IFERROR(LOOKUP(2,1/(#REF!=Z3100),#REF!),Y3100))</f>
        <v/>
      </c>
      <c r="Z3100" t="str">
        <f>IF(A3100="","",TEXT(A3100,"0")&amp;"|"&amp;TEXT(H3100,"0"))</f>
        <v/>
      </c>
      <c r="AA3100" t="str">
        <f>IF(Z3100="","",IFERROR(LOOKUP(2,1/(#REF!=Z3100),#REF!),""))</f>
        <v/>
      </c>
      <c r="AB3100" t="str">
        <f>IF(Z3100="","",IFERROR(LOOKUP(2,1/(#REF!=Z3100),#REF!),""))</f>
        <v/>
      </c>
      <c r="AC3100" t="str">
        <f>IF(Z3100="","",COUNTIF(#REF!,Z3100))</f>
        <v/>
      </c>
      <c r="AD3100" t="str">
        <f>IF(A3100="","",IF(AC3100&gt;1,"REVISAR DUPLICADO",IF(AA3100&lt;&gt;"","ACTUALIZADO POR EYR","SIN REPORTE EYR")))</f>
        <v/>
      </c>
    </row>
    <row r="3101" spans="11:30" x14ac:dyDescent="0.3">
      <c r="K3101" s="1" t="str">
        <f ca="1">IF(A3101="","",IF(OR(L3101="ENTREGADA",L3101="RETORNADA",L3101="ENTREGA DIGITAL"),0,MAX(0,5-NETWORKDAYS(H3101+1,TODAY()))))</f>
        <v/>
      </c>
      <c r="L3101" t="str">
        <f>IF(A3101="","",IFERROR(LOOKUP(2,1/(#REF!=Z3101),#REF!),Y3101))</f>
        <v/>
      </c>
      <c r="Z3101" t="str">
        <f>IF(A3101="","",TEXT(A3101,"0")&amp;"|"&amp;TEXT(H3101,"0"))</f>
        <v/>
      </c>
      <c r="AA3101" t="str">
        <f>IF(Z3101="","",IFERROR(LOOKUP(2,1/(#REF!=Z3101),#REF!),""))</f>
        <v/>
      </c>
      <c r="AB3101" t="str">
        <f>IF(Z3101="","",IFERROR(LOOKUP(2,1/(#REF!=Z3101),#REF!),""))</f>
        <v/>
      </c>
      <c r="AC3101" t="str">
        <f>IF(Z3101="","",COUNTIF(#REF!,Z3101))</f>
        <v/>
      </c>
      <c r="AD3101" t="str">
        <f>IF(A3101="","",IF(AC3101&gt;1,"REVISAR DUPLICADO",IF(AA3101&lt;&gt;"","ACTUALIZADO POR EYR","SIN REPORTE EYR")))</f>
        <v/>
      </c>
    </row>
    <row r="3102" spans="11:30" x14ac:dyDescent="0.3">
      <c r="K3102" s="1" t="str">
        <f ca="1">IF(A3102="","",IF(OR(L3102="ENTREGADA",L3102="RETORNADA",L3102="ENTREGA DIGITAL"),0,MAX(0,5-NETWORKDAYS(H3102+1,TODAY()))))</f>
        <v/>
      </c>
      <c r="L3102" t="str">
        <f>IF(A3102="","",IFERROR(LOOKUP(2,1/(#REF!=Z3102),#REF!),Y3102))</f>
        <v/>
      </c>
      <c r="Z3102" t="str">
        <f>IF(A3102="","",TEXT(A3102,"0")&amp;"|"&amp;TEXT(H3102,"0"))</f>
        <v/>
      </c>
      <c r="AA3102" t="str">
        <f>IF(Z3102="","",IFERROR(LOOKUP(2,1/(#REF!=Z3102),#REF!),""))</f>
        <v/>
      </c>
      <c r="AB3102" t="str">
        <f>IF(Z3102="","",IFERROR(LOOKUP(2,1/(#REF!=Z3102),#REF!),""))</f>
        <v/>
      </c>
      <c r="AC3102" t="str">
        <f>IF(Z3102="","",COUNTIF(#REF!,Z3102))</f>
        <v/>
      </c>
      <c r="AD3102" t="str">
        <f>IF(A3102="","",IF(AC3102&gt;1,"REVISAR DUPLICADO",IF(AA3102&lt;&gt;"","ACTUALIZADO POR EYR","SIN REPORTE EYR")))</f>
        <v/>
      </c>
    </row>
    <row r="3103" spans="11:30" x14ac:dyDescent="0.3">
      <c r="K3103" s="1" t="str">
        <f ca="1">IF(A3103="","",IF(OR(L3103="ENTREGADA",L3103="RETORNADA",L3103="ENTREGA DIGITAL"),0,MAX(0,5-NETWORKDAYS(H3103+1,TODAY()))))</f>
        <v/>
      </c>
      <c r="L3103" t="str">
        <f>IF(A3103="","",IFERROR(LOOKUP(2,1/(#REF!=Z3103),#REF!),Y3103))</f>
        <v/>
      </c>
      <c r="Z3103" t="str">
        <f>IF(A3103="","",TEXT(A3103,"0")&amp;"|"&amp;TEXT(H3103,"0"))</f>
        <v/>
      </c>
      <c r="AA3103" t="str">
        <f>IF(Z3103="","",IFERROR(LOOKUP(2,1/(#REF!=Z3103),#REF!),""))</f>
        <v/>
      </c>
      <c r="AB3103" t="str">
        <f>IF(Z3103="","",IFERROR(LOOKUP(2,1/(#REF!=Z3103),#REF!),""))</f>
        <v/>
      </c>
      <c r="AC3103" t="str">
        <f>IF(Z3103="","",COUNTIF(#REF!,Z3103))</f>
        <v/>
      </c>
      <c r="AD3103" t="str">
        <f>IF(A3103="","",IF(AC3103&gt;1,"REVISAR DUPLICADO",IF(AA3103&lt;&gt;"","ACTUALIZADO POR EYR","SIN REPORTE EYR")))</f>
        <v/>
      </c>
    </row>
    <row r="3104" spans="11:30" x14ac:dyDescent="0.3">
      <c r="K3104" s="1" t="str">
        <f ca="1">IF(A3104="","",IF(OR(L3104="ENTREGADA",L3104="RETORNADA",L3104="ENTREGA DIGITAL"),0,MAX(0,5-NETWORKDAYS(H3104+1,TODAY()))))</f>
        <v/>
      </c>
      <c r="L3104" t="str">
        <f>IF(A3104="","",IFERROR(LOOKUP(2,1/(#REF!=Z3104),#REF!),Y3104))</f>
        <v/>
      </c>
      <c r="Z3104" t="str">
        <f>IF(A3104="","",TEXT(A3104,"0")&amp;"|"&amp;TEXT(H3104,"0"))</f>
        <v/>
      </c>
      <c r="AA3104" t="str">
        <f>IF(Z3104="","",IFERROR(LOOKUP(2,1/(#REF!=Z3104),#REF!),""))</f>
        <v/>
      </c>
      <c r="AB3104" t="str">
        <f>IF(Z3104="","",IFERROR(LOOKUP(2,1/(#REF!=Z3104),#REF!),""))</f>
        <v/>
      </c>
      <c r="AC3104" t="str">
        <f>IF(Z3104="","",COUNTIF(#REF!,Z3104))</f>
        <v/>
      </c>
      <c r="AD3104" t="str">
        <f>IF(A3104="","",IF(AC3104&gt;1,"REVISAR DUPLICADO",IF(AA3104&lt;&gt;"","ACTUALIZADO POR EYR","SIN REPORTE EYR")))</f>
        <v/>
      </c>
    </row>
    <row r="3105" spans="11:30" x14ac:dyDescent="0.3">
      <c r="K3105" s="1" t="str">
        <f ca="1">IF(A3105="","",IF(OR(L3105="ENTREGADA",L3105="RETORNADA",L3105="ENTREGA DIGITAL"),0,MAX(0,5-NETWORKDAYS(H3105+1,TODAY()))))</f>
        <v/>
      </c>
      <c r="L3105" t="str">
        <f>IF(A3105="","",IFERROR(LOOKUP(2,1/(#REF!=Z3105),#REF!),Y3105))</f>
        <v/>
      </c>
      <c r="Z3105" t="str">
        <f>IF(A3105="","",TEXT(A3105,"0")&amp;"|"&amp;TEXT(H3105,"0"))</f>
        <v/>
      </c>
      <c r="AA3105" t="str">
        <f>IF(Z3105="","",IFERROR(LOOKUP(2,1/(#REF!=Z3105),#REF!),""))</f>
        <v/>
      </c>
      <c r="AB3105" t="str">
        <f>IF(Z3105="","",IFERROR(LOOKUP(2,1/(#REF!=Z3105),#REF!),""))</f>
        <v/>
      </c>
      <c r="AC3105" t="str">
        <f>IF(Z3105="","",COUNTIF(#REF!,Z3105))</f>
        <v/>
      </c>
      <c r="AD3105" t="str">
        <f>IF(A3105="","",IF(AC3105&gt;1,"REVISAR DUPLICADO",IF(AA3105&lt;&gt;"","ACTUALIZADO POR EYR","SIN REPORTE EYR")))</f>
        <v/>
      </c>
    </row>
    <row r="3106" spans="11:30" x14ac:dyDescent="0.3">
      <c r="K3106" s="1" t="str">
        <f ca="1">IF(A3106="","",IF(OR(L3106="ENTREGADA",L3106="RETORNADA",L3106="ENTREGA DIGITAL"),0,MAX(0,5-NETWORKDAYS(H3106+1,TODAY()))))</f>
        <v/>
      </c>
      <c r="L3106" t="str">
        <f>IF(A3106="","",IFERROR(LOOKUP(2,1/(#REF!=Z3106),#REF!),Y3106))</f>
        <v/>
      </c>
      <c r="Z3106" t="str">
        <f>IF(A3106="","",TEXT(A3106,"0")&amp;"|"&amp;TEXT(H3106,"0"))</f>
        <v/>
      </c>
      <c r="AA3106" t="str">
        <f>IF(Z3106="","",IFERROR(LOOKUP(2,1/(#REF!=Z3106),#REF!),""))</f>
        <v/>
      </c>
      <c r="AB3106" t="str">
        <f>IF(Z3106="","",IFERROR(LOOKUP(2,1/(#REF!=Z3106),#REF!),""))</f>
        <v/>
      </c>
      <c r="AC3106" t="str">
        <f>IF(Z3106="","",COUNTIF(#REF!,Z3106))</f>
        <v/>
      </c>
      <c r="AD3106" t="str">
        <f>IF(A3106="","",IF(AC3106&gt;1,"REVISAR DUPLICADO",IF(AA3106&lt;&gt;"","ACTUALIZADO POR EYR","SIN REPORTE EYR")))</f>
        <v/>
      </c>
    </row>
    <row r="3107" spans="11:30" x14ac:dyDescent="0.3">
      <c r="K3107" s="1" t="str">
        <f ca="1">IF(A3107="","",IF(OR(L3107="ENTREGADA",L3107="RETORNADA",L3107="ENTREGA DIGITAL"),0,MAX(0,5-NETWORKDAYS(H3107+1,TODAY()))))</f>
        <v/>
      </c>
      <c r="L3107" t="str">
        <f>IF(A3107="","",IFERROR(LOOKUP(2,1/(#REF!=Z3107),#REF!),Y3107))</f>
        <v/>
      </c>
      <c r="Z3107" t="str">
        <f>IF(A3107="","",TEXT(A3107,"0")&amp;"|"&amp;TEXT(H3107,"0"))</f>
        <v/>
      </c>
      <c r="AA3107" t="str">
        <f>IF(Z3107="","",IFERROR(LOOKUP(2,1/(#REF!=Z3107),#REF!),""))</f>
        <v/>
      </c>
      <c r="AB3107" t="str">
        <f>IF(Z3107="","",IFERROR(LOOKUP(2,1/(#REF!=Z3107),#REF!),""))</f>
        <v/>
      </c>
      <c r="AC3107" t="str">
        <f>IF(Z3107="","",COUNTIF(#REF!,Z3107))</f>
        <v/>
      </c>
      <c r="AD3107" t="str">
        <f>IF(A3107="","",IF(AC3107&gt;1,"REVISAR DUPLICADO",IF(AA3107&lt;&gt;"","ACTUALIZADO POR EYR","SIN REPORTE EYR")))</f>
        <v/>
      </c>
    </row>
    <row r="3108" spans="11:30" x14ac:dyDescent="0.3">
      <c r="K3108" s="1" t="str">
        <f ca="1">IF(A3108="","",IF(OR(L3108="ENTREGADA",L3108="RETORNADA",L3108="ENTREGA DIGITAL"),0,MAX(0,5-NETWORKDAYS(H3108+1,TODAY()))))</f>
        <v/>
      </c>
      <c r="L3108" t="str">
        <f>IF(A3108="","",IFERROR(LOOKUP(2,1/(#REF!=Z3108),#REF!),Y3108))</f>
        <v/>
      </c>
      <c r="Z3108" t="str">
        <f>IF(A3108="","",TEXT(A3108,"0")&amp;"|"&amp;TEXT(H3108,"0"))</f>
        <v/>
      </c>
      <c r="AA3108" t="str">
        <f>IF(Z3108="","",IFERROR(LOOKUP(2,1/(#REF!=Z3108),#REF!),""))</f>
        <v/>
      </c>
      <c r="AB3108" t="str">
        <f>IF(Z3108="","",IFERROR(LOOKUP(2,1/(#REF!=Z3108),#REF!),""))</f>
        <v/>
      </c>
      <c r="AC3108" t="str">
        <f>IF(Z3108="","",COUNTIF(#REF!,Z3108))</f>
        <v/>
      </c>
      <c r="AD3108" t="str">
        <f>IF(A3108="","",IF(AC3108&gt;1,"REVISAR DUPLICADO",IF(AA3108&lt;&gt;"","ACTUALIZADO POR EYR","SIN REPORTE EYR")))</f>
        <v/>
      </c>
    </row>
    <row r="3109" spans="11:30" x14ac:dyDescent="0.3">
      <c r="K3109" s="1" t="str">
        <f ca="1">IF(A3109="","",IF(OR(L3109="ENTREGADA",L3109="RETORNADA",L3109="ENTREGA DIGITAL"),0,MAX(0,5-NETWORKDAYS(H3109+1,TODAY()))))</f>
        <v/>
      </c>
      <c r="L3109" t="str">
        <f>IF(A3109="","",IFERROR(LOOKUP(2,1/(#REF!=Z3109),#REF!),Y3109))</f>
        <v/>
      </c>
      <c r="Z3109" t="str">
        <f>IF(A3109="","",TEXT(A3109,"0")&amp;"|"&amp;TEXT(H3109,"0"))</f>
        <v/>
      </c>
      <c r="AA3109" t="str">
        <f>IF(Z3109="","",IFERROR(LOOKUP(2,1/(#REF!=Z3109),#REF!),""))</f>
        <v/>
      </c>
      <c r="AB3109" t="str">
        <f>IF(Z3109="","",IFERROR(LOOKUP(2,1/(#REF!=Z3109),#REF!),""))</f>
        <v/>
      </c>
      <c r="AC3109" t="str">
        <f>IF(Z3109="","",COUNTIF(#REF!,Z3109))</f>
        <v/>
      </c>
      <c r="AD3109" t="str">
        <f>IF(A3109="","",IF(AC3109&gt;1,"REVISAR DUPLICADO",IF(AA3109&lt;&gt;"","ACTUALIZADO POR EYR","SIN REPORTE EYR")))</f>
        <v/>
      </c>
    </row>
    <row r="3110" spans="11:30" x14ac:dyDescent="0.3">
      <c r="K3110" s="1" t="str">
        <f ca="1">IF(A3110="","",IF(OR(L3110="ENTREGADA",L3110="RETORNADA",L3110="ENTREGA DIGITAL"),0,MAX(0,5-NETWORKDAYS(H3110+1,TODAY()))))</f>
        <v/>
      </c>
      <c r="L3110" t="str">
        <f>IF(A3110="","",IFERROR(LOOKUP(2,1/(#REF!=Z3110),#REF!),Y3110))</f>
        <v/>
      </c>
      <c r="Z3110" t="str">
        <f>IF(A3110="","",TEXT(A3110,"0")&amp;"|"&amp;TEXT(H3110,"0"))</f>
        <v/>
      </c>
      <c r="AA3110" t="str">
        <f>IF(Z3110="","",IFERROR(LOOKUP(2,1/(#REF!=Z3110),#REF!),""))</f>
        <v/>
      </c>
      <c r="AB3110" t="str">
        <f>IF(Z3110="","",IFERROR(LOOKUP(2,1/(#REF!=Z3110),#REF!),""))</f>
        <v/>
      </c>
      <c r="AC3110" t="str">
        <f>IF(Z3110="","",COUNTIF(#REF!,Z3110))</f>
        <v/>
      </c>
      <c r="AD3110" t="str">
        <f>IF(A3110="","",IF(AC3110&gt;1,"REVISAR DUPLICADO",IF(AA3110&lt;&gt;"","ACTUALIZADO POR EYR","SIN REPORTE EYR")))</f>
        <v/>
      </c>
    </row>
    <row r="3111" spans="11:30" x14ac:dyDescent="0.3">
      <c r="K3111" s="1" t="str">
        <f ca="1">IF(A3111="","",IF(OR(L3111="ENTREGADA",L3111="RETORNADA",L3111="ENTREGA DIGITAL"),0,MAX(0,5-NETWORKDAYS(H3111+1,TODAY()))))</f>
        <v/>
      </c>
      <c r="L3111" t="str">
        <f>IF(A3111="","",IFERROR(LOOKUP(2,1/(#REF!=Z3111),#REF!),Y3111))</f>
        <v/>
      </c>
      <c r="Z3111" t="str">
        <f>IF(A3111="","",TEXT(A3111,"0")&amp;"|"&amp;TEXT(H3111,"0"))</f>
        <v/>
      </c>
      <c r="AA3111" t="str">
        <f>IF(Z3111="","",IFERROR(LOOKUP(2,1/(#REF!=Z3111),#REF!),""))</f>
        <v/>
      </c>
      <c r="AB3111" t="str">
        <f>IF(Z3111="","",IFERROR(LOOKUP(2,1/(#REF!=Z3111),#REF!),""))</f>
        <v/>
      </c>
      <c r="AC3111" t="str">
        <f>IF(Z3111="","",COUNTIF(#REF!,Z3111))</f>
        <v/>
      </c>
      <c r="AD3111" t="str">
        <f>IF(A3111="","",IF(AC3111&gt;1,"REVISAR DUPLICADO",IF(AA3111&lt;&gt;"","ACTUALIZADO POR EYR","SIN REPORTE EYR")))</f>
        <v/>
      </c>
    </row>
    <row r="3112" spans="11:30" x14ac:dyDescent="0.3">
      <c r="K3112" s="1" t="str">
        <f ca="1">IF(A3112="","",IF(OR(L3112="ENTREGADA",L3112="RETORNADA",L3112="ENTREGA DIGITAL"),0,MAX(0,5-NETWORKDAYS(H3112+1,TODAY()))))</f>
        <v/>
      </c>
      <c r="L3112" t="str">
        <f>IF(A3112="","",IFERROR(LOOKUP(2,1/(#REF!=Z3112),#REF!),Y3112))</f>
        <v/>
      </c>
      <c r="Z3112" t="str">
        <f>IF(A3112="","",TEXT(A3112,"0")&amp;"|"&amp;TEXT(H3112,"0"))</f>
        <v/>
      </c>
      <c r="AA3112" t="str">
        <f>IF(Z3112="","",IFERROR(LOOKUP(2,1/(#REF!=Z3112),#REF!),""))</f>
        <v/>
      </c>
      <c r="AB3112" t="str">
        <f>IF(Z3112="","",IFERROR(LOOKUP(2,1/(#REF!=Z3112),#REF!),""))</f>
        <v/>
      </c>
      <c r="AC3112" t="str">
        <f>IF(Z3112="","",COUNTIF(#REF!,Z3112))</f>
        <v/>
      </c>
      <c r="AD3112" t="str">
        <f>IF(A3112="","",IF(AC3112&gt;1,"REVISAR DUPLICADO",IF(AA3112&lt;&gt;"","ACTUALIZADO POR EYR","SIN REPORTE EYR")))</f>
        <v/>
      </c>
    </row>
    <row r="3113" spans="11:30" x14ac:dyDescent="0.3">
      <c r="K3113" s="1" t="str">
        <f ca="1">IF(A3113="","",IF(OR(L3113="ENTREGADA",L3113="RETORNADA",L3113="ENTREGA DIGITAL"),0,MAX(0,5-NETWORKDAYS(H3113+1,TODAY()))))</f>
        <v/>
      </c>
      <c r="L3113" t="str">
        <f>IF(A3113="","",IFERROR(LOOKUP(2,1/(#REF!=Z3113),#REF!),Y3113))</f>
        <v/>
      </c>
      <c r="Z3113" t="str">
        <f>IF(A3113="","",TEXT(A3113,"0")&amp;"|"&amp;TEXT(H3113,"0"))</f>
        <v/>
      </c>
      <c r="AA3113" t="str">
        <f>IF(Z3113="","",IFERROR(LOOKUP(2,1/(#REF!=Z3113),#REF!),""))</f>
        <v/>
      </c>
      <c r="AB3113" t="str">
        <f>IF(Z3113="","",IFERROR(LOOKUP(2,1/(#REF!=Z3113),#REF!),""))</f>
        <v/>
      </c>
      <c r="AC3113" t="str">
        <f>IF(Z3113="","",COUNTIF(#REF!,Z3113))</f>
        <v/>
      </c>
      <c r="AD3113" t="str">
        <f>IF(A3113="","",IF(AC3113&gt;1,"REVISAR DUPLICADO",IF(AA3113&lt;&gt;"","ACTUALIZADO POR EYR","SIN REPORTE EYR")))</f>
        <v/>
      </c>
    </row>
    <row r="3114" spans="11:30" x14ac:dyDescent="0.3">
      <c r="K3114" s="1" t="str">
        <f ca="1">IF(A3114="","",IF(OR(L3114="ENTREGADA",L3114="RETORNADA",L3114="ENTREGA DIGITAL"),0,MAX(0,5-NETWORKDAYS(H3114+1,TODAY()))))</f>
        <v/>
      </c>
      <c r="L3114" t="str">
        <f>IF(A3114="","",IFERROR(LOOKUP(2,1/(#REF!=Z3114),#REF!),Y3114))</f>
        <v/>
      </c>
      <c r="Z3114" t="str">
        <f>IF(A3114="","",TEXT(A3114,"0")&amp;"|"&amp;TEXT(H3114,"0"))</f>
        <v/>
      </c>
      <c r="AA3114" t="str">
        <f>IF(Z3114="","",IFERROR(LOOKUP(2,1/(#REF!=Z3114),#REF!),""))</f>
        <v/>
      </c>
      <c r="AB3114" t="str">
        <f>IF(Z3114="","",IFERROR(LOOKUP(2,1/(#REF!=Z3114),#REF!),""))</f>
        <v/>
      </c>
      <c r="AC3114" t="str">
        <f>IF(Z3114="","",COUNTIF(#REF!,Z3114))</f>
        <v/>
      </c>
      <c r="AD3114" t="str">
        <f>IF(A3114="","",IF(AC3114&gt;1,"REVISAR DUPLICADO",IF(AA3114&lt;&gt;"","ACTUALIZADO POR EYR","SIN REPORTE EYR")))</f>
        <v/>
      </c>
    </row>
    <row r="3115" spans="11:30" x14ac:dyDescent="0.3">
      <c r="K3115" s="1" t="str">
        <f ca="1">IF(A3115="","",IF(OR(L3115="ENTREGADA",L3115="RETORNADA",L3115="ENTREGA DIGITAL"),0,MAX(0,5-NETWORKDAYS(H3115+1,TODAY()))))</f>
        <v/>
      </c>
      <c r="L3115" t="str">
        <f>IF(A3115="","",IFERROR(LOOKUP(2,1/(#REF!=Z3115),#REF!),Y3115))</f>
        <v/>
      </c>
      <c r="Z3115" t="str">
        <f>IF(A3115="","",TEXT(A3115,"0")&amp;"|"&amp;TEXT(H3115,"0"))</f>
        <v/>
      </c>
      <c r="AA3115" t="str">
        <f>IF(Z3115="","",IFERROR(LOOKUP(2,1/(#REF!=Z3115),#REF!),""))</f>
        <v/>
      </c>
      <c r="AB3115" t="str">
        <f>IF(Z3115="","",IFERROR(LOOKUP(2,1/(#REF!=Z3115),#REF!),""))</f>
        <v/>
      </c>
      <c r="AC3115" t="str">
        <f>IF(Z3115="","",COUNTIF(#REF!,Z3115))</f>
        <v/>
      </c>
      <c r="AD3115" t="str">
        <f>IF(A3115="","",IF(AC3115&gt;1,"REVISAR DUPLICADO",IF(AA3115&lt;&gt;"","ACTUALIZADO POR EYR","SIN REPORTE EYR")))</f>
        <v/>
      </c>
    </row>
    <row r="3116" spans="11:30" x14ac:dyDescent="0.3">
      <c r="K3116" s="1" t="str">
        <f ca="1">IF(A3116="","",IF(OR(L3116="ENTREGADA",L3116="RETORNADA",L3116="ENTREGA DIGITAL"),0,MAX(0,5-NETWORKDAYS(H3116+1,TODAY()))))</f>
        <v/>
      </c>
      <c r="L3116" t="str">
        <f>IF(A3116="","",IFERROR(LOOKUP(2,1/(#REF!=Z3116),#REF!),Y3116))</f>
        <v/>
      </c>
      <c r="Z3116" t="str">
        <f>IF(A3116="","",TEXT(A3116,"0")&amp;"|"&amp;TEXT(H3116,"0"))</f>
        <v/>
      </c>
      <c r="AA3116" t="str">
        <f>IF(Z3116="","",IFERROR(LOOKUP(2,1/(#REF!=Z3116),#REF!),""))</f>
        <v/>
      </c>
      <c r="AB3116" t="str">
        <f>IF(Z3116="","",IFERROR(LOOKUP(2,1/(#REF!=Z3116),#REF!),""))</f>
        <v/>
      </c>
      <c r="AC3116" t="str">
        <f>IF(Z3116="","",COUNTIF(#REF!,Z3116))</f>
        <v/>
      </c>
      <c r="AD3116" t="str">
        <f>IF(A3116="","",IF(AC3116&gt;1,"REVISAR DUPLICADO",IF(AA3116&lt;&gt;"","ACTUALIZADO POR EYR","SIN REPORTE EYR")))</f>
        <v/>
      </c>
    </row>
    <row r="3117" spans="11:30" x14ac:dyDescent="0.3">
      <c r="K3117" s="1" t="str">
        <f ca="1">IF(A3117="","",IF(OR(L3117="ENTREGADA",L3117="RETORNADA",L3117="ENTREGA DIGITAL"),0,MAX(0,5-NETWORKDAYS(H3117+1,TODAY()))))</f>
        <v/>
      </c>
      <c r="L3117" t="str">
        <f>IF(A3117="","",IFERROR(LOOKUP(2,1/(#REF!=Z3117),#REF!),Y3117))</f>
        <v/>
      </c>
      <c r="Z3117" t="str">
        <f>IF(A3117="","",TEXT(A3117,"0")&amp;"|"&amp;TEXT(H3117,"0"))</f>
        <v/>
      </c>
      <c r="AA3117" t="str">
        <f>IF(Z3117="","",IFERROR(LOOKUP(2,1/(#REF!=Z3117),#REF!),""))</f>
        <v/>
      </c>
      <c r="AB3117" t="str">
        <f>IF(Z3117="","",IFERROR(LOOKUP(2,1/(#REF!=Z3117),#REF!),""))</f>
        <v/>
      </c>
      <c r="AC3117" t="str">
        <f>IF(Z3117="","",COUNTIF(#REF!,Z3117))</f>
        <v/>
      </c>
      <c r="AD3117" t="str">
        <f>IF(A3117="","",IF(AC3117&gt;1,"REVISAR DUPLICADO",IF(AA3117&lt;&gt;"","ACTUALIZADO POR EYR","SIN REPORTE EYR")))</f>
        <v/>
      </c>
    </row>
    <row r="3118" spans="11:30" x14ac:dyDescent="0.3">
      <c r="K3118" s="1" t="str">
        <f ca="1">IF(A3118="","",IF(OR(L3118="ENTREGADA",L3118="RETORNADA",L3118="ENTREGA DIGITAL"),0,MAX(0,5-NETWORKDAYS(H3118+1,TODAY()))))</f>
        <v/>
      </c>
      <c r="L3118" t="str">
        <f>IF(A3118="","",IFERROR(LOOKUP(2,1/(#REF!=Z3118),#REF!),Y3118))</f>
        <v/>
      </c>
      <c r="Z3118" t="str">
        <f>IF(A3118="","",TEXT(A3118,"0")&amp;"|"&amp;TEXT(H3118,"0"))</f>
        <v/>
      </c>
      <c r="AA3118" t="str">
        <f>IF(Z3118="","",IFERROR(LOOKUP(2,1/(#REF!=Z3118),#REF!),""))</f>
        <v/>
      </c>
      <c r="AB3118" t="str">
        <f>IF(Z3118="","",IFERROR(LOOKUP(2,1/(#REF!=Z3118),#REF!),""))</f>
        <v/>
      </c>
      <c r="AC3118" t="str">
        <f>IF(Z3118="","",COUNTIF(#REF!,Z3118))</f>
        <v/>
      </c>
      <c r="AD3118" t="str">
        <f>IF(A3118="","",IF(AC3118&gt;1,"REVISAR DUPLICADO",IF(AA3118&lt;&gt;"","ACTUALIZADO POR EYR","SIN REPORTE EYR")))</f>
        <v/>
      </c>
    </row>
    <row r="3119" spans="11:30" x14ac:dyDescent="0.3">
      <c r="K3119" s="1" t="str">
        <f ca="1">IF(A3119="","",IF(OR(L3119="ENTREGADA",L3119="RETORNADA",L3119="ENTREGA DIGITAL"),0,MAX(0,5-NETWORKDAYS(H3119+1,TODAY()))))</f>
        <v/>
      </c>
      <c r="L3119" t="str">
        <f>IF(A3119="","",IFERROR(LOOKUP(2,1/(#REF!=Z3119),#REF!),Y3119))</f>
        <v/>
      </c>
      <c r="Z3119" t="str">
        <f>IF(A3119="","",TEXT(A3119,"0")&amp;"|"&amp;TEXT(H3119,"0"))</f>
        <v/>
      </c>
      <c r="AA3119" t="str">
        <f>IF(Z3119="","",IFERROR(LOOKUP(2,1/(#REF!=Z3119),#REF!),""))</f>
        <v/>
      </c>
      <c r="AB3119" t="str">
        <f>IF(Z3119="","",IFERROR(LOOKUP(2,1/(#REF!=Z3119),#REF!),""))</f>
        <v/>
      </c>
      <c r="AC3119" t="str">
        <f>IF(Z3119="","",COUNTIF(#REF!,Z3119))</f>
        <v/>
      </c>
      <c r="AD3119" t="str">
        <f>IF(A3119="","",IF(AC3119&gt;1,"REVISAR DUPLICADO",IF(AA3119&lt;&gt;"","ACTUALIZADO POR EYR","SIN REPORTE EYR")))</f>
        <v/>
      </c>
    </row>
    <row r="3120" spans="11:30" x14ac:dyDescent="0.3">
      <c r="K3120" s="1" t="str">
        <f ca="1">IF(A3120="","",IF(OR(L3120="ENTREGADA",L3120="RETORNADA",L3120="ENTREGA DIGITAL"),0,MAX(0,5-NETWORKDAYS(H3120+1,TODAY()))))</f>
        <v/>
      </c>
      <c r="L3120" t="str">
        <f>IF(A3120="","",IFERROR(LOOKUP(2,1/(#REF!=Z3120),#REF!),Y3120))</f>
        <v/>
      </c>
      <c r="Z3120" t="str">
        <f>IF(A3120="","",TEXT(A3120,"0")&amp;"|"&amp;TEXT(H3120,"0"))</f>
        <v/>
      </c>
      <c r="AA3120" t="str">
        <f>IF(Z3120="","",IFERROR(LOOKUP(2,1/(#REF!=Z3120),#REF!),""))</f>
        <v/>
      </c>
      <c r="AB3120" t="str">
        <f>IF(Z3120="","",IFERROR(LOOKUP(2,1/(#REF!=Z3120),#REF!),""))</f>
        <v/>
      </c>
      <c r="AC3120" t="str">
        <f>IF(Z3120="","",COUNTIF(#REF!,Z3120))</f>
        <v/>
      </c>
      <c r="AD3120" t="str">
        <f>IF(A3120="","",IF(AC3120&gt;1,"REVISAR DUPLICADO",IF(AA3120&lt;&gt;"","ACTUALIZADO POR EYR","SIN REPORTE EYR")))</f>
        <v/>
      </c>
    </row>
    <row r="3121" spans="11:30" x14ac:dyDescent="0.3">
      <c r="K3121" s="1" t="str">
        <f ca="1">IF(A3121="","",IF(OR(L3121="ENTREGADA",L3121="RETORNADA",L3121="ENTREGA DIGITAL"),0,MAX(0,5-NETWORKDAYS(H3121+1,TODAY()))))</f>
        <v/>
      </c>
      <c r="L3121" t="str">
        <f>IF(A3121="","",IFERROR(LOOKUP(2,1/(#REF!=Z3121),#REF!),Y3121))</f>
        <v/>
      </c>
      <c r="Z3121" t="str">
        <f>IF(A3121="","",TEXT(A3121,"0")&amp;"|"&amp;TEXT(H3121,"0"))</f>
        <v/>
      </c>
      <c r="AA3121" t="str">
        <f>IF(Z3121="","",IFERROR(LOOKUP(2,1/(#REF!=Z3121),#REF!),""))</f>
        <v/>
      </c>
      <c r="AB3121" t="str">
        <f>IF(Z3121="","",IFERROR(LOOKUP(2,1/(#REF!=Z3121),#REF!),""))</f>
        <v/>
      </c>
      <c r="AC3121" t="str">
        <f>IF(Z3121="","",COUNTIF(#REF!,Z3121))</f>
        <v/>
      </c>
      <c r="AD3121" t="str">
        <f>IF(A3121="","",IF(AC3121&gt;1,"REVISAR DUPLICADO",IF(AA3121&lt;&gt;"","ACTUALIZADO POR EYR","SIN REPORTE EYR")))</f>
        <v/>
      </c>
    </row>
    <row r="3122" spans="11:30" x14ac:dyDescent="0.3">
      <c r="K3122" s="1" t="str">
        <f ca="1">IF(A3122="","",IF(OR(L3122="ENTREGADA",L3122="RETORNADA",L3122="ENTREGA DIGITAL"),0,MAX(0,5-NETWORKDAYS(H3122+1,TODAY()))))</f>
        <v/>
      </c>
      <c r="L3122" t="str">
        <f>IF(A3122="","",IFERROR(LOOKUP(2,1/(#REF!=Z3122),#REF!),Y3122))</f>
        <v/>
      </c>
      <c r="Z3122" t="str">
        <f>IF(A3122="","",TEXT(A3122,"0")&amp;"|"&amp;TEXT(H3122,"0"))</f>
        <v/>
      </c>
      <c r="AA3122" t="str">
        <f>IF(Z3122="","",IFERROR(LOOKUP(2,1/(#REF!=Z3122),#REF!),""))</f>
        <v/>
      </c>
      <c r="AB3122" t="str">
        <f>IF(Z3122="","",IFERROR(LOOKUP(2,1/(#REF!=Z3122),#REF!),""))</f>
        <v/>
      </c>
      <c r="AC3122" t="str">
        <f>IF(Z3122="","",COUNTIF(#REF!,Z3122))</f>
        <v/>
      </c>
      <c r="AD3122" t="str">
        <f>IF(A3122="","",IF(AC3122&gt;1,"REVISAR DUPLICADO",IF(AA3122&lt;&gt;"","ACTUALIZADO POR EYR","SIN REPORTE EYR")))</f>
        <v/>
      </c>
    </row>
    <row r="3123" spans="11:30" x14ac:dyDescent="0.3">
      <c r="K3123" s="1" t="str">
        <f ca="1">IF(A3123="","",IF(OR(L3123="ENTREGADA",L3123="RETORNADA",L3123="ENTREGA DIGITAL"),0,MAX(0,5-NETWORKDAYS(H3123+1,TODAY()))))</f>
        <v/>
      </c>
      <c r="L3123" t="str">
        <f>IF(A3123="","",IFERROR(LOOKUP(2,1/(#REF!=Z3123),#REF!),Y3123))</f>
        <v/>
      </c>
      <c r="Z3123" t="str">
        <f>IF(A3123="","",TEXT(A3123,"0")&amp;"|"&amp;TEXT(H3123,"0"))</f>
        <v/>
      </c>
      <c r="AA3123" t="str">
        <f>IF(Z3123="","",IFERROR(LOOKUP(2,1/(#REF!=Z3123),#REF!),""))</f>
        <v/>
      </c>
      <c r="AB3123" t="str">
        <f>IF(Z3123="","",IFERROR(LOOKUP(2,1/(#REF!=Z3123),#REF!),""))</f>
        <v/>
      </c>
      <c r="AC3123" t="str">
        <f>IF(Z3123="","",COUNTIF(#REF!,Z3123))</f>
        <v/>
      </c>
      <c r="AD3123" t="str">
        <f>IF(A3123="","",IF(AC3123&gt;1,"REVISAR DUPLICADO",IF(AA3123&lt;&gt;"","ACTUALIZADO POR EYR","SIN REPORTE EYR")))</f>
        <v/>
      </c>
    </row>
    <row r="3124" spans="11:30" x14ac:dyDescent="0.3">
      <c r="K3124" s="1" t="str">
        <f ca="1">IF(A3124="","",IF(OR(L3124="ENTREGADA",L3124="RETORNADA",L3124="ENTREGA DIGITAL"),0,MAX(0,5-NETWORKDAYS(H3124+1,TODAY()))))</f>
        <v/>
      </c>
      <c r="L3124" t="str">
        <f>IF(A3124="","",IFERROR(LOOKUP(2,1/(#REF!=Z3124),#REF!),Y3124))</f>
        <v/>
      </c>
      <c r="Z3124" t="str">
        <f>IF(A3124="","",TEXT(A3124,"0")&amp;"|"&amp;TEXT(H3124,"0"))</f>
        <v/>
      </c>
      <c r="AA3124" t="str">
        <f>IF(Z3124="","",IFERROR(LOOKUP(2,1/(#REF!=Z3124),#REF!),""))</f>
        <v/>
      </c>
      <c r="AB3124" t="str">
        <f>IF(Z3124="","",IFERROR(LOOKUP(2,1/(#REF!=Z3124),#REF!),""))</f>
        <v/>
      </c>
      <c r="AC3124" t="str">
        <f>IF(Z3124="","",COUNTIF(#REF!,Z3124))</f>
        <v/>
      </c>
      <c r="AD3124" t="str">
        <f>IF(A3124="","",IF(AC3124&gt;1,"REVISAR DUPLICADO",IF(AA3124&lt;&gt;"","ACTUALIZADO POR EYR","SIN REPORTE EYR")))</f>
        <v/>
      </c>
    </row>
    <row r="3125" spans="11:30" x14ac:dyDescent="0.3">
      <c r="K3125" s="1" t="str">
        <f ca="1">IF(A3125="","",IF(OR(L3125="ENTREGADA",L3125="RETORNADA",L3125="ENTREGA DIGITAL"),0,MAX(0,5-NETWORKDAYS(H3125+1,TODAY()))))</f>
        <v/>
      </c>
      <c r="L3125" t="str">
        <f>IF(A3125="","",IFERROR(LOOKUP(2,1/(#REF!=Z3125),#REF!),Y3125))</f>
        <v/>
      </c>
      <c r="Z3125" t="str">
        <f>IF(A3125="","",TEXT(A3125,"0")&amp;"|"&amp;TEXT(H3125,"0"))</f>
        <v/>
      </c>
      <c r="AA3125" t="str">
        <f>IF(Z3125="","",IFERROR(LOOKUP(2,1/(#REF!=Z3125),#REF!),""))</f>
        <v/>
      </c>
      <c r="AB3125" t="str">
        <f>IF(Z3125="","",IFERROR(LOOKUP(2,1/(#REF!=Z3125),#REF!),""))</f>
        <v/>
      </c>
      <c r="AC3125" t="str">
        <f>IF(Z3125="","",COUNTIF(#REF!,Z3125))</f>
        <v/>
      </c>
      <c r="AD3125" t="str">
        <f>IF(A3125="","",IF(AC3125&gt;1,"REVISAR DUPLICADO",IF(AA3125&lt;&gt;"","ACTUALIZADO POR EYR","SIN REPORTE EYR")))</f>
        <v/>
      </c>
    </row>
    <row r="3126" spans="11:30" x14ac:dyDescent="0.3">
      <c r="K3126" s="1" t="str">
        <f ca="1">IF(A3126="","",IF(OR(L3126="ENTREGADA",L3126="RETORNADA",L3126="ENTREGA DIGITAL"),0,MAX(0,5-NETWORKDAYS(H3126+1,TODAY()))))</f>
        <v/>
      </c>
      <c r="L3126" t="str">
        <f>IF(A3126="","",IFERROR(LOOKUP(2,1/(#REF!=Z3126),#REF!),Y3126))</f>
        <v/>
      </c>
      <c r="Z3126" t="str">
        <f>IF(A3126="","",TEXT(A3126,"0")&amp;"|"&amp;TEXT(H3126,"0"))</f>
        <v/>
      </c>
      <c r="AA3126" t="str">
        <f>IF(Z3126="","",IFERROR(LOOKUP(2,1/(#REF!=Z3126),#REF!),""))</f>
        <v/>
      </c>
      <c r="AB3126" t="str">
        <f>IF(Z3126="","",IFERROR(LOOKUP(2,1/(#REF!=Z3126),#REF!),""))</f>
        <v/>
      </c>
      <c r="AC3126" t="str">
        <f>IF(Z3126="","",COUNTIF(#REF!,Z3126))</f>
        <v/>
      </c>
      <c r="AD3126" t="str">
        <f>IF(A3126="","",IF(AC3126&gt;1,"REVISAR DUPLICADO",IF(AA3126&lt;&gt;"","ACTUALIZADO POR EYR","SIN REPORTE EYR")))</f>
        <v/>
      </c>
    </row>
    <row r="3127" spans="11:30" x14ac:dyDescent="0.3">
      <c r="K3127" s="1" t="str">
        <f ca="1">IF(A3127="","",IF(OR(L3127="ENTREGADA",L3127="RETORNADA",L3127="ENTREGA DIGITAL"),0,MAX(0,5-NETWORKDAYS(H3127+1,TODAY()))))</f>
        <v/>
      </c>
      <c r="L3127" t="str">
        <f>IF(A3127="","",IFERROR(LOOKUP(2,1/(#REF!=Z3127),#REF!),Y3127))</f>
        <v/>
      </c>
      <c r="Z3127" t="str">
        <f>IF(A3127="","",TEXT(A3127,"0")&amp;"|"&amp;TEXT(H3127,"0"))</f>
        <v/>
      </c>
      <c r="AA3127" t="str">
        <f>IF(Z3127="","",IFERROR(LOOKUP(2,1/(#REF!=Z3127),#REF!),""))</f>
        <v/>
      </c>
      <c r="AB3127" t="str">
        <f>IF(Z3127="","",IFERROR(LOOKUP(2,1/(#REF!=Z3127),#REF!),""))</f>
        <v/>
      </c>
      <c r="AC3127" t="str">
        <f>IF(Z3127="","",COUNTIF(#REF!,Z3127))</f>
        <v/>
      </c>
      <c r="AD3127" t="str">
        <f>IF(A3127="","",IF(AC3127&gt;1,"REVISAR DUPLICADO",IF(AA3127&lt;&gt;"","ACTUALIZADO POR EYR","SIN REPORTE EYR")))</f>
        <v/>
      </c>
    </row>
    <row r="3128" spans="11:30" x14ac:dyDescent="0.3">
      <c r="K3128" s="1" t="str">
        <f ca="1">IF(A3128="","",IF(OR(L3128="ENTREGADA",L3128="RETORNADA",L3128="ENTREGA DIGITAL"),0,MAX(0,5-NETWORKDAYS(H3128+1,TODAY()))))</f>
        <v/>
      </c>
      <c r="L3128" t="str">
        <f>IF(A3128="","",IFERROR(LOOKUP(2,1/(#REF!=Z3128),#REF!),Y3128))</f>
        <v/>
      </c>
      <c r="Z3128" t="str">
        <f>IF(A3128="","",TEXT(A3128,"0")&amp;"|"&amp;TEXT(H3128,"0"))</f>
        <v/>
      </c>
      <c r="AA3128" t="str">
        <f>IF(Z3128="","",IFERROR(LOOKUP(2,1/(#REF!=Z3128),#REF!),""))</f>
        <v/>
      </c>
      <c r="AB3128" t="str">
        <f>IF(Z3128="","",IFERROR(LOOKUP(2,1/(#REF!=Z3128),#REF!),""))</f>
        <v/>
      </c>
      <c r="AC3128" t="str">
        <f>IF(Z3128="","",COUNTIF(#REF!,Z3128))</f>
        <v/>
      </c>
      <c r="AD3128" t="str">
        <f>IF(A3128="","",IF(AC3128&gt;1,"REVISAR DUPLICADO",IF(AA3128&lt;&gt;"","ACTUALIZADO POR EYR","SIN REPORTE EYR")))</f>
        <v/>
      </c>
    </row>
    <row r="3129" spans="11:30" x14ac:dyDescent="0.3">
      <c r="K3129" s="1" t="str">
        <f ca="1">IF(A3129="","",IF(OR(L3129="ENTREGADA",L3129="RETORNADA",L3129="ENTREGA DIGITAL"),0,MAX(0,5-NETWORKDAYS(H3129+1,TODAY()))))</f>
        <v/>
      </c>
      <c r="L3129" t="str">
        <f>IF(A3129="","",IFERROR(LOOKUP(2,1/(#REF!=Z3129),#REF!),Y3129))</f>
        <v/>
      </c>
      <c r="Z3129" t="str">
        <f>IF(A3129="","",TEXT(A3129,"0")&amp;"|"&amp;TEXT(H3129,"0"))</f>
        <v/>
      </c>
      <c r="AA3129" t="str">
        <f>IF(Z3129="","",IFERROR(LOOKUP(2,1/(#REF!=Z3129),#REF!),""))</f>
        <v/>
      </c>
      <c r="AB3129" t="str">
        <f>IF(Z3129="","",IFERROR(LOOKUP(2,1/(#REF!=Z3129),#REF!),""))</f>
        <v/>
      </c>
      <c r="AC3129" t="str">
        <f>IF(Z3129="","",COUNTIF(#REF!,Z3129))</f>
        <v/>
      </c>
      <c r="AD3129" t="str">
        <f>IF(A3129="","",IF(AC3129&gt;1,"REVISAR DUPLICADO",IF(AA3129&lt;&gt;"","ACTUALIZADO POR EYR","SIN REPORTE EYR")))</f>
        <v/>
      </c>
    </row>
    <row r="3130" spans="11:30" x14ac:dyDescent="0.3">
      <c r="K3130" s="1" t="str">
        <f ca="1">IF(A3130="","",IF(OR(L3130="ENTREGADA",L3130="RETORNADA",L3130="ENTREGA DIGITAL"),0,MAX(0,5-NETWORKDAYS(H3130+1,TODAY()))))</f>
        <v/>
      </c>
      <c r="L3130" t="str">
        <f>IF(A3130="","",IFERROR(LOOKUP(2,1/(#REF!=Z3130),#REF!),Y3130))</f>
        <v/>
      </c>
      <c r="Z3130" t="str">
        <f>IF(A3130="","",TEXT(A3130,"0")&amp;"|"&amp;TEXT(H3130,"0"))</f>
        <v/>
      </c>
      <c r="AA3130" t="str">
        <f>IF(Z3130="","",IFERROR(LOOKUP(2,1/(#REF!=Z3130),#REF!),""))</f>
        <v/>
      </c>
      <c r="AB3130" t="str">
        <f>IF(Z3130="","",IFERROR(LOOKUP(2,1/(#REF!=Z3130),#REF!),""))</f>
        <v/>
      </c>
      <c r="AC3130" t="str">
        <f>IF(Z3130="","",COUNTIF(#REF!,Z3130))</f>
        <v/>
      </c>
      <c r="AD3130" t="str">
        <f>IF(A3130="","",IF(AC3130&gt;1,"REVISAR DUPLICADO",IF(AA3130&lt;&gt;"","ACTUALIZADO POR EYR","SIN REPORTE EYR")))</f>
        <v/>
      </c>
    </row>
    <row r="3131" spans="11:30" x14ac:dyDescent="0.3">
      <c r="K3131" s="1" t="str">
        <f ca="1">IF(A3131="","",IF(OR(L3131="ENTREGADA",L3131="RETORNADA",L3131="ENTREGA DIGITAL"),0,MAX(0,5-NETWORKDAYS(H3131+1,TODAY()))))</f>
        <v/>
      </c>
      <c r="L3131" t="str">
        <f>IF(A3131="","",IFERROR(LOOKUP(2,1/(#REF!=Z3131),#REF!),Y3131))</f>
        <v/>
      </c>
      <c r="Z3131" t="str">
        <f>IF(A3131="","",TEXT(A3131,"0")&amp;"|"&amp;TEXT(H3131,"0"))</f>
        <v/>
      </c>
      <c r="AA3131" t="str">
        <f>IF(Z3131="","",IFERROR(LOOKUP(2,1/(#REF!=Z3131),#REF!),""))</f>
        <v/>
      </c>
      <c r="AB3131" t="str">
        <f>IF(Z3131="","",IFERROR(LOOKUP(2,1/(#REF!=Z3131),#REF!),""))</f>
        <v/>
      </c>
      <c r="AC3131" t="str">
        <f>IF(Z3131="","",COUNTIF(#REF!,Z3131))</f>
        <v/>
      </c>
      <c r="AD3131" t="str">
        <f>IF(A3131="","",IF(AC3131&gt;1,"REVISAR DUPLICADO",IF(AA3131&lt;&gt;"","ACTUALIZADO POR EYR","SIN REPORTE EYR")))</f>
        <v/>
      </c>
    </row>
    <row r="3132" spans="11:30" x14ac:dyDescent="0.3">
      <c r="K3132" s="1" t="str">
        <f ca="1">IF(A3132="","",IF(OR(L3132="ENTREGADA",L3132="RETORNADA",L3132="ENTREGA DIGITAL"),0,MAX(0,5-NETWORKDAYS(H3132+1,TODAY()))))</f>
        <v/>
      </c>
      <c r="L3132" t="str">
        <f>IF(A3132="","",IFERROR(LOOKUP(2,1/(#REF!=Z3132),#REF!),Y3132))</f>
        <v/>
      </c>
      <c r="Z3132" t="str">
        <f>IF(A3132="","",TEXT(A3132,"0")&amp;"|"&amp;TEXT(H3132,"0"))</f>
        <v/>
      </c>
      <c r="AA3132" t="str">
        <f>IF(Z3132="","",IFERROR(LOOKUP(2,1/(#REF!=Z3132),#REF!),""))</f>
        <v/>
      </c>
      <c r="AB3132" t="str">
        <f>IF(Z3132="","",IFERROR(LOOKUP(2,1/(#REF!=Z3132),#REF!),""))</f>
        <v/>
      </c>
      <c r="AC3132" t="str">
        <f>IF(Z3132="","",COUNTIF(#REF!,Z3132))</f>
        <v/>
      </c>
      <c r="AD3132" t="str">
        <f>IF(A3132="","",IF(AC3132&gt;1,"REVISAR DUPLICADO",IF(AA3132&lt;&gt;"","ACTUALIZADO POR EYR","SIN REPORTE EYR")))</f>
        <v/>
      </c>
    </row>
    <row r="3133" spans="11:30" x14ac:dyDescent="0.3">
      <c r="K3133" s="1" t="str">
        <f ca="1">IF(A3133="","",IF(OR(L3133="ENTREGADA",L3133="RETORNADA",L3133="ENTREGA DIGITAL"),0,MAX(0,5-NETWORKDAYS(H3133+1,TODAY()))))</f>
        <v/>
      </c>
      <c r="L3133" t="str">
        <f>IF(A3133="","",IFERROR(LOOKUP(2,1/(#REF!=Z3133),#REF!),Y3133))</f>
        <v/>
      </c>
      <c r="Z3133" t="str">
        <f>IF(A3133="","",TEXT(A3133,"0")&amp;"|"&amp;TEXT(H3133,"0"))</f>
        <v/>
      </c>
      <c r="AA3133" t="str">
        <f>IF(Z3133="","",IFERROR(LOOKUP(2,1/(#REF!=Z3133),#REF!),""))</f>
        <v/>
      </c>
      <c r="AB3133" t="str">
        <f>IF(Z3133="","",IFERROR(LOOKUP(2,1/(#REF!=Z3133),#REF!),""))</f>
        <v/>
      </c>
      <c r="AC3133" t="str">
        <f>IF(Z3133="","",COUNTIF(#REF!,Z3133))</f>
        <v/>
      </c>
      <c r="AD3133" t="str">
        <f>IF(A3133="","",IF(AC3133&gt;1,"REVISAR DUPLICADO",IF(AA3133&lt;&gt;"","ACTUALIZADO POR EYR","SIN REPORTE EYR")))</f>
        <v/>
      </c>
    </row>
    <row r="3134" spans="11:30" x14ac:dyDescent="0.3">
      <c r="K3134" s="1" t="str">
        <f ca="1">IF(A3134="","",IF(OR(L3134="ENTREGADA",L3134="RETORNADA",L3134="ENTREGA DIGITAL"),0,MAX(0,5-NETWORKDAYS(H3134+1,TODAY()))))</f>
        <v/>
      </c>
      <c r="L3134" t="str">
        <f>IF(A3134="","",IFERROR(LOOKUP(2,1/(#REF!=Z3134),#REF!),Y3134))</f>
        <v/>
      </c>
      <c r="Z3134" t="str">
        <f>IF(A3134="","",TEXT(A3134,"0")&amp;"|"&amp;TEXT(H3134,"0"))</f>
        <v/>
      </c>
      <c r="AA3134" t="str">
        <f>IF(Z3134="","",IFERROR(LOOKUP(2,1/(#REF!=Z3134),#REF!),""))</f>
        <v/>
      </c>
      <c r="AB3134" t="str">
        <f>IF(Z3134="","",IFERROR(LOOKUP(2,1/(#REF!=Z3134),#REF!),""))</f>
        <v/>
      </c>
      <c r="AC3134" t="str">
        <f>IF(Z3134="","",COUNTIF(#REF!,Z3134))</f>
        <v/>
      </c>
      <c r="AD3134" t="str">
        <f>IF(A3134="","",IF(AC3134&gt;1,"REVISAR DUPLICADO",IF(AA3134&lt;&gt;"","ACTUALIZADO POR EYR","SIN REPORTE EYR")))</f>
        <v/>
      </c>
    </row>
    <row r="3135" spans="11:30" x14ac:dyDescent="0.3">
      <c r="K3135" s="1" t="str">
        <f ca="1">IF(A3135="","",IF(OR(L3135="ENTREGADA",L3135="RETORNADA",L3135="ENTREGA DIGITAL"),0,MAX(0,5-NETWORKDAYS(H3135+1,TODAY()))))</f>
        <v/>
      </c>
      <c r="L3135" t="str">
        <f>IF(A3135="","",IFERROR(LOOKUP(2,1/(#REF!=Z3135),#REF!),Y3135))</f>
        <v/>
      </c>
      <c r="Z3135" t="str">
        <f>IF(A3135="","",TEXT(A3135,"0")&amp;"|"&amp;TEXT(H3135,"0"))</f>
        <v/>
      </c>
      <c r="AA3135" t="str">
        <f>IF(Z3135="","",IFERROR(LOOKUP(2,1/(#REF!=Z3135),#REF!),""))</f>
        <v/>
      </c>
      <c r="AB3135" t="str">
        <f>IF(Z3135="","",IFERROR(LOOKUP(2,1/(#REF!=Z3135),#REF!),""))</f>
        <v/>
      </c>
      <c r="AC3135" t="str">
        <f>IF(Z3135="","",COUNTIF(#REF!,Z3135))</f>
        <v/>
      </c>
      <c r="AD3135" t="str">
        <f>IF(A3135="","",IF(AC3135&gt;1,"REVISAR DUPLICADO",IF(AA3135&lt;&gt;"","ACTUALIZADO POR EYR","SIN REPORTE EYR")))</f>
        <v/>
      </c>
    </row>
    <row r="3136" spans="11:30" x14ac:dyDescent="0.3">
      <c r="K3136" s="1" t="str">
        <f ca="1">IF(A3136="","",IF(OR(L3136="ENTREGADA",L3136="RETORNADA",L3136="ENTREGA DIGITAL"),0,MAX(0,5-NETWORKDAYS(H3136+1,TODAY()))))</f>
        <v/>
      </c>
      <c r="L3136" t="str">
        <f>IF(A3136="","",IFERROR(LOOKUP(2,1/(#REF!=Z3136),#REF!),Y3136))</f>
        <v/>
      </c>
      <c r="Z3136" t="str">
        <f>IF(A3136="","",TEXT(A3136,"0")&amp;"|"&amp;TEXT(H3136,"0"))</f>
        <v/>
      </c>
      <c r="AA3136" t="str">
        <f>IF(Z3136="","",IFERROR(LOOKUP(2,1/(#REF!=Z3136),#REF!),""))</f>
        <v/>
      </c>
      <c r="AB3136" t="str">
        <f>IF(Z3136="","",IFERROR(LOOKUP(2,1/(#REF!=Z3136),#REF!),""))</f>
        <v/>
      </c>
      <c r="AC3136" t="str">
        <f>IF(Z3136="","",COUNTIF(#REF!,Z3136))</f>
        <v/>
      </c>
      <c r="AD3136" t="str">
        <f>IF(A3136="","",IF(AC3136&gt;1,"REVISAR DUPLICADO",IF(AA3136&lt;&gt;"","ACTUALIZADO POR EYR","SIN REPORTE EYR")))</f>
        <v/>
      </c>
    </row>
    <row r="3137" spans="11:30" x14ac:dyDescent="0.3">
      <c r="K3137" s="1" t="str">
        <f ca="1">IF(A3137="","",IF(OR(L3137="ENTREGADA",L3137="RETORNADA",L3137="ENTREGA DIGITAL"),0,MAX(0,5-NETWORKDAYS(H3137+1,TODAY()))))</f>
        <v/>
      </c>
      <c r="L3137" t="str">
        <f>IF(A3137="","",IFERROR(LOOKUP(2,1/(#REF!=Z3137),#REF!),Y3137))</f>
        <v/>
      </c>
      <c r="Z3137" t="str">
        <f>IF(A3137="","",TEXT(A3137,"0")&amp;"|"&amp;TEXT(H3137,"0"))</f>
        <v/>
      </c>
      <c r="AA3137" t="str">
        <f>IF(Z3137="","",IFERROR(LOOKUP(2,1/(#REF!=Z3137),#REF!),""))</f>
        <v/>
      </c>
      <c r="AB3137" t="str">
        <f>IF(Z3137="","",IFERROR(LOOKUP(2,1/(#REF!=Z3137),#REF!),""))</f>
        <v/>
      </c>
      <c r="AC3137" t="str">
        <f>IF(Z3137="","",COUNTIF(#REF!,Z3137))</f>
        <v/>
      </c>
      <c r="AD3137" t="str">
        <f>IF(A3137="","",IF(AC3137&gt;1,"REVISAR DUPLICADO",IF(AA3137&lt;&gt;"","ACTUALIZADO POR EYR","SIN REPORTE EYR")))</f>
        <v/>
      </c>
    </row>
    <row r="3138" spans="11:30" x14ac:dyDescent="0.3">
      <c r="K3138" s="1" t="str">
        <f ca="1">IF(A3138="","",IF(OR(L3138="ENTREGADA",L3138="RETORNADA",L3138="ENTREGA DIGITAL"),0,MAX(0,5-NETWORKDAYS(H3138+1,TODAY()))))</f>
        <v/>
      </c>
      <c r="L3138" t="str">
        <f>IF(A3138="","",IFERROR(LOOKUP(2,1/(#REF!=Z3138),#REF!),Y3138))</f>
        <v/>
      </c>
      <c r="Z3138" t="str">
        <f>IF(A3138="","",TEXT(A3138,"0")&amp;"|"&amp;TEXT(H3138,"0"))</f>
        <v/>
      </c>
      <c r="AA3138" t="str">
        <f>IF(Z3138="","",IFERROR(LOOKUP(2,1/(#REF!=Z3138),#REF!),""))</f>
        <v/>
      </c>
      <c r="AB3138" t="str">
        <f>IF(Z3138="","",IFERROR(LOOKUP(2,1/(#REF!=Z3138),#REF!),""))</f>
        <v/>
      </c>
      <c r="AC3138" t="str">
        <f>IF(Z3138="","",COUNTIF(#REF!,Z3138))</f>
        <v/>
      </c>
      <c r="AD3138" t="str">
        <f>IF(A3138="","",IF(AC3138&gt;1,"REVISAR DUPLICADO",IF(AA3138&lt;&gt;"","ACTUALIZADO POR EYR","SIN REPORTE EYR")))</f>
        <v/>
      </c>
    </row>
    <row r="3139" spans="11:30" x14ac:dyDescent="0.3">
      <c r="K3139" s="1" t="str">
        <f ca="1">IF(A3139="","",IF(OR(L3139="ENTREGADA",L3139="RETORNADA",L3139="ENTREGA DIGITAL"),0,MAX(0,5-NETWORKDAYS(H3139+1,TODAY()))))</f>
        <v/>
      </c>
      <c r="L3139" t="str">
        <f>IF(A3139="","",IFERROR(LOOKUP(2,1/(#REF!=Z3139),#REF!),Y3139))</f>
        <v/>
      </c>
      <c r="Z3139" t="str">
        <f>IF(A3139="","",TEXT(A3139,"0")&amp;"|"&amp;TEXT(H3139,"0"))</f>
        <v/>
      </c>
      <c r="AA3139" t="str">
        <f>IF(Z3139="","",IFERROR(LOOKUP(2,1/(#REF!=Z3139),#REF!),""))</f>
        <v/>
      </c>
      <c r="AB3139" t="str">
        <f>IF(Z3139="","",IFERROR(LOOKUP(2,1/(#REF!=Z3139),#REF!),""))</f>
        <v/>
      </c>
      <c r="AC3139" t="str">
        <f>IF(Z3139="","",COUNTIF(#REF!,Z3139))</f>
        <v/>
      </c>
      <c r="AD3139" t="str">
        <f>IF(A3139="","",IF(AC3139&gt;1,"REVISAR DUPLICADO",IF(AA3139&lt;&gt;"","ACTUALIZADO POR EYR","SIN REPORTE EYR")))</f>
        <v/>
      </c>
    </row>
    <row r="3140" spans="11:30" x14ac:dyDescent="0.3">
      <c r="K3140" s="1" t="str">
        <f ca="1">IF(A3140="","",IF(OR(L3140="ENTREGADA",L3140="RETORNADA",L3140="ENTREGA DIGITAL"),0,MAX(0,5-NETWORKDAYS(H3140+1,TODAY()))))</f>
        <v/>
      </c>
      <c r="L3140" t="str">
        <f>IF(A3140="","",IFERROR(LOOKUP(2,1/(#REF!=Z3140),#REF!),Y3140))</f>
        <v/>
      </c>
      <c r="Z3140" t="str">
        <f>IF(A3140="","",TEXT(A3140,"0")&amp;"|"&amp;TEXT(H3140,"0"))</f>
        <v/>
      </c>
      <c r="AA3140" t="str">
        <f>IF(Z3140="","",IFERROR(LOOKUP(2,1/(#REF!=Z3140),#REF!),""))</f>
        <v/>
      </c>
      <c r="AB3140" t="str">
        <f>IF(Z3140="","",IFERROR(LOOKUP(2,1/(#REF!=Z3140),#REF!),""))</f>
        <v/>
      </c>
      <c r="AC3140" t="str">
        <f>IF(Z3140="","",COUNTIF(#REF!,Z3140))</f>
        <v/>
      </c>
      <c r="AD3140" t="str">
        <f>IF(A3140="","",IF(AC3140&gt;1,"REVISAR DUPLICADO",IF(AA3140&lt;&gt;"","ACTUALIZADO POR EYR","SIN REPORTE EYR")))</f>
        <v/>
      </c>
    </row>
    <row r="3141" spans="11:30" x14ac:dyDescent="0.3">
      <c r="K3141" s="1" t="str">
        <f ca="1">IF(A3141="","",IF(OR(L3141="ENTREGADA",L3141="RETORNADA",L3141="ENTREGA DIGITAL"),0,MAX(0,5-NETWORKDAYS(H3141+1,TODAY()))))</f>
        <v/>
      </c>
      <c r="L3141" t="str">
        <f>IF(A3141="","",IFERROR(LOOKUP(2,1/(#REF!=Z3141),#REF!),Y3141))</f>
        <v/>
      </c>
      <c r="Z3141" t="str">
        <f>IF(A3141="","",TEXT(A3141,"0")&amp;"|"&amp;TEXT(H3141,"0"))</f>
        <v/>
      </c>
      <c r="AA3141" t="str">
        <f>IF(Z3141="","",IFERROR(LOOKUP(2,1/(#REF!=Z3141),#REF!),""))</f>
        <v/>
      </c>
      <c r="AB3141" t="str">
        <f>IF(Z3141="","",IFERROR(LOOKUP(2,1/(#REF!=Z3141),#REF!),""))</f>
        <v/>
      </c>
      <c r="AC3141" t="str">
        <f>IF(Z3141="","",COUNTIF(#REF!,Z3141))</f>
        <v/>
      </c>
      <c r="AD3141" t="str">
        <f>IF(A3141="","",IF(AC3141&gt;1,"REVISAR DUPLICADO",IF(AA3141&lt;&gt;"","ACTUALIZADO POR EYR","SIN REPORTE EYR")))</f>
        <v/>
      </c>
    </row>
    <row r="3142" spans="11:30" x14ac:dyDescent="0.3">
      <c r="K3142" s="1" t="str">
        <f ca="1">IF(A3142="","",IF(OR(L3142="ENTREGADA",L3142="RETORNADA",L3142="ENTREGA DIGITAL"),0,MAX(0,5-NETWORKDAYS(H3142+1,TODAY()))))</f>
        <v/>
      </c>
      <c r="L3142" t="str">
        <f>IF(A3142="","",IFERROR(LOOKUP(2,1/(#REF!=Z3142),#REF!),Y3142))</f>
        <v/>
      </c>
      <c r="Z3142" t="str">
        <f>IF(A3142="","",TEXT(A3142,"0")&amp;"|"&amp;TEXT(H3142,"0"))</f>
        <v/>
      </c>
      <c r="AA3142" t="str">
        <f>IF(Z3142="","",IFERROR(LOOKUP(2,1/(#REF!=Z3142),#REF!),""))</f>
        <v/>
      </c>
      <c r="AB3142" t="str">
        <f>IF(Z3142="","",IFERROR(LOOKUP(2,1/(#REF!=Z3142),#REF!),""))</f>
        <v/>
      </c>
      <c r="AC3142" t="str">
        <f>IF(Z3142="","",COUNTIF(#REF!,Z3142))</f>
        <v/>
      </c>
      <c r="AD3142" t="str">
        <f>IF(A3142="","",IF(AC3142&gt;1,"REVISAR DUPLICADO",IF(AA3142&lt;&gt;"","ACTUALIZADO POR EYR","SIN REPORTE EYR")))</f>
        <v/>
      </c>
    </row>
    <row r="3143" spans="11:30" x14ac:dyDescent="0.3">
      <c r="K3143" s="1" t="str">
        <f ca="1">IF(A3143="","",IF(OR(L3143="ENTREGADA",L3143="RETORNADA",L3143="ENTREGA DIGITAL"),0,MAX(0,5-NETWORKDAYS(H3143+1,TODAY()))))</f>
        <v/>
      </c>
      <c r="L3143" t="str">
        <f>IF(A3143="","",IFERROR(LOOKUP(2,1/(#REF!=Z3143),#REF!),Y3143))</f>
        <v/>
      </c>
      <c r="Z3143" t="str">
        <f>IF(A3143="","",TEXT(A3143,"0")&amp;"|"&amp;TEXT(H3143,"0"))</f>
        <v/>
      </c>
      <c r="AA3143" t="str">
        <f>IF(Z3143="","",IFERROR(LOOKUP(2,1/(#REF!=Z3143),#REF!),""))</f>
        <v/>
      </c>
      <c r="AB3143" t="str">
        <f>IF(Z3143="","",IFERROR(LOOKUP(2,1/(#REF!=Z3143),#REF!),""))</f>
        <v/>
      </c>
      <c r="AC3143" t="str">
        <f>IF(Z3143="","",COUNTIF(#REF!,Z3143))</f>
        <v/>
      </c>
      <c r="AD3143" t="str">
        <f>IF(A3143="","",IF(AC3143&gt;1,"REVISAR DUPLICADO",IF(AA3143&lt;&gt;"","ACTUALIZADO POR EYR","SIN REPORTE EYR")))</f>
        <v/>
      </c>
    </row>
    <row r="3144" spans="11:30" x14ac:dyDescent="0.3">
      <c r="K3144" s="1" t="str">
        <f ca="1">IF(A3144="","",IF(OR(L3144="ENTREGADA",L3144="RETORNADA",L3144="ENTREGA DIGITAL"),0,MAX(0,5-NETWORKDAYS(H3144+1,TODAY()))))</f>
        <v/>
      </c>
      <c r="L3144" t="str">
        <f>IF(A3144="","",IFERROR(LOOKUP(2,1/(#REF!=Z3144),#REF!),Y3144))</f>
        <v/>
      </c>
      <c r="Z3144" t="str">
        <f>IF(A3144="","",TEXT(A3144,"0")&amp;"|"&amp;TEXT(H3144,"0"))</f>
        <v/>
      </c>
      <c r="AA3144" t="str">
        <f>IF(Z3144="","",IFERROR(LOOKUP(2,1/(#REF!=Z3144),#REF!),""))</f>
        <v/>
      </c>
      <c r="AB3144" t="str">
        <f>IF(Z3144="","",IFERROR(LOOKUP(2,1/(#REF!=Z3144),#REF!),""))</f>
        <v/>
      </c>
      <c r="AC3144" t="str">
        <f>IF(Z3144="","",COUNTIF(#REF!,Z3144))</f>
        <v/>
      </c>
      <c r="AD3144" t="str">
        <f>IF(A3144="","",IF(AC3144&gt;1,"REVISAR DUPLICADO",IF(AA3144&lt;&gt;"","ACTUALIZADO POR EYR","SIN REPORTE EYR")))</f>
        <v/>
      </c>
    </row>
    <row r="3145" spans="11:30" x14ac:dyDescent="0.3">
      <c r="K3145" s="1" t="str">
        <f ca="1">IF(A3145="","",IF(OR(L3145="ENTREGADA",L3145="RETORNADA",L3145="ENTREGA DIGITAL"),0,MAX(0,5-NETWORKDAYS(H3145+1,TODAY()))))</f>
        <v/>
      </c>
      <c r="L3145" t="str">
        <f>IF(A3145="","",IFERROR(LOOKUP(2,1/(#REF!=Z3145),#REF!),Y3145))</f>
        <v/>
      </c>
      <c r="Z3145" t="str">
        <f>IF(A3145="","",TEXT(A3145,"0")&amp;"|"&amp;TEXT(H3145,"0"))</f>
        <v/>
      </c>
      <c r="AA3145" t="str">
        <f>IF(Z3145="","",IFERROR(LOOKUP(2,1/(#REF!=Z3145),#REF!),""))</f>
        <v/>
      </c>
      <c r="AB3145" t="str">
        <f>IF(Z3145="","",IFERROR(LOOKUP(2,1/(#REF!=Z3145),#REF!),""))</f>
        <v/>
      </c>
      <c r="AC3145" t="str">
        <f>IF(Z3145="","",COUNTIF(#REF!,Z3145))</f>
        <v/>
      </c>
      <c r="AD3145" t="str">
        <f>IF(A3145="","",IF(AC3145&gt;1,"REVISAR DUPLICADO",IF(AA3145&lt;&gt;"","ACTUALIZADO POR EYR","SIN REPORTE EYR")))</f>
        <v/>
      </c>
    </row>
    <row r="3146" spans="11:30" x14ac:dyDescent="0.3">
      <c r="K3146" s="1" t="str">
        <f ca="1">IF(A3146="","",IF(OR(L3146="ENTREGADA",L3146="RETORNADA",L3146="ENTREGA DIGITAL"),0,MAX(0,5-NETWORKDAYS(H3146+1,TODAY()))))</f>
        <v/>
      </c>
      <c r="L3146" t="str">
        <f>IF(A3146="","",IFERROR(LOOKUP(2,1/(#REF!=Z3146),#REF!),Y3146))</f>
        <v/>
      </c>
      <c r="Z3146" t="str">
        <f>IF(A3146="","",TEXT(A3146,"0")&amp;"|"&amp;TEXT(H3146,"0"))</f>
        <v/>
      </c>
      <c r="AA3146" t="str">
        <f>IF(Z3146="","",IFERROR(LOOKUP(2,1/(#REF!=Z3146),#REF!),""))</f>
        <v/>
      </c>
      <c r="AB3146" t="str">
        <f>IF(Z3146="","",IFERROR(LOOKUP(2,1/(#REF!=Z3146),#REF!),""))</f>
        <v/>
      </c>
      <c r="AC3146" t="str">
        <f>IF(Z3146="","",COUNTIF(#REF!,Z3146))</f>
        <v/>
      </c>
      <c r="AD3146" t="str">
        <f>IF(A3146="","",IF(AC3146&gt;1,"REVISAR DUPLICADO",IF(AA3146&lt;&gt;"","ACTUALIZADO POR EYR","SIN REPORTE EYR")))</f>
        <v/>
      </c>
    </row>
    <row r="3147" spans="11:30" x14ac:dyDescent="0.3">
      <c r="K3147" s="1" t="str">
        <f ca="1">IF(A3147="","",IF(OR(L3147="ENTREGADA",L3147="RETORNADA",L3147="ENTREGA DIGITAL"),0,MAX(0,5-NETWORKDAYS(H3147+1,TODAY()))))</f>
        <v/>
      </c>
      <c r="L3147" t="str">
        <f>IF(A3147="","",IFERROR(LOOKUP(2,1/(#REF!=Z3147),#REF!),Y3147))</f>
        <v/>
      </c>
      <c r="Z3147" t="str">
        <f>IF(A3147="","",TEXT(A3147,"0")&amp;"|"&amp;TEXT(H3147,"0"))</f>
        <v/>
      </c>
      <c r="AA3147" t="str">
        <f>IF(Z3147="","",IFERROR(LOOKUP(2,1/(#REF!=Z3147),#REF!),""))</f>
        <v/>
      </c>
      <c r="AB3147" t="str">
        <f>IF(Z3147="","",IFERROR(LOOKUP(2,1/(#REF!=Z3147),#REF!),""))</f>
        <v/>
      </c>
      <c r="AC3147" t="str">
        <f>IF(Z3147="","",COUNTIF(#REF!,Z3147))</f>
        <v/>
      </c>
      <c r="AD3147" t="str">
        <f>IF(A3147="","",IF(AC3147&gt;1,"REVISAR DUPLICADO",IF(AA3147&lt;&gt;"","ACTUALIZADO POR EYR","SIN REPORTE EYR")))</f>
        <v/>
      </c>
    </row>
    <row r="3148" spans="11:30" x14ac:dyDescent="0.3">
      <c r="K3148" s="1" t="str">
        <f ca="1">IF(A3148="","",IF(OR(L3148="ENTREGADA",L3148="RETORNADA",L3148="ENTREGA DIGITAL"),0,MAX(0,5-NETWORKDAYS(H3148+1,TODAY()))))</f>
        <v/>
      </c>
      <c r="L3148" t="str">
        <f>IF(A3148="","",IFERROR(LOOKUP(2,1/(#REF!=Z3148),#REF!),Y3148))</f>
        <v/>
      </c>
      <c r="Z3148" t="str">
        <f>IF(A3148="","",TEXT(A3148,"0")&amp;"|"&amp;TEXT(H3148,"0"))</f>
        <v/>
      </c>
      <c r="AA3148" t="str">
        <f>IF(Z3148="","",IFERROR(LOOKUP(2,1/(#REF!=Z3148),#REF!),""))</f>
        <v/>
      </c>
      <c r="AB3148" t="str">
        <f>IF(Z3148="","",IFERROR(LOOKUP(2,1/(#REF!=Z3148),#REF!),""))</f>
        <v/>
      </c>
      <c r="AC3148" t="str">
        <f>IF(Z3148="","",COUNTIF(#REF!,Z3148))</f>
        <v/>
      </c>
      <c r="AD3148" t="str">
        <f>IF(A3148="","",IF(AC3148&gt;1,"REVISAR DUPLICADO",IF(AA3148&lt;&gt;"","ACTUALIZADO POR EYR","SIN REPORTE EYR")))</f>
        <v/>
      </c>
    </row>
    <row r="3149" spans="11:30" x14ac:dyDescent="0.3">
      <c r="K3149" s="1" t="str">
        <f ca="1">IF(A3149="","",IF(OR(L3149="ENTREGADA",L3149="RETORNADA",L3149="ENTREGA DIGITAL"),0,MAX(0,5-NETWORKDAYS(H3149+1,TODAY()))))</f>
        <v/>
      </c>
      <c r="L3149" t="str">
        <f>IF(A3149="","",IFERROR(LOOKUP(2,1/(#REF!=Z3149),#REF!),Y3149))</f>
        <v/>
      </c>
      <c r="Z3149" t="str">
        <f>IF(A3149="","",TEXT(A3149,"0")&amp;"|"&amp;TEXT(H3149,"0"))</f>
        <v/>
      </c>
      <c r="AA3149" t="str">
        <f>IF(Z3149="","",IFERROR(LOOKUP(2,1/(#REF!=Z3149),#REF!),""))</f>
        <v/>
      </c>
      <c r="AB3149" t="str">
        <f>IF(Z3149="","",IFERROR(LOOKUP(2,1/(#REF!=Z3149),#REF!),""))</f>
        <v/>
      </c>
      <c r="AC3149" t="str">
        <f>IF(Z3149="","",COUNTIF(#REF!,Z3149))</f>
        <v/>
      </c>
      <c r="AD3149" t="str">
        <f>IF(A3149="","",IF(AC3149&gt;1,"REVISAR DUPLICADO",IF(AA3149&lt;&gt;"","ACTUALIZADO POR EYR","SIN REPORTE EYR")))</f>
        <v/>
      </c>
    </row>
    <row r="3150" spans="11:30" x14ac:dyDescent="0.3">
      <c r="K3150" s="1" t="str">
        <f ca="1">IF(A3150="","",IF(OR(L3150="ENTREGADA",L3150="RETORNADA",L3150="ENTREGA DIGITAL"),0,MAX(0,5-NETWORKDAYS(H3150+1,TODAY()))))</f>
        <v/>
      </c>
      <c r="L3150" t="str">
        <f>IF(A3150="","",IFERROR(LOOKUP(2,1/(#REF!=Z3150),#REF!),Y3150))</f>
        <v/>
      </c>
      <c r="Z3150" t="str">
        <f>IF(A3150="","",TEXT(A3150,"0")&amp;"|"&amp;TEXT(H3150,"0"))</f>
        <v/>
      </c>
      <c r="AA3150" t="str">
        <f>IF(Z3150="","",IFERROR(LOOKUP(2,1/(#REF!=Z3150),#REF!),""))</f>
        <v/>
      </c>
      <c r="AB3150" t="str">
        <f>IF(Z3150="","",IFERROR(LOOKUP(2,1/(#REF!=Z3150),#REF!),""))</f>
        <v/>
      </c>
      <c r="AC3150" t="str">
        <f>IF(Z3150="","",COUNTIF(#REF!,Z3150))</f>
        <v/>
      </c>
      <c r="AD3150" t="str">
        <f>IF(A3150="","",IF(AC3150&gt;1,"REVISAR DUPLICADO",IF(AA3150&lt;&gt;"","ACTUALIZADO POR EYR","SIN REPORTE EYR")))</f>
        <v/>
      </c>
    </row>
    <row r="3151" spans="11:30" x14ac:dyDescent="0.3">
      <c r="K3151" s="1" t="str">
        <f ca="1">IF(A3151="","",IF(OR(L3151="ENTREGADA",L3151="RETORNADA",L3151="ENTREGA DIGITAL"),0,MAX(0,5-NETWORKDAYS(H3151+1,TODAY()))))</f>
        <v/>
      </c>
      <c r="L3151" t="str">
        <f>IF(A3151="","",IFERROR(LOOKUP(2,1/(#REF!=Z3151),#REF!),Y3151))</f>
        <v/>
      </c>
      <c r="Z3151" t="str">
        <f>IF(A3151="","",TEXT(A3151,"0")&amp;"|"&amp;TEXT(H3151,"0"))</f>
        <v/>
      </c>
      <c r="AA3151" t="str">
        <f>IF(Z3151="","",IFERROR(LOOKUP(2,1/(#REF!=Z3151),#REF!),""))</f>
        <v/>
      </c>
      <c r="AB3151" t="str">
        <f>IF(Z3151="","",IFERROR(LOOKUP(2,1/(#REF!=Z3151),#REF!),""))</f>
        <v/>
      </c>
      <c r="AC3151" t="str">
        <f>IF(Z3151="","",COUNTIF(#REF!,Z3151))</f>
        <v/>
      </c>
      <c r="AD3151" t="str">
        <f>IF(A3151="","",IF(AC3151&gt;1,"REVISAR DUPLICADO",IF(AA3151&lt;&gt;"","ACTUALIZADO POR EYR","SIN REPORTE EYR")))</f>
        <v/>
      </c>
    </row>
    <row r="3152" spans="11:30" x14ac:dyDescent="0.3">
      <c r="K3152" s="1" t="str">
        <f ca="1">IF(A3152="","",IF(OR(L3152="ENTREGADA",L3152="RETORNADA",L3152="ENTREGA DIGITAL"),0,MAX(0,5-NETWORKDAYS(H3152+1,TODAY()))))</f>
        <v/>
      </c>
      <c r="L3152" t="str">
        <f>IF(A3152="","",IFERROR(LOOKUP(2,1/(#REF!=Z3152),#REF!),Y3152))</f>
        <v/>
      </c>
      <c r="Z3152" t="str">
        <f>IF(A3152="","",TEXT(A3152,"0")&amp;"|"&amp;TEXT(H3152,"0"))</f>
        <v/>
      </c>
      <c r="AA3152" t="str">
        <f>IF(Z3152="","",IFERROR(LOOKUP(2,1/(#REF!=Z3152),#REF!),""))</f>
        <v/>
      </c>
      <c r="AB3152" t="str">
        <f>IF(Z3152="","",IFERROR(LOOKUP(2,1/(#REF!=Z3152),#REF!),""))</f>
        <v/>
      </c>
      <c r="AC3152" t="str">
        <f>IF(Z3152="","",COUNTIF(#REF!,Z3152))</f>
        <v/>
      </c>
      <c r="AD3152" t="str">
        <f>IF(A3152="","",IF(AC3152&gt;1,"REVISAR DUPLICADO",IF(AA3152&lt;&gt;"","ACTUALIZADO POR EYR","SIN REPORTE EYR")))</f>
        <v/>
      </c>
    </row>
    <row r="3153" spans="11:30" x14ac:dyDescent="0.3">
      <c r="K3153" s="1" t="str">
        <f ca="1">IF(A3153="","",IF(OR(L3153="ENTREGADA",L3153="RETORNADA",L3153="ENTREGA DIGITAL"),0,MAX(0,5-NETWORKDAYS(H3153+1,TODAY()))))</f>
        <v/>
      </c>
      <c r="L3153" t="str">
        <f>IF(A3153="","",IFERROR(LOOKUP(2,1/(#REF!=Z3153),#REF!),Y3153))</f>
        <v/>
      </c>
      <c r="Z3153" t="str">
        <f>IF(A3153="","",TEXT(A3153,"0")&amp;"|"&amp;TEXT(H3153,"0"))</f>
        <v/>
      </c>
      <c r="AA3153" t="str">
        <f>IF(Z3153="","",IFERROR(LOOKUP(2,1/(#REF!=Z3153),#REF!),""))</f>
        <v/>
      </c>
      <c r="AB3153" t="str">
        <f>IF(Z3153="","",IFERROR(LOOKUP(2,1/(#REF!=Z3153),#REF!),""))</f>
        <v/>
      </c>
      <c r="AC3153" t="str">
        <f>IF(Z3153="","",COUNTIF(#REF!,Z3153))</f>
        <v/>
      </c>
      <c r="AD3153" t="str">
        <f>IF(A3153="","",IF(AC3153&gt;1,"REVISAR DUPLICADO",IF(AA3153&lt;&gt;"","ACTUALIZADO POR EYR","SIN REPORTE EYR")))</f>
        <v/>
      </c>
    </row>
    <row r="3154" spans="11:30" x14ac:dyDescent="0.3">
      <c r="K3154" s="1" t="str">
        <f ca="1">IF(A3154="","",IF(OR(L3154="ENTREGADA",L3154="RETORNADA",L3154="ENTREGA DIGITAL"),0,MAX(0,5-NETWORKDAYS(H3154+1,TODAY()))))</f>
        <v/>
      </c>
      <c r="L3154" t="str">
        <f>IF(A3154="","",IFERROR(LOOKUP(2,1/(#REF!=Z3154),#REF!),Y3154))</f>
        <v/>
      </c>
      <c r="Z3154" t="str">
        <f>IF(A3154="","",TEXT(A3154,"0")&amp;"|"&amp;TEXT(H3154,"0"))</f>
        <v/>
      </c>
      <c r="AA3154" t="str">
        <f>IF(Z3154="","",IFERROR(LOOKUP(2,1/(#REF!=Z3154),#REF!),""))</f>
        <v/>
      </c>
      <c r="AB3154" t="str">
        <f>IF(Z3154="","",IFERROR(LOOKUP(2,1/(#REF!=Z3154),#REF!),""))</f>
        <v/>
      </c>
      <c r="AC3154" t="str">
        <f>IF(Z3154="","",COUNTIF(#REF!,Z3154))</f>
        <v/>
      </c>
      <c r="AD3154" t="str">
        <f>IF(A3154="","",IF(AC3154&gt;1,"REVISAR DUPLICADO",IF(AA3154&lt;&gt;"","ACTUALIZADO POR EYR","SIN REPORTE EYR")))</f>
        <v/>
      </c>
    </row>
    <row r="3155" spans="11:30" x14ac:dyDescent="0.3">
      <c r="K3155" s="1" t="str">
        <f ca="1">IF(A3155="","",IF(OR(L3155="ENTREGADA",L3155="RETORNADA",L3155="ENTREGA DIGITAL"),0,MAX(0,5-NETWORKDAYS(H3155+1,TODAY()))))</f>
        <v/>
      </c>
      <c r="L3155" t="str">
        <f>IF(A3155="","",IFERROR(LOOKUP(2,1/(#REF!=Z3155),#REF!),Y3155))</f>
        <v/>
      </c>
      <c r="Z3155" t="str">
        <f>IF(A3155="","",TEXT(A3155,"0")&amp;"|"&amp;TEXT(H3155,"0"))</f>
        <v/>
      </c>
      <c r="AA3155" t="str">
        <f>IF(Z3155="","",IFERROR(LOOKUP(2,1/(#REF!=Z3155),#REF!),""))</f>
        <v/>
      </c>
      <c r="AB3155" t="str">
        <f>IF(Z3155="","",IFERROR(LOOKUP(2,1/(#REF!=Z3155),#REF!),""))</f>
        <v/>
      </c>
      <c r="AC3155" t="str">
        <f>IF(Z3155="","",COUNTIF(#REF!,Z3155))</f>
        <v/>
      </c>
      <c r="AD3155" t="str">
        <f>IF(A3155="","",IF(AC3155&gt;1,"REVISAR DUPLICADO",IF(AA3155&lt;&gt;"","ACTUALIZADO POR EYR","SIN REPORTE EYR")))</f>
        <v/>
      </c>
    </row>
    <row r="3156" spans="11:30" x14ac:dyDescent="0.3">
      <c r="K3156" s="1" t="str">
        <f ca="1">IF(A3156="","",IF(OR(L3156="ENTREGADA",L3156="RETORNADA",L3156="ENTREGA DIGITAL"),0,MAX(0,5-NETWORKDAYS(H3156+1,TODAY()))))</f>
        <v/>
      </c>
      <c r="L3156" t="str">
        <f>IF(A3156="","",IFERROR(LOOKUP(2,1/(#REF!=Z3156),#REF!),Y3156))</f>
        <v/>
      </c>
      <c r="Z3156" t="str">
        <f>IF(A3156="","",TEXT(A3156,"0")&amp;"|"&amp;TEXT(H3156,"0"))</f>
        <v/>
      </c>
      <c r="AA3156" t="str">
        <f>IF(Z3156="","",IFERROR(LOOKUP(2,1/(#REF!=Z3156),#REF!),""))</f>
        <v/>
      </c>
      <c r="AB3156" t="str">
        <f>IF(Z3156="","",IFERROR(LOOKUP(2,1/(#REF!=Z3156),#REF!),""))</f>
        <v/>
      </c>
      <c r="AC3156" t="str">
        <f>IF(Z3156="","",COUNTIF(#REF!,Z3156))</f>
        <v/>
      </c>
      <c r="AD3156" t="str">
        <f>IF(A3156="","",IF(AC3156&gt;1,"REVISAR DUPLICADO",IF(AA3156&lt;&gt;"","ACTUALIZADO POR EYR","SIN REPORTE EYR")))</f>
        <v/>
      </c>
    </row>
    <row r="3157" spans="11:30" x14ac:dyDescent="0.3">
      <c r="K3157" s="1" t="str">
        <f ca="1">IF(A3157="","",IF(OR(L3157="ENTREGADA",L3157="RETORNADA",L3157="ENTREGA DIGITAL"),0,MAX(0,5-NETWORKDAYS(H3157+1,TODAY()))))</f>
        <v/>
      </c>
      <c r="L3157" t="str">
        <f>IF(A3157="","",IFERROR(LOOKUP(2,1/(#REF!=Z3157),#REF!),Y3157))</f>
        <v/>
      </c>
      <c r="Z3157" t="str">
        <f>IF(A3157="","",TEXT(A3157,"0")&amp;"|"&amp;TEXT(H3157,"0"))</f>
        <v/>
      </c>
      <c r="AA3157" t="str">
        <f>IF(Z3157="","",IFERROR(LOOKUP(2,1/(#REF!=Z3157),#REF!),""))</f>
        <v/>
      </c>
      <c r="AB3157" t="str">
        <f>IF(Z3157="","",IFERROR(LOOKUP(2,1/(#REF!=Z3157),#REF!),""))</f>
        <v/>
      </c>
      <c r="AC3157" t="str">
        <f>IF(Z3157="","",COUNTIF(#REF!,Z3157))</f>
        <v/>
      </c>
      <c r="AD3157" t="str">
        <f>IF(A3157="","",IF(AC3157&gt;1,"REVISAR DUPLICADO",IF(AA3157&lt;&gt;"","ACTUALIZADO POR EYR","SIN REPORTE EYR")))</f>
        <v/>
      </c>
    </row>
    <row r="3158" spans="11:30" x14ac:dyDescent="0.3">
      <c r="K3158" s="1" t="str">
        <f ca="1">IF(A3158="","",IF(OR(L3158="ENTREGADA",L3158="RETORNADA",L3158="ENTREGA DIGITAL"),0,MAX(0,5-NETWORKDAYS(H3158+1,TODAY()))))</f>
        <v/>
      </c>
      <c r="L3158" t="str">
        <f>IF(A3158="","",IFERROR(LOOKUP(2,1/(#REF!=Z3158),#REF!),Y3158))</f>
        <v/>
      </c>
      <c r="Z3158" t="str">
        <f>IF(A3158="","",TEXT(A3158,"0")&amp;"|"&amp;TEXT(H3158,"0"))</f>
        <v/>
      </c>
      <c r="AA3158" t="str">
        <f>IF(Z3158="","",IFERROR(LOOKUP(2,1/(#REF!=Z3158),#REF!),""))</f>
        <v/>
      </c>
      <c r="AB3158" t="str">
        <f>IF(Z3158="","",IFERROR(LOOKUP(2,1/(#REF!=Z3158),#REF!),""))</f>
        <v/>
      </c>
      <c r="AC3158" t="str">
        <f>IF(Z3158="","",COUNTIF(#REF!,Z3158))</f>
        <v/>
      </c>
      <c r="AD3158" t="str">
        <f>IF(A3158="","",IF(AC3158&gt;1,"REVISAR DUPLICADO",IF(AA3158&lt;&gt;"","ACTUALIZADO POR EYR","SIN REPORTE EYR")))</f>
        <v/>
      </c>
    </row>
    <row r="3159" spans="11:30" x14ac:dyDescent="0.3">
      <c r="K3159" s="1" t="str">
        <f ca="1">IF(A3159="","",IF(OR(L3159="ENTREGADA",L3159="RETORNADA",L3159="ENTREGA DIGITAL"),0,MAX(0,5-NETWORKDAYS(H3159+1,TODAY()))))</f>
        <v/>
      </c>
      <c r="L3159" t="str">
        <f>IF(A3159="","",IFERROR(LOOKUP(2,1/(#REF!=Z3159),#REF!),Y3159))</f>
        <v/>
      </c>
      <c r="Z3159" t="str">
        <f>IF(A3159="","",TEXT(A3159,"0")&amp;"|"&amp;TEXT(H3159,"0"))</f>
        <v/>
      </c>
      <c r="AA3159" t="str">
        <f>IF(Z3159="","",IFERROR(LOOKUP(2,1/(#REF!=Z3159),#REF!),""))</f>
        <v/>
      </c>
      <c r="AB3159" t="str">
        <f>IF(Z3159="","",IFERROR(LOOKUP(2,1/(#REF!=Z3159),#REF!),""))</f>
        <v/>
      </c>
      <c r="AC3159" t="str">
        <f>IF(Z3159="","",COUNTIF(#REF!,Z3159))</f>
        <v/>
      </c>
      <c r="AD3159" t="str">
        <f>IF(A3159="","",IF(AC3159&gt;1,"REVISAR DUPLICADO",IF(AA3159&lt;&gt;"","ACTUALIZADO POR EYR","SIN REPORTE EYR")))</f>
        <v/>
      </c>
    </row>
    <row r="3160" spans="11:30" x14ac:dyDescent="0.3">
      <c r="K3160" s="1" t="str">
        <f ca="1">IF(A3160="","",IF(OR(L3160="ENTREGADA",L3160="RETORNADA",L3160="ENTREGA DIGITAL"),0,MAX(0,5-NETWORKDAYS(H3160+1,TODAY()))))</f>
        <v/>
      </c>
      <c r="L3160" t="str">
        <f>IF(A3160="","",IFERROR(LOOKUP(2,1/(#REF!=Z3160),#REF!),Y3160))</f>
        <v/>
      </c>
      <c r="Z3160" t="str">
        <f>IF(A3160="","",TEXT(A3160,"0")&amp;"|"&amp;TEXT(H3160,"0"))</f>
        <v/>
      </c>
      <c r="AA3160" t="str">
        <f>IF(Z3160="","",IFERROR(LOOKUP(2,1/(#REF!=Z3160),#REF!),""))</f>
        <v/>
      </c>
      <c r="AB3160" t="str">
        <f>IF(Z3160="","",IFERROR(LOOKUP(2,1/(#REF!=Z3160),#REF!),""))</f>
        <v/>
      </c>
      <c r="AC3160" t="str">
        <f>IF(Z3160="","",COUNTIF(#REF!,Z3160))</f>
        <v/>
      </c>
      <c r="AD3160" t="str">
        <f>IF(A3160="","",IF(AC3160&gt;1,"REVISAR DUPLICADO",IF(AA3160&lt;&gt;"","ACTUALIZADO POR EYR","SIN REPORTE EYR")))</f>
        <v/>
      </c>
    </row>
    <row r="3161" spans="11:30" x14ac:dyDescent="0.3">
      <c r="K3161" s="1" t="str">
        <f ca="1">IF(A3161="","",IF(OR(L3161="ENTREGADA",L3161="RETORNADA",L3161="ENTREGA DIGITAL"),0,MAX(0,5-NETWORKDAYS(H3161+1,TODAY()))))</f>
        <v/>
      </c>
      <c r="L3161" t="str">
        <f>IF(A3161="","",IFERROR(LOOKUP(2,1/(#REF!=Z3161),#REF!),Y3161))</f>
        <v/>
      </c>
      <c r="Z3161" t="str">
        <f>IF(A3161="","",TEXT(A3161,"0")&amp;"|"&amp;TEXT(H3161,"0"))</f>
        <v/>
      </c>
      <c r="AA3161" t="str">
        <f>IF(Z3161="","",IFERROR(LOOKUP(2,1/(#REF!=Z3161),#REF!),""))</f>
        <v/>
      </c>
      <c r="AB3161" t="str">
        <f>IF(Z3161="","",IFERROR(LOOKUP(2,1/(#REF!=Z3161),#REF!),""))</f>
        <v/>
      </c>
      <c r="AC3161" t="str">
        <f>IF(Z3161="","",COUNTIF(#REF!,Z3161))</f>
        <v/>
      </c>
      <c r="AD3161" t="str">
        <f>IF(A3161="","",IF(AC3161&gt;1,"REVISAR DUPLICADO",IF(AA3161&lt;&gt;"","ACTUALIZADO POR EYR","SIN REPORTE EYR")))</f>
        <v/>
      </c>
    </row>
    <row r="3162" spans="11:30" x14ac:dyDescent="0.3">
      <c r="K3162" s="1" t="str">
        <f ca="1">IF(A3162="","",IF(OR(L3162="ENTREGADA",L3162="RETORNADA",L3162="ENTREGA DIGITAL"),0,MAX(0,5-NETWORKDAYS(H3162+1,TODAY()))))</f>
        <v/>
      </c>
      <c r="L3162" t="str">
        <f>IF(A3162="","",IFERROR(LOOKUP(2,1/(#REF!=Z3162),#REF!),Y3162))</f>
        <v/>
      </c>
      <c r="Z3162" t="str">
        <f>IF(A3162="","",TEXT(A3162,"0")&amp;"|"&amp;TEXT(H3162,"0"))</f>
        <v/>
      </c>
      <c r="AA3162" t="str">
        <f>IF(Z3162="","",IFERROR(LOOKUP(2,1/(#REF!=Z3162),#REF!),""))</f>
        <v/>
      </c>
      <c r="AB3162" t="str">
        <f>IF(Z3162="","",IFERROR(LOOKUP(2,1/(#REF!=Z3162),#REF!),""))</f>
        <v/>
      </c>
      <c r="AC3162" t="str">
        <f>IF(Z3162="","",COUNTIF(#REF!,Z3162))</f>
        <v/>
      </c>
      <c r="AD3162" t="str">
        <f>IF(A3162="","",IF(AC3162&gt;1,"REVISAR DUPLICADO",IF(AA3162&lt;&gt;"","ACTUALIZADO POR EYR","SIN REPORTE EYR")))</f>
        <v/>
      </c>
    </row>
    <row r="3163" spans="11:30" x14ac:dyDescent="0.3">
      <c r="K3163" s="1" t="str">
        <f ca="1">IF(A3163="","",IF(OR(L3163="ENTREGADA",L3163="RETORNADA",L3163="ENTREGA DIGITAL"),0,MAX(0,5-NETWORKDAYS(H3163+1,TODAY()))))</f>
        <v/>
      </c>
      <c r="L3163" t="str">
        <f>IF(A3163="","",IFERROR(LOOKUP(2,1/(#REF!=Z3163),#REF!),Y3163))</f>
        <v/>
      </c>
      <c r="Z3163" t="str">
        <f>IF(A3163="","",TEXT(A3163,"0")&amp;"|"&amp;TEXT(H3163,"0"))</f>
        <v/>
      </c>
      <c r="AA3163" t="str">
        <f>IF(Z3163="","",IFERROR(LOOKUP(2,1/(#REF!=Z3163),#REF!),""))</f>
        <v/>
      </c>
      <c r="AB3163" t="str">
        <f>IF(Z3163="","",IFERROR(LOOKUP(2,1/(#REF!=Z3163),#REF!),""))</f>
        <v/>
      </c>
      <c r="AC3163" t="str">
        <f>IF(Z3163="","",COUNTIF(#REF!,Z3163))</f>
        <v/>
      </c>
      <c r="AD3163" t="str">
        <f>IF(A3163="","",IF(AC3163&gt;1,"REVISAR DUPLICADO",IF(AA3163&lt;&gt;"","ACTUALIZADO POR EYR","SIN REPORTE EYR")))</f>
        <v/>
      </c>
    </row>
    <row r="3164" spans="11:30" x14ac:dyDescent="0.3">
      <c r="K3164" s="1" t="str">
        <f ca="1">IF(A3164="","",IF(OR(L3164="ENTREGADA",L3164="RETORNADA",L3164="ENTREGA DIGITAL"),0,MAX(0,5-NETWORKDAYS(H3164+1,TODAY()))))</f>
        <v/>
      </c>
      <c r="L3164" t="str">
        <f>IF(A3164="","",IFERROR(LOOKUP(2,1/(#REF!=Z3164),#REF!),Y3164))</f>
        <v/>
      </c>
      <c r="Z3164" t="str">
        <f>IF(A3164="","",TEXT(A3164,"0")&amp;"|"&amp;TEXT(H3164,"0"))</f>
        <v/>
      </c>
      <c r="AA3164" t="str">
        <f>IF(Z3164="","",IFERROR(LOOKUP(2,1/(#REF!=Z3164),#REF!),""))</f>
        <v/>
      </c>
      <c r="AB3164" t="str">
        <f>IF(Z3164="","",IFERROR(LOOKUP(2,1/(#REF!=Z3164),#REF!),""))</f>
        <v/>
      </c>
      <c r="AC3164" t="str">
        <f>IF(Z3164="","",COUNTIF(#REF!,Z3164))</f>
        <v/>
      </c>
      <c r="AD3164" t="str">
        <f>IF(A3164="","",IF(AC3164&gt;1,"REVISAR DUPLICADO",IF(AA3164&lt;&gt;"","ACTUALIZADO POR EYR","SIN REPORTE EYR")))</f>
        <v/>
      </c>
    </row>
    <row r="3165" spans="11:30" x14ac:dyDescent="0.3">
      <c r="K3165" s="1" t="str">
        <f ca="1">IF(A3165="","",IF(OR(L3165="ENTREGADA",L3165="RETORNADA",L3165="ENTREGA DIGITAL"),0,MAX(0,5-NETWORKDAYS(H3165+1,TODAY()))))</f>
        <v/>
      </c>
      <c r="L3165" t="str">
        <f>IF(A3165="","",IFERROR(LOOKUP(2,1/(#REF!=Z3165),#REF!),Y3165))</f>
        <v/>
      </c>
      <c r="Z3165" t="str">
        <f>IF(A3165="","",TEXT(A3165,"0")&amp;"|"&amp;TEXT(H3165,"0"))</f>
        <v/>
      </c>
      <c r="AA3165" t="str">
        <f>IF(Z3165="","",IFERROR(LOOKUP(2,1/(#REF!=Z3165),#REF!),""))</f>
        <v/>
      </c>
      <c r="AB3165" t="str">
        <f>IF(Z3165="","",IFERROR(LOOKUP(2,1/(#REF!=Z3165),#REF!),""))</f>
        <v/>
      </c>
      <c r="AC3165" t="str">
        <f>IF(Z3165="","",COUNTIF(#REF!,Z3165))</f>
        <v/>
      </c>
      <c r="AD3165" t="str">
        <f>IF(A3165="","",IF(AC3165&gt;1,"REVISAR DUPLICADO",IF(AA3165&lt;&gt;"","ACTUALIZADO POR EYR","SIN REPORTE EYR")))</f>
        <v/>
      </c>
    </row>
    <row r="3166" spans="11:30" x14ac:dyDescent="0.3">
      <c r="K3166" s="1" t="str">
        <f ca="1">IF(A3166="","",IF(OR(L3166="ENTREGADA",L3166="RETORNADA",L3166="ENTREGA DIGITAL"),0,MAX(0,5-NETWORKDAYS(H3166+1,TODAY()))))</f>
        <v/>
      </c>
      <c r="L3166" t="str">
        <f>IF(A3166="","",IFERROR(LOOKUP(2,1/(#REF!=Z3166),#REF!),Y3166))</f>
        <v/>
      </c>
      <c r="Z3166" t="str">
        <f>IF(A3166="","",TEXT(A3166,"0")&amp;"|"&amp;TEXT(H3166,"0"))</f>
        <v/>
      </c>
      <c r="AA3166" t="str">
        <f>IF(Z3166="","",IFERROR(LOOKUP(2,1/(#REF!=Z3166),#REF!),""))</f>
        <v/>
      </c>
      <c r="AB3166" t="str">
        <f>IF(Z3166="","",IFERROR(LOOKUP(2,1/(#REF!=Z3166),#REF!),""))</f>
        <v/>
      </c>
      <c r="AC3166" t="str">
        <f>IF(Z3166="","",COUNTIF(#REF!,Z3166))</f>
        <v/>
      </c>
      <c r="AD3166" t="str">
        <f>IF(A3166="","",IF(AC3166&gt;1,"REVISAR DUPLICADO",IF(AA3166&lt;&gt;"","ACTUALIZADO POR EYR","SIN REPORTE EYR")))</f>
        <v/>
      </c>
    </row>
    <row r="3167" spans="11:30" x14ac:dyDescent="0.3">
      <c r="K3167" s="1" t="str">
        <f ca="1">IF(A3167="","",IF(OR(L3167="ENTREGADA",L3167="RETORNADA",L3167="ENTREGA DIGITAL"),0,MAX(0,5-NETWORKDAYS(H3167+1,TODAY()))))</f>
        <v/>
      </c>
      <c r="L3167" t="str">
        <f>IF(A3167="","",IFERROR(LOOKUP(2,1/(#REF!=Z3167),#REF!),Y3167))</f>
        <v/>
      </c>
      <c r="Z3167" t="str">
        <f>IF(A3167="","",TEXT(A3167,"0")&amp;"|"&amp;TEXT(H3167,"0"))</f>
        <v/>
      </c>
      <c r="AA3167" t="str">
        <f>IF(Z3167="","",IFERROR(LOOKUP(2,1/(#REF!=Z3167),#REF!),""))</f>
        <v/>
      </c>
      <c r="AB3167" t="str">
        <f>IF(Z3167="","",IFERROR(LOOKUP(2,1/(#REF!=Z3167),#REF!),""))</f>
        <v/>
      </c>
      <c r="AC3167" t="str">
        <f>IF(Z3167="","",COUNTIF(#REF!,Z3167))</f>
        <v/>
      </c>
      <c r="AD3167" t="str">
        <f>IF(A3167="","",IF(AC3167&gt;1,"REVISAR DUPLICADO",IF(AA3167&lt;&gt;"","ACTUALIZADO POR EYR","SIN REPORTE EYR")))</f>
        <v/>
      </c>
    </row>
    <row r="3168" spans="11:30" x14ac:dyDescent="0.3">
      <c r="K3168" s="1" t="str">
        <f ca="1">IF(A3168="","",IF(OR(L3168="ENTREGADA",L3168="RETORNADA",L3168="ENTREGA DIGITAL"),0,MAX(0,5-NETWORKDAYS(H3168+1,TODAY()))))</f>
        <v/>
      </c>
      <c r="L3168" t="str">
        <f>IF(A3168="","",IFERROR(LOOKUP(2,1/(#REF!=Z3168),#REF!),Y3168))</f>
        <v/>
      </c>
      <c r="Z3168" t="str">
        <f>IF(A3168="","",TEXT(A3168,"0")&amp;"|"&amp;TEXT(H3168,"0"))</f>
        <v/>
      </c>
      <c r="AA3168" t="str">
        <f>IF(Z3168="","",IFERROR(LOOKUP(2,1/(#REF!=Z3168),#REF!),""))</f>
        <v/>
      </c>
      <c r="AB3168" t="str">
        <f>IF(Z3168="","",IFERROR(LOOKUP(2,1/(#REF!=Z3168),#REF!),""))</f>
        <v/>
      </c>
      <c r="AC3168" t="str">
        <f>IF(Z3168="","",COUNTIF(#REF!,Z3168))</f>
        <v/>
      </c>
      <c r="AD3168" t="str">
        <f>IF(A3168="","",IF(AC3168&gt;1,"REVISAR DUPLICADO",IF(AA3168&lt;&gt;"","ACTUALIZADO POR EYR","SIN REPORTE EYR")))</f>
        <v/>
      </c>
    </row>
    <row r="3169" spans="11:30" x14ac:dyDescent="0.3">
      <c r="K3169" s="1" t="str">
        <f ca="1">IF(A3169="","",IF(OR(L3169="ENTREGADA",L3169="RETORNADA",L3169="ENTREGA DIGITAL"),0,MAX(0,5-NETWORKDAYS(H3169+1,TODAY()))))</f>
        <v/>
      </c>
      <c r="L3169" t="str">
        <f>IF(A3169="","",IFERROR(LOOKUP(2,1/(#REF!=Z3169),#REF!),Y3169))</f>
        <v/>
      </c>
      <c r="Z3169" t="str">
        <f>IF(A3169="","",TEXT(A3169,"0")&amp;"|"&amp;TEXT(H3169,"0"))</f>
        <v/>
      </c>
      <c r="AA3169" t="str">
        <f>IF(Z3169="","",IFERROR(LOOKUP(2,1/(#REF!=Z3169),#REF!),""))</f>
        <v/>
      </c>
      <c r="AB3169" t="str">
        <f>IF(Z3169="","",IFERROR(LOOKUP(2,1/(#REF!=Z3169),#REF!),""))</f>
        <v/>
      </c>
      <c r="AC3169" t="str">
        <f>IF(Z3169="","",COUNTIF(#REF!,Z3169))</f>
        <v/>
      </c>
      <c r="AD3169" t="str">
        <f>IF(A3169="","",IF(AC3169&gt;1,"REVISAR DUPLICADO",IF(AA3169&lt;&gt;"","ACTUALIZADO POR EYR","SIN REPORTE EYR")))</f>
        <v/>
      </c>
    </row>
    <row r="3170" spans="11:30" x14ac:dyDescent="0.3">
      <c r="K3170" s="1" t="str">
        <f ca="1">IF(A3170="","",IF(OR(L3170="ENTREGADA",L3170="RETORNADA",L3170="ENTREGA DIGITAL"),0,MAX(0,5-NETWORKDAYS(H3170+1,TODAY()))))</f>
        <v/>
      </c>
      <c r="L3170" t="str">
        <f>IF(A3170="","",IFERROR(LOOKUP(2,1/(#REF!=Z3170),#REF!),Y3170))</f>
        <v/>
      </c>
      <c r="Z3170" t="str">
        <f>IF(A3170="","",TEXT(A3170,"0")&amp;"|"&amp;TEXT(H3170,"0"))</f>
        <v/>
      </c>
      <c r="AA3170" t="str">
        <f>IF(Z3170="","",IFERROR(LOOKUP(2,1/(#REF!=Z3170),#REF!),""))</f>
        <v/>
      </c>
      <c r="AB3170" t="str">
        <f>IF(Z3170="","",IFERROR(LOOKUP(2,1/(#REF!=Z3170),#REF!),""))</f>
        <v/>
      </c>
      <c r="AC3170" t="str">
        <f>IF(Z3170="","",COUNTIF(#REF!,Z3170))</f>
        <v/>
      </c>
      <c r="AD3170" t="str">
        <f>IF(A3170="","",IF(AC3170&gt;1,"REVISAR DUPLICADO",IF(AA3170&lt;&gt;"","ACTUALIZADO POR EYR","SIN REPORTE EYR")))</f>
        <v/>
      </c>
    </row>
    <row r="3171" spans="11:30" x14ac:dyDescent="0.3">
      <c r="K3171" s="1" t="str">
        <f ca="1">IF(A3171="","",IF(OR(L3171="ENTREGADA",L3171="RETORNADA",L3171="ENTREGA DIGITAL"),0,MAX(0,5-NETWORKDAYS(H3171+1,TODAY()))))</f>
        <v/>
      </c>
      <c r="L3171" t="str">
        <f>IF(A3171="","",IFERROR(LOOKUP(2,1/(#REF!=Z3171),#REF!),Y3171))</f>
        <v/>
      </c>
      <c r="Z3171" t="str">
        <f>IF(A3171="","",TEXT(A3171,"0")&amp;"|"&amp;TEXT(H3171,"0"))</f>
        <v/>
      </c>
      <c r="AA3171" t="str">
        <f>IF(Z3171="","",IFERROR(LOOKUP(2,1/(#REF!=Z3171),#REF!),""))</f>
        <v/>
      </c>
      <c r="AB3171" t="str">
        <f>IF(Z3171="","",IFERROR(LOOKUP(2,1/(#REF!=Z3171),#REF!),""))</f>
        <v/>
      </c>
      <c r="AC3171" t="str">
        <f>IF(Z3171="","",COUNTIF(#REF!,Z3171))</f>
        <v/>
      </c>
      <c r="AD3171" t="str">
        <f>IF(A3171="","",IF(AC3171&gt;1,"REVISAR DUPLICADO",IF(AA3171&lt;&gt;"","ACTUALIZADO POR EYR","SIN REPORTE EYR")))</f>
        <v/>
      </c>
    </row>
    <row r="3172" spans="11:30" x14ac:dyDescent="0.3">
      <c r="K3172" s="1" t="str">
        <f ca="1">IF(A3172="","",IF(OR(L3172="ENTREGADA",L3172="RETORNADA",L3172="ENTREGA DIGITAL"),0,MAX(0,5-NETWORKDAYS(H3172+1,TODAY()))))</f>
        <v/>
      </c>
      <c r="L3172" t="str">
        <f>IF(A3172="","",IFERROR(LOOKUP(2,1/(#REF!=Z3172),#REF!),Y3172))</f>
        <v/>
      </c>
      <c r="Z3172" t="str">
        <f>IF(A3172="","",TEXT(A3172,"0")&amp;"|"&amp;TEXT(H3172,"0"))</f>
        <v/>
      </c>
      <c r="AA3172" t="str">
        <f>IF(Z3172="","",IFERROR(LOOKUP(2,1/(#REF!=Z3172),#REF!),""))</f>
        <v/>
      </c>
      <c r="AB3172" t="str">
        <f>IF(Z3172="","",IFERROR(LOOKUP(2,1/(#REF!=Z3172),#REF!),""))</f>
        <v/>
      </c>
      <c r="AC3172" t="str">
        <f>IF(Z3172="","",COUNTIF(#REF!,Z3172))</f>
        <v/>
      </c>
      <c r="AD3172" t="str">
        <f>IF(A3172="","",IF(AC3172&gt;1,"REVISAR DUPLICADO",IF(AA3172&lt;&gt;"","ACTUALIZADO POR EYR","SIN REPORTE EYR")))</f>
        <v/>
      </c>
    </row>
    <row r="3173" spans="11:30" x14ac:dyDescent="0.3">
      <c r="K3173" s="1" t="str">
        <f ca="1">IF(A3173="","",IF(OR(L3173="ENTREGADA",L3173="RETORNADA",L3173="ENTREGA DIGITAL"),0,MAX(0,5-NETWORKDAYS(H3173+1,TODAY()))))</f>
        <v/>
      </c>
      <c r="L3173" t="str">
        <f>IF(A3173="","",IFERROR(LOOKUP(2,1/(#REF!=Z3173),#REF!),Y3173))</f>
        <v/>
      </c>
      <c r="Z3173" t="str">
        <f>IF(A3173="","",TEXT(A3173,"0")&amp;"|"&amp;TEXT(H3173,"0"))</f>
        <v/>
      </c>
      <c r="AA3173" t="str">
        <f>IF(Z3173="","",IFERROR(LOOKUP(2,1/(#REF!=Z3173),#REF!),""))</f>
        <v/>
      </c>
      <c r="AB3173" t="str">
        <f>IF(Z3173="","",IFERROR(LOOKUP(2,1/(#REF!=Z3173),#REF!),""))</f>
        <v/>
      </c>
      <c r="AC3173" t="str">
        <f>IF(Z3173="","",COUNTIF(#REF!,Z3173))</f>
        <v/>
      </c>
      <c r="AD3173" t="str">
        <f>IF(A3173="","",IF(AC3173&gt;1,"REVISAR DUPLICADO",IF(AA3173&lt;&gt;"","ACTUALIZADO POR EYR","SIN REPORTE EYR")))</f>
        <v/>
      </c>
    </row>
    <row r="3174" spans="11:30" x14ac:dyDescent="0.3">
      <c r="K3174" s="1" t="str">
        <f ca="1">IF(A3174="","",IF(OR(L3174="ENTREGADA",L3174="RETORNADA",L3174="ENTREGA DIGITAL"),0,MAX(0,5-NETWORKDAYS(H3174+1,TODAY()))))</f>
        <v/>
      </c>
      <c r="L3174" t="str">
        <f>IF(A3174="","",IFERROR(LOOKUP(2,1/(#REF!=Z3174),#REF!),Y3174))</f>
        <v/>
      </c>
      <c r="Z3174" t="str">
        <f>IF(A3174="","",TEXT(A3174,"0")&amp;"|"&amp;TEXT(H3174,"0"))</f>
        <v/>
      </c>
      <c r="AA3174" t="str">
        <f>IF(Z3174="","",IFERROR(LOOKUP(2,1/(#REF!=Z3174),#REF!),""))</f>
        <v/>
      </c>
      <c r="AB3174" t="str">
        <f>IF(Z3174="","",IFERROR(LOOKUP(2,1/(#REF!=Z3174),#REF!),""))</f>
        <v/>
      </c>
      <c r="AC3174" t="str">
        <f>IF(Z3174="","",COUNTIF(#REF!,Z3174))</f>
        <v/>
      </c>
      <c r="AD3174" t="str">
        <f>IF(A3174="","",IF(AC3174&gt;1,"REVISAR DUPLICADO",IF(AA3174&lt;&gt;"","ACTUALIZADO POR EYR","SIN REPORTE EYR")))</f>
        <v/>
      </c>
    </row>
    <row r="3175" spans="11:30" x14ac:dyDescent="0.3">
      <c r="K3175" s="1" t="str">
        <f ca="1">IF(A3175="","",IF(OR(L3175="ENTREGADA",L3175="RETORNADA",L3175="ENTREGA DIGITAL"),0,MAX(0,5-NETWORKDAYS(H3175+1,TODAY()))))</f>
        <v/>
      </c>
      <c r="L3175" t="str">
        <f>IF(A3175="","",IFERROR(LOOKUP(2,1/(#REF!=Z3175),#REF!),Y3175))</f>
        <v/>
      </c>
      <c r="Z3175" t="str">
        <f>IF(A3175="","",TEXT(A3175,"0")&amp;"|"&amp;TEXT(H3175,"0"))</f>
        <v/>
      </c>
      <c r="AA3175" t="str">
        <f>IF(Z3175="","",IFERROR(LOOKUP(2,1/(#REF!=Z3175),#REF!),""))</f>
        <v/>
      </c>
      <c r="AB3175" t="str">
        <f>IF(Z3175="","",IFERROR(LOOKUP(2,1/(#REF!=Z3175),#REF!),""))</f>
        <v/>
      </c>
      <c r="AC3175" t="str">
        <f>IF(Z3175="","",COUNTIF(#REF!,Z3175))</f>
        <v/>
      </c>
      <c r="AD3175" t="str">
        <f>IF(A3175="","",IF(AC3175&gt;1,"REVISAR DUPLICADO",IF(AA3175&lt;&gt;"","ACTUALIZADO POR EYR","SIN REPORTE EYR")))</f>
        <v/>
      </c>
    </row>
    <row r="3176" spans="11:30" x14ac:dyDescent="0.3">
      <c r="K3176" s="1" t="str">
        <f ca="1">IF(A3176="","",IF(OR(L3176="ENTREGADA",L3176="RETORNADA",L3176="ENTREGA DIGITAL"),0,MAX(0,5-NETWORKDAYS(H3176+1,TODAY()))))</f>
        <v/>
      </c>
      <c r="L3176" t="str">
        <f>IF(A3176="","",IFERROR(LOOKUP(2,1/(#REF!=Z3176),#REF!),Y3176))</f>
        <v/>
      </c>
      <c r="Z3176" t="str">
        <f>IF(A3176="","",TEXT(A3176,"0")&amp;"|"&amp;TEXT(H3176,"0"))</f>
        <v/>
      </c>
      <c r="AA3176" t="str">
        <f>IF(Z3176="","",IFERROR(LOOKUP(2,1/(#REF!=Z3176),#REF!),""))</f>
        <v/>
      </c>
      <c r="AB3176" t="str">
        <f>IF(Z3176="","",IFERROR(LOOKUP(2,1/(#REF!=Z3176),#REF!),""))</f>
        <v/>
      </c>
      <c r="AC3176" t="str">
        <f>IF(Z3176="","",COUNTIF(#REF!,Z3176))</f>
        <v/>
      </c>
      <c r="AD3176" t="str">
        <f>IF(A3176="","",IF(AC3176&gt;1,"REVISAR DUPLICADO",IF(AA3176&lt;&gt;"","ACTUALIZADO POR EYR","SIN REPORTE EYR")))</f>
        <v/>
      </c>
    </row>
    <row r="3177" spans="11:30" x14ac:dyDescent="0.3">
      <c r="K3177" s="1" t="str">
        <f ca="1">IF(A3177="","",IF(OR(L3177="ENTREGADA",L3177="RETORNADA",L3177="ENTREGA DIGITAL"),0,MAX(0,5-NETWORKDAYS(H3177+1,TODAY()))))</f>
        <v/>
      </c>
      <c r="L3177" t="str">
        <f>IF(A3177="","",IFERROR(LOOKUP(2,1/(#REF!=Z3177),#REF!),Y3177))</f>
        <v/>
      </c>
      <c r="Z3177" t="str">
        <f>IF(A3177="","",TEXT(A3177,"0")&amp;"|"&amp;TEXT(H3177,"0"))</f>
        <v/>
      </c>
      <c r="AA3177" t="str">
        <f>IF(Z3177="","",IFERROR(LOOKUP(2,1/(#REF!=Z3177),#REF!),""))</f>
        <v/>
      </c>
      <c r="AB3177" t="str">
        <f>IF(Z3177="","",IFERROR(LOOKUP(2,1/(#REF!=Z3177),#REF!),""))</f>
        <v/>
      </c>
      <c r="AC3177" t="str">
        <f>IF(Z3177="","",COUNTIF(#REF!,Z3177))</f>
        <v/>
      </c>
      <c r="AD3177" t="str">
        <f>IF(A3177="","",IF(AC3177&gt;1,"REVISAR DUPLICADO",IF(AA3177&lt;&gt;"","ACTUALIZADO POR EYR","SIN REPORTE EYR")))</f>
        <v/>
      </c>
    </row>
    <row r="3178" spans="11:30" x14ac:dyDescent="0.3">
      <c r="K3178" s="1" t="str">
        <f ca="1">IF(A3178="","",IF(OR(L3178="ENTREGADA",L3178="RETORNADA",L3178="ENTREGA DIGITAL"),0,MAX(0,5-NETWORKDAYS(H3178+1,TODAY()))))</f>
        <v/>
      </c>
      <c r="L3178" t="str">
        <f>IF(A3178="","",IFERROR(LOOKUP(2,1/(#REF!=Z3178),#REF!),Y3178))</f>
        <v/>
      </c>
      <c r="Z3178" t="str">
        <f>IF(A3178="","",TEXT(A3178,"0")&amp;"|"&amp;TEXT(H3178,"0"))</f>
        <v/>
      </c>
      <c r="AA3178" t="str">
        <f>IF(Z3178="","",IFERROR(LOOKUP(2,1/(#REF!=Z3178),#REF!),""))</f>
        <v/>
      </c>
      <c r="AB3178" t="str">
        <f>IF(Z3178="","",IFERROR(LOOKUP(2,1/(#REF!=Z3178),#REF!),""))</f>
        <v/>
      </c>
      <c r="AC3178" t="str">
        <f>IF(Z3178="","",COUNTIF(#REF!,Z3178))</f>
        <v/>
      </c>
      <c r="AD3178" t="str">
        <f>IF(A3178="","",IF(AC3178&gt;1,"REVISAR DUPLICADO",IF(AA3178&lt;&gt;"","ACTUALIZADO POR EYR","SIN REPORTE EYR")))</f>
        <v/>
      </c>
    </row>
    <row r="3179" spans="11:30" x14ac:dyDescent="0.3">
      <c r="K3179" s="1" t="str">
        <f ca="1">IF(A3179="","",IF(OR(L3179="ENTREGADA",L3179="RETORNADA",L3179="ENTREGA DIGITAL"),0,MAX(0,5-NETWORKDAYS(H3179+1,TODAY()))))</f>
        <v/>
      </c>
      <c r="L3179" t="str">
        <f>IF(A3179="","",IFERROR(LOOKUP(2,1/(#REF!=Z3179),#REF!),Y3179))</f>
        <v/>
      </c>
      <c r="Z3179" t="str">
        <f>IF(A3179="","",TEXT(A3179,"0")&amp;"|"&amp;TEXT(H3179,"0"))</f>
        <v/>
      </c>
      <c r="AA3179" t="str">
        <f>IF(Z3179="","",IFERROR(LOOKUP(2,1/(#REF!=Z3179),#REF!),""))</f>
        <v/>
      </c>
      <c r="AB3179" t="str">
        <f>IF(Z3179="","",IFERROR(LOOKUP(2,1/(#REF!=Z3179),#REF!),""))</f>
        <v/>
      </c>
      <c r="AC3179" t="str">
        <f>IF(Z3179="","",COUNTIF(#REF!,Z3179))</f>
        <v/>
      </c>
      <c r="AD3179" t="str">
        <f>IF(A3179="","",IF(AC3179&gt;1,"REVISAR DUPLICADO",IF(AA3179&lt;&gt;"","ACTUALIZADO POR EYR","SIN REPORTE EYR")))</f>
        <v/>
      </c>
    </row>
    <row r="3180" spans="11:30" x14ac:dyDescent="0.3">
      <c r="K3180" s="1" t="str">
        <f ca="1">IF(A3180="","",IF(OR(L3180="ENTREGADA",L3180="RETORNADA",L3180="ENTREGA DIGITAL"),0,MAX(0,5-NETWORKDAYS(H3180+1,TODAY()))))</f>
        <v/>
      </c>
      <c r="L3180" t="str">
        <f>IF(A3180="","",IFERROR(LOOKUP(2,1/(#REF!=Z3180),#REF!),Y3180))</f>
        <v/>
      </c>
      <c r="Z3180" t="str">
        <f>IF(A3180="","",TEXT(A3180,"0")&amp;"|"&amp;TEXT(H3180,"0"))</f>
        <v/>
      </c>
      <c r="AA3180" t="str">
        <f>IF(Z3180="","",IFERROR(LOOKUP(2,1/(#REF!=Z3180),#REF!),""))</f>
        <v/>
      </c>
      <c r="AB3180" t="str">
        <f>IF(Z3180="","",IFERROR(LOOKUP(2,1/(#REF!=Z3180),#REF!),""))</f>
        <v/>
      </c>
      <c r="AC3180" t="str">
        <f>IF(Z3180="","",COUNTIF(#REF!,Z3180))</f>
        <v/>
      </c>
      <c r="AD3180" t="str">
        <f>IF(A3180="","",IF(AC3180&gt;1,"REVISAR DUPLICADO",IF(AA3180&lt;&gt;"","ACTUALIZADO POR EYR","SIN REPORTE EYR")))</f>
        <v/>
      </c>
    </row>
    <row r="3181" spans="11:30" x14ac:dyDescent="0.3">
      <c r="K3181" s="1" t="str">
        <f ca="1">IF(A3181="","",IF(OR(L3181="ENTREGADA",L3181="RETORNADA",L3181="ENTREGA DIGITAL"),0,MAX(0,5-NETWORKDAYS(H3181+1,TODAY()))))</f>
        <v/>
      </c>
      <c r="L3181" t="str">
        <f>IF(A3181="","",IFERROR(LOOKUP(2,1/(#REF!=Z3181),#REF!),Y3181))</f>
        <v/>
      </c>
      <c r="Z3181" t="str">
        <f>IF(A3181="","",TEXT(A3181,"0")&amp;"|"&amp;TEXT(H3181,"0"))</f>
        <v/>
      </c>
      <c r="AA3181" t="str">
        <f>IF(Z3181="","",IFERROR(LOOKUP(2,1/(#REF!=Z3181),#REF!),""))</f>
        <v/>
      </c>
      <c r="AB3181" t="str">
        <f>IF(Z3181="","",IFERROR(LOOKUP(2,1/(#REF!=Z3181),#REF!),""))</f>
        <v/>
      </c>
      <c r="AC3181" t="str">
        <f>IF(Z3181="","",COUNTIF(#REF!,Z3181))</f>
        <v/>
      </c>
      <c r="AD3181" t="str">
        <f>IF(A3181="","",IF(AC3181&gt;1,"REVISAR DUPLICADO",IF(AA3181&lt;&gt;"","ACTUALIZADO POR EYR","SIN REPORTE EYR")))</f>
        <v/>
      </c>
    </row>
    <row r="3182" spans="11:30" x14ac:dyDescent="0.3">
      <c r="K3182" s="1" t="str">
        <f ca="1">IF(A3182="","",IF(OR(L3182="ENTREGADA",L3182="RETORNADA",L3182="ENTREGA DIGITAL"),0,MAX(0,5-NETWORKDAYS(H3182+1,TODAY()))))</f>
        <v/>
      </c>
      <c r="L3182" t="str">
        <f>IF(A3182="","",IFERROR(LOOKUP(2,1/(#REF!=Z3182),#REF!),Y3182))</f>
        <v/>
      </c>
      <c r="Z3182" t="str">
        <f>IF(A3182="","",TEXT(A3182,"0")&amp;"|"&amp;TEXT(H3182,"0"))</f>
        <v/>
      </c>
      <c r="AA3182" t="str">
        <f>IF(Z3182="","",IFERROR(LOOKUP(2,1/(#REF!=Z3182),#REF!),""))</f>
        <v/>
      </c>
      <c r="AB3182" t="str">
        <f>IF(Z3182="","",IFERROR(LOOKUP(2,1/(#REF!=Z3182),#REF!),""))</f>
        <v/>
      </c>
      <c r="AC3182" t="str">
        <f>IF(Z3182="","",COUNTIF(#REF!,Z3182))</f>
        <v/>
      </c>
      <c r="AD3182" t="str">
        <f>IF(A3182="","",IF(AC3182&gt;1,"REVISAR DUPLICADO",IF(AA3182&lt;&gt;"","ACTUALIZADO POR EYR","SIN REPORTE EYR")))</f>
        <v/>
      </c>
    </row>
    <row r="3183" spans="11:30" x14ac:dyDescent="0.3">
      <c r="K3183" s="1" t="str">
        <f ca="1">IF(A3183="","",IF(OR(L3183="ENTREGADA",L3183="RETORNADA",L3183="ENTREGA DIGITAL"),0,MAX(0,5-NETWORKDAYS(H3183+1,TODAY()))))</f>
        <v/>
      </c>
      <c r="L3183" t="str">
        <f>IF(A3183="","",IFERROR(LOOKUP(2,1/(#REF!=Z3183),#REF!),Y3183))</f>
        <v/>
      </c>
      <c r="Z3183" t="str">
        <f>IF(A3183="","",TEXT(A3183,"0")&amp;"|"&amp;TEXT(H3183,"0"))</f>
        <v/>
      </c>
      <c r="AA3183" t="str">
        <f>IF(Z3183="","",IFERROR(LOOKUP(2,1/(#REF!=Z3183),#REF!),""))</f>
        <v/>
      </c>
      <c r="AB3183" t="str">
        <f>IF(Z3183="","",IFERROR(LOOKUP(2,1/(#REF!=Z3183),#REF!),""))</f>
        <v/>
      </c>
      <c r="AC3183" t="str">
        <f>IF(Z3183="","",COUNTIF(#REF!,Z3183))</f>
        <v/>
      </c>
      <c r="AD3183" t="str">
        <f>IF(A3183="","",IF(AC3183&gt;1,"REVISAR DUPLICADO",IF(AA3183&lt;&gt;"","ACTUALIZADO POR EYR","SIN REPORTE EYR")))</f>
        <v/>
      </c>
    </row>
    <row r="3184" spans="11:30" x14ac:dyDescent="0.3">
      <c r="K3184" s="1" t="str">
        <f ca="1">IF(A3184="","",IF(OR(L3184="ENTREGADA",L3184="RETORNADA",L3184="ENTREGA DIGITAL"),0,MAX(0,5-NETWORKDAYS(H3184+1,TODAY()))))</f>
        <v/>
      </c>
      <c r="L3184" t="str">
        <f>IF(A3184="","",IFERROR(LOOKUP(2,1/(#REF!=Z3184),#REF!),Y3184))</f>
        <v/>
      </c>
      <c r="Z3184" t="str">
        <f>IF(A3184="","",TEXT(A3184,"0")&amp;"|"&amp;TEXT(H3184,"0"))</f>
        <v/>
      </c>
      <c r="AA3184" t="str">
        <f>IF(Z3184="","",IFERROR(LOOKUP(2,1/(#REF!=Z3184),#REF!),""))</f>
        <v/>
      </c>
      <c r="AB3184" t="str">
        <f>IF(Z3184="","",IFERROR(LOOKUP(2,1/(#REF!=Z3184),#REF!),""))</f>
        <v/>
      </c>
      <c r="AC3184" t="str">
        <f>IF(Z3184="","",COUNTIF(#REF!,Z3184))</f>
        <v/>
      </c>
      <c r="AD3184" t="str">
        <f>IF(A3184="","",IF(AC3184&gt;1,"REVISAR DUPLICADO",IF(AA3184&lt;&gt;"","ACTUALIZADO POR EYR","SIN REPORTE EYR")))</f>
        <v/>
      </c>
    </row>
    <row r="3185" spans="11:30" x14ac:dyDescent="0.3">
      <c r="K3185" s="1" t="str">
        <f ca="1">IF(A3185="","",IF(OR(L3185="ENTREGADA",L3185="RETORNADA",L3185="ENTREGA DIGITAL"),0,MAX(0,5-NETWORKDAYS(H3185+1,TODAY()))))</f>
        <v/>
      </c>
      <c r="L3185" t="str">
        <f>IF(A3185="","",IFERROR(LOOKUP(2,1/(#REF!=Z3185),#REF!),Y3185))</f>
        <v/>
      </c>
      <c r="Z3185" t="str">
        <f>IF(A3185="","",TEXT(A3185,"0")&amp;"|"&amp;TEXT(H3185,"0"))</f>
        <v/>
      </c>
      <c r="AA3185" t="str">
        <f>IF(Z3185="","",IFERROR(LOOKUP(2,1/(#REF!=Z3185),#REF!),""))</f>
        <v/>
      </c>
      <c r="AB3185" t="str">
        <f>IF(Z3185="","",IFERROR(LOOKUP(2,1/(#REF!=Z3185),#REF!),""))</f>
        <v/>
      </c>
      <c r="AC3185" t="str">
        <f>IF(Z3185="","",COUNTIF(#REF!,Z3185))</f>
        <v/>
      </c>
      <c r="AD3185" t="str">
        <f>IF(A3185="","",IF(AC3185&gt;1,"REVISAR DUPLICADO",IF(AA3185&lt;&gt;"","ACTUALIZADO POR EYR","SIN REPORTE EYR")))</f>
        <v/>
      </c>
    </row>
    <row r="3186" spans="11:30" x14ac:dyDescent="0.3">
      <c r="K3186" s="1" t="str">
        <f ca="1">IF(A3186="","",IF(OR(L3186="ENTREGADA",L3186="RETORNADA",L3186="ENTREGA DIGITAL"),0,MAX(0,5-NETWORKDAYS(H3186+1,TODAY()))))</f>
        <v/>
      </c>
      <c r="L3186" t="str">
        <f>IF(A3186="","",IFERROR(LOOKUP(2,1/(#REF!=Z3186),#REF!),Y3186))</f>
        <v/>
      </c>
      <c r="Z3186" t="str">
        <f>IF(A3186="","",TEXT(A3186,"0")&amp;"|"&amp;TEXT(H3186,"0"))</f>
        <v/>
      </c>
      <c r="AA3186" t="str">
        <f>IF(Z3186="","",IFERROR(LOOKUP(2,1/(#REF!=Z3186),#REF!),""))</f>
        <v/>
      </c>
      <c r="AB3186" t="str">
        <f>IF(Z3186="","",IFERROR(LOOKUP(2,1/(#REF!=Z3186),#REF!),""))</f>
        <v/>
      </c>
      <c r="AC3186" t="str">
        <f>IF(Z3186="","",COUNTIF(#REF!,Z3186))</f>
        <v/>
      </c>
      <c r="AD3186" t="str">
        <f>IF(A3186="","",IF(AC3186&gt;1,"REVISAR DUPLICADO",IF(AA3186&lt;&gt;"","ACTUALIZADO POR EYR","SIN REPORTE EYR")))</f>
        <v/>
      </c>
    </row>
    <row r="3187" spans="11:30" x14ac:dyDescent="0.3">
      <c r="K3187" s="1" t="str">
        <f ca="1">IF(A3187="","",IF(OR(L3187="ENTREGADA",L3187="RETORNADA",L3187="ENTREGA DIGITAL"),0,MAX(0,5-NETWORKDAYS(H3187+1,TODAY()))))</f>
        <v/>
      </c>
      <c r="L3187" t="str">
        <f>IF(A3187="","",IFERROR(LOOKUP(2,1/(#REF!=Z3187),#REF!),Y3187))</f>
        <v/>
      </c>
      <c r="Z3187" t="str">
        <f>IF(A3187="","",TEXT(A3187,"0")&amp;"|"&amp;TEXT(H3187,"0"))</f>
        <v/>
      </c>
      <c r="AA3187" t="str">
        <f>IF(Z3187="","",IFERROR(LOOKUP(2,1/(#REF!=Z3187),#REF!),""))</f>
        <v/>
      </c>
      <c r="AB3187" t="str">
        <f>IF(Z3187="","",IFERROR(LOOKUP(2,1/(#REF!=Z3187),#REF!),""))</f>
        <v/>
      </c>
      <c r="AC3187" t="str">
        <f>IF(Z3187="","",COUNTIF(#REF!,Z3187))</f>
        <v/>
      </c>
      <c r="AD3187" t="str">
        <f>IF(A3187="","",IF(AC3187&gt;1,"REVISAR DUPLICADO",IF(AA3187&lt;&gt;"","ACTUALIZADO POR EYR","SIN REPORTE EYR")))</f>
        <v/>
      </c>
    </row>
    <row r="3188" spans="11:30" x14ac:dyDescent="0.3">
      <c r="K3188" s="1" t="str">
        <f ca="1">IF(A3188="","",IF(OR(L3188="ENTREGADA",L3188="RETORNADA",L3188="ENTREGA DIGITAL"),0,MAX(0,5-NETWORKDAYS(H3188+1,TODAY()))))</f>
        <v/>
      </c>
      <c r="L3188" t="str">
        <f>IF(A3188="","",IFERROR(LOOKUP(2,1/(#REF!=Z3188),#REF!),Y3188))</f>
        <v/>
      </c>
      <c r="Z3188" t="str">
        <f>IF(A3188="","",TEXT(A3188,"0")&amp;"|"&amp;TEXT(H3188,"0"))</f>
        <v/>
      </c>
      <c r="AA3188" t="str">
        <f>IF(Z3188="","",IFERROR(LOOKUP(2,1/(#REF!=Z3188),#REF!),""))</f>
        <v/>
      </c>
      <c r="AB3188" t="str">
        <f>IF(Z3188="","",IFERROR(LOOKUP(2,1/(#REF!=Z3188),#REF!),""))</f>
        <v/>
      </c>
      <c r="AC3188" t="str">
        <f>IF(Z3188="","",COUNTIF(#REF!,Z3188))</f>
        <v/>
      </c>
      <c r="AD3188" t="str">
        <f>IF(A3188="","",IF(AC3188&gt;1,"REVISAR DUPLICADO",IF(AA3188&lt;&gt;"","ACTUALIZADO POR EYR","SIN REPORTE EYR")))</f>
        <v/>
      </c>
    </row>
    <row r="3189" spans="11:30" x14ac:dyDescent="0.3">
      <c r="K3189" s="1" t="str">
        <f ca="1">IF(A3189="","",IF(OR(L3189="ENTREGADA",L3189="RETORNADA",L3189="ENTREGA DIGITAL"),0,MAX(0,5-NETWORKDAYS(H3189+1,TODAY()))))</f>
        <v/>
      </c>
      <c r="L3189" t="str">
        <f>IF(A3189="","",IFERROR(LOOKUP(2,1/(#REF!=Z3189),#REF!),Y3189))</f>
        <v/>
      </c>
      <c r="Z3189" t="str">
        <f>IF(A3189="","",TEXT(A3189,"0")&amp;"|"&amp;TEXT(H3189,"0"))</f>
        <v/>
      </c>
      <c r="AA3189" t="str">
        <f>IF(Z3189="","",IFERROR(LOOKUP(2,1/(#REF!=Z3189),#REF!),""))</f>
        <v/>
      </c>
      <c r="AB3189" t="str">
        <f>IF(Z3189="","",IFERROR(LOOKUP(2,1/(#REF!=Z3189),#REF!),""))</f>
        <v/>
      </c>
      <c r="AC3189" t="str">
        <f>IF(Z3189="","",COUNTIF(#REF!,Z3189))</f>
        <v/>
      </c>
      <c r="AD3189" t="str">
        <f>IF(A3189="","",IF(AC3189&gt;1,"REVISAR DUPLICADO",IF(AA3189&lt;&gt;"","ACTUALIZADO POR EYR","SIN REPORTE EYR")))</f>
        <v/>
      </c>
    </row>
    <row r="3190" spans="11:30" x14ac:dyDescent="0.3">
      <c r="K3190" s="1" t="str">
        <f ca="1">IF(A3190="","",IF(OR(L3190="ENTREGADA",L3190="RETORNADA",L3190="ENTREGA DIGITAL"),0,MAX(0,5-NETWORKDAYS(H3190+1,TODAY()))))</f>
        <v/>
      </c>
      <c r="L3190" t="str">
        <f>IF(A3190="","",IFERROR(LOOKUP(2,1/(#REF!=Z3190),#REF!),Y3190))</f>
        <v/>
      </c>
      <c r="Z3190" t="str">
        <f>IF(A3190="","",TEXT(A3190,"0")&amp;"|"&amp;TEXT(H3190,"0"))</f>
        <v/>
      </c>
      <c r="AA3190" t="str">
        <f>IF(Z3190="","",IFERROR(LOOKUP(2,1/(#REF!=Z3190),#REF!),""))</f>
        <v/>
      </c>
      <c r="AB3190" t="str">
        <f>IF(Z3190="","",IFERROR(LOOKUP(2,1/(#REF!=Z3190),#REF!),""))</f>
        <v/>
      </c>
      <c r="AC3190" t="str">
        <f>IF(Z3190="","",COUNTIF(#REF!,Z3190))</f>
        <v/>
      </c>
      <c r="AD3190" t="str">
        <f>IF(A3190="","",IF(AC3190&gt;1,"REVISAR DUPLICADO",IF(AA3190&lt;&gt;"","ACTUALIZADO POR EYR","SIN REPORTE EYR")))</f>
        <v/>
      </c>
    </row>
    <row r="3191" spans="11:30" x14ac:dyDescent="0.3">
      <c r="K3191" s="1" t="str">
        <f ca="1">IF(A3191="","",IF(OR(L3191="ENTREGADA",L3191="RETORNADA",L3191="ENTREGA DIGITAL"),0,MAX(0,5-NETWORKDAYS(H3191+1,TODAY()))))</f>
        <v/>
      </c>
      <c r="L3191" t="str">
        <f>IF(A3191="","",IFERROR(LOOKUP(2,1/(#REF!=Z3191),#REF!),Y3191))</f>
        <v/>
      </c>
      <c r="Z3191" t="str">
        <f>IF(A3191="","",TEXT(A3191,"0")&amp;"|"&amp;TEXT(H3191,"0"))</f>
        <v/>
      </c>
      <c r="AA3191" t="str">
        <f>IF(Z3191="","",IFERROR(LOOKUP(2,1/(#REF!=Z3191),#REF!),""))</f>
        <v/>
      </c>
      <c r="AB3191" t="str">
        <f>IF(Z3191="","",IFERROR(LOOKUP(2,1/(#REF!=Z3191),#REF!),""))</f>
        <v/>
      </c>
      <c r="AC3191" t="str">
        <f>IF(Z3191="","",COUNTIF(#REF!,Z3191))</f>
        <v/>
      </c>
      <c r="AD3191" t="str">
        <f>IF(A3191="","",IF(AC3191&gt;1,"REVISAR DUPLICADO",IF(AA3191&lt;&gt;"","ACTUALIZADO POR EYR","SIN REPORTE EYR")))</f>
        <v/>
      </c>
    </row>
    <row r="3192" spans="11:30" x14ac:dyDescent="0.3">
      <c r="K3192" s="1" t="str">
        <f ca="1">IF(A3192="","",IF(OR(L3192="ENTREGADA",L3192="RETORNADA",L3192="ENTREGA DIGITAL"),0,MAX(0,5-NETWORKDAYS(H3192+1,TODAY()))))</f>
        <v/>
      </c>
      <c r="L3192" t="str">
        <f>IF(A3192="","",IFERROR(LOOKUP(2,1/(#REF!=Z3192),#REF!),Y3192))</f>
        <v/>
      </c>
      <c r="Z3192" t="str">
        <f>IF(A3192="","",TEXT(A3192,"0")&amp;"|"&amp;TEXT(H3192,"0"))</f>
        <v/>
      </c>
      <c r="AA3192" t="str">
        <f>IF(Z3192="","",IFERROR(LOOKUP(2,1/(#REF!=Z3192),#REF!),""))</f>
        <v/>
      </c>
      <c r="AB3192" t="str">
        <f>IF(Z3192="","",IFERROR(LOOKUP(2,1/(#REF!=Z3192),#REF!),""))</f>
        <v/>
      </c>
      <c r="AC3192" t="str">
        <f>IF(Z3192="","",COUNTIF(#REF!,Z3192))</f>
        <v/>
      </c>
      <c r="AD3192" t="str">
        <f>IF(A3192="","",IF(AC3192&gt;1,"REVISAR DUPLICADO",IF(AA3192&lt;&gt;"","ACTUALIZADO POR EYR","SIN REPORTE EYR")))</f>
        <v/>
      </c>
    </row>
    <row r="3193" spans="11:30" x14ac:dyDescent="0.3">
      <c r="K3193" s="1" t="str">
        <f ca="1">IF(A3193="","",IF(OR(L3193="ENTREGADA",L3193="RETORNADA",L3193="ENTREGA DIGITAL"),0,MAX(0,5-NETWORKDAYS(H3193+1,TODAY()))))</f>
        <v/>
      </c>
      <c r="L3193" t="str">
        <f>IF(A3193="","",IFERROR(LOOKUP(2,1/(#REF!=Z3193),#REF!),Y3193))</f>
        <v/>
      </c>
      <c r="Z3193" t="str">
        <f>IF(A3193="","",TEXT(A3193,"0")&amp;"|"&amp;TEXT(H3193,"0"))</f>
        <v/>
      </c>
      <c r="AA3193" t="str">
        <f>IF(Z3193="","",IFERROR(LOOKUP(2,1/(#REF!=Z3193),#REF!),""))</f>
        <v/>
      </c>
      <c r="AB3193" t="str">
        <f>IF(Z3193="","",IFERROR(LOOKUP(2,1/(#REF!=Z3193),#REF!),""))</f>
        <v/>
      </c>
      <c r="AC3193" t="str">
        <f>IF(Z3193="","",COUNTIF(#REF!,Z3193))</f>
        <v/>
      </c>
      <c r="AD3193" t="str">
        <f>IF(A3193="","",IF(AC3193&gt;1,"REVISAR DUPLICADO",IF(AA3193&lt;&gt;"","ACTUALIZADO POR EYR","SIN REPORTE EYR")))</f>
        <v/>
      </c>
    </row>
    <row r="3194" spans="11:30" x14ac:dyDescent="0.3">
      <c r="K3194" s="1" t="str">
        <f ca="1">IF(A3194="","",IF(OR(L3194="ENTREGADA",L3194="RETORNADA",L3194="ENTREGA DIGITAL"),0,MAX(0,5-NETWORKDAYS(H3194+1,TODAY()))))</f>
        <v/>
      </c>
      <c r="L3194" t="str">
        <f>IF(A3194="","",IFERROR(LOOKUP(2,1/(#REF!=Z3194),#REF!),Y3194))</f>
        <v/>
      </c>
      <c r="Z3194" t="str">
        <f>IF(A3194="","",TEXT(A3194,"0")&amp;"|"&amp;TEXT(H3194,"0"))</f>
        <v/>
      </c>
      <c r="AA3194" t="str">
        <f>IF(Z3194="","",IFERROR(LOOKUP(2,1/(#REF!=Z3194),#REF!),""))</f>
        <v/>
      </c>
      <c r="AB3194" t="str">
        <f>IF(Z3194="","",IFERROR(LOOKUP(2,1/(#REF!=Z3194),#REF!),""))</f>
        <v/>
      </c>
      <c r="AC3194" t="str">
        <f>IF(Z3194="","",COUNTIF(#REF!,Z3194))</f>
        <v/>
      </c>
      <c r="AD3194" t="str">
        <f>IF(A3194="","",IF(AC3194&gt;1,"REVISAR DUPLICADO",IF(AA3194&lt;&gt;"","ACTUALIZADO POR EYR","SIN REPORTE EYR")))</f>
        <v/>
      </c>
    </row>
    <row r="3195" spans="11:30" x14ac:dyDescent="0.3">
      <c r="K3195" s="1" t="str">
        <f ca="1">IF(A3195="","",IF(OR(L3195="ENTREGADA",L3195="RETORNADA",L3195="ENTREGA DIGITAL"),0,MAX(0,5-NETWORKDAYS(H3195+1,TODAY()))))</f>
        <v/>
      </c>
      <c r="L3195" t="str">
        <f>IF(A3195="","",IFERROR(LOOKUP(2,1/(#REF!=Z3195),#REF!),Y3195))</f>
        <v/>
      </c>
      <c r="Z3195" t="str">
        <f>IF(A3195="","",TEXT(A3195,"0")&amp;"|"&amp;TEXT(H3195,"0"))</f>
        <v/>
      </c>
      <c r="AA3195" t="str">
        <f>IF(Z3195="","",IFERROR(LOOKUP(2,1/(#REF!=Z3195),#REF!),""))</f>
        <v/>
      </c>
      <c r="AB3195" t="str">
        <f>IF(Z3195="","",IFERROR(LOOKUP(2,1/(#REF!=Z3195),#REF!),""))</f>
        <v/>
      </c>
      <c r="AC3195" t="str">
        <f>IF(Z3195="","",COUNTIF(#REF!,Z3195))</f>
        <v/>
      </c>
      <c r="AD3195" t="str">
        <f>IF(A3195="","",IF(AC3195&gt;1,"REVISAR DUPLICADO",IF(AA3195&lt;&gt;"","ACTUALIZADO POR EYR","SIN REPORTE EYR")))</f>
        <v/>
      </c>
    </row>
    <row r="3196" spans="11:30" x14ac:dyDescent="0.3">
      <c r="K3196" s="1" t="str">
        <f ca="1">IF(A3196="","",IF(OR(L3196="ENTREGADA",L3196="RETORNADA",L3196="ENTREGA DIGITAL"),0,MAX(0,5-NETWORKDAYS(H3196+1,TODAY()))))</f>
        <v/>
      </c>
      <c r="L3196" t="str">
        <f>IF(A3196="","",IFERROR(LOOKUP(2,1/(#REF!=Z3196),#REF!),Y3196))</f>
        <v/>
      </c>
      <c r="Z3196" t="str">
        <f>IF(A3196="","",TEXT(A3196,"0")&amp;"|"&amp;TEXT(H3196,"0"))</f>
        <v/>
      </c>
      <c r="AA3196" t="str">
        <f>IF(Z3196="","",IFERROR(LOOKUP(2,1/(#REF!=Z3196),#REF!),""))</f>
        <v/>
      </c>
      <c r="AB3196" t="str">
        <f>IF(Z3196="","",IFERROR(LOOKUP(2,1/(#REF!=Z3196),#REF!),""))</f>
        <v/>
      </c>
      <c r="AC3196" t="str">
        <f>IF(Z3196="","",COUNTIF(#REF!,Z3196))</f>
        <v/>
      </c>
      <c r="AD3196" t="str">
        <f>IF(A3196="","",IF(AC3196&gt;1,"REVISAR DUPLICADO",IF(AA3196&lt;&gt;"","ACTUALIZADO POR EYR","SIN REPORTE EYR")))</f>
        <v/>
      </c>
    </row>
    <row r="3197" spans="11:30" x14ac:dyDescent="0.3">
      <c r="K3197" s="1" t="str">
        <f ca="1">IF(A3197="","",IF(OR(L3197="ENTREGADA",L3197="RETORNADA",L3197="ENTREGA DIGITAL"),0,MAX(0,5-NETWORKDAYS(H3197+1,TODAY()))))</f>
        <v/>
      </c>
      <c r="L3197" t="str">
        <f>IF(A3197="","",IFERROR(LOOKUP(2,1/(#REF!=Z3197),#REF!),Y3197))</f>
        <v/>
      </c>
      <c r="Z3197" t="str">
        <f>IF(A3197="","",TEXT(A3197,"0")&amp;"|"&amp;TEXT(H3197,"0"))</f>
        <v/>
      </c>
      <c r="AA3197" t="str">
        <f>IF(Z3197="","",IFERROR(LOOKUP(2,1/(#REF!=Z3197),#REF!),""))</f>
        <v/>
      </c>
      <c r="AB3197" t="str">
        <f>IF(Z3197="","",IFERROR(LOOKUP(2,1/(#REF!=Z3197),#REF!),""))</f>
        <v/>
      </c>
      <c r="AC3197" t="str">
        <f>IF(Z3197="","",COUNTIF(#REF!,Z3197))</f>
        <v/>
      </c>
      <c r="AD3197" t="str">
        <f>IF(A3197="","",IF(AC3197&gt;1,"REVISAR DUPLICADO",IF(AA3197&lt;&gt;"","ACTUALIZADO POR EYR","SIN REPORTE EYR")))</f>
        <v/>
      </c>
    </row>
    <row r="3198" spans="11:30" x14ac:dyDescent="0.3">
      <c r="K3198" s="1" t="str">
        <f ca="1">IF(A3198="","",IF(OR(L3198="ENTREGADA",L3198="RETORNADA",L3198="ENTREGA DIGITAL"),0,MAX(0,5-NETWORKDAYS(H3198+1,TODAY()))))</f>
        <v/>
      </c>
      <c r="L3198" t="str">
        <f>IF(A3198="","",IFERROR(LOOKUP(2,1/(#REF!=Z3198),#REF!),Y3198))</f>
        <v/>
      </c>
      <c r="Z3198" t="str">
        <f>IF(A3198="","",TEXT(A3198,"0")&amp;"|"&amp;TEXT(H3198,"0"))</f>
        <v/>
      </c>
      <c r="AA3198" t="str">
        <f>IF(Z3198="","",IFERROR(LOOKUP(2,1/(#REF!=Z3198),#REF!),""))</f>
        <v/>
      </c>
      <c r="AB3198" t="str">
        <f>IF(Z3198="","",IFERROR(LOOKUP(2,1/(#REF!=Z3198),#REF!),""))</f>
        <v/>
      </c>
      <c r="AC3198" t="str">
        <f>IF(Z3198="","",COUNTIF(#REF!,Z3198))</f>
        <v/>
      </c>
      <c r="AD3198" t="str">
        <f>IF(A3198="","",IF(AC3198&gt;1,"REVISAR DUPLICADO",IF(AA3198&lt;&gt;"","ACTUALIZADO POR EYR","SIN REPORTE EYR")))</f>
        <v/>
      </c>
    </row>
    <row r="3199" spans="11:30" x14ac:dyDescent="0.3">
      <c r="K3199" s="1" t="str">
        <f ca="1">IF(A3199="","",IF(OR(L3199="ENTREGADA",L3199="RETORNADA",L3199="ENTREGA DIGITAL"),0,MAX(0,5-NETWORKDAYS(H3199+1,TODAY()))))</f>
        <v/>
      </c>
      <c r="L3199" t="str">
        <f>IF(A3199="","",IFERROR(LOOKUP(2,1/(#REF!=Z3199),#REF!),Y3199))</f>
        <v/>
      </c>
      <c r="Z3199" t="str">
        <f>IF(A3199="","",TEXT(A3199,"0")&amp;"|"&amp;TEXT(H3199,"0"))</f>
        <v/>
      </c>
      <c r="AA3199" t="str">
        <f>IF(Z3199="","",IFERROR(LOOKUP(2,1/(#REF!=Z3199),#REF!),""))</f>
        <v/>
      </c>
      <c r="AB3199" t="str">
        <f>IF(Z3199="","",IFERROR(LOOKUP(2,1/(#REF!=Z3199),#REF!),""))</f>
        <v/>
      </c>
      <c r="AC3199" t="str">
        <f>IF(Z3199="","",COUNTIF(#REF!,Z3199))</f>
        <v/>
      </c>
      <c r="AD3199" t="str">
        <f>IF(A3199="","",IF(AC3199&gt;1,"REVISAR DUPLICADO",IF(AA3199&lt;&gt;"","ACTUALIZADO POR EYR","SIN REPORTE EYR")))</f>
        <v/>
      </c>
    </row>
    <row r="3200" spans="11:30" x14ac:dyDescent="0.3">
      <c r="K3200" s="1" t="str">
        <f ca="1">IF(A3200="","",IF(OR(L3200="ENTREGADA",L3200="RETORNADA",L3200="ENTREGA DIGITAL"),0,MAX(0,5-NETWORKDAYS(H3200+1,TODAY()))))</f>
        <v/>
      </c>
      <c r="L3200" t="str">
        <f>IF(A3200="","",IFERROR(LOOKUP(2,1/(#REF!=Z3200),#REF!),Y3200))</f>
        <v/>
      </c>
      <c r="Z3200" t="str">
        <f>IF(A3200="","",TEXT(A3200,"0")&amp;"|"&amp;TEXT(H3200,"0"))</f>
        <v/>
      </c>
      <c r="AA3200" t="str">
        <f>IF(Z3200="","",IFERROR(LOOKUP(2,1/(#REF!=Z3200),#REF!),""))</f>
        <v/>
      </c>
      <c r="AB3200" t="str">
        <f>IF(Z3200="","",IFERROR(LOOKUP(2,1/(#REF!=Z3200),#REF!),""))</f>
        <v/>
      </c>
      <c r="AC3200" t="str">
        <f>IF(Z3200="","",COUNTIF(#REF!,Z3200))</f>
        <v/>
      </c>
      <c r="AD3200" t="str">
        <f>IF(A3200="","",IF(AC3200&gt;1,"REVISAR DUPLICADO",IF(AA3200&lt;&gt;"","ACTUALIZADO POR EYR","SIN REPORTE EYR")))</f>
        <v/>
      </c>
    </row>
    <row r="3201" spans="11:30" x14ac:dyDescent="0.3">
      <c r="K3201" s="1" t="str">
        <f ca="1">IF(A3201="","",IF(OR(L3201="ENTREGADA",L3201="RETORNADA",L3201="ENTREGA DIGITAL"),0,MAX(0,5-NETWORKDAYS(H3201+1,TODAY()))))</f>
        <v/>
      </c>
      <c r="L3201" t="str">
        <f>IF(A3201="","",IFERROR(LOOKUP(2,1/(#REF!=Z3201),#REF!),Y3201))</f>
        <v/>
      </c>
      <c r="Z3201" t="str">
        <f>IF(A3201="","",TEXT(A3201,"0")&amp;"|"&amp;TEXT(H3201,"0"))</f>
        <v/>
      </c>
      <c r="AA3201" t="str">
        <f>IF(Z3201="","",IFERROR(LOOKUP(2,1/(#REF!=Z3201),#REF!),""))</f>
        <v/>
      </c>
      <c r="AB3201" t="str">
        <f>IF(Z3201="","",IFERROR(LOOKUP(2,1/(#REF!=Z3201),#REF!),""))</f>
        <v/>
      </c>
      <c r="AC3201" t="str">
        <f>IF(Z3201="","",COUNTIF(#REF!,Z3201))</f>
        <v/>
      </c>
      <c r="AD3201" t="str">
        <f>IF(A3201="","",IF(AC3201&gt;1,"REVISAR DUPLICADO",IF(AA3201&lt;&gt;"","ACTUALIZADO POR EYR","SIN REPORTE EYR")))</f>
        <v/>
      </c>
    </row>
    <row r="3202" spans="11:30" x14ac:dyDescent="0.3">
      <c r="K3202" s="1" t="str">
        <f ca="1">IF(A3202="","",IF(OR(L3202="ENTREGADA",L3202="RETORNADA",L3202="ENTREGA DIGITAL"),0,MAX(0,5-NETWORKDAYS(H3202+1,TODAY()))))</f>
        <v/>
      </c>
      <c r="L3202" t="str">
        <f>IF(A3202="","",IFERROR(LOOKUP(2,1/(#REF!=Z3202),#REF!),Y3202))</f>
        <v/>
      </c>
      <c r="Z3202" t="str">
        <f>IF(A3202="","",TEXT(A3202,"0")&amp;"|"&amp;TEXT(H3202,"0"))</f>
        <v/>
      </c>
      <c r="AA3202" t="str">
        <f>IF(Z3202="","",IFERROR(LOOKUP(2,1/(#REF!=Z3202),#REF!),""))</f>
        <v/>
      </c>
      <c r="AB3202" t="str">
        <f>IF(Z3202="","",IFERROR(LOOKUP(2,1/(#REF!=Z3202),#REF!),""))</f>
        <v/>
      </c>
      <c r="AC3202" t="str">
        <f>IF(Z3202="","",COUNTIF(#REF!,Z3202))</f>
        <v/>
      </c>
      <c r="AD3202" t="str">
        <f>IF(A3202="","",IF(AC3202&gt;1,"REVISAR DUPLICADO",IF(AA3202&lt;&gt;"","ACTUALIZADO POR EYR","SIN REPORTE EYR")))</f>
        <v/>
      </c>
    </row>
    <row r="3203" spans="11:30" x14ac:dyDescent="0.3">
      <c r="K3203" s="1" t="str">
        <f ca="1">IF(A3203="","",IF(OR(L3203="ENTREGADA",L3203="RETORNADA",L3203="ENTREGA DIGITAL"),0,MAX(0,5-NETWORKDAYS(H3203+1,TODAY()))))</f>
        <v/>
      </c>
      <c r="L3203" t="str">
        <f>IF(A3203="","",IFERROR(LOOKUP(2,1/(#REF!=Z3203),#REF!),Y3203))</f>
        <v/>
      </c>
      <c r="Z3203" t="str">
        <f>IF(A3203="","",TEXT(A3203,"0")&amp;"|"&amp;TEXT(H3203,"0"))</f>
        <v/>
      </c>
      <c r="AA3203" t="str">
        <f>IF(Z3203="","",IFERROR(LOOKUP(2,1/(#REF!=Z3203),#REF!),""))</f>
        <v/>
      </c>
      <c r="AB3203" t="str">
        <f>IF(Z3203="","",IFERROR(LOOKUP(2,1/(#REF!=Z3203),#REF!),""))</f>
        <v/>
      </c>
      <c r="AC3203" t="str">
        <f>IF(Z3203="","",COUNTIF(#REF!,Z3203))</f>
        <v/>
      </c>
      <c r="AD3203" t="str">
        <f>IF(A3203="","",IF(AC3203&gt;1,"REVISAR DUPLICADO",IF(AA3203&lt;&gt;"","ACTUALIZADO POR EYR","SIN REPORTE EYR")))</f>
        <v/>
      </c>
    </row>
    <row r="3204" spans="11:30" x14ac:dyDescent="0.3">
      <c r="K3204" s="1" t="str">
        <f ca="1">IF(A3204="","",IF(OR(L3204="ENTREGADA",L3204="RETORNADA",L3204="ENTREGA DIGITAL"),0,MAX(0,5-NETWORKDAYS(H3204+1,TODAY()))))</f>
        <v/>
      </c>
      <c r="L3204" t="str">
        <f>IF(A3204="","",IFERROR(LOOKUP(2,1/(#REF!=Z3204),#REF!),Y3204))</f>
        <v/>
      </c>
      <c r="Z3204" t="str">
        <f>IF(A3204="","",TEXT(A3204,"0")&amp;"|"&amp;TEXT(H3204,"0"))</f>
        <v/>
      </c>
      <c r="AA3204" t="str">
        <f>IF(Z3204="","",IFERROR(LOOKUP(2,1/(#REF!=Z3204),#REF!),""))</f>
        <v/>
      </c>
      <c r="AB3204" t="str">
        <f>IF(Z3204="","",IFERROR(LOOKUP(2,1/(#REF!=Z3204),#REF!),""))</f>
        <v/>
      </c>
      <c r="AC3204" t="str">
        <f>IF(Z3204="","",COUNTIF(#REF!,Z3204))</f>
        <v/>
      </c>
      <c r="AD3204" t="str">
        <f>IF(A3204="","",IF(AC3204&gt;1,"REVISAR DUPLICADO",IF(AA3204&lt;&gt;"","ACTUALIZADO POR EYR","SIN REPORTE EYR")))</f>
        <v/>
      </c>
    </row>
    <row r="3205" spans="11:30" x14ac:dyDescent="0.3">
      <c r="K3205" s="1" t="str">
        <f ca="1">IF(A3205="","",IF(OR(L3205="ENTREGADA",L3205="RETORNADA",L3205="ENTREGA DIGITAL"),0,MAX(0,5-NETWORKDAYS(H3205+1,TODAY()))))</f>
        <v/>
      </c>
      <c r="L3205" t="str">
        <f>IF(A3205="","",IFERROR(LOOKUP(2,1/(#REF!=Z3205),#REF!),Y3205))</f>
        <v/>
      </c>
      <c r="Z3205" t="str">
        <f>IF(A3205="","",TEXT(A3205,"0")&amp;"|"&amp;TEXT(H3205,"0"))</f>
        <v/>
      </c>
      <c r="AA3205" t="str">
        <f>IF(Z3205="","",IFERROR(LOOKUP(2,1/(#REF!=Z3205),#REF!),""))</f>
        <v/>
      </c>
      <c r="AB3205" t="str">
        <f>IF(Z3205="","",IFERROR(LOOKUP(2,1/(#REF!=Z3205),#REF!),""))</f>
        <v/>
      </c>
      <c r="AC3205" t="str">
        <f>IF(Z3205="","",COUNTIF(#REF!,Z3205))</f>
        <v/>
      </c>
      <c r="AD3205" t="str">
        <f>IF(A3205="","",IF(AC3205&gt;1,"REVISAR DUPLICADO",IF(AA3205&lt;&gt;"","ACTUALIZADO POR EYR","SIN REPORTE EYR")))</f>
        <v/>
      </c>
    </row>
    <row r="3206" spans="11:30" x14ac:dyDescent="0.3">
      <c r="K3206" s="1" t="str">
        <f ca="1">IF(A3206="","",IF(OR(L3206="ENTREGADA",L3206="RETORNADA",L3206="ENTREGA DIGITAL"),0,MAX(0,5-NETWORKDAYS(H3206+1,TODAY()))))</f>
        <v/>
      </c>
      <c r="L3206" t="str">
        <f>IF(A3206="","",IFERROR(LOOKUP(2,1/(#REF!=Z3206),#REF!),Y3206))</f>
        <v/>
      </c>
      <c r="Z3206" t="str">
        <f>IF(A3206="","",TEXT(A3206,"0")&amp;"|"&amp;TEXT(H3206,"0"))</f>
        <v/>
      </c>
      <c r="AA3206" t="str">
        <f>IF(Z3206="","",IFERROR(LOOKUP(2,1/(#REF!=Z3206),#REF!),""))</f>
        <v/>
      </c>
      <c r="AB3206" t="str">
        <f>IF(Z3206="","",IFERROR(LOOKUP(2,1/(#REF!=Z3206),#REF!),""))</f>
        <v/>
      </c>
      <c r="AC3206" t="str">
        <f>IF(Z3206="","",COUNTIF(#REF!,Z3206))</f>
        <v/>
      </c>
      <c r="AD3206" t="str">
        <f>IF(A3206="","",IF(AC3206&gt;1,"REVISAR DUPLICADO",IF(AA3206&lt;&gt;"","ACTUALIZADO POR EYR","SIN REPORTE EYR")))</f>
        <v/>
      </c>
    </row>
    <row r="3207" spans="11:30" x14ac:dyDescent="0.3">
      <c r="K3207" s="1" t="str">
        <f ca="1">IF(A3207="","",IF(OR(L3207="ENTREGADA",L3207="RETORNADA",L3207="ENTREGA DIGITAL"),0,MAX(0,5-NETWORKDAYS(H3207+1,TODAY()))))</f>
        <v/>
      </c>
      <c r="L3207" t="str">
        <f>IF(A3207="","",IFERROR(LOOKUP(2,1/(#REF!=Z3207),#REF!),Y3207))</f>
        <v/>
      </c>
      <c r="Z3207" t="str">
        <f>IF(A3207="","",TEXT(A3207,"0")&amp;"|"&amp;TEXT(H3207,"0"))</f>
        <v/>
      </c>
      <c r="AA3207" t="str">
        <f>IF(Z3207="","",IFERROR(LOOKUP(2,1/(#REF!=Z3207),#REF!),""))</f>
        <v/>
      </c>
      <c r="AB3207" t="str">
        <f>IF(Z3207="","",IFERROR(LOOKUP(2,1/(#REF!=Z3207),#REF!),""))</f>
        <v/>
      </c>
      <c r="AC3207" t="str">
        <f>IF(Z3207="","",COUNTIF(#REF!,Z3207))</f>
        <v/>
      </c>
      <c r="AD3207" t="str">
        <f>IF(A3207="","",IF(AC3207&gt;1,"REVISAR DUPLICADO",IF(AA3207&lt;&gt;"","ACTUALIZADO POR EYR","SIN REPORTE EYR")))</f>
        <v/>
      </c>
    </row>
    <row r="3208" spans="11:30" x14ac:dyDescent="0.3">
      <c r="K3208" s="1" t="str">
        <f ca="1">IF(A3208="","",IF(OR(L3208="ENTREGADA",L3208="RETORNADA",L3208="ENTREGA DIGITAL"),0,MAX(0,5-NETWORKDAYS(H3208+1,TODAY()))))</f>
        <v/>
      </c>
      <c r="L3208" t="str">
        <f>IF(A3208="","",IFERROR(LOOKUP(2,1/(#REF!=Z3208),#REF!),Y3208))</f>
        <v/>
      </c>
      <c r="Z3208" t="str">
        <f>IF(A3208="","",TEXT(A3208,"0")&amp;"|"&amp;TEXT(H3208,"0"))</f>
        <v/>
      </c>
      <c r="AA3208" t="str">
        <f>IF(Z3208="","",IFERROR(LOOKUP(2,1/(#REF!=Z3208),#REF!),""))</f>
        <v/>
      </c>
      <c r="AB3208" t="str">
        <f>IF(Z3208="","",IFERROR(LOOKUP(2,1/(#REF!=Z3208),#REF!),""))</f>
        <v/>
      </c>
      <c r="AC3208" t="str">
        <f>IF(Z3208="","",COUNTIF(#REF!,Z3208))</f>
        <v/>
      </c>
      <c r="AD3208" t="str">
        <f>IF(A3208="","",IF(AC3208&gt;1,"REVISAR DUPLICADO",IF(AA3208&lt;&gt;"","ACTUALIZADO POR EYR","SIN REPORTE EYR")))</f>
        <v/>
      </c>
    </row>
    <row r="3209" spans="11:30" x14ac:dyDescent="0.3">
      <c r="K3209" s="1" t="str">
        <f ca="1">IF(A3209="","",IF(OR(L3209="ENTREGADA",L3209="RETORNADA",L3209="ENTREGA DIGITAL"),0,MAX(0,5-NETWORKDAYS(H3209+1,TODAY()))))</f>
        <v/>
      </c>
      <c r="L3209" t="str">
        <f>IF(A3209="","",IFERROR(LOOKUP(2,1/(#REF!=Z3209),#REF!),Y3209))</f>
        <v/>
      </c>
      <c r="Z3209" t="str">
        <f>IF(A3209="","",TEXT(A3209,"0")&amp;"|"&amp;TEXT(H3209,"0"))</f>
        <v/>
      </c>
      <c r="AA3209" t="str">
        <f>IF(Z3209="","",IFERROR(LOOKUP(2,1/(#REF!=Z3209),#REF!),""))</f>
        <v/>
      </c>
      <c r="AB3209" t="str">
        <f>IF(Z3209="","",IFERROR(LOOKUP(2,1/(#REF!=Z3209),#REF!),""))</f>
        <v/>
      </c>
      <c r="AC3209" t="str">
        <f>IF(Z3209="","",COUNTIF(#REF!,Z3209))</f>
        <v/>
      </c>
      <c r="AD3209" t="str">
        <f>IF(A3209="","",IF(AC3209&gt;1,"REVISAR DUPLICADO",IF(AA3209&lt;&gt;"","ACTUALIZADO POR EYR","SIN REPORTE EYR")))</f>
        <v/>
      </c>
    </row>
    <row r="3210" spans="11:30" x14ac:dyDescent="0.3">
      <c r="K3210" s="1" t="str">
        <f ca="1">IF(A3210="","",IF(OR(L3210="ENTREGADA",L3210="RETORNADA",L3210="ENTREGA DIGITAL"),0,MAX(0,5-NETWORKDAYS(H3210+1,TODAY()))))</f>
        <v/>
      </c>
      <c r="L3210" t="str">
        <f>IF(A3210="","",IFERROR(LOOKUP(2,1/(#REF!=Z3210),#REF!),Y3210))</f>
        <v/>
      </c>
      <c r="Z3210" t="str">
        <f>IF(A3210="","",TEXT(A3210,"0")&amp;"|"&amp;TEXT(H3210,"0"))</f>
        <v/>
      </c>
      <c r="AA3210" t="str">
        <f>IF(Z3210="","",IFERROR(LOOKUP(2,1/(#REF!=Z3210),#REF!),""))</f>
        <v/>
      </c>
      <c r="AB3210" t="str">
        <f>IF(Z3210="","",IFERROR(LOOKUP(2,1/(#REF!=Z3210),#REF!),""))</f>
        <v/>
      </c>
      <c r="AC3210" t="str">
        <f>IF(Z3210="","",COUNTIF(#REF!,Z3210))</f>
        <v/>
      </c>
      <c r="AD3210" t="str">
        <f>IF(A3210="","",IF(AC3210&gt;1,"REVISAR DUPLICADO",IF(AA3210&lt;&gt;"","ACTUALIZADO POR EYR","SIN REPORTE EYR")))</f>
        <v/>
      </c>
    </row>
    <row r="3211" spans="11:30" x14ac:dyDescent="0.3">
      <c r="K3211" s="1" t="str">
        <f ca="1">IF(A3211="","",IF(OR(L3211="ENTREGADA",L3211="RETORNADA",L3211="ENTREGA DIGITAL"),0,MAX(0,5-NETWORKDAYS(H3211+1,TODAY()))))</f>
        <v/>
      </c>
      <c r="L3211" t="str">
        <f>IF(A3211="","",IFERROR(LOOKUP(2,1/(#REF!=Z3211),#REF!),Y3211))</f>
        <v/>
      </c>
      <c r="Z3211" t="str">
        <f>IF(A3211="","",TEXT(A3211,"0")&amp;"|"&amp;TEXT(H3211,"0"))</f>
        <v/>
      </c>
      <c r="AA3211" t="str">
        <f>IF(Z3211="","",IFERROR(LOOKUP(2,1/(#REF!=Z3211),#REF!),""))</f>
        <v/>
      </c>
      <c r="AB3211" t="str">
        <f>IF(Z3211="","",IFERROR(LOOKUP(2,1/(#REF!=Z3211),#REF!),""))</f>
        <v/>
      </c>
      <c r="AC3211" t="str">
        <f>IF(Z3211="","",COUNTIF(#REF!,Z3211))</f>
        <v/>
      </c>
      <c r="AD3211" t="str">
        <f>IF(A3211="","",IF(AC3211&gt;1,"REVISAR DUPLICADO",IF(AA3211&lt;&gt;"","ACTUALIZADO POR EYR","SIN REPORTE EYR")))</f>
        <v/>
      </c>
    </row>
    <row r="3212" spans="11:30" x14ac:dyDescent="0.3">
      <c r="K3212" s="1" t="str">
        <f ca="1">IF(A3212="","",IF(OR(L3212="ENTREGADA",L3212="RETORNADA",L3212="ENTREGA DIGITAL"),0,MAX(0,5-NETWORKDAYS(H3212+1,TODAY()))))</f>
        <v/>
      </c>
      <c r="L3212" t="str">
        <f>IF(A3212="","",IFERROR(LOOKUP(2,1/(#REF!=Z3212),#REF!),Y3212))</f>
        <v/>
      </c>
      <c r="Z3212" t="str">
        <f>IF(A3212="","",TEXT(A3212,"0")&amp;"|"&amp;TEXT(H3212,"0"))</f>
        <v/>
      </c>
      <c r="AA3212" t="str">
        <f>IF(Z3212="","",IFERROR(LOOKUP(2,1/(#REF!=Z3212),#REF!),""))</f>
        <v/>
      </c>
      <c r="AB3212" t="str">
        <f>IF(Z3212="","",IFERROR(LOOKUP(2,1/(#REF!=Z3212),#REF!),""))</f>
        <v/>
      </c>
      <c r="AC3212" t="str">
        <f>IF(Z3212="","",COUNTIF(#REF!,Z3212))</f>
        <v/>
      </c>
      <c r="AD3212" t="str">
        <f>IF(A3212="","",IF(AC3212&gt;1,"REVISAR DUPLICADO",IF(AA3212&lt;&gt;"","ACTUALIZADO POR EYR","SIN REPORTE EYR")))</f>
        <v/>
      </c>
    </row>
    <row r="3213" spans="11:30" x14ac:dyDescent="0.3">
      <c r="K3213" s="1" t="str">
        <f ca="1">IF(A3213="","",IF(OR(L3213="ENTREGADA",L3213="RETORNADA",L3213="ENTREGA DIGITAL"),0,MAX(0,5-NETWORKDAYS(H3213+1,TODAY()))))</f>
        <v/>
      </c>
      <c r="L3213" t="str">
        <f>IF(A3213="","",IFERROR(LOOKUP(2,1/(#REF!=Z3213),#REF!),Y3213))</f>
        <v/>
      </c>
      <c r="Z3213" t="str">
        <f>IF(A3213="","",TEXT(A3213,"0")&amp;"|"&amp;TEXT(H3213,"0"))</f>
        <v/>
      </c>
      <c r="AA3213" t="str">
        <f>IF(Z3213="","",IFERROR(LOOKUP(2,1/(#REF!=Z3213),#REF!),""))</f>
        <v/>
      </c>
      <c r="AB3213" t="str">
        <f>IF(Z3213="","",IFERROR(LOOKUP(2,1/(#REF!=Z3213),#REF!),""))</f>
        <v/>
      </c>
      <c r="AC3213" t="str">
        <f>IF(Z3213="","",COUNTIF(#REF!,Z3213))</f>
        <v/>
      </c>
      <c r="AD3213" t="str">
        <f>IF(A3213="","",IF(AC3213&gt;1,"REVISAR DUPLICADO",IF(AA3213&lt;&gt;"","ACTUALIZADO POR EYR","SIN REPORTE EYR")))</f>
        <v/>
      </c>
    </row>
    <row r="3214" spans="11:30" x14ac:dyDescent="0.3">
      <c r="K3214" s="1" t="str">
        <f ca="1">IF(A3214="","",IF(OR(L3214="ENTREGADA",L3214="RETORNADA",L3214="ENTREGA DIGITAL"),0,MAX(0,5-NETWORKDAYS(H3214+1,TODAY()))))</f>
        <v/>
      </c>
      <c r="L3214" t="str">
        <f>IF(A3214="","",IFERROR(LOOKUP(2,1/(#REF!=Z3214),#REF!),Y3214))</f>
        <v/>
      </c>
      <c r="Z3214" t="str">
        <f>IF(A3214="","",TEXT(A3214,"0")&amp;"|"&amp;TEXT(H3214,"0"))</f>
        <v/>
      </c>
      <c r="AA3214" t="str">
        <f>IF(Z3214="","",IFERROR(LOOKUP(2,1/(#REF!=Z3214),#REF!),""))</f>
        <v/>
      </c>
      <c r="AB3214" t="str">
        <f>IF(Z3214="","",IFERROR(LOOKUP(2,1/(#REF!=Z3214),#REF!),""))</f>
        <v/>
      </c>
      <c r="AC3214" t="str">
        <f>IF(Z3214="","",COUNTIF(#REF!,Z3214))</f>
        <v/>
      </c>
      <c r="AD3214" t="str">
        <f>IF(A3214="","",IF(AC3214&gt;1,"REVISAR DUPLICADO",IF(AA3214&lt;&gt;"","ACTUALIZADO POR EYR","SIN REPORTE EYR")))</f>
        <v/>
      </c>
    </row>
    <row r="3215" spans="11:30" x14ac:dyDescent="0.3">
      <c r="K3215" s="1" t="str">
        <f ca="1">IF(A3215="","",IF(OR(L3215="ENTREGADA",L3215="RETORNADA",L3215="ENTREGA DIGITAL"),0,MAX(0,5-NETWORKDAYS(H3215+1,TODAY()))))</f>
        <v/>
      </c>
      <c r="L3215" t="str">
        <f>IF(A3215="","",IFERROR(LOOKUP(2,1/(#REF!=Z3215),#REF!),Y3215))</f>
        <v/>
      </c>
      <c r="Z3215" t="str">
        <f>IF(A3215="","",TEXT(A3215,"0")&amp;"|"&amp;TEXT(H3215,"0"))</f>
        <v/>
      </c>
      <c r="AA3215" t="str">
        <f>IF(Z3215="","",IFERROR(LOOKUP(2,1/(#REF!=Z3215),#REF!),""))</f>
        <v/>
      </c>
      <c r="AB3215" t="str">
        <f>IF(Z3215="","",IFERROR(LOOKUP(2,1/(#REF!=Z3215),#REF!),""))</f>
        <v/>
      </c>
      <c r="AC3215" t="str">
        <f>IF(Z3215="","",COUNTIF(#REF!,Z3215))</f>
        <v/>
      </c>
      <c r="AD3215" t="str">
        <f>IF(A3215="","",IF(AC3215&gt;1,"REVISAR DUPLICADO",IF(AA3215&lt;&gt;"","ACTUALIZADO POR EYR","SIN REPORTE EYR")))</f>
        <v/>
      </c>
    </row>
    <row r="3216" spans="11:30" x14ac:dyDescent="0.3">
      <c r="K3216" s="1" t="str">
        <f ca="1">IF(A3216="","",IF(OR(L3216="ENTREGADA",L3216="RETORNADA",L3216="ENTREGA DIGITAL"),0,MAX(0,5-NETWORKDAYS(H3216+1,TODAY()))))</f>
        <v/>
      </c>
      <c r="L3216" t="str">
        <f>IF(A3216="","",IFERROR(LOOKUP(2,1/(#REF!=Z3216),#REF!),Y3216))</f>
        <v/>
      </c>
      <c r="Z3216" t="str">
        <f>IF(A3216="","",TEXT(A3216,"0")&amp;"|"&amp;TEXT(H3216,"0"))</f>
        <v/>
      </c>
      <c r="AA3216" t="str">
        <f>IF(Z3216="","",IFERROR(LOOKUP(2,1/(#REF!=Z3216),#REF!),""))</f>
        <v/>
      </c>
      <c r="AB3216" t="str">
        <f>IF(Z3216="","",IFERROR(LOOKUP(2,1/(#REF!=Z3216),#REF!),""))</f>
        <v/>
      </c>
      <c r="AC3216" t="str">
        <f>IF(Z3216="","",COUNTIF(#REF!,Z3216))</f>
        <v/>
      </c>
      <c r="AD3216" t="str">
        <f>IF(A3216="","",IF(AC3216&gt;1,"REVISAR DUPLICADO",IF(AA3216&lt;&gt;"","ACTUALIZADO POR EYR","SIN REPORTE EYR")))</f>
        <v/>
      </c>
    </row>
    <row r="3217" spans="11:30" x14ac:dyDescent="0.3">
      <c r="K3217" s="1" t="str">
        <f ca="1">IF(A3217="","",IF(OR(L3217="ENTREGADA",L3217="RETORNADA",L3217="ENTREGA DIGITAL"),0,MAX(0,5-NETWORKDAYS(H3217+1,TODAY()))))</f>
        <v/>
      </c>
      <c r="L3217" t="str">
        <f>IF(A3217="","",IFERROR(LOOKUP(2,1/(#REF!=Z3217),#REF!),Y3217))</f>
        <v/>
      </c>
      <c r="Z3217" t="str">
        <f>IF(A3217="","",TEXT(A3217,"0")&amp;"|"&amp;TEXT(H3217,"0"))</f>
        <v/>
      </c>
      <c r="AA3217" t="str">
        <f>IF(Z3217="","",IFERROR(LOOKUP(2,1/(#REF!=Z3217),#REF!),""))</f>
        <v/>
      </c>
      <c r="AB3217" t="str">
        <f>IF(Z3217="","",IFERROR(LOOKUP(2,1/(#REF!=Z3217),#REF!),""))</f>
        <v/>
      </c>
      <c r="AC3217" t="str">
        <f>IF(Z3217="","",COUNTIF(#REF!,Z3217))</f>
        <v/>
      </c>
      <c r="AD3217" t="str">
        <f>IF(A3217="","",IF(AC3217&gt;1,"REVISAR DUPLICADO",IF(AA3217&lt;&gt;"","ACTUALIZADO POR EYR","SIN REPORTE EYR")))</f>
        <v/>
      </c>
    </row>
    <row r="3218" spans="11:30" x14ac:dyDescent="0.3">
      <c r="K3218" s="1" t="str">
        <f ca="1">IF(A3218="","",IF(OR(L3218="ENTREGADA",L3218="RETORNADA",L3218="ENTREGA DIGITAL"),0,MAX(0,5-NETWORKDAYS(H3218+1,TODAY()))))</f>
        <v/>
      </c>
      <c r="L3218" t="str">
        <f>IF(A3218="","",IFERROR(LOOKUP(2,1/(#REF!=Z3218),#REF!),Y3218))</f>
        <v/>
      </c>
      <c r="Z3218" t="str">
        <f>IF(A3218="","",TEXT(A3218,"0")&amp;"|"&amp;TEXT(H3218,"0"))</f>
        <v/>
      </c>
      <c r="AA3218" t="str">
        <f>IF(Z3218="","",IFERROR(LOOKUP(2,1/(#REF!=Z3218),#REF!),""))</f>
        <v/>
      </c>
      <c r="AB3218" t="str">
        <f>IF(Z3218="","",IFERROR(LOOKUP(2,1/(#REF!=Z3218),#REF!),""))</f>
        <v/>
      </c>
      <c r="AC3218" t="str">
        <f>IF(Z3218="","",COUNTIF(#REF!,Z3218))</f>
        <v/>
      </c>
      <c r="AD3218" t="str">
        <f>IF(A3218="","",IF(AC3218&gt;1,"REVISAR DUPLICADO",IF(AA3218&lt;&gt;"","ACTUALIZADO POR EYR","SIN REPORTE EYR")))</f>
        <v/>
      </c>
    </row>
    <row r="3219" spans="11:30" x14ac:dyDescent="0.3">
      <c r="K3219" s="1" t="str">
        <f ca="1">IF(A3219="","",IF(OR(L3219="ENTREGADA",L3219="RETORNADA",L3219="ENTREGA DIGITAL"),0,MAX(0,5-NETWORKDAYS(H3219+1,TODAY()))))</f>
        <v/>
      </c>
      <c r="L3219" t="str">
        <f>IF(A3219="","",IFERROR(LOOKUP(2,1/(#REF!=Z3219),#REF!),Y3219))</f>
        <v/>
      </c>
      <c r="Z3219" t="str">
        <f>IF(A3219="","",TEXT(A3219,"0")&amp;"|"&amp;TEXT(H3219,"0"))</f>
        <v/>
      </c>
      <c r="AA3219" t="str">
        <f>IF(Z3219="","",IFERROR(LOOKUP(2,1/(#REF!=Z3219),#REF!),""))</f>
        <v/>
      </c>
      <c r="AB3219" t="str">
        <f>IF(Z3219="","",IFERROR(LOOKUP(2,1/(#REF!=Z3219),#REF!),""))</f>
        <v/>
      </c>
      <c r="AC3219" t="str">
        <f>IF(Z3219="","",COUNTIF(#REF!,Z3219))</f>
        <v/>
      </c>
      <c r="AD3219" t="str">
        <f>IF(A3219="","",IF(AC3219&gt;1,"REVISAR DUPLICADO",IF(AA3219&lt;&gt;"","ACTUALIZADO POR EYR","SIN REPORTE EYR")))</f>
        <v/>
      </c>
    </row>
    <row r="3220" spans="11:30" x14ac:dyDescent="0.3">
      <c r="K3220" s="1" t="str">
        <f ca="1">IF(A3220="","",IF(OR(L3220="ENTREGADA",L3220="RETORNADA",L3220="ENTREGA DIGITAL"),0,MAX(0,5-NETWORKDAYS(H3220+1,TODAY()))))</f>
        <v/>
      </c>
      <c r="L3220" t="str">
        <f>IF(A3220="","",IFERROR(LOOKUP(2,1/(#REF!=Z3220),#REF!),Y3220))</f>
        <v/>
      </c>
      <c r="Z3220" t="str">
        <f>IF(A3220="","",TEXT(A3220,"0")&amp;"|"&amp;TEXT(H3220,"0"))</f>
        <v/>
      </c>
      <c r="AA3220" t="str">
        <f>IF(Z3220="","",IFERROR(LOOKUP(2,1/(#REF!=Z3220),#REF!),""))</f>
        <v/>
      </c>
      <c r="AB3220" t="str">
        <f>IF(Z3220="","",IFERROR(LOOKUP(2,1/(#REF!=Z3220),#REF!),""))</f>
        <v/>
      </c>
      <c r="AC3220" t="str">
        <f>IF(Z3220="","",COUNTIF(#REF!,Z3220))</f>
        <v/>
      </c>
      <c r="AD3220" t="str">
        <f>IF(A3220="","",IF(AC3220&gt;1,"REVISAR DUPLICADO",IF(AA3220&lt;&gt;"","ACTUALIZADO POR EYR","SIN REPORTE EYR")))</f>
        <v/>
      </c>
    </row>
    <row r="3221" spans="11:30" x14ac:dyDescent="0.3">
      <c r="K3221" s="1" t="str">
        <f ca="1">IF(A3221="","",IF(OR(L3221="ENTREGADA",L3221="RETORNADA",L3221="ENTREGA DIGITAL"),0,MAX(0,5-NETWORKDAYS(H3221+1,TODAY()))))</f>
        <v/>
      </c>
      <c r="L3221" t="str">
        <f>IF(A3221="","",IFERROR(LOOKUP(2,1/(#REF!=Z3221),#REF!),Y3221))</f>
        <v/>
      </c>
      <c r="Z3221" t="str">
        <f>IF(A3221="","",TEXT(A3221,"0")&amp;"|"&amp;TEXT(H3221,"0"))</f>
        <v/>
      </c>
      <c r="AA3221" t="str">
        <f>IF(Z3221="","",IFERROR(LOOKUP(2,1/(#REF!=Z3221),#REF!),""))</f>
        <v/>
      </c>
      <c r="AB3221" t="str">
        <f>IF(Z3221="","",IFERROR(LOOKUP(2,1/(#REF!=Z3221),#REF!),""))</f>
        <v/>
      </c>
      <c r="AC3221" t="str">
        <f>IF(Z3221="","",COUNTIF(#REF!,Z3221))</f>
        <v/>
      </c>
      <c r="AD3221" t="str">
        <f>IF(A3221="","",IF(AC3221&gt;1,"REVISAR DUPLICADO",IF(AA3221&lt;&gt;"","ACTUALIZADO POR EYR","SIN REPORTE EYR")))</f>
        <v/>
      </c>
    </row>
    <row r="3222" spans="11:30" x14ac:dyDescent="0.3">
      <c r="K3222" s="1" t="str">
        <f ca="1">IF(A3222="","",IF(OR(L3222="ENTREGADA",L3222="RETORNADA",L3222="ENTREGA DIGITAL"),0,MAX(0,5-NETWORKDAYS(H3222+1,TODAY()))))</f>
        <v/>
      </c>
      <c r="L3222" t="str">
        <f>IF(A3222="","",IFERROR(LOOKUP(2,1/(#REF!=Z3222),#REF!),Y3222))</f>
        <v/>
      </c>
      <c r="Z3222" t="str">
        <f>IF(A3222="","",TEXT(A3222,"0")&amp;"|"&amp;TEXT(H3222,"0"))</f>
        <v/>
      </c>
      <c r="AA3222" t="str">
        <f>IF(Z3222="","",IFERROR(LOOKUP(2,1/(#REF!=Z3222),#REF!),""))</f>
        <v/>
      </c>
      <c r="AB3222" t="str">
        <f>IF(Z3222="","",IFERROR(LOOKUP(2,1/(#REF!=Z3222),#REF!),""))</f>
        <v/>
      </c>
      <c r="AC3222" t="str">
        <f>IF(Z3222="","",COUNTIF(#REF!,Z3222))</f>
        <v/>
      </c>
      <c r="AD3222" t="str">
        <f>IF(A3222="","",IF(AC3222&gt;1,"REVISAR DUPLICADO",IF(AA3222&lt;&gt;"","ACTUALIZADO POR EYR","SIN REPORTE EYR")))</f>
        <v/>
      </c>
    </row>
    <row r="3223" spans="11:30" x14ac:dyDescent="0.3">
      <c r="K3223" s="1" t="str">
        <f ca="1">IF(A3223="","",IF(OR(L3223="ENTREGADA",L3223="RETORNADA",L3223="ENTREGA DIGITAL"),0,MAX(0,5-NETWORKDAYS(H3223+1,TODAY()))))</f>
        <v/>
      </c>
      <c r="L3223" t="str">
        <f>IF(A3223="","",IFERROR(LOOKUP(2,1/(#REF!=Z3223),#REF!),Y3223))</f>
        <v/>
      </c>
      <c r="Z3223" t="str">
        <f>IF(A3223="","",TEXT(A3223,"0")&amp;"|"&amp;TEXT(H3223,"0"))</f>
        <v/>
      </c>
      <c r="AA3223" t="str">
        <f>IF(Z3223="","",IFERROR(LOOKUP(2,1/(#REF!=Z3223),#REF!),""))</f>
        <v/>
      </c>
      <c r="AB3223" t="str">
        <f>IF(Z3223="","",IFERROR(LOOKUP(2,1/(#REF!=Z3223),#REF!),""))</f>
        <v/>
      </c>
      <c r="AC3223" t="str">
        <f>IF(Z3223="","",COUNTIF(#REF!,Z3223))</f>
        <v/>
      </c>
      <c r="AD3223" t="str">
        <f>IF(A3223="","",IF(AC3223&gt;1,"REVISAR DUPLICADO",IF(AA3223&lt;&gt;"","ACTUALIZADO POR EYR","SIN REPORTE EYR")))</f>
        <v/>
      </c>
    </row>
    <row r="3224" spans="11:30" x14ac:dyDescent="0.3">
      <c r="K3224" s="1" t="str">
        <f ca="1">IF(A3224="","",IF(OR(L3224="ENTREGADA",L3224="RETORNADA",L3224="ENTREGA DIGITAL"),0,MAX(0,5-NETWORKDAYS(H3224+1,TODAY()))))</f>
        <v/>
      </c>
      <c r="L3224" t="str">
        <f>IF(A3224="","",IFERROR(LOOKUP(2,1/(#REF!=Z3224),#REF!),Y3224))</f>
        <v/>
      </c>
      <c r="Z3224" t="str">
        <f>IF(A3224="","",TEXT(A3224,"0")&amp;"|"&amp;TEXT(H3224,"0"))</f>
        <v/>
      </c>
      <c r="AA3224" t="str">
        <f>IF(Z3224="","",IFERROR(LOOKUP(2,1/(#REF!=Z3224),#REF!),""))</f>
        <v/>
      </c>
      <c r="AB3224" t="str">
        <f>IF(Z3224="","",IFERROR(LOOKUP(2,1/(#REF!=Z3224),#REF!),""))</f>
        <v/>
      </c>
      <c r="AC3224" t="str">
        <f>IF(Z3224="","",COUNTIF(#REF!,Z3224))</f>
        <v/>
      </c>
      <c r="AD3224" t="str">
        <f>IF(A3224="","",IF(AC3224&gt;1,"REVISAR DUPLICADO",IF(AA3224&lt;&gt;"","ACTUALIZADO POR EYR","SIN REPORTE EYR")))</f>
        <v/>
      </c>
    </row>
    <row r="3225" spans="11:30" x14ac:dyDescent="0.3">
      <c r="K3225" s="1" t="str">
        <f ca="1">IF(A3225="","",IF(OR(L3225="ENTREGADA",L3225="RETORNADA",L3225="ENTREGA DIGITAL"),0,MAX(0,5-NETWORKDAYS(H3225+1,TODAY()))))</f>
        <v/>
      </c>
      <c r="L3225" t="str">
        <f>IF(A3225="","",IFERROR(LOOKUP(2,1/(#REF!=Z3225),#REF!),Y3225))</f>
        <v/>
      </c>
      <c r="Z3225" t="str">
        <f>IF(A3225="","",TEXT(A3225,"0")&amp;"|"&amp;TEXT(H3225,"0"))</f>
        <v/>
      </c>
      <c r="AA3225" t="str">
        <f>IF(Z3225="","",IFERROR(LOOKUP(2,1/(#REF!=Z3225),#REF!),""))</f>
        <v/>
      </c>
      <c r="AB3225" t="str">
        <f>IF(Z3225="","",IFERROR(LOOKUP(2,1/(#REF!=Z3225),#REF!),""))</f>
        <v/>
      </c>
      <c r="AC3225" t="str">
        <f>IF(Z3225="","",COUNTIF(#REF!,Z3225))</f>
        <v/>
      </c>
      <c r="AD3225" t="str">
        <f>IF(A3225="","",IF(AC3225&gt;1,"REVISAR DUPLICADO",IF(AA3225&lt;&gt;"","ACTUALIZADO POR EYR","SIN REPORTE EYR")))</f>
        <v/>
      </c>
    </row>
    <row r="3226" spans="11:30" x14ac:dyDescent="0.3">
      <c r="K3226" s="1" t="str">
        <f ca="1">IF(A3226="","",IF(OR(L3226="ENTREGADA",L3226="RETORNADA",L3226="ENTREGA DIGITAL"),0,MAX(0,5-NETWORKDAYS(H3226+1,TODAY()))))</f>
        <v/>
      </c>
      <c r="L3226" t="str">
        <f>IF(A3226="","",IFERROR(LOOKUP(2,1/(#REF!=Z3226),#REF!),Y3226))</f>
        <v/>
      </c>
      <c r="Z3226" t="str">
        <f>IF(A3226="","",TEXT(A3226,"0")&amp;"|"&amp;TEXT(H3226,"0"))</f>
        <v/>
      </c>
      <c r="AA3226" t="str">
        <f>IF(Z3226="","",IFERROR(LOOKUP(2,1/(#REF!=Z3226),#REF!),""))</f>
        <v/>
      </c>
      <c r="AB3226" t="str">
        <f>IF(Z3226="","",IFERROR(LOOKUP(2,1/(#REF!=Z3226),#REF!),""))</f>
        <v/>
      </c>
      <c r="AC3226" t="str">
        <f>IF(Z3226="","",COUNTIF(#REF!,Z3226))</f>
        <v/>
      </c>
      <c r="AD3226" t="str">
        <f>IF(A3226="","",IF(AC3226&gt;1,"REVISAR DUPLICADO",IF(AA3226&lt;&gt;"","ACTUALIZADO POR EYR","SIN REPORTE EYR")))</f>
        <v/>
      </c>
    </row>
    <row r="3227" spans="11:30" x14ac:dyDescent="0.3">
      <c r="K3227" s="1" t="str">
        <f ca="1">IF(A3227="","",IF(OR(L3227="ENTREGADA",L3227="RETORNADA",L3227="ENTREGA DIGITAL"),0,MAX(0,5-NETWORKDAYS(H3227+1,TODAY()))))</f>
        <v/>
      </c>
      <c r="L3227" t="str">
        <f>IF(A3227="","",IFERROR(LOOKUP(2,1/(#REF!=Z3227),#REF!),Y3227))</f>
        <v/>
      </c>
      <c r="Z3227" t="str">
        <f>IF(A3227="","",TEXT(A3227,"0")&amp;"|"&amp;TEXT(H3227,"0"))</f>
        <v/>
      </c>
      <c r="AA3227" t="str">
        <f>IF(Z3227="","",IFERROR(LOOKUP(2,1/(#REF!=Z3227),#REF!),""))</f>
        <v/>
      </c>
      <c r="AB3227" t="str">
        <f>IF(Z3227="","",IFERROR(LOOKUP(2,1/(#REF!=Z3227),#REF!),""))</f>
        <v/>
      </c>
      <c r="AC3227" t="str">
        <f>IF(Z3227="","",COUNTIF(#REF!,Z3227))</f>
        <v/>
      </c>
      <c r="AD3227" t="str">
        <f>IF(A3227="","",IF(AC3227&gt;1,"REVISAR DUPLICADO",IF(AA3227&lt;&gt;"","ACTUALIZADO POR EYR","SIN REPORTE EYR")))</f>
        <v/>
      </c>
    </row>
    <row r="3228" spans="11:30" x14ac:dyDescent="0.3">
      <c r="K3228" s="1" t="str">
        <f ca="1">IF(A3228="","",IF(OR(L3228="ENTREGADA",L3228="RETORNADA",L3228="ENTREGA DIGITAL"),0,MAX(0,5-NETWORKDAYS(H3228+1,TODAY()))))</f>
        <v/>
      </c>
      <c r="L3228" t="str">
        <f>IF(A3228="","",IFERROR(LOOKUP(2,1/(#REF!=Z3228),#REF!),Y3228))</f>
        <v/>
      </c>
      <c r="Z3228" t="str">
        <f>IF(A3228="","",TEXT(A3228,"0")&amp;"|"&amp;TEXT(H3228,"0"))</f>
        <v/>
      </c>
      <c r="AA3228" t="str">
        <f>IF(Z3228="","",IFERROR(LOOKUP(2,1/(#REF!=Z3228),#REF!),""))</f>
        <v/>
      </c>
      <c r="AB3228" t="str">
        <f>IF(Z3228="","",IFERROR(LOOKUP(2,1/(#REF!=Z3228),#REF!),""))</f>
        <v/>
      </c>
      <c r="AC3228" t="str">
        <f>IF(Z3228="","",COUNTIF(#REF!,Z3228))</f>
        <v/>
      </c>
      <c r="AD3228" t="str">
        <f>IF(A3228="","",IF(AC3228&gt;1,"REVISAR DUPLICADO",IF(AA3228&lt;&gt;"","ACTUALIZADO POR EYR","SIN REPORTE EYR")))</f>
        <v/>
      </c>
    </row>
    <row r="3229" spans="11:30" x14ac:dyDescent="0.3">
      <c r="K3229" s="1" t="str">
        <f ca="1">IF(A3229="","",IF(OR(L3229="ENTREGADA",L3229="RETORNADA",L3229="ENTREGA DIGITAL"),0,MAX(0,5-NETWORKDAYS(H3229+1,TODAY()))))</f>
        <v/>
      </c>
      <c r="L3229" t="str">
        <f>IF(A3229="","",IFERROR(LOOKUP(2,1/(#REF!=Z3229),#REF!),Y3229))</f>
        <v/>
      </c>
      <c r="Z3229" t="str">
        <f>IF(A3229="","",TEXT(A3229,"0")&amp;"|"&amp;TEXT(H3229,"0"))</f>
        <v/>
      </c>
      <c r="AA3229" t="str">
        <f>IF(Z3229="","",IFERROR(LOOKUP(2,1/(#REF!=Z3229),#REF!),""))</f>
        <v/>
      </c>
      <c r="AB3229" t="str">
        <f>IF(Z3229="","",IFERROR(LOOKUP(2,1/(#REF!=Z3229),#REF!),""))</f>
        <v/>
      </c>
      <c r="AC3229" t="str">
        <f>IF(Z3229="","",COUNTIF(#REF!,Z3229))</f>
        <v/>
      </c>
      <c r="AD3229" t="str">
        <f>IF(A3229="","",IF(AC3229&gt;1,"REVISAR DUPLICADO",IF(AA3229&lt;&gt;"","ACTUALIZADO POR EYR","SIN REPORTE EYR")))</f>
        <v/>
      </c>
    </row>
    <row r="3230" spans="11:30" x14ac:dyDescent="0.3">
      <c r="K3230" s="1" t="str">
        <f ca="1">IF(A3230="","",IF(OR(L3230="ENTREGADA",L3230="RETORNADA",L3230="ENTREGA DIGITAL"),0,MAX(0,5-NETWORKDAYS(H3230+1,TODAY()))))</f>
        <v/>
      </c>
      <c r="L3230" t="str">
        <f>IF(A3230="","",IFERROR(LOOKUP(2,1/(#REF!=Z3230),#REF!),Y3230))</f>
        <v/>
      </c>
      <c r="Z3230" t="str">
        <f>IF(A3230="","",TEXT(A3230,"0")&amp;"|"&amp;TEXT(H3230,"0"))</f>
        <v/>
      </c>
      <c r="AA3230" t="str">
        <f>IF(Z3230="","",IFERROR(LOOKUP(2,1/(#REF!=Z3230),#REF!),""))</f>
        <v/>
      </c>
      <c r="AB3230" t="str">
        <f>IF(Z3230="","",IFERROR(LOOKUP(2,1/(#REF!=Z3230),#REF!),""))</f>
        <v/>
      </c>
      <c r="AC3230" t="str">
        <f>IF(Z3230="","",COUNTIF(#REF!,Z3230))</f>
        <v/>
      </c>
      <c r="AD3230" t="str">
        <f>IF(A3230="","",IF(AC3230&gt;1,"REVISAR DUPLICADO",IF(AA3230&lt;&gt;"","ACTUALIZADO POR EYR","SIN REPORTE EYR")))</f>
        <v/>
      </c>
    </row>
    <row r="3231" spans="11:30" x14ac:dyDescent="0.3">
      <c r="K3231" s="1" t="str">
        <f ca="1">IF(A3231="","",IF(OR(L3231="ENTREGADA",L3231="RETORNADA",L3231="ENTREGA DIGITAL"),0,MAX(0,5-NETWORKDAYS(H3231+1,TODAY()))))</f>
        <v/>
      </c>
      <c r="L3231" t="str">
        <f>IF(A3231="","",IFERROR(LOOKUP(2,1/(#REF!=Z3231),#REF!),Y3231))</f>
        <v/>
      </c>
      <c r="Z3231" t="str">
        <f>IF(A3231="","",TEXT(A3231,"0")&amp;"|"&amp;TEXT(H3231,"0"))</f>
        <v/>
      </c>
      <c r="AA3231" t="str">
        <f>IF(Z3231="","",IFERROR(LOOKUP(2,1/(#REF!=Z3231),#REF!),""))</f>
        <v/>
      </c>
      <c r="AB3231" t="str">
        <f>IF(Z3231="","",IFERROR(LOOKUP(2,1/(#REF!=Z3231),#REF!),""))</f>
        <v/>
      </c>
      <c r="AC3231" t="str">
        <f>IF(Z3231="","",COUNTIF(#REF!,Z3231))</f>
        <v/>
      </c>
      <c r="AD3231" t="str">
        <f>IF(A3231="","",IF(AC3231&gt;1,"REVISAR DUPLICADO",IF(AA3231&lt;&gt;"","ACTUALIZADO POR EYR","SIN REPORTE EYR")))</f>
        <v/>
      </c>
    </row>
    <row r="3232" spans="11:30" x14ac:dyDescent="0.3">
      <c r="K3232" s="1" t="str">
        <f ca="1">IF(A3232="","",IF(OR(L3232="ENTREGADA",L3232="RETORNADA",L3232="ENTREGA DIGITAL"),0,MAX(0,5-NETWORKDAYS(H3232+1,TODAY()))))</f>
        <v/>
      </c>
      <c r="L3232" t="str">
        <f>IF(A3232="","",IFERROR(LOOKUP(2,1/(#REF!=Z3232),#REF!),Y3232))</f>
        <v/>
      </c>
      <c r="Z3232" t="str">
        <f>IF(A3232="","",TEXT(A3232,"0")&amp;"|"&amp;TEXT(H3232,"0"))</f>
        <v/>
      </c>
      <c r="AA3232" t="str">
        <f>IF(Z3232="","",IFERROR(LOOKUP(2,1/(#REF!=Z3232),#REF!),""))</f>
        <v/>
      </c>
      <c r="AB3232" t="str">
        <f>IF(Z3232="","",IFERROR(LOOKUP(2,1/(#REF!=Z3232),#REF!),""))</f>
        <v/>
      </c>
      <c r="AC3232" t="str">
        <f>IF(Z3232="","",COUNTIF(#REF!,Z3232))</f>
        <v/>
      </c>
      <c r="AD3232" t="str">
        <f>IF(A3232="","",IF(AC3232&gt;1,"REVISAR DUPLICADO",IF(AA3232&lt;&gt;"","ACTUALIZADO POR EYR","SIN REPORTE EYR")))</f>
        <v/>
      </c>
    </row>
    <row r="3233" spans="11:30" x14ac:dyDescent="0.3">
      <c r="K3233" s="1" t="str">
        <f ca="1">IF(A3233="","",IF(OR(L3233="ENTREGADA",L3233="RETORNADA",L3233="ENTREGA DIGITAL"),0,MAX(0,5-NETWORKDAYS(H3233+1,TODAY()))))</f>
        <v/>
      </c>
      <c r="L3233" t="str">
        <f>IF(A3233="","",IFERROR(LOOKUP(2,1/(#REF!=Z3233),#REF!),Y3233))</f>
        <v/>
      </c>
      <c r="Z3233" t="str">
        <f>IF(A3233="","",TEXT(A3233,"0")&amp;"|"&amp;TEXT(H3233,"0"))</f>
        <v/>
      </c>
      <c r="AA3233" t="str">
        <f>IF(Z3233="","",IFERROR(LOOKUP(2,1/(#REF!=Z3233),#REF!),""))</f>
        <v/>
      </c>
      <c r="AB3233" t="str">
        <f>IF(Z3233="","",IFERROR(LOOKUP(2,1/(#REF!=Z3233),#REF!),""))</f>
        <v/>
      </c>
      <c r="AC3233" t="str">
        <f>IF(Z3233="","",COUNTIF(#REF!,Z3233))</f>
        <v/>
      </c>
      <c r="AD3233" t="str">
        <f>IF(A3233="","",IF(AC3233&gt;1,"REVISAR DUPLICADO",IF(AA3233&lt;&gt;"","ACTUALIZADO POR EYR","SIN REPORTE EYR")))</f>
        <v/>
      </c>
    </row>
    <row r="3234" spans="11:30" x14ac:dyDescent="0.3">
      <c r="K3234" s="1" t="str">
        <f ca="1">IF(A3234="","",IF(OR(L3234="ENTREGADA",L3234="RETORNADA",L3234="ENTREGA DIGITAL"),0,MAX(0,5-NETWORKDAYS(H3234+1,TODAY()))))</f>
        <v/>
      </c>
      <c r="L3234" t="str">
        <f>IF(A3234="","",IFERROR(LOOKUP(2,1/(#REF!=Z3234),#REF!),Y3234))</f>
        <v/>
      </c>
      <c r="Z3234" t="str">
        <f>IF(A3234="","",TEXT(A3234,"0")&amp;"|"&amp;TEXT(H3234,"0"))</f>
        <v/>
      </c>
      <c r="AA3234" t="str">
        <f>IF(Z3234="","",IFERROR(LOOKUP(2,1/(#REF!=Z3234),#REF!),""))</f>
        <v/>
      </c>
      <c r="AB3234" t="str">
        <f>IF(Z3234="","",IFERROR(LOOKUP(2,1/(#REF!=Z3234),#REF!),""))</f>
        <v/>
      </c>
      <c r="AC3234" t="str">
        <f>IF(Z3234="","",COUNTIF(#REF!,Z3234))</f>
        <v/>
      </c>
      <c r="AD3234" t="str">
        <f>IF(A3234="","",IF(AC3234&gt;1,"REVISAR DUPLICADO",IF(AA3234&lt;&gt;"","ACTUALIZADO POR EYR","SIN REPORTE EYR")))</f>
        <v/>
      </c>
    </row>
    <row r="3235" spans="11:30" x14ac:dyDescent="0.3">
      <c r="K3235" s="1" t="str">
        <f ca="1">IF(A3235="","",IF(OR(L3235="ENTREGADA",L3235="RETORNADA",L3235="ENTREGA DIGITAL"),0,MAX(0,5-NETWORKDAYS(H3235+1,TODAY()))))</f>
        <v/>
      </c>
      <c r="L3235" t="str">
        <f>IF(A3235="","",IFERROR(LOOKUP(2,1/(#REF!=Z3235),#REF!),Y3235))</f>
        <v/>
      </c>
      <c r="Z3235" t="str">
        <f>IF(A3235="","",TEXT(A3235,"0")&amp;"|"&amp;TEXT(H3235,"0"))</f>
        <v/>
      </c>
      <c r="AA3235" t="str">
        <f>IF(Z3235="","",IFERROR(LOOKUP(2,1/(#REF!=Z3235),#REF!),""))</f>
        <v/>
      </c>
      <c r="AB3235" t="str">
        <f>IF(Z3235="","",IFERROR(LOOKUP(2,1/(#REF!=Z3235),#REF!),""))</f>
        <v/>
      </c>
      <c r="AC3235" t="str">
        <f>IF(Z3235="","",COUNTIF(#REF!,Z3235))</f>
        <v/>
      </c>
      <c r="AD3235" t="str">
        <f>IF(A3235="","",IF(AC3235&gt;1,"REVISAR DUPLICADO",IF(AA3235&lt;&gt;"","ACTUALIZADO POR EYR","SIN REPORTE EYR")))</f>
        <v/>
      </c>
    </row>
    <row r="3236" spans="11:30" x14ac:dyDescent="0.3">
      <c r="K3236" s="1" t="str">
        <f ca="1">IF(A3236="","",IF(OR(L3236="ENTREGADA",L3236="RETORNADA",L3236="ENTREGA DIGITAL"),0,MAX(0,5-NETWORKDAYS(H3236+1,TODAY()))))</f>
        <v/>
      </c>
      <c r="L3236" t="str">
        <f>IF(A3236="","",IFERROR(LOOKUP(2,1/(#REF!=Z3236),#REF!),Y3236))</f>
        <v/>
      </c>
      <c r="Z3236" t="str">
        <f>IF(A3236="","",TEXT(A3236,"0")&amp;"|"&amp;TEXT(H3236,"0"))</f>
        <v/>
      </c>
      <c r="AA3236" t="str">
        <f>IF(Z3236="","",IFERROR(LOOKUP(2,1/(#REF!=Z3236),#REF!),""))</f>
        <v/>
      </c>
      <c r="AB3236" t="str">
        <f>IF(Z3236="","",IFERROR(LOOKUP(2,1/(#REF!=Z3236),#REF!),""))</f>
        <v/>
      </c>
      <c r="AC3236" t="str">
        <f>IF(Z3236="","",COUNTIF(#REF!,Z3236))</f>
        <v/>
      </c>
      <c r="AD3236" t="str">
        <f>IF(A3236="","",IF(AC3236&gt;1,"REVISAR DUPLICADO",IF(AA3236&lt;&gt;"","ACTUALIZADO POR EYR","SIN REPORTE EYR")))</f>
        <v/>
      </c>
    </row>
    <row r="3237" spans="11:30" x14ac:dyDescent="0.3">
      <c r="K3237" s="1" t="str">
        <f ca="1">IF(A3237="","",IF(OR(L3237="ENTREGADA",L3237="RETORNADA",L3237="ENTREGA DIGITAL"),0,MAX(0,5-NETWORKDAYS(H3237+1,TODAY()))))</f>
        <v/>
      </c>
      <c r="L3237" t="str">
        <f>IF(A3237="","",IFERROR(LOOKUP(2,1/(#REF!=Z3237),#REF!),Y3237))</f>
        <v/>
      </c>
      <c r="Z3237" t="str">
        <f>IF(A3237="","",TEXT(A3237,"0")&amp;"|"&amp;TEXT(H3237,"0"))</f>
        <v/>
      </c>
      <c r="AA3237" t="str">
        <f>IF(Z3237="","",IFERROR(LOOKUP(2,1/(#REF!=Z3237),#REF!),""))</f>
        <v/>
      </c>
      <c r="AB3237" t="str">
        <f>IF(Z3237="","",IFERROR(LOOKUP(2,1/(#REF!=Z3237),#REF!),""))</f>
        <v/>
      </c>
      <c r="AC3237" t="str">
        <f>IF(Z3237="","",COUNTIF(#REF!,Z3237))</f>
        <v/>
      </c>
      <c r="AD3237" t="str">
        <f>IF(A3237="","",IF(AC3237&gt;1,"REVISAR DUPLICADO",IF(AA3237&lt;&gt;"","ACTUALIZADO POR EYR","SIN REPORTE EYR")))</f>
        <v/>
      </c>
    </row>
    <row r="3238" spans="11:30" x14ac:dyDescent="0.3">
      <c r="K3238" s="1" t="str">
        <f ca="1">IF(A3238="","",IF(OR(L3238="ENTREGADA",L3238="RETORNADA",L3238="ENTREGA DIGITAL"),0,MAX(0,5-NETWORKDAYS(H3238+1,TODAY()))))</f>
        <v/>
      </c>
      <c r="L3238" t="str">
        <f>IF(A3238="","",IFERROR(LOOKUP(2,1/(#REF!=Z3238),#REF!),Y3238))</f>
        <v/>
      </c>
      <c r="Z3238" t="str">
        <f>IF(A3238="","",TEXT(A3238,"0")&amp;"|"&amp;TEXT(H3238,"0"))</f>
        <v/>
      </c>
      <c r="AA3238" t="str">
        <f>IF(Z3238="","",IFERROR(LOOKUP(2,1/(#REF!=Z3238),#REF!),""))</f>
        <v/>
      </c>
      <c r="AB3238" t="str">
        <f>IF(Z3238="","",IFERROR(LOOKUP(2,1/(#REF!=Z3238),#REF!),""))</f>
        <v/>
      </c>
      <c r="AC3238" t="str">
        <f>IF(Z3238="","",COUNTIF(#REF!,Z3238))</f>
        <v/>
      </c>
      <c r="AD3238" t="str">
        <f>IF(A3238="","",IF(AC3238&gt;1,"REVISAR DUPLICADO",IF(AA3238&lt;&gt;"","ACTUALIZADO POR EYR","SIN REPORTE EYR")))</f>
        <v/>
      </c>
    </row>
    <row r="3239" spans="11:30" x14ac:dyDescent="0.3">
      <c r="K3239" s="1" t="str">
        <f ca="1">IF(A3239="","",IF(OR(L3239="ENTREGADA",L3239="RETORNADA",L3239="ENTREGA DIGITAL"),0,MAX(0,5-NETWORKDAYS(H3239+1,TODAY()))))</f>
        <v/>
      </c>
      <c r="L3239" t="str">
        <f>IF(A3239="","",IFERROR(LOOKUP(2,1/(#REF!=Z3239),#REF!),Y3239))</f>
        <v/>
      </c>
      <c r="Z3239" t="str">
        <f>IF(A3239="","",TEXT(A3239,"0")&amp;"|"&amp;TEXT(H3239,"0"))</f>
        <v/>
      </c>
      <c r="AA3239" t="str">
        <f>IF(Z3239="","",IFERROR(LOOKUP(2,1/(#REF!=Z3239),#REF!),""))</f>
        <v/>
      </c>
      <c r="AB3239" t="str">
        <f>IF(Z3239="","",IFERROR(LOOKUP(2,1/(#REF!=Z3239),#REF!),""))</f>
        <v/>
      </c>
      <c r="AC3239" t="str">
        <f>IF(Z3239="","",COUNTIF(#REF!,Z3239))</f>
        <v/>
      </c>
      <c r="AD3239" t="str">
        <f>IF(A3239="","",IF(AC3239&gt;1,"REVISAR DUPLICADO",IF(AA3239&lt;&gt;"","ACTUALIZADO POR EYR","SIN REPORTE EYR")))</f>
        <v/>
      </c>
    </row>
    <row r="3240" spans="11:30" x14ac:dyDescent="0.3">
      <c r="K3240" s="1" t="str">
        <f ca="1">IF(A3240="","",IF(OR(L3240="ENTREGADA",L3240="RETORNADA",L3240="ENTREGA DIGITAL"),0,MAX(0,5-NETWORKDAYS(H3240+1,TODAY()))))</f>
        <v/>
      </c>
      <c r="L3240" t="str">
        <f>IF(A3240="","",IFERROR(LOOKUP(2,1/(#REF!=Z3240),#REF!),Y3240))</f>
        <v/>
      </c>
      <c r="Z3240" t="str">
        <f>IF(A3240="","",TEXT(A3240,"0")&amp;"|"&amp;TEXT(H3240,"0"))</f>
        <v/>
      </c>
      <c r="AA3240" t="str">
        <f>IF(Z3240="","",IFERROR(LOOKUP(2,1/(#REF!=Z3240),#REF!),""))</f>
        <v/>
      </c>
      <c r="AB3240" t="str">
        <f>IF(Z3240="","",IFERROR(LOOKUP(2,1/(#REF!=Z3240),#REF!),""))</f>
        <v/>
      </c>
      <c r="AC3240" t="str">
        <f>IF(Z3240="","",COUNTIF(#REF!,Z3240))</f>
        <v/>
      </c>
      <c r="AD3240" t="str">
        <f>IF(A3240="","",IF(AC3240&gt;1,"REVISAR DUPLICADO",IF(AA3240&lt;&gt;"","ACTUALIZADO POR EYR","SIN REPORTE EYR")))</f>
        <v/>
      </c>
    </row>
    <row r="3241" spans="11:30" x14ac:dyDescent="0.3">
      <c r="K3241" s="1" t="str">
        <f ca="1">IF(A3241="","",IF(OR(L3241="ENTREGADA",L3241="RETORNADA",L3241="ENTREGA DIGITAL"),0,MAX(0,5-NETWORKDAYS(H3241+1,TODAY()))))</f>
        <v/>
      </c>
      <c r="L3241" t="str">
        <f>IF(A3241="","",IFERROR(LOOKUP(2,1/(#REF!=Z3241),#REF!),Y3241))</f>
        <v/>
      </c>
      <c r="Z3241" t="str">
        <f>IF(A3241="","",TEXT(A3241,"0")&amp;"|"&amp;TEXT(H3241,"0"))</f>
        <v/>
      </c>
      <c r="AA3241" t="str">
        <f>IF(Z3241="","",IFERROR(LOOKUP(2,1/(#REF!=Z3241),#REF!),""))</f>
        <v/>
      </c>
      <c r="AB3241" t="str">
        <f>IF(Z3241="","",IFERROR(LOOKUP(2,1/(#REF!=Z3241),#REF!),""))</f>
        <v/>
      </c>
      <c r="AC3241" t="str">
        <f>IF(Z3241="","",COUNTIF(#REF!,Z3241))</f>
        <v/>
      </c>
      <c r="AD3241" t="str">
        <f>IF(A3241="","",IF(AC3241&gt;1,"REVISAR DUPLICADO",IF(AA3241&lt;&gt;"","ACTUALIZADO POR EYR","SIN REPORTE EYR")))</f>
        <v/>
      </c>
    </row>
    <row r="3242" spans="11:30" x14ac:dyDescent="0.3">
      <c r="K3242" s="1" t="str">
        <f ca="1">IF(A3242="","",IF(OR(L3242="ENTREGADA",L3242="RETORNADA",L3242="ENTREGA DIGITAL"),0,MAX(0,5-NETWORKDAYS(H3242+1,TODAY()))))</f>
        <v/>
      </c>
      <c r="L3242" t="str">
        <f>IF(A3242="","",IFERROR(LOOKUP(2,1/(#REF!=Z3242),#REF!),Y3242))</f>
        <v/>
      </c>
      <c r="Z3242" t="str">
        <f>IF(A3242="","",TEXT(A3242,"0")&amp;"|"&amp;TEXT(H3242,"0"))</f>
        <v/>
      </c>
      <c r="AA3242" t="str">
        <f>IF(Z3242="","",IFERROR(LOOKUP(2,1/(#REF!=Z3242),#REF!),""))</f>
        <v/>
      </c>
      <c r="AB3242" t="str">
        <f>IF(Z3242="","",IFERROR(LOOKUP(2,1/(#REF!=Z3242),#REF!),""))</f>
        <v/>
      </c>
      <c r="AC3242" t="str">
        <f>IF(Z3242="","",COUNTIF(#REF!,Z3242))</f>
        <v/>
      </c>
      <c r="AD3242" t="str">
        <f>IF(A3242="","",IF(AC3242&gt;1,"REVISAR DUPLICADO",IF(AA3242&lt;&gt;"","ACTUALIZADO POR EYR","SIN REPORTE EYR")))</f>
        <v/>
      </c>
    </row>
    <row r="3243" spans="11:30" x14ac:dyDescent="0.3">
      <c r="K3243" s="1" t="str">
        <f ca="1">IF(A3243="","",IF(OR(L3243="ENTREGADA",L3243="RETORNADA",L3243="ENTREGA DIGITAL"),0,MAX(0,5-NETWORKDAYS(H3243+1,TODAY()))))</f>
        <v/>
      </c>
      <c r="L3243" t="str">
        <f>IF(A3243="","",IFERROR(LOOKUP(2,1/(#REF!=Z3243),#REF!),Y3243))</f>
        <v/>
      </c>
      <c r="Z3243" t="str">
        <f>IF(A3243="","",TEXT(A3243,"0")&amp;"|"&amp;TEXT(H3243,"0"))</f>
        <v/>
      </c>
      <c r="AA3243" t="str">
        <f>IF(Z3243="","",IFERROR(LOOKUP(2,1/(#REF!=Z3243),#REF!),""))</f>
        <v/>
      </c>
      <c r="AB3243" t="str">
        <f>IF(Z3243="","",IFERROR(LOOKUP(2,1/(#REF!=Z3243),#REF!),""))</f>
        <v/>
      </c>
      <c r="AC3243" t="str">
        <f>IF(Z3243="","",COUNTIF(#REF!,Z3243))</f>
        <v/>
      </c>
      <c r="AD3243" t="str">
        <f>IF(A3243="","",IF(AC3243&gt;1,"REVISAR DUPLICADO",IF(AA3243&lt;&gt;"","ACTUALIZADO POR EYR","SIN REPORTE EYR")))</f>
        <v/>
      </c>
    </row>
    <row r="3244" spans="11:30" x14ac:dyDescent="0.3">
      <c r="K3244" s="1" t="str">
        <f ca="1">IF(A3244="","",IF(OR(L3244="ENTREGADA",L3244="RETORNADA",L3244="ENTREGA DIGITAL"),0,MAX(0,5-NETWORKDAYS(H3244+1,TODAY()))))</f>
        <v/>
      </c>
      <c r="L3244" t="str">
        <f>IF(A3244="","",IFERROR(LOOKUP(2,1/(#REF!=Z3244),#REF!),Y3244))</f>
        <v/>
      </c>
      <c r="Z3244" t="str">
        <f>IF(A3244="","",TEXT(A3244,"0")&amp;"|"&amp;TEXT(H3244,"0"))</f>
        <v/>
      </c>
      <c r="AA3244" t="str">
        <f>IF(Z3244="","",IFERROR(LOOKUP(2,1/(#REF!=Z3244),#REF!),""))</f>
        <v/>
      </c>
      <c r="AB3244" t="str">
        <f>IF(Z3244="","",IFERROR(LOOKUP(2,1/(#REF!=Z3244),#REF!),""))</f>
        <v/>
      </c>
      <c r="AC3244" t="str">
        <f>IF(Z3244="","",COUNTIF(#REF!,Z3244))</f>
        <v/>
      </c>
      <c r="AD3244" t="str">
        <f>IF(A3244="","",IF(AC3244&gt;1,"REVISAR DUPLICADO",IF(AA3244&lt;&gt;"","ACTUALIZADO POR EYR","SIN REPORTE EYR")))</f>
        <v/>
      </c>
    </row>
    <row r="3245" spans="11:30" x14ac:dyDescent="0.3">
      <c r="K3245" s="1" t="str">
        <f ca="1">IF(A3245="","",IF(OR(L3245="ENTREGADA",L3245="RETORNADA",L3245="ENTREGA DIGITAL"),0,MAX(0,5-NETWORKDAYS(H3245+1,TODAY()))))</f>
        <v/>
      </c>
      <c r="L3245" t="str">
        <f>IF(A3245="","",IFERROR(LOOKUP(2,1/(#REF!=Z3245),#REF!),Y3245))</f>
        <v/>
      </c>
      <c r="Z3245" t="str">
        <f>IF(A3245="","",TEXT(A3245,"0")&amp;"|"&amp;TEXT(H3245,"0"))</f>
        <v/>
      </c>
      <c r="AA3245" t="str">
        <f>IF(Z3245="","",IFERROR(LOOKUP(2,1/(#REF!=Z3245),#REF!),""))</f>
        <v/>
      </c>
      <c r="AB3245" t="str">
        <f>IF(Z3245="","",IFERROR(LOOKUP(2,1/(#REF!=Z3245),#REF!),""))</f>
        <v/>
      </c>
      <c r="AC3245" t="str">
        <f>IF(Z3245="","",COUNTIF(#REF!,Z3245))</f>
        <v/>
      </c>
      <c r="AD3245" t="str">
        <f>IF(A3245="","",IF(AC3245&gt;1,"REVISAR DUPLICADO",IF(AA3245&lt;&gt;"","ACTUALIZADO POR EYR","SIN REPORTE EYR")))</f>
        <v/>
      </c>
    </row>
    <row r="3246" spans="11:30" x14ac:dyDescent="0.3">
      <c r="K3246" s="1" t="str">
        <f ca="1">IF(A3246="","",IF(OR(L3246="ENTREGADA",L3246="RETORNADA",L3246="ENTREGA DIGITAL"),0,MAX(0,5-NETWORKDAYS(H3246+1,TODAY()))))</f>
        <v/>
      </c>
      <c r="L3246" t="str">
        <f>IF(A3246="","",IFERROR(LOOKUP(2,1/(#REF!=Z3246),#REF!),Y3246))</f>
        <v/>
      </c>
      <c r="Z3246" t="str">
        <f>IF(A3246="","",TEXT(A3246,"0")&amp;"|"&amp;TEXT(H3246,"0"))</f>
        <v/>
      </c>
      <c r="AA3246" t="str">
        <f>IF(Z3246="","",IFERROR(LOOKUP(2,1/(#REF!=Z3246),#REF!),""))</f>
        <v/>
      </c>
      <c r="AB3246" t="str">
        <f>IF(Z3246="","",IFERROR(LOOKUP(2,1/(#REF!=Z3246),#REF!),""))</f>
        <v/>
      </c>
      <c r="AC3246" t="str">
        <f>IF(Z3246="","",COUNTIF(#REF!,Z3246))</f>
        <v/>
      </c>
      <c r="AD3246" t="str">
        <f>IF(A3246="","",IF(AC3246&gt;1,"REVISAR DUPLICADO",IF(AA3246&lt;&gt;"","ACTUALIZADO POR EYR","SIN REPORTE EYR")))</f>
        <v/>
      </c>
    </row>
    <row r="3247" spans="11:30" x14ac:dyDescent="0.3">
      <c r="K3247" s="1" t="str">
        <f ca="1">IF(A3247="","",IF(OR(L3247="ENTREGADA",L3247="RETORNADA",L3247="ENTREGA DIGITAL"),0,MAX(0,5-NETWORKDAYS(H3247+1,TODAY()))))</f>
        <v/>
      </c>
      <c r="L3247" t="str">
        <f>IF(A3247="","",IFERROR(LOOKUP(2,1/(#REF!=Z3247),#REF!),Y3247))</f>
        <v/>
      </c>
      <c r="Z3247" t="str">
        <f>IF(A3247="","",TEXT(A3247,"0")&amp;"|"&amp;TEXT(H3247,"0"))</f>
        <v/>
      </c>
      <c r="AA3247" t="str">
        <f>IF(Z3247="","",IFERROR(LOOKUP(2,1/(#REF!=Z3247),#REF!),""))</f>
        <v/>
      </c>
      <c r="AB3247" t="str">
        <f>IF(Z3247="","",IFERROR(LOOKUP(2,1/(#REF!=Z3247),#REF!),""))</f>
        <v/>
      </c>
      <c r="AC3247" t="str">
        <f>IF(Z3247="","",COUNTIF(#REF!,Z3247))</f>
        <v/>
      </c>
      <c r="AD3247" t="str">
        <f>IF(A3247="","",IF(AC3247&gt;1,"REVISAR DUPLICADO",IF(AA3247&lt;&gt;"","ACTUALIZADO POR EYR","SIN REPORTE EYR")))</f>
        <v/>
      </c>
    </row>
    <row r="3248" spans="11:30" x14ac:dyDescent="0.3">
      <c r="K3248" s="1" t="str">
        <f ca="1">IF(A3248="","",IF(OR(L3248="ENTREGADA",L3248="RETORNADA",L3248="ENTREGA DIGITAL"),0,MAX(0,5-NETWORKDAYS(H3248+1,TODAY()))))</f>
        <v/>
      </c>
      <c r="L3248" t="str">
        <f>IF(A3248="","",IFERROR(LOOKUP(2,1/(#REF!=Z3248),#REF!),Y3248))</f>
        <v/>
      </c>
      <c r="Z3248" t="str">
        <f>IF(A3248="","",TEXT(A3248,"0")&amp;"|"&amp;TEXT(H3248,"0"))</f>
        <v/>
      </c>
      <c r="AA3248" t="str">
        <f>IF(Z3248="","",IFERROR(LOOKUP(2,1/(#REF!=Z3248),#REF!),""))</f>
        <v/>
      </c>
      <c r="AB3248" t="str">
        <f>IF(Z3248="","",IFERROR(LOOKUP(2,1/(#REF!=Z3248),#REF!),""))</f>
        <v/>
      </c>
      <c r="AC3248" t="str">
        <f>IF(Z3248="","",COUNTIF(#REF!,Z3248))</f>
        <v/>
      </c>
      <c r="AD3248" t="str">
        <f>IF(A3248="","",IF(AC3248&gt;1,"REVISAR DUPLICADO",IF(AA3248&lt;&gt;"","ACTUALIZADO POR EYR","SIN REPORTE EYR")))</f>
        <v/>
      </c>
    </row>
    <row r="3249" spans="11:30" x14ac:dyDescent="0.3">
      <c r="K3249" s="1" t="str">
        <f ca="1">IF(A3249="","",IF(OR(L3249="ENTREGADA",L3249="RETORNADA",L3249="ENTREGA DIGITAL"),0,MAX(0,5-NETWORKDAYS(H3249+1,TODAY()))))</f>
        <v/>
      </c>
      <c r="L3249" t="str">
        <f>IF(A3249="","",IFERROR(LOOKUP(2,1/(#REF!=Z3249),#REF!),Y3249))</f>
        <v/>
      </c>
      <c r="Z3249" t="str">
        <f>IF(A3249="","",TEXT(A3249,"0")&amp;"|"&amp;TEXT(H3249,"0"))</f>
        <v/>
      </c>
      <c r="AA3249" t="str">
        <f>IF(Z3249="","",IFERROR(LOOKUP(2,1/(#REF!=Z3249),#REF!),""))</f>
        <v/>
      </c>
      <c r="AB3249" t="str">
        <f>IF(Z3249="","",IFERROR(LOOKUP(2,1/(#REF!=Z3249),#REF!),""))</f>
        <v/>
      </c>
      <c r="AC3249" t="str">
        <f>IF(Z3249="","",COUNTIF(#REF!,Z3249))</f>
        <v/>
      </c>
      <c r="AD3249" t="str">
        <f>IF(A3249="","",IF(AC3249&gt;1,"REVISAR DUPLICADO",IF(AA3249&lt;&gt;"","ACTUALIZADO POR EYR","SIN REPORTE EYR")))</f>
        <v/>
      </c>
    </row>
    <row r="3250" spans="11:30" x14ac:dyDescent="0.3">
      <c r="K3250" s="1" t="str">
        <f ca="1">IF(A3250="","",IF(OR(L3250="ENTREGADA",L3250="RETORNADA",L3250="ENTREGA DIGITAL"),0,MAX(0,5-NETWORKDAYS(H3250+1,TODAY()))))</f>
        <v/>
      </c>
      <c r="L3250" t="str">
        <f>IF(A3250="","",IFERROR(LOOKUP(2,1/(#REF!=Z3250),#REF!),Y3250))</f>
        <v/>
      </c>
      <c r="Z3250" t="str">
        <f>IF(A3250="","",TEXT(A3250,"0")&amp;"|"&amp;TEXT(H3250,"0"))</f>
        <v/>
      </c>
      <c r="AA3250" t="str">
        <f>IF(Z3250="","",IFERROR(LOOKUP(2,1/(#REF!=Z3250),#REF!),""))</f>
        <v/>
      </c>
      <c r="AB3250" t="str">
        <f>IF(Z3250="","",IFERROR(LOOKUP(2,1/(#REF!=Z3250),#REF!),""))</f>
        <v/>
      </c>
      <c r="AC3250" t="str">
        <f>IF(Z3250="","",COUNTIF(#REF!,Z3250))</f>
        <v/>
      </c>
      <c r="AD3250" t="str">
        <f>IF(A3250="","",IF(AC3250&gt;1,"REVISAR DUPLICADO",IF(AA3250&lt;&gt;"","ACTUALIZADO POR EYR","SIN REPORTE EYR")))</f>
        <v/>
      </c>
    </row>
    <row r="3251" spans="11:30" x14ac:dyDescent="0.3">
      <c r="K3251" s="1" t="str">
        <f ca="1">IF(A3251="","",IF(OR(L3251="ENTREGADA",L3251="RETORNADA",L3251="ENTREGA DIGITAL"),0,MAX(0,5-NETWORKDAYS(H3251+1,TODAY()))))</f>
        <v/>
      </c>
      <c r="L3251" t="str">
        <f>IF(A3251="","",IFERROR(LOOKUP(2,1/(#REF!=Z3251),#REF!),Y3251))</f>
        <v/>
      </c>
      <c r="Z3251" t="str">
        <f>IF(A3251="","",TEXT(A3251,"0")&amp;"|"&amp;TEXT(H3251,"0"))</f>
        <v/>
      </c>
      <c r="AA3251" t="str">
        <f>IF(Z3251="","",IFERROR(LOOKUP(2,1/(#REF!=Z3251),#REF!),""))</f>
        <v/>
      </c>
      <c r="AB3251" t="str">
        <f>IF(Z3251="","",IFERROR(LOOKUP(2,1/(#REF!=Z3251),#REF!),""))</f>
        <v/>
      </c>
      <c r="AC3251" t="str">
        <f>IF(Z3251="","",COUNTIF(#REF!,Z3251))</f>
        <v/>
      </c>
      <c r="AD3251" t="str">
        <f>IF(A3251="","",IF(AC3251&gt;1,"REVISAR DUPLICADO",IF(AA3251&lt;&gt;"","ACTUALIZADO POR EYR","SIN REPORTE EYR")))</f>
        <v/>
      </c>
    </row>
    <row r="3252" spans="11:30" x14ac:dyDescent="0.3">
      <c r="K3252" s="1" t="str">
        <f ca="1">IF(A3252="","",IF(OR(L3252="ENTREGADA",L3252="RETORNADA",L3252="ENTREGA DIGITAL"),0,MAX(0,5-NETWORKDAYS(H3252+1,TODAY()))))</f>
        <v/>
      </c>
      <c r="L3252" t="str">
        <f>IF(A3252="","",IFERROR(LOOKUP(2,1/(#REF!=Z3252),#REF!),Y3252))</f>
        <v/>
      </c>
      <c r="Z3252" t="str">
        <f>IF(A3252="","",TEXT(A3252,"0")&amp;"|"&amp;TEXT(H3252,"0"))</f>
        <v/>
      </c>
      <c r="AA3252" t="str">
        <f>IF(Z3252="","",IFERROR(LOOKUP(2,1/(#REF!=Z3252),#REF!),""))</f>
        <v/>
      </c>
      <c r="AB3252" t="str">
        <f>IF(Z3252="","",IFERROR(LOOKUP(2,1/(#REF!=Z3252),#REF!),""))</f>
        <v/>
      </c>
      <c r="AC3252" t="str">
        <f>IF(Z3252="","",COUNTIF(#REF!,Z3252))</f>
        <v/>
      </c>
      <c r="AD3252" t="str">
        <f>IF(A3252="","",IF(AC3252&gt;1,"REVISAR DUPLICADO",IF(AA3252&lt;&gt;"","ACTUALIZADO POR EYR","SIN REPORTE EYR")))</f>
        <v/>
      </c>
    </row>
    <row r="3253" spans="11:30" x14ac:dyDescent="0.3">
      <c r="K3253" s="1" t="str">
        <f ca="1">IF(A3253="","",IF(OR(L3253="ENTREGADA",L3253="RETORNADA",L3253="ENTREGA DIGITAL"),0,MAX(0,5-NETWORKDAYS(H3253+1,TODAY()))))</f>
        <v/>
      </c>
      <c r="L3253" t="str">
        <f>IF(A3253="","",IFERROR(LOOKUP(2,1/(#REF!=Z3253),#REF!),Y3253))</f>
        <v/>
      </c>
      <c r="Z3253" t="str">
        <f>IF(A3253="","",TEXT(A3253,"0")&amp;"|"&amp;TEXT(H3253,"0"))</f>
        <v/>
      </c>
      <c r="AA3253" t="str">
        <f>IF(Z3253="","",IFERROR(LOOKUP(2,1/(#REF!=Z3253),#REF!),""))</f>
        <v/>
      </c>
      <c r="AB3253" t="str">
        <f>IF(Z3253="","",IFERROR(LOOKUP(2,1/(#REF!=Z3253),#REF!),""))</f>
        <v/>
      </c>
      <c r="AC3253" t="str">
        <f>IF(Z3253="","",COUNTIF(#REF!,Z3253))</f>
        <v/>
      </c>
      <c r="AD3253" t="str">
        <f>IF(A3253="","",IF(AC3253&gt;1,"REVISAR DUPLICADO",IF(AA3253&lt;&gt;"","ACTUALIZADO POR EYR","SIN REPORTE EYR")))</f>
        <v/>
      </c>
    </row>
    <row r="3254" spans="11:30" x14ac:dyDescent="0.3">
      <c r="K3254" s="1" t="str">
        <f ca="1">IF(A3254="","",IF(OR(L3254="ENTREGADA",L3254="RETORNADA",L3254="ENTREGA DIGITAL"),0,MAX(0,5-NETWORKDAYS(H3254+1,TODAY()))))</f>
        <v/>
      </c>
      <c r="L3254" t="str">
        <f>IF(A3254="","",IFERROR(LOOKUP(2,1/(#REF!=Z3254),#REF!),Y3254))</f>
        <v/>
      </c>
      <c r="Z3254" t="str">
        <f>IF(A3254="","",TEXT(A3254,"0")&amp;"|"&amp;TEXT(H3254,"0"))</f>
        <v/>
      </c>
      <c r="AA3254" t="str">
        <f>IF(Z3254="","",IFERROR(LOOKUP(2,1/(#REF!=Z3254),#REF!),""))</f>
        <v/>
      </c>
      <c r="AB3254" t="str">
        <f>IF(Z3254="","",IFERROR(LOOKUP(2,1/(#REF!=Z3254),#REF!),""))</f>
        <v/>
      </c>
      <c r="AC3254" t="str">
        <f>IF(Z3254="","",COUNTIF(#REF!,Z3254))</f>
        <v/>
      </c>
      <c r="AD3254" t="str">
        <f>IF(A3254="","",IF(AC3254&gt;1,"REVISAR DUPLICADO",IF(AA3254&lt;&gt;"","ACTUALIZADO POR EYR","SIN REPORTE EYR")))</f>
        <v/>
      </c>
    </row>
    <row r="3255" spans="11:30" x14ac:dyDescent="0.3">
      <c r="K3255" s="1" t="str">
        <f ca="1">IF(A3255="","",IF(OR(L3255="ENTREGADA",L3255="RETORNADA",L3255="ENTREGA DIGITAL"),0,MAX(0,5-NETWORKDAYS(H3255+1,TODAY()))))</f>
        <v/>
      </c>
      <c r="L3255" t="str">
        <f>IF(A3255="","",IFERROR(LOOKUP(2,1/(#REF!=Z3255),#REF!),Y3255))</f>
        <v/>
      </c>
      <c r="Z3255" t="str">
        <f>IF(A3255="","",TEXT(A3255,"0")&amp;"|"&amp;TEXT(H3255,"0"))</f>
        <v/>
      </c>
      <c r="AA3255" t="str">
        <f>IF(Z3255="","",IFERROR(LOOKUP(2,1/(#REF!=Z3255),#REF!),""))</f>
        <v/>
      </c>
      <c r="AB3255" t="str">
        <f>IF(Z3255="","",IFERROR(LOOKUP(2,1/(#REF!=Z3255),#REF!),""))</f>
        <v/>
      </c>
      <c r="AC3255" t="str">
        <f>IF(Z3255="","",COUNTIF(#REF!,Z3255))</f>
        <v/>
      </c>
      <c r="AD3255" t="str">
        <f>IF(A3255="","",IF(AC3255&gt;1,"REVISAR DUPLICADO",IF(AA3255&lt;&gt;"","ACTUALIZADO POR EYR","SIN REPORTE EYR")))</f>
        <v/>
      </c>
    </row>
    <row r="3256" spans="11:30" x14ac:dyDescent="0.3">
      <c r="K3256" s="1" t="str">
        <f ca="1">IF(A3256="","",IF(OR(L3256="ENTREGADA",L3256="RETORNADA",L3256="ENTREGA DIGITAL"),0,MAX(0,5-NETWORKDAYS(H3256+1,TODAY()))))</f>
        <v/>
      </c>
      <c r="L3256" t="str">
        <f>IF(A3256="","",IFERROR(LOOKUP(2,1/(#REF!=Z3256),#REF!),Y3256))</f>
        <v/>
      </c>
      <c r="Z3256" t="str">
        <f>IF(A3256="","",TEXT(A3256,"0")&amp;"|"&amp;TEXT(H3256,"0"))</f>
        <v/>
      </c>
      <c r="AA3256" t="str">
        <f>IF(Z3256="","",IFERROR(LOOKUP(2,1/(#REF!=Z3256),#REF!),""))</f>
        <v/>
      </c>
      <c r="AB3256" t="str">
        <f>IF(Z3256="","",IFERROR(LOOKUP(2,1/(#REF!=Z3256),#REF!),""))</f>
        <v/>
      </c>
      <c r="AC3256" t="str">
        <f>IF(Z3256="","",COUNTIF(#REF!,Z3256))</f>
        <v/>
      </c>
      <c r="AD3256" t="str">
        <f>IF(A3256="","",IF(AC3256&gt;1,"REVISAR DUPLICADO",IF(AA3256&lt;&gt;"","ACTUALIZADO POR EYR","SIN REPORTE EYR")))</f>
        <v/>
      </c>
    </row>
    <row r="3257" spans="11:30" x14ac:dyDescent="0.3">
      <c r="K3257" s="1" t="str">
        <f ca="1">IF(A3257="","",IF(OR(L3257="ENTREGADA",L3257="RETORNADA",L3257="ENTREGA DIGITAL"),0,MAX(0,5-NETWORKDAYS(H3257+1,TODAY()))))</f>
        <v/>
      </c>
      <c r="L3257" t="str">
        <f>IF(A3257="","",IFERROR(LOOKUP(2,1/(#REF!=Z3257),#REF!),Y3257))</f>
        <v/>
      </c>
      <c r="Z3257" t="str">
        <f>IF(A3257="","",TEXT(A3257,"0")&amp;"|"&amp;TEXT(H3257,"0"))</f>
        <v/>
      </c>
      <c r="AA3257" t="str">
        <f>IF(Z3257="","",IFERROR(LOOKUP(2,1/(#REF!=Z3257),#REF!),""))</f>
        <v/>
      </c>
      <c r="AB3257" t="str">
        <f>IF(Z3257="","",IFERROR(LOOKUP(2,1/(#REF!=Z3257),#REF!),""))</f>
        <v/>
      </c>
      <c r="AC3257" t="str">
        <f>IF(Z3257="","",COUNTIF(#REF!,Z3257))</f>
        <v/>
      </c>
      <c r="AD3257" t="str">
        <f>IF(A3257="","",IF(AC3257&gt;1,"REVISAR DUPLICADO",IF(AA3257&lt;&gt;"","ACTUALIZADO POR EYR","SIN REPORTE EYR")))</f>
        <v/>
      </c>
    </row>
    <row r="3258" spans="11:30" x14ac:dyDescent="0.3">
      <c r="K3258" s="1" t="str">
        <f ca="1">IF(A3258="","",IF(OR(L3258="ENTREGADA",L3258="RETORNADA",L3258="ENTREGA DIGITAL"),0,MAX(0,5-NETWORKDAYS(H3258+1,TODAY()))))</f>
        <v/>
      </c>
      <c r="L3258" t="str">
        <f>IF(A3258="","",IFERROR(LOOKUP(2,1/(#REF!=Z3258),#REF!),Y3258))</f>
        <v/>
      </c>
      <c r="Z3258" t="str">
        <f>IF(A3258="","",TEXT(A3258,"0")&amp;"|"&amp;TEXT(H3258,"0"))</f>
        <v/>
      </c>
      <c r="AA3258" t="str">
        <f>IF(Z3258="","",IFERROR(LOOKUP(2,1/(#REF!=Z3258),#REF!),""))</f>
        <v/>
      </c>
      <c r="AB3258" t="str">
        <f>IF(Z3258="","",IFERROR(LOOKUP(2,1/(#REF!=Z3258),#REF!),""))</f>
        <v/>
      </c>
      <c r="AC3258" t="str">
        <f>IF(Z3258="","",COUNTIF(#REF!,Z3258))</f>
        <v/>
      </c>
      <c r="AD3258" t="str">
        <f>IF(A3258="","",IF(AC3258&gt;1,"REVISAR DUPLICADO",IF(AA3258&lt;&gt;"","ACTUALIZADO POR EYR","SIN REPORTE EYR")))</f>
        <v/>
      </c>
    </row>
    <row r="3259" spans="11:30" x14ac:dyDescent="0.3">
      <c r="K3259" s="1" t="str">
        <f ca="1">IF(A3259="","",IF(OR(L3259="ENTREGADA",L3259="RETORNADA",L3259="ENTREGA DIGITAL"),0,MAX(0,5-NETWORKDAYS(H3259+1,TODAY()))))</f>
        <v/>
      </c>
      <c r="L3259" t="str">
        <f>IF(A3259="","",IFERROR(LOOKUP(2,1/(#REF!=Z3259),#REF!),Y3259))</f>
        <v/>
      </c>
      <c r="Z3259" t="str">
        <f>IF(A3259="","",TEXT(A3259,"0")&amp;"|"&amp;TEXT(H3259,"0"))</f>
        <v/>
      </c>
      <c r="AA3259" t="str">
        <f>IF(Z3259="","",IFERROR(LOOKUP(2,1/(#REF!=Z3259),#REF!),""))</f>
        <v/>
      </c>
      <c r="AB3259" t="str">
        <f>IF(Z3259="","",IFERROR(LOOKUP(2,1/(#REF!=Z3259),#REF!),""))</f>
        <v/>
      </c>
      <c r="AC3259" t="str">
        <f>IF(Z3259="","",COUNTIF(#REF!,Z3259))</f>
        <v/>
      </c>
      <c r="AD3259" t="str">
        <f>IF(A3259="","",IF(AC3259&gt;1,"REVISAR DUPLICADO",IF(AA3259&lt;&gt;"","ACTUALIZADO POR EYR","SIN REPORTE EYR")))</f>
        <v/>
      </c>
    </row>
    <row r="3260" spans="11:30" x14ac:dyDescent="0.3">
      <c r="K3260" s="1" t="str">
        <f ca="1">IF(A3260="","",IF(OR(L3260="ENTREGADA",L3260="RETORNADA",L3260="ENTREGA DIGITAL"),0,MAX(0,5-NETWORKDAYS(H3260+1,TODAY()))))</f>
        <v/>
      </c>
      <c r="L3260" t="str">
        <f>IF(A3260="","",IFERROR(LOOKUP(2,1/(#REF!=Z3260),#REF!),Y3260))</f>
        <v/>
      </c>
      <c r="Z3260" t="str">
        <f>IF(A3260="","",TEXT(A3260,"0")&amp;"|"&amp;TEXT(H3260,"0"))</f>
        <v/>
      </c>
      <c r="AA3260" t="str">
        <f>IF(Z3260="","",IFERROR(LOOKUP(2,1/(#REF!=Z3260),#REF!),""))</f>
        <v/>
      </c>
      <c r="AB3260" t="str">
        <f>IF(Z3260="","",IFERROR(LOOKUP(2,1/(#REF!=Z3260),#REF!),""))</f>
        <v/>
      </c>
      <c r="AC3260" t="str">
        <f>IF(Z3260="","",COUNTIF(#REF!,Z3260))</f>
        <v/>
      </c>
      <c r="AD3260" t="str">
        <f>IF(A3260="","",IF(AC3260&gt;1,"REVISAR DUPLICADO",IF(AA3260&lt;&gt;"","ACTUALIZADO POR EYR","SIN REPORTE EYR")))</f>
        <v/>
      </c>
    </row>
    <row r="3261" spans="11:30" x14ac:dyDescent="0.3">
      <c r="K3261" s="1" t="str">
        <f ca="1">IF(A3261="","",IF(OR(L3261="ENTREGADA",L3261="RETORNADA",L3261="ENTREGA DIGITAL"),0,MAX(0,5-NETWORKDAYS(H3261+1,TODAY()))))</f>
        <v/>
      </c>
      <c r="L3261" t="str">
        <f>IF(A3261="","",IFERROR(LOOKUP(2,1/(#REF!=Z3261),#REF!),Y3261))</f>
        <v/>
      </c>
      <c r="Z3261" t="str">
        <f>IF(A3261="","",TEXT(A3261,"0")&amp;"|"&amp;TEXT(H3261,"0"))</f>
        <v/>
      </c>
      <c r="AA3261" t="str">
        <f>IF(Z3261="","",IFERROR(LOOKUP(2,1/(#REF!=Z3261),#REF!),""))</f>
        <v/>
      </c>
      <c r="AB3261" t="str">
        <f>IF(Z3261="","",IFERROR(LOOKUP(2,1/(#REF!=Z3261),#REF!),""))</f>
        <v/>
      </c>
      <c r="AC3261" t="str">
        <f>IF(Z3261="","",COUNTIF(#REF!,Z3261))</f>
        <v/>
      </c>
      <c r="AD3261" t="str">
        <f>IF(A3261="","",IF(AC3261&gt;1,"REVISAR DUPLICADO",IF(AA3261&lt;&gt;"","ACTUALIZADO POR EYR","SIN REPORTE EYR")))</f>
        <v/>
      </c>
    </row>
    <row r="3262" spans="11:30" x14ac:dyDescent="0.3">
      <c r="K3262" s="1" t="str">
        <f ca="1">IF(A3262="","",IF(OR(L3262="ENTREGADA",L3262="RETORNADA",L3262="ENTREGA DIGITAL"),0,MAX(0,5-NETWORKDAYS(H3262+1,TODAY()))))</f>
        <v/>
      </c>
      <c r="L3262" t="str">
        <f>IF(A3262="","",IFERROR(LOOKUP(2,1/(#REF!=Z3262),#REF!),Y3262))</f>
        <v/>
      </c>
      <c r="Z3262" t="str">
        <f>IF(A3262="","",TEXT(A3262,"0")&amp;"|"&amp;TEXT(H3262,"0"))</f>
        <v/>
      </c>
      <c r="AA3262" t="str">
        <f>IF(Z3262="","",IFERROR(LOOKUP(2,1/(#REF!=Z3262),#REF!),""))</f>
        <v/>
      </c>
      <c r="AB3262" t="str">
        <f>IF(Z3262="","",IFERROR(LOOKUP(2,1/(#REF!=Z3262),#REF!),""))</f>
        <v/>
      </c>
      <c r="AC3262" t="str">
        <f>IF(Z3262="","",COUNTIF(#REF!,Z3262))</f>
        <v/>
      </c>
      <c r="AD3262" t="str">
        <f>IF(A3262="","",IF(AC3262&gt;1,"REVISAR DUPLICADO",IF(AA3262&lt;&gt;"","ACTUALIZADO POR EYR","SIN REPORTE EYR")))</f>
        <v/>
      </c>
    </row>
    <row r="3263" spans="11:30" x14ac:dyDescent="0.3">
      <c r="K3263" s="1" t="str">
        <f ca="1">IF(A3263="","",IF(OR(L3263="ENTREGADA",L3263="RETORNADA",L3263="ENTREGA DIGITAL"),0,MAX(0,5-NETWORKDAYS(H3263+1,TODAY()))))</f>
        <v/>
      </c>
      <c r="L3263" t="str">
        <f>IF(A3263="","",IFERROR(LOOKUP(2,1/(#REF!=Z3263),#REF!),Y3263))</f>
        <v/>
      </c>
      <c r="Z3263" t="str">
        <f>IF(A3263="","",TEXT(A3263,"0")&amp;"|"&amp;TEXT(H3263,"0"))</f>
        <v/>
      </c>
      <c r="AA3263" t="str">
        <f>IF(Z3263="","",IFERROR(LOOKUP(2,1/(#REF!=Z3263),#REF!),""))</f>
        <v/>
      </c>
      <c r="AB3263" t="str">
        <f>IF(Z3263="","",IFERROR(LOOKUP(2,1/(#REF!=Z3263),#REF!),""))</f>
        <v/>
      </c>
      <c r="AC3263" t="str">
        <f>IF(Z3263="","",COUNTIF(#REF!,Z3263))</f>
        <v/>
      </c>
      <c r="AD3263" t="str">
        <f>IF(A3263="","",IF(AC3263&gt;1,"REVISAR DUPLICADO",IF(AA3263&lt;&gt;"","ACTUALIZADO POR EYR","SIN REPORTE EYR")))</f>
        <v/>
      </c>
    </row>
    <row r="3264" spans="11:30" x14ac:dyDescent="0.3">
      <c r="K3264" s="1" t="str">
        <f ca="1">IF(A3264="","",IF(OR(L3264="ENTREGADA",L3264="RETORNADA",L3264="ENTREGA DIGITAL"),0,MAX(0,5-NETWORKDAYS(H3264+1,TODAY()))))</f>
        <v/>
      </c>
      <c r="L3264" t="str">
        <f>IF(A3264="","",IFERROR(LOOKUP(2,1/(#REF!=Z3264),#REF!),Y3264))</f>
        <v/>
      </c>
      <c r="Z3264" t="str">
        <f>IF(A3264="","",TEXT(A3264,"0")&amp;"|"&amp;TEXT(H3264,"0"))</f>
        <v/>
      </c>
      <c r="AA3264" t="str">
        <f>IF(Z3264="","",IFERROR(LOOKUP(2,1/(#REF!=Z3264),#REF!),""))</f>
        <v/>
      </c>
      <c r="AB3264" t="str">
        <f>IF(Z3264="","",IFERROR(LOOKUP(2,1/(#REF!=Z3264),#REF!),""))</f>
        <v/>
      </c>
      <c r="AC3264" t="str">
        <f>IF(Z3264="","",COUNTIF(#REF!,Z3264))</f>
        <v/>
      </c>
      <c r="AD3264" t="str">
        <f>IF(A3264="","",IF(AC3264&gt;1,"REVISAR DUPLICADO",IF(AA3264&lt;&gt;"","ACTUALIZADO POR EYR","SIN REPORTE EYR")))</f>
        <v/>
      </c>
    </row>
    <row r="3265" spans="11:30" x14ac:dyDescent="0.3">
      <c r="K3265" s="1" t="str">
        <f ca="1">IF(A3265="","",IF(OR(L3265="ENTREGADA",L3265="RETORNADA",L3265="ENTREGA DIGITAL"),0,MAX(0,5-NETWORKDAYS(H3265+1,TODAY()))))</f>
        <v/>
      </c>
      <c r="L3265" t="str">
        <f>IF(A3265="","",IFERROR(LOOKUP(2,1/(#REF!=Z3265),#REF!),Y3265))</f>
        <v/>
      </c>
      <c r="Z3265" t="str">
        <f>IF(A3265="","",TEXT(A3265,"0")&amp;"|"&amp;TEXT(H3265,"0"))</f>
        <v/>
      </c>
      <c r="AA3265" t="str">
        <f>IF(Z3265="","",IFERROR(LOOKUP(2,1/(#REF!=Z3265),#REF!),""))</f>
        <v/>
      </c>
      <c r="AB3265" t="str">
        <f>IF(Z3265="","",IFERROR(LOOKUP(2,1/(#REF!=Z3265),#REF!),""))</f>
        <v/>
      </c>
      <c r="AC3265" t="str">
        <f>IF(Z3265="","",COUNTIF(#REF!,Z3265))</f>
        <v/>
      </c>
      <c r="AD3265" t="str">
        <f>IF(A3265="","",IF(AC3265&gt;1,"REVISAR DUPLICADO",IF(AA3265&lt;&gt;"","ACTUALIZADO POR EYR","SIN REPORTE EYR")))</f>
        <v/>
      </c>
    </row>
    <row r="3266" spans="11:30" x14ac:dyDescent="0.3">
      <c r="K3266" s="1" t="str">
        <f ca="1">IF(A3266="","",IF(OR(L3266="ENTREGADA",L3266="RETORNADA",L3266="ENTREGA DIGITAL"),0,MAX(0,5-NETWORKDAYS(H3266+1,TODAY()))))</f>
        <v/>
      </c>
      <c r="L3266" t="str">
        <f>IF(A3266="","",IFERROR(LOOKUP(2,1/(#REF!=Z3266),#REF!),Y3266))</f>
        <v/>
      </c>
      <c r="Z3266" t="str">
        <f>IF(A3266="","",TEXT(A3266,"0")&amp;"|"&amp;TEXT(H3266,"0"))</f>
        <v/>
      </c>
      <c r="AA3266" t="str">
        <f>IF(Z3266="","",IFERROR(LOOKUP(2,1/(#REF!=Z3266),#REF!),""))</f>
        <v/>
      </c>
      <c r="AB3266" t="str">
        <f>IF(Z3266="","",IFERROR(LOOKUP(2,1/(#REF!=Z3266),#REF!),""))</f>
        <v/>
      </c>
      <c r="AC3266" t="str">
        <f>IF(Z3266="","",COUNTIF(#REF!,Z3266))</f>
        <v/>
      </c>
      <c r="AD3266" t="str">
        <f>IF(A3266="","",IF(AC3266&gt;1,"REVISAR DUPLICADO",IF(AA3266&lt;&gt;"","ACTUALIZADO POR EYR","SIN REPORTE EYR")))</f>
        <v/>
      </c>
    </row>
    <row r="3267" spans="11:30" x14ac:dyDescent="0.3">
      <c r="K3267" s="1" t="str">
        <f ca="1">IF(A3267="","",IF(OR(L3267="ENTREGADA",L3267="RETORNADA",L3267="ENTREGA DIGITAL"),0,MAX(0,5-NETWORKDAYS(H3267+1,TODAY()))))</f>
        <v/>
      </c>
      <c r="L3267" t="str">
        <f>IF(A3267="","",IFERROR(LOOKUP(2,1/(#REF!=Z3267),#REF!),Y3267))</f>
        <v/>
      </c>
      <c r="Z3267" t="str">
        <f>IF(A3267="","",TEXT(A3267,"0")&amp;"|"&amp;TEXT(H3267,"0"))</f>
        <v/>
      </c>
      <c r="AA3267" t="str">
        <f>IF(Z3267="","",IFERROR(LOOKUP(2,1/(#REF!=Z3267),#REF!),""))</f>
        <v/>
      </c>
      <c r="AB3267" t="str">
        <f>IF(Z3267="","",IFERROR(LOOKUP(2,1/(#REF!=Z3267),#REF!),""))</f>
        <v/>
      </c>
      <c r="AC3267" t="str">
        <f>IF(Z3267="","",COUNTIF(#REF!,Z3267))</f>
        <v/>
      </c>
      <c r="AD3267" t="str">
        <f>IF(A3267="","",IF(AC3267&gt;1,"REVISAR DUPLICADO",IF(AA3267&lt;&gt;"","ACTUALIZADO POR EYR","SIN REPORTE EYR")))</f>
        <v/>
      </c>
    </row>
    <row r="3268" spans="11:30" x14ac:dyDescent="0.3">
      <c r="K3268" s="1" t="str">
        <f ca="1">IF(A3268="","",IF(OR(L3268="ENTREGADA",L3268="RETORNADA",L3268="ENTREGA DIGITAL"),0,MAX(0,5-NETWORKDAYS(H3268+1,TODAY()))))</f>
        <v/>
      </c>
      <c r="L3268" t="str">
        <f>IF(A3268="","",IFERROR(LOOKUP(2,1/(#REF!=Z3268),#REF!),Y3268))</f>
        <v/>
      </c>
      <c r="Z3268" t="str">
        <f>IF(A3268="","",TEXT(A3268,"0")&amp;"|"&amp;TEXT(H3268,"0"))</f>
        <v/>
      </c>
      <c r="AA3268" t="str">
        <f>IF(Z3268="","",IFERROR(LOOKUP(2,1/(#REF!=Z3268),#REF!),""))</f>
        <v/>
      </c>
      <c r="AB3268" t="str">
        <f>IF(Z3268="","",IFERROR(LOOKUP(2,1/(#REF!=Z3268),#REF!),""))</f>
        <v/>
      </c>
      <c r="AC3268" t="str">
        <f>IF(Z3268="","",COUNTIF(#REF!,Z3268))</f>
        <v/>
      </c>
      <c r="AD3268" t="str">
        <f>IF(A3268="","",IF(AC3268&gt;1,"REVISAR DUPLICADO",IF(AA3268&lt;&gt;"","ACTUALIZADO POR EYR","SIN REPORTE EYR")))</f>
        <v/>
      </c>
    </row>
    <row r="3269" spans="11:30" x14ac:dyDescent="0.3">
      <c r="K3269" s="1" t="str">
        <f ca="1">IF(A3269="","",IF(OR(L3269="ENTREGADA",L3269="RETORNADA",L3269="ENTREGA DIGITAL"),0,MAX(0,5-NETWORKDAYS(H3269+1,TODAY()))))</f>
        <v/>
      </c>
      <c r="L3269" t="str">
        <f>IF(A3269="","",IFERROR(LOOKUP(2,1/(#REF!=Z3269),#REF!),Y3269))</f>
        <v/>
      </c>
      <c r="Z3269" t="str">
        <f>IF(A3269="","",TEXT(A3269,"0")&amp;"|"&amp;TEXT(H3269,"0"))</f>
        <v/>
      </c>
      <c r="AA3269" t="str">
        <f>IF(Z3269="","",IFERROR(LOOKUP(2,1/(#REF!=Z3269),#REF!),""))</f>
        <v/>
      </c>
      <c r="AB3269" t="str">
        <f>IF(Z3269="","",IFERROR(LOOKUP(2,1/(#REF!=Z3269),#REF!),""))</f>
        <v/>
      </c>
      <c r="AC3269" t="str">
        <f>IF(Z3269="","",COUNTIF(#REF!,Z3269))</f>
        <v/>
      </c>
      <c r="AD3269" t="str">
        <f>IF(A3269="","",IF(AC3269&gt;1,"REVISAR DUPLICADO",IF(AA3269&lt;&gt;"","ACTUALIZADO POR EYR","SIN REPORTE EYR")))</f>
        <v/>
      </c>
    </row>
    <row r="3270" spans="11:30" x14ac:dyDescent="0.3">
      <c r="K3270" s="1" t="str">
        <f ca="1">IF(A3270="","",IF(OR(L3270="ENTREGADA",L3270="RETORNADA",L3270="ENTREGA DIGITAL"),0,MAX(0,5-NETWORKDAYS(H3270+1,TODAY()))))</f>
        <v/>
      </c>
      <c r="L3270" t="str">
        <f>IF(A3270="","",IFERROR(LOOKUP(2,1/(#REF!=Z3270),#REF!),Y3270))</f>
        <v/>
      </c>
      <c r="Z3270" t="str">
        <f>IF(A3270="","",TEXT(A3270,"0")&amp;"|"&amp;TEXT(H3270,"0"))</f>
        <v/>
      </c>
      <c r="AA3270" t="str">
        <f>IF(Z3270="","",IFERROR(LOOKUP(2,1/(#REF!=Z3270),#REF!),""))</f>
        <v/>
      </c>
      <c r="AB3270" t="str">
        <f>IF(Z3270="","",IFERROR(LOOKUP(2,1/(#REF!=Z3270),#REF!),""))</f>
        <v/>
      </c>
      <c r="AC3270" t="str">
        <f>IF(Z3270="","",COUNTIF(#REF!,Z3270))</f>
        <v/>
      </c>
      <c r="AD3270" t="str">
        <f>IF(A3270="","",IF(AC3270&gt;1,"REVISAR DUPLICADO",IF(AA3270&lt;&gt;"","ACTUALIZADO POR EYR","SIN REPORTE EYR")))</f>
        <v/>
      </c>
    </row>
    <row r="3271" spans="11:30" x14ac:dyDescent="0.3">
      <c r="K3271" s="1" t="str">
        <f ca="1">IF(A3271="","",IF(OR(L3271="ENTREGADA",L3271="RETORNADA",L3271="ENTREGA DIGITAL"),0,MAX(0,5-NETWORKDAYS(H3271+1,TODAY()))))</f>
        <v/>
      </c>
      <c r="L3271" t="str">
        <f>IF(A3271="","",IFERROR(LOOKUP(2,1/(#REF!=Z3271),#REF!),Y3271))</f>
        <v/>
      </c>
      <c r="Z3271" t="str">
        <f>IF(A3271="","",TEXT(A3271,"0")&amp;"|"&amp;TEXT(H3271,"0"))</f>
        <v/>
      </c>
      <c r="AA3271" t="str">
        <f>IF(Z3271="","",IFERROR(LOOKUP(2,1/(#REF!=Z3271),#REF!),""))</f>
        <v/>
      </c>
      <c r="AB3271" t="str">
        <f>IF(Z3271="","",IFERROR(LOOKUP(2,1/(#REF!=Z3271),#REF!),""))</f>
        <v/>
      </c>
      <c r="AC3271" t="str">
        <f>IF(Z3271="","",COUNTIF(#REF!,Z3271))</f>
        <v/>
      </c>
      <c r="AD3271" t="str">
        <f>IF(A3271="","",IF(AC3271&gt;1,"REVISAR DUPLICADO",IF(AA3271&lt;&gt;"","ACTUALIZADO POR EYR","SIN REPORTE EYR")))</f>
        <v/>
      </c>
    </row>
    <row r="3272" spans="11:30" x14ac:dyDescent="0.3">
      <c r="K3272" s="1" t="str">
        <f ca="1">IF(A3272="","",IF(OR(L3272="ENTREGADA",L3272="RETORNADA",L3272="ENTREGA DIGITAL"),0,MAX(0,5-NETWORKDAYS(H3272+1,TODAY()))))</f>
        <v/>
      </c>
      <c r="L3272" t="str">
        <f>IF(A3272="","",IFERROR(LOOKUP(2,1/(#REF!=Z3272),#REF!),Y3272))</f>
        <v/>
      </c>
      <c r="Z3272" t="str">
        <f>IF(A3272="","",TEXT(A3272,"0")&amp;"|"&amp;TEXT(H3272,"0"))</f>
        <v/>
      </c>
      <c r="AA3272" t="str">
        <f>IF(Z3272="","",IFERROR(LOOKUP(2,1/(#REF!=Z3272),#REF!),""))</f>
        <v/>
      </c>
      <c r="AB3272" t="str">
        <f>IF(Z3272="","",IFERROR(LOOKUP(2,1/(#REF!=Z3272),#REF!),""))</f>
        <v/>
      </c>
      <c r="AC3272" t="str">
        <f>IF(Z3272="","",COUNTIF(#REF!,Z3272))</f>
        <v/>
      </c>
      <c r="AD3272" t="str">
        <f>IF(A3272="","",IF(AC3272&gt;1,"REVISAR DUPLICADO",IF(AA3272&lt;&gt;"","ACTUALIZADO POR EYR","SIN REPORTE EYR")))</f>
        <v/>
      </c>
    </row>
    <row r="3273" spans="11:30" x14ac:dyDescent="0.3">
      <c r="K3273" s="1" t="str">
        <f ca="1">IF(A3273="","",IF(OR(L3273="ENTREGADA",L3273="RETORNADA",L3273="ENTREGA DIGITAL"),0,MAX(0,5-NETWORKDAYS(H3273+1,TODAY()))))</f>
        <v/>
      </c>
      <c r="L3273" t="str">
        <f>IF(A3273="","",IFERROR(LOOKUP(2,1/(#REF!=Z3273),#REF!),Y3273))</f>
        <v/>
      </c>
      <c r="Z3273" t="str">
        <f>IF(A3273="","",TEXT(A3273,"0")&amp;"|"&amp;TEXT(H3273,"0"))</f>
        <v/>
      </c>
      <c r="AA3273" t="str">
        <f>IF(Z3273="","",IFERROR(LOOKUP(2,1/(#REF!=Z3273),#REF!),""))</f>
        <v/>
      </c>
      <c r="AB3273" t="str">
        <f>IF(Z3273="","",IFERROR(LOOKUP(2,1/(#REF!=Z3273),#REF!),""))</f>
        <v/>
      </c>
      <c r="AC3273" t="str">
        <f>IF(Z3273="","",COUNTIF(#REF!,Z3273))</f>
        <v/>
      </c>
      <c r="AD3273" t="str">
        <f>IF(A3273="","",IF(AC3273&gt;1,"REVISAR DUPLICADO",IF(AA3273&lt;&gt;"","ACTUALIZADO POR EYR","SIN REPORTE EYR")))</f>
        <v/>
      </c>
    </row>
    <row r="3274" spans="11:30" x14ac:dyDescent="0.3">
      <c r="K3274" s="1" t="str">
        <f ca="1">IF(A3274="","",IF(OR(L3274="ENTREGADA",L3274="RETORNADA",L3274="ENTREGA DIGITAL"),0,MAX(0,5-NETWORKDAYS(H3274+1,TODAY()))))</f>
        <v/>
      </c>
      <c r="L3274" t="str">
        <f>IF(A3274="","",IFERROR(LOOKUP(2,1/(#REF!=Z3274),#REF!),Y3274))</f>
        <v/>
      </c>
      <c r="Z3274" t="str">
        <f>IF(A3274="","",TEXT(A3274,"0")&amp;"|"&amp;TEXT(H3274,"0"))</f>
        <v/>
      </c>
      <c r="AA3274" t="str">
        <f>IF(Z3274="","",IFERROR(LOOKUP(2,1/(#REF!=Z3274),#REF!),""))</f>
        <v/>
      </c>
      <c r="AB3274" t="str">
        <f>IF(Z3274="","",IFERROR(LOOKUP(2,1/(#REF!=Z3274),#REF!),""))</f>
        <v/>
      </c>
      <c r="AC3274" t="str">
        <f>IF(Z3274="","",COUNTIF(#REF!,Z3274))</f>
        <v/>
      </c>
      <c r="AD3274" t="str">
        <f>IF(A3274="","",IF(AC3274&gt;1,"REVISAR DUPLICADO",IF(AA3274&lt;&gt;"","ACTUALIZADO POR EYR","SIN REPORTE EYR")))</f>
        <v/>
      </c>
    </row>
    <row r="3275" spans="11:30" x14ac:dyDescent="0.3">
      <c r="K3275" s="1" t="str">
        <f ca="1">IF(A3275="","",IF(OR(L3275="ENTREGADA",L3275="RETORNADA",L3275="ENTREGA DIGITAL"),0,MAX(0,5-NETWORKDAYS(H3275+1,TODAY()))))</f>
        <v/>
      </c>
      <c r="L3275" t="str">
        <f>IF(A3275="","",IFERROR(LOOKUP(2,1/(#REF!=Z3275),#REF!),Y3275))</f>
        <v/>
      </c>
      <c r="Z3275" t="str">
        <f>IF(A3275="","",TEXT(A3275,"0")&amp;"|"&amp;TEXT(H3275,"0"))</f>
        <v/>
      </c>
      <c r="AA3275" t="str">
        <f>IF(Z3275="","",IFERROR(LOOKUP(2,1/(#REF!=Z3275),#REF!),""))</f>
        <v/>
      </c>
      <c r="AB3275" t="str">
        <f>IF(Z3275="","",IFERROR(LOOKUP(2,1/(#REF!=Z3275),#REF!),""))</f>
        <v/>
      </c>
      <c r="AC3275" t="str">
        <f>IF(Z3275="","",COUNTIF(#REF!,Z3275))</f>
        <v/>
      </c>
      <c r="AD3275" t="str">
        <f>IF(A3275="","",IF(AC3275&gt;1,"REVISAR DUPLICADO",IF(AA3275&lt;&gt;"","ACTUALIZADO POR EYR","SIN REPORTE EYR")))</f>
        <v/>
      </c>
    </row>
    <row r="3276" spans="11:30" x14ac:dyDescent="0.3">
      <c r="K3276" s="1" t="str">
        <f ca="1">IF(A3276="","",IF(OR(L3276="ENTREGADA",L3276="RETORNADA",L3276="ENTREGA DIGITAL"),0,MAX(0,5-NETWORKDAYS(H3276+1,TODAY()))))</f>
        <v/>
      </c>
      <c r="L3276" t="str">
        <f>IF(A3276="","",IFERROR(LOOKUP(2,1/(#REF!=Z3276),#REF!),Y3276))</f>
        <v/>
      </c>
      <c r="Z3276" t="str">
        <f>IF(A3276="","",TEXT(A3276,"0")&amp;"|"&amp;TEXT(H3276,"0"))</f>
        <v/>
      </c>
      <c r="AA3276" t="str">
        <f>IF(Z3276="","",IFERROR(LOOKUP(2,1/(#REF!=Z3276),#REF!),""))</f>
        <v/>
      </c>
      <c r="AB3276" t="str">
        <f>IF(Z3276="","",IFERROR(LOOKUP(2,1/(#REF!=Z3276),#REF!),""))</f>
        <v/>
      </c>
      <c r="AC3276" t="str">
        <f>IF(Z3276="","",COUNTIF(#REF!,Z3276))</f>
        <v/>
      </c>
      <c r="AD3276" t="str">
        <f>IF(A3276="","",IF(AC3276&gt;1,"REVISAR DUPLICADO",IF(AA3276&lt;&gt;"","ACTUALIZADO POR EYR","SIN REPORTE EYR")))</f>
        <v/>
      </c>
    </row>
    <row r="3277" spans="11:30" x14ac:dyDescent="0.3">
      <c r="K3277" s="1" t="str">
        <f ca="1">IF(A3277="","",IF(OR(L3277="ENTREGADA",L3277="RETORNADA",L3277="ENTREGA DIGITAL"),0,MAX(0,5-NETWORKDAYS(H3277+1,TODAY()))))</f>
        <v/>
      </c>
      <c r="L3277" t="str">
        <f>IF(A3277="","",IFERROR(LOOKUP(2,1/(#REF!=Z3277),#REF!),Y3277))</f>
        <v/>
      </c>
      <c r="Z3277" t="str">
        <f>IF(A3277="","",TEXT(A3277,"0")&amp;"|"&amp;TEXT(H3277,"0"))</f>
        <v/>
      </c>
      <c r="AA3277" t="str">
        <f>IF(Z3277="","",IFERROR(LOOKUP(2,1/(#REF!=Z3277),#REF!),""))</f>
        <v/>
      </c>
      <c r="AB3277" t="str">
        <f>IF(Z3277="","",IFERROR(LOOKUP(2,1/(#REF!=Z3277),#REF!),""))</f>
        <v/>
      </c>
      <c r="AC3277" t="str">
        <f>IF(Z3277="","",COUNTIF(#REF!,Z3277))</f>
        <v/>
      </c>
      <c r="AD3277" t="str">
        <f>IF(A3277="","",IF(AC3277&gt;1,"REVISAR DUPLICADO",IF(AA3277&lt;&gt;"","ACTUALIZADO POR EYR","SIN REPORTE EYR")))</f>
        <v/>
      </c>
    </row>
    <row r="3278" spans="11:30" x14ac:dyDescent="0.3">
      <c r="K3278" s="1" t="str">
        <f ca="1">IF(A3278="","",IF(OR(L3278="ENTREGADA",L3278="RETORNADA",L3278="ENTREGA DIGITAL"),0,MAX(0,5-NETWORKDAYS(H3278+1,TODAY()))))</f>
        <v/>
      </c>
      <c r="L3278" t="str">
        <f>IF(A3278="","",IFERROR(LOOKUP(2,1/(#REF!=Z3278),#REF!),Y3278))</f>
        <v/>
      </c>
      <c r="Z3278" t="str">
        <f>IF(A3278="","",TEXT(A3278,"0")&amp;"|"&amp;TEXT(H3278,"0"))</f>
        <v/>
      </c>
      <c r="AA3278" t="str">
        <f>IF(Z3278="","",IFERROR(LOOKUP(2,1/(#REF!=Z3278),#REF!),""))</f>
        <v/>
      </c>
      <c r="AB3278" t="str">
        <f>IF(Z3278="","",IFERROR(LOOKUP(2,1/(#REF!=Z3278),#REF!),""))</f>
        <v/>
      </c>
      <c r="AC3278" t="str">
        <f>IF(Z3278="","",COUNTIF(#REF!,Z3278))</f>
        <v/>
      </c>
      <c r="AD3278" t="str">
        <f>IF(A3278="","",IF(AC3278&gt;1,"REVISAR DUPLICADO",IF(AA3278&lt;&gt;"","ACTUALIZADO POR EYR","SIN REPORTE EYR")))</f>
        <v/>
      </c>
    </row>
    <row r="3279" spans="11:30" x14ac:dyDescent="0.3">
      <c r="K3279" s="1" t="str">
        <f ca="1">IF(A3279="","",IF(OR(L3279="ENTREGADA",L3279="RETORNADA",L3279="ENTREGA DIGITAL"),0,MAX(0,5-NETWORKDAYS(H3279+1,TODAY()))))</f>
        <v/>
      </c>
      <c r="L3279" t="str">
        <f>IF(A3279="","",IFERROR(LOOKUP(2,1/(#REF!=Z3279),#REF!),Y3279))</f>
        <v/>
      </c>
      <c r="Z3279" t="str">
        <f>IF(A3279="","",TEXT(A3279,"0")&amp;"|"&amp;TEXT(H3279,"0"))</f>
        <v/>
      </c>
      <c r="AA3279" t="str">
        <f>IF(Z3279="","",IFERROR(LOOKUP(2,1/(#REF!=Z3279),#REF!),""))</f>
        <v/>
      </c>
      <c r="AB3279" t="str">
        <f>IF(Z3279="","",IFERROR(LOOKUP(2,1/(#REF!=Z3279),#REF!),""))</f>
        <v/>
      </c>
      <c r="AC3279" t="str">
        <f>IF(Z3279="","",COUNTIF(#REF!,Z3279))</f>
        <v/>
      </c>
      <c r="AD3279" t="str">
        <f>IF(A3279="","",IF(AC3279&gt;1,"REVISAR DUPLICADO",IF(AA3279&lt;&gt;"","ACTUALIZADO POR EYR","SIN REPORTE EYR")))</f>
        <v/>
      </c>
    </row>
    <row r="3280" spans="11:30" x14ac:dyDescent="0.3">
      <c r="K3280" s="1" t="str">
        <f ca="1">IF(A3280="","",IF(OR(L3280="ENTREGADA",L3280="RETORNADA",L3280="ENTREGA DIGITAL"),0,MAX(0,5-NETWORKDAYS(H3280+1,TODAY()))))</f>
        <v/>
      </c>
      <c r="L3280" t="str">
        <f>IF(A3280="","",IFERROR(LOOKUP(2,1/(#REF!=Z3280),#REF!),Y3280))</f>
        <v/>
      </c>
      <c r="Z3280" t="str">
        <f>IF(A3280="","",TEXT(A3280,"0")&amp;"|"&amp;TEXT(H3280,"0"))</f>
        <v/>
      </c>
      <c r="AA3280" t="str">
        <f>IF(Z3280="","",IFERROR(LOOKUP(2,1/(#REF!=Z3280),#REF!),""))</f>
        <v/>
      </c>
      <c r="AB3280" t="str">
        <f>IF(Z3280="","",IFERROR(LOOKUP(2,1/(#REF!=Z3280),#REF!),""))</f>
        <v/>
      </c>
      <c r="AC3280" t="str">
        <f>IF(Z3280="","",COUNTIF(#REF!,Z3280))</f>
        <v/>
      </c>
      <c r="AD3280" t="str">
        <f>IF(A3280="","",IF(AC3280&gt;1,"REVISAR DUPLICADO",IF(AA3280&lt;&gt;"","ACTUALIZADO POR EYR","SIN REPORTE EYR")))</f>
        <v/>
      </c>
    </row>
    <row r="3281" spans="11:30" x14ac:dyDescent="0.3">
      <c r="K3281" s="1" t="str">
        <f ca="1">IF(A3281="","",IF(OR(L3281="ENTREGADA",L3281="RETORNADA",L3281="ENTREGA DIGITAL"),0,MAX(0,5-NETWORKDAYS(H3281+1,TODAY()))))</f>
        <v/>
      </c>
      <c r="L3281" t="str">
        <f>IF(A3281="","",IFERROR(LOOKUP(2,1/(#REF!=Z3281),#REF!),Y3281))</f>
        <v/>
      </c>
      <c r="Z3281" t="str">
        <f>IF(A3281="","",TEXT(A3281,"0")&amp;"|"&amp;TEXT(H3281,"0"))</f>
        <v/>
      </c>
      <c r="AA3281" t="str">
        <f>IF(Z3281="","",IFERROR(LOOKUP(2,1/(#REF!=Z3281),#REF!),""))</f>
        <v/>
      </c>
      <c r="AB3281" t="str">
        <f>IF(Z3281="","",IFERROR(LOOKUP(2,1/(#REF!=Z3281),#REF!),""))</f>
        <v/>
      </c>
      <c r="AC3281" t="str">
        <f>IF(Z3281="","",COUNTIF(#REF!,Z3281))</f>
        <v/>
      </c>
      <c r="AD3281" t="str">
        <f>IF(A3281="","",IF(AC3281&gt;1,"REVISAR DUPLICADO",IF(AA3281&lt;&gt;"","ACTUALIZADO POR EYR","SIN REPORTE EYR")))</f>
        <v/>
      </c>
    </row>
    <row r="3282" spans="11:30" x14ac:dyDescent="0.3">
      <c r="K3282" s="1" t="str">
        <f ca="1">IF(A3282="","",IF(OR(L3282="ENTREGADA",L3282="RETORNADA",L3282="ENTREGA DIGITAL"),0,MAX(0,5-NETWORKDAYS(H3282+1,TODAY()))))</f>
        <v/>
      </c>
      <c r="L3282" t="str">
        <f>IF(A3282="","",IFERROR(LOOKUP(2,1/(#REF!=Z3282),#REF!),Y3282))</f>
        <v/>
      </c>
      <c r="Z3282" t="str">
        <f>IF(A3282="","",TEXT(A3282,"0")&amp;"|"&amp;TEXT(H3282,"0"))</f>
        <v/>
      </c>
      <c r="AA3282" t="str">
        <f>IF(Z3282="","",IFERROR(LOOKUP(2,1/(#REF!=Z3282),#REF!),""))</f>
        <v/>
      </c>
      <c r="AB3282" t="str">
        <f>IF(Z3282="","",IFERROR(LOOKUP(2,1/(#REF!=Z3282),#REF!),""))</f>
        <v/>
      </c>
      <c r="AC3282" t="str">
        <f>IF(Z3282="","",COUNTIF(#REF!,Z3282))</f>
        <v/>
      </c>
      <c r="AD3282" t="str">
        <f>IF(A3282="","",IF(AC3282&gt;1,"REVISAR DUPLICADO",IF(AA3282&lt;&gt;"","ACTUALIZADO POR EYR","SIN REPORTE EYR")))</f>
        <v/>
      </c>
    </row>
    <row r="3283" spans="11:30" x14ac:dyDescent="0.3">
      <c r="K3283" s="1" t="str">
        <f ca="1">IF(A3283="","",IF(OR(L3283="ENTREGADA",L3283="RETORNADA",L3283="ENTREGA DIGITAL"),0,MAX(0,5-NETWORKDAYS(H3283+1,TODAY()))))</f>
        <v/>
      </c>
      <c r="L3283" t="str">
        <f>IF(A3283="","",IFERROR(LOOKUP(2,1/(#REF!=Z3283),#REF!),Y3283))</f>
        <v/>
      </c>
      <c r="Z3283" t="str">
        <f>IF(A3283="","",TEXT(A3283,"0")&amp;"|"&amp;TEXT(H3283,"0"))</f>
        <v/>
      </c>
      <c r="AA3283" t="str">
        <f>IF(Z3283="","",IFERROR(LOOKUP(2,1/(#REF!=Z3283),#REF!),""))</f>
        <v/>
      </c>
      <c r="AB3283" t="str">
        <f>IF(Z3283="","",IFERROR(LOOKUP(2,1/(#REF!=Z3283),#REF!),""))</f>
        <v/>
      </c>
      <c r="AC3283" t="str">
        <f>IF(Z3283="","",COUNTIF(#REF!,Z3283))</f>
        <v/>
      </c>
      <c r="AD3283" t="str">
        <f>IF(A3283="","",IF(AC3283&gt;1,"REVISAR DUPLICADO",IF(AA3283&lt;&gt;"","ACTUALIZADO POR EYR","SIN REPORTE EYR")))</f>
        <v/>
      </c>
    </row>
    <row r="3284" spans="11:30" x14ac:dyDescent="0.3">
      <c r="K3284" s="1" t="str">
        <f ca="1">IF(A3284="","",IF(OR(L3284="ENTREGADA",L3284="RETORNADA",L3284="ENTREGA DIGITAL"),0,MAX(0,5-NETWORKDAYS(H3284+1,TODAY()))))</f>
        <v/>
      </c>
      <c r="L3284" t="str">
        <f>IF(A3284="","",IFERROR(LOOKUP(2,1/(#REF!=Z3284),#REF!),Y3284))</f>
        <v/>
      </c>
      <c r="Z3284" t="str">
        <f>IF(A3284="","",TEXT(A3284,"0")&amp;"|"&amp;TEXT(H3284,"0"))</f>
        <v/>
      </c>
      <c r="AA3284" t="str">
        <f>IF(Z3284="","",IFERROR(LOOKUP(2,1/(#REF!=Z3284),#REF!),""))</f>
        <v/>
      </c>
      <c r="AB3284" t="str">
        <f>IF(Z3284="","",IFERROR(LOOKUP(2,1/(#REF!=Z3284),#REF!),""))</f>
        <v/>
      </c>
      <c r="AC3284" t="str">
        <f>IF(Z3284="","",COUNTIF(#REF!,Z3284))</f>
        <v/>
      </c>
      <c r="AD3284" t="str">
        <f>IF(A3284="","",IF(AC3284&gt;1,"REVISAR DUPLICADO",IF(AA3284&lt;&gt;"","ACTUALIZADO POR EYR","SIN REPORTE EYR")))</f>
        <v/>
      </c>
    </row>
    <row r="3285" spans="11:30" x14ac:dyDescent="0.3">
      <c r="K3285" s="1" t="str">
        <f ca="1">IF(A3285="","",IF(OR(L3285="ENTREGADA",L3285="RETORNADA",L3285="ENTREGA DIGITAL"),0,MAX(0,5-NETWORKDAYS(H3285+1,TODAY()))))</f>
        <v/>
      </c>
      <c r="L3285" t="str">
        <f>IF(A3285="","",IFERROR(LOOKUP(2,1/(#REF!=Z3285),#REF!),Y3285))</f>
        <v/>
      </c>
      <c r="Z3285" t="str">
        <f>IF(A3285="","",TEXT(A3285,"0")&amp;"|"&amp;TEXT(H3285,"0"))</f>
        <v/>
      </c>
      <c r="AA3285" t="str">
        <f>IF(Z3285="","",IFERROR(LOOKUP(2,1/(#REF!=Z3285),#REF!),""))</f>
        <v/>
      </c>
      <c r="AB3285" t="str">
        <f>IF(Z3285="","",IFERROR(LOOKUP(2,1/(#REF!=Z3285),#REF!),""))</f>
        <v/>
      </c>
      <c r="AC3285" t="str">
        <f>IF(Z3285="","",COUNTIF(#REF!,Z3285))</f>
        <v/>
      </c>
      <c r="AD3285" t="str">
        <f>IF(A3285="","",IF(AC3285&gt;1,"REVISAR DUPLICADO",IF(AA3285&lt;&gt;"","ACTUALIZADO POR EYR","SIN REPORTE EYR")))</f>
        <v/>
      </c>
    </row>
    <row r="3286" spans="11:30" x14ac:dyDescent="0.3">
      <c r="K3286" s="1" t="str">
        <f ca="1">IF(A3286="","",IF(OR(L3286="ENTREGADA",L3286="RETORNADA",L3286="ENTREGA DIGITAL"),0,MAX(0,5-NETWORKDAYS(H3286+1,TODAY()))))</f>
        <v/>
      </c>
      <c r="L3286" t="str">
        <f>IF(A3286="","",IFERROR(LOOKUP(2,1/(#REF!=Z3286),#REF!),Y3286))</f>
        <v/>
      </c>
      <c r="Z3286" t="str">
        <f>IF(A3286="","",TEXT(A3286,"0")&amp;"|"&amp;TEXT(H3286,"0"))</f>
        <v/>
      </c>
      <c r="AA3286" t="str">
        <f>IF(Z3286="","",IFERROR(LOOKUP(2,1/(#REF!=Z3286),#REF!),""))</f>
        <v/>
      </c>
      <c r="AB3286" t="str">
        <f>IF(Z3286="","",IFERROR(LOOKUP(2,1/(#REF!=Z3286),#REF!),""))</f>
        <v/>
      </c>
      <c r="AC3286" t="str">
        <f>IF(Z3286="","",COUNTIF(#REF!,Z3286))</f>
        <v/>
      </c>
      <c r="AD3286" t="str">
        <f>IF(A3286="","",IF(AC3286&gt;1,"REVISAR DUPLICADO",IF(AA3286&lt;&gt;"","ACTUALIZADO POR EYR","SIN REPORTE EYR")))</f>
        <v/>
      </c>
    </row>
    <row r="3287" spans="11:30" x14ac:dyDescent="0.3">
      <c r="K3287" s="1" t="str">
        <f ca="1">IF(A3287="","",IF(OR(L3287="ENTREGADA",L3287="RETORNADA",L3287="ENTREGA DIGITAL"),0,MAX(0,5-NETWORKDAYS(H3287+1,TODAY()))))</f>
        <v/>
      </c>
      <c r="L3287" t="str">
        <f>IF(A3287="","",IFERROR(LOOKUP(2,1/(#REF!=Z3287),#REF!),Y3287))</f>
        <v/>
      </c>
      <c r="Z3287" t="str">
        <f>IF(A3287="","",TEXT(A3287,"0")&amp;"|"&amp;TEXT(H3287,"0"))</f>
        <v/>
      </c>
      <c r="AA3287" t="str">
        <f>IF(Z3287="","",IFERROR(LOOKUP(2,1/(#REF!=Z3287),#REF!),""))</f>
        <v/>
      </c>
      <c r="AB3287" t="str">
        <f>IF(Z3287="","",IFERROR(LOOKUP(2,1/(#REF!=Z3287),#REF!),""))</f>
        <v/>
      </c>
      <c r="AC3287" t="str">
        <f>IF(Z3287="","",COUNTIF(#REF!,Z3287))</f>
        <v/>
      </c>
      <c r="AD3287" t="str">
        <f>IF(A3287="","",IF(AC3287&gt;1,"REVISAR DUPLICADO",IF(AA3287&lt;&gt;"","ACTUALIZADO POR EYR","SIN REPORTE EYR")))</f>
        <v/>
      </c>
    </row>
    <row r="3288" spans="11:30" x14ac:dyDescent="0.3">
      <c r="K3288" s="1" t="str">
        <f ca="1">IF(A3288="","",IF(OR(L3288="ENTREGADA",L3288="RETORNADA",L3288="ENTREGA DIGITAL"),0,MAX(0,5-NETWORKDAYS(H3288+1,TODAY()))))</f>
        <v/>
      </c>
      <c r="L3288" t="str">
        <f>IF(A3288="","",IFERROR(LOOKUP(2,1/(#REF!=Z3288),#REF!),Y3288))</f>
        <v/>
      </c>
      <c r="Z3288" t="str">
        <f>IF(A3288="","",TEXT(A3288,"0")&amp;"|"&amp;TEXT(H3288,"0"))</f>
        <v/>
      </c>
      <c r="AA3288" t="str">
        <f>IF(Z3288="","",IFERROR(LOOKUP(2,1/(#REF!=Z3288),#REF!),""))</f>
        <v/>
      </c>
      <c r="AB3288" t="str">
        <f>IF(Z3288="","",IFERROR(LOOKUP(2,1/(#REF!=Z3288),#REF!),""))</f>
        <v/>
      </c>
      <c r="AC3288" t="str">
        <f>IF(Z3288="","",COUNTIF(#REF!,Z3288))</f>
        <v/>
      </c>
      <c r="AD3288" t="str">
        <f>IF(A3288="","",IF(AC3288&gt;1,"REVISAR DUPLICADO",IF(AA3288&lt;&gt;"","ACTUALIZADO POR EYR","SIN REPORTE EYR")))</f>
        <v/>
      </c>
    </row>
    <row r="3289" spans="11:30" x14ac:dyDescent="0.3">
      <c r="K3289" s="1" t="str">
        <f ca="1">IF(A3289="","",IF(OR(L3289="ENTREGADA",L3289="RETORNADA",L3289="ENTREGA DIGITAL"),0,MAX(0,5-NETWORKDAYS(H3289+1,TODAY()))))</f>
        <v/>
      </c>
      <c r="L3289" t="str">
        <f>IF(A3289="","",IFERROR(LOOKUP(2,1/(#REF!=Z3289),#REF!),Y3289))</f>
        <v/>
      </c>
      <c r="Z3289" t="str">
        <f>IF(A3289="","",TEXT(A3289,"0")&amp;"|"&amp;TEXT(H3289,"0"))</f>
        <v/>
      </c>
      <c r="AA3289" t="str">
        <f>IF(Z3289="","",IFERROR(LOOKUP(2,1/(#REF!=Z3289),#REF!),""))</f>
        <v/>
      </c>
      <c r="AB3289" t="str">
        <f>IF(Z3289="","",IFERROR(LOOKUP(2,1/(#REF!=Z3289),#REF!),""))</f>
        <v/>
      </c>
      <c r="AC3289" t="str">
        <f>IF(Z3289="","",COUNTIF(#REF!,Z3289))</f>
        <v/>
      </c>
      <c r="AD3289" t="str">
        <f>IF(A3289="","",IF(AC3289&gt;1,"REVISAR DUPLICADO",IF(AA3289&lt;&gt;"","ACTUALIZADO POR EYR","SIN REPORTE EYR")))</f>
        <v/>
      </c>
    </row>
    <row r="3290" spans="11:30" x14ac:dyDescent="0.3">
      <c r="K3290" s="1" t="str">
        <f ca="1">IF(A3290="","",IF(OR(L3290="ENTREGADA",L3290="RETORNADA",L3290="ENTREGA DIGITAL"),0,MAX(0,5-NETWORKDAYS(H3290+1,TODAY()))))</f>
        <v/>
      </c>
      <c r="L3290" t="str">
        <f>IF(A3290="","",IFERROR(LOOKUP(2,1/(#REF!=Z3290),#REF!),Y3290))</f>
        <v/>
      </c>
      <c r="Z3290" t="str">
        <f>IF(A3290="","",TEXT(A3290,"0")&amp;"|"&amp;TEXT(H3290,"0"))</f>
        <v/>
      </c>
      <c r="AA3290" t="str">
        <f>IF(Z3290="","",IFERROR(LOOKUP(2,1/(#REF!=Z3290),#REF!),""))</f>
        <v/>
      </c>
      <c r="AB3290" t="str">
        <f>IF(Z3290="","",IFERROR(LOOKUP(2,1/(#REF!=Z3290),#REF!),""))</f>
        <v/>
      </c>
      <c r="AC3290" t="str">
        <f>IF(Z3290="","",COUNTIF(#REF!,Z3290))</f>
        <v/>
      </c>
      <c r="AD3290" t="str">
        <f>IF(A3290="","",IF(AC3290&gt;1,"REVISAR DUPLICADO",IF(AA3290&lt;&gt;"","ACTUALIZADO POR EYR","SIN REPORTE EYR")))</f>
        <v/>
      </c>
    </row>
    <row r="3291" spans="11:30" x14ac:dyDescent="0.3">
      <c r="K3291" s="1" t="str">
        <f ca="1">IF(A3291="","",IF(OR(L3291="ENTREGADA",L3291="RETORNADA",L3291="ENTREGA DIGITAL"),0,MAX(0,5-NETWORKDAYS(H3291+1,TODAY()))))</f>
        <v/>
      </c>
      <c r="L3291" t="str">
        <f>IF(A3291="","",IFERROR(LOOKUP(2,1/(#REF!=Z3291),#REF!),Y3291))</f>
        <v/>
      </c>
      <c r="Z3291" t="str">
        <f>IF(A3291="","",TEXT(A3291,"0")&amp;"|"&amp;TEXT(H3291,"0"))</f>
        <v/>
      </c>
      <c r="AA3291" t="str">
        <f>IF(Z3291="","",IFERROR(LOOKUP(2,1/(#REF!=Z3291),#REF!),""))</f>
        <v/>
      </c>
      <c r="AB3291" t="str">
        <f>IF(Z3291="","",IFERROR(LOOKUP(2,1/(#REF!=Z3291),#REF!),""))</f>
        <v/>
      </c>
      <c r="AC3291" t="str">
        <f>IF(Z3291="","",COUNTIF(#REF!,Z3291))</f>
        <v/>
      </c>
      <c r="AD3291" t="str">
        <f>IF(A3291="","",IF(AC3291&gt;1,"REVISAR DUPLICADO",IF(AA3291&lt;&gt;"","ACTUALIZADO POR EYR","SIN REPORTE EYR")))</f>
        <v/>
      </c>
    </row>
    <row r="3292" spans="11:30" x14ac:dyDescent="0.3">
      <c r="K3292" s="1" t="str">
        <f ca="1">IF(A3292="","",IF(OR(L3292="ENTREGADA",L3292="RETORNADA",L3292="ENTREGA DIGITAL"),0,MAX(0,5-NETWORKDAYS(H3292+1,TODAY()))))</f>
        <v/>
      </c>
      <c r="L3292" t="str">
        <f>IF(A3292="","",IFERROR(LOOKUP(2,1/(#REF!=Z3292),#REF!),Y3292))</f>
        <v/>
      </c>
      <c r="Z3292" t="str">
        <f>IF(A3292="","",TEXT(A3292,"0")&amp;"|"&amp;TEXT(H3292,"0"))</f>
        <v/>
      </c>
      <c r="AA3292" t="str">
        <f>IF(Z3292="","",IFERROR(LOOKUP(2,1/(#REF!=Z3292),#REF!),""))</f>
        <v/>
      </c>
      <c r="AB3292" t="str">
        <f>IF(Z3292="","",IFERROR(LOOKUP(2,1/(#REF!=Z3292),#REF!),""))</f>
        <v/>
      </c>
      <c r="AC3292" t="str">
        <f>IF(Z3292="","",COUNTIF(#REF!,Z3292))</f>
        <v/>
      </c>
      <c r="AD3292" t="str">
        <f>IF(A3292="","",IF(AC3292&gt;1,"REVISAR DUPLICADO",IF(AA3292&lt;&gt;"","ACTUALIZADO POR EYR","SIN REPORTE EYR")))</f>
        <v/>
      </c>
    </row>
    <row r="3293" spans="11:30" x14ac:dyDescent="0.3">
      <c r="K3293" s="1" t="str">
        <f ca="1">IF(A3293="","",IF(OR(L3293="ENTREGADA",L3293="RETORNADA",L3293="ENTREGA DIGITAL"),0,MAX(0,5-NETWORKDAYS(H3293+1,TODAY()))))</f>
        <v/>
      </c>
      <c r="L3293" t="str">
        <f>IF(A3293="","",IFERROR(LOOKUP(2,1/(#REF!=Z3293),#REF!),Y3293))</f>
        <v/>
      </c>
      <c r="Z3293" t="str">
        <f>IF(A3293="","",TEXT(A3293,"0")&amp;"|"&amp;TEXT(H3293,"0"))</f>
        <v/>
      </c>
      <c r="AA3293" t="str">
        <f>IF(Z3293="","",IFERROR(LOOKUP(2,1/(#REF!=Z3293),#REF!),""))</f>
        <v/>
      </c>
      <c r="AB3293" t="str">
        <f>IF(Z3293="","",IFERROR(LOOKUP(2,1/(#REF!=Z3293),#REF!),""))</f>
        <v/>
      </c>
      <c r="AC3293" t="str">
        <f>IF(Z3293="","",COUNTIF(#REF!,Z3293))</f>
        <v/>
      </c>
      <c r="AD3293" t="str">
        <f>IF(A3293="","",IF(AC3293&gt;1,"REVISAR DUPLICADO",IF(AA3293&lt;&gt;"","ACTUALIZADO POR EYR","SIN REPORTE EYR")))</f>
        <v/>
      </c>
    </row>
    <row r="3294" spans="11:30" x14ac:dyDescent="0.3">
      <c r="K3294" s="1" t="str">
        <f ca="1">IF(A3294="","",IF(OR(L3294="ENTREGADA",L3294="RETORNADA",L3294="ENTREGA DIGITAL"),0,MAX(0,5-NETWORKDAYS(H3294+1,TODAY()))))</f>
        <v/>
      </c>
      <c r="L3294" t="str">
        <f>IF(A3294="","",IFERROR(LOOKUP(2,1/(#REF!=Z3294),#REF!),Y3294))</f>
        <v/>
      </c>
      <c r="Z3294" t="str">
        <f>IF(A3294="","",TEXT(A3294,"0")&amp;"|"&amp;TEXT(H3294,"0"))</f>
        <v/>
      </c>
      <c r="AA3294" t="str">
        <f>IF(Z3294="","",IFERROR(LOOKUP(2,1/(#REF!=Z3294),#REF!),""))</f>
        <v/>
      </c>
      <c r="AB3294" t="str">
        <f>IF(Z3294="","",IFERROR(LOOKUP(2,1/(#REF!=Z3294),#REF!),""))</f>
        <v/>
      </c>
      <c r="AC3294" t="str">
        <f>IF(Z3294="","",COUNTIF(#REF!,Z3294))</f>
        <v/>
      </c>
      <c r="AD3294" t="str">
        <f>IF(A3294="","",IF(AC3294&gt;1,"REVISAR DUPLICADO",IF(AA3294&lt;&gt;"","ACTUALIZADO POR EYR","SIN REPORTE EYR")))</f>
        <v/>
      </c>
    </row>
    <row r="3295" spans="11:30" x14ac:dyDescent="0.3">
      <c r="K3295" s="1" t="str">
        <f ca="1">IF(A3295="","",IF(OR(L3295="ENTREGADA",L3295="RETORNADA",L3295="ENTREGA DIGITAL"),0,MAX(0,5-NETWORKDAYS(H3295+1,TODAY()))))</f>
        <v/>
      </c>
      <c r="L3295" t="str">
        <f>IF(A3295="","",IFERROR(LOOKUP(2,1/(#REF!=Z3295),#REF!),Y3295))</f>
        <v/>
      </c>
      <c r="Z3295" t="str">
        <f>IF(A3295="","",TEXT(A3295,"0")&amp;"|"&amp;TEXT(H3295,"0"))</f>
        <v/>
      </c>
      <c r="AA3295" t="str">
        <f>IF(Z3295="","",IFERROR(LOOKUP(2,1/(#REF!=Z3295),#REF!),""))</f>
        <v/>
      </c>
      <c r="AB3295" t="str">
        <f>IF(Z3295="","",IFERROR(LOOKUP(2,1/(#REF!=Z3295),#REF!),""))</f>
        <v/>
      </c>
      <c r="AC3295" t="str">
        <f>IF(Z3295="","",COUNTIF(#REF!,Z3295))</f>
        <v/>
      </c>
      <c r="AD3295" t="str">
        <f>IF(A3295="","",IF(AC3295&gt;1,"REVISAR DUPLICADO",IF(AA3295&lt;&gt;"","ACTUALIZADO POR EYR","SIN REPORTE EYR")))</f>
        <v/>
      </c>
    </row>
    <row r="3296" spans="11:30" x14ac:dyDescent="0.3">
      <c r="K3296" s="1" t="str">
        <f ca="1">IF(A3296="","",IF(OR(L3296="ENTREGADA",L3296="RETORNADA",L3296="ENTREGA DIGITAL"),0,MAX(0,5-NETWORKDAYS(H3296+1,TODAY()))))</f>
        <v/>
      </c>
      <c r="L3296" t="str">
        <f>IF(A3296="","",IFERROR(LOOKUP(2,1/(#REF!=Z3296),#REF!),Y3296))</f>
        <v/>
      </c>
      <c r="Z3296" t="str">
        <f>IF(A3296="","",TEXT(A3296,"0")&amp;"|"&amp;TEXT(H3296,"0"))</f>
        <v/>
      </c>
      <c r="AA3296" t="str">
        <f>IF(Z3296="","",IFERROR(LOOKUP(2,1/(#REF!=Z3296),#REF!),""))</f>
        <v/>
      </c>
      <c r="AB3296" t="str">
        <f>IF(Z3296="","",IFERROR(LOOKUP(2,1/(#REF!=Z3296),#REF!),""))</f>
        <v/>
      </c>
      <c r="AC3296" t="str">
        <f>IF(Z3296="","",COUNTIF(#REF!,Z3296))</f>
        <v/>
      </c>
      <c r="AD3296" t="str">
        <f>IF(A3296="","",IF(AC3296&gt;1,"REVISAR DUPLICADO",IF(AA3296&lt;&gt;"","ACTUALIZADO POR EYR","SIN REPORTE EYR")))</f>
        <v/>
      </c>
    </row>
    <row r="3297" spans="11:30" x14ac:dyDescent="0.3">
      <c r="K3297" s="1" t="str">
        <f ca="1">IF(A3297="","",IF(OR(L3297="ENTREGADA",L3297="RETORNADA",L3297="ENTREGA DIGITAL"),0,MAX(0,5-NETWORKDAYS(H3297+1,TODAY()))))</f>
        <v/>
      </c>
      <c r="L3297" t="str">
        <f>IF(A3297="","",IFERROR(LOOKUP(2,1/(#REF!=Z3297),#REF!),Y3297))</f>
        <v/>
      </c>
      <c r="Z3297" t="str">
        <f>IF(A3297="","",TEXT(A3297,"0")&amp;"|"&amp;TEXT(H3297,"0"))</f>
        <v/>
      </c>
      <c r="AA3297" t="str">
        <f>IF(Z3297="","",IFERROR(LOOKUP(2,1/(#REF!=Z3297),#REF!),""))</f>
        <v/>
      </c>
      <c r="AB3297" t="str">
        <f>IF(Z3297="","",IFERROR(LOOKUP(2,1/(#REF!=Z3297),#REF!),""))</f>
        <v/>
      </c>
      <c r="AC3297" t="str">
        <f>IF(Z3297="","",COUNTIF(#REF!,Z3297))</f>
        <v/>
      </c>
      <c r="AD3297" t="str">
        <f>IF(A3297="","",IF(AC3297&gt;1,"REVISAR DUPLICADO",IF(AA3297&lt;&gt;"","ACTUALIZADO POR EYR","SIN REPORTE EYR")))</f>
        <v/>
      </c>
    </row>
    <row r="3298" spans="11:30" x14ac:dyDescent="0.3">
      <c r="K3298" s="1" t="str">
        <f ca="1">IF(A3298="","",IF(OR(L3298="ENTREGADA",L3298="RETORNADA",L3298="ENTREGA DIGITAL"),0,MAX(0,5-NETWORKDAYS(H3298+1,TODAY()))))</f>
        <v/>
      </c>
      <c r="L3298" t="str">
        <f>IF(A3298="","",IFERROR(LOOKUP(2,1/(#REF!=Z3298),#REF!),Y3298))</f>
        <v/>
      </c>
      <c r="Z3298" t="str">
        <f>IF(A3298="","",TEXT(A3298,"0")&amp;"|"&amp;TEXT(H3298,"0"))</f>
        <v/>
      </c>
      <c r="AA3298" t="str">
        <f>IF(Z3298="","",IFERROR(LOOKUP(2,1/(#REF!=Z3298),#REF!),""))</f>
        <v/>
      </c>
      <c r="AB3298" t="str">
        <f>IF(Z3298="","",IFERROR(LOOKUP(2,1/(#REF!=Z3298),#REF!),""))</f>
        <v/>
      </c>
      <c r="AC3298" t="str">
        <f>IF(Z3298="","",COUNTIF(#REF!,Z3298))</f>
        <v/>
      </c>
      <c r="AD3298" t="str">
        <f>IF(A3298="","",IF(AC3298&gt;1,"REVISAR DUPLICADO",IF(AA3298&lt;&gt;"","ACTUALIZADO POR EYR","SIN REPORTE EYR")))</f>
        <v/>
      </c>
    </row>
    <row r="3299" spans="11:30" x14ac:dyDescent="0.3">
      <c r="K3299" s="1" t="str">
        <f ca="1">IF(A3299="","",IF(OR(L3299="ENTREGADA",L3299="RETORNADA",L3299="ENTREGA DIGITAL"),0,MAX(0,5-NETWORKDAYS(H3299+1,TODAY()))))</f>
        <v/>
      </c>
      <c r="L3299" t="str">
        <f>IF(A3299="","",IFERROR(LOOKUP(2,1/(#REF!=Z3299),#REF!),Y3299))</f>
        <v/>
      </c>
      <c r="Z3299" t="str">
        <f>IF(A3299="","",TEXT(A3299,"0")&amp;"|"&amp;TEXT(H3299,"0"))</f>
        <v/>
      </c>
      <c r="AA3299" t="str">
        <f>IF(Z3299="","",IFERROR(LOOKUP(2,1/(#REF!=Z3299),#REF!),""))</f>
        <v/>
      </c>
      <c r="AB3299" t="str">
        <f>IF(Z3299="","",IFERROR(LOOKUP(2,1/(#REF!=Z3299),#REF!),""))</f>
        <v/>
      </c>
      <c r="AC3299" t="str">
        <f>IF(Z3299="","",COUNTIF(#REF!,Z3299))</f>
        <v/>
      </c>
      <c r="AD3299" t="str">
        <f>IF(A3299="","",IF(AC3299&gt;1,"REVISAR DUPLICADO",IF(AA3299&lt;&gt;"","ACTUALIZADO POR EYR","SIN REPORTE EYR")))</f>
        <v/>
      </c>
    </row>
    <row r="3300" spans="11:30" x14ac:dyDescent="0.3">
      <c r="K3300" s="1" t="str">
        <f ca="1">IF(A3300="","",IF(OR(L3300="ENTREGADA",L3300="RETORNADA",L3300="ENTREGA DIGITAL"),0,MAX(0,5-NETWORKDAYS(H3300+1,TODAY()))))</f>
        <v/>
      </c>
      <c r="L3300" t="str">
        <f>IF(A3300="","",IFERROR(LOOKUP(2,1/(#REF!=Z3300),#REF!),Y3300))</f>
        <v/>
      </c>
      <c r="Z3300" t="str">
        <f>IF(A3300="","",TEXT(A3300,"0")&amp;"|"&amp;TEXT(H3300,"0"))</f>
        <v/>
      </c>
      <c r="AA3300" t="str">
        <f>IF(Z3300="","",IFERROR(LOOKUP(2,1/(#REF!=Z3300),#REF!),""))</f>
        <v/>
      </c>
      <c r="AB3300" t="str">
        <f>IF(Z3300="","",IFERROR(LOOKUP(2,1/(#REF!=Z3300),#REF!),""))</f>
        <v/>
      </c>
      <c r="AC3300" t="str">
        <f>IF(Z3300="","",COUNTIF(#REF!,Z3300))</f>
        <v/>
      </c>
      <c r="AD3300" t="str">
        <f>IF(A3300="","",IF(AC3300&gt;1,"REVISAR DUPLICADO",IF(AA3300&lt;&gt;"","ACTUALIZADO POR EYR","SIN REPORTE EYR")))</f>
        <v/>
      </c>
    </row>
    <row r="3301" spans="11:30" x14ac:dyDescent="0.3">
      <c r="K3301" s="1" t="str">
        <f ca="1">IF(A3301="","",IF(OR(L3301="ENTREGADA",L3301="RETORNADA",L3301="ENTREGA DIGITAL"),0,MAX(0,5-NETWORKDAYS(H3301+1,TODAY()))))</f>
        <v/>
      </c>
      <c r="L3301" t="str">
        <f>IF(A3301="","",IFERROR(LOOKUP(2,1/(#REF!=Z3301),#REF!),Y3301))</f>
        <v/>
      </c>
      <c r="Z3301" t="str">
        <f>IF(A3301="","",TEXT(A3301,"0")&amp;"|"&amp;TEXT(H3301,"0"))</f>
        <v/>
      </c>
      <c r="AA3301" t="str">
        <f>IF(Z3301="","",IFERROR(LOOKUP(2,1/(#REF!=Z3301),#REF!),""))</f>
        <v/>
      </c>
      <c r="AB3301" t="str">
        <f>IF(Z3301="","",IFERROR(LOOKUP(2,1/(#REF!=Z3301),#REF!),""))</f>
        <v/>
      </c>
      <c r="AC3301" t="str">
        <f>IF(Z3301="","",COUNTIF(#REF!,Z3301))</f>
        <v/>
      </c>
      <c r="AD3301" t="str">
        <f>IF(A3301="","",IF(AC3301&gt;1,"REVISAR DUPLICADO",IF(AA3301&lt;&gt;"","ACTUALIZADO POR EYR","SIN REPORTE EYR")))</f>
        <v/>
      </c>
    </row>
    <row r="3302" spans="11:30" x14ac:dyDescent="0.3">
      <c r="K3302" s="1" t="str">
        <f ca="1">IF(A3302="","",IF(OR(L3302="ENTREGADA",L3302="RETORNADA",L3302="ENTREGA DIGITAL"),0,MAX(0,5-NETWORKDAYS(H3302+1,TODAY()))))</f>
        <v/>
      </c>
      <c r="L3302" t="str">
        <f>IF(A3302="","",IFERROR(LOOKUP(2,1/(#REF!=Z3302),#REF!),Y3302))</f>
        <v/>
      </c>
      <c r="Z3302" t="str">
        <f>IF(A3302="","",TEXT(A3302,"0")&amp;"|"&amp;TEXT(H3302,"0"))</f>
        <v/>
      </c>
      <c r="AA3302" t="str">
        <f>IF(Z3302="","",IFERROR(LOOKUP(2,1/(#REF!=Z3302),#REF!),""))</f>
        <v/>
      </c>
      <c r="AB3302" t="str">
        <f>IF(Z3302="","",IFERROR(LOOKUP(2,1/(#REF!=Z3302),#REF!),""))</f>
        <v/>
      </c>
      <c r="AC3302" t="str">
        <f>IF(Z3302="","",COUNTIF(#REF!,Z3302))</f>
        <v/>
      </c>
      <c r="AD3302" t="str">
        <f>IF(A3302="","",IF(AC3302&gt;1,"REVISAR DUPLICADO",IF(AA3302&lt;&gt;"","ACTUALIZADO POR EYR","SIN REPORTE EYR")))</f>
        <v/>
      </c>
    </row>
    <row r="3303" spans="11:30" x14ac:dyDescent="0.3">
      <c r="K3303" s="1" t="str">
        <f ca="1">IF(A3303="","",IF(OR(L3303="ENTREGADA",L3303="RETORNADA",L3303="ENTREGA DIGITAL"),0,MAX(0,5-NETWORKDAYS(H3303+1,TODAY()))))</f>
        <v/>
      </c>
      <c r="L3303" t="str">
        <f>IF(A3303="","",IFERROR(LOOKUP(2,1/(#REF!=Z3303),#REF!),Y3303))</f>
        <v/>
      </c>
      <c r="Z3303" t="str">
        <f>IF(A3303="","",TEXT(A3303,"0")&amp;"|"&amp;TEXT(H3303,"0"))</f>
        <v/>
      </c>
      <c r="AA3303" t="str">
        <f>IF(Z3303="","",IFERROR(LOOKUP(2,1/(#REF!=Z3303),#REF!),""))</f>
        <v/>
      </c>
      <c r="AB3303" t="str">
        <f>IF(Z3303="","",IFERROR(LOOKUP(2,1/(#REF!=Z3303),#REF!),""))</f>
        <v/>
      </c>
      <c r="AC3303" t="str">
        <f>IF(Z3303="","",COUNTIF(#REF!,Z3303))</f>
        <v/>
      </c>
      <c r="AD3303" t="str">
        <f>IF(A3303="","",IF(AC3303&gt;1,"REVISAR DUPLICADO",IF(AA3303&lt;&gt;"","ACTUALIZADO POR EYR","SIN REPORTE EYR")))</f>
        <v/>
      </c>
    </row>
    <row r="3304" spans="11:30" x14ac:dyDescent="0.3">
      <c r="K3304" s="1" t="str">
        <f ca="1">IF(A3304="","",IF(OR(L3304="ENTREGADA",L3304="RETORNADA",L3304="ENTREGA DIGITAL"),0,MAX(0,5-NETWORKDAYS(H3304+1,TODAY()))))</f>
        <v/>
      </c>
      <c r="L3304" t="str">
        <f>IF(A3304="","",IFERROR(LOOKUP(2,1/(#REF!=Z3304),#REF!),Y3304))</f>
        <v/>
      </c>
      <c r="Z3304" t="str">
        <f>IF(A3304="","",TEXT(A3304,"0")&amp;"|"&amp;TEXT(H3304,"0"))</f>
        <v/>
      </c>
      <c r="AA3304" t="str">
        <f>IF(Z3304="","",IFERROR(LOOKUP(2,1/(#REF!=Z3304),#REF!),""))</f>
        <v/>
      </c>
      <c r="AB3304" t="str">
        <f>IF(Z3304="","",IFERROR(LOOKUP(2,1/(#REF!=Z3304),#REF!),""))</f>
        <v/>
      </c>
      <c r="AC3304" t="str">
        <f>IF(Z3304="","",COUNTIF(#REF!,Z3304))</f>
        <v/>
      </c>
      <c r="AD3304" t="str">
        <f>IF(A3304="","",IF(AC3304&gt;1,"REVISAR DUPLICADO",IF(AA3304&lt;&gt;"","ACTUALIZADO POR EYR","SIN REPORTE EYR")))</f>
        <v/>
      </c>
    </row>
    <row r="3305" spans="11:30" x14ac:dyDescent="0.3">
      <c r="K3305" s="1" t="str">
        <f ca="1">IF(A3305="","",IF(OR(L3305="ENTREGADA",L3305="RETORNADA",L3305="ENTREGA DIGITAL"),0,MAX(0,5-NETWORKDAYS(H3305+1,TODAY()))))</f>
        <v/>
      </c>
      <c r="L3305" t="str">
        <f>IF(A3305="","",IFERROR(LOOKUP(2,1/(#REF!=Z3305),#REF!),Y3305))</f>
        <v/>
      </c>
      <c r="Z3305" t="str">
        <f>IF(A3305="","",TEXT(A3305,"0")&amp;"|"&amp;TEXT(H3305,"0"))</f>
        <v/>
      </c>
      <c r="AA3305" t="str">
        <f>IF(Z3305="","",IFERROR(LOOKUP(2,1/(#REF!=Z3305),#REF!),""))</f>
        <v/>
      </c>
      <c r="AB3305" t="str">
        <f>IF(Z3305="","",IFERROR(LOOKUP(2,1/(#REF!=Z3305),#REF!),""))</f>
        <v/>
      </c>
      <c r="AC3305" t="str">
        <f>IF(Z3305="","",COUNTIF(#REF!,Z3305))</f>
        <v/>
      </c>
      <c r="AD3305" t="str">
        <f>IF(A3305="","",IF(AC3305&gt;1,"REVISAR DUPLICADO",IF(AA3305&lt;&gt;"","ACTUALIZADO POR EYR","SIN REPORTE EYR")))</f>
        <v/>
      </c>
    </row>
    <row r="3306" spans="11:30" x14ac:dyDescent="0.3">
      <c r="K3306" s="1" t="str">
        <f ca="1">IF(A3306="","",IF(OR(L3306="ENTREGADA",L3306="RETORNADA",L3306="ENTREGA DIGITAL"),0,MAX(0,5-NETWORKDAYS(H3306+1,TODAY()))))</f>
        <v/>
      </c>
      <c r="L3306" t="str">
        <f>IF(A3306="","",IFERROR(LOOKUP(2,1/(#REF!=Z3306),#REF!),Y3306))</f>
        <v/>
      </c>
      <c r="Z3306" t="str">
        <f>IF(A3306="","",TEXT(A3306,"0")&amp;"|"&amp;TEXT(H3306,"0"))</f>
        <v/>
      </c>
      <c r="AA3306" t="str">
        <f>IF(Z3306="","",IFERROR(LOOKUP(2,1/(#REF!=Z3306),#REF!),""))</f>
        <v/>
      </c>
      <c r="AB3306" t="str">
        <f>IF(Z3306="","",IFERROR(LOOKUP(2,1/(#REF!=Z3306),#REF!),""))</f>
        <v/>
      </c>
      <c r="AC3306" t="str">
        <f>IF(Z3306="","",COUNTIF(#REF!,Z3306))</f>
        <v/>
      </c>
      <c r="AD3306" t="str">
        <f>IF(A3306="","",IF(AC3306&gt;1,"REVISAR DUPLICADO",IF(AA3306&lt;&gt;"","ACTUALIZADO POR EYR","SIN REPORTE EYR")))</f>
        <v/>
      </c>
    </row>
    <row r="3307" spans="11:30" x14ac:dyDescent="0.3">
      <c r="K3307" s="1" t="str">
        <f ca="1">IF(A3307="","",IF(OR(L3307="ENTREGADA",L3307="RETORNADA",L3307="ENTREGA DIGITAL"),0,MAX(0,5-NETWORKDAYS(H3307+1,TODAY()))))</f>
        <v/>
      </c>
      <c r="L3307" t="str">
        <f>IF(A3307="","",IFERROR(LOOKUP(2,1/(#REF!=Z3307),#REF!),Y3307))</f>
        <v/>
      </c>
      <c r="Z3307" t="str">
        <f>IF(A3307="","",TEXT(A3307,"0")&amp;"|"&amp;TEXT(H3307,"0"))</f>
        <v/>
      </c>
      <c r="AA3307" t="str">
        <f>IF(Z3307="","",IFERROR(LOOKUP(2,1/(#REF!=Z3307),#REF!),""))</f>
        <v/>
      </c>
      <c r="AB3307" t="str">
        <f>IF(Z3307="","",IFERROR(LOOKUP(2,1/(#REF!=Z3307),#REF!),""))</f>
        <v/>
      </c>
      <c r="AC3307" t="str">
        <f>IF(Z3307="","",COUNTIF(#REF!,Z3307))</f>
        <v/>
      </c>
      <c r="AD3307" t="str">
        <f>IF(A3307="","",IF(AC3307&gt;1,"REVISAR DUPLICADO",IF(AA3307&lt;&gt;"","ACTUALIZADO POR EYR","SIN REPORTE EYR")))</f>
        <v/>
      </c>
    </row>
    <row r="3308" spans="11:30" x14ac:dyDescent="0.3">
      <c r="K3308" s="1" t="str">
        <f ca="1">IF(A3308="","",IF(OR(L3308="ENTREGADA",L3308="RETORNADA",L3308="ENTREGA DIGITAL"),0,MAX(0,5-NETWORKDAYS(H3308+1,TODAY()))))</f>
        <v/>
      </c>
      <c r="L3308" t="str">
        <f>IF(A3308="","",IFERROR(LOOKUP(2,1/(#REF!=Z3308),#REF!),Y3308))</f>
        <v/>
      </c>
      <c r="Z3308" t="str">
        <f>IF(A3308="","",TEXT(A3308,"0")&amp;"|"&amp;TEXT(H3308,"0"))</f>
        <v/>
      </c>
      <c r="AA3308" t="str">
        <f>IF(Z3308="","",IFERROR(LOOKUP(2,1/(#REF!=Z3308),#REF!),""))</f>
        <v/>
      </c>
      <c r="AB3308" t="str">
        <f>IF(Z3308="","",IFERROR(LOOKUP(2,1/(#REF!=Z3308),#REF!),""))</f>
        <v/>
      </c>
      <c r="AC3308" t="str">
        <f>IF(Z3308="","",COUNTIF(#REF!,Z3308))</f>
        <v/>
      </c>
      <c r="AD3308" t="str">
        <f>IF(A3308="","",IF(AC3308&gt;1,"REVISAR DUPLICADO",IF(AA3308&lt;&gt;"","ACTUALIZADO POR EYR","SIN REPORTE EYR")))</f>
        <v/>
      </c>
    </row>
    <row r="3309" spans="11:30" x14ac:dyDescent="0.3">
      <c r="K3309" s="1" t="str">
        <f ca="1">IF(A3309="","",IF(OR(L3309="ENTREGADA",L3309="RETORNADA",L3309="ENTREGA DIGITAL"),0,MAX(0,5-NETWORKDAYS(H3309+1,TODAY()))))</f>
        <v/>
      </c>
      <c r="L3309" t="str">
        <f>IF(A3309="","",IFERROR(LOOKUP(2,1/(#REF!=Z3309),#REF!),Y3309))</f>
        <v/>
      </c>
      <c r="Z3309" t="str">
        <f>IF(A3309="","",TEXT(A3309,"0")&amp;"|"&amp;TEXT(H3309,"0"))</f>
        <v/>
      </c>
      <c r="AA3309" t="str">
        <f>IF(Z3309="","",IFERROR(LOOKUP(2,1/(#REF!=Z3309),#REF!),""))</f>
        <v/>
      </c>
      <c r="AB3309" t="str">
        <f>IF(Z3309="","",IFERROR(LOOKUP(2,1/(#REF!=Z3309),#REF!),""))</f>
        <v/>
      </c>
      <c r="AC3309" t="str">
        <f>IF(Z3309="","",COUNTIF(#REF!,Z3309))</f>
        <v/>
      </c>
      <c r="AD3309" t="str">
        <f>IF(A3309="","",IF(AC3309&gt;1,"REVISAR DUPLICADO",IF(AA3309&lt;&gt;"","ACTUALIZADO POR EYR","SIN REPORTE EYR")))</f>
        <v/>
      </c>
    </row>
    <row r="3310" spans="11:30" x14ac:dyDescent="0.3">
      <c r="K3310" s="1" t="str">
        <f ca="1">IF(A3310="","",IF(OR(L3310="ENTREGADA",L3310="RETORNADA",L3310="ENTREGA DIGITAL"),0,MAX(0,5-NETWORKDAYS(H3310+1,TODAY()))))</f>
        <v/>
      </c>
      <c r="L3310" t="str">
        <f>IF(A3310="","",IFERROR(LOOKUP(2,1/(#REF!=Z3310),#REF!),Y3310))</f>
        <v/>
      </c>
      <c r="Z3310" t="str">
        <f>IF(A3310="","",TEXT(A3310,"0")&amp;"|"&amp;TEXT(H3310,"0"))</f>
        <v/>
      </c>
      <c r="AA3310" t="str">
        <f>IF(Z3310="","",IFERROR(LOOKUP(2,1/(#REF!=Z3310),#REF!),""))</f>
        <v/>
      </c>
      <c r="AB3310" t="str">
        <f>IF(Z3310="","",IFERROR(LOOKUP(2,1/(#REF!=Z3310),#REF!),""))</f>
        <v/>
      </c>
      <c r="AC3310" t="str">
        <f>IF(Z3310="","",COUNTIF(#REF!,Z3310))</f>
        <v/>
      </c>
      <c r="AD3310" t="str">
        <f>IF(A3310="","",IF(AC3310&gt;1,"REVISAR DUPLICADO",IF(AA3310&lt;&gt;"","ACTUALIZADO POR EYR","SIN REPORTE EYR")))</f>
        <v/>
      </c>
    </row>
    <row r="3311" spans="11:30" x14ac:dyDescent="0.3">
      <c r="K3311" s="1" t="str">
        <f ca="1">IF(A3311="","",IF(OR(L3311="ENTREGADA",L3311="RETORNADA",L3311="ENTREGA DIGITAL"),0,MAX(0,5-NETWORKDAYS(H3311+1,TODAY()))))</f>
        <v/>
      </c>
      <c r="L3311" t="str">
        <f>IF(A3311="","",IFERROR(LOOKUP(2,1/(#REF!=Z3311),#REF!),Y3311))</f>
        <v/>
      </c>
      <c r="Z3311" t="str">
        <f>IF(A3311="","",TEXT(A3311,"0")&amp;"|"&amp;TEXT(H3311,"0"))</f>
        <v/>
      </c>
      <c r="AA3311" t="str">
        <f>IF(Z3311="","",IFERROR(LOOKUP(2,1/(#REF!=Z3311),#REF!),""))</f>
        <v/>
      </c>
      <c r="AB3311" t="str">
        <f>IF(Z3311="","",IFERROR(LOOKUP(2,1/(#REF!=Z3311),#REF!),""))</f>
        <v/>
      </c>
      <c r="AC3311" t="str">
        <f>IF(Z3311="","",COUNTIF(#REF!,Z3311))</f>
        <v/>
      </c>
      <c r="AD3311" t="str">
        <f>IF(A3311="","",IF(AC3311&gt;1,"REVISAR DUPLICADO",IF(AA3311&lt;&gt;"","ACTUALIZADO POR EYR","SIN REPORTE EYR")))</f>
        <v/>
      </c>
    </row>
    <row r="3312" spans="11:30" x14ac:dyDescent="0.3">
      <c r="K3312" s="1" t="str">
        <f ca="1">IF(A3312="","",IF(OR(L3312="ENTREGADA",L3312="RETORNADA",L3312="ENTREGA DIGITAL"),0,MAX(0,5-NETWORKDAYS(H3312+1,TODAY()))))</f>
        <v/>
      </c>
      <c r="L3312" t="str">
        <f>IF(A3312="","",IFERROR(LOOKUP(2,1/(#REF!=Z3312),#REF!),Y3312))</f>
        <v/>
      </c>
      <c r="Z3312" t="str">
        <f>IF(A3312="","",TEXT(A3312,"0")&amp;"|"&amp;TEXT(H3312,"0"))</f>
        <v/>
      </c>
      <c r="AA3312" t="str">
        <f>IF(Z3312="","",IFERROR(LOOKUP(2,1/(#REF!=Z3312),#REF!),""))</f>
        <v/>
      </c>
      <c r="AB3312" t="str">
        <f>IF(Z3312="","",IFERROR(LOOKUP(2,1/(#REF!=Z3312),#REF!),""))</f>
        <v/>
      </c>
      <c r="AC3312" t="str">
        <f>IF(Z3312="","",COUNTIF(#REF!,Z3312))</f>
        <v/>
      </c>
      <c r="AD3312" t="str">
        <f>IF(A3312="","",IF(AC3312&gt;1,"REVISAR DUPLICADO",IF(AA3312&lt;&gt;"","ACTUALIZADO POR EYR","SIN REPORTE EYR")))</f>
        <v/>
      </c>
    </row>
    <row r="3313" spans="11:30" x14ac:dyDescent="0.3">
      <c r="K3313" s="1" t="str">
        <f ca="1">IF(A3313="","",IF(OR(L3313="ENTREGADA",L3313="RETORNADA",L3313="ENTREGA DIGITAL"),0,MAX(0,5-NETWORKDAYS(H3313+1,TODAY()))))</f>
        <v/>
      </c>
      <c r="L3313" t="str">
        <f>IF(A3313="","",IFERROR(LOOKUP(2,1/(#REF!=Z3313),#REF!),Y3313))</f>
        <v/>
      </c>
      <c r="Z3313" t="str">
        <f>IF(A3313="","",TEXT(A3313,"0")&amp;"|"&amp;TEXT(H3313,"0"))</f>
        <v/>
      </c>
      <c r="AA3313" t="str">
        <f>IF(Z3313="","",IFERROR(LOOKUP(2,1/(#REF!=Z3313),#REF!),""))</f>
        <v/>
      </c>
      <c r="AB3313" t="str">
        <f>IF(Z3313="","",IFERROR(LOOKUP(2,1/(#REF!=Z3313),#REF!),""))</f>
        <v/>
      </c>
      <c r="AC3313" t="str">
        <f>IF(Z3313="","",COUNTIF(#REF!,Z3313))</f>
        <v/>
      </c>
      <c r="AD3313" t="str">
        <f>IF(A3313="","",IF(AC3313&gt;1,"REVISAR DUPLICADO",IF(AA3313&lt;&gt;"","ACTUALIZADO POR EYR","SIN REPORTE EYR")))</f>
        <v/>
      </c>
    </row>
    <row r="3314" spans="11:30" x14ac:dyDescent="0.3">
      <c r="K3314" s="1" t="str">
        <f ca="1">IF(A3314="","",IF(OR(L3314="ENTREGADA",L3314="RETORNADA",L3314="ENTREGA DIGITAL"),0,MAX(0,5-NETWORKDAYS(H3314+1,TODAY()))))</f>
        <v/>
      </c>
      <c r="L3314" t="str">
        <f>IF(A3314="","",IFERROR(LOOKUP(2,1/(#REF!=Z3314),#REF!),Y3314))</f>
        <v/>
      </c>
      <c r="Z3314" t="str">
        <f>IF(A3314="","",TEXT(A3314,"0")&amp;"|"&amp;TEXT(H3314,"0"))</f>
        <v/>
      </c>
      <c r="AA3314" t="str">
        <f>IF(Z3314="","",IFERROR(LOOKUP(2,1/(#REF!=Z3314),#REF!),""))</f>
        <v/>
      </c>
      <c r="AB3314" t="str">
        <f>IF(Z3314="","",IFERROR(LOOKUP(2,1/(#REF!=Z3314),#REF!),""))</f>
        <v/>
      </c>
      <c r="AC3314" t="str">
        <f>IF(Z3314="","",COUNTIF(#REF!,Z3314))</f>
        <v/>
      </c>
      <c r="AD3314" t="str">
        <f>IF(A3314="","",IF(AC3314&gt;1,"REVISAR DUPLICADO",IF(AA3314&lt;&gt;"","ACTUALIZADO POR EYR","SIN REPORTE EYR")))</f>
        <v/>
      </c>
    </row>
    <row r="3315" spans="11:30" x14ac:dyDescent="0.3">
      <c r="K3315" s="1" t="str">
        <f ca="1">IF(A3315="","",IF(OR(L3315="ENTREGADA",L3315="RETORNADA",L3315="ENTREGA DIGITAL"),0,MAX(0,5-NETWORKDAYS(H3315+1,TODAY()))))</f>
        <v/>
      </c>
      <c r="L3315" t="str">
        <f>IF(A3315="","",IFERROR(LOOKUP(2,1/(#REF!=Z3315),#REF!),Y3315))</f>
        <v/>
      </c>
      <c r="Z3315" t="str">
        <f>IF(A3315="","",TEXT(A3315,"0")&amp;"|"&amp;TEXT(H3315,"0"))</f>
        <v/>
      </c>
      <c r="AA3315" t="str">
        <f>IF(Z3315="","",IFERROR(LOOKUP(2,1/(#REF!=Z3315),#REF!),""))</f>
        <v/>
      </c>
      <c r="AB3315" t="str">
        <f>IF(Z3315="","",IFERROR(LOOKUP(2,1/(#REF!=Z3315),#REF!),""))</f>
        <v/>
      </c>
      <c r="AC3315" t="str">
        <f>IF(Z3315="","",COUNTIF(#REF!,Z3315))</f>
        <v/>
      </c>
      <c r="AD3315" t="str">
        <f>IF(A3315="","",IF(AC3315&gt;1,"REVISAR DUPLICADO",IF(AA3315&lt;&gt;"","ACTUALIZADO POR EYR","SIN REPORTE EYR")))</f>
        <v/>
      </c>
    </row>
    <row r="3316" spans="11:30" x14ac:dyDescent="0.3">
      <c r="K3316" s="1" t="str">
        <f ca="1">IF(A3316="","",IF(OR(L3316="ENTREGADA",L3316="RETORNADA",L3316="ENTREGA DIGITAL"),0,MAX(0,5-NETWORKDAYS(H3316+1,TODAY()))))</f>
        <v/>
      </c>
      <c r="L3316" t="str">
        <f>IF(A3316="","",IFERROR(LOOKUP(2,1/(#REF!=Z3316),#REF!),Y3316))</f>
        <v/>
      </c>
      <c r="Z3316" t="str">
        <f>IF(A3316="","",TEXT(A3316,"0")&amp;"|"&amp;TEXT(H3316,"0"))</f>
        <v/>
      </c>
      <c r="AA3316" t="str">
        <f>IF(Z3316="","",IFERROR(LOOKUP(2,1/(#REF!=Z3316),#REF!),""))</f>
        <v/>
      </c>
      <c r="AB3316" t="str">
        <f>IF(Z3316="","",IFERROR(LOOKUP(2,1/(#REF!=Z3316),#REF!),""))</f>
        <v/>
      </c>
      <c r="AC3316" t="str">
        <f>IF(Z3316="","",COUNTIF(#REF!,Z3316))</f>
        <v/>
      </c>
      <c r="AD3316" t="str">
        <f>IF(A3316="","",IF(AC3316&gt;1,"REVISAR DUPLICADO",IF(AA3316&lt;&gt;"","ACTUALIZADO POR EYR","SIN REPORTE EYR")))</f>
        <v/>
      </c>
    </row>
    <row r="3317" spans="11:30" x14ac:dyDescent="0.3">
      <c r="K3317" s="1" t="str">
        <f ca="1">IF(A3317="","",IF(OR(L3317="ENTREGADA",L3317="RETORNADA",L3317="ENTREGA DIGITAL"),0,MAX(0,5-NETWORKDAYS(H3317+1,TODAY()))))</f>
        <v/>
      </c>
      <c r="L3317" t="str">
        <f>IF(A3317="","",IFERROR(LOOKUP(2,1/(#REF!=Z3317),#REF!),Y3317))</f>
        <v/>
      </c>
      <c r="Z3317" t="str">
        <f>IF(A3317="","",TEXT(A3317,"0")&amp;"|"&amp;TEXT(H3317,"0"))</f>
        <v/>
      </c>
      <c r="AA3317" t="str">
        <f>IF(Z3317="","",IFERROR(LOOKUP(2,1/(#REF!=Z3317),#REF!),""))</f>
        <v/>
      </c>
      <c r="AB3317" t="str">
        <f>IF(Z3317="","",IFERROR(LOOKUP(2,1/(#REF!=Z3317),#REF!),""))</f>
        <v/>
      </c>
      <c r="AC3317" t="str">
        <f>IF(Z3317="","",COUNTIF(#REF!,Z3317))</f>
        <v/>
      </c>
      <c r="AD3317" t="str">
        <f>IF(A3317="","",IF(AC3317&gt;1,"REVISAR DUPLICADO",IF(AA3317&lt;&gt;"","ACTUALIZADO POR EYR","SIN REPORTE EYR")))</f>
        <v/>
      </c>
    </row>
    <row r="3318" spans="11:30" x14ac:dyDescent="0.3">
      <c r="K3318" s="1" t="str">
        <f ca="1">IF(A3318="","",IF(OR(L3318="ENTREGADA",L3318="RETORNADA",L3318="ENTREGA DIGITAL"),0,MAX(0,5-NETWORKDAYS(H3318+1,TODAY()))))</f>
        <v/>
      </c>
      <c r="L3318" t="str">
        <f>IF(A3318="","",IFERROR(LOOKUP(2,1/(#REF!=Z3318),#REF!),Y3318))</f>
        <v/>
      </c>
      <c r="Z3318" t="str">
        <f>IF(A3318="","",TEXT(A3318,"0")&amp;"|"&amp;TEXT(H3318,"0"))</f>
        <v/>
      </c>
      <c r="AA3318" t="str">
        <f>IF(Z3318="","",IFERROR(LOOKUP(2,1/(#REF!=Z3318),#REF!),""))</f>
        <v/>
      </c>
      <c r="AB3318" t="str">
        <f>IF(Z3318="","",IFERROR(LOOKUP(2,1/(#REF!=Z3318),#REF!),""))</f>
        <v/>
      </c>
      <c r="AC3318" t="str">
        <f>IF(Z3318="","",COUNTIF(#REF!,Z3318))</f>
        <v/>
      </c>
      <c r="AD3318" t="str">
        <f>IF(A3318="","",IF(AC3318&gt;1,"REVISAR DUPLICADO",IF(AA3318&lt;&gt;"","ACTUALIZADO POR EYR","SIN REPORTE EYR")))</f>
        <v/>
      </c>
    </row>
    <row r="3319" spans="11:30" x14ac:dyDescent="0.3">
      <c r="K3319" s="1" t="str">
        <f ca="1">IF(A3319="","",IF(OR(L3319="ENTREGADA",L3319="RETORNADA",L3319="ENTREGA DIGITAL"),0,MAX(0,5-NETWORKDAYS(H3319+1,TODAY()))))</f>
        <v/>
      </c>
      <c r="L3319" t="str">
        <f>IF(A3319="","",IFERROR(LOOKUP(2,1/(#REF!=Z3319),#REF!),Y3319))</f>
        <v/>
      </c>
      <c r="Z3319" t="str">
        <f>IF(A3319="","",TEXT(A3319,"0")&amp;"|"&amp;TEXT(H3319,"0"))</f>
        <v/>
      </c>
      <c r="AA3319" t="str">
        <f>IF(Z3319="","",IFERROR(LOOKUP(2,1/(#REF!=Z3319),#REF!),""))</f>
        <v/>
      </c>
      <c r="AB3319" t="str">
        <f>IF(Z3319="","",IFERROR(LOOKUP(2,1/(#REF!=Z3319),#REF!),""))</f>
        <v/>
      </c>
      <c r="AC3319" t="str">
        <f>IF(Z3319="","",COUNTIF(#REF!,Z3319))</f>
        <v/>
      </c>
      <c r="AD3319" t="str">
        <f>IF(A3319="","",IF(AC3319&gt;1,"REVISAR DUPLICADO",IF(AA3319&lt;&gt;"","ACTUALIZADO POR EYR","SIN REPORTE EYR")))</f>
        <v/>
      </c>
    </row>
    <row r="3320" spans="11:30" x14ac:dyDescent="0.3">
      <c r="K3320" s="1" t="str">
        <f ca="1">IF(A3320="","",IF(OR(L3320="ENTREGADA",L3320="RETORNADA",L3320="ENTREGA DIGITAL"),0,MAX(0,5-NETWORKDAYS(H3320+1,TODAY()))))</f>
        <v/>
      </c>
      <c r="L3320" t="str">
        <f>IF(A3320="","",IFERROR(LOOKUP(2,1/(#REF!=Z3320),#REF!),Y3320))</f>
        <v/>
      </c>
      <c r="Z3320" t="str">
        <f>IF(A3320="","",TEXT(A3320,"0")&amp;"|"&amp;TEXT(H3320,"0"))</f>
        <v/>
      </c>
      <c r="AA3320" t="str">
        <f>IF(Z3320="","",IFERROR(LOOKUP(2,1/(#REF!=Z3320),#REF!),""))</f>
        <v/>
      </c>
      <c r="AB3320" t="str">
        <f>IF(Z3320="","",IFERROR(LOOKUP(2,1/(#REF!=Z3320),#REF!),""))</f>
        <v/>
      </c>
      <c r="AC3320" t="str">
        <f>IF(Z3320="","",COUNTIF(#REF!,Z3320))</f>
        <v/>
      </c>
      <c r="AD3320" t="str">
        <f>IF(A3320="","",IF(AC3320&gt;1,"REVISAR DUPLICADO",IF(AA3320&lt;&gt;"","ACTUALIZADO POR EYR","SIN REPORTE EYR")))</f>
        <v/>
      </c>
    </row>
    <row r="3321" spans="11:30" x14ac:dyDescent="0.3">
      <c r="K3321" s="1" t="str">
        <f ca="1">IF(A3321="","",IF(OR(L3321="ENTREGADA",L3321="RETORNADA",L3321="ENTREGA DIGITAL"),0,MAX(0,5-NETWORKDAYS(H3321+1,TODAY()))))</f>
        <v/>
      </c>
      <c r="L3321" t="str">
        <f>IF(A3321="","",IFERROR(LOOKUP(2,1/(#REF!=Z3321),#REF!),Y3321))</f>
        <v/>
      </c>
      <c r="Z3321" t="str">
        <f>IF(A3321="","",TEXT(A3321,"0")&amp;"|"&amp;TEXT(H3321,"0"))</f>
        <v/>
      </c>
      <c r="AA3321" t="str">
        <f>IF(Z3321="","",IFERROR(LOOKUP(2,1/(#REF!=Z3321),#REF!),""))</f>
        <v/>
      </c>
      <c r="AB3321" t="str">
        <f>IF(Z3321="","",IFERROR(LOOKUP(2,1/(#REF!=Z3321),#REF!),""))</f>
        <v/>
      </c>
      <c r="AC3321" t="str">
        <f>IF(Z3321="","",COUNTIF(#REF!,Z3321))</f>
        <v/>
      </c>
      <c r="AD3321" t="str">
        <f>IF(A3321="","",IF(AC3321&gt;1,"REVISAR DUPLICADO",IF(AA3321&lt;&gt;"","ACTUALIZADO POR EYR","SIN REPORTE EYR")))</f>
        <v/>
      </c>
    </row>
    <row r="3322" spans="11:30" x14ac:dyDescent="0.3">
      <c r="K3322" s="1" t="str">
        <f ca="1">IF(A3322="","",IF(OR(L3322="ENTREGADA",L3322="RETORNADA",L3322="ENTREGA DIGITAL"),0,MAX(0,5-NETWORKDAYS(H3322+1,TODAY()))))</f>
        <v/>
      </c>
      <c r="L3322" t="str">
        <f>IF(A3322="","",IFERROR(LOOKUP(2,1/(#REF!=Z3322),#REF!),Y3322))</f>
        <v/>
      </c>
      <c r="Z3322" t="str">
        <f>IF(A3322="","",TEXT(A3322,"0")&amp;"|"&amp;TEXT(H3322,"0"))</f>
        <v/>
      </c>
      <c r="AA3322" t="str">
        <f>IF(Z3322="","",IFERROR(LOOKUP(2,1/(#REF!=Z3322),#REF!),""))</f>
        <v/>
      </c>
      <c r="AB3322" t="str">
        <f>IF(Z3322="","",IFERROR(LOOKUP(2,1/(#REF!=Z3322),#REF!),""))</f>
        <v/>
      </c>
      <c r="AC3322" t="str">
        <f>IF(Z3322="","",COUNTIF(#REF!,Z3322))</f>
        <v/>
      </c>
      <c r="AD3322" t="str">
        <f>IF(A3322="","",IF(AC3322&gt;1,"REVISAR DUPLICADO",IF(AA3322&lt;&gt;"","ACTUALIZADO POR EYR","SIN REPORTE EYR")))</f>
        <v/>
      </c>
    </row>
    <row r="3323" spans="11:30" x14ac:dyDescent="0.3">
      <c r="K3323" s="1" t="str">
        <f ca="1">IF(A3323="","",IF(OR(L3323="ENTREGADA",L3323="RETORNADA",L3323="ENTREGA DIGITAL"),0,MAX(0,5-NETWORKDAYS(H3323+1,TODAY()))))</f>
        <v/>
      </c>
      <c r="L3323" t="str">
        <f>IF(A3323="","",IFERROR(LOOKUP(2,1/(#REF!=Z3323),#REF!),Y3323))</f>
        <v/>
      </c>
      <c r="Z3323" t="str">
        <f>IF(A3323="","",TEXT(A3323,"0")&amp;"|"&amp;TEXT(H3323,"0"))</f>
        <v/>
      </c>
      <c r="AA3323" t="str">
        <f>IF(Z3323="","",IFERROR(LOOKUP(2,1/(#REF!=Z3323),#REF!),""))</f>
        <v/>
      </c>
      <c r="AB3323" t="str">
        <f>IF(Z3323="","",IFERROR(LOOKUP(2,1/(#REF!=Z3323),#REF!),""))</f>
        <v/>
      </c>
      <c r="AC3323" t="str">
        <f>IF(Z3323="","",COUNTIF(#REF!,Z3323))</f>
        <v/>
      </c>
      <c r="AD3323" t="str">
        <f>IF(A3323="","",IF(AC3323&gt;1,"REVISAR DUPLICADO",IF(AA3323&lt;&gt;"","ACTUALIZADO POR EYR","SIN REPORTE EYR")))</f>
        <v/>
      </c>
    </row>
    <row r="3324" spans="11:30" x14ac:dyDescent="0.3">
      <c r="K3324" s="1" t="str">
        <f ca="1">IF(A3324="","",IF(OR(L3324="ENTREGADA",L3324="RETORNADA",L3324="ENTREGA DIGITAL"),0,MAX(0,5-NETWORKDAYS(H3324+1,TODAY()))))</f>
        <v/>
      </c>
      <c r="L3324" t="str">
        <f>IF(A3324="","",IFERROR(LOOKUP(2,1/(#REF!=Z3324),#REF!),Y3324))</f>
        <v/>
      </c>
      <c r="Z3324" t="str">
        <f>IF(A3324="","",TEXT(A3324,"0")&amp;"|"&amp;TEXT(H3324,"0"))</f>
        <v/>
      </c>
      <c r="AA3324" t="str">
        <f>IF(Z3324="","",IFERROR(LOOKUP(2,1/(#REF!=Z3324),#REF!),""))</f>
        <v/>
      </c>
      <c r="AB3324" t="str">
        <f>IF(Z3324="","",IFERROR(LOOKUP(2,1/(#REF!=Z3324),#REF!),""))</f>
        <v/>
      </c>
      <c r="AC3324" t="str">
        <f>IF(Z3324="","",COUNTIF(#REF!,Z3324))</f>
        <v/>
      </c>
      <c r="AD3324" t="str">
        <f>IF(A3324="","",IF(AC3324&gt;1,"REVISAR DUPLICADO",IF(AA3324&lt;&gt;"","ACTUALIZADO POR EYR","SIN REPORTE EYR")))</f>
        <v/>
      </c>
    </row>
    <row r="3325" spans="11:30" x14ac:dyDescent="0.3">
      <c r="K3325" s="1" t="str">
        <f ca="1">IF(A3325="","",IF(OR(L3325="ENTREGADA",L3325="RETORNADA",L3325="ENTREGA DIGITAL"),0,MAX(0,5-NETWORKDAYS(H3325+1,TODAY()))))</f>
        <v/>
      </c>
      <c r="L3325" t="str">
        <f>IF(A3325="","",IFERROR(LOOKUP(2,1/(#REF!=Z3325),#REF!),Y3325))</f>
        <v/>
      </c>
      <c r="Z3325" t="str">
        <f>IF(A3325="","",TEXT(A3325,"0")&amp;"|"&amp;TEXT(H3325,"0"))</f>
        <v/>
      </c>
      <c r="AA3325" t="str">
        <f>IF(Z3325="","",IFERROR(LOOKUP(2,1/(#REF!=Z3325),#REF!),""))</f>
        <v/>
      </c>
      <c r="AB3325" t="str">
        <f>IF(Z3325="","",IFERROR(LOOKUP(2,1/(#REF!=Z3325),#REF!),""))</f>
        <v/>
      </c>
      <c r="AC3325" t="str">
        <f>IF(Z3325="","",COUNTIF(#REF!,Z3325))</f>
        <v/>
      </c>
      <c r="AD3325" t="str">
        <f>IF(A3325="","",IF(AC3325&gt;1,"REVISAR DUPLICADO",IF(AA3325&lt;&gt;"","ACTUALIZADO POR EYR","SIN REPORTE EYR")))</f>
        <v/>
      </c>
    </row>
    <row r="3326" spans="11:30" x14ac:dyDescent="0.3">
      <c r="K3326" s="1" t="str">
        <f ca="1">IF(A3326="","",IF(OR(L3326="ENTREGADA",L3326="RETORNADA",L3326="ENTREGA DIGITAL"),0,MAX(0,5-NETWORKDAYS(H3326+1,TODAY()))))</f>
        <v/>
      </c>
      <c r="L3326" t="str">
        <f>IF(A3326="","",IFERROR(LOOKUP(2,1/(#REF!=Z3326),#REF!),Y3326))</f>
        <v/>
      </c>
      <c r="Z3326" t="str">
        <f>IF(A3326="","",TEXT(A3326,"0")&amp;"|"&amp;TEXT(H3326,"0"))</f>
        <v/>
      </c>
      <c r="AA3326" t="str">
        <f>IF(Z3326="","",IFERROR(LOOKUP(2,1/(#REF!=Z3326),#REF!),""))</f>
        <v/>
      </c>
      <c r="AB3326" t="str">
        <f>IF(Z3326="","",IFERROR(LOOKUP(2,1/(#REF!=Z3326),#REF!),""))</f>
        <v/>
      </c>
      <c r="AC3326" t="str">
        <f>IF(Z3326="","",COUNTIF(#REF!,Z3326))</f>
        <v/>
      </c>
      <c r="AD3326" t="str">
        <f>IF(A3326="","",IF(AC3326&gt;1,"REVISAR DUPLICADO",IF(AA3326&lt;&gt;"","ACTUALIZADO POR EYR","SIN REPORTE EYR")))</f>
        <v/>
      </c>
    </row>
    <row r="3327" spans="11:30" x14ac:dyDescent="0.3">
      <c r="K3327" s="1" t="str">
        <f ca="1">IF(A3327="","",IF(OR(L3327="ENTREGADA",L3327="RETORNADA",L3327="ENTREGA DIGITAL"),0,MAX(0,5-NETWORKDAYS(H3327+1,TODAY()))))</f>
        <v/>
      </c>
      <c r="L3327" t="str">
        <f>IF(A3327="","",IFERROR(LOOKUP(2,1/(#REF!=Z3327),#REF!),Y3327))</f>
        <v/>
      </c>
      <c r="Z3327" t="str">
        <f>IF(A3327="","",TEXT(A3327,"0")&amp;"|"&amp;TEXT(H3327,"0"))</f>
        <v/>
      </c>
      <c r="AA3327" t="str">
        <f>IF(Z3327="","",IFERROR(LOOKUP(2,1/(#REF!=Z3327),#REF!),""))</f>
        <v/>
      </c>
      <c r="AB3327" t="str">
        <f>IF(Z3327="","",IFERROR(LOOKUP(2,1/(#REF!=Z3327),#REF!),""))</f>
        <v/>
      </c>
      <c r="AC3327" t="str">
        <f>IF(Z3327="","",COUNTIF(#REF!,Z3327))</f>
        <v/>
      </c>
      <c r="AD3327" t="str">
        <f>IF(A3327="","",IF(AC3327&gt;1,"REVISAR DUPLICADO",IF(AA3327&lt;&gt;"","ACTUALIZADO POR EYR","SIN REPORTE EYR")))</f>
        <v/>
      </c>
    </row>
    <row r="3328" spans="11:30" x14ac:dyDescent="0.3">
      <c r="K3328" s="1" t="str">
        <f ca="1">IF(A3328="","",IF(OR(L3328="ENTREGADA",L3328="RETORNADA",L3328="ENTREGA DIGITAL"),0,MAX(0,5-NETWORKDAYS(H3328+1,TODAY()))))</f>
        <v/>
      </c>
      <c r="L3328" t="str">
        <f>IF(A3328="","",IFERROR(LOOKUP(2,1/(#REF!=Z3328),#REF!),Y3328))</f>
        <v/>
      </c>
      <c r="Z3328" t="str">
        <f>IF(A3328="","",TEXT(A3328,"0")&amp;"|"&amp;TEXT(H3328,"0"))</f>
        <v/>
      </c>
      <c r="AA3328" t="str">
        <f>IF(Z3328="","",IFERROR(LOOKUP(2,1/(#REF!=Z3328),#REF!),""))</f>
        <v/>
      </c>
      <c r="AB3328" t="str">
        <f>IF(Z3328="","",IFERROR(LOOKUP(2,1/(#REF!=Z3328),#REF!),""))</f>
        <v/>
      </c>
      <c r="AC3328" t="str">
        <f>IF(Z3328="","",COUNTIF(#REF!,Z3328))</f>
        <v/>
      </c>
      <c r="AD3328" t="str">
        <f>IF(A3328="","",IF(AC3328&gt;1,"REVISAR DUPLICADO",IF(AA3328&lt;&gt;"","ACTUALIZADO POR EYR","SIN REPORTE EYR")))</f>
        <v/>
      </c>
    </row>
    <row r="3329" spans="11:30" x14ac:dyDescent="0.3">
      <c r="K3329" s="1" t="str">
        <f ca="1">IF(A3329="","",IF(OR(L3329="ENTREGADA",L3329="RETORNADA",L3329="ENTREGA DIGITAL"),0,MAX(0,5-NETWORKDAYS(H3329+1,TODAY()))))</f>
        <v/>
      </c>
      <c r="L3329" t="str">
        <f>IF(A3329="","",IFERROR(LOOKUP(2,1/(#REF!=Z3329),#REF!),Y3329))</f>
        <v/>
      </c>
      <c r="Z3329" t="str">
        <f>IF(A3329="","",TEXT(A3329,"0")&amp;"|"&amp;TEXT(H3329,"0"))</f>
        <v/>
      </c>
      <c r="AA3329" t="str">
        <f>IF(Z3329="","",IFERROR(LOOKUP(2,1/(#REF!=Z3329),#REF!),""))</f>
        <v/>
      </c>
      <c r="AB3329" t="str">
        <f>IF(Z3329="","",IFERROR(LOOKUP(2,1/(#REF!=Z3329),#REF!),""))</f>
        <v/>
      </c>
      <c r="AC3329" t="str">
        <f>IF(Z3329="","",COUNTIF(#REF!,Z3329))</f>
        <v/>
      </c>
      <c r="AD3329" t="str">
        <f>IF(A3329="","",IF(AC3329&gt;1,"REVISAR DUPLICADO",IF(AA3329&lt;&gt;"","ACTUALIZADO POR EYR","SIN REPORTE EYR")))</f>
        <v/>
      </c>
    </row>
    <row r="3330" spans="11:30" x14ac:dyDescent="0.3">
      <c r="K3330" s="1" t="str">
        <f ca="1">IF(A3330="","",IF(OR(L3330="ENTREGADA",L3330="RETORNADA",L3330="ENTREGA DIGITAL"),0,MAX(0,5-NETWORKDAYS(H3330+1,TODAY()))))</f>
        <v/>
      </c>
      <c r="L3330" t="str">
        <f>IF(A3330="","",IFERROR(LOOKUP(2,1/(#REF!=Z3330),#REF!),Y3330))</f>
        <v/>
      </c>
      <c r="Z3330" t="str">
        <f>IF(A3330="","",TEXT(A3330,"0")&amp;"|"&amp;TEXT(H3330,"0"))</f>
        <v/>
      </c>
      <c r="AA3330" t="str">
        <f>IF(Z3330="","",IFERROR(LOOKUP(2,1/(#REF!=Z3330),#REF!),""))</f>
        <v/>
      </c>
      <c r="AB3330" t="str">
        <f>IF(Z3330="","",IFERROR(LOOKUP(2,1/(#REF!=Z3330),#REF!),""))</f>
        <v/>
      </c>
      <c r="AC3330" t="str">
        <f>IF(Z3330="","",COUNTIF(#REF!,Z3330))</f>
        <v/>
      </c>
      <c r="AD3330" t="str">
        <f>IF(A3330="","",IF(AC3330&gt;1,"REVISAR DUPLICADO",IF(AA3330&lt;&gt;"","ACTUALIZADO POR EYR","SIN REPORTE EYR")))</f>
        <v/>
      </c>
    </row>
    <row r="3331" spans="11:30" x14ac:dyDescent="0.3">
      <c r="K3331" s="1" t="str">
        <f ca="1">IF(A3331="","",IF(OR(L3331="ENTREGADA",L3331="RETORNADA",L3331="ENTREGA DIGITAL"),0,MAX(0,5-NETWORKDAYS(H3331+1,TODAY()))))</f>
        <v/>
      </c>
      <c r="L3331" t="str">
        <f>IF(A3331="","",IFERROR(LOOKUP(2,1/(#REF!=Z3331),#REF!),Y3331))</f>
        <v/>
      </c>
      <c r="Z3331" t="str">
        <f>IF(A3331="","",TEXT(A3331,"0")&amp;"|"&amp;TEXT(H3331,"0"))</f>
        <v/>
      </c>
      <c r="AA3331" t="str">
        <f>IF(Z3331="","",IFERROR(LOOKUP(2,1/(#REF!=Z3331),#REF!),""))</f>
        <v/>
      </c>
      <c r="AB3331" t="str">
        <f>IF(Z3331="","",IFERROR(LOOKUP(2,1/(#REF!=Z3331),#REF!),""))</f>
        <v/>
      </c>
      <c r="AC3331" t="str">
        <f>IF(Z3331="","",COUNTIF(#REF!,Z3331))</f>
        <v/>
      </c>
      <c r="AD3331" t="str">
        <f>IF(A3331="","",IF(AC3331&gt;1,"REVISAR DUPLICADO",IF(AA3331&lt;&gt;"","ACTUALIZADO POR EYR","SIN REPORTE EYR")))</f>
        <v/>
      </c>
    </row>
    <row r="3332" spans="11:30" x14ac:dyDescent="0.3">
      <c r="K3332" s="1" t="str">
        <f ca="1">IF(A3332="","",IF(OR(L3332="ENTREGADA",L3332="RETORNADA",L3332="ENTREGA DIGITAL"),0,MAX(0,5-NETWORKDAYS(H3332+1,TODAY()))))</f>
        <v/>
      </c>
      <c r="L3332" t="str">
        <f>IF(A3332="","",IFERROR(LOOKUP(2,1/(#REF!=Z3332),#REF!),Y3332))</f>
        <v/>
      </c>
      <c r="Z3332" t="str">
        <f>IF(A3332="","",TEXT(A3332,"0")&amp;"|"&amp;TEXT(H3332,"0"))</f>
        <v/>
      </c>
      <c r="AA3332" t="str">
        <f>IF(Z3332="","",IFERROR(LOOKUP(2,1/(#REF!=Z3332),#REF!),""))</f>
        <v/>
      </c>
      <c r="AB3332" t="str">
        <f>IF(Z3332="","",IFERROR(LOOKUP(2,1/(#REF!=Z3332),#REF!),""))</f>
        <v/>
      </c>
      <c r="AC3332" t="str">
        <f>IF(Z3332="","",COUNTIF(#REF!,Z3332))</f>
        <v/>
      </c>
      <c r="AD3332" t="str">
        <f>IF(A3332="","",IF(AC3332&gt;1,"REVISAR DUPLICADO",IF(AA3332&lt;&gt;"","ACTUALIZADO POR EYR","SIN REPORTE EYR")))</f>
        <v/>
      </c>
    </row>
    <row r="3333" spans="11:30" x14ac:dyDescent="0.3">
      <c r="K3333" s="1" t="str">
        <f ca="1">IF(A3333="","",IF(OR(L3333="ENTREGADA",L3333="RETORNADA",L3333="ENTREGA DIGITAL"),0,MAX(0,5-NETWORKDAYS(H3333+1,TODAY()))))</f>
        <v/>
      </c>
      <c r="L3333" t="str">
        <f>IF(A3333="","",IFERROR(LOOKUP(2,1/(#REF!=Z3333),#REF!),Y3333))</f>
        <v/>
      </c>
      <c r="Z3333" t="str">
        <f>IF(A3333="","",TEXT(A3333,"0")&amp;"|"&amp;TEXT(H3333,"0"))</f>
        <v/>
      </c>
      <c r="AA3333" t="str">
        <f>IF(Z3333="","",IFERROR(LOOKUP(2,1/(#REF!=Z3333),#REF!),""))</f>
        <v/>
      </c>
      <c r="AB3333" t="str">
        <f>IF(Z3333="","",IFERROR(LOOKUP(2,1/(#REF!=Z3333),#REF!),""))</f>
        <v/>
      </c>
      <c r="AC3333" t="str">
        <f>IF(Z3333="","",COUNTIF(#REF!,Z3333))</f>
        <v/>
      </c>
      <c r="AD3333" t="str">
        <f>IF(A3333="","",IF(AC3333&gt;1,"REVISAR DUPLICADO",IF(AA3333&lt;&gt;"","ACTUALIZADO POR EYR","SIN REPORTE EYR")))</f>
        <v/>
      </c>
    </row>
    <row r="3334" spans="11:30" x14ac:dyDescent="0.3">
      <c r="K3334" s="1" t="str">
        <f ca="1">IF(A3334="","",IF(OR(L3334="ENTREGADA",L3334="RETORNADA",L3334="ENTREGA DIGITAL"),0,MAX(0,5-NETWORKDAYS(H3334+1,TODAY()))))</f>
        <v/>
      </c>
      <c r="L3334" t="str">
        <f>IF(A3334="","",IFERROR(LOOKUP(2,1/(#REF!=Z3334),#REF!),Y3334))</f>
        <v/>
      </c>
      <c r="Z3334" t="str">
        <f>IF(A3334="","",TEXT(A3334,"0")&amp;"|"&amp;TEXT(H3334,"0"))</f>
        <v/>
      </c>
      <c r="AA3334" t="str">
        <f>IF(Z3334="","",IFERROR(LOOKUP(2,1/(#REF!=Z3334),#REF!),""))</f>
        <v/>
      </c>
      <c r="AB3334" t="str">
        <f>IF(Z3334="","",IFERROR(LOOKUP(2,1/(#REF!=Z3334),#REF!),""))</f>
        <v/>
      </c>
      <c r="AC3334" t="str">
        <f>IF(Z3334="","",COUNTIF(#REF!,Z3334))</f>
        <v/>
      </c>
      <c r="AD3334" t="str">
        <f>IF(A3334="","",IF(AC3334&gt;1,"REVISAR DUPLICADO",IF(AA3334&lt;&gt;"","ACTUALIZADO POR EYR","SIN REPORTE EYR")))</f>
        <v/>
      </c>
    </row>
    <row r="3335" spans="11:30" x14ac:dyDescent="0.3">
      <c r="K3335" s="1" t="str">
        <f ca="1">IF(A3335="","",IF(OR(L3335="ENTREGADA",L3335="RETORNADA",L3335="ENTREGA DIGITAL"),0,MAX(0,5-NETWORKDAYS(H3335+1,TODAY()))))</f>
        <v/>
      </c>
      <c r="L3335" t="str">
        <f>IF(A3335="","",IFERROR(LOOKUP(2,1/(#REF!=Z3335),#REF!),Y3335))</f>
        <v/>
      </c>
      <c r="Z3335" t="str">
        <f>IF(A3335="","",TEXT(A3335,"0")&amp;"|"&amp;TEXT(H3335,"0"))</f>
        <v/>
      </c>
      <c r="AA3335" t="str">
        <f>IF(Z3335="","",IFERROR(LOOKUP(2,1/(#REF!=Z3335),#REF!),""))</f>
        <v/>
      </c>
      <c r="AB3335" t="str">
        <f>IF(Z3335="","",IFERROR(LOOKUP(2,1/(#REF!=Z3335),#REF!),""))</f>
        <v/>
      </c>
      <c r="AC3335" t="str">
        <f>IF(Z3335="","",COUNTIF(#REF!,Z3335))</f>
        <v/>
      </c>
      <c r="AD3335" t="str">
        <f>IF(A3335="","",IF(AC3335&gt;1,"REVISAR DUPLICADO",IF(AA3335&lt;&gt;"","ACTUALIZADO POR EYR","SIN REPORTE EYR")))</f>
        <v/>
      </c>
    </row>
    <row r="3336" spans="11:30" x14ac:dyDescent="0.3">
      <c r="K3336" s="1" t="str">
        <f ca="1">IF(A3336="","",IF(OR(L3336="ENTREGADA",L3336="RETORNADA",L3336="ENTREGA DIGITAL"),0,MAX(0,5-NETWORKDAYS(H3336+1,TODAY()))))</f>
        <v/>
      </c>
      <c r="L3336" t="str">
        <f>IF(A3336="","",IFERROR(LOOKUP(2,1/(#REF!=Z3336),#REF!),Y3336))</f>
        <v/>
      </c>
      <c r="Z3336" t="str">
        <f>IF(A3336="","",TEXT(A3336,"0")&amp;"|"&amp;TEXT(H3336,"0"))</f>
        <v/>
      </c>
      <c r="AA3336" t="str">
        <f>IF(Z3336="","",IFERROR(LOOKUP(2,1/(#REF!=Z3336),#REF!),""))</f>
        <v/>
      </c>
      <c r="AB3336" t="str">
        <f>IF(Z3336="","",IFERROR(LOOKUP(2,1/(#REF!=Z3336),#REF!),""))</f>
        <v/>
      </c>
      <c r="AC3336" t="str">
        <f>IF(Z3336="","",COUNTIF(#REF!,Z3336))</f>
        <v/>
      </c>
      <c r="AD3336" t="str">
        <f>IF(A3336="","",IF(AC3336&gt;1,"REVISAR DUPLICADO",IF(AA3336&lt;&gt;"","ACTUALIZADO POR EYR","SIN REPORTE EYR")))</f>
        <v/>
      </c>
    </row>
    <row r="3337" spans="11:30" x14ac:dyDescent="0.3">
      <c r="K3337" s="1" t="str">
        <f ca="1">IF(A3337="","",IF(OR(L3337="ENTREGADA",L3337="RETORNADA",L3337="ENTREGA DIGITAL"),0,MAX(0,5-NETWORKDAYS(H3337+1,TODAY()))))</f>
        <v/>
      </c>
      <c r="L3337" t="str">
        <f>IF(A3337="","",IFERROR(LOOKUP(2,1/(#REF!=Z3337),#REF!),Y3337))</f>
        <v/>
      </c>
      <c r="Z3337" t="str">
        <f>IF(A3337="","",TEXT(A3337,"0")&amp;"|"&amp;TEXT(H3337,"0"))</f>
        <v/>
      </c>
      <c r="AA3337" t="str">
        <f>IF(Z3337="","",IFERROR(LOOKUP(2,1/(#REF!=Z3337),#REF!),""))</f>
        <v/>
      </c>
      <c r="AB3337" t="str">
        <f>IF(Z3337="","",IFERROR(LOOKUP(2,1/(#REF!=Z3337),#REF!),""))</f>
        <v/>
      </c>
      <c r="AC3337" t="str">
        <f>IF(Z3337="","",COUNTIF(#REF!,Z3337))</f>
        <v/>
      </c>
      <c r="AD3337" t="str">
        <f>IF(A3337="","",IF(AC3337&gt;1,"REVISAR DUPLICADO",IF(AA3337&lt;&gt;"","ACTUALIZADO POR EYR","SIN REPORTE EYR")))</f>
        <v/>
      </c>
    </row>
    <row r="3338" spans="11:30" x14ac:dyDescent="0.3">
      <c r="K3338" s="1" t="str">
        <f ca="1">IF(A3338="","",IF(OR(L3338="ENTREGADA",L3338="RETORNADA",L3338="ENTREGA DIGITAL"),0,MAX(0,5-NETWORKDAYS(H3338+1,TODAY()))))</f>
        <v/>
      </c>
      <c r="L3338" t="str">
        <f>IF(A3338="","",IFERROR(LOOKUP(2,1/(#REF!=Z3338),#REF!),Y3338))</f>
        <v/>
      </c>
      <c r="Z3338" t="str">
        <f>IF(A3338="","",TEXT(A3338,"0")&amp;"|"&amp;TEXT(H3338,"0"))</f>
        <v/>
      </c>
      <c r="AA3338" t="str">
        <f>IF(Z3338="","",IFERROR(LOOKUP(2,1/(#REF!=Z3338),#REF!),""))</f>
        <v/>
      </c>
      <c r="AB3338" t="str">
        <f>IF(Z3338="","",IFERROR(LOOKUP(2,1/(#REF!=Z3338),#REF!),""))</f>
        <v/>
      </c>
      <c r="AC3338" t="str">
        <f>IF(Z3338="","",COUNTIF(#REF!,Z3338))</f>
        <v/>
      </c>
      <c r="AD3338" t="str">
        <f>IF(A3338="","",IF(AC3338&gt;1,"REVISAR DUPLICADO",IF(AA3338&lt;&gt;"","ACTUALIZADO POR EYR","SIN REPORTE EYR")))</f>
        <v/>
      </c>
    </row>
    <row r="3339" spans="11:30" x14ac:dyDescent="0.3">
      <c r="K3339" s="1" t="str">
        <f ca="1">IF(A3339="","",IF(OR(L3339="ENTREGADA",L3339="RETORNADA",L3339="ENTREGA DIGITAL"),0,MAX(0,5-NETWORKDAYS(H3339+1,TODAY()))))</f>
        <v/>
      </c>
      <c r="L3339" t="str">
        <f>IF(A3339="","",IFERROR(LOOKUP(2,1/(#REF!=Z3339),#REF!),Y3339))</f>
        <v/>
      </c>
      <c r="Z3339" t="str">
        <f>IF(A3339="","",TEXT(A3339,"0")&amp;"|"&amp;TEXT(H3339,"0"))</f>
        <v/>
      </c>
      <c r="AA3339" t="str">
        <f>IF(Z3339="","",IFERROR(LOOKUP(2,1/(#REF!=Z3339),#REF!),""))</f>
        <v/>
      </c>
      <c r="AB3339" t="str">
        <f>IF(Z3339="","",IFERROR(LOOKUP(2,1/(#REF!=Z3339),#REF!),""))</f>
        <v/>
      </c>
      <c r="AC3339" t="str">
        <f>IF(Z3339="","",COUNTIF(#REF!,Z3339))</f>
        <v/>
      </c>
      <c r="AD3339" t="str">
        <f>IF(A3339="","",IF(AC3339&gt;1,"REVISAR DUPLICADO",IF(AA3339&lt;&gt;"","ACTUALIZADO POR EYR","SIN REPORTE EYR")))</f>
        <v/>
      </c>
    </row>
    <row r="3340" spans="11:30" x14ac:dyDescent="0.3">
      <c r="K3340" s="1" t="str">
        <f ca="1">IF(A3340="","",IF(OR(L3340="ENTREGADA",L3340="RETORNADA",L3340="ENTREGA DIGITAL"),0,MAX(0,5-NETWORKDAYS(H3340+1,TODAY()))))</f>
        <v/>
      </c>
      <c r="L3340" t="str">
        <f>IF(A3340="","",IFERROR(LOOKUP(2,1/(#REF!=Z3340),#REF!),Y3340))</f>
        <v/>
      </c>
      <c r="Z3340" t="str">
        <f>IF(A3340="","",TEXT(A3340,"0")&amp;"|"&amp;TEXT(H3340,"0"))</f>
        <v/>
      </c>
      <c r="AA3340" t="str">
        <f>IF(Z3340="","",IFERROR(LOOKUP(2,1/(#REF!=Z3340),#REF!),""))</f>
        <v/>
      </c>
      <c r="AB3340" t="str">
        <f>IF(Z3340="","",IFERROR(LOOKUP(2,1/(#REF!=Z3340),#REF!),""))</f>
        <v/>
      </c>
      <c r="AC3340" t="str">
        <f>IF(Z3340="","",COUNTIF(#REF!,Z3340))</f>
        <v/>
      </c>
      <c r="AD3340" t="str">
        <f>IF(A3340="","",IF(AC3340&gt;1,"REVISAR DUPLICADO",IF(AA3340&lt;&gt;"","ACTUALIZADO POR EYR","SIN REPORTE EYR")))</f>
        <v/>
      </c>
    </row>
    <row r="3341" spans="11:30" x14ac:dyDescent="0.3">
      <c r="K3341" s="1" t="str">
        <f ca="1">IF(A3341="","",IF(OR(L3341="ENTREGADA",L3341="RETORNADA",L3341="ENTREGA DIGITAL"),0,MAX(0,5-NETWORKDAYS(H3341+1,TODAY()))))</f>
        <v/>
      </c>
      <c r="L3341" t="str">
        <f>IF(A3341="","",IFERROR(LOOKUP(2,1/(#REF!=Z3341),#REF!),Y3341))</f>
        <v/>
      </c>
      <c r="Z3341" t="str">
        <f>IF(A3341="","",TEXT(A3341,"0")&amp;"|"&amp;TEXT(H3341,"0"))</f>
        <v/>
      </c>
      <c r="AA3341" t="str">
        <f>IF(Z3341="","",IFERROR(LOOKUP(2,1/(#REF!=Z3341),#REF!),""))</f>
        <v/>
      </c>
      <c r="AB3341" t="str">
        <f>IF(Z3341="","",IFERROR(LOOKUP(2,1/(#REF!=Z3341),#REF!),""))</f>
        <v/>
      </c>
      <c r="AC3341" t="str">
        <f>IF(Z3341="","",COUNTIF(#REF!,Z3341))</f>
        <v/>
      </c>
      <c r="AD3341" t="str">
        <f>IF(A3341="","",IF(AC3341&gt;1,"REVISAR DUPLICADO",IF(AA3341&lt;&gt;"","ACTUALIZADO POR EYR","SIN REPORTE EYR")))</f>
        <v/>
      </c>
    </row>
    <row r="3342" spans="11:30" x14ac:dyDescent="0.3">
      <c r="K3342" s="1" t="str">
        <f ca="1">IF(A3342="","",IF(OR(L3342="ENTREGADA",L3342="RETORNADA",L3342="ENTREGA DIGITAL"),0,MAX(0,5-NETWORKDAYS(H3342+1,TODAY()))))</f>
        <v/>
      </c>
      <c r="L3342" t="str">
        <f>IF(A3342="","",IFERROR(LOOKUP(2,1/(#REF!=Z3342),#REF!),Y3342))</f>
        <v/>
      </c>
      <c r="Z3342" t="str">
        <f>IF(A3342="","",TEXT(A3342,"0")&amp;"|"&amp;TEXT(H3342,"0"))</f>
        <v/>
      </c>
      <c r="AA3342" t="str">
        <f>IF(Z3342="","",IFERROR(LOOKUP(2,1/(#REF!=Z3342),#REF!),""))</f>
        <v/>
      </c>
      <c r="AB3342" t="str">
        <f>IF(Z3342="","",IFERROR(LOOKUP(2,1/(#REF!=Z3342),#REF!),""))</f>
        <v/>
      </c>
      <c r="AC3342" t="str">
        <f>IF(Z3342="","",COUNTIF(#REF!,Z3342))</f>
        <v/>
      </c>
      <c r="AD3342" t="str">
        <f>IF(A3342="","",IF(AC3342&gt;1,"REVISAR DUPLICADO",IF(AA3342&lt;&gt;"","ACTUALIZADO POR EYR","SIN REPORTE EYR")))</f>
        <v/>
      </c>
    </row>
    <row r="3343" spans="11:30" x14ac:dyDescent="0.3">
      <c r="K3343" s="1" t="str">
        <f ca="1">IF(A3343="","",IF(OR(L3343="ENTREGADA",L3343="RETORNADA",L3343="ENTREGA DIGITAL"),0,MAX(0,5-NETWORKDAYS(H3343+1,TODAY()))))</f>
        <v/>
      </c>
      <c r="L3343" t="str">
        <f>IF(A3343="","",IFERROR(LOOKUP(2,1/(#REF!=Z3343),#REF!),Y3343))</f>
        <v/>
      </c>
      <c r="Z3343" t="str">
        <f>IF(A3343="","",TEXT(A3343,"0")&amp;"|"&amp;TEXT(H3343,"0"))</f>
        <v/>
      </c>
      <c r="AA3343" t="str">
        <f>IF(Z3343="","",IFERROR(LOOKUP(2,1/(#REF!=Z3343),#REF!),""))</f>
        <v/>
      </c>
      <c r="AB3343" t="str">
        <f>IF(Z3343="","",IFERROR(LOOKUP(2,1/(#REF!=Z3343),#REF!),""))</f>
        <v/>
      </c>
      <c r="AC3343" t="str">
        <f>IF(Z3343="","",COUNTIF(#REF!,Z3343))</f>
        <v/>
      </c>
      <c r="AD3343" t="str">
        <f>IF(A3343="","",IF(AC3343&gt;1,"REVISAR DUPLICADO",IF(AA3343&lt;&gt;"","ACTUALIZADO POR EYR","SIN REPORTE EYR")))</f>
        <v/>
      </c>
    </row>
    <row r="3344" spans="11:30" x14ac:dyDescent="0.3">
      <c r="K3344" s="1" t="str">
        <f ca="1">IF(A3344="","",IF(OR(L3344="ENTREGADA",L3344="RETORNADA",L3344="ENTREGA DIGITAL"),0,MAX(0,5-NETWORKDAYS(H3344+1,TODAY()))))</f>
        <v/>
      </c>
      <c r="L3344" t="str">
        <f>IF(A3344="","",IFERROR(LOOKUP(2,1/(#REF!=Z3344),#REF!),Y3344))</f>
        <v/>
      </c>
      <c r="Z3344" t="str">
        <f>IF(A3344="","",TEXT(A3344,"0")&amp;"|"&amp;TEXT(H3344,"0"))</f>
        <v/>
      </c>
      <c r="AA3344" t="str">
        <f>IF(Z3344="","",IFERROR(LOOKUP(2,1/(#REF!=Z3344),#REF!),""))</f>
        <v/>
      </c>
      <c r="AB3344" t="str">
        <f>IF(Z3344="","",IFERROR(LOOKUP(2,1/(#REF!=Z3344),#REF!),""))</f>
        <v/>
      </c>
      <c r="AC3344" t="str">
        <f>IF(Z3344="","",COUNTIF(#REF!,Z3344))</f>
        <v/>
      </c>
      <c r="AD3344" t="str">
        <f>IF(A3344="","",IF(AC3344&gt;1,"REVISAR DUPLICADO",IF(AA3344&lt;&gt;"","ACTUALIZADO POR EYR","SIN REPORTE EYR")))</f>
        <v/>
      </c>
    </row>
    <row r="3345" spans="11:30" x14ac:dyDescent="0.3">
      <c r="K3345" s="1" t="str">
        <f ca="1">IF(A3345="","",IF(OR(L3345="ENTREGADA",L3345="RETORNADA",L3345="ENTREGA DIGITAL"),0,MAX(0,5-NETWORKDAYS(H3345+1,TODAY()))))</f>
        <v/>
      </c>
      <c r="L3345" t="str">
        <f>IF(A3345="","",IFERROR(LOOKUP(2,1/(#REF!=Z3345),#REF!),Y3345))</f>
        <v/>
      </c>
      <c r="Z3345" t="str">
        <f>IF(A3345="","",TEXT(A3345,"0")&amp;"|"&amp;TEXT(H3345,"0"))</f>
        <v/>
      </c>
      <c r="AA3345" t="str">
        <f>IF(Z3345="","",IFERROR(LOOKUP(2,1/(#REF!=Z3345),#REF!),""))</f>
        <v/>
      </c>
      <c r="AB3345" t="str">
        <f>IF(Z3345="","",IFERROR(LOOKUP(2,1/(#REF!=Z3345),#REF!),""))</f>
        <v/>
      </c>
      <c r="AC3345" t="str">
        <f>IF(Z3345="","",COUNTIF(#REF!,Z3345))</f>
        <v/>
      </c>
      <c r="AD3345" t="str">
        <f>IF(A3345="","",IF(AC3345&gt;1,"REVISAR DUPLICADO",IF(AA3345&lt;&gt;"","ACTUALIZADO POR EYR","SIN REPORTE EYR")))</f>
        <v/>
      </c>
    </row>
    <row r="3346" spans="11:30" x14ac:dyDescent="0.3">
      <c r="K3346" s="1" t="str">
        <f ca="1">IF(A3346="","",IF(OR(L3346="ENTREGADA",L3346="RETORNADA",L3346="ENTREGA DIGITAL"),0,MAX(0,5-NETWORKDAYS(H3346+1,TODAY()))))</f>
        <v/>
      </c>
      <c r="L3346" t="str">
        <f>IF(A3346="","",IFERROR(LOOKUP(2,1/(#REF!=Z3346),#REF!),Y3346))</f>
        <v/>
      </c>
      <c r="Z3346" t="str">
        <f>IF(A3346="","",TEXT(A3346,"0")&amp;"|"&amp;TEXT(H3346,"0"))</f>
        <v/>
      </c>
      <c r="AA3346" t="str">
        <f>IF(Z3346="","",IFERROR(LOOKUP(2,1/(#REF!=Z3346),#REF!),""))</f>
        <v/>
      </c>
      <c r="AB3346" t="str">
        <f>IF(Z3346="","",IFERROR(LOOKUP(2,1/(#REF!=Z3346),#REF!),""))</f>
        <v/>
      </c>
      <c r="AC3346" t="str">
        <f>IF(Z3346="","",COUNTIF(#REF!,Z3346))</f>
        <v/>
      </c>
      <c r="AD3346" t="str">
        <f>IF(A3346="","",IF(AC3346&gt;1,"REVISAR DUPLICADO",IF(AA3346&lt;&gt;"","ACTUALIZADO POR EYR","SIN REPORTE EYR")))</f>
        <v/>
      </c>
    </row>
    <row r="3347" spans="11:30" x14ac:dyDescent="0.3">
      <c r="K3347" s="1" t="str">
        <f ca="1">IF(A3347="","",IF(OR(L3347="ENTREGADA",L3347="RETORNADA",L3347="ENTREGA DIGITAL"),0,MAX(0,5-NETWORKDAYS(H3347+1,TODAY()))))</f>
        <v/>
      </c>
      <c r="L3347" t="str">
        <f>IF(A3347="","",IFERROR(LOOKUP(2,1/(#REF!=Z3347),#REF!),Y3347))</f>
        <v/>
      </c>
      <c r="Z3347" t="str">
        <f>IF(A3347="","",TEXT(A3347,"0")&amp;"|"&amp;TEXT(H3347,"0"))</f>
        <v/>
      </c>
      <c r="AA3347" t="str">
        <f>IF(Z3347="","",IFERROR(LOOKUP(2,1/(#REF!=Z3347),#REF!),""))</f>
        <v/>
      </c>
      <c r="AB3347" t="str">
        <f>IF(Z3347="","",IFERROR(LOOKUP(2,1/(#REF!=Z3347),#REF!),""))</f>
        <v/>
      </c>
      <c r="AC3347" t="str">
        <f>IF(Z3347="","",COUNTIF(#REF!,Z3347))</f>
        <v/>
      </c>
      <c r="AD3347" t="str">
        <f>IF(A3347="","",IF(AC3347&gt;1,"REVISAR DUPLICADO",IF(AA3347&lt;&gt;"","ACTUALIZADO POR EYR","SIN REPORTE EYR")))</f>
        <v/>
      </c>
    </row>
    <row r="3348" spans="11:30" x14ac:dyDescent="0.3">
      <c r="K3348" s="1" t="str">
        <f ca="1">IF(A3348="","",IF(OR(L3348="ENTREGADA",L3348="RETORNADA",L3348="ENTREGA DIGITAL"),0,MAX(0,5-NETWORKDAYS(H3348+1,TODAY()))))</f>
        <v/>
      </c>
      <c r="L3348" t="str">
        <f>IF(A3348="","",IFERROR(LOOKUP(2,1/(#REF!=Z3348),#REF!),Y3348))</f>
        <v/>
      </c>
      <c r="Z3348" t="str">
        <f>IF(A3348="","",TEXT(A3348,"0")&amp;"|"&amp;TEXT(H3348,"0"))</f>
        <v/>
      </c>
      <c r="AA3348" t="str">
        <f>IF(Z3348="","",IFERROR(LOOKUP(2,1/(#REF!=Z3348),#REF!),""))</f>
        <v/>
      </c>
      <c r="AB3348" t="str">
        <f>IF(Z3348="","",IFERROR(LOOKUP(2,1/(#REF!=Z3348),#REF!),""))</f>
        <v/>
      </c>
      <c r="AC3348" t="str">
        <f>IF(Z3348="","",COUNTIF(#REF!,Z3348))</f>
        <v/>
      </c>
      <c r="AD3348" t="str">
        <f>IF(A3348="","",IF(AC3348&gt;1,"REVISAR DUPLICADO",IF(AA3348&lt;&gt;"","ACTUALIZADO POR EYR","SIN REPORTE EYR")))</f>
        <v/>
      </c>
    </row>
    <row r="3349" spans="11:30" x14ac:dyDescent="0.3">
      <c r="K3349" s="1" t="str">
        <f ca="1">IF(A3349="","",IF(OR(L3349="ENTREGADA",L3349="RETORNADA",L3349="ENTREGA DIGITAL"),0,MAX(0,5-NETWORKDAYS(H3349+1,TODAY()))))</f>
        <v/>
      </c>
      <c r="L3349" t="str">
        <f>IF(A3349="","",IFERROR(LOOKUP(2,1/(#REF!=Z3349),#REF!),Y3349))</f>
        <v/>
      </c>
      <c r="Z3349" t="str">
        <f>IF(A3349="","",TEXT(A3349,"0")&amp;"|"&amp;TEXT(H3349,"0"))</f>
        <v/>
      </c>
      <c r="AA3349" t="str">
        <f>IF(Z3349="","",IFERROR(LOOKUP(2,1/(#REF!=Z3349),#REF!),""))</f>
        <v/>
      </c>
      <c r="AB3349" t="str">
        <f>IF(Z3349="","",IFERROR(LOOKUP(2,1/(#REF!=Z3349),#REF!),""))</f>
        <v/>
      </c>
      <c r="AC3349" t="str">
        <f>IF(Z3349="","",COUNTIF(#REF!,Z3349))</f>
        <v/>
      </c>
      <c r="AD3349" t="str">
        <f>IF(A3349="","",IF(AC3349&gt;1,"REVISAR DUPLICADO",IF(AA3349&lt;&gt;"","ACTUALIZADO POR EYR","SIN REPORTE EYR")))</f>
        <v/>
      </c>
    </row>
    <row r="3350" spans="11:30" x14ac:dyDescent="0.3">
      <c r="K3350" s="1" t="str">
        <f ca="1">IF(A3350="","",IF(OR(L3350="ENTREGADA",L3350="RETORNADA",L3350="ENTREGA DIGITAL"),0,MAX(0,5-NETWORKDAYS(H3350+1,TODAY()))))</f>
        <v/>
      </c>
      <c r="L3350" t="str">
        <f>IF(A3350="","",IFERROR(LOOKUP(2,1/(#REF!=Z3350),#REF!),Y3350))</f>
        <v/>
      </c>
      <c r="Z3350" t="str">
        <f>IF(A3350="","",TEXT(A3350,"0")&amp;"|"&amp;TEXT(H3350,"0"))</f>
        <v/>
      </c>
      <c r="AA3350" t="str">
        <f>IF(Z3350="","",IFERROR(LOOKUP(2,1/(#REF!=Z3350),#REF!),""))</f>
        <v/>
      </c>
      <c r="AB3350" t="str">
        <f>IF(Z3350="","",IFERROR(LOOKUP(2,1/(#REF!=Z3350),#REF!),""))</f>
        <v/>
      </c>
      <c r="AC3350" t="str">
        <f>IF(Z3350="","",COUNTIF(#REF!,Z3350))</f>
        <v/>
      </c>
      <c r="AD3350" t="str">
        <f>IF(A3350="","",IF(AC3350&gt;1,"REVISAR DUPLICADO",IF(AA3350&lt;&gt;"","ACTUALIZADO POR EYR","SIN REPORTE EYR")))</f>
        <v/>
      </c>
    </row>
    <row r="3351" spans="11:30" x14ac:dyDescent="0.3">
      <c r="K3351" s="1" t="str">
        <f ca="1">IF(A3351="","",IF(OR(L3351="ENTREGADA",L3351="RETORNADA",L3351="ENTREGA DIGITAL"),0,MAX(0,5-NETWORKDAYS(H3351+1,TODAY()))))</f>
        <v/>
      </c>
      <c r="L3351" t="str">
        <f>IF(A3351="","",IFERROR(LOOKUP(2,1/(#REF!=Z3351),#REF!),Y3351))</f>
        <v/>
      </c>
      <c r="Z3351" t="str">
        <f>IF(A3351="","",TEXT(A3351,"0")&amp;"|"&amp;TEXT(H3351,"0"))</f>
        <v/>
      </c>
      <c r="AA3351" t="str">
        <f>IF(Z3351="","",IFERROR(LOOKUP(2,1/(#REF!=Z3351),#REF!),""))</f>
        <v/>
      </c>
      <c r="AB3351" t="str">
        <f>IF(Z3351="","",IFERROR(LOOKUP(2,1/(#REF!=Z3351),#REF!),""))</f>
        <v/>
      </c>
      <c r="AC3351" t="str">
        <f>IF(Z3351="","",COUNTIF(#REF!,Z3351))</f>
        <v/>
      </c>
      <c r="AD3351" t="str">
        <f>IF(A3351="","",IF(AC3351&gt;1,"REVISAR DUPLICADO",IF(AA3351&lt;&gt;"","ACTUALIZADO POR EYR","SIN REPORTE EYR")))</f>
        <v/>
      </c>
    </row>
    <row r="3352" spans="11:30" x14ac:dyDescent="0.3">
      <c r="K3352" s="1" t="str">
        <f ca="1">IF(A3352="","",IF(OR(L3352="ENTREGADA",L3352="RETORNADA",L3352="ENTREGA DIGITAL"),0,MAX(0,5-NETWORKDAYS(H3352+1,TODAY()))))</f>
        <v/>
      </c>
      <c r="L3352" t="str">
        <f>IF(A3352="","",IFERROR(LOOKUP(2,1/(#REF!=Z3352),#REF!),Y3352))</f>
        <v/>
      </c>
      <c r="Z3352" t="str">
        <f>IF(A3352="","",TEXT(A3352,"0")&amp;"|"&amp;TEXT(H3352,"0"))</f>
        <v/>
      </c>
      <c r="AA3352" t="str">
        <f>IF(Z3352="","",IFERROR(LOOKUP(2,1/(#REF!=Z3352),#REF!),""))</f>
        <v/>
      </c>
      <c r="AB3352" t="str">
        <f>IF(Z3352="","",IFERROR(LOOKUP(2,1/(#REF!=Z3352),#REF!),""))</f>
        <v/>
      </c>
      <c r="AC3352" t="str">
        <f>IF(Z3352="","",COUNTIF(#REF!,Z3352))</f>
        <v/>
      </c>
      <c r="AD3352" t="str">
        <f>IF(A3352="","",IF(AC3352&gt;1,"REVISAR DUPLICADO",IF(AA3352&lt;&gt;"","ACTUALIZADO POR EYR","SIN REPORTE EYR")))</f>
        <v/>
      </c>
    </row>
    <row r="3353" spans="11:30" x14ac:dyDescent="0.3">
      <c r="K3353" s="1" t="str">
        <f ca="1">IF(A3353="","",IF(OR(L3353="ENTREGADA",L3353="RETORNADA",L3353="ENTREGA DIGITAL"),0,MAX(0,5-NETWORKDAYS(H3353+1,TODAY()))))</f>
        <v/>
      </c>
      <c r="L3353" t="str">
        <f>IF(A3353="","",IFERROR(LOOKUP(2,1/(#REF!=Z3353),#REF!),Y3353))</f>
        <v/>
      </c>
      <c r="Z3353" t="str">
        <f>IF(A3353="","",TEXT(A3353,"0")&amp;"|"&amp;TEXT(H3353,"0"))</f>
        <v/>
      </c>
      <c r="AA3353" t="str">
        <f>IF(Z3353="","",IFERROR(LOOKUP(2,1/(#REF!=Z3353),#REF!),""))</f>
        <v/>
      </c>
      <c r="AB3353" t="str">
        <f>IF(Z3353="","",IFERROR(LOOKUP(2,1/(#REF!=Z3353),#REF!),""))</f>
        <v/>
      </c>
      <c r="AC3353" t="str">
        <f>IF(Z3353="","",COUNTIF(#REF!,Z3353))</f>
        <v/>
      </c>
      <c r="AD3353" t="str">
        <f>IF(A3353="","",IF(AC3353&gt;1,"REVISAR DUPLICADO",IF(AA3353&lt;&gt;"","ACTUALIZADO POR EYR","SIN REPORTE EYR")))</f>
        <v/>
      </c>
    </row>
    <row r="3354" spans="11:30" x14ac:dyDescent="0.3">
      <c r="K3354" s="1" t="str">
        <f ca="1">IF(A3354="","",IF(OR(L3354="ENTREGADA",L3354="RETORNADA",L3354="ENTREGA DIGITAL"),0,MAX(0,5-NETWORKDAYS(H3354+1,TODAY()))))</f>
        <v/>
      </c>
      <c r="L3354" t="str">
        <f>IF(A3354="","",IFERROR(LOOKUP(2,1/(#REF!=Z3354),#REF!),Y3354))</f>
        <v/>
      </c>
      <c r="Z3354" t="str">
        <f>IF(A3354="","",TEXT(A3354,"0")&amp;"|"&amp;TEXT(H3354,"0"))</f>
        <v/>
      </c>
      <c r="AA3354" t="str">
        <f>IF(Z3354="","",IFERROR(LOOKUP(2,1/(#REF!=Z3354),#REF!),""))</f>
        <v/>
      </c>
      <c r="AB3354" t="str">
        <f>IF(Z3354="","",IFERROR(LOOKUP(2,1/(#REF!=Z3354),#REF!),""))</f>
        <v/>
      </c>
      <c r="AC3354" t="str">
        <f>IF(Z3354="","",COUNTIF(#REF!,Z3354))</f>
        <v/>
      </c>
      <c r="AD3354" t="str">
        <f>IF(A3354="","",IF(AC3354&gt;1,"REVISAR DUPLICADO",IF(AA3354&lt;&gt;"","ACTUALIZADO POR EYR","SIN REPORTE EYR")))</f>
        <v/>
      </c>
    </row>
    <row r="3355" spans="11:30" x14ac:dyDescent="0.3">
      <c r="K3355" s="1" t="str">
        <f ca="1">IF(A3355="","",IF(OR(L3355="ENTREGADA",L3355="RETORNADA",L3355="ENTREGA DIGITAL"),0,MAX(0,5-NETWORKDAYS(H3355+1,TODAY()))))</f>
        <v/>
      </c>
      <c r="L3355" t="str">
        <f>IF(A3355="","",IFERROR(LOOKUP(2,1/(#REF!=Z3355),#REF!),Y3355))</f>
        <v/>
      </c>
      <c r="Z3355" t="str">
        <f>IF(A3355="","",TEXT(A3355,"0")&amp;"|"&amp;TEXT(H3355,"0"))</f>
        <v/>
      </c>
      <c r="AA3355" t="str">
        <f>IF(Z3355="","",IFERROR(LOOKUP(2,1/(#REF!=Z3355),#REF!),""))</f>
        <v/>
      </c>
      <c r="AB3355" t="str">
        <f>IF(Z3355="","",IFERROR(LOOKUP(2,1/(#REF!=Z3355),#REF!),""))</f>
        <v/>
      </c>
      <c r="AC3355" t="str">
        <f>IF(Z3355="","",COUNTIF(#REF!,Z3355))</f>
        <v/>
      </c>
      <c r="AD3355" t="str">
        <f>IF(A3355="","",IF(AC3355&gt;1,"REVISAR DUPLICADO",IF(AA3355&lt;&gt;"","ACTUALIZADO POR EYR","SIN REPORTE EYR")))</f>
        <v/>
      </c>
    </row>
    <row r="3356" spans="11:30" x14ac:dyDescent="0.3">
      <c r="K3356" s="1" t="str">
        <f ca="1">IF(A3356="","",IF(OR(L3356="ENTREGADA",L3356="RETORNADA",L3356="ENTREGA DIGITAL"),0,MAX(0,5-NETWORKDAYS(H3356+1,TODAY()))))</f>
        <v/>
      </c>
      <c r="L3356" t="str">
        <f>IF(A3356="","",IFERROR(LOOKUP(2,1/(#REF!=Z3356),#REF!),Y3356))</f>
        <v/>
      </c>
      <c r="Z3356" t="str">
        <f>IF(A3356="","",TEXT(A3356,"0")&amp;"|"&amp;TEXT(H3356,"0"))</f>
        <v/>
      </c>
      <c r="AA3356" t="str">
        <f>IF(Z3356="","",IFERROR(LOOKUP(2,1/(#REF!=Z3356),#REF!),""))</f>
        <v/>
      </c>
      <c r="AB3356" t="str">
        <f>IF(Z3356="","",IFERROR(LOOKUP(2,1/(#REF!=Z3356),#REF!),""))</f>
        <v/>
      </c>
      <c r="AC3356" t="str">
        <f>IF(Z3356="","",COUNTIF(#REF!,Z3356))</f>
        <v/>
      </c>
      <c r="AD3356" t="str">
        <f>IF(A3356="","",IF(AC3356&gt;1,"REVISAR DUPLICADO",IF(AA3356&lt;&gt;"","ACTUALIZADO POR EYR","SIN REPORTE EYR")))</f>
        <v/>
      </c>
    </row>
    <row r="3357" spans="11:30" x14ac:dyDescent="0.3">
      <c r="K3357" s="1" t="str">
        <f ca="1">IF(A3357="","",IF(OR(L3357="ENTREGADA",L3357="RETORNADA",L3357="ENTREGA DIGITAL"),0,MAX(0,5-NETWORKDAYS(H3357+1,TODAY()))))</f>
        <v/>
      </c>
      <c r="L3357" t="str">
        <f>IF(A3357="","",IFERROR(LOOKUP(2,1/(#REF!=Z3357),#REF!),Y3357))</f>
        <v/>
      </c>
      <c r="Z3357" t="str">
        <f>IF(A3357="","",TEXT(A3357,"0")&amp;"|"&amp;TEXT(H3357,"0"))</f>
        <v/>
      </c>
      <c r="AA3357" t="str">
        <f>IF(Z3357="","",IFERROR(LOOKUP(2,1/(#REF!=Z3357),#REF!),""))</f>
        <v/>
      </c>
      <c r="AB3357" t="str">
        <f>IF(Z3357="","",IFERROR(LOOKUP(2,1/(#REF!=Z3357),#REF!),""))</f>
        <v/>
      </c>
      <c r="AC3357" t="str">
        <f>IF(Z3357="","",COUNTIF(#REF!,Z3357))</f>
        <v/>
      </c>
      <c r="AD3357" t="str">
        <f>IF(A3357="","",IF(AC3357&gt;1,"REVISAR DUPLICADO",IF(AA3357&lt;&gt;"","ACTUALIZADO POR EYR","SIN REPORTE EYR")))</f>
        <v/>
      </c>
    </row>
    <row r="3358" spans="11:30" x14ac:dyDescent="0.3">
      <c r="K3358" s="1" t="str">
        <f ca="1">IF(A3358="","",IF(OR(L3358="ENTREGADA",L3358="RETORNADA",L3358="ENTREGA DIGITAL"),0,MAX(0,5-NETWORKDAYS(H3358+1,TODAY()))))</f>
        <v/>
      </c>
      <c r="L3358" t="str">
        <f>IF(A3358="","",IFERROR(LOOKUP(2,1/(#REF!=Z3358),#REF!),Y3358))</f>
        <v/>
      </c>
      <c r="Z3358" t="str">
        <f>IF(A3358="","",TEXT(A3358,"0")&amp;"|"&amp;TEXT(H3358,"0"))</f>
        <v/>
      </c>
      <c r="AA3358" t="str">
        <f>IF(Z3358="","",IFERROR(LOOKUP(2,1/(#REF!=Z3358),#REF!),""))</f>
        <v/>
      </c>
      <c r="AB3358" t="str">
        <f>IF(Z3358="","",IFERROR(LOOKUP(2,1/(#REF!=Z3358),#REF!),""))</f>
        <v/>
      </c>
      <c r="AC3358" t="str">
        <f>IF(Z3358="","",COUNTIF(#REF!,Z3358))</f>
        <v/>
      </c>
      <c r="AD3358" t="str">
        <f>IF(A3358="","",IF(AC3358&gt;1,"REVISAR DUPLICADO",IF(AA3358&lt;&gt;"","ACTUALIZADO POR EYR","SIN REPORTE EYR")))</f>
        <v/>
      </c>
    </row>
    <row r="3359" spans="11:30" x14ac:dyDescent="0.3">
      <c r="K3359" s="1" t="str">
        <f ca="1">IF(A3359="","",IF(OR(L3359="ENTREGADA",L3359="RETORNADA",L3359="ENTREGA DIGITAL"),0,MAX(0,5-NETWORKDAYS(H3359+1,TODAY()))))</f>
        <v/>
      </c>
      <c r="L3359" t="str">
        <f>IF(A3359="","",IFERROR(LOOKUP(2,1/(#REF!=Z3359),#REF!),Y3359))</f>
        <v/>
      </c>
      <c r="Z3359" t="str">
        <f>IF(A3359="","",TEXT(A3359,"0")&amp;"|"&amp;TEXT(H3359,"0"))</f>
        <v/>
      </c>
      <c r="AA3359" t="str">
        <f>IF(Z3359="","",IFERROR(LOOKUP(2,1/(#REF!=Z3359),#REF!),""))</f>
        <v/>
      </c>
      <c r="AB3359" t="str">
        <f>IF(Z3359="","",IFERROR(LOOKUP(2,1/(#REF!=Z3359),#REF!),""))</f>
        <v/>
      </c>
      <c r="AC3359" t="str">
        <f>IF(Z3359="","",COUNTIF(#REF!,Z3359))</f>
        <v/>
      </c>
      <c r="AD3359" t="str">
        <f>IF(A3359="","",IF(AC3359&gt;1,"REVISAR DUPLICADO",IF(AA3359&lt;&gt;"","ACTUALIZADO POR EYR","SIN REPORTE EYR")))</f>
        <v/>
      </c>
    </row>
    <row r="3360" spans="11:30" x14ac:dyDescent="0.3">
      <c r="K3360" s="1" t="str">
        <f ca="1">IF(A3360="","",IF(OR(L3360="ENTREGADA",L3360="RETORNADA",L3360="ENTREGA DIGITAL"),0,MAX(0,5-NETWORKDAYS(H3360+1,TODAY()))))</f>
        <v/>
      </c>
      <c r="L3360" t="str">
        <f>IF(A3360="","",IFERROR(LOOKUP(2,1/(#REF!=Z3360),#REF!),Y3360))</f>
        <v/>
      </c>
      <c r="Z3360" t="str">
        <f>IF(A3360="","",TEXT(A3360,"0")&amp;"|"&amp;TEXT(H3360,"0"))</f>
        <v/>
      </c>
      <c r="AA3360" t="str">
        <f>IF(Z3360="","",IFERROR(LOOKUP(2,1/(#REF!=Z3360),#REF!),""))</f>
        <v/>
      </c>
      <c r="AB3360" t="str">
        <f>IF(Z3360="","",IFERROR(LOOKUP(2,1/(#REF!=Z3360),#REF!),""))</f>
        <v/>
      </c>
      <c r="AC3360" t="str">
        <f>IF(Z3360="","",COUNTIF(#REF!,Z3360))</f>
        <v/>
      </c>
      <c r="AD3360" t="str">
        <f>IF(A3360="","",IF(AC3360&gt;1,"REVISAR DUPLICADO",IF(AA3360&lt;&gt;"","ACTUALIZADO POR EYR","SIN REPORTE EYR")))</f>
        <v/>
      </c>
    </row>
    <row r="3361" spans="11:30" x14ac:dyDescent="0.3">
      <c r="K3361" s="1" t="str">
        <f ca="1">IF(A3361="","",IF(OR(L3361="ENTREGADA",L3361="RETORNADA",L3361="ENTREGA DIGITAL"),0,MAX(0,5-NETWORKDAYS(H3361+1,TODAY()))))</f>
        <v/>
      </c>
      <c r="L3361" t="str">
        <f>IF(A3361="","",IFERROR(LOOKUP(2,1/(#REF!=Z3361),#REF!),Y3361))</f>
        <v/>
      </c>
      <c r="Z3361" t="str">
        <f>IF(A3361="","",TEXT(A3361,"0")&amp;"|"&amp;TEXT(H3361,"0"))</f>
        <v/>
      </c>
      <c r="AA3361" t="str">
        <f>IF(Z3361="","",IFERROR(LOOKUP(2,1/(#REF!=Z3361),#REF!),""))</f>
        <v/>
      </c>
      <c r="AB3361" t="str">
        <f>IF(Z3361="","",IFERROR(LOOKUP(2,1/(#REF!=Z3361),#REF!),""))</f>
        <v/>
      </c>
      <c r="AC3361" t="str">
        <f>IF(Z3361="","",COUNTIF(#REF!,Z3361))</f>
        <v/>
      </c>
      <c r="AD3361" t="str">
        <f>IF(A3361="","",IF(AC3361&gt;1,"REVISAR DUPLICADO",IF(AA3361&lt;&gt;"","ACTUALIZADO POR EYR","SIN REPORTE EYR")))</f>
        <v/>
      </c>
    </row>
    <row r="3362" spans="11:30" x14ac:dyDescent="0.3">
      <c r="K3362" s="1" t="str">
        <f ca="1">IF(A3362="","",IF(OR(L3362="ENTREGADA",L3362="RETORNADA",L3362="ENTREGA DIGITAL"),0,MAX(0,5-NETWORKDAYS(H3362+1,TODAY()))))</f>
        <v/>
      </c>
      <c r="L3362" t="str">
        <f>IF(A3362="","",IFERROR(LOOKUP(2,1/(#REF!=Z3362),#REF!),Y3362))</f>
        <v/>
      </c>
      <c r="Z3362" t="str">
        <f>IF(A3362="","",TEXT(A3362,"0")&amp;"|"&amp;TEXT(H3362,"0"))</f>
        <v/>
      </c>
      <c r="AA3362" t="str">
        <f>IF(Z3362="","",IFERROR(LOOKUP(2,1/(#REF!=Z3362),#REF!),""))</f>
        <v/>
      </c>
      <c r="AB3362" t="str">
        <f>IF(Z3362="","",IFERROR(LOOKUP(2,1/(#REF!=Z3362),#REF!),""))</f>
        <v/>
      </c>
      <c r="AC3362" t="str">
        <f>IF(Z3362="","",COUNTIF(#REF!,Z3362))</f>
        <v/>
      </c>
      <c r="AD3362" t="str">
        <f>IF(A3362="","",IF(AC3362&gt;1,"REVISAR DUPLICADO",IF(AA3362&lt;&gt;"","ACTUALIZADO POR EYR","SIN REPORTE EYR")))</f>
        <v/>
      </c>
    </row>
    <row r="3363" spans="11:30" x14ac:dyDescent="0.3">
      <c r="K3363" s="1" t="str">
        <f ca="1">IF(A3363="","",IF(OR(L3363="ENTREGADA",L3363="RETORNADA",L3363="ENTREGA DIGITAL"),0,MAX(0,5-NETWORKDAYS(H3363+1,TODAY()))))</f>
        <v/>
      </c>
      <c r="L3363" t="str">
        <f>IF(A3363="","",IFERROR(LOOKUP(2,1/(#REF!=Z3363),#REF!),Y3363))</f>
        <v/>
      </c>
      <c r="Z3363" t="str">
        <f>IF(A3363="","",TEXT(A3363,"0")&amp;"|"&amp;TEXT(H3363,"0"))</f>
        <v/>
      </c>
      <c r="AA3363" t="str">
        <f>IF(Z3363="","",IFERROR(LOOKUP(2,1/(#REF!=Z3363),#REF!),""))</f>
        <v/>
      </c>
      <c r="AB3363" t="str">
        <f>IF(Z3363="","",IFERROR(LOOKUP(2,1/(#REF!=Z3363),#REF!),""))</f>
        <v/>
      </c>
      <c r="AC3363" t="str">
        <f>IF(Z3363="","",COUNTIF(#REF!,Z3363))</f>
        <v/>
      </c>
      <c r="AD3363" t="str">
        <f>IF(A3363="","",IF(AC3363&gt;1,"REVISAR DUPLICADO",IF(AA3363&lt;&gt;"","ACTUALIZADO POR EYR","SIN REPORTE EYR")))</f>
        <v/>
      </c>
    </row>
    <row r="3364" spans="11:30" x14ac:dyDescent="0.3">
      <c r="K3364" s="1" t="str">
        <f ca="1">IF(A3364="","",IF(OR(L3364="ENTREGADA",L3364="RETORNADA",L3364="ENTREGA DIGITAL"),0,MAX(0,5-NETWORKDAYS(H3364+1,TODAY()))))</f>
        <v/>
      </c>
      <c r="L3364" t="str">
        <f>IF(A3364="","",IFERROR(LOOKUP(2,1/(#REF!=Z3364),#REF!),Y3364))</f>
        <v/>
      </c>
      <c r="Z3364" t="str">
        <f>IF(A3364="","",TEXT(A3364,"0")&amp;"|"&amp;TEXT(H3364,"0"))</f>
        <v/>
      </c>
      <c r="AA3364" t="str">
        <f>IF(Z3364="","",IFERROR(LOOKUP(2,1/(#REF!=Z3364),#REF!),""))</f>
        <v/>
      </c>
      <c r="AB3364" t="str">
        <f>IF(Z3364="","",IFERROR(LOOKUP(2,1/(#REF!=Z3364),#REF!),""))</f>
        <v/>
      </c>
      <c r="AC3364" t="str">
        <f>IF(Z3364="","",COUNTIF(#REF!,Z3364))</f>
        <v/>
      </c>
      <c r="AD3364" t="str">
        <f>IF(A3364="","",IF(AC3364&gt;1,"REVISAR DUPLICADO",IF(AA3364&lt;&gt;"","ACTUALIZADO POR EYR","SIN REPORTE EYR")))</f>
        <v/>
      </c>
    </row>
    <row r="3365" spans="11:30" x14ac:dyDescent="0.3">
      <c r="K3365" s="1" t="str">
        <f ca="1">IF(A3365="","",IF(OR(L3365="ENTREGADA",L3365="RETORNADA",L3365="ENTREGA DIGITAL"),0,MAX(0,5-NETWORKDAYS(H3365+1,TODAY()))))</f>
        <v/>
      </c>
      <c r="L3365" t="str">
        <f>IF(A3365="","",IFERROR(LOOKUP(2,1/(#REF!=Z3365),#REF!),Y3365))</f>
        <v/>
      </c>
      <c r="Z3365" t="str">
        <f>IF(A3365="","",TEXT(A3365,"0")&amp;"|"&amp;TEXT(H3365,"0"))</f>
        <v/>
      </c>
      <c r="AA3365" t="str">
        <f>IF(Z3365="","",IFERROR(LOOKUP(2,1/(#REF!=Z3365),#REF!),""))</f>
        <v/>
      </c>
      <c r="AB3365" t="str">
        <f>IF(Z3365="","",IFERROR(LOOKUP(2,1/(#REF!=Z3365),#REF!),""))</f>
        <v/>
      </c>
      <c r="AC3365" t="str">
        <f>IF(Z3365="","",COUNTIF(#REF!,Z3365))</f>
        <v/>
      </c>
      <c r="AD3365" t="str">
        <f>IF(A3365="","",IF(AC3365&gt;1,"REVISAR DUPLICADO",IF(AA3365&lt;&gt;"","ACTUALIZADO POR EYR","SIN REPORTE EYR")))</f>
        <v/>
      </c>
    </row>
    <row r="3366" spans="11:30" x14ac:dyDescent="0.3">
      <c r="K3366" s="1" t="str">
        <f ca="1">IF(A3366="","",IF(OR(L3366="ENTREGADA",L3366="RETORNADA",L3366="ENTREGA DIGITAL"),0,MAX(0,5-NETWORKDAYS(H3366+1,TODAY()))))</f>
        <v/>
      </c>
      <c r="L3366" t="str">
        <f>IF(A3366="","",IFERROR(LOOKUP(2,1/(#REF!=Z3366),#REF!),Y3366))</f>
        <v/>
      </c>
      <c r="Z3366" t="str">
        <f>IF(A3366="","",TEXT(A3366,"0")&amp;"|"&amp;TEXT(H3366,"0"))</f>
        <v/>
      </c>
      <c r="AA3366" t="str">
        <f>IF(Z3366="","",IFERROR(LOOKUP(2,1/(#REF!=Z3366),#REF!),""))</f>
        <v/>
      </c>
      <c r="AB3366" t="str">
        <f>IF(Z3366="","",IFERROR(LOOKUP(2,1/(#REF!=Z3366),#REF!),""))</f>
        <v/>
      </c>
      <c r="AC3366" t="str">
        <f>IF(Z3366="","",COUNTIF(#REF!,Z3366))</f>
        <v/>
      </c>
      <c r="AD3366" t="str">
        <f>IF(A3366="","",IF(AC3366&gt;1,"REVISAR DUPLICADO",IF(AA3366&lt;&gt;"","ACTUALIZADO POR EYR","SIN REPORTE EYR")))</f>
        <v/>
      </c>
    </row>
    <row r="3367" spans="11:30" x14ac:dyDescent="0.3">
      <c r="K3367" s="1" t="str">
        <f ca="1">IF(A3367="","",IF(OR(L3367="ENTREGADA",L3367="RETORNADA",L3367="ENTREGA DIGITAL"),0,MAX(0,5-NETWORKDAYS(H3367+1,TODAY()))))</f>
        <v/>
      </c>
      <c r="L3367" t="str">
        <f>IF(A3367="","",IFERROR(LOOKUP(2,1/(#REF!=Z3367),#REF!),Y3367))</f>
        <v/>
      </c>
      <c r="Z3367" t="str">
        <f>IF(A3367="","",TEXT(A3367,"0")&amp;"|"&amp;TEXT(H3367,"0"))</f>
        <v/>
      </c>
      <c r="AA3367" t="str">
        <f>IF(Z3367="","",IFERROR(LOOKUP(2,1/(#REF!=Z3367),#REF!),""))</f>
        <v/>
      </c>
      <c r="AB3367" t="str">
        <f>IF(Z3367="","",IFERROR(LOOKUP(2,1/(#REF!=Z3367),#REF!),""))</f>
        <v/>
      </c>
      <c r="AC3367" t="str">
        <f>IF(Z3367="","",COUNTIF(#REF!,Z3367))</f>
        <v/>
      </c>
      <c r="AD3367" t="str">
        <f>IF(A3367="","",IF(AC3367&gt;1,"REVISAR DUPLICADO",IF(AA3367&lt;&gt;"","ACTUALIZADO POR EYR","SIN REPORTE EYR")))</f>
        <v/>
      </c>
    </row>
    <row r="3368" spans="11:30" x14ac:dyDescent="0.3">
      <c r="K3368" s="1" t="str">
        <f ca="1">IF(A3368="","",IF(OR(L3368="ENTREGADA",L3368="RETORNADA",L3368="ENTREGA DIGITAL"),0,MAX(0,5-NETWORKDAYS(H3368+1,TODAY()))))</f>
        <v/>
      </c>
      <c r="L3368" t="str">
        <f>IF(A3368="","",IFERROR(LOOKUP(2,1/(#REF!=Z3368),#REF!),Y3368))</f>
        <v/>
      </c>
      <c r="Z3368" t="str">
        <f>IF(A3368="","",TEXT(A3368,"0")&amp;"|"&amp;TEXT(H3368,"0"))</f>
        <v/>
      </c>
      <c r="AA3368" t="str">
        <f>IF(Z3368="","",IFERROR(LOOKUP(2,1/(#REF!=Z3368),#REF!),""))</f>
        <v/>
      </c>
      <c r="AB3368" t="str">
        <f>IF(Z3368="","",IFERROR(LOOKUP(2,1/(#REF!=Z3368),#REF!),""))</f>
        <v/>
      </c>
      <c r="AC3368" t="str">
        <f>IF(Z3368="","",COUNTIF(#REF!,Z3368))</f>
        <v/>
      </c>
      <c r="AD3368" t="str">
        <f>IF(A3368="","",IF(AC3368&gt;1,"REVISAR DUPLICADO",IF(AA3368&lt;&gt;"","ACTUALIZADO POR EYR","SIN REPORTE EYR")))</f>
        <v/>
      </c>
    </row>
    <row r="3369" spans="11:30" x14ac:dyDescent="0.3">
      <c r="K3369" s="1" t="str">
        <f ca="1">IF(A3369="","",IF(OR(L3369="ENTREGADA",L3369="RETORNADA",L3369="ENTREGA DIGITAL"),0,MAX(0,5-NETWORKDAYS(H3369+1,TODAY()))))</f>
        <v/>
      </c>
      <c r="L3369" t="str">
        <f>IF(A3369="","",IFERROR(LOOKUP(2,1/(#REF!=Z3369),#REF!),Y3369))</f>
        <v/>
      </c>
      <c r="Z3369" t="str">
        <f>IF(A3369="","",TEXT(A3369,"0")&amp;"|"&amp;TEXT(H3369,"0"))</f>
        <v/>
      </c>
      <c r="AA3369" t="str">
        <f>IF(Z3369="","",IFERROR(LOOKUP(2,1/(#REF!=Z3369),#REF!),""))</f>
        <v/>
      </c>
      <c r="AB3369" t="str">
        <f>IF(Z3369="","",IFERROR(LOOKUP(2,1/(#REF!=Z3369),#REF!),""))</f>
        <v/>
      </c>
      <c r="AC3369" t="str">
        <f>IF(Z3369="","",COUNTIF(#REF!,Z3369))</f>
        <v/>
      </c>
      <c r="AD3369" t="str">
        <f>IF(A3369="","",IF(AC3369&gt;1,"REVISAR DUPLICADO",IF(AA3369&lt;&gt;"","ACTUALIZADO POR EYR","SIN REPORTE EYR")))</f>
        <v/>
      </c>
    </row>
    <row r="3370" spans="11:30" x14ac:dyDescent="0.3">
      <c r="K3370" s="1" t="str">
        <f ca="1">IF(A3370="","",IF(OR(L3370="ENTREGADA",L3370="RETORNADA",L3370="ENTREGA DIGITAL"),0,MAX(0,5-NETWORKDAYS(H3370+1,TODAY()))))</f>
        <v/>
      </c>
      <c r="L3370" t="str">
        <f>IF(A3370="","",IFERROR(LOOKUP(2,1/(#REF!=Z3370),#REF!),Y3370))</f>
        <v/>
      </c>
      <c r="Z3370" t="str">
        <f>IF(A3370="","",TEXT(A3370,"0")&amp;"|"&amp;TEXT(H3370,"0"))</f>
        <v/>
      </c>
      <c r="AA3370" t="str">
        <f>IF(Z3370="","",IFERROR(LOOKUP(2,1/(#REF!=Z3370),#REF!),""))</f>
        <v/>
      </c>
      <c r="AB3370" t="str">
        <f>IF(Z3370="","",IFERROR(LOOKUP(2,1/(#REF!=Z3370),#REF!),""))</f>
        <v/>
      </c>
      <c r="AC3370" t="str">
        <f>IF(Z3370="","",COUNTIF(#REF!,Z3370))</f>
        <v/>
      </c>
      <c r="AD3370" t="str">
        <f>IF(A3370="","",IF(AC3370&gt;1,"REVISAR DUPLICADO",IF(AA3370&lt;&gt;"","ACTUALIZADO POR EYR","SIN REPORTE EYR")))</f>
        <v/>
      </c>
    </row>
    <row r="3371" spans="11:30" x14ac:dyDescent="0.3">
      <c r="K3371" s="1" t="str">
        <f ca="1">IF(A3371="","",IF(OR(L3371="ENTREGADA",L3371="RETORNADA",L3371="ENTREGA DIGITAL"),0,MAX(0,5-NETWORKDAYS(H3371+1,TODAY()))))</f>
        <v/>
      </c>
      <c r="L3371" t="str">
        <f>IF(A3371="","",IFERROR(LOOKUP(2,1/(#REF!=Z3371),#REF!),Y3371))</f>
        <v/>
      </c>
      <c r="Z3371" t="str">
        <f>IF(A3371="","",TEXT(A3371,"0")&amp;"|"&amp;TEXT(H3371,"0"))</f>
        <v/>
      </c>
      <c r="AA3371" t="str">
        <f>IF(Z3371="","",IFERROR(LOOKUP(2,1/(#REF!=Z3371),#REF!),""))</f>
        <v/>
      </c>
      <c r="AB3371" t="str">
        <f>IF(Z3371="","",IFERROR(LOOKUP(2,1/(#REF!=Z3371),#REF!),""))</f>
        <v/>
      </c>
      <c r="AC3371" t="str">
        <f>IF(Z3371="","",COUNTIF(#REF!,Z3371))</f>
        <v/>
      </c>
      <c r="AD3371" t="str">
        <f>IF(A3371="","",IF(AC3371&gt;1,"REVISAR DUPLICADO",IF(AA3371&lt;&gt;"","ACTUALIZADO POR EYR","SIN REPORTE EYR")))</f>
        <v/>
      </c>
    </row>
    <row r="3372" spans="11:30" x14ac:dyDescent="0.3">
      <c r="K3372" s="1" t="str">
        <f ca="1">IF(A3372="","",IF(OR(L3372="ENTREGADA",L3372="RETORNADA",L3372="ENTREGA DIGITAL"),0,MAX(0,5-NETWORKDAYS(H3372+1,TODAY()))))</f>
        <v/>
      </c>
      <c r="L3372" t="str">
        <f>IF(A3372="","",IFERROR(LOOKUP(2,1/(#REF!=Z3372),#REF!),Y3372))</f>
        <v/>
      </c>
      <c r="Z3372" t="str">
        <f>IF(A3372="","",TEXT(A3372,"0")&amp;"|"&amp;TEXT(H3372,"0"))</f>
        <v/>
      </c>
      <c r="AA3372" t="str">
        <f>IF(Z3372="","",IFERROR(LOOKUP(2,1/(#REF!=Z3372),#REF!),""))</f>
        <v/>
      </c>
      <c r="AB3372" t="str">
        <f>IF(Z3372="","",IFERROR(LOOKUP(2,1/(#REF!=Z3372),#REF!),""))</f>
        <v/>
      </c>
      <c r="AC3372" t="str">
        <f>IF(Z3372="","",COUNTIF(#REF!,Z3372))</f>
        <v/>
      </c>
      <c r="AD3372" t="str">
        <f>IF(A3372="","",IF(AC3372&gt;1,"REVISAR DUPLICADO",IF(AA3372&lt;&gt;"","ACTUALIZADO POR EYR","SIN REPORTE EYR")))</f>
        <v/>
      </c>
    </row>
    <row r="3373" spans="11:30" x14ac:dyDescent="0.3">
      <c r="K3373" s="1" t="str">
        <f ca="1">IF(A3373="","",IF(OR(L3373="ENTREGADA",L3373="RETORNADA",L3373="ENTREGA DIGITAL"),0,MAX(0,5-NETWORKDAYS(H3373+1,TODAY()))))</f>
        <v/>
      </c>
      <c r="L3373" t="str">
        <f>IF(A3373="","",IFERROR(LOOKUP(2,1/(#REF!=Z3373),#REF!),Y3373))</f>
        <v/>
      </c>
      <c r="Z3373" t="str">
        <f>IF(A3373="","",TEXT(A3373,"0")&amp;"|"&amp;TEXT(H3373,"0"))</f>
        <v/>
      </c>
      <c r="AA3373" t="str">
        <f>IF(Z3373="","",IFERROR(LOOKUP(2,1/(#REF!=Z3373),#REF!),""))</f>
        <v/>
      </c>
      <c r="AB3373" t="str">
        <f>IF(Z3373="","",IFERROR(LOOKUP(2,1/(#REF!=Z3373),#REF!),""))</f>
        <v/>
      </c>
      <c r="AC3373" t="str">
        <f>IF(Z3373="","",COUNTIF(#REF!,Z3373))</f>
        <v/>
      </c>
      <c r="AD3373" t="str">
        <f>IF(A3373="","",IF(AC3373&gt;1,"REVISAR DUPLICADO",IF(AA3373&lt;&gt;"","ACTUALIZADO POR EYR","SIN REPORTE EYR")))</f>
        <v/>
      </c>
    </row>
    <row r="3374" spans="11:30" x14ac:dyDescent="0.3">
      <c r="K3374" s="1" t="str">
        <f ca="1">IF(A3374="","",IF(OR(L3374="ENTREGADA",L3374="RETORNADA",L3374="ENTREGA DIGITAL"),0,MAX(0,5-NETWORKDAYS(H3374+1,TODAY()))))</f>
        <v/>
      </c>
      <c r="L3374" t="str">
        <f>IF(A3374="","",IFERROR(LOOKUP(2,1/(#REF!=Z3374),#REF!),Y3374))</f>
        <v/>
      </c>
      <c r="Z3374" t="str">
        <f>IF(A3374="","",TEXT(A3374,"0")&amp;"|"&amp;TEXT(H3374,"0"))</f>
        <v/>
      </c>
      <c r="AA3374" t="str">
        <f>IF(Z3374="","",IFERROR(LOOKUP(2,1/(#REF!=Z3374),#REF!),""))</f>
        <v/>
      </c>
      <c r="AB3374" t="str">
        <f>IF(Z3374="","",IFERROR(LOOKUP(2,1/(#REF!=Z3374),#REF!),""))</f>
        <v/>
      </c>
      <c r="AC3374" t="str">
        <f>IF(Z3374="","",COUNTIF(#REF!,Z3374))</f>
        <v/>
      </c>
      <c r="AD3374" t="str">
        <f>IF(A3374="","",IF(AC3374&gt;1,"REVISAR DUPLICADO",IF(AA3374&lt;&gt;"","ACTUALIZADO POR EYR","SIN REPORTE EYR")))</f>
        <v/>
      </c>
    </row>
    <row r="3375" spans="11:30" x14ac:dyDescent="0.3">
      <c r="K3375" s="1" t="str">
        <f ca="1">IF(A3375="","",IF(OR(L3375="ENTREGADA",L3375="RETORNADA",L3375="ENTREGA DIGITAL"),0,MAX(0,5-NETWORKDAYS(H3375+1,TODAY()))))</f>
        <v/>
      </c>
      <c r="L3375" t="str">
        <f>IF(A3375="","",IFERROR(LOOKUP(2,1/(#REF!=Z3375),#REF!),Y3375))</f>
        <v/>
      </c>
      <c r="Z3375" t="str">
        <f>IF(A3375="","",TEXT(A3375,"0")&amp;"|"&amp;TEXT(H3375,"0"))</f>
        <v/>
      </c>
      <c r="AA3375" t="str">
        <f>IF(Z3375="","",IFERROR(LOOKUP(2,1/(#REF!=Z3375),#REF!),""))</f>
        <v/>
      </c>
      <c r="AB3375" t="str">
        <f>IF(Z3375="","",IFERROR(LOOKUP(2,1/(#REF!=Z3375),#REF!),""))</f>
        <v/>
      </c>
      <c r="AC3375" t="str">
        <f>IF(Z3375="","",COUNTIF(#REF!,Z3375))</f>
        <v/>
      </c>
      <c r="AD3375" t="str">
        <f>IF(A3375="","",IF(AC3375&gt;1,"REVISAR DUPLICADO",IF(AA3375&lt;&gt;"","ACTUALIZADO POR EYR","SIN REPORTE EYR")))</f>
        <v/>
      </c>
    </row>
    <row r="3376" spans="11:30" x14ac:dyDescent="0.3">
      <c r="K3376" s="1" t="str">
        <f ca="1">IF(A3376="","",IF(OR(L3376="ENTREGADA",L3376="RETORNADA",L3376="ENTREGA DIGITAL"),0,MAX(0,5-NETWORKDAYS(H3376+1,TODAY()))))</f>
        <v/>
      </c>
      <c r="L3376" t="str">
        <f>IF(A3376="","",IFERROR(LOOKUP(2,1/(#REF!=Z3376),#REF!),Y3376))</f>
        <v/>
      </c>
      <c r="Z3376" t="str">
        <f>IF(A3376="","",TEXT(A3376,"0")&amp;"|"&amp;TEXT(H3376,"0"))</f>
        <v/>
      </c>
      <c r="AA3376" t="str">
        <f>IF(Z3376="","",IFERROR(LOOKUP(2,1/(#REF!=Z3376),#REF!),""))</f>
        <v/>
      </c>
      <c r="AB3376" t="str">
        <f>IF(Z3376="","",IFERROR(LOOKUP(2,1/(#REF!=Z3376),#REF!),""))</f>
        <v/>
      </c>
      <c r="AC3376" t="str">
        <f>IF(Z3376="","",COUNTIF(#REF!,Z3376))</f>
        <v/>
      </c>
      <c r="AD3376" t="str">
        <f>IF(A3376="","",IF(AC3376&gt;1,"REVISAR DUPLICADO",IF(AA3376&lt;&gt;"","ACTUALIZADO POR EYR","SIN REPORTE EYR")))</f>
        <v/>
      </c>
    </row>
    <row r="3377" spans="11:30" x14ac:dyDescent="0.3">
      <c r="K3377" s="1" t="str">
        <f ca="1">IF(A3377="","",IF(OR(L3377="ENTREGADA",L3377="RETORNADA",L3377="ENTREGA DIGITAL"),0,MAX(0,5-NETWORKDAYS(H3377+1,TODAY()))))</f>
        <v/>
      </c>
      <c r="L3377" t="str">
        <f>IF(A3377="","",IFERROR(LOOKUP(2,1/(#REF!=Z3377),#REF!),Y3377))</f>
        <v/>
      </c>
      <c r="Z3377" t="str">
        <f>IF(A3377="","",TEXT(A3377,"0")&amp;"|"&amp;TEXT(H3377,"0"))</f>
        <v/>
      </c>
      <c r="AA3377" t="str">
        <f>IF(Z3377="","",IFERROR(LOOKUP(2,1/(#REF!=Z3377),#REF!),""))</f>
        <v/>
      </c>
      <c r="AB3377" t="str">
        <f>IF(Z3377="","",IFERROR(LOOKUP(2,1/(#REF!=Z3377),#REF!),""))</f>
        <v/>
      </c>
      <c r="AC3377" t="str">
        <f>IF(Z3377="","",COUNTIF(#REF!,Z3377))</f>
        <v/>
      </c>
      <c r="AD3377" t="str">
        <f>IF(A3377="","",IF(AC3377&gt;1,"REVISAR DUPLICADO",IF(AA3377&lt;&gt;"","ACTUALIZADO POR EYR","SIN REPORTE EYR")))</f>
        <v/>
      </c>
    </row>
    <row r="3378" spans="11:30" x14ac:dyDescent="0.3">
      <c r="K3378" s="1" t="str">
        <f ca="1">IF(A3378="","",IF(OR(L3378="ENTREGADA",L3378="RETORNADA",L3378="ENTREGA DIGITAL"),0,MAX(0,5-NETWORKDAYS(H3378+1,TODAY()))))</f>
        <v/>
      </c>
      <c r="L3378" t="str">
        <f>IF(A3378="","",IFERROR(LOOKUP(2,1/(#REF!=Z3378),#REF!),Y3378))</f>
        <v/>
      </c>
      <c r="Z3378" t="str">
        <f>IF(A3378="","",TEXT(A3378,"0")&amp;"|"&amp;TEXT(H3378,"0"))</f>
        <v/>
      </c>
      <c r="AA3378" t="str">
        <f>IF(Z3378="","",IFERROR(LOOKUP(2,1/(#REF!=Z3378),#REF!),""))</f>
        <v/>
      </c>
      <c r="AB3378" t="str">
        <f>IF(Z3378="","",IFERROR(LOOKUP(2,1/(#REF!=Z3378),#REF!),""))</f>
        <v/>
      </c>
      <c r="AC3378" t="str">
        <f>IF(Z3378="","",COUNTIF(#REF!,Z3378))</f>
        <v/>
      </c>
      <c r="AD3378" t="str">
        <f>IF(A3378="","",IF(AC3378&gt;1,"REVISAR DUPLICADO",IF(AA3378&lt;&gt;"","ACTUALIZADO POR EYR","SIN REPORTE EYR")))</f>
        <v/>
      </c>
    </row>
    <row r="3379" spans="11:30" x14ac:dyDescent="0.3">
      <c r="K3379" s="1" t="str">
        <f ca="1">IF(A3379="","",IF(OR(L3379="ENTREGADA",L3379="RETORNADA",L3379="ENTREGA DIGITAL"),0,MAX(0,5-NETWORKDAYS(H3379+1,TODAY()))))</f>
        <v/>
      </c>
      <c r="L3379" t="str">
        <f>IF(A3379="","",IFERROR(LOOKUP(2,1/(#REF!=Z3379),#REF!),Y3379))</f>
        <v/>
      </c>
      <c r="Z3379" t="str">
        <f>IF(A3379="","",TEXT(A3379,"0")&amp;"|"&amp;TEXT(H3379,"0"))</f>
        <v/>
      </c>
      <c r="AA3379" t="str">
        <f>IF(Z3379="","",IFERROR(LOOKUP(2,1/(#REF!=Z3379),#REF!),""))</f>
        <v/>
      </c>
      <c r="AB3379" t="str">
        <f>IF(Z3379="","",IFERROR(LOOKUP(2,1/(#REF!=Z3379),#REF!),""))</f>
        <v/>
      </c>
      <c r="AC3379" t="str">
        <f>IF(Z3379="","",COUNTIF(#REF!,Z3379))</f>
        <v/>
      </c>
      <c r="AD3379" t="str">
        <f>IF(A3379="","",IF(AC3379&gt;1,"REVISAR DUPLICADO",IF(AA3379&lt;&gt;"","ACTUALIZADO POR EYR","SIN REPORTE EYR")))</f>
        <v/>
      </c>
    </row>
    <row r="3380" spans="11:30" x14ac:dyDescent="0.3">
      <c r="K3380" s="1" t="str">
        <f ca="1">IF(A3380="","",IF(OR(L3380="ENTREGADA",L3380="RETORNADA",L3380="ENTREGA DIGITAL"),0,MAX(0,5-NETWORKDAYS(H3380+1,TODAY()))))</f>
        <v/>
      </c>
      <c r="L3380" t="str">
        <f>IF(A3380="","",IFERROR(LOOKUP(2,1/(#REF!=Z3380),#REF!),Y3380))</f>
        <v/>
      </c>
      <c r="Z3380" t="str">
        <f>IF(A3380="","",TEXT(A3380,"0")&amp;"|"&amp;TEXT(H3380,"0"))</f>
        <v/>
      </c>
      <c r="AA3380" t="str">
        <f>IF(Z3380="","",IFERROR(LOOKUP(2,1/(#REF!=Z3380),#REF!),""))</f>
        <v/>
      </c>
      <c r="AB3380" t="str">
        <f>IF(Z3380="","",IFERROR(LOOKUP(2,1/(#REF!=Z3380),#REF!),""))</f>
        <v/>
      </c>
      <c r="AC3380" t="str">
        <f>IF(Z3380="","",COUNTIF(#REF!,Z3380))</f>
        <v/>
      </c>
      <c r="AD3380" t="str">
        <f>IF(A3380="","",IF(AC3380&gt;1,"REVISAR DUPLICADO",IF(AA3380&lt;&gt;"","ACTUALIZADO POR EYR","SIN REPORTE EYR")))</f>
        <v/>
      </c>
    </row>
    <row r="3381" spans="11:30" x14ac:dyDescent="0.3">
      <c r="K3381" s="1" t="str">
        <f ca="1">IF(A3381="","",IF(OR(L3381="ENTREGADA",L3381="RETORNADA",L3381="ENTREGA DIGITAL"),0,MAX(0,5-NETWORKDAYS(H3381+1,TODAY()))))</f>
        <v/>
      </c>
      <c r="L3381" t="str">
        <f>IF(A3381="","",IFERROR(LOOKUP(2,1/(#REF!=Z3381),#REF!),Y3381))</f>
        <v/>
      </c>
      <c r="Z3381" t="str">
        <f>IF(A3381="","",TEXT(A3381,"0")&amp;"|"&amp;TEXT(H3381,"0"))</f>
        <v/>
      </c>
      <c r="AA3381" t="str">
        <f>IF(Z3381="","",IFERROR(LOOKUP(2,1/(#REF!=Z3381),#REF!),""))</f>
        <v/>
      </c>
      <c r="AB3381" t="str">
        <f>IF(Z3381="","",IFERROR(LOOKUP(2,1/(#REF!=Z3381),#REF!),""))</f>
        <v/>
      </c>
      <c r="AC3381" t="str">
        <f>IF(Z3381="","",COUNTIF(#REF!,Z3381))</f>
        <v/>
      </c>
      <c r="AD3381" t="str">
        <f>IF(A3381="","",IF(AC3381&gt;1,"REVISAR DUPLICADO",IF(AA3381&lt;&gt;"","ACTUALIZADO POR EYR","SIN REPORTE EYR")))</f>
        <v/>
      </c>
    </row>
    <row r="3382" spans="11:30" x14ac:dyDescent="0.3">
      <c r="K3382" s="1" t="str">
        <f ca="1">IF(A3382="","",IF(OR(L3382="ENTREGADA",L3382="RETORNADA",L3382="ENTREGA DIGITAL"),0,MAX(0,5-NETWORKDAYS(H3382+1,TODAY()))))</f>
        <v/>
      </c>
      <c r="L3382" t="str">
        <f>IF(A3382="","",IFERROR(LOOKUP(2,1/(#REF!=Z3382),#REF!),Y3382))</f>
        <v/>
      </c>
      <c r="Z3382" t="str">
        <f>IF(A3382="","",TEXT(A3382,"0")&amp;"|"&amp;TEXT(H3382,"0"))</f>
        <v/>
      </c>
      <c r="AA3382" t="str">
        <f>IF(Z3382="","",IFERROR(LOOKUP(2,1/(#REF!=Z3382),#REF!),""))</f>
        <v/>
      </c>
      <c r="AB3382" t="str">
        <f>IF(Z3382="","",IFERROR(LOOKUP(2,1/(#REF!=Z3382),#REF!),""))</f>
        <v/>
      </c>
      <c r="AC3382" t="str">
        <f>IF(Z3382="","",COUNTIF(#REF!,Z3382))</f>
        <v/>
      </c>
      <c r="AD3382" t="str">
        <f>IF(A3382="","",IF(AC3382&gt;1,"REVISAR DUPLICADO",IF(AA3382&lt;&gt;"","ACTUALIZADO POR EYR","SIN REPORTE EYR")))</f>
        <v/>
      </c>
    </row>
    <row r="3383" spans="11:30" x14ac:dyDescent="0.3">
      <c r="K3383" s="1" t="str">
        <f ca="1">IF(A3383="","",IF(OR(L3383="ENTREGADA",L3383="RETORNADA",L3383="ENTREGA DIGITAL"),0,MAX(0,5-NETWORKDAYS(H3383+1,TODAY()))))</f>
        <v/>
      </c>
      <c r="L3383" t="str">
        <f>IF(A3383="","",IFERROR(LOOKUP(2,1/(#REF!=Z3383),#REF!),Y3383))</f>
        <v/>
      </c>
      <c r="Z3383" t="str">
        <f>IF(A3383="","",TEXT(A3383,"0")&amp;"|"&amp;TEXT(H3383,"0"))</f>
        <v/>
      </c>
      <c r="AA3383" t="str">
        <f>IF(Z3383="","",IFERROR(LOOKUP(2,1/(#REF!=Z3383),#REF!),""))</f>
        <v/>
      </c>
      <c r="AB3383" t="str">
        <f>IF(Z3383="","",IFERROR(LOOKUP(2,1/(#REF!=Z3383),#REF!),""))</f>
        <v/>
      </c>
      <c r="AC3383" t="str">
        <f>IF(Z3383="","",COUNTIF(#REF!,Z3383))</f>
        <v/>
      </c>
      <c r="AD3383" t="str">
        <f>IF(A3383="","",IF(AC3383&gt;1,"REVISAR DUPLICADO",IF(AA3383&lt;&gt;"","ACTUALIZADO POR EYR","SIN REPORTE EYR")))</f>
        <v/>
      </c>
    </row>
    <row r="3384" spans="11:30" x14ac:dyDescent="0.3">
      <c r="K3384" s="1" t="str">
        <f ca="1">IF(A3384="","",IF(OR(L3384="ENTREGADA",L3384="RETORNADA",L3384="ENTREGA DIGITAL"),0,MAX(0,5-NETWORKDAYS(H3384+1,TODAY()))))</f>
        <v/>
      </c>
      <c r="L3384" t="str">
        <f>IF(A3384="","",IFERROR(LOOKUP(2,1/(#REF!=Z3384),#REF!),Y3384))</f>
        <v/>
      </c>
      <c r="Z3384" t="str">
        <f>IF(A3384="","",TEXT(A3384,"0")&amp;"|"&amp;TEXT(H3384,"0"))</f>
        <v/>
      </c>
      <c r="AA3384" t="str">
        <f>IF(Z3384="","",IFERROR(LOOKUP(2,1/(#REF!=Z3384),#REF!),""))</f>
        <v/>
      </c>
      <c r="AB3384" t="str">
        <f>IF(Z3384="","",IFERROR(LOOKUP(2,1/(#REF!=Z3384),#REF!),""))</f>
        <v/>
      </c>
      <c r="AC3384" t="str">
        <f>IF(Z3384="","",COUNTIF(#REF!,Z3384))</f>
        <v/>
      </c>
      <c r="AD3384" t="str">
        <f>IF(A3384="","",IF(AC3384&gt;1,"REVISAR DUPLICADO",IF(AA3384&lt;&gt;"","ACTUALIZADO POR EYR","SIN REPORTE EYR")))</f>
        <v/>
      </c>
    </row>
    <row r="3385" spans="11:30" x14ac:dyDescent="0.3">
      <c r="K3385" s="1" t="str">
        <f ca="1">IF(A3385="","",IF(OR(L3385="ENTREGADA",L3385="RETORNADA",L3385="ENTREGA DIGITAL"),0,MAX(0,5-NETWORKDAYS(H3385+1,TODAY()))))</f>
        <v/>
      </c>
      <c r="L3385" t="str">
        <f>IF(A3385="","",IFERROR(LOOKUP(2,1/(#REF!=Z3385),#REF!),Y3385))</f>
        <v/>
      </c>
      <c r="Z3385" t="str">
        <f>IF(A3385="","",TEXT(A3385,"0")&amp;"|"&amp;TEXT(H3385,"0"))</f>
        <v/>
      </c>
      <c r="AA3385" t="str">
        <f>IF(Z3385="","",IFERROR(LOOKUP(2,1/(#REF!=Z3385),#REF!),""))</f>
        <v/>
      </c>
      <c r="AB3385" t="str">
        <f>IF(Z3385="","",IFERROR(LOOKUP(2,1/(#REF!=Z3385),#REF!),""))</f>
        <v/>
      </c>
      <c r="AC3385" t="str">
        <f>IF(Z3385="","",COUNTIF(#REF!,Z3385))</f>
        <v/>
      </c>
      <c r="AD3385" t="str">
        <f>IF(A3385="","",IF(AC3385&gt;1,"REVISAR DUPLICADO",IF(AA3385&lt;&gt;"","ACTUALIZADO POR EYR","SIN REPORTE EYR")))</f>
        <v/>
      </c>
    </row>
    <row r="3386" spans="11:30" x14ac:dyDescent="0.3">
      <c r="K3386" s="1" t="str">
        <f ca="1">IF(A3386="","",IF(OR(L3386="ENTREGADA",L3386="RETORNADA",L3386="ENTREGA DIGITAL"),0,MAX(0,5-NETWORKDAYS(H3386+1,TODAY()))))</f>
        <v/>
      </c>
      <c r="L3386" t="str">
        <f>IF(A3386="","",IFERROR(LOOKUP(2,1/(#REF!=Z3386),#REF!),Y3386))</f>
        <v/>
      </c>
      <c r="Z3386" t="str">
        <f>IF(A3386="","",TEXT(A3386,"0")&amp;"|"&amp;TEXT(H3386,"0"))</f>
        <v/>
      </c>
      <c r="AA3386" t="str">
        <f>IF(Z3386="","",IFERROR(LOOKUP(2,1/(#REF!=Z3386),#REF!),""))</f>
        <v/>
      </c>
      <c r="AB3386" t="str">
        <f>IF(Z3386="","",IFERROR(LOOKUP(2,1/(#REF!=Z3386),#REF!),""))</f>
        <v/>
      </c>
      <c r="AC3386" t="str">
        <f>IF(Z3386="","",COUNTIF(#REF!,Z3386))</f>
        <v/>
      </c>
      <c r="AD3386" t="str">
        <f>IF(A3386="","",IF(AC3386&gt;1,"REVISAR DUPLICADO",IF(AA3386&lt;&gt;"","ACTUALIZADO POR EYR","SIN REPORTE EYR")))</f>
        <v/>
      </c>
    </row>
    <row r="3387" spans="11:30" x14ac:dyDescent="0.3">
      <c r="K3387" s="1" t="str">
        <f ca="1">IF(A3387="","",IF(OR(L3387="ENTREGADA",L3387="RETORNADA",L3387="ENTREGA DIGITAL"),0,MAX(0,5-NETWORKDAYS(H3387+1,TODAY()))))</f>
        <v/>
      </c>
      <c r="L3387" t="str">
        <f>IF(A3387="","",IFERROR(LOOKUP(2,1/(#REF!=Z3387),#REF!),Y3387))</f>
        <v/>
      </c>
      <c r="Z3387" t="str">
        <f>IF(A3387="","",TEXT(A3387,"0")&amp;"|"&amp;TEXT(H3387,"0"))</f>
        <v/>
      </c>
      <c r="AA3387" t="str">
        <f>IF(Z3387="","",IFERROR(LOOKUP(2,1/(#REF!=Z3387),#REF!),""))</f>
        <v/>
      </c>
      <c r="AB3387" t="str">
        <f>IF(Z3387="","",IFERROR(LOOKUP(2,1/(#REF!=Z3387),#REF!),""))</f>
        <v/>
      </c>
      <c r="AC3387" t="str">
        <f>IF(Z3387="","",COUNTIF(#REF!,Z3387))</f>
        <v/>
      </c>
      <c r="AD3387" t="str">
        <f>IF(A3387="","",IF(AC3387&gt;1,"REVISAR DUPLICADO",IF(AA3387&lt;&gt;"","ACTUALIZADO POR EYR","SIN REPORTE EYR")))</f>
        <v/>
      </c>
    </row>
    <row r="3388" spans="11:30" x14ac:dyDescent="0.3">
      <c r="K3388" s="1" t="str">
        <f ca="1">IF(A3388="","",IF(OR(L3388="ENTREGADA",L3388="RETORNADA",L3388="ENTREGA DIGITAL"),0,MAX(0,5-NETWORKDAYS(H3388+1,TODAY()))))</f>
        <v/>
      </c>
      <c r="L3388" t="str">
        <f>IF(A3388="","",IFERROR(LOOKUP(2,1/(#REF!=Z3388),#REF!),Y3388))</f>
        <v/>
      </c>
      <c r="Z3388" t="str">
        <f>IF(A3388="","",TEXT(A3388,"0")&amp;"|"&amp;TEXT(H3388,"0"))</f>
        <v/>
      </c>
      <c r="AA3388" t="str">
        <f>IF(Z3388="","",IFERROR(LOOKUP(2,1/(#REF!=Z3388),#REF!),""))</f>
        <v/>
      </c>
      <c r="AB3388" t="str">
        <f>IF(Z3388="","",IFERROR(LOOKUP(2,1/(#REF!=Z3388),#REF!),""))</f>
        <v/>
      </c>
      <c r="AC3388" t="str">
        <f>IF(Z3388="","",COUNTIF(#REF!,Z3388))</f>
        <v/>
      </c>
      <c r="AD3388" t="str">
        <f>IF(A3388="","",IF(AC3388&gt;1,"REVISAR DUPLICADO",IF(AA3388&lt;&gt;"","ACTUALIZADO POR EYR","SIN REPORTE EYR")))</f>
        <v/>
      </c>
    </row>
    <row r="3389" spans="11:30" x14ac:dyDescent="0.3">
      <c r="K3389" s="1" t="str">
        <f ca="1">IF(A3389="","",IF(OR(L3389="ENTREGADA",L3389="RETORNADA",L3389="ENTREGA DIGITAL"),0,MAX(0,5-NETWORKDAYS(H3389+1,TODAY()))))</f>
        <v/>
      </c>
      <c r="L3389" t="str">
        <f>IF(A3389="","",IFERROR(LOOKUP(2,1/(#REF!=Z3389),#REF!),Y3389))</f>
        <v/>
      </c>
      <c r="Z3389" t="str">
        <f>IF(A3389="","",TEXT(A3389,"0")&amp;"|"&amp;TEXT(H3389,"0"))</f>
        <v/>
      </c>
      <c r="AA3389" t="str">
        <f>IF(Z3389="","",IFERROR(LOOKUP(2,1/(#REF!=Z3389),#REF!),""))</f>
        <v/>
      </c>
      <c r="AB3389" t="str">
        <f>IF(Z3389="","",IFERROR(LOOKUP(2,1/(#REF!=Z3389),#REF!),""))</f>
        <v/>
      </c>
      <c r="AC3389" t="str">
        <f>IF(Z3389="","",COUNTIF(#REF!,Z3389))</f>
        <v/>
      </c>
      <c r="AD3389" t="str">
        <f>IF(A3389="","",IF(AC3389&gt;1,"REVISAR DUPLICADO",IF(AA3389&lt;&gt;"","ACTUALIZADO POR EYR","SIN REPORTE EYR")))</f>
        <v/>
      </c>
    </row>
    <row r="3390" spans="11:30" x14ac:dyDescent="0.3">
      <c r="K3390" s="1" t="str">
        <f ca="1">IF(A3390="","",IF(OR(L3390="ENTREGADA",L3390="RETORNADA",L3390="ENTREGA DIGITAL"),0,MAX(0,5-NETWORKDAYS(H3390+1,TODAY()))))</f>
        <v/>
      </c>
      <c r="L3390" t="str">
        <f>IF(A3390="","",IFERROR(LOOKUP(2,1/(#REF!=Z3390),#REF!),Y3390))</f>
        <v/>
      </c>
      <c r="Z3390" t="str">
        <f>IF(A3390="","",TEXT(A3390,"0")&amp;"|"&amp;TEXT(H3390,"0"))</f>
        <v/>
      </c>
      <c r="AA3390" t="str">
        <f>IF(Z3390="","",IFERROR(LOOKUP(2,1/(#REF!=Z3390),#REF!),""))</f>
        <v/>
      </c>
      <c r="AB3390" t="str">
        <f>IF(Z3390="","",IFERROR(LOOKUP(2,1/(#REF!=Z3390),#REF!),""))</f>
        <v/>
      </c>
      <c r="AC3390" t="str">
        <f>IF(Z3390="","",COUNTIF(#REF!,Z3390))</f>
        <v/>
      </c>
      <c r="AD3390" t="str">
        <f>IF(A3390="","",IF(AC3390&gt;1,"REVISAR DUPLICADO",IF(AA3390&lt;&gt;"","ACTUALIZADO POR EYR","SIN REPORTE EYR")))</f>
        <v/>
      </c>
    </row>
    <row r="3391" spans="11:30" x14ac:dyDescent="0.3">
      <c r="K3391" s="1" t="str">
        <f ca="1">IF(A3391="","",IF(OR(L3391="ENTREGADA",L3391="RETORNADA",L3391="ENTREGA DIGITAL"),0,MAX(0,5-NETWORKDAYS(H3391+1,TODAY()))))</f>
        <v/>
      </c>
      <c r="L3391" t="str">
        <f>IF(A3391="","",IFERROR(LOOKUP(2,1/(#REF!=Z3391),#REF!),Y3391))</f>
        <v/>
      </c>
      <c r="Z3391" t="str">
        <f>IF(A3391="","",TEXT(A3391,"0")&amp;"|"&amp;TEXT(H3391,"0"))</f>
        <v/>
      </c>
      <c r="AA3391" t="str">
        <f>IF(Z3391="","",IFERROR(LOOKUP(2,1/(#REF!=Z3391),#REF!),""))</f>
        <v/>
      </c>
      <c r="AB3391" t="str">
        <f>IF(Z3391="","",IFERROR(LOOKUP(2,1/(#REF!=Z3391),#REF!),""))</f>
        <v/>
      </c>
      <c r="AC3391" t="str">
        <f>IF(Z3391="","",COUNTIF(#REF!,Z3391))</f>
        <v/>
      </c>
      <c r="AD3391" t="str">
        <f>IF(A3391="","",IF(AC3391&gt;1,"REVISAR DUPLICADO",IF(AA3391&lt;&gt;"","ACTUALIZADO POR EYR","SIN REPORTE EYR")))</f>
        <v/>
      </c>
    </row>
    <row r="3392" spans="11:30" x14ac:dyDescent="0.3">
      <c r="K3392" s="1" t="str">
        <f ca="1">IF(A3392="","",IF(OR(L3392="ENTREGADA",L3392="RETORNADA",L3392="ENTREGA DIGITAL"),0,MAX(0,5-NETWORKDAYS(H3392+1,TODAY()))))</f>
        <v/>
      </c>
      <c r="L3392" t="str">
        <f>IF(A3392="","",IFERROR(LOOKUP(2,1/(#REF!=Z3392),#REF!),Y3392))</f>
        <v/>
      </c>
      <c r="Z3392" t="str">
        <f>IF(A3392="","",TEXT(A3392,"0")&amp;"|"&amp;TEXT(H3392,"0"))</f>
        <v/>
      </c>
      <c r="AA3392" t="str">
        <f>IF(Z3392="","",IFERROR(LOOKUP(2,1/(#REF!=Z3392),#REF!),""))</f>
        <v/>
      </c>
      <c r="AB3392" t="str">
        <f>IF(Z3392="","",IFERROR(LOOKUP(2,1/(#REF!=Z3392),#REF!),""))</f>
        <v/>
      </c>
      <c r="AC3392" t="str">
        <f>IF(Z3392="","",COUNTIF(#REF!,Z3392))</f>
        <v/>
      </c>
      <c r="AD3392" t="str">
        <f>IF(A3392="","",IF(AC3392&gt;1,"REVISAR DUPLICADO",IF(AA3392&lt;&gt;"","ACTUALIZADO POR EYR","SIN REPORTE EYR")))</f>
        <v/>
      </c>
    </row>
    <row r="3393" spans="11:30" x14ac:dyDescent="0.3">
      <c r="K3393" s="1" t="str">
        <f ca="1">IF(A3393="","",IF(OR(L3393="ENTREGADA",L3393="RETORNADA",L3393="ENTREGA DIGITAL"),0,MAX(0,5-NETWORKDAYS(H3393+1,TODAY()))))</f>
        <v/>
      </c>
      <c r="L3393" t="str">
        <f>IF(A3393="","",IFERROR(LOOKUP(2,1/(#REF!=Z3393),#REF!),Y3393))</f>
        <v/>
      </c>
      <c r="Z3393" t="str">
        <f>IF(A3393="","",TEXT(A3393,"0")&amp;"|"&amp;TEXT(H3393,"0"))</f>
        <v/>
      </c>
      <c r="AA3393" t="str">
        <f>IF(Z3393="","",IFERROR(LOOKUP(2,1/(#REF!=Z3393),#REF!),""))</f>
        <v/>
      </c>
      <c r="AB3393" t="str">
        <f>IF(Z3393="","",IFERROR(LOOKUP(2,1/(#REF!=Z3393),#REF!),""))</f>
        <v/>
      </c>
      <c r="AC3393" t="str">
        <f>IF(Z3393="","",COUNTIF(#REF!,Z3393))</f>
        <v/>
      </c>
      <c r="AD3393" t="str">
        <f>IF(A3393="","",IF(AC3393&gt;1,"REVISAR DUPLICADO",IF(AA3393&lt;&gt;"","ACTUALIZADO POR EYR","SIN REPORTE EYR")))</f>
        <v/>
      </c>
    </row>
    <row r="3394" spans="11:30" x14ac:dyDescent="0.3">
      <c r="K3394" s="1" t="str">
        <f ca="1">IF(A3394="","",IF(OR(L3394="ENTREGADA",L3394="RETORNADA",L3394="ENTREGA DIGITAL"),0,MAX(0,5-NETWORKDAYS(H3394+1,TODAY()))))</f>
        <v/>
      </c>
      <c r="L3394" t="str">
        <f>IF(A3394="","",IFERROR(LOOKUP(2,1/(#REF!=Z3394),#REF!),Y3394))</f>
        <v/>
      </c>
      <c r="Z3394" t="str">
        <f>IF(A3394="","",TEXT(A3394,"0")&amp;"|"&amp;TEXT(H3394,"0"))</f>
        <v/>
      </c>
      <c r="AA3394" t="str">
        <f>IF(Z3394="","",IFERROR(LOOKUP(2,1/(#REF!=Z3394),#REF!),""))</f>
        <v/>
      </c>
      <c r="AB3394" t="str">
        <f>IF(Z3394="","",IFERROR(LOOKUP(2,1/(#REF!=Z3394),#REF!),""))</f>
        <v/>
      </c>
      <c r="AC3394" t="str">
        <f>IF(Z3394="","",COUNTIF(#REF!,Z3394))</f>
        <v/>
      </c>
      <c r="AD3394" t="str">
        <f>IF(A3394="","",IF(AC3394&gt;1,"REVISAR DUPLICADO",IF(AA3394&lt;&gt;"","ACTUALIZADO POR EYR","SIN REPORTE EYR")))</f>
        <v/>
      </c>
    </row>
    <row r="3395" spans="11:30" x14ac:dyDescent="0.3">
      <c r="K3395" s="1" t="str">
        <f ca="1">IF(A3395="","",IF(OR(L3395="ENTREGADA",L3395="RETORNADA",L3395="ENTREGA DIGITAL"),0,MAX(0,5-NETWORKDAYS(H3395+1,TODAY()))))</f>
        <v/>
      </c>
      <c r="L3395" t="str">
        <f>IF(A3395="","",IFERROR(LOOKUP(2,1/(#REF!=Z3395),#REF!),Y3395))</f>
        <v/>
      </c>
      <c r="Z3395" t="str">
        <f>IF(A3395="","",TEXT(A3395,"0")&amp;"|"&amp;TEXT(H3395,"0"))</f>
        <v/>
      </c>
      <c r="AA3395" t="str">
        <f>IF(Z3395="","",IFERROR(LOOKUP(2,1/(#REF!=Z3395),#REF!),""))</f>
        <v/>
      </c>
      <c r="AB3395" t="str">
        <f>IF(Z3395="","",IFERROR(LOOKUP(2,1/(#REF!=Z3395),#REF!),""))</f>
        <v/>
      </c>
      <c r="AC3395" t="str">
        <f>IF(Z3395="","",COUNTIF(#REF!,Z3395))</f>
        <v/>
      </c>
      <c r="AD3395" t="str">
        <f>IF(A3395="","",IF(AC3395&gt;1,"REVISAR DUPLICADO",IF(AA3395&lt;&gt;"","ACTUALIZADO POR EYR","SIN REPORTE EYR")))</f>
        <v/>
      </c>
    </row>
    <row r="3396" spans="11:30" x14ac:dyDescent="0.3">
      <c r="K3396" s="1" t="str">
        <f ca="1">IF(A3396="","",IF(OR(L3396="ENTREGADA",L3396="RETORNADA",L3396="ENTREGA DIGITAL"),0,MAX(0,5-NETWORKDAYS(H3396+1,TODAY()))))</f>
        <v/>
      </c>
      <c r="L3396" t="str">
        <f>IF(A3396="","",IFERROR(LOOKUP(2,1/(#REF!=Z3396),#REF!),Y3396))</f>
        <v/>
      </c>
      <c r="Z3396" t="str">
        <f>IF(A3396="","",TEXT(A3396,"0")&amp;"|"&amp;TEXT(H3396,"0"))</f>
        <v/>
      </c>
      <c r="AA3396" t="str">
        <f>IF(Z3396="","",IFERROR(LOOKUP(2,1/(#REF!=Z3396),#REF!),""))</f>
        <v/>
      </c>
      <c r="AB3396" t="str">
        <f>IF(Z3396="","",IFERROR(LOOKUP(2,1/(#REF!=Z3396),#REF!),""))</f>
        <v/>
      </c>
      <c r="AC3396" t="str">
        <f>IF(Z3396="","",COUNTIF(#REF!,Z3396))</f>
        <v/>
      </c>
      <c r="AD3396" t="str">
        <f>IF(A3396="","",IF(AC3396&gt;1,"REVISAR DUPLICADO",IF(AA3396&lt;&gt;"","ACTUALIZADO POR EYR","SIN REPORTE EYR")))</f>
        <v/>
      </c>
    </row>
    <row r="3397" spans="11:30" x14ac:dyDescent="0.3">
      <c r="K3397" s="1" t="str">
        <f ca="1">IF(A3397="","",IF(OR(L3397="ENTREGADA",L3397="RETORNADA",L3397="ENTREGA DIGITAL"),0,MAX(0,5-NETWORKDAYS(H3397+1,TODAY()))))</f>
        <v/>
      </c>
      <c r="L3397" t="str">
        <f>IF(A3397="","",IFERROR(LOOKUP(2,1/(#REF!=Z3397),#REF!),Y3397))</f>
        <v/>
      </c>
      <c r="Z3397" t="str">
        <f>IF(A3397="","",TEXT(A3397,"0")&amp;"|"&amp;TEXT(H3397,"0"))</f>
        <v/>
      </c>
      <c r="AA3397" t="str">
        <f>IF(Z3397="","",IFERROR(LOOKUP(2,1/(#REF!=Z3397),#REF!),""))</f>
        <v/>
      </c>
      <c r="AB3397" t="str">
        <f>IF(Z3397="","",IFERROR(LOOKUP(2,1/(#REF!=Z3397),#REF!),""))</f>
        <v/>
      </c>
      <c r="AC3397" t="str">
        <f>IF(Z3397="","",COUNTIF(#REF!,Z3397))</f>
        <v/>
      </c>
      <c r="AD3397" t="str">
        <f>IF(A3397="","",IF(AC3397&gt;1,"REVISAR DUPLICADO",IF(AA3397&lt;&gt;"","ACTUALIZADO POR EYR","SIN REPORTE EYR")))</f>
        <v/>
      </c>
    </row>
    <row r="3398" spans="11:30" x14ac:dyDescent="0.3">
      <c r="K3398" s="1" t="str">
        <f ca="1">IF(A3398="","",IF(OR(L3398="ENTREGADA",L3398="RETORNADA",L3398="ENTREGA DIGITAL"),0,MAX(0,5-NETWORKDAYS(H3398+1,TODAY()))))</f>
        <v/>
      </c>
      <c r="L3398" t="str">
        <f>IF(A3398="","",IFERROR(LOOKUP(2,1/(#REF!=Z3398),#REF!),Y3398))</f>
        <v/>
      </c>
      <c r="Z3398" t="str">
        <f>IF(A3398="","",TEXT(A3398,"0")&amp;"|"&amp;TEXT(H3398,"0"))</f>
        <v/>
      </c>
      <c r="AA3398" t="str">
        <f>IF(Z3398="","",IFERROR(LOOKUP(2,1/(#REF!=Z3398),#REF!),""))</f>
        <v/>
      </c>
      <c r="AB3398" t="str">
        <f>IF(Z3398="","",IFERROR(LOOKUP(2,1/(#REF!=Z3398),#REF!),""))</f>
        <v/>
      </c>
      <c r="AC3398" t="str">
        <f>IF(Z3398="","",COUNTIF(#REF!,Z3398))</f>
        <v/>
      </c>
      <c r="AD3398" t="str">
        <f>IF(A3398="","",IF(AC3398&gt;1,"REVISAR DUPLICADO",IF(AA3398&lt;&gt;"","ACTUALIZADO POR EYR","SIN REPORTE EYR")))</f>
        <v/>
      </c>
    </row>
    <row r="3399" spans="11:30" x14ac:dyDescent="0.3">
      <c r="K3399" s="1" t="str">
        <f ca="1">IF(A3399="","",IF(OR(L3399="ENTREGADA",L3399="RETORNADA",L3399="ENTREGA DIGITAL"),0,MAX(0,5-NETWORKDAYS(H3399+1,TODAY()))))</f>
        <v/>
      </c>
      <c r="L3399" t="str">
        <f>IF(A3399="","",IFERROR(LOOKUP(2,1/(#REF!=Z3399),#REF!),Y3399))</f>
        <v/>
      </c>
      <c r="Z3399" t="str">
        <f>IF(A3399="","",TEXT(A3399,"0")&amp;"|"&amp;TEXT(H3399,"0"))</f>
        <v/>
      </c>
      <c r="AA3399" t="str">
        <f>IF(Z3399="","",IFERROR(LOOKUP(2,1/(#REF!=Z3399),#REF!),""))</f>
        <v/>
      </c>
      <c r="AB3399" t="str">
        <f>IF(Z3399="","",IFERROR(LOOKUP(2,1/(#REF!=Z3399),#REF!),""))</f>
        <v/>
      </c>
      <c r="AC3399" t="str">
        <f>IF(Z3399="","",COUNTIF(#REF!,Z3399))</f>
        <v/>
      </c>
      <c r="AD3399" t="str">
        <f>IF(A3399="","",IF(AC3399&gt;1,"REVISAR DUPLICADO",IF(AA3399&lt;&gt;"","ACTUALIZADO POR EYR","SIN REPORTE EYR")))</f>
        <v/>
      </c>
    </row>
    <row r="3400" spans="11:30" x14ac:dyDescent="0.3">
      <c r="K3400" s="1" t="str">
        <f ca="1">IF(A3400="","",IF(OR(L3400="ENTREGADA",L3400="RETORNADA",L3400="ENTREGA DIGITAL"),0,MAX(0,5-NETWORKDAYS(H3400+1,TODAY()))))</f>
        <v/>
      </c>
      <c r="L3400" t="str">
        <f>IF(A3400="","",IFERROR(LOOKUP(2,1/(#REF!=Z3400),#REF!),Y3400))</f>
        <v/>
      </c>
      <c r="Z3400" t="str">
        <f>IF(A3400="","",TEXT(A3400,"0")&amp;"|"&amp;TEXT(H3400,"0"))</f>
        <v/>
      </c>
      <c r="AA3400" t="str">
        <f>IF(Z3400="","",IFERROR(LOOKUP(2,1/(#REF!=Z3400),#REF!),""))</f>
        <v/>
      </c>
      <c r="AB3400" t="str">
        <f>IF(Z3400="","",IFERROR(LOOKUP(2,1/(#REF!=Z3400),#REF!),""))</f>
        <v/>
      </c>
      <c r="AC3400" t="str">
        <f>IF(Z3400="","",COUNTIF(#REF!,Z3400))</f>
        <v/>
      </c>
      <c r="AD3400" t="str">
        <f>IF(A3400="","",IF(AC3400&gt;1,"REVISAR DUPLICADO",IF(AA3400&lt;&gt;"","ACTUALIZADO POR EYR","SIN REPORTE EYR")))</f>
        <v/>
      </c>
    </row>
    <row r="3401" spans="11:30" x14ac:dyDescent="0.3">
      <c r="K3401" s="1" t="str">
        <f ca="1">IF(A3401="","",IF(OR(L3401="ENTREGADA",L3401="RETORNADA",L3401="ENTREGA DIGITAL"),0,MAX(0,5-NETWORKDAYS(H3401+1,TODAY()))))</f>
        <v/>
      </c>
      <c r="L3401" t="str">
        <f>IF(A3401="","",IFERROR(LOOKUP(2,1/(#REF!=Z3401),#REF!),Y3401))</f>
        <v/>
      </c>
      <c r="Z3401" t="str">
        <f>IF(A3401="","",TEXT(A3401,"0")&amp;"|"&amp;TEXT(H3401,"0"))</f>
        <v/>
      </c>
      <c r="AA3401" t="str">
        <f>IF(Z3401="","",IFERROR(LOOKUP(2,1/(#REF!=Z3401),#REF!),""))</f>
        <v/>
      </c>
      <c r="AB3401" t="str">
        <f>IF(Z3401="","",IFERROR(LOOKUP(2,1/(#REF!=Z3401),#REF!),""))</f>
        <v/>
      </c>
      <c r="AC3401" t="str">
        <f>IF(Z3401="","",COUNTIF(#REF!,Z3401))</f>
        <v/>
      </c>
      <c r="AD3401" t="str">
        <f>IF(A3401="","",IF(AC3401&gt;1,"REVISAR DUPLICADO",IF(AA3401&lt;&gt;"","ACTUALIZADO POR EYR","SIN REPORTE EYR")))</f>
        <v/>
      </c>
    </row>
    <row r="3402" spans="11:30" x14ac:dyDescent="0.3">
      <c r="K3402" s="1" t="str">
        <f ca="1">IF(A3402="","",IF(OR(L3402="ENTREGADA",L3402="RETORNADA",L3402="ENTREGA DIGITAL"),0,MAX(0,5-NETWORKDAYS(H3402+1,TODAY()))))</f>
        <v/>
      </c>
      <c r="L3402" t="str">
        <f>IF(A3402="","",IFERROR(LOOKUP(2,1/(#REF!=Z3402),#REF!),Y3402))</f>
        <v/>
      </c>
      <c r="Z3402" t="str">
        <f>IF(A3402="","",TEXT(A3402,"0")&amp;"|"&amp;TEXT(H3402,"0"))</f>
        <v/>
      </c>
      <c r="AA3402" t="str">
        <f>IF(Z3402="","",IFERROR(LOOKUP(2,1/(#REF!=Z3402),#REF!),""))</f>
        <v/>
      </c>
      <c r="AB3402" t="str">
        <f>IF(Z3402="","",IFERROR(LOOKUP(2,1/(#REF!=Z3402),#REF!),""))</f>
        <v/>
      </c>
      <c r="AC3402" t="str">
        <f>IF(Z3402="","",COUNTIF(#REF!,Z3402))</f>
        <v/>
      </c>
      <c r="AD3402" t="str">
        <f>IF(A3402="","",IF(AC3402&gt;1,"REVISAR DUPLICADO",IF(AA3402&lt;&gt;"","ACTUALIZADO POR EYR","SIN REPORTE EYR")))</f>
        <v/>
      </c>
    </row>
    <row r="3403" spans="11:30" x14ac:dyDescent="0.3">
      <c r="K3403" s="1" t="str">
        <f ca="1">IF(A3403="","",IF(OR(L3403="ENTREGADA",L3403="RETORNADA",L3403="ENTREGA DIGITAL"),0,MAX(0,5-NETWORKDAYS(H3403+1,TODAY()))))</f>
        <v/>
      </c>
      <c r="L3403" t="str">
        <f>IF(A3403="","",IFERROR(LOOKUP(2,1/(#REF!=Z3403),#REF!),Y3403))</f>
        <v/>
      </c>
      <c r="Z3403" t="str">
        <f>IF(A3403="","",TEXT(A3403,"0")&amp;"|"&amp;TEXT(H3403,"0"))</f>
        <v/>
      </c>
      <c r="AA3403" t="str">
        <f>IF(Z3403="","",IFERROR(LOOKUP(2,1/(#REF!=Z3403),#REF!),""))</f>
        <v/>
      </c>
      <c r="AB3403" t="str">
        <f>IF(Z3403="","",IFERROR(LOOKUP(2,1/(#REF!=Z3403),#REF!),""))</f>
        <v/>
      </c>
      <c r="AC3403" t="str">
        <f>IF(Z3403="","",COUNTIF(#REF!,Z3403))</f>
        <v/>
      </c>
      <c r="AD3403" t="str">
        <f>IF(A3403="","",IF(AC3403&gt;1,"REVISAR DUPLICADO",IF(AA3403&lt;&gt;"","ACTUALIZADO POR EYR","SIN REPORTE EYR")))</f>
        <v/>
      </c>
    </row>
    <row r="3404" spans="11:30" x14ac:dyDescent="0.3">
      <c r="K3404" s="1" t="str">
        <f ca="1">IF(A3404="","",IF(OR(L3404="ENTREGADA",L3404="RETORNADA",L3404="ENTREGA DIGITAL"),0,MAX(0,5-NETWORKDAYS(H3404+1,TODAY()))))</f>
        <v/>
      </c>
      <c r="L3404" t="str">
        <f>IF(A3404="","",IFERROR(LOOKUP(2,1/(#REF!=Z3404),#REF!),Y3404))</f>
        <v/>
      </c>
      <c r="Z3404" t="str">
        <f>IF(A3404="","",TEXT(A3404,"0")&amp;"|"&amp;TEXT(H3404,"0"))</f>
        <v/>
      </c>
      <c r="AA3404" t="str">
        <f>IF(Z3404="","",IFERROR(LOOKUP(2,1/(#REF!=Z3404),#REF!),""))</f>
        <v/>
      </c>
      <c r="AB3404" t="str">
        <f>IF(Z3404="","",IFERROR(LOOKUP(2,1/(#REF!=Z3404),#REF!),""))</f>
        <v/>
      </c>
      <c r="AC3404" t="str">
        <f>IF(Z3404="","",COUNTIF(#REF!,Z3404))</f>
        <v/>
      </c>
      <c r="AD3404" t="str">
        <f>IF(A3404="","",IF(AC3404&gt;1,"REVISAR DUPLICADO",IF(AA3404&lt;&gt;"","ACTUALIZADO POR EYR","SIN REPORTE EYR")))</f>
        <v/>
      </c>
    </row>
    <row r="3405" spans="11:30" x14ac:dyDescent="0.3">
      <c r="K3405" s="1" t="str">
        <f ca="1">IF(A3405="","",IF(OR(L3405="ENTREGADA",L3405="RETORNADA",L3405="ENTREGA DIGITAL"),0,MAX(0,5-NETWORKDAYS(H3405+1,TODAY()))))</f>
        <v/>
      </c>
      <c r="L3405" t="str">
        <f>IF(A3405="","",IFERROR(LOOKUP(2,1/(#REF!=Z3405),#REF!),Y3405))</f>
        <v/>
      </c>
      <c r="Z3405" t="str">
        <f>IF(A3405="","",TEXT(A3405,"0")&amp;"|"&amp;TEXT(H3405,"0"))</f>
        <v/>
      </c>
      <c r="AA3405" t="str">
        <f>IF(Z3405="","",IFERROR(LOOKUP(2,1/(#REF!=Z3405),#REF!),""))</f>
        <v/>
      </c>
      <c r="AB3405" t="str">
        <f>IF(Z3405="","",IFERROR(LOOKUP(2,1/(#REF!=Z3405),#REF!),""))</f>
        <v/>
      </c>
      <c r="AC3405" t="str">
        <f>IF(Z3405="","",COUNTIF(#REF!,Z3405))</f>
        <v/>
      </c>
      <c r="AD3405" t="str">
        <f>IF(A3405="","",IF(AC3405&gt;1,"REVISAR DUPLICADO",IF(AA3405&lt;&gt;"","ACTUALIZADO POR EYR","SIN REPORTE EYR")))</f>
        <v/>
      </c>
    </row>
    <row r="3406" spans="11:30" x14ac:dyDescent="0.3">
      <c r="K3406" s="1" t="str">
        <f ca="1">IF(A3406="","",IF(OR(L3406="ENTREGADA",L3406="RETORNADA",L3406="ENTREGA DIGITAL"),0,MAX(0,5-NETWORKDAYS(H3406+1,TODAY()))))</f>
        <v/>
      </c>
      <c r="L3406" t="str">
        <f>IF(A3406="","",IFERROR(LOOKUP(2,1/(#REF!=Z3406),#REF!),Y3406))</f>
        <v/>
      </c>
      <c r="Z3406" t="str">
        <f>IF(A3406="","",TEXT(A3406,"0")&amp;"|"&amp;TEXT(H3406,"0"))</f>
        <v/>
      </c>
      <c r="AA3406" t="str">
        <f>IF(Z3406="","",IFERROR(LOOKUP(2,1/(#REF!=Z3406),#REF!),""))</f>
        <v/>
      </c>
      <c r="AB3406" t="str">
        <f>IF(Z3406="","",IFERROR(LOOKUP(2,1/(#REF!=Z3406),#REF!),""))</f>
        <v/>
      </c>
      <c r="AC3406" t="str">
        <f>IF(Z3406="","",COUNTIF(#REF!,Z3406))</f>
        <v/>
      </c>
      <c r="AD3406" t="str">
        <f>IF(A3406="","",IF(AC3406&gt;1,"REVISAR DUPLICADO",IF(AA3406&lt;&gt;"","ACTUALIZADO POR EYR","SIN REPORTE EYR")))</f>
        <v/>
      </c>
    </row>
    <row r="3407" spans="11:30" x14ac:dyDescent="0.3">
      <c r="K3407" s="1" t="str">
        <f ca="1">IF(A3407="","",IF(OR(L3407="ENTREGADA",L3407="RETORNADA",L3407="ENTREGA DIGITAL"),0,MAX(0,5-NETWORKDAYS(H3407+1,TODAY()))))</f>
        <v/>
      </c>
      <c r="L3407" t="str">
        <f>IF(A3407="","",IFERROR(LOOKUP(2,1/(#REF!=Z3407),#REF!),Y3407))</f>
        <v/>
      </c>
      <c r="Z3407" t="str">
        <f>IF(A3407="","",TEXT(A3407,"0")&amp;"|"&amp;TEXT(H3407,"0"))</f>
        <v/>
      </c>
      <c r="AA3407" t="str">
        <f>IF(Z3407="","",IFERROR(LOOKUP(2,1/(#REF!=Z3407),#REF!),""))</f>
        <v/>
      </c>
      <c r="AB3407" t="str">
        <f>IF(Z3407="","",IFERROR(LOOKUP(2,1/(#REF!=Z3407),#REF!),""))</f>
        <v/>
      </c>
      <c r="AC3407" t="str">
        <f>IF(Z3407="","",COUNTIF(#REF!,Z3407))</f>
        <v/>
      </c>
      <c r="AD3407" t="str">
        <f>IF(A3407="","",IF(AC3407&gt;1,"REVISAR DUPLICADO",IF(AA3407&lt;&gt;"","ACTUALIZADO POR EYR","SIN REPORTE EYR")))</f>
        <v/>
      </c>
    </row>
    <row r="3408" spans="11:30" x14ac:dyDescent="0.3">
      <c r="K3408" s="1" t="str">
        <f ca="1">IF(A3408="","",IF(OR(L3408="ENTREGADA",L3408="RETORNADA",L3408="ENTREGA DIGITAL"),0,MAX(0,5-NETWORKDAYS(H3408+1,TODAY()))))</f>
        <v/>
      </c>
      <c r="L3408" t="str">
        <f>IF(A3408="","",IFERROR(LOOKUP(2,1/(#REF!=Z3408),#REF!),Y3408))</f>
        <v/>
      </c>
      <c r="Z3408" t="str">
        <f>IF(A3408="","",TEXT(A3408,"0")&amp;"|"&amp;TEXT(H3408,"0"))</f>
        <v/>
      </c>
      <c r="AA3408" t="str">
        <f>IF(Z3408="","",IFERROR(LOOKUP(2,1/(#REF!=Z3408),#REF!),""))</f>
        <v/>
      </c>
      <c r="AB3408" t="str">
        <f>IF(Z3408="","",IFERROR(LOOKUP(2,1/(#REF!=Z3408),#REF!),""))</f>
        <v/>
      </c>
      <c r="AC3408" t="str">
        <f>IF(Z3408="","",COUNTIF(#REF!,Z3408))</f>
        <v/>
      </c>
      <c r="AD3408" t="str">
        <f>IF(A3408="","",IF(AC3408&gt;1,"REVISAR DUPLICADO",IF(AA3408&lt;&gt;"","ACTUALIZADO POR EYR","SIN REPORTE EYR")))</f>
        <v/>
      </c>
    </row>
    <row r="3409" spans="11:30" x14ac:dyDescent="0.3">
      <c r="K3409" s="1" t="str">
        <f ca="1">IF(A3409="","",IF(OR(L3409="ENTREGADA",L3409="RETORNADA",L3409="ENTREGA DIGITAL"),0,MAX(0,5-NETWORKDAYS(H3409+1,TODAY()))))</f>
        <v/>
      </c>
      <c r="L3409" t="str">
        <f>IF(A3409="","",IFERROR(LOOKUP(2,1/(#REF!=Z3409),#REF!),Y3409))</f>
        <v/>
      </c>
      <c r="Z3409" t="str">
        <f>IF(A3409="","",TEXT(A3409,"0")&amp;"|"&amp;TEXT(H3409,"0"))</f>
        <v/>
      </c>
      <c r="AA3409" t="str">
        <f>IF(Z3409="","",IFERROR(LOOKUP(2,1/(#REF!=Z3409),#REF!),""))</f>
        <v/>
      </c>
      <c r="AB3409" t="str">
        <f>IF(Z3409="","",IFERROR(LOOKUP(2,1/(#REF!=Z3409),#REF!),""))</f>
        <v/>
      </c>
      <c r="AC3409" t="str">
        <f>IF(Z3409="","",COUNTIF(#REF!,Z3409))</f>
        <v/>
      </c>
      <c r="AD3409" t="str">
        <f>IF(A3409="","",IF(AC3409&gt;1,"REVISAR DUPLICADO",IF(AA3409&lt;&gt;"","ACTUALIZADO POR EYR","SIN REPORTE EYR")))</f>
        <v/>
      </c>
    </row>
    <row r="3410" spans="11:30" x14ac:dyDescent="0.3">
      <c r="K3410" s="1" t="str">
        <f ca="1">IF(A3410="","",IF(OR(L3410="ENTREGADA",L3410="RETORNADA",L3410="ENTREGA DIGITAL"),0,MAX(0,5-NETWORKDAYS(H3410+1,TODAY()))))</f>
        <v/>
      </c>
      <c r="L3410" t="str">
        <f>IF(A3410="","",IFERROR(LOOKUP(2,1/(#REF!=Z3410),#REF!),Y3410))</f>
        <v/>
      </c>
      <c r="Z3410" t="str">
        <f>IF(A3410="","",TEXT(A3410,"0")&amp;"|"&amp;TEXT(H3410,"0"))</f>
        <v/>
      </c>
      <c r="AA3410" t="str">
        <f>IF(Z3410="","",IFERROR(LOOKUP(2,1/(#REF!=Z3410),#REF!),""))</f>
        <v/>
      </c>
      <c r="AB3410" t="str">
        <f>IF(Z3410="","",IFERROR(LOOKUP(2,1/(#REF!=Z3410),#REF!),""))</f>
        <v/>
      </c>
      <c r="AC3410" t="str">
        <f>IF(Z3410="","",COUNTIF(#REF!,Z3410))</f>
        <v/>
      </c>
      <c r="AD3410" t="str">
        <f>IF(A3410="","",IF(AC3410&gt;1,"REVISAR DUPLICADO",IF(AA3410&lt;&gt;"","ACTUALIZADO POR EYR","SIN REPORTE EYR")))</f>
        <v/>
      </c>
    </row>
    <row r="3411" spans="11:30" x14ac:dyDescent="0.3">
      <c r="K3411" s="1" t="str">
        <f ca="1">IF(A3411="","",IF(OR(L3411="ENTREGADA",L3411="RETORNADA",L3411="ENTREGA DIGITAL"),0,MAX(0,5-NETWORKDAYS(H3411+1,TODAY()))))</f>
        <v/>
      </c>
      <c r="L3411" t="str">
        <f>IF(A3411="","",IFERROR(LOOKUP(2,1/(#REF!=Z3411),#REF!),Y3411))</f>
        <v/>
      </c>
      <c r="Z3411" t="str">
        <f>IF(A3411="","",TEXT(A3411,"0")&amp;"|"&amp;TEXT(H3411,"0"))</f>
        <v/>
      </c>
      <c r="AA3411" t="str">
        <f>IF(Z3411="","",IFERROR(LOOKUP(2,1/(#REF!=Z3411),#REF!),""))</f>
        <v/>
      </c>
      <c r="AB3411" t="str">
        <f>IF(Z3411="","",IFERROR(LOOKUP(2,1/(#REF!=Z3411),#REF!),""))</f>
        <v/>
      </c>
      <c r="AC3411" t="str">
        <f>IF(Z3411="","",COUNTIF(#REF!,Z3411))</f>
        <v/>
      </c>
      <c r="AD3411" t="str">
        <f>IF(A3411="","",IF(AC3411&gt;1,"REVISAR DUPLICADO",IF(AA3411&lt;&gt;"","ACTUALIZADO POR EYR","SIN REPORTE EYR")))</f>
        <v/>
      </c>
    </row>
    <row r="3412" spans="11:30" x14ac:dyDescent="0.3">
      <c r="K3412" s="1" t="str">
        <f ca="1">IF(A3412="","",IF(OR(L3412="ENTREGADA",L3412="RETORNADA",L3412="ENTREGA DIGITAL"),0,MAX(0,5-NETWORKDAYS(H3412+1,TODAY()))))</f>
        <v/>
      </c>
      <c r="L3412" t="str">
        <f>IF(A3412="","",IFERROR(LOOKUP(2,1/(#REF!=Z3412),#REF!),Y3412))</f>
        <v/>
      </c>
      <c r="Z3412" t="str">
        <f>IF(A3412="","",TEXT(A3412,"0")&amp;"|"&amp;TEXT(H3412,"0"))</f>
        <v/>
      </c>
      <c r="AA3412" t="str">
        <f>IF(Z3412="","",IFERROR(LOOKUP(2,1/(#REF!=Z3412),#REF!),""))</f>
        <v/>
      </c>
      <c r="AB3412" t="str">
        <f>IF(Z3412="","",IFERROR(LOOKUP(2,1/(#REF!=Z3412),#REF!),""))</f>
        <v/>
      </c>
      <c r="AC3412" t="str">
        <f>IF(Z3412="","",COUNTIF(#REF!,Z3412))</f>
        <v/>
      </c>
      <c r="AD3412" t="str">
        <f>IF(A3412="","",IF(AC3412&gt;1,"REVISAR DUPLICADO",IF(AA3412&lt;&gt;"","ACTUALIZADO POR EYR","SIN REPORTE EYR")))</f>
        <v/>
      </c>
    </row>
    <row r="3413" spans="11:30" x14ac:dyDescent="0.3">
      <c r="K3413" s="1" t="str">
        <f ca="1">IF(A3413="","",IF(OR(L3413="ENTREGADA",L3413="RETORNADA",L3413="ENTREGA DIGITAL"),0,MAX(0,5-NETWORKDAYS(H3413+1,TODAY()))))</f>
        <v/>
      </c>
      <c r="L3413" t="str">
        <f>IF(A3413="","",IFERROR(LOOKUP(2,1/(#REF!=Z3413),#REF!),Y3413))</f>
        <v/>
      </c>
      <c r="Z3413" t="str">
        <f>IF(A3413="","",TEXT(A3413,"0")&amp;"|"&amp;TEXT(H3413,"0"))</f>
        <v/>
      </c>
      <c r="AA3413" t="str">
        <f>IF(Z3413="","",IFERROR(LOOKUP(2,1/(#REF!=Z3413),#REF!),""))</f>
        <v/>
      </c>
      <c r="AB3413" t="str">
        <f>IF(Z3413="","",IFERROR(LOOKUP(2,1/(#REF!=Z3413),#REF!),""))</f>
        <v/>
      </c>
      <c r="AC3413" t="str">
        <f>IF(Z3413="","",COUNTIF(#REF!,Z3413))</f>
        <v/>
      </c>
      <c r="AD3413" t="str">
        <f>IF(A3413="","",IF(AC3413&gt;1,"REVISAR DUPLICADO",IF(AA3413&lt;&gt;"","ACTUALIZADO POR EYR","SIN REPORTE EYR")))</f>
        <v/>
      </c>
    </row>
    <row r="3414" spans="11:30" x14ac:dyDescent="0.3">
      <c r="K3414" s="1" t="str">
        <f ca="1">IF(A3414="","",IF(OR(L3414="ENTREGADA",L3414="RETORNADA",L3414="ENTREGA DIGITAL"),0,MAX(0,5-NETWORKDAYS(H3414+1,TODAY()))))</f>
        <v/>
      </c>
      <c r="L3414" t="str">
        <f>IF(A3414="","",IFERROR(LOOKUP(2,1/(#REF!=Z3414),#REF!),Y3414))</f>
        <v/>
      </c>
      <c r="Z3414" t="str">
        <f>IF(A3414="","",TEXT(A3414,"0")&amp;"|"&amp;TEXT(H3414,"0"))</f>
        <v/>
      </c>
      <c r="AA3414" t="str">
        <f>IF(Z3414="","",IFERROR(LOOKUP(2,1/(#REF!=Z3414),#REF!),""))</f>
        <v/>
      </c>
      <c r="AB3414" t="str">
        <f>IF(Z3414="","",IFERROR(LOOKUP(2,1/(#REF!=Z3414),#REF!),""))</f>
        <v/>
      </c>
      <c r="AC3414" t="str">
        <f>IF(Z3414="","",COUNTIF(#REF!,Z3414))</f>
        <v/>
      </c>
      <c r="AD3414" t="str">
        <f>IF(A3414="","",IF(AC3414&gt;1,"REVISAR DUPLICADO",IF(AA3414&lt;&gt;"","ACTUALIZADO POR EYR","SIN REPORTE EYR")))</f>
        <v/>
      </c>
    </row>
    <row r="3415" spans="11:30" x14ac:dyDescent="0.3">
      <c r="K3415" s="1" t="str">
        <f ca="1">IF(A3415="","",IF(OR(L3415="ENTREGADA",L3415="RETORNADA",L3415="ENTREGA DIGITAL"),0,MAX(0,5-NETWORKDAYS(H3415+1,TODAY()))))</f>
        <v/>
      </c>
      <c r="L3415" t="str">
        <f>IF(A3415="","",IFERROR(LOOKUP(2,1/(#REF!=Z3415),#REF!),Y3415))</f>
        <v/>
      </c>
      <c r="Z3415" t="str">
        <f>IF(A3415="","",TEXT(A3415,"0")&amp;"|"&amp;TEXT(H3415,"0"))</f>
        <v/>
      </c>
      <c r="AA3415" t="str">
        <f>IF(Z3415="","",IFERROR(LOOKUP(2,1/(#REF!=Z3415),#REF!),""))</f>
        <v/>
      </c>
      <c r="AB3415" t="str">
        <f>IF(Z3415="","",IFERROR(LOOKUP(2,1/(#REF!=Z3415),#REF!),""))</f>
        <v/>
      </c>
      <c r="AC3415" t="str">
        <f>IF(Z3415="","",COUNTIF(#REF!,Z3415))</f>
        <v/>
      </c>
      <c r="AD3415" t="str">
        <f>IF(A3415="","",IF(AC3415&gt;1,"REVISAR DUPLICADO",IF(AA3415&lt;&gt;"","ACTUALIZADO POR EYR","SIN REPORTE EYR")))</f>
        <v/>
      </c>
    </row>
    <row r="3416" spans="11:30" x14ac:dyDescent="0.3">
      <c r="K3416" s="1" t="str">
        <f ca="1">IF(A3416="","",IF(OR(L3416="ENTREGADA",L3416="RETORNADA",L3416="ENTREGA DIGITAL"),0,MAX(0,5-NETWORKDAYS(H3416+1,TODAY()))))</f>
        <v/>
      </c>
      <c r="L3416" t="str">
        <f>IF(A3416="","",IFERROR(LOOKUP(2,1/(#REF!=Z3416),#REF!),Y3416))</f>
        <v/>
      </c>
      <c r="Z3416" t="str">
        <f>IF(A3416="","",TEXT(A3416,"0")&amp;"|"&amp;TEXT(H3416,"0"))</f>
        <v/>
      </c>
      <c r="AA3416" t="str">
        <f>IF(Z3416="","",IFERROR(LOOKUP(2,1/(#REF!=Z3416),#REF!),""))</f>
        <v/>
      </c>
      <c r="AB3416" t="str">
        <f>IF(Z3416="","",IFERROR(LOOKUP(2,1/(#REF!=Z3416),#REF!),""))</f>
        <v/>
      </c>
      <c r="AC3416" t="str">
        <f>IF(Z3416="","",COUNTIF(#REF!,Z3416))</f>
        <v/>
      </c>
      <c r="AD3416" t="str">
        <f>IF(A3416="","",IF(AC3416&gt;1,"REVISAR DUPLICADO",IF(AA3416&lt;&gt;"","ACTUALIZADO POR EYR","SIN REPORTE EYR")))</f>
        <v/>
      </c>
    </row>
    <row r="3417" spans="11:30" x14ac:dyDescent="0.3">
      <c r="K3417" s="1" t="str">
        <f ca="1">IF(A3417="","",IF(OR(L3417="ENTREGADA",L3417="RETORNADA",L3417="ENTREGA DIGITAL"),0,MAX(0,5-NETWORKDAYS(H3417+1,TODAY()))))</f>
        <v/>
      </c>
      <c r="L3417" t="str">
        <f>IF(A3417="","",IFERROR(LOOKUP(2,1/(#REF!=Z3417),#REF!),Y3417))</f>
        <v/>
      </c>
      <c r="Z3417" t="str">
        <f>IF(A3417="","",TEXT(A3417,"0")&amp;"|"&amp;TEXT(H3417,"0"))</f>
        <v/>
      </c>
      <c r="AA3417" t="str">
        <f>IF(Z3417="","",IFERROR(LOOKUP(2,1/(#REF!=Z3417),#REF!),""))</f>
        <v/>
      </c>
      <c r="AB3417" t="str">
        <f>IF(Z3417="","",IFERROR(LOOKUP(2,1/(#REF!=Z3417),#REF!),""))</f>
        <v/>
      </c>
      <c r="AC3417" t="str">
        <f>IF(Z3417="","",COUNTIF(#REF!,Z3417))</f>
        <v/>
      </c>
      <c r="AD3417" t="str">
        <f>IF(A3417="","",IF(AC3417&gt;1,"REVISAR DUPLICADO",IF(AA3417&lt;&gt;"","ACTUALIZADO POR EYR","SIN REPORTE EYR")))</f>
        <v/>
      </c>
    </row>
    <row r="3418" spans="11:30" x14ac:dyDescent="0.3">
      <c r="K3418" s="1" t="str">
        <f ca="1">IF(A3418="","",IF(OR(L3418="ENTREGADA",L3418="RETORNADA",L3418="ENTREGA DIGITAL"),0,MAX(0,5-NETWORKDAYS(H3418+1,TODAY()))))</f>
        <v/>
      </c>
      <c r="L3418" t="str">
        <f>IF(A3418="","",IFERROR(LOOKUP(2,1/(#REF!=Z3418),#REF!),Y3418))</f>
        <v/>
      </c>
      <c r="Z3418" t="str">
        <f>IF(A3418="","",TEXT(A3418,"0")&amp;"|"&amp;TEXT(H3418,"0"))</f>
        <v/>
      </c>
      <c r="AA3418" t="str">
        <f>IF(Z3418="","",IFERROR(LOOKUP(2,1/(#REF!=Z3418),#REF!),""))</f>
        <v/>
      </c>
      <c r="AB3418" t="str">
        <f>IF(Z3418="","",IFERROR(LOOKUP(2,1/(#REF!=Z3418),#REF!),""))</f>
        <v/>
      </c>
      <c r="AC3418" t="str">
        <f>IF(Z3418="","",COUNTIF(#REF!,Z3418))</f>
        <v/>
      </c>
      <c r="AD3418" t="str">
        <f>IF(A3418="","",IF(AC3418&gt;1,"REVISAR DUPLICADO",IF(AA3418&lt;&gt;"","ACTUALIZADO POR EYR","SIN REPORTE EYR")))</f>
        <v/>
      </c>
    </row>
    <row r="3419" spans="11:30" x14ac:dyDescent="0.3">
      <c r="K3419" s="1" t="str">
        <f ca="1">IF(A3419="","",IF(OR(L3419="ENTREGADA",L3419="RETORNADA",L3419="ENTREGA DIGITAL"),0,MAX(0,5-NETWORKDAYS(H3419+1,TODAY()))))</f>
        <v/>
      </c>
      <c r="L3419" t="str">
        <f>IF(A3419="","",IFERROR(LOOKUP(2,1/(#REF!=Z3419),#REF!),Y3419))</f>
        <v/>
      </c>
      <c r="Z3419" t="str">
        <f>IF(A3419="","",TEXT(A3419,"0")&amp;"|"&amp;TEXT(H3419,"0"))</f>
        <v/>
      </c>
      <c r="AA3419" t="str">
        <f>IF(Z3419="","",IFERROR(LOOKUP(2,1/(#REF!=Z3419),#REF!),""))</f>
        <v/>
      </c>
      <c r="AB3419" t="str">
        <f>IF(Z3419="","",IFERROR(LOOKUP(2,1/(#REF!=Z3419),#REF!),""))</f>
        <v/>
      </c>
      <c r="AC3419" t="str">
        <f>IF(Z3419="","",COUNTIF(#REF!,Z3419))</f>
        <v/>
      </c>
      <c r="AD3419" t="str">
        <f>IF(A3419="","",IF(AC3419&gt;1,"REVISAR DUPLICADO",IF(AA3419&lt;&gt;"","ACTUALIZADO POR EYR","SIN REPORTE EYR")))</f>
        <v/>
      </c>
    </row>
    <row r="3420" spans="11:30" x14ac:dyDescent="0.3">
      <c r="K3420" s="1" t="str">
        <f ca="1">IF(A3420="","",IF(OR(L3420="ENTREGADA",L3420="RETORNADA",L3420="ENTREGA DIGITAL"),0,MAX(0,5-NETWORKDAYS(H3420+1,TODAY()))))</f>
        <v/>
      </c>
      <c r="L3420" t="str">
        <f>IF(A3420="","",IFERROR(LOOKUP(2,1/(#REF!=Z3420),#REF!),Y3420))</f>
        <v/>
      </c>
      <c r="Z3420" t="str">
        <f>IF(A3420="","",TEXT(A3420,"0")&amp;"|"&amp;TEXT(H3420,"0"))</f>
        <v/>
      </c>
      <c r="AA3420" t="str">
        <f>IF(Z3420="","",IFERROR(LOOKUP(2,1/(#REF!=Z3420),#REF!),""))</f>
        <v/>
      </c>
      <c r="AB3420" t="str">
        <f>IF(Z3420="","",IFERROR(LOOKUP(2,1/(#REF!=Z3420),#REF!),""))</f>
        <v/>
      </c>
      <c r="AC3420" t="str">
        <f>IF(Z3420="","",COUNTIF(#REF!,Z3420))</f>
        <v/>
      </c>
      <c r="AD3420" t="str">
        <f>IF(A3420="","",IF(AC3420&gt;1,"REVISAR DUPLICADO",IF(AA3420&lt;&gt;"","ACTUALIZADO POR EYR","SIN REPORTE EYR")))</f>
        <v/>
      </c>
    </row>
    <row r="3421" spans="11:30" x14ac:dyDescent="0.3">
      <c r="K3421" s="1" t="str">
        <f ca="1">IF(A3421="","",IF(OR(L3421="ENTREGADA",L3421="RETORNADA",L3421="ENTREGA DIGITAL"),0,MAX(0,5-NETWORKDAYS(H3421+1,TODAY()))))</f>
        <v/>
      </c>
      <c r="L3421" t="str">
        <f>IF(A3421="","",IFERROR(LOOKUP(2,1/(#REF!=Z3421),#REF!),Y3421))</f>
        <v/>
      </c>
      <c r="Z3421" t="str">
        <f>IF(A3421="","",TEXT(A3421,"0")&amp;"|"&amp;TEXT(H3421,"0"))</f>
        <v/>
      </c>
      <c r="AA3421" t="str">
        <f>IF(Z3421="","",IFERROR(LOOKUP(2,1/(#REF!=Z3421),#REF!),""))</f>
        <v/>
      </c>
      <c r="AB3421" t="str">
        <f>IF(Z3421="","",IFERROR(LOOKUP(2,1/(#REF!=Z3421),#REF!),""))</f>
        <v/>
      </c>
      <c r="AC3421" t="str">
        <f>IF(Z3421="","",COUNTIF(#REF!,Z3421))</f>
        <v/>
      </c>
      <c r="AD3421" t="str">
        <f>IF(A3421="","",IF(AC3421&gt;1,"REVISAR DUPLICADO",IF(AA3421&lt;&gt;"","ACTUALIZADO POR EYR","SIN REPORTE EYR")))</f>
        <v/>
      </c>
    </row>
    <row r="3422" spans="11:30" x14ac:dyDescent="0.3">
      <c r="K3422" s="1" t="str">
        <f ca="1">IF(A3422="","",IF(OR(L3422="ENTREGADA",L3422="RETORNADA",L3422="ENTREGA DIGITAL"),0,MAX(0,5-NETWORKDAYS(H3422+1,TODAY()))))</f>
        <v/>
      </c>
      <c r="L3422" t="str">
        <f>IF(A3422="","",IFERROR(LOOKUP(2,1/(#REF!=Z3422),#REF!),Y3422))</f>
        <v/>
      </c>
      <c r="Z3422" t="str">
        <f>IF(A3422="","",TEXT(A3422,"0")&amp;"|"&amp;TEXT(H3422,"0"))</f>
        <v/>
      </c>
      <c r="AA3422" t="str">
        <f>IF(Z3422="","",IFERROR(LOOKUP(2,1/(#REF!=Z3422),#REF!),""))</f>
        <v/>
      </c>
      <c r="AB3422" t="str">
        <f>IF(Z3422="","",IFERROR(LOOKUP(2,1/(#REF!=Z3422),#REF!),""))</f>
        <v/>
      </c>
      <c r="AC3422" t="str">
        <f>IF(Z3422="","",COUNTIF(#REF!,Z3422))</f>
        <v/>
      </c>
      <c r="AD3422" t="str">
        <f>IF(A3422="","",IF(AC3422&gt;1,"REVISAR DUPLICADO",IF(AA3422&lt;&gt;"","ACTUALIZADO POR EYR","SIN REPORTE EYR")))</f>
        <v/>
      </c>
    </row>
    <row r="3423" spans="11:30" x14ac:dyDescent="0.3">
      <c r="K3423" s="1" t="str">
        <f ca="1">IF(A3423="","",IF(OR(L3423="ENTREGADA",L3423="RETORNADA",L3423="ENTREGA DIGITAL"),0,MAX(0,5-NETWORKDAYS(H3423+1,TODAY()))))</f>
        <v/>
      </c>
      <c r="L3423" t="str">
        <f>IF(A3423="","",IFERROR(LOOKUP(2,1/(#REF!=Z3423),#REF!),Y3423))</f>
        <v/>
      </c>
      <c r="Z3423" t="str">
        <f>IF(A3423="","",TEXT(A3423,"0")&amp;"|"&amp;TEXT(H3423,"0"))</f>
        <v/>
      </c>
      <c r="AA3423" t="str">
        <f>IF(Z3423="","",IFERROR(LOOKUP(2,1/(#REF!=Z3423),#REF!),""))</f>
        <v/>
      </c>
      <c r="AB3423" t="str">
        <f>IF(Z3423="","",IFERROR(LOOKUP(2,1/(#REF!=Z3423),#REF!),""))</f>
        <v/>
      </c>
      <c r="AC3423" t="str">
        <f>IF(Z3423="","",COUNTIF(#REF!,Z3423))</f>
        <v/>
      </c>
      <c r="AD3423" t="str">
        <f>IF(A3423="","",IF(AC3423&gt;1,"REVISAR DUPLICADO",IF(AA3423&lt;&gt;"","ACTUALIZADO POR EYR","SIN REPORTE EYR")))</f>
        <v/>
      </c>
    </row>
    <row r="3424" spans="11:30" x14ac:dyDescent="0.3">
      <c r="K3424" s="1" t="str">
        <f ca="1">IF(A3424="","",IF(OR(L3424="ENTREGADA",L3424="RETORNADA",L3424="ENTREGA DIGITAL"),0,MAX(0,5-NETWORKDAYS(H3424+1,TODAY()))))</f>
        <v/>
      </c>
      <c r="L3424" t="str">
        <f>IF(A3424="","",IFERROR(LOOKUP(2,1/(#REF!=Z3424),#REF!),Y3424))</f>
        <v/>
      </c>
      <c r="Z3424" t="str">
        <f>IF(A3424="","",TEXT(A3424,"0")&amp;"|"&amp;TEXT(H3424,"0"))</f>
        <v/>
      </c>
      <c r="AA3424" t="str">
        <f>IF(Z3424="","",IFERROR(LOOKUP(2,1/(#REF!=Z3424),#REF!),""))</f>
        <v/>
      </c>
      <c r="AB3424" t="str">
        <f>IF(Z3424="","",IFERROR(LOOKUP(2,1/(#REF!=Z3424),#REF!),""))</f>
        <v/>
      </c>
      <c r="AC3424" t="str">
        <f>IF(Z3424="","",COUNTIF(#REF!,Z3424))</f>
        <v/>
      </c>
      <c r="AD3424" t="str">
        <f>IF(A3424="","",IF(AC3424&gt;1,"REVISAR DUPLICADO",IF(AA3424&lt;&gt;"","ACTUALIZADO POR EYR","SIN REPORTE EYR")))</f>
        <v/>
      </c>
    </row>
    <row r="3425" spans="11:30" x14ac:dyDescent="0.3">
      <c r="K3425" s="1" t="str">
        <f ca="1">IF(A3425="","",IF(OR(L3425="ENTREGADA",L3425="RETORNADA",L3425="ENTREGA DIGITAL"),0,MAX(0,5-NETWORKDAYS(H3425+1,TODAY()))))</f>
        <v/>
      </c>
      <c r="L3425" t="str">
        <f>IF(A3425="","",IFERROR(LOOKUP(2,1/(#REF!=Z3425),#REF!),Y3425))</f>
        <v/>
      </c>
      <c r="Z3425" t="str">
        <f>IF(A3425="","",TEXT(A3425,"0")&amp;"|"&amp;TEXT(H3425,"0"))</f>
        <v/>
      </c>
      <c r="AA3425" t="str">
        <f>IF(Z3425="","",IFERROR(LOOKUP(2,1/(#REF!=Z3425),#REF!),""))</f>
        <v/>
      </c>
      <c r="AB3425" t="str">
        <f>IF(Z3425="","",IFERROR(LOOKUP(2,1/(#REF!=Z3425),#REF!),""))</f>
        <v/>
      </c>
      <c r="AC3425" t="str">
        <f>IF(Z3425="","",COUNTIF(#REF!,Z3425))</f>
        <v/>
      </c>
      <c r="AD3425" t="str">
        <f>IF(A3425="","",IF(AC3425&gt;1,"REVISAR DUPLICADO",IF(AA3425&lt;&gt;"","ACTUALIZADO POR EYR","SIN REPORTE EYR")))</f>
        <v/>
      </c>
    </row>
    <row r="3426" spans="11:30" x14ac:dyDescent="0.3">
      <c r="K3426" s="1" t="str">
        <f ca="1">IF(A3426="","",IF(OR(L3426="ENTREGADA",L3426="RETORNADA",L3426="ENTREGA DIGITAL"),0,MAX(0,5-NETWORKDAYS(H3426+1,TODAY()))))</f>
        <v/>
      </c>
      <c r="L3426" t="str">
        <f>IF(A3426="","",IFERROR(LOOKUP(2,1/(#REF!=Z3426),#REF!),Y3426))</f>
        <v/>
      </c>
      <c r="Z3426" t="str">
        <f>IF(A3426="","",TEXT(A3426,"0")&amp;"|"&amp;TEXT(H3426,"0"))</f>
        <v/>
      </c>
      <c r="AA3426" t="str">
        <f>IF(Z3426="","",IFERROR(LOOKUP(2,1/(#REF!=Z3426),#REF!),""))</f>
        <v/>
      </c>
      <c r="AB3426" t="str">
        <f>IF(Z3426="","",IFERROR(LOOKUP(2,1/(#REF!=Z3426),#REF!),""))</f>
        <v/>
      </c>
      <c r="AC3426" t="str">
        <f>IF(Z3426="","",COUNTIF(#REF!,Z3426))</f>
        <v/>
      </c>
      <c r="AD3426" t="str">
        <f>IF(A3426="","",IF(AC3426&gt;1,"REVISAR DUPLICADO",IF(AA3426&lt;&gt;"","ACTUALIZADO POR EYR","SIN REPORTE EYR")))</f>
        <v/>
      </c>
    </row>
    <row r="3427" spans="11:30" x14ac:dyDescent="0.3">
      <c r="K3427" s="1" t="str">
        <f ca="1">IF(A3427="","",IF(OR(L3427="ENTREGADA",L3427="RETORNADA",L3427="ENTREGA DIGITAL"),0,MAX(0,5-NETWORKDAYS(H3427+1,TODAY()))))</f>
        <v/>
      </c>
      <c r="L3427" t="str">
        <f>IF(A3427="","",IFERROR(LOOKUP(2,1/(#REF!=Z3427),#REF!),Y3427))</f>
        <v/>
      </c>
      <c r="Z3427" t="str">
        <f>IF(A3427="","",TEXT(A3427,"0")&amp;"|"&amp;TEXT(H3427,"0"))</f>
        <v/>
      </c>
      <c r="AA3427" t="str">
        <f>IF(Z3427="","",IFERROR(LOOKUP(2,1/(#REF!=Z3427),#REF!),""))</f>
        <v/>
      </c>
      <c r="AB3427" t="str">
        <f>IF(Z3427="","",IFERROR(LOOKUP(2,1/(#REF!=Z3427),#REF!),""))</f>
        <v/>
      </c>
      <c r="AC3427" t="str">
        <f>IF(Z3427="","",COUNTIF(#REF!,Z3427))</f>
        <v/>
      </c>
      <c r="AD3427" t="str">
        <f>IF(A3427="","",IF(AC3427&gt;1,"REVISAR DUPLICADO",IF(AA3427&lt;&gt;"","ACTUALIZADO POR EYR","SIN REPORTE EYR")))</f>
        <v/>
      </c>
    </row>
    <row r="3428" spans="11:30" x14ac:dyDescent="0.3">
      <c r="K3428" s="1" t="str">
        <f ca="1">IF(A3428="","",IF(OR(L3428="ENTREGADA",L3428="RETORNADA",L3428="ENTREGA DIGITAL"),0,MAX(0,5-NETWORKDAYS(H3428+1,TODAY()))))</f>
        <v/>
      </c>
      <c r="L3428" t="str">
        <f>IF(A3428="","",IFERROR(LOOKUP(2,1/(#REF!=Z3428),#REF!),Y3428))</f>
        <v/>
      </c>
      <c r="Z3428" t="str">
        <f>IF(A3428="","",TEXT(A3428,"0")&amp;"|"&amp;TEXT(H3428,"0"))</f>
        <v/>
      </c>
      <c r="AA3428" t="str">
        <f>IF(Z3428="","",IFERROR(LOOKUP(2,1/(#REF!=Z3428),#REF!),""))</f>
        <v/>
      </c>
      <c r="AB3428" t="str">
        <f>IF(Z3428="","",IFERROR(LOOKUP(2,1/(#REF!=Z3428),#REF!),""))</f>
        <v/>
      </c>
      <c r="AC3428" t="str">
        <f>IF(Z3428="","",COUNTIF(#REF!,Z3428))</f>
        <v/>
      </c>
      <c r="AD3428" t="str">
        <f>IF(A3428="","",IF(AC3428&gt;1,"REVISAR DUPLICADO",IF(AA3428&lt;&gt;"","ACTUALIZADO POR EYR","SIN REPORTE EYR")))</f>
        <v/>
      </c>
    </row>
    <row r="3429" spans="11:30" x14ac:dyDescent="0.3">
      <c r="K3429" s="1" t="str">
        <f ca="1">IF(A3429="","",IF(OR(L3429="ENTREGADA",L3429="RETORNADA",L3429="ENTREGA DIGITAL"),0,MAX(0,5-NETWORKDAYS(H3429+1,TODAY()))))</f>
        <v/>
      </c>
      <c r="L3429" t="str">
        <f>IF(A3429="","",IFERROR(LOOKUP(2,1/(#REF!=Z3429),#REF!),Y3429))</f>
        <v/>
      </c>
      <c r="Z3429" t="str">
        <f>IF(A3429="","",TEXT(A3429,"0")&amp;"|"&amp;TEXT(H3429,"0"))</f>
        <v/>
      </c>
      <c r="AA3429" t="str">
        <f>IF(Z3429="","",IFERROR(LOOKUP(2,1/(#REF!=Z3429),#REF!),""))</f>
        <v/>
      </c>
      <c r="AB3429" t="str">
        <f>IF(Z3429="","",IFERROR(LOOKUP(2,1/(#REF!=Z3429),#REF!),""))</f>
        <v/>
      </c>
      <c r="AC3429" t="str">
        <f>IF(Z3429="","",COUNTIF(#REF!,Z3429))</f>
        <v/>
      </c>
      <c r="AD3429" t="str">
        <f>IF(A3429="","",IF(AC3429&gt;1,"REVISAR DUPLICADO",IF(AA3429&lt;&gt;"","ACTUALIZADO POR EYR","SIN REPORTE EYR")))</f>
        <v/>
      </c>
    </row>
    <row r="3430" spans="11:30" x14ac:dyDescent="0.3">
      <c r="K3430" s="1" t="str">
        <f ca="1">IF(A3430="","",IF(OR(L3430="ENTREGADA",L3430="RETORNADA",L3430="ENTREGA DIGITAL"),0,MAX(0,5-NETWORKDAYS(H3430+1,TODAY()))))</f>
        <v/>
      </c>
      <c r="L3430" t="str">
        <f>IF(A3430="","",IFERROR(LOOKUP(2,1/(#REF!=Z3430),#REF!),Y3430))</f>
        <v/>
      </c>
      <c r="Z3430" t="str">
        <f>IF(A3430="","",TEXT(A3430,"0")&amp;"|"&amp;TEXT(H3430,"0"))</f>
        <v/>
      </c>
      <c r="AA3430" t="str">
        <f>IF(Z3430="","",IFERROR(LOOKUP(2,1/(#REF!=Z3430),#REF!),""))</f>
        <v/>
      </c>
      <c r="AB3430" t="str">
        <f>IF(Z3430="","",IFERROR(LOOKUP(2,1/(#REF!=Z3430),#REF!),""))</f>
        <v/>
      </c>
      <c r="AC3430" t="str">
        <f>IF(Z3430="","",COUNTIF(#REF!,Z3430))</f>
        <v/>
      </c>
      <c r="AD3430" t="str">
        <f>IF(A3430="","",IF(AC3430&gt;1,"REVISAR DUPLICADO",IF(AA3430&lt;&gt;"","ACTUALIZADO POR EYR","SIN REPORTE EYR")))</f>
        <v/>
      </c>
    </row>
    <row r="3431" spans="11:30" x14ac:dyDescent="0.3">
      <c r="K3431" s="1" t="str">
        <f ca="1">IF(A3431="","",IF(OR(L3431="ENTREGADA",L3431="RETORNADA",L3431="ENTREGA DIGITAL"),0,MAX(0,5-NETWORKDAYS(H3431+1,TODAY()))))</f>
        <v/>
      </c>
      <c r="L3431" t="str">
        <f>IF(A3431="","",IFERROR(LOOKUP(2,1/(#REF!=Z3431),#REF!),Y3431))</f>
        <v/>
      </c>
      <c r="Z3431" t="str">
        <f>IF(A3431="","",TEXT(A3431,"0")&amp;"|"&amp;TEXT(H3431,"0"))</f>
        <v/>
      </c>
      <c r="AA3431" t="str">
        <f>IF(Z3431="","",IFERROR(LOOKUP(2,1/(#REF!=Z3431),#REF!),""))</f>
        <v/>
      </c>
      <c r="AB3431" t="str">
        <f>IF(Z3431="","",IFERROR(LOOKUP(2,1/(#REF!=Z3431),#REF!),""))</f>
        <v/>
      </c>
      <c r="AC3431" t="str">
        <f>IF(Z3431="","",COUNTIF(#REF!,Z3431))</f>
        <v/>
      </c>
      <c r="AD3431" t="str">
        <f>IF(A3431="","",IF(AC3431&gt;1,"REVISAR DUPLICADO",IF(AA3431&lt;&gt;"","ACTUALIZADO POR EYR","SIN REPORTE EYR")))</f>
        <v/>
      </c>
    </row>
    <row r="3432" spans="11:30" x14ac:dyDescent="0.3">
      <c r="K3432" s="1" t="str">
        <f ca="1">IF(A3432="","",IF(OR(L3432="ENTREGADA",L3432="RETORNADA",L3432="ENTREGA DIGITAL"),0,MAX(0,5-NETWORKDAYS(H3432+1,TODAY()))))</f>
        <v/>
      </c>
      <c r="L3432" t="str">
        <f>IF(A3432="","",IFERROR(LOOKUP(2,1/(#REF!=Z3432),#REF!),Y3432))</f>
        <v/>
      </c>
      <c r="Z3432" t="str">
        <f>IF(A3432="","",TEXT(A3432,"0")&amp;"|"&amp;TEXT(H3432,"0"))</f>
        <v/>
      </c>
      <c r="AA3432" t="str">
        <f>IF(Z3432="","",IFERROR(LOOKUP(2,1/(#REF!=Z3432),#REF!),""))</f>
        <v/>
      </c>
      <c r="AB3432" t="str">
        <f>IF(Z3432="","",IFERROR(LOOKUP(2,1/(#REF!=Z3432),#REF!),""))</f>
        <v/>
      </c>
      <c r="AC3432" t="str">
        <f>IF(Z3432="","",COUNTIF(#REF!,Z3432))</f>
        <v/>
      </c>
      <c r="AD3432" t="str">
        <f>IF(A3432="","",IF(AC3432&gt;1,"REVISAR DUPLICADO",IF(AA3432&lt;&gt;"","ACTUALIZADO POR EYR","SIN REPORTE EYR")))</f>
        <v/>
      </c>
    </row>
    <row r="3433" spans="11:30" x14ac:dyDescent="0.3">
      <c r="K3433" s="1" t="str">
        <f ca="1">IF(A3433="","",IF(OR(L3433="ENTREGADA",L3433="RETORNADA",L3433="ENTREGA DIGITAL"),0,MAX(0,5-NETWORKDAYS(H3433+1,TODAY()))))</f>
        <v/>
      </c>
      <c r="L3433" t="str">
        <f>IF(A3433="","",IFERROR(LOOKUP(2,1/(#REF!=Z3433),#REF!),Y3433))</f>
        <v/>
      </c>
      <c r="Z3433" t="str">
        <f>IF(A3433="","",TEXT(A3433,"0")&amp;"|"&amp;TEXT(H3433,"0"))</f>
        <v/>
      </c>
      <c r="AA3433" t="str">
        <f>IF(Z3433="","",IFERROR(LOOKUP(2,1/(#REF!=Z3433),#REF!),""))</f>
        <v/>
      </c>
      <c r="AB3433" t="str">
        <f>IF(Z3433="","",IFERROR(LOOKUP(2,1/(#REF!=Z3433),#REF!),""))</f>
        <v/>
      </c>
      <c r="AC3433" t="str">
        <f>IF(Z3433="","",COUNTIF(#REF!,Z3433))</f>
        <v/>
      </c>
      <c r="AD3433" t="str">
        <f>IF(A3433="","",IF(AC3433&gt;1,"REVISAR DUPLICADO",IF(AA3433&lt;&gt;"","ACTUALIZADO POR EYR","SIN REPORTE EYR")))</f>
        <v/>
      </c>
    </row>
    <row r="3434" spans="11:30" x14ac:dyDescent="0.3">
      <c r="K3434" s="1" t="str">
        <f ca="1">IF(A3434="","",IF(OR(L3434="ENTREGADA",L3434="RETORNADA",L3434="ENTREGA DIGITAL"),0,MAX(0,5-NETWORKDAYS(H3434+1,TODAY()))))</f>
        <v/>
      </c>
      <c r="L3434" t="str">
        <f>IF(A3434="","",IFERROR(LOOKUP(2,1/(#REF!=Z3434),#REF!),Y3434))</f>
        <v/>
      </c>
      <c r="Z3434" t="str">
        <f>IF(A3434="","",TEXT(A3434,"0")&amp;"|"&amp;TEXT(H3434,"0"))</f>
        <v/>
      </c>
      <c r="AA3434" t="str">
        <f>IF(Z3434="","",IFERROR(LOOKUP(2,1/(#REF!=Z3434),#REF!),""))</f>
        <v/>
      </c>
      <c r="AB3434" t="str">
        <f>IF(Z3434="","",IFERROR(LOOKUP(2,1/(#REF!=Z3434),#REF!),""))</f>
        <v/>
      </c>
      <c r="AC3434" t="str">
        <f>IF(Z3434="","",COUNTIF(#REF!,Z3434))</f>
        <v/>
      </c>
      <c r="AD3434" t="str">
        <f>IF(A3434="","",IF(AC3434&gt;1,"REVISAR DUPLICADO",IF(AA3434&lt;&gt;"","ACTUALIZADO POR EYR","SIN REPORTE EYR")))</f>
        <v/>
      </c>
    </row>
    <row r="3435" spans="11:30" x14ac:dyDescent="0.3">
      <c r="K3435" s="1" t="str">
        <f ca="1">IF(A3435="","",IF(OR(L3435="ENTREGADA",L3435="RETORNADA",L3435="ENTREGA DIGITAL"),0,MAX(0,5-NETWORKDAYS(H3435+1,TODAY()))))</f>
        <v/>
      </c>
      <c r="L3435" t="str">
        <f>IF(A3435="","",IFERROR(LOOKUP(2,1/(#REF!=Z3435),#REF!),Y3435))</f>
        <v/>
      </c>
      <c r="Z3435" t="str">
        <f>IF(A3435="","",TEXT(A3435,"0")&amp;"|"&amp;TEXT(H3435,"0"))</f>
        <v/>
      </c>
      <c r="AA3435" t="str">
        <f>IF(Z3435="","",IFERROR(LOOKUP(2,1/(#REF!=Z3435),#REF!),""))</f>
        <v/>
      </c>
      <c r="AB3435" t="str">
        <f>IF(Z3435="","",IFERROR(LOOKUP(2,1/(#REF!=Z3435),#REF!),""))</f>
        <v/>
      </c>
      <c r="AC3435" t="str">
        <f>IF(Z3435="","",COUNTIF(#REF!,Z3435))</f>
        <v/>
      </c>
      <c r="AD3435" t="str">
        <f>IF(A3435="","",IF(AC3435&gt;1,"REVISAR DUPLICADO",IF(AA3435&lt;&gt;"","ACTUALIZADO POR EYR","SIN REPORTE EYR")))</f>
        <v/>
      </c>
    </row>
    <row r="3436" spans="11:30" x14ac:dyDescent="0.3">
      <c r="K3436" s="1" t="str">
        <f ca="1">IF(A3436="","",IF(OR(L3436="ENTREGADA",L3436="RETORNADA",L3436="ENTREGA DIGITAL"),0,MAX(0,5-NETWORKDAYS(H3436+1,TODAY()))))</f>
        <v/>
      </c>
      <c r="L3436" t="str">
        <f>IF(A3436="","",IFERROR(LOOKUP(2,1/(#REF!=Z3436),#REF!),Y3436))</f>
        <v/>
      </c>
      <c r="Z3436" t="str">
        <f>IF(A3436="","",TEXT(A3436,"0")&amp;"|"&amp;TEXT(H3436,"0"))</f>
        <v/>
      </c>
      <c r="AA3436" t="str">
        <f>IF(Z3436="","",IFERROR(LOOKUP(2,1/(#REF!=Z3436),#REF!),""))</f>
        <v/>
      </c>
      <c r="AB3436" t="str">
        <f>IF(Z3436="","",IFERROR(LOOKUP(2,1/(#REF!=Z3436),#REF!),""))</f>
        <v/>
      </c>
      <c r="AC3436" t="str">
        <f>IF(Z3436="","",COUNTIF(#REF!,Z3436))</f>
        <v/>
      </c>
      <c r="AD3436" t="str">
        <f>IF(A3436="","",IF(AC3436&gt;1,"REVISAR DUPLICADO",IF(AA3436&lt;&gt;"","ACTUALIZADO POR EYR","SIN REPORTE EYR")))</f>
        <v/>
      </c>
    </row>
    <row r="3437" spans="11:30" x14ac:dyDescent="0.3">
      <c r="K3437" s="1" t="str">
        <f ca="1">IF(A3437="","",IF(OR(L3437="ENTREGADA",L3437="RETORNADA",L3437="ENTREGA DIGITAL"),0,MAX(0,5-NETWORKDAYS(H3437+1,TODAY()))))</f>
        <v/>
      </c>
      <c r="L3437" t="str">
        <f>IF(A3437="","",IFERROR(LOOKUP(2,1/(#REF!=Z3437),#REF!),Y3437))</f>
        <v/>
      </c>
      <c r="Z3437" t="str">
        <f>IF(A3437="","",TEXT(A3437,"0")&amp;"|"&amp;TEXT(H3437,"0"))</f>
        <v/>
      </c>
      <c r="AA3437" t="str">
        <f>IF(Z3437="","",IFERROR(LOOKUP(2,1/(#REF!=Z3437),#REF!),""))</f>
        <v/>
      </c>
      <c r="AB3437" t="str">
        <f>IF(Z3437="","",IFERROR(LOOKUP(2,1/(#REF!=Z3437),#REF!),""))</f>
        <v/>
      </c>
      <c r="AC3437" t="str">
        <f>IF(Z3437="","",COUNTIF(#REF!,Z3437))</f>
        <v/>
      </c>
      <c r="AD3437" t="str">
        <f>IF(A3437="","",IF(AC3437&gt;1,"REVISAR DUPLICADO",IF(AA3437&lt;&gt;"","ACTUALIZADO POR EYR","SIN REPORTE EYR")))</f>
        <v/>
      </c>
    </row>
    <row r="3438" spans="11:30" x14ac:dyDescent="0.3">
      <c r="K3438" s="1" t="str">
        <f ca="1">IF(A3438="","",IF(OR(L3438="ENTREGADA",L3438="RETORNADA",L3438="ENTREGA DIGITAL"),0,MAX(0,5-NETWORKDAYS(H3438+1,TODAY()))))</f>
        <v/>
      </c>
      <c r="L3438" t="str">
        <f>IF(A3438="","",IFERROR(LOOKUP(2,1/(#REF!=Z3438),#REF!),Y3438))</f>
        <v/>
      </c>
      <c r="Z3438" t="str">
        <f>IF(A3438="","",TEXT(A3438,"0")&amp;"|"&amp;TEXT(H3438,"0"))</f>
        <v/>
      </c>
      <c r="AA3438" t="str">
        <f>IF(Z3438="","",IFERROR(LOOKUP(2,1/(#REF!=Z3438),#REF!),""))</f>
        <v/>
      </c>
      <c r="AB3438" t="str">
        <f>IF(Z3438="","",IFERROR(LOOKUP(2,1/(#REF!=Z3438),#REF!),""))</f>
        <v/>
      </c>
      <c r="AC3438" t="str">
        <f>IF(Z3438="","",COUNTIF(#REF!,Z3438))</f>
        <v/>
      </c>
      <c r="AD3438" t="str">
        <f>IF(A3438="","",IF(AC3438&gt;1,"REVISAR DUPLICADO",IF(AA3438&lt;&gt;"","ACTUALIZADO POR EYR","SIN REPORTE EYR")))</f>
        <v/>
      </c>
    </row>
    <row r="3439" spans="11:30" x14ac:dyDescent="0.3">
      <c r="K3439" s="1" t="str">
        <f ca="1">IF(A3439="","",IF(OR(L3439="ENTREGADA",L3439="RETORNADA",L3439="ENTREGA DIGITAL"),0,MAX(0,5-NETWORKDAYS(H3439+1,TODAY()))))</f>
        <v/>
      </c>
      <c r="L3439" t="str">
        <f>IF(A3439="","",IFERROR(LOOKUP(2,1/(#REF!=Z3439),#REF!),Y3439))</f>
        <v/>
      </c>
      <c r="Z3439" t="str">
        <f>IF(A3439="","",TEXT(A3439,"0")&amp;"|"&amp;TEXT(H3439,"0"))</f>
        <v/>
      </c>
      <c r="AA3439" t="str">
        <f>IF(Z3439="","",IFERROR(LOOKUP(2,1/(#REF!=Z3439),#REF!),""))</f>
        <v/>
      </c>
      <c r="AB3439" t="str">
        <f>IF(Z3439="","",IFERROR(LOOKUP(2,1/(#REF!=Z3439),#REF!),""))</f>
        <v/>
      </c>
      <c r="AC3439" t="str">
        <f>IF(Z3439="","",COUNTIF(#REF!,Z3439))</f>
        <v/>
      </c>
      <c r="AD3439" t="str">
        <f>IF(A3439="","",IF(AC3439&gt;1,"REVISAR DUPLICADO",IF(AA3439&lt;&gt;"","ACTUALIZADO POR EYR","SIN REPORTE EYR")))</f>
        <v/>
      </c>
    </row>
    <row r="3440" spans="11:30" x14ac:dyDescent="0.3">
      <c r="K3440" s="1" t="str">
        <f ca="1">IF(A3440="","",IF(OR(L3440="ENTREGADA",L3440="RETORNADA",L3440="ENTREGA DIGITAL"),0,MAX(0,5-NETWORKDAYS(H3440+1,TODAY()))))</f>
        <v/>
      </c>
      <c r="L3440" t="str">
        <f>IF(A3440="","",IFERROR(LOOKUP(2,1/(#REF!=Z3440),#REF!),Y3440))</f>
        <v/>
      </c>
      <c r="Z3440" t="str">
        <f>IF(A3440="","",TEXT(A3440,"0")&amp;"|"&amp;TEXT(H3440,"0"))</f>
        <v/>
      </c>
      <c r="AA3440" t="str">
        <f>IF(Z3440="","",IFERROR(LOOKUP(2,1/(#REF!=Z3440),#REF!),""))</f>
        <v/>
      </c>
      <c r="AB3440" t="str">
        <f>IF(Z3440="","",IFERROR(LOOKUP(2,1/(#REF!=Z3440),#REF!),""))</f>
        <v/>
      </c>
      <c r="AC3440" t="str">
        <f>IF(Z3440="","",COUNTIF(#REF!,Z3440))</f>
        <v/>
      </c>
      <c r="AD3440" t="str">
        <f>IF(A3440="","",IF(AC3440&gt;1,"REVISAR DUPLICADO",IF(AA3440&lt;&gt;"","ACTUALIZADO POR EYR","SIN REPORTE EYR")))</f>
        <v/>
      </c>
    </row>
    <row r="3441" spans="11:30" x14ac:dyDescent="0.3">
      <c r="K3441" s="1" t="str">
        <f ca="1">IF(A3441="","",IF(OR(L3441="ENTREGADA",L3441="RETORNADA",L3441="ENTREGA DIGITAL"),0,MAX(0,5-NETWORKDAYS(H3441+1,TODAY()))))</f>
        <v/>
      </c>
      <c r="L3441" t="str">
        <f>IF(A3441="","",IFERROR(LOOKUP(2,1/(#REF!=Z3441),#REF!),Y3441))</f>
        <v/>
      </c>
      <c r="Z3441" t="str">
        <f>IF(A3441="","",TEXT(A3441,"0")&amp;"|"&amp;TEXT(H3441,"0"))</f>
        <v/>
      </c>
      <c r="AA3441" t="str">
        <f>IF(Z3441="","",IFERROR(LOOKUP(2,1/(#REF!=Z3441),#REF!),""))</f>
        <v/>
      </c>
      <c r="AB3441" t="str">
        <f>IF(Z3441="","",IFERROR(LOOKUP(2,1/(#REF!=Z3441),#REF!),""))</f>
        <v/>
      </c>
      <c r="AC3441" t="str">
        <f>IF(Z3441="","",COUNTIF(#REF!,Z3441))</f>
        <v/>
      </c>
      <c r="AD3441" t="str">
        <f>IF(A3441="","",IF(AC3441&gt;1,"REVISAR DUPLICADO",IF(AA3441&lt;&gt;"","ACTUALIZADO POR EYR","SIN REPORTE EYR")))</f>
        <v/>
      </c>
    </row>
    <row r="3442" spans="11:30" x14ac:dyDescent="0.3">
      <c r="K3442" s="1" t="str">
        <f ca="1">IF(A3442="","",IF(OR(L3442="ENTREGADA",L3442="RETORNADA",L3442="ENTREGA DIGITAL"),0,MAX(0,5-NETWORKDAYS(H3442+1,TODAY()))))</f>
        <v/>
      </c>
      <c r="L3442" t="str">
        <f>IF(A3442="","",IFERROR(LOOKUP(2,1/(#REF!=Z3442),#REF!),Y3442))</f>
        <v/>
      </c>
      <c r="Z3442" t="str">
        <f>IF(A3442="","",TEXT(A3442,"0")&amp;"|"&amp;TEXT(H3442,"0"))</f>
        <v/>
      </c>
      <c r="AA3442" t="str">
        <f>IF(Z3442="","",IFERROR(LOOKUP(2,1/(#REF!=Z3442),#REF!),""))</f>
        <v/>
      </c>
      <c r="AB3442" t="str">
        <f>IF(Z3442="","",IFERROR(LOOKUP(2,1/(#REF!=Z3442),#REF!),""))</f>
        <v/>
      </c>
      <c r="AC3442" t="str">
        <f>IF(Z3442="","",COUNTIF(#REF!,Z3442))</f>
        <v/>
      </c>
      <c r="AD3442" t="str">
        <f>IF(A3442="","",IF(AC3442&gt;1,"REVISAR DUPLICADO",IF(AA3442&lt;&gt;"","ACTUALIZADO POR EYR","SIN REPORTE EYR")))</f>
        <v/>
      </c>
    </row>
    <row r="3443" spans="11:30" x14ac:dyDescent="0.3">
      <c r="K3443" s="1" t="str">
        <f ca="1">IF(A3443="","",IF(OR(L3443="ENTREGADA",L3443="RETORNADA",L3443="ENTREGA DIGITAL"),0,MAX(0,5-NETWORKDAYS(H3443+1,TODAY()))))</f>
        <v/>
      </c>
      <c r="L3443" t="str">
        <f>IF(A3443="","",IFERROR(LOOKUP(2,1/(#REF!=Z3443),#REF!),Y3443))</f>
        <v/>
      </c>
      <c r="Z3443" t="str">
        <f>IF(A3443="","",TEXT(A3443,"0")&amp;"|"&amp;TEXT(H3443,"0"))</f>
        <v/>
      </c>
      <c r="AA3443" t="str">
        <f>IF(Z3443="","",IFERROR(LOOKUP(2,1/(#REF!=Z3443),#REF!),""))</f>
        <v/>
      </c>
      <c r="AB3443" t="str">
        <f>IF(Z3443="","",IFERROR(LOOKUP(2,1/(#REF!=Z3443),#REF!),""))</f>
        <v/>
      </c>
      <c r="AC3443" t="str">
        <f>IF(Z3443="","",COUNTIF(#REF!,Z3443))</f>
        <v/>
      </c>
      <c r="AD3443" t="str">
        <f>IF(A3443="","",IF(AC3443&gt;1,"REVISAR DUPLICADO",IF(AA3443&lt;&gt;"","ACTUALIZADO POR EYR","SIN REPORTE EYR")))</f>
        <v/>
      </c>
    </row>
    <row r="3444" spans="11:30" x14ac:dyDescent="0.3">
      <c r="K3444" s="1" t="str">
        <f ca="1">IF(A3444="","",IF(OR(L3444="ENTREGADA",L3444="RETORNADA",L3444="ENTREGA DIGITAL"),0,MAX(0,5-NETWORKDAYS(H3444+1,TODAY()))))</f>
        <v/>
      </c>
      <c r="L3444" t="str">
        <f>IF(A3444="","",IFERROR(LOOKUP(2,1/(#REF!=Z3444),#REF!),Y3444))</f>
        <v/>
      </c>
      <c r="Z3444" t="str">
        <f>IF(A3444="","",TEXT(A3444,"0")&amp;"|"&amp;TEXT(H3444,"0"))</f>
        <v/>
      </c>
      <c r="AA3444" t="str">
        <f>IF(Z3444="","",IFERROR(LOOKUP(2,1/(#REF!=Z3444),#REF!),""))</f>
        <v/>
      </c>
      <c r="AB3444" t="str">
        <f>IF(Z3444="","",IFERROR(LOOKUP(2,1/(#REF!=Z3444),#REF!),""))</f>
        <v/>
      </c>
      <c r="AC3444" t="str">
        <f>IF(Z3444="","",COUNTIF(#REF!,Z3444))</f>
        <v/>
      </c>
      <c r="AD3444" t="str">
        <f>IF(A3444="","",IF(AC3444&gt;1,"REVISAR DUPLICADO",IF(AA3444&lt;&gt;"","ACTUALIZADO POR EYR","SIN REPORTE EYR")))</f>
        <v/>
      </c>
    </row>
    <row r="3445" spans="11:30" x14ac:dyDescent="0.3">
      <c r="K3445" s="1" t="str">
        <f ca="1">IF(A3445="","",IF(OR(L3445="ENTREGADA",L3445="RETORNADA",L3445="ENTREGA DIGITAL"),0,MAX(0,5-NETWORKDAYS(H3445+1,TODAY()))))</f>
        <v/>
      </c>
      <c r="L3445" t="str">
        <f>IF(A3445="","",IFERROR(LOOKUP(2,1/(#REF!=Z3445),#REF!),Y3445))</f>
        <v/>
      </c>
      <c r="Z3445" t="str">
        <f>IF(A3445="","",TEXT(A3445,"0")&amp;"|"&amp;TEXT(H3445,"0"))</f>
        <v/>
      </c>
      <c r="AA3445" t="str">
        <f>IF(Z3445="","",IFERROR(LOOKUP(2,1/(#REF!=Z3445),#REF!),""))</f>
        <v/>
      </c>
      <c r="AB3445" t="str">
        <f>IF(Z3445="","",IFERROR(LOOKUP(2,1/(#REF!=Z3445),#REF!),""))</f>
        <v/>
      </c>
      <c r="AC3445" t="str">
        <f>IF(Z3445="","",COUNTIF(#REF!,Z3445))</f>
        <v/>
      </c>
      <c r="AD3445" t="str">
        <f>IF(A3445="","",IF(AC3445&gt;1,"REVISAR DUPLICADO",IF(AA3445&lt;&gt;"","ACTUALIZADO POR EYR","SIN REPORTE EYR")))</f>
        <v/>
      </c>
    </row>
    <row r="3446" spans="11:30" x14ac:dyDescent="0.3">
      <c r="K3446" s="1" t="str">
        <f ca="1">IF(A3446="","",IF(OR(L3446="ENTREGADA",L3446="RETORNADA",L3446="ENTREGA DIGITAL"),0,MAX(0,5-NETWORKDAYS(H3446+1,TODAY()))))</f>
        <v/>
      </c>
      <c r="L3446" t="str">
        <f>IF(A3446="","",IFERROR(LOOKUP(2,1/(#REF!=Z3446),#REF!),Y3446))</f>
        <v/>
      </c>
      <c r="Z3446" t="str">
        <f>IF(A3446="","",TEXT(A3446,"0")&amp;"|"&amp;TEXT(H3446,"0"))</f>
        <v/>
      </c>
      <c r="AA3446" t="str">
        <f>IF(Z3446="","",IFERROR(LOOKUP(2,1/(#REF!=Z3446),#REF!),""))</f>
        <v/>
      </c>
      <c r="AB3446" t="str">
        <f>IF(Z3446="","",IFERROR(LOOKUP(2,1/(#REF!=Z3446),#REF!),""))</f>
        <v/>
      </c>
      <c r="AC3446" t="str">
        <f>IF(Z3446="","",COUNTIF(#REF!,Z3446))</f>
        <v/>
      </c>
      <c r="AD3446" t="str">
        <f>IF(A3446="","",IF(AC3446&gt;1,"REVISAR DUPLICADO",IF(AA3446&lt;&gt;"","ACTUALIZADO POR EYR","SIN REPORTE EYR")))</f>
        <v/>
      </c>
    </row>
    <row r="3447" spans="11:30" x14ac:dyDescent="0.3">
      <c r="K3447" s="1" t="str">
        <f ca="1">IF(A3447="","",IF(OR(L3447="ENTREGADA",L3447="RETORNADA",L3447="ENTREGA DIGITAL"),0,MAX(0,5-NETWORKDAYS(H3447+1,TODAY()))))</f>
        <v/>
      </c>
      <c r="L3447" t="str">
        <f>IF(A3447="","",IFERROR(LOOKUP(2,1/(#REF!=Z3447),#REF!),Y3447))</f>
        <v/>
      </c>
      <c r="Z3447" t="str">
        <f>IF(A3447="","",TEXT(A3447,"0")&amp;"|"&amp;TEXT(H3447,"0"))</f>
        <v/>
      </c>
      <c r="AA3447" t="str">
        <f>IF(Z3447="","",IFERROR(LOOKUP(2,1/(#REF!=Z3447),#REF!),""))</f>
        <v/>
      </c>
      <c r="AB3447" t="str">
        <f>IF(Z3447="","",IFERROR(LOOKUP(2,1/(#REF!=Z3447),#REF!),""))</f>
        <v/>
      </c>
      <c r="AC3447" t="str">
        <f>IF(Z3447="","",COUNTIF(#REF!,Z3447))</f>
        <v/>
      </c>
      <c r="AD3447" t="str">
        <f>IF(A3447="","",IF(AC3447&gt;1,"REVISAR DUPLICADO",IF(AA3447&lt;&gt;"","ACTUALIZADO POR EYR","SIN REPORTE EYR")))</f>
        <v/>
      </c>
    </row>
    <row r="3448" spans="11:30" x14ac:dyDescent="0.3">
      <c r="K3448" s="1" t="str">
        <f ca="1">IF(A3448="","",IF(OR(L3448="ENTREGADA",L3448="RETORNADA",L3448="ENTREGA DIGITAL"),0,MAX(0,5-NETWORKDAYS(H3448+1,TODAY()))))</f>
        <v/>
      </c>
      <c r="L3448" t="str">
        <f>IF(A3448="","",IFERROR(LOOKUP(2,1/(#REF!=Z3448),#REF!),Y3448))</f>
        <v/>
      </c>
      <c r="Z3448" t="str">
        <f>IF(A3448="","",TEXT(A3448,"0")&amp;"|"&amp;TEXT(H3448,"0"))</f>
        <v/>
      </c>
      <c r="AA3448" t="str">
        <f>IF(Z3448="","",IFERROR(LOOKUP(2,1/(#REF!=Z3448),#REF!),""))</f>
        <v/>
      </c>
      <c r="AB3448" t="str">
        <f>IF(Z3448="","",IFERROR(LOOKUP(2,1/(#REF!=Z3448),#REF!),""))</f>
        <v/>
      </c>
      <c r="AC3448" t="str">
        <f>IF(Z3448="","",COUNTIF(#REF!,Z3448))</f>
        <v/>
      </c>
      <c r="AD3448" t="str">
        <f>IF(A3448="","",IF(AC3448&gt;1,"REVISAR DUPLICADO",IF(AA3448&lt;&gt;"","ACTUALIZADO POR EYR","SIN REPORTE EYR")))</f>
        <v/>
      </c>
    </row>
    <row r="3449" spans="11:30" x14ac:dyDescent="0.3">
      <c r="K3449" s="1" t="str">
        <f ca="1">IF(A3449="","",IF(OR(L3449="ENTREGADA",L3449="RETORNADA",L3449="ENTREGA DIGITAL"),0,MAX(0,5-NETWORKDAYS(H3449+1,TODAY()))))</f>
        <v/>
      </c>
      <c r="L3449" t="str">
        <f>IF(A3449="","",IFERROR(LOOKUP(2,1/(#REF!=Z3449),#REF!),Y3449))</f>
        <v/>
      </c>
      <c r="Z3449" t="str">
        <f>IF(A3449="","",TEXT(A3449,"0")&amp;"|"&amp;TEXT(H3449,"0"))</f>
        <v/>
      </c>
      <c r="AA3449" t="str">
        <f>IF(Z3449="","",IFERROR(LOOKUP(2,1/(#REF!=Z3449),#REF!),""))</f>
        <v/>
      </c>
      <c r="AB3449" t="str">
        <f>IF(Z3449="","",IFERROR(LOOKUP(2,1/(#REF!=Z3449),#REF!),""))</f>
        <v/>
      </c>
      <c r="AC3449" t="str">
        <f>IF(Z3449="","",COUNTIF(#REF!,Z3449))</f>
        <v/>
      </c>
      <c r="AD3449" t="str">
        <f>IF(A3449="","",IF(AC3449&gt;1,"REVISAR DUPLICADO",IF(AA3449&lt;&gt;"","ACTUALIZADO POR EYR","SIN REPORTE EYR")))</f>
        <v/>
      </c>
    </row>
    <row r="3450" spans="11:30" x14ac:dyDescent="0.3">
      <c r="K3450" s="1" t="str">
        <f ca="1">IF(A3450="","",IF(OR(L3450="ENTREGADA",L3450="RETORNADA",L3450="ENTREGA DIGITAL"),0,MAX(0,5-NETWORKDAYS(H3450+1,TODAY()))))</f>
        <v/>
      </c>
      <c r="L3450" t="str">
        <f>IF(A3450="","",IFERROR(LOOKUP(2,1/(#REF!=Z3450),#REF!),Y3450))</f>
        <v/>
      </c>
      <c r="Z3450" t="str">
        <f>IF(A3450="","",TEXT(A3450,"0")&amp;"|"&amp;TEXT(H3450,"0"))</f>
        <v/>
      </c>
      <c r="AA3450" t="str">
        <f>IF(Z3450="","",IFERROR(LOOKUP(2,1/(#REF!=Z3450),#REF!),""))</f>
        <v/>
      </c>
      <c r="AB3450" t="str">
        <f>IF(Z3450="","",IFERROR(LOOKUP(2,1/(#REF!=Z3450),#REF!),""))</f>
        <v/>
      </c>
      <c r="AC3450" t="str">
        <f>IF(Z3450="","",COUNTIF(#REF!,Z3450))</f>
        <v/>
      </c>
      <c r="AD3450" t="str">
        <f>IF(A3450="","",IF(AC3450&gt;1,"REVISAR DUPLICADO",IF(AA3450&lt;&gt;"","ACTUALIZADO POR EYR","SIN REPORTE EYR")))</f>
        <v/>
      </c>
    </row>
    <row r="3451" spans="11:30" x14ac:dyDescent="0.3">
      <c r="K3451" s="1" t="str">
        <f ca="1">IF(A3451="","",IF(OR(L3451="ENTREGADA",L3451="RETORNADA",L3451="ENTREGA DIGITAL"),0,MAX(0,5-NETWORKDAYS(H3451+1,TODAY()))))</f>
        <v/>
      </c>
      <c r="L3451" t="str">
        <f>IF(A3451="","",IFERROR(LOOKUP(2,1/(#REF!=Z3451),#REF!),Y3451))</f>
        <v/>
      </c>
      <c r="Z3451" t="str">
        <f>IF(A3451="","",TEXT(A3451,"0")&amp;"|"&amp;TEXT(H3451,"0"))</f>
        <v/>
      </c>
      <c r="AA3451" t="str">
        <f>IF(Z3451="","",IFERROR(LOOKUP(2,1/(#REF!=Z3451),#REF!),""))</f>
        <v/>
      </c>
      <c r="AB3451" t="str">
        <f>IF(Z3451="","",IFERROR(LOOKUP(2,1/(#REF!=Z3451),#REF!),""))</f>
        <v/>
      </c>
      <c r="AC3451" t="str">
        <f>IF(Z3451="","",COUNTIF(#REF!,Z3451))</f>
        <v/>
      </c>
      <c r="AD3451" t="str">
        <f>IF(A3451="","",IF(AC3451&gt;1,"REVISAR DUPLICADO",IF(AA3451&lt;&gt;"","ACTUALIZADO POR EYR","SIN REPORTE EYR")))</f>
        <v/>
      </c>
    </row>
    <row r="3452" spans="11:30" x14ac:dyDescent="0.3">
      <c r="K3452" s="1" t="str">
        <f ca="1">IF(A3452="","",IF(OR(L3452="ENTREGADA",L3452="RETORNADA",L3452="ENTREGA DIGITAL"),0,MAX(0,5-NETWORKDAYS(H3452+1,TODAY()))))</f>
        <v/>
      </c>
      <c r="L3452" t="str">
        <f>IF(A3452="","",IFERROR(LOOKUP(2,1/(#REF!=Z3452),#REF!),Y3452))</f>
        <v/>
      </c>
      <c r="Z3452" t="str">
        <f>IF(A3452="","",TEXT(A3452,"0")&amp;"|"&amp;TEXT(H3452,"0"))</f>
        <v/>
      </c>
      <c r="AA3452" t="str">
        <f>IF(Z3452="","",IFERROR(LOOKUP(2,1/(#REF!=Z3452),#REF!),""))</f>
        <v/>
      </c>
      <c r="AB3452" t="str">
        <f>IF(Z3452="","",IFERROR(LOOKUP(2,1/(#REF!=Z3452),#REF!),""))</f>
        <v/>
      </c>
      <c r="AC3452" t="str">
        <f>IF(Z3452="","",COUNTIF(#REF!,Z3452))</f>
        <v/>
      </c>
      <c r="AD3452" t="str">
        <f>IF(A3452="","",IF(AC3452&gt;1,"REVISAR DUPLICADO",IF(AA3452&lt;&gt;"","ACTUALIZADO POR EYR","SIN REPORTE EYR")))</f>
        <v/>
      </c>
    </row>
    <row r="3453" spans="11:30" x14ac:dyDescent="0.3">
      <c r="K3453" s="1" t="str">
        <f ca="1">IF(A3453="","",IF(OR(L3453="ENTREGADA",L3453="RETORNADA",L3453="ENTREGA DIGITAL"),0,MAX(0,5-NETWORKDAYS(H3453+1,TODAY()))))</f>
        <v/>
      </c>
      <c r="L3453" t="str">
        <f>IF(A3453="","",IFERROR(LOOKUP(2,1/(#REF!=Z3453),#REF!),Y3453))</f>
        <v/>
      </c>
      <c r="Z3453" t="str">
        <f>IF(A3453="","",TEXT(A3453,"0")&amp;"|"&amp;TEXT(H3453,"0"))</f>
        <v/>
      </c>
      <c r="AA3453" t="str">
        <f>IF(Z3453="","",IFERROR(LOOKUP(2,1/(#REF!=Z3453),#REF!),""))</f>
        <v/>
      </c>
      <c r="AB3453" t="str">
        <f>IF(Z3453="","",IFERROR(LOOKUP(2,1/(#REF!=Z3453),#REF!),""))</f>
        <v/>
      </c>
      <c r="AC3453" t="str">
        <f>IF(Z3453="","",COUNTIF(#REF!,Z3453))</f>
        <v/>
      </c>
      <c r="AD3453" t="str">
        <f>IF(A3453="","",IF(AC3453&gt;1,"REVISAR DUPLICADO",IF(AA3453&lt;&gt;"","ACTUALIZADO POR EYR","SIN REPORTE EYR")))</f>
        <v/>
      </c>
    </row>
    <row r="3454" spans="11:30" x14ac:dyDescent="0.3">
      <c r="K3454" s="1" t="str">
        <f ca="1">IF(A3454="","",IF(OR(L3454="ENTREGADA",L3454="RETORNADA",L3454="ENTREGA DIGITAL"),0,MAX(0,5-NETWORKDAYS(H3454+1,TODAY()))))</f>
        <v/>
      </c>
      <c r="L3454" t="str">
        <f>IF(A3454="","",IFERROR(LOOKUP(2,1/(#REF!=Z3454),#REF!),Y3454))</f>
        <v/>
      </c>
      <c r="Z3454" t="str">
        <f>IF(A3454="","",TEXT(A3454,"0")&amp;"|"&amp;TEXT(H3454,"0"))</f>
        <v/>
      </c>
      <c r="AA3454" t="str">
        <f>IF(Z3454="","",IFERROR(LOOKUP(2,1/(#REF!=Z3454),#REF!),""))</f>
        <v/>
      </c>
      <c r="AB3454" t="str">
        <f>IF(Z3454="","",IFERROR(LOOKUP(2,1/(#REF!=Z3454),#REF!),""))</f>
        <v/>
      </c>
      <c r="AC3454" t="str">
        <f>IF(Z3454="","",COUNTIF(#REF!,Z3454))</f>
        <v/>
      </c>
      <c r="AD3454" t="str">
        <f>IF(A3454="","",IF(AC3454&gt;1,"REVISAR DUPLICADO",IF(AA3454&lt;&gt;"","ACTUALIZADO POR EYR","SIN REPORTE EYR")))</f>
        <v/>
      </c>
    </row>
    <row r="3455" spans="11:30" x14ac:dyDescent="0.3">
      <c r="K3455" s="1" t="str">
        <f ca="1">IF(A3455="","",IF(OR(L3455="ENTREGADA",L3455="RETORNADA",L3455="ENTREGA DIGITAL"),0,MAX(0,5-NETWORKDAYS(H3455+1,TODAY()))))</f>
        <v/>
      </c>
      <c r="L3455" t="str">
        <f>IF(A3455="","",IFERROR(LOOKUP(2,1/(#REF!=Z3455),#REF!),Y3455))</f>
        <v/>
      </c>
      <c r="Z3455" t="str">
        <f>IF(A3455="","",TEXT(A3455,"0")&amp;"|"&amp;TEXT(H3455,"0"))</f>
        <v/>
      </c>
      <c r="AA3455" t="str">
        <f>IF(Z3455="","",IFERROR(LOOKUP(2,1/(#REF!=Z3455),#REF!),""))</f>
        <v/>
      </c>
      <c r="AB3455" t="str">
        <f>IF(Z3455="","",IFERROR(LOOKUP(2,1/(#REF!=Z3455),#REF!),""))</f>
        <v/>
      </c>
      <c r="AC3455" t="str">
        <f>IF(Z3455="","",COUNTIF(#REF!,Z3455))</f>
        <v/>
      </c>
      <c r="AD3455" t="str">
        <f>IF(A3455="","",IF(AC3455&gt;1,"REVISAR DUPLICADO",IF(AA3455&lt;&gt;"","ACTUALIZADO POR EYR","SIN REPORTE EYR")))</f>
        <v/>
      </c>
    </row>
    <row r="3456" spans="11:30" x14ac:dyDescent="0.3">
      <c r="K3456" s="1" t="str">
        <f ca="1">IF(A3456="","",IF(OR(L3456="ENTREGADA",L3456="RETORNADA",L3456="ENTREGA DIGITAL"),0,MAX(0,5-NETWORKDAYS(H3456+1,TODAY()))))</f>
        <v/>
      </c>
      <c r="L3456" t="str">
        <f>IF(A3456="","",IFERROR(LOOKUP(2,1/(#REF!=Z3456),#REF!),Y3456))</f>
        <v/>
      </c>
      <c r="Z3456" t="str">
        <f>IF(A3456="","",TEXT(A3456,"0")&amp;"|"&amp;TEXT(H3456,"0"))</f>
        <v/>
      </c>
      <c r="AA3456" t="str">
        <f>IF(Z3456="","",IFERROR(LOOKUP(2,1/(#REF!=Z3456),#REF!),""))</f>
        <v/>
      </c>
      <c r="AB3456" t="str">
        <f>IF(Z3456="","",IFERROR(LOOKUP(2,1/(#REF!=Z3456),#REF!),""))</f>
        <v/>
      </c>
      <c r="AC3456" t="str">
        <f>IF(Z3456="","",COUNTIF(#REF!,Z3456))</f>
        <v/>
      </c>
      <c r="AD3456" t="str">
        <f>IF(A3456="","",IF(AC3456&gt;1,"REVISAR DUPLICADO",IF(AA3456&lt;&gt;"","ACTUALIZADO POR EYR","SIN REPORTE EYR")))</f>
        <v/>
      </c>
    </row>
    <row r="3457" spans="11:30" x14ac:dyDescent="0.3">
      <c r="K3457" s="1" t="str">
        <f ca="1">IF(A3457="","",IF(OR(L3457="ENTREGADA",L3457="RETORNADA",L3457="ENTREGA DIGITAL"),0,MAX(0,5-NETWORKDAYS(H3457+1,TODAY()))))</f>
        <v/>
      </c>
      <c r="L3457" t="str">
        <f>IF(A3457="","",IFERROR(LOOKUP(2,1/(#REF!=Z3457),#REF!),Y3457))</f>
        <v/>
      </c>
      <c r="Z3457" t="str">
        <f>IF(A3457="","",TEXT(A3457,"0")&amp;"|"&amp;TEXT(H3457,"0"))</f>
        <v/>
      </c>
      <c r="AA3457" t="str">
        <f>IF(Z3457="","",IFERROR(LOOKUP(2,1/(#REF!=Z3457),#REF!),""))</f>
        <v/>
      </c>
      <c r="AB3457" t="str">
        <f>IF(Z3457="","",IFERROR(LOOKUP(2,1/(#REF!=Z3457),#REF!),""))</f>
        <v/>
      </c>
      <c r="AC3457" t="str">
        <f>IF(Z3457="","",COUNTIF(#REF!,Z3457))</f>
        <v/>
      </c>
      <c r="AD3457" t="str">
        <f>IF(A3457="","",IF(AC3457&gt;1,"REVISAR DUPLICADO",IF(AA3457&lt;&gt;"","ACTUALIZADO POR EYR","SIN REPORTE EYR")))</f>
        <v/>
      </c>
    </row>
    <row r="3458" spans="11:30" x14ac:dyDescent="0.3">
      <c r="K3458" s="1" t="str">
        <f ca="1">IF(A3458="","",IF(OR(L3458="ENTREGADA",L3458="RETORNADA",L3458="ENTREGA DIGITAL"),0,MAX(0,5-NETWORKDAYS(H3458+1,TODAY()))))</f>
        <v/>
      </c>
      <c r="L3458" t="str">
        <f>IF(A3458="","",IFERROR(LOOKUP(2,1/(#REF!=Z3458),#REF!),Y3458))</f>
        <v/>
      </c>
      <c r="Z3458" t="str">
        <f>IF(A3458="","",TEXT(A3458,"0")&amp;"|"&amp;TEXT(H3458,"0"))</f>
        <v/>
      </c>
      <c r="AA3458" t="str">
        <f>IF(Z3458="","",IFERROR(LOOKUP(2,1/(#REF!=Z3458),#REF!),""))</f>
        <v/>
      </c>
      <c r="AB3458" t="str">
        <f>IF(Z3458="","",IFERROR(LOOKUP(2,1/(#REF!=Z3458),#REF!),""))</f>
        <v/>
      </c>
      <c r="AC3458" t="str">
        <f>IF(Z3458="","",COUNTIF(#REF!,Z3458))</f>
        <v/>
      </c>
      <c r="AD3458" t="str">
        <f>IF(A3458="","",IF(AC3458&gt;1,"REVISAR DUPLICADO",IF(AA3458&lt;&gt;"","ACTUALIZADO POR EYR","SIN REPORTE EYR")))</f>
        <v/>
      </c>
    </row>
    <row r="3459" spans="11:30" x14ac:dyDescent="0.3">
      <c r="K3459" s="1" t="str">
        <f ca="1">IF(A3459="","",IF(OR(L3459="ENTREGADA",L3459="RETORNADA",L3459="ENTREGA DIGITAL"),0,MAX(0,5-NETWORKDAYS(H3459+1,TODAY()))))</f>
        <v/>
      </c>
      <c r="L3459" t="str">
        <f>IF(A3459="","",IFERROR(LOOKUP(2,1/(#REF!=Z3459),#REF!),Y3459))</f>
        <v/>
      </c>
      <c r="Z3459" t="str">
        <f>IF(A3459="","",TEXT(A3459,"0")&amp;"|"&amp;TEXT(H3459,"0"))</f>
        <v/>
      </c>
      <c r="AA3459" t="str">
        <f>IF(Z3459="","",IFERROR(LOOKUP(2,1/(#REF!=Z3459),#REF!),""))</f>
        <v/>
      </c>
      <c r="AB3459" t="str">
        <f>IF(Z3459="","",IFERROR(LOOKUP(2,1/(#REF!=Z3459),#REF!),""))</f>
        <v/>
      </c>
      <c r="AC3459" t="str">
        <f>IF(Z3459="","",COUNTIF(#REF!,Z3459))</f>
        <v/>
      </c>
      <c r="AD3459" t="str">
        <f>IF(A3459="","",IF(AC3459&gt;1,"REVISAR DUPLICADO",IF(AA3459&lt;&gt;"","ACTUALIZADO POR EYR","SIN REPORTE EYR")))</f>
        <v/>
      </c>
    </row>
    <row r="3460" spans="11:30" x14ac:dyDescent="0.3">
      <c r="K3460" s="1" t="str">
        <f ca="1">IF(A3460="","",IF(OR(L3460="ENTREGADA",L3460="RETORNADA",L3460="ENTREGA DIGITAL"),0,MAX(0,5-NETWORKDAYS(H3460+1,TODAY()))))</f>
        <v/>
      </c>
      <c r="L3460" t="str">
        <f>IF(A3460="","",IFERROR(LOOKUP(2,1/(#REF!=Z3460),#REF!),Y3460))</f>
        <v/>
      </c>
      <c r="Z3460" t="str">
        <f>IF(A3460="","",TEXT(A3460,"0")&amp;"|"&amp;TEXT(H3460,"0"))</f>
        <v/>
      </c>
      <c r="AA3460" t="str">
        <f>IF(Z3460="","",IFERROR(LOOKUP(2,1/(#REF!=Z3460),#REF!),""))</f>
        <v/>
      </c>
      <c r="AB3460" t="str">
        <f>IF(Z3460="","",IFERROR(LOOKUP(2,1/(#REF!=Z3460),#REF!),""))</f>
        <v/>
      </c>
      <c r="AC3460" t="str">
        <f>IF(Z3460="","",COUNTIF(#REF!,Z3460))</f>
        <v/>
      </c>
      <c r="AD3460" t="str">
        <f>IF(A3460="","",IF(AC3460&gt;1,"REVISAR DUPLICADO",IF(AA3460&lt;&gt;"","ACTUALIZADO POR EYR","SIN REPORTE EYR")))</f>
        <v/>
      </c>
    </row>
    <row r="3461" spans="11:30" x14ac:dyDescent="0.3">
      <c r="K3461" s="1" t="str">
        <f ca="1">IF(A3461="","",IF(OR(L3461="ENTREGADA",L3461="RETORNADA",L3461="ENTREGA DIGITAL"),0,MAX(0,5-NETWORKDAYS(H3461+1,TODAY()))))</f>
        <v/>
      </c>
      <c r="L3461" t="str">
        <f>IF(A3461="","",IFERROR(LOOKUP(2,1/(#REF!=Z3461),#REF!),Y3461))</f>
        <v/>
      </c>
      <c r="Z3461" t="str">
        <f>IF(A3461="","",TEXT(A3461,"0")&amp;"|"&amp;TEXT(H3461,"0"))</f>
        <v/>
      </c>
      <c r="AA3461" t="str">
        <f>IF(Z3461="","",IFERROR(LOOKUP(2,1/(#REF!=Z3461),#REF!),""))</f>
        <v/>
      </c>
      <c r="AB3461" t="str">
        <f>IF(Z3461="","",IFERROR(LOOKUP(2,1/(#REF!=Z3461),#REF!),""))</f>
        <v/>
      </c>
      <c r="AC3461" t="str">
        <f>IF(Z3461="","",COUNTIF(#REF!,Z3461))</f>
        <v/>
      </c>
      <c r="AD3461" t="str">
        <f>IF(A3461="","",IF(AC3461&gt;1,"REVISAR DUPLICADO",IF(AA3461&lt;&gt;"","ACTUALIZADO POR EYR","SIN REPORTE EYR")))</f>
        <v/>
      </c>
    </row>
    <row r="3462" spans="11:30" x14ac:dyDescent="0.3">
      <c r="K3462" s="1" t="str">
        <f ca="1">IF(A3462="","",IF(OR(L3462="ENTREGADA",L3462="RETORNADA",L3462="ENTREGA DIGITAL"),0,MAX(0,5-NETWORKDAYS(H3462+1,TODAY()))))</f>
        <v/>
      </c>
      <c r="L3462" t="str">
        <f>IF(A3462="","",IFERROR(LOOKUP(2,1/(#REF!=Z3462),#REF!),Y3462))</f>
        <v/>
      </c>
      <c r="Z3462" t="str">
        <f>IF(A3462="","",TEXT(A3462,"0")&amp;"|"&amp;TEXT(H3462,"0"))</f>
        <v/>
      </c>
      <c r="AA3462" t="str">
        <f>IF(Z3462="","",IFERROR(LOOKUP(2,1/(#REF!=Z3462),#REF!),""))</f>
        <v/>
      </c>
      <c r="AB3462" t="str">
        <f>IF(Z3462="","",IFERROR(LOOKUP(2,1/(#REF!=Z3462),#REF!),""))</f>
        <v/>
      </c>
      <c r="AC3462" t="str">
        <f>IF(Z3462="","",COUNTIF(#REF!,Z3462))</f>
        <v/>
      </c>
      <c r="AD3462" t="str">
        <f>IF(A3462="","",IF(AC3462&gt;1,"REVISAR DUPLICADO",IF(AA3462&lt;&gt;"","ACTUALIZADO POR EYR","SIN REPORTE EYR")))</f>
        <v/>
      </c>
    </row>
    <row r="3463" spans="11:30" x14ac:dyDescent="0.3">
      <c r="K3463" s="1" t="str">
        <f ca="1">IF(A3463="","",IF(OR(L3463="ENTREGADA",L3463="RETORNADA",L3463="ENTREGA DIGITAL"),0,MAX(0,5-NETWORKDAYS(H3463+1,TODAY()))))</f>
        <v/>
      </c>
      <c r="L3463" t="str">
        <f>IF(A3463="","",IFERROR(LOOKUP(2,1/(#REF!=Z3463),#REF!),Y3463))</f>
        <v/>
      </c>
      <c r="Z3463" t="str">
        <f>IF(A3463="","",TEXT(A3463,"0")&amp;"|"&amp;TEXT(H3463,"0"))</f>
        <v/>
      </c>
      <c r="AA3463" t="str">
        <f>IF(Z3463="","",IFERROR(LOOKUP(2,1/(#REF!=Z3463),#REF!),""))</f>
        <v/>
      </c>
      <c r="AB3463" t="str">
        <f>IF(Z3463="","",IFERROR(LOOKUP(2,1/(#REF!=Z3463),#REF!),""))</f>
        <v/>
      </c>
      <c r="AC3463" t="str">
        <f>IF(Z3463="","",COUNTIF(#REF!,Z3463))</f>
        <v/>
      </c>
      <c r="AD3463" t="str">
        <f>IF(A3463="","",IF(AC3463&gt;1,"REVISAR DUPLICADO",IF(AA3463&lt;&gt;"","ACTUALIZADO POR EYR","SIN REPORTE EYR")))</f>
        <v/>
      </c>
    </row>
    <row r="3464" spans="11:30" x14ac:dyDescent="0.3">
      <c r="K3464" s="1" t="str">
        <f ca="1">IF(A3464="","",IF(OR(L3464="ENTREGADA",L3464="RETORNADA",L3464="ENTREGA DIGITAL"),0,MAX(0,5-NETWORKDAYS(H3464+1,TODAY()))))</f>
        <v/>
      </c>
      <c r="L3464" t="str">
        <f>IF(A3464="","",IFERROR(LOOKUP(2,1/(#REF!=Z3464),#REF!),Y3464))</f>
        <v/>
      </c>
      <c r="Z3464" t="str">
        <f>IF(A3464="","",TEXT(A3464,"0")&amp;"|"&amp;TEXT(H3464,"0"))</f>
        <v/>
      </c>
      <c r="AA3464" t="str">
        <f>IF(Z3464="","",IFERROR(LOOKUP(2,1/(#REF!=Z3464),#REF!),""))</f>
        <v/>
      </c>
      <c r="AB3464" t="str">
        <f>IF(Z3464="","",IFERROR(LOOKUP(2,1/(#REF!=Z3464),#REF!),""))</f>
        <v/>
      </c>
      <c r="AC3464" t="str">
        <f>IF(Z3464="","",COUNTIF(#REF!,Z3464))</f>
        <v/>
      </c>
      <c r="AD3464" t="str">
        <f>IF(A3464="","",IF(AC3464&gt;1,"REVISAR DUPLICADO",IF(AA3464&lt;&gt;"","ACTUALIZADO POR EYR","SIN REPORTE EYR")))</f>
        <v/>
      </c>
    </row>
    <row r="3465" spans="11:30" x14ac:dyDescent="0.3">
      <c r="K3465" s="1" t="str">
        <f ca="1">IF(A3465="","",IF(OR(L3465="ENTREGADA",L3465="RETORNADA",L3465="ENTREGA DIGITAL"),0,MAX(0,5-NETWORKDAYS(H3465+1,TODAY()))))</f>
        <v/>
      </c>
      <c r="L3465" t="str">
        <f>IF(A3465="","",IFERROR(LOOKUP(2,1/(#REF!=Z3465),#REF!),Y3465))</f>
        <v/>
      </c>
      <c r="Z3465" t="str">
        <f>IF(A3465="","",TEXT(A3465,"0")&amp;"|"&amp;TEXT(H3465,"0"))</f>
        <v/>
      </c>
      <c r="AA3465" t="str">
        <f>IF(Z3465="","",IFERROR(LOOKUP(2,1/(#REF!=Z3465),#REF!),""))</f>
        <v/>
      </c>
      <c r="AB3465" t="str">
        <f>IF(Z3465="","",IFERROR(LOOKUP(2,1/(#REF!=Z3465),#REF!),""))</f>
        <v/>
      </c>
      <c r="AC3465" t="str">
        <f>IF(Z3465="","",COUNTIF(#REF!,Z3465))</f>
        <v/>
      </c>
      <c r="AD3465" t="str">
        <f>IF(A3465="","",IF(AC3465&gt;1,"REVISAR DUPLICADO",IF(AA3465&lt;&gt;"","ACTUALIZADO POR EYR","SIN REPORTE EYR")))</f>
        <v/>
      </c>
    </row>
    <row r="3466" spans="11:30" x14ac:dyDescent="0.3">
      <c r="K3466" s="1" t="str">
        <f ca="1">IF(A3466="","",IF(OR(L3466="ENTREGADA",L3466="RETORNADA",L3466="ENTREGA DIGITAL"),0,MAX(0,5-NETWORKDAYS(H3466+1,TODAY()))))</f>
        <v/>
      </c>
      <c r="L3466" t="str">
        <f>IF(A3466="","",IFERROR(LOOKUP(2,1/(#REF!=Z3466),#REF!),Y3466))</f>
        <v/>
      </c>
      <c r="Z3466" t="str">
        <f>IF(A3466="","",TEXT(A3466,"0")&amp;"|"&amp;TEXT(H3466,"0"))</f>
        <v/>
      </c>
      <c r="AA3466" t="str">
        <f>IF(Z3466="","",IFERROR(LOOKUP(2,1/(#REF!=Z3466),#REF!),""))</f>
        <v/>
      </c>
      <c r="AB3466" t="str">
        <f>IF(Z3466="","",IFERROR(LOOKUP(2,1/(#REF!=Z3466),#REF!),""))</f>
        <v/>
      </c>
      <c r="AC3466" t="str">
        <f>IF(Z3466="","",COUNTIF(#REF!,Z3466))</f>
        <v/>
      </c>
      <c r="AD3466" t="str">
        <f>IF(A3466="","",IF(AC3466&gt;1,"REVISAR DUPLICADO",IF(AA3466&lt;&gt;"","ACTUALIZADO POR EYR","SIN REPORTE EYR")))</f>
        <v/>
      </c>
    </row>
    <row r="3467" spans="11:30" x14ac:dyDescent="0.3">
      <c r="K3467" s="1" t="str">
        <f ca="1">IF(A3467="","",IF(OR(L3467="ENTREGADA",L3467="RETORNADA",L3467="ENTREGA DIGITAL"),0,MAX(0,5-NETWORKDAYS(H3467+1,TODAY()))))</f>
        <v/>
      </c>
      <c r="L3467" t="str">
        <f>IF(A3467="","",IFERROR(LOOKUP(2,1/(#REF!=Z3467),#REF!),Y3467))</f>
        <v/>
      </c>
      <c r="Z3467" t="str">
        <f>IF(A3467="","",TEXT(A3467,"0")&amp;"|"&amp;TEXT(H3467,"0"))</f>
        <v/>
      </c>
      <c r="AA3467" t="str">
        <f>IF(Z3467="","",IFERROR(LOOKUP(2,1/(#REF!=Z3467),#REF!),""))</f>
        <v/>
      </c>
      <c r="AB3467" t="str">
        <f>IF(Z3467="","",IFERROR(LOOKUP(2,1/(#REF!=Z3467),#REF!),""))</f>
        <v/>
      </c>
      <c r="AC3467" t="str">
        <f>IF(Z3467="","",COUNTIF(#REF!,Z3467))</f>
        <v/>
      </c>
      <c r="AD3467" t="str">
        <f>IF(A3467="","",IF(AC3467&gt;1,"REVISAR DUPLICADO",IF(AA3467&lt;&gt;"","ACTUALIZADO POR EYR","SIN REPORTE EYR")))</f>
        <v/>
      </c>
    </row>
    <row r="3468" spans="11:30" x14ac:dyDescent="0.3">
      <c r="K3468" s="1" t="str">
        <f ca="1">IF(A3468="","",IF(OR(L3468="ENTREGADA",L3468="RETORNADA",L3468="ENTREGA DIGITAL"),0,MAX(0,5-NETWORKDAYS(H3468+1,TODAY()))))</f>
        <v/>
      </c>
      <c r="L3468" t="str">
        <f>IF(A3468="","",IFERROR(LOOKUP(2,1/(#REF!=Z3468),#REF!),Y3468))</f>
        <v/>
      </c>
      <c r="Z3468" t="str">
        <f>IF(A3468="","",TEXT(A3468,"0")&amp;"|"&amp;TEXT(H3468,"0"))</f>
        <v/>
      </c>
      <c r="AA3468" t="str">
        <f>IF(Z3468="","",IFERROR(LOOKUP(2,1/(#REF!=Z3468),#REF!),""))</f>
        <v/>
      </c>
      <c r="AB3468" t="str">
        <f>IF(Z3468="","",IFERROR(LOOKUP(2,1/(#REF!=Z3468),#REF!),""))</f>
        <v/>
      </c>
      <c r="AC3468" t="str">
        <f>IF(Z3468="","",COUNTIF(#REF!,Z3468))</f>
        <v/>
      </c>
      <c r="AD3468" t="str">
        <f>IF(A3468="","",IF(AC3468&gt;1,"REVISAR DUPLICADO",IF(AA3468&lt;&gt;"","ACTUALIZADO POR EYR","SIN REPORTE EYR")))</f>
        <v/>
      </c>
    </row>
    <row r="3469" spans="11:30" x14ac:dyDescent="0.3">
      <c r="K3469" s="1" t="str">
        <f ca="1">IF(A3469="","",IF(OR(L3469="ENTREGADA",L3469="RETORNADA",L3469="ENTREGA DIGITAL"),0,MAX(0,5-NETWORKDAYS(H3469+1,TODAY()))))</f>
        <v/>
      </c>
      <c r="L3469" t="str">
        <f>IF(A3469="","",IFERROR(LOOKUP(2,1/(#REF!=Z3469),#REF!),Y3469))</f>
        <v/>
      </c>
      <c r="Z3469" t="str">
        <f>IF(A3469="","",TEXT(A3469,"0")&amp;"|"&amp;TEXT(H3469,"0"))</f>
        <v/>
      </c>
      <c r="AA3469" t="str">
        <f>IF(Z3469="","",IFERROR(LOOKUP(2,1/(#REF!=Z3469),#REF!),""))</f>
        <v/>
      </c>
      <c r="AB3469" t="str">
        <f>IF(Z3469="","",IFERROR(LOOKUP(2,1/(#REF!=Z3469),#REF!),""))</f>
        <v/>
      </c>
      <c r="AC3469" t="str">
        <f>IF(Z3469="","",COUNTIF(#REF!,Z3469))</f>
        <v/>
      </c>
      <c r="AD3469" t="str">
        <f>IF(A3469="","",IF(AC3469&gt;1,"REVISAR DUPLICADO",IF(AA3469&lt;&gt;"","ACTUALIZADO POR EYR","SIN REPORTE EYR")))</f>
        <v/>
      </c>
    </row>
    <row r="3470" spans="11:30" x14ac:dyDescent="0.3">
      <c r="K3470" s="1" t="str">
        <f ca="1">IF(A3470="","",IF(OR(L3470="ENTREGADA",L3470="RETORNADA",L3470="ENTREGA DIGITAL"),0,MAX(0,5-NETWORKDAYS(H3470+1,TODAY()))))</f>
        <v/>
      </c>
      <c r="L3470" t="str">
        <f>IF(A3470="","",IFERROR(LOOKUP(2,1/(#REF!=Z3470),#REF!),Y3470))</f>
        <v/>
      </c>
      <c r="Z3470" t="str">
        <f>IF(A3470="","",TEXT(A3470,"0")&amp;"|"&amp;TEXT(H3470,"0"))</f>
        <v/>
      </c>
      <c r="AA3470" t="str">
        <f>IF(Z3470="","",IFERROR(LOOKUP(2,1/(#REF!=Z3470),#REF!),""))</f>
        <v/>
      </c>
      <c r="AB3470" t="str">
        <f>IF(Z3470="","",IFERROR(LOOKUP(2,1/(#REF!=Z3470),#REF!),""))</f>
        <v/>
      </c>
      <c r="AC3470" t="str">
        <f>IF(Z3470="","",COUNTIF(#REF!,Z3470))</f>
        <v/>
      </c>
      <c r="AD3470" t="str">
        <f>IF(A3470="","",IF(AC3470&gt;1,"REVISAR DUPLICADO",IF(AA3470&lt;&gt;"","ACTUALIZADO POR EYR","SIN REPORTE EYR")))</f>
        <v/>
      </c>
    </row>
    <row r="3471" spans="11:30" x14ac:dyDescent="0.3">
      <c r="K3471" s="1" t="str">
        <f ca="1">IF(A3471="","",IF(OR(L3471="ENTREGADA",L3471="RETORNADA",L3471="ENTREGA DIGITAL"),0,MAX(0,5-NETWORKDAYS(H3471+1,TODAY()))))</f>
        <v/>
      </c>
      <c r="L3471" t="str">
        <f>IF(A3471="","",IFERROR(LOOKUP(2,1/(#REF!=Z3471),#REF!),Y3471))</f>
        <v/>
      </c>
      <c r="Z3471" t="str">
        <f>IF(A3471="","",TEXT(A3471,"0")&amp;"|"&amp;TEXT(H3471,"0"))</f>
        <v/>
      </c>
      <c r="AA3471" t="str">
        <f>IF(Z3471="","",IFERROR(LOOKUP(2,1/(#REF!=Z3471),#REF!),""))</f>
        <v/>
      </c>
      <c r="AB3471" t="str">
        <f>IF(Z3471="","",IFERROR(LOOKUP(2,1/(#REF!=Z3471),#REF!),""))</f>
        <v/>
      </c>
      <c r="AC3471" t="str">
        <f>IF(Z3471="","",COUNTIF(#REF!,Z3471))</f>
        <v/>
      </c>
      <c r="AD3471" t="str">
        <f>IF(A3471="","",IF(AC3471&gt;1,"REVISAR DUPLICADO",IF(AA3471&lt;&gt;"","ACTUALIZADO POR EYR","SIN REPORTE EYR")))</f>
        <v/>
      </c>
    </row>
    <row r="3472" spans="11:30" x14ac:dyDescent="0.3">
      <c r="K3472" s="1" t="str">
        <f ca="1">IF(A3472="","",IF(OR(L3472="ENTREGADA",L3472="RETORNADA",L3472="ENTREGA DIGITAL"),0,MAX(0,5-NETWORKDAYS(H3472+1,TODAY()))))</f>
        <v/>
      </c>
      <c r="L3472" t="str">
        <f>IF(A3472="","",IFERROR(LOOKUP(2,1/(#REF!=Z3472),#REF!),Y3472))</f>
        <v/>
      </c>
      <c r="Z3472" t="str">
        <f>IF(A3472="","",TEXT(A3472,"0")&amp;"|"&amp;TEXT(H3472,"0"))</f>
        <v/>
      </c>
      <c r="AA3472" t="str">
        <f>IF(Z3472="","",IFERROR(LOOKUP(2,1/(#REF!=Z3472),#REF!),""))</f>
        <v/>
      </c>
      <c r="AB3472" t="str">
        <f>IF(Z3472="","",IFERROR(LOOKUP(2,1/(#REF!=Z3472),#REF!),""))</f>
        <v/>
      </c>
      <c r="AC3472" t="str">
        <f>IF(Z3472="","",COUNTIF(#REF!,Z3472))</f>
        <v/>
      </c>
      <c r="AD3472" t="str">
        <f>IF(A3472="","",IF(AC3472&gt;1,"REVISAR DUPLICADO",IF(AA3472&lt;&gt;"","ACTUALIZADO POR EYR","SIN REPORTE EYR")))</f>
        <v/>
      </c>
    </row>
    <row r="3473" spans="11:30" x14ac:dyDescent="0.3">
      <c r="K3473" s="1" t="str">
        <f ca="1">IF(A3473="","",IF(OR(L3473="ENTREGADA",L3473="RETORNADA",L3473="ENTREGA DIGITAL"),0,MAX(0,5-NETWORKDAYS(H3473+1,TODAY()))))</f>
        <v/>
      </c>
      <c r="L3473" t="str">
        <f>IF(A3473="","",IFERROR(LOOKUP(2,1/(#REF!=Z3473),#REF!),Y3473))</f>
        <v/>
      </c>
      <c r="Z3473" t="str">
        <f>IF(A3473="","",TEXT(A3473,"0")&amp;"|"&amp;TEXT(H3473,"0"))</f>
        <v/>
      </c>
      <c r="AA3473" t="str">
        <f>IF(Z3473="","",IFERROR(LOOKUP(2,1/(#REF!=Z3473),#REF!),""))</f>
        <v/>
      </c>
      <c r="AB3473" t="str">
        <f>IF(Z3473="","",IFERROR(LOOKUP(2,1/(#REF!=Z3473),#REF!),""))</f>
        <v/>
      </c>
      <c r="AC3473" t="str">
        <f>IF(Z3473="","",COUNTIF(#REF!,Z3473))</f>
        <v/>
      </c>
      <c r="AD3473" t="str">
        <f>IF(A3473="","",IF(AC3473&gt;1,"REVISAR DUPLICADO",IF(AA3473&lt;&gt;"","ACTUALIZADO POR EYR","SIN REPORTE EYR")))</f>
        <v/>
      </c>
    </row>
    <row r="3474" spans="11:30" x14ac:dyDescent="0.3">
      <c r="K3474" s="1" t="str">
        <f ca="1">IF(A3474="","",IF(OR(L3474="ENTREGADA",L3474="RETORNADA",L3474="ENTREGA DIGITAL"),0,MAX(0,5-NETWORKDAYS(H3474+1,TODAY()))))</f>
        <v/>
      </c>
      <c r="L3474" t="str">
        <f>IF(A3474="","",IFERROR(LOOKUP(2,1/(#REF!=Z3474),#REF!),Y3474))</f>
        <v/>
      </c>
      <c r="Z3474" t="str">
        <f>IF(A3474="","",TEXT(A3474,"0")&amp;"|"&amp;TEXT(H3474,"0"))</f>
        <v/>
      </c>
      <c r="AA3474" t="str">
        <f>IF(Z3474="","",IFERROR(LOOKUP(2,1/(#REF!=Z3474),#REF!),""))</f>
        <v/>
      </c>
      <c r="AB3474" t="str">
        <f>IF(Z3474="","",IFERROR(LOOKUP(2,1/(#REF!=Z3474),#REF!),""))</f>
        <v/>
      </c>
      <c r="AC3474" t="str">
        <f>IF(Z3474="","",COUNTIF(#REF!,Z3474))</f>
        <v/>
      </c>
      <c r="AD3474" t="str">
        <f>IF(A3474="","",IF(AC3474&gt;1,"REVISAR DUPLICADO",IF(AA3474&lt;&gt;"","ACTUALIZADO POR EYR","SIN REPORTE EYR")))</f>
        <v/>
      </c>
    </row>
    <row r="3475" spans="11:30" x14ac:dyDescent="0.3">
      <c r="K3475" s="1" t="str">
        <f ca="1">IF(A3475="","",IF(OR(L3475="ENTREGADA",L3475="RETORNADA",L3475="ENTREGA DIGITAL"),0,MAX(0,5-NETWORKDAYS(H3475+1,TODAY()))))</f>
        <v/>
      </c>
      <c r="L3475" t="str">
        <f>IF(A3475="","",IFERROR(LOOKUP(2,1/(#REF!=Z3475),#REF!),Y3475))</f>
        <v/>
      </c>
      <c r="Z3475" t="str">
        <f>IF(A3475="","",TEXT(A3475,"0")&amp;"|"&amp;TEXT(H3475,"0"))</f>
        <v/>
      </c>
      <c r="AA3475" t="str">
        <f>IF(Z3475="","",IFERROR(LOOKUP(2,1/(#REF!=Z3475),#REF!),""))</f>
        <v/>
      </c>
      <c r="AB3475" t="str">
        <f>IF(Z3475="","",IFERROR(LOOKUP(2,1/(#REF!=Z3475),#REF!),""))</f>
        <v/>
      </c>
      <c r="AC3475" t="str">
        <f>IF(Z3475="","",COUNTIF(#REF!,Z3475))</f>
        <v/>
      </c>
      <c r="AD3475" t="str">
        <f>IF(A3475="","",IF(AC3475&gt;1,"REVISAR DUPLICADO",IF(AA3475&lt;&gt;"","ACTUALIZADO POR EYR","SIN REPORTE EYR")))</f>
        <v/>
      </c>
    </row>
    <row r="3476" spans="11:30" x14ac:dyDescent="0.3">
      <c r="K3476" s="1" t="str">
        <f ca="1">IF(A3476="","",IF(OR(L3476="ENTREGADA",L3476="RETORNADA",L3476="ENTREGA DIGITAL"),0,MAX(0,5-NETWORKDAYS(H3476+1,TODAY()))))</f>
        <v/>
      </c>
      <c r="L3476" t="str">
        <f>IF(A3476="","",IFERROR(LOOKUP(2,1/(#REF!=Z3476),#REF!),Y3476))</f>
        <v/>
      </c>
      <c r="Z3476" t="str">
        <f>IF(A3476="","",TEXT(A3476,"0")&amp;"|"&amp;TEXT(H3476,"0"))</f>
        <v/>
      </c>
      <c r="AA3476" t="str">
        <f>IF(Z3476="","",IFERROR(LOOKUP(2,1/(#REF!=Z3476),#REF!),""))</f>
        <v/>
      </c>
      <c r="AB3476" t="str">
        <f>IF(Z3476="","",IFERROR(LOOKUP(2,1/(#REF!=Z3476),#REF!),""))</f>
        <v/>
      </c>
      <c r="AC3476" t="str">
        <f>IF(Z3476="","",COUNTIF(#REF!,Z3476))</f>
        <v/>
      </c>
      <c r="AD3476" t="str">
        <f>IF(A3476="","",IF(AC3476&gt;1,"REVISAR DUPLICADO",IF(AA3476&lt;&gt;"","ACTUALIZADO POR EYR","SIN REPORTE EYR")))</f>
        <v/>
      </c>
    </row>
    <row r="3477" spans="11:30" x14ac:dyDescent="0.3">
      <c r="K3477" s="1" t="str">
        <f ca="1">IF(A3477="","",IF(OR(L3477="ENTREGADA",L3477="RETORNADA",L3477="ENTREGA DIGITAL"),0,MAX(0,5-NETWORKDAYS(H3477+1,TODAY()))))</f>
        <v/>
      </c>
      <c r="L3477" t="str">
        <f>IF(A3477="","",IFERROR(LOOKUP(2,1/(#REF!=Z3477),#REF!),Y3477))</f>
        <v/>
      </c>
      <c r="Z3477" t="str">
        <f>IF(A3477="","",TEXT(A3477,"0")&amp;"|"&amp;TEXT(H3477,"0"))</f>
        <v/>
      </c>
      <c r="AA3477" t="str">
        <f>IF(Z3477="","",IFERROR(LOOKUP(2,1/(#REF!=Z3477),#REF!),""))</f>
        <v/>
      </c>
      <c r="AB3477" t="str">
        <f>IF(Z3477="","",IFERROR(LOOKUP(2,1/(#REF!=Z3477),#REF!),""))</f>
        <v/>
      </c>
      <c r="AC3477" t="str">
        <f>IF(Z3477="","",COUNTIF(#REF!,Z3477))</f>
        <v/>
      </c>
      <c r="AD3477" t="str">
        <f>IF(A3477="","",IF(AC3477&gt;1,"REVISAR DUPLICADO",IF(AA3477&lt;&gt;"","ACTUALIZADO POR EYR","SIN REPORTE EYR")))</f>
        <v/>
      </c>
    </row>
    <row r="3478" spans="11:30" x14ac:dyDescent="0.3">
      <c r="K3478" s="1" t="str">
        <f ca="1">IF(A3478="","",IF(OR(L3478="ENTREGADA",L3478="RETORNADA",L3478="ENTREGA DIGITAL"),0,MAX(0,5-NETWORKDAYS(H3478+1,TODAY()))))</f>
        <v/>
      </c>
      <c r="L3478" t="str">
        <f>IF(A3478="","",IFERROR(LOOKUP(2,1/(#REF!=Z3478),#REF!),Y3478))</f>
        <v/>
      </c>
      <c r="Z3478" t="str">
        <f>IF(A3478="","",TEXT(A3478,"0")&amp;"|"&amp;TEXT(H3478,"0"))</f>
        <v/>
      </c>
      <c r="AA3478" t="str">
        <f>IF(Z3478="","",IFERROR(LOOKUP(2,1/(#REF!=Z3478),#REF!),""))</f>
        <v/>
      </c>
      <c r="AB3478" t="str">
        <f>IF(Z3478="","",IFERROR(LOOKUP(2,1/(#REF!=Z3478),#REF!),""))</f>
        <v/>
      </c>
      <c r="AC3478" t="str">
        <f>IF(Z3478="","",COUNTIF(#REF!,Z3478))</f>
        <v/>
      </c>
      <c r="AD3478" t="str">
        <f>IF(A3478="","",IF(AC3478&gt;1,"REVISAR DUPLICADO",IF(AA3478&lt;&gt;"","ACTUALIZADO POR EYR","SIN REPORTE EYR")))</f>
        <v/>
      </c>
    </row>
    <row r="3479" spans="11:30" x14ac:dyDescent="0.3">
      <c r="K3479" s="1" t="str">
        <f ca="1">IF(A3479="","",IF(OR(L3479="ENTREGADA",L3479="RETORNADA",L3479="ENTREGA DIGITAL"),0,MAX(0,5-NETWORKDAYS(H3479+1,TODAY()))))</f>
        <v/>
      </c>
      <c r="L3479" t="str">
        <f>IF(A3479="","",IFERROR(LOOKUP(2,1/(#REF!=Z3479),#REF!),Y3479))</f>
        <v/>
      </c>
      <c r="Z3479" t="str">
        <f>IF(A3479="","",TEXT(A3479,"0")&amp;"|"&amp;TEXT(H3479,"0"))</f>
        <v/>
      </c>
      <c r="AA3479" t="str">
        <f>IF(Z3479="","",IFERROR(LOOKUP(2,1/(#REF!=Z3479),#REF!),""))</f>
        <v/>
      </c>
      <c r="AB3479" t="str">
        <f>IF(Z3479="","",IFERROR(LOOKUP(2,1/(#REF!=Z3479),#REF!),""))</f>
        <v/>
      </c>
      <c r="AC3479" t="str">
        <f>IF(Z3479="","",COUNTIF(#REF!,Z3479))</f>
        <v/>
      </c>
      <c r="AD3479" t="str">
        <f>IF(A3479="","",IF(AC3479&gt;1,"REVISAR DUPLICADO",IF(AA3479&lt;&gt;"","ACTUALIZADO POR EYR","SIN REPORTE EYR")))</f>
        <v/>
      </c>
    </row>
    <row r="3480" spans="11:30" x14ac:dyDescent="0.3">
      <c r="K3480" s="1" t="str">
        <f ca="1">IF(A3480="","",IF(OR(L3480="ENTREGADA",L3480="RETORNADA",L3480="ENTREGA DIGITAL"),0,MAX(0,5-NETWORKDAYS(H3480+1,TODAY()))))</f>
        <v/>
      </c>
      <c r="L3480" t="str">
        <f>IF(A3480="","",IFERROR(LOOKUP(2,1/(#REF!=Z3480),#REF!),Y3480))</f>
        <v/>
      </c>
      <c r="Z3480" t="str">
        <f>IF(A3480="","",TEXT(A3480,"0")&amp;"|"&amp;TEXT(H3480,"0"))</f>
        <v/>
      </c>
      <c r="AA3480" t="str">
        <f>IF(Z3480="","",IFERROR(LOOKUP(2,1/(#REF!=Z3480),#REF!),""))</f>
        <v/>
      </c>
      <c r="AB3480" t="str">
        <f>IF(Z3480="","",IFERROR(LOOKUP(2,1/(#REF!=Z3480),#REF!),""))</f>
        <v/>
      </c>
      <c r="AC3480" t="str">
        <f>IF(Z3480="","",COUNTIF(#REF!,Z3480))</f>
        <v/>
      </c>
      <c r="AD3480" t="str">
        <f>IF(A3480="","",IF(AC3480&gt;1,"REVISAR DUPLICADO",IF(AA3480&lt;&gt;"","ACTUALIZADO POR EYR","SIN REPORTE EYR")))</f>
        <v/>
      </c>
    </row>
    <row r="3481" spans="11:30" x14ac:dyDescent="0.3">
      <c r="K3481" s="1" t="str">
        <f ca="1">IF(A3481="","",IF(OR(L3481="ENTREGADA",L3481="RETORNADA",L3481="ENTREGA DIGITAL"),0,MAX(0,5-NETWORKDAYS(H3481+1,TODAY()))))</f>
        <v/>
      </c>
      <c r="L3481" t="str">
        <f>IF(A3481="","",IFERROR(LOOKUP(2,1/(#REF!=Z3481),#REF!),Y3481))</f>
        <v/>
      </c>
      <c r="Z3481" t="str">
        <f>IF(A3481="","",TEXT(A3481,"0")&amp;"|"&amp;TEXT(H3481,"0"))</f>
        <v/>
      </c>
      <c r="AA3481" t="str">
        <f>IF(Z3481="","",IFERROR(LOOKUP(2,1/(#REF!=Z3481),#REF!),""))</f>
        <v/>
      </c>
      <c r="AB3481" t="str">
        <f>IF(Z3481="","",IFERROR(LOOKUP(2,1/(#REF!=Z3481),#REF!),""))</f>
        <v/>
      </c>
      <c r="AC3481" t="str">
        <f>IF(Z3481="","",COUNTIF(#REF!,Z3481))</f>
        <v/>
      </c>
      <c r="AD3481" t="str">
        <f>IF(A3481="","",IF(AC3481&gt;1,"REVISAR DUPLICADO",IF(AA3481&lt;&gt;"","ACTUALIZADO POR EYR","SIN REPORTE EYR")))</f>
        <v/>
      </c>
    </row>
    <row r="3482" spans="11:30" x14ac:dyDescent="0.3">
      <c r="K3482" s="1" t="str">
        <f ca="1">IF(A3482="","",IF(OR(L3482="ENTREGADA",L3482="RETORNADA",L3482="ENTREGA DIGITAL"),0,MAX(0,5-NETWORKDAYS(H3482+1,TODAY()))))</f>
        <v/>
      </c>
      <c r="L3482" t="str">
        <f>IF(A3482="","",IFERROR(LOOKUP(2,1/(#REF!=Z3482),#REF!),Y3482))</f>
        <v/>
      </c>
      <c r="Z3482" t="str">
        <f>IF(A3482="","",TEXT(A3482,"0")&amp;"|"&amp;TEXT(H3482,"0"))</f>
        <v/>
      </c>
      <c r="AA3482" t="str">
        <f>IF(Z3482="","",IFERROR(LOOKUP(2,1/(#REF!=Z3482),#REF!),""))</f>
        <v/>
      </c>
      <c r="AB3482" t="str">
        <f>IF(Z3482="","",IFERROR(LOOKUP(2,1/(#REF!=Z3482),#REF!),""))</f>
        <v/>
      </c>
      <c r="AC3482" t="str">
        <f>IF(Z3482="","",COUNTIF(#REF!,Z3482))</f>
        <v/>
      </c>
      <c r="AD3482" t="str">
        <f>IF(A3482="","",IF(AC3482&gt;1,"REVISAR DUPLICADO",IF(AA3482&lt;&gt;"","ACTUALIZADO POR EYR","SIN REPORTE EYR")))</f>
        <v/>
      </c>
    </row>
    <row r="3483" spans="11:30" x14ac:dyDescent="0.3">
      <c r="K3483" s="1" t="str">
        <f ca="1">IF(A3483="","",IF(OR(L3483="ENTREGADA",L3483="RETORNADA",L3483="ENTREGA DIGITAL"),0,MAX(0,5-NETWORKDAYS(H3483+1,TODAY()))))</f>
        <v/>
      </c>
      <c r="L3483" t="str">
        <f>IF(A3483="","",IFERROR(LOOKUP(2,1/(#REF!=Z3483),#REF!),Y3483))</f>
        <v/>
      </c>
      <c r="Z3483" t="str">
        <f>IF(A3483="","",TEXT(A3483,"0")&amp;"|"&amp;TEXT(H3483,"0"))</f>
        <v/>
      </c>
      <c r="AA3483" t="str">
        <f>IF(Z3483="","",IFERROR(LOOKUP(2,1/(#REF!=Z3483),#REF!),""))</f>
        <v/>
      </c>
      <c r="AB3483" t="str">
        <f>IF(Z3483="","",IFERROR(LOOKUP(2,1/(#REF!=Z3483),#REF!),""))</f>
        <v/>
      </c>
      <c r="AC3483" t="str">
        <f>IF(Z3483="","",COUNTIF(#REF!,Z3483))</f>
        <v/>
      </c>
      <c r="AD3483" t="str">
        <f>IF(A3483="","",IF(AC3483&gt;1,"REVISAR DUPLICADO",IF(AA3483&lt;&gt;"","ACTUALIZADO POR EYR","SIN REPORTE EYR")))</f>
        <v/>
      </c>
    </row>
    <row r="3484" spans="11:30" x14ac:dyDescent="0.3">
      <c r="K3484" s="1" t="str">
        <f ca="1">IF(A3484="","",IF(OR(L3484="ENTREGADA",L3484="RETORNADA",L3484="ENTREGA DIGITAL"),0,MAX(0,5-NETWORKDAYS(H3484+1,TODAY()))))</f>
        <v/>
      </c>
      <c r="L3484" t="str">
        <f>IF(A3484="","",IFERROR(LOOKUP(2,1/(#REF!=Z3484),#REF!),Y3484))</f>
        <v/>
      </c>
      <c r="Z3484" t="str">
        <f>IF(A3484="","",TEXT(A3484,"0")&amp;"|"&amp;TEXT(H3484,"0"))</f>
        <v/>
      </c>
      <c r="AA3484" t="str">
        <f>IF(Z3484="","",IFERROR(LOOKUP(2,1/(#REF!=Z3484),#REF!),""))</f>
        <v/>
      </c>
      <c r="AB3484" t="str">
        <f>IF(Z3484="","",IFERROR(LOOKUP(2,1/(#REF!=Z3484),#REF!),""))</f>
        <v/>
      </c>
      <c r="AC3484" t="str">
        <f>IF(Z3484="","",COUNTIF(#REF!,Z3484))</f>
        <v/>
      </c>
      <c r="AD3484" t="str">
        <f>IF(A3484="","",IF(AC3484&gt;1,"REVISAR DUPLICADO",IF(AA3484&lt;&gt;"","ACTUALIZADO POR EYR","SIN REPORTE EYR")))</f>
        <v/>
      </c>
    </row>
    <row r="3485" spans="11:30" x14ac:dyDescent="0.3">
      <c r="K3485" s="1" t="str">
        <f ca="1">IF(A3485="","",IF(OR(L3485="ENTREGADA",L3485="RETORNADA",L3485="ENTREGA DIGITAL"),0,MAX(0,5-NETWORKDAYS(H3485+1,TODAY()))))</f>
        <v/>
      </c>
      <c r="L3485" t="str">
        <f>IF(A3485="","",IFERROR(LOOKUP(2,1/(#REF!=Z3485),#REF!),Y3485))</f>
        <v/>
      </c>
      <c r="Z3485" t="str">
        <f>IF(A3485="","",TEXT(A3485,"0")&amp;"|"&amp;TEXT(H3485,"0"))</f>
        <v/>
      </c>
      <c r="AA3485" t="str">
        <f>IF(Z3485="","",IFERROR(LOOKUP(2,1/(#REF!=Z3485),#REF!),""))</f>
        <v/>
      </c>
      <c r="AB3485" t="str">
        <f>IF(Z3485="","",IFERROR(LOOKUP(2,1/(#REF!=Z3485),#REF!),""))</f>
        <v/>
      </c>
      <c r="AC3485" t="str">
        <f>IF(Z3485="","",COUNTIF(#REF!,Z3485))</f>
        <v/>
      </c>
      <c r="AD3485" t="str">
        <f>IF(A3485="","",IF(AC3485&gt;1,"REVISAR DUPLICADO",IF(AA3485&lt;&gt;"","ACTUALIZADO POR EYR","SIN REPORTE EYR")))</f>
        <v/>
      </c>
    </row>
    <row r="3486" spans="11:30" x14ac:dyDescent="0.3">
      <c r="K3486" s="1" t="str">
        <f ca="1">IF(A3486="","",IF(OR(L3486="ENTREGADA",L3486="RETORNADA",L3486="ENTREGA DIGITAL"),0,MAX(0,5-NETWORKDAYS(H3486+1,TODAY()))))</f>
        <v/>
      </c>
      <c r="L3486" t="str">
        <f>IF(A3486="","",IFERROR(LOOKUP(2,1/(#REF!=Z3486),#REF!),Y3486))</f>
        <v/>
      </c>
      <c r="Z3486" t="str">
        <f>IF(A3486="","",TEXT(A3486,"0")&amp;"|"&amp;TEXT(H3486,"0"))</f>
        <v/>
      </c>
      <c r="AA3486" t="str">
        <f>IF(Z3486="","",IFERROR(LOOKUP(2,1/(#REF!=Z3486),#REF!),""))</f>
        <v/>
      </c>
      <c r="AB3486" t="str">
        <f>IF(Z3486="","",IFERROR(LOOKUP(2,1/(#REF!=Z3486),#REF!),""))</f>
        <v/>
      </c>
      <c r="AC3486" t="str">
        <f>IF(Z3486="","",COUNTIF(#REF!,Z3486))</f>
        <v/>
      </c>
      <c r="AD3486" t="str">
        <f>IF(A3486="","",IF(AC3486&gt;1,"REVISAR DUPLICADO",IF(AA3486&lt;&gt;"","ACTUALIZADO POR EYR","SIN REPORTE EYR")))</f>
        <v/>
      </c>
    </row>
    <row r="3487" spans="11:30" x14ac:dyDescent="0.3">
      <c r="K3487" s="1" t="str">
        <f ca="1">IF(A3487="","",IF(OR(L3487="ENTREGADA",L3487="RETORNADA",L3487="ENTREGA DIGITAL"),0,MAX(0,5-NETWORKDAYS(H3487+1,TODAY()))))</f>
        <v/>
      </c>
      <c r="L3487" t="str">
        <f>IF(A3487="","",IFERROR(LOOKUP(2,1/(#REF!=Z3487),#REF!),Y3487))</f>
        <v/>
      </c>
      <c r="Z3487" t="str">
        <f>IF(A3487="","",TEXT(A3487,"0")&amp;"|"&amp;TEXT(H3487,"0"))</f>
        <v/>
      </c>
      <c r="AA3487" t="str">
        <f>IF(Z3487="","",IFERROR(LOOKUP(2,1/(#REF!=Z3487),#REF!),""))</f>
        <v/>
      </c>
      <c r="AB3487" t="str">
        <f>IF(Z3487="","",IFERROR(LOOKUP(2,1/(#REF!=Z3487),#REF!),""))</f>
        <v/>
      </c>
      <c r="AC3487" t="str">
        <f>IF(Z3487="","",COUNTIF(#REF!,Z3487))</f>
        <v/>
      </c>
      <c r="AD3487" t="str">
        <f>IF(A3487="","",IF(AC3487&gt;1,"REVISAR DUPLICADO",IF(AA3487&lt;&gt;"","ACTUALIZADO POR EYR","SIN REPORTE EYR")))</f>
        <v/>
      </c>
    </row>
    <row r="3488" spans="11:30" x14ac:dyDescent="0.3">
      <c r="K3488" s="1" t="str">
        <f ca="1">IF(A3488="","",IF(OR(L3488="ENTREGADA",L3488="RETORNADA",L3488="ENTREGA DIGITAL"),0,MAX(0,5-NETWORKDAYS(H3488+1,TODAY()))))</f>
        <v/>
      </c>
      <c r="L3488" t="str">
        <f>IF(A3488="","",IFERROR(LOOKUP(2,1/(#REF!=Z3488),#REF!),Y3488))</f>
        <v/>
      </c>
      <c r="Z3488" t="str">
        <f>IF(A3488="","",TEXT(A3488,"0")&amp;"|"&amp;TEXT(H3488,"0"))</f>
        <v/>
      </c>
      <c r="AA3488" t="str">
        <f>IF(Z3488="","",IFERROR(LOOKUP(2,1/(#REF!=Z3488),#REF!),""))</f>
        <v/>
      </c>
      <c r="AB3488" t="str">
        <f>IF(Z3488="","",IFERROR(LOOKUP(2,1/(#REF!=Z3488),#REF!),""))</f>
        <v/>
      </c>
      <c r="AC3488" t="str">
        <f>IF(Z3488="","",COUNTIF(#REF!,Z3488))</f>
        <v/>
      </c>
      <c r="AD3488" t="str">
        <f>IF(A3488="","",IF(AC3488&gt;1,"REVISAR DUPLICADO",IF(AA3488&lt;&gt;"","ACTUALIZADO POR EYR","SIN REPORTE EYR")))</f>
        <v/>
      </c>
    </row>
    <row r="3489" spans="11:30" x14ac:dyDescent="0.3">
      <c r="K3489" s="1" t="str">
        <f ca="1">IF(A3489="","",IF(OR(L3489="ENTREGADA",L3489="RETORNADA",L3489="ENTREGA DIGITAL"),0,MAX(0,5-NETWORKDAYS(H3489+1,TODAY()))))</f>
        <v/>
      </c>
      <c r="L3489" t="str">
        <f>IF(A3489="","",IFERROR(LOOKUP(2,1/(#REF!=Z3489),#REF!),Y3489))</f>
        <v/>
      </c>
      <c r="Z3489" t="str">
        <f>IF(A3489="","",TEXT(A3489,"0")&amp;"|"&amp;TEXT(H3489,"0"))</f>
        <v/>
      </c>
      <c r="AA3489" t="str">
        <f>IF(Z3489="","",IFERROR(LOOKUP(2,1/(#REF!=Z3489),#REF!),""))</f>
        <v/>
      </c>
      <c r="AB3489" t="str">
        <f>IF(Z3489="","",IFERROR(LOOKUP(2,1/(#REF!=Z3489),#REF!),""))</f>
        <v/>
      </c>
      <c r="AC3489" t="str">
        <f>IF(Z3489="","",COUNTIF(#REF!,Z3489))</f>
        <v/>
      </c>
      <c r="AD3489" t="str">
        <f>IF(A3489="","",IF(AC3489&gt;1,"REVISAR DUPLICADO",IF(AA3489&lt;&gt;"","ACTUALIZADO POR EYR","SIN REPORTE EYR")))</f>
        <v/>
      </c>
    </row>
    <row r="3490" spans="11:30" x14ac:dyDescent="0.3">
      <c r="K3490" s="1" t="str">
        <f ca="1">IF(A3490="","",IF(OR(L3490="ENTREGADA",L3490="RETORNADA",L3490="ENTREGA DIGITAL"),0,MAX(0,5-NETWORKDAYS(H3490+1,TODAY()))))</f>
        <v/>
      </c>
      <c r="L3490" t="str">
        <f>IF(A3490="","",IFERROR(LOOKUP(2,1/(#REF!=Z3490),#REF!),Y3490))</f>
        <v/>
      </c>
      <c r="Z3490" t="str">
        <f>IF(A3490="","",TEXT(A3490,"0")&amp;"|"&amp;TEXT(H3490,"0"))</f>
        <v/>
      </c>
      <c r="AA3490" t="str">
        <f>IF(Z3490="","",IFERROR(LOOKUP(2,1/(#REF!=Z3490),#REF!),""))</f>
        <v/>
      </c>
      <c r="AB3490" t="str">
        <f>IF(Z3490="","",IFERROR(LOOKUP(2,1/(#REF!=Z3490),#REF!),""))</f>
        <v/>
      </c>
      <c r="AC3490" t="str">
        <f>IF(Z3490="","",COUNTIF(#REF!,Z3490))</f>
        <v/>
      </c>
      <c r="AD3490" t="str">
        <f>IF(A3490="","",IF(AC3490&gt;1,"REVISAR DUPLICADO",IF(AA3490&lt;&gt;"","ACTUALIZADO POR EYR","SIN REPORTE EYR")))</f>
        <v/>
      </c>
    </row>
    <row r="3491" spans="11:30" x14ac:dyDescent="0.3">
      <c r="K3491" s="1" t="str">
        <f ca="1">IF(A3491="","",IF(OR(L3491="ENTREGADA",L3491="RETORNADA",L3491="ENTREGA DIGITAL"),0,MAX(0,5-NETWORKDAYS(H3491+1,TODAY()))))</f>
        <v/>
      </c>
      <c r="L3491" t="str">
        <f>IF(A3491="","",IFERROR(LOOKUP(2,1/(#REF!=Z3491),#REF!),Y3491))</f>
        <v/>
      </c>
      <c r="Z3491" t="str">
        <f>IF(A3491="","",TEXT(A3491,"0")&amp;"|"&amp;TEXT(H3491,"0"))</f>
        <v/>
      </c>
      <c r="AA3491" t="str">
        <f>IF(Z3491="","",IFERROR(LOOKUP(2,1/(#REF!=Z3491),#REF!),""))</f>
        <v/>
      </c>
      <c r="AB3491" t="str">
        <f>IF(Z3491="","",IFERROR(LOOKUP(2,1/(#REF!=Z3491),#REF!),""))</f>
        <v/>
      </c>
      <c r="AC3491" t="str">
        <f>IF(Z3491="","",COUNTIF(#REF!,Z3491))</f>
        <v/>
      </c>
      <c r="AD3491" t="str">
        <f>IF(A3491="","",IF(AC3491&gt;1,"REVISAR DUPLICADO",IF(AA3491&lt;&gt;"","ACTUALIZADO POR EYR","SIN REPORTE EYR")))</f>
        <v/>
      </c>
    </row>
    <row r="3492" spans="11:30" x14ac:dyDescent="0.3">
      <c r="K3492" s="1" t="str">
        <f ca="1">IF(A3492="","",IF(OR(L3492="ENTREGADA",L3492="RETORNADA",L3492="ENTREGA DIGITAL"),0,MAX(0,5-NETWORKDAYS(H3492+1,TODAY()))))</f>
        <v/>
      </c>
      <c r="L3492" t="str">
        <f>IF(A3492="","",IFERROR(LOOKUP(2,1/(#REF!=Z3492),#REF!),Y3492))</f>
        <v/>
      </c>
      <c r="Z3492" t="str">
        <f>IF(A3492="","",TEXT(A3492,"0")&amp;"|"&amp;TEXT(H3492,"0"))</f>
        <v/>
      </c>
      <c r="AA3492" t="str">
        <f>IF(Z3492="","",IFERROR(LOOKUP(2,1/(#REF!=Z3492),#REF!),""))</f>
        <v/>
      </c>
      <c r="AB3492" t="str">
        <f>IF(Z3492="","",IFERROR(LOOKUP(2,1/(#REF!=Z3492),#REF!),""))</f>
        <v/>
      </c>
      <c r="AC3492" t="str">
        <f>IF(Z3492="","",COUNTIF(#REF!,Z3492))</f>
        <v/>
      </c>
      <c r="AD3492" t="str">
        <f>IF(A3492="","",IF(AC3492&gt;1,"REVISAR DUPLICADO",IF(AA3492&lt;&gt;"","ACTUALIZADO POR EYR","SIN REPORTE EYR")))</f>
        <v/>
      </c>
    </row>
    <row r="3493" spans="11:30" x14ac:dyDescent="0.3">
      <c r="K3493" s="1" t="str">
        <f ca="1">IF(A3493="","",IF(OR(L3493="ENTREGADA",L3493="RETORNADA",L3493="ENTREGA DIGITAL"),0,MAX(0,5-NETWORKDAYS(H3493+1,TODAY()))))</f>
        <v/>
      </c>
      <c r="L3493" t="str">
        <f>IF(A3493="","",IFERROR(LOOKUP(2,1/(#REF!=Z3493),#REF!),Y3493))</f>
        <v/>
      </c>
      <c r="Z3493" t="str">
        <f>IF(A3493="","",TEXT(A3493,"0")&amp;"|"&amp;TEXT(H3493,"0"))</f>
        <v/>
      </c>
      <c r="AA3493" t="str">
        <f>IF(Z3493="","",IFERROR(LOOKUP(2,1/(#REF!=Z3493),#REF!),""))</f>
        <v/>
      </c>
      <c r="AB3493" t="str">
        <f>IF(Z3493="","",IFERROR(LOOKUP(2,1/(#REF!=Z3493),#REF!),""))</f>
        <v/>
      </c>
      <c r="AC3493" t="str">
        <f>IF(Z3493="","",COUNTIF(#REF!,Z3493))</f>
        <v/>
      </c>
      <c r="AD3493" t="str">
        <f>IF(A3493="","",IF(AC3493&gt;1,"REVISAR DUPLICADO",IF(AA3493&lt;&gt;"","ACTUALIZADO POR EYR","SIN REPORTE EYR")))</f>
        <v/>
      </c>
    </row>
    <row r="3494" spans="11:30" x14ac:dyDescent="0.3">
      <c r="K3494" s="1" t="str">
        <f ca="1">IF(A3494="","",IF(OR(L3494="ENTREGADA",L3494="RETORNADA",L3494="ENTREGA DIGITAL"),0,MAX(0,5-NETWORKDAYS(H3494+1,TODAY()))))</f>
        <v/>
      </c>
      <c r="L3494" t="str">
        <f>IF(A3494="","",IFERROR(LOOKUP(2,1/(#REF!=Z3494),#REF!),Y3494))</f>
        <v/>
      </c>
      <c r="Z3494" t="str">
        <f>IF(A3494="","",TEXT(A3494,"0")&amp;"|"&amp;TEXT(H3494,"0"))</f>
        <v/>
      </c>
      <c r="AA3494" t="str">
        <f>IF(Z3494="","",IFERROR(LOOKUP(2,1/(#REF!=Z3494),#REF!),""))</f>
        <v/>
      </c>
      <c r="AB3494" t="str">
        <f>IF(Z3494="","",IFERROR(LOOKUP(2,1/(#REF!=Z3494),#REF!),""))</f>
        <v/>
      </c>
      <c r="AC3494" t="str">
        <f>IF(Z3494="","",COUNTIF(#REF!,Z3494))</f>
        <v/>
      </c>
      <c r="AD3494" t="str">
        <f>IF(A3494="","",IF(AC3494&gt;1,"REVISAR DUPLICADO",IF(AA3494&lt;&gt;"","ACTUALIZADO POR EYR","SIN REPORTE EYR")))</f>
        <v/>
      </c>
    </row>
    <row r="3495" spans="11:30" x14ac:dyDescent="0.3">
      <c r="K3495" s="1" t="str">
        <f ca="1">IF(A3495="","",IF(OR(L3495="ENTREGADA",L3495="RETORNADA",L3495="ENTREGA DIGITAL"),0,MAX(0,5-NETWORKDAYS(H3495+1,TODAY()))))</f>
        <v/>
      </c>
      <c r="L3495" t="str">
        <f>IF(A3495="","",IFERROR(LOOKUP(2,1/(#REF!=Z3495),#REF!),Y3495))</f>
        <v/>
      </c>
      <c r="Z3495" t="str">
        <f>IF(A3495="","",TEXT(A3495,"0")&amp;"|"&amp;TEXT(H3495,"0"))</f>
        <v/>
      </c>
      <c r="AA3495" t="str">
        <f>IF(Z3495="","",IFERROR(LOOKUP(2,1/(#REF!=Z3495),#REF!),""))</f>
        <v/>
      </c>
      <c r="AB3495" t="str">
        <f>IF(Z3495="","",IFERROR(LOOKUP(2,1/(#REF!=Z3495),#REF!),""))</f>
        <v/>
      </c>
      <c r="AC3495" t="str">
        <f>IF(Z3495="","",COUNTIF(#REF!,Z3495))</f>
        <v/>
      </c>
      <c r="AD3495" t="str">
        <f>IF(A3495="","",IF(AC3495&gt;1,"REVISAR DUPLICADO",IF(AA3495&lt;&gt;"","ACTUALIZADO POR EYR","SIN REPORTE EYR")))</f>
        <v/>
      </c>
    </row>
    <row r="3496" spans="11:30" x14ac:dyDescent="0.3">
      <c r="K3496" s="1" t="str">
        <f ca="1">IF(A3496="","",IF(OR(L3496="ENTREGADA",L3496="RETORNADA",L3496="ENTREGA DIGITAL"),0,MAX(0,5-NETWORKDAYS(H3496+1,TODAY()))))</f>
        <v/>
      </c>
      <c r="L3496" t="str">
        <f>IF(A3496="","",IFERROR(LOOKUP(2,1/(#REF!=Z3496),#REF!),Y3496))</f>
        <v/>
      </c>
      <c r="Z3496" t="str">
        <f>IF(A3496="","",TEXT(A3496,"0")&amp;"|"&amp;TEXT(H3496,"0"))</f>
        <v/>
      </c>
      <c r="AA3496" t="str">
        <f>IF(Z3496="","",IFERROR(LOOKUP(2,1/(#REF!=Z3496),#REF!),""))</f>
        <v/>
      </c>
      <c r="AB3496" t="str">
        <f>IF(Z3496="","",IFERROR(LOOKUP(2,1/(#REF!=Z3496),#REF!),""))</f>
        <v/>
      </c>
      <c r="AC3496" t="str">
        <f>IF(Z3496="","",COUNTIF(#REF!,Z3496))</f>
        <v/>
      </c>
      <c r="AD3496" t="str">
        <f>IF(A3496="","",IF(AC3496&gt;1,"REVISAR DUPLICADO",IF(AA3496&lt;&gt;"","ACTUALIZADO POR EYR","SIN REPORTE EYR")))</f>
        <v/>
      </c>
    </row>
    <row r="3497" spans="11:30" x14ac:dyDescent="0.3">
      <c r="K3497" s="1" t="str">
        <f ca="1">IF(A3497="","",IF(OR(L3497="ENTREGADA",L3497="RETORNADA",L3497="ENTREGA DIGITAL"),0,MAX(0,5-NETWORKDAYS(H3497+1,TODAY()))))</f>
        <v/>
      </c>
      <c r="L3497" t="str">
        <f>IF(A3497="","",IFERROR(LOOKUP(2,1/(#REF!=Z3497),#REF!),Y3497))</f>
        <v/>
      </c>
      <c r="Z3497" t="str">
        <f>IF(A3497="","",TEXT(A3497,"0")&amp;"|"&amp;TEXT(H3497,"0"))</f>
        <v/>
      </c>
      <c r="AA3497" t="str">
        <f>IF(Z3497="","",IFERROR(LOOKUP(2,1/(#REF!=Z3497),#REF!),""))</f>
        <v/>
      </c>
      <c r="AB3497" t="str">
        <f>IF(Z3497="","",IFERROR(LOOKUP(2,1/(#REF!=Z3497),#REF!),""))</f>
        <v/>
      </c>
      <c r="AC3497" t="str">
        <f>IF(Z3497="","",COUNTIF(#REF!,Z3497))</f>
        <v/>
      </c>
      <c r="AD3497" t="str">
        <f>IF(A3497="","",IF(AC3497&gt;1,"REVISAR DUPLICADO",IF(AA3497&lt;&gt;"","ACTUALIZADO POR EYR","SIN REPORTE EYR")))</f>
        <v/>
      </c>
    </row>
    <row r="3498" spans="11:30" x14ac:dyDescent="0.3">
      <c r="K3498" s="1" t="str">
        <f ca="1">IF(A3498="","",IF(OR(L3498="ENTREGADA",L3498="RETORNADA",L3498="ENTREGA DIGITAL"),0,MAX(0,5-NETWORKDAYS(H3498+1,TODAY()))))</f>
        <v/>
      </c>
      <c r="L3498" t="str">
        <f>IF(A3498="","",IFERROR(LOOKUP(2,1/(#REF!=Z3498),#REF!),Y3498))</f>
        <v/>
      </c>
      <c r="Z3498" t="str">
        <f>IF(A3498="","",TEXT(A3498,"0")&amp;"|"&amp;TEXT(H3498,"0"))</f>
        <v/>
      </c>
      <c r="AA3498" t="str">
        <f>IF(Z3498="","",IFERROR(LOOKUP(2,1/(#REF!=Z3498),#REF!),""))</f>
        <v/>
      </c>
      <c r="AB3498" t="str">
        <f>IF(Z3498="","",IFERROR(LOOKUP(2,1/(#REF!=Z3498),#REF!),""))</f>
        <v/>
      </c>
      <c r="AC3498" t="str">
        <f>IF(Z3498="","",COUNTIF(#REF!,Z3498))</f>
        <v/>
      </c>
      <c r="AD3498" t="str">
        <f>IF(A3498="","",IF(AC3498&gt;1,"REVISAR DUPLICADO",IF(AA3498&lt;&gt;"","ACTUALIZADO POR EYR","SIN REPORTE EYR")))</f>
        <v/>
      </c>
    </row>
    <row r="3499" spans="11:30" x14ac:dyDescent="0.3">
      <c r="K3499" s="1" t="str">
        <f ca="1">IF(A3499="","",IF(OR(L3499="ENTREGADA",L3499="RETORNADA",L3499="ENTREGA DIGITAL"),0,MAX(0,5-NETWORKDAYS(H3499+1,TODAY()))))</f>
        <v/>
      </c>
      <c r="L3499" t="str">
        <f>IF(A3499="","",IFERROR(LOOKUP(2,1/(#REF!=Z3499),#REF!),Y3499))</f>
        <v/>
      </c>
      <c r="Z3499" t="str">
        <f>IF(A3499="","",TEXT(A3499,"0")&amp;"|"&amp;TEXT(H3499,"0"))</f>
        <v/>
      </c>
      <c r="AA3499" t="str">
        <f>IF(Z3499="","",IFERROR(LOOKUP(2,1/(#REF!=Z3499),#REF!),""))</f>
        <v/>
      </c>
      <c r="AB3499" t="str">
        <f>IF(Z3499="","",IFERROR(LOOKUP(2,1/(#REF!=Z3499),#REF!),""))</f>
        <v/>
      </c>
      <c r="AC3499" t="str">
        <f>IF(Z3499="","",COUNTIF(#REF!,Z3499))</f>
        <v/>
      </c>
      <c r="AD3499" t="str">
        <f>IF(A3499="","",IF(AC3499&gt;1,"REVISAR DUPLICADO",IF(AA3499&lt;&gt;"","ACTUALIZADO POR EYR","SIN REPORTE EYR")))</f>
        <v/>
      </c>
    </row>
    <row r="3500" spans="11:30" x14ac:dyDescent="0.3">
      <c r="K3500" s="1" t="str">
        <f ca="1">IF(A3500="","",IF(OR(L3500="ENTREGADA",L3500="RETORNADA",L3500="ENTREGA DIGITAL"),0,MAX(0,5-NETWORKDAYS(H3500+1,TODAY()))))</f>
        <v/>
      </c>
      <c r="L3500" t="str">
        <f>IF(A3500="","",IFERROR(LOOKUP(2,1/(#REF!=Z3500),#REF!),Y3500))</f>
        <v/>
      </c>
      <c r="Z3500" t="str">
        <f>IF(A3500="","",TEXT(A3500,"0")&amp;"|"&amp;TEXT(H3500,"0"))</f>
        <v/>
      </c>
      <c r="AA3500" t="str">
        <f>IF(Z3500="","",IFERROR(LOOKUP(2,1/(#REF!=Z3500),#REF!),""))</f>
        <v/>
      </c>
      <c r="AB3500" t="str">
        <f>IF(Z3500="","",IFERROR(LOOKUP(2,1/(#REF!=Z3500),#REF!),""))</f>
        <v/>
      </c>
      <c r="AC3500" t="str">
        <f>IF(Z3500="","",COUNTIF(#REF!,Z3500))</f>
        <v/>
      </c>
      <c r="AD3500" t="str">
        <f>IF(A3500="","",IF(AC3500&gt;1,"REVISAR DUPLICADO",IF(AA3500&lt;&gt;"","ACTUALIZADO POR EYR","SIN REPORTE EYR")))</f>
        <v/>
      </c>
    </row>
    <row r="3501" spans="11:30" x14ac:dyDescent="0.3">
      <c r="K3501" s="1" t="str">
        <f ca="1">IF(A3501="","",IF(OR(L3501="ENTREGADA",L3501="RETORNADA",L3501="ENTREGA DIGITAL"),0,MAX(0,5-NETWORKDAYS(H3501+1,TODAY()))))</f>
        <v/>
      </c>
      <c r="L3501" t="str">
        <f>IF(A3501="","",IFERROR(LOOKUP(2,1/(#REF!=Z3501),#REF!),Y3501))</f>
        <v/>
      </c>
      <c r="Z3501" t="str">
        <f>IF(A3501="","",TEXT(A3501,"0")&amp;"|"&amp;TEXT(H3501,"0"))</f>
        <v/>
      </c>
      <c r="AA3501" t="str">
        <f>IF(Z3501="","",IFERROR(LOOKUP(2,1/(#REF!=Z3501),#REF!),""))</f>
        <v/>
      </c>
      <c r="AB3501" t="str">
        <f>IF(Z3501="","",IFERROR(LOOKUP(2,1/(#REF!=Z3501),#REF!),""))</f>
        <v/>
      </c>
      <c r="AC3501" t="str">
        <f>IF(Z3501="","",COUNTIF(#REF!,Z3501))</f>
        <v/>
      </c>
      <c r="AD3501" t="str">
        <f>IF(A3501="","",IF(AC3501&gt;1,"REVISAR DUPLICADO",IF(AA3501&lt;&gt;"","ACTUALIZADO POR EYR","SIN REPORTE EYR")))</f>
        <v/>
      </c>
    </row>
    <row r="3502" spans="11:30" x14ac:dyDescent="0.3">
      <c r="K3502" s="1" t="str">
        <f ca="1">IF(A3502="","",IF(OR(L3502="ENTREGADA",L3502="RETORNADA",L3502="ENTREGA DIGITAL"),0,MAX(0,5-NETWORKDAYS(H3502+1,TODAY()))))</f>
        <v/>
      </c>
      <c r="L3502" t="str">
        <f>IF(A3502="","",IFERROR(LOOKUP(2,1/(#REF!=Z3502),#REF!),Y3502))</f>
        <v/>
      </c>
      <c r="Z3502" t="str">
        <f>IF(A3502="","",TEXT(A3502,"0")&amp;"|"&amp;TEXT(H3502,"0"))</f>
        <v/>
      </c>
      <c r="AA3502" t="str">
        <f>IF(Z3502="","",IFERROR(LOOKUP(2,1/(#REF!=Z3502),#REF!),""))</f>
        <v/>
      </c>
      <c r="AB3502" t="str">
        <f>IF(Z3502="","",IFERROR(LOOKUP(2,1/(#REF!=Z3502),#REF!),""))</f>
        <v/>
      </c>
      <c r="AC3502" t="str">
        <f>IF(Z3502="","",COUNTIF(#REF!,Z3502))</f>
        <v/>
      </c>
      <c r="AD3502" t="str">
        <f>IF(A3502="","",IF(AC3502&gt;1,"REVISAR DUPLICADO",IF(AA3502&lt;&gt;"","ACTUALIZADO POR EYR","SIN REPORTE EYR")))</f>
        <v/>
      </c>
    </row>
    <row r="3503" spans="11:30" x14ac:dyDescent="0.3">
      <c r="K3503" s="1" t="str">
        <f ca="1">IF(A3503="","",IF(OR(L3503="ENTREGADA",L3503="RETORNADA",L3503="ENTREGA DIGITAL"),0,MAX(0,5-NETWORKDAYS(H3503+1,TODAY()))))</f>
        <v/>
      </c>
      <c r="L3503" t="str">
        <f>IF(A3503="","",IFERROR(LOOKUP(2,1/(#REF!=Z3503),#REF!),Y3503))</f>
        <v/>
      </c>
      <c r="Z3503" t="str">
        <f>IF(A3503="","",TEXT(A3503,"0")&amp;"|"&amp;TEXT(H3503,"0"))</f>
        <v/>
      </c>
      <c r="AA3503" t="str">
        <f>IF(Z3503="","",IFERROR(LOOKUP(2,1/(#REF!=Z3503),#REF!),""))</f>
        <v/>
      </c>
      <c r="AB3503" t="str">
        <f>IF(Z3503="","",IFERROR(LOOKUP(2,1/(#REF!=Z3503),#REF!),""))</f>
        <v/>
      </c>
      <c r="AC3503" t="str">
        <f>IF(Z3503="","",COUNTIF(#REF!,Z3503))</f>
        <v/>
      </c>
      <c r="AD3503" t="str">
        <f>IF(A3503="","",IF(AC3503&gt;1,"REVISAR DUPLICADO",IF(AA3503&lt;&gt;"","ACTUALIZADO POR EYR","SIN REPORTE EYR")))</f>
        <v/>
      </c>
    </row>
    <row r="3504" spans="11:30" x14ac:dyDescent="0.3">
      <c r="K3504" s="1" t="str">
        <f ca="1">IF(A3504="","",IF(OR(L3504="ENTREGADA",L3504="RETORNADA",L3504="ENTREGA DIGITAL"),0,MAX(0,5-NETWORKDAYS(H3504+1,TODAY()))))</f>
        <v/>
      </c>
      <c r="L3504" t="str">
        <f>IF(A3504="","",IFERROR(LOOKUP(2,1/(#REF!=Z3504),#REF!),Y3504))</f>
        <v/>
      </c>
      <c r="Z3504" t="str">
        <f>IF(A3504="","",TEXT(A3504,"0")&amp;"|"&amp;TEXT(H3504,"0"))</f>
        <v/>
      </c>
      <c r="AA3504" t="str">
        <f>IF(Z3504="","",IFERROR(LOOKUP(2,1/(#REF!=Z3504),#REF!),""))</f>
        <v/>
      </c>
      <c r="AB3504" t="str">
        <f>IF(Z3504="","",IFERROR(LOOKUP(2,1/(#REF!=Z3504),#REF!),""))</f>
        <v/>
      </c>
      <c r="AC3504" t="str">
        <f>IF(Z3504="","",COUNTIF(#REF!,Z3504))</f>
        <v/>
      </c>
      <c r="AD3504" t="str">
        <f>IF(A3504="","",IF(AC3504&gt;1,"REVISAR DUPLICADO",IF(AA3504&lt;&gt;"","ACTUALIZADO POR EYR","SIN REPORTE EYR")))</f>
        <v/>
      </c>
    </row>
    <row r="3505" spans="11:30" x14ac:dyDescent="0.3">
      <c r="K3505" s="1" t="str">
        <f ca="1">IF(A3505="","",IF(OR(L3505="ENTREGADA",L3505="RETORNADA",L3505="ENTREGA DIGITAL"),0,MAX(0,5-NETWORKDAYS(H3505+1,TODAY()))))</f>
        <v/>
      </c>
      <c r="L3505" t="str">
        <f>IF(A3505="","",IFERROR(LOOKUP(2,1/(#REF!=Z3505),#REF!),Y3505))</f>
        <v/>
      </c>
      <c r="Z3505" t="str">
        <f>IF(A3505="","",TEXT(A3505,"0")&amp;"|"&amp;TEXT(H3505,"0"))</f>
        <v/>
      </c>
      <c r="AA3505" t="str">
        <f>IF(Z3505="","",IFERROR(LOOKUP(2,1/(#REF!=Z3505),#REF!),""))</f>
        <v/>
      </c>
      <c r="AB3505" t="str">
        <f>IF(Z3505="","",IFERROR(LOOKUP(2,1/(#REF!=Z3505),#REF!),""))</f>
        <v/>
      </c>
      <c r="AC3505" t="str">
        <f>IF(Z3505="","",COUNTIF(#REF!,Z3505))</f>
        <v/>
      </c>
      <c r="AD3505" t="str">
        <f>IF(A3505="","",IF(AC3505&gt;1,"REVISAR DUPLICADO",IF(AA3505&lt;&gt;"","ACTUALIZADO POR EYR","SIN REPORTE EYR")))</f>
        <v/>
      </c>
    </row>
    <row r="3506" spans="11:30" x14ac:dyDescent="0.3">
      <c r="K3506" s="1" t="str">
        <f ca="1">IF(A3506="","",IF(OR(L3506="ENTREGADA",L3506="RETORNADA",L3506="ENTREGA DIGITAL"),0,MAX(0,5-NETWORKDAYS(H3506+1,TODAY()))))</f>
        <v/>
      </c>
      <c r="L3506" t="str">
        <f>IF(A3506="","",IFERROR(LOOKUP(2,1/(#REF!=Z3506),#REF!),Y3506))</f>
        <v/>
      </c>
      <c r="Z3506" t="str">
        <f>IF(A3506="","",TEXT(A3506,"0")&amp;"|"&amp;TEXT(H3506,"0"))</f>
        <v/>
      </c>
      <c r="AA3506" t="str">
        <f>IF(Z3506="","",IFERROR(LOOKUP(2,1/(#REF!=Z3506),#REF!),""))</f>
        <v/>
      </c>
      <c r="AB3506" t="str">
        <f>IF(Z3506="","",IFERROR(LOOKUP(2,1/(#REF!=Z3506),#REF!),""))</f>
        <v/>
      </c>
      <c r="AC3506" t="str">
        <f>IF(Z3506="","",COUNTIF(#REF!,Z3506))</f>
        <v/>
      </c>
      <c r="AD3506" t="str">
        <f>IF(A3506="","",IF(AC3506&gt;1,"REVISAR DUPLICADO",IF(AA3506&lt;&gt;"","ACTUALIZADO POR EYR","SIN REPORTE EYR")))</f>
        <v/>
      </c>
    </row>
    <row r="3507" spans="11:30" x14ac:dyDescent="0.3">
      <c r="K3507" s="1" t="str">
        <f ca="1">IF(A3507="","",IF(OR(L3507="ENTREGADA",L3507="RETORNADA",L3507="ENTREGA DIGITAL"),0,MAX(0,5-NETWORKDAYS(H3507+1,TODAY()))))</f>
        <v/>
      </c>
      <c r="L3507" t="str">
        <f>IF(A3507="","",IFERROR(LOOKUP(2,1/(#REF!=Z3507),#REF!),Y3507))</f>
        <v/>
      </c>
      <c r="Z3507" t="str">
        <f>IF(A3507="","",TEXT(A3507,"0")&amp;"|"&amp;TEXT(H3507,"0"))</f>
        <v/>
      </c>
      <c r="AA3507" t="str">
        <f>IF(Z3507="","",IFERROR(LOOKUP(2,1/(#REF!=Z3507),#REF!),""))</f>
        <v/>
      </c>
      <c r="AB3507" t="str">
        <f>IF(Z3507="","",IFERROR(LOOKUP(2,1/(#REF!=Z3507),#REF!),""))</f>
        <v/>
      </c>
      <c r="AC3507" t="str">
        <f>IF(Z3507="","",COUNTIF(#REF!,Z3507))</f>
        <v/>
      </c>
      <c r="AD3507" t="str">
        <f>IF(A3507="","",IF(AC3507&gt;1,"REVISAR DUPLICADO",IF(AA3507&lt;&gt;"","ACTUALIZADO POR EYR","SIN REPORTE EYR")))</f>
        <v/>
      </c>
    </row>
    <row r="3508" spans="11:30" x14ac:dyDescent="0.3">
      <c r="K3508" s="1" t="str">
        <f ca="1">IF(A3508="","",IF(OR(L3508="ENTREGADA",L3508="RETORNADA",L3508="ENTREGA DIGITAL"),0,MAX(0,5-NETWORKDAYS(H3508+1,TODAY()))))</f>
        <v/>
      </c>
      <c r="L3508" t="str">
        <f>IF(A3508="","",IFERROR(LOOKUP(2,1/(#REF!=Z3508),#REF!),Y3508))</f>
        <v/>
      </c>
      <c r="Z3508" t="str">
        <f>IF(A3508="","",TEXT(A3508,"0")&amp;"|"&amp;TEXT(H3508,"0"))</f>
        <v/>
      </c>
      <c r="AA3508" t="str">
        <f>IF(Z3508="","",IFERROR(LOOKUP(2,1/(#REF!=Z3508),#REF!),""))</f>
        <v/>
      </c>
      <c r="AB3508" t="str">
        <f>IF(Z3508="","",IFERROR(LOOKUP(2,1/(#REF!=Z3508),#REF!),""))</f>
        <v/>
      </c>
      <c r="AC3508" t="str">
        <f>IF(Z3508="","",COUNTIF(#REF!,Z3508))</f>
        <v/>
      </c>
      <c r="AD3508" t="str">
        <f>IF(A3508="","",IF(AC3508&gt;1,"REVISAR DUPLICADO",IF(AA3508&lt;&gt;"","ACTUALIZADO POR EYR","SIN REPORTE EYR")))</f>
        <v/>
      </c>
    </row>
    <row r="3509" spans="11:30" x14ac:dyDescent="0.3">
      <c r="K3509" s="1" t="str">
        <f ca="1">IF(A3509="","",IF(OR(L3509="ENTREGADA",L3509="RETORNADA",L3509="ENTREGA DIGITAL"),0,MAX(0,5-NETWORKDAYS(H3509+1,TODAY()))))</f>
        <v/>
      </c>
      <c r="L3509" t="str">
        <f>IF(A3509="","",IFERROR(LOOKUP(2,1/(#REF!=Z3509),#REF!),Y3509))</f>
        <v/>
      </c>
      <c r="Z3509" t="str">
        <f>IF(A3509="","",TEXT(A3509,"0")&amp;"|"&amp;TEXT(H3509,"0"))</f>
        <v/>
      </c>
      <c r="AA3509" t="str">
        <f>IF(Z3509="","",IFERROR(LOOKUP(2,1/(#REF!=Z3509),#REF!),""))</f>
        <v/>
      </c>
      <c r="AB3509" t="str">
        <f>IF(Z3509="","",IFERROR(LOOKUP(2,1/(#REF!=Z3509),#REF!),""))</f>
        <v/>
      </c>
      <c r="AC3509" t="str">
        <f>IF(Z3509="","",COUNTIF(#REF!,Z3509))</f>
        <v/>
      </c>
      <c r="AD3509" t="str">
        <f>IF(A3509="","",IF(AC3509&gt;1,"REVISAR DUPLICADO",IF(AA3509&lt;&gt;"","ACTUALIZADO POR EYR","SIN REPORTE EYR")))</f>
        <v/>
      </c>
    </row>
    <row r="3510" spans="11:30" x14ac:dyDescent="0.3">
      <c r="K3510" s="1" t="str">
        <f ca="1">IF(A3510="","",IF(OR(L3510="ENTREGADA",L3510="RETORNADA",L3510="ENTREGA DIGITAL"),0,MAX(0,5-NETWORKDAYS(H3510+1,TODAY()))))</f>
        <v/>
      </c>
      <c r="L3510" t="str">
        <f>IF(A3510="","",IFERROR(LOOKUP(2,1/(#REF!=Z3510),#REF!),Y3510))</f>
        <v/>
      </c>
      <c r="Z3510" t="str">
        <f>IF(A3510="","",TEXT(A3510,"0")&amp;"|"&amp;TEXT(H3510,"0"))</f>
        <v/>
      </c>
      <c r="AA3510" t="str">
        <f>IF(Z3510="","",IFERROR(LOOKUP(2,1/(#REF!=Z3510),#REF!),""))</f>
        <v/>
      </c>
      <c r="AB3510" t="str">
        <f>IF(Z3510="","",IFERROR(LOOKUP(2,1/(#REF!=Z3510),#REF!),""))</f>
        <v/>
      </c>
      <c r="AC3510" t="str">
        <f>IF(Z3510="","",COUNTIF(#REF!,Z3510))</f>
        <v/>
      </c>
      <c r="AD3510" t="str">
        <f>IF(A3510="","",IF(AC3510&gt;1,"REVISAR DUPLICADO",IF(AA3510&lt;&gt;"","ACTUALIZADO POR EYR","SIN REPORTE EYR")))</f>
        <v/>
      </c>
    </row>
    <row r="3511" spans="11:30" x14ac:dyDescent="0.3">
      <c r="K3511" s="1" t="str">
        <f ca="1">IF(A3511="","",IF(OR(L3511="ENTREGADA",L3511="RETORNADA",L3511="ENTREGA DIGITAL"),0,MAX(0,5-NETWORKDAYS(H3511+1,TODAY()))))</f>
        <v/>
      </c>
      <c r="L3511" t="str">
        <f>IF(A3511="","",IFERROR(LOOKUP(2,1/(#REF!=Z3511),#REF!),Y3511))</f>
        <v/>
      </c>
      <c r="Z3511" t="str">
        <f>IF(A3511="","",TEXT(A3511,"0")&amp;"|"&amp;TEXT(H3511,"0"))</f>
        <v/>
      </c>
      <c r="AA3511" t="str">
        <f>IF(Z3511="","",IFERROR(LOOKUP(2,1/(#REF!=Z3511),#REF!),""))</f>
        <v/>
      </c>
      <c r="AB3511" t="str">
        <f>IF(Z3511="","",IFERROR(LOOKUP(2,1/(#REF!=Z3511),#REF!),""))</f>
        <v/>
      </c>
      <c r="AC3511" t="str">
        <f>IF(Z3511="","",COUNTIF(#REF!,Z3511))</f>
        <v/>
      </c>
      <c r="AD3511" t="str">
        <f>IF(A3511="","",IF(AC3511&gt;1,"REVISAR DUPLICADO",IF(AA3511&lt;&gt;"","ACTUALIZADO POR EYR","SIN REPORTE EYR")))</f>
        <v/>
      </c>
    </row>
    <row r="3512" spans="11:30" x14ac:dyDescent="0.3">
      <c r="K3512" s="1" t="str">
        <f ca="1">IF(A3512="","",IF(OR(L3512="ENTREGADA",L3512="RETORNADA",L3512="ENTREGA DIGITAL"),0,MAX(0,5-NETWORKDAYS(H3512+1,TODAY()))))</f>
        <v/>
      </c>
      <c r="L3512" t="str">
        <f>IF(A3512="","",IFERROR(LOOKUP(2,1/(#REF!=Z3512),#REF!),Y3512))</f>
        <v/>
      </c>
      <c r="Z3512" t="str">
        <f>IF(A3512="","",TEXT(A3512,"0")&amp;"|"&amp;TEXT(H3512,"0"))</f>
        <v/>
      </c>
      <c r="AA3512" t="str">
        <f>IF(Z3512="","",IFERROR(LOOKUP(2,1/(#REF!=Z3512),#REF!),""))</f>
        <v/>
      </c>
      <c r="AB3512" t="str">
        <f>IF(Z3512="","",IFERROR(LOOKUP(2,1/(#REF!=Z3512),#REF!),""))</f>
        <v/>
      </c>
      <c r="AC3512" t="str">
        <f>IF(Z3512="","",COUNTIF(#REF!,Z3512))</f>
        <v/>
      </c>
      <c r="AD3512" t="str">
        <f>IF(A3512="","",IF(AC3512&gt;1,"REVISAR DUPLICADO",IF(AA3512&lt;&gt;"","ACTUALIZADO POR EYR","SIN REPORTE EYR")))</f>
        <v/>
      </c>
    </row>
    <row r="3513" spans="11:30" x14ac:dyDescent="0.3">
      <c r="K3513" s="1" t="str">
        <f ca="1">IF(A3513="","",IF(OR(L3513="ENTREGADA",L3513="RETORNADA",L3513="ENTREGA DIGITAL"),0,MAX(0,5-NETWORKDAYS(H3513+1,TODAY()))))</f>
        <v/>
      </c>
      <c r="L3513" t="str">
        <f>IF(A3513="","",IFERROR(LOOKUP(2,1/(#REF!=Z3513),#REF!),Y3513))</f>
        <v/>
      </c>
      <c r="Z3513" t="str">
        <f>IF(A3513="","",TEXT(A3513,"0")&amp;"|"&amp;TEXT(H3513,"0"))</f>
        <v/>
      </c>
      <c r="AA3513" t="str">
        <f>IF(Z3513="","",IFERROR(LOOKUP(2,1/(#REF!=Z3513),#REF!),""))</f>
        <v/>
      </c>
      <c r="AB3513" t="str">
        <f>IF(Z3513="","",IFERROR(LOOKUP(2,1/(#REF!=Z3513),#REF!),""))</f>
        <v/>
      </c>
      <c r="AC3513" t="str">
        <f>IF(Z3513="","",COUNTIF(#REF!,Z3513))</f>
        <v/>
      </c>
      <c r="AD3513" t="str">
        <f>IF(A3513="","",IF(AC3513&gt;1,"REVISAR DUPLICADO",IF(AA3513&lt;&gt;"","ACTUALIZADO POR EYR","SIN REPORTE EYR")))</f>
        <v/>
      </c>
    </row>
    <row r="3514" spans="11:30" x14ac:dyDescent="0.3">
      <c r="K3514" s="1" t="str">
        <f ca="1">IF(A3514="","",IF(OR(L3514="ENTREGADA",L3514="RETORNADA",L3514="ENTREGA DIGITAL"),0,MAX(0,5-NETWORKDAYS(H3514+1,TODAY()))))</f>
        <v/>
      </c>
      <c r="L3514" t="str">
        <f>IF(A3514="","",IFERROR(LOOKUP(2,1/(#REF!=Z3514),#REF!),Y3514))</f>
        <v/>
      </c>
      <c r="Z3514" t="str">
        <f>IF(A3514="","",TEXT(A3514,"0")&amp;"|"&amp;TEXT(H3514,"0"))</f>
        <v/>
      </c>
      <c r="AA3514" t="str">
        <f>IF(Z3514="","",IFERROR(LOOKUP(2,1/(#REF!=Z3514),#REF!),""))</f>
        <v/>
      </c>
      <c r="AB3514" t="str">
        <f>IF(Z3514="","",IFERROR(LOOKUP(2,1/(#REF!=Z3514),#REF!),""))</f>
        <v/>
      </c>
      <c r="AC3514" t="str">
        <f>IF(Z3514="","",COUNTIF(#REF!,Z3514))</f>
        <v/>
      </c>
      <c r="AD3514" t="str">
        <f>IF(A3514="","",IF(AC3514&gt;1,"REVISAR DUPLICADO",IF(AA3514&lt;&gt;"","ACTUALIZADO POR EYR","SIN REPORTE EYR")))</f>
        <v/>
      </c>
    </row>
    <row r="3515" spans="11:30" x14ac:dyDescent="0.3">
      <c r="K3515" s="1" t="str">
        <f ca="1">IF(A3515="","",IF(OR(L3515="ENTREGADA",L3515="RETORNADA",L3515="ENTREGA DIGITAL"),0,MAX(0,5-NETWORKDAYS(H3515+1,TODAY()))))</f>
        <v/>
      </c>
      <c r="L3515" t="str">
        <f>IF(A3515="","",IFERROR(LOOKUP(2,1/(#REF!=Z3515),#REF!),Y3515))</f>
        <v/>
      </c>
      <c r="Z3515" t="str">
        <f>IF(A3515="","",TEXT(A3515,"0")&amp;"|"&amp;TEXT(H3515,"0"))</f>
        <v/>
      </c>
      <c r="AA3515" t="str">
        <f>IF(Z3515="","",IFERROR(LOOKUP(2,1/(#REF!=Z3515),#REF!),""))</f>
        <v/>
      </c>
      <c r="AB3515" t="str">
        <f>IF(Z3515="","",IFERROR(LOOKUP(2,1/(#REF!=Z3515),#REF!),""))</f>
        <v/>
      </c>
      <c r="AC3515" t="str">
        <f>IF(Z3515="","",COUNTIF(#REF!,Z3515))</f>
        <v/>
      </c>
      <c r="AD3515" t="str">
        <f>IF(A3515="","",IF(AC3515&gt;1,"REVISAR DUPLICADO",IF(AA3515&lt;&gt;"","ACTUALIZADO POR EYR","SIN REPORTE EYR")))</f>
        <v/>
      </c>
    </row>
    <row r="3516" spans="11:30" x14ac:dyDescent="0.3">
      <c r="K3516" s="1" t="str">
        <f ca="1">IF(A3516="","",IF(OR(L3516="ENTREGADA",L3516="RETORNADA",L3516="ENTREGA DIGITAL"),0,MAX(0,5-NETWORKDAYS(H3516+1,TODAY()))))</f>
        <v/>
      </c>
      <c r="L3516" t="str">
        <f>IF(A3516="","",IFERROR(LOOKUP(2,1/(#REF!=Z3516),#REF!),Y3516))</f>
        <v/>
      </c>
      <c r="Z3516" t="str">
        <f>IF(A3516="","",TEXT(A3516,"0")&amp;"|"&amp;TEXT(H3516,"0"))</f>
        <v/>
      </c>
      <c r="AA3516" t="str">
        <f>IF(Z3516="","",IFERROR(LOOKUP(2,1/(#REF!=Z3516),#REF!),""))</f>
        <v/>
      </c>
      <c r="AB3516" t="str">
        <f>IF(Z3516="","",IFERROR(LOOKUP(2,1/(#REF!=Z3516),#REF!),""))</f>
        <v/>
      </c>
      <c r="AC3516" t="str">
        <f>IF(Z3516="","",COUNTIF(#REF!,Z3516))</f>
        <v/>
      </c>
      <c r="AD3516" t="str">
        <f>IF(A3516="","",IF(AC3516&gt;1,"REVISAR DUPLICADO",IF(AA3516&lt;&gt;"","ACTUALIZADO POR EYR","SIN REPORTE EYR")))</f>
        <v/>
      </c>
    </row>
    <row r="3517" spans="11:30" x14ac:dyDescent="0.3">
      <c r="K3517" s="1" t="str">
        <f ca="1">IF(A3517="","",IF(OR(L3517="ENTREGADA",L3517="RETORNADA",L3517="ENTREGA DIGITAL"),0,MAX(0,5-NETWORKDAYS(H3517+1,TODAY()))))</f>
        <v/>
      </c>
      <c r="L3517" t="str">
        <f>IF(A3517="","",IFERROR(LOOKUP(2,1/(#REF!=Z3517),#REF!),Y3517))</f>
        <v/>
      </c>
      <c r="Z3517" t="str">
        <f>IF(A3517="","",TEXT(A3517,"0")&amp;"|"&amp;TEXT(H3517,"0"))</f>
        <v/>
      </c>
      <c r="AA3517" t="str">
        <f>IF(Z3517="","",IFERROR(LOOKUP(2,1/(#REF!=Z3517),#REF!),""))</f>
        <v/>
      </c>
      <c r="AB3517" t="str">
        <f>IF(Z3517="","",IFERROR(LOOKUP(2,1/(#REF!=Z3517),#REF!),""))</f>
        <v/>
      </c>
      <c r="AC3517" t="str">
        <f>IF(Z3517="","",COUNTIF(#REF!,Z3517))</f>
        <v/>
      </c>
      <c r="AD3517" t="str">
        <f>IF(A3517="","",IF(AC3517&gt;1,"REVISAR DUPLICADO",IF(AA3517&lt;&gt;"","ACTUALIZADO POR EYR","SIN REPORTE EYR")))</f>
        <v/>
      </c>
    </row>
    <row r="3518" spans="11:30" x14ac:dyDescent="0.3">
      <c r="K3518" s="1" t="str">
        <f ca="1">IF(A3518="","",IF(OR(L3518="ENTREGADA",L3518="RETORNADA",L3518="ENTREGA DIGITAL"),0,MAX(0,5-NETWORKDAYS(H3518+1,TODAY()))))</f>
        <v/>
      </c>
      <c r="L3518" t="str">
        <f>IF(A3518="","",IFERROR(LOOKUP(2,1/(#REF!=Z3518),#REF!),Y3518))</f>
        <v/>
      </c>
      <c r="Z3518" t="str">
        <f>IF(A3518="","",TEXT(A3518,"0")&amp;"|"&amp;TEXT(H3518,"0"))</f>
        <v/>
      </c>
      <c r="AA3518" t="str">
        <f>IF(Z3518="","",IFERROR(LOOKUP(2,1/(#REF!=Z3518),#REF!),""))</f>
        <v/>
      </c>
      <c r="AB3518" t="str">
        <f>IF(Z3518="","",IFERROR(LOOKUP(2,1/(#REF!=Z3518),#REF!),""))</f>
        <v/>
      </c>
      <c r="AC3518" t="str">
        <f>IF(Z3518="","",COUNTIF(#REF!,Z3518))</f>
        <v/>
      </c>
      <c r="AD3518" t="str">
        <f>IF(A3518="","",IF(AC3518&gt;1,"REVISAR DUPLICADO",IF(AA3518&lt;&gt;"","ACTUALIZADO POR EYR","SIN REPORTE EYR")))</f>
        <v/>
      </c>
    </row>
    <row r="3519" spans="11:30" x14ac:dyDescent="0.3">
      <c r="K3519" s="1" t="str">
        <f ca="1">IF(A3519="","",IF(OR(L3519="ENTREGADA",L3519="RETORNADA",L3519="ENTREGA DIGITAL"),0,MAX(0,5-NETWORKDAYS(H3519+1,TODAY()))))</f>
        <v/>
      </c>
      <c r="L3519" t="str">
        <f>IF(A3519="","",IFERROR(LOOKUP(2,1/(#REF!=Z3519),#REF!),Y3519))</f>
        <v/>
      </c>
      <c r="Z3519" t="str">
        <f>IF(A3519="","",TEXT(A3519,"0")&amp;"|"&amp;TEXT(H3519,"0"))</f>
        <v/>
      </c>
      <c r="AA3519" t="str">
        <f>IF(Z3519="","",IFERROR(LOOKUP(2,1/(#REF!=Z3519),#REF!),""))</f>
        <v/>
      </c>
      <c r="AB3519" t="str">
        <f>IF(Z3519="","",IFERROR(LOOKUP(2,1/(#REF!=Z3519),#REF!),""))</f>
        <v/>
      </c>
      <c r="AC3519" t="str">
        <f>IF(Z3519="","",COUNTIF(#REF!,Z3519))</f>
        <v/>
      </c>
      <c r="AD3519" t="str">
        <f>IF(A3519="","",IF(AC3519&gt;1,"REVISAR DUPLICADO",IF(AA3519&lt;&gt;"","ACTUALIZADO POR EYR","SIN REPORTE EYR")))</f>
        <v/>
      </c>
    </row>
    <row r="3520" spans="11:30" x14ac:dyDescent="0.3">
      <c r="K3520" s="1" t="str">
        <f ca="1">IF(A3520="","",IF(OR(L3520="ENTREGADA",L3520="RETORNADA",L3520="ENTREGA DIGITAL"),0,MAX(0,5-NETWORKDAYS(H3520+1,TODAY()))))</f>
        <v/>
      </c>
      <c r="L3520" t="str">
        <f>IF(A3520="","",IFERROR(LOOKUP(2,1/(#REF!=Z3520),#REF!),Y3520))</f>
        <v/>
      </c>
      <c r="Z3520" t="str">
        <f>IF(A3520="","",TEXT(A3520,"0")&amp;"|"&amp;TEXT(H3520,"0"))</f>
        <v/>
      </c>
      <c r="AA3520" t="str">
        <f>IF(Z3520="","",IFERROR(LOOKUP(2,1/(#REF!=Z3520),#REF!),""))</f>
        <v/>
      </c>
      <c r="AB3520" t="str">
        <f>IF(Z3520="","",IFERROR(LOOKUP(2,1/(#REF!=Z3520),#REF!),""))</f>
        <v/>
      </c>
      <c r="AC3520" t="str">
        <f>IF(Z3520="","",COUNTIF(#REF!,Z3520))</f>
        <v/>
      </c>
      <c r="AD3520" t="str">
        <f>IF(A3520="","",IF(AC3520&gt;1,"REVISAR DUPLICADO",IF(AA3520&lt;&gt;"","ACTUALIZADO POR EYR","SIN REPORTE EYR")))</f>
        <v/>
      </c>
    </row>
    <row r="3521" spans="11:30" x14ac:dyDescent="0.3">
      <c r="K3521" s="1" t="str">
        <f ca="1">IF(A3521="","",IF(OR(L3521="ENTREGADA",L3521="RETORNADA",L3521="ENTREGA DIGITAL"),0,MAX(0,5-NETWORKDAYS(H3521+1,TODAY()))))</f>
        <v/>
      </c>
      <c r="L3521" t="str">
        <f>IF(A3521="","",IFERROR(LOOKUP(2,1/(#REF!=Z3521),#REF!),Y3521))</f>
        <v/>
      </c>
      <c r="Z3521" t="str">
        <f>IF(A3521="","",TEXT(A3521,"0")&amp;"|"&amp;TEXT(H3521,"0"))</f>
        <v/>
      </c>
      <c r="AA3521" t="str">
        <f>IF(Z3521="","",IFERROR(LOOKUP(2,1/(#REF!=Z3521),#REF!),""))</f>
        <v/>
      </c>
      <c r="AB3521" t="str">
        <f>IF(Z3521="","",IFERROR(LOOKUP(2,1/(#REF!=Z3521),#REF!),""))</f>
        <v/>
      </c>
      <c r="AC3521" t="str">
        <f>IF(Z3521="","",COUNTIF(#REF!,Z3521))</f>
        <v/>
      </c>
      <c r="AD3521" t="str">
        <f>IF(A3521="","",IF(AC3521&gt;1,"REVISAR DUPLICADO",IF(AA3521&lt;&gt;"","ACTUALIZADO POR EYR","SIN REPORTE EYR")))</f>
        <v/>
      </c>
    </row>
    <row r="3522" spans="11:30" x14ac:dyDescent="0.3">
      <c r="K3522" s="1" t="str">
        <f ca="1">IF(A3522="","",IF(OR(L3522="ENTREGADA",L3522="RETORNADA",L3522="ENTREGA DIGITAL"),0,MAX(0,5-NETWORKDAYS(H3522+1,TODAY()))))</f>
        <v/>
      </c>
      <c r="L3522" t="str">
        <f>IF(A3522="","",IFERROR(LOOKUP(2,1/(#REF!=Z3522),#REF!),Y3522))</f>
        <v/>
      </c>
      <c r="Z3522" t="str">
        <f>IF(A3522="","",TEXT(A3522,"0")&amp;"|"&amp;TEXT(H3522,"0"))</f>
        <v/>
      </c>
      <c r="AA3522" t="str">
        <f>IF(Z3522="","",IFERROR(LOOKUP(2,1/(#REF!=Z3522),#REF!),""))</f>
        <v/>
      </c>
      <c r="AB3522" t="str">
        <f>IF(Z3522="","",IFERROR(LOOKUP(2,1/(#REF!=Z3522),#REF!),""))</f>
        <v/>
      </c>
      <c r="AC3522" t="str">
        <f>IF(Z3522="","",COUNTIF(#REF!,Z3522))</f>
        <v/>
      </c>
      <c r="AD3522" t="str">
        <f>IF(A3522="","",IF(AC3522&gt;1,"REVISAR DUPLICADO",IF(AA3522&lt;&gt;"","ACTUALIZADO POR EYR","SIN REPORTE EYR")))</f>
        <v/>
      </c>
    </row>
    <row r="3523" spans="11:30" x14ac:dyDescent="0.3">
      <c r="K3523" s="1" t="str">
        <f ca="1">IF(A3523="","",IF(OR(L3523="ENTREGADA",L3523="RETORNADA",L3523="ENTREGA DIGITAL"),0,MAX(0,5-NETWORKDAYS(H3523+1,TODAY()))))</f>
        <v/>
      </c>
      <c r="L3523" t="str">
        <f>IF(A3523="","",IFERROR(LOOKUP(2,1/(#REF!=Z3523),#REF!),Y3523))</f>
        <v/>
      </c>
      <c r="Z3523" t="str">
        <f>IF(A3523="","",TEXT(A3523,"0")&amp;"|"&amp;TEXT(H3523,"0"))</f>
        <v/>
      </c>
      <c r="AA3523" t="str">
        <f>IF(Z3523="","",IFERROR(LOOKUP(2,1/(#REF!=Z3523),#REF!),""))</f>
        <v/>
      </c>
      <c r="AB3523" t="str">
        <f>IF(Z3523="","",IFERROR(LOOKUP(2,1/(#REF!=Z3523),#REF!),""))</f>
        <v/>
      </c>
      <c r="AC3523" t="str">
        <f>IF(Z3523="","",COUNTIF(#REF!,Z3523))</f>
        <v/>
      </c>
      <c r="AD3523" t="str">
        <f>IF(A3523="","",IF(AC3523&gt;1,"REVISAR DUPLICADO",IF(AA3523&lt;&gt;"","ACTUALIZADO POR EYR","SIN REPORTE EYR")))</f>
        <v/>
      </c>
    </row>
    <row r="3524" spans="11:30" x14ac:dyDescent="0.3">
      <c r="K3524" s="1" t="str">
        <f ca="1">IF(A3524="","",IF(OR(L3524="ENTREGADA",L3524="RETORNADA",L3524="ENTREGA DIGITAL"),0,MAX(0,5-NETWORKDAYS(H3524+1,TODAY()))))</f>
        <v/>
      </c>
      <c r="L3524" t="str">
        <f>IF(A3524="","",IFERROR(LOOKUP(2,1/(#REF!=Z3524),#REF!),Y3524))</f>
        <v/>
      </c>
      <c r="Z3524" t="str">
        <f>IF(A3524="","",TEXT(A3524,"0")&amp;"|"&amp;TEXT(H3524,"0"))</f>
        <v/>
      </c>
      <c r="AA3524" t="str">
        <f>IF(Z3524="","",IFERROR(LOOKUP(2,1/(#REF!=Z3524),#REF!),""))</f>
        <v/>
      </c>
      <c r="AB3524" t="str">
        <f>IF(Z3524="","",IFERROR(LOOKUP(2,1/(#REF!=Z3524),#REF!),""))</f>
        <v/>
      </c>
      <c r="AC3524" t="str">
        <f>IF(Z3524="","",COUNTIF(#REF!,Z3524))</f>
        <v/>
      </c>
      <c r="AD3524" t="str">
        <f>IF(A3524="","",IF(AC3524&gt;1,"REVISAR DUPLICADO",IF(AA3524&lt;&gt;"","ACTUALIZADO POR EYR","SIN REPORTE EYR")))</f>
        <v/>
      </c>
    </row>
    <row r="3525" spans="11:30" x14ac:dyDescent="0.3">
      <c r="K3525" s="1" t="str">
        <f ca="1">IF(A3525="","",IF(OR(L3525="ENTREGADA",L3525="RETORNADA",L3525="ENTREGA DIGITAL"),0,MAX(0,5-NETWORKDAYS(H3525+1,TODAY()))))</f>
        <v/>
      </c>
      <c r="L3525" t="str">
        <f>IF(A3525="","",IFERROR(LOOKUP(2,1/(#REF!=Z3525),#REF!),Y3525))</f>
        <v/>
      </c>
      <c r="Z3525" t="str">
        <f>IF(A3525="","",TEXT(A3525,"0")&amp;"|"&amp;TEXT(H3525,"0"))</f>
        <v/>
      </c>
      <c r="AA3525" t="str">
        <f>IF(Z3525="","",IFERROR(LOOKUP(2,1/(#REF!=Z3525),#REF!),""))</f>
        <v/>
      </c>
      <c r="AB3525" t="str">
        <f>IF(Z3525="","",IFERROR(LOOKUP(2,1/(#REF!=Z3525),#REF!),""))</f>
        <v/>
      </c>
      <c r="AC3525" t="str">
        <f>IF(Z3525="","",COUNTIF(#REF!,Z3525))</f>
        <v/>
      </c>
      <c r="AD3525" t="str">
        <f>IF(A3525="","",IF(AC3525&gt;1,"REVISAR DUPLICADO",IF(AA3525&lt;&gt;"","ACTUALIZADO POR EYR","SIN REPORTE EYR")))</f>
        <v/>
      </c>
    </row>
    <row r="3526" spans="11:30" x14ac:dyDescent="0.3">
      <c r="K3526" s="1" t="str">
        <f ca="1">IF(A3526="","",IF(OR(L3526="ENTREGADA",L3526="RETORNADA",L3526="ENTREGA DIGITAL"),0,MAX(0,5-NETWORKDAYS(H3526+1,TODAY()))))</f>
        <v/>
      </c>
      <c r="L3526" t="str">
        <f>IF(A3526="","",IFERROR(LOOKUP(2,1/(#REF!=Z3526),#REF!),Y3526))</f>
        <v/>
      </c>
      <c r="Z3526" t="str">
        <f>IF(A3526="","",TEXT(A3526,"0")&amp;"|"&amp;TEXT(H3526,"0"))</f>
        <v/>
      </c>
      <c r="AA3526" t="str">
        <f>IF(Z3526="","",IFERROR(LOOKUP(2,1/(#REF!=Z3526),#REF!),""))</f>
        <v/>
      </c>
      <c r="AB3526" t="str">
        <f>IF(Z3526="","",IFERROR(LOOKUP(2,1/(#REF!=Z3526),#REF!),""))</f>
        <v/>
      </c>
      <c r="AC3526" t="str">
        <f>IF(Z3526="","",COUNTIF(#REF!,Z3526))</f>
        <v/>
      </c>
      <c r="AD3526" t="str">
        <f>IF(A3526="","",IF(AC3526&gt;1,"REVISAR DUPLICADO",IF(AA3526&lt;&gt;"","ACTUALIZADO POR EYR","SIN REPORTE EYR")))</f>
        <v/>
      </c>
    </row>
    <row r="3527" spans="11:30" x14ac:dyDescent="0.3">
      <c r="K3527" s="1" t="str">
        <f ca="1">IF(A3527="","",IF(OR(L3527="ENTREGADA",L3527="RETORNADA",L3527="ENTREGA DIGITAL"),0,MAX(0,5-NETWORKDAYS(H3527+1,TODAY()))))</f>
        <v/>
      </c>
      <c r="L3527" t="str">
        <f>IF(A3527="","",IFERROR(LOOKUP(2,1/(#REF!=Z3527),#REF!),Y3527))</f>
        <v/>
      </c>
      <c r="Z3527" t="str">
        <f>IF(A3527="","",TEXT(A3527,"0")&amp;"|"&amp;TEXT(H3527,"0"))</f>
        <v/>
      </c>
      <c r="AA3527" t="str">
        <f>IF(Z3527="","",IFERROR(LOOKUP(2,1/(#REF!=Z3527),#REF!),""))</f>
        <v/>
      </c>
      <c r="AB3527" t="str">
        <f>IF(Z3527="","",IFERROR(LOOKUP(2,1/(#REF!=Z3527),#REF!),""))</f>
        <v/>
      </c>
      <c r="AC3527" t="str">
        <f>IF(Z3527="","",COUNTIF(#REF!,Z3527))</f>
        <v/>
      </c>
      <c r="AD3527" t="str">
        <f>IF(A3527="","",IF(AC3527&gt;1,"REVISAR DUPLICADO",IF(AA3527&lt;&gt;"","ACTUALIZADO POR EYR","SIN REPORTE EYR")))</f>
        <v/>
      </c>
    </row>
    <row r="3528" spans="11:30" x14ac:dyDescent="0.3">
      <c r="K3528" s="1" t="str">
        <f ca="1">IF(A3528="","",IF(OR(L3528="ENTREGADA",L3528="RETORNADA",L3528="ENTREGA DIGITAL"),0,MAX(0,5-NETWORKDAYS(H3528+1,TODAY()))))</f>
        <v/>
      </c>
      <c r="L3528" t="str">
        <f>IF(A3528="","",IFERROR(LOOKUP(2,1/(#REF!=Z3528),#REF!),Y3528))</f>
        <v/>
      </c>
      <c r="Z3528" t="str">
        <f>IF(A3528="","",TEXT(A3528,"0")&amp;"|"&amp;TEXT(H3528,"0"))</f>
        <v/>
      </c>
      <c r="AA3528" t="str">
        <f>IF(Z3528="","",IFERROR(LOOKUP(2,1/(#REF!=Z3528),#REF!),""))</f>
        <v/>
      </c>
      <c r="AB3528" t="str">
        <f>IF(Z3528="","",IFERROR(LOOKUP(2,1/(#REF!=Z3528),#REF!),""))</f>
        <v/>
      </c>
      <c r="AC3528" t="str">
        <f>IF(Z3528="","",COUNTIF(#REF!,Z3528))</f>
        <v/>
      </c>
      <c r="AD3528" t="str">
        <f>IF(A3528="","",IF(AC3528&gt;1,"REVISAR DUPLICADO",IF(AA3528&lt;&gt;"","ACTUALIZADO POR EYR","SIN REPORTE EYR")))</f>
        <v/>
      </c>
    </row>
    <row r="3529" spans="11:30" x14ac:dyDescent="0.3">
      <c r="K3529" s="1" t="str">
        <f ca="1">IF(A3529="","",IF(OR(L3529="ENTREGADA",L3529="RETORNADA",L3529="ENTREGA DIGITAL"),0,MAX(0,5-NETWORKDAYS(H3529+1,TODAY()))))</f>
        <v/>
      </c>
      <c r="L3529" t="str">
        <f>IF(A3529="","",IFERROR(LOOKUP(2,1/(#REF!=Z3529),#REF!),Y3529))</f>
        <v/>
      </c>
      <c r="Z3529" t="str">
        <f>IF(A3529="","",TEXT(A3529,"0")&amp;"|"&amp;TEXT(H3529,"0"))</f>
        <v/>
      </c>
      <c r="AA3529" t="str">
        <f>IF(Z3529="","",IFERROR(LOOKUP(2,1/(#REF!=Z3529),#REF!),""))</f>
        <v/>
      </c>
      <c r="AB3529" t="str">
        <f>IF(Z3529="","",IFERROR(LOOKUP(2,1/(#REF!=Z3529),#REF!),""))</f>
        <v/>
      </c>
      <c r="AC3529" t="str">
        <f>IF(Z3529="","",COUNTIF(#REF!,Z3529))</f>
        <v/>
      </c>
      <c r="AD3529" t="str">
        <f>IF(A3529="","",IF(AC3529&gt;1,"REVISAR DUPLICADO",IF(AA3529&lt;&gt;"","ACTUALIZADO POR EYR","SIN REPORTE EYR")))</f>
        <v/>
      </c>
    </row>
    <row r="3530" spans="11:30" x14ac:dyDescent="0.3">
      <c r="K3530" s="1" t="str">
        <f ca="1">IF(A3530="","",IF(OR(L3530="ENTREGADA",L3530="RETORNADA",L3530="ENTREGA DIGITAL"),0,MAX(0,5-NETWORKDAYS(H3530+1,TODAY()))))</f>
        <v/>
      </c>
      <c r="L3530" t="str">
        <f>IF(A3530="","",IFERROR(LOOKUP(2,1/(#REF!=Z3530),#REF!),Y3530))</f>
        <v/>
      </c>
      <c r="Z3530" t="str">
        <f>IF(A3530="","",TEXT(A3530,"0")&amp;"|"&amp;TEXT(H3530,"0"))</f>
        <v/>
      </c>
      <c r="AA3530" t="str">
        <f>IF(Z3530="","",IFERROR(LOOKUP(2,1/(#REF!=Z3530),#REF!),""))</f>
        <v/>
      </c>
      <c r="AB3530" t="str">
        <f>IF(Z3530="","",IFERROR(LOOKUP(2,1/(#REF!=Z3530),#REF!),""))</f>
        <v/>
      </c>
      <c r="AC3530" t="str">
        <f>IF(Z3530="","",COUNTIF(#REF!,Z3530))</f>
        <v/>
      </c>
      <c r="AD3530" t="str">
        <f>IF(A3530="","",IF(AC3530&gt;1,"REVISAR DUPLICADO",IF(AA3530&lt;&gt;"","ACTUALIZADO POR EYR","SIN REPORTE EYR")))</f>
        <v/>
      </c>
    </row>
    <row r="3531" spans="11:30" x14ac:dyDescent="0.3">
      <c r="K3531" s="1" t="str">
        <f ca="1">IF(A3531="","",IF(OR(L3531="ENTREGADA",L3531="RETORNADA",L3531="ENTREGA DIGITAL"),0,MAX(0,5-NETWORKDAYS(H3531+1,TODAY()))))</f>
        <v/>
      </c>
      <c r="L3531" t="str">
        <f>IF(A3531="","",IFERROR(LOOKUP(2,1/(#REF!=Z3531),#REF!),Y3531))</f>
        <v/>
      </c>
      <c r="Z3531" t="str">
        <f>IF(A3531="","",TEXT(A3531,"0")&amp;"|"&amp;TEXT(H3531,"0"))</f>
        <v/>
      </c>
      <c r="AA3531" t="str">
        <f>IF(Z3531="","",IFERROR(LOOKUP(2,1/(#REF!=Z3531),#REF!),""))</f>
        <v/>
      </c>
      <c r="AB3531" t="str">
        <f>IF(Z3531="","",IFERROR(LOOKUP(2,1/(#REF!=Z3531),#REF!),""))</f>
        <v/>
      </c>
      <c r="AC3531" t="str">
        <f>IF(Z3531="","",COUNTIF(#REF!,Z3531))</f>
        <v/>
      </c>
      <c r="AD3531" t="str">
        <f>IF(A3531="","",IF(AC3531&gt;1,"REVISAR DUPLICADO",IF(AA3531&lt;&gt;"","ACTUALIZADO POR EYR","SIN REPORTE EYR")))</f>
        <v/>
      </c>
    </row>
    <row r="3532" spans="11:30" x14ac:dyDescent="0.3">
      <c r="K3532" s="1" t="str">
        <f ca="1">IF(A3532="","",IF(OR(L3532="ENTREGADA",L3532="RETORNADA",L3532="ENTREGA DIGITAL"),0,MAX(0,5-NETWORKDAYS(H3532+1,TODAY()))))</f>
        <v/>
      </c>
      <c r="L3532" t="str">
        <f>IF(A3532="","",IFERROR(LOOKUP(2,1/(#REF!=Z3532),#REF!),Y3532))</f>
        <v/>
      </c>
      <c r="Z3532" t="str">
        <f>IF(A3532="","",TEXT(A3532,"0")&amp;"|"&amp;TEXT(H3532,"0"))</f>
        <v/>
      </c>
      <c r="AA3532" t="str">
        <f>IF(Z3532="","",IFERROR(LOOKUP(2,1/(#REF!=Z3532),#REF!),""))</f>
        <v/>
      </c>
      <c r="AB3532" t="str">
        <f>IF(Z3532="","",IFERROR(LOOKUP(2,1/(#REF!=Z3532),#REF!),""))</f>
        <v/>
      </c>
      <c r="AC3532" t="str">
        <f>IF(Z3532="","",COUNTIF(#REF!,Z3532))</f>
        <v/>
      </c>
      <c r="AD3532" t="str">
        <f>IF(A3532="","",IF(AC3532&gt;1,"REVISAR DUPLICADO",IF(AA3532&lt;&gt;"","ACTUALIZADO POR EYR","SIN REPORTE EYR")))</f>
        <v/>
      </c>
    </row>
    <row r="3533" spans="11:30" x14ac:dyDescent="0.3">
      <c r="K3533" s="1" t="str">
        <f ca="1">IF(A3533="","",IF(OR(L3533="ENTREGADA",L3533="RETORNADA",L3533="ENTREGA DIGITAL"),0,MAX(0,5-NETWORKDAYS(H3533+1,TODAY()))))</f>
        <v/>
      </c>
      <c r="L3533" t="str">
        <f>IF(A3533="","",IFERROR(LOOKUP(2,1/(#REF!=Z3533),#REF!),Y3533))</f>
        <v/>
      </c>
      <c r="Z3533" t="str">
        <f>IF(A3533="","",TEXT(A3533,"0")&amp;"|"&amp;TEXT(H3533,"0"))</f>
        <v/>
      </c>
      <c r="AA3533" t="str">
        <f>IF(Z3533="","",IFERROR(LOOKUP(2,1/(#REF!=Z3533),#REF!),""))</f>
        <v/>
      </c>
      <c r="AB3533" t="str">
        <f>IF(Z3533="","",IFERROR(LOOKUP(2,1/(#REF!=Z3533),#REF!),""))</f>
        <v/>
      </c>
      <c r="AC3533" t="str">
        <f>IF(Z3533="","",COUNTIF(#REF!,Z3533))</f>
        <v/>
      </c>
      <c r="AD3533" t="str">
        <f>IF(A3533="","",IF(AC3533&gt;1,"REVISAR DUPLICADO",IF(AA3533&lt;&gt;"","ACTUALIZADO POR EYR","SIN REPORTE EYR")))</f>
        <v/>
      </c>
    </row>
    <row r="3534" spans="11:30" x14ac:dyDescent="0.3">
      <c r="K3534" s="1" t="str">
        <f ca="1">IF(A3534="","",IF(OR(L3534="ENTREGADA",L3534="RETORNADA",L3534="ENTREGA DIGITAL"),0,MAX(0,5-NETWORKDAYS(H3534+1,TODAY()))))</f>
        <v/>
      </c>
      <c r="L3534" t="str">
        <f>IF(A3534="","",IFERROR(LOOKUP(2,1/(#REF!=Z3534),#REF!),Y3534))</f>
        <v/>
      </c>
      <c r="Z3534" t="str">
        <f>IF(A3534="","",TEXT(A3534,"0")&amp;"|"&amp;TEXT(H3534,"0"))</f>
        <v/>
      </c>
      <c r="AA3534" t="str">
        <f>IF(Z3534="","",IFERROR(LOOKUP(2,1/(#REF!=Z3534),#REF!),""))</f>
        <v/>
      </c>
      <c r="AB3534" t="str">
        <f>IF(Z3534="","",IFERROR(LOOKUP(2,1/(#REF!=Z3534),#REF!),""))</f>
        <v/>
      </c>
      <c r="AC3534" t="str">
        <f>IF(Z3534="","",COUNTIF(#REF!,Z3534))</f>
        <v/>
      </c>
      <c r="AD3534" t="str">
        <f>IF(A3534="","",IF(AC3534&gt;1,"REVISAR DUPLICADO",IF(AA3534&lt;&gt;"","ACTUALIZADO POR EYR","SIN REPORTE EYR")))</f>
        <v/>
      </c>
    </row>
    <row r="3535" spans="11:30" x14ac:dyDescent="0.3">
      <c r="K3535" s="1" t="str">
        <f ca="1">IF(A3535="","",IF(OR(L3535="ENTREGADA",L3535="RETORNADA",L3535="ENTREGA DIGITAL"),0,MAX(0,5-NETWORKDAYS(H3535+1,TODAY()))))</f>
        <v/>
      </c>
      <c r="L3535" t="str">
        <f>IF(A3535="","",IFERROR(LOOKUP(2,1/(#REF!=Z3535),#REF!),Y3535))</f>
        <v/>
      </c>
      <c r="Z3535" t="str">
        <f>IF(A3535="","",TEXT(A3535,"0")&amp;"|"&amp;TEXT(H3535,"0"))</f>
        <v/>
      </c>
      <c r="AA3535" t="str">
        <f>IF(Z3535="","",IFERROR(LOOKUP(2,1/(#REF!=Z3535),#REF!),""))</f>
        <v/>
      </c>
      <c r="AB3535" t="str">
        <f>IF(Z3535="","",IFERROR(LOOKUP(2,1/(#REF!=Z3535),#REF!),""))</f>
        <v/>
      </c>
      <c r="AC3535" t="str">
        <f>IF(Z3535="","",COUNTIF(#REF!,Z3535))</f>
        <v/>
      </c>
      <c r="AD3535" t="str">
        <f>IF(A3535="","",IF(AC3535&gt;1,"REVISAR DUPLICADO",IF(AA3535&lt;&gt;"","ACTUALIZADO POR EYR","SIN REPORTE EYR")))</f>
        <v/>
      </c>
    </row>
    <row r="3536" spans="11:30" x14ac:dyDescent="0.3">
      <c r="K3536" s="1" t="str">
        <f ca="1">IF(A3536="","",IF(OR(L3536="ENTREGADA",L3536="RETORNADA",L3536="ENTREGA DIGITAL"),0,MAX(0,5-NETWORKDAYS(H3536+1,TODAY()))))</f>
        <v/>
      </c>
      <c r="L3536" t="str">
        <f>IF(A3536="","",IFERROR(LOOKUP(2,1/(#REF!=Z3536),#REF!),Y3536))</f>
        <v/>
      </c>
      <c r="Z3536" t="str">
        <f>IF(A3536="","",TEXT(A3536,"0")&amp;"|"&amp;TEXT(H3536,"0"))</f>
        <v/>
      </c>
      <c r="AA3536" t="str">
        <f>IF(Z3536="","",IFERROR(LOOKUP(2,1/(#REF!=Z3536),#REF!),""))</f>
        <v/>
      </c>
      <c r="AB3536" t="str">
        <f>IF(Z3536="","",IFERROR(LOOKUP(2,1/(#REF!=Z3536),#REF!),""))</f>
        <v/>
      </c>
      <c r="AC3536" t="str">
        <f>IF(Z3536="","",COUNTIF(#REF!,Z3536))</f>
        <v/>
      </c>
      <c r="AD3536" t="str">
        <f>IF(A3536="","",IF(AC3536&gt;1,"REVISAR DUPLICADO",IF(AA3536&lt;&gt;"","ACTUALIZADO POR EYR","SIN REPORTE EYR")))</f>
        <v/>
      </c>
    </row>
    <row r="3537" spans="11:30" x14ac:dyDescent="0.3">
      <c r="K3537" s="1" t="str">
        <f ca="1">IF(A3537="","",IF(OR(L3537="ENTREGADA",L3537="RETORNADA",L3537="ENTREGA DIGITAL"),0,MAX(0,5-NETWORKDAYS(H3537+1,TODAY()))))</f>
        <v/>
      </c>
      <c r="L3537" t="str">
        <f>IF(A3537="","",IFERROR(LOOKUP(2,1/(#REF!=Z3537),#REF!),Y3537))</f>
        <v/>
      </c>
      <c r="Z3537" t="str">
        <f>IF(A3537="","",TEXT(A3537,"0")&amp;"|"&amp;TEXT(H3537,"0"))</f>
        <v/>
      </c>
      <c r="AA3537" t="str">
        <f>IF(Z3537="","",IFERROR(LOOKUP(2,1/(#REF!=Z3537),#REF!),""))</f>
        <v/>
      </c>
      <c r="AB3537" t="str">
        <f>IF(Z3537="","",IFERROR(LOOKUP(2,1/(#REF!=Z3537),#REF!),""))</f>
        <v/>
      </c>
      <c r="AC3537" t="str">
        <f>IF(Z3537="","",COUNTIF(#REF!,Z3537))</f>
        <v/>
      </c>
      <c r="AD3537" t="str">
        <f>IF(A3537="","",IF(AC3537&gt;1,"REVISAR DUPLICADO",IF(AA3537&lt;&gt;"","ACTUALIZADO POR EYR","SIN REPORTE EYR")))</f>
        <v/>
      </c>
    </row>
    <row r="3538" spans="11:30" x14ac:dyDescent="0.3">
      <c r="K3538" s="1" t="str">
        <f ca="1">IF(A3538="","",IF(OR(L3538="ENTREGADA",L3538="RETORNADA",L3538="ENTREGA DIGITAL"),0,MAX(0,5-NETWORKDAYS(H3538+1,TODAY()))))</f>
        <v/>
      </c>
      <c r="L3538" t="str">
        <f>IF(A3538="","",IFERROR(LOOKUP(2,1/(#REF!=Z3538),#REF!),Y3538))</f>
        <v/>
      </c>
      <c r="Z3538" t="str">
        <f>IF(A3538="","",TEXT(A3538,"0")&amp;"|"&amp;TEXT(H3538,"0"))</f>
        <v/>
      </c>
      <c r="AA3538" t="str">
        <f>IF(Z3538="","",IFERROR(LOOKUP(2,1/(#REF!=Z3538),#REF!),""))</f>
        <v/>
      </c>
      <c r="AB3538" t="str">
        <f>IF(Z3538="","",IFERROR(LOOKUP(2,1/(#REF!=Z3538),#REF!),""))</f>
        <v/>
      </c>
      <c r="AC3538" t="str">
        <f>IF(Z3538="","",COUNTIF(#REF!,Z3538))</f>
        <v/>
      </c>
      <c r="AD3538" t="str">
        <f>IF(A3538="","",IF(AC3538&gt;1,"REVISAR DUPLICADO",IF(AA3538&lt;&gt;"","ACTUALIZADO POR EYR","SIN REPORTE EYR")))</f>
        <v/>
      </c>
    </row>
    <row r="3539" spans="11:30" x14ac:dyDescent="0.3">
      <c r="K3539" s="1" t="str">
        <f ca="1">IF(A3539="","",IF(OR(L3539="ENTREGADA",L3539="RETORNADA",L3539="ENTREGA DIGITAL"),0,MAX(0,5-NETWORKDAYS(H3539+1,TODAY()))))</f>
        <v/>
      </c>
      <c r="L3539" t="str">
        <f>IF(A3539="","",IFERROR(LOOKUP(2,1/(#REF!=Z3539),#REF!),Y3539))</f>
        <v/>
      </c>
      <c r="Z3539" t="str">
        <f>IF(A3539="","",TEXT(A3539,"0")&amp;"|"&amp;TEXT(H3539,"0"))</f>
        <v/>
      </c>
      <c r="AA3539" t="str">
        <f>IF(Z3539="","",IFERROR(LOOKUP(2,1/(#REF!=Z3539),#REF!),""))</f>
        <v/>
      </c>
      <c r="AB3539" t="str">
        <f>IF(Z3539="","",IFERROR(LOOKUP(2,1/(#REF!=Z3539),#REF!),""))</f>
        <v/>
      </c>
      <c r="AC3539" t="str">
        <f>IF(Z3539="","",COUNTIF(#REF!,Z3539))</f>
        <v/>
      </c>
      <c r="AD3539" t="str">
        <f>IF(A3539="","",IF(AC3539&gt;1,"REVISAR DUPLICADO",IF(AA3539&lt;&gt;"","ACTUALIZADO POR EYR","SIN REPORTE EYR")))</f>
        <v/>
      </c>
    </row>
    <row r="3540" spans="11:30" x14ac:dyDescent="0.3">
      <c r="K3540" s="1" t="str">
        <f ca="1">IF(A3540="","",IF(OR(L3540="ENTREGADA",L3540="RETORNADA",L3540="ENTREGA DIGITAL"),0,MAX(0,5-NETWORKDAYS(H3540+1,TODAY()))))</f>
        <v/>
      </c>
      <c r="L3540" t="str">
        <f>IF(A3540="","",IFERROR(LOOKUP(2,1/(#REF!=Z3540),#REF!),Y3540))</f>
        <v/>
      </c>
      <c r="Z3540" t="str">
        <f>IF(A3540="","",TEXT(A3540,"0")&amp;"|"&amp;TEXT(H3540,"0"))</f>
        <v/>
      </c>
      <c r="AA3540" t="str">
        <f>IF(Z3540="","",IFERROR(LOOKUP(2,1/(#REF!=Z3540),#REF!),""))</f>
        <v/>
      </c>
      <c r="AB3540" t="str">
        <f>IF(Z3540="","",IFERROR(LOOKUP(2,1/(#REF!=Z3540),#REF!),""))</f>
        <v/>
      </c>
      <c r="AC3540" t="str">
        <f>IF(Z3540="","",COUNTIF(#REF!,Z3540))</f>
        <v/>
      </c>
      <c r="AD3540" t="str">
        <f>IF(A3540="","",IF(AC3540&gt;1,"REVISAR DUPLICADO",IF(AA3540&lt;&gt;"","ACTUALIZADO POR EYR","SIN REPORTE EYR")))</f>
        <v/>
      </c>
    </row>
    <row r="3541" spans="11:30" x14ac:dyDescent="0.3">
      <c r="K3541" s="1" t="str">
        <f ca="1">IF(A3541="","",IF(OR(L3541="ENTREGADA",L3541="RETORNADA",L3541="ENTREGA DIGITAL"),0,MAX(0,5-NETWORKDAYS(H3541+1,TODAY()))))</f>
        <v/>
      </c>
      <c r="L3541" t="str">
        <f>IF(A3541="","",IFERROR(LOOKUP(2,1/(#REF!=Z3541),#REF!),Y3541))</f>
        <v/>
      </c>
      <c r="Z3541" t="str">
        <f>IF(A3541="","",TEXT(A3541,"0")&amp;"|"&amp;TEXT(H3541,"0"))</f>
        <v/>
      </c>
      <c r="AA3541" t="str">
        <f>IF(Z3541="","",IFERROR(LOOKUP(2,1/(#REF!=Z3541),#REF!),""))</f>
        <v/>
      </c>
      <c r="AB3541" t="str">
        <f>IF(Z3541="","",IFERROR(LOOKUP(2,1/(#REF!=Z3541),#REF!),""))</f>
        <v/>
      </c>
      <c r="AC3541" t="str">
        <f>IF(Z3541="","",COUNTIF(#REF!,Z3541))</f>
        <v/>
      </c>
      <c r="AD3541" t="str">
        <f>IF(A3541="","",IF(AC3541&gt;1,"REVISAR DUPLICADO",IF(AA3541&lt;&gt;"","ACTUALIZADO POR EYR","SIN REPORTE EYR")))</f>
        <v/>
      </c>
    </row>
    <row r="3542" spans="11:30" x14ac:dyDescent="0.3">
      <c r="K3542" s="1" t="str">
        <f ca="1">IF(A3542="","",IF(OR(L3542="ENTREGADA",L3542="RETORNADA",L3542="ENTREGA DIGITAL"),0,MAX(0,5-NETWORKDAYS(H3542+1,TODAY()))))</f>
        <v/>
      </c>
      <c r="L3542" t="str">
        <f>IF(A3542="","",IFERROR(LOOKUP(2,1/(#REF!=Z3542),#REF!),Y3542))</f>
        <v/>
      </c>
      <c r="Z3542" t="str">
        <f>IF(A3542="","",TEXT(A3542,"0")&amp;"|"&amp;TEXT(H3542,"0"))</f>
        <v/>
      </c>
      <c r="AA3542" t="str">
        <f>IF(Z3542="","",IFERROR(LOOKUP(2,1/(#REF!=Z3542),#REF!),""))</f>
        <v/>
      </c>
      <c r="AB3542" t="str">
        <f>IF(Z3542="","",IFERROR(LOOKUP(2,1/(#REF!=Z3542),#REF!),""))</f>
        <v/>
      </c>
      <c r="AC3542" t="str">
        <f>IF(Z3542="","",COUNTIF(#REF!,Z3542))</f>
        <v/>
      </c>
      <c r="AD3542" t="str">
        <f>IF(A3542="","",IF(AC3542&gt;1,"REVISAR DUPLICADO",IF(AA3542&lt;&gt;"","ACTUALIZADO POR EYR","SIN REPORTE EYR")))</f>
        <v/>
      </c>
    </row>
    <row r="3543" spans="11:30" x14ac:dyDescent="0.3">
      <c r="K3543" s="1" t="str">
        <f ca="1">IF(A3543="","",IF(OR(L3543="ENTREGADA",L3543="RETORNADA",L3543="ENTREGA DIGITAL"),0,MAX(0,5-NETWORKDAYS(H3543+1,TODAY()))))</f>
        <v/>
      </c>
      <c r="L3543" t="str">
        <f>IF(A3543="","",IFERROR(LOOKUP(2,1/(#REF!=Z3543),#REF!),Y3543))</f>
        <v/>
      </c>
      <c r="Z3543" t="str">
        <f>IF(A3543="","",TEXT(A3543,"0")&amp;"|"&amp;TEXT(H3543,"0"))</f>
        <v/>
      </c>
      <c r="AA3543" t="str">
        <f>IF(Z3543="","",IFERROR(LOOKUP(2,1/(#REF!=Z3543),#REF!),""))</f>
        <v/>
      </c>
      <c r="AB3543" t="str">
        <f>IF(Z3543="","",IFERROR(LOOKUP(2,1/(#REF!=Z3543),#REF!),""))</f>
        <v/>
      </c>
      <c r="AC3543" t="str">
        <f>IF(Z3543="","",COUNTIF(#REF!,Z3543))</f>
        <v/>
      </c>
      <c r="AD3543" t="str">
        <f>IF(A3543="","",IF(AC3543&gt;1,"REVISAR DUPLICADO",IF(AA3543&lt;&gt;"","ACTUALIZADO POR EYR","SIN REPORTE EYR")))</f>
        <v/>
      </c>
    </row>
    <row r="3544" spans="11:30" x14ac:dyDescent="0.3">
      <c r="K3544" s="1" t="str">
        <f ca="1">IF(A3544="","",IF(OR(L3544="ENTREGADA",L3544="RETORNADA",L3544="ENTREGA DIGITAL"),0,MAX(0,5-NETWORKDAYS(H3544+1,TODAY()))))</f>
        <v/>
      </c>
      <c r="L3544" t="str">
        <f>IF(A3544="","",IFERROR(LOOKUP(2,1/(#REF!=Z3544),#REF!),Y3544))</f>
        <v/>
      </c>
      <c r="Z3544" t="str">
        <f>IF(A3544="","",TEXT(A3544,"0")&amp;"|"&amp;TEXT(H3544,"0"))</f>
        <v/>
      </c>
      <c r="AA3544" t="str">
        <f>IF(Z3544="","",IFERROR(LOOKUP(2,1/(#REF!=Z3544),#REF!),""))</f>
        <v/>
      </c>
      <c r="AB3544" t="str">
        <f>IF(Z3544="","",IFERROR(LOOKUP(2,1/(#REF!=Z3544),#REF!),""))</f>
        <v/>
      </c>
      <c r="AC3544" t="str">
        <f>IF(Z3544="","",COUNTIF(#REF!,Z3544))</f>
        <v/>
      </c>
      <c r="AD3544" t="str">
        <f>IF(A3544="","",IF(AC3544&gt;1,"REVISAR DUPLICADO",IF(AA3544&lt;&gt;"","ACTUALIZADO POR EYR","SIN REPORTE EYR")))</f>
        <v/>
      </c>
    </row>
    <row r="3545" spans="11:30" x14ac:dyDescent="0.3">
      <c r="K3545" s="1" t="str">
        <f ca="1">IF(A3545="","",IF(OR(L3545="ENTREGADA",L3545="RETORNADA",L3545="ENTREGA DIGITAL"),0,MAX(0,5-NETWORKDAYS(H3545+1,TODAY()))))</f>
        <v/>
      </c>
      <c r="L3545" t="str">
        <f>IF(A3545="","",IFERROR(LOOKUP(2,1/(#REF!=Z3545),#REF!),Y3545))</f>
        <v/>
      </c>
      <c r="Z3545" t="str">
        <f>IF(A3545="","",TEXT(A3545,"0")&amp;"|"&amp;TEXT(H3545,"0"))</f>
        <v/>
      </c>
      <c r="AA3545" t="str">
        <f>IF(Z3545="","",IFERROR(LOOKUP(2,1/(#REF!=Z3545),#REF!),""))</f>
        <v/>
      </c>
      <c r="AB3545" t="str">
        <f>IF(Z3545="","",IFERROR(LOOKUP(2,1/(#REF!=Z3545),#REF!),""))</f>
        <v/>
      </c>
      <c r="AC3545" t="str">
        <f>IF(Z3545="","",COUNTIF(#REF!,Z3545))</f>
        <v/>
      </c>
      <c r="AD3545" t="str">
        <f>IF(A3545="","",IF(AC3545&gt;1,"REVISAR DUPLICADO",IF(AA3545&lt;&gt;"","ACTUALIZADO POR EYR","SIN REPORTE EYR")))</f>
        <v/>
      </c>
    </row>
    <row r="3546" spans="11:30" x14ac:dyDescent="0.3">
      <c r="K3546" s="1" t="str">
        <f ca="1">IF(A3546="","",IF(OR(L3546="ENTREGADA",L3546="RETORNADA",L3546="ENTREGA DIGITAL"),0,MAX(0,5-NETWORKDAYS(H3546+1,TODAY()))))</f>
        <v/>
      </c>
      <c r="L3546" t="str">
        <f>IF(A3546="","",IFERROR(LOOKUP(2,1/(#REF!=Z3546),#REF!),Y3546))</f>
        <v/>
      </c>
      <c r="Z3546" t="str">
        <f>IF(A3546="","",TEXT(A3546,"0")&amp;"|"&amp;TEXT(H3546,"0"))</f>
        <v/>
      </c>
      <c r="AA3546" t="str">
        <f>IF(Z3546="","",IFERROR(LOOKUP(2,1/(#REF!=Z3546),#REF!),""))</f>
        <v/>
      </c>
      <c r="AB3546" t="str">
        <f>IF(Z3546="","",IFERROR(LOOKUP(2,1/(#REF!=Z3546),#REF!),""))</f>
        <v/>
      </c>
      <c r="AC3546" t="str">
        <f>IF(Z3546="","",COUNTIF(#REF!,Z3546))</f>
        <v/>
      </c>
      <c r="AD3546" t="str">
        <f>IF(A3546="","",IF(AC3546&gt;1,"REVISAR DUPLICADO",IF(AA3546&lt;&gt;"","ACTUALIZADO POR EYR","SIN REPORTE EYR")))</f>
        <v/>
      </c>
    </row>
    <row r="3547" spans="11:30" x14ac:dyDescent="0.3">
      <c r="K3547" s="1" t="str">
        <f ca="1">IF(A3547="","",IF(OR(L3547="ENTREGADA",L3547="RETORNADA",L3547="ENTREGA DIGITAL"),0,MAX(0,5-NETWORKDAYS(H3547+1,TODAY()))))</f>
        <v/>
      </c>
      <c r="L3547" t="str">
        <f>IF(A3547="","",IFERROR(LOOKUP(2,1/(#REF!=Z3547),#REF!),Y3547))</f>
        <v/>
      </c>
      <c r="Z3547" t="str">
        <f>IF(A3547="","",TEXT(A3547,"0")&amp;"|"&amp;TEXT(H3547,"0"))</f>
        <v/>
      </c>
      <c r="AA3547" t="str">
        <f>IF(Z3547="","",IFERROR(LOOKUP(2,1/(#REF!=Z3547),#REF!),""))</f>
        <v/>
      </c>
      <c r="AB3547" t="str">
        <f>IF(Z3547="","",IFERROR(LOOKUP(2,1/(#REF!=Z3547),#REF!),""))</f>
        <v/>
      </c>
      <c r="AC3547" t="str">
        <f>IF(Z3547="","",COUNTIF(#REF!,Z3547))</f>
        <v/>
      </c>
      <c r="AD3547" t="str">
        <f>IF(A3547="","",IF(AC3547&gt;1,"REVISAR DUPLICADO",IF(AA3547&lt;&gt;"","ACTUALIZADO POR EYR","SIN REPORTE EYR")))</f>
        <v/>
      </c>
    </row>
    <row r="3548" spans="11:30" x14ac:dyDescent="0.3">
      <c r="K3548" s="1" t="str">
        <f ca="1">IF(A3548="","",IF(OR(L3548="ENTREGADA",L3548="RETORNADA",L3548="ENTREGA DIGITAL"),0,MAX(0,5-NETWORKDAYS(H3548+1,TODAY()))))</f>
        <v/>
      </c>
      <c r="L3548" t="str">
        <f>IF(A3548="","",IFERROR(LOOKUP(2,1/(#REF!=Z3548),#REF!),Y3548))</f>
        <v/>
      </c>
      <c r="Z3548" t="str">
        <f>IF(A3548="","",TEXT(A3548,"0")&amp;"|"&amp;TEXT(H3548,"0"))</f>
        <v/>
      </c>
      <c r="AA3548" t="str">
        <f>IF(Z3548="","",IFERROR(LOOKUP(2,1/(#REF!=Z3548),#REF!),""))</f>
        <v/>
      </c>
      <c r="AB3548" t="str">
        <f>IF(Z3548="","",IFERROR(LOOKUP(2,1/(#REF!=Z3548),#REF!),""))</f>
        <v/>
      </c>
      <c r="AC3548" t="str">
        <f>IF(Z3548="","",COUNTIF(#REF!,Z3548))</f>
        <v/>
      </c>
      <c r="AD3548" t="str">
        <f>IF(A3548="","",IF(AC3548&gt;1,"REVISAR DUPLICADO",IF(AA3548&lt;&gt;"","ACTUALIZADO POR EYR","SIN REPORTE EYR")))</f>
        <v/>
      </c>
    </row>
    <row r="3549" spans="11:30" x14ac:dyDescent="0.3">
      <c r="K3549" s="1" t="str">
        <f ca="1">IF(A3549="","",IF(OR(L3549="ENTREGADA",L3549="RETORNADA",L3549="ENTREGA DIGITAL"),0,MAX(0,5-NETWORKDAYS(H3549+1,TODAY()))))</f>
        <v/>
      </c>
      <c r="L3549" t="str">
        <f>IF(A3549="","",IFERROR(LOOKUP(2,1/(#REF!=Z3549),#REF!),Y3549))</f>
        <v/>
      </c>
      <c r="Z3549" t="str">
        <f>IF(A3549="","",TEXT(A3549,"0")&amp;"|"&amp;TEXT(H3549,"0"))</f>
        <v/>
      </c>
      <c r="AA3549" t="str">
        <f>IF(Z3549="","",IFERROR(LOOKUP(2,1/(#REF!=Z3549),#REF!),""))</f>
        <v/>
      </c>
      <c r="AB3549" t="str">
        <f>IF(Z3549="","",IFERROR(LOOKUP(2,1/(#REF!=Z3549),#REF!),""))</f>
        <v/>
      </c>
      <c r="AC3549" t="str">
        <f>IF(Z3549="","",COUNTIF(#REF!,Z3549))</f>
        <v/>
      </c>
      <c r="AD3549" t="str">
        <f>IF(A3549="","",IF(AC3549&gt;1,"REVISAR DUPLICADO",IF(AA3549&lt;&gt;"","ACTUALIZADO POR EYR","SIN REPORTE EYR")))</f>
        <v/>
      </c>
    </row>
    <row r="3550" spans="11:30" x14ac:dyDescent="0.3">
      <c r="K3550" s="1" t="str">
        <f ca="1">IF(A3550="","",IF(OR(L3550="ENTREGADA",L3550="RETORNADA",L3550="ENTREGA DIGITAL"),0,MAX(0,5-NETWORKDAYS(H3550+1,TODAY()))))</f>
        <v/>
      </c>
      <c r="L3550" t="str">
        <f>IF(A3550="","",IFERROR(LOOKUP(2,1/(#REF!=Z3550),#REF!),Y3550))</f>
        <v/>
      </c>
      <c r="Z3550" t="str">
        <f>IF(A3550="","",TEXT(A3550,"0")&amp;"|"&amp;TEXT(H3550,"0"))</f>
        <v/>
      </c>
      <c r="AA3550" t="str">
        <f>IF(Z3550="","",IFERROR(LOOKUP(2,1/(#REF!=Z3550),#REF!),""))</f>
        <v/>
      </c>
      <c r="AB3550" t="str">
        <f>IF(Z3550="","",IFERROR(LOOKUP(2,1/(#REF!=Z3550),#REF!),""))</f>
        <v/>
      </c>
      <c r="AC3550" t="str">
        <f>IF(Z3550="","",COUNTIF(#REF!,Z3550))</f>
        <v/>
      </c>
      <c r="AD3550" t="str">
        <f>IF(A3550="","",IF(AC3550&gt;1,"REVISAR DUPLICADO",IF(AA3550&lt;&gt;"","ACTUALIZADO POR EYR","SIN REPORTE EYR")))</f>
        <v/>
      </c>
    </row>
    <row r="3551" spans="11:30" x14ac:dyDescent="0.3">
      <c r="K3551" s="1" t="str">
        <f ca="1">IF(A3551="","",IF(OR(L3551="ENTREGADA",L3551="RETORNADA",L3551="ENTREGA DIGITAL"),0,MAX(0,5-NETWORKDAYS(H3551+1,TODAY()))))</f>
        <v/>
      </c>
      <c r="L3551" t="str">
        <f>IF(A3551="","",IFERROR(LOOKUP(2,1/(#REF!=Z3551),#REF!),Y3551))</f>
        <v/>
      </c>
      <c r="Z3551" t="str">
        <f>IF(A3551="","",TEXT(A3551,"0")&amp;"|"&amp;TEXT(H3551,"0"))</f>
        <v/>
      </c>
      <c r="AA3551" t="str">
        <f>IF(Z3551="","",IFERROR(LOOKUP(2,1/(#REF!=Z3551),#REF!),""))</f>
        <v/>
      </c>
      <c r="AB3551" t="str">
        <f>IF(Z3551="","",IFERROR(LOOKUP(2,1/(#REF!=Z3551),#REF!),""))</f>
        <v/>
      </c>
      <c r="AC3551" t="str">
        <f>IF(Z3551="","",COUNTIF(#REF!,Z3551))</f>
        <v/>
      </c>
      <c r="AD3551" t="str">
        <f>IF(A3551="","",IF(AC3551&gt;1,"REVISAR DUPLICADO",IF(AA3551&lt;&gt;"","ACTUALIZADO POR EYR","SIN REPORTE EYR")))</f>
        <v/>
      </c>
    </row>
    <row r="3552" spans="11:30" x14ac:dyDescent="0.3">
      <c r="K3552" s="1" t="str">
        <f ca="1">IF(A3552="","",IF(OR(L3552="ENTREGADA",L3552="RETORNADA",L3552="ENTREGA DIGITAL"),0,MAX(0,5-NETWORKDAYS(H3552+1,TODAY()))))</f>
        <v/>
      </c>
      <c r="L3552" t="str">
        <f>IF(A3552="","",IFERROR(LOOKUP(2,1/(#REF!=Z3552),#REF!),Y3552))</f>
        <v/>
      </c>
      <c r="Z3552" t="str">
        <f>IF(A3552="","",TEXT(A3552,"0")&amp;"|"&amp;TEXT(H3552,"0"))</f>
        <v/>
      </c>
      <c r="AA3552" t="str">
        <f>IF(Z3552="","",IFERROR(LOOKUP(2,1/(#REF!=Z3552),#REF!),""))</f>
        <v/>
      </c>
      <c r="AB3552" t="str">
        <f>IF(Z3552="","",IFERROR(LOOKUP(2,1/(#REF!=Z3552),#REF!),""))</f>
        <v/>
      </c>
      <c r="AC3552" t="str">
        <f>IF(Z3552="","",COUNTIF(#REF!,Z3552))</f>
        <v/>
      </c>
      <c r="AD3552" t="str">
        <f>IF(A3552="","",IF(AC3552&gt;1,"REVISAR DUPLICADO",IF(AA3552&lt;&gt;"","ACTUALIZADO POR EYR","SIN REPORTE EYR")))</f>
        <v/>
      </c>
    </row>
    <row r="3553" spans="11:30" x14ac:dyDescent="0.3">
      <c r="K3553" s="1" t="str">
        <f ca="1">IF(A3553="","",IF(OR(L3553="ENTREGADA",L3553="RETORNADA",L3553="ENTREGA DIGITAL"),0,MAX(0,5-NETWORKDAYS(H3553+1,TODAY()))))</f>
        <v/>
      </c>
      <c r="L3553" t="str">
        <f>IF(A3553="","",IFERROR(LOOKUP(2,1/(#REF!=Z3553),#REF!),Y3553))</f>
        <v/>
      </c>
      <c r="Z3553" t="str">
        <f>IF(A3553="","",TEXT(A3553,"0")&amp;"|"&amp;TEXT(H3553,"0"))</f>
        <v/>
      </c>
      <c r="AA3553" t="str">
        <f>IF(Z3553="","",IFERROR(LOOKUP(2,1/(#REF!=Z3553),#REF!),""))</f>
        <v/>
      </c>
      <c r="AB3553" t="str">
        <f>IF(Z3553="","",IFERROR(LOOKUP(2,1/(#REF!=Z3553),#REF!),""))</f>
        <v/>
      </c>
      <c r="AC3553" t="str">
        <f>IF(Z3553="","",COUNTIF(#REF!,Z3553))</f>
        <v/>
      </c>
      <c r="AD3553" t="str">
        <f>IF(A3553="","",IF(AC3553&gt;1,"REVISAR DUPLICADO",IF(AA3553&lt;&gt;"","ACTUALIZADO POR EYR","SIN REPORTE EYR")))</f>
        <v/>
      </c>
    </row>
    <row r="3554" spans="11:30" x14ac:dyDescent="0.3">
      <c r="K3554" s="1" t="str">
        <f ca="1">IF(A3554="","",IF(OR(L3554="ENTREGADA",L3554="RETORNADA",L3554="ENTREGA DIGITAL"),0,MAX(0,5-NETWORKDAYS(H3554+1,TODAY()))))</f>
        <v/>
      </c>
      <c r="L3554" t="str">
        <f>IF(A3554="","",IFERROR(LOOKUP(2,1/(#REF!=Z3554),#REF!),Y3554))</f>
        <v/>
      </c>
      <c r="Z3554" t="str">
        <f>IF(A3554="","",TEXT(A3554,"0")&amp;"|"&amp;TEXT(H3554,"0"))</f>
        <v/>
      </c>
      <c r="AA3554" t="str">
        <f>IF(Z3554="","",IFERROR(LOOKUP(2,1/(#REF!=Z3554),#REF!),""))</f>
        <v/>
      </c>
      <c r="AB3554" t="str">
        <f>IF(Z3554="","",IFERROR(LOOKUP(2,1/(#REF!=Z3554),#REF!),""))</f>
        <v/>
      </c>
      <c r="AC3554" t="str">
        <f>IF(Z3554="","",COUNTIF(#REF!,Z3554))</f>
        <v/>
      </c>
      <c r="AD3554" t="str">
        <f>IF(A3554="","",IF(AC3554&gt;1,"REVISAR DUPLICADO",IF(AA3554&lt;&gt;"","ACTUALIZADO POR EYR","SIN REPORTE EYR")))</f>
        <v/>
      </c>
    </row>
    <row r="3555" spans="11:30" x14ac:dyDescent="0.3">
      <c r="K3555" s="1" t="str">
        <f ca="1">IF(A3555="","",IF(OR(L3555="ENTREGADA",L3555="RETORNADA",L3555="ENTREGA DIGITAL"),0,MAX(0,5-NETWORKDAYS(H3555+1,TODAY()))))</f>
        <v/>
      </c>
      <c r="L3555" t="str">
        <f>IF(A3555="","",IFERROR(LOOKUP(2,1/(#REF!=Z3555),#REF!),Y3555))</f>
        <v/>
      </c>
      <c r="Z3555" t="str">
        <f>IF(A3555="","",TEXT(A3555,"0")&amp;"|"&amp;TEXT(H3555,"0"))</f>
        <v/>
      </c>
      <c r="AA3555" t="str">
        <f>IF(Z3555="","",IFERROR(LOOKUP(2,1/(#REF!=Z3555),#REF!),""))</f>
        <v/>
      </c>
      <c r="AB3555" t="str">
        <f>IF(Z3555="","",IFERROR(LOOKUP(2,1/(#REF!=Z3555),#REF!),""))</f>
        <v/>
      </c>
      <c r="AC3555" t="str">
        <f>IF(Z3555="","",COUNTIF(#REF!,Z3555))</f>
        <v/>
      </c>
      <c r="AD3555" t="str">
        <f>IF(A3555="","",IF(AC3555&gt;1,"REVISAR DUPLICADO",IF(AA3555&lt;&gt;"","ACTUALIZADO POR EYR","SIN REPORTE EYR")))</f>
        <v/>
      </c>
    </row>
    <row r="3556" spans="11:30" x14ac:dyDescent="0.3">
      <c r="K3556" s="1" t="str">
        <f ca="1">IF(A3556="","",IF(OR(L3556="ENTREGADA",L3556="RETORNADA",L3556="ENTREGA DIGITAL"),0,MAX(0,5-NETWORKDAYS(H3556+1,TODAY()))))</f>
        <v/>
      </c>
      <c r="L3556" t="str">
        <f>IF(A3556="","",IFERROR(LOOKUP(2,1/(#REF!=Z3556),#REF!),Y3556))</f>
        <v/>
      </c>
      <c r="Z3556" t="str">
        <f>IF(A3556="","",TEXT(A3556,"0")&amp;"|"&amp;TEXT(H3556,"0"))</f>
        <v/>
      </c>
      <c r="AA3556" t="str">
        <f>IF(Z3556="","",IFERROR(LOOKUP(2,1/(#REF!=Z3556),#REF!),""))</f>
        <v/>
      </c>
      <c r="AB3556" t="str">
        <f>IF(Z3556="","",IFERROR(LOOKUP(2,1/(#REF!=Z3556),#REF!),""))</f>
        <v/>
      </c>
      <c r="AC3556" t="str">
        <f>IF(Z3556="","",COUNTIF(#REF!,Z3556))</f>
        <v/>
      </c>
      <c r="AD3556" t="str">
        <f>IF(A3556="","",IF(AC3556&gt;1,"REVISAR DUPLICADO",IF(AA3556&lt;&gt;"","ACTUALIZADO POR EYR","SIN REPORTE EYR")))</f>
        <v/>
      </c>
    </row>
    <row r="3557" spans="11:30" x14ac:dyDescent="0.3">
      <c r="K3557" s="1" t="str">
        <f ca="1">IF(A3557="","",IF(OR(L3557="ENTREGADA",L3557="RETORNADA",L3557="ENTREGA DIGITAL"),0,MAX(0,5-NETWORKDAYS(H3557+1,TODAY()))))</f>
        <v/>
      </c>
      <c r="L3557" t="str">
        <f>IF(A3557="","",IFERROR(LOOKUP(2,1/(#REF!=Z3557),#REF!),Y3557))</f>
        <v/>
      </c>
      <c r="Z3557" t="str">
        <f>IF(A3557="","",TEXT(A3557,"0")&amp;"|"&amp;TEXT(H3557,"0"))</f>
        <v/>
      </c>
      <c r="AA3557" t="str">
        <f>IF(Z3557="","",IFERROR(LOOKUP(2,1/(#REF!=Z3557),#REF!),""))</f>
        <v/>
      </c>
      <c r="AB3557" t="str">
        <f>IF(Z3557="","",IFERROR(LOOKUP(2,1/(#REF!=Z3557),#REF!),""))</f>
        <v/>
      </c>
      <c r="AC3557" t="str">
        <f>IF(Z3557="","",COUNTIF(#REF!,Z3557))</f>
        <v/>
      </c>
      <c r="AD3557" t="str">
        <f>IF(A3557="","",IF(AC3557&gt;1,"REVISAR DUPLICADO",IF(AA3557&lt;&gt;"","ACTUALIZADO POR EYR","SIN REPORTE EYR")))</f>
        <v/>
      </c>
    </row>
    <row r="3558" spans="11:30" x14ac:dyDescent="0.3">
      <c r="K3558" s="1" t="str">
        <f ca="1">IF(A3558="","",IF(OR(L3558="ENTREGADA",L3558="RETORNADA",L3558="ENTREGA DIGITAL"),0,MAX(0,5-NETWORKDAYS(H3558+1,TODAY()))))</f>
        <v/>
      </c>
      <c r="L3558" t="str">
        <f>IF(A3558="","",IFERROR(LOOKUP(2,1/(#REF!=Z3558),#REF!),Y3558))</f>
        <v/>
      </c>
      <c r="Z3558" t="str">
        <f>IF(A3558="","",TEXT(A3558,"0")&amp;"|"&amp;TEXT(H3558,"0"))</f>
        <v/>
      </c>
      <c r="AA3558" t="str">
        <f>IF(Z3558="","",IFERROR(LOOKUP(2,1/(#REF!=Z3558),#REF!),""))</f>
        <v/>
      </c>
      <c r="AB3558" t="str">
        <f>IF(Z3558="","",IFERROR(LOOKUP(2,1/(#REF!=Z3558),#REF!),""))</f>
        <v/>
      </c>
      <c r="AC3558" t="str">
        <f>IF(Z3558="","",COUNTIF(#REF!,Z3558))</f>
        <v/>
      </c>
      <c r="AD3558" t="str">
        <f>IF(A3558="","",IF(AC3558&gt;1,"REVISAR DUPLICADO",IF(AA3558&lt;&gt;"","ACTUALIZADO POR EYR","SIN REPORTE EYR")))</f>
        <v/>
      </c>
    </row>
    <row r="3559" spans="11:30" x14ac:dyDescent="0.3">
      <c r="K3559" s="1" t="str">
        <f ca="1">IF(A3559="","",IF(OR(L3559="ENTREGADA",L3559="RETORNADA",L3559="ENTREGA DIGITAL"),0,MAX(0,5-NETWORKDAYS(H3559+1,TODAY()))))</f>
        <v/>
      </c>
      <c r="L3559" t="str">
        <f>IF(A3559="","",IFERROR(LOOKUP(2,1/(#REF!=Z3559),#REF!),Y3559))</f>
        <v/>
      </c>
      <c r="Z3559" t="str">
        <f>IF(A3559="","",TEXT(A3559,"0")&amp;"|"&amp;TEXT(H3559,"0"))</f>
        <v/>
      </c>
      <c r="AA3559" t="str">
        <f>IF(Z3559="","",IFERROR(LOOKUP(2,1/(#REF!=Z3559),#REF!),""))</f>
        <v/>
      </c>
      <c r="AB3559" t="str">
        <f>IF(Z3559="","",IFERROR(LOOKUP(2,1/(#REF!=Z3559),#REF!),""))</f>
        <v/>
      </c>
      <c r="AC3559" t="str">
        <f>IF(Z3559="","",COUNTIF(#REF!,Z3559))</f>
        <v/>
      </c>
      <c r="AD3559" t="str">
        <f>IF(A3559="","",IF(AC3559&gt;1,"REVISAR DUPLICADO",IF(AA3559&lt;&gt;"","ACTUALIZADO POR EYR","SIN REPORTE EYR")))</f>
        <v/>
      </c>
    </row>
    <row r="3560" spans="11:30" x14ac:dyDescent="0.3">
      <c r="K3560" s="1" t="str">
        <f ca="1">IF(A3560="","",IF(OR(L3560="ENTREGADA",L3560="RETORNADA",L3560="ENTREGA DIGITAL"),0,MAX(0,5-NETWORKDAYS(H3560+1,TODAY()))))</f>
        <v/>
      </c>
      <c r="L3560" t="str">
        <f>IF(A3560="","",IFERROR(LOOKUP(2,1/(#REF!=Z3560),#REF!),Y3560))</f>
        <v/>
      </c>
      <c r="Z3560" t="str">
        <f>IF(A3560="","",TEXT(A3560,"0")&amp;"|"&amp;TEXT(H3560,"0"))</f>
        <v/>
      </c>
      <c r="AA3560" t="str">
        <f>IF(Z3560="","",IFERROR(LOOKUP(2,1/(#REF!=Z3560),#REF!),""))</f>
        <v/>
      </c>
      <c r="AB3560" t="str">
        <f>IF(Z3560="","",IFERROR(LOOKUP(2,1/(#REF!=Z3560),#REF!),""))</f>
        <v/>
      </c>
      <c r="AC3560" t="str">
        <f>IF(Z3560="","",COUNTIF(#REF!,Z3560))</f>
        <v/>
      </c>
      <c r="AD3560" t="str">
        <f>IF(A3560="","",IF(AC3560&gt;1,"REVISAR DUPLICADO",IF(AA3560&lt;&gt;"","ACTUALIZADO POR EYR","SIN REPORTE EYR")))</f>
        <v/>
      </c>
    </row>
    <row r="3561" spans="11:30" x14ac:dyDescent="0.3">
      <c r="K3561" s="1" t="str">
        <f ca="1">IF(A3561="","",IF(OR(L3561="ENTREGADA",L3561="RETORNADA",L3561="ENTREGA DIGITAL"),0,MAX(0,5-NETWORKDAYS(H3561+1,TODAY()))))</f>
        <v/>
      </c>
      <c r="L3561" t="str">
        <f>IF(A3561="","",IFERROR(LOOKUP(2,1/(#REF!=Z3561),#REF!),Y3561))</f>
        <v/>
      </c>
      <c r="Z3561" t="str">
        <f>IF(A3561="","",TEXT(A3561,"0")&amp;"|"&amp;TEXT(H3561,"0"))</f>
        <v/>
      </c>
      <c r="AA3561" t="str">
        <f>IF(Z3561="","",IFERROR(LOOKUP(2,1/(#REF!=Z3561),#REF!),""))</f>
        <v/>
      </c>
      <c r="AB3561" t="str">
        <f>IF(Z3561="","",IFERROR(LOOKUP(2,1/(#REF!=Z3561),#REF!),""))</f>
        <v/>
      </c>
      <c r="AC3561" t="str">
        <f>IF(Z3561="","",COUNTIF(#REF!,Z3561))</f>
        <v/>
      </c>
      <c r="AD3561" t="str">
        <f>IF(A3561="","",IF(AC3561&gt;1,"REVISAR DUPLICADO",IF(AA3561&lt;&gt;"","ACTUALIZADO POR EYR","SIN REPORTE EYR")))</f>
        <v/>
      </c>
    </row>
    <row r="3562" spans="11:30" x14ac:dyDescent="0.3">
      <c r="K3562" s="1" t="str">
        <f ca="1">IF(A3562="","",IF(OR(L3562="ENTREGADA",L3562="RETORNADA",L3562="ENTREGA DIGITAL"),0,MAX(0,5-NETWORKDAYS(H3562+1,TODAY()))))</f>
        <v/>
      </c>
      <c r="L3562" t="str">
        <f>IF(A3562="","",IFERROR(LOOKUP(2,1/(#REF!=Z3562),#REF!),Y3562))</f>
        <v/>
      </c>
      <c r="Z3562" t="str">
        <f>IF(A3562="","",TEXT(A3562,"0")&amp;"|"&amp;TEXT(H3562,"0"))</f>
        <v/>
      </c>
      <c r="AA3562" t="str">
        <f>IF(Z3562="","",IFERROR(LOOKUP(2,1/(#REF!=Z3562),#REF!),""))</f>
        <v/>
      </c>
      <c r="AB3562" t="str">
        <f>IF(Z3562="","",IFERROR(LOOKUP(2,1/(#REF!=Z3562),#REF!),""))</f>
        <v/>
      </c>
      <c r="AC3562" t="str">
        <f>IF(Z3562="","",COUNTIF(#REF!,Z3562))</f>
        <v/>
      </c>
      <c r="AD3562" t="str">
        <f>IF(A3562="","",IF(AC3562&gt;1,"REVISAR DUPLICADO",IF(AA3562&lt;&gt;"","ACTUALIZADO POR EYR","SIN REPORTE EYR")))</f>
        <v/>
      </c>
    </row>
    <row r="3563" spans="11:30" x14ac:dyDescent="0.3">
      <c r="K3563" s="1" t="str">
        <f ca="1">IF(A3563="","",IF(OR(L3563="ENTREGADA",L3563="RETORNADA",L3563="ENTREGA DIGITAL"),0,MAX(0,5-NETWORKDAYS(H3563+1,TODAY()))))</f>
        <v/>
      </c>
      <c r="L3563" t="str">
        <f>IF(A3563="","",IFERROR(LOOKUP(2,1/(#REF!=Z3563),#REF!),Y3563))</f>
        <v/>
      </c>
      <c r="Z3563" t="str">
        <f>IF(A3563="","",TEXT(A3563,"0")&amp;"|"&amp;TEXT(H3563,"0"))</f>
        <v/>
      </c>
      <c r="AA3563" t="str">
        <f>IF(Z3563="","",IFERROR(LOOKUP(2,1/(#REF!=Z3563),#REF!),""))</f>
        <v/>
      </c>
      <c r="AB3563" t="str">
        <f>IF(Z3563="","",IFERROR(LOOKUP(2,1/(#REF!=Z3563),#REF!),""))</f>
        <v/>
      </c>
      <c r="AC3563" t="str">
        <f>IF(Z3563="","",COUNTIF(#REF!,Z3563))</f>
        <v/>
      </c>
      <c r="AD3563" t="str">
        <f>IF(A3563="","",IF(AC3563&gt;1,"REVISAR DUPLICADO",IF(AA3563&lt;&gt;"","ACTUALIZADO POR EYR","SIN REPORTE EYR")))</f>
        <v/>
      </c>
    </row>
    <row r="3564" spans="11:30" x14ac:dyDescent="0.3">
      <c r="K3564" s="1" t="str">
        <f ca="1">IF(A3564="","",IF(OR(L3564="ENTREGADA",L3564="RETORNADA",L3564="ENTREGA DIGITAL"),0,MAX(0,5-NETWORKDAYS(H3564+1,TODAY()))))</f>
        <v/>
      </c>
      <c r="L3564" t="str">
        <f>IF(A3564="","",IFERROR(LOOKUP(2,1/(#REF!=Z3564),#REF!),Y3564))</f>
        <v/>
      </c>
      <c r="Z3564" t="str">
        <f>IF(A3564="","",TEXT(A3564,"0")&amp;"|"&amp;TEXT(H3564,"0"))</f>
        <v/>
      </c>
      <c r="AA3564" t="str">
        <f>IF(Z3564="","",IFERROR(LOOKUP(2,1/(#REF!=Z3564),#REF!),""))</f>
        <v/>
      </c>
      <c r="AB3564" t="str">
        <f>IF(Z3564="","",IFERROR(LOOKUP(2,1/(#REF!=Z3564),#REF!),""))</f>
        <v/>
      </c>
      <c r="AC3564" t="str">
        <f>IF(Z3564="","",COUNTIF(#REF!,Z3564))</f>
        <v/>
      </c>
      <c r="AD3564" t="str">
        <f>IF(A3564="","",IF(AC3564&gt;1,"REVISAR DUPLICADO",IF(AA3564&lt;&gt;"","ACTUALIZADO POR EYR","SIN REPORTE EYR")))</f>
        <v/>
      </c>
    </row>
    <row r="3565" spans="11:30" x14ac:dyDescent="0.3">
      <c r="K3565" s="1" t="str">
        <f ca="1">IF(A3565="","",IF(OR(L3565="ENTREGADA",L3565="RETORNADA",L3565="ENTREGA DIGITAL"),0,MAX(0,5-NETWORKDAYS(H3565+1,TODAY()))))</f>
        <v/>
      </c>
      <c r="L3565" t="str">
        <f>IF(A3565="","",IFERROR(LOOKUP(2,1/(#REF!=Z3565),#REF!),Y3565))</f>
        <v/>
      </c>
      <c r="Z3565" t="str">
        <f>IF(A3565="","",TEXT(A3565,"0")&amp;"|"&amp;TEXT(H3565,"0"))</f>
        <v/>
      </c>
      <c r="AA3565" t="str">
        <f>IF(Z3565="","",IFERROR(LOOKUP(2,1/(#REF!=Z3565),#REF!),""))</f>
        <v/>
      </c>
      <c r="AB3565" t="str">
        <f>IF(Z3565="","",IFERROR(LOOKUP(2,1/(#REF!=Z3565),#REF!),""))</f>
        <v/>
      </c>
      <c r="AC3565" t="str">
        <f>IF(Z3565="","",COUNTIF(#REF!,Z3565))</f>
        <v/>
      </c>
      <c r="AD3565" t="str">
        <f>IF(A3565="","",IF(AC3565&gt;1,"REVISAR DUPLICADO",IF(AA3565&lt;&gt;"","ACTUALIZADO POR EYR","SIN REPORTE EYR")))</f>
        <v/>
      </c>
    </row>
    <row r="3566" spans="11:30" x14ac:dyDescent="0.3">
      <c r="K3566" s="1" t="str">
        <f ca="1">IF(A3566="","",IF(OR(L3566="ENTREGADA",L3566="RETORNADA",L3566="ENTREGA DIGITAL"),0,MAX(0,5-NETWORKDAYS(H3566+1,TODAY()))))</f>
        <v/>
      </c>
      <c r="L3566" t="str">
        <f>IF(A3566="","",IFERROR(LOOKUP(2,1/(#REF!=Z3566),#REF!),Y3566))</f>
        <v/>
      </c>
      <c r="Z3566" t="str">
        <f>IF(A3566="","",TEXT(A3566,"0")&amp;"|"&amp;TEXT(H3566,"0"))</f>
        <v/>
      </c>
      <c r="AA3566" t="str">
        <f>IF(Z3566="","",IFERROR(LOOKUP(2,1/(#REF!=Z3566),#REF!),""))</f>
        <v/>
      </c>
      <c r="AB3566" t="str">
        <f>IF(Z3566="","",IFERROR(LOOKUP(2,1/(#REF!=Z3566),#REF!),""))</f>
        <v/>
      </c>
      <c r="AC3566" t="str">
        <f>IF(Z3566="","",COUNTIF(#REF!,Z3566))</f>
        <v/>
      </c>
      <c r="AD3566" t="str">
        <f>IF(A3566="","",IF(AC3566&gt;1,"REVISAR DUPLICADO",IF(AA3566&lt;&gt;"","ACTUALIZADO POR EYR","SIN REPORTE EYR")))</f>
        <v/>
      </c>
    </row>
    <row r="3567" spans="11:30" x14ac:dyDescent="0.3">
      <c r="K3567" s="1" t="str">
        <f ca="1">IF(A3567="","",IF(OR(L3567="ENTREGADA",L3567="RETORNADA",L3567="ENTREGA DIGITAL"),0,MAX(0,5-NETWORKDAYS(H3567+1,TODAY()))))</f>
        <v/>
      </c>
      <c r="L3567" t="str">
        <f>IF(A3567="","",IFERROR(LOOKUP(2,1/(#REF!=Z3567),#REF!),Y3567))</f>
        <v/>
      </c>
      <c r="Z3567" t="str">
        <f>IF(A3567="","",TEXT(A3567,"0")&amp;"|"&amp;TEXT(H3567,"0"))</f>
        <v/>
      </c>
      <c r="AA3567" t="str">
        <f>IF(Z3567="","",IFERROR(LOOKUP(2,1/(#REF!=Z3567),#REF!),""))</f>
        <v/>
      </c>
      <c r="AB3567" t="str">
        <f>IF(Z3567="","",IFERROR(LOOKUP(2,1/(#REF!=Z3567),#REF!),""))</f>
        <v/>
      </c>
      <c r="AC3567" t="str">
        <f>IF(Z3567="","",COUNTIF(#REF!,Z3567))</f>
        <v/>
      </c>
      <c r="AD3567" t="str">
        <f>IF(A3567="","",IF(AC3567&gt;1,"REVISAR DUPLICADO",IF(AA3567&lt;&gt;"","ACTUALIZADO POR EYR","SIN REPORTE EYR")))</f>
        <v/>
      </c>
    </row>
    <row r="3568" spans="11:30" x14ac:dyDescent="0.3">
      <c r="K3568" s="1" t="str">
        <f ca="1">IF(A3568="","",IF(OR(L3568="ENTREGADA",L3568="RETORNADA",L3568="ENTREGA DIGITAL"),0,MAX(0,5-NETWORKDAYS(H3568+1,TODAY()))))</f>
        <v/>
      </c>
      <c r="L3568" t="str">
        <f>IF(A3568="","",IFERROR(LOOKUP(2,1/(#REF!=Z3568),#REF!),Y3568))</f>
        <v/>
      </c>
      <c r="Z3568" t="str">
        <f>IF(A3568="","",TEXT(A3568,"0")&amp;"|"&amp;TEXT(H3568,"0"))</f>
        <v/>
      </c>
      <c r="AA3568" t="str">
        <f>IF(Z3568="","",IFERROR(LOOKUP(2,1/(#REF!=Z3568),#REF!),""))</f>
        <v/>
      </c>
      <c r="AB3568" t="str">
        <f>IF(Z3568="","",IFERROR(LOOKUP(2,1/(#REF!=Z3568),#REF!),""))</f>
        <v/>
      </c>
      <c r="AC3568" t="str">
        <f>IF(Z3568="","",COUNTIF(#REF!,Z3568))</f>
        <v/>
      </c>
      <c r="AD3568" t="str">
        <f>IF(A3568="","",IF(AC3568&gt;1,"REVISAR DUPLICADO",IF(AA3568&lt;&gt;"","ACTUALIZADO POR EYR","SIN REPORTE EYR")))</f>
        <v/>
      </c>
    </row>
    <row r="3569" spans="11:30" x14ac:dyDescent="0.3">
      <c r="K3569" s="1" t="str">
        <f ca="1">IF(A3569="","",IF(OR(L3569="ENTREGADA",L3569="RETORNADA",L3569="ENTREGA DIGITAL"),0,MAX(0,5-NETWORKDAYS(H3569+1,TODAY()))))</f>
        <v/>
      </c>
      <c r="L3569" t="str">
        <f>IF(A3569="","",IFERROR(LOOKUP(2,1/(#REF!=Z3569),#REF!),Y3569))</f>
        <v/>
      </c>
      <c r="Z3569" t="str">
        <f>IF(A3569="","",TEXT(A3569,"0")&amp;"|"&amp;TEXT(H3569,"0"))</f>
        <v/>
      </c>
      <c r="AA3569" t="str">
        <f>IF(Z3569="","",IFERROR(LOOKUP(2,1/(#REF!=Z3569),#REF!),""))</f>
        <v/>
      </c>
      <c r="AB3569" t="str">
        <f>IF(Z3569="","",IFERROR(LOOKUP(2,1/(#REF!=Z3569),#REF!),""))</f>
        <v/>
      </c>
      <c r="AC3569" t="str">
        <f>IF(Z3569="","",COUNTIF(#REF!,Z3569))</f>
        <v/>
      </c>
      <c r="AD3569" t="str">
        <f>IF(A3569="","",IF(AC3569&gt;1,"REVISAR DUPLICADO",IF(AA3569&lt;&gt;"","ACTUALIZADO POR EYR","SIN REPORTE EYR")))</f>
        <v/>
      </c>
    </row>
    <row r="3570" spans="11:30" x14ac:dyDescent="0.3">
      <c r="K3570" s="1" t="str">
        <f ca="1">IF(A3570="","",IF(OR(L3570="ENTREGADA",L3570="RETORNADA",L3570="ENTREGA DIGITAL"),0,MAX(0,5-NETWORKDAYS(H3570+1,TODAY()))))</f>
        <v/>
      </c>
      <c r="L3570" t="str">
        <f>IF(A3570="","",IFERROR(LOOKUP(2,1/(#REF!=Z3570),#REF!),Y3570))</f>
        <v/>
      </c>
      <c r="Z3570" t="str">
        <f>IF(A3570="","",TEXT(A3570,"0")&amp;"|"&amp;TEXT(H3570,"0"))</f>
        <v/>
      </c>
      <c r="AA3570" t="str">
        <f>IF(Z3570="","",IFERROR(LOOKUP(2,1/(#REF!=Z3570),#REF!),""))</f>
        <v/>
      </c>
      <c r="AB3570" t="str">
        <f>IF(Z3570="","",IFERROR(LOOKUP(2,1/(#REF!=Z3570),#REF!),""))</f>
        <v/>
      </c>
      <c r="AC3570" t="str">
        <f>IF(Z3570="","",COUNTIF(#REF!,Z3570))</f>
        <v/>
      </c>
      <c r="AD3570" t="str">
        <f>IF(A3570="","",IF(AC3570&gt;1,"REVISAR DUPLICADO",IF(AA3570&lt;&gt;"","ACTUALIZADO POR EYR","SIN REPORTE EYR")))</f>
        <v/>
      </c>
    </row>
    <row r="3571" spans="11:30" x14ac:dyDescent="0.3">
      <c r="K3571" s="1" t="str">
        <f ca="1">IF(A3571="","",IF(OR(L3571="ENTREGADA",L3571="RETORNADA",L3571="ENTREGA DIGITAL"),0,MAX(0,5-NETWORKDAYS(H3571+1,TODAY()))))</f>
        <v/>
      </c>
      <c r="L3571" t="str">
        <f>IF(A3571="","",IFERROR(LOOKUP(2,1/(#REF!=Z3571),#REF!),Y3571))</f>
        <v/>
      </c>
      <c r="Z3571" t="str">
        <f>IF(A3571="","",TEXT(A3571,"0")&amp;"|"&amp;TEXT(H3571,"0"))</f>
        <v/>
      </c>
      <c r="AA3571" t="str">
        <f>IF(Z3571="","",IFERROR(LOOKUP(2,1/(#REF!=Z3571),#REF!),""))</f>
        <v/>
      </c>
      <c r="AB3571" t="str">
        <f>IF(Z3571="","",IFERROR(LOOKUP(2,1/(#REF!=Z3571),#REF!),""))</f>
        <v/>
      </c>
      <c r="AC3571" t="str">
        <f>IF(Z3571="","",COUNTIF(#REF!,Z3571))</f>
        <v/>
      </c>
      <c r="AD3571" t="str">
        <f>IF(A3571="","",IF(AC3571&gt;1,"REVISAR DUPLICADO",IF(AA3571&lt;&gt;"","ACTUALIZADO POR EYR","SIN REPORTE EYR")))</f>
        <v/>
      </c>
    </row>
    <row r="3572" spans="11:30" x14ac:dyDescent="0.3">
      <c r="K3572" s="1" t="str">
        <f ca="1">IF(A3572="","",IF(OR(L3572="ENTREGADA",L3572="RETORNADA",L3572="ENTREGA DIGITAL"),0,MAX(0,5-NETWORKDAYS(H3572+1,TODAY()))))</f>
        <v/>
      </c>
      <c r="L3572" t="str">
        <f>IF(A3572="","",IFERROR(LOOKUP(2,1/(#REF!=Z3572),#REF!),Y3572))</f>
        <v/>
      </c>
      <c r="Z3572" t="str">
        <f>IF(A3572="","",TEXT(A3572,"0")&amp;"|"&amp;TEXT(H3572,"0"))</f>
        <v/>
      </c>
      <c r="AA3572" t="str">
        <f>IF(Z3572="","",IFERROR(LOOKUP(2,1/(#REF!=Z3572),#REF!),""))</f>
        <v/>
      </c>
      <c r="AB3572" t="str">
        <f>IF(Z3572="","",IFERROR(LOOKUP(2,1/(#REF!=Z3572),#REF!),""))</f>
        <v/>
      </c>
      <c r="AC3572" t="str">
        <f>IF(Z3572="","",COUNTIF(#REF!,Z3572))</f>
        <v/>
      </c>
      <c r="AD3572" t="str">
        <f>IF(A3572="","",IF(AC3572&gt;1,"REVISAR DUPLICADO",IF(AA3572&lt;&gt;"","ACTUALIZADO POR EYR","SIN REPORTE EYR")))</f>
        <v/>
      </c>
    </row>
    <row r="3573" spans="11:30" x14ac:dyDescent="0.3">
      <c r="K3573" s="1" t="str">
        <f ca="1">IF(A3573="","",IF(OR(L3573="ENTREGADA",L3573="RETORNADA",L3573="ENTREGA DIGITAL"),0,MAX(0,5-NETWORKDAYS(H3573+1,TODAY()))))</f>
        <v/>
      </c>
      <c r="L3573" t="str">
        <f>IF(A3573="","",IFERROR(LOOKUP(2,1/(#REF!=Z3573),#REF!),Y3573))</f>
        <v/>
      </c>
      <c r="Z3573" t="str">
        <f>IF(A3573="","",TEXT(A3573,"0")&amp;"|"&amp;TEXT(H3573,"0"))</f>
        <v/>
      </c>
      <c r="AA3573" t="str">
        <f>IF(Z3573="","",IFERROR(LOOKUP(2,1/(#REF!=Z3573),#REF!),""))</f>
        <v/>
      </c>
      <c r="AB3573" t="str">
        <f>IF(Z3573="","",IFERROR(LOOKUP(2,1/(#REF!=Z3573),#REF!),""))</f>
        <v/>
      </c>
      <c r="AC3573" t="str">
        <f>IF(Z3573="","",COUNTIF(#REF!,Z3573))</f>
        <v/>
      </c>
      <c r="AD3573" t="str">
        <f>IF(A3573="","",IF(AC3573&gt;1,"REVISAR DUPLICADO",IF(AA3573&lt;&gt;"","ACTUALIZADO POR EYR","SIN REPORTE EYR")))</f>
        <v/>
      </c>
    </row>
    <row r="3574" spans="11:30" x14ac:dyDescent="0.3">
      <c r="K3574" s="1" t="str">
        <f ca="1">IF(A3574="","",IF(OR(L3574="ENTREGADA",L3574="RETORNADA",L3574="ENTREGA DIGITAL"),0,MAX(0,5-NETWORKDAYS(H3574+1,TODAY()))))</f>
        <v/>
      </c>
      <c r="L3574" t="str">
        <f>IF(A3574="","",IFERROR(LOOKUP(2,1/(#REF!=Z3574),#REF!),Y3574))</f>
        <v/>
      </c>
      <c r="Z3574" t="str">
        <f>IF(A3574="","",TEXT(A3574,"0")&amp;"|"&amp;TEXT(H3574,"0"))</f>
        <v/>
      </c>
      <c r="AA3574" t="str">
        <f>IF(Z3574="","",IFERROR(LOOKUP(2,1/(#REF!=Z3574),#REF!),""))</f>
        <v/>
      </c>
      <c r="AB3574" t="str">
        <f>IF(Z3574="","",IFERROR(LOOKUP(2,1/(#REF!=Z3574),#REF!),""))</f>
        <v/>
      </c>
      <c r="AC3574" t="str">
        <f>IF(Z3574="","",COUNTIF(#REF!,Z3574))</f>
        <v/>
      </c>
      <c r="AD3574" t="str">
        <f>IF(A3574="","",IF(AC3574&gt;1,"REVISAR DUPLICADO",IF(AA3574&lt;&gt;"","ACTUALIZADO POR EYR","SIN REPORTE EYR")))</f>
        <v/>
      </c>
    </row>
    <row r="3575" spans="11:30" x14ac:dyDescent="0.3">
      <c r="K3575" s="1" t="str">
        <f ca="1">IF(A3575="","",IF(OR(L3575="ENTREGADA",L3575="RETORNADA",L3575="ENTREGA DIGITAL"),0,MAX(0,5-NETWORKDAYS(H3575+1,TODAY()))))</f>
        <v/>
      </c>
      <c r="L3575" t="str">
        <f>IF(A3575="","",IFERROR(LOOKUP(2,1/(#REF!=Z3575),#REF!),Y3575))</f>
        <v/>
      </c>
      <c r="Z3575" t="str">
        <f>IF(A3575="","",TEXT(A3575,"0")&amp;"|"&amp;TEXT(H3575,"0"))</f>
        <v/>
      </c>
      <c r="AA3575" t="str">
        <f>IF(Z3575="","",IFERROR(LOOKUP(2,1/(#REF!=Z3575),#REF!),""))</f>
        <v/>
      </c>
      <c r="AB3575" t="str">
        <f>IF(Z3575="","",IFERROR(LOOKUP(2,1/(#REF!=Z3575),#REF!),""))</f>
        <v/>
      </c>
      <c r="AC3575" t="str">
        <f>IF(Z3575="","",COUNTIF(#REF!,Z3575))</f>
        <v/>
      </c>
      <c r="AD3575" t="str">
        <f>IF(A3575="","",IF(AC3575&gt;1,"REVISAR DUPLICADO",IF(AA3575&lt;&gt;"","ACTUALIZADO POR EYR","SIN REPORTE EYR")))</f>
        <v/>
      </c>
    </row>
    <row r="3576" spans="11:30" x14ac:dyDescent="0.3">
      <c r="K3576" s="1" t="str">
        <f ca="1">IF(A3576="","",IF(OR(L3576="ENTREGADA",L3576="RETORNADA",L3576="ENTREGA DIGITAL"),0,MAX(0,5-NETWORKDAYS(H3576+1,TODAY()))))</f>
        <v/>
      </c>
      <c r="L3576" t="str">
        <f>IF(A3576="","",IFERROR(LOOKUP(2,1/(#REF!=Z3576),#REF!),Y3576))</f>
        <v/>
      </c>
      <c r="Z3576" t="str">
        <f>IF(A3576="","",TEXT(A3576,"0")&amp;"|"&amp;TEXT(H3576,"0"))</f>
        <v/>
      </c>
      <c r="AA3576" t="str">
        <f>IF(Z3576="","",IFERROR(LOOKUP(2,1/(#REF!=Z3576),#REF!),""))</f>
        <v/>
      </c>
      <c r="AB3576" t="str">
        <f>IF(Z3576="","",IFERROR(LOOKUP(2,1/(#REF!=Z3576),#REF!),""))</f>
        <v/>
      </c>
      <c r="AC3576" t="str">
        <f>IF(Z3576="","",COUNTIF(#REF!,Z3576))</f>
        <v/>
      </c>
      <c r="AD3576" t="str">
        <f>IF(A3576="","",IF(AC3576&gt;1,"REVISAR DUPLICADO",IF(AA3576&lt;&gt;"","ACTUALIZADO POR EYR","SIN REPORTE EYR")))</f>
        <v/>
      </c>
    </row>
    <row r="3577" spans="11:30" x14ac:dyDescent="0.3">
      <c r="K3577" s="1" t="str">
        <f ca="1">IF(A3577="","",IF(OR(L3577="ENTREGADA",L3577="RETORNADA",L3577="ENTREGA DIGITAL"),0,MAX(0,5-NETWORKDAYS(H3577+1,TODAY()))))</f>
        <v/>
      </c>
      <c r="L3577" t="str">
        <f>IF(A3577="","",IFERROR(LOOKUP(2,1/(#REF!=Z3577),#REF!),Y3577))</f>
        <v/>
      </c>
      <c r="Z3577" t="str">
        <f>IF(A3577="","",TEXT(A3577,"0")&amp;"|"&amp;TEXT(H3577,"0"))</f>
        <v/>
      </c>
      <c r="AA3577" t="str">
        <f>IF(Z3577="","",IFERROR(LOOKUP(2,1/(#REF!=Z3577),#REF!),""))</f>
        <v/>
      </c>
      <c r="AB3577" t="str">
        <f>IF(Z3577="","",IFERROR(LOOKUP(2,1/(#REF!=Z3577),#REF!),""))</f>
        <v/>
      </c>
      <c r="AC3577" t="str">
        <f>IF(Z3577="","",COUNTIF(#REF!,Z3577))</f>
        <v/>
      </c>
      <c r="AD3577" t="str">
        <f>IF(A3577="","",IF(AC3577&gt;1,"REVISAR DUPLICADO",IF(AA3577&lt;&gt;"","ACTUALIZADO POR EYR","SIN REPORTE EYR")))</f>
        <v/>
      </c>
    </row>
    <row r="3578" spans="11:30" x14ac:dyDescent="0.3">
      <c r="K3578" s="1" t="str">
        <f ca="1">IF(A3578="","",IF(OR(L3578="ENTREGADA",L3578="RETORNADA",L3578="ENTREGA DIGITAL"),0,MAX(0,5-NETWORKDAYS(H3578+1,TODAY()))))</f>
        <v/>
      </c>
      <c r="L3578" t="str">
        <f>IF(A3578="","",IFERROR(LOOKUP(2,1/(#REF!=Z3578),#REF!),Y3578))</f>
        <v/>
      </c>
      <c r="Z3578" t="str">
        <f>IF(A3578="","",TEXT(A3578,"0")&amp;"|"&amp;TEXT(H3578,"0"))</f>
        <v/>
      </c>
      <c r="AA3578" t="str">
        <f>IF(Z3578="","",IFERROR(LOOKUP(2,1/(#REF!=Z3578),#REF!),""))</f>
        <v/>
      </c>
      <c r="AB3578" t="str">
        <f>IF(Z3578="","",IFERROR(LOOKUP(2,1/(#REF!=Z3578),#REF!),""))</f>
        <v/>
      </c>
      <c r="AC3578" t="str">
        <f>IF(Z3578="","",COUNTIF(#REF!,Z3578))</f>
        <v/>
      </c>
      <c r="AD3578" t="str">
        <f>IF(A3578="","",IF(AC3578&gt;1,"REVISAR DUPLICADO",IF(AA3578&lt;&gt;"","ACTUALIZADO POR EYR","SIN REPORTE EYR")))</f>
        <v/>
      </c>
    </row>
    <row r="3579" spans="11:30" x14ac:dyDescent="0.3">
      <c r="K3579" s="1" t="str">
        <f ca="1">IF(A3579="","",IF(OR(L3579="ENTREGADA",L3579="RETORNADA",L3579="ENTREGA DIGITAL"),0,MAX(0,5-NETWORKDAYS(H3579+1,TODAY()))))</f>
        <v/>
      </c>
      <c r="L3579" t="str">
        <f>IF(A3579="","",IFERROR(LOOKUP(2,1/(#REF!=Z3579),#REF!),Y3579))</f>
        <v/>
      </c>
      <c r="Z3579" t="str">
        <f>IF(A3579="","",TEXT(A3579,"0")&amp;"|"&amp;TEXT(H3579,"0"))</f>
        <v/>
      </c>
      <c r="AA3579" t="str">
        <f>IF(Z3579="","",IFERROR(LOOKUP(2,1/(#REF!=Z3579),#REF!),""))</f>
        <v/>
      </c>
      <c r="AB3579" t="str">
        <f>IF(Z3579="","",IFERROR(LOOKUP(2,1/(#REF!=Z3579),#REF!),""))</f>
        <v/>
      </c>
      <c r="AC3579" t="str">
        <f>IF(Z3579="","",COUNTIF(#REF!,Z3579))</f>
        <v/>
      </c>
      <c r="AD3579" t="str">
        <f>IF(A3579="","",IF(AC3579&gt;1,"REVISAR DUPLICADO",IF(AA3579&lt;&gt;"","ACTUALIZADO POR EYR","SIN REPORTE EYR")))</f>
        <v/>
      </c>
    </row>
    <row r="3580" spans="11:30" x14ac:dyDescent="0.3">
      <c r="K3580" s="1" t="str">
        <f ca="1">IF(A3580="","",IF(OR(L3580="ENTREGADA",L3580="RETORNADA",L3580="ENTREGA DIGITAL"),0,MAX(0,5-NETWORKDAYS(H3580+1,TODAY()))))</f>
        <v/>
      </c>
      <c r="L3580" t="str">
        <f>IF(A3580="","",IFERROR(LOOKUP(2,1/(#REF!=Z3580),#REF!),Y3580))</f>
        <v/>
      </c>
      <c r="Z3580" t="str">
        <f>IF(A3580="","",TEXT(A3580,"0")&amp;"|"&amp;TEXT(H3580,"0"))</f>
        <v/>
      </c>
      <c r="AA3580" t="str">
        <f>IF(Z3580="","",IFERROR(LOOKUP(2,1/(#REF!=Z3580),#REF!),""))</f>
        <v/>
      </c>
      <c r="AB3580" t="str">
        <f>IF(Z3580="","",IFERROR(LOOKUP(2,1/(#REF!=Z3580),#REF!),""))</f>
        <v/>
      </c>
      <c r="AC3580" t="str">
        <f>IF(Z3580="","",COUNTIF(#REF!,Z3580))</f>
        <v/>
      </c>
      <c r="AD3580" t="str">
        <f>IF(A3580="","",IF(AC3580&gt;1,"REVISAR DUPLICADO",IF(AA3580&lt;&gt;"","ACTUALIZADO POR EYR","SIN REPORTE EYR")))</f>
        <v/>
      </c>
    </row>
    <row r="3581" spans="11:30" x14ac:dyDescent="0.3">
      <c r="K3581" s="1" t="str">
        <f ca="1">IF(A3581="","",IF(OR(L3581="ENTREGADA",L3581="RETORNADA",L3581="ENTREGA DIGITAL"),0,MAX(0,5-NETWORKDAYS(H3581+1,TODAY()))))</f>
        <v/>
      </c>
      <c r="L3581" t="str">
        <f>IF(A3581="","",IFERROR(LOOKUP(2,1/(#REF!=Z3581),#REF!),Y3581))</f>
        <v/>
      </c>
      <c r="Z3581" t="str">
        <f>IF(A3581="","",TEXT(A3581,"0")&amp;"|"&amp;TEXT(H3581,"0"))</f>
        <v/>
      </c>
      <c r="AA3581" t="str">
        <f>IF(Z3581="","",IFERROR(LOOKUP(2,1/(#REF!=Z3581),#REF!),""))</f>
        <v/>
      </c>
      <c r="AB3581" t="str">
        <f>IF(Z3581="","",IFERROR(LOOKUP(2,1/(#REF!=Z3581),#REF!),""))</f>
        <v/>
      </c>
      <c r="AC3581" t="str">
        <f>IF(Z3581="","",COUNTIF(#REF!,Z3581))</f>
        <v/>
      </c>
      <c r="AD3581" t="str">
        <f>IF(A3581="","",IF(AC3581&gt;1,"REVISAR DUPLICADO",IF(AA3581&lt;&gt;"","ACTUALIZADO POR EYR","SIN REPORTE EYR")))</f>
        <v/>
      </c>
    </row>
    <row r="3582" spans="11:30" x14ac:dyDescent="0.3">
      <c r="K3582" s="1" t="str">
        <f ca="1">IF(A3582="","",IF(OR(L3582="ENTREGADA",L3582="RETORNADA",L3582="ENTREGA DIGITAL"),0,MAX(0,5-NETWORKDAYS(H3582+1,TODAY()))))</f>
        <v/>
      </c>
      <c r="L3582" t="str">
        <f>IF(A3582="","",IFERROR(LOOKUP(2,1/(#REF!=Z3582),#REF!),Y3582))</f>
        <v/>
      </c>
      <c r="Z3582" t="str">
        <f>IF(A3582="","",TEXT(A3582,"0")&amp;"|"&amp;TEXT(H3582,"0"))</f>
        <v/>
      </c>
      <c r="AA3582" t="str">
        <f>IF(Z3582="","",IFERROR(LOOKUP(2,1/(#REF!=Z3582),#REF!),""))</f>
        <v/>
      </c>
      <c r="AB3582" t="str">
        <f>IF(Z3582="","",IFERROR(LOOKUP(2,1/(#REF!=Z3582),#REF!),""))</f>
        <v/>
      </c>
      <c r="AC3582" t="str">
        <f>IF(Z3582="","",COUNTIF(#REF!,Z3582))</f>
        <v/>
      </c>
      <c r="AD3582" t="str">
        <f>IF(A3582="","",IF(AC3582&gt;1,"REVISAR DUPLICADO",IF(AA3582&lt;&gt;"","ACTUALIZADO POR EYR","SIN REPORTE EYR")))</f>
        <v/>
      </c>
    </row>
    <row r="3583" spans="11:30" x14ac:dyDescent="0.3">
      <c r="K3583" s="1" t="str">
        <f ca="1">IF(A3583="","",IF(OR(L3583="ENTREGADA",L3583="RETORNADA",L3583="ENTREGA DIGITAL"),0,MAX(0,5-NETWORKDAYS(H3583+1,TODAY()))))</f>
        <v/>
      </c>
      <c r="L3583" t="str">
        <f>IF(A3583="","",IFERROR(LOOKUP(2,1/(#REF!=Z3583),#REF!),Y3583))</f>
        <v/>
      </c>
      <c r="Z3583" t="str">
        <f>IF(A3583="","",TEXT(A3583,"0")&amp;"|"&amp;TEXT(H3583,"0"))</f>
        <v/>
      </c>
      <c r="AA3583" t="str">
        <f>IF(Z3583="","",IFERROR(LOOKUP(2,1/(#REF!=Z3583),#REF!),""))</f>
        <v/>
      </c>
      <c r="AB3583" t="str">
        <f>IF(Z3583="","",IFERROR(LOOKUP(2,1/(#REF!=Z3583),#REF!),""))</f>
        <v/>
      </c>
      <c r="AC3583" t="str">
        <f>IF(Z3583="","",COUNTIF(#REF!,Z3583))</f>
        <v/>
      </c>
      <c r="AD3583" t="str">
        <f>IF(A3583="","",IF(AC3583&gt;1,"REVISAR DUPLICADO",IF(AA3583&lt;&gt;"","ACTUALIZADO POR EYR","SIN REPORTE EYR")))</f>
        <v/>
      </c>
    </row>
    <row r="3584" spans="11:30" x14ac:dyDescent="0.3">
      <c r="K3584" s="1" t="str">
        <f ca="1">IF(A3584="","",IF(OR(L3584="ENTREGADA",L3584="RETORNADA",L3584="ENTREGA DIGITAL"),0,MAX(0,5-NETWORKDAYS(H3584+1,TODAY()))))</f>
        <v/>
      </c>
      <c r="L3584" t="str">
        <f>IF(A3584="","",IFERROR(LOOKUP(2,1/(#REF!=Z3584),#REF!),Y3584))</f>
        <v/>
      </c>
      <c r="Z3584" t="str">
        <f>IF(A3584="","",TEXT(A3584,"0")&amp;"|"&amp;TEXT(H3584,"0"))</f>
        <v/>
      </c>
      <c r="AA3584" t="str">
        <f>IF(Z3584="","",IFERROR(LOOKUP(2,1/(#REF!=Z3584),#REF!),""))</f>
        <v/>
      </c>
      <c r="AB3584" t="str">
        <f>IF(Z3584="","",IFERROR(LOOKUP(2,1/(#REF!=Z3584),#REF!),""))</f>
        <v/>
      </c>
      <c r="AC3584" t="str">
        <f>IF(Z3584="","",COUNTIF(#REF!,Z3584))</f>
        <v/>
      </c>
      <c r="AD3584" t="str">
        <f>IF(A3584="","",IF(AC3584&gt;1,"REVISAR DUPLICADO",IF(AA3584&lt;&gt;"","ACTUALIZADO POR EYR","SIN REPORTE EYR")))</f>
        <v/>
      </c>
    </row>
    <row r="3585" spans="11:30" x14ac:dyDescent="0.3">
      <c r="K3585" s="1" t="str">
        <f ca="1">IF(A3585="","",IF(OR(L3585="ENTREGADA",L3585="RETORNADA",L3585="ENTREGA DIGITAL"),0,MAX(0,5-NETWORKDAYS(H3585+1,TODAY()))))</f>
        <v/>
      </c>
      <c r="L3585" t="str">
        <f>IF(A3585="","",IFERROR(LOOKUP(2,1/(#REF!=Z3585),#REF!),Y3585))</f>
        <v/>
      </c>
      <c r="Z3585" t="str">
        <f>IF(A3585="","",TEXT(A3585,"0")&amp;"|"&amp;TEXT(H3585,"0"))</f>
        <v/>
      </c>
      <c r="AA3585" t="str">
        <f>IF(Z3585="","",IFERROR(LOOKUP(2,1/(#REF!=Z3585),#REF!),""))</f>
        <v/>
      </c>
      <c r="AB3585" t="str">
        <f>IF(Z3585="","",IFERROR(LOOKUP(2,1/(#REF!=Z3585),#REF!),""))</f>
        <v/>
      </c>
      <c r="AC3585" t="str">
        <f>IF(Z3585="","",COUNTIF(#REF!,Z3585))</f>
        <v/>
      </c>
      <c r="AD3585" t="str">
        <f>IF(A3585="","",IF(AC3585&gt;1,"REVISAR DUPLICADO",IF(AA3585&lt;&gt;"","ACTUALIZADO POR EYR","SIN REPORTE EYR")))</f>
        <v/>
      </c>
    </row>
    <row r="3586" spans="11:30" x14ac:dyDescent="0.3">
      <c r="K3586" s="1" t="str">
        <f ca="1">IF(A3586="","",IF(OR(L3586="ENTREGADA",L3586="RETORNADA",L3586="ENTREGA DIGITAL"),0,MAX(0,5-NETWORKDAYS(H3586+1,TODAY()))))</f>
        <v/>
      </c>
      <c r="L3586" t="str">
        <f>IF(A3586="","",IFERROR(LOOKUP(2,1/(#REF!=Z3586),#REF!),Y3586))</f>
        <v/>
      </c>
      <c r="Z3586" t="str">
        <f>IF(A3586="","",TEXT(A3586,"0")&amp;"|"&amp;TEXT(H3586,"0"))</f>
        <v/>
      </c>
      <c r="AA3586" t="str">
        <f>IF(Z3586="","",IFERROR(LOOKUP(2,1/(#REF!=Z3586),#REF!),""))</f>
        <v/>
      </c>
      <c r="AB3586" t="str">
        <f>IF(Z3586="","",IFERROR(LOOKUP(2,1/(#REF!=Z3586),#REF!),""))</f>
        <v/>
      </c>
      <c r="AC3586" t="str">
        <f>IF(Z3586="","",COUNTIF(#REF!,Z3586))</f>
        <v/>
      </c>
      <c r="AD3586" t="str">
        <f>IF(A3586="","",IF(AC3586&gt;1,"REVISAR DUPLICADO",IF(AA3586&lt;&gt;"","ACTUALIZADO POR EYR","SIN REPORTE EYR")))</f>
        <v/>
      </c>
    </row>
    <row r="3587" spans="11:30" x14ac:dyDescent="0.3">
      <c r="K3587" s="1" t="str">
        <f ca="1">IF(A3587="","",IF(OR(L3587="ENTREGADA",L3587="RETORNADA",L3587="ENTREGA DIGITAL"),0,MAX(0,5-NETWORKDAYS(H3587+1,TODAY()))))</f>
        <v/>
      </c>
      <c r="L3587" t="str">
        <f>IF(A3587="","",IFERROR(LOOKUP(2,1/(#REF!=Z3587),#REF!),Y3587))</f>
        <v/>
      </c>
      <c r="Z3587" t="str">
        <f>IF(A3587="","",TEXT(A3587,"0")&amp;"|"&amp;TEXT(H3587,"0"))</f>
        <v/>
      </c>
      <c r="AA3587" t="str">
        <f>IF(Z3587="","",IFERROR(LOOKUP(2,1/(#REF!=Z3587),#REF!),""))</f>
        <v/>
      </c>
      <c r="AB3587" t="str">
        <f>IF(Z3587="","",IFERROR(LOOKUP(2,1/(#REF!=Z3587),#REF!),""))</f>
        <v/>
      </c>
      <c r="AC3587" t="str">
        <f>IF(Z3587="","",COUNTIF(#REF!,Z3587))</f>
        <v/>
      </c>
      <c r="AD3587" t="str">
        <f>IF(A3587="","",IF(AC3587&gt;1,"REVISAR DUPLICADO",IF(AA3587&lt;&gt;"","ACTUALIZADO POR EYR","SIN REPORTE EYR")))</f>
        <v/>
      </c>
    </row>
    <row r="3588" spans="11:30" x14ac:dyDescent="0.3">
      <c r="K3588" s="1" t="str">
        <f ca="1">IF(A3588="","",IF(OR(L3588="ENTREGADA",L3588="RETORNADA",L3588="ENTREGA DIGITAL"),0,MAX(0,5-NETWORKDAYS(H3588+1,TODAY()))))</f>
        <v/>
      </c>
      <c r="L3588" t="str">
        <f>IF(A3588="","",IFERROR(LOOKUP(2,1/(#REF!=Z3588),#REF!),Y3588))</f>
        <v/>
      </c>
      <c r="Z3588" t="str">
        <f>IF(A3588="","",TEXT(A3588,"0")&amp;"|"&amp;TEXT(H3588,"0"))</f>
        <v/>
      </c>
      <c r="AA3588" t="str">
        <f>IF(Z3588="","",IFERROR(LOOKUP(2,1/(#REF!=Z3588),#REF!),""))</f>
        <v/>
      </c>
      <c r="AB3588" t="str">
        <f>IF(Z3588="","",IFERROR(LOOKUP(2,1/(#REF!=Z3588),#REF!),""))</f>
        <v/>
      </c>
      <c r="AC3588" t="str">
        <f>IF(Z3588="","",COUNTIF(#REF!,Z3588))</f>
        <v/>
      </c>
      <c r="AD3588" t="str">
        <f>IF(A3588="","",IF(AC3588&gt;1,"REVISAR DUPLICADO",IF(AA3588&lt;&gt;"","ACTUALIZADO POR EYR","SIN REPORTE EYR")))</f>
        <v/>
      </c>
    </row>
    <row r="3589" spans="11:30" x14ac:dyDescent="0.3">
      <c r="K3589" s="1" t="str">
        <f ca="1">IF(A3589="","",IF(OR(L3589="ENTREGADA",L3589="RETORNADA",L3589="ENTREGA DIGITAL"),0,MAX(0,5-NETWORKDAYS(H3589+1,TODAY()))))</f>
        <v/>
      </c>
      <c r="L3589" t="str">
        <f>IF(A3589="","",IFERROR(LOOKUP(2,1/(#REF!=Z3589),#REF!),Y3589))</f>
        <v/>
      </c>
      <c r="Z3589" t="str">
        <f>IF(A3589="","",TEXT(A3589,"0")&amp;"|"&amp;TEXT(H3589,"0"))</f>
        <v/>
      </c>
      <c r="AA3589" t="str">
        <f>IF(Z3589="","",IFERROR(LOOKUP(2,1/(#REF!=Z3589),#REF!),""))</f>
        <v/>
      </c>
      <c r="AB3589" t="str">
        <f>IF(Z3589="","",IFERROR(LOOKUP(2,1/(#REF!=Z3589),#REF!),""))</f>
        <v/>
      </c>
      <c r="AC3589" t="str">
        <f>IF(Z3589="","",COUNTIF(#REF!,Z3589))</f>
        <v/>
      </c>
      <c r="AD3589" t="str">
        <f>IF(A3589="","",IF(AC3589&gt;1,"REVISAR DUPLICADO",IF(AA3589&lt;&gt;"","ACTUALIZADO POR EYR","SIN REPORTE EYR")))</f>
        <v/>
      </c>
    </row>
    <row r="3590" spans="11:30" x14ac:dyDescent="0.3">
      <c r="K3590" s="1" t="str">
        <f ca="1">IF(A3590="","",IF(OR(L3590="ENTREGADA",L3590="RETORNADA",L3590="ENTREGA DIGITAL"),0,MAX(0,5-NETWORKDAYS(H3590+1,TODAY()))))</f>
        <v/>
      </c>
      <c r="L3590" t="str">
        <f>IF(A3590="","",IFERROR(LOOKUP(2,1/(#REF!=Z3590),#REF!),Y3590))</f>
        <v/>
      </c>
      <c r="Z3590" t="str">
        <f>IF(A3590="","",TEXT(A3590,"0")&amp;"|"&amp;TEXT(H3590,"0"))</f>
        <v/>
      </c>
      <c r="AA3590" t="str">
        <f>IF(Z3590="","",IFERROR(LOOKUP(2,1/(#REF!=Z3590),#REF!),""))</f>
        <v/>
      </c>
      <c r="AB3590" t="str">
        <f>IF(Z3590="","",IFERROR(LOOKUP(2,1/(#REF!=Z3590),#REF!),""))</f>
        <v/>
      </c>
      <c r="AC3590" t="str">
        <f>IF(Z3590="","",COUNTIF(#REF!,Z3590))</f>
        <v/>
      </c>
      <c r="AD3590" t="str">
        <f>IF(A3590="","",IF(AC3590&gt;1,"REVISAR DUPLICADO",IF(AA3590&lt;&gt;"","ACTUALIZADO POR EYR","SIN REPORTE EYR")))</f>
        <v/>
      </c>
    </row>
    <row r="3591" spans="11:30" x14ac:dyDescent="0.3">
      <c r="K3591" s="1" t="str">
        <f ca="1">IF(A3591="","",IF(OR(L3591="ENTREGADA",L3591="RETORNADA",L3591="ENTREGA DIGITAL"),0,MAX(0,5-NETWORKDAYS(H3591+1,TODAY()))))</f>
        <v/>
      </c>
      <c r="L3591" t="str">
        <f>IF(A3591="","",IFERROR(LOOKUP(2,1/(#REF!=Z3591),#REF!),Y3591))</f>
        <v/>
      </c>
      <c r="Z3591" t="str">
        <f>IF(A3591="","",TEXT(A3591,"0")&amp;"|"&amp;TEXT(H3591,"0"))</f>
        <v/>
      </c>
      <c r="AA3591" t="str">
        <f>IF(Z3591="","",IFERROR(LOOKUP(2,1/(#REF!=Z3591),#REF!),""))</f>
        <v/>
      </c>
      <c r="AB3591" t="str">
        <f>IF(Z3591="","",IFERROR(LOOKUP(2,1/(#REF!=Z3591),#REF!),""))</f>
        <v/>
      </c>
      <c r="AC3591" t="str">
        <f>IF(Z3591="","",COUNTIF(#REF!,Z3591))</f>
        <v/>
      </c>
      <c r="AD3591" t="str">
        <f>IF(A3591="","",IF(AC3591&gt;1,"REVISAR DUPLICADO",IF(AA3591&lt;&gt;"","ACTUALIZADO POR EYR","SIN REPORTE EYR")))</f>
        <v/>
      </c>
    </row>
    <row r="3592" spans="11:30" x14ac:dyDescent="0.3">
      <c r="K3592" s="1" t="str">
        <f ca="1">IF(A3592="","",IF(OR(L3592="ENTREGADA",L3592="RETORNADA",L3592="ENTREGA DIGITAL"),0,MAX(0,5-NETWORKDAYS(H3592+1,TODAY()))))</f>
        <v/>
      </c>
      <c r="L3592" t="str">
        <f>IF(A3592="","",IFERROR(LOOKUP(2,1/(#REF!=Z3592),#REF!),Y3592))</f>
        <v/>
      </c>
      <c r="Z3592" t="str">
        <f>IF(A3592="","",TEXT(A3592,"0")&amp;"|"&amp;TEXT(H3592,"0"))</f>
        <v/>
      </c>
      <c r="AA3592" t="str">
        <f>IF(Z3592="","",IFERROR(LOOKUP(2,1/(#REF!=Z3592),#REF!),""))</f>
        <v/>
      </c>
      <c r="AB3592" t="str">
        <f>IF(Z3592="","",IFERROR(LOOKUP(2,1/(#REF!=Z3592),#REF!),""))</f>
        <v/>
      </c>
      <c r="AC3592" t="str">
        <f>IF(Z3592="","",COUNTIF(#REF!,Z3592))</f>
        <v/>
      </c>
      <c r="AD3592" t="str">
        <f>IF(A3592="","",IF(AC3592&gt;1,"REVISAR DUPLICADO",IF(AA3592&lt;&gt;"","ACTUALIZADO POR EYR","SIN REPORTE EYR")))</f>
        <v/>
      </c>
    </row>
    <row r="3593" spans="11:30" x14ac:dyDescent="0.3">
      <c r="K3593" s="1" t="str">
        <f ca="1">IF(A3593="","",IF(OR(L3593="ENTREGADA",L3593="RETORNADA",L3593="ENTREGA DIGITAL"),0,MAX(0,5-NETWORKDAYS(H3593+1,TODAY()))))</f>
        <v/>
      </c>
      <c r="L3593" t="str">
        <f>IF(A3593="","",IFERROR(LOOKUP(2,1/(#REF!=Z3593),#REF!),Y3593))</f>
        <v/>
      </c>
      <c r="Z3593" t="str">
        <f>IF(A3593="","",TEXT(A3593,"0")&amp;"|"&amp;TEXT(H3593,"0"))</f>
        <v/>
      </c>
      <c r="AA3593" t="str">
        <f>IF(Z3593="","",IFERROR(LOOKUP(2,1/(#REF!=Z3593),#REF!),""))</f>
        <v/>
      </c>
      <c r="AB3593" t="str">
        <f>IF(Z3593="","",IFERROR(LOOKUP(2,1/(#REF!=Z3593),#REF!),""))</f>
        <v/>
      </c>
      <c r="AC3593" t="str">
        <f>IF(Z3593="","",COUNTIF(#REF!,Z3593))</f>
        <v/>
      </c>
      <c r="AD3593" t="str">
        <f>IF(A3593="","",IF(AC3593&gt;1,"REVISAR DUPLICADO",IF(AA3593&lt;&gt;"","ACTUALIZADO POR EYR","SIN REPORTE EYR")))</f>
        <v/>
      </c>
    </row>
    <row r="3594" spans="11:30" x14ac:dyDescent="0.3">
      <c r="K3594" s="1" t="str">
        <f ca="1">IF(A3594="","",IF(OR(L3594="ENTREGADA",L3594="RETORNADA",L3594="ENTREGA DIGITAL"),0,MAX(0,5-NETWORKDAYS(H3594+1,TODAY()))))</f>
        <v/>
      </c>
      <c r="L3594" t="str">
        <f>IF(A3594="","",IFERROR(LOOKUP(2,1/(#REF!=Z3594),#REF!),Y3594))</f>
        <v/>
      </c>
      <c r="Z3594" t="str">
        <f>IF(A3594="","",TEXT(A3594,"0")&amp;"|"&amp;TEXT(H3594,"0"))</f>
        <v/>
      </c>
      <c r="AA3594" t="str">
        <f>IF(Z3594="","",IFERROR(LOOKUP(2,1/(#REF!=Z3594),#REF!),""))</f>
        <v/>
      </c>
      <c r="AB3594" t="str">
        <f>IF(Z3594="","",IFERROR(LOOKUP(2,1/(#REF!=Z3594),#REF!),""))</f>
        <v/>
      </c>
      <c r="AC3594" t="str">
        <f>IF(Z3594="","",COUNTIF(#REF!,Z3594))</f>
        <v/>
      </c>
      <c r="AD3594" t="str">
        <f>IF(A3594="","",IF(AC3594&gt;1,"REVISAR DUPLICADO",IF(AA3594&lt;&gt;"","ACTUALIZADO POR EYR","SIN REPORTE EYR")))</f>
        <v/>
      </c>
    </row>
    <row r="3595" spans="11:30" x14ac:dyDescent="0.3">
      <c r="K3595" s="1" t="str">
        <f ca="1">IF(A3595="","",IF(OR(L3595="ENTREGADA",L3595="RETORNADA",L3595="ENTREGA DIGITAL"),0,MAX(0,5-NETWORKDAYS(H3595+1,TODAY()))))</f>
        <v/>
      </c>
      <c r="L3595" t="str">
        <f>IF(A3595="","",IFERROR(LOOKUP(2,1/(#REF!=Z3595),#REF!),Y3595))</f>
        <v/>
      </c>
      <c r="Z3595" t="str">
        <f>IF(A3595="","",TEXT(A3595,"0")&amp;"|"&amp;TEXT(H3595,"0"))</f>
        <v/>
      </c>
      <c r="AA3595" t="str">
        <f>IF(Z3595="","",IFERROR(LOOKUP(2,1/(#REF!=Z3595),#REF!),""))</f>
        <v/>
      </c>
      <c r="AB3595" t="str">
        <f>IF(Z3595="","",IFERROR(LOOKUP(2,1/(#REF!=Z3595),#REF!),""))</f>
        <v/>
      </c>
      <c r="AC3595" t="str">
        <f>IF(Z3595="","",COUNTIF(#REF!,Z3595))</f>
        <v/>
      </c>
      <c r="AD3595" t="str">
        <f>IF(A3595="","",IF(AC3595&gt;1,"REVISAR DUPLICADO",IF(AA3595&lt;&gt;"","ACTUALIZADO POR EYR","SIN REPORTE EYR")))</f>
        <v/>
      </c>
    </row>
    <row r="3596" spans="11:30" x14ac:dyDescent="0.3">
      <c r="K3596" s="1" t="str">
        <f ca="1">IF(A3596="","",IF(OR(L3596="ENTREGADA",L3596="RETORNADA",L3596="ENTREGA DIGITAL"),0,MAX(0,5-NETWORKDAYS(H3596+1,TODAY()))))</f>
        <v/>
      </c>
      <c r="L3596" t="str">
        <f>IF(A3596="","",IFERROR(LOOKUP(2,1/(#REF!=Z3596),#REF!),Y3596))</f>
        <v/>
      </c>
      <c r="Z3596" t="str">
        <f>IF(A3596="","",TEXT(A3596,"0")&amp;"|"&amp;TEXT(H3596,"0"))</f>
        <v/>
      </c>
      <c r="AA3596" t="str">
        <f>IF(Z3596="","",IFERROR(LOOKUP(2,1/(#REF!=Z3596),#REF!),""))</f>
        <v/>
      </c>
      <c r="AB3596" t="str">
        <f>IF(Z3596="","",IFERROR(LOOKUP(2,1/(#REF!=Z3596),#REF!),""))</f>
        <v/>
      </c>
      <c r="AC3596" t="str">
        <f>IF(Z3596="","",COUNTIF(#REF!,Z3596))</f>
        <v/>
      </c>
      <c r="AD3596" t="str">
        <f>IF(A3596="","",IF(AC3596&gt;1,"REVISAR DUPLICADO",IF(AA3596&lt;&gt;"","ACTUALIZADO POR EYR","SIN REPORTE EYR")))</f>
        <v/>
      </c>
    </row>
    <row r="3597" spans="11:30" x14ac:dyDescent="0.3">
      <c r="K3597" s="1" t="str">
        <f ca="1">IF(A3597="","",IF(OR(L3597="ENTREGADA",L3597="RETORNADA",L3597="ENTREGA DIGITAL"),0,MAX(0,5-NETWORKDAYS(H3597+1,TODAY()))))</f>
        <v/>
      </c>
      <c r="L3597" t="str">
        <f>IF(A3597="","",IFERROR(LOOKUP(2,1/(#REF!=Z3597),#REF!),Y3597))</f>
        <v/>
      </c>
      <c r="Z3597" t="str">
        <f>IF(A3597="","",TEXT(A3597,"0")&amp;"|"&amp;TEXT(H3597,"0"))</f>
        <v/>
      </c>
      <c r="AA3597" t="str">
        <f>IF(Z3597="","",IFERROR(LOOKUP(2,1/(#REF!=Z3597),#REF!),""))</f>
        <v/>
      </c>
      <c r="AB3597" t="str">
        <f>IF(Z3597="","",IFERROR(LOOKUP(2,1/(#REF!=Z3597),#REF!),""))</f>
        <v/>
      </c>
      <c r="AC3597" t="str">
        <f>IF(Z3597="","",COUNTIF(#REF!,Z3597))</f>
        <v/>
      </c>
      <c r="AD3597" t="str">
        <f>IF(A3597="","",IF(AC3597&gt;1,"REVISAR DUPLICADO",IF(AA3597&lt;&gt;"","ACTUALIZADO POR EYR","SIN REPORTE EYR")))</f>
        <v/>
      </c>
    </row>
    <row r="3598" spans="11:30" x14ac:dyDescent="0.3">
      <c r="K3598" s="1" t="str">
        <f ca="1">IF(A3598="","",IF(OR(L3598="ENTREGADA",L3598="RETORNADA",L3598="ENTREGA DIGITAL"),0,MAX(0,5-NETWORKDAYS(H3598+1,TODAY()))))</f>
        <v/>
      </c>
      <c r="L3598" t="str">
        <f>IF(A3598="","",IFERROR(LOOKUP(2,1/(#REF!=Z3598),#REF!),Y3598))</f>
        <v/>
      </c>
      <c r="Z3598" t="str">
        <f>IF(A3598="","",TEXT(A3598,"0")&amp;"|"&amp;TEXT(H3598,"0"))</f>
        <v/>
      </c>
      <c r="AA3598" t="str">
        <f>IF(Z3598="","",IFERROR(LOOKUP(2,1/(#REF!=Z3598),#REF!),""))</f>
        <v/>
      </c>
      <c r="AB3598" t="str">
        <f>IF(Z3598="","",IFERROR(LOOKUP(2,1/(#REF!=Z3598),#REF!),""))</f>
        <v/>
      </c>
      <c r="AC3598" t="str">
        <f>IF(Z3598="","",COUNTIF(#REF!,Z3598))</f>
        <v/>
      </c>
      <c r="AD3598" t="str">
        <f>IF(A3598="","",IF(AC3598&gt;1,"REVISAR DUPLICADO",IF(AA3598&lt;&gt;"","ACTUALIZADO POR EYR","SIN REPORTE EYR")))</f>
        <v/>
      </c>
    </row>
    <row r="3599" spans="11:30" x14ac:dyDescent="0.3">
      <c r="K3599" s="1" t="str">
        <f ca="1">IF(A3599="","",IF(OR(L3599="ENTREGADA",L3599="RETORNADA",L3599="ENTREGA DIGITAL"),0,MAX(0,5-NETWORKDAYS(H3599+1,TODAY()))))</f>
        <v/>
      </c>
      <c r="L3599" t="str">
        <f>IF(A3599="","",IFERROR(LOOKUP(2,1/(#REF!=Z3599),#REF!),Y3599))</f>
        <v/>
      </c>
      <c r="Z3599" t="str">
        <f>IF(A3599="","",TEXT(A3599,"0")&amp;"|"&amp;TEXT(H3599,"0"))</f>
        <v/>
      </c>
      <c r="AA3599" t="str">
        <f>IF(Z3599="","",IFERROR(LOOKUP(2,1/(#REF!=Z3599),#REF!),""))</f>
        <v/>
      </c>
      <c r="AB3599" t="str">
        <f>IF(Z3599="","",IFERROR(LOOKUP(2,1/(#REF!=Z3599),#REF!),""))</f>
        <v/>
      </c>
      <c r="AC3599" t="str">
        <f>IF(Z3599="","",COUNTIF(#REF!,Z3599))</f>
        <v/>
      </c>
      <c r="AD3599" t="str">
        <f>IF(A3599="","",IF(AC3599&gt;1,"REVISAR DUPLICADO",IF(AA3599&lt;&gt;"","ACTUALIZADO POR EYR","SIN REPORTE EYR")))</f>
        <v/>
      </c>
    </row>
    <row r="3600" spans="11:30" x14ac:dyDescent="0.3">
      <c r="K3600" s="1" t="str">
        <f ca="1">IF(A3600="","",IF(OR(L3600="ENTREGADA",L3600="RETORNADA",L3600="ENTREGA DIGITAL"),0,MAX(0,5-NETWORKDAYS(H3600+1,TODAY()))))</f>
        <v/>
      </c>
      <c r="L3600" t="str">
        <f>IF(A3600="","",IFERROR(LOOKUP(2,1/(#REF!=Z3600),#REF!),Y3600))</f>
        <v/>
      </c>
      <c r="Z3600" t="str">
        <f>IF(A3600="","",TEXT(A3600,"0")&amp;"|"&amp;TEXT(H3600,"0"))</f>
        <v/>
      </c>
      <c r="AA3600" t="str">
        <f>IF(Z3600="","",IFERROR(LOOKUP(2,1/(#REF!=Z3600),#REF!),""))</f>
        <v/>
      </c>
      <c r="AB3600" t="str">
        <f>IF(Z3600="","",IFERROR(LOOKUP(2,1/(#REF!=Z3600),#REF!),""))</f>
        <v/>
      </c>
      <c r="AC3600" t="str">
        <f>IF(Z3600="","",COUNTIF(#REF!,Z3600))</f>
        <v/>
      </c>
      <c r="AD3600" t="str">
        <f>IF(A3600="","",IF(AC3600&gt;1,"REVISAR DUPLICADO",IF(AA3600&lt;&gt;"","ACTUALIZADO POR EYR","SIN REPORTE EYR")))</f>
        <v/>
      </c>
    </row>
    <row r="3601" spans="11:30" x14ac:dyDescent="0.3">
      <c r="K3601" s="1" t="str">
        <f ca="1">IF(A3601="","",IF(OR(L3601="ENTREGADA",L3601="RETORNADA",L3601="ENTREGA DIGITAL"),0,MAX(0,5-NETWORKDAYS(H3601+1,TODAY()))))</f>
        <v/>
      </c>
      <c r="L3601" t="str">
        <f>IF(A3601="","",IFERROR(LOOKUP(2,1/(#REF!=Z3601),#REF!),Y3601))</f>
        <v/>
      </c>
      <c r="Z3601" t="str">
        <f>IF(A3601="","",TEXT(A3601,"0")&amp;"|"&amp;TEXT(H3601,"0"))</f>
        <v/>
      </c>
      <c r="AA3601" t="str">
        <f>IF(Z3601="","",IFERROR(LOOKUP(2,1/(#REF!=Z3601),#REF!),""))</f>
        <v/>
      </c>
      <c r="AB3601" t="str">
        <f>IF(Z3601="","",IFERROR(LOOKUP(2,1/(#REF!=Z3601),#REF!),""))</f>
        <v/>
      </c>
      <c r="AC3601" t="str">
        <f>IF(Z3601="","",COUNTIF(#REF!,Z3601))</f>
        <v/>
      </c>
      <c r="AD3601" t="str">
        <f>IF(A3601="","",IF(AC3601&gt;1,"REVISAR DUPLICADO",IF(AA3601&lt;&gt;"","ACTUALIZADO POR EYR","SIN REPORTE EYR")))</f>
        <v/>
      </c>
    </row>
    <row r="3602" spans="11:30" x14ac:dyDescent="0.3">
      <c r="K3602" s="1" t="str">
        <f ca="1">IF(A3602="","",IF(OR(L3602="ENTREGADA",L3602="RETORNADA",L3602="ENTREGA DIGITAL"),0,MAX(0,5-NETWORKDAYS(H3602+1,TODAY()))))</f>
        <v/>
      </c>
      <c r="L3602" t="str">
        <f>IF(A3602="","",IFERROR(LOOKUP(2,1/(#REF!=Z3602),#REF!),Y3602))</f>
        <v/>
      </c>
      <c r="Z3602" t="str">
        <f>IF(A3602="","",TEXT(A3602,"0")&amp;"|"&amp;TEXT(H3602,"0"))</f>
        <v/>
      </c>
      <c r="AA3602" t="str">
        <f>IF(Z3602="","",IFERROR(LOOKUP(2,1/(#REF!=Z3602),#REF!),""))</f>
        <v/>
      </c>
      <c r="AB3602" t="str">
        <f>IF(Z3602="","",IFERROR(LOOKUP(2,1/(#REF!=Z3602),#REF!),""))</f>
        <v/>
      </c>
      <c r="AC3602" t="str">
        <f>IF(Z3602="","",COUNTIF(#REF!,Z3602))</f>
        <v/>
      </c>
      <c r="AD3602" t="str">
        <f>IF(A3602="","",IF(AC3602&gt;1,"REVISAR DUPLICADO",IF(AA3602&lt;&gt;"","ACTUALIZADO POR EYR","SIN REPORTE EYR")))</f>
        <v/>
      </c>
    </row>
    <row r="3603" spans="11:30" x14ac:dyDescent="0.3">
      <c r="K3603" s="1" t="str">
        <f ca="1">IF(A3603="","",IF(OR(L3603="ENTREGADA",L3603="RETORNADA",L3603="ENTREGA DIGITAL"),0,MAX(0,5-NETWORKDAYS(H3603+1,TODAY()))))</f>
        <v/>
      </c>
      <c r="L3603" t="str">
        <f>IF(A3603="","",IFERROR(LOOKUP(2,1/(#REF!=Z3603),#REF!),Y3603))</f>
        <v/>
      </c>
      <c r="Z3603" t="str">
        <f>IF(A3603="","",TEXT(A3603,"0")&amp;"|"&amp;TEXT(H3603,"0"))</f>
        <v/>
      </c>
      <c r="AA3603" t="str">
        <f>IF(Z3603="","",IFERROR(LOOKUP(2,1/(#REF!=Z3603),#REF!),""))</f>
        <v/>
      </c>
      <c r="AB3603" t="str">
        <f>IF(Z3603="","",IFERROR(LOOKUP(2,1/(#REF!=Z3603),#REF!),""))</f>
        <v/>
      </c>
      <c r="AC3603" t="str">
        <f>IF(Z3603="","",COUNTIF(#REF!,Z3603))</f>
        <v/>
      </c>
      <c r="AD3603" t="str">
        <f>IF(A3603="","",IF(AC3603&gt;1,"REVISAR DUPLICADO",IF(AA3603&lt;&gt;"","ACTUALIZADO POR EYR","SIN REPORTE EYR")))</f>
        <v/>
      </c>
    </row>
    <row r="3604" spans="11:30" x14ac:dyDescent="0.3">
      <c r="K3604" s="1" t="str">
        <f ca="1">IF(A3604="","",IF(OR(L3604="ENTREGADA",L3604="RETORNADA",L3604="ENTREGA DIGITAL"),0,MAX(0,5-NETWORKDAYS(H3604+1,TODAY()))))</f>
        <v/>
      </c>
      <c r="L3604" t="str">
        <f>IF(A3604="","",IFERROR(LOOKUP(2,1/(#REF!=Z3604),#REF!),Y3604))</f>
        <v/>
      </c>
      <c r="Z3604" t="str">
        <f>IF(A3604="","",TEXT(A3604,"0")&amp;"|"&amp;TEXT(H3604,"0"))</f>
        <v/>
      </c>
      <c r="AA3604" t="str">
        <f>IF(Z3604="","",IFERROR(LOOKUP(2,1/(#REF!=Z3604),#REF!),""))</f>
        <v/>
      </c>
      <c r="AB3604" t="str">
        <f>IF(Z3604="","",IFERROR(LOOKUP(2,1/(#REF!=Z3604),#REF!),""))</f>
        <v/>
      </c>
      <c r="AC3604" t="str">
        <f>IF(Z3604="","",COUNTIF(#REF!,Z3604))</f>
        <v/>
      </c>
      <c r="AD3604" t="str">
        <f>IF(A3604="","",IF(AC3604&gt;1,"REVISAR DUPLICADO",IF(AA3604&lt;&gt;"","ACTUALIZADO POR EYR","SIN REPORTE EYR")))</f>
        <v/>
      </c>
    </row>
    <row r="3605" spans="11:30" x14ac:dyDescent="0.3">
      <c r="K3605" s="1" t="str">
        <f ca="1">IF(A3605="","",IF(OR(L3605="ENTREGADA",L3605="RETORNADA",L3605="ENTREGA DIGITAL"),0,MAX(0,5-NETWORKDAYS(H3605+1,TODAY()))))</f>
        <v/>
      </c>
      <c r="L3605" t="str">
        <f>IF(A3605="","",IFERROR(LOOKUP(2,1/(#REF!=Z3605),#REF!),Y3605))</f>
        <v/>
      </c>
      <c r="Z3605" t="str">
        <f>IF(A3605="","",TEXT(A3605,"0")&amp;"|"&amp;TEXT(H3605,"0"))</f>
        <v/>
      </c>
      <c r="AA3605" t="str">
        <f>IF(Z3605="","",IFERROR(LOOKUP(2,1/(#REF!=Z3605),#REF!),""))</f>
        <v/>
      </c>
      <c r="AB3605" t="str">
        <f>IF(Z3605="","",IFERROR(LOOKUP(2,1/(#REF!=Z3605),#REF!),""))</f>
        <v/>
      </c>
      <c r="AC3605" t="str">
        <f>IF(Z3605="","",COUNTIF(#REF!,Z3605))</f>
        <v/>
      </c>
      <c r="AD3605" t="str">
        <f>IF(A3605="","",IF(AC3605&gt;1,"REVISAR DUPLICADO",IF(AA3605&lt;&gt;"","ACTUALIZADO POR EYR","SIN REPORTE EYR")))</f>
        <v/>
      </c>
    </row>
    <row r="3606" spans="11:30" x14ac:dyDescent="0.3">
      <c r="K3606" s="1" t="str">
        <f ca="1">IF(A3606="","",IF(OR(L3606="ENTREGADA",L3606="RETORNADA",L3606="ENTREGA DIGITAL"),0,MAX(0,5-NETWORKDAYS(H3606+1,TODAY()))))</f>
        <v/>
      </c>
      <c r="L3606" t="str">
        <f>IF(A3606="","",IFERROR(LOOKUP(2,1/(#REF!=Z3606),#REF!),Y3606))</f>
        <v/>
      </c>
      <c r="Z3606" t="str">
        <f>IF(A3606="","",TEXT(A3606,"0")&amp;"|"&amp;TEXT(H3606,"0"))</f>
        <v/>
      </c>
      <c r="AA3606" t="str">
        <f>IF(Z3606="","",IFERROR(LOOKUP(2,1/(#REF!=Z3606),#REF!),""))</f>
        <v/>
      </c>
      <c r="AB3606" t="str">
        <f>IF(Z3606="","",IFERROR(LOOKUP(2,1/(#REF!=Z3606),#REF!),""))</f>
        <v/>
      </c>
      <c r="AC3606" t="str">
        <f>IF(Z3606="","",COUNTIF(#REF!,Z3606))</f>
        <v/>
      </c>
      <c r="AD3606" t="str">
        <f>IF(A3606="","",IF(AC3606&gt;1,"REVISAR DUPLICADO",IF(AA3606&lt;&gt;"","ACTUALIZADO POR EYR","SIN REPORTE EYR")))</f>
        <v/>
      </c>
    </row>
    <row r="3607" spans="11:30" x14ac:dyDescent="0.3">
      <c r="K3607" s="1" t="str">
        <f ca="1">IF(A3607="","",IF(OR(L3607="ENTREGADA",L3607="RETORNADA",L3607="ENTREGA DIGITAL"),0,MAX(0,5-NETWORKDAYS(H3607+1,TODAY()))))</f>
        <v/>
      </c>
      <c r="L3607" t="str">
        <f>IF(A3607="","",IFERROR(LOOKUP(2,1/(#REF!=Z3607),#REF!),Y3607))</f>
        <v/>
      </c>
      <c r="Z3607" t="str">
        <f>IF(A3607="","",TEXT(A3607,"0")&amp;"|"&amp;TEXT(H3607,"0"))</f>
        <v/>
      </c>
      <c r="AA3607" t="str">
        <f>IF(Z3607="","",IFERROR(LOOKUP(2,1/(#REF!=Z3607),#REF!),""))</f>
        <v/>
      </c>
      <c r="AB3607" t="str">
        <f>IF(Z3607="","",IFERROR(LOOKUP(2,1/(#REF!=Z3607),#REF!),""))</f>
        <v/>
      </c>
      <c r="AC3607" t="str">
        <f>IF(Z3607="","",COUNTIF(#REF!,Z3607))</f>
        <v/>
      </c>
      <c r="AD3607" t="str">
        <f>IF(A3607="","",IF(AC3607&gt;1,"REVISAR DUPLICADO",IF(AA3607&lt;&gt;"","ACTUALIZADO POR EYR","SIN REPORTE EYR")))</f>
        <v/>
      </c>
    </row>
    <row r="3608" spans="11:30" x14ac:dyDescent="0.3">
      <c r="K3608" s="1" t="str">
        <f ca="1">IF(A3608="","",IF(OR(L3608="ENTREGADA",L3608="RETORNADA",L3608="ENTREGA DIGITAL"),0,MAX(0,5-NETWORKDAYS(H3608+1,TODAY()))))</f>
        <v/>
      </c>
      <c r="L3608" t="str">
        <f>IF(A3608="","",IFERROR(LOOKUP(2,1/(#REF!=Z3608),#REF!),Y3608))</f>
        <v/>
      </c>
      <c r="Z3608" t="str">
        <f>IF(A3608="","",TEXT(A3608,"0")&amp;"|"&amp;TEXT(H3608,"0"))</f>
        <v/>
      </c>
      <c r="AA3608" t="str">
        <f>IF(Z3608="","",IFERROR(LOOKUP(2,1/(#REF!=Z3608),#REF!),""))</f>
        <v/>
      </c>
      <c r="AB3608" t="str">
        <f>IF(Z3608="","",IFERROR(LOOKUP(2,1/(#REF!=Z3608),#REF!),""))</f>
        <v/>
      </c>
      <c r="AC3608" t="str">
        <f>IF(Z3608="","",COUNTIF(#REF!,Z3608))</f>
        <v/>
      </c>
      <c r="AD3608" t="str">
        <f>IF(A3608="","",IF(AC3608&gt;1,"REVISAR DUPLICADO",IF(AA3608&lt;&gt;"","ACTUALIZADO POR EYR","SIN REPORTE EYR")))</f>
        <v/>
      </c>
    </row>
    <row r="3609" spans="11:30" x14ac:dyDescent="0.3">
      <c r="K3609" s="1" t="str">
        <f ca="1">IF(A3609="","",IF(OR(L3609="ENTREGADA",L3609="RETORNADA",L3609="ENTREGA DIGITAL"),0,MAX(0,5-NETWORKDAYS(H3609+1,TODAY()))))</f>
        <v/>
      </c>
      <c r="L3609" t="str">
        <f>IF(A3609="","",IFERROR(LOOKUP(2,1/(#REF!=Z3609),#REF!),Y3609))</f>
        <v/>
      </c>
      <c r="Z3609" t="str">
        <f>IF(A3609="","",TEXT(A3609,"0")&amp;"|"&amp;TEXT(H3609,"0"))</f>
        <v/>
      </c>
      <c r="AA3609" t="str">
        <f>IF(Z3609="","",IFERROR(LOOKUP(2,1/(#REF!=Z3609),#REF!),""))</f>
        <v/>
      </c>
      <c r="AB3609" t="str">
        <f>IF(Z3609="","",IFERROR(LOOKUP(2,1/(#REF!=Z3609),#REF!),""))</f>
        <v/>
      </c>
      <c r="AC3609" t="str">
        <f>IF(Z3609="","",COUNTIF(#REF!,Z3609))</f>
        <v/>
      </c>
      <c r="AD3609" t="str">
        <f>IF(A3609="","",IF(AC3609&gt;1,"REVISAR DUPLICADO",IF(AA3609&lt;&gt;"","ACTUALIZADO POR EYR","SIN REPORTE EYR")))</f>
        <v/>
      </c>
    </row>
    <row r="3610" spans="11:30" x14ac:dyDescent="0.3">
      <c r="K3610" s="1" t="str">
        <f ca="1">IF(A3610="","",IF(OR(L3610="ENTREGADA",L3610="RETORNADA",L3610="ENTREGA DIGITAL"),0,MAX(0,5-NETWORKDAYS(H3610+1,TODAY()))))</f>
        <v/>
      </c>
      <c r="L3610" t="str">
        <f>IF(A3610="","",IFERROR(LOOKUP(2,1/(#REF!=Z3610),#REF!),Y3610))</f>
        <v/>
      </c>
      <c r="Z3610" t="str">
        <f>IF(A3610="","",TEXT(A3610,"0")&amp;"|"&amp;TEXT(H3610,"0"))</f>
        <v/>
      </c>
      <c r="AA3610" t="str">
        <f>IF(Z3610="","",IFERROR(LOOKUP(2,1/(#REF!=Z3610),#REF!),""))</f>
        <v/>
      </c>
      <c r="AB3610" t="str">
        <f>IF(Z3610="","",IFERROR(LOOKUP(2,1/(#REF!=Z3610),#REF!),""))</f>
        <v/>
      </c>
      <c r="AC3610" t="str">
        <f>IF(Z3610="","",COUNTIF(#REF!,Z3610))</f>
        <v/>
      </c>
      <c r="AD3610" t="str">
        <f>IF(A3610="","",IF(AC3610&gt;1,"REVISAR DUPLICADO",IF(AA3610&lt;&gt;"","ACTUALIZADO POR EYR","SIN REPORTE EYR")))</f>
        <v/>
      </c>
    </row>
    <row r="3611" spans="11:30" x14ac:dyDescent="0.3">
      <c r="K3611" s="1" t="str">
        <f ca="1">IF(A3611="","",IF(OR(L3611="ENTREGADA",L3611="RETORNADA",L3611="ENTREGA DIGITAL"),0,MAX(0,5-NETWORKDAYS(H3611+1,TODAY()))))</f>
        <v/>
      </c>
      <c r="L3611" t="str">
        <f>IF(A3611="","",IFERROR(LOOKUP(2,1/(#REF!=Z3611),#REF!),Y3611))</f>
        <v/>
      </c>
      <c r="Z3611" t="str">
        <f>IF(A3611="","",TEXT(A3611,"0")&amp;"|"&amp;TEXT(H3611,"0"))</f>
        <v/>
      </c>
      <c r="AA3611" t="str">
        <f>IF(Z3611="","",IFERROR(LOOKUP(2,1/(#REF!=Z3611),#REF!),""))</f>
        <v/>
      </c>
      <c r="AB3611" t="str">
        <f>IF(Z3611="","",IFERROR(LOOKUP(2,1/(#REF!=Z3611),#REF!),""))</f>
        <v/>
      </c>
      <c r="AC3611" t="str">
        <f>IF(Z3611="","",COUNTIF(#REF!,Z3611))</f>
        <v/>
      </c>
      <c r="AD3611" t="str">
        <f>IF(A3611="","",IF(AC3611&gt;1,"REVISAR DUPLICADO",IF(AA3611&lt;&gt;"","ACTUALIZADO POR EYR","SIN REPORTE EYR")))</f>
        <v/>
      </c>
    </row>
    <row r="3612" spans="11:30" x14ac:dyDescent="0.3">
      <c r="K3612" s="1" t="str">
        <f ca="1">IF(A3612="","",IF(OR(L3612="ENTREGADA",L3612="RETORNADA",L3612="ENTREGA DIGITAL"),0,MAX(0,5-NETWORKDAYS(H3612+1,TODAY()))))</f>
        <v/>
      </c>
      <c r="L3612" t="str">
        <f>IF(A3612="","",IFERROR(LOOKUP(2,1/(#REF!=Z3612),#REF!),Y3612))</f>
        <v/>
      </c>
      <c r="Z3612" t="str">
        <f>IF(A3612="","",TEXT(A3612,"0")&amp;"|"&amp;TEXT(H3612,"0"))</f>
        <v/>
      </c>
      <c r="AA3612" t="str">
        <f>IF(Z3612="","",IFERROR(LOOKUP(2,1/(#REF!=Z3612),#REF!),""))</f>
        <v/>
      </c>
      <c r="AB3612" t="str">
        <f>IF(Z3612="","",IFERROR(LOOKUP(2,1/(#REF!=Z3612),#REF!),""))</f>
        <v/>
      </c>
      <c r="AC3612" t="str">
        <f>IF(Z3612="","",COUNTIF(#REF!,Z3612))</f>
        <v/>
      </c>
      <c r="AD3612" t="str">
        <f>IF(A3612="","",IF(AC3612&gt;1,"REVISAR DUPLICADO",IF(AA3612&lt;&gt;"","ACTUALIZADO POR EYR","SIN REPORTE EYR")))</f>
        <v/>
      </c>
    </row>
    <row r="3613" spans="11:30" x14ac:dyDescent="0.3">
      <c r="K3613" s="1" t="str">
        <f ca="1">IF(A3613="","",IF(OR(L3613="ENTREGADA",L3613="RETORNADA",L3613="ENTREGA DIGITAL"),0,MAX(0,5-NETWORKDAYS(H3613+1,TODAY()))))</f>
        <v/>
      </c>
      <c r="L3613" t="str">
        <f>IF(A3613="","",IFERROR(LOOKUP(2,1/(#REF!=Z3613),#REF!),Y3613))</f>
        <v/>
      </c>
      <c r="Z3613" t="str">
        <f>IF(A3613="","",TEXT(A3613,"0")&amp;"|"&amp;TEXT(H3613,"0"))</f>
        <v/>
      </c>
      <c r="AA3613" t="str">
        <f>IF(Z3613="","",IFERROR(LOOKUP(2,1/(#REF!=Z3613),#REF!),""))</f>
        <v/>
      </c>
      <c r="AB3613" t="str">
        <f>IF(Z3613="","",IFERROR(LOOKUP(2,1/(#REF!=Z3613),#REF!),""))</f>
        <v/>
      </c>
      <c r="AC3613" t="str">
        <f>IF(Z3613="","",COUNTIF(#REF!,Z3613))</f>
        <v/>
      </c>
      <c r="AD3613" t="str">
        <f>IF(A3613="","",IF(AC3613&gt;1,"REVISAR DUPLICADO",IF(AA3613&lt;&gt;"","ACTUALIZADO POR EYR","SIN REPORTE EYR")))</f>
        <v/>
      </c>
    </row>
    <row r="3614" spans="11:30" x14ac:dyDescent="0.3">
      <c r="K3614" s="1" t="str">
        <f ca="1">IF(A3614="","",IF(OR(L3614="ENTREGADA",L3614="RETORNADA",L3614="ENTREGA DIGITAL"),0,MAX(0,5-NETWORKDAYS(H3614+1,TODAY()))))</f>
        <v/>
      </c>
      <c r="L3614" t="str">
        <f>IF(A3614="","",IFERROR(LOOKUP(2,1/(#REF!=Z3614),#REF!),Y3614))</f>
        <v/>
      </c>
      <c r="Z3614" t="str">
        <f>IF(A3614="","",TEXT(A3614,"0")&amp;"|"&amp;TEXT(H3614,"0"))</f>
        <v/>
      </c>
      <c r="AA3614" t="str">
        <f>IF(Z3614="","",IFERROR(LOOKUP(2,1/(#REF!=Z3614),#REF!),""))</f>
        <v/>
      </c>
      <c r="AB3614" t="str">
        <f>IF(Z3614="","",IFERROR(LOOKUP(2,1/(#REF!=Z3614),#REF!),""))</f>
        <v/>
      </c>
      <c r="AC3614" t="str">
        <f>IF(Z3614="","",COUNTIF(#REF!,Z3614))</f>
        <v/>
      </c>
      <c r="AD3614" t="str">
        <f>IF(A3614="","",IF(AC3614&gt;1,"REVISAR DUPLICADO",IF(AA3614&lt;&gt;"","ACTUALIZADO POR EYR","SIN REPORTE EYR")))</f>
        <v/>
      </c>
    </row>
    <row r="3615" spans="11:30" x14ac:dyDescent="0.3">
      <c r="K3615" s="1" t="str">
        <f ca="1">IF(A3615="","",IF(OR(L3615="ENTREGADA",L3615="RETORNADA",L3615="ENTREGA DIGITAL"),0,MAX(0,5-NETWORKDAYS(H3615+1,TODAY()))))</f>
        <v/>
      </c>
      <c r="L3615" t="str">
        <f>IF(A3615="","",IFERROR(LOOKUP(2,1/(#REF!=Z3615),#REF!),Y3615))</f>
        <v/>
      </c>
      <c r="Z3615" t="str">
        <f>IF(A3615="","",TEXT(A3615,"0")&amp;"|"&amp;TEXT(H3615,"0"))</f>
        <v/>
      </c>
      <c r="AA3615" t="str">
        <f>IF(Z3615="","",IFERROR(LOOKUP(2,1/(#REF!=Z3615),#REF!),""))</f>
        <v/>
      </c>
      <c r="AB3615" t="str">
        <f>IF(Z3615="","",IFERROR(LOOKUP(2,1/(#REF!=Z3615),#REF!),""))</f>
        <v/>
      </c>
      <c r="AC3615" t="str">
        <f>IF(Z3615="","",COUNTIF(#REF!,Z3615))</f>
        <v/>
      </c>
      <c r="AD3615" t="str">
        <f>IF(A3615="","",IF(AC3615&gt;1,"REVISAR DUPLICADO",IF(AA3615&lt;&gt;"","ACTUALIZADO POR EYR","SIN REPORTE EYR")))</f>
        <v/>
      </c>
    </row>
    <row r="3616" spans="11:30" x14ac:dyDescent="0.3">
      <c r="K3616" s="1" t="str">
        <f ca="1">IF(A3616="","",IF(OR(L3616="ENTREGADA",L3616="RETORNADA",L3616="ENTREGA DIGITAL"),0,MAX(0,5-NETWORKDAYS(H3616+1,TODAY()))))</f>
        <v/>
      </c>
      <c r="L3616" t="str">
        <f>IF(A3616="","",IFERROR(LOOKUP(2,1/(#REF!=Z3616),#REF!),Y3616))</f>
        <v/>
      </c>
      <c r="Z3616" t="str">
        <f>IF(A3616="","",TEXT(A3616,"0")&amp;"|"&amp;TEXT(H3616,"0"))</f>
        <v/>
      </c>
      <c r="AA3616" t="str">
        <f>IF(Z3616="","",IFERROR(LOOKUP(2,1/(#REF!=Z3616),#REF!),""))</f>
        <v/>
      </c>
      <c r="AB3616" t="str">
        <f>IF(Z3616="","",IFERROR(LOOKUP(2,1/(#REF!=Z3616),#REF!),""))</f>
        <v/>
      </c>
      <c r="AC3616" t="str">
        <f>IF(Z3616="","",COUNTIF(#REF!,Z3616))</f>
        <v/>
      </c>
      <c r="AD3616" t="str">
        <f>IF(A3616="","",IF(AC3616&gt;1,"REVISAR DUPLICADO",IF(AA3616&lt;&gt;"","ACTUALIZADO POR EYR","SIN REPORTE EYR")))</f>
        <v/>
      </c>
    </row>
    <row r="3617" spans="11:30" x14ac:dyDescent="0.3">
      <c r="K3617" s="1" t="str">
        <f ca="1">IF(A3617="","",IF(OR(L3617="ENTREGADA",L3617="RETORNADA",L3617="ENTREGA DIGITAL"),0,MAX(0,5-NETWORKDAYS(H3617+1,TODAY()))))</f>
        <v/>
      </c>
      <c r="L3617" t="str">
        <f>IF(A3617="","",IFERROR(LOOKUP(2,1/(#REF!=Z3617),#REF!),Y3617))</f>
        <v/>
      </c>
      <c r="Z3617" t="str">
        <f>IF(A3617="","",TEXT(A3617,"0")&amp;"|"&amp;TEXT(H3617,"0"))</f>
        <v/>
      </c>
      <c r="AA3617" t="str">
        <f>IF(Z3617="","",IFERROR(LOOKUP(2,1/(#REF!=Z3617),#REF!),""))</f>
        <v/>
      </c>
      <c r="AB3617" t="str">
        <f>IF(Z3617="","",IFERROR(LOOKUP(2,1/(#REF!=Z3617),#REF!),""))</f>
        <v/>
      </c>
      <c r="AC3617" t="str">
        <f>IF(Z3617="","",COUNTIF(#REF!,Z3617))</f>
        <v/>
      </c>
      <c r="AD3617" t="str">
        <f>IF(A3617="","",IF(AC3617&gt;1,"REVISAR DUPLICADO",IF(AA3617&lt;&gt;"","ACTUALIZADO POR EYR","SIN REPORTE EYR")))</f>
        <v/>
      </c>
    </row>
    <row r="3618" spans="11:30" x14ac:dyDescent="0.3">
      <c r="K3618" s="1" t="str">
        <f ca="1">IF(A3618="","",IF(OR(L3618="ENTREGADA",L3618="RETORNADA",L3618="ENTREGA DIGITAL"),0,MAX(0,5-NETWORKDAYS(H3618+1,TODAY()))))</f>
        <v/>
      </c>
      <c r="L3618" t="str">
        <f>IF(A3618="","",IFERROR(LOOKUP(2,1/(#REF!=Z3618),#REF!),Y3618))</f>
        <v/>
      </c>
      <c r="Z3618" t="str">
        <f>IF(A3618="","",TEXT(A3618,"0")&amp;"|"&amp;TEXT(H3618,"0"))</f>
        <v/>
      </c>
      <c r="AA3618" t="str">
        <f>IF(Z3618="","",IFERROR(LOOKUP(2,1/(#REF!=Z3618),#REF!),""))</f>
        <v/>
      </c>
      <c r="AB3618" t="str">
        <f>IF(Z3618="","",IFERROR(LOOKUP(2,1/(#REF!=Z3618),#REF!),""))</f>
        <v/>
      </c>
      <c r="AC3618" t="str">
        <f>IF(Z3618="","",COUNTIF(#REF!,Z3618))</f>
        <v/>
      </c>
      <c r="AD3618" t="str">
        <f>IF(A3618="","",IF(AC3618&gt;1,"REVISAR DUPLICADO",IF(AA3618&lt;&gt;"","ACTUALIZADO POR EYR","SIN REPORTE EYR")))</f>
        <v/>
      </c>
    </row>
    <row r="3619" spans="11:30" x14ac:dyDescent="0.3">
      <c r="K3619" s="1" t="str">
        <f ca="1">IF(A3619="","",IF(OR(L3619="ENTREGADA",L3619="RETORNADA",L3619="ENTREGA DIGITAL"),0,MAX(0,5-NETWORKDAYS(H3619+1,TODAY()))))</f>
        <v/>
      </c>
      <c r="L3619" t="str">
        <f>IF(A3619="","",IFERROR(LOOKUP(2,1/(#REF!=Z3619),#REF!),Y3619))</f>
        <v/>
      </c>
      <c r="Z3619" t="str">
        <f>IF(A3619="","",TEXT(A3619,"0")&amp;"|"&amp;TEXT(H3619,"0"))</f>
        <v/>
      </c>
      <c r="AA3619" t="str">
        <f>IF(Z3619="","",IFERROR(LOOKUP(2,1/(#REF!=Z3619),#REF!),""))</f>
        <v/>
      </c>
      <c r="AB3619" t="str">
        <f>IF(Z3619="","",IFERROR(LOOKUP(2,1/(#REF!=Z3619),#REF!),""))</f>
        <v/>
      </c>
      <c r="AC3619" t="str">
        <f>IF(Z3619="","",COUNTIF(#REF!,Z3619))</f>
        <v/>
      </c>
      <c r="AD3619" t="str">
        <f>IF(A3619="","",IF(AC3619&gt;1,"REVISAR DUPLICADO",IF(AA3619&lt;&gt;"","ACTUALIZADO POR EYR","SIN REPORTE EYR")))</f>
        <v/>
      </c>
    </row>
    <row r="3620" spans="11:30" x14ac:dyDescent="0.3">
      <c r="K3620" s="1" t="str">
        <f ca="1">IF(A3620="","",IF(OR(L3620="ENTREGADA",L3620="RETORNADA",L3620="ENTREGA DIGITAL"),0,MAX(0,5-NETWORKDAYS(H3620+1,TODAY()))))</f>
        <v/>
      </c>
      <c r="L3620" t="str">
        <f>IF(A3620="","",IFERROR(LOOKUP(2,1/(#REF!=Z3620),#REF!),Y3620))</f>
        <v/>
      </c>
      <c r="Z3620" t="str">
        <f>IF(A3620="","",TEXT(A3620,"0")&amp;"|"&amp;TEXT(H3620,"0"))</f>
        <v/>
      </c>
      <c r="AA3620" t="str">
        <f>IF(Z3620="","",IFERROR(LOOKUP(2,1/(#REF!=Z3620),#REF!),""))</f>
        <v/>
      </c>
      <c r="AB3620" t="str">
        <f>IF(Z3620="","",IFERROR(LOOKUP(2,1/(#REF!=Z3620),#REF!),""))</f>
        <v/>
      </c>
      <c r="AC3620" t="str">
        <f>IF(Z3620="","",COUNTIF(#REF!,Z3620))</f>
        <v/>
      </c>
      <c r="AD3620" t="str">
        <f>IF(A3620="","",IF(AC3620&gt;1,"REVISAR DUPLICADO",IF(AA3620&lt;&gt;"","ACTUALIZADO POR EYR","SIN REPORTE EYR")))</f>
        <v/>
      </c>
    </row>
    <row r="3621" spans="11:30" x14ac:dyDescent="0.3">
      <c r="K3621" s="1" t="str">
        <f ca="1">IF(A3621="","",IF(OR(L3621="ENTREGADA",L3621="RETORNADA",L3621="ENTREGA DIGITAL"),0,MAX(0,5-NETWORKDAYS(H3621+1,TODAY()))))</f>
        <v/>
      </c>
      <c r="L3621" t="str">
        <f>IF(A3621="","",IFERROR(LOOKUP(2,1/(#REF!=Z3621),#REF!),Y3621))</f>
        <v/>
      </c>
      <c r="Z3621" t="str">
        <f>IF(A3621="","",TEXT(A3621,"0")&amp;"|"&amp;TEXT(H3621,"0"))</f>
        <v/>
      </c>
      <c r="AA3621" t="str">
        <f>IF(Z3621="","",IFERROR(LOOKUP(2,1/(#REF!=Z3621),#REF!),""))</f>
        <v/>
      </c>
      <c r="AB3621" t="str">
        <f>IF(Z3621="","",IFERROR(LOOKUP(2,1/(#REF!=Z3621),#REF!),""))</f>
        <v/>
      </c>
      <c r="AC3621" t="str">
        <f>IF(Z3621="","",COUNTIF(#REF!,Z3621))</f>
        <v/>
      </c>
      <c r="AD3621" t="str">
        <f>IF(A3621="","",IF(AC3621&gt;1,"REVISAR DUPLICADO",IF(AA3621&lt;&gt;"","ACTUALIZADO POR EYR","SIN REPORTE EYR")))</f>
        <v/>
      </c>
    </row>
    <row r="3622" spans="11:30" x14ac:dyDescent="0.3">
      <c r="K3622" s="1" t="str">
        <f ca="1">IF(A3622="","",IF(OR(L3622="ENTREGADA",L3622="RETORNADA",L3622="ENTREGA DIGITAL"),0,MAX(0,5-NETWORKDAYS(H3622+1,TODAY()))))</f>
        <v/>
      </c>
      <c r="L3622" t="str">
        <f>IF(A3622="","",IFERROR(LOOKUP(2,1/(#REF!=Z3622),#REF!),Y3622))</f>
        <v/>
      </c>
      <c r="Z3622" t="str">
        <f>IF(A3622="","",TEXT(A3622,"0")&amp;"|"&amp;TEXT(H3622,"0"))</f>
        <v/>
      </c>
      <c r="AA3622" t="str">
        <f>IF(Z3622="","",IFERROR(LOOKUP(2,1/(#REF!=Z3622),#REF!),""))</f>
        <v/>
      </c>
      <c r="AB3622" t="str">
        <f>IF(Z3622="","",IFERROR(LOOKUP(2,1/(#REF!=Z3622),#REF!),""))</f>
        <v/>
      </c>
      <c r="AC3622" t="str">
        <f>IF(Z3622="","",COUNTIF(#REF!,Z3622))</f>
        <v/>
      </c>
      <c r="AD3622" t="str">
        <f>IF(A3622="","",IF(AC3622&gt;1,"REVISAR DUPLICADO",IF(AA3622&lt;&gt;"","ACTUALIZADO POR EYR","SIN REPORTE EYR")))</f>
        <v/>
      </c>
    </row>
    <row r="3623" spans="11:30" x14ac:dyDescent="0.3">
      <c r="K3623" s="1" t="str">
        <f ca="1">IF(A3623="","",IF(OR(L3623="ENTREGADA",L3623="RETORNADA",L3623="ENTREGA DIGITAL"),0,MAX(0,5-NETWORKDAYS(H3623+1,TODAY()))))</f>
        <v/>
      </c>
      <c r="L3623" t="str">
        <f>IF(A3623="","",IFERROR(LOOKUP(2,1/(#REF!=Z3623),#REF!),Y3623))</f>
        <v/>
      </c>
      <c r="Z3623" t="str">
        <f>IF(A3623="","",TEXT(A3623,"0")&amp;"|"&amp;TEXT(H3623,"0"))</f>
        <v/>
      </c>
      <c r="AA3623" t="str">
        <f>IF(Z3623="","",IFERROR(LOOKUP(2,1/(#REF!=Z3623),#REF!),""))</f>
        <v/>
      </c>
      <c r="AB3623" t="str">
        <f>IF(Z3623="","",IFERROR(LOOKUP(2,1/(#REF!=Z3623),#REF!),""))</f>
        <v/>
      </c>
      <c r="AC3623" t="str">
        <f>IF(Z3623="","",COUNTIF(#REF!,Z3623))</f>
        <v/>
      </c>
      <c r="AD3623" t="str">
        <f>IF(A3623="","",IF(AC3623&gt;1,"REVISAR DUPLICADO",IF(AA3623&lt;&gt;"","ACTUALIZADO POR EYR","SIN REPORTE EYR")))</f>
        <v/>
      </c>
    </row>
    <row r="3624" spans="11:30" x14ac:dyDescent="0.3">
      <c r="K3624" s="1" t="str">
        <f ca="1">IF(A3624="","",IF(OR(L3624="ENTREGADA",L3624="RETORNADA",L3624="ENTREGA DIGITAL"),0,MAX(0,5-NETWORKDAYS(H3624+1,TODAY()))))</f>
        <v/>
      </c>
      <c r="L3624" t="str">
        <f>IF(A3624="","",IFERROR(LOOKUP(2,1/(#REF!=Z3624),#REF!),Y3624))</f>
        <v/>
      </c>
      <c r="Z3624" t="str">
        <f>IF(A3624="","",TEXT(A3624,"0")&amp;"|"&amp;TEXT(H3624,"0"))</f>
        <v/>
      </c>
      <c r="AA3624" t="str">
        <f>IF(Z3624="","",IFERROR(LOOKUP(2,1/(#REF!=Z3624),#REF!),""))</f>
        <v/>
      </c>
      <c r="AB3624" t="str">
        <f>IF(Z3624="","",IFERROR(LOOKUP(2,1/(#REF!=Z3624),#REF!),""))</f>
        <v/>
      </c>
      <c r="AC3624" t="str">
        <f>IF(Z3624="","",COUNTIF(#REF!,Z3624))</f>
        <v/>
      </c>
      <c r="AD3624" t="str">
        <f>IF(A3624="","",IF(AC3624&gt;1,"REVISAR DUPLICADO",IF(AA3624&lt;&gt;"","ACTUALIZADO POR EYR","SIN REPORTE EYR")))</f>
        <v/>
      </c>
    </row>
    <row r="3625" spans="11:30" x14ac:dyDescent="0.3">
      <c r="K3625" s="1" t="str">
        <f ca="1">IF(A3625="","",IF(OR(L3625="ENTREGADA",L3625="RETORNADA",L3625="ENTREGA DIGITAL"),0,MAX(0,5-NETWORKDAYS(H3625+1,TODAY()))))</f>
        <v/>
      </c>
      <c r="L3625" t="str">
        <f>IF(A3625="","",IFERROR(LOOKUP(2,1/(#REF!=Z3625),#REF!),Y3625))</f>
        <v/>
      </c>
      <c r="Z3625" t="str">
        <f>IF(A3625="","",TEXT(A3625,"0")&amp;"|"&amp;TEXT(H3625,"0"))</f>
        <v/>
      </c>
      <c r="AA3625" t="str">
        <f>IF(Z3625="","",IFERROR(LOOKUP(2,1/(#REF!=Z3625),#REF!),""))</f>
        <v/>
      </c>
      <c r="AB3625" t="str">
        <f>IF(Z3625="","",IFERROR(LOOKUP(2,1/(#REF!=Z3625),#REF!),""))</f>
        <v/>
      </c>
      <c r="AC3625" t="str">
        <f>IF(Z3625="","",COUNTIF(#REF!,Z3625))</f>
        <v/>
      </c>
      <c r="AD3625" t="str">
        <f>IF(A3625="","",IF(AC3625&gt;1,"REVISAR DUPLICADO",IF(AA3625&lt;&gt;"","ACTUALIZADO POR EYR","SIN REPORTE EYR")))</f>
        <v/>
      </c>
    </row>
    <row r="3626" spans="11:30" x14ac:dyDescent="0.3">
      <c r="K3626" s="1" t="str">
        <f ca="1">IF(A3626="","",IF(OR(L3626="ENTREGADA",L3626="RETORNADA",L3626="ENTREGA DIGITAL"),0,MAX(0,5-NETWORKDAYS(H3626+1,TODAY()))))</f>
        <v/>
      </c>
      <c r="L3626" t="str">
        <f>IF(A3626="","",IFERROR(LOOKUP(2,1/(#REF!=Z3626),#REF!),Y3626))</f>
        <v/>
      </c>
      <c r="Z3626" t="str">
        <f>IF(A3626="","",TEXT(A3626,"0")&amp;"|"&amp;TEXT(H3626,"0"))</f>
        <v/>
      </c>
      <c r="AA3626" t="str">
        <f>IF(Z3626="","",IFERROR(LOOKUP(2,1/(#REF!=Z3626),#REF!),""))</f>
        <v/>
      </c>
      <c r="AB3626" t="str">
        <f>IF(Z3626="","",IFERROR(LOOKUP(2,1/(#REF!=Z3626),#REF!),""))</f>
        <v/>
      </c>
      <c r="AC3626" t="str">
        <f>IF(Z3626="","",COUNTIF(#REF!,Z3626))</f>
        <v/>
      </c>
      <c r="AD3626" t="str">
        <f>IF(A3626="","",IF(AC3626&gt;1,"REVISAR DUPLICADO",IF(AA3626&lt;&gt;"","ACTUALIZADO POR EYR","SIN REPORTE EYR")))</f>
        <v/>
      </c>
    </row>
    <row r="3627" spans="11:30" x14ac:dyDescent="0.3">
      <c r="K3627" s="1" t="str">
        <f ca="1">IF(A3627="","",IF(OR(L3627="ENTREGADA",L3627="RETORNADA",L3627="ENTREGA DIGITAL"),0,MAX(0,5-NETWORKDAYS(H3627+1,TODAY()))))</f>
        <v/>
      </c>
      <c r="L3627" t="str">
        <f>IF(A3627="","",IFERROR(LOOKUP(2,1/(#REF!=Z3627),#REF!),Y3627))</f>
        <v/>
      </c>
      <c r="Z3627" t="str">
        <f>IF(A3627="","",TEXT(A3627,"0")&amp;"|"&amp;TEXT(H3627,"0"))</f>
        <v/>
      </c>
      <c r="AA3627" t="str">
        <f>IF(Z3627="","",IFERROR(LOOKUP(2,1/(#REF!=Z3627),#REF!),""))</f>
        <v/>
      </c>
      <c r="AB3627" t="str">
        <f>IF(Z3627="","",IFERROR(LOOKUP(2,1/(#REF!=Z3627),#REF!),""))</f>
        <v/>
      </c>
      <c r="AC3627" t="str">
        <f>IF(Z3627="","",COUNTIF(#REF!,Z3627))</f>
        <v/>
      </c>
      <c r="AD3627" t="str">
        <f>IF(A3627="","",IF(AC3627&gt;1,"REVISAR DUPLICADO",IF(AA3627&lt;&gt;"","ACTUALIZADO POR EYR","SIN REPORTE EYR")))</f>
        <v/>
      </c>
    </row>
    <row r="3628" spans="11:30" x14ac:dyDescent="0.3">
      <c r="K3628" s="1" t="str">
        <f ca="1">IF(A3628="","",IF(OR(L3628="ENTREGADA",L3628="RETORNADA",L3628="ENTREGA DIGITAL"),0,MAX(0,5-NETWORKDAYS(H3628+1,TODAY()))))</f>
        <v/>
      </c>
      <c r="L3628" t="str">
        <f>IF(A3628="","",IFERROR(LOOKUP(2,1/(#REF!=Z3628),#REF!),Y3628))</f>
        <v/>
      </c>
      <c r="Z3628" t="str">
        <f>IF(A3628="","",TEXT(A3628,"0")&amp;"|"&amp;TEXT(H3628,"0"))</f>
        <v/>
      </c>
      <c r="AA3628" t="str">
        <f>IF(Z3628="","",IFERROR(LOOKUP(2,1/(#REF!=Z3628),#REF!),""))</f>
        <v/>
      </c>
      <c r="AB3628" t="str">
        <f>IF(Z3628="","",IFERROR(LOOKUP(2,1/(#REF!=Z3628),#REF!),""))</f>
        <v/>
      </c>
      <c r="AC3628" t="str">
        <f>IF(Z3628="","",COUNTIF(#REF!,Z3628))</f>
        <v/>
      </c>
      <c r="AD3628" t="str">
        <f>IF(A3628="","",IF(AC3628&gt;1,"REVISAR DUPLICADO",IF(AA3628&lt;&gt;"","ACTUALIZADO POR EYR","SIN REPORTE EYR")))</f>
        <v/>
      </c>
    </row>
    <row r="3629" spans="11:30" x14ac:dyDescent="0.3">
      <c r="K3629" s="1" t="str">
        <f ca="1">IF(A3629="","",IF(OR(L3629="ENTREGADA",L3629="RETORNADA",L3629="ENTREGA DIGITAL"),0,MAX(0,5-NETWORKDAYS(H3629+1,TODAY()))))</f>
        <v/>
      </c>
      <c r="L3629" t="str">
        <f>IF(A3629="","",IFERROR(LOOKUP(2,1/(#REF!=Z3629),#REF!),Y3629))</f>
        <v/>
      </c>
      <c r="Z3629" t="str">
        <f>IF(A3629="","",TEXT(A3629,"0")&amp;"|"&amp;TEXT(H3629,"0"))</f>
        <v/>
      </c>
      <c r="AA3629" t="str">
        <f>IF(Z3629="","",IFERROR(LOOKUP(2,1/(#REF!=Z3629),#REF!),""))</f>
        <v/>
      </c>
      <c r="AB3629" t="str">
        <f>IF(Z3629="","",IFERROR(LOOKUP(2,1/(#REF!=Z3629),#REF!),""))</f>
        <v/>
      </c>
      <c r="AC3629" t="str">
        <f>IF(Z3629="","",COUNTIF(#REF!,Z3629))</f>
        <v/>
      </c>
      <c r="AD3629" t="str">
        <f>IF(A3629="","",IF(AC3629&gt;1,"REVISAR DUPLICADO",IF(AA3629&lt;&gt;"","ACTUALIZADO POR EYR","SIN REPORTE EYR")))</f>
        <v/>
      </c>
    </row>
    <row r="3630" spans="11:30" x14ac:dyDescent="0.3">
      <c r="K3630" s="1" t="str">
        <f ca="1">IF(A3630="","",IF(OR(L3630="ENTREGADA",L3630="RETORNADA",L3630="ENTREGA DIGITAL"),0,MAX(0,5-NETWORKDAYS(H3630+1,TODAY()))))</f>
        <v/>
      </c>
      <c r="L3630" t="str">
        <f>IF(A3630="","",IFERROR(LOOKUP(2,1/(#REF!=Z3630),#REF!),Y3630))</f>
        <v/>
      </c>
      <c r="Z3630" t="str">
        <f>IF(A3630="","",TEXT(A3630,"0")&amp;"|"&amp;TEXT(H3630,"0"))</f>
        <v/>
      </c>
      <c r="AA3630" t="str">
        <f>IF(Z3630="","",IFERROR(LOOKUP(2,1/(#REF!=Z3630),#REF!),""))</f>
        <v/>
      </c>
      <c r="AB3630" t="str">
        <f>IF(Z3630="","",IFERROR(LOOKUP(2,1/(#REF!=Z3630),#REF!),""))</f>
        <v/>
      </c>
      <c r="AC3630" t="str">
        <f>IF(Z3630="","",COUNTIF(#REF!,Z3630))</f>
        <v/>
      </c>
      <c r="AD3630" t="str">
        <f>IF(A3630="","",IF(AC3630&gt;1,"REVISAR DUPLICADO",IF(AA3630&lt;&gt;"","ACTUALIZADO POR EYR","SIN REPORTE EYR")))</f>
        <v/>
      </c>
    </row>
    <row r="3631" spans="11:30" x14ac:dyDescent="0.3">
      <c r="K3631" s="1" t="str">
        <f ca="1">IF(A3631="","",IF(OR(L3631="ENTREGADA",L3631="RETORNADA",L3631="ENTREGA DIGITAL"),0,MAX(0,5-NETWORKDAYS(H3631+1,TODAY()))))</f>
        <v/>
      </c>
      <c r="L3631" t="str">
        <f>IF(A3631="","",IFERROR(LOOKUP(2,1/(#REF!=Z3631),#REF!),Y3631))</f>
        <v/>
      </c>
      <c r="Z3631" t="str">
        <f>IF(A3631="","",TEXT(A3631,"0")&amp;"|"&amp;TEXT(H3631,"0"))</f>
        <v/>
      </c>
      <c r="AA3631" t="str">
        <f>IF(Z3631="","",IFERROR(LOOKUP(2,1/(#REF!=Z3631),#REF!),""))</f>
        <v/>
      </c>
      <c r="AB3631" t="str">
        <f>IF(Z3631="","",IFERROR(LOOKUP(2,1/(#REF!=Z3631),#REF!),""))</f>
        <v/>
      </c>
      <c r="AC3631" t="str">
        <f>IF(Z3631="","",COUNTIF(#REF!,Z3631))</f>
        <v/>
      </c>
      <c r="AD3631" t="str">
        <f>IF(A3631="","",IF(AC3631&gt;1,"REVISAR DUPLICADO",IF(AA3631&lt;&gt;"","ACTUALIZADO POR EYR","SIN REPORTE EYR")))</f>
        <v/>
      </c>
    </row>
    <row r="3632" spans="11:30" x14ac:dyDescent="0.3">
      <c r="K3632" s="1" t="str">
        <f ca="1">IF(A3632="","",IF(OR(L3632="ENTREGADA",L3632="RETORNADA",L3632="ENTREGA DIGITAL"),0,MAX(0,5-NETWORKDAYS(H3632+1,TODAY()))))</f>
        <v/>
      </c>
      <c r="L3632" t="str">
        <f>IF(A3632="","",IFERROR(LOOKUP(2,1/(#REF!=Z3632),#REF!),Y3632))</f>
        <v/>
      </c>
      <c r="Z3632" t="str">
        <f>IF(A3632="","",TEXT(A3632,"0")&amp;"|"&amp;TEXT(H3632,"0"))</f>
        <v/>
      </c>
      <c r="AA3632" t="str">
        <f>IF(Z3632="","",IFERROR(LOOKUP(2,1/(#REF!=Z3632),#REF!),""))</f>
        <v/>
      </c>
      <c r="AB3632" t="str">
        <f>IF(Z3632="","",IFERROR(LOOKUP(2,1/(#REF!=Z3632),#REF!),""))</f>
        <v/>
      </c>
      <c r="AC3632" t="str">
        <f>IF(Z3632="","",COUNTIF(#REF!,Z3632))</f>
        <v/>
      </c>
      <c r="AD3632" t="str">
        <f>IF(A3632="","",IF(AC3632&gt;1,"REVISAR DUPLICADO",IF(AA3632&lt;&gt;"","ACTUALIZADO POR EYR","SIN REPORTE EYR")))</f>
        <v/>
      </c>
    </row>
    <row r="3633" spans="11:30" x14ac:dyDescent="0.3">
      <c r="K3633" s="1" t="str">
        <f ca="1">IF(A3633="","",IF(OR(L3633="ENTREGADA",L3633="RETORNADA",L3633="ENTREGA DIGITAL"),0,MAX(0,5-NETWORKDAYS(H3633+1,TODAY()))))</f>
        <v/>
      </c>
      <c r="L3633" t="str">
        <f>IF(A3633="","",IFERROR(LOOKUP(2,1/(#REF!=Z3633),#REF!),Y3633))</f>
        <v/>
      </c>
      <c r="Z3633" t="str">
        <f>IF(A3633="","",TEXT(A3633,"0")&amp;"|"&amp;TEXT(H3633,"0"))</f>
        <v/>
      </c>
      <c r="AA3633" t="str">
        <f>IF(Z3633="","",IFERROR(LOOKUP(2,1/(#REF!=Z3633),#REF!),""))</f>
        <v/>
      </c>
      <c r="AB3633" t="str">
        <f>IF(Z3633="","",IFERROR(LOOKUP(2,1/(#REF!=Z3633),#REF!),""))</f>
        <v/>
      </c>
      <c r="AC3633" t="str">
        <f>IF(Z3633="","",COUNTIF(#REF!,Z3633))</f>
        <v/>
      </c>
      <c r="AD3633" t="str">
        <f>IF(A3633="","",IF(AC3633&gt;1,"REVISAR DUPLICADO",IF(AA3633&lt;&gt;"","ACTUALIZADO POR EYR","SIN REPORTE EYR")))</f>
        <v/>
      </c>
    </row>
    <row r="3634" spans="11:30" x14ac:dyDescent="0.3">
      <c r="K3634" s="1" t="str">
        <f ca="1">IF(A3634="","",IF(OR(L3634="ENTREGADA",L3634="RETORNADA",L3634="ENTREGA DIGITAL"),0,MAX(0,5-NETWORKDAYS(H3634+1,TODAY()))))</f>
        <v/>
      </c>
      <c r="L3634" t="str">
        <f>IF(A3634="","",IFERROR(LOOKUP(2,1/(#REF!=Z3634),#REF!),Y3634))</f>
        <v/>
      </c>
      <c r="Z3634" t="str">
        <f>IF(A3634="","",TEXT(A3634,"0")&amp;"|"&amp;TEXT(H3634,"0"))</f>
        <v/>
      </c>
      <c r="AA3634" t="str">
        <f>IF(Z3634="","",IFERROR(LOOKUP(2,1/(#REF!=Z3634),#REF!),""))</f>
        <v/>
      </c>
      <c r="AB3634" t="str">
        <f>IF(Z3634="","",IFERROR(LOOKUP(2,1/(#REF!=Z3634),#REF!),""))</f>
        <v/>
      </c>
      <c r="AC3634" t="str">
        <f>IF(Z3634="","",COUNTIF(#REF!,Z3634))</f>
        <v/>
      </c>
      <c r="AD3634" t="str">
        <f>IF(A3634="","",IF(AC3634&gt;1,"REVISAR DUPLICADO",IF(AA3634&lt;&gt;"","ACTUALIZADO POR EYR","SIN REPORTE EYR")))</f>
        <v/>
      </c>
    </row>
    <row r="3635" spans="11:30" x14ac:dyDescent="0.3">
      <c r="K3635" s="1" t="str">
        <f ca="1">IF(A3635="","",IF(OR(L3635="ENTREGADA",L3635="RETORNADA",L3635="ENTREGA DIGITAL"),0,MAX(0,5-NETWORKDAYS(H3635+1,TODAY()))))</f>
        <v/>
      </c>
      <c r="L3635" t="str">
        <f>IF(A3635="","",IFERROR(LOOKUP(2,1/(#REF!=Z3635),#REF!),Y3635))</f>
        <v/>
      </c>
      <c r="Z3635" t="str">
        <f>IF(A3635="","",TEXT(A3635,"0")&amp;"|"&amp;TEXT(H3635,"0"))</f>
        <v/>
      </c>
      <c r="AA3635" t="str">
        <f>IF(Z3635="","",IFERROR(LOOKUP(2,1/(#REF!=Z3635),#REF!),""))</f>
        <v/>
      </c>
      <c r="AB3635" t="str">
        <f>IF(Z3635="","",IFERROR(LOOKUP(2,1/(#REF!=Z3635),#REF!),""))</f>
        <v/>
      </c>
      <c r="AC3635" t="str">
        <f>IF(Z3635="","",COUNTIF(#REF!,Z3635))</f>
        <v/>
      </c>
      <c r="AD3635" t="str">
        <f>IF(A3635="","",IF(AC3635&gt;1,"REVISAR DUPLICADO",IF(AA3635&lt;&gt;"","ACTUALIZADO POR EYR","SIN REPORTE EYR")))</f>
        <v/>
      </c>
    </row>
    <row r="3636" spans="11:30" x14ac:dyDescent="0.3">
      <c r="K3636" s="1" t="str">
        <f ca="1">IF(A3636="","",IF(OR(L3636="ENTREGADA",L3636="RETORNADA",L3636="ENTREGA DIGITAL"),0,MAX(0,5-NETWORKDAYS(H3636+1,TODAY()))))</f>
        <v/>
      </c>
      <c r="L3636" t="str">
        <f>IF(A3636="","",IFERROR(LOOKUP(2,1/(#REF!=Z3636),#REF!),Y3636))</f>
        <v/>
      </c>
      <c r="Z3636" t="str">
        <f>IF(A3636="","",TEXT(A3636,"0")&amp;"|"&amp;TEXT(H3636,"0"))</f>
        <v/>
      </c>
      <c r="AA3636" t="str">
        <f>IF(Z3636="","",IFERROR(LOOKUP(2,1/(#REF!=Z3636),#REF!),""))</f>
        <v/>
      </c>
      <c r="AB3636" t="str">
        <f>IF(Z3636="","",IFERROR(LOOKUP(2,1/(#REF!=Z3636),#REF!),""))</f>
        <v/>
      </c>
      <c r="AC3636" t="str">
        <f>IF(Z3636="","",COUNTIF(#REF!,Z3636))</f>
        <v/>
      </c>
      <c r="AD3636" t="str">
        <f>IF(A3636="","",IF(AC3636&gt;1,"REVISAR DUPLICADO",IF(AA3636&lt;&gt;"","ACTUALIZADO POR EYR","SIN REPORTE EYR")))</f>
        <v/>
      </c>
    </row>
    <row r="3637" spans="11:30" x14ac:dyDescent="0.3">
      <c r="K3637" s="1" t="str">
        <f ca="1">IF(A3637="","",IF(OR(L3637="ENTREGADA",L3637="RETORNADA",L3637="ENTREGA DIGITAL"),0,MAX(0,5-NETWORKDAYS(H3637+1,TODAY()))))</f>
        <v/>
      </c>
      <c r="L3637" t="str">
        <f>IF(A3637="","",IFERROR(LOOKUP(2,1/(#REF!=Z3637),#REF!),Y3637))</f>
        <v/>
      </c>
      <c r="Z3637" t="str">
        <f>IF(A3637="","",TEXT(A3637,"0")&amp;"|"&amp;TEXT(H3637,"0"))</f>
        <v/>
      </c>
      <c r="AA3637" t="str">
        <f>IF(Z3637="","",IFERROR(LOOKUP(2,1/(#REF!=Z3637),#REF!),""))</f>
        <v/>
      </c>
      <c r="AB3637" t="str">
        <f>IF(Z3637="","",IFERROR(LOOKUP(2,1/(#REF!=Z3637),#REF!),""))</f>
        <v/>
      </c>
      <c r="AC3637" t="str">
        <f>IF(Z3637="","",COUNTIF(#REF!,Z3637))</f>
        <v/>
      </c>
      <c r="AD3637" t="str">
        <f>IF(A3637="","",IF(AC3637&gt;1,"REVISAR DUPLICADO",IF(AA3637&lt;&gt;"","ACTUALIZADO POR EYR","SIN REPORTE EYR")))</f>
        <v/>
      </c>
    </row>
    <row r="3638" spans="11:30" x14ac:dyDescent="0.3">
      <c r="K3638" s="1" t="str">
        <f ca="1">IF(A3638="","",IF(OR(L3638="ENTREGADA",L3638="RETORNADA",L3638="ENTREGA DIGITAL"),0,MAX(0,5-NETWORKDAYS(H3638+1,TODAY()))))</f>
        <v/>
      </c>
      <c r="L3638" t="str">
        <f>IF(A3638="","",IFERROR(LOOKUP(2,1/(#REF!=Z3638),#REF!),Y3638))</f>
        <v/>
      </c>
      <c r="Z3638" t="str">
        <f>IF(A3638="","",TEXT(A3638,"0")&amp;"|"&amp;TEXT(H3638,"0"))</f>
        <v/>
      </c>
      <c r="AA3638" t="str">
        <f>IF(Z3638="","",IFERROR(LOOKUP(2,1/(#REF!=Z3638),#REF!),""))</f>
        <v/>
      </c>
      <c r="AB3638" t="str">
        <f>IF(Z3638="","",IFERROR(LOOKUP(2,1/(#REF!=Z3638),#REF!),""))</f>
        <v/>
      </c>
      <c r="AC3638" t="str">
        <f>IF(Z3638="","",COUNTIF(#REF!,Z3638))</f>
        <v/>
      </c>
      <c r="AD3638" t="str">
        <f>IF(A3638="","",IF(AC3638&gt;1,"REVISAR DUPLICADO",IF(AA3638&lt;&gt;"","ACTUALIZADO POR EYR","SIN REPORTE EYR")))</f>
        <v/>
      </c>
    </row>
    <row r="3639" spans="11:30" x14ac:dyDescent="0.3">
      <c r="K3639" s="1" t="str">
        <f ca="1">IF(A3639="","",IF(OR(L3639="ENTREGADA",L3639="RETORNADA",L3639="ENTREGA DIGITAL"),0,MAX(0,5-NETWORKDAYS(H3639+1,TODAY()))))</f>
        <v/>
      </c>
      <c r="L3639" t="str">
        <f>IF(A3639="","",IFERROR(LOOKUP(2,1/(#REF!=Z3639),#REF!),Y3639))</f>
        <v/>
      </c>
      <c r="Z3639" t="str">
        <f>IF(A3639="","",TEXT(A3639,"0")&amp;"|"&amp;TEXT(H3639,"0"))</f>
        <v/>
      </c>
      <c r="AA3639" t="str">
        <f>IF(Z3639="","",IFERROR(LOOKUP(2,1/(#REF!=Z3639),#REF!),""))</f>
        <v/>
      </c>
      <c r="AB3639" t="str">
        <f>IF(Z3639="","",IFERROR(LOOKUP(2,1/(#REF!=Z3639),#REF!),""))</f>
        <v/>
      </c>
      <c r="AC3639" t="str">
        <f>IF(Z3639="","",COUNTIF(#REF!,Z3639))</f>
        <v/>
      </c>
      <c r="AD3639" t="str">
        <f>IF(A3639="","",IF(AC3639&gt;1,"REVISAR DUPLICADO",IF(AA3639&lt;&gt;"","ACTUALIZADO POR EYR","SIN REPORTE EYR")))</f>
        <v/>
      </c>
    </row>
    <row r="3640" spans="11:30" x14ac:dyDescent="0.3">
      <c r="K3640" s="1" t="str">
        <f ca="1">IF(A3640="","",IF(OR(L3640="ENTREGADA",L3640="RETORNADA",L3640="ENTREGA DIGITAL"),0,MAX(0,5-NETWORKDAYS(H3640+1,TODAY()))))</f>
        <v/>
      </c>
      <c r="L3640" t="str">
        <f>IF(A3640="","",IFERROR(LOOKUP(2,1/(#REF!=Z3640),#REF!),Y3640))</f>
        <v/>
      </c>
      <c r="Z3640" t="str">
        <f>IF(A3640="","",TEXT(A3640,"0")&amp;"|"&amp;TEXT(H3640,"0"))</f>
        <v/>
      </c>
      <c r="AA3640" t="str">
        <f>IF(Z3640="","",IFERROR(LOOKUP(2,1/(#REF!=Z3640),#REF!),""))</f>
        <v/>
      </c>
      <c r="AB3640" t="str">
        <f>IF(Z3640="","",IFERROR(LOOKUP(2,1/(#REF!=Z3640),#REF!),""))</f>
        <v/>
      </c>
      <c r="AC3640" t="str">
        <f>IF(Z3640="","",COUNTIF(#REF!,Z3640))</f>
        <v/>
      </c>
      <c r="AD3640" t="str">
        <f>IF(A3640="","",IF(AC3640&gt;1,"REVISAR DUPLICADO",IF(AA3640&lt;&gt;"","ACTUALIZADO POR EYR","SIN REPORTE EYR")))</f>
        <v/>
      </c>
    </row>
    <row r="3641" spans="11:30" x14ac:dyDescent="0.3">
      <c r="K3641" s="1" t="str">
        <f ca="1">IF(A3641="","",IF(OR(L3641="ENTREGADA",L3641="RETORNADA",L3641="ENTREGA DIGITAL"),0,MAX(0,5-NETWORKDAYS(H3641+1,TODAY()))))</f>
        <v/>
      </c>
      <c r="L3641" t="str">
        <f>IF(A3641="","",IFERROR(LOOKUP(2,1/(#REF!=Z3641),#REF!),Y3641))</f>
        <v/>
      </c>
      <c r="Z3641" t="str">
        <f>IF(A3641="","",TEXT(A3641,"0")&amp;"|"&amp;TEXT(H3641,"0"))</f>
        <v/>
      </c>
      <c r="AA3641" t="str">
        <f>IF(Z3641="","",IFERROR(LOOKUP(2,1/(#REF!=Z3641),#REF!),""))</f>
        <v/>
      </c>
      <c r="AB3641" t="str">
        <f>IF(Z3641="","",IFERROR(LOOKUP(2,1/(#REF!=Z3641),#REF!),""))</f>
        <v/>
      </c>
      <c r="AC3641" t="str">
        <f>IF(Z3641="","",COUNTIF(#REF!,Z3641))</f>
        <v/>
      </c>
      <c r="AD3641" t="str">
        <f>IF(A3641="","",IF(AC3641&gt;1,"REVISAR DUPLICADO",IF(AA3641&lt;&gt;"","ACTUALIZADO POR EYR","SIN REPORTE EYR")))</f>
        <v/>
      </c>
    </row>
    <row r="3642" spans="11:30" x14ac:dyDescent="0.3">
      <c r="K3642" s="1" t="str">
        <f ca="1">IF(A3642="","",IF(OR(L3642="ENTREGADA",L3642="RETORNADA",L3642="ENTREGA DIGITAL"),0,MAX(0,5-NETWORKDAYS(H3642+1,TODAY()))))</f>
        <v/>
      </c>
      <c r="L3642" t="str">
        <f>IF(A3642="","",IFERROR(LOOKUP(2,1/(#REF!=Z3642),#REF!),Y3642))</f>
        <v/>
      </c>
      <c r="Z3642" t="str">
        <f>IF(A3642="","",TEXT(A3642,"0")&amp;"|"&amp;TEXT(H3642,"0"))</f>
        <v/>
      </c>
      <c r="AA3642" t="str">
        <f>IF(Z3642="","",IFERROR(LOOKUP(2,1/(#REF!=Z3642),#REF!),""))</f>
        <v/>
      </c>
      <c r="AB3642" t="str">
        <f>IF(Z3642="","",IFERROR(LOOKUP(2,1/(#REF!=Z3642),#REF!),""))</f>
        <v/>
      </c>
      <c r="AC3642" t="str">
        <f>IF(Z3642="","",COUNTIF(#REF!,Z3642))</f>
        <v/>
      </c>
      <c r="AD3642" t="str">
        <f>IF(A3642="","",IF(AC3642&gt;1,"REVISAR DUPLICADO",IF(AA3642&lt;&gt;"","ACTUALIZADO POR EYR","SIN REPORTE EYR")))</f>
        <v/>
      </c>
    </row>
    <row r="3643" spans="11:30" x14ac:dyDescent="0.3">
      <c r="K3643" s="1" t="str">
        <f ca="1">IF(A3643="","",IF(OR(L3643="ENTREGADA",L3643="RETORNADA",L3643="ENTREGA DIGITAL"),0,MAX(0,5-NETWORKDAYS(H3643+1,TODAY()))))</f>
        <v/>
      </c>
      <c r="L3643" t="str">
        <f>IF(A3643="","",IFERROR(LOOKUP(2,1/(#REF!=Z3643),#REF!),Y3643))</f>
        <v/>
      </c>
      <c r="Z3643" t="str">
        <f>IF(A3643="","",TEXT(A3643,"0")&amp;"|"&amp;TEXT(H3643,"0"))</f>
        <v/>
      </c>
      <c r="AA3643" t="str">
        <f>IF(Z3643="","",IFERROR(LOOKUP(2,1/(#REF!=Z3643),#REF!),""))</f>
        <v/>
      </c>
      <c r="AB3643" t="str">
        <f>IF(Z3643="","",IFERROR(LOOKUP(2,1/(#REF!=Z3643),#REF!),""))</f>
        <v/>
      </c>
      <c r="AC3643" t="str">
        <f>IF(Z3643="","",COUNTIF(#REF!,Z3643))</f>
        <v/>
      </c>
      <c r="AD3643" t="str">
        <f>IF(A3643="","",IF(AC3643&gt;1,"REVISAR DUPLICADO",IF(AA3643&lt;&gt;"","ACTUALIZADO POR EYR","SIN REPORTE EYR")))</f>
        <v/>
      </c>
    </row>
    <row r="3644" spans="11:30" x14ac:dyDescent="0.3">
      <c r="K3644" s="1" t="str">
        <f ca="1">IF(A3644="","",IF(OR(L3644="ENTREGADA",L3644="RETORNADA",L3644="ENTREGA DIGITAL"),0,MAX(0,5-NETWORKDAYS(H3644+1,TODAY()))))</f>
        <v/>
      </c>
      <c r="L3644" t="str">
        <f>IF(A3644="","",IFERROR(LOOKUP(2,1/(#REF!=Z3644),#REF!),Y3644))</f>
        <v/>
      </c>
      <c r="Z3644" t="str">
        <f>IF(A3644="","",TEXT(A3644,"0")&amp;"|"&amp;TEXT(H3644,"0"))</f>
        <v/>
      </c>
      <c r="AA3644" t="str">
        <f>IF(Z3644="","",IFERROR(LOOKUP(2,1/(#REF!=Z3644),#REF!),""))</f>
        <v/>
      </c>
      <c r="AB3644" t="str">
        <f>IF(Z3644="","",IFERROR(LOOKUP(2,1/(#REF!=Z3644),#REF!),""))</f>
        <v/>
      </c>
      <c r="AC3644" t="str">
        <f>IF(Z3644="","",COUNTIF(#REF!,Z3644))</f>
        <v/>
      </c>
      <c r="AD3644" t="str">
        <f>IF(A3644="","",IF(AC3644&gt;1,"REVISAR DUPLICADO",IF(AA3644&lt;&gt;"","ACTUALIZADO POR EYR","SIN REPORTE EYR")))</f>
        <v/>
      </c>
    </row>
    <row r="3645" spans="11:30" x14ac:dyDescent="0.3">
      <c r="K3645" s="1" t="str">
        <f ca="1">IF(A3645="","",IF(OR(L3645="ENTREGADA",L3645="RETORNADA",L3645="ENTREGA DIGITAL"),0,MAX(0,5-NETWORKDAYS(H3645+1,TODAY()))))</f>
        <v/>
      </c>
      <c r="L3645" t="str">
        <f>IF(A3645="","",IFERROR(LOOKUP(2,1/(#REF!=Z3645),#REF!),Y3645))</f>
        <v/>
      </c>
      <c r="Z3645" t="str">
        <f>IF(A3645="","",TEXT(A3645,"0")&amp;"|"&amp;TEXT(H3645,"0"))</f>
        <v/>
      </c>
      <c r="AA3645" t="str">
        <f>IF(Z3645="","",IFERROR(LOOKUP(2,1/(#REF!=Z3645),#REF!),""))</f>
        <v/>
      </c>
      <c r="AB3645" t="str">
        <f>IF(Z3645="","",IFERROR(LOOKUP(2,1/(#REF!=Z3645),#REF!),""))</f>
        <v/>
      </c>
      <c r="AC3645" t="str">
        <f>IF(Z3645="","",COUNTIF(#REF!,Z3645))</f>
        <v/>
      </c>
      <c r="AD3645" t="str">
        <f>IF(A3645="","",IF(AC3645&gt;1,"REVISAR DUPLICADO",IF(AA3645&lt;&gt;"","ACTUALIZADO POR EYR","SIN REPORTE EYR")))</f>
        <v/>
      </c>
    </row>
    <row r="3646" spans="11:30" x14ac:dyDescent="0.3">
      <c r="K3646" s="1" t="str">
        <f ca="1">IF(A3646="","",IF(OR(L3646="ENTREGADA",L3646="RETORNADA",L3646="ENTREGA DIGITAL"),0,MAX(0,5-NETWORKDAYS(H3646+1,TODAY()))))</f>
        <v/>
      </c>
      <c r="L3646" t="str">
        <f>IF(A3646="","",IFERROR(LOOKUP(2,1/(#REF!=Z3646),#REF!),Y3646))</f>
        <v/>
      </c>
      <c r="Z3646" t="str">
        <f>IF(A3646="","",TEXT(A3646,"0")&amp;"|"&amp;TEXT(H3646,"0"))</f>
        <v/>
      </c>
      <c r="AA3646" t="str">
        <f>IF(Z3646="","",IFERROR(LOOKUP(2,1/(#REF!=Z3646),#REF!),""))</f>
        <v/>
      </c>
      <c r="AB3646" t="str">
        <f>IF(Z3646="","",IFERROR(LOOKUP(2,1/(#REF!=Z3646),#REF!),""))</f>
        <v/>
      </c>
      <c r="AC3646" t="str">
        <f>IF(Z3646="","",COUNTIF(#REF!,Z3646))</f>
        <v/>
      </c>
      <c r="AD3646" t="str">
        <f>IF(A3646="","",IF(AC3646&gt;1,"REVISAR DUPLICADO",IF(AA3646&lt;&gt;"","ACTUALIZADO POR EYR","SIN REPORTE EYR")))</f>
        <v/>
      </c>
    </row>
    <row r="3647" spans="11:30" x14ac:dyDescent="0.3">
      <c r="K3647" s="1" t="str">
        <f ca="1">IF(A3647="","",IF(OR(L3647="ENTREGADA",L3647="RETORNADA",L3647="ENTREGA DIGITAL"),0,MAX(0,5-NETWORKDAYS(H3647+1,TODAY()))))</f>
        <v/>
      </c>
      <c r="L3647" t="str">
        <f>IF(A3647="","",IFERROR(LOOKUP(2,1/(#REF!=Z3647),#REF!),Y3647))</f>
        <v/>
      </c>
      <c r="Z3647" t="str">
        <f>IF(A3647="","",TEXT(A3647,"0")&amp;"|"&amp;TEXT(H3647,"0"))</f>
        <v/>
      </c>
      <c r="AA3647" t="str">
        <f>IF(Z3647="","",IFERROR(LOOKUP(2,1/(#REF!=Z3647),#REF!),""))</f>
        <v/>
      </c>
      <c r="AB3647" t="str">
        <f>IF(Z3647="","",IFERROR(LOOKUP(2,1/(#REF!=Z3647),#REF!),""))</f>
        <v/>
      </c>
      <c r="AC3647" t="str">
        <f>IF(Z3647="","",COUNTIF(#REF!,Z3647))</f>
        <v/>
      </c>
      <c r="AD3647" t="str">
        <f>IF(A3647="","",IF(AC3647&gt;1,"REVISAR DUPLICADO",IF(AA3647&lt;&gt;"","ACTUALIZADO POR EYR","SIN REPORTE EYR")))</f>
        <v/>
      </c>
    </row>
    <row r="3648" spans="11:30" x14ac:dyDescent="0.3">
      <c r="K3648" s="1" t="str">
        <f ca="1">IF(A3648="","",IF(OR(L3648="ENTREGADA",L3648="RETORNADA",L3648="ENTREGA DIGITAL"),0,MAX(0,5-NETWORKDAYS(H3648+1,TODAY()))))</f>
        <v/>
      </c>
      <c r="L3648" t="str">
        <f>IF(A3648="","",IFERROR(LOOKUP(2,1/(#REF!=Z3648),#REF!),Y3648))</f>
        <v/>
      </c>
      <c r="Z3648" t="str">
        <f>IF(A3648="","",TEXT(A3648,"0")&amp;"|"&amp;TEXT(H3648,"0"))</f>
        <v/>
      </c>
      <c r="AA3648" t="str">
        <f>IF(Z3648="","",IFERROR(LOOKUP(2,1/(#REF!=Z3648),#REF!),""))</f>
        <v/>
      </c>
      <c r="AB3648" t="str">
        <f>IF(Z3648="","",IFERROR(LOOKUP(2,1/(#REF!=Z3648),#REF!),""))</f>
        <v/>
      </c>
      <c r="AC3648" t="str">
        <f>IF(Z3648="","",COUNTIF(#REF!,Z3648))</f>
        <v/>
      </c>
      <c r="AD3648" t="str">
        <f>IF(A3648="","",IF(AC3648&gt;1,"REVISAR DUPLICADO",IF(AA3648&lt;&gt;"","ACTUALIZADO POR EYR","SIN REPORTE EYR")))</f>
        <v/>
      </c>
    </row>
    <row r="3649" spans="11:30" x14ac:dyDescent="0.3">
      <c r="K3649" s="1" t="str">
        <f ca="1">IF(A3649="","",IF(OR(L3649="ENTREGADA",L3649="RETORNADA",L3649="ENTREGA DIGITAL"),0,MAX(0,5-NETWORKDAYS(H3649+1,TODAY()))))</f>
        <v/>
      </c>
      <c r="L3649" t="str">
        <f>IF(A3649="","",IFERROR(LOOKUP(2,1/(#REF!=Z3649),#REF!),Y3649))</f>
        <v/>
      </c>
      <c r="Z3649" t="str">
        <f>IF(A3649="","",TEXT(A3649,"0")&amp;"|"&amp;TEXT(H3649,"0"))</f>
        <v/>
      </c>
      <c r="AA3649" t="str">
        <f>IF(Z3649="","",IFERROR(LOOKUP(2,1/(#REF!=Z3649),#REF!),""))</f>
        <v/>
      </c>
      <c r="AB3649" t="str">
        <f>IF(Z3649="","",IFERROR(LOOKUP(2,1/(#REF!=Z3649),#REF!),""))</f>
        <v/>
      </c>
      <c r="AC3649" t="str">
        <f>IF(Z3649="","",COUNTIF(#REF!,Z3649))</f>
        <v/>
      </c>
      <c r="AD3649" t="str">
        <f>IF(A3649="","",IF(AC3649&gt;1,"REVISAR DUPLICADO",IF(AA3649&lt;&gt;"","ACTUALIZADO POR EYR","SIN REPORTE EYR")))</f>
        <v/>
      </c>
    </row>
    <row r="3650" spans="11:30" x14ac:dyDescent="0.3">
      <c r="K3650" s="1" t="str">
        <f ca="1">IF(A3650="","",IF(OR(L3650="ENTREGADA",L3650="RETORNADA",L3650="ENTREGA DIGITAL"),0,MAX(0,5-NETWORKDAYS(H3650+1,TODAY()))))</f>
        <v/>
      </c>
      <c r="L3650" t="str">
        <f>IF(A3650="","",IFERROR(LOOKUP(2,1/(#REF!=Z3650),#REF!),Y3650))</f>
        <v/>
      </c>
      <c r="Z3650" t="str">
        <f>IF(A3650="","",TEXT(A3650,"0")&amp;"|"&amp;TEXT(H3650,"0"))</f>
        <v/>
      </c>
      <c r="AA3650" t="str">
        <f>IF(Z3650="","",IFERROR(LOOKUP(2,1/(#REF!=Z3650),#REF!),""))</f>
        <v/>
      </c>
      <c r="AB3650" t="str">
        <f>IF(Z3650="","",IFERROR(LOOKUP(2,1/(#REF!=Z3650),#REF!),""))</f>
        <v/>
      </c>
      <c r="AC3650" t="str">
        <f>IF(Z3650="","",COUNTIF(#REF!,Z3650))</f>
        <v/>
      </c>
      <c r="AD3650" t="str">
        <f>IF(A3650="","",IF(AC3650&gt;1,"REVISAR DUPLICADO",IF(AA3650&lt;&gt;"","ACTUALIZADO POR EYR","SIN REPORTE EYR")))</f>
        <v/>
      </c>
    </row>
    <row r="3651" spans="11:30" x14ac:dyDescent="0.3">
      <c r="K3651" s="1" t="str">
        <f ca="1">IF(A3651="","",IF(OR(L3651="ENTREGADA",L3651="RETORNADA",L3651="ENTREGA DIGITAL"),0,MAX(0,5-NETWORKDAYS(H3651+1,TODAY()))))</f>
        <v/>
      </c>
      <c r="L3651" t="str">
        <f>IF(A3651="","",IFERROR(LOOKUP(2,1/(#REF!=Z3651),#REF!),Y3651))</f>
        <v/>
      </c>
      <c r="Z3651" t="str">
        <f>IF(A3651="","",TEXT(A3651,"0")&amp;"|"&amp;TEXT(H3651,"0"))</f>
        <v/>
      </c>
      <c r="AA3651" t="str">
        <f>IF(Z3651="","",IFERROR(LOOKUP(2,1/(#REF!=Z3651),#REF!),""))</f>
        <v/>
      </c>
      <c r="AB3651" t="str">
        <f>IF(Z3651="","",IFERROR(LOOKUP(2,1/(#REF!=Z3651),#REF!),""))</f>
        <v/>
      </c>
      <c r="AC3651" t="str">
        <f>IF(Z3651="","",COUNTIF(#REF!,Z3651))</f>
        <v/>
      </c>
      <c r="AD3651" t="str">
        <f>IF(A3651="","",IF(AC3651&gt;1,"REVISAR DUPLICADO",IF(AA3651&lt;&gt;"","ACTUALIZADO POR EYR","SIN REPORTE EYR")))</f>
        <v/>
      </c>
    </row>
    <row r="3652" spans="11:30" x14ac:dyDescent="0.3">
      <c r="K3652" s="1" t="str">
        <f ca="1">IF(A3652="","",IF(OR(L3652="ENTREGADA",L3652="RETORNADA",L3652="ENTREGA DIGITAL"),0,MAX(0,5-NETWORKDAYS(H3652+1,TODAY()))))</f>
        <v/>
      </c>
      <c r="L3652" t="str">
        <f>IF(A3652="","",IFERROR(LOOKUP(2,1/(#REF!=Z3652),#REF!),Y3652))</f>
        <v/>
      </c>
      <c r="Z3652" t="str">
        <f>IF(A3652="","",TEXT(A3652,"0")&amp;"|"&amp;TEXT(H3652,"0"))</f>
        <v/>
      </c>
      <c r="AA3652" t="str">
        <f>IF(Z3652="","",IFERROR(LOOKUP(2,1/(#REF!=Z3652),#REF!),""))</f>
        <v/>
      </c>
      <c r="AB3652" t="str">
        <f>IF(Z3652="","",IFERROR(LOOKUP(2,1/(#REF!=Z3652),#REF!),""))</f>
        <v/>
      </c>
      <c r="AC3652" t="str">
        <f>IF(Z3652="","",COUNTIF(#REF!,Z3652))</f>
        <v/>
      </c>
      <c r="AD3652" t="str">
        <f>IF(A3652="","",IF(AC3652&gt;1,"REVISAR DUPLICADO",IF(AA3652&lt;&gt;"","ACTUALIZADO POR EYR","SIN REPORTE EYR")))</f>
        <v/>
      </c>
    </row>
    <row r="3653" spans="11:30" x14ac:dyDescent="0.3">
      <c r="K3653" s="1" t="str">
        <f ca="1">IF(A3653="","",IF(OR(L3653="ENTREGADA",L3653="RETORNADA",L3653="ENTREGA DIGITAL"),0,MAX(0,5-NETWORKDAYS(H3653+1,TODAY()))))</f>
        <v/>
      </c>
      <c r="L3653" t="str">
        <f>IF(A3653="","",IFERROR(LOOKUP(2,1/(#REF!=Z3653),#REF!),Y3653))</f>
        <v/>
      </c>
      <c r="Z3653" t="str">
        <f>IF(A3653="","",TEXT(A3653,"0")&amp;"|"&amp;TEXT(H3653,"0"))</f>
        <v/>
      </c>
      <c r="AA3653" t="str">
        <f>IF(Z3653="","",IFERROR(LOOKUP(2,1/(#REF!=Z3653),#REF!),""))</f>
        <v/>
      </c>
      <c r="AB3653" t="str">
        <f>IF(Z3653="","",IFERROR(LOOKUP(2,1/(#REF!=Z3653),#REF!),""))</f>
        <v/>
      </c>
      <c r="AC3653" t="str">
        <f>IF(Z3653="","",COUNTIF(#REF!,Z3653))</f>
        <v/>
      </c>
      <c r="AD3653" t="str">
        <f>IF(A3653="","",IF(AC3653&gt;1,"REVISAR DUPLICADO",IF(AA3653&lt;&gt;"","ACTUALIZADO POR EYR","SIN REPORTE EYR")))</f>
        <v/>
      </c>
    </row>
    <row r="3654" spans="11:30" x14ac:dyDescent="0.3">
      <c r="K3654" s="1" t="str">
        <f ca="1">IF(A3654="","",IF(OR(L3654="ENTREGADA",L3654="RETORNADA",L3654="ENTREGA DIGITAL"),0,MAX(0,5-NETWORKDAYS(H3654+1,TODAY()))))</f>
        <v/>
      </c>
      <c r="L3654" t="str">
        <f>IF(A3654="","",IFERROR(LOOKUP(2,1/(#REF!=Z3654),#REF!),Y3654))</f>
        <v/>
      </c>
      <c r="Z3654" t="str">
        <f>IF(A3654="","",TEXT(A3654,"0")&amp;"|"&amp;TEXT(H3654,"0"))</f>
        <v/>
      </c>
      <c r="AA3654" t="str">
        <f>IF(Z3654="","",IFERROR(LOOKUP(2,1/(#REF!=Z3654),#REF!),""))</f>
        <v/>
      </c>
      <c r="AB3654" t="str">
        <f>IF(Z3654="","",IFERROR(LOOKUP(2,1/(#REF!=Z3654),#REF!),""))</f>
        <v/>
      </c>
      <c r="AC3654" t="str">
        <f>IF(Z3654="","",COUNTIF(#REF!,Z3654))</f>
        <v/>
      </c>
      <c r="AD3654" t="str">
        <f>IF(A3654="","",IF(AC3654&gt;1,"REVISAR DUPLICADO",IF(AA3654&lt;&gt;"","ACTUALIZADO POR EYR","SIN REPORTE EYR")))</f>
        <v/>
      </c>
    </row>
    <row r="3655" spans="11:30" x14ac:dyDescent="0.3">
      <c r="K3655" s="1" t="str">
        <f ca="1">IF(A3655="","",IF(OR(L3655="ENTREGADA",L3655="RETORNADA",L3655="ENTREGA DIGITAL"),0,MAX(0,5-NETWORKDAYS(H3655+1,TODAY()))))</f>
        <v/>
      </c>
      <c r="L3655" t="str">
        <f>IF(A3655="","",IFERROR(LOOKUP(2,1/(#REF!=Z3655),#REF!),Y3655))</f>
        <v/>
      </c>
      <c r="Z3655" t="str">
        <f>IF(A3655="","",TEXT(A3655,"0")&amp;"|"&amp;TEXT(H3655,"0"))</f>
        <v/>
      </c>
      <c r="AA3655" t="str">
        <f>IF(Z3655="","",IFERROR(LOOKUP(2,1/(#REF!=Z3655),#REF!),""))</f>
        <v/>
      </c>
      <c r="AB3655" t="str">
        <f>IF(Z3655="","",IFERROR(LOOKUP(2,1/(#REF!=Z3655),#REF!),""))</f>
        <v/>
      </c>
      <c r="AC3655" t="str">
        <f>IF(Z3655="","",COUNTIF(#REF!,Z3655))</f>
        <v/>
      </c>
      <c r="AD3655" t="str">
        <f>IF(A3655="","",IF(AC3655&gt;1,"REVISAR DUPLICADO",IF(AA3655&lt;&gt;"","ACTUALIZADO POR EYR","SIN REPORTE EYR")))</f>
        <v/>
      </c>
    </row>
    <row r="3656" spans="11:30" x14ac:dyDescent="0.3">
      <c r="K3656" s="1" t="str">
        <f ca="1">IF(A3656="","",IF(OR(L3656="ENTREGADA",L3656="RETORNADA",L3656="ENTREGA DIGITAL"),0,MAX(0,5-NETWORKDAYS(H3656+1,TODAY()))))</f>
        <v/>
      </c>
      <c r="L3656" t="str">
        <f>IF(A3656="","",IFERROR(LOOKUP(2,1/(#REF!=Z3656),#REF!),Y3656))</f>
        <v/>
      </c>
      <c r="Z3656" t="str">
        <f>IF(A3656="","",TEXT(A3656,"0")&amp;"|"&amp;TEXT(H3656,"0"))</f>
        <v/>
      </c>
      <c r="AA3656" t="str">
        <f>IF(Z3656="","",IFERROR(LOOKUP(2,1/(#REF!=Z3656),#REF!),""))</f>
        <v/>
      </c>
      <c r="AB3656" t="str">
        <f>IF(Z3656="","",IFERROR(LOOKUP(2,1/(#REF!=Z3656),#REF!),""))</f>
        <v/>
      </c>
      <c r="AC3656" t="str">
        <f>IF(Z3656="","",COUNTIF(#REF!,Z3656))</f>
        <v/>
      </c>
      <c r="AD3656" t="str">
        <f>IF(A3656="","",IF(AC3656&gt;1,"REVISAR DUPLICADO",IF(AA3656&lt;&gt;"","ACTUALIZADO POR EYR","SIN REPORTE EYR")))</f>
        <v/>
      </c>
    </row>
    <row r="3657" spans="11:30" x14ac:dyDescent="0.3">
      <c r="K3657" s="1" t="str">
        <f ca="1">IF(A3657="","",IF(OR(L3657="ENTREGADA",L3657="RETORNADA",L3657="ENTREGA DIGITAL"),0,MAX(0,5-NETWORKDAYS(H3657+1,TODAY()))))</f>
        <v/>
      </c>
      <c r="L3657" t="str">
        <f>IF(A3657="","",IFERROR(LOOKUP(2,1/(#REF!=Z3657),#REF!),Y3657))</f>
        <v/>
      </c>
      <c r="Z3657" t="str">
        <f>IF(A3657="","",TEXT(A3657,"0")&amp;"|"&amp;TEXT(H3657,"0"))</f>
        <v/>
      </c>
      <c r="AA3657" t="str">
        <f>IF(Z3657="","",IFERROR(LOOKUP(2,1/(#REF!=Z3657),#REF!),""))</f>
        <v/>
      </c>
      <c r="AB3657" t="str">
        <f>IF(Z3657="","",IFERROR(LOOKUP(2,1/(#REF!=Z3657),#REF!),""))</f>
        <v/>
      </c>
      <c r="AC3657" t="str">
        <f>IF(Z3657="","",COUNTIF(#REF!,Z3657))</f>
        <v/>
      </c>
      <c r="AD3657" t="str">
        <f>IF(A3657="","",IF(AC3657&gt;1,"REVISAR DUPLICADO",IF(AA3657&lt;&gt;"","ACTUALIZADO POR EYR","SIN REPORTE EYR")))</f>
        <v/>
      </c>
    </row>
    <row r="3658" spans="11:30" x14ac:dyDescent="0.3">
      <c r="K3658" s="1" t="str">
        <f ca="1">IF(A3658="","",IF(OR(L3658="ENTREGADA",L3658="RETORNADA",L3658="ENTREGA DIGITAL"),0,MAX(0,5-NETWORKDAYS(H3658+1,TODAY()))))</f>
        <v/>
      </c>
      <c r="L3658" t="str">
        <f>IF(A3658="","",IFERROR(LOOKUP(2,1/(#REF!=Z3658),#REF!),Y3658))</f>
        <v/>
      </c>
      <c r="Z3658" t="str">
        <f>IF(A3658="","",TEXT(A3658,"0")&amp;"|"&amp;TEXT(H3658,"0"))</f>
        <v/>
      </c>
      <c r="AA3658" t="str">
        <f>IF(Z3658="","",IFERROR(LOOKUP(2,1/(#REF!=Z3658),#REF!),""))</f>
        <v/>
      </c>
      <c r="AB3658" t="str">
        <f>IF(Z3658="","",IFERROR(LOOKUP(2,1/(#REF!=Z3658),#REF!),""))</f>
        <v/>
      </c>
      <c r="AC3658" t="str">
        <f>IF(Z3658="","",COUNTIF(#REF!,Z3658))</f>
        <v/>
      </c>
      <c r="AD3658" t="str">
        <f>IF(A3658="","",IF(AC3658&gt;1,"REVISAR DUPLICADO",IF(AA3658&lt;&gt;"","ACTUALIZADO POR EYR","SIN REPORTE EYR")))</f>
        <v/>
      </c>
    </row>
    <row r="3659" spans="11:30" x14ac:dyDescent="0.3">
      <c r="K3659" s="1" t="str">
        <f ca="1">IF(A3659="","",IF(OR(L3659="ENTREGADA",L3659="RETORNADA",L3659="ENTREGA DIGITAL"),0,MAX(0,5-NETWORKDAYS(H3659+1,TODAY()))))</f>
        <v/>
      </c>
      <c r="L3659" t="str">
        <f>IF(A3659="","",IFERROR(LOOKUP(2,1/(#REF!=Z3659),#REF!),Y3659))</f>
        <v/>
      </c>
      <c r="Z3659" t="str">
        <f>IF(A3659="","",TEXT(A3659,"0")&amp;"|"&amp;TEXT(H3659,"0"))</f>
        <v/>
      </c>
      <c r="AA3659" t="str">
        <f>IF(Z3659="","",IFERROR(LOOKUP(2,1/(#REF!=Z3659),#REF!),""))</f>
        <v/>
      </c>
      <c r="AB3659" t="str">
        <f>IF(Z3659="","",IFERROR(LOOKUP(2,1/(#REF!=Z3659),#REF!),""))</f>
        <v/>
      </c>
      <c r="AC3659" t="str">
        <f>IF(Z3659="","",COUNTIF(#REF!,Z3659))</f>
        <v/>
      </c>
      <c r="AD3659" t="str">
        <f>IF(A3659="","",IF(AC3659&gt;1,"REVISAR DUPLICADO",IF(AA3659&lt;&gt;"","ACTUALIZADO POR EYR","SIN REPORTE EYR")))</f>
        <v/>
      </c>
    </row>
    <row r="3660" spans="11:30" x14ac:dyDescent="0.3">
      <c r="K3660" s="1" t="str">
        <f ca="1">IF(A3660="","",IF(OR(L3660="ENTREGADA",L3660="RETORNADA",L3660="ENTREGA DIGITAL"),0,MAX(0,5-NETWORKDAYS(H3660+1,TODAY()))))</f>
        <v/>
      </c>
      <c r="L3660" t="str">
        <f>IF(A3660="","",IFERROR(LOOKUP(2,1/(#REF!=Z3660),#REF!),Y3660))</f>
        <v/>
      </c>
      <c r="Z3660" t="str">
        <f>IF(A3660="","",TEXT(A3660,"0")&amp;"|"&amp;TEXT(H3660,"0"))</f>
        <v/>
      </c>
      <c r="AA3660" t="str">
        <f>IF(Z3660="","",IFERROR(LOOKUP(2,1/(#REF!=Z3660),#REF!),""))</f>
        <v/>
      </c>
      <c r="AB3660" t="str">
        <f>IF(Z3660="","",IFERROR(LOOKUP(2,1/(#REF!=Z3660),#REF!),""))</f>
        <v/>
      </c>
      <c r="AC3660" t="str">
        <f>IF(Z3660="","",COUNTIF(#REF!,Z3660))</f>
        <v/>
      </c>
      <c r="AD3660" t="str">
        <f>IF(A3660="","",IF(AC3660&gt;1,"REVISAR DUPLICADO",IF(AA3660&lt;&gt;"","ACTUALIZADO POR EYR","SIN REPORTE EYR")))</f>
        <v/>
      </c>
    </row>
    <row r="3661" spans="11:30" x14ac:dyDescent="0.3">
      <c r="K3661" s="1" t="str">
        <f ca="1">IF(A3661="","",IF(OR(L3661="ENTREGADA",L3661="RETORNADA",L3661="ENTREGA DIGITAL"),0,MAX(0,5-NETWORKDAYS(H3661+1,TODAY()))))</f>
        <v/>
      </c>
      <c r="L3661" t="str">
        <f>IF(A3661="","",IFERROR(LOOKUP(2,1/(#REF!=Z3661),#REF!),Y3661))</f>
        <v/>
      </c>
      <c r="Z3661" t="str">
        <f>IF(A3661="","",TEXT(A3661,"0")&amp;"|"&amp;TEXT(H3661,"0"))</f>
        <v/>
      </c>
      <c r="AA3661" t="str">
        <f>IF(Z3661="","",IFERROR(LOOKUP(2,1/(#REF!=Z3661),#REF!),""))</f>
        <v/>
      </c>
      <c r="AB3661" t="str">
        <f>IF(Z3661="","",IFERROR(LOOKUP(2,1/(#REF!=Z3661),#REF!),""))</f>
        <v/>
      </c>
      <c r="AC3661" t="str">
        <f>IF(Z3661="","",COUNTIF(#REF!,Z3661))</f>
        <v/>
      </c>
      <c r="AD3661" t="str">
        <f>IF(A3661="","",IF(AC3661&gt;1,"REVISAR DUPLICADO",IF(AA3661&lt;&gt;"","ACTUALIZADO POR EYR","SIN REPORTE EYR")))</f>
        <v/>
      </c>
    </row>
    <row r="3662" spans="11:30" x14ac:dyDescent="0.3">
      <c r="K3662" s="1" t="str">
        <f ca="1">IF(A3662="","",IF(OR(L3662="ENTREGADA",L3662="RETORNADA",L3662="ENTREGA DIGITAL"),0,MAX(0,5-NETWORKDAYS(H3662+1,TODAY()))))</f>
        <v/>
      </c>
      <c r="L3662" t="str">
        <f>IF(A3662="","",IFERROR(LOOKUP(2,1/(#REF!=Z3662),#REF!),Y3662))</f>
        <v/>
      </c>
      <c r="Z3662" t="str">
        <f>IF(A3662="","",TEXT(A3662,"0")&amp;"|"&amp;TEXT(H3662,"0"))</f>
        <v/>
      </c>
      <c r="AA3662" t="str">
        <f>IF(Z3662="","",IFERROR(LOOKUP(2,1/(#REF!=Z3662),#REF!),""))</f>
        <v/>
      </c>
      <c r="AB3662" t="str">
        <f>IF(Z3662="","",IFERROR(LOOKUP(2,1/(#REF!=Z3662),#REF!),""))</f>
        <v/>
      </c>
      <c r="AC3662" t="str">
        <f>IF(Z3662="","",COUNTIF(#REF!,Z3662))</f>
        <v/>
      </c>
      <c r="AD3662" t="str">
        <f>IF(A3662="","",IF(AC3662&gt;1,"REVISAR DUPLICADO",IF(AA3662&lt;&gt;"","ACTUALIZADO POR EYR","SIN REPORTE EYR")))</f>
        <v/>
      </c>
    </row>
    <row r="3663" spans="11:30" x14ac:dyDescent="0.3">
      <c r="K3663" s="1" t="str">
        <f ca="1">IF(A3663="","",IF(OR(L3663="ENTREGADA",L3663="RETORNADA",L3663="ENTREGA DIGITAL"),0,MAX(0,5-NETWORKDAYS(H3663+1,TODAY()))))</f>
        <v/>
      </c>
      <c r="L3663" t="str">
        <f>IF(A3663="","",IFERROR(LOOKUP(2,1/(#REF!=Z3663),#REF!),Y3663))</f>
        <v/>
      </c>
      <c r="Z3663" t="str">
        <f>IF(A3663="","",TEXT(A3663,"0")&amp;"|"&amp;TEXT(H3663,"0"))</f>
        <v/>
      </c>
      <c r="AA3663" t="str">
        <f>IF(Z3663="","",IFERROR(LOOKUP(2,1/(#REF!=Z3663),#REF!),""))</f>
        <v/>
      </c>
      <c r="AB3663" t="str">
        <f>IF(Z3663="","",IFERROR(LOOKUP(2,1/(#REF!=Z3663),#REF!),""))</f>
        <v/>
      </c>
      <c r="AC3663" t="str">
        <f>IF(Z3663="","",COUNTIF(#REF!,Z3663))</f>
        <v/>
      </c>
      <c r="AD3663" t="str">
        <f>IF(A3663="","",IF(AC3663&gt;1,"REVISAR DUPLICADO",IF(AA3663&lt;&gt;"","ACTUALIZADO POR EYR","SIN REPORTE EYR")))</f>
        <v/>
      </c>
    </row>
    <row r="3664" spans="11:30" x14ac:dyDescent="0.3">
      <c r="K3664" s="1" t="str">
        <f ca="1">IF(A3664="","",IF(OR(L3664="ENTREGADA",L3664="RETORNADA",L3664="ENTREGA DIGITAL"),0,MAX(0,5-NETWORKDAYS(H3664+1,TODAY()))))</f>
        <v/>
      </c>
      <c r="L3664" t="str">
        <f>IF(A3664="","",IFERROR(LOOKUP(2,1/(#REF!=Z3664),#REF!),Y3664))</f>
        <v/>
      </c>
      <c r="Z3664" t="str">
        <f>IF(A3664="","",TEXT(A3664,"0")&amp;"|"&amp;TEXT(H3664,"0"))</f>
        <v/>
      </c>
      <c r="AA3664" t="str">
        <f>IF(Z3664="","",IFERROR(LOOKUP(2,1/(#REF!=Z3664),#REF!),""))</f>
        <v/>
      </c>
      <c r="AB3664" t="str">
        <f>IF(Z3664="","",IFERROR(LOOKUP(2,1/(#REF!=Z3664),#REF!),""))</f>
        <v/>
      </c>
      <c r="AC3664" t="str">
        <f>IF(Z3664="","",COUNTIF(#REF!,Z3664))</f>
        <v/>
      </c>
      <c r="AD3664" t="str">
        <f>IF(A3664="","",IF(AC3664&gt;1,"REVISAR DUPLICADO",IF(AA3664&lt;&gt;"","ACTUALIZADO POR EYR","SIN REPORTE EYR")))</f>
        <v/>
      </c>
    </row>
    <row r="3665" spans="11:30" x14ac:dyDescent="0.3">
      <c r="K3665" s="1" t="str">
        <f ca="1">IF(A3665="","",IF(OR(L3665="ENTREGADA",L3665="RETORNADA",L3665="ENTREGA DIGITAL"),0,MAX(0,5-NETWORKDAYS(H3665+1,TODAY()))))</f>
        <v/>
      </c>
      <c r="L3665" t="str">
        <f>IF(A3665="","",IFERROR(LOOKUP(2,1/(#REF!=Z3665),#REF!),Y3665))</f>
        <v/>
      </c>
      <c r="Z3665" t="str">
        <f>IF(A3665="","",TEXT(A3665,"0")&amp;"|"&amp;TEXT(H3665,"0"))</f>
        <v/>
      </c>
      <c r="AA3665" t="str">
        <f>IF(Z3665="","",IFERROR(LOOKUP(2,1/(#REF!=Z3665),#REF!),""))</f>
        <v/>
      </c>
      <c r="AB3665" t="str">
        <f>IF(Z3665="","",IFERROR(LOOKUP(2,1/(#REF!=Z3665),#REF!),""))</f>
        <v/>
      </c>
      <c r="AC3665" t="str">
        <f>IF(Z3665="","",COUNTIF(#REF!,Z3665))</f>
        <v/>
      </c>
      <c r="AD3665" t="str">
        <f>IF(A3665="","",IF(AC3665&gt;1,"REVISAR DUPLICADO",IF(AA3665&lt;&gt;"","ACTUALIZADO POR EYR","SIN REPORTE EYR")))</f>
        <v/>
      </c>
    </row>
    <row r="3666" spans="11:30" x14ac:dyDescent="0.3">
      <c r="K3666" s="1" t="str">
        <f ca="1">IF(A3666="","",IF(OR(L3666="ENTREGADA",L3666="RETORNADA",L3666="ENTREGA DIGITAL"),0,MAX(0,5-NETWORKDAYS(H3666+1,TODAY()))))</f>
        <v/>
      </c>
      <c r="L3666" t="str">
        <f>IF(A3666="","",IFERROR(LOOKUP(2,1/(#REF!=Z3666),#REF!),Y3666))</f>
        <v/>
      </c>
      <c r="Z3666" t="str">
        <f>IF(A3666="","",TEXT(A3666,"0")&amp;"|"&amp;TEXT(H3666,"0"))</f>
        <v/>
      </c>
      <c r="AA3666" t="str">
        <f>IF(Z3666="","",IFERROR(LOOKUP(2,1/(#REF!=Z3666),#REF!),""))</f>
        <v/>
      </c>
      <c r="AB3666" t="str">
        <f>IF(Z3666="","",IFERROR(LOOKUP(2,1/(#REF!=Z3666),#REF!),""))</f>
        <v/>
      </c>
      <c r="AC3666" t="str">
        <f>IF(Z3666="","",COUNTIF(#REF!,Z3666))</f>
        <v/>
      </c>
      <c r="AD3666" t="str">
        <f>IF(A3666="","",IF(AC3666&gt;1,"REVISAR DUPLICADO",IF(AA3666&lt;&gt;"","ACTUALIZADO POR EYR","SIN REPORTE EYR")))</f>
        <v/>
      </c>
    </row>
    <row r="3667" spans="11:30" x14ac:dyDescent="0.3">
      <c r="K3667" s="1" t="str">
        <f ca="1">IF(A3667="","",IF(OR(L3667="ENTREGADA",L3667="RETORNADA",L3667="ENTREGA DIGITAL"),0,MAX(0,5-NETWORKDAYS(H3667+1,TODAY()))))</f>
        <v/>
      </c>
      <c r="L3667" t="str">
        <f>IF(A3667="","",IFERROR(LOOKUP(2,1/(#REF!=Z3667),#REF!),Y3667))</f>
        <v/>
      </c>
      <c r="Z3667" t="str">
        <f>IF(A3667="","",TEXT(A3667,"0")&amp;"|"&amp;TEXT(H3667,"0"))</f>
        <v/>
      </c>
      <c r="AA3667" t="str">
        <f>IF(Z3667="","",IFERROR(LOOKUP(2,1/(#REF!=Z3667),#REF!),""))</f>
        <v/>
      </c>
      <c r="AB3667" t="str">
        <f>IF(Z3667="","",IFERROR(LOOKUP(2,1/(#REF!=Z3667),#REF!),""))</f>
        <v/>
      </c>
      <c r="AC3667" t="str">
        <f>IF(Z3667="","",COUNTIF(#REF!,Z3667))</f>
        <v/>
      </c>
      <c r="AD3667" t="str">
        <f>IF(A3667="","",IF(AC3667&gt;1,"REVISAR DUPLICADO",IF(AA3667&lt;&gt;"","ACTUALIZADO POR EYR","SIN REPORTE EYR")))</f>
        <v/>
      </c>
    </row>
    <row r="3668" spans="11:30" x14ac:dyDescent="0.3">
      <c r="K3668" s="1" t="str">
        <f ca="1">IF(A3668="","",IF(OR(L3668="ENTREGADA",L3668="RETORNADA",L3668="ENTREGA DIGITAL"),0,MAX(0,5-NETWORKDAYS(H3668+1,TODAY()))))</f>
        <v/>
      </c>
      <c r="L3668" t="str">
        <f>IF(A3668="","",IFERROR(LOOKUP(2,1/(#REF!=Z3668),#REF!),Y3668))</f>
        <v/>
      </c>
      <c r="Z3668" t="str">
        <f>IF(A3668="","",TEXT(A3668,"0")&amp;"|"&amp;TEXT(H3668,"0"))</f>
        <v/>
      </c>
      <c r="AA3668" t="str">
        <f>IF(Z3668="","",IFERROR(LOOKUP(2,1/(#REF!=Z3668),#REF!),""))</f>
        <v/>
      </c>
      <c r="AB3668" t="str">
        <f>IF(Z3668="","",IFERROR(LOOKUP(2,1/(#REF!=Z3668),#REF!),""))</f>
        <v/>
      </c>
      <c r="AC3668" t="str">
        <f>IF(Z3668="","",COUNTIF(#REF!,Z3668))</f>
        <v/>
      </c>
      <c r="AD3668" t="str">
        <f>IF(A3668="","",IF(AC3668&gt;1,"REVISAR DUPLICADO",IF(AA3668&lt;&gt;"","ACTUALIZADO POR EYR","SIN REPORTE EYR")))</f>
        <v/>
      </c>
    </row>
    <row r="3669" spans="11:30" x14ac:dyDescent="0.3">
      <c r="K3669" s="1" t="str">
        <f ca="1">IF(A3669="","",IF(OR(L3669="ENTREGADA",L3669="RETORNADA",L3669="ENTREGA DIGITAL"),0,MAX(0,5-NETWORKDAYS(H3669+1,TODAY()))))</f>
        <v/>
      </c>
      <c r="L3669" t="str">
        <f>IF(A3669="","",IFERROR(LOOKUP(2,1/(#REF!=Z3669),#REF!),Y3669))</f>
        <v/>
      </c>
      <c r="Z3669" t="str">
        <f>IF(A3669="","",TEXT(A3669,"0")&amp;"|"&amp;TEXT(H3669,"0"))</f>
        <v/>
      </c>
      <c r="AA3669" t="str">
        <f>IF(Z3669="","",IFERROR(LOOKUP(2,1/(#REF!=Z3669),#REF!),""))</f>
        <v/>
      </c>
      <c r="AB3669" t="str">
        <f>IF(Z3669="","",IFERROR(LOOKUP(2,1/(#REF!=Z3669),#REF!),""))</f>
        <v/>
      </c>
      <c r="AC3669" t="str">
        <f>IF(Z3669="","",COUNTIF(#REF!,Z3669))</f>
        <v/>
      </c>
      <c r="AD3669" t="str">
        <f>IF(A3669="","",IF(AC3669&gt;1,"REVISAR DUPLICADO",IF(AA3669&lt;&gt;"","ACTUALIZADO POR EYR","SIN REPORTE EYR")))</f>
        <v/>
      </c>
    </row>
    <row r="3670" spans="11:30" x14ac:dyDescent="0.3">
      <c r="K3670" s="1" t="str">
        <f ca="1">IF(A3670="","",IF(OR(L3670="ENTREGADA",L3670="RETORNADA",L3670="ENTREGA DIGITAL"),0,MAX(0,5-NETWORKDAYS(H3670+1,TODAY()))))</f>
        <v/>
      </c>
      <c r="L3670" t="str">
        <f>IF(A3670="","",IFERROR(LOOKUP(2,1/(#REF!=Z3670),#REF!),Y3670))</f>
        <v/>
      </c>
      <c r="Z3670" t="str">
        <f>IF(A3670="","",TEXT(A3670,"0")&amp;"|"&amp;TEXT(H3670,"0"))</f>
        <v/>
      </c>
      <c r="AA3670" t="str">
        <f>IF(Z3670="","",IFERROR(LOOKUP(2,1/(#REF!=Z3670),#REF!),""))</f>
        <v/>
      </c>
      <c r="AB3670" t="str">
        <f>IF(Z3670="","",IFERROR(LOOKUP(2,1/(#REF!=Z3670),#REF!),""))</f>
        <v/>
      </c>
      <c r="AC3670" t="str">
        <f>IF(Z3670="","",COUNTIF(#REF!,Z3670))</f>
        <v/>
      </c>
      <c r="AD3670" t="str">
        <f>IF(A3670="","",IF(AC3670&gt;1,"REVISAR DUPLICADO",IF(AA3670&lt;&gt;"","ACTUALIZADO POR EYR","SIN REPORTE EYR")))</f>
        <v/>
      </c>
    </row>
    <row r="3671" spans="11:30" x14ac:dyDescent="0.3">
      <c r="K3671" s="1" t="str">
        <f ca="1">IF(A3671="","",IF(OR(L3671="ENTREGADA",L3671="RETORNADA",L3671="ENTREGA DIGITAL"),0,MAX(0,5-NETWORKDAYS(H3671+1,TODAY()))))</f>
        <v/>
      </c>
      <c r="L3671" t="str">
        <f>IF(A3671="","",IFERROR(LOOKUP(2,1/(#REF!=Z3671),#REF!),Y3671))</f>
        <v/>
      </c>
      <c r="Z3671" t="str">
        <f>IF(A3671="","",TEXT(A3671,"0")&amp;"|"&amp;TEXT(H3671,"0"))</f>
        <v/>
      </c>
      <c r="AA3671" t="str">
        <f>IF(Z3671="","",IFERROR(LOOKUP(2,1/(#REF!=Z3671),#REF!),""))</f>
        <v/>
      </c>
      <c r="AB3671" t="str">
        <f>IF(Z3671="","",IFERROR(LOOKUP(2,1/(#REF!=Z3671),#REF!),""))</f>
        <v/>
      </c>
      <c r="AC3671" t="str">
        <f>IF(Z3671="","",COUNTIF(#REF!,Z3671))</f>
        <v/>
      </c>
      <c r="AD3671" t="str">
        <f>IF(A3671="","",IF(AC3671&gt;1,"REVISAR DUPLICADO",IF(AA3671&lt;&gt;"","ACTUALIZADO POR EYR","SIN REPORTE EYR")))</f>
        <v/>
      </c>
    </row>
    <row r="3672" spans="11:30" x14ac:dyDescent="0.3">
      <c r="K3672" s="1" t="str">
        <f ca="1">IF(A3672="","",IF(OR(L3672="ENTREGADA",L3672="RETORNADA",L3672="ENTREGA DIGITAL"),0,MAX(0,5-NETWORKDAYS(H3672+1,TODAY()))))</f>
        <v/>
      </c>
      <c r="L3672" t="str">
        <f>IF(A3672="","",IFERROR(LOOKUP(2,1/(#REF!=Z3672),#REF!),Y3672))</f>
        <v/>
      </c>
      <c r="Z3672" t="str">
        <f>IF(A3672="","",TEXT(A3672,"0")&amp;"|"&amp;TEXT(H3672,"0"))</f>
        <v/>
      </c>
      <c r="AA3672" t="str">
        <f>IF(Z3672="","",IFERROR(LOOKUP(2,1/(#REF!=Z3672),#REF!),""))</f>
        <v/>
      </c>
      <c r="AB3672" t="str">
        <f>IF(Z3672="","",IFERROR(LOOKUP(2,1/(#REF!=Z3672),#REF!),""))</f>
        <v/>
      </c>
      <c r="AC3672" t="str">
        <f>IF(Z3672="","",COUNTIF(#REF!,Z3672))</f>
        <v/>
      </c>
      <c r="AD3672" t="str">
        <f>IF(A3672="","",IF(AC3672&gt;1,"REVISAR DUPLICADO",IF(AA3672&lt;&gt;"","ACTUALIZADO POR EYR","SIN REPORTE EYR")))</f>
        <v/>
      </c>
    </row>
    <row r="3673" spans="11:30" x14ac:dyDescent="0.3">
      <c r="K3673" s="1" t="str">
        <f ca="1">IF(A3673="","",IF(OR(L3673="ENTREGADA",L3673="RETORNADA",L3673="ENTREGA DIGITAL"),0,MAX(0,5-NETWORKDAYS(H3673+1,TODAY()))))</f>
        <v/>
      </c>
      <c r="L3673" t="str">
        <f>IF(A3673="","",IFERROR(LOOKUP(2,1/(#REF!=Z3673),#REF!),Y3673))</f>
        <v/>
      </c>
      <c r="Z3673" t="str">
        <f>IF(A3673="","",TEXT(A3673,"0")&amp;"|"&amp;TEXT(H3673,"0"))</f>
        <v/>
      </c>
      <c r="AA3673" t="str">
        <f>IF(Z3673="","",IFERROR(LOOKUP(2,1/(#REF!=Z3673),#REF!),""))</f>
        <v/>
      </c>
      <c r="AB3673" t="str">
        <f>IF(Z3673="","",IFERROR(LOOKUP(2,1/(#REF!=Z3673),#REF!),""))</f>
        <v/>
      </c>
      <c r="AC3673" t="str">
        <f>IF(Z3673="","",COUNTIF(#REF!,Z3673))</f>
        <v/>
      </c>
      <c r="AD3673" t="str">
        <f>IF(A3673="","",IF(AC3673&gt;1,"REVISAR DUPLICADO",IF(AA3673&lt;&gt;"","ACTUALIZADO POR EYR","SIN REPORTE EYR")))</f>
        <v/>
      </c>
    </row>
    <row r="3674" spans="11:30" x14ac:dyDescent="0.3">
      <c r="K3674" s="1" t="str">
        <f ca="1">IF(A3674="","",IF(OR(L3674="ENTREGADA",L3674="RETORNADA",L3674="ENTREGA DIGITAL"),0,MAX(0,5-NETWORKDAYS(H3674+1,TODAY()))))</f>
        <v/>
      </c>
      <c r="L3674" t="str">
        <f>IF(A3674="","",IFERROR(LOOKUP(2,1/(#REF!=Z3674),#REF!),Y3674))</f>
        <v/>
      </c>
      <c r="Z3674" t="str">
        <f>IF(A3674="","",TEXT(A3674,"0")&amp;"|"&amp;TEXT(H3674,"0"))</f>
        <v/>
      </c>
      <c r="AA3674" t="str">
        <f>IF(Z3674="","",IFERROR(LOOKUP(2,1/(#REF!=Z3674),#REF!),""))</f>
        <v/>
      </c>
      <c r="AB3674" t="str">
        <f>IF(Z3674="","",IFERROR(LOOKUP(2,1/(#REF!=Z3674),#REF!),""))</f>
        <v/>
      </c>
      <c r="AC3674" t="str">
        <f>IF(Z3674="","",COUNTIF(#REF!,Z3674))</f>
        <v/>
      </c>
      <c r="AD3674" t="str">
        <f>IF(A3674="","",IF(AC3674&gt;1,"REVISAR DUPLICADO",IF(AA3674&lt;&gt;"","ACTUALIZADO POR EYR","SIN REPORTE EYR")))</f>
        <v/>
      </c>
    </row>
    <row r="3675" spans="11:30" x14ac:dyDescent="0.3">
      <c r="K3675" s="1" t="str">
        <f ca="1">IF(A3675="","",IF(OR(L3675="ENTREGADA",L3675="RETORNADA",L3675="ENTREGA DIGITAL"),0,MAX(0,5-NETWORKDAYS(H3675+1,TODAY()))))</f>
        <v/>
      </c>
      <c r="L3675" t="str">
        <f>IF(A3675="","",IFERROR(LOOKUP(2,1/(#REF!=Z3675),#REF!),Y3675))</f>
        <v/>
      </c>
      <c r="Z3675" t="str">
        <f>IF(A3675="","",TEXT(A3675,"0")&amp;"|"&amp;TEXT(H3675,"0"))</f>
        <v/>
      </c>
      <c r="AA3675" t="str">
        <f>IF(Z3675="","",IFERROR(LOOKUP(2,1/(#REF!=Z3675),#REF!),""))</f>
        <v/>
      </c>
      <c r="AB3675" t="str">
        <f>IF(Z3675="","",IFERROR(LOOKUP(2,1/(#REF!=Z3675),#REF!),""))</f>
        <v/>
      </c>
      <c r="AC3675" t="str">
        <f>IF(Z3675="","",COUNTIF(#REF!,Z3675))</f>
        <v/>
      </c>
      <c r="AD3675" t="str">
        <f>IF(A3675="","",IF(AC3675&gt;1,"REVISAR DUPLICADO",IF(AA3675&lt;&gt;"","ACTUALIZADO POR EYR","SIN REPORTE EYR")))</f>
        <v/>
      </c>
    </row>
    <row r="3676" spans="11:30" x14ac:dyDescent="0.3">
      <c r="K3676" s="1" t="str">
        <f ca="1">IF(A3676="","",IF(OR(L3676="ENTREGADA",L3676="RETORNADA",L3676="ENTREGA DIGITAL"),0,MAX(0,5-NETWORKDAYS(H3676+1,TODAY()))))</f>
        <v/>
      </c>
      <c r="L3676" t="str">
        <f>IF(A3676="","",IFERROR(LOOKUP(2,1/(#REF!=Z3676),#REF!),Y3676))</f>
        <v/>
      </c>
      <c r="Z3676" t="str">
        <f>IF(A3676="","",TEXT(A3676,"0")&amp;"|"&amp;TEXT(H3676,"0"))</f>
        <v/>
      </c>
      <c r="AA3676" t="str">
        <f>IF(Z3676="","",IFERROR(LOOKUP(2,1/(#REF!=Z3676),#REF!),""))</f>
        <v/>
      </c>
      <c r="AB3676" t="str">
        <f>IF(Z3676="","",IFERROR(LOOKUP(2,1/(#REF!=Z3676),#REF!),""))</f>
        <v/>
      </c>
      <c r="AC3676" t="str">
        <f>IF(Z3676="","",COUNTIF(#REF!,Z3676))</f>
        <v/>
      </c>
      <c r="AD3676" t="str">
        <f>IF(A3676="","",IF(AC3676&gt;1,"REVISAR DUPLICADO",IF(AA3676&lt;&gt;"","ACTUALIZADO POR EYR","SIN REPORTE EYR")))</f>
        <v/>
      </c>
    </row>
    <row r="3677" spans="11:30" x14ac:dyDescent="0.3">
      <c r="K3677" s="1" t="str">
        <f ca="1">IF(A3677="","",IF(OR(L3677="ENTREGADA",L3677="RETORNADA",L3677="ENTREGA DIGITAL"),0,MAX(0,5-NETWORKDAYS(H3677+1,TODAY()))))</f>
        <v/>
      </c>
      <c r="L3677" t="str">
        <f>IF(A3677="","",IFERROR(LOOKUP(2,1/(#REF!=Z3677),#REF!),Y3677))</f>
        <v/>
      </c>
      <c r="Z3677" t="str">
        <f>IF(A3677="","",TEXT(A3677,"0")&amp;"|"&amp;TEXT(H3677,"0"))</f>
        <v/>
      </c>
      <c r="AA3677" t="str">
        <f>IF(Z3677="","",IFERROR(LOOKUP(2,1/(#REF!=Z3677),#REF!),""))</f>
        <v/>
      </c>
      <c r="AB3677" t="str">
        <f>IF(Z3677="","",IFERROR(LOOKUP(2,1/(#REF!=Z3677),#REF!),""))</f>
        <v/>
      </c>
      <c r="AC3677" t="str">
        <f>IF(Z3677="","",COUNTIF(#REF!,Z3677))</f>
        <v/>
      </c>
      <c r="AD3677" t="str">
        <f>IF(A3677="","",IF(AC3677&gt;1,"REVISAR DUPLICADO",IF(AA3677&lt;&gt;"","ACTUALIZADO POR EYR","SIN REPORTE EYR")))</f>
        <v/>
      </c>
    </row>
    <row r="3678" spans="11:30" x14ac:dyDescent="0.3">
      <c r="K3678" s="1" t="str">
        <f ca="1">IF(A3678="","",IF(OR(L3678="ENTREGADA",L3678="RETORNADA",L3678="ENTREGA DIGITAL"),0,MAX(0,5-NETWORKDAYS(H3678+1,TODAY()))))</f>
        <v/>
      </c>
      <c r="L3678" t="str">
        <f>IF(A3678="","",IFERROR(LOOKUP(2,1/(#REF!=Z3678),#REF!),Y3678))</f>
        <v/>
      </c>
      <c r="Z3678" t="str">
        <f>IF(A3678="","",TEXT(A3678,"0")&amp;"|"&amp;TEXT(H3678,"0"))</f>
        <v/>
      </c>
      <c r="AA3678" t="str">
        <f>IF(Z3678="","",IFERROR(LOOKUP(2,1/(#REF!=Z3678),#REF!),""))</f>
        <v/>
      </c>
      <c r="AB3678" t="str">
        <f>IF(Z3678="","",IFERROR(LOOKUP(2,1/(#REF!=Z3678),#REF!),""))</f>
        <v/>
      </c>
      <c r="AC3678" t="str">
        <f>IF(Z3678="","",COUNTIF(#REF!,Z3678))</f>
        <v/>
      </c>
      <c r="AD3678" t="str">
        <f>IF(A3678="","",IF(AC3678&gt;1,"REVISAR DUPLICADO",IF(AA3678&lt;&gt;"","ACTUALIZADO POR EYR","SIN REPORTE EYR")))</f>
        <v/>
      </c>
    </row>
    <row r="3679" spans="11:30" x14ac:dyDescent="0.3">
      <c r="K3679" s="1" t="str">
        <f ca="1">IF(A3679="","",IF(OR(L3679="ENTREGADA",L3679="RETORNADA",L3679="ENTREGA DIGITAL"),0,MAX(0,5-NETWORKDAYS(H3679+1,TODAY()))))</f>
        <v/>
      </c>
      <c r="L3679" t="str">
        <f>IF(A3679="","",IFERROR(LOOKUP(2,1/(#REF!=Z3679),#REF!),Y3679))</f>
        <v/>
      </c>
      <c r="Z3679" t="str">
        <f>IF(A3679="","",TEXT(A3679,"0")&amp;"|"&amp;TEXT(H3679,"0"))</f>
        <v/>
      </c>
      <c r="AA3679" t="str">
        <f>IF(Z3679="","",IFERROR(LOOKUP(2,1/(#REF!=Z3679),#REF!),""))</f>
        <v/>
      </c>
      <c r="AB3679" t="str">
        <f>IF(Z3679="","",IFERROR(LOOKUP(2,1/(#REF!=Z3679),#REF!),""))</f>
        <v/>
      </c>
      <c r="AC3679" t="str">
        <f>IF(Z3679="","",COUNTIF(#REF!,Z3679))</f>
        <v/>
      </c>
      <c r="AD3679" t="str">
        <f>IF(A3679="","",IF(AC3679&gt;1,"REVISAR DUPLICADO",IF(AA3679&lt;&gt;"","ACTUALIZADO POR EYR","SIN REPORTE EYR")))</f>
        <v/>
      </c>
    </row>
    <row r="3680" spans="11:30" x14ac:dyDescent="0.3">
      <c r="K3680" s="1" t="str">
        <f ca="1">IF(A3680="","",IF(OR(L3680="ENTREGADA",L3680="RETORNADA",L3680="ENTREGA DIGITAL"),0,MAX(0,5-NETWORKDAYS(H3680+1,TODAY()))))</f>
        <v/>
      </c>
      <c r="L3680" t="str">
        <f>IF(A3680="","",IFERROR(LOOKUP(2,1/(#REF!=Z3680),#REF!),Y3680))</f>
        <v/>
      </c>
      <c r="Z3680" t="str">
        <f>IF(A3680="","",TEXT(A3680,"0")&amp;"|"&amp;TEXT(H3680,"0"))</f>
        <v/>
      </c>
      <c r="AA3680" t="str">
        <f>IF(Z3680="","",IFERROR(LOOKUP(2,1/(#REF!=Z3680),#REF!),""))</f>
        <v/>
      </c>
      <c r="AB3680" t="str">
        <f>IF(Z3680="","",IFERROR(LOOKUP(2,1/(#REF!=Z3680),#REF!),""))</f>
        <v/>
      </c>
      <c r="AC3680" t="str">
        <f>IF(Z3680="","",COUNTIF(#REF!,Z3680))</f>
        <v/>
      </c>
      <c r="AD3680" t="str">
        <f>IF(A3680="","",IF(AC3680&gt;1,"REVISAR DUPLICADO",IF(AA3680&lt;&gt;"","ACTUALIZADO POR EYR","SIN REPORTE EYR")))</f>
        <v/>
      </c>
    </row>
    <row r="3681" spans="11:30" x14ac:dyDescent="0.3">
      <c r="K3681" s="1" t="str">
        <f ca="1">IF(A3681="","",IF(OR(L3681="ENTREGADA",L3681="RETORNADA",L3681="ENTREGA DIGITAL"),0,MAX(0,5-NETWORKDAYS(H3681+1,TODAY()))))</f>
        <v/>
      </c>
      <c r="L3681" t="str">
        <f>IF(A3681="","",IFERROR(LOOKUP(2,1/(#REF!=Z3681),#REF!),Y3681))</f>
        <v/>
      </c>
      <c r="Z3681" t="str">
        <f>IF(A3681="","",TEXT(A3681,"0")&amp;"|"&amp;TEXT(H3681,"0"))</f>
        <v/>
      </c>
      <c r="AA3681" t="str">
        <f>IF(Z3681="","",IFERROR(LOOKUP(2,1/(#REF!=Z3681),#REF!),""))</f>
        <v/>
      </c>
      <c r="AB3681" t="str">
        <f>IF(Z3681="","",IFERROR(LOOKUP(2,1/(#REF!=Z3681),#REF!),""))</f>
        <v/>
      </c>
      <c r="AC3681" t="str">
        <f>IF(Z3681="","",COUNTIF(#REF!,Z3681))</f>
        <v/>
      </c>
      <c r="AD3681" t="str">
        <f>IF(A3681="","",IF(AC3681&gt;1,"REVISAR DUPLICADO",IF(AA3681&lt;&gt;"","ACTUALIZADO POR EYR","SIN REPORTE EYR")))</f>
        <v/>
      </c>
    </row>
    <row r="3682" spans="11:30" x14ac:dyDescent="0.3">
      <c r="K3682" s="1" t="str">
        <f ca="1">IF(A3682="","",IF(OR(L3682="ENTREGADA",L3682="RETORNADA",L3682="ENTREGA DIGITAL"),0,MAX(0,5-NETWORKDAYS(H3682+1,TODAY()))))</f>
        <v/>
      </c>
      <c r="L3682" t="str">
        <f>IF(A3682="","",IFERROR(LOOKUP(2,1/(#REF!=Z3682),#REF!),Y3682))</f>
        <v/>
      </c>
      <c r="Z3682" t="str">
        <f>IF(A3682="","",TEXT(A3682,"0")&amp;"|"&amp;TEXT(H3682,"0"))</f>
        <v/>
      </c>
      <c r="AA3682" t="str">
        <f>IF(Z3682="","",IFERROR(LOOKUP(2,1/(#REF!=Z3682),#REF!),""))</f>
        <v/>
      </c>
      <c r="AB3682" t="str">
        <f>IF(Z3682="","",IFERROR(LOOKUP(2,1/(#REF!=Z3682),#REF!),""))</f>
        <v/>
      </c>
      <c r="AC3682" t="str">
        <f>IF(Z3682="","",COUNTIF(#REF!,Z3682))</f>
        <v/>
      </c>
      <c r="AD3682" t="str">
        <f>IF(A3682="","",IF(AC3682&gt;1,"REVISAR DUPLICADO",IF(AA3682&lt;&gt;"","ACTUALIZADO POR EYR","SIN REPORTE EYR")))</f>
        <v/>
      </c>
    </row>
    <row r="3683" spans="11:30" x14ac:dyDescent="0.3">
      <c r="K3683" s="1" t="str">
        <f ca="1">IF(A3683="","",IF(OR(L3683="ENTREGADA",L3683="RETORNADA",L3683="ENTREGA DIGITAL"),0,MAX(0,5-NETWORKDAYS(H3683+1,TODAY()))))</f>
        <v/>
      </c>
      <c r="L3683" t="str">
        <f>IF(A3683="","",IFERROR(LOOKUP(2,1/(#REF!=Z3683),#REF!),Y3683))</f>
        <v/>
      </c>
      <c r="Z3683" t="str">
        <f>IF(A3683="","",TEXT(A3683,"0")&amp;"|"&amp;TEXT(H3683,"0"))</f>
        <v/>
      </c>
      <c r="AA3683" t="str">
        <f>IF(Z3683="","",IFERROR(LOOKUP(2,1/(#REF!=Z3683),#REF!),""))</f>
        <v/>
      </c>
      <c r="AB3683" t="str">
        <f>IF(Z3683="","",IFERROR(LOOKUP(2,1/(#REF!=Z3683),#REF!),""))</f>
        <v/>
      </c>
      <c r="AC3683" t="str">
        <f>IF(Z3683="","",COUNTIF(#REF!,Z3683))</f>
        <v/>
      </c>
      <c r="AD3683" t="str">
        <f>IF(A3683="","",IF(AC3683&gt;1,"REVISAR DUPLICADO",IF(AA3683&lt;&gt;"","ACTUALIZADO POR EYR","SIN REPORTE EYR")))</f>
        <v/>
      </c>
    </row>
    <row r="3684" spans="11:30" x14ac:dyDescent="0.3">
      <c r="K3684" s="1" t="str">
        <f ca="1">IF(A3684="","",IF(OR(L3684="ENTREGADA",L3684="RETORNADA",L3684="ENTREGA DIGITAL"),0,MAX(0,5-NETWORKDAYS(H3684+1,TODAY()))))</f>
        <v/>
      </c>
      <c r="L3684" t="str">
        <f>IF(A3684="","",IFERROR(LOOKUP(2,1/(#REF!=Z3684),#REF!),Y3684))</f>
        <v/>
      </c>
      <c r="Z3684" t="str">
        <f>IF(A3684="","",TEXT(A3684,"0")&amp;"|"&amp;TEXT(H3684,"0"))</f>
        <v/>
      </c>
      <c r="AA3684" t="str">
        <f>IF(Z3684="","",IFERROR(LOOKUP(2,1/(#REF!=Z3684),#REF!),""))</f>
        <v/>
      </c>
      <c r="AB3684" t="str">
        <f>IF(Z3684="","",IFERROR(LOOKUP(2,1/(#REF!=Z3684),#REF!),""))</f>
        <v/>
      </c>
      <c r="AC3684" t="str">
        <f>IF(Z3684="","",COUNTIF(#REF!,Z3684))</f>
        <v/>
      </c>
      <c r="AD3684" t="str">
        <f>IF(A3684="","",IF(AC3684&gt;1,"REVISAR DUPLICADO",IF(AA3684&lt;&gt;"","ACTUALIZADO POR EYR","SIN REPORTE EYR")))</f>
        <v/>
      </c>
    </row>
    <row r="3685" spans="11:30" x14ac:dyDescent="0.3">
      <c r="K3685" s="1" t="str">
        <f ca="1">IF(A3685="","",IF(OR(L3685="ENTREGADA",L3685="RETORNADA",L3685="ENTREGA DIGITAL"),0,MAX(0,5-NETWORKDAYS(H3685+1,TODAY()))))</f>
        <v/>
      </c>
      <c r="L3685" t="str">
        <f>IF(A3685="","",IFERROR(LOOKUP(2,1/(#REF!=Z3685),#REF!),Y3685))</f>
        <v/>
      </c>
      <c r="Z3685" t="str">
        <f>IF(A3685="","",TEXT(A3685,"0")&amp;"|"&amp;TEXT(H3685,"0"))</f>
        <v/>
      </c>
      <c r="AA3685" t="str">
        <f>IF(Z3685="","",IFERROR(LOOKUP(2,1/(#REF!=Z3685),#REF!),""))</f>
        <v/>
      </c>
      <c r="AB3685" t="str">
        <f>IF(Z3685="","",IFERROR(LOOKUP(2,1/(#REF!=Z3685),#REF!),""))</f>
        <v/>
      </c>
      <c r="AC3685" t="str">
        <f>IF(Z3685="","",COUNTIF(#REF!,Z3685))</f>
        <v/>
      </c>
      <c r="AD3685" t="str">
        <f>IF(A3685="","",IF(AC3685&gt;1,"REVISAR DUPLICADO",IF(AA3685&lt;&gt;"","ACTUALIZADO POR EYR","SIN REPORTE EYR")))</f>
        <v/>
      </c>
    </row>
    <row r="3686" spans="11:30" x14ac:dyDescent="0.3">
      <c r="K3686" s="1" t="str">
        <f ca="1">IF(A3686="","",IF(OR(L3686="ENTREGADA",L3686="RETORNADA",L3686="ENTREGA DIGITAL"),0,MAX(0,5-NETWORKDAYS(H3686+1,TODAY()))))</f>
        <v/>
      </c>
      <c r="L3686" t="str">
        <f>IF(A3686="","",IFERROR(LOOKUP(2,1/(#REF!=Z3686),#REF!),Y3686))</f>
        <v/>
      </c>
      <c r="Z3686" t="str">
        <f>IF(A3686="","",TEXT(A3686,"0")&amp;"|"&amp;TEXT(H3686,"0"))</f>
        <v/>
      </c>
      <c r="AA3686" t="str">
        <f>IF(Z3686="","",IFERROR(LOOKUP(2,1/(#REF!=Z3686),#REF!),""))</f>
        <v/>
      </c>
      <c r="AB3686" t="str">
        <f>IF(Z3686="","",IFERROR(LOOKUP(2,1/(#REF!=Z3686),#REF!),""))</f>
        <v/>
      </c>
      <c r="AC3686" t="str">
        <f>IF(Z3686="","",COUNTIF(#REF!,Z3686))</f>
        <v/>
      </c>
      <c r="AD3686" t="str">
        <f>IF(A3686="","",IF(AC3686&gt;1,"REVISAR DUPLICADO",IF(AA3686&lt;&gt;"","ACTUALIZADO POR EYR","SIN REPORTE EYR")))</f>
        <v/>
      </c>
    </row>
    <row r="3687" spans="11:30" x14ac:dyDescent="0.3">
      <c r="K3687" s="1" t="str">
        <f ca="1">IF(A3687="","",IF(OR(L3687="ENTREGADA",L3687="RETORNADA",L3687="ENTREGA DIGITAL"),0,MAX(0,5-NETWORKDAYS(H3687+1,TODAY()))))</f>
        <v/>
      </c>
      <c r="L3687" t="str">
        <f>IF(A3687="","",IFERROR(LOOKUP(2,1/(#REF!=Z3687),#REF!),Y3687))</f>
        <v/>
      </c>
      <c r="Z3687" t="str">
        <f>IF(A3687="","",TEXT(A3687,"0")&amp;"|"&amp;TEXT(H3687,"0"))</f>
        <v/>
      </c>
      <c r="AA3687" t="str">
        <f>IF(Z3687="","",IFERROR(LOOKUP(2,1/(#REF!=Z3687),#REF!),""))</f>
        <v/>
      </c>
      <c r="AB3687" t="str">
        <f>IF(Z3687="","",IFERROR(LOOKUP(2,1/(#REF!=Z3687),#REF!),""))</f>
        <v/>
      </c>
      <c r="AC3687" t="str">
        <f>IF(Z3687="","",COUNTIF(#REF!,Z3687))</f>
        <v/>
      </c>
      <c r="AD3687" t="str">
        <f>IF(A3687="","",IF(AC3687&gt;1,"REVISAR DUPLICADO",IF(AA3687&lt;&gt;"","ACTUALIZADO POR EYR","SIN REPORTE EYR")))</f>
        <v/>
      </c>
    </row>
    <row r="3688" spans="11:30" x14ac:dyDescent="0.3">
      <c r="K3688" s="1" t="str">
        <f ca="1">IF(A3688="","",IF(OR(L3688="ENTREGADA",L3688="RETORNADA",L3688="ENTREGA DIGITAL"),0,MAX(0,5-NETWORKDAYS(H3688+1,TODAY()))))</f>
        <v/>
      </c>
      <c r="L3688" t="str">
        <f>IF(A3688="","",IFERROR(LOOKUP(2,1/(#REF!=Z3688),#REF!),Y3688))</f>
        <v/>
      </c>
      <c r="Z3688" t="str">
        <f>IF(A3688="","",TEXT(A3688,"0")&amp;"|"&amp;TEXT(H3688,"0"))</f>
        <v/>
      </c>
      <c r="AA3688" t="str">
        <f>IF(Z3688="","",IFERROR(LOOKUP(2,1/(#REF!=Z3688),#REF!),""))</f>
        <v/>
      </c>
      <c r="AB3688" t="str">
        <f>IF(Z3688="","",IFERROR(LOOKUP(2,1/(#REF!=Z3688),#REF!),""))</f>
        <v/>
      </c>
      <c r="AC3688" t="str">
        <f>IF(Z3688="","",COUNTIF(#REF!,Z3688))</f>
        <v/>
      </c>
      <c r="AD3688" t="str">
        <f>IF(A3688="","",IF(AC3688&gt;1,"REVISAR DUPLICADO",IF(AA3688&lt;&gt;"","ACTUALIZADO POR EYR","SIN REPORTE EYR")))</f>
        <v/>
      </c>
    </row>
    <row r="3689" spans="11:30" x14ac:dyDescent="0.3">
      <c r="K3689" s="1" t="str">
        <f ca="1">IF(A3689="","",IF(OR(L3689="ENTREGADA",L3689="RETORNADA",L3689="ENTREGA DIGITAL"),0,MAX(0,5-NETWORKDAYS(H3689+1,TODAY()))))</f>
        <v/>
      </c>
      <c r="L3689" t="str">
        <f>IF(A3689="","",IFERROR(LOOKUP(2,1/(#REF!=Z3689),#REF!),Y3689))</f>
        <v/>
      </c>
      <c r="Z3689" t="str">
        <f>IF(A3689="","",TEXT(A3689,"0")&amp;"|"&amp;TEXT(H3689,"0"))</f>
        <v/>
      </c>
      <c r="AA3689" t="str">
        <f>IF(Z3689="","",IFERROR(LOOKUP(2,1/(#REF!=Z3689),#REF!),""))</f>
        <v/>
      </c>
      <c r="AB3689" t="str">
        <f>IF(Z3689="","",IFERROR(LOOKUP(2,1/(#REF!=Z3689),#REF!),""))</f>
        <v/>
      </c>
      <c r="AC3689" t="str">
        <f>IF(Z3689="","",COUNTIF(#REF!,Z3689))</f>
        <v/>
      </c>
      <c r="AD3689" t="str">
        <f>IF(A3689="","",IF(AC3689&gt;1,"REVISAR DUPLICADO",IF(AA3689&lt;&gt;"","ACTUALIZADO POR EYR","SIN REPORTE EYR")))</f>
        <v/>
      </c>
    </row>
    <row r="3690" spans="11:30" x14ac:dyDescent="0.3">
      <c r="K3690" s="1" t="str">
        <f ca="1">IF(A3690="","",IF(OR(L3690="ENTREGADA",L3690="RETORNADA",L3690="ENTREGA DIGITAL"),0,MAX(0,5-NETWORKDAYS(H3690+1,TODAY()))))</f>
        <v/>
      </c>
      <c r="L3690" t="str">
        <f>IF(A3690="","",IFERROR(LOOKUP(2,1/(#REF!=Z3690),#REF!),Y3690))</f>
        <v/>
      </c>
      <c r="Z3690" t="str">
        <f>IF(A3690="","",TEXT(A3690,"0")&amp;"|"&amp;TEXT(H3690,"0"))</f>
        <v/>
      </c>
      <c r="AA3690" t="str">
        <f>IF(Z3690="","",IFERROR(LOOKUP(2,1/(#REF!=Z3690),#REF!),""))</f>
        <v/>
      </c>
      <c r="AB3690" t="str">
        <f>IF(Z3690="","",IFERROR(LOOKUP(2,1/(#REF!=Z3690),#REF!),""))</f>
        <v/>
      </c>
      <c r="AC3690" t="str">
        <f>IF(Z3690="","",COUNTIF(#REF!,Z3690))</f>
        <v/>
      </c>
      <c r="AD3690" t="str">
        <f>IF(A3690="","",IF(AC3690&gt;1,"REVISAR DUPLICADO",IF(AA3690&lt;&gt;"","ACTUALIZADO POR EYR","SIN REPORTE EYR")))</f>
        <v/>
      </c>
    </row>
    <row r="3691" spans="11:30" x14ac:dyDescent="0.3">
      <c r="K3691" s="1" t="str">
        <f ca="1">IF(A3691="","",IF(OR(L3691="ENTREGADA",L3691="RETORNADA",L3691="ENTREGA DIGITAL"),0,MAX(0,5-NETWORKDAYS(H3691+1,TODAY()))))</f>
        <v/>
      </c>
      <c r="L3691" t="str">
        <f>IF(A3691="","",IFERROR(LOOKUP(2,1/(#REF!=Z3691),#REF!),Y3691))</f>
        <v/>
      </c>
      <c r="Z3691" t="str">
        <f>IF(A3691="","",TEXT(A3691,"0")&amp;"|"&amp;TEXT(H3691,"0"))</f>
        <v/>
      </c>
      <c r="AA3691" t="str">
        <f>IF(Z3691="","",IFERROR(LOOKUP(2,1/(#REF!=Z3691),#REF!),""))</f>
        <v/>
      </c>
      <c r="AB3691" t="str">
        <f>IF(Z3691="","",IFERROR(LOOKUP(2,1/(#REF!=Z3691),#REF!),""))</f>
        <v/>
      </c>
      <c r="AC3691" t="str">
        <f>IF(Z3691="","",COUNTIF(#REF!,Z3691))</f>
        <v/>
      </c>
      <c r="AD3691" t="str">
        <f>IF(A3691="","",IF(AC3691&gt;1,"REVISAR DUPLICADO",IF(AA3691&lt;&gt;"","ACTUALIZADO POR EYR","SIN REPORTE EYR")))</f>
        <v/>
      </c>
    </row>
    <row r="3692" spans="11:30" x14ac:dyDescent="0.3">
      <c r="K3692" s="1" t="str">
        <f ca="1">IF(A3692="","",IF(OR(L3692="ENTREGADA",L3692="RETORNADA",L3692="ENTREGA DIGITAL"),0,MAX(0,5-NETWORKDAYS(H3692+1,TODAY()))))</f>
        <v/>
      </c>
      <c r="L3692" t="str">
        <f>IF(A3692="","",IFERROR(LOOKUP(2,1/(#REF!=Z3692),#REF!),Y3692))</f>
        <v/>
      </c>
      <c r="Z3692" t="str">
        <f>IF(A3692="","",TEXT(A3692,"0")&amp;"|"&amp;TEXT(H3692,"0"))</f>
        <v/>
      </c>
      <c r="AA3692" t="str">
        <f>IF(Z3692="","",IFERROR(LOOKUP(2,1/(#REF!=Z3692),#REF!),""))</f>
        <v/>
      </c>
      <c r="AB3692" t="str">
        <f>IF(Z3692="","",IFERROR(LOOKUP(2,1/(#REF!=Z3692),#REF!),""))</f>
        <v/>
      </c>
      <c r="AC3692" t="str">
        <f>IF(Z3692="","",COUNTIF(#REF!,Z3692))</f>
        <v/>
      </c>
      <c r="AD3692" t="str">
        <f>IF(A3692="","",IF(AC3692&gt;1,"REVISAR DUPLICADO",IF(AA3692&lt;&gt;"","ACTUALIZADO POR EYR","SIN REPORTE EYR")))</f>
        <v/>
      </c>
    </row>
    <row r="3693" spans="11:30" x14ac:dyDescent="0.3">
      <c r="K3693" s="1" t="str">
        <f ca="1">IF(A3693="","",IF(OR(L3693="ENTREGADA",L3693="RETORNADA",L3693="ENTREGA DIGITAL"),0,MAX(0,5-NETWORKDAYS(H3693+1,TODAY()))))</f>
        <v/>
      </c>
      <c r="L3693" t="str">
        <f>IF(A3693="","",IFERROR(LOOKUP(2,1/(#REF!=Z3693),#REF!),Y3693))</f>
        <v/>
      </c>
      <c r="Z3693" t="str">
        <f>IF(A3693="","",TEXT(A3693,"0")&amp;"|"&amp;TEXT(H3693,"0"))</f>
        <v/>
      </c>
      <c r="AA3693" t="str">
        <f>IF(Z3693="","",IFERROR(LOOKUP(2,1/(#REF!=Z3693),#REF!),""))</f>
        <v/>
      </c>
      <c r="AB3693" t="str">
        <f>IF(Z3693="","",IFERROR(LOOKUP(2,1/(#REF!=Z3693),#REF!),""))</f>
        <v/>
      </c>
      <c r="AC3693" t="str">
        <f>IF(Z3693="","",COUNTIF(#REF!,Z3693))</f>
        <v/>
      </c>
      <c r="AD3693" t="str">
        <f>IF(A3693="","",IF(AC3693&gt;1,"REVISAR DUPLICADO",IF(AA3693&lt;&gt;"","ACTUALIZADO POR EYR","SIN REPORTE EYR")))</f>
        <v/>
      </c>
    </row>
    <row r="3694" spans="11:30" x14ac:dyDescent="0.3">
      <c r="K3694" s="1" t="str">
        <f ca="1">IF(A3694="","",IF(OR(L3694="ENTREGADA",L3694="RETORNADA",L3694="ENTREGA DIGITAL"),0,MAX(0,5-NETWORKDAYS(H3694+1,TODAY()))))</f>
        <v/>
      </c>
      <c r="L3694" t="str">
        <f>IF(A3694="","",IFERROR(LOOKUP(2,1/(#REF!=Z3694),#REF!),Y3694))</f>
        <v/>
      </c>
      <c r="Z3694" t="str">
        <f>IF(A3694="","",TEXT(A3694,"0")&amp;"|"&amp;TEXT(H3694,"0"))</f>
        <v/>
      </c>
      <c r="AA3694" t="str">
        <f>IF(Z3694="","",IFERROR(LOOKUP(2,1/(#REF!=Z3694),#REF!),""))</f>
        <v/>
      </c>
      <c r="AB3694" t="str">
        <f>IF(Z3694="","",IFERROR(LOOKUP(2,1/(#REF!=Z3694),#REF!),""))</f>
        <v/>
      </c>
      <c r="AC3694" t="str">
        <f>IF(Z3694="","",COUNTIF(#REF!,Z3694))</f>
        <v/>
      </c>
      <c r="AD3694" t="str">
        <f>IF(A3694="","",IF(AC3694&gt;1,"REVISAR DUPLICADO",IF(AA3694&lt;&gt;"","ACTUALIZADO POR EYR","SIN REPORTE EYR")))</f>
        <v/>
      </c>
    </row>
    <row r="3695" spans="11:30" x14ac:dyDescent="0.3">
      <c r="K3695" s="1" t="str">
        <f ca="1">IF(A3695="","",IF(OR(L3695="ENTREGADA",L3695="RETORNADA",L3695="ENTREGA DIGITAL"),0,MAX(0,5-NETWORKDAYS(H3695+1,TODAY()))))</f>
        <v/>
      </c>
      <c r="L3695" t="str">
        <f>IF(A3695="","",IFERROR(LOOKUP(2,1/(#REF!=Z3695),#REF!),Y3695))</f>
        <v/>
      </c>
      <c r="Z3695" t="str">
        <f>IF(A3695="","",TEXT(A3695,"0")&amp;"|"&amp;TEXT(H3695,"0"))</f>
        <v/>
      </c>
      <c r="AA3695" t="str">
        <f>IF(Z3695="","",IFERROR(LOOKUP(2,1/(#REF!=Z3695),#REF!),""))</f>
        <v/>
      </c>
      <c r="AB3695" t="str">
        <f>IF(Z3695="","",IFERROR(LOOKUP(2,1/(#REF!=Z3695),#REF!),""))</f>
        <v/>
      </c>
      <c r="AC3695" t="str">
        <f>IF(Z3695="","",COUNTIF(#REF!,Z3695))</f>
        <v/>
      </c>
      <c r="AD3695" t="str">
        <f>IF(A3695="","",IF(AC3695&gt;1,"REVISAR DUPLICADO",IF(AA3695&lt;&gt;"","ACTUALIZADO POR EYR","SIN REPORTE EYR")))</f>
        <v/>
      </c>
    </row>
    <row r="3696" spans="11:30" x14ac:dyDescent="0.3">
      <c r="K3696" s="1" t="str">
        <f ca="1">IF(A3696="","",IF(OR(L3696="ENTREGADA",L3696="RETORNADA",L3696="ENTREGA DIGITAL"),0,MAX(0,5-NETWORKDAYS(H3696+1,TODAY()))))</f>
        <v/>
      </c>
      <c r="L3696" t="str">
        <f>IF(A3696="","",IFERROR(LOOKUP(2,1/(#REF!=Z3696),#REF!),Y3696))</f>
        <v/>
      </c>
      <c r="Z3696" t="str">
        <f>IF(A3696="","",TEXT(A3696,"0")&amp;"|"&amp;TEXT(H3696,"0"))</f>
        <v/>
      </c>
      <c r="AA3696" t="str">
        <f>IF(Z3696="","",IFERROR(LOOKUP(2,1/(#REF!=Z3696),#REF!),""))</f>
        <v/>
      </c>
      <c r="AB3696" t="str">
        <f>IF(Z3696="","",IFERROR(LOOKUP(2,1/(#REF!=Z3696),#REF!),""))</f>
        <v/>
      </c>
      <c r="AC3696" t="str">
        <f>IF(Z3696="","",COUNTIF(#REF!,Z3696))</f>
        <v/>
      </c>
      <c r="AD3696" t="str">
        <f>IF(A3696="","",IF(AC3696&gt;1,"REVISAR DUPLICADO",IF(AA3696&lt;&gt;"","ACTUALIZADO POR EYR","SIN REPORTE EYR")))</f>
        <v/>
      </c>
    </row>
    <row r="3697" spans="11:30" x14ac:dyDescent="0.3">
      <c r="K3697" s="1" t="str">
        <f ca="1">IF(A3697="","",IF(OR(L3697="ENTREGADA",L3697="RETORNADA",L3697="ENTREGA DIGITAL"),0,MAX(0,5-NETWORKDAYS(H3697+1,TODAY()))))</f>
        <v/>
      </c>
      <c r="L3697" t="str">
        <f>IF(A3697="","",IFERROR(LOOKUP(2,1/(#REF!=Z3697),#REF!),Y3697))</f>
        <v/>
      </c>
      <c r="Z3697" t="str">
        <f>IF(A3697="","",TEXT(A3697,"0")&amp;"|"&amp;TEXT(H3697,"0"))</f>
        <v/>
      </c>
      <c r="AA3697" t="str">
        <f>IF(Z3697="","",IFERROR(LOOKUP(2,1/(#REF!=Z3697),#REF!),""))</f>
        <v/>
      </c>
      <c r="AB3697" t="str">
        <f>IF(Z3697="","",IFERROR(LOOKUP(2,1/(#REF!=Z3697),#REF!),""))</f>
        <v/>
      </c>
      <c r="AC3697" t="str">
        <f>IF(Z3697="","",COUNTIF(#REF!,Z3697))</f>
        <v/>
      </c>
      <c r="AD3697" t="str">
        <f>IF(A3697="","",IF(AC3697&gt;1,"REVISAR DUPLICADO",IF(AA3697&lt;&gt;"","ACTUALIZADO POR EYR","SIN REPORTE EYR")))</f>
        <v/>
      </c>
    </row>
    <row r="3698" spans="11:30" x14ac:dyDescent="0.3">
      <c r="K3698" s="1" t="str">
        <f ca="1">IF(A3698="","",IF(OR(L3698="ENTREGADA",L3698="RETORNADA",L3698="ENTREGA DIGITAL"),0,MAX(0,5-NETWORKDAYS(H3698+1,TODAY()))))</f>
        <v/>
      </c>
      <c r="L3698" t="str">
        <f>IF(A3698="","",IFERROR(LOOKUP(2,1/(#REF!=Z3698),#REF!),Y3698))</f>
        <v/>
      </c>
      <c r="Z3698" t="str">
        <f>IF(A3698="","",TEXT(A3698,"0")&amp;"|"&amp;TEXT(H3698,"0"))</f>
        <v/>
      </c>
      <c r="AA3698" t="str">
        <f>IF(Z3698="","",IFERROR(LOOKUP(2,1/(#REF!=Z3698),#REF!),""))</f>
        <v/>
      </c>
      <c r="AB3698" t="str">
        <f>IF(Z3698="","",IFERROR(LOOKUP(2,1/(#REF!=Z3698),#REF!),""))</f>
        <v/>
      </c>
      <c r="AC3698" t="str">
        <f>IF(Z3698="","",COUNTIF(#REF!,Z3698))</f>
        <v/>
      </c>
      <c r="AD3698" t="str">
        <f>IF(A3698="","",IF(AC3698&gt;1,"REVISAR DUPLICADO",IF(AA3698&lt;&gt;"","ACTUALIZADO POR EYR","SIN REPORTE EYR")))</f>
        <v/>
      </c>
    </row>
    <row r="3699" spans="11:30" x14ac:dyDescent="0.3">
      <c r="K3699" s="1" t="str">
        <f ca="1">IF(A3699="","",IF(OR(L3699="ENTREGADA",L3699="RETORNADA",L3699="ENTREGA DIGITAL"),0,MAX(0,5-NETWORKDAYS(H3699+1,TODAY()))))</f>
        <v/>
      </c>
      <c r="L3699" t="str">
        <f>IF(A3699="","",IFERROR(LOOKUP(2,1/(#REF!=Z3699),#REF!),Y3699))</f>
        <v/>
      </c>
      <c r="Z3699" t="str">
        <f>IF(A3699="","",TEXT(A3699,"0")&amp;"|"&amp;TEXT(H3699,"0"))</f>
        <v/>
      </c>
      <c r="AA3699" t="str">
        <f>IF(Z3699="","",IFERROR(LOOKUP(2,1/(#REF!=Z3699),#REF!),""))</f>
        <v/>
      </c>
      <c r="AB3699" t="str">
        <f>IF(Z3699="","",IFERROR(LOOKUP(2,1/(#REF!=Z3699),#REF!),""))</f>
        <v/>
      </c>
      <c r="AC3699" t="str">
        <f>IF(Z3699="","",COUNTIF(#REF!,Z3699))</f>
        <v/>
      </c>
      <c r="AD3699" t="str">
        <f>IF(A3699="","",IF(AC3699&gt;1,"REVISAR DUPLICADO",IF(AA3699&lt;&gt;"","ACTUALIZADO POR EYR","SIN REPORTE EYR")))</f>
        <v/>
      </c>
    </row>
    <row r="3700" spans="11:30" x14ac:dyDescent="0.3">
      <c r="K3700" s="1" t="str">
        <f ca="1">IF(A3700="","",IF(OR(L3700="ENTREGADA",L3700="RETORNADA",L3700="ENTREGA DIGITAL"),0,MAX(0,5-NETWORKDAYS(H3700+1,TODAY()))))</f>
        <v/>
      </c>
      <c r="L3700" t="str">
        <f>IF(A3700="","",IFERROR(LOOKUP(2,1/(#REF!=Z3700),#REF!),Y3700))</f>
        <v/>
      </c>
      <c r="Z3700" t="str">
        <f>IF(A3700="","",TEXT(A3700,"0")&amp;"|"&amp;TEXT(H3700,"0"))</f>
        <v/>
      </c>
      <c r="AA3700" t="str">
        <f>IF(Z3700="","",IFERROR(LOOKUP(2,1/(#REF!=Z3700),#REF!),""))</f>
        <v/>
      </c>
      <c r="AB3700" t="str">
        <f>IF(Z3700="","",IFERROR(LOOKUP(2,1/(#REF!=Z3700),#REF!),""))</f>
        <v/>
      </c>
      <c r="AC3700" t="str">
        <f>IF(Z3700="","",COUNTIF(#REF!,Z3700))</f>
        <v/>
      </c>
      <c r="AD3700" t="str">
        <f>IF(A3700="","",IF(AC3700&gt;1,"REVISAR DUPLICADO",IF(AA3700&lt;&gt;"","ACTUALIZADO POR EYR","SIN REPORTE EYR")))</f>
        <v/>
      </c>
    </row>
    <row r="3701" spans="11:30" x14ac:dyDescent="0.3">
      <c r="K3701" s="1" t="str">
        <f ca="1">IF(A3701="","",IF(OR(L3701="ENTREGADA",L3701="RETORNADA",L3701="ENTREGA DIGITAL"),0,MAX(0,5-NETWORKDAYS(H3701+1,TODAY()))))</f>
        <v/>
      </c>
      <c r="L3701" t="str">
        <f>IF(A3701="","",IFERROR(LOOKUP(2,1/(#REF!=Z3701),#REF!),Y3701))</f>
        <v/>
      </c>
      <c r="Z3701" t="str">
        <f>IF(A3701="","",TEXT(A3701,"0")&amp;"|"&amp;TEXT(H3701,"0"))</f>
        <v/>
      </c>
      <c r="AA3701" t="str">
        <f>IF(Z3701="","",IFERROR(LOOKUP(2,1/(#REF!=Z3701),#REF!),""))</f>
        <v/>
      </c>
      <c r="AB3701" t="str">
        <f>IF(Z3701="","",IFERROR(LOOKUP(2,1/(#REF!=Z3701),#REF!),""))</f>
        <v/>
      </c>
      <c r="AC3701" t="str">
        <f>IF(Z3701="","",COUNTIF(#REF!,Z3701))</f>
        <v/>
      </c>
      <c r="AD3701" t="str">
        <f>IF(A3701="","",IF(AC3701&gt;1,"REVISAR DUPLICADO",IF(AA3701&lt;&gt;"","ACTUALIZADO POR EYR","SIN REPORTE EYR")))</f>
        <v/>
      </c>
    </row>
    <row r="3702" spans="11:30" x14ac:dyDescent="0.3">
      <c r="K3702" s="1" t="str">
        <f ca="1">IF(A3702="","",IF(OR(L3702="ENTREGADA",L3702="RETORNADA",L3702="ENTREGA DIGITAL"),0,MAX(0,5-NETWORKDAYS(H3702+1,TODAY()))))</f>
        <v/>
      </c>
      <c r="L3702" t="str">
        <f>IF(A3702="","",IFERROR(LOOKUP(2,1/(#REF!=Z3702),#REF!),Y3702))</f>
        <v/>
      </c>
      <c r="Z3702" t="str">
        <f>IF(A3702="","",TEXT(A3702,"0")&amp;"|"&amp;TEXT(H3702,"0"))</f>
        <v/>
      </c>
      <c r="AA3702" t="str">
        <f>IF(Z3702="","",IFERROR(LOOKUP(2,1/(#REF!=Z3702),#REF!),""))</f>
        <v/>
      </c>
      <c r="AB3702" t="str">
        <f>IF(Z3702="","",IFERROR(LOOKUP(2,1/(#REF!=Z3702),#REF!),""))</f>
        <v/>
      </c>
      <c r="AC3702" t="str">
        <f>IF(Z3702="","",COUNTIF(#REF!,Z3702))</f>
        <v/>
      </c>
      <c r="AD3702" t="str">
        <f>IF(A3702="","",IF(AC3702&gt;1,"REVISAR DUPLICADO",IF(AA3702&lt;&gt;"","ACTUALIZADO POR EYR","SIN REPORTE EYR")))</f>
        <v/>
      </c>
    </row>
    <row r="3703" spans="11:30" x14ac:dyDescent="0.3">
      <c r="K3703" s="1" t="str">
        <f ca="1">IF(A3703="","",IF(OR(L3703="ENTREGADA",L3703="RETORNADA",L3703="ENTREGA DIGITAL"),0,MAX(0,5-NETWORKDAYS(H3703+1,TODAY()))))</f>
        <v/>
      </c>
      <c r="L3703" t="str">
        <f>IF(A3703="","",IFERROR(LOOKUP(2,1/(#REF!=Z3703),#REF!),Y3703))</f>
        <v/>
      </c>
      <c r="Z3703" t="str">
        <f>IF(A3703="","",TEXT(A3703,"0")&amp;"|"&amp;TEXT(H3703,"0"))</f>
        <v/>
      </c>
      <c r="AA3703" t="str">
        <f>IF(Z3703="","",IFERROR(LOOKUP(2,1/(#REF!=Z3703),#REF!),""))</f>
        <v/>
      </c>
      <c r="AB3703" t="str">
        <f>IF(Z3703="","",IFERROR(LOOKUP(2,1/(#REF!=Z3703),#REF!),""))</f>
        <v/>
      </c>
      <c r="AC3703" t="str">
        <f>IF(Z3703="","",COUNTIF(#REF!,Z3703))</f>
        <v/>
      </c>
      <c r="AD3703" t="str">
        <f>IF(A3703="","",IF(AC3703&gt;1,"REVISAR DUPLICADO",IF(AA3703&lt;&gt;"","ACTUALIZADO POR EYR","SIN REPORTE EYR")))</f>
        <v/>
      </c>
    </row>
    <row r="3704" spans="11:30" x14ac:dyDescent="0.3">
      <c r="K3704" s="1" t="str">
        <f ca="1">IF(A3704="","",IF(OR(L3704="ENTREGADA",L3704="RETORNADA",L3704="ENTREGA DIGITAL"),0,MAX(0,5-NETWORKDAYS(H3704+1,TODAY()))))</f>
        <v/>
      </c>
      <c r="L3704" t="str">
        <f>IF(A3704="","",IFERROR(LOOKUP(2,1/(#REF!=Z3704),#REF!),Y3704))</f>
        <v/>
      </c>
      <c r="Z3704" t="str">
        <f>IF(A3704="","",TEXT(A3704,"0")&amp;"|"&amp;TEXT(H3704,"0"))</f>
        <v/>
      </c>
      <c r="AA3704" t="str">
        <f>IF(Z3704="","",IFERROR(LOOKUP(2,1/(#REF!=Z3704),#REF!),""))</f>
        <v/>
      </c>
      <c r="AB3704" t="str">
        <f>IF(Z3704="","",IFERROR(LOOKUP(2,1/(#REF!=Z3704),#REF!),""))</f>
        <v/>
      </c>
      <c r="AC3704" t="str">
        <f>IF(Z3704="","",COUNTIF(#REF!,Z3704))</f>
        <v/>
      </c>
      <c r="AD3704" t="str">
        <f>IF(A3704="","",IF(AC3704&gt;1,"REVISAR DUPLICADO",IF(AA3704&lt;&gt;"","ACTUALIZADO POR EYR","SIN REPORTE EYR")))</f>
        <v/>
      </c>
    </row>
    <row r="3705" spans="11:30" x14ac:dyDescent="0.3">
      <c r="K3705" s="1" t="str">
        <f ca="1">IF(A3705="","",IF(OR(L3705="ENTREGADA",L3705="RETORNADA",L3705="ENTREGA DIGITAL"),0,MAX(0,5-NETWORKDAYS(H3705+1,TODAY()))))</f>
        <v/>
      </c>
      <c r="L3705" t="str">
        <f>IF(A3705="","",IFERROR(LOOKUP(2,1/(#REF!=Z3705),#REF!),Y3705))</f>
        <v/>
      </c>
      <c r="Z3705" t="str">
        <f>IF(A3705="","",TEXT(A3705,"0")&amp;"|"&amp;TEXT(H3705,"0"))</f>
        <v/>
      </c>
      <c r="AA3705" t="str">
        <f>IF(Z3705="","",IFERROR(LOOKUP(2,1/(#REF!=Z3705),#REF!),""))</f>
        <v/>
      </c>
      <c r="AB3705" t="str">
        <f>IF(Z3705="","",IFERROR(LOOKUP(2,1/(#REF!=Z3705),#REF!),""))</f>
        <v/>
      </c>
      <c r="AC3705" t="str">
        <f>IF(Z3705="","",COUNTIF(#REF!,Z3705))</f>
        <v/>
      </c>
      <c r="AD3705" t="str">
        <f>IF(A3705="","",IF(AC3705&gt;1,"REVISAR DUPLICADO",IF(AA3705&lt;&gt;"","ACTUALIZADO POR EYR","SIN REPORTE EYR")))</f>
        <v/>
      </c>
    </row>
    <row r="3706" spans="11:30" x14ac:dyDescent="0.3">
      <c r="K3706" s="1" t="str">
        <f ca="1">IF(A3706="","",IF(OR(L3706="ENTREGADA",L3706="RETORNADA",L3706="ENTREGA DIGITAL"),0,MAX(0,5-NETWORKDAYS(H3706+1,TODAY()))))</f>
        <v/>
      </c>
      <c r="L3706" t="str">
        <f>IF(A3706="","",IFERROR(LOOKUP(2,1/(#REF!=Z3706),#REF!),Y3706))</f>
        <v/>
      </c>
      <c r="Z3706" t="str">
        <f>IF(A3706="","",TEXT(A3706,"0")&amp;"|"&amp;TEXT(H3706,"0"))</f>
        <v/>
      </c>
      <c r="AA3706" t="str">
        <f>IF(Z3706="","",IFERROR(LOOKUP(2,1/(#REF!=Z3706),#REF!),""))</f>
        <v/>
      </c>
      <c r="AB3706" t="str">
        <f>IF(Z3706="","",IFERROR(LOOKUP(2,1/(#REF!=Z3706),#REF!),""))</f>
        <v/>
      </c>
      <c r="AC3706" t="str">
        <f>IF(Z3706="","",COUNTIF(#REF!,Z3706))</f>
        <v/>
      </c>
      <c r="AD3706" t="str">
        <f>IF(A3706="","",IF(AC3706&gt;1,"REVISAR DUPLICADO",IF(AA3706&lt;&gt;"","ACTUALIZADO POR EYR","SIN REPORTE EYR")))</f>
        <v/>
      </c>
    </row>
    <row r="3707" spans="11:30" x14ac:dyDescent="0.3">
      <c r="K3707" s="1" t="str">
        <f ca="1">IF(A3707="","",IF(OR(L3707="ENTREGADA",L3707="RETORNADA",L3707="ENTREGA DIGITAL"),0,MAX(0,5-NETWORKDAYS(H3707+1,TODAY()))))</f>
        <v/>
      </c>
      <c r="L3707" t="str">
        <f>IF(A3707="","",IFERROR(LOOKUP(2,1/(#REF!=Z3707),#REF!),Y3707))</f>
        <v/>
      </c>
      <c r="Z3707" t="str">
        <f>IF(A3707="","",TEXT(A3707,"0")&amp;"|"&amp;TEXT(H3707,"0"))</f>
        <v/>
      </c>
      <c r="AA3707" t="str">
        <f>IF(Z3707="","",IFERROR(LOOKUP(2,1/(#REF!=Z3707),#REF!),""))</f>
        <v/>
      </c>
      <c r="AB3707" t="str">
        <f>IF(Z3707="","",IFERROR(LOOKUP(2,1/(#REF!=Z3707),#REF!),""))</f>
        <v/>
      </c>
      <c r="AC3707" t="str">
        <f>IF(Z3707="","",COUNTIF(#REF!,Z3707))</f>
        <v/>
      </c>
      <c r="AD3707" t="str">
        <f>IF(A3707="","",IF(AC3707&gt;1,"REVISAR DUPLICADO",IF(AA3707&lt;&gt;"","ACTUALIZADO POR EYR","SIN REPORTE EYR")))</f>
        <v/>
      </c>
    </row>
    <row r="3708" spans="11:30" x14ac:dyDescent="0.3">
      <c r="K3708" s="1" t="str">
        <f ca="1">IF(A3708="","",IF(OR(L3708="ENTREGADA",L3708="RETORNADA",L3708="ENTREGA DIGITAL"),0,MAX(0,5-NETWORKDAYS(H3708+1,TODAY()))))</f>
        <v/>
      </c>
      <c r="L3708" t="str">
        <f>IF(A3708="","",IFERROR(LOOKUP(2,1/(#REF!=Z3708),#REF!),Y3708))</f>
        <v/>
      </c>
      <c r="Z3708" t="str">
        <f>IF(A3708="","",TEXT(A3708,"0")&amp;"|"&amp;TEXT(H3708,"0"))</f>
        <v/>
      </c>
      <c r="AA3708" t="str">
        <f>IF(Z3708="","",IFERROR(LOOKUP(2,1/(#REF!=Z3708),#REF!),""))</f>
        <v/>
      </c>
      <c r="AB3708" t="str">
        <f>IF(Z3708="","",IFERROR(LOOKUP(2,1/(#REF!=Z3708),#REF!),""))</f>
        <v/>
      </c>
      <c r="AC3708" t="str">
        <f>IF(Z3708="","",COUNTIF(#REF!,Z3708))</f>
        <v/>
      </c>
      <c r="AD3708" t="str">
        <f>IF(A3708="","",IF(AC3708&gt;1,"REVISAR DUPLICADO",IF(AA3708&lt;&gt;"","ACTUALIZADO POR EYR","SIN REPORTE EYR")))</f>
        <v/>
      </c>
    </row>
    <row r="3709" spans="11:30" x14ac:dyDescent="0.3">
      <c r="K3709" s="1" t="str">
        <f ca="1">IF(A3709="","",IF(OR(L3709="ENTREGADA",L3709="RETORNADA",L3709="ENTREGA DIGITAL"),0,MAX(0,5-NETWORKDAYS(H3709+1,TODAY()))))</f>
        <v/>
      </c>
      <c r="L3709" t="str">
        <f>IF(A3709="","",IFERROR(LOOKUP(2,1/(#REF!=Z3709),#REF!),Y3709))</f>
        <v/>
      </c>
      <c r="Z3709" t="str">
        <f>IF(A3709="","",TEXT(A3709,"0")&amp;"|"&amp;TEXT(H3709,"0"))</f>
        <v/>
      </c>
      <c r="AA3709" t="str">
        <f>IF(Z3709="","",IFERROR(LOOKUP(2,1/(#REF!=Z3709),#REF!),""))</f>
        <v/>
      </c>
      <c r="AB3709" t="str">
        <f>IF(Z3709="","",IFERROR(LOOKUP(2,1/(#REF!=Z3709),#REF!),""))</f>
        <v/>
      </c>
      <c r="AC3709" t="str">
        <f>IF(Z3709="","",COUNTIF(#REF!,Z3709))</f>
        <v/>
      </c>
      <c r="AD3709" t="str">
        <f>IF(A3709="","",IF(AC3709&gt;1,"REVISAR DUPLICADO",IF(AA3709&lt;&gt;"","ACTUALIZADO POR EYR","SIN REPORTE EYR")))</f>
        <v/>
      </c>
    </row>
    <row r="3710" spans="11:30" x14ac:dyDescent="0.3">
      <c r="K3710" s="1" t="str">
        <f ca="1">IF(A3710="","",IF(OR(L3710="ENTREGADA",L3710="RETORNADA",L3710="ENTREGA DIGITAL"),0,MAX(0,5-NETWORKDAYS(H3710+1,TODAY()))))</f>
        <v/>
      </c>
      <c r="L3710" t="str">
        <f>IF(A3710="","",IFERROR(LOOKUP(2,1/(#REF!=Z3710),#REF!),Y3710))</f>
        <v/>
      </c>
      <c r="Z3710" t="str">
        <f>IF(A3710="","",TEXT(A3710,"0")&amp;"|"&amp;TEXT(H3710,"0"))</f>
        <v/>
      </c>
      <c r="AA3710" t="str">
        <f>IF(Z3710="","",IFERROR(LOOKUP(2,1/(#REF!=Z3710),#REF!),""))</f>
        <v/>
      </c>
      <c r="AB3710" t="str">
        <f>IF(Z3710="","",IFERROR(LOOKUP(2,1/(#REF!=Z3710),#REF!),""))</f>
        <v/>
      </c>
      <c r="AC3710" t="str">
        <f>IF(Z3710="","",COUNTIF(#REF!,Z3710))</f>
        <v/>
      </c>
      <c r="AD3710" t="str">
        <f>IF(A3710="","",IF(AC3710&gt;1,"REVISAR DUPLICADO",IF(AA3710&lt;&gt;"","ACTUALIZADO POR EYR","SIN REPORTE EYR")))</f>
        <v/>
      </c>
    </row>
    <row r="3711" spans="11:30" x14ac:dyDescent="0.3">
      <c r="K3711" s="1" t="str">
        <f ca="1">IF(A3711="","",IF(OR(L3711="ENTREGADA",L3711="RETORNADA",L3711="ENTREGA DIGITAL"),0,MAX(0,5-NETWORKDAYS(H3711+1,TODAY()))))</f>
        <v/>
      </c>
      <c r="L3711" t="str">
        <f>IF(A3711="","",IFERROR(LOOKUP(2,1/(#REF!=Z3711),#REF!),Y3711))</f>
        <v/>
      </c>
      <c r="Z3711" t="str">
        <f>IF(A3711="","",TEXT(A3711,"0")&amp;"|"&amp;TEXT(H3711,"0"))</f>
        <v/>
      </c>
      <c r="AA3711" t="str">
        <f>IF(Z3711="","",IFERROR(LOOKUP(2,1/(#REF!=Z3711),#REF!),""))</f>
        <v/>
      </c>
      <c r="AB3711" t="str">
        <f>IF(Z3711="","",IFERROR(LOOKUP(2,1/(#REF!=Z3711),#REF!),""))</f>
        <v/>
      </c>
      <c r="AC3711" t="str">
        <f>IF(Z3711="","",COUNTIF(#REF!,Z3711))</f>
        <v/>
      </c>
      <c r="AD3711" t="str">
        <f>IF(A3711="","",IF(AC3711&gt;1,"REVISAR DUPLICADO",IF(AA3711&lt;&gt;"","ACTUALIZADO POR EYR","SIN REPORTE EYR")))</f>
        <v/>
      </c>
    </row>
    <row r="3712" spans="11:30" x14ac:dyDescent="0.3">
      <c r="K3712" s="1" t="str">
        <f ca="1">IF(A3712="","",IF(OR(L3712="ENTREGADA",L3712="RETORNADA",L3712="ENTREGA DIGITAL"),0,MAX(0,5-NETWORKDAYS(H3712+1,TODAY()))))</f>
        <v/>
      </c>
      <c r="L3712" t="str">
        <f>IF(A3712="","",IFERROR(LOOKUP(2,1/(#REF!=Z3712),#REF!),Y3712))</f>
        <v/>
      </c>
      <c r="Z3712" t="str">
        <f>IF(A3712="","",TEXT(A3712,"0")&amp;"|"&amp;TEXT(H3712,"0"))</f>
        <v/>
      </c>
      <c r="AA3712" t="str">
        <f>IF(Z3712="","",IFERROR(LOOKUP(2,1/(#REF!=Z3712),#REF!),""))</f>
        <v/>
      </c>
      <c r="AB3712" t="str">
        <f>IF(Z3712="","",IFERROR(LOOKUP(2,1/(#REF!=Z3712),#REF!),""))</f>
        <v/>
      </c>
      <c r="AC3712" t="str">
        <f>IF(Z3712="","",COUNTIF(#REF!,Z3712))</f>
        <v/>
      </c>
      <c r="AD3712" t="str">
        <f>IF(A3712="","",IF(AC3712&gt;1,"REVISAR DUPLICADO",IF(AA3712&lt;&gt;"","ACTUALIZADO POR EYR","SIN REPORTE EYR")))</f>
        <v/>
      </c>
    </row>
    <row r="3713" spans="11:30" x14ac:dyDescent="0.3">
      <c r="K3713" s="1" t="str">
        <f ca="1">IF(A3713="","",IF(OR(L3713="ENTREGADA",L3713="RETORNADA",L3713="ENTREGA DIGITAL"),0,MAX(0,5-NETWORKDAYS(H3713+1,TODAY()))))</f>
        <v/>
      </c>
      <c r="L3713" t="str">
        <f>IF(A3713="","",IFERROR(LOOKUP(2,1/(#REF!=Z3713),#REF!),Y3713))</f>
        <v/>
      </c>
      <c r="Z3713" t="str">
        <f>IF(A3713="","",TEXT(A3713,"0")&amp;"|"&amp;TEXT(H3713,"0"))</f>
        <v/>
      </c>
      <c r="AA3713" t="str">
        <f>IF(Z3713="","",IFERROR(LOOKUP(2,1/(#REF!=Z3713),#REF!),""))</f>
        <v/>
      </c>
      <c r="AB3713" t="str">
        <f>IF(Z3713="","",IFERROR(LOOKUP(2,1/(#REF!=Z3713),#REF!),""))</f>
        <v/>
      </c>
      <c r="AC3713" t="str">
        <f>IF(Z3713="","",COUNTIF(#REF!,Z3713))</f>
        <v/>
      </c>
      <c r="AD3713" t="str">
        <f>IF(A3713="","",IF(AC3713&gt;1,"REVISAR DUPLICADO",IF(AA3713&lt;&gt;"","ACTUALIZADO POR EYR","SIN REPORTE EYR")))</f>
        <v/>
      </c>
    </row>
    <row r="3714" spans="11:30" x14ac:dyDescent="0.3">
      <c r="K3714" s="1" t="str">
        <f ca="1">IF(A3714="","",IF(OR(L3714="ENTREGADA",L3714="RETORNADA",L3714="ENTREGA DIGITAL"),0,MAX(0,5-NETWORKDAYS(H3714+1,TODAY()))))</f>
        <v/>
      </c>
      <c r="L3714" t="str">
        <f>IF(A3714="","",IFERROR(LOOKUP(2,1/(#REF!=Z3714),#REF!),Y3714))</f>
        <v/>
      </c>
      <c r="Z3714" t="str">
        <f>IF(A3714="","",TEXT(A3714,"0")&amp;"|"&amp;TEXT(H3714,"0"))</f>
        <v/>
      </c>
      <c r="AA3714" t="str">
        <f>IF(Z3714="","",IFERROR(LOOKUP(2,1/(#REF!=Z3714),#REF!),""))</f>
        <v/>
      </c>
      <c r="AB3714" t="str">
        <f>IF(Z3714="","",IFERROR(LOOKUP(2,1/(#REF!=Z3714),#REF!),""))</f>
        <v/>
      </c>
      <c r="AC3714" t="str">
        <f>IF(Z3714="","",COUNTIF(#REF!,Z3714))</f>
        <v/>
      </c>
      <c r="AD3714" t="str">
        <f>IF(A3714="","",IF(AC3714&gt;1,"REVISAR DUPLICADO",IF(AA3714&lt;&gt;"","ACTUALIZADO POR EYR","SIN REPORTE EYR")))</f>
        <v/>
      </c>
    </row>
    <row r="3715" spans="11:30" x14ac:dyDescent="0.3">
      <c r="K3715" s="1" t="str">
        <f ca="1">IF(A3715="","",IF(OR(L3715="ENTREGADA",L3715="RETORNADA",L3715="ENTREGA DIGITAL"),0,MAX(0,5-NETWORKDAYS(H3715+1,TODAY()))))</f>
        <v/>
      </c>
      <c r="L3715" t="str">
        <f>IF(A3715="","",IFERROR(LOOKUP(2,1/(#REF!=Z3715),#REF!),Y3715))</f>
        <v/>
      </c>
      <c r="Z3715" t="str">
        <f>IF(A3715="","",TEXT(A3715,"0")&amp;"|"&amp;TEXT(H3715,"0"))</f>
        <v/>
      </c>
      <c r="AA3715" t="str">
        <f>IF(Z3715="","",IFERROR(LOOKUP(2,1/(#REF!=Z3715),#REF!),""))</f>
        <v/>
      </c>
      <c r="AB3715" t="str">
        <f>IF(Z3715="","",IFERROR(LOOKUP(2,1/(#REF!=Z3715),#REF!),""))</f>
        <v/>
      </c>
      <c r="AC3715" t="str">
        <f>IF(Z3715="","",COUNTIF(#REF!,Z3715))</f>
        <v/>
      </c>
      <c r="AD3715" t="str">
        <f>IF(A3715="","",IF(AC3715&gt;1,"REVISAR DUPLICADO",IF(AA3715&lt;&gt;"","ACTUALIZADO POR EYR","SIN REPORTE EYR")))</f>
        <v/>
      </c>
    </row>
    <row r="3716" spans="11:30" x14ac:dyDescent="0.3">
      <c r="K3716" s="1" t="str">
        <f ca="1">IF(A3716="","",IF(OR(L3716="ENTREGADA",L3716="RETORNADA",L3716="ENTREGA DIGITAL"),0,MAX(0,5-NETWORKDAYS(H3716+1,TODAY()))))</f>
        <v/>
      </c>
      <c r="L3716" t="str">
        <f>IF(A3716="","",IFERROR(LOOKUP(2,1/(#REF!=Z3716),#REF!),Y3716))</f>
        <v/>
      </c>
      <c r="Z3716" t="str">
        <f>IF(A3716="","",TEXT(A3716,"0")&amp;"|"&amp;TEXT(H3716,"0"))</f>
        <v/>
      </c>
      <c r="AA3716" t="str">
        <f>IF(Z3716="","",IFERROR(LOOKUP(2,1/(#REF!=Z3716),#REF!),""))</f>
        <v/>
      </c>
      <c r="AB3716" t="str">
        <f>IF(Z3716="","",IFERROR(LOOKUP(2,1/(#REF!=Z3716),#REF!),""))</f>
        <v/>
      </c>
      <c r="AC3716" t="str">
        <f>IF(Z3716="","",COUNTIF(#REF!,Z3716))</f>
        <v/>
      </c>
      <c r="AD3716" t="str">
        <f>IF(A3716="","",IF(AC3716&gt;1,"REVISAR DUPLICADO",IF(AA3716&lt;&gt;"","ACTUALIZADO POR EYR","SIN REPORTE EYR")))</f>
        <v/>
      </c>
    </row>
    <row r="3717" spans="11:30" x14ac:dyDescent="0.3">
      <c r="K3717" s="1" t="str">
        <f ca="1">IF(A3717="","",IF(OR(L3717="ENTREGADA",L3717="RETORNADA",L3717="ENTREGA DIGITAL"),0,MAX(0,5-NETWORKDAYS(H3717+1,TODAY()))))</f>
        <v/>
      </c>
      <c r="L3717" t="str">
        <f>IF(A3717="","",IFERROR(LOOKUP(2,1/(#REF!=Z3717),#REF!),Y3717))</f>
        <v/>
      </c>
      <c r="Z3717" t="str">
        <f>IF(A3717="","",TEXT(A3717,"0")&amp;"|"&amp;TEXT(H3717,"0"))</f>
        <v/>
      </c>
      <c r="AA3717" t="str">
        <f>IF(Z3717="","",IFERROR(LOOKUP(2,1/(#REF!=Z3717),#REF!),""))</f>
        <v/>
      </c>
      <c r="AB3717" t="str">
        <f>IF(Z3717="","",IFERROR(LOOKUP(2,1/(#REF!=Z3717),#REF!),""))</f>
        <v/>
      </c>
      <c r="AC3717" t="str">
        <f>IF(Z3717="","",COUNTIF(#REF!,Z3717))</f>
        <v/>
      </c>
      <c r="AD3717" t="str">
        <f>IF(A3717="","",IF(AC3717&gt;1,"REVISAR DUPLICADO",IF(AA3717&lt;&gt;"","ACTUALIZADO POR EYR","SIN REPORTE EYR")))</f>
        <v/>
      </c>
    </row>
    <row r="3718" spans="11:30" x14ac:dyDescent="0.3">
      <c r="K3718" s="1" t="str">
        <f ca="1">IF(A3718="","",IF(OR(L3718="ENTREGADA",L3718="RETORNADA",L3718="ENTREGA DIGITAL"),0,MAX(0,5-NETWORKDAYS(H3718+1,TODAY()))))</f>
        <v/>
      </c>
      <c r="L3718" t="str">
        <f>IF(A3718="","",IFERROR(LOOKUP(2,1/(#REF!=Z3718),#REF!),Y3718))</f>
        <v/>
      </c>
      <c r="Z3718" t="str">
        <f>IF(A3718="","",TEXT(A3718,"0")&amp;"|"&amp;TEXT(H3718,"0"))</f>
        <v/>
      </c>
      <c r="AA3718" t="str">
        <f>IF(Z3718="","",IFERROR(LOOKUP(2,1/(#REF!=Z3718),#REF!),""))</f>
        <v/>
      </c>
      <c r="AB3718" t="str">
        <f>IF(Z3718="","",IFERROR(LOOKUP(2,1/(#REF!=Z3718),#REF!),""))</f>
        <v/>
      </c>
      <c r="AC3718" t="str">
        <f>IF(Z3718="","",COUNTIF(#REF!,Z3718))</f>
        <v/>
      </c>
      <c r="AD3718" t="str">
        <f>IF(A3718="","",IF(AC3718&gt;1,"REVISAR DUPLICADO",IF(AA3718&lt;&gt;"","ACTUALIZADO POR EYR","SIN REPORTE EYR")))</f>
        <v/>
      </c>
    </row>
    <row r="3719" spans="11:30" x14ac:dyDescent="0.3">
      <c r="K3719" s="1" t="str">
        <f ca="1">IF(A3719="","",IF(OR(L3719="ENTREGADA",L3719="RETORNADA",L3719="ENTREGA DIGITAL"),0,MAX(0,5-NETWORKDAYS(H3719+1,TODAY()))))</f>
        <v/>
      </c>
      <c r="L3719" t="str">
        <f>IF(A3719="","",IFERROR(LOOKUP(2,1/(#REF!=Z3719),#REF!),Y3719))</f>
        <v/>
      </c>
      <c r="Z3719" t="str">
        <f>IF(A3719="","",TEXT(A3719,"0")&amp;"|"&amp;TEXT(H3719,"0"))</f>
        <v/>
      </c>
      <c r="AA3719" t="str">
        <f>IF(Z3719="","",IFERROR(LOOKUP(2,1/(#REF!=Z3719),#REF!),""))</f>
        <v/>
      </c>
      <c r="AB3719" t="str">
        <f>IF(Z3719="","",IFERROR(LOOKUP(2,1/(#REF!=Z3719),#REF!),""))</f>
        <v/>
      </c>
      <c r="AC3719" t="str">
        <f>IF(Z3719="","",COUNTIF(#REF!,Z3719))</f>
        <v/>
      </c>
      <c r="AD3719" t="str">
        <f>IF(A3719="","",IF(AC3719&gt;1,"REVISAR DUPLICADO",IF(AA3719&lt;&gt;"","ACTUALIZADO POR EYR","SIN REPORTE EYR")))</f>
        <v/>
      </c>
    </row>
    <row r="3720" spans="11:30" x14ac:dyDescent="0.3">
      <c r="K3720" s="1" t="str">
        <f ca="1">IF(A3720="","",IF(OR(L3720="ENTREGADA",L3720="RETORNADA",L3720="ENTREGA DIGITAL"),0,MAX(0,5-NETWORKDAYS(H3720+1,TODAY()))))</f>
        <v/>
      </c>
      <c r="L3720" t="str">
        <f>IF(A3720="","",IFERROR(LOOKUP(2,1/(#REF!=Z3720),#REF!),Y3720))</f>
        <v/>
      </c>
      <c r="Z3720" t="str">
        <f>IF(A3720="","",TEXT(A3720,"0")&amp;"|"&amp;TEXT(H3720,"0"))</f>
        <v/>
      </c>
      <c r="AA3720" t="str">
        <f>IF(Z3720="","",IFERROR(LOOKUP(2,1/(#REF!=Z3720),#REF!),""))</f>
        <v/>
      </c>
      <c r="AB3720" t="str">
        <f>IF(Z3720="","",IFERROR(LOOKUP(2,1/(#REF!=Z3720),#REF!),""))</f>
        <v/>
      </c>
      <c r="AC3720" t="str">
        <f>IF(Z3720="","",COUNTIF(#REF!,Z3720))</f>
        <v/>
      </c>
      <c r="AD3720" t="str">
        <f>IF(A3720="","",IF(AC3720&gt;1,"REVISAR DUPLICADO",IF(AA3720&lt;&gt;"","ACTUALIZADO POR EYR","SIN REPORTE EYR")))</f>
        <v/>
      </c>
    </row>
    <row r="3721" spans="11:30" x14ac:dyDescent="0.3">
      <c r="K3721" s="1" t="str">
        <f ca="1">IF(A3721="","",IF(OR(L3721="ENTREGADA",L3721="RETORNADA",L3721="ENTREGA DIGITAL"),0,MAX(0,5-NETWORKDAYS(H3721+1,TODAY()))))</f>
        <v/>
      </c>
      <c r="L3721" t="str">
        <f>IF(A3721="","",IFERROR(LOOKUP(2,1/(#REF!=Z3721),#REF!),Y3721))</f>
        <v/>
      </c>
      <c r="Z3721" t="str">
        <f>IF(A3721="","",TEXT(A3721,"0")&amp;"|"&amp;TEXT(H3721,"0"))</f>
        <v/>
      </c>
      <c r="AA3721" t="str">
        <f>IF(Z3721="","",IFERROR(LOOKUP(2,1/(#REF!=Z3721),#REF!),""))</f>
        <v/>
      </c>
      <c r="AB3721" t="str">
        <f>IF(Z3721="","",IFERROR(LOOKUP(2,1/(#REF!=Z3721),#REF!),""))</f>
        <v/>
      </c>
      <c r="AC3721" t="str">
        <f>IF(Z3721="","",COUNTIF(#REF!,Z3721))</f>
        <v/>
      </c>
      <c r="AD3721" t="str">
        <f>IF(A3721="","",IF(AC3721&gt;1,"REVISAR DUPLICADO",IF(AA3721&lt;&gt;"","ACTUALIZADO POR EYR","SIN REPORTE EYR")))</f>
        <v/>
      </c>
    </row>
    <row r="3722" spans="11:30" x14ac:dyDescent="0.3">
      <c r="K3722" s="1" t="str">
        <f ca="1">IF(A3722="","",IF(OR(L3722="ENTREGADA",L3722="RETORNADA",L3722="ENTREGA DIGITAL"),0,MAX(0,5-NETWORKDAYS(H3722+1,TODAY()))))</f>
        <v/>
      </c>
      <c r="L3722" t="str">
        <f>IF(A3722="","",IFERROR(LOOKUP(2,1/(#REF!=Z3722),#REF!),Y3722))</f>
        <v/>
      </c>
      <c r="Z3722" t="str">
        <f>IF(A3722="","",TEXT(A3722,"0")&amp;"|"&amp;TEXT(H3722,"0"))</f>
        <v/>
      </c>
      <c r="AA3722" t="str">
        <f>IF(Z3722="","",IFERROR(LOOKUP(2,1/(#REF!=Z3722),#REF!),""))</f>
        <v/>
      </c>
      <c r="AB3722" t="str">
        <f>IF(Z3722="","",IFERROR(LOOKUP(2,1/(#REF!=Z3722),#REF!),""))</f>
        <v/>
      </c>
      <c r="AC3722" t="str">
        <f>IF(Z3722="","",COUNTIF(#REF!,Z3722))</f>
        <v/>
      </c>
      <c r="AD3722" t="str">
        <f>IF(A3722="","",IF(AC3722&gt;1,"REVISAR DUPLICADO",IF(AA3722&lt;&gt;"","ACTUALIZADO POR EYR","SIN REPORTE EYR")))</f>
        <v/>
      </c>
    </row>
    <row r="3723" spans="11:30" x14ac:dyDescent="0.3">
      <c r="K3723" s="1" t="str">
        <f ca="1">IF(A3723="","",IF(OR(L3723="ENTREGADA",L3723="RETORNADA",L3723="ENTREGA DIGITAL"),0,MAX(0,5-NETWORKDAYS(H3723+1,TODAY()))))</f>
        <v/>
      </c>
      <c r="L3723" t="str">
        <f>IF(A3723="","",IFERROR(LOOKUP(2,1/(#REF!=Z3723),#REF!),Y3723))</f>
        <v/>
      </c>
      <c r="Z3723" t="str">
        <f>IF(A3723="","",TEXT(A3723,"0")&amp;"|"&amp;TEXT(H3723,"0"))</f>
        <v/>
      </c>
      <c r="AA3723" t="str">
        <f>IF(Z3723="","",IFERROR(LOOKUP(2,1/(#REF!=Z3723),#REF!),""))</f>
        <v/>
      </c>
      <c r="AB3723" t="str">
        <f>IF(Z3723="","",IFERROR(LOOKUP(2,1/(#REF!=Z3723),#REF!),""))</f>
        <v/>
      </c>
      <c r="AC3723" t="str">
        <f>IF(Z3723="","",COUNTIF(#REF!,Z3723))</f>
        <v/>
      </c>
      <c r="AD3723" t="str">
        <f>IF(A3723="","",IF(AC3723&gt;1,"REVISAR DUPLICADO",IF(AA3723&lt;&gt;"","ACTUALIZADO POR EYR","SIN REPORTE EYR")))</f>
        <v/>
      </c>
    </row>
    <row r="3724" spans="11:30" x14ac:dyDescent="0.3">
      <c r="K3724" s="1" t="str">
        <f ca="1">IF(A3724="","",IF(OR(L3724="ENTREGADA",L3724="RETORNADA",L3724="ENTREGA DIGITAL"),0,MAX(0,5-NETWORKDAYS(H3724+1,TODAY()))))</f>
        <v/>
      </c>
      <c r="L3724" t="str">
        <f>IF(A3724="","",IFERROR(LOOKUP(2,1/(#REF!=Z3724),#REF!),Y3724))</f>
        <v/>
      </c>
      <c r="Z3724" t="str">
        <f>IF(A3724="","",TEXT(A3724,"0")&amp;"|"&amp;TEXT(H3724,"0"))</f>
        <v/>
      </c>
      <c r="AA3724" t="str">
        <f>IF(Z3724="","",IFERROR(LOOKUP(2,1/(#REF!=Z3724),#REF!),""))</f>
        <v/>
      </c>
      <c r="AB3724" t="str">
        <f>IF(Z3724="","",IFERROR(LOOKUP(2,1/(#REF!=Z3724),#REF!),""))</f>
        <v/>
      </c>
      <c r="AC3724" t="str">
        <f>IF(Z3724="","",COUNTIF(#REF!,Z3724))</f>
        <v/>
      </c>
      <c r="AD3724" t="str">
        <f>IF(A3724="","",IF(AC3724&gt;1,"REVISAR DUPLICADO",IF(AA3724&lt;&gt;"","ACTUALIZADO POR EYR","SIN REPORTE EYR")))</f>
        <v/>
      </c>
    </row>
    <row r="3725" spans="11:30" x14ac:dyDescent="0.3">
      <c r="K3725" s="1" t="str">
        <f ca="1">IF(A3725="","",IF(OR(L3725="ENTREGADA",L3725="RETORNADA",L3725="ENTREGA DIGITAL"),0,MAX(0,5-NETWORKDAYS(H3725+1,TODAY()))))</f>
        <v/>
      </c>
      <c r="L3725" t="str">
        <f>IF(A3725="","",IFERROR(LOOKUP(2,1/(#REF!=Z3725),#REF!),Y3725))</f>
        <v/>
      </c>
      <c r="Z3725" t="str">
        <f>IF(A3725="","",TEXT(A3725,"0")&amp;"|"&amp;TEXT(H3725,"0"))</f>
        <v/>
      </c>
      <c r="AA3725" t="str">
        <f>IF(Z3725="","",IFERROR(LOOKUP(2,1/(#REF!=Z3725),#REF!),""))</f>
        <v/>
      </c>
      <c r="AB3725" t="str">
        <f>IF(Z3725="","",IFERROR(LOOKUP(2,1/(#REF!=Z3725),#REF!),""))</f>
        <v/>
      </c>
      <c r="AC3725" t="str">
        <f>IF(Z3725="","",COUNTIF(#REF!,Z3725))</f>
        <v/>
      </c>
      <c r="AD3725" t="str">
        <f>IF(A3725="","",IF(AC3725&gt;1,"REVISAR DUPLICADO",IF(AA3725&lt;&gt;"","ACTUALIZADO POR EYR","SIN REPORTE EYR")))</f>
        <v/>
      </c>
    </row>
    <row r="3726" spans="11:30" x14ac:dyDescent="0.3">
      <c r="K3726" s="1" t="str">
        <f ca="1">IF(A3726="","",IF(OR(L3726="ENTREGADA",L3726="RETORNADA",L3726="ENTREGA DIGITAL"),0,MAX(0,5-NETWORKDAYS(H3726+1,TODAY()))))</f>
        <v/>
      </c>
      <c r="L3726" t="str">
        <f>IF(A3726="","",IFERROR(LOOKUP(2,1/(#REF!=Z3726),#REF!),Y3726))</f>
        <v/>
      </c>
      <c r="Z3726" t="str">
        <f>IF(A3726="","",TEXT(A3726,"0")&amp;"|"&amp;TEXT(H3726,"0"))</f>
        <v/>
      </c>
      <c r="AA3726" t="str">
        <f>IF(Z3726="","",IFERROR(LOOKUP(2,1/(#REF!=Z3726),#REF!),""))</f>
        <v/>
      </c>
      <c r="AB3726" t="str">
        <f>IF(Z3726="","",IFERROR(LOOKUP(2,1/(#REF!=Z3726),#REF!),""))</f>
        <v/>
      </c>
      <c r="AC3726" t="str">
        <f>IF(Z3726="","",COUNTIF(#REF!,Z3726))</f>
        <v/>
      </c>
      <c r="AD3726" t="str">
        <f>IF(A3726="","",IF(AC3726&gt;1,"REVISAR DUPLICADO",IF(AA3726&lt;&gt;"","ACTUALIZADO POR EYR","SIN REPORTE EYR")))</f>
        <v/>
      </c>
    </row>
    <row r="3727" spans="11:30" x14ac:dyDescent="0.3">
      <c r="K3727" s="1" t="str">
        <f ca="1">IF(A3727="","",IF(OR(L3727="ENTREGADA",L3727="RETORNADA",L3727="ENTREGA DIGITAL"),0,MAX(0,5-NETWORKDAYS(H3727+1,TODAY()))))</f>
        <v/>
      </c>
      <c r="L3727" t="str">
        <f>IF(A3727="","",IFERROR(LOOKUP(2,1/(#REF!=Z3727),#REF!),Y3727))</f>
        <v/>
      </c>
      <c r="Z3727" t="str">
        <f>IF(A3727="","",TEXT(A3727,"0")&amp;"|"&amp;TEXT(H3727,"0"))</f>
        <v/>
      </c>
      <c r="AA3727" t="str">
        <f>IF(Z3727="","",IFERROR(LOOKUP(2,1/(#REF!=Z3727),#REF!),""))</f>
        <v/>
      </c>
      <c r="AB3727" t="str">
        <f>IF(Z3727="","",IFERROR(LOOKUP(2,1/(#REF!=Z3727),#REF!),""))</f>
        <v/>
      </c>
      <c r="AC3727" t="str">
        <f>IF(Z3727="","",COUNTIF(#REF!,Z3727))</f>
        <v/>
      </c>
      <c r="AD3727" t="str">
        <f>IF(A3727="","",IF(AC3727&gt;1,"REVISAR DUPLICADO",IF(AA3727&lt;&gt;"","ACTUALIZADO POR EYR","SIN REPORTE EYR")))</f>
        <v/>
      </c>
    </row>
    <row r="3728" spans="11:30" x14ac:dyDescent="0.3">
      <c r="K3728" s="1" t="str">
        <f ca="1">IF(A3728="","",IF(OR(L3728="ENTREGADA",L3728="RETORNADA",L3728="ENTREGA DIGITAL"),0,MAX(0,5-NETWORKDAYS(H3728+1,TODAY()))))</f>
        <v/>
      </c>
      <c r="L3728" t="str">
        <f>IF(A3728="","",IFERROR(LOOKUP(2,1/(#REF!=Z3728),#REF!),Y3728))</f>
        <v/>
      </c>
      <c r="Z3728" t="str">
        <f>IF(A3728="","",TEXT(A3728,"0")&amp;"|"&amp;TEXT(H3728,"0"))</f>
        <v/>
      </c>
      <c r="AA3728" t="str">
        <f>IF(Z3728="","",IFERROR(LOOKUP(2,1/(#REF!=Z3728),#REF!),""))</f>
        <v/>
      </c>
      <c r="AB3728" t="str">
        <f>IF(Z3728="","",IFERROR(LOOKUP(2,1/(#REF!=Z3728),#REF!),""))</f>
        <v/>
      </c>
      <c r="AC3728" t="str">
        <f>IF(Z3728="","",COUNTIF(#REF!,Z3728))</f>
        <v/>
      </c>
      <c r="AD3728" t="str">
        <f>IF(A3728="","",IF(AC3728&gt;1,"REVISAR DUPLICADO",IF(AA3728&lt;&gt;"","ACTUALIZADO POR EYR","SIN REPORTE EYR")))</f>
        <v/>
      </c>
    </row>
    <row r="3729" spans="11:30" x14ac:dyDescent="0.3">
      <c r="K3729" s="1" t="str">
        <f ca="1">IF(A3729="","",IF(OR(L3729="ENTREGADA",L3729="RETORNADA",L3729="ENTREGA DIGITAL"),0,MAX(0,5-NETWORKDAYS(H3729+1,TODAY()))))</f>
        <v/>
      </c>
      <c r="L3729" t="str">
        <f>IF(A3729="","",IFERROR(LOOKUP(2,1/(#REF!=Z3729),#REF!),Y3729))</f>
        <v/>
      </c>
      <c r="Z3729" t="str">
        <f>IF(A3729="","",TEXT(A3729,"0")&amp;"|"&amp;TEXT(H3729,"0"))</f>
        <v/>
      </c>
      <c r="AA3729" t="str">
        <f>IF(Z3729="","",IFERROR(LOOKUP(2,1/(#REF!=Z3729),#REF!),""))</f>
        <v/>
      </c>
      <c r="AB3729" t="str">
        <f>IF(Z3729="","",IFERROR(LOOKUP(2,1/(#REF!=Z3729),#REF!),""))</f>
        <v/>
      </c>
      <c r="AC3729" t="str">
        <f>IF(Z3729="","",COUNTIF(#REF!,Z3729))</f>
        <v/>
      </c>
      <c r="AD3729" t="str">
        <f>IF(A3729="","",IF(AC3729&gt;1,"REVISAR DUPLICADO",IF(AA3729&lt;&gt;"","ACTUALIZADO POR EYR","SIN REPORTE EYR")))</f>
        <v/>
      </c>
    </row>
    <row r="3730" spans="11:30" x14ac:dyDescent="0.3">
      <c r="K3730" s="1" t="str">
        <f ca="1">IF(A3730="","",IF(OR(L3730="ENTREGADA",L3730="RETORNADA",L3730="ENTREGA DIGITAL"),0,MAX(0,5-NETWORKDAYS(H3730+1,TODAY()))))</f>
        <v/>
      </c>
      <c r="L3730" t="str">
        <f>IF(A3730="","",IFERROR(LOOKUP(2,1/(#REF!=Z3730),#REF!),Y3730))</f>
        <v/>
      </c>
      <c r="Z3730" t="str">
        <f>IF(A3730="","",TEXT(A3730,"0")&amp;"|"&amp;TEXT(H3730,"0"))</f>
        <v/>
      </c>
      <c r="AA3730" t="str">
        <f>IF(Z3730="","",IFERROR(LOOKUP(2,1/(#REF!=Z3730),#REF!),""))</f>
        <v/>
      </c>
      <c r="AB3730" t="str">
        <f>IF(Z3730="","",IFERROR(LOOKUP(2,1/(#REF!=Z3730),#REF!),""))</f>
        <v/>
      </c>
      <c r="AC3730" t="str">
        <f>IF(Z3730="","",COUNTIF(#REF!,Z3730))</f>
        <v/>
      </c>
      <c r="AD3730" t="str">
        <f>IF(A3730="","",IF(AC3730&gt;1,"REVISAR DUPLICADO",IF(AA3730&lt;&gt;"","ACTUALIZADO POR EYR","SIN REPORTE EYR")))</f>
        <v/>
      </c>
    </row>
    <row r="3731" spans="11:30" x14ac:dyDescent="0.3">
      <c r="K3731" s="1" t="str">
        <f ca="1">IF(A3731="","",IF(OR(L3731="ENTREGADA",L3731="RETORNADA",L3731="ENTREGA DIGITAL"),0,MAX(0,5-NETWORKDAYS(H3731+1,TODAY()))))</f>
        <v/>
      </c>
      <c r="L3731" t="str">
        <f>IF(A3731="","",IFERROR(LOOKUP(2,1/(#REF!=Z3731),#REF!),Y3731))</f>
        <v/>
      </c>
      <c r="Z3731" t="str">
        <f>IF(A3731="","",TEXT(A3731,"0")&amp;"|"&amp;TEXT(H3731,"0"))</f>
        <v/>
      </c>
      <c r="AA3731" t="str">
        <f>IF(Z3731="","",IFERROR(LOOKUP(2,1/(#REF!=Z3731),#REF!),""))</f>
        <v/>
      </c>
      <c r="AB3731" t="str">
        <f>IF(Z3731="","",IFERROR(LOOKUP(2,1/(#REF!=Z3731),#REF!),""))</f>
        <v/>
      </c>
      <c r="AC3731" t="str">
        <f>IF(Z3731="","",COUNTIF(#REF!,Z3731))</f>
        <v/>
      </c>
      <c r="AD3731" t="str">
        <f>IF(A3731="","",IF(AC3731&gt;1,"REVISAR DUPLICADO",IF(AA3731&lt;&gt;"","ACTUALIZADO POR EYR","SIN REPORTE EYR")))</f>
        <v/>
      </c>
    </row>
    <row r="3732" spans="11:30" x14ac:dyDescent="0.3">
      <c r="K3732" s="1" t="str">
        <f ca="1">IF(A3732="","",IF(OR(L3732="ENTREGADA",L3732="RETORNADA",L3732="ENTREGA DIGITAL"),0,MAX(0,5-NETWORKDAYS(H3732+1,TODAY()))))</f>
        <v/>
      </c>
      <c r="L3732" t="str">
        <f>IF(A3732="","",IFERROR(LOOKUP(2,1/(#REF!=Z3732),#REF!),Y3732))</f>
        <v/>
      </c>
      <c r="Z3732" t="str">
        <f>IF(A3732="","",TEXT(A3732,"0")&amp;"|"&amp;TEXT(H3732,"0"))</f>
        <v/>
      </c>
      <c r="AA3732" t="str">
        <f>IF(Z3732="","",IFERROR(LOOKUP(2,1/(#REF!=Z3732),#REF!),""))</f>
        <v/>
      </c>
      <c r="AB3732" t="str">
        <f>IF(Z3732="","",IFERROR(LOOKUP(2,1/(#REF!=Z3732),#REF!),""))</f>
        <v/>
      </c>
      <c r="AC3732" t="str">
        <f>IF(Z3732="","",COUNTIF(#REF!,Z3732))</f>
        <v/>
      </c>
      <c r="AD3732" t="str">
        <f>IF(A3732="","",IF(AC3732&gt;1,"REVISAR DUPLICADO",IF(AA3732&lt;&gt;"","ACTUALIZADO POR EYR","SIN REPORTE EYR")))</f>
        <v/>
      </c>
    </row>
    <row r="3733" spans="11:30" x14ac:dyDescent="0.3">
      <c r="K3733" s="1" t="str">
        <f ca="1">IF(A3733="","",IF(OR(L3733="ENTREGADA",L3733="RETORNADA",L3733="ENTREGA DIGITAL"),0,MAX(0,5-NETWORKDAYS(H3733+1,TODAY()))))</f>
        <v/>
      </c>
      <c r="L3733" t="str">
        <f>IF(A3733="","",IFERROR(LOOKUP(2,1/(#REF!=Z3733),#REF!),Y3733))</f>
        <v/>
      </c>
      <c r="Z3733" t="str">
        <f>IF(A3733="","",TEXT(A3733,"0")&amp;"|"&amp;TEXT(H3733,"0"))</f>
        <v/>
      </c>
      <c r="AA3733" t="str">
        <f>IF(Z3733="","",IFERROR(LOOKUP(2,1/(#REF!=Z3733),#REF!),""))</f>
        <v/>
      </c>
      <c r="AB3733" t="str">
        <f>IF(Z3733="","",IFERROR(LOOKUP(2,1/(#REF!=Z3733),#REF!),""))</f>
        <v/>
      </c>
      <c r="AC3733" t="str">
        <f>IF(Z3733="","",COUNTIF(#REF!,Z3733))</f>
        <v/>
      </c>
      <c r="AD3733" t="str">
        <f>IF(A3733="","",IF(AC3733&gt;1,"REVISAR DUPLICADO",IF(AA3733&lt;&gt;"","ACTUALIZADO POR EYR","SIN REPORTE EYR")))</f>
        <v/>
      </c>
    </row>
    <row r="3734" spans="11:30" x14ac:dyDescent="0.3">
      <c r="K3734" s="1" t="str">
        <f ca="1">IF(A3734="","",IF(OR(L3734="ENTREGADA",L3734="RETORNADA",L3734="ENTREGA DIGITAL"),0,MAX(0,5-NETWORKDAYS(H3734+1,TODAY()))))</f>
        <v/>
      </c>
      <c r="L3734" t="str">
        <f>IF(A3734="","",IFERROR(LOOKUP(2,1/(#REF!=Z3734),#REF!),Y3734))</f>
        <v/>
      </c>
      <c r="Z3734" t="str">
        <f>IF(A3734="","",TEXT(A3734,"0")&amp;"|"&amp;TEXT(H3734,"0"))</f>
        <v/>
      </c>
      <c r="AA3734" t="str">
        <f>IF(Z3734="","",IFERROR(LOOKUP(2,1/(#REF!=Z3734),#REF!),""))</f>
        <v/>
      </c>
      <c r="AB3734" t="str">
        <f>IF(Z3734="","",IFERROR(LOOKUP(2,1/(#REF!=Z3734),#REF!),""))</f>
        <v/>
      </c>
      <c r="AC3734" t="str">
        <f>IF(Z3734="","",COUNTIF(#REF!,Z3734))</f>
        <v/>
      </c>
      <c r="AD3734" t="str">
        <f>IF(A3734="","",IF(AC3734&gt;1,"REVISAR DUPLICADO",IF(AA3734&lt;&gt;"","ACTUALIZADO POR EYR","SIN REPORTE EYR")))</f>
        <v/>
      </c>
    </row>
    <row r="3735" spans="11:30" x14ac:dyDescent="0.3">
      <c r="K3735" s="1" t="str">
        <f ca="1">IF(A3735="","",IF(OR(L3735="ENTREGADA",L3735="RETORNADA",L3735="ENTREGA DIGITAL"),0,MAX(0,5-NETWORKDAYS(H3735+1,TODAY()))))</f>
        <v/>
      </c>
      <c r="L3735" t="str">
        <f>IF(A3735="","",IFERROR(LOOKUP(2,1/(#REF!=Z3735),#REF!),Y3735))</f>
        <v/>
      </c>
      <c r="Z3735" t="str">
        <f>IF(A3735="","",TEXT(A3735,"0")&amp;"|"&amp;TEXT(H3735,"0"))</f>
        <v/>
      </c>
      <c r="AA3735" t="str">
        <f>IF(Z3735="","",IFERROR(LOOKUP(2,1/(#REF!=Z3735),#REF!),""))</f>
        <v/>
      </c>
      <c r="AB3735" t="str">
        <f>IF(Z3735="","",IFERROR(LOOKUP(2,1/(#REF!=Z3735),#REF!),""))</f>
        <v/>
      </c>
      <c r="AC3735" t="str">
        <f>IF(Z3735="","",COUNTIF(#REF!,Z3735))</f>
        <v/>
      </c>
      <c r="AD3735" t="str">
        <f>IF(A3735="","",IF(AC3735&gt;1,"REVISAR DUPLICADO",IF(AA3735&lt;&gt;"","ACTUALIZADO POR EYR","SIN REPORTE EYR")))</f>
        <v/>
      </c>
    </row>
    <row r="3736" spans="11:30" x14ac:dyDescent="0.3">
      <c r="K3736" s="1" t="str">
        <f ca="1">IF(A3736="","",IF(OR(L3736="ENTREGADA",L3736="RETORNADA",L3736="ENTREGA DIGITAL"),0,MAX(0,5-NETWORKDAYS(H3736+1,TODAY()))))</f>
        <v/>
      </c>
      <c r="L3736" t="str">
        <f>IF(A3736="","",IFERROR(LOOKUP(2,1/(#REF!=Z3736),#REF!),Y3736))</f>
        <v/>
      </c>
      <c r="Z3736" t="str">
        <f>IF(A3736="","",TEXT(A3736,"0")&amp;"|"&amp;TEXT(H3736,"0"))</f>
        <v/>
      </c>
      <c r="AA3736" t="str">
        <f>IF(Z3736="","",IFERROR(LOOKUP(2,1/(#REF!=Z3736),#REF!),""))</f>
        <v/>
      </c>
      <c r="AB3736" t="str">
        <f>IF(Z3736="","",IFERROR(LOOKUP(2,1/(#REF!=Z3736),#REF!),""))</f>
        <v/>
      </c>
      <c r="AC3736" t="str">
        <f>IF(Z3736="","",COUNTIF(#REF!,Z3736))</f>
        <v/>
      </c>
      <c r="AD3736" t="str">
        <f>IF(A3736="","",IF(AC3736&gt;1,"REVISAR DUPLICADO",IF(AA3736&lt;&gt;"","ACTUALIZADO POR EYR","SIN REPORTE EYR")))</f>
        <v/>
      </c>
    </row>
    <row r="3737" spans="11:30" x14ac:dyDescent="0.3">
      <c r="K3737" s="1" t="str">
        <f ca="1">IF(A3737="","",IF(OR(L3737="ENTREGADA",L3737="RETORNADA",L3737="ENTREGA DIGITAL"),0,MAX(0,5-NETWORKDAYS(H3737+1,TODAY()))))</f>
        <v/>
      </c>
      <c r="L3737" t="str">
        <f>IF(A3737="","",IFERROR(LOOKUP(2,1/(#REF!=Z3737),#REF!),Y3737))</f>
        <v/>
      </c>
      <c r="Z3737" t="str">
        <f>IF(A3737="","",TEXT(A3737,"0")&amp;"|"&amp;TEXT(H3737,"0"))</f>
        <v/>
      </c>
      <c r="AA3737" t="str">
        <f>IF(Z3737="","",IFERROR(LOOKUP(2,1/(#REF!=Z3737),#REF!),""))</f>
        <v/>
      </c>
      <c r="AB3737" t="str">
        <f>IF(Z3737="","",IFERROR(LOOKUP(2,1/(#REF!=Z3737),#REF!),""))</f>
        <v/>
      </c>
      <c r="AC3737" t="str">
        <f>IF(Z3737="","",COUNTIF(#REF!,Z3737))</f>
        <v/>
      </c>
      <c r="AD3737" t="str">
        <f>IF(A3737="","",IF(AC3737&gt;1,"REVISAR DUPLICADO",IF(AA3737&lt;&gt;"","ACTUALIZADO POR EYR","SIN REPORTE EYR")))</f>
        <v/>
      </c>
    </row>
    <row r="3738" spans="11:30" x14ac:dyDescent="0.3">
      <c r="K3738" s="1" t="str">
        <f ca="1">IF(A3738="","",IF(OR(L3738="ENTREGADA",L3738="RETORNADA",L3738="ENTREGA DIGITAL"),0,MAX(0,5-NETWORKDAYS(H3738+1,TODAY()))))</f>
        <v/>
      </c>
      <c r="L3738" t="str">
        <f>IF(A3738="","",IFERROR(LOOKUP(2,1/(#REF!=Z3738),#REF!),Y3738))</f>
        <v/>
      </c>
      <c r="Z3738" t="str">
        <f>IF(A3738="","",TEXT(A3738,"0")&amp;"|"&amp;TEXT(H3738,"0"))</f>
        <v/>
      </c>
      <c r="AA3738" t="str">
        <f>IF(Z3738="","",IFERROR(LOOKUP(2,1/(#REF!=Z3738),#REF!),""))</f>
        <v/>
      </c>
      <c r="AB3738" t="str">
        <f>IF(Z3738="","",IFERROR(LOOKUP(2,1/(#REF!=Z3738),#REF!),""))</f>
        <v/>
      </c>
      <c r="AC3738" t="str">
        <f>IF(Z3738="","",COUNTIF(#REF!,Z3738))</f>
        <v/>
      </c>
      <c r="AD3738" t="str">
        <f>IF(A3738="","",IF(AC3738&gt;1,"REVISAR DUPLICADO",IF(AA3738&lt;&gt;"","ACTUALIZADO POR EYR","SIN REPORTE EYR")))</f>
        <v/>
      </c>
    </row>
    <row r="3739" spans="11:30" x14ac:dyDescent="0.3">
      <c r="K3739" s="1" t="str">
        <f ca="1">IF(A3739="","",IF(OR(L3739="ENTREGADA",L3739="RETORNADA",L3739="ENTREGA DIGITAL"),0,MAX(0,5-NETWORKDAYS(H3739+1,TODAY()))))</f>
        <v/>
      </c>
      <c r="L3739" t="str">
        <f>IF(A3739="","",IFERROR(LOOKUP(2,1/(#REF!=Z3739),#REF!),Y3739))</f>
        <v/>
      </c>
      <c r="Z3739" t="str">
        <f>IF(A3739="","",TEXT(A3739,"0")&amp;"|"&amp;TEXT(H3739,"0"))</f>
        <v/>
      </c>
      <c r="AA3739" t="str">
        <f>IF(Z3739="","",IFERROR(LOOKUP(2,1/(#REF!=Z3739),#REF!),""))</f>
        <v/>
      </c>
      <c r="AB3739" t="str">
        <f>IF(Z3739="","",IFERROR(LOOKUP(2,1/(#REF!=Z3739),#REF!),""))</f>
        <v/>
      </c>
      <c r="AC3739" t="str">
        <f>IF(Z3739="","",COUNTIF(#REF!,Z3739))</f>
        <v/>
      </c>
      <c r="AD3739" t="str">
        <f>IF(A3739="","",IF(AC3739&gt;1,"REVISAR DUPLICADO",IF(AA3739&lt;&gt;"","ACTUALIZADO POR EYR","SIN REPORTE EYR")))</f>
        <v/>
      </c>
    </row>
    <row r="3740" spans="11:30" x14ac:dyDescent="0.3">
      <c r="K3740" s="1" t="str">
        <f ca="1">IF(A3740="","",IF(OR(L3740="ENTREGADA",L3740="RETORNADA",L3740="ENTREGA DIGITAL"),0,MAX(0,5-NETWORKDAYS(H3740+1,TODAY()))))</f>
        <v/>
      </c>
      <c r="L3740" t="str">
        <f>IF(A3740="","",IFERROR(LOOKUP(2,1/(#REF!=Z3740),#REF!),Y3740))</f>
        <v/>
      </c>
      <c r="Z3740" t="str">
        <f>IF(A3740="","",TEXT(A3740,"0")&amp;"|"&amp;TEXT(H3740,"0"))</f>
        <v/>
      </c>
      <c r="AA3740" t="str">
        <f>IF(Z3740="","",IFERROR(LOOKUP(2,1/(#REF!=Z3740),#REF!),""))</f>
        <v/>
      </c>
      <c r="AB3740" t="str">
        <f>IF(Z3740="","",IFERROR(LOOKUP(2,1/(#REF!=Z3740),#REF!),""))</f>
        <v/>
      </c>
      <c r="AC3740" t="str">
        <f>IF(Z3740="","",COUNTIF(#REF!,Z3740))</f>
        <v/>
      </c>
      <c r="AD3740" t="str">
        <f>IF(A3740="","",IF(AC3740&gt;1,"REVISAR DUPLICADO",IF(AA3740&lt;&gt;"","ACTUALIZADO POR EYR","SIN REPORTE EYR")))</f>
        <v/>
      </c>
    </row>
    <row r="3741" spans="11:30" x14ac:dyDescent="0.3">
      <c r="K3741" s="1" t="str">
        <f ca="1">IF(A3741="","",IF(OR(L3741="ENTREGADA",L3741="RETORNADA",L3741="ENTREGA DIGITAL"),0,MAX(0,5-NETWORKDAYS(H3741+1,TODAY()))))</f>
        <v/>
      </c>
      <c r="L3741" t="str">
        <f>IF(A3741="","",IFERROR(LOOKUP(2,1/(#REF!=Z3741),#REF!),Y3741))</f>
        <v/>
      </c>
      <c r="Z3741" t="str">
        <f>IF(A3741="","",TEXT(A3741,"0")&amp;"|"&amp;TEXT(H3741,"0"))</f>
        <v/>
      </c>
      <c r="AA3741" t="str">
        <f>IF(Z3741="","",IFERROR(LOOKUP(2,1/(#REF!=Z3741),#REF!),""))</f>
        <v/>
      </c>
      <c r="AB3741" t="str">
        <f>IF(Z3741="","",IFERROR(LOOKUP(2,1/(#REF!=Z3741),#REF!),""))</f>
        <v/>
      </c>
      <c r="AC3741" t="str">
        <f>IF(Z3741="","",COUNTIF(#REF!,Z3741))</f>
        <v/>
      </c>
      <c r="AD3741" t="str">
        <f>IF(A3741="","",IF(AC3741&gt;1,"REVISAR DUPLICADO",IF(AA3741&lt;&gt;"","ACTUALIZADO POR EYR","SIN REPORTE EYR")))</f>
        <v/>
      </c>
    </row>
    <row r="3742" spans="11:30" x14ac:dyDescent="0.3">
      <c r="K3742" s="1" t="str">
        <f ca="1">IF(A3742="","",IF(OR(L3742="ENTREGADA",L3742="RETORNADA",L3742="ENTREGA DIGITAL"),0,MAX(0,5-NETWORKDAYS(H3742+1,TODAY()))))</f>
        <v/>
      </c>
      <c r="L3742" t="str">
        <f>IF(A3742="","",IFERROR(LOOKUP(2,1/(#REF!=Z3742),#REF!),Y3742))</f>
        <v/>
      </c>
      <c r="Z3742" t="str">
        <f>IF(A3742="","",TEXT(A3742,"0")&amp;"|"&amp;TEXT(H3742,"0"))</f>
        <v/>
      </c>
      <c r="AA3742" t="str">
        <f>IF(Z3742="","",IFERROR(LOOKUP(2,1/(#REF!=Z3742),#REF!),""))</f>
        <v/>
      </c>
      <c r="AB3742" t="str">
        <f>IF(Z3742="","",IFERROR(LOOKUP(2,1/(#REF!=Z3742),#REF!),""))</f>
        <v/>
      </c>
      <c r="AC3742" t="str">
        <f>IF(Z3742="","",COUNTIF(#REF!,Z3742))</f>
        <v/>
      </c>
      <c r="AD3742" t="str">
        <f>IF(A3742="","",IF(AC3742&gt;1,"REVISAR DUPLICADO",IF(AA3742&lt;&gt;"","ACTUALIZADO POR EYR","SIN REPORTE EYR")))</f>
        <v/>
      </c>
    </row>
    <row r="3743" spans="11:30" x14ac:dyDescent="0.3">
      <c r="K3743" s="1" t="str">
        <f ca="1">IF(A3743="","",IF(OR(L3743="ENTREGADA",L3743="RETORNADA",L3743="ENTREGA DIGITAL"),0,MAX(0,5-NETWORKDAYS(H3743+1,TODAY()))))</f>
        <v/>
      </c>
      <c r="L3743" t="str">
        <f>IF(A3743="","",IFERROR(LOOKUP(2,1/(#REF!=Z3743),#REF!),Y3743))</f>
        <v/>
      </c>
      <c r="Z3743" t="str">
        <f>IF(A3743="","",TEXT(A3743,"0")&amp;"|"&amp;TEXT(H3743,"0"))</f>
        <v/>
      </c>
      <c r="AA3743" t="str">
        <f>IF(Z3743="","",IFERROR(LOOKUP(2,1/(#REF!=Z3743),#REF!),""))</f>
        <v/>
      </c>
      <c r="AB3743" t="str">
        <f>IF(Z3743="","",IFERROR(LOOKUP(2,1/(#REF!=Z3743),#REF!),""))</f>
        <v/>
      </c>
      <c r="AC3743" t="str">
        <f>IF(Z3743="","",COUNTIF(#REF!,Z3743))</f>
        <v/>
      </c>
      <c r="AD3743" t="str">
        <f>IF(A3743="","",IF(AC3743&gt;1,"REVISAR DUPLICADO",IF(AA3743&lt;&gt;"","ACTUALIZADO POR EYR","SIN REPORTE EYR")))</f>
        <v/>
      </c>
    </row>
    <row r="3744" spans="11:30" x14ac:dyDescent="0.3">
      <c r="K3744" s="1" t="str">
        <f ca="1">IF(A3744="","",IF(OR(L3744="ENTREGADA",L3744="RETORNADA",L3744="ENTREGA DIGITAL"),0,MAX(0,5-NETWORKDAYS(H3744+1,TODAY()))))</f>
        <v/>
      </c>
      <c r="L3744" t="str">
        <f>IF(A3744="","",IFERROR(LOOKUP(2,1/(#REF!=Z3744),#REF!),Y3744))</f>
        <v/>
      </c>
      <c r="Z3744" t="str">
        <f>IF(A3744="","",TEXT(A3744,"0")&amp;"|"&amp;TEXT(H3744,"0"))</f>
        <v/>
      </c>
      <c r="AA3744" t="str">
        <f>IF(Z3744="","",IFERROR(LOOKUP(2,1/(#REF!=Z3744),#REF!),""))</f>
        <v/>
      </c>
      <c r="AB3744" t="str">
        <f>IF(Z3744="","",IFERROR(LOOKUP(2,1/(#REF!=Z3744),#REF!),""))</f>
        <v/>
      </c>
      <c r="AC3744" t="str">
        <f>IF(Z3744="","",COUNTIF(#REF!,Z3744))</f>
        <v/>
      </c>
      <c r="AD3744" t="str">
        <f>IF(A3744="","",IF(AC3744&gt;1,"REVISAR DUPLICADO",IF(AA3744&lt;&gt;"","ACTUALIZADO POR EYR","SIN REPORTE EYR")))</f>
        <v/>
      </c>
    </row>
    <row r="3745" spans="11:30" x14ac:dyDescent="0.3">
      <c r="K3745" s="1" t="str">
        <f ca="1">IF(A3745="","",IF(OR(L3745="ENTREGADA",L3745="RETORNADA",L3745="ENTREGA DIGITAL"),0,MAX(0,5-NETWORKDAYS(H3745+1,TODAY()))))</f>
        <v/>
      </c>
      <c r="L3745" t="str">
        <f>IF(A3745="","",IFERROR(LOOKUP(2,1/(#REF!=Z3745),#REF!),Y3745))</f>
        <v/>
      </c>
      <c r="Z3745" t="str">
        <f>IF(A3745="","",TEXT(A3745,"0")&amp;"|"&amp;TEXT(H3745,"0"))</f>
        <v/>
      </c>
      <c r="AA3745" t="str">
        <f>IF(Z3745="","",IFERROR(LOOKUP(2,1/(#REF!=Z3745),#REF!),""))</f>
        <v/>
      </c>
      <c r="AB3745" t="str">
        <f>IF(Z3745="","",IFERROR(LOOKUP(2,1/(#REF!=Z3745),#REF!),""))</f>
        <v/>
      </c>
      <c r="AC3745" t="str">
        <f>IF(Z3745="","",COUNTIF(#REF!,Z3745))</f>
        <v/>
      </c>
      <c r="AD3745" t="str">
        <f>IF(A3745="","",IF(AC3745&gt;1,"REVISAR DUPLICADO",IF(AA3745&lt;&gt;"","ACTUALIZADO POR EYR","SIN REPORTE EYR")))</f>
        <v/>
      </c>
    </row>
    <row r="3746" spans="11:30" x14ac:dyDescent="0.3">
      <c r="K3746" s="1" t="str">
        <f ca="1">IF(A3746="","",IF(OR(L3746="ENTREGADA",L3746="RETORNADA",L3746="ENTREGA DIGITAL"),0,MAX(0,5-NETWORKDAYS(H3746+1,TODAY()))))</f>
        <v/>
      </c>
      <c r="L3746" t="str">
        <f>IF(A3746="","",IFERROR(LOOKUP(2,1/(#REF!=Z3746),#REF!),Y3746))</f>
        <v/>
      </c>
      <c r="Z3746" t="str">
        <f>IF(A3746="","",TEXT(A3746,"0")&amp;"|"&amp;TEXT(H3746,"0"))</f>
        <v/>
      </c>
      <c r="AA3746" t="str">
        <f>IF(Z3746="","",IFERROR(LOOKUP(2,1/(#REF!=Z3746),#REF!),""))</f>
        <v/>
      </c>
      <c r="AB3746" t="str">
        <f>IF(Z3746="","",IFERROR(LOOKUP(2,1/(#REF!=Z3746),#REF!),""))</f>
        <v/>
      </c>
      <c r="AC3746" t="str">
        <f>IF(Z3746="","",COUNTIF(#REF!,Z3746))</f>
        <v/>
      </c>
      <c r="AD3746" t="str">
        <f>IF(A3746="","",IF(AC3746&gt;1,"REVISAR DUPLICADO",IF(AA3746&lt;&gt;"","ACTUALIZADO POR EYR","SIN REPORTE EYR")))</f>
        <v/>
      </c>
    </row>
    <row r="3747" spans="11:30" x14ac:dyDescent="0.3">
      <c r="K3747" s="1" t="str">
        <f ca="1">IF(A3747="","",IF(OR(L3747="ENTREGADA",L3747="RETORNADA",L3747="ENTREGA DIGITAL"),0,MAX(0,5-NETWORKDAYS(H3747+1,TODAY()))))</f>
        <v/>
      </c>
      <c r="L3747" t="str">
        <f>IF(A3747="","",IFERROR(LOOKUP(2,1/(#REF!=Z3747),#REF!),Y3747))</f>
        <v/>
      </c>
      <c r="Z3747" t="str">
        <f>IF(A3747="","",TEXT(A3747,"0")&amp;"|"&amp;TEXT(H3747,"0"))</f>
        <v/>
      </c>
      <c r="AA3747" t="str">
        <f>IF(Z3747="","",IFERROR(LOOKUP(2,1/(#REF!=Z3747),#REF!),""))</f>
        <v/>
      </c>
      <c r="AB3747" t="str">
        <f>IF(Z3747="","",IFERROR(LOOKUP(2,1/(#REF!=Z3747),#REF!),""))</f>
        <v/>
      </c>
      <c r="AC3747" t="str">
        <f>IF(Z3747="","",COUNTIF(#REF!,Z3747))</f>
        <v/>
      </c>
      <c r="AD3747" t="str">
        <f>IF(A3747="","",IF(AC3747&gt;1,"REVISAR DUPLICADO",IF(AA3747&lt;&gt;"","ACTUALIZADO POR EYR","SIN REPORTE EYR")))</f>
        <v/>
      </c>
    </row>
    <row r="3748" spans="11:30" x14ac:dyDescent="0.3">
      <c r="K3748" s="1" t="str">
        <f ca="1">IF(A3748="","",IF(OR(L3748="ENTREGADA",L3748="RETORNADA",L3748="ENTREGA DIGITAL"),0,MAX(0,5-NETWORKDAYS(H3748+1,TODAY()))))</f>
        <v/>
      </c>
      <c r="L3748" t="str">
        <f>IF(A3748="","",IFERROR(LOOKUP(2,1/(#REF!=Z3748),#REF!),Y3748))</f>
        <v/>
      </c>
      <c r="Z3748" t="str">
        <f>IF(A3748="","",TEXT(A3748,"0")&amp;"|"&amp;TEXT(H3748,"0"))</f>
        <v/>
      </c>
      <c r="AA3748" t="str">
        <f>IF(Z3748="","",IFERROR(LOOKUP(2,1/(#REF!=Z3748),#REF!),""))</f>
        <v/>
      </c>
      <c r="AB3748" t="str">
        <f>IF(Z3748="","",IFERROR(LOOKUP(2,1/(#REF!=Z3748),#REF!),""))</f>
        <v/>
      </c>
      <c r="AC3748" t="str">
        <f>IF(Z3748="","",COUNTIF(#REF!,Z3748))</f>
        <v/>
      </c>
      <c r="AD3748" t="str">
        <f>IF(A3748="","",IF(AC3748&gt;1,"REVISAR DUPLICADO",IF(AA3748&lt;&gt;"","ACTUALIZADO POR EYR","SIN REPORTE EYR")))</f>
        <v/>
      </c>
    </row>
    <row r="3749" spans="11:30" x14ac:dyDescent="0.3">
      <c r="K3749" s="1" t="str">
        <f ca="1">IF(A3749="","",IF(OR(L3749="ENTREGADA",L3749="RETORNADA",L3749="ENTREGA DIGITAL"),0,MAX(0,5-NETWORKDAYS(H3749+1,TODAY()))))</f>
        <v/>
      </c>
      <c r="L3749" t="str">
        <f>IF(A3749="","",IFERROR(LOOKUP(2,1/(#REF!=Z3749),#REF!),Y3749))</f>
        <v/>
      </c>
      <c r="Z3749" t="str">
        <f>IF(A3749="","",TEXT(A3749,"0")&amp;"|"&amp;TEXT(H3749,"0"))</f>
        <v/>
      </c>
      <c r="AA3749" t="str">
        <f>IF(Z3749="","",IFERROR(LOOKUP(2,1/(#REF!=Z3749),#REF!),""))</f>
        <v/>
      </c>
      <c r="AB3749" t="str">
        <f>IF(Z3749="","",IFERROR(LOOKUP(2,1/(#REF!=Z3749),#REF!),""))</f>
        <v/>
      </c>
      <c r="AC3749" t="str">
        <f>IF(Z3749="","",COUNTIF(#REF!,Z3749))</f>
        <v/>
      </c>
      <c r="AD3749" t="str">
        <f>IF(A3749="","",IF(AC3749&gt;1,"REVISAR DUPLICADO",IF(AA3749&lt;&gt;"","ACTUALIZADO POR EYR","SIN REPORTE EYR")))</f>
        <v/>
      </c>
    </row>
    <row r="3750" spans="11:30" x14ac:dyDescent="0.3">
      <c r="K3750" s="1" t="str">
        <f ca="1">IF(A3750="","",IF(OR(L3750="ENTREGADA",L3750="RETORNADA",L3750="ENTREGA DIGITAL"),0,MAX(0,5-NETWORKDAYS(H3750+1,TODAY()))))</f>
        <v/>
      </c>
      <c r="L3750" t="str">
        <f>IF(A3750="","",IFERROR(LOOKUP(2,1/(#REF!=Z3750),#REF!),Y3750))</f>
        <v/>
      </c>
      <c r="Z3750" t="str">
        <f>IF(A3750="","",TEXT(A3750,"0")&amp;"|"&amp;TEXT(H3750,"0"))</f>
        <v/>
      </c>
      <c r="AA3750" t="str">
        <f>IF(Z3750="","",IFERROR(LOOKUP(2,1/(#REF!=Z3750),#REF!),""))</f>
        <v/>
      </c>
      <c r="AB3750" t="str">
        <f>IF(Z3750="","",IFERROR(LOOKUP(2,1/(#REF!=Z3750),#REF!),""))</f>
        <v/>
      </c>
      <c r="AC3750" t="str">
        <f>IF(Z3750="","",COUNTIF(#REF!,Z3750))</f>
        <v/>
      </c>
      <c r="AD3750" t="str">
        <f>IF(A3750="","",IF(AC3750&gt;1,"REVISAR DUPLICADO",IF(AA3750&lt;&gt;"","ACTUALIZADO POR EYR","SIN REPORTE EYR")))</f>
        <v/>
      </c>
    </row>
    <row r="3751" spans="11:30" x14ac:dyDescent="0.3">
      <c r="K3751" s="1" t="str">
        <f ca="1">IF(A3751="","",IF(OR(L3751="ENTREGADA",L3751="RETORNADA",L3751="ENTREGA DIGITAL"),0,MAX(0,5-NETWORKDAYS(H3751+1,TODAY()))))</f>
        <v/>
      </c>
      <c r="L3751" t="str">
        <f>IF(A3751="","",IFERROR(LOOKUP(2,1/(#REF!=Z3751),#REF!),Y3751))</f>
        <v/>
      </c>
      <c r="Z3751" t="str">
        <f>IF(A3751="","",TEXT(A3751,"0")&amp;"|"&amp;TEXT(H3751,"0"))</f>
        <v/>
      </c>
      <c r="AA3751" t="str">
        <f>IF(Z3751="","",IFERROR(LOOKUP(2,1/(#REF!=Z3751),#REF!),""))</f>
        <v/>
      </c>
      <c r="AB3751" t="str">
        <f>IF(Z3751="","",IFERROR(LOOKUP(2,1/(#REF!=Z3751),#REF!),""))</f>
        <v/>
      </c>
      <c r="AC3751" t="str">
        <f>IF(Z3751="","",COUNTIF(#REF!,Z3751))</f>
        <v/>
      </c>
      <c r="AD3751" t="str">
        <f>IF(A3751="","",IF(AC3751&gt;1,"REVISAR DUPLICADO",IF(AA3751&lt;&gt;"","ACTUALIZADO POR EYR","SIN REPORTE EYR")))</f>
        <v/>
      </c>
    </row>
    <row r="3752" spans="11:30" x14ac:dyDescent="0.3">
      <c r="K3752" s="1" t="str">
        <f ca="1">IF(A3752="","",IF(OR(L3752="ENTREGADA",L3752="RETORNADA",L3752="ENTREGA DIGITAL"),0,MAX(0,5-NETWORKDAYS(H3752+1,TODAY()))))</f>
        <v/>
      </c>
      <c r="L3752" t="str">
        <f>IF(A3752="","",IFERROR(LOOKUP(2,1/(#REF!=Z3752),#REF!),Y3752))</f>
        <v/>
      </c>
      <c r="Z3752" t="str">
        <f>IF(A3752="","",TEXT(A3752,"0")&amp;"|"&amp;TEXT(H3752,"0"))</f>
        <v/>
      </c>
      <c r="AA3752" t="str">
        <f>IF(Z3752="","",IFERROR(LOOKUP(2,1/(#REF!=Z3752),#REF!),""))</f>
        <v/>
      </c>
      <c r="AB3752" t="str">
        <f>IF(Z3752="","",IFERROR(LOOKUP(2,1/(#REF!=Z3752),#REF!),""))</f>
        <v/>
      </c>
      <c r="AC3752" t="str">
        <f>IF(Z3752="","",COUNTIF(#REF!,Z3752))</f>
        <v/>
      </c>
      <c r="AD3752" t="str">
        <f>IF(A3752="","",IF(AC3752&gt;1,"REVISAR DUPLICADO",IF(AA3752&lt;&gt;"","ACTUALIZADO POR EYR","SIN REPORTE EYR")))</f>
        <v/>
      </c>
    </row>
    <row r="3753" spans="11:30" x14ac:dyDescent="0.3">
      <c r="K3753" s="1" t="str">
        <f ca="1">IF(A3753="","",IF(OR(L3753="ENTREGADA",L3753="RETORNADA",L3753="ENTREGA DIGITAL"),0,MAX(0,5-NETWORKDAYS(H3753+1,TODAY()))))</f>
        <v/>
      </c>
      <c r="L3753" t="str">
        <f>IF(A3753="","",IFERROR(LOOKUP(2,1/(#REF!=Z3753),#REF!),Y3753))</f>
        <v/>
      </c>
      <c r="Z3753" t="str">
        <f>IF(A3753="","",TEXT(A3753,"0")&amp;"|"&amp;TEXT(H3753,"0"))</f>
        <v/>
      </c>
      <c r="AA3753" t="str">
        <f>IF(Z3753="","",IFERROR(LOOKUP(2,1/(#REF!=Z3753),#REF!),""))</f>
        <v/>
      </c>
      <c r="AB3753" t="str">
        <f>IF(Z3753="","",IFERROR(LOOKUP(2,1/(#REF!=Z3753),#REF!),""))</f>
        <v/>
      </c>
      <c r="AC3753" t="str">
        <f>IF(Z3753="","",COUNTIF(#REF!,Z3753))</f>
        <v/>
      </c>
      <c r="AD3753" t="str">
        <f>IF(A3753="","",IF(AC3753&gt;1,"REVISAR DUPLICADO",IF(AA3753&lt;&gt;"","ACTUALIZADO POR EYR","SIN REPORTE EYR")))</f>
        <v/>
      </c>
    </row>
    <row r="3754" spans="11:30" x14ac:dyDescent="0.3">
      <c r="K3754" s="1" t="str">
        <f ca="1">IF(A3754="","",IF(OR(L3754="ENTREGADA",L3754="RETORNADA",L3754="ENTREGA DIGITAL"),0,MAX(0,5-NETWORKDAYS(H3754+1,TODAY()))))</f>
        <v/>
      </c>
      <c r="L3754" t="str">
        <f>IF(A3754="","",IFERROR(LOOKUP(2,1/(#REF!=Z3754),#REF!),Y3754))</f>
        <v/>
      </c>
      <c r="Z3754" t="str">
        <f>IF(A3754="","",TEXT(A3754,"0")&amp;"|"&amp;TEXT(H3754,"0"))</f>
        <v/>
      </c>
      <c r="AA3754" t="str">
        <f>IF(Z3754="","",IFERROR(LOOKUP(2,1/(#REF!=Z3754),#REF!),""))</f>
        <v/>
      </c>
      <c r="AB3754" t="str">
        <f>IF(Z3754="","",IFERROR(LOOKUP(2,1/(#REF!=Z3754),#REF!),""))</f>
        <v/>
      </c>
      <c r="AC3754" t="str">
        <f>IF(Z3754="","",COUNTIF(#REF!,Z3754))</f>
        <v/>
      </c>
      <c r="AD3754" t="str">
        <f>IF(A3754="","",IF(AC3754&gt;1,"REVISAR DUPLICADO",IF(AA3754&lt;&gt;"","ACTUALIZADO POR EYR","SIN REPORTE EYR")))</f>
        <v/>
      </c>
    </row>
    <row r="3755" spans="11:30" x14ac:dyDescent="0.3">
      <c r="K3755" s="1" t="str">
        <f ca="1">IF(A3755="","",IF(OR(L3755="ENTREGADA",L3755="RETORNADA",L3755="ENTREGA DIGITAL"),0,MAX(0,5-NETWORKDAYS(H3755+1,TODAY()))))</f>
        <v/>
      </c>
      <c r="L3755" t="str">
        <f>IF(A3755="","",IFERROR(LOOKUP(2,1/(#REF!=Z3755),#REF!),Y3755))</f>
        <v/>
      </c>
      <c r="Z3755" t="str">
        <f>IF(A3755="","",TEXT(A3755,"0")&amp;"|"&amp;TEXT(H3755,"0"))</f>
        <v/>
      </c>
      <c r="AA3755" t="str">
        <f>IF(Z3755="","",IFERROR(LOOKUP(2,1/(#REF!=Z3755),#REF!),""))</f>
        <v/>
      </c>
      <c r="AB3755" t="str">
        <f>IF(Z3755="","",IFERROR(LOOKUP(2,1/(#REF!=Z3755),#REF!),""))</f>
        <v/>
      </c>
      <c r="AC3755" t="str">
        <f>IF(Z3755="","",COUNTIF(#REF!,Z3755))</f>
        <v/>
      </c>
      <c r="AD3755" t="str">
        <f>IF(A3755="","",IF(AC3755&gt;1,"REVISAR DUPLICADO",IF(AA3755&lt;&gt;"","ACTUALIZADO POR EYR","SIN REPORTE EYR")))</f>
        <v/>
      </c>
    </row>
    <row r="3756" spans="11:30" x14ac:dyDescent="0.3">
      <c r="K3756" s="1" t="str">
        <f ca="1">IF(A3756="","",IF(OR(L3756="ENTREGADA",L3756="RETORNADA",L3756="ENTREGA DIGITAL"),0,MAX(0,5-NETWORKDAYS(H3756+1,TODAY()))))</f>
        <v/>
      </c>
      <c r="L3756" t="str">
        <f>IF(A3756="","",IFERROR(LOOKUP(2,1/(#REF!=Z3756),#REF!),Y3756))</f>
        <v/>
      </c>
      <c r="Z3756" t="str">
        <f>IF(A3756="","",TEXT(A3756,"0")&amp;"|"&amp;TEXT(H3756,"0"))</f>
        <v/>
      </c>
      <c r="AA3756" t="str">
        <f>IF(Z3756="","",IFERROR(LOOKUP(2,1/(#REF!=Z3756),#REF!),""))</f>
        <v/>
      </c>
      <c r="AB3756" t="str">
        <f>IF(Z3756="","",IFERROR(LOOKUP(2,1/(#REF!=Z3756),#REF!),""))</f>
        <v/>
      </c>
      <c r="AC3756" t="str">
        <f>IF(Z3756="","",COUNTIF(#REF!,Z3756))</f>
        <v/>
      </c>
      <c r="AD3756" t="str">
        <f>IF(A3756="","",IF(AC3756&gt;1,"REVISAR DUPLICADO",IF(AA3756&lt;&gt;"","ACTUALIZADO POR EYR","SIN REPORTE EYR")))</f>
        <v/>
      </c>
    </row>
    <row r="3757" spans="11:30" x14ac:dyDescent="0.3">
      <c r="K3757" s="1" t="str">
        <f ca="1">IF(A3757="","",IF(OR(L3757="ENTREGADA",L3757="RETORNADA",L3757="ENTREGA DIGITAL"),0,MAX(0,5-NETWORKDAYS(H3757+1,TODAY()))))</f>
        <v/>
      </c>
      <c r="L3757" t="str">
        <f>IF(A3757="","",IFERROR(LOOKUP(2,1/(#REF!=Z3757),#REF!),Y3757))</f>
        <v/>
      </c>
      <c r="Z3757" t="str">
        <f>IF(A3757="","",TEXT(A3757,"0")&amp;"|"&amp;TEXT(H3757,"0"))</f>
        <v/>
      </c>
      <c r="AA3757" t="str">
        <f>IF(Z3757="","",IFERROR(LOOKUP(2,1/(#REF!=Z3757),#REF!),""))</f>
        <v/>
      </c>
      <c r="AB3757" t="str">
        <f>IF(Z3757="","",IFERROR(LOOKUP(2,1/(#REF!=Z3757),#REF!),""))</f>
        <v/>
      </c>
      <c r="AC3757" t="str">
        <f>IF(Z3757="","",COUNTIF(#REF!,Z3757))</f>
        <v/>
      </c>
      <c r="AD3757" t="str">
        <f>IF(A3757="","",IF(AC3757&gt;1,"REVISAR DUPLICADO",IF(AA3757&lt;&gt;"","ACTUALIZADO POR EYR","SIN REPORTE EYR")))</f>
        <v/>
      </c>
    </row>
    <row r="3758" spans="11:30" x14ac:dyDescent="0.3">
      <c r="K3758" s="1" t="str">
        <f ca="1">IF(A3758="","",IF(OR(L3758="ENTREGADA",L3758="RETORNADA",L3758="ENTREGA DIGITAL"),0,MAX(0,5-NETWORKDAYS(H3758+1,TODAY()))))</f>
        <v/>
      </c>
      <c r="L3758" t="str">
        <f>IF(A3758="","",IFERROR(LOOKUP(2,1/(#REF!=Z3758),#REF!),Y3758))</f>
        <v/>
      </c>
      <c r="Z3758" t="str">
        <f>IF(A3758="","",TEXT(A3758,"0")&amp;"|"&amp;TEXT(H3758,"0"))</f>
        <v/>
      </c>
      <c r="AA3758" t="str">
        <f>IF(Z3758="","",IFERROR(LOOKUP(2,1/(#REF!=Z3758),#REF!),""))</f>
        <v/>
      </c>
      <c r="AB3758" t="str">
        <f>IF(Z3758="","",IFERROR(LOOKUP(2,1/(#REF!=Z3758),#REF!),""))</f>
        <v/>
      </c>
      <c r="AC3758" t="str">
        <f>IF(Z3758="","",COUNTIF(#REF!,Z3758))</f>
        <v/>
      </c>
      <c r="AD3758" t="str">
        <f>IF(A3758="","",IF(AC3758&gt;1,"REVISAR DUPLICADO",IF(AA3758&lt;&gt;"","ACTUALIZADO POR EYR","SIN REPORTE EYR")))</f>
        <v/>
      </c>
    </row>
    <row r="3759" spans="11:30" x14ac:dyDescent="0.3">
      <c r="K3759" s="1" t="str">
        <f ca="1">IF(A3759="","",IF(OR(L3759="ENTREGADA",L3759="RETORNADA",L3759="ENTREGA DIGITAL"),0,MAX(0,5-NETWORKDAYS(H3759+1,TODAY()))))</f>
        <v/>
      </c>
      <c r="L3759" t="str">
        <f>IF(A3759="","",IFERROR(LOOKUP(2,1/(#REF!=Z3759),#REF!),Y3759))</f>
        <v/>
      </c>
      <c r="Z3759" t="str">
        <f>IF(A3759="","",TEXT(A3759,"0")&amp;"|"&amp;TEXT(H3759,"0"))</f>
        <v/>
      </c>
      <c r="AA3759" t="str">
        <f>IF(Z3759="","",IFERROR(LOOKUP(2,1/(#REF!=Z3759),#REF!),""))</f>
        <v/>
      </c>
      <c r="AB3759" t="str">
        <f>IF(Z3759="","",IFERROR(LOOKUP(2,1/(#REF!=Z3759),#REF!),""))</f>
        <v/>
      </c>
      <c r="AC3759" t="str">
        <f>IF(Z3759="","",COUNTIF(#REF!,Z3759))</f>
        <v/>
      </c>
      <c r="AD3759" t="str">
        <f>IF(A3759="","",IF(AC3759&gt;1,"REVISAR DUPLICADO",IF(AA3759&lt;&gt;"","ACTUALIZADO POR EYR","SIN REPORTE EYR")))</f>
        <v/>
      </c>
    </row>
    <row r="3760" spans="11:30" x14ac:dyDescent="0.3">
      <c r="K3760" s="1" t="str">
        <f ca="1">IF(A3760="","",IF(OR(L3760="ENTREGADA",L3760="RETORNADA",L3760="ENTREGA DIGITAL"),0,MAX(0,5-NETWORKDAYS(H3760+1,TODAY()))))</f>
        <v/>
      </c>
      <c r="L3760" t="str">
        <f>IF(A3760="","",IFERROR(LOOKUP(2,1/(#REF!=Z3760),#REF!),Y3760))</f>
        <v/>
      </c>
      <c r="Z3760" t="str">
        <f>IF(A3760="","",TEXT(A3760,"0")&amp;"|"&amp;TEXT(H3760,"0"))</f>
        <v/>
      </c>
      <c r="AA3760" t="str">
        <f>IF(Z3760="","",IFERROR(LOOKUP(2,1/(#REF!=Z3760),#REF!),""))</f>
        <v/>
      </c>
      <c r="AB3760" t="str">
        <f>IF(Z3760="","",IFERROR(LOOKUP(2,1/(#REF!=Z3760),#REF!),""))</f>
        <v/>
      </c>
      <c r="AC3760" t="str">
        <f>IF(Z3760="","",COUNTIF(#REF!,Z3760))</f>
        <v/>
      </c>
      <c r="AD3760" t="str">
        <f>IF(A3760="","",IF(AC3760&gt;1,"REVISAR DUPLICADO",IF(AA3760&lt;&gt;"","ACTUALIZADO POR EYR","SIN REPORTE EYR")))</f>
        <v/>
      </c>
    </row>
    <row r="3761" spans="11:30" x14ac:dyDescent="0.3">
      <c r="K3761" s="1" t="str">
        <f ca="1">IF(A3761="","",IF(OR(L3761="ENTREGADA",L3761="RETORNADA",L3761="ENTREGA DIGITAL"),0,MAX(0,5-NETWORKDAYS(H3761+1,TODAY()))))</f>
        <v/>
      </c>
      <c r="L3761" t="str">
        <f>IF(A3761="","",IFERROR(LOOKUP(2,1/(#REF!=Z3761),#REF!),Y3761))</f>
        <v/>
      </c>
      <c r="Z3761" t="str">
        <f>IF(A3761="","",TEXT(A3761,"0")&amp;"|"&amp;TEXT(H3761,"0"))</f>
        <v/>
      </c>
      <c r="AA3761" t="str">
        <f>IF(Z3761="","",IFERROR(LOOKUP(2,1/(#REF!=Z3761),#REF!),""))</f>
        <v/>
      </c>
      <c r="AB3761" t="str">
        <f>IF(Z3761="","",IFERROR(LOOKUP(2,1/(#REF!=Z3761),#REF!),""))</f>
        <v/>
      </c>
      <c r="AC3761" t="str">
        <f>IF(Z3761="","",COUNTIF(#REF!,Z3761))</f>
        <v/>
      </c>
      <c r="AD3761" t="str">
        <f>IF(A3761="","",IF(AC3761&gt;1,"REVISAR DUPLICADO",IF(AA3761&lt;&gt;"","ACTUALIZADO POR EYR","SIN REPORTE EYR")))</f>
        <v/>
      </c>
    </row>
    <row r="3762" spans="11:30" x14ac:dyDescent="0.3">
      <c r="K3762" s="1" t="str">
        <f ca="1">IF(A3762="","",IF(OR(L3762="ENTREGADA",L3762="RETORNADA",L3762="ENTREGA DIGITAL"),0,MAX(0,5-NETWORKDAYS(H3762+1,TODAY()))))</f>
        <v/>
      </c>
      <c r="L3762" t="str">
        <f>IF(A3762="","",IFERROR(LOOKUP(2,1/(#REF!=Z3762),#REF!),Y3762))</f>
        <v/>
      </c>
      <c r="Z3762" t="str">
        <f>IF(A3762="","",TEXT(A3762,"0")&amp;"|"&amp;TEXT(H3762,"0"))</f>
        <v/>
      </c>
      <c r="AA3762" t="str">
        <f>IF(Z3762="","",IFERROR(LOOKUP(2,1/(#REF!=Z3762),#REF!),""))</f>
        <v/>
      </c>
      <c r="AB3762" t="str">
        <f>IF(Z3762="","",IFERROR(LOOKUP(2,1/(#REF!=Z3762),#REF!),""))</f>
        <v/>
      </c>
      <c r="AC3762" t="str">
        <f>IF(Z3762="","",COUNTIF(#REF!,Z3762))</f>
        <v/>
      </c>
      <c r="AD3762" t="str">
        <f>IF(A3762="","",IF(AC3762&gt;1,"REVISAR DUPLICADO",IF(AA3762&lt;&gt;"","ACTUALIZADO POR EYR","SIN REPORTE EYR")))</f>
        <v/>
      </c>
    </row>
    <row r="3763" spans="11:30" x14ac:dyDescent="0.3">
      <c r="K3763" s="1" t="str">
        <f ca="1">IF(A3763="","",IF(OR(L3763="ENTREGADA",L3763="RETORNADA",L3763="ENTREGA DIGITAL"),0,MAX(0,5-NETWORKDAYS(H3763+1,TODAY()))))</f>
        <v/>
      </c>
      <c r="L3763" t="str">
        <f>IF(A3763="","",IFERROR(LOOKUP(2,1/(#REF!=Z3763),#REF!),Y3763))</f>
        <v/>
      </c>
      <c r="Z3763" t="str">
        <f>IF(A3763="","",TEXT(A3763,"0")&amp;"|"&amp;TEXT(H3763,"0"))</f>
        <v/>
      </c>
      <c r="AA3763" t="str">
        <f>IF(Z3763="","",IFERROR(LOOKUP(2,1/(#REF!=Z3763),#REF!),""))</f>
        <v/>
      </c>
      <c r="AB3763" t="str">
        <f>IF(Z3763="","",IFERROR(LOOKUP(2,1/(#REF!=Z3763),#REF!),""))</f>
        <v/>
      </c>
      <c r="AC3763" t="str">
        <f>IF(Z3763="","",COUNTIF(#REF!,Z3763))</f>
        <v/>
      </c>
      <c r="AD3763" t="str">
        <f>IF(A3763="","",IF(AC3763&gt;1,"REVISAR DUPLICADO",IF(AA3763&lt;&gt;"","ACTUALIZADO POR EYR","SIN REPORTE EYR")))</f>
        <v/>
      </c>
    </row>
    <row r="3764" spans="11:30" x14ac:dyDescent="0.3">
      <c r="K3764" s="1" t="str">
        <f ca="1">IF(A3764="","",IF(OR(L3764="ENTREGADA",L3764="RETORNADA",L3764="ENTREGA DIGITAL"),0,MAX(0,5-NETWORKDAYS(H3764+1,TODAY()))))</f>
        <v/>
      </c>
      <c r="L3764" t="str">
        <f>IF(A3764="","",IFERROR(LOOKUP(2,1/(#REF!=Z3764),#REF!),Y3764))</f>
        <v/>
      </c>
      <c r="Z3764" t="str">
        <f>IF(A3764="","",TEXT(A3764,"0")&amp;"|"&amp;TEXT(H3764,"0"))</f>
        <v/>
      </c>
      <c r="AA3764" t="str">
        <f>IF(Z3764="","",IFERROR(LOOKUP(2,1/(#REF!=Z3764),#REF!),""))</f>
        <v/>
      </c>
      <c r="AB3764" t="str">
        <f>IF(Z3764="","",IFERROR(LOOKUP(2,1/(#REF!=Z3764),#REF!),""))</f>
        <v/>
      </c>
      <c r="AC3764" t="str">
        <f>IF(Z3764="","",COUNTIF(#REF!,Z3764))</f>
        <v/>
      </c>
      <c r="AD3764" t="str">
        <f>IF(A3764="","",IF(AC3764&gt;1,"REVISAR DUPLICADO",IF(AA3764&lt;&gt;"","ACTUALIZADO POR EYR","SIN REPORTE EYR")))</f>
        <v/>
      </c>
    </row>
    <row r="3765" spans="11:30" x14ac:dyDescent="0.3">
      <c r="K3765" s="1" t="str">
        <f ca="1">IF(A3765="","",IF(OR(L3765="ENTREGADA",L3765="RETORNADA",L3765="ENTREGA DIGITAL"),0,MAX(0,5-NETWORKDAYS(H3765+1,TODAY()))))</f>
        <v/>
      </c>
      <c r="L3765" t="str">
        <f>IF(A3765="","",IFERROR(LOOKUP(2,1/(#REF!=Z3765),#REF!),Y3765))</f>
        <v/>
      </c>
      <c r="Z3765" t="str">
        <f>IF(A3765="","",TEXT(A3765,"0")&amp;"|"&amp;TEXT(H3765,"0"))</f>
        <v/>
      </c>
      <c r="AA3765" t="str">
        <f>IF(Z3765="","",IFERROR(LOOKUP(2,1/(#REF!=Z3765),#REF!),""))</f>
        <v/>
      </c>
      <c r="AB3765" t="str">
        <f>IF(Z3765="","",IFERROR(LOOKUP(2,1/(#REF!=Z3765),#REF!),""))</f>
        <v/>
      </c>
      <c r="AC3765" t="str">
        <f>IF(Z3765="","",COUNTIF(#REF!,Z3765))</f>
        <v/>
      </c>
      <c r="AD3765" t="str">
        <f>IF(A3765="","",IF(AC3765&gt;1,"REVISAR DUPLICADO",IF(AA3765&lt;&gt;"","ACTUALIZADO POR EYR","SIN REPORTE EYR")))</f>
        <v/>
      </c>
    </row>
    <row r="3766" spans="11:30" x14ac:dyDescent="0.3">
      <c r="K3766" s="1" t="str">
        <f ca="1">IF(A3766="","",IF(OR(L3766="ENTREGADA",L3766="RETORNADA",L3766="ENTREGA DIGITAL"),0,MAX(0,5-NETWORKDAYS(H3766+1,TODAY()))))</f>
        <v/>
      </c>
      <c r="L3766" t="str">
        <f>IF(A3766="","",IFERROR(LOOKUP(2,1/(#REF!=Z3766),#REF!),Y3766))</f>
        <v/>
      </c>
      <c r="Z3766" t="str">
        <f>IF(A3766="","",TEXT(A3766,"0")&amp;"|"&amp;TEXT(H3766,"0"))</f>
        <v/>
      </c>
      <c r="AA3766" t="str">
        <f>IF(Z3766="","",IFERROR(LOOKUP(2,1/(#REF!=Z3766),#REF!),""))</f>
        <v/>
      </c>
      <c r="AB3766" t="str">
        <f>IF(Z3766="","",IFERROR(LOOKUP(2,1/(#REF!=Z3766),#REF!),""))</f>
        <v/>
      </c>
      <c r="AC3766" t="str">
        <f>IF(Z3766="","",COUNTIF(#REF!,Z3766))</f>
        <v/>
      </c>
      <c r="AD3766" t="str">
        <f>IF(A3766="","",IF(AC3766&gt;1,"REVISAR DUPLICADO",IF(AA3766&lt;&gt;"","ACTUALIZADO POR EYR","SIN REPORTE EYR")))</f>
        <v/>
      </c>
    </row>
    <row r="3767" spans="11:30" x14ac:dyDescent="0.3">
      <c r="K3767" s="1" t="str">
        <f ca="1">IF(A3767="","",IF(OR(L3767="ENTREGADA",L3767="RETORNADA",L3767="ENTREGA DIGITAL"),0,MAX(0,5-NETWORKDAYS(H3767+1,TODAY()))))</f>
        <v/>
      </c>
      <c r="L3767" t="str">
        <f>IF(A3767="","",IFERROR(LOOKUP(2,1/(#REF!=Z3767),#REF!),Y3767))</f>
        <v/>
      </c>
      <c r="Z3767" t="str">
        <f>IF(A3767="","",TEXT(A3767,"0")&amp;"|"&amp;TEXT(H3767,"0"))</f>
        <v/>
      </c>
      <c r="AA3767" t="str">
        <f>IF(Z3767="","",IFERROR(LOOKUP(2,1/(#REF!=Z3767),#REF!),""))</f>
        <v/>
      </c>
      <c r="AB3767" t="str">
        <f>IF(Z3767="","",IFERROR(LOOKUP(2,1/(#REF!=Z3767),#REF!),""))</f>
        <v/>
      </c>
      <c r="AC3767" t="str">
        <f>IF(Z3767="","",COUNTIF(#REF!,Z3767))</f>
        <v/>
      </c>
      <c r="AD3767" t="str">
        <f>IF(A3767="","",IF(AC3767&gt;1,"REVISAR DUPLICADO",IF(AA3767&lt;&gt;"","ACTUALIZADO POR EYR","SIN REPORTE EYR")))</f>
        <v/>
      </c>
    </row>
    <row r="3768" spans="11:30" x14ac:dyDescent="0.3">
      <c r="K3768" s="1" t="str">
        <f ca="1">IF(A3768="","",IF(OR(L3768="ENTREGADA",L3768="RETORNADA",L3768="ENTREGA DIGITAL"),0,MAX(0,5-NETWORKDAYS(H3768+1,TODAY()))))</f>
        <v/>
      </c>
      <c r="L3768" t="str">
        <f>IF(A3768="","",IFERROR(LOOKUP(2,1/(#REF!=Z3768),#REF!),Y3768))</f>
        <v/>
      </c>
      <c r="Z3768" t="str">
        <f>IF(A3768="","",TEXT(A3768,"0")&amp;"|"&amp;TEXT(H3768,"0"))</f>
        <v/>
      </c>
      <c r="AA3768" t="str">
        <f>IF(Z3768="","",IFERROR(LOOKUP(2,1/(#REF!=Z3768),#REF!),""))</f>
        <v/>
      </c>
      <c r="AB3768" t="str">
        <f>IF(Z3768="","",IFERROR(LOOKUP(2,1/(#REF!=Z3768),#REF!),""))</f>
        <v/>
      </c>
      <c r="AC3768" t="str">
        <f>IF(Z3768="","",COUNTIF(#REF!,Z3768))</f>
        <v/>
      </c>
      <c r="AD3768" t="str">
        <f>IF(A3768="","",IF(AC3768&gt;1,"REVISAR DUPLICADO",IF(AA3768&lt;&gt;"","ACTUALIZADO POR EYR","SIN REPORTE EYR")))</f>
        <v/>
      </c>
    </row>
    <row r="3769" spans="11:30" x14ac:dyDescent="0.3">
      <c r="K3769" s="1" t="str">
        <f ca="1">IF(A3769="","",IF(OR(L3769="ENTREGADA",L3769="RETORNADA",L3769="ENTREGA DIGITAL"),0,MAX(0,5-NETWORKDAYS(H3769+1,TODAY()))))</f>
        <v/>
      </c>
      <c r="L3769" t="str">
        <f>IF(A3769="","",IFERROR(LOOKUP(2,1/(#REF!=Z3769),#REF!),Y3769))</f>
        <v/>
      </c>
      <c r="Z3769" t="str">
        <f>IF(A3769="","",TEXT(A3769,"0")&amp;"|"&amp;TEXT(H3769,"0"))</f>
        <v/>
      </c>
      <c r="AA3769" t="str">
        <f>IF(Z3769="","",IFERROR(LOOKUP(2,1/(#REF!=Z3769),#REF!),""))</f>
        <v/>
      </c>
      <c r="AB3769" t="str">
        <f>IF(Z3769="","",IFERROR(LOOKUP(2,1/(#REF!=Z3769),#REF!),""))</f>
        <v/>
      </c>
      <c r="AC3769" t="str">
        <f>IF(Z3769="","",COUNTIF(#REF!,Z3769))</f>
        <v/>
      </c>
      <c r="AD3769" t="str">
        <f>IF(A3769="","",IF(AC3769&gt;1,"REVISAR DUPLICADO",IF(AA3769&lt;&gt;"","ACTUALIZADO POR EYR","SIN REPORTE EYR")))</f>
        <v/>
      </c>
    </row>
    <row r="3770" spans="11:30" x14ac:dyDescent="0.3">
      <c r="K3770" s="1" t="str">
        <f ca="1">IF(A3770="","",IF(OR(L3770="ENTREGADA",L3770="RETORNADA",L3770="ENTREGA DIGITAL"),0,MAX(0,5-NETWORKDAYS(H3770+1,TODAY()))))</f>
        <v/>
      </c>
      <c r="L3770" t="str">
        <f>IF(A3770="","",IFERROR(LOOKUP(2,1/(#REF!=Z3770),#REF!),Y3770))</f>
        <v/>
      </c>
      <c r="Z3770" t="str">
        <f>IF(A3770="","",TEXT(A3770,"0")&amp;"|"&amp;TEXT(H3770,"0"))</f>
        <v/>
      </c>
      <c r="AA3770" t="str">
        <f>IF(Z3770="","",IFERROR(LOOKUP(2,1/(#REF!=Z3770),#REF!),""))</f>
        <v/>
      </c>
      <c r="AB3770" t="str">
        <f>IF(Z3770="","",IFERROR(LOOKUP(2,1/(#REF!=Z3770),#REF!),""))</f>
        <v/>
      </c>
      <c r="AC3770" t="str">
        <f>IF(Z3770="","",COUNTIF(#REF!,Z3770))</f>
        <v/>
      </c>
      <c r="AD3770" t="str">
        <f>IF(A3770="","",IF(AC3770&gt;1,"REVISAR DUPLICADO",IF(AA3770&lt;&gt;"","ACTUALIZADO POR EYR","SIN REPORTE EYR")))</f>
        <v/>
      </c>
    </row>
    <row r="3771" spans="11:30" x14ac:dyDescent="0.3">
      <c r="K3771" s="1" t="str">
        <f ca="1">IF(A3771="","",IF(OR(L3771="ENTREGADA",L3771="RETORNADA",L3771="ENTREGA DIGITAL"),0,MAX(0,5-NETWORKDAYS(H3771+1,TODAY()))))</f>
        <v/>
      </c>
      <c r="L3771" t="str">
        <f>IF(A3771="","",IFERROR(LOOKUP(2,1/(#REF!=Z3771),#REF!),Y3771))</f>
        <v/>
      </c>
      <c r="Z3771" t="str">
        <f>IF(A3771="","",TEXT(A3771,"0")&amp;"|"&amp;TEXT(H3771,"0"))</f>
        <v/>
      </c>
      <c r="AA3771" t="str">
        <f>IF(Z3771="","",IFERROR(LOOKUP(2,1/(#REF!=Z3771),#REF!),""))</f>
        <v/>
      </c>
      <c r="AB3771" t="str">
        <f>IF(Z3771="","",IFERROR(LOOKUP(2,1/(#REF!=Z3771),#REF!),""))</f>
        <v/>
      </c>
      <c r="AC3771" t="str">
        <f>IF(Z3771="","",COUNTIF(#REF!,Z3771))</f>
        <v/>
      </c>
      <c r="AD3771" t="str">
        <f>IF(A3771="","",IF(AC3771&gt;1,"REVISAR DUPLICADO",IF(AA3771&lt;&gt;"","ACTUALIZADO POR EYR","SIN REPORTE EYR")))</f>
        <v/>
      </c>
    </row>
    <row r="3772" spans="11:30" x14ac:dyDescent="0.3">
      <c r="K3772" s="1" t="str">
        <f ca="1">IF(A3772="","",IF(OR(L3772="ENTREGADA",L3772="RETORNADA",L3772="ENTREGA DIGITAL"),0,MAX(0,5-NETWORKDAYS(H3772+1,TODAY()))))</f>
        <v/>
      </c>
      <c r="L3772" t="str">
        <f>IF(A3772="","",IFERROR(LOOKUP(2,1/(#REF!=Z3772),#REF!),Y3772))</f>
        <v/>
      </c>
      <c r="Z3772" t="str">
        <f>IF(A3772="","",TEXT(A3772,"0")&amp;"|"&amp;TEXT(H3772,"0"))</f>
        <v/>
      </c>
      <c r="AA3772" t="str">
        <f>IF(Z3772="","",IFERROR(LOOKUP(2,1/(#REF!=Z3772),#REF!),""))</f>
        <v/>
      </c>
      <c r="AB3772" t="str">
        <f>IF(Z3772="","",IFERROR(LOOKUP(2,1/(#REF!=Z3772),#REF!),""))</f>
        <v/>
      </c>
      <c r="AC3772" t="str">
        <f>IF(Z3772="","",COUNTIF(#REF!,Z3772))</f>
        <v/>
      </c>
      <c r="AD3772" t="str">
        <f>IF(A3772="","",IF(AC3772&gt;1,"REVISAR DUPLICADO",IF(AA3772&lt;&gt;"","ACTUALIZADO POR EYR","SIN REPORTE EYR")))</f>
        <v/>
      </c>
    </row>
    <row r="3773" spans="11:30" x14ac:dyDescent="0.3">
      <c r="K3773" s="1" t="str">
        <f ca="1">IF(A3773="","",IF(OR(L3773="ENTREGADA",L3773="RETORNADA",L3773="ENTREGA DIGITAL"),0,MAX(0,5-NETWORKDAYS(H3773+1,TODAY()))))</f>
        <v/>
      </c>
      <c r="L3773" t="str">
        <f>IF(A3773="","",IFERROR(LOOKUP(2,1/(#REF!=Z3773),#REF!),Y3773))</f>
        <v/>
      </c>
      <c r="Z3773" t="str">
        <f>IF(A3773="","",TEXT(A3773,"0")&amp;"|"&amp;TEXT(H3773,"0"))</f>
        <v/>
      </c>
      <c r="AA3773" t="str">
        <f>IF(Z3773="","",IFERROR(LOOKUP(2,1/(#REF!=Z3773),#REF!),""))</f>
        <v/>
      </c>
      <c r="AB3773" t="str">
        <f>IF(Z3773="","",IFERROR(LOOKUP(2,1/(#REF!=Z3773),#REF!),""))</f>
        <v/>
      </c>
      <c r="AC3773" t="str">
        <f>IF(Z3773="","",COUNTIF(#REF!,Z3773))</f>
        <v/>
      </c>
      <c r="AD3773" t="str">
        <f>IF(A3773="","",IF(AC3773&gt;1,"REVISAR DUPLICADO",IF(AA3773&lt;&gt;"","ACTUALIZADO POR EYR","SIN REPORTE EYR")))</f>
        <v/>
      </c>
    </row>
    <row r="3774" spans="11:30" x14ac:dyDescent="0.3">
      <c r="K3774" s="1" t="str">
        <f ca="1">IF(A3774="","",IF(OR(L3774="ENTREGADA",L3774="RETORNADA",L3774="ENTREGA DIGITAL"),0,MAX(0,5-NETWORKDAYS(H3774+1,TODAY()))))</f>
        <v/>
      </c>
      <c r="L3774" t="str">
        <f>IF(A3774="","",IFERROR(LOOKUP(2,1/(#REF!=Z3774),#REF!),Y3774))</f>
        <v/>
      </c>
      <c r="Z3774" t="str">
        <f>IF(A3774="","",TEXT(A3774,"0")&amp;"|"&amp;TEXT(H3774,"0"))</f>
        <v/>
      </c>
      <c r="AA3774" t="str">
        <f>IF(Z3774="","",IFERROR(LOOKUP(2,1/(#REF!=Z3774),#REF!),""))</f>
        <v/>
      </c>
      <c r="AB3774" t="str">
        <f>IF(Z3774="","",IFERROR(LOOKUP(2,1/(#REF!=Z3774),#REF!),""))</f>
        <v/>
      </c>
      <c r="AC3774" t="str">
        <f>IF(Z3774="","",COUNTIF(#REF!,Z3774))</f>
        <v/>
      </c>
      <c r="AD3774" t="str">
        <f>IF(A3774="","",IF(AC3774&gt;1,"REVISAR DUPLICADO",IF(AA3774&lt;&gt;"","ACTUALIZADO POR EYR","SIN REPORTE EYR")))</f>
        <v/>
      </c>
    </row>
    <row r="3775" spans="11:30" x14ac:dyDescent="0.3">
      <c r="K3775" s="1" t="str">
        <f ca="1">IF(A3775="","",IF(OR(L3775="ENTREGADA",L3775="RETORNADA",L3775="ENTREGA DIGITAL"),0,MAX(0,5-NETWORKDAYS(H3775+1,TODAY()))))</f>
        <v/>
      </c>
      <c r="L3775" t="str">
        <f>IF(A3775="","",IFERROR(LOOKUP(2,1/(#REF!=Z3775),#REF!),Y3775))</f>
        <v/>
      </c>
      <c r="Z3775" t="str">
        <f>IF(A3775="","",TEXT(A3775,"0")&amp;"|"&amp;TEXT(H3775,"0"))</f>
        <v/>
      </c>
      <c r="AA3775" t="str">
        <f>IF(Z3775="","",IFERROR(LOOKUP(2,1/(#REF!=Z3775),#REF!),""))</f>
        <v/>
      </c>
      <c r="AB3775" t="str">
        <f>IF(Z3775="","",IFERROR(LOOKUP(2,1/(#REF!=Z3775),#REF!),""))</f>
        <v/>
      </c>
      <c r="AC3775" t="str">
        <f>IF(Z3775="","",COUNTIF(#REF!,Z3775))</f>
        <v/>
      </c>
      <c r="AD3775" t="str">
        <f>IF(A3775="","",IF(AC3775&gt;1,"REVISAR DUPLICADO",IF(AA3775&lt;&gt;"","ACTUALIZADO POR EYR","SIN REPORTE EYR")))</f>
        <v/>
      </c>
    </row>
    <row r="3776" spans="11:30" x14ac:dyDescent="0.3">
      <c r="K3776" s="1" t="str">
        <f ca="1">IF(A3776="","",IF(OR(L3776="ENTREGADA",L3776="RETORNADA",L3776="ENTREGA DIGITAL"),0,MAX(0,5-NETWORKDAYS(H3776+1,TODAY()))))</f>
        <v/>
      </c>
      <c r="L3776" t="str">
        <f>IF(A3776="","",IFERROR(LOOKUP(2,1/(#REF!=Z3776),#REF!),Y3776))</f>
        <v/>
      </c>
      <c r="Z3776" t="str">
        <f>IF(A3776="","",TEXT(A3776,"0")&amp;"|"&amp;TEXT(H3776,"0"))</f>
        <v/>
      </c>
      <c r="AA3776" t="str">
        <f>IF(Z3776="","",IFERROR(LOOKUP(2,1/(#REF!=Z3776),#REF!),""))</f>
        <v/>
      </c>
      <c r="AB3776" t="str">
        <f>IF(Z3776="","",IFERROR(LOOKUP(2,1/(#REF!=Z3776),#REF!),""))</f>
        <v/>
      </c>
      <c r="AC3776" t="str">
        <f>IF(Z3776="","",COUNTIF(#REF!,Z3776))</f>
        <v/>
      </c>
      <c r="AD3776" t="str">
        <f>IF(A3776="","",IF(AC3776&gt;1,"REVISAR DUPLICADO",IF(AA3776&lt;&gt;"","ACTUALIZADO POR EYR","SIN REPORTE EYR")))</f>
        <v/>
      </c>
    </row>
    <row r="3777" spans="11:30" x14ac:dyDescent="0.3">
      <c r="K3777" s="1" t="str">
        <f ca="1">IF(A3777="","",IF(OR(L3777="ENTREGADA",L3777="RETORNADA",L3777="ENTREGA DIGITAL"),0,MAX(0,5-NETWORKDAYS(H3777+1,TODAY()))))</f>
        <v/>
      </c>
      <c r="L3777" t="str">
        <f>IF(A3777="","",IFERROR(LOOKUP(2,1/(#REF!=Z3777),#REF!),Y3777))</f>
        <v/>
      </c>
      <c r="Z3777" t="str">
        <f>IF(A3777="","",TEXT(A3777,"0")&amp;"|"&amp;TEXT(H3777,"0"))</f>
        <v/>
      </c>
      <c r="AA3777" t="str">
        <f>IF(Z3777="","",IFERROR(LOOKUP(2,1/(#REF!=Z3777),#REF!),""))</f>
        <v/>
      </c>
      <c r="AB3777" t="str">
        <f>IF(Z3777="","",IFERROR(LOOKUP(2,1/(#REF!=Z3777),#REF!),""))</f>
        <v/>
      </c>
      <c r="AC3777" t="str">
        <f>IF(Z3777="","",COUNTIF(#REF!,Z3777))</f>
        <v/>
      </c>
      <c r="AD3777" t="str">
        <f>IF(A3777="","",IF(AC3777&gt;1,"REVISAR DUPLICADO",IF(AA3777&lt;&gt;"","ACTUALIZADO POR EYR","SIN REPORTE EYR")))</f>
        <v/>
      </c>
    </row>
    <row r="3778" spans="11:30" x14ac:dyDescent="0.3">
      <c r="K3778" s="1" t="str">
        <f ca="1">IF(A3778="","",IF(OR(L3778="ENTREGADA",L3778="RETORNADA",L3778="ENTREGA DIGITAL"),0,MAX(0,5-NETWORKDAYS(H3778+1,TODAY()))))</f>
        <v/>
      </c>
      <c r="L3778" t="str">
        <f>IF(A3778="","",IFERROR(LOOKUP(2,1/(#REF!=Z3778),#REF!),Y3778))</f>
        <v/>
      </c>
      <c r="Z3778" t="str">
        <f>IF(A3778="","",TEXT(A3778,"0")&amp;"|"&amp;TEXT(H3778,"0"))</f>
        <v/>
      </c>
      <c r="AA3778" t="str">
        <f>IF(Z3778="","",IFERROR(LOOKUP(2,1/(#REF!=Z3778),#REF!),""))</f>
        <v/>
      </c>
      <c r="AB3778" t="str">
        <f>IF(Z3778="","",IFERROR(LOOKUP(2,1/(#REF!=Z3778),#REF!),""))</f>
        <v/>
      </c>
      <c r="AC3778" t="str">
        <f>IF(Z3778="","",COUNTIF(#REF!,Z3778))</f>
        <v/>
      </c>
      <c r="AD3778" t="str">
        <f>IF(A3778="","",IF(AC3778&gt;1,"REVISAR DUPLICADO",IF(AA3778&lt;&gt;"","ACTUALIZADO POR EYR","SIN REPORTE EYR")))</f>
        <v/>
      </c>
    </row>
    <row r="3779" spans="11:30" x14ac:dyDescent="0.3">
      <c r="K3779" s="1" t="str">
        <f ca="1">IF(A3779="","",IF(OR(L3779="ENTREGADA",L3779="RETORNADA",L3779="ENTREGA DIGITAL"),0,MAX(0,5-NETWORKDAYS(H3779+1,TODAY()))))</f>
        <v/>
      </c>
      <c r="L3779" t="str">
        <f>IF(A3779="","",IFERROR(LOOKUP(2,1/(#REF!=Z3779),#REF!),Y3779))</f>
        <v/>
      </c>
      <c r="Z3779" t="str">
        <f>IF(A3779="","",TEXT(A3779,"0")&amp;"|"&amp;TEXT(H3779,"0"))</f>
        <v/>
      </c>
      <c r="AA3779" t="str">
        <f>IF(Z3779="","",IFERROR(LOOKUP(2,1/(#REF!=Z3779),#REF!),""))</f>
        <v/>
      </c>
      <c r="AB3779" t="str">
        <f>IF(Z3779="","",IFERROR(LOOKUP(2,1/(#REF!=Z3779),#REF!),""))</f>
        <v/>
      </c>
      <c r="AC3779" t="str">
        <f>IF(Z3779="","",COUNTIF(#REF!,Z3779))</f>
        <v/>
      </c>
      <c r="AD3779" t="str">
        <f>IF(A3779="","",IF(AC3779&gt;1,"REVISAR DUPLICADO",IF(AA3779&lt;&gt;"","ACTUALIZADO POR EYR","SIN REPORTE EYR")))</f>
        <v/>
      </c>
    </row>
    <row r="3780" spans="11:30" x14ac:dyDescent="0.3">
      <c r="K3780" s="1" t="str">
        <f ca="1">IF(A3780="","",IF(OR(L3780="ENTREGADA",L3780="RETORNADA",L3780="ENTREGA DIGITAL"),0,MAX(0,5-NETWORKDAYS(H3780+1,TODAY()))))</f>
        <v/>
      </c>
      <c r="L3780" t="str">
        <f>IF(A3780="","",IFERROR(LOOKUP(2,1/(#REF!=Z3780),#REF!),Y3780))</f>
        <v/>
      </c>
      <c r="Z3780" t="str">
        <f>IF(A3780="","",TEXT(A3780,"0")&amp;"|"&amp;TEXT(H3780,"0"))</f>
        <v/>
      </c>
      <c r="AA3780" t="str">
        <f>IF(Z3780="","",IFERROR(LOOKUP(2,1/(#REF!=Z3780),#REF!),""))</f>
        <v/>
      </c>
      <c r="AB3780" t="str">
        <f>IF(Z3780="","",IFERROR(LOOKUP(2,1/(#REF!=Z3780),#REF!),""))</f>
        <v/>
      </c>
      <c r="AC3780" t="str">
        <f>IF(Z3780="","",COUNTIF(#REF!,Z3780))</f>
        <v/>
      </c>
      <c r="AD3780" t="str">
        <f>IF(A3780="","",IF(AC3780&gt;1,"REVISAR DUPLICADO",IF(AA3780&lt;&gt;"","ACTUALIZADO POR EYR","SIN REPORTE EYR")))</f>
        <v/>
      </c>
    </row>
    <row r="3781" spans="11:30" x14ac:dyDescent="0.3">
      <c r="K3781" s="1" t="str">
        <f ca="1">IF(A3781="","",IF(OR(L3781="ENTREGADA",L3781="RETORNADA",L3781="ENTREGA DIGITAL"),0,MAX(0,5-NETWORKDAYS(H3781+1,TODAY()))))</f>
        <v/>
      </c>
      <c r="L3781" t="str">
        <f>IF(A3781="","",IFERROR(LOOKUP(2,1/(#REF!=Z3781),#REF!),Y3781))</f>
        <v/>
      </c>
      <c r="Z3781" t="str">
        <f>IF(A3781="","",TEXT(A3781,"0")&amp;"|"&amp;TEXT(H3781,"0"))</f>
        <v/>
      </c>
      <c r="AA3781" t="str">
        <f>IF(Z3781="","",IFERROR(LOOKUP(2,1/(#REF!=Z3781),#REF!),""))</f>
        <v/>
      </c>
      <c r="AB3781" t="str">
        <f>IF(Z3781="","",IFERROR(LOOKUP(2,1/(#REF!=Z3781),#REF!),""))</f>
        <v/>
      </c>
      <c r="AC3781" t="str">
        <f>IF(Z3781="","",COUNTIF(#REF!,Z3781))</f>
        <v/>
      </c>
      <c r="AD3781" t="str">
        <f>IF(A3781="","",IF(AC3781&gt;1,"REVISAR DUPLICADO",IF(AA3781&lt;&gt;"","ACTUALIZADO POR EYR","SIN REPORTE EYR")))</f>
        <v/>
      </c>
    </row>
    <row r="3782" spans="11:30" x14ac:dyDescent="0.3">
      <c r="K3782" s="1" t="str">
        <f ca="1">IF(A3782="","",IF(OR(L3782="ENTREGADA",L3782="RETORNADA",L3782="ENTREGA DIGITAL"),0,MAX(0,5-NETWORKDAYS(H3782+1,TODAY()))))</f>
        <v/>
      </c>
      <c r="L3782" t="str">
        <f>IF(A3782="","",IFERROR(LOOKUP(2,1/(#REF!=Z3782),#REF!),Y3782))</f>
        <v/>
      </c>
      <c r="Z3782" t="str">
        <f>IF(A3782="","",TEXT(A3782,"0")&amp;"|"&amp;TEXT(H3782,"0"))</f>
        <v/>
      </c>
      <c r="AA3782" t="str">
        <f>IF(Z3782="","",IFERROR(LOOKUP(2,1/(#REF!=Z3782),#REF!),""))</f>
        <v/>
      </c>
      <c r="AB3782" t="str">
        <f>IF(Z3782="","",IFERROR(LOOKUP(2,1/(#REF!=Z3782),#REF!),""))</f>
        <v/>
      </c>
      <c r="AC3782" t="str">
        <f>IF(Z3782="","",COUNTIF(#REF!,Z3782))</f>
        <v/>
      </c>
      <c r="AD3782" t="str">
        <f>IF(A3782="","",IF(AC3782&gt;1,"REVISAR DUPLICADO",IF(AA3782&lt;&gt;"","ACTUALIZADO POR EYR","SIN REPORTE EYR")))</f>
        <v/>
      </c>
    </row>
    <row r="3783" spans="11:30" x14ac:dyDescent="0.3">
      <c r="K3783" s="1" t="str">
        <f ca="1">IF(A3783="","",IF(OR(L3783="ENTREGADA",L3783="RETORNADA",L3783="ENTREGA DIGITAL"),0,MAX(0,5-NETWORKDAYS(H3783+1,TODAY()))))</f>
        <v/>
      </c>
      <c r="L3783" t="str">
        <f>IF(A3783="","",IFERROR(LOOKUP(2,1/(#REF!=Z3783),#REF!),Y3783))</f>
        <v/>
      </c>
      <c r="Z3783" t="str">
        <f>IF(A3783="","",TEXT(A3783,"0")&amp;"|"&amp;TEXT(H3783,"0"))</f>
        <v/>
      </c>
      <c r="AA3783" t="str">
        <f>IF(Z3783="","",IFERROR(LOOKUP(2,1/(#REF!=Z3783),#REF!),""))</f>
        <v/>
      </c>
      <c r="AB3783" t="str">
        <f>IF(Z3783="","",IFERROR(LOOKUP(2,1/(#REF!=Z3783),#REF!),""))</f>
        <v/>
      </c>
      <c r="AC3783" t="str">
        <f>IF(Z3783="","",COUNTIF(#REF!,Z3783))</f>
        <v/>
      </c>
      <c r="AD3783" t="str">
        <f>IF(A3783="","",IF(AC3783&gt;1,"REVISAR DUPLICADO",IF(AA3783&lt;&gt;"","ACTUALIZADO POR EYR","SIN REPORTE EYR")))</f>
        <v/>
      </c>
    </row>
    <row r="3784" spans="11:30" x14ac:dyDescent="0.3">
      <c r="K3784" s="1" t="str">
        <f ca="1">IF(A3784="","",IF(OR(L3784="ENTREGADA",L3784="RETORNADA",L3784="ENTREGA DIGITAL"),0,MAX(0,5-NETWORKDAYS(H3784+1,TODAY()))))</f>
        <v/>
      </c>
      <c r="L3784" t="str">
        <f>IF(A3784="","",IFERROR(LOOKUP(2,1/(#REF!=Z3784),#REF!),Y3784))</f>
        <v/>
      </c>
      <c r="Z3784" t="str">
        <f>IF(A3784="","",TEXT(A3784,"0")&amp;"|"&amp;TEXT(H3784,"0"))</f>
        <v/>
      </c>
      <c r="AA3784" t="str">
        <f>IF(Z3784="","",IFERROR(LOOKUP(2,1/(#REF!=Z3784),#REF!),""))</f>
        <v/>
      </c>
      <c r="AB3784" t="str">
        <f>IF(Z3784="","",IFERROR(LOOKUP(2,1/(#REF!=Z3784),#REF!),""))</f>
        <v/>
      </c>
      <c r="AC3784" t="str">
        <f>IF(Z3784="","",COUNTIF(#REF!,Z3784))</f>
        <v/>
      </c>
      <c r="AD3784" t="str">
        <f>IF(A3784="","",IF(AC3784&gt;1,"REVISAR DUPLICADO",IF(AA3784&lt;&gt;"","ACTUALIZADO POR EYR","SIN REPORTE EYR")))</f>
        <v/>
      </c>
    </row>
    <row r="3785" spans="11:30" x14ac:dyDescent="0.3">
      <c r="K3785" s="1" t="str">
        <f ca="1">IF(A3785="","",IF(OR(L3785="ENTREGADA",L3785="RETORNADA",L3785="ENTREGA DIGITAL"),0,MAX(0,5-NETWORKDAYS(H3785+1,TODAY()))))</f>
        <v/>
      </c>
      <c r="L3785" t="str">
        <f>IF(A3785="","",IFERROR(LOOKUP(2,1/(#REF!=Z3785),#REF!),Y3785))</f>
        <v/>
      </c>
      <c r="Z3785" t="str">
        <f>IF(A3785="","",TEXT(A3785,"0")&amp;"|"&amp;TEXT(H3785,"0"))</f>
        <v/>
      </c>
      <c r="AA3785" t="str">
        <f>IF(Z3785="","",IFERROR(LOOKUP(2,1/(#REF!=Z3785),#REF!),""))</f>
        <v/>
      </c>
      <c r="AB3785" t="str">
        <f>IF(Z3785="","",IFERROR(LOOKUP(2,1/(#REF!=Z3785),#REF!),""))</f>
        <v/>
      </c>
      <c r="AC3785" t="str">
        <f>IF(Z3785="","",COUNTIF(#REF!,Z3785))</f>
        <v/>
      </c>
      <c r="AD3785" t="str">
        <f>IF(A3785="","",IF(AC3785&gt;1,"REVISAR DUPLICADO",IF(AA3785&lt;&gt;"","ACTUALIZADO POR EYR","SIN REPORTE EYR")))</f>
        <v/>
      </c>
    </row>
    <row r="3786" spans="11:30" x14ac:dyDescent="0.3">
      <c r="K3786" s="1" t="str">
        <f ca="1">IF(A3786="","",IF(OR(L3786="ENTREGADA",L3786="RETORNADA",L3786="ENTREGA DIGITAL"),0,MAX(0,5-NETWORKDAYS(H3786+1,TODAY()))))</f>
        <v/>
      </c>
      <c r="L3786" t="str">
        <f>IF(A3786="","",IFERROR(LOOKUP(2,1/(#REF!=Z3786),#REF!),Y3786))</f>
        <v/>
      </c>
      <c r="Z3786" t="str">
        <f>IF(A3786="","",TEXT(A3786,"0")&amp;"|"&amp;TEXT(H3786,"0"))</f>
        <v/>
      </c>
      <c r="AA3786" t="str">
        <f>IF(Z3786="","",IFERROR(LOOKUP(2,1/(#REF!=Z3786),#REF!),""))</f>
        <v/>
      </c>
      <c r="AB3786" t="str">
        <f>IF(Z3786="","",IFERROR(LOOKUP(2,1/(#REF!=Z3786),#REF!),""))</f>
        <v/>
      </c>
      <c r="AC3786" t="str">
        <f>IF(Z3786="","",COUNTIF(#REF!,Z3786))</f>
        <v/>
      </c>
      <c r="AD3786" t="str">
        <f>IF(A3786="","",IF(AC3786&gt;1,"REVISAR DUPLICADO",IF(AA3786&lt;&gt;"","ACTUALIZADO POR EYR","SIN REPORTE EYR")))</f>
        <v/>
      </c>
    </row>
    <row r="3787" spans="11:30" x14ac:dyDescent="0.3">
      <c r="K3787" s="1" t="str">
        <f ca="1">IF(A3787="","",IF(OR(L3787="ENTREGADA",L3787="RETORNADA",L3787="ENTREGA DIGITAL"),0,MAX(0,5-NETWORKDAYS(H3787+1,TODAY()))))</f>
        <v/>
      </c>
      <c r="L3787" t="str">
        <f>IF(A3787="","",IFERROR(LOOKUP(2,1/(#REF!=Z3787),#REF!),Y3787))</f>
        <v/>
      </c>
      <c r="Z3787" t="str">
        <f>IF(A3787="","",TEXT(A3787,"0")&amp;"|"&amp;TEXT(H3787,"0"))</f>
        <v/>
      </c>
      <c r="AA3787" t="str">
        <f>IF(Z3787="","",IFERROR(LOOKUP(2,1/(#REF!=Z3787),#REF!),""))</f>
        <v/>
      </c>
      <c r="AB3787" t="str">
        <f>IF(Z3787="","",IFERROR(LOOKUP(2,1/(#REF!=Z3787),#REF!),""))</f>
        <v/>
      </c>
      <c r="AC3787" t="str">
        <f>IF(Z3787="","",COUNTIF(#REF!,Z3787))</f>
        <v/>
      </c>
      <c r="AD3787" t="str">
        <f>IF(A3787="","",IF(AC3787&gt;1,"REVISAR DUPLICADO",IF(AA3787&lt;&gt;"","ACTUALIZADO POR EYR","SIN REPORTE EYR")))</f>
        <v/>
      </c>
    </row>
    <row r="3788" spans="11:30" x14ac:dyDescent="0.3">
      <c r="K3788" s="1" t="str">
        <f ca="1">IF(A3788="","",IF(OR(L3788="ENTREGADA",L3788="RETORNADA",L3788="ENTREGA DIGITAL"),0,MAX(0,5-NETWORKDAYS(H3788+1,TODAY()))))</f>
        <v/>
      </c>
      <c r="L3788" t="str">
        <f>IF(A3788="","",IFERROR(LOOKUP(2,1/(#REF!=Z3788),#REF!),Y3788))</f>
        <v/>
      </c>
      <c r="Z3788" t="str">
        <f>IF(A3788="","",TEXT(A3788,"0")&amp;"|"&amp;TEXT(H3788,"0"))</f>
        <v/>
      </c>
      <c r="AA3788" t="str">
        <f>IF(Z3788="","",IFERROR(LOOKUP(2,1/(#REF!=Z3788),#REF!),""))</f>
        <v/>
      </c>
      <c r="AB3788" t="str">
        <f>IF(Z3788="","",IFERROR(LOOKUP(2,1/(#REF!=Z3788),#REF!),""))</f>
        <v/>
      </c>
      <c r="AC3788" t="str">
        <f>IF(Z3788="","",COUNTIF(#REF!,Z3788))</f>
        <v/>
      </c>
      <c r="AD3788" t="str">
        <f>IF(A3788="","",IF(AC3788&gt;1,"REVISAR DUPLICADO",IF(AA3788&lt;&gt;"","ACTUALIZADO POR EYR","SIN REPORTE EYR")))</f>
        <v/>
      </c>
    </row>
    <row r="3789" spans="11:30" x14ac:dyDescent="0.3">
      <c r="K3789" s="1" t="str">
        <f ca="1">IF(A3789="","",IF(OR(L3789="ENTREGADA",L3789="RETORNADA",L3789="ENTREGA DIGITAL"),0,MAX(0,5-NETWORKDAYS(H3789+1,TODAY()))))</f>
        <v/>
      </c>
      <c r="L3789" t="str">
        <f>IF(A3789="","",IFERROR(LOOKUP(2,1/(#REF!=Z3789),#REF!),Y3789))</f>
        <v/>
      </c>
      <c r="Z3789" t="str">
        <f>IF(A3789="","",TEXT(A3789,"0")&amp;"|"&amp;TEXT(H3789,"0"))</f>
        <v/>
      </c>
      <c r="AA3789" t="str">
        <f>IF(Z3789="","",IFERROR(LOOKUP(2,1/(#REF!=Z3789),#REF!),""))</f>
        <v/>
      </c>
      <c r="AB3789" t="str">
        <f>IF(Z3789="","",IFERROR(LOOKUP(2,1/(#REF!=Z3789),#REF!),""))</f>
        <v/>
      </c>
      <c r="AC3789" t="str">
        <f>IF(Z3789="","",COUNTIF(#REF!,Z3789))</f>
        <v/>
      </c>
      <c r="AD3789" t="str">
        <f>IF(A3789="","",IF(AC3789&gt;1,"REVISAR DUPLICADO",IF(AA3789&lt;&gt;"","ACTUALIZADO POR EYR","SIN REPORTE EYR")))</f>
        <v/>
      </c>
    </row>
    <row r="3790" spans="11:30" x14ac:dyDescent="0.3">
      <c r="K3790" s="1" t="str">
        <f ca="1">IF(A3790="","",IF(OR(L3790="ENTREGADA",L3790="RETORNADA",L3790="ENTREGA DIGITAL"),0,MAX(0,5-NETWORKDAYS(H3790+1,TODAY()))))</f>
        <v/>
      </c>
      <c r="L3790" t="str">
        <f>IF(A3790="","",IFERROR(LOOKUP(2,1/(#REF!=Z3790),#REF!),Y3790))</f>
        <v/>
      </c>
      <c r="Z3790" t="str">
        <f>IF(A3790="","",TEXT(A3790,"0")&amp;"|"&amp;TEXT(H3790,"0"))</f>
        <v/>
      </c>
      <c r="AA3790" t="str">
        <f>IF(Z3790="","",IFERROR(LOOKUP(2,1/(#REF!=Z3790),#REF!),""))</f>
        <v/>
      </c>
      <c r="AB3790" t="str">
        <f>IF(Z3790="","",IFERROR(LOOKUP(2,1/(#REF!=Z3790),#REF!),""))</f>
        <v/>
      </c>
      <c r="AC3790" t="str">
        <f>IF(Z3790="","",COUNTIF(#REF!,Z3790))</f>
        <v/>
      </c>
      <c r="AD3790" t="str">
        <f>IF(A3790="","",IF(AC3790&gt;1,"REVISAR DUPLICADO",IF(AA3790&lt;&gt;"","ACTUALIZADO POR EYR","SIN REPORTE EYR")))</f>
        <v/>
      </c>
    </row>
    <row r="3791" spans="11:30" x14ac:dyDescent="0.3">
      <c r="K3791" s="1" t="str">
        <f ca="1">IF(A3791="","",IF(OR(L3791="ENTREGADA",L3791="RETORNADA",L3791="ENTREGA DIGITAL"),0,MAX(0,5-NETWORKDAYS(H3791+1,TODAY()))))</f>
        <v/>
      </c>
      <c r="L3791" t="str">
        <f>IF(A3791="","",IFERROR(LOOKUP(2,1/(#REF!=Z3791),#REF!),Y3791))</f>
        <v/>
      </c>
      <c r="Z3791" t="str">
        <f>IF(A3791="","",TEXT(A3791,"0")&amp;"|"&amp;TEXT(H3791,"0"))</f>
        <v/>
      </c>
      <c r="AA3791" t="str">
        <f>IF(Z3791="","",IFERROR(LOOKUP(2,1/(#REF!=Z3791),#REF!),""))</f>
        <v/>
      </c>
      <c r="AB3791" t="str">
        <f>IF(Z3791="","",IFERROR(LOOKUP(2,1/(#REF!=Z3791),#REF!),""))</f>
        <v/>
      </c>
      <c r="AC3791" t="str">
        <f>IF(Z3791="","",COUNTIF(#REF!,Z3791))</f>
        <v/>
      </c>
      <c r="AD3791" t="str">
        <f>IF(A3791="","",IF(AC3791&gt;1,"REVISAR DUPLICADO",IF(AA3791&lt;&gt;"","ACTUALIZADO POR EYR","SIN REPORTE EYR")))</f>
        <v/>
      </c>
    </row>
    <row r="3792" spans="11:30" x14ac:dyDescent="0.3">
      <c r="K3792" s="1" t="str">
        <f ca="1">IF(A3792="","",IF(OR(L3792="ENTREGADA",L3792="RETORNADA",L3792="ENTREGA DIGITAL"),0,MAX(0,5-NETWORKDAYS(H3792+1,TODAY()))))</f>
        <v/>
      </c>
      <c r="L3792" t="str">
        <f>IF(A3792="","",IFERROR(LOOKUP(2,1/(#REF!=Z3792),#REF!),Y3792))</f>
        <v/>
      </c>
      <c r="Z3792" t="str">
        <f>IF(A3792="","",TEXT(A3792,"0")&amp;"|"&amp;TEXT(H3792,"0"))</f>
        <v/>
      </c>
      <c r="AA3792" t="str">
        <f>IF(Z3792="","",IFERROR(LOOKUP(2,1/(#REF!=Z3792),#REF!),""))</f>
        <v/>
      </c>
      <c r="AB3792" t="str">
        <f>IF(Z3792="","",IFERROR(LOOKUP(2,1/(#REF!=Z3792),#REF!),""))</f>
        <v/>
      </c>
      <c r="AC3792" t="str">
        <f>IF(Z3792="","",COUNTIF(#REF!,Z3792))</f>
        <v/>
      </c>
      <c r="AD3792" t="str">
        <f>IF(A3792="","",IF(AC3792&gt;1,"REVISAR DUPLICADO",IF(AA3792&lt;&gt;"","ACTUALIZADO POR EYR","SIN REPORTE EYR")))</f>
        <v/>
      </c>
    </row>
    <row r="3793" spans="11:30" x14ac:dyDescent="0.3">
      <c r="K3793" s="1" t="str">
        <f ca="1">IF(A3793="","",IF(OR(L3793="ENTREGADA",L3793="RETORNADA",L3793="ENTREGA DIGITAL"),0,MAX(0,5-NETWORKDAYS(H3793+1,TODAY()))))</f>
        <v/>
      </c>
      <c r="L3793" t="str">
        <f>IF(A3793="","",IFERROR(LOOKUP(2,1/(#REF!=Z3793),#REF!),Y3793))</f>
        <v/>
      </c>
      <c r="Z3793" t="str">
        <f>IF(A3793="","",TEXT(A3793,"0")&amp;"|"&amp;TEXT(H3793,"0"))</f>
        <v/>
      </c>
      <c r="AA3793" t="str">
        <f>IF(Z3793="","",IFERROR(LOOKUP(2,1/(#REF!=Z3793),#REF!),""))</f>
        <v/>
      </c>
      <c r="AB3793" t="str">
        <f>IF(Z3793="","",IFERROR(LOOKUP(2,1/(#REF!=Z3793),#REF!),""))</f>
        <v/>
      </c>
      <c r="AC3793" t="str">
        <f>IF(Z3793="","",COUNTIF(#REF!,Z3793))</f>
        <v/>
      </c>
      <c r="AD3793" t="str">
        <f>IF(A3793="","",IF(AC3793&gt;1,"REVISAR DUPLICADO",IF(AA3793&lt;&gt;"","ACTUALIZADO POR EYR","SIN REPORTE EYR")))</f>
        <v/>
      </c>
    </row>
    <row r="3794" spans="11:30" x14ac:dyDescent="0.3">
      <c r="K3794" s="1" t="str">
        <f ca="1">IF(A3794="","",IF(OR(L3794="ENTREGADA",L3794="RETORNADA",L3794="ENTREGA DIGITAL"),0,MAX(0,5-NETWORKDAYS(H3794+1,TODAY()))))</f>
        <v/>
      </c>
      <c r="L3794" t="str">
        <f>IF(A3794="","",IFERROR(LOOKUP(2,1/(#REF!=Z3794),#REF!),Y3794))</f>
        <v/>
      </c>
      <c r="Z3794" t="str">
        <f>IF(A3794="","",TEXT(A3794,"0")&amp;"|"&amp;TEXT(H3794,"0"))</f>
        <v/>
      </c>
      <c r="AA3794" t="str">
        <f>IF(Z3794="","",IFERROR(LOOKUP(2,1/(#REF!=Z3794),#REF!),""))</f>
        <v/>
      </c>
      <c r="AB3794" t="str">
        <f>IF(Z3794="","",IFERROR(LOOKUP(2,1/(#REF!=Z3794),#REF!),""))</f>
        <v/>
      </c>
      <c r="AC3794" t="str">
        <f>IF(Z3794="","",COUNTIF(#REF!,Z3794))</f>
        <v/>
      </c>
      <c r="AD3794" t="str">
        <f>IF(A3794="","",IF(AC3794&gt;1,"REVISAR DUPLICADO",IF(AA3794&lt;&gt;"","ACTUALIZADO POR EYR","SIN REPORTE EYR")))</f>
        <v/>
      </c>
    </row>
    <row r="3795" spans="11:30" x14ac:dyDescent="0.3">
      <c r="K3795" s="1" t="str">
        <f ca="1">IF(A3795="","",IF(OR(L3795="ENTREGADA",L3795="RETORNADA",L3795="ENTREGA DIGITAL"),0,MAX(0,5-NETWORKDAYS(H3795+1,TODAY()))))</f>
        <v/>
      </c>
      <c r="L3795" t="str">
        <f>IF(A3795="","",IFERROR(LOOKUP(2,1/(#REF!=Z3795),#REF!),Y3795))</f>
        <v/>
      </c>
      <c r="Z3795" t="str">
        <f>IF(A3795="","",TEXT(A3795,"0")&amp;"|"&amp;TEXT(H3795,"0"))</f>
        <v/>
      </c>
      <c r="AA3795" t="str">
        <f>IF(Z3795="","",IFERROR(LOOKUP(2,1/(#REF!=Z3795),#REF!),""))</f>
        <v/>
      </c>
      <c r="AB3795" t="str">
        <f>IF(Z3795="","",IFERROR(LOOKUP(2,1/(#REF!=Z3795),#REF!),""))</f>
        <v/>
      </c>
      <c r="AC3795" t="str">
        <f>IF(Z3795="","",COUNTIF(#REF!,Z3795))</f>
        <v/>
      </c>
      <c r="AD3795" t="str">
        <f>IF(A3795="","",IF(AC3795&gt;1,"REVISAR DUPLICADO",IF(AA3795&lt;&gt;"","ACTUALIZADO POR EYR","SIN REPORTE EYR")))</f>
        <v/>
      </c>
    </row>
    <row r="3796" spans="11:30" x14ac:dyDescent="0.3">
      <c r="K3796" s="1" t="str">
        <f ca="1">IF(A3796="","",IF(OR(L3796="ENTREGADA",L3796="RETORNADA",L3796="ENTREGA DIGITAL"),0,MAX(0,5-NETWORKDAYS(H3796+1,TODAY()))))</f>
        <v/>
      </c>
      <c r="L3796" t="str">
        <f>IF(A3796="","",IFERROR(LOOKUP(2,1/(#REF!=Z3796),#REF!),Y3796))</f>
        <v/>
      </c>
      <c r="Z3796" t="str">
        <f>IF(A3796="","",TEXT(A3796,"0")&amp;"|"&amp;TEXT(H3796,"0"))</f>
        <v/>
      </c>
      <c r="AA3796" t="str">
        <f>IF(Z3796="","",IFERROR(LOOKUP(2,1/(#REF!=Z3796),#REF!),""))</f>
        <v/>
      </c>
      <c r="AB3796" t="str">
        <f>IF(Z3796="","",IFERROR(LOOKUP(2,1/(#REF!=Z3796),#REF!),""))</f>
        <v/>
      </c>
      <c r="AC3796" t="str">
        <f>IF(Z3796="","",COUNTIF(#REF!,Z3796))</f>
        <v/>
      </c>
      <c r="AD3796" t="str">
        <f>IF(A3796="","",IF(AC3796&gt;1,"REVISAR DUPLICADO",IF(AA3796&lt;&gt;"","ACTUALIZADO POR EYR","SIN REPORTE EYR")))</f>
        <v/>
      </c>
    </row>
    <row r="3797" spans="11:30" x14ac:dyDescent="0.3">
      <c r="K3797" s="1" t="str">
        <f ca="1">IF(A3797="","",IF(OR(L3797="ENTREGADA",L3797="RETORNADA",L3797="ENTREGA DIGITAL"),0,MAX(0,5-NETWORKDAYS(H3797+1,TODAY()))))</f>
        <v/>
      </c>
      <c r="L3797" t="str">
        <f>IF(A3797="","",IFERROR(LOOKUP(2,1/(#REF!=Z3797),#REF!),Y3797))</f>
        <v/>
      </c>
      <c r="Z3797" t="str">
        <f>IF(A3797="","",TEXT(A3797,"0")&amp;"|"&amp;TEXT(H3797,"0"))</f>
        <v/>
      </c>
      <c r="AA3797" t="str">
        <f>IF(Z3797="","",IFERROR(LOOKUP(2,1/(#REF!=Z3797),#REF!),""))</f>
        <v/>
      </c>
      <c r="AB3797" t="str">
        <f>IF(Z3797="","",IFERROR(LOOKUP(2,1/(#REF!=Z3797),#REF!),""))</f>
        <v/>
      </c>
      <c r="AC3797" t="str">
        <f>IF(Z3797="","",COUNTIF(#REF!,Z3797))</f>
        <v/>
      </c>
      <c r="AD3797" t="str">
        <f>IF(A3797="","",IF(AC3797&gt;1,"REVISAR DUPLICADO",IF(AA3797&lt;&gt;"","ACTUALIZADO POR EYR","SIN REPORTE EYR")))</f>
        <v/>
      </c>
    </row>
    <row r="3798" spans="11:30" x14ac:dyDescent="0.3">
      <c r="K3798" s="1" t="str">
        <f ca="1">IF(A3798="","",IF(OR(L3798="ENTREGADA",L3798="RETORNADA",L3798="ENTREGA DIGITAL"),0,MAX(0,5-NETWORKDAYS(H3798+1,TODAY()))))</f>
        <v/>
      </c>
      <c r="L3798" t="str">
        <f>IF(A3798="","",IFERROR(LOOKUP(2,1/(#REF!=Z3798),#REF!),Y3798))</f>
        <v/>
      </c>
      <c r="Z3798" t="str">
        <f>IF(A3798="","",TEXT(A3798,"0")&amp;"|"&amp;TEXT(H3798,"0"))</f>
        <v/>
      </c>
      <c r="AA3798" t="str">
        <f>IF(Z3798="","",IFERROR(LOOKUP(2,1/(#REF!=Z3798),#REF!),""))</f>
        <v/>
      </c>
      <c r="AB3798" t="str">
        <f>IF(Z3798="","",IFERROR(LOOKUP(2,1/(#REF!=Z3798),#REF!),""))</f>
        <v/>
      </c>
      <c r="AC3798" t="str">
        <f>IF(Z3798="","",COUNTIF(#REF!,Z3798))</f>
        <v/>
      </c>
      <c r="AD3798" t="str">
        <f>IF(A3798="","",IF(AC3798&gt;1,"REVISAR DUPLICADO",IF(AA3798&lt;&gt;"","ACTUALIZADO POR EYR","SIN REPORTE EYR")))</f>
        <v/>
      </c>
    </row>
    <row r="3799" spans="11:30" x14ac:dyDescent="0.3">
      <c r="K3799" s="1" t="str">
        <f ca="1">IF(A3799="","",IF(OR(L3799="ENTREGADA",L3799="RETORNADA",L3799="ENTREGA DIGITAL"),0,MAX(0,5-NETWORKDAYS(H3799+1,TODAY()))))</f>
        <v/>
      </c>
      <c r="L3799" t="str">
        <f>IF(A3799="","",IFERROR(LOOKUP(2,1/(#REF!=Z3799),#REF!),Y3799))</f>
        <v/>
      </c>
      <c r="Z3799" t="str">
        <f>IF(A3799="","",TEXT(A3799,"0")&amp;"|"&amp;TEXT(H3799,"0"))</f>
        <v/>
      </c>
      <c r="AA3799" t="str">
        <f>IF(Z3799="","",IFERROR(LOOKUP(2,1/(#REF!=Z3799),#REF!),""))</f>
        <v/>
      </c>
      <c r="AB3799" t="str">
        <f>IF(Z3799="","",IFERROR(LOOKUP(2,1/(#REF!=Z3799),#REF!),""))</f>
        <v/>
      </c>
      <c r="AC3799" t="str">
        <f>IF(Z3799="","",COUNTIF(#REF!,Z3799))</f>
        <v/>
      </c>
      <c r="AD3799" t="str">
        <f>IF(A3799="","",IF(AC3799&gt;1,"REVISAR DUPLICADO",IF(AA3799&lt;&gt;"","ACTUALIZADO POR EYR","SIN REPORTE EYR")))</f>
        <v/>
      </c>
    </row>
    <row r="3800" spans="11:30" x14ac:dyDescent="0.3">
      <c r="K3800" s="1" t="str">
        <f ca="1">IF(A3800="","",IF(OR(L3800="ENTREGADA",L3800="RETORNADA",L3800="ENTREGA DIGITAL"),0,MAX(0,5-NETWORKDAYS(H3800+1,TODAY()))))</f>
        <v/>
      </c>
      <c r="L3800" t="str">
        <f>IF(A3800="","",IFERROR(LOOKUP(2,1/(#REF!=Z3800),#REF!),Y3800))</f>
        <v/>
      </c>
      <c r="Z3800" t="str">
        <f>IF(A3800="","",TEXT(A3800,"0")&amp;"|"&amp;TEXT(H3800,"0"))</f>
        <v/>
      </c>
      <c r="AA3800" t="str">
        <f>IF(Z3800="","",IFERROR(LOOKUP(2,1/(#REF!=Z3800),#REF!),""))</f>
        <v/>
      </c>
      <c r="AB3800" t="str">
        <f>IF(Z3800="","",IFERROR(LOOKUP(2,1/(#REF!=Z3800),#REF!),""))</f>
        <v/>
      </c>
      <c r="AC3800" t="str">
        <f>IF(Z3800="","",COUNTIF(#REF!,Z3800))</f>
        <v/>
      </c>
      <c r="AD3800" t="str">
        <f>IF(A3800="","",IF(AC3800&gt;1,"REVISAR DUPLICADO",IF(AA3800&lt;&gt;"","ACTUALIZADO POR EYR","SIN REPORTE EYR")))</f>
        <v/>
      </c>
    </row>
    <row r="3801" spans="11:30" x14ac:dyDescent="0.3">
      <c r="K3801" s="1" t="str">
        <f ca="1">IF(A3801="","",IF(OR(L3801="ENTREGADA",L3801="RETORNADA",L3801="ENTREGA DIGITAL"),0,MAX(0,5-NETWORKDAYS(H3801+1,TODAY()))))</f>
        <v/>
      </c>
      <c r="L3801" t="str">
        <f>IF(A3801="","",IFERROR(LOOKUP(2,1/(#REF!=Z3801),#REF!),Y3801))</f>
        <v/>
      </c>
      <c r="Z3801" t="str">
        <f>IF(A3801="","",TEXT(A3801,"0")&amp;"|"&amp;TEXT(H3801,"0"))</f>
        <v/>
      </c>
      <c r="AA3801" t="str">
        <f>IF(Z3801="","",IFERROR(LOOKUP(2,1/(#REF!=Z3801),#REF!),""))</f>
        <v/>
      </c>
      <c r="AB3801" t="str">
        <f>IF(Z3801="","",IFERROR(LOOKUP(2,1/(#REF!=Z3801),#REF!),""))</f>
        <v/>
      </c>
      <c r="AC3801" t="str">
        <f>IF(Z3801="","",COUNTIF(#REF!,Z3801))</f>
        <v/>
      </c>
      <c r="AD3801" t="str">
        <f>IF(A3801="","",IF(AC3801&gt;1,"REVISAR DUPLICADO",IF(AA3801&lt;&gt;"","ACTUALIZADO POR EYR","SIN REPORTE EYR")))</f>
        <v/>
      </c>
    </row>
    <row r="3802" spans="11:30" x14ac:dyDescent="0.3">
      <c r="K3802" s="1" t="str">
        <f ca="1">IF(A3802="","",IF(OR(L3802="ENTREGADA",L3802="RETORNADA",L3802="ENTREGA DIGITAL"),0,MAX(0,5-NETWORKDAYS(H3802+1,TODAY()))))</f>
        <v/>
      </c>
      <c r="L3802" t="str">
        <f>IF(A3802="","",IFERROR(LOOKUP(2,1/(#REF!=Z3802),#REF!),Y3802))</f>
        <v/>
      </c>
      <c r="Z3802" t="str">
        <f>IF(A3802="","",TEXT(A3802,"0")&amp;"|"&amp;TEXT(H3802,"0"))</f>
        <v/>
      </c>
      <c r="AA3802" t="str">
        <f>IF(Z3802="","",IFERROR(LOOKUP(2,1/(#REF!=Z3802),#REF!),""))</f>
        <v/>
      </c>
      <c r="AB3802" t="str">
        <f>IF(Z3802="","",IFERROR(LOOKUP(2,1/(#REF!=Z3802),#REF!),""))</f>
        <v/>
      </c>
      <c r="AC3802" t="str">
        <f>IF(Z3802="","",COUNTIF(#REF!,Z3802))</f>
        <v/>
      </c>
      <c r="AD3802" t="str">
        <f>IF(A3802="","",IF(AC3802&gt;1,"REVISAR DUPLICADO",IF(AA3802&lt;&gt;"","ACTUALIZADO POR EYR","SIN REPORTE EYR")))</f>
        <v/>
      </c>
    </row>
    <row r="3803" spans="11:30" x14ac:dyDescent="0.3">
      <c r="K3803" s="1" t="str">
        <f ca="1">IF(A3803="","",IF(OR(L3803="ENTREGADA",L3803="RETORNADA",L3803="ENTREGA DIGITAL"),0,MAX(0,5-NETWORKDAYS(H3803+1,TODAY()))))</f>
        <v/>
      </c>
      <c r="L3803" t="str">
        <f>IF(A3803="","",IFERROR(LOOKUP(2,1/(#REF!=Z3803),#REF!),Y3803))</f>
        <v/>
      </c>
      <c r="Z3803" t="str">
        <f>IF(A3803="","",TEXT(A3803,"0")&amp;"|"&amp;TEXT(H3803,"0"))</f>
        <v/>
      </c>
      <c r="AA3803" t="str">
        <f>IF(Z3803="","",IFERROR(LOOKUP(2,1/(#REF!=Z3803),#REF!),""))</f>
        <v/>
      </c>
      <c r="AB3803" t="str">
        <f>IF(Z3803="","",IFERROR(LOOKUP(2,1/(#REF!=Z3803),#REF!),""))</f>
        <v/>
      </c>
      <c r="AC3803" t="str">
        <f>IF(Z3803="","",COUNTIF(#REF!,Z3803))</f>
        <v/>
      </c>
      <c r="AD3803" t="str">
        <f>IF(A3803="","",IF(AC3803&gt;1,"REVISAR DUPLICADO",IF(AA3803&lt;&gt;"","ACTUALIZADO POR EYR","SIN REPORTE EYR")))</f>
        <v/>
      </c>
    </row>
    <row r="3804" spans="11:30" x14ac:dyDescent="0.3">
      <c r="K3804" s="1" t="str">
        <f ca="1">IF(A3804="","",IF(OR(L3804="ENTREGADA",L3804="RETORNADA",L3804="ENTREGA DIGITAL"),0,MAX(0,5-NETWORKDAYS(H3804+1,TODAY()))))</f>
        <v/>
      </c>
      <c r="L3804" t="str">
        <f>IF(A3804="","",IFERROR(LOOKUP(2,1/(#REF!=Z3804),#REF!),Y3804))</f>
        <v/>
      </c>
      <c r="Z3804" t="str">
        <f>IF(A3804="","",TEXT(A3804,"0")&amp;"|"&amp;TEXT(H3804,"0"))</f>
        <v/>
      </c>
      <c r="AA3804" t="str">
        <f>IF(Z3804="","",IFERROR(LOOKUP(2,1/(#REF!=Z3804),#REF!),""))</f>
        <v/>
      </c>
      <c r="AB3804" t="str">
        <f>IF(Z3804="","",IFERROR(LOOKUP(2,1/(#REF!=Z3804),#REF!),""))</f>
        <v/>
      </c>
      <c r="AC3804" t="str">
        <f>IF(Z3804="","",COUNTIF(#REF!,Z3804))</f>
        <v/>
      </c>
      <c r="AD3804" t="str">
        <f>IF(A3804="","",IF(AC3804&gt;1,"REVISAR DUPLICADO",IF(AA3804&lt;&gt;"","ACTUALIZADO POR EYR","SIN REPORTE EYR")))</f>
        <v/>
      </c>
    </row>
    <row r="3805" spans="11:30" x14ac:dyDescent="0.3">
      <c r="K3805" s="1" t="str">
        <f ca="1">IF(A3805="","",IF(OR(L3805="ENTREGADA",L3805="RETORNADA",L3805="ENTREGA DIGITAL"),0,MAX(0,5-NETWORKDAYS(H3805+1,TODAY()))))</f>
        <v/>
      </c>
      <c r="L3805" t="str">
        <f>IF(A3805="","",IFERROR(LOOKUP(2,1/(#REF!=Z3805),#REF!),Y3805))</f>
        <v/>
      </c>
      <c r="Z3805" t="str">
        <f>IF(A3805="","",TEXT(A3805,"0")&amp;"|"&amp;TEXT(H3805,"0"))</f>
        <v/>
      </c>
      <c r="AA3805" t="str">
        <f>IF(Z3805="","",IFERROR(LOOKUP(2,1/(#REF!=Z3805),#REF!),""))</f>
        <v/>
      </c>
      <c r="AB3805" t="str">
        <f>IF(Z3805="","",IFERROR(LOOKUP(2,1/(#REF!=Z3805),#REF!),""))</f>
        <v/>
      </c>
      <c r="AC3805" t="str">
        <f>IF(Z3805="","",COUNTIF(#REF!,Z3805))</f>
        <v/>
      </c>
      <c r="AD3805" t="str">
        <f>IF(A3805="","",IF(AC3805&gt;1,"REVISAR DUPLICADO",IF(AA3805&lt;&gt;"","ACTUALIZADO POR EYR","SIN REPORTE EYR")))</f>
        <v/>
      </c>
    </row>
    <row r="3806" spans="11:30" x14ac:dyDescent="0.3">
      <c r="K3806" s="1" t="str">
        <f ca="1">IF(A3806="","",IF(OR(L3806="ENTREGADA",L3806="RETORNADA",L3806="ENTREGA DIGITAL"),0,MAX(0,5-NETWORKDAYS(H3806+1,TODAY()))))</f>
        <v/>
      </c>
      <c r="L3806" t="str">
        <f>IF(A3806="","",IFERROR(LOOKUP(2,1/(#REF!=Z3806),#REF!),Y3806))</f>
        <v/>
      </c>
      <c r="Z3806" t="str">
        <f>IF(A3806="","",TEXT(A3806,"0")&amp;"|"&amp;TEXT(H3806,"0"))</f>
        <v/>
      </c>
      <c r="AA3806" t="str">
        <f>IF(Z3806="","",IFERROR(LOOKUP(2,1/(#REF!=Z3806),#REF!),""))</f>
        <v/>
      </c>
      <c r="AB3806" t="str">
        <f>IF(Z3806="","",IFERROR(LOOKUP(2,1/(#REF!=Z3806),#REF!),""))</f>
        <v/>
      </c>
      <c r="AC3806" t="str">
        <f>IF(Z3806="","",COUNTIF(#REF!,Z3806))</f>
        <v/>
      </c>
      <c r="AD3806" t="str">
        <f>IF(A3806="","",IF(AC3806&gt;1,"REVISAR DUPLICADO",IF(AA3806&lt;&gt;"","ACTUALIZADO POR EYR","SIN REPORTE EYR")))</f>
        <v/>
      </c>
    </row>
    <row r="3807" spans="11:30" x14ac:dyDescent="0.3">
      <c r="K3807" s="1" t="str">
        <f ca="1">IF(A3807="","",IF(OR(L3807="ENTREGADA",L3807="RETORNADA",L3807="ENTREGA DIGITAL"),0,MAX(0,5-NETWORKDAYS(H3807+1,TODAY()))))</f>
        <v/>
      </c>
      <c r="L3807" t="str">
        <f>IF(A3807="","",IFERROR(LOOKUP(2,1/(#REF!=Z3807),#REF!),Y3807))</f>
        <v/>
      </c>
      <c r="Z3807" t="str">
        <f>IF(A3807="","",TEXT(A3807,"0")&amp;"|"&amp;TEXT(H3807,"0"))</f>
        <v/>
      </c>
      <c r="AA3807" t="str">
        <f>IF(Z3807="","",IFERROR(LOOKUP(2,1/(#REF!=Z3807),#REF!),""))</f>
        <v/>
      </c>
      <c r="AB3807" t="str">
        <f>IF(Z3807="","",IFERROR(LOOKUP(2,1/(#REF!=Z3807),#REF!),""))</f>
        <v/>
      </c>
      <c r="AC3807" t="str">
        <f>IF(Z3807="","",COUNTIF(#REF!,Z3807))</f>
        <v/>
      </c>
      <c r="AD3807" t="str">
        <f>IF(A3807="","",IF(AC3807&gt;1,"REVISAR DUPLICADO",IF(AA3807&lt;&gt;"","ACTUALIZADO POR EYR","SIN REPORTE EYR")))</f>
        <v/>
      </c>
    </row>
    <row r="3808" spans="11:30" x14ac:dyDescent="0.3">
      <c r="K3808" s="1" t="str">
        <f ca="1">IF(A3808="","",IF(OR(L3808="ENTREGADA",L3808="RETORNADA",L3808="ENTREGA DIGITAL"),0,MAX(0,5-NETWORKDAYS(H3808+1,TODAY()))))</f>
        <v/>
      </c>
      <c r="L3808" t="str">
        <f>IF(A3808="","",IFERROR(LOOKUP(2,1/(#REF!=Z3808),#REF!),Y3808))</f>
        <v/>
      </c>
      <c r="Z3808" t="str">
        <f>IF(A3808="","",TEXT(A3808,"0")&amp;"|"&amp;TEXT(H3808,"0"))</f>
        <v/>
      </c>
      <c r="AA3808" t="str">
        <f>IF(Z3808="","",IFERROR(LOOKUP(2,1/(#REF!=Z3808),#REF!),""))</f>
        <v/>
      </c>
      <c r="AB3808" t="str">
        <f>IF(Z3808="","",IFERROR(LOOKUP(2,1/(#REF!=Z3808),#REF!),""))</f>
        <v/>
      </c>
      <c r="AC3808" t="str">
        <f>IF(Z3808="","",COUNTIF(#REF!,Z3808))</f>
        <v/>
      </c>
      <c r="AD3808" t="str">
        <f>IF(A3808="","",IF(AC3808&gt;1,"REVISAR DUPLICADO",IF(AA3808&lt;&gt;"","ACTUALIZADO POR EYR","SIN REPORTE EYR")))</f>
        <v/>
      </c>
    </row>
    <row r="3809" spans="11:30" x14ac:dyDescent="0.3">
      <c r="K3809" s="1" t="str">
        <f ca="1">IF(A3809="","",IF(OR(L3809="ENTREGADA",L3809="RETORNADA",L3809="ENTREGA DIGITAL"),0,MAX(0,5-NETWORKDAYS(H3809+1,TODAY()))))</f>
        <v/>
      </c>
      <c r="L3809" t="str">
        <f>IF(A3809="","",IFERROR(LOOKUP(2,1/(#REF!=Z3809),#REF!),Y3809))</f>
        <v/>
      </c>
      <c r="Z3809" t="str">
        <f>IF(A3809="","",TEXT(A3809,"0")&amp;"|"&amp;TEXT(H3809,"0"))</f>
        <v/>
      </c>
      <c r="AA3809" t="str">
        <f>IF(Z3809="","",IFERROR(LOOKUP(2,1/(#REF!=Z3809),#REF!),""))</f>
        <v/>
      </c>
      <c r="AB3809" t="str">
        <f>IF(Z3809="","",IFERROR(LOOKUP(2,1/(#REF!=Z3809),#REF!),""))</f>
        <v/>
      </c>
      <c r="AC3809" t="str">
        <f>IF(Z3809="","",COUNTIF(#REF!,Z3809))</f>
        <v/>
      </c>
      <c r="AD3809" t="str">
        <f>IF(A3809="","",IF(AC3809&gt;1,"REVISAR DUPLICADO",IF(AA3809&lt;&gt;"","ACTUALIZADO POR EYR","SIN REPORTE EYR")))</f>
        <v/>
      </c>
    </row>
    <row r="3810" spans="11:30" x14ac:dyDescent="0.3">
      <c r="K3810" s="1" t="str">
        <f ca="1">IF(A3810="","",IF(OR(L3810="ENTREGADA",L3810="RETORNADA",L3810="ENTREGA DIGITAL"),0,MAX(0,5-NETWORKDAYS(H3810+1,TODAY()))))</f>
        <v/>
      </c>
      <c r="L3810" t="str">
        <f>IF(A3810="","",IFERROR(LOOKUP(2,1/(#REF!=Z3810),#REF!),Y3810))</f>
        <v/>
      </c>
      <c r="Z3810" t="str">
        <f>IF(A3810="","",TEXT(A3810,"0")&amp;"|"&amp;TEXT(H3810,"0"))</f>
        <v/>
      </c>
      <c r="AA3810" t="str">
        <f>IF(Z3810="","",IFERROR(LOOKUP(2,1/(#REF!=Z3810),#REF!),""))</f>
        <v/>
      </c>
      <c r="AB3810" t="str">
        <f>IF(Z3810="","",IFERROR(LOOKUP(2,1/(#REF!=Z3810),#REF!),""))</f>
        <v/>
      </c>
      <c r="AC3810" t="str">
        <f>IF(Z3810="","",COUNTIF(#REF!,Z3810))</f>
        <v/>
      </c>
      <c r="AD3810" t="str">
        <f>IF(A3810="","",IF(AC3810&gt;1,"REVISAR DUPLICADO",IF(AA3810&lt;&gt;"","ACTUALIZADO POR EYR","SIN REPORTE EYR")))</f>
        <v/>
      </c>
    </row>
    <row r="3811" spans="11:30" x14ac:dyDescent="0.3">
      <c r="K3811" s="1" t="str">
        <f ca="1">IF(A3811="","",IF(OR(L3811="ENTREGADA",L3811="RETORNADA",L3811="ENTREGA DIGITAL"),0,MAX(0,5-NETWORKDAYS(H3811+1,TODAY()))))</f>
        <v/>
      </c>
      <c r="L3811" t="str">
        <f>IF(A3811="","",IFERROR(LOOKUP(2,1/(#REF!=Z3811),#REF!),Y3811))</f>
        <v/>
      </c>
      <c r="Z3811" t="str">
        <f>IF(A3811="","",TEXT(A3811,"0")&amp;"|"&amp;TEXT(H3811,"0"))</f>
        <v/>
      </c>
      <c r="AA3811" t="str">
        <f>IF(Z3811="","",IFERROR(LOOKUP(2,1/(#REF!=Z3811),#REF!),""))</f>
        <v/>
      </c>
      <c r="AB3811" t="str">
        <f>IF(Z3811="","",IFERROR(LOOKUP(2,1/(#REF!=Z3811),#REF!),""))</f>
        <v/>
      </c>
      <c r="AC3811" t="str">
        <f>IF(Z3811="","",COUNTIF(#REF!,Z3811))</f>
        <v/>
      </c>
      <c r="AD3811" t="str">
        <f>IF(A3811="","",IF(AC3811&gt;1,"REVISAR DUPLICADO",IF(AA3811&lt;&gt;"","ACTUALIZADO POR EYR","SIN REPORTE EYR")))</f>
        <v/>
      </c>
    </row>
    <row r="3812" spans="11:30" x14ac:dyDescent="0.3">
      <c r="K3812" s="1" t="str">
        <f ca="1">IF(A3812="","",IF(OR(L3812="ENTREGADA",L3812="RETORNADA",L3812="ENTREGA DIGITAL"),0,MAX(0,5-NETWORKDAYS(H3812+1,TODAY()))))</f>
        <v/>
      </c>
      <c r="L3812" t="str">
        <f>IF(A3812="","",IFERROR(LOOKUP(2,1/(#REF!=Z3812),#REF!),Y3812))</f>
        <v/>
      </c>
      <c r="Z3812" t="str">
        <f>IF(A3812="","",TEXT(A3812,"0")&amp;"|"&amp;TEXT(H3812,"0"))</f>
        <v/>
      </c>
      <c r="AA3812" t="str">
        <f>IF(Z3812="","",IFERROR(LOOKUP(2,1/(#REF!=Z3812),#REF!),""))</f>
        <v/>
      </c>
      <c r="AB3812" t="str">
        <f>IF(Z3812="","",IFERROR(LOOKUP(2,1/(#REF!=Z3812),#REF!),""))</f>
        <v/>
      </c>
      <c r="AC3812" t="str">
        <f>IF(Z3812="","",COUNTIF(#REF!,Z3812))</f>
        <v/>
      </c>
      <c r="AD3812" t="str">
        <f>IF(A3812="","",IF(AC3812&gt;1,"REVISAR DUPLICADO",IF(AA3812&lt;&gt;"","ACTUALIZADO POR EYR","SIN REPORTE EYR")))</f>
        <v/>
      </c>
    </row>
    <row r="3813" spans="11:30" x14ac:dyDescent="0.3">
      <c r="K3813" s="1" t="str">
        <f ca="1">IF(A3813="","",IF(OR(L3813="ENTREGADA",L3813="RETORNADA",L3813="ENTREGA DIGITAL"),0,MAX(0,5-NETWORKDAYS(H3813+1,TODAY()))))</f>
        <v/>
      </c>
      <c r="L3813" t="str">
        <f>IF(A3813="","",IFERROR(LOOKUP(2,1/(#REF!=Z3813),#REF!),Y3813))</f>
        <v/>
      </c>
      <c r="Z3813" t="str">
        <f>IF(A3813="","",TEXT(A3813,"0")&amp;"|"&amp;TEXT(H3813,"0"))</f>
        <v/>
      </c>
      <c r="AA3813" t="str">
        <f>IF(Z3813="","",IFERROR(LOOKUP(2,1/(#REF!=Z3813),#REF!),""))</f>
        <v/>
      </c>
      <c r="AB3813" t="str">
        <f>IF(Z3813="","",IFERROR(LOOKUP(2,1/(#REF!=Z3813),#REF!),""))</f>
        <v/>
      </c>
      <c r="AC3813" t="str">
        <f>IF(Z3813="","",COUNTIF(#REF!,Z3813))</f>
        <v/>
      </c>
      <c r="AD3813" t="str">
        <f>IF(A3813="","",IF(AC3813&gt;1,"REVISAR DUPLICADO",IF(AA3813&lt;&gt;"","ACTUALIZADO POR EYR","SIN REPORTE EYR")))</f>
        <v/>
      </c>
    </row>
    <row r="3814" spans="11:30" x14ac:dyDescent="0.3">
      <c r="K3814" s="1" t="str">
        <f ca="1">IF(A3814="","",IF(OR(L3814="ENTREGADA",L3814="RETORNADA",L3814="ENTREGA DIGITAL"),0,MAX(0,5-NETWORKDAYS(H3814+1,TODAY()))))</f>
        <v/>
      </c>
      <c r="L3814" t="str">
        <f>IF(A3814="","",IFERROR(LOOKUP(2,1/(#REF!=Z3814),#REF!),Y3814))</f>
        <v/>
      </c>
      <c r="Z3814" t="str">
        <f>IF(A3814="","",TEXT(A3814,"0")&amp;"|"&amp;TEXT(H3814,"0"))</f>
        <v/>
      </c>
      <c r="AA3814" t="str">
        <f>IF(Z3814="","",IFERROR(LOOKUP(2,1/(#REF!=Z3814),#REF!),""))</f>
        <v/>
      </c>
      <c r="AB3814" t="str">
        <f>IF(Z3814="","",IFERROR(LOOKUP(2,1/(#REF!=Z3814),#REF!),""))</f>
        <v/>
      </c>
      <c r="AC3814" t="str">
        <f>IF(Z3814="","",COUNTIF(#REF!,Z3814))</f>
        <v/>
      </c>
      <c r="AD3814" t="str">
        <f>IF(A3814="","",IF(AC3814&gt;1,"REVISAR DUPLICADO",IF(AA3814&lt;&gt;"","ACTUALIZADO POR EYR","SIN REPORTE EYR")))</f>
        <v/>
      </c>
    </row>
    <row r="3815" spans="11:30" x14ac:dyDescent="0.3">
      <c r="K3815" s="1" t="str">
        <f ca="1">IF(A3815="","",IF(OR(L3815="ENTREGADA",L3815="RETORNADA",L3815="ENTREGA DIGITAL"),0,MAX(0,5-NETWORKDAYS(H3815+1,TODAY()))))</f>
        <v/>
      </c>
      <c r="L3815" t="str">
        <f>IF(A3815="","",IFERROR(LOOKUP(2,1/(#REF!=Z3815),#REF!),Y3815))</f>
        <v/>
      </c>
      <c r="Z3815" t="str">
        <f>IF(A3815="","",TEXT(A3815,"0")&amp;"|"&amp;TEXT(H3815,"0"))</f>
        <v/>
      </c>
      <c r="AA3815" t="str">
        <f>IF(Z3815="","",IFERROR(LOOKUP(2,1/(#REF!=Z3815),#REF!),""))</f>
        <v/>
      </c>
      <c r="AB3815" t="str">
        <f>IF(Z3815="","",IFERROR(LOOKUP(2,1/(#REF!=Z3815),#REF!),""))</f>
        <v/>
      </c>
      <c r="AC3815" t="str">
        <f>IF(Z3815="","",COUNTIF(#REF!,Z3815))</f>
        <v/>
      </c>
      <c r="AD3815" t="str">
        <f>IF(A3815="","",IF(AC3815&gt;1,"REVISAR DUPLICADO",IF(AA3815&lt;&gt;"","ACTUALIZADO POR EYR","SIN REPORTE EYR")))</f>
        <v/>
      </c>
    </row>
    <row r="3816" spans="11:30" x14ac:dyDescent="0.3">
      <c r="K3816" s="1" t="str">
        <f ca="1">IF(A3816="","",IF(OR(L3816="ENTREGADA",L3816="RETORNADA",L3816="ENTREGA DIGITAL"),0,MAX(0,5-NETWORKDAYS(H3816+1,TODAY()))))</f>
        <v/>
      </c>
      <c r="L3816" t="str">
        <f>IF(A3816="","",IFERROR(LOOKUP(2,1/(#REF!=Z3816),#REF!),Y3816))</f>
        <v/>
      </c>
      <c r="Z3816" t="str">
        <f>IF(A3816="","",TEXT(A3816,"0")&amp;"|"&amp;TEXT(H3816,"0"))</f>
        <v/>
      </c>
      <c r="AA3816" t="str">
        <f>IF(Z3816="","",IFERROR(LOOKUP(2,1/(#REF!=Z3816),#REF!),""))</f>
        <v/>
      </c>
      <c r="AB3816" t="str">
        <f>IF(Z3816="","",IFERROR(LOOKUP(2,1/(#REF!=Z3816),#REF!),""))</f>
        <v/>
      </c>
      <c r="AC3816" t="str">
        <f>IF(Z3816="","",COUNTIF(#REF!,Z3816))</f>
        <v/>
      </c>
      <c r="AD3816" t="str">
        <f>IF(A3816="","",IF(AC3816&gt;1,"REVISAR DUPLICADO",IF(AA3816&lt;&gt;"","ACTUALIZADO POR EYR","SIN REPORTE EYR")))</f>
        <v/>
      </c>
    </row>
    <row r="3817" spans="11:30" x14ac:dyDescent="0.3">
      <c r="K3817" s="1" t="str">
        <f ca="1">IF(A3817="","",IF(OR(L3817="ENTREGADA",L3817="RETORNADA",L3817="ENTREGA DIGITAL"),0,MAX(0,5-NETWORKDAYS(H3817+1,TODAY()))))</f>
        <v/>
      </c>
      <c r="L3817" t="str">
        <f>IF(A3817="","",IFERROR(LOOKUP(2,1/(#REF!=Z3817),#REF!),Y3817))</f>
        <v/>
      </c>
      <c r="Z3817" t="str">
        <f>IF(A3817="","",TEXT(A3817,"0")&amp;"|"&amp;TEXT(H3817,"0"))</f>
        <v/>
      </c>
      <c r="AA3817" t="str">
        <f>IF(Z3817="","",IFERROR(LOOKUP(2,1/(#REF!=Z3817),#REF!),""))</f>
        <v/>
      </c>
      <c r="AB3817" t="str">
        <f>IF(Z3817="","",IFERROR(LOOKUP(2,1/(#REF!=Z3817),#REF!),""))</f>
        <v/>
      </c>
      <c r="AC3817" t="str">
        <f>IF(Z3817="","",COUNTIF(#REF!,Z3817))</f>
        <v/>
      </c>
      <c r="AD3817" t="str">
        <f>IF(A3817="","",IF(AC3817&gt;1,"REVISAR DUPLICADO",IF(AA3817&lt;&gt;"","ACTUALIZADO POR EYR","SIN REPORTE EYR")))</f>
        <v/>
      </c>
    </row>
    <row r="3818" spans="11:30" x14ac:dyDescent="0.3">
      <c r="K3818" s="1" t="str">
        <f ca="1">IF(A3818="","",IF(OR(L3818="ENTREGADA",L3818="RETORNADA",L3818="ENTREGA DIGITAL"),0,MAX(0,5-NETWORKDAYS(H3818+1,TODAY()))))</f>
        <v/>
      </c>
      <c r="L3818" t="str">
        <f>IF(A3818="","",IFERROR(LOOKUP(2,1/(#REF!=Z3818),#REF!),Y3818))</f>
        <v/>
      </c>
      <c r="Z3818" t="str">
        <f>IF(A3818="","",TEXT(A3818,"0")&amp;"|"&amp;TEXT(H3818,"0"))</f>
        <v/>
      </c>
      <c r="AA3818" t="str">
        <f>IF(Z3818="","",IFERROR(LOOKUP(2,1/(#REF!=Z3818),#REF!),""))</f>
        <v/>
      </c>
      <c r="AB3818" t="str">
        <f>IF(Z3818="","",IFERROR(LOOKUP(2,1/(#REF!=Z3818),#REF!),""))</f>
        <v/>
      </c>
      <c r="AC3818" t="str">
        <f>IF(Z3818="","",COUNTIF(#REF!,Z3818))</f>
        <v/>
      </c>
      <c r="AD3818" t="str">
        <f>IF(A3818="","",IF(AC3818&gt;1,"REVISAR DUPLICADO",IF(AA3818&lt;&gt;"","ACTUALIZADO POR EYR","SIN REPORTE EYR")))</f>
        <v/>
      </c>
    </row>
    <row r="3819" spans="11:30" x14ac:dyDescent="0.3">
      <c r="K3819" s="1" t="str">
        <f ca="1">IF(A3819="","",IF(OR(L3819="ENTREGADA",L3819="RETORNADA",L3819="ENTREGA DIGITAL"),0,MAX(0,5-NETWORKDAYS(H3819+1,TODAY()))))</f>
        <v/>
      </c>
      <c r="L3819" t="str">
        <f>IF(A3819="","",IFERROR(LOOKUP(2,1/(#REF!=Z3819),#REF!),Y3819))</f>
        <v/>
      </c>
      <c r="Z3819" t="str">
        <f>IF(A3819="","",TEXT(A3819,"0")&amp;"|"&amp;TEXT(H3819,"0"))</f>
        <v/>
      </c>
      <c r="AA3819" t="str">
        <f>IF(Z3819="","",IFERROR(LOOKUP(2,1/(#REF!=Z3819),#REF!),""))</f>
        <v/>
      </c>
      <c r="AB3819" t="str">
        <f>IF(Z3819="","",IFERROR(LOOKUP(2,1/(#REF!=Z3819),#REF!),""))</f>
        <v/>
      </c>
      <c r="AC3819" t="str">
        <f>IF(Z3819="","",COUNTIF(#REF!,Z3819))</f>
        <v/>
      </c>
      <c r="AD3819" t="str">
        <f>IF(A3819="","",IF(AC3819&gt;1,"REVISAR DUPLICADO",IF(AA3819&lt;&gt;"","ACTUALIZADO POR EYR","SIN REPORTE EYR")))</f>
        <v/>
      </c>
    </row>
    <row r="3820" spans="11:30" x14ac:dyDescent="0.3">
      <c r="K3820" s="1" t="str">
        <f ca="1">IF(A3820="","",IF(OR(L3820="ENTREGADA",L3820="RETORNADA",L3820="ENTREGA DIGITAL"),0,MAX(0,5-NETWORKDAYS(H3820+1,TODAY()))))</f>
        <v/>
      </c>
      <c r="L3820" t="str">
        <f>IF(A3820="","",IFERROR(LOOKUP(2,1/(#REF!=Z3820),#REF!),Y3820))</f>
        <v/>
      </c>
      <c r="Z3820" t="str">
        <f>IF(A3820="","",TEXT(A3820,"0")&amp;"|"&amp;TEXT(H3820,"0"))</f>
        <v/>
      </c>
      <c r="AA3820" t="str">
        <f>IF(Z3820="","",IFERROR(LOOKUP(2,1/(#REF!=Z3820),#REF!),""))</f>
        <v/>
      </c>
      <c r="AB3820" t="str">
        <f>IF(Z3820="","",IFERROR(LOOKUP(2,1/(#REF!=Z3820),#REF!),""))</f>
        <v/>
      </c>
      <c r="AC3820" t="str">
        <f>IF(Z3820="","",COUNTIF(#REF!,Z3820))</f>
        <v/>
      </c>
      <c r="AD3820" t="str">
        <f>IF(A3820="","",IF(AC3820&gt;1,"REVISAR DUPLICADO",IF(AA3820&lt;&gt;"","ACTUALIZADO POR EYR","SIN REPORTE EYR")))</f>
        <v/>
      </c>
    </row>
    <row r="3821" spans="11:30" x14ac:dyDescent="0.3">
      <c r="K3821" s="1" t="str">
        <f ca="1">IF(A3821="","",IF(OR(L3821="ENTREGADA",L3821="RETORNADA",L3821="ENTREGA DIGITAL"),0,MAX(0,5-NETWORKDAYS(H3821+1,TODAY()))))</f>
        <v/>
      </c>
      <c r="L3821" t="str">
        <f>IF(A3821="","",IFERROR(LOOKUP(2,1/(#REF!=Z3821),#REF!),Y3821))</f>
        <v/>
      </c>
      <c r="Z3821" t="str">
        <f>IF(A3821="","",TEXT(A3821,"0")&amp;"|"&amp;TEXT(H3821,"0"))</f>
        <v/>
      </c>
      <c r="AA3821" t="str">
        <f>IF(Z3821="","",IFERROR(LOOKUP(2,1/(#REF!=Z3821),#REF!),""))</f>
        <v/>
      </c>
      <c r="AB3821" t="str">
        <f>IF(Z3821="","",IFERROR(LOOKUP(2,1/(#REF!=Z3821),#REF!),""))</f>
        <v/>
      </c>
      <c r="AC3821" t="str">
        <f>IF(Z3821="","",COUNTIF(#REF!,Z3821))</f>
        <v/>
      </c>
      <c r="AD3821" t="str">
        <f>IF(A3821="","",IF(AC3821&gt;1,"REVISAR DUPLICADO",IF(AA3821&lt;&gt;"","ACTUALIZADO POR EYR","SIN REPORTE EYR")))</f>
        <v/>
      </c>
    </row>
    <row r="3822" spans="11:30" x14ac:dyDescent="0.3">
      <c r="K3822" s="1" t="str">
        <f ca="1">IF(A3822="","",IF(OR(L3822="ENTREGADA",L3822="RETORNADA",L3822="ENTREGA DIGITAL"),0,MAX(0,5-NETWORKDAYS(H3822+1,TODAY()))))</f>
        <v/>
      </c>
      <c r="L3822" t="str">
        <f>IF(A3822="","",IFERROR(LOOKUP(2,1/(#REF!=Z3822),#REF!),Y3822))</f>
        <v/>
      </c>
      <c r="Z3822" t="str">
        <f>IF(A3822="","",TEXT(A3822,"0")&amp;"|"&amp;TEXT(H3822,"0"))</f>
        <v/>
      </c>
      <c r="AA3822" t="str">
        <f>IF(Z3822="","",IFERROR(LOOKUP(2,1/(#REF!=Z3822),#REF!),""))</f>
        <v/>
      </c>
      <c r="AB3822" t="str">
        <f>IF(Z3822="","",IFERROR(LOOKUP(2,1/(#REF!=Z3822),#REF!),""))</f>
        <v/>
      </c>
      <c r="AC3822" t="str">
        <f>IF(Z3822="","",COUNTIF(#REF!,Z3822))</f>
        <v/>
      </c>
      <c r="AD3822" t="str">
        <f>IF(A3822="","",IF(AC3822&gt;1,"REVISAR DUPLICADO",IF(AA3822&lt;&gt;"","ACTUALIZADO POR EYR","SIN REPORTE EYR")))</f>
        <v/>
      </c>
    </row>
    <row r="3823" spans="11:30" x14ac:dyDescent="0.3">
      <c r="K3823" s="1" t="str">
        <f ca="1">IF(A3823="","",IF(OR(L3823="ENTREGADA",L3823="RETORNADA",L3823="ENTREGA DIGITAL"),0,MAX(0,5-NETWORKDAYS(H3823+1,TODAY()))))</f>
        <v/>
      </c>
      <c r="L3823" t="str">
        <f>IF(A3823="","",IFERROR(LOOKUP(2,1/(#REF!=Z3823),#REF!),Y3823))</f>
        <v/>
      </c>
      <c r="Z3823" t="str">
        <f>IF(A3823="","",TEXT(A3823,"0")&amp;"|"&amp;TEXT(H3823,"0"))</f>
        <v/>
      </c>
      <c r="AA3823" t="str">
        <f>IF(Z3823="","",IFERROR(LOOKUP(2,1/(#REF!=Z3823),#REF!),""))</f>
        <v/>
      </c>
      <c r="AB3823" t="str">
        <f>IF(Z3823="","",IFERROR(LOOKUP(2,1/(#REF!=Z3823),#REF!),""))</f>
        <v/>
      </c>
      <c r="AC3823" t="str">
        <f>IF(Z3823="","",COUNTIF(#REF!,Z3823))</f>
        <v/>
      </c>
      <c r="AD3823" t="str">
        <f>IF(A3823="","",IF(AC3823&gt;1,"REVISAR DUPLICADO",IF(AA3823&lt;&gt;"","ACTUALIZADO POR EYR","SIN REPORTE EYR")))</f>
        <v/>
      </c>
    </row>
    <row r="3824" spans="11:30" x14ac:dyDescent="0.3">
      <c r="K3824" s="1" t="str">
        <f ca="1">IF(A3824="","",IF(OR(L3824="ENTREGADA",L3824="RETORNADA",L3824="ENTREGA DIGITAL"),0,MAX(0,5-NETWORKDAYS(H3824+1,TODAY()))))</f>
        <v/>
      </c>
      <c r="L3824" t="str">
        <f>IF(A3824="","",IFERROR(LOOKUP(2,1/(#REF!=Z3824),#REF!),Y3824))</f>
        <v/>
      </c>
      <c r="Z3824" t="str">
        <f>IF(A3824="","",TEXT(A3824,"0")&amp;"|"&amp;TEXT(H3824,"0"))</f>
        <v/>
      </c>
      <c r="AA3824" t="str">
        <f>IF(Z3824="","",IFERROR(LOOKUP(2,1/(#REF!=Z3824),#REF!),""))</f>
        <v/>
      </c>
      <c r="AB3824" t="str">
        <f>IF(Z3824="","",IFERROR(LOOKUP(2,1/(#REF!=Z3824),#REF!),""))</f>
        <v/>
      </c>
      <c r="AC3824" t="str">
        <f>IF(Z3824="","",COUNTIF(#REF!,Z3824))</f>
        <v/>
      </c>
      <c r="AD3824" t="str">
        <f>IF(A3824="","",IF(AC3824&gt;1,"REVISAR DUPLICADO",IF(AA3824&lt;&gt;"","ACTUALIZADO POR EYR","SIN REPORTE EYR")))</f>
        <v/>
      </c>
    </row>
    <row r="3825" spans="11:30" x14ac:dyDescent="0.3">
      <c r="K3825" s="1" t="str">
        <f ca="1">IF(A3825="","",IF(OR(L3825="ENTREGADA",L3825="RETORNADA",L3825="ENTREGA DIGITAL"),0,MAX(0,5-NETWORKDAYS(H3825+1,TODAY()))))</f>
        <v/>
      </c>
      <c r="L3825" t="str">
        <f>IF(A3825="","",IFERROR(LOOKUP(2,1/(#REF!=Z3825),#REF!),Y3825))</f>
        <v/>
      </c>
      <c r="Z3825" t="str">
        <f>IF(A3825="","",TEXT(A3825,"0")&amp;"|"&amp;TEXT(H3825,"0"))</f>
        <v/>
      </c>
      <c r="AA3825" t="str">
        <f>IF(Z3825="","",IFERROR(LOOKUP(2,1/(#REF!=Z3825),#REF!),""))</f>
        <v/>
      </c>
      <c r="AB3825" t="str">
        <f>IF(Z3825="","",IFERROR(LOOKUP(2,1/(#REF!=Z3825),#REF!),""))</f>
        <v/>
      </c>
      <c r="AC3825" t="str">
        <f>IF(Z3825="","",COUNTIF(#REF!,Z3825))</f>
        <v/>
      </c>
      <c r="AD3825" t="str">
        <f>IF(A3825="","",IF(AC3825&gt;1,"REVISAR DUPLICADO",IF(AA3825&lt;&gt;"","ACTUALIZADO POR EYR","SIN REPORTE EYR")))</f>
        <v/>
      </c>
    </row>
    <row r="3826" spans="11:30" x14ac:dyDescent="0.3">
      <c r="K3826" s="1" t="str">
        <f ca="1">IF(A3826="","",IF(OR(L3826="ENTREGADA",L3826="RETORNADA",L3826="ENTREGA DIGITAL"),0,MAX(0,5-NETWORKDAYS(H3826+1,TODAY()))))</f>
        <v/>
      </c>
      <c r="L3826" t="str">
        <f>IF(A3826="","",IFERROR(LOOKUP(2,1/(#REF!=Z3826),#REF!),Y3826))</f>
        <v/>
      </c>
      <c r="Z3826" t="str">
        <f>IF(A3826="","",TEXT(A3826,"0")&amp;"|"&amp;TEXT(H3826,"0"))</f>
        <v/>
      </c>
      <c r="AA3826" t="str">
        <f>IF(Z3826="","",IFERROR(LOOKUP(2,1/(#REF!=Z3826),#REF!),""))</f>
        <v/>
      </c>
      <c r="AB3826" t="str">
        <f>IF(Z3826="","",IFERROR(LOOKUP(2,1/(#REF!=Z3826),#REF!),""))</f>
        <v/>
      </c>
      <c r="AC3826" t="str">
        <f>IF(Z3826="","",COUNTIF(#REF!,Z3826))</f>
        <v/>
      </c>
      <c r="AD3826" t="str">
        <f>IF(A3826="","",IF(AC3826&gt;1,"REVISAR DUPLICADO",IF(AA3826&lt;&gt;"","ACTUALIZADO POR EYR","SIN REPORTE EYR")))</f>
        <v/>
      </c>
    </row>
    <row r="3827" spans="11:30" x14ac:dyDescent="0.3">
      <c r="K3827" s="1" t="str">
        <f ca="1">IF(A3827="","",IF(OR(L3827="ENTREGADA",L3827="RETORNADA",L3827="ENTREGA DIGITAL"),0,MAX(0,5-NETWORKDAYS(H3827+1,TODAY()))))</f>
        <v/>
      </c>
      <c r="L3827" t="str">
        <f>IF(A3827="","",IFERROR(LOOKUP(2,1/(#REF!=Z3827),#REF!),Y3827))</f>
        <v/>
      </c>
      <c r="Z3827" t="str">
        <f>IF(A3827="","",TEXT(A3827,"0")&amp;"|"&amp;TEXT(H3827,"0"))</f>
        <v/>
      </c>
      <c r="AA3827" t="str">
        <f>IF(Z3827="","",IFERROR(LOOKUP(2,1/(#REF!=Z3827),#REF!),""))</f>
        <v/>
      </c>
      <c r="AB3827" t="str">
        <f>IF(Z3827="","",IFERROR(LOOKUP(2,1/(#REF!=Z3827),#REF!),""))</f>
        <v/>
      </c>
      <c r="AC3827" t="str">
        <f>IF(Z3827="","",COUNTIF(#REF!,Z3827))</f>
        <v/>
      </c>
      <c r="AD3827" t="str">
        <f>IF(A3827="","",IF(AC3827&gt;1,"REVISAR DUPLICADO",IF(AA3827&lt;&gt;"","ACTUALIZADO POR EYR","SIN REPORTE EYR")))</f>
        <v/>
      </c>
    </row>
    <row r="3828" spans="11:30" x14ac:dyDescent="0.3">
      <c r="K3828" s="1" t="str">
        <f ca="1">IF(A3828="","",IF(OR(L3828="ENTREGADA",L3828="RETORNADA",L3828="ENTREGA DIGITAL"),0,MAX(0,5-NETWORKDAYS(H3828+1,TODAY()))))</f>
        <v/>
      </c>
      <c r="L3828" t="str">
        <f>IF(A3828="","",IFERROR(LOOKUP(2,1/(#REF!=Z3828),#REF!),Y3828))</f>
        <v/>
      </c>
      <c r="Z3828" t="str">
        <f>IF(A3828="","",TEXT(A3828,"0")&amp;"|"&amp;TEXT(H3828,"0"))</f>
        <v/>
      </c>
      <c r="AA3828" t="str">
        <f>IF(Z3828="","",IFERROR(LOOKUP(2,1/(#REF!=Z3828),#REF!),""))</f>
        <v/>
      </c>
      <c r="AB3828" t="str">
        <f>IF(Z3828="","",IFERROR(LOOKUP(2,1/(#REF!=Z3828),#REF!),""))</f>
        <v/>
      </c>
      <c r="AC3828" t="str">
        <f>IF(Z3828="","",COUNTIF(#REF!,Z3828))</f>
        <v/>
      </c>
      <c r="AD3828" t="str">
        <f>IF(A3828="","",IF(AC3828&gt;1,"REVISAR DUPLICADO",IF(AA3828&lt;&gt;"","ACTUALIZADO POR EYR","SIN REPORTE EYR")))</f>
        <v/>
      </c>
    </row>
    <row r="3829" spans="11:30" x14ac:dyDescent="0.3">
      <c r="K3829" s="1" t="str">
        <f ca="1">IF(A3829="","",IF(OR(L3829="ENTREGADA",L3829="RETORNADA",L3829="ENTREGA DIGITAL"),0,MAX(0,5-NETWORKDAYS(H3829+1,TODAY()))))</f>
        <v/>
      </c>
      <c r="L3829" t="str">
        <f>IF(A3829="","",IFERROR(LOOKUP(2,1/(#REF!=Z3829),#REF!),Y3829))</f>
        <v/>
      </c>
      <c r="Z3829" t="str">
        <f>IF(A3829="","",TEXT(A3829,"0")&amp;"|"&amp;TEXT(H3829,"0"))</f>
        <v/>
      </c>
      <c r="AA3829" t="str">
        <f>IF(Z3829="","",IFERROR(LOOKUP(2,1/(#REF!=Z3829),#REF!),""))</f>
        <v/>
      </c>
      <c r="AB3829" t="str">
        <f>IF(Z3829="","",IFERROR(LOOKUP(2,1/(#REF!=Z3829),#REF!),""))</f>
        <v/>
      </c>
      <c r="AC3829" t="str">
        <f>IF(Z3829="","",COUNTIF(#REF!,Z3829))</f>
        <v/>
      </c>
      <c r="AD3829" t="str">
        <f>IF(A3829="","",IF(AC3829&gt;1,"REVISAR DUPLICADO",IF(AA3829&lt;&gt;"","ACTUALIZADO POR EYR","SIN REPORTE EYR")))</f>
        <v/>
      </c>
    </row>
    <row r="3830" spans="11:30" x14ac:dyDescent="0.3">
      <c r="K3830" s="1" t="str">
        <f ca="1">IF(A3830="","",IF(OR(L3830="ENTREGADA",L3830="RETORNADA",L3830="ENTREGA DIGITAL"),0,MAX(0,5-NETWORKDAYS(H3830+1,TODAY()))))</f>
        <v/>
      </c>
      <c r="L3830" t="str">
        <f>IF(A3830="","",IFERROR(LOOKUP(2,1/(#REF!=Z3830),#REF!),Y3830))</f>
        <v/>
      </c>
      <c r="Z3830" t="str">
        <f>IF(A3830="","",TEXT(A3830,"0")&amp;"|"&amp;TEXT(H3830,"0"))</f>
        <v/>
      </c>
      <c r="AA3830" t="str">
        <f>IF(Z3830="","",IFERROR(LOOKUP(2,1/(#REF!=Z3830),#REF!),""))</f>
        <v/>
      </c>
      <c r="AB3830" t="str">
        <f>IF(Z3830="","",IFERROR(LOOKUP(2,1/(#REF!=Z3830),#REF!),""))</f>
        <v/>
      </c>
      <c r="AC3830" t="str">
        <f>IF(Z3830="","",COUNTIF(#REF!,Z3830))</f>
        <v/>
      </c>
      <c r="AD3830" t="str">
        <f>IF(A3830="","",IF(AC3830&gt;1,"REVISAR DUPLICADO",IF(AA3830&lt;&gt;"","ACTUALIZADO POR EYR","SIN REPORTE EYR")))</f>
        <v/>
      </c>
    </row>
    <row r="3831" spans="11:30" x14ac:dyDescent="0.3">
      <c r="K3831" s="1" t="str">
        <f ca="1">IF(A3831="","",IF(OR(L3831="ENTREGADA",L3831="RETORNADA",L3831="ENTREGA DIGITAL"),0,MAX(0,5-NETWORKDAYS(H3831+1,TODAY()))))</f>
        <v/>
      </c>
      <c r="L3831" t="str">
        <f>IF(A3831="","",IFERROR(LOOKUP(2,1/(#REF!=Z3831),#REF!),Y3831))</f>
        <v/>
      </c>
      <c r="Z3831" t="str">
        <f>IF(A3831="","",TEXT(A3831,"0")&amp;"|"&amp;TEXT(H3831,"0"))</f>
        <v/>
      </c>
      <c r="AA3831" t="str">
        <f>IF(Z3831="","",IFERROR(LOOKUP(2,1/(#REF!=Z3831),#REF!),""))</f>
        <v/>
      </c>
      <c r="AB3831" t="str">
        <f>IF(Z3831="","",IFERROR(LOOKUP(2,1/(#REF!=Z3831),#REF!),""))</f>
        <v/>
      </c>
      <c r="AC3831" t="str">
        <f>IF(Z3831="","",COUNTIF(#REF!,Z3831))</f>
        <v/>
      </c>
      <c r="AD3831" t="str">
        <f>IF(A3831="","",IF(AC3831&gt;1,"REVISAR DUPLICADO",IF(AA3831&lt;&gt;"","ACTUALIZADO POR EYR","SIN REPORTE EYR")))</f>
        <v/>
      </c>
    </row>
    <row r="3832" spans="11:30" x14ac:dyDescent="0.3">
      <c r="K3832" s="1" t="str">
        <f ca="1">IF(A3832="","",IF(OR(L3832="ENTREGADA",L3832="RETORNADA",L3832="ENTREGA DIGITAL"),0,MAX(0,5-NETWORKDAYS(H3832+1,TODAY()))))</f>
        <v/>
      </c>
      <c r="L3832" t="str">
        <f>IF(A3832="","",IFERROR(LOOKUP(2,1/(#REF!=Z3832),#REF!),Y3832))</f>
        <v/>
      </c>
      <c r="Z3832" t="str">
        <f>IF(A3832="","",TEXT(A3832,"0")&amp;"|"&amp;TEXT(H3832,"0"))</f>
        <v/>
      </c>
      <c r="AA3832" t="str">
        <f>IF(Z3832="","",IFERROR(LOOKUP(2,1/(#REF!=Z3832),#REF!),""))</f>
        <v/>
      </c>
      <c r="AB3832" t="str">
        <f>IF(Z3832="","",IFERROR(LOOKUP(2,1/(#REF!=Z3832),#REF!),""))</f>
        <v/>
      </c>
      <c r="AC3832" t="str">
        <f>IF(Z3832="","",COUNTIF(#REF!,Z3832))</f>
        <v/>
      </c>
      <c r="AD3832" t="str">
        <f>IF(A3832="","",IF(AC3832&gt;1,"REVISAR DUPLICADO",IF(AA3832&lt;&gt;"","ACTUALIZADO POR EYR","SIN REPORTE EYR")))</f>
        <v/>
      </c>
    </row>
    <row r="3833" spans="11:30" x14ac:dyDescent="0.3">
      <c r="K3833" s="1" t="str">
        <f ca="1">IF(A3833="","",IF(OR(L3833="ENTREGADA",L3833="RETORNADA",L3833="ENTREGA DIGITAL"),0,MAX(0,5-NETWORKDAYS(H3833+1,TODAY()))))</f>
        <v/>
      </c>
      <c r="L3833" t="str">
        <f>IF(A3833="","",IFERROR(LOOKUP(2,1/(#REF!=Z3833),#REF!),Y3833))</f>
        <v/>
      </c>
      <c r="Z3833" t="str">
        <f>IF(A3833="","",TEXT(A3833,"0")&amp;"|"&amp;TEXT(H3833,"0"))</f>
        <v/>
      </c>
      <c r="AA3833" t="str">
        <f>IF(Z3833="","",IFERROR(LOOKUP(2,1/(#REF!=Z3833),#REF!),""))</f>
        <v/>
      </c>
      <c r="AB3833" t="str">
        <f>IF(Z3833="","",IFERROR(LOOKUP(2,1/(#REF!=Z3833),#REF!),""))</f>
        <v/>
      </c>
      <c r="AC3833" t="str">
        <f>IF(Z3833="","",COUNTIF(#REF!,Z3833))</f>
        <v/>
      </c>
      <c r="AD3833" t="str">
        <f>IF(A3833="","",IF(AC3833&gt;1,"REVISAR DUPLICADO",IF(AA3833&lt;&gt;"","ACTUALIZADO POR EYR","SIN REPORTE EYR")))</f>
        <v/>
      </c>
    </row>
    <row r="3834" spans="11:30" x14ac:dyDescent="0.3">
      <c r="K3834" s="1" t="str">
        <f ca="1">IF(A3834="","",IF(OR(L3834="ENTREGADA",L3834="RETORNADA",L3834="ENTREGA DIGITAL"),0,MAX(0,5-NETWORKDAYS(H3834+1,TODAY()))))</f>
        <v/>
      </c>
      <c r="L3834" t="str">
        <f>IF(A3834="","",IFERROR(LOOKUP(2,1/(#REF!=Z3834),#REF!),Y3834))</f>
        <v/>
      </c>
      <c r="Z3834" t="str">
        <f>IF(A3834="","",TEXT(A3834,"0")&amp;"|"&amp;TEXT(H3834,"0"))</f>
        <v/>
      </c>
      <c r="AA3834" t="str">
        <f>IF(Z3834="","",IFERROR(LOOKUP(2,1/(#REF!=Z3834),#REF!),""))</f>
        <v/>
      </c>
      <c r="AB3834" t="str">
        <f>IF(Z3834="","",IFERROR(LOOKUP(2,1/(#REF!=Z3834),#REF!),""))</f>
        <v/>
      </c>
      <c r="AC3834" t="str">
        <f>IF(Z3834="","",COUNTIF(#REF!,Z3834))</f>
        <v/>
      </c>
      <c r="AD3834" t="str">
        <f>IF(A3834="","",IF(AC3834&gt;1,"REVISAR DUPLICADO",IF(AA3834&lt;&gt;"","ACTUALIZADO POR EYR","SIN REPORTE EYR")))</f>
        <v/>
      </c>
    </row>
    <row r="3835" spans="11:30" x14ac:dyDescent="0.3">
      <c r="K3835" s="1" t="str">
        <f ca="1">IF(A3835="","",IF(OR(L3835="ENTREGADA",L3835="RETORNADA",L3835="ENTREGA DIGITAL"),0,MAX(0,5-NETWORKDAYS(H3835+1,TODAY()))))</f>
        <v/>
      </c>
      <c r="L3835" t="str">
        <f>IF(A3835="","",IFERROR(LOOKUP(2,1/(#REF!=Z3835),#REF!),Y3835))</f>
        <v/>
      </c>
      <c r="Z3835" t="str">
        <f>IF(A3835="","",TEXT(A3835,"0")&amp;"|"&amp;TEXT(H3835,"0"))</f>
        <v/>
      </c>
      <c r="AA3835" t="str">
        <f>IF(Z3835="","",IFERROR(LOOKUP(2,1/(#REF!=Z3835),#REF!),""))</f>
        <v/>
      </c>
      <c r="AB3835" t="str">
        <f>IF(Z3835="","",IFERROR(LOOKUP(2,1/(#REF!=Z3835),#REF!),""))</f>
        <v/>
      </c>
      <c r="AC3835" t="str">
        <f>IF(Z3835="","",COUNTIF(#REF!,Z3835))</f>
        <v/>
      </c>
      <c r="AD3835" t="str">
        <f>IF(A3835="","",IF(AC3835&gt;1,"REVISAR DUPLICADO",IF(AA3835&lt;&gt;"","ACTUALIZADO POR EYR","SIN REPORTE EYR")))</f>
        <v/>
      </c>
    </row>
    <row r="3836" spans="11:30" x14ac:dyDescent="0.3">
      <c r="K3836" s="1" t="str">
        <f ca="1">IF(A3836="","",IF(OR(L3836="ENTREGADA",L3836="RETORNADA",L3836="ENTREGA DIGITAL"),0,MAX(0,5-NETWORKDAYS(H3836+1,TODAY()))))</f>
        <v/>
      </c>
      <c r="L3836" t="str">
        <f>IF(A3836="","",IFERROR(LOOKUP(2,1/(#REF!=Z3836),#REF!),Y3836))</f>
        <v/>
      </c>
      <c r="Z3836" t="str">
        <f>IF(A3836="","",TEXT(A3836,"0")&amp;"|"&amp;TEXT(H3836,"0"))</f>
        <v/>
      </c>
      <c r="AA3836" t="str">
        <f>IF(Z3836="","",IFERROR(LOOKUP(2,1/(#REF!=Z3836),#REF!),""))</f>
        <v/>
      </c>
      <c r="AB3836" t="str">
        <f>IF(Z3836="","",IFERROR(LOOKUP(2,1/(#REF!=Z3836),#REF!),""))</f>
        <v/>
      </c>
      <c r="AC3836" t="str">
        <f>IF(Z3836="","",COUNTIF(#REF!,Z3836))</f>
        <v/>
      </c>
      <c r="AD3836" t="str">
        <f>IF(A3836="","",IF(AC3836&gt;1,"REVISAR DUPLICADO",IF(AA3836&lt;&gt;"","ACTUALIZADO POR EYR","SIN REPORTE EYR")))</f>
        <v/>
      </c>
    </row>
    <row r="3837" spans="11:30" x14ac:dyDescent="0.3">
      <c r="K3837" s="1" t="str">
        <f ca="1">IF(A3837="","",IF(OR(L3837="ENTREGADA",L3837="RETORNADA",L3837="ENTREGA DIGITAL"),0,MAX(0,5-NETWORKDAYS(H3837+1,TODAY()))))</f>
        <v/>
      </c>
      <c r="L3837" t="str">
        <f>IF(A3837="","",IFERROR(LOOKUP(2,1/(#REF!=Z3837),#REF!),Y3837))</f>
        <v/>
      </c>
      <c r="Z3837" t="str">
        <f>IF(A3837="","",TEXT(A3837,"0")&amp;"|"&amp;TEXT(H3837,"0"))</f>
        <v/>
      </c>
      <c r="AA3837" t="str">
        <f>IF(Z3837="","",IFERROR(LOOKUP(2,1/(#REF!=Z3837),#REF!),""))</f>
        <v/>
      </c>
      <c r="AB3837" t="str">
        <f>IF(Z3837="","",IFERROR(LOOKUP(2,1/(#REF!=Z3837),#REF!),""))</f>
        <v/>
      </c>
      <c r="AC3837" t="str">
        <f>IF(Z3837="","",COUNTIF(#REF!,Z3837))</f>
        <v/>
      </c>
      <c r="AD3837" t="str">
        <f>IF(A3837="","",IF(AC3837&gt;1,"REVISAR DUPLICADO",IF(AA3837&lt;&gt;"","ACTUALIZADO POR EYR","SIN REPORTE EYR")))</f>
        <v/>
      </c>
    </row>
    <row r="3838" spans="11:30" x14ac:dyDescent="0.3">
      <c r="K3838" s="1" t="str">
        <f ca="1">IF(A3838="","",IF(OR(L3838="ENTREGADA",L3838="RETORNADA",L3838="ENTREGA DIGITAL"),0,MAX(0,5-NETWORKDAYS(H3838+1,TODAY()))))</f>
        <v/>
      </c>
      <c r="L3838" t="str">
        <f>IF(A3838="","",IFERROR(LOOKUP(2,1/(#REF!=Z3838),#REF!),Y3838))</f>
        <v/>
      </c>
      <c r="Z3838" t="str">
        <f>IF(A3838="","",TEXT(A3838,"0")&amp;"|"&amp;TEXT(H3838,"0"))</f>
        <v/>
      </c>
      <c r="AA3838" t="str">
        <f>IF(Z3838="","",IFERROR(LOOKUP(2,1/(#REF!=Z3838),#REF!),""))</f>
        <v/>
      </c>
      <c r="AB3838" t="str">
        <f>IF(Z3838="","",IFERROR(LOOKUP(2,1/(#REF!=Z3838),#REF!),""))</f>
        <v/>
      </c>
      <c r="AC3838" t="str">
        <f>IF(Z3838="","",COUNTIF(#REF!,Z3838))</f>
        <v/>
      </c>
      <c r="AD3838" t="str">
        <f>IF(A3838="","",IF(AC3838&gt;1,"REVISAR DUPLICADO",IF(AA3838&lt;&gt;"","ACTUALIZADO POR EYR","SIN REPORTE EYR")))</f>
        <v/>
      </c>
    </row>
    <row r="3839" spans="11:30" x14ac:dyDescent="0.3">
      <c r="K3839" s="1" t="str">
        <f ca="1">IF(A3839="","",IF(OR(L3839="ENTREGADA",L3839="RETORNADA",L3839="ENTREGA DIGITAL"),0,MAX(0,5-NETWORKDAYS(H3839+1,TODAY()))))</f>
        <v/>
      </c>
      <c r="L3839" t="str">
        <f>IF(A3839="","",IFERROR(LOOKUP(2,1/(#REF!=Z3839),#REF!),Y3839))</f>
        <v/>
      </c>
      <c r="Z3839" t="str">
        <f>IF(A3839="","",TEXT(A3839,"0")&amp;"|"&amp;TEXT(H3839,"0"))</f>
        <v/>
      </c>
      <c r="AA3839" t="str">
        <f>IF(Z3839="","",IFERROR(LOOKUP(2,1/(#REF!=Z3839),#REF!),""))</f>
        <v/>
      </c>
      <c r="AB3839" t="str">
        <f>IF(Z3839="","",IFERROR(LOOKUP(2,1/(#REF!=Z3839),#REF!),""))</f>
        <v/>
      </c>
      <c r="AC3839" t="str">
        <f>IF(Z3839="","",COUNTIF(#REF!,Z3839))</f>
        <v/>
      </c>
      <c r="AD3839" t="str">
        <f>IF(A3839="","",IF(AC3839&gt;1,"REVISAR DUPLICADO",IF(AA3839&lt;&gt;"","ACTUALIZADO POR EYR","SIN REPORTE EYR")))</f>
        <v/>
      </c>
    </row>
    <row r="3840" spans="11:30" x14ac:dyDescent="0.3">
      <c r="K3840" s="1" t="str">
        <f ca="1">IF(A3840="","",IF(OR(L3840="ENTREGADA",L3840="RETORNADA",L3840="ENTREGA DIGITAL"),0,MAX(0,5-NETWORKDAYS(H3840+1,TODAY()))))</f>
        <v/>
      </c>
      <c r="L3840" t="str">
        <f>IF(A3840="","",IFERROR(LOOKUP(2,1/(#REF!=Z3840),#REF!),Y3840))</f>
        <v/>
      </c>
      <c r="Z3840" t="str">
        <f>IF(A3840="","",TEXT(A3840,"0")&amp;"|"&amp;TEXT(H3840,"0"))</f>
        <v/>
      </c>
      <c r="AA3840" t="str">
        <f>IF(Z3840="","",IFERROR(LOOKUP(2,1/(#REF!=Z3840),#REF!),""))</f>
        <v/>
      </c>
      <c r="AB3840" t="str">
        <f>IF(Z3840="","",IFERROR(LOOKUP(2,1/(#REF!=Z3840),#REF!),""))</f>
        <v/>
      </c>
      <c r="AC3840" t="str">
        <f>IF(Z3840="","",COUNTIF(#REF!,Z3840))</f>
        <v/>
      </c>
      <c r="AD3840" t="str">
        <f>IF(A3840="","",IF(AC3840&gt;1,"REVISAR DUPLICADO",IF(AA3840&lt;&gt;"","ACTUALIZADO POR EYR","SIN REPORTE EYR")))</f>
        <v/>
      </c>
    </row>
    <row r="3841" spans="11:30" x14ac:dyDescent="0.3">
      <c r="K3841" s="1" t="str">
        <f ca="1">IF(A3841="","",IF(OR(L3841="ENTREGADA",L3841="RETORNADA",L3841="ENTREGA DIGITAL"),0,MAX(0,5-NETWORKDAYS(H3841+1,TODAY()))))</f>
        <v/>
      </c>
      <c r="L3841" t="str">
        <f>IF(A3841="","",IFERROR(LOOKUP(2,1/(#REF!=Z3841),#REF!),Y3841))</f>
        <v/>
      </c>
      <c r="Z3841" t="str">
        <f>IF(A3841="","",TEXT(A3841,"0")&amp;"|"&amp;TEXT(H3841,"0"))</f>
        <v/>
      </c>
      <c r="AA3841" t="str">
        <f>IF(Z3841="","",IFERROR(LOOKUP(2,1/(#REF!=Z3841),#REF!),""))</f>
        <v/>
      </c>
      <c r="AB3841" t="str">
        <f>IF(Z3841="","",IFERROR(LOOKUP(2,1/(#REF!=Z3841),#REF!),""))</f>
        <v/>
      </c>
      <c r="AC3841" t="str">
        <f>IF(Z3841="","",COUNTIF(#REF!,Z3841))</f>
        <v/>
      </c>
      <c r="AD3841" t="str">
        <f>IF(A3841="","",IF(AC3841&gt;1,"REVISAR DUPLICADO",IF(AA3841&lt;&gt;"","ACTUALIZADO POR EYR","SIN REPORTE EYR")))</f>
        <v/>
      </c>
    </row>
    <row r="3842" spans="11:30" x14ac:dyDescent="0.3">
      <c r="K3842" s="1" t="str">
        <f ca="1">IF(A3842="","",IF(OR(L3842="ENTREGADA",L3842="RETORNADA",L3842="ENTREGA DIGITAL"),0,MAX(0,5-NETWORKDAYS(H3842+1,TODAY()))))</f>
        <v/>
      </c>
      <c r="L3842" t="str">
        <f>IF(A3842="","",IFERROR(LOOKUP(2,1/(#REF!=Z3842),#REF!),Y3842))</f>
        <v/>
      </c>
      <c r="Z3842" t="str">
        <f>IF(A3842="","",TEXT(A3842,"0")&amp;"|"&amp;TEXT(H3842,"0"))</f>
        <v/>
      </c>
      <c r="AA3842" t="str">
        <f>IF(Z3842="","",IFERROR(LOOKUP(2,1/(#REF!=Z3842),#REF!),""))</f>
        <v/>
      </c>
      <c r="AB3842" t="str">
        <f>IF(Z3842="","",IFERROR(LOOKUP(2,1/(#REF!=Z3842),#REF!),""))</f>
        <v/>
      </c>
      <c r="AC3842" t="str">
        <f>IF(Z3842="","",COUNTIF(#REF!,Z3842))</f>
        <v/>
      </c>
      <c r="AD3842" t="str">
        <f>IF(A3842="","",IF(AC3842&gt;1,"REVISAR DUPLICADO",IF(AA3842&lt;&gt;"","ACTUALIZADO POR EYR","SIN REPORTE EYR")))</f>
        <v/>
      </c>
    </row>
    <row r="3843" spans="11:30" x14ac:dyDescent="0.3">
      <c r="K3843" s="1" t="str">
        <f ca="1">IF(A3843="","",IF(OR(L3843="ENTREGADA",L3843="RETORNADA",L3843="ENTREGA DIGITAL"),0,MAX(0,5-NETWORKDAYS(H3843+1,TODAY()))))</f>
        <v/>
      </c>
      <c r="L3843" t="str">
        <f>IF(A3843="","",IFERROR(LOOKUP(2,1/(#REF!=Z3843),#REF!),Y3843))</f>
        <v/>
      </c>
      <c r="Z3843" t="str">
        <f>IF(A3843="","",TEXT(A3843,"0")&amp;"|"&amp;TEXT(H3843,"0"))</f>
        <v/>
      </c>
      <c r="AA3843" t="str">
        <f>IF(Z3843="","",IFERROR(LOOKUP(2,1/(#REF!=Z3843),#REF!),""))</f>
        <v/>
      </c>
      <c r="AB3843" t="str">
        <f>IF(Z3843="","",IFERROR(LOOKUP(2,1/(#REF!=Z3843),#REF!),""))</f>
        <v/>
      </c>
      <c r="AC3843" t="str">
        <f>IF(Z3843="","",COUNTIF(#REF!,Z3843))</f>
        <v/>
      </c>
      <c r="AD3843" t="str">
        <f>IF(A3843="","",IF(AC3843&gt;1,"REVISAR DUPLICADO",IF(AA3843&lt;&gt;"","ACTUALIZADO POR EYR","SIN REPORTE EYR")))</f>
        <v/>
      </c>
    </row>
    <row r="3844" spans="11:30" x14ac:dyDescent="0.3">
      <c r="K3844" s="1" t="str">
        <f ca="1">IF(A3844="","",IF(OR(L3844="ENTREGADA",L3844="RETORNADA",L3844="ENTREGA DIGITAL"),0,MAX(0,5-NETWORKDAYS(H3844+1,TODAY()))))</f>
        <v/>
      </c>
      <c r="L3844" t="str">
        <f>IF(A3844="","",IFERROR(LOOKUP(2,1/(#REF!=Z3844),#REF!),Y3844))</f>
        <v/>
      </c>
      <c r="Z3844" t="str">
        <f>IF(A3844="","",TEXT(A3844,"0")&amp;"|"&amp;TEXT(H3844,"0"))</f>
        <v/>
      </c>
      <c r="AA3844" t="str">
        <f>IF(Z3844="","",IFERROR(LOOKUP(2,1/(#REF!=Z3844),#REF!),""))</f>
        <v/>
      </c>
      <c r="AB3844" t="str">
        <f>IF(Z3844="","",IFERROR(LOOKUP(2,1/(#REF!=Z3844),#REF!),""))</f>
        <v/>
      </c>
      <c r="AC3844" t="str">
        <f>IF(Z3844="","",COUNTIF(#REF!,Z3844))</f>
        <v/>
      </c>
      <c r="AD3844" t="str">
        <f>IF(A3844="","",IF(AC3844&gt;1,"REVISAR DUPLICADO",IF(AA3844&lt;&gt;"","ACTUALIZADO POR EYR","SIN REPORTE EYR")))</f>
        <v/>
      </c>
    </row>
    <row r="3845" spans="11:30" x14ac:dyDescent="0.3">
      <c r="K3845" s="1" t="str">
        <f ca="1">IF(A3845="","",IF(OR(L3845="ENTREGADA",L3845="RETORNADA",L3845="ENTREGA DIGITAL"),0,MAX(0,5-NETWORKDAYS(H3845+1,TODAY()))))</f>
        <v/>
      </c>
      <c r="L3845" t="str">
        <f>IF(A3845="","",IFERROR(LOOKUP(2,1/(#REF!=Z3845),#REF!),Y3845))</f>
        <v/>
      </c>
      <c r="Z3845" t="str">
        <f>IF(A3845="","",TEXT(A3845,"0")&amp;"|"&amp;TEXT(H3845,"0"))</f>
        <v/>
      </c>
      <c r="AA3845" t="str">
        <f>IF(Z3845="","",IFERROR(LOOKUP(2,1/(#REF!=Z3845),#REF!),""))</f>
        <v/>
      </c>
      <c r="AB3845" t="str">
        <f>IF(Z3845="","",IFERROR(LOOKUP(2,1/(#REF!=Z3845),#REF!),""))</f>
        <v/>
      </c>
      <c r="AC3845" t="str">
        <f>IF(Z3845="","",COUNTIF(#REF!,Z3845))</f>
        <v/>
      </c>
      <c r="AD3845" t="str">
        <f>IF(A3845="","",IF(AC3845&gt;1,"REVISAR DUPLICADO",IF(AA3845&lt;&gt;"","ACTUALIZADO POR EYR","SIN REPORTE EYR")))</f>
        <v/>
      </c>
    </row>
    <row r="3846" spans="11:30" x14ac:dyDescent="0.3">
      <c r="K3846" s="1" t="str">
        <f ca="1">IF(A3846="","",IF(OR(L3846="ENTREGADA",L3846="RETORNADA",L3846="ENTREGA DIGITAL"),0,MAX(0,5-NETWORKDAYS(H3846+1,TODAY()))))</f>
        <v/>
      </c>
      <c r="L3846" t="str">
        <f>IF(A3846="","",IFERROR(LOOKUP(2,1/(#REF!=Z3846),#REF!),Y3846))</f>
        <v/>
      </c>
      <c r="Z3846" t="str">
        <f>IF(A3846="","",TEXT(A3846,"0")&amp;"|"&amp;TEXT(H3846,"0"))</f>
        <v/>
      </c>
      <c r="AA3846" t="str">
        <f>IF(Z3846="","",IFERROR(LOOKUP(2,1/(#REF!=Z3846),#REF!),""))</f>
        <v/>
      </c>
      <c r="AB3846" t="str">
        <f>IF(Z3846="","",IFERROR(LOOKUP(2,1/(#REF!=Z3846),#REF!),""))</f>
        <v/>
      </c>
      <c r="AC3846" t="str">
        <f>IF(Z3846="","",COUNTIF(#REF!,Z3846))</f>
        <v/>
      </c>
      <c r="AD3846" t="str">
        <f>IF(A3846="","",IF(AC3846&gt;1,"REVISAR DUPLICADO",IF(AA3846&lt;&gt;"","ACTUALIZADO POR EYR","SIN REPORTE EYR")))</f>
        <v/>
      </c>
    </row>
    <row r="3847" spans="11:30" x14ac:dyDescent="0.3">
      <c r="K3847" s="1" t="str">
        <f ca="1">IF(A3847="","",IF(OR(L3847="ENTREGADA",L3847="RETORNADA",L3847="ENTREGA DIGITAL"),0,MAX(0,5-NETWORKDAYS(H3847+1,TODAY()))))</f>
        <v/>
      </c>
      <c r="L3847" t="str">
        <f>IF(A3847="","",IFERROR(LOOKUP(2,1/(#REF!=Z3847),#REF!),Y3847))</f>
        <v/>
      </c>
      <c r="Z3847" t="str">
        <f>IF(A3847="","",TEXT(A3847,"0")&amp;"|"&amp;TEXT(H3847,"0"))</f>
        <v/>
      </c>
      <c r="AA3847" t="str">
        <f>IF(Z3847="","",IFERROR(LOOKUP(2,1/(#REF!=Z3847),#REF!),""))</f>
        <v/>
      </c>
      <c r="AB3847" t="str">
        <f>IF(Z3847="","",IFERROR(LOOKUP(2,1/(#REF!=Z3847),#REF!),""))</f>
        <v/>
      </c>
      <c r="AC3847" t="str">
        <f>IF(Z3847="","",COUNTIF(#REF!,Z3847))</f>
        <v/>
      </c>
      <c r="AD3847" t="str">
        <f>IF(A3847="","",IF(AC3847&gt;1,"REVISAR DUPLICADO",IF(AA3847&lt;&gt;"","ACTUALIZADO POR EYR","SIN REPORTE EYR")))</f>
        <v/>
      </c>
    </row>
    <row r="3848" spans="11:30" x14ac:dyDescent="0.3">
      <c r="K3848" s="1" t="str">
        <f ca="1">IF(A3848="","",IF(OR(L3848="ENTREGADA",L3848="RETORNADA",L3848="ENTREGA DIGITAL"),0,MAX(0,5-NETWORKDAYS(H3848+1,TODAY()))))</f>
        <v/>
      </c>
      <c r="L3848" t="str">
        <f>IF(A3848="","",IFERROR(LOOKUP(2,1/(#REF!=Z3848),#REF!),Y3848))</f>
        <v/>
      </c>
      <c r="Z3848" t="str">
        <f>IF(A3848="","",TEXT(A3848,"0")&amp;"|"&amp;TEXT(H3848,"0"))</f>
        <v/>
      </c>
      <c r="AA3848" t="str">
        <f>IF(Z3848="","",IFERROR(LOOKUP(2,1/(#REF!=Z3848),#REF!),""))</f>
        <v/>
      </c>
      <c r="AB3848" t="str">
        <f>IF(Z3848="","",IFERROR(LOOKUP(2,1/(#REF!=Z3848),#REF!),""))</f>
        <v/>
      </c>
      <c r="AC3848" t="str">
        <f>IF(Z3848="","",COUNTIF(#REF!,Z3848))</f>
        <v/>
      </c>
      <c r="AD3848" t="str">
        <f>IF(A3848="","",IF(AC3848&gt;1,"REVISAR DUPLICADO",IF(AA3848&lt;&gt;"","ACTUALIZADO POR EYR","SIN REPORTE EYR")))</f>
        <v/>
      </c>
    </row>
    <row r="3849" spans="11:30" x14ac:dyDescent="0.3">
      <c r="K3849" s="1" t="str">
        <f ca="1">IF(A3849="","",IF(OR(L3849="ENTREGADA",L3849="RETORNADA",L3849="ENTREGA DIGITAL"),0,MAX(0,5-NETWORKDAYS(H3849+1,TODAY()))))</f>
        <v/>
      </c>
      <c r="L3849" t="str">
        <f>IF(A3849="","",IFERROR(LOOKUP(2,1/(#REF!=Z3849),#REF!),Y3849))</f>
        <v/>
      </c>
      <c r="Z3849" t="str">
        <f>IF(A3849="","",TEXT(A3849,"0")&amp;"|"&amp;TEXT(H3849,"0"))</f>
        <v/>
      </c>
      <c r="AA3849" t="str">
        <f>IF(Z3849="","",IFERROR(LOOKUP(2,1/(#REF!=Z3849),#REF!),""))</f>
        <v/>
      </c>
      <c r="AB3849" t="str">
        <f>IF(Z3849="","",IFERROR(LOOKUP(2,1/(#REF!=Z3849),#REF!),""))</f>
        <v/>
      </c>
      <c r="AC3849" t="str">
        <f>IF(Z3849="","",COUNTIF(#REF!,Z3849))</f>
        <v/>
      </c>
      <c r="AD3849" t="str">
        <f>IF(A3849="","",IF(AC3849&gt;1,"REVISAR DUPLICADO",IF(AA3849&lt;&gt;"","ACTUALIZADO POR EYR","SIN REPORTE EYR")))</f>
        <v/>
      </c>
    </row>
    <row r="3850" spans="11:30" x14ac:dyDescent="0.3">
      <c r="K3850" s="1" t="str">
        <f ca="1">IF(A3850="","",IF(OR(L3850="ENTREGADA",L3850="RETORNADA",L3850="ENTREGA DIGITAL"),0,MAX(0,5-NETWORKDAYS(H3850+1,TODAY()))))</f>
        <v/>
      </c>
      <c r="L3850" t="str">
        <f>IF(A3850="","",IFERROR(LOOKUP(2,1/(#REF!=Z3850),#REF!),Y3850))</f>
        <v/>
      </c>
      <c r="Z3850" t="str">
        <f>IF(A3850="","",TEXT(A3850,"0")&amp;"|"&amp;TEXT(H3850,"0"))</f>
        <v/>
      </c>
      <c r="AA3850" t="str">
        <f>IF(Z3850="","",IFERROR(LOOKUP(2,1/(#REF!=Z3850),#REF!),""))</f>
        <v/>
      </c>
      <c r="AB3850" t="str">
        <f>IF(Z3850="","",IFERROR(LOOKUP(2,1/(#REF!=Z3850),#REF!),""))</f>
        <v/>
      </c>
      <c r="AC3850" t="str">
        <f>IF(Z3850="","",COUNTIF(#REF!,Z3850))</f>
        <v/>
      </c>
      <c r="AD3850" t="str">
        <f>IF(A3850="","",IF(AC3850&gt;1,"REVISAR DUPLICADO",IF(AA3850&lt;&gt;"","ACTUALIZADO POR EYR","SIN REPORTE EYR")))</f>
        <v/>
      </c>
    </row>
    <row r="3851" spans="11:30" x14ac:dyDescent="0.3">
      <c r="K3851" s="1" t="str">
        <f ca="1">IF(A3851="","",IF(OR(L3851="ENTREGADA",L3851="RETORNADA",L3851="ENTREGA DIGITAL"),0,MAX(0,5-NETWORKDAYS(H3851+1,TODAY()))))</f>
        <v/>
      </c>
      <c r="L3851" t="str">
        <f>IF(A3851="","",IFERROR(LOOKUP(2,1/(#REF!=Z3851),#REF!),Y3851))</f>
        <v/>
      </c>
      <c r="Z3851" t="str">
        <f>IF(A3851="","",TEXT(A3851,"0")&amp;"|"&amp;TEXT(H3851,"0"))</f>
        <v/>
      </c>
      <c r="AA3851" t="str">
        <f>IF(Z3851="","",IFERROR(LOOKUP(2,1/(#REF!=Z3851),#REF!),""))</f>
        <v/>
      </c>
      <c r="AB3851" t="str">
        <f>IF(Z3851="","",IFERROR(LOOKUP(2,1/(#REF!=Z3851),#REF!),""))</f>
        <v/>
      </c>
      <c r="AC3851" t="str">
        <f>IF(Z3851="","",COUNTIF(#REF!,Z3851))</f>
        <v/>
      </c>
      <c r="AD3851" t="str">
        <f>IF(A3851="","",IF(AC3851&gt;1,"REVISAR DUPLICADO",IF(AA3851&lt;&gt;"","ACTUALIZADO POR EYR","SIN REPORTE EYR")))</f>
        <v/>
      </c>
    </row>
    <row r="3852" spans="11:30" x14ac:dyDescent="0.3">
      <c r="K3852" s="1" t="str">
        <f ca="1">IF(A3852="","",IF(OR(L3852="ENTREGADA",L3852="RETORNADA",L3852="ENTREGA DIGITAL"),0,MAX(0,5-NETWORKDAYS(H3852+1,TODAY()))))</f>
        <v/>
      </c>
      <c r="L3852" t="str">
        <f>IF(A3852="","",IFERROR(LOOKUP(2,1/(#REF!=Z3852),#REF!),Y3852))</f>
        <v/>
      </c>
      <c r="Z3852" t="str">
        <f>IF(A3852="","",TEXT(A3852,"0")&amp;"|"&amp;TEXT(H3852,"0"))</f>
        <v/>
      </c>
      <c r="AA3852" t="str">
        <f>IF(Z3852="","",IFERROR(LOOKUP(2,1/(#REF!=Z3852),#REF!),""))</f>
        <v/>
      </c>
      <c r="AB3852" t="str">
        <f>IF(Z3852="","",IFERROR(LOOKUP(2,1/(#REF!=Z3852),#REF!),""))</f>
        <v/>
      </c>
      <c r="AC3852" t="str">
        <f>IF(Z3852="","",COUNTIF(#REF!,Z3852))</f>
        <v/>
      </c>
      <c r="AD3852" t="str">
        <f>IF(A3852="","",IF(AC3852&gt;1,"REVISAR DUPLICADO",IF(AA3852&lt;&gt;"","ACTUALIZADO POR EYR","SIN REPORTE EYR")))</f>
        <v/>
      </c>
    </row>
    <row r="3853" spans="11:30" x14ac:dyDescent="0.3">
      <c r="K3853" s="1" t="str">
        <f ca="1">IF(A3853="","",IF(OR(L3853="ENTREGADA",L3853="RETORNADA",L3853="ENTREGA DIGITAL"),0,MAX(0,5-NETWORKDAYS(H3853+1,TODAY()))))</f>
        <v/>
      </c>
      <c r="L3853" t="str">
        <f>IF(A3853="","",IFERROR(LOOKUP(2,1/(#REF!=Z3853),#REF!),Y3853))</f>
        <v/>
      </c>
      <c r="Z3853" t="str">
        <f>IF(A3853="","",TEXT(A3853,"0")&amp;"|"&amp;TEXT(H3853,"0"))</f>
        <v/>
      </c>
      <c r="AA3853" t="str">
        <f>IF(Z3853="","",IFERROR(LOOKUP(2,1/(#REF!=Z3853),#REF!),""))</f>
        <v/>
      </c>
      <c r="AB3853" t="str">
        <f>IF(Z3853="","",IFERROR(LOOKUP(2,1/(#REF!=Z3853),#REF!),""))</f>
        <v/>
      </c>
      <c r="AC3853" t="str">
        <f>IF(Z3853="","",COUNTIF(#REF!,Z3853))</f>
        <v/>
      </c>
      <c r="AD3853" t="str">
        <f>IF(A3853="","",IF(AC3853&gt;1,"REVISAR DUPLICADO",IF(AA3853&lt;&gt;"","ACTUALIZADO POR EYR","SIN REPORTE EYR")))</f>
        <v/>
      </c>
    </row>
    <row r="3854" spans="11:30" x14ac:dyDescent="0.3">
      <c r="K3854" s="1" t="str">
        <f ca="1">IF(A3854="","",IF(OR(L3854="ENTREGADA",L3854="RETORNADA",L3854="ENTREGA DIGITAL"),0,MAX(0,5-NETWORKDAYS(H3854+1,TODAY()))))</f>
        <v/>
      </c>
      <c r="L3854" t="str">
        <f>IF(A3854="","",IFERROR(LOOKUP(2,1/(#REF!=Z3854),#REF!),Y3854))</f>
        <v/>
      </c>
      <c r="Z3854" t="str">
        <f>IF(A3854="","",TEXT(A3854,"0")&amp;"|"&amp;TEXT(H3854,"0"))</f>
        <v/>
      </c>
      <c r="AA3854" t="str">
        <f>IF(Z3854="","",IFERROR(LOOKUP(2,1/(#REF!=Z3854),#REF!),""))</f>
        <v/>
      </c>
      <c r="AB3854" t="str">
        <f>IF(Z3854="","",IFERROR(LOOKUP(2,1/(#REF!=Z3854),#REF!),""))</f>
        <v/>
      </c>
      <c r="AC3854" t="str">
        <f>IF(Z3854="","",COUNTIF(#REF!,Z3854))</f>
        <v/>
      </c>
      <c r="AD3854" t="str">
        <f>IF(A3854="","",IF(AC3854&gt;1,"REVISAR DUPLICADO",IF(AA3854&lt;&gt;"","ACTUALIZADO POR EYR","SIN REPORTE EYR")))</f>
        <v/>
      </c>
    </row>
    <row r="3855" spans="11:30" x14ac:dyDescent="0.3">
      <c r="K3855" s="1" t="str">
        <f ca="1">IF(A3855="","",IF(OR(L3855="ENTREGADA",L3855="RETORNADA",L3855="ENTREGA DIGITAL"),0,MAX(0,5-NETWORKDAYS(H3855+1,TODAY()))))</f>
        <v/>
      </c>
      <c r="L3855" t="str">
        <f>IF(A3855="","",IFERROR(LOOKUP(2,1/(#REF!=Z3855),#REF!),Y3855))</f>
        <v/>
      </c>
      <c r="Z3855" t="str">
        <f>IF(A3855="","",TEXT(A3855,"0")&amp;"|"&amp;TEXT(H3855,"0"))</f>
        <v/>
      </c>
      <c r="AA3855" t="str">
        <f>IF(Z3855="","",IFERROR(LOOKUP(2,1/(#REF!=Z3855),#REF!),""))</f>
        <v/>
      </c>
      <c r="AB3855" t="str">
        <f>IF(Z3855="","",IFERROR(LOOKUP(2,1/(#REF!=Z3855),#REF!),""))</f>
        <v/>
      </c>
      <c r="AC3855" t="str">
        <f>IF(Z3855="","",COUNTIF(#REF!,Z3855))</f>
        <v/>
      </c>
      <c r="AD3855" t="str">
        <f>IF(A3855="","",IF(AC3855&gt;1,"REVISAR DUPLICADO",IF(AA3855&lt;&gt;"","ACTUALIZADO POR EYR","SIN REPORTE EYR")))</f>
        <v/>
      </c>
    </row>
    <row r="3856" spans="11:30" x14ac:dyDescent="0.3">
      <c r="K3856" s="1" t="str">
        <f ca="1">IF(A3856="","",IF(OR(L3856="ENTREGADA",L3856="RETORNADA",L3856="ENTREGA DIGITAL"),0,MAX(0,5-NETWORKDAYS(H3856+1,TODAY()))))</f>
        <v/>
      </c>
      <c r="L3856" t="str">
        <f>IF(A3856="","",IFERROR(LOOKUP(2,1/(#REF!=Z3856),#REF!),Y3856))</f>
        <v/>
      </c>
      <c r="Z3856" t="str">
        <f>IF(A3856="","",TEXT(A3856,"0")&amp;"|"&amp;TEXT(H3856,"0"))</f>
        <v/>
      </c>
      <c r="AA3856" t="str">
        <f>IF(Z3856="","",IFERROR(LOOKUP(2,1/(#REF!=Z3856),#REF!),""))</f>
        <v/>
      </c>
      <c r="AB3856" t="str">
        <f>IF(Z3856="","",IFERROR(LOOKUP(2,1/(#REF!=Z3856),#REF!),""))</f>
        <v/>
      </c>
      <c r="AC3856" t="str">
        <f>IF(Z3856="","",COUNTIF(#REF!,Z3856))</f>
        <v/>
      </c>
      <c r="AD3856" t="str">
        <f>IF(A3856="","",IF(AC3856&gt;1,"REVISAR DUPLICADO",IF(AA3856&lt;&gt;"","ACTUALIZADO POR EYR","SIN REPORTE EYR")))</f>
        <v/>
      </c>
    </row>
    <row r="3857" spans="11:30" x14ac:dyDescent="0.3">
      <c r="K3857" s="1" t="str">
        <f ca="1">IF(A3857="","",IF(OR(L3857="ENTREGADA",L3857="RETORNADA",L3857="ENTREGA DIGITAL"),0,MAX(0,5-NETWORKDAYS(H3857+1,TODAY()))))</f>
        <v/>
      </c>
      <c r="L3857" t="str">
        <f>IF(A3857="","",IFERROR(LOOKUP(2,1/(#REF!=Z3857),#REF!),Y3857))</f>
        <v/>
      </c>
      <c r="Z3857" t="str">
        <f>IF(A3857="","",TEXT(A3857,"0")&amp;"|"&amp;TEXT(H3857,"0"))</f>
        <v/>
      </c>
      <c r="AA3857" t="str">
        <f>IF(Z3857="","",IFERROR(LOOKUP(2,1/(#REF!=Z3857),#REF!),""))</f>
        <v/>
      </c>
      <c r="AB3857" t="str">
        <f>IF(Z3857="","",IFERROR(LOOKUP(2,1/(#REF!=Z3857),#REF!),""))</f>
        <v/>
      </c>
      <c r="AC3857" t="str">
        <f>IF(Z3857="","",COUNTIF(#REF!,Z3857))</f>
        <v/>
      </c>
      <c r="AD3857" t="str">
        <f>IF(A3857="","",IF(AC3857&gt;1,"REVISAR DUPLICADO",IF(AA3857&lt;&gt;"","ACTUALIZADO POR EYR","SIN REPORTE EYR")))</f>
        <v/>
      </c>
    </row>
    <row r="3858" spans="11:30" x14ac:dyDescent="0.3">
      <c r="K3858" s="1" t="str">
        <f ca="1">IF(A3858="","",IF(OR(L3858="ENTREGADA",L3858="RETORNADA",L3858="ENTREGA DIGITAL"),0,MAX(0,5-NETWORKDAYS(H3858+1,TODAY()))))</f>
        <v/>
      </c>
      <c r="L3858" t="str">
        <f>IF(A3858="","",IFERROR(LOOKUP(2,1/(#REF!=Z3858),#REF!),Y3858))</f>
        <v/>
      </c>
      <c r="Z3858" t="str">
        <f>IF(A3858="","",TEXT(A3858,"0")&amp;"|"&amp;TEXT(H3858,"0"))</f>
        <v/>
      </c>
      <c r="AA3858" t="str">
        <f>IF(Z3858="","",IFERROR(LOOKUP(2,1/(#REF!=Z3858),#REF!),""))</f>
        <v/>
      </c>
      <c r="AB3858" t="str">
        <f>IF(Z3858="","",IFERROR(LOOKUP(2,1/(#REF!=Z3858),#REF!),""))</f>
        <v/>
      </c>
      <c r="AC3858" t="str">
        <f>IF(Z3858="","",COUNTIF(#REF!,Z3858))</f>
        <v/>
      </c>
      <c r="AD3858" t="str">
        <f>IF(A3858="","",IF(AC3858&gt;1,"REVISAR DUPLICADO",IF(AA3858&lt;&gt;"","ACTUALIZADO POR EYR","SIN REPORTE EYR")))</f>
        <v/>
      </c>
    </row>
    <row r="3859" spans="11:30" x14ac:dyDescent="0.3">
      <c r="K3859" s="1" t="str">
        <f ca="1">IF(A3859="","",IF(OR(L3859="ENTREGADA",L3859="RETORNADA",L3859="ENTREGA DIGITAL"),0,MAX(0,5-NETWORKDAYS(H3859+1,TODAY()))))</f>
        <v/>
      </c>
      <c r="L3859" t="str">
        <f>IF(A3859="","",IFERROR(LOOKUP(2,1/(#REF!=Z3859),#REF!),Y3859))</f>
        <v/>
      </c>
      <c r="Z3859" t="str">
        <f>IF(A3859="","",TEXT(A3859,"0")&amp;"|"&amp;TEXT(H3859,"0"))</f>
        <v/>
      </c>
      <c r="AA3859" t="str">
        <f>IF(Z3859="","",IFERROR(LOOKUP(2,1/(#REF!=Z3859),#REF!),""))</f>
        <v/>
      </c>
      <c r="AB3859" t="str">
        <f>IF(Z3859="","",IFERROR(LOOKUP(2,1/(#REF!=Z3859),#REF!),""))</f>
        <v/>
      </c>
      <c r="AC3859" t="str">
        <f>IF(Z3859="","",COUNTIF(#REF!,Z3859))</f>
        <v/>
      </c>
      <c r="AD3859" t="str">
        <f>IF(A3859="","",IF(AC3859&gt;1,"REVISAR DUPLICADO",IF(AA3859&lt;&gt;"","ACTUALIZADO POR EYR","SIN REPORTE EYR")))</f>
        <v/>
      </c>
    </row>
    <row r="3860" spans="11:30" x14ac:dyDescent="0.3">
      <c r="K3860" s="1" t="str">
        <f ca="1">IF(A3860="","",IF(OR(L3860="ENTREGADA",L3860="RETORNADA",L3860="ENTREGA DIGITAL"),0,MAX(0,5-NETWORKDAYS(H3860+1,TODAY()))))</f>
        <v/>
      </c>
      <c r="L3860" t="str">
        <f>IF(A3860="","",IFERROR(LOOKUP(2,1/(#REF!=Z3860),#REF!),Y3860))</f>
        <v/>
      </c>
      <c r="Z3860" t="str">
        <f>IF(A3860="","",TEXT(A3860,"0")&amp;"|"&amp;TEXT(H3860,"0"))</f>
        <v/>
      </c>
      <c r="AA3860" t="str">
        <f>IF(Z3860="","",IFERROR(LOOKUP(2,1/(#REF!=Z3860),#REF!),""))</f>
        <v/>
      </c>
      <c r="AB3860" t="str">
        <f>IF(Z3860="","",IFERROR(LOOKUP(2,1/(#REF!=Z3860),#REF!),""))</f>
        <v/>
      </c>
      <c r="AC3860" t="str">
        <f>IF(Z3860="","",COUNTIF(#REF!,Z3860))</f>
        <v/>
      </c>
      <c r="AD3860" t="str">
        <f>IF(A3860="","",IF(AC3860&gt;1,"REVISAR DUPLICADO",IF(AA3860&lt;&gt;"","ACTUALIZADO POR EYR","SIN REPORTE EYR")))</f>
        <v/>
      </c>
    </row>
    <row r="3861" spans="11:30" x14ac:dyDescent="0.3">
      <c r="K3861" s="1" t="str">
        <f ca="1">IF(A3861="","",IF(OR(L3861="ENTREGADA",L3861="RETORNADA",L3861="ENTREGA DIGITAL"),0,MAX(0,5-NETWORKDAYS(H3861+1,TODAY()))))</f>
        <v/>
      </c>
      <c r="L3861" t="str">
        <f>IF(A3861="","",IFERROR(LOOKUP(2,1/(#REF!=Z3861),#REF!),Y3861))</f>
        <v/>
      </c>
      <c r="Z3861" t="str">
        <f>IF(A3861="","",TEXT(A3861,"0")&amp;"|"&amp;TEXT(H3861,"0"))</f>
        <v/>
      </c>
      <c r="AA3861" t="str">
        <f>IF(Z3861="","",IFERROR(LOOKUP(2,1/(#REF!=Z3861),#REF!),""))</f>
        <v/>
      </c>
      <c r="AB3861" t="str">
        <f>IF(Z3861="","",IFERROR(LOOKUP(2,1/(#REF!=Z3861),#REF!),""))</f>
        <v/>
      </c>
      <c r="AC3861" t="str">
        <f>IF(Z3861="","",COUNTIF(#REF!,Z3861))</f>
        <v/>
      </c>
      <c r="AD3861" t="str">
        <f>IF(A3861="","",IF(AC3861&gt;1,"REVISAR DUPLICADO",IF(AA3861&lt;&gt;"","ACTUALIZADO POR EYR","SIN REPORTE EYR")))</f>
        <v/>
      </c>
    </row>
    <row r="3862" spans="11:30" x14ac:dyDescent="0.3">
      <c r="K3862" s="1" t="str">
        <f ca="1">IF(A3862="","",IF(OR(L3862="ENTREGADA",L3862="RETORNADA",L3862="ENTREGA DIGITAL"),0,MAX(0,5-NETWORKDAYS(H3862+1,TODAY()))))</f>
        <v/>
      </c>
      <c r="L3862" t="str">
        <f>IF(A3862="","",IFERROR(LOOKUP(2,1/(#REF!=Z3862),#REF!),Y3862))</f>
        <v/>
      </c>
      <c r="Z3862" t="str">
        <f>IF(A3862="","",TEXT(A3862,"0")&amp;"|"&amp;TEXT(H3862,"0"))</f>
        <v/>
      </c>
      <c r="AA3862" t="str">
        <f>IF(Z3862="","",IFERROR(LOOKUP(2,1/(#REF!=Z3862),#REF!),""))</f>
        <v/>
      </c>
      <c r="AB3862" t="str">
        <f>IF(Z3862="","",IFERROR(LOOKUP(2,1/(#REF!=Z3862),#REF!),""))</f>
        <v/>
      </c>
      <c r="AC3862" t="str">
        <f>IF(Z3862="","",COUNTIF(#REF!,Z3862))</f>
        <v/>
      </c>
      <c r="AD3862" t="str">
        <f>IF(A3862="","",IF(AC3862&gt;1,"REVISAR DUPLICADO",IF(AA3862&lt;&gt;"","ACTUALIZADO POR EYR","SIN REPORTE EYR")))</f>
        <v/>
      </c>
    </row>
    <row r="3863" spans="11:30" x14ac:dyDescent="0.3">
      <c r="K3863" s="1" t="str">
        <f ca="1">IF(A3863="","",IF(OR(L3863="ENTREGADA",L3863="RETORNADA",L3863="ENTREGA DIGITAL"),0,MAX(0,5-NETWORKDAYS(H3863+1,TODAY()))))</f>
        <v/>
      </c>
      <c r="L3863" t="str">
        <f>IF(A3863="","",IFERROR(LOOKUP(2,1/(#REF!=Z3863),#REF!),Y3863))</f>
        <v/>
      </c>
      <c r="Z3863" t="str">
        <f>IF(A3863="","",TEXT(A3863,"0")&amp;"|"&amp;TEXT(H3863,"0"))</f>
        <v/>
      </c>
      <c r="AA3863" t="str">
        <f>IF(Z3863="","",IFERROR(LOOKUP(2,1/(#REF!=Z3863),#REF!),""))</f>
        <v/>
      </c>
      <c r="AB3863" t="str">
        <f>IF(Z3863="","",IFERROR(LOOKUP(2,1/(#REF!=Z3863),#REF!),""))</f>
        <v/>
      </c>
      <c r="AC3863" t="str">
        <f>IF(Z3863="","",COUNTIF(#REF!,Z3863))</f>
        <v/>
      </c>
      <c r="AD3863" t="str">
        <f>IF(A3863="","",IF(AC3863&gt;1,"REVISAR DUPLICADO",IF(AA3863&lt;&gt;"","ACTUALIZADO POR EYR","SIN REPORTE EYR")))</f>
        <v/>
      </c>
    </row>
    <row r="3864" spans="11:30" x14ac:dyDescent="0.3">
      <c r="K3864" s="1" t="str">
        <f ca="1">IF(A3864="","",IF(OR(L3864="ENTREGADA",L3864="RETORNADA",L3864="ENTREGA DIGITAL"),0,MAX(0,5-NETWORKDAYS(H3864+1,TODAY()))))</f>
        <v/>
      </c>
      <c r="L3864" t="str">
        <f>IF(A3864="","",IFERROR(LOOKUP(2,1/(#REF!=Z3864),#REF!),Y3864))</f>
        <v/>
      </c>
      <c r="Z3864" t="str">
        <f>IF(A3864="","",TEXT(A3864,"0")&amp;"|"&amp;TEXT(H3864,"0"))</f>
        <v/>
      </c>
      <c r="AA3864" t="str">
        <f>IF(Z3864="","",IFERROR(LOOKUP(2,1/(#REF!=Z3864),#REF!),""))</f>
        <v/>
      </c>
      <c r="AB3864" t="str">
        <f>IF(Z3864="","",IFERROR(LOOKUP(2,1/(#REF!=Z3864),#REF!),""))</f>
        <v/>
      </c>
      <c r="AC3864" t="str">
        <f>IF(Z3864="","",COUNTIF(#REF!,Z3864))</f>
        <v/>
      </c>
      <c r="AD3864" t="str">
        <f>IF(A3864="","",IF(AC3864&gt;1,"REVISAR DUPLICADO",IF(AA3864&lt;&gt;"","ACTUALIZADO POR EYR","SIN REPORTE EYR")))</f>
        <v/>
      </c>
    </row>
    <row r="3865" spans="11:30" x14ac:dyDescent="0.3">
      <c r="K3865" s="1" t="str">
        <f ca="1">IF(A3865="","",IF(OR(L3865="ENTREGADA",L3865="RETORNADA",L3865="ENTREGA DIGITAL"),0,MAX(0,5-NETWORKDAYS(H3865+1,TODAY()))))</f>
        <v/>
      </c>
      <c r="L3865" t="str">
        <f>IF(A3865="","",IFERROR(LOOKUP(2,1/(#REF!=Z3865),#REF!),Y3865))</f>
        <v/>
      </c>
      <c r="Z3865" t="str">
        <f>IF(A3865="","",TEXT(A3865,"0")&amp;"|"&amp;TEXT(H3865,"0"))</f>
        <v/>
      </c>
      <c r="AA3865" t="str">
        <f>IF(Z3865="","",IFERROR(LOOKUP(2,1/(#REF!=Z3865),#REF!),""))</f>
        <v/>
      </c>
      <c r="AB3865" t="str">
        <f>IF(Z3865="","",IFERROR(LOOKUP(2,1/(#REF!=Z3865),#REF!),""))</f>
        <v/>
      </c>
      <c r="AC3865" t="str">
        <f>IF(Z3865="","",COUNTIF(#REF!,Z3865))</f>
        <v/>
      </c>
      <c r="AD3865" t="str">
        <f>IF(A3865="","",IF(AC3865&gt;1,"REVISAR DUPLICADO",IF(AA3865&lt;&gt;"","ACTUALIZADO POR EYR","SIN REPORTE EYR")))</f>
        <v/>
      </c>
    </row>
    <row r="3866" spans="11:30" x14ac:dyDescent="0.3">
      <c r="K3866" s="1" t="str">
        <f ca="1">IF(A3866="","",IF(OR(L3866="ENTREGADA",L3866="RETORNADA",L3866="ENTREGA DIGITAL"),0,MAX(0,5-NETWORKDAYS(H3866+1,TODAY()))))</f>
        <v/>
      </c>
      <c r="L3866" t="str">
        <f>IF(A3866="","",IFERROR(LOOKUP(2,1/(#REF!=Z3866),#REF!),Y3866))</f>
        <v/>
      </c>
      <c r="Z3866" t="str">
        <f>IF(A3866="","",TEXT(A3866,"0")&amp;"|"&amp;TEXT(H3866,"0"))</f>
        <v/>
      </c>
      <c r="AA3866" t="str">
        <f>IF(Z3866="","",IFERROR(LOOKUP(2,1/(#REF!=Z3866),#REF!),""))</f>
        <v/>
      </c>
      <c r="AB3866" t="str">
        <f>IF(Z3866="","",IFERROR(LOOKUP(2,1/(#REF!=Z3866),#REF!),""))</f>
        <v/>
      </c>
      <c r="AC3866" t="str">
        <f>IF(Z3866="","",COUNTIF(#REF!,Z3866))</f>
        <v/>
      </c>
      <c r="AD3866" t="str">
        <f>IF(A3866="","",IF(AC3866&gt;1,"REVISAR DUPLICADO",IF(AA3866&lt;&gt;"","ACTUALIZADO POR EYR","SIN REPORTE EYR")))</f>
        <v/>
      </c>
    </row>
    <row r="3867" spans="11:30" x14ac:dyDescent="0.3">
      <c r="K3867" s="1" t="str">
        <f ca="1">IF(A3867="","",IF(OR(L3867="ENTREGADA",L3867="RETORNADA",L3867="ENTREGA DIGITAL"),0,MAX(0,5-NETWORKDAYS(H3867+1,TODAY()))))</f>
        <v/>
      </c>
      <c r="L3867" t="str">
        <f>IF(A3867="","",IFERROR(LOOKUP(2,1/(#REF!=Z3867),#REF!),Y3867))</f>
        <v/>
      </c>
      <c r="Z3867" t="str">
        <f>IF(A3867="","",TEXT(A3867,"0")&amp;"|"&amp;TEXT(H3867,"0"))</f>
        <v/>
      </c>
      <c r="AA3867" t="str">
        <f>IF(Z3867="","",IFERROR(LOOKUP(2,1/(#REF!=Z3867),#REF!),""))</f>
        <v/>
      </c>
      <c r="AB3867" t="str">
        <f>IF(Z3867="","",IFERROR(LOOKUP(2,1/(#REF!=Z3867),#REF!),""))</f>
        <v/>
      </c>
      <c r="AC3867" t="str">
        <f>IF(Z3867="","",COUNTIF(#REF!,Z3867))</f>
        <v/>
      </c>
      <c r="AD3867" t="str">
        <f>IF(A3867="","",IF(AC3867&gt;1,"REVISAR DUPLICADO",IF(AA3867&lt;&gt;"","ACTUALIZADO POR EYR","SIN REPORTE EYR")))</f>
        <v/>
      </c>
    </row>
    <row r="3868" spans="11:30" x14ac:dyDescent="0.3">
      <c r="K3868" s="1" t="str">
        <f ca="1">IF(A3868="","",IF(OR(L3868="ENTREGADA",L3868="RETORNADA",L3868="ENTREGA DIGITAL"),0,MAX(0,5-NETWORKDAYS(H3868+1,TODAY()))))</f>
        <v/>
      </c>
      <c r="L3868" t="str">
        <f>IF(A3868="","",IFERROR(LOOKUP(2,1/(#REF!=Z3868),#REF!),Y3868))</f>
        <v/>
      </c>
      <c r="Z3868" t="str">
        <f>IF(A3868="","",TEXT(A3868,"0")&amp;"|"&amp;TEXT(H3868,"0"))</f>
        <v/>
      </c>
      <c r="AA3868" t="str">
        <f>IF(Z3868="","",IFERROR(LOOKUP(2,1/(#REF!=Z3868),#REF!),""))</f>
        <v/>
      </c>
      <c r="AB3868" t="str">
        <f>IF(Z3868="","",IFERROR(LOOKUP(2,1/(#REF!=Z3868),#REF!),""))</f>
        <v/>
      </c>
      <c r="AC3868" t="str">
        <f>IF(Z3868="","",COUNTIF(#REF!,Z3868))</f>
        <v/>
      </c>
      <c r="AD3868" t="str">
        <f>IF(A3868="","",IF(AC3868&gt;1,"REVISAR DUPLICADO",IF(AA3868&lt;&gt;"","ACTUALIZADO POR EYR","SIN REPORTE EYR")))</f>
        <v/>
      </c>
    </row>
    <row r="3869" spans="11:30" x14ac:dyDescent="0.3">
      <c r="K3869" s="1" t="str">
        <f ca="1">IF(A3869="","",IF(OR(L3869="ENTREGADA",L3869="RETORNADA",L3869="ENTREGA DIGITAL"),0,MAX(0,5-NETWORKDAYS(H3869+1,TODAY()))))</f>
        <v/>
      </c>
      <c r="L3869" t="str">
        <f>IF(A3869="","",IFERROR(LOOKUP(2,1/(#REF!=Z3869),#REF!),Y3869))</f>
        <v/>
      </c>
      <c r="Z3869" t="str">
        <f>IF(A3869="","",TEXT(A3869,"0")&amp;"|"&amp;TEXT(H3869,"0"))</f>
        <v/>
      </c>
      <c r="AA3869" t="str">
        <f>IF(Z3869="","",IFERROR(LOOKUP(2,1/(#REF!=Z3869),#REF!),""))</f>
        <v/>
      </c>
      <c r="AB3869" t="str">
        <f>IF(Z3869="","",IFERROR(LOOKUP(2,1/(#REF!=Z3869),#REF!),""))</f>
        <v/>
      </c>
      <c r="AC3869" t="str">
        <f>IF(Z3869="","",COUNTIF(#REF!,Z3869))</f>
        <v/>
      </c>
      <c r="AD3869" t="str">
        <f>IF(A3869="","",IF(AC3869&gt;1,"REVISAR DUPLICADO",IF(AA3869&lt;&gt;"","ACTUALIZADO POR EYR","SIN REPORTE EYR")))</f>
        <v/>
      </c>
    </row>
    <row r="3870" spans="11:30" x14ac:dyDescent="0.3">
      <c r="K3870" s="1" t="str">
        <f ca="1">IF(A3870="","",IF(OR(L3870="ENTREGADA",L3870="RETORNADA",L3870="ENTREGA DIGITAL"),0,MAX(0,5-NETWORKDAYS(H3870+1,TODAY()))))</f>
        <v/>
      </c>
      <c r="L3870" t="str">
        <f>IF(A3870="","",IFERROR(LOOKUP(2,1/(#REF!=Z3870),#REF!),Y3870))</f>
        <v/>
      </c>
      <c r="Z3870" t="str">
        <f>IF(A3870="","",TEXT(A3870,"0")&amp;"|"&amp;TEXT(H3870,"0"))</f>
        <v/>
      </c>
      <c r="AA3870" t="str">
        <f>IF(Z3870="","",IFERROR(LOOKUP(2,1/(#REF!=Z3870),#REF!),""))</f>
        <v/>
      </c>
      <c r="AB3870" t="str">
        <f>IF(Z3870="","",IFERROR(LOOKUP(2,1/(#REF!=Z3870),#REF!),""))</f>
        <v/>
      </c>
      <c r="AC3870" t="str">
        <f>IF(Z3870="","",COUNTIF(#REF!,Z3870))</f>
        <v/>
      </c>
      <c r="AD3870" t="str">
        <f>IF(A3870="","",IF(AC3870&gt;1,"REVISAR DUPLICADO",IF(AA3870&lt;&gt;"","ACTUALIZADO POR EYR","SIN REPORTE EYR")))</f>
        <v/>
      </c>
    </row>
    <row r="3871" spans="11:30" x14ac:dyDescent="0.3">
      <c r="K3871" s="1" t="str">
        <f ca="1">IF(A3871="","",IF(OR(L3871="ENTREGADA",L3871="RETORNADA",L3871="ENTREGA DIGITAL"),0,MAX(0,5-NETWORKDAYS(H3871+1,TODAY()))))</f>
        <v/>
      </c>
      <c r="L3871" t="str">
        <f>IF(A3871="","",IFERROR(LOOKUP(2,1/(#REF!=Z3871),#REF!),Y3871))</f>
        <v/>
      </c>
      <c r="Z3871" t="str">
        <f>IF(A3871="","",TEXT(A3871,"0")&amp;"|"&amp;TEXT(H3871,"0"))</f>
        <v/>
      </c>
      <c r="AA3871" t="str">
        <f>IF(Z3871="","",IFERROR(LOOKUP(2,1/(#REF!=Z3871),#REF!),""))</f>
        <v/>
      </c>
      <c r="AB3871" t="str">
        <f>IF(Z3871="","",IFERROR(LOOKUP(2,1/(#REF!=Z3871),#REF!),""))</f>
        <v/>
      </c>
      <c r="AC3871" t="str">
        <f>IF(Z3871="","",COUNTIF(#REF!,Z3871))</f>
        <v/>
      </c>
      <c r="AD3871" t="str">
        <f>IF(A3871="","",IF(AC3871&gt;1,"REVISAR DUPLICADO",IF(AA3871&lt;&gt;"","ACTUALIZADO POR EYR","SIN REPORTE EYR")))</f>
        <v/>
      </c>
    </row>
    <row r="3872" spans="11:30" x14ac:dyDescent="0.3">
      <c r="K3872" s="1" t="str">
        <f ca="1">IF(A3872="","",IF(OR(L3872="ENTREGADA",L3872="RETORNADA",L3872="ENTREGA DIGITAL"),0,MAX(0,5-NETWORKDAYS(H3872+1,TODAY()))))</f>
        <v/>
      </c>
      <c r="L3872" t="str">
        <f>IF(A3872="","",IFERROR(LOOKUP(2,1/(#REF!=Z3872),#REF!),Y3872))</f>
        <v/>
      </c>
      <c r="Z3872" t="str">
        <f>IF(A3872="","",TEXT(A3872,"0")&amp;"|"&amp;TEXT(H3872,"0"))</f>
        <v/>
      </c>
      <c r="AA3872" t="str">
        <f>IF(Z3872="","",IFERROR(LOOKUP(2,1/(#REF!=Z3872),#REF!),""))</f>
        <v/>
      </c>
      <c r="AB3872" t="str">
        <f>IF(Z3872="","",IFERROR(LOOKUP(2,1/(#REF!=Z3872),#REF!),""))</f>
        <v/>
      </c>
      <c r="AC3872" t="str">
        <f>IF(Z3872="","",COUNTIF(#REF!,Z3872))</f>
        <v/>
      </c>
      <c r="AD3872" t="str">
        <f>IF(A3872="","",IF(AC3872&gt;1,"REVISAR DUPLICADO",IF(AA3872&lt;&gt;"","ACTUALIZADO POR EYR","SIN REPORTE EYR")))</f>
        <v/>
      </c>
    </row>
    <row r="3873" spans="11:30" x14ac:dyDescent="0.3">
      <c r="K3873" s="1" t="str">
        <f ca="1">IF(A3873="","",IF(OR(L3873="ENTREGADA",L3873="RETORNADA",L3873="ENTREGA DIGITAL"),0,MAX(0,5-NETWORKDAYS(H3873+1,TODAY()))))</f>
        <v/>
      </c>
      <c r="L3873" t="str">
        <f>IF(A3873="","",IFERROR(LOOKUP(2,1/(#REF!=Z3873),#REF!),Y3873))</f>
        <v/>
      </c>
      <c r="Z3873" t="str">
        <f>IF(A3873="","",TEXT(A3873,"0")&amp;"|"&amp;TEXT(H3873,"0"))</f>
        <v/>
      </c>
      <c r="AA3873" t="str">
        <f>IF(Z3873="","",IFERROR(LOOKUP(2,1/(#REF!=Z3873),#REF!),""))</f>
        <v/>
      </c>
      <c r="AB3873" t="str">
        <f>IF(Z3873="","",IFERROR(LOOKUP(2,1/(#REF!=Z3873),#REF!),""))</f>
        <v/>
      </c>
      <c r="AC3873" t="str">
        <f>IF(Z3873="","",COUNTIF(#REF!,Z3873))</f>
        <v/>
      </c>
      <c r="AD3873" t="str">
        <f>IF(A3873="","",IF(AC3873&gt;1,"REVISAR DUPLICADO",IF(AA3873&lt;&gt;"","ACTUALIZADO POR EYR","SIN REPORTE EYR")))</f>
        <v/>
      </c>
    </row>
    <row r="3874" spans="11:30" x14ac:dyDescent="0.3">
      <c r="K3874" s="1" t="str">
        <f ca="1">IF(A3874="","",IF(OR(L3874="ENTREGADA",L3874="RETORNADA",L3874="ENTREGA DIGITAL"),0,MAX(0,5-NETWORKDAYS(H3874+1,TODAY()))))</f>
        <v/>
      </c>
      <c r="L3874" t="str">
        <f>IF(A3874="","",IFERROR(LOOKUP(2,1/(#REF!=Z3874),#REF!),Y3874))</f>
        <v/>
      </c>
      <c r="Z3874" t="str">
        <f>IF(A3874="","",TEXT(A3874,"0")&amp;"|"&amp;TEXT(H3874,"0"))</f>
        <v/>
      </c>
      <c r="AA3874" t="str">
        <f>IF(Z3874="","",IFERROR(LOOKUP(2,1/(#REF!=Z3874),#REF!),""))</f>
        <v/>
      </c>
      <c r="AB3874" t="str">
        <f>IF(Z3874="","",IFERROR(LOOKUP(2,1/(#REF!=Z3874),#REF!),""))</f>
        <v/>
      </c>
      <c r="AC3874" t="str">
        <f>IF(Z3874="","",COUNTIF(#REF!,Z3874))</f>
        <v/>
      </c>
      <c r="AD3874" t="str">
        <f>IF(A3874="","",IF(AC3874&gt;1,"REVISAR DUPLICADO",IF(AA3874&lt;&gt;"","ACTUALIZADO POR EYR","SIN REPORTE EYR")))</f>
        <v/>
      </c>
    </row>
    <row r="3875" spans="11:30" x14ac:dyDescent="0.3">
      <c r="K3875" s="1" t="str">
        <f ca="1">IF(A3875="","",IF(OR(L3875="ENTREGADA",L3875="RETORNADA",L3875="ENTREGA DIGITAL"),0,MAX(0,5-NETWORKDAYS(H3875+1,TODAY()))))</f>
        <v/>
      </c>
      <c r="L3875" t="str">
        <f>IF(A3875="","",IFERROR(LOOKUP(2,1/(#REF!=Z3875),#REF!),Y3875))</f>
        <v/>
      </c>
      <c r="Z3875" t="str">
        <f>IF(A3875="","",TEXT(A3875,"0")&amp;"|"&amp;TEXT(H3875,"0"))</f>
        <v/>
      </c>
      <c r="AA3875" t="str">
        <f>IF(Z3875="","",IFERROR(LOOKUP(2,1/(#REF!=Z3875),#REF!),""))</f>
        <v/>
      </c>
      <c r="AB3875" t="str">
        <f>IF(Z3875="","",IFERROR(LOOKUP(2,1/(#REF!=Z3875),#REF!),""))</f>
        <v/>
      </c>
      <c r="AC3875" t="str">
        <f>IF(Z3875="","",COUNTIF(#REF!,Z3875))</f>
        <v/>
      </c>
      <c r="AD3875" t="str">
        <f>IF(A3875="","",IF(AC3875&gt;1,"REVISAR DUPLICADO",IF(AA3875&lt;&gt;"","ACTUALIZADO POR EYR","SIN REPORTE EYR")))</f>
        <v/>
      </c>
    </row>
    <row r="3876" spans="11:30" x14ac:dyDescent="0.3">
      <c r="K3876" s="1" t="str">
        <f ca="1">IF(A3876="","",IF(OR(L3876="ENTREGADA",L3876="RETORNADA",L3876="ENTREGA DIGITAL"),0,MAX(0,5-NETWORKDAYS(H3876+1,TODAY()))))</f>
        <v/>
      </c>
      <c r="L3876" t="str">
        <f>IF(A3876="","",IFERROR(LOOKUP(2,1/(#REF!=Z3876),#REF!),Y3876))</f>
        <v/>
      </c>
      <c r="Z3876" t="str">
        <f>IF(A3876="","",TEXT(A3876,"0")&amp;"|"&amp;TEXT(H3876,"0"))</f>
        <v/>
      </c>
      <c r="AA3876" t="str">
        <f>IF(Z3876="","",IFERROR(LOOKUP(2,1/(#REF!=Z3876),#REF!),""))</f>
        <v/>
      </c>
      <c r="AB3876" t="str">
        <f>IF(Z3876="","",IFERROR(LOOKUP(2,1/(#REF!=Z3876),#REF!),""))</f>
        <v/>
      </c>
      <c r="AC3876" t="str">
        <f>IF(Z3876="","",COUNTIF(#REF!,Z3876))</f>
        <v/>
      </c>
      <c r="AD3876" t="str">
        <f>IF(A3876="","",IF(AC3876&gt;1,"REVISAR DUPLICADO",IF(AA3876&lt;&gt;"","ACTUALIZADO POR EYR","SIN REPORTE EYR")))</f>
        <v/>
      </c>
    </row>
    <row r="3877" spans="11:30" x14ac:dyDescent="0.3">
      <c r="K3877" s="1" t="str">
        <f ca="1">IF(A3877="","",IF(OR(L3877="ENTREGADA",L3877="RETORNADA",L3877="ENTREGA DIGITAL"),0,MAX(0,5-NETWORKDAYS(H3877+1,TODAY()))))</f>
        <v/>
      </c>
      <c r="L3877" t="str">
        <f>IF(A3877="","",IFERROR(LOOKUP(2,1/(#REF!=Z3877),#REF!),Y3877))</f>
        <v/>
      </c>
      <c r="Z3877" t="str">
        <f>IF(A3877="","",TEXT(A3877,"0")&amp;"|"&amp;TEXT(H3877,"0"))</f>
        <v/>
      </c>
      <c r="AA3877" t="str">
        <f>IF(Z3877="","",IFERROR(LOOKUP(2,1/(#REF!=Z3877),#REF!),""))</f>
        <v/>
      </c>
      <c r="AB3877" t="str">
        <f>IF(Z3877="","",IFERROR(LOOKUP(2,1/(#REF!=Z3877),#REF!),""))</f>
        <v/>
      </c>
      <c r="AC3877" t="str">
        <f>IF(Z3877="","",COUNTIF(#REF!,Z3877))</f>
        <v/>
      </c>
      <c r="AD3877" t="str">
        <f>IF(A3877="","",IF(AC3877&gt;1,"REVISAR DUPLICADO",IF(AA3877&lt;&gt;"","ACTUALIZADO POR EYR","SIN REPORTE EYR")))</f>
        <v/>
      </c>
    </row>
    <row r="3878" spans="11:30" x14ac:dyDescent="0.3">
      <c r="K3878" s="1" t="str">
        <f ca="1">IF(A3878="","",IF(OR(L3878="ENTREGADA",L3878="RETORNADA",L3878="ENTREGA DIGITAL"),0,MAX(0,5-NETWORKDAYS(H3878+1,TODAY()))))</f>
        <v/>
      </c>
      <c r="L3878" t="str">
        <f>IF(A3878="","",IFERROR(LOOKUP(2,1/(#REF!=Z3878),#REF!),Y3878))</f>
        <v/>
      </c>
      <c r="Z3878" t="str">
        <f>IF(A3878="","",TEXT(A3878,"0")&amp;"|"&amp;TEXT(H3878,"0"))</f>
        <v/>
      </c>
      <c r="AA3878" t="str">
        <f>IF(Z3878="","",IFERROR(LOOKUP(2,1/(#REF!=Z3878),#REF!),""))</f>
        <v/>
      </c>
      <c r="AB3878" t="str">
        <f>IF(Z3878="","",IFERROR(LOOKUP(2,1/(#REF!=Z3878),#REF!),""))</f>
        <v/>
      </c>
      <c r="AC3878" t="str">
        <f>IF(Z3878="","",COUNTIF(#REF!,Z3878))</f>
        <v/>
      </c>
      <c r="AD3878" t="str">
        <f>IF(A3878="","",IF(AC3878&gt;1,"REVISAR DUPLICADO",IF(AA3878&lt;&gt;"","ACTUALIZADO POR EYR","SIN REPORTE EYR")))</f>
        <v/>
      </c>
    </row>
    <row r="3879" spans="11:30" x14ac:dyDescent="0.3">
      <c r="K3879" s="1" t="str">
        <f ca="1">IF(A3879="","",IF(OR(L3879="ENTREGADA",L3879="RETORNADA",L3879="ENTREGA DIGITAL"),0,MAX(0,5-NETWORKDAYS(H3879+1,TODAY()))))</f>
        <v/>
      </c>
      <c r="L3879" t="str">
        <f>IF(A3879="","",IFERROR(LOOKUP(2,1/(#REF!=Z3879),#REF!),Y3879))</f>
        <v/>
      </c>
      <c r="Z3879" t="str">
        <f>IF(A3879="","",TEXT(A3879,"0")&amp;"|"&amp;TEXT(H3879,"0"))</f>
        <v/>
      </c>
      <c r="AA3879" t="str">
        <f>IF(Z3879="","",IFERROR(LOOKUP(2,1/(#REF!=Z3879),#REF!),""))</f>
        <v/>
      </c>
      <c r="AB3879" t="str">
        <f>IF(Z3879="","",IFERROR(LOOKUP(2,1/(#REF!=Z3879),#REF!),""))</f>
        <v/>
      </c>
      <c r="AC3879" t="str">
        <f>IF(Z3879="","",COUNTIF(#REF!,Z3879))</f>
        <v/>
      </c>
      <c r="AD3879" t="str">
        <f>IF(A3879="","",IF(AC3879&gt;1,"REVISAR DUPLICADO",IF(AA3879&lt;&gt;"","ACTUALIZADO POR EYR","SIN REPORTE EYR")))</f>
        <v/>
      </c>
    </row>
    <row r="3880" spans="11:30" x14ac:dyDescent="0.3">
      <c r="K3880" s="1" t="str">
        <f ca="1">IF(A3880="","",IF(OR(L3880="ENTREGADA",L3880="RETORNADA",L3880="ENTREGA DIGITAL"),0,MAX(0,5-NETWORKDAYS(H3880+1,TODAY()))))</f>
        <v/>
      </c>
      <c r="L3880" t="str">
        <f>IF(A3880="","",IFERROR(LOOKUP(2,1/(#REF!=Z3880),#REF!),Y3880))</f>
        <v/>
      </c>
      <c r="Z3880" t="str">
        <f>IF(A3880="","",TEXT(A3880,"0")&amp;"|"&amp;TEXT(H3880,"0"))</f>
        <v/>
      </c>
      <c r="AA3880" t="str">
        <f>IF(Z3880="","",IFERROR(LOOKUP(2,1/(#REF!=Z3880),#REF!),""))</f>
        <v/>
      </c>
      <c r="AB3880" t="str">
        <f>IF(Z3880="","",IFERROR(LOOKUP(2,1/(#REF!=Z3880),#REF!),""))</f>
        <v/>
      </c>
      <c r="AC3880" t="str">
        <f>IF(Z3880="","",COUNTIF(#REF!,Z3880))</f>
        <v/>
      </c>
      <c r="AD3880" t="str">
        <f>IF(A3880="","",IF(AC3880&gt;1,"REVISAR DUPLICADO",IF(AA3880&lt;&gt;"","ACTUALIZADO POR EYR","SIN REPORTE EYR")))</f>
        <v/>
      </c>
    </row>
    <row r="3881" spans="11:30" x14ac:dyDescent="0.3">
      <c r="K3881" s="1" t="str">
        <f ca="1">IF(A3881="","",IF(OR(L3881="ENTREGADA",L3881="RETORNADA",L3881="ENTREGA DIGITAL"),0,MAX(0,5-NETWORKDAYS(H3881+1,TODAY()))))</f>
        <v/>
      </c>
      <c r="L3881" t="str">
        <f>IF(A3881="","",IFERROR(LOOKUP(2,1/(#REF!=Z3881),#REF!),Y3881))</f>
        <v/>
      </c>
      <c r="Z3881" t="str">
        <f>IF(A3881="","",TEXT(A3881,"0")&amp;"|"&amp;TEXT(H3881,"0"))</f>
        <v/>
      </c>
      <c r="AA3881" t="str">
        <f>IF(Z3881="","",IFERROR(LOOKUP(2,1/(#REF!=Z3881),#REF!),""))</f>
        <v/>
      </c>
      <c r="AB3881" t="str">
        <f>IF(Z3881="","",IFERROR(LOOKUP(2,1/(#REF!=Z3881),#REF!),""))</f>
        <v/>
      </c>
      <c r="AC3881" t="str">
        <f>IF(Z3881="","",COUNTIF(#REF!,Z3881))</f>
        <v/>
      </c>
      <c r="AD3881" t="str">
        <f>IF(A3881="","",IF(AC3881&gt;1,"REVISAR DUPLICADO",IF(AA3881&lt;&gt;"","ACTUALIZADO POR EYR","SIN REPORTE EYR")))</f>
        <v/>
      </c>
    </row>
    <row r="3882" spans="11:30" x14ac:dyDescent="0.3">
      <c r="K3882" s="1" t="str">
        <f ca="1">IF(A3882="","",IF(OR(L3882="ENTREGADA",L3882="RETORNADA",L3882="ENTREGA DIGITAL"),0,MAX(0,5-NETWORKDAYS(H3882+1,TODAY()))))</f>
        <v/>
      </c>
      <c r="L3882" t="str">
        <f>IF(A3882="","",IFERROR(LOOKUP(2,1/(#REF!=Z3882),#REF!),Y3882))</f>
        <v/>
      </c>
      <c r="Z3882" t="str">
        <f>IF(A3882="","",TEXT(A3882,"0")&amp;"|"&amp;TEXT(H3882,"0"))</f>
        <v/>
      </c>
      <c r="AA3882" t="str">
        <f>IF(Z3882="","",IFERROR(LOOKUP(2,1/(#REF!=Z3882),#REF!),""))</f>
        <v/>
      </c>
      <c r="AB3882" t="str">
        <f>IF(Z3882="","",IFERROR(LOOKUP(2,1/(#REF!=Z3882),#REF!),""))</f>
        <v/>
      </c>
      <c r="AC3882" t="str">
        <f>IF(Z3882="","",COUNTIF(#REF!,Z3882))</f>
        <v/>
      </c>
      <c r="AD3882" t="str">
        <f>IF(A3882="","",IF(AC3882&gt;1,"REVISAR DUPLICADO",IF(AA3882&lt;&gt;"","ACTUALIZADO POR EYR","SIN REPORTE EYR")))</f>
        <v/>
      </c>
    </row>
    <row r="3883" spans="11:30" x14ac:dyDescent="0.3">
      <c r="K3883" s="1" t="str">
        <f ca="1">IF(A3883="","",IF(OR(L3883="ENTREGADA",L3883="RETORNADA",L3883="ENTREGA DIGITAL"),0,MAX(0,5-NETWORKDAYS(H3883+1,TODAY()))))</f>
        <v/>
      </c>
      <c r="L3883" t="str">
        <f>IF(A3883="","",IFERROR(LOOKUP(2,1/(#REF!=Z3883),#REF!),Y3883))</f>
        <v/>
      </c>
      <c r="Z3883" t="str">
        <f>IF(A3883="","",TEXT(A3883,"0")&amp;"|"&amp;TEXT(H3883,"0"))</f>
        <v/>
      </c>
      <c r="AA3883" t="str">
        <f>IF(Z3883="","",IFERROR(LOOKUP(2,1/(#REF!=Z3883),#REF!),""))</f>
        <v/>
      </c>
      <c r="AB3883" t="str">
        <f>IF(Z3883="","",IFERROR(LOOKUP(2,1/(#REF!=Z3883),#REF!),""))</f>
        <v/>
      </c>
      <c r="AC3883" t="str">
        <f>IF(Z3883="","",COUNTIF(#REF!,Z3883))</f>
        <v/>
      </c>
      <c r="AD3883" t="str">
        <f>IF(A3883="","",IF(AC3883&gt;1,"REVISAR DUPLICADO",IF(AA3883&lt;&gt;"","ACTUALIZADO POR EYR","SIN REPORTE EYR")))</f>
        <v/>
      </c>
    </row>
    <row r="3884" spans="11:30" x14ac:dyDescent="0.3">
      <c r="K3884" s="1" t="str">
        <f ca="1">IF(A3884="","",IF(OR(L3884="ENTREGADA",L3884="RETORNADA",L3884="ENTREGA DIGITAL"),0,MAX(0,5-NETWORKDAYS(H3884+1,TODAY()))))</f>
        <v/>
      </c>
      <c r="L3884" t="str">
        <f>IF(A3884="","",IFERROR(LOOKUP(2,1/(#REF!=Z3884),#REF!),Y3884))</f>
        <v/>
      </c>
      <c r="Z3884" t="str">
        <f>IF(A3884="","",TEXT(A3884,"0")&amp;"|"&amp;TEXT(H3884,"0"))</f>
        <v/>
      </c>
      <c r="AA3884" t="str">
        <f>IF(Z3884="","",IFERROR(LOOKUP(2,1/(#REF!=Z3884),#REF!),""))</f>
        <v/>
      </c>
      <c r="AB3884" t="str">
        <f>IF(Z3884="","",IFERROR(LOOKUP(2,1/(#REF!=Z3884),#REF!),""))</f>
        <v/>
      </c>
      <c r="AC3884" t="str">
        <f>IF(Z3884="","",COUNTIF(#REF!,Z3884))</f>
        <v/>
      </c>
      <c r="AD3884" t="str">
        <f>IF(A3884="","",IF(AC3884&gt;1,"REVISAR DUPLICADO",IF(AA3884&lt;&gt;"","ACTUALIZADO POR EYR","SIN REPORTE EYR")))</f>
        <v/>
      </c>
    </row>
    <row r="3885" spans="11:30" x14ac:dyDescent="0.3">
      <c r="K3885" s="1" t="str">
        <f ca="1">IF(A3885="","",IF(OR(L3885="ENTREGADA",L3885="RETORNADA",L3885="ENTREGA DIGITAL"),0,MAX(0,5-NETWORKDAYS(H3885+1,TODAY()))))</f>
        <v/>
      </c>
      <c r="L3885" t="str">
        <f>IF(A3885="","",IFERROR(LOOKUP(2,1/(#REF!=Z3885),#REF!),Y3885))</f>
        <v/>
      </c>
      <c r="Z3885" t="str">
        <f>IF(A3885="","",TEXT(A3885,"0")&amp;"|"&amp;TEXT(H3885,"0"))</f>
        <v/>
      </c>
      <c r="AA3885" t="str">
        <f>IF(Z3885="","",IFERROR(LOOKUP(2,1/(#REF!=Z3885),#REF!),""))</f>
        <v/>
      </c>
      <c r="AB3885" t="str">
        <f>IF(Z3885="","",IFERROR(LOOKUP(2,1/(#REF!=Z3885),#REF!),""))</f>
        <v/>
      </c>
      <c r="AC3885" t="str">
        <f>IF(Z3885="","",COUNTIF(#REF!,Z3885))</f>
        <v/>
      </c>
      <c r="AD3885" t="str">
        <f>IF(A3885="","",IF(AC3885&gt;1,"REVISAR DUPLICADO",IF(AA3885&lt;&gt;"","ACTUALIZADO POR EYR","SIN REPORTE EYR")))</f>
        <v/>
      </c>
    </row>
    <row r="3886" spans="11:30" x14ac:dyDescent="0.3">
      <c r="K3886" s="1" t="str">
        <f ca="1">IF(A3886="","",IF(OR(L3886="ENTREGADA",L3886="RETORNADA",L3886="ENTREGA DIGITAL"),0,MAX(0,5-NETWORKDAYS(H3886+1,TODAY()))))</f>
        <v/>
      </c>
      <c r="L3886" t="str">
        <f>IF(A3886="","",IFERROR(LOOKUP(2,1/(#REF!=Z3886),#REF!),Y3886))</f>
        <v/>
      </c>
      <c r="Z3886" t="str">
        <f>IF(A3886="","",TEXT(A3886,"0")&amp;"|"&amp;TEXT(H3886,"0"))</f>
        <v/>
      </c>
      <c r="AA3886" t="str">
        <f>IF(Z3886="","",IFERROR(LOOKUP(2,1/(#REF!=Z3886),#REF!),""))</f>
        <v/>
      </c>
      <c r="AB3886" t="str">
        <f>IF(Z3886="","",IFERROR(LOOKUP(2,1/(#REF!=Z3886),#REF!),""))</f>
        <v/>
      </c>
      <c r="AC3886" t="str">
        <f>IF(Z3886="","",COUNTIF(#REF!,Z3886))</f>
        <v/>
      </c>
      <c r="AD3886" t="str">
        <f>IF(A3886="","",IF(AC3886&gt;1,"REVISAR DUPLICADO",IF(AA3886&lt;&gt;"","ACTUALIZADO POR EYR","SIN REPORTE EYR")))</f>
        <v/>
      </c>
    </row>
    <row r="3887" spans="11:30" x14ac:dyDescent="0.3">
      <c r="K3887" s="1" t="str">
        <f ca="1">IF(A3887="","",IF(OR(L3887="ENTREGADA",L3887="RETORNADA",L3887="ENTREGA DIGITAL"),0,MAX(0,5-NETWORKDAYS(H3887+1,TODAY()))))</f>
        <v/>
      </c>
      <c r="L3887" t="str">
        <f>IF(A3887="","",IFERROR(LOOKUP(2,1/(#REF!=Z3887),#REF!),Y3887))</f>
        <v/>
      </c>
      <c r="Z3887" t="str">
        <f>IF(A3887="","",TEXT(A3887,"0")&amp;"|"&amp;TEXT(H3887,"0"))</f>
        <v/>
      </c>
      <c r="AA3887" t="str">
        <f>IF(Z3887="","",IFERROR(LOOKUP(2,1/(#REF!=Z3887),#REF!),""))</f>
        <v/>
      </c>
      <c r="AB3887" t="str">
        <f>IF(Z3887="","",IFERROR(LOOKUP(2,1/(#REF!=Z3887),#REF!),""))</f>
        <v/>
      </c>
      <c r="AC3887" t="str">
        <f>IF(Z3887="","",COUNTIF(#REF!,Z3887))</f>
        <v/>
      </c>
      <c r="AD3887" t="str">
        <f>IF(A3887="","",IF(AC3887&gt;1,"REVISAR DUPLICADO",IF(AA3887&lt;&gt;"","ACTUALIZADO POR EYR","SIN REPORTE EYR")))</f>
        <v/>
      </c>
    </row>
    <row r="3888" spans="11:30" x14ac:dyDescent="0.3">
      <c r="K3888" s="1" t="str">
        <f ca="1">IF(A3888="","",IF(OR(L3888="ENTREGADA",L3888="RETORNADA",L3888="ENTREGA DIGITAL"),0,MAX(0,5-NETWORKDAYS(H3888+1,TODAY()))))</f>
        <v/>
      </c>
      <c r="L3888" t="str">
        <f>IF(A3888="","",IFERROR(LOOKUP(2,1/(#REF!=Z3888),#REF!),Y3888))</f>
        <v/>
      </c>
      <c r="Z3888" t="str">
        <f>IF(A3888="","",TEXT(A3888,"0")&amp;"|"&amp;TEXT(H3888,"0"))</f>
        <v/>
      </c>
      <c r="AA3888" t="str">
        <f>IF(Z3888="","",IFERROR(LOOKUP(2,1/(#REF!=Z3888),#REF!),""))</f>
        <v/>
      </c>
      <c r="AB3888" t="str">
        <f>IF(Z3888="","",IFERROR(LOOKUP(2,1/(#REF!=Z3888),#REF!),""))</f>
        <v/>
      </c>
      <c r="AC3888" t="str">
        <f>IF(Z3888="","",COUNTIF(#REF!,Z3888))</f>
        <v/>
      </c>
      <c r="AD3888" t="str">
        <f>IF(A3888="","",IF(AC3888&gt;1,"REVISAR DUPLICADO",IF(AA3888&lt;&gt;"","ACTUALIZADO POR EYR","SIN REPORTE EYR")))</f>
        <v/>
      </c>
    </row>
    <row r="3889" spans="11:30" x14ac:dyDescent="0.3">
      <c r="K3889" s="1" t="str">
        <f ca="1">IF(A3889="","",IF(OR(L3889="ENTREGADA",L3889="RETORNADA",L3889="ENTREGA DIGITAL"),0,MAX(0,5-NETWORKDAYS(H3889+1,TODAY()))))</f>
        <v/>
      </c>
      <c r="L3889" t="str">
        <f>IF(A3889="","",IFERROR(LOOKUP(2,1/(#REF!=Z3889),#REF!),Y3889))</f>
        <v/>
      </c>
      <c r="Z3889" t="str">
        <f>IF(A3889="","",TEXT(A3889,"0")&amp;"|"&amp;TEXT(H3889,"0"))</f>
        <v/>
      </c>
      <c r="AA3889" t="str">
        <f>IF(Z3889="","",IFERROR(LOOKUP(2,1/(#REF!=Z3889),#REF!),""))</f>
        <v/>
      </c>
      <c r="AB3889" t="str">
        <f>IF(Z3889="","",IFERROR(LOOKUP(2,1/(#REF!=Z3889),#REF!),""))</f>
        <v/>
      </c>
      <c r="AC3889" t="str">
        <f>IF(Z3889="","",COUNTIF(#REF!,Z3889))</f>
        <v/>
      </c>
      <c r="AD3889" t="str">
        <f>IF(A3889="","",IF(AC3889&gt;1,"REVISAR DUPLICADO",IF(AA3889&lt;&gt;"","ACTUALIZADO POR EYR","SIN REPORTE EYR")))</f>
        <v/>
      </c>
    </row>
    <row r="3890" spans="11:30" x14ac:dyDescent="0.3">
      <c r="K3890" s="1" t="str">
        <f ca="1">IF(A3890="","",IF(OR(L3890="ENTREGADA",L3890="RETORNADA",L3890="ENTREGA DIGITAL"),0,MAX(0,5-NETWORKDAYS(H3890+1,TODAY()))))</f>
        <v/>
      </c>
      <c r="L3890" t="str">
        <f>IF(A3890="","",IFERROR(LOOKUP(2,1/(#REF!=Z3890),#REF!),Y3890))</f>
        <v/>
      </c>
      <c r="Z3890" t="str">
        <f>IF(A3890="","",TEXT(A3890,"0")&amp;"|"&amp;TEXT(H3890,"0"))</f>
        <v/>
      </c>
      <c r="AA3890" t="str">
        <f>IF(Z3890="","",IFERROR(LOOKUP(2,1/(#REF!=Z3890),#REF!),""))</f>
        <v/>
      </c>
      <c r="AB3890" t="str">
        <f>IF(Z3890="","",IFERROR(LOOKUP(2,1/(#REF!=Z3890),#REF!),""))</f>
        <v/>
      </c>
      <c r="AC3890" t="str">
        <f>IF(Z3890="","",COUNTIF(#REF!,Z3890))</f>
        <v/>
      </c>
      <c r="AD3890" t="str">
        <f>IF(A3890="","",IF(AC3890&gt;1,"REVISAR DUPLICADO",IF(AA3890&lt;&gt;"","ACTUALIZADO POR EYR","SIN REPORTE EYR")))</f>
        <v/>
      </c>
    </row>
    <row r="3891" spans="11:30" x14ac:dyDescent="0.3">
      <c r="K3891" s="1" t="str">
        <f ca="1">IF(A3891="","",IF(OR(L3891="ENTREGADA",L3891="RETORNADA",L3891="ENTREGA DIGITAL"),0,MAX(0,5-NETWORKDAYS(H3891+1,TODAY()))))</f>
        <v/>
      </c>
      <c r="L3891" t="str">
        <f>IF(A3891="","",IFERROR(LOOKUP(2,1/(#REF!=Z3891),#REF!),Y3891))</f>
        <v/>
      </c>
      <c r="Z3891" t="str">
        <f>IF(A3891="","",TEXT(A3891,"0")&amp;"|"&amp;TEXT(H3891,"0"))</f>
        <v/>
      </c>
      <c r="AA3891" t="str">
        <f>IF(Z3891="","",IFERROR(LOOKUP(2,1/(#REF!=Z3891),#REF!),""))</f>
        <v/>
      </c>
      <c r="AB3891" t="str">
        <f>IF(Z3891="","",IFERROR(LOOKUP(2,1/(#REF!=Z3891),#REF!),""))</f>
        <v/>
      </c>
      <c r="AC3891" t="str">
        <f>IF(Z3891="","",COUNTIF(#REF!,Z3891))</f>
        <v/>
      </c>
      <c r="AD3891" t="str">
        <f>IF(A3891="","",IF(AC3891&gt;1,"REVISAR DUPLICADO",IF(AA3891&lt;&gt;"","ACTUALIZADO POR EYR","SIN REPORTE EYR")))</f>
        <v/>
      </c>
    </row>
    <row r="3892" spans="11:30" x14ac:dyDescent="0.3">
      <c r="K3892" s="1" t="str">
        <f ca="1">IF(A3892="","",IF(OR(L3892="ENTREGADA",L3892="RETORNADA",L3892="ENTREGA DIGITAL"),0,MAX(0,5-NETWORKDAYS(H3892+1,TODAY()))))</f>
        <v/>
      </c>
      <c r="L3892" t="str">
        <f>IF(A3892="","",IFERROR(LOOKUP(2,1/(#REF!=Z3892),#REF!),Y3892))</f>
        <v/>
      </c>
      <c r="Z3892" t="str">
        <f>IF(A3892="","",TEXT(A3892,"0")&amp;"|"&amp;TEXT(H3892,"0"))</f>
        <v/>
      </c>
      <c r="AA3892" t="str">
        <f>IF(Z3892="","",IFERROR(LOOKUP(2,1/(#REF!=Z3892),#REF!),""))</f>
        <v/>
      </c>
      <c r="AB3892" t="str">
        <f>IF(Z3892="","",IFERROR(LOOKUP(2,1/(#REF!=Z3892),#REF!),""))</f>
        <v/>
      </c>
      <c r="AC3892" t="str">
        <f>IF(Z3892="","",COUNTIF(#REF!,Z3892))</f>
        <v/>
      </c>
      <c r="AD3892" t="str">
        <f>IF(A3892="","",IF(AC3892&gt;1,"REVISAR DUPLICADO",IF(AA3892&lt;&gt;"","ACTUALIZADO POR EYR","SIN REPORTE EYR")))</f>
        <v/>
      </c>
    </row>
    <row r="3893" spans="11:30" x14ac:dyDescent="0.3">
      <c r="K3893" s="1" t="str">
        <f ca="1">IF(A3893="","",IF(OR(L3893="ENTREGADA",L3893="RETORNADA",L3893="ENTREGA DIGITAL"),0,MAX(0,5-NETWORKDAYS(H3893+1,TODAY()))))</f>
        <v/>
      </c>
      <c r="L3893" t="str">
        <f>IF(A3893="","",IFERROR(LOOKUP(2,1/(#REF!=Z3893),#REF!),Y3893))</f>
        <v/>
      </c>
      <c r="Z3893" t="str">
        <f>IF(A3893="","",TEXT(A3893,"0")&amp;"|"&amp;TEXT(H3893,"0"))</f>
        <v/>
      </c>
      <c r="AA3893" t="str">
        <f>IF(Z3893="","",IFERROR(LOOKUP(2,1/(#REF!=Z3893),#REF!),""))</f>
        <v/>
      </c>
      <c r="AB3893" t="str">
        <f>IF(Z3893="","",IFERROR(LOOKUP(2,1/(#REF!=Z3893),#REF!),""))</f>
        <v/>
      </c>
      <c r="AC3893" t="str">
        <f>IF(Z3893="","",COUNTIF(#REF!,Z3893))</f>
        <v/>
      </c>
      <c r="AD3893" t="str">
        <f>IF(A3893="","",IF(AC3893&gt;1,"REVISAR DUPLICADO",IF(AA3893&lt;&gt;"","ACTUALIZADO POR EYR","SIN REPORTE EYR")))</f>
        <v/>
      </c>
    </row>
    <row r="3894" spans="11:30" x14ac:dyDescent="0.3">
      <c r="K3894" s="1" t="str">
        <f ca="1">IF(A3894="","",IF(OR(L3894="ENTREGADA",L3894="RETORNADA",L3894="ENTREGA DIGITAL"),0,MAX(0,5-NETWORKDAYS(H3894+1,TODAY()))))</f>
        <v/>
      </c>
      <c r="L3894" t="str">
        <f>IF(A3894="","",IFERROR(LOOKUP(2,1/(#REF!=Z3894),#REF!),Y3894))</f>
        <v/>
      </c>
      <c r="Z3894" t="str">
        <f>IF(A3894="","",TEXT(A3894,"0")&amp;"|"&amp;TEXT(H3894,"0"))</f>
        <v/>
      </c>
      <c r="AA3894" t="str">
        <f>IF(Z3894="","",IFERROR(LOOKUP(2,1/(#REF!=Z3894),#REF!),""))</f>
        <v/>
      </c>
      <c r="AB3894" t="str">
        <f>IF(Z3894="","",IFERROR(LOOKUP(2,1/(#REF!=Z3894),#REF!),""))</f>
        <v/>
      </c>
      <c r="AC3894" t="str">
        <f>IF(Z3894="","",COUNTIF(#REF!,Z3894))</f>
        <v/>
      </c>
      <c r="AD3894" t="str">
        <f>IF(A3894="","",IF(AC3894&gt;1,"REVISAR DUPLICADO",IF(AA3894&lt;&gt;"","ACTUALIZADO POR EYR","SIN REPORTE EYR")))</f>
        <v/>
      </c>
    </row>
    <row r="3895" spans="11:30" x14ac:dyDescent="0.3">
      <c r="K3895" s="1" t="str">
        <f ca="1">IF(A3895="","",IF(OR(L3895="ENTREGADA",L3895="RETORNADA",L3895="ENTREGA DIGITAL"),0,MAX(0,5-NETWORKDAYS(H3895+1,TODAY()))))</f>
        <v/>
      </c>
      <c r="L3895" t="str">
        <f>IF(A3895="","",IFERROR(LOOKUP(2,1/(#REF!=Z3895),#REF!),Y3895))</f>
        <v/>
      </c>
      <c r="Z3895" t="str">
        <f>IF(A3895="","",TEXT(A3895,"0")&amp;"|"&amp;TEXT(H3895,"0"))</f>
        <v/>
      </c>
      <c r="AA3895" t="str">
        <f>IF(Z3895="","",IFERROR(LOOKUP(2,1/(#REF!=Z3895),#REF!),""))</f>
        <v/>
      </c>
      <c r="AB3895" t="str">
        <f>IF(Z3895="","",IFERROR(LOOKUP(2,1/(#REF!=Z3895),#REF!),""))</f>
        <v/>
      </c>
      <c r="AC3895" t="str">
        <f>IF(Z3895="","",COUNTIF(#REF!,Z3895))</f>
        <v/>
      </c>
      <c r="AD3895" t="str">
        <f>IF(A3895="","",IF(AC3895&gt;1,"REVISAR DUPLICADO",IF(AA3895&lt;&gt;"","ACTUALIZADO POR EYR","SIN REPORTE EYR")))</f>
        <v/>
      </c>
    </row>
    <row r="3896" spans="11:30" x14ac:dyDescent="0.3">
      <c r="K3896" s="1" t="str">
        <f ca="1">IF(A3896="","",IF(OR(L3896="ENTREGADA",L3896="RETORNADA",L3896="ENTREGA DIGITAL"),0,MAX(0,5-NETWORKDAYS(H3896+1,TODAY()))))</f>
        <v/>
      </c>
      <c r="L3896" t="str">
        <f>IF(A3896="","",IFERROR(LOOKUP(2,1/(#REF!=Z3896),#REF!),Y3896))</f>
        <v/>
      </c>
      <c r="Z3896" t="str">
        <f>IF(A3896="","",TEXT(A3896,"0")&amp;"|"&amp;TEXT(H3896,"0"))</f>
        <v/>
      </c>
      <c r="AA3896" t="str">
        <f>IF(Z3896="","",IFERROR(LOOKUP(2,1/(#REF!=Z3896),#REF!),""))</f>
        <v/>
      </c>
      <c r="AB3896" t="str">
        <f>IF(Z3896="","",IFERROR(LOOKUP(2,1/(#REF!=Z3896),#REF!),""))</f>
        <v/>
      </c>
      <c r="AC3896" t="str">
        <f>IF(Z3896="","",COUNTIF(#REF!,Z3896))</f>
        <v/>
      </c>
      <c r="AD3896" t="str">
        <f>IF(A3896="","",IF(AC3896&gt;1,"REVISAR DUPLICADO",IF(AA3896&lt;&gt;"","ACTUALIZADO POR EYR","SIN REPORTE EYR")))</f>
        <v/>
      </c>
    </row>
    <row r="3897" spans="11:30" x14ac:dyDescent="0.3">
      <c r="K3897" s="1" t="str">
        <f ca="1">IF(A3897="","",IF(OR(L3897="ENTREGADA",L3897="RETORNADA",L3897="ENTREGA DIGITAL"),0,MAX(0,5-NETWORKDAYS(H3897+1,TODAY()))))</f>
        <v/>
      </c>
      <c r="L3897" t="str">
        <f>IF(A3897="","",IFERROR(LOOKUP(2,1/(#REF!=Z3897),#REF!),Y3897))</f>
        <v/>
      </c>
      <c r="Z3897" t="str">
        <f>IF(A3897="","",TEXT(A3897,"0")&amp;"|"&amp;TEXT(H3897,"0"))</f>
        <v/>
      </c>
      <c r="AA3897" t="str">
        <f>IF(Z3897="","",IFERROR(LOOKUP(2,1/(#REF!=Z3897),#REF!),""))</f>
        <v/>
      </c>
      <c r="AB3897" t="str">
        <f>IF(Z3897="","",IFERROR(LOOKUP(2,1/(#REF!=Z3897),#REF!),""))</f>
        <v/>
      </c>
      <c r="AC3897" t="str">
        <f>IF(Z3897="","",COUNTIF(#REF!,Z3897))</f>
        <v/>
      </c>
      <c r="AD3897" t="str">
        <f>IF(A3897="","",IF(AC3897&gt;1,"REVISAR DUPLICADO",IF(AA3897&lt;&gt;"","ACTUALIZADO POR EYR","SIN REPORTE EYR")))</f>
        <v/>
      </c>
    </row>
    <row r="3898" spans="11:30" x14ac:dyDescent="0.3">
      <c r="K3898" s="1" t="str">
        <f ca="1">IF(A3898="","",IF(OR(L3898="ENTREGADA",L3898="RETORNADA",L3898="ENTREGA DIGITAL"),0,MAX(0,5-NETWORKDAYS(H3898+1,TODAY()))))</f>
        <v/>
      </c>
      <c r="L3898" t="str">
        <f>IF(A3898="","",IFERROR(LOOKUP(2,1/(#REF!=Z3898),#REF!),Y3898))</f>
        <v/>
      </c>
      <c r="Z3898" t="str">
        <f>IF(A3898="","",TEXT(A3898,"0")&amp;"|"&amp;TEXT(H3898,"0"))</f>
        <v/>
      </c>
      <c r="AA3898" t="str">
        <f>IF(Z3898="","",IFERROR(LOOKUP(2,1/(#REF!=Z3898),#REF!),""))</f>
        <v/>
      </c>
      <c r="AB3898" t="str">
        <f>IF(Z3898="","",IFERROR(LOOKUP(2,1/(#REF!=Z3898),#REF!),""))</f>
        <v/>
      </c>
      <c r="AC3898" t="str">
        <f>IF(Z3898="","",COUNTIF(#REF!,Z3898))</f>
        <v/>
      </c>
      <c r="AD3898" t="str">
        <f>IF(A3898="","",IF(AC3898&gt;1,"REVISAR DUPLICADO",IF(AA3898&lt;&gt;"","ACTUALIZADO POR EYR","SIN REPORTE EYR")))</f>
        <v/>
      </c>
    </row>
    <row r="3899" spans="11:30" x14ac:dyDescent="0.3">
      <c r="K3899" s="1" t="str">
        <f ca="1">IF(A3899="","",IF(OR(L3899="ENTREGADA",L3899="RETORNADA",L3899="ENTREGA DIGITAL"),0,MAX(0,5-NETWORKDAYS(H3899+1,TODAY()))))</f>
        <v/>
      </c>
      <c r="L3899" t="str">
        <f>IF(A3899="","",IFERROR(LOOKUP(2,1/(#REF!=Z3899),#REF!),Y3899))</f>
        <v/>
      </c>
      <c r="Z3899" t="str">
        <f>IF(A3899="","",TEXT(A3899,"0")&amp;"|"&amp;TEXT(H3899,"0"))</f>
        <v/>
      </c>
      <c r="AA3899" t="str">
        <f>IF(Z3899="","",IFERROR(LOOKUP(2,1/(#REF!=Z3899),#REF!),""))</f>
        <v/>
      </c>
      <c r="AB3899" t="str">
        <f>IF(Z3899="","",IFERROR(LOOKUP(2,1/(#REF!=Z3899),#REF!),""))</f>
        <v/>
      </c>
      <c r="AC3899" t="str">
        <f>IF(Z3899="","",COUNTIF(#REF!,Z3899))</f>
        <v/>
      </c>
      <c r="AD3899" t="str">
        <f>IF(A3899="","",IF(AC3899&gt;1,"REVISAR DUPLICADO",IF(AA3899&lt;&gt;"","ACTUALIZADO POR EYR","SIN REPORTE EYR")))</f>
        <v/>
      </c>
    </row>
    <row r="3900" spans="11:30" x14ac:dyDescent="0.3">
      <c r="K3900" s="1" t="str">
        <f ca="1">IF(A3900="","",IF(OR(L3900="ENTREGADA",L3900="RETORNADA",L3900="ENTREGA DIGITAL"),0,MAX(0,5-NETWORKDAYS(H3900+1,TODAY()))))</f>
        <v/>
      </c>
      <c r="L3900" t="str">
        <f>IF(A3900="","",IFERROR(LOOKUP(2,1/(#REF!=Z3900),#REF!),Y3900))</f>
        <v/>
      </c>
      <c r="Z3900" t="str">
        <f>IF(A3900="","",TEXT(A3900,"0")&amp;"|"&amp;TEXT(H3900,"0"))</f>
        <v/>
      </c>
      <c r="AA3900" t="str">
        <f>IF(Z3900="","",IFERROR(LOOKUP(2,1/(#REF!=Z3900),#REF!),""))</f>
        <v/>
      </c>
      <c r="AB3900" t="str">
        <f>IF(Z3900="","",IFERROR(LOOKUP(2,1/(#REF!=Z3900),#REF!),""))</f>
        <v/>
      </c>
      <c r="AC3900" t="str">
        <f>IF(Z3900="","",COUNTIF(#REF!,Z3900))</f>
        <v/>
      </c>
      <c r="AD3900" t="str">
        <f>IF(A3900="","",IF(AC3900&gt;1,"REVISAR DUPLICADO",IF(AA3900&lt;&gt;"","ACTUALIZADO POR EYR","SIN REPORTE EYR")))</f>
        <v/>
      </c>
    </row>
    <row r="3901" spans="11:30" x14ac:dyDescent="0.3">
      <c r="K3901" s="1" t="str">
        <f ca="1">IF(A3901="","",IF(OR(L3901="ENTREGADA",L3901="RETORNADA",L3901="ENTREGA DIGITAL"),0,MAX(0,5-NETWORKDAYS(H3901+1,TODAY()))))</f>
        <v/>
      </c>
      <c r="L3901" t="str">
        <f>IF(A3901="","",IFERROR(LOOKUP(2,1/(#REF!=Z3901),#REF!),Y3901))</f>
        <v/>
      </c>
      <c r="Z3901" t="str">
        <f>IF(A3901="","",TEXT(A3901,"0")&amp;"|"&amp;TEXT(H3901,"0"))</f>
        <v/>
      </c>
      <c r="AA3901" t="str">
        <f>IF(Z3901="","",IFERROR(LOOKUP(2,1/(#REF!=Z3901),#REF!),""))</f>
        <v/>
      </c>
      <c r="AB3901" t="str">
        <f>IF(Z3901="","",IFERROR(LOOKUP(2,1/(#REF!=Z3901),#REF!),""))</f>
        <v/>
      </c>
      <c r="AC3901" t="str">
        <f>IF(Z3901="","",COUNTIF(#REF!,Z3901))</f>
        <v/>
      </c>
      <c r="AD3901" t="str">
        <f>IF(A3901="","",IF(AC3901&gt;1,"REVISAR DUPLICADO",IF(AA3901&lt;&gt;"","ACTUALIZADO POR EYR","SIN REPORTE EYR")))</f>
        <v/>
      </c>
    </row>
    <row r="3902" spans="11:30" x14ac:dyDescent="0.3">
      <c r="K3902" s="1" t="str">
        <f ca="1">IF(A3902="","",IF(OR(L3902="ENTREGADA",L3902="RETORNADA",L3902="ENTREGA DIGITAL"),0,MAX(0,5-NETWORKDAYS(H3902+1,TODAY()))))</f>
        <v/>
      </c>
      <c r="L3902" t="str">
        <f>IF(A3902="","",IFERROR(LOOKUP(2,1/(#REF!=Z3902),#REF!),Y3902))</f>
        <v/>
      </c>
      <c r="Z3902" t="str">
        <f>IF(A3902="","",TEXT(A3902,"0")&amp;"|"&amp;TEXT(H3902,"0"))</f>
        <v/>
      </c>
      <c r="AA3902" t="str">
        <f>IF(Z3902="","",IFERROR(LOOKUP(2,1/(#REF!=Z3902),#REF!),""))</f>
        <v/>
      </c>
      <c r="AB3902" t="str">
        <f>IF(Z3902="","",IFERROR(LOOKUP(2,1/(#REF!=Z3902),#REF!),""))</f>
        <v/>
      </c>
      <c r="AC3902" t="str">
        <f>IF(Z3902="","",COUNTIF(#REF!,Z3902))</f>
        <v/>
      </c>
      <c r="AD3902" t="str">
        <f>IF(A3902="","",IF(AC3902&gt;1,"REVISAR DUPLICADO",IF(AA3902&lt;&gt;"","ACTUALIZADO POR EYR","SIN REPORTE EYR")))</f>
        <v/>
      </c>
    </row>
    <row r="3903" spans="11:30" x14ac:dyDescent="0.3">
      <c r="K3903" s="1" t="str">
        <f ca="1">IF(A3903="","",IF(OR(L3903="ENTREGADA",L3903="RETORNADA",L3903="ENTREGA DIGITAL"),0,MAX(0,5-NETWORKDAYS(H3903+1,TODAY()))))</f>
        <v/>
      </c>
      <c r="L3903" t="str">
        <f>IF(A3903="","",IFERROR(LOOKUP(2,1/(#REF!=Z3903),#REF!),Y3903))</f>
        <v/>
      </c>
      <c r="Z3903" t="str">
        <f>IF(A3903="","",TEXT(A3903,"0")&amp;"|"&amp;TEXT(H3903,"0"))</f>
        <v/>
      </c>
      <c r="AA3903" t="str">
        <f>IF(Z3903="","",IFERROR(LOOKUP(2,1/(#REF!=Z3903),#REF!),""))</f>
        <v/>
      </c>
      <c r="AB3903" t="str">
        <f>IF(Z3903="","",IFERROR(LOOKUP(2,1/(#REF!=Z3903),#REF!),""))</f>
        <v/>
      </c>
      <c r="AC3903" t="str">
        <f>IF(Z3903="","",COUNTIF(#REF!,Z3903))</f>
        <v/>
      </c>
      <c r="AD3903" t="str">
        <f>IF(A3903="","",IF(AC3903&gt;1,"REVISAR DUPLICADO",IF(AA3903&lt;&gt;"","ACTUALIZADO POR EYR","SIN REPORTE EYR")))</f>
        <v/>
      </c>
    </row>
    <row r="3904" spans="11:30" x14ac:dyDescent="0.3">
      <c r="K3904" s="1" t="str">
        <f ca="1">IF(A3904="","",IF(OR(L3904="ENTREGADA",L3904="RETORNADA",L3904="ENTREGA DIGITAL"),0,MAX(0,5-NETWORKDAYS(H3904+1,TODAY()))))</f>
        <v/>
      </c>
      <c r="L3904" t="str">
        <f>IF(A3904="","",IFERROR(LOOKUP(2,1/(#REF!=Z3904),#REF!),Y3904))</f>
        <v/>
      </c>
      <c r="Z3904" t="str">
        <f>IF(A3904="","",TEXT(A3904,"0")&amp;"|"&amp;TEXT(H3904,"0"))</f>
        <v/>
      </c>
      <c r="AA3904" t="str">
        <f>IF(Z3904="","",IFERROR(LOOKUP(2,1/(#REF!=Z3904),#REF!),""))</f>
        <v/>
      </c>
      <c r="AB3904" t="str">
        <f>IF(Z3904="","",IFERROR(LOOKUP(2,1/(#REF!=Z3904),#REF!),""))</f>
        <v/>
      </c>
      <c r="AC3904" t="str">
        <f>IF(Z3904="","",COUNTIF(#REF!,Z3904))</f>
        <v/>
      </c>
      <c r="AD3904" t="str">
        <f>IF(A3904="","",IF(AC3904&gt;1,"REVISAR DUPLICADO",IF(AA3904&lt;&gt;"","ACTUALIZADO POR EYR","SIN REPORTE EYR")))</f>
        <v/>
      </c>
    </row>
    <row r="3905" spans="11:30" x14ac:dyDescent="0.3">
      <c r="K3905" s="1" t="str">
        <f ca="1">IF(A3905="","",IF(OR(L3905="ENTREGADA",L3905="RETORNADA",L3905="ENTREGA DIGITAL"),0,MAX(0,5-NETWORKDAYS(H3905+1,TODAY()))))</f>
        <v/>
      </c>
      <c r="L3905" t="str">
        <f>IF(A3905="","",IFERROR(LOOKUP(2,1/(#REF!=Z3905),#REF!),Y3905))</f>
        <v/>
      </c>
      <c r="Z3905" t="str">
        <f>IF(A3905="","",TEXT(A3905,"0")&amp;"|"&amp;TEXT(H3905,"0"))</f>
        <v/>
      </c>
      <c r="AA3905" t="str">
        <f>IF(Z3905="","",IFERROR(LOOKUP(2,1/(#REF!=Z3905),#REF!),""))</f>
        <v/>
      </c>
      <c r="AB3905" t="str">
        <f>IF(Z3905="","",IFERROR(LOOKUP(2,1/(#REF!=Z3905),#REF!),""))</f>
        <v/>
      </c>
      <c r="AC3905" t="str">
        <f>IF(Z3905="","",COUNTIF(#REF!,Z3905))</f>
        <v/>
      </c>
      <c r="AD3905" t="str">
        <f>IF(A3905="","",IF(AC3905&gt;1,"REVISAR DUPLICADO",IF(AA3905&lt;&gt;"","ACTUALIZADO POR EYR","SIN REPORTE EYR")))</f>
        <v/>
      </c>
    </row>
    <row r="3906" spans="11:30" x14ac:dyDescent="0.3">
      <c r="K3906" s="1" t="str">
        <f ca="1">IF(A3906="","",IF(OR(L3906="ENTREGADA",L3906="RETORNADA",L3906="ENTREGA DIGITAL"),0,MAX(0,5-NETWORKDAYS(H3906+1,TODAY()))))</f>
        <v/>
      </c>
      <c r="L3906" t="str">
        <f>IF(A3906="","",IFERROR(LOOKUP(2,1/(#REF!=Z3906),#REF!),Y3906))</f>
        <v/>
      </c>
      <c r="Z3906" t="str">
        <f>IF(A3906="","",TEXT(A3906,"0")&amp;"|"&amp;TEXT(H3906,"0"))</f>
        <v/>
      </c>
      <c r="AA3906" t="str">
        <f>IF(Z3906="","",IFERROR(LOOKUP(2,1/(#REF!=Z3906),#REF!),""))</f>
        <v/>
      </c>
      <c r="AB3906" t="str">
        <f>IF(Z3906="","",IFERROR(LOOKUP(2,1/(#REF!=Z3906),#REF!),""))</f>
        <v/>
      </c>
      <c r="AC3906" t="str">
        <f>IF(Z3906="","",COUNTIF(#REF!,Z3906))</f>
        <v/>
      </c>
      <c r="AD3906" t="str">
        <f>IF(A3906="","",IF(AC3906&gt;1,"REVISAR DUPLICADO",IF(AA3906&lt;&gt;"","ACTUALIZADO POR EYR","SIN REPORTE EYR")))</f>
        <v/>
      </c>
    </row>
    <row r="3907" spans="11:30" x14ac:dyDescent="0.3">
      <c r="K3907" s="1" t="str">
        <f ca="1">IF(A3907="","",IF(OR(L3907="ENTREGADA",L3907="RETORNADA",L3907="ENTREGA DIGITAL"),0,MAX(0,5-NETWORKDAYS(H3907+1,TODAY()))))</f>
        <v/>
      </c>
      <c r="L3907" t="str">
        <f>IF(A3907="","",IFERROR(LOOKUP(2,1/(#REF!=Z3907),#REF!),Y3907))</f>
        <v/>
      </c>
      <c r="Z3907" t="str">
        <f>IF(A3907="","",TEXT(A3907,"0")&amp;"|"&amp;TEXT(H3907,"0"))</f>
        <v/>
      </c>
      <c r="AA3907" t="str">
        <f>IF(Z3907="","",IFERROR(LOOKUP(2,1/(#REF!=Z3907),#REF!),""))</f>
        <v/>
      </c>
      <c r="AB3907" t="str">
        <f>IF(Z3907="","",IFERROR(LOOKUP(2,1/(#REF!=Z3907),#REF!),""))</f>
        <v/>
      </c>
      <c r="AC3907" t="str">
        <f>IF(Z3907="","",COUNTIF(#REF!,Z3907))</f>
        <v/>
      </c>
      <c r="AD3907" t="str">
        <f>IF(A3907="","",IF(AC3907&gt;1,"REVISAR DUPLICADO",IF(AA3907&lt;&gt;"","ACTUALIZADO POR EYR","SIN REPORTE EYR")))</f>
        <v/>
      </c>
    </row>
    <row r="3908" spans="11:30" x14ac:dyDescent="0.3">
      <c r="K3908" s="1" t="str">
        <f ca="1">IF(A3908="","",IF(OR(L3908="ENTREGADA",L3908="RETORNADA",L3908="ENTREGA DIGITAL"),0,MAX(0,5-NETWORKDAYS(H3908+1,TODAY()))))</f>
        <v/>
      </c>
      <c r="L3908" t="str">
        <f>IF(A3908="","",IFERROR(LOOKUP(2,1/(#REF!=Z3908),#REF!),Y3908))</f>
        <v/>
      </c>
      <c r="Z3908" t="str">
        <f>IF(A3908="","",TEXT(A3908,"0")&amp;"|"&amp;TEXT(H3908,"0"))</f>
        <v/>
      </c>
      <c r="AA3908" t="str">
        <f>IF(Z3908="","",IFERROR(LOOKUP(2,1/(#REF!=Z3908),#REF!),""))</f>
        <v/>
      </c>
      <c r="AB3908" t="str">
        <f>IF(Z3908="","",IFERROR(LOOKUP(2,1/(#REF!=Z3908),#REF!),""))</f>
        <v/>
      </c>
      <c r="AC3908" t="str">
        <f>IF(Z3908="","",COUNTIF(#REF!,Z3908))</f>
        <v/>
      </c>
      <c r="AD3908" t="str">
        <f>IF(A3908="","",IF(AC3908&gt;1,"REVISAR DUPLICADO",IF(AA3908&lt;&gt;"","ACTUALIZADO POR EYR","SIN REPORTE EYR")))</f>
        <v/>
      </c>
    </row>
    <row r="3909" spans="11:30" x14ac:dyDescent="0.3">
      <c r="K3909" s="1" t="str">
        <f ca="1">IF(A3909="","",IF(OR(L3909="ENTREGADA",L3909="RETORNADA",L3909="ENTREGA DIGITAL"),0,MAX(0,5-NETWORKDAYS(H3909+1,TODAY()))))</f>
        <v/>
      </c>
      <c r="L3909" t="str">
        <f>IF(A3909="","",IFERROR(LOOKUP(2,1/(#REF!=Z3909),#REF!),Y3909))</f>
        <v/>
      </c>
      <c r="Z3909" t="str">
        <f>IF(A3909="","",TEXT(A3909,"0")&amp;"|"&amp;TEXT(H3909,"0"))</f>
        <v/>
      </c>
      <c r="AA3909" t="str">
        <f>IF(Z3909="","",IFERROR(LOOKUP(2,1/(#REF!=Z3909),#REF!),""))</f>
        <v/>
      </c>
      <c r="AB3909" t="str">
        <f>IF(Z3909="","",IFERROR(LOOKUP(2,1/(#REF!=Z3909),#REF!),""))</f>
        <v/>
      </c>
      <c r="AC3909" t="str">
        <f>IF(Z3909="","",COUNTIF(#REF!,Z3909))</f>
        <v/>
      </c>
      <c r="AD3909" t="str">
        <f>IF(A3909="","",IF(AC3909&gt;1,"REVISAR DUPLICADO",IF(AA3909&lt;&gt;"","ACTUALIZADO POR EYR","SIN REPORTE EYR")))</f>
        <v/>
      </c>
    </row>
    <row r="3910" spans="11:30" x14ac:dyDescent="0.3">
      <c r="K3910" s="1" t="str">
        <f ca="1">IF(A3910="","",IF(OR(L3910="ENTREGADA",L3910="RETORNADA",L3910="ENTREGA DIGITAL"),0,MAX(0,5-NETWORKDAYS(H3910+1,TODAY()))))</f>
        <v/>
      </c>
      <c r="L3910" t="str">
        <f>IF(A3910="","",IFERROR(LOOKUP(2,1/(#REF!=Z3910),#REF!),Y3910))</f>
        <v/>
      </c>
      <c r="Z3910" t="str">
        <f>IF(A3910="","",TEXT(A3910,"0")&amp;"|"&amp;TEXT(H3910,"0"))</f>
        <v/>
      </c>
      <c r="AA3910" t="str">
        <f>IF(Z3910="","",IFERROR(LOOKUP(2,1/(#REF!=Z3910),#REF!),""))</f>
        <v/>
      </c>
      <c r="AB3910" t="str">
        <f>IF(Z3910="","",IFERROR(LOOKUP(2,1/(#REF!=Z3910),#REF!),""))</f>
        <v/>
      </c>
      <c r="AC3910" t="str">
        <f>IF(Z3910="","",COUNTIF(#REF!,Z3910))</f>
        <v/>
      </c>
      <c r="AD3910" t="str">
        <f>IF(A3910="","",IF(AC3910&gt;1,"REVISAR DUPLICADO",IF(AA3910&lt;&gt;"","ACTUALIZADO POR EYR","SIN REPORTE EYR")))</f>
        <v/>
      </c>
    </row>
    <row r="3911" spans="11:30" x14ac:dyDescent="0.3">
      <c r="K3911" s="1" t="str">
        <f ca="1">IF(A3911="","",IF(OR(L3911="ENTREGADA",L3911="RETORNADA",L3911="ENTREGA DIGITAL"),0,MAX(0,5-NETWORKDAYS(H3911+1,TODAY()))))</f>
        <v/>
      </c>
      <c r="L3911" t="str">
        <f>IF(A3911="","",IFERROR(LOOKUP(2,1/(#REF!=Z3911),#REF!),Y3911))</f>
        <v/>
      </c>
      <c r="Z3911" t="str">
        <f>IF(A3911="","",TEXT(A3911,"0")&amp;"|"&amp;TEXT(H3911,"0"))</f>
        <v/>
      </c>
      <c r="AA3911" t="str">
        <f>IF(Z3911="","",IFERROR(LOOKUP(2,1/(#REF!=Z3911),#REF!),""))</f>
        <v/>
      </c>
      <c r="AB3911" t="str">
        <f>IF(Z3911="","",IFERROR(LOOKUP(2,1/(#REF!=Z3911),#REF!),""))</f>
        <v/>
      </c>
      <c r="AC3911" t="str">
        <f>IF(Z3911="","",COUNTIF(#REF!,Z3911))</f>
        <v/>
      </c>
      <c r="AD3911" t="str">
        <f>IF(A3911="","",IF(AC3911&gt;1,"REVISAR DUPLICADO",IF(AA3911&lt;&gt;"","ACTUALIZADO POR EYR","SIN REPORTE EYR")))</f>
        <v/>
      </c>
    </row>
    <row r="3912" spans="11:30" x14ac:dyDescent="0.3">
      <c r="K3912" s="1" t="str">
        <f ca="1">IF(A3912="","",IF(OR(L3912="ENTREGADA",L3912="RETORNADA",L3912="ENTREGA DIGITAL"),0,MAX(0,5-NETWORKDAYS(H3912+1,TODAY()))))</f>
        <v/>
      </c>
      <c r="L3912" t="str">
        <f>IF(A3912="","",IFERROR(LOOKUP(2,1/(#REF!=Z3912),#REF!),Y3912))</f>
        <v/>
      </c>
      <c r="Z3912" t="str">
        <f>IF(A3912="","",TEXT(A3912,"0")&amp;"|"&amp;TEXT(H3912,"0"))</f>
        <v/>
      </c>
      <c r="AA3912" t="str">
        <f>IF(Z3912="","",IFERROR(LOOKUP(2,1/(#REF!=Z3912),#REF!),""))</f>
        <v/>
      </c>
      <c r="AB3912" t="str">
        <f>IF(Z3912="","",IFERROR(LOOKUP(2,1/(#REF!=Z3912),#REF!),""))</f>
        <v/>
      </c>
      <c r="AC3912" t="str">
        <f>IF(Z3912="","",COUNTIF(#REF!,Z3912))</f>
        <v/>
      </c>
      <c r="AD3912" t="str">
        <f>IF(A3912="","",IF(AC3912&gt;1,"REVISAR DUPLICADO",IF(AA3912&lt;&gt;"","ACTUALIZADO POR EYR","SIN REPORTE EYR")))</f>
        <v/>
      </c>
    </row>
    <row r="3913" spans="11:30" x14ac:dyDescent="0.3">
      <c r="K3913" s="1" t="str">
        <f ca="1">IF(A3913="","",IF(OR(L3913="ENTREGADA",L3913="RETORNADA",L3913="ENTREGA DIGITAL"),0,MAX(0,5-NETWORKDAYS(H3913+1,TODAY()))))</f>
        <v/>
      </c>
      <c r="L3913" t="str">
        <f>IF(A3913="","",IFERROR(LOOKUP(2,1/(#REF!=Z3913),#REF!),Y3913))</f>
        <v/>
      </c>
      <c r="Z3913" t="str">
        <f>IF(A3913="","",TEXT(A3913,"0")&amp;"|"&amp;TEXT(H3913,"0"))</f>
        <v/>
      </c>
      <c r="AA3913" t="str">
        <f>IF(Z3913="","",IFERROR(LOOKUP(2,1/(#REF!=Z3913),#REF!),""))</f>
        <v/>
      </c>
      <c r="AB3913" t="str">
        <f>IF(Z3913="","",IFERROR(LOOKUP(2,1/(#REF!=Z3913),#REF!),""))</f>
        <v/>
      </c>
      <c r="AC3913" t="str">
        <f>IF(Z3913="","",COUNTIF(#REF!,Z3913))</f>
        <v/>
      </c>
      <c r="AD3913" t="str">
        <f>IF(A3913="","",IF(AC3913&gt;1,"REVISAR DUPLICADO",IF(AA3913&lt;&gt;"","ACTUALIZADO POR EYR","SIN REPORTE EYR")))</f>
        <v/>
      </c>
    </row>
    <row r="3914" spans="11:30" x14ac:dyDescent="0.3">
      <c r="K3914" s="1" t="str">
        <f ca="1">IF(A3914="","",IF(OR(L3914="ENTREGADA",L3914="RETORNADA",L3914="ENTREGA DIGITAL"),0,MAX(0,5-NETWORKDAYS(H3914+1,TODAY()))))</f>
        <v/>
      </c>
      <c r="L3914" t="str">
        <f>IF(A3914="","",IFERROR(LOOKUP(2,1/(#REF!=Z3914),#REF!),Y3914))</f>
        <v/>
      </c>
      <c r="Z3914" t="str">
        <f>IF(A3914="","",TEXT(A3914,"0")&amp;"|"&amp;TEXT(H3914,"0"))</f>
        <v/>
      </c>
      <c r="AA3914" t="str">
        <f>IF(Z3914="","",IFERROR(LOOKUP(2,1/(#REF!=Z3914),#REF!),""))</f>
        <v/>
      </c>
      <c r="AB3914" t="str">
        <f>IF(Z3914="","",IFERROR(LOOKUP(2,1/(#REF!=Z3914),#REF!),""))</f>
        <v/>
      </c>
      <c r="AC3914" t="str">
        <f>IF(Z3914="","",COUNTIF(#REF!,Z3914))</f>
        <v/>
      </c>
      <c r="AD3914" t="str">
        <f>IF(A3914="","",IF(AC3914&gt;1,"REVISAR DUPLICADO",IF(AA3914&lt;&gt;"","ACTUALIZADO POR EYR","SIN REPORTE EYR")))</f>
        <v/>
      </c>
    </row>
    <row r="3915" spans="11:30" x14ac:dyDescent="0.3">
      <c r="K3915" s="1" t="str">
        <f ca="1">IF(A3915="","",IF(OR(L3915="ENTREGADA",L3915="RETORNADA",L3915="ENTREGA DIGITAL"),0,MAX(0,5-NETWORKDAYS(H3915+1,TODAY()))))</f>
        <v/>
      </c>
      <c r="L3915" t="str">
        <f>IF(A3915="","",IFERROR(LOOKUP(2,1/(#REF!=Z3915),#REF!),Y3915))</f>
        <v/>
      </c>
      <c r="Z3915" t="str">
        <f>IF(A3915="","",TEXT(A3915,"0")&amp;"|"&amp;TEXT(H3915,"0"))</f>
        <v/>
      </c>
      <c r="AA3915" t="str">
        <f>IF(Z3915="","",IFERROR(LOOKUP(2,1/(#REF!=Z3915),#REF!),""))</f>
        <v/>
      </c>
      <c r="AB3915" t="str">
        <f>IF(Z3915="","",IFERROR(LOOKUP(2,1/(#REF!=Z3915),#REF!),""))</f>
        <v/>
      </c>
      <c r="AC3915" t="str">
        <f>IF(Z3915="","",COUNTIF(#REF!,Z3915))</f>
        <v/>
      </c>
      <c r="AD3915" t="str">
        <f>IF(A3915="","",IF(AC3915&gt;1,"REVISAR DUPLICADO",IF(AA3915&lt;&gt;"","ACTUALIZADO POR EYR","SIN REPORTE EYR")))</f>
        <v/>
      </c>
    </row>
    <row r="3916" spans="11:30" x14ac:dyDescent="0.3">
      <c r="K3916" s="1" t="str">
        <f ca="1">IF(A3916="","",IF(OR(L3916="ENTREGADA",L3916="RETORNADA",L3916="ENTREGA DIGITAL"),0,MAX(0,5-NETWORKDAYS(H3916+1,TODAY()))))</f>
        <v/>
      </c>
      <c r="L3916" t="str">
        <f>IF(A3916="","",IFERROR(LOOKUP(2,1/(#REF!=Z3916),#REF!),Y3916))</f>
        <v/>
      </c>
      <c r="Z3916" t="str">
        <f>IF(A3916="","",TEXT(A3916,"0")&amp;"|"&amp;TEXT(H3916,"0"))</f>
        <v/>
      </c>
      <c r="AA3916" t="str">
        <f>IF(Z3916="","",IFERROR(LOOKUP(2,1/(#REF!=Z3916),#REF!),""))</f>
        <v/>
      </c>
      <c r="AB3916" t="str">
        <f>IF(Z3916="","",IFERROR(LOOKUP(2,1/(#REF!=Z3916),#REF!),""))</f>
        <v/>
      </c>
      <c r="AC3916" t="str">
        <f>IF(Z3916="","",COUNTIF(#REF!,Z3916))</f>
        <v/>
      </c>
      <c r="AD3916" t="str">
        <f>IF(A3916="","",IF(AC3916&gt;1,"REVISAR DUPLICADO",IF(AA3916&lt;&gt;"","ACTUALIZADO POR EYR","SIN REPORTE EYR")))</f>
        <v/>
      </c>
    </row>
    <row r="3917" spans="11:30" x14ac:dyDescent="0.3">
      <c r="K3917" s="1" t="str">
        <f ca="1">IF(A3917="","",IF(OR(L3917="ENTREGADA",L3917="RETORNADA",L3917="ENTREGA DIGITAL"),0,MAX(0,5-NETWORKDAYS(H3917+1,TODAY()))))</f>
        <v/>
      </c>
      <c r="L3917" t="str">
        <f>IF(A3917="","",IFERROR(LOOKUP(2,1/(#REF!=Z3917),#REF!),Y3917))</f>
        <v/>
      </c>
      <c r="Z3917" t="str">
        <f>IF(A3917="","",TEXT(A3917,"0")&amp;"|"&amp;TEXT(H3917,"0"))</f>
        <v/>
      </c>
      <c r="AA3917" t="str">
        <f>IF(Z3917="","",IFERROR(LOOKUP(2,1/(#REF!=Z3917),#REF!),""))</f>
        <v/>
      </c>
      <c r="AB3917" t="str">
        <f>IF(Z3917="","",IFERROR(LOOKUP(2,1/(#REF!=Z3917),#REF!),""))</f>
        <v/>
      </c>
      <c r="AC3917" t="str">
        <f>IF(Z3917="","",COUNTIF(#REF!,Z3917))</f>
        <v/>
      </c>
      <c r="AD3917" t="str">
        <f>IF(A3917="","",IF(AC3917&gt;1,"REVISAR DUPLICADO",IF(AA3917&lt;&gt;"","ACTUALIZADO POR EYR","SIN REPORTE EYR")))</f>
        <v/>
      </c>
    </row>
    <row r="3918" spans="11:30" x14ac:dyDescent="0.3">
      <c r="K3918" s="1" t="str">
        <f ca="1">IF(A3918="","",IF(OR(L3918="ENTREGADA",L3918="RETORNADA",L3918="ENTREGA DIGITAL"),0,MAX(0,5-NETWORKDAYS(H3918+1,TODAY()))))</f>
        <v/>
      </c>
      <c r="L3918" t="str">
        <f>IF(A3918="","",IFERROR(LOOKUP(2,1/(#REF!=Z3918),#REF!),Y3918))</f>
        <v/>
      </c>
      <c r="Z3918" t="str">
        <f>IF(A3918="","",TEXT(A3918,"0")&amp;"|"&amp;TEXT(H3918,"0"))</f>
        <v/>
      </c>
      <c r="AA3918" t="str">
        <f>IF(Z3918="","",IFERROR(LOOKUP(2,1/(#REF!=Z3918),#REF!),""))</f>
        <v/>
      </c>
      <c r="AB3918" t="str">
        <f>IF(Z3918="","",IFERROR(LOOKUP(2,1/(#REF!=Z3918),#REF!),""))</f>
        <v/>
      </c>
      <c r="AC3918" t="str">
        <f>IF(Z3918="","",COUNTIF(#REF!,Z3918))</f>
        <v/>
      </c>
      <c r="AD3918" t="str">
        <f>IF(A3918="","",IF(AC3918&gt;1,"REVISAR DUPLICADO",IF(AA3918&lt;&gt;"","ACTUALIZADO POR EYR","SIN REPORTE EYR")))</f>
        <v/>
      </c>
    </row>
    <row r="3919" spans="11:30" x14ac:dyDescent="0.3">
      <c r="K3919" s="1" t="str">
        <f ca="1">IF(A3919="","",IF(OR(L3919="ENTREGADA",L3919="RETORNADA",L3919="ENTREGA DIGITAL"),0,MAX(0,5-NETWORKDAYS(H3919+1,TODAY()))))</f>
        <v/>
      </c>
      <c r="L3919" t="str">
        <f>IF(A3919="","",IFERROR(LOOKUP(2,1/(#REF!=Z3919),#REF!),Y3919))</f>
        <v/>
      </c>
      <c r="Z3919" t="str">
        <f>IF(A3919="","",TEXT(A3919,"0")&amp;"|"&amp;TEXT(H3919,"0"))</f>
        <v/>
      </c>
      <c r="AA3919" t="str">
        <f>IF(Z3919="","",IFERROR(LOOKUP(2,1/(#REF!=Z3919),#REF!),""))</f>
        <v/>
      </c>
      <c r="AB3919" t="str">
        <f>IF(Z3919="","",IFERROR(LOOKUP(2,1/(#REF!=Z3919),#REF!),""))</f>
        <v/>
      </c>
      <c r="AC3919" t="str">
        <f>IF(Z3919="","",COUNTIF(#REF!,Z3919))</f>
        <v/>
      </c>
      <c r="AD3919" t="str">
        <f>IF(A3919="","",IF(AC3919&gt;1,"REVISAR DUPLICADO",IF(AA3919&lt;&gt;"","ACTUALIZADO POR EYR","SIN REPORTE EYR")))</f>
        <v/>
      </c>
    </row>
    <row r="3920" spans="11:30" x14ac:dyDescent="0.3">
      <c r="K3920" s="1" t="str">
        <f ca="1">IF(A3920="","",IF(OR(L3920="ENTREGADA",L3920="RETORNADA",L3920="ENTREGA DIGITAL"),0,MAX(0,5-NETWORKDAYS(H3920+1,TODAY()))))</f>
        <v/>
      </c>
      <c r="L3920" t="str">
        <f>IF(A3920="","",IFERROR(LOOKUP(2,1/(#REF!=Z3920),#REF!),Y3920))</f>
        <v/>
      </c>
      <c r="Z3920" t="str">
        <f>IF(A3920="","",TEXT(A3920,"0")&amp;"|"&amp;TEXT(H3920,"0"))</f>
        <v/>
      </c>
      <c r="AA3920" t="str">
        <f>IF(Z3920="","",IFERROR(LOOKUP(2,1/(#REF!=Z3920),#REF!),""))</f>
        <v/>
      </c>
      <c r="AB3920" t="str">
        <f>IF(Z3920="","",IFERROR(LOOKUP(2,1/(#REF!=Z3920),#REF!),""))</f>
        <v/>
      </c>
      <c r="AC3920" t="str">
        <f>IF(Z3920="","",COUNTIF(#REF!,Z3920))</f>
        <v/>
      </c>
      <c r="AD3920" t="str">
        <f>IF(A3920="","",IF(AC3920&gt;1,"REVISAR DUPLICADO",IF(AA3920&lt;&gt;"","ACTUALIZADO POR EYR","SIN REPORTE EYR")))</f>
        <v/>
      </c>
    </row>
    <row r="3921" spans="11:30" x14ac:dyDescent="0.3">
      <c r="K3921" s="1" t="str">
        <f ca="1">IF(A3921="","",IF(OR(L3921="ENTREGADA",L3921="RETORNADA",L3921="ENTREGA DIGITAL"),0,MAX(0,5-NETWORKDAYS(H3921+1,TODAY()))))</f>
        <v/>
      </c>
      <c r="L3921" t="str">
        <f>IF(A3921="","",IFERROR(LOOKUP(2,1/(#REF!=Z3921),#REF!),Y3921))</f>
        <v/>
      </c>
      <c r="Z3921" t="str">
        <f>IF(A3921="","",TEXT(A3921,"0")&amp;"|"&amp;TEXT(H3921,"0"))</f>
        <v/>
      </c>
      <c r="AA3921" t="str">
        <f>IF(Z3921="","",IFERROR(LOOKUP(2,1/(#REF!=Z3921),#REF!),""))</f>
        <v/>
      </c>
      <c r="AB3921" t="str">
        <f>IF(Z3921="","",IFERROR(LOOKUP(2,1/(#REF!=Z3921),#REF!),""))</f>
        <v/>
      </c>
      <c r="AC3921" t="str">
        <f>IF(Z3921="","",COUNTIF(#REF!,Z3921))</f>
        <v/>
      </c>
      <c r="AD3921" t="str">
        <f>IF(A3921="","",IF(AC3921&gt;1,"REVISAR DUPLICADO",IF(AA3921&lt;&gt;"","ACTUALIZADO POR EYR","SIN REPORTE EYR")))</f>
        <v/>
      </c>
    </row>
    <row r="3922" spans="11:30" x14ac:dyDescent="0.3">
      <c r="K3922" s="1" t="str">
        <f ca="1">IF(A3922="","",IF(OR(L3922="ENTREGADA",L3922="RETORNADA",L3922="ENTREGA DIGITAL"),0,MAX(0,5-NETWORKDAYS(H3922+1,TODAY()))))</f>
        <v/>
      </c>
      <c r="L3922" t="str">
        <f>IF(A3922="","",IFERROR(LOOKUP(2,1/(#REF!=Z3922),#REF!),Y3922))</f>
        <v/>
      </c>
      <c r="Z3922" t="str">
        <f>IF(A3922="","",TEXT(A3922,"0")&amp;"|"&amp;TEXT(H3922,"0"))</f>
        <v/>
      </c>
      <c r="AA3922" t="str">
        <f>IF(Z3922="","",IFERROR(LOOKUP(2,1/(#REF!=Z3922),#REF!),""))</f>
        <v/>
      </c>
      <c r="AB3922" t="str">
        <f>IF(Z3922="","",IFERROR(LOOKUP(2,1/(#REF!=Z3922),#REF!),""))</f>
        <v/>
      </c>
      <c r="AC3922" t="str">
        <f>IF(Z3922="","",COUNTIF(#REF!,Z3922))</f>
        <v/>
      </c>
      <c r="AD3922" t="str">
        <f>IF(A3922="","",IF(AC3922&gt;1,"REVISAR DUPLICADO",IF(AA3922&lt;&gt;"","ACTUALIZADO POR EYR","SIN REPORTE EYR")))</f>
        <v/>
      </c>
    </row>
    <row r="3923" spans="11:30" x14ac:dyDescent="0.3">
      <c r="K3923" s="1" t="str">
        <f ca="1">IF(A3923="","",IF(OR(L3923="ENTREGADA",L3923="RETORNADA",L3923="ENTREGA DIGITAL"),0,MAX(0,5-NETWORKDAYS(H3923+1,TODAY()))))</f>
        <v/>
      </c>
      <c r="L3923" t="str">
        <f>IF(A3923="","",IFERROR(LOOKUP(2,1/(#REF!=Z3923),#REF!),Y3923))</f>
        <v/>
      </c>
      <c r="Z3923" t="str">
        <f>IF(A3923="","",TEXT(A3923,"0")&amp;"|"&amp;TEXT(H3923,"0"))</f>
        <v/>
      </c>
      <c r="AA3923" t="str">
        <f>IF(Z3923="","",IFERROR(LOOKUP(2,1/(#REF!=Z3923),#REF!),""))</f>
        <v/>
      </c>
      <c r="AB3923" t="str">
        <f>IF(Z3923="","",IFERROR(LOOKUP(2,1/(#REF!=Z3923),#REF!),""))</f>
        <v/>
      </c>
      <c r="AC3923" t="str">
        <f>IF(Z3923="","",COUNTIF(#REF!,Z3923))</f>
        <v/>
      </c>
      <c r="AD3923" t="str">
        <f>IF(A3923="","",IF(AC3923&gt;1,"REVISAR DUPLICADO",IF(AA3923&lt;&gt;"","ACTUALIZADO POR EYR","SIN REPORTE EYR")))</f>
        <v/>
      </c>
    </row>
    <row r="3924" spans="11:30" x14ac:dyDescent="0.3">
      <c r="K3924" s="1" t="str">
        <f ca="1">IF(A3924="","",IF(OR(L3924="ENTREGADA",L3924="RETORNADA",L3924="ENTREGA DIGITAL"),0,MAX(0,5-NETWORKDAYS(H3924+1,TODAY()))))</f>
        <v/>
      </c>
      <c r="L3924" t="str">
        <f>IF(A3924="","",IFERROR(LOOKUP(2,1/(#REF!=Z3924),#REF!),Y3924))</f>
        <v/>
      </c>
      <c r="Z3924" t="str">
        <f>IF(A3924="","",TEXT(A3924,"0")&amp;"|"&amp;TEXT(H3924,"0"))</f>
        <v/>
      </c>
      <c r="AA3924" t="str">
        <f>IF(Z3924="","",IFERROR(LOOKUP(2,1/(#REF!=Z3924),#REF!),""))</f>
        <v/>
      </c>
      <c r="AB3924" t="str">
        <f>IF(Z3924="","",IFERROR(LOOKUP(2,1/(#REF!=Z3924),#REF!),""))</f>
        <v/>
      </c>
      <c r="AC3924" t="str">
        <f>IF(Z3924="","",COUNTIF(#REF!,Z3924))</f>
        <v/>
      </c>
      <c r="AD3924" t="str">
        <f>IF(A3924="","",IF(AC3924&gt;1,"REVISAR DUPLICADO",IF(AA3924&lt;&gt;"","ACTUALIZADO POR EYR","SIN REPORTE EYR")))</f>
        <v/>
      </c>
    </row>
    <row r="3925" spans="11:30" x14ac:dyDescent="0.3">
      <c r="K3925" s="1" t="str">
        <f ca="1">IF(A3925="","",IF(OR(L3925="ENTREGADA",L3925="RETORNADA",L3925="ENTREGA DIGITAL"),0,MAX(0,5-NETWORKDAYS(H3925+1,TODAY()))))</f>
        <v/>
      </c>
      <c r="L3925" t="str">
        <f>IF(A3925="","",IFERROR(LOOKUP(2,1/(#REF!=Z3925),#REF!),Y3925))</f>
        <v/>
      </c>
      <c r="Z3925" t="str">
        <f>IF(A3925="","",TEXT(A3925,"0")&amp;"|"&amp;TEXT(H3925,"0"))</f>
        <v/>
      </c>
      <c r="AA3925" t="str">
        <f>IF(Z3925="","",IFERROR(LOOKUP(2,1/(#REF!=Z3925),#REF!),""))</f>
        <v/>
      </c>
      <c r="AB3925" t="str">
        <f>IF(Z3925="","",IFERROR(LOOKUP(2,1/(#REF!=Z3925),#REF!),""))</f>
        <v/>
      </c>
      <c r="AC3925" t="str">
        <f>IF(Z3925="","",COUNTIF(#REF!,Z3925))</f>
        <v/>
      </c>
      <c r="AD3925" t="str">
        <f>IF(A3925="","",IF(AC3925&gt;1,"REVISAR DUPLICADO",IF(AA3925&lt;&gt;"","ACTUALIZADO POR EYR","SIN REPORTE EYR")))</f>
        <v/>
      </c>
    </row>
    <row r="3926" spans="11:30" x14ac:dyDescent="0.3">
      <c r="K3926" s="1" t="str">
        <f ca="1">IF(A3926="","",IF(OR(L3926="ENTREGADA",L3926="RETORNADA",L3926="ENTREGA DIGITAL"),0,MAX(0,5-NETWORKDAYS(H3926+1,TODAY()))))</f>
        <v/>
      </c>
      <c r="L3926" t="str">
        <f>IF(A3926="","",IFERROR(LOOKUP(2,1/(#REF!=Z3926),#REF!),Y3926))</f>
        <v/>
      </c>
      <c r="Z3926" t="str">
        <f>IF(A3926="","",TEXT(A3926,"0")&amp;"|"&amp;TEXT(H3926,"0"))</f>
        <v/>
      </c>
      <c r="AA3926" t="str">
        <f>IF(Z3926="","",IFERROR(LOOKUP(2,1/(#REF!=Z3926),#REF!),""))</f>
        <v/>
      </c>
      <c r="AB3926" t="str">
        <f>IF(Z3926="","",IFERROR(LOOKUP(2,1/(#REF!=Z3926),#REF!),""))</f>
        <v/>
      </c>
      <c r="AC3926" t="str">
        <f>IF(Z3926="","",COUNTIF(#REF!,Z3926))</f>
        <v/>
      </c>
      <c r="AD3926" t="str">
        <f>IF(A3926="","",IF(AC3926&gt;1,"REVISAR DUPLICADO",IF(AA3926&lt;&gt;"","ACTUALIZADO POR EYR","SIN REPORTE EYR")))</f>
        <v/>
      </c>
    </row>
    <row r="3927" spans="11:30" x14ac:dyDescent="0.3">
      <c r="K3927" s="1" t="str">
        <f ca="1">IF(A3927="","",IF(OR(L3927="ENTREGADA",L3927="RETORNADA",L3927="ENTREGA DIGITAL"),0,MAX(0,5-NETWORKDAYS(H3927+1,TODAY()))))</f>
        <v/>
      </c>
      <c r="L3927" t="str">
        <f>IF(A3927="","",IFERROR(LOOKUP(2,1/(#REF!=Z3927),#REF!),Y3927))</f>
        <v/>
      </c>
      <c r="Z3927" t="str">
        <f>IF(A3927="","",TEXT(A3927,"0")&amp;"|"&amp;TEXT(H3927,"0"))</f>
        <v/>
      </c>
      <c r="AA3927" t="str">
        <f>IF(Z3927="","",IFERROR(LOOKUP(2,1/(#REF!=Z3927),#REF!),""))</f>
        <v/>
      </c>
      <c r="AB3927" t="str">
        <f>IF(Z3927="","",IFERROR(LOOKUP(2,1/(#REF!=Z3927),#REF!),""))</f>
        <v/>
      </c>
      <c r="AC3927" t="str">
        <f>IF(Z3927="","",COUNTIF(#REF!,Z3927))</f>
        <v/>
      </c>
      <c r="AD3927" t="str">
        <f>IF(A3927="","",IF(AC3927&gt;1,"REVISAR DUPLICADO",IF(AA3927&lt;&gt;"","ACTUALIZADO POR EYR","SIN REPORTE EYR")))</f>
        <v/>
      </c>
    </row>
    <row r="3928" spans="11:30" x14ac:dyDescent="0.3">
      <c r="K3928" s="1" t="str">
        <f ca="1">IF(A3928="","",IF(OR(L3928="ENTREGADA",L3928="RETORNADA",L3928="ENTREGA DIGITAL"),0,MAX(0,5-NETWORKDAYS(H3928+1,TODAY()))))</f>
        <v/>
      </c>
      <c r="L3928" t="str">
        <f>IF(A3928="","",IFERROR(LOOKUP(2,1/(#REF!=Z3928),#REF!),Y3928))</f>
        <v/>
      </c>
      <c r="Z3928" t="str">
        <f>IF(A3928="","",TEXT(A3928,"0")&amp;"|"&amp;TEXT(H3928,"0"))</f>
        <v/>
      </c>
      <c r="AA3928" t="str">
        <f>IF(Z3928="","",IFERROR(LOOKUP(2,1/(#REF!=Z3928),#REF!),""))</f>
        <v/>
      </c>
      <c r="AB3928" t="str">
        <f>IF(Z3928="","",IFERROR(LOOKUP(2,1/(#REF!=Z3928),#REF!),""))</f>
        <v/>
      </c>
      <c r="AC3928" t="str">
        <f>IF(Z3928="","",COUNTIF(#REF!,Z3928))</f>
        <v/>
      </c>
      <c r="AD3928" t="str">
        <f>IF(A3928="","",IF(AC3928&gt;1,"REVISAR DUPLICADO",IF(AA3928&lt;&gt;"","ACTUALIZADO POR EYR","SIN REPORTE EYR")))</f>
        <v/>
      </c>
    </row>
    <row r="3929" spans="11:30" x14ac:dyDescent="0.3">
      <c r="K3929" s="1" t="str">
        <f ca="1">IF(A3929="","",IF(OR(L3929="ENTREGADA",L3929="RETORNADA",L3929="ENTREGA DIGITAL"),0,MAX(0,5-NETWORKDAYS(H3929+1,TODAY()))))</f>
        <v/>
      </c>
      <c r="L3929" t="str">
        <f>IF(A3929="","",IFERROR(LOOKUP(2,1/(#REF!=Z3929),#REF!),Y3929))</f>
        <v/>
      </c>
      <c r="Z3929" t="str">
        <f>IF(A3929="","",TEXT(A3929,"0")&amp;"|"&amp;TEXT(H3929,"0"))</f>
        <v/>
      </c>
      <c r="AA3929" t="str">
        <f>IF(Z3929="","",IFERROR(LOOKUP(2,1/(#REF!=Z3929),#REF!),""))</f>
        <v/>
      </c>
      <c r="AB3929" t="str">
        <f>IF(Z3929="","",IFERROR(LOOKUP(2,1/(#REF!=Z3929),#REF!),""))</f>
        <v/>
      </c>
      <c r="AC3929" t="str">
        <f>IF(Z3929="","",COUNTIF(#REF!,Z3929))</f>
        <v/>
      </c>
      <c r="AD3929" t="str">
        <f>IF(A3929="","",IF(AC3929&gt;1,"REVISAR DUPLICADO",IF(AA3929&lt;&gt;"","ACTUALIZADO POR EYR","SIN REPORTE EYR")))</f>
        <v/>
      </c>
    </row>
    <row r="3930" spans="11:30" x14ac:dyDescent="0.3">
      <c r="K3930" s="1" t="str">
        <f ca="1">IF(A3930="","",IF(OR(L3930="ENTREGADA",L3930="RETORNADA",L3930="ENTREGA DIGITAL"),0,MAX(0,5-NETWORKDAYS(H3930+1,TODAY()))))</f>
        <v/>
      </c>
      <c r="L3930" t="str">
        <f>IF(A3930="","",IFERROR(LOOKUP(2,1/(#REF!=Z3930),#REF!),Y3930))</f>
        <v/>
      </c>
      <c r="Z3930" t="str">
        <f>IF(A3930="","",TEXT(A3930,"0")&amp;"|"&amp;TEXT(H3930,"0"))</f>
        <v/>
      </c>
      <c r="AA3930" t="str">
        <f>IF(Z3930="","",IFERROR(LOOKUP(2,1/(#REF!=Z3930),#REF!),""))</f>
        <v/>
      </c>
      <c r="AB3930" t="str">
        <f>IF(Z3930="","",IFERROR(LOOKUP(2,1/(#REF!=Z3930),#REF!),""))</f>
        <v/>
      </c>
      <c r="AC3930" t="str">
        <f>IF(Z3930="","",COUNTIF(#REF!,Z3930))</f>
        <v/>
      </c>
      <c r="AD3930" t="str">
        <f>IF(A3930="","",IF(AC3930&gt;1,"REVISAR DUPLICADO",IF(AA3930&lt;&gt;"","ACTUALIZADO POR EYR","SIN REPORTE EYR")))</f>
        <v/>
      </c>
    </row>
    <row r="3931" spans="11:30" x14ac:dyDescent="0.3">
      <c r="K3931" s="1" t="str">
        <f ca="1">IF(A3931="","",IF(OR(L3931="ENTREGADA",L3931="RETORNADA",L3931="ENTREGA DIGITAL"),0,MAX(0,5-NETWORKDAYS(H3931+1,TODAY()))))</f>
        <v/>
      </c>
      <c r="L3931" t="str">
        <f>IF(A3931="","",IFERROR(LOOKUP(2,1/(#REF!=Z3931),#REF!),Y3931))</f>
        <v/>
      </c>
      <c r="Z3931" t="str">
        <f>IF(A3931="","",TEXT(A3931,"0")&amp;"|"&amp;TEXT(H3931,"0"))</f>
        <v/>
      </c>
      <c r="AA3931" t="str">
        <f>IF(Z3931="","",IFERROR(LOOKUP(2,1/(#REF!=Z3931),#REF!),""))</f>
        <v/>
      </c>
      <c r="AB3931" t="str">
        <f>IF(Z3931="","",IFERROR(LOOKUP(2,1/(#REF!=Z3931),#REF!),""))</f>
        <v/>
      </c>
      <c r="AC3931" t="str">
        <f>IF(Z3931="","",COUNTIF(#REF!,Z3931))</f>
        <v/>
      </c>
      <c r="AD3931" t="str">
        <f>IF(A3931="","",IF(AC3931&gt;1,"REVISAR DUPLICADO",IF(AA3931&lt;&gt;"","ACTUALIZADO POR EYR","SIN REPORTE EYR")))</f>
        <v/>
      </c>
    </row>
    <row r="3932" spans="11:30" x14ac:dyDescent="0.3">
      <c r="K3932" s="1" t="str">
        <f ca="1">IF(A3932="","",IF(OR(L3932="ENTREGADA",L3932="RETORNADA",L3932="ENTREGA DIGITAL"),0,MAX(0,5-NETWORKDAYS(H3932+1,TODAY()))))</f>
        <v/>
      </c>
      <c r="L3932" t="str">
        <f>IF(A3932="","",IFERROR(LOOKUP(2,1/(#REF!=Z3932),#REF!),Y3932))</f>
        <v/>
      </c>
      <c r="Z3932" t="str">
        <f>IF(A3932="","",TEXT(A3932,"0")&amp;"|"&amp;TEXT(H3932,"0"))</f>
        <v/>
      </c>
      <c r="AA3932" t="str">
        <f>IF(Z3932="","",IFERROR(LOOKUP(2,1/(#REF!=Z3932),#REF!),""))</f>
        <v/>
      </c>
      <c r="AB3932" t="str">
        <f>IF(Z3932="","",IFERROR(LOOKUP(2,1/(#REF!=Z3932),#REF!),""))</f>
        <v/>
      </c>
      <c r="AC3932" t="str">
        <f>IF(Z3932="","",COUNTIF(#REF!,Z3932))</f>
        <v/>
      </c>
      <c r="AD3932" t="str">
        <f>IF(A3932="","",IF(AC3932&gt;1,"REVISAR DUPLICADO",IF(AA3932&lt;&gt;"","ACTUALIZADO POR EYR","SIN REPORTE EYR")))</f>
        <v/>
      </c>
    </row>
    <row r="3933" spans="11:30" x14ac:dyDescent="0.3">
      <c r="K3933" s="1" t="str">
        <f ca="1">IF(A3933="","",IF(OR(L3933="ENTREGADA",L3933="RETORNADA",L3933="ENTREGA DIGITAL"),0,MAX(0,5-NETWORKDAYS(H3933+1,TODAY()))))</f>
        <v/>
      </c>
      <c r="L3933" t="str">
        <f>IF(A3933="","",IFERROR(LOOKUP(2,1/(#REF!=Z3933),#REF!),Y3933))</f>
        <v/>
      </c>
      <c r="Z3933" t="str">
        <f>IF(A3933="","",TEXT(A3933,"0")&amp;"|"&amp;TEXT(H3933,"0"))</f>
        <v/>
      </c>
      <c r="AA3933" t="str">
        <f>IF(Z3933="","",IFERROR(LOOKUP(2,1/(#REF!=Z3933),#REF!),""))</f>
        <v/>
      </c>
      <c r="AB3933" t="str">
        <f>IF(Z3933="","",IFERROR(LOOKUP(2,1/(#REF!=Z3933),#REF!),""))</f>
        <v/>
      </c>
      <c r="AC3933" t="str">
        <f>IF(Z3933="","",COUNTIF(#REF!,Z3933))</f>
        <v/>
      </c>
      <c r="AD3933" t="str">
        <f>IF(A3933="","",IF(AC3933&gt;1,"REVISAR DUPLICADO",IF(AA3933&lt;&gt;"","ACTUALIZADO POR EYR","SIN REPORTE EYR")))</f>
        <v/>
      </c>
    </row>
    <row r="3934" spans="11:30" x14ac:dyDescent="0.3">
      <c r="K3934" s="1" t="str">
        <f ca="1">IF(A3934="","",IF(OR(L3934="ENTREGADA",L3934="RETORNADA",L3934="ENTREGA DIGITAL"),0,MAX(0,5-NETWORKDAYS(H3934+1,TODAY()))))</f>
        <v/>
      </c>
      <c r="L3934" t="str">
        <f>IF(A3934="","",IFERROR(LOOKUP(2,1/(#REF!=Z3934),#REF!),Y3934))</f>
        <v/>
      </c>
      <c r="Z3934" t="str">
        <f>IF(A3934="","",TEXT(A3934,"0")&amp;"|"&amp;TEXT(H3934,"0"))</f>
        <v/>
      </c>
      <c r="AA3934" t="str">
        <f>IF(Z3934="","",IFERROR(LOOKUP(2,1/(#REF!=Z3934),#REF!),""))</f>
        <v/>
      </c>
      <c r="AB3934" t="str">
        <f>IF(Z3934="","",IFERROR(LOOKUP(2,1/(#REF!=Z3934),#REF!),""))</f>
        <v/>
      </c>
      <c r="AC3934" t="str">
        <f>IF(Z3934="","",COUNTIF(#REF!,Z3934))</f>
        <v/>
      </c>
      <c r="AD3934" t="str">
        <f>IF(A3934="","",IF(AC3934&gt;1,"REVISAR DUPLICADO",IF(AA3934&lt;&gt;"","ACTUALIZADO POR EYR","SIN REPORTE EYR")))</f>
        <v/>
      </c>
    </row>
    <row r="3935" spans="11:30" x14ac:dyDescent="0.3">
      <c r="K3935" s="1" t="str">
        <f ca="1">IF(A3935="","",IF(OR(L3935="ENTREGADA",L3935="RETORNADA",L3935="ENTREGA DIGITAL"),0,MAX(0,5-NETWORKDAYS(H3935+1,TODAY()))))</f>
        <v/>
      </c>
      <c r="L3935" t="str">
        <f>IF(A3935="","",IFERROR(LOOKUP(2,1/(#REF!=Z3935),#REF!),Y3935))</f>
        <v/>
      </c>
      <c r="Z3935" t="str">
        <f>IF(A3935="","",TEXT(A3935,"0")&amp;"|"&amp;TEXT(H3935,"0"))</f>
        <v/>
      </c>
      <c r="AA3935" t="str">
        <f>IF(Z3935="","",IFERROR(LOOKUP(2,1/(#REF!=Z3935),#REF!),""))</f>
        <v/>
      </c>
      <c r="AB3935" t="str">
        <f>IF(Z3935="","",IFERROR(LOOKUP(2,1/(#REF!=Z3935),#REF!),""))</f>
        <v/>
      </c>
      <c r="AC3935" t="str">
        <f>IF(Z3935="","",COUNTIF(#REF!,Z3935))</f>
        <v/>
      </c>
      <c r="AD3935" t="str">
        <f>IF(A3935="","",IF(AC3935&gt;1,"REVISAR DUPLICADO",IF(AA3935&lt;&gt;"","ACTUALIZADO POR EYR","SIN REPORTE EYR")))</f>
        <v/>
      </c>
    </row>
    <row r="3936" spans="11:30" x14ac:dyDescent="0.3">
      <c r="K3936" s="1" t="str">
        <f ca="1">IF(A3936="","",IF(OR(L3936="ENTREGADA",L3936="RETORNADA",L3936="ENTREGA DIGITAL"),0,MAX(0,5-NETWORKDAYS(H3936+1,TODAY()))))</f>
        <v/>
      </c>
      <c r="L3936" t="str">
        <f>IF(A3936="","",IFERROR(LOOKUP(2,1/(#REF!=Z3936),#REF!),Y3936))</f>
        <v/>
      </c>
      <c r="Z3936" t="str">
        <f>IF(A3936="","",TEXT(A3936,"0")&amp;"|"&amp;TEXT(H3936,"0"))</f>
        <v/>
      </c>
      <c r="AA3936" t="str">
        <f>IF(Z3936="","",IFERROR(LOOKUP(2,1/(#REF!=Z3936),#REF!),""))</f>
        <v/>
      </c>
      <c r="AB3936" t="str">
        <f>IF(Z3936="","",IFERROR(LOOKUP(2,1/(#REF!=Z3936),#REF!),""))</f>
        <v/>
      </c>
      <c r="AC3936" t="str">
        <f>IF(Z3936="","",COUNTIF(#REF!,Z3936))</f>
        <v/>
      </c>
      <c r="AD3936" t="str">
        <f>IF(A3936="","",IF(AC3936&gt;1,"REVISAR DUPLICADO",IF(AA3936&lt;&gt;"","ACTUALIZADO POR EYR","SIN REPORTE EYR")))</f>
        <v/>
      </c>
    </row>
    <row r="3937" spans="11:30" x14ac:dyDescent="0.3">
      <c r="K3937" s="1" t="str">
        <f ca="1">IF(A3937="","",IF(OR(L3937="ENTREGADA",L3937="RETORNADA",L3937="ENTREGA DIGITAL"),0,MAX(0,5-NETWORKDAYS(H3937+1,TODAY()))))</f>
        <v/>
      </c>
      <c r="L3937" t="str">
        <f>IF(A3937="","",IFERROR(LOOKUP(2,1/(#REF!=Z3937),#REF!),Y3937))</f>
        <v/>
      </c>
      <c r="Z3937" t="str">
        <f>IF(A3937="","",TEXT(A3937,"0")&amp;"|"&amp;TEXT(H3937,"0"))</f>
        <v/>
      </c>
      <c r="AA3937" t="str">
        <f>IF(Z3937="","",IFERROR(LOOKUP(2,1/(#REF!=Z3937),#REF!),""))</f>
        <v/>
      </c>
      <c r="AB3937" t="str">
        <f>IF(Z3937="","",IFERROR(LOOKUP(2,1/(#REF!=Z3937),#REF!),""))</f>
        <v/>
      </c>
      <c r="AC3937" t="str">
        <f>IF(Z3937="","",COUNTIF(#REF!,Z3937))</f>
        <v/>
      </c>
      <c r="AD3937" t="str">
        <f>IF(A3937="","",IF(AC3937&gt;1,"REVISAR DUPLICADO",IF(AA3937&lt;&gt;"","ACTUALIZADO POR EYR","SIN REPORTE EYR")))</f>
        <v/>
      </c>
    </row>
    <row r="3938" spans="11:30" x14ac:dyDescent="0.3">
      <c r="K3938" s="1" t="str">
        <f ca="1">IF(A3938="","",IF(OR(L3938="ENTREGADA",L3938="RETORNADA",L3938="ENTREGA DIGITAL"),0,MAX(0,5-NETWORKDAYS(H3938+1,TODAY()))))</f>
        <v/>
      </c>
      <c r="L3938" t="str">
        <f>IF(A3938="","",IFERROR(LOOKUP(2,1/(#REF!=Z3938),#REF!),Y3938))</f>
        <v/>
      </c>
      <c r="Z3938" t="str">
        <f>IF(A3938="","",TEXT(A3938,"0")&amp;"|"&amp;TEXT(H3938,"0"))</f>
        <v/>
      </c>
      <c r="AA3938" t="str">
        <f>IF(Z3938="","",IFERROR(LOOKUP(2,1/(#REF!=Z3938),#REF!),""))</f>
        <v/>
      </c>
      <c r="AB3938" t="str">
        <f>IF(Z3938="","",IFERROR(LOOKUP(2,1/(#REF!=Z3938),#REF!),""))</f>
        <v/>
      </c>
      <c r="AC3938" t="str">
        <f>IF(Z3938="","",COUNTIF(#REF!,Z3938))</f>
        <v/>
      </c>
      <c r="AD3938" t="str">
        <f>IF(A3938="","",IF(AC3938&gt;1,"REVISAR DUPLICADO",IF(AA3938&lt;&gt;"","ACTUALIZADO POR EYR","SIN REPORTE EYR")))</f>
        <v/>
      </c>
    </row>
    <row r="3939" spans="11:30" x14ac:dyDescent="0.3">
      <c r="K3939" s="1" t="str">
        <f ca="1">IF(A3939="","",IF(OR(L3939="ENTREGADA",L3939="RETORNADA",L3939="ENTREGA DIGITAL"),0,MAX(0,5-NETWORKDAYS(H3939+1,TODAY()))))</f>
        <v/>
      </c>
      <c r="L3939" t="str">
        <f>IF(A3939="","",IFERROR(LOOKUP(2,1/(#REF!=Z3939),#REF!),Y3939))</f>
        <v/>
      </c>
      <c r="Z3939" t="str">
        <f>IF(A3939="","",TEXT(A3939,"0")&amp;"|"&amp;TEXT(H3939,"0"))</f>
        <v/>
      </c>
      <c r="AA3939" t="str">
        <f>IF(Z3939="","",IFERROR(LOOKUP(2,1/(#REF!=Z3939),#REF!),""))</f>
        <v/>
      </c>
      <c r="AB3939" t="str">
        <f>IF(Z3939="","",IFERROR(LOOKUP(2,1/(#REF!=Z3939),#REF!),""))</f>
        <v/>
      </c>
      <c r="AC3939" t="str">
        <f>IF(Z3939="","",COUNTIF(#REF!,Z3939))</f>
        <v/>
      </c>
      <c r="AD3939" t="str">
        <f>IF(A3939="","",IF(AC3939&gt;1,"REVISAR DUPLICADO",IF(AA3939&lt;&gt;"","ACTUALIZADO POR EYR","SIN REPORTE EYR")))</f>
        <v/>
      </c>
    </row>
    <row r="3940" spans="11:30" x14ac:dyDescent="0.3">
      <c r="K3940" s="1" t="str">
        <f ca="1">IF(A3940="","",IF(OR(L3940="ENTREGADA",L3940="RETORNADA",L3940="ENTREGA DIGITAL"),0,MAX(0,5-NETWORKDAYS(H3940+1,TODAY()))))</f>
        <v/>
      </c>
      <c r="L3940" t="str">
        <f>IF(A3940="","",IFERROR(LOOKUP(2,1/(#REF!=Z3940),#REF!),Y3940))</f>
        <v/>
      </c>
      <c r="Z3940" t="str">
        <f>IF(A3940="","",TEXT(A3940,"0")&amp;"|"&amp;TEXT(H3940,"0"))</f>
        <v/>
      </c>
      <c r="AA3940" t="str">
        <f>IF(Z3940="","",IFERROR(LOOKUP(2,1/(#REF!=Z3940),#REF!),""))</f>
        <v/>
      </c>
      <c r="AB3940" t="str">
        <f>IF(Z3940="","",IFERROR(LOOKUP(2,1/(#REF!=Z3940),#REF!),""))</f>
        <v/>
      </c>
      <c r="AC3940" t="str">
        <f>IF(Z3940="","",COUNTIF(#REF!,Z3940))</f>
        <v/>
      </c>
      <c r="AD3940" t="str">
        <f>IF(A3940="","",IF(AC3940&gt;1,"REVISAR DUPLICADO",IF(AA3940&lt;&gt;"","ACTUALIZADO POR EYR","SIN REPORTE EYR")))</f>
        <v/>
      </c>
    </row>
    <row r="3941" spans="11:30" x14ac:dyDescent="0.3">
      <c r="K3941" s="1" t="str">
        <f ca="1">IF(A3941="","",IF(OR(L3941="ENTREGADA",L3941="RETORNADA",L3941="ENTREGA DIGITAL"),0,MAX(0,5-NETWORKDAYS(H3941+1,TODAY()))))</f>
        <v/>
      </c>
      <c r="L3941" t="str">
        <f>IF(A3941="","",IFERROR(LOOKUP(2,1/(#REF!=Z3941),#REF!),Y3941))</f>
        <v/>
      </c>
      <c r="Z3941" t="str">
        <f>IF(A3941="","",TEXT(A3941,"0")&amp;"|"&amp;TEXT(H3941,"0"))</f>
        <v/>
      </c>
      <c r="AA3941" t="str">
        <f>IF(Z3941="","",IFERROR(LOOKUP(2,1/(#REF!=Z3941),#REF!),""))</f>
        <v/>
      </c>
      <c r="AB3941" t="str">
        <f>IF(Z3941="","",IFERROR(LOOKUP(2,1/(#REF!=Z3941),#REF!),""))</f>
        <v/>
      </c>
      <c r="AC3941" t="str">
        <f>IF(Z3941="","",COUNTIF(#REF!,Z3941))</f>
        <v/>
      </c>
      <c r="AD3941" t="str">
        <f>IF(A3941="","",IF(AC3941&gt;1,"REVISAR DUPLICADO",IF(AA3941&lt;&gt;"","ACTUALIZADO POR EYR","SIN REPORTE EYR")))</f>
        <v/>
      </c>
    </row>
    <row r="3942" spans="11:30" x14ac:dyDescent="0.3">
      <c r="K3942" s="1" t="str">
        <f ca="1">IF(A3942="","",IF(OR(L3942="ENTREGADA",L3942="RETORNADA",L3942="ENTREGA DIGITAL"),0,MAX(0,5-NETWORKDAYS(H3942+1,TODAY()))))</f>
        <v/>
      </c>
      <c r="L3942" t="str">
        <f>IF(A3942="","",IFERROR(LOOKUP(2,1/(#REF!=Z3942),#REF!),Y3942))</f>
        <v/>
      </c>
      <c r="Z3942" t="str">
        <f>IF(A3942="","",TEXT(A3942,"0")&amp;"|"&amp;TEXT(H3942,"0"))</f>
        <v/>
      </c>
      <c r="AA3942" t="str">
        <f>IF(Z3942="","",IFERROR(LOOKUP(2,1/(#REF!=Z3942),#REF!),""))</f>
        <v/>
      </c>
      <c r="AB3942" t="str">
        <f>IF(Z3942="","",IFERROR(LOOKUP(2,1/(#REF!=Z3942),#REF!),""))</f>
        <v/>
      </c>
      <c r="AC3942" t="str">
        <f>IF(Z3942="","",COUNTIF(#REF!,Z3942))</f>
        <v/>
      </c>
      <c r="AD3942" t="str">
        <f>IF(A3942="","",IF(AC3942&gt;1,"REVISAR DUPLICADO",IF(AA3942&lt;&gt;"","ACTUALIZADO POR EYR","SIN REPORTE EYR")))</f>
        <v/>
      </c>
    </row>
    <row r="3943" spans="11:30" x14ac:dyDescent="0.3">
      <c r="K3943" s="1" t="str">
        <f ca="1">IF(A3943="","",IF(OR(L3943="ENTREGADA",L3943="RETORNADA",L3943="ENTREGA DIGITAL"),0,MAX(0,5-NETWORKDAYS(H3943+1,TODAY()))))</f>
        <v/>
      </c>
      <c r="L3943" t="str">
        <f>IF(A3943="","",IFERROR(LOOKUP(2,1/(#REF!=Z3943),#REF!),Y3943))</f>
        <v/>
      </c>
      <c r="Z3943" t="str">
        <f>IF(A3943="","",TEXT(A3943,"0")&amp;"|"&amp;TEXT(H3943,"0"))</f>
        <v/>
      </c>
      <c r="AA3943" t="str">
        <f>IF(Z3943="","",IFERROR(LOOKUP(2,1/(#REF!=Z3943),#REF!),""))</f>
        <v/>
      </c>
      <c r="AB3943" t="str">
        <f>IF(Z3943="","",IFERROR(LOOKUP(2,1/(#REF!=Z3943),#REF!),""))</f>
        <v/>
      </c>
      <c r="AC3943" t="str">
        <f>IF(Z3943="","",COUNTIF(#REF!,Z3943))</f>
        <v/>
      </c>
      <c r="AD3943" t="str">
        <f>IF(A3943="","",IF(AC3943&gt;1,"REVISAR DUPLICADO",IF(AA3943&lt;&gt;"","ACTUALIZADO POR EYR","SIN REPORTE EYR")))</f>
        <v/>
      </c>
    </row>
    <row r="3944" spans="11:30" x14ac:dyDescent="0.3">
      <c r="K3944" s="1" t="str">
        <f ca="1">IF(A3944="","",IF(OR(L3944="ENTREGADA",L3944="RETORNADA",L3944="ENTREGA DIGITAL"),0,MAX(0,5-NETWORKDAYS(H3944+1,TODAY()))))</f>
        <v/>
      </c>
      <c r="L3944" t="str">
        <f>IF(A3944="","",IFERROR(LOOKUP(2,1/(#REF!=Z3944),#REF!),Y3944))</f>
        <v/>
      </c>
      <c r="Z3944" t="str">
        <f>IF(A3944="","",TEXT(A3944,"0")&amp;"|"&amp;TEXT(H3944,"0"))</f>
        <v/>
      </c>
      <c r="AA3944" t="str">
        <f>IF(Z3944="","",IFERROR(LOOKUP(2,1/(#REF!=Z3944),#REF!),""))</f>
        <v/>
      </c>
      <c r="AB3944" t="str">
        <f>IF(Z3944="","",IFERROR(LOOKUP(2,1/(#REF!=Z3944),#REF!),""))</f>
        <v/>
      </c>
      <c r="AC3944" t="str">
        <f>IF(Z3944="","",COUNTIF(#REF!,Z3944))</f>
        <v/>
      </c>
      <c r="AD3944" t="str">
        <f>IF(A3944="","",IF(AC3944&gt;1,"REVISAR DUPLICADO",IF(AA3944&lt;&gt;"","ACTUALIZADO POR EYR","SIN REPORTE EYR")))</f>
        <v/>
      </c>
    </row>
    <row r="3945" spans="11:30" x14ac:dyDescent="0.3">
      <c r="K3945" s="1" t="str">
        <f ca="1">IF(A3945="","",IF(OR(L3945="ENTREGADA",L3945="RETORNADA",L3945="ENTREGA DIGITAL"),0,MAX(0,5-NETWORKDAYS(H3945+1,TODAY()))))</f>
        <v/>
      </c>
      <c r="L3945" t="str">
        <f>IF(A3945="","",IFERROR(LOOKUP(2,1/(#REF!=Z3945),#REF!),Y3945))</f>
        <v/>
      </c>
      <c r="Z3945" t="str">
        <f>IF(A3945="","",TEXT(A3945,"0")&amp;"|"&amp;TEXT(H3945,"0"))</f>
        <v/>
      </c>
      <c r="AA3945" t="str">
        <f>IF(Z3945="","",IFERROR(LOOKUP(2,1/(#REF!=Z3945),#REF!),""))</f>
        <v/>
      </c>
      <c r="AB3945" t="str">
        <f>IF(Z3945="","",IFERROR(LOOKUP(2,1/(#REF!=Z3945),#REF!),""))</f>
        <v/>
      </c>
      <c r="AC3945" t="str">
        <f>IF(Z3945="","",COUNTIF(#REF!,Z3945))</f>
        <v/>
      </c>
      <c r="AD3945" t="str">
        <f>IF(A3945="","",IF(AC3945&gt;1,"REVISAR DUPLICADO",IF(AA3945&lt;&gt;"","ACTUALIZADO POR EYR","SIN REPORTE EYR")))</f>
        <v/>
      </c>
    </row>
    <row r="3946" spans="11:30" x14ac:dyDescent="0.3">
      <c r="K3946" s="1" t="str">
        <f ca="1">IF(A3946="","",IF(OR(L3946="ENTREGADA",L3946="RETORNADA",L3946="ENTREGA DIGITAL"),0,MAX(0,5-NETWORKDAYS(H3946+1,TODAY()))))</f>
        <v/>
      </c>
      <c r="L3946" t="str">
        <f>IF(A3946="","",IFERROR(LOOKUP(2,1/(#REF!=Z3946),#REF!),Y3946))</f>
        <v/>
      </c>
      <c r="Z3946" t="str">
        <f>IF(A3946="","",TEXT(A3946,"0")&amp;"|"&amp;TEXT(H3946,"0"))</f>
        <v/>
      </c>
      <c r="AA3946" t="str">
        <f>IF(Z3946="","",IFERROR(LOOKUP(2,1/(#REF!=Z3946),#REF!),""))</f>
        <v/>
      </c>
      <c r="AB3946" t="str">
        <f>IF(Z3946="","",IFERROR(LOOKUP(2,1/(#REF!=Z3946),#REF!),""))</f>
        <v/>
      </c>
      <c r="AC3946" t="str">
        <f>IF(Z3946="","",COUNTIF(#REF!,Z3946))</f>
        <v/>
      </c>
      <c r="AD3946" t="str">
        <f>IF(A3946="","",IF(AC3946&gt;1,"REVISAR DUPLICADO",IF(AA3946&lt;&gt;"","ACTUALIZADO POR EYR","SIN REPORTE EYR")))</f>
        <v/>
      </c>
    </row>
    <row r="3947" spans="11:30" x14ac:dyDescent="0.3">
      <c r="K3947" s="1" t="str">
        <f ca="1">IF(A3947="","",IF(OR(L3947="ENTREGADA",L3947="RETORNADA",L3947="ENTREGA DIGITAL"),0,MAX(0,5-NETWORKDAYS(H3947+1,TODAY()))))</f>
        <v/>
      </c>
      <c r="L3947" t="str">
        <f>IF(A3947="","",IFERROR(LOOKUP(2,1/(#REF!=Z3947),#REF!),Y3947))</f>
        <v/>
      </c>
      <c r="Z3947" t="str">
        <f>IF(A3947="","",TEXT(A3947,"0")&amp;"|"&amp;TEXT(H3947,"0"))</f>
        <v/>
      </c>
      <c r="AA3947" t="str">
        <f>IF(Z3947="","",IFERROR(LOOKUP(2,1/(#REF!=Z3947),#REF!),""))</f>
        <v/>
      </c>
      <c r="AB3947" t="str">
        <f>IF(Z3947="","",IFERROR(LOOKUP(2,1/(#REF!=Z3947),#REF!),""))</f>
        <v/>
      </c>
      <c r="AC3947" t="str">
        <f>IF(Z3947="","",COUNTIF(#REF!,Z3947))</f>
        <v/>
      </c>
      <c r="AD3947" t="str">
        <f>IF(A3947="","",IF(AC3947&gt;1,"REVISAR DUPLICADO",IF(AA3947&lt;&gt;"","ACTUALIZADO POR EYR","SIN REPORTE EYR")))</f>
        <v/>
      </c>
    </row>
    <row r="3948" spans="11:30" x14ac:dyDescent="0.3">
      <c r="K3948" s="1" t="str">
        <f ca="1">IF(A3948="","",IF(OR(L3948="ENTREGADA",L3948="RETORNADA",L3948="ENTREGA DIGITAL"),0,MAX(0,5-NETWORKDAYS(H3948+1,TODAY()))))</f>
        <v/>
      </c>
      <c r="L3948" t="str">
        <f>IF(A3948="","",IFERROR(LOOKUP(2,1/(#REF!=Z3948),#REF!),Y3948))</f>
        <v/>
      </c>
      <c r="Z3948" t="str">
        <f>IF(A3948="","",TEXT(A3948,"0")&amp;"|"&amp;TEXT(H3948,"0"))</f>
        <v/>
      </c>
      <c r="AA3948" t="str">
        <f>IF(Z3948="","",IFERROR(LOOKUP(2,1/(#REF!=Z3948),#REF!),""))</f>
        <v/>
      </c>
      <c r="AB3948" t="str">
        <f>IF(Z3948="","",IFERROR(LOOKUP(2,1/(#REF!=Z3948),#REF!),""))</f>
        <v/>
      </c>
      <c r="AC3948" t="str">
        <f>IF(Z3948="","",COUNTIF(#REF!,Z3948))</f>
        <v/>
      </c>
      <c r="AD3948" t="str">
        <f>IF(A3948="","",IF(AC3948&gt;1,"REVISAR DUPLICADO",IF(AA3948&lt;&gt;"","ACTUALIZADO POR EYR","SIN REPORTE EYR")))</f>
        <v/>
      </c>
    </row>
    <row r="3949" spans="11:30" x14ac:dyDescent="0.3">
      <c r="K3949" s="1" t="str">
        <f ca="1">IF(A3949="","",IF(OR(L3949="ENTREGADA",L3949="RETORNADA",L3949="ENTREGA DIGITAL"),0,MAX(0,5-NETWORKDAYS(H3949+1,TODAY()))))</f>
        <v/>
      </c>
      <c r="L3949" t="str">
        <f>IF(A3949="","",IFERROR(LOOKUP(2,1/(#REF!=Z3949),#REF!),Y3949))</f>
        <v/>
      </c>
      <c r="Z3949" t="str">
        <f>IF(A3949="","",TEXT(A3949,"0")&amp;"|"&amp;TEXT(H3949,"0"))</f>
        <v/>
      </c>
      <c r="AA3949" t="str">
        <f>IF(Z3949="","",IFERROR(LOOKUP(2,1/(#REF!=Z3949),#REF!),""))</f>
        <v/>
      </c>
      <c r="AB3949" t="str">
        <f>IF(Z3949="","",IFERROR(LOOKUP(2,1/(#REF!=Z3949),#REF!),""))</f>
        <v/>
      </c>
      <c r="AC3949" t="str">
        <f>IF(Z3949="","",COUNTIF(#REF!,Z3949))</f>
        <v/>
      </c>
      <c r="AD3949" t="str">
        <f>IF(A3949="","",IF(AC3949&gt;1,"REVISAR DUPLICADO",IF(AA3949&lt;&gt;"","ACTUALIZADO POR EYR","SIN REPORTE EYR")))</f>
        <v/>
      </c>
    </row>
    <row r="3950" spans="11:30" x14ac:dyDescent="0.3">
      <c r="K3950" s="1" t="str">
        <f ca="1">IF(A3950="","",IF(OR(L3950="ENTREGADA",L3950="RETORNADA",L3950="ENTREGA DIGITAL"),0,MAX(0,5-NETWORKDAYS(H3950+1,TODAY()))))</f>
        <v/>
      </c>
      <c r="L3950" t="str">
        <f>IF(A3950="","",IFERROR(LOOKUP(2,1/(#REF!=Z3950),#REF!),Y3950))</f>
        <v/>
      </c>
      <c r="Z3950" t="str">
        <f>IF(A3950="","",TEXT(A3950,"0")&amp;"|"&amp;TEXT(H3950,"0"))</f>
        <v/>
      </c>
      <c r="AA3950" t="str">
        <f>IF(Z3950="","",IFERROR(LOOKUP(2,1/(#REF!=Z3950),#REF!),""))</f>
        <v/>
      </c>
      <c r="AB3950" t="str">
        <f>IF(Z3950="","",IFERROR(LOOKUP(2,1/(#REF!=Z3950),#REF!),""))</f>
        <v/>
      </c>
      <c r="AC3950" t="str">
        <f>IF(Z3950="","",COUNTIF(#REF!,Z3950))</f>
        <v/>
      </c>
      <c r="AD3950" t="str">
        <f>IF(A3950="","",IF(AC3950&gt;1,"REVISAR DUPLICADO",IF(AA3950&lt;&gt;"","ACTUALIZADO POR EYR","SIN REPORTE EYR")))</f>
        <v/>
      </c>
    </row>
    <row r="3951" spans="11:30" x14ac:dyDescent="0.3">
      <c r="K3951" s="1" t="str">
        <f ca="1">IF(A3951="","",IF(OR(L3951="ENTREGADA",L3951="RETORNADA",L3951="ENTREGA DIGITAL"),0,MAX(0,5-NETWORKDAYS(H3951+1,TODAY()))))</f>
        <v/>
      </c>
      <c r="L3951" t="str">
        <f>IF(A3951="","",IFERROR(LOOKUP(2,1/(#REF!=Z3951),#REF!),Y3951))</f>
        <v/>
      </c>
      <c r="Z3951" t="str">
        <f>IF(A3951="","",TEXT(A3951,"0")&amp;"|"&amp;TEXT(H3951,"0"))</f>
        <v/>
      </c>
      <c r="AA3951" t="str">
        <f>IF(Z3951="","",IFERROR(LOOKUP(2,1/(#REF!=Z3951),#REF!),""))</f>
        <v/>
      </c>
      <c r="AB3951" t="str">
        <f>IF(Z3951="","",IFERROR(LOOKUP(2,1/(#REF!=Z3951),#REF!),""))</f>
        <v/>
      </c>
      <c r="AC3951" t="str">
        <f>IF(Z3951="","",COUNTIF(#REF!,Z3951))</f>
        <v/>
      </c>
      <c r="AD3951" t="str">
        <f>IF(A3951="","",IF(AC3951&gt;1,"REVISAR DUPLICADO",IF(AA3951&lt;&gt;"","ACTUALIZADO POR EYR","SIN REPORTE EYR")))</f>
        <v/>
      </c>
    </row>
    <row r="3952" spans="11:30" x14ac:dyDescent="0.3">
      <c r="K3952" s="1" t="str">
        <f ca="1">IF(A3952="","",IF(OR(L3952="ENTREGADA",L3952="RETORNADA",L3952="ENTREGA DIGITAL"),0,MAX(0,5-NETWORKDAYS(H3952+1,TODAY()))))</f>
        <v/>
      </c>
      <c r="L3952" t="str">
        <f>IF(A3952="","",IFERROR(LOOKUP(2,1/(#REF!=Z3952),#REF!),Y3952))</f>
        <v/>
      </c>
      <c r="Z3952" t="str">
        <f>IF(A3952="","",TEXT(A3952,"0")&amp;"|"&amp;TEXT(H3952,"0"))</f>
        <v/>
      </c>
      <c r="AA3952" t="str">
        <f>IF(Z3952="","",IFERROR(LOOKUP(2,1/(#REF!=Z3952),#REF!),""))</f>
        <v/>
      </c>
      <c r="AB3952" t="str">
        <f>IF(Z3952="","",IFERROR(LOOKUP(2,1/(#REF!=Z3952),#REF!),""))</f>
        <v/>
      </c>
      <c r="AC3952" t="str">
        <f>IF(Z3952="","",COUNTIF(#REF!,Z3952))</f>
        <v/>
      </c>
      <c r="AD3952" t="str">
        <f>IF(A3952="","",IF(AC3952&gt;1,"REVISAR DUPLICADO",IF(AA3952&lt;&gt;"","ACTUALIZADO POR EYR","SIN REPORTE EYR")))</f>
        <v/>
      </c>
    </row>
    <row r="3953" spans="11:30" x14ac:dyDescent="0.3">
      <c r="K3953" s="1" t="str">
        <f ca="1">IF(A3953="","",IF(OR(L3953="ENTREGADA",L3953="RETORNADA",L3953="ENTREGA DIGITAL"),0,MAX(0,5-NETWORKDAYS(H3953+1,TODAY()))))</f>
        <v/>
      </c>
      <c r="L3953" t="str">
        <f>IF(A3953="","",IFERROR(LOOKUP(2,1/(#REF!=Z3953),#REF!),Y3953))</f>
        <v/>
      </c>
      <c r="Z3953" t="str">
        <f>IF(A3953="","",TEXT(A3953,"0")&amp;"|"&amp;TEXT(H3953,"0"))</f>
        <v/>
      </c>
      <c r="AA3953" t="str">
        <f>IF(Z3953="","",IFERROR(LOOKUP(2,1/(#REF!=Z3953),#REF!),""))</f>
        <v/>
      </c>
      <c r="AB3953" t="str">
        <f>IF(Z3953="","",IFERROR(LOOKUP(2,1/(#REF!=Z3953),#REF!),""))</f>
        <v/>
      </c>
      <c r="AC3953" t="str">
        <f>IF(Z3953="","",COUNTIF(#REF!,Z3953))</f>
        <v/>
      </c>
      <c r="AD3953" t="str">
        <f>IF(A3953="","",IF(AC3953&gt;1,"REVISAR DUPLICADO",IF(AA3953&lt;&gt;"","ACTUALIZADO POR EYR","SIN REPORTE EYR")))</f>
        <v/>
      </c>
    </row>
    <row r="3954" spans="11:30" x14ac:dyDescent="0.3">
      <c r="K3954" s="1" t="str">
        <f ca="1">IF(A3954="","",IF(OR(L3954="ENTREGADA",L3954="RETORNADA",L3954="ENTREGA DIGITAL"),0,MAX(0,5-NETWORKDAYS(H3954+1,TODAY()))))</f>
        <v/>
      </c>
      <c r="L3954" t="str">
        <f>IF(A3954="","",IFERROR(LOOKUP(2,1/(#REF!=Z3954),#REF!),Y3954))</f>
        <v/>
      </c>
      <c r="Z3954" t="str">
        <f>IF(A3954="","",TEXT(A3954,"0")&amp;"|"&amp;TEXT(H3954,"0"))</f>
        <v/>
      </c>
      <c r="AA3954" t="str">
        <f>IF(Z3954="","",IFERROR(LOOKUP(2,1/(#REF!=Z3954),#REF!),""))</f>
        <v/>
      </c>
      <c r="AB3954" t="str">
        <f>IF(Z3954="","",IFERROR(LOOKUP(2,1/(#REF!=Z3954),#REF!),""))</f>
        <v/>
      </c>
      <c r="AC3954" t="str">
        <f>IF(Z3954="","",COUNTIF(#REF!,Z3954))</f>
        <v/>
      </c>
      <c r="AD3954" t="str">
        <f>IF(A3954="","",IF(AC3954&gt;1,"REVISAR DUPLICADO",IF(AA3954&lt;&gt;"","ACTUALIZADO POR EYR","SIN REPORTE EYR")))</f>
        <v/>
      </c>
    </row>
    <row r="3955" spans="11:30" x14ac:dyDescent="0.3">
      <c r="K3955" s="1" t="str">
        <f ca="1">IF(A3955="","",IF(OR(L3955="ENTREGADA",L3955="RETORNADA",L3955="ENTREGA DIGITAL"),0,MAX(0,5-NETWORKDAYS(H3955+1,TODAY()))))</f>
        <v/>
      </c>
      <c r="L3955" t="str">
        <f>IF(A3955="","",IFERROR(LOOKUP(2,1/(#REF!=Z3955),#REF!),Y3955))</f>
        <v/>
      </c>
      <c r="Z3955" t="str">
        <f>IF(A3955="","",TEXT(A3955,"0")&amp;"|"&amp;TEXT(H3955,"0"))</f>
        <v/>
      </c>
      <c r="AA3955" t="str">
        <f>IF(Z3955="","",IFERROR(LOOKUP(2,1/(#REF!=Z3955),#REF!),""))</f>
        <v/>
      </c>
      <c r="AB3955" t="str">
        <f>IF(Z3955="","",IFERROR(LOOKUP(2,1/(#REF!=Z3955),#REF!),""))</f>
        <v/>
      </c>
      <c r="AC3955" t="str">
        <f>IF(Z3955="","",COUNTIF(#REF!,Z3955))</f>
        <v/>
      </c>
      <c r="AD3955" t="str">
        <f>IF(A3955="","",IF(AC3955&gt;1,"REVISAR DUPLICADO",IF(AA3955&lt;&gt;"","ACTUALIZADO POR EYR","SIN REPORTE EYR")))</f>
        <v/>
      </c>
    </row>
    <row r="3956" spans="11:30" x14ac:dyDescent="0.3">
      <c r="K3956" s="1" t="str">
        <f ca="1">IF(A3956="","",IF(OR(L3956="ENTREGADA",L3956="RETORNADA",L3956="ENTREGA DIGITAL"),0,MAX(0,5-NETWORKDAYS(H3956+1,TODAY()))))</f>
        <v/>
      </c>
      <c r="L3956" t="str">
        <f>IF(A3956="","",IFERROR(LOOKUP(2,1/(#REF!=Z3956),#REF!),Y3956))</f>
        <v/>
      </c>
      <c r="Z3956" t="str">
        <f>IF(A3956="","",TEXT(A3956,"0")&amp;"|"&amp;TEXT(H3956,"0"))</f>
        <v/>
      </c>
      <c r="AA3956" t="str">
        <f>IF(Z3956="","",IFERROR(LOOKUP(2,1/(#REF!=Z3956),#REF!),""))</f>
        <v/>
      </c>
      <c r="AB3956" t="str">
        <f>IF(Z3956="","",IFERROR(LOOKUP(2,1/(#REF!=Z3956),#REF!),""))</f>
        <v/>
      </c>
      <c r="AC3956" t="str">
        <f>IF(Z3956="","",COUNTIF(#REF!,Z3956))</f>
        <v/>
      </c>
      <c r="AD3956" t="str">
        <f>IF(A3956="","",IF(AC3956&gt;1,"REVISAR DUPLICADO",IF(AA3956&lt;&gt;"","ACTUALIZADO POR EYR","SIN REPORTE EYR")))</f>
        <v/>
      </c>
    </row>
    <row r="3957" spans="11:30" x14ac:dyDescent="0.3">
      <c r="K3957" s="1" t="str">
        <f ca="1">IF(A3957="","",IF(OR(L3957="ENTREGADA",L3957="RETORNADA",L3957="ENTREGA DIGITAL"),0,MAX(0,5-NETWORKDAYS(H3957+1,TODAY()))))</f>
        <v/>
      </c>
      <c r="L3957" t="str">
        <f>IF(A3957="","",IFERROR(LOOKUP(2,1/(#REF!=Z3957),#REF!),Y3957))</f>
        <v/>
      </c>
      <c r="Z3957" t="str">
        <f>IF(A3957="","",TEXT(A3957,"0")&amp;"|"&amp;TEXT(H3957,"0"))</f>
        <v/>
      </c>
      <c r="AA3957" t="str">
        <f>IF(Z3957="","",IFERROR(LOOKUP(2,1/(#REF!=Z3957),#REF!),""))</f>
        <v/>
      </c>
      <c r="AB3957" t="str">
        <f>IF(Z3957="","",IFERROR(LOOKUP(2,1/(#REF!=Z3957),#REF!),""))</f>
        <v/>
      </c>
      <c r="AC3957" t="str">
        <f>IF(Z3957="","",COUNTIF(#REF!,Z3957))</f>
        <v/>
      </c>
      <c r="AD3957" t="str">
        <f>IF(A3957="","",IF(AC3957&gt;1,"REVISAR DUPLICADO",IF(AA3957&lt;&gt;"","ACTUALIZADO POR EYR","SIN REPORTE EYR")))</f>
        <v/>
      </c>
    </row>
    <row r="3958" spans="11:30" x14ac:dyDescent="0.3">
      <c r="K3958" s="1" t="str">
        <f ca="1">IF(A3958="","",IF(OR(L3958="ENTREGADA",L3958="RETORNADA",L3958="ENTREGA DIGITAL"),0,MAX(0,5-NETWORKDAYS(H3958+1,TODAY()))))</f>
        <v/>
      </c>
      <c r="L3958" t="str">
        <f>IF(A3958="","",IFERROR(LOOKUP(2,1/(#REF!=Z3958),#REF!),Y3958))</f>
        <v/>
      </c>
      <c r="Z3958" t="str">
        <f>IF(A3958="","",TEXT(A3958,"0")&amp;"|"&amp;TEXT(H3958,"0"))</f>
        <v/>
      </c>
      <c r="AA3958" t="str">
        <f>IF(Z3958="","",IFERROR(LOOKUP(2,1/(#REF!=Z3958),#REF!),""))</f>
        <v/>
      </c>
      <c r="AB3958" t="str">
        <f>IF(Z3958="","",IFERROR(LOOKUP(2,1/(#REF!=Z3958),#REF!),""))</f>
        <v/>
      </c>
      <c r="AC3958" t="str">
        <f>IF(Z3958="","",COUNTIF(#REF!,Z3958))</f>
        <v/>
      </c>
      <c r="AD3958" t="str">
        <f>IF(A3958="","",IF(AC3958&gt;1,"REVISAR DUPLICADO",IF(AA3958&lt;&gt;"","ACTUALIZADO POR EYR","SIN REPORTE EYR")))</f>
        <v/>
      </c>
    </row>
    <row r="3959" spans="11:30" x14ac:dyDescent="0.3">
      <c r="K3959" s="1" t="str">
        <f ca="1">IF(A3959="","",IF(OR(L3959="ENTREGADA",L3959="RETORNADA",L3959="ENTREGA DIGITAL"),0,MAX(0,5-NETWORKDAYS(H3959+1,TODAY()))))</f>
        <v/>
      </c>
      <c r="L3959" t="str">
        <f>IF(A3959="","",IFERROR(LOOKUP(2,1/(#REF!=Z3959),#REF!),Y3959))</f>
        <v/>
      </c>
      <c r="Z3959" t="str">
        <f>IF(A3959="","",TEXT(A3959,"0")&amp;"|"&amp;TEXT(H3959,"0"))</f>
        <v/>
      </c>
      <c r="AA3959" t="str">
        <f>IF(Z3959="","",IFERROR(LOOKUP(2,1/(#REF!=Z3959),#REF!),""))</f>
        <v/>
      </c>
      <c r="AB3959" t="str">
        <f>IF(Z3959="","",IFERROR(LOOKUP(2,1/(#REF!=Z3959),#REF!),""))</f>
        <v/>
      </c>
      <c r="AC3959" t="str">
        <f>IF(Z3959="","",COUNTIF(#REF!,Z3959))</f>
        <v/>
      </c>
      <c r="AD3959" t="str">
        <f>IF(A3959="","",IF(AC3959&gt;1,"REVISAR DUPLICADO",IF(AA3959&lt;&gt;"","ACTUALIZADO POR EYR","SIN REPORTE EYR")))</f>
        <v/>
      </c>
    </row>
    <row r="3960" spans="11:30" x14ac:dyDescent="0.3">
      <c r="K3960" s="1" t="str">
        <f ca="1">IF(A3960="","",IF(OR(L3960="ENTREGADA",L3960="RETORNADA",L3960="ENTREGA DIGITAL"),0,MAX(0,5-NETWORKDAYS(H3960+1,TODAY()))))</f>
        <v/>
      </c>
      <c r="L3960" t="str">
        <f>IF(A3960="","",IFERROR(LOOKUP(2,1/(#REF!=Z3960),#REF!),Y3960))</f>
        <v/>
      </c>
      <c r="Z3960" t="str">
        <f>IF(A3960="","",TEXT(A3960,"0")&amp;"|"&amp;TEXT(H3960,"0"))</f>
        <v/>
      </c>
      <c r="AA3960" t="str">
        <f>IF(Z3960="","",IFERROR(LOOKUP(2,1/(#REF!=Z3960),#REF!),""))</f>
        <v/>
      </c>
      <c r="AB3960" t="str">
        <f>IF(Z3960="","",IFERROR(LOOKUP(2,1/(#REF!=Z3960),#REF!),""))</f>
        <v/>
      </c>
      <c r="AC3960" t="str">
        <f>IF(Z3960="","",COUNTIF(#REF!,Z3960))</f>
        <v/>
      </c>
      <c r="AD3960" t="str">
        <f>IF(A3960="","",IF(AC3960&gt;1,"REVISAR DUPLICADO",IF(AA3960&lt;&gt;"","ACTUALIZADO POR EYR","SIN REPORTE EYR")))</f>
        <v/>
      </c>
    </row>
    <row r="3961" spans="11:30" x14ac:dyDescent="0.3">
      <c r="K3961" s="1" t="str">
        <f ca="1">IF(A3961="","",IF(OR(L3961="ENTREGADA",L3961="RETORNADA",L3961="ENTREGA DIGITAL"),0,MAX(0,5-NETWORKDAYS(H3961+1,TODAY()))))</f>
        <v/>
      </c>
      <c r="L3961" t="str">
        <f>IF(A3961="","",IFERROR(LOOKUP(2,1/(#REF!=Z3961),#REF!),Y3961))</f>
        <v/>
      </c>
      <c r="Z3961" t="str">
        <f>IF(A3961="","",TEXT(A3961,"0")&amp;"|"&amp;TEXT(H3961,"0"))</f>
        <v/>
      </c>
      <c r="AA3961" t="str">
        <f>IF(Z3961="","",IFERROR(LOOKUP(2,1/(#REF!=Z3961),#REF!),""))</f>
        <v/>
      </c>
      <c r="AB3961" t="str">
        <f>IF(Z3961="","",IFERROR(LOOKUP(2,1/(#REF!=Z3961),#REF!),""))</f>
        <v/>
      </c>
      <c r="AC3961" t="str">
        <f>IF(Z3961="","",COUNTIF(#REF!,Z3961))</f>
        <v/>
      </c>
      <c r="AD3961" t="str">
        <f>IF(A3961="","",IF(AC3961&gt;1,"REVISAR DUPLICADO",IF(AA3961&lt;&gt;"","ACTUALIZADO POR EYR","SIN REPORTE EYR")))</f>
        <v/>
      </c>
    </row>
    <row r="3962" spans="11:30" x14ac:dyDescent="0.3">
      <c r="K3962" s="1" t="str">
        <f ca="1">IF(A3962="","",IF(OR(L3962="ENTREGADA",L3962="RETORNADA",L3962="ENTREGA DIGITAL"),0,MAX(0,5-NETWORKDAYS(H3962+1,TODAY()))))</f>
        <v/>
      </c>
      <c r="L3962" t="str">
        <f>IF(A3962="","",IFERROR(LOOKUP(2,1/(#REF!=Z3962),#REF!),Y3962))</f>
        <v/>
      </c>
      <c r="Z3962" t="str">
        <f>IF(A3962="","",TEXT(A3962,"0")&amp;"|"&amp;TEXT(H3962,"0"))</f>
        <v/>
      </c>
      <c r="AA3962" t="str">
        <f>IF(Z3962="","",IFERROR(LOOKUP(2,1/(#REF!=Z3962),#REF!),""))</f>
        <v/>
      </c>
      <c r="AB3962" t="str">
        <f>IF(Z3962="","",IFERROR(LOOKUP(2,1/(#REF!=Z3962),#REF!),""))</f>
        <v/>
      </c>
      <c r="AC3962" t="str">
        <f>IF(Z3962="","",COUNTIF(#REF!,Z3962))</f>
        <v/>
      </c>
      <c r="AD3962" t="str">
        <f>IF(A3962="","",IF(AC3962&gt;1,"REVISAR DUPLICADO",IF(AA3962&lt;&gt;"","ACTUALIZADO POR EYR","SIN REPORTE EYR")))</f>
        <v/>
      </c>
    </row>
    <row r="3963" spans="11:30" x14ac:dyDescent="0.3">
      <c r="K3963" s="1" t="str">
        <f ca="1">IF(A3963="","",IF(OR(L3963="ENTREGADA",L3963="RETORNADA",L3963="ENTREGA DIGITAL"),0,MAX(0,5-NETWORKDAYS(H3963+1,TODAY()))))</f>
        <v/>
      </c>
      <c r="L3963" t="str">
        <f>IF(A3963="","",IFERROR(LOOKUP(2,1/(#REF!=Z3963),#REF!),Y3963))</f>
        <v/>
      </c>
      <c r="Z3963" t="str">
        <f>IF(A3963="","",TEXT(A3963,"0")&amp;"|"&amp;TEXT(H3963,"0"))</f>
        <v/>
      </c>
      <c r="AA3963" t="str">
        <f>IF(Z3963="","",IFERROR(LOOKUP(2,1/(#REF!=Z3963),#REF!),""))</f>
        <v/>
      </c>
      <c r="AB3963" t="str">
        <f>IF(Z3963="","",IFERROR(LOOKUP(2,1/(#REF!=Z3963),#REF!),""))</f>
        <v/>
      </c>
      <c r="AC3963" t="str">
        <f>IF(Z3963="","",COUNTIF(#REF!,Z3963))</f>
        <v/>
      </c>
      <c r="AD3963" t="str">
        <f>IF(A3963="","",IF(AC3963&gt;1,"REVISAR DUPLICADO",IF(AA3963&lt;&gt;"","ACTUALIZADO POR EYR","SIN REPORTE EYR")))</f>
        <v/>
      </c>
    </row>
    <row r="3964" spans="11:30" x14ac:dyDescent="0.3">
      <c r="K3964" s="1" t="str">
        <f ca="1">IF(A3964="","",IF(OR(L3964="ENTREGADA",L3964="RETORNADA",L3964="ENTREGA DIGITAL"),0,MAX(0,5-NETWORKDAYS(H3964+1,TODAY()))))</f>
        <v/>
      </c>
      <c r="L3964" t="str">
        <f>IF(A3964="","",IFERROR(LOOKUP(2,1/(#REF!=Z3964),#REF!),Y3964))</f>
        <v/>
      </c>
      <c r="Z3964" t="str">
        <f>IF(A3964="","",TEXT(A3964,"0")&amp;"|"&amp;TEXT(H3964,"0"))</f>
        <v/>
      </c>
      <c r="AA3964" t="str">
        <f>IF(Z3964="","",IFERROR(LOOKUP(2,1/(#REF!=Z3964),#REF!),""))</f>
        <v/>
      </c>
      <c r="AB3964" t="str">
        <f>IF(Z3964="","",IFERROR(LOOKUP(2,1/(#REF!=Z3964),#REF!),""))</f>
        <v/>
      </c>
      <c r="AC3964" t="str">
        <f>IF(Z3964="","",COUNTIF(#REF!,Z3964))</f>
        <v/>
      </c>
      <c r="AD3964" t="str">
        <f>IF(A3964="","",IF(AC3964&gt;1,"REVISAR DUPLICADO",IF(AA3964&lt;&gt;"","ACTUALIZADO POR EYR","SIN REPORTE EYR")))</f>
        <v/>
      </c>
    </row>
    <row r="3965" spans="11:30" x14ac:dyDescent="0.3">
      <c r="K3965" s="1" t="str">
        <f ca="1">IF(A3965="","",IF(OR(L3965="ENTREGADA",L3965="RETORNADA",L3965="ENTREGA DIGITAL"),0,MAX(0,5-NETWORKDAYS(H3965+1,TODAY()))))</f>
        <v/>
      </c>
      <c r="L3965" t="str">
        <f>IF(A3965="","",IFERROR(LOOKUP(2,1/(#REF!=Z3965),#REF!),Y3965))</f>
        <v/>
      </c>
      <c r="Z3965" t="str">
        <f>IF(A3965="","",TEXT(A3965,"0")&amp;"|"&amp;TEXT(H3965,"0"))</f>
        <v/>
      </c>
      <c r="AA3965" t="str">
        <f>IF(Z3965="","",IFERROR(LOOKUP(2,1/(#REF!=Z3965),#REF!),""))</f>
        <v/>
      </c>
      <c r="AB3965" t="str">
        <f>IF(Z3965="","",IFERROR(LOOKUP(2,1/(#REF!=Z3965),#REF!),""))</f>
        <v/>
      </c>
      <c r="AC3965" t="str">
        <f>IF(Z3965="","",COUNTIF(#REF!,Z3965))</f>
        <v/>
      </c>
      <c r="AD3965" t="str">
        <f>IF(A3965="","",IF(AC3965&gt;1,"REVISAR DUPLICADO",IF(AA3965&lt;&gt;"","ACTUALIZADO POR EYR","SIN REPORTE EYR")))</f>
        <v/>
      </c>
    </row>
    <row r="3966" spans="11:30" x14ac:dyDescent="0.3">
      <c r="K3966" s="1" t="str">
        <f ca="1">IF(A3966="","",IF(OR(L3966="ENTREGADA",L3966="RETORNADA",L3966="ENTREGA DIGITAL"),0,MAX(0,5-NETWORKDAYS(H3966+1,TODAY()))))</f>
        <v/>
      </c>
      <c r="L3966" t="str">
        <f>IF(A3966="","",IFERROR(LOOKUP(2,1/(#REF!=Z3966),#REF!),Y3966))</f>
        <v/>
      </c>
      <c r="Z3966" t="str">
        <f>IF(A3966="","",TEXT(A3966,"0")&amp;"|"&amp;TEXT(H3966,"0"))</f>
        <v/>
      </c>
      <c r="AA3966" t="str">
        <f>IF(Z3966="","",IFERROR(LOOKUP(2,1/(#REF!=Z3966),#REF!),""))</f>
        <v/>
      </c>
      <c r="AB3966" t="str">
        <f>IF(Z3966="","",IFERROR(LOOKUP(2,1/(#REF!=Z3966),#REF!),""))</f>
        <v/>
      </c>
      <c r="AC3966" t="str">
        <f>IF(Z3966="","",COUNTIF(#REF!,Z3966))</f>
        <v/>
      </c>
      <c r="AD3966" t="str">
        <f>IF(A3966="","",IF(AC3966&gt;1,"REVISAR DUPLICADO",IF(AA3966&lt;&gt;"","ACTUALIZADO POR EYR","SIN REPORTE EYR")))</f>
        <v/>
      </c>
    </row>
    <row r="3967" spans="11:30" x14ac:dyDescent="0.3">
      <c r="K3967" s="1" t="str">
        <f ca="1">IF(A3967="","",IF(OR(L3967="ENTREGADA",L3967="RETORNADA",L3967="ENTREGA DIGITAL"),0,MAX(0,5-NETWORKDAYS(H3967+1,TODAY()))))</f>
        <v/>
      </c>
      <c r="L3967" t="str">
        <f>IF(A3967="","",IFERROR(LOOKUP(2,1/(#REF!=Z3967),#REF!),Y3967))</f>
        <v/>
      </c>
      <c r="Z3967" t="str">
        <f>IF(A3967="","",TEXT(A3967,"0")&amp;"|"&amp;TEXT(H3967,"0"))</f>
        <v/>
      </c>
      <c r="AA3967" t="str">
        <f>IF(Z3967="","",IFERROR(LOOKUP(2,1/(#REF!=Z3967),#REF!),""))</f>
        <v/>
      </c>
      <c r="AB3967" t="str">
        <f>IF(Z3967="","",IFERROR(LOOKUP(2,1/(#REF!=Z3967),#REF!),""))</f>
        <v/>
      </c>
      <c r="AC3967" t="str">
        <f>IF(Z3967="","",COUNTIF(#REF!,Z3967))</f>
        <v/>
      </c>
      <c r="AD3967" t="str">
        <f>IF(A3967="","",IF(AC3967&gt;1,"REVISAR DUPLICADO",IF(AA3967&lt;&gt;"","ACTUALIZADO POR EYR","SIN REPORTE EYR")))</f>
        <v/>
      </c>
    </row>
    <row r="3968" spans="11:30" x14ac:dyDescent="0.3">
      <c r="K3968" s="1" t="str">
        <f ca="1">IF(A3968="","",IF(OR(L3968="ENTREGADA",L3968="RETORNADA",L3968="ENTREGA DIGITAL"),0,MAX(0,5-NETWORKDAYS(H3968+1,TODAY()))))</f>
        <v/>
      </c>
      <c r="L3968" t="str">
        <f>IF(A3968="","",IFERROR(LOOKUP(2,1/(#REF!=Z3968),#REF!),Y3968))</f>
        <v/>
      </c>
      <c r="Z3968" t="str">
        <f>IF(A3968="","",TEXT(A3968,"0")&amp;"|"&amp;TEXT(H3968,"0"))</f>
        <v/>
      </c>
      <c r="AA3968" t="str">
        <f>IF(Z3968="","",IFERROR(LOOKUP(2,1/(#REF!=Z3968),#REF!),""))</f>
        <v/>
      </c>
      <c r="AB3968" t="str">
        <f>IF(Z3968="","",IFERROR(LOOKUP(2,1/(#REF!=Z3968),#REF!),""))</f>
        <v/>
      </c>
      <c r="AC3968" t="str">
        <f>IF(Z3968="","",COUNTIF(#REF!,Z3968))</f>
        <v/>
      </c>
      <c r="AD3968" t="str">
        <f>IF(A3968="","",IF(AC3968&gt;1,"REVISAR DUPLICADO",IF(AA3968&lt;&gt;"","ACTUALIZADO POR EYR","SIN REPORTE EYR")))</f>
        <v/>
      </c>
    </row>
    <row r="3969" spans="11:30" x14ac:dyDescent="0.3">
      <c r="K3969" s="1" t="str">
        <f ca="1">IF(A3969="","",IF(OR(L3969="ENTREGADA",L3969="RETORNADA",L3969="ENTREGA DIGITAL"),0,MAX(0,5-NETWORKDAYS(H3969+1,TODAY()))))</f>
        <v/>
      </c>
      <c r="L3969" t="str">
        <f>IF(A3969="","",IFERROR(LOOKUP(2,1/(#REF!=Z3969),#REF!),Y3969))</f>
        <v/>
      </c>
      <c r="Z3969" t="str">
        <f>IF(A3969="","",TEXT(A3969,"0")&amp;"|"&amp;TEXT(H3969,"0"))</f>
        <v/>
      </c>
      <c r="AA3969" t="str">
        <f>IF(Z3969="","",IFERROR(LOOKUP(2,1/(#REF!=Z3969),#REF!),""))</f>
        <v/>
      </c>
      <c r="AB3969" t="str">
        <f>IF(Z3969="","",IFERROR(LOOKUP(2,1/(#REF!=Z3969),#REF!),""))</f>
        <v/>
      </c>
      <c r="AC3969" t="str">
        <f>IF(Z3969="","",COUNTIF(#REF!,Z3969))</f>
        <v/>
      </c>
      <c r="AD3969" t="str">
        <f>IF(A3969="","",IF(AC3969&gt;1,"REVISAR DUPLICADO",IF(AA3969&lt;&gt;"","ACTUALIZADO POR EYR","SIN REPORTE EYR")))</f>
        <v/>
      </c>
    </row>
    <row r="3970" spans="11:30" x14ac:dyDescent="0.3">
      <c r="K3970" s="1" t="str">
        <f ca="1">IF(A3970="","",IF(OR(L3970="ENTREGADA",L3970="RETORNADA",L3970="ENTREGA DIGITAL"),0,MAX(0,5-NETWORKDAYS(H3970+1,TODAY()))))</f>
        <v/>
      </c>
      <c r="L3970" t="str">
        <f>IF(A3970="","",IFERROR(LOOKUP(2,1/(#REF!=Z3970),#REF!),Y3970))</f>
        <v/>
      </c>
      <c r="Z3970" t="str">
        <f>IF(A3970="","",TEXT(A3970,"0")&amp;"|"&amp;TEXT(H3970,"0"))</f>
        <v/>
      </c>
      <c r="AA3970" t="str">
        <f>IF(Z3970="","",IFERROR(LOOKUP(2,1/(#REF!=Z3970),#REF!),""))</f>
        <v/>
      </c>
      <c r="AB3970" t="str">
        <f>IF(Z3970="","",IFERROR(LOOKUP(2,1/(#REF!=Z3970),#REF!),""))</f>
        <v/>
      </c>
      <c r="AC3970" t="str">
        <f>IF(Z3970="","",COUNTIF(#REF!,Z3970))</f>
        <v/>
      </c>
      <c r="AD3970" t="str">
        <f>IF(A3970="","",IF(AC3970&gt;1,"REVISAR DUPLICADO",IF(AA3970&lt;&gt;"","ACTUALIZADO POR EYR","SIN REPORTE EYR")))</f>
        <v/>
      </c>
    </row>
    <row r="3971" spans="11:30" x14ac:dyDescent="0.3">
      <c r="K3971" s="1" t="str">
        <f ca="1">IF(A3971="","",IF(OR(L3971="ENTREGADA",L3971="RETORNADA",L3971="ENTREGA DIGITAL"),0,MAX(0,5-NETWORKDAYS(H3971+1,TODAY()))))</f>
        <v/>
      </c>
      <c r="L3971" t="str">
        <f>IF(A3971="","",IFERROR(LOOKUP(2,1/(#REF!=Z3971),#REF!),Y3971))</f>
        <v/>
      </c>
      <c r="Z3971" t="str">
        <f>IF(A3971="","",TEXT(A3971,"0")&amp;"|"&amp;TEXT(H3971,"0"))</f>
        <v/>
      </c>
      <c r="AA3971" t="str">
        <f>IF(Z3971="","",IFERROR(LOOKUP(2,1/(#REF!=Z3971),#REF!),""))</f>
        <v/>
      </c>
      <c r="AB3971" t="str">
        <f>IF(Z3971="","",IFERROR(LOOKUP(2,1/(#REF!=Z3971),#REF!),""))</f>
        <v/>
      </c>
      <c r="AC3971" t="str">
        <f>IF(Z3971="","",COUNTIF(#REF!,Z3971))</f>
        <v/>
      </c>
      <c r="AD3971" t="str">
        <f>IF(A3971="","",IF(AC3971&gt;1,"REVISAR DUPLICADO",IF(AA3971&lt;&gt;"","ACTUALIZADO POR EYR","SIN REPORTE EYR")))</f>
        <v/>
      </c>
    </row>
    <row r="3972" spans="11:30" x14ac:dyDescent="0.3">
      <c r="K3972" s="1" t="str">
        <f ca="1">IF(A3972="","",IF(OR(L3972="ENTREGADA",L3972="RETORNADA",L3972="ENTREGA DIGITAL"),0,MAX(0,5-NETWORKDAYS(H3972+1,TODAY()))))</f>
        <v/>
      </c>
      <c r="L3972" t="str">
        <f>IF(A3972="","",IFERROR(LOOKUP(2,1/(#REF!=Z3972),#REF!),Y3972))</f>
        <v/>
      </c>
      <c r="Z3972" t="str">
        <f>IF(A3972="","",TEXT(A3972,"0")&amp;"|"&amp;TEXT(H3972,"0"))</f>
        <v/>
      </c>
      <c r="AA3972" t="str">
        <f>IF(Z3972="","",IFERROR(LOOKUP(2,1/(#REF!=Z3972),#REF!),""))</f>
        <v/>
      </c>
      <c r="AB3972" t="str">
        <f>IF(Z3972="","",IFERROR(LOOKUP(2,1/(#REF!=Z3972),#REF!),""))</f>
        <v/>
      </c>
      <c r="AC3972" t="str">
        <f>IF(Z3972="","",COUNTIF(#REF!,Z3972))</f>
        <v/>
      </c>
      <c r="AD3972" t="str">
        <f>IF(A3972="","",IF(AC3972&gt;1,"REVISAR DUPLICADO",IF(AA3972&lt;&gt;"","ACTUALIZADO POR EYR","SIN REPORTE EYR")))</f>
        <v/>
      </c>
    </row>
    <row r="3973" spans="11:30" x14ac:dyDescent="0.3">
      <c r="K3973" s="1" t="str">
        <f ca="1">IF(A3973="","",IF(OR(L3973="ENTREGADA",L3973="RETORNADA",L3973="ENTREGA DIGITAL"),0,MAX(0,5-NETWORKDAYS(H3973+1,TODAY()))))</f>
        <v/>
      </c>
      <c r="L3973" t="str">
        <f>IF(A3973="","",IFERROR(LOOKUP(2,1/(#REF!=Z3973),#REF!),Y3973))</f>
        <v/>
      </c>
      <c r="Z3973" t="str">
        <f>IF(A3973="","",TEXT(A3973,"0")&amp;"|"&amp;TEXT(H3973,"0"))</f>
        <v/>
      </c>
      <c r="AA3973" t="str">
        <f>IF(Z3973="","",IFERROR(LOOKUP(2,1/(#REF!=Z3973),#REF!),""))</f>
        <v/>
      </c>
      <c r="AB3973" t="str">
        <f>IF(Z3973="","",IFERROR(LOOKUP(2,1/(#REF!=Z3973),#REF!),""))</f>
        <v/>
      </c>
      <c r="AC3973" t="str">
        <f>IF(Z3973="","",COUNTIF(#REF!,Z3973))</f>
        <v/>
      </c>
      <c r="AD3973" t="str">
        <f>IF(A3973="","",IF(AC3973&gt;1,"REVISAR DUPLICADO",IF(AA3973&lt;&gt;"","ACTUALIZADO POR EYR","SIN REPORTE EYR")))</f>
        <v/>
      </c>
    </row>
    <row r="3974" spans="11:30" x14ac:dyDescent="0.3">
      <c r="K3974" s="1" t="str">
        <f ca="1">IF(A3974="","",IF(OR(L3974="ENTREGADA",L3974="RETORNADA",L3974="ENTREGA DIGITAL"),0,MAX(0,5-NETWORKDAYS(H3974+1,TODAY()))))</f>
        <v/>
      </c>
      <c r="L3974" t="str">
        <f>IF(A3974="","",IFERROR(LOOKUP(2,1/(#REF!=Z3974),#REF!),Y3974))</f>
        <v/>
      </c>
      <c r="Z3974" t="str">
        <f>IF(A3974="","",TEXT(A3974,"0")&amp;"|"&amp;TEXT(H3974,"0"))</f>
        <v/>
      </c>
      <c r="AA3974" t="str">
        <f>IF(Z3974="","",IFERROR(LOOKUP(2,1/(#REF!=Z3974),#REF!),""))</f>
        <v/>
      </c>
      <c r="AB3974" t="str">
        <f>IF(Z3974="","",IFERROR(LOOKUP(2,1/(#REF!=Z3974),#REF!),""))</f>
        <v/>
      </c>
      <c r="AC3974" t="str">
        <f>IF(Z3974="","",COUNTIF(#REF!,Z3974))</f>
        <v/>
      </c>
      <c r="AD3974" t="str">
        <f>IF(A3974="","",IF(AC3974&gt;1,"REVISAR DUPLICADO",IF(AA3974&lt;&gt;"","ACTUALIZADO POR EYR","SIN REPORTE EYR")))</f>
        <v/>
      </c>
    </row>
    <row r="3975" spans="11:30" x14ac:dyDescent="0.3">
      <c r="K3975" s="1" t="str">
        <f ca="1">IF(A3975="","",IF(OR(L3975="ENTREGADA",L3975="RETORNADA",L3975="ENTREGA DIGITAL"),0,MAX(0,5-NETWORKDAYS(H3975+1,TODAY()))))</f>
        <v/>
      </c>
      <c r="L3975" t="str">
        <f>IF(A3975="","",IFERROR(LOOKUP(2,1/(#REF!=Z3975),#REF!),Y3975))</f>
        <v/>
      </c>
      <c r="Z3975" t="str">
        <f>IF(A3975="","",TEXT(A3975,"0")&amp;"|"&amp;TEXT(H3975,"0"))</f>
        <v/>
      </c>
      <c r="AA3975" t="str">
        <f>IF(Z3975="","",IFERROR(LOOKUP(2,1/(#REF!=Z3975),#REF!),""))</f>
        <v/>
      </c>
      <c r="AB3975" t="str">
        <f>IF(Z3975="","",IFERROR(LOOKUP(2,1/(#REF!=Z3975),#REF!),""))</f>
        <v/>
      </c>
      <c r="AC3975" t="str">
        <f>IF(Z3975="","",COUNTIF(#REF!,Z3975))</f>
        <v/>
      </c>
      <c r="AD3975" t="str">
        <f>IF(A3975="","",IF(AC3975&gt;1,"REVISAR DUPLICADO",IF(AA3975&lt;&gt;"","ACTUALIZADO POR EYR","SIN REPORTE EYR")))</f>
        <v/>
      </c>
    </row>
    <row r="3976" spans="11:30" x14ac:dyDescent="0.3">
      <c r="K3976" s="1" t="str">
        <f ca="1">IF(A3976="","",IF(OR(L3976="ENTREGADA",L3976="RETORNADA",L3976="ENTREGA DIGITAL"),0,MAX(0,5-NETWORKDAYS(H3976+1,TODAY()))))</f>
        <v/>
      </c>
      <c r="L3976" t="str">
        <f>IF(A3976="","",IFERROR(LOOKUP(2,1/(#REF!=Z3976),#REF!),Y3976))</f>
        <v/>
      </c>
      <c r="Z3976" t="str">
        <f>IF(A3976="","",TEXT(A3976,"0")&amp;"|"&amp;TEXT(H3976,"0"))</f>
        <v/>
      </c>
      <c r="AA3976" t="str">
        <f>IF(Z3976="","",IFERROR(LOOKUP(2,1/(#REF!=Z3976),#REF!),""))</f>
        <v/>
      </c>
      <c r="AB3976" t="str">
        <f>IF(Z3976="","",IFERROR(LOOKUP(2,1/(#REF!=Z3976),#REF!),""))</f>
        <v/>
      </c>
      <c r="AC3976" t="str">
        <f>IF(Z3976="","",COUNTIF(#REF!,Z3976))</f>
        <v/>
      </c>
      <c r="AD3976" t="str">
        <f>IF(A3976="","",IF(AC3976&gt;1,"REVISAR DUPLICADO",IF(AA3976&lt;&gt;"","ACTUALIZADO POR EYR","SIN REPORTE EYR")))</f>
        <v/>
      </c>
    </row>
    <row r="3977" spans="11:30" x14ac:dyDescent="0.3">
      <c r="K3977" s="1" t="str">
        <f ca="1">IF(A3977="","",IF(OR(L3977="ENTREGADA",L3977="RETORNADA",L3977="ENTREGA DIGITAL"),0,MAX(0,5-NETWORKDAYS(H3977+1,TODAY()))))</f>
        <v/>
      </c>
      <c r="L3977" t="str">
        <f>IF(A3977="","",IFERROR(LOOKUP(2,1/(#REF!=Z3977),#REF!),Y3977))</f>
        <v/>
      </c>
      <c r="Z3977" t="str">
        <f>IF(A3977="","",TEXT(A3977,"0")&amp;"|"&amp;TEXT(H3977,"0"))</f>
        <v/>
      </c>
      <c r="AA3977" t="str">
        <f>IF(Z3977="","",IFERROR(LOOKUP(2,1/(#REF!=Z3977),#REF!),""))</f>
        <v/>
      </c>
      <c r="AB3977" t="str">
        <f>IF(Z3977="","",IFERROR(LOOKUP(2,1/(#REF!=Z3977),#REF!),""))</f>
        <v/>
      </c>
      <c r="AC3977" t="str">
        <f>IF(Z3977="","",COUNTIF(#REF!,Z3977))</f>
        <v/>
      </c>
      <c r="AD3977" t="str">
        <f>IF(A3977="","",IF(AC3977&gt;1,"REVISAR DUPLICADO",IF(AA3977&lt;&gt;"","ACTUALIZADO POR EYR","SIN REPORTE EYR")))</f>
        <v/>
      </c>
    </row>
    <row r="3978" spans="11:30" x14ac:dyDescent="0.3">
      <c r="K3978" s="1" t="str">
        <f ca="1">IF(A3978="","",IF(OR(L3978="ENTREGADA",L3978="RETORNADA",L3978="ENTREGA DIGITAL"),0,MAX(0,5-NETWORKDAYS(H3978+1,TODAY()))))</f>
        <v/>
      </c>
      <c r="L3978" t="str">
        <f>IF(A3978="","",IFERROR(LOOKUP(2,1/(#REF!=Z3978),#REF!),Y3978))</f>
        <v/>
      </c>
      <c r="Z3978" t="str">
        <f>IF(A3978="","",TEXT(A3978,"0")&amp;"|"&amp;TEXT(H3978,"0"))</f>
        <v/>
      </c>
      <c r="AA3978" t="str">
        <f>IF(Z3978="","",IFERROR(LOOKUP(2,1/(#REF!=Z3978),#REF!),""))</f>
        <v/>
      </c>
      <c r="AB3978" t="str">
        <f>IF(Z3978="","",IFERROR(LOOKUP(2,1/(#REF!=Z3978),#REF!),""))</f>
        <v/>
      </c>
      <c r="AC3978" t="str">
        <f>IF(Z3978="","",COUNTIF(#REF!,Z3978))</f>
        <v/>
      </c>
      <c r="AD3978" t="str">
        <f>IF(A3978="","",IF(AC3978&gt;1,"REVISAR DUPLICADO",IF(AA3978&lt;&gt;"","ACTUALIZADO POR EYR","SIN REPORTE EYR")))</f>
        <v/>
      </c>
    </row>
    <row r="3979" spans="11:30" x14ac:dyDescent="0.3">
      <c r="K3979" s="1" t="str">
        <f ca="1">IF(A3979="","",IF(OR(L3979="ENTREGADA",L3979="RETORNADA",L3979="ENTREGA DIGITAL"),0,MAX(0,5-NETWORKDAYS(H3979+1,TODAY()))))</f>
        <v/>
      </c>
      <c r="L3979" t="str">
        <f>IF(A3979="","",IFERROR(LOOKUP(2,1/(#REF!=Z3979),#REF!),Y3979))</f>
        <v/>
      </c>
      <c r="Z3979" t="str">
        <f>IF(A3979="","",TEXT(A3979,"0")&amp;"|"&amp;TEXT(H3979,"0"))</f>
        <v/>
      </c>
      <c r="AA3979" t="str">
        <f>IF(Z3979="","",IFERROR(LOOKUP(2,1/(#REF!=Z3979),#REF!),""))</f>
        <v/>
      </c>
      <c r="AB3979" t="str">
        <f>IF(Z3979="","",IFERROR(LOOKUP(2,1/(#REF!=Z3979),#REF!),""))</f>
        <v/>
      </c>
      <c r="AC3979" t="str">
        <f>IF(Z3979="","",COUNTIF(#REF!,Z3979))</f>
        <v/>
      </c>
      <c r="AD3979" t="str">
        <f>IF(A3979="","",IF(AC3979&gt;1,"REVISAR DUPLICADO",IF(AA3979&lt;&gt;"","ACTUALIZADO POR EYR","SIN REPORTE EYR")))</f>
        <v/>
      </c>
    </row>
    <row r="3980" spans="11:30" x14ac:dyDescent="0.3">
      <c r="K3980" s="1" t="str">
        <f ca="1">IF(A3980="","",IF(OR(L3980="ENTREGADA",L3980="RETORNADA",L3980="ENTREGA DIGITAL"),0,MAX(0,5-NETWORKDAYS(H3980+1,TODAY()))))</f>
        <v/>
      </c>
      <c r="L3980" t="str">
        <f>IF(A3980="","",IFERROR(LOOKUP(2,1/(#REF!=Z3980),#REF!),Y3980))</f>
        <v/>
      </c>
      <c r="Z3980" t="str">
        <f>IF(A3980="","",TEXT(A3980,"0")&amp;"|"&amp;TEXT(H3980,"0"))</f>
        <v/>
      </c>
      <c r="AA3980" t="str">
        <f>IF(Z3980="","",IFERROR(LOOKUP(2,1/(#REF!=Z3980),#REF!),""))</f>
        <v/>
      </c>
      <c r="AB3980" t="str">
        <f>IF(Z3980="","",IFERROR(LOOKUP(2,1/(#REF!=Z3980),#REF!),""))</f>
        <v/>
      </c>
      <c r="AC3980" t="str">
        <f>IF(Z3980="","",COUNTIF(#REF!,Z3980))</f>
        <v/>
      </c>
      <c r="AD3980" t="str">
        <f>IF(A3980="","",IF(AC3980&gt;1,"REVISAR DUPLICADO",IF(AA3980&lt;&gt;"","ACTUALIZADO POR EYR","SIN REPORTE EYR")))</f>
        <v/>
      </c>
    </row>
    <row r="3981" spans="11:30" x14ac:dyDescent="0.3">
      <c r="K3981" s="1" t="str">
        <f ca="1">IF(A3981="","",IF(OR(L3981="ENTREGADA",L3981="RETORNADA",L3981="ENTREGA DIGITAL"),0,MAX(0,5-NETWORKDAYS(H3981+1,TODAY()))))</f>
        <v/>
      </c>
      <c r="L3981" t="str">
        <f>IF(A3981="","",IFERROR(LOOKUP(2,1/(#REF!=Z3981),#REF!),Y3981))</f>
        <v/>
      </c>
      <c r="Z3981" t="str">
        <f>IF(A3981="","",TEXT(A3981,"0")&amp;"|"&amp;TEXT(H3981,"0"))</f>
        <v/>
      </c>
      <c r="AA3981" t="str">
        <f>IF(Z3981="","",IFERROR(LOOKUP(2,1/(#REF!=Z3981),#REF!),""))</f>
        <v/>
      </c>
      <c r="AB3981" t="str">
        <f>IF(Z3981="","",IFERROR(LOOKUP(2,1/(#REF!=Z3981),#REF!),""))</f>
        <v/>
      </c>
      <c r="AC3981" t="str">
        <f>IF(Z3981="","",COUNTIF(#REF!,Z3981))</f>
        <v/>
      </c>
      <c r="AD3981" t="str">
        <f>IF(A3981="","",IF(AC3981&gt;1,"REVISAR DUPLICADO",IF(AA3981&lt;&gt;"","ACTUALIZADO POR EYR","SIN REPORTE EYR")))</f>
        <v/>
      </c>
    </row>
    <row r="3982" spans="11:30" x14ac:dyDescent="0.3">
      <c r="K3982" s="1" t="str">
        <f ca="1">IF(A3982="","",IF(OR(L3982="ENTREGADA",L3982="RETORNADA",L3982="ENTREGA DIGITAL"),0,MAX(0,5-NETWORKDAYS(H3982+1,TODAY()))))</f>
        <v/>
      </c>
      <c r="L3982" t="str">
        <f>IF(A3982="","",IFERROR(LOOKUP(2,1/(#REF!=Z3982),#REF!),Y3982))</f>
        <v/>
      </c>
      <c r="Z3982" t="str">
        <f>IF(A3982="","",TEXT(A3982,"0")&amp;"|"&amp;TEXT(H3982,"0"))</f>
        <v/>
      </c>
      <c r="AA3982" t="str">
        <f>IF(Z3982="","",IFERROR(LOOKUP(2,1/(#REF!=Z3982),#REF!),""))</f>
        <v/>
      </c>
      <c r="AB3982" t="str">
        <f>IF(Z3982="","",IFERROR(LOOKUP(2,1/(#REF!=Z3982),#REF!),""))</f>
        <v/>
      </c>
      <c r="AC3982" t="str">
        <f>IF(Z3982="","",COUNTIF(#REF!,Z3982))</f>
        <v/>
      </c>
      <c r="AD3982" t="str">
        <f>IF(A3982="","",IF(AC3982&gt;1,"REVISAR DUPLICADO",IF(AA3982&lt;&gt;"","ACTUALIZADO POR EYR","SIN REPORTE EYR")))</f>
        <v/>
      </c>
    </row>
    <row r="3983" spans="11:30" x14ac:dyDescent="0.3">
      <c r="K3983" s="1" t="str">
        <f ca="1">IF(A3983="","",IF(OR(L3983="ENTREGADA",L3983="RETORNADA",L3983="ENTREGA DIGITAL"),0,MAX(0,5-NETWORKDAYS(H3983+1,TODAY()))))</f>
        <v/>
      </c>
      <c r="L3983" t="str">
        <f>IF(A3983="","",IFERROR(LOOKUP(2,1/(#REF!=Z3983),#REF!),Y3983))</f>
        <v/>
      </c>
      <c r="Z3983" t="str">
        <f>IF(A3983="","",TEXT(A3983,"0")&amp;"|"&amp;TEXT(H3983,"0"))</f>
        <v/>
      </c>
      <c r="AA3983" t="str">
        <f>IF(Z3983="","",IFERROR(LOOKUP(2,1/(#REF!=Z3983),#REF!),""))</f>
        <v/>
      </c>
      <c r="AB3983" t="str">
        <f>IF(Z3983="","",IFERROR(LOOKUP(2,1/(#REF!=Z3983),#REF!),""))</f>
        <v/>
      </c>
      <c r="AC3983" t="str">
        <f>IF(Z3983="","",COUNTIF(#REF!,Z3983))</f>
        <v/>
      </c>
      <c r="AD3983" t="str">
        <f>IF(A3983="","",IF(AC3983&gt;1,"REVISAR DUPLICADO",IF(AA3983&lt;&gt;"","ACTUALIZADO POR EYR","SIN REPORTE EYR")))</f>
        <v/>
      </c>
    </row>
    <row r="3984" spans="11:30" x14ac:dyDescent="0.3">
      <c r="K3984" s="1" t="str">
        <f ca="1">IF(A3984="","",IF(OR(L3984="ENTREGADA",L3984="RETORNADA",L3984="ENTREGA DIGITAL"),0,MAX(0,5-NETWORKDAYS(H3984+1,TODAY()))))</f>
        <v/>
      </c>
      <c r="L3984" t="str">
        <f>IF(A3984="","",IFERROR(LOOKUP(2,1/(#REF!=Z3984),#REF!),Y3984))</f>
        <v/>
      </c>
      <c r="Z3984" t="str">
        <f>IF(A3984="","",TEXT(A3984,"0")&amp;"|"&amp;TEXT(H3984,"0"))</f>
        <v/>
      </c>
      <c r="AA3984" t="str">
        <f>IF(Z3984="","",IFERROR(LOOKUP(2,1/(#REF!=Z3984),#REF!),""))</f>
        <v/>
      </c>
      <c r="AB3984" t="str">
        <f>IF(Z3984="","",IFERROR(LOOKUP(2,1/(#REF!=Z3984),#REF!),""))</f>
        <v/>
      </c>
      <c r="AC3984" t="str">
        <f>IF(Z3984="","",COUNTIF(#REF!,Z3984))</f>
        <v/>
      </c>
      <c r="AD3984" t="str">
        <f>IF(A3984="","",IF(AC3984&gt;1,"REVISAR DUPLICADO",IF(AA3984&lt;&gt;"","ACTUALIZADO POR EYR","SIN REPORTE EYR")))</f>
        <v/>
      </c>
    </row>
    <row r="3985" spans="11:30" x14ac:dyDescent="0.3">
      <c r="K3985" s="1" t="str">
        <f ca="1">IF(A3985="","",IF(OR(L3985="ENTREGADA",L3985="RETORNADA",L3985="ENTREGA DIGITAL"),0,MAX(0,5-NETWORKDAYS(H3985+1,TODAY()))))</f>
        <v/>
      </c>
      <c r="L3985" t="str">
        <f>IF(A3985="","",IFERROR(LOOKUP(2,1/(#REF!=Z3985),#REF!),Y3985))</f>
        <v/>
      </c>
      <c r="Z3985" t="str">
        <f>IF(A3985="","",TEXT(A3985,"0")&amp;"|"&amp;TEXT(H3985,"0"))</f>
        <v/>
      </c>
      <c r="AA3985" t="str">
        <f>IF(Z3985="","",IFERROR(LOOKUP(2,1/(#REF!=Z3985),#REF!),""))</f>
        <v/>
      </c>
      <c r="AB3985" t="str">
        <f>IF(Z3985="","",IFERROR(LOOKUP(2,1/(#REF!=Z3985),#REF!),""))</f>
        <v/>
      </c>
      <c r="AC3985" t="str">
        <f>IF(Z3985="","",COUNTIF(#REF!,Z3985))</f>
        <v/>
      </c>
      <c r="AD3985" t="str">
        <f>IF(A3985="","",IF(AC3985&gt;1,"REVISAR DUPLICADO",IF(AA3985&lt;&gt;"","ACTUALIZADO POR EYR","SIN REPORTE EYR")))</f>
        <v/>
      </c>
    </row>
    <row r="3986" spans="11:30" x14ac:dyDescent="0.3">
      <c r="K3986" s="1" t="str">
        <f ca="1">IF(A3986="","",IF(OR(L3986="ENTREGADA",L3986="RETORNADA",L3986="ENTREGA DIGITAL"),0,MAX(0,5-NETWORKDAYS(H3986+1,TODAY()))))</f>
        <v/>
      </c>
      <c r="L3986" t="str">
        <f>IF(A3986="","",IFERROR(LOOKUP(2,1/(#REF!=Z3986),#REF!),Y3986))</f>
        <v/>
      </c>
      <c r="Z3986" t="str">
        <f>IF(A3986="","",TEXT(A3986,"0")&amp;"|"&amp;TEXT(H3986,"0"))</f>
        <v/>
      </c>
      <c r="AA3986" t="str">
        <f>IF(Z3986="","",IFERROR(LOOKUP(2,1/(#REF!=Z3986),#REF!),""))</f>
        <v/>
      </c>
      <c r="AB3986" t="str">
        <f>IF(Z3986="","",IFERROR(LOOKUP(2,1/(#REF!=Z3986),#REF!),""))</f>
        <v/>
      </c>
      <c r="AC3986" t="str">
        <f>IF(Z3986="","",COUNTIF(#REF!,Z3986))</f>
        <v/>
      </c>
      <c r="AD3986" t="str">
        <f>IF(A3986="","",IF(AC3986&gt;1,"REVISAR DUPLICADO",IF(AA3986&lt;&gt;"","ACTUALIZADO POR EYR","SIN REPORTE EYR")))</f>
        <v/>
      </c>
    </row>
    <row r="3987" spans="11:30" x14ac:dyDescent="0.3">
      <c r="K3987" s="1" t="str">
        <f ca="1">IF(A3987="","",IF(OR(L3987="ENTREGADA",L3987="RETORNADA",L3987="ENTREGA DIGITAL"),0,MAX(0,5-NETWORKDAYS(H3987+1,TODAY()))))</f>
        <v/>
      </c>
      <c r="L3987" t="str">
        <f>IF(A3987="","",IFERROR(LOOKUP(2,1/(#REF!=Z3987),#REF!),Y3987))</f>
        <v/>
      </c>
      <c r="Z3987" t="str">
        <f>IF(A3987="","",TEXT(A3987,"0")&amp;"|"&amp;TEXT(H3987,"0"))</f>
        <v/>
      </c>
      <c r="AA3987" t="str">
        <f>IF(Z3987="","",IFERROR(LOOKUP(2,1/(#REF!=Z3987),#REF!),""))</f>
        <v/>
      </c>
      <c r="AB3987" t="str">
        <f>IF(Z3987="","",IFERROR(LOOKUP(2,1/(#REF!=Z3987),#REF!),""))</f>
        <v/>
      </c>
      <c r="AC3987" t="str">
        <f>IF(Z3987="","",COUNTIF(#REF!,Z3987))</f>
        <v/>
      </c>
      <c r="AD3987" t="str">
        <f>IF(A3987="","",IF(AC3987&gt;1,"REVISAR DUPLICADO",IF(AA3987&lt;&gt;"","ACTUALIZADO POR EYR","SIN REPORTE EYR")))</f>
        <v/>
      </c>
    </row>
    <row r="3988" spans="11:30" x14ac:dyDescent="0.3">
      <c r="K3988" s="1" t="str">
        <f ca="1">IF(A3988="","",IF(OR(L3988="ENTREGADA",L3988="RETORNADA",L3988="ENTREGA DIGITAL"),0,MAX(0,5-NETWORKDAYS(H3988+1,TODAY()))))</f>
        <v/>
      </c>
      <c r="L3988" t="str">
        <f>IF(A3988="","",IFERROR(LOOKUP(2,1/(#REF!=Z3988),#REF!),Y3988))</f>
        <v/>
      </c>
      <c r="Z3988" t="str">
        <f>IF(A3988="","",TEXT(A3988,"0")&amp;"|"&amp;TEXT(H3988,"0"))</f>
        <v/>
      </c>
      <c r="AA3988" t="str">
        <f>IF(Z3988="","",IFERROR(LOOKUP(2,1/(#REF!=Z3988),#REF!),""))</f>
        <v/>
      </c>
      <c r="AB3988" t="str">
        <f>IF(Z3988="","",IFERROR(LOOKUP(2,1/(#REF!=Z3988),#REF!),""))</f>
        <v/>
      </c>
      <c r="AC3988" t="str">
        <f>IF(Z3988="","",COUNTIF(#REF!,Z3988))</f>
        <v/>
      </c>
      <c r="AD3988" t="str">
        <f>IF(A3988="","",IF(AC3988&gt;1,"REVISAR DUPLICADO",IF(AA3988&lt;&gt;"","ACTUALIZADO POR EYR","SIN REPORTE EYR")))</f>
        <v/>
      </c>
    </row>
    <row r="3989" spans="11:30" x14ac:dyDescent="0.3">
      <c r="K3989" s="1" t="str">
        <f ca="1">IF(A3989="","",IF(OR(L3989="ENTREGADA",L3989="RETORNADA",L3989="ENTREGA DIGITAL"),0,MAX(0,5-NETWORKDAYS(H3989+1,TODAY()))))</f>
        <v/>
      </c>
      <c r="L3989" t="str">
        <f>IF(A3989="","",IFERROR(LOOKUP(2,1/(#REF!=Z3989),#REF!),Y3989))</f>
        <v/>
      </c>
      <c r="Z3989" t="str">
        <f>IF(A3989="","",TEXT(A3989,"0")&amp;"|"&amp;TEXT(H3989,"0"))</f>
        <v/>
      </c>
      <c r="AA3989" t="str">
        <f>IF(Z3989="","",IFERROR(LOOKUP(2,1/(#REF!=Z3989),#REF!),""))</f>
        <v/>
      </c>
      <c r="AB3989" t="str">
        <f>IF(Z3989="","",IFERROR(LOOKUP(2,1/(#REF!=Z3989),#REF!),""))</f>
        <v/>
      </c>
      <c r="AC3989" t="str">
        <f>IF(Z3989="","",COUNTIF(#REF!,Z3989))</f>
        <v/>
      </c>
      <c r="AD3989" t="str">
        <f>IF(A3989="","",IF(AC3989&gt;1,"REVISAR DUPLICADO",IF(AA3989&lt;&gt;"","ACTUALIZADO POR EYR","SIN REPORTE EYR")))</f>
        <v/>
      </c>
    </row>
    <row r="3990" spans="11:30" x14ac:dyDescent="0.3">
      <c r="K3990" s="1" t="str">
        <f ca="1">IF(A3990="","",IF(OR(L3990="ENTREGADA",L3990="RETORNADA",L3990="ENTREGA DIGITAL"),0,MAX(0,5-NETWORKDAYS(H3990+1,TODAY()))))</f>
        <v/>
      </c>
      <c r="L3990" t="str">
        <f>IF(A3990="","",IFERROR(LOOKUP(2,1/(#REF!=Z3990),#REF!),Y3990))</f>
        <v/>
      </c>
      <c r="Z3990" t="str">
        <f>IF(A3990="","",TEXT(A3990,"0")&amp;"|"&amp;TEXT(H3990,"0"))</f>
        <v/>
      </c>
      <c r="AA3990" t="str">
        <f>IF(Z3990="","",IFERROR(LOOKUP(2,1/(#REF!=Z3990),#REF!),""))</f>
        <v/>
      </c>
      <c r="AB3990" t="str">
        <f>IF(Z3990="","",IFERROR(LOOKUP(2,1/(#REF!=Z3990),#REF!),""))</f>
        <v/>
      </c>
      <c r="AC3990" t="str">
        <f>IF(Z3990="","",COUNTIF(#REF!,Z3990))</f>
        <v/>
      </c>
      <c r="AD3990" t="str">
        <f>IF(A3990="","",IF(AC3990&gt;1,"REVISAR DUPLICADO",IF(AA3990&lt;&gt;"","ACTUALIZADO POR EYR","SIN REPORTE EYR")))</f>
        <v/>
      </c>
    </row>
    <row r="3991" spans="11:30" x14ac:dyDescent="0.3">
      <c r="K3991" s="1" t="str">
        <f ca="1">IF(A3991="","",IF(OR(L3991="ENTREGADA",L3991="RETORNADA",L3991="ENTREGA DIGITAL"),0,MAX(0,5-NETWORKDAYS(H3991+1,TODAY()))))</f>
        <v/>
      </c>
      <c r="L3991" t="str">
        <f>IF(A3991="","",IFERROR(LOOKUP(2,1/(#REF!=Z3991),#REF!),Y3991))</f>
        <v/>
      </c>
      <c r="Z3991" t="str">
        <f>IF(A3991="","",TEXT(A3991,"0")&amp;"|"&amp;TEXT(H3991,"0"))</f>
        <v/>
      </c>
      <c r="AA3991" t="str">
        <f>IF(Z3991="","",IFERROR(LOOKUP(2,1/(#REF!=Z3991),#REF!),""))</f>
        <v/>
      </c>
      <c r="AB3991" t="str">
        <f>IF(Z3991="","",IFERROR(LOOKUP(2,1/(#REF!=Z3991),#REF!),""))</f>
        <v/>
      </c>
      <c r="AC3991" t="str">
        <f>IF(Z3991="","",COUNTIF(#REF!,Z3991))</f>
        <v/>
      </c>
      <c r="AD3991" t="str">
        <f>IF(A3991="","",IF(AC3991&gt;1,"REVISAR DUPLICADO",IF(AA3991&lt;&gt;"","ACTUALIZADO POR EYR","SIN REPORTE EYR")))</f>
        <v/>
      </c>
    </row>
    <row r="3992" spans="11:30" x14ac:dyDescent="0.3">
      <c r="K3992" s="1" t="str">
        <f ca="1">IF(A3992="","",IF(OR(L3992="ENTREGADA",L3992="RETORNADA",L3992="ENTREGA DIGITAL"),0,MAX(0,5-NETWORKDAYS(H3992+1,TODAY()))))</f>
        <v/>
      </c>
      <c r="L3992" t="str">
        <f>IF(A3992="","",IFERROR(LOOKUP(2,1/(#REF!=Z3992),#REF!),Y3992))</f>
        <v/>
      </c>
      <c r="Z3992" t="str">
        <f>IF(A3992="","",TEXT(A3992,"0")&amp;"|"&amp;TEXT(H3992,"0"))</f>
        <v/>
      </c>
      <c r="AA3992" t="str">
        <f>IF(Z3992="","",IFERROR(LOOKUP(2,1/(#REF!=Z3992),#REF!),""))</f>
        <v/>
      </c>
      <c r="AB3992" t="str">
        <f>IF(Z3992="","",IFERROR(LOOKUP(2,1/(#REF!=Z3992),#REF!),""))</f>
        <v/>
      </c>
      <c r="AC3992" t="str">
        <f>IF(Z3992="","",COUNTIF(#REF!,Z3992))</f>
        <v/>
      </c>
      <c r="AD3992" t="str">
        <f>IF(A3992="","",IF(AC3992&gt;1,"REVISAR DUPLICADO",IF(AA3992&lt;&gt;"","ACTUALIZADO POR EYR","SIN REPORTE EYR")))</f>
        <v/>
      </c>
    </row>
    <row r="3993" spans="11:30" x14ac:dyDescent="0.3">
      <c r="K3993" s="1" t="str">
        <f ca="1">IF(A3993="","",IF(OR(L3993="ENTREGADA",L3993="RETORNADA",L3993="ENTREGA DIGITAL"),0,MAX(0,5-NETWORKDAYS(H3993+1,TODAY()))))</f>
        <v/>
      </c>
      <c r="L3993" t="str">
        <f>IF(A3993="","",IFERROR(LOOKUP(2,1/(#REF!=Z3993),#REF!),Y3993))</f>
        <v/>
      </c>
      <c r="Z3993" t="str">
        <f>IF(A3993="","",TEXT(A3993,"0")&amp;"|"&amp;TEXT(H3993,"0"))</f>
        <v/>
      </c>
      <c r="AA3993" t="str">
        <f>IF(Z3993="","",IFERROR(LOOKUP(2,1/(#REF!=Z3993),#REF!),""))</f>
        <v/>
      </c>
      <c r="AB3993" t="str">
        <f>IF(Z3993="","",IFERROR(LOOKUP(2,1/(#REF!=Z3993),#REF!),""))</f>
        <v/>
      </c>
      <c r="AC3993" t="str">
        <f>IF(Z3993="","",COUNTIF(#REF!,Z3993))</f>
        <v/>
      </c>
      <c r="AD3993" t="str">
        <f>IF(A3993="","",IF(AC3993&gt;1,"REVISAR DUPLICADO",IF(AA3993&lt;&gt;"","ACTUALIZADO POR EYR","SIN REPORTE EYR")))</f>
        <v/>
      </c>
    </row>
    <row r="3994" spans="11:30" x14ac:dyDescent="0.3">
      <c r="K3994" s="1" t="str">
        <f ca="1">IF(A3994="","",IF(OR(L3994="ENTREGADA",L3994="RETORNADA",L3994="ENTREGA DIGITAL"),0,MAX(0,5-NETWORKDAYS(H3994+1,TODAY()))))</f>
        <v/>
      </c>
      <c r="L3994" t="str">
        <f>IF(A3994="","",IFERROR(LOOKUP(2,1/(#REF!=Z3994),#REF!),Y3994))</f>
        <v/>
      </c>
      <c r="Z3994" t="str">
        <f>IF(A3994="","",TEXT(A3994,"0")&amp;"|"&amp;TEXT(H3994,"0"))</f>
        <v/>
      </c>
      <c r="AA3994" t="str">
        <f>IF(Z3994="","",IFERROR(LOOKUP(2,1/(#REF!=Z3994),#REF!),""))</f>
        <v/>
      </c>
      <c r="AB3994" t="str">
        <f>IF(Z3994="","",IFERROR(LOOKUP(2,1/(#REF!=Z3994),#REF!),""))</f>
        <v/>
      </c>
      <c r="AC3994" t="str">
        <f>IF(Z3994="","",COUNTIF(#REF!,Z3994))</f>
        <v/>
      </c>
      <c r="AD3994" t="str">
        <f>IF(A3994="","",IF(AC3994&gt;1,"REVISAR DUPLICADO",IF(AA3994&lt;&gt;"","ACTUALIZADO POR EYR","SIN REPORTE EYR")))</f>
        <v/>
      </c>
    </row>
    <row r="3995" spans="11:30" x14ac:dyDescent="0.3">
      <c r="K3995" s="1" t="str">
        <f ca="1">IF(A3995="","",IF(OR(L3995="ENTREGADA",L3995="RETORNADA",L3995="ENTREGA DIGITAL"),0,MAX(0,5-NETWORKDAYS(H3995+1,TODAY()))))</f>
        <v/>
      </c>
      <c r="L3995" t="str">
        <f>IF(A3995="","",IFERROR(LOOKUP(2,1/(#REF!=Z3995),#REF!),Y3995))</f>
        <v/>
      </c>
      <c r="Z3995" t="str">
        <f>IF(A3995="","",TEXT(A3995,"0")&amp;"|"&amp;TEXT(H3995,"0"))</f>
        <v/>
      </c>
      <c r="AA3995" t="str">
        <f>IF(Z3995="","",IFERROR(LOOKUP(2,1/(#REF!=Z3995),#REF!),""))</f>
        <v/>
      </c>
      <c r="AB3995" t="str">
        <f>IF(Z3995="","",IFERROR(LOOKUP(2,1/(#REF!=Z3995),#REF!),""))</f>
        <v/>
      </c>
      <c r="AC3995" t="str">
        <f>IF(Z3995="","",COUNTIF(#REF!,Z3995))</f>
        <v/>
      </c>
      <c r="AD3995" t="str">
        <f>IF(A3995="","",IF(AC3995&gt;1,"REVISAR DUPLICADO",IF(AA3995&lt;&gt;"","ACTUALIZADO POR EYR","SIN REPORTE EYR")))</f>
        <v/>
      </c>
    </row>
    <row r="3996" spans="11:30" x14ac:dyDescent="0.3">
      <c r="K3996" s="1" t="str">
        <f ca="1">IF(A3996="","",IF(OR(L3996="ENTREGADA",L3996="RETORNADA",L3996="ENTREGA DIGITAL"),0,MAX(0,5-NETWORKDAYS(H3996+1,TODAY()))))</f>
        <v/>
      </c>
      <c r="L3996" t="str">
        <f>IF(A3996="","",IFERROR(LOOKUP(2,1/(#REF!=Z3996),#REF!),Y3996))</f>
        <v/>
      </c>
      <c r="Z3996" t="str">
        <f>IF(A3996="","",TEXT(A3996,"0")&amp;"|"&amp;TEXT(H3996,"0"))</f>
        <v/>
      </c>
      <c r="AA3996" t="str">
        <f>IF(Z3996="","",IFERROR(LOOKUP(2,1/(#REF!=Z3996),#REF!),""))</f>
        <v/>
      </c>
      <c r="AB3996" t="str">
        <f>IF(Z3996="","",IFERROR(LOOKUP(2,1/(#REF!=Z3996),#REF!),""))</f>
        <v/>
      </c>
      <c r="AC3996" t="str">
        <f>IF(Z3996="","",COUNTIF(#REF!,Z3996))</f>
        <v/>
      </c>
      <c r="AD3996" t="str">
        <f>IF(A3996="","",IF(AC3996&gt;1,"REVISAR DUPLICADO",IF(AA3996&lt;&gt;"","ACTUALIZADO POR EYR","SIN REPORTE EYR")))</f>
        <v/>
      </c>
    </row>
    <row r="3997" spans="11:30" x14ac:dyDescent="0.3">
      <c r="K3997" s="1" t="str">
        <f ca="1">IF(A3997="","",IF(OR(L3997="ENTREGADA",L3997="RETORNADA",L3997="ENTREGA DIGITAL"),0,MAX(0,5-NETWORKDAYS(H3997+1,TODAY()))))</f>
        <v/>
      </c>
      <c r="L3997" t="str">
        <f>IF(A3997="","",IFERROR(LOOKUP(2,1/(#REF!=Z3997),#REF!),Y3997))</f>
        <v/>
      </c>
      <c r="Z3997" t="str">
        <f>IF(A3997="","",TEXT(A3997,"0")&amp;"|"&amp;TEXT(H3997,"0"))</f>
        <v/>
      </c>
      <c r="AA3997" t="str">
        <f>IF(Z3997="","",IFERROR(LOOKUP(2,1/(#REF!=Z3997),#REF!),""))</f>
        <v/>
      </c>
      <c r="AB3997" t="str">
        <f>IF(Z3997="","",IFERROR(LOOKUP(2,1/(#REF!=Z3997),#REF!),""))</f>
        <v/>
      </c>
      <c r="AC3997" t="str">
        <f>IF(Z3997="","",COUNTIF(#REF!,Z3997))</f>
        <v/>
      </c>
      <c r="AD3997" t="str">
        <f>IF(A3997="","",IF(AC3997&gt;1,"REVISAR DUPLICADO",IF(AA3997&lt;&gt;"","ACTUALIZADO POR EYR","SIN REPORTE EYR")))</f>
        <v/>
      </c>
    </row>
    <row r="3998" spans="11:30" x14ac:dyDescent="0.3">
      <c r="K3998" s="1" t="str">
        <f ca="1">IF(A3998="","",IF(OR(L3998="ENTREGADA",L3998="RETORNADA",L3998="ENTREGA DIGITAL"),0,MAX(0,5-NETWORKDAYS(H3998+1,TODAY()))))</f>
        <v/>
      </c>
      <c r="L3998" t="str">
        <f>IF(A3998="","",IFERROR(LOOKUP(2,1/(#REF!=Z3998),#REF!),Y3998))</f>
        <v/>
      </c>
      <c r="Z3998" t="str">
        <f>IF(A3998="","",TEXT(A3998,"0")&amp;"|"&amp;TEXT(H3998,"0"))</f>
        <v/>
      </c>
      <c r="AA3998" t="str">
        <f>IF(Z3998="","",IFERROR(LOOKUP(2,1/(#REF!=Z3998),#REF!),""))</f>
        <v/>
      </c>
      <c r="AB3998" t="str">
        <f>IF(Z3998="","",IFERROR(LOOKUP(2,1/(#REF!=Z3998),#REF!),""))</f>
        <v/>
      </c>
      <c r="AC3998" t="str">
        <f>IF(Z3998="","",COUNTIF(#REF!,Z3998))</f>
        <v/>
      </c>
      <c r="AD3998" t="str">
        <f>IF(A3998="","",IF(AC3998&gt;1,"REVISAR DUPLICADO",IF(AA3998&lt;&gt;"","ACTUALIZADO POR EYR","SIN REPORTE EYR")))</f>
        <v/>
      </c>
    </row>
    <row r="3999" spans="11:30" x14ac:dyDescent="0.3">
      <c r="K3999" s="1" t="str">
        <f ca="1">IF(A3999="","",IF(OR(L3999="ENTREGADA",L3999="RETORNADA",L3999="ENTREGA DIGITAL"),0,MAX(0,5-NETWORKDAYS(H3999+1,TODAY()))))</f>
        <v/>
      </c>
      <c r="L3999" t="str">
        <f>IF(A3999="","",IFERROR(LOOKUP(2,1/(#REF!=Z3999),#REF!),Y3999))</f>
        <v/>
      </c>
      <c r="Z3999" t="str">
        <f>IF(A3999="","",TEXT(A3999,"0")&amp;"|"&amp;TEXT(H3999,"0"))</f>
        <v/>
      </c>
      <c r="AA3999" t="str">
        <f>IF(Z3999="","",IFERROR(LOOKUP(2,1/(#REF!=Z3999),#REF!),""))</f>
        <v/>
      </c>
      <c r="AB3999" t="str">
        <f>IF(Z3999="","",IFERROR(LOOKUP(2,1/(#REF!=Z3999),#REF!),""))</f>
        <v/>
      </c>
      <c r="AC3999" t="str">
        <f>IF(Z3999="","",COUNTIF(#REF!,Z3999))</f>
        <v/>
      </c>
      <c r="AD3999" t="str">
        <f>IF(A3999="","",IF(AC3999&gt;1,"REVISAR DUPLICADO",IF(AA3999&lt;&gt;"","ACTUALIZADO POR EYR","SIN REPORTE EYR")))</f>
        <v/>
      </c>
    </row>
    <row r="4000" spans="11:30" x14ac:dyDescent="0.3">
      <c r="K4000" s="1" t="str">
        <f ca="1">IF(A4000="","",IF(OR(L4000="ENTREGADA",L4000="RETORNADA",L4000="ENTREGA DIGITAL"),0,MAX(0,5-NETWORKDAYS(H4000+1,TODAY()))))</f>
        <v/>
      </c>
      <c r="L4000" t="str">
        <f>IF(A4000="","",IFERROR(LOOKUP(2,1/(#REF!=Z4000),#REF!),Y4000))</f>
        <v/>
      </c>
      <c r="Z4000" t="str">
        <f>IF(A4000="","",TEXT(A4000,"0")&amp;"|"&amp;TEXT(H4000,"0"))</f>
        <v/>
      </c>
      <c r="AA4000" t="str">
        <f>IF(Z4000="","",IFERROR(LOOKUP(2,1/(#REF!=Z4000),#REF!),""))</f>
        <v/>
      </c>
      <c r="AB4000" t="str">
        <f>IF(Z4000="","",IFERROR(LOOKUP(2,1/(#REF!=Z4000),#REF!),""))</f>
        <v/>
      </c>
      <c r="AC4000" t="str">
        <f>IF(Z4000="","",COUNTIF(#REF!,Z4000))</f>
        <v/>
      </c>
      <c r="AD4000" t="str">
        <f>IF(A4000="","",IF(AC4000&gt;1,"REVISAR DUPLICADO",IF(AA4000&lt;&gt;"","ACTUALIZADO POR EYR","SIN REPORTE EYR")))</f>
        <v/>
      </c>
    </row>
    <row r="4001" spans="11:30" x14ac:dyDescent="0.3">
      <c r="K4001" s="1" t="str">
        <f ca="1">IF(A4001="","",IF(OR(L4001="ENTREGADA",L4001="RETORNADA",L4001="ENTREGA DIGITAL"),0,MAX(0,5-NETWORKDAYS(H4001+1,TODAY()))))</f>
        <v/>
      </c>
      <c r="L4001" t="str">
        <f>IF(A4001="","",IFERROR(LOOKUP(2,1/(#REF!=Z4001),#REF!),Y4001))</f>
        <v/>
      </c>
      <c r="Z4001" t="str">
        <f>IF(A4001="","",TEXT(A4001,"0")&amp;"|"&amp;TEXT(H4001,"0"))</f>
        <v/>
      </c>
      <c r="AA4001" t="str">
        <f>IF(Z4001="","",IFERROR(LOOKUP(2,1/(#REF!=Z4001),#REF!),""))</f>
        <v/>
      </c>
      <c r="AB4001" t="str">
        <f>IF(Z4001="","",IFERROR(LOOKUP(2,1/(#REF!=Z4001),#REF!),""))</f>
        <v/>
      </c>
      <c r="AC4001" t="str">
        <f>IF(Z4001="","",COUNTIF(#REF!,Z4001))</f>
        <v/>
      </c>
      <c r="AD4001" t="str">
        <f>IF(A4001="","",IF(AC4001&gt;1,"REVISAR DUPLICADO",IF(AA4001&lt;&gt;"","ACTUALIZADO POR EYR","SIN REPORTE EYR")))</f>
        <v/>
      </c>
    </row>
    <row r="4002" spans="11:30" x14ac:dyDescent="0.3">
      <c r="K4002" s="1" t="str">
        <f ca="1">IF(A4002="","",IF(OR(L4002="ENTREGADA",L4002="RETORNADA",L4002="ENTREGA DIGITAL"),0,MAX(0,5-NETWORKDAYS(H4002+1,TODAY()))))</f>
        <v/>
      </c>
      <c r="L4002" t="str">
        <f>IF(A4002="","",IFERROR(LOOKUP(2,1/(#REF!=Z4002),#REF!),Y4002))</f>
        <v/>
      </c>
      <c r="Z4002" t="str">
        <f>IF(A4002="","",TEXT(A4002,"0")&amp;"|"&amp;TEXT(H4002,"0"))</f>
        <v/>
      </c>
      <c r="AA4002" t="str">
        <f>IF(Z4002="","",IFERROR(LOOKUP(2,1/(#REF!=Z4002),#REF!),""))</f>
        <v/>
      </c>
      <c r="AB4002" t="str">
        <f>IF(Z4002="","",IFERROR(LOOKUP(2,1/(#REF!=Z4002),#REF!),""))</f>
        <v/>
      </c>
      <c r="AC4002" t="str">
        <f>IF(Z4002="","",COUNTIF(#REF!,Z4002))</f>
        <v/>
      </c>
      <c r="AD4002" t="str">
        <f>IF(A4002="","",IF(AC4002&gt;1,"REVISAR DUPLICADO",IF(AA4002&lt;&gt;"","ACTUALIZADO POR EYR","SIN REPORTE EYR")))</f>
        <v/>
      </c>
    </row>
    <row r="4003" spans="11:30" x14ac:dyDescent="0.3">
      <c r="K4003" s="1" t="str">
        <f ca="1">IF(A4003="","",IF(OR(L4003="ENTREGADA",L4003="RETORNADA",L4003="ENTREGA DIGITAL"),0,MAX(0,5-NETWORKDAYS(H4003+1,TODAY()))))</f>
        <v/>
      </c>
      <c r="L4003" t="str">
        <f>IF(A4003="","",IFERROR(LOOKUP(2,1/(#REF!=Z4003),#REF!),Y4003))</f>
        <v/>
      </c>
      <c r="Z4003" t="str">
        <f>IF(A4003="","",TEXT(A4003,"0")&amp;"|"&amp;TEXT(H4003,"0"))</f>
        <v/>
      </c>
      <c r="AA4003" t="str">
        <f>IF(Z4003="","",IFERROR(LOOKUP(2,1/(#REF!=Z4003),#REF!),""))</f>
        <v/>
      </c>
      <c r="AB4003" t="str">
        <f>IF(Z4003="","",IFERROR(LOOKUP(2,1/(#REF!=Z4003),#REF!),""))</f>
        <v/>
      </c>
      <c r="AC4003" t="str">
        <f>IF(Z4003="","",COUNTIF(#REF!,Z4003))</f>
        <v/>
      </c>
      <c r="AD4003" t="str">
        <f>IF(A4003="","",IF(AC4003&gt;1,"REVISAR DUPLICADO",IF(AA4003&lt;&gt;"","ACTUALIZADO POR EYR","SIN REPORTE EYR")))</f>
        <v/>
      </c>
    </row>
    <row r="4004" spans="11:30" x14ac:dyDescent="0.3">
      <c r="K4004" s="1" t="str">
        <f ca="1">IF(A4004="","",IF(OR(L4004="ENTREGADA",L4004="RETORNADA",L4004="ENTREGA DIGITAL"),0,MAX(0,5-NETWORKDAYS(H4004+1,TODAY()))))</f>
        <v/>
      </c>
      <c r="L4004" t="str">
        <f>IF(A4004="","",IFERROR(LOOKUP(2,1/(#REF!=Z4004),#REF!),Y4004))</f>
        <v/>
      </c>
      <c r="Z4004" t="str">
        <f>IF(A4004="","",TEXT(A4004,"0")&amp;"|"&amp;TEXT(H4004,"0"))</f>
        <v/>
      </c>
      <c r="AA4004" t="str">
        <f>IF(Z4004="","",IFERROR(LOOKUP(2,1/(#REF!=Z4004),#REF!),""))</f>
        <v/>
      </c>
      <c r="AB4004" t="str">
        <f>IF(Z4004="","",IFERROR(LOOKUP(2,1/(#REF!=Z4004),#REF!),""))</f>
        <v/>
      </c>
      <c r="AC4004" t="str">
        <f>IF(Z4004="","",COUNTIF(#REF!,Z4004))</f>
        <v/>
      </c>
      <c r="AD4004" t="str">
        <f>IF(A4004="","",IF(AC4004&gt;1,"REVISAR DUPLICADO",IF(AA4004&lt;&gt;"","ACTUALIZADO POR EYR","SIN REPORTE EYR")))</f>
        <v/>
      </c>
    </row>
    <row r="4005" spans="11:30" x14ac:dyDescent="0.3">
      <c r="K4005" s="1" t="str">
        <f ca="1">IF(A4005="","",IF(OR(L4005="ENTREGADA",L4005="RETORNADA",L4005="ENTREGA DIGITAL"),0,MAX(0,5-NETWORKDAYS(H4005+1,TODAY()))))</f>
        <v/>
      </c>
      <c r="L4005" t="str">
        <f>IF(A4005="","",IFERROR(LOOKUP(2,1/(#REF!=Z4005),#REF!),Y4005))</f>
        <v/>
      </c>
      <c r="Z4005" t="str">
        <f>IF(A4005="","",TEXT(A4005,"0")&amp;"|"&amp;TEXT(H4005,"0"))</f>
        <v/>
      </c>
      <c r="AA4005" t="str">
        <f>IF(Z4005="","",IFERROR(LOOKUP(2,1/(#REF!=Z4005),#REF!),""))</f>
        <v/>
      </c>
      <c r="AB4005" t="str">
        <f>IF(Z4005="","",IFERROR(LOOKUP(2,1/(#REF!=Z4005),#REF!),""))</f>
        <v/>
      </c>
      <c r="AC4005" t="str">
        <f>IF(Z4005="","",COUNTIF(#REF!,Z4005))</f>
        <v/>
      </c>
      <c r="AD4005" t="str">
        <f>IF(A4005="","",IF(AC4005&gt;1,"REVISAR DUPLICADO",IF(AA4005&lt;&gt;"","ACTUALIZADO POR EYR","SIN REPORTE EYR")))</f>
        <v/>
      </c>
    </row>
    <row r="4006" spans="11:30" x14ac:dyDescent="0.3">
      <c r="K4006" s="1" t="str">
        <f ca="1">IF(A4006="","",IF(OR(L4006="ENTREGADA",L4006="RETORNADA",L4006="ENTREGA DIGITAL"),0,MAX(0,5-NETWORKDAYS(H4006+1,TODAY()))))</f>
        <v/>
      </c>
      <c r="L4006" t="str">
        <f>IF(A4006="","",IFERROR(LOOKUP(2,1/(#REF!=Z4006),#REF!),Y4006))</f>
        <v/>
      </c>
      <c r="Z4006" t="str">
        <f>IF(A4006="","",TEXT(A4006,"0")&amp;"|"&amp;TEXT(H4006,"0"))</f>
        <v/>
      </c>
      <c r="AA4006" t="str">
        <f>IF(Z4006="","",IFERROR(LOOKUP(2,1/(#REF!=Z4006),#REF!),""))</f>
        <v/>
      </c>
      <c r="AB4006" t="str">
        <f>IF(Z4006="","",IFERROR(LOOKUP(2,1/(#REF!=Z4006),#REF!),""))</f>
        <v/>
      </c>
      <c r="AC4006" t="str">
        <f>IF(Z4006="","",COUNTIF(#REF!,Z4006))</f>
        <v/>
      </c>
      <c r="AD4006" t="str">
        <f>IF(A4006="","",IF(AC4006&gt;1,"REVISAR DUPLICADO",IF(AA4006&lt;&gt;"","ACTUALIZADO POR EYR","SIN REPORTE EYR")))</f>
        <v/>
      </c>
    </row>
    <row r="4007" spans="11:30" x14ac:dyDescent="0.3">
      <c r="K4007" s="1" t="str">
        <f ca="1">IF(A4007="","",IF(OR(L4007="ENTREGADA",L4007="RETORNADA",L4007="ENTREGA DIGITAL"),0,MAX(0,5-NETWORKDAYS(H4007+1,TODAY()))))</f>
        <v/>
      </c>
      <c r="L4007" t="str">
        <f>IF(A4007="","",IFERROR(LOOKUP(2,1/(#REF!=Z4007),#REF!),Y4007))</f>
        <v/>
      </c>
      <c r="Z4007" t="str">
        <f>IF(A4007="","",TEXT(A4007,"0")&amp;"|"&amp;TEXT(H4007,"0"))</f>
        <v/>
      </c>
      <c r="AA4007" t="str">
        <f>IF(Z4007="","",IFERROR(LOOKUP(2,1/(#REF!=Z4007),#REF!),""))</f>
        <v/>
      </c>
      <c r="AB4007" t="str">
        <f>IF(Z4007="","",IFERROR(LOOKUP(2,1/(#REF!=Z4007),#REF!),""))</f>
        <v/>
      </c>
      <c r="AC4007" t="str">
        <f>IF(Z4007="","",COUNTIF(#REF!,Z4007))</f>
        <v/>
      </c>
      <c r="AD4007" t="str">
        <f>IF(A4007="","",IF(AC4007&gt;1,"REVISAR DUPLICADO",IF(AA4007&lt;&gt;"","ACTUALIZADO POR EYR","SIN REPORTE EYR")))</f>
        <v/>
      </c>
    </row>
    <row r="4008" spans="11:30" x14ac:dyDescent="0.3">
      <c r="K4008" s="1" t="str">
        <f ca="1">IF(A4008="","",IF(OR(L4008="ENTREGADA",L4008="RETORNADA",L4008="ENTREGA DIGITAL"),0,MAX(0,5-NETWORKDAYS(H4008+1,TODAY()))))</f>
        <v/>
      </c>
      <c r="L4008" t="str">
        <f>IF(A4008="","",IFERROR(LOOKUP(2,1/(#REF!=Z4008),#REF!),Y4008))</f>
        <v/>
      </c>
      <c r="Z4008" t="str">
        <f>IF(A4008="","",TEXT(A4008,"0")&amp;"|"&amp;TEXT(H4008,"0"))</f>
        <v/>
      </c>
      <c r="AA4008" t="str">
        <f>IF(Z4008="","",IFERROR(LOOKUP(2,1/(#REF!=Z4008),#REF!),""))</f>
        <v/>
      </c>
      <c r="AB4008" t="str">
        <f>IF(Z4008="","",IFERROR(LOOKUP(2,1/(#REF!=Z4008),#REF!),""))</f>
        <v/>
      </c>
      <c r="AC4008" t="str">
        <f>IF(Z4008="","",COUNTIF(#REF!,Z4008))</f>
        <v/>
      </c>
      <c r="AD4008" t="str">
        <f>IF(A4008="","",IF(AC4008&gt;1,"REVISAR DUPLICADO",IF(AA4008&lt;&gt;"","ACTUALIZADO POR EYR","SIN REPORTE EYR")))</f>
        <v/>
      </c>
    </row>
    <row r="4009" spans="11:30" x14ac:dyDescent="0.3">
      <c r="K4009" s="1" t="str">
        <f ca="1">IF(A4009="","",IF(OR(L4009="ENTREGADA",L4009="RETORNADA",L4009="ENTREGA DIGITAL"),0,MAX(0,5-NETWORKDAYS(H4009+1,TODAY()))))</f>
        <v/>
      </c>
      <c r="L4009" t="str">
        <f>IF(A4009="","",IFERROR(LOOKUP(2,1/(#REF!=Z4009),#REF!),Y4009))</f>
        <v/>
      </c>
      <c r="Z4009" t="str">
        <f>IF(A4009="","",TEXT(A4009,"0")&amp;"|"&amp;TEXT(H4009,"0"))</f>
        <v/>
      </c>
      <c r="AA4009" t="str">
        <f>IF(Z4009="","",IFERROR(LOOKUP(2,1/(#REF!=Z4009),#REF!),""))</f>
        <v/>
      </c>
      <c r="AB4009" t="str">
        <f>IF(Z4009="","",IFERROR(LOOKUP(2,1/(#REF!=Z4009),#REF!),""))</f>
        <v/>
      </c>
      <c r="AC4009" t="str">
        <f>IF(Z4009="","",COUNTIF(#REF!,Z4009))</f>
        <v/>
      </c>
      <c r="AD4009" t="str">
        <f>IF(A4009="","",IF(AC4009&gt;1,"REVISAR DUPLICADO",IF(AA4009&lt;&gt;"","ACTUALIZADO POR EYR","SIN REPORTE EYR")))</f>
        <v/>
      </c>
    </row>
    <row r="4010" spans="11:30" x14ac:dyDescent="0.3">
      <c r="K4010" s="1" t="str">
        <f ca="1">IF(A4010="","",IF(OR(L4010="ENTREGADA",L4010="RETORNADA",L4010="ENTREGA DIGITAL"),0,MAX(0,5-NETWORKDAYS(H4010+1,TODAY()))))</f>
        <v/>
      </c>
      <c r="L4010" t="str">
        <f>IF(A4010="","",IFERROR(LOOKUP(2,1/(#REF!=Z4010),#REF!),Y4010))</f>
        <v/>
      </c>
      <c r="Z4010" t="str">
        <f>IF(A4010="","",TEXT(A4010,"0")&amp;"|"&amp;TEXT(H4010,"0"))</f>
        <v/>
      </c>
      <c r="AA4010" t="str">
        <f>IF(Z4010="","",IFERROR(LOOKUP(2,1/(#REF!=Z4010),#REF!),""))</f>
        <v/>
      </c>
      <c r="AB4010" t="str">
        <f>IF(Z4010="","",IFERROR(LOOKUP(2,1/(#REF!=Z4010),#REF!),""))</f>
        <v/>
      </c>
      <c r="AC4010" t="str">
        <f>IF(Z4010="","",COUNTIF(#REF!,Z4010))</f>
        <v/>
      </c>
      <c r="AD4010" t="str">
        <f>IF(A4010="","",IF(AC4010&gt;1,"REVISAR DUPLICADO",IF(AA4010&lt;&gt;"","ACTUALIZADO POR EYR","SIN REPORTE EYR")))</f>
        <v/>
      </c>
    </row>
    <row r="4011" spans="11:30" x14ac:dyDescent="0.3">
      <c r="K4011" s="1" t="str">
        <f ca="1">IF(A4011="","",IF(OR(L4011="ENTREGADA",L4011="RETORNADA",L4011="ENTREGA DIGITAL"),0,MAX(0,5-NETWORKDAYS(H4011+1,TODAY()))))</f>
        <v/>
      </c>
      <c r="L4011" t="str">
        <f>IF(A4011="","",IFERROR(LOOKUP(2,1/(#REF!=Z4011),#REF!),Y4011))</f>
        <v/>
      </c>
      <c r="Z4011" t="str">
        <f>IF(A4011="","",TEXT(A4011,"0")&amp;"|"&amp;TEXT(H4011,"0"))</f>
        <v/>
      </c>
      <c r="AA4011" t="str">
        <f>IF(Z4011="","",IFERROR(LOOKUP(2,1/(#REF!=Z4011),#REF!),""))</f>
        <v/>
      </c>
      <c r="AB4011" t="str">
        <f>IF(Z4011="","",IFERROR(LOOKUP(2,1/(#REF!=Z4011),#REF!),""))</f>
        <v/>
      </c>
      <c r="AC4011" t="str">
        <f>IF(Z4011="","",COUNTIF(#REF!,Z4011))</f>
        <v/>
      </c>
      <c r="AD4011" t="str">
        <f>IF(A4011="","",IF(AC4011&gt;1,"REVISAR DUPLICADO",IF(AA4011&lt;&gt;"","ACTUALIZADO POR EYR","SIN REPORTE EYR")))</f>
        <v/>
      </c>
    </row>
    <row r="4012" spans="11:30" x14ac:dyDescent="0.3">
      <c r="K4012" s="1" t="str">
        <f ca="1">IF(A4012="","",IF(OR(L4012="ENTREGADA",L4012="RETORNADA",L4012="ENTREGA DIGITAL"),0,MAX(0,5-NETWORKDAYS(H4012+1,TODAY()))))</f>
        <v/>
      </c>
      <c r="L4012" t="str">
        <f>IF(A4012="","",IFERROR(LOOKUP(2,1/(#REF!=Z4012),#REF!),Y4012))</f>
        <v/>
      </c>
      <c r="Z4012" t="str">
        <f>IF(A4012="","",TEXT(A4012,"0")&amp;"|"&amp;TEXT(H4012,"0"))</f>
        <v/>
      </c>
      <c r="AA4012" t="str">
        <f>IF(Z4012="","",IFERROR(LOOKUP(2,1/(#REF!=Z4012),#REF!),""))</f>
        <v/>
      </c>
      <c r="AB4012" t="str">
        <f>IF(Z4012="","",IFERROR(LOOKUP(2,1/(#REF!=Z4012),#REF!),""))</f>
        <v/>
      </c>
      <c r="AC4012" t="str">
        <f>IF(Z4012="","",COUNTIF(#REF!,Z4012))</f>
        <v/>
      </c>
      <c r="AD4012" t="str">
        <f>IF(A4012="","",IF(AC4012&gt;1,"REVISAR DUPLICADO",IF(AA4012&lt;&gt;"","ACTUALIZADO POR EYR","SIN REPORTE EYR")))</f>
        <v/>
      </c>
    </row>
    <row r="4013" spans="11:30" x14ac:dyDescent="0.3">
      <c r="K4013" s="1" t="str">
        <f ca="1">IF(A4013="","",IF(OR(L4013="ENTREGADA",L4013="RETORNADA",L4013="ENTREGA DIGITAL"),0,MAX(0,5-NETWORKDAYS(H4013+1,TODAY()))))</f>
        <v/>
      </c>
      <c r="L4013" t="str">
        <f>IF(A4013="","",IFERROR(LOOKUP(2,1/(#REF!=Z4013),#REF!),Y4013))</f>
        <v/>
      </c>
      <c r="Z4013" t="str">
        <f>IF(A4013="","",TEXT(A4013,"0")&amp;"|"&amp;TEXT(H4013,"0"))</f>
        <v/>
      </c>
      <c r="AA4013" t="str">
        <f>IF(Z4013="","",IFERROR(LOOKUP(2,1/(#REF!=Z4013),#REF!),""))</f>
        <v/>
      </c>
      <c r="AB4013" t="str">
        <f>IF(Z4013="","",IFERROR(LOOKUP(2,1/(#REF!=Z4013),#REF!),""))</f>
        <v/>
      </c>
      <c r="AC4013" t="str">
        <f>IF(Z4013="","",COUNTIF(#REF!,Z4013))</f>
        <v/>
      </c>
      <c r="AD4013" t="str">
        <f>IF(A4013="","",IF(AC4013&gt;1,"REVISAR DUPLICADO",IF(AA4013&lt;&gt;"","ACTUALIZADO POR EYR","SIN REPORTE EYR")))</f>
        <v/>
      </c>
    </row>
    <row r="4014" spans="11:30" x14ac:dyDescent="0.3">
      <c r="K4014" s="1" t="str">
        <f ca="1">IF(A4014="","",IF(OR(L4014="ENTREGADA",L4014="RETORNADA",L4014="ENTREGA DIGITAL"),0,MAX(0,5-NETWORKDAYS(H4014+1,TODAY()))))</f>
        <v/>
      </c>
      <c r="L4014" t="str">
        <f>IF(A4014="","",IFERROR(LOOKUP(2,1/(#REF!=Z4014),#REF!),Y4014))</f>
        <v/>
      </c>
      <c r="Z4014" t="str">
        <f>IF(A4014="","",TEXT(A4014,"0")&amp;"|"&amp;TEXT(H4014,"0"))</f>
        <v/>
      </c>
      <c r="AA4014" t="str">
        <f>IF(Z4014="","",IFERROR(LOOKUP(2,1/(#REF!=Z4014),#REF!),""))</f>
        <v/>
      </c>
      <c r="AB4014" t="str">
        <f>IF(Z4014="","",IFERROR(LOOKUP(2,1/(#REF!=Z4014),#REF!),""))</f>
        <v/>
      </c>
      <c r="AC4014" t="str">
        <f>IF(Z4014="","",COUNTIF(#REF!,Z4014))</f>
        <v/>
      </c>
      <c r="AD4014" t="str">
        <f>IF(A4014="","",IF(AC4014&gt;1,"REVISAR DUPLICADO",IF(AA4014&lt;&gt;"","ACTUALIZADO POR EYR","SIN REPORTE EYR")))</f>
        <v/>
      </c>
    </row>
    <row r="4015" spans="11:30" x14ac:dyDescent="0.3">
      <c r="K4015" s="1" t="str">
        <f ca="1">IF(A4015="","",IF(OR(L4015="ENTREGADA",L4015="RETORNADA",L4015="ENTREGA DIGITAL"),0,MAX(0,5-NETWORKDAYS(H4015+1,TODAY()))))</f>
        <v/>
      </c>
      <c r="L4015" t="str">
        <f>IF(A4015="","",IFERROR(LOOKUP(2,1/(#REF!=Z4015),#REF!),Y4015))</f>
        <v/>
      </c>
      <c r="Z4015" t="str">
        <f>IF(A4015="","",TEXT(A4015,"0")&amp;"|"&amp;TEXT(H4015,"0"))</f>
        <v/>
      </c>
      <c r="AA4015" t="str">
        <f>IF(Z4015="","",IFERROR(LOOKUP(2,1/(#REF!=Z4015),#REF!),""))</f>
        <v/>
      </c>
      <c r="AB4015" t="str">
        <f>IF(Z4015="","",IFERROR(LOOKUP(2,1/(#REF!=Z4015),#REF!),""))</f>
        <v/>
      </c>
      <c r="AC4015" t="str">
        <f>IF(Z4015="","",COUNTIF(#REF!,Z4015))</f>
        <v/>
      </c>
      <c r="AD4015" t="str">
        <f>IF(A4015="","",IF(AC4015&gt;1,"REVISAR DUPLICADO",IF(AA4015&lt;&gt;"","ACTUALIZADO POR EYR","SIN REPORTE EYR")))</f>
        <v/>
      </c>
    </row>
    <row r="4016" spans="11:30" x14ac:dyDescent="0.3">
      <c r="K4016" s="1" t="str">
        <f ca="1">IF(A4016="","",IF(OR(L4016="ENTREGADA",L4016="RETORNADA",L4016="ENTREGA DIGITAL"),0,MAX(0,5-NETWORKDAYS(H4016+1,TODAY()))))</f>
        <v/>
      </c>
      <c r="L4016" t="str">
        <f>IF(A4016="","",IFERROR(LOOKUP(2,1/(#REF!=Z4016),#REF!),Y4016))</f>
        <v/>
      </c>
      <c r="Z4016" t="str">
        <f>IF(A4016="","",TEXT(A4016,"0")&amp;"|"&amp;TEXT(H4016,"0"))</f>
        <v/>
      </c>
      <c r="AA4016" t="str">
        <f>IF(Z4016="","",IFERROR(LOOKUP(2,1/(#REF!=Z4016),#REF!),""))</f>
        <v/>
      </c>
      <c r="AB4016" t="str">
        <f>IF(Z4016="","",IFERROR(LOOKUP(2,1/(#REF!=Z4016),#REF!),""))</f>
        <v/>
      </c>
      <c r="AC4016" t="str">
        <f>IF(Z4016="","",COUNTIF(#REF!,Z4016))</f>
        <v/>
      </c>
      <c r="AD4016" t="str">
        <f>IF(A4016="","",IF(AC4016&gt;1,"REVISAR DUPLICADO",IF(AA4016&lt;&gt;"","ACTUALIZADO POR EYR","SIN REPORTE EYR")))</f>
        <v/>
      </c>
    </row>
    <row r="4017" spans="11:30" x14ac:dyDescent="0.3">
      <c r="K4017" s="1" t="str">
        <f ca="1">IF(A4017="","",IF(OR(L4017="ENTREGADA",L4017="RETORNADA",L4017="ENTREGA DIGITAL"),0,MAX(0,5-NETWORKDAYS(H4017+1,TODAY()))))</f>
        <v/>
      </c>
      <c r="L4017" t="str">
        <f>IF(A4017="","",IFERROR(LOOKUP(2,1/(#REF!=Z4017),#REF!),Y4017))</f>
        <v/>
      </c>
      <c r="Z4017" t="str">
        <f>IF(A4017="","",TEXT(A4017,"0")&amp;"|"&amp;TEXT(H4017,"0"))</f>
        <v/>
      </c>
      <c r="AA4017" t="str">
        <f>IF(Z4017="","",IFERROR(LOOKUP(2,1/(#REF!=Z4017),#REF!),""))</f>
        <v/>
      </c>
      <c r="AB4017" t="str">
        <f>IF(Z4017="","",IFERROR(LOOKUP(2,1/(#REF!=Z4017),#REF!),""))</f>
        <v/>
      </c>
      <c r="AC4017" t="str">
        <f>IF(Z4017="","",COUNTIF(#REF!,Z4017))</f>
        <v/>
      </c>
      <c r="AD4017" t="str">
        <f>IF(A4017="","",IF(AC4017&gt;1,"REVISAR DUPLICADO",IF(AA4017&lt;&gt;"","ACTUALIZADO POR EYR","SIN REPORTE EYR")))</f>
        <v/>
      </c>
    </row>
    <row r="4018" spans="11:30" x14ac:dyDescent="0.3">
      <c r="K4018" s="1" t="str">
        <f ca="1">IF(A4018="","",IF(OR(L4018="ENTREGADA",L4018="RETORNADA",L4018="ENTREGA DIGITAL"),0,MAX(0,5-NETWORKDAYS(H4018+1,TODAY()))))</f>
        <v/>
      </c>
      <c r="L4018" t="str">
        <f>IF(A4018="","",IFERROR(LOOKUP(2,1/(#REF!=Z4018),#REF!),Y4018))</f>
        <v/>
      </c>
      <c r="Z4018" t="str">
        <f>IF(A4018="","",TEXT(A4018,"0")&amp;"|"&amp;TEXT(H4018,"0"))</f>
        <v/>
      </c>
      <c r="AA4018" t="str">
        <f>IF(Z4018="","",IFERROR(LOOKUP(2,1/(#REF!=Z4018),#REF!),""))</f>
        <v/>
      </c>
      <c r="AB4018" t="str">
        <f>IF(Z4018="","",IFERROR(LOOKUP(2,1/(#REF!=Z4018),#REF!),""))</f>
        <v/>
      </c>
      <c r="AC4018" t="str">
        <f>IF(Z4018="","",COUNTIF(#REF!,Z4018))</f>
        <v/>
      </c>
      <c r="AD4018" t="str">
        <f>IF(A4018="","",IF(AC4018&gt;1,"REVISAR DUPLICADO",IF(AA4018&lt;&gt;"","ACTUALIZADO POR EYR","SIN REPORTE EYR")))</f>
        <v/>
      </c>
    </row>
    <row r="4019" spans="11:30" x14ac:dyDescent="0.3">
      <c r="K4019" s="1" t="str">
        <f ca="1">IF(A4019="","",IF(OR(L4019="ENTREGADA",L4019="RETORNADA",L4019="ENTREGA DIGITAL"),0,MAX(0,5-NETWORKDAYS(H4019+1,TODAY()))))</f>
        <v/>
      </c>
      <c r="L4019" t="str">
        <f>IF(A4019="","",IFERROR(LOOKUP(2,1/(#REF!=Z4019),#REF!),Y4019))</f>
        <v/>
      </c>
      <c r="Z4019" t="str">
        <f>IF(A4019="","",TEXT(A4019,"0")&amp;"|"&amp;TEXT(H4019,"0"))</f>
        <v/>
      </c>
      <c r="AA4019" t="str">
        <f>IF(Z4019="","",IFERROR(LOOKUP(2,1/(#REF!=Z4019),#REF!),""))</f>
        <v/>
      </c>
      <c r="AB4019" t="str">
        <f>IF(Z4019="","",IFERROR(LOOKUP(2,1/(#REF!=Z4019),#REF!),""))</f>
        <v/>
      </c>
      <c r="AC4019" t="str">
        <f>IF(Z4019="","",COUNTIF(#REF!,Z4019))</f>
        <v/>
      </c>
      <c r="AD4019" t="str">
        <f>IF(A4019="","",IF(AC4019&gt;1,"REVISAR DUPLICADO",IF(AA4019&lt;&gt;"","ACTUALIZADO POR EYR","SIN REPORTE EYR")))</f>
        <v/>
      </c>
    </row>
    <row r="4020" spans="11:30" x14ac:dyDescent="0.3">
      <c r="K4020" s="1" t="str">
        <f ca="1">IF(A4020="","",IF(OR(L4020="ENTREGADA",L4020="RETORNADA",L4020="ENTREGA DIGITAL"),0,MAX(0,5-NETWORKDAYS(H4020+1,TODAY()))))</f>
        <v/>
      </c>
      <c r="L4020" t="str">
        <f>IF(A4020="","",IFERROR(LOOKUP(2,1/(#REF!=Z4020),#REF!),Y4020))</f>
        <v/>
      </c>
      <c r="Z4020" t="str">
        <f>IF(A4020="","",TEXT(A4020,"0")&amp;"|"&amp;TEXT(H4020,"0"))</f>
        <v/>
      </c>
      <c r="AA4020" t="str">
        <f>IF(Z4020="","",IFERROR(LOOKUP(2,1/(#REF!=Z4020),#REF!),""))</f>
        <v/>
      </c>
      <c r="AB4020" t="str">
        <f>IF(Z4020="","",IFERROR(LOOKUP(2,1/(#REF!=Z4020),#REF!),""))</f>
        <v/>
      </c>
      <c r="AC4020" t="str">
        <f>IF(Z4020="","",COUNTIF(#REF!,Z4020))</f>
        <v/>
      </c>
      <c r="AD4020" t="str">
        <f>IF(A4020="","",IF(AC4020&gt;1,"REVISAR DUPLICADO",IF(AA4020&lt;&gt;"","ACTUALIZADO POR EYR","SIN REPORTE EYR")))</f>
        <v/>
      </c>
    </row>
    <row r="4021" spans="11:30" x14ac:dyDescent="0.3">
      <c r="K4021" s="1" t="str">
        <f ca="1">IF(A4021="","",IF(OR(L4021="ENTREGADA",L4021="RETORNADA",L4021="ENTREGA DIGITAL"),0,MAX(0,5-NETWORKDAYS(H4021+1,TODAY()))))</f>
        <v/>
      </c>
      <c r="L4021" t="str">
        <f>IF(A4021="","",IFERROR(LOOKUP(2,1/(#REF!=Z4021),#REF!),Y4021))</f>
        <v/>
      </c>
      <c r="Z4021" t="str">
        <f>IF(A4021="","",TEXT(A4021,"0")&amp;"|"&amp;TEXT(H4021,"0"))</f>
        <v/>
      </c>
      <c r="AA4021" t="str">
        <f>IF(Z4021="","",IFERROR(LOOKUP(2,1/(#REF!=Z4021),#REF!),""))</f>
        <v/>
      </c>
      <c r="AB4021" t="str">
        <f>IF(Z4021="","",IFERROR(LOOKUP(2,1/(#REF!=Z4021),#REF!),""))</f>
        <v/>
      </c>
      <c r="AC4021" t="str">
        <f>IF(Z4021="","",COUNTIF(#REF!,Z4021))</f>
        <v/>
      </c>
      <c r="AD4021" t="str">
        <f>IF(A4021="","",IF(AC4021&gt;1,"REVISAR DUPLICADO",IF(AA4021&lt;&gt;"","ACTUALIZADO POR EYR","SIN REPORTE EYR")))</f>
        <v/>
      </c>
    </row>
    <row r="4022" spans="11:30" x14ac:dyDescent="0.3">
      <c r="K4022" s="1" t="str">
        <f ca="1">IF(A4022="","",IF(OR(L4022="ENTREGADA",L4022="RETORNADA",L4022="ENTREGA DIGITAL"),0,MAX(0,5-NETWORKDAYS(H4022+1,TODAY()))))</f>
        <v/>
      </c>
      <c r="L4022" t="str">
        <f>IF(A4022="","",IFERROR(LOOKUP(2,1/(#REF!=Z4022),#REF!),Y4022))</f>
        <v/>
      </c>
      <c r="Z4022" t="str">
        <f>IF(A4022="","",TEXT(A4022,"0")&amp;"|"&amp;TEXT(H4022,"0"))</f>
        <v/>
      </c>
      <c r="AA4022" t="str">
        <f>IF(Z4022="","",IFERROR(LOOKUP(2,1/(#REF!=Z4022),#REF!),""))</f>
        <v/>
      </c>
      <c r="AB4022" t="str">
        <f>IF(Z4022="","",IFERROR(LOOKUP(2,1/(#REF!=Z4022),#REF!),""))</f>
        <v/>
      </c>
      <c r="AC4022" t="str">
        <f>IF(Z4022="","",COUNTIF(#REF!,Z4022))</f>
        <v/>
      </c>
      <c r="AD4022" t="str">
        <f>IF(A4022="","",IF(AC4022&gt;1,"REVISAR DUPLICADO",IF(AA4022&lt;&gt;"","ACTUALIZADO POR EYR","SIN REPORTE EYR")))</f>
        <v/>
      </c>
    </row>
    <row r="4023" spans="11:30" x14ac:dyDescent="0.3">
      <c r="K4023" s="1" t="str">
        <f ca="1">IF(A4023="","",IF(OR(L4023="ENTREGADA",L4023="RETORNADA",L4023="ENTREGA DIGITAL"),0,MAX(0,5-NETWORKDAYS(H4023+1,TODAY()))))</f>
        <v/>
      </c>
      <c r="L4023" t="str">
        <f>IF(A4023="","",IFERROR(LOOKUP(2,1/(#REF!=Z4023),#REF!),Y4023))</f>
        <v/>
      </c>
      <c r="Z4023" t="str">
        <f>IF(A4023="","",TEXT(A4023,"0")&amp;"|"&amp;TEXT(H4023,"0"))</f>
        <v/>
      </c>
      <c r="AA4023" t="str">
        <f>IF(Z4023="","",IFERROR(LOOKUP(2,1/(#REF!=Z4023),#REF!),""))</f>
        <v/>
      </c>
      <c r="AB4023" t="str">
        <f>IF(Z4023="","",IFERROR(LOOKUP(2,1/(#REF!=Z4023),#REF!),""))</f>
        <v/>
      </c>
      <c r="AC4023" t="str">
        <f>IF(Z4023="","",COUNTIF(#REF!,Z4023))</f>
        <v/>
      </c>
      <c r="AD4023" t="str">
        <f>IF(A4023="","",IF(AC4023&gt;1,"REVISAR DUPLICADO",IF(AA4023&lt;&gt;"","ACTUALIZADO POR EYR","SIN REPORTE EYR")))</f>
        <v/>
      </c>
    </row>
    <row r="4024" spans="11:30" x14ac:dyDescent="0.3">
      <c r="K4024" s="1" t="str">
        <f ca="1">IF(A4024="","",IF(OR(L4024="ENTREGADA",L4024="RETORNADA",L4024="ENTREGA DIGITAL"),0,MAX(0,5-NETWORKDAYS(H4024+1,TODAY()))))</f>
        <v/>
      </c>
      <c r="L4024" t="str">
        <f>IF(A4024="","",IFERROR(LOOKUP(2,1/(#REF!=Z4024),#REF!),Y4024))</f>
        <v/>
      </c>
      <c r="Z4024" t="str">
        <f>IF(A4024="","",TEXT(A4024,"0")&amp;"|"&amp;TEXT(H4024,"0"))</f>
        <v/>
      </c>
      <c r="AA4024" t="str">
        <f>IF(Z4024="","",IFERROR(LOOKUP(2,1/(#REF!=Z4024),#REF!),""))</f>
        <v/>
      </c>
      <c r="AB4024" t="str">
        <f>IF(Z4024="","",IFERROR(LOOKUP(2,1/(#REF!=Z4024),#REF!),""))</f>
        <v/>
      </c>
      <c r="AC4024" t="str">
        <f>IF(Z4024="","",COUNTIF(#REF!,Z4024))</f>
        <v/>
      </c>
      <c r="AD4024" t="str">
        <f>IF(A4024="","",IF(AC4024&gt;1,"REVISAR DUPLICADO",IF(AA4024&lt;&gt;"","ACTUALIZADO POR EYR","SIN REPORTE EYR")))</f>
        <v/>
      </c>
    </row>
    <row r="4025" spans="11:30" x14ac:dyDescent="0.3">
      <c r="K4025" s="1" t="str">
        <f ca="1">IF(A4025="","",IF(OR(L4025="ENTREGADA",L4025="RETORNADA",L4025="ENTREGA DIGITAL"),0,MAX(0,5-NETWORKDAYS(H4025+1,TODAY()))))</f>
        <v/>
      </c>
      <c r="L4025" t="str">
        <f>IF(A4025="","",IFERROR(LOOKUP(2,1/(#REF!=Z4025),#REF!),Y4025))</f>
        <v/>
      </c>
      <c r="Z4025" t="str">
        <f>IF(A4025="","",TEXT(A4025,"0")&amp;"|"&amp;TEXT(H4025,"0"))</f>
        <v/>
      </c>
      <c r="AA4025" t="str">
        <f>IF(Z4025="","",IFERROR(LOOKUP(2,1/(#REF!=Z4025),#REF!),""))</f>
        <v/>
      </c>
      <c r="AB4025" t="str">
        <f>IF(Z4025="","",IFERROR(LOOKUP(2,1/(#REF!=Z4025),#REF!),""))</f>
        <v/>
      </c>
      <c r="AC4025" t="str">
        <f>IF(Z4025="","",COUNTIF(#REF!,Z4025))</f>
        <v/>
      </c>
      <c r="AD4025" t="str">
        <f>IF(A4025="","",IF(AC4025&gt;1,"REVISAR DUPLICADO",IF(AA4025&lt;&gt;"","ACTUALIZADO POR EYR","SIN REPORTE EYR")))</f>
        <v/>
      </c>
    </row>
    <row r="4026" spans="11:30" x14ac:dyDescent="0.3">
      <c r="K4026" s="1" t="str">
        <f ca="1">IF(A4026="","",IF(OR(L4026="ENTREGADA",L4026="RETORNADA",L4026="ENTREGA DIGITAL"),0,MAX(0,5-NETWORKDAYS(H4026+1,TODAY()))))</f>
        <v/>
      </c>
      <c r="L4026" t="str">
        <f>IF(A4026="","",IFERROR(LOOKUP(2,1/(#REF!=Z4026),#REF!),Y4026))</f>
        <v/>
      </c>
      <c r="Z4026" t="str">
        <f>IF(A4026="","",TEXT(A4026,"0")&amp;"|"&amp;TEXT(H4026,"0"))</f>
        <v/>
      </c>
      <c r="AA4026" t="str">
        <f>IF(Z4026="","",IFERROR(LOOKUP(2,1/(#REF!=Z4026),#REF!),""))</f>
        <v/>
      </c>
      <c r="AB4026" t="str">
        <f>IF(Z4026="","",IFERROR(LOOKUP(2,1/(#REF!=Z4026),#REF!),""))</f>
        <v/>
      </c>
      <c r="AC4026" t="str">
        <f>IF(Z4026="","",COUNTIF(#REF!,Z4026))</f>
        <v/>
      </c>
      <c r="AD4026" t="str">
        <f>IF(A4026="","",IF(AC4026&gt;1,"REVISAR DUPLICADO",IF(AA4026&lt;&gt;"","ACTUALIZADO POR EYR","SIN REPORTE EYR")))</f>
        <v/>
      </c>
    </row>
    <row r="4027" spans="11:30" x14ac:dyDescent="0.3">
      <c r="K4027" s="1" t="str">
        <f ca="1">IF(A4027="","",IF(OR(L4027="ENTREGADA",L4027="RETORNADA",L4027="ENTREGA DIGITAL"),0,MAX(0,5-NETWORKDAYS(H4027+1,TODAY()))))</f>
        <v/>
      </c>
      <c r="L4027" t="str">
        <f>IF(A4027="","",IFERROR(LOOKUP(2,1/(#REF!=Z4027),#REF!),Y4027))</f>
        <v/>
      </c>
      <c r="Z4027" t="str">
        <f>IF(A4027="","",TEXT(A4027,"0")&amp;"|"&amp;TEXT(H4027,"0"))</f>
        <v/>
      </c>
      <c r="AA4027" t="str">
        <f>IF(Z4027="","",IFERROR(LOOKUP(2,1/(#REF!=Z4027),#REF!),""))</f>
        <v/>
      </c>
      <c r="AB4027" t="str">
        <f>IF(Z4027="","",IFERROR(LOOKUP(2,1/(#REF!=Z4027),#REF!),""))</f>
        <v/>
      </c>
      <c r="AC4027" t="str">
        <f>IF(Z4027="","",COUNTIF(#REF!,Z4027))</f>
        <v/>
      </c>
      <c r="AD4027" t="str">
        <f>IF(A4027="","",IF(AC4027&gt;1,"REVISAR DUPLICADO",IF(AA4027&lt;&gt;"","ACTUALIZADO POR EYR","SIN REPORTE EYR")))</f>
        <v/>
      </c>
    </row>
    <row r="4028" spans="11:30" x14ac:dyDescent="0.3">
      <c r="K4028" s="1" t="str">
        <f ca="1">IF(A4028="","",IF(OR(L4028="ENTREGADA",L4028="RETORNADA",L4028="ENTREGA DIGITAL"),0,MAX(0,5-NETWORKDAYS(H4028+1,TODAY()))))</f>
        <v/>
      </c>
      <c r="L4028" t="str">
        <f>IF(A4028="","",IFERROR(LOOKUP(2,1/(#REF!=Z4028),#REF!),Y4028))</f>
        <v/>
      </c>
      <c r="Z4028" t="str">
        <f>IF(A4028="","",TEXT(A4028,"0")&amp;"|"&amp;TEXT(H4028,"0"))</f>
        <v/>
      </c>
      <c r="AA4028" t="str">
        <f>IF(Z4028="","",IFERROR(LOOKUP(2,1/(#REF!=Z4028),#REF!),""))</f>
        <v/>
      </c>
      <c r="AB4028" t="str">
        <f>IF(Z4028="","",IFERROR(LOOKUP(2,1/(#REF!=Z4028),#REF!),""))</f>
        <v/>
      </c>
      <c r="AC4028" t="str">
        <f>IF(Z4028="","",COUNTIF(#REF!,Z4028))</f>
        <v/>
      </c>
      <c r="AD4028" t="str">
        <f>IF(A4028="","",IF(AC4028&gt;1,"REVISAR DUPLICADO",IF(AA4028&lt;&gt;"","ACTUALIZADO POR EYR","SIN REPORTE EYR")))</f>
        <v/>
      </c>
    </row>
    <row r="4029" spans="11:30" x14ac:dyDescent="0.3">
      <c r="K4029" s="1" t="str">
        <f ca="1">IF(A4029="","",IF(OR(L4029="ENTREGADA",L4029="RETORNADA",L4029="ENTREGA DIGITAL"),0,MAX(0,5-NETWORKDAYS(H4029+1,TODAY()))))</f>
        <v/>
      </c>
      <c r="L4029" t="str">
        <f>IF(A4029="","",IFERROR(LOOKUP(2,1/(#REF!=Z4029),#REF!),Y4029))</f>
        <v/>
      </c>
      <c r="Z4029" t="str">
        <f>IF(A4029="","",TEXT(A4029,"0")&amp;"|"&amp;TEXT(H4029,"0"))</f>
        <v/>
      </c>
      <c r="AA4029" t="str">
        <f>IF(Z4029="","",IFERROR(LOOKUP(2,1/(#REF!=Z4029),#REF!),""))</f>
        <v/>
      </c>
      <c r="AB4029" t="str">
        <f>IF(Z4029="","",IFERROR(LOOKUP(2,1/(#REF!=Z4029),#REF!),""))</f>
        <v/>
      </c>
      <c r="AC4029" t="str">
        <f>IF(Z4029="","",COUNTIF(#REF!,Z4029))</f>
        <v/>
      </c>
      <c r="AD4029" t="str">
        <f>IF(A4029="","",IF(AC4029&gt;1,"REVISAR DUPLICADO",IF(AA4029&lt;&gt;"","ACTUALIZADO POR EYR","SIN REPORTE EYR")))</f>
        <v/>
      </c>
    </row>
    <row r="4030" spans="11:30" x14ac:dyDescent="0.3">
      <c r="K4030" s="1" t="str">
        <f ca="1">IF(A4030="","",IF(OR(L4030="ENTREGADA",L4030="RETORNADA",L4030="ENTREGA DIGITAL"),0,MAX(0,5-NETWORKDAYS(H4030+1,TODAY()))))</f>
        <v/>
      </c>
      <c r="L4030" t="str">
        <f>IF(A4030="","",IFERROR(LOOKUP(2,1/(#REF!=Z4030),#REF!),Y4030))</f>
        <v/>
      </c>
      <c r="Z4030" t="str">
        <f>IF(A4030="","",TEXT(A4030,"0")&amp;"|"&amp;TEXT(H4030,"0"))</f>
        <v/>
      </c>
      <c r="AA4030" t="str">
        <f>IF(Z4030="","",IFERROR(LOOKUP(2,1/(#REF!=Z4030),#REF!),""))</f>
        <v/>
      </c>
      <c r="AB4030" t="str">
        <f>IF(Z4030="","",IFERROR(LOOKUP(2,1/(#REF!=Z4030),#REF!),""))</f>
        <v/>
      </c>
      <c r="AC4030" t="str">
        <f>IF(Z4030="","",COUNTIF(#REF!,Z4030))</f>
        <v/>
      </c>
      <c r="AD4030" t="str">
        <f>IF(A4030="","",IF(AC4030&gt;1,"REVISAR DUPLICADO",IF(AA4030&lt;&gt;"","ACTUALIZADO POR EYR","SIN REPORTE EYR")))</f>
        <v/>
      </c>
    </row>
    <row r="4031" spans="11:30" x14ac:dyDescent="0.3">
      <c r="K4031" s="1" t="str">
        <f ca="1">IF(A4031="","",IF(OR(L4031="ENTREGADA",L4031="RETORNADA",L4031="ENTREGA DIGITAL"),0,MAX(0,5-NETWORKDAYS(H4031+1,TODAY()))))</f>
        <v/>
      </c>
      <c r="L4031" t="str">
        <f>IF(A4031="","",IFERROR(LOOKUP(2,1/(#REF!=Z4031),#REF!),Y4031))</f>
        <v/>
      </c>
      <c r="Z4031" t="str">
        <f>IF(A4031="","",TEXT(A4031,"0")&amp;"|"&amp;TEXT(H4031,"0"))</f>
        <v/>
      </c>
      <c r="AA4031" t="str">
        <f>IF(Z4031="","",IFERROR(LOOKUP(2,1/(#REF!=Z4031),#REF!),""))</f>
        <v/>
      </c>
      <c r="AB4031" t="str">
        <f>IF(Z4031="","",IFERROR(LOOKUP(2,1/(#REF!=Z4031),#REF!),""))</f>
        <v/>
      </c>
      <c r="AC4031" t="str">
        <f>IF(Z4031="","",COUNTIF(#REF!,Z4031))</f>
        <v/>
      </c>
      <c r="AD4031" t="str">
        <f>IF(A4031="","",IF(AC4031&gt;1,"REVISAR DUPLICADO",IF(AA4031&lt;&gt;"","ACTUALIZADO POR EYR","SIN REPORTE EYR")))</f>
        <v/>
      </c>
    </row>
    <row r="4032" spans="11:30" x14ac:dyDescent="0.3">
      <c r="K4032" s="1" t="str">
        <f ca="1">IF(A4032="","",IF(OR(L4032="ENTREGADA",L4032="RETORNADA",L4032="ENTREGA DIGITAL"),0,MAX(0,5-NETWORKDAYS(H4032+1,TODAY()))))</f>
        <v/>
      </c>
      <c r="L4032" t="str">
        <f>IF(A4032="","",IFERROR(LOOKUP(2,1/(#REF!=Z4032),#REF!),Y4032))</f>
        <v/>
      </c>
      <c r="Z4032" t="str">
        <f>IF(A4032="","",TEXT(A4032,"0")&amp;"|"&amp;TEXT(H4032,"0"))</f>
        <v/>
      </c>
      <c r="AA4032" t="str">
        <f>IF(Z4032="","",IFERROR(LOOKUP(2,1/(#REF!=Z4032),#REF!),""))</f>
        <v/>
      </c>
      <c r="AB4032" t="str">
        <f>IF(Z4032="","",IFERROR(LOOKUP(2,1/(#REF!=Z4032),#REF!),""))</f>
        <v/>
      </c>
      <c r="AC4032" t="str">
        <f>IF(Z4032="","",COUNTIF(#REF!,Z4032))</f>
        <v/>
      </c>
      <c r="AD4032" t="str">
        <f>IF(A4032="","",IF(AC4032&gt;1,"REVISAR DUPLICADO",IF(AA4032&lt;&gt;"","ACTUALIZADO POR EYR","SIN REPORTE EYR")))</f>
        <v/>
      </c>
    </row>
    <row r="4033" spans="11:30" x14ac:dyDescent="0.3">
      <c r="K4033" s="1" t="str">
        <f ca="1">IF(A4033="","",IF(OR(L4033="ENTREGADA",L4033="RETORNADA",L4033="ENTREGA DIGITAL"),0,MAX(0,5-NETWORKDAYS(H4033+1,TODAY()))))</f>
        <v/>
      </c>
      <c r="L4033" t="str">
        <f>IF(A4033="","",IFERROR(LOOKUP(2,1/(#REF!=Z4033),#REF!),Y4033))</f>
        <v/>
      </c>
      <c r="Z4033" t="str">
        <f>IF(A4033="","",TEXT(A4033,"0")&amp;"|"&amp;TEXT(H4033,"0"))</f>
        <v/>
      </c>
      <c r="AA4033" t="str">
        <f>IF(Z4033="","",IFERROR(LOOKUP(2,1/(#REF!=Z4033),#REF!),""))</f>
        <v/>
      </c>
      <c r="AB4033" t="str">
        <f>IF(Z4033="","",IFERROR(LOOKUP(2,1/(#REF!=Z4033),#REF!),""))</f>
        <v/>
      </c>
      <c r="AC4033" t="str">
        <f>IF(Z4033="","",COUNTIF(#REF!,Z4033))</f>
        <v/>
      </c>
      <c r="AD4033" t="str">
        <f>IF(A4033="","",IF(AC4033&gt;1,"REVISAR DUPLICADO",IF(AA4033&lt;&gt;"","ACTUALIZADO POR EYR","SIN REPORTE EYR")))</f>
        <v/>
      </c>
    </row>
    <row r="4034" spans="11:30" x14ac:dyDescent="0.3">
      <c r="K4034" s="1" t="str">
        <f ca="1">IF(A4034="","",IF(OR(L4034="ENTREGADA",L4034="RETORNADA",L4034="ENTREGA DIGITAL"),0,MAX(0,5-NETWORKDAYS(H4034+1,TODAY()))))</f>
        <v/>
      </c>
      <c r="L4034" t="str">
        <f>IF(A4034="","",IFERROR(LOOKUP(2,1/(#REF!=Z4034),#REF!),Y4034))</f>
        <v/>
      </c>
      <c r="Z4034" t="str">
        <f>IF(A4034="","",TEXT(A4034,"0")&amp;"|"&amp;TEXT(H4034,"0"))</f>
        <v/>
      </c>
      <c r="AA4034" t="str">
        <f>IF(Z4034="","",IFERROR(LOOKUP(2,1/(#REF!=Z4034),#REF!),""))</f>
        <v/>
      </c>
      <c r="AB4034" t="str">
        <f>IF(Z4034="","",IFERROR(LOOKUP(2,1/(#REF!=Z4034),#REF!),""))</f>
        <v/>
      </c>
      <c r="AC4034" t="str">
        <f>IF(Z4034="","",COUNTIF(#REF!,Z4034))</f>
        <v/>
      </c>
      <c r="AD4034" t="str">
        <f>IF(A4034="","",IF(AC4034&gt;1,"REVISAR DUPLICADO",IF(AA4034&lt;&gt;"","ACTUALIZADO POR EYR","SIN REPORTE EYR")))</f>
        <v/>
      </c>
    </row>
    <row r="4035" spans="11:30" x14ac:dyDescent="0.3">
      <c r="K4035" s="1" t="str">
        <f ca="1">IF(A4035="","",IF(OR(L4035="ENTREGADA",L4035="RETORNADA",L4035="ENTREGA DIGITAL"),0,MAX(0,5-NETWORKDAYS(H4035+1,TODAY()))))</f>
        <v/>
      </c>
      <c r="L4035" t="str">
        <f>IF(A4035="","",IFERROR(LOOKUP(2,1/(#REF!=Z4035),#REF!),Y4035))</f>
        <v/>
      </c>
      <c r="Z4035" t="str">
        <f>IF(A4035="","",TEXT(A4035,"0")&amp;"|"&amp;TEXT(H4035,"0"))</f>
        <v/>
      </c>
      <c r="AA4035" t="str">
        <f>IF(Z4035="","",IFERROR(LOOKUP(2,1/(#REF!=Z4035),#REF!),""))</f>
        <v/>
      </c>
      <c r="AB4035" t="str">
        <f>IF(Z4035="","",IFERROR(LOOKUP(2,1/(#REF!=Z4035),#REF!),""))</f>
        <v/>
      </c>
      <c r="AC4035" t="str">
        <f>IF(Z4035="","",COUNTIF(#REF!,Z4035))</f>
        <v/>
      </c>
      <c r="AD4035" t="str">
        <f>IF(A4035="","",IF(AC4035&gt;1,"REVISAR DUPLICADO",IF(AA4035&lt;&gt;"","ACTUALIZADO POR EYR","SIN REPORTE EYR")))</f>
        <v/>
      </c>
    </row>
    <row r="4036" spans="11:30" x14ac:dyDescent="0.3">
      <c r="K4036" s="1" t="str">
        <f ca="1">IF(A4036="","",IF(OR(L4036="ENTREGADA",L4036="RETORNADA",L4036="ENTREGA DIGITAL"),0,MAX(0,5-NETWORKDAYS(H4036+1,TODAY()))))</f>
        <v/>
      </c>
      <c r="L4036" t="str">
        <f>IF(A4036="","",IFERROR(LOOKUP(2,1/(#REF!=Z4036),#REF!),Y4036))</f>
        <v/>
      </c>
      <c r="Z4036" t="str">
        <f>IF(A4036="","",TEXT(A4036,"0")&amp;"|"&amp;TEXT(H4036,"0"))</f>
        <v/>
      </c>
      <c r="AA4036" t="str">
        <f>IF(Z4036="","",IFERROR(LOOKUP(2,1/(#REF!=Z4036),#REF!),""))</f>
        <v/>
      </c>
      <c r="AB4036" t="str">
        <f>IF(Z4036="","",IFERROR(LOOKUP(2,1/(#REF!=Z4036),#REF!),""))</f>
        <v/>
      </c>
      <c r="AC4036" t="str">
        <f>IF(Z4036="","",COUNTIF(#REF!,Z4036))</f>
        <v/>
      </c>
      <c r="AD4036" t="str">
        <f>IF(A4036="","",IF(AC4036&gt;1,"REVISAR DUPLICADO",IF(AA4036&lt;&gt;"","ACTUALIZADO POR EYR","SIN REPORTE EYR")))</f>
        <v/>
      </c>
    </row>
    <row r="4037" spans="11:30" x14ac:dyDescent="0.3">
      <c r="K4037" s="1" t="str">
        <f ca="1">IF(A4037="","",IF(OR(L4037="ENTREGADA",L4037="RETORNADA",L4037="ENTREGA DIGITAL"),0,MAX(0,5-NETWORKDAYS(H4037+1,TODAY()))))</f>
        <v/>
      </c>
      <c r="L4037" t="str">
        <f>IF(A4037="","",IFERROR(LOOKUP(2,1/(#REF!=Z4037),#REF!),Y4037))</f>
        <v/>
      </c>
      <c r="Z4037" t="str">
        <f>IF(A4037="","",TEXT(A4037,"0")&amp;"|"&amp;TEXT(H4037,"0"))</f>
        <v/>
      </c>
      <c r="AA4037" t="str">
        <f>IF(Z4037="","",IFERROR(LOOKUP(2,1/(#REF!=Z4037),#REF!),""))</f>
        <v/>
      </c>
      <c r="AB4037" t="str">
        <f>IF(Z4037="","",IFERROR(LOOKUP(2,1/(#REF!=Z4037),#REF!),""))</f>
        <v/>
      </c>
      <c r="AC4037" t="str">
        <f>IF(Z4037="","",COUNTIF(#REF!,Z4037))</f>
        <v/>
      </c>
      <c r="AD4037" t="str">
        <f>IF(A4037="","",IF(AC4037&gt;1,"REVISAR DUPLICADO",IF(AA4037&lt;&gt;"","ACTUALIZADO POR EYR","SIN REPORTE EYR")))</f>
        <v/>
      </c>
    </row>
    <row r="4038" spans="11:30" x14ac:dyDescent="0.3">
      <c r="K4038" s="1" t="str">
        <f ca="1">IF(A4038="","",IF(OR(L4038="ENTREGADA",L4038="RETORNADA",L4038="ENTREGA DIGITAL"),0,MAX(0,5-NETWORKDAYS(H4038+1,TODAY()))))</f>
        <v/>
      </c>
      <c r="L4038" t="str">
        <f>IF(A4038="","",IFERROR(LOOKUP(2,1/(#REF!=Z4038),#REF!),Y4038))</f>
        <v/>
      </c>
      <c r="Z4038" t="str">
        <f>IF(A4038="","",TEXT(A4038,"0")&amp;"|"&amp;TEXT(H4038,"0"))</f>
        <v/>
      </c>
      <c r="AA4038" t="str">
        <f>IF(Z4038="","",IFERROR(LOOKUP(2,1/(#REF!=Z4038),#REF!),""))</f>
        <v/>
      </c>
      <c r="AB4038" t="str">
        <f>IF(Z4038="","",IFERROR(LOOKUP(2,1/(#REF!=Z4038),#REF!),""))</f>
        <v/>
      </c>
      <c r="AC4038" t="str">
        <f>IF(Z4038="","",COUNTIF(#REF!,Z4038))</f>
        <v/>
      </c>
      <c r="AD4038" t="str">
        <f>IF(A4038="","",IF(AC4038&gt;1,"REVISAR DUPLICADO",IF(AA4038&lt;&gt;"","ACTUALIZADO POR EYR","SIN REPORTE EYR")))</f>
        <v/>
      </c>
    </row>
    <row r="4039" spans="11:30" x14ac:dyDescent="0.3">
      <c r="K4039" s="1" t="str">
        <f ca="1">IF(A4039="","",IF(OR(L4039="ENTREGADA",L4039="RETORNADA",L4039="ENTREGA DIGITAL"),0,MAX(0,5-NETWORKDAYS(H4039+1,TODAY()))))</f>
        <v/>
      </c>
      <c r="L4039" t="str">
        <f>IF(A4039="","",IFERROR(LOOKUP(2,1/(#REF!=Z4039),#REF!),Y4039))</f>
        <v/>
      </c>
      <c r="Z4039" t="str">
        <f>IF(A4039="","",TEXT(A4039,"0")&amp;"|"&amp;TEXT(H4039,"0"))</f>
        <v/>
      </c>
      <c r="AA4039" t="str">
        <f>IF(Z4039="","",IFERROR(LOOKUP(2,1/(#REF!=Z4039),#REF!),""))</f>
        <v/>
      </c>
      <c r="AB4039" t="str">
        <f>IF(Z4039="","",IFERROR(LOOKUP(2,1/(#REF!=Z4039),#REF!),""))</f>
        <v/>
      </c>
      <c r="AC4039" t="str">
        <f>IF(Z4039="","",COUNTIF(#REF!,Z4039))</f>
        <v/>
      </c>
      <c r="AD4039" t="str">
        <f>IF(A4039="","",IF(AC4039&gt;1,"REVISAR DUPLICADO",IF(AA4039&lt;&gt;"","ACTUALIZADO POR EYR","SIN REPORTE EYR")))</f>
        <v/>
      </c>
    </row>
    <row r="4040" spans="11:30" x14ac:dyDescent="0.3">
      <c r="K4040" s="1" t="str">
        <f ca="1">IF(A4040="","",IF(OR(L4040="ENTREGADA",L4040="RETORNADA",L4040="ENTREGA DIGITAL"),0,MAX(0,5-NETWORKDAYS(H4040+1,TODAY()))))</f>
        <v/>
      </c>
      <c r="L4040" t="str">
        <f>IF(A4040="","",IFERROR(LOOKUP(2,1/(#REF!=Z4040),#REF!),Y4040))</f>
        <v/>
      </c>
      <c r="Z4040" t="str">
        <f>IF(A4040="","",TEXT(A4040,"0")&amp;"|"&amp;TEXT(H4040,"0"))</f>
        <v/>
      </c>
      <c r="AA4040" t="str">
        <f>IF(Z4040="","",IFERROR(LOOKUP(2,1/(#REF!=Z4040),#REF!),""))</f>
        <v/>
      </c>
      <c r="AB4040" t="str">
        <f>IF(Z4040="","",IFERROR(LOOKUP(2,1/(#REF!=Z4040),#REF!),""))</f>
        <v/>
      </c>
      <c r="AC4040" t="str">
        <f>IF(Z4040="","",COUNTIF(#REF!,Z4040))</f>
        <v/>
      </c>
      <c r="AD4040" t="str">
        <f>IF(A4040="","",IF(AC4040&gt;1,"REVISAR DUPLICADO",IF(AA4040&lt;&gt;"","ACTUALIZADO POR EYR","SIN REPORTE EYR")))</f>
        <v/>
      </c>
    </row>
    <row r="4041" spans="11:30" x14ac:dyDescent="0.3">
      <c r="K4041" s="1" t="str">
        <f ca="1">IF(A4041="","",IF(OR(L4041="ENTREGADA",L4041="RETORNADA",L4041="ENTREGA DIGITAL"),0,MAX(0,5-NETWORKDAYS(H4041+1,TODAY()))))</f>
        <v/>
      </c>
      <c r="L4041" t="str">
        <f>IF(A4041="","",IFERROR(LOOKUP(2,1/(#REF!=Z4041),#REF!),Y4041))</f>
        <v/>
      </c>
      <c r="Z4041" t="str">
        <f>IF(A4041="","",TEXT(A4041,"0")&amp;"|"&amp;TEXT(H4041,"0"))</f>
        <v/>
      </c>
      <c r="AA4041" t="str">
        <f>IF(Z4041="","",IFERROR(LOOKUP(2,1/(#REF!=Z4041),#REF!),""))</f>
        <v/>
      </c>
      <c r="AB4041" t="str">
        <f>IF(Z4041="","",IFERROR(LOOKUP(2,1/(#REF!=Z4041),#REF!),""))</f>
        <v/>
      </c>
      <c r="AC4041" t="str">
        <f>IF(Z4041="","",COUNTIF(#REF!,Z4041))</f>
        <v/>
      </c>
      <c r="AD4041" t="str">
        <f>IF(A4041="","",IF(AC4041&gt;1,"REVISAR DUPLICADO",IF(AA4041&lt;&gt;"","ACTUALIZADO POR EYR","SIN REPORTE EYR")))</f>
        <v/>
      </c>
    </row>
    <row r="4042" spans="11:30" x14ac:dyDescent="0.3">
      <c r="K4042" s="1" t="str">
        <f ca="1">IF(A4042="","",IF(OR(L4042="ENTREGADA",L4042="RETORNADA",L4042="ENTREGA DIGITAL"),0,MAX(0,5-NETWORKDAYS(H4042+1,TODAY()))))</f>
        <v/>
      </c>
      <c r="L4042" t="str">
        <f>IF(A4042="","",IFERROR(LOOKUP(2,1/(#REF!=Z4042),#REF!),Y4042))</f>
        <v/>
      </c>
      <c r="Z4042" t="str">
        <f>IF(A4042="","",TEXT(A4042,"0")&amp;"|"&amp;TEXT(H4042,"0"))</f>
        <v/>
      </c>
      <c r="AA4042" t="str">
        <f>IF(Z4042="","",IFERROR(LOOKUP(2,1/(#REF!=Z4042),#REF!),""))</f>
        <v/>
      </c>
      <c r="AB4042" t="str">
        <f>IF(Z4042="","",IFERROR(LOOKUP(2,1/(#REF!=Z4042),#REF!),""))</f>
        <v/>
      </c>
      <c r="AC4042" t="str">
        <f>IF(Z4042="","",COUNTIF(#REF!,Z4042))</f>
        <v/>
      </c>
      <c r="AD4042" t="str">
        <f>IF(A4042="","",IF(AC4042&gt;1,"REVISAR DUPLICADO",IF(AA4042&lt;&gt;"","ACTUALIZADO POR EYR","SIN REPORTE EYR")))</f>
        <v/>
      </c>
    </row>
    <row r="4043" spans="11:30" x14ac:dyDescent="0.3">
      <c r="K4043" s="1" t="str">
        <f ca="1">IF(A4043="","",IF(OR(L4043="ENTREGADA",L4043="RETORNADA",L4043="ENTREGA DIGITAL"),0,MAX(0,5-NETWORKDAYS(H4043+1,TODAY()))))</f>
        <v/>
      </c>
      <c r="L4043" t="str">
        <f>IF(A4043="","",IFERROR(LOOKUP(2,1/(#REF!=Z4043),#REF!),Y4043))</f>
        <v/>
      </c>
      <c r="Z4043" t="str">
        <f>IF(A4043="","",TEXT(A4043,"0")&amp;"|"&amp;TEXT(H4043,"0"))</f>
        <v/>
      </c>
      <c r="AA4043" t="str">
        <f>IF(Z4043="","",IFERROR(LOOKUP(2,1/(#REF!=Z4043),#REF!),""))</f>
        <v/>
      </c>
      <c r="AB4043" t="str">
        <f>IF(Z4043="","",IFERROR(LOOKUP(2,1/(#REF!=Z4043),#REF!),""))</f>
        <v/>
      </c>
      <c r="AC4043" t="str">
        <f>IF(Z4043="","",COUNTIF(#REF!,Z4043))</f>
        <v/>
      </c>
      <c r="AD4043" t="str">
        <f>IF(A4043="","",IF(AC4043&gt;1,"REVISAR DUPLICADO",IF(AA4043&lt;&gt;"","ACTUALIZADO POR EYR","SIN REPORTE EYR")))</f>
        <v/>
      </c>
    </row>
    <row r="4044" spans="11:30" x14ac:dyDescent="0.3">
      <c r="K4044" s="1" t="str">
        <f ca="1">IF(A4044="","",IF(OR(L4044="ENTREGADA",L4044="RETORNADA",L4044="ENTREGA DIGITAL"),0,MAX(0,5-NETWORKDAYS(H4044+1,TODAY()))))</f>
        <v/>
      </c>
      <c r="L4044" t="str">
        <f>IF(A4044="","",IFERROR(LOOKUP(2,1/(#REF!=Z4044),#REF!),Y4044))</f>
        <v/>
      </c>
      <c r="Z4044" t="str">
        <f>IF(A4044="","",TEXT(A4044,"0")&amp;"|"&amp;TEXT(H4044,"0"))</f>
        <v/>
      </c>
      <c r="AA4044" t="str">
        <f>IF(Z4044="","",IFERROR(LOOKUP(2,1/(#REF!=Z4044),#REF!),""))</f>
        <v/>
      </c>
      <c r="AB4044" t="str">
        <f>IF(Z4044="","",IFERROR(LOOKUP(2,1/(#REF!=Z4044),#REF!),""))</f>
        <v/>
      </c>
      <c r="AC4044" t="str">
        <f>IF(Z4044="","",COUNTIF(#REF!,Z4044))</f>
        <v/>
      </c>
      <c r="AD4044" t="str">
        <f>IF(A4044="","",IF(AC4044&gt;1,"REVISAR DUPLICADO",IF(AA4044&lt;&gt;"","ACTUALIZADO POR EYR","SIN REPORTE EYR")))</f>
        <v/>
      </c>
    </row>
    <row r="4045" spans="11:30" x14ac:dyDescent="0.3">
      <c r="K4045" s="1" t="str">
        <f ca="1">IF(A4045="","",IF(OR(L4045="ENTREGADA",L4045="RETORNADA",L4045="ENTREGA DIGITAL"),0,MAX(0,5-NETWORKDAYS(H4045+1,TODAY()))))</f>
        <v/>
      </c>
      <c r="L4045" t="str">
        <f>IF(A4045="","",IFERROR(LOOKUP(2,1/(#REF!=Z4045),#REF!),Y4045))</f>
        <v/>
      </c>
      <c r="Z4045" t="str">
        <f>IF(A4045="","",TEXT(A4045,"0")&amp;"|"&amp;TEXT(H4045,"0"))</f>
        <v/>
      </c>
      <c r="AA4045" t="str">
        <f>IF(Z4045="","",IFERROR(LOOKUP(2,1/(#REF!=Z4045),#REF!),""))</f>
        <v/>
      </c>
      <c r="AB4045" t="str">
        <f>IF(Z4045="","",IFERROR(LOOKUP(2,1/(#REF!=Z4045),#REF!),""))</f>
        <v/>
      </c>
      <c r="AC4045" t="str">
        <f>IF(Z4045="","",COUNTIF(#REF!,Z4045))</f>
        <v/>
      </c>
      <c r="AD4045" t="str">
        <f>IF(A4045="","",IF(AC4045&gt;1,"REVISAR DUPLICADO",IF(AA4045&lt;&gt;"","ACTUALIZADO POR EYR","SIN REPORTE EYR")))</f>
        <v/>
      </c>
    </row>
    <row r="4046" spans="11:30" x14ac:dyDescent="0.3">
      <c r="K4046" s="1" t="str">
        <f ca="1">IF(A4046="","",IF(OR(L4046="ENTREGADA",L4046="RETORNADA",L4046="ENTREGA DIGITAL"),0,MAX(0,5-NETWORKDAYS(H4046+1,TODAY()))))</f>
        <v/>
      </c>
      <c r="L4046" t="str">
        <f>IF(A4046="","",IFERROR(LOOKUP(2,1/(#REF!=Z4046),#REF!),Y4046))</f>
        <v/>
      </c>
      <c r="Z4046" t="str">
        <f>IF(A4046="","",TEXT(A4046,"0")&amp;"|"&amp;TEXT(H4046,"0"))</f>
        <v/>
      </c>
      <c r="AA4046" t="str">
        <f>IF(Z4046="","",IFERROR(LOOKUP(2,1/(#REF!=Z4046),#REF!),""))</f>
        <v/>
      </c>
      <c r="AB4046" t="str">
        <f>IF(Z4046="","",IFERROR(LOOKUP(2,1/(#REF!=Z4046),#REF!),""))</f>
        <v/>
      </c>
      <c r="AC4046" t="str">
        <f>IF(Z4046="","",COUNTIF(#REF!,Z4046))</f>
        <v/>
      </c>
      <c r="AD4046" t="str">
        <f>IF(A4046="","",IF(AC4046&gt;1,"REVISAR DUPLICADO",IF(AA4046&lt;&gt;"","ACTUALIZADO POR EYR","SIN REPORTE EYR")))</f>
        <v/>
      </c>
    </row>
    <row r="4047" spans="11:30" x14ac:dyDescent="0.3">
      <c r="K4047" s="1" t="str">
        <f ca="1">IF(A4047="","",IF(OR(L4047="ENTREGADA",L4047="RETORNADA",L4047="ENTREGA DIGITAL"),0,MAX(0,5-NETWORKDAYS(H4047+1,TODAY()))))</f>
        <v/>
      </c>
      <c r="L4047" t="str">
        <f>IF(A4047="","",IFERROR(LOOKUP(2,1/(#REF!=Z4047),#REF!),Y4047))</f>
        <v/>
      </c>
      <c r="Z4047" t="str">
        <f>IF(A4047="","",TEXT(A4047,"0")&amp;"|"&amp;TEXT(H4047,"0"))</f>
        <v/>
      </c>
      <c r="AA4047" t="str">
        <f>IF(Z4047="","",IFERROR(LOOKUP(2,1/(#REF!=Z4047),#REF!),""))</f>
        <v/>
      </c>
      <c r="AB4047" t="str">
        <f>IF(Z4047="","",IFERROR(LOOKUP(2,1/(#REF!=Z4047),#REF!),""))</f>
        <v/>
      </c>
      <c r="AC4047" t="str">
        <f>IF(Z4047="","",COUNTIF(#REF!,Z4047))</f>
        <v/>
      </c>
      <c r="AD4047" t="str">
        <f>IF(A4047="","",IF(AC4047&gt;1,"REVISAR DUPLICADO",IF(AA4047&lt;&gt;"","ACTUALIZADO POR EYR","SIN REPORTE EYR")))</f>
        <v/>
      </c>
    </row>
    <row r="4048" spans="11:30" x14ac:dyDescent="0.3">
      <c r="K4048" s="1" t="str">
        <f ca="1">IF(A4048="","",IF(OR(L4048="ENTREGADA",L4048="RETORNADA",L4048="ENTREGA DIGITAL"),0,MAX(0,5-NETWORKDAYS(H4048+1,TODAY()))))</f>
        <v/>
      </c>
      <c r="L4048" t="str">
        <f>IF(A4048="","",IFERROR(LOOKUP(2,1/(#REF!=Z4048),#REF!),Y4048))</f>
        <v/>
      </c>
      <c r="Z4048" t="str">
        <f>IF(A4048="","",TEXT(A4048,"0")&amp;"|"&amp;TEXT(H4048,"0"))</f>
        <v/>
      </c>
      <c r="AA4048" t="str">
        <f>IF(Z4048="","",IFERROR(LOOKUP(2,1/(#REF!=Z4048),#REF!),""))</f>
        <v/>
      </c>
      <c r="AB4048" t="str">
        <f>IF(Z4048="","",IFERROR(LOOKUP(2,1/(#REF!=Z4048),#REF!),""))</f>
        <v/>
      </c>
      <c r="AC4048" t="str">
        <f>IF(Z4048="","",COUNTIF(#REF!,Z4048))</f>
        <v/>
      </c>
      <c r="AD4048" t="str">
        <f>IF(A4048="","",IF(AC4048&gt;1,"REVISAR DUPLICADO",IF(AA4048&lt;&gt;"","ACTUALIZADO POR EYR","SIN REPORTE EYR")))</f>
        <v/>
      </c>
    </row>
    <row r="4049" spans="11:30" x14ac:dyDescent="0.3">
      <c r="K4049" s="1" t="str">
        <f ca="1">IF(A4049="","",IF(OR(L4049="ENTREGADA",L4049="RETORNADA",L4049="ENTREGA DIGITAL"),0,MAX(0,5-NETWORKDAYS(H4049+1,TODAY()))))</f>
        <v/>
      </c>
      <c r="L4049" t="str">
        <f>IF(A4049="","",IFERROR(LOOKUP(2,1/(#REF!=Z4049),#REF!),Y4049))</f>
        <v/>
      </c>
      <c r="Z4049" t="str">
        <f>IF(A4049="","",TEXT(A4049,"0")&amp;"|"&amp;TEXT(H4049,"0"))</f>
        <v/>
      </c>
      <c r="AA4049" t="str">
        <f>IF(Z4049="","",IFERROR(LOOKUP(2,1/(#REF!=Z4049),#REF!),""))</f>
        <v/>
      </c>
      <c r="AB4049" t="str">
        <f>IF(Z4049="","",IFERROR(LOOKUP(2,1/(#REF!=Z4049),#REF!),""))</f>
        <v/>
      </c>
      <c r="AC4049" t="str">
        <f>IF(Z4049="","",COUNTIF(#REF!,Z4049))</f>
        <v/>
      </c>
      <c r="AD4049" t="str">
        <f>IF(A4049="","",IF(AC4049&gt;1,"REVISAR DUPLICADO",IF(AA4049&lt;&gt;"","ACTUALIZADO POR EYR","SIN REPORTE EYR")))</f>
        <v/>
      </c>
    </row>
    <row r="4050" spans="11:30" x14ac:dyDescent="0.3">
      <c r="K4050" s="1" t="str">
        <f ca="1">IF(A4050="","",IF(OR(L4050="ENTREGADA",L4050="RETORNADA",L4050="ENTREGA DIGITAL"),0,MAX(0,5-NETWORKDAYS(H4050+1,TODAY()))))</f>
        <v/>
      </c>
      <c r="L4050" t="str">
        <f>IF(A4050="","",IFERROR(LOOKUP(2,1/(#REF!=Z4050),#REF!),Y4050))</f>
        <v/>
      </c>
      <c r="Z4050" t="str">
        <f>IF(A4050="","",TEXT(A4050,"0")&amp;"|"&amp;TEXT(H4050,"0"))</f>
        <v/>
      </c>
      <c r="AA4050" t="str">
        <f>IF(Z4050="","",IFERROR(LOOKUP(2,1/(#REF!=Z4050),#REF!),""))</f>
        <v/>
      </c>
      <c r="AB4050" t="str">
        <f>IF(Z4050="","",IFERROR(LOOKUP(2,1/(#REF!=Z4050),#REF!),""))</f>
        <v/>
      </c>
      <c r="AC4050" t="str">
        <f>IF(Z4050="","",COUNTIF(#REF!,Z4050))</f>
        <v/>
      </c>
      <c r="AD4050" t="str">
        <f>IF(A4050="","",IF(AC4050&gt;1,"REVISAR DUPLICADO",IF(AA4050&lt;&gt;"","ACTUALIZADO POR EYR","SIN REPORTE EYR")))</f>
        <v/>
      </c>
    </row>
    <row r="4051" spans="11:30" x14ac:dyDescent="0.3">
      <c r="K4051" s="1" t="str">
        <f ca="1">IF(A4051="","",IF(OR(L4051="ENTREGADA",L4051="RETORNADA",L4051="ENTREGA DIGITAL"),0,MAX(0,5-NETWORKDAYS(H4051+1,TODAY()))))</f>
        <v/>
      </c>
      <c r="L4051" t="str">
        <f>IF(A4051="","",IFERROR(LOOKUP(2,1/(#REF!=Z4051),#REF!),Y4051))</f>
        <v/>
      </c>
      <c r="Z4051" t="str">
        <f>IF(A4051="","",TEXT(A4051,"0")&amp;"|"&amp;TEXT(H4051,"0"))</f>
        <v/>
      </c>
      <c r="AA4051" t="str">
        <f>IF(Z4051="","",IFERROR(LOOKUP(2,1/(#REF!=Z4051),#REF!),""))</f>
        <v/>
      </c>
      <c r="AB4051" t="str">
        <f>IF(Z4051="","",IFERROR(LOOKUP(2,1/(#REF!=Z4051),#REF!),""))</f>
        <v/>
      </c>
      <c r="AC4051" t="str">
        <f>IF(Z4051="","",COUNTIF(#REF!,Z4051))</f>
        <v/>
      </c>
      <c r="AD4051" t="str">
        <f>IF(A4051="","",IF(AC4051&gt;1,"REVISAR DUPLICADO",IF(AA4051&lt;&gt;"","ACTUALIZADO POR EYR","SIN REPORTE EYR")))</f>
        <v/>
      </c>
    </row>
    <row r="4052" spans="11:30" x14ac:dyDescent="0.3">
      <c r="K4052" s="1" t="str">
        <f ca="1">IF(A4052="","",IF(OR(L4052="ENTREGADA",L4052="RETORNADA",L4052="ENTREGA DIGITAL"),0,MAX(0,5-NETWORKDAYS(H4052+1,TODAY()))))</f>
        <v/>
      </c>
      <c r="L4052" t="str">
        <f>IF(A4052="","",IFERROR(LOOKUP(2,1/(#REF!=Z4052),#REF!),Y4052))</f>
        <v/>
      </c>
      <c r="Z4052" t="str">
        <f>IF(A4052="","",TEXT(A4052,"0")&amp;"|"&amp;TEXT(H4052,"0"))</f>
        <v/>
      </c>
      <c r="AA4052" t="str">
        <f>IF(Z4052="","",IFERROR(LOOKUP(2,1/(#REF!=Z4052),#REF!),""))</f>
        <v/>
      </c>
      <c r="AB4052" t="str">
        <f>IF(Z4052="","",IFERROR(LOOKUP(2,1/(#REF!=Z4052),#REF!),""))</f>
        <v/>
      </c>
      <c r="AC4052" t="str">
        <f>IF(Z4052="","",COUNTIF(#REF!,Z4052))</f>
        <v/>
      </c>
      <c r="AD4052" t="str">
        <f>IF(A4052="","",IF(AC4052&gt;1,"REVISAR DUPLICADO",IF(AA4052&lt;&gt;"","ACTUALIZADO POR EYR","SIN REPORTE EYR")))</f>
        <v/>
      </c>
    </row>
    <row r="4053" spans="11:30" x14ac:dyDescent="0.3">
      <c r="K4053" s="1" t="str">
        <f ca="1">IF(A4053="","",IF(OR(L4053="ENTREGADA",L4053="RETORNADA",L4053="ENTREGA DIGITAL"),0,MAX(0,5-NETWORKDAYS(H4053+1,TODAY()))))</f>
        <v/>
      </c>
      <c r="L4053" t="str">
        <f>IF(A4053="","",IFERROR(LOOKUP(2,1/(#REF!=Z4053),#REF!),Y4053))</f>
        <v/>
      </c>
      <c r="Z4053" t="str">
        <f>IF(A4053="","",TEXT(A4053,"0")&amp;"|"&amp;TEXT(H4053,"0"))</f>
        <v/>
      </c>
      <c r="AA4053" t="str">
        <f>IF(Z4053="","",IFERROR(LOOKUP(2,1/(#REF!=Z4053),#REF!),""))</f>
        <v/>
      </c>
      <c r="AB4053" t="str">
        <f>IF(Z4053="","",IFERROR(LOOKUP(2,1/(#REF!=Z4053),#REF!),""))</f>
        <v/>
      </c>
      <c r="AC4053" t="str">
        <f>IF(Z4053="","",COUNTIF(#REF!,Z4053))</f>
        <v/>
      </c>
      <c r="AD4053" t="str">
        <f>IF(A4053="","",IF(AC4053&gt;1,"REVISAR DUPLICADO",IF(AA4053&lt;&gt;"","ACTUALIZADO POR EYR","SIN REPORTE EYR")))</f>
        <v/>
      </c>
    </row>
    <row r="4054" spans="11:30" x14ac:dyDescent="0.3">
      <c r="K4054" s="1" t="str">
        <f ca="1">IF(A4054="","",IF(OR(L4054="ENTREGADA",L4054="RETORNADA",L4054="ENTREGA DIGITAL"),0,MAX(0,5-NETWORKDAYS(H4054+1,TODAY()))))</f>
        <v/>
      </c>
      <c r="L4054" t="str">
        <f>IF(A4054="","",IFERROR(LOOKUP(2,1/(#REF!=Z4054),#REF!),Y4054))</f>
        <v/>
      </c>
      <c r="Z4054" t="str">
        <f>IF(A4054="","",TEXT(A4054,"0")&amp;"|"&amp;TEXT(H4054,"0"))</f>
        <v/>
      </c>
      <c r="AA4054" t="str">
        <f>IF(Z4054="","",IFERROR(LOOKUP(2,1/(#REF!=Z4054),#REF!),""))</f>
        <v/>
      </c>
      <c r="AB4054" t="str">
        <f>IF(Z4054="","",IFERROR(LOOKUP(2,1/(#REF!=Z4054),#REF!),""))</f>
        <v/>
      </c>
      <c r="AC4054" t="str">
        <f>IF(Z4054="","",COUNTIF(#REF!,Z4054))</f>
        <v/>
      </c>
      <c r="AD4054" t="str">
        <f>IF(A4054="","",IF(AC4054&gt;1,"REVISAR DUPLICADO",IF(AA4054&lt;&gt;"","ACTUALIZADO POR EYR","SIN REPORTE EYR")))</f>
        <v/>
      </c>
    </row>
    <row r="4055" spans="11:30" x14ac:dyDescent="0.3">
      <c r="K4055" s="1" t="str">
        <f ca="1">IF(A4055="","",IF(OR(L4055="ENTREGADA",L4055="RETORNADA",L4055="ENTREGA DIGITAL"),0,MAX(0,5-NETWORKDAYS(H4055+1,TODAY()))))</f>
        <v/>
      </c>
      <c r="L4055" t="str">
        <f>IF(A4055="","",IFERROR(LOOKUP(2,1/(#REF!=Z4055),#REF!),Y4055))</f>
        <v/>
      </c>
      <c r="Z4055" t="str">
        <f>IF(A4055="","",TEXT(A4055,"0")&amp;"|"&amp;TEXT(H4055,"0"))</f>
        <v/>
      </c>
      <c r="AA4055" t="str">
        <f>IF(Z4055="","",IFERROR(LOOKUP(2,1/(#REF!=Z4055),#REF!),""))</f>
        <v/>
      </c>
      <c r="AB4055" t="str">
        <f>IF(Z4055="","",IFERROR(LOOKUP(2,1/(#REF!=Z4055),#REF!),""))</f>
        <v/>
      </c>
      <c r="AC4055" t="str">
        <f>IF(Z4055="","",COUNTIF(#REF!,Z4055))</f>
        <v/>
      </c>
      <c r="AD4055" t="str">
        <f>IF(A4055="","",IF(AC4055&gt;1,"REVISAR DUPLICADO",IF(AA4055&lt;&gt;"","ACTUALIZADO POR EYR","SIN REPORTE EYR")))</f>
        <v/>
      </c>
    </row>
    <row r="4056" spans="11:30" x14ac:dyDescent="0.3">
      <c r="K4056" s="1" t="str">
        <f ca="1">IF(A4056="","",IF(OR(L4056="ENTREGADA",L4056="RETORNADA",L4056="ENTREGA DIGITAL"),0,MAX(0,5-NETWORKDAYS(H4056+1,TODAY()))))</f>
        <v/>
      </c>
      <c r="L4056" t="str">
        <f>IF(A4056="","",IFERROR(LOOKUP(2,1/(#REF!=Z4056),#REF!),Y4056))</f>
        <v/>
      </c>
      <c r="Z4056" t="str">
        <f>IF(A4056="","",TEXT(A4056,"0")&amp;"|"&amp;TEXT(H4056,"0"))</f>
        <v/>
      </c>
      <c r="AA4056" t="str">
        <f>IF(Z4056="","",IFERROR(LOOKUP(2,1/(#REF!=Z4056),#REF!),""))</f>
        <v/>
      </c>
      <c r="AB4056" t="str">
        <f>IF(Z4056="","",IFERROR(LOOKUP(2,1/(#REF!=Z4056),#REF!),""))</f>
        <v/>
      </c>
      <c r="AC4056" t="str">
        <f>IF(Z4056="","",COUNTIF(#REF!,Z4056))</f>
        <v/>
      </c>
      <c r="AD4056" t="str">
        <f>IF(A4056="","",IF(AC4056&gt;1,"REVISAR DUPLICADO",IF(AA4056&lt;&gt;"","ACTUALIZADO POR EYR","SIN REPORTE EYR")))</f>
        <v/>
      </c>
    </row>
    <row r="4057" spans="11:30" x14ac:dyDescent="0.3">
      <c r="K4057" s="1" t="str">
        <f ca="1">IF(A4057="","",IF(OR(L4057="ENTREGADA",L4057="RETORNADA",L4057="ENTREGA DIGITAL"),0,MAX(0,5-NETWORKDAYS(H4057+1,TODAY()))))</f>
        <v/>
      </c>
      <c r="L4057" t="str">
        <f>IF(A4057="","",IFERROR(LOOKUP(2,1/(#REF!=Z4057),#REF!),Y4057))</f>
        <v/>
      </c>
      <c r="Z4057" t="str">
        <f>IF(A4057="","",TEXT(A4057,"0")&amp;"|"&amp;TEXT(H4057,"0"))</f>
        <v/>
      </c>
      <c r="AA4057" t="str">
        <f>IF(Z4057="","",IFERROR(LOOKUP(2,1/(#REF!=Z4057),#REF!),""))</f>
        <v/>
      </c>
      <c r="AB4057" t="str">
        <f>IF(Z4057="","",IFERROR(LOOKUP(2,1/(#REF!=Z4057),#REF!),""))</f>
        <v/>
      </c>
      <c r="AC4057" t="str">
        <f>IF(Z4057="","",COUNTIF(#REF!,Z4057))</f>
        <v/>
      </c>
      <c r="AD4057" t="str">
        <f>IF(A4057="","",IF(AC4057&gt;1,"REVISAR DUPLICADO",IF(AA4057&lt;&gt;"","ACTUALIZADO POR EYR","SIN REPORTE EYR")))</f>
        <v/>
      </c>
    </row>
    <row r="4058" spans="11:30" x14ac:dyDescent="0.3">
      <c r="K4058" s="1" t="str">
        <f ca="1">IF(A4058="","",IF(OR(L4058="ENTREGADA",L4058="RETORNADA",L4058="ENTREGA DIGITAL"),0,MAX(0,5-NETWORKDAYS(H4058+1,TODAY()))))</f>
        <v/>
      </c>
      <c r="L4058" t="str">
        <f>IF(A4058="","",IFERROR(LOOKUP(2,1/(#REF!=Z4058),#REF!),Y4058))</f>
        <v/>
      </c>
      <c r="Z4058" t="str">
        <f>IF(A4058="","",TEXT(A4058,"0")&amp;"|"&amp;TEXT(H4058,"0"))</f>
        <v/>
      </c>
      <c r="AA4058" t="str">
        <f>IF(Z4058="","",IFERROR(LOOKUP(2,1/(#REF!=Z4058),#REF!),""))</f>
        <v/>
      </c>
      <c r="AB4058" t="str">
        <f>IF(Z4058="","",IFERROR(LOOKUP(2,1/(#REF!=Z4058),#REF!),""))</f>
        <v/>
      </c>
      <c r="AC4058" t="str">
        <f>IF(Z4058="","",COUNTIF(#REF!,Z4058))</f>
        <v/>
      </c>
      <c r="AD4058" t="str">
        <f>IF(A4058="","",IF(AC4058&gt;1,"REVISAR DUPLICADO",IF(AA4058&lt;&gt;"","ACTUALIZADO POR EYR","SIN REPORTE EYR")))</f>
        <v/>
      </c>
    </row>
    <row r="4059" spans="11:30" x14ac:dyDescent="0.3">
      <c r="K4059" s="1" t="str">
        <f ca="1">IF(A4059="","",IF(OR(L4059="ENTREGADA",L4059="RETORNADA",L4059="ENTREGA DIGITAL"),0,MAX(0,5-NETWORKDAYS(H4059+1,TODAY()))))</f>
        <v/>
      </c>
      <c r="L4059" t="str">
        <f>IF(A4059="","",IFERROR(LOOKUP(2,1/(#REF!=Z4059),#REF!),Y4059))</f>
        <v/>
      </c>
      <c r="Z4059" t="str">
        <f>IF(A4059="","",TEXT(A4059,"0")&amp;"|"&amp;TEXT(H4059,"0"))</f>
        <v/>
      </c>
      <c r="AA4059" t="str">
        <f>IF(Z4059="","",IFERROR(LOOKUP(2,1/(#REF!=Z4059),#REF!),""))</f>
        <v/>
      </c>
      <c r="AB4059" t="str">
        <f>IF(Z4059="","",IFERROR(LOOKUP(2,1/(#REF!=Z4059),#REF!),""))</f>
        <v/>
      </c>
      <c r="AC4059" t="str">
        <f>IF(Z4059="","",COUNTIF(#REF!,Z4059))</f>
        <v/>
      </c>
      <c r="AD4059" t="str">
        <f>IF(A4059="","",IF(AC4059&gt;1,"REVISAR DUPLICADO",IF(AA4059&lt;&gt;"","ACTUALIZADO POR EYR","SIN REPORTE EYR")))</f>
        <v/>
      </c>
    </row>
    <row r="4060" spans="11:30" x14ac:dyDescent="0.3">
      <c r="K4060" s="1" t="str">
        <f ca="1">IF(A4060="","",IF(OR(L4060="ENTREGADA",L4060="RETORNADA",L4060="ENTREGA DIGITAL"),0,MAX(0,5-NETWORKDAYS(H4060+1,TODAY()))))</f>
        <v/>
      </c>
      <c r="L4060" t="str">
        <f>IF(A4060="","",IFERROR(LOOKUP(2,1/(#REF!=Z4060),#REF!),Y4060))</f>
        <v/>
      </c>
      <c r="Z4060" t="str">
        <f>IF(A4060="","",TEXT(A4060,"0")&amp;"|"&amp;TEXT(H4060,"0"))</f>
        <v/>
      </c>
      <c r="AA4060" t="str">
        <f>IF(Z4060="","",IFERROR(LOOKUP(2,1/(#REF!=Z4060),#REF!),""))</f>
        <v/>
      </c>
      <c r="AB4060" t="str">
        <f>IF(Z4060="","",IFERROR(LOOKUP(2,1/(#REF!=Z4060),#REF!),""))</f>
        <v/>
      </c>
      <c r="AC4060" t="str">
        <f>IF(Z4060="","",COUNTIF(#REF!,Z4060))</f>
        <v/>
      </c>
      <c r="AD4060" t="str">
        <f>IF(A4060="","",IF(AC4060&gt;1,"REVISAR DUPLICADO",IF(AA4060&lt;&gt;"","ACTUALIZADO POR EYR","SIN REPORTE EYR")))</f>
        <v/>
      </c>
    </row>
    <row r="4061" spans="11:30" x14ac:dyDescent="0.3">
      <c r="K4061" s="1" t="str">
        <f ca="1">IF(A4061="","",IF(OR(L4061="ENTREGADA",L4061="RETORNADA",L4061="ENTREGA DIGITAL"),0,MAX(0,5-NETWORKDAYS(H4061+1,TODAY()))))</f>
        <v/>
      </c>
      <c r="L4061" t="str">
        <f>IF(A4061="","",IFERROR(LOOKUP(2,1/(#REF!=Z4061),#REF!),Y4061))</f>
        <v/>
      </c>
      <c r="Z4061" t="str">
        <f>IF(A4061="","",TEXT(A4061,"0")&amp;"|"&amp;TEXT(H4061,"0"))</f>
        <v/>
      </c>
      <c r="AA4061" t="str">
        <f>IF(Z4061="","",IFERROR(LOOKUP(2,1/(#REF!=Z4061),#REF!),""))</f>
        <v/>
      </c>
      <c r="AB4061" t="str">
        <f>IF(Z4061="","",IFERROR(LOOKUP(2,1/(#REF!=Z4061),#REF!),""))</f>
        <v/>
      </c>
      <c r="AC4061" t="str">
        <f>IF(Z4061="","",COUNTIF(#REF!,Z4061))</f>
        <v/>
      </c>
      <c r="AD4061" t="str">
        <f>IF(A4061="","",IF(AC4061&gt;1,"REVISAR DUPLICADO",IF(AA4061&lt;&gt;"","ACTUALIZADO POR EYR","SIN REPORTE EYR")))</f>
        <v/>
      </c>
    </row>
    <row r="4062" spans="11:30" x14ac:dyDescent="0.3">
      <c r="K4062" s="1" t="str">
        <f ca="1">IF(A4062="","",IF(OR(L4062="ENTREGADA",L4062="RETORNADA",L4062="ENTREGA DIGITAL"),0,MAX(0,5-NETWORKDAYS(H4062+1,TODAY()))))</f>
        <v/>
      </c>
      <c r="L4062" t="str">
        <f>IF(A4062="","",IFERROR(LOOKUP(2,1/(#REF!=Z4062),#REF!),Y4062))</f>
        <v/>
      </c>
      <c r="Z4062" t="str">
        <f>IF(A4062="","",TEXT(A4062,"0")&amp;"|"&amp;TEXT(H4062,"0"))</f>
        <v/>
      </c>
      <c r="AA4062" t="str">
        <f>IF(Z4062="","",IFERROR(LOOKUP(2,1/(#REF!=Z4062),#REF!),""))</f>
        <v/>
      </c>
      <c r="AB4062" t="str">
        <f>IF(Z4062="","",IFERROR(LOOKUP(2,1/(#REF!=Z4062),#REF!),""))</f>
        <v/>
      </c>
      <c r="AC4062" t="str">
        <f>IF(Z4062="","",COUNTIF(#REF!,Z4062))</f>
        <v/>
      </c>
      <c r="AD4062" t="str">
        <f>IF(A4062="","",IF(AC4062&gt;1,"REVISAR DUPLICADO",IF(AA4062&lt;&gt;"","ACTUALIZADO POR EYR","SIN REPORTE EYR")))</f>
        <v/>
      </c>
    </row>
    <row r="4063" spans="11:30" x14ac:dyDescent="0.3">
      <c r="K4063" s="1" t="str">
        <f ca="1">IF(A4063="","",IF(OR(L4063="ENTREGADA",L4063="RETORNADA",L4063="ENTREGA DIGITAL"),0,MAX(0,5-NETWORKDAYS(H4063+1,TODAY()))))</f>
        <v/>
      </c>
      <c r="L4063" t="str">
        <f>IF(A4063="","",IFERROR(LOOKUP(2,1/(#REF!=Z4063),#REF!),Y4063))</f>
        <v/>
      </c>
      <c r="Z4063" t="str">
        <f>IF(A4063="","",TEXT(A4063,"0")&amp;"|"&amp;TEXT(H4063,"0"))</f>
        <v/>
      </c>
      <c r="AA4063" t="str">
        <f>IF(Z4063="","",IFERROR(LOOKUP(2,1/(#REF!=Z4063),#REF!),""))</f>
        <v/>
      </c>
      <c r="AB4063" t="str">
        <f>IF(Z4063="","",IFERROR(LOOKUP(2,1/(#REF!=Z4063),#REF!),""))</f>
        <v/>
      </c>
      <c r="AC4063" t="str">
        <f>IF(Z4063="","",COUNTIF(#REF!,Z4063))</f>
        <v/>
      </c>
      <c r="AD4063" t="str">
        <f>IF(A4063="","",IF(AC4063&gt;1,"REVISAR DUPLICADO",IF(AA4063&lt;&gt;"","ACTUALIZADO POR EYR","SIN REPORTE EYR")))</f>
        <v/>
      </c>
    </row>
    <row r="4064" spans="11:30" x14ac:dyDescent="0.3">
      <c r="K4064" s="1" t="str">
        <f ca="1">IF(A4064="","",IF(OR(L4064="ENTREGADA",L4064="RETORNADA",L4064="ENTREGA DIGITAL"),0,MAX(0,5-NETWORKDAYS(H4064+1,TODAY()))))</f>
        <v/>
      </c>
      <c r="L4064" t="str">
        <f>IF(A4064="","",IFERROR(LOOKUP(2,1/(#REF!=Z4064),#REF!),Y4064))</f>
        <v/>
      </c>
      <c r="Z4064" t="str">
        <f>IF(A4064="","",TEXT(A4064,"0")&amp;"|"&amp;TEXT(H4064,"0"))</f>
        <v/>
      </c>
      <c r="AA4064" t="str">
        <f>IF(Z4064="","",IFERROR(LOOKUP(2,1/(#REF!=Z4064),#REF!),""))</f>
        <v/>
      </c>
      <c r="AB4064" t="str">
        <f>IF(Z4064="","",IFERROR(LOOKUP(2,1/(#REF!=Z4064),#REF!),""))</f>
        <v/>
      </c>
      <c r="AC4064" t="str">
        <f>IF(Z4064="","",COUNTIF(#REF!,Z4064))</f>
        <v/>
      </c>
      <c r="AD4064" t="str">
        <f>IF(A4064="","",IF(AC4064&gt;1,"REVISAR DUPLICADO",IF(AA4064&lt;&gt;"","ACTUALIZADO POR EYR","SIN REPORTE EYR")))</f>
        <v/>
      </c>
    </row>
    <row r="4065" spans="11:30" x14ac:dyDescent="0.3">
      <c r="K4065" s="1" t="str">
        <f ca="1">IF(A4065="","",IF(OR(L4065="ENTREGADA",L4065="RETORNADA",L4065="ENTREGA DIGITAL"),0,MAX(0,5-NETWORKDAYS(H4065+1,TODAY()))))</f>
        <v/>
      </c>
      <c r="L4065" t="str">
        <f>IF(A4065="","",IFERROR(LOOKUP(2,1/(#REF!=Z4065),#REF!),Y4065))</f>
        <v/>
      </c>
      <c r="Z4065" t="str">
        <f>IF(A4065="","",TEXT(A4065,"0")&amp;"|"&amp;TEXT(H4065,"0"))</f>
        <v/>
      </c>
      <c r="AA4065" t="str">
        <f>IF(Z4065="","",IFERROR(LOOKUP(2,1/(#REF!=Z4065),#REF!),""))</f>
        <v/>
      </c>
      <c r="AB4065" t="str">
        <f>IF(Z4065="","",IFERROR(LOOKUP(2,1/(#REF!=Z4065),#REF!),""))</f>
        <v/>
      </c>
      <c r="AC4065" t="str">
        <f>IF(Z4065="","",COUNTIF(#REF!,Z4065))</f>
        <v/>
      </c>
      <c r="AD4065" t="str">
        <f>IF(A4065="","",IF(AC4065&gt;1,"REVISAR DUPLICADO",IF(AA4065&lt;&gt;"","ACTUALIZADO POR EYR","SIN REPORTE EYR")))</f>
        <v/>
      </c>
    </row>
    <row r="4066" spans="11:30" x14ac:dyDescent="0.3">
      <c r="K4066" s="1" t="str">
        <f ca="1">IF(A4066="","",IF(OR(L4066="ENTREGADA",L4066="RETORNADA",L4066="ENTREGA DIGITAL"),0,MAX(0,5-NETWORKDAYS(H4066+1,TODAY()))))</f>
        <v/>
      </c>
      <c r="L4066" t="str">
        <f>IF(A4066="","",IFERROR(LOOKUP(2,1/(#REF!=Z4066),#REF!),Y4066))</f>
        <v/>
      </c>
      <c r="Z4066" t="str">
        <f>IF(A4066="","",TEXT(A4066,"0")&amp;"|"&amp;TEXT(H4066,"0"))</f>
        <v/>
      </c>
      <c r="AA4066" t="str">
        <f>IF(Z4066="","",IFERROR(LOOKUP(2,1/(#REF!=Z4066),#REF!),""))</f>
        <v/>
      </c>
      <c r="AB4066" t="str">
        <f>IF(Z4066="","",IFERROR(LOOKUP(2,1/(#REF!=Z4066),#REF!),""))</f>
        <v/>
      </c>
      <c r="AC4066" t="str">
        <f>IF(Z4066="","",COUNTIF(#REF!,Z4066))</f>
        <v/>
      </c>
      <c r="AD4066" t="str">
        <f>IF(A4066="","",IF(AC4066&gt;1,"REVISAR DUPLICADO",IF(AA4066&lt;&gt;"","ACTUALIZADO POR EYR","SIN REPORTE EYR")))</f>
        <v/>
      </c>
    </row>
    <row r="4067" spans="11:30" x14ac:dyDescent="0.3">
      <c r="K4067" s="1" t="str">
        <f ca="1">IF(A4067="","",IF(OR(L4067="ENTREGADA",L4067="RETORNADA",L4067="ENTREGA DIGITAL"),0,MAX(0,5-NETWORKDAYS(H4067+1,TODAY()))))</f>
        <v/>
      </c>
      <c r="L4067" t="str">
        <f>IF(A4067="","",IFERROR(LOOKUP(2,1/(#REF!=Z4067),#REF!),Y4067))</f>
        <v/>
      </c>
      <c r="Z4067" t="str">
        <f>IF(A4067="","",TEXT(A4067,"0")&amp;"|"&amp;TEXT(H4067,"0"))</f>
        <v/>
      </c>
      <c r="AA4067" t="str">
        <f>IF(Z4067="","",IFERROR(LOOKUP(2,1/(#REF!=Z4067),#REF!),""))</f>
        <v/>
      </c>
      <c r="AB4067" t="str">
        <f>IF(Z4067="","",IFERROR(LOOKUP(2,1/(#REF!=Z4067),#REF!),""))</f>
        <v/>
      </c>
      <c r="AC4067" t="str">
        <f>IF(Z4067="","",COUNTIF(#REF!,Z4067))</f>
        <v/>
      </c>
      <c r="AD4067" t="str">
        <f>IF(A4067="","",IF(AC4067&gt;1,"REVISAR DUPLICADO",IF(AA4067&lt;&gt;"","ACTUALIZADO POR EYR","SIN REPORTE EYR")))</f>
        <v/>
      </c>
    </row>
    <row r="4068" spans="11:30" x14ac:dyDescent="0.3">
      <c r="K4068" s="1" t="str">
        <f ca="1">IF(A4068="","",IF(OR(L4068="ENTREGADA",L4068="RETORNADA",L4068="ENTREGA DIGITAL"),0,MAX(0,5-NETWORKDAYS(H4068+1,TODAY()))))</f>
        <v/>
      </c>
      <c r="L4068" t="str">
        <f>IF(A4068="","",IFERROR(LOOKUP(2,1/(#REF!=Z4068),#REF!),Y4068))</f>
        <v/>
      </c>
      <c r="Z4068" t="str">
        <f>IF(A4068="","",TEXT(A4068,"0")&amp;"|"&amp;TEXT(H4068,"0"))</f>
        <v/>
      </c>
      <c r="AA4068" t="str">
        <f>IF(Z4068="","",IFERROR(LOOKUP(2,1/(#REF!=Z4068),#REF!),""))</f>
        <v/>
      </c>
      <c r="AB4068" t="str">
        <f>IF(Z4068="","",IFERROR(LOOKUP(2,1/(#REF!=Z4068),#REF!),""))</f>
        <v/>
      </c>
      <c r="AC4068" t="str">
        <f>IF(Z4068="","",COUNTIF(#REF!,Z4068))</f>
        <v/>
      </c>
      <c r="AD4068" t="str">
        <f>IF(A4068="","",IF(AC4068&gt;1,"REVISAR DUPLICADO",IF(AA4068&lt;&gt;"","ACTUALIZADO POR EYR","SIN REPORTE EYR")))</f>
        <v/>
      </c>
    </row>
    <row r="4069" spans="11:30" x14ac:dyDescent="0.3">
      <c r="K4069" s="1" t="str">
        <f ca="1">IF(A4069="","",IF(OR(L4069="ENTREGADA",L4069="RETORNADA",L4069="ENTREGA DIGITAL"),0,MAX(0,5-NETWORKDAYS(H4069+1,TODAY()))))</f>
        <v/>
      </c>
      <c r="L4069" t="str">
        <f>IF(A4069="","",IFERROR(LOOKUP(2,1/(#REF!=Z4069),#REF!),Y4069))</f>
        <v/>
      </c>
      <c r="Z4069" t="str">
        <f>IF(A4069="","",TEXT(A4069,"0")&amp;"|"&amp;TEXT(H4069,"0"))</f>
        <v/>
      </c>
      <c r="AA4069" t="str">
        <f>IF(Z4069="","",IFERROR(LOOKUP(2,1/(#REF!=Z4069),#REF!),""))</f>
        <v/>
      </c>
      <c r="AB4069" t="str">
        <f>IF(Z4069="","",IFERROR(LOOKUP(2,1/(#REF!=Z4069),#REF!),""))</f>
        <v/>
      </c>
      <c r="AC4069" t="str">
        <f>IF(Z4069="","",COUNTIF(#REF!,Z4069))</f>
        <v/>
      </c>
      <c r="AD4069" t="str">
        <f>IF(A4069="","",IF(AC4069&gt;1,"REVISAR DUPLICADO",IF(AA4069&lt;&gt;"","ACTUALIZADO POR EYR","SIN REPORTE EYR")))</f>
        <v/>
      </c>
    </row>
    <row r="4070" spans="11:30" x14ac:dyDescent="0.3">
      <c r="K4070" s="1" t="str">
        <f ca="1">IF(A4070="","",IF(OR(L4070="ENTREGADA",L4070="RETORNADA",L4070="ENTREGA DIGITAL"),0,MAX(0,5-NETWORKDAYS(H4070+1,TODAY()))))</f>
        <v/>
      </c>
      <c r="L4070" t="str">
        <f>IF(A4070="","",IFERROR(LOOKUP(2,1/(#REF!=Z4070),#REF!),Y4070))</f>
        <v/>
      </c>
      <c r="Z4070" t="str">
        <f>IF(A4070="","",TEXT(A4070,"0")&amp;"|"&amp;TEXT(H4070,"0"))</f>
        <v/>
      </c>
      <c r="AA4070" t="str">
        <f>IF(Z4070="","",IFERROR(LOOKUP(2,1/(#REF!=Z4070),#REF!),""))</f>
        <v/>
      </c>
      <c r="AB4070" t="str">
        <f>IF(Z4070="","",IFERROR(LOOKUP(2,1/(#REF!=Z4070),#REF!),""))</f>
        <v/>
      </c>
      <c r="AC4070" t="str">
        <f>IF(Z4070="","",COUNTIF(#REF!,Z4070))</f>
        <v/>
      </c>
      <c r="AD4070" t="str">
        <f>IF(A4070="","",IF(AC4070&gt;1,"REVISAR DUPLICADO",IF(AA4070&lt;&gt;"","ACTUALIZADO POR EYR","SIN REPORTE EYR")))</f>
        <v/>
      </c>
    </row>
    <row r="4071" spans="11:30" x14ac:dyDescent="0.3">
      <c r="K4071" s="1" t="str">
        <f ca="1">IF(A4071="","",IF(OR(L4071="ENTREGADA",L4071="RETORNADA",L4071="ENTREGA DIGITAL"),0,MAX(0,5-NETWORKDAYS(H4071+1,TODAY()))))</f>
        <v/>
      </c>
      <c r="L4071" t="str">
        <f>IF(A4071="","",IFERROR(LOOKUP(2,1/(#REF!=Z4071),#REF!),Y4071))</f>
        <v/>
      </c>
      <c r="Z4071" t="str">
        <f>IF(A4071="","",TEXT(A4071,"0")&amp;"|"&amp;TEXT(H4071,"0"))</f>
        <v/>
      </c>
      <c r="AA4071" t="str">
        <f>IF(Z4071="","",IFERROR(LOOKUP(2,1/(#REF!=Z4071),#REF!),""))</f>
        <v/>
      </c>
      <c r="AB4071" t="str">
        <f>IF(Z4071="","",IFERROR(LOOKUP(2,1/(#REF!=Z4071),#REF!),""))</f>
        <v/>
      </c>
      <c r="AC4071" t="str">
        <f>IF(Z4071="","",COUNTIF(#REF!,Z4071))</f>
        <v/>
      </c>
      <c r="AD4071" t="str">
        <f>IF(A4071="","",IF(AC4071&gt;1,"REVISAR DUPLICADO",IF(AA4071&lt;&gt;"","ACTUALIZADO POR EYR","SIN REPORTE EYR")))</f>
        <v/>
      </c>
    </row>
    <row r="4072" spans="11:30" x14ac:dyDescent="0.3">
      <c r="K4072" s="1" t="str">
        <f ca="1">IF(A4072="","",IF(OR(L4072="ENTREGADA",L4072="RETORNADA",L4072="ENTREGA DIGITAL"),0,MAX(0,5-NETWORKDAYS(H4072+1,TODAY()))))</f>
        <v/>
      </c>
      <c r="L4072" t="str">
        <f>IF(A4072="","",IFERROR(LOOKUP(2,1/(#REF!=Z4072),#REF!),Y4072))</f>
        <v/>
      </c>
      <c r="Z4072" t="str">
        <f>IF(A4072="","",TEXT(A4072,"0")&amp;"|"&amp;TEXT(H4072,"0"))</f>
        <v/>
      </c>
      <c r="AA4072" t="str">
        <f>IF(Z4072="","",IFERROR(LOOKUP(2,1/(#REF!=Z4072),#REF!),""))</f>
        <v/>
      </c>
      <c r="AB4072" t="str">
        <f>IF(Z4072="","",IFERROR(LOOKUP(2,1/(#REF!=Z4072),#REF!),""))</f>
        <v/>
      </c>
      <c r="AC4072" t="str">
        <f>IF(Z4072="","",COUNTIF(#REF!,Z4072))</f>
        <v/>
      </c>
      <c r="AD4072" t="str">
        <f>IF(A4072="","",IF(AC4072&gt;1,"REVISAR DUPLICADO",IF(AA4072&lt;&gt;"","ACTUALIZADO POR EYR","SIN REPORTE EYR")))</f>
        <v/>
      </c>
    </row>
    <row r="4073" spans="11:30" x14ac:dyDescent="0.3">
      <c r="K4073" s="1" t="str">
        <f ca="1">IF(A4073="","",IF(OR(L4073="ENTREGADA",L4073="RETORNADA",L4073="ENTREGA DIGITAL"),0,MAX(0,5-NETWORKDAYS(H4073+1,TODAY()))))</f>
        <v/>
      </c>
      <c r="L4073" t="str">
        <f>IF(A4073="","",IFERROR(LOOKUP(2,1/(#REF!=Z4073),#REF!),Y4073))</f>
        <v/>
      </c>
      <c r="Z4073" t="str">
        <f>IF(A4073="","",TEXT(A4073,"0")&amp;"|"&amp;TEXT(H4073,"0"))</f>
        <v/>
      </c>
      <c r="AA4073" t="str">
        <f>IF(Z4073="","",IFERROR(LOOKUP(2,1/(#REF!=Z4073),#REF!),""))</f>
        <v/>
      </c>
      <c r="AB4073" t="str">
        <f>IF(Z4073="","",IFERROR(LOOKUP(2,1/(#REF!=Z4073),#REF!),""))</f>
        <v/>
      </c>
      <c r="AC4073" t="str">
        <f>IF(Z4073="","",COUNTIF(#REF!,Z4073))</f>
        <v/>
      </c>
      <c r="AD4073" t="str">
        <f>IF(A4073="","",IF(AC4073&gt;1,"REVISAR DUPLICADO",IF(AA4073&lt;&gt;"","ACTUALIZADO POR EYR","SIN REPORTE EYR")))</f>
        <v/>
      </c>
    </row>
    <row r="4074" spans="11:30" x14ac:dyDescent="0.3">
      <c r="K4074" s="1" t="str">
        <f ca="1">IF(A4074="","",IF(OR(L4074="ENTREGADA",L4074="RETORNADA",L4074="ENTREGA DIGITAL"),0,MAX(0,5-NETWORKDAYS(H4074+1,TODAY()))))</f>
        <v/>
      </c>
      <c r="L4074" t="str">
        <f>IF(A4074="","",IFERROR(LOOKUP(2,1/(#REF!=Z4074),#REF!),Y4074))</f>
        <v/>
      </c>
      <c r="Z4074" t="str">
        <f>IF(A4074="","",TEXT(A4074,"0")&amp;"|"&amp;TEXT(H4074,"0"))</f>
        <v/>
      </c>
      <c r="AA4074" t="str">
        <f>IF(Z4074="","",IFERROR(LOOKUP(2,1/(#REF!=Z4074),#REF!),""))</f>
        <v/>
      </c>
      <c r="AB4074" t="str">
        <f>IF(Z4074="","",IFERROR(LOOKUP(2,1/(#REF!=Z4074),#REF!),""))</f>
        <v/>
      </c>
      <c r="AC4074" t="str">
        <f>IF(Z4074="","",COUNTIF(#REF!,Z4074))</f>
        <v/>
      </c>
      <c r="AD4074" t="str">
        <f>IF(A4074="","",IF(AC4074&gt;1,"REVISAR DUPLICADO",IF(AA4074&lt;&gt;"","ACTUALIZADO POR EYR","SIN REPORTE EYR")))</f>
        <v/>
      </c>
    </row>
    <row r="4075" spans="11:30" x14ac:dyDescent="0.3">
      <c r="K4075" s="1" t="str">
        <f ca="1">IF(A4075="","",IF(OR(L4075="ENTREGADA",L4075="RETORNADA",L4075="ENTREGA DIGITAL"),0,MAX(0,5-NETWORKDAYS(H4075+1,TODAY()))))</f>
        <v/>
      </c>
      <c r="L4075" t="str">
        <f>IF(A4075="","",IFERROR(LOOKUP(2,1/(#REF!=Z4075),#REF!),Y4075))</f>
        <v/>
      </c>
      <c r="Z4075" t="str">
        <f>IF(A4075="","",TEXT(A4075,"0")&amp;"|"&amp;TEXT(H4075,"0"))</f>
        <v/>
      </c>
      <c r="AA4075" t="str">
        <f>IF(Z4075="","",IFERROR(LOOKUP(2,1/(#REF!=Z4075),#REF!),""))</f>
        <v/>
      </c>
      <c r="AB4075" t="str">
        <f>IF(Z4075="","",IFERROR(LOOKUP(2,1/(#REF!=Z4075),#REF!),""))</f>
        <v/>
      </c>
      <c r="AC4075" t="str">
        <f>IF(Z4075="","",COUNTIF(#REF!,Z4075))</f>
        <v/>
      </c>
      <c r="AD4075" t="str">
        <f>IF(A4075="","",IF(AC4075&gt;1,"REVISAR DUPLICADO",IF(AA4075&lt;&gt;"","ACTUALIZADO POR EYR","SIN REPORTE EYR")))</f>
        <v/>
      </c>
    </row>
    <row r="4076" spans="11:30" x14ac:dyDescent="0.3">
      <c r="K4076" s="1" t="str">
        <f ca="1">IF(A4076="","",IF(OR(L4076="ENTREGADA",L4076="RETORNADA",L4076="ENTREGA DIGITAL"),0,MAX(0,5-NETWORKDAYS(H4076+1,TODAY()))))</f>
        <v/>
      </c>
      <c r="L4076" t="str">
        <f>IF(A4076="","",IFERROR(LOOKUP(2,1/(#REF!=Z4076),#REF!),Y4076))</f>
        <v/>
      </c>
      <c r="Z4076" t="str">
        <f>IF(A4076="","",TEXT(A4076,"0")&amp;"|"&amp;TEXT(H4076,"0"))</f>
        <v/>
      </c>
      <c r="AA4076" t="str">
        <f>IF(Z4076="","",IFERROR(LOOKUP(2,1/(#REF!=Z4076),#REF!),""))</f>
        <v/>
      </c>
      <c r="AB4076" t="str">
        <f>IF(Z4076="","",IFERROR(LOOKUP(2,1/(#REF!=Z4076),#REF!),""))</f>
        <v/>
      </c>
      <c r="AC4076" t="str">
        <f>IF(Z4076="","",COUNTIF(#REF!,Z4076))</f>
        <v/>
      </c>
      <c r="AD4076" t="str">
        <f>IF(A4076="","",IF(AC4076&gt;1,"REVISAR DUPLICADO",IF(AA4076&lt;&gt;"","ACTUALIZADO POR EYR","SIN REPORTE EYR")))</f>
        <v/>
      </c>
    </row>
    <row r="4077" spans="11:30" x14ac:dyDescent="0.3">
      <c r="K4077" s="1" t="str">
        <f ca="1">IF(A4077="","",IF(OR(L4077="ENTREGADA",L4077="RETORNADA",L4077="ENTREGA DIGITAL"),0,MAX(0,5-NETWORKDAYS(H4077+1,TODAY()))))</f>
        <v/>
      </c>
      <c r="L4077" t="str">
        <f>IF(A4077="","",IFERROR(LOOKUP(2,1/(#REF!=Z4077),#REF!),Y4077))</f>
        <v/>
      </c>
      <c r="Z4077" t="str">
        <f>IF(A4077="","",TEXT(A4077,"0")&amp;"|"&amp;TEXT(H4077,"0"))</f>
        <v/>
      </c>
      <c r="AA4077" t="str">
        <f>IF(Z4077="","",IFERROR(LOOKUP(2,1/(#REF!=Z4077),#REF!),""))</f>
        <v/>
      </c>
      <c r="AB4077" t="str">
        <f>IF(Z4077="","",IFERROR(LOOKUP(2,1/(#REF!=Z4077),#REF!),""))</f>
        <v/>
      </c>
      <c r="AC4077" t="str">
        <f>IF(Z4077="","",COUNTIF(#REF!,Z4077))</f>
        <v/>
      </c>
      <c r="AD4077" t="str">
        <f>IF(A4077="","",IF(AC4077&gt;1,"REVISAR DUPLICADO",IF(AA4077&lt;&gt;"","ACTUALIZADO POR EYR","SIN REPORTE EYR")))</f>
        <v/>
      </c>
    </row>
    <row r="4078" spans="11:30" x14ac:dyDescent="0.3">
      <c r="K4078" s="1" t="str">
        <f ca="1">IF(A4078="","",IF(OR(L4078="ENTREGADA",L4078="RETORNADA",L4078="ENTREGA DIGITAL"),0,MAX(0,5-NETWORKDAYS(H4078+1,TODAY()))))</f>
        <v/>
      </c>
      <c r="L4078" t="str">
        <f>IF(A4078="","",IFERROR(LOOKUP(2,1/(#REF!=Z4078),#REF!),Y4078))</f>
        <v/>
      </c>
      <c r="Z4078" t="str">
        <f>IF(A4078="","",TEXT(A4078,"0")&amp;"|"&amp;TEXT(H4078,"0"))</f>
        <v/>
      </c>
      <c r="AA4078" t="str">
        <f>IF(Z4078="","",IFERROR(LOOKUP(2,1/(#REF!=Z4078),#REF!),""))</f>
        <v/>
      </c>
      <c r="AB4078" t="str">
        <f>IF(Z4078="","",IFERROR(LOOKUP(2,1/(#REF!=Z4078),#REF!),""))</f>
        <v/>
      </c>
      <c r="AC4078" t="str">
        <f>IF(Z4078="","",COUNTIF(#REF!,Z4078))</f>
        <v/>
      </c>
      <c r="AD4078" t="str">
        <f>IF(A4078="","",IF(AC4078&gt;1,"REVISAR DUPLICADO",IF(AA4078&lt;&gt;"","ACTUALIZADO POR EYR","SIN REPORTE EYR")))</f>
        <v/>
      </c>
    </row>
    <row r="4079" spans="11:30" x14ac:dyDescent="0.3">
      <c r="K4079" s="1" t="str">
        <f ca="1">IF(A4079="","",IF(OR(L4079="ENTREGADA",L4079="RETORNADA",L4079="ENTREGA DIGITAL"),0,MAX(0,5-NETWORKDAYS(H4079+1,TODAY()))))</f>
        <v/>
      </c>
      <c r="L4079" t="str">
        <f>IF(A4079="","",IFERROR(LOOKUP(2,1/(#REF!=Z4079),#REF!),Y4079))</f>
        <v/>
      </c>
      <c r="Z4079" t="str">
        <f>IF(A4079="","",TEXT(A4079,"0")&amp;"|"&amp;TEXT(H4079,"0"))</f>
        <v/>
      </c>
      <c r="AA4079" t="str">
        <f>IF(Z4079="","",IFERROR(LOOKUP(2,1/(#REF!=Z4079),#REF!),""))</f>
        <v/>
      </c>
      <c r="AB4079" t="str">
        <f>IF(Z4079="","",IFERROR(LOOKUP(2,1/(#REF!=Z4079),#REF!),""))</f>
        <v/>
      </c>
      <c r="AC4079" t="str">
        <f>IF(Z4079="","",COUNTIF(#REF!,Z4079))</f>
        <v/>
      </c>
      <c r="AD4079" t="str">
        <f>IF(A4079="","",IF(AC4079&gt;1,"REVISAR DUPLICADO",IF(AA4079&lt;&gt;"","ACTUALIZADO POR EYR","SIN REPORTE EYR")))</f>
        <v/>
      </c>
    </row>
    <row r="4080" spans="11:30" x14ac:dyDescent="0.3">
      <c r="K4080" s="1" t="str">
        <f ca="1">IF(A4080="","",IF(OR(L4080="ENTREGADA",L4080="RETORNADA",L4080="ENTREGA DIGITAL"),0,MAX(0,5-NETWORKDAYS(H4080+1,TODAY()))))</f>
        <v/>
      </c>
      <c r="L4080" t="str">
        <f>IF(A4080="","",IFERROR(LOOKUP(2,1/(#REF!=Z4080),#REF!),Y4080))</f>
        <v/>
      </c>
      <c r="Z4080" t="str">
        <f>IF(A4080="","",TEXT(A4080,"0")&amp;"|"&amp;TEXT(H4080,"0"))</f>
        <v/>
      </c>
      <c r="AA4080" t="str">
        <f>IF(Z4080="","",IFERROR(LOOKUP(2,1/(#REF!=Z4080),#REF!),""))</f>
        <v/>
      </c>
      <c r="AB4080" t="str">
        <f>IF(Z4080="","",IFERROR(LOOKUP(2,1/(#REF!=Z4080),#REF!),""))</f>
        <v/>
      </c>
      <c r="AC4080" t="str">
        <f>IF(Z4080="","",COUNTIF(#REF!,Z4080))</f>
        <v/>
      </c>
      <c r="AD4080" t="str">
        <f>IF(A4080="","",IF(AC4080&gt;1,"REVISAR DUPLICADO",IF(AA4080&lt;&gt;"","ACTUALIZADO POR EYR","SIN REPORTE EYR")))</f>
        <v/>
      </c>
    </row>
    <row r="4081" spans="11:30" x14ac:dyDescent="0.3">
      <c r="K4081" s="1" t="str">
        <f ca="1">IF(A4081="","",IF(OR(L4081="ENTREGADA",L4081="RETORNADA",L4081="ENTREGA DIGITAL"),0,MAX(0,5-NETWORKDAYS(H4081+1,TODAY()))))</f>
        <v/>
      </c>
      <c r="L4081" t="str">
        <f>IF(A4081="","",IFERROR(LOOKUP(2,1/(#REF!=Z4081),#REF!),Y4081))</f>
        <v/>
      </c>
      <c r="Z4081" t="str">
        <f>IF(A4081="","",TEXT(A4081,"0")&amp;"|"&amp;TEXT(H4081,"0"))</f>
        <v/>
      </c>
      <c r="AA4081" t="str">
        <f>IF(Z4081="","",IFERROR(LOOKUP(2,1/(#REF!=Z4081),#REF!),""))</f>
        <v/>
      </c>
      <c r="AB4081" t="str">
        <f>IF(Z4081="","",IFERROR(LOOKUP(2,1/(#REF!=Z4081),#REF!),""))</f>
        <v/>
      </c>
      <c r="AC4081" t="str">
        <f>IF(Z4081="","",COUNTIF(#REF!,Z4081))</f>
        <v/>
      </c>
      <c r="AD4081" t="str">
        <f>IF(A4081="","",IF(AC4081&gt;1,"REVISAR DUPLICADO",IF(AA4081&lt;&gt;"","ACTUALIZADO POR EYR","SIN REPORTE EYR")))</f>
        <v/>
      </c>
    </row>
    <row r="4082" spans="11:30" x14ac:dyDescent="0.3">
      <c r="K4082" s="1" t="str">
        <f ca="1">IF(A4082="","",IF(OR(L4082="ENTREGADA",L4082="RETORNADA",L4082="ENTREGA DIGITAL"),0,MAX(0,5-NETWORKDAYS(H4082+1,TODAY()))))</f>
        <v/>
      </c>
      <c r="L4082" t="str">
        <f>IF(A4082="","",IFERROR(LOOKUP(2,1/(#REF!=Z4082),#REF!),Y4082))</f>
        <v/>
      </c>
      <c r="Z4082" t="str">
        <f>IF(A4082="","",TEXT(A4082,"0")&amp;"|"&amp;TEXT(H4082,"0"))</f>
        <v/>
      </c>
      <c r="AA4082" t="str">
        <f>IF(Z4082="","",IFERROR(LOOKUP(2,1/(#REF!=Z4082),#REF!),""))</f>
        <v/>
      </c>
      <c r="AB4082" t="str">
        <f>IF(Z4082="","",IFERROR(LOOKUP(2,1/(#REF!=Z4082),#REF!),""))</f>
        <v/>
      </c>
      <c r="AC4082" t="str">
        <f>IF(Z4082="","",COUNTIF(#REF!,Z4082))</f>
        <v/>
      </c>
      <c r="AD4082" t="str">
        <f>IF(A4082="","",IF(AC4082&gt;1,"REVISAR DUPLICADO",IF(AA4082&lt;&gt;"","ACTUALIZADO POR EYR","SIN REPORTE EYR")))</f>
        <v/>
      </c>
    </row>
    <row r="4083" spans="11:30" x14ac:dyDescent="0.3">
      <c r="K4083" s="1" t="str">
        <f ca="1">IF(A4083="","",IF(OR(L4083="ENTREGADA",L4083="RETORNADA",L4083="ENTREGA DIGITAL"),0,MAX(0,5-NETWORKDAYS(H4083+1,TODAY()))))</f>
        <v/>
      </c>
      <c r="L4083" t="str">
        <f>IF(A4083="","",IFERROR(LOOKUP(2,1/(#REF!=Z4083),#REF!),Y4083))</f>
        <v/>
      </c>
      <c r="Z4083" t="str">
        <f>IF(A4083="","",TEXT(A4083,"0")&amp;"|"&amp;TEXT(H4083,"0"))</f>
        <v/>
      </c>
      <c r="AA4083" t="str">
        <f>IF(Z4083="","",IFERROR(LOOKUP(2,1/(#REF!=Z4083),#REF!),""))</f>
        <v/>
      </c>
      <c r="AB4083" t="str">
        <f>IF(Z4083="","",IFERROR(LOOKUP(2,1/(#REF!=Z4083),#REF!),""))</f>
        <v/>
      </c>
      <c r="AC4083" t="str">
        <f>IF(Z4083="","",COUNTIF(#REF!,Z4083))</f>
        <v/>
      </c>
      <c r="AD4083" t="str">
        <f>IF(A4083="","",IF(AC4083&gt;1,"REVISAR DUPLICADO",IF(AA4083&lt;&gt;"","ACTUALIZADO POR EYR","SIN REPORTE EYR")))</f>
        <v/>
      </c>
    </row>
    <row r="4084" spans="11:30" x14ac:dyDescent="0.3">
      <c r="K4084" s="1" t="str">
        <f ca="1">IF(A4084="","",IF(OR(L4084="ENTREGADA",L4084="RETORNADA",L4084="ENTREGA DIGITAL"),0,MAX(0,5-NETWORKDAYS(H4084+1,TODAY()))))</f>
        <v/>
      </c>
      <c r="L4084" t="str">
        <f>IF(A4084="","",IFERROR(LOOKUP(2,1/(#REF!=Z4084),#REF!),Y4084))</f>
        <v/>
      </c>
      <c r="Z4084" t="str">
        <f>IF(A4084="","",TEXT(A4084,"0")&amp;"|"&amp;TEXT(H4084,"0"))</f>
        <v/>
      </c>
      <c r="AA4084" t="str">
        <f>IF(Z4084="","",IFERROR(LOOKUP(2,1/(#REF!=Z4084),#REF!),""))</f>
        <v/>
      </c>
      <c r="AB4084" t="str">
        <f>IF(Z4084="","",IFERROR(LOOKUP(2,1/(#REF!=Z4084),#REF!),""))</f>
        <v/>
      </c>
      <c r="AC4084" t="str">
        <f>IF(Z4084="","",COUNTIF(#REF!,Z4084))</f>
        <v/>
      </c>
      <c r="AD4084" t="str">
        <f>IF(A4084="","",IF(AC4084&gt;1,"REVISAR DUPLICADO",IF(AA4084&lt;&gt;"","ACTUALIZADO POR EYR","SIN REPORTE EYR")))</f>
        <v/>
      </c>
    </row>
    <row r="4085" spans="11:30" x14ac:dyDescent="0.3">
      <c r="K4085" s="1" t="str">
        <f ca="1">IF(A4085="","",IF(OR(L4085="ENTREGADA",L4085="RETORNADA",L4085="ENTREGA DIGITAL"),0,MAX(0,5-NETWORKDAYS(H4085+1,TODAY()))))</f>
        <v/>
      </c>
      <c r="L4085" t="str">
        <f>IF(A4085="","",IFERROR(LOOKUP(2,1/(#REF!=Z4085),#REF!),Y4085))</f>
        <v/>
      </c>
      <c r="Z4085" t="str">
        <f>IF(A4085="","",TEXT(A4085,"0")&amp;"|"&amp;TEXT(H4085,"0"))</f>
        <v/>
      </c>
      <c r="AA4085" t="str">
        <f>IF(Z4085="","",IFERROR(LOOKUP(2,1/(#REF!=Z4085),#REF!),""))</f>
        <v/>
      </c>
      <c r="AB4085" t="str">
        <f>IF(Z4085="","",IFERROR(LOOKUP(2,1/(#REF!=Z4085),#REF!),""))</f>
        <v/>
      </c>
      <c r="AC4085" t="str">
        <f>IF(Z4085="","",COUNTIF(#REF!,Z4085))</f>
        <v/>
      </c>
      <c r="AD4085" t="str">
        <f>IF(A4085="","",IF(AC4085&gt;1,"REVISAR DUPLICADO",IF(AA4085&lt;&gt;"","ACTUALIZADO POR EYR","SIN REPORTE EYR")))</f>
        <v/>
      </c>
    </row>
    <row r="4086" spans="11:30" x14ac:dyDescent="0.3">
      <c r="K4086" s="1" t="str">
        <f ca="1">IF(A4086="","",IF(OR(L4086="ENTREGADA",L4086="RETORNADA",L4086="ENTREGA DIGITAL"),0,MAX(0,5-NETWORKDAYS(H4086+1,TODAY()))))</f>
        <v/>
      </c>
      <c r="L4086" t="str">
        <f>IF(A4086="","",IFERROR(LOOKUP(2,1/(#REF!=Z4086),#REF!),Y4086))</f>
        <v/>
      </c>
      <c r="Z4086" t="str">
        <f>IF(A4086="","",TEXT(A4086,"0")&amp;"|"&amp;TEXT(H4086,"0"))</f>
        <v/>
      </c>
      <c r="AA4086" t="str">
        <f>IF(Z4086="","",IFERROR(LOOKUP(2,1/(#REF!=Z4086),#REF!),""))</f>
        <v/>
      </c>
      <c r="AB4086" t="str">
        <f>IF(Z4086="","",IFERROR(LOOKUP(2,1/(#REF!=Z4086),#REF!),""))</f>
        <v/>
      </c>
      <c r="AC4086" t="str">
        <f>IF(Z4086="","",COUNTIF(#REF!,Z4086))</f>
        <v/>
      </c>
      <c r="AD4086" t="str">
        <f>IF(A4086="","",IF(AC4086&gt;1,"REVISAR DUPLICADO",IF(AA4086&lt;&gt;"","ACTUALIZADO POR EYR","SIN REPORTE EYR")))</f>
        <v/>
      </c>
    </row>
    <row r="4087" spans="11:30" x14ac:dyDescent="0.3">
      <c r="K4087" s="1" t="str">
        <f ca="1">IF(A4087="","",IF(OR(L4087="ENTREGADA",L4087="RETORNADA",L4087="ENTREGA DIGITAL"),0,MAX(0,5-NETWORKDAYS(H4087+1,TODAY()))))</f>
        <v/>
      </c>
      <c r="L4087" t="str">
        <f>IF(A4087="","",IFERROR(LOOKUP(2,1/(#REF!=Z4087),#REF!),Y4087))</f>
        <v/>
      </c>
      <c r="Z4087" t="str">
        <f>IF(A4087="","",TEXT(A4087,"0")&amp;"|"&amp;TEXT(H4087,"0"))</f>
        <v/>
      </c>
      <c r="AA4087" t="str">
        <f>IF(Z4087="","",IFERROR(LOOKUP(2,1/(#REF!=Z4087),#REF!),""))</f>
        <v/>
      </c>
      <c r="AB4087" t="str">
        <f>IF(Z4087="","",IFERROR(LOOKUP(2,1/(#REF!=Z4087),#REF!),""))</f>
        <v/>
      </c>
      <c r="AC4087" t="str">
        <f>IF(Z4087="","",COUNTIF(#REF!,Z4087))</f>
        <v/>
      </c>
      <c r="AD4087" t="str">
        <f>IF(A4087="","",IF(AC4087&gt;1,"REVISAR DUPLICADO",IF(AA4087&lt;&gt;"","ACTUALIZADO POR EYR","SIN REPORTE EYR")))</f>
        <v/>
      </c>
    </row>
    <row r="4088" spans="11:30" x14ac:dyDescent="0.3">
      <c r="K4088" s="1" t="str">
        <f ca="1">IF(A4088="","",IF(OR(L4088="ENTREGADA",L4088="RETORNADA",L4088="ENTREGA DIGITAL"),0,MAX(0,5-NETWORKDAYS(H4088+1,TODAY()))))</f>
        <v/>
      </c>
      <c r="L4088" t="str">
        <f>IF(A4088="","",IFERROR(LOOKUP(2,1/(#REF!=Z4088),#REF!),Y4088))</f>
        <v/>
      </c>
      <c r="Z4088" t="str">
        <f>IF(A4088="","",TEXT(A4088,"0")&amp;"|"&amp;TEXT(H4088,"0"))</f>
        <v/>
      </c>
      <c r="AA4088" t="str">
        <f>IF(Z4088="","",IFERROR(LOOKUP(2,1/(#REF!=Z4088),#REF!),""))</f>
        <v/>
      </c>
      <c r="AB4088" t="str">
        <f>IF(Z4088="","",IFERROR(LOOKUP(2,1/(#REF!=Z4088),#REF!),""))</f>
        <v/>
      </c>
      <c r="AC4088" t="str">
        <f>IF(Z4088="","",COUNTIF(#REF!,Z4088))</f>
        <v/>
      </c>
      <c r="AD4088" t="str">
        <f>IF(A4088="","",IF(AC4088&gt;1,"REVISAR DUPLICADO",IF(AA4088&lt;&gt;"","ACTUALIZADO POR EYR","SIN REPORTE EYR")))</f>
        <v/>
      </c>
    </row>
    <row r="4089" spans="11:30" x14ac:dyDescent="0.3">
      <c r="K4089" s="1" t="str">
        <f ca="1">IF(A4089="","",IF(OR(L4089="ENTREGADA",L4089="RETORNADA",L4089="ENTREGA DIGITAL"),0,MAX(0,5-NETWORKDAYS(H4089+1,TODAY()))))</f>
        <v/>
      </c>
      <c r="L4089" t="str">
        <f>IF(A4089="","",IFERROR(LOOKUP(2,1/(#REF!=Z4089),#REF!),Y4089))</f>
        <v/>
      </c>
      <c r="Z4089" t="str">
        <f>IF(A4089="","",TEXT(A4089,"0")&amp;"|"&amp;TEXT(H4089,"0"))</f>
        <v/>
      </c>
      <c r="AA4089" t="str">
        <f>IF(Z4089="","",IFERROR(LOOKUP(2,1/(#REF!=Z4089),#REF!),""))</f>
        <v/>
      </c>
      <c r="AB4089" t="str">
        <f>IF(Z4089="","",IFERROR(LOOKUP(2,1/(#REF!=Z4089),#REF!),""))</f>
        <v/>
      </c>
      <c r="AC4089" t="str">
        <f>IF(Z4089="","",COUNTIF(#REF!,Z4089))</f>
        <v/>
      </c>
      <c r="AD4089" t="str">
        <f>IF(A4089="","",IF(AC4089&gt;1,"REVISAR DUPLICADO",IF(AA4089&lt;&gt;"","ACTUALIZADO POR EYR","SIN REPORTE EYR")))</f>
        <v/>
      </c>
    </row>
    <row r="4090" spans="11:30" x14ac:dyDescent="0.3">
      <c r="K4090" s="1" t="str">
        <f ca="1">IF(A4090="","",IF(OR(L4090="ENTREGADA",L4090="RETORNADA",L4090="ENTREGA DIGITAL"),0,MAX(0,5-NETWORKDAYS(H4090+1,TODAY()))))</f>
        <v/>
      </c>
      <c r="L4090" t="str">
        <f>IF(A4090="","",IFERROR(LOOKUP(2,1/(#REF!=Z4090),#REF!),Y4090))</f>
        <v/>
      </c>
      <c r="Z4090" t="str">
        <f>IF(A4090="","",TEXT(A4090,"0")&amp;"|"&amp;TEXT(H4090,"0"))</f>
        <v/>
      </c>
      <c r="AA4090" t="str">
        <f>IF(Z4090="","",IFERROR(LOOKUP(2,1/(#REF!=Z4090),#REF!),""))</f>
        <v/>
      </c>
      <c r="AB4090" t="str">
        <f>IF(Z4090="","",IFERROR(LOOKUP(2,1/(#REF!=Z4090),#REF!),""))</f>
        <v/>
      </c>
      <c r="AC4090" t="str">
        <f>IF(Z4090="","",COUNTIF(#REF!,Z4090))</f>
        <v/>
      </c>
      <c r="AD4090" t="str">
        <f>IF(A4090="","",IF(AC4090&gt;1,"REVISAR DUPLICADO",IF(AA4090&lt;&gt;"","ACTUALIZADO POR EYR","SIN REPORTE EYR")))</f>
        <v/>
      </c>
    </row>
    <row r="4091" spans="11:30" x14ac:dyDescent="0.3">
      <c r="K4091" s="1" t="str">
        <f ca="1">IF(A4091="","",IF(OR(L4091="ENTREGADA",L4091="RETORNADA",L4091="ENTREGA DIGITAL"),0,MAX(0,5-NETWORKDAYS(H4091+1,TODAY()))))</f>
        <v/>
      </c>
      <c r="L4091" t="str">
        <f>IF(A4091="","",IFERROR(LOOKUP(2,1/(#REF!=Z4091),#REF!),Y4091))</f>
        <v/>
      </c>
      <c r="Z4091" t="str">
        <f>IF(A4091="","",TEXT(A4091,"0")&amp;"|"&amp;TEXT(H4091,"0"))</f>
        <v/>
      </c>
      <c r="AA4091" t="str">
        <f>IF(Z4091="","",IFERROR(LOOKUP(2,1/(#REF!=Z4091),#REF!),""))</f>
        <v/>
      </c>
      <c r="AB4091" t="str">
        <f>IF(Z4091="","",IFERROR(LOOKUP(2,1/(#REF!=Z4091),#REF!),""))</f>
        <v/>
      </c>
      <c r="AC4091" t="str">
        <f>IF(Z4091="","",COUNTIF(#REF!,Z4091))</f>
        <v/>
      </c>
      <c r="AD4091" t="str">
        <f>IF(A4091="","",IF(AC4091&gt;1,"REVISAR DUPLICADO",IF(AA4091&lt;&gt;"","ACTUALIZADO POR EYR","SIN REPORTE EYR")))</f>
        <v/>
      </c>
    </row>
    <row r="4092" spans="11:30" x14ac:dyDescent="0.3">
      <c r="K4092" s="1" t="str">
        <f ca="1">IF(A4092="","",IF(OR(L4092="ENTREGADA",L4092="RETORNADA",L4092="ENTREGA DIGITAL"),0,MAX(0,5-NETWORKDAYS(H4092+1,TODAY()))))</f>
        <v/>
      </c>
      <c r="L4092" t="str">
        <f>IF(A4092="","",IFERROR(LOOKUP(2,1/(#REF!=Z4092),#REF!),Y4092))</f>
        <v/>
      </c>
      <c r="Z4092" t="str">
        <f>IF(A4092="","",TEXT(A4092,"0")&amp;"|"&amp;TEXT(H4092,"0"))</f>
        <v/>
      </c>
      <c r="AA4092" t="str">
        <f>IF(Z4092="","",IFERROR(LOOKUP(2,1/(#REF!=Z4092),#REF!),""))</f>
        <v/>
      </c>
      <c r="AB4092" t="str">
        <f>IF(Z4092="","",IFERROR(LOOKUP(2,1/(#REF!=Z4092),#REF!),""))</f>
        <v/>
      </c>
      <c r="AC4092" t="str">
        <f>IF(Z4092="","",COUNTIF(#REF!,Z4092))</f>
        <v/>
      </c>
      <c r="AD4092" t="str">
        <f>IF(A4092="","",IF(AC4092&gt;1,"REVISAR DUPLICADO",IF(AA4092&lt;&gt;"","ACTUALIZADO POR EYR","SIN REPORTE EYR")))</f>
        <v/>
      </c>
    </row>
    <row r="4093" spans="11:30" x14ac:dyDescent="0.3">
      <c r="K4093" s="1" t="str">
        <f ca="1">IF(A4093="","",IF(OR(L4093="ENTREGADA",L4093="RETORNADA",L4093="ENTREGA DIGITAL"),0,MAX(0,5-NETWORKDAYS(H4093+1,TODAY()))))</f>
        <v/>
      </c>
      <c r="L4093" t="str">
        <f>IF(A4093="","",IFERROR(LOOKUP(2,1/(#REF!=Z4093),#REF!),Y4093))</f>
        <v/>
      </c>
      <c r="Z4093" t="str">
        <f>IF(A4093="","",TEXT(A4093,"0")&amp;"|"&amp;TEXT(H4093,"0"))</f>
        <v/>
      </c>
      <c r="AA4093" t="str">
        <f>IF(Z4093="","",IFERROR(LOOKUP(2,1/(#REF!=Z4093),#REF!),""))</f>
        <v/>
      </c>
      <c r="AB4093" t="str">
        <f>IF(Z4093="","",IFERROR(LOOKUP(2,1/(#REF!=Z4093),#REF!),""))</f>
        <v/>
      </c>
      <c r="AC4093" t="str">
        <f>IF(Z4093="","",COUNTIF(#REF!,Z4093))</f>
        <v/>
      </c>
      <c r="AD4093" t="str">
        <f>IF(A4093="","",IF(AC4093&gt;1,"REVISAR DUPLICADO",IF(AA4093&lt;&gt;"","ACTUALIZADO POR EYR","SIN REPORTE EYR")))</f>
        <v/>
      </c>
    </row>
    <row r="4094" spans="11:30" x14ac:dyDescent="0.3">
      <c r="K4094" s="1" t="str">
        <f ca="1">IF(A4094="","",IF(OR(L4094="ENTREGADA",L4094="RETORNADA",L4094="ENTREGA DIGITAL"),0,MAX(0,5-NETWORKDAYS(H4094+1,TODAY()))))</f>
        <v/>
      </c>
      <c r="L4094" t="str">
        <f>IF(A4094="","",IFERROR(LOOKUP(2,1/(#REF!=Z4094),#REF!),Y4094))</f>
        <v/>
      </c>
      <c r="Z4094" t="str">
        <f>IF(A4094="","",TEXT(A4094,"0")&amp;"|"&amp;TEXT(H4094,"0"))</f>
        <v/>
      </c>
      <c r="AA4094" t="str">
        <f>IF(Z4094="","",IFERROR(LOOKUP(2,1/(#REF!=Z4094),#REF!),""))</f>
        <v/>
      </c>
      <c r="AB4094" t="str">
        <f>IF(Z4094="","",IFERROR(LOOKUP(2,1/(#REF!=Z4094),#REF!),""))</f>
        <v/>
      </c>
      <c r="AC4094" t="str">
        <f>IF(Z4094="","",COUNTIF(#REF!,Z4094))</f>
        <v/>
      </c>
      <c r="AD4094" t="str">
        <f>IF(A4094="","",IF(AC4094&gt;1,"REVISAR DUPLICADO",IF(AA4094&lt;&gt;"","ACTUALIZADO POR EYR","SIN REPORTE EYR")))</f>
        <v/>
      </c>
    </row>
    <row r="4095" spans="11:30" x14ac:dyDescent="0.3">
      <c r="K4095" s="1" t="str">
        <f ca="1">IF(A4095="","",IF(OR(L4095="ENTREGADA",L4095="RETORNADA",L4095="ENTREGA DIGITAL"),0,MAX(0,5-NETWORKDAYS(H4095+1,TODAY()))))</f>
        <v/>
      </c>
      <c r="L4095" t="str">
        <f>IF(A4095="","",IFERROR(LOOKUP(2,1/(#REF!=Z4095),#REF!),Y4095))</f>
        <v/>
      </c>
      <c r="Z4095" t="str">
        <f>IF(A4095="","",TEXT(A4095,"0")&amp;"|"&amp;TEXT(H4095,"0"))</f>
        <v/>
      </c>
      <c r="AA4095" t="str">
        <f>IF(Z4095="","",IFERROR(LOOKUP(2,1/(#REF!=Z4095),#REF!),""))</f>
        <v/>
      </c>
      <c r="AB4095" t="str">
        <f>IF(Z4095="","",IFERROR(LOOKUP(2,1/(#REF!=Z4095),#REF!),""))</f>
        <v/>
      </c>
      <c r="AC4095" t="str">
        <f>IF(Z4095="","",COUNTIF(#REF!,Z4095))</f>
        <v/>
      </c>
      <c r="AD4095" t="str">
        <f>IF(A4095="","",IF(AC4095&gt;1,"REVISAR DUPLICADO",IF(AA4095&lt;&gt;"","ACTUALIZADO POR EYR","SIN REPORTE EYR")))</f>
        <v/>
      </c>
    </row>
    <row r="4096" spans="11:30" x14ac:dyDescent="0.3">
      <c r="K4096" s="1" t="str">
        <f ca="1">IF(A4096="","",IF(OR(L4096="ENTREGADA",L4096="RETORNADA",L4096="ENTREGA DIGITAL"),0,MAX(0,5-NETWORKDAYS(H4096+1,TODAY()))))</f>
        <v/>
      </c>
      <c r="L4096" t="str">
        <f>IF(A4096="","",IFERROR(LOOKUP(2,1/(#REF!=Z4096),#REF!),Y4096))</f>
        <v/>
      </c>
      <c r="Z4096" t="str">
        <f>IF(A4096="","",TEXT(A4096,"0")&amp;"|"&amp;TEXT(H4096,"0"))</f>
        <v/>
      </c>
      <c r="AA4096" t="str">
        <f>IF(Z4096="","",IFERROR(LOOKUP(2,1/(#REF!=Z4096),#REF!),""))</f>
        <v/>
      </c>
      <c r="AB4096" t="str">
        <f>IF(Z4096="","",IFERROR(LOOKUP(2,1/(#REF!=Z4096),#REF!),""))</f>
        <v/>
      </c>
      <c r="AC4096" t="str">
        <f>IF(Z4096="","",COUNTIF(#REF!,Z4096))</f>
        <v/>
      </c>
      <c r="AD4096" t="str">
        <f>IF(A4096="","",IF(AC4096&gt;1,"REVISAR DUPLICADO",IF(AA4096&lt;&gt;"","ACTUALIZADO POR EYR","SIN REPORTE EYR")))</f>
        <v/>
      </c>
    </row>
    <row r="4097" spans="11:30" x14ac:dyDescent="0.3">
      <c r="K4097" s="1" t="str">
        <f ca="1">IF(A4097="","",IF(OR(L4097="ENTREGADA",L4097="RETORNADA",L4097="ENTREGA DIGITAL"),0,MAX(0,5-NETWORKDAYS(H4097+1,TODAY()))))</f>
        <v/>
      </c>
      <c r="L4097" t="str">
        <f>IF(A4097="","",IFERROR(LOOKUP(2,1/(#REF!=Z4097),#REF!),Y4097))</f>
        <v/>
      </c>
      <c r="Z4097" t="str">
        <f>IF(A4097="","",TEXT(A4097,"0")&amp;"|"&amp;TEXT(H4097,"0"))</f>
        <v/>
      </c>
      <c r="AA4097" t="str">
        <f>IF(Z4097="","",IFERROR(LOOKUP(2,1/(#REF!=Z4097),#REF!),""))</f>
        <v/>
      </c>
      <c r="AB4097" t="str">
        <f>IF(Z4097="","",IFERROR(LOOKUP(2,1/(#REF!=Z4097),#REF!),""))</f>
        <v/>
      </c>
      <c r="AC4097" t="str">
        <f>IF(Z4097="","",COUNTIF(#REF!,Z4097))</f>
        <v/>
      </c>
      <c r="AD4097" t="str">
        <f>IF(A4097="","",IF(AC4097&gt;1,"REVISAR DUPLICADO",IF(AA4097&lt;&gt;"","ACTUALIZADO POR EYR","SIN REPORTE EYR")))</f>
        <v/>
      </c>
    </row>
    <row r="4098" spans="11:30" x14ac:dyDescent="0.3">
      <c r="K4098" s="1" t="str">
        <f ca="1">IF(A4098="","",IF(OR(L4098="ENTREGADA",L4098="RETORNADA",L4098="ENTREGA DIGITAL"),0,MAX(0,5-NETWORKDAYS(H4098+1,TODAY()))))</f>
        <v/>
      </c>
      <c r="L4098" t="str">
        <f>IF(A4098="","",IFERROR(LOOKUP(2,1/(#REF!=Z4098),#REF!),Y4098))</f>
        <v/>
      </c>
      <c r="Z4098" t="str">
        <f>IF(A4098="","",TEXT(A4098,"0")&amp;"|"&amp;TEXT(H4098,"0"))</f>
        <v/>
      </c>
      <c r="AA4098" t="str">
        <f>IF(Z4098="","",IFERROR(LOOKUP(2,1/(#REF!=Z4098),#REF!),""))</f>
        <v/>
      </c>
      <c r="AB4098" t="str">
        <f>IF(Z4098="","",IFERROR(LOOKUP(2,1/(#REF!=Z4098),#REF!),""))</f>
        <v/>
      </c>
      <c r="AC4098" t="str">
        <f>IF(Z4098="","",COUNTIF(#REF!,Z4098))</f>
        <v/>
      </c>
      <c r="AD4098" t="str">
        <f>IF(A4098="","",IF(AC4098&gt;1,"REVISAR DUPLICADO",IF(AA4098&lt;&gt;"","ACTUALIZADO POR EYR","SIN REPORTE EYR")))</f>
        <v/>
      </c>
    </row>
    <row r="4099" spans="11:30" x14ac:dyDescent="0.3">
      <c r="K4099" s="1" t="str">
        <f ca="1">IF(A4099="","",IF(OR(L4099="ENTREGADA",L4099="RETORNADA",L4099="ENTREGA DIGITAL"),0,MAX(0,5-NETWORKDAYS(H4099+1,TODAY()))))</f>
        <v/>
      </c>
      <c r="L4099" t="str">
        <f>IF(A4099="","",IFERROR(LOOKUP(2,1/(#REF!=Z4099),#REF!),Y4099))</f>
        <v/>
      </c>
      <c r="Z4099" t="str">
        <f>IF(A4099="","",TEXT(A4099,"0")&amp;"|"&amp;TEXT(H4099,"0"))</f>
        <v/>
      </c>
      <c r="AA4099" t="str">
        <f>IF(Z4099="","",IFERROR(LOOKUP(2,1/(#REF!=Z4099),#REF!),""))</f>
        <v/>
      </c>
      <c r="AB4099" t="str">
        <f>IF(Z4099="","",IFERROR(LOOKUP(2,1/(#REF!=Z4099),#REF!),""))</f>
        <v/>
      </c>
      <c r="AC4099" t="str">
        <f>IF(Z4099="","",COUNTIF(#REF!,Z4099))</f>
        <v/>
      </c>
      <c r="AD4099" t="str">
        <f>IF(A4099="","",IF(AC4099&gt;1,"REVISAR DUPLICADO",IF(AA4099&lt;&gt;"","ACTUALIZADO POR EYR","SIN REPORTE EYR")))</f>
        <v/>
      </c>
    </row>
    <row r="4100" spans="11:30" x14ac:dyDescent="0.3">
      <c r="K4100" s="1" t="str">
        <f ca="1">IF(A4100="","",IF(OR(L4100="ENTREGADA",L4100="RETORNADA",L4100="ENTREGA DIGITAL"),0,MAX(0,5-NETWORKDAYS(H4100+1,TODAY()))))</f>
        <v/>
      </c>
      <c r="L4100" t="str">
        <f>IF(A4100="","",IFERROR(LOOKUP(2,1/(#REF!=Z4100),#REF!),Y4100))</f>
        <v/>
      </c>
      <c r="Z4100" t="str">
        <f>IF(A4100="","",TEXT(A4100,"0")&amp;"|"&amp;TEXT(H4100,"0"))</f>
        <v/>
      </c>
      <c r="AA4100" t="str">
        <f>IF(Z4100="","",IFERROR(LOOKUP(2,1/(#REF!=Z4100),#REF!),""))</f>
        <v/>
      </c>
      <c r="AB4100" t="str">
        <f>IF(Z4100="","",IFERROR(LOOKUP(2,1/(#REF!=Z4100),#REF!),""))</f>
        <v/>
      </c>
      <c r="AC4100" t="str">
        <f>IF(Z4100="","",COUNTIF(#REF!,Z4100))</f>
        <v/>
      </c>
      <c r="AD4100" t="str">
        <f>IF(A4100="","",IF(AC4100&gt;1,"REVISAR DUPLICADO",IF(AA4100&lt;&gt;"","ACTUALIZADO POR EYR","SIN REPORTE EYR")))</f>
        <v/>
      </c>
    </row>
    <row r="4101" spans="11:30" x14ac:dyDescent="0.3">
      <c r="K4101" s="1" t="str">
        <f ca="1">IF(A4101="","",IF(OR(L4101="ENTREGADA",L4101="RETORNADA",L4101="ENTREGA DIGITAL"),0,MAX(0,5-NETWORKDAYS(H4101+1,TODAY()))))</f>
        <v/>
      </c>
      <c r="L4101" t="str">
        <f>IF(A4101="","",IFERROR(LOOKUP(2,1/(#REF!=Z4101),#REF!),Y4101))</f>
        <v/>
      </c>
      <c r="Z4101" t="str">
        <f>IF(A4101="","",TEXT(A4101,"0")&amp;"|"&amp;TEXT(H4101,"0"))</f>
        <v/>
      </c>
      <c r="AA4101" t="str">
        <f>IF(Z4101="","",IFERROR(LOOKUP(2,1/(#REF!=Z4101),#REF!),""))</f>
        <v/>
      </c>
      <c r="AB4101" t="str">
        <f>IF(Z4101="","",IFERROR(LOOKUP(2,1/(#REF!=Z4101),#REF!),""))</f>
        <v/>
      </c>
      <c r="AC4101" t="str">
        <f>IF(Z4101="","",COUNTIF(#REF!,Z4101))</f>
        <v/>
      </c>
      <c r="AD4101" t="str">
        <f>IF(A4101="","",IF(AC4101&gt;1,"REVISAR DUPLICADO",IF(AA4101&lt;&gt;"","ACTUALIZADO POR EYR","SIN REPORTE EYR")))</f>
        <v/>
      </c>
    </row>
    <row r="4102" spans="11:30" x14ac:dyDescent="0.3">
      <c r="K4102" s="1" t="str">
        <f ca="1">IF(A4102="","",IF(OR(L4102="ENTREGADA",L4102="RETORNADA",L4102="ENTREGA DIGITAL"),0,MAX(0,5-NETWORKDAYS(H4102+1,TODAY()))))</f>
        <v/>
      </c>
      <c r="L4102" t="str">
        <f>IF(A4102="","",IFERROR(LOOKUP(2,1/(#REF!=Z4102),#REF!),Y4102))</f>
        <v/>
      </c>
      <c r="Z4102" t="str">
        <f>IF(A4102="","",TEXT(A4102,"0")&amp;"|"&amp;TEXT(H4102,"0"))</f>
        <v/>
      </c>
      <c r="AA4102" t="str">
        <f>IF(Z4102="","",IFERROR(LOOKUP(2,1/(#REF!=Z4102),#REF!),""))</f>
        <v/>
      </c>
      <c r="AB4102" t="str">
        <f>IF(Z4102="","",IFERROR(LOOKUP(2,1/(#REF!=Z4102),#REF!),""))</f>
        <v/>
      </c>
      <c r="AC4102" t="str">
        <f>IF(Z4102="","",COUNTIF(#REF!,Z4102))</f>
        <v/>
      </c>
      <c r="AD4102" t="str">
        <f>IF(A4102="","",IF(AC4102&gt;1,"REVISAR DUPLICADO",IF(AA4102&lt;&gt;"","ACTUALIZADO POR EYR","SIN REPORTE EYR")))</f>
        <v/>
      </c>
    </row>
    <row r="4103" spans="11:30" x14ac:dyDescent="0.3">
      <c r="K4103" s="1" t="str">
        <f ca="1">IF(A4103="","",IF(OR(L4103="ENTREGADA",L4103="RETORNADA",L4103="ENTREGA DIGITAL"),0,MAX(0,5-NETWORKDAYS(H4103+1,TODAY()))))</f>
        <v/>
      </c>
      <c r="L4103" t="str">
        <f>IF(A4103="","",IFERROR(LOOKUP(2,1/(#REF!=Z4103),#REF!),Y4103))</f>
        <v/>
      </c>
      <c r="Z4103" t="str">
        <f>IF(A4103="","",TEXT(A4103,"0")&amp;"|"&amp;TEXT(H4103,"0"))</f>
        <v/>
      </c>
      <c r="AA4103" t="str">
        <f>IF(Z4103="","",IFERROR(LOOKUP(2,1/(#REF!=Z4103),#REF!),""))</f>
        <v/>
      </c>
      <c r="AB4103" t="str">
        <f>IF(Z4103="","",IFERROR(LOOKUP(2,1/(#REF!=Z4103),#REF!),""))</f>
        <v/>
      </c>
      <c r="AC4103" t="str">
        <f>IF(Z4103="","",COUNTIF(#REF!,Z4103))</f>
        <v/>
      </c>
      <c r="AD4103" t="str">
        <f>IF(A4103="","",IF(AC4103&gt;1,"REVISAR DUPLICADO",IF(AA4103&lt;&gt;"","ACTUALIZADO POR EYR","SIN REPORTE EYR")))</f>
        <v/>
      </c>
    </row>
    <row r="4104" spans="11:30" x14ac:dyDescent="0.3">
      <c r="K4104" s="1" t="str">
        <f ca="1">IF(A4104="","",IF(OR(L4104="ENTREGADA",L4104="RETORNADA",L4104="ENTREGA DIGITAL"),0,MAX(0,5-NETWORKDAYS(H4104+1,TODAY()))))</f>
        <v/>
      </c>
      <c r="L4104" t="str">
        <f>IF(A4104="","",IFERROR(LOOKUP(2,1/(#REF!=Z4104),#REF!),Y4104))</f>
        <v/>
      </c>
      <c r="Z4104" t="str">
        <f>IF(A4104="","",TEXT(A4104,"0")&amp;"|"&amp;TEXT(H4104,"0"))</f>
        <v/>
      </c>
      <c r="AA4104" t="str">
        <f>IF(Z4104="","",IFERROR(LOOKUP(2,1/(#REF!=Z4104),#REF!),""))</f>
        <v/>
      </c>
      <c r="AB4104" t="str">
        <f>IF(Z4104="","",IFERROR(LOOKUP(2,1/(#REF!=Z4104),#REF!),""))</f>
        <v/>
      </c>
      <c r="AC4104" t="str">
        <f>IF(Z4104="","",COUNTIF(#REF!,Z4104))</f>
        <v/>
      </c>
      <c r="AD4104" t="str">
        <f>IF(A4104="","",IF(AC4104&gt;1,"REVISAR DUPLICADO",IF(AA4104&lt;&gt;"","ACTUALIZADO POR EYR","SIN REPORTE EYR")))</f>
        <v/>
      </c>
    </row>
    <row r="4105" spans="11:30" x14ac:dyDescent="0.3">
      <c r="K4105" s="1" t="str">
        <f ca="1">IF(A4105="","",IF(OR(L4105="ENTREGADA",L4105="RETORNADA",L4105="ENTREGA DIGITAL"),0,MAX(0,5-NETWORKDAYS(H4105+1,TODAY()))))</f>
        <v/>
      </c>
      <c r="L4105" t="str">
        <f>IF(A4105="","",IFERROR(LOOKUP(2,1/(#REF!=Z4105),#REF!),Y4105))</f>
        <v/>
      </c>
      <c r="Z4105" t="str">
        <f>IF(A4105="","",TEXT(A4105,"0")&amp;"|"&amp;TEXT(H4105,"0"))</f>
        <v/>
      </c>
      <c r="AA4105" t="str">
        <f>IF(Z4105="","",IFERROR(LOOKUP(2,1/(#REF!=Z4105),#REF!),""))</f>
        <v/>
      </c>
      <c r="AB4105" t="str">
        <f>IF(Z4105="","",IFERROR(LOOKUP(2,1/(#REF!=Z4105),#REF!),""))</f>
        <v/>
      </c>
      <c r="AC4105" t="str">
        <f>IF(Z4105="","",COUNTIF(#REF!,Z4105))</f>
        <v/>
      </c>
      <c r="AD4105" t="str">
        <f>IF(A4105="","",IF(AC4105&gt;1,"REVISAR DUPLICADO",IF(AA4105&lt;&gt;"","ACTUALIZADO POR EYR","SIN REPORTE EYR")))</f>
        <v/>
      </c>
    </row>
    <row r="4106" spans="11:30" x14ac:dyDescent="0.3">
      <c r="K4106" s="1" t="str">
        <f ca="1">IF(A4106="","",IF(OR(L4106="ENTREGADA",L4106="RETORNADA",L4106="ENTREGA DIGITAL"),0,MAX(0,5-NETWORKDAYS(H4106+1,TODAY()))))</f>
        <v/>
      </c>
      <c r="L4106" t="str">
        <f>IF(A4106="","",IFERROR(LOOKUP(2,1/(#REF!=Z4106),#REF!),Y4106))</f>
        <v/>
      </c>
      <c r="Z4106" t="str">
        <f>IF(A4106="","",TEXT(A4106,"0")&amp;"|"&amp;TEXT(H4106,"0"))</f>
        <v/>
      </c>
      <c r="AA4106" t="str">
        <f>IF(Z4106="","",IFERROR(LOOKUP(2,1/(#REF!=Z4106),#REF!),""))</f>
        <v/>
      </c>
      <c r="AB4106" t="str">
        <f>IF(Z4106="","",IFERROR(LOOKUP(2,1/(#REF!=Z4106),#REF!),""))</f>
        <v/>
      </c>
      <c r="AC4106" t="str">
        <f>IF(Z4106="","",COUNTIF(#REF!,Z4106))</f>
        <v/>
      </c>
      <c r="AD4106" t="str">
        <f>IF(A4106="","",IF(AC4106&gt;1,"REVISAR DUPLICADO",IF(AA4106&lt;&gt;"","ACTUALIZADO POR EYR","SIN REPORTE EYR")))</f>
        <v/>
      </c>
    </row>
    <row r="4107" spans="11:30" x14ac:dyDescent="0.3">
      <c r="K4107" s="1" t="str">
        <f ca="1">IF(A4107="","",IF(OR(L4107="ENTREGADA",L4107="RETORNADA",L4107="ENTREGA DIGITAL"),0,MAX(0,5-NETWORKDAYS(H4107+1,TODAY()))))</f>
        <v/>
      </c>
      <c r="L4107" t="str">
        <f>IF(A4107="","",IFERROR(LOOKUP(2,1/(#REF!=Z4107),#REF!),Y4107))</f>
        <v/>
      </c>
      <c r="Z4107" t="str">
        <f>IF(A4107="","",TEXT(A4107,"0")&amp;"|"&amp;TEXT(H4107,"0"))</f>
        <v/>
      </c>
      <c r="AA4107" t="str">
        <f>IF(Z4107="","",IFERROR(LOOKUP(2,1/(#REF!=Z4107),#REF!),""))</f>
        <v/>
      </c>
      <c r="AB4107" t="str">
        <f>IF(Z4107="","",IFERROR(LOOKUP(2,1/(#REF!=Z4107),#REF!),""))</f>
        <v/>
      </c>
      <c r="AC4107" t="str">
        <f>IF(Z4107="","",COUNTIF(#REF!,Z4107))</f>
        <v/>
      </c>
      <c r="AD4107" t="str">
        <f>IF(A4107="","",IF(AC4107&gt;1,"REVISAR DUPLICADO",IF(AA4107&lt;&gt;"","ACTUALIZADO POR EYR","SIN REPORTE EYR")))</f>
        <v/>
      </c>
    </row>
    <row r="4108" spans="11:30" x14ac:dyDescent="0.3">
      <c r="K4108" s="1" t="str">
        <f ca="1">IF(A4108="","",IF(OR(L4108="ENTREGADA",L4108="RETORNADA",L4108="ENTREGA DIGITAL"),0,MAX(0,5-NETWORKDAYS(H4108+1,TODAY()))))</f>
        <v/>
      </c>
      <c r="L4108" t="str">
        <f>IF(A4108="","",IFERROR(LOOKUP(2,1/(#REF!=Z4108),#REF!),Y4108))</f>
        <v/>
      </c>
      <c r="Z4108" t="str">
        <f>IF(A4108="","",TEXT(A4108,"0")&amp;"|"&amp;TEXT(H4108,"0"))</f>
        <v/>
      </c>
      <c r="AA4108" t="str">
        <f>IF(Z4108="","",IFERROR(LOOKUP(2,1/(#REF!=Z4108),#REF!),""))</f>
        <v/>
      </c>
      <c r="AB4108" t="str">
        <f>IF(Z4108="","",IFERROR(LOOKUP(2,1/(#REF!=Z4108),#REF!),""))</f>
        <v/>
      </c>
      <c r="AC4108" t="str">
        <f>IF(Z4108="","",COUNTIF(#REF!,Z4108))</f>
        <v/>
      </c>
      <c r="AD4108" t="str">
        <f>IF(A4108="","",IF(AC4108&gt;1,"REVISAR DUPLICADO",IF(AA4108&lt;&gt;"","ACTUALIZADO POR EYR","SIN REPORTE EYR")))</f>
        <v/>
      </c>
    </row>
    <row r="4109" spans="11:30" x14ac:dyDescent="0.3">
      <c r="K4109" s="1" t="str">
        <f ca="1">IF(A4109="","",IF(OR(L4109="ENTREGADA",L4109="RETORNADA",L4109="ENTREGA DIGITAL"),0,MAX(0,5-NETWORKDAYS(H4109+1,TODAY()))))</f>
        <v/>
      </c>
      <c r="L4109" t="str">
        <f>IF(A4109="","",IFERROR(LOOKUP(2,1/(#REF!=Z4109),#REF!),Y4109))</f>
        <v/>
      </c>
      <c r="Z4109" t="str">
        <f>IF(A4109="","",TEXT(A4109,"0")&amp;"|"&amp;TEXT(H4109,"0"))</f>
        <v/>
      </c>
      <c r="AA4109" t="str">
        <f>IF(Z4109="","",IFERROR(LOOKUP(2,1/(#REF!=Z4109),#REF!),""))</f>
        <v/>
      </c>
      <c r="AB4109" t="str">
        <f>IF(Z4109="","",IFERROR(LOOKUP(2,1/(#REF!=Z4109),#REF!),""))</f>
        <v/>
      </c>
      <c r="AC4109" t="str">
        <f>IF(Z4109="","",COUNTIF(#REF!,Z4109))</f>
        <v/>
      </c>
      <c r="AD4109" t="str">
        <f>IF(A4109="","",IF(AC4109&gt;1,"REVISAR DUPLICADO",IF(AA4109&lt;&gt;"","ACTUALIZADO POR EYR","SIN REPORTE EYR")))</f>
        <v/>
      </c>
    </row>
    <row r="4110" spans="11:30" x14ac:dyDescent="0.3">
      <c r="K4110" s="1" t="str">
        <f ca="1">IF(A4110="","",IF(OR(L4110="ENTREGADA",L4110="RETORNADA",L4110="ENTREGA DIGITAL"),0,MAX(0,5-NETWORKDAYS(H4110+1,TODAY()))))</f>
        <v/>
      </c>
      <c r="L4110" t="str">
        <f>IF(A4110="","",IFERROR(LOOKUP(2,1/(#REF!=Z4110),#REF!),Y4110))</f>
        <v/>
      </c>
      <c r="Z4110" t="str">
        <f>IF(A4110="","",TEXT(A4110,"0")&amp;"|"&amp;TEXT(H4110,"0"))</f>
        <v/>
      </c>
      <c r="AA4110" t="str">
        <f>IF(Z4110="","",IFERROR(LOOKUP(2,1/(#REF!=Z4110),#REF!),""))</f>
        <v/>
      </c>
      <c r="AB4110" t="str">
        <f>IF(Z4110="","",IFERROR(LOOKUP(2,1/(#REF!=Z4110),#REF!),""))</f>
        <v/>
      </c>
      <c r="AC4110" t="str">
        <f>IF(Z4110="","",COUNTIF(#REF!,Z4110))</f>
        <v/>
      </c>
      <c r="AD4110" t="str">
        <f>IF(A4110="","",IF(AC4110&gt;1,"REVISAR DUPLICADO",IF(AA4110&lt;&gt;"","ACTUALIZADO POR EYR","SIN REPORTE EYR")))</f>
        <v/>
      </c>
    </row>
    <row r="4111" spans="11:30" x14ac:dyDescent="0.3">
      <c r="K4111" s="1" t="str">
        <f ca="1">IF(A4111="","",IF(OR(L4111="ENTREGADA",L4111="RETORNADA",L4111="ENTREGA DIGITAL"),0,MAX(0,5-NETWORKDAYS(H4111+1,TODAY()))))</f>
        <v/>
      </c>
      <c r="L4111" t="str">
        <f>IF(A4111="","",IFERROR(LOOKUP(2,1/(#REF!=Z4111),#REF!),Y4111))</f>
        <v/>
      </c>
      <c r="Z4111" t="str">
        <f>IF(A4111="","",TEXT(A4111,"0")&amp;"|"&amp;TEXT(H4111,"0"))</f>
        <v/>
      </c>
      <c r="AA4111" t="str">
        <f>IF(Z4111="","",IFERROR(LOOKUP(2,1/(#REF!=Z4111),#REF!),""))</f>
        <v/>
      </c>
      <c r="AB4111" t="str">
        <f>IF(Z4111="","",IFERROR(LOOKUP(2,1/(#REF!=Z4111),#REF!),""))</f>
        <v/>
      </c>
      <c r="AC4111" t="str">
        <f>IF(Z4111="","",COUNTIF(#REF!,Z4111))</f>
        <v/>
      </c>
      <c r="AD4111" t="str">
        <f>IF(A4111="","",IF(AC4111&gt;1,"REVISAR DUPLICADO",IF(AA4111&lt;&gt;"","ACTUALIZADO POR EYR","SIN REPORTE EYR")))</f>
        <v/>
      </c>
    </row>
    <row r="4112" spans="11:30" x14ac:dyDescent="0.3">
      <c r="K4112" s="1" t="str">
        <f ca="1">IF(A4112="","",IF(OR(L4112="ENTREGADA",L4112="RETORNADA",L4112="ENTREGA DIGITAL"),0,MAX(0,5-NETWORKDAYS(H4112+1,TODAY()))))</f>
        <v/>
      </c>
      <c r="L4112" t="str">
        <f>IF(A4112="","",IFERROR(LOOKUP(2,1/(#REF!=Z4112),#REF!),Y4112))</f>
        <v/>
      </c>
      <c r="Z4112" t="str">
        <f>IF(A4112="","",TEXT(A4112,"0")&amp;"|"&amp;TEXT(H4112,"0"))</f>
        <v/>
      </c>
      <c r="AA4112" t="str">
        <f>IF(Z4112="","",IFERROR(LOOKUP(2,1/(#REF!=Z4112),#REF!),""))</f>
        <v/>
      </c>
      <c r="AB4112" t="str">
        <f>IF(Z4112="","",IFERROR(LOOKUP(2,1/(#REF!=Z4112),#REF!),""))</f>
        <v/>
      </c>
      <c r="AC4112" t="str">
        <f>IF(Z4112="","",COUNTIF(#REF!,Z4112))</f>
        <v/>
      </c>
      <c r="AD4112" t="str">
        <f>IF(A4112="","",IF(AC4112&gt;1,"REVISAR DUPLICADO",IF(AA4112&lt;&gt;"","ACTUALIZADO POR EYR","SIN REPORTE EYR")))</f>
        <v/>
      </c>
    </row>
    <row r="4113" spans="11:30" x14ac:dyDescent="0.3">
      <c r="K4113" s="1" t="str">
        <f ca="1">IF(A4113="","",IF(OR(L4113="ENTREGADA",L4113="RETORNADA",L4113="ENTREGA DIGITAL"),0,MAX(0,5-NETWORKDAYS(H4113+1,TODAY()))))</f>
        <v/>
      </c>
      <c r="L4113" t="str">
        <f>IF(A4113="","",IFERROR(LOOKUP(2,1/(#REF!=Z4113),#REF!),Y4113))</f>
        <v/>
      </c>
      <c r="Z4113" t="str">
        <f>IF(A4113="","",TEXT(A4113,"0")&amp;"|"&amp;TEXT(H4113,"0"))</f>
        <v/>
      </c>
      <c r="AA4113" t="str">
        <f>IF(Z4113="","",IFERROR(LOOKUP(2,1/(#REF!=Z4113),#REF!),""))</f>
        <v/>
      </c>
      <c r="AB4113" t="str">
        <f>IF(Z4113="","",IFERROR(LOOKUP(2,1/(#REF!=Z4113),#REF!),""))</f>
        <v/>
      </c>
      <c r="AC4113" t="str">
        <f>IF(Z4113="","",COUNTIF(#REF!,Z4113))</f>
        <v/>
      </c>
      <c r="AD4113" t="str">
        <f>IF(A4113="","",IF(AC4113&gt;1,"REVISAR DUPLICADO",IF(AA4113&lt;&gt;"","ACTUALIZADO POR EYR","SIN REPORTE EYR")))</f>
        <v/>
      </c>
    </row>
    <row r="4114" spans="11:30" x14ac:dyDescent="0.3">
      <c r="K4114" s="1" t="str">
        <f ca="1">IF(A4114="","",IF(OR(L4114="ENTREGADA",L4114="RETORNADA",L4114="ENTREGA DIGITAL"),0,MAX(0,5-NETWORKDAYS(H4114+1,TODAY()))))</f>
        <v/>
      </c>
      <c r="L4114" t="str">
        <f>IF(A4114="","",IFERROR(LOOKUP(2,1/(#REF!=Z4114),#REF!),Y4114))</f>
        <v/>
      </c>
      <c r="Z4114" t="str">
        <f>IF(A4114="","",TEXT(A4114,"0")&amp;"|"&amp;TEXT(H4114,"0"))</f>
        <v/>
      </c>
      <c r="AA4114" t="str">
        <f>IF(Z4114="","",IFERROR(LOOKUP(2,1/(#REF!=Z4114),#REF!),""))</f>
        <v/>
      </c>
      <c r="AB4114" t="str">
        <f>IF(Z4114="","",IFERROR(LOOKUP(2,1/(#REF!=Z4114),#REF!),""))</f>
        <v/>
      </c>
      <c r="AC4114" t="str">
        <f>IF(Z4114="","",COUNTIF(#REF!,Z4114))</f>
        <v/>
      </c>
      <c r="AD4114" t="str">
        <f>IF(A4114="","",IF(AC4114&gt;1,"REVISAR DUPLICADO",IF(AA4114&lt;&gt;"","ACTUALIZADO POR EYR","SIN REPORTE EYR")))</f>
        <v/>
      </c>
    </row>
    <row r="4115" spans="11:30" x14ac:dyDescent="0.3">
      <c r="K4115" s="1" t="str">
        <f ca="1">IF(A4115="","",IF(OR(L4115="ENTREGADA",L4115="RETORNADA",L4115="ENTREGA DIGITAL"),0,MAX(0,5-NETWORKDAYS(H4115+1,TODAY()))))</f>
        <v/>
      </c>
      <c r="L4115" t="str">
        <f>IF(A4115="","",IFERROR(LOOKUP(2,1/(#REF!=Z4115),#REF!),Y4115))</f>
        <v/>
      </c>
      <c r="Z4115" t="str">
        <f>IF(A4115="","",TEXT(A4115,"0")&amp;"|"&amp;TEXT(H4115,"0"))</f>
        <v/>
      </c>
      <c r="AA4115" t="str">
        <f>IF(Z4115="","",IFERROR(LOOKUP(2,1/(#REF!=Z4115),#REF!),""))</f>
        <v/>
      </c>
      <c r="AB4115" t="str">
        <f>IF(Z4115="","",IFERROR(LOOKUP(2,1/(#REF!=Z4115),#REF!),""))</f>
        <v/>
      </c>
      <c r="AC4115" t="str">
        <f>IF(Z4115="","",COUNTIF(#REF!,Z4115))</f>
        <v/>
      </c>
      <c r="AD4115" t="str">
        <f>IF(A4115="","",IF(AC4115&gt;1,"REVISAR DUPLICADO",IF(AA4115&lt;&gt;"","ACTUALIZADO POR EYR","SIN REPORTE EYR")))</f>
        <v/>
      </c>
    </row>
    <row r="4116" spans="11:30" x14ac:dyDescent="0.3">
      <c r="K4116" s="1" t="str">
        <f ca="1">IF(A4116="","",IF(OR(L4116="ENTREGADA",L4116="RETORNADA",L4116="ENTREGA DIGITAL"),0,MAX(0,5-NETWORKDAYS(H4116+1,TODAY()))))</f>
        <v/>
      </c>
      <c r="L4116" t="str">
        <f>IF(A4116="","",IFERROR(LOOKUP(2,1/(#REF!=Z4116),#REF!),Y4116))</f>
        <v/>
      </c>
      <c r="Z4116" t="str">
        <f>IF(A4116="","",TEXT(A4116,"0")&amp;"|"&amp;TEXT(H4116,"0"))</f>
        <v/>
      </c>
      <c r="AA4116" t="str">
        <f>IF(Z4116="","",IFERROR(LOOKUP(2,1/(#REF!=Z4116),#REF!),""))</f>
        <v/>
      </c>
      <c r="AB4116" t="str">
        <f>IF(Z4116="","",IFERROR(LOOKUP(2,1/(#REF!=Z4116),#REF!),""))</f>
        <v/>
      </c>
      <c r="AC4116" t="str">
        <f>IF(Z4116="","",COUNTIF(#REF!,Z4116))</f>
        <v/>
      </c>
      <c r="AD4116" t="str">
        <f>IF(A4116="","",IF(AC4116&gt;1,"REVISAR DUPLICADO",IF(AA4116&lt;&gt;"","ACTUALIZADO POR EYR","SIN REPORTE EYR")))</f>
        <v/>
      </c>
    </row>
    <row r="4117" spans="11:30" x14ac:dyDescent="0.3">
      <c r="K4117" s="1" t="str">
        <f ca="1">IF(A4117="","",IF(OR(L4117="ENTREGADA",L4117="RETORNADA",L4117="ENTREGA DIGITAL"),0,MAX(0,5-NETWORKDAYS(H4117+1,TODAY()))))</f>
        <v/>
      </c>
      <c r="L4117" t="str">
        <f>IF(A4117="","",IFERROR(LOOKUP(2,1/(#REF!=Z4117),#REF!),Y4117))</f>
        <v/>
      </c>
      <c r="Z4117" t="str">
        <f>IF(A4117="","",TEXT(A4117,"0")&amp;"|"&amp;TEXT(H4117,"0"))</f>
        <v/>
      </c>
      <c r="AA4117" t="str">
        <f>IF(Z4117="","",IFERROR(LOOKUP(2,1/(#REF!=Z4117),#REF!),""))</f>
        <v/>
      </c>
      <c r="AB4117" t="str">
        <f>IF(Z4117="","",IFERROR(LOOKUP(2,1/(#REF!=Z4117),#REF!),""))</f>
        <v/>
      </c>
      <c r="AC4117" t="str">
        <f>IF(Z4117="","",COUNTIF(#REF!,Z4117))</f>
        <v/>
      </c>
      <c r="AD4117" t="str">
        <f>IF(A4117="","",IF(AC4117&gt;1,"REVISAR DUPLICADO",IF(AA4117&lt;&gt;"","ACTUALIZADO POR EYR","SIN REPORTE EYR")))</f>
        <v/>
      </c>
    </row>
    <row r="4118" spans="11:30" x14ac:dyDescent="0.3">
      <c r="K4118" s="1" t="str">
        <f ca="1">IF(A4118="","",IF(OR(L4118="ENTREGADA",L4118="RETORNADA",L4118="ENTREGA DIGITAL"),0,MAX(0,5-NETWORKDAYS(H4118+1,TODAY()))))</f>
        <v/>
      </c>
      <c r="L4118" t="str">
        <f>IF(A4118="","",IFERROR(LOOKUP(2,1/(#REF!=Z4118),#REF!),Y4118))</f>
        <v/>
      </c>
      <c r="Z4118" t="str">
        <f>IF(A4118="","",TEXT(A4118,"0")&amp;"|"&amp;TEXT(H4118,"0"))</f>
        <v/>
      </c>
      <c r="AA4118" t="str">
        <f>IF(Z4118="","",IFERROR(LOOKUP(2,1/(#REF!=Z4118),#REF!),""))</f>
        <v/>
      </c>
      <c r="AB4118" t="str">
        <f>IF(Z4118="","",IFERROR(LOOKUP(2,1/(#REF!=Z4118),#REF!),""))</f>
        <v/>
      </c>
      <c r="AC4118" t="str">
        <f>IF(Z4118="","",COUNTIF(#REF!,Z4118))</f>
        <v/>
      </c>
      <c r="AD4118" t="str">
        <f>IF(A4118="","",IF(AC4118&gt;1,"REVISAR DUPLICADO",IF(AA4118&lt;&gt;"","ACTUALIZADO POR EYR","SIN REPORTE EYR")))</f>
        <v/>
      </c>
    </row>
    <row r="4119" spans="11:30" x14ac:dyDescent="0.3">
      <c r="K4119" s="1" t="str">
        <f ca="1">IF(A4119="","",IF(OR(L4119="ENTREGADA",L4119="RETORNADA",L4119="ENTREGA DIGITAL"),0,MAX(0,5-NETWORKDAYS(H4119+1,TODAY()))))</f>
        <v/>
      </c>
      <c r="L4119" t="str">
        <f>IF(A4119="","",IFERROR(LOOKUP(2,1/(#REF!=Z4119),#REF!),Y4119))</f>
        <v/>
      </c>
      <c r="Z4119" t="str">
        <f>IF(A4119="","",TEXT(A4119,"0")&amp;"|"&amp;TEXT(H4119,"0"))</f>
        <v/>
      </c>
      <c r="AA4119" t="str">
        <f>IF(Z4119="","",IFERROR(LOOKUP(2,1/(#REF!=Z4119),#REF!),""))</f>
        <v/>
      </c>
      <c r="AB4119" t="str">
        <f>IF(Z4119="","",IFERROR(LOOKUP(2,1/(#REF!=Z4119),#REF!),""))</f>
        <v/>
      </c>
      <c r="AC4119" t="str">
        <f>IF(Z4119="","",COUNTIF(#REF!,Z4119))</f>
        <v/>
      </c>
      <c r="AD4119" t="str">
        <f>IF(A4119="","",IF(AC4119&gt;1,"REVISAR DUPLICADO",IF(AA4119&lt;&gt;"","ACTUALIZADO POR EYR","SIN REPORTE EYR")))</f>
        <v/>
      </c>
    </row>
    <row r="4120" spans="11:30" x14ac:dyDescent="0.3">
      <c r="K4120" s="1" t="str">
        <f ca="1">IF(A4120="","",IF(OR(L4120="ENTREGADA",L4120="RETORNADA",L4120="ENTREGA DIGITAL"),0,MAX(0,5-NETWORKDAYS(H4120+1,TODAY()))))</f>
        <v/>
      </c>
      <c r="L4120" t="str">
        <f>IF(A4120="","",IFERROR(LOOKUP(2,1/(#REF!=Z4120),#REF!),Y4120))</f>
        <v/>
      </c>
      <c r="Z4120" t="str">
        <f>IF(A4120="","",TEXT(A4120,"0")&amp;"|"&amp;TEXT(H4120,"0"))</f>
        <v/>
      </c>
      <c r="AA4120" t="str">
        <f>IF(Z4120="","",IFERROR(LOOKUP(2,1/(#REF!=Z4120),#REF!),""))</f>
        <v/>
      </c>
      <c r="AB4120" t="str">
        <f>IF(Z4120="","",IFERROR(LOOKUP(2,1/(#REF!=Z4120),#REF!),""))</f>
        <v/>
      </c>
      <c r="AC4120" t="str">
        <f>IF(Z4120="","",COUNTIF(#REF!,Z4120))</f>
        <v/>
      </c>
      <c r="AD4120" t="str">
        <f>IF(A4120="","",IF(AC4120&gt;1,"REVISAR DUPLICADO",IF(AA4120&lt;&gt;"","ACTUALIZADO POR EYR","SIN REPORTE EYR")))</f>
        <v/>
      </c>
    </row>
    <row r="4121" spans="11:30" x14ac:dyDescent="0.3">
      <c r="K4121" s="1" t="str">
        <f ca="1">IF(A4121="","",IF(OR(L4121="ENTREGADA",L4121="RETORNADA",L4121="ENTREGA DIGITAL"),0,MAX(0,5-NETWORKDAYS(H4121+1,TODAY()))))</f>
        <v/>
      </c>
      <c r="L4121" t="str">
        <f>IF(A4121="","",IFERROR(LOOKUP(2,1/(#REF!=Z4121),#REF!),Y4121))</f>
        <v/>
      </c>
      <c r="Z4121" t="str">
        <f>IF(A4121="","",TEXT(A4121,"0")&amp;"|"&amp;TEXT(H4121,"0"))</f>
        <v/>
      </c>
      <c r="AA4121" t="str">
        <f>IF(Z4121="","",IFERROR(LOOKUP(2,1/(#REF!=Z4121),#REF!),""))</f>
        <v/>
      </c>
      <c r="AB4121" t="str">
        <f>IF(Z4121="","",IFERROR(LOOKUP(2,1/(#REF!=Z4121),#REF!),""))</f>
        <v/>
      </c>
      <c r="AC4121" t="str">
        <f>IF(Z4121="","",COUNTIF(#REF!,Z4121))</f>
        <v/>
      </c>
      <c r="AD4121" t="str">
        <f>IF(A4121="","",IF(AC4121&gt;1,"REVISAR DUPLICADO",IF(AA4121&lt;&gt;"","ACTUALIZADO POR EYR","SIN REPORTE EYR")))</f>
        <v/>
      </c>
    </row>
    <row r="4122" spans="11:30" x14ac:dyDescent="0.3">
      <c r="K4122" s="1" t="str">
        <f ca="1">IF(A4122="","",IF(OR(L4122="ENTREGADA",L4122="RETORNADA",L4122="ENTREGA DIGITAL"),0,MAX(0,5-NETWORKDAYS(H4122+1,TODAY()))))</f>
        <v/>
      </c>
      <c r="L4122" t="str">
        <f>IF(A4122="","",IFERROR(LOOKUP(2,1/(#REF!=Z4122),#REF!),Y4122))</f>
        <v/>
      </c>
      <c r="Z4122" t="str">
        <f>IF(A4122="","",TEXT(A4122,"0")&amp;"|"&amp;TEXT(H4122,"0"))</f>
        <v/>
      </c>
      <c r="AA4122" t="str">
        <f>IF(Z4122="","",IFERROR(LOOKUP(2,1/(#REF!=Z4122),#REF!),""))</f>
        <v/>
      </c>
      <c r="AB4122" t="str">
        <f>IF(Z4122="","",IFERROR(LOOKUP(2,1/(#REF!=Z4122),#REF!),""))</f>
        <v/>
      </c>
      <c r="AC4122" t="str">
        <f>IF(Z4122="","",COUNTIF(#REF!,Z4122))</f>
        <v/>
      </c>
      <c r="AD4122" t="str">
        <f>IF(A4122="","",IF(AC4122&gt;1,"REVISAR DUPLICADO",IF(AA4122&lt;&gt;"","ACTUALIZADO POR EYR","SIN REPORTE EYR")))</f>
        <v/>
      </c>
    </row>
    <row r="4123" spans="11:30" x14ac:dyDescent="0.3">
      <c r="K4123" s="1" t="str">
        <f ca="1">IF(A4123="","",IF(OR(L4123="ENTREGADA",L4123="RETORNADA",L4123="ENTREGA DIGITAL"),0,MAX(0,5-NETWORKDAYS(H4123+1,TODAY()))))</f>
        <v/>
      </c>
      <c r="L4123" t="str">
        <f>IF(A4123="","",IFERROR(LOOKUP(2,1/(#REF!=Z4123),#REF!),Y4123))</f>
        <v/>
      </c>
      <c r="Z4123" t="str">
        <f>IF(A4123="","",TEXT(A4123,"0")&amp;"|"&amp;TEXT(H4123,"0"))</f>
        <v/>
      </c>
      <c r="AA4123" t="str">
        <f>IF(Z4123="","",IFERROR(LOOKUP(2,1/(#REF!=Z4123),#REF!),""))</f>
        <v/>
      </c>
      <c r="AB4123" t="str">
        <f>IF(Z4123="","",IFERROR(LOOKUP(2,1/(#REF!=Z4123),#REF!),""))</f>
        <v/>
      </c>
      <c r="AC4123" t="str">
        <f>IF(Z4123="","",COUNTIF(#REF!,Z4123))</f>
        <v/>
      </c>
      <c r="AD4123" t="str">
        <f>IF(A4123="","",IF(AC4123&gt;1,"REVISAR DUPLICADO",IF(AA4123&lt;&gt;"","ACTUALIZADO POR EYR","SIN REPORTE EYR")))</f>
        <v/>
      </c>
    </row>
    <row r="4124" spans="11:30" x14ac:dyDescent="0.3">
      <c r="K4124" s="1" t="str">
        <f ca="1">IF(A4124="","",IF(OR(L4124="ENTREGADA",L4124="RETORNADA",L4124="ENTREGA DIGITAL"),0,MAX(0,5-NETWORKDAYS(H4124+1,TODAY()))))</f>
        <v/>
      </c>
      <c r="L4124" t="str">
        <f>IF(A4124="","",IFERROR(LOOKUP(2,1/(#REF!=Z4124),#REF!),Y4124))</f>
        <v/>
      </c>
      <c r="Z4124" t="str">
        <f>IF(A4124="","",TEXT(A4124,"0")&amp;"|"&amp;TEXT(H4124,"0"))</f>
        <v/>
      </c>
      <c r="AA4124" t="str">
        <f>IF(Z4124="","",IFERROR(LOOKUP(2,1/(#REF!=Z4124),#REF!),""))</f>
        <v/>
      </c>
      <c r="AB4124" t="str">
        <f>IF(Z4124="","",IFERROR(LOOKUP(2,1/(#REF!=Z4124),#REF!),""))</f>
        <v/>
      </c>
      <c r="AC4124" t="str">
        <f>IF(Z4124="","",COUNTIF(#REF!,Z4124))</f>
        <v/>
      </c>
      <c r="AD4124" t="str">
        <f>IF(A4124="","",IF(AC4124&gt;1,"REVISAR DUPLICADO",IF(AA4124&lt;&gt;"","ACTUALIZADO POR EYR","SIN REPORTE EYR")))</f>
        <v/>
      </c>
    </row>
    <row r="4125" spans="11:30" x14ac:dyDescent="0.3">
      <c r="K4125" s="1" t="str">
        <f ca="1">IF(A4125="","",IF(OR(L4125="ENTREGADA",L4125="RETORNADA",L4125="ENTREGA DIGITAL"),0,MAX(0,5-NETWORKDAYS(H4125+1,TODAY()))))</f>
        <v/>
      </c>
      <c r="L4125" t="str">
        <f>IF(A4125="","",IFERROR(LOOKUP(2,1/(#REF!=Z4125),#REF!),Y4125))</f>
        <v/>
      </c>
      <c r="Z4125" t="str">
        <f>IF(A4125="","",TEXT(A4125,"0")&amp;"|"&amp;TEXT(H4125,"0"))</f>
        <v/>
      </c>
      <c r="AA4125" t="str">
        <f>IF(Z4125="","",IFERROR(LOOKUP(2,1/(#REF!=Z4125),#REF!),""))</f>
        <v/>
      </c>
      <c r="AB4125" t="str">
        <f>IF(Z4125="","",IFERROR(LOOKUP(2,1/(#REF!=Z4125),#REF!),""))</f>
        <v/>
      </c>
      <c r="AC4125" t="str">
        <f>IF(Z4125="","",COUNTIF(#REF!,Z4125))</f>
        <v/>
      </c>
      <c r="AD4125" t="str">
        <f>IF(A4125="","",IF(AC4125&gt;1,"REVISAR DUPLICADO",IF(AA4125&lt;&gt;"","ACTUALIZADO POR EYR","SIN REPORTE EYR")))</f>
        <v/>
      </c>
    </row>
    <row r="4126" spans="11:30" x14ac:dyDescent="0.3">
      <c r="K4126" s="1" t="str">
        <f ca="1">IF(A4126="","",IF(OR(L4126="ENTREGADA",L4126="RETORNADA",L4126="ENTREGA DIGITAL"),0,MAX(0,5-NETWORKDAYS(H4126+1,TODAY()))))</f>
        <v/>
      </c>
      <c r="L4126" t="str">
        <f>IF(A4126="","",IFERROR(LOOKUP(2,1/(#REF!=Z4126),#REF!),Y4126))</f>
        <v/>
      </c>
      <c r="Z4126" t="str">
        <f>IF(A4126="","",TEXT(A4126,"0")&amp;"|"&amp;TEXT(H4126,"0"))</f>
        <v/>
      </c>
      <c r="AA4126" t="str">
        <f>IF(Z4126="","",IFERROR(LOOKUP(2,1/(#REF!=Z4126),#REF!),""))</f>
        <v/>
      </c>
      <c r="AB4126" t="str">
        <f>IF(Z4126="","",IFERROR(LOOKUP(2,1/(#REF!=Z4126),#REF!),""))</f>
        <v/>
      </c>
      <c r="AC4126" t="str">
        <f>IF(Z4126="","",COUNTIF(#REF!,Z4126))</f>
        <v/>
      </c>
      <c r="AD4126" t="str">
        <f>IF(A4126="","",IF(AC4126&gt;1,"REVISAR DUPLICADO",IF(AA4126&lt;&gt;"","ACTUALIZADO POR EYR","SIN REPORTE EYR")))</f>
        <v/>
      </c>
    </row>
    <row r="4127" spans="11:30" x14ac:dyDescent="0.3">
      <c r="K4127" s="1" t="str">
        <f ca="1">IF(A4127="","",IF(OR(L4127="ENTREGADA",L4127="RETORNADA",L4127="ENTREGA DIGITAL"),0,MAX(0,5-NETWORKDAYS(H4127+1,TODAY()))))</f>
        <v/>
      </c>
      <c r="L4127" t="str">
        <f>IF(A4127="","",IFERROR(LOOKUP(2,1/(#REF!=Z4127),#REF!),Y4127))</f>
        <v/>
      </c>
      <c r="Z4127" t="str">
        <f>IF(A4127="","",TEXT(A4127,"0")&amp;"|"&amp;TEXT(H4127,"0"))</f>
        <v/>
      </c>
      <c r="AA4127" t="str">
        <f>IF(Z4127="","",IFERROR(LOOKUP(2,1/(#REF!=Z4127),#REF!),""))</f>
        <v/>
      </c>
      <c r="AB4127" t="str">
        <f>IF(Z4127="","",IFERROR(LOOKUP(2,1/(#REF!=Z4127),#REF!),""))</f>
        <v/>
      </c>
      <c r="AC4127" t="str">
        <f>IF(Z4127="","",COUNTIF(#REF!,Z4127))</f>
        <v/>
      </c>
      <c r="AD4127" t="str">
        <f>IF(A4127="","",IF(AC4127&gt;1,"REVISAR DUPLICADO",IF(AA4127&lt;&gt;"","ACTUALIZADO POR EYR","SIN REPORTE EYR")))</f>
        <v/>
      </c>
    </row>
    <row r="4128" spans="11:30" x14ac:dyDescent="0.3">
      <c r="K4128" s="1" t="str">
        <f ca="1">IF(A4128="","",IF(OR(L4128="ENTREGADA",L4128="RETORNADA",L4128="ENTREGA DIGITAL"),0,MAX(0,5-NETWORKDAYS(H4128+1,TODAY()))))</f>
        <v/>
      </c>
      <c r="L4128" t="str">
        <f>IF(A4128="","",IFERROR(LOOKUP(2,1/(#REF!=Z4128),#REF!),Y4128))</f>
        <v/>
      </c>
      <c r="Z4128" t="str">
        <f>IF(A4128="","",TEXT(A4128,"0")&amp;"|"&amp;TEXT(H4128,"0"))</f>
        <v/>
      </c>
      <c r="AA4128" t="str">
        <f>IF(Z4128="","",IFERROR(LOOKUP(2,1/(#REF!=Z4128),#REF!),""))</f>
        <v/>
      </c>
      <c r="AB4128" t="str">
        <f>IF(Z4128="","",IFERROR(LOOKUP(2,1/(#REF!=Z4128),#REF!),""))</f>
        <v/>
      </c>
      <c r="AC4128" t="str">
        <f>IF(Z4128="","",COUNTIF(#REF!,Z4128))</f>
        <v/>
      </c>
      <c r="AD4128" t="str">
        <f>IF(A4128="","",IF(AC4128&gt;1,"REVISAR DUPLICADO",IF(AA4128&lt;&gt;"","ACTUALIZADO POR EYR","SIN REPORTE EYR")))</f>
        <v/>
      </c>
    </row>
    <row r="4129" spans="11:30" x14ac:dyDescent="0.3">
      <c r="K4129" s="1" t="str">
        <f ca="1">IF(A4129="","",IF(OR(L4129="ENTREGADA",L4129="RETORNADA",L4129="ENTREGA DIGITAL"),0,MAX(0,5-NETWORKDAYS(H4129+1,TODAY()))))</f>
        <v/>
      </c>
      <c r="L4129" t="str">
        <f>IF(A4129="","",IFERROR(LOOKUP(2,1/(#REF!=Z4129),#REF!),Y4129))</f>
        <v/>
      </c>
      <c r="Z4129" t="str">
        <f>IF(A4129="","",TEXT(A4129,"0")&amp;"|"&amp;TEXT(H4129,"0"))</f>
        <v/>
      </c>
      <c r="AA4129" t="str">
        <f>IF(Z4129="","",IFERROR(LOOKUP(2,1/(#REF!=Z4129),#REF!),""))</f>
        <v/>
      </c>
      <c r="AB4129" t="str">
        <f>IF(Z4129="","",IFERROR(LOOKUP(2,1/(#REF!=Z4129),#REF!),""))</f>
        <v/>
      </c>
      <c r="AC4129" t="str">
        <f>IF(Z4129="","",COUNTIF(#REF!,Z4129))</f>
        <v/>
      </c>
      <c r="AD4129" t="str">
        <f>IF(A4129="","",IF(AC4129&gt;1,"REVISAR DUPLICADO",IF(AA4129&lt;&gt;"","ACTUALIZADO POR EYR","SIN REPORTE EYR")))</f>
        <v/>
      </c>
    </row>
    <row r="4130" spans="11:30" x14ac:dyDescent="0.3">
      <c r="K4130" s="1" t="str">
        <f ca="1">IF(A4130="","",IF(OR(L4130="ENTREGADA",L4130="RETORNADA",L4130="ENTREGA DIGITAL"),0,MAX(0,5-NETWORKDAYS(H4130+1,TODAY()))))</f>
        <v/>
      </c>
      <c r="L4130" t="str">
        <f>IF(A4130="","",IFERROR(LOOKUP(2,1/(#REF!=Z4130),#REF!),Y4130))</f>
        <v/>
      </c>
      <c r="Z4130" t="str">
        <f>IF(A4130="","",TEXT(A4130,"0")&amp;"|"&amp;TEXT(H4130,"0"))</f>
        <v/>
      </c>
      <c r="AA4130" t="str">
        <f>IF(Z4130="","",IFERROR(LOOKUP(2,1/(#REF!=Z4130),#REF!),""))</f>
        <v/>
      </c>
      <c r="AB4130" t="str">
        <f>IF(Z4130="","",IFERROR(LOOKUP(2,1/(#REF!=Z4130),#REF!),""))</f>
        <v/>
      </c>
      <c r="AC4130" t="str">
        <f>IF(Z4130="","",COUNTIF(#REF!,Z4130))</f>
        <v/>
      </c>
      <c r="AD4130" t="str">
        <f>IF(A4130="","",IF(AC4130&gt;1,"REVISAR DUPLICADO",IF(AA4130&lt;&gt;"","ACTUALIZADO POR EYR","SIN REPORTE EYR")))</f>
        <v/>
      </c>
    </row>
    <row r="4131" spans="11:30" x14ac:dyDescent="0.3">
      <c r="K4131" s="1" t="str">
        <f ca="1">IF(A4131="","",IF(OR(L4131="ENTREGADA",L4131="RETORNADA",L4131="ENTREGA DIGITAL"),0,MAX(0,5-NETWORKDAYS(H4131+1,TODAY()))))</f>
        <v/>
      </c>
      <c r="L4131" t="str">
        <f>IF(A4131="","",IFERROR(LOOKUP(2,1/(#REF!=Z4131),#REF!),Y4131))</f>
        <v/>
      </c>
      <c r="Z4131" t="str">
        <f>IF(A4131="","",TEXT(A4131,"0")&amp;"|"&amp;TEXT(H4131,"0"))</f>
        <v/>
      </c>
      <c r="AA4131" t="str">
        <f>IF(Z4131="","",IFERROR(LOOKUP(2,1/(#REF!=Z4131),#REF!),""))</f>
        <v/>
      </c>
      <c r="AB4131" t="str">
        <f>IF(Z4131="","",IFERROR(LOOKUP(2,1/(#REF!=Z4131),#REF!),""))</f>
        <v/>
      </c>
      <c r="AC4131" t="str">
        <f>IF(Z4131="","",COUNTIF(#REF!,Z4131))</f>
        <v/>
      </c>
      <c r="AD4131" t="str">
        <f>IF(A4131="","",IF(AC4131&gt;1,"REVISAR DUPLICADO",IF(AA4131&lt;&gt;"","ACTUALIZADO POR EYR","SIN REPORTE EYR")))</f>
        <v/>
      </c>
    </row>
    <row r="4132" spans="11:30" x14ac:dyDescent="0.3">
      <c r="K4132" s="1" t="str">
        <f ca="1">IF(A4132="","",IF(OR(L4132="ENTREGADA",L4132="RETORNADA",L4132="ENTREGA DIGITAL"),0,MAX(0,5-NETWORKDAYS(H4132+1,TODAY()))))</f>
        <v/>
      </c>
      <c r="L4132" t="str">
        <f>IF(A4132="","",IFERROR(LOOKUP(2,1/(#REF!=Z4132),#REF!),Y4132))</f>
        <v/>
      </c>
      <c r="Z4132" t="str">
        <f>IF(A4132="","",TEXT(A4132,"0")&amp;"|"&amp;TEXT(H4132,"0"))</f>
        <v/>
      </c>
      <c r="AA4132" t="str">
        <f>IF(Z4132="","",IFERROR(LOOKUP(2,1/(#REF!=Z4132),#REF!),""))</f>
        <v/>
      </c>
      <c r="AB4132" t="str">
        <f>IF(Z4132="","",IFERROR(LOOKUP(2,1/(#REF!=Z4132),#REF!),""))</f>
        <v/>
      </c>
      <c r="AC4132" t="str">
        <f>IF(Z4132="","",COUNTIF(#REF!,Z4132))</f>
        <v/>
      </c>
      <c r="AD4132" t="str">
        <f>IF(A4132="","",IF(AC4132&gt;1,"REVISAR DUPLICADO",IF(AA4132&lt;&gt;"","ACTUALIZADO POR EYR","SIN REPORTE EYR")))</f>
        <v/>
      </c>
    </row>
    <row r="4133" spans="11:30" x14ac:dyDescent="0.3">
      <c r="K4133" s="1" t="str">
        <f ca="1">IF(A4133="","",IF(OR(L4133="ENTREGADA",L4133="RETORNADA",L4133="ENTREGA DIGITAL"),0,MAX(0,5-NETWORKDAYS(H4133+1,TODAY()))))</f>
        <v/>
      </c>
      <c r="L4133" t="str">
        <f>IF(A4133="","",IFERROR(LOOKUP(2,1/(#REF!=Z4133),#REF!),Y4133))</f>
        <v/>
      </c>
      <c r="Z4133" t="str">
        <f>IF(A4133="","",TEXT(A4133,"0")&amp;"|"&amp;TEXT(H4133,"0"))</f>
        <v/>
      </c>
      <c r="AA4133" t="str">
        <f>IF(Z4133="","",IFERROR(LOOKUP(2,1/(#REF!=Z4133),#REF!),""))</f>
        <v/>
      </c>
      <c r="AB4133" t="str">
        <f>IF(Z4133="","",IFERROR(LOOKUP(2,1/(#REF!=Z4133),#REF!),""))</f>
        <v/>
      </c>
      <c r="AC4133" t="str">
        <f>IF(Z4133="","",COUNTIF(#REF!,Z4133))</f>
        <v/>
      </c>
      <c r="AD4133" t="str">
        <f>IF(A4133="","",IF(AC4133&gt;1,"REVISAR DUPLICADO",IF(AA4133&lt;&gt;"","ACTUALIZADO POR EYR","SIN REPORTE EYR")))</f>
        <v/>
      </c>
    </row>
    <row r="4134" spans="11:30" x14ac:dyDescent="0.3">
      <c r="K4134" s="1" t="str">
        <f ca="1">IF(A4134="","",IF(OR(L4134="ENTREGADA",L4134="RETORNADA",L4134="ENTREGA DIGITAL"),0,MAX(0,5-NETWORKDAYS(H4134+1,TODAY()))))</f>
        <v/>
      </c>
      <c r="L4134" t="str">
        <f>IF(A4134="","",IFERROR(LOOKUP(2,1/(#REF!=Z4134),#REF!),Y4134))</f>
        <v/>
      </c>
      <c r="Z4134" t="str">
        <f>IF(A4134="","",TEXT(A4134,"0")&amp;"|"&amp;TEXT(H4134,"0"))</f>
        <v/>
      </c>
      <c r="AA4134" t="str">
        <f>IF(Z4134="","",IFERROR(LOOKUP(2,1/(#REF!=Z4134),#REF!),""))</f>
        <v/>
      </c>
      <c r="AB4134" t="str">
        <f>IF(Z4134="","",IFERROR(LOOKUP(2,1/(#REF!=Z4134),#REF!),""))</f>
        <v/>
      </c>
      <c r="AC4134" t="str">
        <f>IF(Z4134="","",COUNTIF(#REF!,Z4134))</f>
        <v/>
      </c>
      <c r="AD4134" t="str">
        <f>IF(A4134="","",IF(AC4134&gt;1,"REVISAR DUPLICADO",IF(AA4134&lt;&gt;"","ACTUALIZADO POR EYR","SIN REPORTE EYR")))</f>
        <v/>
      </c>
    </row>
    <row r="4135" spans="11:30" x14ac:dyDescent="0.3">
      <c r="K4135" s="1" t="str">
        <f ca="1">IF(A4135="","",IF(OR(L4135="ENTREGADA",L4135="RETORNADA",L4135="ENTREGA DIGITAL"),0,MAX(0,5-NETWORKDAYS(H4135+1,TODAY()))))</f>
        <v/>
      </c>
      <c r="L4135" t="str">
        <f>IF(A4135="","",IFERROR(LOOKUP(2,1/(#REF!=Z4135),#REF!),Y4135))</f>
        <v/>
      </c>
      <c r="Z4135" t="str">
        <f>IF(A4135="","",TEXT(A4135,"0")&amp;"|"&amp;TEXT(H4135,"0"))</f>
        <v/>
      </c>
      <c r="AA4135" t="str">
        <f>IF(Z4135="","",IFERROR(LOOKUP(2,1/(#REF!=Z4135),#REF!),""))</f>
        <v/>
      </c>
      <c r="AB4135" t="str">
        <f>IF(Z4135="","",IFERROR(LOOKUP(2,1/(#REF!=Z4135),#REF!),""))</f>
        <v/>
      </c>
      <c r="AC4135" t="str">
        <f>IF(Z4135="","",COUNTIF(#REF!,Z4135))</f>
        <v/>
      </c>
      <c r="AD4135" t="str">
        <f>IF(A4135="","",IF(AC4135&gt;1,"REVISAR DUPLICADO",IF(AA4135&lt;&gt;"","ACTUALIZADO POR EYR","SIN REPORTE EYR")))</f>
        <v/>
      </c>
    </row>
    <row r="4136" spans="11:30" x14ac:dyDescent="0.3">
      <c r="K4136" s="1" t="str">
        <f ca="1">IF(A4136="","",IF(OR(L4136="ENTREGADA",L4136="RETORNADA",L4136="ENTREGA DIGITAL"),0,MAX(0,5-NETWORKDAYS(H4136+1,TODAY()))))</f>
        <v/>
      </c>
      <c r="L4136" t="str">
        <f>IF(A4136="","",IFERROR(LOOKUP(2,1/(#REF!=Z4136),#REF!),Y4136))</f>
        <v/>
      </c>
      <c r="Z4136" t="str">
        <f>IF(A4136="","",TEXT(A4136,"0")&amp;"|"&amp;TEXT(H4136,"0"))</f>
        <v/>
      </c>
      <c r="AA4136" t="str">
        <f>IF(Z4136="","",IFERROR(LOOKUP(2,1/(#REF!=Z4136),#REF!),""))</f>
        <v/>
      </c>
      <c r="AB4136" t="str">
        <f>IF(Z4136="","",IFERROR(LOOKUP(2,1/(#REF!=Z4136),#REF!),""))</f>
        <v/>
      </c>
      <c r="AC4136" t="str">
        <f>IF(Z4136="","",COUNTIF(#REF!,Z4136))</f>
        <v/>
      </c>
      <c r="AD4136" t="str">
        <f>IF(A4136="","",IF(AC4136&gt;1,"REVISAR DUPLICADO",IF(AA4136&lt;&gt;"","ACTUALIZADO POR EYR","SIN REPORTE EYR")))</f>
        <v/>
      </c>
    </row>
    <row r="4137" spans="11:30" x14ac:dyDescent="0.3">
      <c r="K4137" s="1" t="str">
        <f ca="1">IF(A4137="","",IF(OR(L4137="ENTREGADA",L4137="RETORNADA",L4137="ENTREGA DIGITAL"),0,MAX(0,5-NETWORKDAYS(H4137+1,TODAY()))))</f>
        <v/>
      </c>
      <c r="L4137" t="str">
        <f>IF(A4137="","",IFERROR(LOOKUP(2,1/(#REF!=Z4137),#REF!),Y4137))</f>
        <v/>
      </c>
      <c r="Z4137" t="str">
        <f>IF(A4137="","",TEXT(A4137,"0")&amp;"|"&amp;TEXT(H4137,"0"))</f>
        <v/>
      </c>
      <c r="AA4137" t="str">
        <f>IF(Z4137="","",IFERROR(LOOKUP(2,1/(#REF!=Z4137),#REF!),""))</f>
        <v/>
      </c>
      <c r="AB4137" t="str">
        <f>IF(Z4137="","",IFERROR(LOOKUP(2,1/(#REF!=Z4137),#REF!),""))</f>
        <v/>
      </c>
      <c r="AC4137" t="str">
        <f>IF(Z4137="","",COUNTIF(#REF!,Z4137))</f>
        <v/>
      </c>
      <c r="AD4137" t="str">
        <f>IF(A4137="","",IF(AC4137&gt;1,"REVISAR DUPLICADO",IF(AA4137&lt;&gt;"","ACTUALIZADO POR EYR","SIN REPORTE EYR")))</f>
        <v/>
      </c>
    </row>
    <row r="4138" spans="11:30" x14ac:dyDescent="0.3">
      <c r="K4138" s="1" t="str">
        <f ca="1">IF(A4138="","",IF(OR(L4138="ENTREGADA",L4138="RETORNADA",L4138="ENTREGA DIGITAL"),0,MAX(0,5-NETWORKDAYS(H4138+1,TODAY()))))</f>
        <v/>
      </c>
      <c r="L4138" t="str">
        <f>IF(A4138="","",IFERROR(LOOKUP(2,1/(#REF!=Z4138),#REF!),Y4138))</f>
        <v/>
      </c>
      <c r="Z4138" t="str">
        <f>IF(A4138="","",TEXT(A4138,"0")&amp;"|"&amp;TEXT(H4138,"0"))</f>
        <v/>
      </c>
      <c r="AA4138" t="str">
        <f>IF(Z4138="","",IFERROR(LOOKUP(2,1/(#REF!=Z4138),#REF!),""))</f>
        <v/>
      </c>
      <c r="AB4138" t="str">
        <f>IF(Z4138="","",IFERROR(LOOKUP(2,1/(#REF!=Z4138),#REF!),""))</f>
        <v/>
      </c>
      <c r="AC4138" t="str">
        <f>IF(Z4138="","",COUNTIF(#REF!,Z4138))</f>
        <v/>
      </c>
      <c r="AD4138" t="str">
        <f>IF(A4138="","",IF(AC4138&gt;1,"REVISAR DUPLICADO",IF(AA4138&lt;&gt;"","ACTUALIZADO POR EYR","SIN REPORTE EYR")))</f>
        <v/>
      </c>
    </row>
    <row r="4139" spans="11:30" x14ac:dyDescent="0.3">
      <c r="K4139" s="1" t="str">
        <f ca="1">IF(A4139="","",IF(OR(L4139="ENTREGADA",L4139="RETORNADA",L4139="ENTREGA DIGITAL"),0,MAX(0,5-NETWORKDAYS(H4139+1,TODAY()))))</f>
        <v/>
      </c>
      <c r="L4139" t="str">
        <f>IF(A4139="","",IFERROR(LOOKUP(2,1/(#REF!=Z4139),#REF!),Y4139))</f>
        <v/>
      </c>
      <c r="Z4139" t="str">
        <f>IF(A4139="","",TEXT(A4139,"0")&amp;"|"&amp;TEXT(H4139,"0"))</f>
        <v/>
      </c>
      <c r="AA4139" t="str">
        <f>IF(Z4139="","",IFERROR(LOOKUP(2,1/(#REF!=Z4139),#REF!),""))</f>
        <v/>
      </c>
      <c r="AB4139" t="str">
        <f>IF(Z4139="","",IFERROR(LOOKUP(2,1/(#REF!=Z4139),#REF!),""))</f>
        <v/>
      </c>
      <c r="AC4139" t="str">
        <f>IF(Z4139="","",COUNTIF(#REF!,Z4139))</f>
        <v/>
      </c>
      <c r="AD4139" t="str">
        <f>IF(A4139="","",IF(AC4139&gt;1,"REVISAR DUPLICADO",IF(AA4139&lt;&gt;"","ACTUALIZADO POR EYR","SIN REPORTE EYR")))</f>
        <v/>
      </c>
    </row>
    <row r="4140" spans="11:30" x14ac:dyDescent="0.3">
      <c r="K4140" s="1" t="str">
        <f ca="1">IF(A4140="","",IF(OR(L4140="ENTREGADA",L4140="RETORNADA",L4140="ENTREGA DIGITAL"),0,MAX(0,5-NETWORKDAYS(H4140+1,TODAY()))))</f>
        <v/>
      </c>
      <c r="L4140" t="str">
        <f>IF(A4140="","",IFERROR(LOOKUP(2,1/(#REF!=Z4140),#REF!),Y4140))</f>
        <v/>
      </c>
      <c r="Z4140" t="str">
        <f>IF(A4140="","",TEXT(A4140,"0")&amp;"|"&amp;TEXT(H4140,"0"))</f>
        <v/>
      </c>
      <c r="AA4140" t="str">
        <f>IF(Z4140="","",IFERROR(LOOKUP(2,1/(#REF!=Z4140),#REF!),""))</f>
        <v/>
      </c>
      <c r="AB4140" t="str">
        <f>IF(Z4140="","",IFERROR(LOOKUP(2,1/(#REF!=Z4140),#REF!),""))</f>
        <v/>
      </c>
      <c r="AC4140" t="str">
        <f>IF(Z4140="","",COUNTIF(#REF!,Z4140))</f>
        <v/>
      </c>
      <c r="AD4140" t="str">
        <f>IF(A4140="","",IF(AC4140&gt;1,"REVISAR DUPLICADO",IF(AA4140&lt;&gt;"","ACTUALIZADO POR EYR","SIN REPORTE EYR")))</f>
        <v/>
      </c>
    </row>
    <row r="4141" spans="11:30" x14ac:dyDescent="0.3">
      <c r="K4141" s="1" t="str">
        <f ca="1">IF(A4141="","",IF(OR(L4141="ENTREGADA",L4141="RETORNADA",L4141="ENTREGA DIGITAL"),0,MAX(0,5-NETWORKDAYS(H4141+1,TODAY()))))</f>
        <v/>
      </c>
      <c r="L4141" t="str">
        <f>IF(A4141="","",IFERROR(LOOKUP(2,1/(#REF!=Z4141),#REF!),Y4141))</f>
        <v/>
      </c>
      <c r="Z4141" t="str">
        <f>IF(A4141="","",TEXT(A4141,"0")&amp;"|"&amp;TEXT(H4141,"0"))</f>
        <v/>
      </c>
      <c r="AA4141" t="str">
        <f>IF(Z4141="","",IFERROR(LOOKUP(2,1/(#REF!=Z4141),#REF!),""))</f>
        <v/>
      </c>
      <c r="AB4141" t="str">
        <f>IF(Z4141="","",IFERROR(LOOKUP(2,1/(#REF!=Z4141),#REF!),""))</f>
        <v/>
      </c>
      <c r="AC4141" t="str">
        <f>IF(Z4141="","",COUNTIF(#REF!,Z4141))</f>
        <v/>
      </c>
      <c r="AD4141" t="str">
        <f>IF(A4141="","",IF(AC4141&gt;1,"REVISAR DUPLICADO",IF(AA4141&lt;&gt;"","ACTUALIZADO POR EYR","SIN REPORTE EYR")))</f>
        <v/>
      </c>
    </row>
    <row r="4142" spans="11:30" x14ac:dyDescent="0.3">
      <c r="K4142" s="1" t="str">
        <f ca="1">IF(A4142="","",IF(OR(L4142="ENTREGADA",L4142="RETORNADA",L4142="ENTREGA DIGITAL"),0,MAX(0,5-NETWORKDAYS(H4142+1,TODAY()))))</f>
        <v/>
      </c>
      <c r="L4142" t="str">
        <f>IF(A4142="","",IFERROR(LOOKUP(2,1/(#REF!=Z4142),#REF!),Y4142))</f>
        <v/>
      </c>
      <c r="Z4142" t="str">
        <f>IF(A4142="","",TEXT(A4142,"0")&amp;"|"&amp;TEXT(H4142,"0"))</f>
        <v/>
      </c>
      <c r="AA4142" t="str">
        <f>IF(Z4142="","",IFERROR(LOOKUP(2,1/(#REF!=Z4142),#REF!),""))</f>
        <v/>
      </c>
      <c r="AB4142" t="str">
        <f>IF(Z4142="","",IFERROR(LOOKUP(2,1/(#REF!=Z4142),#REF!),""))</f>
        <v/>
      </c>
      <c r="AC4142" t="str">
        <f>IF(Z4142="","",COUNTIF(#REF!,Z4142))</f>
        <v/>
      </c>
      <c r="AD4142" t="str">
        <f>IF(A4142="","",IF(AC4142&gt;1,"REVISAR DUPLICADO",IF(AA4142&lt;&gt;"","ACTUALIZADO POR EYR","SIN REPORTE EYR")))</f>
        <v/>
      </c>
    </row>
    <row r="4143" spans="11:30" x14ac:dyDescent="0.3">
      <c r="K4143" s="1" t="str">
        <f ca="1">IF(A4143="","",IF(OR(L4143="ENTREGADA",L4143="RETORNADA",L4143="ENTREGA DIGITAL"),0,MAX(0,5-NETWORKDAYS(H4143+1,TODAY()))))</f>
        <v/>
      </c>
      <c r="L4143" t="str">
        <f>IF(A4143="","",IFERROR(LOOKUP(2,1/(#REF!=Z4143),#REF!),Y4143))</f>
        <v/>
      </c>
      <c r="Z4143" t="str">
        <f>IF(A4143="","",TEXT(A4143,"0")&amp;"|"&amp;TEXT(H4143,"0"))</f>
        <v/>
      </c>
      <c r="AA4143" t="str">
        <f>IF(Z4143="","",IFERROR(LOOKUP(2,1/(#REF!=Z4143),#REF!),""))</f>
        <v/>
      </c>
      <c r="AB4143" t="str">
        <f>IF(Z4143="","",IFERROR(LOOKUP(2,1/(#REF!=Z4143),#REF!),""))</f>
        <v/>
      </c>
      <c r="AC4143" t="str">
        <f>IF(Z4143="","",COUNTIF(#REF!,Z4143))</f>
        <v/>
      </c>
      <c r="AD4143" t="str">
        <f>IF(A4143="","",IF(AC4143&gt;1,"REVISAR DUPLICADO",IF(AA4143&lt;&gt;"","ACTUALIZADO POR EYR","SIN REPORTE EYR")))</f>
        <v/>
      </c>
    </row>
    <row r="4144" spans="11:30" x14ac:dyDescent="0.3">
      <c r="K4144" s="1" t="str">
        <f ca="1">IF(A4144="","",IF(OR(L4144="ENTREGADA",L4144="RETORNADA",L4144="ENTREGA DIGITAL"),0,MAX(0,5-NETWORKDAYS(H4144+1,TODAY()))))</f>
        <v/>
      </c>
      <c r="L4144" t="str">
        <f>IF(A4144="","",IFERROR(LOOKUP(2,1/(#REF!=Z4144),#REF!),Y4144))</f>
        <v/>
      </c>
      <c r="Z4144" t="str">
        <f>IF(A4144="","",TEXT(A4144,"0")&amp;"|"&amp;TEXT(H4144,"0"))</f>
        <v/>
      </c>
      <c r="AA4144" t="str">
        <f>IF(Z4144="","",IFERROR(LOOKUP(2,1/(#REF!=Z4144),#REF!),""))</f>
        <v/>
      </c>
      <c r="AB4144" t="str">
        <f>IF(Z4144="","",IFERROR(LOOKUP(2,1/(#REF!=Z4144),#REF!),""))</f>
        <v/>
      </c>
      <c r="AC4144" t="str">
        <f>IF(Z4144="","",COUNTIF(#REF!,Z4144))</f>
        <v/>
      </c>
      <c r="AD4144" t="str">
        <f>IF(A4144="","",IF(AC4144&gt;1,"REVISAR DUPLICADO",IF(AA4144&lt;&gt;"","ACTUALIZADO POR EYR","SIN REPORTE EYR")))</f>
        <v/>
      </c>
    </row>
    <row r="4145" spans="11:30" x14ac:dyDescent="0.3">
      <c r="K4145" s="1" t="str">
        <f ca="1">IF(A4145="","",IF(OR(L4145="ENTREGADA",L4145="RETORNADA",L4145="ENTREGA DIGITAL"),0,MAX(0,5-NETWORKDAYS(H4145+1,TODAY()))))</f>
        <v/>
      </c>
      <c r="L4145" t="str">
        <f>IF(A4145="","",IFERROR(LOOKUP(2,1/(#REF!=Z4145),#REF!),Y4145))</f>
        <v/>
      </c>
      <c r="Z4145" t="str">
        <f>IF(A4145="","",TEXT(A4145,"0")&amp;"|"&amp;TEXT(H4145,"0"))</f>
        <v/>
      </c>
      <c r="AA4145" t="str">
        <f>IF(Z4145="","",IFERROR(LOOKUP(2,1/(#REF!=Z4145),#REF!),""))</f>
        <v/>
      </c>
      <c r="AB4145" t="str">
        <f>IF(Z4145="","",IFERROR(LOOKUP(2,1/(#REF!=Z4145),#REF!),""))</f>
        <v/>
      </c>
      <c r="AC4145" t="str">
        <f>IF(Z4145="","",COUNTIF(#REF!,Z4145))</f>
        <v/>
      </c>
      <c r="AD4145" t="str">
        <f>IF(A4145="","",IF(AC4145&gt;1,"REVISAR DUPLICADO",IF(AA4145&lt;&gt;"","ACTUALIZADO POR EYR","SIN REPORTE EYR")))</f>
        <v/>
      </c>
    </row>
    <row r="4146" spans="11:30" x14ac:dyDescent="0.3">
      <c r="K4146" s="1" t="str">
        <f ca="1">IF(A4146="","",IF(OR(L4146="ENTREGADA",L4146="RETORNADA",L4146="ENTREGA DIGITAL"),0,MAX(0,5-NETWORKDAYS(H4146+1,TODAY()))))</f>
        <v/>
      </c>
      <c r="L4146" t="str">
        <f>IF(A4146="","",IFERROR(LOOKUP(2,1/(#REF!=Z4146),#REF!),Y4146))</f>
        <v/>
      </c>
      <c r="Z4146" t="str">
        <f>IF(A4146="","",TEXT(A4146,"0")&amp;"|"&amp;TEXT(H4146,"0"))</f>
        <v/>
      </c>
      <c r="AA4146" t="str">
        <f>IF(Z4146="","",IFERROR(LOOKUP(2,1/(#REF!=Z4146),#REF!),""))</f>
        <v/>
      </c>
      <c r="AB4146" t="str">
        <f>IF(Z4146="","",IFERROR(LOOKUP(2,1/(#REF!=Z4146),#REF!),""))</f>
        <v/>
      </c>
      <c r="AC4146" t="str">
        <f>IF(Z4146="","",COUNTIF(#REF!,Z4146))</f>
        <v/>
      </c>
      <c r="AD4146" t="str">
        <f>IF(A4146="","",IF(AC4146&gt;1,"REVISAR DUPLICADO",IF(AA4146&lt;&gt;"","ACTUALIZADO POR EYR","SIN REPORTE EYR")))</f>
        <v/>
      </c>
    </row>
    <row r="4147" spans="11:30" x14ac:dyDescent="0.3">
      <c r="K4147" s="1" t="str">
        <f ca="1">IF(A4147="","",IF(OR(L4147="ENTREGADA",L4147="RETORNADA",L4147="ENTREGA DIGITAL"),0,MAX(0,5-NETWORKDAYS(H4147+1,TODAY()))))</f>
        <v/>
      </c>
      <c r="L4147" t="str">
        <f>IF(A4147="","",IFERROR(LOOKUP(2,1/(#REF!=Z4147),#REF!),Y4147))</f>
        <v/>
      </c>
      <c r="Z4147" t="str">
        <f>IF(A4147="","",TEXT(A4147,"0")&amp;"|"&amp;TEXT(H4147,"0"))</f>
        <v/>
      </c>
      <c r="AA4147" t="str">
        <f>IF(Z4147="","",IFERROR(LOOKUP(2,1/(#REF!=Z4147),#REF!),""))</f>
        <v/>
      </c>
      <c r="AB4147" t="str">
        <f>IF(Z4147="","",IFERROR(LOOKUP(2,1/(#REF!=Z4147),#REF!),""))</f>
        <v/>
      </c>
      <c r="AC4147" t="str">
        <f>IF(Z4147="","",COUNTIF(#REF!,Z4147))</f>
        <v/>
      </c>
      <c r="AD4147" t="str">
        <f>IF(A4147="","",IF(AC4147&gt;1,"REVISAR DUPLICADO",IF(AA4147&lt;&gt;"","ACTUALIZADO POR EYR","SIN REPORTE EYR")))</f>
        <v/>
      </c>
    </row>
    <row r="4148" spans="11:30" x14ac:dyDescent="0.3">
      <c r="K4148" s="1" t="str">
        <f ca="1">IF(A4148="","",IF(OR(L4148="ENTREGADA",L4148="RETORNADA",L4148="ENTREGA DIGITAL"),0,MAX(0,5-NETWORKDAYS(H4148+1,TODAY()))))</f>
        <v/>
      </c>
      <c r="L4148" t="str">
        <f>IF(A4148="","",IFERROR(LOOKUP(2,1/(#REF!=Z4148),#REF!),Y4148))</f>
        <v/>
      </c>
      <c r="Z4148" t="str">
        <f>IF(A4148="","",TEXT(A4148,"0")&amp;"|"&amp;TEXT(H4148,"0"))</f>
        <v/>
      </c>
      <c r="AA4148" t="str">
        <f>IF(Z4148="","",IFERROR(LOOKUP(2,1/(#REF!=Z4148),#REF!),""))</f>
        <v/>
      </c>
      <c r="AB4148" t="str">
        <f>IF(Z4148="","",IFERROR(LOOKUP(2,1/(#REF!=Z4148),#REF!),""))</f>
        <v/>
      </c>
      <c r="AC4148" t="str">
        <f>IF(Z4148="","",COUNTIF(#REF!,Z4148))</f>
        <v/>
      </c>
      <c r="AD4148" t="str">
        <f>IF(A4148="","",IF(AC4148&gt;1,"REVISAR DUPLICADO",IF(AA4148&lt;&gt;"","ACTUALIZADO POR EYR","SIN REPORTE EYR")))</f>
        <v/>
      </c>
    </row>
    <row r="4149" spans="11:30" x14ac:dyDescent="0.3">
      <c r="K4149" s="1" t="str">
        <f ca="1">IF(A4149="","",IF(OR(L4149="ENTREGADA",L4149="RETORNADA",L4149="ENTREGA DIGITAL"),0,MAX(0,5-NETWORKDAYS(H4149+1,TODAY()))))</f>
        <v/>
      </c>
      <c r="L4149" t="str">
        <f>IF(A4149="","",IFERROR(LOOKUP(2,1/(#REF!=Z4149),#REF!),Y4149))</f>
        <v/>
      </c>
      <c r="Z4149" t="str">
        <f>IF(A4149="","",TEXT(A4149,"0")&amp;"|"&amp;TEXT(H4149,"0"))</f>
        <v/>
      </c>
      <c r="AA4149" t="str">
        <f>IF(Z4149="","",IFERROR(LOOKUP(2,1/(#REF!=Z4149),#REF!),""))</f>
        <v/>
      </c>
      <c r="AB4149" t="str">
        <f>IF(Z4149="","",IFERROR(LOOKUP(2,1/(#REF!=Z4149),#REF!),""))</f>
        <v/>
      </c>
      <c r="AC4149" t="str">
        <f>IF(Z4149="","",COUNTIF(#REF!,Z4149))</f>
        <v/>
      </c>
      <c r="AD4149" t="str">
        <f>IF(A4149="","",IF(AC4149&gt;1,"REVISAR DUPLICADO",IF(AA4149&lt;&gt;"","ACTUALIZADO POR EYR","SIN REPORTE EYR")))</f>
        <v/>
      </c>
    </row>
    <row r="4150" spans="11:30" x14ac:dyDescent="0.3">
      <c r="K4150" s="1" t="str">
        <f ca="1">IF(A4150="","",IF(OR(L4150="ENTREGADA",L4150="RETORNADA",L4150="ENTREGA DIGITAL"),0,MAX(0,5-NETWORKDAYS(H4150+1,TODAY()))))</f>
        <v/>
      </c>
      <c r="L4150" t="str">
        <f>IF(A4150="","",IFERROR(LOOKUP(2,1/(#REF!=Z4150),#REF!),Y4150))</f>
        <v/>
      </c>
      <c r="Z4150" t="str">
        <f>IF(A4150="","",TEXT(A4150,"0")&amp;"|"&amp;TEXT(H4150,"0"))</f>
        <v/>
      </c>
      <c r="AA4150" t="str">
        <f>IF(Z4150="","",IFERROR(LOOKUP(2,1/(#REF!=Z4150),#REF!),""))</f>
        <v/>
      </c>
      <c r="AB4150" t="str">
        <f>IF(Z4150="","",IFERROR(LOOKUP(2,1/(#REF!=Z4150),#REF!),""))</f>
        <v/>
      </c>
      <c r="AC4150" t="str">
        <f>IF(Z4150="","",COUNTIF(#REF!,Z4150))</f>
        <v/>
      </c>
      <c r="AD4150" t="str">
        <f>IF(A4150="","",IF(AC4150&gt;1,"REVISAR DUPLICADO",IF(AA4150&lt;&gt;"","ACTUALIZADO POR EYR","SIN REPORTE EYR")))</f>
        <v/>
      </c>
    </row>
    <row r="4151" spans="11:30" x14ac:dyDescent="0.3">
      <c r="K4151" s="1" t="str">
        <f ca="1">IF(A4151="","",IF(OR(L4151="ENTREGADA",L4151="RETORNADA",L4151="ENTREGA DIGITAL"),0,MAX(0,5-NETWORKDAYS(H4151+1,TODAY()))))</f>
        <v/>
      </c>
      <c r="L4151" t="str">
        <f>IF(A4151="","",IFERROR(LOOKUP(2,1/(#REF!=Z4151),#REF!),Y4151))</f>
        <v/>
      </c>
      <c r="Z4151" t="str">
        <f>IF(A4151="","",TEXT(A4151,"0")&amp;"|"&amp;TEXT(H4151,"0"))</f>
        <v/>
      </c>
      <c r="AA4151" t="str">
        <f>IF(Z4151="","",IFERROR(LOOKUP(2,1/(#REF!=Z4151),#REF!),""))</f>
        <v/>
      </c>
      <c r="AB4151" t="str">
        <f>IF(Z4151="","",IFERROR(LOOKUP(2,1/(#REF!=Z4151),#REF!),""))</f>
        <v/>
      </c>
      <c r="AC4151" t="str">
        <f>IF(Z4151="","",COUNTIF(#REF!,Z4151))</f>
        <v/>
      </c>
      <c r="AD4151" t="str">
        <f>IF(A4151="","",IF(AC4151&gt;1,"REVISAR DUPLICADO",IF(AA4151&lt;&gt;"","ACTUALIZADO POR EYR","SIN REPORTE EYR")))</f>
        <v/>
      </c>
    </row>
    <row r="4152" spans="11:30" x14ac:dyDescent="0.3">
      <c r="K4152" s="1" t="str">
        <f ca="1">IF(A4152="","",IF(OR(L4152="ENTREGADA",L4152="RETORNADA",L4152="ENTREGA DIGITAL"),0,MAX(0,5-NETWORKDAYS(H4152+1,TODAY()))))</f>
        <v/>
      </c>
      <c r="L4152" t="str">
        <f>IF(A4152="","",IFERROR(LOOKUP(2,1/(#REF!=Z4152),#REF!),Y4152))</f>
        <v/>
      </c>
      <c r="Z4152" t="str">
        <f>IF(A4152="","",TEXT(A4152,"0")&amp;"|"&amp;TEXT(H4152,"0"))</f>
        <v/>
      </c>
      <c r="AA4152" t="str">
        <f>IF(Z4152="","",IFERROR(LOOKUP(2,1/(#REF!=Z4152),#REF!),""))</f>
        <v/>
      </c>
      <c r="AB4152" t="str">
        <f>IF(Z4152="","",IFERROR(LOOKUP(2,1/(#REF!=Z4152),#REF!),""))</f>
        <v/>
      </c>
      <c r="AC4152" t="str">
        <f>IF(Z4152="","",COUNTIF(#REF!,Z4152))</f>
        <v/>
      </c>
      <c r="AD4152" t="str">
        <f>IF(A4152="","",IF(AC4152&gt;1,"REVISAR DUPLICADO",IF(AA4152&lt;&gt;"","ACTUALIZADO POR EYR","SIN REPORTE EYR")))</f>
        <v/>
      </c>
    </row>
    <row r="4153" spans="11:30" x14ac:dyDescent="0.3">
      <c r="K4153" s="1" t="str">
        <f ca="1">IF(A4153="","",IF(OR(L4153="ENTREGADA",L4153="RETORNADA",L4153="ENTREGA DIGITAL"),0,MAX(0,5-NETWORKDAYS(H4153+1,TODAY()))))</f>
        <v/>
      </c>
      <c r="L4153" t="str">
        <f>IF(A4153="","",IFERROR(LOOKUP(2,1/(#REF!=Z4153),#REF!),Y4153))</f>
        <v/>
      </c>
      <c r="Z4153" t="str">
        <f>IF(A4153="","",TEXT(A4153,"0")&amp;"|"&amp;TEXT(H4153,"0"))</f>
        <v/>
      </c>
      <c r="AA4153" t="str">
        <f>IF(Z4153="","",IFERROR(LOOKUP(2,1/(#REF!=Z4153),#REF!),""))</f>
        <v/>
      </c>
      <c r="AB4153" t="str">
        <f>IF(Z4153="","",IFERROR(LOOKUP(2,1/(#REF!=Z4153),#REF!),""))</f>
        <v/>
      </c>
      <c r="AC4153" t="str">
        <f>IF(Z4153="","",COUNTIF(#REF!,Z4153))</f>
        <v/>
      </c>
      <c r="AD4153" t="str">
        <f>IF(A4153="","",IF(AC4153&gt;1,"REVISAR DUPLICADO",IF(AA4153&lt;&gt;"","ACTUALIZADO POR EYR","SIN REPORTE EYR")))</f>
        <v/>
      </c>
    </row>
    <row r="4154" spans="11:30" x14ac:dyDescent="0.3">
      <c r="K4154" s="1" t="str">
        <f ca="1">IF(A4154="","",IF(OR(L4154="ENTREGADA",L4154="RETORNADA",L4154="ENTREGA DIGITAL"),0,MAX(0,5-NETWORKDAYS(H4154+1,TODAY()))))</f>
        <v/>
      </c>
      <c r="L4154" t="str">
        <f>IF(A4154="","",IFERROR(LOOKUP(2,1/(#REF!=Z4154),#REF!),Y4154))</f>
        <v/>
      </c>
      <c r="Z4154" t="str">
        <f>IF(A4154="","",TEXT(A4154,"0")&amp;"|"&amp;TEXT(H4154,"0"))</f>
        <v/>
      </c>
      <c r="AA4154" t="str">
        <f>IF(Z4154="","",IFERROR(LOOKUP(2,1/(#REF!=Z4154),#REF!),""))</f>
        <v/>
      </c>
      <c r="AB4154" t="str">
        <f>IF(Z4154="","",IFERROR(LOOKUP(2,1/(#REF!=Z4154),#REF!),""))</f>
        <v/>
      </c>
      <c r="AC4154" t="str">
        <f>IF(Z4154="","",COUNTIF(#REF!,Z4154))</f>
        <v/>
      </c>
      <c r="AD4154" t="str">
        <f>IF(A4154="","",IF(AC4154&gt;1,"REVISAR DUPLICADO",IF(AA4154&lt;&gt;"","ACTUALIZADO POR EYR","SIN REPORTE EYR")))</f>
        <v/>
      </c>
    </row>
    <row r="4155" spans="11:30" x14ac:dyDescent="0.3">
      <c r="K4155" s="1" t="str">
        <f ca="1">IF(A4155="","",IF(OR(L4155="ENTREGADA",L4155="RETORNADA",L4155="ENTREGA DIGITAL"),0,MAX(0,5-NETWORKDAYS(H4155+1,TODAY()))))</f>
        <v/>
      </c>
      <c r="L4155" t="str">
        <f>IF(A4155="","",IFERROR(LOOKUP(2,1/(#REF!=Z4155),#REF!),Y4155))</f>
        <v/>
      </c>
      <c r="Z4155" t="str">
        <f>IF(A4155="","",TEXT(A4155,"0")&amp;"|"&amp;TEXT(H4155,"0"))</f>
        <v/>
      </c>
      <c r="AA4155" t="str">
        <f>IF(Z4155="","",IFERROR(LOOKUP(2,1/(#REF!=Z4155),#REF!),""))</f>
        <v/>
      </c>
      <c r="AB4155" t="str">
        <f>IF(Z4155="","",IFERROR(LOOKUP(2,1/(#REF!=Z4155),#REF!),""))</f>
        <v/>
      </c>
      <c r="AC4155" t="str">
        <f>IF(Z4155="","",COUNTIF(#REF!,Z4155))</f>
        <v/>
      </c>
      <c r="AD4155" t="str">
        <f>IF(A4155="","",IF(AC4155&gt;1,"REVISAR DUPLICADO",IF(AA4155&lt;&gt;"","ACTUALIZADO POR EYR","SIN REPORTE EYR")))</f>
        <v/>
      </c>
    </row>
    <row r="4156" spans="11:30" x14ac:dyDescent="0.3">
      <c r="K4156" s="1" t="str">
        <f ca="1">IF(A4156="","",IF(OR(L4156="ENTREGADA",L4156="RETORNADA",L4156="ENTREGA DIGITAL"),0,MAX(0,5-NETWORKDAYS(H4156+1,TODAY()))))</f>
        <v/>
      </c>
      <c r="L4156" t="str">
        <f>IF(A4156="","",IFERROR(LOOKUP(2,1/(#REF!=Z4156),#REF!),Y4156))</f>
        <v/>
      </c>
      <c r="Z4156" t="str">
        <f>IF(A4156="","",TEXT(A4156,"0")&amp;"|"&amp;TEXT(H4156,"0"))</f>
        <v/>
      </c>
      <c r="AA4156" t="str">
        <f>IF(Z4156="","",IFERROR(LOOKUP(2,1/(#REF!=Z4156),#REF!),""))</f>
        <v/>
      </c>
      <c r="AB4156" t="str">
        <f>IF(Z4156="","",IFERROR(LOOKUP(2,1/(#REF!=Z4156),#REF!),""))</f>
        <v/>
      </c>
      <c r="AC4156" t="str">
        <f>IF(Z4156="","",COUNTIF(#REF!,Z4156))</f>
        <v/>
      </c>
      <c r="AD4156" t="str">
        <f>IF(A4156="","",IF(AC4156&gt;1,"REVISAR DUPLICADO",IF(AA4156&lt;&gt;"","ACTUALIZADO POR EYR","SIN REPORTE EYR")))</f>
        <v/>
      </c>
    </row>
    <row r="4157" spans="11:30" x14ac:dyDescent="0.3">
      <c r="K4157" s="1" t="str">
        <f ca="1">IF(A4157="","",IF(OR(L4157="ENTREGADA",L4157="RETORNADA",L4157="ENTREGA DIGITAL"),0,MAX(0,5-NETWORKDAYS(H4157+1,TODAY()))))</f>
        <v/>
      </c>
      <c r="L4157" t="str">
        <f>IF(A4157="","",IFERROR(LOOKUP(2,1/(#REF!=Z4157),#REF!),Y4157))</f>
        <v/>
      </c>
      <c r="Z4157" t="str">
        <f>IF(A4157="","",TEXT(A4157,"0")&amp;"|"&amp;TEXT(H4157,"0"))</f>
        <v/>
      </c>
      <c r="AA4157" t="str">
        <f>IF(Z4157="","",IFERROR(LOOKUP(2,1/(#REF!=Z4157),#REF!),""))</f>
        <v/>
      </c>
      <c r="AB4157" t="str">
        <f>IF(Z4157="","",IFERROR(LOOKUP(2,1/(#REF!=Z4157),#REF!),""))</f>
        <v/>
      </c>
      <c r="AC4157" t="str">
        <f>IF(Z4157="","",COUNTIF(#REF!,Z4157))</f>
        <v/>
      </c>
      <c r="AD4157" t="str">
        <f>IF(A4157="","",IF(AC4157&gt;1,"REVISAR DUPLICADO",IF(AA4157&lt;&gt;"","ACTUALIZADO POR EYR","SIN REPORTE EYR")))</f>
        <v/>
      </c>
    </row>
    <row r="4158" spans="11:30" x14ac:dyDescent="0.3">
      <c r="K4158" s="1" t="str">
        <f ca="1">IF(A4158="","",IF(OR(L4158="ENTREGADA",L4158="RETORNADA",L4158="ENTREGA DIGITAL"),0,MAX(0,5-NETWORKDAYS(H4158+1,TODAY()))))</f>
        <v/>
      </c>
      <c r="L4158" t="str">
        <f>IF(A4158="","",IFERROR(LOOKUP(2,1/(#REF!=Z4158),#REF!),Y4158))</f>
        <v/>
      </c>
      <c r="Z4158" t="str">
        <f>IF(A4158="","",TEXT(A4158,"0")&amp;"|"&amp;TEXT(H4158,"0"))</f>
        <v/>
      </c>
      <c r="AA4158" t="str">
        <f>IF(Z4158="","",IFERROR(LOOKUP(2,1/(#REF!=Z4158),#REF!),""))</f>
        <v/>
      </c>
      <c r="AB4158" t="str">
        <f>IF(Z4158="","",IFERROR(LOOKUP(2,1/(#REF!=Z4158),#REF!),""))</f>
        <v/>
      </c>
      <c r="AC4158" t="str">
        <f>IF(Z4158="","",COUNTIF(#REF!,Z4158))</f>
        <v/>
      </c>
      <c r="AD4158" t="str">
        <f>IF(A4158="","",IF(AC4158&gt;1,"REVISAR DUPLICADO",IF(AA4158&lt;&gt;"","ACTUALIZADO POR EYR","SIN REPORTE EYR")))</f>
        <v/>
      </c>
    </row>
    <row r="4159" spans="11:30" x14ac:dyDescent="0.3">
      <c r="K4159" s="1" t="str">
        <f ca="1">IF(A4159="","",IF(OR(L4159="ENTREGADA",L4159="RETORNADA",L4159="ENTREGA DIGITAL"),0,MAX(0,5-NETWORKDAYS(H4159+1,TODAY()))))</f>
        <v/>
      </c>
      <c r="L4159" t="str">
        <f>IF(A4159="","",IFERROR(LOOKUP(2,1/(#REF!=Z4159),#REF!),Y4159))</f>
        <v/>
      </c>
      <c r="Z4159" t="str">
        <f>IF(A4159="","",TEXT(A4159,"0")&amp;"|"&amp;TEXT(H4159,"0"))</f>
        <v/>
      </c>
      <c r="AA4159" t="str">
        <f>IF(Z4159="","",IFERROR(LOOKUP(2,1/(#REF!=Z4159),#REF!),""))</f>
        <v/>
      </c>
      <c r="AB4159" t="str">
        <f>IF(Z4159="","",IFERROR(LOOKUP(2,1/(#REF!=Z4159),#REF!),""))</f>
        <v/>
      </c>
      <c r="AC4159" t="str">
        <f>IF(Z4159="","",COUNTIF(#REF!,Z4159))</f>
        <v/>
      </c>
      <c r="AD4159" t="str">
        <f>IF(A4159="","",IF(AC4159&gt;1,"REVISAR DUPLICADO",IF(AA4159&lt;&gt;"","ACTUALIZADO POR EYR","SIN REPORTE EYR")))</f>
        <v/>
      </c>
    </row>
    <row r="4160" spans="11:30" x14ac:dyDescent="0.3">
      <c r="K4160" s="1" t="str">
        <f ca="1">IF(A4160="","",IF(OR(L4160="ENTREGADA",L4160="RETORNADA",L4160="ENTREGA DIGITAL"),0,MAX(0,5-NETWORKDAYS(H4160+1,TODAY()))))</f>
        <v/>
      </c>
      <c r="L4160" t="str">
        <f>IF(A4160="","",IFERROR(LOOKUP(2,1/(#REF!=Z4160),#REF!),Y4160))</f>
        <v/>
      </c>
      <c r="Z4160" t="str">
        <f>IF(A4160="","",TEXT(A4160,"0")&amp;"|"&amp;TEXT(H4160,"0"))</f>
        <v/>
      </c>
      <c r="AA4160" t="str">
        <f>IF(Z4160="","",IFERROR(LOOKUP(2,1/(#REF!=Z4160),#REF!),""))</f>
        <v/>
      </c>
      <c r="AB4160" t="str">
        <f>IF(Z4160="","",IFERROR(LOOKUP(2,1/(#REF!=Z4160),#REF!),""))</f>
        <v/>
      </c>
      <c r="AC4160" t="str">
        <f>IF(Z4160="","",COUNTIF(#REF!,Z4160))</f>
        <v/>
      </c>
      <c r="AD4160" t="str">
        <f>IF(A4160="","",IF(AC4160&gt;1,"REVISAR DUPLICADO",IF(AA4160&lt;&gt;"","ACTUALIZADO POR EYR","SIN REPORTE EYR")))</f>
        <v/>
      </c>
    </row>
    <row r="4161" spans="11:30" x14ac:dyDescent="0.3">
      <c r="K4161" s="1" t="str">
        <f ca="1">IF(A4161="","",IF(OR(L4161="ENTREGADA",L4161="RETORNADA",L4161="ENTREGA DIGITAL"),0,MAX(0,5-NETWORKDAYS(H4161+1,TODAY()))))</f>
        <v/>
      </c>
      <c r="L4161" t="str">
        <f>IF(A4161="","",IFERROR(LOOKUP(2,1/(#REF!=Z4161),#REF!),Y4161))</f>
        <v/>
      </c>
      <c r="Z4161" t="str">
        <f>IF(A4161="","",TEXT(A4161,"0")&amp;"|"&amp;TEXT(H4161,"0"))</f>
        <v/>
      </c>
      <c r="AA4161" t="str">
        <f>IF(Z4161="","",IFERROR(LOOKUP(2,1/(#REF!=Z4161),#REF!),""))</f>
        <v/>
      </c>
      <c r="AB4161" t="str">
        <f>IF(Z4161="","",IFERROR(LOOKUP(2,1/(#REF!=Z4161),#REF!),""))</f>
        <v/>
      </c>
      <c r="AC4161" t="str">
        <f>IF(Z4161="","",COUNTIF(#REF!,Z4161))</f>
        <v/>
      </c>
      <c r="AD4161" t="str">
        <f>IF(A4161="","",IF(AC4161&gt;1,"REVISAR DUPLICADO",IF(AA4161&lt;&gt;"","ACTUALIZADO POR EYR","SIN REPORTE EYR")))</f>
        <v/>
      </c>
    </row>
    <row r="4162" spans="11:30" x14ac:dyDescent="0.3">
      <c r="K4162" s="1" t="str">
        <f ca="1">IF(A4162="","",IF(OR(L4162="ENTREGADA",L4162="RETORNADA",L4162="ENTREGA DIGITAL"),0,MAX(0,5-NETWORKDAYS(H4162+1,TODAY()))))</f>
        <v/>
      </c>
      <c r="L4162" t="str">
        <f>IF(A4162="","",IFERROR(LOOKUP(2,1/(#REF!=Z4162),#REF!),Y4162))</f>
        <v/>
      </c>
      <c r="Z4162" t="str">
        <f>IF(A4162="","",TEXT(A4162,"0")&amp;"|"&amp;TEXT(H4162,"0"))</f>
        <v/>
      </c>
      <c r="AA4162" t="str">
        <f>IF(Z4162="","",IFERROR(LOOKUP(2,1/(#REF!=Z4162),#REF!),""))</f>
        <v/>
      </c>
      <c r="AB4162" t="str">
        <f>IF(Z4162="","",IFERROR(LOOKUP(2,1/(#REF!=Z4162),#REF!),""))</f>
        <v/>
      </c>
      <c r="AC4162" t="str">
        <f>IF(Z4162="","",COUNTIF(#REF!,Z4162))</f>
        <v/>
      </c>
      <c r="AD4162" t="str">
        <f>IF(A4162="","",IF(AC4162&gt;1,"REVISAR DUPLICADO",IF(AA4162&lt;&gt;"","ACTUALIZADO POR EYR","SIN REPORTE EYR")))</f>
        <v/>
      </c>
    </row>
    <row r="4163" spans="11:30" x14ac:dyDescent="0.3">
      <c r="K4163" s="1" t="str">
        <f ca="1">IF(A4163="","",IF(OR(L4163="ENTREGADA",L4163="RETORNADA",L4163="ENTREGA DIGITAL"),0,MAX(0,5-NETWORKDAYS(H4163+1,TODAY()))))</f>
        <v/>
      </c>
      <c r="L4163" t="str">
        <f>IF(A4163="","",IFERROR(LOOKUP(2,1/(#REF!=Z4163),#REF!),Y4163))</f>
        <v/>
      </c>
      <c r="Z4163" t="str">
        <f>IF(A4163="","",TEXT(A4163,"0")&amp;"|"&amp;TEXT(H4163,"0"))</f>
        <v/>
      </c>
      <c r="AA4163" t="str">
        <f>IF(Z4163="","",IFERROR(LOOKUP(2,1/(#REF!=Z4163),#REF!),""))</f>
        <v/>
      </c>
      <c r="AB4163" t="str">
        <f>IF(Z4163="","",IFERROR(LOOKUP(2,1/(#REF!=Z4163),#REF!),""))</f>
        <v/>
      </c>
      <c r="AC4163" t="str">
        <f>IF(Z4163="","",COUNTIF(#REF!,Z4163))</f>
        <v/>
      </c>
      <c r="AD4163" t="str">
        <f>IF(A4163="","",IF(AC4163&gt;1,"REVISAR DUPLICADO",IF(AA4163&lt;&gt;"","ACTUALIZADO POR EYR","SIN REPORTE EYR")))</f>
        <v/>
      </c>
    </row>
    <row r="4164" spans="11:30" x14ac:dyDescent="0.3">
      <c r="K4164" s="1" t="str">
        <f ca="1">IF(A4164="","",IF(OR(L4164="ENTREGADA",L4164="RETORNADA",L4164="ENTREGA DIGITAL"),0,MAX(0,5-NETWORKDAYS(H4164+1,TODAY()))))</f>
        <v/>
      </c>
      <c r="L4164" t="str">
        <f>IF(A4164="","",IFERROR(LOOKUP(2,1/(#REF!=Z4164),#REF!),Y4164))</f>
        <v/>
      </c>
      <c r="Z4164" t="str">
        <f>IF(A4164="","",TEXT(A4164,"0")&amp;"|"&amp;TEXT(H4164,"0"))</f>
        <v/>
      </c>
      <c r="AA4164" t="str">
        <f>IF(Z4164="","",IFERROR(LOOKUP(2,1/(#REF!=Z4164),#REF!),""))</f>
        <v/>
      </c>
      <c r="AB4164" t="str">
        <f>IF(Z4164="","",IFERROR(LOOKUP(2,1/(#REF!=Z4164),#REF!),""))</f>
        <v/>
      </c>
      <c r="AC4164" t="str">
        <f>IF(Z4164="","",COUNTIF(#REF!,Z4164))</f>
        <v/>
      </c>
      <c r="AD4164" t="str">
        <f>IF(A4164="","",IF(AC4164&gt;1,"REVISAR DUPLICADO",IF(AA4164&lt;&gt;"","ACTUALIZADO POR EYR","SIN REPORTE EYR")))</f>
        <v/>
      </c>
    </row>
    <row r="4165" spans="11:30" x14ac:dyDescent="0.3">
      <c r="K4165" s="1" t="str">
        <f ca="1">IF(A4165="","",IF(OR(L4165="ENTREGADA",L4165="RETORNADA",L4165="ENTREGA DIGITAL"),0,MAX(0,5-NETWORKDAYS(H4165+1,TODAY()))))</f>
        <v/>
      </c>
      <c r="L4165" t="str">
        <f>IF(A4165="","",IFERROR(LOOKUP(2,1/(#REF!=Z4165),#REF!),Y4165))</f>
        <v/>
      </c>
      <c r="Z4165" t="str">
        <f>IF(A4165="","",TEXT(A4165,"0")&amp;"|"&amp;TEXT(H4165,"0"))</f>
        <v/>
      </c>
      <c r="AA4165" t="str">
        <f>IF(Z4165="","",IFERROR(LOOKUP(2,1/(#REF!=Z4165),#REF!),""))</f>
        <v/>
      </c>
      <c r="AB4165" t="str">
        <f>IF(Z4165="","",IFERROR(LOOKUP(2,1/(#REF!=Z4165),#REF!),""))</f>
        <v/>
      </c>
      <c r="AC4165" t="str">
        <f>IF(Z4165="","",COUNTIF(#REF!,Z4165))</f>
        <v/>
      </c>
      <c r="AD4165" t="str">
        <f>IF(A4165="","",IF(AC4165&gt;1,"REVISAR DUPLICADO",IF(AA4165&lt;&gt;"","ACTUALIZADO POR EYR","SIN REPORTE EYR")))</f>
        <v/>
      </c>
    </row>
    <row r="4166" spans="11:30" x14ac:dyDescent="0.3">
      <c r="K4166" s="1" t="str">
        <f ca="1">IF(A4166="","",IF(OR(L4166="ENTREGADA",L4166="RETORNADA",L4166="ENTREGA DIGITAL"),0,MAX(0,5-NETWORKDAYS(H4166+1,TODAY()))))</f>
        <v/>
      </c>
      <c r="L4166" t="str">
        <f>IF(A4166="","",IFERROR(LOOKUP(2,1/(#REF!=Z4166),#REF!),Y4166))</f>
        <v/>
      </c>
      <c r="Z4166" t="str">
        <f>IF(A4166="","",TEXT(A4166,"0")&amp;"|"&amp;TEXT(H4166,"0"))</f>
        <v/>
      </c>
      <c r="AA4166" t="str">
        <f>IF(Z4166="","",IFERROR(LOOKUP(2,1/(#REF!=Z4166),#REF!),""))</f>
        <v/>
      </c>
      <c r="AB4166" t="str">
        <f>IF(Z4166="","",IFERROR(LOOKUP(2,1/(#REF!=Z4166),#REF!),""))</f>
        <v/>
      </c>
      <c r="AC4166" t="str">
        <f>IF(Z4166="","",COUNTIF(#REF!,Z4166))</f>
        <v/>
      </c>
      <c r="AD4166" t="str">
        <f>IF(A4166="","",IF(AC4166&gt;1,"REVISAR DUPLICADO",IF(AA4166&lt;&gt;"","ACTUALIZADO POR EYR","SIN REPORTE EYR")))</f>
        <v/>
      </c>
    </row>
    <row r="4167" spans="11:30" x14ac:dyDescent="0.3">
      <c r="K4167" s="1" t="str">
        <f ca="1">IF(A4167="","",IF(OR(L4167="ENTREGADA",L4167="RETORNADA",L4167="ENTREGA DIGITAL"),0,MAX(0,5-NETWORKDAYS(H4167+1,TODAY()))))</f>
        <v/>
      </c>
      <c r="L4167" t="str">
        <f>IF(A4167="","",IFERROR(LOOKUP(2,1/(#REF!=Z4167),#REF!),Y4167))</f>
        <v/>
      </c>
      <c r="Z4167" t="str">
        <f>IF(A4167="","",TEXT(A4167,"0")&amp;"|"&amp;TEXT(H4167,"0"))</f>
        <v/>
      </c>
      <c r="AA4167" t="str">
        <f>IF(Z4167="","",IFERROR(LOOKUP(2,1/(#REF!=Z4167),#REF!),""))</f>
        <v/>
      </c>
      <c r="AB4167" t="str">
        <f>IF(Z4167="","",IFERROR(LOOKUP(2,1/(#REF!=Z4167),#REF!),""))</f>
        <v/>
      </c>
      <c r="AC4167" t="str">
        <f>IF(Z4167="","",COUNTIF(#REF!,Z4167))</f>
        <v/>
      </c>
      <c r="AD4167" t="str">
        <f>IF(A4167="","",IF(AC4167&gt;1,"REVISAR DUPLICADO",IF(AA4167&lt;&gt;"","ACTUALIZADO POR EYR","SIN REPORTE EYR")))</f>
        <v/>
      </c>
    </row>
    <row r="4168" spans="11:30" x14ac:dyDescent="0.3">
      <c r="K4168" s="1" t="str">
        <f ca="1">IF(A4168="","",IF(OR(L4168="ENTREGADA",L4168="RETORNADA",L4168="ENTREGA DIGITAL"),0,MAX(0,5-NETWORKDAYS(H4168+1,TODAY()))))</f>
        <v/>
      </c>
      <c r="L4168" t="str">
        <f>IF(A4168="","",IFERROR(LOOKUP(2,1/(#REF!=Z4168),#REF!),Y4168))</f>
        <v/>
      </c>
      <c r="Z4168" t="str">
        <f>IF(A4168="","",TEXT(A4168,"0")&amp;"|"&amp;TEXT(H4168,"0"))</f>
        <v/>
      </c>
      <c r="AA4168" t="str">
        <f>IF(Z4168="","",IFERROR(LOOKUP(2,1/(#REF!=Z4168),#REF!),""))</f>
        <v/>
      </c>
      <c r="AB4168" t="str">
        <f>IF(Z4168="","",IFERROR(LOOKUP(2,1/(#REF!=Z4168),#REF!),""))</f>
        <v/>
      </c>
      <c r="AC4168" t="str">
        <f>IF(Z4168="","",COUNTIF(#REF!,Z4168))</f>
        <v/>
      </c>
      <c r="AD4168" t="str">
        <f>IF(A4168="","",IF(AC4168&gt;1,"REVISAR DUPLICADO",IF(AA4168&lt;&gt;"","ACTUALIZADO POR EYR","SIN REPORTE EYR")))</f>
        <v/>
      </c>
    </row>
    <row r="4169" spans="11:30" x14ac:dyDescent="0.3">
      <c r="K4169" s="1" t="str">
        <f ca="1">IF(A4169="","",IF(OR(L4169="ENTREGADA",L4169="RETORNADA",L4169="ENTREGA DIGITAL"),0,MAX(0,5-NETWORKDAYS(H4169+1,TODAY()))))</f>
        <v/>
      </c>
      <c r="L4169" t="str">
        <f>IF(A4169="","",IFERROR(LOOKUP(2,1/(#REF!=Z4169),#REF!),Y4169))</f>
        <v/>
      </c>
      <c r="Z4169" t="str">
        <f>IF(A4169="","",TEXT(A4169,"0")&amp;"|"&amp;TEXT(H4169,"0"))</f>
        <v/>
      </c>
      <c r="AA4169" t="str">
        <f>IF(Z4169="","",IFERROR(LOOKUP(2,1/(#REF!=Z4169),#REF!),""))</f>
        <v/>
      </c>
      <c r="AB4169" t="str">
        <f>IF(Z4169="","",IFERROR(LOOKUP(2,1/(#REF!=Z4169),#REF!),""))</f>
        <v/>
      </c>
      <c r="AC4169" t="str">
        <f>IF(Z4169="","",COUNTIF(#REF!,Z4169))</f>
        <v/>
      </c>
      <c r="AD4169" t="str">
        <f>IF(A4169="","",IF(AC4169&gt;1,"REVISAR DUPLICADO",IF(AA4169&lt;&gt;"","ACTUALIZADO POR EYR","SIN REPORTE EYR")))</f>
        <v/>
      </c>
    </row>
    <row r="4170" spans="11:30" x14ac:dyDescent="0.3">
      <c r="K4170" s="1" t="str">
        <f ca="1">IF(A4170="","",IF(OR(L4170="ENTREGADA",L4170="RETORNADA",L4170="ENTREGA DIGITAL"),0,MAX(0,5-NETWORKDAYS(H4170+1,TODAY()))))</f>
        <v/>
      </c>
      <c r="L4170" t="str">
        <f>IF(A4170="","",IFERROR(LOOKUP(2,1/(#REF!=Z4170),#REF!),Y4170))</f>
        <v/>
      </c>
      <c r="Z4170" t="str">
        <f>IF(A4170="","",TEXT(A4170,"0")&amp;"|"&amp;TEXT(H4170,"0"))</f>
        <v/>
      </c>
      <c r="AA4170" t="str">
        <f>IF(Z4170="","",IFERROR(LOOKUP(2,1/(#REF!=Z4170),#REF!),""))</f>
        <v/>
      </c>
      <c r="AB4170" t="str">
        <f>IF(Z4170="","",IFERROR(LOOKUP(2,1/(#REF!=Z4170),#REF!),""))</f>
        <v/>
      </c>
      <c r="AC4170" t="str">
        <f>IF(Z4170="","",COUNTIF(#REF!,Z4170))</f>
        <v/>
      </c>
      <c r="AD4170" t="str">
        <f>IF(A4170="","",IF(AC4170&gt;1,"REVISAR DUPLICADO",IF(AA4170&lt;&gt;"","ACTUALIZADO POR EYR","SIN REPORTE EYR")))</f>
        <v/>
      </c>
    </row>
    <row r="4171" spans="11:30" x14ac:dyDescent="0.3">
      <c r="K4171" s="1" t="str">
        <f ca="1">IF(A4171="","",IF(OR(L4171="ENTREGADA",L4171="RETORNADA",L4171="ENTREGA DIGITAL"),0,MAX(0,5-NETWORKDAYS(H4171+1,TODAY()))))</f>
        <v/>
      </c>
      <c r="L4171" t="str">
        <f>IF(A4171="","",IFERROR(LOOKUP(2,1/(#REF!=Z4171),#REF!),Y4171))</f>
        <v/>
      </c>
      <c r="Z4171" t="str">
        <f>IF(A4171="","",TEXT(A4171,"0")&amp;"|"&amp;TEXT(H4171,"0"))</f>
        <v/>
      </c>
      <c r="AA4171" t="str">
        <f>IF(Z4171="","",IFERROR(LOOKUP(2,1/(#REF!=Z4171),#REF!),""))</f>
        <v/>
      </c>
      <c r="AB4171" t="str">
        <f>IF(Z4171="","",IFERROR(LOOKUP(2,1/(#REF!=Z4171),#REF!),""))</f>
        <v/>
      </c>
      <c r="AC4171" t="str">
        <f>IF(Z4171="","",COUNTIF(#REF!,Z4171))</f>
        <v/>
      </c>
      <c r="AD4171" t="str">
        <f>IF(A4171="","",IF(AC4171&gt;1,"REVISAR DUPLICADO",IF(AA4171&lt;&gt;"","ACTUALIZADO POR EYR","SIN REPORTE EYR")))</f>
        <v/>
      </c>
    </row>
    <row r="4172" spans="11:30" x14ac:dyDescent="0.3">
      <c r="K4172" s="1" t="str">
        <f ca="1">IF(A4172="","",IF(OR(L4172="ENTREGADA",L4172="RETORNADA",L4172="ENTREGA DIGITAL"),0,MAX(0,5-NETWORKDAYS(H4172+1,TODAY()))))</f>
        <v/>
      </c>
      <c r="L4172" t="str">
        <f>IF(A4172="","",IFERROR(LOOKUP(2,1/(#REF!=Z4172),#REF!),Y4172))</f>
        <v/>
      </c>
      <c r="Z4172" t="str">
        <f>IF(A4172="","",TEXT(A4172,"0")&amp;"|"&amp;TEXT(H4172,"0"))</f>
        <v/>
      </c>
      <c r="AA4172" t="str">
        <f>IF(Z4172="","",IFERROR(LOOKUP(2,1/(#REF!=Z4172),#REF!),""))</f>
        <v/>
      </c>
      <c r="AB4172" t="str">
        <f>IF(Z4172="","",IFERROR(LOOKUP(2,1/(#REF!=Z4172),#REF!),""))</f>
        <v/>
      </c>
      <c r="AC4172" t="str">
        <f>IF(Z4172="","",COUNTIF(#REF!,Z4172))</f>
        <v/>
      </c>
      <c r="AD4172" t="str">
        <f>IF(A4172="","",IF(AC4172&gt;1,"REVISAR DUPLICADO",IF(AA4172&lt;&gt;"","ACTUALIZADO POR EYR","SIN REPORTE EYR")))</f>
        <v/>
      </c>
    </row>
    <row r="4173" spans="11:30" x14ac:dyDescent="0.3">
      <c r="K4173" s="1" t="str">
        <f ca="1">IF(A4173="","",IF(OR(L4173="ENTREGADA",L4173="RETORNADA",L4173="ENTREGA DIGITAL"),0,MAX(0,5-NETWORKDAYS(H4173+1,TODAY()))))</f>
        <v/>
      </c>
      <c r="L4173" t="str">
        <f>IF(A4173="","",IFERROR(LOOKUP(2,1/(#REF!=Z4173),#REF!),Y4173))</f>
        <v/>
      </c>
      <c r="Z4173" t="str">
        <f>IF(A4173="","",TEXT(A4173,"0")&amp;"|"&amp;TEXT(H4173,"0"))</f>
        <v/>
      </c>
      <c r="AA4173" t="str">
        <f>IF(Z4173="","",IFERROR(LOOKUP(2,1/(#REF!=Z4173),#REF!),""))</f>
        <v/>
      </c>
      <c r="AB4173" t="str">
        <f>IF(Z4173="","",IFERROR(LOOKUP(2,1/(#REF!=Z4173),#REF!),""))</f>
        <v/>
      </c>
      <c r="AC4173" t="str">
        <f>IF(Z4173="","",COUNTIF(#REF!,Z4173))</f>
        <v/>
      </c>
      <c r="AD4173" t="str">
        <f>IF(A4173="","",IF(AC4173&gt;1,"REVISAR DUPLICADO",IF(AA4173&lt;&gt;"","ACTUALIZADO POR EYR","SIN REPORTE EYR")))</f>
        <v/>
      </c>
    </row>
    <row r="4174" spans="11:30" x14ac:dyDescent="0.3">
      <c r="K4174" s="1" t="str">
        <f ca="1">IF(A4174="","",IF(OR(L4174="ENTREGADA",L4174="RETORNADA",L4174="ENTREGA DIGITAL"),0,MAX(0,5-NETWORKDAYS(H4174+1,TODAY()))))</f>
        <v/>
      </c>
      <c r="L4174" t="str">
        <f>IF(A4174="","",IFERROR(LOOKUP(2,1/(#REF!=Z4174),#REF!),Y4174))</f>
        <v/>
      </c>
      <c r="Z4174" t="str">
        <f>IF(A4174="","",TEXT(A4174,"0")&amp;"|"&amp;TEXT(H4174,"0"))</f>
        <v/>
      </c>
      <c r="AA4174" t="str">
        <f>IF(Z4174="","",IFERROR(LOOKUP(2,1/(#REF!=Z4174),#REF!),""))</f>
        <v/>
      </c>
      <c r="AB4174" t="str">
        <f>IF(Z4174="","",IFERROR(LOOKUP(2,1/(#REF!=Z4174),#REF!),""))</f>
        <v/>
      </c>
      <c r="AC4174" t="str">
        <f>IF(Z4174="","",COUNTIF(#REF!,Z4174))</f>
        <v/>
      </c>
      <c r="AD4174" t="str">
        <f>IF(A4174="","",IF(AC4174&gt;1,"REVISAR DUPLICADO",IF(AA4174&lt;&gt;"","ACTUALIZADO POR EYR","SIN REPORTE EYR")))</f>
        <v/>
      </c>
    </row>
    <row r="4175" spans="11:30" x14ac:dyDescent="0.3">
      <c r="K4175" s="1" t="str">
        <f ca="1">IF(A4175="","",IF(OR(L4175="ENTREGADA",L4175="RETORNADA",L4175="ENTREGA DIGITAL"),0,MAX(0,5-NETWORKDAYS(H4175+1,TODAY()))))</f>
        <v/>
      </c>
      <c r="L4175" t="str">
        <f>IF(A4175="","",IFERROR(LOOKUP(2,1/(#REF!=Z4175),#REF!),Y4175))</f>
        <v/>
      </c>
      <c r="Z4175" t="str">
        <f>IF(A4175="","",TEXT(A4175,"0")&amp;"|"&amp;TEXT(H4175,"0"))</f>
        <v/>
      </c>
      <c r="AA4175" t="str">
        <f>IF(Z4175="","",IFERROR(LOOKUP(2,1/(#REF!=Z4175),#REF!),""))</f>
        <v/>
      </c>
      <c r="AB4175" t="str">
        <f>IF(Z4175="","",IFERROR(LOOKUP(2,1/(#REF!=Z4175),#REF!),""))</f>
        <v/>
      </c>
      <c r="AC4175" t="str">
        <f>IF(Z4175="","",COUNTIF(#REF!,Z4175))</f>
        <v/>
      </c>
      <c r="AD4175" t="str">
        <f>IF(A4175="","",IF(AC4175&gt;1,"REVISAR DUPLICADO",IF(AA4175&lt;&gt;"","ACTUALIZADO POR EYR","SIN REPORTE EYR")))</f>
        <v/>
      </c>
    </row>
    <row r="4176" spans="11:30" x14ac:dyDescent="0.3">
      <c r="K4176" s="1" t="str">
        <f ca="1">IF(A4176="","",IF(OR(L4176="ENTREGADA",L4176="RETORNADA",L4176="ENTREGA DIGITAL"),0,MAX(0,5-NETWORKDAYS(H4176+1,TODAY()))))</f>
        <v/>
      </c>
      <c r="L4176" t="str">
        <f>IF(A4176="","",IFERROR(LOOKUP(2,1/(#REF!=Z4176),#REF!),Y4176))</f>
        <v/>
      </c>
      <c r="Z4176" t="str">
        <f>IF(A4176="","",TEXT(A4176,"0")&amp;"|"&amp;TEXT(H4176,"0"))</f>
        <v/>
      </c>
      <c r="AA4176" t="str">
        <f>IF(Z4176="","",IFERROR(LOOKUP(2,1/(#REF!=Z4176),#REF!),""))</f>
        <v/>
      </c>
      <c r="AB4176" t="str">
        <f>IF(Z4176="","",IFERROR(LOOKUP(2,1/(#REF!=Z4176),#REF!),""))</f>
        <v/>
      </c>
      <c r="AC4176" t="str">
        <f>IF(Z4176="","",COUNTIF(#REF!,Z4176))</f>
        <v/>
      </c>
      <c r="AD4176" t="str">
        <f>IF(A4176="","",IF(AC4176&gt;1,"REVISAR DUPLICADO",IF(AA4176&lt;&gt;"","ACTUALIZADO POR EYR","SIN REPORTE EYR")))</f>
        <v/>
      </c>
    </row>
    <row r="4177" spans="11:30" x14ac:dyDescent="0.3">
      <c r="K4177" s="1" t="str">
        <f ca="1">IF(A4177="","",IF(OR(L4177="ENTREGADA",L4177="RETORNADA",L4177="ENTREGA DIGITAL"),0,MAX(0,5-NETWORKDAYS(H4177+1,TODAY()))))</f>
        <v/>
      </c>
      <c r="L4177" t="str">
        <f>IF(A4177="","",IFERROR(LOOKUP(2,1/(#REF!=Z4177),#REF!),Y4177))</f>
        <v/>
      </c>
      <c r="Z4177" t="str">
        <f>IF(A4177="","",TEXT(A4177,"0")&amp;"|"&amp;TEXT(H4177,"0"))</f>
        <v/>
      </c>
      <c r="AA4177" t="str">
        <f>IF(Z4177="","",IFERROR(LOOKUP(2,1/(#REF!=Z4177),#REF!),""))</f>
        <v/>
      </c>
      <c r="AB4177" t="str">
        <f>IF(Z4177="","",IFERROR(LOOKUP(2,1/(#REF!=Z4177),#REF!),""))</f>
        <v/>
      </c>
      <c r="AC4177" t="str">
        <f>IF(Z4177="","",COUNTIF(#REF!,Z4177))</f>
        <v/>
      </c>
      <c r="AD4177" t="str">
        <f>IF(A4177="","",IF(AC4177&gt;1,"REVISAR DUPLICADO",IF(AA4177&lt;&gt;"","ACTUALIZADO POR EYR","SIN REPORTE EYR")))</f>
        <v/>
      </c>
    </row>
    <row r="4178" spans="11:30" x14ac:dyDescent="0.3">
      <c r="K4178" s="1" t="str">
        <f ca="1">IF(A4178="","",IF(OR(L4178="ENTREGADA",L4178="RETORNADA",L4178="ENTREGA DIGITAL"),0,MAX(0,5-NETWORKDAYS(H4178+1,TODAY()))))</f>
        <v/>
      </c>
      <c r="L4178" t="str">
        <f>IF(A4178="","",IFERROR(LOOKUP(2,1/(#REF!=Z4178),#REF!),Y4178))</f>
        <v/>
      </c>
      <c r="Z4178" t="str">
        <f>IF(A4178="","",TEXT(A4178,"0")&amp;"|"&amp;TEXT(H4178,"0"))</f>
        <v/>
      </c>
      <c r="AA4178" t="str">
        <f>IF(Z4178="","",IFERROR(LOOKUP(2,1/(#REF!=Z4178),#REF!),""))</f>
        <v/>
      </c>
      <c r="AB4178" t="str">
        <f>IF(Z4178="","",IFERROR(LOOKUP(2,1/(#REF!=Z4178),#REF!),""))</f>
        <v/>
      </c>
      <c r="AC4178" t="str">
        <f>IF(Z4178="","",COUNTIF(#REF!,Z4178))</f>
        <v/>
      </c>
      <c r="AD4178" t="str">
        <f>IF(A4178="","",IF(AC4178&gt;1,"REVISAR DUPLICADO",IF(AA4178&lt;&gt;"","ACTUALIZADO POR EYR","SIN REPORTE EYR")))</f>
        <v/>
      </c>
    </row>
    <row r="4179" spans="11:30" x14ac:dyDescent="0.3">
      <c r="K4179" s="1" t="str">
        <f ca="1">IF(A4179="","",IF(OR(L4179="ENTREGADA",L4179="RETORNADA",L4179="ENTREGA DIGITAL"),0,MAX(0,5-NETWORKDAYS(H4179+1,TODAY()))))</f>
        <v/>
      </c>
      <c r="L4179" t="str">
        <f>IF(A4179="","",IFERROR(LOOKUP(2,1/(#REF!=Z4179),#REF!),Y4179))</f>
        <v/>
      </c>
      <c r="Z4179" t="str">
        <f>IF(A4179="","",TEXT(A4179,"0")&amp;"|"&amp;TEXT(H4179,"0"))</f>
        <v/>
      </c>
      <c r="AA4179" t="str">
        <f>IF(Z4179="","",IFERROR(LOOKUP(2,1/(#REF!=Z4179),#REF!),""))</f>
        <v/>
      </c>
      <c r="AB4179" t="str">
        <f>IF(Z4179="","",IFERROR(LOOKUP(2,1/(#REF!=Z4179),#REF!),""))</f>
        <v/>
      </c>
      <c r="AC4179" t="str">
        <f>IF(Z4179="","",COUNTIF(#REF!,Z4179))</f>
        <v/>
      </c>
      <c r="AD4179" t="str">
        <f>IF(A4179="","",IF(AC4179&gt;1,"REVISAR DUPLICADO",IF(AA4179&lt;&gt;"","ACTUALIZADO POR EYR","SIN REPORTE EYR")))</f>
        <v/>
      </c>
    </row>
    <row r="4180" spans="11:30" x14ac:dyDescent="0.3">
      <c r="K4180" s="1" t="str">
        <f ca="1">IF(A4180="","",IF(OR(L4180="ENTREGADA",L4180="RETORNADA",L4180="ENTREGA DIGITAL"),0,MAX(0,5-NETWORKDAYS(H4180+1,TODAY()))))</f>
        <v/>
      </c>
      <c r="L4180" t="str">
        <f>IF(A4180="","",IFERROR(LOOKUP(2,1/(#REF!=Z4180),#REF!),Y4180))</f>
        <v/>
      </c>
      <c r="Z4180" t="str">
        <f>IF(A4180="","",TEXT(A4180,"0")&amp;"|"&amp;TEXT(H4180,"0"))</f>
        <v/>
      </c>
      <c r="AA4180" t="str">
        <f>IF(Z4180="","",IFERROR(LOOKUP(2,1/(#REF!=Z4180),#REF!),""))</f>
        <v/>
      </c>
      <c r="AB4180" t="str">
        <f>IF(Z4180="","",IFERROR(LOOKUP(2,1/(#REF!=Z4180),#REF!),""))</f>
        <v/>
      </c>
      <c r="AC4180" t="str">
        <f>IF(Z4180="","",COUNTIF(#REF!,Z4180))</f>
        <v/>
      </c>
      <c r="AD4180" t="str">
        <f>IF(A4180="","",IF(AC4180&gt;1,"REVISAR DUPLICADO",IF(AA4180&lt;&gt;"","ACTUALIZADO POR EYR","SIN REPORTE EYR")))</f>
        <v/>
      </c>
    </row>
    <row r="4181" spans="11:30" x14ac:dyDescent="0.3">
      <c r="K4181" s="1" t="str">
        <f ca="1">IF(A4181="","",IF(OR(L4181="ENTREGADA",L4181="RETORNADA",L4181="ENTREGA DIGITAL"),0,MAX(0,5-NETWORKDAYS(H4181+1,TODAY()))))</f>
        <v/>
      </c>
      <c r="L4181" t="str">
        <f>IF(A4181="","",IFERROR(LOOKUP(2,1/(#REF!=Z4181),#REF!),Y4181))</f>
        <v/>
      </c>
      <c r="Z4181" t="str">
        <f>IF(A4181="","",TEXT(A4181,"0")&amp;"|"&amp;TEXT(H4181,"0"))</f>
        <v/>
      </c>
      <c r="AA4181" t="str">
        <f>IF(Z4181="","",IFERROR(LOOKUP(2,1/(#REF!=Z4181),#REF!),""))</f>
        <v/>
      </c>
      <c r="AB4181" t="str">
        <f>IF(Z4181="","",IFERROR(LOOKUP(2,1/(#REF!=Z4181),#REF!),""))</f>
        <v/>
      </c>
      <c r="AC4181" t="str">
        <f>IF(Z4181="","",COUNTIF(#REF!,Z4181))</f>
        <v/>
      </c>
      <c r="AD4181" t="str">
        <f>IF(A4181="","",IF(AC4181&gt;1,"REVISAR DUPLICADO",IF(AA4181&lt;&gt;"","ACTUALIZADO POR EYR","SIN REPORTE EYR")))</f>
        <v/>
      </c>
    </row>
    <row r="4182" spans="11:30" x14ac:dyDescent="0.3">
      <c r="K4182" s="1" t="str">
        <f ca="1">IF(A4182="","",IF(OR(L4182="ENTREGADA",L4182="RETORNADA",L4182="ENTREGA DIGITAL"),0,MAX(0,5-NETWORKDAYS(H4182+1,TODAY()))))</f>
        <v/>
      </c>
      <c r="L4182" t="str">
        <f>IF(A4182="","",IFERROR(LOOKUP(2,1/(#REF!=Z4182),#REF!),Y4182))</f>
        <v/>
      </c>
      <c r="Z4182" t="str">
        <f>IF(A4182="","",TEXT(A4182,"0")&amp;"|"&amp;TEXT(H4182,"0"))</f>
        <v/>
      </c>
      <c r="AA4182" t="str">
        <f>IF(Z4182="","",IFERROR(LOOKUP(2,1/(#REF!=Z4182),#REF!),""))</f>
        <v/>
      </c>
      <c r="AB4182" t="str">
        <f>IF(Z4182="","",IFERROR(LOOKUP(2,1/(#REF!=Z4182),#REF!),""))</f>
        <v/>
      </c>
      <c r="AC4182" t="str">
        <f>IF(Z4182="","",COUNTIF(#REF!,Z4182))</f>
        <v/>
      </c>
      <c r="AD4182" t="str">
        <f>IF(A4182="","",IF(AC4182&gt;1,"REVISAR DUPLICADO",IF(AA4182&lt;&gt;"","ACTUALIZADO POR EYR","SIN REPORTE EYR")))</f>
        <v/>
      </c>
    </row>
    <row r="4183" spans="11:30" x14ac:dyDescent="0.3">
      <c r="K4183" s="1" t="str">
        <f ca="1">IF(A4183="","",IF(OR(L4183="ENTREGADA",L4183="RETORNADA",L4183="ENTREGA DIGITAL"),0,MAX(0,5-NETWORKDAYS(H4183+1,TODAY()))))</f>
        <v/>
      </c>
      <c r="L4183" t="str">
        <f>IF(A4183="","",IFERROR(LOOKUP(2,1/(#REF!=Z4183),#REF!),Y4183))</f>
        <v/>
      </c>
      <c r="Z4183" t="str">
        <f>IF(A4183="","",TEXT(A4183,"0")&amp;"|"&amp;TEXT(H4183,"0"))</f>
        <v/>
      </c>
      <c r="AA4183" t="str">
        <f>IF(Z4183="","",IFERROR(LOOKUP(2,1/(#REF!=Z4183),#REF!),""))</f>
        <v/>
      </c>
      <c r="AB4183" t="str">
        <f>IF(Z4183="","",IFERROR(LOOKUP(2,1/(#REF!=Z4183),#REF!),""))</f>
        <v/>
      </c>
      <c r="AC4183" t="str">
        <f>IF(Z4183="","",COUNTIF(#REF!,Z4183))</f>
        <v/>
      </c>
      <c r="AD4183" t="str">
        <f>IF(A4183="","",IF(AC4183&gt;1,"REVISAR DUPLICADO",IF(AA4183&lt;&gt;"","ACTUALIZADO POR EYR","SIN REPORTE EYR")))</f>
        <v/>
      </c>
    </row>
    <row r="4184" spans="11:30" x14ac:dyDescent="0.3">
      <c r="K4184" s="1" t="str">
        <f ca="1">IF(A4184="","",IF(OR(L4184="ENTREGADA",L4184="RETORNADA",L4184="ENTREGA DIGITAL"),0,MAX(0,5-NETWORKDAYS(H4184+1,TODAY()))))</f>
        <v/>
      </c>
      <c r="L4184" t="str">
        <f>IF(A4184="","",IFERROR(LOOKUP(2,1/(#REF!=Z4184),#REF!),Y4184))</f>
        <v/>
      </c>
      <c r="Z4184" t="str">
        <f>IF(A4184="","",TEXT(A4184,"0")&amp;"|"&amp;TEXT(H4184,"0"))</f>
        <v/>
      </c>
      <c r="AA4184" t="str">
        <f>IF(Z4184="","",IFERROR(LOOKUP(2,1/(#REF!=Z4184),#REF!),""))</f>
        <v/>
      </c>
      <c r="AB4184" t="str">
        <f>IF(Z4184="","",IFERROR(LOOKUP(2,1/(#REF!=Z4184),#REF!),""))</f>
        <v/>
      </c>
      <c r="AC4184" t="str">
        <f>IF(Z4184="","",COUNTIF(#REF!,Z4184))</f>
        <v/>
      </c>
      <c r="AD4184" t="str">
        <f>IF(A4184="","",IF(AC4184&gt;1,"REVISAR DUPLICADO",IF(AA4184&lt;&gt;"","ACTUALIZADO POR EYR","SIN REPORTE EYR")))</f>
        <v/>
      </c>
    </row>
    <row r="4185" spans="11:30" x14ac:dyDescent="0.3">
      <c r="K4185" s="1" t="str">
        <f ca="1">IF(A4185="","",IF(OR(L4185="ENTREGADA",L4185="RETORNADA",L4185="ENTREGA DIGITAL"),0,MAX(0,5-NETWORKDAYS(H4185+1,TODAY()))))</f>
        <v/>
      </c>
      <c r="L4185" t="str">
        <f>IF(A4185="","",IFERROR(LOOKUP(2,1/(#REF!=Z4185),#REF!),Y4185))</f>
        <v/>
      </c>
      <c r="Z4185" t="str">
        <f>IF(A4185="","",TEXT(A4185,"0")&amp;"|"&amp;TEXT(H4185,"0"))</f>
        <v/>
      </c>
      <c r="AA4185" t="str">
        <f>IF(Z4185="","",IFERROR(LOOKUP(2,1/(#REF!=Z4185),#REF!),""))</f>
        <v/>
      </c>
      <c r="AB4185" t="str">
        <f>IF(Z4185="","",IFERROR(LOOKUP(2,1/(#REF!=Z4185),#REF!),""))</f>
        <v/>
      </c>
      <c r="AC4185" t="str">
        <f>IF(Z4185="","",COUNTIF(#REF!,Z4185))</f>
        <v/>
      </c>
      <c r="AD4185" t="str">
        <f>IF(A4185="","",IF(AC4185&gt;1,"REVISAR DUPLICADO",IF(AA4185&lt;&gt;"","ACTUALIZADO POR EYR","SIN REPORTE EYR")))</f>
        <v/>
      </c>
    </row>
    <row r="4186" spans="11:30" x14ac:dyDescent="0.3">
      <c r="K4186" s="1" t="str">
        <f ca="1">IF(A4186="","",IF(OR(L4186="ENTREGADA",L4186="RETORNADA",L4186="ENTREGA DIGITAL"),0,MAX(0,5-NETWORKDAYS(H4186+1,TODAY()))))</f>
        <v/>
      </c>
      <c r="L4186" t="str">
        <f>IF(A4186="","",IFERROR(LOOKUP(2,1/(#REF!=Z4186),#REF!),Y4186))</f>
        <v/>
      </c>
      <c r="Z4186" t="str">
        <f>IF(A4186="","",TEXT(A4186,"0")&amp;"|"&amp;TEXT(H4186,"0"))</f>
        <v/>
      </c>
      <c r="AA4186" t="str">
        <f>IF(Z4186="","",IFERROR(LOOKUP(2,1/(#REF!=Z4186),#REF!),""))</f>
        <v/>
      </c>
      <c r="AB4186" t="str">
        <f>IF(Z4186="","",IFERROR(LOOKUP(2,1/(#REF!=Z4186),#REF!),""))</f>
        <v/>
      </c>
      <c r="AC4186" t="str">
        <f>IF(Z4186="","",COUNTIF(#REF!,Z4186))</f>
        <v/>
      </c>
      <c r="AD4186" t="str">
        <f>IF(A4186="","",IF(AC4186&gt;1,"REVISAR DUPLICADO",IF(AA4186&lt;&gt;"","ACTUALIZADO POR EYR","SIN REPORTE EYR")))</f>
        <v/>
      </c>
    </row>
    <row r="4187" spans="11:30" x14ac:dyDescent="0.3">
      <c r="K4187" s="1" t="str">
        <f ca="1">IF(A4187="","",IF(OR(L4187="ENTREGADA",L4187="RETORNADA",L4187="ENTREGA DIGITAL"),0,MAX(0,5-NETWORKDAYS(H4187+1,TODAY()))))</f>
        <v/>
      </c>
      <c r="L4187" t="str">
        <f>IF(A4187="","",IFERROR(LOOKUP(2,1/(#REF!=Z4187),#REF!),Y4187))</f>
        <v/>
      </c>
      <c r="Z4187" t="str">
        <f>IF(A4187="","",TEXT(A4187,"0")&amp;"|"&amp;TEXT(H4187,"0"))</f>
        <v/>
      </c>
      <c r="AA4187" t="str">
        <f>IF(Z4187="","",IFERROR(LOOKUP(2,1/(#REF!=Z4187),#REF!),""))</f>
        <v/>
      </c>
      <c r="AB4187" t="str">
        <f>IF(Z4187="","",IFERROR(LOOKUP(2,1/(#REF!=Z4187),#REF!),""))</f>
        <v/>
      </c>
      <c r="AC4187" t="str">
        <f>IF(Z4187="","",COUNTIF(#REF!,Z4187))</f>
        <v/>
      </c>
      <c r="AD4187" t="str">
        <f>IF(A4187="","",IF(AC4187&gt;1,"REVISAR DUPLICADO",IF(AA4187&lt;&gt;"","ACTUALIZADO POR EYR","SIN REPORTE EYR")))</f>
        <v/>
      </c>
    </row>
    <row r="4188" spans="11:30" x14ac:dyDescent="0.3">
      <c r="K4188" s="1" t="str">
        <f ca="1">IF(A4188="","",IF(OR(L4188="ENTREGADA",L4188="RETORNADA",L4188="ENTREGA DIGITAL"),0,MAX(0,5-NETWORKDAYS(H4188+1,TODAY()))))</f>
        <v/>
      </c>
      <c r="L4188" t="str">
        <f>IF(A4188="","",IFERROR(LOOKUP(2,1/(#REF!=Z4188),#REF!),Y4188))</f>
        <v/>
      </c>
      <c r="Z4188" t="str">
        <f>IF(A4188="","",TEXT(A4188,"0")&amp;"|"&amp;TEXT(H4188,"0"))</f>
        <v/>
      </c>
      <c r="AA4188" t="str">
        <f>IF(Z4188="","",IFERROR(LOOKUP(2,1/(#REF!=Z4188),#REF!),""))</f>
        <v/>
      </c>
      <c r="AB4188" t="str">
        <f>IF(Z4188="","",IFERROR(LOOKUP(2,1/(#REF!=Z4188),#REF!),""))</f>
        <v/>
      </c>
      <c r="AC4188" t="str">
        <f>IF(Z4188="","",COUNTIF(#REF!,Z4188))</f>
        <v/>
      </c>
      <c r="AD4188" t="str">
        <f>IF(A4188="","",IF(AC4188&gt;1,"REVISAR DUPLICADO",IF(AA4188&lt;&gt;"","ACTUALIZADO POR EYR","SIN REPORTE EYR")))</f>
        <v/>
      </c>
    </row>
    <row r="4189" spans="11:30" x14ac:dyDescent="0.3">
      <c r="K4189" s="1" t="str">
        <f ca="1">IF(A4189="","",IF(OR(L4189="ENTREGADA",L4189="RETORNADA",L4189="ENTREGA DIGITAL"),0,MAX(0,5-NETWORKDAYS(H4189+1,TODAY()))))</f>
        <v/>
      </c>
      <c r="L4189" t="str">
        <f>IF(A4189="","",IFERROR(LOOKUP(2,1/(#REF!=Z4189),#REF!),Y4189))</f>
        <v/>
      </c>
      <c r="Z4189" t="str">
        <f>IF(A4189="","",TEXT(A4189,"0")&amp;"|"&amp;TEXT(H4189,"0"))</f>
        <v/>
      </c>
      <c r="AA4189" t="str">
        <f>IF(Z4189="","",IFERROR(LOOKUP(2,1/(#REF!=Z4189),#REF!),""))</f>
        <v/>
      </c>
      <c r="AB4189" t="str">
        <f>IF(Z4189="","",IFERROR(LOOKUP(2,1/(#REF!=Z4189),#REF!),""))</f>
        <v/>
      </c>
      <c r="AC4189" t="str">
        <f>IF(Z4189="","",COUNTIF(#REF!,Z4189))</f>
        <v/>
      </c>
      <c r="AD4189" t="str">
        <f>IF(A4189="","",IF(AC4189&gt;1,"REVISAR DUPLICADO",IF(AA4189&lt;&gt;"","ACTUALIZADO POR EYR","SIN REPORTE EYR")))</f>
        <v/>
      </c>
    </row>
    <row r="4190" spans="11:30" x14ac:dyDescent="0.3">
      <c r="K4190" s="1" t="str">
        <f ca="1">IF(A4190="","",IF(OR(L4190="ENTREGADA",L4190="RETORNADA",L4190="ENTREGA DIGITAL"),0,MAX(0,5-NETWORKDAYS(H4190+1,TODAY()))))</f>
        <v/>
      </c>
      <c r="L4190" t="str">
        <f>IF(A4190="","",IFERROR(LOOKUP(2,1/(#REF!=Z4190),#REF!),Y4190))</f>
        <v/>
      </c>
      <c r="Z4190" t="str">
        <f>IF(A4190="","",TEXT(A4190,"0")&amp;"|"&amp;TEXT(H4190,"0"))</f>
        <v/>
      </c>
      <c r="AA4190" t="str">
        <f>IF(Z4190="","",IFERROR(LOOKUP(2,1/(#REF!=Z4190),#REF!),""))</f>
        <v/>
      </c>
      <c r="AB4190" t="str">
        <f>IF(Z4190="","",IFERROR(LOOKUP(2,1/(#REF!=Z4190),#REF!),""))</f>
        <v/>
      </c>
      <c r="AC4190" t="str">
        <f>IF(Z4190="","",COUNTIF(#REF!,Z4190))</f>
        <v/>
      </c>
      <c r="AD4190" t="str">
        <f>IF(A4190="","",IF(AC4190&gt;1,"REVISAR DUPLICADO",IF(AA4190&lt;&gt;"","ACTUALIZADO POR EYR","SIN REPORTE EYR")))</f>
        <v/>
      </c>
    </row>
    <row r="4191" spans="11:30" x14ac:dyDescent="0.3">
      <c r="K4191" s="1" t="str">
        <f ca="1">IF(A4191="","",IF(OR(L4191="ENTREGADA",L4191="RETORNADA",L4191="ENTREGA DIGITAL"),0,MAX(0,5-NETWORKDAYS(H4191+1,TODAY()))))</f>
        <v/>
      </c>
      <c r="L4191" t="str">
        <f>IF(A4191="","",IFERROR(LOOKUP(2,1/(#REF!=Z4191),#REF!),Y4191))</f>
        <v/>
      </c>
      <c r="Z4191" t="str">
        <f>IF(A4191="","",TEXT(A4191,"0")&amp;"|"&amp;TEXT(H4191,"0"))</f>
        <v/>
      </c>
      <c r="AA4191" t="str">
        <f>IF(Z4191="","",IFERROR(LOOKUP(2,1/(#REF!=Z4191),#REF!),""))</f>
        <v/>
      </c>
      <c r="AB4191" t="str">
        <f>IF(Z4191="","",IFERROR(LOOKUP(2,1/(#REF!=Z4191),#REF!),""))</f>
        <v/>
      </c>
      <c r="AC4191" t="str">
        <f>IF(Z4191="","",COUNTIF(#REF!,Z4191))</f>
        <v/>
      </c>
      <c r="AD4191" t="str">
        <f>IF(A4191="","",IF(AC4191&gt;1,"REVISAR DUPLICADO",IF(AA4191&lt;&gt;"","ACTUALIZADO POR EYR","SIN REPORTE EYR")))</f>
        <v/>
      </c>
    </row>
    <row r="4192" spans="11:30" x14ac:dyDescent="0.3">
      <c r="K4192" s="1" t="str">
        <f ca="1">IF(A4192="","",IF(OR(L4192="ENTREGADA",L4192="RETORNADA",L4192="ENTREGA DIGITAL"),0,MAX(0,5-NETWORKDAYS(H4192+1,TODAY()))))</f>
        <v/>
      </c>
      <c r="L4192" t="str">
        <f>IF(A4192="","",IFERROR(LOOKUP(2,1/(#REF!=Z4192),#REF!),Y4192))</f>
        <v/>
      </c>
      <c r="Z4192" t="str">
        <f>IF(A4192="","",TEXT(A4192,"0")&amp;"|"&amp;TEXT(H4192,"0"))</f>
        <v/>
      </c>
      <c r="AA4192" t="str">
        <f>IF(Z4192="","",IFERROR(LOOKUP(2,1/(#REF!=Z4192),#REF!),""))</f>
        <v/>
      </c>
      <c r="AB4192" t="str">
        <f>IF(Z4192="","",IFERROR(LOOKUP(2,1/(#REF!=Z4192),#REF!),""))</f>
        <v/>
      </c>
      <c r="AC4192" t="str">
        <f>IF(Z4192="","",COUNTIF(#REF!,Z4192))</f>
        <v/>
      </c>
      <c r="AD4192" t="str">
        <f>IF(A4192="","",IF(AC4192&gt;1,"REVISAR DUPLICADO",IF(AA4192&lt;&gt;"","ACTUALIZADO POR EYR","SIN REPORTE EYR")))</f>
        <v/>
      </c>
    </row>
    <row r="4193" spans="11:30" x14ac:dyDescent="0.3">
      <c r="K4193" s="1" t="str">
        <f ca="1">IF(A4193="","",IF(OR(L4193="ENTREGADA",L4193="RETORNADA",L4193="ENTREGA DIGITAL"),0,MAX(0,5-NETWORKDAYS(H4193+1,TODAY()))))</f>
        <v/>
      </c>
      <c r="L4193" t="str">
        <f>IF(A4193="","",IFERROR(LOOKUP(2,1/(#REF!=Z4193),#REF!),Y4193))</f>
        <v/>
      </c>
      <c r="Z4193" t="str">
        <f>IF(A4193="","",TEXT(A4193,"0")&amp;"|"&amp;TEXT(H4193,"0"))</f>
        <v/>
      </c>
      <c r="AA4193" t="str">
        <f>IF(Z4193="","",IFERROR(LOOKUP(2,1/(#REF!=Z4193),#REF!),""))</f>
        <v/>
      </c>
      <c r="AB4193" t="str">
        <f>IF(Z4193="","",IFERROR(LOOKUP(2,1/(#REF!=Z4193),#REF!),""))</f>
        <v/>
      </c>
      <c r="AC4193" t="str">
        <f>IF(Z4193="","",COUNTIF(#REF!,Z4193))</f>
        <v/>
      </c>
      <c r="AD4193" t="str">
        <f>IF(A4193="","",IF(AC4193&gt;1,"REVISAR DUPLICADO",IF(AA4193&lt;&gt;"","ACTUALIZADO POR EYR","SIN REPORTE EYR")))</f>
        <v/>
      </c>
    </row>
    <row r="4194" spans="11:30" x14ac:dyDescent="0.3">
      <c r="K4194" s="1" t="str">
        <f ca="1">IF(A4194="","",IF(OR(L4194="ENTREGADA",L4194="RETORNADA",L4194="ENTREGA DIGITAL"),0,MAX(0,5-NETWORKDAYS(H4194+1,TODAY()))))</f>
        <v/>
      </c>
      <c r="L4194" t="str">
        <f>IF(A4194="","",IFERROR(LOOKUP(2,1/(#REF!=Z4194),#REF!),Y4194))</f>
        <v/>
      </c>
      <c r="Z4194" t="str">
        <f>IF(A4194="","",TEXT(A4194,"0")&amp;"|"&amp;TEXT(H4194,"0"))</f>
        <v/>
      </c>
      <c r="AA4194" t="str">
        <f>IF(Z4194="","",IFERROR(LOOKUP(2,1/(#REF!=Z4194),#REF!),""))</f>
        <v/>
      </c>
      <c r="AB4194" t="str">
        <f>IF(Z4194="","",IFERROR(LOOKUP(2,1/(#REF!=Z4194),#REF!),""))</f>
        <v/>
      </c>
      <c r="AC4194" t="str">
        <f>IF(Z4194="","",COUNTIF(#REF!,Z4194))</f>
        <v/>
      </c>
      <c r="AD4194" t="str">
        <f>IF(A4194="","",IF(AC4194&gt;1,"REVISAR DUPLICADO",IF(AA4194&lt;&gt;"","ACTUALIZADO POR EYR","SIN REPORTE EYR")))</f>
        <v/>
      </c>
    </row>
    <row r="4195" spans="11:30" x14ac:dyDescent="0.3">
      <c r="K4195" s="1" t="str">
        <f ca="1">IF(A4195="","",IF(OR(L4195="ENTREGADA",L4195="RETORNADA",L4195="ENTREGA DIGITAL"),0,MAX(0,5-NETWORKDAYS(H4195+1,TODAY()))))</f>
        <v/>
      </c>
      <c r="L4195" t="str">
        <f>IF(A4195="","",IFERROR(LOOKUP(2,1/(#REF!=Z4195),#REF!),Y4195))</f>
        <v/>
      </c>
      <c r="Z4195" t="str">
        <f>IF(A4195="","",TEXT(A4195,"0")&amp;"|"&amp;TEXT(H4195,"0"))</f>
        <v/>
      </c>
      <c r="AA4195" t="str">
        <f>IF(Z4195="","",IFERROR(LOOKUP(2,1/(#REF!=Z4195),#REF!),""))</f>
        <v/>
      </c>
      <c r="AB4195" t="str">
        <f>IF(Z4195="","",IFERROR(LOOKUP(2,1/(#REF!=Z4195),#REF!),""))</f>
        <v/>
      </c>
      <c r="AC4195" t="str">
        <f>IF(Z4195="","",COUNTIF(#REF!,Z4195))</f>
        <v/>
      </c>
      <c r="AD4195" t="str">
        <f>IF(A4195="","",IF(AC4195&gt;1,"REVISAR DUPLICADO",IF(AA4195&lt;&gt;"","ACTUALIZADO POR EYR","SIN REPORTE EYR")))</f>
        <v/>
      </c>
    </row>
    <row r="4196" spans="11:30" x14ac:dyDescent="0.3">
      <c r="K4196" s="1" t="str">
        <f ca="1">IF(A4196="","",IF(OR(L4196="ENTREGADA",L4196="RETORNADA",L4196="ENTREGA DIGITAL"),0,MAX(0,5-NETWORKDAYS(H4196+1,TODAY()))))</f>
        <v/>
      </c>
      <c r="L4196" t="str">
        <f>IF(A4196="","",IFERROR(LOOKUP(2,1/(#REF!=Z4196),#REF!),Y4196))</f>
        <v/>
      </c>
      <c r="Z4196" t="str">
        <f>IF(A4196="","",TEXT(A4196,"0")&amp;"|"&amp;TEXT(H4196,"0"))</f>
        <v/>
      </c>
      <c r="AA4196" t="str">
        <f>IF(Z4196="","",IFERROR(LOOKUP(2,1/(#REF!=Z4196),#REF!),""))</f>
        <v/>
      </c>
      <c r="AB4196" t="str">
        <f>IF(Z4196="","",IFERROR(LOOKUP(2,1/(#REF!=Z4196),#REF!),""))</f>
        <v/>
      </c>
      <c r="AC4196" t="str">
        <f>IF(Z4196="","",COUNTIF(#REF!,Z4196))</f>
        <v/>
      </c>
      <c r="AD4196" t="str">
        <f>IF(A4196="","",IF(AC4196&gt;1,"REVISAR DUPLICADO",IF(AA4196&lt;&gt;"","ACTUALIZADO POR EYR","SIN REPORTE EYR")))</f>
        <v/>
      </c>
    </row>
    <row r="4197" spans="11:30" x14ac:dyDescent="0.3">
      <c r="K4197" s="1" t="str">
        <f ca="1">IF(A4197="","",IF(OR(L4197="ENTREGADA",L4197="RETORNADA",L4197="ENTREGA DIGITAL"),0,MAX(0,5-NETWORKDAYS(H4197+1,TODAY()))))</f>
        <v/>
      </c>
      <c r="L4197" t="str">
        <f>IF(A4197="","",IFERROR(LOOKUP(2,1/(#REF!=Z4197),#REF!),Y4197))</f>
        <v/>
      </c>
      <c r="Z4197" t="str">
        <f>IF(A4197="","",TEXT(A4197,"0")&amp;"|"&amp;TEXT(H4197,"0"))</f>
        <v/>
      </c>
      <c r="AA4197" t="str">
        <f>IF(Z4197="","",IFERROR(LOOKUP(2,1/(#REF!=Z4197),#REF!),""))</f>
        <v/>
      </c>
      <c r="AB4197" t="str">
        <f>IF(Z4197="","",IFERROR(LOOKUP(2,1/(#REF!=Z4197),#REF!),""))</f>
        <v/>
      </c>
      <c r="AC4197" t="str">
        <f>IF(Z4197="","",COUNTIF(#REF!,Z4197))</f>
        <v/>
      </c>
      <c r="AD4197" t="str">
        <f>IF(A4197="","",IF(AC4197&gt;1,"REVISAR DUPLICADO",IF(AA4197&lt;&gt;"","ACTUALIZADO POR EYR","SIN REPORTE EYR")))</f>
        <v/>
      </c>
    </row>
    <row r="4198" spans="11:30" x14ac:dyDescent="0.3">
      <c r="K4198" s="1" t="str">
        <f ca="1">IF(A4198="","",IF(OR(L4198="ENTREGADA",L4198="RETORNADA",L4198="ENTREGA DIGITAL"),0,MAX(0,5-NETWORKDAYS(H4198+1,TODAY()))))</f>
        <v/>
      </c>
      <c r="L4198" t="str">
        <f>IF(A4198="","",IFERROR(LOOKUP(2,1/(#REF!=Z4198),#REF!),Y4198))</f>
        <v/>
      </c>
      <c r="Z4198" t="str">
        <f>IF(A4198="","",TEXT(A4198,"0")&amp;"|"&amp;TEXT(H4198,"0"))</f>
        <v/>
      </c>
      <c r="AA4198" t="str">
        <f>IF(Z4198="","",IFERROR(LOOKUP(2,1/(#REF!=Z4198),#REF!),""))</f>
        <v/>
      </c>
      <c r="AB4198" t="str">
        <f>IF(Z4198="","",IFERROR(LOOKUP(2,1/(#REF!=Z4198),#REF!),""))</f>
        <v/>
      </c>
      <c r="AC4198" t="str">
        <f>IF(Z4198="","",COUNTIF(#REF!,Z4198))</f>
        <v/>
      </c>
      <c r="AD4198" t="str">
        <f>IF(A4198="","",IF(AC4198&gt;1,"REVISAR DUPLICADO",IF(AA4198&lt;&gt;"","ACTUALIZADO POR EYR","SIN REPORTE EYR")))</f>
        <v/>
      </c>
    </row>
    <row r="4199" spans="11:30" x14ac:dyDescent="0.3">
      <c r="K4199" s="1" t="str">
        <f ca="1">IF(A4199="","",IF(OR(L4199="ENTREGADA",L4199="RETORNADA",L4199="ENTREGA DIGITAL"),0,MAX(0,5-NETWORKDAYS(H4199+1,TODAY()))))</f>
        <v/>
      </c>
      <c r="L4199" t="str">
        <f>IF(A4199="","",IFERROR(LOOKUP(2,1/(#REF!=Z4199),#REF!),Y4199))</f>
        <v/>
      </c>
      <c r="Z4199" t="str">
        <f>IF(A4199="","",TEXT(A4199,"0")&amp;"|"&amp;TEXT(H4199,"0"))</f>
        <v/>
      </c>
      <c r="AA4199" t="str">
        <f>IF(Z4199="","",IFERROR(LOOKUP(2,1/(#REF!=Z4199),#REF!),""))</f>
        <v/>
      </c>
      <c r="AB4199" t="str">
        <f>IF(Z4199="","",IFERROR(LOOKUP(2,1/(#REF!=Z4199),#REF!),""))</f>
        <v/>
      </c>
      <c r="AC4199" t="str">
        <f>IF(Z4199="","",COUNTIF(#REF!,Z4199))</f>
        <v/>
      </c>
      <c r="AD4199" t="str">
        <f>IF(A4199="","",IF(AC4199&gt;1,"REVISAR DUPLICADO",IF(AA4199&lt;&gt;"","ACTUALIZADO POR EYR","SIN REPORTE EYR")))</f>
        <v/>
      </c>
    </row>
    <row r="4200" spans="11:30" x14ac:dyDescent="0.3">
      <c r="K4200" s="1" t="str">
        <f ca="1">IF(A4200="","",IF(OR(L4200="ENTREGADA",L4200="RETORNADA",L4200="ENTREGA DIGITAL"),0,MAX(0,5-NETWORKDAYS(H4200+1,TODAY()))))</f>
        <v/>
      </c>
      <c r="L4200" t="str">
        <f>IF(A4200="","",IFERROR(LOOKUP(2,1/(#REF!=Z4200),#REF!),Y4200))</f>
        <v/>
      </c>
      <c r="Z4200" t="str">
        <f>IF(A4200="","",TEXT(A4200,"0")&amp;"|"&amp;TEXT(H4200,"0"))</f>
        <v/>
      </c>
      <c r="AA4200" t="str">
        <f>IF(Z4200="","",IFERROR(LOOKUP(2,1/(#REF!=Z4200),#REF!),""))</f>
        <v/>
      </c>
      <c r="AB4200" t="str">
        <f>IF(Z4200="","",IFERROR(LOOKUP(2,1/(#REF!=Z4200),#REF!),""))</f>
        <v/>
      </c>
      <c r="AC4200" t="str">
        <f>IF(Z4200="","",COUNTIF(#REF!,Z4200))</f>
        <v/>
      </c>
      <c r="AD4200" t="str">
        <f>IF(A4200="","",IF(AC4200&gt;1,"REVISAR DUPLICADO",IF(AA4200&lt;&gt;"","ACTUALIZADO POR EYR","SIN REPORTE EYR")))</f>
        <v/>
      </c>
    </row>
    <row r="4201" spans="11:30" x14ac:dyDescent="0.3">
      <c r="K4201" s="1" t="str">
        <f ca="1">IF(A4201="","",IF(OR(L4201="ENTREGADA",L4201="RETORNADA",L4201="ENTREGA DIGITAL"),0,MAX(0,5-NETWORKDAYS(H4201+1,TODAY()))))</f>
        <v/>
      </c>
      <c r="L4201" t="str">
        <f>IF(A4201="","",IFERROR(LOOKUP(2,1/(#REF!=Z4201),#REF!),Y4201))</f>
        <v/>
      </c>
      <c r="Z4201" t="str">
        <f>IF(A4201="","",TEXT(A4201,"0")&amp;"|"&amp;TEXT(H4201,"0"))</f>
        <v/>
      </c>
      <c r="AA4201" t="str">
        <f>IF(Z4201="","",IFERROR(LOOKUP(2,1/(#REF!=Z4201),#REF!),""))</f>
        <v/>
      </c>
      <c r="AB4201" t="str">
        <f>IF(Z4201="","",IFERROR(LOOKUP(2,1/(#REF!=Z4201),#REF!),""))</f>
        <v/>
      </c>
      <c r="AC4201" t="str">
        <f>IF(Z4201="","",COUNTIF(#REF!,Z4201))</f>
        <v/>
      </c>
      <c r="AD4201" t="str">
        <f>IF(A4201="","",IF(AC4201&gt;1,"REVISAR DUPLICADO",IF(AA4201&lt;&gt;"","ACTUALIZADO POR EYR","SIN REPORTE EYR")))</f>
        <v/>
      </c>
    </row>
    <row r="4202" spans="11:30" x14ac:dyDescent="0.3">
      <c r="K4202" s="1" t="str">
        <f ca="1">IF(A4202="","",IF(OR(L4202="ENTREGADA",L4202="RETORNADA",L4202="ENTREGA DIGITAL"),0,MAX(0,5-NETWORKDAYS(H4202+1,TODAY()))))</f>
        <v/>
      </c>
      <c r="L4202" t="str">
        <f>IF(A4202="","",IFERROR(LOOKUP(2,1/(#REF!=Z4202),#REF!),Y4202))</f>
        <v/>
      </c>
      <c r="Z4202" t="str">
        <f>IF(A4202="","",TEXT(A4202,"0")&amp;"|"&amp;TEXT(H4202,"0"))</f>
        <v/>
      </c>
      <c r="AA4202" t="str">
        <f>IF(Z4202="","",IFERROR(LOOKUP(2,1/(#REF!=Z4202),#REF!),""))</f>
        <v/>
      </c>
      <c r="AB4202" t="str">
        <f>IF(Z4202="","",IFERROR(LOOKUP(2,1/(#REF!=Z4202),#REF!),""))</f>
        <v/>
      </c>
      <c r="AC4202" t="str">
        <f>IF(Z4202="","",COUNTIF(#REF!,Z4202))</f>
        <v/>
      </c>
      <c r="AD4202" t="str">
        <f>IF(A4202="","",IF(AC4202&gt;1,"REVISAR DUPLICADO",IF(AA4202&lt;&gt;"","ACTUALIZADO POR EYR","SIN REPORTE EYR")))</f>
        <v/>
      </c>
    </row>
    <row r="4203" spans="11:30" x14ac:dyDescent="0.3">
      <c r="K4203" s="1" t="str">
        <f ca="1">IF(A4203="","",IF(OR(L4203="ENTREGADA",L4203="RETORNADA",L4203="ENTREGA DIGITAL"),0,MAX(0,5-NETWORKDAYS(H4203+1,TODAY()))))</f>
        <v/>
      </c>
      <c r="L4203" t="str">
        <f>IF(A4203="","",IFERROR(LOOKUP(2,1/(#REF!=Z4203),#REF!),Y4203))</f>
        <v/>
      </c>
      <c r="Z4203" t="str">
        <f>IF(A4203="","",TEXT(A4203,"0")&amp;"|"&amp;TEXT(H4203,"0"))</f>
        <v/>
      </c>
      <c r="AA4203" t="str">
        <f>IF(Z4203="","",IFERROR(LOOKUP(2,1/(#REF!=Z4203),#REF!),""))</f>
        <v/>
      </c>
      <c r="AB4203" t="str">
        <f>IF(Z4203="","",IFERROR(LOOKUP(2,1/(#REF!=Z4203),#REF!),""))</f>
        <v/>
      </c>
      <c r="AC4203" t="str">
        <f>IF(Z4203="","",COUNTIF(#REF!,Z4203))</f>
        <v/>
      </c>
      <c r="AD4203" t="str">
        <f>IF(A4203="","",IF(AC4203&gt;1,"REVISAR DUPLICADO",IF(AA4203&lt;&gt;"","ACTUALIZADO POR EYR","SIN REPORTE EYR")))</f>
        <v/>
      </c>
    </row>
    <row r="4204" spans="11:30" x14ac:dyDescent="0.3">
      <c r="K4204" s="1" t="str">
        <f ca="1">IF(A4204="","",IF(OR(L4204="ENTREGADA",L4204="RETORNADA",L4204="ENTREGA DIGITAL"),0,MAX(0,5-NETWORKDAYS(H4204+1,TODAY()))))</f>
        <v/>
      </c>
      <c r="L4204" t="str">
        <f>IF(A4204="","",IFERROR(LOOKUP(2,1/(#REF!=Z4204),#REF!),Y4204))</f>
        <v/>
      </c>
      <c r="Z4204" t="str">
        <f>IF(A4204="","",TEXT(A4204,"0")&amp;"|"&amp;TEXT(H4204,"0"))</f>
        <v/>
      </c>
      <c r="AA4204" t="str">
        <f>IF(Z4204="","",IFERROR(LOOKUP(2,1/(#REF!=Z4204),#REF!),""))</f>
        <v/>
      </c>
      <c r="AB4204" t="str">
        <f>IF(Z4204="","",IFERROR(LOOKUP(2,1/(#REF!=Z4204),#REF!),""))</f>
        <v/>
      </c>
      <c r="AC4204" t="str">
        <f>IF(Z4204="","",COUNTIF(#REF!,Z4204))</f>
        <v/>
      </c>
      <c r="AD4204" t="str">
        <f>IF(A4204="","",IF(AC4204&gt;1,"REVISAR DUPLICADO",IF(AA4204&lt;&gt;"","ACTUALIZADO POR EYR","SIN REPORTE EYR")))</f>
        <v/>
      </c>
    </row>
    <row r="4205" spans="11:30" x14ac:dyDescent="0.3">
      <c r="K4205" s="1" t="str">
        <f ca="1">IF(A4205="","",IF(OR(L4205="ENTREGADA",L4205="RETORNADA",L4205="ENTREGA DIGITAL"),0,MAX(0,5-NETWORKDAYS(H4205+1,TODAY()))))</f>
        <v/>
      </c>
      <c r="L4205" t="str">
        <f>IF(A4205="","",IFERROR(LOOKUP(2,1/(#REF!=Z4205),#REF!),Y4205))</f>
        <v/>
      </c>
      <c r="Z4205" t="str">
        <f>IF(A4205="","",TEXT(A4205,"0")&amp;"|"&amp;TEXT(H4205,"0"))</f>
        <v/>
      </c>
      <c r="AA4205" t="str">
        <f>IF(Z4205="","",IFERROR(LOOKUP(2,1/(#REF!=Z4205),#REF!),""))</f>
        <v/>
      </c>
      <c r="AB4205" t="str">
        <f>IF(Z4205="","",IFERROR(LOOKUP(2,1/(#REF!=Z4205),#REF!),""))</f>
        <v/>
      </c>
      <c r="AC4205" t="str">
        <f>IF(Z4205="","",COUNTIF(#REF!,Z4205))</f>
        <v/>
      </c>
      <c r="AD4205" t="str">
        <f>IF(A4205="","",IF(AC4205&gt;1,"REVISAR DUPLICADO",IF(AA4205&lt;&gt;"","ACTUALIZADO POR EYR","SIN REPORTE EYR")))</f>
        <v/>
      </c>
    </row>
    <row r="4206" spans="11:30" x14ac:dyDescent="0.3">
      <c r="K4206" s="1" t="str">
        <f ca="1">IF(A4206="","",IF(OR(L4206="ENTREGADA",L4206="RETORNADA",L4206="ENTREGA DIGITAL"),0,MAX(0,5-NETWORKDAYS(H4206+1,TODAY()))))</f>
        <v/>
      </c>
      <c r="L4206" t="str">
        <f>IF(A4206="","",IFERROR(LOOKUP(2,1/(#REF!=Z4206),#REF!),Y4206))</f>
        <v/>
      </c>
      <c r="Z4206" t="str">
        <f>IF(A4206="","",TEXT(A4206,"0")&amp;"|"&amp;TEXT(H4206,"0"))</f>
        <v/>
      </c>
      <c r="AA4206" t="str">
        <f>IF(Z4206="","",IFERROR(LOOKUP(2,1/(#REF!=Z4206),#REF!),""))</f>
        <v/>
      </c>
      <c r="AB4206" t="str">
        <f>IF(Z4206="","",IFERROR(LOOKUP(2,1/(#REF!=Z4206),#REF!),""))</f>
        <v/>
      </c>
      <c r="AC4206" t="str">
        <f>IF(Z4206="","",COUNTIF(#REF!,Z4206))</f>
        <v/>
      </c>
      <c r="AD4206" t="str">
        <f>IF(A4206="","",IF(AC4206&gt;1,"REVISAR DUPLICADO",IF(AA4206&lt;&gt;"","ACTUALIZADO POR EYR","SIN REPORTE EYR")))</f>
        <v/>
      </c>
    </row>
    <row r="4207" spans="11:30" x14ac:dyDescent="0.3">
      <c r="K4207" s="1" t="str">
        <f ca="1">IF(A4207="","",IF(OR(L4207="ENTREGADA",L4207="RETORNADA",L4207="ENTREGA DIGITAL"),0,MAX(0,5-NETWORKDAYS(H4207+1,TODAY()))))</f>
        <v/>
      </c>
      <c r="L4207" t="str">
        <f>IF(A4207="","",IFERROR(LOOKUP(2,1/(#REF!=Z4207),#REF!),Y4207))</f>
        <v/>
      </c>
      <c r="Z4207" t="str">
        <f>IF(A4207="","",TEXT(A4207,"0")&amp;"|"&amp;TEXT(H4207,"0"))</f>
        <v/>
      </c>
      <c r="AA4207" t="str">
        <f>IF(Z4207="","",IFERROR(LOOKUP(2,1/(#REF!=Z4207),#REF!),""))</f>
        <v/>
      </c>
      <c r="AB4207" t="str">
        <f>IF(Z4207="","",IFERROR(LOOKUP(2,1/(#REF!=Z4207),#REF!),""))</f>
        <v/>
      </c>
      <c r="AC4207" t="str">
        <f>IF(Z4207="","",COUNTIF(#REF!,Z4207))</f>
        <v/>
      </c>
      <c r="AD4207" t="str">
        <f>IF(A4207="","",IF(AC4207&gt;1,"REVISAR DUPLICADO",IF(AA4207&lt;&gt;"","ACTUALIZADO POR EYR","SIN REPORTE EYR")))</f>
        <v/>
      </c>
    </row>
    <row r="4208" spans="11:30" x14ac:dyDescent="0.3">
      <c r="K4208" s="1" t="str">
        <f ca="1">IF(A4208="","",IF(OR(L4208="ENTREGADA",L4208="RETORNADA",L4208="ENTREGA DIGITAL"),0,MAX(0,5-NETWORKDAYS(H4208+1,TODAY()))))</f>
        <v/>
      </c>
      <c r="L4208" t="str">
        <f>IF(A4208="","",IFERROR(LOOKUP(2,1/(#REF!=Z4208),#REF!),Y4208))</f>
        <v/>
      </c>
      <c r="Z4208" t="str">
        <f>IF(A4208="","",TEXT(A4208,"0")&amp;"|"&amp;TEXT(H4208,"0"))</f>
        <v/>
      </c>
      <c r="AA4208" t="str">
        <f>IF(Z4208="","",IFERROR(LOOKUP(2,1/(#REF!=Z4208),#REF!),""))</f>
        <v/>
      </c>
      <c r="AB4208" t="str">
        <f>IF(Z4208="","",IFERROR(LOOKUP(2,1/(#REF!=Z4208),#REF!),""))</f>
        <v/>
      </c>
      <c r="AC4208" t="str">
        <f>IF(Z4208="","",COUNTIF(#REF!,Z4208))</f>
        <v/>
      </c>
      <c r="AD4208" t="str">
        <f>IF(A4208="","",IF(AC4208&gt;1,"REVISAR DUPLICADO",IF(AA4208&lt;&gt;"","ACTUALIZADO POR EYR","SIN REPORTE EYR")))</f>
        <v/>
      </c>
    </row>
    <row r="4209" spans="11:30" x14ac:dyDescent="0.3">
      <c r="K4209" s="1" t="str">
        <f ca="1">IF(A4209="","",IF(OR(L4209="ENTREGADA",L4209="RETORNADA",L4209="ENTREGA DIGITAL"),0,MAX(0,5-NETWORKDAYS(H4209+1,TODAY()))))</f>
        <v/>
      </c>
      <c r="L4209" t="str">
        <f>IF(A4209="","",IFERROR(LOOKUP(2,1/(#REF!=Z4209),#REF!),Y4209))</f>
        <v/>
      </c>
      <c r="Z4209" t="str">
        <f>IF(A4209="","",TEXT(A4209,"0")&amp;"|"&amp;TEXT(H4209,"0"))</f>
        <v/>
      </c>
      <c r="AA4209" t="str">
        <f>IF(Z4209="","",IFERROR(LOOKUP(2,1/(#REF!=Z4209),#REF!),""))</f>
        <v/>
      </c>
      <c r="AB4209" t="str">
        <f>IF(Z4209="","",IFERROR(LOOKUP(2,1/(#REF!=Z4209),#REF!),""))</f>
        <v/>
      </c>
      <c r="AC4209" t="str">
        <f>IF(Z4209="","",COUNTIF(#REF!,Z4209))</f>
        <v/>
      </c>
      <c r="AD4209" t="str">
        <f>IF(A4209="","",IF(AC4209&gt;1,"REVISAR DUPLICADO",IF(AA4209&lt;&gt;"","ACTUALIZADO POR EYR","SIN REPORTE EYR")))</f>
        <v/>
      </c>
    </row>
    <row r="4210" spans="11:30" x14ac:dyDescent="0.3">
      <c r="K4210" s="1" t="str">
        <f ca="1">IF(A4210="","",IF(OR(L4210="ENTREGADA",L4210="RETORNADA",L4210="ENTREGA DIGITAL"),0,MAX(0,5-NETWORKDAYS(H4210+1,TODAY()))))</f>
        <v/>
      </c>
      <c r="L4210" t="str">
        <f>IF(A4210="","",IFERROR(LOOKUP(2,1/(#REF!=Z4210),#REF!),Y4210))</f>
        <v/>
      </c>
      <c r="Z4210" t="str">
        <f>IF(A4210="","",TEXT(A4210,"0")&amp;"|"&amp;TEXT(H4210,"0"))</f>
        <v/>
      </c>
      <c r="AA4210" t="str">
        <f>IF(Z4210="","",IFERROR(LOOKUP(2,1/(#REF!=Z4210),#REF!),""))</f>
        <v/>
      </c>
      <c r="AB4210" t="str">
        <f>IF(Z4210="","",IFERROR(LOOKUP(2,1/(#REF!=Z4210),#REF!),""))</f>
        <v/>
      </c>
      <c r="AC4210" t="str">
        <f>IF(Z4210="","",COUNTIF(#REF!,Z4210))</f>
        <v/>
      </c>
      <c r="AD4210" t="str">
        <f>IF(A4210="","",IF(AC4210&gt;1,"REVISAR DUPLICADO",IF(AA4210&lt;&gt;"","ACTUALIZADO POR EYR","SIN REPORTE EYR")))</f>
        <v/>
      </c>
    </row>
    <row r="4211" spans="11:30" x14ac:dyDescent="0.3">
      <c r="K4211" s="1" t="str">
        <f ca="1">IF(A4211="","",IF(OR(L4211="ENTREGADA",L4211="RETORNADA",L4211="ENTREGA DIGITAL"),0,MAX(0,5-NETWORKDAYS(H4211+1,TODAY()))))</f>
        <v/>
      </c>
      <c r="L4211" t="str">
        <f>IF(A4211="","",IFERROR(LOOKUP(2,1/(#REF!=Z4211),#REF!),Y4211))</f>
        <v/>
      </c>
      <c r="Z4211" t="str">
        <f>IF(A4211="","",TEXT(A4211,"0")&amp;"|"&amp;TEXT(H4211,"0"))</f>
        <v/>
      </c>
      <c r="AA4211" t="str">
        <f>IF(Z4211="","",IFERROR(LOOKUP(2,1/(#REF!=Z4211),#REF!),""))</f>
        <v/>
      </c>
      <c r="AB4211" t="str">
        <f>IF(Z4211="","",IFERROR(LOOKUP(2,1/(#REF!=Z4211),#REF!),""))</f>
        <v/>
      </c>
      <c r="AC4211" t="str">
        <f>IF(Z4211="","",COUNTIF(#REF!,Z4211))</f>
        <v/>
      </c>
      <c r="AD4211" t="str">
        <f>IF(A4211="","",IF(AC4211&gt;1,"REVISAR DUPLICADO",IF(AA4211&lt;&gt;"","ACTUALIZADO POR EYR","SIN REPORTE EYR")))</f>
        <v/>
      </c>
    </row>
    <row r="4212" spans="11:30" x14ac:dyDescent="0.3">
      <c r="K4212" s="1" t="str">
        <f ca="1">IF(A4212="","",IF(OR(L4212="ENTREGADA",L4212="RETORNADA",L4212="ENTREGA DIGITAL"),0,MAX(0,5-NETWORKDAYS(H4212+1,TODAY()))))</f>
        <v/>
      </c>
      <c r="L4212" t="str">
        <f>IF(A4212="","",IFERROR(LOOKUP(2,1/(#REF!=Z4212),#REF!),Y4212))</f>
        <v/>
      </c>
      <c r="Z4212" t="str">
        <f>IF(A4212="","",TEXT(A4212,"0")&amp;"|"&amp;TEXT(H4212,"0"))</f>
        <v/>
      </c>
      <c r="AA4212" t="str">
        <f>IF(Z4212="","",IFERROR(LOOKUP(2,1/(#REF!=Z4212),#REF!),""))</f>
        <v/>
      </c>
      <c r="AB4212" t="str">
        <f>IF(Z4212="","",IFERROR(LOOKUP(2,1/(#REF!=Z4212),#REF!),""))</f>
        <v/>
      </c>
      <c r="AC4212" t="str">
        <f>IF(Z4212="","",COUNTIF(#REF!,Z4212))</f>
        <v/>
      </c>
      <c r="AD4212" t="str">
        <f>IF(A4212="","",IF(AC4212&gt;1,"REVISAR DUPLICADO",IF(AA4212&lt;&gt;"","ACTUALIZADO POR EYR","SIN REPORTE EYR")))</f>
        <v/>
      </c>
    </row>
    <row r="4213" spans="11:30" x14ac:dyDescent="0.3">
      <c r="K4213" s="1" t="str">
        <f ca="1">IF(A4213="","",IF(OR(L4213="ENTREGADA",L4213="RETORNADA",L4213="ENTREGA DIGITAL"),0,MAX(0,5-NETWORKDAYS(H4213+1,TODAY()))))</f>
        <v/>
      </c>
      <c r="L4213" t="str">
        <f>IF(A4213="","",IFERROR(LOOKUP(2,1/(#REF!=Z4213),#REF!),Y4213))</f>
        <v/>
      </c>
      <c r="Z4213" t="str">
        <f>IF(A4213="","",TEXT(A4213,"0")&amp;"|"&amp;TEXT(H4213,"0"))</f>
        <v/>
      </c>
      <c r="AA4213" t="str">
        <f>IF(Z4213="","",IFERROR(LOOKUP(2,1/(#REF!=Z4213),#REF!),""))</f>
        <v/>
      </c>
      <c r="AB4213" t="str">
        <f>IF(Z4213="","",IFERROR(LOOKUP(2,1/(#REF!=Z4213),#REF!),""))</f>
        <v/>
      </c>
      <c r="AC4213" t="str">
        <f>IF(Z4213="","",COUNTIF(#REF!,Z4213))</f>
        <v/>
      </c>
      <c r="AD4213" t="str">
        <f>IF(A4213="","",IF(AC4213&gt;1,"REVISAR DUPLICADO",IF(AA4213&lt;&gt;"","ACTUALIZADO POR EYR","SIN REPORTE EYR")))</f>
        <v/>
      </c>
    </row>
    <row r="4214" spans="11:30" x14ac:dyDescent="0.3">
      <c r="K4214" s="1" t="str">
        <f ca="1">IF(A4214="","",IF(OR(L4214="ENTREGADA",L4214="RETORNADA",L4214="ENTREGA DIGITAL"),0,MAX(0,5-NETWORKDAYS(H4214+1,TODAY()))))</f>
        <v/>
      </c>
      <c r="L4214" t="str">
        <f>IF(A4214="","",IFERROR(LOOKUP(2,1/(#REF!=Z4214),#REF!),Y4214))</f>
        <v/>
      </c>
      <c r="Z4214" t="str">
        <f>IF(A4214="","",TEXT(A4214,"0")&amp;"|"&amp;TEXT(H4214,"0"))</f>
        <v/>
      </c>
      <c r="AA4214" t="str">
        <f>IF(Z4214="","",IFERROR(LOOKUP(2,1/(#REF!=Z4214),#REF!),""))</f>
        <v/>
      </c>
      <c r="AB4214" t="str">
        <f>IF(Z4214="","",IFERROR(LOOKUP(2,1/(#REF!=Z4214),#REF!),""))</f>
        <v/>
      </c>
      <c r="AC4214" t="str">
        <f>IF(Z4214="","",COUNTIF(#REF!,Z4214))</f>
        <v/>
      </c>
      <c r="AD4214" t="str">
        <f>IF(A4214="","",IF(AC4214&gt;1,"REVISAR DUPLICADO",IF(AA4214&lt;&gt;"","ACTUALIZADO POR EYR","SIN REPORTE EYR")))</f>
        <v/>
      </c>
    </row>
    <row r="4215" spans="11:30" x14ac:dyDescent="0.3">
      <c r="K4215" s="1" t="str">
        <f ca="1">IF(A4215="","",IF(OR(L4215="ENTREGADA",L4215="RETORNADA",L4215="ENTREGA DIGITAL"),0,MAX(0,5-NETWORKDAYS(H4215+1,TODAY()))))</f>
        <v/>
      </c>
      <c r="L4215" t="str">
        <f>IF(A4215="","",IFERROR(LOOKUP(2,1/(#REF!=Z4215),#REF!),Y4215))</f>
        <v/>
      </c>
      <c r="Z4215" t="str">
        <f>IF(A4215="","",TEXT(A4215,"0")&amp;"|"&amp;TEXT(H4215,"0"))</f>
        <v/>
      </c>
      <c r="AA4215" t="str">
        <f>IF(Z4215="","",IFERROR(LOOKUP(2,1/(#REF!=Z4215),#REF!),""))</f>
        <v/>
      </c>
      <c r="AB4215" t="str">
        <f>IF(Z4215="","",IFERROR(LOOKUP(2,1/(#REF!=Z4215),#REF!),""))</f>
        <v/>
      </c>
      <c r="AC4215" t="str">
        <f>IF(Z4215="","",COUNTIF(#REF!,Z4215))</f>
        <v/>
      </c>
      <c r="AD4215" t="str">
        <f>IF(A4215="","",IF(AC4215&gt;1,"REVISAR DUPLICADO",IF(AA4215&lt;&gt;"","ACTUALIZADO POR EYR","SIN REPORTE EYR")))</f>
        <v/>
      </c>
    </row>
    <row r="4216" spans="11:30" x14ac:dyDescent="0.3">
      <c r="K4216" s="1" t="str">
        <f ca="1">IF(A4216="","",IF(OR(L4216="ENTREGADA",L4216="RETORNADA",L4216="ENTREGA DIGITAL"),0,MAX(0,5-NETWORKDAYS(H4216+1,TODAY()))))</f>
        <v/>
      </c>
      <c r="L4216" t="str">
        <f>IF(A4216="","",IFERROR(LOOKUP(2,1/(#REF!=Z4216),#REF!),Y4216))</f>
        <v/>
      </c>
      <c r="Z4216" t="str">
        <f>IF(A4216="","",TEXT(A4216,"0")&amp;"|"&amp;TEXT(H4216,"0"))</f>
        <v/>
      </c>
      <c r="AA4216" t="str">
        <f>IF(Z4216="","",IFERROR(LOOKUP(2,1/(#REF!=Z4216),#REF!),""))</f>
        <v/>
      </c>
      <c r="AB4216" t="str">
        <f>IF(Z4216="","",IFERROR(LOOKUP(2,1/(#REF!=Z4216),#REF!),""))</f>
        <v/>
      </c>
      <c r="AC4216" t="str">
        <f>IF(Z4216="","",COUNTIF(#REF!,Z4216))</f>
        <v/>
      </c>
      <c r="AD4216" t="str">
        <f>IF(A4216="","",IF(AC4216&gt;1,"REVISAR DUPLICADO",IF(AA4216&lt;&gt;"","ACTUALIZADO POR EYR","SIN REPORTE EYR")))</f>
        <v/>
      </c>
    </row>
    <row r="4217" spans="11:30" x14ac:dyDescent="0.3">
      <c r="K4217" s="1" t="str">
        <f ca="1">IF(A4217="","",IF(OR(L4217="ENTREGADA",L4217="RETORNADA",L4217="ENTREGA DIGITAL"),0,MAX(0,5-NETWORKDAYS(H4217+1,TODAY()))))</f>
        <v/>
      </c>
      <c r="L4217" t="str">
        <f>IF(A4217="","",IFERROR(LOOKUP(2,1/(#REF!=Z4217),#REF!),Y4217))</f>
        <v/>
      </c>
      <c r="Z4217" t="str">
        <f>IF(A4217="","",TEXT(A4217,"0")&amp;"|"&amp;TEXT(H4217,"0"))</f>
        <v/>
      </c>
      <c r="AA4217" t="str">
        <f>IF(Z4217="","",IFERROR(LOOKUP(2,1/(#REF!=Z4217),#REF!),""))</f>
        <v/>
      </c>
      <c r="AB4217" t="str">
        <f>IF(Z4217="","",IFERROR(LOOKUP(2,1/(#REF!=Z4217),#REF!),""))</f>
        <v/>
      </c>
      <c r="AC4217" t="str">
        <f>IF(Z4217="","",COUNTIF(#REF!,Z4217))</f>
        <v/>
      </c>
      <c r="AD4217" t="str">
        <f>IF(A4217="","",IF(AC4217&gt;1,"REVISAR DUPLICADO",IF(AA4217&lt;&gt;"","ACTUALIZADO POR EYR","SIN REPORTE EYR")))</f>
        <v/>
      </c>
    </row>
    <row r="4218" spans="11:30" x14ac:dyDescent="0.3">
      <c r="K4218" s="1" t="str">
        <f ca="1">IF(A4218="","",IF(OR(L4218="ENTREGADA",L4218="RETORNADA",L4218="ENTREGA DIGITAL"),0,MAX(0,5-NETWORKDAYS(H4218+1,TODAY()))))</f>
        <v/>
      </c>
      <c r="L4218" t="str">
        <f>IF(A4218="","",IFERROR(LOOKUP(2,1/(#REF!=Z4218),#REF!),Y4218))</f>
        <v/>
      </c>
      <c r="Z4218" t="str">
        <f>IF(A4218="","",TEXT(A4218,"0")&amp;"|"&amp;TEXT(H4218,"0"))</f>
        <v/>
      </c>
      <c r="AA4218" t="str">
        <f>IF(Z4218="","",IFERROR(LOOKUP(2,1/(#REF!=Z4218),#REF!),""))</f>
        <v/>
      </c>
      <c r="AB4218" t="str">
        <f>IF(Z4218="","",IFERROR(LOOKUP(2,1/(#REF!=Z4218),#REF!),""))</f>
        <v/>
      </c>
      <c r="AC4218" t="str">
        <f>IF(Z4218="","",COUNTIF(#REF!,Z4218))</f>
        <v/>
      </c>
      <c r="AD4218" t="str">
        <f>IF(A4218="","",IF(AC4218&gt;1,"REVISAR DUPLICADO",IF(AA4218&lt;&gt;"","ACTUALIZADO POR EYR","SIN REPORTE EYR")))</f>
        <v/>
      </c>
    </row>
    <row r="4219" spans="11:30" x14ac:dyDescent="0.3">
      <c r="K4219" s="1" t="str">
        <f ca="1">IF(A4219="","",IF(OR(L4219="ENTREGADA",L4219="RETORNADA",L4219="ENTREGA DIGITAL"),0,MAX(0,5-NETWORKDAYS(H4219+1,TODAY()))))</f>
        <v/>
      </c>
      <c r="L4219" t="str">
        <f>IF(A4219="","",IFERROR(LOOKUP(2,1/(#REF!=Z4219),#REF!),Y4219))</f>
        <v/>
      </c>
      <c r="Z4219" t="str">
        <f>IF(A4219="","",TEXT(A4219,"0")&amp;"|"&amp;TEXT(H4219,"0"))</f>
        <v/>
      </c>
      <c r="AA4219" t="str">
        <f>IF(Z4219="","",IFERROR(LOOKUP(2,1/(#REF!=Z4219),#REF!),""))</f>
        <v/>
      </c>
      <c r="AB4219" t="str">
        <f>IF(Z4219="","",IFERROR(LOOKUP(2,1/(#REF!=Z4219),#REF!),""))</f>
        <v/>
      </c>
      <c r="AC4219" t="str">
        <f>IF(Z4219="","",COUNTIF(#REF!,Z4219))</f>
        <v/>
      </c>
      <c r="AD4219" t="str">
        <f>IF(A4219="","",IF(AC4219&gt;1,"REVISAR DUPLICADO",IF(AA4219&lt;&gt;"","ACTUALIZADO POR EYR","SIN REPORTE EYR")))</f>
        <v/>
      </c>
    </row>
    <row r="4220" spans="11:30" x14ac:dyDescent="0.3">
      <c r="K4220" s="1" t="str">
        <f ca="1">IF(A4220="","",IF(OR(L4220="ENTREGADA",L4220="RETORNADA",L4220="ENTREGA DIGITAL"),0,MAX(0,5-NETWORKDAYS(H4220+1,TODAY()))))</f>
        <v/>
      </c>
      <c r="L4220" t="str">
        <f>IF(A4220="","",IFERROR(LOOKUP(2,1/(#REF!=Z4220),#REF!),Y4220))</f>
        <v/>
      </c>
      <c r="Z4220" t="str">
        <f>IF(A4220="","",TEXT(A4220,"0")&amp;"|"&amp;TEXT(H4220,"0"))</f>
        <v/>
      </c>
      <c r="AA4220" t="str">
        <f>IF(Z4220="","",IFERROR(LOOKUP(2,1/(#REF!=Z4220),#REF!),""))</f>
        <v/>
      </c>
      <c r="AB4220" t="str">
        <f>IF(Z4220="","",IFERROR(LOOKUP(2,1/(#REF!=Z4220),#REF!),""))</f>
        <v/>
      </c>
      <c r="AC4220" t="str">
        <f>IF(Z4220="","",COUNTIF(#REF!,Z4220))</f>
        <v/>
      </c>
      <c r="AD4220" t="str">
        <f>IF(A4220="","",IF(AC4220&gt;1,"REVISAR DUPLICADO",IF(AA4220&lt;&gt;"","ACTUALIZADO POR EYR","SIN REPORTE EYR")))</f>
        <v/>
      </c>
    </row>
    <row r="4221" spans="11:30" x14ac:dyDescent="0.3">
      <c r="K4221" s="1" t="str">
        <f ca="1">IF(A4221="","",IF(OR(L4221="ENTREGADA",L4221="RETORNADA",L4221="ENTREGA DIGITAL"),0,MAX(0,5-NETWORKDAYS(H4221+1,TODAY()))))</f>
        <v/>
      </c>
      <c r="L4221" t="str">
        <f>IF(A4221="","",IFERROR(LOOKUP(2,1/(#REF!=Z4221),#REF!),Y4221))</f>
        <v/>
      </c>
      <c r="Z4221" t="str">
        <f>IF(A4221="","",TEXT(A4221,"0")&amp;"|"&amp;TEXT(H4221,"0"))</f>
        <v/>
      </c>
      <c r="AA4221" t="str">
        <f>IF(Z4221="","",IFERROR(LOOKUP(2,1/(#REF!=Z4221),#REF!),""))</f>
        <v/>
      </c>
      <c r="AB4221" t="str">
        <f>IF(Z4221="","",IFERROR(LOOKUP(2,1/(#REF!=Z4221),#REF!),""))</f>
        <v/>
      </c>
      <c r="AC4221" t="str">
        <f>IF(Z4221="","",COUNTIF(#REF!,Z4221))</f>
        <v/>
      </c>
      <c r="AD4221" t="str">
        <f>IF(A4221="","",IF(AC4221&gt;1,"REVISAR DUPLICADO",IF(AA4221&lt;&gt;"","ACTUALIZADO POR EYR","SIN REPORTE EYR")))</f>
        <v/>
      </c>
    </row>
    <row r="4222" spans="11:30" x14ac:dyDescent="0.3">
      <c r="K4222" s="1" t="str">
        <f ca="1">IF(A4222="","",IF(OR(L4222="ENTREGADA",L4222="RETORNADA",L4222="ENTREGA DIGITAL"),0,MAX(0,5-NETWORKDAYS(H4222+1,TODAY()))))</f>
        <v/>
      </c>
      <c r="L4222" t="str">
        <f>IF(A4222="","",IFERROR(LOOKUP(2,1/(#REF!=Z4222),#REF!),Y4222))</f>
        <v/>
      </c>
      <c r="Z4222" t="str">
        <f>IF(A4222="","",TEXT(A4222,"0")&amp;"|"&amp;TEXT(H4222,"0"))</f>
        <v/>
      </c>
      <c r="AA4222" t="str">
        <f>IF(Z4222="","",IFERROR(LOOKUP(2,1/(#REF!=Z4222),#REF!),""))</f>
        <v/>
      </c>
      <c r="AB4222" t="str">
        <f>IF(Z4222="","",IFERROR(LOOKUP(2,1/(#REF!=Z4222),#REF!),""))</f>
        <v/>
      </c>
      <c r="AC4222" t="str">
        <f>IF(Z4222="","",COUNTIF(#REF!,Z4222))</f>
        <v/>
      </c>
      <c r="AD4222" t="str">
        <f>IF(A4222="","",IF(AC4222&gt;1,"REVISAR DUPLICADO",IF(AA4222&lt;&gt;"","ACTUALIZADO POR EYR","SIN REPORTE EYR")))</f>
        <v/>
      </c>
    </row>
    <row r="4223" spans="11:30" x14ac:dyDescent="0.3">
      <c r="K4223" s="1" t="str">
        <f ca="1">IF(A4223="","",IF(OR(L4223="ENTREGADA",L4223="RETORNADA",L4223="ENTREGA DIGITAL"),0,MAX(0,5-NETWORKDAYS(H4223+1,TODAY()))))</f>
        <v/>
      </c>
      <c r="L4223" t="str">
        <f>IF(A4223="","",IFERROR(LOOKUP(2,1/(#REF!=Z4223),#REF!),Y4223))</f>
        <v/>
      </c>
      <c r="Z4223" t="str">
        <f>IF(A4223="","",TEXT(A4223,"0")&amp;"|"&amp;TEXT(H4223,"0"))</f>
        <v/>
      </c>
      <c r="AA4223" t="str">
        <f>IF(Z4223="","",IFERROR(LOOKUP(2,1/(#REF!=Z4223),#REF!),""))</f>
        <v/>
      </c>
      <c r="AB4223" t="str">
        <f>IF(Z4223="","",IFERROR(LOOKUP(2,1/(#REF!=Z4223),#REF!),""))</f>
        <v/>
      </c>
      <c r="AC4223" t="str">
        <f>IF(Z4223="","",COUNTIF(#REF!,Z4223))</f>
        <v/>
      </c>
      <c r="AD4223" t="str">
        <f>IF(A4223="","",IF(AC4223&gt;1,"REVISAR DUPLICADO",IF(AA4223&lt;&gt;"","ACTUALIZADO POR EYR","SIN REPORTE EYR")))</f>
        <v/>
      </c>
    </row>
    <row r="4224" spans="11:30" x14ac:dyDescent="0.3">
      <c r="K4224" s="1" t="str">
        <f ca="1">IF(A4224="","",IF(OR(L4224="ENTREGADA",L4224="RETORNADA",L4224="ENTREGA DIGITAL"),0,MAX(0,5-NETWORKDAYS(H4224+1,TODAY()))))</f>
        <v/>
      </c>
      <c r="L4224" t="str">
        <f>IF(A4224="","",IFERROR(LOOKUP(2,1/(#REF!=Z4224),#REF!),Y4224))</f>
        <v/>
      </c>
      <c r="Z4224" t="str">
        <f>IF(A4224="","",TEXT(A4224,"0")&amp;"|"&amp;TEXT(H4224,"0"))</f>
        <v/>
      </c>
      <c r="AA4224" t="str">
        <f>IF(Z4224="","",IFERROR(LOOKUP(2,1/(#REF!=Z4224),#REF!),""))</f>
        <v/>
      </c>
      <c r="AB4224" t="str">
        <f>IF(Z4224="","",IFERROR(LOOKUP(2,1/(#REF!=Z4224),#REF!),""))</f>
        <v/>
      </c>
      <c r="AC4224" t="str">
        <f>IF(Z4224="","",COUNTIF(#REF!,Z4224))</f>
        <v/>
      </c>
      <c r="AD4224" t="str">
        <f>IF(A4224="","",IF(AC4224&gt;1,"REVISAR DUPLICADO",IF(AA4224&lt;&gt;"","ACTUALIZADO POR EYR","SIN REPORTE EYR")))</f>
        <v/>
      </c>
    </row>
    <row r="4225" spans="11:30" x14ac:dyDescent="0.3">
      <c r="K4225" s="1" t="str">
        <f ca="1">IF(A4225="","",IF(OR(L4225="ENTREGADA",L4225="RETORNADA",L4225="ENTREGA DIGITAL"),0,MAX(0,5-NETWORKDAYS(H4225+1,TODAY()))))</f>
        <v/>
      </c>
      <c r="L4225" t="str">
        <f>IF(A4225="","",IFERROR(LOOKUP(2,1/(#REF!=Z4225),#REF!),Y4225))</f>
        <v/>
      </c>
      <c r="Z4225" t="str">
        <f>IF(A4225="","",TEXT(A4225,"0")&amp;"|"&amp;TEXT(H4225,"0"))</f>
        <v/>
      </c>
      <c r="AA4225" t="str">
        <f>IF(Z4225="","",IFERROR(LOOKUP(2,1/(#REF!=Z4225),#REF!),""))</f>
        <v/>
      </c>
      <c r="AB4225" t="str">
        <f>IF(Z4225="","",IFERROR(LOOKUP(2,1/(#REF!=Z4225),#REF!),""))</f>
        <v/>
      </c>
      <c r="AC4225" t="str">
        <f>IF(Z4225="","",COUNTIF(#REF!,Z4225))</f>
        <v/>
      </c>
      <c r="AD4225" t="str">
        <f>IF(A4225="","",IF(AC4225&gt;1,"REVISAR DUPLICADO",IF(AA4225&lt;&gt;"","ACTUALIZADO POR EYR","SIN REPORTE EYR")))</f>
        <v/>
      </c>
    </row>
    <row r="4226" spans="11:30" x14ac:dyDescent="0.3">
      <c r="K4226" s="1" t="str">
        <f ca="1">IF(A4226="","",IF(OR(L4226="ENTREGADA",L4226="RETORNADA",L4226="ENTREGA DIGITAL"),0,MAX(0,5-NETWORKDAYS(H4226+1,TODAY()))))</f>
        <v/>
      </c>
      <c r="L4226" t="str">
        <f>IF(A4226="","",IFERROR(LOOKUP(2,1/(#REF!=Z4226),#REF!),Y4226))</f>
        <v/>
      </c>
      <c r="Z4226" t="str">
        <f>IF(A4226="","",TEXT(A4226,"0")&amp;"|"&amp;TEXT(H4226,"0"))</f>
        <v/>
      </c>
      <c r="AA4226" t="str">
        <f>IF(Z4226="","",IFERROR(LOOKUP(2,1/(#REF!=Z4226),#REF!),""))</f>
        <v/>
      </c>
      <c r="AB4226" t="str">
        <f>IF(Z4226="","",IFERROR(LOOKUP(2,1/(#REF!=Z4226),#REF!),""))</f>
        <v/>
      </c>
      <c r="AC4226" t="str">
        <f>IF(Z4226="","",COUNTIF(#REF!,Z4226))</f>
        <v/>
      </c>
      <c r="AD4226" t="str">
        <f>IF(A4226="","",IF(AC4226&gt;1,"REVISAR DUPLICADO",IF(AA4226&lt;&gt;"","ACTUALIZADO POR EYR","SIN REPORTE EYR")))</f>
        <v/>
      </c>
    </row>
    <row r="4227" spans="11:30" x14ac:dyDescent="0.3">
      <c r="K4227" s="1" t="str">
        <f ca="1">IF(A4227="","",IF(OR(L4227="ENTREGADA",L4227="RETORNADA",L4227="ENTREGA DIGITAL"),0,MAX(0,5-NETWORKDAYS(H4227+1,TODAY()))))</f>
        <v/>
      </c>
      <c r="L4227" t="str">
        <f>IF(A4227="","",IFERROR(LOOKUP(2,1/(#REF!=Z4227),#REF!),Y4227))</f>
        <v/>
      </c>
      <c r="Z4227" t="str">
        <f>IF(A4227="","",TEXT(A4227,"0")&amp;"|"&amp;TEXT(H4227,"0"))</f>
        <v/>
      </c>
      <c r="AA4227" t="str">
        <f>IF(Z4227="","",IFERROR(LOOKUP(2,1/(#REF!=Z4227),#REF!),""))</f>
        <v/>
      </c>
      <c r="AB4227" t="str">
        <f>IF(Z4227="","",IFERROR(LOOKUP(2,1/(#REF!=Z4227),#REF!),""))</f>
        <v/>
      </c>
      <c r="AC4227" t="str">
        <f>IF(Z4227="","",COUNTIF(#REF!,Z4227))</f>
        <v/>
      </c>
      <c r="AD4227" t="str">
        <f>IF(A4227="","",IF(AC4227&gt;1,"REVISAR DUPLICADO",IF(AA4227&lt;&gt;"","ACTUALIZADO POR EYR","SIN REPORTE EYR")))</f>
        <v/>
      </c>
    </row>
    <row r="4228" spans="11:30" x14ac:dyDescent="0.3">
      <c r="K4228" s="1" t="str">
        <f ca="1">IF(A4228="","",IF(OR(L4228="ENTREGADA",L4228="RETORNADA",L4228="ENTREGA DIGITAL"),0,MAX(0,5-NETWORKDAYS(H4228+1,TODAY()))))</f>
        <v/>
      </c>
      <c r="L4228" t="str">
        <f>IF(A4228="","",IFERROR(LOOKUP(2,1/(#REF!=Z4228),#REF!),Y4228))</f>
        <v/>
      </c>
      <c r="Z4228" t="str">
        <f>IF(A4228="","",TEXT(A4228,"0")&amp;"|"&amp;TEXT(H4228,"0"))</f>
        <v/>
      </c>
      <c r="AA4228" t="str">
        <f>IF(Z4228="","",IFERROR(LOOKUP(2,1/(#REF!=Z4228),#REF!),""))</f>
        <v/>
      </c>
      <c r="AB4228" t="str">
        <f>IF(Z4228="","",IFERROR(LOOKUP(2,1/(#REF!=Z4228),#REF!),""))</f>
        <v/>
      </c>
      <c r="AC4228" t="str">
        <f>IF(Z4228="","",COUNTIF(#REF!,Z4228))</f>
        <v/>
      </c>
      <c r="AD4228" t="str">
        <f>IF(A4228="","",IF(AC4228&gt;1,"REVISAR DUPLICADO",IF(AA4228&lt;&gt;"","ACTUALIZADO POR EYR","SIN REPORTE EYR")))</f>
        <v/>
      </c>
    </row>
    <row r="4229" spans="11:30" x14ac:dyDescent="0.3">
      <c r="K4229" s="1" t="str">
        <f ca="1">IF(A4229="","",IF(OR(L4229="ENTREGADA",L4229="RETORNADA",L4229="ENTREGA DIGITAL"),0,MAX(0,5-NETWORKDAYS(H4229+1,TODAY()))))</f>
        <v/>
      </c>
      <c r="L4229" t="str">
        <f>IF(A4229="","",IFERROR(LOOKUP(2,1/(#REF!=Z4229),#REF!),Y4229))</f>
        <v/>
      </c>
      <c r="Z4229" t="str">
        <f>IF(A4229="","",TEXT(A4229,"0")&amp;"|"&amp;TEXT(H4229,"0"))</f>
        <v/>
      </c>
      <c r="AA4229" t="str">
        <f>IF(Z4229="","",IFERROR(LOOKUP(2,1/(#REF!=Z4229),#REF!),""))</f>
        <v/>
      </c>
      <c r="AB4229" t="str">
        <f>IF(Z4229="","",IFERROR(LOOKUP(2,1/(#REF!=Z4229),#REF!),""))</f>
        <v/>
      </c>
      <c r="AC4229" t="str">
        <f>IF(Z4229="","",COUNTIF(#REF!,Z4229))</f>
        <v/>
      </c>
      <c r="AD4229" t="str">
        <f>IF(A4229="","",IF(AC4229&gt;1,"REVISAR DUPLICADO",IF(AA4229&lt;&gt;"","ACTUALIZADO POR EYR","SIN REPORTE EYR")))</f>
        <v/>
      </c>
    </row>
    <row r="4230" spans="11:30" x14ac:dyDescent="0.3">
      <c r="K4230" s="1" t="str">
        <f ca="1">IF(A4230="","",IF(OR(L4230="ENTREGADA",L4230="RETORNADA",L4230="ENTREGA DIGITAL"),0,MAX(0,5-NETWORKDAYS(H4230+1,TODAY()))))</f>
        <v/>
      </c>
      <c r="L4230" t="str">
        <f>IF(A4230="","",IFERROR(LOOKUP(2,1/(#REF!=Z4230),#REF!),Y4230))</f>
        <v/>
      </c>
      <c r="Z4230" t="str">
        <f>IF(A4230="","",TEXT(A4230,"0")&amp;"|"&amp;TEXT(H4230,"0"))</f>
        <v/>
      </c>
      <c r="AA4230" t="str">
        <f>IF(Z4230="","",IFERROR(LOOKUP(2,1/(#REF!=Z4230),#REF!),""))</f>
        <v/>
      </c>
      <c r="AB4230" t="str">
        <f>IF(Z4230="","",IFERROR(LOOKUP(2,1/(#REF!=Z4230),#REF!),""))</f>
        <v/>
      </c>
      <c r="AC4230" t="str">
        <f>IF(Z4230="","",COUNTIF(#REF!,Z4230))</f>
        <v/>
      </c>
      <c r="AD4230" t="str">
        <f>IF(A4230="","",IF(AC4230&gt;1,"REVISAR DUPLICADO",IF(AA4230&lt;&gt;"","ACTUALIZADO POR EYR","SIN REPORTE EYR")))</f>
        <v/>
      </c>
    </row>
    <row r="4231" spans="11:30" x14ac:dyDescent="0.3">
      <c r="K4231" s="1" t="str">
        <f ca="1">IF(A4231="","",IF(OR(L4231="ENTREGADA",L4231="RETORNADA",L4231="ENTREGA DIGITAL"),0,MAX(0,5-NETWORKDAYS(H4231+1,TODAY()))))</f>
        <v/>
      </c>
      <c r="L4231" t="str">
        <f>IF(A4231="","",IFERROR(LOOKUP(2,1/(#REF!=Z4231),#REF!),Y4231))</f>
        <v/>
      </c>
      <c r="Z4231" t="str">
        <f>IF(A4231="","",TEXT(A4231,"0")&amp;"|"&amp;TEXT(H4231,"0"))</f>
        <v/>
      </c>
      <c r="AA4231" t="str">
        <f>IF(Z4231="","",IFERROR(LOOKUP(2,1/(#REF!=Z4231),#REF!),""))</f>
        <v/>
      </c>
      <c r="AB4231" t="str">
        <f>IF(Z4231="","",IFERROR(LOOKUP(2,1/(#REF!=Z4231),#REF!),""))</f>
        <v/>
      </c>
      <c r="AC4231" t="str">
        <f>IF(Z4231="","",COUNTIF(#REF!,Z4231))</f>
        <v/>
      </c>
      <c r="AD4231" t="str">
        <f>IF(A4231="","",IF(AC4231&gt;1,"REVISAR DUPLICADO",IF(AA4231&lt;&gt;"","ACTUALIZADO POR EYR","SIN REPORTE EYR")))</f>
        <v/>
      </c>
    </row>
    <row r="4232" spans="11:30" x14ac:dyDescent="0.3">
      <c r="K4232" s="1" t="str">
        <f ca="1">IF(A4232="","",IF(OR(L4232="ENTREGADA",L4232="RETORNADA",L4232="ENTREGA DIGITAL"),0,MAX(0,5-NETWORKDAYS(H4232+1,TODAY()))))</f>
        <v/>
      </c>
      <c r="L4232" t="str">
        <f>IF(A4232="","",IFERROR(LOOKUP(2,1/(#REF!=Z4232),#REF!),Y4232))</f>
        <v/>
      </c>
      <c r="Z4232" t="str">
        <f>IF(A4232="","",TEXT(A4232,"0")&amp;"|"&amp;TEXT(H4232,"0"))</f>
        <v/>
      </c>
      <c r="AA4232" t="str">
        <f>IF(Z4232="","",IFERROR(LOOKUP(2,1/(#REF!=Z4232),#REF!),""))</f>
        <v/>
      </c>
      <c r="AB4232" t="str">
        <f>IF(Z4232="","",IFERROR(LOOKUP(2,1/(#REF!=Z4232),#REF!),""))</f>
        <v/>
      </c>
      <c r="AC4232" t="str">
        <f>IF(Z4232="","",COUNTIF(#REF!,Z4232))</f>
        <v/>
      </c>
      <c r="AD4232" t="str">
        <f>IF(A4232="","",IF(AC4232&gt;1,"REVISAR DUPLICADO",IF(AA4232&lt;&gt;"","ACTUALIZADO POR EYR","SIN REPORTE EYR")))</f>
        <v/>
      </c>
    </row>
    <row r="4233" spans="11:30" x14ac:dyDescent="0.3">
      <c r="K4233" s="1" t="str">
        <f ca="1">IF(A4233="","",IF(OR(L4233="ENTREGADA",L4233="RETORNADA",L4233="ENTREGA DIGITAL"),0,MAX(0,5-NETWORKDAYS(H4233+1,TODAY()))))</f>
        <v/>
      </c>
      <c r="L4233" t="str">
        <f>IF(A4233="","",IFERROR(LOOKUP(2,1/(#REF!=Z4233),#REF!),Y4233))</f>
        <v/>
      </c>
      <c r="Z4233" t="str">
        <f>IF(A4233="","",TEXT(A4233,"0")&amp;"|"&amp;TEXT(H4233,"0"))</f>
        <v/>
      </c>
      <c r="AA4233" t="str">
        <f>IF(Z4233="","",IFERROR(LOOKUP(2,1/(#REF!=Z4233),#REF!),""))</f>
        <v/>
      </c>
      <c r="AB4233" t="str">
        <f>IF(Z4233="","",IFERROR(LOOKUP(2,1/(#REF!=Z4233),#REF!),""))</f>
        <v/>
      </c>
      <c r="AC4233" t="str">
        <f>IF(Z4233="","",COUNTIF(#REF!,Z4233))</f>
        <v/>
      </c>
      <c r="AD4233" t="str">
        <f>IF(A4233="","",IF(AC4233&gt;1,"REVISAR DUPLICADO",IF(AA4233&lt;&gt;"","ACTUALIZADO POR EYR","SIN REPORTE EYR")))</f>
        <v/>
      </c>
    </row>
    <row r="4234" spans="11:30" x14ac:dyDescent="0.3">
      <c r="K4234" s="1" t="str">
        <f ca="1">IF(A4234="","",IF(OR(L4234="ENTREGADA",L4234="RETORNADA",L4234="ENTREGA DIGITAL"),0,MAX(0,5-NETWORKDAYS(H4234+1,TODAY()))))</f>
        <v/>
      </c>
      <c r="L4234" t="str">
        <f>IF(A4234="","",IFERROR(LOOKUP(2,1/(#REF!=Z4234),#REF!),Y4234))</f>
        <v/>
      </c>
      <c r="Z4234" t="str">
        <f>IF(A4234="","",TEXT(A4234,"0")&amp;"|"&amp;TEXT(H4234,"0"))</f>
        <v/>
      </c>
      <c r="AA4234" t="str">
        <f>IF(Z4234="","",IFERROR(LOOKUP(2,1/(#REF!=Z4234),#REF!),""))</f>
        <v/>
      </c>
      <c r="AB4234" t="str">
        <f>IF(Z4234="","",IFERROR(LOOKUP(2,1/(#REF!=Z4234),#REF!),""))</f>
        <v/>
      </c>
      <c r="AC4234" t="str">
        <f>IF(Z4234="","",COUNTIF(#REF!,Z4234))</f>
        <v/>
      </c>
      <c r="AD4234" t="str">
        <f>IF(A4234="","",IF(AC4234&gt;1,"REVISAR DUPLICADO",IF(AA4234&lt;&gt;"","ACTUALIZADO POR EYR","SIN REPORTE EYR")))</f>
        <v/>
      </c>
    </row>
    <row r="4235" spans="11:30" x14ac:dyDescent="0.3">
      <c r="K4235" s="1" t="str">
        <f ca="1">IF(A4235="","",IF(OR(L4235="ENTREGADA",L4235="RETORNADA",L4235="ENTREGA DIGITAL"),0,MAX(0,5-NETWORKDAYS(H4235+1,TODAY()))))</f>
        <v/>
      </c>
      <c r="L4235" t="str">
        <f>IF(A4235="","",IFERROR(LOOKUP(2,1/(#REF!=Z4235),#REF!),Y4235))</f>
        <v/>
      </c>
      <c r="Z4235" t="str">
        <f>IF(A4235="","",TEXT(A4235,"0")&amp;"|"&amp;TEXT(H4235,"0"))</f>
        <v/>
      </c>
      <c r="AA4235" t="str">
        <f>IF(Z4235="","",IFERROR(LOOKUP(2,1/(#REF!=Z4235),#REF!),""))</f>
        <v/>
      </c>
      <c r="AB4235" t="str">
        <f>IF(Z4235="","",IFERROR(LOOKUP(2,1/(#REF!=Z4235),#REF!),""))</f>
        <v/>
      </c>
      <c r="AC4235" t="str">
        <f>IF(Z4235="","",COUNTIF(#REF!,Z4235))</f>
        <v/>
      </c>
      <c r="AD4235" t="str">
        <f>IF(A4235="","",IF(AC4235&gt;1,"REVISAR DUPLICADO",IF(AA4235&lt;&gt;"","ACTUALIZADO POR EYR","SIN REPORTE EYR")))</f>
        <v/>
      </c>
    </row>
    <row r="4236" spans="11:30" x14ac:dyDescent="0.3">
      <c r="K4236" s="1" t="str">
        <f ca="1">IF(A4236="","",IF(OR(L4236="ENTREGADA",L4236="RETORNADA",L4236="ENTREGA DIGITAL"),0,MAX(0,5-NETWORKDAYS(H4236+1,TODAY()))))</f>
        <v/>
      </c>
      <c r="L4236" t="str">
        <f>IF(A4236="","",IFERROR(LOOKUP(2,1/(#REF!=Z4236),#REF!),Y4236))</f>
        <v/>
      </c>
      <c r="Z4236" t="str">
        <f>IF(A4236="","",TEXT(A4236,"0")&amp;"|"&amp;TEXT(H4236,"0"))</f>
        <v/>
      </c>
      <c r="AA4236" t="str">
        <f>IF(Z4236="","",IFERROR(LOOKUP(2,1/(#REF!=Z4236),#REF!),""))</f>
        <v/>
      </c>
      <c r="AB4236" t="str">
        <f>IF(Z4236="","",IFERROR(LOOKUP(2,1/(#REF!=Z4236),#REF!),""))</f>
        <v/>
      </c>
      <c r="AC4236" t="str">
        <f>IF(Z4236="","",COUNTIF(#REF!,Z4236))</f>
        <v/>
      </c>
      <c r="AD4236" t="str">
        <f>IF(A4236="","",IF(AC4236&gt;1,"REVISAR DUPLICADO",IF(AA4236&lt;&gt;"","ACTUALIZADO POR EYR","SIN REPORTE EYR")))</f>
        <v/>
      </c>
    </row>
    <row r="4237" spans="11:30" x14ac:dyDescent="0.3">
      <c r="K4237" s="1" t="str">
        <f ca="1">IF(A4237="","",IF(OR(L4237="ENTREGADA",L4237="RETORNADA",L4237="ENTREGA DIGITAL"),0,MAX(0,5-NETWORKDAYS(H4237+1,TODAY()))))</f>
        <v/>
      </c>
      <c r="L4237" t="str">
        <f>IF(A4237="","",IFERROR(LOOKUP(2,1/(#REF!=Z4237),#REF!),Y4237))</f>
        <v/>
      </c>
      <c r="Z4237" t="str">
        <f>IF(A4237="","",TEXT(A4237,"0")&amp;"|"&amp;TEXT(H4237,"0"))</f>
        <v/>
      </c>
      <c r="AA4237" t="str">
        <f>IF(Z4237="","",IFERROR(LOOKUP(2,1/(#REF!=Z4237),#REF!),""))</f>
        <v/>
      </c>
      <c r="AB4237" t="str">
        <f>IF(Z4237="","",IFERROR(LOOKUP(2,1/(#REF!=Z4237),#REF!),""))</f>
        <v/>
      </c>
      <c r="AC4237" t="str">
        <f>IF(Z4237="","",COUNTIF(#REF!,Z4237))</f>
        <v/>
      </c>
      <c r="AD4237" t="str">
        <f>IF(A4237="","",IF(AC4237&gt;1,"REVISAR DUPLICADO",IF(AA4237&lt;&gt;"","ACTUALIZADO POR EYR","SIN REPORTE EYR")))</f>
        <v/>
      </c>
    </row>
    <row r="4238" spans="11:30" x14ac:dyDescent="0.3">
      <c r="K4238" s="1" t="str">
        <f ca="1">IF(A4238="","",IF(OR(L4238="ENTREGADA",L4238="RETORNADA",L4238="ENTREGA DIGITAL"),0,MAX(0,5-NETWORKDAYS(H4238+1,TODAY()))))</f>
        <v/>
      </c>
      <c r="L4238" t="str">
        <f>IF(A4238="","",IFERROR(LOOKUP(2,1/(#REF!=Z4238),#REF!),Y4238))</f>
        <v/>
      </c>
      <c r="Z4238" t="str">
        <f>IF(A4238="","",TEXT(A4238,"0")&amp;"|"&amp;TEXT(H4238,"0"))</f>
        <v/>
      </c>
      <c r="AA4238" t="str">
        <f>IF(Z4238="","",IFERROR(LOOKUP(2,1/(#REF!=Z4238),#REF!),""))</f>
        <v/>
      </c>
      <c r="AB4238" t="str">
        <f>IF(Z4238="","",IFERROR(LOOKUP(2,1/(#REF!=Z4238),#REF!),""))</f>
        <v/>
      </c>
      <c r="AC4238" t="str">
        <f>IF(Z4238="","",COUNTIF(#REF!,Z4238))</f>
        <v/>
      </c>
      <c r="AD4238" t="str">
        <f>IF(A4238="","",IF(AC4238&gt;1,"REVISAR DUPLICADO",IF(AA4238&lt;&gt;"","ACTUALIZADO POR EYR","SIN REPORTE EYR")))</f>
        <v/>
      </c>
    </row>
    <row r="4239" spans="11:30" x14ac:dyDescent="0.3">
      <c r="K4239" s="1" t="str">
        <f ca="1">IF(A4239="","",IF(OR(L4239="ENTREGADA",L4239="RETORNADA",L4239="ENTREGA DIGITAL"),0,MAX(0,5-NETWORKDAYS(H4239+1,TODAY()))))</f>
        <v/>
      </c>
      <c r="L4239" t="str">
        <f>IF(A4239="","",IFERROR(LOOKUP(2,1/(#REF!=Z4239),#REF!),Y4239))</f>
        <v/>
      </c>
      <c r="Z4239" t="str">
        <f>IF(A4239="","",TEXT(A4239,"0")&amp;"|"&amp;TEXT(H4239,"0"))</f>
        <v/>
      </c>
      <c r="AA4239" t="str">
        <f>IF(Z4239="","",IFERROR(LOOKUP(2,1/(#REF!=Z4239),#REF!),""))</f>
        <v/>
      </c>
      <c r="AB4239" t="str">
        <f>IF(Z4239="","",IFERROR(LOOKUP(2,1/(#REF!=Z4239),#REF!),""))</f>
        <v/>
      </c>
      <c r="AC4239" t="str">
        <f>IF(Z4239="","",COUNTIF(#REF!,Z4239))</f>
        <v/>
      </c>
      <c r="AD4239" t="str">
        <f>IF(A4239="","",IF(AC4239&gt;1,"REVISAR DUPLICADO",IF(AA4239&lt;&gt;"","ACTUALIZADO POR EYR","SIN REPORTE EYR")))</f>
        <v/>
      </c>
    </row>
    <row r="4240" spans="11:30" x14ac:dyDescent="0.3">
      <c r="K4240" s="1" t="str">
        <f ca="1">IF(A4240="","",IF(OR(L4240="ENTREGADA",L4240="RETORNADA",L4240="ENTREGA DIGITAL"),0,MAX(0,5-NETWORKDAYS(H4240+1,TODAY()))))</f>
        <v/>
      </c>
      <c r="L4240" t="str">
        <f>IF(A4240="","",IFERROR(LOOKUP(2,1/(#REF!=Z4240),#REF!),Y4240))</f>
        <v/>
      </c>
      <c r="Z4240" t="str">
        <f>IF(A4240="","",TEXT(A4240,"0")&amp;"|"&amp;TEXT(H4240,"0"))</f>
        <v/>
      </c>
      <c r="AA4240" t="str">
        <f>IF(Z4240="","",IFERROR(LOOKUP(2,1/(#REF!=Z4240),#REF!),""))</f>
        <v/>
      </c>
      <c r="AB4240" t="str">
        <f>IF(Z4240="","",IFERROR(LOOKUP(2,1/(#REF!=Z4240),#REF!),""))</f>
        <v/>
      </c>
      <c r="AC4240" t="str">
        <f>IF(Z4240="","",COUNTIF(#REF!,Z4240))</f>
        <v/>
      </c>
      <c r="AD4240" t="str">
        <f>IF(A4240="","",IF(AC4240&gt;1,"REVISAR DUPLICADO",IF(AA4240&lt;&gt;"","ACTUALIZADO POR EYR","SIN REPORTE EYR")))</f>
        <v/>
      </c>
    </row>
    <row r="4241" spans="11:30" x14ac:dyDescent="0.3">
      <c r="K4241" s="1" t="str">
        <f ca="1">IF(A4241="","",IF(OR(L4241="ENTREGADA",L4241="RETORNADA",L4241="ENTREGA DIGITAL"),0,MAX(0,5-NETWORKDAYS(H4241+1,TODAY()))))</f>
        <v/>
      </c>
      <c r="L4241" t="str">
        <f>IF(A4241="","",IFERROR(LOOKUP(2,1/(#REF!=Z4241),#REF!),Y4241))</f>
        <v/>
      </c>
      <c r="Z4241" t="str">
        <f>IF(A4241="","",TEXT(A4241,"0")&amp;"|"&amp;TEXT(H4241,"0"))</f>
        <v/>
      </c>
      <c r="AA4241" t="str">
        <f>IF(Z4241="","",IFERROR(LOOKUP(2,1/(#REF!=Z4241),#REF!),""))</f>
        <v/>
      </c>
      <c r="AB4241" t="str">
        <f>IF(Z4241="","",IFERROR(LOOKUP(2,1/(#REF!=Z4241),#REF!),""))</f>
        <v/>
      </c>
      <c r="AC4241" t="str">
        <f>IF(Z4241="","",COUNTIF(#REF!,Z4241))</f>
        <v/>
      </c>
      <c r="AD4241" t="str">
        <f>IF(A4241="","",IF(AC4241&gt;1,"REVISAR DUPLICADO",IF(AA4241&lt;&gt;"","ACTUALIZADO POR EYR","SIN REPORTE EYR")))</f>
        <v/>
      </c>
    </row>
    <row r="4242" spans="11:30" x14ac:dyDescent="0.3">
      <c r="K4242" s="1" t="str">
        <f ca="1">IF(A4242="","",IF(OR(L4242="ENTREGADA",L4242="RETORNADA",L4242="ENTREGA DIGITAL"),0,MAX(0,5-NETWORKDAYS(H4242+1,TODAY()))))</f>
        <v/>
      </c>
      <c r="L4242" t="str">
        <f>IF(A4242="","",IFERROR(LOOKUP(2,1/(#REF!=Z4242),#REF!),Y4242))</f>
        <v/>
      </c>
      <c r="Z4242" t="str">
        <f>IF(A4242="","",TEXT(A4242,"0")&amp;"|"&amp;TEXT(H4242,"0"))</f>
        <v/>
      </c>
      <c r="AA4242" t="str">
        <f>IF(Z4242="","",IFERROR(LOOKUP(2,1/(#REF!=Z4242),#REF!),""))</f>
        <v/>
      </c>
      <c r="AB4242" t="str">
        <f>IF(Z4242="","",IFERROR(LOOKUP(2,1/(#REF!=Z4242),#REF!),""))</f>
        <v/>
      </c>
      <c r="AC4242" t="str">
        <f>IF(Z4242="","",COUNTIF(#REF!,Z4242))</f>
        <v/>
      </c>
      <c r="AD4242" t="str">
        <f>IF(A4242="","",IF(AC4242&gt;1,"REVISAR DUPLICADO",IF(AA4242&lt;&gt;"","ACTUALIZADO POR EYR","SIN REPORTE EYR")))</f>
        <v/>
      </c>
    </row>
    <row r="4243" spans="11:30" x14ac:dyDescent="0.3">
      <c r="K4243" s="1" t="str">
        <f ca="1">IF(A4243="","",IF(OR(L4243="ENTREGADA",L4243="RETORNADA",L4243="ENTREGA DIGITAL"),0,MAX(0,5-NETWORKDAYS(H4243+1,TODAY()))))</f>
        <v/>
      </c>
      <c r="L4243" t="str">
        <f>IF(A4243="","",IFERROR(LOOKUP(2,1/(#REF!=Z4243),#REF!),Y4243))</f>
        <v/>
      </c>
      <c r="Z4243" t="str">
        <f>IF(A4243="","",TEXT(A4243,"0")&amp;"|"&amp;TEXT(H4243,"0"))</f>
        <v/>
      </c>
      <c r="AA4243" t="str">
        <f>IF(Z4243="","",IFERROR(LOOKUP(2,1/(#REF!=Z4243),#REF!),""))</f>
        <v/>
      </c>
      <c r="AB4243" t="str">
        <f>IF(Z4243="","",IFERROR(LOOKUP(2,1/(#REF!=Z4243),#REF!),""))</f>
        <v/>
      </c>
      <c r="AC4243" t="str">
        <f>IF(Z4243="","",COUNTIF(#REF!,Z4243))</f>
        <v/>
      </c>
      <c r="AD4243" t="str">
        <f>IF(A4243="","",IF(AC4243&gt;1,"REVISAR DUPLICADO",IF(AA4243&lt;&gt;"","ACTUALIZADO POR EYR","SIN REPORTE EYR")))</f>
        <v/>
      </c>
    </row>
    <row r="4244" spans="11:30" x14ac:dyDescent="0.3">
      <c r="K4244" s="1" t="str">
        <f ca="1">IF(A4244="","",IF(OR(L4244="ENTREGADA",L4244="RETORNADA",L4244="ENTREGA DIGITAL"),0,MAX(0,5-NETWORKDAYS(H4244+1,TODAY()))))</f>
        <v/>
      </c>
      <c r="L4244" t="str">
        <f>IF(A4244="","",IFERROR(LOOKUP(2,1/(#REF!=Z4244),#REF!),Y4244))</f>
        <v/>
      </c>
      <c r="Z4244" t="str">
        <f>IF(A4244="","",TEXT(A4244,"0")&amp;"|"&amp;TEXT(H4244,"0"))</f>
        <v/>
      </c>
      <c r="AA4244" t="str">
        <f>IF(Z4244="","",IFERROR(LOOKUP(2,1/(#REF!=Z4244),#REF!),""))</f>
        <v/>
      </c>
      <c r="AB4244" t="str">
        <f>IF(Z4244="","",IFERROR(LOOKUP(2,1/(#REF!=Z4244),#REF!),""))</f>
        <v/>
      </c>
      <c r="AC4244" t="str">
        <f>IF(Z4244="","",COUNTIF(#REF!,Z4244))</f>
        <v/>
      </c>
      <c r="AD4244" t="str">
        <f>IF(A4244="","",IF(AC4244&gt;1,"REVISAR DUPLICADO",IF(AA4244&lt;&gt;"","ACTUALIZADO POR EYR","SIN REPORTE EYR")))</f>
        <v/>
      </c>
    </row>
    <row r="4245" spans="11:30" x14ac:dyDescent="0.3">
      <c r="K4245" s="1" t="str">
        <f ca="1">IF(A4245="","",IF(OR(L4245="ENTREGADA",L4245="RETORNADA",L4245="ENTREGA DIGITAL"),0,MAX(0,5-NETWORKDAYS(H4245+1,TODAY()))))</f>
        <v/>
      </c>
      <c r="L4245" t="str">
        <f>IF(A4245="","",IFERROR(LOOKUP(2,1/(#REF!=Z4245),#REF!),Y4245))</f>
        <v/>
      </c>
      <c r="Z4245" t="str">
        <f>IF(A4245="","",TEXT(A4245,"0")&amp;"|"&amp;TEXT(H4245,"0"))</f>
        <v/>
      </c>
      <c r="AA4245" t="str">
        <f>IF(Z4245="","",IFERROR(LOOKUP(2,1/(#REF!=Z4245),#REF!),""))</f>
        <v/>
      </c>
      <c r="AB4245" t="str">
        <f>IF(Z4245="","",IFERROR(LOOKUP(2,1/(#REF!=Z4245),#REF!),""))</f>
        <v/>
      </c>
      <c r="AC4245" t="str">
        <f>IF(Z4245="","",COUNTIF(#REF!,Z4245))</f>
        <v/>
      </c>
      <c r="AD4245" t="str">
        <f>IF(A4245="","",IF(AC4245&gt;1,"REVISAR DUPLICADO",IF(AA4245&lt;&gt;"","ACTUALIZADO POR EYR","SIN REPORTE EYR")))</f>
        <v/>
      </c>
    </row>
    <row r="4246" spans="11:30" x14ac:dyDescent="0.3">
      <c r="K4246" s="1" t="str">
        <f ca="1">IF(A4246="","",IF(OR(L4246="ENTREGADA",L4246="RETORNADA",L4246="ENTREGA DIGITAL"),0,MAX(0,5-NETWORKDAYS(H4246+1,TODAY()))))</f>
        <v/>
      </c>
      <c r="L4246" t="str">
        <f>IF(A4246="","",IFERROR(LOOKUP(2,1/(#REF!=Z4246),#REF!),Y4246))</f>
        <v/>
      </c>
      <c r="Z4246" t="str">
        <f>IF(A4246="","",TEXT(A4246,"0")&amp;"|"&amp;TEXT(H4246,"0"))</f>
        <v/>
      </c>
      <c r="AA4246" t="str">
        <f>IF(Z4246="","",IFERROR(LOOKUP(2,1/(#REF!=Z4246),#REF!),""))</f>
        <v/>
      </c>
      <c r="AB4246" t="str">
        <f>IF(Z4246="","",IFERROR(LOOKUP(2,1/(#REF!=Z4246),#REF!),""))</f>
        <v/>
      </c>
      <c r="AC4246" t="str">
        <f>IF(Z4246="","",COUNTIF(#REF!,Z4246))</f>
        <v/>
      </c>
      <c r="AD4246" t="str">
        <f>IF(A4246="","",IF(AC4246&gt;1,"REVISAR DUPLICADO",IF(AA4246&lt;&gt;"","ACTUALIZADO POR EYR","SIN REPORTE EYR")))</f>
        <v/>
      </c>
    </row>
    <row r="4247" spans="11:30" x14ac:dyDescent="0.3">
      <c r="K4247" s="1" t="str">
        <f ca="1">IF(A4247="","",IF(OR(L4247="ENTREGADA",L4247="RETORNADA",L4247="ENTREGA DIGITAL"),0,MAX(0,5-NETWORKDAYS(H4247+1,TODAY()))))</f>
        <v/>
      </c>
      <c r="L4247" t="str">
        <f>IF(A4247="","",IFERROR(LOOKUP(2,1/(#REF!=Z4247),#REF!),Y4247))</f>
        <v/>
      </c>
      <c r="Z4247" t="str">
        <f>IF(A4247="","",TEXT(A4247,"0")&amp;"|"&amp;TEXT(H4247,"0"))</f>
        <v/>
      </c>
      <c r="AA4247" t="str">
        <f>IF(Z4247="","",IFERROR(LOOKUP(2,1/(#REF!=Z4247),#REF!),""))</f>
        <v/>
      </c>
      <c r="AB4247" t="str">
        <f>IF(Z4247="","",IFERROR(LOOKUP(2,1/(#REF!=Z4247),#REF!),""))</f>
        <v/>
      </c>
      <c r="AC4247" t="str">
        <f>IF(Z4247="","",COUNTIF(#REF!,Z4247))</f>
        <v/>
      </c>
      <c r="AD4247" t="str">
        <f>IF(A4247="","",IF(AC4247&gt;1,"REVISAR DUPLICADO",IF(AA4247&lt;&gt;"","ACTUALIZADO POR EYR","SIN REPORTE EYR")))</f>
        <v/>
      </c>
    </row>
    <row r="4248" spans="11:30" x14ac:dyDescent="0.3">
      <c r="K4248" s="1" t="str">
        <f ca="1">IF(A4248="","",IF(OR(L4248="ENTREGADA",L4248="RETORNADA",L4248="ENTREGA DIGITAL"),0,MAX(0,5-NETWORKDAYS(H4248+1,TODAY()))))</f>
        <v/>
      </c>
      <c r="L4248" t="str">
        <f>IF(A4248="","",IFERROR(LOOKUP(2,1/(#REF!=Z4248),#REF!),Y4248))</f>
        <v/>
      </c>
      <c r="Z4248" t="str">
        <f>IF(A4248="","",TEXT(A4248,"0")&amp;"|"&amp;TEXT(H4248,"0"))</f>
        <v/>
      </c>
      <c r="AA4248" t="str">
        <f>IF(Z4248="","",IFERROR(LOOKUP(2,1/(#REF!=Z4248),#REF!),""))</f>
        <v/>
      </c>
      <c r="AB4248" t="str">
        <f>IF(Z4248="","",IFERROR(LOOKUP(2,1/(#REF!=Z4248),#REF!),""))</f>
        <v/>
      </c>
      <c r="AC4248" t="str">
        <f>IF(Z4248="","",COUNTIF(#REF!,Z4248))</f>
        <v/>
      </c>
      <c r="AD4248" t="str">
        <f>IF(A4248="","",IF(AC4248&gt;1,"REVISAR DUPLICADO",IF(AA4248&lt;&gt;"","ACTUALIZADO POR EYR","SIN REPORTE EYR")))</f>
        <v/>
      </c>
    </row>
    <row r="4249" spans="11:30" x14ac:dyDescent="0.3">
      <c r="K4249" s="1" t="str">
        <f ca="1">IF(A4249="","",IF(OR(L4249="ENTREGADA",L4249="RETORNADA",L4249="ENTREGA DIGITAL"),0,MAX(0,5-NETWORKDAYS(H4249+1,TODAY()))))</f>
        <v/>
      </c>
      <c r="L4249" t="str">
        <f>IF(A4249="","",IFERROR(LOOKUP(2,1/(#REF!=Z4249),#REF!),Y4249))</f>
        <v/>
      </c>
      <c r="Z4249" t="str">
        <f>IF(A4249="","",TEXT(A4249,"0")&amp;"|"&amp;TEXT(H4249,"0"))</f>
        <v/>
      </c>
      <c r="AA4249" t="str">
        <f>IF(Z4249="","",IFERROR(LOOKUP(2,1/(#REF!=Z4249),#REF!),""))</f>
        <v/>
      </c>
      <c r="AB4249" t="str">
        <f>IF(Z4249="","",IFERROR(LOOKUP(2,1/(#REF!=Z4249),#REF!),""))</f>
        <v/>
      </c>
      <c r="AC4249" t="str">
        <f>IF(Z4249="","",COUNTIF(#REF!,Z4249))</f>
        <v/>
      </c>
      <c r="AD4249" t="str">
        <f>IF(A4249="","",IF(AC4249&gt;1,"REVISAR DUPLICADO",IF(AA4249&lt;&gt;"","ACTUALIZADO POR EYR","SIN REPORTE EYR")))</f>
        <v/>
      </c>
    </row>
    <row r="4250" spans="11:30" x14ac:dyDescent="0.3">
      <c r="K4250" s="1" t="str">
        <f ca="1">IF(A4250="","",IF(OR(L4250="ENTREGADA",L4250="RETORNADA",L4250="ENTREGA DIGITAL"),0,MAX(0,5-NETWORKDAYS(H4250+1,TODAY()))))</f>
        <v/>
      </c>
      <c r="L4250" t="str">
        <f>IF(A4250="","",IFERROR(LOOKUP(2,1/(#REF!=Z4250),#REF!),Y4250))</f>
        <v/>
      </c>
      <c r="Z4250" t="str">
        <f>IF(A4250="","",TEXT(A4250,"0")&amp;"|"&amp;TEXT(H4250,"0"))</f>
        <v/>
      </c>
      <c r="AA4250" t="str">
        <f>IF(Z4250="","",IFERROR(LOOKUP(2,1/(#REF!=Z4250),#REF!),""))</f>
        <v/>
      </c>
      <c r="AB4250" t="str">
        <f>IF(Z4250="","",IFERROR(LOOKUP(2,1/(#REF!=Z4250),#REF!),""))</f>
        <v/>
      </c>
      <c r="AC4250" t="str">
        <f>IF(Z4250="","",COUNTIF(#REF!,Z4250))</f>
        <v/>
      </c>
      <c r="AD4250" t="str">
        <f>IF(A4250="","",IF(AC4250&gt;1,"REVISAR DUPLICADO",IF(AA4250&lt;&gt;"","ACTUALIZADO POR EYR","SIN REPORTE EYR")))</f>
        <v/>
      </c>
    </row>
    <row r="4251" spans="11:30" x14ac:dyDescent="0.3">
      <c r="K4251" s="1" t="str">
        <f ca="1">IF(A4251="","",IF(OR(L4251="ENTREGADA",L4251="RETORNADA",L4251="ENTREGA DIGITAL"),0,MAX(0,5-NETWORKDAYS(H4251+1,TODAY()))))</f>
        <v/>
      </c>
      <c r="L4251" t="str">
        <f>IF(A4251="","",IFERROR(LOOKUP(2,1/(#REF!=Z4251),#REF!),Y4251))</f>
        <v/>
      </c>
      <c r="Z4251" t="str">
        <f>IF(A4251="","",TEXT(A4251,"0")&amp;"|"&amp;TEXT(H4251,"0"))</f>
        <v/>
      </c>
      <c r="AA4251" t="str">
        <f>IF(Z4251="","",IFERROR(LOOKUP(2,1/(#REF!=Z4251),#REF!),""))</f>
        <v/>
      </c>
      <c r="AB4251" t="str">
        <f>IF(Z4251="","",IFERROR(LOOKUP(2,1/(#REF!=Z4251),#REF!),""))</f>
        <v/>
      </c>
      <c r="AC4251" t="str">
        <f>IF(Z4251="","",COUNTIF(#REF!,Z4251))</f>
        <v/>
      </c>
      <c r="AD4251" t="str">
        <f>IF(A4251="","",IF(AC4251&gt;1,"REVISAR DUPLICADO",IF(AA4251&lt;&gt;"","ACTUALIZADO POR EYR","SIN REPORTE EYR")))</f>
        <v/>
      </c>
    </row>
    <row r="4252" spans="11:30" x14ac:dyDescent="0.3">
      <c r="K4252" s="1" t="str">
        <f ca="1">IF(A4252="","",IF(OR(L4252="ENTREGADA",L4252="RETORNADA",L4252="ENTREGA DIGITAL"),0,MAX(0,5-NETWORKDAYS(H4252+1,TODAY()))))</f>
        <v/>
      </c>
      <c r="L4252" t="str">
        <f>IF(A4252="","",IFERROR(LOOKUP(2,1/(#REF!=Z4252),#REF!),Y4252))</f>
        <v/>
      </c>
      <c r="Z4252" t="str">
        <f>IF(A4252="","",TEXT(A4252,"0")&amp;"|"&amp;TEXT(H4252,"0"))</f>
        <v/>
      </c>
      <c r="AA4252" t="str">
        <f>IF(Z4252="","",IFERROR(LOOKUP(2,1/(#REF!=Z4252),#REF!),""))</f>
        <v/>
      </c>
      <c r="AB4252" t="str">
        <f>IF(Z4252="","",IFERROR(LOOKUP(2,1/(#REF!=Z4252),#REF!),""))</f>
        <v/>
      </c>
      <c r="AC4252" t="str">
        <f>IF(Z4252="","",COUNTIF(#REF!,Z4252))</f>
        <v/>
      </c>
      <c r="AD4252" t="str">
        <f>IF(A4252="","",IF(AC4252&gt;1,"REVISAR DUPLICADO",IF(AA4252&lt;&gt;"","ACTUALIZADO POR EYR","SIN REPORTE EYR")))</f>
        <v/>
      </c>
    </row>
    <row r="4253" spans="11:30" x14ac:dyDescent="0.3">
      <c r="K4253" s="1" t="str">
        <f ca="1">IF(A4253="","",IF(OR(L4253="ENTREGADA",L4253="RETORNADA",L4253="ENTREGA DIGITAL"),0,MAX(0,5-NETWORKDAYS(H4253+1,TODAY()))))</f>
        <v/>
      </c>
      <c r="L4253" t="str">
        <f>IF(A4253="","",IFERROR(LOOKUP(2,1/(#REF!=Z4253),#REF!),Y4253))</f>
        <v/>
      </c>
      <c r="Z4253" t="str">
        <f>IF(A4253="","",TEXT(A4253,"0")&amp;"|"&amp;TEXT(H4253,"0"))</f>
        <v/>
      </c>
      <c r="AA4253" t="str">
        <f>IF(Z4253="","",IFERROR(LOOKUP(2,1/(#REF!=Z4253),#REF!),""))</f>
        <v/>
      </c>
      <c r="AB4253" t="str">
        <f>IF(Z4253="","",IFERROR(LOOKUP(2,1/(#REF!=Z4253),#REF!),""))</f>
        <v/>
      </c>
      <c r="AC4253" t="str">
        <f>IF(Z4253="","",COUNTIF(#REF!,Z4253))</f>
        <v/>
      </c>
      <c r="AD4253" t="str">
        <f>IF(A4253="","",IF(AC4253&gt;1,"REVISAR DUPLICADO",IF(AA4253&lt;&gt;"","ACTUALIZADO POR EYR","SIN REPORTE EYR")))</f>
        <v/>
      </c>
    </row>
    <row r="4254" spans="11:30" x14ac:dyDescent="0.3">
      <c r="K4254" s="1" t="str">
        <f ca="1">IF(A4254="","",IF(OR(L4254="ENTREGADA",L4254="RETORNADA",L4254="ENTREGA DIGITAL"),0,MAX(0,5-NETWORKDAYS(H4254+1,TODAY()))))</f>
        <v/>
      </c>
      <c r="L4254" t="str">
        <f>IF(A4254="","",IFERROR(LOOKUP(2,1/(#REF!=Z4254),#REF!),Y4254))</f>
        <v/>
      </c>
      <c r="Z4254" t="str">
        <f>IF(A4254="","",TEXT(A4254,"0")&amp;"|"&amp;TEXT(H4254,"0"))</f>
        <v/>
      </c>
      <c r="AA4254" t="str">
        <f>IF(Z4254="","",IFERROR(LOOKUP(2,1/(#REF!=Z4254),#REF!),""))</f>
        <v/>
      </c>
      <c r="AB4254" t="str">
        <f>IF(Z4254="","",IFERROR(LOOKUP(2,1/(#REF!=Z4254),#REF!),""))</f>
        <v/>
      </c>
      <c r="AC4254" t="str">
        <f>IF(Z4254="","",COUNTIF(#REF!,Z4254))</f>
        <v/>
      </c>
      <c r="AD4254" t="str">
        <f>IF(A4254="","",IF(AC4254&gt;1,"REVISAR DUPLICADO",IF(AA4254&lt;&gt;"","ACTUALIZADO POR EYR","SIN REPORTE EYR")))</f>
        <v/>
      </c>
    </row>
    <row r="4255" spans="11:30" x14ac:dyDescent="0.3">
      <c r="K4255" s="1" t="str">
        <f ca="1">IF(A4255="","",IF(OR(L4255="ENTREGADA",L4255="RETORNADA",L4255="ENTREGA DIGITAL"),0,MAX(0,5-NETWORKDAYS(H4255+1,TODAY()))))</f>
        <v/>
      </c>
      <c r="L4255" t="str">
        <f>IF(A4255="","",IFERROR(LOOKUP(2,1/(#REF!=Z4255),#REF!),Y4255))</f>
        <v/>
      </c>
      <c r="Z4255" t="str">
        <f>IF(A4255="","",TEXT(A4255,"0")&amp;"|"&amp;TEXT(H4255,"0"))</f>
        <v/>
      </c>
      <c r="AA4255" t="str">
        <f>IF(Z4255="","",IFERROR(LOOKUP(2,1/(#REF!=Z4255),#REF!),""))</f>
        <v/>
      </c>
      <c r="AB4255" t="str">
        <f>IF(Z4255="","",IFERROR(LOOKUP(2,1/(#REF!=Z4255),#REF!),""))</f>
        <v/>
      </c>
      <c r="AC4255" t="str">
        <f>IF(Z4255="","",COUNTIF(#REF!,Z4255))</f>
        <v/>
      </c>
      <c r="AD4255" t="str">
        <f>IF(A4255="","",IF(AC4255&gt;1,"REVISAR DUPLICADO",IF(AA4255&lt;&gt;"","ACTUALIZADO POR EYR","SIN REPORTE EYR")))</f>
        <v/>
      </c>
    </row>
    <row r="4256" spans="11:30" x14ac:dyDescent="0.3">
      <c r="K4256" s="1" t="str">
        <f ca="1">IF(A4256="","",IF(OR(L4256="ENTREGADA",L4256="RETORNADA",L4256="ENTREGA DIGITAL"),0,MAX(0,5-NETWORKDAYS(H4256+1,TODAY()))))</f>
        <v/>
      </c>
      <c r="L4256" t="str">
        <f>IF(A4256="","",IFERROR(LOOKUP(2,1/(#REF!=Z4256),#REF!),Y4256))</f>
        <v/>
      </c>
      <c r="Z4256" t="str">
        <f>IF(A4256="","",TEXT(A4256,"0")&amp;"|"&amp;TEXT(H4256,"0"))</f>
        <v/>
      </c>
      <c r="AA4256" t="str">
        <f>IF(Z4256="","",IFERROR(LOOKUP(2,1/(#REF!=Z4256),#REF!),""))</f>
        <v/>
      </c>
      <c r="AB4256" t="str">
        <f>IF(Z4256="","",IFERROR(LOOKUP(2,1/(#REF!=Z4256),#REF!),""))</f>
        <v/>
      </c>
      <c r="AC4256" t="str">
        <f>IF(Z4256="","",COUNTIF(#REF!,Z4256))</f>
        <v/>
      </c>
      <c r="AD4256" t="str">
        <f>IF(A4256="","",IF(AC4256&gt;1,"REVISAR DUPLICADO",IF(AA4256&lt;&gt;"","ACTUALIZADO POR EYR","SIN REPORTE EYR")))</f>
        <v/>
      </c>
    </row>
    <row r="4257" spans="11:30" x14ac:dyDescent="0.3">
      <c r="K4257" s="1" t="str">
        <f ca="1">IF(A4257="","",IF(OR(L4257="ENTREGADA",L4257="RETORNADA",L4257="ENTREGA DIGITAL"),0,MAX(0,5-NETWORKDAYS(H4257+1,TODAY()))))</f>
        <v/>
      </c>
      <c r="L4257" t="str">
        <f>IF(A4257="","",IFERROR(LOOKUP(2,1/(#REF!=Z4257),#REF!),Y4257))</f>
        <v/>
      </c>
      <c r="Z4257" t="str">
        <f>IF(A4257="","",TEXT(A4257,"0")&amp;"|"&amp;TEXT(H4257,"0"))</f>
        <v/>
      </c>
      <c r="AA4257" t="str">
        <f>IF(Z4257="","",IFERROR(LOOKUP(2,1/(#REF!=Z4257),#REF!),""))</f>
        <v/>
      </c>
      <c r="AB4257" t="str">
        <f>IF(Z4257="","",IFERROR(LOOKUP(2,1/(#REF!=Z4257),#REF!),""))</f>
        <v/>
      </c>
      <c r="AC4257" t="str">
        <f>IF(Z4257="","",COUNTIF(#REF!,Z4257))</f>
        <v/>
      </c>
      <c r="AD4257" t="str">
        <f>IF(A4257="","",IF(AC4257&gt;1,"REVISAR DUPLICADO",IF(AA4257&lt;&gt;"","ACTUALIZADO POR EYR","SIN REPORTE EYR")))</f>
        <v/>
      </c>
    </row>
    <row r="4258" spans="11:30" x14ac:dyDescent="0.3">
      <c r="K4258" s="1" t="str">
        <f ca="1">IF(A4258="","",IF(OR(L4258="ENTREGADA",L4258="RETORNADA",L4258="ENTREGA DIGITAL"),0,MAX(0,5-NETWORKDAYS(H4258+1,TODAY()))))</f>
        <v/>
      </c>
      <c r="L4258" t="str">
        <f>IF(A4258="","",IFERROR(LOOKUP(2,1/(#REF!=Z4258),#REF!),Y4258))</f>
        <v/>
      </c>
      <c r="Z4258" t="str">
        <f>IF(A4258="","",TEXT(A4258,"0")&amp;"|"&amp;TEXT(H4258,"0"))</f>
        <v/>
      </c>
      <c r="AA4258" t="str">
        <f>IF(Z4258="","",IFERROR(LOOKUP(2,1/(#REF!=Z4258),#REF!),""))</f>
        <v/>
      </c>
      <c r="AB4258" t="str">
        <f>IF(Z4258="","",IFERROR(LOOKUP(2,1/(#REF!=Z4258),#REF!),""))</f>
        <v/>
      </c>
      <c r="AC4258" t="str">
        <f>IF(Z4258="","",COUNTIF(#REF!,Z4258))</f>
        <v/>
      </c>
      <c r="AD4258" t="str">
        <f>IF(A4258="","",IF(AC4258&gt;1,"REVISAR DUPLICADO",IF(AA4258&lt;&gt;"","ACTUALIZADO POR EYR","SIN REPORTE EYR")))</f>
        <v/>
      </c>
    </row>
    <row r="4259" spans="11:30" x14ac:dyDescent="0.3">
      <c r="K4259" s="1" t="str">
        <f ca="1">IF(A4259="","",IF(OR(L4259="ENTREGADA",L4259="RETORNADA",L4259="ENTREGA DIGITAL"),0,MAX(0,5-NETWORKDAYS(H4259+1,TODAY()))))</f>
        <v/>
      </c>
      <c r="L4259" t="str">
        <f>IF(A4259="","",IFERROR(LOOKUP(2,1/(#REF!=Z4259),#REF!),Y4259))</f>
        <v/>
      </c>
      <c r="Z4259" t="str">
        <f>IF(A4259="","",TEXT(A4259,"0")&amp;"|"&amp;TEXT(H4259,"0"))</f>
        <v/>
      </c>
      <c r="AA4259" t="str">
        <f>IF(Z4259="","",IFERROR(LOOKUP(2,1/(#REF!=Z4259),#REF!),""))</f>
        <v/>
      </c>
      <c r="AB4259" t="str">
        <f>IF(Z4259="","",IFERROR(LOOKUP(2,1/(#REF!=Z4259),#REF!),""))</f>
        <v/>
      </c>
      <c r="AC4259" t="str">
        <f>IF(Z4259="","",COUNTIF(#REF!,Z4259))</f>
        <v/>
      </c>
      <c r="AD4259" t="str">
        <f>IF(A4259="","",IF(AC4259&gt;1,"REVISAR DUPLICADO",IF(AA4259&lt;&gt;"","ACTUALIZADO POR EYR","SIN REPORTE EYR")))</f>
        <v/>
      </c>
    </row>
    <row r="4260" spans="11:30" x14ac:dyDescent="0.3">
      <c r="K4260" s="1" t="str">
        <f ca="1">IF(A4260="","",IF(OR(L4260="ENTREGADA",L4260="RETORNADA",L4260="ENTREGA DIGITAL"),0,MAX(0,5-NETWORKDAYS(H4260+1,TODAY()))))</f>
        <v/>
      </c>
      <c r="L4260" t="str">
        <f>IF(A4260="","",IFERROR(LOOKUP(2,1/(#REF!=Z4260),#REF!),Y4260))</f>
        <v/>
      </c>
      <c r="Z4260" t="str">
        <f>IF(A4260="","",TEXT(A4260,"0")&amp;"|"&amp;TEXT(H4260,"0"))</f>
        <v/>
      </c>
      <c r="AA4260" t="str">
        <f>IF(Z4260="","",IFERROR(LOOKUP(2,1/(#REF!=Z4260),#REF!),""))</f>
        <v/>
      </c>
      <c r="AB4260" t="str">
        <f>IF(Z4260="","",IFERROR(LOOKUP(2,1/(#REF!=Z4260),#REF!),""))</f>
        <v/>
      </c>
      <c r="AC4260" t="str">
        <f>IF(Z4260="","",COUNTIF(#REF!,Z4260))</f>
        <v/>
      </c>
      <c r="AD4260" t="str">
        <f>IF(A4260="","",IF(AC4260&gt;1,"REVISAR DUPLICADO",IF(AA4260&lt;&gt;"","ACTUALIZADO POR EYR","SIN REPORTE EYR")))</f>
        <v/>
      </c>
    </row>
    <row r="4261" spans="11:30" x14ac:dyDescent="0.3">
      <c r="K4261" s="1" t="str">
        <f ca="1">IF(A4261="","",IF(OR(L4261="ENTREGADA",L4261="RETORNADA",L4261="ENTREGA DIGITAL"),0,MAX(0,5-NETWORKDAYS(H4261+1,TODAY()))))</f>
        <v/>
      </c>
      <c r="L4261" t="str">
        <f>IF(A4261="","",IFERROR(LOOKUP(2,1/(#REF!=Z4261),#REF!),Y4261))</f>
        <v/>
      </c>
      <c r="Z4261" t="str">
        <f>IF(A4261="","",TEXT(A4261,"0")&amp;"|"&amp;TEXT(H4261,"0"))</f>
        <v/>
      </c>
      <c r="AA4261" t="str">
        <f>IF(Z4261="","",IFERROR(LOOKUP(2,1/(#REF!=Z4261),#REF!),""))</f>
        <v/>
      </c>
      <c r="AB4261" t="str">
        <f>IF(Z4261="","",IFERROR(LOOKUP(2,1/(#REF!=Z4261),#REF!),""))</f>
        <v/>
      </c>
      <c r="AC4261" t="str">
        <f>IF(Z4261="","",COUNTIF(#REF!,Z4261))</f>
        <v/>
      </c>
      <c r="AD4261" t="str">
        <f>IF(A4261="","",IF(AC4261&gt;1,"REVISAR DUPLICADO",IF(AA4261&lt;&gt;"","ACTUALIZADO POR EYR","SIN REPORTE EYR")))</f>
        <v/>
      </c>
    </row>
    <row r="4262" spans="11:30" x14ac:dyDescent="0.3">
      <c r="K4262" s="1" t="str">
        <f ca="1">IF(A4262="","",IF(OR(L4262="ENTREGADA",L4262="RETORNADA",L4262="ENTREGA DIGITAL"),0,MAX(0,5-NETWORKDAYS(H4262+1,TODAY()))))</f>
        <v/>
      </c>
      <c r="L4262" t="str">
        <f>IF(A4262="","",IFERROR(LOOKUP(2,1/(#REF!=Z4262),#REF!),Y4262))</f>
        <v/>
      </c>
      <c r="Z4262" t="str">
        <f>IF(A4262="","",TEXT(A4262,"0")&amp;"|"&amp;TEXT(H4262,"0"))</f>
        <v/>
      </c>
      <c r="AA4262" t="str">
        <f>IF(Z4262="","",IFERROR(LOOKUP(2,1/(#REF!=Z4262),#REF!),""))</f>
        <v/>
      </c>
      <c r="AB4262" t="str">
        <f>IF(Z4262="","",IFERROR(LOOKUP(2,1/(#REF!=Z4262),#REF!),""))</f>
        <v/>
      </c>
      <c r="AC4262" t="str">
        <f>IF(Z4262="","",COUNTIF(#REF!,Z4262))</f>
        <v/>
      </c>
      <c r="AD4262" t="str">
        <f>IF(A4262="","",IF(AC4262&gt;1,"REVISAR DUPLICADO",IF(AA4262&lt;&gt;"","ACTUALIZADO POR EYR","SIN REPORTE EYR")))</f>
        <v/>
      </c>
    </row>
    <row r="4263" spans="11:30" x14ac:dyDescent="0.3">
      <c r="K4263" s="1" t="str">
        <f ca="1">IF(A4263="","",IF(OR(L4263="ENTREGADA",L4263="RETORNADA",L4263="ENTREGA DIGITAL"),0,MAX(0,5-NETWORKDAYS(H4263+1,TODAY()))))</f>
        <v/>
      </c>
      <c r="L4263" t="str">
        <f>IF(A4263="","",IFERROR(LOOKUP(2,1/(#REF!=Z4263),#REF!),Y4263))</f>
        <v/>
      </c>
      <c r="Z4263" t="str">
        <f>IF(A4263="","",TEXT(A4263,"0")&amp;"|"&amp;TEXT(H4263,"0"))</f>
        <v/>
      </c>
      <c r="AA4263" t="str">
        <f>IF(Z4263="","",IFERROR(LOOKUP(2,1/(#REF!=Z4263),#REF!),""))</f>
        <v/>
      </c>
      <c r="AB4263" t="str">
        <f>IF(Z4263="","",IFERROR(LOOKUP(2,1/(#REF!=Z4263),#REF!),""))</f>
        <v/>
      </c>
      <c r="AC4263" t="str">
        <f>IF(Z4263="","",COUNTIF(#REF!,Z4263))</f>
        <v/>
      </c>
      <c r="AD4263" t="str">
        <f>IF(A4263="","",IF(AC4263&gt;1,"REVISAR DUPLICADO",IF(AA4263&lt;&gt;"","ACTUALIZADO POR EYR","SIN REPORTE EYR")))</f>
        <v/>
      </c>
    </row>
    <row r="4264" spans="11:30" x14ac:dyDescent="0.3">
      <c r="K4264" s="1" t="str">
        <f ca="1">IF(A4264="","",IF(OR(L4264="ENTREGADA",L4264="RETORNADA",L4264="ENTREGA DIGITAL"),0,MAX(0,5-NETWORKDAYS(H4264+1,TODAY()))))</f>
        <v/>
      </c>
      <c r="L4264" t="str">
        <f>IF(A4264="","",IFERROR(LOOKUP(2,1/(#REF!=Z4264),#REF!),Y4264))</f>
        <v/>
      </c>
      <c r="Z4264" t="str">
        <f>IF(A4264="","",TEXT(A4264,"0")&amp;"|"&amp;TEXT(H4264,"0"))</f>
        <v/>
      </c>
      <c r="AA4264" t="str">
        <f>IF(Z4264="","",IFERROR(LOOKUP(2,1/(#REF!=Z4264),#REF!),""))</f>
        <v/>
      </c>
      <c r="AB4264" t="str">
        <f>IF(Z4264="","",IFERROR(LOOKUP(2,1/(#REF!=Z4264),#REF!),""))</f>
        <v/>
      </c>
      <c r="AC4264" t="str">
        <f>IF(Z4264="","",COUNTIF(#REF!,Z4264))</f>
        <v/>
      </c>
      <c r="AD4264" t="str">
        <f>IF(A4264="","",IF(AC4264&gt;1,"REVISAR DUPLICADO",IF(AA4264&lt;&gt;"","ACTUALIZADO POR EYR","SIN REPORTE EYR")))</f>
        <v/>
      </c>
    </row>
    <row r="4265" spans="11:30" x14ac:dyDescent="0.3">
      <c r="K4265" s="1" t="str">
        <f ca="1">IF(A4265="","",IF(OR(L4265="ENTREGADA",L4265="RETORNADA",L4265="ENTREGA DIGITAL"),0,MAX(0,5-NETWORKDAYS(H4265+1,TODAY()))))</f>
        <v/>
      </c>
      <c r="L4265" t="str">
        <f>IF(A4265="","",IFERROR(LOOKUP(2,1/(#REF!=Z4265),#REF!),Y4265))</f>
        <v/>
      </c>
      <c r="Z4265" t="str">
        <f>IF(A4265="","",TEXT(A4265,"0")&amp;"|"&amp;TEXT(H4265,"0"))</f>
        <v/>
      </c>
      <c r="AA4265" t="str">
        <f>IF(Z4265="","",IFERROR(LOOKUP(2,1/(#REF!=Z4265),#REF!),""))</f>
        <v/>
      </c>
      <c r="AB4265" t="str">
        <f>IF(Z4265="","",IFERROR(LOOKUP(2,1/(#REF!=Z4265),#REF!),""))</f>
        <v/>
      </c>
      <c r="AC4265" t="str">
        <f>IF(Z4265="","",COUNTIF(#REF!,Z4265))</f>
        <v/>
      </c>
      <c r="AD4265" t="str">
        <f>IF(A4265="","",IF(AC4265&gt;1,"REVISAR DUPLICADO",IF(AA4265&lt;&gt;"","ACTUALIZADO POR EYR","SIN REPORTE EYR")))</f>
        <v/>
      </c>
    </row>
    <row r="4266" spans="11:30" x14ac:dyDescent="0.3">
      <c r="K4266" s="1" t="str">
        <f ca="1">IF(A4266="","",IF(OR(L4266="ENTREGADA",L4266="RETORNADA",L4266="ENTREGA DIGITAL"),0,MAX(0,5-NETWORKDAYS(H4266+1,TODAY()))))</f>
        <v/>
      </c>
      <c r="L4266" t="str">
        <f>IF(A4266="","",IFERROR(LOOKUP(2,1/(#REF!=Z4266),#REF!),Y4266))</f>
        <v/>
      </c>
      <c r="Z4266" t="str">
        <f>IF(A4266="","",TEXT(A4266,"0")&amp;"|"&amp;TEXT(H4266,"0"))</f>
        <v/>
      </c>
      <c r="AA4266" t="str">
        <f>IF(Z4266="","",IFERROR(LOOKUP(2,1/(#REF!=Z4266),#REF!),""))</f>
        <v/>
      </c>
      <c r="AB4266" t="str">
        <f>IF(Z4266="","",IFERROR(LOOKUP(2,1/(#REF!=Z4266),#REF!),""))</f>
        <v/>
      </c>
      <c r="AC4266" t="str">
        <f>IF(Z4266="","",COUNTIF(#REF!,Z4266))</f>
        <v/>
      </c>
      <c r="AD4266" t="str">
        <f>IF(A4266="","",IF(AC4266&gt;1,"REVISAR DUPLICADO",IF(AA4266&lt;&gt;"","ACTUALIZADO POR EYR","SIN REPORTE EYR")))</f>
        <v/>
      </c>
    </row>
    <row r="4267" spans="11:30" x14ac:dyDescent="0.3">
      <c r="K4267" s="1" t="str">
        <f ca="1">IF(A4267="","",IF(OR(L4267="ENTREGADA",L4267="RETORNADA",L4267="ENTREGA DIGITAL"),0,MAX(0,5-NETWORKDAYS(H4267+1,TODAY()))))</f>
        <v/>
      </c>
      <c r="L4267" t="str">
        <f>IF(A4267="","",IFERROR(LOOKUP(2,1/(#REF!=Z4267),#REF!),Y4267))</f>
        <v/>
      </c>
      <c r="Z4267" t="str">
        <f>IF(A4267="","",TEXT(A4267,"0")&amp;"|"&amp;TEXT(H4267,"0"))</f>
        <v/>
      </c>
      <c r="AA4267" t="str">
        <f>IF(Z4267="","",IFERROR(LOOKUP(2,1/(#REF!=Z4267),#REF!),""))</f>
        <v/>
      </c>
      <c r="AB4267" t="str">
        <f>IF(Z4267="","",IFERROR(LOOKUP(2,1/(#REF!=Z4267),#REF!),""))</f>
        <v/>
      </c>
      <c r="AC4267" t="str">
        <f>IF(Z4267="","",COUNTIF(#REF!,Z4267))</f>
        <v/>
      </c>
      <c r="AD4267" t="str">
        <f>IF(A4267="","",IF(AC4267&gt;1,"REVISAR DUPLICADO",IF(AA4267&lt;&gt;"","ACTUALIZADO POR EYR","SIN REPORTE EYR")))</f>
        <v/>
      </c>
    </row>
    <row r="4268" spans="11:30" x14ac:dyDescent="0.3">
      <c r="K4268" s="1" t="str">
        <f ca="1">IF(A4268="","",IF(OR(L4268="ENTREGADA",L4268="RETORNADA",L4268="ENTREGA DIGITAL"),0,MAX(0,5-NETWORKDAYS(H4268+1,TODAY()))))</f>
        <v/>
      </c>
      <c r="L4268" t="str">
        <f>IF(A4268="","",IFERROR(LOOKUP(2,1/(#REF!=Z4268),#REF!),Y4268))</f>
        <v/>
      </c>
      <c r="Z4268" t="str">
        <f>IF(A4268="","",TEXT(A4268,"0")&amp;"|"&amp;TEXT(H4268,"0"))</f>
        <v/>
      </c>
      <c r="AA4268" t="str">
        <f>IF(Z4268="","",IFERROR(LOOKUP(2,1/(#REF!=Z4268),#REF!),""))</f>
        <v/>
      </c>
      <c r="AB4268" t="str">
        <f>IF(Z4268="","",IFERROR(LOOKUP(2,1/(#REF!=Z4268),#REF!),""))</f>
        <v/>
      </c>
      <c r="AC4268" t="str">
        <f>IF(Z4268="","",COUNTIF(#REF!,Z4268))</f>
        <v/>
      </c>
      <c r="AD4268" t="str">
        <f>IF(A4268="","",IF(AC4268&gt;1,"REVISAR DUPLICADO",IF(AA4268&lt;&gt;"","ACTUALIZADO POR EYR","SIN REPORTE EYR")))</f>
        <v/>
      </c>
    </row>
    <row r="4269" spans="11:30" x14ac:dyDescent="0.3">
      <c r="K4269" s="1" t="str">
        <f ca="1">IF(A4269="","",IF(OR(L4269="ENTREGADA",L4269="RETORNADA",L4269="ENTREGA DIGITAL"),0,MAX(0,5-NETWORKDAYS(H4269+1,TODAY()))))</f>
        <v/>
      </c>
      <c r="L4269" t="str">
        <f>IF(A4269="","",IFERROR(LOOKUP(2,1/(#REF!=Z4269),#REF!),Y4269))</f>
        <v/>
      </c>
      <c r="Z4269" t="str">
        <f>IF(A4269="","",TEXT(A4269,"0")&amp;"|"&amp;TEXT(H4269,"0"))</f>
        <v/>
      </c>
      <c r="AA4269" t="str">
        <f>IF(Z4269="","",IFERROR(LOOKUP(2,1/(#REF!=Z4269),#REF!),""))</f>
        <v/>
      </c>
      <c r="AB4269" t="str">
        <f>IF(Z4269="","",IFERROR(LOOKUP(2,1/(#REF!=Z4269),#REF!),""))</f>
        <v/>
      </c>
      <c r="AC4269" t="str">
        <f>IF(Z4269="","",COUNTIF(#REF!,Z4269))</f>
        <v/>
      </c>
      <c r="AD4269" t="str">
        <f>IF(A4269="","",IF(AC4269&gt;1,"REVISAR DUPLICADO",IF(AA4269&lt;&gt;"","ACTUALIZADO POR EYR","SIN REPORTE EYR")))</f>
        <v/>
      </c>
    </row>
    <row r="4270" spans="11:30" x14ac:dyDescent="0.3">
      <c r="K4270" s="1" t="str">
        <f ca="1">IF(A4270="","",IF(OR(L4270="ENTREGADA",L4270="RETORNADA",L4270="ENTREGA DIGITAL"),0,MAX(0,5-NETWORKDAYS(H4270+1,TODAY()))))</f>
        <v/>
      </c>
      <c r="L4270" t="str">
        <f>IF(A4270="","",IFERROR(LOOKUP(2,1/(#REF!=Z4270),#REF!),Y4270))</f>
        <v/>
      </c>
      <c r="Z4270" t="str">
        <f>IF(A4270="","",TEXT(A4270,"0")&amp;"|"&amp;TEXT(H4270,"0"))</f>
        <v/>
      </c>
      <c r="AA4270" t="str">
        <f>IF(Z4270="","",IFERROR(LOOKUP(2,1/(#REF!=Z4270),#REF!),""))</f>
        <v/>
      </c>
      <c r="AB4270" t="str">
        <f>IF(Z4270="","",IFERROR(LOOKUP(2,1/(#REF!=Z4270),#REF!),""))</f>
        <v/>
      </c>
      <c r="AC4270" t="str">
        <f>IF(Z4270="","",COUNTIF(#REF!,Z4270))</f>
        <v/>
      </c>
      <c r="AD4270" t="str">
        <f>IF(A4270="","",IF(AC4270&gt;1,"REVISAR DUPLICADO",IF(AA4270&lt;&gt;"","ACTUALIZADO POR EYR","SIN REPORTE EYR")))</f>
        <v/>
      </c>
    </row>
    <row r="4271" spans="11:30" x14ac:dyDescent="0.3">
      <c r="K4271" s="1" t="str">
        <f ca="1">IF(A4271="","",IF(OR(L4271="ENTREGADA",L4271="RETORNADA",L4271="ENTREGA DIGITAL"),0,MAX(0,5-NETWORKDAYS(H4271+1,TODAY()))))</f>
        <v/>
      </c>
      <c r="L4271" t="str">
        <f>IF(A4271="","",IFERROR(LOOKUP(2,1/(#REF!=Z4271),#REF!),Y4271))</f>
        <v/>
      </c>
      <c r="Z4271" t="str">
        <f>IF(A4271="","",TEXT(A4271,"0")&amp;"|"&amp;TEXT(H4271,"0"))</f>
        <v/>
      </c>
      <c r="AA4271" t="str">
        <f>IF(Z4271="","",IFERROR(LOOKUP(2,1/(#REF!=Z4271),#REF!),""))</f>
        <v/>
      </c>
      <c r="AB4271" t="str">
        <f>IF(Z4271="","",IFERROR(LOOKUP(2,1/(#REF!=Z4271),#REF!),""))</f>
        <v/>
      </c>
      <c r="AC4271" t="str">
        <f>IF(Z4271="","",COUNTIF(#REF!,Z4271))</f>
        <v/>
      </c>
      <c r="AD4271" t="str">
        <f>IF(A4271="","",IF(AC4271&gt;1,"REVISAR DUPLICADO",IF(AA4271&lt;&gt;"","ACTUALIZADO POR EYR","SIN REPORTE EYR")))</f>
        <v/>
      </c>
    </row>
    <row r="4272" spans="11:30" x14ac:dyDescent="0.3">
      <c r="K4272" s="1" t="str">
        <f ca="1">IF(A4272="","",IF(OR(L4272="ENTREGADA",L4272="RETORNADA",L4272="ENTREGA DIGITAL"),0,MAX(0,5-NETWORKDAYS(H4272+1,TODAY()))))</f>
        <v/>
      </c>
      <c r="L4272" t="str">
        <f>IF(A4272="","",IFERROR(LOOKUP(2,1/(#REF!=Z4272),#REF!),Y4272))</f>
        <v/>
      </c>
      <c r="Z4272" t="str">
        <f>IF(A4272="","",TEXT(A4272,"0")&amp;"|"&amp;TEXT(H4272,"0"))</f>
        <v/>
      </c>
      <c r="AA4272" t="str">
        <f>IF(Z4272="","",IFERROR(LOOKUP(2,1/(#REF!=Z4272),#REF!),""))</f>
        <v/>
      </c>
      <c r="AB4272" t="str">
        <f>IF(Z4272="","",IFERROR(LOOKUP(2,1/(#REF!=Z4272),#REF!),""))</f>
        <v/>
      </c>
      <c r="AC4272" t="str">
        <f>IF(Z4272="","",COUNTIF(#REF!,Z4272))</f>
        <v/>
      </c>
      <c r="AD4272" t="str">
        <f>IF(A4272="","",IF(AC4272&gt;1,"REVISAR DUPLICADO",IF(AA4272&lt;&gt;"","ACTUALIZADO POR EYR","SIN REPORTE EYR")))</f>
        <v/>
      </c>
    </row>
    <row r="4273" spans="11:30" x14ac:dyDescent="0.3">
      <c r="K4273" s="1" t="str">
        <f ca="1">IF(A4273="","",IF(OR(L4273="ENTREGADA",L4273="RETORNADA",L4273="ENTREGA DIGITAL"),0,MAX(0,5-NETWORKDAYS(H4273+1,TODAY()))))</f>
        <v/>
      </c>
      <c r="L4273" t="str">
        <f>IF(A4273="","",IFERROR(LOOKUP(2,1/(#REF!=Z4273),#REF!),Y4273))</f>
        <v/>
      </c>
      <c r="Z4273" t="str">
        <f>IF(A4273="","",TEXT(A4273,"0")&amp;"|"&amp;TEXT(H4273,"0"))</f>
        <v/>
      </c>
      <c r="AA4273" t="str">
        <f>IF(Z4273="","",IFERROR(LOOKUP(2,1/(#REF!=Z4273),#REF!),""))</f>
        <v/>
      </c>
      <c r="AB4273" t="str">
        <f>IF(Z4273="","",IFERROR(LOOKUP(2,1/(#REF!=Z4273),#REF!),""))</f>
        <v/>
      </c>
      <c r="AC4273" t="str">
        <f>IF(Z4273="","",COUNTIF(#REF!,Z4273))</f>
        <v/>
      </c>
      <c r="AD4273" t="str">
        <f>IF(A4273="","",IF(AC4273&gt;1,"REVISAR DUPLICADO",IF(AA4273&lt;&gt;"","ACTUALIZADO POR EYR","SIN REPORTE EYR")))</f>
        <v/>
      </c>
    </row>
    <row r="4274" spans="11:30" x14ac:dyDescent="0.3">
      <c r="K4274" s="1" t="str">
        <f ca="1">IF(A4274="","",IF(OR(L4274="ENTREGADA",L4274="RETORNADA",L4274="ENTREGA DIGITAL"),0,MAX(0,5-NETWORKDAYS(H4274+1,TODAY()))))</f>
        <v/>
      </c>
      <c r="L4274" t="str">
        <f>IF(A4274="","",IFERROR(LOOKUP(2,1/(#REF!=Z4274),#REF!),Y4274))</f>
        <v/>
      </c>
      <c r="Z4274" t="str">
        <f>IF(A4274="","",TEXT(A4274,"0")&amp;"|"&amp;TEXT(H4274,"0"))</f>
        <v/>
      </c>
      <c r="AA4274" t="str">
        <f>IF(Z4274="","",IFERROR(LOOKUP(2,1/(#REF!=Z4274),#REF!),""))</f>
        <v/>
      </c>
      <c r="AB4274" t="str">
        <f>IF(Z4274="","",IFERROR(LOOKUP(2,1/(#REF!=Z4274),#REF!),""))</f>
        <v/>
      </c>
      <c r="AC4274" t="str">
        <f>IF(Z4274="","",COUNTIF(#REF!,Z4274))</f>
        <v/>
      </c>
      <c r="AD4274" t="str">
        <f>IF(A4274="","",IF(AC4274&gt;1,"REVISAR DUPLICADO",IF(AA4274&lt;&gt;"","ACTUALIZADO POR EYR","SIN REPORTE EYR")))</f>
        <v/>
      </c>
    </row>
    <row r="4275" spans="11:30" x14ac:dyDescent="0.3">
      <c r="K4275" s="1" t="str">
        <f ca="1">IF(A4275="","",IF(OR(L4275="ENTREGADA",L4275="RETORNADA",L4275="ENTREGA DIGITAL"),0,MAX(0,5-NETWORKDAYS(H4275+1,TODAY()))))</f>
        <v/>
      </c>
      <c r="L4275" t="str">
        <f>IF(A4275="","",IFERROR(LOOKUP(2,1/(#REF!=Z4275),#REF!),Y4275))</f>
        <v/>
      </c>
      <c r="Z4275" t="str">
        <f>IF(A4275="","",TEXT(A4275,"0")&amp;"|"&amp;TEXT(H4275,"0"))</f>
        <v/>
      </c>
      <c r="AA4275" t="str">
        <f>IF(Z4275="","",IFERROR(LOOKUP(2,1/(#REF!=Z4275),#REF!),""))</f>
        <v/>
      </c>
      <c r="AB4275" t="str">
        <f>IF(Z4275="","",IFERROR(LOOKUP(2,1/(#REF!=Z4275),#REF!),""))</f>
        <v/>
      </c>
      <c r="AC4275" t="str">
        <f>IF(Z4275="","",COUNTIF(#REF!,Z4275))</f>
        <v/>
      </c>
      <c r="AD4275" t="str">
        <f>IF(A4275="","",IF(AC4275&gt;1,"REVISAR DUPLICADO",IF(AA4275&lt;&gt;"","ACTUALIZADO POR EYR","SIN REPORTE EYR")))</f>
        <v/>
      </c>
    </row>
    <row r="4276" spans="11:30" x14ac:dyDescent="0.3">
      <c r="K4276" s="1" t="str">
        <f ca="1">IF(A4276="","",IF(OR(L4276="ENTREGADA",L4276="RETORNADA",L4276="ENTREGA DIGITAL"),0,MAX(0,5-NETWORKDAYS(H4276+1,TODAY()))))</f>
        <v/>
      </c>
      <c r="L4276" t="str">
        <f>IF(A4276="","",IFERROR(LOOKUP(2,1/(#REF!=Z4276),#REF!),Y4276))</f>
        <v/>
      </c>
      <c r="Z4276" t="str">
        <f>IF(A4276="","",TEXT(A4276,"0")&amp;"|"&amp;TEXT(H4276,"0"))</f>
        <v/>
      </c>
      <c r="AA4276" t="str">
        <f>IF(Z4276="","",IFERROR(LOOKUP(2,1/(#REF!=Z4276),#REF!),""))</f>
        <v/>
      </c>
      <c r="AB4276" t="str">
        <f>IF(Z4276="","",IFERROR(LOOKUP(2,1/(#REF!=Z4276),#REF!),""))</f>
        <v/>
      </c>
      <c r="AC4276" t="str">
        <f>IF(Z4276="","",COUNTIF(#REF!,Z4276))</f>
        <v/>
      </c>
      <c r="AD4276" t="str">
        <f>IF(A4276="","",IF(AC4276&gt;1,"REVISAR DUPLICADO",IF(AA4276&lt;&gt;"","ACTUALIZADO POR EYR","SIN REPORTE EYR")))</f>
        <v/>
      </c>
    </row>
    <row r="4277" spans="11:30" x14ac:dyDescent="0.3">
      <c r="K4277" s="1" t="str">
        <f ca="1">IF(A4277="","",IF(OR(L4277="ENTREGADA",L4277="RETORNADA",L4277="ENTREGA DIGITAL"),0,MAX(0,5-NETWORKDAYS(H4277+1,TODAY()))))</f>
        <v/>
      </c>
      <c r="L4277" t="str">
        <f>IF(A4277="","",IFERROR(LOOKUP(2,1/(#REF!=Z4277),#REF!),Y4277))</f>
        <v/>
      </c>
      <c r="Z4277" t="str">
        <f>IF(A4277="","",TEXT(A4277,"0")&amp;"|"&amp;TEXT(H4277,"0"))</f>
        <v/>
      </c>
      <c r="AA4277" t="str">
        <f>IF(Z4277="","",IFERROR(LOOKUP(2,1/(#REF!=Z4277),#REF!),""))</f>
        <v/>
      </c>
      <c r="AB4277" t="str">
        <f>IF(Z4277="","",IFERROR(LOOKUP(2,1/(#REF!=Z4277),#REF!),""))</f>
        <v/>
      </c>
      <c r="AC4277" t="str">
        <f>IF(Z4277="","",COUNTIF(#REF!,Z4277))</f>
        <v/>
      </c>
      <c r="AD4277" t="str">
        <f>IF(A4277="","",IF(AC4277&gt;1,"REVISAR DUPLICADO",IF(AA4277&lt;&gt;"","ACTUALIZADO POR EYR","SIN REPORTE EYR")))</f>
        <v/>
      </c>
    </row>
    <row r="4278" spans="11:30" x14ac:dyDescent="0.3">
      <c r="K4278" s="1" t="str">
        <f ca="1">IF(A4278="","",IF(OR(L4278="ENTREGADA",L4278="RETORNADA",L4278="ENTREGA DIGITAL"),0,MAX(0,5-NETWORKDAYS(H4278+1,TODAY()))))</f>
        <v/>
      </c>
      <c r="L4278" t="str">
        <f>IF(A4278="","",IFERROR(LOOKUP(2,1/(#REF!=Z4278),#REF!),Y4278))</f>
        <v/>
      </c>
      <c r="Z4278" t="str">
        <f>IF(A4278="","",TEXT(A4278,"0")&amp;"|"&amp;TEXT(H4278,"0"))</f>
        <v/>
      </c>
      <c r="AA4278" t="str">
        <f>IF(Z4278="","",IFERROR(LOOKUP(2,1/(#REF!=Z4278),#REF!),""))</f>
        <v/>
      </c>
      <c r="AB4278" t="str">
        <f>IF(Z4278="","",IFERROR(LOOKUP(2,1/(#REF!=Z4278),#REF!),""))</f>
        <v/>
      </c>
      <c r="AC4278" t="str">
        <f>IF(Z4278="","",COUNTIF(#REF!,Z4278))</f>
        <v/>
      </c>
      <c r="AD4278" t="str">
        <f>IF(A4278="","",IF(AC4278&gt;1,"REVISAR DUPLICADO",IF(AA4278&lt;&gt;"","ACTUALIZADO POR EYR","SIN REPORTE EYR")))</f>
        <v/>
      </c>
    </row>
    <row r="4279" spans="11:30" x14ac:dyDescent="0.3">
      <c r="K4279" s="1" t="str">
        <f ca="1">IF(A4279="","",IF(OR(L4279="ENTREGADA",L4279="RETORNADA",L4279="ENTREGA DIGITAL"),0,MAX(0,5-NETWORKDAYS(H4279+1,TODAY()))))</f>
        <v/>
      </c>
      <c r="L4279" t="str">
        <f>IF(A4279="","",IFERROR(LOOKUP(2,1/(#REF!=Z4279),#REF!),Y4279))</f>
        <v/>
      </c>
      <c r="Z4279" t="str">
        <f>IF(A4279="","",TEXT(A4279,"0")&amp;"|"&amp;TEXT(H4279,"0"))</f>
        <v/>
      </c>
      <c r="AA4279" t="str">
        <f>IF(Z4279="","",IFERROR(LOOKUP(2,1/(#REF!=Z4279),#REF!),""))</f>
        <v/>
      </c>
      <c r="AB4279" t="str">
        <f>IF(Z4279="","",IFERROR(LOOKUP(2,1/(#REF!=Z4279),#REF!),""))</f>
        <v/>
      </c>
      <c r="AC4279" t="str">
        <f>IF(Z4279="","",COUNTIF(#REF!,Z4279))</f>
        <v/>
      </c>
      <c r="AD4279" t="str">
        <f>IF(A4279="","",IF(AC4279&gt;1,"REVISAR DUPLICADO",IF(AA4279&lt;&gt;"","ACTUALIZADO POR EYR","SIN REPORTE EYR")))</f>
        <v/>
      </c>
    </row>
    <row r="4280" spans="11:30" x14ac:dyDescent="0.3">
      <c r="K4280" s="1" t="str">
        <f ca="1">IF(A4280="","",IF(OR(L4280="ENTREGADA",L4280="RETORNADA",L4280="ENTREGA DIGITAL"),0,MAX(0,5-NETWORKDAYS(H4280+1,TODAY()))))</f>
        <v/>
      </c>
      <c r="L4280" t="str">
        <f>IF(A4280="","",IFERROR(LOOKUP(2,1/(#REF!=Z4280),#REF!),Y4280))</f>
        <v/>
      </c>
      <c r="Z4280" t="str">
        <f>IF(A4280="","",TEXT(A4280,"0")&amp;"|"&amp;TEXT(H4280,"0"))</f>
        <v/>
      </c>
      <c r="AA4280" t="str">
        <f>IF(Z4280="","",IFERROR(LOOKUP(2,1/(#REF!=Z4280),#REF!),""))</f>
        <v/>
      </c>
      <c r="AB4280" t="str">
        <f>IF(Z4280="","",IFERROR(LOOKUP(2,1/(#REF!=Z4280),#REF!),""))</f>
        <v/>
      </c>
      <c r="AC4280" t="str">
        <f>IF(Z4280="","",COUNTIF(#REF!,Z4280))</f>
        <v/>
      </c>
      <c r="AD4280" t="str">
        <f>IF(A4280="","",IF(AC4280&gt;1,"REVISAR DUPLICADO",IF(AA4280&lt;&gt;"","ACTUALIZADO POR EYR","SIN REPORTE EYR")))</f>
        <v/>
      </c>
    </row>
    <row r="4281" spans="11:30" x14ac:dyDescent="0.3">
      <c r="K4281" s="1" t="str">
        <f ca="1">IF(A4281="","",IF(OR(L4281="ENTREGADA",L4281="RETORNADA",L4281="ENTREGA DIGITAL"),0,MAX(0,5-NETWORKDAYS(H4281+1,TODAY()))))</f>
        <v/>
      </c>
      <c r="L4281" t="str">
        <f>IF(A4281="","",IFERROR(LOOKUP(2,1/(#REF!=Z4281),#REF!),Y4281))</f>
        <v/>
      </c>
      <c r="Z4281" t="str">
        <f>IF(A4281="","",TEXT(A4281,"0")&amp;"|"&amp;TEXT(H4281,"0"))</f>
        <v/>
      </c>
      <c r="AA4281" t="str">
        <f>IF(Z4281="","",IFERROR(LOOKUP(2,1/(#REF!=Z4281),#REF!),""))</f>
        <v/>
      </c>
      <c r="AB4281" t="str">
        <f>IF(Z4281="","",IFERROR(LOOKUP(2,1/(#REF!=Z4281),#REF!),""))</f>
        <v/>
      </c>
      <c r="AC4281" t="str">
        <f>IF(Z4281="","",COUNTIF(#REF!,Z4281))</f>
        <v/>
      </c>
      <c r="AD4281" t="str">
        <f>IF(A4281="","",IF(AC4281&gt;1,"REVISAR DUPLICADO",IF(AA4281&lt;&gt;"","ACTUALIZADO POR EYR","SIN REPORTE EYR")))</f>
        <v/>
      </c>
    </row>
    <row r="4282" spans="11:30" x14ac:dyDescent="0.3">
      <c r="K4282" s="1" t="str">
        <f ca="1">IF(A4282="","",IF(OR(L4282="ENTREGADA",L4282="RETORNADA",L4282="ENTREGA DIGITAL"),0,MAX(0,5-NETWORKDAYS(H4282+1,TODAY()))))</f>
        <v/>
      </c>
      <c r="L4282" t="str">
        <f>IF(A4282="","",IFERROR(LOOKUP(2,1/(#REF!=Z4282),#REF!),Y4282))</f>
        <v/>
      </c>
      <c r="Z4282" t="str">
        <f>IF(A4282="","",TEXT(A4282,"0")&amp;"|"&amp;TEXT(H4282,"0"))</f>
        <v/>
      </c>
      <c r="AA4282" t="str">
        <f>IF(Z4282="","",IFERROR(LOOKUP(2,1/(#REF!=Z4282),#REF!),""))</f>
        <v/>
      </c>
      <c r="AB4282" t="str">
        <f>IF(Z4282="","",IFERROR(LOOKUP(2,1/(#REF!=Z4282),#REF!),""))</f>
        <v/>
      </c>
      <c r="AC4282" t="str">
        <f>IF(Z4282="","",COUNTIF(#REF!,Z4282))</f>
        <v/>
      </c>
      <c r="AD4282" t="str">
        <f>IF(A4282="","",IF(AC4282&gt;1,"REVISAR DUPLICADO",IF(AA4282&lt;&gt;"","ACTUALIZADO POR EYR","SIN REPORTE EYR")))</f>
        <v/>
      </c>
    </row>
    <row r="4283" spans="11:30" x14ac:dyDescent="0.3">
      <c r="K4283" s="1" t="str">
        <f ca="1">IF(A4283="","",IF(OR(L4283="ENTREGADA",L4283="RETORNADA",L4283="ENTREGA DIGITAL"),0,MAX(0,5-NETWORKDAYS(H4283+1,TODAY()))))</f>
        <v/>
      </c>
      <c r="L4283" t="str">
        <f>IF(A4283="","",IFERROR(LOOKUP(2,1/(#REF!=Z4283),#REF!),Y4283))</f>
        <v/>
      </c>
      <c r="Z4283" t="str">
        <f>IF(A4283="","",TEXT(A4283,"0")&amp;"|"&amp;TEXT(H4283,"0"))</f>
        <v/>
      </c>
      <c r="AA4283" t="str">
        <f>IF(Z4283="","",IFERROR(LOOKUP(2,1/(#REF!=Z4283),#REF!),""))</f>
        <v/>
      </c>
      <c r="AB4283" t="str">
        <f>IF(Z4283="","",IFERROR(LOOKUP(2,1/(#REF!=Z4283),#REF!),""))</f>
        <v/>
      </c>
      <c r="AC4283" t="str">
        <f>IF(Z4283="","",COUNTIF(#REF!,Z4283))</f>
        <v/>
      </c>
      <c r="AD4283" t="str">
        <f>IF(A4283="","",IF(AC4283&gt;1,"REVISAR DUPLICADO",IF(AA4283&lt;&gt;"","ACTUALIZADO POR EYR","SIN REPORTE EYR")))</f>
        <v/>
      </c>
    </row>
    <row r="4284" spans="11:30" x14ac:dyDescent="0.3">
      <c r="K4284" s="1" t="str">
        <f ca="1">IF(A4284="","",IF(OR(L4284="ENTREGADA",L4284="RETORNADA",L4284="ENTREGA DIGITAL"),0,MAX(0,5-NETWORKDAYS(H4284+1,TODAY()))))</f>
        <v/>
      </c>
      <c r="L4284" t="str">
        <f>IF(A4284="","",IFERROR(LOOKUP(2,1/(#REF!=Z4284),#REF!),Y4284))</f>
        <v/>
      </c>
      <c r="Z4284" t="str">
        <f>IF(A4284="","",TEXT(A4284,"0")&amp;"|"&amp;TEXT(H4284,"0"))</f>
        <v/>
      </c>
      <c r="AA4284" t="str">
        <f>IF(Z4284="","",IFERROR(LOOKUP(2,1/(#REF!=Z4284),#REF!),""))</f>
        <v/>
      </c>
      <c r="AB4284" t="str">
        <f>IF(Z4284="","",IFERROR(LOOKUP(2,1/(#REF!=Z4284),#REF!),""))</f>
        <v/>
      </c>
      <c r="AC4284" t="str">
        <f>IF(Z4284="","",COUNTIF(#REF!,Z4284))</f>
        <v/>
      </c>
      <c r="AD4284" t="str">
        <f>IF(A4284="","",IF(AC4284&gt;1,"REVISAR DUPLICADO",IF(AA4284&lt;&gt;"","ACTUALIZADO POR EYR","SIN REPORTE EYR")))</f>
        <v/>
      </c>
    </row>
    <row r="4285" spans="11:30" x14ac:dyDescent="0.3">
      <c r="K4285" s="1" t="str">
        <f ca="1">IF(A4285="","",IF(OR(L4285="ENTREGADA",L4285="RETORNADA",L4285="ENTREGA DIGITAL"),0,MAX(0,5-NETWORKDAYS(H4285+1,TODAY()))))</f>
        <v/>
      </c>
      <c r="L4285" t="str">
        <f>IF(A4285="","",IFERROR(LOOKUP(2,1/(#REF!=Z4285),#REF!),Y4285))</f>
        <v/>
      </c>
      <c r="Z4285" t="str">
        <f>IF(A4285="","",TEXT(A4285,"0")&amp;"|"&amp;TEXT(H4285,"0"))</f>
        <v/>
      </c>
      <c r="AA4285" t="str">
        <f>IF(Z4285="","",IFERROR(LOOKUP(2,1/(#REF!=Z4285),#REF!),""))</f>
        <v/>
      </c>
      <c r="AB4285" t="str">
        <f>IF(Z4285="","",IFERROR(LOOKUP(2,1/(#REF!=Z4285),#REF!),""))</f>
        <v/>
      </c>
      <c r="AC4285" t="str">
        <f>IF(Z4285="","",COUNTIF(#REF!,Z4285))</f>
        <v/>
      </c>
      <c r="AD4285" t="str">
        <f>IF(A4285="","",IF(AC4285&gt;1,"REVISAR DUPLICADO",IF(AA4285&lt;&gt;"","ACTUALIZADO POR EYR","SIN REPORTE EYR")))</f>
        <v/>
      </c>
    </row>
    <row r="4286" spans="11:30" x14ac:dyDescent="0.3">
      <c r="K4286" s="1" t="str">
        <f ca="1">IF(A4286="","",IF(OR(L4286="ENTREGADA",L4286="RETORNADA",L4286="ENTREGA DIGITAL"),0,MAX(0,5-NETWORKDAYS(H4286+1,TODAY()))))</f>
        <v/>
      </c>
      <c r="L4286" t="str">
        <f>IF(A4286="","",IFERROR(LOOKUP(2,1/(#REF!=Z4286),#REF!),Y4286))</f>
        <v/>
      </c>
      <c r="Z4286" t="str">
        <f>IF(A4286="","",TEXT(A4286,"0")&amp;"|"&amp;TEXT(H4286,"0"))</f>
        <v/>
      </c>
      <c r="AA4286" t="str">
        <f>IF(Z4286="","",IFERROR(LOOKUP(2,1/(#REF!=Z4286),#REF!),""))</f>
        <v/>
      </c>
      <c r="AB4286" t="str">
        <f>IF(Z4286="","",IFERROR(LOOKUP(2,1/(#REF!=Z4286),#REF!),""))</f>
        <v/>
      </c>
      <c r="AC4286" t="str">
        <f>IF(Z4286="","",COUNTIF(#REF!,Z4286))</f>
        <v/>
      </c>
      <c r="AD4286" t="str">
        <f>IF(A4286="","",IF(AC4286&gt;1,"REVISAR DUPLICADO",IF(AA4286&lt;&gt;"","ACTUALIZADO POR EYR","SIN REPORTE EYR")))</f>
        <v/>
      </c>
    </row>
    <row r="4287" spans="11:30" x14ac:dyDescent="0.3">
      <c r="K4287" s="1" t="str">
        <f ca="1">IF(A4287="","",IF(OR(L4287="ENTREGADA",L4287="RETORNADA",L4287="ENTREGA DIGITAL"),0,MAX(0,5-NETWORKDAYS(H4287+1,TODAY()))))</f>
        <v/>
      </c>
      <c r="L4287" t="str">
        <f>IF(A4287="","",IFERROR(LOOKUP(2,1/(#REF!=Z4287),#REF!),Y4287))</f>
        <v/>
      </c>
      <c r="Z4287" t="str">
        <f>IF(A4287="","",TEXT(A4287,"0")&amp;"|"&amp;TEXT(H4287,"0"))</f>
        <v/>
      </c>
      <c r="AA4287" t="str">
        <f>IF(Z4287="","",IFERROR(LOOKUP(2,1/(#REF!=Z4287),#REF!),""))</f>
        <v/>
      </c>
      <c r="AB4287" t="str">
        <f>IF(Z4287="","",IFERROR(LOOKUP(2,1/(#REF!=Z4287),#REF!),""))</f>
        <v/>
      </c>
      <c r="AC4287" t="str">
        <f>IF(Z4287="","",COUNTIF(#REF!,Z4287))</f>
        <v/>
      </c>
      <c r="AD4287" t="str">
        <f>IF(A4287="","",IF(AC4287&gt;1,"REVISAR DUPLICADO",IF(AA4287&lt;&gt;"","ACTUALIZADO POR EYR","SIN REPORTE EYR")))</f>
        <v/>
      </c>
    </row>
    <row r="4288" spans="11:30" x14ac:dyDescent="0.3">
      <c r="K4288" s="1" t="str">
        <f ca="1">IF(A4288="","",IF(OR(L4288="ENTREGADA",L4288="RETORNADA",L4288="ENTREGA DIGITAL"),0,MAX(0,5-NETWORKDAYS(H4288+1,TODAY()))))</f>
        <v/>
      </c>
      <c r="L4288" t="str">
        <f>IF(A4288="","",IFERROR(LOOKUP(2,1/(#REF!=Z4288),#REF!),Y4288))</f>
        <v/>
      </c>
      <c r="Z4288" t="str">
        <f>IF(A4288="","",TEXT(A4288,"0")&amp;"|"&amp;TEXT(H4288,"0"))</f>
        <v/>
      </c>
      <c r="AA4288" t="str">
        <f>IF(Z4288="","",IFERROR(LOOKUP(2,1/(#REF!=Z4288),#REF!),""))</f>
        <v/>
      </c>
      <c r="AB4288" t="str">
        <f>IF(Z4288="","",IFERROR(LOOKUP(2,1/(#REF!=Z4288),#REF!),""))</f>
        <v/>
      </c>
      <c r="AC4288" t="str">
        <f>IF(Z4288="","",COUNTIF(#REF!,Z4288))</f>
        <v/>
      </c>
      <c r="AD4288" t="str">
        <f>IF(A4288="","",IF(AC4288&gt;1,"REVISAR DUPLICADO",IF(AA4288&lt;&gt;"","ACTUALIZADO POR EYR","SIN REPORTE EYR")))</f>
        <v/>
      </c>
    </row>
    <row r="4289" spans="11:30" x14ac:dyDescent="0.3">
      <c r="K4289" s="1" t="str">
        <f ca="1">IF(A4289="","",IF(OR(L4289="ENTREGADA",L4289="RETORNADA",L4289="ENTREGA DIGITAL"),0,MAX(0,5-NETWORKDAYS(H4289+1,TODAY()))))</f>
        <v/>
      </c>
      <c r="L4289" t="str">
        <f>IF(A4289="","",IFERROR(LOOKUP(2,1/(#REF!=Z4289),#REF!),Y4289))</f>
        <v/>
      </c>
      <c r="Z4289" t="str">
        <f>IF(A4289="","",TEXT(A4289,"0")&amp;"|"&amp;TEXT(H4289,"0"))</f>
        <v/>
      </c>
      <c r="AA4289" t="str">
        <f>IF(Z4289="","",IFERROR(LOOKUP(2,1/(#REF!=Z4289),#REF!),""))</f>
        <v/>
      </c>
      <c r="AB4289" t="str">
        <f>IF(Z4289="","",IFERROR(LOOKUP(2,1/(#REF!=Z4289),#REF!),""))</f>
        <v/>
      </c>
      <c r="AC4289" t="str">
        <f>IF(Z4289="","",COUNTIF(#REF!,Z4289))</f>
        <v/>
      </c>
      <c r="AD4289" t="str">
        <f>IF(A4289="","",IF(AC4289&gt;1,"REVISAR DUPLICADO",IF(AA4289&lt;&gt;"","ACTUALIZADO POR EYR","SIN REPORTE EYR")))</f>
        <v/>
      </c>
    </row>
    <row r="4290" spans="11:30" x14ac:dyDescent="0.3">
      <c r="K4290" s="1" t="str">
        <f ca="1">IF(A4290="","",IF(OR(L4290="ENTREGADA",L4290="RETORNADA",L4290="ENTREGA DIGITAL"),0,MAX(0,5-NETWORKDAYS(H4290+1,TODAY()))))</f>
        <v/>
      </c>
      <c r="L4290" t="str">
        <f>IF(A4290="","",IFERROR(LOOKUP(2,1/(#REF!=Z4290),#REF!),Y4290))</f>
        <v/>
      </c>
      <c r="Z4290" t="str">
        <f>IF(A4290="","",TEXT(A4290,"0")&amp;"|"&amp;TEXT(H4290,"0"))</f>
        <v/>
      </c>
      <c r="AA4290" t="str">
        <f>IF(Z4290="","",IFERROR(LOOKUP(2,1/(#REF!=Z4290),#REF!),""))</f>
        <v/>
      </c>
      <c r="AB4290" t="str">
        <f>IF(Z4290="","",IFERROR(LOOKUP(2,1/(#REF!=Z4290),#REF!),""))</f>
        <v/>
      </c>
      <c r="AC4290" t="str">
        <f>IF(Z4290="","",COUNTIF(#REF!,Z4290))</f>
        <v/>
      </c>
      <c r="AD4290" t="str">
        <f>IF(A4290="","",IF(AC4290&gt;1,"REVISAR DUPLICADO",IF(AA4290&lt;&gt;"","ACTUALIZADO POR EYR","SIN REPORTE EYR")))</f>
        <v/>
      </c>
    </row>
    <row r="4291" spans="11:30" x14ac:dyDescent="0.3">
      <c r="K4291" s="1" t="str">
        <f ca="1">IF(A4291="","",IF(OR(L4291="ENTREGADA",L4291="RETORNADA",L4291="ENTREGA DIGITAL"),0,MAX(0,5-NETWORKDAYS(H4291+1,TODAY()))))</f>
        <v/>
      </c>
      <c r="L4291" t="str">
        <f>IF(A4291="","",IFERROR(LOOKUP(2,1/(#REF!=Z4291),#REF!),Y4291))</f>
        <v/>
      </c>
      <c r="Z4291" t="str">
        <f>IF(A4291="","",TEXT(A4291,"0")&amp;"|"&amp;TEXT(H4291,"0"))</f>
        <v/>
      </c>
      <c r="AA4291" t="str">
        <f>IF(Z4291="","",IFERROR(LOOKUP(2,1/(#REF!=Z4291),#REF!),""))</f>
        <v/>
      </c>
      <c r="AB4291" t="str">
        <f>IF(Z4291="","",IFERROR(LOOKUP(2,1/(#REF!=Z4291),#REF!),""))</f>
        <v/>
      </c>
      <c r="AC4291" t="str">
        <f>IF(Z4291="","",COUNTIF(#REF!,Z4291))</f>
        <v/>
      </c>
      <c r="AD4291" t="str">
        <f>IF(A4291="","",IF(AC4291&gt;1,"REVISAR DUPLICADO",IF(AA4291&lt;&gt;"","ACTUALIZADO POR EYR","SIN REPORTE EYR")))</f>
        <v/>
      </c>
    </row>
    <row r="4292" spans="11:30" x14ac:dyDescent="0.3">
      <c r="K4292" s="1" t="str">
        <f ca="1">IF(A4292="","",IF(OR(L4292="ENTREGADA",L4292="RETORNADA",L4292="ENTREGA DIGITAL"),0,MAX(0,5-NETWORKDAYS(H4292+1,TODAY()))))</f>
        <v/>
      </c>
      <c r="L4292" t="str">
        <f>IF(A4292="","",IFERROR(LOOKUP(2,1/(#REF!=Z4292),#REF!),Y4292))</f>
        <v/>
      </c>
      <c r="Z4292" t="str">
        <f>IF(A4292="","",TEXT(A4292,"0")&amp;"|"&amp;TEXT(H4292,"0"))</f>
        <v/>
      </c>
      <c r="AA4292" t="str">
        <f>IF(Z4292="","",IFERROR(LOOKUP(2,1/(#REF!=Z4292),#REF!),""))</f>
        <v/>
      </c>
      <c r="AB4292" t="str">
        <f>IF(Z4292="","",IFERROR(LOOKUP(2,1/(#REF!=Z4292),#REF!),""))</f>
        <v/>
      </c>
      <c r="AC4292" t="str">
        <f>IF(Z4292="","",COUNTIF(#REF!,Z4292))</f>
        <v/>
      </c>
      <c r="AD4292" t="str">
        <f>IF(A4292="","",IF(AC4292&gt;1,"REVISAR DUPLICADO",IF(AA4292&lt;&gt;"","ACTUALIZADO POR EYR","SIN REPORTE EYR")))</f>
        <v/>
      </c>
    </row>
    <row r="4293" spans="11:30" x14ac:dyDescent="0.3">
      <c r="K4293" s="1" t="str">
        <f ca="1">IF(A4293="","",IF(OR(L4293="ENTREGADA",L4293="RETORNADA",L4293="ENTREGA DIGITAL"),0,MAX(0,5-NETWORKDAYS(H4293+1,TODAY()))))</f>
        <v/>
      </c>
      <c r="L4293" t="str">
        <f>IF(A4293="","",IFERROR(LOOKUP(2,1/(#REF!=Z4293),#REF!),Y4293))</f>
        <v/>
      </c>
      <c r="Z4293" t="str">
        <f>IF(A4293="","",TEXT(A4293,"0")&amp;"|"&amp;TEXT(H4293,"0"))</f>
        <v/>
      </c>
      <c r="AA4293" t="str">
        <f>IF(Z4293="","",IFERROR(LOOKUP(2,1/(#REF!=Z4293),#REF!),""))</f>
        <v/>
      </c>
      <c r="AB4293" t="str">
        <f>IF(Z4293="","",IFERROR(LOOKUP(2,1/(#REF!=Z4293),#REF!),""))</f>
        <v/>
      </c>
      <c r="AC4293" t="str">
        <f>IF(Z4293="","",COUNTIF(#REF!,Z4293))</f>
        <v/>
      </c>
      <c r="AD4293" t="str">
        <f>IF(A4293="","",IF(AC4293&gt;1,"REVISAR DUPLICADO",IF(AA4293&lt;&gt;"","ACTUALIZADO POR EYR","SIN REPORTE EYR")))</f>
        <v/>
      </c>
    </row>
    <row r="4294" spans="11:30" x14ac:dyDescent="0.3">
      <c r="K4294" s="1" t="str">
        <f ca="1">IF(A4294="","",IF(OR(L4294="ENTREGADA",L4294="RETORNADA",L4294="ENTREGA DIGITAL"),0,MAX(0,5-NETWORKDAYS(H4294+1,TODAY()))))</f>
        <v/>
      </c>
      <c r="L4294" t="str">
        <f>IF(A4294="","",IFERROR(LOOKUP(2,1/(#REF!=Z4294),#REF!),Y4294))</f>
        <v/>
      </c>
      <c r="Z4294" t="str">
        <f>IF(A4294="","",TEXT(A4294,"0")&amp;"|"&amp;TEXT(H4294,"0"))</f>
        <v/>
      </c>
      <c r="AA4294" t="str">
        <f>IF(Z4294="","",IFERROR(LOOKUP(2,1/(#REF!=Z4294),#REF!),""))</f>
        <v/>
      </c>
      <c r="AB4294" t="str">
        <f>IF(Z4294="","",IFERROR(LOOKUP(2,1/(#REF!=Z4294),#REF!),""))</f>
        <v/>
      </c>
      <c r="AC4294" t="str">
        <f>IF(Z4294="","",COUNTIF(#REF!,Z4294))</f>
        <v/>
      </c>
      <c r="AD4294" t="str">
        <f>IF(A4294="","",IF(AC4294&gt;1,"REVISAR DUPLICADO",IF(AA4294&lt;&gt;"","ACTUALIZADO POR EYR","SIN REPORTE EYR")))</f>
        <v/>
      </c>
    </row>
    <row r="4295" spans="11:30" x14ac:dyDescent="0.3">
      <c r="K4295" s="1" t="str">
        <f ca="1">IF(A4295="","",IF(OR(L4295="ENTREGADA",L4295="RETORNADA",L4295="ENTREGA DIGITAL"),0,MAX(0,5-NETWORKDAYS(H4295+1,TODAY()))))</f>
        <v/>
      </c>
      <c r="L4295" t="str">
        <f>IF(A4295="","",IFERROR(LOOKUP(2,1/(#REF!=Z4295),#REF!),Y4295))</f>
        <v/>
      </c>
      <c r="Z4295" t="str">
        <f>IF(A4295="","",TEXT(A4295,"0")&amp;"|"&amp;TEXT(H4295,"0"))</f>
        <v/>
      </c>
      <c r="AA4295" t="str">
        <f>IF(Z4295="","",IFERROR(LOOKUP(2,1/(#REF!=Z4295),#REF!),""))</f>
        <v/>
      </c>
      <c r="AB4295" t="str">
        <f>IF(Z4295="","",IFERROR(LOOKUP(2,1/(#REF!=Z4295),#REF!),""))</f>
        <v/>
      </c>
      <c r="AC4295" t="str">
        <f>IF(Z4295="","",COUNTIF(#REF!,Z4295))</f>
        <v/>
      </c>
      <c r="AD4295" t="str">
        <f>IF(A4295="","",IF(AC4295&gt;1,"REVISAR DUPLICADO",IF(AA4295&lt;&gt;"","ACTUALIZADO POR EYR","SIN REPORTE EYR")))</f>
        <v/>
      </c>
    </row>
    <row r="4296" spans="11:30" x14ac:dyDescent="0.3">
      <c r="K4296" s="1" t="str">
        <f ca="1">IF(A4296="","",IF(OR(L4296="ENTREGADA",L4296="RETORNADA",L4296="ENTREGA DIGITAL"),0,MAX(0,5-NETWORKDAYS(H4296+1,TODAY()))))</f>
        <v/>
      </c>
      <c r="L4296" t="str">
        <f>IF(A4296="","",IFERROR(LOOKUP(2,1/(#REF!=Z4296),#REF!),Y4296))</f>
        <v/>
      </c>
      <c r="Z4296" t="str">
        <f>IF(A4296="","",TEXT(A4296,"0")&amp;"|"&amp;TEXT(H4296,"0"))</f>
        <v/>
      </c>
      <c r="AA4296" t="str">
        <f>IF(Z4296="","",IFERROR(LOOKUP(2,1/(#REF!=Z4296),#REF!),""))</f>
        <v/>
      </c>
      <c r="AB4296" t="str">
        <f>IF(Z4296="","",IFERROR(LOOKUP(2,1/(#REF!=Z4296),#REF!),""))</f>
        <v/>
      </c>
      <c r="AC4296" t="str">
        <f>IF(Z4296="","",COUNTIF(#REF!,Z4296))</f>
        <v/>
      </c>
      <c r="AD4296" t="str">
        <f>IF(A4296="","",IF(AC4296&gt;1,"REVISAR DUPLICADO",IF(AA4296&lt;&gt;"","ACTUALIZADO POR EYR","SIN REPORTE EYR")))</f>
        <v/>
      </c>
    </row>
    <row r="4297" spans="11:30" x14ac:dyDescent="0.3">
      <c r="K4297" s="1" t="str">
        <f ca="1">IF(A4297="","",IF(OR(L4297="ENTREGADA",L4297="RETORNADA",L4297="ENTREGA DIGITAL"),0,MAX(0,5-NETWORKDAYS(H4297+1,TODAY()))))</f>
        <v/>
      </c>
      <c r="L4297" t="str">
        <f>IF(A4297="","",IFERROR(LOOKUP(2,1/(#REF!=Z4297),#REF!),Y4297))</f>
        <v/>
      </c>
      <c r="Z4297" t="str">
        <f>IF(A4297="","",TEXT(A4297,"0")&amp;"|"&amp;TEXT(H4297,"0"))</f>
        <v/>
      </c>
      <c r="AA4297" t="str">
        <f>IF(Z4297="","",IFERROR(LOOKUP(2,1/(#REF!=Z4297),#REF!),""))</f>
        <v/>
      </c>
      <c r="AB4297" t="str">
        <f>IF(Z4297="","",IFERROR(LOOKUP(2,1/(#REF!=Z4297),#REF!),""))</f>
        <v/>
      </c>
      <c r="AC4297" t="str">
        <f>IF(Z4297="","",COUNTIF(#REF!,Z4297))</f>
        <v/>
      </c>
      <c r="AD4297" t="str">
        <f>IF(A4297="","",IF(AC4297&gt;1,"REVISAR DUPLICADO",IF(AA4297&lt;&gt;"","ACTUALIZADO POR EYR","SIN REPORTE EYR")))</f>
        <v/>
      </c>
    </row>
    <row r="4298" spans="11:30" x14ac:dyDescent="0.3">
      <c r="K4298" s="1" t="str">
        <f ca="1">IF(A4298="","",IF(OR(L4298="ENTREGADA",L4298="RETORNADA",L4298="ENTREGA DIGITAL"),0,MAX(0,5-NETWORKDAYS(H4298+1,TODAY()))))</f>
        <v/>
      </c>
      <c r="L4298" t="str">
        <f>IF(A4298="","",IFERROR(LOOKUP(2,1/(#REF!=Z4298),#REF!),Y4298))</f>
        <v/>
      </c>
      <c r="Z4298" t="str">
        <f>IF(A4298="","",TEXT(A4298,"0")&amp;"|"&amp;TEXT(H4298,"0"))</f>
        <v/>
      </c>
      <c r="AA4298" t="str">
        <f>IF(Z4298="","",IFERROR(LOOKUP(2,1/(#REF!=Z4298),#REF!),""))</f>
        <v/>
      </c>
      <c r="AB4298" t="str">
        <f>IF(Z4298="","",IFERROR(LOOKUP(2,1/(#REF!=Z4298),#REF!),""))</f>
        <v/>
      </c>
      <c r="AC4298" t="str">
        <f>IF(Z4298="","",COUNTIF(#REF!,Z4298))</f>
        <v/>
      </c>
      <c r="AD4298" t="str">
        <f>IF(A4298="","",IF(AC4298&gt;1,"REVISAR DUPLICADO",IF(AA4298&lt;&gt;"","ACTUALIZADO POR EYR","SIN REPORTE EYR")))</f>
        <v/>
      </c>
    </row>
    <row r="4299" spans="11:30" x14ac:dyDescent="0.3">
      <c r="K4299" s="1" t="str">
        <f ca="1">IF(A4299="","",IF(OR(L4299="ENTREGADA",L4299="RETORNADA",L4299="ENTREGA DIGITAL"),0,MAX(0,5-NETWORKDAYS(H4299+1,TODAY()))))</f>
        <v/>
      </c>
      <c r="L4299" t="str">
        <f>IF(A4299="","",IFERROR(LOOKUP(2,1/(#REF!=Z4299),#REF!),Y4299))</f>
        <v/>
      </c>
      <c r="Z4299" t="str">
        <f>IF(A4299="","",TEXT(A4299,"0")&amp;"|"&amp;TEXT(H4299,"0"))</f>
        <v/>
      </c>
      <c r="AA4299" t="str">
        <f>IF(Z4299="","",IFERROR(LOOKUP(2,1/(#REF!=Z4299),#REF!),""))</f>
        <v/>
      </c>
      <c r="AB4299" t="str">
        <f>IF(Z4299="","",IFERROR(LOOKUP(2,1/(#REF!=Z4299),#REF!),""))</f>
        <v/>
      </c>
      <c r="AC4299" t="str">
        <f>IF(Z4299="","",COUNTIF(#REF!,Z4299))</f>
        <v/>
      </c>
      <c r="AD4299" t="str">
        <f>IF(A4299="","",IF(AC4299&gt;1,"REVISAR DUPLICADO",IF(AA4299&lt;&gt;"","ACTUALIZADO POR EYR","SIN REPORTE EYR")))</f>
        <v/>
      </c>
    </row>
    <row r="4300" spans="11:30" x14ac:dyDescent="0.3">
      <c r="K4300" s="1" t="str">
        <f ca="1">IF(A4300="","",IF(OR(L4300="ENTREGADA",L4300="RETORNADA",L4300="ENTREGA DIGITAL"),0,MAX(0,5-NETWORKDAYS(H4300+1,TODAY()))))</f>
        <v/>
      </c>
      <c r="L4300" t="str">
        <f>IF(A4300="","",IFERROR(LOOKUP(2,1/(#REF!=Z4300),#REF!),Y4300))</f>
        <v/>
      </c>
      <c r="Z4300" t="str">
        <f>IF(A4300="","",TEXT(A4300,"0")&amp;"|"&amp;TEXT(H4300,"0"))</f>
        <v/>
      </c>
      <c r="AA4300" t="str">
        <f>IF(Z4300="","",IFERROR(LOOKUP(2,1/(#REF!=Z4300),#REF!),""))</f>
        <v/>
      </c>
      <c r="AB4300" t="str">
        <f>IF(Z4300="","",IFERROR(LOOKUP(2,1/(#REF!=Z4300),#REF!),""))</f>
        <v/>
      </c>
      <c r="AC4300" t="str">
        <f>IF(Z4300="","",COUNTIF(#REF!,Z4300))</f>
        <v/>
      </c>
      <c r="AD4300" t="str">
        <f>IF(A4300="","",IF(AC4300&gt;1,"REVISAR DUPLICADO",IF(AA4300&lt;&gt;"","ACTUALIZADO POR EYR","SIN REPORTE EYR")))</f>
        <v/>
      </c>
    </row>
    <row r="4301" spans="11:30" x14ac:dyDescent="0.3">
      <c r="K4301" s="1" t="str">
        <f ca="1">IF(A4301="","",IF(OR(L4301="ENTREGADA",L4301="RETORNADA",L4301="ENTREGA DIGITAL"),0,MAX(0,5-NETWORKDAYS(H4301+1,TODAY()))))</f>
        <v/>
      </c>
      <c r="L4301" t="str">
        <f>IF(A4301="","",IFERROR(LOOKUP(2,1/(#REF!=Z4301),#REF!),Y4301))</f>
        <v/>
      </c>
      <c r="Z4301" t="str">
        <f>IF(A4301="","",TEXT(A4301,"0")&amp;"|"&amp;TEXT(H4301,"0"))</f>
        <v/>
      </c>
      <c r="AA4301" t="str">
        <f>IF(Z4301="","",IFERROR(LOOKUP(2,1/(#REF!=Z4301),#REF!),""))</f>
        <v/>
      </c>
      <c r="AB4301" t="str">
        <f>IF(Z4301="","",IFERROR(LOOKUP(2,1/(#REF!=Z4301),#REF!),""))</f>
        <v/>
      </c>
      <c r="AC4301" t="str">
        <f>IF(Z4301="","",COUNTIF(#REF!,Z4301))</f>
        <v/>
      </c>
      <c r="AD4301" t="str">
        <f>IF(A4301="","",IF(AC4301&gt;1,"REVISAR DUPLICADO",IF(AA4301&lt;&gt;"","ACTUALIZADO POR EYR","SIN REPORTE EYR")))</f>
        <v/>
      </c>
    </row>
    <row r="4302" spans="11:30" x14ac:dyDescent="0.3">
      <c r="K4302" s="1" t="str">
        <f ca="1">IF(A4302="","",IF(OR(L4302="ENTREGADA",L4302="RETORNADA",L4302="ENTREGA DIGITAL"),0,MAX(0,5-NETWORKDAYS(H4302+1,TODAY()))))</f>
        <v/>
      </c>
      <c r="L4302" t="str">
        <f>IF(A4302="","",IFERROR(LOOKUP(2,1/(#REF!=Z4302),#REF!),Y4302))</f>
        <v/>
      </c>
      <c r="Z4302" t="str">
        <f>IF(A4302="","",TEXT(A4302,"0")&amp;"|"&amp;TEXT(H4302,"0"))</f>
        <v/>
      </c>
      <c r="AA4302" t="str">
        <f>IF(Z4302="","",IFERROR(LOOKUP(2,1/(#REF!=Z4302),#REF!),""))</f>
        <v/>
      </c>
      <c r="AB4302" t="str">
        <f>IF(Z4302="","",IFERROR(LOOKUP(2,1/(#REF!=Z4302),#REF!),""))</f>
        <v/>
      </c>
      <c r="AC4302" t="str">
        <f>IF(Z4302="","",COUNTIF(#REF!,Z4302))</f>
        <v/>
      </c>
      <c r="AD4302" t="str">
        <f>IF(A4302="","",IF(AC4302&gt;1,"REVISAR DUPLICADO",IF(AA4302&lt;&gt;"","ACTUALIZADO POR EYR","SIN REPORTE EYR")))</f>
        <v/>
      </c>
    </row>
    <row r="4303" spans="11:30" x14ac:dyDescent="0.3">
      <c r="K4303" s="1" t="str">
        <f ca="1">IF(A4303="","",IF(OR(L4303="ENTREGADA",L4303="RETORNADA",L4303="ENTREGA DIGITAL"),0,MAX(0,5-NETWORKDAYS(H4303+1,TODAY()))))</f>
        <v/>
      </c>
      <c r="L4303" t="str">
        <f>IF(A4303="","",IFERROR(LOOKUP(2,1/(#REF!=Z4303),#REF!),Y4303))</f>
        <v/>
      </c>
      <c r="Z4303" t="str">
        <f>IF(A4303="","",TEXT(A4303,"0")&amp;"|"&amp;TEXT(H4303,"0"))</f>
        <v/>
      </c>
      <c r="AA4303" t="str">
        <f>IF(Z4303="","",IFERROR(LOOKUP(2,1/(#REF!=Z4303),#REF!),""))</f>
        <v/>
      </c>
      <c r="AB4303" t="str">
        <f>IF(Z4303="","",IFERROR(LOOKUP(2,1/(#REF!=Z4303),#REF!),""))</f>
        <v/>
      </c>
      <c r="AC4303" t="str">
        <f>IF(Z4303="","",COUNTIF(#REF!,Z4303))</f>
        <v/>
      </c>
      <c r="AD4303" t="str">
        <f>IF(A4303="","",IF(AC4303&gt;1,"REVISAR DUPLICADO",IF(AA4303&lt;&gt;"","ACTUALIZADO POR EYR","SIN REPORTE EYR")))</f>
        <v/>
      </c>
    </row>
    <row r="4304" spans="11:30" x14ac:dyDescent="0.3">
      <c r="K4304" s="1" t="str">
        <f ca="1">IF(A4304="","",IF(OR(L4304="ENTREGADA",L4304="RETORNADA",L4304="ENTREGA DIGITAL"),0,MAX(0,5-NETWORKDAYS(H4304+1,TODAY()))))</f>
        <v/>
      </c>
      <c r="L4304" t="str">
        <f>IF(A4304="","",IFERROR(LOOKUP(2,1/(#REF!=Z4304),#REF!),Y4304))</f>
        <v/>
      </c>
      <c r="Z4304" t="str">
        <f>IF(A4304="","",TEXT(A4304,"0")&amp;"|"&amp;TEXT(H4304,"0"))</f>
        <v/>
      </c>
      <c r="AA4304" t="str">
        <f>IF(Z4304="","",IFERROR(LOOKUP(2,1/(#REF!=Z4304),#REF!),""))</f>
        <v/>
      </c>
      <c r="AB4304" t="str">
        <f>IF(Z4304="","",IFERROR(LOOKUP(2,1/(#REF!=Z4304),#REF!),""))</f>
        <v/>
      </c>
      <c r="AC4304" t="str">
        <f>IF(Z4304="","",COUNTIF(#REF!,Z4304))</f>
        <v/>
      </c>
      <c r="AD4304" t="str">
        <f>IF(A4304="","",IF(AC4304&gt;1,"REVISAR DUPLICADO",IF(AA4304&lt;&gt;"","ACTUALIZADO POR EYR","SIN REPORTE EYR")))</f>
        <v/>
      </c>
    </row>
    <row r="4305" spans="11:30" x14ac:dyDescent="0.3">
      <c r="K4305" s="1" t="str">
        <f ca="1">IF(A4305="","",IF(OR(L4305="ENTREGADA",L4305="RETORNADA",L4305="ENTREGA DIGITAL"),0,MAX(0,5-NETWORKDAYS(H4305+1,TODAY()))))</f>
        <v/>
      </c>
      <c r="L4305" t="str">
        <f>IF(A4305="","",IFERROR(LOOKUP(2,1/(#REF!=Z4305),#REF!),Y4305))</f>
        <v/>
      </c>
      <c r="Z4305" t="str">
        <f>IF(A4305="","",TEXT(A4305,"0")&amp;"|"&amp;TEXT(H4305,"0"))</f>
        <v/>
      </c>
      <c r="AA4305" t="str">
        <f>IF(Z4305="","",IFERROR(LOOKUP(2,1/(#REF!=Z4305),#REF!),""))</f>
        <v/>
      </c>
      <c r="AB4305" t="str">
        <f>IF(Z4305="","",IFERROR(LOOKUP(2,1/(#REF!=Z4305),#REF!),""))</f>
        <v/>
      </c>
      <c r="AC4305" t="str">
        <f>IF(Z4305="","",COUNTIF(#REF!,Z4305))</f>
        <v/>
      </c>
      <c r="AD4305" t="str">
        <f>IF(A4305="","",IF(AC4305&gt;1,"REVISAR DUPLICADO",IF(AA4305&lt;&gt;"","ACTUALIZADO POR EYR","SIN REPORTE EYR")))</f>
        <v/>
      </c>
    </row>
    <row r="4306" spans="11:30" x14ac:dyDescent="0.3">
      <c r="K4306" s="1" t="str">
        <f ca="1">IF(A4306="","",IF(OR(L4306="ENTREGADA",L4306="RETORNADA",L4306="ENTREGA DIGITAL"),0,MAX(0,5-NETWORKDAYS(H4306+1,TODAY()))))</f>
        <v/>
      </c>
      <c r="L4306" t="str">
        <f>IF(A4306="","",IFERROR(LOOKUP(2,1/(#REF!=Z4306),#REF!),Y4306))</f>
        <v/>
      </c>
      <c r="Z4306" t="str">
        <f>IF(A4306="","",TEXT(A4306,"0")&amp;"|"&amp;TEXT(H4306,"0"))</f>
        <v/>
      </c>
      <c r="AA4306" t="str">
        <f>IF(Z4306="","",IFERROR(LOOKUP(2,1/(#REF!=Z4306),#REF!),""))</f>
        <v/>
      </c>
      <c r="AB4306" t="str">
        <f>IF(Z4306="","",IFERROR(LOOKUP(2,1/(#REF!=Z4306),#REF!),""))</f>
        <v/>
      </c>
      <c r="AC4306" t="str">
        <f>IF(Z4306="","",COUNTIF(#REF!,Z4306))</f>
        <v/>
      </c>
      <c r="AD4306" t="str">
        <f>IF(A4306="","",IF(AC4306&gt;1,"REVISAR DUPLICADO",IF(AA4306&lt;&gt;"","ACTUALIZADO POR EYR","SIN REPORTE EYR")))</f>
        <v/>
      </c>
    </row>
    <row r="4307" spans="11:30" x14ac:dyDescent="0.3">
      <c r="K4307" s="1" t="str">
        <f ca="1">IF(A4307="","",IF(OR(L4307="ENTREGADA",L4307="RETORNADA",L4307="ENTREGA DIGITAL"),0,MAX(0,5-NETWORKDAYS(H4307+1,TODAY()))))</f>
        <v/>
      </c>
      <c r="L4307" t="str">
        <f>IF(A4307="","",IFERROR(LOOKUP(2,1/(#REF!=Z4307),#REF!),Y4307))</f>
        <v/>
      </c>
      <c r="Z4307" t="str">
        <f>IF(A4307="","",TEXT(A4307,"0")&amp;"|"&amp;TEXT(H4307,"0"))</f>
        <v/>
      </c>
      <c r="AA4307" t="str">
        <f>IF(Z4307="","",IFERROR(LOOKUP(2,1/(#REF!=Z4307),#REF!),""))</f>
        <v/>
      </c>
      <c r="AB4307" t="str">
        <f>IF(Z4307="","",IFERROR(LOOKUP(2,1/(#REF!=Z4307),#REF!),""))</f>
        <v/>
      </c>
      <c r="AC4307" t="str">
        <f>IF(Z4307="","",COUNTIF(#REF!,Z4307))</f>
        <v/>
      </c>
      <c r="AD4307" t="str">
        <f>IF(A4307="","",IF(AC4307&gt;1,"REVISAR DUPLICADO",IF(AA4307&lt;&gt;"","ACTUALIZADO POR EYR","SIN REPORTE EYR")))</f>
        <v/>
      </c>
    </row>
    <row r="4308" spans="11:30" x14ac:dyDescent="0.3">
      <c r="K4308" s="1" t="str">
        <f ca="1">IF(A4308="","",IF(OR(L4308="ENTREGADA",L4308="RETORNADA",L4308="ENTREGA DIGITAL"),0,MAX(0,5-NETWORKDAYS(H4308+1,TODAY()))))</f>
        <v/>
      </c>
      <c r="L4308" t="str">
        <f>IF(A4308="","",IFERROR(LOOKUP(2,1/(#REF!=Z4308),#REF!),Y4308))</f>
        <v/>
      </c>
      <c r="Z4308" t="str">
        <f>IF(A4308="","",TEXT(A4308,"0")&amp;"|"&amp;TEXT(H4308,"0"))</f>
        <v/>
      </c>
      <c r="AA4308" t="str">
        <f>IF(Z4308="","",IFERROR(LOOKUP(2,1/(#REF!=Z4308),#REF!),""))</f>
        <v/>
      </c>
      <c r="AB4308" t="str">
        <f>IF(Z4308="","",IFERROR(LOOKUP(2,1/(#REF!=Z4308),#REF!),""))</f>
        <v/>
      </c>
      <c r="AC4308" t="str">
        <f>IF(Z4308="","",COUNTIF(#REF!,Z4308))</f>
        <v/>
      </c>
      <c r="AD4308" t="str">
        <f>IF(A4308="","",IF(AC4308&gt;1,"REVISAR DUPLICADO",IF(AA4308&lt;&gt;"","ACTUALIZADO POR EYR","SIN REPORTE EYR")))</f>
        <v/>
      </c>
    </row>
    <row r="4309" spans="11:30" x14ac:dyDescent="0.3">
      <c r="K4309" s="1" t="str">
        <f ca="1">IF(A4309="","",IF(OR(L4309="ENTREGADA",L4309="RETORNADA",L4309="ENTREGA DIGITAL"),0,MAX(0,5-NETWORKDAYS(H4309+1,TODAY()))))</f>
        <v/>
      </c>
      <c r="L4309" t="str">
        <f>IF(A4309="","",IFERROR(LOOKUP(2,1/(#REF!=Z4309),#REF!),Y4309))</f>
        <v/>
      </c>
      <c r="Z4309" t="str">
        <f>IF(A4309="","",TEXT(A4309,"0")&amp;"|"&amp;TEXT(H4309,"0"))</f>
        <v/>
      </c>
      <c r="AA4309" t="str">
        <f>IF(Z4309="","",IFERROR(LOOKUP(2,1/(#REF!=Z4309),#REF!),""))</f>
        <v/>
      </c>
      <c r="AB4309" t="str">
        <f>IF(Z4309="","",IFERROR(LOOKUP(2,1/(#REF!=Z4309),#REF!),""))</f>
        <v/>
      </c>
      <c r="AC4309" t="str">
        <f>IF(Z4309="","",COUNTIF(#REF!,Z4309))</f>
        <v/>
      </c>
      <c r="AD4309" t="str">
        <f>IF(A4309="","",IF(AC4309&gt;1,"REVISAR DUPLICADO",IF(AA4309&lt;&gt;"","ACTUALIZADO POR EYR","SIN REPORTE EYR")))</f>
        <v/>
      </c>
    </row>
    <row r="4310" spans="11:30" x14ac:dyDescent="0.3">
      <c r="K4310" s="1" t="str">
        <f ca="1">IF(A4310="","",IF(OR(L4310="ENTREGADA",L4310="RETORNADA",L4310="ENTREGA DIGITAL"),0,MAX(0,5-NETWORKDAYS(H4310+1,TODAY()))))</f>
        <v/>
      </c>
      <c r="L4310" t="str">
        <f>IF(A4310="","",IFERROR(LOOKUP(2,1/(#REF!=Z4310),#REF!),Y4310))</f>
        <v/>
      </c>
      <c r="Z4310" t="str">
        <f>IF(A4310="","",TEXT(A4310,"0")&amp;"|"&amp;TEXT(H4310,"0"))</f>
        <v/>
      </c>
      <c r="AA4310" t="str">
        <f>IF(Z4310="","",IFERROR(LOOKUP(2,1/(#REF!=Z4310),#REF!),""))</f>
        <v/>
      </c>
      <c r="AB4310" t="str">
        <f>IF(Z4310="","",IFERROR(LOOKUP(2,1/(#REF!=Z4310),#REF!),""))</f>
        <v/>
      </c>
      <c r="AC4310" t="str">
        <f>IF(Z4310="","",COUNTIF(#REF!,Z4310))</f>
        <v/>
      </c>
      <c r="AD4310" t="str">
        <f>IF(A4310="","",IF(AC4310&gt;1,"REVISAR DUPLICADO",IF(AA4310&lt;&gt;"","ACTUALIZADO POR EYR","SIN REPORTE EYR")))</f>
        <v/>
      </c>
    </row>
    <row r="4311" spans="11:30" x14ac:dyDescent="0.3">
      <c r="K4311" s="1" t="str">
        <f ca="1">IF(A4311="","",IF(OR(L4311="ENTREGADA",L4311="RETORNADA",L4311="ENTREGA DIGITAL"),0,MAX(0,5-NETWORKDAYS(H4311+1,TODAY()))))</f>
        <v/>
      </c>
      <c r="L4311" t="str">
        <f>IF(A4311="","",IFERROR(LOOKUP(2,1/(#REF!=Z4311),#REF!),Y4311))</f>
        <v/>
      </c>
      <c r="Z4311" t="str">
        <f>IF(A4311="","",TEXT(A4311,"0")&amp;"|"&amp;TEXT(H4311,"0"))</f>
        <v/>
      </c>
      <c r="AA4311" t="str">
        <f>IF(Z4311="","",IFERROR(LOOKUP(2,1/(#REF!=Z4311),#REF!),""))</f>
        <v/>
      </c>
      <c r="AB4311" t="str">
        <f>IF(Z4311="","",IFERROR(LOOKUP(2,1/(#REF!=Z4311),#REF!),""))</f>
        <v/>
      </c>
      <c r="AC4311" t="str">
        <f>IF(Z4311="","",COUNTIF(#REF!,Z4311))</f>
        <v/>
      </c>
      <c r="AD4311" t="str">
        <f>IF(A4311="","",IF(AC4311&gt;1,"REVISAR DUPLICADO",IF(AA4311&lt;&gt;"","ACTUALIZADO POR EYR","SIN REPORTE EYR")))</f>
        <v/>
      </c>
    </row>
    <row r="4312" spans="11:30" x14ac:dyDescent="0.3">
      <c r="K4312" s="1" t="str">
        <f ca="1">IF(A4312="","",IF(OR(L4312="ENTREGADA",L4312="RETORNADA",L4312="ENTREGA DIGITAL"),0,MAX(0,5-NETWORKDAYS(H4312+1,TODAY()))))</f>
        <v/>
      </c>
      <c r="L4312" t="str">
        <f>IF(A4312="","",IFERROR(LOOKUP(2,1/(#REF!=Z4312),#REF!),Y4312))</f>
        <v/>
      </c>
      <c r="Z4312" t="str">
        <f>IF(A4312="","",TEXT(A4312,"0")&amp;"|"&amp;TEXT(H4312,"0"))</f>
        <v/>
      </c>
      <c r="AA4312" t="str">
        <f>IF(Z4312="","",IFERROR(LOOKUP(2,1/(#REF!=Z4312),#REF!),""))</f>
        <v/>
      </c>
      <c r="AB4312" t="str">
        <f>IF(Z4312="","",IFERROR(LOOKUP(2,1/(#REF!=Z4312),#REF!),""))</f>
        <v/>
      </c>
      <c r="AC4312" t="str">
        <f>IF(Z4312="","",COUNTIF(#REF!,Z4312))</f>
        <v/>
      </c>
      <c r="AD4312" t="str">
        <f>IF(A4312="","",IF(AC4312&gt;1,"REVISAR DUPLICADO",IF(AA4312&lt;&gt;"","ACTUALIZADO POR EYR","SIN REPORTE EYR")))</f>
        <v/>
      </c>
    </row>
    <row r="4313" spans="11:30" x14ac:dyDescent="0.3">
      <c r="K4313" s="1" t="str">
        <f ca="1">IF(A4313="","",IF(OR(L4313="ENTREGADA",L4313="RETORNADA",L4313="ENTREGA DIGITAL"),0,MAX(0,5-NETWORKDAYS(H4313+1,TODAY()))))</f>
        <v/>
      </c>
      <c r="L4313" t="str">
        <f>IF(A4313="","",IFERROR(LOOKUP(2,1/(#REF!=Z4313),#REF!),Y4313))</f>
        <v/>
      </c>
      <c r="Z4313" t="str">
        <f>IF(A4313="","",TEXT(A4313,"0")&amp;"|"&amp;TEXT(H4313,"0"))</f>
        <v/>
      </c>
      <c r="AA4313" t="str">
        <f>IF(Z4313="","",IFERROR(LOOKUP(2,1/(#REF!=Z4313),#REF!),""))</f>
        <v/>
      </c>
      <c r="AB4313" t="str">
        <f>IF(Z4313="","",IFERROR(LOOKUP(2,1/(#REF!=Z4313),#REF!),""))</f>
        <v/>
      </c>
      <c r="AC4313" t="str">
        <f>IF(Z4313="","",COUNTIF(#REF!,Z4313))</f>
        <v/>
      </c>
      <c r="AD4313" t="str">
        <f>IF(A4313="","",IF(AC4313&gt;1,"REVISAR DUPLICADO",IF(AA4313&lt;&gt;"","ACTUALIZADO POR EYR","SIN REPORTE EYR")))</f>
        <v/>
      </c>
    </row>
    <row r="4314" spans="11:30" x14ac:dyDescent="0.3">
      <c r="K4314" s="1" t="str">
        <f ca="1">IF(A4314="","",IF(OR(L4314="ENTREGADA",L4314="RETORNADA",L4314="ENTREGA DIGITAL"),0,MAX(0,5-NETWORKDAYS(H4314+1,TODAY()))))</f>
        <v/>
      </c>
      <c r="L4314" t="str">
        <f>IF(A4314="","",IFERROR(LOOKUP(2,1/(#REF!=Z4314),#REF!),Y4314))</f>
        <v/>
      </c>
      <c r="Z4314" t="str">
        <f>IF(A4314="","",TEXT(A4314,"0")&amp;"|"&amp;TEXT(H4314,"0"))</f>
        <v/>
      </c>
      <c r="AA4314" t="str">
        <f>IF(Z4314="","",IFERROR(LOOKUP(2,1/(#REF!=Z4314),#REF!),""))</f>
        <v/>
      </c>
      <c r="AB4314" t="str">
        <f>IF(Z4314="","",IFERROR(LOOKUP(2,1/(#REF!=Z4314),#REF!),""))</f>
        <v/>
      </c>
      <c r="AC4314" t="str">
        <f>IF(Z4314="","",COUNTIF(#REF!,Z4314))</f>
        <v/>
      </c>
      <c r="AD4314" t="str">
        <f>IF(A4314="","",IF(AC4314&gt;1,"REVISAR DUPLICADO",IF(AA4314&lt;&gt;"","ACTUALIZADO POR EYR","SIN REPORTE EYR")))</f>
        <v/>
      </c>
    </row>
    <row r="4315" spans="11:30" x14ac:dyDescent="0.3">
      <c r="K4315" s="1" t="str">
        <f ca="1">IF(A4315="","",IF(OR(L4315="ENTREGADA",L4315="RETORNADA",L4315="ENTREGA DIGITAL"),0,MAX(0,5-NETWORKDAYS(H4315+1,TODAY()))))</f>
        <v/>
      </c>
      <c r="L4315" t="str">
        <f>IF(A4315="","",IFERROR(LOOKUP(2,1/(#REF!=Z4315),#REF!),Y4315))</f>
        <v/>
      </c>
      <c r="Z4315" t="str">
        <f>IF(A4315="","",TEXT(A4315,"0")&amp;"|"&amp;TEXT(H4315,"0"))</f>
        <v/>
      </c>
      <c r="AA4315" t="str">
        <f>IF(Z4315="","",IFERROR(LOOKUP(2,1/(#REF!=Z4315),#REF!),""))</f>
        <v/>
      </c>
      <c r="AB4315" t="str">
        <f>IF(Z4315="","",IFERROR(LOOKUP(2,1/(#REF!=Z4315),#REF!),""))</f>
        <v/>
      </c>
      <c r="AC4315" t="str">
        <f>IF(Z4315="","",COUNTIF(#REF!,Z4315))</f>
        <v/>
      </c>
      <c r="AD4315" t="str">
        <f>IF(A4315="","",IF(AC4315&gt;1,"REVISAR DUPLICADO",IF(AA4315&lt;&gt;"","ACTUALIZADO POR EYR","SIN REPORTE EYR")))</f>
        <v/>
      </c>
    </row>
    <row r="4316" spans="11:30" x14ac:dyDescent="0.3">
      <c r="K4316" s="1" t="str">
        <f ca="1">IF(A4316="","",IF(OR(L4316="ENTREGADA",L4316="RETORNADA",L4316="ENTREGA DIGITAL"),0,MAX(0,5-NETWORKDAYS(H4316+1,TODAY()))))</f>
        <v/>
      </c>
      <c r="L4316" t="str">
        <f>IF(A4316="","",IFERROR(LOOKUP(2,1/(#REF!=Z4316),#REF!),Y4316))</f>
        <v/>
      </c>
      <c r="Z4316" t="str">
        <f>IF(A4316="","",TEXT(A4316,"0")&amp;"|"&amp;TEXT(H4316,"0"))</f>
        <v/>
      </c>
      <c r="AA4316" t="str">
        <f>IF(Z4316="","",IFERROR(LOOKUP(2,1/(#REF!=Z4316),#REF!),""))</f>
        <v/>
      </c>
      <c r="AB4316" t="str">
        <f>IF(Z4316="","",IFERROR(LOOKUP(2,1/(#REF!=Z4316),#REF!),""))</f>
        <v/>
      </c>
      <c r="AC4316" t="str">
        <f>IF(Z4316="","",COUNTIF(#REF!,Z4316))</f>
        <v/>
      </c>
      <c r="AD4316" t="str">
        <f>IF(A4316="","",IF(AC4316&gt;1,"REVISAR DUPLICADO",IF(AA4316&lt;&gt;"","ACTUALIZADO POR EYR","SIN REPORTE EYR")))</f>
        <v/>
      </c>
    </row>
    <row r="4317" spans="11:30" x14ac:dyDescent="0.3">
      <c r="K4317" s="1" t="str">
        <f ca="1">IF(A4317="","",IF(OR(L4317="ENTREGADA",L4317="RETORNADA",L4317="ENTREGA DIGITAL"),0,MAX(0,5-NETWORKDAYS(H4317+1,TODAY()))))</f>
        <v/>
      </c>
      <c r="L4317" t="str">
        <f>IF(A4317="","",IFERROR(LOOKUP(2,1/(#REF!=Z4317),#REF!),Y4317))</f>
        <v/>
      </c>
      <c r="Z4317" t="str">
        <f>IF(A4317="","",TEXT(A4317,"0")&amp;"|"&amp;TEXT(H4317,"0"))</f>
        <v/>
      </c>
      <c r="AA4317" t="str">
        <f>IF(Z4317="","",IFERROR(LOOKUP(2,1/(#REF!=Z4317),#REF!),""))</f>
        <v/>
      </c>
      <c r="AB4317" t="str">
        <f>IF(Z4317="","",IFERROR(LOOKUP(2,1/(#REF!=Z4317),#REF!),""))</f>
        <v/>
      </c>
      <c r="AC4317" t="str">
        <f>IF(Z4317="","",COUNTIF(#REF!,Z4317))</f>
        <v/>
      </c>
      <c r="AD4317" t="str">
        <f>IF(A4317="","",IF(AC4317&gt;1,"REVISAR DUPLICADO",IF(AA4317&lt;&gt;"","ACTUALIZADO POR EYR","SIN REPORTE EYR")))</f>
        <v/>
      </c>
    </row>
    <row r="4318" spans="11:30" x14ac:dyDescent="0.3">
      <c r="K4318" s="1" t="str">
        <f ca="1">IF(A4318="","",IF(OR(L4318="ENTREGADA",L4318="RETORNADA",L4318="ENTREGA DIGITAL"),0,MAX(0,5-NETWORKDAYS(H4318+1,TODAY()))))</f>
        <v/>
      </c>
      <c r="L4318" t="str">
        <f>IF(A4318="","",IFERROR(LOOKUP(2,1/(#REF!=Z4318),#REF!),Y4318))</f>
        <v/>
      </c>
      <c r="Z4318" t="str">
        <f>IF(A4318="","",TEXT(A4318,"0")&amp;"|"&amp;TEXT(H4318,"0"))</f>
        <v/>
      </c>
      <c r="AA4318" t="str">
        <f>IF(Z4318="","",IFERROR(LOOKUP(2,1/(#REF!=Z4318),#REF!),""))</f>
        <v/>
      </c>
      <c r="AB4318" t="str">
        <f>IF(Z4318="","",IFERROR(LOOKUP(2,1/(#REF!=Z4318),#REF!),""))</f>
        <v/>
      </c>
      <c r="AC4318" t="str">
        <f>IF(Z4318="","",COUNTIF(#REF!,Z4318))</f>
        <v/>
      </c>
      <c r="AD4318" t="str">
        <f>IF(A4318="","",IF(AC4318&gt;1,"REVISAR DUPLICADO",IF(AA4318&lt;&gt;"","ACTUALIZADO POR EYR","SIN REPORTE EYR")))</f>
        <v/>
      </c>
    </row>
    <row r="4319" spans="11:30" x14ac:dyDescent="0.3">
      <c r="K4319" s="1" t="str">
        <f ca="1">IF(A4319="","",IF(OR(L4319="ENTREGADA",L4319="RETORNADA",L4319="ENTREGA DIGITAL"),0,MAX(0,5-NETWORKDAYS(H4319+1,TODAY()))))</f>
        <v/>
      </c>
      <c r="L4319" t="str">
        <f>IF(A4319="","",IFERROR(LOOKUP(2,1/(#REF!=Z4319),#REF!),Y4319))</f>
        <v/>
      </c>
      <c r="Z4319" t="str">
        <f>IF(A4319="","",TEXT(A4319,"0")&amp;"|"&amp;TEXT(H4319,"0"))</f>
        <v/>
      </c>
      <c r="AA4319" t="str">
        <f>IF(Z4319="","",IFERROR(LOOKUP(2,1/(#REF!=Z4319),#REF!),""))</f>
        <v/>
      </c>
      <c r="AB4319" t="str">
        <f>IF(Z4319="","",IFERROR(LOOKUP(2,1/(#REF!=Z4319),#REF!),""))</f>
        <v/>
      </c>
      <c r="AC4319" t="str">
        <f>IF(Z4319="","",COUNTIF(#REF!,Z4319))</f>
        <v/>
      </c>
      <c r="AD4319" t="str">
        <f>IF(A4319="","",IF(AC4319&gt;1,"REVISAR DUPLICADO",IF(AA4319&lt;&gt;"","ACTUALIZADO POR EYR","SIN REPORTE EYR")))</f>
        <v/>
      </c>
    </row>
    <row r="4320" spans="11:30" x14ac:dyDescent="0.3">
      <c r="K4320" s="1" t="str">
        <f ca="1">IF(A4320="","",IF(OR(L4320="ENTREGADA",L4320="RETORNADA",L4320="ENTREGA DIGITAL"),0,MAX(0,5-NETWORKDAYS(H4320+1,TODAY()))))</f>
        <v/>
      </c>
      <c r="L4320" t="str">
        <f>IF(A4320="","",IFERROR(LOOKUP(2,1/(#REF!=Z4320),#REF!),Y4320))</f>
        <v/>
      </c>
      <c r="Z4320" t="str">
        <f>IF(A4320="","",TEXT(A4320,"0")&amp;"|"&amp;TEXT(H4320,"0"))</f>
        <v/>
      </c>
      <c r="AA4320" t="str">
        <f>IF(Z4320="","",IFERROR(LOOKUP(2,1/(#REF!=Z4320),#REF!),""))</f>
        <v/>
      </c>
      <c r="AB4320" t="str">
        <f>IF(Z4320="","",IFERROR(LOOKUP(2,1/(#REF!=Z4320),#REF!),""))</f>
        <v/>
      </c>
      <c r="AC4320" t="str">
        <f>IF(Z4320="","",COUNTIF(#REF!,Z4320))</f>
        <v/>
      </c>
      <c r="AD4320" t="str">
        <f>IF(A4320="","",IF(AC4320&gt;1,"REVISAR DUPLICADO",IF(AA4320&lt;&gt;"","ACTUALIZADO POR EYR","SIN REPORTE EYR")))</f>
        <v/>
      </c>
    </row>
    <row r="4321" spans="11:30" x14ac:dyDescent="0.3">
      <c r="K4321" s="1" t="str">
        <f ca="1">IF(A4321="","",IF(OR(L4321="ENTREGADA",L4321="RETORNADA",L4321="ENTREGA DIGITAL"),0,MAX(0,5-NETWORKDAYS(H4321+1,TODAY()))))</f>
        <v/>
      </c>
      <c r="L4321" t="str">
        <f>IF(A4321="","",IFERROR(LOOKUP(2,1/(#REF!=Z4321),#REF!),Y4321))</f>
        <v/>
      </c>
      <c r="Z4321" t="str">
        <f>IF(A4321="","",TEXT(A4321,"0")&amp;"|"&amp;TEXT(H4321,"0"))</f>
        <v/>
      </c>
      <c r="AA4321" t="str">
        <f>IF(Z4321="","",IFERROR(LOOKUP(2,1/(#REF!=Z4321),#REF!),""))</f>
        <v/>
      </c>
      <c r="AB4321" t="str">
        <f>IF(Z4321="","",IFERROR(LOOKUP(2,1/(#REF!=Z4321),#REF!),""))</f>
        <v/>
      </c>
      <c r="AC4321" t="str">
        <f>IF(Z4321="","",COUNTIF(#REF!,Z4321))</f>
        <v/>
      </c>
      <c r="AD4321" t="str">
        <f>IF(A4321="","",IF(AC4321&gt;1,"REVISAR DUPLICADO",IF(AA4321&lt;&gt;"","ACTUALIZADO POR EYR","SIN REPORTE EYR")))</f>
        <v/>
      </c>
    </row>
    <row r="4322" spans="11:30" x14ac:dyDescent="0.3">
      <c r="K4322" s="1" t="str">
        <f ca="1">IF(A4322="","",IF(OR(L4322="ENTREGADA",L4322="RETORNADA",L4322="ENTREGA DIGITAL"),0,MAX(0,5-NETWORKDAYS(H4322+1,TODAY()))))</f>
        <v/>
      </c>
      <c r="L4322" t="str">
        <f>IF(A4322="","",IFERROR(LOOKUP(2,1/(#REF!=Z4322),#REF!),Y4322))</f>
        <v/>
      </c>
      <c r="Z4322" t="str">
        <f>IF(A4322="","",TEXT(A4322,"0")&amp;"|"&amp;TEXT(H4322,"0"))</f>
        <v/>
      </c>
      <c r="AA4322" t="str">
        <f>IF(Z4322="","",IFERROR(LOOKUP(2,1/(#REF!=Z4322),#REF!),""))</f>
        <v/>
      </c>
      <c r="AB4322" t="str">
        <f>IF(Z4322="","",IFERROR(LOOKUP(2,1/(#REF!=Z4322),#REF!),""))</f>
        <v/>
      </c>
      <c r="AC4322" t="str">
        <f>IF(Z4322="","",COUNTIF(#REF!,Z4322))</f>
        <v/>
      </c>
      <c r="AD4322" t="str">
        <f>IF(A4322="","",IF(AC4322&gt;1,"REVISAR DUPLICADO",IF(AA4322&lt;&gt;"","ACTUALIZADO POR EYR","SIN REPORTE EYR")))</f>
        <v/>
      </c>
    </row>
    <row r="4323" spans="11:30" x14ac:dyDescent="0.3">
      <c r="K4323" s="1" t="str">
        <f ca="1">IF(A4323="","",IF(OR(L4323="ENTREGADA",L4323="RETORNADA",L4323="ENTREGA DIGITAL"),0,MAX(0,5-NETWORKDAYS(H4323+1,TODAY()))))</f>
        <v/>
      </c>
      <c r="L4323" t="str">
        <f>IF(A4323="","",IFERROR(LOOKUP(2,1/(#REF!=Z4323),#REF!),Y4323))</f>
        <v/>
      </c>
      <c r="Z4323" t="str">
        <f>IF(A4323="","",TEXT(A4323,"0")&amp;"|"&amp;TEXT(H4323,"0"))</f>
        <v/>
      </c>
      <c r="AA4323" t="str">
        <f>IF(Z4323="","",IFERROR(LOOKUP(2,1/(#REF!=Z4323),#REF!),""))</f>
        <v/>
      </c>
      <c r="AB4323" t="str">
        <f>IF(Z4323="","",IFERROR(LOOKUP(2,1/(#REF!=Z4323),#REF!),""))</f>
        <v/>
      </c>
      <c r="AC4323" t="str">
        <f>IF(Z4323="","",COUNTIF(#REF!,Z4323))</f>
        <v/>
      </c>
      <c r="AD4323" t="str">
        <f>IF(A4323="","",IF(AC4323&gt;1,"REVISAR DUPLICADO",IF(AA4323&lt;&gt;"","ACTUALIZADO POR EYR","SIN REPORTE EYR")))</f>
        <v/>
      </c>
    </row>
    <row r="4324" spans="11:30" x14ac:dyDescent="0.3">
      <c r="K4324" s="1" t="str">
        <f ca="1">IF(A4324="","",IF(OR(L4324="ENTREGADA",L4324="RETORNADA",L4324="ENTREGA DIGITAL"),0,MAX(0,5-NETWORKDAYS(H4324+1,TODAY()))))</f>
        <v/>
      </c>
      <c r="L4324" t="str">
        <f>IF(A4324="","",IFERROR(LOOKUP(2,1/(#REF!=Z4324),#REF!),Y4324))</f>
        <v/>
      </c>
      <c r="Z4324" t="str">
        <f>IF(A4324="","",TEXT(A4324,"0")&amp;"|"&amp;TEXT(H4324,"0"))</f>
        <v/>
      </c>
      <c r="AA4324" t="str">
        <f>IF(Z4324="","",IFERROR(LOOKUP(2,1/(#REF!=Z4324),#REF!),""))</f>
        <v/>
      </c>
      <c r="AB4324" t="str">
        <f>IF(Z4324="","",IFERROR(LOOKUP(2,1/(#REF!=Z4324),#REF!),""))</f>
        <v/>
      </c>
      <c r="AC4324" t="str">
        <f>IF(Z4324="","",COUNTIF(#REF!,Z4324))</f>
        <v/>
      </c>
      <c r="AD4324" t="str">
        <f>IF(A4324="","",IF(AC4324&gt;1,"REVISAR DUPLICADO",IF(AA4324&lt;&gt;"","ACTUALIZADO POR EYR","SIN REPORTE EYR")))</f>
        <v/>
      </c>
    </row>
    <row r="4325" spans="11:30" x14ac:dyDescent="0.3">
      <c r="K4325" s="1" t="str">
        <f ca="1">IF(A4325="","",IF(OR(L4325="ENTREGADA",L4325="RETORNADA",L4325="ENTREGA DIGITAL"),0,MAX(0,5-NETWORKDAYS(H4325+1,TODAY()))))</f>
        <v/>
      </c>
      <c r="L4325" t="str">
        <f>IF(A4325="","",IFERROR(LOOKUP(2,1/(#REF!=Z4325),#REF!),Y4325))</f>
        <v/>
      </c>
      <c r="Z4325" t="str">
        <f>IF(A4325="","",TEXT(A4325,"0")&amp;"|"&amp;TEXT(H4325,"0"))</f>
        <v/>
      </c>
      <c r="AA4325" t="str">
        <f>IF(Z4325="","",IFERROR(LOOKUP(2,1/(#REF!=Z4325),#REF!),""))</f>
        <v/>
      </c>
      <c r="AB4325" t="str">
        <f>IF(Z4325="","",IFERROR(LOOKUP(2,1/(#REF!=Z4325),#REF!),""))</f>
        <v/>
      </c>
      <c r="AC4325" t="str">
        <f>IF(Z4325="","",COUNTIF(#REF!,Z4325))</f>
        <v/>
      </c>
      <c r="AD4325" t="str">
        <f>IF(A4325="","",IF(AC4325&gt;1,"REVISAR DUPLICADO",IF(AA4325&lt;&gt;"","ACTUALIZADO POR EYR","SIN REPORTE EYR")))</f>
        <v/>
      </c>
    </row>
    <row r="4326" spans="11:30" x14ac:dyDescent="0.3">
      <c r="K4326" s="1" t="str">
        <f ca="1">IF(A4326="","",IF(OR(L4326="ENTREGADA",L4326="RETORNADA",L4326="ENTREGA DIGITAL"),0,MAX(0,5-NETWORKDAYS(H4326+1,TODAY()))))</f>
        <v/>
      </c>
      <c r="L4326" t="str">
        <f>IF(A4326="","",IFERROR(LOOKUP(2,1/(#REF!=Z4326),#REF!),Y4326))</f>
        <v/>
      </c>
      <c r="Z4326" t="str">
        <f>IF(A4326="","",TEXT(A4326,"0")&amp;"|"&amp;TEXT(H4326,"0"))</f>
        <v/>
      </c>
      <c r="AA4326" t="str">
        <f>IF(Z4326="","",IFERROR(LOOKUP(2,1/(#REF!=Z4326),#REF!),""))</f>
        <v/>
      </c>
      <c r="AB4326" t="str">
        <f>IF(Z4326="","",IFERROR(LOOKUP(2,1/(#REF!=Z4326),#REF!),""))</f>
        <v/>
      </c>
      <c r="AC4326" t="str">
        <f>IF(Z4326="","",COUNTIF(#REF!,Z4326))</f>
        <v/>
      </c>
      <c r="AD4326" t="str">
        <f>IF(A4326="","",IF(AC4326&gt;1,"REVISAR DUPLICADO",IF(AA4326&lt;&gt;"","ACTUALIZADO POR EYR","SIN REPORTE EYR")))</f>
        <v/>
      </c>
    </row>
    <row r="4327" spans="11:30" x14ac:dyDescent="0.3">
      <c r="K4327" s="1" t="str">
        <f ca="1">IF(A4327="","",IF(OR(L4327="ENTREGADA",L4327="RETORNADA",L4327="ENTREGA DIGITAL"),0,MAX(0,5-NETWORKDAYS(H4327+1,TODAY()))))</f>
        <v/>
      </c>
      <c r="L4327" t="str">
        <f>IF(A4327="","",IFERROR(LOOKUP(2,1/(#REF!=Z4327),#REF!),Y4327))</f>
        <v/>
      </c>
      <c r="Z4327" t="str">
        <f>IF(A4327="","",TEXT(A4327,"0")&amp;"|"&amp;TEXT(H4327,"0"))</f>
        <v/>
      </c>
      <c r="AA4327" t="str">
        <f>IF(Z4327="","",IFERROR(LOOKUP(2,1/(#REF!=Z4327),#REF!),""))</f>
        <v/>
      </c>
      <c r="AB4327" t="str">
        <f>IF(Z4327="","",IFERROR(LOOKUP(2,1/(#REF!=Z4327),#REF!),""))</f>
        <v/>
      </c>
      <c r="AC4327" t="str">
        <f>IF(Z4327="","",COUNTIF(#REF!,Z4327))</f>
        <v/>
      </c>
      <c r="AD4327" t="str">
        <f>IF(A4327="","",IF(AC4327&gt;1,"REVISAR DUPLICADO",IF(AA4327&lt;&gt;"","ACTUALIZADO POR EYR","SIN REPORTE EYR")))</f>
        <v/>
      </c>
    </row>
    <row r="4328" spans="11:30" x14ac:dyDescent="0.3">
      <c r="K4328" s="1" t="str">
        <f ca="1">IF(A4328="","",IF(OR(L4328="ENTREGADA",L4328="RETORNADA",L4328="ENTREGA DIGITAL"),0,MAX(0,5-NETWORKDAYS(H4328+1,TODAY()))))</f>
        <v/>
      </c>
      <c r="L4328" t="str">
        <f>IF(A4328="","",IFERROR(LOOKUP(2,1/(#REF!=Z4328),#REF!),Y4328))</f>
        <v/>
      </c>
      <c r="Z4328" t="str">
        <f>IF(A4328="","",TEXT(A4328,"0")&amp;"|"&amp;TEXT(H4328,"0"))</f>
        <v/>
      </c>
      <c r="AA4328" t="str">
        <f>IF(Z4328="","",IFERROR(LOOKUP(2,1/(#REF!=Z4328),#REF!),""))</f>
        <v/>
      </c>
      <c r="AB4328" t="str">
        <f>IF(Z4328="","",IFERROR(LOOKUP(2,1/(#REF!=Z4328),#REF!),""))</f>
        <v/>
      </c>
      <c r="AC4328" t="str">
        <f>IF(Z4328="","",COUNTIF(#REF!,Z4328))</f>
        <v/>
      </c>
      <c r="AD4328" t="str">
        <f>IF(A4328="","",IF(AC4328&gt;1,"REVISAR DUPLICADO",IF(AA4328&lt;&gt;"","ACTUALIZADO POR EYR","SIN REPORTE EYR")))</f>
        <v/>
      </c>
    </row>
    <row r="4329" spans="11:30" x14ac:dyDescent="0.3">
      <c r="K4329" s="1" t="str">
        <f ca="1">IF(A4329="","",IF(OR(L4329="ENTREGADA",L4329="RETORNADA",L4329="ENTREGA DIGITAL"),0,MAX(0,5-NETWORKDAYS(H4329+1,TODAY()))))</f>
        <v/>
      </c>
      <c r="L4329" t="str">
        <f>IF(A4329="","",IFERROR(LOOKUP(2,1/(#REF!=Z4329),#REF!),Y4329))</f>
        <v/>
      </c>
      <c r="Z4329" t="str">
        <f>IF(A4329="","",TEXT(A4329,"0")&amp;"|"&amp;TEXT(H4329,"0"))</f>
        <v/>
      </c>
      <c r="AA4329" t="str">
        <f>IF(Z4329="","",IFERROR(LOOKUP(2,1/(#REF!=Z4329),#REF!),""))</f>
        <v/>
      </c>
      <c r="AB4329" t="str">
        <f>IF(Z4329="","",IFERROR(LOOKUP(2,1/(#REF!=Z4329),#REF!),""))</f>
        <v/>
      </c>
      <c r="AC4329" t="str">
        <f>IF(Z4329="","",COUNTIF(#REF!,Z4329))</f>
        <v/>
      </c>
      <c r="AD4329" t="str">
        <f>IF(A4329="","",IF(AC4329&gt;1,"REVISAR DUPLICADO",IF(AA4329&lt;&gt;"","ACTUALIZADO POR EYR","SIN REPORTE EYR")))</f>
        <v/>
      </c>
    </row>
    <row r="4330" spans="11:30" x14ac:dyDescent="0.3">
      <c r="K4330" s="1" t="str">
        <f ca="1">IF(A4330="","",IF(OR(L4330="ENTREGADA",L4330="RETORNADA",L4330="ENTREGA DIGITAL"),0,MAX(0,5-NETWORKDAYS(H4330+1,TODAY()))))</f>
        <v/>
      </c>
      <c r="L4330" t="str">
        <f>IF(A4330="","",IFERROR(LOOKUP(2,1/(#REF!=Z4330),#REF!),Y4330))</f>
        <v/>
      </c>
      <c r="Z4330" t="str">
        <f>IF(A4330="","",TEXT(A4330,"0")&amp;"|"&amp;TEXT(H4330,"0"))</f>
        <v/>
      </c>
      <c r="AA4330" t="str">
        <f>IF(Z4330="","",IFERROR(LOOKUP(2,1/(#REF!=Z4330),#REF!),""))</f>
        <v/>
      </c>
      <c r="AB4330" t="str">
        <f>IF(Z4330="","",IFERROR(LOOKUP(2,1/(#REF!=Z4330),#REF!),""))</f>
        <v/>
      </c>
      <c r="AC4330" t="str">
        <f>IF(Z4330="","",COUNTIF(#REF!,Z4330))</f>
        <v/>
      </c>
      <c r="AD4330" t="str">
        <f>IF(A4330="","",IF(AC4330&gt;1,"REVISAR DUPLICADO",IF(AA4330&lt;&gt;"","ACTUALIZADO POR EYR","SIN REPORTE EYR")))</f>
        <v/>
      </c>
    </row>
    <row r="4331" spans="11:30" x14ac:dyDescent="0.3">
      <c r="K4331" s="1" t="str">
        <f ca="1">IF(A4331="","",IF(OR(L4331="ENTREGADA",L4331="RETORNADA",L4331="ENTREGA DIGITAL"),0,MAX(0,5-NETWORKDAYS(H4331+1,TODAY()))))</f>
        <v/>
      </c>
      <c r="L4331" t="str">
        <f>IF(A4331="","",IFERROR(LOOKUP(2,1/(#REF!=Z4331),#REF!),Y4331))</f>
        <v/>
      </c>
      <c r="Z4331" t="str">
        <f>IF(A4331="","",TEXT(A4331,"0")&amp;"|"&amp;TEXT(H4331,"0"))</f>
        <v/>
      </c>
      <c r="AA4331" t="str">
        <f>IF(Z4331="","",IFERROR(LOOKUP(2,1/(#REF!=Z4331),#REF!),""))</f>
        <v/>
      </c>
      <c r="AB4331" t="str">
        <f>IF(Z4331="","",IFERROR(LOOKUP(2,1/(#REF!=Z4331),#REF!),""))</f>
        <v/>
      </c>
      <c r="AC4331" t="str">
        <f>IF(Z4331="","",COUNTIF(#REF!,Z4331))</f>
        <v/>
      </c>
      <c r="AD4331" t="str">
        <f>IF(A4331="","",IF(AC4331&gt;1,"REVISAR DUPLICADO",IF(AA4331&lt;&gt;"","ACTUALIZADO POR EYR","SIN REPORTE EYR")))</f>
        <v/>
      </c>
    </row>
    <row r="4332" spans="11:30" x14ac:dyDescent="0.3">
      <c r="K4332" s="1" t="str">
        <f ca="1">IF(A4332="","",IF(OR(L4332="ENTREGADA",L4332="RETORNADA",L4332="ENTREGA DIGITAL"),0,MAX(0,5-NETWORKDAYS(H4332+1,TODAY()))))</f>
        <v/>
      </c>
      <c r="L4332" t="str">
        <f>IF(A4332="","",IFERROR(LOOKUP(2,1/(#REF!=Z4332),#REF!),Y4332))</f>
        <v/>
      </c>
      <c r="Z4332" t="str">
        <f>IF(A4332="","",TEXT(A4332,"0")&amp;"|"&amp;TEXT(H4332,"0"))</f>
        <v/>
      </c>
      <c r="AA4332" t="str">
        <f>IF(Z4332="","",IFERROR(LOOKUP(2,1/(#REF!=Z4332),#REF!),""))</f>
        <v/>
      </c>
      <c r="AB4332" t="str">
        <f>IF(Z4332="","",IFERROR(LOOKUP(2,1/(#REF!=Z4332),#REF!),""))</f>
        <v/>
      </c>
      <c r="AC4332" t="str">
        <f>IF(Z4332="","",COUNTIF(#REF!,Z4332))</f>
        <v/>
      </c>
      <c r="AD4332" t="str">
        <f>IF(A4332="","",IF(AC4332&gt;1,"REVISAR DUPLICADO",IF(AA4332&lt;&gt;"","ACTUALIZADO POR EYR","SIN REPORTE EYR")))</f>
        <v/>
      </c>
    </row>
    <row r="4333" spans="11:30" x14ac:dyDescent="0.3">
      <c r="K4333" s="1" t="str">
        <f ca="1">IF(A4333="","",IF(OR(L4333="ENTREGADA",L4333="RETORNADA",L4333="ENTREGA DIGITAL"),0,MAX(0,5-NETWORKDAYS(H4333+1,TODAY()))))</f>
        <v/>
      </c>
      <c r="L4333" t="str">
        <f>IF(A4333="","",IFERROR(LOOKUP(2,1/(#REF!=Z4333),#REF!),Y4333))</f>
        <v/>
      </c>
      <c r="Z4333" t="str">
        <f>IF(A4333="","",TEXT(A4333,"0")&amp;"|"&amp;TEXT(H4333,"0"))</f>
        <v/>
      </c>
      <c r="AA4333" t="str">
        <f>IF(Z4333="","",IFERROR(LOOKUP(2,1/(#REF!=Z4333),#REF!),""))</f>
        <v/>
      </c>
      <c r="AB4333" t="str">
        <f>IF(Z4333="","",IFERROR(LOOKUP(2,1/(#REF!=Z4333),#REF!),""))</f>
        <v/>
      </c>
      <c r="AC4333" t="str">
        <f>IF(Z4333="","",COUNTIF(#REF!,Z4333))</f>
        <v/>
      </c>
      <c r="AD4333" t="str">
        <f>IF(A4333="","",IF(AC4333&gt;1,"REVISAR DUPLICADO",IF(AA4333&lt;&gt;"","ACTUALIZADO POR EYR","SIN REPORTE EYR")))</f>
        <v/>
      </c>
    </row>
    <row r="4334" spans="11:30" x14ac:dyDescent="0.3">
      <c r="K4334" s="1" t="str">
        <f ca="1">IF(A4334="","",IF(OR(L4334="ENTREGADA",L4334="RETORNADA",L4334="ENTREGA DIGITAL"),0,MAX(0,5-NETWORKDAYS(H4334+1,TODAY()))))</f>
        <v/>
      </c>
      <c r="L4334" t="str">
        <f>IF(A4334="","",IFERROR(LOOKUP(2,1/(#REF!=Z4334),#REF!),Y4334))</f>
        <v/>
      </c>
      <c r="Z4334" t="str">
        <f>IF(A4334="","",TEXT(A4334,"0")&amp;"|"&amp;TEXT(H4334,"0"))</f>
        <v/>
      </c>
      <c r="AA4334" t="str">
        <f>IF(Z4334="","",IFERROR(LOOKUP(2,1/(#REF!=Z4334),#REF!),""))</f>
        <v/>
      </c>
      <c r="AB4334" t="str">
        <f>IF(Z4334="","",IFERROR(LOOKUP(2,1/(#REF!=Z4334),#REF!),""))</f>
        <v/>
      </c>
      <c r="AC4334" t="str">
        <f>IF(Z4334="","",COUNTIF(#REF!,Z4334))</f>
        <v/>
      </c>
      <c r="AD4334" t="str">
        <f>IF(A4334="","",IF(AC4334&gt;1,"REVISAR DUPLICADO",IF(AA4334&lt;&gt;"","ACTUALIZADO POR EYR","SIN REPORTE EYR")))</f>
        <v/>
      </c>
    </row>
    <row r="4335" spans="11:30" x14ac:dyDescent="0.3">
      <c r="K4335" s="1" t="str">
        <f ca="1">IF(A4335="","",IF(OR(L4335="ENTREGADA",L4335="RETORNADA",L4335="ENTREGA DIGITAL"),0,MAX(0,5-NETWORKDAYS(H4335+1,TODAY()))))</f>
        <v/>
      </c>
      <c r="L4335" t="str">
        <f>IF(A4335="","",IFERROR(LOOKUP(2,1/(#REF!=Z4335),#REF!),Y4335))</f>
        <v/>
      </c>
      <c r="Z4335" t="str">
        <f>IF(A4335="","",TEXT(A4335,"0")&amp;"|"&amp;TEXT(H4335,"0"))</f>
        <v/>
      </c>
      <c r="AA4335" t="str">
        <f>IF(Z4335="","",IFERROR(LOOKUP(2,1/(#REF!=Z4335),#REF!),""))</f>
        <v/>
      </c>
      <c r="AB4335" t="str">
        <f>IF(Z4335="","",IFERROR(LOOKUP(2,1/(#REF!=Z4335),#REF!),""))</f>
        <v/>
      </c>
      <c r="AC4335" t="str">
        <f>IF(Z4335="","",COUNTIF(#REF!,Z4335))</f>
        <v/>
      </c>
      <c r="AD4335" t="str">
        <f>IF(A4335="","",IF(AC4335&gt;1,"REVISAR DUPLICADO",IF(AA4335&lt;&gt;"","ACTUALIZADO POR EYR","SIN REPORTE EYR")))</f>
        <v/>
      </c>
    </row>
    <row r="4336" spans="11:30" x14ac:dyDescent="0.3">
      <c r="K4336" s="1" t="str">
        <f ca="1">IF(A4336="","",IF(OR(L4336="ENTREGADA",L4336="RETORNADA",L4336="ENTREGA DIGITAL"),0,MAX(0,5-NETWORKDAYS(H4336+1,TODAY()))))</f>
        <v/>
      </c>
      <c r="L4336" t="str">
        <f>IF(A4336="","",IFERROR(LOOKUP(2,1/(#REF!=Z4336),#REF!),Y4336))</f>
        <v/>
      </c>
      <c r="Z4336" t="str">
        <f>IF(A4336="","",TEXT(A4336,"0")&amp;"|"&amp;TEXT(H4336,"0"))</f>
        <v/>
      </c>
      <c r="AA4336" t="str">
        <f>IF(Z4336="","",IFERROR(LOOKUP(2,1/(#REF!=Z4336),#REF!),""))</f>
        <v/>
      </c>
      <c r="AB4336" t="str">
        <f>IF(Z4336="","",IFERROR(LOOKUP(2,1/(#REF!=Z4336),#REF!),""))</f>
        <v/>
      </c>
      <c r="AC4336" t="str">
        <f>IF(Z4336="","",COUNTIF(#REF!,Z4336))</f>
        <v/>
      </c>
      <c r="AD4336" t="str">
        <f>IF(A4336="","",IF(AC4336&gt;1,"REVISAR DUPLICADO",IF(AA4336&lt;&gt;"","ACTUALIZADO POR EYR","SIN REPORTE EYR")))</f>
        <v/>
      </c>
    </row>
    <row r="4337" spans="11:30" x14ac:dyDescent="0.3">
      <c r="K4337" s="1" t="str">
        <f ca="1">IF(A4337="","",IF(OR(L4337="ENTREGADA",L4337="RETORNADA",L4337="ENTREGA DIGITAL"),0,MAX(0,5-NETWORKDAYS(H4337+1,TODAY()))))</f>
        <v/>
      </c>
      <c r="L4337" t="str">
        <f>IF(A4337="","",IFERROR(LOOKUP(2,1/(#REF!=Z4337),#REF!),Y4337))</f>
        <v/>
      </c>
      <c r="Z4337" t="str">
        <f>IF(A4337="","",TEXT(A4337,"0")&amp;"|"&amp;TEXT(H4337,"0"))</f>
        <v/>
      </c>
      <c r="AA4337" t="str">
        <f>IF(Z4337="","",IFERROR(LOOKUP(2,1/(#REF!=Z4337),#REF!),""))</f>
        <v/>
      </c>
      <c r="AB4337" t="str">
        <f>IF(Z4337="","",IFERROR(LOOKUP(2,1/(#REF!=Z4337),#REF!),""))</f>
        <v/>
      </c>
      <c r="AC4337" t="str">
        <f>IF(Z4337="","",COUNTIF(#REF!,Z4337))</f>
        <v/>
      </c>
      <c r="AD4337" t="str">
        <f>IF(A4337="","",IF(AC4337&gt;1,"REVISAR DUPLICADO",IF(AA4337&lt;&gt;"","ACTUALIZADO POR EYR","SIN REPORTE EYR")))</f>
        <v/>
      </c>
    </row>
    <row r="4338" spans="11:30" x14ac:dyDescent="0.3">
      <c r="K4338" s="1" t="str">
        <f ca="1">IF(A4338="","",IF(OR(L4338="ENTREGADA",L4338="RETORNADA",L4338="ENTREGA DIGITAL"),0,MAX(0,5-NETWORKDAYS(H4338+1,TODAY()))))</f>
        <v/>
      </c>
      <c r="L4338" t="str">
        <f>IF(A4338="","",IFERROR(LOOKUP(2,1/(#REF!=Z4338),#REF!),Y4338))</f>
        <v/>
      </c>
      <c r="Z4338" t="str">
        <f>IF(A4338="","",TEXT(A4338,"0")&amp;"|"&amp;TEXT(H4338,"0"))</f>
        <v/>
      </c>
      <c r="AA4338" t="str">
        <f>IF(Z4338="","",IFERROR(LOOKUP(2,1/(#REF!=Z4338),#REF!),""))</f>
        <v/>
      </c>
      <c r="AB4338" t="str">
        <f>IF(Z4338="","",IFERROR(LOOKUP(2,1/(#REF!=Z4338),#REF!),""))</f>
        <v/>
      </c>
      <c r="AC4338" t="str">
        <f>IF(Z4338="","",COUNTIF(#REF!,Z4338))</f>
        <v/>
      </c>
      <c r="AD4338" t="str">
        <f>IF(A4338="","",IF(AC4338&gt;1,"REVISAR DUPLICADO",IF(AA4338&lt;&gt;"","ACTUALIZADO POR EYR","SIN REPORTE EYR")))</f>
        <v/>
      </c>
    </row>
    <row r="4339" spans="11:30" x14ac:dyDescent="0.3">
      <c r="K4339" s="1" t="str">
        <f ca="1">IF(A4339="","",IF(OR(L4339="ENTREGADA",L4339="RETORNADA",L4339="ENTREGA DIGITAL"),0,MAX(0,5-NETWORKDAYS(H4339+1,TODAY()))))</f>
        <v/>
      </c>
      <c r="L4339" t="str">
        <f>IF(A4339="","",IFERROR(LOOKUP(2,1/(#REF!=Z4339),#REF!),Y4339))</f>
        <v/>
      </c>
      <c r="Z4339" t="str">
        <f>IF(A4339="","",TEXT(A4339,"0")&amp;"|"&amp;TEXT(H4339,"0"))</f>
        <v/>
      </c>
      <c r="AA4339" t="str">
        <f>IF(Z4339="","",IFERROR(LOOKUP(2,1/(#REF!=Z4339),#REF!),""))</f>
        <v/>
      </c>
      <c r="AB4339" t="str">
        <f>IF(Z4339="","",IFERROR(LOOKUP(2,1/(#REF!=Z4339),#REF!),""))</f>
        <v/>
      </c>
      <c r="AC4339" t="str">
        <f>IF(Z4339="","",COUNTIF(#REF!,Z4339))</f>
        <v/>
      </c>
      <c r="AD4339" t="str">
        <f>IF(A4339="","",IF(AC4339&gt;1,"REVISAR DUPLICADO",IF(AA4339&lt;&gt;"","ACTUALIZADO POR EYR","SIN REPORTE EYR")))</f>
        <v/>
      </c>
    </row>
    <row r="4340" spans="11:30" x14ac:dyDescent="0.3">
      <c r="K4340" s="1" t="str">
        <f ca="1">IF(A4340="","",IF(OR(L4340="ENTREGADA",L4340="RETORNADA",L4340="ENTREGA DIGITAL"),0,MAX(0,5-NETWORKDAYS(H4340+1,TODAY()))))</f>
        <v/>
      </c>
      <c r="L4340" t="str">
        <f>IF(A4340="","",IFERROR(LOOKUP(2,1/(#REF!=Z4340),#REF!),Y4340))</f>
        <v/>
      </c>
      <c r="Z4340" t="str">
        <f>IF(A4340="","",TEXT(A4340,"0")&amp;"|"&amp;TEXT(H4340,"0"))</f>
        <v/>
      </c>
      <c r="AA4340" t="str">
        <f>IF(Z4340="","",IFERROR(LOOKUP(2,1/(#REF!=Z4340),#REF!),""))</f>
        <v/>
      </c>
      <c r="AB4340" t="str">
        <f>IF(Z4340="","",IFERROR(LOOKUP(2,1/(#REF!=Z4340),#REF!),""))</f>
        <v/>
      </c>
      <c r="AC4340" t="str">
        <f>IF(Z4340="","",COUNTIF(#REF!,Z4340))</f>
        <v/>
      </c>
      <c r="AD4340" t="str">
        <f>IF(A4340="","",IF(AC4340&gt;1,"REVISAR DUPLICADO",IF(AA4340&lt;&gt;"","ACTUALIZADO POR EYR","SIN REPORTE EYR")))</f>
        <v/>
      </c>
    </row>
    <row r="4341" spans="11:30" x14ac:dyDescent="0.3">
      <c r="K4341" s="1" t="str">
        <f ca="1">IF(A4341="","",IF(OR(L4341="ENTREGADA",L4341="RETORNADA",L4341="ENTREGA DIGITAL"),0,MAX(0,5-NETWORKDAYS(H4341+1,TODAY()))))</f>
        <v/>
      </c>
      <c r="L4341" t="str">
        <f>IF(A4341="","",IFERROR(LOOKUP(2,1/(#REF!=Z4341),#REF!),Y4341))</f>
        <v/>
      </c>
      <c r="Z4341" t="str">
        <f>IF(A4341="","",TEXT(A4341,"0")&amp;"|"&amp;TEXT(H4341,"0"))</f>
        <v/>
      </c>
      <c r="AA4341" t="str">
        <f>IF(Z4341="","",IFERROR(LOOKUP(2,1/(#REF!=Z4341),#REF!),""))</f>
        <v/>
      </c>
      <c r="AB4341" t="str">
        <f>IF(Z4341="","",IFERROR(LOOKUP(2,1/(#REF!=Z4341),#REF!),""))</f>
        <v/>
      </c>
      <c r="AC4341" t="str">
        <f>IF(Z4341="","",COUNTIF(#REF!,Z4341))</f>
        <v/>
      </c>
      <c r="AD4341" t="str">
        <f>IF(A4341="","",IF(AC4341&gt;1,"REVISAR DUPLICADO",IF(AA4341&lt;&gt;"","ACTUALIZADO POR EYR","SIN REPORTE EYR")))</f>
        <v/>
      </c>
    </row>
    <row r="4342" spans="11:30" x14ac:dyDescent="0.3">
      <c r="K4342" s="1" t="str">
        <f ca="1">IF(A4342="","",IF(OR(L4342="ENTREGADA",L4342="RETORNADA",L4342="ENTREGA DIGITAL"),0,MAX(0,5-NETWORKDAYS(H4342+1,TODAY()))))</f>
        <v/>
      </c>
      <c r="L4342" t="str">
        <f>IF(A4342="","",IFERROR(LOOKUP(2,1/(#REF!=Z4342),#REF!),Y4342))</f>
        <v/>
      </c>
      <c r="Z4342" t="str">
        <f>IF(A4342="","",TEXT(A4342,"0")&amp;"|"&amp;TEXT(H4342,"0"))</f>
        <v/>
      </c>
      <c r="AA4342" t="str">
        <f>IF(Z4342="","",IFERROR(LOOKUP(2,1/(#REF!=Z4342),#REF!),""))</f>
        <v/>
      </c>
      <c r="AB4342" t="str">
        <f>IF(Z4342="","",IFERROR(LOOKUP(2,1/(#REF!=Z4342),#REF!),""))</f>
        <v/>
      </c>
      <c r="AC4342" t="str">
        <f>IF(Z4342="","",COUNTIF(#REF!,Z4342))</f>
        <v/>
      </c>
      <c r="AD4342" t="str">
        <f>IF(A4342="","",IF(AC4342&gt;1,"REVISAR DUPLICADO",IF(AA4342&lt;&gt;"","ACTUALIZADO POR EYR","SIN REPORTE EYR")))</f>
        <v/>
      </c>
    </row>
    <row r="4343" spans="11:30" x14ac:dyDescent="0.3">
      <c r="K4343" s="1" t="str">
        <f ca="1">IF(A4343="","",IF(OR(L4343="ENTREGADA",L4343="RETORNADA",L4343="ENTREGA DIGITAL"),0,MAX(0,5-NETWORKDAYS(H4343+1,TODAY()))))</f>
        <v/>
      </c>
      <c r="L4343" t="str">
        <f>IF(A4343="","",IFERROR(LOOKUP(2,1/(#REF!=Z4343),#REF!),Y4343))</f>
        <v/>
      </c>
      <c r="Z4343" t="str">
        <f>IF(A4343="","",TEXT(A4343,"0")&amp;"|"&amp;TEXT(H4343,"0"))</f>
        <v/>
      </c>
      <c r="AA4343" t="str">
        <f>IF(Z4343="","",IFERROR(LOOKUP(2,1/(#REF!=Z4343),#REF!),""))</f>
        <v/>
      </c>
      <c r="AB4343" t="str">
        <f>IF(Z4343="","",IFERROR(LOOKUP(2,1/(#REF!=Z4343),#REF!),""))</f>
        <v/>
      </c>
      <c r="AC4343" t="str">
        <f>IF(Z4343="","",COUNTIF(#REF!,Z4343))</f>
        <v/>
      </c>
      <c r="AD4343" t="str">
        <f>IF(A4343="","",IF(AC4343&gt;1,"REVISAR DUPLICADO",IF(AA4343&lt;&gt;"","ACTUALIZADO POR EYR","SIN REPORTE EYR")))</f>
        <v/>
      </c>
    </row>
    <row r="4344" spans="11:30" x14ac:dyDescent="0.3">
      <c r="K4344" s="1" t="str">
        <f ca="1">IF(A4344="","",IF(OR(L4344="ENTREGADA",L4344="RETORNADA",L4344="ENTREGA DIGITAL"),0,MAX(0,5-NETWORKDAYS(H4344+1,TODAY()))))</f>
        <v/>
      </c>
      <c r="L4344" t="str">
        <f>IF(A4344="","",IFERROR(LOOKUP(2,1/(#REF!=Z4344),#REF!),Y4344))</f>
        <v/>
      </c>
      <c r="Z4344" t="str">
        <f>IF(A4344="","",TEXT(A4344,"0")&amp;"|"&amp;TEXT(H4344,"0"))</f>
        <v/>
      </c>
      <c r="AA4344" t="str">
        <f>IF(Z4344="","",IFERROR(LOOKUP(2,1/(#REF!=Z4344),#REF!),""))</f>
        <v/>
      </c>
      <c r="AB4344" t="str">
        <f>IF(Z4344="","",IFERROR(LOOKUP(2,1/(#REF!=Z4344),#REF!),""))</f>
        <v/>
      </c>
      <c r="AC4344" t="str">
        <f>IF(Z4344="","",COUNTIF(#REF!,Z4344))</f>
        <v/>
      </c>
      <c r="AD4344" t="str">
        <f>IF(A4344="","",IF(AC4344&gt;1,"REVISAR DUPLICADO",IF(AA4344&lt;&gt;"","ACTUALIZADO POR EYR","SIN REPORTE EYR")))</f>
        <v/>
      </c>
    </row>
    <row r="4345" spans="11:30" x14ac:dyDescent="0.3">
      <c r="K4345" s="1" t="str">
        <f ca="1">IF(A4345="","",IF(OR(L4345="ENTREGADA",L4345="RETORNADA",L4345="ENTREGA DIGITAL"),0,MAX(0,5-NETWORKDAYS(H4345+1,TODAY()))))</f>
        <v/>
      </c>
      <c r="L4345" t="str">
        <f>IF(A4345="","",IFERROR(LOOKUP(2,1/(#REF!=Z4345),#REF!),Y4345))</f>
        <v/>
      </c>
      <c r="Z4345" t="str">
        <f>IF(A4345="","",TEXT(A4345,"0")&amp;"|"&amp;TEXT(H4345,"0"))</f>
        <v/>
      </c>
      <c r="AA4345" t="str">
        <f>IF(Z4345="","",IFERROR(LOOKUP(2,1/(#REF!=Z4345),#REF!),""))</f>
        <v/>
      </c>
      <c r="AB4345" t="str">
        <f>IF(Z4345="","",IFERROR(LOOKUP(2,1/(#REF!=Z4345),#REF!),""))</f>
        <v/>
      </c>
      <c r="AC4345" t="str">
        <f>IF(Z4345="","",COUNTIF(#REF!,Z4345))</f>
        <v/>
      </c>
      <c r="AD4345" t="str">
        <f>IF(A4345="","",IF(AC4345&gt;1,"REVISAR DUPLICADO",IF(AA4345&lt;&gt;"","ACTUALIZADO POR EYR","SIN REPORTE EYR")))</f>
        <v/>
      </c>
    </row>
    <row r="4346" spans="11:30" x14ac:dyDescent="0.3">
      <c r="K4346" s="1" t="str">
        <f ca="1">IF(A4346="","",IF(OR(L4346="ENTREGADA",L4346="RETORNADA",L4346="ENTREGA DIGITAL"),0,MAX(0,5-NETWORKDAYS(H4346+1,TODAY()))))</f>
        <v/>
      </c>
      <c r="L4346" t="str">
        <f>IF(A4346="","",IFERROR(LOOKUP(2,1/(#REF!=Z4346),#REF!),Y4346))</f>
        <v/>
      </c>
      <c r="Z4346" t="str">
        <f>IF(A4346="","",TEXT(A4346,"0")&amp;"|"&amp;TEXT(H4346,"0"))</f>
        <v/>
      </c>
      <c r="AA4346" t="str">
        <f>IF(Z4346="","",IFERROR(LOOKUP(2,1/(#REF!=Z4346),#REF!),""))</f>
        <v/>
      </c>
      <c r="AB4346" t="str">
        <f>IF(Z4346="","",IFERROR(LOOKUP(2,1/(#REF!=Z4346),#REF!),""))</f>
        <v/>
      </c>
      <c r="AC4346" t="str">
        <f>IF(Z4346="","",COUNTIF(#REF!,Z4346))</f>
        <v/>
      </c>
      <c r="AD4346" t="str">
        <f>IF(A4346="","",IF(AC4346&gt;1,"REVISAR DUPLICADO",IF(AA4346&lt;&gt;"","ACTUALIZADO POR EYR","SIN REPORTE EYR")))</f>
        <v/>
      </c>
    </row>
    <row r="4347" spans="11:30" x14ac:dyDescent="0.3">
      <c r="K4347" s="1" t="str">
        <f ca="1">IF(A4347="","",IF(OR(L4347="ENTREGADA",L4347="RETORNADA",L4347="ENTREGA DIGITAL"),0,MAX(0,5-NETWORKDAYS(H4347+1,TODAY()))))</f>
        <v/>
      </c>
      <c r="L4347" t="str">
        <f>IF(A4347="","",IFERROR(LOOKUP(2,1/(#REF!=Z4347),#REF!),Y4347))</f>
        <v/>
      </c>
      <c r="Z4347" t="str">
        <f>IF(A4347="","",TEXT(A4347,"0")&amp;"|"&amp;TEXT(H4347,"0"))</f>
        <v/>
      </c>
      <c r="AA4347" t="str">
        <f>IF(Z4347="","",IFERROR(LOOKUP(2,1/(#REF!=Z4347),#REF!),""))</f>
        <v/>
      </c>
      <c r="AB4347" t="str">
        <f>IF(Z4347="","",IFERROR(LOOKUP(2,1/(#REF!=Z4347),#REF!),""))</f>
        <v/>
      </c>
      <c r="AC4347" t="str">
        <f>IF(Z4347="","",COUNTIF(#REF!,Z4347))</f>
        <v/>
      </c>
      <c r="AD4347" t="str">
        <f>IF(A4347="","",IF(AC4347&gt;1,"REVISAR DUPLICADO",IF(AA4347&lt;&gt;"","ACTUALIZADO POR EYR","SIN REPORTE EYR")))</f>
        <v/>
      </c>
    </row>
    <row r="4348" spans="11:30" x14ac:dyDescent="0.3">
      <c r="K4348" s="1" t="str">
        <f ca="1">IF(A4348="","",IF(OR(L4348="ENTREGADA",L4348="RETORNADA",L4348="ENTREGA DIGITAL"),0,MAX(0,5-NETWORKDAYS(H4348+1,TODAY()))))</f>
        <v/>
      </c>
      <c r="L4348" t="str">
        <f>IF(A4348="","",IFERROR(LOOKUP(2,1/(#REF!=Z4348),#REF!),Y4348))</f>
        <v/>
      </c>
      <c r="Z4348" t="str">
        <f>IF(A4348="","",TEXT(A4348,"0")&amp;"|"&amp;TEXT(H4348,"0"))</f>
        <v/>
      </c>
      <c r="AA4348" t="str">
        <f>IF(Z4348="","",IFERROR(LOOKUP(2,1/(#REF!=Z4348),#REF!),""))</f>
        <v/>
      </c>
      <c r="AB4348" t="str">
        <f>IF(Z4348="","",IFERROR(LOOKUP(2,1/(#REF!=Z4348),#REF!),""))</f>
        <v/>
      </c>
      <c r="AC4348" t="str">
        <f>IF(Z4348="","",COUNTIF(#REF!,Z4348))</f>
        <v/>
      </c>
      <c r="AD4348" t="str">
        <f>IF(A4348="","",IF(AC4348&gt;1,"REVISAR DUPLICADO",IF(AA4348&lt;&gt;"","ACTUALIZADO POR EYR","SIN REPORTE EYR")))</f>
        <v/>
      </c>
    </row>
    <row r="4349" spans="11:30" x14ac:dyDescent="0.3">
      <c r="K4349" s="1" t="str">
        <f ca="1">IF(A4349="","",IF(OR(L4349="ENTREGADA",L4349="RETORNADA",L4349="ENTREGA DIGITAL"),0,MAX(0,5-NETWORKDAYS(H4349+1,TODAY()))))</f>
        <v/>
      </c>
      <c r="L4349" t="str">
        <f>IF(A4349="","",IFERROR(LOOKUP(2,1/(#REF!=Z4349),#REF!),Y4349))</f>
        <v/>
      </c>
      <c r="Z4349" t="str">
        <f>IF(A4349="","",TEXT(A4349,"0")&amp;"|"&amp;TEXT(H4349,"0"))</f>
        <v/>
      </c>
      <c r="AA4349" t="str">
        <f>IF(Z4349="","",IFERROR(LOOKUP(2,1/(#REF!=Z4349),#REF!),""))</f>
        <v/>
      </c>
      <c r="AB4349" t="str">
        <f>IF(Z4349="","",IFERROR(LOOKUP(2,1/(#REF!=Z4349),#REF!),""))</f>
        <v/>
      </c>
      <c r="AC4349" t="str">
        <f>IF(Z4349="","",COUNTIF(#REF!,Z4349))</f>
        <v/>
      </c>
      <c r="AD4349" t="str">
        <f>IF(A4349="","",IF(AC4349&gt;1,"REVISAR DUPLICADO",IF(AA4349&lt;&gt;"","ACTUALIZADO POR EYR","SIN REPORTE EYR")))</f>
        <v/>
      </c>
    </row>
    <row r="4350" spans="11:30" x14ac:dyDescent="0.3">
      <c r="K4350" s="1" t="str">
        <f ca="1">IF(A4350="","",IF(OR(L4350="ENTREGADA",L4350="RETORNADA",L4350="ENTREGA DIGITAL"),0,MAX(0,5-NETWORKDAYS(H4350+1,TODAY()))))</f>
        <v/>
      </c>
      <c r="L4350" t="str">
        <f>IF(A4350="","",IFERROR(LOOKUP(2,1/(#REF!=Z4350),#REF!),Y4350))</f>
        <v/>
      </c>
      <c r="Z4350" t="str">
        <f>IF(A4350="","",TEXT(A4350,"0")&amp;"|"&amp;TEXT(H4350,"0"))</f>
        <v/>
      </c>
      <c r="AA4350" t="str">
        <f>IF(Z4350="","",IFERROR(LOOKUP(2,1/(#REF!=Z4350),#REF!),""))</f>
        <v/>
      </c>
      <c r="AB4350" t="str">
        <f>IF(Z4350="","",IFERROR(LOOKUP(2,1/(#REF!=Z4350),#REF!),""))</f>
        <v/>
      </c>
      <c r="AC4350" t="str">
        <f>IF(Z4350="","",COUNTIF(#REF!,Z4350))</f>
        <v/>
      </c>
      <c r="AD4350" t="str">
        <f>IF(A4350="","",IF(AC4350&gt;1,"REVISAR DUPLICADO",IF(AA4350&lt;&gt;"","ACTUALIZADO POR EYR","SIN REPORTE EYR")))</f>
        <v/>
      </c>
    </row>
    <row r="4351" spans="11:30" x14ac:dyDescent="0.3">
      <c r="K4351" s="1" t="str">
        <f ca="1">IF(A4351="","",IF(OR(L4351="ENTREGADA",L4351="RETORNADA",L4351="ENTREGA DIGITAL"),0,MAX(0,5-NETWORKDAYS(H4351+1,TODAY()))))</f>
        <v/>
      </c>
      <c r="L4351" t="str">
        <f>IF(A4351="","",IFERROR(LOOKUP(2,1/(#REF!=Z4351),#REF!),Y4351))</f>
        <v/>
      </c>
      <c r="Z4351" t="str">
        <f>IF(A4351="","",TEXT(A4351,"0")&amp;"|"&amp;TEXT(H4351,"0"))</f>
        <v/>
      </c>
      <c r="AA4351" t="str">
        <f>IF(Z4351="","",IFERROR(LOOKUP(2,1/(#REF!=Z4351),#REF!),""))</f>
        <v/>
      </c>
      <c r="AB4351" t="str">
        <f>IF(Z4351="","",IFERROR(LOOKUP(2,1/(#REF!=Z4351),#REF!),""))</f>
        <v/>
      </c>
      <c r="AC4351" t="str">
        <f>IF(Z4351="","",COUNTIF(#REF!,Z4351))</f>
        <v/>
      </c>
      <c r="AD4351" t="str">
        <f>IF(A4351="","",IF(AC4351&gt;1,"REVISAR DUPLICADO",IF(AA4351&lt;&gt;"","ACTUALIZADO POR EYR","SIN REPORTE EYR")))</f>
        <v/>
      </c>
    </row>
    <row r="4352" spans="11:30" x14ac:dyDescent="0.3">
      <c r="K4352" s="1" t="str">
        <f ca="1">IF(A4352="","",IF(OR(L4352="ENTREGADA",L4352="RETORNADA",L4352="ENTREGA DIGITAL"),0,MAX(0,5-NETWORKDAYS(H4352+1,TODAY()))))</f>
        <v/>
      </c>
      <c r="L4352" t="str">
        <f>IF(A4352="","",IFERROR(LOOKUP(2,1/(#REF!=Z4352),#REF!),Y4352))</f>
        <v/>
      </c>
      <c r="Z4352" t="str">
        <f>IF(A4352="","",TEXT(A4352,"0")&amp;"|"&amp;TEXT(H4352,"0"))</f>
        <v/>
      </c>
      <c r="AA4352" t="str">
        <f>IF(Z4352="","",IFERROR(LOOKUP(2,1/(#REF!=Z4352),#REF!),""))</f>
        <v/>
      </c>
      <c r="AB4352" t="str">
        <f>IF(Z4352="","",IFERROR(LOOKUP(2,1/(#REF!=Z4352),#REF!),""))</f>
        <v/>
      </c>
      <c r="AC4352" t="str">
        <f>IF(Z4352="","",COUNTIF(#REF!,Z4352))</f>
        <v/>
      </c>
      <c r="AD4352" t="str">
        <f>IF(A4352="","",IF(AC4352&gt;1,"REVISAR DUPLICADO",IF(AA4352&lt;&gt;"","ACTUALIZADO POR EYR","SIN REPORTE EYR")))</f>
        <v/>
      </c>
    </row>
    <row r="4353" spans="11:30" x14ac:dyDescent="0.3">
      <c r="K4353" s="1" t="str">
        <f ca="1">IF(A4353="","",IF(OR(L4353="ENTREGADA",L4353="RETORNADA",L4353="ENTREGA DIGITAL"),0,MAX(0,5-NETWORKDAYS(H4353+1,TODAY()))))</f>
        <v/>
      </c>
      <c r="L4353" t="str">
        <f>IF(A4353="","",IFERROR(LOOKUP(2,1/(#REF!=Z4353),#REF!),Y4353))</f>
        <v/>
      </c>
      <c r="Z4353" t="str">
        <f>IF(A4353="","",TEXT(A4353,"0")&amp;"|"&amp;TEXT(H4353,"0"))</f>
        <v/>
      </c>
      <c r="AA4353" t="str">
        <f>IF(Z4353="","",IFERROR(LOOKUP(2,1/(#REF!=Z4353),#REF!),""))</f>
        <v/>
      </c>
      <c r="AB4353" t="str">
        <f>IF(Z4353="","",IFERROR(LOOKUP(2,1/(#REF!=Z4353),#REF!),""))</f>
        <v/>
      </c>
      <c r="AC4353" t="str">
        <f>IF(Z4353="","",COUNTIF(#REF!,Z4353))</f>
        <v/>
      </c>
      <c r="AD4353" t="str">
        <f>IF(A4353="","",IF(AC4353&gt;1,"REVISAR DUPLICADO",IF(AA4353&lt;&gt;"","ACTUALIZADO POR EYR","SIN REPORTE EYR")))</f>
        <v/>
      </c>
    </row>
    <row r="4354" spans="11:30" x14ac:dyDescent="0.3">
      <c r="K4354" s="1" t="str">
        <f ca="1">IF(A4354="","",IF(OR(L4354="ENTREGADA",L4354="RETORNADA",L4354="ENTREGA DIGITAL"),0,MAX(0,5-NETWORKDAYS(H4354+1,TODAY()))))</f>
        <v/>
      </c>
      <c r="L4354" t="str">
        <f>IF(A4354="","",IFERROR(LOOKUP(2,1/(#REF!=Z4354),#REF!),Y4354))</f>
        <v/>
      </c>
      <c r="Z4354" t="str">
        <f>IF(A4354="","",TEXT(A4354,"0")&amp;"|"&amp;TEXT(H4354,"0"))</f>
        <v/>
      </c>
      <c r="AA4354" t="str">
        <f>IF(Z4354="","",IFERROR(LOOKUP(2,1/(#REF!=Z4354),#REF!),""))</f>
        <v/>
      </c>
      <c r="AB4354" t="str">
        <f>IF(Z4354="","",IFERROR(LOOKUP(2,1/(#REF!=Z4354),#REF!),""))</f>
        <v/>
      </c>
      <c r="AC4354" t="str">
        <f>IF(Z4354="","",COUNTIF(#REF!,Z4354))</f>
        <v/>
      </c>
      <c r="AD4354" t="str">
        <f>IF(A4354="","",IF(AC4354&gt;1,"REVISAR DUPLICADO",IF(AA4354&lt;&gt;"","ACTUALIZADO POR EYR","SIN REPORTE EYR")))</f>
        <v/>
      </c>
    </row>
    <row r="4355" spans="11:30" x14ac:dyDescent="0.3">
      <c r="K4355" s="1" t="str">
        <f ca="1">IF(A4355="","",IF(OR(L4355="ENTREGADA",L4355="RETORNADA",L4355="ENTREGA DIGITAL"),0,MAX(0,5-NETWORKDAYS(H4355+1,TODAY()))))</f>
        <v/>
      </c>
      <c r="L4355" t="str">
        <f>IF(A4355="","",IFERROR(LOOKUP(2,1/(#REF!=Z4355),#REF!),Y4355))</f>
        <v/>
      </c>
      <c r="Z4355" t="str">
        <f>IF(A4355="","",TEXT(A4355,"0")&amp;"|"&amp;TEXT(H4355,"0"))</f>
        <v/>
      </c>
      <c r="AA4355" t="str">
        <f>IF(Z4355="","",IFERROR(LOOKUP(2,1/(#REF!=Z4355),#REF!),""))</f>
        <v/>
      </c>
      <c r="AB4355" t="str">
        <f>IF(Z4355="","",IFERROR(LOOKUP(2,1/(#REF!=Z4355),#REF!),""))</f>
        <v/>
      </c>
      <c r="AC4355" t="str">
        <f>IF(Z4355="","",COUNTIF(#REF!,Z4355))</f>
        <v/>
      </c>
      <c r="AD4355" t="str">
        <f>IF(A4355="","",IF(AC4355&gt;1,"REVISAR DUPLICADO",IF(AA4355&lt;&gt;"","ACTUALIZADO POR EYR","SIN REPORTE EYR")))</f>
        <v/>
      </c>
    </row>
    <row r="4356" spans="11:30" x14ac:dyDescent="0.3">
      <c r="K4356" s="1" t="str">
        <f ca="1">IF(A4356="","",IF(OR(L4356="ENTREGADA",L4356="RETORNADA",L4356="ENTREGA DIGITAL"),0,MAX(0,5-NETWORKDAYS(H4356+1,TODAY()))))</f>
        <v/>
      </c>
      <c r="L4356" t="str">
        <f>IF(A4356="","",IFERROR(LOOKUP(2,1/(#REF!=Z4356),#REF!),Y4356))</f>
        <v/>
      </c>
      <c r="Z4356" t="str">
        <f>IF(A4356="","",TEXT(A4356,"0")&amp;"|"&amp;TEXT(H4356,"0"))</f>
        <v/>
      </c>
      <c r="AA4356" t="str">
        <f>IF(Z4356="","",IFERROR(LOOKUP(2,1/(#REF!=Z4356),#REF!),""))</f>
        <v/>
      </c>
      <c r="AB4356" t="str">
        <f>IF(Z4356="","",IFERROR(LOOKUP(2,1/(#REF!=Z4356),#REF!),""))</f>
        <v/>
      </c>
      <c r="AC4356" t="str">
        <f>IF(Z4356="","",COUNTIF(#REF!,Z4356))</f>
        <v/>
      </c>
      <c r="AD4356" t="str">
        <f>IF(A4356="","",IF(AC4356&gt;1,"REVISAR DUPLICADO",IF(AA4356&lt;&gt;"","ACTUALIZADO POR EYR","SIN REPORTE EYR")))</f>
        <v/>
      </c>
    </row>
    <row r="4357" spans="11:30" x14ac:dyDescent="0.3">
      <c r="K4357" s="1" t="str">
        <f ca="1">IF(A4357="","",IF(OR(L4357="ENTREGADA",L4357="RETORNADA",L4357="ENTREGA DIGITAL"),0,MAX(0,5-NETWORKDAYS(H4357+1,TODAY()))))</f>
        <v/>
      </c>
      <c r="L4357" t="str">
        <f>IF(A4357="","",IFERROR(LOOKUP(2,1/(#REF!=Z4357),#REF!),Y4357))</f>
        <v/>
      </c>
      <c r="Z4357" t="str">
        <f>IF(A4357="","",TEXT(A4357,"0")&amp;"|"&amp;TEXT(H4357,"0"))</f>
        <v/>
      </c>
      <c r="AA4357" t="str">
        <f>IF(Z4357="","",IFERROR(LOOKUP(2,1/(#REF!=Z4357),#REF!),""))</f>
        <v/>
      </c>
      <c r="AB4357" t="str">
        <f>IF(Z4357="","",IFERROR(LOOKUP(2,1/(#REF!=Z4357),#REF!),""))</f>
        <v/>
      </c>
      <c r="AC4357" t="str">
        <f>IF(Z4357="","",COUNTIF(#REF!,Z4357))</f>
        <v/>
      </c>
      <c r="AD4357" t="str">
        <f>IF(A4357="","",IF(AC4357&gt;1,"REVISAR DUPLICADO",IF(AA4357&lt;&gt;"","ACTUALIZADO POR EYR","SIN REPORTE EYR")))</f>
        <v/>
      </c>
    </row>
    <row r="4358" spans="11:30" x14ac:dyDescent="0.3">
      <c r="K4358" s="1" t="str">
        <f ca="1">IF(A4358="","",IF(OR(L4358="ENTREGADA",L4358="RETORNADA",L4358="ENTREGA DIGITAL"),0,MAX(0,5-NETWORKDAYS(H4358+1,TODAY()))))</f>
        <v/>
      </c>
      <c r="L4358" t="str">
        <f>IF(A4358="","",IFERROR(LOOKUP(2,1/(#REF!=Z4358),#REF!),Y4358))</f>
        <v/>
      </c>
      <c r="Z4358" t="str">
        <f>IF(A4358="","",TEXT(A4358,"0")&amp;"|"&amp;TEXT(H4358,"0"))</f>
        <v/>
      </c>
      <c r="AA4358" t="str">
        <f>IF(Z4358="","",IFERROR(LOOKUP(2,1/(#REF!=Z4358),#REF!),""))</f>
        <v/>
      </c>
      <c r="AB4358" t="str">
        <f>IF(Z4358="","",IFERROR(LOOKUP(2,1/(#REF!=Z4358),#REF!),""))</f>
        <v/>
      </c>
      <c r="AC4358" t="str">
        <f>IF(Z4358="","",COUNTIF(#REF!,Z4358))</f>
        <v/>
      </c>
      <c r="AD4358" t="str">
        <f>IF(A4358="","",IF(AC4358&gt;1,"REVISAR DUPLICADO",IF(AA4358&lt;&gt;"","ACTUALIZADO POR EYR","SIN REPORTE EYR")))</f>
        <v/>
      </c>
    </row>
    <row r="4359" spans="11:30" x14ac:dyDescent="0.3">
      <c r="K4359" s="1" t="str">
        <f ca="1">IF(A4359="","",IF(OR(L4359="ENTREGADA",L4359="RETORNADA",L4359="ENTREGA DIGITAL"),0,MAX(0,5-NETWORKDAYS(H4359+1,TODAY()))))</f>
        <v/>
      </c>
      <c r="L4359" t="str">
        <f>IF(A4359="","",IFERROR(LOOKUP(2,1/(#REF!=Z4359),#REF!),Y4359))</f>
        <v/>
      </c>
      <c r="Z4359" t="str">
        <f>IF(A4359="","",TEXT(A4359,"0")&amp;"|"&amp;TEXT(H4359,"0"))</f>
        <v/>
      </c>
      <c r="AA4359" t="str">
        <f>IF(Z4359="","",IFERROR(LOOKUP(2,1/(#REF!=Z4359),#REF!),""))</f>
        <v/>
      </c>
      <c r="AB4359" t="str">
        <f>IF(Z4359="","",IFERROR(LOOKUP(2,1/(#REF!=Z4359),#REF!),""))</f>
        <v/>
      </c>
      <c r="AC4359" t="str">
        <f>IF(Z4359="","",COUNTIF(#REF!,Z4359))</f>
        <v/>
      </c>
      <c r="AD4359" t="str">
        <f>IF(A4359="","",IF(AC4359&gt;1,"REVISAR DUPLICADO",IF(AA4359&lt;&gt;"","ACTUALIZADO POR EYR","SIN REPORTE EYR")))</f>
        <v/>
      </c>
    </row>
    <row r="4360" spans="11:30" x14ac:dyDescent="0.3">
      <c r="K4360" s="1" t="str">
        <f ca="1">IF(A4360="","",IF(OR(L4360="ENTREGADA",L4360="RETORNADA",L4360="ENTREGA DIGITAL"),0,MAX(0,5-NETWORKDAYS(H4360+1,TODAY()))))</f>
        <v/>
      </c>
      <c r="L4360" t="str">
        <f>IF(A4360="","",IFERROR(LOOKUP(2,1/(#REF!=Z4360),#REF!),Y4360))</f>
        <v/>
      </c>
      <c r="Z4360" t="str">
        <f>IF(A4360="","",TEXT(A4360,"0")&amp;"|"&amp;TEXT(H4360,"0"))</f>
        <v/>
      </c>
      <c r="AA4360" t="str">
        <f>IF(Z4360="","",IFERROR(LOOKUP(2,1/(#REF!=Z4360),#REF!),""))</f>
        <v/>
      </c>
      <c r="AB4360" t="str">
        <f>IF(Z4360="","",IFERROR(LOOKUP(2,1/(#REF!=Z4360),#REF!),""))</f>
        <v/>
      </c>
      <c r="AC4360" t="str">
        <f>IF(Z4360="","",COUNTIF(#REF!,Z4360))</f>
        <v/>
      </c>
      <c r="AD4360" t="str">
        <f>IF(A4360="","",IF(AC4360&gt;1,"REVISAR DUPLICADO",IF(AA4360&lt;&gt;"","ACTUALIZADO POR EYR","SIN REPORTE EYR")))</f>
        <v/>
      </c>
    </row>
    <row r="4361" spans="11:30" x14ac:dyDescent="0.3">
      <c r="K4361" s="1" t="str">
        <f ca="1">IF(A4361="","",IF(OR(L4361="ENTREGADA",L4361="RETORNADA",L4361="ENTREGA DIGITAL"),0,MAX(0,5-NETWORKDAYS(H4361+1,TODAY()))))</f>
        <v/>
      </c>
      <c r="L4361" t="str">
        <f>IF(A4361="","",IFERROR(LOOKUP(2,1/(#REF!=Z4361),#REF!),Y4361))</f>
        <v/>
      </c>
      <c r="Z4361" t="str">
        <f>IF(A4361="","",TEXT(A4361,"0")&amp;"|"&amp;TEXT(H4361,"0"))</f>
        <v/>
      </c>
      <c r="AA4361" t="str">
        <f>IF(Z4361="","",IFERROR(LOOKUP(2,1/(#REF!=Z4361),#REF!),""))</f>
        <v/>
      </c>
      <c r="AB4361" t="str">
        <f>IF(Z4361="","",IFERROR(LOOKUP(2,1/(#REF!=Z4361),#REF!),""))</f>
        <v/>
      </c>
      <c r="AC4361" t="str">
        <f>IF(Z4361="","",COUNTIF(#REF!,Z4361))</f>
        <v/>
      </c>
      <c r="AD4361" t="str">
        <f>IF(A4361="","",IF(AC4361&gt;1,"REVISAR DUPLICADO",IF(AA4361&lt;&gt;"","ACTUALIZADO POR EYR","SIN REPORTE EYR")))</f>
        <v/>
      </c>
    </row>
    <row r="4362" spans="11:30" x14ac:dyDescent="0.3">
      <c r="K4362" s="1" t="str">
        <f ca="1">IF(A4362="","",IF(OR(L4362="ENTREGADA",L4362="RETORNADA",L4362="ENTREGA DIGITAL"),0,MAX(0,5-NETWORKDAYS(H4362+1,TODAY()))))</f>
        <v/>
      </c>
      <c r="L4362" t="str">
        <f>IF(A4362="","",IFERROR(LOOKUP(2,1/(#REF!=Z4362),#REF!),Y4362))</f>
        <v/>
      </c>
      <c r="Z4362" t="str">
        <f>IF(A4362="","",TEXT(A4362,"0")&amp;"|"&amp;TEXT(H4362,"0"))</f>
        <v/>
      </c>
      <c r="AA4362" t="str">
        <f>IF(Z4362="","",IFERROR(LOOKUP(2,1/(#REF!=Z4362),#REF!),""))</f>
        <v/>
      </c>
      <c r="AB4362" t="str">
        <f>IF(Z4362="","",IFERROR(LOOKUP(2,1/(#REF!=Z4362),#REF!),""))</f>
        <v/>
      </c>
      <c r="AC4362" t="str">
        <f>IF(Z4362="","",COUNTIF(#REF!,Z4362))</f>
        <v/>
      </c>
      <c r="AD4362" t="str">
        <f>IF(A4362="","",IF(AC4362&gt;1,"REVISAR DUPLICADO",IF(AA4362&lt;&gt;"","ACTUALIZADO POR EYR","SIN REPORTE EYR")))</f>
        <v/>
      </c>
    </row>
    <row r="4363" spans="11:30" x14ac:dyDescent="0.3">
      <c r="K4363" s="1" t="str">
        <f ca="1">IF(A4363="","",IF(OR(L4363="ENTREGADA",L4363="RETORNADA",L4363="ENTREGA DIGITAL"),0,MAX(0,5-NETWORKDAYS(H4363+1,TODAY()))))</f>
        <v/>
      </c>
      <c r="L4363" t="str">
        <f>IF(A4363="","",IFERROR(LOOKUP(2,1/(#REF!=Z4363),#REF!),Y4363))</f>
        <v/>
      </c>
      <c r="Z4363" t="str">
        <f>IF(A4363="","",TEXT(A4363,"0")&amp;"|"&amp;TEXT(H4363,"0"))</f>
        <v/>
      </c>
      <c r="AA4363" t="str">
        <f>IF(Z4363="","",IFERROR(LOOKUP(2,1/(#REF!=Z4363),#REF!),""))</f>
        <v/>
      </c>
      <c r="AB4363" t="str">
        <f>IF(Z4363="","",IFERROR(LOOKUP(2,1/(#REF!=Z4363),#REF!),""))</f>
        <v/>
      </c>
      <c r="AC4363" t="str">
        <f>IF(Z4363="","",COUNTIF(#REF!,Z4363))</f>
        <v/>
      </c>
      <c r="AD4363" t="str">
        <f>IF(A4363="","",IF(AC4363&gt;1,"REVISAR DUPLICADO",IF(AA4363&lt;&gt;"","ACTUALIZADO POR EYR","SIN REPORTE EYR")))</f>
        <v/>
      </c>
    </row>
    <row r="4364" spans="11:30" x14ac:dyDescent="0.3">
      <c r="K4364" s="1" t="str">
        <f ca="1">IF(A4364="","",IF(OR(L4364="ENTREGADA",L4364="RETORNADA",L4364="ENTREGA DIGITAL"),0,MAX(0,5-NETWORKDAYS(H4364+1,TODAY()))))</f>
        <v/>
      </c>
      <c r="L4364" t="str">
        <f>IF(A4364="","",IFERROR(LOOKUP(2,1/(#REF!=Z4364),#REF!),Y4364))</f>
        <v/>
      </c>
      <c r="Z4364" t="str">
        <f>IF(A4364="","",TEXT(A4364,"0")&amp;"|"&amp;TEXT(H4364,"0"))</f>
        <v/>
      </c>
      <c r="AA4364" t="str">
        <f>IF(Z4364="","",IFERROR(LOOKUP(2,1/(#REF!=Z4364),#REF!),""))</f>
        <v/>
      </c>
      <c r="AB4364" t="str">
        <f>IF(Z4364="","",IFERROR(LOOKUP(2,1/(#REF!=Z4364),#REF!),""))</f>
        <v/>
      </c>
      <c r="AC4364" t="str">
        <f>IF(Z4364="","",COUNTIF(#REF!,Z4364))</f>
        <v/>
      </c>
      <c r="AD4364" t="str">
        <f>IF(A4364="","",IF(AC4364&gt;1,"REVISAR DUPLICADO",IF(AA4364&lt;&gt;"","ACTUALIZADO POR EYR","SIN REPORTE EYR")))</f>
        <v/>
      </c>
    </row>
    <row r="4365" spans="11:30" x14ac:dyDescent="0.3">
      <c r="K4365" s="1" t="str">
        <f ca="1">IF(A4365="","",IF(OR(L4365="ENTREGADA",L4365="RETORNADA",L4365="ENTREGA DIGITAL"),0,MAX(0,5-NETWORKDAYS(H4365+1,TODAY()))))</f>
        <v/>
      </c>
      <c r="L4365" t="str">
        <f>IF(A4365="","",IFERROR(LOOKUP(2,1/(#REF!=Z4365),#REF!),Y4365))</f>
        <v/>
      </c>
      <c r="Z4365" t="str">
        <f>IF(A4365="","",TEXT(A4365,"0")&amp;"|"&amp;TEXT(H4365,"0"))</f>
        <v/>
      </c>
      <c r="AA4365" t="str">
        <f>IF(Z4365="","",IFERROR(LOOKUP(2,1/(#REF!=Z4365),#REF!),""))</f>
        <v/>
      </c>
      <c r="AB4365" t="str">
        <f>IF(Z4365="","",IFERROR(LOOKUP(2,1/(#REF!=Z4365),#REF!),""))</f>
        <v/>
      </c>
      <c r="AC4365" t="str">
        <f>IF(Z4365="","",COUNTIF(#REF!,Z4365))</f>
        <v/>
      </c>
      <c r="AD4365" t="str">
        <f>IF(A4365="","",IF(AC4365&gt;1,"REVISAR DUPLICADO",IF(AA4365&lt;&gt;"","ACTUALIZADO POR EYR","SIN REPORTE EYR")))</f>
        <v/>
      </c>
    </row>
    <row r="4366" spans="11:30" x14ac:dyDescent="0.3">
      <c r="K4366" s="1" t="str">
        <f ca="1">IF(A4366="","",IF(OR(L4366="ENTREGADA",L4366="RETORNADA",L4366="ENTREGA DIGITAL"),0,MAX(0,5-NETWORKDAYS(H4366+1,TODAY()))))</f>
        <v/>
      </c>
      <c r="L4366" t="str">
        <f>IF(A4366="","",IFERROR(LOOKUP(2,1/(#REF!=Z4366),#REF!),Y4366))</f>
        <v/>
      </c>
      <c r="Z4366" t="str">
        <f>IF(A4366="","",TEXT(A4366,"0")&amp;"|"&amp;TEXT(H4366,"0"))</f>
        <v/>
      </c>
      <c r="AA4366" t="str">
        <f>IF(Z4366="","",IFERROR(LOOKUP(2,1/(#REF!=Z4366),#REF!),""))</f>
        <v/>
      </c>
      <c r="AB4366" t="str">
        <f>IF(Z4366="","",IFERROR(LOOKUP(2,1/(#REF!=Z4366),#REF!),""))</f>
        <v/>
      </c>
      <c r="AC4366" t="str">
        <f>IF(Z4366="","",COUNTIF(#REF!,Z4366))</f>
        <v/>
      </c>
      <c r="AD4366" t="str">
        <f>IF(A4366="","",IF(AC4366&gt;1,"REVISAR DUPLICADO",IF(AA4366&lt;&gt;"","ACTUALIZADO POR EYR","SIN REPORTE EYR")))</f>
        <v/>
      </c>
    </row>
    <row r="4367" spans="11:30" x14ac:dyDescent="0.3">
      <c r="K4367" s="1" t="str">
        <f ca="1">IF(A4367="","",IF(OR(L4367="ENTREGADA",L4367="RETORNADA",L4367="ENTREGA DIGITAL"),0,MAX(0,5-NETWORKDAYS(H4367+1,TODAY()))))</f>
        <v/>
      </c>
      <c r="L4367" t="str">
        <f>IF(A4367="","",IFERROR(LOOKUP(2,1/(#REF!=Z4367),#REF!),Y4367))</f>
        <v/>
      </c>
      <c r="Z4367" t="str">
        <f>IF(A4367="","",TEXT(A4367,"0")&amp;"|"&amp;TEXT(H4367,"0"))</f>
        <v/>
      </c>
      <c r="AA4367" t="str">
        <f>IF(Z4367="","",IFERROR(LOOKUP(2,1/(#REF!=Z4367),#REF!),""))</f>
        <v/>
      </c>
      <c r="AB4367" t="str">
        <f>IF(Z4367="","",IFERROR(LOOKUP(2,1/(#REF!=Z4367),#REF!),""))</f>
        <v/>
      </c>
      <c r="AC4367" t="str">
        <f>IF(Z4367="","",COUNTIF(#REF!,Z4367))</f>
        <v/>
      </c>
      <c r="AD4367" t="str">
        <f>IF(A4367="","",IF(AC4367&gt;1,"REVISAR DUPLICADO",IF(AA4367&lt;&gt;"","ACTUALIZADO POR EYR","SIN REPORTE EYR")))</f>
        <v/>
      </c>
    </row>
    <row r="4368" spans="11:30" x14ac:dyDescent="0.3">
      <c r="K4368" s="1" t="str">
        <f ca="1">IF(A4368="","",IF(OR(L4368="ENTREGADA",L4368="RETORNADA",L4368="ENTREGA DIGITAL"),0,MAX(0,5-NETWORKDAYS(H4368+1,TODAY()))))</f>
        <v/>
      </c>
      <c r="L4368" t="str">
        <f>IF(A4368="","",IFERROR(LOOKUP(2,1/(#REF!=Z4368),#REF!),Y4368))</f>
        <v/>
      </c>
      <c r="Z4368" t="str">
        <f>IF(A4368="","",TEXT(A4368,"0")&amp;"|"&amp;TEXT(H4368,"0"))</f>
        <v/>
      </c>
      <c r="AA4368" t="str">
        <f>IF(Z4368="","",IFERROR(LOOKUP(2,1/(#REF!=Z4368),#REF!),""))</f>
        <v/>
      </c>
      <c r="AB4368" t="str">
        <f>IF(Z4368="","",IFERROR(LOOKUP(2,1/(#REF!=Z4368),#REF!),""))</f>
        <v/>
      </c>
      <c r="AC4368" t="str">
        <f>IF(Z4368="","",COUNTIF(#REF!,Z4368))</f>
        <v/>
      </c>
      <c r="AD4368" t="str">
        <f>IF(A4368="","",IF(AC4368&gt;1,"REVISAR DUPLICADO",IF(AA4368&lt;&gt;"","ACTUALIZADO POR EYR","SIN REPORTE EYR")))</f>
        <v/>
      </c>
    </row>
    <row r="4369" spans="11:30" x14ac:dyDescent="0.3">
      <c r="K4369" s="1" t="str">
        <f ca="1">IF(A4369="","",IF(OR(L4369="ENTREGADA",L4369="RETORNADA",L4369="ENTREGA DIGITAL"),0,MAX(0,5-NETWORKDAYS(H4369+1,TODAY()))))</f>
        <v/>
      </c>
      <c r="L4369" t="str">
        <f>IF(A4369="","",IFERROR(LOOKUP(2,1/(#REF!=Z4369),#REF!),Y4369))</f>
        <v/>
      </c>
      <c r="Z4369" t="str">
        <f>IF(A4369="","",TEXT(A4369,"0")&amp;"|"&amp;TEXT(H4369,"0"))</f>
        <v/>
      </c>
      <c r="AA4369" t="str">
        <f>IF(Z4369="","",IFERROR(LOOKUP(2,1/(#REF!=Z4369),#REF!),""))</f>
        <v/>
      </c>
      <c r="AB4369" t="str">
        <f>IF(Z4369="","",IFERROR(LOOKUP(2,1/(#REF!=Z4369),#REF!),""))</f>
        <v/>
      </c>
      <c r="AC4369" t="str">
        <f>IF(Z4369="","",COUNTIF(#REF!,Z4369))</f>
        <v/>
      </c>
      <c r="AD4369" t="str">
        <f>IF(A4369="","",IF(AC4369&gt;1,"REVISAR DUPLICADO",IF(AA4369&lt;&gt;"","ACTUALIZADO POR EYR","SIN REPORTE EYR")))</f>
        <v/>
      </c>
    </row>
    <row r="4370" spans="11:30" x14ac:dyDescent="0.3">
      <c r="K4370" s="1" t="str">
        <f ca="1">IF(A4370="","",IF(OR(L4370="ENTREGADA",L4370="RETORNADA",L4370="ENTREGA DIGITAL"),0,MAX(0,5-NETWORKDAYS(H4370+1,TODAY()))))</f>
        <v/>
      </c>
      <c r="L4370" t="str">
        <f>IF(A4370="","",IFERROR(LOOKUP(2,1/(#REF!=Z4370),#REF!),Y4370))</f>
        <v/>
      </c>
      <c r="Z4370" t="str">
        <f>IF(A4370="","",TEXT(A4370,"0")&amp;"|"&amp;TEXT(H4370,"0"))</f>
        <v/>
      </c>
      <c r="AA4370" t="str">
        <f>IF(Z4370="","",IFERROR(LOOKUP(2,1/(#REF!=Z4370),#REF!),""))</f>
        <v/>
      </c>
      <c r="AB4370" t="str">
        <f>IF(Z4370="","",IFERROR(LOOKUP(2,1/(#REF!=Z4370),#REF!),""))</f>
        <v/>
      </c>
      <c r="AC4370" t="str">
        <f>IF(Z4370="","",COUNTIF(#REF!,Z4370))</f>
        <v/>
      </c>
      <c r="AD4370" t="str">
        <f>IF(A4370="","",IF(AC4370&gt;1,"REVISAR DUPLICADO",IF(AA4370&lt;&gt;"","ACTUALIZADO POR EYR","SIN REPORTE EYR")))</f>
        <v/>
      </c>
    </row>
    <row r="4371" spans="11:30" x14ac:dyDescent="0.3">
      <c r="K4371" s="1" t="str">
        <f ca="1">IF(A4371="","",IF(OR(L4371="ENTREGADA",L4371="RETORNADA",L4371="ENTREGA DIGITAL"),0,MAX(0,5-NETWORKDAYS(H4371+1,TODAY()))))</f>
        <v/>
      </c>
      <c r="L4371" t="str">
        <f>IF(A4371="","",IFERROR(LOOKUP(2,1/(#REF!=Z4371),#REF!),Y4371))</f>
        <v/>
      </c>
      <c r="Z4371" t="str">
        <f>IF(A4371="","",TEXT(A4371,"0")&amp;"|"&amp;TEXT(H4371,"0"))</f>
        <v/>
      </c>
      <c r="AA4371" t="str">
        <f>IF(Z4371="","",IFERROR(LOOKUP(2,1/(#REF!=Z4371),#REF!),""))</f>
        <v/>
      </c>
      <c r="AB4371" t="str">
        <f>IF(Z4371="","",IFERROR(LOOKUP(2,1/(#REF!=Z4371),#REF!),""))</f>
        <v/>
      </c>
      <c r="AC4371" t="str">
        <f>IF(Z4371="","",COUNTIF(#REF!,Z4371))</f>
        <v/>
      </c>
      <c r="AD4371" t="str">
        <f>IF(A4371="","",IF(AC4371&gt;1,"REVISAR DUPLICADO",IF(AA4371&lt;&gt;"","ACTUALIZADO POR EYR","SIN REPORTE EYR")))</f>
        <v/>
      </c>
    </row>
    <row r="4372" spans="11:30" x14ac:dyDescent="0.3">
      <c r="K4372" s="1" t="str">
        <f ca="1">IF(A4372="","",IF(OR(L4372="ENTREGADA",L4372="RETORNADA",L4372="ENTREGA DIGITAL"),0,MAX(0,5-NETWORKDAYS(H4372+1,TODAY()))))</f>
        <v/>
      </c>
      <c r="L4372" t="str">
        <f>IF(A4372="","",IFERROR(LOOKUP(2,1/(#REF!=Z4372),#REF!),Y4372))</f>
        <v/>
      </c>
      <c r="Z4372" t="str">
        <f>IF(A4372="","",TEXT(A4372,"0")&amp;"|"&amp;TEXT(H4372,"0"))</f>
        <v/>
      </c>
      <c r="AA4372" t="str">
        <f>IF(Z4372="","",IFERROR(LOOKUP(2,1/(#REF!=Z4372),#REF!),""))</f>
        <v/>
      </c>
      <c r="AB4372" t="str">
        <f>IF(Z4372="","",IFERROR(LOOKUP(2,1/(#REF!=Z4372),#REF!),""))</f>
        <v/>
      </c>
      <c r="AC4372" t="str">
        <f>IF(Z4372="","",COUNTIF(#REF!,Z4372))</f>
        <v/>
      </c>
      <c r="AD4372" t="str">
        <f>IF(A4372="","",IF(AC4372&gt;1,"REVISAR DUPLICADO",IF(AA4372&lt;&gt;"","ACTUALIZADO POR EYR","SIN REPORTE EYR")))</f>
        <v/>
      </c>
    </row>
    <row r="4373" spans="11:30" x14ac:dyDescent="0.3">
      <c r="K4373" s="1" t="str">
        <f ca="1">IF(A4373="","",IF(OR(L4373="ENTREGADA",L4373="RETORNADA",L4373="ENTREGA DIGITAL"),0,MAX(0,5-NETWORKDAYS(H4373+1,TODAY()))))</f>
        <v/>
      </c>
      <c r="L4373" t="str">
        <f>IF(A4373="","",IFERROR(LOOKUP(2,1/(#REF!=Z4373),#REF!),Y4373))</f>
        <v/>
      </c>
      <c r="Z4373" t="str">
        <f>IF(A4373="","",TEXT(A4373,"0")&amp;"|"&amp;TEXT(H4373,"0"))</f>
        <v/>
      </c>
      <c r="AA4373" t="str">
        <f>IF(Z4373="","",IFERROR(LOOKUP(2,1/(#REF!=Z4373),#REF!),""))</f>
        <v/>
      </c>
      <c r="AB4373" t="str">
        <f>IF(Z4373="","",IFERROR(LOOKUP(2,1/(#REF!=Z4373),#REF!),""))</f>
        <v/>
      </c>
      <c r="AC4373" t="str">
        <f>IF(Z4373="","",COUNTIF(#REF!,Z4373))</f>
        <v/>
      </c>
      <c r="AD4373" t="str">
        <f>IF(A4373="","",IF(AC4373&gt;1,"REVISAR DUPLICADO",IF(AA4373&lt;&gt;"","ACTUALIZADO POR EYR","SIN REPORTE EYR")))</f>
        <v/>
      </c>
    </row>
    <row r="4374" spans="11:30" x14ac:dyDescent="0.3">
      <c r="K4374" s="1" t="str">
        <f ca="1">IF(A4374="","",IF(OR(L4374="ENTREGADA",L4374="RETORNADA",L4374="ENTREGA DIGITAL"),0,MAX(0,5-NETWORKDAYS(H4374+1,TODAY()))))</f>
        <v/>
      </c>
      <c r="L4374" t="str">
        <f>IF(A4374="","",IFERROR(LOOKUP(2,1/(#REF!=Z4374),#REF!),Y4374))</f>
        <v/>
      </c>
      <c r="Z4374" t="str">
        <f>IF(A4374="","",TEXT(A4374,"0")&amp;"|"&amp;TEXT(H4374,"0"))</f>
        <v/>
      </c>
      <c r="AA4374" t="str">
        <f>IF(Z4374="","",IFERROR(LOOKUP(2,1/(#REF!=Z4374),#REF!),""))</f>
        <v/>
      </c>
      <c r="AB4374" t="str">
        <f>IF(Z4374="","",IFERROR(LOOKUP(2,1/(#REF!=Z4374),#REF!),""))</f>
        <v/>
      </c>
      <c r="AC4374" t="str">
        <f>IF(Z4374="","",COUNTIF(#REF!,Z4374))</f>
        <v/>
      </c>
      <c r="AD4374" t="str">
        <f>IF(A4374="","",IF(AC4374&gt;1,"REVISAR DUPLICADO",IF(AA4374&lt;&gt;"","ACTUALIZADO POR EYR","SIN REPORTE EYR")))</f>
        <v/>
      </c>
    </row>
    <row r="4375" spans="11:30" x14ac:dyDescent="0.3">
      <c r="K4375" s="1" t="str">
        <f ca="1">IF(A4375="","",IF(OR(L4375="ENTREGADA",L4375="RETORNADA",L4375="ENTREGA DIGITAL"),0,MAX(0,5-NETWORKDAYS(H4375+1,TODAY()))))</f>
        <v/>
      </c>
      <c r="L4375" t="str">
        <f>IF(A4375="","",IFERROR(LOOKUP(2,1/(#REF!=Z4375),#REF!),Y4375))</f>
        <v/>
      </c>
      <c r="Z4375" t="str">
        <f>IF(A4375="","",TEXT(A4375,"0")&amp;"|"&amp;TEXT(H4375,"0"))</f>
        <v/>
      </c>
      <c r="AA4375" t="str">
        <f>IF(Z4375="","",IFERROR(LOOKUP(2,1/(#REF!=Z4375),#REF!),""))</f>
        <v/>
      </c>
      <c r="AB4375" t="str">
        <f>IF(Z4375="","",IFERROR(LOOKUP(2,1/(#REF!=Z4375),#REF!),""))</f>
        <v/>
      </c>
      <c r="AC4375" t="str">
        <f>IF(Z4375="","",COUNTIF(#REF!,Z4375))</f>
        <v/>
      </c>
      <c r="AD4375" t="str">
        <f>IF(A4375="","",IF(AC4375&gt;1,"REVISAR DUPLICADO",IF(AA4375&lt;&gt;"","ACTUALIZADO POR EYR","SIN REPORTE EYR")))</f>
        <v/>
      </c>
    </row>
    <row r="4376" spans="11:30" x14ac:dyDescent="0.3">
      <c r="K4376" s="1" t="str">
        <f ca="1">IF(A4376="","",IF(OR(L4376="ENTREGADA",L4376="RETORNADA",L4376="ENTREGA DIGITAL"),0,MAX(0,5-NETWORKDAYS(H4376+1,TODAY()))))</f>
        <v/>
      </c>
      <c r="L4376" t="str">
        <f>IF(A4376="","",IFERROR(LOOKUP(2,1/(#REF!=Z4376),#REF!),Y4376))</f>
        <v/>
      </c>
      <c r="Z4376" t="str">
        <f>IF(A4376="","",TEXT(A4376,"0")&amp;"|"&amp;TEXT(H4376,"0"))</f>
        <v/>
      </c>
      <c r="AA4376" t="str">
        <f>IF(Z4376="","",IFERROR(LOOKUP(2,1/(#REF!=Z4376),#REF!),""))</f>
        <v/>
      </c>
      <c r="AB4376" t="str">
        <f>IF(Z4376="","",IFERROR(LOOKUP(2,1/(#REF!=Z4376),#REF!),""))</f>
        <v/>
      </c>
      <c r="AC4376" t="str">
        <f>IF(Z4376="","",COUNTIF(#REF!,Z4376))</f>
        <v/>
      </c>
      <c r="AD4376" t="str">
        <f>IF(A4376="","",IF(AC4376&gt;1,"REVISAR DUPLICADO",IF(AA4376&lt;&gt;"","ACTUALIZADO POR EYR","SIN REPORTE EYR")))</f>
        <v/>
      </c>
    </row>
    <row r="4377" spans="11:30" x14ac:dyDescent="0.3">
      <c r="K4377" s="1" t="str">
        <f ca="1">IF(A4377="","",IF(OR(L4377="ENTREGADA",L4377="RETORNADA",L4377="ENTREGA DIGITAL"),0,MAX(0,5-NETWORKDAYS(H4377+1,TODAY()))))</f>
        <v/>
      </c>
      <c r="L4377" t="str">
        <f>IF(A4377="","",IFERROR(LOOKUP(2,1/(#REF!=Z4377),#REF!),Y4377))</f>
        <v/>
      </c>
      <c r="Z4377" t="str">
        <f>IF(A4377="","",TEXT(A4377,"0")&amp;"|"&amp;TEXT(H4377,"0"))</f>
        <v/>
      </c>
      <c r="AA4377" t="str">
        <f>IF(Z4377="","",IFERROR(LOOKUP(2,1/(#REF!=Z4377),#REF!),""))</f>
        <v/>
      </c>
      <c r="AB4377" t="str">
        <f>IF(Z4377="","",IFERROR(LOOKUP(2,1/(#REF!=Z4377),#REF!),""))</f>
        <v/>
      </c>
      <c r="AC4377" t="str">
        <f>IF(Z4377="","",COUNTIF(#REF!,Z4377))</f>
        <v/>
      </c>
      <c r="AD4377" t="str">
        <f>IF(A4377="","",IF(AC4377&gt;1,"REVISAR DUPLICADO",IF(AA4377&lt;&gt;"","ACTUALIZADO POR EYR","SIN REPORTE EYR")))</f>
        <v/>
      </c>
    </row>
    <row r="4378" spans="11:30" x14ac:dyDescent="0.3">
      <c r="K4378" s="1" t="str">
        <f ca="1">IF(A4378="","",IF(OR(L4378="ENTREGADA",L4378="RETORNADA",L4378="ENTREGA DIGITAL"),0,MAX(0,5-NETWORKDAYS(H4378+1,TODAY()))))</f>
        <v/>
      </c>
      <c r="L4378" t="str">
        <f>IF(A4378="","",IFERROR(LOOKUP(2,1/(#REF!=Z4378),#REF!),Y4378))</f>
        <v/>
      </c>
      <c r="Z4378" t="str">
        <f>IF(A4378="","",TEXT(A4378,"0")&amp;"|"&amp;TEXT(H4378,"0"))</f>
        <v/>
      </c>
      <c r="AA4378" t="str">
        <f>IF(Z4378="","",IFERROR(LOOKUP(2,1/(#REF!=Z4378),#REF!),""))</f>
        <v/>
      </c>
      <c r="AB4378" t="str">
        <f>IF(Z4378="","",IFERROR(LOOKUP(2,1/(#REF!=Z4378),#REF!),""))</f>
        <v/>
      </c>
      <c r="AC4378" t="str">
        <f>IF(Z4378="","",COUNTIF(#REF!,Z4378))</f>
        <v/>
      </c>
      <c r="AD4378" t="str">
        <f>IF(A4378="","",IF(AC4378&gt;1,"REVISAR DUPLICADO",IF(AA4378&lt;&gt;"","ACTUALIZADO POR EYR","SIN REPORTE EYR")))</f>
        <v/>
      </c>
    </row>
    <row r="4379" spans="11:30" x14ac:dyDescent="0.3">
      <c r="K4379" s="1" t="str">
        <f ca="1">IF(A4379="","",IF(OR(L4379="ENTREGADA",L4379="RETORNADA",L4379="ENTREGA DIGITAL"),0,MAX(0,5-NETWORKDAYS(H4379+1,TODAY()))))</f>
        <v/>
      </c>
      <c r="L4379" t="str">
        <f>IF(A4379="","",IFERROR(LOOKUP(2,1/(#REF!=Z4379),#REF!),Y4379))</f>
        <v/>
      </c>
      <c r="Z4379" t="str">
        <f>IF(A4379="","",TEXT(A4379,"0")&amp;"|"&amp;TEXT(H4379,"0"))</f>
        <v/>
      </c>
      <c r="AA4379" t="str">
        <f>IF(Z4379="","",IFERROR(LOOKUP(2,1/(#REF!=Z4379),#REF!),""))</f>
        <v/>
      </c>
      <c r="AB4379" t="str">
        <f>IF(Z4379="","",IFERROR(LOOKUP(2,1/(#REF!=Z4379),#REF!),""))</f>
        <v/>
      </c>
      <c r="AC4379" t="str">
        <f>IF(Z4379="","",COUNTIF(#REF!,Z4379))</f>
        <v/>
      </c>
      <c r="AD4379" t="str">
        <f>IF(A4379="","",IF(AC4379&gt;1,"REVISAR DUPLICADO",IF(AA4379&lt;&gt;"","ACTUALIZADO POR EYR","SIN REPORTE EYR")))</f>
        <v/>
      </c>
    </row>
    <row r="4380" spans="11:30" x14ac:dyDescent="0.3">
      <c r="K4380" s="1" t="str">
        <f ca="1">IF(A4380="","",IF(OR(L4380="ENTREGADA",L4380="RETORNADA",L4380="ENTREGA DIGITAL"),0,MAX(0,5-NETWORKDAYS(H4380+1,TODAY()))))</f>
        <v/>
      </c>
      <c r="L4380" t="str">
        <f>IF(A4380="","",IFERROR(LOOKUP(2,1/(#REF!=Z4380),#REF!),Y4380))</f>
        <v/>
      </c>
      <c r="Z4380" t="str">
        <f>IF(A4380="","",TEXT(A4380,"0")&amp;"|"&amp;TEXT(H4380,"0"))</f>
        <v/>
      </c>
      <c r="AA4380" t="str">
        <f>IF(Z4380="","",IFERROR(LOOKUP(2,1/(#REF!=Z4380),#REF!),""))</f>
        <v/>
      </c>
      <c r="AB4380" t="str">
        <f>IF(Z4380="","",IFERROR(LOOKUP(2,1/(#REF!=Z4380),#REF!),""))</f>
        <v/>
      </c>
      <c r="AC4380" t="str">
        <f>IF(Z4380="","",COUNTIF(#REF!,Z4380))</f>
        <v/>
      </c>
      <c r="AD4380" t="str">
        <f>IF(A4380="","",IF(AC4380&gt;1,"REVISAR DUPLICADO",IF(AA4380&lt;&gt;"","ACTUALIZADO POR EYR","SIN REPORTE EYR")))</f>
        <v/>
      </c>
    </row>
    <row r="4381" spans="11:30" x14ac:dyDescent="0.3">
      <c r="K4381" s="1" t="str">
        <f ca="1">IF(A4381="","",IF(OR(L4381="ENTREGADA",L4381="RETORNADA",L4381="ENTREGA DIGITAL"),0,MAX(0,5-NETWORKDAYS(H4381+1,TODAY()))))</f>
        <v/>
      </c>
      <c r="L4381" t="str">
        <f>IF(A4381="","",IFERROR(LOOKUP(2,1/(#REF!=Z4381),#REF!),Y4381))</f>
        <v/>
      </c>
      <c r="Z4381" t="str">
        <f>IF(A4381="","",TEXT(A4381,"0")&amp;"|"&amp;TEXT(H4381,"0"))</f>
        <v/>
      </c>
      <c r="AA4381" t="str">
        <f>IF(Z4381="","",IFERROR(LOOKUP(2,1/(#REF!=Z4381),#REF!),""))</f>
        <v/>
      </c>
      <c r="AB4381" t="str">
        <f>IF(Z4381="","",IFERROR(LOOKUP(2,1/(#REF!=Z4381),#REF!),""))</f>
        <v/>
      </c>
      <c r="AC4381" t="str">
        <f>IF(Z4381="","",COUNTIF(#REF!,Z4381))</f>
        <v/>
      </c>
      <c r="AD4381" t="str">
        <f>IF(A4381="","",IF(AC4381&gt;1,"REVISAR DUPLICADO",IF(AA4381&lt;&gt;"","ACTUALIZADO POR EYR","SIN REPORTE EYR")))</f>
        <v/>
      </c>
    </row>
    <row r="4382" spans="11:30" x14ac:dyDescent="0.3">
      <c r="K4382" s="1" t="str">
        <f ca="1">IF(A4382="","",IF(OR(L4382="ENTREGADA",L4382="RETORNADA",L4382="ENTREGA DIGITAL"),0,MAX(0,5-NETWORKDAYS(H4382+1,TODAY()))))</f>
        <v/>
      </c>
      <c r="L4382" t="str">
        <f>IF(A4382="","",IFERROR(LOOKUP(2,1/(#REF!=Z4382),#REF!),Y4382))</f>
        <v/>
      </c>
      <c r="Z4382" t="str">
        <f>IF(A4382="","",TEXT(A4382,"0")&amp;"|"&amp;TEXT(H4382,"0"))</f>
        <v/>
      </c>
      <c r="AA4382" t="str">
        <f>IF(Z4382="","",IFERROR(LOOKUP(2,1/(#REF!=Z4382),#REF!),""))</f>
        <v/>
      </c>
      <c r="AB4382" t="str">
        <f>IF(Z4382="","",IFERROR(LOOKUP(2,1/(#REF!=Z4382),#REF!),""))</f>
        <v/>
      </c>
      <c r="AC4382" t="str">
        <f>IF(Z4382="","",COUNTIF(#REF!,Z4382))</f>
        <v/>
      </c>
      <c r="AD4382" t="str">
        <f>IF(A4382="","",IF(AC4382&gt;1,"REVISAR DUPLICADO",IF(AA4382&lt;&gt;"","ACTUALIZADO POR EYR","SIN REPORTE EYR")))</f>
        <v/>
      </c>
    </row>
    <row r="4383" spans="11:30" x14ac:dyDescent="0.3">
      <c r="K4383" s="1" t="str">
        <f ca="1">IF(A4383="","",IF(OR(L4383="ENTREGADA",L4383="RETORNADA",L4383="ENTREGA DIGITAL"),0,MAX(0,5-NETWORKDAYS(H4383+1,TODAY()))))</f>
        <v/>
      </c>
      <c r="L4383" t="str">
        <f>IF(A4383="","",IFERROR(LOOKUP(2,1/(#REF!=Z4383),#REF!),Y4383))</f>
        <v/>
      </c>
      <c r="Z4383" t="str">
        <f>IF(A4383="","",TEXT(A4383,"0")&amp;"|"&amp;TEXT(H4383,"0"))</f>
        <v/>
      </c>
      <c r="AA4383" t="str">
        <f>IF(Z4383="","",IFERROR(LOOKUP(2,1/(#REF!=Z4383),#REF!),""))</f>
        <v/>
      </c>
      <c r="AB4383" t="str">
        <f>IF(Z4383="","",IFERROR(LOOKUP(2,1/(#REF!=Z4383),#REF!),""))</f>
        <v/>
      </c>
      <c r="AC4383" t="str">
        <f>IF(Z4383="","",COUNTIF(#REF!,Z4383))</f>
        <v/>
      </c>
      <c r="AD4383" t="str">
        <f>IF(A4383="","",IF(AC4383&gt;1,"REVISAR DUPLICADO",IF(AA4383&lt;&gt;"","ACTUALIZADO POR EYR","SIN REPORTE EYR")))</f>
        <v/>
      </c>
    </row>
    <row r="4384" spans="11:30" x14ac:dyDescent="0.3">
      <c r="K4384" s="1" t="str">
        <f ca="1">IF(A4384="","",IF(OR(L4384="ENTREGADA",L4384="RETORNADA",L4384="ENTREGA DIGITAL"),0,MAX(0,5-NETWORKDAYS(H4384+1,TODAY()))))</f>
        <v/>
      </c>
      <c r="L4384" t="str">
        <f>IF(A4384="","",IFERROR(LOOKUP(2,1/(#REF!=Z4384),#REF!),Y4384))</f>
        <v/>
      </c>
      <c r="Z4384" t="str">
        <f>IF(A4384="","",TEXT(A4384,"0")&amp;"|"&amp;TEXT(H4384,"0"))</f>
        <v/>
      </c>
      <c r="AA4384" t="str">
        <f>IF(Z4384="","",IFERROR(LOOKUP(2,1/(#REF!=Z4384),#REF!),""))</f>
        <v/>
      </c>
      <c r="AB4384" t="str">
        <f>IF(Z4384="","",IFERROR(LOOKUP(2,1/(#REF!=Z4384),#REF!),""))</f>
        <v/>
      </c>
      <c r="AC4384" t="str">
        <f>IF(Z4384="","",COUNTIF(#REF!,Z4384))</f>
        <v/>
      </c>
      <c r="AD4384" t="str">
        <f>IF(A4384="","",IF(AC4384&gt;1,"REVISAR DUPLICADO",IF(AA4384&lt;&gt;"","ACTUALIZADO POR EYR","SIN REPORTE EYR")))</f>
        <v/>
      </c>
    </row>
    <row r="4385" spans="11:30" x14ac:dyDescent="0.3">
      <c r="K4385" s="1" t="str">
        <f ca="1">IF(A4385="","",IF(OR(L4385="ENTREGADA",L4385="RETORNADA",L4385="ENTREGA DIGITAL"),0,MAX(0,5-NETWORKDAYS(H4385+1,TODAY()))))</f>
        <v/>
      </c>
      <c r="L4385" t="str">
        <f>IF(A4385="","",IFERROR(LOOKUP(2,1/(#REF!=Z4385),#REF!),Y4385))</f>
        <v/>
      </c>
      <c r="Z4385" t="str">
        <f>IF(A4385="","",TEXT(A4385,"0")&amp;"|"&amp;TEXT(H4385,"0"))</f>
        <v/>
      </c>
      <c r="AA4385" t="str">
        <f>IF(Z4385="","",IFERROR(LOOKUP(2,1/(#REF!=Z4385),#REF!),""))</f>
        <v/>
      </c>
      <c r="AB4385" t="str">
        <f>IF(Z4385="","",IFERROR(LOOKUP(2,1/(#REF!=Z4385),#REF!),""))</f>
        <v/>
      </c>
      <c r="AC4385" t="str">
        <f>IF(Z4385="","",COUNTIF(#REF!,Z4385))</f>
        <v/>
      </c>
      <c r="AD4385" t="str">
        <f>IF(A4385="","",IF(AC4385&gt;1,"REVISAR DUPLICADO",IF(AA4385&lt;&gt;"","ACTUALIZADO POR EYR","SIN REPORTE EYR")))</f>
        <v/>
      </c>
    </row>
    <row r="4386" spans="11:30" x14ac:dyDescent="0.3">
      <c r="K4386" s="1" t="str">
        <f ca="1">IF(A4386="","",IF(OR(L4386="ENTREGADA",L4386="RETORNADA",L4386="ENTREGA DIGITAL"),0,MAX(0,5-NETWORKDAYS(H4386+1,TODAY()))))</f>
        <v/>
      </c>
      <c r="L4386" t="str">
        <f>IF(A4386="","",IFERROR(LOOKUP(2,1/(#REF!=Z4386),#REF!),Y4386))</f>
        <v/>
      </c>
      <c r="Z4386" t="str">
        <f>IF(A4386="","",TEXT(A4386,"0")&amp;"|"&amp;TEXT(H4386,"0"))</f>
        <v/>
      </c>
      <c r="AA4386" t="str">
        <f>IF(Z4386="","",IFERROR(LOOKUP(2,1/(#REF!=Z4386),#REF!),""))</f>
        <v/>
      </c>
      <c r="AB4386" t="str">
        <f>IF(Z4386="","",IFERROR(LOOKUP(2,1/(#REF!=Z4386),#REF!),""))</f>
        <v/>
      </c>
      <c r="AC4386" t="str">
        <f>IF(Z4386="","",COUNTIF(#REF!,Z4386))</f>
        <v/>
      </c>
      <c r="AD4386" t="str">
        <f>IF(A4386="","",IF(AC4386&gt;1,"REVISAR DUPLICADO",IF(AA4386&lt;&gt;"","ACTUALIZADO POR EYR","SIN REPORTE EYR")))</f>
        <v/>
      </c>
    </row>
    <row r="4387" spans="11:30" x14ac:dyDescent="0.3">
      <c r="K4387" s="1" t="str">
        <f ca="1">IF(A4387="","",IF(OR(L4387="ENTREGADA",L4387="RETORNADA",L4387="ENTREGA DIGITAL"),0,MAX(0,5-NETWORKDAYS(H4387+1,TODAY()))))</f>
        <v/>
      </c>
      <c r="L4387" t="str">
        <f>IF(A4387="","",IFERROR(LOOKUP(2,1/(#REF!=Z4387),#REF!),Y4387))</f>
        <v/>
      </c>
      <c r="Z4387" t="str">
        <f>IF(A4387="","",TEXT(A4387,"0")&amp;"|"&amp;TEXT(H4387,"0"))</f>
        <v/>
      </c>
      <c r="AA4387" t="str">
        <f>IF(Z4387="","",IFERROR(LOOKUP(2,1/(#REF!=Z4387),#REF!),""))</f>
        <v/>
      </c>
      <c r="AB4387" t="str">
        <f>IF(Z4387="","",IFERROR(LOOKUP(2,1/(#REF!=Z4387),#REF!),""))</f>
        <v/>
      </c>
      <c r="AC4387" t="str">
        <f>IF(Z4387="","",COUNTIF(#REF!,Z4387))</f>
        <v/>
      </c>
      <c r="AD4387" t="str">
        <f>IF(A4387="","",IF(AC4387&gt;1,"REVISAR DUPLICADO",IF(AA4387&lt;&gt;"","ACTUALIZADO POR EYR","SIN REPORTE EYR")))</f>
        <v/>
      </c>
    </row>
    <row r="4388" spans="11:30" x14ac:dyDescent="0.3">
      <c r="K4388" s="1" t="str">
        <f ca="1">IF(A4388="","",IF(OR(L4388="ENTREGADA",L4388="RETORNADA",L4388="ENTREGA DIGITAL"),0,MAX(0,5-NETWORKDAYS(H4388+1,TODAY()))))</f>
        <v/>
      </c>
      <c r="L4388" t="str">
        <f>IF(A4388="","",IFERROR(LOOKUP(2,1/(#REF!=Z4388),#REF!),Y4388))</f>
        <v/>
      </c>
      <c r="Z4388" t="str">
        <f>IF(A4388="","",TEXT(A4388,"0")&amp;"|"&amp;TEXT(H4388,"0"))</f>
        <v/>
      </c>
      <c r="AA4388" t="str">
        <f>IF(Z4388="","",IFERROR(LOOKUP(2,1/(#REF!=Z4388),#REF!),""))</f>
        <v/>
      </c>
      <c r="AB4388" t="str">
        <f>IF(Z4388="","",IFERROR(LOOKUP(2,1/(#REF!=Z4388),#REF!),""))</f>
        <v/>
      </c>
      <c r="AC4388" t="str">
        <f>IF(Z4388="","",COUNTIF(#REF!,Z4388))</f>
        <v/>
      </c>
      <c r="AD4388" t="str">
        <f>IF(A4388="","",IF(AC4388&gt;1,"REVISAR DUPLICADO",IF(AA4388&lt;&gt;"","ACTUALIZADO POR EYR","SIN REPORTE EYR")))</f>
        <v/>
      </c>
    </row>
    <row r="4389" spans="11:30" x14ac:dyDescent="0.3">
      <c r="K4389" s="1" t="str">
        <f ca="1">IF(A4389="","",IF(OR(L4389="ENTREGADA",L4389="RETORNADA",L4389="ENTREGA DIGITAL"),0,MAX(0,5-NETWORKDAYS(H4389+1,TODAY()))))</f>
        <v/>
      </c>
      <c r="L4389" t="str">
        <f>IF(A4389="","",IFERROR(LOOKUP(2,1/(#REF!=Z4389),#REF!),Y4389))</f>
        <v/>
      </c>
      <c r="Z4389" t="str">
        <f>IF(A4389="","",TEXT(A4389,"0")&amp;"|"&amp;TEXT(H4389,"0"))</f>
        <v/>
      </c>
      <c r="AA4389" t="str">
        <f>IF(Z4389="","",IFERROR(LOOKUP(2,1/(#REF!=Z4389),#REF!),""))</f>
        <v/>
      </c>
      <c r="AB4389" t="str">
        <f>IF(Z4389="","",IFERROR(LOOKUP(2,1/(#REF!=Z4389),#REF!),""))</f>
        <v/>
      </c>
      <c r="AC4389" t="str">
        <f>IF(Z4389="","",COUNTIF(#REF!,Z4389))</f>
        <v/>
      </c>
      <c r="AD4389" t="str">
        <f>IF(A4389="","",IF(AC4389&gt;1,"REVISAR DUPLICADO",IF(AA4389&lt;&gt;"","ACTUALIZADO POR EYR","SIN REPORTE EYR")))</f>
        <v/>
      </c>
    </row>
    <row r="4390" spans="11:30" x14ac:dyDescent="0.3">
      <c r="K4390" s="1" t="str">
        <f ca="1">IF(A4390="","",IF(OR(L4390="ENTREGADA",L4390="RETORNADA",L4390="ENTREGA DIGITAL"),0,MAX(0,5-NETWORKDAYS(H4390+1,TODAY()))))</f>
        <v/>
      </c>
      <c r="L4390" t="str">
        <f>IF(A4390="","",IFERROR(LOOKUP(2,1/(#REF!=Z4390),#REF!),Y4390))</f>
        <v/>
      </c>
      <c r="Z4390" t="str">
        <f>IF(A4390="","",TEXT(A4390,"0")&amp;"|"&amp;TEXT(H4390,"0"))</f>
        <v/>
      </c>
      <c r="AA4390" t="str">
        <f>IF(Z4390="","",IFERROR(LOOKUP(2,1/(#REF!=Z4390),#REF!),""))</f>
        <v/>
      </c>
      <c r="AB4390" t="str">
        <f>IF(Z4390="","",IFERROR(LOOKUP(2,1/(#REF!=Z4390),#REF!),""))</f>
        <v/>
      </c>
      <c r="AC4390" t="str">
        <f>IF(Z4390="","",COUNTIF(#REF!,Z4390))</f>
        <v/>
      </c>
      <c r="AD4390" t="str">
        <f>IF(A4390="","",IF(AC4390&gt;1,"REVISAR DUPLICADO",IF(AA4390&lt;&gt;"","ACTUALIZADO POR EYR","SIN REPORTE EYR")))</f>
        <v/>
      </c>
    </row>
    <row r="4391" spans="11:30" x14ac:dyDescent="0.3">
      <c r="K4391" s="1" t="str">
        <f ca="1">IF(A4391="","",IF(OR(L4391="ENTREGADA",L4391="RETORNADA",L4391="ENTREGA DIGITAL"),0,MAX(0,5-NETWORKDAYS(H4391+1,TODAY()))))</f>
        <v/>
      </c>
      <c r="L4391" t="str">
        <f>IF(A4391="","",IFERROR(LOOKUP(2,1/(#REF!=Z4391),#REF!),Y4391))</f>
        <v/>
      </c>
      <c r="Z4391" t="str">
        <f>IF(A4391="","",TEXT(A4391,"0")&amp;"|"&amp;TEXT(H4391,"0"))</f>
        <v/>
      </c>
      <c r="AA4391" t="str">
        <f>IF(Z4391="","",IFERROR(LOOKUP(2,1/(#REF!=Z4391),#REF!),""))</f>
        <v/>
      </c>
      <c r="AB4391" t="str">
        <f>IF(Z4391="","",IFERROR(LOOKUP(2,1/(#REF!=Z4391),#REF!),""))</f>
        <v/>
      </c>
      <c r="AC4391" t="str">
        <f>IF(Z4391="","",COUNTIF(#REF!,Z4391))</f>
        <v/>
      </c>
      <c r="AD4391" t="str">
        <f>IF(A4391="","",IF(AC4391&gt;1,"REVISAR DUPLICADO",IF(AA4391&lt;&gt;"","ACTUALIZADO POR EYR","SIN REPORTE EYR")))</f>
        <v/>
      </c>
    </row>
    <row r="4392" spans="11:30" x14ac:dyDescent="0.3">
      <c r="K4392" s="1" t="str">
        <f ca="1">IF(A4392="","",IF(OR(L4392="ENTREGADA",L4392="RETORNADA",L4392="ENTREGA DIGITAL"),0,MAX(0,5-NETWORKDAYS(H4392+1,TODAY()))))</f>
        <v/>
      </c>
      <c r="L4392" t="str">
        <f>IF(A4392="","",IFERROR(LOOKUP(2,1/(#REF!=Z4392),#REF!),Y4392))</f>
        <v/>
      </c>
      <c r="Z4392" t="str">
        <f>IF(A4392="","",TEXT(A4392,"0")&amp;"|"&amp;TEXT(H4392,"0"))</f>
        <v/>
      </c>
      <c r="AA4392" t="str">
        <f>IF(Z4392="","",IFERROR(LOOKUP(2,1/(#REF!=Z4392),#REF!),""))</f>
        <v/>
      </c>
      <c r="AB4392" t="str">
        <f>IF(Z4392="","",IFERROR(LOOKUP(2,1/(#REF!=Z4392),#REF!),""))</f>
        <v/>
      </c>
      <c r="AC4392" t="str">
        <f>IF(Z4392="","",COUNTIF(#REF!,Z4392))</f>
        <v/>
      </c>
      <c r="AD4392" t="str">
        <f>IF(A4392="","",IF(AC4392&gt;1,"REVISAR DUPLICADO",IF(AA4392&lt;&gt;"","ACTUALIZADO POR EYR","SIN REPORTE EYR")))</f>
        <v/>
      </c>
    </row>
    <row r="4393" spans="11:30" x14ac:dyDescent="0.3">
      <c r="K4393" s="1" t="str">
        <f ca="1">IF(A4393="","",IF(OR(L4393="ENTREGADA",L4393="RETORNADA",L4393="ENTREGA DIGITAL"),0,MAX(0,5-NETWORKDAYS(H4393+1,TODAY()))))</f>
        <v/>
      </c>
      <c r="L4393" t="str">
        <f>IF(A4393="","",IFERROR(LOOKUP(2,1/(#REF!=Z4393),#REF!),Y4393))</f>
        <v/>
      </c>
      <c r="Z4393" t="str">
        <f>IF(A4393="","",TEXT(A4393,"0")&amp;"|"&amp;TEXT(H4393,"0"))</f>
        <v/>
      </c>
      <c r="AA4393" t="str">
        <f>IF(Z4393="","",IFERROR(LOOKUP(2,1/(#REF!=Z4393),#REF!),""))</f>
        <v/>
      </c>
      <c r="AB4393" t="str">
        <f>IF(Z4393="","",IFERROR(LOOKUP(2,1/(#REF!=Z4393),#REF!),""))</f>
        <v/>
      </c>
      <c r="AC4393" t="str">
        <f>IF(Z4393="","",COUNTIF(#REF!,Z4393))</f>
        <v/>
      </c>
      <c r="AD4393" t="str">
        <f>IF(A4393="","",IF(AC4393&gt;1,"REVISAR DUPLICADO",IF(AA4393&lt;&gt;"","ACTUALIZADO POR EYR","SIN REPORTE EYR")))</f>
        <v/>
      </c>
    </row>
    <row r="4394" spans="11:30" x14ac:dyDescent="0.3">
      <c r="K4394" s="1" t="str">
        <f ca="1">IF(A4394="","",IF(OR(L4394="ENTREGADA",L4394="RETORNADA",L4394="ENTREGA DIGITAL"),0,MAX(0,5-NETWORKDAYS(H4394+1,TODAY()))))</f>
        <v/>
      </c>
      <c r="L4394" t="str">
        <f>IF(A4394="","",IFERROR(LOOKUP(2,1/(#REF!=Z4394),#REF!),Y4394))</f>
        <v/>
      </c>
      <c r="Z4394" t="str">
        <f>IF(A4394="","",TEXT(A4394,"0")&amp;"|"&amp;TEXT(H4394,"0"))</f>
        <v/>
      </c>
      <c r="AA4394" t="str">
        <f>IF(Z4394="","",IFERROR(LOOKUP(2,1/(#REF!=Z4394),#REF!),""))</f>
        <v/>
      </c>
      <c r="AB4394" t="str">
        <f>IF(Z4394="","",IFERROR(LOOKUP(2,1/(#REF!=Z4394),#REF!),""))</f>
        <v/>
      </c>
      <c r="AC4394" t="str">
        <f>IF(Z4394="","",COUNTIF(#REF!,Z4394))</f>
        <v/>
      </c>
      <c r="AD4394" t="str">
        <f>IF(A4394="","",IF(AC4394&gt;1,"REVISAR DUPLICADO",IF(AA4394&lt;&gt;"","ACTUALIZADO POR EYR","SIN REPORTE EYR")))</f>
        <v/>
      </c>
    </row>
    <row r="4395" spans="11:30" x14ac:dyDescent="0.3">
      <c r="K4395" s="1" t="str">
        <f ca="1">IF(A4395="","",IF(OR(L4395="ENTREGADA",L4395="RETORNADA",L4395="ENTREGA DIGITAL"),0,MAX(0,5-NETWORKDAYS(H4395+1,TODAY()))))</f>
        <v/>
      </c>
      <c r="L4395" t="str">
        <f>IF(A4395="","",IFERROR(LOOKUP(2,1/(#REF!=Z4395),#REF!),Y4395))</f>
        <v/>
      </c>
      <c r="Z4395" t="str">
        <f>IF(A4395="","",TEXT(A4395,"0")&amp;"|"&amp;TEXT(H4395,"0"))</f>
        <v/>
      </c>
      <c r="AA4395" t="str">
        <f>IF(Z4395="","",IFERROR(LOOKUP(2,1/(#REF!=Z4395),#REF!),""))</f>
        <v/>
      </c>
      <c r="AB4395" t="str">
        <f>IF(Z4395="","",IFERROR(LOOKUP(2,1/(#REF!=Z4395),#REF!),""))</f>
        <v/>
      </c>
      <c r="AC4395" t="str">
        <f>IF(Z4395="","",COUNTIF(#REF!,Z4395))</f>
        <v/>
      </c>
      <c r="AD4395" t="str">
        <f>IF(A4395="","",IF(AC4395&gt;1,"REVISAR DUPLICADO",IF(AA4395&lt;&gt;"","ACTUALIZADO POR EYR","SIN REPORTE EYR")))</f>
        <v/>
      </c>
    </row>
    <row r="4396" spans="11:30" x14ac:dyDescent="0.3">
      <c r="K4396" s="1" t="str">
        <f ca="1">IF(A4396="","",IF(OR(L4396="ENTREGADA",L4396="RETORNADA",L4396="ENTREGA DIGITAL"),0,MAX(0,5-NETWORKDAYS(H4396+1,TODAY()))))</f>
        <v/>
      </c>
      <c r="L4396" t="str">
        <f>IF(A4396="","",IFERROR(LOOKUP(2,1/(#REF!=Z4396),#REF!),Y4396))</f>
        <v/>
      </c>
      <c r="Z4396" t="str">
        <f>IF(A4396="","",TEXT(A4396,"0")&amp;"|"&amp;TEXT(H4396,"0"))</f>
        <v/>
      </c>
      <c r="AA4396" t="str">
        <f>IF(Z4396="","",IFERROR(LOOKUP(2,1/(#REF!=Z4396),#REF!),""))</f>
        <v/>
      </c>
      <c r="AB4396" t="str">
        <f>IF(Z4396="","",IFERROR(LOOKUP(2,1/(#REF!=Z4396),#REF!),""))</f>
        <v/>
      </c>
      <c r="AC4396" t="str">
        <f>IF(Z4396="","",COUNTIF(#REF!,Z4396))</f>
        <v/>
      </c>
      <c r="AD4396" t="str">
        <f>IF(A4396="","",IF(AC4396&gt;1,"REVISAR DUPLICADO",IF(AA4396&lt;&gt;"","ACTUALIZADO POR EYR","SIN REPORTE EYR")))</f>
        <v/>
      </c>
    </row>
    <row r="4397" spans="11:30" x14ac:dyDescent="0.3">
      <c r="K4397" s="1" t="str">
        <f ca="1">IF(A4397="","",IF(OR(L4397="ENTREGADA",L4397="RETORNADA",L4397="ENTREGA DIGITAL"),0,MAX(0,5-NETWORKDAYS(H4397+1,TODAY()))))</f>
        <v/>
      </c>
      <c r="L4397" t="str">
        <f>IF(A4397="","",IFERROR(LOOKUP(2,1/(#REF!=Z4397),#REF!),Y4397))</f>
        <v/>
      </c>
      <c r="Z4397" t="str">
        <f>IF(A4397="","",TEXT(A4397,"0")&amp;"|"&amp;TEXT(H4397,"0"))</f>
        <v/>
      </c>
      <c r="AA4397" t="str">
        <f>IF(Z4397="","",IFERROR(LOOKUP(2,1/(#REF!=Z4397),#REF!),""))</f>
        <v/>
      </c>
      <c r="AB4397" t="str">
        <f>IF(Z4397="","",IFERROR(LOOKUP(2,1/(#REF!=Z4397),#REF!),""))</f>
        <v/>
      </c>
      <c r="AC4397" t="str">
        <f>IF(Z4397="","",COUNTIF(#REF!,Z4397))</f>
        <v/>
      </c>
      <c r="AD4397" t="str">
        <f>IF(A4397="","",IF(AC4397&gt;1,"REVISAR DUPLICADO",IF(AA4397&lt;&gt;"","ACTUALIZADO POR EYR","SIN REPORTE EYR")))</f>
        <v/>
      </c>
    </row>
    <row r="4398" spans="11:30" x14ac:dyDescent="0.3">
      <c r="K4398" s="1" t="str">
        <f ca="1">IF(A4398="","",IF(OR(L4398="ENTREGADA",L4398="RETORNADA",L4398="ENTREGA DIGITAL"),0,MAX(0,5-NETWORKDAYS(H4398+1,TODAY()))))</f>
        <v/>
      </c>
      <c r="L4398" t="str">
        <f>IF(A4398="","",IFERROR(LOOKUP(2,1/(#REF!=Z4398),#REF!),Y4398))</f>
        <v/>
      </c>
      <c r="Z4398" t="str">
        <f>IF(A4398="","",TEXT(A4398,"0")&amp;"|"&amp;TEXT(H4398,"0"))</f>
        <v/>
      </c>
      <c r="AA4398" t="str">
        <f>IF(Z4398="","",IFERROR(LOOKUP(2,1/(#REF!=Z4398),#REF!),""))</f>
        <v/>
      </c>
      <c r="AB4398" t="str">
        <f>IF(Z4398="","",IFERROR(LOOKUP(2,1/(#REF!=Z4398),#REF!),""))</f>
        <v/>
      </c>
      <c r="AC4398" t="str">
        <f>IF(Z4398="","",COUNTIF(#REF!,Z4398))</f>
        <v/>
      </c>
      <c r="AD4398" t="str">
        <f>IF(A4398="","",IF(AC4398&gt;1,"REVISAR DUPLICADO",IF(AA4398&lt;&gt;"","ACTUALIZADO POR EYR","SIN REPORTE EYR")))</f>
        <v/>
      </c>
    </row>
    <row r="4399" spans="11:30" x14ac:dyDescent="0.3">
      <c r="K4399" s="1" t="str">
        <f ca="1">IF(A4399="","",IF(OR(L4399="ENTREGADA",L4399="RETORNADA",L4399="ENTREGA DIGITAL"),0,MAX(0,5-NETWORKDAYS(H4399+1,TODAY()))))</f>
        <v/>
      </c>
      <c r="L4399" t="str">
        <f>IF(A4399="","",IFERROR(LOOKUP(2,1/(#REF!=Z4399),#REF!),Y4399))</f>
        <v/>
      </c>
      <c r="Z4399" t="str">
        <f>IF(A4399="","",TEXT(A4399,"0")&amp;"|"&amp;TEXT(H4399,"0"))</f>
        <v/>
      </c>
      <c r="AA4399" t="str">
        <f>IF(Z4399="","",IFERROR(LOOKUP(2,1/(#REF!=Z4399),#REF!),""))</f>
        <v/>
      </c>
      <c r="AB4399" t="str">
        <f>IF(Z4399="","",IFERROR(LOOKUP(2,1/(#REF!=Z4399),#REF!),""))</f>
        <v/>
      </c>
      <c r="AC4399" t="str">
        <f>IF(Z4399="","",COUNTIF(#REF!,Z4399))</f>
        <v/>
      </c>
      <c r="AD4399" t="str">
        <f>IF(A4399="","",IF(AC4399&gt;1,"REVISAR DUPLICADO",IF(AA4399&lt;&gt;"","ACTUALIZADO POR EYR","SIN REPORTE EYR")))</f>
        <v/>
      </c>
    </row>
    <row r="4400" spans="11:30" x14ac:dyDescent="0.3">
      <c r="K4400" s="1" t="str">
        <f ca="1">IF(A4400="","",IF(OR(L4400="ENTREGADA",L4400="RETORNADA",L4400="ENTREGA DIGITAL"),0,MAX(0,5-NETWORKDAYS(H4400+1,TODAY()))))</f>
        <v/>
      </c>
      <c r="L4400" t="str">
        <f>IF(A4400="","",IFERROR(LOOKUP(2,1/(#REF!=Z4400),#REF!),Y4400))</f>
        <v/>
      </c>
      <c r="Z4400" t="str">
        <f>IF(A4400="","",TEXT(A4400,"0")&amp;"|"&amp;TEXT(H4400,"0"))</f>
        <v/>
      </c>
      <c r="AA4400" t="str">
        <f>IF(Z4400="","",IFERROR(LOOKUP(2,1/(#REF!=Z4400),#REF!),""))</f>
        <v/>
      </c>
      <c r="AB4400" t="str">
        <f>IF(Z4400="","",IFERROR(LOOKUP(2,1/(#REF!=Z4400),#REF!),""))</f>
        <v/>
      </c>
      <c r="AC4400" t="str">
        <f>IF(Z4400="","",COUNTIF(#REF!,Z4400))</f>
        <v/>
      </c>
      <c r="AD4400" t="str">
        <f>IF(A4400="","",IF(AC4400&gt;1,"REVISAR DUPLICADO",IF(AA4400&lt;&gt;"","ACTUALIZADO POR EYR","SIN REPORTE EYR")))</f>
        <v/>
      </c>
    </row>
    <row r="4401" spans="11:30" x14ac:dyDescent="0.3">
      <c r="K4401" s="1" t="str">
        <f ca="1">IF(A4401="","",IF(OR(L4401="ENTREGADA",L4401="RETORNADA",L4401="ENTREGA DIGITAL"),0,MAX(0,5-NETWORKDAYS(H4401+1,TODAY()))))</f>
        <v/>
      </c>
      <c r="L4401" t="str">
        <f>IF(A4401="","",IFERROR(LOOKUP(2,1/(#REF!=Z4401),#REF!),Y4401))</f>
        <v/>
      </c>
      <c r="Z4401" t="str">
        <f>IF(A4401="","",TEXT(A4401,"0")&amp;"|"&amp;TEXT(H4401,"0"))</f>
        <v/>
      </c>
      <c r="AA4401" t="str">
        <f>IF(Z4401="","",IFERROR(LOOKUP(2,1/(#REF!=Z4401),#REF!),""))</f>
        <v/>
      </c>
      <c r="AB4401" t="str">
        <f>IF(Z4401="","",IFERROR(LOOKUP(2,1/(#REF!=Z4401),#REF!),""))</f>
        <v/>
      </c>
      <c r="AC4401" t="str">
        <f>IF(Z4401="","",COUNTIF(#REF!,Z4401))</f>
        <v/>
      </c>
      <c r="AD4401" t="str">
        <f>IF(A4401="","",IF(AC4401&gt;1,"REVISAR DUPLICADO",IF(AA4401&lt;&gt;"","ACTUALIZADO POR EYR","SIN REPORTE EYR")))</f>
        <v/>
      </c>
    </row>
    <row r="4402" spans="11:30" x14ac:dyDescent="0.3">
      <c r="K4402" s="1" t="str">
        <f ca="1">IF(A4402="","",IF(OR(L4402="ENTREGADA",L4402="RETORNADA",L4402="ENTREGA DIGITAL"),0,MAX(0,5-NETWORKDAYS(H4402+1,TODAY()))))</f>
        <v/>
      </c>
      <c r="L4402" t="str">
        <f>IF(A4402="","",IFERROR(LOOKUP(2,1/(#REF!=Z4402),#REF!),Y4402))</f>
        <v/>
      </c>
      <c r="Z4402" t="str">
        <f>IF(A4402="","",TEXT(A4402,"0")&amp;"|"&amp;TEXT(H4402,"0"))</f>
        <v/>
      </c>
      <c r="AA4402" t="str">
        <f>IF(Z4402="","",IFERROR(LOOKUP(2,1/(#REF!=Z4402),#REF!),""))</f>
        <v/>
      </c>
      <c r="AB4402" t="str">
        <f>IF(Z4402="","",IFERROR(LOOKUP(2,1/(#REF!=Z4402),#REF!),""))</f>
        <v/>
      </c>
      <c r="AC4402" t="str">
        <f>IF(Z4402="","",COUNTIF(#REF!,Z4402))</f>
        <v/>
      </c>
      <c r="AD4402" t="str">
        <f>IF(A4402="","",IF(AC4402&gt;1,"REVISAR DUPLICADO",IF(AA4402&lt;&gt;"","ACTUALIZADO POR EYR","SIN REPORTE EYR")))</f>
        <v/>
      </c>
    </row>
    <row r="4403" spans="11:30" x14ac:dyDescent="0.3">
      <c r="K4403" s="1" t="str">
        <f ca="1">IF(A4403="","",IF(OR(L4403="ENTREGADA",L4403="RETORNADA",L4403="ENTREGA DIGITAL"),0,MAX(0,5-NETWORKDAYS(H4403+1,TODAY()))))</f>
        <v/>
      </c>
      <c r="L4403" t="str">
        <f>IF(A4403="","",IFERROR(LOOKUP(2,1/(#REF!=Z4403),#REF!),Y4403))</f>
        <v/>
      </c>
      <c r="Z4403" t="str">
        <f>IF(A4403="","",TEXT(A4403,"0")&amp;"|"&amp;TEXT(H4403,"0"))</f>
        <v/>
      </c>
      <c r="AA4403" t="str">
        <f>IF(Z4403="","",IFERROR(LOOKUP(2,1/(#REF!=Z4403),#REF!),""))</f>
        <v/>
      </c>
      <c r="AB4403" t="str">
        <f>IF(Z4403="","",IFERROR(LOOKUP(2,1/(#REF!=Z4403),#REF!),""))</f>
        <v/>
      </c>
      <c r="AC4403" t="str">
        <f>IF(Z4403="","",COUNTIF(#REF!,Z4403))</f>
        <v/>
      </c>
      <c r="AD4403" t="str">
        <f>IF(A4403="","",IF(AC4403&gt;1,"REVISAR DUPLICADO",IF(AA4403&lt;&gt;"","ACTUALIZADO POR EYR","SIN REPORTE EYR")))</f>
        <v/>
      </c>
    </row>
    <row r="4404" spans="11:30" x14ac:dyDescent="0.3">
      <c r="K4404" s="1" t="str">
        <f ca="1">IF(A4404="","",IF(OR(L4404="ENTREGADA",L4404="RETORNADA",L4404="ENTREGA DIGITAL"),0,MAX(0,5-NETWORKDAYS(H4404+1,TODAY()))))</f>
        <v/>
      </c>
      <c r="L4404" t="str">
        <f>IF(A4404="","",IFERROR(LOOKUP(2,1/(#REF!=Z4404),#REF!),Y4404))</f>
        <v/>
      </c>
      <c r="Z4404" t="str">
        <f>IF(A4404="","",TEXT(A4404,"0")&amp;"|"&amp;TEXT(H4404,"0"))</f>
        <v/>
      </c>
      <c r="AA4404" t="str">
        <f>IF(Z4404="","",IFERROR(LOOKUP(2,1/(#REF!=Z4404),#REF!),""))</f>
        <v/>
      </c>
      <c r="AB4404" t="str">
        <f>IF(Z4404="","",IFERROR(LOOKUP(2,1/(#REF!=Z4404),#REF!),""))</f>
        <v/>
      </c>
      <c r="AC4404" t="str">
        <f>IF(Z4404="","",COUNTIF(#REF!,Z4404))</f>
        <v/>
      </c>
      <c r="AD4404" t="str">
        <f>IF(A4404="","",IF(AC4404&gt;1,"REVISAR DUPLICADO",IF(AA4404&lt;&gt;"","ACTUALIZADO POR EYR","SIN REPORTE EYR")))</f>
        <v/>
      </c>
    </row>
    <row r="4405" spans="11:30" x14ac:dyDescent="0.3">
      <c r="K4405" s="1" t="str">
        <f ca="1">IF(A4405="","",IF(OR(L4405="ENTREGADA",L4405="RETORNADA",L4405="ENTREGA DIGITAL"),0,MAX(0,5-NETWORKDAYS(H4405+1,TODAY()))))</f>
        <v/>
      </c>
      <c r="L4405" t="str">
        <f>IF(A4405="","",IFERROR(LOOKUP(2,1/(#REF!=Z4405),#REF!),Y4405))</f>
        <v/>
      </c>
      <c r="Z4405" t="str">
        <f>IF(A4405="","",TEXT(A4405,"0")&amp;"|"&amp;TEXT(H4405,"0"))</f>
        <v/>
      </c>
      <c r="AA4405" t="str">
        <f>IF(Z4405="","",IFERROR(LOOKUP(2,1/(#REF!=Z4405),#REF!),""))</f>
        <v/>
      </c>
      <c r="AB4405" t="str">
        <f>IF(Z4405="","",IFERROR(LOOKUP(2,1/(#REF!=Z4405),#REF!),""))</f>
        <v/>
      </c>
      <c r="AC4405" t="str">
        <f>IF(Z4405="","",COUNTIF(#REF!,Z4405))</f>
        <v/>
      </c>
      <c r="AD4405" t="str">
        <f>IF(A4405="","",IF(AC4405&gt;1,"REVISAR DUPLICADO",IF(AA4405&lt;&gt;"","ACTUALIZADO POR EYR","SIN REPORTE EYR")))</f>
        <v/>
      </c>
    </row>
    <row r="4406" spans="11:30" x14ac:dyDescent="0.3">
      <c r="K4406" s="1" t="str">
        <f ca="1">IF(A4406="","",IF(OR(L4406="ENTREGADA",L4406="RETORNADA",L4406="ENTREGA DIGITAL"),0,MAX(0,5-NETWORKDAYS(H4406+1,TODAY()))))</f>
        <v/>
      </c>
      <c r="L4406" t="str">
        <f>IF(A4406="","",IFERROR(LOOKUP(2,1/(#REF!=Z4406),#REF!),Y4406))</f>
        <v/>
      </c>
      <c r="Z4406" t="str">
        <f>IF(A4406="","",TEXT(A4406,"0")&amp;"|"&amp;TEXT(H4406,"0"))</f>
        <v/>
      </c>
      <c r="AA4406" t="str">
        <f>IF(Z4406="","",IFERROR(LOOKUP(2,1/(#REF!=Z4406),#REF!),""))</f>
        <v/>
      </c>
      <c r="AB4406" t="str">
        <f>IF(Z4406="","",IFERROR(LOOKUP(2,1/(#REF!=Z4406),#REF!),""))</f>
        <v/>
      </c>
      <c r="AC4406" t="str">
        <f>IF(Z4406="","",COUNTIF(#REF!,Z4406))</f>
        <v/>
      </c>
      <c r="AD4406" t="str">
        <f>IF(A4406="","",IF(AC4406&gt;1,"REVISAR DUPLICADO",IF(AA4406&lt;&gt;"","ACTUALIZADO POR EYR","SIN REPORTE EYR")))</f>
        <v/>
      </c>
    </row>
    <row r="4407" spans="11:30" x14ac:dyDescent="0.3">
      <c r="K4407" s="1" t="str">
        <f ca="1">IF(A4407="","",IF(OR(L4407="ENTREGADA",L4407="RETORNADA",L4407="ENTREGA DIGITAL"),0,MAX(0,5-NETWORKDAYS(H4407+1,TODAY()))))</f>
        <v/>
      </c>
      <c r="L4407" t="str">
        <f>IF(A4407="","",IFERROR(LOOKUP(2,1/(#REF!=Z4407),#REF!),Y4407))</f>
        <v/>
      </c>
      <c r="Z4407" t="str">
        <f>IF(A4407="","",TEXT(A4407,"0")&amp;"|"&amp;TEXT(H4407,"0"))</f>
        <v/>
      </c>
      <c r="AA4407" t="str">
        <f>IF(Z4407="","",IFERROR(LOOKUP(2,1/(#REF!=Z4407),#REF!),""))</f>
        <v/>
      </c>
      <c r="AB4407" t="str">
        <f>IF(Z4407="","",IFERROR(LOOKUP(2,1/(#REF!=Z4407),#REF!),""))</f>
        <v/>
      </c>
      <c r="AC4407" t="str">
        <f>IF(Z4407="","",COUNTIF(#REF!,Z4407))</f>
        <v/>
      </c>
      <c r="AD4407" t="str">
        <f>IF(A4407="","",IF(AC4407&gt;1,"REVISAR DUPLICADO",IF(AA4407&lt;&gt;"","ACTUALIZADO POR EYR","SIN REPORTE EYR")))</f>
        <v/>
      </c>
    </row>
    <row r="4408" spans="11:30" x14ac:dyDescent="0.3">
      <c r="K4408" s="1" t="str">
        <f ca="1">IF(A4408="","",IF(OR(L4408="ENTREGADA",L4408="RETORNADA",L4408="ENTREGA DIGITAL"),0,MAX(0,5-NETWORKDAYS(H4408+1,TODAY()))))</f>
        <v/>
      </c>
      <c r="L4408" t="str">
        <f>IF(A4408="","",IFERROR(LOOKUP(2,1/(#REF!=Z4408),#REF!),Y4408))</f>
        <v/>
      </c>
      <c r="Z4408" t="str">
        <f>IF(A4408="","",TEXT(A4408,"0")&amp;"|"&amp;TEXT(H4408,"0"))</f>
        <v/>
      </c>
      <c r="AA4408" t="str">
        <f>IF(Z4408="","",IFERROR(LOOKUP(2,1/(#REF!=Z4408),#REF!),""))</f>
        <v/>
      </c>
      <c r="AB4408" t="str">
        <f>IF(Z4408="","",IFERROR(LOOKUP(2,1/(#REF!=Z4408),#REF!),""))</f>
        <v/>
      </c>
      <c r="AC4408" t="str">
        <f>IF(Z4408="","",COUNTIF(#REF!,Z4408))</f>
        <v/>
      </c>
      <c r="AD4408" t="str">
        <f>IF(A4408="","",IF(AC4408&gt;1,"REVISAR DUPLICADO",IF(AA4408&lt;&gt;"","ACTUALIZADO POR EYR","SIN REPORTE EYR")))</f>
        <v/>
      </c>
    </row>
    <row r="4409" spans="11:30" x14ac:dyDescent="0.3">
      <c r="K4409" s="1" t="str">
        <f ca="1">IF(A4409="","",IF(OR(L4409="ENTREGADA",L4409="RETORNADA",L4409="ENTREGA DIGITAL"),0,MAX(0,5-NETWORKDAYS(H4409+1,TODAY()))))</f>
        <v/>
      </c>
      <c r="L4409" t="str">
        <f>IF(A4409="","",IFERROR(LOOKUP(2,1/(#REF!=Z4409),#REF!),Y4409))</f>
        <v/>
      </c>
      <c r="Z4409" t="str">
        <f>IF(A4409="","",TEXT(A4409,"0")&amp;"|"&amp;TEXT(H4409,"0"))</f>
        <v/>
      </c>
      <c r="AA4409" t="str">
        <f>IF(Z4409="","",IFERROR(LOOKUP(2,1/(#REF!=Z4409),#REF!),""))</f>
        <v/>
      </c>
      <c r="AB4409" t="str">
        <f>IF(Z4409="","",IFERROR(LOOKUP(2,1/(#REF!=Z4409),#REF!),""))</f>
        <v/>
      </c>
      <c r="AC4409" t="str">
        <f>IF(Z4409="","",COUNTIF(#REF!,Z4409))</f>
        <v/>
      </c>
      <c r="AD4409" t="str">
        <f>IF(A4409="","",IF(AC4409&gt;1,"REVISAR DUPLICADO",IF(AA4409&lt;&gt;"","ACTUALIZADO POR EYR","SIN REPORTE EYR")))</f>
        <v/>
      </c>
    </row>
    <row r="4410" spans="11:30" x14ac:dyDescent="0.3">
      <c r="K4410" s="1" t="str">
        <f ca="1">IF(A4410="","",IF(OR(L4410="ENTREGADA",L4410="RETORNADA",L4410="ENTREGA DIGITAL"),0,MAX(0,5-NETWORKDAYS(H4410+1,TODAY()))))</f>
        <v/>
      </c>
      <c r="L4410" t="str">
        <f>IF(A4410="","",IFERROR(LOOKUP(2,1/(#REF!=Z4410),#REF!),Y4410))</f>
        <v/>
      </c>
      <c r="Z4410" t="str">
        <f>IF(A4410="","",TEXT(A4410,"0")&amp;"|"&amp;TEXT(H4410,"0"))</f>
        <v/>
      </c>
      <c r="AA4410" t="str">
        <f>IF(Z4410="","",IFERROR(LOOKUP(2,1/(#REF!=Z4410),#REF!),""))</f>
        <v/>
      </c>
      <c r="AB4410" t="str">
        <f>IF(Z4410="","",IFERROR(LOOKUP(2,1/(#REF!=Z4410),#REF!),""))</f>
        <v/>
      </c>
      <c r="AC4410" t="str">
        <f>IF(Z4410="","",COUNTIF(#REF!,Z4410))</f>
        <v/>
      </c>
      <c r="AD4410" t="str">
        <f>IF(A4410="","",IF(AC4410&gt;1,"REVISAR DUPLICADO",IF(AA4410&lt;&gt;"","ACTUALIZADO POR EYR","SIN REPORTE EYR")))</f>
        <v/>
      </c>
    </row>
    <row r="4411" spans="11:30" x14ac:dyDescent="0.3">
      <c r="K4411" s="1" t="str">
        <f ca="1">IF(A4411="","",IF(OR(L4411="ENTREGADA",L4411="RETORNADA",L4411="ENTREGA DIGITAL"),0,MAX(0,5-NETWORKDAYS(H4411+1,TODAY()))))</f>
        <v/>
      </c>
      <c r="L4411" t="str">
        <f>IF(A4411="","",IFERROR(LOOKUP(2,1/(#REF!=Z4411),#REF!),Y4411))</f>
        <v/>
      </c>
      <c r="Z4411" t="str">
        <f>IF(A4411="","",TEXT(A4411,"0")&amp;"|"&amp;TEXT(H4411,"0"))</f>
        <v/>
      </c>
      <c r="AA4411" t="str">
        <f>IF(Z4411="","",IFERROR(LOOKUP(2,1/(#REF!=Z4411),#REF!),""))</f>
        <v/>
      </c>
      <c r="AB4411" t="str">
        <f>IF(Z4411="","",IFERROR(LOOKUP(2,1/(#REF!=Z4411),#REF!),""))</f>
        <v/>
      </c>
      <c r="AC4411" t="str">
        <f>IF(Z4411="","",COUNTIF(#REF!,Z4411))</f>
        <v/>
      </c>
      <c r="AD4411" t="str">
        <f>IF(A4411="","",IF(AC4411&gt;1,"REVISAR DUPLICADO",IF(AA4411&lt;&gt;"","ACTUALIZADO POR EYR","SIN REPORTE EYR")))</f>
        <v/>
      </c>
    </row>
    <row r="4412" spans="11:30" x14ac:dyDescent="0.3">
      <c r="K4412" s="1" t="str">
        <f ca="1">IF(A4412="","",IF(OR(L4412="ENTREGADA",L4412="RETORNADA",L4412="ENTREGA DIGITAL"),0,MAX(0,5-NETWORKDAYS(H4412+1,TODAY()))))</f>
        <v/>
      </c>
      <c r="L4412" t="str">
        <f>IF(A4412="","",IFERROR(LOOKUP(2,1/(#REF!=Z4412),#REF!),Y4412))</f>
        <v/>
      </c>
      <c r="Z4412" t="str">
        <f>IF(A4412="","",TEXT(A4412,"0")&amp;"|"&amp;TEXT(H4412,"0"))</f>
        <v/>
      </c>
      <c r="AA4412" t="str">
        <f>IF(Z4412="","",IFERROR(LOOKUP(2,1/(#REF!=Z4412),#REF!),""))</f>
        <v/>
      </c>
      <c r="AB4412" t="str">
        <f>IF(Z4412="","",IFERROR(LOOKUP(2,1/(#REF!=Z4412),#REF!),""))</f>
        <v/>
      </c>
      <c r="AC4412" t="str">
        <f>IF(Z4412="","",COUNTIF(#REF!,Z4412))</f>
        <v/>
      </c>
      <c r="AD4412" t="str">
        <f>IF(A4412="","",IF(AC4412&gt;1,"REVISAR DUPLICADO",IF(AA4412&lt;&gt;"","ACTUALIZADO POR EYR","SIN REPORTE EYR")))</f>
        <v/>
      </c>
    </row>
    <row r="4413" spans="11:30" x14ac:dyDescent="0.3">
      <c r="K4413" s="1" t="str">
        <f ca="1">IF(A4413="","",IF(OR(L4413="ENTREGADA",L4413="RETORNADA",L4413="ENTREGA DIGITAL"),0,MAX(0,5-NETWORKDAYS(H4413+1,TODAY()))))</f>
        <v/>
      </c>
      <c r="L4413" t="str">
        <f>IF(A4413="","",IFERROR(LOOKUP(2,1/(#REF!=Z4413),#REF!),Y4413))</f>
        <v/>
      </c>
      <c r="Z4413" t="str">
        <f>IF(A4413="","",TEXT(A4413,"0")&amp;"|"&amp;TEXT(H4413,"0"))</f>
        <v/>
      </c>
      <c r="AA4413" t="str">
        <f>IF(Z4413="","",IFERROR(LOOKUP(2,1/(#REF!=Z4413),#REF!),""))</f>
        <v/>
      </c>
      <c r="AB4413" t="str">
        <f>IF(Z4413="","",IFERROR(LOOKUP(2,1/(#REF!=Z4413),#REF!),""))</f>
        <v/>
      </c>
      <c r="AC4413" t="str">
        <f>IF(Z4413="","",COUNTIF(#REF!,Z4413))</f>
        <v/>
      </c>
      <c r="AD4413" t="str">
        <f>IF(A4413="","",IF(AC4413&gt;1,"REVISAR DUPLICADO",IF(AA4413&lt;&gt;"","ACTUALIZADO POR EYR","SIN REPORTE EYR")))</f>
        <v/>
      </c>
    </row>
    <row r="4414" spans="11:30" x14ac:dyDescent="0.3">
      <c r="K4414" s="1" t="str">
        <f ca="1">IF(A4414="","",IF(OR(L4414="ENTREGADA",L4414="RETORNADA",L4414="ENTREGA DIGITAL"),0,MAX(0,5-NETWORKDAYS(H4414+1,TODAY()))))</f>
        <v/>
      </c>
      <c r="L4414" t="str">
        <f>IF(A4414="","",IFERROR(LOOKUP(2,1/(#REF!=Z4414),#REF!),Y4414))</f>
        <v/>
      </c>
      <c r="Z4414" t="str">
        <f>IF(A4414="","",TEXT(A4414,"0")&amp;"|"&amp;TEXT(H4414,"0"))</f>
        <v/>
      </c>
      <c r="AA4414" t="str">
        <f>IF(Z4414="","",IFERROR(LOOKUP(2,1/(#REF!=Z4414),#REF!),""))</f>
        <v/>
      </c>
      <c r="AB4414" t="str">
        <f>IF(Z4414="","",IFERROR(LOOKUP(2,1/(#REF!=Z4414),#REF!),""))</f>
        <v/>
      </c>
      <c r="AC4414" t="str">
        <f>IF(Z4414="","",COUNTIF(#REF!,Z4414))</f>
        <v/>
      </c>
      <c r="AD4414" t="str">
        <f>IF(A4414="","",IF(AC4414&gt;1,"REVISAR DUPLICADO",IF(AA4414&lt;&gt;"","ACTUALIZADO POR EYR","SIN REPORTE EYR")))</f>
        <v/>
      </c>
    </row>
    <row r="4415" spans="11:30" x14ac:dyDescent="0.3">
      <c r="K4415" s="1" t="str">
        <f ca="1">IF(A4415="","",IF(OR(L4415="ENTREGADA",L4415="RETORNADA",L4415="ENTREGA DIGITAL"),0,MAX(0,5-NETWORKDAYS(H4415+1,TODAY()))))</f>
        <v/>
      </c>
      <c r="L4415" t="str">
        <f>IF(A4415="","",IFERROR(LOOKUP(2,1/(#REF!=Z4415),#REF!),Y4415))</f>
        <v/>
      </c>
      <c r="Z4415" t="str">
        <f>IF(A4415="","",TEXT(A4415,"0")&amp;"|"&amp;TEXT(H4415,"0"))</f>
        <v/>
      </c>
      <c r="AA4415" t="str">
        <f>IF(Z4415="","",IFERROR(LOOKUP(2,1/(#REF!=Z4415),#REF!),""))</f>
        <v/>
      </c>
      <c r="AB4415" t="str">
        <f>IF(Z4415="","",IFERROR(LOOKUP(2,1/(#REF!=Z4415),#REF!),""))</f>
        <v/>
      </c>
      <c r="AC4415" t="str">
        <f>IF(Z4415="","",COUNTIF(#REF!,Z4415))</f>
        <v/>
      </c>
      <c r="AD4415" t="str">
        <f>IF(A4415="","",IF(AC4415&gt;1,"REVISAR DUPLICADO",IF(AA4415&lt;&gt;"","ACTUALIZADO POR EYR","SIN REPORTE EYR")))</f>
        <v/>
      </c>
    </row>
    <row r="4416" spans="11:30" x14ac:dyDescent="0.3">
      <c r="K4416" s="1" t="str">
        <f ca="1">IF(A4416="","",IF(OR(L4416="ENTREGADA",L4416="RETORNADA",L4416="ENTREGA DIGITAL"),0,MAX(0,5-NETWORKDAYS(H4416+1,TODAY()))))</f>
        <v/>
      </c>
      <c r="L4416" t="str">
        <f>IF(A4416="","",IFERROR(LOOKUP(2,1/(#REF!=Z4416),#REF!),Y4416))</f>
        <v/>
      </c>
      <c r="Z4416" t="str">
        <f>IF(A4416="","",TEXT(A4416,"0")&amp;"|"&amp;TEXT(H4416,"0"))</f>
        <v/>
      </c>
      <c r="AA4416" t="str">
        <f>IF(Z4416="","",IFERROR(LOOKUP(2,1/(#REF!=Z4416),#REF!),""))</f>
        <v/>
      </c>
      <c r="AB4416" t="str">
        <f>IF(Z4416="","",IFERROR(LOOKUP(2,1/(#REF!=Z4416),#REF!),""))</f>
        <v/>
      </c>
      <c r="AC4416" t="str">
        <f>IF(Z4416="","",COUNTIF(#REF!,Z4416))</f>
        <v/>
      </c>
      <c r="AD4416" t="str">
        <f>IF(A4416="","",IF(AC4416&gt;1,"REVISAR DUPLICADO",IF(AA4416&lt;&gt;"","ACTUALIZADO POR EYR","SIN REPORTE EYR")))</f>
        <v/>
      </c>
    </row>
    <row r="4417" spans="11:30" x14ac:dyDescent="0.3">
      <c r="K4417" s="1" t="str">
        <f ca="1">IF(A4417="","",IF(OR(L4417="ENTREGADA",L4417="RETORNADA",L4417="ENTREGA DIGITAL"),0,MAX(0,5-NETWORKDAYS(H4417+1,TODAY()))))</f>
        <v/>
      </c>
      <c r="L4417" t="str">
        <f>IF(A4417="","",IFERROR(LOOKUP(2,1/(#REF!=Z4417),#REF!),Y4417))</f>
        <v/>
      </c>
      <c r="Z4417" t="str">
        <f>IF(A4417="","",TEXT(A4417,"0")&amp;"|"&amp;TEXT(H4417,"0"))</f>
        <v/>
      </c>
      <c r="AA4417" t="str">
        <f>IF(Z4417="","",IFERROR(LOOKUP(2,1/(#REF!=Z4417),#REF!),""))</f>
        <v/>
      </c>
      <c r="AB4417" t="str">
        <f>IF(Z4417="","",IFERROR(LOOKUP(2,1/(#REF!=Z4417),#REF!),""))</f>
        <v/>
      </c>
      <c r="AC4417" t="str">
        <f>IF(Z4417="","",COUNTIF(#REF!,Z4417))</f>
        <v/>
      </c>
      <c r="AD4417" t="str">
        <f>IF(A4417="","",IF(AC4417&gt;1,"REVISAR DUPLICADO",IF(AA4417&lt;&gt;"","ACTUALIZADO POR EYR","SIN REPORTE EYR")))</f>
        <v/>
      </c>
    </row>
    <row r="4418" spans="11:30" x14ac:dyDescent="0.3">
      <c r="K4418" s="1" t="str">
        <f ca="1">IF(A4418="","",IF(OR(L4418="ENTREGADA",L4418="RETORNADA",L4418="ENTREGA DIGITAL"),0,MAX(0,5-NETWORKDAYS(H4418+1,TODAY()))))</f>
        <v/>
      </c>
      <c r="L4418" t="str">
        <f>IF(A4418="","",IFERROR(LOOKUP(2,1/(#REF!=Z4418),#REF!),Y4418))</f>
        <v/>
      </c>
      <c r="Z4418" t="str">
        <f>IF(A4418="","",TEXT(A4418,"0")&amp;"|"&amp;TEXT(H4418,"0"))</f>
        <v/>
      </c>
      <c r="AA4418" t="str">
        <f>IF(Z4418="","",IFERROR(LOOKUP(2,1/(#REF!=Z4418),#REF!),""))</f>
        <v/>
      </c>
      <c r="AB4418" t="str">
        <f>IF(Z4418="","",IFERROR(LOOKUP(2,1/(#REF!=Z4418),#REF!),""))</f>
        <v/>
      </c>
      <c r="AC4418" t="str">
        <f>IF(Z4418="","",COUNTIF(#REF!,Z4418))</f>
        <v/>
      </c>
      <c r="AD4418" t="str">
        <f>IF(A4418="","",IF(AC4418&gt;1,"REVISAR DUPLICADO",IF(AA4418&lt;&gt;"","ACTUALIZADO POR EYR","SIN REPORTE EYR")))</f>
        <v/>
      </c>
    </row>
    <row r="4419" spans="11:30" x14ac:dyDescent="0.3">
      <c r="K4419" s="1" t="str">
        <f ca="1">IF(A4419="","",IF(OR(L4419="ENTREGADA",L4419="RETORNADA",L4419="ENTREGA DIGITAL"),0,MAX(0,5-NETWORKDAYS(H4419+1,TODAY()))))</f>
        <v/>
      </c>
      <c r="L4419" t="str">
        <f>IF(A4419="","",IFERROR(LOOKUP(2,1/(#REF!=Z4419),#REF!),Y4419))</f>
        <v/>
      </c>
      <c r="Z4419" t="str">
        <f>IF(A4419="","",TEXT(A4419,"0")&amp;"|"&amp;TEXT(H4419,"0"))</f>
        <v/>
      </c>
      <c r="AA4419" t="str">
        <f>IF(Z4419="","",IFERROR(LOOKUP(2,1/(#REF!=Z4419),#REF!),""))</f>
        <v/>
      </c>
      <c r="AB4419" t="str">
        <f>IF(Z4419="","",IFERROR(LOOKUP(2,1/(#REF!=Z4419),#REF!),""))</f>
        <v/>
      </c>
      <c r="AC4419" t="str">
        <f>IF(Z4419="","",COUNTIF(#REF!,Z4419))</f>
        <v/>
      </c>
      <c r="AD4419" t="str">
        <f>IF(A4419="","",IF(AC4419&gt;1,"REVISAR DUPLICADO",IF(AA4419&lt;&gt;"","ACTUALIZADO POR EYR","SIN REPORTE EYR")))</f>
        <v/>
      </c>
    </row>
    <row r="4420" spans="11:30" x14ac:dyDescent="0.3">
      <c r="K4420" s="1" t="str">
        <f ca="1">IF(A4420="","",IF(OR(L4420="ENTREGADA",L4420="RETORNADA",L4420="ENTREGA DIGITAL"),0,MAX(0,5-NETWORKDAYS(H4420+1,TODAY()))))</f>
        <v/>
      </c>
      <c r="L4420" t="str">
        <f>IF(A4420="","",IFERROR(LOOKUP(2,1/(#REF!=Z4420),#REF!),Y4420))</f>
        <v/>
      </c>
      <c r="Z4420" t="str">
        <f>IF(A4420="","",TEXT(A4420,"0")&amp;"|"&amp;TEXT(H4420,"0"))</f>
        <v/>
      </c>
      <c r="AA4420" t="str">
        <f>IF(Z4420="","",IFERROR(LOOKUP(2,1/(#REF!=Z4420),#REF!),""))</f>
        <v/>
      </c>
      <c r="AB4420" t="str">
        <f>IF(Z4420="","",IFERROR(LOOKUP(2,1/(#REF!=Z4420),#REF!),""))</f>
        <v/>
      </c>
      <c r="AC4420" t="str">
        <f>IF(Z4420="","",COUNTIF(#REF!,Z4420))</f>
        <v/>
      </c>
      <c r="AD4420" t="str">
        <f>IF(A4420="","",IF(AC4420&gt;1,"REVISAR DUPLICADO",IF(AA4420&lt;&gt;"","ACTUALIZADO POR EYR","SIN REPORTE EYR")))</f>
        <v/>
      </c>
    </row>
    <row r="4421" spans="11:30" x14ac:dyDescent="0.3">
      <c r="K4421" s="1" t="str">
        <f ca="1">IF(A4421="","",IF(OR(L4421="ENTREGADA",L4421="RETORNADA",L4421="ENTREGA DIGITAL"),0,MAX(0,5-NETWORKDAYS(H4421+1,TODAY()))))</f>
        <v/>
      </c>
      <c r="L4421" t="str">
        <f>IF(A4421="","",IFERROR(LOOKUP(2,1/(#REF!=Z4421),#REF!),Y4421))</f>
        <v/>
      </c>
      <c r="Z4421" t="str">
        <f>IF(A4421="","",TEXT(A4421,"0")&amp;"|"&amp;TEXT(H4421,"0"))</f>
        <v/>
      </c>
      <c r="AA4421" t="str">
        <f>IF(Z4421="","",IFERROR(LOOKUP(2,1/(#REF!=Z4421),#REF!),""))</f>
        <v/>
      </c>
      <c r="AB4421" t="str">
        <f>IF(Z4421="","",IFERROR(LOOKUP(2,1/(#REF!=Z4421),#REF!),""))</f>
        <v/>
      </c>
      <c r="AC4421" t="str">
        <f>IF(Z4421="","",COUNTIF(#REF!,Z4421))</f>
        <v/>
      </c>
      <c r="AD4421" t="str">
        <f>IF(A4421="","",IF(AC4421&gt;1,"REVISAR DUPLICADO",IF(AA4421&lt;&gt;"","ACTUALIZADO POR EYR","SIN REPORTE EYR")))</f>
        <v/>
      </c>
    </row>
    <row r="4422" spans="11:30" x14ac:dyDescent="0.3">
      <c r="K4422" s="1" t="str">
        <f ca="1">IF(A4422="","",IF(OR(L4422="ENTREGADA",L4422="RETORNADA",L4422="ENTREGA DIGITAL"),0,MAX(0,5-NETWORKDAYS(H4422+1,TODAY()))))</f>
        <v/>
      </c>
      <c r="L4422" t="str">
        <f>IF(A4422="","",IFERROR(LOOKUP(2,1/(#REF!=Z4422),#REF!),Y4422))</f>
        <v/>
      </c>
      <c r="Z4422" t="str">
        <f>IF(A4422="","",TEXT(A4422,"0")&amp;"|"&amp;TEXT(H4422,"0"))</f>
        <v/>
      </c>
      <c r="AA4422" t="str">
        <f>IF(Z4422="","",IFERROR(LOOKUP(2,1/(#REF!=Z4422),#REF!),""))</f>
        <v/>
      </c>
      <c r="AB4422" t="str">
        <f>IF(Z4422="","",IFERROR(LOOKUP(2,1/(#REF!=Z4422),#REF!),""))</f>
        <v/>
      </c>
      <c r="AC4422" t="str">
        <f>IF(Z4422="","",COUNTIF(#REF!,Z4422))</f>
        <v/>
      </c>
      <c r="AD4422" t="str">
        <f>IF(A4422="","",IF(AC4422&gt;1,"REVISAR DUPLICADO",IF(AA4422&lt;&gt;"","ACTUALIZADO POR EYR","SIN REPORTE EYR")))</f>
        <v/>
      </c>
    </row>
    <row r="4423" spans="11:30" x14ac:dyDescent="0.3">
      <c r="K4423" s="1" t="str">
        <f ca="1">IF(A4423="","",IF(OR(L4423="ENTREGADA",L4423="RETORNADA",L4423="ENTREGA DIGITAL"),0,MAX(0,5-NETWORKDAYS(H4423+1,TODAY()))))</f>
        <v/>
      </c>
      <c r="L4423" t="str">
        <f>IF(A4423="","",IFERROR(LOOKUP(2,1/(#REF!=Z4423),#REF!),Y4423))</f>
        <v/>
      </c>
      <c r="Z4423" t="str">
        <f>IF(A4423="","",TEXT(A4423,"0")&amp;"|"&amp;TEXT(H4423,"0"))</f>
        <v/>
      </c>
      <c r="AA4423" t="str">
        <f>IF(Z4423="","",IFERROR(LOOKUP(2,1/(#REF!=Z4423),#REF!),""))</f>
        <v/>
      </c>
      <c r="AB4423" t="str">
        <f>IF(Z4423="","",IFERROR(LOOKUP(2,1/(#REF!=Z4423),#REF!),""))</f>
        <v/>
      </c>
      <c r="AC4423" t="str">
        <f>IF(Z4423="","",COUNTIF(#REF!,Z4423))</f>
        <v/>
      </c>
      <c r="AD4423" t="str">
        <f>IF(A4423="","",IF(AC4423&gt;1,"REVISAR DUPLICADO",IF(AA4423&lt;&gt;"","ACTUALIZADO POR EYR","SIN REPORTE EYR")))</f>
        <v/>
      </c>
    </row>
    <row r="4424" spans="11:30" x14ac:dyDescent="0.3">
      <c r="K4424" s="1" t="str">
        <f ca="1">IF(A4424="","",IF(OR(L4424="ENTREGADA",L4424="RETORNADA",L4424="ENTREGA DIGITAL"),0,MAX(0,5-NETWORKDAYS(H4424+1,TODAY()))))</f>
        <v/>
      </c>
      <c r="L4424" t="str">
        <f>IF(A4424="","",IFERROR(LOOKUP(2,1/(#REF!=Z4424),#REF!),Y4424))</f>
        <v/>
      </c>
      <c r="Z4424" t="str">
        <f>IF(A4424="","",TEXT(A4424,"0")&amp;"|"&amp;TEXT(H4424,"0"))</f>
        <v/>
      </c>
      <c r="AA4424" t="str">
        <f>IF(Z4424="","",IFERROR(LOOKUP(2,1/(#REF!=Z4424),#REF!),""))</f>
        <v/>
      </c>
      <c r="AB4424" t="str">
        <f>IF(Z4424="","",IFERROR(LOOKUP(2,1/(#REF!=Z4424),#REF!),""))</f>
        <v/>
      </c>
      <c r="AC4424" t="str">
        <f>IF(Z4424="","",COUNTIF(#REF!,Z4424))</f>
        <v/>
      </c>
      <c r="AD4424" t="str">
        <f>IF(A4424="","",IF(AC4424&gt;1,"REVISAR DUPLICADO",IF(AA4424&lt;&gt;"","ACTUALIZADO POR EYR","SIN REPORTE EYR")))</f>
        <v/>
      </c>
    </row>
    <row r="4425" spans="11:30" x14ac:dyDescent="0.3">
      <c r="K4425" s="1" t="str">
        <f ca="1">IF(A4425="","",IF(OR(L4425="ENTREGADA",L4425="RETORNADA",L4425="ENTREGA DIGITAL"),0,MAX(0,5-NETWORKDAYS(H4425+1,TODAY()))))</f>
        <v/>
      </c>
      <c r="L4425" t="str">
        <f>IF(A4425="","",IFERROR(LOOKUP(2,1/(#REF!=Z4425),#REF!),Y4425))</f>
        <v/>
      </c>
      <c r="Z4425" t="str">
        <f>IF(A4425="","",TEXT(A4425,"0")&amp;"|"&amp;TEXT(H4425,"0"))</f>
        <v/>
      </c>
      <c r="AA4425" t="str">
        <f>IF(Z4425="","",IFERROR(LOOKUP(2,1/(#REF!=Z4425),#REF!),""))</f>
        <v/>
      </c>
      <c r="AB4425" t="str">
        <f>IF(Z4425="","",IFERROR(LOOKUP(2,1/(#REF!=Z4425),#REF!),""))</f>
        <v/>
      </c>
      <c r="AC4425" t="str">
        <f>IF(Z4425="","",COUNTIF(#REF!,Z4425))</f>
        <v/>
      </c>
      <c r="AD4425" t="str">
        <f>IF(A4425="","",IF(AC4425&gt;1,"REVISAR DUPLICADO",IF(AA4425&lt;&gt;"","ACTUALIZADO POR EYR","SIN REPORTE EYR")))</f>
        <v/>
      </c>
    </row>
    <row r="4426" spans="11:30" x14ac:dyDescent="0.3">
      <c r="K4426" s="1" t="str">
        <f ca="1">IF(A4426="","",IF(OR(L4426="ENTREGADA",L4426="RETORNADA",L4426="ENTREGA DIGITAL"),0,MAX(0,5-NETWORKDAYS(H4426+1,TODAY()))))</f>
        <v/>
      </c>
      <c r="L4426" t="str">
        <f>IF(A4426="","",IFERROR(LOOKUP(2,1/(#REF!=Z4426),#REF!),Y4426))</f>
        <v/>
      </c>
      <c r="Z4426" t="str">
        <f>IF(A4426="","",TEXT(A4426,"0")&amp;"|"&amp;TEXT(H4426,"0"))</f>
        <v/>
      </c>
      <c r="AA4426" t="str">
        <f>IF(Z4426="","",IFERROR(LOOKUP(2,1/(#REF!=Z4426),#REF!),""))</f>
        <v/>
      </c>
      <c r="AB4426" t="str">
        <f>IF(Z4426="","",IFERROR(LOOKUP(2,1/(#REF!=Z4426),#REF!),""))</f>
        <v/>
      </c>
      <c r="AC4426" t="str">
        <f>IF(Z4426="","",COUNTIF(#REF!,Z4426))</f>
        <v/>
      </c>
      <c r="AD4426" t="str">
        <f>IF(A4426="","",IF(AC4426&gt;1,"REVISAR DUPLICADO",IF(AA4426&lt;&gt;"","ACTUALIZADO POR EYR","SIN REPORTE EYR")))</f>
        <v/>
      </c>
    </row>
    <row r="4427" spans="11:30" x14ac:dyDescent="0.3">
      <c r="K4427" s="1" t="str">
        <f ca="1">IF(A4427="","",IF(OR(L4427="ENTREGADA",L4427="RETORNADA",L4427="ENTREGA DIGITAL"),0,MAX(0,5-NETWORKDAYS(H4427+1,TODAY()))))</f>
        <v/>
      </c>
      <c r="L4427" t="str">
        <f>IF(A4427="","",IFERROR(LOOKUP(2,1/(#REF!=Z4427),#REF!),Y4427))</f>
        <v/>
      </c>
      <c r="Z4427" t="str">
        <f>IF(A4427="","",TEXT(A4427,"0")&amp;"|"&amp;TEXT(H4427,"0"))</f>
        <v/>
      </c>
      <c r="AA4427" t="str">
        <f>IF(Z4427="","",IFERROR(LOOKUP(2,1/(#REF!=Z4427),#REF!),""))</f>
        <v/>
      </c>
      <c r="AB4427" t="str">
        <f>IF(Z4427="","",IFERROR(LOOKUP(2,1/(#REF!=Z4427),#REF!),""))</f>
        <v/>
      </c>
      <c r="AC4427" t="str">
        <f>IF(Z4427="","",COUNTIF(#REF!,Z4427))</f>
        <v/>
      </c>
      <c r="AD4427" t="str">
        <f>IF(A4427="","",IF(AC4427&gt;1,"REVISAR DUPLICADO",IF(AA4427&lt;&gt;"","ACTUALIZADO POR EYR","SIN REPORTE EYR")))</f>
        <v/>
      </c>
    </row>
    <row r="4428" spans="11:30" x14ac:dyDescent="0.3">
      <c r="K4428" s="1" t="str">
        <f ca="1">IF(A4428="","",IF(OR(L4428="ENTREGADA",L4428="RETORNADA",L4428="ENTREGA DIGITAL"),0,MAX(0,5-NETWORKDAYS(H4428+1,TODAY()))))</f>
        <v/>
      </c>
      <c r="L4428" t="str">
        <f>IF(A4428="","",IFERROR(LOOKUP(2,1/(#REF!=Z4428),#REF!),Y4428))</f>
        <v/>
      </c>
      <c r="Z4428" t="str">
        <f>IF(A4428="","",TEXT(A4428,"0")&amp;"|"&amp;TEXT(H4428,"0"))</f>
        <v/>
      </c>
      <c r="AA4428" t="str">
        <f>IF(Z4428="","",IFERROR(LOOKUP(2,1/(#REF!=Z4428),#REF!),""))</f>
        <v/>
      </c>
      <c r="AB4428" t="str">
        <f>IF(Z4428="","",IFERROR(LOOKUP(2,1/(#REF!=Z4428),#REF!),""))</f>
        <v/>
      </c>
      <c r="AC4428" t="str">
        <f>IF(Z4428="","",COUNTIF(#REF!,Z4428))</f>
        <v/>
      </c>
      <c r="AD4428" t="str">
        <f>IF(A4428="","",IF(AC4428&gt;1,"REVISAR DUPLICADO",IF(AA4428&lt;&gt;"","ACTUALIZADO POR EYR","SIN REPORTE EYR")))</f>
        <v/>
      </c>
    </row>
    <row r="4429" spans="11:30" x14ac:dyDescent="0.3">
      <c r="K4429" s="1" t="str">
        <f ca="1">IF(A4429="","",IF(OR(L4429="ENTREGADA",L4429="RETORNADA",L4429="ENTREGA DIGITAL"),0,MAX(0,5-NETWORKDAYS(H4429+1,TODAY()))))</f>
        <v/>
      </c>
      <c r="L4429" t="str">
        <f>IF(A4429="","",IFERROR(LOOKUP(2,1/(#REF!=Z4429),#REF!),Y4429))</f>
        <v/>
      </c>
      <c r="Z4429" t="str">
        <f>IF(A4429="","",TEXT(A4429,"0")&amp;"|"&amp;TEXT(H4429,"0"))</f>
        <v/>
      </c>
      <c r="AA4429" t="str">
        <f>IF(Z4429="","",IFERROR(LOOKUP(2,1/(#REF!=Z4429),#REF!),""))</f>
        <v/>
      </c>
      <c r="AB4429" t="str">
        <f>IF(Z4429="","",IFERROR(LOOKUP(2,1/(#REF!=Z4429),#REF!),""))</f>
        <v/>
      </c>
      <c r="AC4429" t="str">
        <f>IF(Z4429="","",COUNTIF(#REF!,Z4429))</f>
        <v/>
      </c>
      <c r="AD4429" t="str">
        <f>IF(A4429="","",IF(AC4429&gt;1,"REVISAR DUPLICADO",IF(AA4429&lt;&gt;"","ACTUALIZADO POR EYR","SIN REPORTE EYR")))</f>
        <v/>
      </c>
    </row>
    <row r="4430" spans="11:30" x14ac:dyDescent="0.3">
      <c r="K4430" s="1" t="str">
        <f ca="1">IF(A4430="","",IF(OR(L4430="ENTREGADA",L4430="RETORNADA",L4430="ENTREGA DIGITAL"),0,MAX(0,5-NETWORKDAYS(H4430+1,TODAY()))))</f>
        <v/>
      </c>
      <c r="L4430" t="str">
        <f>IF(A4430="","",IFERROR(LOOKUP(2,1/(#REF!=Z4430),#REF!),Y4430))</f>
        <v/>
      </c>
      <c r="Z4430" t="str">
        <f>IF(A4430="","",TEXT(A4430,"0")&amp;"|"&amp;TEXT(H4430,"0"))</f>
        <v/>
      </c>
      <c r="AA4430" t="str">
        <f>IF(Z4430="","",IFERROR(LOOKUP(2,1/(#REF!=Z4430),#REF!),""))</f>
        <v/>
      </c>
      <c r="AB4430" t="str">
        <f>IF(Z4430="","",IFERROR(LOOKUP(2,1/(#REF!=Z4430),#REF!),""))</f>
        <v/>
      </c>
      <c r="AC4430" t="str">
        <f>IF(Z4430="","",COUNTIF(#REF!,Z4430))</f>
        <v/>
      </c>
      <c r="AD4430" t="str">
        <f>IF(A4430="","",IF(AC4430&gt;1,"REVISAR DUPLICADO",IF(AA4430&lt;&gt;"","ACTUALIZADO POR EYR","SIN REPORTE EYR")))</f>
        <v/>
      </c>
    </row>
    <row r="4431" spans="11:30" x14ac:dyDescent="0.3">
      <c r="K4431" s="1" t="str">
        <f ca="1">IF(A4431="","",IF(OR(L4431="ENTREGADA",L4431="RETORNADA",L4431="ENTREGA DIGITAL"),0,MAX(0,5-NETWORKDAYS(H4431+1,TODAY()))))</f>
        <v/>
      </c>
      <c r="L4431" t="str">
        <f>IF(A4431="","",IFERROR(LOOKUP(2,1/(#REF!=Z4431),#REF!),Y4431))</f>
        <v/>
      </c>
      <c r="Z4431" t="str">
        <f>IF(A4431="","",TEXT(A4431,"0")&amp;"|"&amp;TEXT(H4431,"0"))</f>
        <v/>
      </c>
      <c r="AA4431" t="str">
        <f>IF(Z4431="","",IFERROR(LOOKUP(2,1/(#REF!=Z4431),#REF!),""))</f>
        <v/>
      </c>
      <c r="AB4431" t="str">
        <f>IF(Z4431="","",IFERROR(LOOKUP(2,1/(#REF!=Z4431),#REF!),""))</f>
        <v/>
      </c>
      <c r="AC4431" t="str">
        <f>IF(Z4431="","",COUNTIF(#REF!,Z4431))</f>
        <v/>
      </c>
      <c r="AD4431" t="str">
        <f>IF(A4431="","",IF(AC4431&gt;1,"REVISAR DUPLICADO",IF(AA4431&lt;&gt;"","ACTUALIZADO POR EYR","SIN REPORTE EYR")))</f>
        <v/>
      </c>
    </row>
    <row r="4432" spans="11:30" x14ac:dyDescent="0.3">
      <c r="K4432" s="1" t="str">
        <f ca="1">IF(A4432="","",IF(OR(L4432="ENTREGADA",L4432="RETORNADA",L4432="ENTREGA DIGITAL"),0,MAX(0,5-NETWORKDAYS(H4432+1,TODAY()))))</f>
        <v/>
      </c>
      <c r="L4432" t="str">
        <f>IF(A4432="","",IFERROR(LOOKUP(2,1/(#REF!=Z4432),#REF!),Y4432))</f>
        <v/>
      </c>
      <c r="Z4432" t="str">
        <f>IF(A4432="","",TEXT(A4432,"0")&amp;"|"&amp;TEXT(H4432,"0"))</f>
        <v/>
      </c>
      <c r="AA4432" t="str">
        <f>IF(Z4432="","",IFERROR(LOOKUP(2,1/(#REF!=Z4432),#REF!),""))</f>
        <v/>
      </c>
      <c r="AB4432" t="str">
        <f>IF(Z4432="","",IFERROR(LOOKUP(2,1/(#REF!=Z4432),#REF!),""))</f>
        <v/>
      </c>
      <c r="AC4432" t="str">
        <f>IF(Z4432="","",COUNTIF(#REF!,Z4432))</f>
        <v/>
      </c>
      <c r="AD4432" t="str">
        <f>IF(A4432="","",IF(AC4432&gt;1,"REVISAR DUPLICADO",IF(AA4432&lt;&gt;"","ACTUALIZADO POR EYR","SIN REPORTE EYR")))</f>
        <v/>
      </c>
    </row>
    <row r="4433" spans="11:30" x14ac:dyDescent="0.3">
      <c r="K4433" s="1" t="str">
        <f ca="1">IF(A4433="","",IF(OR(L4433="ENTREGADA",L4433="RETORNADA",L4433="ENTREGA DIGITAL"),0,MAX(0,5-NETWORKDAYS(H4433+1,TODAY()))))</f>
        <v/>
      </c>
      <c r="L4433" t="str">
        <f>IF(A4433="","",IFERROR(LOOKUP(2,1/(#REF!=Z4433),#REF!),Y4433))</f>
        <v/>
      </c>
      <c r="Z4433" t="str">
        <f>IF(A4433="","",TEXT(A4433,"0")&amp;"|"&amp;TEXT(H4433,"0"))</f>
        <v/>
      </c>
      <c r="AA4433" t="str">
        <f>IF(Z4433="","",IFERROR(LOOKUP(2,1/(#REF!=Z4433),#REF!),""))</f>
        <v/>
      </c>
      <c r="AB4433" t="str">
        <f>IF(Z4433="","",IFERROR(LOOKUP(2,1/(#REF!=Z4433),#REF!),""))</f>
        <v/>
      </c>
      <c r="AC4433" t="str">
        <f>IF(Z4433="","",COUNTIF(#REF!,Z4433))</f>
        <v/>
      </c>
      <c r="AD4433" t="str">
        <f>IF(A4433="","",IF(AC4433&gt;1,"REVISAR DUPLICADO",IF(AA4433&lt;&gt;"","ACTUALIZADO POR EYR","SIN REPORTE EYR")))</f>
        <v/>
      </c>
    </row>
    <row r="4434" spans="11:30" x14ac:dyDescent="0.3">
      <c r="K4434" s="1" t="str">
        <f ca="1">IF(A4434="","",IF(OR(L4434="ENTREGADA",L4434="RETORNADA",L4434="ENTREGA DIGITAL"),0,MAX(0,5-NETWORKDAYS(H4434+1,TODAY()))))</f>
        <v/>
      </c>
      <c r="L4434" t="str">
        <f>IF(A4434="","",IFERROR(LOOKUP(2,1/(#REF!=Z4434),#REF!),Y4434))</f>
        <v/>
      </c>
      <c r="Z4434" t="str">
        <f>IF(A4434="","",TEXT(A4434,"0")&amp;"|"&amp;TEXT(H4434,"0"))</f>
        <v/>
      </c>
      <c r="AA4434" t="str">
        <f>IF(Z4434="","",IFERROR(LOOKUP(2,1/(#REF!=Z4434),#REF!),""))</f>
        <v/>
      </c>
      <c r="AB4434" t="str">
        <f>IF(Z4434="","",IFERROR(LOOKUP(2,1/(#REF!=Z4434),#REF!),""))</f>
        <v/>
      </c>
      <c r="AC4434" t="str">
        <f>IF(Z4434="","",COUNTIF(#REF!,Z4434))</f>
        <v/>
      </c>
      <c r="AD4434" t="str">
        <f>IF(A4434="","",IF(AC4434&gt;1,"REVISAR DUPLICADO",IF(AA4434&lt;&gt;"","ACTUALIZADO POR EYR","SIN REPORTE EYR")))</f>
        <v/>
      </c>
    </row>
    <row r="4435" spans="11:30" x14ac:dyDescent="0.3">
      <c r="K4435" s="1" t="str">
        <f ca="1">IF(A4435="","",IF(OR(L4435="ENTREGADA",L4435="RETORNADA",L4435="ENTREGA DIGITAL"),0,MAX(0,5-NETWORKDAYS(H4435+1,TODAY()))))</f>
        <v/>
      </c>
      <c r="L4435" t="str">
        <f>IF(A4435="","",IFERROR(LOOKUP(2,1/(#REF!=Z4435),#REF!),Y4435))</f>
        <v/>
      </c>
      <c r="Z4435" t="str">
        <f>IF(A4435="","",TEXT(A4435,"0")&amp;"|"&amp;TEXT(H4435,"0"))</f>
        <v/>
      </c>
      <c r="AA4435" t="str">
        <f>IF(Z4435="","",IFERROR(LOOKUP(2,1/(#REF!=Z4435),#REF!),""))</f>
        <v/>
      </c>
      <c r="AB4435" t="str">
        <f>IF(Z4435="","",IFERROR(LOOKUP(2,1/(#REF!=Z4435),#REF!),""))</f>
        <v/>
      </c>
      <c r="AC4435" t="str">
        <f>IF(Z4435="","",COUNTIF(#REF!,Z4435))</f>
        <v/>
      </c>
      <c r="AD4435" t="str">
        <f>IF(A4435="","",IF(AC4435&gt;1,"REVISAR DUPLICADO",IF(AA4435&lt;&gt;"","ACTUALIZADO POR EYR","SIN REPORTE EYR")))</f>
        <v/>
      </c>
    </row>
    <row r="4436" spans="11:30" x14ac:dyDescent="0.3">
      <c r="K4436" s="1" t="str">
        <f ca="1">IF(A4436="","",IF(OR(L4436="ENTREGADA",L4436="RETORNADA",L4436="ENTREGA DIGITAL"),0,MAX(0,5-NETWORKDAYS(H4436+1,TODAY()))))</f>
        <v/>
      </c>
      <c r="L4436" t="str">
        <f>IF(A4436="","",IFERROR(LOOKUP(2,1/(#REF!=Z4436),#REF!),Y4436))</f>
        <v/>
      </c>
      <c r="Z4436" t="str">
        <f>IF(A4436="","",TEXT(A4436,"0")&amp;"|"&amp;TEXT(H4436,"0"))</f>
        <v/>
      </c>
      <c r="AA4436" t="str">
        <f>IF(Z4436="","",IFERROR(LOOKUP(2,1/(#REF!=Z4436),#REF!),""))</f>
        <v/>
      </c>
      <c r="AB4436" t="str">
        <f>IF(Z4436="","",IFERROR(LOOKUP(2,1/(#REF!=Z4436),#REF!),""))</f>
        <v/>
      </c>
      <c r="AC4436" t="str">
        <f>IF(Z4436="","",COUNTIF(#REF!,Z4436))</f>
        <v/>
      </c>
      <c r="AD4436" t="str">
        <f>IF(A4436="","",IF(AC4436&gt;1,"REVISAR DUPLICADO",IF(AA4436&lt;&gt;"","ACTUALIZADO POR EYR","SIN REPORTE EYR")))</f>
        <v/>
      </c>
    </row>
    <row r="4437" spans="11:30" x14ac:dyDescent="0.3">
      <c r="K4437" s="1" t="str">
        <f ca="1">IF(A4437="","",IF(OR(L4437="ENTREGADA",L4437="RETORNADA",L4437="ENTREGA DIGITAL"),0,MAX(0,5-NETWORKDAYS(H4437+1,TODAY()))))</f>
        <v/>
      </c>
      <c r="L4437" t="str">
        <f>IF(A4437="","",IFERROR(LOOKUP(2,1/(#REF!=Z4437),#REF!),Y4437))</f>
        <v/>
      </c>
      <c r="Z4437" t="str">
        <f>IF(A4437="","",TEXT(A4437,"0")&amp;"|"&amp;TEXT(H4437,"0"))</f>
        <v/>
      </c>
      <c r="AA4437" t="str">
        <f>IF(Z4437="","",IFERROR(LOOKUP(2,1/(#REF!=Z4437),#REF!),""))</f>
        <v/>
      </c>
      <c r="AB4437" t="str">
        <f>IF(Z4437="","",IFERROR(LOOKUP(2,1/(#REF!=Z4437),#REF!),""))</f>
        <v/>
      </c>
      <c r="AC4437" t="str">
        <f>IF(Z4437="","",COUNTIF(#REF!,Z4437))</f>
        <v/>
      </c>
      <c r="AD4437" t="str">
        <f>IF(A4437="","",IF(AC4437&gt;1,"REVISAR DUPLICADO",IF(AA4437&lt;&gt;"","ACTUALIZADO POR EYR","SIN REPORTE EYR")))</f>
        <v/>
      </c>
    </row>
    <row r="4438" spans="11:30" x14ac:dyDescent="0.3">
      <c r="K4438" s="1" t="str">
        <f ca="1">IF(A4438="","",IF(OR(L4438="ENTREGADA",L4438="RETORNADA",L4438="ENTREGA DIGITAL"),0,MAX(0,5-NETWORKDAYS(H4438+1,TODAY()))))</f>
        <v/>
      </c>
      <c r="L4438" t="str">
        <f>IF(A4438="","",IFERROR(LOOKUP(2,1/(#REF!=Z4438),#REF!),Y4438))</f>
        <v/>
      </c>
      <c r="Z4438" t="str">
        <f>IF(A4438="","",TEXT(A4438,"0")&amp;"|"&amp;TEXT(H4438,"0"))</f>
        <v/>
      </c>
      <c r="AA4438" t="str">
        <f>IF(Z4438="","",IFERROR(LOOKUP(2,1/(#REF!=Z4438),#REF!),""))</f>
        <v/>
      </c>
      <c r="AB4438" t="str">
        <f>IF(Z4438="","",IFERROR(LOOKUP(2,1/(#REF!=Z4438),#REF!),""))</f>
        <v/>
      </c>
      <c r="AC4438" t="str">
        <f>IF(Z4438="","",COUNTIF(#REF!,Z4438))</f>
        <v/>
      </c>
      <c r="AD4438" t="str">
        <f>IF(A4438="","",IF(AC4438&gt;1,"REVISAR DUPLICADO",IF(AA4438&lt;&gt;"","ACTUALIZADO POR EYR","SIN REPORTE EYR")))</f>
        <v/>
      </c>
    </row>
    <row r="4439" spans="11:30" x14ac:dyDescent="0.3">
      <c r="K4439" s="1" t="str">
        <f ca="1">IF(A4439="","",IF(OR(L4439="ENTREGADA",L4439="RETORNADA",L4439="ENTREGA DIGITAL"),0,MAX(0,5-NETWORKDAYS(H4439+1,TODAY()))))</f>
        <v/>
      </c>
      <c r="L4439" t="str">
        <f>IF(A4439="","",IFERROR(LOOKUP(2,1/(#REF!=Z4439),#REF!),Y4439))</f>
        <v/>
      </c>
      <c r="Z4439" t="str">
        <f>IF(A4439="","",TEXT(A4439,"0")&amp;"|"&amp;TEXT(H4439,"0"))</f>
        <v/>
      </c>
      <c r="AA4439" t="str">
        <f>IF(Z4439="","",IFERROR(LOOKUP(2,1/(#REF!=Z4439),#REF!),""))</f>
        <v/>
      </c>
      <c r="AB4439" t="str">
        <f>IF(Z4439="","",IFERROR(LOOKUP(2,1/(#REF!=Z4439),#REF!),""))</f>
        <v/>
      </c>
      <c r="AC4439" t="str">
        <f>IF(Z4439="","",COUNTIF(#REF!,Z4439))</f>
        <v/>
      </c>
      <c r="AD4439" t="str">
        <f>IF(A4439="","",IF(AC4439&gt;1,"REVISAR DUPLICADO",IF(AA4439&lt;&gt;"","ACTUALIZADO POR EYR","SIN REPORTE EYR")))</f>
        <v/>
      </c>
    </row>
    <row r="4440" spans="11:30" x14ac:dyDescent="0.3">
      <c r="K4440" s="1" t="str">
        <f ca="1">IF(A4440="","",IF(OR(L4440="ENTREGADA",L4440="RETORNADA",L4440="ENTREGA DIGITAL"),0,MAX(0,5-NETWORKDAYS(H4440+1,TODAY()))))</f>
        <v/>
      </c>
      <c r="L4440" t="str">
        <f>IF(A4440="","",IFERROR(LOOKUP(2,1/(#REF!=Z4440),#REF!),Y4440))</f>
        <v/>
      </c>
      <c r="Z4440" t="str">
        <f>IF(A4440="","",TEXT(A4440,"0")&amp;"|"&amp;TEXT(H4440,"0"))</f>
        <v/>
      </c>
      <c r="AA4440" t="str">
        <f>IF(Z4440="","",IFERROR(LOOKUP(2,1/(#REF!=Z4440),#REF!),""))</f>
        <v/>
      </c>
      <c r="AB4440" t="str">
        <f>IF(Z4440="","",IFERROR(LOOKUP(2,1/(#REF!=Z4440),#REF!),""))</f>
        <v/>
      </c>
      <c r="AC4440" t="str">
        <f>IF(Z4440="","",COUNTIF(#REF!,Z4440))</f>
        <v/>
      </c>
      <c r="AD4440" t="str">
        <f>IF(A4440="","",IF(AC4440&gt;1,"REVISAR DUPLICADO",IF(AA4440&lt;&gt;"","ACTUALIZADO POR EYR","SIN REPORTE EYR")))</f>
        <v/>
      </c>
    </row>
    <row r="4441" spans="11:30" x14ac:dyDescent="0.3">
      <c r="K4441" s="1" t="str">
        <f ca="1">IF(A4441="","",IF(OR(L4441="ENTREGADA",L4441="RETORNADA",L4441="ENTREGA DIGITAL"),0,MAX(0,5-NETWORKDAYS(H4441+1,TODAY()))))</f>
        <v/>
      </c>
      <c r="L4441" t="str">
        <f>IF(A4441="","",IFERROR(LOOKUP(2,1/(#REF!=Z4441),#REF!),Y4441))</f>
        <v/>
      </c>
      <c r="Z4441" t="str">
        <f>IF(A4441="","",TEXT(A4441,"0")&amp;"|"&amp;TEXT(H4441,"0"))</f>
        <v/>
      </c>
      <c r="AA4441" t="str">
        <f>IF(Z4441="","",IFERROR(LOOKUP(2,1/(#REF!=Z4441),#REF!),""))</f>
        <v/>
      </c>
      <c r="AB4441" t="str">
        <f>IF(Z4441="","",IFERROR(LOOKUP(2,1/(#REF!=Z4441),#REF!),""))</f>
        <v/>
      </c>
      <c r="AC4441" t="str">
        <f>IF(Z4441="","",COUNTIF(#REF!,Z4441))</f>
        <v/>
      </c>
      <c r="AD4441" t="str">
        <f>IF(A4441="","",IF(AC4441&gt;1,"REVISAR DUPLICADO",IF(AA4441&lt;&gt;"","ACTUALIZADO POR EYR","SIN REPORTE EYR")))</f>
        <v/>
      </c>
    </row>
    <row r="4442" spans="11:30" x14ac:dyDescent="0.3">
      <c r="K4442" s="1" t="str">
        <f ca="1">IF(A4442="","",IF(OR(L4442="ENTREGADA",L4442="RETORNADA",L4442="ENTREGA DIGITAL"),0,MAX(0,5-NETWORKDAYS(H4442+1,TODAY()))))</f>
        <v/>
      </c>
      <c r="L4442" t="str">
        <f>IF(A4442="","",IFERROR(LOOKUP(2,1/(#REF!=Z4442),#REF!),Y4442))</f>
        <v/>
      </c>
      <c r="Z4442" t="str">
        <f>IF(A4442="","",TEXT(A4442,"0")&amp;"|"&amp;TEXT(H4442,"0"))</f>
        <v/>
      </c>
      <c r="AA4442" t="str">
        <f>IF(Z4442="","",IFERROR(LOOKUP(2,1/(#REF!=Z4442),#REF!),""))</f>
        <v/>
      </c>
      <c r="AB4442" t="str">
        <f>IF(Z4442="","",IFERROR(LOOKUP(2,1/(#REF!=Z4442),#REF!),""))</f>
        <v/>
      </c>
      <c r="AC4442" t="str">
        <f>IF(Z4442="","",COUNTIF(#REF!,Z4442))</f>
        <v/>
      </c>
      <c r="AD4442" t="str">
        <f>IF(A4442="","",IF(AC4442&gt;1,"REVISAR DUPLICADO",IF(AA4442&lt;&gt;"","ACTUALIZADO POR EYR","SIN REPORTE EYR")))</f>
        <v/>
      </c>
    </row>
    <row r="4443" spans="11:30" x14ac:dyDescent="0.3">
      <c r="K4443" s="1" t="str">
        <f ca="1">IF(A4443="","",IF(OR(L4443="ENTREGADA",L4443="RETORNADA",L4443="ENTREGA DIGITAL"),0,MAX(0,5-NETWORKDAYS(H4443+1,TODAY()))))</f>
        <v/>
      </c>
      <c r="L4443" t="str">
        <f>IF(A4443="","",IFERROR(LOOKUP(2,1/(#REF!=Z4443),#REF!),Y4443))</f>
        <v/>
      </c>
      <c r="Z4443" t="str">
        <f>IF(A4443="","",TEXT(A4443,"0")&amp;"|"&amp;TEXT(H4443,"0"))</f>
        <v/>
      </c>
      <c r="AA4443" t="str">
        <f>IF(Z4443="","",IFERROR(LOOKUP(2,1/(#REF!=Z4443),#REF!),""))</f>
        <v/>
      </c>
      <c r="AB4443" t="str">
        <f>IF(Z4443="","",IFERROR(LOOKUP(2,1/(#REF!=Z4443),#REF!),""))</f>
        <v/>
      </c>
      <c r="AC4443" t="str">
        <f>IF(Z4443="","",COUNTIF(#REF!,Z4443))</f>
        <v/>
      </c>
      <c r="AD4443" t="str">
        <f>IF(A4443="","",IF(AC4443&gt;1,"REVISAR DUPLICADO",IF(AA4443&lt;&gt;"","ACTUALIZADO POR EYR","SIN REPORTE EYR")))</f>
        <v/>
      </c>
    </row>
    <row r="4444" spans="11:30" x14ac:dyDescent="0.3">
      <c r="K4444" s="1" t="str">
        <f ca="1">IF(A4444="","",IF(OR(L4444="ENTREGADA",L4444="RETORNADA",L4444="ENTREGA DIGITAL"),0,MAX(0,5-NETWORKDAYS(H4444+1,TODAY()))))</f>
        <v/>
      </c>
      <c r="L4444" t="str">
        <f>IF(A4444="","",IFERROR(LOOKUP(2,1/(#REF!=Z4444),#REF!),Y4444))</f>
        <v/>
      </c>
      <c r="Z4444" t="str">
        <f>IF(A4444="","",TEXT(A4444,"0")&amp;"|"&amp;TEXT(H4444,"0"))</f>
        <v/>
      </c>
      <c r="AA4444" t="str">
        <f>IF(Z4444="","",IFERROR(LOOKUP(2,1/(#REF!=Z4444),#REF!),""))</f>
        <v/>
      </c>
      <c r="AB4444" t="str">
        <f>IF(Z4444="","",IFERROR(LOOKUP(2,1/(#REF!=Z4444),#REF!),""))</f>
        <v/>
      </c>
      <c r="AC4444" t="str">
        <f>IF(Z4444="","",COUNTIF(#REF!,Z4444))</f>
        <v/>
      </c>
      <c r="AD4444" t="str">
        <f>IF(A4444="","",IF(AC4444&gt;1,"REVISAR DUPLICADO",IF(AA4444&lt;&gt;"","ACTUALIZADO POR EYR","SIN REPORTE EYR")))</f>
        <v/>
      </c>
    </row>
    <row r="4445" spans="11:30" x14ac:dyDescent="0.3">
      <c r="K4445" s="1" t="str">
        <f ca="1">IF(A4445="","",IF(OR(L4445="ENTREGADA",L4445="RETORNADA",L4445="ENTREGA DIGITAL"),0,MAX(0,5-NETWORKDAYS(H4445+1,TODAY()))))</f>
        <v/>
      </c>
      <c r="L4445" t="str">
        <f>IF(A4445="","",IFERROR(LOOKUP(2,1/(#REF!=Z4445),#REF!),Y4445))</f>
        <v/>
      </c>
      <c r="Z4445" t="str">
        <f>IF(A4445="","",TEXT(A4445,"0")&amp;"|"&amp;TEXT(H4445,"0"))</f>
        <v/>
      </c>
      <c r="AA4445" t="str">
        <f>IF(Z4445="","",IFERROR(LOOKUP(2,1/(#REF!=Z4445),#REF!),""))</f>
        <v/>
      </c>
      <c r="AB4445" t="str">
        <f>IF(Z4445="","",IFERROR(LOOKUP(2,1/(#REF!=Z4445),#REF!),""))</f>
        <v/>
      </c>
      <c r="AC4445" t="str">
        <f>IF(Z4445="","",COUNTIF(#REF!,Z4445))</f>
        <v/>
      </c>
      <c r="AD4445" t="str">
        <f>IF(A4445="","",IF(AC4445&gt;1,"REVISAR DUPLICADO",IF(AA4445&lt;&gt;"","ACTUALIZADO POR EYR","SIN REPORTE EYR")))</f>
        <v/>
      </c>
    </row>
    <row r="4446" spans="11:30" x14ac:dyDescent="0.3">
      <c r="K4446" s="1" t="str">
        <f ca="1">IF(A4446="","",IF(OR(L4446="ENTREGADA",L4446="RETORNADA",L4446="ENTREGA DIGITAL"),0,MAX(0,5-NETWORKDAYS(H4446+1,TODAY()))))</f>
        <v/>
      </c>
      <c r="L4446" t="str">
        <f>IF(A4446="","",IFERROR(LOOKUP(2,1/(#REF!=Z4446),#REF!),Y4446))</f>
        <v/>
      </c>
      <c r="Z4446" t="str">
        <f>IF(A4446="","",TEXT(A4446,"0")&amp;"|"&amp;TEXT(H4446,"0"))</f>
        <v/>
      </c>
      <c r="AA4446" t="str">
        <f>IF(Z4446="","",IFERROR(LOOKUP(2,1/(#REF!=Z4446),#REF!),""))</f>
        <v/>
      </c>
      <c r="AB4446" t="str">
        <f>IF(Z4446="","",IFERROR(LOOKUP(2,1/(#REF!=Z4446),#REF!),""))</f>
        <v/>
      </c>
      <c r="AC4446" t="str">
        <f>IF(Z4446="","",COUNTIF(#REF!,Z4446))</f>
        <v/>
      </c>
      <c r="AD4446" t="str">
        <f>IF(A4446="","",IF(AC4446&gt;1,"REVISAR DUPLICADO",IF(AA4446&lt;&gt;"","ACTUALIZADO POR EYR","SIN REPORTE EYR")))</f>
        <v/>
      </c>
    </row>
    <row r="4447" spans="11:30" x14ac:dyDescent="0.3">
      <c r="K4447" s="1" t="str">
        <f ca="1">IF(A4447="","",IF(OR(L4447="ENTREGADA",L4447="RETORNADA",L4447="ENTREGA DIGITAL"),0,MAX(0,5-NETWORKDAYS(H4447+1,TODAY()))))</f>
        <v/>
      </c>
      <c r="L4447" t="str">
        <f>IF(A4447="","",IFERROR(LOOKUP(2,1/(#REF!=Z4447),#REF!),Y4447))</f>
        <v/>
      </c>
      <c r="Z4447" t="str">
        <f>IF(A4447="","",TEXT(A4447,"0")&amp;"|"&amp;TEXT(H4447,"0"))</f>
        <v/>
      </c>
      <c r="AA4447" t="str">
        <f>IF(Z4447="","",IFERROR(LOOKUP(2,1/(#REF!=Z4447),#REF!),""))</f>
        <v/>
      </c>
      <c r="AB4447" t="str">
        <f>IF(Z4447="","",IFERROR(LOOKUP(2,1/(#REF!=Z4447),#REF!),""))</f>
        <v/>
      </c>
      <c r="AC4447" t="str">
        <f>IF(Z4447="","",COUNTIF(#REF!,Z4447))</f>
        <v/>
      </c>
      <c r="AD4447" t="str">
        <f>IF(A4447="","",IF(AC4447&gt;1,"REVISAR DUPLICADO",IF(AA4447&lt;&gt;"","ACTUALIZADO POR EYR","SIN REPORTE EYR")))</f>
        <v/>
      </c>
    </row>
    <row r="4448" spans="11:30" x14ac:dyDescent="0.3">
      <c r="K4448" s="1" t="str">
        <f ca="1">IF(A4448="","",IF(OR(L4448="ENTREGADA",L4448="RETORNADA",L4448="ENTREGA DIGITAL"),0,MAX(0,5-NETWORKDAYS(H4448+1,TODAY()))))</f>
        <v/>
      </c>
      <c r="L4448" t="str">
        <f>IF(A4448="","",IFERROR(LOOKUP(2,1/(#REF!=Z4448),#REF!),Y4448))</f>
        <v/>
      </c>
      <c r="Z4448" t="str">
        <f>IF(A4448="","",TEXT(A4448,"0")&amp;"|"&amp;TEXT(H4448,"0"))</f>
        <v/>
      </c>
      <c r="AA4448" t="str">
        <f>IF(Z4448="","",IFERROR(LOOKUP(2,1/(#REF!=Z4448),#REF!),""))</f>
        <v/>
      </c>
      <c r="AB4448" t="str">
        <f>IF(Z4448="","",IFERROR(LOOKUP(2,1/(#REF!=Z4448),#REF!),""))</f>
        <v/>
      </c>
      <c r="AC4448" t="str">
        <f>IF(Z4448="","",COUNTIF(#REF!,Z4448))</f>
        <v/>
      </c>
      <c r="AD4448" t="str">
        <f>IF(A4448="","",IF(AC4448&gt;1,"REVISAR DUPLICADO",IF(AA4448&lt;&gt;"","ACTUALIZADO POR EYR","SIN REPORTE EYR")))</f>
        <v/>
      </c>
    </row>
    <row r="4449" spans="11:30" x14ac:dyDescent="0.3">
      <c r="K4449" s="1" t="str">
        <f ca="1">IF(A4449="","",IF(OR(L4449="ENTREGADA",L4449="RETORNADA",L4449="ENTREGA DIGITAL"),0,MAX(0,5-NETWORKDAYS(H4449+1,TODAY()))))</f>
        <v/>
      </c>
      <c r="L4449" t="str">
        <f>IF(A4449="","",IFERROR(LOOKUP(2,1/(#REF!=Z4449),#REF!),Y4449))</f>
        <v/>
      </c>
      <c r="Z4449" t="str">
        <f>IF(A4449="","",TEXT(A4449,"0")&amp;"|"&amp;TEXT(H4449,"0"))</f>
        <v/>
      </c>
      <c r="AA4449" t="str">
        <f>IF(Z4449="","",IFERROR(LOOKUP(2,1/(#REF!=Z4449),#REF!),""))</f>
        <v/>
      </c>
      <c r="AB4449" t="str">
        <f>IF(Z4449="","",IFERROR(LOOKUP(2,1/(#REF!=Z4449),#REF!),""))</f>
        <v/>
      </c>
      <c r="AC4449" t="str">
        <f>IF(Z4449="","",COUNTIF(#REF!,Z4449))</f>
        <v/>
      </c>
      <c r="AD4449" t="str">
        <f>IF(A4449="","",IF(AC4449&gt;1,"REVISAR DUPLICADO",IF(AA4449&lt;&gt;"","ACTUALIZADO POR EYR","SIN REPORTE EYR")))</f>
        <v/>
      </c>
    </row>
    <row r="4450" spans="11:30" x14ac:dyDescent="0.3">
      <c r="K4450" s="1" t="str">
        <f ca="1">IF(A4450="","",IF(OR(L4450="ENTREGADA",L4450="RETORNADA",L4450="ENTREGA DIGITAL"),0,MAX(0,5-NETWORKDAYS(H4450+1,TODAY()))))</f>
        <v/>
      </c>
      <c r="L4450" t="str">
        <f>IF(A4450="","",IFERROR(LOOKUP(2,1/(#REF!=Z4450),#REF!),Y4450))</f>
        <v/>
      </c>
      <c r="Z4450" t="str">
        <f>IF(A4450="","",TEXT(A4450,"0")&amp;"|"&amp;TEXT(H4450,"0"))</f>
        <v/>
      </c>
      <c r="AA4450" t="str">
        <f>IF(Z4450="","",IFERROR(LOOKUP(2,1/(#REF!=Z4450),#REF!),""))</f>
        <v/>
      </c>
      <c r="AB4450" t="str">
        <f>IF(Z4450="","",IFERROR(LOOKUP(2,1/(#REF!=Z4450),#REF!),""))</f>
        <v/>
      </c>
      <c r="AC4450" t="str">
        <f>IF(Z4450="","",COUNTIF(#REF!,Z4450))</f>
        <v/>
      </c>
      <c r="AD4450" t="str">
        <f>IF(A4450="","",IF(AC4450&gt;1,"REVISAR DUPLICADO",IF(AA4450&lt;&gt;"","ACTUALIZADO POR EYR","SIN REPORTE EYR")))</f>
        <v/>
      </c>
    </row>
    <row r="4451" spans="11:30" x14ac:dyDescent="0.3">
      <c r="K4451" s="1" t="str">
        <f ca="1">IF(A4451="","",IF(OR(L4451="ENTREGADA",L4451="RETORNADA",L4451="ENTREGA DIGITAL"),0,MAX(0,5-NETWORKDAYS(H4451+1,TODAY()))))</f>
        <v/>
      </c>
      <c r="L4451" t="str">
        <f>IF(A4451="","",IFERROR(LOOKUP(2,1/(#REF!=Z4451),#REF!),Y4451))</f>
        <v/>
      </c>
      <c r="Z4451" t="str">
        <f>IF(A4451="","",TEXT(A4451,"0")&amp;"|"&amp;TEXT(H4451,"0"))</f>
        <v/>
      </c>
      <c r="AA4451" t="str">
        <f>IF(Z4451="","",IFERROR(LOOKUP(2,1/(#REF!=Z4451),#REF!),""))</f>
        <v/>
      </c>
      <c r="AB4451" t="str">
        <f>IF(Z4451="","",IFERROR(LOOKUP(2,1/(#REF!=Z4451),#REF!),""))</f>
        <v/>
      </c>
      <c r="AC4451" t="str">
        <f>IF(Z4451="","",COUNTIF(#REF!,Z4451))</f>
        <v/>
      </c>
      <c r="AD4451" t="str">
        <f>IF(A4451="","",IF(AC4451&gt;1,"REVISAR DUPLICADO",IF(AA4451&lt;&gt;"","ACTUALIZADO POR EYR","SIN REPORTE EYR")))</f>
        <v/>
      </c>
    </row>
    <row r="4452" spans="11:30" x14ac:dyDescent="0.3">
      <c r="K4452" s="1" t="str">
        <f ca="1">IF(A4452="","",IF(OR(L4452="ENTREGADA",L4452="RETORNADA",L4452="ENTREGA DIGITAL"),0,MAX(0,5-NETWORKDAYS(H4452+1,TODAY()))))</f>
        <v/>
      </c>
      <c r="L4452" t="str">
        <f>IF(A4452="","",IFERROR(LOOKUP(2,1/(#REF!=Z4452),#REF!),Y4452))</f>
        <v/>
      </c>
      <c r="Z4452" t="str">
        <f>IF(A4452="","",TEXT(A4452,"0")&amp;"|"&amp;TEXT(H4452,"0"))</f>
        <v/>
      </c>
      <c r="AA4452" t="str">
        <f>IF(Z4452="","",IFERROR(LOOKUP(2,1/(#REF!=Z4452),#REF!),""))</f>
        <v/>
      </c>
      <c r="AB4452" t="str">
        <f>IF(Z4452="","",IFERROR(LOOKUP(2,1/(#REF!=Z4452),#REF!),""))</f>
        <v/>
      </c>
      <c r="AC4452" t="str">
        <f>IF(Z4452="","",COUNTIF(#REF!,Z4452))</f>
        <v/>
      </c>
      <c r="AD4452" t="str">
        <f>IF(A4452="","",IF(AC4452&gt;1,"REVISAR DUPLICADO",IF(AA4452&lt;&gt;"","ACTUALIZADO POR EYR","SIN REPORTE EYR")))</f>
        <v/>
      </c>
    </row>
    <row r="4453" spans="11:30" x14ac:dyDescent="0.3">
      <c r="K4453" s="1" t="str">
        <f ca="1">IF(A4453="","",IF(OR(L4453="ENTREGADA",L4453="RETORNADA",L4453="ENTREGA DIGITAL"),0,MAX(0,5-NETWORKDAYS(H4453+1,TODAY()))))</f>
        <v/>
      </c>
      <c r="L4453" t="str">
        <f>IF(A4453="","",IFERROR(LOOKUP(2,1/(#REF!=Z4453),#REF!),Y4453))</f>
        <v/>
      </c>
      <c r="Z4453" t="str">
        <f>IF(A4453="","",TEXT(A4453,"0")&amp;"|"&amp;TEXT(H4453,"0"))</f>
        <v/>
      </c>
      <c r="AA4453" t="str">
        <f>IF(Z4453="","",IFERROR(LOOKUP(2,1/(#REF!=Z4453),#REF!),""))</f>
        <v/>
      </c>
      <c r="AB4453" t="str">
        <f>IF(Z4453="","",IFERROR(LOOKUP(2,1/(#REF!=Z4453),#REF!),""))</f>
        <v/>
      </c>
      <c r="AC4453" t="str">
        <f>IF(Z4453="","",COUNTIF(#REF!,Z4453))</f>
        <v/>
      </c>
      <c r="AD4453" t="str">
        <f>IF(A4453="","",IF(AC4453&gt;1,"REVISAR DUPLICADO",IF(AA4453&lt;&gt;"","ACTUALIZADO POR EYR","SIN REPORTE EYR")))</f>
        <v/>
      </c>
    </row>
    <row r="4454" spans="11:30" x14ac:dyDescent="0.3">
      <c r="K4454" s="1" t="str">
        <f ca="1">IF(A4454="","",IF(OR(L4454="ENTREGADA",L4454="RETORNADA",L4454="ENTREGA DIGITAL"),0,MAX(0,5-NETWORKDAYS(H4454+1,TODAY()))))</f>
        <v/>
      </c>
      <c r="L4454" t="str">
        <f>IF(A4454="","",IFERROR(LOOKUP(2,1/(#REF!=Z4454),#REF!),Y4454))</f>
        <v/>
      </c>
      <c r="Z4454" t="str">
        <f>IF(A4454="","",TEXT(A4454,"0")&amp;"|"&amp;TEXT(H4454,"0"))</f>
        <v/>
      </c>
      <c r="AA4454" t="str">
        <f>IF(Z4454="","",IFERROR(LOOKUP(2,1/(#REF!=Z4454),#REF!),""))</f>
        <v/>
      </c>
      <c r="AB4454" t="str">
        <f>IF(Z4454="","",IFERROR(LOOKUP(2,1/(#REF!=Z4454),#REF!),""))</f>
        <v/>
      </c>
      <c r="AC4454" t="str">
        <f>IF(Z4454="","",COUNTIF(#REF!,Z4454))</f>
        <v/>
      </c>
      <c r="AD4454" t="str">
        <f>IF(A4454="","",IF(AC4454&gt;1,"REVISAR DUPLICADO",IF(AA4454&lt;&gt;"","ACTUALIZADO POR EYR","SIN REPORTE EYR")))</f>
        <v/>
      </c>
    </row>
    <row r="4455" spans="11:30" x14ac:dyDescent="0.3">
      <c r="K4455" s="1" t="str">
        <f ca="1">IF(A4455="","",IF(OR(L4455="ENTREGADA",L4455="RETORNADA",L4455="ENTREGA DIGITAL"),0,MAX(0,5-NETWORKDAYS(H4455+1,TODAY()))))</f>
        <v/>
      </c>
      <c r="L4455" t="str">
        <f>IF(A4455="","",IFERROR(LOOKUP(2,1/(#REF!=Z4455),#REF!),Y4455))</f>
        <v/>
      </c>
      <c r="Z4455" t="str">
        <f>IF(A4455="","",TEXT(A4455,"0")&amp;"|"&amp;TEXT(H4455,"0"))</f>
        <v/>
      </c>
      <c r="AA4455" t="str">
        <f>IF(Z4455="","",IFERROR(LOOKUP(2,1/(#REF!=Z4455),#REF!),""))</f>
        <v/>
      </c>
      <c r="AB4455" t="str">
        <f>IF(Z4455="","",IFERROR(LOOKUP(2,1/(#REF!=Z4455),#REF!),""))</f>
        <v/>
      </c>
      <c r="AC4455" t="str">
        <f>IF(Z4455="","",COUNTIF(#REF!,Z4455))</f>
        <v/>
      </c>
      <c r="AD4455" t="str">
        <f>IF(A4455="","",IF(AC4455&gt;1,"REVISAR DUPLICADO",IF(AA4455&lt;&gt;"","ACTUALIZADO POR EYR","SIN REPORTE EYR")))</f>
        <v/>
      </c>
    </row>
    <row r="4456" spans="11:30" x14ac:dyDescent="0.3">
      <c r="K4456" s="1" t="str">
        <f ca="1">IF(A4456="","",IF(OR(L4456="ENTREGADA",L4456="RETORNADA",L4456="ENTREGA DIGITAL"),0,MAX(0,5-NETWORKDAYS(H4456+1,TODAY()))))</f>
        <v/>
      </c>
      <c r="L4456" t="str">
        <f>IF(A4456="","",IFERROR(LOOKUP(2,1/(#REF!=Z4456),#REF!),Y4456))</f>
        <v/>
      </c>
      <c r="Z4456" t="str">
        <f>IF(A4456="","",TEXT(A4456,"0")&amp;"|"&amp;TEXT(H4456,"0"))</f>
        <v/>
      </c>
      <c r="AA4456" t="str">
        <f>IF(Z4456="","",IFERROR(LOOKUP(2,1/(#REF!=Z4456),#REF!),""))</f>
        <v/>
      </c>
      <c r="AB4456" t="str">
        <f>IF(Z4456="","",IFERROR(LOOKUP(2,1/(#REF!=Z4456),#REF!),""))</f>
        <v/>
      </c>
      <c r="AC4456" t="str">
        <f>IF(Z4456="","",COUNTIF(#REF!,Z4456))</f>
        <v/>
      </c>
      <c r="AD4456" t="str">
        <f>IF(A4456="","",IF(AC4456&gt;1,"REVISAR DUPLICADO",IF(AA4456&lt;&gt;"","ACTUALIZADO POR EYR","SIN REPORTE EYR")))</f>
        <v/>
      </c>
    </row>
    <row r="4457" spans="11:30" x14ac:dyDescent="0.3">
      <c r="K4457" s="1" t="str">
        <f ca="1">IF(A4457="","",IF(OR(L4457="ENTREGADA",L4457="RETORNADA",L4457="ENTREGA DIGITAL"),0,MAX(0,5-NETWORKDAYS(H4457+1,TODAY()))))</f>
        <v/>
      </c>
      <c r="L4457" t="str">
        <f>IF(A4457="","",IFERROR(LOOKUP(2,1/(#REF!=Z4457),#REF!),Y4457))</f>
        <v/>
      </c>
      <c r="Z4457" t="str">
        <f>IF(A4457="","",TEXT(A4457,"0")&amp;"|"&amp;TEXT(H4457,"0"))</f>
        <v/>
      </c>
      <c r="AA4457" t="str">
        <f>IF(Z4457="","",IFERROR(LOOKUP(2,1/(#REF!=Z4457),#REF!),""))</f>
        <v/>
      </c>
      <c r="AB4457" t="str">
        <f>IF(Z4457="","",IFERROR(LOOKUP(2,1/(#REF!=Z4457),#REF!),""))</f>
        <v/>
      </c>
      <c r="AC4457" t="str">
        <f>IF(Z4457="","",COUNTIF(#REF!,Z4457))</f>
        <v/>
      </c>
      <c r="AD4457" t="str">
        <f>IF(A4457="","",IF(AC4457&gt;1,"REVISAR DUPLICADO",IF(AA4457&lt;&gt;"","ACTUALIZADO POR EYR","SIN REPORTE EYR")))</f>
        <v/>
      </c>
    </row>
    <row r="4458" spans="11:30" x14ac:dyDescent="0.3">
      <c r="K4458" s="1" t="str">
        <f ca="1">IF(A4458="","",IF(OR(L4458="ENTREGADA",L4458="RETORNADA",L4458="ENTREGA DIGITAL"),0,MAX(0,5-NETWORKDAYS(H4458+1,TODAY()))))</f>
        <v/>
      </c>
      <c r="L4458" t="str">
        <f>IF(A4458="","",IFERROR(LOOKUP(2,1/(#REF!=Z4458),#REF!),Y4458))</f>
        <v/>
      </c>
      <c r="Z4458" t="str">
        <f>IF(A4458="","",TEXT(A4458,"0")&amp;"|"&amp;TEXT(H4458,"0"))</f>
        <v/>
      </c>
      <c r="AA4458" t="str">
        <f>IF(Z4458="","",IFERROR(LOOKUP(2,1/(#REF!=Z4458),#REF!),""))</f>
        <v/>
      </c>
      <c r="AB4458" t="str">
        <f>IF(Z4458="","",IFERROR(LOOKUP(2,1/(#REF!=Z4458),#REF!),""))</f>
        <v/>
      </c>
      <c r="AC4458" t="str">
        <f>IF(Z4458="","",COUNTIF(#REF!,Z4458))</f>
        <v/>
      </c>
      <c r="AD4458" t="str">
        <f>IF(A4458="","",IF(AC4458&gt;1,"REVISAR DUPLICADO",IF(AA4458&lt;&gt;"","ACTUALIZADO POR EYR","SIN REPORTE EYR")))</f>
        <v/>
      </c>
    </row>
    <row r="4459" spans="11:30" x14ac:dyDescent="0.3">
      <c r="K4459" s="1" t="str">
        <f ca="1">IF(A4459="","",IF(OR(L4459="ENTREGADA",L4459="RETORNADA",L4459="ENTREGA DIGITAL"),0,MAX(0,5-NETWORKDAYS(H4459+1,TODAY()))))</f>
        <v/>
      </c>
      <c r="L4459" t="str">
        <f>IF(A4459="","",IFERROR(LOOKUP(2,1/(#REF!=Z4459),#REF!),Y4459))</f>
        <v/>
      </c>
      <c r="Z4459" t="str">
        <f>IF(A4459="","",TEXT(A4459,"0")&amp;"|"&amp;TEXT(H4459,"0"))</f>
        <v/>
      </c>
      <c r="AA4459" t="str">
        <f>IF(Z4459="","",IFERROR(LOOKUP(2,1/(#REF!=Z4459),#REF!),""))</f>
        <v/>
      </c>
      <c r="AB4459" t="str">
        <f>IF(Z4459="","",IFERROR(LOOKUP(2,1/(#REF!=Z4459),#REF!),""))</f>
        <v/>
      </c>
      <c r="AC4459" t="str">
        <f>IF(Z4459="","",COUNTIF(#REF!,Z4459))</f>
        <v/>
      </c>
      <c r="AD4459" t="str">
        <f>IF(A4459="","",IF(AC4459&gt;1,"REVISAR DUPLICADO",IF(AA4459&lt;&gt;"","ACTUALIZADO POR EYR","SIN REPORTE EYR")))</f>
        <v/>
      </c>
    </row>
    <row r="4460" spans="11:30" x14ac:dyDescent="0.3">
      <c r="K4460" s="1" t="str">
        <f ca="1">IF(A4460="","",IF(OR(L4460="ENTREGADA",L4460="RETORNADA",L4460="ENTREGA DIGITAL"),0,MAX(0,5-NETWORKDAYS(H4460+1,TODAY()))))</f>
        <v/>
      </c>
      <c r="L4460" t="str">
        <f>IF(A4460="","",IFERROR(LOOKUP(2,1/(#REF!=Z4460),#REF!),Y4460))</f>
        <v/>
      </c>
      <c r="Z4460" t="str">
        <f>IF(A4460="","",TEXT(A4460,"0")&amp;"|"&amp;TEXT(H4460,"0"))</f>
        <v/>
      </c>
      <c r="AA4460" t="str">
        <f>IF(Z4460="","",IFERROR(LOOKUP(2,1/(#REF!=Z4460),#REF!),""))</f>
        <v/>
      </c>
      <c r="AB4460" t="str">
        <f>IF(Z4460="","",IFERROR(LOOKUP(2,1/(#REF!=Z4460),#REF!),""))</f>
        <v/>
      </c>
      <c r="AC4460" t="str">
        <f>IF(Z4460="","",COUNTIF(#REF!,Z4460))</f>
        <v/>
      </c>
      <c r="AD4460" t="str">
        <f>IF(A4460="","",IF(AC4460&gt;1,"REVISAR DUPLICADO",IF(AA4460&lt;&gt;"","ACTUALIZADO POR EYR","SIN REPORTE EYR")))</f>
        <v/>
      </c>
    </row>
    <row r="4461" spans="11:30" x14ac:dyDescent="0.3">
      <c r="K4461" s="1" t="str">
        <f ca="1">IF(A4461="","",IF(OR(L4461="ENTREGADA",L4461="RETORNADA",L4461="ENTREGA DIGITAL"),0,MAX(0,5-NETWORKDAYS(H4461+1,TODAY()))))</f>
        <v/>
      </c>
      <c r="L4461" t="str">
        <f>IF(A4461="","",IFERROR(LOOKUP(2,1/(#REF!=Z4461),#REF!),Y4461))</f>
        <v/>
      </c>
      <c r="Z4461" t="str">
        <f>IF(A4461="","",TEXT(A4461,"0")&amp;"|"&amp;TEXT(H4461,"0"))</f>
        <v/>
      </c>
      <c r="AA4461" t="str">
        <f>IF(Z4461="","",IFERROR(LOOKUP(2,1/(#REF!=Z4461),#REF!),""))</f>
        <v/>
      </c>
      <c r="AB4461" t="str">
        <f>IF(Z4461="","",IFERROR(LOOKUP(2,1/(#REF!=Z4461),#REF!),""))</f>
        <v/>
      </c>
      <c r="AC4461" t="str">
        <f>IF(Z4461="","",COUNTIF(#REF!,Z4461))</f>
        <v/>
      </c>
      <c r="AD4461" t="str">
        <f>IF(A4461="","",IF(AC4461&gt;1,"REVISAR DUPLICADO",IF(AA4461&lt;&gt;"","ACTUALIZADO POR EYR","SIN REPORTE EYR")))</f>
        <v/>
      </c>
    </row>
    <row r="4462" spans="11:30" x14ac:dyDescent="0.3">
      <c r="K4462" s="1" t="str">
        <f ca="1">IF(A4462="","",IF(OR(L4462="ENTREGADA",L4462="RETORNADA",L4462="ENTREGA DIGITAL"),0,MAX(0,5-NETWORKDAYS(H4462+1,TODAY()))))</f>
        <v/>
      </c>
      <c r="L4462" t="str">
        <f>IF(A4462="","",IFERROR(LOOKUP(2,1/(#REF!=Z4462),#REF!),Y4462))</f>
        <v/>
      </c>
      <c r="Z4462" t="str">
        <f>IF(A4462="","",TEXT(A4462,"0")&amp;"|"&amp;TEXT(H4462,"0"))</f>
        <v/>
      </c>
      <c r="AA4462" t="str">
        <f>IF(Z4462="","",IFERROR(LOOKUP(2,1/(#REF!=Z4462),#REF!),""))</f>
        <v/>
      </c>
      <c r="AB4462" t="str">
        <f>IF(Z4462="","",IFERROR(LOOKUP(2,1/(#REF!=Z4462),#REF!),""))</f>
        <v/>
      </c>
      <c r="AC4462" t="str">
        <f>IF(Z4462="","",COUNTIF(#REF!,Z4462))</f>
        <v/>
      </c>
      <c r="AD4462" t="str">
        <f>IF(A4462="","",IF(AC4462&gt;1,"REVISAR DUPLICADO",IF(AA4462&lt;&gt;"","ACTUALIZADO POR EYR","SIN REPORTE EYR")))</f>
        <v/>
      </c>
    </row>
    <row r="4463" spans="11:30" x14ac:dyDescent="0.3">
      <c r="K4463" s="1" t="str">
        <f ca="1">IF(A4463="","",IF(OR(L4463="ENTREGADA",L4463="RETORNADA",L4463="ENTREGA DIGITAL"),0,MAX(0,5-NETWORKDAYS(H4463+1,TODAY()))))</f>
        <v/>
      </c>
      <c r="L4463" t="str">
        <f>IF(A4463="","",IFERROR(LOOKUP(2,1/(#REF!=Z4463),#REF!),Y4463))</f>
        <v/>
      </c>
      <c r="Z4463" t="str">
        <f>IF(A4463="","",TEXT(A4463,"0")&amp;"|"&amp;TEXT(H4463,"0"))</f>
        <v/>
      </c>
      <c r="AA4463" t="str">
        <f>IF(Z4463="","",IFERROR(LOOKUP(2,1/(#REF!=Z4463),#REF!),""))</f>
        <v/>
      </c>
      <c r="AB4463" t="str">
        <f>IF(Z4463="","",IFERROR(LOOKUP(2,1/(#REF!=Z4463),#REF!),""))</f>
        <v/>
      </c>
      <c r="AC4463" t="str">
        <f>IF(Z4463="","",COUNTIF(#REF!,Z4463))</f>
        <v/>
      </c>
      <c r="AD4463" t="str">
        <f>IF(A4463="","",IF(AC4463&gt;1,"REVISAR DUPLICADO",IF(AA4463&lt;&gt;"","ACTUALIZADO POR EYR","SIN REPORTE EYR")))</f>
        <v/>
      </c>
    </row>
    <row r="4464" spans="11:30" x14ac:dyDescent="0.3">
      <c r="K4464" s="1" t="str">
        <f ca="1">IF(A4464="","",IF(OR(L4464="ENTREGADA",L4464="RETORNADA",L4464="ENTREGA DIGITAL"),0,MAX(0,5-NETWORKDAYS(H4464+1,TODAY()))))</f>
        <v/>
      </c>
      <c r="L4464" t="str">
        <f>IF(A4464="","",IFERROR(LOOKUP(2,1/(#REF!=Z4464),#REF!),Y4464))</f>
        <v/>
      </c>
      <c r="Z4464" t="str">
        <f>IF(A4464="","",TEXT(A4464,"0")&amp;"|"&amp;TEXT(H4464,"0"))</f>
        <v/>
      </c>
      <c r="AA4464" t="str">
        <f>IF(Z4464="","",IFERROR(LOOKUP(2,1/(#REF!=Z4464),#REF!),""))</f>
        <v/>
      </c>
      <c r="AB4464" t="str">
        <f>IF(Z4464="","",IFERROR(LOOKUP(2,1/(#REF!=Z4464),#REF!),""))</f>
        <v/>
      </c>
      <c r="AC4464" t="str">
        <f>IF(Z4464="","",COUNTIF(#REF!,Z4464))</f>
        <v/>
      </c>
      <c r="AD4464" t="str">
        <f>IF(A4464="","",IF(AC4464&gt;1,"REVISAR DUPLICADO",IF(AA4464&lt;&gt;"","ACTUALIZADO POR EYR","SIN REPORTE EYR")))</f>
        <v/>
      </c>
    </row>
    <row r="4465" spans="11:30" x14ac:dyDescent="0.3">
      <c r="K4465" s="1" t="str">
        <f ca="1">IF(A4465="","",IF(OR(L4465="ENTREGADA",L4465="RETORNADA",L4465="ENTREGA DIGITAL"),0,MAX(0,5-NETWORKDAYS(H4465+1,TODAY()))))</f>
        <v/>
      </c>
      <c r="L4465" t="str">
        <f>IF(A4465="","",IFERROR(LOOKUP(2,1/(#REF!=Z4465),#REF!),Y4465))</f>
        <v/>
      </c>
      <c r="Z4465" t="str">
        <f>IF(A4465="","",TEXT(A4465,"0")&amp;"|"&amp;TEXT(H4465,"0"))</f>
        <v/>
      </c>
      <c r="AA4465" t="str">
        <f>IF(Z4465="","",IFERROR(LOOKUP(2,1/(#REF!=Z4465),#REF!),""))</f>
        <v/>
      </c>
      <c r="AB4465" t="str">
        <f>IF(Z4465="","",IFERROR(LOOKUP(2,1/(#REF!=Z4465),#REF!),""))</f>
        <v/>
      </c>
      <c r="AC4465" t="str">
        <f>IF(Z4465="","",COUNTIF(#REF!,Z4465))</f>
        <v/>
      </c>
      <c r="AD4465" t="str">
        <f>IF(A4465="","",IF(AC4465&gt;1,"REVISAR DUPLICADO",IF(AA4465&lt;&gt;"","ACTUALIZADO POR EYR","SIN REPORTE EYR")))</f>
        <v/>
      </c>
    </row>
    <row r="4466" spans="11:30" x14ac:dyDescent="0.3">
      <c r="K4466" s="1" t="str">
        <f ca="1">IF(A4466="","",IF(OR(L4466="ENTREGADA",L4466="RETORNADA",L4466="ENTREGA DIGITAL"),0,MAX(0,5-NETWORKDAYS(H4466+1,TODAY()))))</f>
        <v/>
      </c>
      <c r="L4466" t="str">
        <f>IF(A4466="","",IFERROR(LOOKUP(2,1/(#REF!=Z4466),#REF!),Y4466))</f>
        <v/>
      </c>
      <c r="Z4466" t="str">
        <f>IF(A4466="","",TEXT(A4466,"0")&amp;"|"&amp;TEXT(H4466,"0"))</f>
        <v/>
      </c>
      <c r="AA4466" t="str">
        <f>IF(Z4466="","",IFERROR(LOOKUP(2,1/(#REF!=Z4466),#REF!),""))</f>
        <v/>
      </c>
      <c r="AB4466" t="str">
        <f>IF(Z4466="","",IFERROR(LOOKUP(2,1/(#REF!=Z4466),#REF!),""))</f>
        <v/>
      </c>
      <c r="AC4466" t="str">
        <f>IF(Z4466="","",COUNTIF(#REF!,Z4466))</f>
        <v/>
      </c>
      <c r="AD4466" t="str">
        <f>IF(A4466="","",IF(AC4466&gt;1,"REVISAR DUPLICADO",IF(AA4466&lt;&gt;"","ACTUALIZADO POR EYR","SIN REPORTE EYR")))</f>
        <v/>
      </c>
    </row>
    <row r="4467" spans="11:30" x14ac:dyDescent="0.3">
      <c r="K4467" s="1" t="str">
        <f ca="1">IF(A4467="","",IF(OR(L4467="ENTREGADA",L4467="RETORNADA",L4467="ENTREGA DIGITAL"),0,MAX(0,5-NETWORKDAYS(H4467+1,TODAY()))))</f>
        <v/>
      </c>
      <c r="L4467" t="str">
        <f>IF(A4467="","",IFERROR(LOOKUP(2,1/(#REF!=Z4467),#REF!),Y4467))</f>
        <v/>
      </c>
      <c r="Z4467" t="str">
        <f>IF(A4467="","",TEXT(A4467,"0")&amp;"|"&amp;TEXT(H4467,"0"))</f>
        <v/>
      </c>
      <c r="AA4467" t="str">
        <f>IF(Z4467="","",IFERROR(LOOKUP(2,1/(#REF!=Z4467),#REF!),""))</f>
        <v/>
      </c>
      <c r="AB4467" t="str">
        <f>IF(Z4467="","",IFERROR(LOOKUP(2,1/(#REF!=Z4467),#REF!),""))</f>
        <v/>
      </c>
      <c r="AC4467" t="str">
        <f>IF(Z4467="","",COUNTIF(#REF!,Z4467))</f>
        <v/>
      </c>
      <c r="AD4467" t="str">
        <f>IF(A4467="","",IF(AC4467&gt;1,"REVISAR DUPLICADO",IF(AA4467&lt;&gt;"","ACTUALIZADO POR EYR","SIN REPORTE EYR")))</f>
        <v/>
      </c>
    </row>
    <row r="4468" spans="11:30" x14ac:dyDescent="0.3">
      <c r="K4468" s="1" t="str">
        <f ca="1">IF(A4468="","",IF(OR(L4468="ENTREGADA",L4468="RETORNADA",L4468="ENTREGA DIGITAL"),0,MAX(0,5-NETWORKDAYS(H4468+1,TODAY()))))</f>
        <v/>
      </c>
      <c r="L4468" t="str">
        <f>IF(A4468="","",IFERROR(LOOKUP(2,1/(#REF!=Z4468),#REF!),Y4468))</f>
        <v/>
      </c>
      <c r="Z4468" t="str">
        <f>IF(A4468="","",TEXT(A4468,"0")&amp;"|"&amp;TEXT(H4468,"0"))</f>
        <v/>
      </c>
      <c r="AA4468" t="str">
        <f>IF(Z4468="","",IFERROR(LOOKUP(2,1/(#REF!=Z4468),#REF!),""))</f>
        <v/>
      </c>
      <c r="AB4468" t="str">
        <f>IF(Z4468="","",IFERROR(LOOKUP(2,1/(#REF!=Z4468),#REF!),""))</f>
        <v/>
      </c>
      <c r="AC4468" t="str">
        <f>IF(Z4468="","",COUNTIF(#REF!,Z4468))</f>
        <v/>
      </c>
      <c r="AD4468" t="str">
        <f>IF(A4468="","",IF(AC4468&gt;1,"REVISAR DUPLICADO",IF(AA4468&lt;&gt;"","ACTUALIZADO POR EYR","SIN REPORTE EYR")))</f>
        <v/>
      </c>
    </row>
    <row r="4469" spans="11:30" x14ac:dyDescent="0.3">
      <c r="K4469" s="1" t="str">
        <f ca="1">IF(A4469="","",IF(OR(L4469="ENTREGADA",L4469="RETORNADA",L4469="ENTREGA DIGITAL"),0,MAX(0,5-NETWORKDAYS(H4469+1,TODAY()))))</f>
        <v/>
      </c>
      <c r="L4469" t="str">
        <f>IF(A4469="","",IFERROR(LOOKUP(2,1/(#REF!=Z4469),#REF!),Y4469))</f>
        <v/>
      </c>
      <c r="Z4469" t="str">
        <f>IF(A4469="","",TEXT(A4469,"0")&amp;"|"&amp;TEXT(H4469,"0"))</f>
        <v/>
      </c>
      <c r="AA4469" t="str">
        <f>IF(Z4469="","",IFERROR(LOOKUP(2,1/(#REF!=Z4469),#REF!),""))</f>
        <v/>
      </c>
      <c r="AB4469" t="str">
        <f>IF(Z4469="","",IFERROR(LOOKUP(2,1/(#REF!=Z4469),#REF!),""))</f>
        <v/>
      </c>
      <c r="AC4469" t="str">
        <f>IF(Z4469="","",COUNTIF(#REF!,Z4469))</f>
        <v/>
      </c>
      <c r="AD4469" t="str">
        <f>IF(A4469="","",IF(AC4469&gt;1,"REVISAR DUPLICADO",IF(AA4469&lt;&gt;"","ACTUALIZADO POR EYR","SIN REPORTE EYR")))</f>
        <v/>
      </c>
    </row>
    <row r="4470" spans="11:30" x14ac:dyDescent="0.3">
      <c r="K4470" s="1" t="str">
        <f ca="1">IF(A4470="","",IF(OR(L4470="ENTREGADA",L4470="RETORNADA",L4470="ENTREGA DIGITAL"),0,MAX(0,5-NETWORKDAYS(H4470+1,TODAY()))))</f>
        <v/>
      </c>
      <c r="L4470" t="str">
        <f>IF(A4470="","",IFERROR(LOOKUP(2,1/(#REF!=Z4470),#REF!),Y4470))</f>
        <v/>
      </c>
      <c r="Z4470" t="str">
        <f>IF(A4470="","",TEXT(A4470,"0")&amp;"|"&amp;TEXT(H4470,"0"))</f>
        <v/>
      </c>
      <c r="AA4470" t="str">
        <f>IF(Z4470="","",IFERROR(LOOKUP(2,1/(#REF!=Z4470),#REF!),""))</f>
        <v/>
      </c>
      <c r="AB4470" t="str">
        <f>IF(Z4470="","",IFERROR(LOOKUP(2,1/(#REF!=Z4470),#REF!),""))</f>
        <v/>
      </c>
      <c r="AC4470" t="str">
        <f>IF(Z4470="","",COUNTIF(#REF!,Z4470))</f>
        <v/>
      </c>
      <c r="AD4470" t="str">
        <f>IF(A4470="","",IF(AC4470&gt;1,"REVISAR DUPLICADO",IF(AA4470&lt;&gt;"","ACTUALIZADO POR EYR","SIN REPORTE EYR")))</f>
        <v/>
      </c>
    </row>
    <row r="4471" spans="11:30" x14ac:dyDescent="0.3">
      <c r="K4471" s="1" t="str">
        <f ca="1">IF(A4471="","",IF(OR(L4471="ENTREGADA",L4471="RETORNADA",L4471="ENTREGA DIGITAL"),0,MAX(0,5-NETWORKDAYS(H4471+1,TODAY()))))</f>
        <v/>
      </c>
      <c r="L4471" t="str">
        <f>IF(A4471="","",IFERROR(LOOKUP(2,1/(#REF!=Z4471),#REF!),Y4471))</f>
        <v/>
      </c>
      <c r="Z4471" t="str">
        <f>IF(A4471="","",TEXT(A4471,"0")&amp;"|"&amp;TEXT(H4471,"0"))</f>
        <v/>
      </c>
      <c r="AA4471" t="str">
        <f>IF(Z4471="","",IFERROR(LOOKUP(2,1/(#REF!=Z4471),#REF!),""))</f>
        <v/>
      </c>
      <c r="AB4471" t="str">
        <f>IF(Z4471="","",IFERROR(LOOKUP(2,1/(#REF!=Z4471),#REF!),""))</f>
        <v/>
      </c>
      <c r="AC4471" t="str">
        <f>IF(Z4471="","",COUNTIF(#REF!,Z4471))</f>
        <v/>
      </c>
      <c r="AD4471" t="str">
        <f>IF(A4471="","",IF(AC4471&gt;1,"REVISAR DUPLICADO",IF(AA4471&lt;&gt;"","ACTUALIZADO POR EYR","SIN REPORTE EYR")))</f>
        <v/>
      </c>
    </row>
    <row r="4472" spans="11:30" x14ac:dyDescent="0.3">
      <c r="K4472" s="1" t="str">
        <f ca="1">IF(A4472="","",IF(OR(L4472="ENTREGADA",L4472="RETORNADA",L4472="ENTREGA DIGITAL"),0,MAX(0,5-NETWORKDAYS(H4472+1,TODAY()))))</f>
        <v/>
      </c>
      <c r="L4472" t="str">
        <f>IF(A4472="","",IFERROR(LOOKUP(2,1/(#REF!=Z4472),#REF!),Y4472))</f>
        <v/>
      </c>
      <c r="Z4472" t="str">
        <f>IF(A4472="","",TEXT(A4472,"0")&amp;"|"&amp;TEXT(H4472,"0"))</f>
        <v/>
      </c>
      <c r="AA4472" t="str">
        <f>IF(Z4472="","",IFERROR(LOOKUP(2,1/(#REF!=Z4472),#REF!),""))</f>
        <v/>
      </c>
      <c r="AB4472" t="str">
        <f>IF(Z4472="","",IFERROR(LOOKUP(2,1/(#REF!=Z4472),#REF!),""))</f>
        <v/>
      </c>
      <c r="AC4472" t="str">
        <f>IF(Z4472="","",COUNTIF(#REF!,Z4472))</f>
        <v/>
      </c>
      <c r="AD4472" t="str">
        <f>IF(A4472="","",IF(AC4472&gt;1,"REVISAR DUPLICADO",IF(AA4472&lt;&gt;"","ACTUALIZADO POR EYR","SIN REPORTE EYR")))</f>
        <v/>
      </c>
    </row>
    <row r="4473" spans="11:30" x14ac:dyDescent="0.3">
      <c r="K4473" s="1" t="str">
        <f ca="1">IF(A4473="","",IF(OR(L4473="ENTREGADA",L4473="RETORNADA",L4473="ENTREGA DIGITAL"),0,MAX(0,5-NETWORKDAYS(H4473+1,TODAY()))))</f>
        <v/>
      </c>
      <c r="L4473" t="str">
        <f>IF(A4473="","",IFERROR(LOOKUP(2,1/(#REF!=Z4473),#REF!),Y4473))</f>
        <v/>
      </c>
      <c r="Z4473" t="str">
        <f>IF(A4473="","",TEXT(A4473,"0")&amp;"|"&amp;TEXT(H4473,"0"))</f>
        <v/>
      </c>
      <c r="AA4473" t="str">
        <f>IF(Z4473="","",IFERROR(LOOKUP(2,1/(#REF!=Z4473),#REF!),""))</f>
        <v/>
      </c>
      <c r="AB4473" t="str">
        <f>IF(Z4473="","",IFERROR(LOOKUP(2,1/(#REF!=Z4473),#REF!),""))</f>
        <v/>
      </c>
      <c r="AC4473" t="str">
        <f>IF(Z4473="","",COUNTIF(#REF!,Z4473))</f>
        <v/>
      </c>
      <c r="AD4473" t="str">
        <f>IF(A4473="","",IF(AC4473&gt;1,"REVISAR DUPLICADO",IF(AA4473&lt;&gt;"","ACTUALIZADO POR EYR","SIN REPORTE EYR")))</f>
        <v/>
      </c>
    </row>
    <row r="4474" spans="11:30" x14ac:dyDescent="0.3">
      <c r="K4474" s="1" t="str">
        <f ca="1">IF(A4474="","",IF(OR(L4474="ENTREGADA",L4474="RETORNADA",L4474="ENTREGA DIGITAL"),0,MAX(0,5-NETWORKDAYS(H4474+1,TODAY()))))</f>
        <v/>
      </c>
      <c r="L4474" t="str">
        <f>IF(A4474="","",IFERROR(LOOKUP(2,1/(#REF!=Z4474),#REF!),Y4474))</f>
        <v/>
      </c>
      <c r="Z4474" t="str">
        <f>IF(A4474="","",TEXT(A4474,"0")&amp;"|"&amp;TEXT(H4474,"0"))</f>
        <v/>
      </c>
      <c r="AA4474" t="str">
        <f>IF(Z4474="","",IFERROR(LOOKUP(2,1/(#REF!=Z4474),#REF!),""))</f>
        <v/>
      </c>
      <c r="AB4474" t="str">
        <f>IF(Z4474="","",IFERROR(LOOKUP(2,1/(#REF!=Z4474),#REF!),""))</f>
        <v/>
      </c>
      <c r="AC4474" t="str">
        <f>IF(Z4474="","",COUNTIF(#REF!,Z4474))</f>
        <v/>
      </c>
      <c r="AD4474" t="str">
        <f>IF(A4474="","",IF(AC4474&gt;1,"REVISAR DUPLICADO",IF(AA4474&lt;&gt;"","ACTUALIZADO POR EYR","SIN REPORTE EYR")))</f>
        <v/>
      </c>
    </row>
    <row r="4475" spans="11:30" x14ac:dyDescent="0.3">
      <c r="K4475" s="1" t="str">
        <f ca="1">IF(A4475="","",IF(OR(L4475="ENTREGADA",L4475="RETORNADA",L4475="ENTREGA DIGITAL"),0,MAX(0,5-NETWORKDAYS(H4475+1,TODAY()))))</f>
        <v/>
      </c>
      <c r="L4475" t="str">
        <f>IF(A4475="","",IFERROR(LOOKUP(2,1/(#REF!=Z4475),#REF!),Y4475))</f>
        <v/>
      </c>
      <c r="Z4475" t="str">
        <f>IF(A4475="","",TEXT(A4475,"0")&amp;"|"&amp;TEXT(H4475,"0"))</f>
        <v/>
      </c>
      <c r="AA4475" t="str">
        <f>IF(Z4475="","",IFERROR(LOOKUP(2,1/(#REF!=Z4475),#REF!),""))</f>
        <v/>
      </c>
      <c r="AB4475" t="str">
        <f>IF(Z4475="","",IFERROR(LOOKUP(2,1/(#REF!=Z4475),#REF!),""))</f>
        <v/>
      </c>
      <c r="AC4475" t="str">
        <f>IF(Z4475="","",COUNTIF(#REF!,Z4475))</f>
        <v/>
      </c>
      <c r="AD4475" t="str">
        <f>IF(A4475="","",IF(AC4475&gt;1,"REVISAR DUPLICADO",IF(AA4475&lt;&gt;"","ACTUALIZADO POR EYR","SIN REPORTE EYR")))</f>
        <v/>
      </c>
    </row>
    <row r="4476" spans="11:30" x14ac:dyDescent="0.3">
      <c r="K4476" s="1" t="str">
        <f ca="1">IF(A4476="","",IF(OR(L4476="ENTREGADA",L4476="RETORNADA",L4476="ENTREGA DIGITAL"),0,MAX(0,5-NETWORKDAYS(H4476+1,TODAY()))))</f>
        <v/>
      </c>
      <c r="L4476" t="str">
        <f>IF(A4476="","",IFERROR(LOOKUP(2,1/(#REF!=Z4476),#REF!),Y4476))</f>
        <v/>
      </c>
      <c r="Z4476" t="str">
        <f>IF(A4476="","",TEXT(A4476,"0")&amp;"|"&amp;TEXT(H4476,"0"))</f>
        <v/>
      </c>
      <c r="AA4476" t="str">
        <f>IF(Z4476="","",IFERROR(LOOKUP(2,1/(#REF!=Z4476),#REF!),""))</f>
        <v/>
      </c>
      <c r="AB4476" t="str">
        <f>IF(Z4476="","",IFERROR(LOOKUP(2,1/(#REF!=Z4476),#REF!),""))</f>
        <v/>
      </c>
      <c r="AC4476" t="str">
        <f>IF(Z4476="","",COUNTIF(#REF!,Z4476))</f>
        <v/>
      </c>
      <c r="AD4476" t="str">
        <f>IF(A4476="","",IF(AC4476&gt;1,"REVISAR DUPLICADO",IF(AA4476&lt;&gt;"","ACTUALIZADO POR EYR","SIN REPORTE EYR")))</f>
        <v/>
      </c>
    </row>
    <row r="4477" spans="11:30" x14ac:dyDescent="0.3">
      <c r="K4477" s="1" t="str">
        <f ca="1">IF(A4477="","",IF(OR(L4477="ENTREGADA",L4477="RETORNADA",L4477="ENTREGA DIGITAL"),0,MAX(0,5-NETWORKDAYS(H4477+1,TODAY()))))</f>
        <v/>
      </c>
      <c r="L4477" t="str">
        <f>IF(A4477="","",IFERROR(LOOKUP(2,1/(#REF!=Z4477),#REF!),Y4477))</f>
        <v/>
      </c>
      <c r="Z4477" t="str">
        <f>IF(A4477="","",TEXT(A4477,"0")&amp;"|"&amp;TEXT(H4477,"0"))</f>
        <v/>
      </c>
      <c r="AA4477" t="str">
        <f>IF(Z4477="","",IFERROR(LOOKUP(2,1/(#REF!=Z4477),#REF!),""))</f>
        <v/>
      </c>
      <c r="AB4477" t="str">
        <f>IF(Z4477="","",IFERROR(LOOKUP(2,1/(#REF!=Z4477),#REF!),""))</f>
        <v/>
      </c>
      <c r="AC4477" t="str">
        <f>IF(Z4477="","",COUNTIF(#REF!,Z4477))</f>
        <v/>
      </c>
      <c r="AD4477" t="str">
        <f>IF(A4477="","",IF(AC4477&gt;1,"REVISAR DUPLICADO",IF(AA4477&lt;&gt;"","ACTUALIZADO POR EYR","SIN REPORTE EYR")))</f>
        <v/>
      </c>
    </row>
    <row r="4478" spans="11:30" x14ac:dyDescent="0.3">
      <c r="K4478" s="1" t="str">
        <f ca="1">IF(A4478="","",IF(OR(L4478="ENTREGADA",L4478="RETORNADA",L4478="ENTREGA DIGITAL"),0,MAX(0,5-NETWORKDAYS(H4478+1,TODAY()))))</f>
        <v/>
      </c>
      <c r="L4478" t="str">
        <f>IF(A4478="","",IFERROR(LOOKUP(2,1/(#REF!=Z4478),#REF!),Y4478))</f>
        <v/>
      </c>
      <c r="Z4478" t="str">
        <f>IF(A4478="","",TEXT(A4478,"0")&amp;"|"&amp;TEXT(H4478,"0"))</f>
        <v/>
      </c>
      <c r="AA4478" t="str">
        <f>IF(Z4478="","",IFERROR(LOOKUP(2,1/(#REF!=Z4478),#REF!),""))</f>
        <v/>
      </c>
      <c r="AB4478" t="str">
        <f>IF(Z4478="","",IFERROR(LOOKUP(2,1/(#REF!=Z4478),#REF!),""))</f>
        <v/>
      </c>
      <c r="AC4478" t="str">
        <f>IF(Z4478="","",COUNTIF(#REF!,Z4478))</f>
        <v/>
      </c>
      <c r="AD4478" t="str">
        <f>IF(A4478="","",IF(AC4478&gt;1,"REVISAR DUPLICADO",IF(AA4478&lt;&gt;"","ACTUALIZADO POR EYR","SIN REPORTE EYR")))</f>
        <v/>
      </c>
    </row>
    <row r="4479" spans="11:30" x14ac:dyDescent="0.3">
      <c r="K4479" s="1" t="str">
        <f ca="1">IF(A4479="","",IF(OR(L4479="ENTREGADA",L4479="RETORNADA",L4479="ENTREGA DIGITAL"),0,MAX(0,5-NETWORKDAYS(H4479+1,TODAY()))))</f>
        <v/>
      </c>
      <c r="L4479" t="str">
        <f>IF(A4479="","",IFERROR(LOOKUP(2,1/(#REF!=Z4479),#REF!),Y4479))</f>
        <v/>
      </c>
      <c r="Z4479" t="str">
        <f>IF(A4479="","",TEXT(A4479,"0")&amp;"|"&amp;TEXT(H4479,"0"))</f>
        <v/>
      </c>
      <c r="AA4479" t="str">
        <f>IF(Z4479="","",IFERROR(LOOKUP(2,1/(#REF!=Z4479),#REF!),""))</f>
        <v/>
      </c>
      <c r="AB4479" t="str">
        <f>IF(Z4479="","",IFERROR(LOOKUP(2,1/(#REF!=Z4479),#REF!),""))</f>
        <v/>
      </c>
      <c r="AC4479" t="str">
        <f>IF(Z4479="","",COUNTIF(#REF!,Z4479))</f>
        <v/>
      </c>
      <c r="AD4479" t="str">
        <f>IF(A4479="","",IF(AC4479&gt;1,"REVISAR DUPLICADO",IF(AA4479&lt;&gt;"","ACTUALIZADO POR EYR","SIN REPORTE EYR")))</f>
        <v/>
      </c>
    </row>
    <row r="4480" spans="11:30" x14ac:dyDescent="0.3">
      <c r="K4480" s="1" t="str">
        <f ca="1">IF(A4480="","",IF(OR(L4480="ENTREGADA",L4480="RETORNADA",L4480="ENTREGA DIGITAL"),0,MAX(0,5-NETWORKDAYS(H4480+1,TODAY()))))</f>
        <v/>
      </c>
      <c r="L4480" t="str">
        <f>IF(A4480="","",IFERROR(LOOKUP(2,1/(#REF!=Z4480),#REF!),Y4480))</f>
        <v/>
      </c>
      <c r="Z4480" t="str">
        <f>IF(A4480="","",TEXT(A4480,"0")&amp;"|"&amp;TEXT(H4480,"0"))</f>
        <v/>
      </c>
      <c r="AA4480" t="str">
        <f>IF(Z4480="","",IFERROR(LOOKUP(2,1/(#REF!=Z4480),#REF!),""))</f>
        <v/>
      </c>
      <c r="AB4480" t="str">
        <f>IF(Z4480="","",IFERROR(LOOKUP(2,1/(#REF!=Z4480),#REF!),""))</f>
        <v/>
      </c>
      <c r="AC4480" t="str">
        <f>IF(Z4480="","",COUNTIF(#REF!,Z4480))</f>
        <v/>
      </c>
      <c r="AD4480" t="str">
        <f>IF(A4480="","",IF(AC4480&gt;1,"REVISAR DUPLICADO",IF(AA4480&lt;&gt;"","ACTUALIZADO POR EYR","SIN REPORTE EYR")))</f>
        <v/>
      </c>
    </row>
    <row r="4481" spans="11:30" x14ac:dyDescent="0.3">
      <c r="K4481" s="1" t="str">
        <f ca="1">IF(A4481="","",IF(OR(L4481="ENTREGADA",L4481="RETORNADA",L4481="ENTREGA DIGITAL"),0,MAX(0,5-NETWORKDAYS(H4481+1,TODAY()))))</f>
        <v/>
      </c>
      <c r="L4481" t="str">
        <f>IF(A4481="","",IFERROR(LOOKUP(2,1/(#REF!=Z4481),#REF!),Y4481))</f>
        <v/>
      </c>
      <c r="Z4481" t="str">
        <f>IF(A4481="","",TEXT(A4481,"0")&amp;"|"&amp;TEXT(H4481,"0"))</f>
        <v/>
      </c>
      <c r="AA4481" t="str">
        <f>IF(Z4481="","",IFERROR(LOOKUP(2,1/(#REF!=Z4481),#REF!),""))</f>
        <v/>
      </c>
      <c r="AB4481" t="str">
        <f>IF(Z4481="","",IFERROR(LOOKUP(2,1/(#REF!=Z4481),#REF!),""))</f>
        <v/>
      </c>
      <c r="AC4481" t="str">
        <f>IF(Z4481="","",COUNTIF(#REF!,Z4481))</f>
        <v/>
      </c>
      <c r="AD4481" t="str">
        <f>IF(A4481="","",IF(AC4481&gt;1,"REVISAR DUPLICADO",IF(AA4481&lt;&gt;"","ACTUALIZADO POR EYR","SIN REPORTE EYR")))</f>
        <v/>
      </c>
    </row>
    <row r="4482" spans="11:30" x14ac:dyDescent="0.3">
      <c r="K4482" s="1" t="str">
        <f ca="1">IF(A4482="","",IF(OR(L4482="ENTREGADA",L4482="RETORNADA",L4482="ENTREGA DIGITAL"),0,MAX(0,5-NETWORKDAYS(H4482+1,TODAY()))))</f>
        <v/>
      </c>
      <c r="L4482" t="str">
        <f>IF(A4482="","",IFERROR(LOOKUP(2,1/(#REF!=Z4482),#REF!),Y4482))</f>
        <v/>
      </c>
      <c r="Z4482" t="str">
        <f>IF(A4482="","",TEXT(A4482,"0")&amp;"|"&amp;TEXT(H4482,"0"))</f>
        <v/>
      </c>
      <c r="AA4482" t="str">
        <f>IF(Z4482="","",IFERROR(LOOKUP(2,1/(#REF!=Z4482),#REF!),""))</f>
        <v/>
      </c>
      <c r="AB4482" t="str">
        <f>IF(Z4482="","",IFERROR(LOOKUP(2,1/(#REF!=Z4482),#REF!),""))</f>
        <v/>
      </c>
      <c r="AC4482" t="str">
        <f>IF(Z4482="","",COUNTIF(#REF!,Z4482))</f>
        <v/>
      </c>
      <c r="AD4482" t="str">
        <f>IF(A4482="","",IF(AC4482&gt;1,"REVISAR DUPLICADO",IF(AA4482&lt;&gt;"","ACTUALIZADO POR EYR","SIN REPORTE EYR")))</f>
        <v/>
      </c>
    </row>
    <row r="4483" spans="11:30" x14ac:dyDescent="0.3">
      <c r="K4483" s="1" t="str">
        <f ca="1">IF(A4483="","",IF(OR(L4483="ENTREGADA",L4483="RETORNADA",L4483="ENTREGA DIGITAL"),0,MAX(0,5-NETWORKDAYS(H4483+1,TODAY()))))</f>
        <v/>
      </c>
      <c r="L4483" t="str">
        <f>IF(A4483="","",IFERROR(LOOKUP(2,1/(#REF!=Z4483),#REF!),Y4483))</f>
        <v/>
      </c>
      <c r="Z4483" t="str">
        <f>IF(A4483="","",TEXT(A4483,"0")&amp;"|"&amp;TEXT(H4483,"0"))</f>
        <v/>
      </c>
      <c r="AA4483" t="str">
        <f>IF(Z4483="","",IFERROR(LOOKUP(2,1/(#REF!=Z4483),#REF!),""))</f>
        <v/>
      </c>
      <c r="AB4483" t="str">
        <f>IF(Z4483="","",IFERROR(LOOKUP(2,1/(#REF!=Z4483),#REF!),""))</f>
        <v/>
      </c>
      <c r="AC4483" t="str">
        <f>IF(Z4483="","",COUNTIF(#REF!,Z4483))</f>
        <v/>
      </c>
      <c r="AD4483" t="str">
        <f>IF(A4483="","",IF(AC4483&gt;1,"REVISAR DUPLICADO",IF(AA4483&lt;&gt;"","ACTUALIZADO POR EYR","SIN REPORTE EYR")))</f>
        <v/>
      </c>
    </row>
    <row r="4484" spans="11:30" x14ac:dyDescent="0.3">
      <c r="K4484" s="1" t="str">
        <f ca="1">IF(A4484="","",IF(OR(L4484="ENTREGADA",L4484="RETORNADA",L4484="ENTREGA DIGITAL"),0,MAX(0,5-NETWORKDAYS(H4484+1,TODAY()))))</f>
        <v/>
      </c>
      <c r="L4484" t="str">
        <f>IF(A4484="","",IFERROR(LOOKUP(2,1/(#REF!=Z4484),#REF!),Y4484))</f>
        <v/>
      </c>
      <c r="Z4484" t="str">
        <f>IF(A4484="","",TEXT(A4484,"0")&amp;"|"&amp;TEXT(H4484,"0"))</f>
        <v/>
      </c>
      <c r="AA4484" t="str">
        <f>IF(Z4484="","",IFERROR(LOOKUP(2,1/(#REF!=Z4484),#REF!),""))</f>
        <v/>
      </c>
      <c r="AB4484" t="str">
        <f>IF(Z4484="","",IFERROR(LOOKUP(2,1/(#REF!=Z4484),#REF!),""))</f>
        <v/>
      </c>
      <c r="AC4484" t="str">
        <f>IF(Z4484="","",COUNTIF(#REF!,Z4484))</f>
        <v/>
      </c>
      <c r="AD4484" t="str">
        <f>IF(A4484="","",IF(AC4484&gt;1,"REVISAR DUPLICADO",IF(AA4484&lt;&gt;"","ACTUALIZADO POR EYR","SIN REPORTE EYR")))</f>
        <v/>
      </c>
    </row>
    <row r="4485" spans="11:30" x14ac:dyDescent="0.3">
      <c r="K4485" s="1" t="str">
        <f ca="1">IF(A4485="","",IF(OR(L4485="ENTREGADA",L4485="RETORNADA",L4485="ENTREGA DIGITAL"),0,MAX(0,5-NETWORKDAYS(H4485+1,TODAY()))))</f>
        <v/>
      </c>
      <c r="L4485" t="str">
        <f>IF(A4485="","",IFERROR(LOOKUP(2,1/(#REF!=Z4485),#REF!),Y4485))</f>
        <v/>
      </c>
      <c r="Z4485" t="str">
        <f>IF(A4485="","",TEXT(A4485,"0")&amp;"|"&amp;TEXT(H4485,"0"))</f>
        <v/>
      </c>
      <c r="AA4485" t="str">
        <f>IF(Z4485="","",IFERROR(LOOKUP(2,1/(#REF!=Z4485),#REF!),""))</f>
        <v/>
      </c>
      <c r="AB4485" t="str">
        <f>IF(Z4485="","",IFERROR(LOOKUP(2,1/(#REF!=Z4485),#REF!),""))</f>
        <v/>
      </c>
      <c r="AC4485" t="str">
        <f>IF(Z4485="","",COUNTIF(#REF!,Z4485))</f>
        <v/>
      </c>
      <c r="AD4485" t="str">
        <f>IF(A4485="","",IF(AC4485&gt;1,"REVISAR DUPLICADO",IF(AA4485&lt;&gt;"","ACTUALIZADO POR EYR","SIN REPORTE EYR")))</f>
        <v/>
      </c>
    </row>
    <row r="4486" spans="11:30" x14ac:dyDescent="0.3">
      <c r="K4486" s="1" t="str">
        <f ca="1">IF(A4486="","",IF(OR(L4486="ENTREGADA",L4486="RETORNADA",L4486="ENTREGA DIGITAL"),0,MAX(0,5-NETWORKDAYS(H4486+1,TODAY()))))</f>
        <v/>
      </c>
      <c r="L4486" t="str">
        <f>IF(A4486="","",IFERROR(LOOKUP(2,1/(#REF!=Z4486),#REF!),Y4486))</f>
        <v/>
      </c>
      <c r="Z4486" t="str">
        <f>IF(A4486="","",TEXT(A4486,"0")&amp;"|"&amp;TEXT(H4486,"0"))</f>
        <v/>
      </c>
      <c r="AA4486" t="str">
        <f>IF(Z4486="","",IFERROR(LOOKUP(2,1/(#REF!=Z4486),#REF!),""))</f>
        <v/>
      </c>
      <c r="AB4486" t="str">
        <f>IF(Z4486="","",IFERROR(LOOKUP(2,1/(#REF!=Z4486),#REF!),""))</f>
        <v/>
      </c>
      <c r="AC4486" t="str">
        <f>IF(Z4486="","",COUNTIF(#REF!,Z4486))</f>
        <v/>
      </c>
      <c r="AD4486" t="str">
        <f>IF(A4486="","",IF(AC4486&gt;1,"REVISAR DUPLICADO",IF(AA4486&lt;&gt;"","ACTUALIZADO POR EYR","SIN REPORTE EYR")))</f>
        <v/>
      </c>
    </row>
    <row r="4487" spans="11:30" x14ac:dyDescent="0.3">
      <c r="K4487" s="1" t="str">
        <f ca="1">IF(A4487="","",IF(OR(L4487="ENTREGADA",L4487="RETORNADA",L4487="ENTREGA DIGITAL"),0,MAX(0,5-NETWORKDAYS(H4487+1,TODAY()))))</f>
        <v/>
      </c>
      <c r="L4487" t="str">
        <f>IF(A4487="","",IFERROR(LOOKUP(2,1/(#REF!=Z4487),#REF!),Y4487))</f>
        <v/>
      </c>
      <c r="Z4487" t="str">
        <f>IF(A4487="","",TEXT(A4487,"0")&amp;"|"&amp;TEXT(H4487,"0"))</f>
        <v/>
      </c>
      <c r="AA4487" t="str">
        <f>IF(Z4487="","",IFERROR(LOOKUP(2,1/(#REF!=Z4487),#REF!),""))</f>
        <v/>
      </c>
      <c r="AB4487" t="str">
        <f>IF(Z4487="","",IFERROR(LOOKUP(2,1/(#REF!=Z4487),#REF!),""))</f>
        <v/>
      </c>
      <c r="AC4487" t="str">
        <f>IF(Z4487="","",COUNTIF(#REF!,Z4487))</f>
        <v/>
      </c>
      <c r="AD4487" t="str">
        <f>IF(A4487="","",IF(AC4487&gt;1,"REVISAR DUPLICADO",IF(AA4487&lt;&gt;"","ACTUALIZADO POR EYR","SIN REPORTE EYR")))</f>
        <v/>
      </c>
    </row>
    <row r="4488" spans="11:30" x14ac:dyDescent="0.3">
      <c r="K4488" s="1" t="str">
        <f ca="1">IF(A4488="","",IF(OR(L4488="ENTREGADA",L4488="RETORNADA",L4488="ENTREGA DIGITAL"),0,MAX(0,5-NETWORKDAYS(H4488+1,TODAY()))))</f>
        <v/>
      </c>
      <c r="L4488" t="str">
        <f>IF(A4488="","",IFERROR(LOOKUP(2,1/(#REF!=Z4488),#REF!),Y4488))</f>
        <v/>
      </c>
      <c r="Z4488" t="str">
        <f>IF(A4488="","",TEXT(A4488,"0")&amp;"|"&amp;TEXT(H4488,"0"))</f>
        <v/>
      </c>
      <c r="AA4488" t="str">
        <f>IF(Z4488="","",IFERROR(LOOKUP(2,1/(#REF!=Z4488),#REF!),""))</f>
        <v/>
      </c>
      <c r="AB4488" t="str">
        <f>IF(Z4488="","",IFERROR(LOOKUP(2,1/(#REF!=Z4488),#REF!),""))</f>
        <v/>
      </c>
      <c r="AC4488" t="str">
        <f>IF(Z4488="","",COUNTIF(#REF!,Z4488))</f>
        <v/>
      </c>
      <c r="AD4488" t="str">
        <f>IF(A4488="","",IF(AC4488&gt;1,"REVISAR DUPLICADO",IF(AA4488&lt;&gt;"","ACTUALIZADO POR EYR","SIN REPORTE EYR")))</f>
        <v/>
      </c>
    </row>
    <row r="4489" spans="11:30" x14ac:dyDescent="0.3">
      <c r="K4489" s="1" t="str">
        <f ca="1">IF(A4489="","",IF(OR(L4489="ENTREGADA",L4489="RETORNADA",L4489="ENTREGA DIGITAL"),0,MAX(0,5-NETWORKDAYS(H4489+1,TODAY()))))</f>
        <v/>
      </c>
      <c r="L4489" t="str">
        <f>IF(A4489="","",IFERROR(LOOKUP(2,1/(#REF!=Z4489),#REF!),Y4489))</f>
        <v/>
      </c>
      <c r="Z4489" t="str">
        <f>IF(A4489="","",TEXT(A4489,"0")&amp;"|"&amp;TEXT(H4489,"0"))</f>
        <v/>
      </c>
      <c r="AA4489" t="str">
        <f>IF(Z4489="","",IFERROR(LOOKUP(2,1/(#REF!=Z4489),#REF!),""))</f>
        <v/>
      </c>
      <c r="AB4489" t="str">
        <f>IF(Z4489="","",IFERROR(LOOKUP(2,1/(#REF!=Z4489),#REF!),""))</f>
        <v/>
      </c>
      <c r="AC4489" t="str">
        <f>IF(Z4489="","",COUNTIF(#REF!,Z4489))</f>
        <v/>
      </c>
      <c r="AD4489" t="str">
        <f>IF(A4489="","",IF(AC4489&gt;1,"REVISAR DUPLICADO",IF(AA4489&lt;&gt;"","ACTUALIZADO POR EYR","SIN REPORTE EYR")))</f>
        <v/>
      </c>
    </row>
    <row r="4490" spans="11:30" x14ac:dyDescent="0.3">
      <c r="K4490" s="1" t="str">
        <f ca="1">IF(A4490="","",IF(OR(L4490="ENTREGADA",L4490="RETORNADA",L4490="ENTREGA DIGITAL"),0,MAX(0,5-NETWORKDAYS(H4490+1,TODAY()))))</f>
        <v/>
      </c>
      <c r="L4490" t="str">
        <f>IF(A4490="","",IFERROR(LOOKUP(2,1/(#REF!=Z4490),#REF!),Y4490))</f>
        <v/>
      </c>
      <c r="Z4490" t="str">
        <f>IF(A4490="","",TEXT(A4490,"0")&amp;"|"&amp;TEXT(H4490,"0"))</f>
        <v/>
      </c>
      <c r="AA4490" t="str">
        <f>IF(Z4490="","",IFERROR(LOOKUP(2,1/(#REF!=Z4490),#REF!),""))</f>
        <v/>
      </c>
      <c r="AB4490" t="str">
        <f>IF(Z4490="","",IFERROR(LOOKUP(2,1/(#REF!=Z4490),#REF!),""))</f>
        <v/>
      </c>
      <c r="AC4490" t="str">
        <f>IF(Z4490="","",COUNTIF(#REF!,Z4490))</f>
        <v/>
      </c>
      <c r="AD4490" t="str">
        <f>IF(A4490="","",IF(AC4490&gt;1,"REVISAR DUPLICADO",IF(AA4490&lt;&gt;"","ACTUALIZADO POR EYR","SIN REPORTE EYR")))</f>
        <v/>
      </c>
    </row>
    <row r="4491" spans="11:30" x14ac:dyDescent="0.3">
      <c r="K4491" s="1" t="str">
        <f ca="1">IF(A4491="","",IF(OR(L4491="ENTREGADA",L4491="RETORNADA",L4491="ENTREGA DIGITAL"),0,MAX(0,5-NETWORKDAYS(H4491+1,TODAY()))))</f>
        <v/>
      </c>
      <c r="L4491" t="str">
        <f>IF(A4491="","",IFERROR(LOOKUP(2,1/(#REF!=Z4491),#REF!),Y4491))</f>
        <v/>
      </c>
      <c r="Z4491" t="str">
        <f>IF(A4491="","",TEXT(A4491,"0")&amp;"|"&amp;TEXT(H4491,"0"))</f>
        <v/>
      </c>
      <c r="AA4491" t="str">
        <f>IF(Z4491="","",IFERROR(LOOKUP(2,1/(#REF!=Z4491),#REF!),""))</f>
        <v/>
      </c>
      <c r="AB4491" t="str">
        <f>IF(Z4491="","",IFERROR(LOOKUP(2,1/(#REF!=Z4491),#REF!),""))</f>
        <v/>
      </c>
      <c r="AC4491" t="str">
        <f>IF(Z4491="","",COUNTIF(#REF!,Z4491))</f>
        <v/>
      </c>
      <c r="AD4491" t="str">
        <f>IF(A4491="","",IF(AC4491&gt;1,"REVISAR DUPLICADO",IF(AA4491&lt;&gt;"","ACTUALIZADO POR EYR","SIN REPORTE EYR")))</f>
        <v/>
      </c>
    </row>
    <row r="4492" spans="11:30" x14ac:dyDescent="0.3">
      <c r="K4492" s="1" t="str">
        <f ca="1">IF(A4492="","",IF(OR(L4492="ENTREGADA",L4492="RETORNADA",L4492="ENTREGA DIGITAL"),0,MAX(0,5-NETWORKDAYS(H4492+1,TODAY()))))</f>
        <v/>
      </c>
      <c r="L4492" t="str">
        <f>IF(A4492="","",IFERROR(LOOKUP(2,1/(#REF!=Z4492),#REF!),Y4492))</f>
        <v/>
      </c>
      <c r="Z4492" t="str">
        <f>IF(A4492="","",TEXT(A4492,"0")&amp;"|"&amp;TEXT(H4492,"0"))</f>
        <v/>
      </c>
      <c r="AA4492" t="str">
        <f>IF(Z4492="","",IFERROR(LOOKUP(2,1/(#REF!=Z4492),#REF!),""))</f>
        <v/>
      </c>
      <c r="AB4492" t="str">
        <f>IF(Z4492="","",IFERROR(LOOKUP(2,1/(#REF!=Z4492),#REF!),""))</f>
        <v/>
      </c>
      <c r="AC4492" t="str">
        <f>IF(Z4492="","",COUNTIF(#REF!,Z4492))</f>
        <v/>
      </c>
      <c r="AD4492" t="str">
        <f>IF(A4492="","",IF(AC4492&gt;1,"REVISAR DUPLICADO",IF(AA4492&lt;&gt;"","ACTUALIZADO POR EYR","SIN REPORTE EYR")))</f>
        <v/>
      </c>
    </row>
    <row r="4493" spans="11:30" x14ac:dyDescent="0.3">
      <c r="K4493" s="1" t="str">
        <f ca="1">IF(A4493="","",IF(OR(L4493="ENTREGADA",L4493="RETORNADA",L4493="ENTREGA DIGITAL"),0,MAX(0,5-NETWORKDAYS(H4493+1,TODAY()))))</f>
        <v/>
      </c>
      <c r="L4493" t="str">
        <f>IF(A4493="","",IFERROR(LOOKUP(2,1/(#REF!=Z4493),#REF!),Y4493))</f>
        <v/>
      </c>
      <c r="Z4493" t="str">
        <f>IF(A4493="","",TEXT(A4493,"0")&amp;"|"&amp;TEXT(H4493,"0"))</f>
        <v/>
      </c>
      <c r="AA4493" t="str">
        <f>IF(Z4493="","",IFERROR(LOOKUP(2,1/(#REF!=Z4493),#REF!),""))</f>
        <v/>
      </c>
      <c r="AB4493" t="str">
        <f>IF(Z4493="","",IFERROR(LOOKUP(2,1/(#REF!=Z4493),#REF!),""))</f>
        <v/>
      </c>
      <c r="AC4493" t="str">
        <f>IF(Z4493="","",COUNTIF(#REF!,Z4493))</f>
        <v/>
      </c>
      <c r="AD4493" t="str">
        <f>IF(A4493="","",IF(AC4493&gt;1,"REVISAR DUPLICADO",IF(AA4493&lt;&gt;"","ACTUALIZADO POR EYR","SIN REPORTE EYR")))</f>
        <v/>
      </c>
    </row>
    <row r="4494" spans="11:30" x14ac:dyDescent="0.3">
      <c r="K4494" s="1" t="str">
        <f ca="1">IF(A4494="","",IF(OR(L4494="ENTREGADA",L4494="RETORNADA",L4494="ENTREGA DIGITAL"),0,MAX(0,5-NETWORKDAYS(H4494+1,TODAY()))))</f>
        <v/>
      </c>
      <c r="L4494" t="str">
        <f>IF(A4494="","",IFERROR(LOOKUP(2,1/(#REF!=Z4494),#REF!),Y4494))</f>
        <v/>
      </c>
      <c r="Z4494" t="str">
        <f>IF(A4494="","",TEXT(A4494,"0")&amp;"|"&amp;TEXT(H4494,"0"))</f>
        <v/>
      </c>
      <c r="AA4494" t="str">
        <f>IF(Z4494="","",IFERROR(LOOKUP(2,1/(#REF!=Z4494),#REF!),""))</f>
        <v/>
      </c>
      <c r="AB4494" t="str">
        <f>IF(Z4494="","",IFERROR(LOOKUP(2,1/(#REF!=Z4494),#REF!),""))</f>
        <v/>
      </c>
      <c r="AC4494" t="str">
        <f>IF(Z4494="","",COUNTIF(#REF!,Z4494))</f>
        <v/>
      </c>
      <c r="AD4494" t="str">
        <f>IF(A4494="","",IF(AC4494&gt;1,"REVISAR DUPLICADO",IF(AA4494&lt;&gt;"","ACTUALIZADO POR EYR","SIN REPORTE EYR")))</f>
        <v/>
      </c>
    </row>
    <row r="4495" spans="11:30" x14ac:dyDescent="0.3">
      <c r="K4495" s="1" t="str">
        <f ca="1">IF(A4495="","",IF(OR(L4495="ENTREGADA",L4495="RETORNADA",L4495="ENTREGA DIGITAL"),0,MAX(0,5-NETWORKDAYS(H4495+1,TODAY()))))</f>
        <v/>
      </c>
      <c r="L4495" t="str">
        <f>IF(A4495="","",IFERROR(LOOKUP(2,1/(#REF!=Z4495),#REF!),Y4495))</f>
        <v/>
      </c>
      <c r="Z4495" t="str">
        <f>IF(A4495="","",TEXT(A4495,"0")&amp;"|"&amp;TEXT(H4495,"0"))</f>
        <v/>
      </c>
      <c r="AA4495" t="str">
        <f>IF(Z4495="","",IFERROR(LOOKUP(2,1/(#REF!=Z4495),#REF!),""))</f>
        <v/>
      </c>
      <c r="AB4495" t="str">
        <f>IF(Z4495="","",IFERROR(LOOKUP(2,1/(#REF!=Z4495),#REF!),""))</f>
        <v/>
      </c>
      <c r="AC4495" t="str">
        <f>IF(Z4495="","",COUNTIF(#REF!,Z4495))</f>
        <v/>
      </c>
      <c r="AD4495" t="str">
        <f>IF(A4495="","",IF(AC4495&gt;1,"REVISAR DUPLICADO",IF(AA4495&lt;&gt;"","ACTUALIZADO POR EYR","SIN REPORTE EYR")))</f>
        <v/>
      </c>
    </row>
    <row r="4496" spans="11:30" x14ac:dyDescent="0.3">
      <c r="K4496" s="1" t="str">
        <f ca="1">IF(A4496="","",IF(OR(L4496="ENTREGADA",L4496="RETORNADA",L4496="ENTREGA DIGITAL"),0,MAX(0,5-NETWORKDAYS(H4496+1,TODAY()))))</f>
        <v/>
      </c>
      <c r="L4496" t="str">
        <f>IF(A4496="","",IFERROR(LOOKUP(2,1/(#REF!=Z4496),#REF!),Y4496))</f>
        <v/>
      </c>
      <c r="Z4496" t="str">
        <f>IF(A4496="","",TEXT(A4496,"0")&amp;"|"&amp;TEXT(H4496,"0"))</f>
        <v/>
      </c>
      <c r="AA4496" t="str">
        <f>IF(Z4496="","",IFERROR(LOOKUP(2,1/(#REF!=Z4496),#REF!),""))</f>
        <v/>
      </c>
      <c r="AB4496" t="str">
        <f>IF(Z4496="","",IFERROR(LOOKUP(2,1/(#REF!=Z4496),#REF!),""))</f>
        <v/>
      </c>
      <c r="AC4496" t="str">
        <f>IF(Z4496="","",COUNTIF(#REF!,Z4496))</f>
        <v/>
      </c>
      <c r="AD4496" t="str">
        <f>IF(A4496="","",IF(AC4496&gt;1,"REVISAR DUPLICADO",IF(AA4496&lt;&gt;"","ACTUALIZADO POR EYR","SIN REPORTE EYR")))</f>
        <v/>
      </c>
    </row>
    <row r="4497" spans="11:30" x14ac:dyDescent="0.3">
      <c r="K4497" s="1" t="str">
        <f ca="1">IF(A4497="","",IF(OR(L4497="ENTREGADA",L4497="RETORNADA",L4497="ENTREGA DIGITAL"),0,MAX(0,5-NETWORKDAYS(H4497+1,TODAY()))))</f>
        <v/>
      </c>
      <c r="L4497" t="str">
        <f>IF(A4497="","",IFERROR(LOOKUP(2,1/(#REF!=Z4497),#REF!),Y4497))</f>
        <v/>
      </c>
      <c r="Z4497" t="str">
        <f>IF(A4497="","",TEXT(A4497,"0")&amp;"|"&amp;TEXT(H4497,"0"))</f>
        <v/>
      </c>
      <c r="AA4497" t="str">
        <f>IF(Z4497="","",IFERROR(LOOKUP(2,1/(#REF!=Z4497),#REF!),""))</f>
        <v/>
      </c>
      <c r="AB4497" t="str">
        <f>IF(Z4497="","",IFERROR(LOOKUP(2,1/(#REF!=Z4497),#REF!),""))</f>
        <v/>
      </c>
      <c r="AC4497" t="str">
        <f>IF(Z4497="","",COUNTIF(#REF!,Z4497))</f>
        <v/>
      </c>
      <c r="AD4497" t="str">
        <f>IF(A4497="","",IF(AC4497&gt;1,"REVISAR DUPLICADO",IF(AA4497&lt;&gt;"","ACTUALIZADO POR EYR","SIN REPORTE EYR")))</f>
        <v/>
      </c>
    </row>
    <row r="4498" spans="11:30" x14ac:dyDescent="0.3">
      <c r="K4498" s="1" t="str">
        <f ca="1">IF(A4498="","",IF(OR(L4498="ENTREGADA",L4498="RETORNADA",L4498="ENTREGA DIGITAL"),0,MAX(0,5-NETWORKDAYS(H4498+1,TODAY()))))</f>
        <v/>
      </c>
      <c r="L4498" t="str">
        <f>IF(A4498="","",IFERROR(LOOKUP(2,1/(#REF!=Z4498),#REF!),Y4498))</f>
        <v/>
      </c>
      <c r="Z4498" t="str">
        <f>IF(A4498="","",TEXT(A4498,"0")&amp;"|"&amp;TEXT(H4498,"0"))</f>
        <v/>
      </c>
      <c r="AA4498" t="str">
        <f>IF(Z4498="","",IFERROR(LOOKUP(2,1/(#REF!=Z4498),#REF!),""))</f>
        <v/>
      </c>
      <c r="AB4498" t="str">
        <f>IF(Z4498="","",IFERROR(LOOKUP(2,1/(#REF!=Z4498),#REF!),""))</f>
        <v/>
      </c>
      <c r="AC4498" t="str">
        <f>IF(Z4498="","",COUNTIF(#REF!,Z4498))</f>
        <v/>
      </c>
      <c r="AD4498" t="str">
        <f>IF(A4498="","",IF(AC4498&gt;1,"REVISAR DUPLICADO",IF(AA4498&lt;&gt;"","ACTUALIZADO POR EYR","SIN REPORTE EYR")))</f>
        <v/>
      </c>
    </row>
    <row r="4499" spans="11:30" x14ac:dyDescent="0.3">
      <c r="K4499" s="1" t="str">
        <f ca="1">IF(A4499="","",IF(OR(L4499="ENTREGADA",L4499="RETORNADA",L4499="ENTREGA DIGITAL"),0,MAX(0,5-NETWORKDAYS(H4499+1,TODAY()))))</f>
        <v/>
      </c>
      <c r="L4499" t="str">
        <f>IF(A4499="","",IFERROR(LOOKUP(2,1/(#REF!=Z4499),#REF!),Y4499))</f>
        <v/>
      </c>
      <c r="Z4499" t="str">
        <f>IF(A4499="","",TEXT(A4499,"0")&amp;"|"&amp;TEXT(H4499,"0"))</f>
        <v/>
      </c>
      <c r="AA4499" t="str">
        <f>IF(Z4499="","",IFERROR(LOOKUP(2,1/(#REF!=Z4499),#REF!),""))</f>
        <v/>
      </c>
      <c r="AB4499" t="str">
        <f>IF(Z4499="","",IFERROR(LOOKUP(2,1/(#REF!=Z4499),#REF!),""))</f>
        <v/>
      </c>
      <c r="AC4499" t="str">
        <f>IF(Z4499="","",COUNTIF(#REF!,Z4499))</f>
        <v/>
      </c>
      <c r="AD4499" t="str">
        <f>IF(A4499="","",IF(AC4499&gt;1,"REVISAR DUPLICADO",IF(AA4499&lt;&gt;"","ACTUALIZADO POR EYR","SIN REPORTE EYR")))</f>
        <v/>
      </c>
    </row>
    <row r="4500" spans="11:30" x14ac:dyDescent="0.3">
      <c r="K4500" s="1" t="str">
        <f ca="1">IF(A4500="","",IF(OR(L4500="ENTREGADA",L4500="RETORNADA",L4500="ENTREGA DIGITAL"),0,MAX(0,5-NETWORKDAYS(H4500+1,TODAY()))))</f>
        <v/>
      </c>
      <c r="L4500" t="str">
        <f>IF(A4500="","",IFERROR(LOOKUP(2,1/(#REF!=Z4500),#REF!),Y4500))</f>
        <v/>
      </c>
      <c r="Z4500" t="str">
        <f>IF(A4500="","",TEXT(A4500,"0")&amp;"|"&amp;TEXT(H4500,"0"))</f>
        <v/>
      </c>
      <c r="AA4500" t="str">
        <f>IF(Z4500="","",IFERROR(LOOKUP(2,1/(#REF!=Z4500),#REF!),""))</f>
        <v/>
      </c>
      <c r="AB4500" t="str">
        <f>IF(Z4500="","",IFERROR(LOOKUP(2,1/(#REF!=Z4500),#REF!),""))</f>
        <v/>
      </c>
      <c r="AC4500" t="str">
        <f>IF(Z4500="","",COUNTIF(#REF!,Z4500))</f>
        <v/>
      </c>
      <c r="AD4500" t="str">
        <f>IF(A4500="","",IF(AC4500&gt;1,"REVISAR DUPLICADO",IF(AA4500&lt;&gt;"","ACTUALIZADO POR EYR","SIN REPORTE EYR")))</f>
        <v/>
      </c>
    </row>
    <row r="4501" spans="11:30" x14ac:dyDescent="0.3">
      <c r="K4501" s="1" t="str">
        <f ca="1">IF(A4501="","",IF(OR(L4501="ENTREGADA",L4501="RETORNADA",L4501="ENTREGA DIGITAL"),0,MAX(0,5-NETWORKDAYS(H4501+1,TODAY()))))</f>
        <v/>
      </c>
      <c r="L4501" t="str">
        <f>IF(A4501="","",IFERROR(LOOKUP(2,1/(#REF!=Z4501),#REF!),Y4501))</f>
        <v/>
      </c>
      <c r="Z4501" t="str">
        <f>IF(A4501="","",TEXT(A4501,"0")&amp;"|"&amp;TEXT(H4501,"0"))</f>
        <v/>
      </c>
      <c r="AA4501" t="str">
        <f>IF(Z4501="","",IFERROR(LOOKUP(2,1/(#REF!=Z4501),#REF!),""))</f>
        <v/>
      </c>
      <c r="AB4501" t="str">
        <f>IF(Z4501="","",IFERROR(LOOKUP(2,1/(#REF!=Z4501),#REF!),""))</f>
        <v/>
      </c>
      <c r="AC4501" t="str">
        <f>IF(Z4501="","",COUNTIF(#REF!,Z4501))</f>
        <v/>
      </c>
      <c r="AD4501" t="str">
        <f>IF(A4501="","",IF(AC4501&gt;1,"REVISAR DUPLICADO",IF(AA4501&lt;&gt;"","ACTUALIZADO POR EYR","SIN REPORTE EYR")))</f>
        <v/>
      </c>
    </row>
    <row r="4502" spans="11:30" x14ac:dyDescent="0.3">
      <c r="K4502" s="1" t="str">
        <f ca="1">IF(A4502="","",IF(OR(L4502="ENTREGADA",L4502="RETORNADA",L4502="ENTREGA DIGITAL"),0,MAX(0,5-NETWORKDAYS(H4502+1,TODAY()))))</f>
        <v/>
      </c>
      <c r="L4502" t="str">
        <f>IF(A4502="","",IFERROR(LOOKUP(2,1/(#REF!=Z4502),#REF!),Y4502))</f>
        <v/>
      </c>
      <c r="Z4502" t="str">
        <f>IF(A4502="","",TEXT(A4502,"0")&amp;"|"&amp;TEXT(H4502,"0"))</f>
        <v/>
      </c>
      <c r="AA4502" t="str">
        <f>IF(Z4502="","",IFERROR(LOOKUP(2,1/(#REF!=Z4502),#REF!),""))</f>
        <v/>
      </c>
      <c r="AB4502" t="str">
        <f>IF(Z4502="","",IFERROR(LOOKUP(2,1/(#REF!=Z4502),#REF!),""))</f>
        <v/>
      </c>
      <c r="AC4502" t="str">
        <f>IF(Z4502="","",COUNTIF(#REF!,Z4502))</f>
        <v/>
      </c>
      <c r="AD4502" t="str">
        <f>IF(A4502="","",IF(AC4502&gt;1,"REVISAR DUPLICADO",IF(AA4502&lt;&gt;"","ACTUALIZADO POR EYR","SIN REPORTE EYR")))</f>
        <v/>
      </c>
    </row>
    <row r="4503" spans="11:30" x14ac:dyDescent="0.3">
      <c r="K4503" s="1" t="str">
        <f ca="1">IF(A4503="","",IF(OR(L4503="ENTREGADA",L4503="RETORNADA",L4503="ENTREGA DIGITAL"),0,MAX(0,5-NETWORKDAYS(H4503+1,TODAY()))))</f>
        <v/>
      </c>
      <c r="L4503" t="str">
        <f>IF(A4503="","",IFERROR(LOOKUP(2,1/(#REF!=Z4503),#REF!),Y4503))</f>
        <v/>
      </c>
      <c r="Z4503" t="str">
        <f>IF(A4503="","",TEXT(A4503,"0")&amp;"|"&amp;TEXT(H4503,"0"))</f>
        <v/>
      </c>
      <c r="AA4503" t="str">
        <f>IF(Z4503="","",IFERROR(LOOKUP(2,1/(#REF!=Z4503),#REF!),""))</f>
        <v/>
      </c>
      <c r="AB4503" t="str">
        <f>IF(Z4503="","",IFERROR(LOOKUP(2,1/(#REF!=Z4503),#REF!),""))</f>
        <v/>
      </c>
      <c r="AC4503" t="str">
        <f>IF(Z4503="","",COUNTIF(#REF!,Z4503))</f>
        <v/>
      </c>
      <c r="AD4503" t="str">
        <f>IF(A4503="","",IF(AC4503&gt;1,"REVISAR DUPLICADO",IF(AA4503&lt;&gt;"","ACTUALIZADO POR EYR","SIN REPORTE EYR")))</f>
        <v/>
      </c>
    </row>
    <row r="4504" spans="11:30" x14ac:dyDescent="0.3">
      <c r="K4504" s="1" t="str">
        <f ca="1">IF(A4504="","",IF(OR(L4504="ENTREGADA",L4504="RETORNADA",L4504="ENTREGA DIGITAL"),0,MAX(0,5-NETWORKDAYS(H4504+1,TODAY()))))</f>
        <v/>
      </c>
      <c r="L4504" t="str">
        <f>IF(A4504="","",IFERROR(LOOKUP(2,1/(#REF!=Z4504),#REF!),Y4504))</f>
        <v/>
      </c>
      <c r="Z4504" t="str">
        <f>IF(A4504="","",TEXT(A4504,"0")&amp;"|"&amp;TEXT(H4504,"0"))</f>
        <v/>
      </c>
      <c r="AA4504" t="str">
        <f>IF(Z4504="","",IFERROR(LOOKUP(2,1/(#REF!=Z4504),#REF!),""))</f>
        <v/>
      </c>
      <c r="AB4504" t="str">
        <f>IF(Z4504="","",IFERROR(LOOKUP(2,1/(#REF!=Z4504),#REF!),""))</f>
        <v/>
      </c>
      <c r="AC4504" t="str">
        <f>IF(Z4504="","",COUNTIF(#REF!,Z4504))</f>
        <v/>
      </c>
      <c r="AD4504" t="str">
        <f>IF(A4504="","",IF(AC4504&gt;1,"REVISAR DUPLICADO",IF(AA4504&lt;&gt;"","ACTUALIZADO POR EYR","SIN REPORTE EYR")))</f>
        <v/>
      </c>
    </row>
    <row r="4505" spans="11:30" x14ac:dyDescent="0.3">
      <c r="K4505" s="1" t="str">
        <f ca="1">IF(A4505="","",IF(OR(L4505="ENTREGADA",L4505="RETORNADA",L4505="ENTREGA DIGITAL"),0,MAX(0,5-NETWORKDAYS(H4505+1,TODAY()))))</f>
        <v/>
      </c>
      <c r="L4505" t="str">
        <f>IF(A4505="","",IFERROR(LOOKUP(2,1/(#REF!=Z4505),#REF!),Y4505))</f>
        <v/>
      </c>
      <c r="Z4505" t="str">
        <f>IF(A4505="","",TEXT(A4505,"0")&amp;"|"&amp;TEXT(H4505,"0"))</f>
        <v/>
      </c>
      <c r="AA4505" t="str">
        <f>IF(Z4505="","",IFERROR(LOOKUP(2,1/(#REF!=Z4505),#REF!),""))</f>
        <v/>
      </c>
      <c r="AB4505" t="str">
        <f>IF(Z4505="","",IFERROR(LOOKUP(2,1/(#REF!=Z4505),#REF!),""))</f>
        <v/>
      </c>
      <c r="AC4505" t="str">
        <f>IF(Z4505="","",COUNTIF(#REF!,Z4505))</f>
        <v/>
      </c>
      <c r="AD4505" t="str">
        <f>IF(A4505="","",IF(AC4505&gt;1,"REVISAR DUPLICADO",IF(AA4505&lt;&gt;"","ACTUALIZADO POR EYR","SIN REPORTE EYR")))</f>
        <v/>
      </c>
    </row>
    <row r="4506" spans="11:30" x14ac:dyDescent="0.3">
      <c r="K4506" s="1" t="str">
        <f ca="1">IF(A4506="","",IF(OR(L4506="ENTREGADA",L4506="RETORNADA",L4506="ENTREGA DIGITAL"),0,MAX(0,5-NETWORKDAYS(H4506+1,TODAY()))))</f>
        <v/>
      </c>
      <c r="L4506" t="str">
        <f>IF(A4506="","",IFERROR(LOOKUP(2,1/(#REF!=Z4506),#REF!),Y4506))</f>
        <v/>
      </c>
      <c r="Z4506" t="str">
        <f>IF(A4506="","",TEXT(A4506,"0")&amp;"|"&amp;TEXT(H4506,"0"))</f>
        <v/>
      </c>
      <c r="AA4506" t="str">
        <f>IF(Z4506="","",IFERROR(LOOKUP(2,1/(#REF!=Z4506),#REF!),""))</f>
        <v/>
      </c>
      <c r="AB4506" t="str">
        <f>IF(Z4506="","",IFERROR(LOOKUP(2,1/(#REF!=Z4506),#REF!),""))</f>
        <v/>
      </c>
      <c r="AC4506" t="str">
        <f>IF(Z4506="","",COUNTIF(#REF!,Z4506))</f>
        <v/>
      </c>
      <c r="AD4506" t="str">
        <f>IF(A4506="","",IF(AC4506&gt;1,"REVISAR DUPLICADO",IF(AA4506&lt;&gt;"","ACTUALIZADO POR EYR","SIN REPORTE EYR")))</f>
        <v/>
      </c>
    </row>
    <row r="4507" spans="11:30" x14ac:dyDescent="0.3">
      <c r="K4507" s="1" t="str">
        <f ca="1">IF(A4507="","",IF(OR(L4507="ENTREGADA",L4507="RETORNADA",L4507="ENTREGA DIGITAL"),0,MAX(0,5-NETWORKDAYS(H4507+1,TODAY()))))</f>
        <v/>
      </c>
      <c r="L4507" t="str">
        <f>IF(A4507="","",IFERROR(LOOKUP(2,1/(#REF!=Z4507),#REF!),Y4507))</f>
        <v/>
      </c>
      <c r="Z4507" t="str">
        <f>IF(A4507="","",TEXT(A4507,"0")&amp;"|"&amp;TEXT(H4507,"0"))</f>
        <v/>
      </c>
      <c r="AA4507" t="str">
        <f>IF(Z4507="","",IFERROR(LOOKUP(2,1/(#REF!=Z4507),#REF!),""))</f>
        <v/>
      </c>
      <c r="AB4507" t="str">
        <f>IF(Z4507="","",IFERROR(LOOKUP(2,1/(#REF!=Z4507),#REF!),""))</f>
        <v/>
      </c>
      <c r="AC4507" t="str">
        <f>IF(Z4507="","",COUNTIF(#REF!,Z4507))</f>
        <v/>
      </c>
      <c r="AD4507" t="str">
        <f>IF(A4507="","",IF(AC4507&gt;1,"REVISAR DUPLICADO",IF(AA4507&lt;&gt;"","ACTUALIZADO POR EYR","SIN REPORTE EYR")))</f>
        <v/>
      </c>
    </row>
    <row r="4508" spans="11:30" x14ac:dyDescent="0.3">
      <c r="K4508" s="1" t="str">
        <f ca="1">IF(A4508="","",IF(OR(L4508="ENTREGADA",L4508="RETORNADA",L4508="ENTREGA DIGITAL"),0,MAX(0,5-NETWORKDAYS(H4508+1,TODAY()))))</f>
        <v/>
      </c>
      <c r="L4508" t="str">
        <f>IF(A4508="","",IFERROR(LOOKUP(2,1/(#REF!=Z4508),#REF!),Y4508))</f>
        <v/>
      </c>
      <c r="Z4508" t="str">
        <f>IF(A4508="","",TEXT(A4508,"0")&amp;"|"&amp;TEXT(H4508,"0"))</f>
        <v/>
      </c>
      <c r="AA4508" t="str">
        <f>IF(Z4508="","",IFERROR(LOOKUP(2,1/(#REF!=Z4508),#REF!),""))</f>
        <v/>
      </c>
      <c r="AB4508" t="str">
        <f>IF(Z4508="","",IFERROR(LOOKUP(2,1/(#REF!=Z4508),#REF!),""))</f>
        <v/>
      </c>
      <c r="AC4508" t="str">
        <f>IF(Z4508="","",COUNTIF(#REF!,Z4508))</f>
        <v/>
      </c>
      <c r="AD4508" t="str">
        <f>IF(A4508="","",IF(AC4508&gt;1,"REVISAR DUPLICADO",IF(AA4508&lt;&gt;"","ACTUALIZADO POR EYR","SIN REPORTE EYR")))</f>
        <v/>
      </c>
    </row>
    <row r="4509" spans="11:30" x14ac:dyDescent="0.3">
      <c r="K4509" s="1" t="str">
        <f ca="1">IF(A4509="","",IF(OR(L4509="ENTREGADA",L4509="RETORNADA",L4509="ENTREGA DIGITAL"),0,MAX(0,5-NETWORKDAYS(H4509+1,TODAY()))))</f>
        <v/>
      </c>
      <c r="L4509" t="str">
        <f>IF(A4509="","",IFERROR(LOOKUP(2,1/(#REF!=Z4509),#REF!),Y4509))</f>
        <v/>
      </c>
      <c r="Z4509" t="str">
        <f>IF(A4509="","",TEXT(A4509,"0")&amp;"|"&amp;TEXT(H4509,"0"))</f>
        <v/>
      </c>
      <c r="AA4509" t="str">
        <f>IF(Z4509="","",IFERROR(LOOKUP(2,1/(#REF!=Z4509),#REF!),""))</f>
        <v/>
      </c>
      <c r="AB4509" t="str">
        <f>IF(Z4509="","",IFERROR(LOOKUP(2,1/(#REF!=Z4509),#REF!),""))</f>
        <v/>
      </c>
      <c r="AC4509" t="str">
        <f>IF(Z4509="","",COUNTIF(#REF!,Z4509))</f>
        <v/>
      </c>
      <c r="AD4509" t="str">
        <f>IF(A4509="","",IF(AC4509&gt;1,"REVISAR DUPLICADO",IF(AA4509&lt;&gt;"","ACTUALIZADO POR EYR","SIN REPORTE EYR")))</f>
        <v/>
      </c>
    </row>
    <row r="4510" spans="11:30" x14ac:dyDescent="0.3">
      <c r="K4510" s="1" t="str">
        <f ca="1">IF(A4510="","",IF(OR(L4510="ENTREGADA",L4510="RETORNADA",L4510="ENTREGA DIGITAL"),0,MAX(0,5-NETWORKDAYS(H4510+1,TODAY()))))</f>
        <v/>
      </c>
      <c r="L4510" t="str">
        <f>IF(A4510="","",IFERROR(LOOKUP(2,1/(#REF!=Z4510),#REF!),Y4510))</f>
        <v/>
      </c>
      <c r="Z4510" t="str">
        <f>IF(A4510="","",TEXT(A4510,"0")&amp;"|"&amp;TEXT(H4510,"0"))</f>
        <v/>
      </c>
      <c r="AA4510" t="str">
        <f>IF(Z4510="","",IFERROR(LOOKUP(2,1/(#REF!=Z4510),#REF!),""))</f>
        <v/>
      </c>
      <c r="AB4510" t="str">
        <f>IF(Z4510="","",IFERROR(LOOKUP(2,1/(#REF!=Z4510),#REF!),""))</f>
        <v/>
      </c>
      <c r="AC4510" t="str">
        <f>IF(Z4510="","",COUNTIF(#REF!,Z4510))</f>
        <v/>
      </c>
      <c r="AD4510" t="str">
        <f>IF(A4510="","",IF(AC4510&gt;1,"REVISAR DUPLICADO",IF(AA4510&lt;&gt;"","ACTUALIZADO POR EYR","SIN REPORTE EYR")))</f>
        <v/>
      </c>
    </row>
    <row r="4511" spans="11:30" x14ac:dyDescent="0.3">
      <c r="K4511" s="1" t="str">
        <f ca="1">IF(A4511="","",IF(OR(L4511="ENTREGADA",L4511="RETORNADA",L4511="ENTREGA DIGITAL"),0,MAX(0,5-NETWORKDAYS(H4511+1,TODAY()))))</f>
        <v/>
      </c>
      <c r="L4511" t="str">
        <f>IF(A4511="","",IFERROR(LOOKUP(2,1/(#REF!=Z4511),#REF!),Y4511))</f>
        <v/>
      </c>
      <c r="Z4511" t="str">
        <f>IF(A4511="","",TEXT(A4511,"0")&amp;"|"&amp;TEXT(H4511,"0"))</f>
        <v/>
      </c>
      <c r="AA4511" t="str">
        <f>IF(Z4511="","",IFERROR(LOOKUP(2,1/(#REF!=Z4511),#REF!),""))</f>
        <v/>
      </c>
      <c r="AB4511" t="str">
        <f>IF(Z4511="","",IFERROR(LOOKUP(2,1/(#REF!=Z4511),#REF!),""))</f>
        <v/>
      </c>
      <c r="AC4511" t="str">
        <f>IF(Z4511="","",COUNTIF(#REF!,Z4511))</f>
        <v/>
      </c>
      <c r="AD4511" t="str">
        <f>IF(A4511="","",IF(AC4511&gt;1,"REVISAR DUPLICADO",IF(AA4511&lt;&gt;"","ACTUALIZADO POR EYR","SIN REPORTE EYR")))</f>
        <v/>
      </c>
    </row>
    <row r="4512" spans="11:30" x14ac:dyDescent="0.3">
      <c r="K4512" s="1" t="str">
        <f ca="1">IF(A4512="","",IF(OR(L4512="ENTREGADA",L4512="RETORNADA",L4512="ENTREGA DIGITAL"),0,MAX(0,5-NETWORKDAYS(H4512+1,TODAY()))))</f>
        <v/>
      </c>
      <c r="L4512" t="str">
        <f>IF(A4512="","",IFERROR(LOOKUP(2,1/(#REF!=Z4512),#REF!),Y4512))</f>
        <v/>
      </c>
      <c r="Z4512" t="str">
        <f>IF(A4512="","",TEXT(A4512,"0")&amp;"|"&amp;TEXT(H4512,"0"))</f>
        <v/>
      </c>
      <c r="AA4512" t="str">
        <f>IF(Z4512="","",IFERROR(LOOKUP(2,1/(#REF!=Z4512),#REF!),""))</f>
        <v/>
      </c>
      <c r="AB4512" t="str">
        <f>IF(Z4512="","",IFERROR(LOOKUP(2,1/(#REF!=Z4512),#REF!),""))</f>
        <v/>
      </c>
      <c r="AC4512" t="str">
        <f>IF(Z4512="","",COUNTIF(#REF!,Z4512))</f>
        <v/>
      </c>
      <c r="AD4512" t="str">
        <f>IF(A4512="","",IF(AC4512&gt;1,"REVISAR DUPLICADO",IF(AA4512&lt;&gt;"","ACTUALIZADO POR EYR","SIN REPORTE EYR")))</f>
        <v/>
      </c>
    </row>
    <row r="4513" spans="11:30" x14ac:dyDescent="0.3">
      <c r="K4513" s="1" t="str">
        <f ca="1">IF(A4513="","",IF(OR(L4513="ENTREGADA",L4513="RETORNADA",L4513="ENTREGA DIGITAL"),0,MAX(0,5-NETWORKDAYS(H4513+1,TODAY()))))</f>
        <v/>
      </c>
      <c r="L4513" t="str">
        <f>IF(A4513="","",IFERROR(LOOKUP(2,1/(#REF!=Z4513),#REF!),Y4513))</f>
        <v/>
      </c>
      <c r="Z4513" t="str">
        <f>IF(A4513="","",TEXT(A4513,"0")&amp;"|"&amp;TEXT(H4513,"0"))</f>
        <v/>
      </c>
      <c r="AA4513" t="str">
        <f>IF(Z4513="","",IFERROR(LOOKUP(2,1/(#REF!=Z4513),#REF!),""))</f>
        <v/>
      </c>
      <c r="AB4513" t="str">
        <f>IF(Z4513="","",IFERROR(LOOKUP(2,1/(#REF!=Z4513),#REF!),""))</f>
        <v/>
      </c>
      <c r="AC4513" t="str">
        <f>IF(Z4513="","",COUNTIF(#REF!,Z4513))</f>
        <v/>
      </c>
      <c r="AD4513" t="str">
        <f>IF(A4513="","",IF(AC4513&gt;1,"REVISAR DUPLICADO",IF(AA4513&lt;&gt;"","ACTUALIZADO POR EYR","SIN REPORTE EYR")))</f>
        <v/>
      </c>
    </row>
    <row r="4514" spans="11:30" x14ac:dyDescent="0.3">
      <c r="K4514" s="1" t="str">
        <f ca="1">IF(A4514="","",IF(OR(L4514="ENTREGADA",L4514="RETORNADA",L4514="ENTREGA DIGITAL"),0,MAX(0,5-NETWORKDAYS(H4514+1,TODAY()))))</f>
        <v/>
      </c>
      <c r="L4514" t="str">
        <f>IF(A4514="","",IFERROR(LOOKUP(2,1/(#REF!=Z4514),#REF!),Y4514))</f>
        <v/>
      </c>
      <c r="Z4514" t="str">
        <f>IF(A4514="","",TEXT(A4514,"0")&amp;"|"&amp;TEXT(H4514,"0"))</f>
        <v/>
      </c>
      <c r="AA4514" t="str">
        <f>IF(Z4514="","",IFERROR(LOOKUP(2,1/(#REF!=Z4514),#REF!),""))</f>
        <v/>
      </c>
      <c r="AB4514" t="str">
        <f>IF(Z4514="","",IFERROR(LOOKUP(2,1/(#REF!=Z4514),#REF!),""))</f>
        <v/>
      </c>
      <c r="AC4514" t="str">
        <f>IF(Z4514="","",COUNTIF(#REF!,Z4514))</f>
        <v/>
      </c>
      <c r="AD4514" t="str">
        <f>IF(A4514="","",IF(AC4514&gt;1,"REVISAR DUPLICADO",IF(AA4514&lt;&gt;"","ACTUALIZADO POR EYR","SIN REPORTE EYR")))</f>
        <v/>
      </c>
    </row>
    <row r="4515" spans="11:30" x14ac:dyDescent="0.3">
      <c r="K4515" s="1" t="str">
        <f ca="1">IF(A4515="","",IF(OR(L4515="ENTREGADA",L4515="RETORNADA",L4515="ENTREGA DIGITAL"),0,MAX(0,5-NETWORKDAYS(H4515+1,TODAY()))))</f>
        <v/>
      </c>
      <c r="L4515" t="str">
        <f>IF(A4515="","",IFERROR(LOOKUP(2,1/(#REF!=Z4515),#REF!),Y4515))</f>
        <v/>
      </c>
      <c r="Z4515" t="str">
        <f>IF(A4515="","",TEXT(A4515,"0")&amp;"|"&amp;TEXT(H4515,"0"))</f>
        <v/>
      </c>
      <c r="AA4515" t="str">
        <f>IF(Z4515="","",IFERROR(LOOKUP(2,1/(#REF!=Z4515),#REF!),""))</f>
        <v/>
      </c>
      <c r="AB4515" t="str">
        <f>IF(Z4515="","",IFERROR(LOOKUP(2,1/(#REF!=Z4515),#REF!),""))</f>
        <v/>
      </c>
      <c r="AC4515" t="str">
        <f>IF(Z4515="","",COUNTIF(#REF!,Z4515))</f>
        <v/>
      </c>
      <c r="AD4515" t="str">
        <f>IF(A4515="","",IF(AC4515&gt;1,"REVISAR DUPLICADO",IF(AA4515&lt;&gt;"","ACTUALIZADO POR EYR","SIN REPORTE EYR")))</f>
        <v/>
      </c>
    </row>
    <row r="4516" spans="11:30" x14ac:dyDescent="0.3">
      <c r="K4516" s="1" t="str">
        <f ca="1">IF(A4516="","",IF(OR(L4516="ENTREGADA",L4516="RETORNADA",L4516="ENTREGA DIGITAL"),0,MAX(0,5-NETWORKDAYS(H4516+1,TODAY()))))</f>
        <v/>
      </c>
      <c r="L4516" t="str">
        <f>IF(A4516="","",IFERROR(LOOKUP(2,1/(#REF!=Z4516),#REF!),Y4516))</f>
        <v/>
      </c>
      <c r="Z4516" t="str">
        <f>IF(A4516="","",TEXT(A4516,"0")&amp;"|"&amp;TEXT(H4516,"0"))</f>
        <v/>
      </c>
      <c r="AA4516" t="str">
        <f>IF(Z4516="","",IFERROR(LOOKUP(2,1/(#REF!=Z4516),#REF!),""))</f>
        <v/>
      </c>
      <c r="AB4516" t="str">
        <f>IF(Z4516="","",IFERROR(LOOKUP(2,1/(#REF!=Z4516),#REF!),""))</f>
        <v/>
      </c>
      <c r="AC4516" t="str">
        <f>IF(Z4516="","",COUNTIF(#REF!,Z4516))</f>
        <v/>
      </c>
      <c r="AD4516" t="str">
        <f>IF(A4516="","",IF(AC4516&gt;1,"REVISAR DUPLICADO",IF(AA4516&lt;&gt;"","ACTUALIZADO POR EYR","SIN REPORTE EYR")))</f>
        <v/>
      </c>
    </row>
    <row r="4517" spans="11:30" x14ac:dyDescent="0.3">
      <c r="K4517" s="1" t="str">
        <f ca="1">IF(A4517="","",IF(OR(L4517="ENTREGADA",L4517="RETORNADA",L4517="ENTREGA DIGITAL"),0,MAX(0,5-NETWORKDAYS(H4517+1,TODAY()))))</f>
        <v/>
      </c>
      <c r="L4517" t="str">
        <f>IF(A4517="","",IFERROR(LOOKUP(2,1/(#REF!=Z4517),#REF!),Y4517))</f>
        <v/>
      </c>
      <c r="Z4517" t="str">
        <f>IF(A4517="","",TEXT(A4517,"0")&amp;"|"&amp;TEXT(H4517,"0"))</f>
        <v/>
      </c>
      <c r="AA4517" t="str">
        <f>IF(Z4517="","",IFERROR(LOOKUP(2,1/(#REF!=Z4517),#REF!),""))</f>
        <v/>
      </c>
      <c r="AB4517" t="str">
        <f>IF(Z4517="","",IFERROR(LOOKUP(2,1/(#REF!=Z4517),#REF!),""))</f>
        <v/>
      </c>
      <c r="AC4517" t="str">
        <f>IF(Z4517="","",COUNTIF(#REF!,Z4517))</f>
        <v/>
      </c>
      <c r="AD4517" t="str">
        <f>IF(A4517="","",IF(AC4517&gt;1,"REVISAR DUPLICADO",IF(AA4517&lt;&gt;"","ACTUALIZADO POR EYR","SIN REPORTE EYR")))</f>
        <v/>
      </c>
    </row>
    <row r="4518" spans="11:30" x14ac:dyDescent="0.3">
      <c r="K4518" s="1" t="str">
        <f ca="1">IF(A4518="","",IF(OR(L4518="ENTREGADA",L4518="RETORNADA",L4518="ENTREGA DIGITAL"),0,MAX(0,5-NETWORKDAYS(H4518+1,TODAY()))))</f>
        <v/>
      </c>
      <c r="L4518" t="str">
        <f>IF(A4518="","",IFERROR(LOOKUP(2,1/(#REF!=Z4518),#REF!),Y4518))</f>
        <v/>
      </c>
      <c r="Z4518" t="str">
        <f>IF(A4518="","",TEXT(A4518,"0")&amp;"|"&amp;TEXT(H4518,"0"))</f>
        <v/>
      </c>
      <c r="AA4518" t="str">
        <f>IF(Z4518="","",IFERROR(LOOKUP(2,1/(#REF!=Z4518),#REF!),""))</f>
        <v/>
      </c>
      <c r="AB4518" t="str">
        <f>IF(Z4518="","",IFERROR(LOOKUP(2,1/(#REF!=Z4518),#REF!),""))</f>
        <v/>
      </c>
      <c r="AC4518" t="str">
        <f>IF(Z4518="","",COUNTIF(#REF!,Z4518))</f>
        <v/>
      </c>
      <c r="AD4518" t="str">
        <f>IF(A4518="","",IF(AC4518&gt;1,"REVISAR DUPLICADO",IF(AA4518&lt;&gt;"","ACTUALIZADO POR EYR","SIN REPORTE EYR")))</f>
        <v/>
      </c>
    </row>
    <row r="4519" spans="11:30" x14ac:dyDescent="0.3">
      <c r="K4519" s="1" t="str">
        <f ca="1">IF(A4519="","",IF(OR(L4519="ENTREGADA",L4519="RETORNADA",L4519="ENTREGA DIGITAL"),0,MAX(0,5-NETWORKDAYS(H4519+1,TODAY()))))</f>
        <v/>
      </c>
      <c r="L4519" t="str">
        <f>IF(A4519="","",IFERROR(LOOKUP(2,1/(#REF!=Z4519),#REF!),Y4519))</f>
        <v/>
      </c>
      <c r="Z4519" t="str">
        <f>IF(A4519="","",TEXT(A4519,"0")&amp;"|"&amp;TEXT(H4519,"0"))</f>
        <v/>
      </c>
      <c r="AA4519" t="str">
        <f>IF(Z4519="","",IFERROR(LOOKUP(2,1/(#REF!=Z4519),#REF!),""))</f>
        <v/>
      </c>
      <c r="AB4519" t="str">
        <f>IF(Z4519="","",IFERROR(LOOKUP(2,1/(#REF!=Z4519),#REF!),""))</f>
        <v/>
      </c>
      <c r="AC4519" t="str">
        <f>IF(Z4519="","",COUNTIF(#REF!,Z4519))</f>
        <v/>
      </c>
      <c r="AD4519" t="str">
        <f>IF(A4519="","",IF(AC4519&gt;1,"REVISAR DUPLICADO",IF(AA4519&lt;&gt;"","ACTUALIZADO POR EYR","SIN REPORTE EYR")))</f>
        <v/>
      </c>
    </row>
    <row r="4520" spans="11:30" x14ac:dyDescent="0.3">
      <c r="K4520" s="1" t="str">
        <f ca="1">IF(A4520="","",IF(OR(L4520="ENTREGADA",L4520="RETORNADA",L4520="ENTREGA DIGITAL"),0,MAX(0,5-NETWORKDAYS(H4520+1,TODAY()))))</f>
        <v/>
      </c>
      <c r="L4520" t="str">
        <f>IF(A4520="","",IFERROR(LOOKUP(2,1/(#REF!=Z4520),#REF!),Y4520))</f>
        <v/>
      </c>
      <c r="Z4520" t="str">
        <f>IF(A4520="","",TEXT(A4520,"0")&amp;"|"&amp;TEXT(H4520,"0"))</f>
        <v/>
      </c>
      <c r="AA4520" t="str">
        <f>IF(Z4520="","",IFERROR(LOOKUP(2,1/(#REF!=Z4520),#REF!),""))</f>
        <v/>
      </c>
      <c r="AB4520" t="str">
        <f>IF(Z4520="","",IFERROR(LOOKUP(2,1/(#REF!=Z4520),#REF!),""))</f>
        <v/>
      </c>
      <c r="AC4520" t="str">
        <f>IF(Z4520="","",COUNTIF(#REF!,Z4520))</f>
        <v/>
      </c>
      <c r="AD4520" t="str">
        <f>IF(A4520="","",IF(AC4520&gt;1,"REVISAR DUPLICADO",IF(AA4520&lt;&gt;"","ACTUALIZADO POR EYR","SIN REPORTE EYR")))</f>
        <v/>
      </c>
    </row>
    <row r="4521" spans="11:30" x14ac:dyDescent="0.3">
      <c r="K4521" s="1" t="str">
        <f ca="1">IF(A4521="","",IF(OR(L4521="ENTREGADA",L4521="RETORNADA",L4521="ENTREGA DIGITAL"),0,MAX(0,5-NETWORKDAYS(H4521+1,TODAY()))))</f>
        <v/>
      </c>
      <c r="L4521" t="str">
        <f>IF(A4521="","",IFERROR(LOOKUP(2,1/(#REF!=Z4521),#REF!),Y4521))</f>
        <v/>
      </c>
      <c r="Z4521" t="str">
        <f>IF(A4521="","",TEXT(A4521,"0")&amp;"|"&amp;TEXT(H4521,"0"))</f>
        <v/>
      </c>
      <c r="AA4521" t="str">
        <f>IF(Z4521="","",IFERROR(LOOKUP(2,1/(#REF!=Z4521),#REF!),""))</f>
        <v/>
      </c>
      <c r="AB4521" t="str">
        <f>IF(Z4521="","",IFERROR(LOOKUP(2,1/(#REF!=Z4521),#REF!),""))</f>
        <v/>
      </c>
      <c r="AC4521" t="str">
        <f>IF(Z4521="","",COUNTIF(#REF!,Z4521))</f>
        <v/>
      </c>
      <c r="AD4521" t="str">
        <f>IF(A4521="","",IF(AC4521&gt;1,"REVISAR DUPLICADO",IF(AA4521&lt;&gt;"","ACTUALIZADO POR EYR","SIN REPORTE EYR")))</f>
        <v/>
      </c>
    </row>
    <row r="4522" spans="11:30" x14ac:dyDescent="0.3">
      <c r="K4522" s="1" t="str">
        <f ca="1">IF(A4522="","",IF(OR(L4522="ENTREGADA",L4522="RETORNADA",L4522="ENTREGA DIGITAL"),0,MAX(0,5-NETWORKDAYS(H4522+1,TODAY()))))</f>
        <v/>
      </c>
      <c r="L4522" t="str">
        <f>IF(A4522="","",IFERROR(LOOKUP(2,1/(#REF!=Z4522),#REF!),Y4522))</f>
        <v/>
      </c>
      <c r="Z4522" t="str">
        <f>IF(A4522="","",TEXT(A4522,"0")&amp;"|"&amp;TEXT(H4522,"0"))</f>
        <v/>
      </c>
      <c r="AA4522" t="str">
        <f>IF(Z4522="","",IFERROR(LOOKUP(2,1/(#REF!=Z4522),#REF!),""))</f>
        <v/>
      </c>
      <c r="AB4522" t="str">
        <f>IF(Z4522="","",IFERROR(LOOKUP(2,1/(#REF!=Z4522),#REF!),""))</f>
        <v/>
      </c>
      <c r="AC4522" t="str">
        <f>IF(Z4522="","",COUNTIF(#REF!,Z4522))</f>
        <v/>
      </c>
      <c r="AD4522" t="str">
        <f>IF(A4522="","",IF(AC4522&gt;1,"REVISAR DUPLICADO",IF(AA4522&lt;&gt;"","ACTUALIZADO POR EYR","SIN REPORTE EYR")))</f>
        <v/>
      </c>
    </row>
    <row r="4523" spans="11:30" x14ac:dyDescent="0.3">
      <c r="K4523" s="1" t="str">
        <f ca="1">IF(A4523="","",IF(OR(L4523="ENTREGADA",L4523="RETORNADA",L4523="ENTREGA DIGITAL"),0,MAX(0,5-NETWORKDAYS(H4523+1,TODAY()))))</f>
        <v/>
      </c>
      <c r="L4523" t="str">
        <f>IF(A4523="","",IFERROR(LOOKUP(2,1/(#REF!=Z4523),#REF!),Y4523))</f>
        <v/>
      </c>
      <c r="Z4523" t="str">
        <f>IF(A4523="","",TEXT(A4523,"0")&amp;"|"&amp;TEXT(H4523,"0"))</f>
        <v/>
      </c>
      <c r="AA4523" t="str">
        <f>IF(Z4523="","",IFERROR(LOOKUP(2,1/(#REF!=Z4523),#REF!),""))</f>
        <v/>
      </c>
      <c r="AB4523" t="str">
        <f>IF(Z4523="","",IFERROR(LOOKUP(2,1/(#REF!=Z4523),#REF!),""))</f>
        <v/>
      </c>
      <c r="AC4523" t="str">
        <f>IF(Z4523="","",COUNTIF(#REF!,Z4523))</f>
        <v/>
      </c>
      <c r="AD4523" t="str">
        <f>IF(A4523="","",IF(AC4523&gt;1,"REVISAR DUPLICADO",IF(AA4523&lt;&gt;"","ACTUALIZADO POR EYR","SIN REPORTE EYR")))</f>
        <v/>
      </c>
    </row>
    <row r="4524" spans="11:30" x14ac:dyDescent="0.3">
      <c r="K4524" s="1" t="str">
        <f ca="1">IF(A4524="","",IF(OR(L4524="ENTREGADA",L4524="RETORNADA",L4524="ENTREGA DIGITAL"),0,MAX(0,5-NETWORKDAYS(H4524+1,TODAY()))))</f>
        <v/>
      </c>
      <c r="L4524" t="str">
        <f>IF(A4524="","",IFERROR(LOOKUP(2,1/(#REF!=Z4524),#REF!),Y4524))</f>
        <v/>
      </c>
      <c r="Z4524" t="str">
        <f>IF(A4524="","",TEXT(A4524,"0")&amp;"|"&amp;TEXT(H4524,"0"))</f>
        <v/>
      </c>
      <c r="AA4524" t="str">
        <f>IF(Z4524="","",IFERROR(LOOKUP(2,1/(#REF!=Z4524),#REF!),""))</f>
        <v/>
      </c>
      <c r="AB4524" t="str">
        <f>IF(Z4524="","",IFERROR(LOOKUP(2,1/(#REF!=Z4524),#REF!),""))</f>
        <v/>
      </c>
      <c r="AC4524" t="str">
        <f>IF(Z4524="","",COUNTIF(#REF!,Z4524))</f>
        <v/>
      </c>
      <c r="AD4524" t="str">
        <f>IF(A4524="","",IF(AC4524&gt;1,"REVISAR DUPLICADO",IF(AA4524&lt;&gt;"","ACTUALIZADO POR EYR","SIN REPORTE EYR")))</f>
        <v/>
      </c>
    </row>
    <row r="4525" spans="11:30" x14ac:dyDescent="0.3">
      <c r="K4525" s="1" t="str">
        <f ca="1">IF(A4525="","",IF(OR(L4525="ENTREGADA",L4525="RETORNADA",L4525="ENTREGA DIGITAL"),0,MAX(0,5-NETWORKDAYS(H4525+1,TODAY()))))</f>
        <v/>
      </c>
      <c r="L4525" t="str">
        <f>IF(A4525="","",IFERROR(LOOKUP(2,1/(#REF!=Z4525),#REF!),Y4525))</f>
        <v/>
      </c>
      <c r="Z4525" t="str">
        <f>IF(A4525="","",TEXT(A4525,"0")&amp;"|"&amp;TEXT(H4525,"0"))</f>
        <v/>
      </c>
      <c r="AA4525" t="str">
        <f>IF(Z4525="","",IFERROR(LOOKUP(2,1/(#REF!=Z4525),#REF!),""))</f>
        <v/>
      </c>
      <c r="AB4525" t="str">
        <f>IF(Z4525="","",IFERROR(LOOKUP(2,1/(#REF!=Z4525),#REF!),""))</f>
        <v/>
      </c>
      <c r="AC4525" t="str">
        <f>IF(Z4525="","",COUNTIF(#REF!,Z4525))</f>
        <v/>
      </c>
      <c r="AD4525" t="str">
        <f>IF(A4525="","",IF(AC4525&gt;1,"REVISAR DUPLICADO",IF(AA4525&lt;&gt;"","ACTUALIZADO POR EYR","SIN REPORTE EYR")))</f>
        <v/>
      </c>
    </row>
    <row r="4526" spans="11:30" x14ac:dyDescent="0.3">
      <c r="K4526" s="1" t="str">
        <f ca="1">IF(A4526="","",IF(OR(L4526="ENTREGADA",L4526="RETORNADA",L4526="ENTREGA DIGITAL"),0,MAX(0,5-NETWORKDAYS(H4526+1,TODAY()))))</f>
        <v/>
      </c>
      <c r="L4526" t="str">
        <f>IF(A4526="","",IFERROR(LOOKUP(2,1/(#REF!=Z4526),#REF!),Y4526))</f>
        <v/>
      </c>
      <c r="Z4526" t="str">
        <f>IF(A4526="","",TEXT(A4526,"0")&amp;"|"&amp;TEXT(H4526,"0"))</f>
        <v/>
      </c>
      <c r="AA4526" t="str">
        <f>IF(Z4526="","",IFERROR(LOOKUP(2,1/(#REF!=Z4526),#REF!),""))</f>
        <v/>
      </c>
      <c r="AB4526" t="str">
        <f>IF(Z4526="","",IFERROR(LOOKUP(2,1/(#REF!=Z4526),#REF!),""))</f>
        <v/>
      </c>
      <c r="AC4526" t="str">
        <f>IF(Z4526="","",COUNTIF(#REF!,Z4526))</f>
        <v/>
      </c>
      <c r="AD4526" t="str">
        <f>IF(A4526="","",IF(AC4526&gt;1,"REVISAR DUPLICADO",IF(AA4526&lt;&gt;"","ACTUALIZADO POR EYR","SIN REPORTE EYR")))</f>
        <v/>
      </c>
    </row>
    <row r="4527" spans="11:30" x14ac:dyDescent="0.3">
      <c r="K4527" s="1" t="str">
        <f ca="1">IF(A4527="","",IF(OR(L4527="ENTREGADA",L4527="RETORNADA",L4527="ENTREGA DIGITAL"),0,MAX(0,5-NETWORKDAYS(H4527+1,TODAY()))))</f>
        <v/>
      </c>
      <c r="L4527" t="str">
        <f>IF(A4527="","",IFERROR(LOOKUP(2,1/(#REF!=Z4527),#REF!),Y4527))</f>
        <v/>
      </c>
      <c r="Z4527" t="str">
        <f>IF(A4527="","",TEXT(A4527,"0")&amp;"|"&amp;TEXT(H4527,"0"))</f>
        <v/>
      </c>
      <c r="AA4527" t="str">
        <f>IF(Z4527="","",IFERROR(LOOKUP(2,1/(#REF!=Z4527),#REF!),""))</f>
        <v/>
      </c>
      <c r="AB4527" t="str">
        <f>IF(Z4527="","",IFERROR(LOOKUP(2,1/(#REF!=Z4527),#REF!),""))</f>
        <v/>
      </c>
      <c r="AC4527" t="str">
        <f>IF(Z4527="","",COUNTIF(#REF!,Z4527))</f>
        <v/>
      </c>
      <c r="AD4527" t="str">
        <f>IF(A4527="","",IF(AC4527&gt;1,"REVISAR DUPLICADO",IF(AA4527&lt;&gt;"","ACTUALIZADO POR EYR","SIN REPORTE EYR")))</f>
        <v/>
      </c>
    </row>
    <row r="4528" spans="11:30" x14ac:dyDescent="0.3">
      <c r="K4528" s="1" t="str">
        <f ca="1">IF(A4528="","",IF(OR(L4528="ENTREGADA",L4528="RETORNADA",L4528="ENTREGA DIGITAL"),0,MAX(0,5-NETWORKDAYS(H4528+1,TODAY()))))</f>
        <v/>
      </c>
      <c r="L4528" t="str">
        <f>IF(A4528="","",IFERROR(LOOKUP(2,1/(#REF!=Z4528),#REF!),Y4528))</f>
        <v/>
      </c>
      <c r="Z4528" t="str">
        <f>IF(A4528="","",TEXT(A4528,"0")&amp;"|"&amp;TEXT(H4528,"0"))</f>
        <v/>
      </c>
      <c r="AA4528" t="str">
        <f>IF(Z4528="","",IFERROR(LOOKUP(2,1/(#REF!=Z4528),#REF!),""))</f>
        <v/>
      </c>
      <c r="AB4528" t="str">
        <f>IF(Z4528="","",IFERROR(LOOKUP(2,1/(#REF!=Z4528),#REF!),""))</f>
        <v/>
      </c>
      <c r="AC4528" t="str">
        <f>IF(Z4528="","",COUNTIF(#REF!,Z4528))</f>
        <v/>
      </c>
      <c r="AD4528" t="str">
        <f>IF(A4528="","",IF(AC4528&gt;1,"REVISAR DUPLICADO",IF(AA4528&lt;&gt;"","ACTUALIZADO POR EYR","SIN REPORTE EYR")))</f>
        <v/>
      </c>
    </row>
    <row r="4529" spans="11:30" x14ac:dyDescent="0.3">
      <c r="K4529" s="1" t="str">
        <f ca="1">IF(A4529="","",IF(OR(L4529="ENTREGADA",L4529="RETORNADA",L4529="ENTREGA DIGITAL"),0,MAX(0,5-NETWORKDAYS(H4529+1,TODAY()))))</f>
        <v/>
      </c>
      <c r="L4529" t="str">
        <f>IF(A4529="","",IFERROR(LOOKUP(2,1/(#REF!=Z4529),#REF!),Y4529))</f>
        <v/>
      </c>
      <c r="Z4529" t="str">
        <f>IF(A4529="","",TEXT(A4529,"0")&amp;"|"&amp;TEXT(H4529,"0"))</f>
        <v/>
      </c>
      <c r="AA4529" t="str">
        <f>IF(Z4529="","",IFERROR(LOOKUP(2,1/(#REF!=Z4529),#REF!),""))</f>
        <v/>
      </c>
      <c r="AB4529" t="str">
        <f>IF(Z4529="","",IFERROR(LOOKUP(2,1/(#REF!=Z4529),#REF!),""))</f>
        <v/>
      </c>
      <c r="AC4529" t="str">
        <f>IF(Z4529="","",COUNTIF(#REF!,Z4529))</f>
        <v/>
      </c>
      <c r="AD4529" t="str">
        <f>IF(A4529="","",IF(AC4529&gt;1,"REVISAR DUPLICADO",IF(AA4529&lt;&gt;"","ACTUALIZADO POR EYR","SIN REPORTE EYR")))</f>
        <v/>
      </c>
    </row>
    <row r="4530" spans="11:30" x14ac:dyDescent="0.3">
      <c r="K4530" s="1" t="str">
        <f ca="1">IF(A4530="","",IF(OR(L4530="ENTREGADA",L4530="RETORNADA",L4530="ENTREGA DIGITAL"),0,MAX(0,5-NETWORKDAYS(H4530+1,TODAY()))))</f>
        <v/>
      </c>
      <c r="L4530" t="str">
        <f>IF(A4530="","",IFERROR(LOOKUP(2,1/(#REF!=Z4530),#REF!),Y4530))</f>
        <v/>
      </c>
      <c r="Z4530" t="str">
        <f>IF(A4530="","",TEXT(A4530,"0")&amp;"|"&amp;TEXT(H4530,"0"))</f>
        <v/>
      </c>
      <c r="AA4530" t="str">
        <f>IF(Z4530="","",IFERROR(LOOKUP(2,1/(#REF!=Z4530),#REF!),""))</f>
        <v/>
      </c>
      <c r="AB4530" t="str">
        <f>IF(Z4530="","",IFERROR(LOOKUP(2,1/(#REF!=Z4530),#REF!),""))</f>
        <v/>
      </c>
      <c r="AC4530" t="str">
        <f>IF(Z4530="","",COUNTIF(#REF!,Z4530))</f>
        <v/>
      </c>
      <c r="AD4530" t="str">
        <f>IF(A4530="","",IF(AC4530&gt;1,"REVISAR DUPLICADO",IF(AA4530&lt;&gt;"","ACTUALIZADO POR EYR","SIN REPORTE EYR")))</f>
        <v/>
      </c>
    </row>
    <row r="4531" spans="11:30" x14ac:dyDescent="0.3">
      <c r="K4531" s="1" t="str">
        <f ca="1">IF(A4531="","",IF(OR(L4531="ENTREGADA",L4531="RETORNADA",L4531="ENTREGA DIGITAL"),0,MAX(0,5-NETWORKDAYS(H4531+1,TODAY()))))</f>
        <v/>
      </c>
      <c r="L4531" t="str">
        <f>IF(A4531="","",IFERROR(LOOKUP(2,1/(#REF!=Z4531),#REF!),Y4531))</f>
        <v/>
      </c>
      <c r="Z4531" t="str">
        <f>IF(A4531="","",TEXT(A4531,"0")&amp;"|"&amp;TEXT(H4531,"0"))</f>
        <v/>
      </c>
      <c r="AA4531" t="str">
        <f>IF(Z4531="","",IFERROR(LOOKUP(2,1/(#REF!=Z4531),#REF!),""))</f>
        <v/>
      </c>
      <c r="AB4531" t="str">
        <f>IF(Z4531="","",IFERROR(LOOKUP(2,1/(#REF!=Z4531),#REF!),""))</f>
        <v/>
      </c>
      <c r="AC4531" t="str">
        <f>IF(Z4531="","",COUNTIF(#REF!,Z4531))</f>
        <v/>
      </c>
      <c r="AD4531" t="str">
        <f>IF(A4531="","",IF(AC4531&gt;1,"REVISAR DUPLICADO",IF(AA4531&lt;&gt;"","ACTUALIZADO POR EYR","SIN REPORTE EYR")))</f>
        <v/>
      </c>
    </row>
    <row r="4532" spans="11:30" x14ac:dyDescent="0.3">
      <c r="K4532" s="1" t="str">
        <f ca="1">IF(A4532="","",IF(OR(L4532="ENTREGADA",L4532="RETORNADA",L4532="ENTREGA DIGITAL"),0,MAX(0,5-NETWORKDAYS(H4532+1,TODAY()))))</f>
        <v/>
      </c>
      <c r="L4532" t="str">
        <f>IF(A4532="","",IFERROR(LOOKUP(2,1/(#REF!=Z4532),#REF!),Y4532))</f>
        <v/>
      </c>
      <c r="Z4532" t="str">
        <f>IF(A4532="","",TEXT(A4532,"0")&amp;"|"&amp;TEXT(H4532,"0"))</f>
        <v/>
      </c>
      <c r="AA4532" t="str">
        <f>IF(Z4532="","",IFERROR(LOOKUP(2,1/(#REF!=Z4532),#REF!),""))</f>
        <v/>
      </c>
      <c r="AB4532" t="str">
        <f>IF(Z4532="","",IFERROR(LOOKUP(2,1/(#REF!=Z4532),#REF!),""))</f>
        <v/>
      </c>
      <c r="AC4532" t="str">
        <f>IF(Z4532="","",COUNTIF(#REF!,Z4532))</f>
        <v/>
      </c>
      <c r="AD4532" t="str">
        <f>IF(A4532="","",IF(AC4532&gt;1,"REVISAR DUPLICADO",IF(AA4532&lt;&gt;"","ACTUALIZADO POR EYR","SIN REPORTE EYR")))</f>
        <v/>
      </c>
    </row>
    <row r="4533" spans="11:30" x14ac:dyDescent="0.3">
      <c r="K4533" s="1" t="str">
        <f ca="1">IF(A4533="","",IF(OR(L4533="ENTREGADA",L4533="RETORNADA",L4533="ENTREGA DIGITAL"),0,MAX(0,5-NETWORKDAYS(H4533+1,TODAY()))))</f>
        <v/>
      </c>
      <c r="L4533" t="str">
        <f>IF(A4533="","",IFERROR(LOOKUP(2,1/(#REF!=Z4533),#REF!),Y4533))</f>
        <v/>
      </c>
      <c r="Z4533" t="str">
        <f>IF(A4533="","",TEXT(A4533,"0")&amp;"|"&amp;TEXT(H4533,"0"))</f>
        <v/>
      </c>
      <c r="AA4533" t="str">
        <f>IF(Z4533="","",IFERROR(LOOKUP(2,1/(#REF!=Z4533),#REF!),""))</f>
        <v/>
      </c>
      <c r="AB4533" t="str">
        <f>IF(Z4533="","",IFERROR(LOOKUP(2,1/(#REF!=Z4533),#REF!),""))</f>
        <v/>
      </c>
      <c r="AC4533" t="str">
        <f>IF(Z4533="","",COUNTIF(#REF!,Z4533))</f>
        <v/>
      </c>
      <c r="AD4533" t="str">
        <f>IF(A4533="","",IF(AC4533&gt;1,"REVISAR DUPLICADO",IF(AA4533&lt;&gt;"","ACTUALIZADO POR EYR","SIN REPORTE EYR")))</f>
        <v/>
      </c>
    </row>
    <row r="4534" spans="11:30" x14ac:dyDescent="0.3">
      <c r="K4534" s="1" t="str">
        <f ca="1">IF(A4534="","",IF(OR(L4534="ENTREGADA",L4534="RETORNADA",L4534="ENTREGA DIGITAL"),0,MAX(0,5-NETWORKDAYS(H4534+1,TODAY()))))</f>
        <v/>
      </c>
      <c r="L4534" t="str">
        <f>IF(A4534="","",IFERROR(LOOKUP(2,1/(#REF!=Z4534),#REF!),Y4534))</f>
        <v/>
      </c>
      <c r="Z4534" t="str">
        <f>IF(A4534="","",TEXT(A4534,"0")&amp;"|"&amp;TEXT(H4534,"0"))</f>
        <v/>
      </c>
      <c r="AA4534" t="str">
        <f>IF(Z4534="","",IFERROR(LOOKUP(2,1/(#REF!=Z4534),#REF!),""))</f>
        <v/>
      </c>
      <c r="AB4534" t="str">
        <f>IF(Z4534="","",IFERROR(LOOKUP(2,1/(#REF!=Z4534),#REF!),""))</f>
        <v/>
      </c>
      <c r="AC4534" t="str">
        <f>IF(Z4534="","",COUNTIF(#REF!,Z4534))</f>
        <v/>
      </c>
      <c r="AD4534" t="str">
        <f>IF(A4534="","",IF(AC4534&gt;1,"REVISAR DUPLICADO",IF(AA4534&lt;&gt;"","ACTUALIZADO POR EYR","SIN REPORTE EYR")))</f>
        <v/>
      </c>
    </row>
    <row r="4535" spans="11:30" x14ac:dyDescent="0.3">
      <c r="K4535" s="1" t="str">
        <f ca="1">IF(A4535="","",IF(OR(L4535="ENTREGADA",L4535="RETORNADA",L4535="ENTREGA DIGITAL"),0,MAX(0,5-NETWORKDAYS(H4535+1,TODAY()))))</f>
        <v/>
      </c>
      <c r="L4535" t="str">
        <f>IF(A4535="","",IFERROR(LOOKUP(2,1/(#REF!=Z4535),#REF!),Y4535))</f>
        <v/>
      </c>
      <c r="Z4535" t="str">
        <f>IF(A4535="","",TEXT(A4535,"0")&amp;"|"&amp;TEXT(H4535,"0"))</f>
        <v/>
      </c>
      <c r="AA4535" t="str">
        <f>IF(Z4535="","",IFERROR(LOOKUP(2,1/(#REF!=Z4535),#REF!),""))</f>
        <v/>
      </c>
      <c r="AB4535" t="str">
        <f>IF(Z4535="","",IFERROR(LOOKUP(2,1/(#REF!=Z4535),#REF!),""))</f>
        <v/>
      </c>
      <c r="AC4535" t="str">
        <f>IF(Z4535="","",COUNTIF(#REF!,Z4535))</f>
        <v/>
      </c>
      <c r="AD4535" t="str">
        <f>IF(A4535="","",IF(AC4535&gt;1,"REVISAR DUPLICADO",IF(AA4535&lt;&gt;"","ACTUALIZADO POR EYR","SIN REPORTE EYR")))</f>
        <v/>
      </c>
    </row>
    <row r="4536" spans="11:30" x14ac:dyDescent="0.3">
      <c r="K4536" s="1" t="str">
        <f ca="1">IF(A4536="","",IF(OR(L4536="ENTREGADA",L4536="RETORNADA",L4536="ENTREGA DIGITAL"),0,MAX(0,5-NETWORKDAYS(H4536+1,TODAY()))))</f>
        <v/>
      </c>
      <c r="L4536" t="str">
        <f>IF(A4536="","",IFERROR(LOOKUP(2,1/(#REF!=Z4536),#REF!),Y4536))</f>
        <v/>
      </c>
      <c r="Z4536" t="str">
        <f>IF(A4536="","",TEXT(A4536,"0")&amp;"|"&amp;TEXT(H4536,"0"))</f>
        <v/>
      </c>
      <c r="AA4536" t="str">
        <f>IF(Z4536="","",IFERROR(LOOKUP(2,1/(#REF!=Z4536),#REF!),""))</f>
        <v/>
      </c>
      <c r="AB4536" t="str">
        <f>IF(Z4536="","",IFERROR(LOOKUP(2,1/(#REF!=Z4536),#REF!),""))</f>
        <v/>
      </c>
      <c r="AC4536" t="str">
        <f>IF(Z4536="","",COUNTIF(#REF!,Z4536))</f>
        <v/>
      </c>
      <c r="AD4536" t="str">
        <f>IF(A4536="","",IF(AC4536&gt;1,"REVISAR DUPLICADO",IF(AA4536&lt;&gt;"","ACTUALIZADO POR EYR","SIN REPORTE EYR")))</f>
        <v/>
      </c>
    </row>
    <row r="4537" spans="11:30" x14ac:dyDescent="0.3">
      <c r="K4537" s="1" t="str">
        <f ca="1">IF(A4537="","",IF(OR(L4537="ENTREGADA",L4537="RETORNADA",L4537="ENTREGA DIGITAL"),0,MAX(0,5-NETWORKDAYS(H4537+1,TODAY()))))</f>
        <v/>
      </c>
      <c r="L4537" t="str">
        <f>IF(A4537="","",IFERROR(LOOKUP(2,1/(#REF!=Z4537),#REF!),Y4537))</f>
        <v/>
      </c>
      <c r="Z4537" t="str">
        <f>IF(A4537="","",TEXT(A4537,"0")&amp;"|"&amp;TEXT(H4537,"0"))</f>
        <v/>
      </c>
      <c r="AA4537" t="str">
        <f>IF(Z4537="","",IFERROR(LOOKUP(2,1/(#REF!=Z4537),#REF!),""))</f>
        <v/>
      </c>
      <c r="AB4537" t="str">
        <f>IF(Z4537="","",IFERROR(LOOKUP(2,1/(#REF!=Z4537),#REF!),""))</f>
        <v/>
      </c>
      <c r="AC4537" t="str">
        <f>IF(Z4537="","",COUNTIF(#REF!,Z4537))</f>
        <v/>
      </c>
      <c r="AD4537" t="str">
        <f>IF(A4537="","",IF(AC4537&gt;1,"REVISAR DUPLICADO",IF(AA4537&lt;&gt;"","ACTUALIZADO POR EYR","SIN REPORTE EYR")))</f>
        <v/>
      </c>
    </row>
    <row r="4538" spans="11:30" x14ac:dyDescent="0.3">
      <c r="K4538" s="1" t="str">
        <f ca="1">IF(A4538="","",IF(OR(L4538="ENTREGADA",L4538="RETORNADA",L4538="ENTREGA DIGITAL"),0,MAX(0,5-NETWORKDAYS(H4538+1,TODAY()))))</f>
        <v/>
      </c>
      <c r="L4538" t="str">
        <f>IF(A4538="","",IFERROR(LOOKUP(2,1/(#REF!=Z4538),#REF!),Y4538))</f>
        <v/>
      </c>
      <c r="Z4538" t="str">
        <f>IF(A4538="","",TEXT(A4538,"0")&amp;"|"&amp;TEXT(H4538,"0"))</f>
        <v/>
      </c>
      <c r="AA4538" t="str">
        <f>IF(Z4538="","",IFERROR(LOOKUP(2,1/(#REF!=Z4538),#REF!),""))</f>
        <v/>
      </c>
      <c r="AB4538" t="str">
        <f>IF(Z4538="","",IFERROR(LOOKUP(2,1/(#REF!=Z4538),#REF!),""))</f>
        <v/>
      </c>
      <c r="AC4538" t="str">
        <f>IF(Z4538="","",COUNTIF(#REF!,Z4538))</f>
        <v/>
      </c>
      <c r="AD4538" t="str">
        <f>IF(A4538="","",IF(AC4538&gt;1,"REVISAR DUPLICADO",IF(AA4538&lt;&gt;"","ACTUALIZADO POR EYR","SIN REPORTE EYR")))</f>
        <v/>
      </c>
    </row>
    <row r="4539" spans="11:30" x14ac:dyDescent="0.3">
      <c r="K4539" s="1" t="str">
        <f ca="1">IF(A4539="","",IF(OR(L4539="ENTREGADA",L4539="RETORNADA",L4539="ENTREGA DIGITAL"),0,MAX(0,5-NETWORKDAYS(H4539+1,TODAY()))))</f>
        <v/>
      </c>
      <c r="L4539" t="str">
        <f>IF(A4539="","",IFERROR(LOOKUP(2,1/(#REF!=Z4539),#REF!),Y4539))</f>
        <v/>
      </c>
      <c r="Z4539" t="str">
        <f>IF(A4539="","",TEXT(A4539,"0")&amp;"|"&amp;TEXT(H4539,"0"))</f>
        <v/>
      </c>
      <c r="AA4539" t="str">
        <f>IF(Z4539="","",IFERROR(LOOKUP(2,1/(#REF!=Z4539),#REF!),""))</f>
        <v/>
      </c>
      <c r="AB4539" t="str">
        <f>IF(Z4539="","",IFERROR(LOOKUP(2,1/(#REF!=Z4539),#REF!),""))</f>
        <v/>
      </c>
      <c r="AC4539" t="str">
        <f>IF(Z4539="","",COUNTIF(#REF!,Z4539))</f>
        <v/>
      </c>
      <c r="AD4539" t="str">
        <f>IF(A4539="","",IF(AC4539&gt;1,"REVISAR DUPLICADO",IF(AA4539&lt;&gt;"","ACTUALIZADO POR EYR","SIN REPORTE EYR")))</f>
        <v/>
      </c>
    </row>
    <row r="4540" spans="11:30" x14ac:dyDescent="0.3">
      <c r="K4540" s="1" t="str">
        <f ca="1">IF(A4540="","",IF(OR(L4540="ENTREGADA",L4540="RETORNADA",L4540="ENTREGA DIGITAL"),0,MAX(0,5-NETWORKDAYS(H4540+1,TODAY()))))</f>
        <v/>
      </c>
      <c r="L4540" t="str">
        <f>IF(A4540="","",IFERROR(LOOKUP(2,1/(#REF!=Z4540),#REF!),Y4540))</f>
        <v/>
      </c>
      <c r="Z4540" t="str">
        <f>IF(A4540="","",TEXT(A4540,"0")&amp;"|"&amp;TEXT(H4540,"0"))</f>
        <v/>
      </c>
      <c r="AA4540" t="str">
        <f>IF(Z4540="","",IFERROR(LOOKUP(2,1/(#REF!=Z4540),#REF!),""))</f>
        <v/>
      </c>
      <c r="AB4540" t="str">
        <f>IF(Z4540="","",IFERROR(LOOKUP(2,1/(#REF!=Z4540),#REF!),""))</f>
        <v/>
      </c>
      <c r="AC4540" t="str">
        <f>IF(Z4540="","",COUNTIF(#REF!,Z4540))</f>
        <v/>
      </c>
      <c r="AD4540" t="str">
        <f>IF(A4540="","",IF(AC4540&gt;1,"REVISAR DUPLICADO",IF(AA4540&lt;&gt;"","ACTUALIZADO POR EYR","SIN REPORTE EYR")))</f>
        <v/>
      </c>
    </row>
    <row r="4541" spans="11:30" x14ac:dyDescent="0.3">
      <c r="K4541" s="1" t="str">
        <f ca="1">IF(A4541="","",IF(OR(L4541="ENTREGADA",L4541="RETORNADA",L4541="ENTREGA DIGITAL"),0,MAX(0,5-NETWORKDAYS(H4541+1,TODAY()))))</f>
        <v/>
      </c>
      <c r="L4541" t="str">
        <f>IF(A4541="","",IFERROR(LOOKUP(2,1/(#REF!=Z4541),#REF!),Y4541))</f>
        <v/>
      </c>
      <c r="Z4541" t="str">
        <f>IF(A4541="","",TEXT(A4541,"0")&amp;"|"&amp;TEXT(H4541,"0"))</f>
        <v/>
      </c>
      <c r="AA4541" t="str">
        <f>IF(Z4541="","",IFERROR(LOOKUP(2,1/(#REF!=Z4541),#REF!),""))</f>
        <v/>
      </c>
      <c r="AB4541" t="str">
        <f>IF(Z4541="","",IFERROR(LOOKUP(2,1/(#REF!=Z4541),#REF!),""))</f>
        <v/>
      </c>
      <c r="AC4541" t="str">
        <f>IF(Z4541="","",COUNTIF(#REF!,Z4541))</f>
        <v/>
      </c>
      <c r="AD4541" t="str">
        <f>IF(A4541="","",IF(AC4541&gt;1,"REVISAR DUPLICADO",IF(AA4541&lt;&gt;"","ACTUALIZADO POR EYR","SIN REPORTE EYR")))</f>
        <v/>
      </c>
    </row>
    <row r="4542" spans="11:30" x14ac:dyDescent="0.3">
      <c r="K4542" s="1" t="str">
        <f ca="1">IF(A4542="","",IF(OR(L4542="ENTREGADA",L4542="RETORNADA",L4542="ENTREGA DIGITAL"),0,MAX(0,5-NETWORKDAYS(H4542+1,TODAY()))))</f>
        <v/>
      </c>
      <c r="L4542" t="str">
        <f>IF(A4542="","",IFERROR(LOOKUP(2,1/(#REF!=Z4542),#REF!),Y4542))</f>
        <v/>
      </c>
      <c r="Z4542" t="str">
        <f>IF(A4542="","",TEXT(A4542,"0")&amp;"|"&amp;TEXT(H4542,"0"))</f>
        <v/>
      </c>
      <c r="AA4542" t="str">
        <f>IF(Z4542="","",IFERROR(LOOKUP(2,1/(#REF!=Z4542),#REF!),""))</f>
        <v/>
      </c>
      <c r="AB4542" t="str">
        <f>IF(Z4542="","",IFERROR(LOOKUP(2,1/(#REF!=Z4542),#REF!),""))</f>
        <v/>
      </c>
      <c r="AC4542" t="str">
        <f>IF(Z4542="","",COUNTIF(#REF!,Z4542))</f>
        <v/>
      </c>
      <c r="AD4542" t="str">
        <f>IF(A4542="","",IF(AC4542&gt;1,"REVISAR DUPLICADO",IF(AA4542&lt;&gt;"","ACTUALIZADO POR EYR","SIN REPORTE EYR")))</f>
        <v/>
      </c>
    </row>
    <row r="4543" spans="11:30" x14ac:dyDescent="0.3">
      <c r="K4543" s="1" t="str">
        <f ca="1">IF(A4543="","",IF(OR(L4543="ENTREGADA",L4543="RETORNADA",L4543="ENTREGA DIGITAL"),0,MAX(0,5-NETWORKDAYS(H4543+1,TODAY()))))</f>
        <v/>
      </c>
      <c r="L4543" t="str">
        <f>IF(A4543="","",IFERROR(LOOKUP(2,1/(#REF!=Z4543),#REF!),Y4543))</f>
        <v/>
      </c>
      <c r="Z4543" t="str">
        <f>IF(A4543="","",TEXT(A4543,"0")&amp;"|"&amp;TEXT(H4543,"0"))</f>
        <v/>
      </c>
      <c r="AA4543" t="str">
        <f>IF(Z4543="","",IFERROR(LOOKUP(2,1/(#REF!=Z4543),#REF!),""))</f>
        <v/>
      </c>
      <c r="AB4543" t="str">
        <f>IF(Z4543="","",IFERROR(LOOKUP(2,1/(#REF!=Z4543),#REF!),""))</f>
        <v/>
      </c>
      <c r="AC4543" t="str">
        <f>IF(Z4543="","",COUNTIF(#REF!,Z4543))</f>
        <v/>
      </c>
      <c r="AD4543" t="str">
        <f>IF(A4543="","",IF(AC4543&gt;1,"REVISAR DUPLICADO",IF(AA4543&lt;&gt;"","ACTUALIZADO POR EYR","SIN REPORTE EYR")))</f>
        <v/>
      </c>
    </row>
    <row r="4544" spans="11:30" x14ac:dyDescent="0.3">
      <c r="K4544" s="1" t="str">
        <f ca="1">IF(A4544="","",IF(OR(L4544="ENTREGADA",L4544="RETORNADA",L4544="ENTREGA DIGITAL"),0,MAX(0,5-NETWORKDAYS(H4544+1,TODAY()))))</f>
        <v/>
      </c>
      <c r="L4544" t="str">
        <f>IF(A4544="","",IFERROR(LOOKUP(2,1/(#REF!=Z4544),#REF!),Y4544))</f>
        <v/>
      </c>
      <c r="Z4544" t="str">
        <f>IF(A4544="","",TEXT(A4544,"0")&amp;"|"&amp;TEXT(H4544,"0"))</f>
        <v/>
      </c>
      <c r="AA4544" t="str">
        <f>IF(Z4544="","",IFERROR(LOOKUP(2,1/(#REF!=Z4544),#REF!),""))</f>
        <v/>
      </c>
      <c r="AB4544" t="str">
        <f>IF(Z4544="","",IFERROR(LOOKUP(2,1/(#REF!=Z4544),#REF!),""))</f>
        <v/>
      </c>
      <c r="AC4544" t="str">
        <f>IF(Z4544="","",COUNTIF(#REF!,Z4544))</f>
        <v/>
      </c>
      <c r="AD4544" t="str">
        <f>IF(A4544="","",IF(AC4544&gt;1,"REVISAR DUPLICADO",IF(AA4544&lt;&gt;"","ACTUALIZADO POR EYR","SIN REPORTE EYR")))</f>
        <v/>
      </c>
    </row>
    <row r="4545" spans="11:30" x14ac:dyDescent="0.3">
      <c r="K4545" s="1" t="str">
        <f ca="1">IF(A4545="","",IF(OR(L4545="ENTREGADA",L4545="RETORNADA",L4545="ENTREGA DIGITAL"),0,MAX(0,5-NETWORKDAYS(H4545+1,TODAY()))))</f>
        <v/>
      </c>
      <c r="L4545" t="str">
        <f>IF(A4545="","",IFERROR(LOOKUP(2,1/(#REF!=Z4545),#REF!),Y4545))</f>
        <v/>
      </c>
      <c r="Z4545" t="str">
        <f>IF(A4545="","",TEXT(A4545,"0")&amp;"|"&amp;TEXT(H4545,"0"))</f>
        <v/>
      </c>
      <c r="AA4545" t="str">
        <f>IF(Z4545="","",IFERROR(LOOKUP(2,1/(#REF!=Z4545),#REF!),""))</f>
        <v/>
      </c>
      <c r="AB4545" t="str">
        <f>IF(Z4545="","",IFERROR(LOOKUP(2,1/(#REF!=Z4545),#REF!),""))</f>
        <v/>
      </c>
      <c r="AC4545" t="str">
        <f>IF(Z4545="","",COUNTIF(#REF!,Z4545))</f>
        <v/>
      </c>
      <c r="AD4545" t="str">
        <f>IF(A4545="","",IF(AC4545&gt;1,"REVISAR DUPLICADO",IF(AA4545&lt;&gt;"","ACTUALIZADO POR EYR","SIN REPORTE EYR")))</f>
        <v/>
      </c>
    </row>
    <row r="4546" spans="11:30" x14ac:dyDescent="0.3">
      <c r="K4546" s="1" t="str">
        <f ca="1">IF(A4546="","",IF(OR(L4546="ENTREGADA",L4546="RETORNADA",L4546="ENTREGA DIGITAL"),0,MAX(0,5-NETWORKDAYS(H4546+1,TODAY()))))</f>
        <v/>
      </c>
      <c r="L4546" t="str">
        <f>IF(A4546="","",IFERROR(LOOKUP(2,1/(#REF!=Z4546),#REF!),Y4546))</f>
        <v/>
      </c>
      <c r="Z4546" t="str">
        <f>IF(A4546="","",TEXT(A4546,"0")&amp;"|"&amp;TEXT(H4546,"0"))</f>
        <v/>
      </c>
      <c r="AA4546" t="str">
        <f>IF(Z4546="","",IFERROR(LOOKUP(2,1/(#REF!=Z4546),#REF!),""))</f>
        <v/>
      </c>
      <c r="AB4546" t="str">
        <f>IF(Z4546="","",IFERROR(LOOKUP(2,1/(#REF!=Z4546),#REF!),""))</f>
        <v/>
      </c>
      <c r="AC4546" t="str">
        <f>IF(Z4546="","",COUNTIF(#REF!,Z4546))</f>
        <v/>
      </c>
      <c r="AD4546" t="str">
        <f>IF(A4546="","",IF(AC4546&gt;1,"REVISAR DUPLICADO",IF(AA4546&lt;&gt;"","ACTUALIZADO POR EYR","SIN REPORTE EYR")))</f>
        <v/>
      </c>
    </row>
    <row r="4547" spans="11:30" x14ac:dyDescent="0.3">
      <c r="K4547" s="1" t="str">
        <f ca="1">IF(A4547="","",IF(OR(L4547="ENTREGADA",L4547="RETORNADA",L4547="ENTREGA DIGITAL"),0,MAX(0,5-NETWORKDAYS(H4547+1,TODAY()))))</f>
        <v/>
      </c>
      <c r="L4547" t="str">
        <f>IF(A4547="","",IFERROR(LOOKUP(2,1/(#REF!=Z4547),#REF!),Y4547))</f>
        <v/>
      </c>
      <c r="Z4547" t="str">
        <f>IF(A4547="","",TEXT(A4547,"0")&amp;"|"&amp;TEXT(H4547,"0"))</f>
        <v/>
      </c>
      <c r="AA4547" t="str">
        <f>IF(Z4547="","",IFERROR(LOOKUP(2,1/(#REF!=Z4547),#REF!),""))</f>
        <v/>
      </c>
      <c r="AB4547" t="str">
        <f>IF(Z4547="","",IFERROR(LOOKUP(2,1/(#REF!=Z4547),#REF!),""))</f>
        <v/>
      </c>
      <c r="AC4547" t="str">
        <f>IF(Z4547="","",COUNTIF(#REF!,Z4547))</f>
        <v/>
      </c>
      <c r="AD4547" t="str">
        <f>IF(A4547="","",IF(AC4547&gt;1,"REVISAR DUPLICADO",IF(AA4547&lt;&gt;"","ACTUALIZADO POR EYR","SIN REPORTE EYR")))</f>
        <v/>
      </c>
    </row>
    <row r="4548" spans="11:30" x14ac:dyDescent="0.3">
      <c r="K4548" s="1" t="str">
        <f ca="1">IF(A4548="","",IF(OR(L4548="ENTREGADA",L4548="RETORNADA",L4548="ENTREGA DIGITAL"),0,MAX(0,5-NETWORKDAYS(H4548+1,TODAY()))))</f>
        <v/>
      </c>
      <c r="L4548" t="str">
        <f>IF(A4548="","",IFERROR(LOOKUP(2,1/(#REF!=Z4548),#REF!),Y4548))</f>
        <v/>
      </c>
      <c r="Z4548" t="str">
        <f>IF(A4548="","",TEXT(A4548,"0")&amp;"|"&amp;TEXT(H4548,"0"))</f>
        <v/>
      </c>
      <c r="AA4548" t="str">
        <f>IF(Z4548="","",IFERROR(LOOKUP(2,1/(#REF!=Z4548),#REF!),""))</f>
        <v/>
      </c>
      <c r="AB4548" t="str">
        <f>IF(Z4548="","",IFERROR(LOOKUP(2,1/(#REF!=Z4548),#REF!),""))</f>
        <v/>
      </c>
      <c r="AC4548" t="str">
        <f>IF(Z4548="","",COUNTIF(#REF!,Z4548))</f>
        <v/>
      </c>
      <c r="AD4548" t="str">
        <f>IF(A4548="","",IF(AC4548&gt;1,"REVISAR DUPLICADO",IF(AA4548&lt;&gt;"","ACTUALIZADO POR EYR","SIN REPORTE EYR")))</f>
        <v/>
      </c>
    </row>
    <row r="4549" spans="11:30" x14ac:dyDescent="0.3">
      <c r="K4549" s="1" t="str">
        <f ca="1">IF(A4549="","",IF(OR(L4549="ENTREGADA",L4549="RETORNADA",L4549="ENTREGA DIGITAL"),0,MAX(0,5-NETWORKDAYS(H4549+1,TODAY()))))</f>
        <v/>
      </c>
      <c r="L4549" t="str">
        <f>IF(A4549="","",IFERROR(LOOKUP(2,1/(#REF!=Z4549),#REF!),Y4549))</f>
        <v/>
      </c>
      <c r="Z4549" t="str">
        <f>IF(A4549="","",TEXT(A4549,"0")&amp;"|"&amp;TEXT(H4549,"0"))</f>
        <v/>
      </c>
      <c r="AA4549" t="str">
        <f>IF(Z4549="","",IFERROR(LOOKUP(2,1/(#REF!=Z4549),#REF!),""))</f>
        <v/>
      </c>
      <c r="AB4549" t="str">
        <f>IF(Z4549="","",IFERROR(LOOKUP(2,1/(#REF!=Z4549),#REF!),""))</f>
        <v/>
      </c>
      <c r="AC4549" t="str">
        <f>IF(Z4549="","",COUNTIF(#REF!,Z4549))</f>
        <v/>
      </c>
      <c r="AD4549" t="str">
        <f>IF(A4549="","",IF(AC4549&gt;1,"REVISAR DUPLICADO",IF(AA4549&lt;&gt;"","ACTUALIZADO POR EYR","SIN REPORTE EYR")))</f>
        <v/>
      </c>
    </row>
    <row r="4550" spans="11:30" x14ac:dyDescent="0.3">
      <c r="K4550" s="1" t="str">
        <f ca="1">IF(A4550="","",IF(OR(L4550="ENTREGADA",L4550="RETORNADA",L4550="ENTREGA DIGITAL"),0,MAX(0,5-NETWORKDAYS(H4550+1,TODAY()))))</f>
        <v/>
      </c>
      <c r="L4550" t="str">
        <f>IF(A4550="","",IFERROR(LOOKUP(2,1/(#REF!=Z4550),#REF!),Y4550))</f>
        <v/>
      </c>
      <c r="Z4550" t="str">
        <f>IF(A4550="","",TEXT(A4550,"0")&amp;"|"&amp;TEXT(H4550,"0"))</f>
        <v/>
      </c>
      <c r="AA4550" t="str">
        <f>IF(Z4550="","",IFERROR(LOOKUP(2,1/(#REF!=Z4550),#REF!),""))</f>
        <v/>
      </c>
      <c r="AB4550" t="str">
        <f>IF(Z4550="","",IFERROR(LOOKUP(2,1/(#REF!=Z4550),#REF!),""))</f>
        <v/>
      </c>
      <c r="AC4550" t="str">
        <f>IF(Z4550="","",COUNTIF(#REF!,Z4550))</f>
        <v/>
      </c>
      <c r="AD4550" t="str">
        <f>IF(A4550="","",IF(AC4550&gt;1,"REVISAR DUPLICADO",IF(AA4550&lt;&gt;"","ACTUALIZADO POR EYR","SIN REPORTE EYR")))</f>
        <v/>
      </c>
    </row>
    <row r="4551" spans="11:30" x14ac:dyDescent="0.3">
      <c r="K4551" s="1" t="str">
        <f ca="1">IF(A4551="","",IF(OR(L4551="ENTREGADA",L4551="RETORNADA",L4551="ENTREGA DIGITAL"),0,MAX(0,5-NETWORKDAYS(H4551+1,TODAY()))))</f>
        <v/>
      </c>
      <c r="L4551" t="str">
        <f>IF(A4551="","",IFERROR(LOOKUP(2,1/(#REF!=Z4551),#REF!),Y4551))</f>
        <v/>
      </c>
      <c r="Z4551" t="str">
        <f>IF(A4551="","",TEXT(A4551,"0")&amp;"|"&amp;TEXT(H4551,"0"))</f>
        <v/>
      </c>
      <c r="AA4551" t="str">
        <f>IF(Z4551="","",IFERROR(LOOKUP(2,1/(#REF!=Z4551),#REF!),""))</f>
        <v/>
      </c>
      <c r="AB4551" t="str">
        <f>IF(Z4551="","",IFERROR(LOOKUP(2,1/(#REF!=Z4551),#REF!),""))</f>
        <v/>
      </c>
      <c r="AC4551" t="str">
        <f>IF(Z4551="","",COUNTIF(#REF!,Z4551))</f>
        <v/>
      </c>
      <c r="AD4551" t="str">
        <f>IF(A4551="","",IF(AC4551&gt;1,"REVISAR DUPLICADO",IF(AA4551&lt;&gt;"","ACTUALIZADO POR EYR","SIN REPORTE EYR")))</f>
        <v/>
      </c>
    </row>
    <row r="4552" spans="11:30" x14ac:dyDescent="0.3">
      <c r="K4552" s="1" t="str">
        <f ca="1">IF(A4552="","",IF(OR(L4552="ENTREGADA",L4552="RETORNADA",L4552="ENTREGA DIGITAL"),0,MAX(0,5-NETWORKDAYS(H4552+1,TODAY()))))</f>
        <v/>
      </c>
      <c r="L4552" t="str">
        <f>IF(A4552="","",IFERROR(LOOKUP(2,1/(#REF!=Z4552),#REF!),Y4552))</f>
        <v/>
      </c>
      <c r="Z4552" t="str">
        <f>IF(A4552="","",TEXT(A4552,"0")&amp;"|"&amp;TEXT(H4552,"0"))</f>
        <v/>
      </c>
      <c r="AA4552" t="str">
        <f>IF(Z4552="","",IFERROR(LOOKUP(2,1/(#REF!=Z4552),#REF!),""))</f>
        <v/>
      </c>
      <c r="AB4552" t="str">
        <f>IF(Z4552="","",IFERROR(LOOKUP(2,1/(#REF!=Z4552),#REF!),""))</f>
        <v/>
      </c>
      <c r="AC4552" t="str">
        <f>IF(Z4552="","",COUNTIF(#REF!,Z4552))</f>
        <v/>
      </c>
      <c r="AD4552" t="str">
        <f>IF(A4552="","",IF(AC4552&gt;1,"REVISAR DUPLICADO",IF(AA4552&lt;&gt;"","ACTUALIZADO POR EYR","SIN REPORTE EYR")))</f>
        <v/>
      </c>
    </row>
    <row r="4553" spans="11:30" x14ac:dyDescent="0.3">
      <c r="K4553" s="1" t="str">
        <f ca="1">IF(A4553="","",IF(OR(L4553="ENTREGADA",L4553="RETORNADA",L4553="ENTREGA DIGITAL"),0,MAX(0,5-NETWORKDAYS(H4553+1,TODAY()))))</f>
        <v/>
      </c>
      <c r="L4553" t="str">
        <f>IF(A4553="","",IFERROR(LOOKUP(2,1/(#REF!=Z4553),#REF!),Y4553))</f>
        <v/>
      </c>
      <c r="Z4553" t="str">
        <f>IF(A4553="","",TEXT(A4553,"0")&amp;"|"&amp;TEXT(H4553,"0"))</f>
        <v/>
      </c>
      <c r="AA4553" t="str">
        <f>IF(Z4553="","",IFERROR(LOOKUP(2,1/(#REF!=Z4553),#REF!),""))</f>
        <v/>
      </c>
      <c r="AB4553" t="str">
        <f>IF(Z4553="","",IFERROR(LOOKUP(2,1/(#REF!=Z4553),#REF!),""))</f>
        <v/>
      </c>
      <c r="AC4553" t="str">
        <f>IF(Z4553="","",COUNTIF(#REF!,Z4553))</f>
        <v/>
      </c>
      <c r="AD4553" t="str">
        <f>IF(A4553="","",IF(AC4553&gt;1,"REVISAR DUPLICADO",IF(AA4553&lt;&gt;"","ACTUALIZADO POR EYR","SIN REPORTE EYR")))</f>
        <v/>
      </c>
    </row>
    <row r="4554" spans="11:30" x14ac:dyDescent="0.3">
      <c r="K4554" s="1" t="str">
        <f ca="1">IF(A4554="","",IF(OR(L4554="ENTREGADA",L4554="RETORNADA",L4554="ENTREGA DIGITAL"),0,MAX(0,5-NETWORKDAYS(H4554+1,TODAY()))))</f>
        <v/>
      </c>
      <c r="L4554" t="str">
        <f>IF(A4554="","",IFERROR(LOOKUP(2,1/(#REF!=Z4554),#REF!),Y4554))</f>
        <v/>
      </c>
      <c r="Z4554" t="str">
        <f>IF(A4554="","",TEXT(A4554,"0")&amp;"|"&amp;TEXT(H4554,"0"))</f>
        <v/>
      </c>
      <c r="AA4554" t="str">
        <f>IF(Z4554="","",IFERROR(LOOKUP(2,1/(#REF!=Z4554),#REF!),""))</f>
        <v/>
      </c>
      <c r="AB4554" t="str">
        <f>IF(Z4554="","",IFERROR(LOOKUP(2,1/(#REF!=Z4554),#REF!),""))</f>
        <v/>
      </c>
      <c r="AC4554" t="str">
        <f>IF(Z4554="","",COUNTIF(#REF!,Z4554))</f>
        <v/>
      </c>
      <c r="AD4554" t="str">
        <f>IF(A4554="","",IF(AC4554&gt;1,"REVISAR DUPLICADO",IF(AA4554&lt;&gt;"","ACTUALIZADO POR EYR","SIN REPORTE EYR")))</f>
        <v/>
      </c>
    </row>
    <row r="4555" spans="11:30" x14ac:dyDescent="0.3">
      <c r="K4555" s="1" t="str">
        <f ca="1">IF(A4555="","",IF(OR(L4555="ENTREGADA",L4555="RETORNADA",L4555="ENTREGA DIGITAL"),0,MAX(0,5-NETWORKDAYS(H4555+1,TODAY()))))</f>
        <v/>
      </c>
      <c r="L4555" t="str">
        <f>IF(A4555="","",IFERROR(LOOKUP(2,1/(#REF!=Z4555),#REF!),Y4555))</f>
        <v/>
      </c>
      <c r="Z4555" t="str">
        <f>IF(A4555="","",TEXT(A4555,"0")&amp;"|"&amp;TEXT(H4555,"0"))</f>
        <v/>
      </c>
      <c r="AA4555" t="str">
        <f>IF(Z4555="","",IFERROR(LOOKUP(2,1/(#REF!=Z4555),#REF!),""))</f>
        <v/>
      </c>
      <c r="AB4555" t="str">
        <f>IF(Z4555="","",IFERROR(LOOKUP(2,1/(#REF!=Z4555),#REF!),""))</f>
        <v/>
      </c>
      <c r="AC4555" t="str">
        <f>IF(Z4555="","",COUNTIF(#REF!,Z4555))</f>
        <v/>
      </c>
      <c r="AD4555" t="str">
        <f>IF(A4555="","",IF(AC4555&gt;1,"REVISAR DUPLICADO",IF(AA4555&lt;&gt;"","ACTUALIZADO POR EYR","SIN REPORTE EYR")))</f>
        <v/>
      </c>
    </row>
    <row r="4556" spans="11:30" x14ac:dyDescent="0.3">
      <c r="K4556" s="1" t="str">
        <f ca="1">IF(A4556="","",IF(OR(L4556="ENTREGADA",L4556="RETORNADA",L4556="ENTREGA DIGITAL"),0,MAX(0,5-NETWORKDAYS(H4556+1,TODAY()))))</f>
        <v/>
      </c>
      <c r="L4556" t="str">
        <f>IF(A4556="","",IFERROR(LOOKUP(2,1/(#REF!=Z4556),#REF!),Y4556))</f>
        <v/>
      </c>
      <c r="Z4556" t="str">
        <f>IF(A4556="","",TEXT(A4556,"0")&amp;"|"&amp;TEXT(H4556,"0"))</f>
        <v/>
      </c>
      <c r="AA4556" t="str">
        <f>IF(Z4556="","",IFERROR(LOOKUP(2,1/(#REF!=Z4556),#REF!),""))</f>
        <v/>
      </c>
      <c r="AB4556" t="str">
        <f>IF(Z4556="","",IFERROR(LOOKUP(2,1/(#REF!=Z4556),#REF!),""))</f>
        <v/>
      </c>
      <c r="AC4556" t="str">
        <f>IF(Z4556="","",COUNTIF(#REF!,Z4556))</f>
        <v/>
      </c>
      <c r="AD4556" t="str">
        <f>IF(A4556="","",IF(AC4556&gt;1,"REVISAR DUPLICADO",IF(AA4556&lt;&gt;"","ACTUALIZADO POR EYR","SIN REPORTE EYR")))</f>
        <v/>
      </c>
    </row>
    <row r="4557" spans="11:30" x14ac:dyDescent="0.3">
      <c r="K4557" s="1" t="str">
        <f ca="1">IF(A4557="","",IF(OR(L4557="ENTREGADA",L4557="RETORNADA",L4557="ENTREGA DIGITAL"),0,MAX(0,5-NETWORKDAYS(H4557+1,TODAY()))))</f>
        <v/>
      </c>
      <c r="L4557" t="str">
        <f>IF(A4557="","",IFERROR(LOOKUP(2,1/(#REF!=Z4557),#REF!),Y4557))</f>
        <v/>
      </c>
      <c r="Z4557" t="str">
        <f>IF(A4557="","",TEXT(A4557,"0")&amp;"|"&amp;TEXT(H4557,"0"))</f>
        <v/>
      </c>
      <c r="AA4557" t="str">
        <f>IF(Z4557="","",IFERROR(LOOKUP(2,1/(#REF!=Z4557),#REF!),""))</f>
        <v/>
      </c>
      <c r="AB4557" t="str">
        <f>IF(Z4557="","",IFERROR(LOOKUP(2,1/(#REF!=Z4557),#REF!),""))</f>
        <v/>
      </c>
      <c r="AC4557" t="str">
        <f>IF(Z4557="","",COUNTIF(#REF!,Z4557))</f>
        <v/>
      </c>
      <c r="AD4557" t="str">
        <f>IF(A4557="","",IF(AC4557&gt;1,"REVISAR DUPLICADO",IF(AA4557&lt;&gt;"","ACTUALIZADO POR EYR","SIN REPORTE EYR")))</f>
        <v/>
      </c>
    </row>
    <row r="4558" spans="11:30" x14ac:dyDescent="0.3">
      <c r="K4558" s="1" t="str">
        <f ca="1">IF(A4558="","",IF(OR(L4558="ENTREGADA",L4558="RETORNADA",L4558="ENTREGA DIGITAL"),0,MAX(0,5-NETWORKDAYS(H4558+1,TODAY()))))</f>
        <v/>
      </c>
      <c r="L4558" t="str">
        <f>IF(A4558="","",IFERROR(LOOKUP(2,1/(#REF!=Z4558),#REF!),Y4558))</f>
        <v/>
      </c>
      <c r="Z4558" t="str">
        <f>IF(A4558="","",TEXT(A4558,"0")&amp;"|"&amp;TEXT(H4558,"0"))</f>
        <v/>
      </c>
      <c r="AA4558" t="str">
        <f>IF(Z4558="","",IFERROR(LOOKUP(2,1/(#REF!=Z4558),#REF!),""))</f>
        <v/>
      </c>
      <c r="AB4558" t="str">
        <f>IF(Z4558="","",IFERROR(LOOKUP(2,1/(#REF!=Z4558),#REF!),""))</f>
        <v/>
      </c>
      <c r="AC4558" t="str">
        <f>IF(Z4558="","",COUNTIF(#REF!,Z4558))</f>
        <v/>
      </c>
      <c r="AD4558" t="str">
        <f>IF(A4558="","",IF(AC4558&gt;1,"REVISAR DUPLICADO",IF(AA4558&lt;&gt;"","ACTUALIZADO POR EYR","SIN REPORTE EYR")))</f>
        <v/>
      </c>
    </row>
    <row r="4559" spans="11:30" x14ac:dyDescent="0.3">
      <c r="K4559" s="1" t="str">
        <f ca="1">IF(A4559="","",IF(OR(L4559="ENTREGADA",L4559="RETORNADA",L4559="ENTREGA DIGITAL"),0,MAX(0,5-NETWORKDAYS(H4559+1,TODAY()))))</f>
        <v/>
      </c>
      <c r="L4559" t="str">
        <f>IF(A4559="","",IFERROR(LOOKUP(2,1/(#REF!=Z4559),#REF!),Y4559))</f>
        <v/>
      </c>
      <c r="Z4559" t="str">
        <f>IF(A4559="","",TEXT(A4559,"0")&amp;"|"&amp;TEXT(H4559,"0"))</f>
        <v/>
      </c>
      <c r="AA4559" t="str">
        <f>IF(Z4559="","",IFERROR(LOOKUP(2,1/(#REF!=Z4559),#REF!),""))</f>
        <v/>
      </c>
      <c r="AB4559" t="str">
        <f>IF(Z4559="","",IFERROR(LOOKUP(2,1/(#REF!=Z4559),#REF!),""))</f>
        <v/>
      </c>
      <c r="AC4559" t="str">
        <f>IF(Z4559="","",COUNTIF(#REF!,Z4559))</f>
        <v/>
      </c>
      <c r="AD4559" t="str">
        <f>IF(A4559="","",IF(AC4559&gt;1,"REVISAR DUPLICADO",IF(AA4559&lt;&gt;"","ACTUALIZADO POR EYR","SIN REPORTE EYR")))</f>
        <v/>
      </c>
    </row>
    <row r="4560" spans="11:30" x14ac:dyDescent="0.3">
      <c r="K4560" s="1" t="str">
        <f ca="1">IF(A4560="","",IF(OR(L4560="ENTREGADA",L4560="RETORNADA",L4560="ENTREGA DIGITAL"),0,MAX(0,5-NETWORKDAYS(H4560+1,TODAY()))))</f>
        <v/>
      </c>
      <c r="L4560" t="str">
        <f>IF(A4560="","",IFERROR(LOOKUP(2,1/(#REF!=Z4560),#REF!),Y4560))</f>
        <v/>
      </c>
      <c r="Z4560" t="str">
        <f>IF(A4560="","",TEXT(A4560,"0")&amp;"|"&amp;TEXT(H4560,"0"))</f>
        <v/>
      </c>
      <c r="AA4560" t="str">
        <f>IF(Z4560="","",IFERROR(LOOKUP(2,1/(#REF!=Z4560),#REF!),""))</f>
        <v/>
      </c>
      <c r="AB4560" t="str">
        <f>IF(Z4560="","",IFERROR(LOOKUP(2,1/(#REF!=Z4560),#REF!),""))</f>
        <v/>
      </c>
      <c r="AC4560" t="str">
        <f>IF(Z4560="","",COUNTIF(#REF!,Z4560))</f>
        <v/>
      </c>
      <c r="AD4560" t="str">
        <f>IF(A4560="","",IF(AC4560&gt;1,"REVISAR DUPLICADO",IF(AA4560&lt;&gt;"","ACTUALIZADO POR EYR","SIN REPORTE EYR")))</f>
        <v/>
      </c>
    </row>
    <row r="4561" spans="11:30" x14ac:dyDescent="0.3">
      <c r="K4561" s="1" t="str">
        <f ca="1">IF(A4561="","",IF(OR(L4561="ENTREGADA",L4561="RETORNADA",L4561="ENTREGA DIGITAL"),0,MAX(0,5-NETWORKDAYS(H4561+1,TODAY()))))</f>
        <v/>
      </c>
      <c r="L4561" t="str">
        <f>IF(A4561="","",IFERROR(LOOKUP(2,1/(#REF!=Z4561),#REF!),Y4561))</f>
        <v/>
      </c>
      <c r="Z4561" t="str">
        <f>IF(A4561="","",TEXT(A4561,"0")&amp;"|"&amp;TEXT(H4561,"0"))</f>
        <v/>
      </c>
      <c r="AA4561" t="str">
        <f>IF(Z4561="","",IFERROR(LOOKUP(2,1/(#REF!=Z4561),#REF!),""))</f>
        <v/>
      </c>
      <c r="AB4561" t="str">
        <f>IF(Z4561="","",IFERROR(LOOKUP(2,1/(#REF!=Z4561),#REF!),""))</f>
        <v/>
      </c>
      <c r="AC4561" t="str">
        <f>IF(Z4561="","",COUNTIF(#REF!,Z4561))</f>
        <v/>
      </c>
      <c r="AD4561" t="str">
        <f>IF(A4561="","",IF(AC4561&gt;1,"REVISAR DUPLICADO",IF(AA4561&lt;&gt;"","ACTUALIZADO POR EYR","SIN REPORTE EYR")))</f>
        <v/>
      </c>
    </row>
    <row r="4562" spans="11:30" x14ac:dyDescent="0.3">
      <c r="K4562" s="1" t="str">
        <f ca="1">IF(A4562="","",IF(OR(L4562="ENTREGADA",L4562="RETORNADA",L4562="ENTREGA DIGITAL"),0,MAX(0,5-NETWORKDAYS(H4562+1,TODAY()))))</f>
        <v/>
      </c>
      <c r="L4562" t="str">
        <f>IF(A4562="","",IFERROR(LOOKUP(2,1/(#REF!=Z4562),#REF!),Y4562))</f>
        <v/>
      </c>
      <c r="Z4562" t="str">
        <f>IF(A4562="","",TEXT(A4562,"0")&amp;"|"&amp;TEXT(H4562,"0"))</f>
        <v/>
      </c>
      <c r="AA4562" t="str">
        <f>IF(Z4562="","",IFERROR(LOOKUP(2,1/(#REF!=Z4562),#REF!),""))</f>
        <v/>
      </c>
      <c r="AB4562" t="str">
        <f>IF(Z4562="","",IFERROR(LOOKUP(2,1/(#REF!=Z4562),#REF!),""))</f>
        <v/>
      </c>
      <c r="AC4562" t="str">
        <f>IF(Z4562="","",COUNTIF(#REF!,Z4562))</f>
        <v/>
      </c>
      <c r="AD4562" t="str">
        <f>IF(A4562="","",IF(AC4562&gt;1,"REVISAR DUPLICADO",IF(AA4562&lt;&gt;"","ACTUALIZADO POR EYR","SIN REPORTE EYR")))</f>
        <v/>
      </c>
    </row>
    <row r="4563" spans="11:30" x14ac:dyDescent="0.3">
      <c r="K4563" s="1" t="str">
        <f ca="1">IF(A4563="","",IF(OR(L4563="ENTREGADA",L4563="RETORNADA",L4563="ENTREGA DIGITAL"),0,MAX(0,5-NETWORKDAYS(H4563+1,TODAY()))))</f>
        <v/>
      </c>
      <c r="L4563" t="str">
        <f>IF(A4563="","",IFERROR(LOOKUP(2,1/(#REF!=Z4563),#REF!),Y4563))</f>
        <v/>
      </c>
      <c r="Z4563" t="str">
        <f>IF(A4563="","",TEXT(A4563,"0")&amp;"|"&amp;TEXT(H4563,"0"))</f>
        <v/>
      </c>
      <c r="AA4563" t="str">
        <f>IF(Z4563="","",IFERROR(LOOKUP(2,1/(#REF!=Z4563),#REF!),""))</f>
        <v/>
      </c>
      <c r="AB4563" t="str">
        <f>IF(Z4563="","",IFERROR(LOOKUP(2,1/(#REF!=Z4563),#REF!),""))</f>
        <v/>
      </c>
      <c r="AC4563" t="str">
        <f>IF(Z4563="","",COUNTIF(#REF!,Z4563))</f>
        <v/>
      </c>
      <c r="AD4563" t="str">
        <f>IF(A4563="","",IF(AC4563&gt;1,"REVISAR DUPLICADO",IF(AA4563&lt;&gt;"","ACTUALIZADO POR EYR","SIN REPORTE EYR")))</f>
        <v/>
      </c>
    </row>
    <row r="4564" spans="11:30" x14ac:dyDescent="0.3">
      <c r="K4564" s="1" t="str">
        <f ca="1">IF(A4564="","",IF(OR(L4564="ENTREGADA",L4564="RETORNADA",L4564="ENTREGA DIGITAL"),0,MAX(0,5-NETWORKDAYS(H4564+1,TODAY()))))</f>
        <v/>
      </c>
      <c r="L4564" t="str">
        <f>IF(A4564="","",IFERROR(LOOKUP(2,1/(#REF!=Z4564),#REF!),Y4564))</f>
        <v/>
      </c>
      <c r="Z4564" t="str">
        <f>IF(A4564="","",TEXT(A4564,"0")&amp;"|"&amp;TEXT(H4564,"0"))</f>
        <v/>
      </c>
      <c r="AA4564" t="str">
        <f>IF(Z4564="","",IFERROR(LOOKUP(2,1/(#REF!=Z4564),#REF!),""))</f>
        <v/>
      </c>
      <c r="AB4564" t="str">
        <f>IF(Z4564="","",IFERROR(LOOKUP(2,1/(#REF!=Z4564),#REF!),""))</f>
        <v/>
      </c>
      <c r="AC4564" t="str">
        <f>IF(Z4564="","",COUNTIF(#REF!,Z4564))</f>
        <v/>
      </c>
      <c r="AD4564" t="str">
        <f>IF(A4564="","",IF(AC4564&gt;1,"REVISAR DUPLICADO",IF(AA4564&lt;&gt;"","ACTUALIZADO POR EYR","SIN REPORTE EYR")))</f>
        <v/>
      </c>
    </row>
    <row r="4565" spans="11:30" x14ac:dyDescent="0.3">
      <c r="K4565" s="1" t="str">
        <f ca="1">IF(A4565="","",IF(OR(L4565="ENTREGADA",L4565="RETORNADA",L4565="ENTREGA DIGITAL"),0,MAX(0,5-NETWORKDAYS(H4565+1,TODAY()))))</f>
        <v/>
      </c>
      <c r="L4565" t="str">
        <f>IF(A4565="","",IFERROR(LOOKUP(2,1/(#REF!=Z4565),#REF!),Y4565))</f>
        <v/>
      </c>
      <c r="Z4565" t="str">
        <f>IF(A4565="","",TEXT(A4565,"0")&amp;"|"&amp;TEXT(H4565,"0"))</f>
        <v/>
      </c>
      <c r="AA4565" t="str">
        <f>IF(Z4565="","",IFERROR(LOOKUP(2,1/(#REF!=Z4565),#REF!),""))</f>
        <v/>
      </c>
      <c r="AB4565" t="str">
        <f>IF(Z4565="","",IFERROR(LOOKUP(2,1/(#REF!=Z4565),#REF!),""))</f>
        <v/>
      </c>
      <c r="AC4565" t="str">
        <f>IF(Z4565="","",COUNTIF(#REF!,Z4565))</f>
        <v/>
      </c>
      <c r="AD4565" t="str">
        <f>IF(A4565="","",IF(AC4565&gt;1,"REVISAR DUPLICADO",IF(AA4565&lt;&gt;"","ACTUALIZADO POR EYR","SIN REPORTE EYR")))</f>
        <v/>
      </c>
    </row>
    <row r="4566" spans="11:30" x14ac:dyDescent="0.3">
      <c r="K4566" s="1" t="str">
        <f ca="1">IF(A4566="","",IF(OR(L4566="ENTREGADA",L4566="RETORNADA",L4566="ENTREGA DIGITAL"),0,MAX(0,5-NETWORKDAYS(H4566+1,TODAY()))))</f>
        <v/>
      </c>
      <c r="L4566" t="str">
        <f>IF(A4566="","",IFERROR(LOOKUP(2,1/(#REF!=Z4566),#REF!),Y4566))</f>
        <v/>
      </c>
      <c r="Z4566" t="str">
        <f>IF(A4566="","",TEXT(A4566,"0")&amp;"|"&amp;TEXT(H4566,"0"))</f>
        <v/>
      </c>
      <c r="AA4566" t="str">
        <f>IF(Z4566="","",IFERROR(LOOKUP(2,1/(#REF!=Z4566),#REF!),""))</f>
        <v/>
      </c>
      <c r="AB4566" t="str">
        <f>IF(Z4566="","",IFERROR(LOOKUP(2,1/(#REF!=Z4566),#REF!),""))</f>
        <v/>
      </c>
      <c r="AC4566" t="str">
        <f>IF(Z4566="","",COUNTIF(#REF!,Z4566))</f>
        <v/>
      </c>
      <c r="AD4566" t="str">
        <f>IF(A4566="","",IF(AC4566&gt;1,"REVISAR DUPLICADO",IF(AA4566&lt;&gt;"","ACTUALIZADO POR EYR","SIN REPORTE EYR")))</f>
        <v/>
      </c>
    </row>
    <row r="4567" spans="11:30" x14ac:dyDescent="0.3">
      <c r="K4567" s="1" t="str">
        <f ca="1">IF(A4567="","",IF(OR(L4567="ENTREGADA",L4567="RETORNADA",L4567="ENTREGA DIGITAL"),0,MAX(0,5-NETWORKDAYS(H4567+1,TODAY()))))</f>
        <v/>
      </c>
      <c r="L4567" t="str">
        <f>IF(A4567="","",IFERROR(LOOKUP(2,1/(#REF!=Z4567),#REF!),Y4567))</f>
        <v/>
      </c>
      <c r="Z4567" t="str">
        <f>IF(A4567="","",TEXT(A4567,"0")&amp;"|"&amp;TEXT(H4567,"0"))</f>
        <v/>
      </c>
      <c r="AA4567" t="str">
        <f>IF(Z4567="","",IFERROR(LOOKUP(2,1/(#REF!=Z4567),#REF!),""))</f>
        <v/>
      </c>
      <c r="AB4567" t="str">
        <f>IF(Z4567="","",IFERROR(LOOKUP(2,1/(#REF!=Z4567),#REF!),""))</f>
        <v/>
      </c>
      <c r="AC4567" t="str">
        <f>IF(Z4567="","",COUNTIF(#REF!,Z4567))</f>
        <v/>
      </c>
      <c r="AD4567" t="str">
        <f>IF(A4567="","",IF(AC4567&gt;1,"REVISAR DUPLICADO",IF(AA4567&lt;&gt;"","ACTUALIZADO POR EYR","SIN REPORTE EYR")))</f>
        <v/>
      </c>
    </row>
    <row r="4568" spans="11:30" x14ac:dyDescent="0.3">
      <c r="K4568" s="1" t="str">
        <f ca="1">IF(A4568="","",IF(OR(L4568="ENTREGADA",L4568="RETORNADA",L4568="ENTREGA DIGITAL"),0,MAX(0,5-NETWORKDAYS(H4568+1,TODAY()))))</f>
        <v/>
      </c>
      <c r="L4568" t="str">
        <f>IF(A4568="","",IFERROR(LOOKUP(2,1/(#REF!=Z4568),#REF!),Y4568))</f>
        <v/>
      </c>
      <c r="Z4568" t="str">
        <f>IF(A4568="","",TEXT(A4568,"0")&amp;"|"&amp;TEXT(H4568,"0"))</f>
        <v/>
      </c>
      <c r="AA4568" t="str">
        <f>IF(Z4568="","",IFERROR(LOOKUP(2,1/(#REF!=Z4568),#REF!),""))</f>
        <v/>
      </c>
      <c r="AB4568" t="str">
        <f>IF(Z4568="","",IFERROR(LOOKUP(2,1/(#REF!=Z4568),#REF!),""))</f>
        <v/>
      </c>
      <c r="AC4568" t="str">
        <f>IF(Z4568="","",COUNTIF(#REF!,Z4568))</f>
        <v/>
      </c>
      <c r="AD4568" t="str">
        <f>IF(A4568="","",IF(AC4568&gt;1,"REVISAR DUPLICADO",IF(AA4568&lt;&gt;"","ACTUALIZADO POR EYR","SIN REPORTE EYR")))</f>
        <v/>
      </c>
    </row>
    <row r="4569" spans="11:30" x14ac:dyDescent="0.3">
      <c r="K4569" s="1" t="str">
        <f ca="1">IF(A4569="","",IF(OR(L4569="ENTREGADA",L4569="RETORNADA",L4569="ENTREGA DIGITAL"),0,MAX(0,5-NETWORKDAYS(H4569+1,TODAY()))))</f>
        <v/>
      </c>
      <c r="L4569" t="str">
        <f>IF(A4569="","",IFERROR(LOOKUP(2,1/(#REF!=Z4569),#REF!),Y4569))</f>
        <v/>
      </c>
      <c r="Z4569" t="str">
        <f>IF(A4569="","",TEXT(A4569,"0")&amp;"|"&amp;TEXT(H4569,"0"))</f>
        <v/>
      </c>
      <c r="AA4569" t="str">
        <f>IF(Z4569="","",IFERROR(LOOKUP(2,1/(#REF!=Z4569),#REF!),""))</f>
        <v/>
      </c>
      <c r="AB4569" t="str">
        <f>IF(Z4569="","",IFERROR(LOOKUP(2,1/(#REF!=Z4569),#REF!),""))</f>
        <v/>
      </c>
      <c r="AC4569" t="str">
        <f>IF(Z4569="","",COUNTIF(#REF!,Z4569))</f>
        <v/>
      </c>
      <c r="AD4569" t="str">
        <f>IF(A4569="","",IF(AC4569&gt;1,"REVISAR DUPLICADO",IF(AA4569&lt;&gt;"","ACTUALIZADO POR EYR","SIN REPORTE EYR")))</f>
        <v/>
      </c>
    </row>
    <row r="4570" spans="11:30" x14ac:dyDescent="0.3">
      <c r="K4570" s="1" t="str">
        <f ca="1">IF(A4570="","",IF(OR(L4570="ENTREGADA",L4570="RETORNADA",L4570="ENTREGA DIGITAL"),0,MAX(0,5-NETWORKDAYS(H4570+1,TODAY()))))</f>
        <v/>
      </c>
      <c r="L4570" t="str">
        <f>IF(A4570="","",IFERROR(LOOKUP(2,1/(#REF!=Z4570),#REF!),Y4570))</f>
        <v/>
      </c>
      <c r="Z4570" t="str">
        <f>IF(A4570="","",TEXT(A4570,"0")&amp;"|"&amp;TEXT(H4570,"0"))</f>
        <v/>
      </c>
      <c r="AA4570" t="str">
        <f>IF(Z4570="","",IFERROR(LOOKUP(2,1/(#REF!=Z4570),#REF!),""))</f>
        <v/>
      </c>
      <c r="AB4570" t="str">
        <f>IF(Z4570="","",IFERROR(LOOKUP(2,1/(#REF!=Z4570),#REF!),""))</f>
        <v/>
      </c>
      <c r="AC4570" t="str">
        <f>IF(Z4570="","",COUNTIF(#REF!,Z4570))</f>
        <v/>
      </c>
      <c r="AD4570" t="str">
        <f>IF(A4570="","",IF(AC4570&gt;1,"REVISAR DUPLICADO",IF(AA4570&lt;&gt;"","ACTUALIZADO POR EYR","SIN REPORTE EYR")))</f>
        <v/>
      </c>
    </row>
    <row r="4571" spans="11:30" x14ac:dyDescent="0.3">
      <c r="K4571" s="1" t="str">
        <f ca="1">IF(A4571="","",IF(OR(L4571="ENTREGADA",L4571="RETORNADA",L4571="ENTREGA DIGITAL"),0,MAX(0,5-NETWORKDAYS(H4571+1,TODAY()))))</f>
        <v/>
      </c>
      <c r="L4571" t="str">
        <f>IF(A4571="","",IFERROR(LOOKUP(2,1/(#REF!=Z4571),#REF!),Y4571))</f>
        <v/>
      </c>
      <c r="Z4571" t="str">
        <f>IF(A4571="","",TEXT(A4571,"0")&amp;"|"&amp;TEXT(H4571,"0"))</f>
        <v/>
      </c>
      <c r="AA4571" t="str">
        <f>IF(Z4571="","",IFERROR(LOOKUP(2,1/(#REF!=Z4571),#REF!),""))</f>
        <v/>
      </c>
      <c r="AB4571" t="str">
        <f>IF(Z4571="","",IFERROR(LOOKUP(2,1/(#REF!=Z4571),#REF!),""))</f>
        <v/>
      </c>
      <c r="AC4571" t="str">
        <f>IF(Z4571="","",COUNTIF(#REF!,Z4571))</f>
        <v/>
      </c>
      <c r="AD4571" t="str">
        <f>IF(A4571="","",IF(AC4571&gt;1,"REVISAR DUPLICADO",IF(AA4571&lt;&gt;"","ACTUALIZADO POR EYR","SIN REPORTE EYR")))</f>
        <v/>
      </c>
    </row>
    <row r="4572" spans="11:30" x14ac:dyDescent="0.3">
      <c r="K4572" s="1" t="str">
        <f ca="1">IF(A4572="","",IF(OR(L4572="ENTREGADA",L4572="RETORNADA",L4572="ENTREGA DIGITAL"),0,MAX(0,5-NETWORKDAYS(H4572+1,TODAY()))))</f>
        <v/>
      </c>
      <c r="L4572" t="str">
        <f>IF(A4572="","",IFERROR(LOOKUP(2,1/(#REF!=Z4572),#REF!),Y4572))</f>
        <v/>
      </c>
      <c r="Z4572" t="str">
        <f>IF(A4572="","",TEXT(A4572,"0")&amp;"|"&amp;TEXT(H4572,"0"))</f>
        <v/>
      </c>
      <c r="AA4572" t="str">
        <f>IF(Z4572="","",IFERROR(LOOKUP(2,1/(#REF!=Z4572),#REF!),""))</f>
        <v/>
      </c>
      <c r="AB4572" t="str">
        <f>IF(Z4572="","",IFERROR(LOOKUP(2,1/(#REF!=Z4572),#REF!),""))</f>
        <v/>
      </c>
      <c r="AC4572" t="str">
        <f>IF(Z4572="","",COUNTIF(#REF!,Z4572))</f>
        <v/>
      </c>
      <c r="AD4572" t="str">
        <f>IF(A4572="","",IF(AC4572&gt;1,"REVISAR DUPLICADO",IF(AA4572&lt;&gt;"","ACTUALIZADO POR EYR","SIN REPORTE EYR")))</f>
        <v/>
      </c>
    </row>
    <row r="4573" spans="11:30" x14ac:dyDescent="0.3">
      <c r="K4573" s="1" t="str">
        <f ca="1">IF(A4573="","",IF(OR(L4573="ENTREGADA",L4573="RETORNADA",L4573="ENTREGA DIGITAL"),0,MAX(0,5-NETWORKDAYS(H4573+1,TODAY()))))</f>
        <v/>
      </c>
      <c r="L4573" t="str">
        <f>IF(A4573="","",IFERROR(LOOKUP(2,1/(#REF!=Z4573),#REF!),Y4573))</f>
        <v/>
      </c>
      <c r="Z4573" t="str">
        <f>IF(A4573="","",TEXT(A4573,"0")&amp;"|"&amp;TEXT(H4573,"0"))</f>
        <v/>
      </c>
      <c r="AA4573" t="str">
        <f>IF(Z4573="","",IFERROR(LOOKUP(2,1/(#REF!=Z4573),#REF!),""))</f>
        <v/>
      </c>
      <c r="AB4573" t="str">
        <f>IF(Z4573="","",IFERROR(LOOKUP(2,1/(#REF!=Z4573),#REF!),""))</f>
        <v/>
      </c>
      <c r="AC4573" t="str">
        <f>IF(Z4573="","",COUNTIF(#REF!,Z4573))</f>
        <v/>
      </c>
      <c r="AD4573" t="str">
        <f>IF(A4573="","",IF(AC4573&gt;1,"REVISAR DUPLICADO",IF(AA4573&lt;&gt;"","ACTUALIZADO POR EYR","SIN REPORTE EYR")))</f>
        <v/>
      </c>
    </row>
    <row r="4574" spans="11:30" x14ac:dyDescent="0.3">
      <c r="K4574" s="1" t="str">
        <f ca="1">IF(A4574="","",IF(OR(L4574="ENTREGADA",L4574="RETORNADA",L4574="ENTREGA DIGITAL"),0,MAX(0,5-NETWORKDAYS(H4574+1,TODAY()))))</f>
        <v/>
      </c>
      <c r="L4574" t="str">
        <f>IF(A4574="","",IFERROR(LOOKUP(2,1/(#REF!=Z4574),#REF!),Y4574))</f>
        <v/>
      </c>
      <c r="Z4574" t="str">
        <f>IF(A4574="","",TEXT(A4574,"0")&amp;"|"&amp;TEXT(H4574,"0"))</f>
        <v/>
      </c>
      <c r="AA4574" t="str">
        <f>IF(Z4574="","",IFERROR(LOOKUP(2,1/(#REF!=Z4574),#REF!),""))</f>
        <v/>
      </c>
      <c r="AB4574" t="str">
        <f>IF(Z4574="","",IFERROR(LOOKUP(2,1/(#REF!=Z4574),#REF!),""))</f>
        <v/>
      </c>
      <c r="AC4574" t="str">
        <f>IF(Z4574="","",COUNTIF(#REF!,Z4574))</f>
        <v/>
      </c>
      <c r="AD4574" t="str">
        <f>IF(A4574="","",IF(AC4574&gt;1,"REVISAR DUPLICADO",IF(AA4574&lt;&gt;"","ACTUALIZADO POR EYR","SIN REPORTE EYR")))</f>
        <v/>
      </c>
    </row>
    <row r="4575" spans="11:30" x14ac:dyDescent="0.3">
      <c r="K4575" s="1" t="str">
        <f ca="1">IF(A4575="","",IF(OR(L4575="ENTREGADA",L4575="RETORNADA",L4575="ENTREGA DIGITAL"),0,MAX(0,5-NETWORKDAYS(H4575+1,TODAY()))))</f>
        <v/>
      </c>
      <c r="L4575" t="str">
        <f>IF(A4575="","",IFERROR(LOOKUP(2,1/(#REF!=Z4575),#REF!),Y4575))</f>
        <v/>
      </c>
      <c r="Z4575" t="str">
        <f>IF(A4575="","",TEXT(A4575,"0")&amp;"|"&amp;TEXT(H4575,"0"))</f>
        <v/>
      </c>
      <c r="AA4575" t="str">
        <f>IF(Z4575="","",IFERROR(LOOKUP(2,1/(#REF!=Z4575),#REF!),""))</f>
        <v/>
      </c>
      <c r="AB4575" t="str">
        <f>IF(Z4575="","",IFERROR(LOOKUP(2,1/(#REF!=Z4575),#REF!),""))</f>
        <v/>
      </c>
      <c r="AC4575" t="str">
        <f>IF(Z4575="","",COUNTIF(#REF!,Z4575))</f>
        <v/>
      </c>
      <c r="AD4575" t="str">
        <f>IF(A4575="","",IF(AC4575&gt;1,"REVISAR DUPLICADO",IF(AA4575&lt;&gt;"","ACTUALIZADO POR EYR","SIN REPORTE EYR")))</f>
        <v/>
      </c>
    </row>
    <row r="4576" spans="11:30" x14ac:dyDescent="0.3">
      <c r="K4576" s="1" t="str">
        <f ca="1">IF(A4576="","",IF(OR(L4576="ENTREGADA",L4576="RETORNADA",L4576="ENTREGA DIGITAL"),0,MAX(0,5-NETWORKDAYS(H4576+1,TODAY()))))</f>
        <v/>
      </c>
      <c r="L4576" t="str">
        <f>IF(A4576="","",IFERROR(LOOKUP(2,1/(#REF!=Z4576),#REF!),Y4576))</f>
        <v/>
      </c>
      <c r="Z4576" t="str">
        <f>IF(A4576="","",TEXT(A4576,"0")&amp;"|"&amp;TEXT(H4576,"0"))</f>
        <v/>
      </c>
      <c r="AA4576" t="str">
        <f>IF(Z4576="","",IFERROR(LOOKUP(2,1/(#REF!=Z4576),#REF!),""))</f>
        <v/>
      </c>
      <c r="AB4576" t="str">
        <f>IF(Z4576="","",IFERROR(LOOKUP(2,1/(#REF!=Z4576),#REF!),""))</f>
        <v/>
      </c>
      <c r="AC4576" t="str">
        <f>IF(Z4576="","",COUNTIF(#REF!,Z4576))</f>
        <v/>
      </c>
      <c r="AD4576" t="str">
        <f>IF(A4576="","",IF(AC4576&gt;1,"REVISAR DUPLICADO",IF(AA4576&lt;&gt;"","ACTUALIZADO POR EYR","SIN REPORTE EYR")))</f>
        <v/>
      </c>
    </row>
    <row r="4577" spans="11:30" x14ac:dyDescent="0.3">
      <c r="K4577" s="1" t="str">
        <f ca="1">IF(A4577="","",IF(OR(L4577="ENTREGADA",L4577="RETORNADA",L4577="ENTREGA DIGITAL"),0,MAX(0,5-NETWORKDAYS(H4577+1,TODAY()))))</f>
        <v/>
      </c>
      <c r="L4577" t="str">
        <f>IF(A4577="","",IFERROR(LOOKUP(2,1/(#REF!=Z4577),#REF!),Y4577))</f>
        <v/>
      </c>
      <c r="Z4577" t="str">
        <f>IF(A4577="","",TEXT(A4577,"0")&amp;"|"&amp;TEXT(H4577,"0"))</f>
        <v/>
      </c>
      <c r="AA4577" t="str">
        <f>IF(Z4577="","",IFERROR(LOOKUP(2,1/(#REF!=Z4577),#REF!),""))</f>
        <v/>
      </c>
      <c r="AB4577" t="str">
        <f>IF(Z4577="","",IFERROR(LOOKUP(2,1/(#REF!=Z4577),#REF!),""))</f>
        <v/>
      </c>
      <c r="AC4577" t="str">
        <f>IF(Z4577="","",COUNTIF(#REF!,Z4577))</f>
        <v/>
      </c>
      <c r="AD4577" t="str">
        <f>IF(A4577="","",IF(AC4577&gt;1,"REVISAR DUPLICADO",IF(AA4577&lt;&gt;"","ACTUALIZADO POR EYR","SIN REPORTE EYR")))</f>
        <v/>
      </c>
    </row>
    <row r="4578" spans="11:30" x14ac:dyDescent="0.3">
      <c r="K4578" s="1" t="str">
        <f ca="1">IF(A4578="","",IF(OR(L4578="ENTREGADA",L4578="RETORNADA",L4578="ENTREGA DIGITAL"),0,MAX(0,5-NETWORKDAYS(H4578+1,TODAY()))))</f>
        <v/>
      </c>
      <c r="L4578" t="str">
        <f>IF(A4578="","",IFERROR(LOOKUP(2,1/(#REF!=Z4578),#REF!),Y4578))</f>
        <v/>
      </c>
      <c r="Z4578" t="str">
        <f>IF(A4578="","",TEXT(A4578,"0")&amp;"|"&amp;TEXT(H4578,"0"))</f>
        <v/>
      </c>
      <c r="AA4578" t="str">
        <f>IF(Z4578="","",IFERROR(LOOKUP(2,1/(#REF!=Z4578),#REF!),""))</f>
        <v/>
      </c>
      <c r="AB4578" t="str">
        <f>IF(Z4578="","",IFERROR(LOOKUP(2,1/(#REF!=Z4578),#REF!),""))</f>
        <v/>
      </c>
      <c r="AC4578" t="str">
        <f>IF(Z4578="","",COUNTIF(#REF!,Z4578))</f>
        <v/>
      </c>
      <c r="AD4578" t="str">
        <f>IF(A4578="","",IF(AC4578&gt;1,"REVISAR DUPLICADO",IF(AA4578&lt;&gt;"","ACTUALIZADO POR EYR","SIN REPORTE EYR")))</f>
        <v/>
      </c>
    </row>
    <row r="4579" spans="11:30" x14ac:dyDescent="0.3">
      <c r="K4579" s="1" t="str">
        <f ca="1">IF(A4579="","",IF(OR(L4579="ENTREGADA",L4579="RETORNADA",L4579="ENTREGA DIGITAL"),0,MAX(0,5-NETWORKDAYS(H4579+1,TODAY()))))</f>
        <v/>
      </c>
      <c r="L4579" t="str">
        <f>IF(A4579="","",IFERROR(LOOKUP(2,1/(#REF!=Z4579),#REF!),Y4579))</f>
        <v/>
      </c>
      <c r="Z4579" t="str">
        <f>IF(A4579="","",TEXT(A4579,"0")&amp;"|"&amp;TEXT(H4579,"0"))</f>
        <v/>
      </c>
      <c r="AA4579" t="str">
        <f>IF(Z4579="","",IFERROR(LOOKUP(2,1/(#REF!=Z4579),#REF!),""))</f>
        <v/>
      </c>
      <c r="AB4579" t="str">
        <f>IF(Z4579="","",IFERROR(LOOKUP(2,1/(#REF!=Z4579),#REF!),""))</f>
        <v/>
      </c>
      <c r="AC4579" t="str">
        <f>IF(Z4579="","",COUNTIF(#REF!,Z4579))</f>
        <v/>
      </c>
      <c r="AD4579" t="str">
        <f>IF(A4579="","",IF(AC4579&gt;1,"REVISAR DUPLICADO",IF(AA4579&lt;&gt;"","ACTUALIZADO POR EYR","SIN REPORTE EYR")))</f>
        <v/>
      </c>
    </row>
    <row r="4580" spans="11:30" x14ac:dyDescent="0.3">
      <c r="K4580" s="1" t="str">
        <f ca="1">IF(A4580="","",IF(OR(L4580="ENTREGADA",L4580="RETORNADA",L4580="ENTREGA DIGITAL"),0,MAX(0,5-NETWORKDAYS(H4580+1,TODAY()))))</f>
        <v/>
      </c>
      <c r="L4580" t="str">
        <f>IF(A4580="","",IFERROR(LOOKUP(2,1/(#REF!=Z4580),#REF!),Y4580))</f>
        <v/>
      </c>
      <c r="Z4580" t="str">
        <f>IF(A4580="","",TEXT(A4580,"0")&amp;"|"&amp;TEXT(H4580,"0"))</f>
        <v/>
      </c>
      <c r="AA4580" t="str">
        <f>IF(Z4580="","",IFERROR(LOOKUP(2,1/(#REF!=Z4580),#REF!),""))</f>
        <v/>
      </c>
      <c r="AB4580" t="str">
        <f>IF(Z4580="","",IFERROR(LOOKUP(2,1/(#REF!=Z4580),#REF!),""))</f>
        <v/>
      </c>
      <c r="AC4580" t="str">
        <f>IF(Z4580="","",COUNTIF(#REF!,Z4580))</f>
        <v/>
      </c>
      <c r="AD4580" t="str">
        <f>IF(A4580="","",IF(AC4580&gt;1,"REVISAR DUPLICADO",IF(AA4580&lt;&gt;"","ACTUALIZADO POR EYR","SIN REPORTE EYR")))</f>
        <v/>
      </c>
    </row>
    <row r="4581" spans="11:30" x14ac:dyDescent="0.3">
      <c r="K4581" s="1" t="str">
        <f ca="1">IF(A4581="","",IF(OR(L4581="ENTREGADA",L4581="RETORNADA",L4581="ENTREGA DIGITAL"),0,MAX(0,5-NETWORKDAYS(H4581+1,TODAY()))))</f>
        <v/>
      </c>
      <c r="L4581" t="str">
        <f>IF(A4581="","",IFERROR(LOOKUP(2,1/(#REF!=Z4581),#REF!),Y4581))</f>
        <v/>
      </c>
      <c r="Z4581" t="str">
        <f>IF(A4581="","",TEXT(A4581,"0")&amp;"|"&amp;TEXT(H4581,"0"))</f>
        <v/>
      </c>
      <c r="AA4581" t="str">
        <f>IF(Z4581="","",IFERROR(LOOKUP(2,1/(#REF!=Z4581),#REF!),""))</f>
        <v/>
      </c>
      <c r="AB4581" t="str">
        <f>IF(Z4581="","",IFERROR(LOOKUP(2,1/(#REF!=Z4581),#REF!),""))</f>
        <v/>
      </c>
      <c r="AC4581" t="str">
        <f>IF(Z4581="","",COUNTIF(#REF!,Z4581))</f>
        <v/>
      </c>
      <c r="AD4581" t="str">
        <f>IF(A4581="","",IF(AC4581&gt;1,"REVISAR DUPLICADO",IF(AA4581&lt;&gt;"","ACTUALIZADO POR EYR","SIN REPORTE EYR")))</f>
        <v/>
      </c>
    </row>
    <row r="4582" spans="11:30" x14ac:dyDescent="0.3">
      <c r="K4582" s="1" t="str">
        <f ca="1">IF(A4582="","",IF(OR(L4582="ENTREGADA",L4582="RETORNADA",L4582="ENTREGA DIGITAL"),0,MAX(0,5-NETWORKDAYS(H4582+1,TODAY()))))</f>
        <v/>
      </c>
      <c r="L4582" t="str">
        <f>IF(A4582="","",IFERROR(LOOKUP(2,1/(#REF!=Z4582),#REF!),Y4582))</f>
        <v/>
      </c>
      <c r="Z4582" t="str">
        <f>IF(A4582="","",TEXT(A4582,"0")&amp;"|"&amp;TEXT(H4582,"0"))</f>
        <v/>
      </c>
      <c r="AA4582" t="str">
        <f>IF(Z4582="","",IFERROR(LOOKUP(2,1/(#REF!=Z4582),#REF!),""))</f>
        <v/>
      </c>
      <c r="AB4582" t="str">
        <f>IF(Z4582="","",IFERROR(LOOKUP(2,1/(#REF!=Z4582),#REF!),""))</f>
        <v/>
      </c>
      <c r="AC4582" t="str">
        <f>IF(Z4582="","",COUNTIF(#REF!,Z4582))</f>
        <v/>
      </c>
      <c r="AD4582" t="str">
        <f>IF(A4582="","",IF(AC4582&gt;1,"REVISAR DUPLICADO",IF(AA4582&lt;&gt;"","ACTUALIZADO POR EYR","SIN REPORTE EYR")))</f>
        <v/>
      </c>
    </row>
    <row r="4583" spans="11:30" x14ac:dyDescent="0.3">
      <c r="K4583" s="1" t="str">
        <f ca="1">IF(A4583="","",IF(OR(L4583="ENTREGADA",L4583="RETORNADA",L4583="ENTREGA DIGITAL"),0,MAX(0,5-NETWORKDAYS(H4583+1,TODAY()))))</f>
        <v/>
      </c>
      <c r="L4583" t="str">
        <f>IF(A4583="","",IFERROR(LOOKUP(2,1/(#REF!=Z4583),#REF!),Y4583))</f>
        <v/>
      </c>
      <c r="Z4583" t="str">
        <f>IF(A4583="","",TEXT(A4583,"0")&amp;"|"&amp;TEXT(H4583,"0"))</f>
        <v/>
      </c>
      <c r="AA4583" t="str">
        <f>IF(Z4583="","",IFERROR(LOOKUP(2,1/(#REF!=Z4583),#REF!),""))</f>
        <v/>
      </c>
      <c r="AB4583" t="str">
        <f>IF(Z4583="","",IFERROR(LOOKUP(2,1/(#REF!=Z4583),#REF!),""))</f>
        <v/>
      </c>
      <c r="AC4583" t="str">
        <f>IF(Z4583="","",COUNTIF(#REF!,Z4583))</f>
        <v/>
      </c>
      <c r="AD4583" t="str">
        <f>IF(A4583="","",IF(AC4583&gt;1,"REVISAR DUPLICADO",IF(AA4583&lt;&gt;"","ACTUALIZADO POR EYR","SIN REPORTE EYR")))</f>
        <v/>
      </c>
    </row>
    <row r="4584" spans="11:30" x14ac:dyDescent="0.3">
      <c r="K4584" s="1" t="str">
        <f ca="1">IF(A4584="","",IF(OR(L4584="ENTREGADA",L4584="RETORNADA",L4584="ENTREGA DIGITAL"),0,MAX(0,5-NETWORKDAYS(H4584+1,TODAY()))))</f>
        <v/>
      </c>
      <c r="L4584" t="str">
        <f>IF(A4584="","",IFERROR(LOOKUP(2,1/(#REF!=Z4584),#REF!),Y4584))</f>
        <v/>
      </c>
      <c r="Z4584" t="str">
        <f>IF(A4584="","",TEXT(A4584,"0")&amp;"|"&amp;TEXT(H4584,"0"))</f>
        <v/>
      </c>
      <c r="AA4584" t="str">
        <f>IF(Z4584="","",IFERROR(LOOKUP(2,1/(#REF!=Z4584),#REF!),""))</f>
        <v/>
      </c>
      <c r="AB4584" t="str">
        <f>IF(Z4584="","",IFERROR(LOOKUP(2,1/(#REF!=Z4584),#REF!),""))</f>
        <v/>
      </c>
      <c r="AC4584" t="str">
        <f>IF(Z4584="","",COUNTIF(#REF!,Z4584))</f>
        <v/>
      </c>
      <c r="AD4584" t="str">
        <f>IF(A4584="","",IF(AC4584&gt;1,"REVISAR DUPLICADO",IF(AA4584&lt;&gt;"","ACTUALIZADO POR EYR","SIN REPORTE EYR")))</f>
        <v/>
      </c>
    </row>
    <row r="4585" spans="11:30" x14ac:dyDescent="0.3">
      <c r="K4585" s="1" t="str">
        <f ca="1">IF(A4585="","",IF(OR(L4585="ENTREGADA",L4585="RETORNADA",L4585="ENTREGA DIGITAL"),0,MAX(0,5-NETWORKDAYS(H4585+1,TODAY()))))</f>
        <v/>
      </c>
      <c r="L4585" t="str">
        <f>IF(A4585="","",IFERROR(LOOKUP(2,1/(#REF!=Z4585),#REF!),Y4585))</f>
        <v/>
      </c>
      <c r="Z4585" t="str">
        <f>IF(A4585="","",TEXT(A4585,"0")&amp;"|"&amp;TEXT(H4585,"0"))</f>
        <v/>
      </c>
      <c r="AA4585" t="str">
        <f>IF(Z4585="","",IFERROR(LOOKUP(2,1/(#REF!=Z4585),#REF!),""))</f>
        <v/>
      </c>
      <c r="AB4585" t="str">
        <f>IF(Z4585="","",IFERROR(LOOKUP(2,1/(#REF!=Z4585),#REF!),""))</f>
        <v/>
      </c>
      <c r="AC4585" t="str">
        <f>IF(Z4585="","",COUNTIF(#REF!,Z4585))</f>
        <v/>
      </c>
      <c r="AD4585" t="str">
        <f>IF(A4585="","",IF(AC4585&gt;1,"REVISAR DUPLICADO",IF(AA4585&lt;&gt;"","ACTUALIZADO POR EYR","SIN REPORTE EYR")))</f>
        <v/>
      </c>
    </row>
    <row r="4586" spans="11:30" x14ac:dyDescent="0.3">
      <c r="K4586" s="1" t="str">
        <f ca="1">IF(A4586="","",IF(OR(L4586="ENTREGADA",L4586="RETORNADA",L4586="ENTREGA DIGITAL"),0,MAX(0,5-NETWORKDAYS(H4586+1,TODAY()))))</f>
        <v/>
      </c>
      <c r="L4586" t="str">
        <f>IF(A4586="","",IFERROR(LOOKUP(2,1/(#REF!=Z4586),#REF!),Y4586))</f>
        <v/>
      </c>
      <c r="Z4586" t="str">
        <f>IF(A4586="","",TEXT(A4586,"0")&amp;"|"&amp;TEXT(H4586,"0"))</f>
        <v/>
      </c>
      <c r="AA4586" t="str">
        <f>IF(Z4586="","",IFERROR(LOOKUP(2,1/(#REF!=Z4586),#REF!),""))</f>
        <v/>
      </c>
      <c r="AB4586" t="str">
        <f>IF(Z4586="","",IFERROR(LOOKUP(2,1/(#REF!=Z4586),#REF!),""))</f>
        <v/>
      </c>
      <c r="AC4586" t="str">
        <f>IF(Z4586="","",COUNTIF(#REF!,Z4586))</f>
        <v/>
      </c>
      <c r="AD4586" t="str">
        <f>IF(A4586="","",IF(AC4586&gt;1,"REVISAR DUPLICADO",IF(AA4586&lt;&gt;"","ACTUALIZADO POR EYR","SIN REPORTE EYR")))</f>
        <v/>
      </c>
    </row>
    <row r="4587" spans="11:30" x14ac:dyDescent="0.3">
      <c r="K4587" s="1" t="str">
        <f ca="1">IF(A4587="","",IF(OR(L4587="ENTREGADA",L4587="RETORNADA",L4587="ENTREGA DIGITAL"),0,MAX(0,5-NETWORKDAYS(H4587+1,TODAY()))))</f>
        <v/>
      </c>
      <c r="L4587" t="str">
        <f>IF(A4587="","",IFERROR(LOOKUP(2,1/(#REF!=Z4587),#REF!),Y4587))</f>
        <v/>
      </c>
      <c r="Z4587" t="str">
        <f>IF(A4587="","",TEXT(A4587,"0")&amp;"|"&amp;TEXT(H4587,"0"))</f>
        <v/>
      </c>
      <c r="AA4587" t="str">
        <f>IF(Z4587="","",IFERROR(LOOKUP(2,1/(#REF!=Z4587),#REF!),""))</f>
        <v/>
      </c>
      <c r="AB4587" t="str">
        <f>IF(Z4587="","",IFERROR(LOOKUP(2,1/(#REF!=Z4587),#REF!),""))</f>
        <v/>
      </c>
      <c r="AC4587" t="str">
        <f>IF(Z4587="","",COUNTIF(#REF!,Z4587))</f>
        <v/>
      </c>
      <c r="AD4587" t="str">
        <f>IF(A4587="","",IF(AC4587&gt;1,"REVISAR DUPLICADO",IF(AA4587&lt;&gt;"","ACTUALIZADO POR EYR","SIN REPORTE EYR")))</f>
        <v/>
      </c>
    </row>
    <row r="4588" spans="11:30" x14ac:dyDescent="0.3">
      <c r="K4588" s="1" t="str">
        <f ca="1">IF(A4588="","",IF(OR(L4588="ENTREGADA",L4588="RETORNADA",L4588="ENTREGA DIGITAL"),0,MAX(0,5-NETWORKDAYS(H4588+1,TODAY()))))</f>
        <v/>
      </c>
      <c r="L4588" t="str">
        <f>IF(A4588="","",IFERROR(LOOKUP(2,1/(#REF!=Z4588),#REF!),Y4588))</f>
        <v/>
      </c>
      <c r="Z4588" t="str">
        <f>IF(A4588="","",TEXT(A4588,"0")&amp;"|"&amp;TEXT(H4588,"0"))</f>
        <v/>
      </c>
      <c r="AA4588" t="str">
        <f>IF(Z4588="","",IFERROR(LOOKUP(2,1/(#REF!=Z4588),#REF!),""))</f>
        <v/>
      </c>
      <c r="AB4588" t="str">
        <f>IF(Z4588="","",IFERROR(LOOKUP(2,1/(#REF!=Z4588),#REF!),""))</f>
        <v/>
      </c>
      <c r="AC4588" t="str">
        <f>IF(Z4588="","",COUNTIF(#REF!,Z4588))</f>
        <v/>
      </c>
      <c r="AD4588" t="str">
        <f>IF(A4588="","",IF(AC4588&gt;1,"REVISAR DUPLICADO",IF(AA4588&lt;&gt;"","ACTUALIZADO POR EYR","SIN REPORTE EYR")))</f>
        <v/>
      </c>
    </row>
    <row r="4589" spans="11:30" x14ac:dyDescent="0.3">
      <c r="K4589" s="1" t="str">
        <f ca="1">IF(A4589="","",IF(OR(L4589="ENTREGADA",L4589="RETORNADA",L4589="ENTREGA DIGITAL"),0,MAX(0,5-NETWORKDAYS(H4589+1,TODAY()))))</f>
        <v/>
      </c>
      <c r="L4589" t="str">
        <f>IF(A4589="","",IFERROR(LOOKUP(2,1/(#REF!=Z4589),#REF!),Y4589))</f>
        <v/>
      </c>
      <c r="Z4589" t="str">
        <f>IF(A4589="","",TEXT(A4589,"0")&amp;"|"&amp;TEXT(H4589,"0"))</f>
        <v/>
      </c>
      <c r="AA4589" t="str">
        <f>IF(Z4589="","",IFERROR(LOOKUP(2,1/(#REF!=Z4589),#REF!),""))</f>
        <v/>
      </c>
      <c r="AB4589" t="str">
        <f>IF(Z4589="","",IFERROR(LOOKUP(2,1/(#REF!=Z4589),#REF!),""))</f>
        <v/>
      </c>
      <c r="AC4589" t="str">
        <f>IF(Z4589="","",COUNTIF(#REF!,Z4589))</f>
        <v/>
      </c>
      <c r="AD4589" t="str">
        <f>IF(A4589="","",IF(AC4589&gt;1,"REVISAR DUPLICADO",IF(AA4589&lt;&gt;"","ACTUALIZADO POR EYR","SIN REPORTE EYR")))</f>
        <v/>
      </c>
    </row>
    <row r="4590" spans="11:30" x14ac:dyDescent="0.3">
      <c r="K4590" s="1" t="str">
        <f ca="1">IF(A4590="","",IF(OR(L4590="ENTREGADA",L4590="RETORNADA",L4590="ENTREGA DIGITAL"),0,MAX(0,5-NETWORKDAYS(H4590+1,TODAY()))))</f>
        <v/>
      </c>
      <c r="L4590" t="str">
        <f>IF(A4590="","",IFERROR(LOOKUP(2,1/(#REF!=Z4590),#REF!),Y4590))</f>
        <v/>
      </c>
      <c r="Z4590" t="str">
        <f>IF(A4590="","",TEXT(A4590,"0")&amp;"|"&amp;TEXT(H4590,"0"))</f>
        <v/>
      </c>
      <c r="AA4590" t="str">
        <f>IF(Z4590="","",IFERROR(LOOKUP(2,1/(#REF!=Z4590),#REF!),""))</f>
        <v/>
      </c>
      <c r="AB4590" t="str">
        <f>IF(Z4590="","",IFERROR(LOOKUP(2,1/(#REF!=Z4590),#REF!),""))</f>
        <v/>
      </c>
      <c r="AC4590" t="str">
        <f>IF(Z4590="","",COUNTIF(#REF!,Z4590))</f>
        <v/>
      </c>
      <c r="AD4590" t="str">
        <f>IF(A4590="","",IF(AC4590&gt;1,"REVISAR DUPLICADO",IF(AA4590&lt;&gt;"","ACTUALIZADO POR EYR","SIN REPORTE EYR")))</f>
        <v/>
      </c>
    </row>
    <row r="4591" spans="11:30" x14ac:dyDescent="0.3">
      <c r="K4591" s="1" t="str">
        <f ca="1">IF(A4591="","",IF(OR(L4591="ENTREGADA",L4591="RETORNADA",L4591="ENTREGA DIGITAL"),0,MAX(0,5-NETWORKDAYS(H4591+1,TODAY()))))</f>
        <v/>
      </c>
      <c r="L4591" t="str">
        <f>IF(A4591="","",IFERROR(LOOKUP(2,1/(#REF!=Z4591),#REF!),Y4591))</f>
        <v/>
      </c>
      <c r="Z4591" t="str">
        <f>IF(A4591="","",TEXT(A4591,"0")&amp;"|"&amp;TEXT(H4591,"0"))</f>
        <v/>
      </c>
      <c r="AA4591" t="str">
        <f>IF(Z4591="","",IFERROR(LOOKUP(2,1/(#REF!=Z4591),#REF!),""))</f>
        <v/>
      </c>
      <c r="AB4591" t="str">
        <f>IF(Z4591="","",IFERROR(LOOKUP(2,1/(#REF!=Z4591),#REF!),""))</f>
        <v/>
      </c>
      <c r="AC4591" t="str">
        <f>IF(Z4591="","",COUNTIF(#REF!,Z4591))</f>
        <v/>
      </c>
      <c r="AD4591" t="str">
        <f>IF(A4591="","",IF(AC4591&gt;1,"REVISAR DUPLICADO",IF(AA4591&lt;&gt;"","ACTUALIZADO POR EYR","SIN REPORTE EYR")))</f>
        <v/>
      </c>
    </row>
    <row r="4592" spans="11:30" x14ac:dyDescent="0.3">
      <c r="K4592" s="1" t="str">
        <f ca="1">IF(A4592="","",IF(OR(L4592="ENTREGADA",L4592="RETORNADA",L4592="ENTREGA DIGITAL"),0,MAX(0,5-NETWORKDAYS(H4592+1,TODAY()))))</f>
        <v/>
      </c>
      <c r="L4592" t="str">
        <f>IF(A4592="","",IFERROR(LOOKUP(2,1/(#REF!=Z4592),#REF!),Y4592))</f>
        <v/>
      </c>
      <c r="Z4592" t="str">
        <f>IF(A4592="","",TEXT(A4592,"0")&amp;"|"&amp;TEXT(H4592,"0"))</f>
        <v/>
      </c>
      <c r="AA4592" t="str">
        <f>IF(Z4592="","",IFERROR(LOOKUP(2,1/(#REF!=Z4592),#REF!),""))</f>
        <v/>
      </c>
      <c r="AB4592" t="str">
        <f>IF(Z4592="","",IFERROR(LOOKUP(2,1/(#REF!=Z4592),#REF!),""))</f>
        <v/>
      </c>
      <c r="AC4592" t="str">
        <f>IF(Z4592="","",COUNTIF(#REF!,Z4592))</f>
        <v/>
      </c>
      <c r="AD4592" t="str">
        <f>IF(A4592="","",IF(AC4592&gt;1,"REVISAR DUPLICADO",IF(AA4592&lt;&gt;"","ACTUALIZADO POR EYR","SIN REPORTE EYR")))</f>
        <v/>
      </c>
    </row>
    <row r="4593" spans="11:30" x14ac:dyDescent="0.3">
      <c r="K4593" s="1" t="str">
        <f ca="1">IF(A4593="","",IF(OR(L4593="ENTREGADA",L4593="RETORNADA",L4593="ENTREGA DIGITAL"),0,MAX(0,5-NETWORKDAYS(H4593+1,TODAY()))))</f>
        <v/>
      </c>
      <c r="L4593" t="str">
        <f>IF(A4593="","",IFERROR(LOOKUP(2,1/(#REF!=Z4593),#REF!),Y4593))</f>
        <v/>
      </c>
      <c r="Z4593" t="str">
        <f>IF(A4593="","",TEXT(A4593,"0")&amp;"|"&amp;TEXT(H4593,"0"))</f>
        <v/>
      </c>
      <c r="AA4593" t="str">
        <f>IF(Z4593="","",IFERROR(LOOKUP(2,1/(#REF!=Z4593),#REF!),""))</f>
        <v/>
      </c>
      <c r="AB4593" t="str">
        <f>IF(Z4593="","",IFERROR(LOOKUP(2,1/(#REF!=Z4593),#REF!),""))</f>
        <v/>
      </c>
      <c r="AC4593" t="str">
        <f>IF(Z4593="","",COUNTIF(#REF!,Z4593))</f>
        <v/>
      </c>
      <c r="AD4593" t="str">
        <f>IF(A4593="","",IF(AC4593&gt;1,"REVISAR DUPLICADO",IF(AA4593&lt;&gt;"","ACTUALIZADO POR EYR","SIN REPORTE EYR")))</f>
        <v/>
      </c>
    </row>
    <row r="4594" spans="11:30" x14ac:dyDescent="0.3">
      <c r="K4594" s="1" t="str">
        <f ca="1">IF(A4594="","",IF(OR(L4594="ENTREGADA",L4594="RETORNADA",L4594="ENTREGA DIGITAL"),0,MAX(0,5-NETWORKDAYS(H4594+1,TODAY()))))</f>
        <v/>
      </c>
      <c r="L4594" t="str">
        <f>IF(A4594="","",IFERROR(LOOKUP(2,1/(#REF!=Z4594),#REF!),Y4594))</f>
        <v/>
      </c>
      <c r="Z4594" t="str">
        <f>IF(A4594="","",TEXT(A4594,"0")&amp;"|"&amp;TEXT(H4594,"0"))</f>
        <v/>
      </c>
      <c r="AA4594" t="str">
        <f>IF(Z4594="","",IFERROR(LOOKUP(2,1/(#REF!=Z4594),#REF!),""))</f>
        <v/>
      </c>
      <c r="AB4594" t="str">
        <f>IF(Z4594="","",IFERROR(LOOKUP(2,1/(#REF!=Z4594),#REF!),""))</f>
        <v/>
      </c>
      <c r="AC4594" t="str">
        <f>IF(Z4594="","",COUNTIF(#REF!,Z4594))</f>
        <v/>
      </c>
      <c r="AD4594" t="str">
        <f>IF(A4594="","",IF(AC4594&gt;1,"REVISAR DUPLICADO",IF(AA4594&lt;&gt;"","ACTUALIZADO POR EYR","SIN REPORTE EYR")))</f>
        <v/>
      </c>
    </row>
    <row r="4595" spans="11:30" x14ac:dyDescent="0.3">
      <c r="K4595" s="1" t="str">
        <f ca="1">IF(A4595="","",IF(OR(L4595="ENTREGADA",L4595="RETORNADA",L4595="ENTREGA DIGITAL"),0,MAX(0,5-NETWORKDAYS(H4595+1,TODAY()))))</f>
        <v/>
      </c>
      <c r="L4595" t="str">
        <f>IF(A4595="","",IFERROR(LOOKUP(2,1/(#REF!=Z4595),#REF!),Y4595))</f>
        <v/>
      </c>
      <c r="Z4595" t="str">
        <f>IF(A4595="","",TEXT(A4595,"0")&amp;"|"&amp;TEXT(H4595,"0"))</f>
        <v/>
      </c>
      <c r="AA4595" t="str">
        <f>IF(Z4595="","",IFERROR(LOOKUP(2,1/(#REF!=Z4595),#REF!),""))</f>
        <v/>
      </c>
      <c r="AB4595" t="str">
        <f>IF(Z4595="","",IFERROR(LOOKUP(2,1/(#REF!=Z4595),#REF!),""))</f>
        <v/>
      </c>
      <c r="AC4595" t="str">
        <f>IF(Z4595="","",COUNTIF(#REF!,Z4595))</f>
        <v/>
      </c>
      <c r="AD4595" t="str">
        <f>IF(A4595="","",IF(AC4595&gt;1,"REVISAR DUPLICADO",IF(AA4595&lt;&gt;"","ACTUALIZADO POR EYR","SIN REPORTE EYR")))</f>
        <v/>
      </c>
    </row>
    <row r="4596" spans="11:30" x14ac:dyDescent="0.3">
      <c r="K4596" s="1" t="str">
        <f ca="1">IF(A4596="","",IF(OR(L4596="ENTREGADA",L4596="RETORNADA",L4596="ENTREGA DIGITAL"),0,MAX(0,5-NETWORKDAYS(H4596+1,TODAY()))))</f>
        <v/>
      </c>
      <c r="L4596" t="str">
        <f>IF(A4596="","",IFERROR(LOOKUP(2,1/(#REF!=Z4596),#REF!),Y4596))</f>
        <v/>
      </c>
      <c r="Z4596" t="str">
        <f>IF(A4596="","",TEXT(A4596,"0")&amp;"|"&amp;TEXT(H4596,"0"))</f>
        <v/>
      </c>
      <c r="AA4596" t="str">
        <f>IF(Z4596="","",IFERROR(LOOKUP(2,1/(#REF!=Z4596),#REF!),""))</f>
        <v/>
      </c>
      <c r="AB4596" t="str">
        <f>IF(Z4596="","",IFERROR(LOOKUP(2,1/(#REF!=Z4596),#REF!),""))</f>
        <v/>
      </c>
      <c r="AC4596" t="str">
        <f>IF(Z4596="","",COUNTIF(#REF!,Z4596))</f>
        <v/>
      </c>
      <c r="AD4596" t="str">
        <f>IF(A4596="","",IF(AC4596&gt;1,"REVISAR DUPLICADO",IF(AA4596&lt;&gt;"","ACTUALIZADO POR EYR","SIN REPORTE EYR")))</f>
        <v/>
      </c>
    </row>
    <row r="4597" spans="11:30" x14ac:dyDescent="0.3">
      <c r="K4597" s="1" t="str">
        <f ca="1">IF(A4597="","",IF(OR(L4597="ENTREGADA",L4597="RETORNADA",L4597="ENTREGA DIGITAL"),0,MAX(0,5-NETWORKDAYS(H4597+1,TODAY()))))</f>
        <v/>
      </c>
      <c r="L4597" t="str">
        <f>IF(A4597="","",IFERROR(LOOKUP(2,1/(#REF!=Z4597),#REF!),Y4597))</f>
        <v/>
      </c>
      <c r="Z4597" t="str">
        <f>IF(A4597="","",TEXT(A4597,"0")&amp;"|"&amp;TEXT(H4597,"0"))</f>
        <v/>
      </c>
      <c r="AA4597" t="str">
        <f>IF(Z4597="","",IFERROR(LOOKUP(2,1/(#REF!=Z4597),#REF!),""))</f>
        <v/>
      </c>
      <c r="AB4597" t="str">
        <f>IF(Z4597="","",IFERROR(LOOKUP(2,1/(#REF!=Z4597),#REF!),""))</f>
        <v/>
      </c>
      <c r="AC4597" t="str">
        <f>IF(Z4597="","",COUNTIF(#REF!,Z4597))</f>
        <v/>
      </c>
      <c r="AD4597" t="str">
        <f>IF(A4597="","",IF(AC4597&gt;1,"REVISAR DUPLICADO",IF(AA4597&lt;&gt;"","ACTUALIZADO POR EYR","SIN REPORTE EYR")))</f>
        <v/>
      </c>
    </row>
    <row r="4598" spans="11:30" x14ac:dyDescent="0.3">
      <c r="K4598" s="1" t="str">
        <f ca="1">IF(A4598="","",IF(OR(L4598="ENTREGADA",L4598="RETORNADA",L4598="ENTREGA DIGITAL"),0,MAX(0,5-NETWORKDAYS(H4598+1,TODAY()))))</f>
        <v/>
      </c>
      <c r="L4598" t="str">
        <f>IF(A4598="","",IFERROR(LOOKUP(2,1/(#REF!=Z4598),#REF!),Y4598))</f>
        <v/>
      </c>
      <c r="Z4598" t="str">
        <f>IF(A4598="","",TEXT(A4598,"0")&amp;"|"&amp;TEXT(H4598,"0"))</f>
        <v/>
      </c>
      <c r="AA4598" t="str">
        <f>IF(Z4598="","",IFERROR(LOOKUP(2,1/(#REF!=Z4598),#REF!),""))</f>
        <v/>
      </c>
      <c r="AB4598" t="str">
        <f>IF(Z4598="","",IFERROR(LOOKUP(2,1/(#REF!=Z4598),#REF!),""))</f>
        <v/>
      </c>
      <c r="AC4598" t="str">
        <f>IF(Z4598="","",COUNTIF(#REF!,Z4598))</f>
        <v/>
      </c>
      <c r="AD4598" t="str">
        <f>IF(A4598="","",IF(AC4598&gt;1,"REVISAR DUPLICADO",IF(AA4598&lt;&gt;"","ACTUALIZADO POR EYR","SIN REPORTE EYR")))</f>
        <v/>
      </c>
    </row>
    <row r="4599" spans="11:30" x14ac:dyDescent="0.3">
      <c r="K4599" s="1" t="str">
        <f ca="1">IF(A4599="","",IF(OR(L4599="ENTREGADA",L4599="RETORNADA",L4599="ENTREGA DIGITAL"),0,MAX(0,5-NETWORKDAYS(H4599+1,TODAY()))))</f>
        <v/>
      </c>
      <c r="L4599" t="str">
        <f>IF(A4599="","",IFERROR(LOOKUP(2,1/(#REF!=Z4599),#REF!),Y4599))</f>
        <v/>
      </c>
      <c r="Z4599" t="str">
        <f>IF(A4599="","",TEXT(A4599,"0")&amp;"|"&amp;TEXT(H4599,"0"))</f>
        <v/>
      </c>
      <c r="AA4599" t="str">
        <f>IF(Z4599="","",IFERROR(LOOKUP(2,1/(#REF!=Z4599),#REF!),""))</f>
        <v/>
      </c>
      <c r="AB4599" t="str">
        <f>IF(Z4599="","",IFERROR(LOOKUP(2,1/(#REF!=Z4599),#REF!),""))</f>
        <v/>
      </c>
      <c r="AC4599" t="str">
        <f>IF(Z4599="","",COUNTIF(#REF!,Z4599))</f>
        <v/>
      </c>
      <c r="AD4599" t="str">
        <f>IF(A4599="","",IF(AC4599&gt;1,"REVISAR DUPLICADO",IF(AA4599&lt;&gt;"","ACTUALIZADO POR EYR","SIN REPORTE EYR")))</f>
        <v/>
      </c>
    </row>
    <row r="4600" spans="11:30" x14ac:dyDescent="0.3">
      <c r="K4600" s="1" t="str">
        <f ca="1">IF(A4600="","",IF(OR(L4600="ENTREGADA",L4600="RETORNADA",L4600="ENTREGA DIGITAL"),0,MAX(0,5-NETWORKDAYS(H4600+1,TODAY()))))</f>
        <v/>
      </c>
      <c r="L4600" t="str">
        <f>IF(A4600="","",IFERROR(LOOKUP(2,1/(#REF!=Z4600),#REF!),Y4600))</f>
        <v/>
      </c>
      <c r="Z4600" t="str">
        <f>IF(A4600="","",TEXT(A4600,"0")&amp;"|"&amp;TEXT(H4600,"0"))</f>
        <v/>
      </c>
      <c r="AA4600" t="str">
        <f>IF(Z4600="","",IFERROR(LOOKUP(2,1/(#REF!=Z4600),#REF!),""))</f>
        <v/>
      </c>
      <c r="AB4600" t="str">
        <f>IF(Z4600="","",IFERROR(LOOKUP(2,1/(#REF!=Z4600),#REF!),""))</f>
        <v/>
      </c>
      <c r="AC4600" t="str">
        <f>IF(Z4600="","",COUNTIF(#REF!,Z4600))</f>
        <v/>
      </c>
      <c r="AD4600" t="str">
        <f>IF(A4600="","",IF(AC4600&gt;1,"REVISAR DUPLICADO",IF(AA4600&lt;&gt;"","ACTUALIZADO POR EYR","SIN REPORTE EYR")))</f>
        <v/>
      </c>
    </row>
    <row r="4601" spans="11:30" x14ac:dyDescent="0.3">
      <c r="K4601" s="1" t="str">
        <f ca="1">IF(A4601="","",IF(OR(L4601="ENTREGADA",L4601="RETORNADA",L4601="ENTREGA DIGITAL"),0,MAX(0,5-NETWORKDAYS(H4601+1,TODAY()))))</f>
        <v/>
      </c>
      <c r="L4601" t="str">
        <f>IF(A4601="","",IFERROR(LOOKUP(2,1/(#REF!=Z4601),#REF!),Y4601))</f>
        <v/>
      </c>
      <c r="Z4601" t="str">
        <f>IF(A4601="","",TEXT(A4601,"0")&amp;"|"&amp;TEXT(H4601,"0"))</f>
        <v/>
      </c>
      <c r="AA4601" t="str">
        <f>IF(Z4601="","",IFERROR(LOOKUP(2,1/(#REF!=Z4601),#REF!),""))</f>
        <v/>
      </c>
      <c r="AB4601" t="str">
        <f>IF(Z4601="","",IFERROR(LOOKUP(2,1/(#REF!=Z4601),#REF!),""))</f>
        <v/>
      </c>
      <c r="AC4601" t="str">
        <f>IF(Z4601="","",COUNTIF(#REF!,Z4601))</f>
        <v/>
      </c>
      <c r="AD4601" t="str">
        <f>IF(A4601="","",IF(AC4601&gt;1,"REVISAR DUPLICADO",IF(AA4601&lt;&gt;"","ACTUALIZADO POR EYR","SIN REPORTE EYR")))</f>
        <v/>
      </c>
    </row>
    <row r="4602" spans="11:30" x14ac:dyDescent="0.3">
      <c r="K4602" s="1" t="str">
        <f ca="1">IF(A4602="","",IF(OR(L4602="ENTREGADA",L4602="RETORNADA",L4602="ENTREGA DIGITAL"),0,MAX(0,5-NETWORKDAYS(H4602+1,TODAY()))))</f>
        <v/>
      </c>
      <c r="L4602" t="str">
        <f>IF(A4602="","",IFERROR(LOOKUP(2,1/(#REF!=Z4602),#REF!),Y4602))</f>
        <v/>
      </c>
      <c r="Z4602" t="str">
        <f>IF(A4602="","",TEXT(A4602,"0")&amp;"|"&amp;TEXT(H4602,"0"))</f>
        <v/>
      </c>
      <c r="AA4602" t="str">
        <f>IF(Z4602="","",IFERROR(LOOKUP(2,1/(#REF!=Z4602),#REF!),""))</f>
        <v/>
      </c>
      <c r="AB4602" t="str">
        <f>IF(Z4602="","",IFERROR(LOOKUP(2,1/(#REF!=Z4602),#REF!),""))</f>
        <v/>
      </c>
      <c r="AC4602" t="str">
        <f>IF(Z4602="","",COUNTIF(#REF!,Z4602))</f>
        <v/>
      </c>
      <c r="AD4602" t="str">
        <f>IF(A4602="","",IF(AC4602&gt;1,"REVISAR DUPLICADO",IF(AA4602&lt;&gt;"","ACTUALIZADO POR EYR","SIN REPORTE EYR")))</f>
        <v/>
      </c>
    </row>
    <row r="4603" spans="11:30" x14ac:dyDescent="0.3">
      <c r="K4603" s="1" t="str">
        <f ca="1">IF(A4603="","",IF(OR(L4603="ENTREGADA",L4603="RETORNADA",L4603="ENTREGA DIGITAL"),0,MAX(0,5-NETWORKDAYS(H4603+1,TODAY()))))</f>
        <v/>
      </c>
      <c r="L4603" t="str">
        <f>IF(A4603="","",IFERROR(LOOKUP(2,1/(#REF!=Z4603),#REF!),Y4603))</f>
        <v/>
      </c>
      <c r="Z4603" t="str">
        <f>IF(A4603="","",TEXT(A4603,"0")&amp;"|"&amp;TEXT(H4603,"0"))</f>
        <v/>
      </c>
      <c r="AA4603" t="str">
        <f>IF(Z4603="","",IFERROR(LOOKUP(2,1/(#REF!=Z4603),#REF!),""))</f>
        <v/>
      </c>
      <c r="AB4603" t="str">
        <f>IF(Z4603="","",IFERROR(LOOKUP(2,1/(#REF!=Z4603),#REF!),""))</f>
        <v/>
      </c>
      <c r="AC4603" t="str">
        <f>IF(Z4603="","",COUNTIF(#REF!,Z4603))</f>
        <v/>
      </c>
      <c r="AD4603" t="str">
        <f>IF(A4603="","",IF(AC4603&gt;1,"REVISAR DUPLICADO",IF(AA4603&lt;&gt;"","ACTUALIZADO POR EYR","SIN REPORTE EYR")))</f>
        <v/>
      </c>
    </row>
    <row r="4604" spans="11:30" x14ac:dyDescent="0.3">
      <c r="K4604" s="1" t="str">
        <f ca="1">IF(A4604="","",IF(OR(L4604="ENTREGADA",L4604="RETORNADA",L4604="ENTREGA DIGITAL"),0,MAX(0,5-NETWORKDAYS(H4604+1,TODAY()))))</f>
        <v/>
      </c>
      <c r="L4604" t="str">
        <f>IF(A4604="","",IFERROR(LOOKUP(2,1/(#REF!=Z4604),#REF!),Y4604))</f>
        <v/>
      </c>
      <c r="Z4604" t="str">
        <f>IF(A4604="","",TEXT(A4604,"0")&amp;"|"&amp;TEXT(H4604,"0"))</f>
        <v/>
      </c>
      <c r="AA4604" t="str">
        <f>IF(Z4604="","",IFERROR(LOOKUP(2,1/(#REF!=Z4604),#REF!),""))</f>
        <v/>
      </c>
      <c r="AB4604" t="str">
        <f>IF(Z4604="","",IFERROR(LOOKUP(2,1/(#REF!=Z4604),#REF!),""))</f>
        <v/>
      </c>
      <c r="AC4604" t="str">
        <f>IF(Z4604="","",COUNTIF(#REF!,Z4604))</f>
        <v/>
      </c>
      <c r="AD4604" t="str">
        <f>IF(A4604="","",IF(AC4604&gt;1,"REVISAR DUPLICADO",IF(AA4604&lt;&gt;"","ACTUALIZADO POR EYR","SIN REPORTE EYR")))</f>
        <v/>
      </c>
    </row>
    <row r="4605" spans="11:30" x14ac:dyDescent="0.3">
      <c r="K4605" s="1" t="str">
        <f ca="1">IF(A4605="","",IF(OR(L4605="ENTREGADA",L4605="RETORNADA",L4605="ENTREGA DIGITAL"),0,MAX(0,5-NETWORKDAYS(H4605+1,TODAY()))))</f>
        <v/>
      </c>
      <c r="L4605" t="str">
        <f>IF(A4605="","",IFERROR(LOOKUP(2,1/(#REF!=Z4605),#REF!),Y4605))</f>
        <v/>
      </c>
      <c r="Z4605" t="str">
        <f>IF(A4605="","",TEXT(A4605,"0")&amp;"|"&amp;TEXT(H4605,"0"))</f>
        <v/>
      </c>
      <c r="AA4605" t="str">
        <f>IF(Z4605="","",IFERROR(LOOKUP(2,1/(#REF!=Z4605),#REF!),""))</f>
        <v/>
      </c>
      <c r="AB4605" t="str">
        <f>IF(Z4605="","",IFERROR(LOOKUP(2,1/(#REF!=Z4605),#REF!),""))</f>
        <v/>
      </c>
      <c r="AC4605" t="str">
        <f>IF(Z4605="","",COUNTIF(#REF!,Z4605))</f>
        <v/>
      </c>
      <c r="AD4605" t="str">
        <f>IF(A4605="","",IF(AC4605&gt;1,"REVISAR DUPLICADO",IF(AA4605&lt;&gt;"","ACTUALIZADO POR EYR","SIN REPORTE EYR")))</f>
        <v/>
      </c>
    </row>
    <row r="4606" spans="11:30" x14ac:dyDescent="0.3">
      <c r="K4606" s="1" t="str">
        <f ca="1">IF(A4606="","",IF(OR(L4606="ENTREGADA",L4606="RETORNADA",L4606="ENTREGA DIGITAL"),0,MAX(0,5-NETWORKDAYS(H4606+1,TODAY()))))</f>
        <v/>
      </c>
      <c r="L4606" t="str">
        <f>IF(A4606="","",IFERROR(LOOKUP(2,1/(#REF!=Z4606),#REF!),Y4606))</f>
        <v/>
      </c>
      <c r="Z4606" t="str">
        <f>IF(A4606="","",TEXT(A4606,"0")&amp;"|"&amp;TEXT(H4606,"0"))</f>
        <v/>
      </c>
      <c r="AA4606" t="str">
        <f>IF(Z4606="","",IFERROR(LOOKUP(2,1/(#REF!=Z4606),#REF!),""))</f>
        <v/>
      </c>
      <c r="AB4606" t="str">
        <f>IF(Z4606="","",IFERROR(LOOKUP(2,1/(#REF!=Z4606),#REF!),""))</f>
        <v/>
      </c>
      <c r="AC4606" t="str">
        <f>IF(Z4606="","",COUNTIF(#REF!,Z4606))</f>
        <v/>
      </c>
      <c r="AD4606" t="str">
        <f>IF(A4606="","",IF(AC4606&gt;1,"REVISAR DUPLICADO",IF(AA4606&lt;&gt;"","ACTUALIZADO POR EYR","SIN REPORTE EYR")))</f>
        <v/>
      </c>
    </row>
    <row r="4607" spans="11:30" x14ac:dyDescent="0.3">
      <c r="K4607" s="1" t="str">
        <f ca="1">IF(A4607="","",IF(OR(L4607="ENTREGADA",L4607="RETORNADA",L4607="ENTREGA DIGITAL"),0,MAX(0,5-NETWORKDAYS(H4607+1,TODAY()))))</f>
        <v/>
      </c>
      <c r="L4607" t="str">
        <f>IF(A4607="","",IFERROR(LOOKUP(2,1/(#REF!=Z4607),#REF!),Y4607))</f>
        <v/>
      </c>
      <c r="Z4607" t="str">
        <f>IF(A4607="","",TEXT(A4607,"0")&amp;"|"&amp;TEXT(H4607,"0"))</f>
        <v/>
      </c>
      <c r="AA4607" t="str">
        <f>IF(Z4607="","",IFERROR(LOOKUP(2,1/(#REF!=Z4607),#REF!),""))</f>
        <v/>
      </c>
      <c r="AB4607" t="str">
        <f>IF(Z4607="","",IFERROR(LOOKUP(2,1/(#REF!=Z4607),#REF!),""))</f>
        <v/>
      </c>
      <c r="AC4607" t="str">
        <f>IF(Z4607="","",COUNTIF(#REF!,Z4607))</f>
        <v/>
      </c>
      <c r="AD4607" t="str">
        <f>IF(A4607="","",IF(AC4607&gt;1,"REVISAR DUPLICADO",IF(AA4607&lt;&gt;"","ACTUALIZADO POR EYR","SIN REPORTE EYR")))</f>
        <v/>
      </c>
    </row>
    <row r="4608" spans="11:30" x14ac:dyDescent="0.3">
      <c r="K4608" s="1" t="str">
        <f ca="1">IF(A4608="","",IF(OR(L4608="ENTREGADA",L4608="RETORNADA",L4608="ENTREGA DIGITAL"),0,MAX(0,5-NETWORKDAYS(H4608+1,TODAY()))))</f>
        <v/>
      </c>
      <c r="L4608" t="str">
        <f>IF(A4608="","",IFERROR(LOOKUP(2,1/(#REF!=Z4608),#REF!),Y4608))</f>
        <v/>
      </c>
      <c r="Z4608" t="str">
        <f>IF(A4608="","",TEXT(A4608,"0")&amp;"|"&amp;TEXT(H4608,"0"))</f>
        <v/>
      </c>
      <c r="AA4608" t="str">
        <f>IF(Z4608="","",IFERROR(LOOKUP(2,1/(#REF!=Z4608),#REF!),""))</f>
        <v/>
      </c>
      <c r="AB4608" t="str">
        <f>IF(Z4608="","",IFERROR(LOOKUP(2,1/(#REF!=Z4608),#REF!),""))</f>
        <v/>
      </c>
      <c r="AC4608" t="str">
        <f>IF(Z4608="","",COUNTIF(#REF!,Z4608))</f>
        <v/>
      </c>
      <c r="AD4608" t="str">
        <f>IF(A4608="","",IF(AC4608&gt;1,"REVISAR DUPLICADO",IF(AA4608&lt;&gt;"","ACTUALIZADO POR EYR","SIN REPORTE EYR")))</f>
        <v/>
      </c>
    </row>
    <row r="4609" spans="11:30" x14ac:dyDescent="0.3">
      <c r="K4609" s="1" t="str">
        <f ca="1">IF(A4609="","",IF(OR(L4609="ENTREGADA",L4609="RETORNADA",L4609="ENTREGA DIGITAL"),0,MAX(0,5-NETWORKDAYS(H4609+1,TODAY()))))</f>
        <v/>
      </c>
      <c r="L4609" t="str">
        <f>IF(A4609="","",IFERROR(LOOKUP(2,1/(#REF!=Z4609),#REF!),Y4609))</f>
        <v/>
      </c>
      <c r="Z4609" t="str">
        <f>IF(A4609="","",TEXT(A4609,"0")&amp;"|"&amp;TEXT(H4609,"0"))</f>
        <v/>
      </c>
      <c r="AA4609" t="str">
        <f>IF(Z4609="","",IFERROR(LOOKUP(2,1/(#REF!=Z4609),#REF!),""))</f>
        <v/>
      </c>
      <c r="AB4609" t="str">
        <f>IF(Z4609="","",IFERROR(LOOKUP(2,1/(#REF!=Z4609),#REF!),""))</f>
        <v/>
      </c>
      <c r="AC4609" t="str">
        <f>IF(Z4609="","",COUNTIF(#REF!,Z4609))</f>
        <v/>
      </c>
      <c r="AD4609" t="str">
        <f>IF(A4609="","",IF(AC4609&gt;1,"REVISAR DUPLICADO",IF(AA4609&lt;&gt;"","ACTUALIZADO POR EYR","SIN REPORTE EYR")))</f>
        <v/>
      </c>
    </row>
    <row r="4610" spans="11:30" x14ac:dyDescent="0.3">
      <c r="K4610" s="1" t="str">
        <f ca="1">IF(A4610="","",IF(OR(L4610="ENTREGADA",L4610="RETORNADA",L4610="ENTREGA DIGITAL"),0,MAX(0,5-NETWORKDAYS(H4610+1,TODAY()))))</f>
        <v/>
      </c>
      <c r="L4610" t="str">
        <f>IF(A4610="","",IFERROR(LOOKUP(2,1/(#REF!=Z4610),#REF!),Y4610))</f>
        <v/>
      </c>
      <c r="Z4610" t="str">
        <f>IF(A4610="","",TEXT(A4610,"0")&amp;"|"&amp;TEXT(H4610,"0"))</f>
        <v/>
      </c>
      <c r="AA4610" t="str">
        <f>IF(Z4610="","",IFERROR(LOOKUP(2,1/(#REF!=Z4610),#REF!),""))</f>
        <v/>
      </c>
      <c r="AB4610" t="str">
        <f>IF(Z4610="","",IFERROR(LOOKUP(2,1/(#REF!=Z4610),#REF!),""))</f>
        <v/>
      </c>
      <c r="AC4610" t="str">
        <f>IF(Z4610="","",COUNTIF(#REF!,Z4610))</f>
        <v/>
      </c>
      <c r="AD4610" t="str">
        <f>IF(A4610="","",IF(AC4610&gt;1,"REVISAR DUPLICADO",IF(AA4610&lt;&gt;"","ACTUALIZADO POR EYR","SIN REPORTE EYR")))</f>
        <v/>
      </c>
    </row>
    <row r="4611" spans="11:30" x14ac:dyDescent="0.3">
      <c r="K4611" s="1" t="str">
        <f ca="1">IF(A4611="","",IF(OR(L4611="ENTREGADA",L4611="RETORNADA",L4611="ENTREGA DIGITAL"),0,MAX(0,5-NETWORKDAYS(H4611+1,TODAY()))))</f>
        <v/>
      </c>
      <c r="L4611" t="str">
        <f>IF(A4611="","",IFERROR(LOOKUP(2,1/(#REF!=Z4611),#REF!),Y4611))</f>
        <v/>
      </c>
      <c r="Z4611" t="str">
        <f>IF(A4611="","",TEXT(A4611,"0")&amp;"|"&amp;TEXT(H4611,"0"))</f>
        <v/>
      </c>
      <c r="AA4611" t="str">
        <f>IF(Z4611="","",IFERROR(LOOKUP(2,1/(#REF!=Z4611),#REF!),""))</f>
        <v/>
      </c>
      <c r="AB4611" t="str">
        <f>IF(Z4611="","",IFERROR(LOOKUP(2,1/(#REF!=Z4611),#REF!),""))</f>
        <v/>
      </c>
      <c r="AC4611" t="str">
        <f>IF(Z4611="","",COUNTIF(#REF!,Z4611))</f>
        <v/>
      </c>
      <c r="AD4611" t="str">
        <f>IF(A4611="","",IF(AC4611&gt;1,"REVISAR DUPLICADO",IF(AA4611&lt;&gt;"","ACTUALIZADO POR EYR","SIN REPORTE EYR")))</f>
        <v/>
      </c>
    </row>
    <row r="4612" spans="11:30" x14ac:dyDescent="0.3">
      <c r="K4612" s="1" t="str">
        <f ca="1">IF(A4612="","",IF(OR(L4612="ENTREGADA",L4612="RETORNADA",L4612="ENTREGA DIGITAL"),0,MAX(0,5-NETWORKDAYS(H4612+1,TODAY()))))</f>
        <v/>
      </c>
      <c r="L4612" t="str">
        <f>IF(A4612="","",IFERROR(LOOKUP(2,1/(#REF!=Z4612),#REF!),Y4612))</f>
        <v/>
      </c>
      <c r="Z4612" t="str">
        <f>IF(A4612="","",TEXT(A4612,"0")&amp;"|"&amp;TEXT(H4612,"0"))</f>
        <v/>
      </c>
      <c r="AA4612" t="str">
        <f>IF(Z4612="","",IFERROR(LOOKUP(2,1/(#REF!=Z4612),#REF!),""))</f>
        <v/>
      </c>
      <c r="AB4612" t="str">
        <f>IF(Z4612="","",IFERROR(LOOKUP(2,1/(#REF!=Z4612),#REF!),""))</f>
        <v/>
      </c>
      <c r="AC4612" t="str">
        <f>IF(Z4612="","",COUNTIF(#REF!,Z4612))</f>
        <v/>
      </c>
      <c r="AD4612" t="str">
        <f>IF(A4612="","",IF(AC4612&gt;1,"REVISAR DUPLICADO",IF(AA4612&lt;&gt;"","ACTUALIZADO POR EYR","SIN REPORTE EYR")))</f>
        <v/>
      </c>
    </row>
    <row r="4613" spans="11:30" x14ac:dyDescent="0.3">
      <c r="K4613" s="1" t="str">
        <f ca="1">IF(A4613="","",IF(OR(L4613="ENTREGADA",L4613="RETORNADA",L4613="ENTREGA DIGITAL"),0,MAX(0,5-NETWORKDAYS(H4613+1,TODAY()))))</f>
        <v/>
      </c>
      <c r="L4613" t="str">
        <f>IF(A4613="","",IFERROR(LOOKUP(2,1/(#REF!=Z4613),#REF!),Y4613))</f>
        <v/>
      </c>
      <c r="Z4613" t="str">
        <f>IF(A4613="","",TEXT(A4613,"0")&amp;"|"&amp;TEXT(H4613,"0"))</f>
        <v/>
      </c>
      <c r="AA4613" t="str">
        <f>IF(Z4613="","",IFERROR(LOOKUP(2,1/(#REF!=Z4613),#REF!),""))</f>
        <v/>
      </c>
      <c r="AB4613" t="str">
        <f>IF(Z4613="","",IFERROR(LOOKUP(2,1/(#REF!=Z4613),#REF!),""))</f>
        <v/>
      </c>
      <c r="AC4613" t="str">
        <f>IF(Z4613="","",COUNTIF(#REF!,Z4613))</f>
        <v/>
      </c>
      <c r="AD4613" t="str">
        <f>IF(A4613="","",IF(AC4613&gt;1,"REVISAR DUPLICADO",IF(AA4613&lt;&gt;"","ACTUALIZADO POR EYR","SIN REPORTE EYR")))</f>
        <v/>
      </c>
    </row>
    <row r="4614" spans="11:30" x14ac:dyDescent="0.3">
      <c r="K4614" s="1" t="str">
        <f ca="1">IF(A4614="","",IF(OR(L4614="ENTREGADA",L4614="RETORNADA",L4614="ENTREGA DIGITAL"),0,MAX(0,5-NETWORKDAYS(H4614+1,TODAY()))))</f>
        <v/>
      </c>
      <c r="L4614" t="str">
        <f>IF(A4614="","",IFERROR(LOOKUP(2,1/(#REF!=Z4614),#REF!),Y4614))</f>
        <v/>
      </c>
      <c r="Z4614" t="str">
        <f>IF(A4614="","",TEXT(A4614,"0")&amp;"|"&amp;TEXT(H4614,"0"))</f>
        <v/>
      </c>
      <c r="AA4614" t="str">
        <f>IF(Z4614="","",IFERROR(LOOKUP(2,1/(#REF!=Z4614),#REF!),""))</f>
        <v/>
      </c>
      <c r="AB4614" t="str">
        <f>IF(Z4614="","",IFERROR(LOOKUP(2,1/(#REF!=Z4614),#REF!),""))</f>
        <v/>
      </c>
      <c r="AC4614" t="str">
        <f>IF(Z4614="","",COUNTIF(#REF!,Z4614))</f>
        <v/>
      </c>
      <c r="AD4614" t="str">
        <f>IF(A4614="","",IF(AC4614&gt;1,"REVISAR DUPLICADO",IF(AA4614&lt;&gt;"","ACTUALIZADO POR EYR","SIN REPORTE EYR")))</f>
        <v/>
      </c>
    </row>
    <row r="4615" spans="11:30" x14ac:dyDescent="0.3">
      <c r="K4615" s="1" t="str">
        <f ca="1">IF(A4615="","",IF(OR(L4615="ENTREGADA",L4615="RETORNADA",L4615="ENTREGA DIGITAL"),0,MAX(0,5-NETWORKDAYS(H4615+1,TODAY()))))</f>
        <v/>
      </c>
      <c r="L4615" t="str">
        <f>IF(A4615="","",IFERROR(LOOKUP(2,1/(#REF!=Z4615),#REF!),Y4615))</f>
        <v/>
      </c>
      <c r="Z4615" t="str">
        <f>IF(A4615="","",TEXT(A4615,"0")&amp;"|"&amp;TEXT(H4615,"0"))</f>
        <v/>
      </c>
      <c r="AA4615" t="str">
        <f>IF(Z4615="","",IFERROR(LOOKUP(2,1/(#REF!=Z4615),#REF!),""))</f>
        <v/>
      </c>
      <c r="AB4615" t="str">
        <f>IF(Z4615="","",IFERROR(LOOKUP(2,1/(#REF!=Z4615),#REF!),""))</f>
        <v/>
      </c>
      <c r="AC4615" t="str">
        <f>IF(Z4615="","",COUNTIF(#REF!,Z4615))</f>
        <v/>
      </c>
      <c r="AD4615" t="str">
        <f>IF(A4615="","",IF(AC4615&gt;1,"REVISAR DUPLICADO",IF(AA4615&lt;&gt;"","ACTUALIZADO POR EYR","SIN REPORTE EYR")))</f>
        <v/>
      </c>
    </row>
    <row r="4616" spans="11:30" x14ac:dyDescent="0.3">
      <c r="K4616" s="1" t="str">
        <f ca="1">IF(A4616="","",IF(OR(L4616="ENTREGADA",L4616="RETORNADA",L4616="ENTREGA DIGITAL"),0,MAX(0,5-NETWORKDAYS(H4616+1,TODAY()))))</f>
        <v/>
      </c>
      <c r="L4616" t="str">
        <f>IF(A4616="","",IFERROR(LOOKUP(2,1/(#REF!=Z4616),#REF!),Y4616))</f>
        <v/>
      </c>
      <c r="Z4616" t="str">
        <f>IF(A4616="","",TEXT(A4616,"0")&amp;"|"&amp;TEXT(H4616,"0"))</f>
        <v/>
      </c>
      <c r="AA4616" t="str">
        <f>IF(Z4616="","",IFERROR(LOOKUP(2,1/(#REF!=Z4616),#REF!),""))</f>
        <v/>
      </c>
      <c r="AB4616" t="str">
        <f>IF(Z4616="","",IFERROR(LOOKUP(2,1/(#REF!=Z4616),#REF!),""))</f>
        <v/>
      </c>
      <c r="AC4616" t="str">
        <f>IF(Z4616="","",COUNTIF(#REF!,Z4616))</f>
        <v/>
      </c>
      <c r="AD4616" t="str">
        <f>IF(A4616="","",IF(AC4616&gt;1,"REVISAR DUPLICADO",IF(AA4616&lt;&gt;"","ACTUALIZADO POR EYR","SIN REPORTE EYR")))</f>
        <v/>
      </c>
    </row>
    <row r="4617" spans="11:30" x14ac:dyDescent="0.3">
      <c r="K4617" s="1" t="str">
        <f ca="1">IF(A4617="","",IF(OR(L4617="ENTREGADA",L4617="RETORNADA",L4617="ENTREGA DIGITAL"),0,MAX(0,5-NETWORKDAYS(H4617+1,TODAY()))))</f>
        <v/>
      </c>
      <c r="L4617" t="str">
        <f>IF(A4617="","",IFERROR(LOOKUP(2,1/(#REF!=Z4617),#REF!),Y4617))</f>
        <v/>
      </c>
      <c r="Z4617" t="str">
        <f>IF(A4617="","",TEXT(A4617,"0")&amp;"|"&amp;TEXT(H4617,"0"))</f>
        <v/>
      </c>
      <c r="AA4617" t="str">
        <f>IF(Z4617="","",IFERROR(LOOKUP(2,1/(#REF!=Z4617),#REF!),""))</f>
        <v/>
      </c>
      <c r="AB4617" t="str">
        <f>IF(Z4617="","",IFERROR(LOOKUP(2,1/(#REF!=Z4617),#REF!),""))</f>
        <v/>
      </c>
      <c r="AC4617" t="str">
        <f>IF(Z4617="","",COUNTIF(#REF!,Z4617))</f>
        <v/>
      </c>
      <c r="AD4617" t="str">
        <f>IF(A4617="","",IF(AC4617&gt;1,"REVISAR DUPLICADO",IF(AA4617&lt;&gt;"","ACTUALIZADO POR EYR","SIN REPORTE EYR")))</f>
        <v/>
      </c>
    </row>
    <row r="4618" spans="11:30" x14ac:dyDescent="0.3">
      <c r="K4618" s="1" t="str">
        <f ca="1">IF(A4618="","",IF(OR(L4618="ENTREGADA",L4618="RETORNADA",L4618="ENTREGA DIGITAL"),0,MAX(0,5-NETWORKDAYS(H4618+1,TODAY()))))</f>
        <v/>
      </c>
      <c r="L4618" t="str">
        <f>IF(A4618="","",IFERROR(LOOKUP(2,1/(#REF!=Z4618),#REF!),Y4618))</f>
        <v/>
      </c>
      <c r="Z4618" t="str">
        <f>IF(A4618="","",TEXT(A4618,"0")&amp;"|"&amp;TEXT(H4618,"0"))</f>
        <v/>
      </c>
      <c r="AA4618" t="str">
        <f>IF(Z4618="","",IFERROR(LOOKUP(2,1/(#REF!=Z4618),#REF!),""))</f>
        <v/>
      </c>
      <c r="AB4618" t="str">
        <f>IF(Z4618="","",IFERROR(LOOKUP(2,1/(#REF!=Z4618),#REF!),""))</f>
        <v/>
      </c>
      <c r="AC4618" t="str">
        <f>IF(Z4618="","",COUNTIF(#REF!,Z4618))</f>
        <v/>
      </c>
      <c r="AD4618" t="str">
        <f>IF(A4618="","",IF(AC4618&gt;1,"REVISAR DUPLICADO",IF(AA4618&lt;&gt;"","ACTUALIZADO POR EYR","SIN REPORTE EYR")))</f>
        <v/>
      </c>
    </row>
    <row r="4619" spans="11:30" x14ac:dyDescent="0.3">
      <c r="K4619" s="1" t="str">
        <f ca="1">IF(A4619="","",IF(OR(L4619="ENTREGADA",L4619="RETORNADA",L4619="ENTREGA DIGITAL"),0,MAX(0,5-NETWORKDAYS(H4619+1,TODAY()))))</f>
        <v/>
      </c>
      <c r="L4619" t="str">
        <f>IF(A4619="","",IFERROR(LOOKUP(2,1/(#REF!=Z4619),#REF!),Y4619))</f>
        <v/>
      </c>
      <c r="Z4619" t="str">
        <f>IF(A4619="","",TEXT(A4619,"0")&amp;"|"&amp;TEXT(H4619,"0"))</f>
        <v/>
      </c>
      <c r="AA4619" t="str">
        <f>IF(Z4619="","",IFERROR(LOOKUP(2,1/(#REF!=Z4619),#REF!),""))</f>
        <v/>
      </c>
      <c r="AB4619" t="str">
        <f>IF(Z4619="","",IFERROR(LOOKUP(2,1/(#REF!=Z4619),#REF!),""))</f>
        <v/>
      </c>
      <c r="AC4619" t="str">
        <f>IF(Z4619="","",COUNTIF(#REF!,Z4619))</f>
        <v/>
      </c>
      <c r="AD4619" t="str">
        <f>IF(A4619="","",IF(AC4619&gt;1,"REVISAR DUPLICADO",IF(AA4619&lt;&gt;"","ACTUALIZADO POR EYR","SIN REPORTE EYR")))</f>
        <v/>
      </c>
    </row>
    <row r="4620" spans="11:30" x14ac:dyDescent="0.3">
      <c r="K4620" s="1" t="str">
        <f ca="1">IF(A4620="","",IF(OR(L4620="ENTREGADA",L4620="RETORNADA",L4620="ENTREGA DIGITAL"),0,MAX(0,5-NETWORKDAYS(H4620+1,TODAY()))))</f>
        <v/>
      </c>
      <c r="L4620" t="str">
        <f>IF(A4620="","",IFERROR(LOOKUP(2,1/(#REF!=Z4620),#REF!),Y4620))</f>
        <v/>
      </c>
      <c r="Z4620" t="str">
        <f>IF(A4620="","",TEXT(A4620,"0")&amp;"|"&amp;TEXT(H4620,"0"))</f>
        <v/>
      </c>
      <c r="AA4620" t="str">
        <f>IF(Z4620="","",IFERROR(LOOKUP(2,1/(#REF!=Z4620),#REF!),""))</f>
        <v/>
      </c>
      <c r="AB4620" t="str">
        <f>IF(Z4620="","",IFERROR(LOOKUP(2,1/(#REF!=Z4620),#REF!),""))</f>
        <v/>
      </c>
      <c r="AC4620" t="str">
        <f>IF(Z4620="","",COUNTIF(#REF!,Z4620))</f>
        <v/>
      </c>
      <c r="AD4620" t="str">
        <f>IF(A4620="","",IF(AC4620&gt;1,"REVISAR DUPLICADO",IF(AA4620&lt;&gt;"","ACTUALIZADO POR EYR","SIN REPORTE EYR")))</f>
        <v/>
      </c>
    </row>
    <row r="4621" spans="11:30" x14ac:dyDescent="0.3">
      <c r="K4621" s="1" t="str">
        <f ca="1">IF(A4621="","",IF(OR(L4621="ENTREGADA",L4621="RETORNADA",L4621="ENTREGA DIGITAL"),0,MAX(0,5-NETWORKDAYS(H4621+1,TODAY()))))</f>
        <v/>
      </c>
      <c r="L4621" t="str">
        <f>IF(A4621="","",IFERROR(LOOKUP(2,1/(#REF!=Z4621),#REF!),Y4621))</f>
        <v/>
      </c>
      <c r="Z4621" t="str">
        <f>IF(A4621="","",TEXT(A4621,"0")&amp;"|"&amp;TEXT(H4621,"0"))</f>
        <v/>
      </c>
      <c r="AA4621" t="str">
        <f>IF(Z4621="","",IFERROR(LOOKUP(2,1/(#REF!=Z4621),#REF!),""))</f>
        <v/>
      </c>
      <c r="AB4621" t="str">
        <f>IF(Z4621="","",IFERROR(LOOKUP(2,1/(#REF!=Z4621),#REF!),""))</f>
        <v/>
      </c>
      <c r="AC4621" t="str">
        <f>IF(Z4621="","",COUNTIF(#REF!,Z4621))</f>
        <v/>
      </c>
      <c r="AD4621" t="str">
        <f>IF(A4621="","",IF(AC4621&gt;1,"REVISAR DUPLICADO",IF(AA4621&lt;&gt;"","ACTUALIZADO POR EYR","SIN REPORTE EYR")))</f>
        <v/>
      </c>
    </row>
    <row r="4622" spans="11:30" x14ac:dyDescent="0.3">
      <c r="K4622" s="1" t="str">
        <f ca="1">IF(A4622="","",IF(OR(L4622="ENTREGADA",L4622="RETORNADA",L4622="ENTREGA DIGITAL"),0,MAX(0,5-NETWORKDAYS(H4622+1,TODAY()))))</f>
        <v/>
      </c>
      <c r="L4622" t="str">
        <f>IF(A4622="","",IFERROR(LOOKUP(2,1/(#REF!=Z4622),#REF!),Y4622))</f>
        <v/>
      </c>
      <c r="Z4622" t="str">
        <f>IF(A4622="","",TEXT(A4622,"0")&amp;"|"&amp;TEXT(H4622,"0"))</f>
        <v/>
      </c>
      <c r="AA4622" t="str">
        <f>IF(Z4622="","",IFERROR(LOOKUP(2,1/(#REF!=Z4622),#REF!),""))</f>
        <v/>
      </c>
      <c r="AB4622" t="str">
        <f>IF(Z4622="","",IFERROR(LOOKUP(2,1/(#REF!=Z4622),#REF!),""))</f>
        <v/>
      </c>
      <c r="AC4622" t="str">
        <f>IF(Z4622="","",COUNTIF(#REF!,Z4622))</f>
        <v/>
      </c>
      <c r="AD4622" t="str">
        <f>IF(A4622="","",IF(AC4622&gt;1,"REVISAR DUPLICADO",IF(AA4622&lt;&gt;"","ACTUALIZADO POR EYR","SIN REPORTE EYR")))</f>
        <v/>
      </c>
    </row>
    <row r="4623" spans="11:30" x14ac:dyDescent="0.3">
      <c r="K4623" s="1" t="str">
        <f ca="1">IF(A4623="","",IF(OR(L4623="ENTREGADA",L4623="RETORNADA",L4623="ENTREGA DIGITAL"),0,MAX(0,5-NETWORKDAYS(H4623+1,TODAY()))))</f>
        <v/>
      </c>
      <c r="L4623" t="str">
        <f>IF(A4623="","",IFERROR(LOOKUP(2,1/(#REF!=Z4623),#REF!),Y4623))</f>
        <v/>
      </c>
      <c r="Z4623" t="str">
        <f>IF(A4623="","",TEXT(A4623,"0")&amp;"|"&amp;TEXT(H4623,"0"))</f>
        <v/>
      </c>
      <c r="AA4623" t="str">
        <f>IF(Z4623="","",IFERROR(LOOKUP(2,1/(#REF!=Z4623),#REF!),""))</f>
        <v/>
      </c>
      <c r="AB4623" t="str">
        <f>IF(Z4623="","",IFERROR(LOOKUP(2,1/(#REF!=Z4623),#REF!),""))</f>
        <v/>
      </c>
      <c r="AC4623" t="str">
        <f>IF(Z4623="","",COUNTIF(#REF!,Z4623))</f>
        <v/>
      </c>
      <c r="AD4623" t="str">
        <f>IF(A4623="","",IF(AC4623&gt;1,"REVISAR DUPLICADO",IF(AA4623&lt;&gt;"","ACTUALIZADO POR EYR","SIN REPORTE EYR")))</f>
        <v/>
      </c>
    </row>
    <row r="4624" spans="11:30" x14ac:dyDescent="0.3">
      <c r="K4624" s="1" t="str">
        <f ca="1">IF(A4624="","",IF(OR(L4624="ENTREGADA",L4624="RETORNADA",L4624="ENTREGA DIGITAL"),0,MAX(0,5-NETWORKDAYS(H4624+1,TODAY()))))</f>
        <v/>
      </c>
      <c r="L4624" t="str">
        <f>IF(A4624="","",IFERROR(LOOKUP(2,1/(#REF!=Z4624),#REF!),Y4624))</f>
        <v/>
      </c>
      <c r="Z4624" t="str">
        <f>IF(A4624="","",TEXT(A4624,"0")&amp;"|"&amp;TEXT(H4624,"0"))</f>
        <v/>
      </c>
      <c r="AA4624" t="str">
        <f>IF(Z4624="","",IFERROR(LOOKUP(2,1/(#REF!=Z4624),#REF!),""))</f>
        <v/>
      </c>
      <c r="AB4624" t="str">
        <f>IF(Z4624="","",IFERROR(LOOKUP(2,1/(#REF!=Z4624),#REF!),""))</f>
        <v/>
      </c>
      <c r="AC4624" t="str">
        <f>IF(Z4624="","",COUNTIF(#REF!,Z4624))</f>
        <v/>
      </c>
      <c r="AD4624" t="str">
        <f>IF(A4624="","",IF(AC4624&gt;1,"REVISAR DUPLICADO",IF(AA4624&lt;&gt;"","ACTUALIZADO POR EYR","SIN REPORTE EYR")))</f>
        <v/>
      </c>
    </row>
    <row r="4625" spans="11:30" x14ac:dyDescent="0.3">
      <c r="K4625" s="1" t="str">
        <f ca="1">IF(A4625="","",IF(OR(L4625="ENTREGADA",L4625="RETORNADA",L4625="ENTREGA DIGITAL"),0,MAX(0,5-NETWORKDAYS(H4625+1,TODAY()))))</f>
        <v/>
      </c>
      <c r="L4625" t="str">
        <f>IF(A4625="","",IFERROR(LOOKUP(2,1/(#REF!=Z4625),#REF!),Y4625))</f>
        <v/>
      </c>
      <c r="Z4625" t="str">
        <f>IF(A4625="","",TEXT(A4625,"0")&amp;"|"&amp;TEXT(H4625,"0"))</f>
        <v/>
      </c>
      <c r="AA4625" t="str">
        <f>IF(Z4625="","",IFERROR(LOOKUP(2,1/(#REF!=Z4625),#REF!),""))</f>
        <v/>
      </c>
      <c r="AB4625" t="str">
        <f>IF(Z4625="","",IFERROR(LOOKUP(2,1/(#REF!=Z4625),#REF!),""))</f>
        <v/>
      </c>
      <c r="AC4625" t="str">
        <f>IF(Z4625="","",COUNTIF(#REF!,Z4625))</f>
        <v/>
      </c>
      <c r="AD4625" t="str">
        <f>IF(A4625="","",IF(AC4625&gt;1,"REVISAR DUPLICADO",IF(AA4625&lt;&gt;"","ACTUALIZADO POR EYR","SIN REPORTE EYR")))</f>
        <v/>
      </c>
    </row>
    <row r="4626" spans="11:30" x14ac:dyDescent="0.3">
      <c r="K4626" s="1" t="str">
        <f ca="1">IF(A4626="","",IF(OR(L4626="ENTREGADA",L4626="RETORNADA",L4626="ENTREGA DIGITAL"),0,MAX(0,5-NETWORKDAYS(H4626+1,TODAY()))))</f>
        <v/>
      </c>
      <c r="L4626" t="str">
        <f>IF(A4626="","",IFERROR(LOOKUP(2,1/(#REF!=Z4626),#REF!),Y4626))</f>
        <v/>
      </c>
      <c r="Z4626" t="str">
        <f>IF(A4626="","",TEXT(A4626,"0")&amp;"|"&amp;TEXT(H4626,"0"))</f>
        <v/>
      </c>
      <c r="AA4626" t="str">
        <f>IF(Z4626="","",IFERROR(LOOKUP(2,1/(#REF!=Z4626),#REF!),""))</f>
        <v/>
      </c>
      <c r="AB4626" t="str">
        <f>IF(Z4626="","",IFERROR(LOOKUP(2,1/(#REF!=Z4626),#REF!),""))</f>
        <v/>
      </c>
      <c r="AC4626" t="str">
        <f>IF(Z4626="","",COUNTIF(#REF!,Z4626))</f>
        <v/>
      </c>
      <c r="AD4626" t="str">
        <f>IF(A4626="","",IF(AC4626&gt;1,"REVISAR DUPLICADO",IF(AA4626&lt;&gt;"","ACTUALIZADO POR EYR","SIN REPORTE EYR")))</f>
        <v/>
      </c>
    </row>
    <row r="4627" spans="11:30" x14ac:dyDescent="0.3">
      <c r="K4627" s="1" t="str">
        <f ca="1">IF(A4627="","",IF(OR(L4627="ENTREGADA",L4627="RETORNADA",L4627="ENTREGA DIGITAL"),0,MAX(0,5-NETWORKDAYS(H4627+1,TODAY()))))</f>
        <v/>
      </c>
      <c r="L4627" t="str">
        <f>IF(A4627="","",IFERROR(LOOKUP(2,1/(#REF!=Z4627),#REF!),Y4627))</f>
        <v/>
      </c>
      <c r="Z4627" t="str">
        <f>IF(A4627="","",TEXT(A4627,"0")&amp;"|"&amp;TEXT(H4627,"0"))</f>
        <v/>
      </c>
      <c r="AA4627" t="str">
        <f>IF(Z4627="","",IFERROR(LOOKUP(2,1/(#REF!=Z4627),#REF!),""))</f>
        <v/>
      </c>
      <c r="AB4627" t="str">
        <f>IF(Z4627="","",IFERROR(LOOKUP(2,1/(#REF!=Z4627),#REF!),""))</f>
        <v/>
      </c>
      <c r="AC4627" t="str">
        <f>IF(Z4627="","",COUNTIF(#REF!,Z4627))</f>
        <v/>
      </c>
      <c r="AD4627" t="str">
        <f>IF(A4627="","",IF(AC4627&gt;1,"REVISAR DUPLICADO",IF(AA4627&lt;&gt;"","ACTUALIZADO POR EYR","SIN REPORTE EYR")))</f>
        <v/>
      </c>
    </row>
    <row r="4628" spans="11:30" x14ac:dyDescent="0.3">
      <c r="K4628" s="1" t="str">
        <f ca="1">IF(A4628="","",IF(OR(L4628="ENTREGADA",L4628="RETORNADA",L4628="ENTREGA DIGITAL"),0,MAX(0,5-NETWORKDAYS(H4628+1,TODAY()))))</f>
        <v/>
      </c>
      <c r="L4628" t="str">
        <f>IF(A4628="","",IFERROR(LOOKUP(2,1/(#REF!=Z4628),#REF!),Y4628))</f>
        <v/>
      </c>
      <c r="Z4628" t="str">
        <f>IF(A4628="","",TEXT(A4628,"0")&amp;"|"&amp;TEXT(H4628,"0"))</f>
        <v/>
      </c>
      <c r="AA4628" t="str">
        <f>IF(Z4628="","",IFERROR(LOOKUP(2,1/(#REF!=Z4628),#REF!),""))</f>
        <v/>
      </c>
      <c r="AB4628" t="str">
        <f>IF(Z4628="","",IFERROR(LOOKUP(2,1/(#REF!=Z4628),#REF!),""))</f>
        <v/>
      </c>
      <c r="AC4628" t="str">
        <f>IF(Z4628="","",COUNTIF(#REF!,Z4628))</f>
        <v/>
      </c>
      <c r="AD4628" t="str">
        <f>IF(A4628="","",IF(AC4628&gt;1,"REVISAR DUPLICADO",IF(AA4628&lt;&gt;"","ACTUALIZADO POR EYR","SIN REPORTE EYR")))</f>
        <v/>
      </c>
    </row>
    <row r="4629" spans="11:30" x14ac:dyDescent="0.3">
      <c r="K4629" s="1" t="str">
        <f ca="1">IF(A4629="","",IF(OR(L4629="ENTREGADA",L4629="RETORNADA",L4629="ENTREGA DIGITAL"),0,MAX(0,5-NETWORKDAYS(H4629+1,TODAY()))))</f>
        <v/>
      </c>
      <c r="L4629" t="str">
        <f>IF(A4629="","",IFERROR(LOOKUP(2,1/(#REF!=Z4629),#REF!),Y4629))</f>
        <v/>
      </c>
      <c r="Z4629" t="str">
        <f>IF(A4629="","",TEXT(A4629,"0")&amp;"|"&amp;TEXT(H4629,"0"))</f>
        <v/>
      </c>
      <c r="AA4629" t="str">
        <f>IF(Z4629="","",IFERROR(LOOKUP(2,1/(#REF!=Z4629),#REF!),""))</f>
        <v/>
      </c>
      <c r="AB4629" t="str">
        <f>IF(Z4629="","",IFERROR(LOOKUP(2,1/(#REF!=Z4629),#REF!),""))</f>
        <v/>
      </c>
      <c r="AC4629" t="str">
        <f>IF(Z4629="","",COUNTIF(#REF!,Z4629))</f>
        <v/>
      </c>
      <c r="AD4629" t="str">
        <f>IF(A4629="","",IF(AC4629&gt;1,"REVISAR DUPLICADO",IF(AA4629&lt;&gt;"","ACTUALIZADO POR EYR","SIN REPORTE EYR")))</f>
        <v/>
      </c>
    </row>
    <row r="4630" spans="11:30" x14ac:dyDescent="0.3">
      <c r="K4630" s="1" t="str">
        <f ca="1">IF(A4630="","",IF(OR(L4630="ENTREGADA",L4630="RETORNADA",L4630="ENTREGA DIGITAL"),0,MAX(0,5-NETWORKDAYS(H4630+1,TODAY()))))</f>
        <v/>
      </c>
      <c r="L4630" t="str">
        <f>IF(A4630="","",IFERROR(LOOKUP(2,1/(#REF!=Z4630),#REF!),Y4630))</f>
        <v/>
      </c>
      <c r="Z4630" t="str">
        <f>IF(A4630="","",TEXT(A4630,"0")&amp;"|"&amp;TEXT(H4630,"0"))</f>
        <v/>
      </c>
      <c r="AA4630" t="str">
        <f>IF(Z4630="","",IFERROR(LOOKUP(2,1/(#REF!=Z4630),#REF!),""))</f>
        <v/>
      </c>
      <c r="AB4630" t="str">
        <f>IF(Z4630="","",IFERROR(LOOKUP(2,1/(#REF!=Z4630),#REF!),""))</f>
        <v/>
      </c>
      <c r="AC4630" t="str">
        <f>IF(Z4630="","",COUNTIF(#REF!,Z4630))</f>
        <v/>
      </c>
      <c r="AD4630" t="str">
        <f>IF(A4630="","",IF(AC4630&gt;1,"REVISAR DUPLICADO",IF(AA4630&lt;&gt;"","ACTUALIZADO POR EYR","SIN REPORTE EYR")))</f>
        <v/>
      </c>
    </row>
    <row r="4631" spans="11:30" x14ac:dyDescent="0.3">
      <c r="K4631" s="1" t="str">
        <f ca="1">IF(A4631="","",IF(OR(L4631="ENTREGADA",L4631="RETORNADA",L4631="ENTREGA DIGITAL"),0,MAX(0,5-NETWORKDAYS(H4631+1,TODAY()))))</f>
        <v/>
      </c>
      <c r="L4631" t="str">
        <f>IF(A4631="","",IFERROR(LOOKUP(2,1/(#REF!=Z4631),#REF!),Y4631))</f>
        <v/>
      </c>
      <c r="Z4631" t="str">
        <f>IF(A4631="","",TEXT(A4631,"0")&amp;"|"&amp;TEXT(H4631,"0"))</f>
        <v/>
      </c>
      <c r="AA4631" t="str">
        <f>IF(Z4631="","",IFERROR(LOOKUP(2,1/(#REF!=Z4631),#REF!),""))</f>
        <v/>
      </c>
      <c r="AB4631" t="str">
        <f>IF(Z4631="","",IFERROR(LOOKUP(2,1/(#REF!=Z4631),#REF!),""))</f>
        <v/>
      </c>
      <c r="AC4631" t="str">
        <f>IF(Z4631="","",COUNTIF(#REF!,Z4631))</f>
        <v/>
      </c>
      <c r="AD4631" t="str">
        <f>IF(A4631="","",IF(AC4631&gt;1,"REVISAR DUPLICADO",IF(AA4631&lt;&gt;"","ACTUALIZADO POR EYR","SIN REPORTE EYR")))</f>
        <v/>
      </c>
    </row>
    <row r="4632" spans="11:30" x14ac:dyDescent="0.3">
      <c r="K4632" s="1" t="str">
        <f ca="1">IF(A4632="","",IF(OR(L4632="ENTREGADA",L4632="RETORNADA",L4632="ENTREGA DIGITAL"),0,MAX(0,5-NETWORKDAYS(H4632+1,TODAY()))))</f>
        <v/>
      </c>
      <c r="L4632" t="str">
        <f>IF(A4632="","",IFERROR(LOOKUP(2,1/(#REF!=Z4632),#REF!),Y4632))</f>
        <v/>
      </c>
      <c r="Z4632" t="str">
        <f>IF(A4632="","",TEXT(A4632,"0")&amp;"|"&amp;TEXT(H4632,"0"))</f>
        <v/>
      </c>
      <c r="AA4632" t="str">
        <f>IF(Z4632="","",IFERROR(LOOKUP(2,1/(#REF!=Z4632),#REF!),""))</f>
        <v/>
      </c>
      <c r="AB4632" t="str">
        <f>IF(Z4632="","",IFERROR(LOOKUP(2,1/(#REF!=Z4632),#REF!),""))</f>
        <v/>
      </c>
      <c r="AC4632" t="str">
        <f>IF(Z4632="","",COUNTIF(#REF!,Z4632))</f>
        <v/>
      </c>
      <c r="AD4632" t="str">
        <f>IF(A4632="","",IF(AC4632&gt;1,"REVISAR DUPLICADO",IF(AA4632&lt;&gt;"","ACTUALIZADO POR EYR","SIN REPORTE EYR")))</f>
        <v/>
      </c>
    </row>
    <row r="4633" spans="11:30" x14ac:dyDescent="0.3">
      <c r="K4633" s="1" t="str">
        <f ca="1">IF(A4633="","",IF(OR(L4633="ENTREGADA",L4633="RETORNADA",L4633="ENTREGA DIGITAL"),0,MAX(0,5-NETWORKDAYS(H4633+1,TODAY()))))</f>
        <v/>
      </c>
      <c r="L4633" t="str">
        <f>IF(A4633="","",IFERROR(LOOKUP(2,1/(#REF!=Z4633),#REF!),Y4633))</f>
        <v/>
      </c>
      <c r="Z4633" t="str">
        <f>IF(A4633="","",TEXT(A4633,"0")&amp;"|"&amp;TEXT(H4633,"0"))</f>
        <v/>
      </c>
      <c r="AA4633" t="str">
        <f>IF(Z4633="","",IFERROR(LOOKUP(2,1/(#REF!=Z4633),#REF!),""))</f>
        <v/>
      </c>
      <c r="AB4633" t="str">
        <f>IF(Z4633="","",IFERROR(LOOKUP(2,1/(#REF!=Z4633),#REF!),""))</f>
        <v/>
      </c>
      <c r="AC4633" t="str">
        <f>IF(Z4633="","",COUNTIF(#REF!,Z4633))</f>
        <v/>
      </c>
      <c r="AD4633" t="str">
        <f>IF(A4633="","",IF(AC4633&gt;1,"REVISAR DUPLICADO",IF(AA4633&lt;&gt;"","ACTUALIZADO POR EYR","SIN REPORTE EYR")))</f>
        <v/>
      </c>
    </row>
    <row r="4634" spans="11:30" x14ac:dyDescent="0.3">
      <c r="K4634" s="1" t="str">
        <f ca="1">IF(A4634="","",IF(OR(L4634="ENTREGADA",L4634="RETORNADA",L4634="ENTREGA DIGITAL"),0,MAX(0,5-NETWORKDAYS(H4634+1,TODAY()))))</f>
        <v/>
      </c>
      <c r="L4634" t="str">
        <f>IF(A4634="","",IFERROR(LOOKUP(2,1/(#REF!=Z4634),#REF!),Y4634))</f>
        <v/>
      </c>
      <c r="Z4634" t="str">
        <f>IF(A4634="","",TEXT(A4634,"0")&amp;"|"&amp;TEXT(H4634,"0"))</f>
        <v/>
      </c>
      <c r="AA4634" t="str">
        <f>IF(Z4634="","",IFERROR(LOOKUP(2,1/(#REF!=Z4634),#REF!),""))</f>
        <v/>
      </c>
      <c r="AB4634" t="str">
        <f>IF(Z4634="","",IFERROR(LOOKUP(2,1/(#REF!=Z4634),#REF!),""))</f>
        <v/>
      </c>
      <c r="AC4634" t="str">
        <f>IF(Z4634="","",COUNTIF(#REF!,Z4634))</f>
        <v/>
      </c>
      <c r="AD4634" t="str">
        <f>IF(A4634="","",IF(AC4634&gt;1,"REVISAR DUPLICADO",IF(AA4634&lt;&gt;"","ACTUALIZADO POR EYR","SIN REPORTE EYR")))</f>
        <v/>
      </c>
    </row>
    <row r="4635" spans="11:30" x14ac:dyDescent="0.3">
      <c r="K4635" s="1" t="str">
        <f ca="1">IF(A4635="","",IF(OR(L4635="ENTREGADA",L4635="RETORNADA",L4635="ENTREGA DIGITAL"),0,MAX(0,5-NETWORKDAYS(H4635+1,TODAY()))))</f>
        <v/>
      </c>
      <c r="L4635" t="str">
        <f>IF(A4635="","",IFERROR(LOOKUP(2,1/(#REF!=Z4635),#REF!),Y4635))</f>
        <v/>
      </c>
      <c r="Z4635" t="str">
        <f>IF(A4635="","",TEXT(A4635,"0")&amp;"|"&amp;TEXT(H4635,"0"))</f>
        <v/>
      </c>
      <c r="AA4635" t="str">
        <f>IF(Z4635="","",IFERROR(LOOKUP(2,1/(#REF!=Z4635),#REF!),""))</f>
        <v/>
      </c>
      <c r="AB4635" t="str">
        <f>IF(Z4635="","",IFERROR(LOOKUP(2,1/(#REF!=Z4635),#REF!),""))</f>
        <v/>
      </c>
      <c r="AC4635" t="str">
        <f>IF(Z4635="","",COUNTIF(#REF!,Z4635))</f>
        <v/>
      </c>
      <c r="AD4635" t="str">
        <f>IF(A4635="","",IF(AC4635&gt;1,"REVISAR DUPLICADO",IF(AA4635&lt;&gt;"","ACTUALIZADO POR EYR","SIN REPORTE EYR")))</f>
        <v/>
      </c>
    </row>
    <row r="4636" spans="11:30" x14ac:dyDescent="0.3">
      <c r="K4636" s="1" t="str">
        <f ca="1">IF(A4636="","",IF(OR(L4636="ENTREGADA",L4636="RETORNADA",L4636="ENTREGA DIGITAL"),0,MAX(0,5-NETWORKDAYS(H4636+1,TODAY()))))</f>
        <v/>
      </c>
      <c r="L4636" t="str">
        <f>IF(A4636="","",IFERROR(LOOKUP(2,1/(#REF!=Z4636),#REF!),Y4636))</f>
        <v/>
      </c>
      <c r="Z4636" t="str">
        <f>IF(A4636="","",TEXT(A4636,"0")&amp;"|"&amp;TEXT(H4636,"0"))</f>
        <v/>
      </c>
      <c r="AA4636" t="str">
        <f>IF(Z4636="","",IFERROR(LOOKUP(2,1/(#REF!=Z4636),#REF!),""))</f>
        <v/>
      </c>
      <c r="AB4636" t="str">
        <f>IF(Z4636="","",IFERROR(LOOKUP(2,1/(#REF!=Z4636),#REF!),""))</f>
        <v/>
      </c>
      <c r="AC4636" t="str">
        <f>IF(Z4636="","",COUNTIF(#REF!,Z4636))</f>
        <v/>
      </c>
      <c r="AD4636" t="str">
        <f>IF(A4636="","",IF(AC4636&gt;1,"REVISAR DUPLICADO",IF(AA4636&lt;&gt;"","ACTUALIZADO POR EYR","SIN REPORTE EYR")))</f>
        <v/>
      </c>
    </row>
    <row r="4637" spans="11:30" x14ac:dyDescent="0.3">
      <c r="K4637" s="1" t="str">
        <f ca="1">IF(A4637="","",IF(OR(L4637="ENTREGADA",L4637="RETORNADA",L4637="ENTREGA DIGITAL"),0,MAX(0,5-NETWORKDAYS(H4637+1,TODAY()))))</f>
        <v/>
      </c>
      <c r="L4637" t="str">
        <f>IF(A4637="","",IFERROR(LOOKUP(2,1/(#REF!=Z4637),#REF!),Y4637))</f>
        <v/>
      </c>
      <c r="Z4637" t="str">
        <f>IF(A4637="","",TEXT(A4637,"0")&amp;"|"&amp;TEXT(H4637,"0"))</f>
        <v/>
      </c>
      <c r="AA4637" t="str">
        <f>IF(Z4637="","",IFERROR(LOOKUP(2,1/(#REF!=Z4637),#REF!),""))</f>
        <v/>
      </c>
      <c r="AB4637" t="str">
        <f>IF(Z4637="","",IFERROR(LOOKUP(2,1/(#REF!=Z4637),#REF!),""))</f>
        <v/>
      </c>
      <c r="AC4637" t="str">
        <f>IF(Z4637="","",COUNTIF(#REF!,Z4637))</f>
        <v/>
      </c>
      <c r="AD4637" t="str">
        <f>IF(A4637="","",IF(AC4637&gt;1,"REVISAR DUPLICADO",IF(AA4637&lt;&gt;"","ACTUALIZADO POR EYR","SIN REPORTE EYR")))</f>
        <v/>
      </c>
    </row>
    <row r="4638" spans="11:30" x14ac:dyDescent="0.3">
      <c r="K4638" s="1" t="str">
        <f ca="1">IF(A4638="","",IF(OR(L4638="ENTREGADA",L4638="RETORNADA",L4638="ENTREGA DIGITAL"),0,MAX(0,5-NETWORKDAYS(H4638+1,TODAY()))))</f>
        <v/>
      </c>
      <c r="L4638" t="str">
        <f>IF(A4638="","",IFERROR(LOOKUP(2,1/(#REF!=Z4638),#REF!),Y4638))</f>
        <v/>
      </c>
      <c r="Z4638" t="str">
        <f>IF(A4638="","",TEXT(A4638,"0")&amp;"|"&amp;TEXT(H4638,"0"))</f>
        <v/>
      </c>
      <c r="AA4638" t="str">
        <f>IF(Z4638="","",IFERROR(LOOKUP(2,1/(#REF!=Z4638),#REF!),""))</f>
        <v/>
      </c>
      <c r="AB4638" t="str">
        <f>IF(Z4638="","",IFERROR(LOOKUP(2,1/(#REF!=Z4638),#REF!),""))</f>
        <v/>
      </c>
      <c r="AC4638" t="str">
        <f>IF(Z4638="","",COUNTIF(#REF!,Z4638))</f>
        <v/>
      </c>
      <c r="AD4638" t="str">
        <f>IF(A4638="","",IF(AC4638&gt;1,"REVISAR DUPLICADO",IF(AA4638&lt;&gt;"","ACTUALIZADO POR EYR","SIN REPORTE EYR")))</f>
        <v/>
      </c>
    </row>
    <row r="4639" spans="11:30" x14ac:dyDescent="0.3">
      <c r="K4639" s="1" t="str">
        <f ca="1">IF(A4639="","",IF(OR(L4639="ENTREGADA",L4639="RETORNADA",L4639="ENTREGA DIGITAL"),0,MAX(0,5-NETWORKDAYS(H4639+1,TODAY()))))</f>
        <v/>
      </c>
      <c r="L4639" t="str">
        <f>IF(A4639="","",IFERROR(LOOKUP(2,1/(#REF!=Z4639),#REF!),Y4639))</f>
        <v/>
      </c>
      <c r="Z4639" t="str">
        <f>IF(A4639="","",TEXT(A4639,"0")&amp;"|"&amp;TEXT(H4639,"0"))</f>
        <v/>
      </c>
      <c r="AA4639" t="str">
        <f>IF(Z4639="","",IFERROR(LOOKUP(2,1/(#REF!=Z4639),#REF!),""))</f>
        <v/>
      </c>
      <c r="AB4639" t="str">
        <f>IF(Z4639="","",IFERROR(LOOKUP(2,1/(#REF!=Z4639),#REF!),""))</f>
        <v/>
      </c>
      <c r="AC4639" t="str">
        <f>IF(Z4639="","",COUNTIF(#REF!,Z4639))</f>
        <v/>
      </c>
      <c r="AD4639" t="str">
        <f>IF(A4639="","",IF(AC4639&gt;1,"REVISAR DUPLICADO",IF(AA4639&lt;&gt;"","ACTUALIZADO POR EYR","SIN REPORTE EYR")))</f>
        <v/>
      </c>
    </row>
    <row r="4640" spans="11:30" x14ac:dyDescent="0.3">
      <c r="K4640" s="1" t="str">
        <f ca="1">IF(A4640="","",IF(OR(L4640="ENTREGADA",L4640="RETORNADA",L4640="ENTREGA DIGITAL"),0,MAX(0,5-NETWORKDAYS(H4640+1,TODAY()))))</f>
        <v/>
      </c>
      <c r="L4640" t="str">
        <f>IF(A4640="","",IFERROR(LOOKUP(2,1/(#REF!=Z4640),#REF!),Y4640))</f>
        <v/>
      </c>
      <c r="Z4640" t="str">
        <f>IF(A4640="","",TEXT(A4640,"0")&amp;"|"&amp;TEXT(H4640,"0"))</f>
        <v/>
      </c>
      <c r="AA4640" t="str">
        <f>IF(Z4640="","",IFERROR(LOOKUP(2,1/(#REF!=Z4640),#REF!),""))</f>
        <v/>
      </c>
      <c r="AB4640" t="str">
        <f>IF(Z4640="","",IFERROR(LOOKUP(2,1/(#REF!=Z4640),#REF!),""))</f>
        <v/>
      </c>
      <c r="AC4640" t="str">
        <f>IF(Z4640="","",COUNTIF(#REF!,Z4640))</f>
        <v/>
      </c>
      <c r="AD4640" t="str">
        <f>IF(A4640="","",IF(AC4640&gt;1,"REVISAR DUPLICADO",IF(AA4640&lt;&gt;"","ACTUALIZADO POR EYR","SIN REPORTE EYR")))</f>
        <v/>
      </c>
    </row>
    <row r="4641" spans="11:30" x14ac:dyDescent="0.3">
      <c r="K4641" s="1" t="str">
        <f ca="1">IF(A4641="","",IF(OR(L4641="ENTREGADA",L4641="RETORNADA",L4641="ENTREGA DIGITAL"),0,MAX(0,5-NETWORKDAYS(H4641+1,TODAY()))))</f>
        <v/>
      </c>
      <c r="L4641" t="str">
        <f>IF(A4641="","",IFERROR(LOOKUP(2,1/(#REF!=Z4641),#REF!),Y4641))</f>
        <v/>
      </c>
      <c r="Z4641" t="str">
        <f>IF(A4641="","",TEXT(A4641,"0")&amp;"|"&amp;TEXT(H4641,"0"))</f>
        <v/>
      </c>
      <c r="AA4641" t="str">
        <f>IF(Z4641="","",IFERROR(LOOKUP(2,1/(#REF!=Z4641),#REF!),""))</f>
        <v/>
      </c>
      <c r="AB4641" t="str">
        <f>IF(Z4641="","",IFERROR(LOOKUP(2,1/(#REF!=Z4641),#REF!),""))</f>
        <v/>
      </c>
      <c r="AC4641" t="str">
        <f>IF(Z4641="","",COUNTIF(#REF!,Z4641))</f>
        <v/>
      </c>
      <c r="AD4641" t="str">
        <f>IF(A4641="","",IF(AC4641&gt;1,"REVISAR DUPLICADO",IF(AA4641&lt;&gt;"","ACTUALIZADO POR EYR","SIN REPORTE EYR")))</f>
        <v/>
      </c>
    </row>
    <row r="4642" spans="11:30" x14ac:dyDescent="0.3">
      <c r="K4642" s="1" t="str">
        <f ca="1">IF(A4642="","",IF(OR(L4642="ENTREGADA",L4642="RETORNADA",L4642="ENTREGA DIGITAL"),0,MAX(0,5-NETWORKDAYS(H4642+1,TODAY()))))</f>
        <v/>
      </c>
      <c r="L4642" t="str">
        <f>IF(A4642="","",IFERROR(LOOKUP(2,1/(#REF!=Z4642),#REF!),Y4642))</f>
        <v/>
      </c>
      <c r="Z4642" t="str">
        <f>IF(A4642="","",TEXT(A4642,"0")&amp;"|"&amp;TEXT(H4642,"0"))</f>
        <v/>
      </c>
      <c r="AA4642" t="str">
        <f>IF(Z4642="","",IFERROR(LOOKUP(2,1/(#REF!=Z4642),#REF!),""))</f>
        <v/>
      </c>
      <c r="AB4642" t="str">
        <f>IF(Z4642="","",IFERROR(LOOKUP(2,1/(#REF!=Z4642),#REF!),""))</f>
        <v/>
      </c>
      <c r="AC4642" t="str">
        <f>IF(Z4642="","",COUNTIF(#REF!,Z4642))</f>
        <v/>
      </c>
      <c r="AD4642" t="str">
        <f>IF(A4642="","",IF(AC4642&gt;1,"REVISAR DUPLICADO",IF(AA4642&lt;&gt;"","ACTUALIZADO POR EYR","SIN REPORTE EYR")))</f>
        <v/>
      </c>
    </row>
    <row r="4643" spans="11:30" x14ac:dyDescent="0.3">
      <c r="K4643" s="1" t="str">
        <f ca="1">IF(A4643="","",IF(OR(L4643="ENTREGADA",L4643="RETORNADA",L4643="ENTREGA DIGITAL"),0,MAX(0,5-NETWORKDAYS(H4643+1,TODAY()))))</f>
        <v/>
      </c>
      <c r="L4643" t="str">
        <f>IF(A4643="","",IFERROR(LOOKUP(2,1/(#REF!=Z4643),#REF!),Y4643))</f>
        <v/>
      </c>
      <c r="Z4643" t="str">
        <f>IF(A4643="","",TEXT(A4643,"0")&amp;"|"&amp;TEXT(H4643,"0"))</f>
        <v/>
      </c>
      <c r="AA4643" t="str">
        <f>IF(Z4643="","",IFERROR(LOOKUP(2,1/(#REF!=Z4643),#REF!),""))</f>
        <v/>
      </c>
      <c r="AB4643" t="str">
        <f>IF(Z4643="","",IFERROR(LOOKUP(2,1/(#REF!=Z4643),#REF!),""))</f>
        <v/>
      </c>
      <c r="AC4643" t="str">
        <f>IF(Z4643="","",COUNTIF(#REF!,Z4643))</f>
        <v/>
      </c>
      <c r="AD4643" t="str">
        <f>IF(A4643="","",IF(AC4643&gt;1,"REVISAR DUPLICADO",IF(AA4643&lt;&gt;"","ACTUALIZADO POR EYR","SIN REPORTE EYR")))</f>
        <v/>
      </c>
    </row>
    <row r="4644" spans="11:30" x14ac:dyDescent="0.3">
      <c r="K4644" s="1" t="str">
        <f ca="1">IF(A4644="","",IF(OR(L4644="ENTREGADA",L4644="RETORNADA",L4644="ENTREGA DIGITAL"),0,MAX(0,5-NETWORKDAYS(H4644+1,TODAY()))))</f>
        <v/>
      </c>
      <c r="L4644" t="str">
        <f>IF(A4644="","",IFERROR(LOOKUP(2,1/(#REF!=Z4644),#REF!),Y4644))</f>
        <v/>
      </c>
      <c r="Z4644" t="str">
        <f>IF(A4644="","",TEXT(A4644,"0")&amp;"|"&amp;TEXT(H4644,"0"))</f>
        <v/>
      </c>
      <c r="AA4644" t="str">
        <f>IF(Z4644="","",IFERROR(LOOKUP(2,1/(#REF!=Z4644),#REF!),""))</f>
        <v/>
      </c>
      <c r="AB4644" t="str">
        <f>IF(Z4644="","",IFERROR(LOOKUP(2,1/(#REF!=Z4644),#REF!),""))</f>
        <v/>
      </c>
      <c r="AC4644" t="str">
        <f>IF(Z4644="","",COUNTIF(#REF!,Z4644))</f>
        <v/>
      </c>
      <c r="AD4644" t="str">
        <f>IF(A4644="","",IF(AC4644&gt;1,"REVISAR DUPLICADO",IF(AA4644&lt;&gt;"","ACTUALIZADO POR EYR","SIN REPORTE EYR")))</f>
        <v/>
      </c>
    </row>
    <row r="4645" spans="11:30" x14ac:dyDescent="0.3">
      <c r="K4645" s="1" t="str">
        <f ca="1">IF(A4645="","",IF(OR(L4645="ENTREGADA",L4645="RETORNADA",L4645="ENTREGA DIGITAL"),0,MAX(0,5-NETWORKDAYS(H4645+1,TODAY()))))</f>
        <v/>
      </c>
      <c r="L4645" t="str">
        <f>IF(A4645="","",IFERROR(LOOKUP(2,1/(#REF!=Z4645),#REF!),Y4645))</f>
        <v/>
      </c>
      <c r="Z4645" t="str">
        <f>IF(A4645="","",TEXT(A4645,"0")&amp;"|"&amp;TEXT(H4645,"0"))</f>
        <v/>
      </c>
      <c r="AA4645" t="str">
        <f>IF(Z4645="","",IFERROR(LOOKUP(2,1/(#REF!=Z4645),#REF!),""))</f>
        <v/>
      </c>
      <c r="AB4645" t="str">
        <f>IF(Z4645="","",IFERROR(LOOKUP(2,1/(#REF!=Z4645),#REF!),""))</f>
        <v/>
      </c>
      <c r="AC4645" t="str">
        <f>IF(Z4645="","",COUNTIF(#REF!,Z4645))</f>
        <v/>
      </c>
      <c r="AD4645" t="str">
        <f>IF(A4645="","",IF(AC4645&gt;1,"REVISAR DUPLICADO",IF(AA4645&lt;&gt;"","ACTUALIZADO POR EYR","SIN REPORTE EYR")))</f>
        <v/>
      </c>
    </row>
    <row r="4646" spans="11:30" x14ac:dyDescent="0.3">
      <c r="K4646" s="1" t="str">
        <f ca="1">IF(A4646="","",IF(OR(L4646="ENTREGADA",L4646="RETORNADA",L4646="ENTREGA DIGITAL"),0,MAX(0,5-NETWORKDAYS(H4646+1,TODAY()))))</f>
        <v/>
      </c>
      <c r="L4646" t="str">
        <f>IF(A4646="","",IFERROR(LOOKUP(2,1/(#REF!=Z4646),#REF!),Y4646))</f>
        <v/>
      </c>
      <c r="Z4646" t="str">
        <f>IF(A4646="","",TEXT(A4646,"0")&amp;"|"&amp;TEXT(H4646,"0"))</f>
        <v/>
      </c>
      <c r="AA4646" t="str">
        <f>IF(Z4646="","",IFERROR(LOOKUP(2,1/(#REF!=Z4646),#REF!),""))</f>
        <v/>
      </c>
      <c r="AB4646" t="str">
        <f>IF(Z4646="","",IFERROR(LOOKUP(2,1/(#REF!=Z4646),#REF!),""))</f>
        <v/>
      </c>
      <c r="AC4646" t="str">
        <f>IF(Z4646="","",COUNTIF(#REF!,Z4646))</f>
        <v/>
      </c>
      <c r="AD4646" t="str">
        <f>IF(A4646="","",IF(AC4646&gt;1,"REVISAR DUPLICADO",IF(AA4646&lt;&gt;"","ACTUALIZADO POR EYR","SIN REPORTE EYR")))</f>
        <v/>
      </c>
    </row>
    <row r="4647" spans="11:30" x14ac:dyDescent="0.3">
      <c r="K4647" s="1" t="str">
        <f ca="1">IF(A4647="","",IF(OR(L4647="ENTREGADA",L4647="RETORNADA",L4647="ENTREGA DIGITAL"),0,MAX(0,5-NETWORKDAYS(H4647+1,TODAY()))))</f>
        <v/>
      </c>
      <c r="L4647" t="str">
        <f>IF(A4647="","",IFERROR(LOOKUP(2,1/(#REF!=Z4647),#REF!),Y4647))</f>
        <v/>
      </c>
      <c r="Z4647" t="str">
        <f>IF(A4647="","",TEXT(A4647,"0")&amp;"|"&amp;TEXT(H4647,"0"))</f>
        <v/>
      </c>
      <c r="AA4647" t="str">
        <f>IF(Z4647="","",IFERROR(LOOKUP(2,1/(#REF!=Z4647),#REF!),""))</f>
        <v/>
      </c>
      <c r="AB4647" t="str">
        <f>IF(Z4647="","",IFERROR(LOOKUP(2,1/(#REF!=Z4647),#REF!),""))</f>
        <v/>
      </c>
      <c r="AC4647" t="str">
        <f>IF(Z4647="","",COUNTIF(#REF!,Z4647))</f>
        <v/>
      </c>
      <c r="AD4647" t="str">
        <f>IF(A4647="","",IF(AC4647&gt;1,"REVISAR DUPLICADO",IF(AA4647&lt;&gt;"","ACTUALIZADO POR EYR","SIN REPORTE EYR")))</f>
        <v/>
      </c>
    </row>
    <row r="4648" spans="11:30" x14ac:dyDescent="0.3">
      <c r="K4648" s="1" t="str">
        <f ca="1">IF(A4648="","",IF(OR(L4648="ENTREGADA",L4648="RETORNADA",L4648="ENTREGA DIGITAL"),0,MAX(0,5-NETWORKDAYS(H4648+1,TODAY()))))</f>
        <v/>
      </c>
      <c r="L4648" t="str">
        <f>IF(A4648="","",IFERROR(LOOKUP(2,1/(#REF!=Z4648),#REF!),Y4648))</f>
        <v/>
      </c>
      <c r="Z4648" t="str">
        <f>IF(A4648="","",TEXT(A4648,"0")&amp;"|"&amp;TEXT(H4648,"0"))</f>
        <v/>
      </c>
      <c r="AA4648" t="str">
        <f>IF(Z4648="","",IFERROR(LOOKUP(2,1/(#REF!=Z4648),#REF!),""))</f>
        <v/>
      </c>
      <c r="AB4648" t="str">
        <f>IF(Z4648="","",IFERROR(LOOKUP(2,1/(#REF!=Z4648),#REF!),""))</f>
        <v/>
      </c>
      <c r="AC4648" t="str">
        <f>IF(Z4648="","",COUNTIF(#REF!,Z4648))</f>
        <v/>
      </c>
      <c r="AD4648" t="str">
        <f>IF(A4648="","",IF(AC4648&gt;1,"REVISAR DUPLICADO",IF(AA4648&lt;&gt;"","ACTUALIZADO POR EYR","SIN REPORTE EYR")))</f>
        <v/>
      </c>
    </row>
    <row r="4649" spans="11:30" x14ac:dyDescent="0.3">
      <c r="K4649" s="1" t="str">
        <f ca="1">IF(A4649="","",IF(OR(L4649="ENTREGADA",L4649="RETORNADA",L4649="ENTREGA DIGITAL"),0,MAX(0,5-NETWORKDAYS(H4649+1,TODAY()))))</f>
        <v/>
      </c>
      <c r="L4649" t="str">
        <f>IF(A4649="","",IFERROR(LOOKUP(2,1/(#REF!=Z4649),#REF!),Y4649))</f>
        <v/>
      </c>
      <c r="Z4649" t="str">
        <f>IF(A4649="","",TEXT(A4649,"0")&amp;"|"&amp;TEXT(H4649,"0"))</f>
        <v/>
      </c>
      <c r="AA4649" t="str">
        <f>IF(Z4649="","",IFERROR(LOOKUP(2,1/(#REF!=Z4649),#REF!),""))</f>
        <v/>
      </c>
      <c r="AB4649" t="str">
        <f>IF(Z4649="","",IFERROR(LOOKUP(2,1/(#REF!=Z4649),#REF!),""))</f>
        <v/>
      </c>
      <c r="AC4649" t="str">
        <f>IF(Z4649="","",COUNTIF(#REF!,Z4649))</f>
        <v/>
      </c>
      <c r="AD4649" t="str">
        <f>IF(A4649="","",IF(AC4649&gt;1,"REVISAR DUPLICADO",IF(AA4649&lt;&gt;"","ACTUALIZADO POR EYR","SIN REPORTE EYR")))</f>
        <v/>
      </c>
    </row>
    <row r="4650" spans="11:30" x14ac:dyDescent="0.3">
      <c r="K4650" s="1" t="str">
        <f ca="1">IF(A4650="","",IF(OR(L4650="ENTREGADA",L4650="RETORNADA",L4650="ENTREGA DIGITAL"),0,MAX(0,5-NETWORKDAYS(H4650+1,TODAY()))))</f>
        <v/>
      </c>
      <c r="L4650" t="str">
        <f>IF(A4650="","",IFERROR(LOOKUP(2,1/(#REF!=Z4650),#REF!),Y4650))</f>
        <v/>
      </c>
      <c r="Z4650" t="str">
        <f>IF(A4650="","",TEXT(A4650,"0")&amp;"|"&amp;TEXT(H4650,"0"))</f>
        <v/>
      </c>
      <c r="AA4650" t="str">
        <f>IF(Z4650="","",IFERROR(LOOKUP(2,1/(#REF!=Z4650),#REF!),""))</f>
        <v/>
      </c>
      <c r="AB4650" t="str">
        <f>IF(Z4650="","",IFERROR(LOOKUP(2,1/(#REF!=Z4650),#REF!),""))</f>
        <v/>
      </c>
      <c r="AC4650" t="str">
        <f>IF(Z4650="","",COUNTIF(#REF!,Z4650))</f>
        <v/>
      </c>
      <c r="AD4650" t="str">
        <f>IF(A4650="","",IF(AC4650&gt;1,"REVISAR DUPLICADO",IF(AA4650&lt;&gt;"","ACTUALIZADO POR EYR","SIN REPORTE EYR")))</f>
        <v/>
      </c>
    </row>
    <row r="4651" spans="11:30" x14ac:dyDescent="0.3">
      <c r="K4651" s="1" t="str">
        <f ca="1">IF(A4651="","",IF(OR(L4651="ENTREGADA",L4651="RETORNADA",L4651="ENTREGA DIGITAL"),0,MAX(0,5-NETWORKDAYS(H4651+1,TODAY()))))</f>
        <v/>
      </c>
      <c r="L4651" t="str">
        <f>IF(A4651="","",IFERROR(LOOKUP(2,1/(#REF!=Z4651),#REF!),Y4651))</f>
        <v/>
      </c>
      <c r="Z4651" t="str">
        <f>IF(A4651="","",TEXT(A4651,"0")&amp;"|"&amp;TEXT(H4651,"0"))</f>
        <v/>
      </c>
      <c r="AA4651" t="str">
        <f>IF(Z4651="","",IFERROR(LOOKUP(2,1/(#REF!=Z4651),#REF!),""))</f>
        <v/>
      </c>
      <c r="AB4651" t="str">
        <f>IF(Z4651="","",IFERROR(LOOKUP(2,1/(#REF!=Z4651),#REF!),""))</f>
        <v/>
      </c>
      <c r="AC4651" t="str">
        <f>IF(Z4651="","",COUNTIF(#REF!,Z4651))</f>
        <v/>
      </c>
      <c r="AD4651" t="str">
        <f>IF(A4651="","",IF(AC4651&gt;1,"REVISAR DUPLICADO",IF(AA4651&lt;&gt;"","ACTUALIZADO POR EYR","SIN REPORTE EYR")))</f>
        <v/>
      </c>
    </row>
    <row r="4652" spans="11:30" x14ac:dyDescent="0.3">
      <c r="K4652" s="1" t="str">
        <f ca="1">IF(A4652="","",IF(OR(L4652="ENTREGADA",L4652="RETORNADA",L4652="ENTREGA DIGITAL"),0,MAX(0,5-NETWORKDAYS(H4652+1,TODAY()))))</f>
        <v/>
      </c>
      <c r="L4652" t="str">
        <f>IF(A4652="","",IFERROR(LOOKUP(2,1/(#REF!=Z4652),#REF!),Y4652))</f>
        <v/>
      </c>
      <c r="Z4652" t="str">
        <f>IF(A4652="","",TEXT(A4652,"0")&amp;"|"&amp;TEXT(H4652,"0"))</f>
        <v/>
      </c>
      <c r="AA4652" t="str">
        <f>IF(Z4652="","",IFERROR(LOOKUP(2,1/(#REF!=Z4652),#REF!),""))</f>
        <v/>
      </c>
      <c r="AB4652" t="str">
        <f>IF(Z4652="","",IFERROR(LOOKUP(2,1/(#REF!=Z4652),#REF!),""))</f>
        <v/>
      </c>
      <c r="AC4652" t="str">
        <f>IF(Z4652="","",COUNTIF(#REF!,Z4652))</f>
        <v/>
      </c>
      <c r="AD4652" t="str">
        <f>IF(A4652="","",IF(AC4652&gt;1,"REVISAR DUPLICADO",IF(AA4652&lt;&gt;"","ACTUALIZADO POR EYR","SIN REPORTE EYR")))</f>
        <v/>
      </c>
    </row>
    <row r="4653" spans="11:30" x14ac:dyDescent="0.3">
      <c r="K4653" s="1" t="str">
        <f ca="1">IF(A4653="","",IF(OR(L4653="ENTREGADA",L4653="RETORNADA",L4653="ENTREGA DIGITAL"),0,MAX(0,5-NETWORKDAYS(H4653+1,TODAY()))))</f>
        <v/>
      </c>
      <c r="L4653" t="str">
        <f>IF(A4653="","",IFERROR(LOOKUP(2,1/(#REF!=Z4653),#REF!),Y4653))</f>
        <v/>
      </c>
      <c r="Z4653" t="str">
        <f>IF(A4653="","",TEXT(A4653,"0")&amp;"|"&amp;TEXT(H4653,"0"))</f>
        <v/>
      </c>
      <c r="AA4653" t="str">
        <f>IF(Z4653="","",IFERROR(LOOKUP(2,1/(#REF!=Z4653),#REF!),""))</f>
        <v/>
      </c>
      <c r="AB4653" t="str">
        <f>IF(Z4653="","",IFERROR(LOOKUP(2,1/(#REF!=Z4653),#REF!),""))</f>
        <v/>
      </c>
      <c r="AC4653" t="str">
        <f>IF(Z4653="","",COUNTIF(#REF!,Z4653))</f>
        <v/>
      </c>
      <c r="AD4653" t="str">
        <f>IF(A4653="","",IF(AC4653&gt;1,"REVISAR DUPLICADO",IF(AA4653&lt;&gt;"","ACTUALIZADO POR EYR","SIN REPORTE EYR")))</f>
        <v/>
      </c>
    </row>
    <row r="4654" spans="11:30" x14ac:dyDescent="0.3">
      <c r="K4654" s="1" t="str">
        <f ca="1">IF(A4654="","",IF(OR(L4654="ENTREGADA",L4654="RETORNADA",L4654="ENTREGA DIGITAL"),0,MAX(0,5-NETWORKDAYS(H4654+1,TODAY()))))</f>
        <v/>
      </c>
      <c r="L4654" t="str">
        <f>IF(A4654="","",IFERROR(LOOKUP(2,1/(#REF!=Z4654),#REF!),Y4654))</f>
        <v/>
      </c>
      <c r="Z4654" t="str">
        <f>IF(A4654="","",TEXT(A4654,"0")&amp;"|"&amp;TEXT(H4654,"0"))</f>
        <v/>
      </c>
      <c r="AA4654" t="str">
        <f>IF(Z4654="","",IFERROR(LOOKUP(2,1/(#REF!=Z4654),#REF!),""))</f>
        <v/>
      </c>
      <c r="AB4654" t="str">
        <f>IF(Z4654="","",IFERROR(LOOKUP(2,1/(#REF!=Z4654),#REF!),""))</f>
        <v/>
      </c>
      <c r="AC4654" t="str">
        <f>IF(Z4654="","",COUNTIF(#REF!,Z4654))</f>
        <v/>
      </c>
      <c r="AD4654" t="str">
        <f>IF(A4654="","",IF(AC4654&gt;1,"REVISAR DUPLICADO",IF(AA4654&lt;&gt;"","ACTUALIZADO POR EYR","SIN REPORTE EYR")))</f>
        <v/>
      </c>
    </row>
    <row r="4655" spans="11:30" x14ac:dyDescent="0.3">
      <c r="K4655" s="1" t="str">
        <f ca="1">IF(A4655="","",IF(OR(L4655="ENTREGADA",L4655="RETORNADA",L4655="ENTREGA DIGITAL"),0,MAX(0,5-NETWORKDAYS(H4655+1,TODAY()))))</f>
        <v/>
      </c>
      <c r="L4655" t="str">
        <f>IF(A4655="","",IFERROR(LOOKUP(2,1/(#REF!=Z4655),#REF!),Y4655))</f>
        <v/>
      </c>
      <c r="Z4655" t="str">
        <f>IF(A4655="","",TEXT(A4655,"0")&amp;"|"&amp;TEXT(H4655,"0"))</f>
        <v/>
      </c>
      <c r="AA4655" t="str">
        <f>IF(Z4655="","",IFERROR(LOOKUP(2,1/(#REF!=Z4655),#REF!),""))</f>
        <v/>
      </c>
      <c r="AB4655" t="str">
        <f>IF(Z4655="","",IFERROR(LOOKUP(2,1/(#REF!=Z4655),#REF!),""))</f>
        <v/>
      </c>
      <c r="AC4655" t="str">
        <f>IF(Z4655="","",COUNTIF(#REF!,Z4655))</f>
        <v/>
      </c>
      <c r="AD4655" t="str">
        <f>IF(A4655="","",IF(AC4655&gt;1,"REVISAR DUPLICADO",IF(AA4655&lt;&gt;"","ACTUALIZADO POR EYR","SIN REPORTE EYR")))</f>
        <v/>
      </c>
    </row>
    <row r="4656" spans="11:30" x14ac:dyDescent="0.3">
      <c r="K4656" s="1" t="str">
        <f ca="1">IF(A4656="","",IF(OR(L4656="ENTREGADA",L4656="RETORNADA",L4656="ENTREGA DIGITAL"),0,MAX(0,5-NETWORKDAYS(H4656+1,TODAY()))))</f>
        <v/>
      </c>
      <c r="L4656" t="str">
        <f>IF(A4656="","",IFERROR(LOOKUP(2,1/(#REF!=Z4656),#REF!),Y4656))</f>
        <v/>
      </c>
      <c r="Z4656" t="str">
        <f>IF(A4656="","",TEXT(A4656,"0")&amp;"|"&amp;TEXT(H4656,"0"))</f>
        <v/>
      </c>
      <c r="AA4656" t="str">
        <f>IF(Z4656="","",IFERROR(LOOKUP(2,1/(#REF!=Z4656),#REF!),""))</f>
        <v/>
      </c>
      <c r="AB4656" t="str">
        <f>IF(Z4656="","",IFERROR(LOOKUP(2,1/(#REF!=Z4656),#REF!),""))</f>
        <v/>
      </c>
      <c r="AC4656" t="str">
        <f>IF(Z4656="","",COUNTIF(#REF!,Z4656))</f>
        <v/>
      </c>
      <c r="AD4656" t="str">
        <f>IF(A4656="","",IF(AC4656&gt;1,"REVISAR DUPLICADO",IF(AA4656&lt;&gt;"","ACTUALIZADO POR EYR","SIN REPORTE EYR")))</f>
        <v/>
      </c>
    </row>
    <row r="4657" spans="11:30" x14ac:dyDescent="0.3">
      <c r="K4657" s="1" t="str">
        <f ca="1">IF(A4657="","",IF(OR(L4657="ENTREGADA",L4657="RETORNADA",L4657="ENTREGA DIGITAL"),0,MAX(0,5-NETWORKDAYS(H4657+1,TODAY()))))</f>
        <v/>
      </c>
      <c r="L4657" t="str">
        <f>IF(A4657="","",IFERROR(LOOKUP(2,1/(#REF!=Z4657),#REF!),Y4657))</f>
        <v/>
      </c>
      <c r="Z4657" t="str">
        <f>IF(A4657="","",TEXT(A4657,"0")&amp;"|"&amp;TEXT(H4657,"0"))</f>
        <v/>
      </c>
      <c r="AA4657" t="str">
        <f>IF(Z4657="","",IFERROR(LOOKUP(2,1/(#REF!=Z4657),#REF!),""))</f>
        <v/>
      </c>
      <c r="AB4657" t="str">
        <f>IF(Z4657="","",IFERROR(LOOKUP(2,1/(#REF!=Z4657),#REF!),""))</f>
        <v/>
      </c>
      <c r="AC4657" t="str">
        <f>IF(Z4657="","",COUNTIF(#REF!,Z4657))</f>
        <v/>
      </c>
      <c r="AD4657" t="str">
        <f>IF(A4657="","",IF(AC4657&gt;1,"REVISAR DUPLICADO",IF(AA4657&lt;&gt;"","ACTUALIZADO POR EYR","SIN REPORTE EYR")))</f>
        <v/>
      </c>
    </row>
    <row r="4658" spans="11:30" x14ac:dyDescent="0.3">
      <c r="K4658" s="1" t="str">
        <f ca="1">IF(A4658="","",IF(OR(L4658="ENTREGADA",L4658="RETORNADA",L4658="ENTREGA DIGITAL"),0,MAX(0,5-NETWORKDAYS(H4658+1,TODAY()))))</f>
        <v/>
      </c>
      <c r="L4658" t="str">
        <f>IF(A4658="","",IFERROR(LOOKUP(2,1/(#REF!=Z4658),#REF!),Y4658))</f>
        <v/>
      </c>
      <c r="Z4658" t="str">
        <f>IF(A4658="","",TEXT(A4658,"0")&amp;"|"&amp;TEXT(H4658,"0"))</f>
        <v/>
      </c>
      <c r="AA4658" t="str">
        <f>IF(Z4658="","",IFERROR(LOOKUP(2,1/(#REF!=Z4658),#REF!),""))</f>
        <v/>
      </c>
      <c r="AB4658" t="str">
        <f>IF(Z4658="","",IFERROR(LOOKUP(2,1/(#REF!=Z4658),#REF!),""))</f>
        <v/>
      </c>
      <c r="AC4658" t="str">
        <f>IF(Z4658="","",COUNTIF(#REF!,Z4658))</f>
        <v/>
      </c>
      <c r="AD4658" t="str">
        <f>IF(A4658="","",IF(AC4658&gt;1,"REVISAR DUPLICADO",IF(AA4658&lt;&gt;"","ACTUALIZADO POR EYR","SIN REPORTE EYR")))</f>
        <v/>
      </c>
    </row>
    <row r="4659" spans="11:30" x14ac:dyDescent="0.3">
      <c r="K4659" s="1" t="str">
        <f ca="1">IF(A4659="","",IF(OR(L4659="ENTREGADA",L4659="RETORNADA",L4659="ENTREGA DIGITAL"),0,MAX(0,5-NETWORKDAYS(H4659+1,TODAY()))))</f>
        <v/>
      </c>
      <c r="L4659" t="str">
        <f>IF(A4659="","",IFERROR(LOOKUP(2,1/(#REF!=Z4659),#REF!),Y4659))</f>
        <v/>
      </c>
      <c r="Z4659" t="str">
        <f>IF(A4659="","",TEXT(A4659,"0")&amp;"|"&amp;TEXT(H4659,"0"))</f>
        <v/>
      </c>
      <c r="AA4659" t="str">
        <f>IF(Z4659="","",IFERROR(LOOKUP(2,1/(#REF!=Z4659),#REF!),""))</f>
        <v/>
      </c>
      <c r="AB4659" t="str">
        <f>IF(Z4659="","",IFERROR(LOOKUP(2,1/(#REF!=Z4659),#REF!),""))</f>
        <v/>
      </c>
      <c r="AC4659" t="str">
        <f>IF(Z4659="","",COUNTIF(#REF!,Z4659))</f>
        <v/>
      </c>
      <c r="AD4659" t="str">
        <f>IF(A4659="","",IF(AC4659&gt;1,"REVISAR DUPLICADO",IF(AA4659&lt;&gt;"","ACTUALIZADO POR EYR","SIN REPORTE EYR")))</f>
        <v/>
      </c>
    </row>
    <row r="4660" spans="11:30" x14ac:dyDescent="0.3">
      <c r="K4660" s="1" t="str">
        <f ca="1">IF(A4660="","",IF(OR(L4660="ENTREGADA",L4660="RETORNADA",L4660="ENTREGA DIGITAL"),0,MAX(0,5-NETWORKDAYS(H4660+1,TODAY()))))</f>
        <v/>
      </c>
      <c r="L4660" t="str">
        <f>IF(A4660="","",IFERROR(LOOKUP(2,1/(#REF!=Z4660),#REF!),Y4660))</f>
        <v/>
      </c>
      <c r="Z4660" t="str">
        <f>IF(A4660="","",TEXT(A4660,"0")&amp;"|"&amp;TEXT(H4660,"0"))</f>
        <v/>
      </c>
      <c r="AA4660" t="str">
        <f>IF(Z4660="","",IFERROR(LOOKUP(2,1/(#REF!=Z4660),#REF!),""))</f>
        <v/>
      </c>
      <c r="AB4660" t="str">
        <f>IF(Z4660="","",IFERROR(LOOKUP(2,1/(#REF!=Z4660),#REF!),""))</f>
        <v/>
      </c>
      <c r="AC4660" t="str">
        <f>IF(Z4660="","",COUNTIF(#REF!,Z4660))</f>
        <v/>
      </c>
      <c r="AD4660" t="str">
        <f>IF(A4660="","",IF(AC4660&gt;1,"REVISAR DUPLICADO",IF(AA4660&lt;&gt;"","ACTUALIZADO POR EYR","SIN REPORTE EYR")))</f>
        <v/>
      </c>
    </row>
    <row r="4661" spans="11:30" x14ac:dyDescent="0.3">
      <c r="K4661" s="1" t="str">
        <f ca="1">IF(A4661="","",IF(OR(L4661="ENTREGADA",L4661="RETORNADA",L4661="ENTREGA DIGITAL"),0,MAX(0,5-NETWORKDAYS(H4661+1,TODAY()))))</f>
        <v/>
      </c>
      <c r="L4661" t="str">
        <f>IF(A4661="","",IFERROR(LOOKUP(2,1/(#REF!=Z4661),#REF!),Y4661))</f>
        <v/>
      </c>
      <c r="Z4661" t="str">
        <f>IF(A4661="","",TEXT(A4661,"0")&amp;"|"&amp;TEXT(H4661,"0"))</f>
        <v/>
      </c>
      <c r="AA4661" t="str">
        <f>IF(Z4661="","",IFERROR(LOOKUP(2,1/(#REF!=Z4661),#REF!),""))</f>
        <v/>
      </c>
      <c r="AB4661" t="str">
        <f>IF(Z4661="","",IFERROR(LOOKUP(2,1/(#REF!=Z4661),#REF!),""))</f>
        <v/>
      </c>
      <c r="AC4661" t="str">
        <f>IF(Z4661="","",COUNTIF(#REF!,Z4661))</f>
        <v/>
      </c>
      <c r="AD4661" t="str">
        <f>IF(A4661="","",IF(AC4661&gt;1,"REVISAR DUPLICADO",IF(AA4661&lt;&gt;"","ACTUALIZADO POR EYR","SIN REPORTE EYR")))</f>
        <v/>
      </c>
    </row>
    <row r="4662" spans="11:30" x14ac:dyDescent="0.3">
      <c r="K4662" s="1" t="str">
        <f ca="1">IF(A4662="","",IF(OR(L4662="ENTREGADA",L4662="RETORNADA",L4662="ENTREGA DIGITAL"),0,MAX(0,5-NETWORKDAYS(H4662+1,TODAY()))))</f>
        <v/>
      </c>
      <c r="L4662" t="str">
        <f>IF(A4662="","",IFERROR(LOOKUP(2,1/(#REF!=Z4662),#REF!),Y4662))</f>
        <v/>
      </c>
      <c r="Z4662" t="str">
        <f>IF(A4662="","",TEXT(A4662,"0")&amp;"|"&amp;TEXT(H4662,"0"))</f>
        <v/>
      </c>
      <c r="AA4662" t="str">
        <f>IF(Z4662="","",IFERROR(LOOKUP(2,1/(#REF!=Z4662),#REF!),""))</f>
        <v/>
      </c>
      <c r="AB4662" t="str">
        <f>IF(Z4662="","",IFERROR(LOOKUP(2,1/(#REF!=Z4662),#REF!),""))</f>
        <v/>
      </c>
      <c r="AC4662" t="str">
        <f>IF(Z4662="","",COUNTIF(#REF!,Z4662))</f>
        <v/>
      </c>
      <c r="AD4662" t="str">
        <f>IF(A4662="","",IF(AC4662&gt;1,"REVISAR DUPLICADO",IF(AA4662&lt;&gt;"","ACTUALIZADO POR EYR","SIN REPORTE EYR")))</f>
        <v/>
      </c>
    </row>
    <row r="4663" spans="11:30" x14ac:dyDescent="0.3">
      <c r="K4663" s="1" t="str">
        <f ca="1">IF(A4663="","",IF(OR(L4663="ENTREGADA",L4663="RETORNADA",L4663="ENTREGA DIGITAL"),0,MAX(0,5-NETWORKDAYS(H4663+1,TODAY()))))</f>
        <v/>
      </c>
      <c r="L4663" t="str">
        <f>IF(A4663="","",IFERROR(LOOKUP(2,1/(#REF!=Z4663),#REF!),Y4663))</f>
        <v/>
      </c>
      <c r="Z4663" t="str">
        <f>IF(A4663="","",TEXT(A4663,"0")&amp;"|"&amp;TEXT(H4663,"0"))</f>
        <v/>
      </c>
      <c r="AA4663" t="str">
        <f>IF(Z4663="","",IFERROR(LOOKUP(2,1/(#REF!=Z4663),#REF!),""))</f>
        <v/>
      </c>
      <c r="AB4663" t="str">
        <f>IF(Z4663="","",IFERROR(LOOKUP(2,1/(#REF!=Z4663),#REF!),""))</f>
        <v/>
      </c>
      <c r="AC4663" t="str">
        <f>IF(Z4663="","",COUNTIF(#REF!,Z4663))</f>
        <v/>
      </c>
      <c r="AD4663" t="str">
        <f>IF(A4663="","",IF(AC4663&gt;1,"REVISAR DUPLICADO",IF(AA4663&lt;&gt;"","ACTUALIZADO POR EYR","SIN REPORTE EYR")))</f>
        <v/>
      </c>
    </row>
    <row r="4664" spans="11:30" x14ac:dyDescent="0.3">
      <c r="K4664" s="1" t="str">
        <f ca="1">IF(A4664="","",IF(OR(L4664="ENTREGADA",L4664="RETORNADA",L4664="ENTREGA DIGITAL"),0,MAX(0,5-NETWORKDAYS(H4664+1,TODAY()))))</f>
        <v/>
      </c>
      <c r="L4664" t="str">
        <f>IF(A4664="","",IFERROR(LOOKUP(2,1/(#REF!=Z4664),#REF!),Y4664))</f>
        <v/>
      </c>
      <c r="Z4664" t="str">
        <f>IF(A4664="","",TEXT(A4664,"0")&amp;"|"&amp;TEXT(H4664,"0"))</f>
        <v/>
      </c>
      <c r="AA4664" t="str">
        <f>IF(Z4664="","",IFERROR(LOOKUP(2,1/(#REF!=Z4664),#REF!),""))</f>
        <v/>
      </c>
      <c r="AB4664" t="str">
        <f>IF(Z4664="","",IFERROR(LOOKUP(2,1/(#REF!=Z4664),#REF!),""))</f>
        <v/>
      </c>
      <c r="AC4664" t="str">
        <f>IF(Z4664="","",COUNTIF(#REF!,Z4664))</f>
        <v/>
      </c>
      <c r="AD4664" t="str">
        <f>IF(A4664="","",IF(AC4664&gt;1,"REVISAR DUPLICADO",IF(AA4664&lt;&gt;"","ACTUALIZADO POR EYR","SIN REPORTE EYR")))</f>
        <v/>
      </c>
    </row>
    <row r="4665" spans="11:30" x14ac:dyDescent="0.3">
      <c r="K4665" s="1" t="str">
        <f ca="1">IF(A4665="","",IF(OR(L4665="ENTREGADA",L4665="RETORNADA",L4665="ENTREGA DIGITAL"),0,MAX(0,5-NETWORKDAYS(H4665+1,TODAY()))))</f>
        <v/>
      </c>
      <c r="L4665" t="str">
        <f>IF(A4665="","",IFERROR(LOOKUP(2,1/(#REF!=Z4665),#REF!),Y4665))</f>
        <v/>
      </c>
      <c r="Z4665" t="str">
        <f>IF(A4665="","",TEXT(A4665,"0")&amp;"|"&amp;TEXT(H4665,"0"))</f>
        <v/>
      </c>
      <c r="AA4665" t="str">
        <f>IF(Z4665="","",IFERROR(LOOKUP(2,1/(#REF!=Z4665),#REF!),""))</f>
        <v/>
      </c>
      <c r="AB4665" t="str">
        <f>IF(Z4665="","",IFERROR(LOOKUP(2,1/(#REF!=Z4665),#REF!),""))</f>
        <v/>
      </c>
      <c r="AC4665" t="str">
        <f>IF(Z4665="","",COUNTIF(#REF!,Z4665))</f>
        <v/>
      </c>
      <c r="AD4665" t="str">
        <f>IF(A4665="","",IF(AC4665&gt;1,"REVISAR DUPLICADO",IF(AA4665&lt;&gt;"","ACTUALIZADO POR EYR","SIN REPORTE EYR")))</f>
        <v/>
      </c>
    </row>
    <row r="4666" spans="11:30" x14ac:dyDescent="0.3">
      <c r="K4666" s="1" t="str">
        <f ca="1">IF(A4666="","",IF(OR(L4666="ENTREGADA",L4666="RETORNADA",L4666="ENTREGA DIGITAL"),0,MAX(0,5-NETWORKDAYS(H4666+1,TODAY()))))</f>
        <v/>
      </c>
      <c r="L4666" t="str">
        <f>IF(A4666="","",IFERROR(LOOKUP(2,1/(#REF!=Z4666),#REF!),Y4666))</f>
        <v/>
      </c>
      <c r="Z4666" t="str">
        <f>IF(A4666="","",TEXT(A4666,"0")&amp;"|"&amp;TEXT(H4666,"0"))</f>
        <v/>
      </c>
      <c r="AA4666" t="str">
        <f>IF(Z4666="","",IFERROR(LOOKUP(2,1/(#REF!=Z4666),#REF!),""))</f>
        <v/>
      </c>
      <c r="AB4666" t="str">
        <f>IF(Z4666="","",IFERROR(LOOKUP(2,1/(#REF!=Z4666),#REF!),""))</f>
        <v/>
      </c>
      <c r="AC4666" t="str">
        <f>IF(Z4666="","",COUNTIF(#REF!,Z4666))</f>
        <v/>
      </c>
      <c r="AD4666" t="str">
        <f>IF(A4666="","",IF(AC4666&gt;1,"REVISAR DUPLICADO",IF(AA4666&lt;&gt;"","ACTUALIZADO POR EYR","SIN REPORTE EYR")))</f>
        <v/>
      </c>
    </row>
    <row r="4667" spans="11:30" x14ac:dyDescent="0.3">
      <c r="K4667" s="1" t="str">
        <f ca="1">IF(A4667="","",IF(OR(L4667="ENTREGADA",L4667="RETORNADA",L4667="ENTREGA DIGITAL"),0,MAX(0,5-NETWORKDAYS(H4667+1,TODAY()))))</f>
        <v/>
      </c>
      <c r="L4667" t="str">
        <f>IF(A4667="","",IFERROR(LOOKUP(2,1/(#REF!=Z4667),#REF!),Y4667))</f>
        <v/>
      </c>
      <c r="Z4667" t="str">
        <f>IF(A4667="","",TEXT(A4667,"0")&amp;"|"&amp;TEXT(H4667,"0"))</f>
        <v/>
      </c>
      <c r="AA4667" t="str">
        <f>IF(Z4667="","",IFERROR(LOOKUP(2,1/(#REF!=Z4667),#REF!),""))</f>
        <v/>
      </c>
      <c r="AB4667" t="str">
        <f>IF(Z4667="","",IFERROR(LOOKUP(2,1/(#REF!=Z4667),#REF!),""))</f>
        <v/>
      </c>
      <c r="AC4667" t="str">
        <f>IF(Z4667="","",COUNTIF(#REF!,Z4667))</f>
        <v/>
      </c>
      <c r="AD4667" t="str">
        <f>IF(A4667="","",IF(AC4667&gt;1,"REVISAR DUPLICADO",IF(AA4667&lt;&gt;"","ACTUALIZADO POR EYR","SIN REPORTE EYR")))</f>
        <v/>
      </c>
    </row>
    <row r="4668" spans="11:30" x14ac:dyDescent="0.3">
      <c r="K4668" s="1" t="str">
        <f ca="1">IF(A4668="","",IF(OR(L4668="ENTREGADA",L4668="RETORNADA",L4668="ENTREGA DIGITAL"),0,MAX(0,5-NETWORKDAYS(H4668+1,TODAY()))))</f>
        <v/>
      </c>
      <c r="L4668" t="str">
        <f>IF(A4668="","",IFERROR(LOOKUP(2,1/(#REF!=Z4668),#REF!),Y4668))</f>
        <v/>
      </c>
      <c r="Z4668" t="str">
        <f>IF(A4668="","",TEXT(A4668,"0")&amp;"|"&amp;TEXT(H4668,"0"))</f>
        <v/>
      </c>
      <c r="AA4668" t="str">
        <f>IF(Z4668="","",IFERROR(LOOKUP(2,1/(#REF!=Z4668),#REF!),""))</f>
        <v/>
      </c>
      <c r="AB4668" t="str">
        <f>IF(Z4668="","",IFERROR(LOOKUP(2,1/(#REF!=Z4668),#REF!),""))</f>
        <v/>
      </c>
      <c r="AC4668" t="str">
        <f>IF(Z4668="","",COUNTIF(#REF!,Z4668))</f>
        <v/>
      </c>
      <c r="AD4668" t="str">
        <f>IF(A4668="","",IF(AC4668&gt;1,"REVISAR DUPLICADO",IF(AA4668&lt;&gt;"","ACTUALIZADO POR EYR","SIN REPORTE EYR")))</f>
        <v/>
      </c>
    </row>
    <row r="4669" spans="11:30" x14ac:dyDescent="0.3">
      <c r="K4669" s="1" t="str">
        <f ca="1">IF(A4669="","",IF(OR(L4669="ENTREGADA",L4669="RETORNADA",L4669="ENTREGA DIGITAL"),0,MAX(0,5-NETWORKDAYS(H4669+1,TODAY()))))</f>
        <v/>
      </c>
      <c r="L4669" t="str">
        <f>IF(A4669="","",IFERROR(LOOKUP(2,1/(#REF!=Z4669),#REF!),Y4669))</f>
        <v/>
      </c>
      <c r="Z4669" t="str">
        <f>IF(A4669="","",TEXT(A4669,"0")&amp;"|"&amp;TEXT(H4669,"0"))</f>
        <v/>
      </c>
      <c r="AA4669" t="str">
        <f>IF(Z4669="","",IFERROR(LOOKUP(2,1/(#REF!=Z4669),#REF!),""))</f>
        <v/>
      </c>
      <c r="AB4669" t="str">
        <f>IF(Z4669="","",IFERROR(LOOKUP(2,1/(#REF!=Z4669),#REF!),""))</f>
        <v/>
      </c>
      <c r="AC4669" t="str">
        <f>IF(Z4669="","",COUNTIF(#REF!,Z4669))</f>
        <v/>
      </c>
      <c r="AD4669" t="str">
        <f>IF(A4669="","",IF(AC4669&gt;1,"REVISAR DUPLICADO",IF(AA4669&lt;&gt;"","ACTUALIZADO POR EYR","SIN REPORTE EYR")))</f>
        <v/>
      </c>
    </row>
    <row r="4670" spans="11:30" x14ac:dyDescent="0.3">
      <c r="K4670" s="1" t="str">
        <f ca="1">IF(A4670="","",IF(OR(L4670="ENTREGADA",L4670="RETORNADA",L4670="ENTREGA DIGITAL"),0,MAX(0,5-NETWORKDAYS(H4670+1,TODAY()))))</f>
        <v/>
      </c>
      <c r="L4670" t="str">
        <f>IF(A4670="","",IFERROR(LOOKUP(2,1/(#REF!=Z4670),#REF!),Y4670))</f>
        <v/>
      </c>
      <c r="Z4670" t="str">
        <f>IF(A4670="","",TEXT(A4670,"0")&amp;"|"&amp;TEXT(H4670,"0"))</f>
        <v/>
      </c>
      <c r="AA4670" t="str">
        <f>IF(Z4670="","",IFERROR(LOOKUP(2,1/(#REF!=Z4670),#REF!),""))</f>
        <v/>
      </c>
      <c r="AB4670" t="str">
        <f>IF(Z4670="","",IFERROR(LOOKUP(2,1/(#REF!=Z4670),#REF!),""))</f>
        <v/>
      </c>
      <c r="AC4670" t="str">
        <f>IF(Z4670="","",COUNTIF(#REF!,Z4670))</f>
        <v/>
      </c>
      <c r="AD4670" t="str">
        <f>IF(A4670="","",IF(AC4670&gt;1,"REVISAR DUPLICADO",IF(AA4670&lt;&gt;"","ACTUALIZADO POR EYR","SIN REPORTE EYR")))</f>
        <v/>
      </c>
    </row>
    <row r="4671" spans="11:30" x14ac:dyDescent="0.3">
      <c r="K4671" s="1" t="str">
        <f ca="1">IF(A4671="","",IF(OR(L4671="ENTREGADA",L4671="RETORNADA",L4671="ENTREGA DIGITAL"),0,MAX(0,5-NETWORKDAYS(H4671+1,TODAY()))))</f>
        <v/>
      </c>
      <c r="L4671" t="str">
        <f>IF(A4671="","",IFERROR(LOOKUP(2,1/(#REF!=Z4671),#REF!),Y4671))</f>
        <v/>
      </c>
      <c r="Z4671" t="str">
        <f>IF(A4671="","",TEXT(A4671,"0")&amp;"|"&amp;TEXT(H4671,"0"))</f>
        <v/>
      </c>
      <c r="AA4671" t="str">
        <f>IF(Z4671="","",IFERROR(LOOKUP(2,1/(#REF!=Z4671),#REF!),""))</f>
        <v/>
      </c>
      <c r="AB4671" t="str">
        <f>IF(Z4671="","",IFERROR(LOOKUP(2,1/(#REF!=Z4671),#REF!),""))</f>
        <v/>
      </c>
      <c r="AC4671" t="str">
        <f>IF(Z4671="","",COUNTIF(#REF!,Z4671))</f>
        <v/>
      </c>
      <c r="AD4671" t="str">
        <f>IF(A4671="","",IF(AC4671&gt;1,"REVISAR DUPLICADO",IF(AA4671&lt;&gt;"","ACTUALIZADO POR EYR","SIN REPORTE EYR")))</f>
        <v/>
      </c>
    </row>
    <row r="4672" spans="11:30" x14ac:dyDescent="0.3">
      <c r="K4672" s="1" t="str">
        <f ca="1">IF(A4672="","",IF(OR(L4672="ENTREGADA",L4672="RETORNADA",L4672="ENTREGA DIGITAL"),0,MAX(0,5-NETWORKDAYS(H4672+1,TODAY()))))</f>
        <v/>
      </c>
      <c r="L4672" t="str">
        <f>IF(A4672="","",IFERROR(LOOKUP(2,1/(#REF!=Z4672),#REF!),Y4672))</f>
        <v/>
      </c>
      <c r="Z4672" t="str">
        <f>IF(A4672="","",TEXT(A4672,"0")&amp;"|"&amp;TEXT(H4672,"0"))</f>
        <v/>
      </c>
      <c r="AA4672" t="str">
        <f>IF(Z4672="","",IFERROR(LOOKUP(2,1/(#REF!=Z4672),#REF!),""))</f>
        <v/>
      </c>
      <c r="AB4672" t="str">
        <f>IF(Z4672="","",IFERROR(LOOKUP(2,1/(#REF!=Z4672),#REF!),""))</f>
        <v/>
      </c>
      <c r="AC4672" t="str">
        <f>IF(Z4672="","",COUNTIF(#REF!,Z4672))</f>
        <v/>
      </c>
      <c r="AD4672" t="str">
        <f>IF(A4672="","",IF(AC4672&gt;1,"REVISAR DUPLICADO",IF(AA4672&lt;&gt;"","ACTUALIZADO POR EYR","SIN REPORTE EYR")))</f>
        <v/>
      </c>
    </row>
    <row r="4673" spans="11:30" x14ac:dyDescent="0.3">
      <c r="K4673" s="1" t="str">
        <f ca="1">IF(A4673="","",IF(OR(L4673="ENTREGADA",L4673="RETORNADA",L4673="ENTREGA DIGITAL"),0,MAX(0,5-NETWORKDAYS(H4673+1,TODAY()))))</f>
        <v/>
      </c>
      <c r="L4673" t="str">
        <f>IF(A4673="","",IFERROR(LOOKUP(2,1/(#REF!=Z4673),#REF!),Y4673))</f>
        <v/>
      </c>
      <c r="Z4673" t="str">
        <f>IF(A4673="","",TEXT(A4673,"0")&amp;"|"&amp;TEXT(H4673,"0"))</f>
        <v/>
      </c>
      <c r="AA4673" t="str">
        <f>IF(Z4673="","",IFERROR(LOOKUP(2,1/(#REF!=Z4673),#REF!),""))</f>
        <v/>
      </c>
      <c r="AB4673" t="str">
        <f>IF(Z4673="","",IFERROR(LOOKUP(2,1/(#REF!=Z4673),#REF!),""))</f>
        <v/>
      </c>
      <c r="AC4673" t="str">
        <f>IF(Z4673="","",COUNTIF(#REF!,Z4673))</f>
        <v/>
      </c>
      <c r="AD4673" t="str">
        <f>IF(A4673="","",IF(AC4673&gt;1,"REVISAR DUPLICADO",IF(AA4673&lt;&gt;"","ACTUALIZADO POR EYR","SIN REPORTE EYR")))</f>
        <v/>
      </c>
    </row>
    <row r="4674" spans="11:30" x14ac:dyDescent="0.3">
      <c r="K4674" s="1" t="str">
        <f ca="1">IF(A4674="","",IF(OR(L4674="ENTREGADA",L4674="RETORNADA",L4674="ENTREGA DIGITAL"),0,MAX(0,5-NETWORKDAYS(H4674+1,TODAY()))))</f>
        <v/>
      </c>
      <c r="L4674" t="str">
        <f>IF(A4674="","",IFERROR(LOOKUP(2,1/(#REF!=Z4674),#REF!),Y4674))</f>
        <v/>
      </c>
      <c r="Z4674" t="str">
        <f>IF(A4674="","",TEXT(A4674,"0")&amp;"|"&amp;TEXT(H4674,"0"))</f>
        <v/>
      </c>
      <c r="AA4674" t="str">
        <f>IF(Z4674="","",IFERROR(LOOKUP(2,1/(#REF!=Z4674),#REF!),""))</f>
        <v/>
      </c>
      <c r="AB4674" t="str">
        <f>IF(Z4674="","",IFERROR(LOOKUP(2,1/(#REF!=Z4674),#REF!),""))</f>
        <v/>
      </c>
      <c r="AC4674" t="str">
        <f>IF(Z4674="","",COUNTIF(#REF!,Z4674))</f>
        <v/>
      </c>
      <c r="AD4674" t="str">
        <f>IF(A4674="","",IF(AC4674&gt;1,"REVISAR DUPLICADO",IF(AA4674&lt;&gt;"","ACTUALIZADO POR EYR","SIN REPORTE EYR")))</f>
        <v/>
      </c>
    </row>
    <row r="4675" spans="11:30" x14ac:dyDescent="0.3">
      <c r="K4675" s="1" t="str">
        <f ca="1">IF(A4675="","",IF(OR(L4675="ENTREGADA",L4675="RETORNADA",L4675="ENTREGA DIGITAL"),0,MAX(0,5-NETWORKDAYS(H4675+1,TODAY()))))</f>
        <v/>
      </c>
      <c r="L4675" t="str">
        <f>IF(A4675="","",IFERROR(LOOKUP(2,1/(#REF!=Z4675),#REF!),Y4675))</f>
        <v/>
      </c>
      <c r="Z4675" t="str">
        <f>IF(A4675="","",TEXT(A4675,"0")&amp;"|"&amp;TEXT(H4675,"0"))</f>
        <v/>
      </c>
      <c r="AA4675" t="str">
        <f>IF(Z4675="","",IFERROR(LOOKUP(2,1/(#REF!=Z4675),#REF!),""))</f>
        <v/>
      </c>
      <c r="AB4675" t="str">
        <f>IF(Z4675="","",IFERROR(LOOKUP(2,1/(#REF!=Z4675),#REF!),""))</f>
        <v/>
      </c>
      <c r="AC4675" t="str">
        <f>IF(Z4675="","",COUNTIF(#REF!,Z4675))</f>
        <v/>
      </c>
      <c r="AD4675" t="str">
        <f>IF(A4675="","",IF(AC4675&gt;1,"REVISAR DUPLICADO",IF(AA4675&lt;&gt;"","ACTUALIZADO POR EYR","SIN REPORTE EYR")))</f>
        <v/>
      </c>
    </row>
    <row r="4676" spans="11:30" x14ac:dyDescent="0.3">
      <c r="K4676" s="1" t="str">
        <f ca="1">IF(A4676="","",IF(OR(L4676="ENTREGADA",L4676="RETORNADA",L4676="ENTREGA DIGITAL"),0,MAX(0,5-NETWORKDAYS(H4676+1,TODAY()))))</f>
        <v/>
      </c>
      <c r="L4676" t="str">
        <f>IF(A4676="","",IFERROR(LOOKUP(2,1/(#REF!=Z4676),#REF!),Y4676))</f>
        <v/>
      </c>
      <c r="Z4676" t="str">
        <f>IF(A4676="","",TEXT(A4676,"0")&amp;"|"&amp;TEXT(H4676,"0"))</f>
        <v/>
      </c>
      <c r="AA4676" t="str">
        <f>IF(Z4676="","",IFERROR(LOOKUP(2,1/(#REF!=Z4676),#REF!),""))</f>
        <v/>
      </c>
      <c r="AB4676" t="str">
        <f>IF(Z4676="","",IFERROR(LOOKUP(2,1/(#REF!=Z4676),#REF!),""))</f>
        <v/>
      </c>
      <c r="AC4676" t="str">
        <f>IF(Z4676="","",COUNTIF(#REF!,Z4676))</f>
        <v/>
      </c>
      <c r="AD4676" t="str">
        <f>IF(A4676="","",IF(AC4676&gt;1,"REVISAR DUPLICADO",IF(AA4676&lt;&gt;"","ACTUALIZADO POR EYR","SIN REPORTE EYR")))</f>
        <v/>
      </c>
    </row>
    <row r="4677" spans="11:30" x14ac:dyDescent="0.3">
      <c r="K4677" s="1" t="str">
        <f ca="1">IF(A4677="","",IF(OR(L4677="ENTREGADA",L4677="RETORNADA",L4677="ENTREGA DIGITAL"),0,MAX(0,5-NETWORKDAYS(H4677+1,TODAY()))))</f>
        <v/>
      </c>
      <c r="L4677" t="str">
        <f>IF(A4677="","",IFERROR(LOOKUP(2,1/(#REF!=Z4677),#REF!),Y4677))</f>
        <v/>
      </c>
      <c r="Z4677" t="str">
        <f>IF(A4677="","",TEXT(A4677,"0")&amp;"|"&amp;TEXT(H4677,"0"))</f>
        <v/>
      </c>
      <c r="AA4677" t="str">
        <f>IF(Z4677="","",IFERROR(LOOKUP(2,1/(#REF!=Z4677),#REF!),""))</f>
        <v/>
      </c>
      <c r="AB4677" t="str">
        <f>IF(Z4677="","",IFERROR(LOOKUP(2,1/(#REF!=Z4677),#REF!),""))</f>
        <v/>
      </c>
      <c r="AC4677" t="str">
        <f>IF(Z4677="","",COUNTIF(#REF!,Z4677))</f>
        <v/>
      </c>
      <c r="AD4677" t="str">
        <f>IF(A4677="","",IF(AC4677&gt;1,"REVISAR DUPLICADO",IF(AA4677&lt;&gt;"","ACTUALIZADO POR EYR","SIN REPORTE EYR")))</f>
        <v/>
      </c>
    </row>
    <row r="4678" spans="11:30" x14ac:dyDescent="0.3">
      <c r="K4678" s="1" t="str">
        <f ca="1">IF(A4678="","",IF(OR(L4678="ENTREGADA",L4678="RETORNADA",L4678="ENTREGA DIGITAL"),0,MAX(0,5-NETWORKDAYS(H4678+1,TODAY()))))</f>
        <v/>
      </c>
      <c r="L4678" t="str">
        <f>IF(A4678="","",IFERROR(LOOKUP(2,1/(#REF!=Z4678),#REF!),Y4678))</f>
        <v/>
      </c>
      <c r="Z4678" t="str">
        <f>IF(A4678="","",TEXT(A4678,"0")&amp;"|"&amp;TEXT(H4678,"0"))</f>
        <v/>
      </c>
      <c r="AA4678" t="str">
        <f>IF(Z4678="","",IFERROR(LOOKUP(2,1/(#REF!=Z4678),#REF!),""))</f>
        <v/>
      </c>
      <c r="AB4678" t="str">
        <f>IF(Z4678="","",IFERROR(LOOKUP(2,1/(#REF!=Z4678),#REF!),""))</f>
        <v/>
      </c>
      <c r="AC4678" t="str">
        <f>IF(Z4678="","",COUNTIF(#REF!,Z4678))</f>
        <v/>
      </c>
      <c r="AD4678" t="str">
        <f>IF(A4678="","",IF(AC4678&gt;1,"REVISAR DUPLICADO",IF(AA4678&lt;&gt;"","ACTUALIZADO POR EYR","SIN REPORTE EYR")))</f>
        <v/>
      </c>
    </row>
    <row r="4679" spans="11:30" x14ac:dyDescent="0.3">
      <c r="K4679" s="1" t="str">
        <f ca="1">IF(A4679="","",IF(OR(L4679="ENTREGADA",L4679="RETORNADA",L4679="ENTREGA DIGITAL"),0,MAX(0,5-NETWORKDAYS(H4679+1,TODAY()))))</f>
        <v/>
      </c>
      <c r="L4679" t="str">
        <f>IF(A4679="","",IFERROR(LOOKUP(2,1/(#REF!=Z4679),#REF!),Y4679))</f>
        <v/>
      </c>
      <c r="Z4679" t="str">
        <f>IF(A4679="","",TEXT(A4679,"0")&amp;"|"&amp;TEXT(H4679,"0"))</f>
        <v/>
      </c>
      <c r="AA4679" t="str">
        <f>IF(Z4679="","",IFERROR(LOOKUP(2,1/(#REF!=Z4679),#REF!),""))</f>
        <v/>
      </c>
      <c r="AB4679" t="str">
        <f>IF(Z4679="","",IFERROR(LOOKUP(2,1/(#REF!=Z4679),#REF!),""))</f>
        <v/>
      </c>
      <c r="AC4679" t="str">
        <f>IF(Z4679="","",COUNTIF(#REF!,Z4679))</f>
        <v/>
      </c>
      <c r="AD4679" t="str">
        <f>IF(A4679="","",IF(AC4679&gt;1,"REVISAR DUPLICADO",IF(AA4679&lt;&gt;"","ACTUALIZADO POR EYR","SIN REPORTE EYR")))</f>
        <v/>
      </c>
    </row>
    <row r="4680" spans="11:30" x14ac:dyDescent="0.3">
      <c r="K4680" s="1" t="str">
        <f ca="1">IF(A4680="","",IF(OR(L4680="ENTREGADA",L4680="RETORNADA",L4680="ENTREGA DIGITAL"),0,MAX(0,5-NETWORKDAYS(H4680+1,TODAY()))))</f>
        <v/>
      </c>
      <c r="L4680" t="str">
        <f>IF(A4680="","",IFERROR(LOOKUP(2,1/(#REF!=Z4680),#REF!),Y4680))</f>
        <v/>
      </c>
      <c r="Z4680" t="str">
        <f>IF(A4680="","",TEXT(A4680,"0")&amp;"|"&amp;TEXT(H4680,"0"))</f>
        <v/>
      </c>
      <c r="AA4680" t="str">
        <f>IF(Z4680="","",IFERROR(LOOKUP(2,1/(#REF!=Z4680),#REF!),""))</f>
        <v/>
      </c>
      <c r="AB4680" t="str">
        <f>IF(Z4680="","",IFERROR(LOOKUP(2,1/(#REF!=Z4680),#REF!),""))</f>
        <v/>
      </c>
      <c r="AC4680" t="str">
        <f>IF(Z4680="","",COUNTIF(#REF!,Z4680))</f>
        <v/>
      </c>
      <c r="AD4680" t="str">
        <f>IF(A4680="","",IF(AC4680&gt;1,"REVISAR DUPLICADO",IF(AA4680&lt;&gt;"","ACTUALIZADO POR EYR","SIN REPORTE EYR")))</f>
        <v/>
      </c>
    </row>
    <row r="4681" spans="11:30" x14ac:dyDescent="0.3">
      <c r="K4681" s="1" t="str">
        <f ca="1">IF(A4681="","",IF(OR(L4681="ENTREGADA",L4681="RETORNADA",L4681="ENTREGA DIGITAL"),0,MAX(0,5-NETWORKDAYS(H4681+1,TODAY()))))</f>
        <v/>
      </c>
      <c r="L4681" t="str">
        <f>IF(A4681="","",IFERROR(LOOKUP(2,1/(#REF!=Z4681),#REF!),Y4681))</f>
        <v/>
      </c>
      <c r="Z4681" t="str">
        <f>IF(A4681="","",TEXT(A4681,"0")&amp;"|"&amp;TEXT(H4681,"0"))</f>
        <v/>
      </c>
      <c r="AA4681" t="str">
        <f>IF(Z4681="","",IFERROR(LOOKUP(2,1/(#REF!=Z4681),#REF!),""))</f>
        <v/>
      </c>
      <c r="AB4681" t="str">
        <f>IF(Z4681="","",IFERROR(LOOKUP(2,1/(#REF!=Z4681),#REF!),""))</f>
        <v/>
      </c>
      <c r="AC4681" t="str">
        <f>IF(Z4681="","",COUNTIF(#REF!,Z4681))</f>
        <v/>
      </c>
      <c r="AD4681" t="str">
        <f>IF(A4681="","",IF(AC4681&gt;1,"REVISAR DUPLICADO",IF(AA4681&lt;&gt;"","ACTUALIZADO POR EYR","SIN REPORTE EYR")))</f>
        <v/>
      </c>
    </row>
    <row r="4682" spans="11:30" x14ac:dyDescent="0.3">
      <c r="K4682" s="1" t="str">
        <f ca="1">IF(A4682="","",IF(OR(L4682="ENTREGADA",L4682="RETORNADA",L4682="ENTREGA DIGITAL"),0,MAX(0,5-NETWORKDAYS(H4682+1,TODAY()))))</f>
        <v/>
      </c>
      <c r="L4682" t="str">
        <f>IF(A4682="","",IFERROR(LOOKUP(2,1/(#REF!=Z4682),#REF!),Y4682))</f>
        <v/>
      </c>
      <c r="Z4682" t="str">
        <f>IF(A4682="","",TEXT(A4682,"0")&amp;"|"&amp;TEXT(H4682,"0"))</f>
        <v/>
      </c>
      <c r="AA4682" t="str">
        <f>IF(Z4682="","",IFERROR(LOOKUP(2,1/(#REF!=Z4682),#REF!),""))</f>
        <v/>
      </c>
      <c r="AB4682" t="str">
        <f>IF(Z4682="","",IFERROR(LOOKUP(2,1/(#REF!=Z4682),#REF!),""))</f>
        <v/>
      </c>
      <c r="AC4682" t="str">
        <f>IF(Z4682="","",COUNTIF(#REF!,Z4682))</f>
        <v/>
      </c>
      <c r="AD4682" t="str">
        <f>IF(A4682="","",IF(AC4682&gt;1,"REVISAR DUPLICADO",IF(AA4682&lt;&gt;"","ACTUALIZADO POR EYR","SIN REPORTE EYR")))</f>
        <v/>
      </c>
    </row>
    <row r="4683" spans="11:30" x14ac:dyDescent="0.3">
      <c r="K4683" s="1" t="str">
        <f ca="1">IF(A4683="","",IF(OR(L4683="ENTREGADA",L4683="RETORNADA",L4683="ENTREGA DIGITAL"),0,MAX(0,5-NETWORKDAYS(H4683+1,TODAY()))))</f>
        <v/>
      </c>
      <c r="L4683" t="str">
        <f>IF(A4683="","",IFERROR(LOOKUP(2,1/(#REF!=Z4683),#REF!),Y4683))</f>
        <v/>
      </c>
      <c r="Z4683" t="str">
        <f>IF(A4683="","",TEXT(A4683,"0")&amp;"|"&amp;TEXT(H4683,"0"))</f>
        <v/>
      </c>
      <c r="AA4683" t="str">
        <f>IF(Z4683="","",IFERROR(LOOKUP(2,1/(#REF!=Z4683),#REF!),""))</f>
        <v/>
      </c>
      <c r="AB4683" t="str">
        <f>IF(Z4683="","",IFERROR(LOOKUP(2,1/(#REF!=Z4683),#REF!),""))</f>
        <v/>
      </c>
      <c r="AC4683" t="str">
        <f>IF(Z4683="","",COUNTIF(#REF!,Z4683))</f>
        <v/>
      </c>
      <c r="AD4683" t="str">
        <f>IF(A4683="","",IF(AC4683&gt;1,"REVISAR DUPLICADO",IF(AA4683&lt;&gt;"","ACTUALIZADO POR EYR","SIN REPORTE EYR")))</f>
        <v/>
      </c>
    </row>
    <row r="4684" spans="11:30" x14ac:dyDescent="0.3">
      <c r="K4684" s="1" t="str">
        <f ca="1">IF(A4684="","",IF(OR(L4684="ENTREGADA",L4684="RETORNADA",L4684="ENTREGA DIGITAL"),0,MAX(0,5-NETWORKDAYS(H4684+1,TODAY()))))</f>
        <v/>
      </c>
      <c r="L4684" t="str">
        <f>IF(A4684="","",IFERROR(LOOKUP(2,1/(#REF!=Z4684),#REF!),Y4684))</f>
        <v/>
      </c>
      <c r="Z4684" t="str">
        <f>IF(A4684="","",TEXT(A4684,"0")&amp;"|"&amp;TEXT(H4684,"0"))</f>
        <v/>
      </c>
      <c r="AA4684" t="str">
        <f>IF(Z4684="","",IFERROR(LOOKUP(2,1/(#REF!=Z4684),#REF!),""))</f>
        <v/>
      </c>
      <c r="AB4684" t="str">
        <f>IF(Z4684="","",IFERROR(LOOKUP(2,1/(#REF!=Z4684),#REF!),""))</f>
        <v/>
      </c>
      <c r="AC4684" t="str">
        <f>IF(Z4684="","",COUNTIF(#REF!,Z4684))</f>
        <v/>
      </c>
      <c r="AD4684" t="str">
        <f>IF(A4684="","",IF(AC4684&gt;1,"REVISAR DUPLICADO",IF(AA4684&lt;&gt;"","ACTUALIZADO POR EYR","SIN REPORTE EYR")))</f>
        <v/>
      </c>
    </row>
    <row r="4685" spans="11:30" x14ac:dyDescent="0.3">
      <c r="K4685" s="1" t="str">
        <f ca="1">IF(A4685="","",IF(OR(L4685="ENTREGADA",L4685="RETORNADA",L4685="ENTREGA DIGITAL"),0,MAX(0,5-NETWORKDAYS(H4685+1,TODAY()))))</f>
        <v/>
      </c>
      <c r="L4685" t="str">
        <f>IF(A4685="","",IFERROR(LOOKUP(2,1/(#REF!=Z4685),#REF!),Y4685))</f>
        <v/>
      </c>
      <c r="Z4685" t="str">
        <f>IF(A4685="","",TEXT(A4685,"0")&amp;"|"&amp;TEXT(H4685,"0"))</f>
        <v/>
      </c>
      <c r="AA4685" t="str">
        <f>IF(Z4685="","",IFERROR(LOOKUP(2,1/(#REF!=Z4685),#REF!),""))</f>
        <v/>
      </c>
      <c r="AB4685" t="str">
        <f>IF(Z4685="","",IFERROR(LOOKUP(2,1/(#REF!=Z4685),#REF!),""))</f>
        <v/>
      </c>
      <c r="AC4685" t="str">
        <f>IF(Z4685="","",COUNTIF(#REF!,Z4685))</f>
        <v/>
      </c>
      <c r="AD4685" t="str">
        <f>IF(A4685="","",IF(AC4685&gt;1,"REVISAR DUPLICADO",IF(AA4685&lt;&gt;"","ACTUALIZADO POR EYR","SIN REPORTE EYR")))</f>
        <v/>
      </c>
    </row>
    <row r="4686" spans="11:30" x14ac:dyDescent="0.3">
      <c r="K4686" s="1" t="str">
        <f ca="1">IF(A4686="","",IF(OR(L4686="ENTREGADA",L4686="RETORNADA",L4686="ENTREGA DIGITAL"),0,MAX(0,5-NETWORKDAYS(H4686+1,TODAY()))))</f>
        <v/>
      </c>
      <c r="L4686" t="str">
        <f>IF(A4686="","",IFERROR(LOOKUP(2,1/(#REF!=Z4686),#REF!),Y4686))</f>
        <v/>
      </c>
      <c r="Z4686" t="str">
        <f>IF(A4686="","",TEXT(A4686,"0")&amp;"|"&amp;TEXT(H4686,"0"))</f>
        <v/>
      </c>
      <c r="AA4686" t="str">
        <f>IF(Z4686="","",IFERROR(LOOKUP(2,1/(#REF!=Z4686),#REF!),""))</f>
        <v/>
      </c>
      <c r="AB4686" t="str">
        <f>IF(Z4686="","",IFERROR(LOOKUP(2,1/(#REF!=Z4686),#REF!),""))</f>
        <v/>
      </c>
      <c r="AC4686" t="str">
        <f>IF(Z4686="","",COUNTIF(#REF!,Z4686))</f>
        <v/>
      </c>
      <c r="AD4686" t="str">
        <f>IF(A4686="","",IF(AC4686&gt;1,"REVISAR DUPLICADO",IF(AA4686&lt;&gt;"","ACTUALIZADO POR EYR","SIN REPORTE EYR")))</f>
        <v/>
      </c>
    </row>
    <row r="4687" spans="11:30" x14ac:dyDescent="0.3">
      <c r="K4687" s="1" t="str">
        <f ca="1">IF(A4687="","",IF(OR(L4687="ENTREGADA",L4687="RETORNADA",L4687="ENTREGA DIGITAL"),0,MAX(0,5-NETWORKDAYS(H4687+1,TODAY()))))</f>
        <v/>
      </c>
      <c r="L4687" t="str">
        <f>IF(A4687="","",IFERROR(LOOKUP(2,1/(#REF!=Z4687),#REF!),Y4687))</f>
        <v/>
      </c>
      <c r="Z4687" t="str">
        <f>IF(A4687="","",TEXT(A4687,"0")&amp;"|"&amp;TEXT(H4687,"0"))</f>
        <v/>
      </c>
      <c r="AA4687" t="str">
        <f>IF(Z4687="","",IFERROR(LOOKUP(2,1/(#REF!=Z4687),#REF!),""))</f>
        <v/>
      </c>
      <c r="AB4687" t="str">
        <f>IF(Z4687="","",IFERROR(LOOKUP(2,1/(#REF!=Z4687),#REF!),""))</f>
        <v/>
      </c>
      <c r="AC4687" t="str">
        <f>IF(Z4687="","",COUNTIF(#REF!,Z4687))</f>
        <v/>
      </c>
      <c r="AD4687" t="str">
        <f>IF(A4687="","",IF(AC4687&gt;1,"REVISAR DUPLICADO",IF(AA4687&lt;&gt;"","ACTUALIZADO POR EYR","SIN REPORTE EYR")))</f>
        <v/>
      </c>
    </row>
    <row r="4688" spans="11:30" x14ac:dyDescent="0.3">
      <c r="K4688" s="1" t="str">
        <f ca="1">IF(A4688="","",IF(OR(L4688="ENTREGADA",L4688="RETORNADA",L4688="ENTREGA DIGITAL"),0,MAX(0,5-NETWORKDAYS(H4688+1,TODAY()))))</f>
        <v/>
      </c>
      <c r="L4688" t="str">
        <f>IF(A4688="","",IFERROR(LOOKUP(2,1/(#REF!=Z4688),#REF!),Y4688))</f>
        <v/>
      </c>
      <c r="Z4688" t="str">
        <f>IF(A4688="","",TEXT(A4688,"0")&amp;"|"&amp;TEXT(H4688,"0"))</f>
        <v/>
      </c>
      <c r="AA4688" t="str">
        <f>IF(Z4688="","",IFERROR(LOOKUP(2,1/(#REF!=Z4688),#REF!),""))</f>
        <v/>
      </c>
      <c r="AB4688" t="str">
        <f>IF(Z4688="","",IFERROR(LOOKUP(2,1/(#REF!=Z4688),#REF!),""))</f>
        <v/>
      </c>
      <c r="AC4688" t="str">
        <f>IF(Z4688="","",COUNTIF(#REF!,Z4688))</f>
        <v/>
      </c>
      <c r="AD4688" t="str">
        <f>IF(A4688="","",IF(AC4688&gt;1,"REVISAR DUPLICADO",IF(AA4688&lt;&gt;"","ACTUALIZADO POR EYR","SIN REPORTE EYR")))</f>
        <v/>
      </c>
    </row>
    <row r="4689" spans="11:30" x14ac:dyDescent="0.3">
      <c r="K4689" s="1" t="str">
        <f ca="1">IF(A4689="","",IF(OR(L4689="ENTREGADA",L4689="RETORNADA",L4689="ENTREGA DIGITAL"),0,MAX(0,5-NETWORKDAYS(H4689+1,TODAY()))))</f>
        <v/>
      </c>
      <c r="L4689" t="str">
        <f>IF(A4689="","",IFERROR(LOOKUP(2,1/(#REF!=Z4689),#REF!),Y4689))</f>
        <v/>
      </c>
      <c r="Z4689" t="str">
        <f>IF(A4689="","",TEXT(A4689,"0")&amp;"|"&amp;TEXT(H4689,"0"))</f>
        <v/>
      </c>
      <c r="AA4689" t="str">
        <f>IF(Z4689="","",IFERROR(LOOKUP(2,1/(#REF!=Z4689),#REF!),""))</f>
        <v/>
      </c>
      <c r="AB4689" t="str">
        <f>IF(Z4689="","",IFERROR(LOOKUP(2,1/(#REF!=Z4689),#REF!),""))</f>
        <v/>
      </c>
      <c r="AC4689" t="str">
        <f>IF(Z4689="","",COUNTIF(#REF!,Z4689))</f>
        <v/>
      </c>
      <c r="AD4689" t="str">
        <f>IF(A4689="","",IF(AC4689&gt;1,"REVISAR DUPLICADO",IF(AA4689&lt;&gt;"","ACTUALIZADO POR EYR","SIN REPORTE EYR")))</f>
        <v/>
      </c>
    </row>
    <row r="4690" spans="11:30" x14ac:dyDescent="0.3">
      <c r="K4690" s="1" t="str">
        <f ca="1">IF(A4690="","",IF(OR(L4690="ENTREGADA",L4690="RETORNADA",L4690="ENTREGA DIGITAL"),0,MAX(0,5-NETWORKDAYS(H4690+1,TODAY()))))</f>
        <v/>
      </c>
      <c r="L4690" t="str">
        <f>IF(A4690="","",IFERROR(LOOKUP(2,1/(#REF!=Z4690),#REF!),Y4690))</f>
        <v/>
      </c>
      <c r="Z4690" t="str">
        <f>IF(A4690="","",TEXT(A4690,"0")&amp;"|"&amp;TEXT(H4690,"0"))</f>
        <v/>
      </c>
      <c r="AA4690" t="str">
        <f>IF(Z4690="","",IFERROR(LOOKUP(2,1/(#REF!=Z4690),#REF!),""))</f>
        <v/>
      </c>
      <c r="AB4690" t="str">
        <f>IF(Z4690="","",IFERROR(LOOKUP(2,1/(#REF!=Z4690),#REF!),""))</f>
        <v/>
      </c>
      <c r="AC4690" t="str">
        <f>IF(Z4690="","",COUNTIF(#REF!,Z4690))</f>
        <v/>
      </c>
      <c r="AD4690" t="str">
        <f>IF(A4690="","",IF(AC4690&gt;1,"REVISAR DUPLICADO",IF(AA4690&lt;&gt;"","ACTUALIZADO POR EYR","SIN REPORTE EYR")))</f>
        <v/>
      </c>
    </row>
    <row r="4691" spans="11:30" x14ac:dyDescent="0.3">
      <c r="K4691" s="1" t="str">
        <f ca="1">IF(A4691="","",IF(OR(L4691="ENTREGADA",L4691="RETORNADA",L4691="ENTREGA DIGITAL"),0,MAX(0,5-NETWORKDAYS(H4691+1,TODAY()))))</f>
        <v/>
      </c>
      <c r="L4691" t="str">
        <f>IF(A4691="","",IFERROR(LOOKUP(2,1/(#REF!=Z4691),#REF!),Y4691))</f>
        <v/>
      </c>
      <c r="Z4691" t="str">
        <f>IF(A4691="","",TEXT(A4691,"0")&amp;"|"&amp;TEXT(H4691,"0"))</f>
        <v/>
      </c>
      <c r="AA4691" t="str">
        <f>IF(Z4691="","",IFERROR(LOOKUP(2,1/(#REF!=Z4691),#REF!),""))</f>
        <v/>
      </c>
      <c r="AB4691" t="str">
        <f>IF(Z4691="","",IFERROR(LOOKUP(2,1/(#REF!=Z4691),#REF!),""))</f>
        <v/>
      </c>
      <c r="AC4691" t="str">
        <f>IF(Z4691="","",COUNTIF(#REF!,Z4691))</f>
        <v/>
      </c>
      <c r="AD4691" t="str">
        <f>IF(A4691="","",IF(AC4691&gt;1,"REVISAR DUPLICADO",IF(AA4691&lt;&gt;"","ACTUALIZADO POR EYR","SIN REPORTE EYR")))</f>
        <v/>
      </c>
    </row>
    <row r="4692" spans="11:30" x14ac:dyDescent="0.3">
      <c r="K4692" s="1" t="str">
        <f ca="1">IF(A4692="","",IF(OR(L4692="ENTREGADA",L4692="RETORNADA",L4692="ENTREGA DIGITAL"),0,MAX(0,5-NETWORKDAYS(H4692+1,TODAY()))))</f>
        <v/>
      </c>
      <c r="L4692" t="str">
        <f>IF(A4692="","",IFERROR(LOOKUP(2,1/(#REF!=Z4692),#REF!),Y4692))</f>
        <v/>
      </c>
      <c r="Z4692" t="str">
        <f>IF(A4692="","",TEXT(A4692,"0")&amp;"|"&amp;TEXT(H4692,"0"))</f>
        <v/>
      </c>
      <c r="AA4692" t="str">
        <f>IF(Z4692="","",IFERROR(LOOKUP(2,1/(#REF!=Z4692),#REF!),""))</f>
        <v/>
      </c>
      <c r="AB4692" t="str">
        <f>IF(Z4692="","",IFERROR(LOOKUP(2,1/(#REF!=Z4692),#REF!),""))</f>
        <v/>
      </c>
      <c r="AC4692" t="str">
        <f>IF(Z4692="","",COUNTIF(#REF!,Z4692))</f>
        <v/>
      </c>
      <c r="AD4692" t="str">
        <f>IF(A4692="","",IF(AC4692&gt;1,"REVISAR DUPLICADO",IF(AA4692&lt;&gt;"","ACTUALIZADO POR EYR","SIN REPORTE EYR")))</f>
        <v/>
      </c>
    </row>
    <row r="4693" spans="11:30" x14ac:dyDescent="0.3">
      <c r="K4693" s="1" t="str">
        <f ca="1">IF(A4693="","",IF(OR(L4693="ENTREGADA",L4693="RETORNADA",L4693="ENTREGA DIGITAL"),0,MAX(0,5-NETWORKDAYS(H4693+1,TODAY()))))</f>
        <v/>
      </c>
      <c r="L4693" t="str">
        <f>IF(A4693="","",IFERROR(LOOKUP(2,1/(#REF!=Z4693),#REF!),Y4693))</f>
        <v/>
      </c>
      <c r="Z4693" t="str">
        <f>IF(A4693="","",TEXT(A4693,"0")&amp;"|"&amp;TEXT(H4693,"0"))</f>
        <v/>
      </c>
      <c r="AA4693" t="str">
        <f>IF(Z4693="","",IFERROR(LOOKUP(2,1/(#REF!=Z4693),#REF!),""))</f>
        <v/>
      </c>
      <c r="AB4693" t="str">
        <f>IF(Z4693="","",IFERROR(LOOKUP(2,1/(#REF!=Z4693),#REF!),""))</f>
        <v/>
      </c>
      <c r="AC4693" t="str">
        <f>IF(Z4693="","",COUNTIF(#REF!,Z4693))</f>
        <v/>
      </c>
      <c r="AD4693" t="str">
        <f>IF(A4693="","",IF(AC4693&gt;1,"REVISAR DUPLICADO",IF(AA4693&lt;&gt;"","ACTUALIZADO POR EYR","SIN REPORTE EYR")))</f>
        <v/>
      </c>
    </row>
    <row r="4694" spans="11:30" x14ac:dyDescent="0.3">
      <c r="K4694" s="1" t="str">
        <f ca="1">IF(A4694="","",IF(OR(L4694="ENTREGADA",L4694="RETORNADA",L4694="ENTREGA DIGITAL"),0,MAX(0,5-NETWORKDAYS(H4694+1,TODAY()))))</f>
        <v/>
      </c>
      <c r="L4694" t="str">
        <f>IF(A4694="","",IFERROR(LOOKUP(2,1/(#REF!=Z4694),#REF!),Y4694))</f>
        <v/>
      </c>
      <c r="Z4694" t="str">
        <f>IF(A4694="","",TEXT(A4694,"0")&amp;"|"&amp;TEXT(H4694,"0"))</f>
        <v/>
      </c>
      <c r="AA4694" t="str">
        <f>IF(Z4694="","",IFERROR(LOOKUP(2,1/(#REF!=Z4694),#REF!),""))</f>
        <v/>
      </c>
      <c r="AB4694" t="str">
        <f>IF(Z4694="","",IFERROR(LOOKUP(2,1/(#REF!=Z4694),#REF!),""))</f>
        <v/>
      </c>
      <c r="AC4694" t="str">
        <f>IF(Z4694="","",COUNTIF(#REF!,Z4694))</f>
        <v/>
      </c>
      <c r="AD4694" t="str">
        <f>IF(A4694="","",IF(AC4694&gt;1,"REVISAR DUPLICADO",IF(AA4694&lt;&gt;"","ACTUALIZADO POR EYR","SIN REPORTE EYR")))</f>
        <v/>
      </c>
    </row>
    <row r="4695" spans="11:30" x14ac:dyDescent="0.3">
      <c r="K4695" s="1" t="str">
        <f ca="1">IF(A4695="","",IF(OR(L4695="ENTREGADA",L4695="RETORNADA",L4695="ENTREGA DIGITAL"),0,MAX(0,5-NETWORKDAYS(H4695+1,TODAY()))))</f>
        <v/>
      </c>
      <c r="L4695" t="str">
        <f>IF(A4695="","",IFERROR(LOOKUP(2,1/(#REF!=Z4695),#REF!),Y4695))</f>
        <v/>
      </c>
      <c r="Z4695" t="str">
        <f>IF(A4695="","",TEXT(A4695,"0")&amp;"|"&amp;TEXT(H4695,"0"))</f>
        <v/>
      </c>
      <c r="AA4695" t="str">
        <f>IF(Z4695="","",IFERROR(LOOKUP(2,1/(#REF!=Z4695),#REF!),""))</f>
        <v/>
      </c>
      <c r="AB4695" t="str">
        <f>IF(Z4695="","",IFERROR(LOOKUP(2,1/(#REF!=Z4695),#REF!),""))</f>
        <v/>
      </c>
      <c r="AC4695" t="str">
        <f>IF(Z4695="","",COUNTIF(#REF!,Z4695))</f>
        <v/>
      </c>
      <c r="AD4695" t="str">
        <f>IF(A4695="","",IF(AC4695&gt;1,"REVISAR DUPLICADO",IF(AA4695&lt;&gt;"","ACTUALIZADO POR EYR","SIN REPORTE EYR")))</f>
        <v/>
      </c>
    </row>
    <row r="4696" spans="11:30" x14ac:dyDescent="0.3">
      <c r="K4696" s="1" t="str">
        <f ca="1">IF(A4696="","",IF(OR(L4696="ENTREGADA",L4696="RETORNADA",L4696="ENTREGA DIGITAL"),0,MAX(0,5-NETWORKDAYS(H4696+1,TODAY()))))</f>
        <v/>
      </c>
      <c r="L4696" t="str">
        <f>IF(A4696="","",IFERROR(LOOKUP(2,1/(#REF!=Z4696),#REF!),Y4696))</f>
        <v/>
      </c>
      <c r="Z4696" t="str">
        <f>IF(A4696="","",TEXT(A4696,"0")&amp;"|"&amp;TEXT(H4696,"0"))</f>
        <v/>
      </c>
      <c r="AA4696" t="str">
        <f>IF(Z4696="","",IFERROR(LOOKUP(2,1/(#REF!=Z4696),#REF!),""))</f>
        <v/>
      </c>
      <c r="AB4696" t="str">
        <f>IF(Z4696="","",IFERROR(LOOKUP(2,1/(#REF!=Z4696),#REF!),""))</f>
        <v/>
      </c>
      <c r="AC4696" t="str">
        <f>IF(Z4696="","",COUNTIF(#REF!,Z4696))</f>
        <v/>
      </c>
      <c r="AD4696" t="str">
        <f>IF(A4696="","",IF(AC4696&gt;1,"REVISAR DUPLICADO",IF(AA4696&lt;&gt;"","ACTUALIZADO POR EYR","SIN REPORTE EYR")))</f>
        <v/>
      </c>
    </row>
    <row r="4697" spans="11:30" x14ac:dyDescent="0.3">
      <c r="K4697" s="1" t="str">
        <f ca="1">IF(A4697="","",IF(OR(L4697="ENTREGADA",L4697="RETORNADA",L4697="ENTREGA DIGITAL"),0,MAX(0,5-NETWORKDAYS(H4697+1,TODAY()))))</f>
        <v/>
      </c>
      <c r="L4697" t="str">
        <f>IF(A4697="","",IFERROR(LOOKUP(2,1/(#REF!=Z4697),#REF!),Y4697))</f>
        <v/>
      </c>
      <c r="Z4697" t="str">
        <f>IF(A4697="","",TEXT(A4697,"0")&amp;"|"&amp;TEXT(H4697,"0"))</f>
        <v/>
      </c>
      <c r="AA4697" t="str">
        <f>IF(Z4697="","",IFERROR(LOOKUP(2,1/(#REF!=Z4697),#REF!),""))</f>
        <v/>
      </c>
      <c r="AB4697" t="str">
        <f>IF(Z4697="","",IFERROR(LOOKUP(2,1/(#REF!=Z4697),#REF!),""))</f>
        <v/>
      </c>
      <c r="AC4697" t="str">
        <f>IF(Z4697="","",COUNTIF(#REF!,Z4697))</f>
        <v/>
      </c>
      <c r="AD4697" t="str">
        <f>IF(A4697="","",IF(AC4697&gt;1,"REVISAR DUPLICADO",IF(AA4697&lt;&gt;"","ACTUALIZADO POR EYR","SIN REPORTE EYR")))</f>
        <v/>
      </c>
    </row>
    <row r="4698" spans="11:30" x14ac:dyDescent="0.3">
      <c r="K4698" s="1" t="str">
        <f ca="1">IF(A4698="","",IF(OR(L4698="ENTREGADA",L4698="RETORNADA",L4698="ENTREGA DIGITAL"),0,MAX(0,5-NETWORKDAYS(H4698+1,TODAY()))))</f>
        <v/>
      </c>
      <c r="L4698" t="str">
        <f>IF(A4698="","",IFERROR(LOOKUP(2,1/(#REF!=Z4698),#REF!),Y4698))</f>
        <v/>
      </c>
      <c r="Z4698" t="str">
        <f>IF(A4698="","",TEXT(A4698,"0")&amp;"|"&amp;TEXT(H4698,"0"))</f>
        <v/>
      </c>
      <c r="AA4698" t="str">
        <f>IF(Z4698="","",IFERROR(LOOKUP(2,1/(#REF!=Z4698),#REF!),""))</f>
        <v/>
      </c>
      <c r="AB4698" t="str">
        <f>IF(Z4698="","",IFERROR(LOOKUP(2,1/(#REF!=Z4698),#REF!),""))</f>
        <v/>
      </c>
      <c r="AC4698" t="str">
        <f>IF(Z4698="","",COUNTIF(#REF!,Z4698))</f>
        <v/>
      </c>
      <c r="AD4698" t="str">
        <f>IF(A4698="","",IF(AC4698&gt;1,"REVISAR DUPLICADO",IF(AA4698&lt;&gt;"","ACTUALIZADO POR EYR","SIN REPORTE EYR")))</f>
        <v/>
      </c>
    </row>
    <row r="4699" spans="11:30" x14ac:dyDescent="0.3">
      <c r="K4699" s="1" t="str">
        <f ca="1">IF(A4699="","",IF(OR(L4699="ENTREGADA",L4699="RETORNADA",L4699="ENTREGA DIGITAL"),0,MAX(0,5-NETWORKDAYS(H4699+1,TODAY()))))</f>
        <v/>
      </c>
      <c r="L4699" t="str">
        <f>IF(A4699="","",IFERROR(LOOKUP(2,1/(#REF!=Z4699),#REF!),Y4699))</f>
        <v/>
      </c>
      <c r="Z4699" t="str">
        <f>IF(A4699="","",TEXT(A4699,"0")&amp;"|"&amp;TEXT(H4699,"0"))</f>
        <v/>
      </c>
      <c r="AA4699" t="str">
        <f>IF(Z4699="","",IFERROR(LOOKUP(2,1/(#REF!=Z4699),#REF!),""))</f>
        <v/>
      </c>
      <c r="AB4699" t="str">
        <f>IF(Z4699="","",IFERROR(LOOKUP(2,1/(#REF!=Z4699),#REF!),""))</f>
        <v/>
      </c>
      <c r="AC4699" t="str">
        <f>IF(Z4699="","",COUNTIF(#REF!,Z4699))</f>
        <v/>
      </c>
      <c r="AD4699" t="str">
        <f>IF(A4699="","",IF(AC4699&gt;1,"REVISAR DUPLICADO",IF(AA4699&lt;&gt;"","ACTUALIZADO POR EYR","SIN REPORTE EYR")))</f>
        <v/>
      </c>
    </row>
    <row r="4700" spans="11:30" x14ac:dyDescent="0.3">
      <c r="K4700" s="1" t="str">
        <f ca="1">IF(A4700="","",IF(OR(L4700="ENTREGADA",L4700="RETORNADA",L4700="ENTREGA DIGITAL"),0,MAX(0,5-NETWORKDAYS(H4700+1,TODAY()))))</f>
        <v/>
      </c>
      <c r="L4700" t="str">
        <f>IF(A4700="","",IFERROR(LOOKUP(2,1/(#REF!=Z4700),#REF!),Y4700))</f>
        <v/>
      </c>
      <c r="Z4700" t="str">
        <f>IF(A4700="","",TEXT(A4700,"0")&amp;"|"&amp;TEXT(H4700,"0"))</f>
        <v/>
      </c>
      <c r="AA4700" t="str">
        <f>IF(Z4700="","",IFERROR(LOOKUP(2,1/(#REF!=Z4700),#REF!),""))</f>
        <v/>
      </c>
      <c r="AB4700" t="str">
        <f>IF(Z4700="","",IFERROR(LOOKUP(2,1/(#REF!=Z4700),#REF!),""))</f>
        <v/>
      </c>
      <c r="AC4700" t="str">
        <f>IF(Z4700="","",COUNTIF(#REF!,Z4700))</f>
        <v/>
      </c>
      <c r="AD4700" t="str">
        <f>IF(A4700="","",IF(AC4700&gt;1,"REVISAR DUPLICADO",IF(AA4700&lt;&gt;"","ACTUALIZADO POR EYR","SIN REPORTE EYR")))</f>
        <v/>
      </c>
    </row>
    <row r="4701" spans="11:30" x14ac:dyDescent="0.3">
      <c r="K4701" s="1" t="str">
        <f ca="1">IF(A4701="","",IF(OR(L4701="ENTREGADA",L4701="RETORNADA",L4701="ENTREGA DIGITAL"),0,MAX(0,5-NETWORKDAYS(H4701+1,TODAY()))))</f>
        <v/>
      </c>
      <c r="L4701" t="str">
        <f>IF(A4701="","",IFERROR(LOOKUP(2,1/(#REF!=Z4701),#REF!),Y4701))</f>
        <v/>
      </c>
      <c r="Z4701" t="str">
        <f>IF(A4701="","",TEXT(A4701,"0")&amp;"|"&amp;TEXT(H4701,"0"))</f>
        <v/>
      </c>
      <c r="AA4701" t="str">
        <f>IF(Z4701="","",IFERROR(LOOKUP(2,1/(#REF!=Z4701),#REF!),""))</f>
        <v/>
      </c>
      <c r="AB4701" t="str">
        <f>IF(Z4701="","",IFERROR(LOOKUP(2,1/(#REF!=Z4701),#REF!),""))</f>
        <v/>
      </c>
      <c r="AC4701" t="str">
        <f>IF(Z4701="","",COUNTIF(#REF!,Z4701))</f>
        <v/>
      </c>
      <c r="AD4701" t="str">
        <f>IF(A4701="","",IF(AC4701&gt;1,"REVISAR DUPLICADO",IF(AA4701&lt;&gt;"","ACTUALIZADO POR EYR","SIN REPORTE EYR")))</f>
        <v/>
      </c>
    </row>
    <row r="4702" spans="11:30" x14ac:dyDescent="0.3">
      <c r="K4702" s="1" t="str">
        <f ca="1">IF(A4702="","",IF(OR(L4702="ENTREGADA",L4702="RETORNADA",L4702="ENTREGA DIGITAL"),0,MAX(0,5-NETWORKDAYS(H4702+1,TODAY()))))</f>
        <v/>
      </c>
      <c r="L4702" t="str">
        <f>IF(A4702="","",IFERROR(LOOKUP(2,1/(#REF!=Z4702),#REF!),Y4702))</f>
        <v/>
      </c>
      <c r="Z4702" t="str">
        <f>IF(A4702="","",TEXT(A4702,"0")&amp;"|"&amp;TEXT(H4702,"0"))</f>
        <v/>
      </c>
      <c r="AA4702" t="str">
        <f>IF(Z4702="","",IFERROR(LOOKUP(2,1/(#REF!=Z4702),#REF!),""))</f>
        <v/>
      </c>
      <c r="AB4702" t="str">
        <f>IF(Z4702="","",IFERROR(LOOKUP(2,1/(#REF!=Z4702),#REF!),""))</f>
        <v/>
      </c>
      <c r="AC4702" t="str">
        <f>IF(Z4702="","",COUNTIF(#REF!,Z4702))</f>
        <v/>
      </c>
      <c r="AD4702" t="str">
        <f>IF(A4702="","",IF(AC4702&gt;1,"REVISAR DUPLICADO",IF(AA4702&lt;&gt;"","ACTUALIZADO POR EYR","SIN REPORTE EYR")))</f>
        <v/>
      </c>
    </row>
    <row r="4703" spans="11:30" x14ac:dyDescent="0.3">
      <c r="K4703" s="1" t="str">
        <f ca="1">IF(A4703="","",IF(OR(L4703="ENTREGADA",L4703="RETORNADA",L4703="ENTREGA DIGITAL"),0,MAX(0,5-NETWORKDAYS(H4703+1,TODAY()))))</f>
        <v/>
      </c>
      <c r="L4703" t="str">
        <f>IF(A4703="","",IFERROR(LOOKUP(2,1/(#REF!=Z4703),#REF!),Y4703))</f>
        <v/>
      </c>
      <c r="Z4703" t="str">
        <f>IF(A4703="","",TEXT(A4703,"0")&amp;"|"&amp;TEXT(H4703,"0"))</f>
        <v/>
      </c>
      <c r="AA4703" t="str">
        <f>IF(Z4703="","",IFERROR(LOOKUP(2,1/(#REF!=Z4703),#REF!),""))</f>
        <v/>
      </c>
      <c r="AB4703" t="str">
        <f>IF(Z4703="","",IFERROR(LOOKUP(2,1/(#REF!=Z4703),#REF!),""))</f>
        <v/>
      </c>
      <c r="AC4703" t="str">
        <f>IF(Z4703="","",COUNTIF(#REF!,Z4703))</f>
        <v/>
      </c>
      <c r="AD4703" t="str">
        <f>IF(A4703="","",IF(AC4703&gt;1,"REVISAR DUPLICADO",IF(AA4703&lt;&gt;"","ACTUALIZADO POR EYR","SIN REPORTE EYR")))</f>
        <v/>
      </c>
    </row>
    <row r="4704" spans="11:30" x14ac:dyDescent="0.3">
      <c r="K4704" s="1" t="str">
        <f ca="1">IF(A4704="","",IF(OR(L4704="ENTREGADA",L4704="RETORNADA",L4704="ENTREGA DIGITAL"),0,MAX(0,5-NETWORKDAYS(H4704+1,TODAY()))))</f>
        <v/>
      </c>
      <c r="L4704" t="str">
        <f>IF(A4704="","",IFERROR(LOOKUP(2,1/(#REF!=Z4704),#REF!),Y4704))</f>
        <v/>
      </c>
      <c r="Z4704" t="str">
        <f>IF(A4704="","",TEXT(A4704,"0")&amp;"|"&amp;TEXT(H4704,"0"))</f>
        <v/>
      </c>
      <c r="AA4704" t="str">
        <f>IF(Z4704="","",IFERROR(LOOKUP(2,1/(#REF!=Z4704),#REF!),""))</f>
        <v/>
      </c>
      <c r="AB4704" t="str">
        <f>IF(Z4704="","",IFERROR(LOOKUP(2,1/(#REF!=Z4704),#REF!),""))</f>
        <v/>
      </c>
      <c r="AC4704" t="str">
        <f>IF(Z4704="","",COUNTIF(#REF!,Z4704))</f>
        <v/>
      </c>
      <c r="AD4704" t="str">
        <f>IF(A4704="","",IF(AC4704&gt;1,"REVISAR DUPLICADO",IF(AA4704&lt;&gt;"","ACTUALIZADO POR EYR","SIN REPORTE EYR")))</f>
        <v/>
      </c>
    </row>
    <row r="4705" spans="11:30" x14ac:dyDescent="0.3">
      <c r="K4705" s="1" t="str">
        <f ca="1">IF(A4705="","",IF(OR(L4705="ENTREGADA",L4705="RETORNADA",L4705="ENTREGA DIGITAL"),0,MAX(0,5-NETWORKDAYS(H4705+1,TODAY()))))</f>
        <v/>
      </c>
      <c r="L4705" t="str">
        <f>IF(A4705="","",IFERROR(LOOKUP(2,1/(#REF!=Z4705),#REF!),Y4705))</f>
        <v/>
      </c>
      <c r="Z4705" t="str">
        <f>IF(A4705="","",TEXT(A4705,"0")&amp;"|"&amp;TEXT(H4705,"0"))</f>
        <v/>
      </c>
      <c r="AA4705" t="str">
        <f>IF(Z4705="","",IFERROR(LOOKUP(2,1/(#REF!=Z4705),#REF!),""))</f>
        <v/>
      </c>
      <c r="AB4705" t="str">
        <f>IF(Z4705="","",IFERROR(LOOKUP(2,1/(#REF!=Z4705),#REF!),""))</f>
        <v/>
      </c>
      <c r="AC4705" t="str">
        <f>IF(Z4705="","",COUNTIF(#REF!,Z4705))</f>
        <v/>
      </c>
      <c r="AD4705" t="str">
        <f>IF(A4705="","",IF(AC4705&gt;1,"REVISAR DUPLICADO",IF(AA4705&lt;&gt;"","ACTUALIZADO POR EYR","SIN REPORTE EYR")))</f>
        <v/>
      </c>
    </row>
    <row r="4706" spans="11:30" x14ac:dyDescent="0.3">
      <c r="K4706" s="1" t="str">
        <f ca="1">IF(A4706="","",IF(OR(L4706="ENTREGADA",L4706="RETORNADA",L4706="ENTREGA DIGITAL"),0,MAX(0,5-NETWORKDAYS(H4706+1,TODAY()))))</f>
        <v/>
      </c>
      <c r="L4706" t="str">
        <f>IF(A4706="","",IFERROR(LOOKUP(2,1/(#REF!=Z4706),#REF!),Y4706))</f>
        <v/>
      </c>
      <c r="Z4706" t="str">
        <f>IF(A4706="","",TEXT(A4706,"0")&amp;"|"&amp;TEXT(H4706,"0"))</f>
        <v/>
      </c>
      <c r="AA4706" t="str">
        <f>IF(Z4706="","",IFERROR(LOOKUP(2,1/(#REF!=Z4706),#REF!),""))</f>
        <v/>
      </c>
      <c r="AB4706" t="str">
        <f>IF(Z4706="","",IFERROR(LOOKUP(2,1/(#REF!=Z4706),#REF!),""))</f>
        <v/>
      </c>
      <c r="AC4706" t="str">
        <f>IF(Z4706="","",COUNTIF(#REF!,Z4706))</f>
        <v/>
      </c>
      <c r="AD4706" t="str">
        <f>IF(A4706="","",IF(AC4706&gt;1,"REVISAR DUPLICADO",IF(AA4706&lt;&gt;"","ACTUALIZADO POR EYR","SIN REPORTE EYR")))</f>
        <v/>
      </c>
    </row>
    <row r="4707" spans="11:30" x14ac:dyDescent="0.3">
      <c r="K4707" s="1" t="str">
        <f ca="1">IF(A4707="","",IF(OR(L4707="ENTREGADA",L4707="RETORNADA",L4707="ENTREGA DIGITAL"),0,MAX(0,5-NETWORKDAYS(H4707+1,TODAY()))))</f>
        <v/>
      </c>
      <c r="L4707" t="str">
        <f>IF(A4707="","",IFERROR(LOOKUP(2,1/(#REF!=Z4707),#REF!),Y4707))</f>
        <v/>
      </c>
      <c r="Z4707" t="str">
        <f>IF(A4707="","",TEXT(A4707,"0")&amp;"|"&amp;TEXT(H4707,"0"))</f>
        <v/>
      </c>
      <c r="AA4707" t="str">
        <f>IF(Z4707="","",IFERROR(LOOKUP(2,1/(#REF!=Z4707),#REF!),""))</f>
        <v/>
      </c>
      <c r="AB4707" t="str">
        <f>IF(Z4707="","",IFERROR(LOOKUP(2,1/(#REF!=Z4707),#REF!),""))</f>
        <v/>
      </c>
      <c r="AC4707" t="str">
        <f>IF(Z4707="","",COUNTIF(#REF!,Z4707))</f>
        <v/>
      </c>
      <c r="AD4707" t="str">
        <f>IF(A4707="","",IF(AC4707&gt;1,"REVISAR DUPLICADO",IF(AA4707&lt;&gt;"","ACTUALIZADO POR EYR","SIN REPORTE EYR")))</f>
        <v/>
      </c>
    </row>
    <row r="4708" spans="11:30" x14ac:dyDescent="0.3">
      <c r="K4708" s="1" t="str">
        <f ca="1">IF(A4708="","",IF(OR(L4708="ENTREGADA",L4708="RETORNADA",L4708="ENTREGA DIGITAL"),0,MAX(0,5-NETWORKDAYS(H4708+1,TODAY()))))</f>
        <v/>
      </c>
      <c r="L4708" t="str">
        <f>IF(A4708="","",IFERROR(LOOKUP(2,1/(#REF!=Z4708),#REF!),Y4708))</f>
        <v/>
      </c>
      <c r="Z4708" t="str">
        <f>IF(A4708="","",TEXT(A4708,"0")&amp;"|"&amp;TEXT(H4708,"0"))</f>
        <v/>
      </c>
      <c r="AA4708" t="str">
        <f>IF(Z4708="","",IFERROR(LOOKUP(2,1/(#REF!=Z4708),#REF!),""))</f>
        <v/>
      </c>
      <c r="AB4708" t="str">
        <f>IF(Z4708="","",IFERROR(LOOKUP(2,1/(#REF!=Z4708),#REF!),""))</f>
        <v/>
      </c>
      <c r="AC4708" t="str">
        <f>IF(Z4708="","",COUNTIF(#REF!,Z4708))</f>
        <v/>
      </c>
      <c r="AD4708" t="str">
        <f>IF(A4708="","",IF(AC4708&gt;1,"REVISAR DUPLICADO",IF(AA4708&lt;&gt;"","ACTUALIZADO POR EYR","SIN REPORTE EYR")))</f>
        <v/>
      </c>
    </row>
    <row r="4709" spans="11:30" x14ac:dyDescent="0.3">
      <c r="K4709" s="1" t="str">
        <f ca="1">IF(A4709="","",IF(OR(L4709="ENTREGADA",L4709="RETORNADA",L4709="ENTREGA DIGITAL"),0,MAX(0,5-NETWORKDAYS(H4709+1,TODAY()))))</f>
        <v/>
      </c>
      <c r="L4709" t="str">
        <f>IF(A4709="","",IFERROR(LOOKUP(2,1/(#REF!=Z4709),#REF!),Y4709))</f>
        <v/>
      </c>
      <c r="Z4709" t="str">
        <f>IF(A4709="","",TEXT(A4709,"0")&amp;"|"&amp;TEXT(H4709,"0"))</f>
        <v/>
      </c>
      <c r="AA4709" t="str">
        <f>IF(Z4709="","",IFERROR(LOOKUP(2,1/(#REF!=Z4709),#REF!),""))</f>
        <v/>
      </c>
      <c r="AB4709" t="str">
        <f>IF(Z4709="","",IFERROR(LOOKUP(2,1/(#REF!=Z4709),#REF!),""))</f>
        <v/>
      </c>
      <c r="AC4709" t="str">
        <f>IF(Z4709="","",COUNTIF(#REF!,Z4709))</f>
        <v/>
      </c>
      <c r="AD4709" t="str">
        <f>IF(A4709="","",IF(AC4709&gt;1,"REVISAR DUPLICADO",IF(AA4709&lt;&gt;"","ACTUALIZADO POR EYR","SIN REPORTE EYR")))</f>
        <v/>
      </c>
    </row>
    <row r="4710" spans="11:30" x14ac:dyDescent="0.3">
      <c r="K4710" s="1" t="str">
        <f ca="1">IF(A4710="","",IF(OR(L4710="ENTREGADA",L4710="RETORNADA",L4710="ENTREGA DIGITAL"),0,MAX(0,5-NETWORKDAYS(H4710+1,TODAY()))))</f>
        <v/>
      </c>
      <c r="L4710" t="str">
        <f>IF(A4710="","",IFERROR(LOOKUP(2,1/(#REF!=Z4710),#REF!),Y4710))</f>
        <v/>
      </c>
      <c r="Z4710" t="str">
        <f>IF(A4710="","",TEXT(A4710,"0")&amp;"|"&amp;TEXT(H4710,"0"))</f>
        <v/>
      </c>
      <c r="AA4710" t="str">
        <f>IF(Z4710="","",IFERROR(LOOKUP(2,1/(#REF!=Z4710),#REF!),""))</f>
        <v/>
      </c>
      <c r="AB4710" t="str">
        <f>IF(Z4710="","",IFERROR(LOOKUP(2,1/(#REF!=Z4710),#REF!),""))</f>
        <v/>
      </c>
      <c r="AC4710" t="str">
        <f>IF(Z4710="","",COUNTIF(#REF!,Z4710))</f>
        <v/>
      </c>
      <c r="AD4710" t="str">
        <f>IF(A4710="","",IF(AC4710&gt;1,"REVISAR DUPLICADO",IF(AA4710&lt;&gt;"","ACTUALIZADO POR EYR","SIN REPORTE EYR")))</f>
        <v/>
      </c>
    </row>
    <row r="4711" spans="11:30" x14ac:dyDescent="0.3">
      <c r="K4711" s="1" t="str">
        <f ca="1">IF(A4711="","",IF(OR(L4711="ENTREGADA",L4711="RETORNADA",L4711="ENTREGA DIGITAL"),0,MAX(0,5-NETWORKDAYS(H4711+1,TODAY()))))</f>
        <v/>
      </c>
      <c r="L4711" t="str">
        <f>IF(A4711="","",IFERROR(LOOKUP(2,1/(#REF!=Z4711),#REF!),Y4711))</f>
        <v/>
      </c>
      <c r="Z4711" t="str">
        <f>IF(A4711="","",TEXT(A4711,"0")&amp;"|"&amp;TEXT(H4711,"0"))</f>
        <v/>
      </c>
      <c r="AA4711" t="str">
        <f>IF(Z4711="","",IFERROR(LOOKUP(2,1/(#REF!=Z4711),#REF!),""))</f>
        <v/>
      </c>
      <c r="AB4711" t="str">
        <f>IF(Z4711="","",IFERROR(LOOKUP(2,1/(#REF!=Z4711),#REF!),""))</f>
        <v/>
      </c>
      <c r="AC4711" t="str">
        <f>IF(Z4711="","",COUNTIF(#REF!,Z4711))</f>
        <v/>
      </c>
      <c r="AD4711" t="str">
        <f>IF(A4711="","",IF(AC4711&gt;1,"REVISAR DUPLICADO",IF(AA4711&lt;&gt;"","ACTUALIZADO POR EYR","SIN REPORTE EYR")))</f>
        <v/>
      </c>
    </row>
    <row r="4712" spans="11:30" x14ac:dyDescent="0.3">
      <c r="K4712" s="1" t="str">
        <f ca="1">IF(A4712="","",IF(OR(L4712="ENTREGADA",L4712="RETORNADA",L4712="ENTREGA DIGITAL"),0,MAX(0,5-NETWORKDAYS(H4712+1,TODAY()))))</f>
        <v/>
      </c>
      <c r="L4712" t="str">
        <f>IF(A4712="","",IFERROR(LOOKUP(2,1/(#REF!=Z4712),#REF!),Y4712))</f>
        <v/>
      </c>
      <c r="Z4712" t="str">
        <f>IF(A4712="","",TEXT(A4712,"0")&amp;"|"&amp;TEXT(H4712,"0"))</f>
        <v/>
      </c>
      <c r="AA4712" t="str">
        <f>IF(Z4712="","",IFERROR(LOOKUP(2,1/(#REF!=Z4712),#REF!),""))</f>
        <v/>
      </c>
      <c r="AB4712" t="str">
        <f>IF(Z4712="","",IFERROR(LOOKUP(2,1/(#REF!=Z4712),#REF!),""))</f>
        <v/>
      </c>
      <c r="AC4712" t="str">
        <f>IF(Z4712="","",COUNTIF(#REF!,Z4712))</f>
        <v/>
      </c>
      <c r="AD4712" t="str">
        <f>IF(A4712="","",IF(AC4712&gt;1,"REVISAR DUPLICADO",IF(AA4712&lt;&gt;"","ACTUALIZADO POR EYR","SIN REPORTE EYR")))</f>
        <v/>
      </c>
    </row>
    <row r="4713" spans="11:30" x14ac:dyDescent="0.3">
      <c r="K4713" s="1" t="str">
        <f ca="1">IF(A4713="","",IF(OR(L4713="ENTREGADA",L4713="RETORNADA",L4713="ENTREGA DIGITAL"),0,MAX(0,5-NETWORKDAYS(H4713+1,TODAY()))))</f>
        <v/>
      </c>
      <c r="L4713" t="str">
        <f>IF(A4713="","",IFERROR(LOOKUP(2,1/(#REF!=Z4713),#REF!),Y4713))</f>
        <v/>
      </c>
      <c r="Z4713" t="str">
        <f>IF(A4713="","",TEXT(A4713,"0")&amp;"|"&amp;TEXT(H4713,"0"))</f>
        <v/>
      </c>
      <c r="AA4713" t="str">
        <f>IF(Z4713="","",IFERROR(LOOKUP(2,1/(#REF!=Z4713),#REF!),""))</f>
        <v/>
      </c>
      <c r="AB4713" t="str">
        <f>IF(Z4713="","",IFERROR(LOOKUP(2,1/(#REF!=Z4713),#REF!),""))</f>
        <v/>
      </c>
      <c r="AC4713" t="str">
        <f>IF(Z4713="","",COUNTIF(#REF!,Z4713))</f>
        <v/>
      </c>
      <c r="AD4713" t="str">
        <f>IF(A4713="","",IF(AC4713&gt;1,"REVISAR DUPLICADO",IF(AA4713&lt;&gt;"","ACTUALIZADO POR EYR","SIN REPORTE EYR")))</f>
        <v/>
      </c>
    </row>
    <row r="4714" spans="11:30" x14ac:dyDescent="0.3">
      <c r="K4714" s="1" t="str">
        <f ca="1">IF(A4714="","",IF(OR(L4714="ENTREGADA",L4714="RETORNADA",L4714="ENTREGA DIGITAL"),0,MAX(0,5-NETWORKDAYS(H4714+1,TODAY()))))</f>
        <v/>
      </c>
      <c r="L4714" t="str">
        <f>IF(A4714="","",IFERROR(LOOKUP(2,1/(#REF!=Z4714),#REF!),Y4714))</f>
        <v/>
      </c>
      <c r="Z4714" t="str">
        <f>IF(A4714="","",TEXT(A4714,"0")&amp;"|"&amp;TEXT(H4714,"0"))</f>
        <v/>
      </c>
      <c r="AA4714" t="str">
        <f>IF(Z4714="","",IFERROR(LOOKUP(2,1/(#REF!=Z4714),#REF!),""))</f>
        <v/>
      </c>
      <c r="AB4714" t="str">
        <f>IF(Z4714="","",IFERROR(LOOKUP(2,1/(#REF!=Z4714),#REF!),""))</f>
        <v/>
      </c>
      <c r="AC4714" t="str">
        <f>IF(Z4714="","",COUNTIF(#REF!,Z4714))</f>
        <v/>
      </c>
      <c r="AD4714" t="str">
        <f>IF(A4714="","",IF(AC4714&gt;1,"REVISAR DUPLICADO",IF(AA4714&lt;&gt;"","ACTUALIZADO POR EYR","SIN REPORTE EYR")))</f>
        <v/>
      </c>
    </row>
    <row r="4715" spans="11:30" x14ac:dyDescent="0.3">
      <c r="K4715" s="1" t="str">
        <f ca="1">IF(A4715="","",IF(OR(L4715="ENTREGADA",L4715="RETORNADA",L4715="ENTREGA DIGITAL"),0,MAX(0,5-NETWORKDAYS(H4715+1,TODAY()))))</f>
        <v/>
      </c>
      <c r="L4715" t="str">
        <f>IF(A4715="","",IFERROR(LOOKUP(2,1/(#REF!=Z4715),#REF!),Y4715))</f>
        <v/>
      </c>
      <c r="Z4715" t="str">
        <f>IF(A4715="","",TEXT(A4715,"0")&amp;"|"&amp;TEXT(H4715,"0"))</f>
        <v/>
      </c>
      <c r="AA4715" t="str">
        <f>IF(Z4715="","",IFERROR(LOOKUP(2,1/(#REF!=Z4715),#REF!),""))</f>
        <v/>
      </c>
      <c r="AB4715" t="str">
        <f>IF(Z4715="","",IFERROR(LOOKUP(2,1/(#REF!=Z4715),#REF!),""))</f>
        <v/>
      </c>
      <c r="AC4715" t="str">
        <f>IF(Z4715="","",COUNTIF(#REF!,Z4715))</f>
        <v/>
      </c>
      <c r="AD4715" t="str">
        <f>IF(A4715="","",IF(AC4715&gt;1,"REVISAR DUPLICADO",IF(AA4715&lt;&gt;"","ACTUALIZADO POR EYR","SIN REPORTE EYR")))</f>
        <v/>
      </c>
    </row>
    <row r="4716" spans="11:30" x14ac:dyDescent="0.3">
      <c r="K4716" s="1" t="str">
        <f ca="1">IF(A4716="","",IF(OR(L4716="ENTREGADA",L4716="RETORNADA",L4716="ENTREGA DIGITAL"),0,MAX(0,5-NETWORKDAYS(H4716+1,TODAY()))))</f>
        <v/>
      </c>
      <c r="L4716" t="str">
        <f>IF(A4716="","",IFERROR(LOOKUP(2,1/(#REF!=Z4716),#REF!),Y4716))</f>
        <v/>
      </c>
      <c r="Z4716" t="str">
        <f>IF(A4716="","",TEXT(A4716,"0")&amp;"|"&amp;TEXT(H4716,"0"))</f>
        <v/>
      </c>
      <c r="AA4716" t="str">
        <f>IF(Z4716="","",IFERROR(LOOKUP(2,1/(#REF!=Z4716),#REF!),""))</f>
        <v/>
      </c>
      <c r="AB4716" t="str">
        <f>IF(Z4716="","",IFERROR(LOOKUP(2,1/(#REF!=Z4716),#REF!),""))</f>
        <v/>
      </c>
      <c r="AC4716" t="str">
        <f>IF(Z4716="","",COUNTIF(#REF!,Z4716))</f>
        <v/>
      </c>
      <c r="AD4716" t="str">
        <f>IF(A4716="","",IF(AC4716&gt;1,"REVISAR DUPLICADO",IF(AA4716&lt;&gt;"","ACTUALIZADO POR EYR","SIN REPORTE EYR")))</f>
        <v/>
      </c>
    </row>
    <row r="4717" spans="11:30" x14ac:dyDescent="0.3">
      <c r="K4717" s="1" t="str">
        <f ca="1">IF(A4717="","",IF(OR(L4717="ENTREGADA",L4717="RETORNADA",L4717="ENTREGA DIGITAL"),0,MAX(0,5-NETWORKDAYS(H4717+1,TODAY()))))</f>
        <v/>
      </c>
      <c r="L4717" t="str">
        <f>IF(A4717="","",IFERROR(LOOKUP(2,1/(#REF!=Z4717),#REF!),Y4717))</f>
        <v/>
      </c>
      <c r="Z4717" t="str">
        <f>IF(A4717="","",TEXT(A4717,"0")&amp;"|"&amp;TEXT(H4717,"0"))</f>
        <v/>
      </c>
      <c r="AA4717" t="str">
        <f>IF(Z4717="","",IFERROR(LOOKUP(2,1/(#REF!=Z4717),#REF!),""))</f>
        <v/>
      </c>
      <c r="AB4717" t="str">
        <f>IF(Z4717="","",IFERROR(LOOKUP(2,1/(#REF!=Z4717),#REF!),""))</f>
        <v/>
      </c>
      <c r="AC4717" t="str">
        <f>IF(Z4717="","",COUNTIF(#REF!,Z4717))</f>
        <v/>
      </c>
      <c r="AD4717" t="str">
        <f>IF(A4717="","",IF(AC4717&gt;1,"REVISAR DUPLICADO",IF(AA4717&lt;&gt;"","ACTUALIZADO POR EYR","SIN REPORTE EYR")))</f>
        <v/>
      </c>
    </row>
    <row r="4718" spans="11:30" x14ac:dyDescent="0.3">
      <c r="K4718" s="1" t="str">
        <f ca="1">IF(A4718="","",IF(OR(L4718="ENTREGADA",L4718="RETORNADA",L4718="ENTREGA DIGITAL"),0,MAX(0,5-NETWORKDAYS(H4718+1,TODAY()))))</f>
        <v/>
      </c>
      <c r="L4718" t="str">
        <f>IF(A4718="","",IFERROR(LOOKUP(2,1/(#REF!=Z4718),#REF!),Y4718))</f>
        <v/>
      </c>
      <c r="Z4718" t="str">
        <f>IF(A4718="","",TEXT(A4718,"0")&amp;"|"&amp;TEXT(H4718,"0"))</f>
        <v/>
      </c>
      <c r="AA4718" t="str">
        <f>IF(Z4718="","",IFERROR(LOOKUP(2,1/(#REF!=Z4718),#REF!),""))</f>
        <v/>
      </c>
      <c r="AB4718" t="str">
        <f>IF(Z4718="","",IFERROR(LOOKUP(2,1/(#REF!=Z4718),#REF!),""))</f>
        <v/>
      </c>
      <c r="AC4718" t="str">
        <f>IF(Z4718="","",COUNTIF(#REF!,Z4718))</f>
        <v/>
      </c>
      <c r="AD4718" t="str">
        <f>IF(A4718="","",IF(AC4718&gt;1,"REVISAR DUPLICADO",IF(AA4718&lt;&gt;"","ACTUALIZADO POR EYR","SIN REPORTE EYR")))</f>
        <v/>
      </c>
    </row>
    <row r="4719" spans="11:30" x14ac:dyDescent="0.3">
      <c r="K4719" s="1" t="str">
        <f ca="1">IF(A4719="","",IF(OR(L4719="ENTREGADA",L4719="RETORNADA",L4719="ENTREGA DIGITAL"),0,MAX(0,5-NETWORKDAYS(H4719+1,TODAY()))))</f>
        <v/>
      </c>
      <c r="L4719" t="str">
        <f>IF(A4719="","",IFERROR(LOOKUP(2,1/(#REF!=Z4719),#REF!),Y4719))</f>
        <v/>
      </c>
      <c r="Z4719" t="str">
        <f>IF(A4719="","",TEXT(A4719,"0")&amp;"|"&amp;TEXT(H4719,"0"))</f>
        <v/>
      </c>
      <c r="AA4719" t="str">
        <f>IF(Z4719="","",IFERROR(LOOKUP(2,1/(#REF!=Z4719),#REF!),""))</f>
        <v/>
      </c>
      <c r="AB4719" t="str">
        <f>IF(Z4719="","",IFERROR(LOOKUP(2,1/(#REF!=Z4719),#REF!),""))</f>
        <v/>
      </c>
      <c r="AC4719" t="str">
        <f>IF(Z4719="","",COUNTIF(#REF!,Z4719))</f>
        <v/>
      </c>
      <c r="AD4719" t="str">
        <f>IF(A4719="","",IF(AC4719&gt;1,"REVISAR DUPLICADO",IF(AA4719&lt;&gt;"","ACTUALIZADO POR EYR","SIN REPORTE EYR")))</f>
        <v/>
      </c>
    </row>
    <row r="4720" spans="11:30" x14ac:dyDescent="0.3">
      <c r="K4720" s="1" t="str">
        <f ca="1">IF(A4720="","",IF(OR(L4720="ENTREGADA",L4720="RETORNADA",L4720="ENTREGA DIGITAL"),0,MAX(0,5-NETWORKDAYS(H4720+1,TODAY()))))</f>
        <v/>
      </c>
      <c r="L4720" t="str">
        <f>IF(A4720="","",IFERROR(LOOKUP(2,1/(#REF!=Z4720),#REF!),Y4720))</f>
        <v/>
      </c>
      <c r="Z4720" t="str">
        <f>IF(A4720="","",TEXT(A4720,"0")&amp;"|"&amp;TEXT(H4720,"0"))</f>
        <v/>
      </c>
      <c r="AA4720" t="str">
        <f>IF(Z4720="","",IFERROR(LOOKUP(2,1/(#REF!=Z4720),#REF!),""))</f>
        <v/>
      </c>
      <c r="AB4720" t="str">
        <f>IF(Z4720="","",IFERROR(LOOKUP(2,1/(#REF!=Z4720),#REF!),""))</f>
        <v/>
      </c>
      <c r="AC4720" t="str">
        <f>IF(Z4720="","",COUNTIF(#REF!,Z4720))</f>
        <v/>
      </c>
      <c r="AD4720" t="str">
        <f>IF(A4720="","",IF(AC4720&gt;1,"REVISAR DUPLICADO",IF(AA4720&lt;&gt;"","ACTUALIZADO POR EYR","SIN REPORTE EYR")))</f>
        <v/>
      </c>
    </row>
    <row r="4721" spans="11:30" x14ac:dyDescent="0.3">
      <c r="K4721" s="1" t="str">
        <f ca="1">IF(A4721="","",IF(OR(L4721="ENTREGADA",L4721="RETORNADA",L4721="ENTREGA DIGITAL"),0,MAX(0,5-NETWORKDAYS(H4721+1,TODAY()))))</f>
        <v/>
      </c>
      <c r="L4721" t="str">
        <f>IF(A4721="","",IFERROR(LOOKUP(2,1/(#REF!=Z4721),#REF!),Y4721))</f>
        <v/>
      </c>
      <c r="Z4721" t="str">
        <f>IF(A4721="","",TEXT(A4721,"0")&amp;"|"&amp;TEXT(H4721,"0"))</f>
        <v/>
      </c>
      <c r="AA4721" t="str">
        <f>IF(Z4721="","",IFERROR(LOOKUP(2,1/(#REF!=Z4721),#REF!),""))</f>
        <v/>
      </c>
      <c r="AB4721" t="str">
        <f>IF(Z4721="","",IFERROR(LOOKUP(2,1/(#REF!=Z4721),#REF!),""))</f>
        <v/>
      </c>
      <c r="AC4721" t="str">
        <f>IF(Z4721="","",COUNTIF(#REF!,Z4721))</f>
        <v/>
      </c>
      <c r="AD4721" t="str">
        <f>IF(A4721="","",IF(AC4721&gt;1,"REVISAR DUPLICADO",IF(AA4721&lt;&gt;"","ACTUALIZADO POR EYR","SIN REPORTE EYR")))</f>
        <v/>
      </c>
    </row>
    <row r="4722" spans="11:30" x14ac:dyDescent="0.3">
      <c r="K4722" s="1" t="str">
        <f ca="1">IF(A4722="","",IF(OR(L4722="ENTREGADA",L4722="RETORNADA",L4722="ENTREGA DIGITAL"),0,MAX(0,5-NETWORKDAYS(H4722+1,TODAY()))))</f>
        <v/>
      </c>
      <c r="L4722" t="str">
        <f>IF(A4722="","",IFERROR(LOOKUP(2,1/(#REF!=Z4722),#REF!),Y4722))</f>
        <v/>
      </c>
      <c r="Z4722" t="str">
        <f>IF(A4722="","",TEXT(A4722,"0")&amp;"|"&amp;TEXT(H4722,"0"))</f>
        <v/>
      </c>
      <c r="AA4722" t="str">
        <f>IF(Z4722="","",IFERROR(LOOKUP(2,1/(#REF!=Z4722),#REF!),""))</f>
        <v/>
      </c>
      <c r="AB4722" t="str">
        <f>IF(Z4722="","",IFERROR(LOOKUP(2,1/(#REF!=Z4722),#REF!),""))</f>
        <v/>
      </c>
      <c r="AC4722" t="str">
        <f>IF(Z4722="","",COUNTIF(#REF!,Z4722))</f>
        <v/>
      </c>
      <c r="AD4722" t="str">
        <f>IF(A4722="","",IF(AC4722&gt;1,"REVISAR DUPLICADO",IF(AA4722&lt;&gt;"","ACTUALIZADO POR EYR","SIN REPORTE EYR")))</f>
        <v/>
      </c>
    </row>
    <row r="4723" spans="11:30" x14ac:dyDescent="0.3">
      <c r="K4723" s="1" t="str">
        <f ca="1">IF(A4723="","",IF(OR(L4723="ENTREGADA",L4723="RETORNADA",L4723="ENTREGA DIGITAL"),0,MAX(0,5-NETWORKDAYS(H4723+1,TODAY()))))</f>
        <v/>
      </c>
      <c r="L4723" t="str">
        <f>IF(A4723="","",IFERROR(LOOKUP(2,1/(#REF!=Z4723),#REF!),Y4723))</f>
        <v/>
      </c>
      <c r="Z4723" t="str">
        <f>IF(A4723="","",TEXT(A4723,"0")&amp;"|"&amp;TEXT(H4723,"0"))</f>
        <v/>
      </c>
      <c r="AA4723" t="str">
        <f>IF(Z4723="","",IFERROR(LOOKUP(2,1/(#REF!=Z4723),#REF!),""))</f>
        <v/>
      </c>
      <c r="AB4723" t="str">
        <f>IF(Z4723="","",IFERROR(LOOKUP(2,1/(#REF!=Z4723),#REF!),""))</f>
        <v/>
      </c>
      <c r="AC4723" t="str">
        <f>IF(Z4723="","",COUNTIF(#REF!,Z4723))</f>
        <v/>
      </c>
      <c r="AD4723" t="str">
        <f>IF(A4723="","",IF(AC4723&gt;1,"REVISAR DUPLICADO",IF(AA4723&lt;&gt;"","ACTUALIZADO POR EYR","SIN REPORTE EYR")))</f>
        <v/>
      </c>
    </row>
    <row r="4724" spans="11:30" x14ac:dyDescent="0.3">
      <c r="K4724" s="1" t="str">
        <f ca="1">IF(A4724="","",IF(OR(L4724="ENTREGADA",L4724="RETORNADA",L4724="ENTREGA DIGITAL"),0,MAX(0,5-NETWORKDAYS(H4724+1,TODAY()))))</f>
        <v/>
      </c>
      <c r="L4724" t="str">
        <f>IF(A4724="","",IFERROR(LOOKUP(2,1/(#REF!=Z4724),#REF!),Y4724))</f>
        <v/>
      </c>
      <c r="Z4724" t="str">
        <f>IF(A4724="","",TEXT(A4724,"0")&amp;"|"&amp;TEXT(H4724,"0"))</f>
        <v/>
      </c>
      <c r="AA4724" t="str">
        <f>IF(Z4724="","",IFERROR(LOOKUP(2,1/(#REF!=Z4724),#REF!),""))</f>
        <v/>
      </c>
      <c r="AB4724" t="str">
        <f>IF(Z4724="","",IFERROR(LOOKUP(2,1/(#REF!=Z4724),#REF!),""))</f>
        <v/>
      </c>
      <c r="AC4724" t="str">
        <f>IF(Z4724="","",COUNTIF(#REF!,Z4724))</f>
        <v/>
      </c>
      <c r="AD4724" t="str">
        <f>IF(A4724="","",IF(AC4724&gt;1,"REVISAR DUPLICADO",IF(AA4724&lt;&gt;"","ACTUALIZADO POR EYR","SIN REPORTE EYR")))</f>
        <v/>
      </c>
    </row>
    <row r="4725" spans="11:30" x14ac:dyDescent="0.3">
      <c r="K4725" s="1" t="str">
        <f ca="1">IF(A4725="","",IF(OR(L4725="ENTREGADA",L4725="RETORNADA",L4725="ENTREGA DIGITAL"),0,MAX(0,5-NETWORKDAYS(H4725+1,TODAY()))))</f>
        <v/>
      </c>
      <c r="L4725" t="str">
        <f>IF(A4725="","",IFERROR(LOOKUP(2,1/(#REF!=Z4725),#REF!),Y4725))</f>
        <v/>
      </c>
      <c r="Z4725" t="str">
        <f>IF(A4725="","",TEXT(A4725,"0")&amp;"|"&amp;TEXT(H4725,"0"))</f>
        <v/>
      </c>
      <c r="AA4725" t="str">
        <f>IF(Z4725="","",IFERROR(LOOKUP(2,1/(#REF!=Z4725),#REF!),""))</f>
        <v/>
      </c>
      <c r="AB4725" t="str">
        <f>IF(Z4725="","",IFERROR(LOOKUP(2,1/(#REF!=Z4725),#REF!),""))</f>
        <v/>
      </c>
      <c r="AC4725" t="str">
        <f>IF(Z4725="","",COUNTIF(#REF!,Z4725))</f>
        <v/>
      </c>
      <c r="AD4725" t="str">
        <f>IF(A4725="","",IF(AC4725&gt;1,"REVISAR DUPLICADO",IF(AA4725&lt;&gt;"","ACTUALIZADO POR EYR","SIN REPORTE EYR")))</f>
        <v/>
      </c>
    </row>
    <row r="4726" spans="11:30" x14ac:dyDescent="0.3">
      <c r="K4726" s="1" t="str">
        <f ca="1">IF(A4726="","",IF(OR(L4726="ENTREGADA",L4726="RETORNADA",L4726="ENTREGA DIGITAL"),0,MAX(0,5-NETWORKDAYS(H4726+1,TODAY()))))</f>
        <v/>
      </c>
      <c r="L4726" t="str">
        <f>IF(A4726="","",IFERROR(LOOKUP(2,1/(#REF!=Z4726),#REF!),Y4726))</f>
        <v/>
      </c>
      <c r="Z4726" t="str">
        <f>IF(A4726="","",TEXT(A4726,"0")&amp;"|"&amp;TEXT(H4726,"0"))</f>
        <v/>
      </c>
      <c r="AA4726" t="str">
        <f>IF(Z4726="","",IFERROR(LOOKUP(2,1/(#REF!=Z4726),#REF!),""))</f>
        <v/>
      </c>
      <c r="AB4726" t="str">
        <f>IF(Z4726="","",IFERROR(LOOKUP(2,1/(#REF!=Z4726),#REF!),""))</f>
        <v/>
      </c>
      <c r="AC4726" t="str">
        <f>IF(Z4726="","",COUNTIF(#REF!,Z4726))</f>
        <v/>
      </c>
      <c r="AD4726" t="str">
        <f>IF(A4726="","",IF(AC4726&gt;1,"REVISAR DUPLICADO",IF(AA4726&lt;&gt;"","ACTUALIZADO POR EYR","SIN REPORTE EYR")))</f>
        <v/>
      </c>
    </row>
    <row r="4727" spans="11:30" x14ac:dyDescent="0.3">
      <c r="K4727" s="1" t="str">
        <f ca="1">IF(A4727="","",IF(OR(L4727="ENTREGADA",L4727="RETORNADA",L4727="ENTREGA DIGITAL"),0,MAX(0,5-NETWORKDAYS(H4727+1,TODAY()))))</f>
        <v/>
      </c>
      <c r="L4727" t="str">
        <f>IF(A4727="","",IFERROR(LOOKUP(2,1/(#REF!=Z4727),#REF!),Y4727))</f>
        <v/>
      </c>
      <c r="Z4727" t="str">
        <f>IF(A4727="","",TEXT(A4727,"0")&amp;"|"&amp;TEXT(H4727,"0"))</f>
        <v/>
      </c>
      <c r="AA4727" t="str">
        <f>IF(Z4727="","",IFERROR(LOOKUP(2,1/(#REF!=Z4727),#REF!),""))</f>
        <v/>
      </c>
      <c r="AB4727" t="str">
        <f>IF(Z4727="","",IFERROR(LOOKUP(2,1/(#REF!=Z4727),#REF!),""))</f>
        <v/>
      </c>
      <c r="AC4727" t="str">
        <f>IF(Z4727="","",COUNTIF(#REF!,Z4727))</f>
        <v/>
      </c>
      <c r="AD4727" t="str">
        <f>IF(A4727="","",IF(AC4727&gt;1,"REVISAR DUPLICADO",IF(AA4727&lt;&gt;"","ACTUALIZADO POR EYR","SIN REPORTE EYR")))</f>
        <v/>
      </c>
    </row>
    <row r="4728" spans="11:30" x14ac:dyDescent="0.3">
      <c r="K4728" s="1" t="str">
        <f ca="1">IF(A4728="","",IF(OR(L4728="ENTREGADA",L4728="RETORNADA",L4728="ENTREGA DIGITAL"),0,MAX(0,5-NETWORKDAYS(H4728+1,TODAY()))))</f>
        <v/>
      </c>
      <c r="L4728" t="str">
        <f>IF(A4728="","",IFERROR(LOOKUP(2,1/(#REF!=Z4728),#REF!),Y4728))</f>
        <v/>
      </c>
      <c r="Z4728" t="str">
        <f>IF(A4728="","",TEXT(A4728,"0")&amp;"|"&amp;TEXT(H4728,"0"))</f>
        <v/>
      </c>
      <c r="AA4728" t="str">
        <f>IF(Z4728="","",IFERROR(LOOKUP(2,1/(#REF!=Z4728),#REF!),""))</f>
        <v/>
      </c>
      <c r="AB4728" t="str">
        <f>IF(Z4728="","",IFERROR(LOOKUP(2,1/(#REF!=Z4728),#REF!),""))</f>
        <v/>
      </c>
      <c r="AC4728" t="str">
        <f>IF(Z4728="","",COUNTIF(#REF!,Z4728))</f>
        <v/>
      </c>
      <c r="AD4728" t="str">
        <f>IF(A4728="","",IF(AC4728&gt;1,"REVISAR DUPLICADO",IF(AA4728&lt;&gt;"","ACTUALIZADO POR EYR","SIN REPORTE EYR")))</f>
        <v/>
      </c>
    </row>
    <row r="4729" spans="11:30" x14ac:dyDescent="0.3">
      <c r="K4729" s="1" t="str">
        <f ca="1">IF(A4729="","",IF(OR(L4729="ENTREGADA",L4729="RETORNADA",L4729="ENTREGA DIGITAL"),0,MAX(0,5-NETWORKDAYS(H4729+1,TODAY()))))</f>
        <v/>
      </c>
      <c r="L4729" t="str">
        <f>IF(A4729="","",IFERROR(LOOKUP(2,1/(#REF!=Z4729),#REF!),Y4729))</f>
        <v/>
      </c>
      <c r="Z4729" t="str">
        <f>IF(A4729="","",TEXT(A4729,"0")&amp;"|"&amp;TEXT(H4729,"0"))</f>
        <v/>
      </c>
      <c r="AA4729" t="str">
        <f>IF(Z4729="","",IFERROR(LOOKUP(2,1/(#REF!=Z4729),#REF!),""))</f>
        <v/>
      </c>
      <c r="AB4729" t="str">
        <f>IF(Z4729="","",IFERROR(LOOKUP(2,1/(#REF!=Z4729),#REF!),""))</f>
        <v/>
      </c>
      <c r="AC4729" t="str">
        <f>IF(Z4729="","",COUNTIF(#REF!,Z4729))</f>
        <v/>
      </c>
      <c r="AD4729" t="str">
        <f>IF(A4729="","",IF(AC4729&gt;1,"REVISAR DUPLICADO",IF(AA4729&lt;&gt;"","ACTUALIZADO POR EYR","SIN REPORTE EYR")))</f>
        <v/>
      </c>
    </row>
    <row r="4730" spans="11:30" x14ac:dyDescent="0.3">
      <c r="K4730" s="1" t="str">
        <f ca="1">IF(A4730="","",IF(OR(L4730="ENTREGADA",L4730="RETORNADA",L4730="ENTREGA DIGITAL"),0,MAX(0,5-NETWORKDAYS(H4730+1,TODAY()))))</f>
        <v/>
      </c>
      <c r="L4730" t="str">
        <f>IF(A4730="","",IFERROR(LOOKUP(2,1/(#REF!=Z4730),#REF!),Y4730))</f>
        <v/>
      </c>
      <c r="Z4730" t="str">
        <f>IF(A4730="","",TEXT(A4730,"0")&amp;"|"&amp;TEXT(H4730,"0"))</f>
        <v/>
      </c>
      <c r="AA4730" t="str">
        <f>IF(Z4730="","",IFERROR(LOOKUP(2,1/(#REF!=Z4730),#REF!),""))</f>
        <v/>
      </c>
      <c r="AB4730" t="str">
        <f>IF(Z4730="","",IFERROR(LOOKUP(2,1/(#REF!=Z4730),#REF!),""))</f>
        <v/>
      </c>
      <c r="AC4730" t="str">
        <f>IF(Z4730="","",COUNTIF(#REF!,Z4730))</f>
        <v/>
      </c>
      <c r="AD4730" t="str">
        <f>IF(A4730="","",IF(AC4730&gt;1,"REVISAR DUPLICADO",IF(AA4730&lt;&gt;"","ACTUALIZADO POR EYR","SIN REPORTE EYR")))</f>
        <v/>
      </c>
    </row>
    <row r="4731" spans="11:30" x14ac:dyDescent="0.3">
      <c r="K4731" s="1" t="str">
        <f ca="1">IF(A4731="","",IF(OR(L4731="ENTREGADA",L4731="RETORNADA",L4731="ENTREGA DIGITAL"),0,MAX(0,5-NETWORKDAYS(H4731+1,TODAY()))))</f>
        <v/>
      </c>
      <c r="L4731" t="str">
        <f>IF(A4731="","",IFERROR(LOOKUP(2,1/(#REF!=Z4731),#REF!),Y4731))</f>
        <v/>
      </c>
      <c r="Z4731" t="str">
        <f>IF(A4731="","",TEXT(A4731,"0")&amp;"|"&amp;TEXT(H4731,"0"))</f>
        <v/>
      </c>
      <c r="AA4731" t="str">
        <f>IF(Z4731="","",IFERROR(LOOKUP(2,1/(#REF!=Z4731),#REF!),""))</f>
        <v/>
      </c>
      <c r="AB4731" t="str">
        <f>IF(Z4731="","",IFERROR(LOOKUP(2,1/(#REF!=Z4731),#REF!),""))</f>
        <v/>
      </c>
      <c r="AC4731" t="str">
        <f>IF(Z4731="","",COUNTIF(#REF!,Z4731))</f>
        <v/>
      </c>
      <c r="AD4731" t="str">
        <f>IF(A4731="","",IF(AC4731&gt;1,"REVISAR DUPLICADO",IF(AA4731&lt;&gt;"","ACTUALIZADO POR EYR","SIN REPORTE EYR")))</f>
        <v/>
      </c>
    </row>
    <row r="4732" spans="11:30" x14ac:dyDescent="0.3">
      <c r="K4732" s="1" t="str">
        <f ca="1">IF(A4732="","",IF(OR(L4732="ENTREGADA",L4732="RETORNADA",L4732="ENTREGA DIGITAL"),0,MAX(0,5-NETWORKDAYS(H4732+1,TODAY()))))</f>
        <v/>
      </c>
      <c r="L4732" t="str">
        <f>IF(A4732="","",IFERROR(LOOKUP(2,1/(#REF!=Z4732),#REF!),Y4732))</f>
        <v/>
      </c>
      <c r="Z4732" t="str">
        <f>IF(A4732="","",TEXT(A4732,"0")&amp;"|"&amp;TEXT(H4732,"0"))</f>
        <v/>
      </c>
      <c r="AA4732" t="str">
        <f>IF(Z4732="","",IFERROR(LOOKUP(2,1/(#REF!=Z4732),#REF!),""))</f>
        <v/>
      </c>
      <c r="AB4732" t="str">
        <f>IF(Z4732="","",IFERROR(LOOKUP(2,1/(#REF!=Z4732),#REF!),""))</f>
        <v/>
      </c>
      <c r="AC4732" t="str">
        <f>IF(Z4732="","",COUNTIF(#REF!,Z4732))</f>
        <v/>
      </c>
      <c r="AD4732" t="str">
        <f>IF(A4732="","",IF(AC4732&gt;1,"REVISAR DUPLICADO",IF(AA4732&lt;&gt;"","ACTUALIZADO POR EYR","SIN REPORTE EYR")))</f>
        <v/>
      </c>
    </row>
    <row r="4733" spans="11:30" x14ac:dyDescent="0.3">
      <c r="K4733" s="1" t="str">
        <f ca="1">IF(A4733="","",IF(OR(L4733="ENTREGADA",L4733="RETORNADA",L4733="ENTREGA DIGITAL"),0,MAX(0,5-NETWORKDAYS(H4733+1,TODAY()))))</f>
        <v/>
      </c>
      <c r="L4733" t="str">
        <f>IF(A4733="","",IFERROR(LOOKUP(2,1/(#REF!=Z4733),#REF!),Y4733))</f>
        <v/>
      </c>
      <c r="Z4733" t="str">
        <f>IF(A4733="","",TEXT(A4733,"0")&amp;"|"&amp;TEXT(H4733,"0"))</f>
        <v/>
      </c>
      <c r="AA4733" t="str">
        <f>IF(Z4733="","",IFERROR(LOOKUP(2,1/(#REF!=Z4733),#REF!),""))</f>
        <v/>
      </c>
      <c r="AB4733" t="str">
        <f>IF(Z4733="","",IFERROR(LOOKUP(2,1/(#REF!=Z4733),#REF!),""))</f>
        <v/>
      </c>
      <c r="AC4733" t="str">
        <f>IF(Z4733="","",COUNTIF(#REF!,Z4733))</f>
        <v/>
      </c>
      <c r="AD4733" t="str">
        <f>IF(A4733="","",IF(AC4733&gt;1,"REVISAR DUPLICADO",IF(AA4733&lt;&gt;"","ACTUALIZADO POR EYR","SIN REPORTE EYR")))</f>
        <v/>
      </c>
    </row>
    <row r="4734" spans="11:30" x14ac:dyDescent="0.3">
      <c r="K4734" s="1" t="str">
        <f ca="1">IF(A4734="","",IF(OR(L4734="ENTREGADA",L4734="RETORNADA",L4734="ENTREGA DIGITAL"),0,MAX(0,5-NETWORKDAYS(H4734+1,TODAY()))))</f>
        <v/>
      </c>
      <c r="L4734" t="str">
        <f>IF(A4734="","",IFERROR(LOOKUP(2,1/(#REF!=Z4734),#REF!),Y4734))</f>
        <v/>
      </c>
      <c r="Z4734" t="str">
        <f>IF(A4734="","",TEXT(A4734,"0")&amp;"|"&amp;TEXT(H4734,"0"))</f>
        <v/>
      </c>
      <c r="AA4734" t="str">
        <f>IF(Z4734="","",IFERROR(LOOKUP(2,1/(#REF!=Z4734),#REF!),""))</f>
        <v/>
      </c>
      <c r="AB4734" t="str">
        <f>IF(Z4734="","",IFERROR(LOOKUP(2,1/(#REF!=Z4734),#REF!),""))</f>
        <v/>
      </c>
      <c r="AC4734" t="str">
        <f>IF(Z4734="","",COUNTIF(#REF!,Z4734))</f>
        <v/>
      </c>
      <c r="AD4734" t="str">
        <f>IF(A4734="","",IF(AC4734&gt;1,"REVISAR DUPLICADO",IF(AA4734&lt;&gt;"","ACTUALIZADO POR EYR","SIN REPORTE EYR")))</f>
        <v/>
      </c>
    </row>
    <row r="4735" spans="11:30" x14ac:dyDescent="0.3">
      <c r="K4735" s="1" t="str">
        <f ca="1">IF(A4735="","",IF(OR(L4735="ENTREGADA",L4735="RETORNADA",L4735="ENTREGA DIGITAL"),0,MAX(0,5-NETWORKDAYS(H4735+1,TODAY()))))</f>
        <v/>
      </c>
      <c r="L4735" t="str">
        <f>IF(A4735="","",IFERROR(LOOKUP(2,1/(#REF!=Z4735),#REF!),Y4735))</f>
        <v/>
      </c>
      <c r="Z4735" t="str">
        <f>IF(A4735="","",TEXT(A4735,"0")&amp;"|"&amp;TEXT(H4735,"0"))</f>
        <v/>
      </c>
      <c r="AA4735" t="str">
        <f>IF(Z4735="","",IFERROR(LOOKUP(2,1/(#REF!=Z4735),#REF!),""))</f>
        <v/>
      </c>
      <c r="AB4735" t="str">
        <f>IF(Z4735="","",IFERROR(LOOKUP(2,1/(#REF!=Z4735),#REF!),""))</f>
        <v/>
      </c>
      <c r="AC4735" t="str">
        <f>IF(Z4735="","",COUNTIF(#REF!,Z4735))</f>
        <v/>
      </c>
      <c r="AD4735" t="str">
        <f>IF(A4735="","",IF(AC4735&gt;1,"REVISAR DUPLICADO",IF(AA4735&lt;&gt;"","ACTUALIZADO POR EYR","SIN REPORTE EYR")))</f>
        <v/>
      </c>
    </row>
    <row r="4736" spans="11:30" x14ac:dyDescent="0.3">
      <c r="K4736" s="1" t="str">
        <f ca="1">IF(A4736="","",IF(OR(L4736="ENTREGADA",L4736="RETORNADA",L4736="ENTREGA DIGITAL"),0,MAX(0,5-NETWORKDAYS(H4736+1,TODAY()))))</f>
        <v/>
      </c>
      <c r="L4736" t="str">
        <f>IF(A4736="","",IFERROR(LOOKUP(2,1/(#REF!=Z4736),#REF!),Y4736))</f>
        <v/>
      </c>
      <c r="Z4736" t="str">
        <f>IF(A4736="","",TEXT(A4736,"0")&amp;"|"&amp;TEXT(H4736,"0"))</f>
        <v/>
      </c>
      <c r="AA4736" t="str">
        <f>IF(Z4736="","",IFERROR(LOOKUP(2,1/(#REF!=Z4736),#REF!),""))</f>
        <v/>
      </c>
      <c r="AB4736" t="str">
        <f>IF(Z4736="","",IFERROR(LOOKUP(2,1/(#REF!=Z4736),#REF!),""))</f>
        <v/>
      </c>
      <c r="AC4736" t="str">
        <f>IF(Z4736="","",COUNTIF(#REF!,Z4736))</f>
        <v/>
      </c>
      <c r="AD4736" t="str">
        <f>IF(A4736="","",IF(AC4736&gt;1,"REVISAR DUPLICADO",IF(AA4736&lt;&gt;"","ACTUALIZADO POR EYR","SIN REPORTE EYR")))</f>
        <v/>
      </c>
    </row>
    <row r="4737" spans="11:30" x14ac:dyDescent="0.3">
      <c r="K4737" s="1" t="str">
        <f ca="1">IF(A4737="","",IF(OR(L4737="ENTREGADA",L4737="RETORNADA",L4737="ENTREGA DIGITAL"),0,MAX(0,5-NETWORKDAYS(H4737+1,TODAY()))))</f>
        <v/>
      </c>
      <c r="L4737" t="str">
        <f>IF(A4737="","",IFERROR(LOOKUP(2,1/(#REF!=Z4737),#REF!),Y4737))</f>
        <v/>
      </c>
      <c r="Z4737" t="str">
        <f>IF(A4737="","",TEXT(A4737,"0")&amp;"|"&amp;TEXT(H4737,"0"))</f>
        <v/>
      </c>
      <c r="AA4737" t="str">
        <f>IF(Z4737="","",IFERROR(LOOKUP(2,1/(#REF!=Z4737),#REF!),""))</f>
        <v/>
      </c>
      <c r="AB4737" t="str">
        <f>IF(Z4737="","",IFERROR(LOOKUP(2,1/(#REF!=Z4737),#REF!),""))</f>
        <v/>
      </c>
      <c r="AC4737" t="str">
        <f>IF(Z4737="","",COUNTIF(#REF!,Z4737))</f>
        <v/>
      </c>
      <c r="AD4737" t="str">
        <f>IF(A4737="","",IF(AC4737&gt;1,"REVISAR DUPLICADO",IF(AA4737&lt;&gt;"","ACTUALIZADO POR EYR","SIN REPORTE EYR")))</f>
        <v/>
      </c>
    </row>
    <row r="4738" spans="11:30" x14ac:dyDescent="0.3">
      <c r="K4738" s="1" t="str">
        <f ca="1">IF(A4738="","",IF(OR(L4738="ENTREGADA",L4738="RETORNADA",L4738="ENTREGA DIGITAL"),0,MAX(0,5-NETWORKDAYS(H4738+1,TODAY()))))</f>
        <v/>
      </c>
      <c r="L4738" t="str">
        <f>IF(A4738="","",IFERROR(LOOKUP(2,1/(#REF!=Z4738),#REF!),Y4738))</f>
        <v/>
      </c>
      <c r="Z4738" t="str">
        <f>IF(A4738="","",TEXT(A4738,"0")&amp;"|"&amp;TEXT(H4738,"0"))</f>
        <v/>
      </c>
      <c r="AA4738" t="str">
        <f>IF(Z4738="","",IFERROR(LOOKUP(2,1/(#REF!=Z4738),#REF!),""))</f>
        <v/>
      </c>
      <c r="AB4738" t="str">
        <f>IF(Z4738="","",IFERROR(LOOKUP(2,1/(#REF!=Z4738),#REF!),""))</f>
        <v/>
      </c>
      <c r="AC4738" t="str">
        <f>IF(Z4738="","",COUNTIF(#REF!,Z4738))</f>
        <v/>
      </c>
      <c r="AD4738" t="str">
        <f>IF(A4738="","",IF(AC4738&gt;1,"REVISAR DUPLICADO",IF(AA4738&lt;&gt;"","ACTUALIZADO POR EYR","SIN REPORTE EYR")))</f>
        <v/>
      </c>
    </row>
    <row r="4739" spans="11:30" x14ac:dyDescent="0.3">
      <c r="K4739" s="1" t="str">
        <f ca="1">IF(A4739="","",IF(OR(L4739="ENTREGADA",L4739="RETORNADA",L4739="ENTREGA DIGITAL"),0,MAX(0,5-NETWORKDAYS(H4739+1,TODAY()))))</f>
        <v/>
      </c>
      <c r="L4739" t="str">
        <f>IF(A4739="","",IFERROR(LOOKUP(2,1/(#REF!=Z4739),#REF!),Y4739))</f>
        <v/>
      </c>
      <c r="Z4739" t="str">
        <f>IF(A4739="","",TEXT(A4739,"0")&amp;"|"&amp;TEXT(H4739,"0"))</f>
        <v/>
      </c>
      <c r="AA4739" t="str">
        <f>IF(Z4739="","",IFERROR(LOOKUP(2,1/(#REF!=Z4739),#REF!),""))</f>
        <v/>
      </c>
      <c r="AB4739" t="str">
        <f>IF(Z4739="","",IFERROR(LOOKUP(2,1/(#REF!=Z4739),#REF!),""))</f>
        <v/>
      </c>
      <c r="AC4739" t="str">
        <f>IF(Z4739="","",COUNTIF(#REF!,Z4739))</f>
        <v/>
      </c>
      <c r="AD4739" t="str">
        <f>IF(A4739="","",IF(AC4739&gt;1,"REVISAR DUPLICADO",IF(AA4739&lt;&gt;"","ACTUALIZADO POR EYR","SIN REPORTE EYR")))</f>
        <v/>
      </c>
    </row>
    <row r="4740" spans="11:30" x14ac:dyDescent="0.3">
      <c r="K4740" s="1" t="str">
        <f ca="1">IF(A4740="","",IF(OR(L4740="ENTREGADA",L4740="RETORNADA",L4740="ENTREGA DIGITAL"),0,MAX(0,5-NETWORKDAYS(H4740+1,TODAY()))))</f>
        <v/>
      </c>
      <c r="L4740" t="str">
        <f>IF(A4740="","",IFERROR(LOOKUP(2,1/(#REF!=Z4740),#REF!),Y4740))</f>
        <v/>
      </c>
      <c r="Z4740" t="str">
        <f>IF(A4740="","",TEXT(A4740,"0")&amp;"|"&amp;TEXT(H4740,"0"))</f>
        <v/>
      </c>
      <c r="AA4740" t="str">
        <f>IF(Z4740="","",IFERROR(LOOKUP(2,1/(#REF!=Z4740),#REF!),""))</f>
        <v/>
      </c>
      <c r="AB4740" t="str">
        <f>IF(Z4740="","",IFERROR(LOOKUP(2,1/(#REF!=Z4740),#REF!),""))</f>
        <v/>
      </c>
      <c r="AC4740" t="str">
        <f>IF(Z4740="","",COUNTIF(#REF!,Z4740))</f>
        <v/>
      </c>
      <c r="AD4740" t="str">
        <f>IF(A4740="","",IF(AC4740&gt;1,"REVISAR DUPLICADO",IF(AA4740&lt;&gt;"","ACTUALIZADO POR EYR","SIN REPORTE EYR")))</f>
        <v/>
      </c>
    </row>
    <row r="4741" spans="11:30" x14ac:dyDescent="0.3">
      <c r="K4741" s="1" t="str">
        <f ca="1">IF(A4741="","",IF(OR(L4741="ENTREGADA",L4741="RETORNADA",L4741="ENTREGA DIGITAL"),0,MAX(0,5-NETWORKDAYS(H4741+1,TODAY()))))</f>
        <v/>
      </c>
      <c r="L4741" t="str">
        <f>IF(A4741="","",IFERROR(LOOKUP(2,1/(#REF!=Z4741),#REF!),Y4741))</f>
        <v/>
      </c>
      <c r="Z4741" t="str">
        <f>IF(A4741="","",TEXT(A4741,"0")&amp;"|"&amp;TEXT(H4741,"0"))</f>
        <v/>
      </c>
      <c r="AA4741" t="str">
        <f>IF(Z4741="","",IFERROR(LOOKUP(2,1/(#REF!=Z4741),#REF!),""))</f>
        <v/>
      </c>
      <c r="AB4741" t="str">
        <f>IF(Z4741="","",IFERROR(LOOKUP(2,1/(#REF!=Z4741),#REF!),""))</f>
        <v/>
      </c>
      <c r="AC4741" t="str">
        <f>IF(Z4741="","",COUNTIF(#REF!,Z4741))</f>
        <v/>
      </c>
      <c r="AD4741" t="str">
        <f>IF(A4741="","",IF(AC4741&gt;1,"REVISAR DUPLICADO",IF(AA4741&lt;&gt;"","ACTUALIZADO POR EYR","SIN REPORTE EYR")))</f>
        <v/>
      </c>
    </row>
    <row r="4742" spans="11:30" x14ac:dyDescent="0.3">
      <c r="K4742" s="1" t="str">
        <f ca="1">IF(A4742="","",IF(OR(L4742="ENTREGADA",L4742="RETORNADA",L4742="ENTREGA DIGITAL"),0,MAX(0,5-NETWORKDAYS(H4742+1,TODAY()))))</f>
        <v/>
      </c>
      <c r="L4742" t="str">
        <f>IF(A4742="","",IFERROR(LOOKUP(2,1/(#REF!=Z4742),#REF!),Y4742))</f>
        <v/>
      </c>
      <c r="Z4742" t="str">
        <f>IF(A4742="","",TEXT(A4742,"0")&amp;"|"&amp;TEXT(H4742,"0"))</f>
        <v/>
      </c>
      <c r="AA4742" t="str">
        <f>IF(Z4742="","",IFERROR(LOOKUP(2,1/(#REF!=Z4742),#REF!),""))</f>
        <v/>
      </c>
      <c r="AB4742" t="str">
        <f>IF(Z4742="","",IFERROR(LOOKUP(2,1/(#REF!=Z4742),#REF!),""))</f>
        <v/>
      </c>
      <c r="AC4742" t="str">
        <f>IF(Z4742="","",COUNTIF(#REF!,Z4742))</f>
        <v/>
      </c>
      <c r="AD4742" t="str">
        <f>IF(A4742="","",IF(AC4742&gt;1,"REVISAR DUPLICADO",IF(AA4742&lt;&gt;"","ACTUALIZADO POR EYR","SIN REPORTE EYR")))</f>
        <v/>
      </c>
    </row>
    <row r="4743" spans="11:30" x14ac:dyDescent="0.3">
      <c r="K4743" s="1" t="str">
        <f ca="1">IF(A4743="","",IF(OR(L4743="ENTREGADA",L4743="RETORNADA",L4743="ENTREGA DIGITAL"),0,MAX(0,5-NETWORKDAYS(H4743+1,TODAY()))))</f>
        <v/>
      </c>
      <c r="L4743" t="str">
        <f>IF(A4743="","",IFERROR(LOOKUP(2,1/(#REF!=Z4743),#REF!),Y4743))</f>
        <v/>
      </c>
      <c r="Z4743" t="str">
        <f>IF(A4743="","",TEXT(A4743,"0")&amp;"|"&amp;TEXT(H4743,"0"))</f>
        <v/>
      </c>
      <c r="AA4743" t="str">
        <f>IF(Z4743="","",IFERROR(LOOKUP(2,1/(#REF!=Z4743),#REF!),""))</f>
        <v/>
      </c>
      <c r="AB4743" t="str">
        <f>IF(Z4743="","",IFERROR(LOOKUP(2,1/(#REF!=Z4743),#REF!),""))</f>
        <v/>
      </c>
      <c r="AC4743" t="str">
        <f>IF(Z4743="","",COUNTIF(#REF!,Z4743))</f>
        <v/>
      </c>
      <c r="AD4743" t="str">
        <f>IF(A4743="","",IF(AC4743&gt;1,"REVISAR DUPLICADO",IF(AA4743&lt;&gt;"","ACTUALIZADO POR EYR","SIN REPORTE EYR")))</f>
        <v/>
      </c>
    </row>
    <row r="4744" spans="11:30" x14ac:dyDescent="0.3">
      <c r="K4744" s="1" t="str">
        <f ca="1">IF(A4744="","",IF(OR(L4744="ENTREGADA",L4744="RETORNADA",L4744="ENTREGA DIGITAL"),0,MAX(0,5-NETWORKDAYS(H4744+1,TODAY()))))</f>
        <v/>
      </c>
      <c r="L4744" t="str">
        <f>IF(A4744="","",IFERROR(LOOKUP(2,1/(#REF!=Z4744),#REF!),Y4744))</f>
        <v/>
      </c>
      <c r="Z4744" t="str">
        <f>IF(A4744="","",TEXT(A4744,"0")&amp;"|"&amp;TEXT(H4744,"0"))</f>
        <v/>
      </c>
      <c r="AA4744" t="str">
        <f>IF(Z4744="","",IFERROR(LOOKUP(2,1/(#REF!=Z4744),#REF!),""))</f>
        <v/>
      </c>
      <c r="AB4744" t="str">
        <f>IF(Z4744="","",IFERROR(LOOKUP(2,1/(#REF!=Z4744),#REF!),""))</f>
        <v/>
      </c>
      <c r="AC4744" t="str">
        <f>IF(Z4744="","",COUNTIF(#REF!,Z4744))</f>
        <v/>
      </c>
      <c r="AD4744" t="str">
        <f>IF(A4744="","",IF(AC4744&gt;1,"REVISAR DUPLICADO",IF(AA4744&lt;&gt;"","ACTUALIZADO POR EYR","SIN REPORTE EYR")))</f>
        <v/>
      </c>
    </row>
    <row r="4745" spans="11:30" x14ac:dyDescent="0.3">
      <c r="K4745" s="1" t="str">
        <f ca="1">IF(A4745="","",IF(OR(L4745="ENTREGADA",L4745="RETORNADA",L4745="ENTREGA DIGITAL"),0,MAX(0,5-NETWORKDAYS(H4745+1,TODAY()))))</f>
        <v/>
      </c>
      <c r="L4745" t="str">
        <f>IF(A4745="","",IFERROR(LOOKUP(2,1/(#REF!=Z4745),#REF!),Y4745))</f>
        <v/>
      </c>
      <c r="Z4745" t="str">
        <f>IF(A4745="","",TEXT(A4745,"0")&amp;"|"&amp;TEXT(H4745,"0"))</f>
        <v/>
      </c>
      <c r="AA4745" t="str">
        <f>IF(Z4745="","",IFERROR(LOOKUP(2,1/(#REF!=Z4745),#REF!),""))</f>
        <v/>
      </c>
      <c r="AB4745" t="str">
        <f>IF(Z4745="","",IFERROR(LOOKUP(2,1/(#REF!=Z4745),#REF!),""))</f>
        <v/>
      </c>
      <c r="AC4745" t="str">
        <f>IF(Z4745="","",COUNTIF(#REF!,Z4745))</f>
        <v/>
      </c>
      <c r="AD4745" t="str">
        <f>IF(A4745="","",IF(AC4745&gt;1,"REVISAR DUPLICADO",IF(AA4745&lt;&gt;"","ACTUALIZADO POR EYR","SIN REPORTE EYR")))</f>
        <v/>
      </c>
    </row>
    <row r="4746" spans="11:30" x14ac:dyDescent="0.3">
      <c r="K4746" s="1" t="str">
        <f ca="1">IF(A4746="","",IF(OR(L4746="ENTREGADA",L4746="RETORNADA",L4746="ENTREGA DIGITAL"),0,MAX(0,5-NETWORKDAYS(H4746+1,TODAY()))))</f>
        <v/>
      </c>
      <c r="L4746" t="str">
        <f>IF(A4746="","",IFERROR(LOOKUP(2,1/(#REF!=Z4746),#REF!),Y4746))</f>
        <v/>
      </c>
      <c r="Z4746" t="str">
        <f>IF(A4746="","",TEXT(A4746,"0")&amp;"|"&amp;TEXT(H4746,"0"))</f>
        <v/>
      </c>
      <c r="AA4746" t="str">
        <f>IF(Z4746="","",IFERROR(LOOKUP(2,1/(#REF!=Z4746),#REF!),""))</f>
        <v/>
      </c>
      <c r="AB4746" t="str">
        <f>IF(Z4746="","",IFERROR(LOOKUP(2,1/(#REF!=Z4746),#REF!),""))</f>
        <v/>
      </c>
      <c r="AC4746" t="str">
        <f>IF(Z4746="","",COUNTIF(#REF!,Z4746))</f>
        <v/>
      </c>
      <c r="AD4746" t="str">
        <f>IF(A4746="","",IF(AC4746&gt;1,"REVISAR DUPLICADO",IF(AA4746&lt;&gt;"","ACTUALIZADO POR EYR","SIN REPORTE EYR")))</f>
        <v/>
      </c>
    </row>
    <row r="4747" spans="11:30" x14ac:dyDescent="0.3">
      <c r="K4747" s="1" t="str">
        <f ca="1">IF(A4747="","",IF(OR(L4747="ENTREGADA",L4747="RETORNADA",L4747="ENTREGA DIGITAL"),0,MAX(0,5-NETWORKDAYS(H4747+1,TODAY()))))</f>
        <v/>
      </c>
      <c r="L4747" t="str">
        <f>IF(A4747="","",IFERROR(LOOKUP(2,1/(#REF!=Z4747),#REF!),Y4747))</f>
        <v/>
      </c>
      <c r="Z4747" t="str">
        <f>IF(A4747="","",TEXT(A4747,"0")&amp;"|"&amp;TEXT(H4747,"0"))</f>
        <v/>
      </c>
      <c r="AA4747" t="str">
        <f>IF(Z4747="","",IFERROR(LOOKUP(2,1/(#REF!=Z4747),#REF!),""))</f>
        <v/>
      </c>
      <c r="AB4747" t="str">
        <f>IF(Z4747="","",IFERROR(LOOKUP(2,1/(#REF!=Z4747),#REF!),""))</f>
        <v/>
      </c>
      <c r="AC4747" t="str">
        <f>IF(Z4747="","",COUNTIF(#REF!,Z4747))</f>
        <v/>
      </c>
      <c r="AD4747" t="str">
        <f>IF(A4747="","",IF(AC4747&gt;1,"REVISAR DUPLICADO",IF(AA4747&lt;&gt;"","ACTUALIZADO POR EYR","SIN REPORTE EYR")))</f>
        <v/>
      </c>
    </row>
    <row r="4748" spans="11:30" x14ac:dyDescent="0.3">
      <c r="K4748" s="1" t="str">
        <f ca="1">IF(A4748="","",IF(OR(L4748="ENTREGADA",L4748="RETORNADA",L4748="ENTREGA DIGITAL"),0,MAX(0,5-NETWORKDAYS(H4748+1,TODAY()))))</f>
        <v/>
      </c>
      <c r="L4748" t="str">
        <f>IF(A4748="","",IFERROR(LOOKUP(2,1/(#REF!=Z4748),#REF!),Y4748))</f>
        <v/>
      </c>
      <c r="Z4748" t="str">
        <f>IF(A4748="","",TEXT(A4748,"0")&amp;"|"&amp;TEXT(H4748,"0"))</f>
        <v/>
      </c>
      <c r="AA4748" t="str">
        <f>IF(Z4748="","",IFERROR(LOOKUP(2,1/(#REF!=Z4748),#REF!),""))</f>
        <v/>
      </c>
      <c r="AB4748" t="str">
        <f>IF(Z4748="","",IFERROR(LOOKUP(2,1/(#REF!=Z4748),#REF!),""))</f>
        <v/>
      </c>
      <c r="AC4748" t="str">
        <f>IF(Z4748="","",COUNTIF(#REF!,Z4748))</f>
        <v/>
      </c>
      <c r="AD4748" t="str">
        <f>IF(A4748="","",IF(AC4748&gt;1,"REVISAR DUPLICADO",IF(AA4748&lt;&gt;"","ACTUALIZADO POR EYR","SIN REPORTE EYR")))</f>
        <v/>
      </c>
    </row>
    <row r="4749" spans="11:30" x14ac:dyDescent="0.3">
      <c r="K4749" s="1" t="str">
        <f ca="1">IF(A4749="","",IF(OR(L4749="ENTREGADA",L4749="RETORNADA",L4749="ENTREGA DIGITAL"),0,MAX(0,5-NETWORKDAYS(H4749+1,TODAY()))))</f>
        <v/>
      </c>
      <c r="L4749" t="str">
        <f>IF(A4749="","",IFERROR(LOOKUP(2,1/(#REF!=Z4749),#REF!),Y4749))</f>
        <v/>
      </c>
      <c r="Z4749" t="str">
        <f>IF(A4749="","",TEXT(A4749,"0")&amp;"|"&amp;TEXT(H4749,"0"))</f>
        <v/>
      </c>
      <c r="AA4749" t="str">
        <f>IF(Z4749="","",IFERROR(LOOKUP(2,1/(#REF!=Z4749),#REF!),""))</f>
        <v/>
      </c>
      <c r="AB4749" t="str">
        <f>IF(Z4749="","",IFERROR(LOOKUP(2,1/(#REF!=Z4749),#REF!),""))</f>
        <v/>
      </c>
      <c r="AC4749" t="str">
        <f>IF(Z4749="","",COUNTIF(#REF!,Z4749))</f>
        <v/>
      </c>
      <c r="AD4749" t="str">
        <f>IF(A4749="","",IF(AC4749&gt;1,"REVISAR DUPLICADO",IF(AA4749&lt;&gt;"","ACTUALIZADO POR EYR","SIN REPORTE EYR")))</f>
        <v/>
      </c>
    </row>
    <row r="4750" spans="11:30" x14ac:dyDescent="0.3">
      <c r="K4750" s="1" t="str">
        <f ca="1">IF(A4750="","",IF(OR(L4750="ENTREGADA",L4750="RETORNADA",L4750="ENTREGA DIGITAL"),0,MAX(0,5-NETWORKDAYS(H4750+1,TODAY()))))</f>
        <v/>
      </c>
      <c r="L4750" t="str">
        <f>IF(A4750="","",IFERROR(LOOKUP(2,1/(#REF!=Z4750),#REF!),Y4750))</f>
        <v/>
      </c>
      <c r="Z4750" t="str">
        <f>IF(A4750="","",TEXT(A4750,"0")&amp;"|"&amp;TEXT(H4750,"0"))</f>
        <v/>
      </c>
      <c r="AA4750" t="str">
        <f>IF(Z4750="","",IFERROR(LOOKUP(2,1/(#REF!=Z4750),#REF!),""))</f>
        <v/>
      </c>
      <c r="AB4750" t="str">
        <f>IF(Z4750="","",IFERROR(LOOKUP(2,1/(#REF!=Z4750),#REF!),""))</f>
        <v/>
      </c>
      <c r="AC4750" t="str">
        <f>IF(Z4750="","",COUNTIF(#REF!,Z4750))</f>
        <v/>
      </c>
      <c r="AD4750" t="str">
        <f>IF(A4750="","",IF(AC4750&gt;1,"REVISAR DUPLICADO",IF(AA4750&lt;&gt;"","ACTUALIZADO POR EYR","SIN REPORTE EYR")))</f>
        <v/>
      </c>
    </row>
    <row r="4751" spans="11:30" x14ac:dyDescent="0.3">
      <c r="K4751" s="1" t="str">
        <f ca="1">IF(A4751="","",IF(OR(L4751="ENTREGADA",L4751="RETORNADA",L4751="ENTREGA DIGITAL"),0,MAX(0,5-NETWORKDAYS(H4751+1,TODAY()))))</f>
        <v/>
      </c>
      <c r="L4751" t="str">
        <f>IF(A4751="","",IFERROR(LOOKUP(2,1/(#REF!=Z4751),#REF!),Y4751))</f>
        <v/>
      </c>
      <c r="Z4751" t="str">
        <f>IF(A4751="","",TEXT(A4751,"0")&amp;"|"&amp;TEXT(H4751,"0"))</f>
        <v/>
      </c>
      <c r="AA4751" t="str">
        <f>IF(Z4751="","",IFERROR(LOOKUP(2,1/(#REF!=Z4751),#REF!),""))</f>
        <v/>
      </c>
      <c r="AB4751" t="str">
        <f>IF(Z4751="","",IFERROR(LOOKUP(2,1/(#REF!=Z4751),#REF!),""))</f>
        <v/>
      </c>
      <c r="AC4751" t="str">
        <f>IF(Z4751="","",COUNTIF(#REF!,Z4751))</f>
        <v/>
      </c>
      <c r="AD4751" t="str">
        <f>IF(A4751="","",IF(AC4751&gt;1,"REVISAR DUPLICADO",IF(AA4751&lt;&gt;"","ACTUALIZADO POR EYR","SIN REPORTE EYR")))</f>
        <v/>
      </c>
    </row>
    <row r="4752" spans="11:30" x14ac:dyDescent="0.3">
      <c r="K4752" s="1" t="str">
        <f ca="1">IF(A4752="","",IF(OR(L4752="ENTREGADA",L4752="RETORNADA",L4752="ENTREGA DIGITAL"),0,MAX(0,5-NETWORKDAYS(H4752+1,TODAY()))))</f>
        <v/>
      </c>
      <c r="L4752" t="str">
        <f>IF(A4752="","",IFERROR(LOOKUP(2,1/(#REF!=Z4752),#REF!),Y4752))</f>
        <v/>
      </c>
      <c r="Z4752" t="str">
        <f>IF(A4752="","",TEXT(A4752,"0")&amp;"|"&amp;TEXT(H4752,"0"))</f>
        <v/>
      </c>
      <c r="AA4752" t="str">
        <f>IF(Z4752="","",IFERROR(LOOKUP(2,1/(#REF!=Z4752),#REF!),""))</f>
        <v/>
      </c>
      <c r="AB4752" t="str">
        <f>IF(Z4752="","",IFERROR(LOOKUP(2,1/(#REF!=Z4752),#REF!),""))</f>
        <v/>
      </c>
      <c r="AC4752" t="str">
        <f>IF(Z4752="","",COUNTIF(#REF!,Z4752))</f>
        <v/>
      </c>
      <c r="AD4752" t="str">
        <f>IF(A4752="","",IF(AC4752&gt;1,"REVISAR DUPLICADO",IF(AA4752&lt;&gt;"","ACTUALIZADO POR EYR","SIN REPORTE EYR")))</f>
        <v/>
      </c>
    </row>
    <row r="4753" spans="11:30" x14ac:dyDescent="0.3">
      <c r="K4753" s="1" t="str">
        <f ca="1">IF(A4753="","",IF(OR(L4753="ENTREGADA",L4753="RETORNADA",L4753="ENTREGA DIGITAL"),0,MAX(0,5-NETWORKDAYS(H4753+1,TODAY()))))</f>
        <v/>
      </c>
      <c r="L4753" t="str">
        <f>IF(A4753="","",IFERROR(LOOKUP(2,1/(#REF!=Z4753),#REF!),Y4753))</f>
        <v/>
      </c>
      <c r="Z4753" t="str">
        <f>IF(A4753="","",TEXT(A4753,"0")&amp;"|"&amp;TEXT(H4753,"0"))</f>
        <v/>
      </c>
      <c r="AA4753" t="str">
        <f>IF(Z4753="","",IFERROR(LOOKUP(2,1/(#REF!=Z4753),#REF!),""))</f>
        <v/>
      </c>
      <c r="AB4753" t="str">
        <f>IF(Z4753="","",IFERROR(LOOKUP(2,1/(#REF!=Z4753),#REF!),""))</f>
        <v/>
      </c>
      <c r="AC4753" t="str">
        <f>IF(Z4753="","",COUNTIF(#REF!,Z4753))</f>
        <v/>
      </c>
      <c r="AD4753" t="str">
        <f>IF(A4753="","",IF(AC4753&gt;1,"REVISAR DUPLICADO",IF(AA4753&lt;&gt;"","ACTUALIZADO POR EYR","SIN REPORTE EYR")))</f>
        <v/>
      </c>
    </row>
    <row r="4754" spans="11:30" x14ac:dyDescent="0.3">
      <c r="K4754" s="1" t="str">
        <f ca="1">IF(A4754="","",IF(OR(L4754="ENTREGADA",L4754="RETORNADA",L4754="ENTREGA DIGITAL"),0,MAX(0,5-NETWORKDAYS(H4754+1,TODAY()))))</f>
        <v/>
      </c>
      <c r="L4754" t="str">
        <f>IF(A4754="","",IFERROR(LOOKUP(2,1/(#REF!=Z4754),#REF!),Y4754))</f>
        <v/>
      </c>
      <c r="Z4754" t="str">
        <f>IF(A4754="","",TEXT(A4754,"0")&amp;"|"&amp;TEXT(H4754,"0"))</f>
        <v/>
      </c>
      <c r="AA4754" t="str">
        <f>IF(Z4754="","",IFERROR(LOOKUP(2,1/(#REF!=Z4754),#REF!),""))</f>
        <v/>
      </c>
      <c r="AB4754" t="str">
        <f>IF(Z4754="","",IFERROR(LOOKUP(2,1/(#REF!=Z4754),#REF!),""))</f>
        <v/>
      </c>
      <c r="AC4754" t="str">
        <f>IF(Z4754="","",COUNTIF(#REF!,Z4754))</f>
        <v/>
      </c>
      <c r="AD4754" t="str">
        <f>IF(A4754="","",IF(AC4754&gt;1,"REVISAR DUPLICADO",IF(AA4754&lt;&gt;"","ACTUALIZADO POR EYR","SIN REPORTE EYR")))</f>
        <v/>
      </c>
    </row>
    <row r="4755" spans="11:30" x14ac:dyDescent="0.3">
      <c r="K4755" s="1" t="str">
        <f ca="1">IF(A4755="","",IF(OR(L4755="ENTREGADA",L4755="RETORNADA",L4755="ENTREGA DIGITAL"),0,MAX(0,5-NETWORKDAYS(H4755+1,TODAY()))))</f>
        <v/>
      </c>
      <c r="L4755" t="str">
        <f>IF(A4755="","",IFERROR(LOOKUP(2,1/(#REF!=Z4755),#REF!),Y4755))</f>
        <v/>
      </c>
      <c r="Z4755" t="str">
        <f>IF(A4755="","",TEXT(A4755,"0")&amp;"|"&amp;TEXT(H4755,"0"))</f>
        <v/>
      </c>
      <c r="AA4755" t="str">
        <f>IF(Z4755="","",IFERROR(LOOKUP(2,1/(#REF!=Z4755),#REF!),""))</f>
        <v/>
      </c>
      <c r="AB4755" t="str">
        <f>IF(Z4755="","",IFERROR(LOOKUP(2,1/(#REF!=Z4755),#REF!),""))</f>
        <v/>
      </c>
      <c r="AC4755" t="str">
        <f>IF(Z4755="","",COUNTIF(#REF!,Z4755))</f>
        <v/>
      </c>
      <c r="AD4755" t="str">
        <f>IF(A4755="","",IF(AC4755&gt;1,"REVISAR DUPLICADO",IF(AA4755&lt;&gt;"","ACTUALIZADO POR EYR","SIN REPORTE EYR")))</f>
        <v/>
      </c>
    </row>
    <row r="4756" spans="11:30" x14ac:dyDescent="0.3">
      <c r="K4756" s="1" t="str">
        <f ca="1">IF(A4756="","",IF(OR(L4756="ENTREGADA",L4756="RETORNADA",L4756="ENTREGA DIGITAL"),0,MAX(0,5-NETWORKDAYS(H4756+1,TODAY()))))</f>
        <v/>
      </c>
      <c r="L4756" t="str">
        <f>IF(A4756="","",IFERROR(LOOKUP(2,1/(#REF!=Z4756),#REF!),Y4756))</f>
        <v/>
      </c>
      <c r="Z4756" t="str">
        <f>IF(A4756="","",TEXT(A4756,"0")&amp;"|"&amp;TEXT(H4756,"0"))</f>
        <v/>
      </c>
      <c r="AA4756" t="str">
        <f>IF(Z4756="","",IFERROR(LOOKUP(2,1/(#REF!=Z4756),#REF!),""))</f>
        <v/>
      </c>
      <c r="AB4756" t="str">
        <f>IF(Z4756="","",IFERROR(LOOKUP(2,1/(#REF!=Z4756),#REF!),""))</f>
        <v/>
      </c>
      <c r="AC4756" t="str">
        <f>IF(Z4756="","",COUNTIF(#REF!,Z4756))</f>
        <v/>
      </c>
      <c r="AD4756" t="str">
        <f>IF(A4756="","",IF(AC4756&gt;1,"REVISAR DUPLICADO",IF(AA4756&lt;&gt;"","ACTUALIZADO POR EYR","SIN REPORTE EYR")))</f>
        <v/>
      </c>
    </row>
    <row r="4757" spans="11:30" x14ac:dyDescent="0.3">
      <c r="K4757" s="1" t="str">
        <f ca="1">IF(A4757="","",IF(OR(L4757="ENTREGADA",L4757="RETORNADA",L4757="ENTREGA DIGITAL"),0,MAX(0,5-NETWORKDAYS(H4757+1,TODAY()))))</f>
        <v/>
      </c>
      <c r="L4757" t="str">
        <f>IF(A4757="","",IFERROR(LOOKUP(2,1/(#REF!=Z4757),#REF!),Y4757))</f>
        <v/>
      </c>
      <c r="Z4757" t="str">
        <f>IF(A4757="","",TEXT(A4757,"0")&amp;"|"&amp;TEXT(H4757,"0"))</f>
        <v/>
      </c>
      <c r="AA4757" t="str">
        <f>IF(Z4757="","",IFERROR(LOOKUP(2,1/(#REF!=Z4757),#REF!),""))</f>
        <v/>
      </c>
      <c r="AB4757" t="str">
        <f>IF(Z4757="","",IFERROR(LOOKUP(2,1/(#REF!=Z4757),#REF!),""))</f>
        <v/>
      </c>
      <c r="AC4757" t="str">
        <f>IF(Z4757="","",COUNTIF(#REF!,Z4757))</f>
        <v/>
      </c>
      <c r="AD4757" t="str">
        <f>IF(A4757="","",IF(AC4757&gt;1,"REVISAR DUPLICADO",IF(AA4757&lt;&gt;"","ACTUALIZADO POR EYR","SIN REPORTE EYR")))</f>
        <v/>
      </c>
    </row>
    <row r="4758" spans="11:30" x14ac:dyDescent="0.3">
      <c r="K4758" s="1" t="str">
        <f ca="1">IF(A4758="","",IF(OR(L4758="ENTREGADA",L4758="RETORNADA",L4758="ENTREGA DIGITAL"),0,MAX(0,5-NETWORKDAYS(H4758+1,TODAY()))))</f>
        <v/>
      </c>
      <c r="L4758" t="str">
        <f>IF(A4758="","",IFERROR(LOOKUP(2,1/(#REF!=Z4758),#REF!),Y4758))</f>
        <v/>
      </c>
      <c r="Z4758" t="str">
        <f>IF(A4758="","",TEXT(A4758,"0")&amp;"|"&amp;TEXT(H4758,"0"))</f>
        <v/>
      </c>
      <c r="AA4758" t="str">
        <f>IF(Z4758="","",IFERROR(LOOKUP(2,1/(#REF!=Z4758),#REF!),""))</f>
        <v/>
      </c>
      <c r="AB4758" t="str">
        <f>IF(Z4758="","",IFERROR(LOOKUP(2,1/(#REF!=Z4758),#REF!),""))</f>
        <v/>
      </c>
      <c r="AC4758" t="str">
        <f>IF(Z4758="","",COUNTIF(#REF!,Z4758))</f>
        <v/>
      </c>
      <c r="AD4758" t="str">
        <f>IF(A4758="","",IF(AC4758&gt;1,"REVISAR DUPLICADO",IF(AA4758&lt;&gt;"","ACTUALIZADO POR EYR","SIN REPORTE EYR")))</f>
        <v/>
      </c>
    </row>
    <row r="4759" spans="11:30" x14ac:dyDescent="0.3">
      <c r="K4759" s="1" t="str">
        <f ca="1">IF(A4759="","",IF(OR(L4759="ENTREGADA",L4759="RETORNADA",L4759="ENTREGA DIGITAL"),0,MAX(0,5-NETWORKDAYS(H4759+1,TODAY()))))</f>
        <v/>
      </c>
      <c r="L4759" t="str">
        <f>IF(A4759="","",IFERROR(LOOKUP(2,1/(#REF!=Z4759),#REF!),Y4759))</f>
        <v/>
      </c>
      <c r="Z4759" t="str">
        <f>IF(A4759="","",TEXT(A4759,"0")&amp;"|"&amp;TEXT(H4759,"0"))</f>
        <v/>
      </c>
      <c r="AA4759" t="str">
        <f>IF(Z4759="","",IFERROR(LOOKUP(2,1/(#REF!=Z4759),#REF!),""))</f>
        <v/>
      </c>
      <c r="AB4759" t="str">
        <f>IF(Z4759="","",IFERROR(LOOKUP(2,1/(#REF!=Z4759),#REF!),""))</f>
        <v/>
      </c>
      <c r="AC4759" t="str">
        <f>IF(Z4759="","",COUNTIF(#REF!,Z4759))</f>
        <v/>
      </c>
      <c r="AD4759" t="str">
        <f>IF(A4759="","",IF(AC4759&gt;1,"REVISAR DUPLICADO",IF(AA4759&lt;&gt;"","ACTUALIZADO POR EYR","SIN REPORTE EYR")))</f>
        <v/>
      </c>
    </row>
    <row r="4760" spans="11:30" x14ac:dyDescent="0.3">
      <c r="K4760" s="1" t="str">
        <f ca="1">IF(A4760="","",IF(OR(L4760="ENTREGADA",L4760="RETORNADA",L4760="ENTREGA DIGITAL"),0,MAX(0,5-NETWORKDAYS(H4760+1,TODAY()))))</f>
        <v/>
      </c>
      <c r="L4760" t="str">
        <f>IF(A4760="","",IFERROR(LOOKUP(2,1/(#REF!=Z4760),#REF!),Y4760))</f>
        <v/>
      </c>
      <c r="Z4760" t="str">
        <f>IF(A4760="","",TEXT(A4760,"0")&amp;"|"&amp;TEXT(H4760,"0"))</f>
        <v/>
      </c>
      <c r="AA4760" t="str">
        <f>IF(Z4760="","",IFERROR(LOOKUP(2,1/(#REF!=Z4760),#REF!),""))</f>
        <v/>
      </c>
      <c r="AB4760" t="str">
        <f>IF(Z4760="","",IFERROR(LOOKUP(2,1/(#REF!=Z4760),#REF!),""))</f>
        <v/>
      </c>
      <c r="AC4760" t="str">
        <f>IF(Z4760="","",COUNTIF(#REF!,Z4760))</f>
        <v/>
      </c>
      <c r="AD4760" t="str">
        <f>IF(A4760="","",IF(AC4760&gt;1,"REVISAR DUPLICADO",IF(AA4760&lt;&gt;"","ACTUALIZADO POR EYR","SIN REPORTE EYR")))</f>
        <v/>
      </c>
    </row>
    <row r="4761" spans="11:30" x14ac:dyDescent="0.3">
      <c r="K4761" s="1" t="str">
        <f ca="1">IF(A4761="","",IF(OR(L4761="ENTREGADA",L4761="RETORNADA",L4761="ENTREGA DIGITAL"),0,MAX(0,5-NETWORKDAYS(H4761+1,TODAY()))))</f>
        <v/>
      </c>
      <c r="L4761" t="str">
        <f>IF(A4761="","",IFERROR(LOOKUP(2,1/(#REF!=Z4761),#REF!),Y4761))</f>
        <v/>
      </c>
      <c r="Z4761" t="str">
        <f>IF(A4761="","",TEXT(A4761,"0")&amp;"|"&amp;TEXT(H4761,"0"))</f>
        <v/>
      </c>
      <c r="AA4761" t="str">
        <f>IF(Z4761="","",IFERROR(LOOKUP(2,1/(#REF!=Z4761),#REF!),""))</f>
        <v/>
      </c>
      <c r="AB4761" t="str">
        <f>IF(Z4761="","",IFERROR(LOOKUP(2,1/(#REF!=Z4761),#REF!),""))</f>
        <v/>
      </c>
      <c r="AC4761" t="str">
        <f>IF(Z4761="","",COUNTIF(#REF!,Z4761))</f>
        <v/>
      </c>
      <c r="AD4761" t="str">
        <f>IF(A4761="","",IF(AC4761&gt;1,"REVISAR DUPLICADO",IF(AA4761&lt;&gt;"","ACTUALIZADO POR EYR","SIN REPORTE EYR")))</f>
        <v/>
      </c>
    </row>
    <row r="4762" spans="11:30" x14ac:dyDescent="0.3">
      <c r="K4762" s="1" t="str">
        <f ca="1">IF(A4762="","",IF(OR(L4762="ENTREGADA",L4762="RETORNADA",L4762="ENTREGA DIGITAL"),0,MAX(0,5-NETWORKDAYS(H4762+1,TODAY()))))</f>
        <v/>
      </c>
      <c r="L4762" t="str">
        <f>IF(A4762="","",IFERROR(LOOKUP(2,1/(#REF!=Z4762),#REF!),Y4762))</f>
        <v/>
      </c>
      <c r="Z4762" t="str">
        <f>IF(A4762="","",TEXT(A4762,"0")&amp;"|"&amp;TEXT(H4762,"0"))</f>
        <v/>
      </c>
      <c r="AA4762" t="str">
        <f>IF(Z4762="","",IFERROR(LOOKUP(2,1/(#REF!=Z4762),#REF!),""))</f>
        <v/>
      </c>
      <c r="AB4762" t="str">
        <f>IF(Z4762="","",IFERROR(LOOKUP(2,1/(#REF!=Z4762),#REF!),""))</f>
        <v/>
      </c>
      <c r="AC4762" t="str">
        <f>IF(Z4762="","",COUNTIF(#REF!,Z4762))</f>
        <v/>
      </c>
      <c r="AD4762" t="str">
        <f>IF(A4762="","",IF(AC4762&gt;1,"REVISAR DUPLICADO",IF(AA4762&lt;&gt;"","ACTUALIZADO POR EYR","SIN REPORTE EYR")))</f>
        <v/>
      </c>
    </row>
    <row r="4763" spans="11:30" x14ac:dyDescent="0.3">
      <c r="K4763" s="1" t="str">
        <f ca="1">IF(A4763="","",IF(OR(L4763="ENTREGADA",L4763="RETORNADA",L4763="ENTREGA DIGITAL"),0,MAX(0,5-NETWORKDAYS(H4763+1,TODAY()))))</f>
        <v/>
      </c>
      <c r="L4763" t="str">
        <f>IF(A4763="","",IFERROR(LOOKUP(2,1/(#REF!=Z4763),#REF!),Y4763))</f>
        <v/>
      </c>
      <c r="Z4763" t="str">
        <f>IF(A4763="","",TEXT(A4763,"0")&amp;"|"&amp;TEXT(H4763,"0"))</f>
        <v/>
      </c>
      <c r="AA4763" t="str">
        <f>IF(Z4763="","",IFERROR(LOOKUP(2,1/(#REF!=Z4763),#REF!),""))</f>
        <v/>
      </c>
      <c r="AB4763" t="str">
        <f>IF(Z4763="","",IFERROR(LOOKUP(2,1/(#REF!=Z4763),#REF!),""))</f>
        <v/>
      </c>
      <c r="AC4763" t="str">
        <f>IF(Z4763="","",COUNTIF(#REF!,Z4763))</f>
        <v/>
      </c>
      <c r="AD4763" t="str">
        <f>IF(A4763="","",IF(AC4763&gt;1,"REVISAR DUPLICADO",IF(AA4763&lt;&gt;"","ACTUALIZADO POR EYR","SIN REPORTE EYR")))</f>
        <v/>
      </c>
    </row>
    <row r="4764" spans="11:30" x14ac:dyDescent="0.3">
      <c r="K4764" s="1" t="str">
        <f ca="1">IF(A4764="","",IF(OR(L4764="ENTREGADA",L4764="RETORNADA",L4764="ENTREGA DIGITAL"),0,MAX(0,5-NETWORKDAYS(H4764+1,TODAY()))))</f>
        <v/>
      </c>
      <c r="L4764" t="str">
        <f>IF(A4764="","",IFERROR(LOOKUP(2,1/(#REF!=Z4764),#REF!),Y4764))</f>
        <v/>
      </c>
      <c r="Z4764" t="str">
        <f>IF(A4764="","",TEXT(A4764,"0")&amp;"|"&amp;TEXT(H4764,"0"))</f>
        <v/>
      </c>
      <c r="AA4764" t="str">
        <f>IF(Z4764="","",IFERROR(LOOKUP(2,1/(#REF!=Z4764),#REF!),""))</f>
        <v/>
      </c>
      <c r="AB4764" t="str">
        <f>IF(Z4764="","",IFERROR(LOOKUP(2,1/(#REF!=Z4764),#REF!),""))</f>
        <v/>
      </c>
      <c r="AC4764" t="str">
        <f>IF(Z4764="","",COUNTIF(#REF!,Z4764))</f>
        <v/>
      </c>
      <c r="AD4764" t="str">
        <f>IF(A4764="","",IF(AC4764&gt;1,"REVISAR DUPLICADO",IF(AA4764&lt;&gt;"","ACTUALIZADO POR EYR","SIN REPORTE EYR")))</f>
        <v/>
      </c>
    </row>
    <row r="4765" spans="11:30" x14ac:dyDescent="0.3">
      <c r="K4765" s="1" t="str">
        <f ca="1">IF(A4765="","",IF(OR(L4765="ENTREGADA",L4765="RETORNADA",L4765="ENTREGA DIGITAL"),0,MAX(0,5-NETWORKDAYS(H4765+1,TODAY()))))</f>
        <v/>
      </c>
      <c r="L4765" t="str">
        <f>IF(A4765="","",IFERROR(LOOKUP(2,1/(#REF!=Z4765),#REF!),Y4765))</f>
        <v/>
      </c>
      <c r="Z4765" t="str">
        <f>IF(A4765="","",TEXT(A4765,"0")&amp;"|"&amp;TEXT(H4765,"0"))</f>
        <v/>
      </c>
      <c r="AA4765" t="str">
        <f>IF(Z4765="","",IFERROR(LOOKUP(2,1/(#REF!=Z4765),#REF!),""))</f>
        <v/>
      </c>
      <c r="AB4765" t="str">
        <f>IF(Z4765="","",IFERROR(LOOKUP(2,1/(#REF!=Z4765),#REF!),""))</f>
        <v/>
      </c>
      <c r="AC4765" t="str">
        <f>IF(Z4765="","",COUNTIF(#REF!,Z4765))</f>
        <v/>
      </c>
      <c r="AD4765" t="str">
        <f>IF(A4765="","",IF(AC4765&gt;1,"REVISAR DUPLICADO",IF(AA4765&lt;&gt;"","ACTUALIZADO POR EYR","SIN REPORTE EYR")))</f>
        <v/>
      </c>
    </row>
    <row r="4766" spans="11:30" x14ac:dyDescent="0.3">
      <c r="K4766" s="1" t="str">
        <f ca="1">IF(A4766="","",IF(OR(L4766="ENTREGADA",L4766="RETORNADA",L4766="ENTREGA DIGITAL"),0,MAX(0,5-NETWORKDAYS(H4766+1,TODAY()))))</f>
        <v/>
      </c>
      <c r="L4766" t="str">
        <f>IF(A4766="","",IFERROR(LOOKUP(2,1/(#REF!=Z4766),#REF!),Y4766))</f>
        <v/>
      </c>
      <c r="Z4766" t="str">
        <f>IF(A4766="","",TEXT(A4766,"0")&amp;"|"&amp;TEXT(H4766,"0"))</f>
        <v/>
      </c>
      <c r="AA4766" t="str">
        <f>IF(Z4766="","",IFERROR(LOOKUP(2,1/(#REF!=Z4766),#REF!),""))</f>
        <v/>
      </c>
      <c r="AB4766" t="str">
        <f>IF(Z4766="","",IFERROR(LOOKUP(2,1/(#REF!=Z4766),#REF!),""))</f>
        <v/>
      </c>
      <c r="AC4766" t="str">
        <f>IF(Z4766="","",COUNTIF(#REF!,Z4766))</f>
        <v/>
      </c>
      <c r="AD4766" t="str">
        <f>IF(A4766="","",IF(AC4766&gt;1,"REVISAR DUPLICADO",IF(AA4766&lt;&gt;"","ACTUALIZADO POR EYR","SIN REPORTE EYR")))</f>
        <v/>
      </c>
    </row>
    <row r="4767" spans="11:30" x14ac:dyDescent="0.3">
      <c r="K4767" s="1" t="str">
        <f ca="1">IF(A4767="","",IF(OR(L4767="ENTREGADA",L4767="RETORNADA",L4767="ENTREGA DIGITAL"),0,MAX(0,5-NETWORKDAYS(H4767+1,TODAY()))))</f>
        <v/>
      </c>
      <c r="L4767" t="str">
        <f>IF(A4767="","",IFERROR(LOOKUP(2,1/(#REF!=Z4767),#REF!),Y4767))</f>
        <v/>
      </c>
      <c r="Z4767" t="str">
        <f>IF(A4767="","",TEXT(A4767,"0")&amp;"|"&amp;TEXT(H4767,"0"))</f>
        <v/>
      </c>
      <c r="AA4767" t="str">
        <f>IF(Z4767="","",IFERROR(LOOKUP(2,1/(#REF!=Z4767),#REF!),""))</f>
        <v/>
      </c>
      <c r="AB4767" t="str">
        <f>IF(Z4767="","",IFERROR(LOOKUP(2,1/(#REF!=Z4767),#REF!),""))</f>
        <v/>
      </c>
      <c r="AC4767" t="str">
        <f>IF(Z4767="","",COUNTIF(#REF!,Z4767))</f>
        <v/>
      </c>
      <c r="AD4767" t="str">
        <f>IF(A4767="","",IF(AC4767&gt;1,"REVISAR DUPLICADO",IF(AA4767&lt;&gt;"","ACTUALIZADO POR EYR","SIN REPORTE EYR")))</f>
        <v/>
      </c>
    </row>
    <row r="4768" spans="11:30" x14ac:dyDescent="0.3">
      <c r="K4768" s="1" t="str">
        <f ca="1">IF(A4768="","",IF(OR(L4768="ENTREGADA",L4768="RETORNADA",L4768="ENTREGA DIGITAL"),0,MAX(0,5-NETWORKDAYS(H4768+1,TODAY()))))</f>
        <v/>
      </c>
      <c r="L4768" t="str">
        <f>IF(A4768="","",IFERROR(LOOKUP(2,1/(#REF!=Z4768),#REF!),Y4768))</f>
        <v/>
      </c>
      <c r="Z4768" t="str">
        <f>IF(A4768="","",TEXT(A4768,"0")&amp;"|"&amp;TEXT(H4768,"0"))</f>
        <v/>
      </c>
      <c r="AA4768" t="str">
        <f>IF(Z4768="","",IFERROR(LOOKUP(2,1/(#REF!=Z4768),#REF!),""))</f>
        <v/>
      </c>
      <c r="AB4768" t="str">
        <f>IF(Z4768="","",IFERROR(LOOKUP(2,1/(#REF!=Z4768),#REF!),""))</f>
        <v/>
      </c>
      <c r="AC4768" t="str">
        <f>IF(Z4768="","",COUNTIF(#REF!,Z4768))</f>
        <v/>
      </c>
      <c r="AD4768" t="str">
        <f>IF(A4768="","",IF(AC4768&gt;1,"REVISAR DUPLICADO",IF(AA4768&lt;&gt;"","ACTUALIZADO POR EYR","SIN REPORTE EYR")))</f>
        <v/>
      </c>
    </row>
    <row r="4769" spans="11:30" x14ac:dyDescent="0.3">
      <c r="K4769" s="1" t="str">
        <f ca="1">IF(A4769="","",IF(OR(L4769="ENTREGADA",L4769="RETORNADA",L4769="ENTREGA DIGITAL"),0,MAX(0,5-NETWORKDAYS(H4769+1,TODAY()))))</f>
        <v/>
      </c>
      <c r="L4769" t="str">
        <f>IF(A4769="","",IFERROR(LOOKUP(2,1/(#REF!=Z4769),#REF!),Y4769))</f>
        <v/>
      </c>
      <c r="Z4769" t="str">
        <f>IF(A4769="","",TEXT(A4769,"0")&amp;"|"&amp;TEXT(H4769,"0"))</f>
        <v/>
      </c>
      <c r="AA4769" t="str">
        <f>IF(Z4769="","",IFERROR(LOOKUP(2,1/(#REF!=Z4769),#REF!),""))</f>
        <v/>
      </c>
      <c r="AB4769" t="str">
        <f>IF(Z4769="","",IFERROR(LOOKUP(2,1/(#REF!=Z4769),#REF!),""))</f>
        <v/>
      </c>
      <c r="AC4769" t="str">
        <f>IF(Z4769="","",COUNTIF(#REF!,Z4769))</f>
        <v/>
      </c>
      <c r="AD4769" t="str">
        <f>IF(A4769="","",IF(AC4769&gt;1,"REVISAR DUPLICADO",IF(AA4769&lt;&gt;"","ACTUALIZADO POR EYR","SIN REPORTE EYR")))</f>
        <v/>
      </c>
    </row>
    <row r="4770" spans="11:30" x14ac:dyDescent="0.3">
      <c r="K4770" s="1" t="str">
        <f ca="1">IF(A4770="","",IF(OR(L4770="ENTREGADA",L4770="RETORNADA",L4770="ENTREGA DIGITAL"),0,MAX(0,5-NETWORKDAYS(H4770+1,TODAY()))))</f>
        <v/>
      </c>
      <c r="L4770" t="str">
        <f>IF(A4770="","",IFERROR(LOOKUP(2,1/(#REF!=Z4770),#REF!),Y4770))</f>
        <v/>
      </c>
      <c r="Z4770" t="str">
        <f>IF(A4770="","",TEXT(A4770,"0")&amp;"|"&amp;TEXT(H4770,"0"))</f>
        <v/>
      </c>
      <c r="AA4770" t="str">
        <f>IF(Z4770="","",IFERROR(LOOKUP(2,1/(#REF!=Z4770),#REF!),""))</f>
        <v/>
      </c>
      <c r="AB4770" t="str">
        <f>IF(Z4770="","",IFERROR(LOOKUP(2,1/(#REF!=Z4770),#REF!),""))</f>
        <v/>
      </c>
      <c r="AC4770" t="str">
        <f>IF(Z4770="","",COUNTIF(#REF!,Z4770))</f>
        <v/>
      </c>
      <c r="AD4770" t="str">
        <f>IF(A4770="","",IF(AC4770&gt;1,"REVISAR DUPLICADO",IF(AA4770&lt;&gt;"","ACTUALIZADO POR EYR","SIN REPORTE EYR")))</f>
        <v/>
      </c>
    </row>
    <row r="4771" spans="11:30" x14ac:dyDescent="0.3">
      <c r="K4771" s="1" t="str">
        <f ca="1">IF(A4771="","",IF(OR(L4771="ENTREGADA",L4771="RETORNADA",L4771="ENTREGA DIGITAL"),0,MAX(0,5-NETWORKDAYS(H4771+1,TODAY()))))</f>
        <v/>
      </c>
      <c r="L4771" t="str">
        <f>IF(A4771="","",IFERROR(LOOKUP(2,1/(#REF!=Z4771),#REF!),Y4771))</f>
        <v/>
      </c>
      <c r="Z4771" t="str">
        <f>IF(A4771="","",TEXT(A4771,"0")&amp;"|"&amp;TEXT(H4771,"0"))</f>
        <v/>
      </c>
      <c r="AA4771" t="str">
        <f>IF(Z4771="","",IFERROR(LOOKUP(2,1/(#REF!=Z4771),#REF!),""))</f>
        <v/>
      </c>
      <c r="AB4771" t="str">
        <f>IF(Z4771="","",IFERROR(LOOKUP(2,1/(#REF!=Z4771),#REF!),""))</f>
        <v/>
      </c>
      <c r="AC4771" t="str">
        <f>IF(Z4771="","",COUNTIF(#REF!,Z4771))</f>
        <v/>
      </c>
      <c r="AD4771" t="str">
        <f>IF(A4771="","",IF(AC4771&gt;1,"REVISAR DUPLICADO",IF(AA4771&lt;&gt;"","ACTUALIZADO POR EYR","SIN REPORTE EYR")))</f>
        <v/>
      </c>
    </row>
    <row r="4772" spans="11:30" x14ac:dyDescent="0.3">
      <c r="K4772" s="1" t="str">
        <f ca="1">IF(A4772="","",IF(OR(L4772="ENTREGADA",L4772="RETORNADA",L4772="ENTREGA DIGITAL"),0,MAX(0,5-NETWORKDAYS(H4772+1,TODAY()))))</f>
        <v/>
      </c>
      <c r="L4772" t="str">
        <f>IF(A4772="","",IFERROR(LOOKUP(2,1/(#REF!=Z4772),#REF!),Y4772))</f>
        <v/>
      </c>
      <c r="Z4772" t="str">
        <f>IF(A4772="","",TEXT(A4772,"0")&amp;"|"&amp;TEXT(H4772,"0"))</f>
        <v/>
      </c>
      <c r="AA4772" t="str">
        <f>IF(Z4772="","",IFERROR(LOOKUP(2,1/(#REF!=Z4772),#REF!),""))</f>
        <v/>
      </c>
      <c r="AB4772" t="str">
        <f>IF(Z4772="","",IFERROR(LOOKUP(2,1/(#REF!=Z4772),#REF!),""))</f>
        <v/>
      </c>
      <c r="AC4772" t="str">
        <f>IF(Z4772="","",COUNTIF(#REF!,Z4772))</f>
        <v/>
      </c>
      <c r="AD4772" t="str">
        <f>IF(A4772="","",IF(AC4772&gt;1,"REVISAR DUPLICADO",IF(AA4772&lt;&gt;"","ACTUALIZADO POR EYR","SIN REPORTE EYR")))</f>
        <v/>
      </c>
    </row>
    <row r="4773" spans="11:30" x14ac:dyDescent="0.3">
      <c r="K4773" s="1" t="str">
        <f ca="1">IF(A4773="","",IF(OR(L4773="ENTREGADA",L4773="RETORNADA",L4773="ENTREGA DIGITAL"),0,MAX(0,5-NETWORKDAYS(H4773+1,TODAY()))))</f>
        <v/>
      </c>
      <c r="L4773" t="str">
        <f>IF(A4773="","",IFERROR(LOOKUP(2,1/(#REF!=Z4773),#REF!),Y4773))</f>
        <v/>
      </c>
      <c r="Z4773" t="str">
        <f>IF(A4773="","",TEXT(A4773,"0")&amp;"|"&amp;TEXT(H4773,"0"))</f>
        <v/>
      </c>
      <c r="AA4773" t="str">
        <f>IF(Z4773="","",IFERROR(LOOKUP(2,1/(#REF!=Z4773),#REF!),""))</f>
        <v/>
      </c>
      <c r="AB4773" t="str">
        <f>IF(Z4773="","",IFERROR(LOOKUP(2,1/(#REF!=Z4773),#REF!),""))</f>
        <v/>
      </c>
      <c r="AC4773" t="str">
        <f>IF(Z4773="","",COUNTIF(#REF!,Z4773))</f>
        <v/>
      </c>
      <c r="AD4773" t="str">
        <f>IF(A4773="","",IF(AC4773&gt;1,"REVISAR DUPLICADO",IF(AA4773&lt;&gt;"","ACTUALIZADO POR EYR","SIN REPORTE EYR")))</f>
        <v/>
      </c>
    </row>
    <row r="4774" spans="11:30" x14ac:dyDescent="0.3">
      <c r="K4774" s="1" t="str">
        <f ca="1">IF(A4774="","",IF(OR(L4774="ENTREGADA",L4774="RETORNADA",L4774="ENTREGA DIGITAL"),0,MAX(0,5-NETWORKDAYS(H4774+1,TODAY()))))</f>
        <v/>
      </c>
      <c r="L4774" t="str">
        <f>IF(A4774="","",IFERROR(LOOKUP(2,1/(#REF!=Z4774),#REF!),Y4774))</f>
        <v/>
      </c>
      <c r="Z4774" t="str">
        <f>IF(A4774="","",TEXT(A4774,"0")&amp;"|"&amp;TEXT(H4774,"0"))</f>
        <v/>
      </c>
      <c r="AA4774" t="str">
        <f>IF(Z4774="","",IFERROR(LOOKUP(2,1/(#REF!=Z4774),#REF!),""))</f>
        <v/>
      </c>
      <c r="AB4774" t="str">
        <f>IF(Z4774="","",IFERROR(LOOKUP(2,1/(#REF!=Z4774),#REF!),""))</f>
        <v/>
      </c>
      <c r="AC4774" t="str">
        <f>IF(Z4774="","",COUNTIF(#REF!,Z4774))</f>
        <v/>
      </c>
      <c r="AD4774" t="str">
        <f>IF(A4774="","",IF(AC4774&gt;1,"REVISAR DUPLICADO",IF(AA4774&lt;&gt;"","ACTUALIZADO POR EYR","SIN REPORTE EYR")))</f>
        <v/>
      </c>
    </row>
    <row r="4775" spans="11:30" x14ac:dyDescent="0.3">
      <c r="K4775" s="1" t="str">
        <f ca="1">IF(A4775="","",IF(OR(L4775="ENTREGADA",L4775="RETORNADA",L4775="ENTREGA DIGITAL"),0,MAX(0,5-NETWORKDAYS(H4775+1,TODAY()))))</f>
        <v/>
      </c>
      <c r="L4775" t="str">
        <f>IF(A4775="","",IFERROR(LOOKUP(2,1/(#REF!=Z4775),#REF!),Y4775))</f>
        <v/>
      </c>
      <c r="Z4775" t="str">
        <f>IF(A4775="","",TEXT(A4775,"0")&amp;"|"&amp;TEXT(H4775,"0"))</f>
        <v/>
      </c>
      <c r="AA4775" t="str">
        <f>IF(Z4775="","",IFERROR(LOOKUP(2,1/(#REF!=Z4775),#REF!),""))</f>
        <v/>
      </c>
      <c r="AB4775" t="str">
        <f>IF(Z4775="","",IFERROR(LOOKUP(2,1/(#REF!=Z4775),#REF!),""))</f>
        <v/>
      </c>
      <c r="AC4775" t="str">
        <f>IF(Z4775="","",COUNTIF(#REF!,Z4775))</f>
        <v/>
      </c>
      <c r="AD4775" t="str">
        <f>IF(A4775="","",IF(AC4775&gt;1,"REVISAR DUPLICADO",IF(AA4775&lt;&gt;"","ACTUALIZADO POR EYR","SIN REPORTE EYR")))</f>
        <v/>
      </c>
    </row>
    <row r="4776" spans="11:30" x14ac:dyDescent="0.3">
      <c r="K4776" s="1" t="str">
        <f ca="1">IF(A4776="","",IF(OR(L4776="ENTREGADA",L4776="RETORNADA",L4776="ENTREGA DIGITAL"),0,MAX(0,5-NETWORKDAYS(H4776+1,TODAY()))))</f>
        <v/>
      </c>
      <c r="L4776" t="str">
        <f>IF(A4776="","",IFERROR(LOOKUP(2,1/(#REF!=Z4776),#REF!),Y4776))</f>
        <v/>
      </c>
      <c r="Z4776" t="str">
        <f>IF(A4776="","",TEXT(A4776,"0")&amp;"|"&amp;TEXT(H4776,"0"))</f>
        <v/>
      </c>
      <c r="AA4776" t="str">
        <f>IF(Z4776="","",IFERROR(LOOKUP(2,1/(#REF!=Z4776),#REF!),""))</f>
        <v/>
      </c>
      <c r="AB4776" t="str">
        <f>IF(Z4776="","",IFERROR(LOOKUP(2,1/(#REF!=Z4776),#REF!),""))</f>
        <v/>
      </c>
      <c r="AC4776" t="str">
        <f>IF(Z4776="","",COUNTIF(#REF!,Z4776))</f>
        <v/>
      </c>
      <c r="AD4776" t="str">
        <f>IF(A4776="","",IF(AC4776&gt;1,"REVISAR DUPLICADO",IF(AA4776&lt;&gt;"","ACTUALIZADO POR EYR","SIN REPORTE EYR")))</f>
        <v/>
      </c>
    </row>
    <row r="4777" spans="11:30" x14ac:dyDescent="0.3">
      <c r="K4777" s="1" t="str">
        <f ca="1">IF(A4777="","",IF(OR(L4777="ENTREGADA",L4777="RETORNADA",L4777="ENTREGA DIGITAL"),0,MAX(0,5-NETWORKDAYS(H4777+1,TODAY()))))</f>
        <v/>
      </c>
      <c r="L4777" t="str">
        <f>IF(A4777="","",IFERROR(LOOKUP(2,1/(#REF!=Z4777),#REF!),Y4777))</f>
        <v/>
      </c>
      <c r="Z4777" t="str">
        <f>IF(A4777="","",TEXT(A4777,"0")&amp;"|"&amp;TEXT(H4777,"0"))</f>
        <v/>
      </c>
      <c r="AA4777" t="str">
        <f>IF(Z4777="","",IFERROR(LOOKUP(2,1/(#REF!=Z4777),#REF!),""))</f>
        <v/>
      </c>
      <c r="AB4777" t="str">
        <f>IF(Z4777="","",IFERROR(LOOKUP(2,1/(#REF!=Z4777),#REF!),""))</f>
        <v/>
      </c>
      <c r="AC4777" t="str">
        <f>IF(Z4777="","",COUNTIF(#REF!,Z4777))</f>
        <v/>
      </c>
      <c r="AD4777" t="str">
        <f>IF(A4777="","",IF(AC4777&gt;1,"REVISAR DUPLICADO",IF(AA4777&lt;&gt;"","ACTUALIZADO POR EYR","SIN REPORTE EYR")))</f>
        <v/>
      </c>
    </row>
    <row r="4778" spans="11:30" x14ac:dyDescent="0.3">
      <c r="K4778" s="1" t="str">
        <f ca="1">IF(A4778="","",IF(OR(L4778="ENTREGADA",L4778="RETORNADA",L4778="ENTREGA DIGITAL"),0,MAX(0,5-NETWORKDAYS(H4778+1,TODAY()))))</f>
        <v/>
      </c>
      <c r="L4778" t="str">
        <f>IF(A4778="","",IFERROR(LOOKUP(2,1/(#REF!=Z4778),#REF!),Y4778))</f>
        <v/>
      </c>
      <c r="Z4778" t="str">
        <f>IF(A4778="","",TEXT(A4778,"0")&amp;"|"&amp;TEXT(H4778,"0"))</f>
        <v/>
      </c>
      <c r="AA4778" t="str">
        <f>IF(Z4778="","",IFERROR(LOOKUP(2,1/(#REF!=Z4778),#REF!),""))</f>
        <v/>
      </c>
      <c r="AB4778" t="str">
        <f>IF(Z4778="","",IFERROR(LOOKUP(2,1/(#REF!=Z4778),#REF!),""))</f>
        <v/>
      </c>
      <c r="AC4778" t="str">
        <f>IF(Z4778="","",COUNTIF(#REF!,Z4778))</f>
        <v/>
      </c>
      <c r="AD4778" t="str">
        <f>IF(A4778="","",IF(AC4778&gt;1,"REVISAR DUPLICADO",IF(AA4778&lt;&gt;"","ACTUALIZADO POR EYR","SIN REPORTE EYR")))</f>
        <v/>
      </c>
    </row>
    <row r="4779" spans="11:30" x14ac:dyDescent="0.3">
      <c r="K4779" s="1" t="str">
        <f ca="1">IF(A4779="","",IF(OR(L4779="ENTREGADA",L4779="RETORNADA",L4779="ENTREGA DIGITAL"),0,MAX(0,5-NETWORKDAYS(H4779+1,TODAY()))))</f>
        <v/>
      </c>
      <c r="L4779" t="str">
        <f>IF(A4779="","",IFERROR(LOOKUP(2,1/(#REF!=Z4779),#REF!),Y4779))</f>
        <v/>
      </c>
      <c r="Z4779" t="str">
        <f>IF(A4779="","",TEXT(A4779,"0")&amp;"|"&amp;TEXT(H4779,"0"))</f>
        <v/>
      </c>
      <c r="AA4779" t="str">
        <f>IF(Z4779="","",IFERROR(LOOKUP(2,1/(#REF!=Z4779),#REF!),""))</f>
        <v/>
      </c>
      <c r="AB4779" t="str">
        <f>IF(Z4779="","",IFERROR(LOOKUP(2,1/(#REF!=Z4779),#REF!),""))</f>
        <v/>
      </c>
      <c r="AC4779" t="str">
        <f>IF(Z4779="","",COUNTIF(#REF!,Z4779))</f>
        <v/>
      </c>
      <c r="AD4779" t="str">
        <f>IF(A4779="","",IF(AC4779&gt;1,"REVISAR DUPLICADO",IF(AA4779&lt;&gt;"","ACTUALIZADO POR EYR","SIN REPORTE EYR")))</f>
        <v/>
      </c>
    </row>
    <row r="4780" spans="11:30" x14ac:dyDescent="0.3">
      <c r="K4780" s="1" t="str">
        <f ca="1">IF(A4780="","",IF(OR(L4780="ENTREGADA",L4780="RETORNADA",L4780="ENTREGA DIGITAL"),0,MAX(0,5-NETWORKDAYS(H4780+1,TODAY()))))</f>
        <v/>
      </c>
      <c r="L4780" t="str">
        <f>IF(A4780="","",IFERROR(LOOKUP(2,1/(#REF!=Z4780),#REF!),Y4780))</f>
        <v/>
      </c>
      <c r="Z4780" t="str">
        <f>IF(A4780="","",TEXT(A4780,"0")&amp;"|"&amp;TEXT(H4780,"0"))</f>
        <v/>
      </c>
      <c r="AA4780" t="str">
        <f>IF(Z4780="","",IFERROR(LOOKUP(2,1/(#REF!=Z4780),#REF!),""))</f>
        <v/>
      </c>
      <c r="AB4780" t="str">
        <f>IF(Z4780="","",IFERROR(LOOKUP(2,1/(#REF!=Z4780),#REF!),""))</f>
        <v/>
      </c>
      <c r="AC4780" t="str">
        <f>IF(Z4780="","",COUNTIF(#REF!,Z4780))</f>
        <v/>
      </c>
      <c r="AD4780" t="str">
        <f>IF(A4780="","",IF(AC4780&gt;1,"REVISAR DUPLICADO",IF(AA4780&lt;&gt;"","ACTUALIZADO POR EYR","SIN REPORTE EYR")))</f>
        <v/>
      </c>
    </row>
    <row r="4781" spans="11:30" x14ac:dyDescent="0.3">
      <c r="K4781" s="1" t="str">
        <f ca="1">IF(A4781="","",IF(OR(L4781="ENTREGADA",L4781="RETORNADA",L4781="ENTREGA DIGITAL"),0,MAX(0,5-NETWORKDAYS(H4781+1,TODAY()))))</f>
        <v/>
      </c>
      <c r="L4781" t="str">
        <f>IF(A4781="","",IFERROR(LOOKUP(2,1/(#REF!=Z4781),#REF!),Y4781))</f>
        <v/>
      </c>
      <c r="Z4781" t="str">
        <f>IF(A4781="","",TEXT(A4781,"0")&amp;"|"&amp;TEXT(H4781,"0"))</f>
        <v/>
      </c>
      <c r="AA4781" t="str">
        <f>IF(Z4781="","",IFERROR(LOOKUP(2,1/(#REF!=Z4781),#REF!),""))</f>
        <v/>
      </c>
      <c r="AB4781" t="str">
        <f>IF(Z4781="","",IFERROR(LOOKUP(2,1/(#REF!=Z4781),#REF!),""))</f>
        <v/>
      </c>
      <c r="AC4781" t="str">
        <f>IF(Z4781="","",COUNTIF(#REF!,Z4781))</f>
        <v/>
      </c>
      <c r="AD4781" t="str">
        <f>IF(A4781="","",IF(AC4781&gt;1,"REVISAR DUPLICADO",IF(AA4781&lt;&gt;"","ACTUALIZADO POR EYR","SIN REPORTE EYR")))</f>
        <v/>
      </c>
    </row>
    <row r="4782" spans="11:30" x14ac:dyDescent="0.3">
      <c r="K4782" s="1" t="str">
        <f ca="1">IF(A4782="","",IF(OR(L4782="ENTREGADA",L4782="RETORNADA",L4782="ENTREGA DIGITAL"),0,MAX(0,5-NETWORKDAYS(H4782+1,TODAY()))))</f>
        <v/>
      </c>
      <c r="L4782" t="str">
        <f>IF(A4782="","",IFERROR(LOOKUP(2,1/(#REF!=Z4782),#REF!),Y4782))</f>
        <v/>
      </c>
      <c r="Z4782" t="str">
        <f>IF(A4782="","",TEXT(A4782,"0")&amp;"|"&amp;TEXT(H4782,"0"))</f>
        <v/>
      </c>
      <c r="AA4782" t="str">
        <f>IF(Z4782="","",IFERROR(LOOKUP(2,1/(#REF!=Z4782),#REF!),""))</f>
        <v/>
      </c>
      <c r="AB4782" t="str">
        <f>IF(Z4782="","",IFERROR(LOOKUP(2,1/(#REF!=Z4782),#REF!),""))</f>
        <v/>
      </c>
      <c r="AC4782" t="str">
        <f>IF(Z4782="","",COUNTIF(#REF!,Z4782))</f>
        <v/>
      </c>
      <c r="AD4782" t="str">
        <f>IF(A4782="","",IF(AC4782&gt;1,"REVISAR DUPLICADO",IF(AA4782&lt;&gt;"","ACTUALIZADO POR EYR","SIN REPORTE EYR")))</f>
        <v/>
      </c>
    </row>
    <row r="4783" spans="11:30" x14ac:dyDescent="0.3">
      <c r="K4783" s="1" t="str">
        <f ca="1">IF(A4783="","",IF(OR(L4783="ENTREGADA",L4783="RETORNADA",L4783="ENTREGA DIGITAL"),0,MAX(0,5-NETWORKDAYS(H4783+1,TODAY()))))</f>
        <v/>
      </c>
      <c r="L4783" t="str">
        <f>IF(A4783="","",IFERROR(LOOKUP(2,1/(#REF!=Z4783),#REF!),Y4783))</f>
        <v/>
      </c>
      <c r="Z4783" t="str">
        <f>IF(A4783="","",TEXT(A4783,"0")&amp;"|"&amp;TEXT(H4783,"0"))</f>
        <v/>
      </c>
      <c r="AA4783" t="str">
        <f>IF(Z4783="","",IFERROR(LOOKUP(2,1/(#REF!=Z4783),#REF!),""))</f>
        <v/>
      </c>
      <c r="AB4783" t="str">
        <f>IF(Z4783="","",IFERROR(LOOKUP(2,1/(#REF!=Z4783),#REF!),""))</f>
        <v/>
      </c>
      <c r="AC4783" t="str">
        <f>IF(Z4783="","",COUNTIF(#REF!,Z4783))</f>
        <v/>
      </c>
      <c r="AD4783" t="str">
        <f>IF(A4783="","",IF(AC4783&gt;1,"REVISAR DUPLICADO",IF(AA4783&lt;&gt;"","ACTUALIZADO POR EYR","SIN REPORTE EYR")))</f>
        <v/>
      </c>
    </row>
    <row r="4784" spans="11:30" x14ac:dyDescent="0.3">
      <c r="K4784" s="1" t="str">
        <f ca="1">IF(A4784="","",IF(OR(L4784="ENTREGADA",L4784="RETORNADA",L4784="ENTREGA DIGITAL"),0,MAX(0,5-NETWORKDAYS(H4784+1,TODAY()))))</f>
        <v/>
      </c>
      <c r="L4784" t="str">
        <f>IF(A4784="","",IFERROR(LOOKUP(2,1/(#REF!=Z4784),#REF!),Y4784))</f>
        <v/>
      </c>
      <c r="Z4784" t="str">
        <f>IF(A4784="","",TEXT(A4784,"0")&amp;"|"&amp;TEXT(H4784,"0"))</f>
        <v/>
      </c>
      <c r="AA4784" t="str">
        <f>IF(Z4784="","",IFERROR(LOOKUP(2,1/(#REF!=Z4784),#REF!),""))</f>
        <v/>
      </c>
      <c r="AB4784" t="str">
        <f>IF(Z4784="","",IFERROR(LOOKUP(2,1/(#REF!=Z4784),#REF!),""))</f>
        <v/>
      </c>
      <c r="AC4784" t="str">
        <f>IF(Z4784="","",COUNTIF(#REF!,Z4784))</f>
        <v/>
      </c>
      <c r="AD4784" t="str">
        <f>IF(A4784="","",IF(AC4784&gt;1,"REVISAR DUPLICADO",IF(AA4784&lt;&gt;"","ACTUALIZADO POR EYR","SIN REPORTE EYR")))</f>
        <v/>
      </c>
    </row>
    <row r="4785" spans="11:30" x14ac:dyDescent="0.3">
      <c r="K4785" s="1" t="str">
        <f ca="1">IF(A4785="","",IF(OR(L4785="ENTREGADA",L4785="RETORNADA",L4785="ENTREGA DIGITAL"),0,MAX(0,5-NETWORKDAYS(H4785+1,TODAY()))))</f>
        <v/>
      </c>
      <c r="L4785" t="str">
        <f>IF(A4785="","",IFERROR(LOOKUP(2,1/(#REF!=Z4785),#REF!),Y4785))</f>
        <v/>
      </c>
      <c r="Z4785" t="str">
        <f>IF(A4785="","",TEXT(A4785,"0")&amp;"|"&amp;TEXT(H4785,"0"))</f>
        <v/>
      </c>
      <c r="AA4785" t="str">
        <f>IF(Z4785="","",IFERROR(LOOKUP(2,1/(#REF!=Z4785),#REF!),""))</f>
        <v/>
      </c>
      <c r="AB4785" t="str">
        <f>IF(Z4785="","",IFERROR(LOOKUP(2,1/(#REF!=Z4785),#REF!),""))</f>
        <v/>
      </c>
      <c r="AC4785" t="str">
        <f>IF(Z4785="","",COUNTIF(#REF!,Z4785))</f>
        <v/>
      </c>
      <c r="AD4785" t="str">
        <f>IF(A4785="","",IF(AC4785&gt;1,"REVISAR DUPLICADO",IF(AA4785&lt;&gt;"","ACTUALIZADO POR EYR","SIN REPORTE EYR")))</f>
        <v/>
      </c>
    </row>
    <row r="4786" spans="11:30" x14ac:dyDescent="0.3">
      <c r="K4786" s="1" t="str">
        <f ca="1">IF(A4786="","",IF(OR(L4786="ENTREGADA",L4786="RETORNADA",L4786="ENTREGA DIGITAL"),0,MAX(0,5-NETWORKDAYS(H4786+1,TODAY()))))</f>
        <v/>
      </c>
      <c r="L4786" t="str">
        <f>IF(A4786="","",IFERROR(LOOKUP(2,1/(#REF!=Z4786),#REF!),Y4786))</f>
        <v/>
      </c>
      <c r="Z4786" t="str">
        <f>IF(A4786="","",TEXT(A4786,"0")&amp;"|"&amp;TEXT(H4786,"0"))</f>
        <v/>
      </c>
      <c r="AA4786" t="str">
        <f>IF(Z4786="","",IFERROR(LOOKUP(2,1/(#REF!=Z4786),#REF!),""))</f>
        <v/>
      </c>
      <c r="AB4786" t="str">
        <f>IF(Z4786="","",IFERROR(LOOKUP(2,1/(#REF!=Z4786),#REF!),""))</f>
        <v/>
      </c>
      <c r="AC4786" t="str">
        <f>IF(Z4786="","",COUNTIF(#REF!,Z4786))</f>
        <v/>
      </c>
      <c r="AD4786" t="str">
        <f>IF(A4786="","",IF(AC4786&gt;1,"REVISAR DUPLICADO",IF(AA4786&lt;&gt;"","ACTUALIZADO POR EYR","SIN REPORTE EYR")))</f>
        <v/>
      </c>
    </row>
    <row r="4787" spans="11:30" x14ac:dyDescent="0.3">
      <c r="K4787" s="1" t="str">
        <f ca="1">IF(A4787="","",IF(OR(L4787="ENTREGADA",L4787="RETORNADA",L4787="ENTREGA DIGITAL"),0,MAX(0,5-NETWORKDAYS(H4787+1,TODAY()))))</f>
        <v/>
      </c>
      <c r="L4787" t="str">
        <f>IF(A4787="","",IFERROR(LOOKUP(2,1/(#REF!=Z4787),#REF!),Y4787))</f>
        <v/>
      </c>
      <c r="Z4787" t="str">
        <f>IF(A4787="","",TEXT(A4787,"0")&amp;"|"&amp;TEXT(H4787,"0"))</f>
        <v/>
      </c>
      <c r="AA4787" t="str">
        <f>IF(Z4787="","",IFERROR(LOOKUP(2,1/(#REF!=Z4787),#REF!),""))</f>
        <v/>
      </c>
      <c r="AB4787" t="str">
        <f>IF(Z4787="","",IFERROR(LOOKUP(2,1/(#REF!=Z4787),#REF!),""))</f>
        <v/>
      </c>
      <c r="AC4787" t="str">
        <f>IF(Z4787="","",COUNTIF(#REF!,Z4787))</f>
        <v/>
      </c>
      <c r="AD4787" t="str">
        <f>IF(A4787="","",IF(AC4787&gt;1,"REVISAR DUPLICADO",IF(AA4787&lt;&gt;"","ACTUALIZADO POR EYR","SIN REPORTE EYR")))</f>
        <v/>
      </c>
    </row>
    <row r="4788" spans="11:30" x14ac:dyDescent="0.3">
      <c r="K4788" s="1" t="str">
        <f ca="1">IF(A4788="","",IF(OR(L4788="ENTREGADA",L4788="RETORNADA",L4788="ENTREGA DIGITAL"),0,MAX(0,5-NETWORKDAYS(H4788+1,TODAY()))))</f>
        <v/>
      </c>
      <c r="L4788" t="str">
        <f>IF(A4788="","",IFERROR(LOOKUP(2,1/(#REF!=Z4788),#REF!),Y4788))</f>
        <v/>
      </c>
      <c r="Z4788" t="str">
        <f>IF(A4788="","",TEXT(A4788,"0")&amp;"|"&amp;TEXT(H4788,"0"))</f>
        <v/>
      </c>
      <c r="AA4788" t="str">
        <f>IF(Z4788="","",IFERROR(LOOKUP(2,1/(#REF!=Z4788),#REF!),""))</f>
        <v/>
      </c>
      <c r="AB4788" t="str">
        <f>IF(Z4788="","",IFERROR(LOOKUP(2,1/(#REF!=Z4788),#REF!),""))</f>
        <v/>
      </c>
      <c r="AC4788" t="str">
        <f>IF(Z4788="","",COUNTIF(#REF!,Z4788))</f>
        <v/>
      </c>
      <c r="AD4788" t="str">
        <f>IF(A4788="","",IF(AC4788&gt;1,"REVISAR DUPLICADO",IF(AA4788&lt;&gt;"","ACTUALIZADO POR EYR","SIN REPORTE EYR")))</f>
        <v/>
      </c>
    </row>
    <row r="4789" spans="11:30" x14ac:dyDescent="0.3">
      <c r="K4789" s="1" t="str">
        <f ca="1">IF(A4789="","",IF(OR(L4789="ENTREGADA",L4789="RETORNADA",L4789="ENTREGA DIGITAL"),0,MAX(0,5-NETWORKDAYS(H4789+1,TODAY()))))</f>
        <v/>
      </c>
      <c r="L4789" t="str">
        <f>IF(A4789="","",IFERROR(LOOKUP(2,1/(#REF!=Z4789),#REF!),Y4789))</f>
        <v/>
      </c>
      <c r="Z4789" t="str">
        <f>IF(A4789="","",TEXT(A4789,"0")&amp;"|"&amp;TEXT(H4789,"0"))</f>
        <v/>
      </c>
      <c r="AA4789" t="str">
        <f>IF(Z4789="","",IFERROR(LOOKUP(2,1/(#REF!=Z4789),#REF!),""))</f>
        <v/>
      </c>
      <c r="AB4789" t="str">
        <f>IF(Z4789="","",IFERROR(LOOKUP(2,1/(#REF!=Z4789),#REF!),""))</f>
        <v/>
      </c>
      <c r="AC4789" t="str">
        <f>IF(Z4789="","",COUNTIF(#REF!,Z4789))</f>
        <v/>
      </c>
      <c r="AD4789" t="str">
        <f>IF(A4789="","",IF(AC4789&gt;1,"REVISAR DUPLICADO",IF(AA4789&lt;&gt;"","ACTUALIZADO POR EYR","SIN REPORTE EYR")))</f>
        <v/>
      </c>
    </row>
    <row r="4790" spans="11:30" x14ac:dyDescent="0.3">
      <c r="K4790" s="1" t="str">
        <f ca="1">IF(A4790="","",IF(OR(L4790="ENTREGADA",L4790="RETORNADA",L4790="ENTREGA DIGITAL"),0,MAX(0,5-NETWORKDAYS(H4790+1,TODAY()))))</f>
        <v/>
      </c>
      <c r="L4790" t="str">
        <f>IF(A4790="","",IFERROR(LOOKUP(2,1/(#REF!=Z4790),#REF!),Y4790))</f>
        <v/>
      </c>
      <c r="Z4790" t="str">
        <f>IF(A4790="","",TEXT(A4790,"0")&amp;"|"&amp;TEXT(H4790,"0"))</f>
        <v/>
      </c>
      <c r="AA4790" t="str">
        <f>IF(Z4790="","",IFERROR(LOOKUP(2,1/(#REF!=Z4790),#REF!),""))</f>
        <v/>
      </c>
      <c r="AB4790" t="str">
        <f>IF(Z4790="","",IFERROR(LOOKUP(2,1/(#REF!=Z4790),#REF!),""))</f>
        <v/>
      </c>
      <c r="AC4790" t="str">
        <f>IF(Z4790="","",COUNTIF(#REF!,Z4790))</f>
        <v/>
      </c>
      <c r="AD4790" t="str">
        <f>IF(A4790="","",IF(AC4790&gt;1,"REVISAR DUPLICADO",IF(AA4790&lt;&gt;"","ACTUALIZADO POR EYR","SIN REPORTE EYR")))</f>
        <v/>
      </c>
    </row>
    <row r="4791" spans="11:30" x14ac:dyDescent="0.3">
      <c r="K4791" s="1" t="str">
        <f ca="1">IF(A4791="","",IF(OR(L4791="ENTREGADA",L4791="RETORNADA",L4791="ENTREGA DIGITAL"),0,MAX(0,5-NETWORKDAYS(H4791+1,TODAY()))))</f>
        <v/>
      </c>
      <c r="L4791" t="str">
        <f>IF(A4791="","",IFERROR(LOOKUP(2,1/(#REF!=Z4791),#REF!),Y4791))</f>
        <v/>
      </c>
      <c r="Z4791" t="str">
        <f>IF(A4791="","",TEXT(A4791,"0")&amp;"|"&amp;TEXT(H4791,"0"))</f>
        <v/>
      </c>
      <c r="AA4791" t="str">
        <f>IF(Z4791="","",IFERROR(LOOKUP(2,1/(#REF!=Z4791),#REF!),""))</f>
        <v/>
      </c>
      <c r="AB4791" t="str">
        <f>IF(Z4791="","",IFERROR(LOOKUP(2,1/(#REF!=Z4791),#REF!),""))</f>
        <v/>
      </c>
      <c r="AC4791" t="str">
        <f>IF(Z4791="","",COUNTIF(#REF!,Z4791))</f>
        <v/>
      </c>
      <c r="AD4791" t="str">
        <f>IF(A4791="","",IF(AC4791&gt;1,"REVISAR DUPLICADO",IF(AA4791&lt;&gt;"","ACTUALIZADO POR EYR","SIN REPORTE EYR")))</f>
        <v/>
      </c>
    </row>
    <row r="4792" spans="11:30" x14ac:dyDescent="0.3">
      <c r="K4792" s="1" t="str">
        <f ca="1">IF(A4792="","",IF(OR(L4792="ENTREGADA",L4792="RETORNADA",L4792="ENTREGA DIGITAL"),0,MAX(0,5-NETWORKDAYS(H4792+1,TODAY()))))</f>
        <v/>
      </c>
      <c r="L4792" t="str">
        <f>IF(A4792="","",IFERROR(LOOKUP(2,1/(#REF!=Z4792),#REF!),Y4792))</f>
        <v/>
      </c>
      <c r="Z4792" t="str">
        <f>IF(A4792="","",TEXT(A4792,"0")&amp;"|"&amp;TEXT(H4792,"0"))</f>
        <v/>
      </c>
      <c r="AA4792" t="str">
        <f>IF(Z4792="","",IFERROR(LOOKUP(2,1/(#REF!=Z4792),#REF!),""))</f>
        <v/>
      </c>
      <c r="AB4792" t="str">
        <f>IF(Z4792="","",IFERROR(LOOKUP(2,1/(#REF!=Z4792),#REF!),""))</f>
        <v/>
      </c>
      <c r="AC4792" t="str">
        <f>IF(Z4792="","",COUNTIF(#REF!,Z4792))</f>
        <v/>
      </c>
      <c r="AD4792" t="str">
        <f>IF(A4792="","",IF(AC4792&gt;1,"REVISAR DUPLICADO",IF(AA4792&lt;&gt;"","ACTUALIZADO POR EYR","SIN REPORTE EYR")))</f>
        <v/>
      </c>
    </row>
    <row r="4793" spans="11:30" x14ac:dyDescent="0.3">
      <c r="K4793" s="1" t="str">
        <f ca="1">IF(A4793="","",IF(OR(L4793="ENTREGADA",L4793="RETORNADA",L4793="ENTREGA DIGITAL"),0,MAX(0,5-NETWORKDAYS(H4793+1,TODAY()))))</f>
        <v/>
      </c>
      <c r="L4793" t="str">
        <f>IF(A4793="","",IFERROR(LOOKUP(2,1/(#REF!=Z4793),#REF!),Y4793))</f>
        <v/>
      </c>
      <c r="Z4793" t="str">
        <f>IF(A4793="","",TEXT(A4793,"0")&amp;"|"&amp;TEXT(H4793,"0"))</f>
        <v/>
      </c>
      <c r="AA4793" t="str">
        <f>IF(Z4793="","",IFERROR(LOOKUP(2,1/(#REF!=Z4793),#REF!),""))</f>
        <v/>
      </c>
      <c r="AB4793" t="str">
        <f>IF(Z4793="","",IFERROR(LOOKUP(2,1/(#REF!=Z4793),#REF!),""))</f>
        <v/>
      </c>
      <c r="AC4793" t="str">
        <f>IF(Z4793="","",COUNTIF(#REF!,Z4793))</f>
        <v/>
      </c>
      <c r="AD4793" t="str">
        <f>IF(A4793="","",IF(AC4793&gt;1,"REVISAR DUPLICADO",IF(AA4793&lt;&gt;"","ACTUALIZADO POR EYR","SIN REPORTE EYR")))</f>
        <v/>
      </c>
    </row>
    <row r="4794" spans="11:30" x14ac:dyDescent="0.3">
      <c r="K4794" s="1" t="str">
        <f ca="1">IF(A4794="","",IF(OR(L4794="ENTREGADA",L4794="RETORNADA",L4794="ENTREGA DIGITAL"),0,MAX(0,5-NETWORKDAYS(H4794+1,TODAY()))))</f>
        <v/>
      </c>
      <c r="L4794" t="str">
        <f>IF(A4794="","",IFERROR(LOOKUP(2,1/(#REF!=Z4794),#REF!),Y4794))</f>
        <v/>
      </c>
      <c r="Z4794" t="str">
        <f>IF(A4794="","",TEXT(A4794,"0")&amp;"|"&amp;TEXT(H4794,"0"))</f>
        <v/>
      </c>
      <c r="AA4794" t="str">
        <f>IF(Z4794="","",IFERROR(LOOKUP(2,1/(#REF!=Z4794),#REF!),""))</f>
        <v/>
      </c>
      <c r="AB4794" t="str">
        <f>IF(Z4794="","",IFERROR(LOOKUP(2,1/(#REF!=Z4794),#REF!),""))</f>
        <v/>
      </c>
      <c r="AC4794" t="str">
        <f>IF(Z4794="","",COUNTIF(#REF!,Z4794))</f>
        <v/>
      </c>
      <c r="AD4794" t="str">
        <f>IF(A4794="","",IF(AC4794&gt;1,"REVISAR DUPLICADO",IF(AA4794&lt;&gt;"","ACTUALIZADO POR EYR","SIN REPORTE EYR")))</f>
        <v/>
      </c>
    </row>
    <row r="4795" spans="11:30" x14ac:dyDescent="0.3">
      <c r="K4795" s="1" t="str">
        <f ca="1">IF(A4795="","",IF(OR(L4795="ENTREGADA",L4795="RETORNADA",L4795="ENTREGA DIGITAL"),0,MAX(0,5-NETWORKDAYS(H4795+1,TODAY()))))</f>
        <v/>
      </c>
      <c r="L4795" t="str">
        <f>IF(A4795="","",IFERROR(LOOKUP(2,1/(#REF!=Z4795),#REF!),Y4795))</f>
        <v/>
      </c>
      <c r="Z4795" t="str">
        <f>IF(A4795="","",TEXT(A4795,"0")&amp;"|"&amp;TEXT(H4795,"0"))</f>
        <v/>
      </c>
      <c r="AA4795" t="str">
        <f>IF(Z4795="","",IFERROR(LOOKUP(2,1/(#REF!=Z4795),#REF!),""))</f>
        <v/>
      </c>
      <c r="AB4795" t="str">
        <f>IF(Z4795="","",IFERROR(LOOKUP(2,1/(#REF!=Z4795),#REF!),""))</f>
        <v/>
      </c>
      <c r="AC4795" t="str">
        <f>IF(Z4795="","",COUNTIF(#REF!,Z4795))</f>
        <v/>
      </c>
      <c r="AD4795" t="str">
        <f>IF(A4795="","",IF(AC4795&gt;1,"REVISAR DUPLICADO",IF(AA4795&lt;&gt;"","ACTUALIZADO POR EYR","SIN REPORTE EYR")))</f>
        <v/>
      </c>
    </row>
    <row r="4796" spans="11:30" x14ac:dyDescent="0.3">
      <c r="K4796" s="1" t="str">
        <f ca="1">IF(A4796="","",IF(OR(L4796="ENTREGADA",L4796="RETORNADA",L4796="ENTREGA DIGITAL"),0,MAX(0,5-NETWORKDAYS(H4796+1,TODAY()))))</f>
        <v/>
      </c>
      <c r="L4796" t="str">
        <f>IF(A4796="","",IFERROR(LOOKUP(2,1/(#REF!=Z4796),#REF!),Y4796))</f>
        <v/>
      </c>
      <c r="Z4796" t="str">
        <f>IF(A4796="","",TEXT(A4796,"0")&amp;"|"&amp;TEXT(H4796,"0"))</f>
        <v/>
      </c>
      <c r="AA4796" t="str">
        <f>IF(Z4796="","",IFERROR(LOOKUP(2,1/(#REF!=Z4796),#REF!),""))</f>
        <v/>
      </c>
      <c r="AB4796" t="str">
        <f>IF(Z4796="","",IFERROR(LOOKUP(2,1/(#REF!=Z4796),#REF!),""))</f>
        <v/>
      </c>
      <c r="AC4796" t="str">
        <f>IF(Z4796="","",COUNTIF(#REF!,Z4796))</f>
        <v/>
      </c>
      <c r="AD4796" t="str">
        <f>IF(A4796="","",IF(AC4796&gt;1,"REVISAR DUPLICADO",IF(AA4796&lt;&gt;"","ACTUALIZADO POR EYR","SIN REPORTE EYR")))</f>
        <v/>
      </c>
    </row>
    <row r="4797" spans="11:30" x14ac:dyDescent="0.3">
      <c r="K4797" s="1" t="str">
        <f ca="1">IF(A4797="","",IF(OR(L4797="ENTREGADA",L4797="RETORNADA",L4797="ENTREGA DIGITAL"),0,MAX(0,5-NETWORKDAYS(H4797+1,TODAY()))))</f>
        <v/>
      </c>
      <c r="L4797" t="str">
        <f>IF(A4797="","",IFERROR(LOOKUP(2,1/(#REF!=Z4797),#REF!),Y4797))</f>
        <v/>
      </c>
      <c r="Z4797" t="str">
        <f>IF(A4797="","",TEXT(A4797,"0")&amp;"|"&amp;TEXT(H4797,"0"))</f>
        <v/>
      </c>
      <c r="AA4797" t="str">
        <f>IF(Z4797="","",IFERROR(LOOKUP(2,1/(#REF!=Z4797),#REF!),""))</f>
        <v/>
      </c>
      <c r="AB4797" t="str">
        <f>IF(Z4797="","",IFERROR(LOOKUP(2,1/(#REF!=Z4797),#REF!),""))</f>
        <v/>
      </c>
      <c r="AC4797" t="str">
        <f>IF(Z4797="","",COUNTIF(#REF!,Z4797))</f>
        <v/>
      </c>
      <c r="AD4797" t="str">
        <f>IF(A4797="","",IF(AC4797&gt;1,"REVISAR DUPLICADO",IF(AA4797&lt;&gt;"","ACTUALIZADO POR EYR","SIN REPORTE EYR")))</f>
        <v/>
      </c>
    </row>
    <row r="4798" spans="11:30" x14ac:dyDescent="0.3">
      <c r="K4798" s="1" t="str">
        <f ca="1">IF(A4798="","",IF(OR(L4798="ENTREGADA",L4798="RETORNADA",L4798="ENTREGA DIGITAL"),0,MAX(0,5-NETWORKDAYS(H4798+1,TODAY()))))</f>
        <v/>
      </c>
      <c r="L4798" t="str">
        <f>IF(A4798="","",IFERROR(LOOKUP(2,1/(#REF!=Z4798),#REF!),Y4798))</f>
        <v/>
      </c>
      <c r="Z4798" t="str">
        <f>IF(A4798="","",TEXT(A4798,"0")&amp;"|"&amp;TEXT(H4798,"0"))</f>
        <v/>
      </c>
      <c r="AA4798" t="str">
        <f>IF(Z4798="","",IFERROR(LOOKUP(2,1/(#REF!=Z4798),#REF!),""))</f>
        <v/>
      </c>
      <c r="AB4798" t="str">
        <f>IF(Z4798="","",IFERROR(LOOKUP(2,1/(#REF!=Z4798),#REF!),""))</f>
        <v/>
      </c>
      <c r="AC4798" t="str">
        <f>IF(Z4798="","",COUNTIF(#REF!,Z4798))</f>
        <v/>
      </c>
      <c r="AD4798" t="str">
        <f>IF(A4798="","",IF(AC4798&gt;1,"REVISAR DUPLICADO",IF(AA4798&lt;&gt;"","ACTUALIZADO POR EYR","SIN REPORTE EYR")))</f>
        <v/>
      </c>
    </row>
    <row r="4799" spans="11:30" x14ac:dyDescent="0.3">
      <c r="K4799" s="1" t="str">
        <f ca="1">IF(A4799="","",IF(OR(L4799="ENTREGADA",L4799="RETORNADA",L4799="ENTREGA DIGITAL"),0,MAX(0,5-NETWORKDAYS(H4799+1,TODAY()))))</f>
        <v/>
      </c>
      <c r="L4799" t="str">
        <f>IF(A4799="","",IFERROR(LOOKUP(2,1/(#REF!=Z4799),#REF!),Y4799))</f>
        <v/>
      </c>
      <c r="Z4799" t="str">
        <f>IF(A4799="","",TEXT(A4799,"0")&amp;"|"&amp;TEXT(H4799,"0"))</f>
        <v/>
      </c>
      <c r="AA4799" t="str">
        <f>IF(Z4799="","",IFERROR(LOOKUP(2,1/(#REF!=Z4799),#REF!),""))</f>
        <v/>
      </c>
      <c r="AB4799" t="str">
        <f>IF(Z4799="","",IFERROR(LOOKUP(2,1/(#REF!=Z4799),#REF!),""))</f>
        <v/>
      </c>
      <c r="AC4799" t="str">
        <f>IF(Z4799="","",COUNTIF(#REF!,Z4799))</f>
        <v/>
      </c>
      <c r="AD4799" t="str">
        <f>IF(A4799="","",IF(AC4799&gt;1,"REVISAR DUPLICADO",IF(AA4799&lt;&gt;"","ACTUALIZADO POR EYR","SIN REPORTE EYR")))</f>
        <v/>
      </c>
    </row>
    <row r="4800" spans="11:30" x14ac:dyDescent="0.3">
      <c r="K4800" s="1" t="str">
        <f ca="1">IF(A4800="","",IF(OR(L4800="ENTREGADA",L4800="RETORNADA",L4800="ENTREGA DIGITAL"),0,MAX(0,5-NETWORKDAYS(H4800+1,TODAY()))))</f>
        <v/>
      </c>
      <c r="L4800" t="str">
        <f>IF(A4800="","",IFERROR(LOOKUP(2,1/(#REF!=Z4800),#REF!),Y4800))</f>
        <v/>
      </c>
      <c r="Z4800" t="str">
        <f>IF(A4800="","",TEXT(A4800,"0")&amp;"|"&amp;TEXT(H4800,"0"))</f>
        <v/>
      </c>
      <c r="AA4800" t="str">
        <f>IF(Z4800="","",IFERROR(LOOKUP(2,1/(#REF!=Z4800),#REF!),""))</f>
        <v/>
      </c>
      <c r="AB4800" t="str">
        <f>IF(Z4800="","",IFERROR(LOOKUP(2,1/(#REF!=Z4800),#REF!),""))</f>
        <v/>
      </c>
      <c r="AC4800" t="str">
        <f>IF(Z4800="","",COUNTIF(#REF!,Z4800))</f>
        <v/>
      </c>
      <c r="AD4800" t="str">
        <f>IF(A4800="","",IF(AC4800&gt;1,"REVISAR DUPLICADO",IF(AA4800&lt;&gt;"","ACTUALIZADO POR EYR","SIN REPORTE EYR")))</f>
        <v/>
      </c>
    </row>
    <row r="4801" spans="11:30" x14ac:dyDescent="0.3">
      <c r="K4801" s="1" t="str">
        <f ca="1">IF(A4801="","",IF(OR(L4801="ENTREGADA",L4801="RETORNADA",L4801="ENTREGA DIGITAL"),0,MAX(0,5-NETWORKDAYS(H4801+1,TODAY()))))</f>
        <v/>
      </c>
      <c r="L4801" t="str">
        <f>IF(A4801="","",IFERROR(LOOKUP(2,1/(#REF!=Z4801),#REF!),Y4801))</f>
        <v/>
      </c>
      <c r="Z4801" t="str">
        <f>IF(A4801="","",TEXT(A4801,"0")&amp;"|"&amp;TEXT(H4801,"0"))</f>
        <v/>
      </c>
      <c r="AA4801" t="str">
        <f>IF(Z4801="","",IFERROR(LOOKUP(2,1/(#REF!=Z4801),#REF!),""))</f>
        <v/>
      </c>
      <c r="AB4801" t="str">
        <f>IF(Z4801="","",IFERROR(LOOKUP(2,1/(#REF!=Z4801),#REF!),""))</f>
        <v/>
      </c>
      <c r="AC4801" t="str">
        <f>IF(Z4801="","",COUNTIF(#REF!,Z4801))</f>
        <v/>
      </c>
      <c r="AD4801" t="str">
        <f>IF(A4801="","",IF(AC4801&gt;1,"REVISAR DUPLICADO",IF(AA4801&lt;&gt;"","ACTUALIZADO POR EYR","SIN REPORTE EYR")))</f>
        <v/>
      </c>
    </row>
    <row r="4802" spans="11:30" x14ac:dyDescent="0.3">
      <c r="K4802" s="1" t="str">
        <f ca="1">IF(A4802="","",IF(OR(L4802="ENTREGADA",L4802="RETORNADA",L4802="ENTREGA DIGITAL"),0,MAX(0,5-NETWORKDAYS(H4802+1,TODAY()))))</f>
        <v/>
      </c>
      <c r="L4802" t="str">
        <f>IF(A4802="","",IFERROR(LOOKUP(2,1/(#REF!=Z4802),#REF!),Y4802))</f>
        <v/>
      </c>
      <c r="Z4802" t="str">
        <f>IF(A4802="","",TEXT(A4802,"0")&amp;"|"&amp;TEXT(H4802,"0"))</f>
        <v/>
      </c>
      <c r="AA4802" t="str">
        <f>IF(Z4802="","",IFERROR(LOOKUP(2,1/(#REF!=Z4802),#REF!),""))</f>
        <v/>
      </c>
      <c r="AB4802" t="str">
        <f>IF(Z4802="","",IFERROR(LOOKUP(2,1/(#REF!=Z4802),#REF!),""))</f>
        <v/>
      </c>
      <c r="AC4802" t="str">
        <f>IF(Z4802="","",COUNTIF(#REF!,Z4802))</f>
        <v/>
      </c>
      <c r="AD4802" t="str">
        <f>IF(A4802="","",IF(AC4802&gt;1,"REVISAR DUPLICADO",IF(AA4802&lt;&gt;"","ACTUALIZADO POR EYR","SIN REPORTE EYR")))</f>
        <v/>
      </c>
    </row>
    <row r="4803" spans="11:30" x14ac:dyDescent="0.3">
      <c r="K4803" s="1" t="str">
        <f ca="1">IF(A4803="","",IF(OR(L4803="ENTREGADA",L4803="RETORNADA",L4803="ENTREGA DIGITAL"),0,MAX(0,5-NETWORKDAYS(H4803+1,TODAY()))))</f>
        <v/>
      </c>
      <c r="L4803" t="str">
        <f>IF(A4803="","",IFERROR(LOOKUP(2,1/(#REF!=Z4803),#REF!),Y4803))</f>
        <v/>
      </c>
      <c r="Z4803" t="str">
        <f>IF(A4803="","",TEXT(A4803,"0")&amp;"|"&amp;TEXT(H4803,"0"))</f>
        <v/>
      </c>
      <c r="AA4803" t="str">
        <f>IF(Z4803="","",IFERROR(LOOKUP(2,1/(#REF!=Z4803),#REF!),""))</f>
        <v/>
      </c>
      <c r="AB4803" t="str">
        <f>IF(Z4803="","",IFERROR(LOOKUP(2,1/(#REF!=Z4803),#REF!),""))</f>
        <v/>
      </c>
      <c r="AC4803" t="str">
        <f>IF(Z4803="","",COUNTIF(#REF!,Z4803))</f>
        <v/>
      </c>
      <c r="AD4803" t="str">
        <f>IF(A4803="","",IF(AC4803&gt;1,"REVISAR DUPLICADO",IF(AA4803&lt;&gt;"","ACTUALIZADO POR EYR","SIN REPORTE EYR")))</f>
        <v/>
      </c>
    </row>
    <row r="4804" spans="11:30" x14ac:dyDescent="0.3">
      <c r="K4804" s="1" t="str">
        <f ca="1">IF(A4804="","",IF(OR(L4804="ENTREGADA",L4804="RETORNADA",L4804="ENTREGA DIGITAL"),0,MAX(0,5-NETWORKDAYS(H4804+1,TODAY()))))</f>
        <v/>
      </c>
      <c r="L4804" t="str">
        <f>IF(A4804="","",IFERROR(LOOKUP(2,1/(#REF!=Z4804),#REF!),Y4804))</f>
        <v/>
      </c>
      <c r="Z4804" t="str">
        <f>IF(A4804="","",TEXT(A4804,"0")&amp;"|"&amp;TEXT(H4804,"0"))</f>
        <v/>
      </c>
      <c r="AA4804" t="str">
        <f>IF(Z4804="","",IFERROR(LOOKUP(2,1/(#REF!=Z4804),#REF!),""))</f>
        <v/>
      </c>
      <c r="AB4804" t="str">
        <f>IF(Z4804="","",IFERROR(LOOKUP(2,1/(#REF!=Z4804),#REF!),""))</f>
        <v/>
      </c>
      <c r="AC4804" t="str">
        <f>IF(Z4804="","",COUNTIF(#REF!,Z4804))</f>
        <v/>
      </c>
      <c r="AD4804" t="str">
        <f>IF(A4804="","",IF(AC4804&gt;1,"REVISAR DUPLICADO",IF(AA4804&lt;&gt;"","ACTUALIZADO POR EYR","SIN REPORTE EYR")))</f>
        <v/>
      </c>
    </row>
    <row r="4805" spans="11:30" x14ac:dyDescent="0.3">
      <c r="K4805" s="1" t="str">
        <f ca="1">IF(A4805="","",IF(OR(L4805="ENTREGADA",L4805="RETORNADA",L4805="ENTREGA DIGITAL"),0,MAX(0,5-NETWORKDAYS(H4805+1,TODAY()))))</f>
        <v/>
      </c>
      <c r="L4805" t="str">
        <f>IF(A4805="","",IFERROR(LOOKUP(2,1/(#REF!=Z4805),#REF!),Y4805))</f>
        <v/>
      </c>
      <c r="Z4805" t="str">
        <f>IF(A4805="","",TEXT(A4805,"0")&amp;"|"&amp;TEXT(H4805,"0"))</f>
        <v/>
      </c>
      <c r="AA4805" t="str">
        <f>IF(Z4805="","",IFERROR(LOOKUP(2,1/(#REF!=Z4805),#REF!),""))</f>
        <v/>
      </c>
      <c r="AB4805" t="str">
        <f>IF(Z4805="","",IFERROR(LOOKUP(2,1/(#REF!=Z4805),#REF!),""))</f>
        <v/>
      </c>
      <c r="AC4805" t="str">
        <f>IF(Z4805="","",COUNTIF(#REF!,Z4805))</f>
        <v/>
      </c>
      <c r="AD4805" t="str">
        <f>IF(A4805="","",IF(AC4805&gt;1,"REVISAR DUPLICADO",IF(AA4805&lt;&gt;"","ACTUALIZADO POR EYR","SIN REPORTE EYR")))</f>
        <v/>
      </c>
    </row>
    <row r="4806" spans="11:30" x14ac:dyDescent="0.3">
      <c r="K4806" s="1" t="str">
        <f ca="1">IF(A4806="","",IF(OR(L4806="ENTREGADA",L4806="RETORNADA",L4806="ENTREGA DIGITAL"),0,MAX(0,5-NETWORKDAYS(H4806+1,TODAY()))))</f>
        <v/>
      </c>
      <c r="L4806" t="str">
        <f>IF(A4806="","",IFERROR(LOOKUP(2,1/(#REF!=Z4806),#REF!),Y4806))</f>
        <v/>
      </c>
      <c r="Z4806" t="str">
        <f>IF(A4806="","",TEXT(A4806,"0")&amp;"|"&amp;TEXT(H4806,"0"))</f>
        <v/>
      </c>
      <c r="AA4806" t="str">
        <f>IF(Z4806="","",IFERROR(LOOKUP(2,1/(#REF!=Z4806),#REF!),""))</f>
        <v/>
      </c>
      <c r="AB4806" t="str">
        <f>IF(Z4806="","",IFERROR(LOOKUP(2,1/(#REF!=Z4806),#REF!),""))</f>
        <v/>
      </c>
      <c r="AC4806" t="str">
        <f>IF(Z4806="","",COUNTIF(#REF!,Z4806))</f>
        <v/>
      </c>
      <c r="AD4806" t="str">
        <f>IF(A4806="","",IF(AC4806&gt;1,"REVISAR DUPLICADO",IF(AA4806&lt;&gt;"","ACTUALIZADO POR EYR","SIN REPORTE EYR")))</f>
        <v/>
      </c>
    </row>
    <row r="4807" spans="11:30" x14ac:dyDescent="0.3">
      <c r="K4807" s="1" t="str">
        <f ca="1">IF(A4807="","",IF(OR(L4807="ENTREGADA",L4807="RETORNADA",L4807="ENTREGA DIGITAL"),0,MAX(0,5-NETWORKDAYS(H4807+1,TODAY()))))</f>
        <v/>
      </c>
      <c r="L4807" t="str">
        <f>IF(A4807="","",IFERROR(LOOKUP(2,1/(#REF!=Z4807),#REF!),Y4807))</f>
        <v/>
      </c>
      <c r="Z4807" t="str">
        <f>IF(A4807="","",TEXT(A4807,"0")&amp;"|"&amp;TEXT(H4807,"0"))</f>
        <v/>
      </c>
      <c r="AA4807" t="str">
        <f>IF(Z4807="","",IFERROR(LOOKUP(2,1/(#REF!=Z4807),#REF!),""))</f>
        <v/>
      </c>
      <c r="AB4807" t="str">
        <f>IF(Z4807="","",IFERROR(LOOKUP(2,1/(#REF!=Z4807),#REF!),""))</f>
        <v/>
      </c>
      <c r="AC4807" t="str">
        <f>IF(Z4807="","",COUNTIF(#REF!,Z4807))</f>
        <v/>
      </c>
      <c r="AD4807" t="str">
        <f>IF(A4807="","",IF(AC4807&gt;1,"REVISAR DUPLICADO",IF(AA4807&lt;&gt;"","ACTUALIZADO POR EYR","SIN REPORTE EYR")))</f>
        <v/>
      </c>
    </row>
    <row r="4808" spans="11:30" x14ac:dyDescent="0.3">
      <c r="K4808" s="1" t="str">
        <f ca="1">IF(A4808="","",IF(OR(L4808="ENTREGADA",L4808="RETORNADA",L4808="ENTREGA DIGITAL"),0,MAX(0,5-NETWORKDAYS(H4808+1,TODAY()))))</f>
        <v/>
      </c>
      <c r="L4808" t="str">
        <f>IF(A4808="","",IFERROR(LOOKUP(2,1/(#REF!=Z4808),#REF!),Y4808))</f>
        <v/>
      </c>
      <c r="Z4808" t="str">
        <f>IF(A4808="","",TEXT(A4808,"0")&amp;"|"&amp;TEXT(H4808,"0"))</f>
        <v/>
      </c>
      <c r="AA4808" t="str">
        <f>IF(Z4808="","",IFERROR(LOOKUP(2,1/(#REF!=Z4808),#REF!),""))</f>
        <v/>
      </c>
      <c r="AB4808" t="str">
        <f>IF(Z4808="","",IFERROR(LOOKUP(2,1/(#REF!=Z4808),#REF!),""))</f>
        <v/>
      </c>
      <c r="AC4808" t="str">
        <f>IF(Z4808="","",COUNTIF(#REF!,Z4808))</f>
        <v/>
      </c>
      <c r="AD4808" t="str">
        <f>IF(A4808="","",IF(AC4808&gt;1,"REVISAR DUPLICADO",IF(AA4808&lt;&gt;"","ACTUALIZADO POR EYR","SIN REPORTE EYR")))</f>
        <v/>
      </c>
    </row>
    <row r="4809" spans="11:30" x14ac:dyDescent="0.3">
      <c r="K4809" s="1" t="str">
        <f ca="1">IF(A4809="","",IF(OR(L4809="ENTREGADA",L4809="RETORNADA",L4809="ENTREGA DIGITAL"),0,MAX(0,5-NETWORKDAYS(H4809+1,TODAY()))))</f>
        <v/>
      </c>
      <c r="L4809" t="str">
        <f>IF(A4809="","",IFERROR(LOOKUP(2,1/(#REF!=Z4809),#REF!),Y4809))</f>
        <v/>
      </c>
      <c r="Z4809" t="str">
        <f>IF(A4809="","",TEXT(A4809,"0")&amp;"|"&amp;TEXT(H4809,"0"))</f>
        <v/>
      </c>
      <c r="AA4809" t="str">
        <f>IF(Z4809="","",IFERROR(LOOKUP(2,1/(#REF!=Z4809),#REF!),""))</f>
        <v/>
      </c>
      <c r="AB4809" t="str">
        <f>IF(Z4809="","",IFERROR(LOOKUP(2,1/(#REF!=Z4809),#REF!),""))</f>
        <v/>
      </c>
      <c r="AC4809" t="str">
        <f>IF(Z4809="","",COUNTIF(#REF!,Z4809))</f>
        <v/>
      </c>
      <c r="AD4809" t="str">
        <f>IF(A4809="","",IF(AC4809&gt;1,"REVISAR DUPLICADO",IF(AA4809&lt;&gt;"","ACTUALIZADO POR EYR","SIN REPORTE EYR")))</f>
        <v/>
      </c>
    </row>
    <row r="4810" spans="11:30" x14ac:dyDescent="0.3">
      <c r="K4810" s="1" t="str">
        <f ca="1">IF(A4810="","",IF(OR(L4810="ENTREGADA",L4810="RETORNADA",L4810="ENTREGA DIGITAL"),0,MAX(0,5-NETWORKDAYS(H4810+1,TODAY()))))</f>
        <v/>
      </c>
      <c r="L4810" t="str">
        <f>IF(A4810="","",IFERROR(LOOKUP(2,1/(#REF!=Z4810),#REF!),Y4810))</f>
        <v/>
      </c>
      <c r="Z4810" t="str">
        <f>IF(A4810="","",TEXT(A4810,"0")&amp;"|"&amp;TEXT(H4810,"0"))</f>
        <v/>
      </c>
      <c r="AA4810" t="str">
        <f>IF(Z4810="","",IFERROR(LOOKUP(2,1/(#REF!=Z4810),#REF!),""))</f>
        <v/>
      </c>
      <c r="AB4810" t="str">
        <f>IF(Z4810="","",IFERROR(LOOKUP(2,1/(#REF!=Z4810),#REF!),""))</f>
        <v/>
      </c>
      <c r="AC4810" t="str">
        <f>IF(Z4810="","",COUNTIF(#REF!,Z4810))</f>
        <v/>
      </c>
      <c r="AD4810" t="str">
        <f>IF(A4810="","",IF(AC4810&gt;1,"REVISAR DUPLICADO",IF(AA4810&lt;&gt;"","ACTUALIZADO POR EYR","SIN REPORTE EYR")))</f>
        <v/>
      </c>
    </row>
    <row r="4811" spans="11:30" x14ac:dyDescent="0.3">
      <c r="K4811" s="1" t="str">
        <f ca="1">IF(A4811="","",IF(OR(L4811="ENTREGADA",L4811="RETORNADA",L4811="ENTREGA DIGITAL"),0,MAX(0,5-NETWORKDAYS(H4811+1,TODAY()))))</f>
        <v/>
      </c>
      <c r="L4811" t="str">
        <f>IF(A4811="","",IFERROR(LOOKUP(2,1/(#REF!=Z4811),#REF!),Y4811))</f>
        <v/>
      </c>
      <c r="Z4811" t="str">
        <f>IF(A4811="","",TEXT(A4811,"0")&amp;"|"&amp;TEXT(H4811,"0"))</f>
        <v/>
      </c>
      <c r="AA4811" t="str">
        <f>IF(Z4811="","",IFERROR(LOOKUP(2,1/(#REF!=Z4811),#REF!),""))</f>
        <v/>
      </c>
      <c r="AB4811" t="str">
        <f>IF(Z4811="","",IFERROR(LOOKUP(2,1/(#REF!=Z4811),#REF!),""))</f>
        <v/>
      </c>
      <c r="AC4811" t="str">
        <f>IF(Z4811="","",COUNTIF(#REF!,Z4811))</f>
        <v/>
      </c>
      <c r="AD4811" t="str">
        <f>IF(A4811="","",IF(AC4811&gt;1,"REVISAR DUPLICADO",IF(AA4811&lt;&gt;"","ACTUALIZADO POR EYR","SIN REPORTE EYR")))</f>
        <v/>
      </c>
    </row>
    <row r="4812" spans="11:30" x14ac:dyDescent="0.3">
      <c r="K4812" s="1" t="str">
        <f ca="1">IF(A4812="","",IF(OR(L4812="ENTREGADA",L4812="RETORNADA",L4812="ENTREGA DIGITAL"),0,MAX(0,5-NETWORKDAYS(H4812+1,TODAY()))))</f>
        <v/>
      </c>
      <c r="L4812" t="str">
        <f>IF(A4812="","",IFERROR(LOOKUP(2,1/(#REF!=Z4812),#REF!),Y4812))</f>
        <v/>
      </c>
      <c r="Z4812" t="str">
        <f>IF(A4812="","",TEXT(A4812,"0")&amp;"|"&amp;TEXT(H4812,"0"))</f>
        <v/>
      </c>
      <c r="AA4812" t="str">
        <f>IF(Z4812="","",IFERROR(LOOKUP(2,1/(#REF!=Z4812),#REF!),""))</f>
        <v/>
      </c>
      <c r="AB4812" t="str">
        <f>IF(Z4812="","",IFERROR(LOOKUP(2,1/(#REF!=Z4812),#REF!),""))</f>
        <v/>
      </c>
      <c r="AC4812" t="str">
        <f>IF(Z4812="","",COUNTIF(#REF!,Z4812))</f>
        <v/>
      </c>
      <c r="AD4812" t="str">
        <f>IF(A4812="","",IF(AC4812&gt;1,"REVISAR DUPLICADO",IF(AA4812&lt;&gt;"","ACTUALIZADO POR EYR","SIN REPORTE EYR")))</f>
        <v/>
      </c>
    </row>
    <row r="4813" spans="11:30" x14ac:dyDescent="0.3">
      <c r="K4813" s="1" t="str">
        <f ca="1">IF(A4813="","",IF(OR(L4813="ENTREGADA",L4813="RETORNADA",L4813="ENTREGA DIGITAL"),0,MAX(0,5-NETWORKDAYS(H4813+1,TODAY()))))</f>
        <v/>
      </c>
      <c r="L4813" t="str">
        <f>IF(A4813="","",IFERROR(LOOKUP(2,1/(#REF!=Z4813),#REF!),Y4813))</f>
        <v/>
      </c>
      <c r="Z4813" t="str">
        <f>IF(A4813="","",TEXT(A4813,"0")&amp;"|"&amp;TEXT(H4813,"0"))</f>
        <v/>
      </c>
      <c r="AA4813" t="str">
        <f>IF(Z4813="","",IFERROR(LOOKUP(2,1/(#REF!=Z4813),#REF!),""))</f>
        <v/>
      </c>
      <c r="AB4813" t="str">
        <f>IF(Z4813="","",IFERROR(LOOKUP(2,1/(#REF!=Z4813),#REF!),""))</f>
        <v/>
      </c>
      <c r="AC4813" t="str">
        <f>IF(Z4813="","",COUNTIF(#REF!,Z4813))</f>
        <v/>
      </c>
      <c r="AD4813" t="str">
        <f>IF(A4813="","",IF(AC4813&gt;1,"REVISAR DUPLICADO",IF(AA4813&lt;&gt;"","ACTUALIZADO POR EYR","SIN REPORTE EYR")))</f>
        <v/>
      </c>
    </row>
    <row r="4814" spans="11:30" x14ac:dyDescent="0.3">
      <c r="K4814" s="1" t="str">
        <f ca="1">IF(A4814="","",IF(OR(L4814="ENTREGADA",L4814="RETORNADA",L4814="ENTREGA DIGITAL"),0,MAX(0,5-NETWORKDAYS(H4814+1,TODAY()))))</f>
        <v/>
      </c>
      <c r="L4814" t="str">
        <f>IF(A4814="","",IFERROR(LOOKUP(2,1/(#REF!=Z4814),#REF!),Y4814))</f>
        <v/>
      </c>
      <c r="Z4814" t="str">
        <f>IF(A4814="","",TEXT(A4814,"0")&amp;"|"&amp;TEXT(H4814,"0"))</f>
        <v/>
      </c>
      <c r="AA4814" t="str">
        <f>IF(Z4814="","",IFERROR(LOOKUP(2,1/(#REF!=Z4814),#REF!),""))</f>
        <v/>
      </c>
      <c r="AB4814" t="str">
        <f>IF(Z4814="","",IFERROR(LOOKUP(2,1/(#REF!=Z4814),#REF!),""))</f>
        <v/>
      </c>
      <c r="AC4814" t="str">
        <f>IF(Z4814="","",COUNTIF(#REF!,Z4814))</f>
        <v/>
      </c>
      <c r="AD4814" t="str">
        <f>IF(A4814="","",IF(AC4814&gt;1,"REVISAR DUPLICADO",IF(AA4814&lt;&gt;"","ACTUALIZADO POR EYR","SIN REPORTE EYR")))</f>
        <v/>
      </c>
    </row>
    <row r="4815" spans="11:30" x14ac:dyDescent="0.3">
      <c r="K4815" s="1" t="str">
        <f ca="1">IF(A4815="","",IF(OR(L4815="ENTREGADA",L4815="RETORNADA",L4815="ENTREGA DIGITAL"),0,MAX(0,5-NETWORKDAYS(H4815+1,TODAY()))))</f>
        <v/>
      </c>
      <c r="L4815" t="str">
        <f>IF(A4815="","",IFERROR(LOOKUP(2,1/(#REF!=Z4815),#REF!),Y4815))</f>
        <v/>
      </c>
      <c r="Z4815" t="str">
        <f>IF(A4815="","",TEXT(A4815,"0")&amp;"|"&amp;TEXT(H4815,"0"))</f>
        <v/>
      </c>
      <c r="AA4815" t="str">
        <f>IF(Z4815="","",IFERROR(LOOKUP(2,1/(#REF!=Z4815),#REF!),""))</f>
        <v/>
      </c>
      <c r="AB4815" t="str">
        <f>IF(Z4815="","",IFERROR(LOOKUP(2,1/(#REF!=Z4815),#REF!),""))</f>
        <v/>
      </c>
      <c r="AC4815" t="str">
        <f>IF(Z4815="","",COUNTIF(#REF!,Z4815))</f>
        <v/>
      </c>
      <c r="AD4815" t="str">
        <f>IF(A4815="","",IF(AC4815&gt;1,"REVISAR DUPLICADO",IF(AA4815&lt;&gt;"","ACTUALIZADO POR EYR","SIN REPORTE EYR")))</f>
        <v/>
      </c>
    </row>
    <row r="4816" spans="11:30" x14ac:dyDescent="0.3">
      <c r="K4816" s="1" t="str">
        <f ca="1">IF(A4816="","",IF(OR(L4816="ENTREGADA",L4816="RETORNADA",L4816="ENTREGA DIGITAL"),0,MAX(0,5-NETWORKDAYS(H4816+1,TODAY()))))</f>
        <v/>
      </c>
      <c r="L4816" t="str">
        <f>IF(A4816="","",IFERROR(LOOKUP(2,1/(#REF!=Z4816),#REF!),Y4816))</f>
        <v/>
      </c>
      <c r="Z4816" t="str">
        <f>IF(A4816="","",TEXT(A4816,"0")&amp;"|"&amp;TEXT(H4816,"0"))</f>
        <v/>
      </c>
      <c r="AA4816" t="str">
        <f>IF(Z4816="","",IFERROR(LOOKUP(2,1/(#REF!=Z4816),#REF!),""))</f>
        <v/>
      </c>
      <c r="AB4816" t="str">
        <f>IF(Z4816="","",IFERROR(LOOKUP(2,1/(#REF!=Z4816),#REF!),""))</f>
        <v/>
      </c>
      <c r="AC4816" t="str">
        <f>IF(Z4816="","",COUNTIF(#REF!,Z4816))</f>
        <v/>
      </c>
      <c r="AD4816" t="str">
        <f>IF(A4816="","",IF(AC4816&gt;1,"REVISAR DUPLICADO",IF(AA4816&lt;&gt;"","ACTUALIZADO POR EYR","SIN REPORTE EYR")))</f>
        <v/>
      </c>
    </row>
    <row r="4817" spans="11:30" x14ac:dyDescent="0.3">
      <c r="K4817" s="1" t="str">
        <f ca="1">IF(A4817="","",IF(OR(L4817="ENTREGADA",L4817="RETORNADA",L4817="ENTREGA DIGITAL"),0,MAX(0,5-NETWORKDAYS(H4817+1,TODAY()))))</f>
        <v/>
      </c>
      <c r="L4817" t="str">
        <f>IF(A4817="","",IFERROR(LOOKUP(2,1/(#REF!=Z4817),#REF!),Y4817))</f>
        <v/>
      </c>
      <c r="Z4817" t="str">
        <f>IF(A4817="","",TEXT(A4817,"0")&amp;"|"&amp;TEXT(H4817,"0"))</f>
        <v/>
      </c>
      <c r="AA4817" t="str">
        <f>IF(Z4817="","",IFERROR(LOOKUP(2,1/(#REF!=Z4817),#REF!),""))</f>
        <v/>
      </c>
      <c r="AB4817" t="str">
        <f>IF(Z4817="","",IFERROR(LOOKUP(2,1/(#REF!=Z4817),#REF!),""))</f>
        <v/>
      </c>
      <c r="AC4817" t="str">
        <f>IF(Z4817="","",COUNTIF(#REF!,Z4817))</f>
        <v/>
      </c>
      <c r="AD4817" t="str">
        <f>IF(A4817="","",IF(AC4817&gt;1,"REVISAR DUPLICADO",IF(AA4817&lt;&gt;"","ACTUALIZADO POR EYR","SIN REPORTE EYR")))</f>
        <v/>
      </c>
    </row>
    <row r="4818" spans="11:30" x14ac:dyDescent="0.3">
      <c r="K4818" s="1" t="str">
        <f ca="1">IF(A4818="","",IF(OR(L4818="ENTREGADA",L4818="RETORNADA",L4818="ENTREGA DIGITAL"),0,MAX(0,5-NETWORKDAYS(H4818+1,TODAY()))))</f>
        <v/>
      </c>
      <c r="L4818" t="str">
        <f>IF(A4818="","",IFERROR(LOOKUP(2,1/(#REF!=Z4818),#REF!),Y4818))</f>
        <v/>
      </c>
      <c r="Z4818" t="str">
        <f>IF(A4818="","",TEXT(A4818,"0")&amp;"|"&amp;TEXT(H4818,"0"))</f>
        <v/>
      </c>
      <c r="AA4818" t="str">
        <f>IF(Z4818="","",IFERROR(LOOKUP(2,1/(#REF!=Z4818),#REF!),""))</f>
        <v/>
      </c>
      <c r="AB4818" t="str">
        <f>IF(Z4818="","",IFERROR(LOOKUP(2,1/(#REF!=Z4818),#REF!),""))</f>
        <v/>
      </c>
      <c r="AC4818" t="str">
        <f>IF(Z4818="","",COUNTIF(#REF!,Z4818))</f>
        <v/>
      </c>
      <c r="AD4818" t="str">
        <f>IF(A4818="","",IF(AC4818&gt;1,"REVISAR DUPLICADO",IF(AA4818&lt;&gt;"","ACTUALIZADO POR EYR","SIN REPORTE EYR")))</f>
        <v/>
      </c>
    </row>
    <row r="4819" spans="11:30" x14ac:dyDescent="0.3">
      <c r="K4819" s="1" t="str">
        <f ca="1">IF(A4819="","",IF(OR(L4819="ENTREGADA",L4819="RETORNADA",L4819="ENTREGA DIGITAL"),0,MAX(0,5-NETWORKDAYS(H4819+1,TODAY()))))</f>
        <v/>
      </c>
      <c r="L4819" t="str">
        <f>IF(A4819="","",IFERROR(LOOKUP(2,1/(#REF!=Z4819),#REF!),Y4819))</f>
        <v/>
      </c>
      <c r="Z4819" t="str">
        <f>IF(A4819="","",TEXT(A4819,"0")&amp;"|"&amp;TEXT(H4819,"0"))</f>
        <v/>
      </c>
      <c r="AA4819" t="str">
        <f>IF(Z4819="","",IFERROR(LOOKUP(2,1/(#REF!=Z4819),#REF!),""))</f>
        <v/>
      </c>
      <c r="AB4819" t="str">
        <f>IF(Z4819="","",IFERROR(LOOKUP(2,1/(#REF!=Z4819),#REF!),""))</f>
        <v/>
      </c>
      <c r="AC4819" t="str">
        <f>IF(Z4819="","",COUNTIF(#REF!,Z4819))</f>
        <v/>
      </c>
      <c r="AD4819" t="str">
        <f>IF(A4819="","",IF(AC4819&gt;1,"REVISAR DUPLICADO",IF(AA4819&lt;&gt;"","ACTUALIZADO POR EYR","SIN REPORTE EYR")))</f>
        <v/>
      </c>
    </row>
    <row r="4820" spans="11:30" x14ac:dyDescent="0.3">
      <c r="K4820" s="1" t="str">
        <f ca="1">IF(A4820="","",IF(OR(L4820="ENTREGADA",L4820="RETORNADA",L4820="ENTREGA DIGITAL"),0,MAX(0,5-NETWORKDAYS(H4820+1,TODAY()))))</f>
        <v/>
      </c>
      <c r="L4820" t="str">
        <f>IF(A4820="","",IFERROR(LOOKUP(2,1/(#REF!=Z4820),#REF!),Y4820))</f>
        <v/>
      </c>
      <c r="Z4820" t="str">
        <f>IF(A4820="","",TEXT(A4820,"0")&amp;"|"&amp;TEXT(H4820,"0"))</f>
        <v/>
      </c>
      <c r="AA4820" t="str">
        <f>IF(Z4820="","",IFERROR(LOOKUP(2,1/(#REF!=Z4820),#REF!),""))</f>
        <v/>
      </c>
      <c r="AB4820" t="str">
        <f>IF(Z4820="","",IFERROR(LOOKUP(2,1/(#REF!=Z4820),#REF!),""))</f>
        <v/>
      </c>
      <c r="AC4820" t="str">
        <f>IF(Z4820="","",COUNTIF(#REF!,Z4820))</f>
        <v/>
      </c>
      <c r="AD4820" t="str">
        <f>IF(A4820="","",IF(AC4820&gt;1,"REVISAR DUPLICADO",IF(AA4820&lt;&gt;"","ACTUALIZADO POR EYR","SIN REPORTE EYR")))</f>
        <v/>
      </c>
    </row>
    <row r="4821" spans="11:30" x14ac:dyDescent="0.3">
      <c r="K4821" s="1" t="str">
        <f ca="1">IF(A4821="","",IF(OR(L4821="ENTREGADA",L4821="RETORNADA",L4821="ENTREGA DIGITAL"),0,MAX(0,5-NETWORKDAYS(H4821+1,TODAY()))))</f>
        <v/>
      </c>
      <c r="L4821" t="str">
        <f>IF(A4821="","",IFERROR(LOOKUP(2,1/(#REF!=Z4821),#REF!),Y4821))</f>
        <v/>
      </c>
      <c r="Z4821" t="str">
        <f>IF(A4821="","",TEXT(A4821,"0")&amp;"|"&amp;TEXT(H4821,"0"))</f>
        <v/>
      </c>
      <c r="AA4821" t="str">
        <f>IF(Z4821="","",IFERROR(LOOKUP(2,1/(#REF!=Z4821),#REF!),""))</f>
        <v/>
      </c>
      <c r="AB4821" t="str">
        <f>IF(Z4821="","",IFERROR(LOOKUP(2,1/(#REF!=Z4821),#REF!),""))</f>
        <v/>
      </c>
      <c r="AC4821" t="str">
        <f>IF(Z4821="","",COUNTIF(#REF!,Z4821))</f>
        <v/>
      </c>
      <c r="AD4821" t="str">
        <f>IF(A4821="","",IF(AC4821&gt;1,"REVISAR DUPLICADO",IF(AA4821&lt;&gt;"","ACTUALIZADO POR EYR","SIN REPORTE EYR")))</f>
        <v/>
      </c>
    </row>
    <row r="4822" spans="11:30" x14ac:dyDescent="0.3">
      <c r="K4822" s="1" t="str">
        <f ca="1">IF(A4822="","",IF(OR(L4822="ENTREGADA",L4822="RETORNADA",L4822="ENTREGA DIGITAL"),0,MAX(0,5-NETWORKDAYS(H4822+1,TODAY()))))</f>
        <v/>
      </c>
      <c r="L4822" t="str">
        <f>IF(A4822="","",IFERROR(LOOKUP(2,1/(#REF!=Z4822),#REF!),Y4822))</f>
        <v/>
      </c>
      <c r="Z4822" t="str">
        <f>IF(A4822="","",TEXT(A4822,"0")&amp;"|"&amp;TEXT(H4822,"0"))</f>
        <v/>
      </c>
      <c r="AA4822" t="str">
        <f>IF(Z4822="","",IFERROR(LOOKUP(2,1/(#REF!=Z4822),#REF!),""))</f>
        <v/>
      </c>
      <c r="AB4822" t="str">
        <f>IF(Z4822="","",IFERROR(LOOKUP(2,1/(#REF!=Z4822),#REF!),""))</f>
        <v/>
      </c>
      <c r="AC4822" t="str">
        <f>IF(Z4822="","",COUNTIF(#REF!,Z4822))</f>
        <v/>
      </c>
      <c r="AD4822" t="str">
        <f>IF(A4822="","",IF(AC4822&gt;1,"REVISAR DUPLICADO",IF(AA4822&lt;&gt;"","ACTUALIZADO POR EYR","SIN REPORTE EYR")))</f>
        <v/>
      </c>
    </row>
    <row r="4823" spans="11:30" x14ac:dyDescent="0.3">
      <c r="K4823" s="1" t="str">
        <f ca="1">IF(A4823="","",IF(OR(L4823="ENTREGADA",L4823="RETORNADA",L4823="ENTREGA DIGITAL"),0,MAX(0,5-NETWORKDAYS(H4823+1,TODAY()))))</f>
        <v/>
      </c>
      <c r="L4823" t="str">
        <f>IF(A4823="","",IFERROR(LOOKUP(2,1/(#REF!=Z4823),#REF!),Y4823))</f>
        <v/>
      </c>
      <c r="Z4823" t="str">
        <f>IF(A4823="","",TEXT(A4823,"0")&amp;"|"&amp;TEXT(H4823,"0"))</f>
        <v/>
      </c>
      <c r="AA4823" t="str">
        <f>IF(Z4823="","",IFERROR(LOOKUP(2,1/(#REF!=Z4823),#REF!),""))</f>
        <v/>
      </c>
      <c r="AB4823" t="str">
        <f>IF(Z4823="","",IFERROR(LOOKUP(2,1/(#REF!=Z4823),#REF!),""))</f>
        <v/>
      </c>
      <c r="AC4823" t="str">
        <f>IF(Z4823="","",COUNTIF(#REF!,Z4823))</f>
        <v/>
      </c>
      <c r="AD4823" t="str">
        <f>IF(A4823="","",IF(AC4823&gt;1,"REVISAR DUPLICADO",IF(AA4823&lt;&gt;"","ACTUALIZADO POR EYR","SIN REPORTE EYR")))</f>
        <v/>
      </c>
    </row>
    <row r="4824" spans="11:30" x14ac:dyDescent="0.3">
      <c r="K4824" s="1" t="str">
        <f ca="1">IF(A4824="","",IF(OR(L4824="ENTREGADA",L4824="RETORNADA",L4824="ENTREGA DIGITAL"),0,MAX(0,5-NETWORKDAYS(H4824+1,TODAY()))))</f>
        <v/>
      </c>
      <c r="L4824" t="str">
        <f>IF(A4824="","",IFERROR(LOOKUP(2,1/(#REF!=Z4824),#REF!),Y4824))</f>
        <v/>
      </c>
      <c r="Z4824" t="str">
        <f>IF(A4824="","",TEXT(A4824,"0")&amp;"|"&amp;TEXT(H4824,"0"))</f>
        <v/>
      </c>
      <c r="AA4824" t="str">
        <f>IF(Z4824="","",IFERROR(LOOKUP(2,1/(#REF!=Z4824),#REF!),""))</f>
        <v/>
      </c>
      <c r="AB4824" t="str">
        <f>IF(Z4824="","",IFERROR(LOOKUP(2,1/(#REF!=Z4824),#REF!),""))</f>
        <v/>
      </c>
      <c r="AC4824" t="str">
        <f>IF(Z4824="","",COUNTIF(#REF!,Z4824))</f>
        <v/>
      </c>
      <c r="AD4824" t="str">
        <f>IF(A4824="","",IF(AC4824&gt;1,"REVISAR DUPLICADO",IF(AA4824&lt;&gt;"","ACTUALIZADO POR EYR","SIN REPORTE EYR")))</f>
        <v/>
      </c>
    </row>
    <row r="4825" spans="11:30" x14ac:dyDescent="0.3">
      <c r="K4825" s="1" t="str">
        <f ca="1">IF(A4825="","",IF(OR(L4825="ENTREGADA",L4825="RETORNADA",L4825="ENTREGA DIGITAL"),0,MAX(0,5-NETWORKDAYS(H4825+1,TODAY()))))</f>
        <v/>
      </c>
      <c r="L4825" t="str">
        <f>IF(A4825="","",IFERROR(LOOKUP(2,1/(#REF!=Z4825),#REF!),Y4825))</f>
        <v/>
      </c>
      <c r="Z4825" t="str">
        <f>IF(A4825="","",TEXT(A4825,"0")&amp;"|"&amp;TEXT(H4825,"0"))</f>
        <v/>
      </c>
      <c r="AA4825" t="str">
        <f>IF(Z4825="","",IFERROR(LOOKUP(2,1/(#REF!=Z4825),#REF!),""))</f>
        <v/>
      </c>
      <c r="AB4825" t="str">
        <f>IF(Z4825="","",IFERROR(LOOKUP(2,1/(#REF!=Z4825),#REF!),""))</f>
        <v/>
      </c>
      <c r="AC4825" t="str">
        <f>IF(Z4825="","",COUNTIF(#REF!,Z4825))</f>
        <v/>
      </c>
      <c r="AD4825" t="str">
        <f>IF(A4825="","",IF(AC4825&gt;1,"REVISAR DUPLICADO",IF(AA4825&lt;&gt;"","ACTUALIZADO POR EYR","SIN REPORTE EYR")))</f>
        <v/>
      </c>
    </row>
    <row r="4826" spans="11:30" x14ac:dyDescent="0.3">
      <c r="K4826" s="1" t="str">
        <f ca="1">IF(A4826="","",IF(OR(L4826="ENTREGADA",L4826="RETORNADA",L4826="ENTREGA DIGITAL"),0,MAX(0,5-NETWORKDAYS(H4826+1,TODAY()))))</f>
        <v/>
      </c>
      <c r="L4826" t="str">
        <f>IF(A4826="","",IFERROR(LOOKUP(2,1/(#REF!=Z4826),#REF!),Y4826))</f>
        <v/>
      </c>
      <c r="Z4826" t="str">
        <f>IF(A4826="","",TEXT(A4826,"0")&amp;"|"&amp;TEXT(H4826,"0"))</f>
        <v/>
      </c>
      <c r="AA4826" t="str">
        <f>IF(Z4826="","",IFERROR(LOOKUP(2,1/(#REF!=Z4826),#REF!),""))</f>
        <v/>
      </c>
      <c r="AB4826" t="str">
        <f>IF(Z4826="","",IFERROR(LOOKUP(2,1/(#REF!=Z4826),#REF!),""))</f>
        <v/>
      </c>
      <c r="AC4826" t="str">
        <f>IF(Z4826="","",COUNTIF(#REF!,Z4826))</f>
        <v/>
      </c>
      <c r="AD4826" t="str">
        <f>IF(A4826="","",IF(AC4826&gt;1,"REVISAR DUPLICADO",IF(AA4826&lt;&gt;"","ACTUALIZADO POR EYR","SIN REPORTE EYR")))</f>
        <v/>
      </c>
    </row>
    <row r="4827" spans="11:30" x14ac:dyDescent="0.3">
      <c r="K4827" s="1" t="str">
        <f ca="1">IF(A4827="","",IF(OR(L4827="ENTREGADA",L4827="RETORNADA",L4827="ENTREGA DIGITAL"),0,MAX(0,5-NETWORKDAYS(H4827+1,TODAY()))))</f>
        <v/>
      </c>
      <c r="L4827" t="str">
        <f>IF(A4827="","",IFERROR(LOOKUP(2,1/(#REF!=Z4827),#REF!),Y4827))</f>
        <v/>
      </c>
      <c r="Z4827" t="str">
        <f>IF(A4827="","",TEXT(A4827,"0")&amp;"|"&amp;TEXT(H4827,"0"))</f>
        <v/>
      </c>
      <c r="AA4827" t="str">
        <f>IF(Z4827="","",IFERROR(LOOKUP(2,1/(#REF!=Z4827),#REF!),""))</f>
        <v/>
      </c>
      <c r="AB4827" t="str">
        <f>IF(Z4827="","",IFERROR(LOOKUP(2,1/(#REF!=Z4827),#REF!),""))</f>
        <v/>
      </c>
      <c r="AC4827" t="str">
        <f>IF(Z4827="","",COUNTIF(#REF!,Z4827))</f>
        <v/>
      </c>
      <c r="AD4827" t="str">
        <f>IF(A4827="","",IF(AC4827&gt;1,"REVISAR DUPLICADO",IF(AA4827&lt;&gt;"","ACTUALIZADO POR EYR","SIN REPORTE EYR")))</f>
        <v/>
      </c>
    </row>
    <row r="4828" spans="11:30" x14ac:dyDescent="0.3">
      <c r="K4828" s="1" t="str">
        <f ca="1">IF(A4828="","",IF(OR(L4828="ENTREGADA",L4828="RETORNADA",L4828="ENTREGA DIGITAL"),0,MAX(0,5-NETWORKDAYS(H4828+1,TODAY()))))</f>
        <v/>
      </c>
      <c r="L4828" t="str">
        <f>IF(A4828="","",IFERROR(LOOKUP(2,1/(#REF!=Z4828),#REF!),Y4828))</f>
        <v/>
      </c>
      <c r="Z4828" t="str">
        <f>IF(A4828="","",TEXT(A4828,"0")&amp;"|"&amp;TEXT(H4828,"0"))</f>
        <v/>
      </c>
      <c r="AA4828" t="str">
        <f>IF(Z4828="","",IFERROR(LOOKUP(2,1/(#REF!=Z4828),#REF!),""))</f>
        <v/>
      </c>
      <c r="AB4828" t="str">
        <f>IF(Z4828="","",IFERROR(LOOKUP(2,1/(#REF!=Z4828),#REF!),""))</f>
        <v/>
      </c>
      <c r="AC4828" t="str">
        <f>IF(Z4828="","",COUNTIF(#REF!,Z4828))</f>
        <v/>
      </c>
      <c r="AD4828" t="str">
        <f>IF(A4828="","",IF(AC4828&gt;1,"REVISAR DUPLICADO",IF(AA4828&lt;&gt;"","ACTUALIZADO POR EYR","SIN REPORTE EYR")))</f>
        <v/>
      </c>
    </row>
    <row r="4829" spans="11:30" x14ac:dyDescent="0.3">
      <c r="K4829" s="1" t="str">
        <f ca="1">IF(A4829="","",IF(OR(L4829="ENTREGADA",L4829="RETORNADA",L4829="ENTREGA DIGITAL"),0,MAX(0,5-NETWORKDAYS(H4829+1,TODAY()))))</f>
        <v/>
      </c>
      <c r="L4829" t="str">
        <f>IF(A4829="","",IFERROR(LOOKUP(2,1/(#REF!=Z4829),#REF!),Y4829))</f>
        <v/>
      </c>
      <c r="Z4829" t="str">
        <f>IF(A4829="","",TEXT(A4829,"0")&amp;"|"&amp;TEXT(H4829,"0"))</f>
        <v/>
      </c>
      <c r="AA4829" t="str">
        <f>IF(Z4829="","",IFERROR(LOOKUP(2,1/(#REF!=Z4829),#REF!),""))</f>
        <v/>
      </c>
      <c r="AB4829" t="str">
        <f>IF(Z4829="","",IFERROR(LOOKUP(2,1/(#REF!=Z4829),#REF!),""))</f>
        <v/>
      </c>
      <c r="AC4829" t="str">
        <f>IF(Z4829="","",COUNTIF(#REF!,Z4829))</f>
        <v/>
      </c>
      <c r="AD4829" t="str">
        <f>IF(A4829="","",IF(AC4829&gt;1,"REVISAR DUPLICADO",IF(AA4829&lt;&gt;"","ACTUALIZADO POR EYR","SIN REPORTE EYR")))</f>
        <v/>
      </c>
    </row>
    <row r="4830" spans="11:30" x14ac:dyDescent="0.3">
      <c r="K4830" s="1" t="str">
        <f ca="1">IF(A4830="","",IF(OR(L4830="ENTREGADA",L4830="RETORNADA",L4830="ENTREGA DIGITAL"),0,MAX(0,5-NETWORKDAYS(H4830+1,TODAY()))))</f>
        <v/>
      </c>
      <c r="L4830" t="str">
        <f>IF(A4830="","",IFERROR(LOOKUP(2,1/(#REF!=Z4830),#REF!),Y4830))</f>
        <v/>
      </c>
      <c r="Z4830" t="str">
        <f>IF(A4830="","",TEXT(A4830,"0")&amp;"|"&amp;TEXT(H4830,"0"))</f>
        <v/>
      </c>
      <c r="AA4830" t="str">
        <f>IF(Z4830="","",IFERROR(LOOKUP(2,1/(#REF!=Z4830),#REF!),""))</f>
        <v/>
      </c>
      <c r="AB4830" t="str">
        <f>IF(Z4830="","",IFERROR(LOOKUP(2,1/(#REF!=Z4830),#REF!),""))</f>
        <v/>
      </c>
      <c r="AC4830" t="str">
        <f>IF(Z4830="","",COUNTIF(#REF!,Z4830))</f>
        <v/>
      </c>
      <c r="AD4830" t="str">
        <f>IF(A4830="","",IF(AC4830&gt;1,"REVISAR DUPLICADO",IF(AA4830&lt;&gt;"","ACTUALIZADO POR EYR","SIN REPORTE EYR")))</f>
        <v/>
      </c>
    </row>
    <row r="4831" spans="11:30" x14ac:dyDescent="0.3">
      <c r="K4831" s="1" t="str">
        <f ca="1">IF(A4831="","",IF(OR(L4831="ENTREGADA",L4831="RETORNADA",L4831="ENTREGA DIGITAL"),0,MAX(0,5-NETWORKDAYS(H4831+1,TODAY()))))</f>
        <v/>
      </c>
      <c r="L4831" t="str">
        <f>IF(A4831="","",IFERROR(LOOKUP(2,1/(#REF!=Z4831),#REF!),Y4831))</f>
        <v/>
      </c>
      <c r="Z4831" t="str">
        <f>IF(A4831="","",TEXT(A4831,"0")&amp;"|"&amp;TEXT(H4831,"0"))</f>
        <v/>
      </c>
      <c r="AA4831" t="str">
        <f>IF(Z4831="","",IFERROR(LOOKUP(2,1/(#REF!=Z4831),#REF!),""))</f>
        <v/>
      </c>
      <c r="AB4831" t="str">
        <f>IF(Z4831="","",IFERROR(LOOKUP(2,1/(#REF!=Z4831),#REF!),""))</f>
        <v/>
      </c>
      <c r="AC4831" t="str">
        <f>IF(Z4831="","",COUNTIF(#REF!,Z4831))</f>
        <v/>
      </c>
      <c r="AD4831" t="str">
        <f>IF(A4831="","",IF(AC4831&gt;1,"REVISAR DUPLICADO",IF(AA4831&lt;&gt;"","ACTUALIZADO POR EYR","SIN REPORTE EYR")))</f>
        <v/>
      </c>
    </row>
    <row r="4832" spans="11:30" x14ac:dyDescent="0.3">
      <c r="K4832" s="1" t="str">
        <f ca="1">IF(A4832="","",IF(OR(L4832="ENTREGADA",L4832="RETORNADA",L4832="ENTREGA DIGITAL"),0,MAX(0,5-NETWORKDAYS(H4832+1,TODAY()))))</f>
        <v/>
      </c>
      <c r="L4832" t="str">
        <f>IF(A4832="","",IFERROR(LOOKUP(2,1/(#REF!=Z4832),#REF!),Y4832))</f>
        <v/>
      </c>
      <c r="Z4832" t="str">
        <f>IF(A4832="","",TEXT(A4832,"0")&amp;"|"&amp;TEXT(H4832,"0"))</f>
        <v/>
      </c>
      <c r="AA4832" t="str">
        <f>IF(Z4832="","",IFERROR(LOOKUP(2,1/(#REF!=Z4832),#REF!),""))</f>
        <v/>
      </c>
      <c r="AB4832" t="str">
        <f>IF(Z4832="","",IFERROR(LOOKUP(2,1/(#REF!=Z4832),#REF!),""))</f>
        <v/>
      </c>
      <c r="AC4832" t="str">
        <f>IF(Z4832="","",COUNTIF(#REF!,Z4832))</f>
        <v/>
      </c>
      <c r="AD4832" t="str">
        <f>IF(A4832="","",IF(AC4832&gt;1,"REVISAR DUPLICADO",IF(AA4832&lt;&gt;"","ACTUALIZADO POR EYR","SIN REPORTE EYR")))</f>
        <v/>
      </c>
    </row>
    <row r="4833" spans="11:30" x14ac:dyDescent="0.3">
      <c r="K4833" s="1" t="str">
        <f ca="1">IF(A4833="","",IF(OR(L4833="ENTREGADA",L4833="RETORNADA",L4833="ENTREGA DIGITAL"),0,MAX(0,5-NETWORKDAYS(H4833+1,TODAY()))))</f>
        <v/>
      </c>
      <c r="L4833" t="str">
        <f>IF(A4833="","",IFERROR(LOOKUP(2,1/(#REF!=Z4833),#REF!),Y4833))</f>
        <v/>
      </c>
      <c r="Z4833" t="str">
        <f>IF(A4833="","",TEXT(A4833,"0")&amp;"|"&amp;TEXT(H4833,"0"))</f>
        <v/>
      </c>
      <c r="AA4833" t="str">
        <f>IF(Z4833="","",IFERROR(LOOKUP(2,1/(#REF!=Z4833),#REF!),""))</f>
        <v/>
      </c>
      <c r="AB4833" t="str">
        <f>IF(Z4833="","",IFERROR(LOOKUP(2,1/(#REF!=Z4833),#REF!),""))</f>
        <v/>
      </c>
      <c r="AC4833" t="str">
        <f>IF(Z4833="","",COUNTIF(#REF!,Z4833))</f>
        <v/>
      </c>
      <c r="AD4833" t="str">
        <f>IF(A4833="","",IF(AC4833&gt;1,"REVISAR DUPLICADO",IF(AA4833&lt;&gt;"","ACTUALIZADO POR EYR","SIN REPORTE EYR")))</f>
        <v/>
      </c>
    </row>
    <row r="4834" spans="11:30" x14ac:dyDescent="0.3">
      <c r="K4834" s="1" t="str">
        <f ca="1">IF(A4834="","",IF(OR(L4834="ENTREGADA",L4834="RETORNADA",L4834="ENTREGA DIGITAL"),0,MAX(0,5-NETWORKDAYS(H4834+1,TODAY()))))</f>
        <v/>
      </c>
      <c r="L4834" t="str">
        <f>IF(A4834="","",IFERROR(LOOKUP(2,1/(#REF!=Z4834),#REF!),Y4834))</f>
        <v/>
      </c>
      <c r="Z4834" t="str">
        <f>IF(A4834="","",TEXT(A4834,"0")&amp;"|"&amp;TEXT(H4834,"0"))</f>
        <v/>
      </c>
      <c r="AA4834" t="str">
        <f>IF(Z4834="","",IFERROR(LOOKUP(2,1/(#REF!=Z4834),#REF!),""))</f>
        <v/>
      </c>
      <c r="AB4834" t="str">
        <f>IF(Z4834="","",IFERROR(LOOKUP(2,1/(#REF!=Z4834),#REF!),""))</f>
        <v/>
      </c>
      <c r="AC4834" t="str">
        <f>IF(Z4834="","",COUNTIF(#REF!,Z4834))</f>
        <v/>
      </c>
      <c r="AD4834" t="str">
        <f>IF(A4834="","",IF(AC4834&gt;1,"REVISAR DUPLICADO",IF(AA4834&lt;&gt;"","ACTUALIZADO POR EYR","SIN REPORTE EYR")))</f>
        <v/>
      </c>
    </row>
    <row r="4835" spans="11:30" x14ac:dyDescent="0.3">
      <c r="K4835" s="1" t="str">
        <f ca="1">IF(A4835="","",IF(OR(L4835="ENTREGADA",L4835="RETORNADA",L4835="ENTREGA DIGITAL"),0,MAX(0,5-NETWORKDAYS(H4835+1,TODAY()))))</f>
        <v/>
      </c>
      <c r="L4835" t="str">
        <f>IF(A4835="","",IFERROR(LOOKUP(2,1/(#REF!=Z4835),#REF!),Y4835))</f>
        <v/>
      </c>
      <c r="Z4835" t="str">
        <f>IF(A4835="","",TEXT(A4835,"0")&amp;"|"&amp;TEXT(H4835,"0"))</f>
        <v/>
      </c>
      <c r="AA4835" t="str">
        <f>IF(Z4835="","",IFERROR(LOOKUP(2,1/(#REF!=Z4835),#REF!),""))</f>
        <v/>
      </c>
      <c r="AB4835" t="str">
        <f>IF(Z4835="","",IFERROR(LOOKUP(2,1/(#REF!=Z4835),#REF!),""))</f>
        <v/>
      </c>
      <c r="AC4835" t="str">
        <f>IF(Z4835="","",COUNTIF(#REF!,Z4835))</f>
        <v/>
      </c>
      <c r="AD4835" t="str">
        <f>IF(A4835="","",IF(AC4835&gt;1,"REVISAR DUPLICADO",IF(AA4835&lt;&gt;"","ACTUALIZADO POR EYR","SIN REPORTE EYR")))</f>
        <v/>
      </c>
    </row>
    <row r="4836" spans="11:30" x14ac:dyDescent="0.3">
      <c r="K4836" s="1" t="str">
        <f ca="1">IF(A4836="","",IF(OR(L4836="ENTREGADA",L4836="RETORNADA",L4836="ENTREGA DIGITAL"),0,MAX(0,5-NETWORKDAYS(H4836+1,TODAY()))))</f>
        <v/>
      </c>
      <c r="L4836" t="str">
        <f>IF(A4836="","",IFERROR(LOOKUP(2,1/(#REF!=Z4836),#REF!),Y4836))</f>
        <v/>
      </c>
      <c r="Z4836" t="str">
        <f>IF(A4836="","",TEXT(A4836,"0")&amp;"|"&amp;TEXT(H4836,"0"))</f>
        <v/>
      </c>
      <c r="AA4836" t="str">
        <f>IF(Z4836="","",IFERROR(LOOKUP(2,1/(#REF!=Z4836),#REF!),""))</f>
        <v/>
      </c>
      <c r="AB4836" t="str">
        <f>IF(Z4836="","",IFERROR(LOOKUP(2,1/(#REF!=Z4836),#REF!),""))</f>
        <v/>
      </c>
      <c r="AC4836" t="str">
        <f>IF(Z4836="","",COUNTIF(#REF!,Z4836))</f>
        <v/>
      </c>
      <c r="AD4836" t="str">
        <f>IF(A4836="","",IF(AC4836&gt;1,"REVISAR DUPLICADO",IF(AA4836&lt;&gt;"","ACTUALIZADO POR EYR","SIN REPORTE EYR")))</f>
        <v/>
      </c>
    </row>
    <row r="4837" spans="11:30" x14ac:dyDescent="0.3">
      <c r="K4837" s="1" t="str">
        <f ca="1">IF(A4837="","",IF(OR(L4837="ENTREGADA",L4837="RETORNADA",L4837="ENTREGA DIGITAL"),0,MAX(0,5-NETWORKDAYS(H4837+1,TODAY()))))</f>
        <v/>
      </c>
      <c r="L4837" t="str">
        <f>IF(A4837="","",IFERROR(LOOKUP(2,1/(#REF!=Z4837),#REF!),Y4837))</f>
        <v/>
      </c>
      <c r="Z4837" t="str">
        <f>IF(A4837="","",TEXT(A4837,"0")&amp;"|"&amp;TEXT(H4837,"0"))</f>
        <v/>
      </c>
      <c r="AA4837" t="str">
        <f>IF(Z4837="","",IFERROR(LOOKUP(2,1/(#REF!=Z4837),#REF!),""))</f>
        <v/>
      </c>
      <c r="AB4837" t="str">
        <f>IF(Z4837="","",IFERROR(LOOKUP(2,1/(#REF!=Z4837),#REF!),""))</f>
        <v/>
      </c>
      <c r="AC4837" t="str">
        <f>IF(Z4837="","",COUNTIF(#REF!,Z4837))</f>
        <v/>
      </c>
      <c r="AD4837" t="str">
        <f>IF(A4837="","",IF(AC4837&gt;1,"REVISAR DUPLICADO",IF(AA4837&lt;&gt;"","ACTUALIZADO POR EYR","SIN REPORTE EYR")))</f>
        <v/>
      </c>
    </row>
    <row r="4838" spans="11:30" x14ac:dyDescent="0.3">
      <c r="K4838" s="1" t="str">
        <f ca="1">IF(A4838="","",IF(OR(L4838="ENTREGADA",L4838="RETORNADA",L4838="ENTREGA DIGITAL"),0,MAX(0,5-NETWORKDAYS(H4838+1,TODAY()))))</f>
        <v/>
      </c>
      <c r="L4838" t="str">
        <f>IF(A4838="","",IFERROR(LOOKUP(2,1/(#REF!=Z4838),#REF!),Y4838))</f>
        <v/>
      </c>
      <c r="Z4838" t="str">
        <f>IF(A4838="","",TEXT(A4838,"0")&amp;"|"&amp;TEXT(H4838,"0"))</f>
        <v/>
      </c>
      <c r="AA4838" t="str">
        <f>IF(Z4838="","",IFERROR(LOOKUP(2,1/(#REF!=Z4838),#REF!),""))</f>
        <v/>
      </c>
      <c r="AB4838" t="str">
        <f>IF(Z4838="","",IFERROR(LOOKUP(2,1/(#REF!=Z4838),#REF!),""))</f>
        <v/>
      </c>
      <c r="AC4838" t="str">
        <f>IF(Z4838="","",COUNTIF(#REF!,Z4838))</f>
        <v/>
      </c>
      <c r="AD4838" t="str">
        <f>IF(A4838="","",IF(AC4838&gt;1,"REVISAR DUPLICADO",IF(AA4838&lt;&gt;"","ACTUALIZADO POR EYR","SIN REPORTE EYR")))</f>
        <v/>
      </c>
    </row>
    <row r="4839" spans="11:30" x14ac:dyDescent="0.3">
      <c r="K4839" s="1" t="str">
        <f ca="1">IF(A4839="","",IF(OR(L4839="ENTREGADA",L4839="RETORNADA",L4839="ENTREGA DIGITAL"),0,MAX(0,5-NETWORKDAYS(H4839+1,TODAY()))))</f>
        <v/>
      </c>
      <c r="L4839" t="str">
        <f>IF(A4839="","",IFERROR(LOOKUP(2,1/(#REF!=Z4839),#REF!),Y4839))</f>
        <v/>
      </c>
      <c r="Z4839" t="str">
        <f>IF(A4839="","",TEXT(A4839,"0")&amp;"|"&amp;TEXT(H4839,"0"))</f>
        <v/>
      </c>
      <c r="AA4839" t="str">
        <f>IF(Z4839="","",IFERROR(LOOKUP(2,1/(#REF!=Z4839),#REF!),""))</f>
        <v/>
      </c>
      <c r="AB4839" t="str">
        <f>IF(Z4839="","",IFERROR(LOOKUP(2,1/(#REF!=Z4839),#REF!),""))</f>
        <v/>
      </c>
      <c r="AC4839" t="str">
        <f>IF(Z4839="","",COUNTIF(#REF!,Z4839))</f>
        <v/>
      </c>
      <c r="AD4839" t="str">
        <f>IF(A4839="","",IF(AC4839&gt;1,"REVISAR DUPLICADO",IF(AA4839&lt;&gt;"","ACTUALIZADO POR EYR","SIN REPORTE EYR")))</f>
        <v/>
      </c>
    </row>
    <row r="4840" spans="11:30" x14ac:dyDescent="0.3">
      <c r="K4840" s="1" t="str">
        <f ca="1">IF(A4840="","",IF(OR(L4840="ENTREGADA",L4840="RETORNADA",L4840="ENTREGA DIGITAL"),0,MAX(0,5-NETWORKDAYS(H4840+1,TODAY()))))</f>
        <v/>
      </c>
      <c r="L4840" t="str">
        <f>IF(A4840="","",IFERROR(LOOKUP(2,1/(#REF!=Z4840),#REF!),Y4840))</f>
        <v/>
      </c>
      <c r="Z4840" t="str">
        <f>IF(A4840="","",TEXT(A4840,"0")&amp;"|"&amp;TEXT(H4840,"0"))</f>
        <v/>
      </c>
      <c r="AA4840" t="str">
        <f>IF(Z4840="","",IFERROR(LOOKUP(2,1/(#REF!=Z4840),#REF!),""))</f>
        <v/>
      </c>
      <c r="AB4840" t="str">
        <f>IF(Z4840="","",IFERROR(LOOKUP(2,1/(#REF!=Z4840),#REF!),""))</f>
        <v/>
      </c>
      <c r="AC4840" t="str">
        <f>IF(Z4840="","",COUNTIF(#REF!,Z4840))</f>
        <v/>
      </c>
      <c r="AD4840" t="str">
        <f>IF(A4840="","",IF(AC4840&gt;1,"REVISAR DUPLICADO",IF(AA4840&lt;&gt;"","ACTUALIZADO POR EYR","SIN REPORTE EYR")))</f>
        <v/>
      </c>
    </row>
    <row r="4841" spans="11:30" x14ac:dyDescent="0.3">
      <c r="K4841" s="1" t="str">
        <f ca="1">IF(A4841="","",IF(OR(L4841="ENTREGADA",L4841="RETORNADA",L4841="ENTREGA DIGITAL"),0,MAX(0,5-NETWORKDAYS(H4841+1,TODAY()))))</f>
        <v/>
      </c>
      <c r="L4841" t="str">
        <f>IF(A4841="","",IFERROR(LOOKUP(2,1/(#REF!=Z4841),#REF!),Y4841))</f>
        <v/>
      </c>
      <c r="Z4841" t="str">
        <f>IF(A4841="","",TEXT(A4841,"0")&amp;"|"&amp;TEXT(H4841,"0"))</f>
        <v/>
      </c>
      <c r="AA4841" t="str">
        <f>IF(Z4841="","",IFERROR(LOOKUP(2,1/(#REF!=Z4841),#REF!),""))</f>
        <v/>
      </c>
      <c r="AB4841" t="str">
        <f>IF(Z4841="","",IFERROR(LOOKUP(2,1/(#REF!=Z4841),#REF!),""))</f>
        <v/>
      </c>
      <c r="AC4841" t="str">
        <f>IF(Z4841="","",COUNTIF(#REF!,Z4841))</f>
        <v/>
      </c>
      <c r="AD4841" t="str">
        <f>IF(A4841="","",IF(AC4841&gt;1,"REVISAR DUPLICADO",IF(AA4841&lt;&gt;"","ACTUALIZADO POR EYR","SIN REPORTE EYR")))</f>
        <v/>
      </c>
    </row>
    <row r="4842" spans="11:30" x14ac:dyDescent="0.3">
      <c r="K4842" s="1" t="str">
        <f ca="1">IF(A4842="","",IF(OR(L4842="ENTREGADA",L4842="RETORNADA",L4842="ENTREGA DIGITAL"),0,MAX(0,5-NETWORKDAYS(H4842+1,TODAY()))))</f>
        <v/>
      </c>
      <c r="L4842" t="str">
        <f>IF(A4842="","",IFERROR(LOOKUP(2,1/(#REF!=Z4842),#REF!),Y4842))</f>
        <v/>
      </c>
      <c r="Z4842" t="str">
        <f>IF(A4842="","",TEXT(A4842,"0")&amp;"|"&amp;TEXT(H4842,"0"))</f>
        <v/>
      </c>
      <c r="AA4842" t="str">
        <f>IF(Z4842="","",IFERROR(LOOKUP(2,1/(#REF!=Z4842),#REF!),""))</f>
        <v/>
      </c>
      <c r="AB4842" t="str">
        <f>IF(Z4842="","",IFERROR(LOOKUP(2,1/(#REF!=Z4842),#REF!),""))</f>
        <v/>
      </c>
      <c r="AC4842" t="str">
        <f>IF(Z4842="","",COUNTIF(#REF!,Z4842))</f>
        <v/>
      </c>
      <c r="AD4842" t="str">
        <f>IF(A4842="","",IF(AC4842&gt;1,"REVISAR DUPLICADO",IF(AA4842&lt;&gt;"","ACTUALIZADO POR EYR","SIN REPORTE EYR")))</f>
        <v/>
      </c>
    </row>
    <row r="4843" spans="11:30" x14ac:dyDescent="0.3">
      <c r="K4843" s="1" t="str">
        <f ca="1">IF(A4843="","",IF(OR(L4843="ENTREGADA",L4843="RETORNADA",L4843="ENTREGA DIGITAL"),0,MAX(0,5-NETWORKDAYS(H4843+1,TODAY()))))</f>
        <v/>
      </c>
      <c r="L4843" t="str">
        <f>IF(A4843="","",IFERROR(LOOKUP(2,1/(#REF!=Z4843),#REF!),Y4843))</f>
        <v/>
      </c>
      <c r="Z4843" t="str">
        <f>IF(A4843="","",TEXT(A4843,"0")&amp;"|"&amp;TEXT(H4843,"0"))</f>
        <v/>
      </c>
      <c r="AA4843" t="str">
        <f>IF(Z4843="","",IFERROR(LOOKUP(2,1/(#REF!=Z4843),#REF!),""))</f>
        <v/>
      </c>
      <c r="AB4843" t="str">
        <f>IF(Z4843="","",IFERROR(LOOKUP(2,1/(#REF!=Z4843),#REF!),""))</f>
        <v/>
      </c>
      <c r="AC4843" t="str">
        <f>IF(Z4843="","",COUNTIF(#REF!,Z4843))</f>
        <v/>
      </c>
      <c r="AD4843" t="str">
        <f>IF(A4843="","",IF(AC4843&gt;1,"REVISAR DUPLICADO",IF(AA4843&lt;&gt;"","ACTUALIZADO POR EYR","SIN REPORTE EYR")))</f>
        <v/>
      </c>
    </row>
    <row r="4844" spans="11:30" x14ac:dyDescent="0.3">
      <c r="K4844" s="1" t="str">
        <f ca="1">IF(A4844="","",IF(OR(L4844="ENTREGADA",L4844="RETORNADA",L4844="ENTREGA DIGITAL"),0,MAX(0,5-NETWORKDAYS(H4844+1,TODAY()))))</f>
        <v/>
      </c>
      <c r="L4844" t="str">
        <f>IF(A4844="","",IFERROR(LOOKUP(2,1/(#REF!=Z4844),#REF!),Y4844))</f>
        <v/>
      </c>
      <c r="Z4844" t="str">
        <f>IF(A4844="","",TEXT(A4844,"0")&amp;"|"&amp;TEXT(H4844,"0"))</f>
        <v/>
      </c>
      <c r="AA4844" t="str">
        <f>IF(Z4844="","",IFERROR(LOOKUP(2,1/(#REF!=Z4844),#REF!),""))</f>
        <v/>
      </c>
      <c r="AB4844" t="str">
        <f>IF(Z4844="","",IFERROR(LOOKUP(2,1/(#REF!=Z4844),#REF!),""))</f>
        <v/>
      </c>
      <c r="AC4844" t="str">
        <f>IF(Z4844="","",COUNTIF(#REF!,Z4844))</f>
        <v/>
      </c>
      <c r="AD4844" t="str">
        <f>IF(A4844="","",IF(AC4844&gt;1,"REVISAR DUPLICADO",IF(AA4844&lt;&gt;"","ACTUALIZADO POR EYR","SIN REPORTE EYR")))</f>
        <v/>
      </c>
    </row>
    <row r="4845" spans="11:30" x14ac:dyDescent="0.3">
      <c r="K4845" s="1" t="str">
        <f ca="1">IF(A4845="","",IF(OR(L4845="ENTREGADA",L4845="RETORNADA",L4845="ENTREGA DIGITAL"),0,MAX(0,5-NETWORKDAYS(H4845+1,TODAY()))))</f>
        <v/>
      </c>
      <c r="L4845" t="str">
        <f>IF(A4845="","",IFERROR(LOOKUP(2,1/(#REF!=Z4845),#REF!),Y4845))</f>
        <v/>
      </c>
      <c r="Z4845" t="str">
        <f>IF(A4845="","",TEXT(A4845,"0")&amp;"|"&amp;TEXT(H4845,"0"))</f>
        <v/>
      </c>
      <c r="AA4845" t="str">
        <f>IF(Z4845="","",IFERROR(LOOKUP(2,1/(#REF!=Z4845),#REF!),""))</f>
        <v/>
      </c>
      <c r="AB4845" t="str">
        <f>IF(Z4845="","",IFERROR(LOOKUP(2,1/(#REF!=Z4845),#REF!),""))</f>
        <v/>
      </c>
      <c r="AC4845" t="str">
        <f>IF(Z4845="","",COUNTIF(#REF!,Z4845))</f>
        <v/>
      </c>
      <c r="AD4845" t="str">
        <f>IF(A4845="","",IF(AC4845&gt;1,"REVISAR DUPLICADO",IF(AA4845&lt;&gt;"","ACTUALIZADO POR EYR","SIN REPORTE EYR")))</f>
        <v/>
      </c>
    </row>
    <row r="4846" spans="11:30" x14ac:dyDescent="0.3">
      <c r="K4846" s="1" t="str">
        <f ca="1">IF(A4846="","",IF(OR(L4846="ENTREGADA",L4846="RETORNADA",L4846="ENTREGA DIGITAL"),0,MAX(0,5-NETWORKDAYS(H4846+1,TODAY()))))</f>
        <v/>
      </c>
      <c r="L4846" t="str">
        <f>IF(A4846="","",IFERROR(LOOKUP(2,1/(#REF!=Z4846),#REF!),Y4846))</f>
        <v/>
      </c>
      <c r="Z4846" t="str">
        <f>IF(A4846="","",TEXT(A4846,"0")&amp;"|"&amp;TEXT(H4846,"0"))</f>
        <v/>
      </c>
      <c r="AA4846" t="str">
        <f>IF(Z4846="","",IFERROR(LOOKUP(2,1/(#REF!=Z4846),#REF!),""))</f>
        <v/>
      </c>
      <c r="AB4846" t="str">
        <f>IF(Z4846="","",IFERROR(LOOKUP(2,1/(#REF!=Z4846),#REF!),""))</f>
        <v/>
      </c>
      <c r="AC4846" t="str">
        <f>IF(Z4846="","",COUNTIF(#REF!,Z4846))</f>
        <v/>
      </c>
      <c r="AD4846" t="str">
        <f>IF(A4846="","",IF(AC4846&gt;1,"REVISAR DUPLICADO",IF(AA4846&lt;&gt;"","ACTUALIZADO POR EYR","SIN REPORTE EYR")))</f>
        <v/>
      </c>
    </row>
    <row r="4847" spans="11:30" x14ac:dyDescent="0.3">
      <c r="K4847" s="1" t="str">
        <f ca="1">IF(A4847="","",IF(OR(L4847="ENTREGADA",L4847="RETORNADA",L4847="ENTREGA DIGITAL"),0,MAX(0,5-NETWORKDAYS(H4847+1,TODAY()))))</f>
        <v/>
      </c>
      <c r="L4847" t="str">
        <f>IF(A4847="","",IFERROR(LOOKUP(2,1/(#REF!=Z4847),#REF!),Y4847))</f>
        <v/>
      </c>
      <c r="Z4847" t="str">
        <f>IF(A4847="","",TEXT(A4847,"0")&amp;"|"&amp;TEXT(H4847,"0"))</f>
        <v/>
      </c>
      <c r="AA4847" t="str">
        <f>IF(Z4847="","",IFERROR(LOOKUP(2,1/(#REF!=Z4847),#REF!),""))</f>
        <v/>
      </c>
      <c r="AB4847" t="str">
        <f>IF(Z4847="","",IFERROR(LOOKUP(2,1/(#REF!=Z4847),#REF!),""))</f>
        <v/>
      </c>
      <c r="AC4847" t="str">
        <f>IF(Z4847="","",COUNTIF(#REF!,Z4847))</f>
        <v/>
      </c>
      <c r="AD4847" t="str">
        <f>IF(A4847="","",IF(AC4847&gt;1,"REVISAR DUPLICADO",IF(AA4847&lt;&gt;"","ACTUALIZADO POR EYR","SIN REPORTE EYR")))</f>
        <v/>
      </c>
    </row>
    <row r="4848" spans="11:30" x14ac:dyDescent="0.3">
      <c r="K4848" s="1" t="str">
        <f ca="1">IF(A4848="","",IF(OR(L4848="ENTREGADA",L4848="RETORNADA",L4848="ENTREGA DIGITAL"),0,MAX(0,5-NETWORKDAYS(H4848+1,TODAY()))))</f>
        <v/>
      </c>
      <c r="L4848" t="str">
        <f>IF(A4848="","",IFERROR(LOOKUP(2,1/(#REF!=Z4848),#REF!),Y4848))</f>
        <v/>
      </c>
      <c r="Z4848" t="str">
        <f>IF(A4848="","",TEXT(A4848,"0")&amp;"|"&amp;TEXT(H4848,"0"))</f>
        <v/>
      </c>
      <c r="AA4848" t="str">
        <f>IF(Z4848="","",IFERROR(LOOKUP(2,1/(#REF!=Z4848),#REF!),""))</f>
        <v/>
      </c>
      <c r="AB4848" t="str">
        <f>IF(Z4848="","",IFERROR(LOOKUP(2,1/(#REF!=Z4848),#REF!),""))</f>
        <v/>
      </c>
      <c r="AC4848" t="str">
        <f>IF(Z4848="","",COUNTIF(#REF!,Z4848))</f>
        <v/>
      </c>
      <c r="AD4848" t="str">
        <f>IF(A4848="","",IF(AC4848&gt;1,"REVISAR DUPLICADO",IF(AA4848&lt;&gt;"","ACTUALIZADO POR EYR","SIN REPORTE EYR")))</f>
        <v/>
      </c>
    </row>
    <row r="4849" spans="11:30" x14ac:dyDescent="0.3">
      <c r="K4849" s="1" t="str">
        <f ca="1">IF(A4849="","",IF(OR(L4849="ENTREGADA",L4849="RETORNADA",L4849="ENTREGA DIGITAL"),0,MAX(0,5-NETWORKDAYS(H4849+1,TODAY()))))</f>
        <v/>
      </c>
      <c r="L4849" t="str">
        <f>IF(A4849="","",IFERROR(LOOKUP(2,1/(#REF!=Z4849),#REF!),Y4849))</f>
        <v/>
      </c>
      <c r="Z4849" t="str">
        <f>IF(A4849="","",TEXT(A4849,"0")&amp;"|"&amp;TEXT(H4849,"0"))</f>
        <v/>
      </c>
      <c r="AA4849" t="str">
        <f>IF(Z4849="","",IFERROR(LOOKUP(2,1/(#REF!=Z4849),#REF!),""))</f>
        <v/>
      </c>
      <c r="AB4849" t="str">
        <f>IF(Z4849="","",IFERROR(LOOKUP(2,1/(#REF!=Z4849),#REF!),""))</f>
        <v/>
      </c>
      <c r="AC4849" t="str">
        <f>IF(Z4849="","",COUNTIF(#REF!,Z4849))</f>
        <v/>
      </c>
      <c r="AD4849" t="str">
        <f>IF(A4849="","",IF(AC4849&gt;1,"REVISAR DUPLICADO",IF(AA4849&lt;&gt;"","ACTUALIZADO POR EYR","SIN REPORTE EYR")))</f>
        <v/>
      </c>
    </row>
    <row r="4850" spans="11:30" x14ac:dyDescent="0.3">
      <c r="K4850" s="1" t="str">
        <f ca="1">IF(A4850="","",IF(OR(L4850="ENTREGADA",L4850="RETORNADA",L4850="ENTREGA DIGITAL"),0,MAX(0,5-NETWORKDAYS(H4850+1,TODAY()))))</f>
        <v/>
      </c>
      <c r="L4850" t="str">
        <f>IF(A4850="","",IFERROR(LOOKUP(2,1/(#REF!=Z4850),#REF!),Y4850))</f>
        <v/>
      </c>
      <c r="Z4850" t="str">
        <f>IF(A4850="","",TEXT(A4850,"0")&amp;"|"&amp;TEXT(H4850,"0"))</f>
        <v/>
      </c>
      <c r="AA4850" t="str">
        <f>IF(Z4850="","",IFERROR(LOOKUP(2,1/(#REF!=Z4850),#REF!),""))</f>
        <v/>
      </c>
      <c r="AB4850" t="str">
        <f>IF(Z4850="","",IFERROR(LOOKUP(2,1/(#REF!=Z4850),#REF!),""))</f>
        <v/>
      </c>
      <c r="AC4850" t="str">
        <f>IF(Z4850="","",COUNTIF(#REF!,Z4850))</f>
        <v/>
      </c>
      <c r="AD4850" t="str">
        <f>IF(A4850="","",IF(AC4850&gt;1,"REVISAR DUPLICADO",IF(AA4850&lt;&gt;"","ACTUALIZADO POR EYR","SIN REPORTE EYR")))</f>
        <v/>
      </c>
    </row>
    <row r="4851" spans="11:30" x14ac:dyDescent="0.3">
      <c r="K4851" s="1" t="str">
        <f ca="1">IF(A4851="","",IF(OR(L4851="ENTREGADA",L4851="RETORNADA",L4851="ENTREGA DIGITAL"),0,MAX(0,5-NETWORKDAYS(H4851+1,TODAY()))))</f>
        <v/>
      </c>
      <c r="L4851" t="str">
        <f>IF(A4851="","",IFERROR(LOOKUP(2,1/(#REF!=Z4851),#REF!),Y4851))</f>
        <v/>
      </c>
      <c r="Z4851" t="str">
        <f>IF(A4851="","",TEXT(A4851,"0")&amp;"|"&amp;TEXT(H4851,"0"))</f>
        <v/>
      </c>
      <c r="AA4851" t="str">
        <f>IF(Z4851="","",IFERROR(LOOKUP(2,1/(#REF!=Z4851),#REF!),""))</f>
        <v/>
      </c>
      <c r="AB4851" t="str">
        <f>IF(Z4851="","",IFERROR(LOOKUP(2,1/(#REF!=Z4851),#REF!),""))</f>
        <v/>
      </c>
      <c r="AC4851" t="str">
        <f>IF(Z4851="","",COUNTIF(#REF!,Z4851))</f>
        <v/>
      </c>
      <c r="AD4851" t="str">
        <f>IF(A4851="","",IF(AC4851&gt;1,"REVISAR DUPLICADO",IF(AA4851&lt;&gt;"","ACTUALIZADO POR EYR","SIN REPORTE EYR")))</f>
        <v/>
      </c>
    </row>
    <row r="4852" spans="11:30" x14ac:dyDescent="0.3">
      <c r="K4852" s="1" t="str">
        <f ca="1">IF(A4852="","",IF(OR(L4852="ENTREGADA",L4852="RETORNADA",L4852="ENTREGA DIGITAL"),0,MAX(0,5-NETWORKDAYS(H4852+1,TODAY()))))</f>
        <v/>
      </c>
      <c r="L4852" t="str">
        <f>IF(A4852="","",IFERROR(LOOKUP(2,1/(#REF!=Z4852),#REF!),Y4852))</f>
        <v/>
      </c>
      <c r="Z4852" t="str">
        <f>IF(A4852="","",TEXT(A4852,"0")&amp;"|"&amp;TEXT(H4852,"0"))</f>
        <v/>
      </c>
      <c r="AA4852" t="str">
        <f>IF(Z4852="","",IFERROR(LOOKUP(2,1/(#REF!=Z4852),#REF!),""))</f>
        <v/>
      </c>
      <c r="AB4852" t="str">
        <f>IF(Z4852="","",IFERROR(LOOKUP(2,1/(#REF!=Z4852),#REF!),""))</f>
        <v/>
      </c>
      <c r="AC4852" t="str">
        <f>IF(Z4852="","",COUNTIF(#REF!,Z4852))</f>
        <v/>
      </c>
      <c r="AD4852" t="str">
        <f>IF(A4852="","",IF(AC4852&gt;1,"REVISAR DUPLICADO",IF(AA4852&lt;&gt;"","ACTUALIZADO POR EYR","SIN REPORTE EYR")))</f>
        <v/>
      </c>
    </row>
    <row r="4853" spans="11:30" x14ac:dyDescent="0.3">
      <c r="K4853" s="1" t="str">
        <f ca="1">IF(A4853="","",IF(OR(L4853="ENTREGADA",L4853="RETORNADA",L4853="ENTREGA DIGITAL"),0,MAX(0,5-NETWORKDAYS(H4853+1,TODAY()))))</f>
        <v/>
      </c>
      <c r="L4853" t="str">
        <f>IF(A4853="","",IFERROR(LOOKUP(2,1/(#REF!=Z4853),#REF!),Y4853))</f>
        <v/>
      </c>
      <c r="Z4853" t="str">
        <f>IF(A4853="","",TEXT(A4853,"0")&amp;"|"&amp;TEXT(H4853,"0"))</f>
        <v/>
      </c>
      <c r="AA4853" t="str">
        <f>IF(Z4853="","",IFERROR(LOOKUP(2,1/(#REF!=Z4853),#REF!),""))</f>
        <v/>
      </c>
      <c r="AB4853" t="str">
        <f>IF(Z4853="","",IFERROR(LOOKUP(2,1/(#REF!=Z4853),#REF!),""))</f>
        <v/>
      </c>
      <c r="AC4853" t="str">
        <f>IF(Z4853="","",COUNTIF(#REF!,Z4853))</f>
        <v/>
      </c>
      <c r="AD4853" t="str">
        <f>IF(A4853="","",IF(AC4853&gt;1,"REVISAR DUPLICADO",IF(AA4853&lt;&gt;"","ACTUALIZADO POR EYR","SIN REPORTE EYR")))</f>
        <v/>
      </c>
    </row>
    <row r="4854" spans="11:30" x14ac:dyDescent="0.3">
      <c r="K4854" s="1" t="str">
        <f ca="1">IF(A4854="","",IF(OR(L4854="ENTREGADA",L4854="RETORNADA",L4854="ENTREGA DIGITAL"),0,MAX(0,5-NETWORKDAYS(H4854+1,TODAY()))))</f>
        <v/>
      </c>
      <c r="L4854" t="str">
        <f>IF(A4854="","",IFERROR(LOOKUP(2,1/(#REF!=Z4854),#REF!),Y4854))</f>
        <v/>
      </c>
      <c r="Z4854" t="str">
        <f>IF(A4854="","",TEXT(A4854,"0")&amp;"|"&amp;TEXT(H4854,"0"))</f>
        <v/>
      </c>
      <c r="AA4854" t="str">
        <f>IF(Z4854="","",IFERROR(LOOKUP(2,1/(#REF!=Z4854),#REF!),""))</f>
        <v/>
      </c>
      <c r="AB4854" t="str">
        <f>IF(Z4854="","",IFERROR(LOOKUP(2,1/(#REF!=Z4854),#REF!),""))</f>
        <v/>
      </c>
      <c r="AC4854" t="str">
        <f>IF(Z4854="","",COUNTIF(#REF!,Z4854))</f>
        <v/>
      </c>
      <c r="AD4854" t="str">
        <f>IF(A4854="","",IF(AC4854&gt;1,"REVISAR DUPLICADO",IF(AA4854&lt;&gt;"","ACTUALIZADO POR EYR","SIN REPORTE EYR")))</f>
        <v/>
      </c>
    </row>
    <row r="4855" spans="11:30" x14ac:dyDescent="0.3">
      <c r="K4855" s="1" t="str">
        <f ca="1">IF(A4855="","",IF(OR(L4855="ENTREGADA",L4855="RETORNADA",L4855="ENTREGA DIGITAL"),0,MAX(0,5-NETWORKDAYS(H4855+1,TODAY()))))</f>
        <v/>
      </c>
      <c r="L4855" t="str">
        <f>IF(A4855="","",IFERROR(LOOKUP(2,1/(#REF!=Z4855),#REF!),Y4855))</f>
        <v/>
      </c>
      <c r="Z4855" t="str">
        <f>IF(A4855="","",TEXT(A4855,"0")&amp;"|"&amp;TEXT(H4855,"0"))</f>
        <v/>
      </c>
      <c r="AA4855" t="str">
        <f>IF(Z4855="","",IFERROR(LOOKUP(2,1/(#REF!=Z4855),#REF!),""))</f>
        <v/>
      </c>
      <c r="AB4855" t="str">
        <f>IF(Z4855="","",IFERROR(LOOKUP(2,1/(#REF!=Z4855),#REF!),""))</f>
        <v/>
      </c>
      <c r="AC4855" t="str">
        <f>IF(Z4855="","",COUNTIF(#REF!,Z4855))</f>
        <v/>
      </c>
      <c r="AD4855" t="str">
        <f>IF(A4855="","",IF(AC4855&gt;1,"REVISAR DUPLICADO",IF(AA4855&lt;&gt;"","ACTUALIZADO POR EYR","SIN REPORTE EYR")))</f>
        <v/>
      </c>
    </row>
    <row r="4856" spans="11:30" x14ac:dyDescent="0.3">
      <c r="K4856" s="1" t="str">
        <f ca="1">IF(A4856="","",IF(OR(L4856="ENTREGADA",L4856="RETORNADA",L4856="ENTREGA DIGITAL"),0,MAX(0,5-NETWORKDAYS(H4856+1,TODAY()))))</f>
        <v/>
      </c>
      <c r="L4856" t="str">
        <f>IF(A4856="","",IFERROR(LOOKUP(2,1/(#REF!=Z4856),#REF!),Y4856))</f>
        <v/>
      </c>
      <c r="Z4856" t="str">
        <f>IF(A4856="","",TEXT(A4856,"0")&amp;"|"&amp;TEXT(H4856,"0"))</f>
        <v/>
      </c>
      <c r="AA4856" t="str">
        <f>IF(Z4856="","",IFERROR(LOOKUP(2,1/(#REF!=Z4856),#REF!),""))</f>
        <v/>
      </c>
      <c r="AB4856" t="str">
        <f>IF(Z4856="","",IFERROR(LOOKUP(2,1/(#REF!=Z4856),#REF!),""))</f>
        <v/>
      </c>
      <c r="AC4856" t="str">
        <f>IF(Z4856="","",COUNTIF(#REF!,Z4856))</f>
        <v/>
      </c>
      <c r="AD4856" t="str">
        <f>IF(A4856="","",IF(AC4856&gt;1,"REVISAR DUPLICADO",IF(AA4856&lt;&gt;"","ACTUALIZADO POR EYR","SIN REPORTE EYR")))</f>
        <v/>
      </c>
    </row>
    <row r="4857" spans="11:30" x14ac:dyDescent="0.3">
      <c r="K4857" s="1" t="str">
        <f ca="1">IF(A4857="","",IF(OR(L4857="ENTREGADA",L4857="RETORNADA",L4857="ENTREGA DIGITAL"),0,MAX(0,5-NETWORKDAYS(H4857+1,TODAY()))))</f>
        <v/>
      </c>
      <c r="L4857" t="str">
        <f>IF(A4857="","",IFERROR(LOOKUP(2,1/(#REF!=Z4857),#REF!),Y4857))</f>
        <v/>
      </c>
      <c r="Z4857" t="str">
        <f>IF(A4857="","",TEXT(A4857,"0")&amp;"|"&amp;TEXT(H4857,"0"))</f>
        <v/>
      </c>
      <c r="AA4857" t="str">
        <f>IF(Z4857="","",IFERROR(LOOKUP(2,1/(#REF!=Z4857),#REF!),""))</f>
        <v/>
      </c>
      <c r="AB4857" t="str">
        <f>IF(Z4857="","",IFERROR(LOOKUP(2,1/(#REF!=Z4857),#REF!),""))</f>
        <v/>
      </c>
      <c r="AC4857" t="str">
        <f>IF(Z4857="","",COUNTIF(#REF!,Z4857))</f>
        <v/>
      </c>
      <c r="AD4857" t="str">
        <f>IF(A4857="","",IF(AC4857&gt;1,"REVISAR DUPLICADO",IF(AA4857&lt;&gt;"","ACTUALIZADO POR EYR","SIN REPORTE EYR")))</f>
        <v/>
      </c>
    </row>
    <row r="4858" spans="11:30" x14ac:dyDescent="0.3">
      <c r="K4858" s="1" t="str">
        <f ca="1">IF(A4858="","",IF(OR(L4858="ENTREGADA",L4858="RETORNADA",L4858="ENTREGA DIGITAL"),0,MAX(0,5-NETWORKDAYS(H4858+1,TODAY()))))</f>
        <v/>
      </c>
      <c r="L4858" t="str">
        <f>IF(A4858="","",IFERROR(LOOKUP(2,1/(#REF!=Z4858),#REF!),Y4858))</f>
        <v/>
      </c>
      <c r="Z4858" t="str">
        <f>IF(A4858="","",TEXT(A4858,"0")&amp;"|"&amp;TEXT(H4858,"0"))</f>
        <v/>
      </c>
      <c r="AA4858" t="str">
        <f>IF(Z4858="","",IFERROR(LOOKUP(2,1/(#REF!=Z4858),#REF!),""))</f>
        <v/>
      </c>
      <c r="AB4858" t="str">
        <f>IF(Z4858="","",IFERROR(LOOKUP(2,1/(#REF!=Z4858),#REF!),""))</f>
        <v/>
      </c>
      <c r="AC4858" t="str">
        <f>IF(Z4858="","",COUNTIF(#REF!,Z4858))</f>
        <v/>
      </c>
      <c r="AD4858" t="str">
        <f>IF(A4858="","",IF(AC4858&gt;1,"REVISAR DUPLICADO",IF(AA4858&lt;&gt;"","ACTUALIZADO POR EYR","SIN REPORTE EYR")))</f>
        <v/>
      </c>
    </row>
    <row r="4859" spans="11:30" x14ac:dyDescent="0.3">
      <c r="K4859" s="1" t="str">
        <f ca="1">IF(A4859="","",IF(OR(L4859="ENTREGADA",L4859="RETORNADA",L4859="ENTREGA DIGITAL"),0,MAX(0,5-NETWORKDAYS(H4859+1,TODAY()))))</f>
        <v/>
      </c>
      <c r="L4859" t="str">
        <f>IF(A4859="","",IFERROR(LOOKUP(2,1/(#REF!=Z4859),#REF!),Y4859))</f>
        <v/>
      </c>
      <c r="Z4859" t="str">
        <f>IF(A4859="","",TEXT(A4859,"0")&amp;"|"&amp;TEXT(H4859,"0"))</f>
        <v/>
      </c>
      <c r="AA4859" t="str">
        <f>IF(Z4859="","",IFERROR(LOOKUP(2,1/(#REF!=Z4859),#REF!),""))</f>
        <v/>
      </c>
      <c r="AB4859" t="str">
        <f>IF(Z4859="","",IFERROR(LOOKUP(2,1/(#REF!=Z4859),#REF!),""))</f>
        <v/>
      </c>
      <c r="AC4859" t="str">
        <f>IF(Z4859="","",COUNTIF(#REF!,Z4859))</f>
        <v/>
      </c>
      <c r="AD4859" t="str">
        <f>IF(A4859="","",IF(AC4859&gt;1,"REVISAR DUPLICADO",IF(AA4859&lt;&gt;"","ACTUALIZADO POR EYR","SIN REPORTE EYR")))</f>
        <v/>
      </c>
    </row>
    <row r="4860" spans="11:30" x14ac:dyDescent="0.3">
      <c r="K4860" s="1" t="str">
        <f ca="1">IF(A4860="","",IF(OR(L4860="ENTREGADA",L4860="RETORNADA",L4860="ENTREGA DIGITAL"),0,MAX(0,5-NETWORKDAYS(H4860+1,TODAY()))))</f>
        <v/>
      </c>
      <c r="L4860" t="str">
        <f>IF(A4860="","",IFERROR(LOOKUP(2,1/(#REF!=Z4860),#REF!),Y4860))</f>
        <v/>
      </c>
      <c r="Z4860" t="str">
        <f>IF(A4860="","",TEXT(A4860,"0")&amp;"|"&amp;TEXT(H4860,"0"))</f>
        <v/>
      </c>
      <c r="AA4860" t="str">
        <f>IF(Z4860="","",IFERROR(LOOKUP(2,1/(#REF!=Z4860),#REF!),""))</f>
        <v/>
      </c>
      <c r="AB4860" t="str">
        <f>IF(Z4860="","",IFERROR(LOOKUP(2,1/(#REF!=Z4860),#REF!),""))</f>
        <v/>
      </c>
      <c r="AC4860" t="str">
        <f>IF(Z4860="","",COUNTIF(#REF!,Z4860))</f>
        <v/>
      </c>
      <c r="AD4860" t="str">
        <f>IF(A4860="","",IF(AC4860&gt;1,"REVISAR DUPLICADO",IF(AA4860&lt;&gt;"","ACTUALIZADO POR EYR","SIN REPORTE EYR")))</f>
        <v/>
      </c>
    </row>
    <row r="4861" spans="11:30" x14ac:dyDescent="0.3">
      <c r="K4861" s="1" t="str">
        <f ca="1">IF(A4861="","",IF(OR(L4861="ENTREGADA",L4861="RETORNADA",L4861="ENTREGA DIGITAL"),0,MAX(0,5-NETWORKDAYS(H4861+1,TODAY()))))</f>
        <v/>
      </c>
      <c r="L4861" t="str">
        <f>IF(A4861="","",IFERROR(LOOKUP(2,1/(#REF!=Z4861),#REF!),Y4861))</f>
        <v/>
      </c>
      <c r="Z4861" t="str">
        <f>IF(A4861="","",TEXT(A4861,"0")&amp;"|"&amp;TEXT(H4861,"0"))</f>
        <v/>
      </c>
      <c r="AA4861" t="str">
        <f>IF(Z4861="","",IFERROR(LOOKUP(2,1/(#REF!=Z4861),#REF!),""))</f>
        <v/>
      </c>
      <c r="AB4861" t="str">
        <f>IF(Z4861="","",IFERROR(LOOKUP(2,1/(#REF!=Z4861),#REF!),""))</f>
        <v/>
      </c>
      <c r="AC4861" t="str">
        <f>IF(Z4861="","",COUNTIF(#REF!,Z4861))</f>
        <v/>
      </c>
      <c r="AD4861" t="str">
        <f>IF(A4861="","",IF(AC4861&gt;1,"REVISAR DUPLICADO",IF(AA4861&lt;&gt;"","ACTUALIZADO POR EYR","SIN REPORTE EYR")))</f>
        <v/>
      </c>
    </row>
    <row r="4862" spans="11:30" x14ac:dyDescent="0.3">
      <c r="K4862" s="1" t="str">
        <f ca="1">IF(A4862="","",IF(OR(L4862="ENTREGADA",L4862="RETORNADA",L4862="ENTREGA DIGITAL"),0,MAX(0,5-NETWORKDAYS(H4862+1,TODAY()))))</f>
        <v/>
      </c>
      <c r="L4862" t="str">
        <f>IF(A4862="","",IFERROR(LOOKUP(2,1/(#REF!=Z4862),#REF!),Y4862))</f>
        <v/>
      </c>
      <c r="Z4862" t="str">
        <f>IF(A4862="","",TEXT(A4862,"0")&amp;"|"&amp;TEXT(H4862,"0"))</f>
        <v/>
      </c>
      <c r="AA4862" t="str">
        <f>IF(Z4862="","",IFERROR(LOOKUP(2,1/(#REF!=Z4862),#REF!),""))</f>
        <v/>
      </c>
      <c r="AB4862" t="str">
        <f>IF(Z4862="","",IFERROR(LOOKUP(2,1/(#REF!=Z4862),#REF!),""))</f>
        <v/>
      </c>
      <c r="AC4862" t="str">
        <f>IF(Z4862="","",COUNTIF(#REF!,Z4862))</f>
        <v/>
      </c>
      <c r="AD4862" t="str">
        <f>IF(A4862="","",IF(AC4862&gt;1,"REVISAR DUPLICADO",IF(AA4862&lt;&gt;"","ACTUALIZADO POR EYR","SIN REPORTE EYR")))</f>
        <v/>
      </c>
    </row>
    <row r="4863" spans="11:30" x14ac:dyDescent="0.3">
      <c r="K4863" s="1" t="str">
        <f ca="1">IF(A4863="","",IF(OR(L4863="ENTREGADA",L4863="RETORNADA",L4863="ENTREGA DIGITAL"),0,MAX(0,5-NETWORKDAYS(H4863+1,TODAY()))))</f>
        <v/>
      </c>
      <c r="L4863" t="str">
        <f>IF(A4863="","",IFERROR(LOOKUP(2,1/(#REF!=Z4863),#REF!),Y4863))</f>
        <v/>
      </c>
      <c r="Z4863" t="str">
        <f>IF(A4863="","",TEXT(A4863,"0")&amp;"|"&amp;TEXT(H4863,"0"))</f>
        <v/>
      </c>
      <c r="AA4863" t="str">
        <f>IF(Z4863="","",IFERROR(LOOKUP(2,1/(#REF!=Z4863),#REF!),""))</f>
        <v/>
      </c>
      <c r="AB4863" t="str">
        <f>IF(Z4863="","",IFERROR(LOOKUP(2,1/(#REF!=Z4863),#REF!),""))</f>
        <v/>
      </c>
      <c r="AC4863" t="str">
        <f>IF(Z4863="","",COUNTIF(#REF!,Z4863))</f>
        <v/>
      </c>
      <c r="AD4863" t="str">
        <f>IF(A4863="","",IF(AC4863&gt;1,"REVISAR DUPLICADO",IF(AA4863&lt;&gt;"","ACTUALIZADO POR EYR","SIN REPORTE EYR")))</f>
        <v/>
      </c>
    </row>
    <row r="4864" spans="11:30" x14ac:dyDescent="0.3">
      <c r="K4864" s="1" t="str">
        <f ca="1">IF(A4864="","",IF(OR(L4864="ENTREGADA",L4864="RETORNADA",L4864="ENTREGA DIGITAL"),0,MAX(0,5-NETWORKDAYS(H4864+1,TODAY()))))</f>
        <v/>
      </c>
      <c r="L4864" t="str">
        <f>IF(A4864="","",IFERROR(LOOKUP(2,1/(#REF!=Z4864),#REF!),Y4864))</f>
        <v/>
      </c>
      <c r="Z4864" t="str">
        <f>IF(A4864="","",TEXT(A4864,"0")&amp;"|"&amp;TEXT(H4864,"0"))</f>
        <v/>
      </c>
      <c r="AA4864" t="str">
        <f>IF(Z4864="","",IFERROR(LOOKUP(2,1/(#REF!=Z4864),#REF!),""))</f>
        <v/>
      </c>
      <c r="AB4864" t="str">
        <f>IF(Z4864="","",IFERROR(LOOKUP(2,1/(#REF!=Z4864),#REF!),""))</f>
        <v/>
      </c>
      <c r="AC4864" t="str">
        <f>IF(Z4864="","",COUNTIF(#REF!,Z4864))</f>
        <v/>
      </c>
      <c r="AD4864" t="str">
        <f>IF(A4864="","",IF(AC4864&gt;1,"REVISAR DUPLICADO",IF(AA4864&lt;&gt;"","ACTUALIZADO POR EYR","SIN REPORTE EYR")))</f>
        <v/>
      </c>
    </row>
    <row r="4865" spans="11:30" x14ac:dyDescent="0.3">
      <c r="K4865" s="1" t="str">
        <f ca="1">IF(A4865="","",IF(OR(L4865="ENTREGADA",L4865="RETORNADA",L4865="ENTREGA DIGITAL"),0,MAX(0,5-NETWORKDAYS(H4865+1,TODAY()))))</f>
        <v/>
      </c>
      <c r="L4865" t="str">
        <f>IF(A4865="","",IFERROR(LOOKUP(2,1/(#REF!=Z4865),#REF!),Y4865))</f>
        <v/>
      </c>
      <c r="Z4865" t="str">
        <f>IF(A4865="","",TEXT(A4865,"0")&amp;"|"&amp;TEXT(H4865,"0"))</f>
        <v/>
      </c>
      <c r="AA4865" t="str">
        <f>IF(Z4865="","",IFERROR(LOOKUP(2,1/(#REF!=Z4865),#REF!),""))</f>
        <v/>
      </c>
      <c r="AB4865" t="str">
        <f>IF(Z4865="","",IFERROR(LOOKUP(2,1/(#REF!=Z4865),#REF!),""))</f>
        <v/>
      </c>
      <c r="AC4865" t="str">
        <f>IF(Z4865="","",COUNTIF(#REF!,Z4865))</f>
        <v/>
      </c>
      <c r="AD4865" t="str">
        <f>IF(A4865="","",IF(AC4865&gt;1,"REVISAR DUPLICADO",IF(AA4865&lt;&gt;"","ACTUALIZADO POR EYR","SIN REPORTE EYR")))</f>
        <v/>
      </c>
    </row>
    <row r="4866" spans="11:30" x14ac:dyDescent="0.3">
      <c r="K4866" s="1" t="str">
        <f ca="1">IF(A4866="","",IF(OR(L4866="ENTREGADA",L4866="RETORNADA",L4866="ENTREGA DIGITAL"),0,MAX(0,5-NETWORKDAYS(H4866+1,TODAY()))))</f>
        <v/>
      </c>
      <c r="L4866" t="str">
        <f>IF(A4866="","",IFERROR(LOOKUP(2,1/(#REF!=Z4866),#REF!),Y4866))</f>
        <v/>
      </c>
      <c r="Z4866" t="str">
        <f>IF(A4866="","",TEXT(A4866,"0")&amp;"|"&amp;TEXT(H4866,"0"))</f>
        <v/>
      </c>
      <c r="AA4866" t="str">
        <f>IF(Z4866="","",IFERROR(LOOKUP(2,1/(#REF!=Z4866),#REF!),""))</f>
        <v/>
      </c>
      <c r="AB4866" t="str">
        <f>IF(Z4866="","",IFERROR(LOOKUP(2,1/(#REF!=Z4866),#REF!),""))</f>
        <v/>
      </c>
      <c r="AC4866" t="str">
        <f>IF(Z4866="","",COUNTIF(#REF!,Z4866))</f>
        <v/>
      </c>
      <c r="AD4866" t="str">
        <f>IF(A4866="","",IF(AC4866&gt;1,"REVISAR DUPLICADO",IF(AA4866&lt;&gt;"","ACTUALIZADO POR EYR","SIN REPORTE EYR")))</f>
        <v/>
      </c>
    </row>
    <row r="4867" spans="11:30" x14ac:dyDescent="0.3">
      <c r="K4867" s="1" t="str">
        <f ca="1">IF(A4867="","",IF(OR(L4867="ENTREGADA",L4867="RETORNADA",L4867="ENTREGA DIGITAL"),0,MAX(0,5-NETWORKDAYS(H4867+1,TODAY()))))</f>
        <v/>
      </c>
      <c r="L4867" t="str">
        <f>IF(A4867="","",IFERROR(LOOKUP(2,1/(#REF!=Z4867),#REF!),Y4867))</f>
        <v/>
      </c>
      <c r="Z4867" t="str">
        <f>IF(A4867="","",TEXT(A4867,"0")&amp;"|"&amp;TEXT(H4867,"0"))</f>
        <v/>
      </c>
      <c r="AA4867" t="str">
        <f>IF(Z4867="","",IFERROR(LOOKUP(2,1/(#REF!=Z4867),#REF!),""))</f>
        <v/>
      </c>
      <c r="AB4867" t="str">
        <f>IF(Z4867="","",IFERROR(LOOKUP(2,1/(#REF!=Z4867),#REF!),""))</f>
        <v/>
      </c>
      <c r="AC4867" t="str">
        <f>IF(Z4867="","",COUNTIF(#REF!,Z4867))</f>
        <v/>
      </c>
      <c r="AD4867" t="str">
        <f>IF(A4867="","",IF(AC4867&gt;1,"REVISAR DUPLICADO",IF(AA4867&lt;&gt;"","ACTUALIZADO POR EYR","SIN REPORTE EYR")))</f>
        <v/>
      </c>
    </row>
    <row r="4868" spans="11:30" x14ac:dyDescent="0.3">
      <c r="K4868" s="1" t="str">
        <f ca="1">IF(A4868="","",IF(OR(L4868="ENTREGADA",L4868="RETORNADA",L4868="ENTREGA DIGITAL"),0,MAX(0,5-NETWORKDAYS(H4868+1,TODAY()))))</f>
        <v/>
      </c>
      <c r="L4868" t="str">
        <f>IF(A4868="","",IFERROR(LOOKUP(2,1/(#REF!=Z4868),#REF!),Y4868))</f>
        <v/>
      </c>
      <c r="Z4868" t="str">
        <f>IF(A4868="","",TEXT(A4868,"0")&amp;"|"&amp;TEXT(H4868,"0"))</f>
        <v/>
      </c>
      <c r="AA4868" t="str">
        <f>IF(Z4868="","",IFERROR(LOOKUP(2,1/(#REF!=Z4868),#REF!),""))</f>
        <v/>
      </c>
      <c r="AB4868" t="str">
        <f>IF(Z4868="","",IFERROR(LOOKUP(2,1/(#REF!=Z4868),#REF!),""))</f>
        <v/>
      </c>
      <c r="AC4868" t="str">
        <f>IF(Z4868="","",COUNTIF(#REF!,Z4868))</f>
        <v/>
      </c>
      <c r="AD4868" t="str">
        <f>IF(A4868="","",IF(AC4868&gt;1,"REVISAR DUPLICADO",IF(AA4868&lt;&gt;"","ACTUALIZADO POR EYR","SIN REPORTE EYR")))</f>
        <v/>
      </c>
    </row>
    <row r="4869" spans="11:30" x14ac:dyDescent="0.3">
      <c r="K4869" s="1" t="str">
        <f ca="1">IF(A4869="","",IF(OR(L4869="ENTREGADA",L4869="RETORNADA",L4869="ENTREGA DIGITAL"),0,MAX(0,5-NETWORKDAYS(H4869+1,TODAY()))))</f>
        <v/>
      </c>
      <c r="L4869" t="str">
        <f>IF(A4869="","",IFERROR(LOOKUP(2,1/(#REF!=Z4869),#REF!),Y4869))</f>
        <v/>
      </c>
      <c r="Z4869" t="str">
        <f>IF(A4869="","",TEXT(A4869,"0")&amp;"|"&amp;TEXT(H4869,"0"))</f>
        <v/>
      </c>
      <c r="AA4869" t="str">
        <f>IF(Z4869="","",IFERROR(LOOKUP(2,1/(#REF!=Z4869),#REF!),""))</f>
        <v/>
      </c>
      <c r="AB4869" t="str">
        <f>IF(Z4869="","",IFERROR(LOOKUP(2,1/(#REF!=Z4869),#REF!),""))</f>
        <v/>
      </c>
      <c r="AC4869" t="str">
        <f>IF(Z4869="","",COUNTIF(#REF!,Z4869))</f>
        <v/>
      </c>
      <c r="AD4869" t="str">
        <f>IF(A4869="","",IF(AC4869&gt;1,"REVISAR DUPLICADO",IF(AA4869&lt;&gt;"","ACTUALIZADO POR EYR","SIN REPORTE EYR")))</f>
        <v/>
      </c>
    </row>
    <row r="4870" spans="11:30" x14ac:dyDescent="0.3">
      <c r="K4870" s="1" t="str">
        <f ca="1">IF(A4870="","",IF(OR(L4870="ENTREGADA",L4870="RETORNADA",L4870="ENTREGA DIGITAL"),0,MAX(0,5-NETWORKDAYS(H4870+1,TODAY()))))</f>
        <v/>
      </c>
      <c r="L4870" t="str">
        <f>IF(A4870="","",IFERROR(LOOKUP(2,1/(#REF!=Z4870),#REF!),Y4870))</f>
        <v/>
      </c>
      <c r="Z4870" t="str">
        <f>IF(A4870="","",TEXT(A4870,"0")&amp;"|"&amp;TEXT(H4870,"0"))</f>
        <v/>
      </c>
      <c r="AA4870" t="str">
        <f>IF(Z4870="","",IFERROR(LOOKUP(2,1/(#REF!=Z4870),#REF!),""))</f>
        <v/>
      </c>
      <c r="AB4870" t="str">
        <f>IF(Z4870="","",IFERROR(LOOKUP(2,1/(#REF!=Z4870),#REF!),""))</f>
        <v/>
      </c>
      <c r="AC4870" t="str">
        <f>IF(Z4870="","",COUNTIF(#REF!,Z4870))</f>
        <v/>
      </c>
      <c r="AD4870" t="str">
        <f>IF(A4870="","",IF(AC4870&gt;1,"REVISAR DUPLICADO",IF(AA4870&lt;&gt;"","ACTUALIZADO POR EYR","SIN REPORTE EYR")))</f>
        <v/>
      </c>
    </row>
    <row r="4871" spans="11:30" x14ac:dyDescent="0.3">
      <c r="K4871" s="1" t="str">
        <f ca="1">IF(A4871="","",IF(OR(L4871="ENTREGADA",L4871="RETORNADA",L4871="ENTREGA DIGITAL"),0,MAX(0,5-NETWORKDAYS(H4871+1,TODAY()))))</f>
        <v/>
      </c>
      <c r="L4871" t="str">
        <f>IF(A4871="","",IFERROR(LOOKUP(2,1/(#REF!=Z4871),#REF!),Y4871))</f>
        <v/>
      </c>
      <c r="Z4871" t="str">
        <f>IF(A4871="","",TEXT(A4871,"0")&amp;"|"&amp;TEXT(H4871,"0"))</f>
        <v/>
      </c>
      <c r="AA4871" t="str">
        <f>IF(Z4871="","",IFERROR(LOOKUP(2,1/(#REF!=Z4871),#REF!),""))</f>
        <v/>
      </c>
      <c r="AB4871" t="str">
        <f>IF(Z4871="","",IFERROR(LOOKUP(2,1/(#REF!=Z4871),#REF!),""))</f>
        <v/>
      </c>
      <c r="AC4871" t="str">
        <f>IF(Z4871="","",COUNTIF(#REF!,Z4871))</f>
        <v/>
      </c>
      <c r="AD4871" t="str">
        <f>IF(A4871="","",IF(AC4871&gt;1,"REVISAR DUPLICADO",IF(AA4871&lt;&gt;"","ACTUALIZADO POR EYR","SIN REPORTE EYR")))</f>
        <v/>
      </c>
    </row>
    <row r="4872" spans="11:30" x14ac:dyDescent="0.3">
      <c r="K4872" s="1" t="str">
        <f ca="1">IF(A4872="","",IF(OR(L4872="ENTREGADA",L4872="RETORNADA",L4872="ENTREGA DIGITAL"),0,MAX(0,5-NETWORKDAYS(H4872+1,TODAY()))))</f>
        <v/>
      </c>
      <c r="L4872" t="str">
        <f>IF(A4872="","",IFERROR(LOOKUP(2,1/(#REF!=Z4872),#REF!),Y4872))</f>
        <v/>
      </c>
      <c r="Z4872" t="str">
        <f>IF(A4872="","",TEXT(A4872,"0")&amp;"|"&amp;TEXT(H4872,"0"))</f>
        <v/>
      </c>
      <c r="AA4872" t="str">
        <f>IF(Z4872="","",IFERROR(LOOKUP(2,1/(#REF!=Z4872),#REF!),""))</f>
        <v/>
      </c>
      <c r="AB4872" t="str">
        <f>IF(Z4872="","",IFERROR(LOOKUP(2,1/(#REF!=Z4872),#REF!),""))</f>
        <v/>
      </c>
      <c r="AC4872" t="str">
        <f>IF(Z4872="","",COUNTIF(#REF!,Z4872))</f>
        <v/>
      </c>
      <c r="AD4872" t="str">
        <f>IF(A4872="","",IF(AC4872&gt;1,"REVISAR DUPLICADO",IF(AA4872&lt;&gt;"","ACTUALIZADO POR EYR","SIN REPORTE EYR")))</f>
        <v/>
      </c>
    </row>
    <row r="4873" spans="11:30" x14ac:dyDescent="0.3">
      <c r="K4873" s="1" t="str">
        <f ca="1">IF(A4873="","",IF(OR(L4873="ENTREGADA",L4873="RETORNADA",L4873="ENTREGA DIGITAL"),0,MAX(0,5-NETWORKDAYS(H4873+1,TODAY()))))</f>
        <v/>
      </c>
      <c r="L4873" t="str">
        <f>IF(A4873="","",IFERROR(LOOKUP(2,1/(#REF!=Z4873),#REF!),Y4873))</f>
        <v/>
      </c>
      <c r="Z4873" t="str">
        <f>IF(A4873="","",TEXT(A4873,"0")&amp;"|"&amp;TEXT(H4873,"0"))</f>
        <v/>
      </c>
      <c r="AA4873" t="str">
        <f>IF(Z4873="","",IFERROR(LOOKUP(2,1/(#REF!=Z4873),#REF!),""))</f>
        <v/>
      </c>
      <c r="AB4873" t="str">
        <f>IF(Z4873="","",IFERROR(LOOKUP(2,1/(#REF!=Z4873),#REF!),""))</f>
        <v/>
      </c>
      <c r="AC4873" t="str">
        <f>IF(Z4873="","",COUNTIF(#REF!,Z4873))</f>
        <v/>
      </c>
      <c r="AD4873" t="str">
        <f>IF(A4873="","",IF(AC4873&gt;1,"REVISAR DUPLICADO",IF(AA4873&lt;&gt;"","ACTUALIZADO POR EYR","SIN REPORTE EYR")))</f>
        <v/>
      </c>
    </row>
    <row r="4874" spans="11:30" x14ac:dyDescent="0.3">
      <c r="K4874" s="1" t="str">
        <f ca="1">IF(A4874="","",IF(OR(L4874="ENTREGADA",L4874="RETORNADA",L4874="ENTREGA DIGITAL"),0,MAX(0,5-NETWORKDAYS(H4874+1,TODAY()))))</f>
        <v/>
      </c>
      <c r="L4874" t="str">
        <f>IF(A4874="","",IFERROR(LOOKUP(2,1/(#REF!=Z4874),#REF!),Y4874))</f>
        <v/>
      </c>
      <c r="Z4874" t="str">
        <f>IF(A4874="","",TEXT(A4874,"0")&amp;"|"&amp;TEXT(H4874,"0"))</f>
        <v/>
      </c>
      <c r="AA4874" t="str">
        <f>IF(Z4874="","",IFERROR(LOOKUP(2,1/(#REF!=Z4874),#REF!),""))</f>
        <v/>
      </c>
      <c r="AB4874" t="str">
        <f>IF(Z4874="","",IFERROR(LOOKUP(2,1/(#REF!=Z4874),#REF!),""))</f>
        <v/>
      </c>
      <c r="AC4874" t="str">
        <f>IF(Z4874="","",COUNTIF(#REF!,Z4874))</f>
        <v/>
      </c>
      <c r="AD4874" t="str">
        <f>IF(A4874="","",IF(AC4874&gt;1,"REVISAR DUPLICADO",IF(AA4874&lt;&gt;"","ACTUALIZADO POR EYR","SIN REPORTE EYR")))</f>
        <v/>
      </c>
    </row>
    <row r="4875" spans="11:30" x14ac:dyDescent="0.3">
      <c r="K4875" s="1" t="str">
        <f ca="1">IF(A4875="","",IF(OR(L4875="ENTREGADA",L4875="RETORNADA",L4875="ENTREGA DIGITAL"),0,MAX(0,5-NETWORKDAYS(H4875+1,TODAY()))))</f>
        <v/>
      </c>
      <c r="L4875" t="str">
        <f>IF(A4875="","",IFERROR(LOOKUP(2,1/(#REF!=Z4875),#REF!),Y4875))</f>
        <v/>
      </c>
      <c r="Z4875" t="str">
        <f>IF(A4875="","",TEXT(A4875,"0")&amp;"|"&amp;TEXT(H4875,"0"))</f>
        <v/>
      </c>
      <c r="AA4875" t="str">
        <f>IF(Z4875="","",IFERROR(LOOKUP(2,1/(#REF!=Z4875),#REF!),""))</f>
        <v/>
      </c>
      <c r="AB4875" t="str">
        <f>IF(Z4875="","",IFERROR(LOOKUP(2,1/(#REF!=Z4875),#REF!),""))</f>
        <v/>
      </c>
      <c r="AC4875" t="str">
        <f>IF(Z4875="","",COUNTIF(#REF!,Z4875))</f>
        <v/>
      </c>
      <c r="AD4875" t="str">
        <f>IF(A4875="","",IF(AC4875&gt;1,"REVISAR DUPLICADO",IF(AA4875&lt;&gt;"","ACTUALIZADO POR EYR","SIN REPORTE EYR")))</f>
        <v/>
      </c>
    </row>
    <row r="4876" spans="11:30" x14ac:dyDescent="0.3">
      <c r="K4876" s="1" t="str">
        <f ca="1">IF(A4876="","",IF(OR(L4876="ENTREGADA",L4876="RETORNADA",L4876="ENTREGA DIGITAL"),0,MAX(0,5-NETWORKDAYS(H4876+1,TODAY()))))</f>
        <v/>
      </c>
      <c r="L4876" t="str">
        <f>IF(A4876="","",IFERROR(LOOKUP(2,1/(#REF!=Z4876),#REF!),Y4876))</f>
        <v/>
      </c>
      <c r="Z4876" t="str">
        <f>IF(A4876="","",TEXT(A4876,"0")&amp;"|"&amp;TEXT(H4876,"0"))</f>
        <v/>
      </c>
      <c r="AA4876" t="str">
        <f>IF(Z4876="","",IFERROR(LOOKUP(2,1/(#REF!=Z4876),#REF!),""))</f>
        <v/>
      </c>
      <c r="AB4876" t="str">
        <f>IF(Z4876="","",IFERROR(LOOKUP(2,1/(#REF!=Z4876),#REF!),""))</f>
        <v/>
      </c>
      <c r="AC4876" t="str">
        <f>IF(Z4876="","",COUNTIF(#REF!,Z4876))</f>
        <v/>
      </c>
      <c r="AD4876" t="str">
        <f>IF(A4876="","",IF(AC4876&gt;1,"REVISAR DUPLICADO",IF(AA4876&lt;&gt;"","ACTUALIZADO POR EYR","SIN REPORTE EYR")))</f>
        <v/>
      </c>
    </row>
    <row r="4877" spans="11:30" x14ac:dyDescent="0.3">
      <c r="K4877" s="1" t="str">
        <f ca="1">IF(A4877="","",IF(OR(L4877="ENTREGADA",L4877="RETORNADA",L4877="ENTREGA DIGITAL"),0,MAX(0,5-NETWORKDAYS(H4877+1,TODAY()))))</f>
        <v/>
      </c>
      <c r="L4877" t="str">
        <f>IF(A4877="","",IFERROR(LOOKUP(2,1/(#REF!=Z4877),#REF!),Y4877))</f>
        <v/>
      </c>
      <c r="Z4877" t="str">
        <f>IF(A4877="","",TEXT(A4877,"0")&amp;"|"&amp;TEXT(H4877,"0"))</f>
        <v/>
      </c>
      <c r="AA4877" t="str">
        <f>IF(Z4877="","",IFERROR(LOOKUP(2,1/(#REF!=Z4877),#REF!),""))</f>
        <v/>
      </c>
      <c r="AB4877" t="str">
        <f>IF(Z4877="","",IFERROR(LOOKUP(2,1/(#REF!=Z4877),#REF!),""))</f>
        <v/>
      </c>
      <c r="AC4877" t="str">
        <f>IF(Z4877="","",COUNTIF(#REF!,Z4877))</f>
        <v/>
      </c>
      <c r="AD4877" t="str">
        <f>IF(A4877="","",IF(AC4877&gt;1,"REVISAR DUPLICADO",IF(AA4877&lt;&gt;"","ACTUALIZADO POR EYR","SIN REPORTE EYR")))</f>
        <v/>
      </c>
    </row>
    <row r="4878" spans="11:30" x14ac:dyDescent="0.3">
      <c r="K4878" s="1" t="str">
        <f ca="1">IF(A4878="","",IF(OR(L4878="ENTREGADA",L4878="RETORNADA",L4878="ENTREGA DIGITAL"),0,MAX(0,5-NETWORKDAYS(H4878+1,TODAY()))))</f>
        <v/>
      </c>
      <c r="L4878" t="str">
        <f>IF(A4878="","",IFERROR(LOOKUP(2,1/(#REF!=Z4878),#REF!),Y4878))</f>
        <v/>
      </c>
      <c r="Z4878" t="str">
        <f>IF(A4878="","",TEXT(A4878,"0")&amp;"|"&amp;TEXT(H4878,"0"))</f>
        <v/>
      </c>
      <c r="AA4878" t="str">
        <f>IF(Z4878="","",IFERROR(LOOKUP(2,1/(#REF!=Z4878),#REF!),""))</f>
        <v/>
      </c>
      <c r="AB4878" t="str">
        <f>IF(Z4878="","",IFERROR(LOOKUP(2,1/(#REF!=Z4878),#REF!),""))</f>
        <v/>
      </c>
      <c r="AC4878" t="str">
        <f>IF(Z4878="","",COUNTIF(#REF!,Z4878))</f>
        <v/>
      </c>
      <c r="AD4878" t="str">
        <f>IF(A4878="","",IF(AC4878&gt;1,"REVISAR DUPLICADO",IF(AA4878&lt;&gt;"","ACTUALIZADO POR EYR","SIN REPORTE EYR")))</f>
        <v/>
      </c>
    </row>
    <row r="4879" spans="11:30" x14ac:dyDescent="0.3">
      <c r="K4879" s="1" t="str">
        <f ca="1">IF(A4879="","",IF(OR(L4879="ENTREGADA",L4879="RETORNADA",L4879="ENTREGA DIGITAL"),0,MAX(0,5-NETWORKDAYS(H4879+1,TODAY()))))</f>
        <v/>
      </c>
      <c r="L4879" t="str">
        <f>IF(A4879="","",IFERROR(LOOKUP(2,1/(#REF!=Z4879),#REF!),Y4879))</f>
        <v/>
      </c>
      <c r="Z4879" t="str">
        <f>IF(A4879="","",TEXT(A4879,"0")&amp;"|"&amp;TEXT(H4879,"0"))</f>
        <v/>
      </c>
      <c r="AA4879" t="str">
        <f>IF(Z4879="","",IFERROR(LOOKUP(2,1/(#REF!=Z4879),#REF!),""))</f>
        <v/>
      </c>
      <c r="AB4879" t="str">
        <f>IF(Z4879="","",IFERROR(LOOKUP(2,1/(#REF!=Z4879),#REF!),""))</f>
        <v/>
      </c>
      <c r="AC4879" t="str">
        <f>IF(Z4879="","",COUNTIF(#REF!,Z4879))</f>
        <v/>
      </c>
      <c r="AD4879" t="str">
        <f>IF(A4879="","",IF(AC4879&gt;1,"REVISAR DUPLICADO",IF(AA4879&lt;&gt;"","ACTUALIZADO POR EYR","SIN REPORTE EYR")))</f>
        <v/>
      </c>
    </row>
    <row r="4880" spans="11:30" x14ac:dyDescent="0.3">
      <c r="K4880" s="1" t="str">
        <f ca="1">IF(A4880="","",IF(OR(L4880="ENTREGADA",L4880="RETORNADA",L4880="ENTREGA DIGITAL"),0,MAX(0,5-NETWORKDAYS(H4880+1,TODAY()))))</f>
        <v/>
      </c>
      <c r="L4880" t="str">
        <f>IF(A4880="","",IFERROR(LOOKUP(2,1/(#REF!=Z4880),#REF!),Y4880))</f>
        <v/>
      </c>
      <c r="Z4880" t="str">
        <f>IF(A4880="","",TEXT(A4880,"0")&amp;"|"&amp;TEXT(H4880,"0"))</f>
        <v/>
      </c>
      <c r="AA4880" t="str">
        <f>IF(Z4880="","",IFERROR(LOOKUP(2,1/(#REF!=Z4880),#REF!),""))</f>
        <v/>
      </c>
      <c r="AB4880" t="str">
        <f>IF(Z4880="","",IFERROR(LOOKUP(2,1/(#REF!=Z4880),#REF!),""))</f>
        <v/>
      </c>
      <c r="AC4880" t="str">
        <f>IF(Z4880="","",COUNTIF(#REF!,Z4880))</f>
        <v/>
      </c>
      <c r="AD4880" t="str">
        <f>IF(A4880="","",IF(AC4880&gt;1,"REVISAR DUPLICADO",IF(AA4880&lt;&gt;"","ACTUALIZADO POR EYR","SIN REPORTE EYR")))</f>
        <v/>
      </c>
    </row>
    <row r="4881" spans="11:30" x14ac:dyDescent="0.3">
      <c r="K4881" s="1" t="str">
        <f ca="1">IF(A4881="","",IF(OR(L4881="ENTREGADA",L4881="RETORNADA",L4881="ENTREGA DIGITAL"),0,MAX(0,5-NETWORKDAYS(H4881+1,TODAY()))))</f>
        <v/>
      </c>
      <c r="L4881" t="str">
        <f>IF(A4881="","",IFERROR(LOOKUP(2,1/(#REF!=Z4881),#REF!),Y4881))</f>
        <v/>
      </c>
      <c r="Z4881" t="str">
        <f>IF(A4881="","",TEXT(A4881,"0")&amp;"|"&amp;TEXT(H4881,"0"))</f>
        <v/>
      </c>
      <c r="AA4881" t="str">
        <f>IF(Z4881="","",IFERROR(LOOKUP(2,1/(#REF!=Z4881),#REF!),""))</f>
        <v/>
      </c>
      <c r="AB4881" t="str">
        <f>IF(Z4881="","",IFERROR(LOOKUP(2,1/(#REF!=Z4881),#REF!),""))</f>
        <v/>
      </c>
      <c r="AC4881" t="str">
        <f>IF(Z4881="","",COUNTIF(#REF!,Z4881))</f>
        <v/>
      </c>
      <c r="AD4881" t="str">
        <f>IF(A4881="","",IF(AC4881&gt;1,"REVISAR DUPLICADO",IF(AA4881&lt;&gt;"","ACTUALIZADO POR EYR","SIN REPORTE EYR")))</f>
        <v/>
      </c>
    </row>
    <row r="4882" spans="11:30" x14ac:dyDescent="0.3">
      <c r="K4882" s="1" t="str">
        <f ca="1">IF(A4882="","",IF(OR(L4882="ENTREGADA",L4882="RETORNADA",L4882="ENTREGA DIGITAL"),0,MAX(0,5-NETWORKDAYS(H4882+1,TODAY()))))</f>
        <v/>
      </c>
      <c r="L4882" t="str">
        <f>IF(A4882="","",IFERROR(LOOKUP(2,1/(#REF!=Z4882),#REF!),Y4882))</f>
        <v/>
      </c>
      <c r="Z4882" t="str">
        <f>IF(A4882="","",TEXT(A4882,"0")&amp;"|"&amp;TEXT(H4882,"0"))</f>
        <v/>
      </c>
      <c r="AA4882" t="str">
        <f>IF(Z4882="","",IFERROR(LOOKUP(2,1/(#REF!=Z4882),#REF!),""))</f>
        <v/>
      </c>
      <c r="AB4882" t="str">
        <f>IF(Z4882="","",IFERROR(LOOKUP(2,1/(#REF!=Z4882),#REF!),""))</f>
        <v/>
      </c>
      <c r="AC4882" t="str">
        <f>IF(Z4882="","",COUNTIF(#REF!,Z4882))</f>
        <v/>
      </c>
      <c r="AD4882" t="str">
        <f>IF(A4882="","",IF(AC4882&gt;1,"REVISAR DUPLICADO",IF(AA4882&lt;&gt;"","ACTUALIZADO POR EYR","SIN REPORTE EYR")))</f>
        <v/>
      </c>
    </row>
    <row r="4883" spans="11:30" x14ac:dyDescent="0.3">
      <c r="K4883" s="1" t="str">
        <f ca="1">IF(A4883="","",IF(OR(L4883="ENTREGADA",L4883="RETORNADA",L4883="ENTREGA DIGITAL"),0,MAX(0,5-NETWORKDAYS(H4883+1,TODAY()))))</f>
        <v/>
      </c>
      <c r="L4883" t="str">
        <f>IF(A4883="","",IFERROR(LOOKUP(2,1/(#REF!=Z4883),#REF!),Y4883))</f>
        <v/>
      </c>
      <c r="Z4883" t="str">
        <f>IF(A4883="","",TEXT(A4883,"0")&amp;"|"&amp;TEXT(H4883,"0"))</f>
        <v/>
      </c>
      <c r="AA4883" t="str">
        <f>IF(Z4883="","",IFERROR(LOOKUP(2,1/(#REF!=Z4883),#REF!),""))</f>
        <v/>
      </c>
      <c r="AB4883" t="str">
        <f>IF(Z4883="","",IFERROR(LOOKUP(2,1/(#REF!=Z4883),#REF!),""))</f>
        <v/>
      </c>
      <c r="AC4883" t="str">
        <f>IF(Z4883="","",COUNTIF(#REF!,Z4883))</f>
        <v/>
      </c>
      <c r="AD4883" t="str">
        <f>IF(A4883="","",IF(AC4883&gt;1,"REVISAR DUPLICADO",IF(AA4883&lt;&gt;"","ACTUALIZADO POR EYR","SIN REPORTE EYR")))</f>
        <v/>
      </c>
    </row>
    <row r="4884" spans="11:30" x14ac:dyDescent="0.3">
      <c r="K4884" s="1" t="str">
        <f ca="1">IF(A4884="","",IF(OR(L4884="ENTREGADA",L4884="RETORNADA",L4884="ENTREGA DIGITAL"),0,MAX(0,5-NETWORKDAYS(H4884+1,TODAY()))))</f>
        <v/>
      </c>
      <c r="L4884" t="str">
        <f>IF(A4884="","",IFERROR(LOOKUP(2,1/(#REF!=Z4884),#REF!),Y4884))</f>
        <v/>
      </c>
      <c r="Z4884" t="str">
        <f>IF(A4884="","",TEXT(A4884,"0")&amp;"|"&amp;TEXT(H4884,"0"))</f>
        <v/>
      </c>
      <c r="AA4884" t="str">
        <f>IF(Z4884="","",IFERROR(LOOKUP(2,1/(#REF!=Z4884),#REF!),""))</f>
        <v/>
      </c>
      <c r="AB4884" t="str">
        <f>IF(Z4884="","",IFERROR(LOOKUP(2,1/(#REF!=Z4884),#REF!),""))</f>
        <v/>
      </c>
      <c r="AC4884" t="str">
        <f>IF(Z4884="","",COUNTIF(#REF!,Z4884))</f>
        <v/>
      </c>
      <c r="AD4884" t="str">
        <f>IF(A4884="","",IF(AC4884&gt;1,"REVISAR DUPLICADO",IF(AA4884&lt;&gt;"","ACTUALIZADO POR EYR","SIN REPORTE EYR")))</f>
        <v/>
      </c>
    </row>
    <row r="4885" spans="11:30" x14ac:dyDescent="0.3">
      <c r="K4885" s="1" t="str">
        <f ca="1">IF(A4885="","",IF(OR(L4885="ENTREGADA",L4885="RETORNADA",L4885="ENTREGA DIGITAL"),0,MAX(0,5-NETWORKDAYS(H4885+1,TODAY()))))</f>
        <v/>
      </c>
      <c r="L4885" t="str">
        <f>IF(A4885="","",IFERROR(LOOKUP(2,1/(#REF!=Z4885),#REF!),Y4885))</f>
        <v/>
      </c>
      <c r="Z4885" t="str">
        <f>IF(A4885="","",TEXT(A4885,"0")&amp;"|"&amp;TEXT(H4885,"0"))</f>
        <v/>
      </c>
      <c r="AA4885" t="str">
        <f>IF(Z4885="","",IFERROR(LOOKUP(2,1/(#REF!=Z4885),#REF!),""))</f>
        <v/>
      </c>
      <c r="AB4885" t="str">
        <f>IF(Z4885="","",IFERROR(LOOKUP(2,1/(#REF!=Z4885),#REF!),""))</f>
        <v/>
      </c>
      <c r="AC4885" t="str">
        <f>IF(Z4885="","",COUNTIF(#REF!,Z4885))</f>
        <v/>
      </c>
      <c r="AD4885" t="str">
        <f>IF(A4885="","",IF(AC4885&gt;1,"REVISAR DUPLICADO",IF(AA4885&lt;&gt;"","ACTUALIZADO POR EYR","SIN REPORTE EYR")))</f>
        <v/>
      </c>
    </row>
    <row r="4886" spans="11:30" x14ac:dyDescent="0.3">
      <c r="K4886" s="1" t="str">
        <f ca="1">IF(A4886="","",IF(OR(L4886="ENTREGADA",L4886="RETORNADA",L4886="ENTREGA DIGITAL"),0,MAX(0,5-NETWORKDAYS(H4886+1,TODAY()))))</f>
        <v/>
      </c>
      <c r="L4886" t="str">
        <f>IF(A4886="","",IFERROR(LOOKUP(2,1/(#REF!=Z4886),#REF!),Y4886))</f>
        <v/>
      </c>
      <c r="Z4886" t="str">
        <f>IF(A4886="","",TEXT(A4886,"0")&amp;"|"&amp;TEXT(H4886,"0"))</f>
        <v/>
      </c>
      <c r="AA4886" t="str">
        <f>IF(Z4886="","",IFERROR(LOOKUP(2,1/(#REF!=Z4886),#REF!),""))</f>
        <v/>
      </c>
      <c r="AB4886" t="str">
        <f>IF(Z4886="","",IFERROR(LOOKUP(2,1/(#REF!=Z4886),#REF!),""))</f>
        <v/>
      </c>
      <c r="AC4886" t="str">
        <f>IF(Z4886="","",COUNTIF(#REF!,Z4886))</f>
        <v/>
      </c>
      <c r="AD4886" t="str">
        <f>IF(A4886="","",IF(AC4886&gt;1,"REVISAR DUPLICADO",IF(AA4886&lt;&gt;"","ACTUALIZADO POR EYR","SIN REPORTE EYR")))</f>
        <v/>
      </c>
    </row>
    <row r="4887" spans="11:30" x14ac:dyDescent="0.3">
      <c r="K4887" s="1" t="str">
        <f ca="1">IF(A4887="","",IF(OR(L4887="ENTREGADA",L4887="RETORNADA",L4887="ENTREGA DIGITAL"),0,MAX(0,5-NETWORKDAYS(H4887+1,TODAY()))))</f>
        <v/>
      </c>
      <c r="L4887" t="str">
        <f>IF(A4887="","",IFERROR(LOOKUP(2,1/(#REF!=Z4887),#REF!),Y4887))</f>
        <v/>
      </c>
      <c r="Z4887" t="str">
        <f>IF(A4887="","",TEXT(A4887,"0")&amp;"|"&amp;TEXT(H4887,"0"))</f>
        <v/>
      </c>
      <c r="AA4887" t="str">
        <f>IF(Z4887="","",IFERROR(LOOKUP(2,1/(#REF!=Z4887),#REF!),""))</f>
        <v/>
      </c>
      <c r="AB4887" t="str">
        <f>IF(Z4887="","",IFERROR(LOOKUP(2,1/(#REF!=Z4887),#REF!),""))</f>
        <v/>
      </c>
      <c r="AC4887" t="str">
        <f>IF(Z4887="","",COUNTIF(#REF!,Z4887))</f>
        <v/>
      </c>
      <c r="AD4887" t="str">
        <f>IF(A4887="","",IF(AC4887&gt;1,"REVISAR DUPLICADO",IF(AA4887&lt;&gt;"","ACTUALIZADO POR EYR","SIN REPORTE EYR")))</f>
        <v/>
      </c>
    </row>
    <row r="4888" spans="11:30" x14ac:dyDescent="0.3">
      <c r="K4888" s="1" t="str">
        <f ca="1">IF(A4888="","",IF(OR(L4888="ENTREGADA",L4888="RETORNADA",L4888="ENTREGA DIGITAL"),0,MAX(0,5-NETWORKDAYS(H4888+1,TODAY()))))</f>
        <v/>
      </c>
      <c r="L4888" t="str">
        <f>IF(A4888="","",IFERROR(LOOKUP(2,1/(#REF!=Z4888),#REF!),Y4888))</f>
        <v/>
      </c>
      <c r="Z4888" t="str">
        <f>IF(A4888="","",TEXT(A4888,"0")&amp;"|"&amp;TEXT(H4888,"0"))</f>
        <v/>
      </c>
      <c r="AA4888" t="str">
        <f>IF(Z4888="","",IFERROR(LOOKUP(2,1/(#REF!=Z4888),#REF!),""))</f>
        <v/>
      </c>
      <c r="AB4888" t="str">
        <f>IF(Z4888="","",IFERROR(LOOKUP(2,1/(#REF!=Z4888),#REF!),""))</f>
        <v/>
      </c>
      <c r="AC4888" t="str">
        <f>IF(Z4888="","",COUNTIF(#REF!,Z4888))</f>
        <v/>
      </c>
      <c r="AD4888" t="str">
        <f>IF(A4888="","",IF(AC4888&gt;1,"REVISAR DUPLICADO",IF(AA4888&lt;&gt;"","ACTUALIZADO POR EYR","SIN REPORTE EYR")))</f>
        <v/>
      </c>
    </row>
    <row r="4889" spans="11:30" x14ac:dyDescent="0.3">
      <c r="K4889" s="1" t="str">
        <f ca="1">IF(A4889="","",IF(OR(L4889="ENTREGADA",L4889="RETORNADA",L4889="ENTREGA DIGITAL"),0,MAX(0,5-NETWORKDAYS(H4889+1,TODAY()))))</f>
        <v/>
      </c>
      <c r="L4889" t="str">
        <f>IF(A4889="","",IFERROR(LOOKUP(2,1/(#REF!=Z4889),#REF!),Y4889))</f>
        <v/>
      </c>
      <c r="Z4889" t="str">
        <f>IF(A4889="","",TEXT(A4889,"0")&amp;"|"&amp;TEXT(H4889,"0"))</f>
        <v/>
      </c>
      <c r="AA4889" t="str">
        <f>IF(Z4889="","",IFERROR(LOOKUP(2,1/(#REF!=Z4889),#REF!),""))</f>
        <v/>
      </c>
      <c r="AB4889" t="str">
        <f>IF(Z4889="","",IFERROR(LOOKUP(2,1/(#REF!=Z4889),#REF!),""))</f>
        <v/>
      </c>
      <c r="AC4889" t="str">
        <f>IF(Z4889="","",COUNTIF(#REF!,Z4889))</f>
        <v/>
      </c>
      <c r="AD4889" t="str">
        <f>IF(A4889="","",IF(AC4889&gt;1,"REVISAR DUPLICADO",IF(AA4889&lt;&gt;"","ACTUALIZADO POR EYR","SIN REPORTE EYR")))</f>
        <v/>
      </c>
    </row>
    <row r="4890" spans="11:30" x14ac:dyDescent="0.3">
      <c r="K4890" s="1" t="str">
        <f ca="1">IF(A4890="","",IF(OR(L4890="ENTREGADA",L4890="RETORNADA",L4890="ENTREGA DIGITAL"),0,MAX(0,5-NETWORKDAYS(H4890+1,TODAY()))))</f>
        <v/>
      </c>
      <c r="L4890" t="str">
        <f>IF(A4890="","",IFERROR(LOOKUP(2,1/(#REF!=Z4890),#REF!),Y4890))</f>
        <v/>
      </c>
      <c r="Z4890" t="str">
        <f>IF(A4890="","",TEXT(A4890,"0")&amp;"|"&amp;TEXT(H4890,"0"))</f>
        <v/>
      </c>
      <c r="AA4890" t="str">
        <f>IF(Z4890="","",IFERROR(LOOKUP(2,1/(#REF!=Z4890),#REF!),""))</f>
        <v/>
      </c>
      <c r="AB4890" t="str">
        <f>IF(Z4890="","",IFERROR(LOOKUP(2,1/(#REF!=Z4890),#REF!),""))</f>
        <v/>
      </c>
      <c r="AC4890" t="str">
        <f>IF(Z4890="","",COUNTIF(#REF!,Z4890))</f>
        <v/>
      </c>
      <c r="AD4890" t="str">
        <f>IF(A4890="","",IF(AC4890&gt;1,"REVISAR DUPLICADO",IF(AA4890&lt;&gt;"","ACTUALIZADO POR EYR","SIN REPORTE EYR")))</f>
        <v/>
      </c>
    </row>
    <row r="4891" spans="11:30" x14ac:dyDescent="0.3">
      <c r="K4891" s="1" t="str">
        <f ca="1">IF(A4891="","",IF(OR(L4891="ENTREGADA",L4891="RETORNADA",L4891="ENTREGA DIGITAL"),0,MAX(0,5-NETWORKDAYS(H4891+1,TODAY()))))</f>
        <v/>
      </c>
      <c r="L4891" t="str">
        <f>IF(A4891="","",IFERROR(LOOKUP(2,1/(#REF!=Z4891),#REF!),Y4891))</f>
        <v/>
      </c>
      <c r="Z4891" t="str">
        <f>IF(A4891="","",TEXT(A4891,"0")&amp;"|"&amp;TEXT(H4891,"0"))</f>
        <v/>
      </c>
      <c r="AA4891" t="str">
        <f>IF(Z4891="","",IFERROR(LOOKUP(2,1/(#REF!=Z4891),#REF!),""))</f>
        <v/>
      </c>
      <c r="AB4891" t="str">
        <f>IF(Z4891="","",IFERROR(LOOKUP(2,1/(#REF!=Z4891),#REF!),""))</f>
        <v/>
      </c>
      <c r="AC4891" t="str">
        <f>IF(Z4891="","",COUNTIF(#REF!,Z4891))</f>
        <v/>
      </c>
      <c r="AD4891" t="str">
        <f>IF(A4891="","",IF(AC4891&gt;1,"REVISAR DUPLICADO",IF(AA4891&lt;&gt;"","ACTUALIZADO POR EYR","SIN REPORTE EYR")))</f>
        <v/>
      </c>
    </row>
    <row r="4892" spans="11:30" x14ac:dyDescent="0.3">
      <c r="K4892" s="1" t="str">
        <f ca="1">IF(A4892="","",IF(OR(L4892="ENTREGADA",L4892="RETORNADA",L4892="ENTREGA DIGITAL"),0,MAX(0,5-NETWORKDAYS(H4892+1,TODAY()))))</f>
        <v/>
      </c>
      <c r="L4892" t="str">
        <f>IF(A4892="","",IFERROR(LOOKUP(2,1/(#REF!=Z4892),#REF!),Y4892))</f>
        <v/>
      </c>
      <c r="Z4892" t="str">
        <f>IF(A4892="","",TEXT(A4892,"0")&amp;"|"&amp;TEXT(H4892,"0"))</f>
        <v/>
      </c>
      <c r="AA4892" t="str">
        <f>IF(Z4892="","",IFERROR(LOOKUP(2,1/(#REF!=Z4892),#REF!),""))</f>
        <v/>
      </c>
      <c r="AB4892" t="str">
        <f>IF(Z4892="","",IFERROR(LOOKUP(2,1/(#REF!=Z4892),#REF!),""))</f>
        <v/>
      </c>
      <c r="AC4892" t="str">
        <f>IF(Z4892="","",COUNTIF(#REF!,Z4892))</f>
        <v/>
      </c>
      <c r="AD4892" t="str">
        <f>IF(A4892="","",IF(AC4892&gt;1,"REVISAR DUPLICADO",IF(AA4892&lt;&gt;"","ACTUALIZADO POR EYR","SIN REPORTE EYR")))</f>
        <v/>
      </c>
    </row>
    <row r="4893" spans="11:30" x14ac:dyDescent="0.3">
      <c r="K4893" s="1" t="str">
        <f ca="1">IF(A4893="","",IF(OR(L4893="ENTREGADA",L4893="RETORNADA",L4893="ENTREGA DIGITAL"),0,MAX(0,5-NETWORKDAYS(H4893+1,TODAY()))))</f>
        <v/>
      </c>
      <c r="L4893" t="str">
        <f>IF(A4893="","",IFERROR(LOOKUP(2,1/(#REF!=Z4893),#REF!),Y4893))</f>
        <v/>
      </c>
      <c r="Z4893" t="str">
        <f>IF(A4893="","",TEXT(A4893,"0")&amp;"|"&amp;TEXT(H4893,"0"))</f>
        <v/>
      </c>
      <c r="AA4893" t="str">
        <f>IF(Z4893="","",IFERROR(LOOKUP(2,1/(#REF!=Z4893),#REF!),""))</f>
        <v/>
      </c>
      <c r="AB4893" t="str">
        <f>IF(Z4893="","",IFERROR(LOOKUP(2,1/(#REF!=Z4893),#REF!),""))</f>
        <v/>
      </c>
      <c r="AC4893" t="str">
        <f>IF(Z4893="","",COUNTIF(#REF!,Z4893))</f>
        <v/>
      </c>
      <c r="AD4893" t="str">
        <f>IF(A4893="","",IF(AC4893&gt;1,"REVISAR DUPLICADO",IF(AA4893&lt;&gt;"","ACTUALIZADO POR EYR","SIN REPORTE EYR")))</f>
        <v/>
      </c>
    </row>
    <row r="4894" spans="11:30" x14ac:dyDescent="0.3">
      <c r="K4894" s="1" t="str">
        <f ca="1">IF(A4894="","",IF(OR(L4894="ENTREGADA",L4894="RETORNADA",L4894="ENTREGA DIGITAL"),0,MAX(0,5-NETWORKDAYS(H4894+1,TODAY()))))</f>
        <v/>
      </c>
      <c r="L4894" t="str">
        <f>IF(A4894="","",IFERROR(LOOKUP(2,1/(#REF!=Z4894),#REF!),Y4894))</f>
        <v/>
      </c>
      <c r="Z4894" t="str">
        <f>IF(A4894="","",TEXT(A4894,"0")&amp;"|"&amp;TEXT(H4894,"0"))</f>
        <v/>
      </c>
      <c r="AA4894" t="str">
        <f>IF(Z4894="","",IFERROR(LOOKUP(2,1/(#REF!=Z4894),#REF!),""))</f>
        <v/>
      </c>
      <c r="AB4894" t="str">
        <f>IF(Z4894="","",IFERROR(LOOKUP(2,1/(#REF!=Z4894),#REF!),""))</f>
        <v/>
      </c>
      <c r="AC4894" t="str">
        <f>IF(Z4894="","",COUNTIF(#REF!,Z4894))</f>
        <v/>
      </c>
      <c r="AD4894" t="str">
        <f>IF(A4894="","",IF(AC4894&gt;1,"REVISAR DUPLICADO",IF(AA4894&lt;&gt;"","ACTUALIZADO POR EYR","SIN REPORTE EYR")))</f>
        <v/>
      </c>
    </row>
    <row r="4895" spans="11:30" x14ac:dyDescent="0.3">
      <c r="K4895" s="1" t="str">
        <f ca="1">IF(A4895="","",IF(OR(L4895="ENTREGADA",L4895="RETORNADA",L4895="ENTREGA DIGITAL"),0,MAX(0,5-NETWORKDAYS(H4895+1,TODAY()))))</f>
        <v/>
      </c>
      <c r="L4895" t="str">
        <f>IF(A4895="","",IFERROR(LOOKUP(2,1/(#REF!=Z4895),#REF!),Y4895))</f>
        <v/>
      </c>
      <c r="Z4895" t="str">
        <f>IF(A4895="","",TEXT(A4895,"0")&amp;"|"&amp;TEXT(H4895,"0"))</f>
        <v/>
      </c>
      <c r="AA4895" t="str">
        <f>IF(Z4895="","",IFERROR(LOOKUP(2,1/(#REF!=Z4895),#REF!),""))</f>
        <v/>
      </c>
      <c r="AB4895" t="str">
        <f>IF(Z4895="","",IFERROR(LOOKUP(2,1/(#REF!=Z4895),#REF!),""))</f>
        <v/>
      </c>
      <c r="AC4895" t="str">
        <f>IF(Z4895="","",COUNTIF(#REF!,Z4895))</f>
        <v/>
      </c>
      <c r="AD4895" t="str">
        <f>IF(A4895="","",IF(AC4895&gt;1,"REVISAR DUPLICADO",IF(AA4895&lt;&gt;"","ACTUALIZADO POR EYR","SIN REPORTE EYR")))</f>
        <v/>
      </c>
    </row>
    <row r="4896" spans="11:30" x14ac:dyDescent="0.3">
      <c r="K4896" s="1" t="str">
        <f ca="1">IF(A4896="","",IF(OR(L4896="ENTREGADA",L4896="RETORNADA",L4896="ENTREGA DIGITAL"),0,MAX(0,5-NETWORKDAYS(H4896+1,TODAY()))))</f>
        <v/>
      </c>
      <c r="L4896" t="str">
        <f>IF(A4896="","",IFERROR(LOOKUP(2,1/(#REF!=Z4896),#REF!),Y4896))</f>
        <v/>
      </c>
      <c r="Z4896" t="str">
        <f>IF(A4896="","",TEXT(A4896,"0")&amp;"|"&amp;TEXT(H4896,"0"))</f>
        <v/>
      </c>
      <c r="AA4896" t="str">
        <f>IF(Z4896="","",IFERROR(LOOKUP(2,1/(#REF!=Z4896),#REF!),""))</f>
        <v/>
      </c>
      <c r="AB4896" t="str">
        <f>IF(Z4896="","",IFERROR(LOOKUP(2,1/(#REF!=Z4896),#REF!),""))</f>
        <v/>
      </c>
      <c r="AC4896" t="str">
        <f>IF(Z4896="","",COUNTIF(#REF!,Z4896))</f>
        <v/>
      </c>
      <c r="AD4896" t="str">
        <f>IF(A4896="","",IF(AC4896&gt;1,"REVISAR DUPLICADO",IF(AA4896&lt;&gt;"","ACTUALIZADO POR EYR","SIN REPORTE EYR")))</f>
        <v/>
      </c>
    </row>
    <row r="4897" spans="11:30" x14ac:dyDescent="0.3">
      <c r="K4897" s="1" t="str">
        <f ca="1">IF(A4897="","",IF(OR(L4897="ENTREGADA",L4897="RETORNADA",L4897="ENTREGA DIGITAL"),0,MAX(0,5-NETWORKDAYS(H4897+1,TODAY()))))</f>
        <v/>
      </c>
      <c r="L4897" t="str">
        <f>IF(A4897="","",IFERROR(LOOKUP(2,1/(#REF!=Z4897),#REF!),Y4897))</f>
        <v/>
      </c>
      <c r="Z4897" t="str">
        <f>IF(A4897="","",TEXT(A4897,"0")&amp;"|"&amp;TEXT(H4897,"0"))</f>
        <v/>
      </c>
      <c r="AA4897" t="str">
        <f>IF(Z4897="","",IFERROR(LOOKUP(2,1/(#REF!=Z4897),#REF!),""))</f>
        <v/>
      </c>
      <c r="AB4897" t="str">
        <f>IF(Z4897="","",IFERROR(LOOKUP(2,1/(#REF!=Z4897),#REF!),""))</f>
        <v/>
      </c>
      <c r="AC4897" t="str">
        <f>IF(Z4897="","",COUNTIF(#REF!,Z4897))</f>
        <v/>
      </c>
      <c r="AD4897" t="str">
        <f>IF(A4897="","",IF(AC4897&gt;1,"REVISAR DUPLICADO",IF(AA4897&lt;&gt;"","ACTUALIZADO POR EYR","SIN REPORTE EYR")))</f>
        <v/>
      </c>
    </row>
    <row r="4898" spans="11:30" x14ac:dyDescent="0.3">
      <c r="K4898" s="1" t="str">
        <f ca="1">IF(A4898="","",IF(OR(L4898="ENTREGADA",L4898="RETORNADA",L4898="ENTREGA DIGITAL"),0,MAX(0,5-NETWORKDAYS(H4898+1,TODAY()))))</f>
        <v/>
      </c>
      <c r="L4898" t="str">
        <f>IF(A4898="","",IFERROR(LOOKUP(2,1/(#REF!=Z4898),#REF!),Y4898))</f>
        <v/>
      </c>
      <c r="Z4898" t="str">
        <f>IF(A4898="","",TEXT(A4898,"0")&amp;"|"&amp;TEXT(H4898,"0"))</f>
        <v/>
      </c>
      <c r="AA4898" t="str">
        <f>IF(Z4898="","",IFERROR(LOOKUP(2,1/(#REF!=Z4898),#REF!),""))</f>
        <v/>
      </c>
      <c r="AB4898" t="str">
        <f>IF(Z4898="","",IFERROR(LOOKUP(2,1/(#REF!=Z4898),#REF!),""))</f>
        <v/>
      </c>
      <c r="AC4898" t="str">
        <f>IF(Z4898="","",COUNTIF(#REF!,Z4898))</f>
        <v/>
      </c>
      <c r="AD4898" t="str">
        <f>IF(A4898="","",IF(AC4898&gt;1,"REVISAR DUPLICADO",IF(AA4898&lt;&gt;"","ACTUALIZADO POR EYR","SIN REPORTE EYR")))</f>
        <v/>
      </c>
    </row>
    <row r="4899" spans="11:30" x14ac:dyDescent="0.3">
      <c r="K4899" s="1" t="str">
        <f ca="1">IF(A4899="","",IF(OR(L4899="ENTREGADA",L4899="RETORNADA",L4899="ENTREGA DIGITAL"),0,MAX(0,5-NETWORKDAYS(H4899+1,TODAY()))))</f>
        <v/>
      </c>
      <c r="L4899" t="str">
        <f>IF(A4899="","",IFERROR(LOOKUP(2,1/(#REF!=Z4899),#REF!),Y4899))</f>
        <v/>
      </c>
      <c r="Z4899" t="str">
        <f>IF(A4899="","",TEXT(A4899,"0")&amp;"|"&amp;TEXT(H4899,"0"))</f>
        <v/>
      </c>
      <c r="AA4899" t="str">
        <f>IF(Z4899="","",IFERROR(LOOKUP(2,1/(#REF!=Z4899),#REF!),""))</f>
        <v/>
      </c>
      <c r="AB4899" t="str">
        <f>IF(Z4899="","",IFERROR(LOOKUP(2,1/(#REF!=Z4899),#REF!),""))</f>
        <v/>
      </c>
      <c r="AC4899" t="str">
        <f>IF(Z4899="","",COUNTIF(#REF!,Z4899))</f>
        <v/>
      </c>
      <c r="AD4899" t="str">
        <f>IF(A4899="","",IF(AC4899&gt;1,"REVISAR DUPLICADO",IF(AA4899&lt;&gt;"","ACTUALIZADO POR EYR","SIN REPORTE EYR")))</f>
        <v/>
      </c>
    </row>
    <row r="4900" spans="11:30" x14ac:dyDescent="0.3">
      <c r="K4900" s="1" t="str">
        <f ca="1">IF(A4900="","",IF(OR(L4900="ENTREGADA",L4900="RETORNADA",L4900="ENTREGA DIGITAL"),0,MAX(0,5-NETWORKDAYS(H4900+1,TODAY()))))</f>
        <v/>
      </c>
      <c r="L4900" t="str">
        <f>IF(A4900="","",IFERROR(LOOKUP(2,1/(#REF!=Z4900),#REF!),Y4900))</f>
        <v/>
      </c>
      <c r="Z4900" t="str">
        <f>IF(A4900="","",TEXT(A4900,"0")&amp;"|"&amp;TEXT(H4900,"0"))</f>
        <v/>
      </c>
      <c r="AA4900" t="str">
        <f>IF(Z4900="","",IFERROR(LOOKUP(2,1/(#REF!=Z4900),#REF!),""))</f>
        <v/>
      </c>
      <c r="AB4900" t="str">
        <f>IF(Z4900="","",IFERROR(LOOKUP(2,1/(#REF!=Z4900),#REF!),""))</f>
        <v/>
      </c>
      <c r="AC4900" t="str">
        <f>IF(Z4900="","",COUNTIF(#REF!,Z4900))</f>
        <v/>
      </c>
      <c r="AD4900" t="str">
        <f>IF(A4900="","",IF(AC4900&gt;1,"REVISAR DUPLICADO",IF(AA4900&lt;&gt;"","ACTUALIZADO POR EYR","SIN REPORTE EYR")))</f>
        <v/>
      </c>
    </row>
    <row r="4901" spans="11:30" x14ac:dyDescent="0.3">
      <c r="K4901" s="1" t="str">
        <f ca="1">IF(A4901="","",IF(OR(L4901="ENTREGADA",L4901="RETORNADA",L4901="ENTREGA DIGITAL"),0,MAX(0,5-NETWORKDAYS(H4901+1,TODAY()))))</f>
        <v/>
      </c>
      <c r="L4901" t="str">
        <f>IF(A4901="","",IFERROR(LOOKUP(2,1/(#REF!=Z4901),#REF!),Y4901))</f>
        <v/>
      </c>
      <c r="Z4901" t="str">
        <f>IF(A4901="","",TEXT(A4901,"0")&amp;"|"&amp;TEXT(H4901,"0"))</f>
        <v/>
      </c>
      <c r="AA4901" t="str">
        <f>IF(Z4901="","",IFERROR(LOOKUP(2,1/(#REF!=Z4901),#REF!),""))</f>
        <v/>
      </c>
      <c r="AB4901" t="str">
        <f>IF(Z4901="","",IFERROR(LOOKUP(2,1/(#REF!=Z4901),#REF!),""))</f>
        <v/>
      </c>
      <c r="AC4901" t="str">
        <f>IF(Z4901="","",COUNTIF(#REF!,Z4901))</f>
        <v/>
      </c>
      <c r="AD4901" t="str">
        <f>IF(A4901="","",IF(AC4901&gt;1,"REVISAR DUPLICADO",IF(AA4901&lt;&gt;"","ACTUALIZADO POR EYR","SIN REPORTE EYR")))</f>
        <v/>
      </c>
    </row>
    <row r="4902" spans="11:30" x14ac:dyDescent="0.3">
      <c r="K4902" s="1" t="str">
        <f ca="1">IF(A4902="","",IF(OR(L4902="ENTREGADA",L4902="RETORNADA",L4902="ENTREGA DIGITAL"),0,MAX(0,5-NETWORKDAYS(H4902+1,TODAY()))))</f>
        <v/>
      </c>
      <c r="L4902" t="str">
        <f>IF(A4902="","",IFERROR(LOOKUP(2,1/(#REF!=Z4902),#REF!),Y4902))</f>
        <v/>
      </c>
      <c r="Z4902" t="str">
        <f>IF(A4902="","",TEXT(A4902,"0")&amp;"|"&amp;TEXT(H4902,"0"))</f>
        <v/>
      </c>
      <c r="AA4902" t="str">
        <f>IF(Z4902="","",IFERROR(LOOKUP(2,1/(#REF!=Z4902),#REF!),""))</f>
        <v/>
      </c>
      <c r="AB4902" t="str">
        <f>IF(Z4902="","",IFERROR(LOOKUP(2,1/(#REF!=Z4902),#REF!),""))</f>
        <v/>
      </c>
      <c r="AC4902" t="str">
        <f>IF(Z4902="","",COUNTIF(#REF!,Z4902))</f>
        <v/>
      </c>
      <c r="AD4902" t="str">
        <f>IF(A4902="","",IF(AC4902&gt;1,"REVISAR DUPLICADO",IF(AA4902&lt;&gt;"","ACTUALIZADO POR EYR","SIN REPORTE EYR")))</f>
        <v/>
      </c>
    </row>
    <row r="4903" spans="11:30" x14ac:dyDescent="0.3">
      <c r="K4903" s="1" t="str">
        <f ca="1">IF(A4903="","",IF(OR(L4903="ENTREGADA",L4903="RETORNADA",L4903="ENTREGA DIGITAL"),0,MAX(0,5-NETWORKDAYS(H4903+1,TODAY()))))</f>
        <v/>
      </c>
      <c r="L4903" t="str">
        <f>IF(A4903="","",IFERROR(LOOKUP(2,1/(#REF!=Z4903),#REF!),Y4903))</f>
        <v/>
      </c>
      <c r="Z4903" t="str">
        <f>IF(A4903="","",TEXT(A4903,"0")&amp;"|"&amp;TEXT(H4903,"0"))</f>
        <v/>
      </c>
      <c r="AA4903" t="str">
        <f>IF(Z4903="","",IFERROR(LOOKUP(2,1/(#REF!=Z4903),#REF!),""))</f>
        <v/>
      </c>
      <c r="AB4903" t="str">
        <f>IF(Z4903="","",IFERROR(LOOKUP(2,1/(#REF!=Z4903),#REF!),""))</f>
        <v/>
      </c>
      <c r="AC4903" t="str">
        <f>IF(Z4903="","",COUNTIF(#REF!,Z4903))</f>
        <v/>
      </c>
      <c r="AD4903" t="str">
        <f>IF(A4903="","",IF(AC4903&gt;1,"REVISAR DUPLICADO",IF(AA4903&lt;&gt;"","ACTUALIZADO POR EYR","SIN REPORTE EYR")))</f>
        <v/>
      </c>
    </row>
    <row r="4904" spans="11:30" x14ac:dyDescent="0.3">
      <c r="K4904" s="1" t="str">
        <f ca="1">IF(A4904="","",IF(OR(L4904="ENTREGADA",L4904="RETORNADA",L4904="ENTREGA DIGITAL"),0,MAX(0,5-NETWORKDAYS(H4904+1,TODAY()))))</f>
        <v/>
      </c>
      <c r="L4904" t="str">
        <f>IF(A4904="","",IFERROR(LOOKUP(2,1/(#REF!=Z4904),#REF!),Y4904))</f>
        <v/>
      </c>
      <c r="Z4904" t="str">
        <f>IF(A4904="","",TEXT(A4904,"0")&amp;"|"&amp;TEXT(H4904,"0"))</f>
        <v/>
      </c>
      <c r="AA4904" t="str">
        <f>IF(Z4904="","",IFERROR(LOOKUP(2,1/(#REF!=Z4904),#REF!),""))</f>
        <v/>
      </c>
      <c r="AB4904" t="str">
        <f>IF(Z4904="","",IFERROR(LOOKUP(2,1/(#REF!=Z4904),#REF!),""))</f>
        <v/>
      </c>
      <c r="AC4904" t="str">
        <f>IF(Z4904="","",COUNTIF(#REF!,Z4904))</f>
        <v/>
      </c>
      <c r="AD4904" t="str">
        <f>IF(A4904="","",IF(AC4904&gt;1,"REVISAR DUPLICADO",IF(AA4904&lt;&gt;"","ACTUALIZADO POR EYR","SIN REPORTE EYR")))</f>
        <v/>
      </c>
    </row>
    <row r="4905" spans="11:30" x14ac:dyDescent="0.3">
      <c r="K4905" s="1" t="str">
        <f ca="1">IF(A4905="","",IF(OR(L4905="ENTREGADA",L4905="RETORNADA",L4905="ENTREGA DIGITAL"),0,MAX(0,5-NETWORKDAYS(H4905+1,TODAY()))))</f>
        <v/>
      </c>
      <c r="L4905" t="str">
        <f>IF(A4905="","",IFERROR(LOOKUP(2,1/(#REF!=Z4905),#REF!),Y4905))</f>
        <v/>
      </c>
      <c r="Z4905" t="str">
        <f>IF(A4905="","",TEXT(A4905,"0")&amp;"|"&amp;TEXT(H4905,"0"))</f>
        <v/>
      </c>
      <c r="AA4905" t="str">
        <f>IF(Z4905="","",IFERROR(LOOKUP(2,1/(#REF!=Z4905),#REF!),""))</f>
        <v/>
      </c>
      <c r="AB4905" t="str">
        <f>IF(Z4905="","",IFERROR(LOOKUP(2,1/(#REF!=Z4905),#REF!),""))</f>
        <v/>
      </c>
      <c r="AC4905" t="str">
        <f>IF(Z4905="","",COUNTIF(#REF!,Z4905))</f>
        <v/>
      </c>
      <c r="AD4905" t="str">
        <f>IF(A4905="","",IF(AC4905&gt;1,"REVISAR DUPLICADO",IF(AA4905&lt;&gt;"","ACTUALIZADO POR EYR","SIN REPORTE EYR")))</f>
        <v/>
      </c>
    </row>
    <row r="4906" spans="11:30" x14ac:dyDescent="0.3">
      <c r="K4906" s="1" t="str">
        <f ca="1">IF(A4906="","",IF(OR(L4906="ENTREGADA",L4906="RETORNADA",L4906="ENTREGA DIGITAL"),0,MAX(0,5-NETWORKDAYS(H4906+1,TODAY()))))</f>
        <v/>
      </c>
      <c r="L4906" t="str">
        <f>IF(A4906="","",IFERROR(LOOKUP(2,1/(#REF!=Z4906),#REF!),Y4906))</f>
        <v/>
      </c>
      <c r="Z4906" t="str">
        <f>IF(A4906="","",TEXT(A4906,"0")&amp;"|"&amp;TEXT(H4906,"0"))</f>
        <v/>
      </c>
      <c r="AA4906" t="str">
        <f>IF(Z4906="","",IFERROR(LOOKUP(2,1/(#REF!=Z4906),#REF!),""))</f>
        <v/>
      </c>
      <c r="AB4906" t="str">
        <f>IF(Z4906="","",IFERROR(LOOKUP(2,1/(#REF!=Z4906),#REF!),""))</f>
        <v/>
      </c>
      <c r="AC4906" t="str">
        <f>IF(Z4906="","",COUNTIF(#REF!,Z4906))</f>
        <v/>
      </c>
      <c r="AD4906" t="str">
        <f>IF(A4906="","",IF(AC4906&gt;1,"REVISAR DUPLICADO",IF(AA4906&lt;&gt;"","ACTUALIZADO POR EYR","SIN REPORTE EYR")))</f>
        <v/>
      </c>
    </row>
    <row r="4907" spans="11:30" x14ac:dyDescent="0.3">
      <c r="K4907" s="1" t="str">
        <f ca="1">IF(A4907="","",IF(OR(L4907="ENTREGADA",L4907="RETORNADA",L4907="ENTREGA DIGITAL"),0,MAX(0,5-NETWORKDAYS(H4907+1,TODAY()))))</f>
        <v/>
      </c>
      <c r="L4907" t="str">
        <f>IF(A4907="","",IFERROR(LOOKUP(2,1/(#REF!=Z4907),#REF!),Y4907))</f>
        <v/>
      </c>
      <c r="Z4907" t="str">
        <f>IF(A4907="","",TEXT(A4907,"0")&amp;"|"&amp;TEXT(H4907,"0"))</f>
        <v/>
      </c>
      <c r="AA4907" t="str">
        <f>IF(Z4907="","",IFERROR(LOOKUP(2,1/(#REF!=Z4907),#REF!),""))</f>
        <v/>
      </c>
      <c r="AB4907" t="str">
        <f>IF(Z4907="","",IFERROR(LOOKUP(2,1/(#REF!=Z4907),#REF!),""))</f>
        <v/>
      </c>
      <c r="AC4907" t="str">
        <f>IF(Z4907="","",COUNTIF(#REF!,Z4907))</f>
        <v/>
      </c>
      <c r="AD4907" t="str">
        <f>IF(A4907="","",IF(AC4907&gt;1,"REVISAR DUPLICADO",IF(AA4907&lt;&gt;"","ACTUALIZADO POR EYR","SIN REPORTE EYR")))</f>
        <v/>
      </c>
    </row>
    <row r="4908" spans="11:30" x14ac:dyDescent="0.3">
      <c r="K4908" s="1" t="str">
        <f ca="1">IF(A4908="","",IF(OR(L4908="ENTREGADA",L4908="RETORNADA",L4908="ENTREGA DIGITAL"),0,MAX(0,5-NETWORKDAYS(H4908+1,TODAY()))))</f>
        <v/>
      </c>
      <c r="L4908" t="str">
        <f>IF(A4908="","",IFERROR(LOOKUP(2,1/(#REF!=Z4908),#REF!),Y4908))</f>
        <v/>
      </c>
      <c r="Z4908" t="str">
        <f>IF(A4908="","",TEXT(A4908,"0")&amp;"|"&amp;TEXT(H4908,"0"))</f>
        <v/>
      </c>
      <c r="AA4908" t="str">
        <f>IF(Z4908="","",IFERROR(LOOKUP(2,1/(#REF!=Z4908),#REF!),""))</f>
        <v/>
      </c>
      <c r="AB4908" t="str">
        <f>IF(Z4908="","",IFERROR(LOOKUP(2,1/(#REF!=Z4908),#REF!),""))</f>
        <v/>
      </c>
      <c r="AC4908" t="str">
        <f>IF(Z4908="","",COUNTIF(#REF!,Z4908))</f>
        <v/>
      </c>
      <c r="AD4908" t="str">
        <f>IF(A4908="","",IF(AC4908&gt;1,"REVISAR DUPLICADO",IF(AA4908&lt;&gt;"","ACTUALIZADO POR EYR","SIN REPORTE EYR")))</f>
        <v/>
      </c>
    </row>
    <row r="4909" spans="11:30" x14ac:dyDescent="0.3">
      <c r="K4909" s="1" t="str">
        <f ca="1">IF(A4909="","",IF(OR(L4909="ENTREGADA",L4909="RETORNADA",L4909="ENTREGA DIGITAL"),0,MAX(0,5-NETWORKDAYS(H4909+1,TODAY()))))</f>
        <v/>
      </c>
      <c r="L4909" t="str">
        <f>IF(A4909="","",IFERROR(LOOKUP(2,1/(#REF!=Z4909),#REF!),Y4909))</f>
        <v/>
      </c>
      <c r="Z4909" t="str">
        <f>IF(A4909="","",TEXT(A4909,"0")&amp;"|"&amp;TEXT(H4909,"0"))</f>
        <v/>
      </c>
      <c r="AA4909" t="str">
        <f>IF(Z4909="","",IFERROR(LOOKUP(2,1/(#REF!=Z4909),#REF!),""))</f>
        <v/>
      </c>
      <c r="AB4909" t="str">
        <f>IF(Z4909="","",IFERROR(LOOKUP(2,1/(#REF!=Z4909),#REF!),""))</f>
        <v/>
      </c>
      <c r="AC4909" t="str">
        <f>IF(Z4909="","",COUNTIF(#REF!,Z4909))</f>
        <v/>
      </c>
      <c r="AD4909" t="str">
        <f>IF(A4909="","",IF(AC4909&gt;1,"REVISAR DUPLICADO",IF(AA4909&lt;&gt;"","ACTUALIZADO POR EYR","SIN REPORTE EYR")))</f>
        <v/>
      </c>
    </row>
    <row r="4910" spans="11:30" x14ac:dyDescent="0.3">
      <c r="K4910" s="1" t="str">
        <f ca="1">IF(A4910="","",IF(OR(L4910="ENTREGADA",L4910="RETORNADA",L4910="ENTREGA DIGITAL"),0,MAX(0,5-NETWORKDAYS(H4910+1,TODAY()))))</f>
        <v/>
      </c>
      <c r="L4910" t="str">
        <f>IF(A4910="","",IFERROR(LOOKUP(2,1/(#REF!=Z4910),#REF!),Y4910))</f>
        <v/>
      </c>
      <c r="Z4910" t="str">
        <f>IF(A4910="","",TEXT(A4910,"0")&amp;"|"&amp;TEXT(H4910,"0"))</f>
        <v/>
      </c>
      <c r="AA4910" t="str">
        <f>IF(Z4910="","",IFERROR(LOOKUP(2,1/(#REF!=Z4910),#REF!),""))</f>
        <v/>
      </c>
      <c r="AB4910" t="str">
        <f>IF(Z4910="","",IFERROR(LOOKUP(2,1/(#REF!=Z4910),#REF!),""))</f>
        <v/>
      </c>
      <c r="AC4910" t="str">
        <f>IF(Z4910="","",COUNTIF(#REF!,Z4910))</f>
        <v/>
      </c>
      <c r="AD4910" t="str">
        <f>IF(A4910="","",IF(AC4910&gt;1,"REVISAR DUPLICADO",IF(AA4910&lt;&gt;"","ACTUALIZADO POR EYR","SIN REPORTE EYR")))</f>
        <v/>
      </c>
    </row>
    <row r="4911" spans="11:30" x14ac:dyDescent="0.3">
      <c r="K4911" s="1" t="str">
        <f ca="1">IF(A4911="","",IF(OR(L4911="ENTREGADA",L4911="RETORNADA",L4911="ENTREGA DIGITAL"),0,MAX(0,5-NETWORKDAYS(H4911+1,TODAY()))))</f>
        <v/>
      </c>
      <c r="L4911" t="str">
        <f>IF(A4911="","",IFERROR(LOOKUP(2,1/(#REF!=Z4911),#REF!),Y4911))</f>
        <v/>
      </c>
      <c r="Z4911" t="str">
        <f>IF(A4911="","",TEXT(A4911,"0")&amp;"|"&amp;TEXT(H4911,"0"))</f>
        <v/>
      </c>
      <c r="AA4911" t="str">
        <f>IF(Z4911="","",IFERROR(LOOKUP(2,1/(#REF!=Z4911),#REF!),""))</f>
        <v/>
      </c>
      <c r="AB4911" t="str">
        <f>IF(Z4911="","",IFERROR(LOOKUP(2,1/(#REF!=Z4911),#REF!),""))</f>
        <v/>
      </c>
      <c r="AC4911" t="str">
        <f>IF(Z4911="","",COUNTIF(#REF!,Z4911))</f>
        <v/>
      </c>
      <c r="AD4911" t="str">
        <f>IF(A4911="","",IF(AC4911&gt;1,"REVISAR DUPLICADO",IF(AA4911&lt;&gt;"","ACTUALIZADO POR EYR","SIN REPORTE EYR")))</f>
        <v/>
      </c>
    </row>
    <row r="4912" spans="11:30" x14ac:dyDescent="0.3">
      <c r="K4912" s="1" t="str">
        <f ca="1">IF(A4912="","",IF(OR(L4912="ENTREGADA",L4912="RETORNADA",L4912="ENTREGA DIGITAL"),0,MAX(0,5-NETWORKDAYS(H4912+1,TODAY()))))</f>
        <v/>
      </c>
      <c r="L4912" t="str">
        <f>IF(A4912="","",IFERROR(LOOKUP(2,1/(#REF!=Z4912),#REF!),Y4912))</f>
        <v/>
      </c>
      <c r="Z4912" t="str">
        <f>IF(A4912="","",TEXT(A4912,"0")&amp;"|"&amp;TEXT(H4912,"0"))</f>
        <v/>
      </c>
      <c r="AA4912" t="str">
        <f>IF(Z4912="","",IFERROR(LOOKUP(2,1/(#REF!=Z4912),#REF!),""))</f>
        <v/>
      </c>
      <c r="AB4912" t="str">
        <f>IF(Z4912="","",IFERROR(LOOKUP(2,1/(#REF!=Z4912),#REF!),""))</f>
        <v/>
      </c>
      <c r="AC4912" t="str">
        <f>IF(Z4912="","",COUNTIF(#REF!,Z4912))</f>
        <v/>
      </c>
      <c r="AD4912" t="str">
        <f>IF(A4912="","",IF(AC4912&gt;1,"REVISAR DUPLICADO",IF(AA4912&lt;&gt;"","ACTUALIZADO POR EYR","SIN REPORTE EYR")))</f>
        <v/>
      </c>
    </row>
    <row r="4913" spans="11:30" x14ac:dyDescent="0.3">
      <c r="K4913" s="1" t="str">
        <f ca="1">IF(A4913="","",IF(OR(L4913="ENTREGADA",L4913="RETORNADA",L4913="ENTREGA DIGITAL"),0,MAX(0,5-NETWORKDAYS(H4913+1,TODAY()))))</f>
        <v/>
      </c>
      <c r="L4913" t="str">
        <f>IF(A4913="","",IFERROR(LOOKUP(2,1/(#REF!=Z4913),#REF!),Y4913))</f>
        <v/>
      </c>
      <c r="Z4913" t="str">
        <f>IF(A4913="","",TEXT(A4913,"0")&amp;"|"&amp;TEXT(H4913,"0"))</f>
        <v/>
      </c>
      <c r="AA4913" t="str">
        <f>IF(Z4913="","",IFERROR(LOOKUP(2,1/(#REF!=Z4913),#REF!),""))</f>
        <v/>
      </c>
      <c r="AB4913" t="str">
        <f>IF(Z4913="","",IFERROR(LOOKUP(2,1/(#REF!=Z4913),#REF!),""))</f>
        <v/>
      </c>
      <c r="AC4913" t="str">
        <f>IF(Z4913="","",COUNTIF(#REF!,Z4913))</f>
        <v/>
      </c>
      <c r="AD4913" t="str">
        <f>IF(A4913="","",IF(AC4913&gt;1,"REVISAR DUPLICADO",IF(AA4913&lt;&gt;"","ACTUALIZADO POR EYR","SIN REPORTE EYR")))</f>
        <v/>
      </c>
    </row>
    <row r="4914" spans="11:30" x14ac:dyDescent="0.3">
      <c r="K4914" s="1" t="str">
        <f ca="1">IF(A4914="","",IF(OR(L4914="ENTREGADA",L4914="RETORNADA",L4914="ENTREGA DIGITAL"),0,MAX(0,5-NETWORKDAYS(H4914+1,TODAY()))))</f>
        <v/>
      </c>
      <c r="L4914" t="str">
        <f>IF(A4914="","",IFERROR(LOOKUP(2,1/(#REF!=Z4914),#REF!),Y4914))</f>
        <v/>
      </c>
      <c r="Z4914" t="str">
        <f>IF(A4914="","",TEXT(A4914,"0")&amp;"|"&amp;TEXT(H4914,"0"))</f>
        <v/>
      </c>
      <c r="AA4914" t="str">
        <f>IF(Z4914="","",IFERROR(LOOKUP(2,1/(#REF!=Z4914),#REF!),""))</f>
        <v/>
      </c>
      <c r="AB4914" t="str">
        <f>IF(Z4914="","",IFERROR(LOOKUP(2,1/(#REF!=Z4914),#REF!),""))</f>
        <v/>
      </c>
      <c r="AC4914" t="str">
        <f>IF(Z4914="","",COUNTIF(#REF!,Z4914))</f>
        <v/>
      </c>
      <c r="AD4914" t="str">
        <f>IF(A4914="","",IF(AC4914&gt;1,"REVISAR DUPLICADO",IF(AA4914&lt;&gt;"","ACTUALIZADO POR EYR","SIN REPORTE EYR")))</f>
        <v/>
      </c>
    </row>
    <row r="4915" spans="11:30" x14ac:dyDescent="0.3">
      <c r="K4915" s="1" t="str">
        <f ca="1">IF(A4915="","",IF(OR(L4915="ENTREGADA",L4915="RETORNADA",L4915="ENTREGA DIGITAL"),0,MAX(0,5-NETWORKDAYS(H4915+1,TODAY()))))</f>
        <v/>
      </c>
      <c r="L4915" t="str">
        <f>IF(A4915="","",IFERROR(LOOKUP(2,1/(#REF!=Z4915),#REF!),Y4915))</f>
        <v/>
      </c>
      <c r="Z4915" t="str">
        <f>IF(A4915="","",TEXT(A4915,"0")&amp;"|"&amp;TEXT(H4915,"0"))</f>
        <v/>
      </c>
      <c r="AA4915" t="str">
        <f>IF(Z4915="","",IFERROR(LOOKUP(2,1/(#REF!=Z4915),#REF!),""))</f>
        <v/>
      </c>
      <c r="AB4915" t="str">
        <f>IF(Z4915="","",IFERROR(LOOKUP(2,1/(#REF!=Z4915),#REF!),""))</f>
        <v/>
      </c>
      <c r="AC4915" t="str">
        <f>IF(Z4915="","",COUNTIF(#REF!,Z4915))</f>
        <v/>
      </c>
      <c r="AD4915" t="str">
        <f>IF(A4915="","",IF(AC4915&gt;1,"REVISAR DUPLICADO",IF(AA4915&lt;&gt;"","ACTUALIZADO POR EYR","SIN REPORTE EYR")))</f>
        <v/>
      </c>
    </row>
    <row r="4916" spans="11:30" x14ac:dyDescent="0.3">
      <c r="K4916" s="1" t="str">
        <f ca="1">IF(A4916="","",IF(OR(L4916="ENTREGADA",L4916="RETORNADA",L4916="ENTREGA DIGITAL"),0,MAX(0,5-NETWORKDAYS(H4916+1,TODAY()))))</f>
        <v/>
      </c>
      <c r="L4916" t="str">
        <f>IF(A4916="","",IFERROR(LOOKUP(2,1/(#REF!=Z4916),#REF!),Y4916))</f>
        <v/>
      </c>
      <c r="Z4916" t="str">
        <f>IF(A4916="","",TEXT(A4916,"0")&amp;"|"&amp;TEXT(H4916,"0"))</f>
        <v/>
      </c>
      <c r="AA4916" t="str">
        <f>IF(Z4916="","",IFERROR(LOOKUP(2,1/(#REF!=Z4916),#REF!),""))</f>
        <v/>
      </c>
      <c r="AB4916" t="str">
        <f>IF(Z4916="","",IFERROR(LOOKUP(2,1/(#REF!=Z4916),#REF!),""))</f>
        <v/>
      </c>
      <c r="AC4916" t="str">
        <f>IF(Z4916="","",COUNTIF(#REF!,Z4916))</f>
        <v/>
      </c>
      <c r="AD4916" t="str">
        <f>IF(A4916="","",IF(AC4916&gt;1,"REVISAR DUPLICADO",IF(AA4916&lt;&gt;"","ACTUALIZADO POR EYR","SIN REPORTE EYR")))</f>
        <v/>
      </c>
    </row>
    <row r="4917" spans="11:30" x14ac:dyDescent="0.3">
      <c r="K4917" s="1" t="str">
        <f ca="1">IF(A4917="","",IF(OR(L4917="ENTREGADA",L4917="RETORNADA",L4917="ENTREGA DIGITAL"),0,MAX(0,5-NETWORKDAYS(H4917+1,TODAY()))))</f>
        <v/>
      </c>
      <c r="L4917" t="str">
        <f>IF(A4917="","",IFERROR(LOOKUP(2,1/(#REF!=Z4917),#REF!),Y4917))</f>
        <v/>
      </c>
      <c r="Z4917" t="str">
        <f>IF(A4917="","",TEXT(A4917,"0")&amp;"|"&amp;TEXT(H4917,"0"))</f>
        <v/>
      </c>
      <c r="AA4917" t="str">
        <f>IF(Z4917="","",IFERROR(LOOKUP(2,1/(#REF!=Z4917),#REF!),""))</f>
        <v/>
      </c>
      <c r="AB4917" t="str">
        <f>IF(Z4917="","",IFERROR(LOOKUP(2,1/(#REF!=Z4917),#REF!),""))</f>
        <v/>
      </c>
      <c r="AC4917" t="str">
        <f>IF(Z4917="","",COUNTIF(#REF!,Z4917))</f>
        <v/>
      </c>
      <c r="AD4917" t="str">
        <f>IF(A4917="","",IF(AC4917&gt;1,"REVISAR DUPLICADO",IF(AA4917&lt;&gt;"","ACTUALIZADO POR EYR","SIN REPORTE EYR")))</f>
        <v/>
      </c>
    </row>
    <row r="4918" spans="11:30" x14ac:dyDescent="0.3">
      <c r="K4918" s="1" t="str">
        <f ca="1">IF(A4918="","",IF(OR(L4918="ENTREGADA",L4918="RETORNADA",L4918="ENTREGA DIGITAL"),0,MAX(0,5-NETWORKDAYS(H4918+1,TODAY()))))</f>
        <v/>
      </c>
      <c r="L4918" t="str">
        <f>IF(A4918="","",IFERROR(LOOKUP(2,1/(#REF!=Z4918),#REF!),Y4918))</f>
        <v/>
      </c>
      <c r="Z4918" t="str">
        <f>IF(A4918="","",TEXT(A4918,"0")&amp;"|"&amp;TEXT(H4918,"0"))</f>
        <v/>
      </c>
      <c r="AA4918" t="str">
        <f>IF(Z4918="","",IFERROR(LOOKUP(2,1/(#REF!=Z4918),#REF!),""))</f>
        <v/>
      </c>
      <c r="AB4918" t="str">
        <f>IF(Z4918="","",IFERROR(LOOKUP(2,1/(#REF!=Z4918),#REF!),""))</f>
        <v/>
      </c>
      <c r="AC4918" t="str">
        <f>IF(Z4918="","",COUNTIF(#REF!,Z4918))</f>
        <v/>
      </c>
      <c r="AD4918" t="str">
        <f>IF(A4918="","",IF(AC4918&gt;1,"REVISAR DUPLICADO",IF(AA4918&lt;&gt;"","ACTUALIZADO POR EYR","SIN REPORTE EYR")))</f>
        <v/>
      </c>
    </row>
    <row r="4919" spans="11:30" x14ac:dyDescent="0.3">
      <c r="K4919" s="1" t="str">
        <f ca="1">IF(A4919="","",IF(OR(L4919="ENTREGADA",L4919="RETORNADA",L4919="ENTREGA DIGITAL"),0,MAX(0,5-NETWORKDAYS(H4919+1,TODAY()))))</f>
        <v/>
      </c>
      <c r="L4919" t="str">
        <f>IF(A4919="","",IFERROR(LOOKUP(2,1/(#REF!=Z4919),#REF!),Y4919))</f>
        <v/>
      </c>
      <c r="Z4919" t="str">
        <f>IF(A4919="","",TEXT(A4919,"0")&amp;"|"&amp;TEXT(H4919,"0"))</f>
        <v/>
      </c>
      <c r="AA4919" t="str">
        <f>IF(Z4919="","",IFERROR(LOOKUP(2,1/(#REF!=Z4919),#REF!),""))</f>
        <v/>
      </c>
      <c r="AB4919" t="str">
        <f>IF(Z4919="","",IFERROR(LOOKUP(2,1/(#REF!=Z4919),#REF!),""))</f>
        <v/>
      </c>
      <c r="AC4919" t="str">
        <f>IF(Z4919="","",COUNTIF(#REF!,Z4919))</f>
        <v/>
      </c>
      <c r="AD4919" t="str">
        <f>IF(A4919="","",IF(AC4919&gt;1,"REVISAR DUPLICADO",IF(AA4919&lt;&gt;"","ACTUALIZADO POR EYR","SIN REPORTE EYR")))</f>
        <v/>
      </c>
    </row>
    <row r="4920" spans="11:30" x14ac:dyDescent="0.3">
      <c r="K4920" s="1" t="str">
        <f ca="1">IF(A4920="","",IF(OR(L4920="ENTREGADA",L4920="RETORNADA",L4920="ENTREGA DIGITAL"),0,MAX(0,5-NETWORKDAYS(H4920+1,TODAY()))))</f>
        <v/>
      </c>
      <c r="L4920" t="str">
        <f>IF(A4920="","",IFERROR(LOOKUP(2,1/(#REF!=Z4920),#REF!),Y4920))</f>
        <v/>
      </c>
      <c r="Z4920" t="str">
        <f>IF(A4920="","",TEXT(A4920,"0")&amp;"|"&amp;TEXT(H4920,"0"))</f>
        <v/>
      </c>
      <c r="AA4920" t="str">
        <f>IF(Z4920="","",IFERROR(LOOKUP(2,1/(#REF!=Z4920),#REF!),""))</f>
        <v/>
      </c>
      <c r="AB4920" t="str">
        <f>IF(Z4920="","",IFERROR(LOOKUP(2,1/(#REF!=Z4920),#REF!),""))</f>
        <v/>
      </c>
      <c r="AC4920" t="str">
        <f>IF(Z4920="","",COUNTIF(#REF!,Z4920))</f>
        <v/>
      </c>
      <c r="AD4920" t="str">
        <f>IF(A4920="","",IF(AC4920&gt;1,"REVISAR DUPLICADO",IF(AA4920&lt;&gt;"","ACTUALIZADO POR EYR","SIN REPORTE EYR")))</f>
        <v/>
      </c>
    </row>
    <row r="4921" spans="11:30" x14ac:dyDescent="0.3">
      <c r="K4921" s="1" t="str">
        <f ca="1">IF(A4921="","",IF(OR(L4921="ENTREGADA",L4921="RETORNADA",L4921="ENTREGA DIGITAL"),0,MAX(0,5-NETWORKDAYS(H4921+1,TODAY()))))</f>
        <v/>
      </c>
      <c r="L4921" t="str">
        <f>IF(A4921="","",IFERROR(LOOKUP(2,1/(#REF!=Z4921),#REF!),Y4921))</f>
        <v/>
      </c>
      <c r="Z4921" t="str">
        <f>IF(A4921="","",TEXT(A4921,"0")&amp;"|"&amp;TEXT(H4921,"0"))</f>
        <v/>
      </c>
      <c r="AA4921" t="str">
        <f>IF(Z4921="","",IFERROR(LOOKUP(2,1/(#REF!=Z4921),#REF!),""))</f>
        <v/>
      </c>
      <c r="AB4921" t="str">
        <f>IF(Z4921="","",IFERROR(LOOKUP(2,1/(#REF!=Z4921),#REF!),""))</f>
        <v/>
      </c>
      <c r="AC4921" t="str">
        <f>IF(Z4921="","",COUNTIF(#REF!,Z4921))</f>
        <v/>
      </c>
      <c r="AD4921" t="str">
        <f>IF(A4921="","",IF(AC4921&gt;1,"REVISAR DUPLICADO",IF(AA4921&lt;&gt;"","ACTUALIZADO POR EYR","SIN REPORTE EYR")))</f>
        <v/>
      </c>
    </row>
    <row r="4922" spans="11:30" x14ac:dyDescent="0.3">
      <c r="K4922" s="1" t="str">
        <f ca="1">IF(A4922="","",IF(OR(L4922="ENTREGADA",L4922="RETORNADA",L4922="ENTREGA DIGITAL"),0,MAX(0,5-NETWORKDAYS(H4922+1,TODAY()))))</f>
        <v/>
      </c>
      <c r="L4922" t="str">
        <f>IF(A4922="","",IFERROR(LOOKUP(2,1/(#REF!=Z4922),#REF!),Y4922))</f>
        <v/>
      </c>
      <c r="Z4922" t="str">
        <f>IF(A4922="","",TEXT(A4922,"0")&amp;"|"&amp;TEXT(H4922,"0"))</f>
        <v/>
      </c>
      <c r="AA4922" t="str">
        <f>IF(Z4922="","",IFERROR(LOOKUP(2,1/(#REF!=Z4922),#REF!),""))</f>
        <v/>
      </c>
      <c r="AB4922" t="str">
        <f>IF(Z4922="","",IFERROR(LOOKUP(2,1/(#REF!=Z4922),#REF!),""))</f>
        <v/>
      </c>
      <c r="AC4922" t="str">
        <f>IF(Z4922="","",COUNTIF(#REF!,Z4922))</f>
        <v/>
      </c>
      <c r="AD4922" t="str">
        <f>IF(A4922="","",IF(AC4922&gt;1,"REVISAR DUPLICADO",IF(AA4922&lt;&gt;"","ACTUALIZADO POR EYR","SIN REPORTE EYR")))</f>
        <v/>
      </c>
    </row>
    <row r="4923" spans="11:30" x14ac:dyDescent="0.3">
      <c r="K4923" s="1" t="str">
        <f ca="1">IF(A4923="","",IF(OR(L4923="ENTREGADA",L4923="RETORNADA",L4923="ENTREGA DIGITAL"),0,MAX(0,5-NETWORKDAYS(H4923+1,TODAY()))))</f>
        <v/>
      </c>
      <c r="L4923" t="str">
        <f>IF(A4923="","",IFERROR(LOOKUP(2,1/(#REF!=Z4923),#REF!),Y4923))</f>
        <v/>
      </c>
      <c r="Z4923" t="str">
        <f>IF(A4923="","",TEXT(A4923,"0")&amp;"|"&amp;TEXT(H4923,"0"))</f>
        <v/>
      </c>
      <c r="AA4923" t="str">
        <f>IF(Z4923="","",IFERROR(LOOKUP(2,1/(#REF!=Z4923),#REF!),""))</f>
        <v/>
      </c>
      <c r="AB4923" t="str">
        <f>IF(Z4923="","",IFERROR(LOOKUP(2,1/(#REF!=Z4923),#REF!),""))</f>
        <v/>
      </c>
      <c r="AC4923" t="str">
        <f>IF(Z4923="","",COUNTIF(#REF!,Z4923))</f>
        <v/>
      </c>
      <c r="AD4923" t="str">
        <f>IF(A4923="","",IF(AC4923&gt;1,"REVISAR DUPLICADO",IF(AA4923&lt;&gt;"","ACTUALIZADO POR EYR","SIN REPORTE EYR")))</f>
        <v/>
      </c>
    </row>
    <row r="4924" spans="11:30" x14ac:dyDescent="0.3">
      <c r="K4924" s="1" t="str">
        <f ca="1">IF(A4924="","",IF(OR(L4924="ENTREGADA",L4924="RETORNADA",L4924="ENTREGA DIGITAL"),0,MAX(0,5-NETWORKDAYS(H4924+1,TODAY()))))</f>
        <v/>
      </c>
      <c r="L4924" t="str">
        <f>IF(A4924="","",IFERROR(LOOKUP(2,1/(#REF!=Z4924),#REF!),Y4924))</f>
        <v/>
      </c>
      <c r="Z4924" t="str">
        <f>IF(A4924="","",TEXT(A4924,"0")&amp;"|"&amp;TEXT(H4924,"0"))</f>
        <v/>
      </c>
      <c r="AA4924" t="str">
        <f>IF(Z4924="","",IFERROR(LOOKUP(2,1/(#REF!=Z4924),#REF!),""))</f>
        <v/>
      </c>
      <c r="AB4924" t="str">
        <f>IF(Z4924="","",IFERROR(LOOKUP(2,1/(#REF!=Z4924),#REF!),""))</f>
        <v/>
      </c>
      <c r="AC4924" t="str">
        <f>IF(Z4924="","",COUNTIF(#REF!,Z4924))</f>
        <v/>
      </c>
      <c r="AD4924" t="str">
        <f>IF(A4924="","",IF(AC4924&gt;1,"REVISAR DUPLICADO",IF(AA4924&lt;&gt;"","ACTUALIZADO POR EYR","SIN REPORTE EYR")))</f>
        <v/>
      </c>
    </row>
    <row r="4925" spans="11:30" x14ac:dyDescent="0.3">
      <c r="K4925" s="1" t="str">
        <f ca="1">IF(A4925="","",IF(OR(L4925="ENTREGADA",L4925="RETORNADA",L4925="ENTREGA DIGITAL"),0,MAX(0,5-NETWORKDAYS(H4925+1,TODAY()))))</f>
        <v/>
      </c>
      <c r="L4925" t="str">
        <f>IF(A4925="","",IFERROR(LOOKUP(2,1/(#REF!=Z4925),#REF!),Y4925))</f>
        <v/>
      </c>
      <c r="Z4925" t="str">
        <f>IF(A4925="","",TEXT(A4925,"0")&amp;"|"&amp;TEXT(H4925,"0"))</f>
        <v/>
      </c>
      <c r="AA4925" t="str">
        <f>IF(Z4925="","",IFERROR(LOOKUP(2,1/(#REF!=Z4925),#REF!),""))</f>
        <v/>
      </c>
      <c r="AB4925" t="str">
        <f>IF(Z4925="","",IFERROR(LOOKUP(2,1/(#REF!=Z4925),#REF!),""))</f>
        <v/>
      </c>
      <c r="AC4925" t="str">
        <f>IF(Z4925="","",COUNTIF(#REF!,Z4925))</f>
        <v/>
      </c>
      <c r="AD4925" t="str">
        <f>IF(A4925="","",IF(AC4925&gt;1,"REVISAR DUPLICADO",IF(AA4925&lt;&gt;"","ACTUALIZADO POR EYR","SIN REPORTE EYR")))</f>
        <v/>
      </c>
    </row>
    <row r="4926" spans="11:30" x14ac:dyDescent="0.3">
      <c r="K4926" s="1" t="str">
        <f ca="1">IF(A4926="","",IF(OR(L4926="ENTREGADA",L4926="RETORNADA",L4926="ENTREGA DIGITAL"),0,MAX(0,5-NETWORKDAYS(H4926+1,TODAY()))))</f>
        <v/>
      </c>
      <c r="L4926" t="str">
        <f>IF(A4926="","",IFERROR(LOOKUP(2,1/(#REF!=Z4926),#REF!),Y4926))</f>
        <v/>
      </c>
      <c r="Z4926" t="str">
        <f>IF(A4926="","",TEXT(A4926,"0")&amp;"|"&amp;TEXT(H4926,"0"))</f>
        <v/>
      </c>
      <c r="AA4926" t="str">
        <f>IF(Z4926="","",IFERROR(LOOKUP(2,1/(#REF!=Z4926),#REF!),""))</f>
        <v/>
      </c>
      <c r="AB4926" t="str">
        <f>IF(Z4926="","",IFERROR(LOOKUP(2,1/(#REF!=Z4926),#REF!),""))</f>
        <v/>
      </c>
      <c r="AC4926" t="str">
        <f>IF(Z4926="","",COUNTIF(#REF!,Z4926))</f>
        <v/>
      </c>
      <c r="AD4926" t="str">
        <f>IF(A4926="","",IF(AC4926&gt;1,"REVISAR DUPLICADO",IF(AA4926&lt;&gt;"","ACTUALIZADO POR EYR","SIN REPORTE EYR")))</f>
        <v/>
      </c>
    </row>
    <row r="4927" spans="11:30" x14ac:dyDescent="0.3">
      <c r="K4927" s="1" t="str">
        <f ca="1">IF(A4927="","",IF(OR(L4927="ENTREGADA",L4927="RETORNADA",L4927="ENTREGA DIGITAL"),0,MAX(0,5-NETWORKDAYS(H4927+1,TODAY()))))</f>
        <v/>
      </c>
      <c r="L4927" t="str">
        <f>IF(A4927="","",IFERROR(LOOKUP(2,1/(#REF!=Z4927),#REF!),Y4927))</f>
        <v/>
      </c>
      <c r="Z4927" t="str">
        <f>IF(A4927="","",TEXT(A4927,"0")&amp;"|"&amp;TEXT(H4927,"0"))</f>
        <v/>
      </c>
      <c r="AA4927" t="str">
        <f>IF(Z4927="","",IFERROR(LOOKUP(2,1/(#REF!=Z4927),#REF!),""))</f>
        <v/>
      </c>
      <c r="AB4927" t="str">
        <f>IF(Z4927="","",IFERROR(LOOKUP(2,1/(#REF!=Z4927),#REF!),""))</f>
        <v/>
      </c>
      <c r="AC4927" t="str">
        <f>IF(Z4927="","",COUNTIF(#REF!,Z4927))</f>
        <v/>
      </c>
      <c r="AD4927" t="str">
        <f>IF(A4927="","",IF(AC4927&gt;1,"REVISAR DUPLICADO",IF(AA4927&lt;&gt;"","ACTUALIZADO POR EYR","SIN REPORTE EYR")))</f>
        <v/>
      </c>
    </row>
    <row r="4928" spans="11:30" x14ac:dyDescent="0.3">
      <c r="K4928" s="1" t="str">
        <f ca="1">IF(A4928="","",IF(OR(L4928="ENTREGADA",L4928="RETORNADA",L4928="ENTREGA DIGITAL"),0,MAX(0,5-NETWORKDAYS(H4928+1,TODAY()))))</f>
        <v/>
      </c>
      <c r="L4928" t="str">
        <f>IF(A4928="","",IFERROR(LOOKUP(2,1/(#REF!=Z4928),#REF!),Y4928))</f>
        <v/>
      </c>
      <c r="Z4928" t="str">
        <f>IF(A4928="","",TEXT(A4928,"0")&amp;"|"&amp;TEXT(H4928,"0"))</f>
        <v/>
      </c>
      <c r="AA4928" t="str">
        <f>IF(Z4928="","",IFERROR(LOOKUP(2,1/(#REF!=Z4928),#REF!),""))</f>
        <v/>
      </c>
      <c r="AB4928" t="str">
        <f>IF(Z4928="","",IFERROR(LOOKUP(2,1/(#REF!=Z4928),#REF!),""))</f>
        <v/>
      </c>
      <c r="AC4928" t="str">
        <f>IF(Z4928="","",COUNTIF(#REF!,Z4928))</f>
        <v/>
      </c>
      <c r="AD4928" t="str">
        <f>IF(A4928="","",IF(AC4928&gt;1,"REVISAR DUPLICADO",IF(AA4928&lt;&gt;"","ACTUALIZADO POR EYR","SIN REPORTE EYR")))</f>
        <v/>
      </c>
    </row>
    <row r="4929" spans="11:30" x14ac:dyDescent="0.3">
      <c r="K4929" s="1" t="str">
        <f ca="1">IF(A4929="","",IF(OR(L4929="ENTREGADA",L4929="RETORNADA",L4929="ENTREGA DIGITAL"),0,MAX(0,5-NETWORKDAYS(H4929+1,TODAY()))))</f>
        <v/>
      </c>
      <c r="L4929" t="str">
        <f>IF(A4929="","",IFERROR(LOOKUP(2,1/(#REF!=Z4929),#REF!),Y4929))</f>
        <v/>
      </c>
      <c r="Z4929" t="str">
        <f>IF(A4929="","",TEXT(A4929,"0")&amp;"|"&amp;TEXT(H4929,"0"))</f>
        <v/>
      </c>
      <c r="AA4929" t="str">
        <f>IF(Z4929="","",IFERROR(LOOKUP(2,1/(#REF!=Z4929),#REF!),""))</f>
        <v/>
      </c>
      <c r="AB4929" t="str">
        <f>IF(Z4929="","",IFERROR(LOOKUP(2,1/(#REF!=Z4929),#REF!),""))</f>
        <v/>
      </c>
      <c r="AC4929" t="str">
        <f>IF(Z4929="","",COUNTIF(#REF!,Z4929))</f>
        <v/>
      </c>
      <c r="AD4929" t="str">
        <f>IF(A4929="","",IF(AC4929&gt;1,"REVISAR DUPLICADO",IF(AA4929&lt;&gt;"","ACTUALIZADO POR EYR","SIN REPORTE EYR")))</f>
        <v/>
      </c>
    </row>
    <row r="4930" spans="11:30" x14ac:dyDescent="0.3">
      <c r="K4930" s="1" t="str">
        <f ca="1">IF(A4930="","",IF(OR(L4930="ENTREGADA",L4930="RETORNADA",L4930="ENTREGA DIGITAL"),0,MAX(0,5-NETWORKDAYS(H4930+1,TODAY()))))</f>
        <v/>
      </c>
      <c r="L4930" t="str">
        <f>IF(A4930="","",IFERROR(LOOKUP(2,1/(#REF!=Z4930),#REF!),Y4930))</f>
        <v/>
      </c>
      <c r="Z4930" t="str">
        <f>IF(A4930="","",TEXT(A4930,"0")&amp;"|"&amp;TEXT(H4930,"0"))</f>
        <v/>
      </c>
      <c r="AA4930" t="str">
        <f>IF(Z4930="","",IFERROR(LOOKUP(2,1/(#REF!=Z4930),#REF!),""))</f>
        <v/>
      </c>
      <c r="AB4930" t="str">
        <f>IF(Z4930="","",IFERROR(LOOKUP(2,1/(#REF!=Z4930),#REF!),""))</f>
        <v/>
      </c>
      <c r="AC4930" t="str">
        <f>IF(Z4930="","",COUNTIF(#REF!,Z4930))</f>
        <v/>
      </c>
      <c r="AD4930" t="str">
        <f>IF(A4930="","",IF(AC4930&gt;1,"REVISAR DUPLICADO",IF(AA4930&lt;&gt;"","ACTUALIZADO POR EYR","SIN REPORTE EYR")))</f>
        <v/>
      </c>
    </row>
    <row r="4931" spans="11:30" x14ac:dyDescent="0.3">
      <c r="K4931" s="1" t="str">
        <f ca="1">IF(A4931="","",IF(OR(L4931="ENTREGADA",L4931="RETORNADA",L4931="ENTREGA DIGITAL"),0,MAX(0,5-NETWORKDAYS(H4931+1,TODAY()))))</f>
        <v/>
      </c>
      <c r="L4931" t="str">
        <f>IF(A4931="","",IFERROR(LOOKUP(2,1/(#REF!=Z4931),#REF!),Y4931))</f>
        <v/>
      </c>
      <c r="Z4931" t="str">
        <f>IF(A4931="","",TEXT(A4931,"0")&amp;"|"&amp;TEXT(H4931,"0"))</f>
        <v/>
      </c>
      <c r="AA4931" t="str">
        <f>IF(Z4931="","",IFERROR(LOOKUP(2,1/(#REF!=Z4931),#REF!),""))</f>
        <v/>
      </c>
      <c r="AB4931" t="str">
        <f>IF(Z4931="","",IFERROR(LOOKUP(2,1/(#REF!=Z4931),#REF!),""))</f>
        <v/>
      </c>
      <c r="AC4931" t="str">
        <f>IF(Z4931="","",COUNTIF(#REF!,Z4931))</f>
        <v/>
      </c>
      <c r="AD4931" t="str">
        <f>IF(A4931="","",IF(AC4931&gt;1,"REVISAR DUPLICADO",IF(AA4931&lt;&gt;"","ACTUALIZADO POR EYR","SIN REPORTE EYR")))</f>
        <v/>
      </c>
    </row>
    <row r="4932" spans="11:30" x14ac:dyDescent="0.3">
      <c r="K4932" s="1" t="str">
        <f ca="1">IF(A4932="","",IF(OR(L4932="ENTREGADA",L4932="RETORNADA",L4932="ENTREGA DIGITAL"),0,MAX(0,5-NETWORKDAYS(H4932+1,TODAY()))))</f>
        <v/>
      </c>
      <c r="L4932" t="str">
        <f>IF(A4932="","",IFERROR(LOOKUP(2,1/(#REF!=Z4932),#REF!),Y4932))</f>
        <v/>
      </c>
      <c r="Z4932" t="str">
        <f>IF(A4932="","",TEXT(A4932,"0")&amp;"|"&amp;TEXT(H4932,"0"))</f>
        <v/>
      </c>
      <c r="AA4932" t="str">
        <f>IF(Z4932="","",IFERROR(LOOKUP(2,1/(#REF!=Z4932),#REF!),""))</f>
        <v/>
      </c>
      <c r="AB4932" t="str">
        <f>IF(Z4932="","",IFERROR(LOOKUP(2,1/(#REF!=Z4932),#REF!),""))</f>
        <v/>
      </c>
      <c r="AC4932" t="str">
        <f>IF(Z4932="","",COUNTIF(#REF!,Z4932))</f>
        <v/>
      </c>
      <c r="AD4932" t="str">
        <f>IF(A4932="","",IF(AC4932&gt;1,"REVISAR DUPLICADO",IF(AA4932&lt;&gt;"","ACTUALIZADO POR EYR","SIN REPORTE EYR")))</f>
        <v/>
      </c>
    </row>
    <row r="4933" spans="11:30" x14ac:dyDescent="0.3">
      <c r="K4933" s="1" t="str">
        <f ca="1">IF(A4933="","",IF(OR(L4933="ENTREGADA",L4933="RETORNADA",L4933="ENTREGA DIGITAL"),0,MAX(0,5-NETWORKDAYS(H4933+1,TODAY()))))</f>
        <v/>
      </c>
      <c r="L4933" t="str">
        <f>IF(A4933="","",IFERROR(LOOKUP(2,1/(#REF!=Z4933),#REF!),Y4933))</f>
        <v/>
      </c>
      <c r="Z4933" t="str">
        <f>IF(A4933="","",TEXT(A4933,"0")&amp;"|"&amp;TEXT(H4933,"0"))</f>
        <v/>
      </c>
      <c r="AA4933" t="str">
        <f>IF(Z4933="","",IFERROR(LOOKUP(2,1/(#REF!=Z4933),#REF!),""))</f>
        <v/>
      </c>
      <c r="AB4933" t="str">
        <f>IF(Z4933="","",IFERROR(LOOKUP(2,1/(#REF!=Z4933),#REF!),""))</f>
        <v/>
      </c>
      <c r="AC4933" t="str">
        <f>IF(Z4933="","",COUNTIF(#REF!,Z4933))</f>
        <v/>
      </c>
      <c r="AD4933" t="str">
        <f>IF(A4933="","",IF(AC4933&gt;1,"REVISAR DUPLICADO",IF(AA4933&lt;&gt;"","ACTUALIZADO POR EYR","SIN REPORTE EYR")))</f>
        <v/>
      </c>
    </row>
    <row r="4934" spans="11:30" x14ac:dyDescent="0.3">
      <c r="K4934" s="1" t="str">
        <f ca="1">IF(A4934="","",IF(OR(L4934="ENTREGADA",L4934="RETORNADA",L4934="ENTREGA DIGITAL"),0,MAX(0,5-NETWORKDAYS(H4934+1,TODAY()))))</f>
        <v/>
      </c>
      <c r="L4934" t="str">
        <f>IF(A4934="","",IFERROR(LOOKUP(2,1/(#REF!=Z4934),#REF!),Y4934))</f>
        <v/>
      </c>
      <c r="Z4934" t="str">
        <f>IF(A4934="","",TEXT(A4934,"0")&amp;"|"&amp;TEXT(H4934,"0"))</f>
        <v/>
      </c>
      <c r="AA4934" t="str">
        <f>IF(Z4934="","",IFERROR(LOOKUP(2,1/(#REF!=Z4934),#REF!),""))</f>
        <v/>
      </c>
      <c r="AB4934" t="str">
        <f>IF(Z4934="","",IFERROR(LOOKUP(2,1/(#REF!=Z4934),#REF!),""))</f>
        <v/>
      </c>
      <c r="AC4934" t="str">
        <f>IF(Z4934="","",COUNTIF(#REF!,Z4934))</f>
        <v/>
      </c>
      <c r="AD4934" t="str">
        <f>IF(A4934="","",IF(AC4934&gt;1,"REVISAR DUPLICADO",IF(AA4934&lt;&gt;"","ACTUALIZADO POR EYR","SIN REPORTE EYR")))</f>
        <v/>
      </c>
    </row>
    <row r="4935" spans="11:30" x14ac:dyDescent="0.3">
      <c r="K4935" s="1" t="str">
        <f ca="1">IF(A4935="","",IF(OR(L4935="ENTREGADA",L4935="RETORNADA",L4935="ENTREGA DIGITAL"),0,MAX(0,5-NETWORKDAYS(H4935+1,TODAY()))))</f>
        <v/>
      </c>
      <c r="L4935" t="str">
        <f>IF(A4935="","",IFERROR(LOOKUP(2,1/(#REF!=Z4935),#REF!),Y4935))</f>
        <v/>
      </c>
      <c r="Z4935" t="str">
        <f>IF(A4935="","",TEXT(A4935,"0")&amp;"|"&amp;TEXT(H4935,"0"))</f>
        <v/>
      </c>
      <c r="AA4935" t="str">
        <f>IF(Z4935="","",IFERROR(LOOKUP(2,1/(#REF!=Z4935),#REF!),""))</f>
        <v/>
      </c>
      <c r="AB4935" t="str">
        <f>IF(Z4935="","",IFERROR(LOOKUP(2,1/(#REF!=Z4935),#REF!),""))</f>
        <v/>
      </c>
      <c r="AC4935" t="str">
        <f>IF(Z4935="","",COUNTIF(#REF!,Z4935))</f>
        <v/>
      </c>
      <c r="AD4935" t="str">
        <f>IF(A4935="","",IF(AC4935&gt;1,"REVISAR DUPLICADO",IF(AA4935&lt;&gt;"","ACTUALIZADO POR EYR","SIN REPORTE EYR")))</f>
        <v/>
      </c>
    </row>
    <row r="4936" spans="11:30" x14ac:dyDescent="0.3">
      <c r="K4936" s="1" t="str">
        <f ca="1">IF(A4936="","",IF(OR(L4936="ENTREGADA",L4936="RETORNADA",L4936="ENTREGA DIGITAL"),0,MAX(0,5-NETWORKDAYS(H4936+1,TODAY()))))</f>
        <v/>
      </c>
      <c r="L4936" t="str">
        <f>IF(A4936="","",IFERROR(LOOKUP(2,1/(#REF!=Z4936),#REF!),Y4936))</f>
        <v/>
      </c>
      <c r="Z4936" t="str">
        <f>IF(A4936="","",TEXT(A4936,"0")&amp;"|"&amp;TEXT(H4936,"0"))</f>
        <v/>
      </c>
      <c r="AA4936" t="str">
        <f>IF(Z4936="","",IFERROR(LOOKUP(2,1/(#REF!=Z4936),#REF!),""))</f>
        <v/>
      </c>
      <c r="AB4936" t="str">
        <f>IF(Z4936="","",IFERROR(LOOKUP(2,1/(#REF!=Z4936),#REF!),""))</f>
        <v/>
      </c>
      <c r="AC4936" t="str">
        <f>IF(Z4936="","",COUNTIF(#REF!,Z4936))</f>
        <v/>
      </c>
      <c r="AD4936" t="str">
        <f>IF(A4936="","",IF(AC4936&gt;1,"REVISAR DUPLICADO",IF(AA4936&lt;&gt;"","ACTUALIZADO POR EYR","SIN REPORTE EYR")))</f>
        <v/>
      </c>
    </row>
    <row r="4937" spans="11:30" x14ac:dyDescent="0.3">
      <c r="K4937" s="1" t="str">
        <f ca="1">IF(A4937="","",IF(OR(L4937="ENTREGADA",L4937="RETORNADA",L4937="ENTREGA DIGITAL"),0,MAX(0,5-NETWORKDAYS(H4937+1,TODAY()))))</f>
        <v/>
      </c>
      <c r="L4937" t="str">
        <f>IF(A4937="","",IFERROR(LOOKUP(2,1/(#REF!=Z4937),#REF!),Y4937))</f>
        <v/>
      </c>
      <c r="Z4937" t="str">
        <f>IF(A4937="","",TEXT(A4937,"0")&amp;"|"&amp;TEXT(H4937,"0"))</f>
        <v/>
      </c>
      <c r="AA4937" t="str">
        <f>IF(Z4937="","",IFERROR(LOOKUP(2,1/(#REF!=Z4937),#REF!),""))</f>
        <v/>
      </c>
      <c r="AB4937" t="str">
        <f>IF(Z4937="","",IFERROR(LOOKUP(2,1/(#REF!=Z4937),#REF!),""))</f>
        <v/>
      </c>
      <c r="AC4937" t="str">
        <f>IF(Z4937="","",COUNTIF(#REF!,Z4937))</f>
        <v/>
      </c>
      <c r="AD4937" t="str">
        <f>IF(A4937="","",IF(AC4937&gt;1,"REVISAR DUPLICADO",IF(AA4937&lt;&gt;"","ACTUALIZADO POR EYR","SIN REPORTE EYR")))</f>
        <v/>
      </c>
    </row>
    <row r="4938" spans="11:30" x14ac:dyDescent="0.3">
      <c r="K4938" s="1" t="str">
        <f ca="1">IF(A4938="","",IF(OR(L4938="ENTREGADA",L4938="RETORNADA",L4938="ENTREGA DIGITAL"),0,MAX(0,5-NETWORKDAYS(H4938+1,TODAY()))))</f>
        <v/>
      </c>
      <c r="L4938" t="str">
        <f>IF(A4938="","",IFERROR(LOOKUP(2,1/(#REF!=Z4938),#REF!),Y4938))</f>
        <v/>
      </c>
      <c r="Z4938" t="str">
        <f>IF(A4938="","",TEXT(A4938,"0")&amp;"|"&amp;TEXT(H4938,"0"))</f>
        <v/>
      </c>
      <c r="AA4938" t="str">
        <f>IF(Z4938="","",IFERROR(LOOKUP(2,1/(#REF!=Z4938),#REF!),""))</f>
        <v/>
      </c>
      <c r="AB4938" t="str">
        <f>IF(Z4938="","",IFERROR(LOOKUP(2,1/(#REF!=Z4938),#REF!),""))</f>
        <v/>
      </c>
      <c r="AC4938" t="str">
        <f>IF(Z4938="","",COUNTIF(#REF!,Z4938))</f>
        <v/>
      </c>
      <c r="AD4938" t="str">
        <f>IF(A4938="","",IF(AC4938&gt;1,"REVISAR DUPLICADO",IF(AA4938&lt;&gt;"","ACTUALIZADO POR EYR","SIN REPORTE EYR")))</f>
        <v/>
      </c>
    </row>
    <row r="4939" spans="11:30" x14ac:dyDescent="0.3">
      <c r="K4939" s="1" t="str">
        <f ca="1">IF(A4939="","",IF(OR(L4939="ENTREGADA",L4939="RETORNADA",L4939="ENTREGA DIGITAL"),0,MAX(0,5-NETWORKDAYS(H4939+1,TODAY()))))</f>
        <v/>
      </c>
      <c r="L4939" t="str">
        <f>IF(A4939="","",IFERROR(LOOKUP(2,1/(#REF!=Z4939),#REF!),Y4939))</f>
        <v/>
      </c>
      <c r="Z4939" t="str">
        <f>IF(A4939="","",TEXT(A4939,"0")&amp;"|"&amp;TEXT(H4939,"0"))</f>
        <v/>
      </c>
      <c r="AA4939" t="str">
        <f>IF(Z4939="","",IFERROR(LOOKUP(2,1/(#REF!=Z4939),#REF!),""))</f>
        <v/>
      </c>
      <c r="AB4939" t="str">
        <f>IF(Z4939="","",IFERROR(LOOKUP(2,1/(#REF!=Z4939),#REF!),""))</f>
        <v/>
      </c>
      <c r="AC4939" t="str">
        <f>IF(Z4939="","",COUNTIF(#REF!,Z4939))</f>
        <v/>
      </c>
      <c r="AD4939" t="str">
        <f>IF(A4939="","",IF(AC4939&gt;1,"REVISAR DUPLICADO",IF(AA4939&lt;&gt;"","ACTUALIZADO POR EYR","SIN REPORTE EYR")))</f>
        <v/>
      </c>
    </row>
    <row r="4940" spans="11:30" x14ac:dyDescent="0.3">
      <c r="K4940" s="1" t="str">
        <f ca="1">IF(A4940="","",IF(OR(L4940="ENTREGADA",L4940="RETORNADA",L4940="ENTREGA DIGITAL"),0,MAX(0,5-NETWORKDAYS(H4940+1,TODAY()))))</f>
        <v/>
      </c>
      <c r="L4940" t="str">
        <f>IF(A4940="","",IFERROR(LOOKUP(2,1/(#REF!=Z4940),#REF!),Y4940))</f>
        <v/>
      </c>
      <c r="Z4940" t="str">
        <f>IF(A4940="","",TEXT(A4940,"0")&amp;"|"&amp;TEXT(H4940,"0"))</f>
        <v/>
      </c>
      <c r="AA4940" t="str">
        <f>IF(Z4940="","",IFERROR(LOOKUP(2,1/(#REF!=Z4940),#REF!),""))</f>
        <v/>
      </c>
      <c r="AB4940" t="str">
        <f>IF(Z4940="","",IFERROR(LOOKUP(2,1/(#REF!=Z4940),#REF!),""))</f>
        <v/>
      </c>
      <c r="AC4940" t="str">
        <f>IF(Z4940="","",COUNTIF(#REF!,Z4940))</f>
        <v/>
      </c>
      <c r="AD4940" t="str">
        <f>IF(A4940="","",IF(AC4940&gt;1,"REVISAR DUPLICADO",IF(AA4940&lt;&gt;"","ACTUALIZADO POR EYR","SIN REPORTE EYR")))</f>
        <v/>
      </c>
    </row>
    <row r="4941" spans="11:30" x14ac:dyDescent="0.3">
      <c r="K4941" s="1" t="str">
        <f ca="1">IF(A4941="","",IF(OR(L4941="ENTREGADA",L4941="RETORNADA",L4941="ENTREGA DIGITAL"),0,MAX(0,5-NETWORKDAYS(H4941+1,TODAY()))))</f>
        <v/>
      </c>
      <c r="L4941" t="str">
        <f>IF(A4941="","",IFERROR(LOOKUP(2,1/(#REF!=Z4941),#REF!),Y4941))</f>
        <v/>
      </c>
      <c r="Z4941" t="str">
        <f>IF(A4941="","",TEXT(A4941,"0")&amp;"|"&amp;TEXT(H4941,"0"))</f>
        <v/>
      </c>
      <c r="AA4941" t="str">
        <f>IF(Z4941="","",IFERROR(LOOKUP(2,1/(#REF!=Z4941),#REF!),""))</f>
        <v/>
      </c>
      <c r="AB4941" t="str">
        <f>IF(Z4941="","",IFERROR(LOOKUP(2,1/(#REF!=Z4941),#REF!),""))</f>
        <v/>
      </c>
      <c r="AC4941" t="str">
        <f>IF(Z4941="","",COUNTIF(#REF!,Z4941))</f>
        <v/>
      </c>
      <c r="AD4941" t="str">
        <f>IF(A4941="","",IF(AC4941&gt;1,"REVISAR DUPLICADO",IF(AA4941&lt;&gt;"","ACTUALIZADO POR EYR","SIN REPORTE EYR")))</f>
        <v/>
      </c>
    </row>
    <row r="4942" spans="11:30" x14ac:dyDescent="0.3">
      <c r="K4942" s="1" t="str">
        <f ca="1">IF(A4942="","",IF(OR(L4942="ENTREGADA",L4942="RETORNADA",L4942="ENTREGA DIGITAL"),0,MAX(0,5-NETWORKDAYS(H4942+1,TODAY()))))</f>
        <v/>
      </c>
      <c r="L4942" t="str">
        <f>IF(A4942="","",IFERROR(LOOKUP(2,1/(#REF!=Z4942),#REF!),Y4942))</f>
        <v/>
      </c>
      <c r="Z4942" t="str">
        <f>IF(A4942="","",TEXT(A4942,"0")&amp;"|"&amp;TEXT(H4942,"0"))</f>
        <v/>
      </c>
      <c r="AA4942" t="str">
        <f>IF(Z4942="","",IFERROR(LOOKUP(2,1/(#REF!=Z4942),#REF!),""))</f>
        <v/>
      </c>
      <c r="AB4942" t="str">
        <f>IF(Z4942="","",IFERROR(LOOKUP(2,1/(#REF!=Z4942),#REF!),""))</f>
        <v/>
      </c>
      <c r="AC4942" t="str">
        <f>IF(Z4942="","",COUNTIF(#REF!,Z4942))</f>
        <v/>
      </c>
      <c r="AD4942" t="str">
        <f>IF(A4942="","",IF(AC4942&gt;1,"REVISAR DUPLICADO",IF(AA4942&lt;&gt;"","ACTUALIZADO POR EYR","SIN REPORTE EYR")))</f>
        <v/>
      </c>
    </row>
    <row r="4943" spans="11:30" x14ac:dyDescent="0.3">
      <c r="K4943" s="1" t="str">
        <f ca="1">IF(A4943="","",IF(OR(L4943="ENTREGADA",L4943="RETORNADA",L4943="ENTREGA DIGITAL"),0,MAX(0,5-NETWORKDAYS(H4943+1,TODAY()))))</f>
        <v/>
      </c>
      <c r="L4943" t="str">
        <f>IF(A4943="","",IFERROR(LOOKUP(2,1/(#REF!=Z4943),#REF!),Y4943))</f>
        <v/>
      </c>
      <c r="Z4943" t="str">
        <f>IF(A4943="","",TEXT(A4943,"0")&amp;"|"&amp;TEXT(H4943,"0"))</f>
        <v/>
      </c>
      <c r="AA4943" t="str">
        <f>IF(Z4943="","",IFERROR(LOOKUP(2,1/(#REF!=Z4943),#REF!),""))</f>
        <v/>
      </c>
      <c r="AB4943" t="str">
        <f>IF(Z4943="","",IFERROR(LOOKUP(2,1/(#REF!=Z4943),#REF!),""))</f>
        <v/>
      </c>
      <c r="AC4943" t="str">
        <f>IF(Z4943="","",COUNTIF(#REF!,Z4943))</f>
        <v/>
      </c>
      <c r="AD4943" t="str">
        <f>IF(A4943="","",IF(AC4943&gt;1,"REVISAR DUPLICADO",IF(AA4943&lt;&gt;"","ACTUALIZADO POR EYR","SIN REPORTE EYR")))</f>
        <v/>
      </c>
    </row>
    <row r="4944" spans="11:30" x14ac:dyDescent="0.3">
      <c r="K4944" s="1" t="str">
        <f ca="1">IF(A4944="","",IF(OR(L4944="ENTREGADA",L4944="RETORNADA",L4944="ENTREGA DIGITAL"),0,MAX(0,5-NETWORKDAYS(H4944+1,TODAY()))))</f>
        <v/>
      </c>
      <c r="L4944" t="str">
        <f>IF(A4944="","",IFERROR(LOOKUP(2,1/(#REF!=Z4944),#REF!),Y4944))</f>
        <v/>
      </c>
      <c r="Z4944" t="str">
        <f>IF(A4944="","",TEXT(A4944,"0")&amp;"|"&amp;TEXT(H4944,"0"))</f>
        <v/>
      </c>
      <c r="AA4944" t="str">
        <f>IF(Z4944="","",IFERROR(LOOKUP(2,1/(#REF!=Z4944),#REF!),""))</f>
        <v/>
      </c>
      <c r="AB4944" t="str">
        <f>IF(Z4944="","",IFERROR(LOOKUP(2,1/(#REF!=Z4944),#REF!),""))</f>
        <v/>
      </c>
      <c r="AC4944" t="str">
        <f>IF(Z4944="","",COUNTIF(#REF!,Z4944))</f>
        <v/>
      </c>
      <c r="AD4944" t="str">
        <f>IF(A4944="","",IF(AC4944&gt;1,"REVISAR DUPLICADO",IF(AA4944&lt;&gt;"","ACTUALIZADO POR EYR","SIN REPORTE EYR")))</f>
        <v/>
      </c>
    </row>
    <row r="4945" spans="11:30" x14ac:dyDescent="0.3">
      <c r="K4945" s="1" t="str">
        <f ca="1">IF(A4945="","",IF(OR(L4945="ENTREGADA",L4945="RETORNADA",L4945="ENTREGA DIGITAL"),0,MAX(0,5-NETWORKDAYS(H4945+1,TODAY()))))</f>
        <v/>
      </c>
      <c r="L4945" t="str">
        <f>IF(A4945="","",IFERROR(LOOKUP(2,1/(#REF!=Z4945),#REF!),Y4945))</f>
        <v/>
      </c>
      <c r="Z4945" t="str">
        <f>IF(A4945="","",TEXT(A4945,"0")&amp;"|"&amp;TEXT(H4945,"0"))</f>
        <v/>
      </c>
      <c r="AA4945" t="str">
        <f>IF(Z4945="","",IFERROR(LOOKUP(2,1/(#REF!=Z4945),#REF!),""))</f>
        <v/>
      </c>
      <c r="AB4945" t="str">
        <f>IF(Z4945="","",IFERROR(LOOKUP(2,1/(#REF!=Z4945),#REF!),""))</f>
        <v/>
      </c>
      <c r="AC4945" t="str">
        <f>IF(Z4945="","",COUNTIF(#REF!,Z4945))</f>
        <v/>
      </c>
      <c r="AD4945" t="str">
        <f>IF(A4945="","",IF(AC4945&gt;1,"REVISAR DUPLICADO",IF(AA4945&lt;&gt;"","ACTUALIZADO POR EYR","SIN REPORTE EYR")))</f>
        <v/>
      </c>
    </row>
    <row r="4946" spans="11:30" x14ac:dyDescent="0.3">
      <c r="K4946" s="1" t="str">
        <f ca="1">IF(A4946="","",IF(OR(L4946="ENTREGADA",L4946="RETORNADA",L4946="ENTREGA DIGITAL"),0,MAX(0,5-NETWORKDAYS(H4946+1,TODAY()))))</f>
        <v/>
      </c>
      <c r="L4946" t="str">
        <f>IF(A4946="","",IFERROR(LOOKUP(2,1/(#REF!=Z4946),#REF!),Y4946))</f>
        <v/>
      </c>
      <c r="Z4946" t="str">
        <f>IF(A4946="","",TEXT(A4946,"0")&amp;"|"&amp;TEXT(H4946,"0"))</f>
        <v/>
      </c>
      <c r="AA4946" t="str">
        <f>IF(Z4946="","",IFERROR(LOOKUP(2,1/(#REF!=Z4946),#REF!),""))</f>
        <v/>
      </c>
      <c r="AB4946" t="str">
        <f>IF(Z4946="","",IFERROR(LOOKUP(2,1/(#REF!=Z4946),#REF!),""))</f>
        <v/>
      </c>
      <c r="AC4946" t="str">
        <f>IF(Z4946="","",COUNTIF(#REF!,Z4946))</f>
        <v/>
      </c>
      <c r="AD4946" t="str">
        <f>IF(A4946="","",IF(AC4946&gt;1,"REVISAR DUPLICADO",IF(AA4946&lt;&gt;"","ACTUALIZADO POR EYR","SIN REPORTE EYR")))</f>
        <v/>
      </c>
    </row>
    <row r="4947" spans="11:30" x14ac:dyDescent="0.3">
      <c r="K4947" s="1" t="str">
        <f ca="1">IF(A4947="","",IF(OR(L4947="ENTREGADA",L4947="RETORNADA",L4947="ENTREGA DIGITAL"),0,MAX(0,5-NETWORKDAYS(H4947+1,TODAY()))))</f>
        <v/>
      </c>
      <c r="L4947" t="str">
        <f>IF(A4947="","",IFERROR(LOOKUP(2,1/(#REF!=Z4947),#REF!),Y4947))</f>
        <v/>
      </c>
      <c r="Z4947" t="str">
        <f>IF(A4947="","",TEXT(A4947,"0")&amp;"|"&amp;TEXT(H4947,"0"))</f>
        <v/>
      </c>
      <c r="AA4947" t="str">
        <f>IF(Z4947="","",IFERROR(LOOKUP(2,1/(#REF!=Z4947),#REF!),""))</f>
        <v/>
      </c>
      <c r="AB4947" t="str">
        <f>IF(Z4947="","",IFERROR(LOOKUP(2,1/(#REF!=Z4947),#REF!),""))</f>
        <v/>
      </c>
      <c r="AC4947" t="str">
        <f>IF(Z4947="","",COUNTIF(#REF!,Z4947))</f>
        <v/>
      </c>
      <c r="AD4947" t="str">
        <f>IF(A4947="","",IF(AC4947&gt;1,"REVISAR DUPLICADO",IF(AA4947&lt;&gt;"","ACTUALIZADO POR EYR","SIN REPORTE EYR")))</f>
        <v/>
      </c>
    </row>
    <row r="4948" spans="11:30" x14ac:dyDescent="0.3">
      <c r="K4948" s="1" t="str">
        <f ca="1">IF(A4948="","",IF(OR(L4948="ENTREGADA",L4948="RETORNADA",L4948="ENTREGA DIGITAL"),0,MAX(0,5-NETWORKDAYS(H4948+1,TODAY()))))</f>
        <v/>
      </c>
      <c r="L4948" t="str">
        <f>IF(A4948="","",IFERROR(LOOKUP(2,1/(#REF!=Z4948),#REF!),Y4948))</f>
        <v/>
      </c>
      <c r="Z4948" t="str">
        <f>IF(A4948="","",TEXT(A4948,"0")&amp;"|"&amp;TEXT(H4948,"0"))</f>
        <v/>
      </c>
      <c r="AA4948" t="str">
        <f>IF(Z4948="","",IFERROR(LOOKUP(2,1/(#REF!=Z4948),#REF!),""))</f>
        <v/>
      </c>
      <c r="AB4948" t="str">
        <f>IF(Z4948="","",IFERROR(LOOKUP(2,1/(#REF!=Z4948),#REF!),""))</f>
        <v/>
      </c>
      <c r="AC4948" t="str">
        <f>IF(Z4948="","",COUNTIF(#REF!,Z4948))</f>
        <v/>
      </c>
      <c r="AD4948" t="str">
        <f>IF(A4948="","",IF(AC4948&gt;1,"REVISAR DUPLICADO",IF(AA4948&lt;&gt;"","ACTUALIZADO POR EYR","SIN REPORTE EYR")))</f>
        <v/>
      </c>
    </row>
    <row r="4949" spans="11:30" x14ac:dyDescent="0.3">
      <c r="K4949" s="1" t="str">
        <f ca="1">IF(A4949="","",IF(OR(L4949="ENTREGADA",L4949="RETORNADA",L4949="ENTREGA DIGITAL"),0,MAX(0,5-NETWORKDAYS(H4949+1,TODAY()))))</f>
        <v/>
      </c>
      <c r="L4949" t="str">
        <f>IF(A4949="","",IFERROR(LOOKUP(2,1/(#REF!=Z4949),#REF!),Y4949))</f>
        <v/>
      </c>
      <c r="Z4949" t="str">
        <f>IF(A4949="","",TEXT(A4949,"0")&amp;"|"&amp;TEXT(H4949,"0"))</f>
        <v/>
      </c>
      <c r="AA4949" t="str">
        <f>IF(Z4949="","",IFERROR(LOOKUP(2,1/(#REF!=Z4949),#REF!),""))</f>
        <v/>
      </c>
      <c r="AB4949" t="str">
        <f>IF(Z4949="","",IFERROR(LOOKUP(2,1/(#REF!=Z4949),#REF!),""))</f>
        <v/>
      </c>
      <c r="AC4949" t="str">
        <f>IF(Z4949="","",COUNTIF(#REF!,Z4949))</f>
        <v/>
      </c>
      <c r="AD4949" t="str">
        <f>IF(A4949="","",IF(AC4949&gt;1,"REVISAR DUPLICADO",IF(AA4949&lt;&gt;"","ACTUALIZADO POR EYR","SIN REPORTE EYR")))</f>
        <v/>
      </c>
    </row>
    <row r="4950" spans="11:30" x14ac:dyDescent="0.3">
      <c r="K4950" s="1" t="str">
        <f ca="1">IF(A4950="","",IF(OR(L4950="ENTREGADA",L4950="RETORNADA",L4950="ENTREGA DIGITAL"),0,MAX(0,5-NETWORKDAYS(H4950+1,TODAY()))))</f>
        <v/>
      </c>
      <c r="L4950" t="str">
        <f>IF(A4950="","",IFERROR(LOOKUP(2,1/(#REF!=Z4950),#REF!),Y4950))</f>
        <v/>
      </c>
      <c r="Z4950" t="str">
        <f>IF(A4950="","",TEXT(A4950,"0")&amp;"|"&amp;TEXT(H4950,"0"))</f>
        <v/>
      </c>
      <c r="AA4950" t="str">
        <f>IF(Z4950="","",IFERROR(LOOKUP(2,1/(#REF!=Z4950),#REF!),""))</f>
        <v/>
      </c>
      <c r="AB4950" t="str">
        <f>IF(Z4950="","",IFERROR(LOOKUP(2,1/(#REF!=Z4950),#REF!),""))</f>
        <v/>
      </c>
      <c r="AC4950" t="str">
        <f>IF(Z4950="","",COUNTIF(#REF!,Z4950))</f>
        <v/>
      </c>
      <c r="AD4950" t="str">
        <f>IF(A4950="","",IF(AC4950&gt;1,"REVISAR DUPLICADO",IF(AA4950&lt;&gt;"","ACTUALIZADO POR EYR","SIN REPORTE EYR")))</f>
        <v/>
      </c>
    </row>
    <row r="4951" spans="11:30" x14ac:dyDescent="0.3">
      <c r="K4951" s="1" t="str">
        <f ca="1">IF(A4951="","",IF(OR(L4951="ENTREGADA",L4951="RETORNADA",L4951="ENTREGA DIGITAL"),0,MAX(0,5-NETWORKDAYS(H4951+1,TODAY()))))</f>
        <v/>
      </c>
      <c r="L4951" t="str">
        <f>IF(A4951="","",IFERROR(LOOKUP(2,1/(#REF!=Z4951),#REF!),Y4951))</f>
        <v/>
      </c>
      <c r="Z4951" t="str">
        <f>IF(A4951="","",TEXT(A4951,"0")&amp;"|"&amp;TEXT(H4951,"0"))</f>
        <v/>
      </c>
      <c r="AA4951" t="str">
        <f>IF(Z4951="","",IFERROR(LOOKUP(2,1/(#REF!=Z4951),#REF!),""))</f>
        <v/>
      </c>
      <c r="AB4951" t="str">
        <f>IF(Z4951="","",IFERROR(LOOKUP(2,1/(#REF!=Z4951),#REF!),""))</f>
        <v/>
      </c>
      <c r="AC4951" t="str">
        <f>IF(Z4951="","",COUNTIF(#REF!,Z4951))</f>
        <v/>
      </c>
      <c r="AD4951" t="str">
        <f>IF(A4951="","",IF(AC4951&gt;1,"REVISAR DUPLICADO",IF(AA4951&lt;&gt;"","ACTUALIZADO POR EYR","SIN REPORTE EYR")))</f>
        <v/>
      </c>
    </row>
    <row r="4952" spans="11:30" x14ac:dyDescent="0.3">
      <c r="K4952" s="1" t="str">
        <f ca="1">IF(A4952="","",IF(OR(L4952="ENTREGADA",L4952="RETORNADA",L4952="ENTREGA DIGITAL"),0,MAX(0,5-NETWORKDAYS(H4952+1,TODAY()))))</f>
        <v/>
      </c>
      <c r="L4952" t="str">
        <f>IF(A4952="","",IFERROR(LOOKUP(2,1/(#REF!=Z4952),#REF!),Y4952))</f>
        <v/>
      </c>
      <c r="Z4952" t="str">
        <f>IF(A4952="","",TEXT(A4952,"0")&amp;"|"&amp;TEXT(H4952,"0"))</f>
        <v/>
      </c>
      <c r="AA4952" t="str">
        <f>IF(Z4952="","",IFERROR(LOOKUP(2,1/(#REF!=Z4952),#REF!),""))</f>
        <v/>
      </c>
      <c r="AB4952" t="str">
        <f>IF(Z4952="","",IFERROR(LOOKUP(2,1/(#REF!=Z4952),#REF!),""))</f>
        <v/>
      </c>
      <c r="AC4952" t="str">
        <f>IF(Z4952="","",COUNTIF(#REF!,Z4952))</f>
        <v/>
      </c>
      <c r="AD4952" t="str">
        <f>IF(A4952="","",IF(AC4952&gt;1,"REVISAR DUPLICADO",IF(AA4952&lt;&gt;"","ACTUALIZADO POR EYR","SIN REPORTE EYR")))</f>
        <v/>
      </c>
    </row>
    <row r="4953" spans="11:30" x14ac:dyDescent="0.3">
      <c r="K4953" s="1" t="str">
        <f ca="1">IF(A4953="","",IF(OR(L4953="ENTREGADA",L4953="RETORNADA",L4953="ENTREGA DIGITAL"),0,MAX(0,5-NETWORKDAYS(H4953+1,TODAY()))))</f>
        <v/>
      </c>
      <c r="L4953" t="str">
        <f>IF(A4953="","",IFERROR(LOOKUP(2,1/(#REF!=Z4953),#REF!),Y4953))</f>
        <v/>
      </c>
      <c r="Z4953" t="str">
        <f>IF(A4953="","",TEXT(A4953,"0")&amp;"|"&amp;TEXT(H4953,"0"))</f>
        <v/>
      </c>
      <c r="AA4953" t="str">
        <f>IF(Z4953="","",IFERROR(LOOKUP(2,1/(#REF!=Z4953),#REF!),""))</f>
        <v/>
      </c>
      <c r="AB4953" t="str">
        <f>IF(Z4953="","",IFERROR(LOOKUP(2,1/(#REF!=Z4953),#REF!),""))</f>
        <v/>
      </c>
      <c r="AC4953" t="str">
        <f>IF(Z4953="","",COUNTIF(#REF!,Z4953))</f>
        <v/>
      </c>
      <c r="AD4953" t="str">
        <f>IF(A4953="","",IF(AC4953&gt;1,"REVISAR DUPLICADO",IF(AA4953&lt;&gt;"","ACTUALIZADO POR EYR","SIN REPORTE EYR")))</f>
        <v/>
      </c>
    </row>
    <row r="4954" spans="11:30" x14ac:dyDescent="0.3">
      <c r="K4954" s="1" t="str">
        <f ca="1">IF(A4954="","",IF(OR(L4954="ENTREGADA",L4954="RETORNADA",L4954="ENTREGA DIGITAL"),0,MAX(0,5-NETWORKDAYS(H4954+1,TODAY()))))</f>
        <v/>
      </c>
      <c r="L4954" t="str">
        <f>IF(A4954="","",IFERROR(LOOKUP(2,1/(#REF!=Z4954),#REF!),Y4954))</f>
        <v/>
      </c>
      <c r="Z4954" t="str">
        <f>IF(A4954="","",TEXT(A4954,"0")&amp;"|"&amp;TEXT(H4954,"0"))</f>
        <v/>
      </c>
      <c r="AA4954" t="str">
        <f>IF(Z4954="","",IFERROR(LOOKUP(2,1/(#REF!=Z4954),#REF!),""))</f>
        <v/>
      </c>
      <c r="AB4954" t="str">
        <f>IF(Z4954="","",IFERROR(LOOKUP(2,1/(#REF!=Z4954),#REF!),""))</f>
        <v/>
      </c>
      <c r="AC4954" t="str">
        <f>IF(Z4954="","",COUNTIF(#REF!,Z4954))</f>
        <v/>
      </c>
      <c r="AD4954" t="str">
        <f>IF(A4954="","",IF(AC4954&gt;1,"REVISAR DUPLICADO",IF(AA4954&lt;&gt;"","ACTUALIZADO POR EYR","SIN REPORTE EYR")))</f>
        <v/>
      </c>
    </row>
    <row r="4955" spans="11:30" x14ac:dyDescent="0.3">
      <c r="K4955" s="1" t="str">
        <f ca="1">IF(A4955="","",IF(OR(L4955="ENTREGADA",L4955="RETORNADA",L4955="ENTREGA DIGITAL"),0,MAX(0,5-NETWORKDAYS(H4955+1,TODAY()))))</f>
        <v/>
      </c>
      <c r="L4955" t="str">
        <f>IF(A4955="","",IFERROR(LOOKUP(2,1/(#REF!=Z4955),#REF!),Y4955))</f>
        <v/>
      </c>
      <c r="Z4955" t="str">
        <f>IF(A4955="","",TEXT(A4955,"0")&amp;"|"&amp;TEXT(H4955,"0"))</f>
        <v/>
      </c>
      <c r="AA4955" t="str">
        <f>IF(Z4955="","",IFERROR(LOOKUP(2,1/(#REF!=Z4955),#REF!),""))</f>
        <v/>
      </c>
      <c r="AB4955" t="str">
        <f>IF(Z4955="","",IFERROR(LOOKUP(2,1/(#REF!=Z4955),#REF!),""))</f>
        <v/>
      </c>
      <c r="AC4955" t="str">
        <f>IF(Z4955="","",COUNTIF(#REF!,Z4955))</f>
        <v/>
      </c>
      <c r="AD4955" t="str">
        <f>IF(A4955="","",IF(AC4955&gt;1,"REVISAR DUPLICADO",IF(AA4955&lt;&gt;"","ACTUALIZADO POR EYR","SIN REPORTE EYR")))</f>
        <v/>
      </c>
    </row>
    <row r="4956" spans="11:30" x14ac:dyDescent="0.3">
      <c r="K4956" s="1" t="str">
        <f ca="1">IF(A4956="","",IF(OR(L4956="ENTREGADA",L4956="RETORNADA",L4956="ENTREGA DIGITAL"),0,MAX(0,5-NETWORKDAYS(H4956+1,TODAY()))))</f>
        <v/>
      </c>
      <c r="L4956" t="str">
        <f>IF(A4956="","",IFERROR(LOOKUP(2,1/(#REF!=Z4956),#REF!),Y4956))</f>
        <v/>
      </c>
      <c r="Z4956" t="str">
        <f>IF(A4956="","",TEXT(A4956,"0")&amp;"|"&amp;TEXT(H4956,"0"))</f>
        <v/>
      </c>
      <c r="AA4956" t="str">
        <f>IF(Z4956="","",IFERROR(LOOKUP(2,1/(#REF!=Z4956),#REF!),""))</f>
        <v/>
      </c>
      <c r="AB4956" t="str">
        <f>IF(Z4956="","",IFERROR(LOOKUP(2,1/(#REF!=Z4956),#REF!),""))</f>
        <v/>
      </c>
      <c r="AC4956" t="str">
        <f>IF(Z4956="","",COUNTIF(#REF!,Z4956))</f>
        <v/>
      </c>
      <c r="AD4956" t="str">
        <f>IF(A4956="","",IF(AC4956&gt;1,"REVISAR DUPLICADO",IF(AA4956&lt;&gt;"","ACTUALIZADO POR EYR","SIN REPORTE EYR")))</f>
        <v/>
      </c>
    </row>
    <row r="4957" spans="11:30" x14ac:dyDescent="0.3">
      <c r="K4957" s="1" t="str">
        <f ca="1">IF(A4957="","",IF(OR(L4957="ENTREGADA",L4957="RETORNADA",L4957="ENTREGA DIGITAL"),0,MAX(0,5-NETWORKDAYS(H4957+1,TODAY()))))</f>
        <v/>
      </c>
      <c r="L4957" t="str">
        <f>IF(A4957="","",IFERROR(LOOKUP(2,1/(#REF!=Z4957),#REF!),Y4957))</f>
        <v/>
      </c>
      <c r="Z4957" t="str">
        <f>IF(A4957="","",TEXT(A4957,"0")&amp;"|"&amp;TEXT(H4957,"0"))</f>
        <v/>
      </c>
      <c r="AA4957" t="str">
        <f>IF(Z4957="","",IFERROR(LOOKUP(2,1/(#REF!=Z4957),#REF!),""))</f>
        <v/>
      </c>
      <c r="AB4957" t="str">
        <f>IF(Z4957="","",IFERROR(LOOKUP(2,1/(#REF!=Z4957),#REF!),""))</f>
        <v/>
      </c>
      <c r="AC4957" t="str">
        <f>IF(Z4957="","",COUNTIF(#REF!,Z4957))</f>
        <v/>
      </c>
      <c r="AD4957" t="str">
        <f>IF(A4957="","",IF(AC4957&gt;1,"REVISAR DUPLICADO",IF(AA4957&lt;&gt;"","ACTUALIZADO POR EYR","SIN REPORTE EYR")))</f>
        <v/>
      </c>
    </row>
    <row r="4958" spans="11:30" x14ac:dyDescent="0.3">
      <c r="K4958" s="1" t="str">
        <f ca="1">IF(A4958="","",IF(OR(L4958="ENTREGADA",L4958="RETORNADA",L4958="ENTREGA DIGITAL"),0,MAX(0,5-NETWORKDAYS(H4958+1,TODAY()))))</f>
        <v/>
      </c>
      <c r="L4958" t="str">
        <f>IF(A4958="","",IFERROR(LOOKUP(2,1/(#REF!=Z4958),#REF!),Y4958))</f>
        <v/>
      </c>
      <c r="Z4958" t="str">
        <f>IF(A4958="","",TEXT(A4958,"0")&amp;"|"&amp;TEXT(H4958,"0"))</f>
        <v/>
      </c>
      <c r="AA4958" t="str">
        <f>IF(Z4958="","",IFERROR(LOOKUP(2,1/(#REF!=Z4958),#REF!),""))</f>
        <v/>
      </c>
      <c r="AB4958" t="str">
        <f>IF(Z4958="","",IFERROR(LOOKUP(2,1/(#REF!=Z4958),#REF!),""))</f>
        <v/>
      </c>
      <c r="AC4958" t="str">
        <f>IF(Z4958="","",COUNTIF(#REF!,Z4958))</f>
        <v/>
      </c>
      <c r="AD4958" t="str">
        <f>IF(A4958="","",IF(AC4958&gt;1,"REVISAR DUPLICADO",IF(AA4958&lt;&gt;"","ACTUALIZADO POR EYR","SIN REPORTE EYR")))</f>
        <v/>
      </c>
    </row>
    <row r="4959" spans="11:30" x14ac:dyDescent="0.3">
      <c r="K4959" s="1" t="str">
        <f ca="1">IF(A4959="","",IF(OR(L4959="ENTREGADA",L4959="RETORNADA",L4959="ENTREGA DIGITAL"),0,MAX(0,5-NETWORKDAYS(H4959+1,TODAY()))))</f>
        <v/>
      </c>
      <c r="L4959" t="str">
        <f>IF(A4959="","",IFERROR(LOOKUP(2,1/(#REF!=Z4959),#REF!),Y4959))</f>
        <v/>
      </c>
      <c r="Z4959" t="str">
        <f>IF(A4959="","",TEXT(A4959,"0")&amp;"|"&amp;TEXT(H4959,"0"))</f>
        <v/>
      </c>
      <c r="AA4959" t="str">
        <f>IF(Z4959="","",IFERROR(LOOKUP(2,1/(#REF!=Z4959),#REF!),""))</f>
        <v/>
      </c>
      <c r="AB4959" t="str">
        <f>IF(Z4959="","",IFERROR(LOOKUP(2,1/(#REF!=Z4959),#REF!),""))</f>
        <v/>
      </c>
      <c r="AC4959" t="str">
        <f>IF(Z4959="","",COUNTIF(#REF!,Z4959))</f>
        <v/>
      </c>
      <c r="AD4959" t="str">
        <f>IF(A4959="","",IF(AC4959&gt;1,"REVISAR DUPLICADO",IF(AA4959&lt;&gt;"","ACTUALIZADO POR EYR","SIN REPORTE EYR")))</f>
        <v/>
      </c>
    </row>
    <row r="4960" spans="11:30" x14ac:dyDescent="0.3">
      <c r="K4960" s="1" t="str">
        <f ca="1">IF(A4960="","",IF(OR(L4960="ENTREGADA",L4960="RETORNADA",L4960="ENTREGA DIGITAL"),0,MAX(0,5-NETWORKDAYS(H4960+1,TODAY()))))</f>
        <v/>
      </c>
      <c r="L4960" t="str">
        <f>IF(A4960="","",IFERROR(LOOKUP(2,1/(#REF!=Z4960),#REF!),Y4960))</f>
        <v/>
      </c>
      <c r="Z4960" t="str">
        <f>IF(A4960="","",TEXT(A4960,"0")&amp;"|"&amp;TEXT(H4960,"0"))</f>
        <v/>
      </c>
      <c r="AA4960" t="str">
        <f>IF(Z4960="","",IFERROR(LOOKUP(2,1/(#REF!=Z4960),#REF!),""))</f>
        <v/>
      </c>
      <c r="AB4960" t="str">
        <f>IF(Z4960="","",IFERROR(LOOKUP(2,1/(#REF!=Z4960),#REF!),""))</f>
        <v/>
      </c>
      <c r="AC4960" t="str">
        <f>IF(Z4960="","",COUNTIF(#REF!,Z4960))</f>
        <v/>
      </c>
      <c r="AD4960" t="str">
        <f>IF(A4960="","",IF(AC4960&gt;1,"REVISAR DUPLICADO",IF(AA4960&lt;&gt;"","ACTUALIZADO POR EYR","SIN REPORTE EYR")))</f>
        <v/>
      </c>
    </row>
    <row r="4961" spans="11:30" x14ac:dyDescent="0.3">
      <c r="K4961" s="1" t="str">
        <f ca="1">IF(A4961="","",IF(OR(L4961="ENTREGADA",L4961="RETORNADA",L4961="ENTREGA DIGITAL"),0,MAX(0,5-NETWORKDAYS(H4961+1,TODAY()))))</f>
        <v/>
      </c>
      <c r="L4961" t="str">
        <f>IF(A4961="","",IFERROR(LOOKUP(2,1/(#REF!=Z4961),#REF!),Y4961))</f>
        <v/>
      </c>
      <c r="Z4961" t="str">
        <f>IF(A4961="","",TEXT(A4961,"0")&amp;"|"&amp;TEXT(H4961,"0"))</f>
        <v/>
      </c>
      <c r="AA4961" t="str">
        <f>IF(Z4961="","",IFERROR(LOOKUP(2,1/(#REF!=Z4961),#REF!),""))</f>
        <v/>
      </c>
      <c r="AB4961" t="str">
        <f>IF(Z4961="","",IFERROR(LOOKUP(2,1/(#REF!=Z4961),#REF!),""))</f>
        <v/>
      </c>
      <c r="AC4961" t="str">
        <f>IF(Z4961="","",COUNTIF(#REF!,Z4961))</f>
        <v/>
      </c>
      <c r="AD4961" t="str">
        <f>IF(A4961="","",IF(AC4961&gt;1,"REVISAR DUPLICADO",IF(AA4961&lt;&gt;"","ACTUALIZADO POR EYR","SIN REPORTE EYR")))</f>
        <v/>
      </c>
    </row>
    <row r="4962" spans="11:30" x14ac:dyDescent="0.3">
      <c r="K4962" s="1" t="str">
        <f ca="1">IF(A4962="","",IF(OR(L4962="ENTREGADA",L4962="RETORNADA",L4962="ENTREGA DIGITAL"),0,MAX(0,5-NETWORKDAYS(H4962+1,TODAY()))))</f>
        <v/>
      </c>
      <c r="L4962" t="str">
        <f>IF(A4962="","",IFERROR(LOOKUP(2,1/(#REF!=Z4962),#REF!),Y4962))</f>
        <v/>
      </c>
      <c r="Z4962" t="str">
        <f>IF(A4962="","",TEXT(A4962,"0")&amp;"|"&amp;TEXT(H4962,"0"))</f>
        <v/>
      </c>
      <c r="AA4962" t="str">
        <f>IF(Z4962="","",IFERROR(LOOKUP(2,1/(#REF!=Z4962),#REF!),""))</f>
        <v/>
      </c>
      <c r="AB4962" t="str">
        <f>IF(Z4962="","",IFERROR(LOOKUP(2,1/(#REF!=Z4962),#REF!),""))</f>
        <v/>
      </c>
      <c r="AC4962" t="str">
        <f>IF(Z4962="","",COUNTIF(#REF!,Z4962))</f>
        <v/>
      </c>
      <c r="AD4962" t="str">
        <f>IF(A4962="","",IF(AC4962&gt;1,"REVISAR DUPLICADO",IF(AA4962&lt;&gt;"","ACTUALIZADO POR EYR","SIN REPORTE EYR")))</f>
        <v/>
      </c>
    </row>
    <row r="4963" spans="11:30" x14ac:dyDescent="0.3">
      <c r="K4963" s="1" t="str">
        <f ca="1">IF(A4963="","",IF(OR(L4963="ENTREGADA",L4963="RETORNADA",L4963="ENTREGA DIGITAL"),0,MAX(0,5-NETWORKDAYS(H4963+1,TODAY()))))</f>
        <v/>
      </c>
      <c r="L4963" t="str">
        <f>IF(A4963="","",IFERROR(LOOKUP(2,1/(#REF!=Z4963),#REF!),Y4963))</f>
        <v/>
      </c>
      <c r="Z4963" t="str">
        <f>IF(A4963="","",TEXT(A4963,"0")&amp;"|"&amp;TEXT(H4963,"0"))</f>
        <v/>
      </c>
      <c r="AA4963" t="str">
        <f>IF(Z4963="","",IFERROR(LOOKUP(2,1/(#REF!=Z4963),#REF!),""))</f>
        <v/>
      </c>
      <c r="AB4963" t="str">
        <f>IF(Z4963="","",IFERROR(LOOKUP(2,1/(#REF!=Z4963),#REF!),""))</f>
        <v/>
      </c>
      <c r="AC4963" t="str">
        <f>IF(Z4963="","",COUNTIF(#REF!,Z4963))</f>
        <v/>
      </c>
      <c r="AD4963" t="str">
        <f>IF(A4963="","",IF(AC4963&gt;1,"REVISAR DUPLICADO",IF(AA4963&lt;&gt;"","ACTUALIZADO POR EYR","SIN REPORTE EYR")))</f>
        <v/>
      </c>
    </row>
    <row r="4964" spans="11:30" x14ac:dyDescent="0.3">
      <c r="K4964" s="1" t="str">
        <f ca="1">IF(A4964="","",IF(OR(L4964="ENTREGADA",L4964="RETORNADA",L4964="ENTREGA DIGITAL"),0,MAX(0,5-NETWORKDAYS(H4964+1,TODAY()))))</f>
        <v/>
      </c>
      <c r="L4964" t="str">
        <f>IF(A4964="","",IFERROR(LOOKUP(2,1/(#REF!=Z4964),#REF!),Y4964))</f>
        <v/>
      </c>
      <c r="Z4964" t="str">
        <f>IF(A4964="","",TEXT(A4964,"0")&amp;"|"&amp;TEXT(H4964,"0"))</f>
        <v/>
      </c>
      <c r="AA4964" t="str">
        <f>IF(Z4964="","",IFERROR(LOOKUP(2,1/(#REF!=Z4964),#REF!),""))</f>
        <v/>
      </c>
      <c r="AB4964" t="str">
        <f>IF(Z4964="","",IFERROR(LOOKUP(2,1/(#REF!=Z4964),#REF!),""))</f>
        <v/>
      </c>
      <c r="AC4964" t="str">
        <f>IF(Z4964="","",COUNTIF(#REF!,Z4964))</f>
        <v/>
      </c>
      <c r="AD4964" t="str">
        <f>IF(A4964="","",IF(AC4964&gt;1,"REVISAR DUPLICADO",IF(AA4964&lt;&gt;"","ACTUALIZADO POR EYR","SIN REPORTE EYR")))</f>
        <v/>
      </c>
    </row>
    <row r="4965" spans="11:30" x14ac:dyDescent="0.3">
      <c r="K4965" s="1" t="str">
        <f ca="1">IF(A4965="","",IF(OR(L4965="ENTREGADA",L4965="RETORNADA",L4965="ENTREGA DIGITAL"),0,MAX(0,5-NETWORKDAYS(H4965+1,TODAY()))))</f>
        <v/>
      </c>
      <c r="L4965" t="str">
        <f>IF(A4965="","",IFERROR(LOOKUP(2,1/(#REF!=Z4965),#REF!),Y4965))</f>
        <v/>
      </c>
      <c r="Z4965" t="str">
        <f>IF(A4965="","",TEXT(A4965,"0")&amp;"|"&amp;TEXT(H4965,"0"))</f>
        <v/>
      </c>
      <c r="AA4965" t="str">
        <f>IF(Z4965="","",IFERROR(LOOKUP(2,1/(#REF!=Z4965),#REF!),""))</f>
        <v/>
      </c>
      <c r="AB4965" t="str">
        <f>IF(Z4965="","",IFERROR(LOOKUP(2,1/(#REF!=Z4965),#REF!),""))</f>
        <v/>
      </c>
      <c r="AC4965" t="str">
        <f>IF(Z4965="","",COUNTIF(#REF!,Z4965))</f>
        <v/>
      </c>
      <c r="AD4965" t="str">
        <f>IF(A4965="","",IF(AC4965&gt;1,"REVISAR DUPLICADO",IF(AA4965&lt;&gt;"","ACTUALIZADO POR EYR","SIN REPORTE EYR")))</f>
        <v/>
      </c>
    </row>
    <row r="4966" spans="11:30" x14ac:dyDescent="0.3">
      <c r="K4966" s="1" t="str">
        <f ca="1">IF(A4966="","",IF(OR(L4966="ENTREGADA",L4966="RETORNADA",L4966="ENTREGA DIGITAL"),0,MAX(0,5-NETWORKDAYS(H4966+1,TODAY()))))</f>
        <v/>
      </c>
      <c r="L4966" t="str">
        <f>IF(A4966="","",IFERROR(LOOKUP(2,1/(#REF!=Z4966),#REF!),Y4966))</f>
        <v/>
      </c>
      <c r="Z4966" t="str">
        <f>IF(A4966="","",TEXT(A4966,"0")&amp;"|"&amp;TEXT(H4966,"0"))</f>
        <v/>
      </c>
      <c r="AA4966" t="str">
        <f>IF(Z4966="","",IFERROR(LOOKUP(2,1/(#REF!=Z4966),#REF!),""))</f>
        <v/>
      </c>
      <c r="AB4966" t="str">
        <f>IF(Z4966="","",IFERROR(LOOKUP(2,1/(#REF!=Z4966),#REF!),""))</f>
        <v/>
      </c>
      <c r="AC4966" t="str">
        <f>IF(Z4966="","",COUNTIF(#REF!,Z4966))</f>
        <v/>
      </c>
      <c r="AD4966" t="str">
        <f>IF(A4966="","",IF(AC4966&gt;1,"REVISAR DUPLICADO",IF(AA4966&lt;&gt;"","ACTUALIZADO POR EYR","SIN REPORTE EYR")))</f>
        <v/>
      </c>
    </row>
    <row r="4967" spans="11:30" x14ac:dyDescent="0.3">
      <c r="K4967" s="1" t="str">
        <f ca="1">IF(A4967="","",IF(OR(L4967="ENTREGADA",L4967="RETORNADA",L4967="ENTREGA DIGITAL"),0,MAX(0,5-NETWORKDAYS(H4967+1,TODAY()))))</f>
        <v/>
      </c>
      <c r="L4967" t="str">
        <f>IF(A4967="","",IFERROR(LOOKUP(2,1/(#REF!=Z4967),#REF!),Y4967))</f>
        <v/>
      </c>
      <c r="Z4967" t="str">
        <f>IF(A4967="","",TEXT(A4967,"0")&amp;"|"&amp;TEXT(H4967,"0"))</f>
        <v/>
      </c>
      <c r="AA4967" t="str">
        <f>IF(Z4967="","",IFERROR(LOOKUP(2,1/(#REF!=Z4967),#REF!),""))</f>
        <v/>
      </c>
      <c r="AB4967" t="str">
        <f>IF(Z4967="","",IFERROR(LOOKUP(2,1/(#REF!=Z4967),#REF!),""))</f>
        <v/>
      </c>
      <c r="AC4967" t="str">
        <f>IF(Z4967="","",COUNTIF(#REF!,Z4967))</f>
        <v/>
      </c>
      <c r="AD4967" t="str">
        <f>IF(A4967="","",IF(AC4967&gt;1,"REVISAR DUPLICADO",IF(AA4967&lt;&gt;"","ACTUALIZADO POR EYR","SIN REPORTE EYR")))</f>
        <v/>
      </c>
    </row>
    <row r="4968" spans="11:30" x14ac:dyDescent="0.3">
      <c r="K4968" s="1" t="str">
        <f ca="1">IF(A4968="","",IF(OR(L4968="ENTREGADA",L4968="RETORNADA",L4968="ENTREGA DIGITAL"),0,MAX(0,5-NETWORKDAYS(H4968+1,TODAY()))))</f>
        <v/>
      </c>
      <c r="L4968" t="str">
        <f>IF(A4968="","",IFERROR(LOOKUP(2,1/(#REF!=Z4968),#REF!),Y4968))</f>
        <v/>
      </c>
      <c r="Z4968" t="str">
        <f>IF(A4968="","",TEXT(A4968,"0")&amp;"|"&amp;TEXT(H4968,"0"))</f>
        <v/>
      </c>
      <c r="AA4968" t="str">
        <f>IF(Z4968="","",IFERROR(LOOKUP(2,1/(#REF!=Z4968),#REF!),""))</f>
        <v/>
      </c>
      <c r="AB4968" t="str">
        <f>IF(Z4968="","",IFERROR(LOOKUP(2,1/(#REF!=Z4968),#REF!),""))</f>
        <v/>
      </c>
      <c r="AC4968" t="str">
        <f>IF(Z4968="","",COUNTIF(#REF!,Z4968))</f>
        <v/>
      </c>
      <c r="AD4968" t="str">
        <f>IF(A4968="","",IF(AC4968&gt;1,"REVISAR DUPLICADO",IF(AA4968&lt;&gt;"","ACTUALIZADO POR EYR","SIN REPORTE EYR")))</f>
        <v/>
      </c>
    </row>
    <row r="4969" spans="11:30" x14ac:dyDescent="0.3">
      <c r="K4969" s="1" t="str">
        <f ca="1">IF(A4969="","",IF(OR(L4969="ENTREGADA",L4969="RETORNADA",L4969="ENTREGA DIGITAL"),0,MAX(0,5-NETWORKDAYS(H4969+1,TODAY()))))</f>
        <v/>
      </c>
      <c r="L4969" t="str">
        <f>IF(A4969="","",IFERROR(LOOKUP(2,1/(#REF!=Z4969),#REF!),Y4969))</f>
        <v/>
      </c>
      <c r="Z4969" t="str">
        <f>IF(A4969="","",TEXT(A4969,"0")&amp;"|"&amp;TEXT(H4969,"0"))</f>
        <v/>
      </c>
      <c r="AA4969" t="str">
        <f>IF(Z4969="","",IFERROR(LOOKUP(2,1/(#REF!=Z4969),#REF!),""))</f>
        <v/>
      </c>
      <c r="AB4969" t="str">
        <f>IF(Z4969="","",IFERROR(LOOKUP(2,1/(#REF!=Z4969),#REF!),""))</f>
        <v/>
      </c>
      <c r="AC4969" t="str">
        <f>IF(Z4969="","",COUNTIF(#REF!,Z4969))</f>
        <v/>
      </c>
      <c r="AD4969" t="str">
        <f>IF(A4969="","",IF(AC4969&gt;1,"REVISAR DUPLICADO",IF(AA4969&lt;&gt;"","ACTUALIZADO POR EYR","SIN REPORTE EYR")))</f>
        <v/>
      </c>
    </row>
    <row r="4970" spans="11:30" x14ac:dyDescent="0.3">
      <c r="K4970" s="1" t="str">
        <f ca="1">IF(A4970="","",IF(OR(L4970="ENTREGADA",L4970="RETORNADA",L4970="ENTREGA DIGITAL"),0,MAX(0,5-NETWORKDAYS(H4970+1,TODAY()))))</f>
        <v/>
      </c>
      <c r="L4970" t="str">
        <f>IF(A4970="","",IFERROR(LOOKUP(2,1/(#REF!=Z4970),#REF!),Y4970))</f>
        <v/>
      </c>
      <c r="Z4970" t="str">
        <f>IF(A4970="","",TEXT(A4970,"0")&amp;"|"&amp;TEXT(H4970,"0"))</f>
        <v/>
      </c>
      <c r="AA4970" t="str">
        <f>IF(Z4970="","",IFERROR(LOOKUP(2,1/(#REF!=Z4970),#REF!),""))</f>
        <v/>
      </c>
      <c r="AB4970" t="str">
        <f>IF(Z4970="","",IFERROR(LOOKUP(2,1/(#REF!=Z4970),#REF!),""))</f>
        <v/>
      </c>
      <c r="AC4970" t="str">
        <f>IF(Z4970="","",COUNTIF(#REF!,Z4970))</f>
        <v/>
      </c>
      <c r="AD4970" t="str">
        <f>IF(A4970="","",IF(AC4970&gt;1,"REVISAR DUPLICADO",IF(AA4970&lt;&gt;"","ACTUALIZADO POR EYR","SIN REPORTE EYR")))</f>
        <v/>
      </c>
    </row>
    <row r="4971" spans="11:30" x14ac:dyDescent="0.3">
      <c r="K4971" s="1" t="str">
        <f ca="1">IF(A4971="","",IF(OR(L4971="ENTREGADA",L4971="RETORNADA",L4971="ENTREGA DIGITAL"),0,MAX(0,5-NETWORKDAYS(H4971+1,TODAY()))))</f>
        <v/>
      </c>
      <c r="L4971" t="str">
        <f>IF(A4971="","",IFERROR(LOOKUP(2,1/(#REF!=Z4971),#REF!),Y4971))</f>
        <v/>
      </c>
      <c r="Z4971" t="str">
        <f>IF(A4971="","",TEXT(A4971,"0")&amp;"|"&amp;TEXT(H4971,"0"))</f>
        <v/>
      </c>
      <c r="AA4971" t="str">
        <f>IF(Z4971="","",IFERROR(LOOKUP(2,1/(#REF!=Z4971),#REF!),""))</f>
        <v/>
      </c>
      <c r="AB4971" t="str">
        <f>IF(Z4971="","",IFERROR(LOOKUP(2,1/(#REF!=Z4971),#REF!),""))</f>
        <v/>
      </c>
      <c r="AC4971" t="str">
        <f>IF(Z4971="","",COUNTIF(#REF!,Z4971))</f>
        <v/>
      </c>
      <c r="AD4971" t="str">
        <f>IF(A4971="","",IF(AC4971&gt;1,"REVISAR DUPLICADO",IF(AA4971&lt;&gt;"","ACTUALIZADO POR EYR","SIN REPORTE EYR")))</f>
        <v/>
      </c>
    </row>
    <row r="4972" spans="11:30" x14ac:dyDescent="0.3">
      <c r="K4972" s="1" t="str">
        <f ca="1">IF(A4972="","",IF(OR(L4972="ENTREGADA",L4972="RETORNADA",L4972="ENTREGA DIGITAL"),0,MAX(0,5-NETWORKDAYS(H4972+1,TODAY()))))</f>
        <v/>
      </c>
      <c r="L4972" t="str">
        <f>IF(A4972="","",IFERROR(LOOKUP(2,1/(#REF!=Z4972),#REF!),Y4972))</f>
        <v/>
      </c>
      <c r="Z4972" t="str">
        <f>IF(A4972="","",TEXT(A4972,"0")&amp;"|"&amp;TEXT(H4972,"0"))</f>
        <v/>
      </c>
      <c r="AA4972" t="str">
        <f>IF(Z4972="","",IFERROR(LOOKUP(2,1/(#REF!=Z4972),#REF!),""))</f>
        <v/>
      </c>
      <c r="AB4972" t="str">
        <f>IF(Z4972="","",IFERROR(LOOKUP(2,1/(#REF!=Z4972),#REF!),""))</f>
        <v/>
      </c>
      <c r="AC4972" t="str">
        <f>IF(Z4972="","",COUNTIF(#REF!,Z4972))</f>
        <v/>
      </c>
      <c r="AD4972" t="str">
        <f>IF(A4972="","",IF(AC4972&gt;1,"REVISAR DUPLICADO",IF(AA4972&lt;&gt;"","ACTUALIZADO POR EYR","SIN REPORTE EYR")))</f>
        <v/>
      </c>
    </row>
    <row r="4973" spans="11:30" x14ac:dyDescent="0.3">
      <c r="K4973" s="1" t="str">
        <f ca="1">IF(A4973="","",IF(OR(L4973="ENTREGADA",L4973="RETORNADA",L4973="ENTREGA DIGITAL"),0,MAX(0,5-NETWORKDAYS(H4973+1,TODAY()))))</f>
        <v/>
      </c>
      <c r="L4973" t="str">
        <f>IF(A4973="","",IFERROR(LOOKUP(2,1/(#REF!=Z4973),#REF!),Y4973))</f>
        <v/>
      </c>
      <c r="Z4973" t="str">
        <f>IF(A4973="","",TEXT(A4973,"0")&amp;"|"&amp;TEXT(H4973,"0"))</f>
        <v/>
      </c>
      <c r="AA4973" t="str">
        <f>IF(Z4973="","",IFERROR(LOOKUP(2,1/(#REF!=Z4973),#REF!),""))</f>
        <v/>
      </c>
      <c r="AB4973" t="str">
        <f>IF(Z4973="","",IFERROR(LOOKUP(2,1/(#REF!=Z4973),#REF!),""))</f>
        <v/>
      </c>
      <c r="AC4973" t="str">
        <f>IF(Z4973="","",COUNTIF(#REF!,Z4973))</f>
        <v/>
      </c>
      <c r="AD4973" t="str">
        <f>IF(A4973="","",IF(AC4973&gt;1,"REVISAR DUPLICADO",IF(AA4973&lt;&gt;"","ACTUALIZADO POR EYR","SIN REPORTE EYR")))</f>
        <v/>
      </c>
    </row>
    <row r="4974" spans="11:30" x14ac:dyDescent="0.3">
      <c r="K4974" s="1" t="str">
        <f ca="1">IF(A4974="","",IF(OR(L4974="ENTREGADA",L4974="RETORNADA",L4974="ENTREGA DIGITAL"),0,MAX(0,5-NETWORKDAYS(H4974+1,TODAY()))))</f>
        <v/>
      </c>
      <c r="L4974" t="str">
        <f>IF(A4974="","",IFERROR(LOOKUP(2,1/(#REF!=Z4974),#REF!),Y4974))</f>
        <v/>
      </c>
      <c r="Z4974" t="str">
        <f>IF(A4974="","",TEXT(A4974,"0")&amp;"|"&amp;TEXT(H4974,"0"))</f>
        <v/>
      </c>
      <c r="AA4974" t="str">
        <f>IF(Z4974="","",IFERROR(LOOKUP(2,1/(#REF!=Z4974),#REF!),""))</f>
        <v/>
      </c>
      <c r="AB4974" t="str">
        <f>IF(Z4974="","",IFERROR(LOOKUP(2,1/(#REF!=Z4974),#REF!),""))</f>
        <v/>
      </c>
      <c r="AC4974" t="str">
        <f>IF(Z4974="","",COUNTIF(#REF!,Z4974))</f>
        <v/>
      </c>
      <c r="AD4974" t="str">
        <f>IF(A4974="","",IF(AC4974&gt;1,"REVISAR DUPLICADO",IF(AA4974&lt;&gt;"","ACTUALIZADO POR EYR","SIN REPORTE EYR")))</f>
        <v/>
      </c>
    </row>
    <row r="4975" spans="11:30" x14ac:dyDescent="0.3">
      <c r="K4975" s="1" t="str">
        <f ca="1">IF(A4975="","",IF(OR(L4975="ENTREGADA",L4975="RETORNADA",L4975="ENTREGA DIGITAL"),0,MAX(0,5-NETWORKDAYS(H4975+1,TODAY()))))</f>
        <v/>
      </c>
      <c r="L4975" t="str">
        <f>IF(A4975="","",IFERROR(LOOKUP(2,1/(#REF!=Z4975),#REF!),Y4975))</f>
        <v/>
      </c>
      <c r="Z4975" t="str">
        <f>IF(A4975="","",TEXT(A4975,"0")&amp;"|"&amp;TEXT(H4975,"0"))</f>
        <v/>
      </c>
      <c r="AA4975" t="str">
        <f>IF(Z4975="","",IFERROR(LOOKUP(2,1/(#REF!=Z4975),#REF!),""))</f>
        <v/>
      </c>
      <c r="AB4975" t="str">
        <f>IF(Z4975="","",IFERROR(LOOKUP(2,1/(#REF!=Z4975),#REF!),""))</f>
        <v/>
      </c>
      <c r="AC4975" t="str">
        <f>IF(Z4975="","",COUNTIF(#REF!,Z4975))</f>
        <v/>
      </c>
      <c r="AD4975" t="str">
        <f>IF(A4975="","",IF(AC4975&gt;1,"REVISAR DUPLICADO",IF(AA4975&lt;&gt;"","ACTUALIZADO POR EYR","SIN REPORTE EYR")))</f>
        <v/>
      </c>
    </row>
    <row r="4976" spans="11:30" x14ac:dyDescent="0.3">
      <c r="K4976" s="1" t="str">
        <f ca="1">IF(A4976="","",IF(OR(L4976="ENTREGADA",L4976="RETORNADA",L4976="ENTREGA DIGITAL"),0,MAX(0,5-NETWORKDAYS(H4976+1,TODAY()))))</f>
        <v/>
      </c>
      <c r="L4976" t="str">
        <f>IF(A4976="","",IFERROR(LOOKUP(2,1/(#REF!=Z4976),#REF!),Y4976))</f>
        <v/>
      </c>
      <c r="Z4976" t="str">
        <f>IF(A4976="","",TEXT(A4976,"0")&amp;"|"&amp;TEXT(H4976,"0"))</f>
        <v/>
      </c>
      <c r="AA4976" t="str">
        <f>IF(Z4976="","",IFERROR(LOOKUP(2,1/(#REF!=Z4976),#REF!),""))</f>
        <v/>
      </c>
      <c r="AB4976" t="str">
        <f>IF(Z4976="","",IFERROR(LOOKUP(2,1/(#REF!=Z4976),#REF!),""))</f>
        <v/>
      </c>
      <c r="AC4976" t="str">
        <f>IF(Z4976="","",COUNTIF(#REF!,Z4976))</f>
        <v/>
      </c>
      <c r="AD4976" t="str">
        <f>IF(A4976="","",IF(AC4976&gt;1,"REVISAR DUPLICADO",IF(AA4976&lt;&gt;"","ACTUALIZADO POR EYR","SIN REPORTE EYR")))</f>
        <v/>
      </c>
    </row>
    <row r="4977" spans="11:30" x14ac:dyDescent="0.3">
      <c r="K4977" s="1" t="str">
        <f ca="1">IF(A4977="","",IF(OR(L4977="ENTREGADA",L4977="RETORNADA",L4977="ENTREGA DIGITAL"),0,MAX(0,5-NETWORKDAYS(H4977+1,TODAY()))))</f>
        <v/>
      </c>
      <c r="L4977" t="str">
        <f>IF(A4977="","",IFERROR(LOOKUP(2,1/(#REF!=Z4977),#REF!),Y4977))</f>
        <v/>
      </c>
      <c r="Z4977" t="str">
        <f>IF(A4977="","",TEXT(A4977,"0")&amp;"|"&amp;TEXT(H4977,"0"))</f>
        <v/>
      </c>
      <c r="AA4977" t="str">
        <f>IF(Z4977="","",IFERROR(LOOKUP(2,1/(#REF!=Z4977),#REF!),""))</f>
        <v/>
      </c>
      <c r="AB4977" t="str">
        <f>IF(Z4977="","",IFERROR(LOOKUP(2,1/(#REF!=Z4977),#REF!),""))</f>
        <v/>
      </c>
      <c r="AC4977" t="str">
        <f>IF(Z4977="","",COUNTIF(#REF!,Z4977))</f>
        <v/>
      </c>
      <c r="AD4977" t="str">
        <f>IF(A4977="","",IF(AC4977&gt;1,"REVISAR DUPLICADO",IF(AA4977&lt;&gt;"","ACTUALIZADO POR EYR","SIN REPORTE EYR")))</f>
        <v/>
      </c>
    </row>
    <row r="4978" spans="11:30" x14ac:dyDescent="0.3">
      <c r="K4978" s="1" t="str">
        <f ca="1">IF(A4978="","",IF(OR(L4978="ENTREGADA",L4978="RETORNADA",L4978="ENTREGA DIGITAL"),0,MAX(0,5-NETWORKDAYS(H4978+1,TODAY()))))</f>
        <v/>
      </c>
      <c r="L4978" t="str">
        <f>IF(A4978="","",IFERROR(LOOKUP(2,1/(#REF!=Z4978),#REF!),Y4978))</f>
        <v/>
      </c>
      <c r="Z4978" t="str">
        <f>IF(A4978="","",TEXT(A4978,"0")&amp;"|"&amp;TEXT(H4978,"0"))</f>
        <v/>
      </c>
      <c r="AA4978" t="str">
        <f>IF(Z4978="","",IFERROR(LOOKUP(2,1/(#REF!=Z4978),#REF!),""))</f>
        <v/>
      </c>
      <c r="AB4978" t="str">
        <f>IF(Z4978="","",IFERROR(LOOKUP(2,1/(#REF!=Z4978),#REF!),""))</f>
        <v/>
      </c>
      <c r="AC4978" t="str">
        <f>IF(Z4978="","",COUNTIF(#REF!,Z4978))</f>
        <v/>
      </c>
      <c r="AD4978" t="str">
        <f>IF(A4978="","",IF(AC4978&gt;1,"REVISAR DUPLICADO",IF(AA4978&lt;&gt;"","ACTUALIZADO POR EYR","SIN REPORTE EYR")))</f>
        <v/>
      </c>
    </row>
    <row r="4979" spans="11:30" x14ac:dyDescent="0.3">
      <c r="K4979" s="1" t="str">
        <f ca="1">IF(A4979="","",IF(OR(L4979="ENTREGADA",L4979="RETORNADA",L4979="ENTREGA DIGITAL"),0,MAX(0,5-NETWORKDAYS(H4979+1,TODAY()))))</f>
        <v/>
      </c>
      <c r="L4979" t="str">
        <f>IF(A4979="","",IFERROR(LOOKUP(2,1/(#REF!=Z4979),#REF!),Y4979))</f>
        <v/>
      </c>
      <c r="Z4979" t="str">
        <f>IF(A4979="","",TEXT(A4979,"0")&amp;"|"&amp;TEXT(H4979,"0"))</f>
        <v/>
      </c>
      <c r="AA4979" t="str">
        <f>IF(Z4979="","",IFERROR(LOOKUP(2,1/(#REF!=Z4979),#REF!),""))</f>
        <v/>
      </c>
      <c r="AB4979" t="str">
        <f>IF(Z4979="","",IFERROR(LOOKUP(2,1/(#REF!=Z4979),#REF!),""))</f>
        <v/>
      </c>
      <c r="AC4979" t="str">
        <f>IF(Z4979="","",COUNTIF(#REF!,Z4979))</f>
        <v/>
      </c>
      <c r="AD4979" t="str">
        <f>IF(A4979="","",IF(AC4979&gt;1,"REVISAR DUPLICADO",IF(AA4979&lt;&gt;"","ACTUALIZADO POR EYR","SIN REPORTE EYR")))</f>
        <v/>
      </c>
    </row>
    <row r="4980" spans="11:30" x14ac:dyDescent="0.3">
      <c r="K4980" s="1" t="str">
        <f ca="1">IF(A4980="","",IF(OR(L4980="ENTREGADA",L4980="RETORNADA",L4980="ENTREGA DIGITAL"),0,MAX(0,5-NETWORKDAYS(H4980+1,TODAY()))))</f>
        <v/>
      </c>
      <c r="L4980" t="str">
        <f>IF(A4980="","",IFERROR(LOOKUP(2,1/(#REF!=Z4980),#REF!),Y4980))</f>
        <v/>
      </c>
      <c r="Z4980" t="str">
        <f>IF(A4980="","",TEXT(A4980,"0")&amp;"|"&amp;TEXT(H4980,"0"))</f>
        <v/>
      </c>
      <c r="AA4980" t="str">
        <f>IF(Z4980="","",IFERROR(LOOKUP(2,1/(#REF!=Z4980),#REF!),""))</f>
        <v/>
      </c>
      <c r="AB4980" t="str">
        <f>IF(Z4980="","",IFERROR(LOOKUP(2,1/(#REF!=Z4980),#REF!),""))</f>
        <v/>
      </c>
      <c r="AC4980" t="str">
        <f>IF(Z4980="","",COUNTIF(#REF!,Z4980))</f>
        <v/>
      </c>
      <c r="AD4980" t="str">
        <f>IF(A4980="","",IF(AC4980&gt;1,"REVISAR DUPLICADO",IF(AA4980&lt;&gt;"","ACTUALIZADO POR EYR","SIN REPORTE EYR")))</f>
        <v/>
      </c>
    </row>
    <row r="4981" spans="11:30" x14ac:dyDescent="0.3">
      <c r="K4981" s="1" t="str">
        <f ca="1">IF(A4981="","",IF(OR(L4981="ENTREGADA",L4981="RETORNADA",L4981="ENTREGA DIGITAL"),0,MAX(0,5-NETWORKDAYS(H4981+1,TODAY()))))</f>
        <v/>
      </c>
      <c r="L4981" t="str">
        <f>IF(A4981="","",IFERROR(LOOKUP(2,1/(#REF!=Z4981),#REF!),Y4981))</f>
        <v/>
      </c>
      <c r="Z4981" t="str">
        <f>IF(A4981="","",TEXT(A4981,"0")&amp;"|"&amp;TEXT(H4981,"0"))</f>
        <v/>
      </c>
      <c r="AA4981" t="str">
        <f>IF(Z4981="","",IFERROR(LOOKUP(2,1/(#REF!=Z4981),#REF!),""))</f>
        <v/>
      </c>
      <c r="AB4981" t="str">
        <f>IF(Z4981="","",IFERROR(LOOKUP(2,1/(#REF!=Z4981),#REF!),""))</f>
        <v/>
      </c>
      <c r="AC4981" t="str">
        <f>IF(Z4981="","",COUNTIF(#REF!,Z4981))</f>
        <v/>
      </c>
      <c r="AD4981" t="str">
        <f>IF(A4981="","",IF(AC4981&gt;1,"REVISAR DUPLICADO",IF(AA4981&lt;&gt;"","ACTUALIZADO POR EYR","SIN REPORTE EYR")))</f>
        <v/>
      </c>
    </row>
    <row r="4982" spans="11:30" x14ac:dyDescent="0.3">
      <c r="K4982" s="1" t="str">
        <f ca="1">IF(A4982="","",IF(OR(L4982="ENTREGADA",L4982="RETORNADA",L4982="ENTREGA DIGITAL"),0,MAX(0,5-NETWORKDAYS(H4982+1,TODAY()))))</f>
        <v/>
      </c>
      <c r="L4982" t="str">
        <f>IF(A4982="","",IFERROR(LOOKUP(2,1/(#REF!=Z4982),#REF!),Y4982))</f>
        <v/>
      </c>
      <c r="Z4982" t="str">
        <f>IF(A4982="","",TEXT(A4982,"0")&amp;"|"&amp;TEXT(H4982,"0"))</f>
        <v/>
      </c>
      <c r="AA4982" t="str">
        <f>IF(Z4982="","",IFERROR(LOOKUP(2,1/(#REF!=Z4982),#REF!),""))</f>
        <v/>
      </c>
      <c r="AB4982" t="str">
        <f>IF(Z4982="","",IFERROR(LOOKUP(2,1/(#REF!=Z4982),#REF!),""))</f>
        <v/>
      </c>
      <c r="AC4982" t="str">
        <f>IF(Z4982="","",COUNTIF(#REF!,Z4982))</f>
        <v/>
      </c>
      <c r="AD4982" t="str">
        <f>IF(A4982="","",IF(AC4982&gt;1,"REVISAR DUPLICADO",IF(AA4982&lt;&gt;"","ACTUALIZADO POR EYR","SIN REPORTE EYR")))</f>
        <v/>
      </c>
    </row>
    <row r="4983" spans="11:30" x14ac:dyDescent="0.3">
      <c r="K4983" s="1" t="str">
        <f ca="1">IF(A4983="","",IF(OR(L4983="ENTREGADA",L4983="RETORNADA",L4983="ENTREGA DIGITAL"),0,MAX(0,5-NETWORKDAYS(H4983+1,TODAY()))))</f>
        <v/>
      </c>
      <c r="L4983" t="str">
        <f>IF(A4983="","",IFERROR(LOOKUP(2,1/(#REF!=Z4983),#REF!),Y4983))</f>
        <v/>
      </c>
      <c r="Z4983" t="str">
        <f>IF(A4983="","",TEXT(A4983,"0")&amp;"|"&amp;TEXT(H4983,"0"))</f>
        <v/>
      </c>
      <c r="AA4983" t="str">
        <f>IF(Z4983="","",IFERROR(LOOKUP(2,1/(#REF!=Z4983),#REF!),""))</f>
        <v/>
      </c>
      <c r="AB4983" t="str">
        <f>IF(Z4983="","",IFERROR(LOOKUP(2,1/(#REF!=Z4983),#REF!),""))</f>
        <v/>
      </c>
      <c r="AC4983" t="str">
        <f>IF(Z4983="","",COUNTIF(#REF!,Z4983))</f>
        <v/>
      </c>
      <c r="AD4983" t="str">
        <f>IF(A4983="","",IF(AC4983&gt;1,"REVISAR DUPLICADO",IF(AA4983&lt;&gt;"","ACTUALIZADO POR EYR","SIN REPORTE EYR")))</f>
        <v/>
      </c>
    </row>
    <row r="4984" spans="11:30" x14ac:dyDescent="0.3">
      <c r="K4984" s="1" t="str">
        <f ca="1">IF(A4984="","",IF(OR(L4984="ENTREGADA",L4984="RETORNADA",L4984="ENTREGA DIGITAL"),0,MAX(0,5-NETWORKDAYS(H4984+1,TODAY()))))</f>
        <v/>
      </c>
      <c r="L4984" t="str">
        <f>IF(A4984="","",IFERROR(LOOKUP(2,1/(#REF!=Z4984),#REF!),Y4984))</f>
        <v/>
      </c>
      <c r="Z4984" t="str">
        <f>IF(A4984="","",TEXT(A4984,"0")&amp;"|"&amp;TEXT(H4984,"0"))</f>
        <v/>
      </c>
      <c r="AA4984" t="str">
        <f>IF(Z4984="","",IFERROR(LOOKUP(2,1/(#REF!=Z4984),#REF!),""))</f>
        <v/>
      </c>
      <c r="AB4984" t="str">
        <f>IF(Z4984="","",IFERROR(LOOKUP(2,1/(#REF!=Z4984),#REF!),""))</f>
        <v/>
      </c>
      <c r="AC4984" t="str">
        <f>IF(Z4984="","",COUNTIF(#REF!,Z4984))</f>
        <v/>
      </c>
      <c r="AD4984" t="str">
        <f>IF(A4984="","",IF(AC4984&gt;1,"REVISAR DUPLICADO",IF(AA4984&lt;&gt;"","ACTUALIZADO POR EYR","SIN REPORTE EYR")))</f>
        <v/>
      </c>
    </row>
    <row r="4985" spans="11:30" x14ac:dyDescent="0.3">
      <c r="K4985" s="1" t="str">
        <f ca="1">IF(A4985="","",IF(OR(L4985="ENTREGADA",L4985="RETORNADA",L4985="ENTREGA DIGITAL"),0,MAX(0,5-NETWORKDAYS(H4985+1,TODAY()))))</f>
        <v/>
      </c>
      <c r="L4985" t="str">
        <f>IF(A4985="","",IFERROR(LOOKUP(2,1/(#REF!=Z4985),#REF!),Y4985))</f>
        <v/>
      </c>
      <c r="Z4985" t="str">
        <f>IF(A4985="","",TEXT(A4985,"0")&amp;"|"&amp;TEXT(H4985,"0"))</f>
        <v/>
      </c>
      <c r="AA4985" t="str">
        <f>IF(Z4985="","",IFERROR(LOOKUP(2,1/(#REF!=Z4985),#REF!),""))</f>
        <v/>
      </c>
      <c r="AB4985" t="str">
        <f>IF(Z4985="","",IFERROR(LOOKUP(2,1/(#REF!=Z4985),#REF!),""))</f>
        <v/>
      </c>
      <c r="AC4985" t="str">
        <f>IF(Z4985="","",COUNTIF(#REF!,Z4985))</f>
        <v/>
      </c>
      <c r="AD4985" t="str">
        <f>IF(A4985="","",IF(AC4985&gt;1,"REVISAR DUPLICADO",IF(AA4985&lt;&gt;"","ACTUALIZADO POR EYR","SIN REPORTE EYR")))</f>
        <v/>
      </c>
    </row>
    <row r="4986" spans="11:30" x14ac:dyDescent="0.3">
      <c r="K4986" s="1" t="str">
        <f ca="1">IF(A4986="","",IF(OR(L4986="ENTREGADA",L4986="RETORNADA",L4986="ENTREGA DIGITAL"),0,MAX(0,5-NETWORKDAYS(H4986+1,TODAY()))))</f>
        <v/>
      </c>
      <c r="L4986" t="str">
        <f>IF(A4986="","",IFERROR(LOOKUP(2,1/(#REF!=Z4986),#REF!),Y4986))</f>
        <v/>
      </c>
      <c r="Z4986" t="str">
        <f>IF(A4986="","",TEXT(A4986,"0")&amp;"|"&amp;TEXT(H4986,"0"))</f>
        <v/>
      </c>
      <c r="AA4986" t="str">
        <f>IF(Z4986="","",IFERROR(LOOKUP(2,1/(#REF!=Z4986),#REF!),""))</f>
        <v/>
      </c>
      <c r="AB4986" t="str">
        <f>IF(Z4986="","",IFERROR(LOOKUP(2,1/(#REF!=Z4986),#REF!),""))</f>
        <v/>
      </c>
      <c r="AC4986" t="str">
        <f>IF(Z4986="","",COUNTIF(#REF!,Z4986))</f>
        <v/>
      </c>
      <c r="AD4986" t="str">
        <f>IF(A4986="","",IF(AC4986&gt;1,"REVISAR DUPLICADO",IF(AA4986&lt;&gt;"","ACTUALIZADO POR EYR","SIN REPORTE EYR")))</f>
        <v/>
      </c>
    </row>
    <row r="4987" spans="11:30" x14ac:dyDescent="0.3">
      <c r="K4987" s="1" t="str">
        <f ca="1">IF(A4987="","",IF(OR(L4987="ENTREGADA",L4987="RETORNADA",L4987="ENTREGA DIGITAL"),0,MAX(0,5-NETWORKDAYS(H4987+1,TODAY()))))</f>
        <v/>
      </c>
      <c r="L4987" t="str">
        <f>IF(A4987="","",IFERROR(LOOKUP(2,1/(#REF!=Z4987),#REF!),Y4987))</f>
        <v/>
      </c>
      <c r="Z4987" t="str">
        <f>IF(A4987="","",TEXT(A4987,"0")&amp;"|"&amp;TEXT(H4987,"0"))</f>
        <v/>
      </c>
      <c r="AA4987" t="str">
        <f>IF(Z4987="","",IFERROR(LOOKUP(2,1/(#REF!=Z4987),#REF!),""))</f>
        <v/>
      </c>
      <c r="AB4987" t="str">
        <f>IF(Z4987="","",IFERROR(LOOKUP(2,1/(#REF!=Z4987),#REF!),""))</f>
        <v/>
      </c>
      <c r="AC4987" t="str">
        <f>IF(Z4987="","",COUNTIF(#REF!,Z4987))</f>
        <v/>
      </c>
      <c r="AD4987" t="str">
        <f>IF(A4987="","",IF(AC4987&gt;1,"REVISAR DUPLICADO",IF(AA4987&lt;&gt;"","ACTUALIZADO POR EYR","SIN REPORTE EYR")))</f>
        <v/>
      </c>
    </row>
    <row r="4988" spans="11:30" x14ac:dyDescent="0.3">
      <c r="K4988" s="1" t="str">
        <f ca="1">IF(A4988="","",IF(OR(L4988="ENTREGADA",L4988="RETORNADA",L4988="ENTREGA DIGITAL"),0,MAX(0,5-NETWORKDAYS(H4988+1,TODAY()))))</f>
        <v/>
      </c>
      <c r="L4988" t="str">
        <f>IF(A4988="","",IFERROR(LOOKUP(2,1/(#REF!=Z4988),#REF!),Y4988))</f>
        <v/>
      </c>
      <c r="Z4988" t="str">
        <f>IF(A4988="","",TEXT(A4988,"0")&amp;"|"&amp;TEXT(H4988,"0"))</f>
        <v/>
      </c>
      <c r="AA4988" t="str">
        <f>IF(Z4988="","",IFERROR(LOOKUP(2,1/(#REF!=Z4988),#REF!),""))</f>
        <v/>
      </c>
      <c r="AB4988" t="str">
        <f>IF(Z4988="","",IFERROR(LOOKUP(2,1/(#REF!=Z4988),#REF!),""))</f>
        <v/>
      </c>
      <c r="AC4988" t="str">
        <f>IF(Z4988="","",COUNTIF(#REF!,Z4988))</f>
        <v/>
      </c>
      <c r="AD4988" t="str">
        <f>IF(A4988="","",IF(AC4988&gt;1,"REVISAR DUPLICADO",IF(AA4988&lt;&gt;"","ACTUALIZADO POR EYR","SIN REPORTE EYR")))</f>
        <v/>
      </c>
    </row>
    <row r="4989" spans="11:30" x14ac:dyDescent="0.3">
      <c r="K4989" s="1" t="str">
        <f ca="1">IF(A4989="","",IF(OR(L4989="ENTREGADA",L4989="RETORNADA",L4989="ENTREGA DIGITAL"),0,MAX(0,5-NETWORKDAYS(H4989+1,TODAY()))))</f>
        <v/>
      </c>
      <c r="L4989" t="str">
        <f>IF(A4989="","",IFERROR(LOOKUP(2,1/(#REF!=Z4989),#REF!),Y4989))</f>
        <v/>
      </c>
      <c r="Z4989" t="str">
        <f>IF(A4989="","",TEXT(A4989,"0")&amp;"|"&amp;TEXT(H4989,"0"))</f>
        <v/>
      </c>
      <c r="AA4989" t="str">
        <f>IF(Z4989="","",IFERROR(LOOKUP(2,1/(#REF!=Z4989),#REF!),""))</f>
        <v/>
      </c>
      <c r="AB4989" t="str">
        <f>IF(Z4989="","",IFERROR(LOOKUP(2,1/(#REF!=Z4989),#REF!),""))</f>
        <v/>
      </c>
      <c r="AC4989" t="str">
        <f>IF(Z4989="","",COUNTIF(#REF!,Z4989))</f>
        <v/>
      </c>
      <c r="AD4989" t="str">
        <f>IF(A4989="","",IF(AC4989&gt;1,"REVISAR DUPLICADO",IF(AA4989&lt;&gt;"","ACTUALIZADO POR EYR","SIN REPORTE EYR")))</f>
        <v/>
      </c>
    </row>
    <row r="4990" spans="11:30" x14ac:dyDescent="0.3">
      <c r="K4990" s="1" t="str">
        <f ca="1">IF(A4990="","",IF(OR(L4990="ENTREGADA",L4990="RETORNADA",L4990="ENTREGA DIGITAL"),0,MAX(0,5-NETWORKDAYS(H4990+1,TODAY()))))</f>
        <v/>
      </c>
      <c r="L4990" t="str">
        <f>IF(A4990="","",IFERROR(LOOKUP(2,1/(#REF!=Z4990),#REF!),Y4990))</f>
        <v/>
      </c>
      <c r="Z4990" t="str">
        <f>IF(A4990="","",TEXT(A4990,"0")&amp;"|"&amp;TEXT(H4990,"0"))</f>
        <v/>
      </c>
      <c r="AA4990" t="str">
        <f>IF(Z4990="","",IFERROR(LOOKUP(2,1/(#REF!=Z4990),#REF!),""))</f>
        <v/>
      </c>
      <c r="AB4990" t="str">
        <f>IF(Z4990="","",IFERROR(LOOKUP(2,1/(#REF!=Z4990),#REF!),""))</f>
        <v/>
      </c>
      <c r="AC4990" t="str">
        <f>IF(Z4990="","",COUNTIF(#REF!,Z4990))</f>
        <v/>
      </c>
      <c r="AD4990" t="str">
        <f>IF(A4990="","",IF(AC4990&gt;1,"REVISAR DUPLICADO",IF(AA4990&lt;&gt;"","ACTUALIZADO POR EYR","SIN REPORTE EYR")))</f>
        <v/>
      </c>
    </row>
    <row r="4991" spans="11:30" x14ac:dyDescent="0.3">
      <c r="K4991" s="1" t="str">
        <f ca="1">IF(A4991="","",IF(OR(L4991="ENTREGADA",L4991="RETORNADA",L4991="ENTREGA DIGITAL"),0,MAX(0,5-NETWORKDAYS(H4991+1,TODAY()))))</f>
        <v/>
      </c>
      <c r="L4991" t="str">
        <f>IF(A4991="","",IFERROR(LOOKUP(2,1/(#REF!=Z4991),#REF!),Y4991))</f>
        <v/>
      </c>
      <c r="Z4991" t="str">
        <f>IF(A4991="","",TEXT(A4991,"0")&amp;"|"&amp;TEXT(H4991,"0"))</f>
        <v/>
      </c>
      <c r="AA4991" t="str">
        <f>IF(Z4991="","",IFERROR(LOOKUP(2,1/(#REF!=Z4991),#REF!),""))</f>
        <v/>
      </c>
      <c r="AB4991" t="str">
        <f>IF(Z4991="","",IFERROR(LOOKUP(2,1/(#REF!=Z4991),#REF!),""))</f>
        <v/>
      </c>
      <c r="AC4991" t="str">
        <f>IF(Z4991="","",COUNTIF(#REF!,Z4991))</f>
        <v/>
      </c>
      <c r="AD4991" t="str">
        <f>IF(A4991="","",IF(AC4991&gt;1,"REVISAR DUPLICADO",IF(AA4991&lt;&gt;"","ACTUALIZADO POR EYR","SIN REPORTE EYR")))</f>
        <v/>
      </c>
    </row>
    <row r="4992" spans="11:30" x14ac:dyDescent="0.3">
      <c r="K4992" s="1" t="str">
        <f ca="1">IF(A4992="","",IF(OR(L4992="ENTREGADA",L4992="RETORNADA",L4992="ENTREGA DIGITAL"),0,MAX(0,5-NETWORKDAYS(H4992+1,TODAY()))))</f>
        <v/>
      </c>
      <c r="L4992" t="str">
        <f>IF(A4992="","",IFERROR(LOOKUP(2,1/(#REF!=Z4992),#REF!),Y4992))</f>
        <v/>
      </c>
      <c r="Z4992" t="str">
        <f>IF(A4992="","",TEXT(A4992,"0")&amp;"|"&amp;TEXT(H4992,"0"))</f>
        <v/>
      </c>
      <c r="AA4992" t="str">
        <f>IF(Z4992="","",IFERROR(LOOKUP(2,1/(#REF!=Z4992),#REF!),""))</f>
        <v/>
      </c>
      <c r="AB4992" t="str">
        <f>IF(Z4992="","",IFERROR(LOOKUP(2,1/(#REF!=Z4992),#REF!),""))</f>
        <v/>
      </c>
      <c r="AC4992" t="str">
        <f>IF(Z4992="","",COUNTIF(#REF!,Z4992))</f>
        <v/>
      </c>
      <c r="AD4992" t="str">
        <f>IF(A4992="","",IF(AC4992&gt;1,"REVISAR DUPLICADO",IF(AA4992&lt;&gt;"","ACTUALIZADO POR EYR","SIN REPORTE EYR")))</f>
        <v/>
      </c>
    </row>
    <row r="4993" spans="11:30" x14ac:dyDescent="0.3">
      <c r="K4993" s="1" t="str">
        <f ca="1">IF(A4993="","",IF(OR(L4993="ENTREGADA",L4993="RETORNADA",L4993="ENTREGA DIGITAL"),0,MAX(0,5-NETWORKDAYS(H4993+1,TODAY()))))</f>
        <v/>
      </c>
      <c r="L4993" t="str">
        <f>IF(A4993="","",IFERROR(LOOKUP(2,1/(#REF!=Z4993),#REF!),Y4993))</f>
        <v/>
      </c>
      <c r="Z4993" t="str">
        <f>IF(A4993="","",TEXT(A4993,"0")&amp;"|"&amp;TEXT(H4993,"0"))</f>
        <v/>
      </c>
      <c r="AA4993" t="str">
        <f>IF(Z4993="","",IFERROR(LOOKUP(2,1/(#REF!=Z4993),#REF!),""))</f>
        <v/>
      </c>
      <c r="AB4993" t="str">
        <f>IF(Z4993="","",IFERROR(LOOKUP(2,1/(#REF!=Z4993),#REF!),""))</f>
        <v/>
      </c>
      <c r="AC4993" t="str">
        <f>IF(Z4993="","",COUNTIF(#REF!,Z4993))</f>
        <v/>
      </c>
      <c r="AD4993" t="str">
        <f>IF(A4993="","",IF(AC4993&gt;1,"REVISAR DUPLICADO",IF(AA4993&lt;&gt;"","ACTUALIZADO POR EYR","SIN REPORTE EYR")))</f>
        <v/>
      </c>
    </row>
    <row r="4994" spans="11:30" x14ac:dyDescent="0.3">
      <c r="K4994" s="1" t="str">
        <f ca="1">IF(A4994="","",IF(OR(L4994="ENTREGADA",L4994="RETORNADA",L4994="ENTREGA DIGITAL"),0,MAX(0,5-NETWORKDAYS(H4994+1,TODAY()))))</f>
        <v/>
      </c>
      <c r="L4994" t="str">
        <f>IF(A4994="","",IFERROR(LOOKUP(2,1/(#REF!=Z4994),#REF!),Y4994))</f>
        <v/>
      </c>
      <c r="Z4994" t="str">
        <f>IF(A4994="","",TEXT(A4994,"0")&amp;"|"&amp;TEXT(H4994,"0"))</f>
        <v/>
      </c>
      <c r="AA4994" t="str">
        <f>IF(Z4994="","",IFERROR(LOOKUP(2,1/(#REF!=Z4994),#REF!),""))</f>
        <v/>
      </c>
      <c r="AB4994" t="str">
        <f>IF(Z4994="","",IFERROR(LOOKUP(2,1/(#REF!=Z4994),#REF!),""))</f>
        <v/>
      </c>
      <c r="AC4994" t="str">
        <f>IF(Z4994="","",COUNTIF(#REF!,Z4994))</f>
        <v/>
      </c>
      <c r="AD4994" t="str">
        <f>IF(A4994="","",IF(AC4994&gt;1,"REVISAR DUPLICADO",IF(AA4994&lt;&gt;"","ACTUALIZADO POR EYR","SIN REPORTE EYR")))</f>
        <v/>
      </c>
    </row>
    <row r="4995" spans="11:30" x14ac:dyDescent="0.3">
      <c r="K4995" s="1" t="str">
        <f ca="1">IF(A4995="","",IF(OR(L4995="ENTREGADA",L4995="RETORNADA",L4995="ENTREGA DIGITAL"),0,MAX(0,5-NETWORKDAYS(H4995+1,TODAY()))))</f>
        <v/>
      </c>
      <c r="L4995" t="str">
        <f>IF(A4995="","",IFERROR(LOOKUP(2,1/(#REF!=Z4995),#REF!),Y4995))</f>
        <v/>
      </c>
      <c r="Z4995" t="str">
        <f>IF(A4995="","",TEXT(A4995,"0")&amp;"|"&amp;TEXT(H4995,"0"))</f>
        <v/>
      </c>
      <c r="AA4995" t="str">
        <f>IF(Z4995="","",IFERROR(LOOKUP(2,1/(#REF!=Z4995),#REF!),""))</f>
        <v/>
      </c>
      <c r="AB4995" t="str">
        <f>IF(Z4995="","",IFERROR(LOOKUP(2,1/(#REF!=Z4995),#REF!),""))</f>
        <v/>
      </c>
      <c r="AC4995" t="str">
        <f>IF(Z4995="","",COUNTIF(#REF!,Z4995))</f>
        <v/>
      </c>
      <c r="AD4995" t="str">
        <f>IF(A4995="","",IF(AC4995&gt;1,"REVISAR DUPLICADO",IF(AA4995&lt;&gt;"","ACTUALIZADO POR EYR","SIN REPORTE EYR")))</f>
        <v/>
      </c>
    </row>
    <row r="4996" spans="11:30" x14ac:dyDescent="0.3">
      <c r="K4996" s="1" t="str">
        <f ca="1">IF(A4996="","",IF(OR(L4996="ENTREGADA",L4996="RETORNADA",L4996="ENTREGA DIGITAL"),0,MAX(0,5-NETWORKDAYS(H4996+1,TODAY()))))</f>
        <v/>
      </c>
      <c r="L4996" t="str">
        <f>IF(A4996="","",IFERROR(LOOKUP(2,1/(#REF!=Z4996),#REF!),Y4996))</f>
        <v/>
      </c>
      <c r="Z4996" t="str">
        <f>IF(A4996="","",TEXT(A4996,"0")&amp;"|"&amp;TEXT(H4996,"0"))</f>
        <v/>
      </c>
      <c r="AA4996" t="str">
        <f>IF(Z4996="","",IFERROR(LOOKUP(2,1/(#REF!=Z4996),#REF!),""))</f>
        <v/>
      </c>
      <c r="AB4996" t="str">
        <f>IF(Z4996="","",IFERROR(LOOKUP(2,1/(#REF!=Z4996),#REF!),""))</f>
        <v/>
      </c>
      <c r="AC4996" t="str">
        <f>IF(Z4996="","",COUNTIF(#REF!,Z4996))</f>
        <v/>
      </c>
      <c r="AD4996" t="str">
        <f>IF(A4996="","",IF(AC4996&gt;1,"REVISAR DUPLICADO",IF(AA4996&lt;&gt;"","ACTUALIZADO POR EYR","SIN REPORTE EYR")))</f>
        <v/>
      </c>
    </row>
    <row r="4997" spans="11:30" x14ac:dyDescent="0.3">
      <c r="K4997" s="1" t="str">
        <f ca="1">IF(A4997="","",IF(OR(L4997="ENTREGADA",L4997="RETORNADA",L4997="ENTREGA DIGITAL"),0,MAX(0,5-NETWORKDAYS(H4997+1,TODAY()))))</f>
        <v/>
      </c>
      <c r="L4997" t="str">
        <f>IF(A4997="","",IFERROR(LOOKUP(2,1/(#REF!=Z4997),#REF!),Y4997))</f>
        <v/>
      </c>
      <c r="Z4997" t="str">
        <f>IF(A4997="","",TEXT(A4997,"0")&amp;"|"&amp;TEXT(H4997,"0"))</f>
        <v/>
      </c>
      <c r="AA4997" t="str">
        <f>IF(Z4997="","",IFERROR(LOOKUP(2,1/(#REF!=Z4997),#REF!),""))</f>
        <v/>
      </c>
      <c r="AB4997" t="str">
        <f>IF(Z4997="","",IFERROR(LOOKUP(2,1/(#REF!=Z4997),#REF!),""))</f>
        <v/>
      </c>
      <c r="AC4997" t="str">
        <f>IF(Z4997="","",COUNTIF(#REF!,Z4997))</f>
        <v/>
      </c>
      <c r="AD4997" t="str">
        <f>IF(A4997="","",IF(AC4997&gt;1,"REVISAR DUPLICADO",IF(AA4997&lt;&gt;"","ACTUALIZADO POR EYR","SIN REPORTE EYR")))</f>
        <v/>
      </c>
    </row>
    <row r="4998" spans="11:30" x14ac:dyDescent="0.3">
      <c r="K4998" s="1" t="str">
        <f ca="1">IF(A4998="","",IF(OR(L4998="ENTREGADA",L4998="RETORNADA",L4998="ENTREGA DIGITAL"),0,MAX(0,5-NETWORKDAYS(H4998+1,TODAY()))))</f>
        <v/>
      </c>
      <c r="L4998" t="str">
        <f>IF(A4998="","",IFERROR(LOOKUP(2,1/(#REF!=Z4998),#REF!),Y4998))</f>
        <v/>
      </c>
      <c r="Z4998" t="str">
        <f>IF(A4998="","",TEXT(A4998,"0")&amp;"|"&amp;TEXT(H4998,"0"))</f>
        <v/>
      </c>
      <c r="AA4998" t="str">
        <f>IF(Z4998="","",IFERROR(LOOKUP(2,1/(#REF!=Z4998),#REF!),""))</f>
        <v/>
      </c>
      <c r="AB4998" t="str">
        <f>IF(Z4998="","",IFERROR(LOOKUP(2,1/(#REF!=Z4998),#REF!),""))</f>
        <v/>
      </c>
      <c r="AC4998" t="str">
        <f>IF(Z4998="","",COUNTIF(#REF!,Z4998))</f>
        <v/>
      </c>
      <c r="AD4998" t="str">
        <f>IF(A4998="","",IF(AC4998&gt;1,"REVISAR DUPLICADO",IF(AA4998&lt;&gt;"","ACTUALIZADO POR EYR","SIN REPORTE EYR")))</f>
        <v/>
      </c>
    </row>
    <row r="4999" spans="11:30" x14ac:dyDescent="0.3">
      <c r="K4999" s="1" t="str">
        <f ca="1">IF(A4999="","",IF(OR(L4999="ENTREGADA",L4999="RETORNADA",L4999="ENTREGA DIGITAL"),0,MAX(0,5-NETWORKDAYS(H4999+1,TODAY()))))</f>
        <v/>
      </c>
      <c r="L4999" t="str">
        <f>IF(A4999="","",IFERROR(LOOKUP(2,1/(#REF!=Z4999),#REF!),Y4999))</f>
        <v/>
      </c>
      <c r="Z4999" t="str">
        <f>IF(A4999="","",TEXT(A4999,"0")&amp;"|"&amp;TEXT(H4999,"0"))</f>
        <v/>
      </c>
      <c r="AA4999" t="str">
        <f>IF(Z4999="","",IFERROR(LOOKUP(2,1/(#REF!=Z4999),#REF!),""))</f>
        <v/>
      </c>
      <c r="AB4999" t="str">
        <f>IF(Z4999="","",IFERROR(LOOKUP(2,1/(#REF!=Z4999),#REF!),""))</f>
        <v/>
      </c>
      <c r="AC4999" t="str">
        <f>IF(Z4999="","",COUNTIF(#REF!,Z4999))</f>
        <v/>
      </c>
      <c r="AD4999" t="str">
        <f>IF(A4999="","",IF(AC4999&gt;1,"REVISAR DUPLICADO",IF(AA4999&lt;&gt;"","ACTUALIZADO POR EYR","SIN REPORTE EYR")))</f>
        <v/>
      </c>
    </row>
    <row r="5000" spans="11:30" x14ac:dyDescent="0.3">
      <c r="K5000" s="1" t="str">
        <f ca="1">IF(A5000="","",IF(OR(L5000="ENTREGADA",L5000="RETORNADA",L5000="ENTREGA DIGITAL"),0,MAX(0,5-NETWORKDAYS(H5000+1,TODAY()))))</f>
        <v/>
      </c>
      <c r="L5000" t="str">
        <f>IF(A5000="","",IFERROR(LOOKUP(2,1/(#REF!=Z5000),#REF!),Y5000))</f>
        <v/>
      </c>
      <c r="Z5000" t="str">
        <f>IF(A5000="","",TEXT(A5000,"0")&amp;"|"&amp;TEXT(H5000,"0"))</f>
        <v/>
      </c>
      <c r="AA5000" t="str">
        <f>IF(Z5000="","",IFERROR(LOOKUP(2,1/(#REF!=Z5000),#REF!),""))</f>
        <v/>
      </c>
      <c r="AB5000" t="str">
        <f>IF(Z5000="","",IFERROR(LOOKUP(2,1/(#REF!=Z5000),#REF!),""))</f>
        <v/>
      </c>
      <c r="AC5000" t="str">
        <f>IF(Z5000="","",COUNTIF(#REF!,Z5000))</f>
        <v/>
      </c>
      <c r="AD5000" t="str">
        <f>IF(A5000="","",IF(AC5000&gt;1,"REVISAR DUPLICADO",IF(AA5000&lt;&gt;"","ACTUALIZADO POR EYR","SIN REPORTE EYR")))</f>
        <v/>
      </c>
    </row>
    <row r="5001" spans="11:30" x14ac:dyDescent="0.3">
      <c r="K5001" s="1" t="str">
        <f ca="1">IF(A5001="","",IF(OR(L5001="ENTREGADA",L5001="RETORNADA",L5001="ENTREGA DIGITAL"),0,MAX(0,5-NETWORKDAYS(H5001+1,TODAY()))))</f>
        <v/>
      </c>
      <c r="L5001" t="str">
        <f>IF(A5001="","",IFERROR(LOOKUP(2,1/(#REF!=Z5001),#REF!),Y5001))</f>
        <v/>
      </c>
      <c r="Z5001" t="str">
        <f>IF(A5001="","",TEXT(A5001,"0")&amp;"|"&amp;TEXT(H5001,"0"))</f>
        <v/>
      </c>
      <c r="AA5001" t="str">
        <f>IF(Z5001="","",IFERROR(LOOKUP(2,1/(#REF!=Z5001),#REF!),""))</f>
        <v/>
      </c>
      <c r="AB5001" t="str">
        <f>IF(Z5001="","",IFERROR(LOOKUP(2,1/(#REF!=Z5001),#REF!),""))</f>
        <v/>
      </c>
      <c r="AC5001" t="str">
        <f>IF(Z5001="","",COUNTIF(#REF!,Z5001))</f>
        <v/>
      </c>
      <c r="AD5001" t="str">
        <f>IF(A5001="","",IF(AC5001&gt;1,"REVISAR DUPLICADO",IF(AA5001&lt;&gt;"","ACTUALIZADO POR EYR","SIN REPORTE EYR")))</f>
        <v/>
      </c>
    </row>
    <row r="5002" spans="11:30" x14ac:dyDescent="0.3">
      <c r="K5002" s="1" t="str">
        <f ca="1">IF(A5002="","",IF(OR(L5002="ENTREGADA",L5002="RETORNADA",L5002="ENTREGA DIGITAL"),0,MAX(0,5-NETWORKDAYS(H5002+1,TODAY()))))</f>
        <v/>
      </c>
      <c r="L5002" t="str">
        <f>IF(A5002="","",IFERROR(LOOKUP(2,1/(#REF!=Z5002),#REF!),Y5002))</f>
        <v/>
      </c>
      <c r="Z5002" t="str">
        <f>IF(A5002="","",TEXT(A5002,"0")&amp;"|"&amp;TEXT(H5002,"0"))</f>
        <v/>
      </c>
      <c r="AA5002" t="str">
        <f>IF(Z5002="","",IFERROR(LOOKUP(2,1/(#REF!=Z5002),#REF!),""))</f>
        <v/>
      </c>
      <c r="AB5002" t="str">
        <f>IF(Z5002="","",IFERROR(LOOKUP(2,1/(#REF!=Z5002),#REF!),""))</f>
        <v/>
      </c>
      <c r="AC5002" t="str">
        <f>IF(Z5002="","",COUNTIF(#REF!,Z5002))</f>
        <v/>
      </c>
      <c r="AD5002" t="str">
        <f>IF(A5002="","",IF(AC5002&gt;1,"REVISAR DUPLICADO",IF(AA5002&lt;&gt;"","ACTUALIZADO POR EYR","SIN REPORTE EYR")))</f>
        <v/>
      </c>
    </row>
    <row r="5003" spans="11:30" x14ac:dyDescent="0.3">
      <c r="K5003" s="1" t="str">
        <f ca="1">IF(A5003="","",IF(OR(L5003="ENTREGADA",L5003="RETORNADA",L5003="ENTREGA DIGITAL"),0,MAX(0,5-NETWORKDAYS(H5003+1,TODAY()))))</f>
        <v/>
      </c>
      <c r="L5003" t="str">
        <f>IF(A5003="","",IFERROR(LOOKUP(2,1/(#REF!=Z5003),#REF!),Y5003))</f>
        <v/>
      </c>
      <c r="Z5003" t="str">
        <f>IF(A5003="","",TEXT(A5003,"0")&amp;"|"&amp;TEXT(H5003,"0"))</f>
        <v/>
      </c>
      <c r="AA5003" t="str">
        <f>IF(Z5003="","",IFERROR(LOOKUP(2,1/(#REF!=Z5003),#REF!),""))</f>
        <v/>
      </c>
      <c r="AB5003" t="str">
        <f>IF(Z5003="","",IFERROR(LOOKUP(2,1/(#REF!=Z5003),#REF!),""))</f>
        <v/>
      </c>
      <c r="AC5003" t="str">
        <f>IF(Z5003="","",COUNTIF(#REF!,Z5003))</f>
        <v/>
      </c>
      <c r="AD5003" t="str">
        <f>IF(A5003="","",IF(AC5003&gt;1,"REVISAR DUPLICADO",IF(AA5003&lt;&gt;"","ACTUALIZADO POR EYR","SIN REPORTE EYR")))</f>
        <v/>
      </c>
    </row>
    <row r="5004" spans="11:30" x14ac:dyDescent="0.3">
      <c r="K5004" s="1" t="str">
        <f ca="1">IF(A5004="","",IF(OR(L5004="ENTREGADA",L5004="RETORNADA",L5004="ENTREGA DIGITAL"),0,MAX(0,5-NETWORKDAYS(H5004+1,TODAY()))))</f>
        <v/>
      </c>
      <c r="L5004" t="str">
        <f>IF(A5004="","",IFERROR(LOOKUP(2,1/(#REF!=Z5004),#REF!),Y5004))</f>
        <v/>
      </c>
      <c r="Z5004" t="str">
        <f>IF(A5004="","",TEXT(A5004,"0")&amp;"|"&amp;TEXT(H5004,"0"))</f>
        <v/>
      </c>
      <c r="AA5004" t="str">
        <f>IF(Z5004="","",IFERROR(LOOKUP(2,1/(#REF!=Z5004),#REF!),""))</f>
        <v/>
      </c>
      <c r="AB5004" t="str">
        <f>IF(Z5004="","",IFERROR(LOOKUP(2,1/(#REF!=Z5004),#REF!),""))</f>
        <v/>
      </c>
      <c r="AC5004" t="str">
        <f>IF(Z5004="","",COUNTIF(#REF!,Z5004))</f>
        <v/>
      </c>
      <c r="AD5004" t="str">
        <f>IF(A5004="","",IF(AC5004&gt;1,"REVISAR DUPLICADO",IF(AA5004&lt;&gt;"","ACTUALIZADO POR EYR","SIN REPORTE EYR")))</f>
        <v/>
      </c>
    </row>
    <row r="5005" spans="11:30" x14ac:dyDescent="0.3">
      <c r="K5005" s="1" t="str">
        <f ca="1">IF(A5005="","",IF(OR(L5005="ENTREGADA",L5005="RETORNADA",L5005="ENTREGA DIGITAL"),0,MAX(0,5-NETWORKDAYS(H5005+1,TODAY()))))</f>
        <v/>
      </c>
      <c r="L5005" t="str">
        <f>IF(A5005="","",IFERROR(LOOKUP(2,1/(#REF!=Z5005),#REF!),Y5005))</f>
        <v/>
      </c>
      <c r="Z5005" t="str">
        <f>IF(A5005="","",TEXT(A5005,"0")&amp;"|"&amp;TEXT(H5005,"0"))</f>
        <v/>
      </c>
      <c r="AA5005" t="str">
        <f>IF(Z5005="","",IFERROR(LOOKUP(2,1/(#REF!=Z5005),#REF!),""))</f>
        <v/>
      </c>
      <c r="AB5005" t="str">
        <f>IF(Z5005="","",IFERROR(LOOKUP(2,1/(#REF!=Z5005),#REF!),""))</f>
        <v/>
      </c>
      <c r="AC5005" t="str">
        <f>IF(Z5005="","",COUNTIF(#REF!,Z5005))</f>
        <v/>
      </c>
      <c r="AD5005" t="str">
        <f>IF(A5005="","",IF(AC5005&gt;1,"REVISAR DUPLICADO",IF(AA5005&lt;&gt;"","ACTUALIZADO POR EYR","SIN REPORTE EYR")))</f>
        <v/>
      </c>
    </row>
    <row r="5006" spans="11:30" x14ac:dyDescent="0.3">
      <c r="K5006" s="1" t="str">
        <f ca="1">IF(A5006="","",IF(OR(L5006="ENTREGADA",L5006="RETORNADA",L5006="ENTREGA DIGITAL"),0,MAX(0,5-NETWORKDAYS(H5006+1,TODAY()))))</f>
        <v/>
      </c>
      <c r="L5006" t="str">
        <f>IF(A5006="","",IFERROR(LOOKUP(2,1/(#REF!=Z5006),#REF!),Y5006))</f>
        <v/>
      </c>
      <c r="Z5006" t="str">
        <f>IF(A5006="","",TEXT(A5006,"0")&amp;"|"&amp;TEXT(H5006,"0"))</f>
        <v/>
      </c>
      <c r="AA5006" t="str">
        <f>IF(Z5006="","",IFERROR(LOOKUP(2,1/(#REF!=Z5006),#REF!),""))</f>
        <v/>
      </c>
      <c r="AB5006" t="str">
        <f>IF(Z5006="","",IFERROR(LOOKUP(2,1/(#REF!=Z5006),#REF!),""))</f>
        <v/>
      </c>
      <c r="AC5006" t="str">
        <f>IF(Z5006="","",COUNTIF(#REF!,Z5006))</f>
        <v/>
      </c>
      <c r="AD5006" t="str">
        <f>IF(A5006="","",IF(AC5006&gt;1,"REVISAR DUPLICADO",IF(AA5006&lt;&gt;"","ACTUALIZADO POR EYR","SIN REPORTE EYR")))</f>
        <v/>
      </c>
    </row>
    <row r="5007" spans="11:30" x14ac:dyDescent="0.3">
      <c r="K5007" s="1" t="str">
        <f ca="1">IF(A5007="","",IF(OR(L5007="ENTREGADA",L5007="RETORNADA",L5007="ENTREGA DIGITAL"),0,MAX(0,5-NETWORKDAYS(H5007+1,TODAY()))))</f>
        <v/>
      </c>
      <c r="L5007" t="str">
        <f>IF(A5007="","",IFERROR(LOOKUP(2,1/(#REF!=Z5007),#REF!),Y5007))</f>
        <v/>
      </c>
      <c r="Z5007" t="str">
        <f>IF(A5007="","",TEXT(A5007,"0")&amp;"|"&amp;TEXT(H5007,"0"))</f>
        <v/>
      </c>
      <c r="AA5007" t="str">
        <f>IF(Z5007="","",IFERROR(LOOKUP(2,1/(#REF!=Z5007),#REF!),""))</f>
        <v/>
      </c>
      <c r="AB5007" t="str">
        <f>IF(Z5007="","",IFERROR(LOOKUP(2,1/(#REF!=Z5007),#REF!),""))</f>
        <v/>
      </c>
      <c r="AC5007" t="str">
        <f>IF(Z5007="","",COUNTIF(#REF!,Z5007))</f>
        <v/>
      </c>
      <c r="AD5007" t="str">
        <f>IF(A5007="","",IF(AC5007&gt;1,"REVISAR DUPLICADO",IF(AA5007&lt;&gt;"","ACTUALIZADO POR EYR","SIN REPORTE EYR")))</f>
        <v/>
      </c>
    </row>
    <row r="5008" spans="11:30" x14ac:dyDescent="0.3">
      <c r="K5008" s="1" t="str">
        <f ca="1">IF(A5008="","",IF(OR(L5008="ENTREGADA",L5008="RETORNADA",L5008="ENTREGA DIGITAL"),0,MAX(0,5-NETWORKDAYS(H5008+1,TODAY()))))</f>
        <v/>
      </c>
      <c r="L5008" t="str">
        <f>IF(A5008="","",IFERROR(LOOKUP(2,1/(#REF!=Z5008),#REF!),Y5008))</f>
        <v/>
      </c>
      <c r="Z5008" t="str">
        <f>IF(A5008="","",TEXT(A5008,"0")&amp;"|"&amp;TEXT(H5008,"0"))</f>
        <v/>
      </c>
      <c r="AA5008" t="str">
        <f>IF(Z5008="","",IFERROR(LOOKUP(2,1/(#REF!=Z5008),#REF!),""))</f>
        <v/>
      </c>
      <c r="AB5008" t="str">
        <f>IF(Z5008="","",IFERROR(LOOKUP(2,1/(#REF!=Z5008),#REF!),""))</f>
        <v/>
      </c>
      <c r="AC5008" t="str">
        <f>IF(Z5008="","",COUNTIF(#REF!,Z5008))</f>
        <v/>
      </c>
      <c r="AD5008" t="str">
        <f>IF(A5008="","",IF(AC5008&gt;1,"REVISAR DUPLICADO",IF(AA5008&lt;&gt;"","ACTUALIZADO POR EYR","SIN REPORTE EYR")))</f>
        <v/>
      </c>
    </row>
    <row r="5009" spans="11:30" x14ac:dyDescent="0.3">
      <c r="K5009" s="1" t="str">
        <f ca="1">IF(A5009="","",IF(OR(L5009="ENTREGADA",L5009="RETORNADA",L5009="ENTREGA DIGITAL"),0,MAX(0,5-NETWORKDAYS(H5009+1,TODAY()))))</f>
        <v/>
      </c>
      <c r="L5009" t="str">
        <f>IF(A5009="","",IFERROR(LOOKUP(2,1/(#REF!=Z5009),#REF!),Y5009))</f>
        <v/>
      </c>
      <c r="Z5009" t="str">
        <f>IF(A5009="","",TEXT(A5009,"0")&amp;"|"&amp;TEXT(H5009,"0"))</f>
        <v/>
      </c>
      <c r="AA5009" t="str">
        <f>IF(Z5009="","",IFERROR(LOOKUP(2,1/(#REF!=Z5009),#REF!),""))</f>
        <v/>
      </c>
      <c r="AB5009" t="str">
        <f>IF(Z5009="","",IFERROR(LOOKUP(2,1/(#REF!=Z5009),#REF!),""))</f>
        <v/>
      </c>
      <c r="AC5009" t="str">
        <f>IF(Z5009="","",COUNTIF(#REF!,Z5009))</f>
        <v/>
      </c>
      <c r="AD5009" t="str">
        <f>IF(A5009="","",IF(AC5009&gt;1,"REVISAR DUPLICADO",IF(AA5009&lt;&gt;"","ACTUALIZADO POR EYR","SIN REPORTE EYR")))</f>
        <v/>
      </c>
    </row>
    <row r="5010" spans="11:30" x14ac:dyDescent="0.3">
      <c r="K5010" s="1" t="str">
        <f ca="1">IF(A5010="","",IF(OR(L5010="ENTREGADA",L5010="RETORNADA",L5010="ENTREGA DIGITAL"),0,MAX(0,5-NETWORKDAYS(H5010+1,TODAY()))))</f>
        <v/>
      </c>
      <c r="L5010" t="str">
        <f>IF(A5010="","",IFERROR(LOOKUP(2,1/(#REF!=Z5010),#REF!),Y5010))</f>
        <v/>
      </c>
      <c r="Z5010" t="str">
        <f>IF(A5010="","",TEXT(A5010,"0")&amp;"|"&amp;TEXT(H5010,"0"))</f>
        <v/>
      </c>
      <c r="AA5010" t="str">
        <f>IF(Z5010="","",IFERROR(LOOKUP(2,1/(#REF!=Z5010),#REF!),""))</f>
        <v/>
      </c>
      <c r="AB5010" t="str">
        <f>IF(Z5010="","",IFERROR(LOOKUP(2,1/(#REF!=Z5010),#REF!),""))</f>
        <v/>
      </c>
      <c r="AC5010" t="str">
        <f>IF(Z5010="","",COUNTIF(#REF!,Z5010))</f>
        <v/>
      </c>
      <c r="AD5010" t="str">
        <f>IF(A5010="","",IF(AC5010&gt;1,"REVISAR DUPLICADO",IF(AA5010&lt;&gt;"","ACTUALIZADO POR EYR","SIN REPORTE EYR")))</f>
        <v/>
      </c>
    </row>
    <row r="5011" spans="11:30" x14ac:dyDescent="0.3">
      <c r="K5011" s="1" t="str">
        <f ca="1">IF(A5011="","",IF(OR(L5011="ENTREGADA",L5011="RETORNADA",L5011="ENTREGA DIGITAL"),0,MAX(0,5-NETWORKDAYS(H5011+1,TODAY()))))</f>
        <v/>
      </c>
      <c r="L5011" t="str">
        <f>IF(A5011="","",IFERROR(LOOKUP(2,1/(#REF!=Z5011),#REF!),Y5011))</f>
        <v/>
      </c>
      <c r="Z5011" t="str">
        <f>IF(A5011="","",TEXT(A5011,"0")&amp;"|"&amp;TEXT(H5011,"0"))</f>
        <v/>
      </c>
      <c r="AA5011" t="str">
        <f>IF(Z5011="","",IFERROR(LOOKUP(2,1/(#REF!=Z5011),#REF!),""))</f>
        <v/>
      </c>
      <c r="AB5011" t="str">
        <f>IF(Z5011="","",IFERROR(LOOKUP(2,1/(#REF!=Z5011),#REF!),""))</f>
        <v/>
      </c>
      <c r="AC5011" t="str">
        <f>IF(Z5011="","",COUNTIF(#REF!,Z5011))</f>
        <v/>
      </c>
      <c r="AD5011" t="str">
        <f>IF(A5011="","",IF(AC5011&gt;1,"REVISAR DUPLICADO",IF(AA5011&lt;&gt;"","ACTUALIZADO POR EYR","SIN REPORTE EYR")))</f>
        <v/>
      </c>
    </row>
    <row r="5012" spans="11:30" x14ac:dyDescent="0.3">
      <c r="K5012" s="1" t="str">
        <f ca="1">IF(A5012="","",IF(OR(L5012="ENTREGADA",L5012="RETORNADA",L5012="ENTREGA DIGITAL"),0,MAX(0,5-NETWORKDAYS(H5012+1,TODAY()))))</f>
        <v/>
      </c>
      <c r="L5012" t="str">
        <f>IF(A5012="","",IFERROR(LOOKUP(2,1/(#REF!=Z5012),#REF!),Y5012))</f>
        <v/>
      </c>
      <c r="Z5012" t="str">
        <f>IF(A5012="","",TEXT(A5012,"0")&amp;"|"&amp;TEXT(H5012,"0"))</f>
        <v/>
      </c>
      <c r="AA5012" t="str">
        <f>IF(Z5012="","",IFERROR(LOOKUP(2,1/(#REF!=Z5012),#REF!),""))</f>
        <v/>
      </c>
      <c r="AB5012" t="str">
        <f>IF(Z5012="","",IFERROR(LOOKUP(2,1/(#REF!=Z5012),#REF!),""))</f>
        <v/>
      </c>
      <c r="AC5012" t="str">
        <f>IF(Z5012="","",COUNTIF(#REF!,Z5012))</f>
        <v/>
      </c>
      <c r="AD5012" t="str">
        <f>IF(A5012="","",IF(AC5012&gt;1,"REVISAR DUPLICADO",IF(AA5012&lt;&gt;"","ACTUALIZADO POR EYR","SIN REPORTE EYR")))</f>
        <v/>
      </c>
    </row>
    <row r="5013" spans="11:30" x14ac:dyDescent="0.3">
      <c r="K5013" s="1" t="str">
        <f ca="1">IF(A5013="","",IF(OR(L5013="ENTREGADA",L5013="RETORNADA",L5013="ENTREGA DIGITAL"),0,MAX(0,5-NETWORKDAYS(H5013+1,TODAY()))))</f>
        <v/>
      </c>
      <c r="L5013" t="str">
        <f>IF(A5013="","",IFERROR(LOOKUP(2,1/(#REF!=Z5013),#REF!),Y5013))</f>
        <v/>
      </c>
      <c r="Z5013" t="str">
        <f>IF(A5013="","",TEXT(A5013,"0")&amp;"|"&amp;TEXT(H5013,"0"))</f>
        <v/>
      </c>
      <c r="AA5013" t="str">
        <f>IF(Z5013="","",IFERROR(LOOKUP(2,1/(#REF!=Z5013),#REF!),""))</f>
        <v/>
      </c>
      <c r="AB5013" t="str">
        <f>IF(Z5013="","",IFERROR(LOOKUP(2,1/(#REF!=Z5013),#REF!),""))</f>
        <v/>
      </c>
      <c r="AC5013" t="str">
        <f>IF(Z5013="","",COUNTIF(#REF!,Z5013))</f>
        <v/>
      </c>
      <c r="AD5013" t="str">
        <f>IF(A5013="","",IF(AC5013&gt;1,"REVISAR DUPLICADO",IF(AA5013&lt;&gt;"","ACTUALIZADO POR EYR","SIN REPORTE EYR")))</f>
        <v/>
      </c>
    </row>
    <row r="5014" spans="11:30" x14ac:dyDescent="0.3">
      <c r="K5014" s="1" t="str">
        <f ca="1">IF(A5014="","",IF(OR(L5014="ENTREGADA",L5014="RETORNADA",L5014="ENTREGA DIGITAL"),0,MAX(0,5-NETWORKDAYS(H5014+1,TODAY()))))</f>
        <v/>
      </c>
      <c r="L5014" t="str">
        <f>IF(A5014="","",IFERROR(LOOKUP(2,1/(#REF!=Z5014),#REF!),Y5014))</f>
        <v/>
      </c>
      <c r="Z5014" t="str">
        <f>IF(A5014="","",TEXT(A5014,"0")&amp;"|"&amp;TEXT(H5014,"0"))</f>
        <v/>
      </c>
      <c r="AA5014" t="str">
        <f>IF(Z5014="","",IFERROR(LOOKUP(2,1/(#REF!=Z5014),#REF!),""))</f>
        <v/>
      </c>
      <c r="AB5014" t="str">
        <f>IF(Z5014="","",IFERROR(LOOKUP(2,1/(#REF!=Z5014),#REF!),""))</f>
        <v/>
      </c>
      <c r="AC5014" t="str">
        <f>IF(Z5014="","",COUNTIF(#REF!,Z5014))</f>
        <v/>
      </c>
      <c r="AD5014" t="str">
        <f>IF(A5014="","",IF(AC5014&gt;1,"REVISAR DUPLICADO",IF(AA5014&lt;&gt;"","ACTUALIZADO POR EYR","SIN REPORTE EYR")))</f>
        <v/>
      </c>
    </row>
    <row r="5015" spans="11:30" x14ac:dyDescent="0.3">
      <c r="K5015" s="1" t="str">
        <f ca="1">IF(A5015="","",IF(OR(L5015="ENTREGADA",L5015="RETORNADA",L5015="ENTREGA DIGITAL"),0,MAX(0,5-NETWORKDAYS(H5015+1,TODAY()))))</f>
        <v/>
      </c>
      <c r="L5015" t="str">
        <f>IF(A5015="","",IFERROR(LOOKUP(2,1/(#REF!=Z5015),#REF!),Y5015))</f>
        <v/>
      </c>
      <c r="Z5015" t="str">
        <f>IF(A5015="","",TEXT(A5015,"0")&amp;"|"&amp;TEXT(H5015,"0"))</f>
        <v/>
      </c>
      <c r="AA5015" t="str">
        <f>IF(Z5015="","",IFERROR(LOOKUP(2,1/(#REF!=Z5015),#REF!),""))</f>
        <v/>
      </c>
      <c r="AB5015" t="str">
        <f>IF(Z5015="","",IFERROR(LOOKUP(2,1/(#REF!=Z5015),#REF!),""))</f>
        <v/>
      </c>
      <c r="AC5015" t="str">
        <f>IF(Z5015="","",COUNTIF(#REF!,Z5015))</f>
        <v/>
      </c>
      <c r="AD5015" t="str">
        <f>IF(A5015="","",IF(AC5015&gt;1,"REVISAR DUPLICADO",IF(AA5015&lt;&gt;"","ACTUALIZADO POR EYR","SIN REPORTE EYR")))</f>
        <v/>
      </c>
    </row>
    <row r="5016" spans="11:30" x14ac:dyDescent="0.3">
      <c r="K5016" s="1" t="str">
        <f ca="1">IF(A5016="","",IF(OR(L5016="ENTREGADA",L5016="RETORNADA",L5016="ENTREGA DIGITAL"),0,MAX(0,5-NETWORKDAYS(H5016+1,TODAY()))))</f>
        <v/>
      </c>
      <c r="L5016" t="str">
        <f>IF(A5016="","",IFERROR(LOOKUP(2,1/(#REF!=Z5016),#REF!),Y5016))</f>
        <v/>
      </c>
      <c r="Z5016" t="str">
        <f>IF(A5016="","",TEXT(A5016,"0")&amp;"|"&amp;TEXT(H5016,"0"))</f>
        <v/>
      </c>
      <c r="AA5016" t="str">
        <f>IF(Z5016="","",IFERROR(LOOKUP(2,1/(#REF!=Z5016),#REF!),""))</f>
        <v/>
      </c>
      <c r="AB5016" t="str">
        <f>IF(Z5016="","",IFERROR(LOOKUP(2,1/(#REF!=Z5016),#REF!),""))</f>
        <v/>
      </c>
      <c r="AC5016" t="str">
        <f>IF(Z5016="","",COUNTIF(#REF!,Z5016))</f>
        <v/>
      </c>
      <c r="AD5016" t="str">
        <f>IF(A5016="","",IF(AC5016&gt;1,"REVISAR DUPLICADO",IF(AA5016&lt;&gt;"","ACTUALIZADO POR EYR","SIN REPORTE EYR")))</f>
        <v/>
      </c>
    </row>
    <row r="5017" spans="11:30" x14ac:dyDescent="0.3">
      <c r="K5017" s="1" t="str">
        <f ca="1">IF(A5017="","",IF(OR(L5017="ENTREGADA",L5017="RETORNADA",L5017="ENTREGA DIGITAL"),0,MAX(0,5-NETWORKDAYS(H5017+1,TODAY()))))</f>
        <v/>
      </c>
      <c r="L5017" t="str">
        <f>IF(A5017="","",IFERROR(LOOKUP(2,1/(#REF!=Z5017),#REF!),Y5017))</f>
        <v/>
      </c>
      <c r="Z5017" t="str">
        <f>IF(A5017="","",TEXT(A5017,"0")&amp;"|"&amp;TEXT(H5017,"0"))</f>
        <v/>
      </c>
      <c r="AA5017" t="str">
        <f>IF(Z5017="","",IFERROR(LOOKUP(2,1/(#REF!=Z5017),#REF!),""))</f>
        <v/>
      </c>
      <c r="AB5017" t="str">
        <f>IF(Z5017="","",IFERROR(LOOKUP(2,1/(#REF!=Z5017),#REF!),""))</f>
        <v/>
      </c>
      <c r="AC5017" t="str">
        <f>IF(Z5017="","",COUNTIF(#REF!,Z5017))</f>
        <v/>
      </c>
      <c r="AD5017" t="str">
        <f>IF(A5017="","",IF(AC5017&gt;1,"REVISAR DUPLICADO",IF(AA5017&lt;&gt;"","ACTUALIZADO POR EYR","SIN REPORTE EYR")))</f>
        <v/>
      </c>
    </row>
    <row r="5018" spans="11:30" x14ac:dyDescent="0.3">
      <c r="K5018" s="1" t="str">
        <f ca="1">IF(A5018="","",IF(OR(L5018="ENTREGADA",L5018="RETORNADA",L5018="ENTREGA DIGITAL"),0,MAX(0,5-NETWORKDAYS(H5018+1,TODAY()))))</f>
        <v/>
      </c>
      <c r="L5018" t="str">
        <f>IF(A5018="","",IFERROR(LOOKUP(2,1/(#REF!=Z5018),#REF!),Y5018))</f>
        <v/>
      </c>
      <c r="Z5018" t="str">
        <f>IF(A5018="","",TEXT(A5018,"0")&amp;"|"&amp;TEXT(H5018,"0"))</f>
        <v/>
      </c>
      <c r="AA5018" t="str">
        <f>IF(Z5018="","",IFERROR(LOOKUP(2,1/(#REF!=Z5018),#REF!),""))</f>
        <v/>
      </c>
      <c r="AB5018" t="str">
        <f>IF(Z5018="","",IFERROR(LOOKUP(2,1/(#REF!=Z5018),#REF!),""))</f>
        <v/>
      </c>
      <c r="AC5018" t="str">
        <f>IF(Z5018="","",COUNTIF(#REF!,Z5018))</f>
        <v/>
      </c>
      <c r="AD5018" t="str">
        <f>IF(A5018="","",IF(AC5018&gt;1,"REVISAR DUPLICADO",IF(AA5018&lt;&gt;"","ACTUALIZADO POR EYR","SIN REPORTE EYR")))</f>
        <v/>
      </c>
    </row>
    <row r="5019" spans="11:30" x14ac:dyDescent="0.3">
      <c r="K5019" s="1" t="str">
        <f ca="1">IF(A5019="","",IF(OR(L5019="ENTREGADA",L5019="RETORNADA",L5019="ENTREGA DIGITAL"),0,MAX(0,5-NETWORKDAYS(H5019+1,TODAY()))))</f>
        <v/>
      </c>
      <c r="L5019" t="str">
        <f>IF(A5019="","",IFERROR(LOOKUP(2,1/(#REF!=Z5019),#REF!),Y5019))</f>
        <v/>
      </c>
      <c r="Z5019" t="str">
        <f>IF(A5019="","",TEXT(A5019,"0")&amp;"|"&amp;TEXT(H5019,"0"))</f>
        <v/>
      </c>
      <c r="AA5019" t="str">
        <f>IF(Z5019="","",IFERROR(LOOKUP(2,1/(#REF!=Z5019),#REF!),""))</f>
        <v/>
      </c>
      <c r="AB5019" t="str">
        <f>IF(Z5019="","",IFERROR(LOOKUP(2,1/(#REF!=Z5019),#REF!),""))</f>
        <v/>
      </c>
      <c r="AC5019" t="str">
        <f>IF(Z5019="","",COUNTIF(#REF!,Z5019))</f>
        <v/>
      </c>
      <c r="AD5019" t="str">
        <f>IF(A5019="","",IF(AC5019&gt;1,"REVISAR DUPLICADO",IF(AA5019&lt;&gt;"","ACTUALIZADO POR EYR","SIN REPORTE EYR")))</f>
        <v/>
      </c>
    </row>
    <row r="5020" spans="11:30" x14ac:dyDescent="0.3">
      <c r="K5020" s="1" t="str">
        <f ca="1">IF(A5020="","",IF(OR(L5020="ENTREGADA",L5020="RETORNADA",L5020="ENTREGA DIGITAL"),0,MAX(0,5-NETWORKDAYS(H5020+1,TODAY()))))</f>
        <v/>
      </c>
      <c r="L5020" t="str">
        <f>IF(A5020="","",IFERROR(LOOKUP(2,1/(#REF!=Z5020),#REF!),Y5020))</f>
        <v/>
      </c>
      <c r="Z5020" t="str">
        <f>IF(A5020="","",TEXT(A5020,"0")&amp;"|"&amp;TEXT(H5020,"0"))</f>
        <v/>
      </c>
      <c r="AA5020" t="str">
        <f>IF(Z5020="","",IFERROR(LOOKUP(2,1/(#REF!=Z5020),#REF!),""))</f>
        <v/>
      </c>
      <c r="AB5020" t="str">
        <f>IF(Z5020="","",IFERROR(LOOKUP(2,1/(#REF!=Z5020),#REF!),""))</f>
        <v/>
      </c>
      <c r="AC5020" t="str">
        <f>IF(Z5020="","",COUNTIF(#REF!,Z5020))</f>
        <v/>
      </c>
      <c r="AD5020" t="str">
        <f>IF(A5020="","",IF(AC5020&gt;1,"REVISAR DUPLICADO",IF(AA5020&lt;&gt;"","ACTUALIZADO POR EYR","SIN REPORTE EYR")))</f>
        <v/>
      </c>
    </row>
    <row r="5021" spans="11:30" x14ac:dyDescent="0.3">
      <c r="K5021" s="1" t="str">
        <f ca="1">IF(A5021="","",IF(OR(L5021="ENTREGADA",L5021="RETORNADA",L5021="ENTREGA DIGITAL"),0,MAX(0,5-NETWORKDAYS(H5021+1,TODAY()))))</f>
        <v/>
      </c>
      <c r="L5021" t="str">
        <f>IF(A5021="","",IFERROR(LOOKUP(2,1/(#REF!=Z5021),#REF!),Y5021))</f>
        <v/>
      </c>
      <c r="Z5021" t="str">
        <f>IF(A5021="","",TEXT(A5021,"0")&amp;"|"&amp;TEXT(H5021,"0"))</f>
        <v/>
      </c>
      <c r="AA5021" t="str">
        <f>IF(Z5021="","",IFERROR(LOOKUP(2,1/(#REF!=Z5021),#REF!),""))</f>
        <v/>
      </c>
      <c r="AB5021" t="str">
        <f>IF(Z5021="","",IFERROR(LOOKUP(2,1/(#REF!=Z5021),#REF!),""))</f>
        <v/>
      </c>
      <c r="AC5021" t="str">
        <f>IF(Z5021="","",COUNTIF(#REF!,Z5021))</f>
        <v/>
      </c>
      <c r="AD5021" t="str">
        <f>IF(A5021="","",IF(AC5021&gt;1,"REVISAR DUPLICADO",IF(AA5021&lt;&gt;"","ACTUALIZADO POR EYR","SIN REPORTE EYR")))</f>
        <v/>
      </c>
    </row>
    <row r="5022" spans="11:30" x14ac:dyDescent="0.3">
      <c r="K5022" s="1" t="str">
        <f ca="1">IF(A5022="","",IF(OR(L5022="ENTREGADA",L5022="RETORNADA",L5022="ENTREGA DIGITAL"),0,MAX(0,5-NETWORKDAYS(H5022+1,TODAY()))))</f>
        <v/>
      </c>
      <c r="L5022" t="str">
        <f>IF(A5022="","",IFERROR(LOOKUP(2,1/(#REF!=Z5022),#REF!),Y5022))</f>
        <v/>
      </c>
      <c r="Z5022" t="str">
        <f>IF(A5022="","",TEXT(A5022,"0")&amp;"|"&amp;TEXT(H5022,"0"))</f>
        <v/>
      </c>
      <c r="AA5022" t="str">
        <f>IF(Z5022="","",IFERROR(LOOKUP(2,1/(#REF!=Z5022),#REF!),""))</f>
        <v/>
      </c>
      <c r="AB5022" t="str">
        <f>IF(Z5022="","",IFERROR(LOOKUP(2,1/(#REF!=Z5022),#REF!),""))</f>
        <v/>
      </c>
      <c r="AC5022" t="str">
        <f>IF(Z5022="","",COUNTIF(#REF!,Z5022))</f>
        <v/>
      </c>
      <c r="AD5022" t="str">
        <f>IF(A5022="","",IF(AC5022&gt;1,"REVISAR DUPLICADO",IF(AA5022&lt;&gt;"","ACTUALIZADO POR EYR","SIN REPORTE EYR")))</f>
        <v/>
      </c>
    </row>
    <row r="5023" spans="11:30" x14ac:dyDescent="0.3">
      <c r="K5023" s="1" t="str">
        <f ca="1">IF(A5023="","",IF(OR(L5023="ENTREGADA",L5023="RETORNADA",L5023="ENTREGA DIGITAL"),0,MAX(0,5-NETWORKDAYS(H5023+1,TODAY()))))</f>
        <v/>
      </c>
      <c r="L5023" t="str">
        <f>IF(A5023="","",IFERROR(LOOKUP(2,1/(#REF!=Z5023),#REF!),Y5023))</f>
        <v/>
      </c>
      <c r="Z5023" t="str">
        <f>IF(A5023="","",TEXT(A5023,"0")&amp;"|"&amp;TEXT(H5023,"0"))</f>
        <v/>
      </c>
      <c r="AA5023" t="str">
        <f>IF(Z5023="","",IFERROR(LOOKUP(2,1/(#REF!=Z5023),#REF!),""))</f>
        <v/>
      </c>
      <c r="AB5023" t="str">
        <f>IF(Z5023="","",IFERROR(LOOKUP(2,1/(#REF!=Z5023),#REF!),""))</f>
        <v/>
      </c>
      <c r="AC5023" t="str">
        <f>IF(Z5023="","",COUNTIF(#REF!,Z5023))</f>
        <v/>
      </c>
      <c r="AD5023" t="str">
        <f>IF(A5023="","",IF(AC5023&gt;1,"REVISAR DUPLICADO",IF(AA5023&lt;&gt;"","ACTUALIZADO POR EYR","SIN REPORTE EYR")))</f>
        <v/>
      </c>
    </row>
    <row r="5024" spans="11:30" x14ac:dyDescent="0.3">
      <c r="K5024" s="1" t="str">
        <f ca="1">IF(A5024="","",IF(OR(L5024="ENTREGADA",L5024="RETORNADA",L5024="ENTREGA DIGITAL"),0,MAX(0,5-NETWORKDAYS(H5024+1,TODAY()))))</f>
        <v/>
      </c>
      <c r="L5024" t="str">
        <f>IF(A5024="","",IFERROR(LOOKUP(2,1/(#REF!=Z5024),#REF!),Y5024))</f>
        <v/>
      </c>
      <c r="Z5024" t="str">
        <f>IF(A5024="","",TEXT(A5024,"0")&amp;"|"&amp;TEXT(H5024,"0"))</f>
        <v/>
      </c>
      <c r="AA5024" t="str">
        <f>IF(Z5024="","",IFERROR(LOOKUP(2,1/(#REF!=Z5024),#REF!),""))</f>
        <v/>
      </c>
      <c r="AB5024" t="str">
        <f>IF(Z5024="","",IFERROR(LOOKUP(2,1/(#REF!=Z5024),#REF!),""))</f>
        <v/>
      </c>
      <c r="AC5024" t="str">
        <f>IF(Z5024="","",COUNTIF(#REF!,Z5024))</f>
        <v/>
      </c>
      <c r="AD5024" t="str">
        <f>IF(A5024="","",IF(AC5024&gt;1,"REVISAR DUPLICADO",IF(AA5024&lt;&gt;"","ACTUALIZADO POR EYR","SIN REPORTE EYR")))</f>
        <v/>
      </c>
    </row>
    <row r="5025" spans="11:30" x14ac:dyDescent="0.3">
      <c r="K5025" s="1" t="str">
        <f ca="1">IF(A5025="","",IF(OR(L5025="ENTREGADA",L5025="RETORNADA",L5025="ENTREGA DIGITAL"),0,MAX(0,5-NETWORKDAYS(H5025+1,TODAY()))))</f>
        <v/>
      </c>
      <c r="L5025" t="str">
        <f>IF(A5025="","",IFERROR(LOOKUP(2,1/(#REF!=Z5025),#REF!),Y5025))</f>
        <v/>
      </c>
      <c r="Z5025" t="str">
        <f>IF(A5025="","",TEXT(A5025,"0")&amp;"|"&amp;TEXT(H5025,"0"))</f>
        <v/>
      </c>
      <c r="AA5025" t="str">
        <f>IF(Z5025="","",IFERROR(LOOKUP(2,1/(#REF!=Z5025),#REF!),""))</f>
        <v/>
      </c>
      <c r="AB5025" t="str">
        <f>IF(Z5025="","",IFERROR(LOOKUP(2,1/(#REF!=Z5025),#REF!),""))</f>
        <v/>
      </c>
      <c r="AC5025" t="str">
        <f>IF(Z5025="","",COUNTIF(#REF!,Z5025))</f>
        <v/>
      </c>
      <c r="AD5025" t="str">
        <f>IF(A5025="","",IF(AC5025&gt;1,"REVISAR DUPLICADO",IF(AA5025&lt;&gt;"","ACTUALIZADO POR EYR","SIN REPORTE EYR")))</f>
        <v/>
      </c>
    </row>
    <row r="5026" spans="11:30" x14ac:dyDescent="0.3">
      <c r="K5026" s="1" t="str">
        <f ca="1">IF(A5026="","",IF(OR(L5026="ENTREGADA",L5026="RETORNADA",L5026="ENTREGA DIGITAL"),0,MAX(0,5-NETWORKDAYS(H5026+1,TODAY()))))</f>
        <v/>
      </c>
      <c r="L5026" t="str">
        <f>IF(A5026="","",IFERROR(LOOKUP(2,1/(#REF!=Z5026),#REF!),Y5026))</f>
        <v/>
      </c>
      <c r="Z5026" t="str">
        <f>IF(A5026="","",TEXT(A5026,"0")&amp;"|"&amp;TEXT(H5026,"0"))</f>
        <v/>
      </c>
      <c r="AA5026" t="str">
        <f>IF(Z5026="","",IFERROR(LOOKUP(2,1/(#REF!=Z5026),#REF!),""))</f>
        <v/>
      </c>
      <c r="AB5026" t="str">
        <f>IF(Z5026="","",IFERROR(LOOKUP(2,1/(#REF!=Z5026),#REF!),""))</f>
        <v/>
      </c>
      <c r="AC5026" t="str">
        <f>IF(Z5026="","",COUNTIF(#REF!,Z5026))</f>
        <v/>
      </c>
      <c r="AD5026" t="str">
        <f>IF(A5026="","",IF(AC5026&gt;1,"REVISAR DUPLICADO",IF(AA5026&lt;&gt;"","ACTUALIZADO POR EYR","SIN REPORTE EYR")))</f>
        <v/>
      </c>
    </row>
    <row r="5027" spans="11:30" x14ac:dyDescent="0.3">
      <c r="K5027" s="1" t="str">
        <f ca="1">IF(A5027="","",IF(OR(L5027="ENTREGADA",L5027="RETORNADA",L5027="ENTREGA DIGITAL"),0,MAX(0,5-NETWORKDAYS(H5027+1,TODAY()))))</f>
        <v/>
      </c>
      <c r="L5027" t="str">
        <f>IF(A5027="","",IFERROR(LOOKUP(2,1/(#REF!=Z5027),#REF!),Y5027))</f>
        <v/>
      </c>
      <c r="Z5027" t="str">
        <f>IF(A5027="","",TEXT(A5027,"0")&amp;"|"&amp;TEXT(H5027,"0"))</f>
        <v/>
      </c>
      <c r="AA5027" t="str">
        <f>IF(Z5027="","",IFERROR(LOOKUP(2,1/(#REF!=Z5027),#REF!),""))</f>
        <v/>
      </c>
      <c r="AB5027" t="str">
        <f>IF(Z5027="","",IFERROR(LOOKUP(2,1/(#REF!=Z5027),#REF!),""))</f>
        <v/>
      </c>
      <c r="AC5027" t="str">
        <f>IF(Z5027="","",COUNTIF(#REF!,Z5027))</f>
        <v/>
      </c>
      <c r="AD5027" t="str">
        <f>IF(A5027="","",IF(AC5027&gt;1,"REVISAR DUPLICADO",IF(AA5027&lt;&gt;"","ACTUALIZADO POR EYR","SIN REPORTE EYR")))</f>
        <v/>
      </c>
    </row>
    <row r="5028" spans="11:30" x14ac:dyDescent="0.3">
      <c r="K5028" s="1" t="str">
        <f ca="1">IF(A5028="","",IF(OR(L5028="ENTREGADA",L5028="RETORNADA",L5028="ENTREGA DIGITAL"),0,MAX(0,5-NETWORKDAYS(H5028+1,TODAY()))))</f>
        <v/>
      </c>
      <c r="L5028" t="str">
        <f>IF(A5028="","",IFERROR(LOOKUP(2,1/(#REF!=Z5028),#REF!),Y5028))</f>
        <v/>
      </c>
      <c r="Z5028" t="str">
        <f>IF(A5028="","",TEXT(A5028,"0")&amp;"|"&amp;TEXT(H5028,"0"))</f>
        <v/>
      </c>
      <c r="AA5028" t="str">
        <f>IF(Z5028="","",IFERROR(LOOKUP(2,1/(#REF!=Z5028),#REF!),""))</f>
        <v/>
      </c>
      <c r="AB5028" t="str">
        <f>IF(Z5028="","",IFERROR(LOOKUP(2,1/(#REF!=Z5028),#REF!),""))</f>
        <v/>
      </c>
      <c r="AC5028" t="str">
        <f>IF(Z5028="","",COUNTIF(#REF!,Z5028))</f>
        <v/>
      </c>
      <c r="AD5028" t="str">
        <f>IF(A5028="","",IF(AC5028&gt;1,"REVISAR DUPLICADO",IF(AA5028&lt;&gt;"","ACTUALIZADO POR EYR","SIN REPORTE EYR")))</f>
        <v/>
      </c>
    </row>
    <row r="5029" spans="11:30" x14ac:dyDescent="0.3">
      <c r="K5029" s="1" t="str">
        <f ca="1">IF(A5029="","",IF(OR(L5029="ENTREGADA",L5029="RETORNADA",L5029="ENTREGA DIGITAL"),0,MAX(0,5-NETWORKDAYS(H5029+1,TODAY()))))</f>
        <v/>
      </c>
      <c r="L5029" t="str">
        <f>IF(A5029="","",IFERROR(LOOKUP(2,1/(#REF!=Z5029),#REF!),Y5029))</f>
        <v/>
      </c>
      <c r="Z5029" t="str">
        <f>IF(A5029="","",TEXT(A5029,"0")&amp;"|"&amp;TEXT(H5029,"0"))</f>
        <v/>
      </c>
      <c r="AA5029" t="str">
        <f>IF(Z5029="","",IFERROR(LOOKUP(2,1/(#REF!=Z5029),#REF!),""))</f>
        <v/>
      </c>
      <c r="AB5029" t="str">
        <f>IF(Z5029="","",IFERROR(LOOKUP(2,1/(#REF!=Z5029),#REF!),""))</f>
        <v/>
      </c>
      <c r="AC5029" t="str">
        <f>IF(Z5029="","",COUNTIF(#REF!,Z5029))</f>
        <v/>
      </c>
      <c r="AD5029" t="str">
        <f>IF(A5029="","",IF(AC5029&gt;1,"REVISAR DUPLICADO",IF(AA5029&lt;&gt;"","ACTUALIZADO POR EYR","SIN REPORTE EYR")))</f>
        <v/>
      </c>
    </row>
    <row r="5030" spans="11:30" x14ac:dyDescent="0.3">
      <c r="K5030" s="1" t="str">
        <f ca="1">IF(A5030="","",IF(OR(L5030="ENTREGADA",L5030="RETORNADA",L5030="ENTREGA DIGITAL"),0,MAX(0,5-NETWORKDAYS(H5030+1,TODAY()))))</f>
        <v/>
      </c>
      <c r="L5030" t="str">
        <f>IF(A5030="","",IFERROR(LOOKUP(2,1/(#REF!=Z5030),#REF!),Y5030))</f>
        <v/>
      </c>
      <c r="Z5030" t="str">
        <f>IF(A5030="","",TEXT(A5030,"0")&amp;"|"&amp;TEXT(H5030,"0"))</f>
        <v/>
      </c>
      <c r="AA5030" t="str">
        <f>IF(Z5030="","",IFERROR(LOOKUP(2,1/(#REF!=Z5030),#REF!),""))</f>
        <v/>
      </c>
      <c r="AB5030" t="str">
        <f>IF(Z5030="","",IFERROR(LOOKUP(2,1/(#REF!=Z5030),#REF!),""))</f>
        <v/>
      </c>
      <c r="AC5030" t="str">
        <f>IF(Z5030="","",COUNTIF(#REF!,Z5030))</f>
        <v/>
      </c>
      <c r="AD5030" t="str">
        <f>IF(A5030="","",IF(AC5030&gt;1,"REVISAR DUPLICADO",IF(AA5030&lt;&gt;"","ACTUALIZADO POR EYR","SIN REPORTE EYR")))</f>
        <v/>
      </c>
    </row>
    <row r="5031" spans="11:30" x14ac:dyDescent="0.3">
      <c r="K5031" s="1" t="str">
        <f ca="1">IF(A5031="","",IF(OR(L5031="ENTREGADA",L5031="RETORNADA",L5031="ENTREGA DIGITAL"),0,MAX(0,5-NETWORKDAYS(H5031+1,TODAY()))))</f>
        <v/>
      </c>
      <c r="L5031" t="str">
        <f>IF(A5031="","",IFERROR(LOOKUP(2,1/(#REF!=Z5031),#REF!),Y5031))</f>
        <v/>
      </c>
      <c r="Z5031" t="str">
        <f>IF(A5031="","",TEXT(A5031,"0")&amp;"|"&amp;TEXT(H5031,"0"))</f>
        <v/>
      </c>
      <c r="AA5031" t="str">
        <f>IF(Z5031="","",IFERROR(LOOKUP(2,1/(#REF!=Z5031),#REF!),""))</f>
        <v/>
      </c>
      <c r="AB5031" t="str">
        <f>IF(Z5031="","",IFERROR(LOOKUP(2,1/(#REF!=Z5031),#REF!),""))</f>
        <v/>
      </c>
      <c r="AC5031" t="str">
        <f>IF(Z5031="","",COUNTIF(#REF!,Z5031))</f>
        <v/>
      </c>
      <c r="AD5031" t="str">
        <f>IF(A5031="","",IF(AC5031&gt;1,"REVISAR DUPLICADO",IF(AA5031&lt;&gt;"","ACTUALIZADO POR EYR","SIN REPORTE EYR")))</f>
        <v/>
      </c>
    </row>
    <row r="5032" spans="11:30" x14ac:dyDescent="0.3">
      <c r="K5032" s="1" t="str">
        <f ca="1">IF(A5032="","",IF(OR(L5032="ENTREGADA",L5032="RETORNADA",L5032="ENTREGA DIGITAL"),0,MAX(0,5-NETWORKDAYS(H5032+1,TODAY()))))</f>
        <v/>
      </c>
      <c r="L5032" t="str">
        <f>IF(A5032="","",IFERROR(LOOKUP(2,1/(#REF!=Z5032),#REF!),Y5032))</f>
        <v/>
      </c>
      <c r="Z5032" t="str">
        <f>IF(A5032="","",TEXT(A5032,"0")&amp;"|"&amp;TEXT(H5032,"0"))</f>
        <v/>
      </c>
      <c r="AA5032" t="str">
        <f>IF(Z5032="","",IFERROR(LOOKUP(2,1/(#REF!=Z5032),#REF!),""))</f>
        <v/>
      </c>
      <c r="AB5032" t="str">
        <f>IF(Z5032="","",IFERROR(LOOKUP(2,1/(#REF!=Z5032),#REF!),""))</f>
        <v/>
      </c>
      <c r="AC5032" t="str">
        <f>IF(Z5032="","",COUNTIF(#REF!,Z5032))</f>
        <v/>
      </c>
      <c r="AD5032" t="str">
        <f>IF(A5032="","",IF(AC5032&gt;1,"REVISAR DUPLICADO",IF(AA5032&lt;&gt;"","ACTUALIZADO POR EYR","SIN REPORTE EYR")))</f>
        <v/>
      </c>
    </row>
    <row r="5033" spans="11:30" x14ac:dyDescent="0.3">
      <c r="K5033" s="1" t="str">
        <f ca="1">IF(A5033="","",IF(OR(L5033="ENTREGADA",L5033="RETORNADA",L5033="ENTREGA DIGITAL"),0,MAX(0,5-NETWORKDAYS(H5033+1,TODAY()))))</f>
        <v/>
      </c>
      <c r="L5033" t="str">
        <f>IF(A5033="","",IFERROR(LOOKUP(2,1/(#REF!=Z5033),#REF!),Y5033))</f>
        <v/>
      </c>
      <c r="Z5033" t="str">
        <f>IF(A5033="","",TEXT(A5033,"0")&amp;"|"&amp;TEXT(H5033,"0"))</f>
        <v/>
      </c>
      <c r="AA5033" t="str">
        <f>IF(Z5033="","",IFERROR(LOOKUP(2,1/(#REF!=Z5033),#REF!),""))</f>
        <v/>
      </c>
      <c r="AB5033" t="str">
        <f>IF(Z5033="","",IFERROR(LOOKUP(2,1/(#REF!=Z5033),#REF!),""))</f>
        <v/>
      </c>
      <c r="AC5033" t="str">
        <f>IF(Z5033="","",COUNTIF(#REF!,Z5033))</f>
        <v/>
      </c>
      <c r="AD5033" t="str">
        <f>IF(A5033="","",IF(AC5033&gt;1,"REVISAR DUPLICADO",IF(AA5033&lt;&gt;"","ACTUALIZADO POR EYR","SIN REPORTE EYR")))</f>
        <v/>
      </c>
    </row>
    <row r="5034" spans="11:30" x14ac:dyDescent="0.3">
      <c r="K5034" s="1" t="str">
        <f ca="1">IF(A5034="","",IF(OR(L5034="ENTREGADA",L5034="RETORNADA",L5034="ENTREGA DIGITAL"),0,MAX(0,5-NETWORKDAYS(H5034+1,TODAY()))))</f>
        <v/>
      </c>
      <c r="L5034" t="str">
        <f>IF(A5034="","",IFERROR(LOOKUP(2,1/(#REF!=Z5034),#REF!),Y5034))</f>
        <v/>
      </c>
      <c r="Z5034" t="str">
        <f>IF(A5034="","",TEXT(A5034,"0")&amp;"|"&amp;TEXT(H5034,"0"))</f>
        <v/>
      </c>
      <c r="AA5034" t="str">
        <f>IF(Z5034="","",IFERROR(LOOKUP(2,1/(#REF!=Z5034),#REF!),""))</f>
        <v/>
      </c>
      <c r="AB5034" t="str">
        <f>IF(Z5034="","",IFERROR(LOOKUP(2,1/(#REF!=Z5034),#REF!),""))</f>
        <v/>
      </c>
      <c r="AC5034" t="str">
        <f>IF(Z5034="","",COUNTIF(#REF!,Z5034))</f>
        <v/>
      </c>
      <c r="AD5034" t="str">
        <f>IF(A5034="","",IF(AC5034&gt;1,"REVISAR DUPLICADO",IF(AA5034&lt;&gt;"","ACTUALIZADO POR EYR","SIN REPORTE EYR")))</f>
        <v/>
      </c>
    </row>
    <row r="5035" spans="11:30" x14ac:dyDescent="0.3">
      <c r="K5035" s="1" t="str">
        <f ca="1">IF(A5035="","",IF(OR(L5035="ENTREGADA",L5035="RETORNADA",L5035="ENTREGA DIGITAL"),0,MAX(0,5-NETWORKDAYS(H5035+1,TODAY()))))</f>
        <v/>
      </c>
      <c r="L5035" t="str">
        <f>IF(A5035="","",IFERROR(LOOKUP(2,1/(#REF!=Z5035),#REF!),Y5035))</f>
        <v/>
      </c>
      <c r="Z5035" t="str">
        <f>IF(A5035="","",TEXT(A5035,"0")&amp;"|"&amp;TEXT(H5035,"0"))</f>
        <v/>
      </c>
      <c r="AA5035" t="str">
        <f>IF(Z5035="","",IFERROR(LOOKUP(2,1/(#REF!=Z5035),#REF!),""))</f>
        <v/>
      </c>
      <c r="AB5035" t="str">
        <f>IF(Z5035="","",IFERROR(LOOKUP(2,1/(#REF!=Z5035),#REF!),""))</f>
        <v/>
      </c>
      <c r="AC5035" t="str">
        <f>IF(Z5035="","",COUNTIF(#REF!,Z5035))</f>
        <v/>
      </c>
      <c r="AD5035" t="str">
        <f>IF(A5035="","",IF(AC5035&gt;1,"REVISAR DUPLICADO",IF(AA5035&lt;&gt;"","ACTUALIZADO POR EYR","SIN REPORTE EYR")))</f>
        <v/>
      </c>
    </row>
    <row r="5036" spans="11:30" x14ac:dyDescent="0.3">
      <c r="K5036" s="1" t="str">
        <f ca="1">IF(A5036="","",IF(OR(L5036="ENTREGADA",L5036="RETORNADA",L5036="ENTREGA DIGITAL"),0,MAX(0,5-NETWORKDAYS(H5036+1,TODAY()))))</f>
        <v/>
      </c>
      <c r="L5036" t="str">
        <f>IF(A5036="","",IFERROR(LOOKUP(2,1/(#REF!=Z5036),#REF!),Y5036))</f>
        <v/>
      </c>
      <c r="Z5036" t="str">
        <f>IF(A5036="","",TEXT(A5036,"0")&amp;"|"&amp;TEXT(H5036,"0"))</f>
        <v/>
      </c>
      <c r="AA5036" t="str">
        <f>IF(Z5036="","",IFERROR(LOOKUP(2,1/(#REF!=Z5036),#REF!),""))</f>
        <v/>
      </c>
      <c r="AB5036" t="str">
        <f>IF(Z5036="","",IFERROR(LOOKUP(2,1/(#REF!=Z5036),#REF!),""))</f>
        <v/>
      </c>
      <c r="AC5036" t="str">
        <f>IF(Z5036="","",COUNTIF(#REF!,Z5036))</f>
        <v/>
      </c>
      <c r="AD5036" t="str">
        <f>IF(A5036="","",IF(AC5036&gt;1,"REVISAR DUPLICADO",IF(AA5036&lt;&gt;"","ACTUALIZADO POR EYR","SIN REPORTE EYR")))</f>
        <v/>
      </c>
    </row>
    <row r="5037" spans="11:30" x14ac:dyDescent="0.3">
      <c r="K5037" s="1" t="str">
        <f ca="1">IF(A5037="","",IF(OR(L5037="ENTREGADA",L5037="RETORNADA",L5037="ENTREGA DIGITAL"),0,MAX(0,5-NETWORKDAYS(H5037+1,TODAY()))))</f>
        <v/>
      </c>
      <c r="L5037" t="str">
        <f>IF(A5037="","",IFERROR(LOOKUP(2,1/(#REF!=Z5037),#REF!),Y5037))</f>
        <v/>
      </c>
      <c r="Z5037" t="str">
        <f>IF(A5037="","",TEXT(A5037,"0")&amp;"|"&amp;TEXT(H5037,"0"))</f>
        <v/>
      </c>
      <c r="AA5037" t="str">
        <f>IF(Z5037="","",IFERROR(LOOKUP(2,1/(#REF!=Z5037),#REF!),""))</f>
        <v/>
      </c>
      <c r="AB5037" t="str">
        <f>IF(Z5037="","",IFERROR(LOOKUP(2,1/(#REF!=Z5037),#REF!),""))</f>
        <v/>
      </c>
      <c r="AC5037" t="str">
        <f>IF(Z5037="","",COUNTIF(#REF!,Z5037))</f>
        <v/>
      </c>
      <c r="AD5037" t="str">
        <f>IF(A5037="","",IF(AC5037&gt;1,"REVISAR DUPLICADO",IF(AA5037&lt;&gt;"","ACTUALIZADO POR EYR","SIN REPORTE EYR")))</f>
        <v/>
      </c>
    </row>
    <row r="5038" spans="11:30" x14ac:dyDescent="0.3">
      <c r="K5038" s="1" t="str">
        <f ca="1">IF(A5038="","",IF(OR(L5038="ENTREGADA",L5038="RETORNADA",L5038="ENTREGA DIGITAL"),0,MAX(0,5-NETWORKDAYS(H5038+1,TODAY()))))</f>
        <v/>
      </c>
      <c r="L5038" t="str">
        <f>IF(A5038="","",IFERROR(LOOKUP(2,1/(#REF!=Z5038),#REF!),Y5038))</f>
        <v/>
      </c>
      <c r="Z5038" t="str">
        <f>IF(A5038="","",TEXT(A5038,"0")&amp;"|"&amp;TEXT(H5038,"0"))</f>
        <v/>
      </c>
      <c r="AA5038" t="str">
        <f>IF(Z5038="","",IFERROR(LOOKUP(2,1/(#REF!=Z5038),#REF!),""))</f>
        <v/>
      </c>
      <c r="AB5038" t="str">
        <f>IF(Z5038="","",IFERROR(LOOKUP(2,1/(#REF!=Z5038),#REF!),""))</f>
        <v/>
      </c>
      <c r="AC5038" t="str">
        <f>IF(Z5038="","",COUNTIF(#REF!,Z5038))</f>
        <v/>
      </c>
      <c r="AD5038" t="str">
        <f>IF(A5038="","",IF(AC5038&gt;1,"REVISAR DUPLICADO",IF(AA5038&lt;&gt;"","ACTUALIZADO POR EYR","SIN REPORTE EYR")))</f>
        <v/>
      </c>
    </row>
    <row r="5039" spans="11:30" x14ac:dyDescent="0.3">
      <c r="K5039" s="1" t="str">
        <f ca="1">IF(A5039="","",IF(OR(L5039="ENTREGADA",L5039="RETORNADA",L5039="ENTREGA DIGITAL"),0,MAX(0,5-NETWORKDAYS(H5039+1,TODAY()))))</f>
        <v/>
      </c>
      <c r="L5039" t="str">
        <f>IF(A5039="","",IFERROR(LOOKUP(2,1/(#REF!=Z5039),#REF!),Y5039))</f>
        <v/>
      </c>
      <c r="Z5039" t="str">
        <f>IF(A5039="","",TEXT(A5039,"0")&amp;"|"&amp;TEXT(H5039,"0"))</f>
        <v/>
      </c>
      <c r="AA5039" t="str">
        <f>IF(Z5039="","",IFERROR(LOOKUP(2,1/(#REF!=Z5039),#REF!),""))</f>
        <v/>
      </c>
      <c r="AB5039" t="str">
        <f>IF(Z5039="","",IFERROR(LOOKUP(2,1/(#REF!=Z5039),#REF!),""))</f>
        <v/>
      </c>
      <c r="AC5039" t="str">
        <f>IF(Z5039="","",COUNTIF(#REF!,Z5039))</f>
        <v/>
      </c>
      <c r="AD5039" t="str">
        <f>IF(A5039="","",IF(AC5039&gt;1,"REVISAR DUPLICADO",IF(AA5039&lt;&gt;"","ACTUALIZADO POR EYR","SIN REPORTE EYR")))</f>
        <v/>
      </c>
    </row>
    <row r="5040" spans="11:30" x14ac:dyDescent="0.3">
      <c r="K5040" s="1" t="str">
        <f ca="1">IF(A5040="","",IF(OR(L5040="ENTREGADA",L5040="RETORNADA",L5040="ENTREGA DIGITAL"),0,MAX(0,5-NETWORKDAYS(H5040+1,TODAY()))))</f>
        <v/>
      </c>
      <c r="L5040" t="str">
        <f>IF(A5040="","",IFERROR(LOOKUP(2,1/(#REF!=Z5040),#REF!),Y5040))</f>
        <v/>
      </c>
      <c r="Z5040" t="str">
        <f>IF(A5040="","",TEXT(A5040,"0")&amp;"|"&amp;TEXT(H5040,"0"))</f>
        <v/>
      </c>
      <c r="AA5040" t="str">
        <f>IF(Z5040="","",IFERROR(LOOKUP(2,1/(#REF!=Z5040),#REF!),""))</f>
        <v/>
      </c>
      <c r="AB5040" t="str">
        <f>IF(Z5040="","",IFERROR(LOOKUP(2,1/(#REF!=Z5040),#REF!),""))</f>
        <v/>
      </c>
      <c r="AC5040" t="str">
        <f>IF(Z5040="","",COUNTIF(#REF!,Z5040))</f>
        <v/>
      </c>
      <c r="AD5040" t="str">
        <f>IF(A5040="","",IF(AC5040&gt;1,"REVISAR DUPLICADO",IF(AA5040&lt;&gt;"","ACTUALIZADO POR EYR","SIN REPORTE EYR")))</f>
        <v/>
      </c>
    </row>
    <row r="5041" spans="11:30" x14ac:dyDescent="0.3">
      <c r="K5041" s="1" t="str">
        <f ca="1">IF(A5041="","",IF(OR(L5041="ENTREGADA",L5041="RETORNADA",L5041="ENTREGA DIGITAL"),0,MAX(0,5-NETWORKDAYS(H5041+1,TODAY()))))</f>
        <v/>
      </c>
      <c r="L5041" t="str">
        <f>IF(A5041="","",IFERROR(LOOKUP(2,1/(#REF!=Z5041),#REF!),Y5041))</f>
        <v/>
      </c>
      <c r="Z5041" t="str">
        <f>IF(A5041="","",TEXT(A5041,"0")&amp;"|"&amp;TEXT(H5041,"0"))</f>
        <v/>
      </c>
      <c r="AA5041" t="str">
        <f>IF(Z5041="","",IFERROR(LOOKUP(2,1/(#REF!=Z5041),#REF!),""))</f>
        <v/>
      </c>
      <c r="AB5041" t="str">
        <f>IF(Z5041="","",IFERROR(LOOKUP(2,1/(#REF!=Z5041),#REF!),""))</f>
        <v/>
      </c>
      <c r="AC5041" t="str">
        <f>IF(Z5041="","",COUNTIF(#REF!,Z5041))</f>
        <v/>
      </c>
      <c r="AD5041" t="str">
        <f>IF(A5041="","",IF(AC5041&gt;1,"REVISAR DUPLICADO",IF(AA5041&lt;&gt;"","ACTUALIZADO POR EYR","SIN REPORTE EYR")))</f>
        <v/>
      </c>
    </row>
    <row r="5042" spans="11:30" x14ac:dyDescent="0.3">
      <c r="K5042" s="1" t="str">
        <f ca="1">IF(A5042="","",IF(OR(L5042="ENTREGADA",L5042="RETORNADA",L5042="ENTREGA DIGITAL"),0,MAX(0,5-NETWORKDAYS(H5042+1,TODAY()))))</f>
        <v/>
      </c>
      <c r="L5042" t="str">
        <f>IF(A5042="","",IFERROR(LOOKUP(2,1/(#REF!=Z5042),#REF!),Y5042))</f>
        <v/>
      </c>
      <c r="Z5042" t="str">
        <f>IF(A5042="","",TEXT(A5042,"0")&amp;"|"&amp;TEXT(H5042,"0"))</f>
        <v/>
      </c>
      <c r="AA5042" t="str">
        <f>IF(Z5042="","",IFERROR(LOOKUP(2,1/(#REF!=Z5042),#REF!),""))</f>
        <v/>
      </c>
      <c r="AB5042" t="str">
        <f>IF(Z5042="","",IFERROR(LOOKUP(2,1/(#REF!=Z5042),#REF!),""))</f>
        <v/>
      </c>
      <c r="AC5042" t="str">
        <f>IF(Z5042="","",COUNTIF(#REF!,Z5042))</f>
        <v/>
      </c>
      <c r="AD5042" t="str">
        <f>IF(A5042="","",IF(AC5042&gt;1,"REVISAR DUPLICADO",IF(AA5042&lt;&gt;"","ACTUALIZADO POR EYR","SIN REPORTE EYR")))</f>
        <v/>
      </c>
    </row>
    <row r="5043" spans="11:30" x14ac:dyDescent="0.3">
      <c r="K5043" s="1" t="str">
        <f ca="1">IF(A5043="","",IF(OR(L5043="ENTREGADA",L5043="RETORNADA",L5043="ENTREGA DIGITAL"),0,MAX(0,5-NETWORKDAYS(H5043+1,TODAY()))))</f>
        <v/>
      </c>
      <c r="L5043" t="str">
        <f>IF(A5043="","",IFERROR(LOOKUP(2,1/(#REF!=Z5043),#REF!),Y5043))</f>
        <v/>
      </c>
      <c r="Z5043" t="str">
        <f>IF(A5043="","",TEXT(A5043,"0")&amp;"|"&amp;TEXT(H5043,"0"))</f>
        <v/>
      </c>
      <c r="AA5043" t="str">
        <f>IF(Z5043="","",IFERROR(LOOKUP(2,1/(#REF!=Z5043),#REF!),""))</f>
        <v/>
      </c>
      <c r="AB5043" t="str">
        <f>IF(Z5043="","",IFERROR(LOOKUP(2,1/(#REF!=Z5043),#REF!),""))</f>
        <v/>
      </c>
      <c r="AC5043" t="str">
        <f>IF(Z5043="","",COUNTIF(#REF!,Z5043))</f>
        <v/>
      </c>
      <c r="AD5043" t="str">
        <f>IF(A5043="","",IF(AC5043&gt;1,"REVISAR DUPLICADO",IF(AA5043&lt;&gt;"","ACTUALIZADO POR EYR","SIN REPORTE EYR")))</f>
        <v/>
      </c>
    </row>
    <row r="5044" spans="11:30" x14ac:dyDescent="0.3">
      <c r="K5044" s="1" t="str">
        <f ca="1">IF(A5044="","",IF(OR(L5044="ENTREGADA",L5044="RETORNADA",L5044="ENTREGA DIGITAL"),0,MAX(0,5-NETWORKDAYS(H5044+1,TODAY()))))</f>
        <v/>
      </c>
      <c r="L5044" t="str">
        <f>IF(A5044="","",IFERROR(LOOKUP(2,1/(#REF!=Z5044),#REF!),Y5044))</f>
        <v/>
      </c>
      <c r="Z5044" t="str">
        <f>IF(A5044="","",TEXT(A5044,"0")&amp;"|"&amp;TEXT(H5044,"0"))</f>
        <v/>
      </c>
      <c r="AA5044" t="str">
        <f>IF(Z5044="","",IFERROR(LOOKUP(2,1/(#REF!=Z5044),#REF!),""))</f>
        <v/>
      </c>
      <c r="AB5044" t="str">
        <f>IF(Z5044="","",IFERROR(LOOKUP(2,1/(#REF!=Z5044),#REF!),""))</f>
        <v/>
      </c>
      <c r="AC5044" t="str">
        <f>IF(Z5044="","",COUNTIF(#REF!,Z5044))</f>
        <v/>
      </c>
      <c r="AD5044" t="str">
        <f>IF(A5044="","",IF(AC5044&gt;1,"REVISAR DUPLICADO",IF(AA5044&lt;&gt;"","ACTUALIZADO POR EYR","SIN REPORTE EYR")))</f>
        <v/>
      </c>
    </row>
    <row r="5045" spans="11:30" x14ac:dyDescent="0.3">
      <c r="K5045" s="1" t="str">
        <f ca="1">IF(A5045="","",IF(OR(L5045="ENTREGADA",L5045="RETORNADA",L5045="ENTREGA DIGITAL"),0,MAX(0,5-NETWORKDAYS(H5045+1,TODAY()))))</f>
        <v/>
      </c>
      <c r="L5045" t="str">
        <f>IF(A5045="","",IFERROR(LOOKUP(2,1/(#REF!=Z5045),#REF!),Y5045))</f>
        <v/>
      </c>
      <c r="Z5045" t="str">
        <f>IF(A5045="","",TEXT(A5045,"0")&amp;"|"&amp;TEXT(H5045,"0"))</f>
        <v/>
      </c>
      <c r="AA5045" t="str">
        <f>IF(Z5045="","",IFERROR(LOOKUP(2,1/(#REF!=Z5045),#REF!),""))</f>
        <v/>
      </c>
      <c r="AB5045" t="str">
        <f>IF(Z5045="","",IFERROR(LOOKUP(2,1/(#REF!=Z5045),#REF!),""))</f>
        <v/>
      </c>
      <c r="AC5045" t="str">
        <f>IF(Z5045="","",COUNTIF(#REF!,Z5045))</f>
        <v/>
      </c>
      <c r="AD5045" t="str">
        <f>IF(A5045="","",IF(AC5045&gt;1,"REVISAR DUPLICADO",IF(AA5045&lt;&gt;"","ACTUALIZADO POR EYR","SIN REPORTE EYR")))</f>
        <v/>
      </c>
    </row>
    <row r="5046" spans="11:30" x14ac:dyDescent="0.3">
      <c r="K5046" s="1" t="str">
        <f ca="1">IF(A5046="","",IF(OR(L5046="ENTREGADA",L5046="RETORNADA",L5046="ENTREGA DIGITAL"),0,MAX(0,5-NETWORKDAYS(H5046+1,TODAY()))))</f>
        <v/>
      </c>
      <c r="L5046" t="str">
        <f>IF(A5046="","",IFERROR(LOOKUP(2,1/(#REF!=Z5046),#REF!),Y5046))</f>
        <v/>
      </c>
      <c r="Z5046" t="str">
        <f>IF(A5046="","",TEXT(A5046,"0")&amp;"|"&amp;TEXT(H5046,"0"))</f>
        <v/>
      </c>
      <c r="AA5046" t="str">
        <f>IF(Z5046="","",IFERROR(LOOKUP(2,1/(#REF!=Z5046),#REF!),""))</f>
        <v/>
      </c>
      <c r="AB5046" t="str">
        <f>IF(Z5046="","",IFERROR(LOOKUP(2,1/(#REF!=Z5046),#REF!),""))</f>
        <v/>
      </c>
      <c r="AC5046" t="str">
        <f>IF(Z5046="","",COUNTIF(#REF!,Z5046))</f>
        <v/>
      </c>
      <c r="AD5046" t="str">
        <f>IF(A5046="","",IF(AC5046&gt;1,"REVISAR DUPLICADO",IF(AA5046&lt;&gt;"","ACTUALIZADO POR EYR","SIN REPORTE EYR")))</f>
        <v/>
      </c>
    </row>
    <row r="5047" spans="11:30" x14ac:dyDescent="0.3">
      <c r="K5047" s="1" t="str">
        <f ca="1">IF(A5047="","",IF(OR(L5047="ENTREGADA",L5047="RETORNADA",L5047="ENTREGA DIGITAL"),0,MAX(0,5-NETWORKDAYS(H5047+1,TODAY()))))</f>
        <v/>
      </c>
      <c r="L5047" t="str">
        <f>IF(A5047="","",IFERROR(LOOKUP(2,1/(#REF!=Z5047),#REF!),Y5047))</f>
        <v/>
      </c>
      <c r="Z5047" t="str">
        <f>IF(A5047="","",TEXT(A5047,"0")&amp;"|"&amp;TEXT(H5047,"0"))</f>
        <v/>
      </c>
      <c r="AA5047" t="str">
        <f>IF(Z5047="","",IFERROR(LOOKUP(2,1/(#REF!=Z5047),#REF!),""))</f>
        <v/>
      </c>
      <c r="AB5047" t="str">
        <f>IF(Z5047="","",IFERROR(LOOKUP(2,1/(#REF!=Z5047),#REF!),""))</f>
        <v/>
      </c>
      <c r="AC5047" t="str">
        <f>IF(Z5047="","",COUNTIF(#REF!,Z5047))</f>
        <v/>
      </c>
      <c r="AD5047" t="str">
        <f>IF(A5047="","",IF(AC5047&gt;1,"REVISAR DUPLICADO",IF(AA5047&lt;&gt;"","ACTUALIZADO POR EYR","SIN REPORTE EYR")))</f>
        <v/>
      </c>
    </row>
    <row r="5048" spans="11:30" x14ac:dyDescent="0.3">
      <c r="K5048" s="1" t="str">
        <f ca="1">IF(A5048="","",IF(OR(L5048="ENTREGADA",L5048="RETORNADA",L5048="ENTREGA DIGITAL"),0,MAX(0,5-NETWORKDAYS(H5048+1,TODAY()))))</f>
        <v/>
      </c>
      <c r="L5048" t="str">
        <f>IF(A5048="","",IFERROR(LOOKUP(2,1/(#REF!=Z5048),#REF!),Y5048))</f>
        <v/>
      </c>
      <c r="Z5048" t="str">
        <f>IF(A5048="","",TEXT(A5048,"0")&amp;"|"&amp;TEXT(H5048,"0"))</f>
        <v/>
      </c>
      <c r="AA5048" t="str">
        <f>IF(Z5048="","",IFERROR(LOOKUP(2,1/(#REF!=Z5048),#REF!),""))</f>
        <v/>
      </c>
      <c r="AB5048" t="str">
        <f>IF(Z5048="","",IFERROR(LOOKUP(2,1/(#REF!=Z5048),#REF!),""))</f>
        <v/>
      </c>
      <c r="AC5048" t="str">
        <f>IF(Z5048="","",COUNTIF(#REF!,Z5048))</f>
        <v/>
      </c>
      <c r="AD5048" t="str">
        <f>IF(A5048="","",IF(AC5048&gt;1,"REVISAR DUPLICADO",IF(AA5048&lt;&gt;"","ACTUALIZADO POR EYR","SIN REPORTE EYR")))</f>
        <v/>
      </c>
    </row>
    <row r="5049" spans="11:30" x14ac:dyDescent="0.3">
      <c r="K5049" s="1" t="str">
        <f ca="1">IF(A5049="","",IF(OR(L5049="ENTREGADA",L5049="RETORNADA",L5049="ENTREGA DIGITAL"),0,MAX(0,5-NETWORKDAYS(H5049+1,TODAY()))))</f>
        <v/>
      </c>
      <c r="L5049" t="str">
        <f>IF(A5049="","",IFERROR(LOOKUP(2,1/(#REF!=Z5049),#REF!),Y5049))</f>
        <v/>
      </c>
      <c r="Z5049" t="str">
        <f>IF(A5049="","",TEXT(A5049,"0")&amp;"|"&amp;TEXT(H5049,"0"))</f>
        <v/>
      </c>
      <c r="AA5049" t="str">
        <f>IF(Z5049="","",IFERROR(LOOKUP(2,1/(#REF!=Z5049),#REF!),""))</f>
        <v/>
      </c>
      <c r="AB5049" t="str">
        <f>IF(Z5049="","",IFERROR(LOOKUP(2,1/(#REF!=Z5049),#REF!),""))</f>
        <v/>
      </c>
      <c r="AC5049" t="str">
        <f>IF(Z5049="","",COUNTIF(#REF!,Z5049))</f>
        <v/>
      </c>
      <c r="AD5049" t="str">
        <f>IF(A5049="","",IF(AC5049&gt;1,"REVISAR DUPLICADO",IF(AA5049&lt;&gt;"","ACTUALIZADO POR EYR","SIN REPORTE EYR")))</f>
        <v/>
      </c>
    </row>
    <row r="5050" spans="11:30" x14ac:dyDescent="0.3">
      <c r="K5050" s="1" t="str">
        <f ca="1">IF(A5050="","",IF(OR(L5050="ENTREGADA",L5050="RETORNADA",L5050="ENTREGA DIGITAL"),0,MAX(0,5-NETWORKDAYS(H5050+1,TODAY()))))</f>
        <v/>
      </c>
      <c r="L5050" t="str">
        <f>IF(A5050="","",IFERROR(LOOKUP(2,1/(#REF!=Z5050),#REF!),Y5050))</f>
        <v/>
      </c>
      <c r="Z5050" t="str">
        <f>IF(A5050="","",TEXT(A5050,"0")&amp;"|"&amp;TEXT(H5050,"0"))</f>
        <v/>
      </c>
      <c r="AA5050" t="str">
        <f>IF(Z5050="","",IFERROR(LOOKUP(2,1/(#REF!=Z5050),#REF!),""))</f>
        <v/>
      </c>
      <c r="AB5050" t="str">
        <f>IF(Z5050="","",IFERROR(LOOKUP(2,1/(#REF!=Z5050),#REF!),""))</f>
        <v/>
      </c>
      <c r="AC5050" t="str">
        <f>IF(Z5050="","",COUNTIF(#REF!,Z5050))</f>
        <v/>
      </c>
      <c r="AD5050" t="str">
        <f>IF(A5050="","",IF(AC5050&gt;1,"REVISAR DUPLICADO",IF(AA5050&lt;&gt;"","ACTUALIZADO POR EYR","SIN REPORTE EYR")))</f>
        <v/>
      </c>
    </row>
    <row r="5051" spans="11:30" x14ac:dyDescent="0.3">
      <c r="K5051" s="1" t="str">
        <f ca="1">IF(A5051="","",IF(OR(L5051="ENTREGADA",L5051="RETORNADA",L5051="ENTREGA DIGITAL"),0,MAX(0,5-NETWORKDAYS(H5051+1,TODAY()))))</f>
        <v/>
      </c>
      <c r="L5051" t="str">
        <f>IF(A5051="","",IFERROR(LOOKUP(2,1/(#REF!=Z5051),#REF!),Y5051))</f>
        <v/>
      </c>
      <c r="Z5051" t="str">
        <f>IF(A5051="","",TEXT(A5051,"0")&amp;"|"&amp;TEXT(H5051,"0"))</f>
        <v/>
      </c>
      <c r="AA5051" t="str">
        <f>IF(Z5051="","",IFERROR(LOOKUP(2,1/(#REF!=Z5051),#REF!),""))</f>
        <v/>
      </c>
      <c r="AB5051" t="str">
        <f>IF(Z5051="","",IFERROR(LOOKUP(2,1/(#REF!=Z5051),#REF!),""))</f>
        <v/>
      </c>
      <c r="AC5051" t="str">
        <f>IF(Z5051="","",COUNTIF(#REF!,Z5051))</f>
        <v/>
      </c>
      <c r="AD5051" t="str">
        <f>IF(A5051="","",IF(AC5051&gt;1,"REVISAR DUPLICADO",IF(AA5051&lt;&gt;"","ACTUALIZADO POR EYR","SIN REPORTE EYR")))</f>
        <v/>
      </c>
    </row>
    <row r="5052" spans="11:30" x14ac:dyDescent="0.3">
      <c r="K5052" s="1" t="str">
        <f ca="1">IF(A5052="","",IF(OR(L5052="ENTREGADA",L5052="RETORNADA",L5052="ENTREGA DIGITAL"),0,MAX(0,5-NETWORKDAYS(H5052+1,TODAY()))))</f>
        <v/>
      </c>
      <c r="L5052" t="str">
        <f>IF(A5052="","",IFERROR(LOOKUP(2,1/(#REF!=Z5052),#REF!),Y5052))</f>
        <v/>
      </c>
      <c r="Z5052" t="str">
        <f>IF(A5052="","",TEXT(A5052,"0")&amp;"|"&amp;TEXT(H5052,"0"))</f>
        <v/>
      </c>
      <c r="AA5052" t="str">
        <f>IF(Z5052="","",IFERROR(LOOKUP(2,1/(#REF!=Z5052),#REF!),""))</f>
        <v/>
      </c>
      <c r="AB5052" t="str">
        <f>IF(Z5052="","",IFERROR(LOOKUP(2,1/(#REF!=Z5052),#REF!),""))</f>
        <v/>
      </c>
      <c r="AC5052" t="str">
        <f>IF(Z5052="","",COUNTIF(#REF!,Z5052))</f>
        <v/>
      </c>
      <c r="AD5052" t="str">
        <f>IF(A5052="","",IF(AC5052&gt;1,"REVISAR DUPLICADO",IF(AA5052&lt;&gt;"","ACTUALIZADO POR EYR","SIN REPORTE EYR")))</f>
        <v/>
      </c>
    </row>
    <row r="5053" spans="11:30" x14ac:dyDescent="0.3">
      <c r="K5053" s="1" t="str">
        <f ca="1">IF(A5053="","",IF(OR(L5053="ENTREGADA",L5053="RETORNADA",L5053="ENTREGA DIGITAL"),0,MAX(0,5-NETWORKDAYS(H5053+1,TODAY()))))</f>
        <v/>
      </c>
      <c r="L5053" t="str">
        <f>IF(A5053="","",IFERROR(LOOKUP(2,1/(#REF!=Z5053),#REF!),Y5053))</f>
        <v/>
      </c>
      <c r="Z5053" t="str">
        <f>IF(A5053="","",TEXT(A5053,"0")&amp;"|"&amp;TEXT(H5053,"0"))</f>
        <v/>
      </c>
      <c r="AA5053" t="str">
        <f>IF(Z5053="","",IFERROR(LOOKUP(2,1/(#REF!=Z5053),#REF!),""))</f>
        <v/>
      </c>
      <c r="AB5053" t="str">
        <f>IF(Z5053="","",IFERROR(LOOKUP(2,1/(#REF!=Z5053),#REF!),""))</f>
        <v/>
      </c>
      <c r="AC5053" t="str">
        <f>IF(Z5053="","",COUNTIF(#REF!,Z5053))</f>
        <v/>
      </c>
      <c r="AD5053" t="str">
        <f>IF(A5053="","",IF(AC5053&gt;1,"REVISAR DUPLICADO",IF(AA5053&lt;&gt;"","ACTUALIZADO POR EYR","SIN REPORTE EYR")))</f>
        <v/>
      </c>
    </row>
    <row r="5054" spans="11:30" x14ac:dyDescent="0.3">
      <c r="K5054" s="1" t="str">
        <f ca="1">IF(A5054="","",IF(OR(L5054="ENTREGADA",L5054="RETORNADA",L5054="ENTREGA DIGITAL"),0,MAX(0,5-NETWORKDAYS(H5054+1,TODAY()))))</f>
        <v/>
      </c>
      <c r="L5054" t="str">
        <f>IF(A5054="","",IFERROR(LOOKUP(2,1/(#REF!=Z5054),#REF!),Y5054))</f>
        <v/>
      </c>
      <c r="Z5054" t="str">
        <f>IF(A5054="","",TEXT(A5054,"0")&amp;"|"&amp;TEXT(H5054,"0"))</f>
        <v/>
      </c>
      <c r="AA5054" t="str">
        <f>IF(Z5054="","",IFERROR(LOOKUP(2,1/(#REF!=Z5054),#REF!),""))</f>
        <v/>
      </c>
      <c r="AB5054" t="str">
        <f>IF(Z5054="","",IFERROR(LOOKUP(2,1/(#REF!=Z5054),#REF!),""))</f>
        <v/>
      </c>
      <c r="AC5054" t="str">
        <f>IF(Z5054="","",COUNTIF(#REF!,Z5054))</f>
        <v/>
      </c>
      <c r="AD5054" t="str">
        <f>IF(A5054="","",IF(AC5054&gt;1,"REVISAR DUPLICADO",IF(AA5054&lt;&gt;"","ACTUALIZADO POR EYR","SIN REPORTE EYR")))</f>
        <v/>
      </c>
    </row>
    <row r="5055" spans="11:30" x14ac:dyDescent="0.3">
      <c r="K5055" s="1" t="str">
        <f ca="1">IF(A5055="","",IF(OR(L5055="ENTREGADA",L5055="RETORNADA",L5055="ENTREGA DIGITAL"),0,MAX(0,5-NETWORKDAYS(H5055+1,TODAY()))))</f>
        <v/>
      </c>
      <c r="L5055" t="str">
        <f>IF(A5055="","",IFERROR(LOOKUP(2,1/(#REF!=Z5055),#REF!),Y5055))</f>
        <v/>
      </c>
      <c r="Z5055" t="str">
        <f>IF(A5055="","",TEXT(A5055,"0")&amp;"|"&amp;TEXT(H5055,"0"))</f>
        <v/>
      </c>
      <c r="AA5055" t="str">
        <f>IF(Z5055="","",IFERROR(LOOKUP(2,1/(#REF!=Z5055),#REF!),""))</f>
        <v/>
      </c>
      <c r="AB5055" t="str">
        <f>IF(Z5055="","",IFERROR(LOOKUP(2,1/(#REF!=Z5055),#REF!),""))</f>
        <v/>
      </c>
      <c r="AC5055" t="str">
        <f>IF(Z5055="","",COUNTIF(#REF!,Z5055))</f>
        <v/>
      </c>
      <c r="AD5055" t="str">
        <f>IF(A5055="","",IF(AC5055&gt;1,"REVISAR DUPLICADO",IF(AA5055&lt;&gt;"","ACTUALIZADO POR EYR","SIN REPORTE EYR")))</f>
        <v/>
      </c>
    </row>
    <row r="5056" spans="11:30" x14ac:dyDescent="0.3">
      <c r="K5056" s="1" t="str">
        <f ca="1">IF(A5056="","",IF(OR(L5056="ENTREGADA",L5056="RETORNADA",L5056="ENTREGA DIGITAL"),0,MAX(0,5-NETWORKDAYS(H5056+1,TODAY()))))</f>
        <v/>
      </c>
      <c r="L5056" t="str">
        <f>IF(A5056="","",IFERROR(LOOKUP(2,1/(#REF!=Z5056),#REF!),Y5056))</f>
        <v/>
      </c>
      <c r="Z5056" t="str">
        <f>IF(A5056="","",TEXT(A5056,"0")&amp;"|"&amp;TEXT(H5056,"0"))</f>
        <v/>
      </c>
      <c r="AA5056" t="str">
        <f>IF(Z5056="","",IFERROR(LOOKUP(2,1/(#REF!=Z5056),#REF!),""))</f>
        <v/>
      </c>
      <c r="AB5056" t="str">
        <f>IF(Z5056="","",IFERROR(LOOKUP(2,1/(#REF!=Z5056),#REF!),""))</f>
        <v/>
      </c>
      <c r="AC5056" t="str">
        <f>IF(Z5056="","",COUNTIF(#REF!,Z5056))</f>
        <v/>
      </c>
      <c r="AD5056" t="str">
        <f>IF(A5056="","",IF(AC5056&gt;1,"REVISAR DUPLICADO",IF(AA5056&lt;&gt;"","ACTUALIZADO POR EYR","SIN REPORTE EYR")))</f>
        <v/>
      </c>
    </row>
    <row r="5057" spans="11:30" x14ac:dyDescent="0.3">
      <c r="K5057" s="1" t="str">
        <f ca="1">IF(A5057="","",IF(OR(L5057="ENTREGADA",L5057="RETORNADA",L5057="ENTREGA DIGITAL"),0,MAX(0,5-NETWORKDAYS(H5057+1,TODAY()))))</f>
        <v/>
      </c>
      <c r="L5057" t="str">
        <f>IF(A5057="","",IFERROR(LOOKUP(2,1/(#REF!=Z5057),#REF!),Y5057))</f>
        <v/>
      </c>
      <c r="Z5057" t="str">
        <f>IF(A5057="","",TEXT(A5057,"0")&amp;"|"&amp;TEXT(H5057,"0"))</f>
        <v/>
      </c>
      <c r="AA5057" t="str">
        <f>IF(Z5057="","",IFERROR(LOOKUP(2,1/(#REF!=Z5057),#REF!),""))</f>
        <v/>
      </c>
      <c r="AB5057" t="str">
        <f>IF(Z5057="","",IFERROR(LOOKUP(2,1/(#REF!=Z5057),#REF!),""))</f>
        <v/>
      </c>
      <c r="AC5057" t="str">
        <f>IF(Z5057="","",COUNTIF(#REF!,Z5057))</f>
        <v/>
      </c>
      <c r="AD5057" t="str">
        <f>IF(A5057="","",IF(AC5057&gt;1,"REVISAR DUPLICADO",IF(AA5057&lt;&gt;"","ACTUALIZADO POR EYR","SIN REPORTE EYR")))</f>
        <v/>
      </c>
    </row>
    <row r="5058" spans="11:30" x14ac:dyDescent="0.3">
      <c r="K5058" s="1" t="str">
        <f ca="1">IF(A5058="","",IF(OR(L5058="ENTREGADA",L5058="RETORNADA",L5058="ENTREGA DIGITAL"),0,MAX(0,5-NETWORKDAYS(H5058+1,TODAY()))))</f>
        <v/>
      </c>
      <c r="L5058" t="str">
        <f>IF(A5058="","",IFERROR(LOOKUP(2,1/(#REF!=Z5058),#REF!),Y5058))</f>
        <v/>
      </c>
      <c r="Z5058" t="str">
        <f>IF(A5058="","",TEXT(A5058,"0")&amp;"|"&amp;TEXT(H5058,"0"))</f>
        <v/>
      </c>
      <c r="AA5058" t="str">
        <f>IF(Z5058="","",IFERROR(LOOKUP(2,1/(#REF!=Z5058),#REF!),""))</f>
        <v/>
      </c>
      <c r="AB5058" t="str">
        <f>IF(Z5058="","",IFERROR(LOOKUP(2,1/(#REF!=Z5058),#REF!),""))</f>
        <v/>
      </c>
      <c r="AC5058" t="str">
        <f>IF(Z5058="","",COUNTIF(#REF!,Z5058))</f>
        <v/>
      </c>
      <c r="AD5058" t="str">
        <f>IF(A5058="","",IF(AC5058&gt;1,"REVISAR DUPLICADO",IF(AA5058&lt;&gt;"","ACTUALIZADO POR EYR","SIN REPORTE EYR")))</f>
        <v/>
      </c>
    </row>
    <row r="5059" spans="11:30" x14ac:dyDescent="0.3">
      <c r="K5059" s="1" t="str">
        <f ca="1">IF(A5059="","",IF(OR(L5059="ENTREGADA",L5059="RETORNADA",L5059="ENTREGA DIGITAL"),0,MAX(0,5-NETWORKDAYS(H5059+1,TODAY()))))</f>
        <v/>
      </c>
      <c r="L5059" t="str">
        <f>IF(A5059="","",IFERROR(LOOKUP(2,1/(#REF!=Z5059),#REF!),Y5059))</f>
        <v/>
      </c>
      <c r="Z5059" t="str">
        <f>IF(A5059="","",TEXT(A5059,"0")&amp;"|"&amp;TEXT(H5059,"0"))</f>
        <v/>
      </c>
      <c r="AA5059" t="str">
        <f>IF(Z5059="","",IFERROR(LOOKUP(2,1/(#REF!=Z5059),#REF!),""))</f>
        <v/>
      </c>
      <c r="AB5059" t="str">
        <f>IF(Z5059="","",IFERROR(LOOKUP(2,1/(#REF!=Z5059),#REF!),""))</f>
        <v/>
      </c>
      <c r="AC5059" t="str">
        <f>IF(Z5059="","",COUNTIF(#REF!,Z5059))</f>
        <v/>
      </c>
      <c r="AD5059" t="str">
        <f>IF(A5059="","",IF(AC5059&gt;1,"REVISAR DUPLICADO",IF(AA5059&lt;&gt;"","ACTUALIZADO POR EYR","SIN REPORTE EYR")))</f>
        <v/>
      </c>
    </row>
    <row r="5060" spans="11:30" x14ac:dyDescent="0.3">
      <c r="K5060" s="1" t="str">
        <f ca="1">IF(A5060="","",IF(OR(L5060="ENTREGADA",L5060="RETORNADA",L5060="ENTREGA DIGITAL"),0,MAX(0,5-NETWORKDAYS(H5060+1,TODAY()))))</f>
        <v/>
      </c>
      <c r="L5060" t="str">
        <f>IF(A5060="","",IFERROR(LOOKUP(2,1/(#REF!=Z5060),#REF!),Y5060))</f>
        <v/>
      </c>
      <c r="Z5060" t="str">
        <f>IF(A5060="","",TEXT(A5060,"0")&amp;"|"&amp;TEXT(H5060,"0"))</f>
        <v/>
      </c>
      <c r="AA5060" t="str">
        <f>IF(Z5060="","",IFERROR(LOOKUP(2,1/(#REF!=Z5060),#REF!),""))</f>
        <v/>
      </c>
      <c r="AB5060" t="str">
        <f>IF(Z5060="","",IFERROR(LOOKUP(2,1/(#REF!=Z5060),#REF!),""))</f>
        <v/>
      </c>
      <c r="AC5060" t="str">
        <f>IF(Z5060="","",COUNTIF(#REF!,Z5060))</f>
        <v/>
      </c>
      <c r="AD5060" t="str">
        <f>IF(A5060="","",IF(AC5060&gt;1,"REVISAR DUPLICADO",IF(AA5060&lt;&gt;"","ACTUALIZADO POR EYR","SIN REPORTE EYR")))</f>
        <v/>
      </c>
    </row>
    <row r="5061" spans="11:30" x14ac:dyDescent="0.3">
      <c r="K5061" s="1" t="str">
        <f ca="1">IF(A5061="","",IF(OR(L5061="ENTREGADA",L5061="RETORNADA",L5061="ENTREGA DIGITAL"),0,MAX(0,5-NETWORKDAYS(H5061+1,TODAY()))))</f>
        <v/>
      </c>
      <c r="L5061" t="str">
        <f>IF(A5061="","",IFERROR(LOOKUP(2,1/(#REF!=Z5061),#REF!),Y5061))</f>
        <v/>
      </c>
      <c r="Z5061" t="str">
        <f>IF(A5061="","",TEXT(A5061,"0")&amp;"|"&amp;TEXT(H5061,"0"))</f>
        <v/>
      </c>
      <c r="AA5061" t="str">
        <f>IF(Z5061="","",IFERROR(LOOKUP(2,1/(#REF!=Z5061),#REF!),""))</f>
        <v/>
      </c>
      <c r="AB5061" t="str">
        <f>IF(Z5061="","",IFERROR(LOOKUP(2,1/(#REF!=Z5061),#REF!),""))</f>
        <v/>
      </c>
      <c r="AC5061" t="str">
        <f>IF(Z5061="","",COUNTIF(#REF!,Z5061))</f>
        <v/>
      </c>
      <c r="AD5061" t="str">
        <f>IF(A5061="","",IF(AC5061&gt;1,"REVISAR DUPLICADO",IF(AA5061&lt;&gt;"","ACTUALIZADO POR EYR","SIN REPORTE EYR")))</f>
        <v/>
      </c>
    </row>
    <row r="5062" spans="11:30" x14ac:dyDescent="0.3">
      <c r="K5062" s="1" t="str">
        <f ca="1">IF(A5062="","",IF(OR(L5062="ENTREGADA",L5062="RETORNADA",L5062="ENTREGA DIGITAL"),0,MAX(0,5-NETWORKDAYS(H5062+1,TODAY()))))</f>
        <v/>
      </c>
      <c r="L5062" t="str">
        <f>IF(A5062="","",IFERROR(LOOKUP(2,1/(#REF!=Z5062),#REF!),Y5062))</f>
        <v/>
      </c>
      <c r="Z5062" t="str">
        <f>IF(A5062="","",TEXT(A5062,"0")&amp;"|"&amp;TEXT(H5062,"0"))</f>
        <v/>
      </c>
      <c r="AA5062" t="str">
        <f>IF(Z5062="","",IFERROR(LOOKUP(2,1/(#REF!=Z5062),#REF!),""))</f>
        <v/>
      </c>
      <c r="AB5062" t="str">
        <f>IF(Z5062="","",IFERROR(LOOKUP(2,1/(#REF!=Z5062),#REF!),""))</f>
        <v/>
      </c>
      <c r="AC5062" t="str">
        <f>IF(Z5062="","",COUNTIF(#REF!,Z5062))</f>
        <v/>
      </c>
      <c r="AD5062" t="str">
        <f>IF(A5062="","",IF(AC5062&gt;1,"REVISAR DUPLICADO",IF(AA5062&lt;&gt;"","ACTUALIZADO POR EYR","SIN REPORTE EYR")))</f>
        <v/>
      </c>
    </row>
    <row r="5063" spans="11:30" x14ac:dyDescent="0.3">
      <c r="K5063" s="1" t="str">
        <f ca="1">IF(A5063="","",IF(OR(L5063="ENTREGADA",L5063="RETORNADA",L5063="ENTREGA DIGITAL"),0,MAX(0,5-NETWORKDAYS(H5063+1,TODAY()))))</f>
        <v/>
      </c>
      <c r="L5063" t="str">
        <f>IF(A5063="","",IFERROR(LOOKUP(2,1/(#REF!=Z5063),#REF!),Y5063))</f>
        <v/>
      </c>
      <c r="Z5063" t="str">
        <f>IF(A5063="","",TEXT(A5063,"0")&amp;"|"&amp;TEXT(H5063,"0"))</f>
        <v/>
      </c>
      <c r="AA5063" t="str">
        <f>IF(Z5063="","",IFERROR(LOOKUP(2,1/(#REF!=Z5063),#REF!),""))</f>
        <v/>
      </c>
      <c r="AB5063" t="str">
        <f>IF(Z5063="","",IFERROR(LOOKUP(2,1/(#REF!=Z5063),#REF!),""))</f>
        <v/>
      </c>
      <c r="AC5063" t="str">
        <f>IF(Z5063="","",COUNTIF(#REF!,Z5063))</f>
        <v/>
      </c>
      <c r="AD5063" t="str">
        <f>IF(A5063="","",IF(AC5063&gt;1,"REVISAR DUPLICADO",IF(AA5063&lt;&gt;"","ACTUALIZADO POR EYR","SIN REPORTE EYR")))</f>
        <v/>
      </c>
    </row>
    <row r="5064" spans="11:30" x14ac:dyDescent="0.3">
      <c r="K5064" s="1" t="str">
        <f ca="1">IF(A5064="","",IF(OR(L5064="ENTREGADA",L5064="RETORNADA",L5064="ENTREGA DIGITAL"),0,MAX(0,5-NETWORKDAYS(H5064+1,TODAY()))))</f>
        <v/>
      </c>
      <c r="L5064" t="str">
        <f>IF(A5064="","",IFERROR(LOOKUP(2,1/(#REF!=Z5064),#REF!),Y5064))</f>
        <v/>
      </c>
      <c r="Z5064" t="str">
        <f>IF(A5064="","",TEXT(A5064,"0")&amp;"|"&amp;TEXT(H5064,"0"))</f>
        <v/>
      </c>
      <c r="AA5064" t="str">
        <f>IF(Z5064="","",IFERROR(LOOKUP(2,1/(#REF!=Z5064),#REF!),""))</f>
        <v/>
      </c>
      <c r="AB5064" t="str">
        <f>IF(Z5064="","",IFERROR(LOOKUP(2,1/(#REF!=Z5064),#REF!),""))</f>
        <v/>
      </c>
      <c r="AC5064" t="str">
        <f>IF(Z5064="","",COUNTIF(#REF!,Z5064))</f>
        <v/>
      </c>
      <c r="AD5064" t="str">
        <f>IF(A5064="","",IF(AC5064&gt;1,"REVISAR DUPLICADO",IF(AA5064&lt;&gt;"","ACTUALIZADO POR EYR","SIN REPORTE EYR")))</f>
        <v/>
      </c>
    </row>
    <row r="5065" spans="11:30" x14ac:dyDescent="0.3">
      <c r="K5065" s="1" t="str">
        <f ca="1">IF(A5065="","",IF(OR(L5065="ENTREGADA",L5065="RETORNADA",L5065="ENTREGA DIGITAL"),0,MAX(0,5-NETWORKDAYS(H5065+1,TODAY()))))</f>
        <v/>
      </c>
      <c r="L5065" t="str">
        <f>IF(A5065="","",IFERROR(LOOKUP(2,1/(#REF!=Z5065),#REF!),Y5065))</f>
        <v/>
      </c>
      <c r="Z5065" t="str">
        <f>IF(A5065="","",TEXT(A5065,"0")&amp;"|"&amp;TEXT(H5065,"0"))</f>
        <v/>
      </c>
      <c r="AA5065" t="str">
        <f>IF(Z5065="","",IFERROR(LOOKUP(2,1/(#REF!=Z5065),#REF!),""))</f>
        <v/>
      </c>
      <c r="AB5065" t="str">
        <f>IF(Z5065="","",IFERROR(LOOKUP(2,1/(#REF!=Z5065),#REF!),""))</f>
        <v/>
      </c>
      <c r="AC5065" t="str">
        <f>IF(Z5065="","",COUNTIF(#REF!,Z5065))</f>
        <v/>
      </c>
      <c r="AD5065" t="str">
        <f>IF(A5065="","",IF(AC5065&gt;1,"REVISAR DUPLICADO",IF(AA5065&lt;&gt;"","ACTUALIZADO POR EYR","SIN REPORTE EYR")))</f>
        <v/>
      </c>
    </row>
    <row r="5066" spans="11:30" x14ac:dyDescent="0.3">
      <c r="K5066" s="1" t="str">
        <f ca="1">IF(A5066="","",IF(OR(L5066="ENTREGADA",L5066="RETORNADA",L5066="ENTREGA DIGITAL"),0,MAX(0,5-NETWORKDAYS(H5066+1,TODAY()))))</f>
        <v/>
      </c>
      <c r="L5066" t="str">
        <f>IF(A5066="","",IFERROR(LOOKUP(2,1/(#REF!=Z5066),#REF!),Y5066))</f>
        <v/>
      </c>
      <c r="Z5066" t="str">
        <f>IF(A5066="","",TEXT(A5066,"0")&amp;"|"&amp;TEXT(H5066,"0"))</f>
        <v/>
      </c>
      <c r="AA5066" t="str">
        <f>IF(Z5066="","",IFERROR(LOOKUP(2,1/(#REF!=Z5066),#REF!),""))</f>
        <v/>
      </c>
      <c r="AB5066" t="str">
        <f>IF(Z5066="","",IFERROR(LOOKUP(2,1/(#REF!=Z5066),#REF!),""))</f>
        <v/>
      </c>
      <c r="AC5066" t="str">
        <f>IF(Z5066="","",COUNTIF(#REF!,Z5066))</f>
        <v/>
      </c>
      <c r="AD5066" t="str">
        <f>IF(A5066="","",IF(AC5066&gt;1,"REVISAR DUPLICADO",IF(AA5066&lt;&gt;"","ACTUALIZADO POR EYR","SIN REPORTE EYR")))</f>
        <v/>
      </c>
    </row>
    <row r="5067" spans="11:30" x14ac:dyDescent="0.3">
      <c r="K5067" s="1" t="str">
        <f ca="1">IF(A5067="","",IF(OR(L5067="ENTREGADA",L5067="RETORNADA",L5067="ENTREGA DIGITAL"),0,MAX(0,5-NETWORKDAYS(H5067+1,TODAY()))))</f>
        <v/>
      </c>
      <c r="L5067" t="str">
        <f>IF(A5067="","",IFERROR(LOOKUP(2,1/(#REF!=Z5067),#REF!),Y5067))</f>
        <v/>
      </c>
      <c r="Z5067" t="str">
        <f>IF(A5067="","",TEXT(A5067,"0")&amp;"|"&amp;TEXT(H5067,"0"))</f>
        <v/>
      </c>
      <c r="AA5067" t="str">
        <f>IF(Z5067="","",IFERROR(LOOKUP(2,1/(#REF!=Z5067),#REF!),""))</f>
        <v/>
      </c>
      <c r="AB5067" t="str">
        <f>IF(Z5067="","",IFERROR(LOOKUP(2,1/(#REF!=Z5067),#REF!),""))</f>
        <v/>
      </c>
      <c r="AC5067" t="str">
        <f>IF(Z5067="","",COUNTIF(#REF!,Z5067))</f>
        <v/>
      </c>
      <c r="AD5067" t="str">
        <f>IF(A5067="","",IF(AC5067&gt;1,"REVISAR DUPLICADO",IF(AA5067&lt;&gt;"","ACTUALIZADO POR EYR","SIN REPORTE EYR")))</f>
        <v/>
      </c>
    </row>
    <row r="5068" spans="11:30" x14ac:dyDescent="0.3">
      <c r="K5068" s="1" t="str">
        <f ca="1">IF(A5068="","",IF(OR(L5068="ENTREGADA",L5068="RETORNADA",L5068="ENTREGA DIGITAL"),0,MAX(0,5-NETWORKDAYS(H5068+1,TODAY()))))</f>
        <v/>
      </c>
      <c r="L5068" t="str">
        <f>IF(A5068="","",IFERROR(LOOKUP(2,1/(#REF!=Z5068),#REF!),Y5068))</f>
        <v/>
      </c>
      <c r="Z5068" t="str">
        <f>IF(A5068="","",TEXT(A5068,"0")&amp;"|"&amp;TEXT(H5068,"0"))</f>
        <v/>
      </c>
      <c r="AA5068" t="str">
        <f>IF(Z5068="","",IFERROR(LOOKUP(2,1/(#REF!=Z5068),#REF!),""))</f>
        <v/>
      </c>
      <c r="AB5068" t="str">
        <f>IF(Z5068="","",IFERROR(LOOKUP(2,1/(#REF!=Z5068),#REF!),""))</f>
        <v/>
      </c>
      <c r="AC5068" t="str">
        <f>IF(Z5068="","",COUNTIF(#REF!,Z5068))</f>
        <v/>
      </c>
      <c r="AD5068" t="str">
        <f>IF(A5068="","",IF(AC5068&gt;1,"REVISAR DUPLICADO",IF(AA5068&lt;&gt;"","ACTUALIZADO POR EYR","SIN REPORTE EYR")))</f>
        <v/>
      </c>
    </row>
    <row r="5069" spans="11:30" x14ac:dyDescent="0.3">
      <c r="K5069" s="1" t="str">
        <f ca="1">IF(A5069="","",IF(OR(L5069="ENTREGADA",L5069="RETORNADA",L5069="ENTREGA DIGITAL"),0,MAX(0,5-NETWORKDAYS(H5069+1,TODAY()))))</f>
        <v/>
      </c>
      <c r="L5069" t="str">
        <f>IF(A5069="","",IFERROR(LOOKUP(2,1/(#REF!=Z5069),#REF!),Y5069))</f>
        <v/>
      </c>
      <c r="Z5069" t="str">
        <f>IF(A5069="","",TEXT(A5069,"0")&amp;"|"&amp;TEXT(H5069,"0"))</f>
        <v/>
      </c>
      <c r="AA5069" t="str">
        <f>IF(Z5069="","",IFERROR(LOOKUP(2,1/(#REF!=Z5069),#REF!),""))</f>
        <v/>
      </c>
      <c r="AB5069" t="str">
        <f>IF(Z5069="","",IFERROR(LOOKUP(2,1/(#REF!=Z5069),#REF!),""))</f>
        <v/>
      </c>
      <c r="AC5069" t="str">
        <f>IF(Z5069="","",COUNTIF(#REF!,Z5069))</f>
        <v/>
      </c>
      <c r="AD5069" t="str">
        <f>IF(A5069="","",IF(AC5069&gt;1,"REVISAR DUPLICADO",IF(AA5069&lt;&gt;"","ACTUALIZADO POR EYR","SIN REPORTE EYR")))</f>
        <v/>
      </c>
    </row>
    <row r="5070" spans="11:30" x14ac:dyDescent="0.3">
      <c r="K5070" s="1" t="str">
        <f ca="1">IF(A5070="","",IF(OR(L5070="ENTREGADA",L5070="RETORNADA",L5070="ENTREGA DIGITAL"),0,MAX(0,5-NETWORKDAYS(H5070+1,TODAY()))))</f>
        <v/>
      </c>
      <c r="L5070" t="str">
        <f>IF(A5070="","",IFERROR(LOOKUP(2,1/(#REF!=Z5070),#REF!),Y5070))</f>
        <v/>
      </c>
      <c r="Z5070" t="str">
        <f>IF(A5070="","",TEXT(A5070,"0")&amp;"|"&amp;TEXT(H5070,"0"))</f>
        <v/>
      </c>
      <c r="AA5070" t="str">
        <f>IF(Z5070="","",IFERROR(LOOKUP(2,1/(#REF!=Z5070),#REF!),""))</f>
        <v/>
      </c>
      <c r="AB5070" t="str">
        <f>IF(Z5070="","",IFERROR(LOOKUP(2,1/(#REF!=Z5070),#REF!),""))</f>
        <v/>
      </c>
      <c r="AC5070" t="str">
        <f>IF(Z5070="","",COUNTIF(#REF!,Z5070))</f>
        <v/>
      </c>
      <c r="AD5070" t="str">
        <f>IF(A5070="","",IF(AC5070&gt;1,"REVISAR DUPLICADO",IF(AA5070&lt;&gt;"","ACTUALIZADO POR EYR","SIN REPORTE EYR")))</f>
        <v/>
      </c>
    </row>
    <row r="5071" spans="11:30" x14ac:dyDescent="0.3">
      <c r="K5071" s="1" t="str">
        <f ca="1">IF(A5071="","",IF(OR(L5071="ENTREGADA",L5071="RETORNADA",L5071="ENTREGA DIGITAL"),0,MAX(0,5-NETWORKDAYS(H5071+1,TODAY()))))</f>
        <v/>
      </c>
      <c r="L5071" t="str">
        <f>IF(A5071="","",IFERROR(LOOKUP(2,1/(#REF!=Z5071),#REF!),Y5071))</f>
        <v/>
      </c>
      <c r="Z5071" t="str">
        <f>IF(A5071="","",TEXT(A5071,"0")&amp;"|"&amp;TEXT(H5071,"0"))</f>
        <v/>
      </c>
      <c r="AA5071" t="str">
        <f>IF(Z5071="","",IFERROR(LOOKUP(2,1/(#REF!=Z5071),#REF!),""))</f>
        <v/>
      </c>
      <c r="AB5071" t="str">
        <f>IF(Z5071="","",IFERROR(LOOKUP(2,1/(#REF!=Z5071),#REF!),""))</f>
        <v/>
      </c>
      <c r="AC5071" t="str">
        <f>IF(Z5071="","",COUNTIF(#REF!,Z5071))</f>
        <v/>
      </c>
      <c r="AD5071" t="str">
        <f>IF(A5071="","",IF(AC5071&gt;1,"REVISAR DUPLICADO",IF(AA5071&lt;&gt;"","ACTUALIZADO POR EYR","SIN REPORTE EYR")))</f>
        <v/>
      </c>
    </row>
    <row r="5072" spans="11:30" x14ac:dyDescent="0.3">
      <c r="K5072" s="1" t="str">
        <f ca="1">IF(A5072="","",IF(OR(L5072="ENTREGADA",L5072="RETORNADA",L5072="ENTREGA DIGITAL"),0,MAX(0,5-NETWORKDAYS(H5072+1,TODAY()))))</f>
        <v/>
      </c>
      <c r="L5072" t="str">
        <f>IF(A5072="","",IFERROR(LOOKUP(2,1/(#REF!=Z5072),#REF!),Y5072))</f>
        <v/>
      </c>
      <c r="Z5072" t="str">
        <f>IF(A5072="","",TEXT(A5072,"0")&amp;"|"&amp;TEXT(H5072,"0"))</f>
        <v/>
      </c>
      <c r="AA5072" t="str">
        <f>IF(Z5072="","",IFERROR(LOOKUP(2,1/(#REF!=Z5072),#REF!),""))</f>
        <v/>
      </c>
      <c r="AB5072" t="str">
        <f>IF(Z5072="","",IFERROR(LOOKUP(2,1/(#REF!=Z5072),#REF!),""))</f>
        <v/>
      </c>
      <c r="AC5072" t="str">
        <f>IF(Z5072="","",COUNTIF(#REF!,Z5072))</f>
        <v/>
      </c>
      <c r="AD5072" t="str">
        <f>IF(A5072="","",IF(AC5072&gt;1,"REVISAR DUPLICADO",IF(AA5072&lt;&gt;"","ACTUALIZADO POR EYR","SIN REPORTE EYR")))</f>
        <v/>
      </c>
    </row>
    <row r="5073" spans="11:30" x14ac:dyDescent="0.3">
      <c r="K5073" s="1" t="str">
        <f ca="1">IF(A5073="","",IF(OR(L5073="ENTREGADA",L5073="RETORNADA",L5073="ENTREGA DIGITAL"),0,MAX(0,5-NETWORKDAYS(H5073+1,TODAY()))))</f>
        <v/>
      </c>
      <c r="L5073" t="str">
        <f>IF(A5073="","",IFERROR(LOOKUP(2,1/(#REF!=Z5073),#REF!),Y5073))</f>
        <v/>
      </c>
      <c r="Z5073" t="str">
        <f>IF(A5073="","",TEXT(A5073,"0")&amp;"|"&amp;TEXT(H5073,"0"))</f>
        <v/>
      </c>
      <c r="AA5073" t="str">
        <f>IF(Z5073="","",IFERROR(LOOKUP(2,1/(#REF!=Z5073),#REF!),""))</f>
        <v/>
      </c>
      <c r="AB5073" t="str">
        <f>IF(Z5073="","",IFERROR(LOOKUP(2,1/(#REF!=Z5073),#REF!),""))</f>
        <v/>
      </c>
      <c r="AC5073" t="str">
        <f>IF(Z5073="","",COUNTIF(#REF!,Z5073))</f>
        <v/>
      </c>
      <c r="AD5073" t="str">
        <f>IF(A5073="","",IF(AC5073&gt;1,"REVISAR DUPLICADO",IF(AA5073&lt;&gt;"","ACTUALIZADO POR EYR","SIN REPORTE EYR")))</f>
        <v/>
      </c>
    </row>
    <row r="5074" spans="11:30" x14ac:dyDescent="0.3">
      <c r="K5074" s="1" t="str">
        <f ca="1">IF(A5074="","",IF(OR(L5074="ENTREGADA",L5074="RETORNADA",L5074="ENTREGA DIGITAL"),0,MAX(0,5-NETWORKDAYS(H5074+1,TODAY()))))</f>
        <v/>
      </c>
      <c r="L5074" t="str">
        <f>IF(A5074="","",IFERROR(LOOKUP(2,1/(#REF!=Z5074),#REF!),Y5074))</f>
        <v/>
      </c>
      <c r="Z5074" t="str">
        <f>IF(A5074="","",TEXT(A5074,"0")&amp;"|"&amp;TEXT(H5074,"0"))</f>
        <v/>
      </c>
      <c r="AA5074" t="str">
        <f>IF(Z5074="","",IFERROR(LOOKUP(2,1/(#REF!=Z5074),#REF!),""))</f>
        <v/>
      </c>
      <c r="AB5074" t="str">
        <f>IF(Z5074="","",IFERROR(LOOKUP(2,1/(#REF!=Z5074),#REF!),""))</f>
        <v/>
      </c>
      <c r="AC5074" t="str">
        <f>IF(Z5074="","",COUNTIF(#REF!,Z5074))</f>
        <v/>
      </c>
      <c r="AD5074" t="str">
        <f>IF(A5074="","",IF(AC5074&gt;1,"REVISAR DUPLICADO",IF(AA5074&lt;&gt;"","ACTUALIZADO POR EYR","SIN REPORTE EYR")))</f>
        <v/>
      </c>
    </row>
    <row r="5075" spans="11:30" x14ac:dyDescent="0.3">
      <c r="K5075" s="1" t="str">
        <f ca="1">IF(A5075="","",IF(OR(L5075="ENTREGADA",L5075="RETORNADA",L5075="ENTREGA DIGITAL"),0,MAX(0,5-NETWORKDAYS(H5075+1,TODAY()))))</f>
        <v/>
      </c>
      <c r="L5075" t="str">
        <f>IF(A5075="","",IFERROR(LOOKUP(2,1/(#REF!=Z5075),#REF!),Y5075))</f>
        <v/>
      </c>
      <c r="Z5075" t="str">
        <f>IF(A5075="","",TEXT(A5075,"0")&amp;"|"&amp;TEXT(H5075,"0"))</f>
        <v/>
      </c>
      <c r="AA5075" t="str">
        <f>IF(Z5075="","",IFERROR(LOOKUP(2,1/(#REF!=Z5075),#REF!),""))</f>
        <v/>
      </c>
      <c r="AB5075" t="str">
        <f>IF(Z5075="","",IFERROR(LOOKUP(2,1/(#REF!=Z5075),#REF!),""))</f>
        <v/>
      </c>
      <c r="AC5075" t="str">
        <f>IF(Z5075="","",COUNTIF(#REF!,Z5075))</f>
        <v/>
      </c>
      <c r="AD5075" t="str">
        <f>IF(A5075="","",IF(AC5075&gt;1,"REVISAR DUPLICADO",IF(AA5075&lt;&gt;"","ACTUALIZADO POR EYR","SIN REPORTE EYR")))</f>
        <v/>
      </c>
    </row>
    <row r="5076" spans="11:30" x14ac:dyDescent="0.3">
      <c r="K5076" s="1" t="str">
        <f ca="1">IF(A5076="","",IF(OR(L5076="ENTREGADA",L5076="RETORNADA",L5076="ENTREGA DIGITAL"),0,MAX(0,5-NETWORKDAYS(H5076+1,TODAY()))))</f>
        <v/>
      </c>
      <c r="L5076" t="str">
        <f>IF(A5076="","",IFERROR(LOOKUP(2,1/(#REF!=Z5076),#REF!),Y5076))</f>
        <v/>
      </c>
      <c r="Z5076" t="str">
        <f>IF(A5076="","",TEXT(A5076,"0")&amp;"|"&amp;TEXT(H5076,"0"))</f>
        <v/>
      </c>
      <c r="AA5076" t="str">
        <f>IF(Z5076="","",IFERROR(LOOKUP(2,1/(#REF!=Z5076),#REF!),""))</f>
        <v/>
      </c>
      <c r="AB5076" t="str">
        <f>IF(Z5076="","",IFERROR(LOOKUP(2,1/(#REF!=Z5076),#REF!),""))</f>
        <v/>
      </c>
      <c r="AC5076" t="str">
        <f>IF(Z5076="","",COUNTIF(#REF!,Z5076))</f>
        <v/>
      </c>
      <c r="AD5076" t="str">
        <f>IF(A5076="","",IF(AC5076&gt;1,"REVISAR DUPLICADO",IF(AA5076&lt;&gt;"","ACTUALIZADO POR EYR","SIN REPORTE EYR")))</f>
        <v/>
      </c>
    </row>
    <row r="5077" spans="11:30" x14ac:dyDescent="0.3">
      <c r="K5077" s="1" t="str">
        <f ca="1">IF(A5077="","",IF(OR(L5077="ENTREGADA",L5077="RETORNADA",L5077="ENTREGA DIGITAL"),0,MAX(0,5-NETWORKDAYS(H5077+1,TODAY()))))</f>
        <v/>
      </c>
      <c r="L5077" t="str">
        <f>IF(A5077="","",IFERROR(LOOKUP(2,1/(#REF!=Z5077),#REF!),Y5077))</f>
        <v/>
      </c>
      <c r="Z5077" t="str">
        <f>IF(A5077="","",TEXT(A5077,"0")&amp;"|"&amp;TEXT(H5077,"0"))</f>
        <v/>
      </c>
      <c r="AA5077" t="str">
        <f>IF(Z5077="","",IFERROR(LOOKUP(2,1/(#REF!=Z5077),#REF!),""))</f>
        <v/>
      </c>
      <c r="AB5077" t="str">
        <f>IF(Z5077="","",IFERROR(LOOKUP(2,1/(#REF!=Z5077),#REF!),""))</f>
        <v/>
      </c>
      <c r="AC5077" t="str">
        <f>IF(Z5077="","",COUNTIF(#REF!,Z5077))</f>
        <v/>
      </c>
      <c r="AD5077" t="str">
        <f>IF(A5077="","",IF(AC5077&gt;1,"REVISAR DUPLICADO",IF(AA5077&lt;&gt;"","ACTUALIZADO POR EYR","SIN REPORTE EYR")))</f>
        <v/>
      </c>
    </row>
    <row r="5078" spans="11:30" x14ac:dyDescent="0.3">
      <c r="K5078" s="1" t="str">
        <f ca="1">IF(A5078="","",IF(OR(L5078="ENTREGADA",L5078="RETORNADA",L5078="ENTREGA DIGITAL"),0,MAX(0,5-NETWORKDAYS(H5078+1,TODAY()))))</f>
        <v/>
      </c>
      <c r="L5078" t="str">
        <f>IF(A5078="","",IFERROR(LOOKUP(2,1/(#REF!=Z5078),#REF!),Y5078))</f>
        <v/>
      </c>
      <c r="Z5078" t="str">
        <f>IF(A5078="","",TEXT(A5078,"0")&amp;"|"&amp;TEXT(H5078,"0"))</f>
        <v/>
      </c>
      <c r="AA5078" t="str">
        <f>IF(Z5078="","",IFERROR(LOOKUP(2,1/(#REF!=Z5078),#REF!),""))</f>
        <v/>
      </c>
      <c r="AB5078" t="str">
        <f>IF(Z5078="","",IFERROR(LOOKUP(2,1/(#REF!=Z5078),#REF!),""))</f>
        <v/>
      </c>
      <c r="AC5078" t="str">
        <f>IF(Z5078="","",COUNTIF(#REF!,Z5078))</f>
        <v/>
      </c>
      <c r="AD5078" t="str">
        <f>IF(A5078="","",IF(AC5078&gt;1,"REVISAR DUPLICADO",IF(AA5078&lt;&gt;"","ACTUALIZADO POR EYR","SIN REPORTE EYR")))</f>
        <v/>
      </c>
    </row>
    <row r="5079" spans="11:30" x14ac:dyDescent="0.3">
      <c r="K5079" s="1" t="str">
        <f ca="1">IF(A5079="","",IF(OR(L5079="ENTREGADA",L5079="RETORNADA",L5079="ENTREGA DIGITAL"),0,MAX(0,5-NETWORKDAYS(H5079+1,TODAY()))))</f>
        <v/>
      </c>
      <c r="L5079" t="str">
        <f>IF(A5079="","",IFERROR(LOOKUP(2,1/(#REF!=Z5079),#REF!),Y5079))</f>
        <v/>
      </c>
      <c r="Z5079" t="str">
        <f>IF(A5079="","",TEXT(A5079,"0")&amp;"|"&amp;TEXT(H5079,"0"))</f>
        <v/>
      </c>
      <c r="AA5079" t="str">
        <f>IF(Z5079="","",IFERROR(LOOKUP(2,1/(#REF!=Z5079),#REF!),""))</f>
        <v/>
      </c>
      <c r="AB5079" t="str">
        <f>IF(Z5079="","",IFERROR(LOOKUP(2,1/(#REF!=Z5079),#REF!),""))</f>
        <v/>
      </c>
      <c r="AC5079" t="str">
        <f>IF(Z5079="","",COUNTIF(#REF!,Z5079))</f>
        <v/>
      </c>
      <c r="AD5079" t="str">
        <f>IF(A5079="","",IF(AC5079&gt;1,"REVISAR DUPLICADO",IF(AA5079&lt;&gt;"","ACTUALIZADO POR EYR","SIN REPORTE EYR")))</f>
        <v/>
      </c>
    </row>
    <row r="5080" spans="11:30" x14ac:dyDescent="0.3">
      <c r="K5080" s="1" t="str">
        <f ca="1">IF(A5080="","",IF(OR(L5080="ENTREGADA",L5080="RETORNADA",L5080="ENTREGA DIGITAL"),0,MAX(0,5-NETWORKDAYS(H5080+1,TODAY()))))</f>
        <v/>
      </c>
      <c r="L5080" t="str">
        <f>IF(A5080="","",IFERROR(LOOKUP(2,1/(#REF!=Z5080),#REF!),Y5080))</f>
        <v/>
      </c>
      <c r="Z5080" t="str">
        <f>IF(A5080="","",TEXT(A5080,"0")&amp;"|"&amp;TEXT(H5080,"0"))</f>
        <v/>
      </c>
      <c r="AA5080" t="str">
        <f>IF(Z5080="","",IFERROR(LOOKUP(2,1/(#REF!=Z5080),#REF!),""))</f>
        <v/>
      </c>
      <c r="AB5080" t="str">
        <f>IF(Z5080="","",IFERROR(LOOKUP(2,1/(#REF!=Z5080),#REF!),""))</f>
        <v/>
      </c>
      <c r="AC5080" t="str">
        <f>IF(Z5080="","",COUNTIF(#REF!,Z5080))</f>
        <v/>
      </c>
      <c r="AD5080" t="str">
        <f>IF(A5080="","",IF(AC5080&gt;1,"REVISAR DUPLICADO",IF(AA5080&lt;&gt;"","ACTUALIZADO POR EYR","SIN REPORTE EYR")))</f>
        <v/>
      </c>
    </row>
    <row r="5081" spans="11:30" x14ac:dyDescent="0.3">
      <c r="K5081" s="1" t="str">
        <f ca="1">IF(A5081="","",IF(OR(L5081="ENTREGADA",L5081="RETORNADA",L5081="ENTREGA DIGITAL"),0,MAX(0,5-NETWORKDAYS(H5081+1,TODAY()))))</f>
        <v/>
      </c>
      <c r="L5081" t="str">
        <f>IF(A5081="","",IFERROR(LOOKUP(2,1/(#REF!=Z5081),#REF!),Y5081))</f>
        <v/>
      </c>
      <c r="Z5081" t="str">
        <f>IF(A5081="","",TEXT(A5081,"0")&amp;"|"&amp;TEXT(H5081,"0"))</f>
        <v/>
      </c>
      <c r="AA5081" t="str">
        <f>IF(Z5081="","",IFERROR(LOOKUP(2,1/(#REF!=Z5081),#REF!),""))</f>
        <v/>
      </c>
      <c r="AB5081" t="str">
        <f>IF(Z5081="","",IFERROR(LOOKUP(2,1/(#REF!=Z5081),#REF!),""))</f>
        <v/>
      </c>
      <c r="AC5081" t="str">
        <f>IF(Z5081="","",COUNTIF(#REF!,Z5081))</f>
        <v/>
      </c>
      <c r="AD5081" t="str">
        <f>IF(A5081="","",IF(AC5081&gt;1,"REVISAR DUPLICADO",IF(AA5081&lt;&gt;"","ACTUALIZADO POR EYR","SIN REPORTE EYR")))</f>
        <v/>
      </c>
    </row>
    <row r="5082" spans="11:30" x14ac:dyDescent="0.3">
      <c r="K5082" s="1" t="str">
        <f ca="1">IF(A5082="","",IF(OR(L5082="ENTREGADA",L5082="RETORNADA",L5082="ENTREGA DIGITAL"),0,MAX(0,5-NETWORKDAYS(H5082+1,TODAY()))))</f>
        <v/>
      </c>
      <c r="L5082" t="str">
        <f>IF(A5082="","",IFERROR(LOOKUP(2,1/(#REF!=Z5082),#REF!),Y5082))</f>
        <v/>
      </c>
      <c r="Z5082" t="str">
        <f>IF(A5082="","",TEXT(A5082,"0")&amp;"|"&amp;TEXT(H5082,"0"))</f>
        <v/>
      </c>
      <c r="AA5082" t="str">
        <f>IF(Z5082="","",IFERROR(LOOKUP(2,1/(#REF!=Z5082),#REF!),""))</f>
        <v/>
      </c>
      <c r="AB5082" t="str">
        <f>IF(Z5082="","",IFERROR(LOOKUP(2,1/(#REF!=Z5082),#REF!),""))</f>
        <v/>
      </c>
      <c r="AC5082" t="str">
        <f>IF(Z5082="","",COUNTIF(#REF!,Z5082))</f>
        <v/>
      </c>
      <c r="AD5082" t="str">
        <f>IF(A5082="","",IF(AC5082&gt;1,"REVISAR DUPLICADO",IF(AA5082&lt;&gt;"","ACTUALIZADO POR EYR","SIN REPORTE EYR")))</f>
        <v/>
      </c>
    </row>
    <row r="5083" spans="11:30" x14ac:dyDescent="0.3">
      <c r="K5083" s="1" t="str">
        <f ca="1">IF(A5083="","",IF(OR(L5083="ENTREGADA",L5083="RETORNADA",L5083="ENTREGA DIGITAL"),0,MAX(0,5-NETWORKDAYS(H5083+1,TODAY()))))</f>
        <v/>
      </c>
      <c r="L5083" t="str">
        <f>IF(A5083="","",IFERROR(LOOKUP(2,1/(#REF!=Z5083),#REF!),Y5083))</f>
        <v/>
      </c>
      <c r="Z5083" t="str">
        <f>IF(A5083="","",TEXT(A5083,"0")&amp;"|"&amp;TEXT(H5083,"0"))</f>
        <v/>
      </c>
      <c r="AA5083" t="str">
        <f>IF(Z5083="","",IFERROR(LOOKUP(2,1/(#REF!=Z5083),#REF!),""))</f>
        <v/>
      </c>
      <c r="AB5083" t="str">
        <f>IF(Z5083="","",IFERROR(LOOKUP(2,1/(#REF!=Z5083),#REF!),""))</f>
        <v/>
      </c>
      <c r="AC5083" t="str">
        <f>IF(Z5083="","",COUNTIF(#REF!,Z5083))</f>
        <v/>
      </c>
      <c r="AD5083" t="str">
        <f>IF(A5083="","",IF(AC5083&gt;1,"REVISAR DUPLICADO",IF(AA5083&lt;&gt;"","ACTUALIZADO POR EYR","SIN REPORTE EYR")))</f>
        <v/>
      </c>
    </row>
    <row r="5084" spans="11:30" x14ac:dyDescent="0.3">
      <c r="K5084" s="1" t="str">
        <f ca="1">IF(A5084="","",IF(OR(L5084="ENTREGADA",L5084="RETORNADA",L5084="ENTREGA DIGITAL"),0,MAX(0,5-NETWORKDAYS(H5084+1,TODAY()))))</f>
        <v/>
      </c>
      <c r="L5084" t="str">
        <f>IF(A5084="","",IFERROR(LOOKUP(2,1/(#REF!=Z5084),#REF!),Y5084))</f>
        <v/>
      </c>
      <c r="Z5084" t="str">
        <f>IF(A5084="","",TEXT(A5084,"0")&amp;"|"&amp;TEXT(H5084,"0"))</f>
        <v/>
      </c>
      <c r="AA5084" t="str">
        <f>IF(Z5084="","",IFERROR(LOOKUP(2,1/(#REF!=Z5084),#REF!),""))</f>
        <v/>
      </c>
      <c r="AB5084" t="str">
        <f>IF(Z5084="","",IFERROR(LOOKUP(2,1/(#REF!=Z5084),#REF!),""))</f>
        <v/>
      </c>
      <c r="AC5084" t="str">
        <f>IF(Z5084="","",COUNTIF(#REF!,Z5084))</f>
        <v/>
      </c>
      <c r="AD5084" t="str">
        <f>IF(A5084="","",IF(AC5084&gt;1,"REVISAR DUPLICADO",IF(AA5084&lt;&gt;"","ACTUALIZADO POR EYR","SIN REPORTE EYR")))</f>
        <v/>
      </c>
    </row>
    <row r="5085" spans="11:30" x14ac:dyDescent="0.3">
      <c r="K5085" s="1" t="str">
        <f ca="1">IF(A5085="","",IF(OR(L5085="ENTREGADA",L5085="RETORNADA",L5085="ENTREGA DIGITAL"),0,MAX(0,5-NETWORKDAYS(H5085+1,TODAY()))))</f>
        <v/>
      </c>
      <c r="L5085" t="str">
        <f>IF(A5085="","",IFERROR(LOOKUP(2,1/(#REF!=Z5085),#REF!),Y5085))</f>
        <v/>
      </c>
      <c r="Z5085" t="str">
        <f>IF(A5085="","",TEXT(A5085,"0")&amp;"|"&amp;TEXT(H5085,"0"))</f>
        <v/>
      </c>
      <c r="AA5085" t="str">
        <f>IF(Z5085="","",IFERROR(LOOKUP(2,1/(#REF!=Z5085),#REF!),""))</f>
        <v/>
      </c>
      <c r="AB5085" t="str">
        <f>IF(Z5085="","",IFERROR(LOOKUP(2,1/(#REF!=Z5085),#REF!),""))</f>
        <v/>
      </c>
      <c r="AC5085" t="str">
        <f>IF(Z5085="","",COUNTIF(#REF!,Z5085))</f>
        <v/>
      </c>
      <c r="AD5085" t="str">
        <f>IF(A5085="","",IF(AC5085&gt;1,"REVISAR DUPLICADO",IF(AA5085&lt;&gt;"","ACTUALIZADO POR EYR","SIN REPORTE EYR")))</f>
        <v/>
      </c>
    </row>
    <row r="5086" spans="11:30" x14ac:dyDescent="0.3">
      <c r="K5086" s="1" t="str">
        <f ca="1">IF(A5086="","",IF(OR(L5086="ENTREGADA",L5086="RETORNADA",L5086="ENTREGA DIGITAL"),0,MAX(0,5-NETWORKDAYS(H5086+1,TODAY()))))</f>
        <v/>
      </c>
      <c r="L5086" t="str">
        <f>IF(A5086="","",IFERROR(LOOKUP(2,1/(#REF!=Z5086),#REF!),Y5086))</f>
        <v/>
      </c>
      <c r="Z5086" t="str">
        <f>IF(A5086="","",TEXT(A5086,"0")&amp;"|"&amp;TEXT(H5086,"0"))</f>
        <v/>
      </c>
      <c r="AA5086" t="str">
        <f>IF(Z5086="","",IFERROR(LOOKUP(2,1/(#REF!=Z5086),#REF!),""))</f>
        <v/>
      </c>
      <c r="AB5086" t="str">
        <f>IF(Z5086="","",IFERROR(LOOKUP(2,1/(#REF!=Z5086),#REF!),""))</f>
        <v/>
      </c>
      <c r="AC5086" t="str">
        <f>IF(Z5086="","",COUNTIF(#REF!,Z5086))</f>
        <v/>
      </c>
      <c r="AD5086" t="str">
        <f>IF(A5086="","",IF(AC5086&gt;1,"REVISAR DUPLICADO",IF(AA5086&lt;&gt;"","ACTUALIZADO POR EYR","SIN REPORTE EYR")))</f>
        <v/>
      </c>
    </row>
    <row r="5087" spans="11:30" x14ac:dyDescent="0.3">
      <c r="K5087" s="1" t="str">
        <f ca="1">IF(A5087="","",IF(OR(L5087="ENTREGADA",L5087="RETORNADA",L5087="ENTREGA DIGITAL"),0,MAX(0,5-NETWORKDAYS(H5087+1,TODAY()))))</f>
        <v/>
      </c>
      <c r="L5087" t="str">
        <f>IF(A5087="","",IFERROR(LOOKUP(2,1/(#REF!=Z5087),#REF!),Y5087))</f>
        <v/>
      </c>
      <c r="Z5087" t="str">
        <f>IF(A5087="","",TEXT(A5087,"0")&amp;"|"&amp;TEXT(H5087,"0"))</f>
        <v/>
      </c>
      <c r="AA5087" t="str">
        <f>IF(Z5087="","",IFERROR(LOOKUP(2,1/(#REF!=Z5087),#REF!),""))</f>
        <v/>
      </c>
      <c r="AB5087" t="str">
        <f>IF(Z5087="","",IFERROR(LOOKUP(2,1/(#REF!=Z5087),#REF!),""))</f>
        <v/>
      </c>
      <c r="AC5087" t="str">
        <f>IF(Z5087="","",COUNTIF(#REF!,Z5087))</f>
        <v/>
      </c>
      <c r="AD5087" t="str">
        <f>IF(A5087="","",IF(AC5087&gt;1,"REVISAR DUPLICADO",IF(AA5087&lt;&gt;"","ACTUALIZADO POR EYR","SIN REPORTE EYR")))</f>
        <v/>
      </c>
    </row>
    <row r="5088" spans="11:30" x14ac:dyDescent="0.3">
      <c r="K5088" s="1" t="str">
        <f ca="1">IF(A5088="","",IF(OR(L5088="ENTREGADA",L5088="RETORNADA",L5088="ENTREGA DIGITAL"),0,MAX(0,5-NETWORKDAYS(H5088+1,TODAY()))))</f>
        <v/>
      </c>
      <c r="L5088" t="str">
        <f>IF(A5088="","",IFERROR(LOOKUP(2,1/(#REF!=Z5088),#REF!),Y5088))</f>
        <v/>
      </c>
      <c r="Z5088" t="str">
        <f>IF(A5088="","",TEXT(A5088,"0")&amp;"|"&amp;TEXT(H5088,"0"))</f>
        <v/>
      </c>
      <c r="AA5088" t="str">
        <f>IF(Z5088="","",IFERROR(LOOKUP(2,1/(#REF!=Z5088),#REF!),""))</f>
        <v/>
      </c>
      <c r="AB5088" t="str">
        <f>IF(Z5088="","",IFERROR(LOOKUP(2,1/(#REF!=Z5088),#REF!),""))</f>
        <v/>
      </c>
      <c r="AC5088" t="str">
        <f>IF(Z5088="","",COUNTIF(#REF!,Z5088))</f>
        <v/>
      </c>
      <c r="AD5088" t="str">
        <f>IF(A5088="","",IF(AC5088&gt;1,"REVISAR DUPLICADO",IF(AA5088&lt;&gt;"","ACTUALIZADO POR EYR","SIN REPORTE EYR")))</f>
        <v/>
      </c>
    </row>
    <row r="5089" spans="11:30" x14ac:dyDescent="0.3">
      <c r="K5089" s="1" t="str">
        <f ca="1">IF(A5089="","",IF(OR(L5089="ENTREGADA",L5089="RETORNADA",L5089="ENTREGA DIGITAL"),0,MAX(0,5-NETWORKDAYS(H5089+1,TODAY()))))</f>
        <v/>
      </c>
      <c r="L5089" t="str">
        <f>IF(A5089="","",IFERROR(LOOKUP(2,1/(#REF!=Z5089),#REF!),Y5089))</f>
        <v/>
      </c>
      <c r="Z5089" t="str">
        <f>IF(A5089="","",TEXT(A5089,"0")&amp;"|"&amp;TEXT(H5089,"0"))</f>
        <v/>
      </c>
      <c r="AA5089" t="str">
        <f>IF(Z5089="","",IFERROR(LOOKUP(2,1/(#REF!=Z5089),#REF!),""))</f>
        <v/>
      </c>
      <c r="AB5089" t="str">
        <f>IF(Z5089="","",IFERROR(LOOKUP(2,1/(#REF!=Z5089),#REF!),""))</f>
        <v/>
      </c>
      <c r="AC5089" t="str">
        <f>IF(Z5089="","",COUNTIF(#REF!,Z5089))</f>
        <v/>
      </c>
      <c r="AD5089" t="str">
        <f>IF(A5089="","",IF(AC5089&gt;1,"REVISAR DUPLICADO",IF(AA5089&lt;&gt;"","ACTUALIZADO POR EYR","SIN REPORTE EYR")))</f>
        <v/>
      </c>
    </row>
    <row r="5090" spans="11:30" x14ac:dyDescent="0.3">
      <c r="K5090" s="1" t="str">
        <f ca="1">IF(A5090="","",IF(OR(L5090="ENTREGADA",L5090="RETORNADA",L5090="ENTREGA DIGITAL"),0,MAX(0,5-NETWORKDAYS(H5090+1,TODAY()))))</f>
        <v/>
      </c>
      <c r="L5090" t="str">
        <f>IF(A5090="","",IFERROR(LOOKUP(2,1/(#REF!=Z5090),#REF!),Y5090))</f>
        <v/>
      </c>
      <c r="Z5090" t="str">
        <f>IF(A5090="","",TEXT(A5090,"0")&amp;"|"&amp;TEXT(H5090,"0"))</f>
        <v/>
      </c>
      <c r="AA5090" t="str">
        <f>IF(Z5090="","",IFERROR(LOOKUP(2,1/(#REF!=Z5090),#REF!),""))</f>
        <v/>
      </c>
      <c r="AB5090" t="str">
        <f>IF(Z5090="","",IFERROR(LOOKUP(2,1/(#REF!=Z5090),#REF!),""))</f>
        <v/>
      </c>
      <c r="AC5090" t="str">
        <f>IF(Z5090="","",COUNTIF(#REF!,Z5090))</f>
        <v/>
      </c>
      <c r="AD5090" t="str">
        <f>IF(A5090="","",IF(AC5090&gt;1,"REVISAR DUPLICADO",IF(AA5090&lt;&gt;"","ACTUALIZADO POR EYR","SIN REPORTE EYR")))</f>
        <v/>
      </c>
    </row>
    <row r="5091" spans="11:30" x14ac:dyDescent="0.3">
      <c r="K5091" s="1" t="str">
        <f ca="1">IF(A5091="","",IF(OR(L5091="ENTREGADA",L5091="RETORNADA",L5091="ENTREGA DIGITAL"),0,MAX(0,5-NETWORKDAYS(H5091+1,TODAY()))))</f>
        <v/>
      </c>
      <c r="L5091" t="str">
        <f>IF(A5091="","",IFERROR(LOOKUP(2,1/(#REF!=Z5091),#REF!),Y5091))</f>
        <v/>
      </c>
      <c r="Z5091" t="str">
        <f>IF(A5091="","",TEXT(A5091,"0")&amp;"|"&amp;TEXT(H5091,"0"))</f>
        <v/>
      </c>
      <c r="AA5091" t="str">
        <f>IF(Z5091="","",IFERROR(LOOKUP(2,1/(#REF!=Z5091),#REF!),""))</f>
        <v/>
      </c>
      <c r="AB5091" t="str">
        <f>IF(Z5091="","",IFERROR(LOOKUP(2,1/(#REF!=Z5091),#REF!),""))</f>
        <v/>
      </c>
      <c r="AC5091" t="str">
        <f>IF(Z5091="","",COUNTIF(#REF!,Z5091))</f>
        <v/>
      </c>
      <c r="AD5091" t="str">
        <f>IF(A5091="","",IF(AC5091&gt;1,"REVISAR DUPLICADO",IF(AA5091&lt;&gt;"","ACTUALIZADO POR EYR","SIN REPORTE EYR")))</f>
        <v/>
      </c>
    </row>
    <row r="5092" spans="11:30" x14ac:dyDescent="0.3">
      <c r="K5092" s="1" t="str">
        <f ca="1">IF(A5092="","",IF(OR(L5092="ENTREGADA",L5092="RETORNADA",L5092="ENTREGA DIGITAL"),0,MAX(0,5-NETWORKDAYS(H5092+1,TODAY()))))</f>
        <v/>
      </c>
      <c r="L5092" t="str">
        <f>IF(A5092="","",IFERROR(LOOKUP(2,1/(#REF!=Z5092),#REF!),Y5092))</f>
        <v/>
      </c>
      <c r="Z5092" t="str">
        <f>IF(A5092="","",TEXT(A5092,"0")&amp;"|"&amp;TEXT(H5092,"0"))</f>
        <v/>
      </c>
      <c r="AA5092" t="str">
        <f>IF(Z5092="","",IFERROR(LOOKUP(2,1/(#REF!=Z5092),#REF!),""))</f>
        <v/>
      </c>
      <c r="AB5092" t="str">
        <f>IF(Z5092="","",IFERROR(LOOKUP(2,1/(#REF!=Z5092),#REF!),""))</f>
        <v/>
      </c>
      <c r="AC5092" t="str">
        <f>IF(Z5092="","",COUNTIF(#REF!,Z5092))</f>
        <v/>
      </c>
      <c r="AD5092" t="str">
        <f>IF(A5092="","",IF(AC5092&gt;1,"REVISAR DUPLICADO",IF(AA5092&lt;&gt;"","ACTUALIZADO POR EYR","SIN REPORTE EYR")))</f>
        <v/>
      </c>
    </row>
    <row r="5093" spans="11:30" x14ac:dyDescent="0.3">
      <c r="K5093" s="1" t="str">
        <f ca="1">IF(A5093="","",IF(OR(L5093="ENTREGADA",L5093="RETORNADA",L5093="ENTREGA DIGITAL"),0,MAX(0,5-NETWORKDAYS(H5093+1,TODAY()))))</f>
        <v/>
      </c>
      <c r="L5093" t="str">
        <f>IF(A5093="","",IFERROR(LOOKUP(2,1/(#REF!=Z5093),#REF!),Y5093))</f>
        <v/>
      </c>
      <c r="Z5093" t="str">
        <f>IF(A5093="","",TEXT(A5093,"0")&amp;"|"&amp;TEXT(H5093,"0"))</f>
        <v/>
      </c>
      <c r="AA5093" t="str">
        <f>IF(Z5093="","",IFERROR(LOOKUP(2,1/(#REF!=Z5093),#REF!),""))</f>
        <v/>
      </c>
      <c r="AB5093" t="str">
        <f>IF(Z5093="","",IFERROR(LOOKUP(2,1/(#REF!=Z5093),#REF!),""))</f>
        <v/>
      </c>
      <c r="AC5093" t="str">
        <f>IF(Z5093="","",COUNTIF(#REF!,Z5093))</f>
        <v/>
      </c>
      <c r="AD5093" t="str">
        <f>IF(A5093="","",IF(AC5093&gt;1,"REVISAR DUPLICADO",IF(AA5093&lt;&gt;"","ACTUALIZADO POR EYR","SIN REPORTE EYR")))</f>
        <v/>
      </c>
    </row>
    <row r="5094" spans="11:30" x14ac:dyDescent="0.3">
      <c r="K5094" s="1" t="str">
        <f ca="1">IF(A5094="","",IF(OR(L5094="ENTREGADA",L5094="RETORNADA",L5094="ENTREGA DIGITAL"),0,MAX(0,5-NETWORKDAYS(H5094+1,TODAY()))))</f>
        <v/>
      </c>
      <c r="L5094" t="str">
        <f>IF(A5094="","",IFERROR(LOOKUP(2,1/(#REF!=Z5094),#REF!),Y5094))</f>
        <v/>
      </c>
      <c r="Z5094" t="str">
        <f>IF(A5094="","",TEXT(A5094,"0")&amp;"|"&amp;TEXT(H5094,"0"))</f>
        <v/>
      </c>
      <c r="AA5094" t="str">
        <f>IF(Z5094="","",IFERROR(LOOKUP(2,1/(#REF!=Z5094),#REF!),""))</f>
        <v/>
      </c>
      <c r="AB5094" t="str">
        <f>IF(Z5094="","",IFERROR(LOOKUP(2,1/(#REF!=Z5094),#REF!),""))</f>
        <v/>
      </c>
      <c r="AC5094" t="str">
        <f>IF(Z5094="","",COUNTIF(#REF!,Z5094))</f>
        <v/>
      </c>
      <c r="AD5094" t="str">
        <f>IF(A5094="","",IF(AC5094&gt;1,"REVISAR DUPLICADO",IF(AA5094&lt;&gt;"","ACTUALIZADO POR EYR","SIN REPORTE EYR")))</f>
        <v/>
      </c>
    </row>
    <row r="5095" spans="11:30" x14ac:dyDescent="0.3">
      <c r="K5095" s="1" t="str">
        <f ca="1">IF(A5095="","",IF(OR(L5095="ENTREGADA",L5095="RETORNADA",L5095="ENTREGA DIGITAL"),0,MAX(0,5-NETWORKDAYS(H5095+1,TODAY()))))</f>
        <v/>
      </c>
      <c r="L5095" t="str">
        <f>IF(A5095="","",IFERROR(LOOKUP(2,1/(#REF!=Z5095),#REF!),Y5095))</f>
        <v/>
      </c>
      <c r="Z5095" t="str">
        <f>IF(A5095="","",TEXT(A5095,"0")&amp;"|"&amp;TEXT(H5095,"0"))</f>
        <v/>
      </c>
      <c r="AA5095" t="str">
        <f>IF(Z5095="","",IFERROR(LOOKUP(2,1/(#REF!=Z5095),#REF!),""))</f>
        <v/>
      </c>
      <c r="AB5095" t="str">
        <f>IF(Z5095="","",IFERROR(LOOKUP(2,1/(#REF!=Z5095),#REF!),""))</f>
        <v/>
      </c>
      <c r="AC5095" t="str">
        <f>IF(Z5095="","",COUNTIF(#REF!,Z5095))</f>
        <v/>
      </c>
      <c r="AD5095" t="str">
        <f>IF(A5095="","",IF(AC5095&gt;1,"REVISAR DUPLICADO",IF(AA5095&lt;&gt;"","ACTUALIZADO POR EYR","SIN REPORTE EYR")))</f>
        <v/>
      </c>
    </row>
    <row r="5096" spans="11:30" x14ac:dyDescent="0.3">
      <c r="K5096" s="1" t="str">
        <f ca="1">IF(A5096="","",IF(OR(L5096="ENTREGADA",L5096="RETORNADA",L5096="ENTREGA DIGITAL"),0,MAX(0,5-NETWORKDAYS(H5096+1,TODAY()))))</f>
        <v/>
      </c>
      <c r="L5096" t="str">
        <f>IF(A5096="","",IFERROR(LOOKUP(2,1/(#REF!=Z5096),#REF!),Y5096))</f>
        <v/>
      </c>
      <c r="Z5096" t="str">
        <f>IF(A5096="","",TEXT(A5096,"0")&amp;"|"&amp;TEXT(H5096,"0"))</f>
        <v/>
      </c>
      <c r="AA5096" t="str">
        <f>IF(Z5096="","",IFERROR(LOOKUP(2,1/(#REF!=Z5096),#REF!),""))</f>
        <v/>
      </c>
      <c r="AB5096" t="str">
        <f>IF(Z5096="","",IFERROR(LOOKUP(2,1/(#REF!=Z5096),#REF!),""))</f>
        <v/>
      </c>
      <c r="AC5096" t="str">
        <f>IF(Z5096="","",COUNTIF(#REF!,Z5096))</f>
        <v/>
      </c>
      <c r="AD5096" t="str">
        <f>IF(A5096="","",IF(AC5096&gt;1,"REVISAR DUPLICADO",IF(AA5096&lt;&gt;"","ACTUALIZADO POR EYR","SIN REPORTE EYR")))</f>
        <v/>
      </c>
    </row>
    <row r="5097" spans="11:30" x14ac:dyDescent="0.3">
      <c r="K5097" s="1" t="str">
        <f ca="1">IF(A5097="","",IF(OR(L5097="ENTREGADA",L5097="RETORNADA",L5097="ENTREGA DIGITAL"),0,MAX(0,5-NETWORKDAYS(H5097+1,TODAY()))))</f>
        <v/>
      </c>
      <c r="L5097" t="str">
        <f>IF(A5097="","",IFERROR(LOOKUP(2,1/(#REF!=Z5097),#REF!),Y5097))</f>
        <v/>
      </c>
      <c r="Z5097" t="str">
        <f>IF(A5097="","",TEXT(A5097,"0")&amp;"|"&amp;TEXT(H5097,"0"))</f>
        <v/>
      </c>
      <c r="AA5097" t="str">
        <f>IF(Z5097="","",IFERROR(LOOKUP(2,1/(#REF!=Z5097),#REF!),""))</f>
        <v/>
      </c>
      <c r="AB5097" t="str">
        <f>IF(Z5097="","",IFERROR(LOOKUP(2,1/(#REF!=Z5097),#REF!),""))</f>
        <v/>
      </c>
      <c r="AC5097" t="str">
        <f>IF(Z5097="","",COUNTIF(#REF!,Z5097))</f>
        <v/>
      </c>
      <c r="AD5097" t="str">
        <f>IF(A5097="","",IF(AC5097&gt;1,"REVISAR DUPLICADO",IF(AA5097&lt;&gt;"","ACTUALIZADO POR EYR","SIN REPORTE EYR")))</f>
        <v/>
      </c>
    </row>
    <row r="5098" spans="11:30" x14ac:dyDescent="0.3">
      <c r="K5098" s="1" t="str">
        <f ca="1">IF(A5098="","",IF(OR(L5098="ENTREGADA",L5098="RETORNADA",L5098="ENTREGA DIGITAL"),0,MAX(0,5-NETWORKDAYS(H5098+1,TODAY()))))</f>
        <v/>
      </c>
      <c r="L5098" t="str">
        <f>IF(A5098="","",IFERROR(LOOKUP(2,1/(#REF!=Z5098),#REF!),Y5098))</f>
        <v/>
      </c>
      <c r="Z5098" t="str">
        <f>IF(A5098="","",TEXT(A5098,"0")&amp;"|"&amp;TEXT(H5098,"0"))</f>
        <v/>
      </c>
      <c r="AA5098" t="str">
        <f>IF(Z5098="","",IFERROR(LOOKUP(2,1/(#REF!=Z5098),#REF!),""))</f>
        <v/>
      </c>
      <c r="AB5098" t="str">
        <f>IF(Z5098="","",IFERROR(LOOKUP(2,1/(#REF!=Z5098),#REF!),""))</f>
        <v/>
      </c>
      <c r="AC5098" t="str">
        <f>IF(Z5098="","",COUNTIF(#REF!,Z5098))</f>
        <v/>
      </c>
      <c r="AD5098" t="str">
        <f>IF(A5098="","",IF(AC5098&gt;1,"REVISAR DUPLICADO",IF(AA5098&lt;&gt;"","ACTUALIZADO POR EYR","SIN REPORTE EYR")))</f>
        <v/>
      </c>
    </row>
    <row r="5099" spans="11:30" x14ac:dyDescent="0.3">
      <c r="K5099" s="1" t="str">
        <f ca="1">IF(A5099="","",IF(OR(L5099="ENTREGADA",L5099="RETORNADA",L5099="ENTREGA DIGITAL"),0,MAX(0,5-NETWORKDAYS(H5099+1,TODAY()))))</f>
        <v/>
      </c>
      <c r="L5099" t="str">
        <f>IF(A5099="","",IFERROR(LOOKUP(2,1/(#REF!=Z5099),#REF!),Y5099))</f>
        <v/>
      </c>
      <c r="Z5099" t="str">
        <f>IF(A5099="","",TEXT(A5099,"0")&amp;"|"&amp;TEXT(H5099,"0"))</f>
        <v/>
      </c>
      <c r="AA5099" t="str">
        <f>IF(Z5099="","",IFERROR(LOOKUP(2,1/(#REF!=Z5099),#REF!),""))</f>
        <v/>
      </c>
      <c r="AB5099" t="str">
        <f>IF(Z5099="","",IFERROR(LOOKUP(2,1/(#REF!=Z5099),#REF!),""))</f>
        <v/>
      </c>
      <c r="AC5099" t="str">
        <f>IF(Z5099="","",COUNTIF(#REF!,Z5099))</f>
        <v/>
      </c>
      <c r="AD5099" t="str">
        <f>IF(A5099="","",IF(AC5099&gt;1,"REVISAR DUPLICADO",IF(AA5099&lt;&gt;"","ACTUALIZADO POR EYR","SIN REPORTE EYR")))</f>
        <v/>
      </c>
    </row>
    <row r="5100" spans="11:30" x14ac:dyDescent="0.3">
      <c r="K5100" s="1" t="str">
        <f ca="1">IF(A5100="","",IF(OR(L5100="ENTREGADA",L5100="RETORNADA",L5100="ENTREGA DIGITAL"),0,MAX(0,5-NETWORKDAYS(H5100+1,TODAY()))))</f>
        <v/>
      </c>
      <c r="L5100" t="str">
        <f>IF(A5100="","",IFERROR(LOOKUP(2,1/(#REF!=Z5100),#REF!),Y5100))</f>
        <v/>
      </c>
      <c r="Z5100" t="str">
        <f>IF(A5100="","",TEXT(A5100,"0")&amp;"|"&amp;TEXT(H5100,"0"))</f>
        <v/>
      </c>
      <c r="AA5100" t="str">
        <f>IF(Z5100="","",IFERROR(LOOKUP(2,1/(#REF!=Z5100),#REF!),""))</f>
        <v/>
      </c>
      <c r="AB5100" t="str">
        <f>IF(Z5100="","",IFERROR(LOOKUP(2,1/(#REF!=Z5100),#REF!),""))</f>
        <v/>
      </c>
      <c r="AC5100" t="str">
        <f>IF(Z5100="","",COUNTIF(#REF!,Z5100))</f>
        <v/>
      </c>
      <c r="AD5100" t="str">
        <f>IF(A5100="","",IF(AC5100&gt;1,"REVISAR DUPLICADO",IF(AA5100&lt;&gt;"","ACTUALIZADO POR EYR","SIN REPORTE EYR")))</f>
        <v/>
      </c>
    </row>
    <row r="5101" spans="11:30" x14ac:dyDescent="0.3">
      <c r="K5101" s="1" t="str">
        <f ca="1">IF(A5101="","",IF(OR(L5101="ENTREGADA",L5101="RETORNADA",L5101="ENTREGA DIGITAL"),0,MAX(0,5-NETWORKDAYS(H5101+1,TODAY()))))</f>
        <v/>
      </c>
      <c r="L5101" t="str">
        <f>IF(A5101="","",IFERROR(LOOKUP(2,1/(#REF!=Z5101),#REF!),Y5101))</f>
        <v/>
      </c>
      <c r="Z5101" t="str">
        <f>IF(A5101="","",TEXT(A5101,"0")&amp;"|"&amp;TEXT(H5101,"0"))</f>
        <v/>
      </c>
      <c r="AA5101" t="str">
        <f>IF(Z5101="","",IFERROR(LOOKUP(2,1/(#REF!=Z5101),#REF!),""))</f>
        <v/>
      </c>
      <c r="AB5101" t="str">
        <f>IF(Z5101="","",IFERROR(LOOKUP(2,1/(#REF!=Z5101),#REF!),""))</f>
        <v/>
      </c>
      <c r="AC5101" t="str">
        <f>IF(Z5101="","",COUNTIF(#REF!,Z5101))</f>
        <v/>
      </c>
      <c r="AD5101" t="str">
        <f>IF(A5101="","",IF(AC5101&gt;1,"REVISAR DUPLICADO",IF(AA5101&lt;&gt;"","ACTUALIZADO POR EYR","SIN REPORTE EYR")))</f>
        <v/>
      </c>
    </row>
    <row r="5102" spans="11:30" x14ac:dyDescent="0.3">
      <c r="K5102" s="1" t="str">
        <f ca="1">IF(A5102="","",IF(OR(L5102="ENTREGADA",L5102="RETORNADA",L5102="ENTREGA DIGITAL"),0,MAX(0,5-NETWORKDAYS(H5102+1,TODAY()))))</f>
        <v/>
      </c>
      <c r="L5102" t="str">
        <f>IF(A5102="","",IFERROR(LOOKUP(2,1/(#REF!=Z5102),#REF!),Y5102))</f>
        <v/>
      </c>
      <c r="Z5102" t="str">
        <f>IF(A5102="","",TEXT(A5102,"0")&amp;"|"&amp;TEXT(H5102,"0"))</f>
        <v/>
      </c>
      <c r="AA5102" t="str">
        <f>IF(Z5102="","",IFERROR(LOOKUP(2,1/(#REF!=Z5102),#REF!),""))</f>
        <v/>
      </c>
      <c r="AB5102" t="str">
        <f>IF(Z5102="","",IFERROR(LOOKUP(2,1/(#REF!=Z5102),#REF!),""))</f>
        <v/>
      </c>
      <c r="AC5102" t="str">
        <f>IF(Z5102="","",COUNTIF(#REF!,Z5102))</f>
        <v/>
      </c>
      <c r="AD5102" t="str">
        <f>IF(A5102="","",IF(AC5102&gt;1,"REVISAR DUPLICADO",IF(AA5102&lt;&gt;"","ACTUALIZADO POR EYR","SIN REPORTE EYR")))</f>
        <v/>
      </c>
    </row>
    <row r="5103" spans="11:30" x14ac:dyDescent="0.3">
      <c r="K5103" s="1" t="str">
        <f ca="1">IF(A5103="","",IF(OR(L5103="ENTREGADA",L5103="RETORNADA",L5103="ENTREGA DIGITAL"),0,MAX(0,5-NETWORKDAYS(H5103+1,TODAY()))))</f>
        <v/>
      </c>
      <c r="L5103" t="str">
        <f>IF(A5103="","",IFERROR(LOOKUP(2,1/(#REF!=Z5103),#REF!),Y5103))</f>
        <v/>
      </c>
      <c r="Z5103" t="str">
        <f>IF(A5103="","",TEXT(A5103,"0")&amp;"|"&amp;TEXT(H5103,"0"))</f>
        <v/>
      </c>
      <c r="AA5103" t="str">
        <f>IF(Z5103="","",IFERROR(LOOKUP(2,1/(#REF!=Z5103),#REF!),""))</f>
        <v/>
      </c>
      <c r="AB5103" t="str">
        <f>IF(Z5103="","",IFERROR(LOOKUP(2,1/(#REF!=Z5103),#REF!),""))</f>
        <v/>
      </c>
      <c r="AC5103" t="str">
        <f>IF(Z5103="","",COUNTIF(#REF!,Z5103))</f>
        <v/>
      </c>
      <c r="AD5103" t="str">
        <f>IF(A5103="","",IF(AC5103&gt;1,"REVISAR DUPLICADO",IF(AA5103&lt;&gt;"","ACTUALIZADO POR EYR","SIN REPORTE EYR")))</f>
        <v/>
      </c>
    </row>
    <row r="5104" spans="11:30" x14ac:dyDescent="0.3">
      <c r="K5104" s="1" t="str">
        <f ca="1">IF(A5104="","",IF(OR(L5104="ENTREGADA",L5104="RETORNADA",L5104="ENTREGA DIGITAL"),0,MAX(0,5-NETWORKDAYS(H5104+1,TODAY()))))</f>
        <v/>
      </c>
      <c r="L5104" t="str">
        <f>IF(A5104="","",IFERROR(LOOKUP(2,1/(#REF!=Z5104),#REF!),Y5104))</f>
        <v/>
      </c>
      <c r="Z5104" t="str">
        <f>IF(A5104="","",TEXT(A5104,"0")&amp;"|"&amp;TEXT(H5104,"0"))</f>
        <v/>
      </c>
      <c r="AA5104" t="str">
        <f>IF(Z5104="","",IFERROR(LOOKUP(2,1/(#REF!=Z5104),#REF!),""))</f>
        <v/>
      </c>
      <c r="AB5104" t="str">
        <f>IF(Z5104="","",IFERROR(LOOKUP(2,1/(#REF!=Z5104),#REF!),""))</f>
        <v/>
      </c>
      <c r="AC5104" t="str">
        <f>IF(Z5104="","",COUNTIF(#REF!,Z5104))</f>
        <v/>
      </c>
      <c r="AD5104" t="str">
        <f>IF(A5104="","",IF(AC5104&gt;1,"REVISAR DUPLICADO",IF(AA5104&lt;&gt;"","ACTUALIZADO POR EYR","SIN REPORTE EYR")))</f>
        <v/>
      </c>
    </row>
    <row r="5105" spans="11:30" x14ac:dyDescent="0.3">
      <c r="K5105" s="1" t="str">
        <f ca="1">IF(A5105="","",IF(OR(L5105="ENTREGADA",L5105="RETORNADA",L5105="ENTREGA DIGITAL"),0,MAX(0,5-NETWORKDAYS(H5105+1,TODAY()))))</f>
        <v/>
      </c>
      <c r="L5105" t="str">
        <f>IF(A5105="","",IFERROR(LOOKUP(2,1/(#REF!=Z5105),#REF!),Y5105))</f>
        <v/>
      </c>
      <c r="Z5105" t="str">
        <f>IF(A5105="","",TEXT(A5105,"0")&amp;"|"&amp;TEXT(H5105,"0"))</f>
        <v/>
      </c>
      <c r="AA5105" t="str">
        <f>IF(Z5105="","",IFERROR(LOOKUP(2,1/(#REF!=Z5105),#REF!),""))</f>
        <v/>
      </c>
      <c r="AB5105" t="str">
        <f>IF(Z5105="","",IFERROR(LOOKUP(2,1/(#REF!=Z5105),#REF!),""))</f>
        <v/>
      </c>
      <c r="AC5105" t="str">
        <f>IF(Z5105="","",COUNTIF(#REF!,Z5105))</f>
        <v/>
      </c>
      <c r="AD5105" t="str">
        <f>IF(A5105="","",IF(AC5105&gt;1,"REVISAR DUPLICADO",IF(AA5105&lt;&gt;"","ACTUALIZADO POR EYR","SIN REPORTE EYR")))</f>
        <v/>
      </c>
    </row>
    <row r="5106" spans="11:30" x14ac:dyDescent="0.3">
      <c r="K5106" s="1" t="str">
        <f ca="1">IF(A5106="","",IF(OR(L5106="ENTREGADA",L5106="RETORNADA",L5106="ENTREGA DIGITAL"),0,MAX(0,5-NETWORKDAYS(H5106+1,TODAY()))))</f>
        <v/>
      </c>
      <c r="L5106" t="str">
        <f>IF(A5106="","",IFERROR(LOOKUP(2,1/(#REF!=Z5106),#REF!),Y5106))</f>
        <v/>
      </c>
      <c r="Z5106" t="str">
        <f>IF(A5106="","",TEXT(A5106,"0")&amp;"|"&amp;TEXT(H5106,"0"))</f>
        <v/>
      </c>
      <c r="AA5106" t="str">
        <f>IF(Z5106="","",IFERROR(LOOKUP(2,1/(#REF!=Z5106),#REF!),""))</f>
        <v/>
      </c>
      <c r="AB5106" t="str">
        <f>IF(Z5106="","",IFERROR(LOOKUP(2,1/(#REF!=Z5106),#REF!),""))</f>
        <v/>
      </c>
      <c r="AC5106" t="str">
        <f>IF(Z5106="","",COUNTIF(#REF!,Z5106))</f>
        <v/>
      </c>
      <c r="AD5106" t="str">
        <f>IF(A5106="","",IF(AC5106&gt;1,"REVISAR DUPLICADO",IF(AA5106&lt;&gt;"","ACTUALIZADO POR EYR","SIN REPORTE EYR")))</f>
        <v/>
      </c>
    </row>
    <row r="5107" spans="11:30" x14ac:dyDescent="0.3">
      <c r="K5107" s="1" t="str">
        <f ca="1">IF(A5107="","",IF(OR(L5107="ENTREGADA",L5107="RETORNADA",L5107="ENTREGA DIGITAL"),0,MAX(0,5-NETWORKDAYS(H5107+1,TODAY()))))</f>
        <v/>
      </c>
      <c r="L5107" t="str">
        <f>IF(A5107="","",IFERROR(LOOKUP(2,1/(#REF!=Z5107),#REF!),Y5107))</f>
        <v/>
      </c>
      <c r="Z5107" t="str">
        <f>IF(A5107="","",TEXT(A5107,"0")&amp;"|"&amp;TEXT(H5107,"0"))</f>
        <v/>
      </c>
      <c r="AA5107" t="str">
        <f>IF(Z5107="","",IFERROR(LOOKUP(2,1/(#REF!=Z5107),#REF!),""))</f>
        <v/>
      </c>
      <c r="AB5107" t="str">
        <f>IF(Z5107="","",IFERROR(LOOKUP(2,1/(#REF!=Z5107),#REF!),""))</f>
        <v/>
      </c>
      <c r="AC5107" t="str">
        <f>IF(Z5107="","",COUNTIF(#REF!,Z5107))</f>
        <v/>
      </c>
      <c r="AD5107" t="str">
        <f>IF(A5107="","",IF(AC5107&gt;1,"REVISAR DUPLICADO",IF(AA5107&lt;&gt;"","ACTUALIZADO POR EYR","SIN REPORTE EYR")))</f>
        <v/>
      </c>
    </row>
    <row r="5108" spans="11:30" x14ac:dyDescent="0.3">
      <c r="K5108" s="1" t="str">
        <f ca="1">IF(A5108="","",IF(OR(L5108="ENTREGADA",L5108="RETORNADA",L5108="ENTREGA DIGITAL"),0,MAX(0,5-NETWORKDAYS(H5108+1,TODAY()))))</f>
        <v/>
      </c>
      <c r="L5108" t="str">
        <f>IF(A5108="","",IFERROR(LOOKUP(2,1/(#REF!=Z5108),#REF!),Y5108))</f>
        <v/>
      </c>
      <c r="Z5108" t="str">
        <f>IF(A5108="","",TEXT(A5108,"0")&amp;"|"&amp;TEXT(H5108,"0"))</f>
        <v/>
      </c>
      <c r="AA5108" t="str">
        <f>IF(Z5108="","",IFERROR(LOOKUP(2,1/(#REF!=Z5108),#REF!),""))</f>
        <v/>
      </c>
      <c r="AB5108" t="str">
        <f>IF(Z5108="","",IFERROR(LOOKUP(2,1/(#REF!=Z5108),#REF!),""))</f>
        <v/>
      </c>
      <c r="AC5108" t="str">
        <f>IF(Z5108="","",COUNTIF(#REF!,Z5108))</f>
        <v/>
      </c>
      <c r="AD5108" t="str">
        <f>IF(A5108="","",IF(AC5108&gt;1,"REVISAR DUPLICADO",IF(AA5108&lt;&gt;"","ACTUALIZADO POR EYR","SIN REPORTE EYR")))</f>
        <v/>
      </c>
    </row>
    <row r="5109" spans="11:30" x14ac:dyDescent="0.3">
      <c r="K5109" s="1" t="str">
        <f ca="1">IF(A5109="","",IF(OR(L5109="ENTREGADA",L5109="RETORNADA",L5109="ENTREGA DIGITAL"),0,MAX(0,5-NETWORKDAYS(H5109+1,TODAY()))))</f>
        <v/>
      </c>
      <c r="L5109" t="str">
        <f>IF(A5109="","",IFERROR(LOOKUP(2,1/(#REF!=Z5109),#REF!),Y5109))</f>
        <v/>
      </c>
      <c r="Z5109" t="str">
        <f>IF(A5109="","",TEXT(A5109,"0")&amp;"|"&amp;TEXT(H5109,"0"))</f>
        <v/>
      </c>
      <c r="AA5109" t="str">
        <f>IF(Z5109="","",IFERROR(LOOKUP(2,1/(#REF!=Z5109),#REF!),""))</f>
        <v/>
      </c>
      <c r="AB5109" t="str">
        <f>IF(Z5109="","",IFERROR(LOOKUP(2,1/(#REF!=Z5109),#REF!),""))</f>
        <v/>
      </c>
      <c r="AC5109" t="str">
        <f>IF(Z5109="","",COUNTIF(#REF!,Z5109))</f>
        <v/>
      </c>
      <c r="AD5109" t="str">
        <f>IF(A5109="","",IF(AC5109&gt;1,"REVISAR DUPLICADO",IF(AA5109&lt;&gt;"","ACTUALIZADO POR EYR","SIN REPORTE EYR")))</f>
        <v/>
      </c>
    </row>
    <row r="5110" spans="11:30" x14ac:dyDescent="0.3">
      <c r="K5110" s="1" t="str">
        <f ca="1">IF(A5110="","",IF(OR(L5110="ENTREGADA",L5110="RETORNADA",L5110="ENTREGA DIGITAL"),0,MAX(0,5-NETWORKDAYS(H5110+1,TODAY()))))</f>
        <v/>
      </c>
      <c r="L5110" t="str">
        <f>IF(A5110="","",IFERROR(LOOKUP(2,1/(#REF!=Z5110),#REF!),Y5110))</f>
        <v/>
      </c>
      <c r="Z5110" t="str">
        <f>IF(A5110="","",TEXT(A5110,"0")&amp;"|"&amp;TEXT(H5110,"0"))</f>
        <v/>
      </c>
      <c r="AA5110" t="str">
        <f>IF(Z5110="","",IFERROR(LOOKUP(2,1/(#REF!=Z5110),#REF!),""))</f>
        <v/>
      </c>
      <c r="AB5110" t="str">
        <f>IF(Z5110="","",IFERROR(LOOKUP(2,1/(#REF!=Z5110),#REF!),""))</f>
        <v/>
      </c>
      <c r="AC5110" t="str">
        <f>IF(Z5110="","",COUNTIF(#REF!,Z5110))</f>
        <v/>
      </c>
      <c r="AD5110" t="str">
        <f>IF(A5110="","",IF(AC5110&gt;1,"REVISAR DUPLICADO",IF(AA5110&lt;&gt;"","ACTUALIZADO POR EYR","SIN REPORTE EYR")))</f>
        <v/>
      </c>
    </row>
    <row r="5111" spans="11:30" x14ac:dyDescent="0.3">
      <c r="K5111" s="1" t="str">
        <f ca="1">IF(A5111="","",IF(OR(L5111="ENTREGADA",L5111="RETORNADA",L5111="ENTREGA DIGITAL"),0,MAX(0,5-NETWORKDAYS(H5111+1,TODAY()))))</f>
        <v/>
      </c>
      <c r="L5111" t="str">
        <f>IF(A5111="","",IFERROR(LOOKUP(2,1/(#REF!=Z5111),#REF!),Y5111))</f>
        <v/>
      </c>
      <c r="Z5111" t="str">
        <f>IF(A5111="","",TEXT(A5111,"0")&amp;"|"&amp;TEXT(H5111,"0"))</f>
        <v/>
      </c>
      <c r="AA5111" t="str">
        <f>IF(Z5111="","",IFERROR(LOOKUP(2,1/(#REF!=Z5111),#REF!),""))</f>
        <v/>
      </c>
      <c r="AB5111" t="str">
        <f>IF(Z5111="","",IFERROR(LOOKUP(2,1/(#REF!=Z5111),#REF!),""))</f>
        <v/>
      </c>
      <c r="AC5111" t="str">
        <f>IF(Z5111="","",COUNTIF(#REF!,Z5111))</f>
        <v/>
      </c>
      <c r="AD5111" t="str">
        <f>IF(A5111="","",IF(AC5111&gt;1,"REVISAR DUPLICADO",IF(AA5111&lt;&gt;"","ACTUALIZADO POR EYR","SIN REPORTE EYR")))</f>
        <v/>
      </c>
    </row>
    <row r="5112" spans="11:30" x14ac:dyDescent="0.3">
      <c r="K5112" s="1" t="str">
        <f ca="1">IF(A5112="","",IF(OR(L5112="ENTREGADA",L5112="RETORNADA",L5112="ENTREGA DIGITAL"),0,MAX(0,5-NETWORKDAYS(H5112+1,TODAY()))))</f>
        <v/>
      </c>
      <c r="L5112" t="str">
        <f>IF(A5112="","",IFERROR(LOOKUP(2,1/(#REF!=Z5112),#REF!),Y5112))</f>
        <v/>
      </c>
      <c r="Z5112" t="str">
        <f>IF(A5112="","",TEXT(A5112,"0")&amp;"|"&amp;TEXT(H5112,"0"))</f>
        <v/>
      </c>
      <c r="AA5112" t="str">
        <f>IF(Z5112="","",IFERROR(LOOKUP(2,1/(#REF!=Z5112),#REF!),""))</f>
        <v/>
      </c>
      <c r="AB5112" t="str">
        <f>IF(Z5112="","",IFERROR(LOOKUP(2,1/(#REF!=Z5112),#REF!),""))</f>
        <v/>
      </c>
      <c r="AC5112" t="str">
        <f>IF(Z5112="","",COUNTIF(#REF!,Z5112))</f>
        <v/>
      </c>
      <c r="AD5112" t="str">
        <f>IF(A5112="","",IF(AC5112&gt;1,"REVISAR DUPLICADO",IF(AA5112&lt;&gt;"","ACTUALIZADO POR EYR","SIN REPORTE EYR")))</f>
        <v/>
      </c>
    </row>
    <row r="5113" spans="11:30" x14ac:dyDescent="0.3">
      <c r="K5113" s="1" t="str">
        <f ca="1">IF(A5113="","",IF(OR(L5113="ENTREGADA",L5113="RETORNADA",L5113="ENTREGA DIGITAL"),0,MAX(0,5-NETWORKDAYS(H5113+1,TODAY()))))</f>
        <v/>
      </c>
      <c r="L5113" t="str">
        <f>IF(A5113="","",IFERROR(LOOKUP(2,1/(#REF!=Z5113),#REF!),Y5113))</f>
        <v/>
      </c>
      <c r="Z5113" t="str">
        <f>IF(A5113="","",TEXT(A5113,"0")&amp;"|"&amp;TEXT(H5113,"0"))</f>
        <v/>
      </c>
      <c r="AA5113" t="str">
        <f>IF(Z5113="","",IFERROR(LOOKUP(2,1/(#REF!=Z5113),#REF!),""))</f>
        <v/>
      </c>
      <c r="AB5113" t="str">
        <f>IF(Z5113="","",IFERROR(LOOKUP(2,1/(#REF!=Z5113),#REF!),""))</f>
        <v/>
      </c>
      <c r="AC5113" t="str">
        <f>IF(Z5113="","",COUNTIF(#REF!,Z5113))</f>
        <v/>
      </c>
      <c r="AD5113" t="str">
        <f>IF(A5113="","",IF(AC5113&gt;1,"REVISAR DUPLICADO",IF(AA5113&lt;&gt;"","ACTUALIZADO POR EYR","SIN REPORTE EYR")))</f>
        <v/>
      </c>
    </row>
    <row r="5114" spans="11:30" x14ac:dyDescent="0.3">
      <c r="K5114" s="1" t="str">
        <f ca="1">IF(A5114="","",IF(OR(L5114="ENTREGADA",L5114="RETORNADA",L5114="ENTREGA DIGITAL"),0,MAX(0,5-NETWORKDAYS(H5114+1,TODAY()))))</f>
        <v/>
      </c>
      <c r="L5114" t="str">
        <f>IF(A5114="","",IFERROR(LOOKUP(2,1/(#REF!=Z5114),#REF!),Y5114))</f>
        <v/>
      </c>
      <c r="Z5114" t="str">
        <f>IF(A5114="","",TEXT(A5114,"0")&amp;"|"&amp;TEXT(H5114,"0"))</f>
        <v/>
      </c>
      <c r="AA5114" t="str">
        <f>IF(Z5114="","",IFERROR(LOOKUP(2,1/(#REF!=Z5114),#REF!),""))</f>
        <v/>
      </c>
      <c r="AB5114" t="str">
        <f>IF(Z5114="","",IFERROR(LOOKUP(2,1/(#REF!=Z5114),#REF!),""))</f>
        <v/>
      </c>
      <c r="AC5114" t="str">
        <f>IF(Z5114="","",COUNTIF(#REF!,Z5114))</f>
        <v/>
      </c>
      <c r="AD5114" t="str">
        <f>IF(A5114="","",IF(AC5114&gt;1,"REVISAR DUPLICADO",IF(AA5114&lt;&gt;"","ACTUALIZADO POR EYR","SIN REPORTE EYR")))</f>
        <v/>
      </c>
    </row>
    <row r="5115" spans="11:30" x14ac:dyDescent="0.3">
      <c r="K5115" s="1" t="str">
        <f ca="1">IF(A5115="","",IF(OR(L5115="ENTREGADA",L5115="RETORNADA",L5115="ENTREGA DIGITAL"),0,MAX(0,5-NETWORKDAYS(H5115+1,TODAY()))))</f>
        <v/>
      </c>
      <c r="L5115" t="str">
        <f>IF(A5115="","",IFERROR(LOOKUP(2,1/(#REF!=Z5115),#REF!),Y5115))</f>
        <v/>
      </c>
      <c r="Z5115" t="str">
        <f>IF(A5115="","",TEXT(A5115,"0")&amp;"|"&amp;TEXT(H5115,"0"))</f>
        <v/>
      </c>
      <c r="AA5115" t="str">
        <f>IF(Z5115="","",IFERROR(LOOKUP(2,1/(#REF!=Z5115),#REF!),""))</f>
        <v/>
      </c>
      <c r="AB5115" t="str">
        <f>IF(Z5115="","",IFERROR(LOOKUP(2,1/(#REF!=Z5115),#REF!),""))</f>
        <v/>
      </c>
      <c r="AC5115" t="str">
        <f>IF(Z5115="","",COUNTIF(#REF!,Z5115))</f>
        <v/>
      </c>
      <c r="AD5115" t="str">
        <f>IF(A5115="","",IF(AC5115&gt;1,"REVISAR DUPLICADO",IF(AA5115&lt;&gt;"","ACTUALIZADO POR EYR","SIN REPORTE EYR")))</f>
        <v/>
      </c>
    </row>
    <row r="5116" spans="11:30" x14ac:dyDescent="0.3">
      <c r="K5116" s="1" t="str">
        <f ca="1">IF(A5116="","",IF(OR(L5116="ENTREGADA",L5116="RETORNADA",L5116="ENTREGA DIGITAL"),0,MAX(0,5-NETWORKDAYS(H5116+1,TODAY()))))</f>
        <v/>
      </c>
      <c r="L5116" t="str">
        <f>IF(A5116="","",IFERROR(LOOKUP(2,1/(#REF!=Z5116),#REF!),Y5116))</f>
        <v/>
      </c>
      <c r="Z5116" t="str">
        <f>IF(A5116="","",TEXT(A5116,"0")&amp;"|"&amp;TEXT(H5116,"0"))</f>
        <v/>
      </c>
      <c r="AA5116" t="str">
        <f>IF(Z5116="","",IFERROR(LOOKUP(2,1/(#REF!=Z5116),#REF!),""))</f>
        <v/>
      </c>
      <c r="AB5116" t="str">
        <f>IF(Z5116="","",IFERROR(LOOKUP(2,1/(#REF!=Z5116),#REF!),""))</f>
        <v/>
      </c>
      <c r="AC5116" t="str">
        <f>IF(Z5116="","",COUNTIF(#REF!,Z5116))</f>
        <v/>
      </c>
      <c r="AD5116" t="str">
        <f>IF(A5116="","",IF(AC5116&gt;1,"REVISAR DUPLICADO",IF(AA5116&lt;&gt;"","ACTUALIZADO POR EYR","SIN REPORTE EYR")))</f>
        <v/>
      </c>
    </row>
    <row r="5117" spans="11:30" x14ac:dyDescent="0.3">
      <c r="K5117" s="1" t="str">
        <f ca="1">IF(A5117="","",IF(OR(L5117="ENTREGADA",L5117="RETORNADA",L5117="ENTREGA DIGITAL"),0,MAX(0,5-NETWORKDAYS(H5117+1,TODAY()))))</f>
        <v/>
      </c>
      <c r="L5117" t="str">
        <f>IF(A5117="","",IFERROR(LOOKUP(2,1/(#REF!=Z5117),#REF!),Y5117))</f>
        <v/>
      </c>
      <c r="Z5117" t="str">
        <f>IF(A5117="","",TEXT(A5117,"0")&amp;"|"&amp;TEXT(H5117,"0"))</f>
        <v/>
      </c>
      <c r="AA5117" t="str">
        <f>IF(Z5117="","",IFERROR(LOOKUP(2,1/(#REF!=Z5117),#REF!),""))</f>
        <v/>
      </c>
      <c r="AB5117" t="str">
        <f>IF(Z5117="","",IFERROR(LOOKUP(2,1/(#REF!=Z5117),#REF!),""))</f>
        <v/>
      </c>
      <c r="AC5117" t="str">
        <f>IF(Z5117="","",COUNTIF(#REF!,Z5117))</f>
        <v/>
      </c>
      <c r="AD5117" t="str">
        <f>IF(A5117="","",IF(AC5117&gt;1,"REVISAR DUPLICADO",IF(AA5117&lt;&gt;"","ACTUALIZADO POR EYR","SIN REPORTE EYR")))</f>
        <v/>
      </c>
    </row>
    <row r="5118" spans="11:30" x14ac:dyDescent="0.3">
      <c r="K5118" s="1" t="str">
        <f ca="1">IF(A5118="","",IF(OR(L5118="ENTREGADA",L5118="RETORNADA",L5118="ENTREGA DIGITAL"),0,MAX(0,5-NETWORKDAYS(H5118+1,TODAY()))))</f>
        <v/>
      </c>
      <c r="L5118" t="str">
        <f>IF(A5118="","",IFERROR(LOOKUP(2,1/(#REF!=Z5118),#REF!),Y5118))</f>
        <v/>
      </c>
      <c r="Z5118" t="str">
        <f>IF(A5118="","",TEXT(A5118,"0")&amp;"|"&amp;TEXT(H5118,"0"))</f>
        <v/>
      </c>
      <c r="AA5118" t="str">
        <f>IF(Z5118="","",IFERROR(LOOKUP(2,1/(#REF!=Z5118),#REF!),""))</f>
        <v/>
      </c>
      <c r="AB5118" t="str">
        <f>IF(Z5118="","",IFERROR(LOOKUP(2,1/(#REF!=Z5118),#REF!),""))</f>
        <v/>
      </c>
      <c r="AC5118" t="str">
        <f>IF(Z5118="","",COUNTIF(#REF!,Z5118))</f>
        <v/>
      </c>
      <c r="AD5118" t="str">
        <f>IF(A5118="","",IF(AC5118&gt;1,"REVISAR DUPLICADO",IF(AA5118&lt;&gt;"","ACTUALIZADO POR EYR","SIN REPORTE EYR")))</f>
        <v/>
      </c>
    </row>
    <row r="5119" spans="11:30" x14ac:dyDescent="0.3">
      <c r="K5119" s="1" t="str">
        <f ca="1">IF(A5119="","",IF(OR(L5119="ENTREGADA",L5119="RETORNADA",L5119="ENTREGA DIGITAL"),0,MAX(0,5-NETWORKDAYS(H5119+1,TODAY()))))</f>
        <v/>
      </c>
      <c r="L5119" t="str">
        <f>IF(A5119="","",IFERROR(LOOKUP(2,1/(#REF!=Z5119),#REF!),Y5119))</f>
        <v/>
      </c>
      <c r="Z5119" t="str">
        <f>IF(A5119="","",TEXT(A5119,"0")&amp;"|"&amp;TEXT(H5119,"0"))</f>
        <v/>
      </c>
      <c r="AA5119" t="str">
        <f>IF(Z5119="","",IFERROR(LOOKUP(2,1/(#REF!=Z5119),#REF!),""))</f>
        <v/>
      </c>
      <c r="AB5119" t="str">
        <f>IF(Z5119="","",IFERROR(LOOKUP(2,1/(#REF!=Z5119),#REF!),""))</f>
        <v/>
      </c>
      <c r="AC5119" t="str">
        <f>IF(Z5119="","",COUNTIF(#REF!,Z5119))</f>
        <v/>
      </c>
      <c r="AD5119" t="str">
        <f>IF(A5119="","",IF(AC5119&gt;1,"REVISAR DUPLICADO",IF(AA5119&lt;&gt;"","ACTUALIZADO POR EYR","SIN REPORTE EYR")))</f>
        <v/>
      </c>
    </row>
    <row r="5120" spans="11:30" x14ac:dyDescent="0.3">
      <c r="K5120" s="1" t="str">
        <f ca="1">IF(A5120="","",IF(OR(L5120="ENTREGADA",L5120="RETORNADA",L5120="ENTREGA DIGITAL"),0,MAX(0,5-NETWORKDAYS(H5120+1,TODAY()))))</f>
        <v/>
      </c>
      <c r="L5120" t="str">
        <f>IF(A5120="","",IFERROR(LOOKUP(2,1/(#REF!=Z5120),#REF!),Y5120))</f>
        <v/>
      </c>
      <c r="Z5120" t="str">
        <f>IF(A5120="","",TEXT(A5120,"0")&amp;"|"&amp;TEXT(H5120,"0"))</f>
        <v/>
      </c>
      <c r="AA5120" t="str">
        <f>IF(Z5120="","",IFERROR(LOOKUP(2,1/(#REF!=Z5120),#REF!),""))</f>
        <v/>
      </c>
      <c r="AB5120" t="str">
        <f>IF(Z5120="","",IFERROR(LOOKUP(2,1/(#REF!=Z5120),#REF!),""))</f>
        <v/>
      </c>
      <c r="AC5120" t="str">
        <f>IF(Z5120="","",COUNTIF(#REF!,Z5120))</f>
        <v/>
      </c>
      <c r="AD5120" t="str">
        <f>IF(A5120="","",IF(AC5120&gt;1,"REVISAR DUPLICADO",IF(AA5120&lt;&gt;"","ACTUALIZADO POR EYR","SIN REPORTE EYR")))</f>
        <v/>
      </c>
    </row>
    <row r="5121" spans="11:30" x14ac:dyDescent="0.3">
      <c r="K5121" s="1" t="str">
        <f ca="1">IF(A5121="","",IF(OR(L5121="ENTREGADA",L5121="RETORNADA",L5121="ENTREGA DIGITAL"),0,MAX(0,5-NETWORKDAYS(H5121+1,TODAY()))))</f>
        <v/>
      </c>
      <c r="L5121" t="str">
        <f>IF(A5121="","",IFERROR(LOOKUP(2,1/(#REF!=Z5121),#REF!),Y5121))</f>
        <v/>
      </c>
      <c r="Z5121" t="str">
        <f>IF(A5121="","",TEXT(A5121,"0")&amp;"|"&amp;TEXT(H5121,"0"))</f>
        <v/>
      </c>
      <c r="AA5121" t="str">
        <f>IF(Z5121="","",IFERROR(LOOKUP(2,1/(#REF!=Z5121),#REF!),""))</f>
        <v/>
      </c>
      <c r="AB5121" t="str">
        <f>IF(Z5121="","",IFERROR(LOOKUP(2,1/(#REF!=Z5121),#REF!),""))</f>
        <v/>
      </c>
      <c r="AC5121" t="str">
        <f>IF(Z5121="","",COUNTIF(#REF!,Z5121))</f>
        <v/>
      </c>
      <c r="AD5121" t="str">
        <f>IF(A5121="","",IF(AC5121&gt;1,"REVISAR DUPLICADO",IF(AA5121&lt;&gt;"","ACTUALIZADO POR EYR","SIN REPORTE EYR")))</f>
        <v/>
      </c>
    </row>
    <row r="5122" spans="11:30" x14ac:dyDescent="0.3">
      <c r="K5122" s="1" t="str">
        <f ca="1">IF(A5122="","",IF(OR(L5122="ENTREGADA",L5122="RETORNADA",L5122="ENTREGA DIGITAL"),0,MAX(0,5-NETWORKDAYS(H5122+1,TODAY()))))</f>
        <v/>
      </c>
      <c r="L5122" t="str">
        <f>IF(A5122="","",IFERROR(LOOKUP(2,1/(#REF!=Z5122),#REF!),Y5122))</f>
        <v/>
      </c>
      <c r="Z5122" t="str">
        <f>IF(A5122="","",TEXT(A5122,"0")&amp;"|"&amp;TEXT(H5122,"0"))</f>
        <v/>
      </c>
      <c r="AA5122" t="str">
        <f>IF(Z5122="","",IFERROR(LOOKUP(2,1/(#REF!=Z5122),#REF!),""))</f>
        <v/>
      </c>
      <c r="AB5122" t="str">
        <f>IF(Z5122="","",IFERROR(LOOKUP(2,1/(#REF!=Z5122),#REF!),""))</f>
        <v/>
      </c>
      <c r="AC5122" t="str">
        <f>IF(Z5122="","",COUNTIF(#REF!,Z5122))</f>
        <v/>
      </c>
      <c r="AD5122" t="str">
        <f>IF(A5122="","",IF(AC5122&gt;1,"REVISAR DUPLICADO",IF(AA5122&lt;&gt;"","ACTUALIZADO POR EYR","SIN REPORTE EYR")))</f>
        <v/>
      </c>
    </row>
    <row r="5123" spans="11:30" x14ac:dyDescent="0.3">
      <c r="K5123" s="1" t="str">
        <f ca="1">IF(A5123="","",IF(OR(L5123="ENTREGADA",L5123="RETORNADA",L5123="ENTREGA DIGITAL"),0,MAX(0,5-NETWORKDAYS(H5123+1,TODAY()))))</f>
        <v/>
      </c>
      <c r="L5123" t="str">
        <f>IF(A5123="","",IFERROR(LOOKUP(2,1/(#REF!=Z5123),#REF!),Y5123))</f>
        <v/>
      </c>
      <c r="Z5123" t="str">
        <f>IF(A5123="","",TEXT(A5123,"0")&amp;"|"&amp;TEXT(H5123,"0"))</f>
        <v/>
      </c>
      <c r="AA5123" t="str">
        <f>IF(Z5123="","",IFERROR(LOOKUP(2,1/(#REF!=Z5123),#REF!),""))</f>
        <v/>
      </c>
      <c r="AB5123" t="str">
        <f>IF(Z5123="","",IFERROR(LOOKUP(2,1/(#REF!=Z5123),#REF!),""))</f>
        <v/>
      </c>
      <c r="AC5123" t="str">
        <f>IF(Z5123="","",COUNTIF(#REF!,Z5123))</f>
        <v/>
      </c>
      <c r="AD5123" t="str">
        <f>IF(A5123="","",IF(AC5123&gt;1,"REVISAR DUPLICADO",IF(AA5123&lt;&gt;"","ACTUALIZADO POR EYR","SIN REPORTE EYR")))</f>
        <v/>
      </c>
    </row>
    <row r="5124" spans="11:30" x14ac:dyDescent="0.3">
      <c r="K5124" s="1" t="str">
        <f ca="1">IF(A5124="","",IF(OR(L5124="ENTREGADA",L5124="RETORNADA",L5124="ENTREGA DIGITAL"),0,MAX(0,5-NETWORKDAYS(H5124+1,TODAY()))))</f>
        <v/>
      </c>
      <c r="L5124" t="str">
        <f>IF(A5124="","",IFERROR(LOOKUP(2,1/(#REF!=Z5124),#REF!),Y5124))</f>
        <v/>
      </c>
      <c r="Z5124" t="str">
        <f>IF(A5124="","",TEXT(A5124,"0")&amp;"|"&amp;TEXT(H5124,"0"))</f>
        <v/>
      </c>
      <c r="AA5124" t="str">
        <f>IF(Z5124="","",IFERROR(LOOKUP(2,1/(#REF!=Z5124),#REF!),""))</f>
        <v/>
      </c>
      <c r="AB5124" t="str">
        <f>IF(Z5124="","",IFERROR(LOOKUP(2,1/(#REF!=Z5124),#REF!),""))</f>
        <v/>
      </c>
      <c r="AC5124" t="str">
        <f>IF(Z5124="","",COUNTIF(#REF!,Z5124))</f>
        <v/>
      </c>
      <c r="AD5124" t="str">
        <f>IF(A5124="","",IF(AC5124&gt;1,"REVISAR DUPLICADO",IF(AA5124&lt;&gt;"","ACTUALIZADO POR EYR","SIN REPORTE EYR")))</f>
        <v/>
      </c>
    </row>
    <row r="5125" spans="11:30" x14ac:dyDescent="0.3">
      <c r="K5125" s="1" t="str">
        <f ca="1">IF(A5125="","",IF(OR(L5125="ENTREGADA",L5125="RETORNADA",L5125="ENTREGA DIGITAL"),0,MAX(0,5-NETWORKDAYS(H5125+1,TODAY()))))</f>
        <v/>
      </c>
      <c r="L5125" t="str">
        <f>IF(A5125="","",IFERROR(LOOKUP(2,1/(#REF!=Z5125),#REF!),Y5125))</f>
        <v/>
      </c>
      <c r="Z5125" t="str">
        <f>IF(A5125="","",TEXT(A5125,"0")&amp;"|"&amp;TEXT(H5125,"0"))</f>
        <v/>
      </c>
      <c r="AA5125" t="str">
        <f>IF(Z5125="","",IFERROR(LOOKUP(2,1/(#REF!=Z5125),#REF!),""))</f>
        <v/>
      </c>
      <c r="AB5125" t="str">
        <f>IF(Z5125="","",IFERROR(LOOKUP(2,1/(#REF!=Z5125),#REF!),""))</f>
        <v/>
      </c>
      <c r="AC5125" t="str">
        <f>IF(Z5125="","",COUNTIF(#REF!,Z5125))</f>
        <v/>
      </c>
      <c r="AD5125" t="str">
        <f>IF(A5125="","",IF(AC5125&gt;1,"REVISAR DUPLICADO",IF(AA5125&lt;&gt;"","ACTUALIZADO POR EYR","SIN REPORTE EYR")))</f>
        <v/>
      </c>
    </row>
    <row r="5126" spans="11:30" x14ac:dyDescent="0.3">
      <c r="K5126" s="1" t="str">
        <f ca="1">IF(A5126="","",IF(OR(L5126="ENTREGADA",L5126="RETORNADA",L5126="ENTREGA DIGITAL"),0,MAX(0,5-NETWORKDAYS(H5126+1,TODAY()))))</f>
        <v/>
      </c>
      <c r="L5126" t="str">
        <f>IF(A5126="","",IFERROR(LOOKUP(2,1/(#REF!=Z5126),#REF!),Y5126))</f>
        <v/>
      </c>
      <c r="Z5126" t="str">
        <f>IF(A5126="","",TEXT(A5126,"0")&amp;"|"&amp;TEXT(H5126,"0"))</f>
        <v/>
      </c>
      <c r="AA5126" t="str">
        <f>IF(Z5126="","",IFERROR(LOOKUP(2,1/(#REF!=Z5126),#REF!),""))</f>
        <v/>
      </c>
      <c r="AB5126" t="str">
        <f>IF(Z5126="","",IFERROR(LOOKUP(2,1/(#REF!=Z5126),#REF!),""))</f>
        <v/>
      </c>
      <c r="AC5126" t="str">
        <f>IF(Z5126="","",COUNTIF(#REF!,Z5126))</f>
        <v/>
      </c>
      <c r="AD5126" t="str">
        <f>IF(A5126="","",IF(AC5126&gt;1,"REVISAR DUPLICADO",IF(AA5126&lt;&gt;"","ACTUALIZADO POR EYR","SIN REPORTE EYR")))</f>
        <v/>
      </c>
    </row>
    <row r="5127" spans="11:30" x14ac:dyDescent="0.3">
      <c r="K5127" s="1" t="str">
        <f ca="1">IF(A5127="","",IF(OR(L5127="ENTREGADA",L5127="RETORNADA",L5127="ENTREGA DIGITAL"),0,MAX(0,5-NETWORKDAYS(H5127+1,TODAY()))))</f>
        <v/>
      </c>
      <c r="L5127" t="str">
        <f>IF(A5127="","",IFERROR(LOOKUP(2,1/(#REF!=Z5127),#REF!),Y5127))</f>
        <v/>
      </c>
      <c r="Z5127" t="str">
        <f>IF(A5127="","",TEXT(A5127,"0")&amp;"|"&amp;TEXT(H5127,"0"))</f>
        <v/>
      </c>
      <c r="AA5127" t="str">
        <f>IF(Z5127="","",IFERROR(LOOKUP(2,1/(#REF!=Z5127),#REF!),""))</f>
        <v/>
      </c>
      <c r="AB5127" t="str">
        <f>IF(Z5127="","",IFERROR(LOOKUP(2,1/(#REF!=Z5127),#REF!),""))</f>
        <v/>
      </c>
      <c r="AC5127" t="str">
        <f>IF(Z5127="","",COUNTIF(#REF!,Z5127))</f>
        <v/>
      </c>
      <c r="AD5127" t="str">
        <f>IF(A5127="","",IF(AC5127&gt;1,"REVISAR DUPLICADO",IF(AA5127&lt;&gt;"","ACTUALIZADO POR EYR","SIN REPORTE EYR")))</f>
        <v/>
      </c>
    </row>
    <row r="5128" spans="11:30" x14ac:dyDescent="0.3">
      <c r="K5128" s="1" t="str">
        <f ca="1">IF(A5128="","",IF(OR(L5128="ENTREGADA",L5128="RETORNADA",L5128="ENTREGA DIGITAL"),0,MAX(0,5-NETWORKDAYS(H5128+1,TODAY()))))</f>
        <v/>
      </c>
      <c r="L5128" t="str">
        <f>IF(A5128="","",IFERROR(LOOKUP(2,1/(#REF!=Z5128),#REF!),Y5128))</f>
        <v/>
      </c>
      <c r="Z5128" t="str">
        <f>IF(A5128="","",TEXT(A5128,"0")&amp;"|"&amp;TEXT(H5128,"0"))</f>
        <v/>
      </c>
      <c r="AA5128" t="str">
        <f>IF(Z5128="","",IFERROR(LOOKUP(2,1/(#REF!=Z5128),#REF!),""))</f>
        <v/>
      </c>
      <c r="AB5128" t="str">
        <f>IF(Z5128="","",IFERROR(LOOKUP(2,1/(#REF!=Z5128),#REF!),""))</f>
        <v/>
      </c>
      <c r="AC5128" t="str">
        <f>IF(Z5128="","",COUNTIF(#REF!,Z5128))</f>
        <v/>
      </c>
      <c r="AD5128" t="str">
        <f>IF(A5128="","",IF(AC5128&gt;1,"REVISAR DUPLICADO",IF(AA5128&lt;&gt;"","ACTUALIZADO POR EYR","SIN REPORTE EYR")))</f>
        <v/>
      </c>
    </row>
    <row r="5129" spans="11:30" x14ac:dyDescent="0.3">
      <c r="K5129" s="1" t="str">
        <f ca="1">IF(A5129="","",IF(OR(L5129="ENTREGADA",L5129="RETORNADA",L5129="ENTREGA DIGITAL"),0,MAX(0,5-NETWORKDAYS(H5129+1,TODAY()))))</f>
        <v/>
      </c>
      <c r="L5129" t="str">
        <f>IF(A5129="","",IFERROR(LOOKUP(2,1/(#REF!=Z5129),#REF!),Y5129))</f>
        <v/>
      </c>
      <c r="Z5129" t="str">
        <f>IF(A5129="","",TEXT(A5129,"0")&amp;"|"&amp;TEXT(H5129,"0"))</f>
        <v/>
      </c>
      <c r="AA5129" t="str">
        <f>IF(Z5129="","",IFERROR(LOOKUP(2,1/(#REF!=Z5129),#REF!),""))</f>
        <v/>
      </c>
      <c r="AB5129" t="str">
        <f>IF(Z5129="","",IFERROR(LOOKUP(2,1/(#REF!=Z5129),#REF!),""))</f>
        <v/>
      </c>
      <c r="AC5129" t="str">
        <f>IF(Z5129="","",COUNTIF(#REF!,Z5129))</f>
        <v/>
      </c>
      <c r="AD5129" t="str">
        <f>IF(A5129="","",IF(AC5129&gt;1,"REVISAR DUPLICADO",IF(AA5129&lt;&gt;"","ACTUALIZADO POR EYR","SIN REPORTE EYR")))</f>
        <v/>
      </c>
    </row>
    <row r="5130" spans="11:30" x14ac:dyDescent="0.3">
      <c r="K5130" s="1" t="str">
        <f ca="1">IF(A5130="","",IF(OR(L5130="ENTREGADA",L5130="RETORNADA",L5130="ENTREGA DIGITAL"),0,MAX(0,5-NETWORKDAYS(H5130+1,TODAY()))))</f>
        <v/>
      </c>
      <c r="L5130" t="str">
        <f>IF(A5130="","",IFERROR(LOOKUP(2,1/(#REF!=Z5130),#REF!),Y5130))</f>
        <v/>
      </c>
      <c r="Z5130" t="str">
        <f>IF(A5130="","",TEXT(A5130,"0")&amp;"|"&amp;TEXT(H5130,"0"))</f>
        <v/>
      </c>
      <c r="AA5130" t="str">
        <f>IF(Z5130="","",IFERROR(LOOKUP(2,1/(#REF!=Z5130),#REF!),""))</f>
        <v/>
      </c>
      <c r="AB5130" t="str">
        <f>IF(Z5130="","",IFERROR(LOOKUP(2,1/(#REF!=Z5130),#REF!),""))</f>
        <v/>
      </c>
      <c r="AC5130" t="str">
        <f>IF(Z5130="","",COUNTIF(#REF!,Z5130))</f>
        <v/>
      </c>
      <c r="AD5130" t="str">
        <f>IF(A5130="","",IF(AC5130&gt;1,"REVISAR DUPLICADO",IF(AA5130&lt;&gt;"","ACTUALIZADO POR EYR","SIN REPORTE EYR")))</f>
        <v/>
      </c>
    </row>
    <row r="5131" spans="11:30" x14ac:dyDescent="0.3">
      <c r="K5131" s="1" t="str">
        <f ca="1">IF(A5131="","",IF(OR(L5131="ENTREGADA",L5131="RETORNADA",L5131="ENTREGA DIGITAL"),0,MAX(0,5-NETWORKDAYS(H5131+1,TODAY()))))</f>
        <v/>
      </c>
      <c r="L5131" t="str">
        <f>IF(A5131="","",IFERROR(LOOKUP(2,1/(#REF!=Z5131),#REF!),Y5131))</f>
        <v/>
      </c>
      <c r="Z5131" t="str">
        <f>IF(A5131="","",TEXT(A5131,"0")&amp;"|"&amp;TEXT(H5131,"0"))</f>
        <v/>
      </c>
      <c r="AA5131" t="str">
        <f>IF(Z5131="","",IFERROR(LOOKUP(2,1/(#REF!=Z5131),#REF!),""))</f>
        <v/>
      </c>
      <c r="AB5131" t="str">
        <f>IF(Z5131="","",IFERROR(LOOKUP(2,1/(#REF!=Z5131),#REF!),""))</f>
        <v/>
      </c>
      <c r="AC5131" t="str">
        <f>IF(Z5131="","",COUNTIF(#REF!,Z5131))</f>
        <v/>
      </c>
      <c r="AD5131" t="str">
        <f>IF(A5131="","",IF(AC5131&gt;1,"REVISAR DUPLICADO",IF(AA5131&lt;&gt;"","ACTUALIZADO POR EYR","SIN REPORTE EYR")))</f>
        <v/>
      </c>
    </row>
    <row r="5132" spans="11:30" x14ac:dyDescent="0.3">
      <c r="K5132" s="1" t="str">
        <f ca="1">IF(A5132="","",IF(OR(L5132="ENTREGADA",L5132="RETORNADA",L5132="ENTREGA DIGITAL"),0,MAX(0,5-NETWORKDAYS(H5132+1,TODAY()))))</f>
        <v/>
      </c>
      <c r="L5132" t="str">
        <f>IF(A5132="","",IFERROR(LOOKUP(2,1/(#REF!=Z5132),#REF!),Y5132))</f>
        <v/>
      </c>
      <c r="Z5132" t="str">
        <f>IF(A5132="","",TEXT(A5132,"0")&amp;"|"&amp;TEXT(H5132,"0"))</f>
        <v/>
      </c>
      <c r="AA5132" t="str">
        <f>IF(Z5132="","",IFERROR(LOOKUP(2,1/(#REF!=Z5132),#REF!),""))</f>
        <v/>
      </c>
      <c r="AB5132" t="str">
        <f>IF(Z5132="","",IFERROR(LOOKUP(2,1/(#REF!=Z5132),#REF!),""))</f>
        <v/>
      </c>
      <c r="AC5132" t="str">
        <f>IF(Z5132="","",COUNTIF(#REF!,Z5132))</f>
        <v/>
      </c>
      <c r="AD5132" t="str">
        <f>IF(A5132="","",IF(AC5132&gt;1,"REVISAR DUPLICADO",IF(AA5132&lt;&gt;"","ACTUALIZADO POR EYR","SIN REPORTE EYR")))</f>
        <v/>
      </c>
    </row>
    <row r="5133" spans="11:30" x14ac:dyDescent="0.3">
      <c r="K5133" s="1" t="str">
        <f ca="1">IF(A5133="","",IF(OR(L5133="ENTREGADA",L5133="RETORNADA",L5133="ENTREGA DIGITAL"),0,MAX(0,5-NETWORKDAYS(H5133+1,TODAY()))))</f>
        <v/>
      </c>
      <c r="L5133" t="str">
        <f>IF(A5133="","",IFERROR(LOOKUP(2,1/(#REF!=Z5133),#REF!),Y5133))</f>
        <v/>
      </c>
      <c r="Z5133" t="str">
        <f>IF(A5133="","",TEXT(A5133,"0")&amp;"|"&amp;TEXT(H5133,"0"))</f>
        <v/>
      </c>
      <c r="AA5133" t="str">
        <f>IF(Z5133="","",IFERROR(LOOKUP(2,1/(#REF!=Z5133),#REF!),""))</f>
        <v/>
      </c>
      <c r="AB5133" t="str">
        <f>IF(Z5133="","",IFERROR(LOOKUP(2,1/(#REF!=Z5133),#REF!),""))</f>
        <v/>
      </c>
      <c r="AC5133" t="str">
        <f>IF(Z5133="","",COUNTIF(#REF!,Z5133))</f>
        <v/>
      </c>
      <c r="AD5133" t="str">
        <f>IF(A5133="","",IF(AC5133&gt;1,"REVISAR DUPLICADO",IF(AA5133&lt;&gt;"","ACTUALIZADO POR EYR","SIN REPORTE EYR")))</f>
        <v/>
      </c>
    </row>
    <row r="5134" spans="11:30" x14ac:dyDescent="0.3">
      <c r="K5134" s="1" t="str">
        <f ca="1">IF(A5134="","",IF(OR(L5134="ENTREGADA",L5134="RETORNADA",L5134="ENTREGA DIGITAL"),0,MAX(0,5-NETWORKDAYS(H5134+1,TODAY()))))</f>
        <v/>
      </c>
      <c r="L5134" t="str">
        <f>IF(A5134="","",IFERROR(LOOKUP(2,1/(#REF!=Z5134),#REF!),Y5134))</f>
        <v/>
      </c>
      <c r="Z5134" t="str">
        <f>IF(A5134="","",TEXT(A5134,"0")&amp;"|"&amp;TEXT(H5134,"0"))</f>
        <v/>
      </c>
      <c r="AA5134" t="str">
        <f>IF(Z5134="","",IFERROR(LOOKUP(2,1/(#REF!=Z5134),#REF!),""))</f>
        <v/>
      </c>
      <c r="AB5134" t="str">
        <f>IF(Z5134="","",IFERROR(LOOKUP(2,1/(#REF!=Z5134),#REF!),""))</f>
        <v/>
      </c>
      <c r="AC5134" t="str">
        <f>IF(Z5134="","",COUNTIF(#REF!,Z5134))</f>
        <v/>
      </c>
      <c r="AD5134" t="str">
        <f>IF(A5134="","",IF(AC5134&gt;1,"REVISAR DUPLICADO",IF(AA5134&lt;&gt;"","ACTUALIZADO POR EYR","SIN REPORTE EYR")))</f>
        <v/>
      </c>
    </row>
    <row r="5135" spans="11:30" x14ac:dyDescent="0.3">
      <c r="K5135" s="1" t="str">
        <f ca="1">IF(A5135="","",IF(OR(L5135="ENTREGADA",L5135="RETORNADA",L5135="ENTREGA DIGITAL"),0,MAX(0,5-NETWORKDAYS(H5135+1,TODAY()))))</f>
        <v/>
      </c>
      <c r="L5135" t="str">
        <f>IF(A5135="","",IFERROR(LOOKUP(2,1/(#REF!=Z5135),#REF!),Y5135))</f>
        <v/>
      </c>
      <c r="Z5135" t="str">
        <f>IF(A5135="","",TEXT(A5135,"0")&amp;"|"&amp;TEXT(H5135,"0"))</f>
        <v/>
      </c>
      <c r="AA5135" t="str">
        <f>IF(Z5135="","",IFERROR(LOOKUP(2,1/(#REF!=Z5135),#REF!),""))</f>
        <v/>
      </c>
      <c r="AB5135" t="str">
        <f>IF(Z5135="","",IFERROR(LOOKUP(2,1/(#REF!=Z5135),#REF!),""))</f>
        <v/>
      </c>
      <c r="AC5135" t="str">
        <f>IF(Z5135="","",COUNTIF(#REF!,Z5135))</f>
        <v/>
      </c>
      <c r="AD5135" t="str">
        <f>IF(A5135="","",IF(AC5135&gt;1,"REVISAR DUPLICADO",IF(AA5135&lt;&gt;"","ACTUALIZADO POR EYR","SIN REPORTE EYR")))</f>
        <v/>
      </c>
    </row>
    <row r="5136" spans="11:30" x14ac:dyDescent="0.3">
      <c r="K5136" s="1" t="str">
        <f ca="1">IF(A5136="","",IF(OR(L5136="ENTREGADA",L5136="RETORNADA",L5136="ENTREGA DIGITAL"),0,MAX(0,5-NETWORKDAYS(H5136+1,TODAY()))))</f>
        <v/>
      </c>
      <c r="L5136" t="str">
        <f>IF(A5136="","",IFERROR(LOOKUP(2,1/(#REF!=Z5136),#REF!),Y5136))</f>
        <v/>
      </c>
      <c r="Z5136" t="str">
        <f>IF(A5136="","",TEXT(A5136,"0")&amp;"|"&amp;TEXT(H5136,"0"))</f>
        <v/>
      </c>
      <c r="AA5136" t="str">
        <f>IF(Z5136="","",IFERROR(LOOKUP(2,1/(#REF!=Z5136),#REF!),""))</f>
        <v/>
      </c>
      <c r="AB5136" t="str">
        <f>IF(Z5136="","",IFERROR(LOOKUP(2,1/(#REF!=Z5136),#REF!),""))</f>
        <v/>
      </c>
      <c r="AC5136" t="str">
        <f>IF(Z5136="","",COUNTIF(#REF!,Z5136))</f>
        <v/>
      </c>
      <c r="AD5136" t="str">
        <f>IF(A5136="","",IF(AC5136&gt;1,"REVISAR DUPLICADO",IF(AA5136&lt;&gt;"","ACTUALIZADO POR EYR","SIN REPORTE EYR")))</f>
        <v/>
      </c>
    </row>
    <row r="5137" spans="11:30" x14ac:dyDescent="0.3">
      <c r="K5137" s="1" t="str">
        <f ca="1">IF(A5137="","",IF(OR(L5137="ENTREGADA",L5137="RETORNADA",L5137="ENTREGA DIGITAL"),0,MAX(0,5-NETWORKDAYS(H5137+1,TODAY()))))</f>
        <v/>
      </c>
      <c r="L5137" t="str">
        <f>IF(A5137="","",IFERROR(LOOKUP(2,1/(#REF!=Z5137),#REF!),Y5137))</f>
        <v/>
      </c>
      <c r="Z5137" t="str">
        <f>IF(A5137="","",TEXT(A5137,"0")&amp;"|"&amp;TEXT(H5137,"0"))</f>
        <v/>
      </c>
      <c r="AA5137" t="str">
        <f>IF(Z5137="","",IFERROR(LOOKUP(2,1/(#REF!=Z5137),#REF!),""))</f>
        <v/>
      </c>
      <c r="AB5137" t="str">
        <f>IF(Z5137="","",IFERROR(LOOKUP(2,1/(#REF!=Z5137),#REF!),""))</f>
        <v/>
      </c>
      <c r="AC5137" t="str">
        <f>IF(Z5137="","",COUNTIF(#REF!,Z5137))</f>
        <v/>
      </c>
      <c r="AD5137" t="str">
        <f>IF(A5137="","",IF(AC5137&gt;1,"REVISAR DUPLICADO",IF(AA5137&lt;&gt;"","ACTUALIZADO POR EYR","SIN REPORTE EYR")))</f>
        <v/>
      </c>
    </row>
    <row r="5138" spans="11:30" x14ac:dyDescent="0.3">
      <c r="K5138" s="1" t="str">
        <f ca="1">IF(A5138="","",IF(OR(L5138="ENTREGADA",L5138="RETORNADA",L5138="ENTREGA DIGITAL"),0,MAX(0,5-NETWORKDAYS(H5138+1,TODAY()))))</f>
        <v/>
      </c>
      <c r="L5138" t="str">
        <f>IF(A5138="","",IFERROR(LOOKUP(2,1/(#REF!=Z5138),#REF!),Y5138))</f>
        <v/>
      </c>
      <c r="Z5138" t="str">
        <f>IF(A5138="","",TEXT(A5138,"0")&amp;"|"&amp;TEXT(H5138,"0"))</f>
        <v/>
      </c>
      <c r="AA5138" t="str">
        <f>IF(Z5138="","",IFERROR(LOOKUP(2,1/(#REF!=Z5138),#REF!),""))</f>
        <v/>
      </c>
      <c r="AB5138" t="str">
        <f>IF(Z5138="","",IFERROR(LOOKUP(2,1/(#REF!=Z5138),#REF!),""))</f>
        <v/>
      </c>
      <c r="AC5138" t="str">
        <f>IF(Z5138="","",COUNTIF(#REF!,Z5138))</f>
        <v/>
      </c>
      <c r="AD5138" t="str">
        <f>IF(A5138="","",IF(AC5138&gt;1,"REVISAR DUPLICADO",IF(AA5138&lt;&gt;"","ACTUALIZADO POR EYR","SIN REPORTE EYR")))</f>
        <v/>
      </c>
    </row>
    <row r="5139" spans="11:30" x14ac:dyDescent="0.3">
      <c r="K5139" s="1" t="str">
        <f ca="1">IF(A5139="","",IF(OR(L5139="ENTREGADA",L5139="RETORNADA",L5139="ENTREGA DIGITAL"),0,MAX(0,5-NETWORKDAYS(H5139+1,TODAY()))))</f>
        <v/>
      </c>
      <c r="L5139" t="str">
        <f>IF(A5139="","",IFERROR(LOOKUP(2,1/(#REF!=Z5139),#REF!),Y5139))</f>
        <v/>
      </c>
      <c r="Z5139" t="str">
        <f>IF(A5139="","",TEXT(A5139,"0")&amp;"|"&amp;TEXT(H5139,"0"))</f>
        <v/>
      </c>
      <c r="AA5139" t="str">
        <f>IF(Z5139="","",IFERROR(LOOKUP(2,1/(#REF!=Z5139),#REF!),""))</f>
        <v/>
      </c>
      <c r="AB5139" t="str">
        <f>IF(Z5139="","",IFERROR(LOOKUP(2,1/(#REF!=Z5139),#REF!),""))</f>
        <v/>
      </c>
      <c r="AC5139" t="str">
        <f>IF(Z5139="","",COUNTIF(#REF!,Z5139))</f>
        <v/>
      </c>
      <c r="AD5139" t="str">
        <f>IF(A5139="","",IF(AC5139&gt;1,"REVISAR DUPLICADO",IF(AA5139&lt;&gt;"","ACTUALIZADO POR EYR","SIN REPORTE EYR")))</f>
        <v/>
      </c>
    </row>
    <row r="5140" spans="11:30" x14ac:dyDescent="0.3">
      <c r="K5140" s="1" t="str">
        <f ca="1">IF(A5140="","",IF(OR(L5140="ENTREGADA",L5140="RETORNADA",L5140="ENTREGA DIGITAL"),0,MAX(0,5-NETWORKDAYS(H5140+1,TODAY()))))</f>
        <v/>
      </c>
      <c r="L5140" t="str">
        <f>IF(A5140="","",IFERROR(LOOKUP(2,1/(#REF!=Z5140),#REF!),Y5140))</f>
        <v/>
      </c>
      <c r="Z5140" t="str">
        <f>IF(A5140="","",TEXT(A5140,"0")&amp;"|"&amp;TEXT(H5140,"0"))</f>
        <v/>
      </c>
      <c r="AA5140" t="str">
        <f>IF(Z5140="","",IFERROR(LOOKUP(2,1/(#REF!=Z5140),#REF!),""))</f>
        <v/>
      </c>
      <c r="AB5140" t="str">
        <f>IF(Z5140="","",IFERROR(LOOKUP(2,1/(#REF!=Z5140),#REF!),""))</f>
        <v/>
      </c>
      <c r="AC5140" t="str">
        <f>IF(Z5140="","",COUNTIF(#REF!,Z5140))</f>
        <v/>
      </c>
      <c r="AD5140" t="str">
        <f>IF(A5140="","",IF(AC5140&gt;1,"REVISAR DUPLICADO",IF(AA5140&lt;&gt;"","ACTUALIZADO POR EYR","SIN REPORTE EYR")))</f>
        <v/>
      </c>
    </row>
    <row r="5141" spans="11:30" x14ac:dyDescent="0.3">
      <c r="K5141" s="1" t="str">
        <f ca="1">IF(A5141="","",IF(OR(L5141="ENTREGADA",L5141="RETORNADA",L5141="ENTREGA DIGITAL"),0,MAX(0,5-NETWORKDAYS(H5141+1,TODAY()))))</f>
        <v/>
      </c>
      <c r="L5141" t="str">
        <f>IF(A5141="","",IFERROR(LOOKUP(2,1/(#REF!=Z5141),#REF!),Y5141))</f>
        <v/>
      </c>
      <c r="Z5141" t="str">
        <f>IF(A5141="","",TEXT(A5141,"0")&amp;"|"&amp;TEXT(H5141,"0"))</f>
        <v/>
      </c>
      <c r="AA5141" t="str">
        <f>IF(Z5141="","",IFERROR(LOOKUP(2,1/(#REF!=Z5141),#REF!),""))</f>
        <v/>
      </c>
      <c r="AB5141" t="str">
        <f>IF(Z5141="","",IFERROR(LOOKUP(2,1/(#REF!=Z5141),#REF!),""))</f>
        <v/>
      </c>
      <c r="AC5141" t="str">
        <f>IF(Z5141="","",COUNTIF(#REF!,Z5141))</f>
        <v/>
      </c>
      <c r="AD5141" t="str">
        <f>IF(A5141="","",IF(AC5141&gt;1,"REVISAR DUPLICADO",IF(AA5141&lt;&gt;"","ACTUALIZADO POR EYR","SIN REPORTE EYR")))</f>
        <v/>
      </c>
    </row>
    <row r="5142" spans="11:30" x14ac:dyDescent="0.3">
      <c r="K5142" s="1" t="str">
        <f ca="1">IF(A5142="","",IF(OR(L5142="ENTREGADA",L5142="RETORNADA",L5142="ENTREGA DIGITAL"),0,MAX(0,5-NETWORKDAYS(H5142+1,TODAY()))))</f>
        <v/>
      </c>
      <c r="L5142" t="str">
        <f>IF(A5142="","",IFERROR(LOOKUP(2,1/(#REF!=Z5142),#REF!),Y5142))</f>
        <v/>
      </c>
      <c r="Z5142" t="str">
        <f>IF(A5142="","",TEXT(A5142,"0")&amp;"|"&amp;TEXT(H5142,"0"))</f>
        <v/>
      </c>
      <c r="AA5142" t="str">
        <f>IF(Z5142="","",IFERROR(LOOKUP(2,1/(#REF!=Z5142),#REF!),""))</f>
        <v/>
      </c>
      <c r="AB5142" t="str">
        <f>IF(Z5142="","",IFERROR(LOOKUP(2,1/(#REF!=Z5142),#REF!),""))</f>
        <v/>
      </c>
      <c r="AC5142" t="str">
        <f>IF(Z5142="","",COUNTIF(#REF!,Z5142))</f>
        <v/>
      </c>
      <c r="AD5142" t="str">
        <f>IF(A5142="","",IF(AC5142&gt;1,"REVISAR DUPLICADO",IF(AA5142&lt;&gt;"","ACTUALIZADO POR EYR","SIN REPORTE EYR")))</f>
        <v/>
      </c>
    </row>
    <row r="5143" spans="11:30" x14ac:dyDescent="0.3">
      <c r="K5143" s="1" t="str">
        <f ca="1">IF(A5143="","",IF(OR(L5143="ENTREGADA",L5143="RETORNADA",L5143="ENTREGA DIGITAL"),0,MAX(0,5-NETWORKDAYS(H5143+1,TODAY()))))</f>
        <v/>
      </c>
      <c r="L5143" t="str">
        <f>IF(A5143="","",IFERROR(LOOKUP(2,1/(#REF!=Z5143),#REF!),Y5143))</f>
        <v/>
      </c>
      <c r="Z5143" t="str">
        <f>IF(A5143="","",TEXT(A5143,"0")&amp;"|"&amp;TEXT(H5143,"0"))</f>
        <v/>
      </c>
      <c r="AA5143" t="str">
        <f>IF(Z5143="","",IFERROR(LOOKUP(2,1/(#REF!=Z5143),#REF!),""))</f>
        <v/>
      </c>
      <c r="AB5143" t="str">
        <f>IF(Z5143="","",IFERROR(LOOKUP(2,1/(#REF!=Z5143),#REF!),""))</f>
        <v/>
      </c>
      <c r="AC5143" t="str">
        <f>IF(Z5143="","",COUNTIF(#REF!,Z5143))</f>
        <v/>
      </c>
      <c r="AD5143" t="str">
        <f>IF(A5143="","",IF(AC5143&gt;1,"REVISAR DUPLICADO",IF(AA5143&lt;&gt;"","ACTUALIZADO POR EYR","SIN REPORTE EYR")))</f>
        <v/>
      </c>
    </row>
    <row r="5144" spans="11:30" x14ac:dyDescent="0.3">
      <c r="K5144" s="1" t="str">
        <f ca="1">IF(A5144="","",IF(OR(L5144="ENTREGADA",L5144="RETORNADA",L5144="ENTREGA DIGITAL"),0,MAX(0,5-NETWORKDAYS(H5144+1,TODAY()))))</f>
        <v/>
      </c>
      <c r="L5144" t="str">
        <f>IF(A5144="","",IFERROR(LOOKUP(2,1/(#REF!=Z5144),#REF!),Y5144))</f>
        <v/>
      </c>
      <c r="Z5144" t="str">
        <f>IF(A5144="","",TEXT(A5144,"0")&amp;"|"&amp;TEXT(H5144,"0"))</f>
        <v/>
      </c>
      <c r="AA5144" t="str">
        <f>IF(Z5144="","",IFERROR(LOOKUP(2,1/(#REF!=Z5144),#REF!),""))</f>
        <v/>
      </c>
      <c r="AB5144" t="str">
        <f>IF(Z5144="","",IFERROR(LOOKUP(2,1/(#REF!=Z5144),#REF!),""))</f>
        <v/>
      </c>
      <c r="AC5144" t="str">
        <f>IF(Z5144="","",COUNTIF(#REF!,Z5144))</f>
        <v/>
      </c>
      <c r="AD5144" t="str">
        <f>IF(A5144="","",IF(AC5144&gt;1,"REVISAR DUPLICADO",IF(AA5144&lt;&gt;"","ACTUALIZADO POR EYR","SIN REPORTE EYR")))</f>
        <v/>
      </c>
    </row>
    <row r="5145" spans="11:30" x14ac:dyDescent="0.3">
      <c r="K5145" s="1" t="str">
        <f ca="1">IF(A5145="","",IF(OR(L5145="ENTREGADA",L5145="RETORNADA",L5145="ENTREGA DIGITAL"),0,MAX(0,5-NETWORKDAYS(H5145+1,TODAY()))))</f>
        <v/>
      </c>
      <c r="L5145" t="str">
        <f>IF(A5145="","",IFERROR(LOOKUP(2,1/(#REF!=Z5145),#REF!),Y5145))</f>
        <v/>
      </c>
      <c r="Z5145" t="str">
        <f>IF(A5145="","",TEXT(A5145,"0")&amp;"|"&amp;TEXT(H5145,"0"))</f>
        <v/>
      </c>
      <c r="AA5145" t="str">
        <f>IF(Z5145="","",IFERROR(LOOKUP(2,1/(#REF!=Z5145),#REF!),""))</f>
        <v/>
      </c>
      <c r="AB5145" t="str">
        <f>IF(Z5145="","",IFERROR(LOOKUP(2,1/(#REF!=Z5145),#REF!),""))</f>
        <v/>
      </c>
      <c r="AC5145" t="str">
        <f>IF(Z5145="","",COUNTIF(#REF!,Z5145))</f>
        <v/>
      </c>
      <c r="AD5145" t="str">
        <f>IF(A5145="","",IF(AC5145&gt;1,"REVISAR DUPLICADO",IF(AA5145&lt;&gt;"","ACTUALIZADO POR EYR","SIN REPORTE EYR")))</f>
        <v/>
      </c>
    </row>
    <row r="5146" spans="11:30" x14ac:dyDescent="0.3">
      <c r="K5146" s="1" t="str">
        <f ca="1">IF(A5146="","",IF(OR(L5146="ENTREGADA",L5146="RETORNADA",L5146="ENTREGA DIGITAL"),0,MAX(0,5-NETWORKDAYS(H5146+1,TODAY()))))</f>
        <v/>
      </c>
      <c r="L5146" t="str">
        <f>IF(A5146="","",IFERROR(LOOKUP(2,1/(#REF!=Z5146),#REF!),Y5146))</f>
        <v/>
      </c>
      <c r="Z5146" t="str">
        <f>IF(A5146="","",TEXT(A5146,"0")&amp;"|"&amp;TEXT(H5146,"0"))</f>
        <v/>
      </c>
      <c r="AA5146" t="str">
        <f>IF(Z5146="","",IFERROR(LOOKUP(2,1/(#REF!=Z5146),#REF!),""))</f>
        <v/>
      </c>
      <c r="AB5146" t="str">
        <f>IF(Z5146="","",IFERROR(LOOKUP(2,1/(#REF!=Z5146),#REF!),""))</f>
        <v/>
      </c>
      <c r="AC5146" t="str">
        <f>IF(Z5146="","",COUNTIF(#REF!,Z5146))</f>
        <v/>
      </c>
      <c r="AD5146" t="str">
        <f>IF(A5146="","",IF(AC5146&gt;1,"REVISAR DUPLICADO",IF(AA5146&lt;&gt;"","ACTUALIZADO POR EYR","SIN REPORTE EYR")))</f>
        <v/>
      </c>
    </row>
    <row r="5147" spans="11:30" x14ac:dyDescent="0.3">
      <c r="K5147" s="1" t="str">
        <f ca="1">IF(A5147="","",IF(OR(L5147="ENTREGADA",L5147="RETORNADA",L5147="ENTREGA DIGITAL"),0,MAX(0,5-NETWORKDAYS(H5147+1,TODAY()))))</f>
        <v/>
      </c>
      <c r="L5147" t="str">
        <f>IF(A5147="","",IFERROR(LOOKUP(2,1/(#REF!=Z5147),#REF!),Y5147))</f>
        <v/>
      </c>
      <c r="Z5147" t="str">
        <f>IF(A5147="","",TEXT(A5147,"0")&amp;"|"&amp;TEXT(H5147,"0"))</f>
        <v/>
      </c>
      <c r="AA5147" t="str">
        <f>IF(Z5147="","",IFERROR(LOOKUP(2,1/(#REF!=Z5147),#REF!),""))</f>
        <v/>
      </c>
      <c r="AB5147" t="str">
        <f>IF(Z5147="","",IFERROR(LOOKUP(2,1/(#REF!=Z5147),#REF!),""))</f>
        <v/>
      </c>
      <c r="AC5147" t="str">
        <f>IF(Z5147="","",COUNTIF(#REF!,Z5147))</f>
        <v/>
      </c>
      <c r="AD5147" t="str">
        <f>IF(A5147="","",IF(AC5147&gt;1,"REVISAR DUPLICADO",IF(AA5147&lt;&gt;"","ACTUALIZADO POR EYR","SIN REPORTE EYR")))</f>
        <v/>
      </c>
    </row>
    <row r="5148" spans="11:30" x14ac:dyDescent="0.3">
      <c r="K5148" s="1" t="str">
        <f ca="1">IF(A5148="","",IF(OR(L5148="ENTREGADA",L5148="RETORNADA",L5148="ENTREGA DIGITAL"),0,MAX(0,5-NETWORKDAYS(H5148+1,TODAY()))))</f>
        <v/>
      </c>
      <c r="L5148" t="str">
        <f>IF(A5148="","",IFERROR(LOOKUP(2,1/(#REF!=Z5148),#REF!),Y5148))</f>
        <v/>
      </c>
      <c r="Z5148" t="str">
        <f>IF(A5148="","",TEXT(A5148,"0")&amp;"|"&amp;TEXT(H5148,"0"))</f>
        <v/>
      </c>
      <c r="AA5148" t="str">
        <f>IF(Z5148="","",IFERROR(LOOKUP(2,1/(#REF!=Z5148),#REF!),""))</f>
        <v/>
      </c>
      <c r="AB5148" t="str">
        <f>IF(Z5148="","",IFERROR(LOOKUP(2,1/(#REF!=Z5148),#REF!),""))</f>
        <v/>
      </c>
      <c r="AC5148" t="str">
        <f>IF(Z5148="","",COUNTIF(#REF!,Z5148))</f>
        <v/>
      </c>
      <c r="AD5148" t="str">
        <f>IF(A5148="","",IF(AC5148&gt;1,"REVISAR DUPLICADO",IF(AA5148&lt;&gt;"","ACTUALIZADO POR EYR","SIN REPORTE EYR")))</f>
        <v/>
      </c>
    </row>
    <row r="5149" spans="11:30" x14ac:dyDescent="0.3">
      <c r="K5149" s="1" t="str">
        <f ca="1">IF(A5149="","",IF(OR(L5149="ENTREGADA",L5149="RETORNADA",L5149="ENTREGA DIGITAL"),0,MAX(0,5-NETWORKDAYS(H5149+1,TODAY()))))</f>
        <v/>
      </c>
      <c r="L5149" t="str">
        <f>IF(A5149="","",IFERROR(LOOKUP(2,1/(#REF!=Z5149),#REF!),Y5149))</f>
        <v/>
      </c>
      <c r="Z5149" t="str">
        <f>IF(A5149="","",TEXT(A5149,"0")&amp;"|"&amp;TEXT(H5149,"0"))</f>
        <v/>
      </c>
      <c r="AA5149" t="str">
        <f>IF(Z5149="","",IFERROR(LOOKUP(2,1/(#REF!=Z5149),#REF!),""))</f>
        <v/>
      </c>
      <c r="AB5149" t="str">
        <f>IF(Z5149="","",IFERROR(LOOKUP(2,1/(#REF!=Z5149),#REF!),""))</f>
        <v/>
      </c>
      <c r="AC5149" t="str">
        <f>IF(Z5149="","",COUNTIF(#REF!,Z5149))</f>
        <v/>
      </c>
      <c r="AD5149" t="str">
        <f>IF(A5149="","",IF(AC5149&gt;1,"REVISAR DUPLICADO",IF(AA5149&lt;&gt;"","ACTUALIZADO POR EYR","SIN REPORTE EYR")))</f>
        <v/>
      </c>
    </row>
    <row r="5150" spans="11:30" x14ac:dyDescent="0.3">
      <c r="K5150" s="1" t="str">
        <f ca="1">IF(A5150="","",IF(OR(L5150="ENTREGADA",L5150="RETORNADA",L5150="ENTREGA DIGITAL"),0,MAX(0,5-NETWORKDAYS(H5150+1,TODAY()))))</f>
        <v/>
      </c>
      <c r="L5150" t="str">
        <f>IF(A5150="","",IFERROR(LOOKUP(2,1/(#REF!=Z5150),#REF!),Y5150))</f>
        <v/>
      </c>
      <c r="Z5150" t="str">
        <f>IF(A5150="","",TEXT(A5150,"0")&amp;"|"&amp;TEXT(H5150,"0"))</f>
        <v/>
      </c>
      <c r="AA5150" t="str">
        <f>IF(Z5150="","",IFERROR(LOOKUP(2,1/(#REF!=Z5150),#REF!),""))</f>
        <v/>
      </c>
      <c r="AB5150" t="str">
        <f>IF(Z5150="","",IFERROR(LOOKUP(2,1/(#REF!=Z5150),#REF!),""))</f>
        <v/>
      </c>
      <c r="AC5150" t="str">
        <f>IF(Z5150="","",COUNTIF(#REF!,Z5150))</f>
        <v/>
      </c>
      <c r="AD5150" t="str">
        <f>IF(A5150="","",IF(AC5150&gt;1,"REVISAR DUPLICADO",IF(AA5150&lt;&gt;"","ACTUALIZADO POR EYR","SIN REPORTE EYR")))</f>
        <v/>
      </c>
    </row>
    <row r="5151" spans="11:30" x14ac:dyDescent="0.3">
      <c r="K5151" s="1" t="str">
        <f ca="1">IF(A5151="","",IF(OR(L5151="ENTREGADA",L5151="RETORNADA",L5151="ENTREGA DIGITAL"),0,MAX(0,5-NETWORKDAYS(H5151+1,TODAY()))))</f>
        <v/>
      </c>
      <c r="L5151" t="str">
        <f>IF(A5151="","",IFERROR(LOOKUP(2,1/(#REF!=Z5151),#REF!),Y5151))</f>
        <v/>
      </c>
      <c r="Z5151" t="str">
        <f>IF(A5151="","",TEXT(A5151,"0")&amp;"|"&amp;TEXT(H5151,"0"))</f>
        <v/>
      </c>
      <c r="AA5151" t="str">
        <f>IF(Z5151="","",IFERROR(LOOKUP(2,1/(#REF!=Z5151),#REF!),""))</f>
        <v/>
      </c>
      <c r="AB5151" t="str">
        <f>IF(Z5151="","",IFERROR(LOOKUP(2,1/(#REF!=Z5151),#REF!),""))</f>
        <v/>
      </c>
      <c r="AC5151" t="str">
        <f>IF(Z5151="","",COUNTIF(#REF!,Z5151))</f>
        <v/>
      </c>
      <c r="AD5151" t="str">
        <f>IF(A5151="","",IF(AC5151&gt;1,"REVISAR DUPLICADO",IF(AA5151&lt;&gt;"","ACTUALIZADO POR EYR","SIN REPORTE EYR")))</f>
        <v/>
      </c>
    </row>
    <row r="5152" spans="11:30" x14ac:dyDescent="0.3">
      <c r="K5152" s="1" t="str">
        <f ca="1">IF(A5152="","",IF(OR(L5152="ENTREGADA",L5152="RETORNADA",L5152="ENTREGA DIGITAL"),0,MAX(0,5-NETWORKDAYS(H5152+1,TODAY()))))</f>
        <v/>
      </c>
      <c r="L5152" t="str">
        <f>IF(A5152="","",IFERROR(LOOKUP(2,1/(#REF!=Z5152),#REF!),Y5152))</f>
        <v/>
      </c>
      <c r="Z5152" t="str">
        <f>IF(A5152="","",TEXT(A5152,"0")&amp;"|"&amp;TEXT(H5152,"0"))</f>
        <v/>
      </c>
      <c r="AA5152" t="str">
        <f>IF(Z5152="","",IFERROR(LOOKUP(2,1/(#REF!=Z5152),#REF!),""))</f>
        <v/>
      </c>
      <c r="AB5152" t="str">
        <f>IF(Z5152="","",IFERROR(LOOKUP(2,1/(#REF!=Z5152),#REF!),""))</f>
        <v/>
      </c>
      <c r="AC5152" t="str">
        <f>IF(Z5152="","",COUNTIF(#REF!,Z5152))</f>
        <v/>
      </c>
      <c r="AD5152" t="str">
        <f>IF(A5152="","",IF(AC5152&gt;1,"REVISAR DUPLICADO",IF(AA5152&lt;&gt;"","ACTUALIZADO POR EYR","SIN REPORTE EYR")))</f>
        <v/>
      </c>
    </row>
    <row r="5153" spans="11:30" x14ac:dyDescent="0.3">
      <c r="K5153" s="1" t="str">
        <f ca="1">IF(A5153="","",IF(OR(L5153="ENTREGADA",L5153="RETORNADA",L5153="ENTREGA DIGITAL"),0,MAX(0,5-NETWORKDAYS(H5153+1,TODAY()))))</f>
        <v/>
      </c>
      <c r="L5153" t="str">
        <f>IF(A5153="","",IFERROR(LOOKUP(2,1/(#REF!=Z5153),#REF!),Y5153))</f>
        <v/>
      </c>
      <c r="Z5153" t="str">
        <f>IF(A5153="","",TEXT(A5153,"0")&amp;"|"&amp;TEXT(H5153,"0"))</f>
        <v/>
      </c>
      <c r="AA5153" t="str">
        <f>IF(Z5153="","",IFERROR(LOOKUP(2,1/(#REF!=Z5153),#REF!),""))</f>
        <v/>
      </c>
      <c r="AB5153" t="str">
        <f>IF(Z5153="","",IFERROR(LOOKUP(2,1/(#REF!=Z5153),#REF!),""))</f>
        <v/>
      </c>
      <c r="AC5153" t="str">
        <f>IF(Z5153="","",COUNTIF(#REF!,Z5153))</f>
        <v/>
      </c>
      <c r="AD5153" t="str">
        <f>IF(A5153="","",IF(AC5153&gt;1,"REVISAR DUPLICADO",IF(AA5153&lt;&gt;"","ACTUALIZADO POR EYR","SIN REPORTE EYR")))</f>
        <v/>
      </c>
    </row>
    <row r="5154" spans="11:30" x14ac:dyDescent="0.3">
      <c r="K5154" s="1" t="str">
        <f ca="1">IF(A5154="","",IF(OR(L5154="ENTREGADA",L5154="RETORNADA",L5154="ENTREGA DIGITAL"),0,MAX(0,5-NETWORKDAYS(H5154+1,TODAY()))))</f>
        <v/>
      </c>
      <c r="L5154" t="str">
        <f>IF(A5154="","",IFERROR(LOOKUP(2,1/(#REF!=Z5154),#REF!),Y5154))</f>
        <v/>
      </c>
      <c r="Z5154" t="str">
        <f>IF(A5154="","",TEXT(A5154,"0")&amp;"|"&amp;TEXT(H5154,"0"))</f>
        <v/>
      </c>
      <c r="AA5154" t="str">
        <f>IF(Z5154="","",IFERROR(LOOKUP(2,1/(#REF!=Z5154),#REF!),""))</f>
        <v/>
      </c>
      <c r="AB5154" t="str">
        <f>IF(Z5154="","",IFERROR(LOOKUP(2,1/(#REF!=Z5154),#REF!),""))</f>
        <v/>
      </c>
      <c r="AC5154" t="str">
        <f>IF(Z5154="","",COUNTIF(#REF!,Z5154))</f>
        <v/>
      </c>
      <c r="AD5154" t="str">
        <f>IF(A5154="","",IF(AC5154&gt;1,"REVISAR DUPLICADO",IF(AA5154&lt;&gt;"","ACTUALIZADO POR EYR","SIN REPORTE EYR")))</f>
        <v/>
      </c>
    </row>
    <row r="5155" spans="11:30" x14ac:dyDescent="0.3">
      <c r="K5155" s="1" t="str">
        <f ca="1">IF(A5155="","",IF(OR(L5155="ENTREGADA",L5155="RETORNADA",L5155="ENTREGA DIGITAL"),0,MAX(0,5-NETWORKDAYS(H5155+1,TODAY()))))</f>
        <v/>
      </c>
      <c r="L5155" t="str">
        <f>IF(A5155="","",IFERROR(LOOKUP(2,1/(#REF!=Z5155),#REF!),Y5155))</f>
        <v/>
      </c>
      <c r="Z5155" t="str">
        <f>IF(A5155="","",TEXT(A5155,"0")&amp;"|"&amp;TEXT(H5155,"0"))</f>
        <v/>
      </c>
      <c r="AA5155" t="str">
        <f>IF(Z5155="","",IFERROR(LOOKUP(2,1/(#REF!=Z5155),#REF!),""))</f>
        <v/>
      </c>
      <c r="AB5155" t="str">
        <f>IF(Z5155="","",IFERROR(LOOKUP(2,1/(#REF!=Z5155),#REF!),""))</f>
        <v/>
      </c>
      <c r="AC5155" t="str">
        <f>IF(Z5155="","",COUNTIF(#REF!,Z5155))</f>
        <v/>
      </c>
      <c r="AD5155" t="str">
        <f>IF(A5155="","",IF(AC5155&gt;1,"REVISAR DUPLICADO",IF(AA5155&lt;&gt;"","ACTUALIZADO POR EYR","SIN REPORTE EYR")))</f>
        <v/>
      </c>
    </row>
    <row r="5156" spans="11:30" x14ac:dyDescent="0.3">
      <c r="K5156" s="1" t="str">
        <f ca="1">IF(A5156="","",IF(OR(L5156="ENTREGADA",L5156="RETORNADA",L5156="ENTREGA DIGITAL"),0,MAX(0,5-NETWORKDAYS(H5156+1,TODAY()))))</f>
        <v/>
      </c>
      <c r="L5156" t="str">
        <f>IF(A5156="","",IFERROR(LOOKUP(2,1/(#REF!=Z5156),#REF!),Y5156))</f>
        <v/>
      </c>
      <c r="Z5156" t="str">
        <f>IF(A5156="","",TEXT(A5156,"0")&amp;"|"&amp;TEXT(H5156,"0"))</f>
        <v/>
      </c>
      <c r="AA5156" t="str">
        <f>IF(Z5156="","",IFERROR(LOOKUP(2,1/(#REF!=Z5156),#REF!),""))</f>
        <v/>
      </c>
      <c r="AB5156" t="str">
        <f>IF(Z5156="","",IFERROR(LOOKUP(2,1/(#REF!=Z5156),#REF!),""))</f>
        <v/>
      </c>
      <c r="AC5156" t="str">
        <f>IF(Z5156="","",COUNTIF(#REF!,Z5156))</f>
        <v/>
      </c>
      <c r="AD5156" t="str">
        <f>IF(A5156="","",IF(AC5156&gt;1,"REVISAR DUPLICADO",IF(AA5156&lt;&gt;"","ACTUALIZADO POR EYR","SIN REPORTE EYR")))</f>
        <v/>
      </c>
    </row>
    <row r="5157" spans="11:30" x14ac:dyDescent="0.3">
      <c r="K5157" s="1" t="str">
        <f ca="1">IF(A5157="","",IF(OR(L5157="ENTREGADA",L5157="RETORNADA",L5157="ENTREGA DIGITAL"),0,MAX(0,5-NETWORKDAYS(H5157+1,TODAY()))))</f>
        <v/>
      </c>
      <c r="L5157" t="str">
        <f>IF(A5157="","",IFERROR(LOOKUP(2,1/(#REF!=Z5157),#REF!),Y5157))</f>
        <v/>
      </c>
      <c r="Z5157" t="str">
        <f>IF(A5157="","",TEXT(A5157,"0")&amp;"|"&amp;TEXT(H5157,"0"))</f>
        <v/>
      </c>
      <c r="AA5157" t="str">
        <f>IF(Z5157="","",IFERROR(LOOKUP(2,1/(#REF!=Z5157),#REF!),""))</f>
        <v/>
      </c>
      <c r="AB5157" t="str">
        <f>IF(Z5157="","",IFERROR(LOOKUP(2,1/(#REF!=Z5157),#REF!),""))</f>
        <v/>
      </c>
      <c r="AC5157" t="str">
        <f>IF(Z5157="","",COUNTIF(#REF!,Z5157))</f>
        <v/>
      </c>
      <c r="AD5157" t="str">
        <f>IF(A5157="","",IF(AC5157&gt;1,"REVISAR DUPLICADO",IF(AA5157&lt;&gt;"","ACTUALIZADO POR EYR","SIN REPORTE EYR")))</f>
        <v/>
      </c>
    </row>
    <row r="5158" spans="11:30" x14ac:dyDescent="0.3">
      <c r="K5158" s="1" t="str">
        <f ca="1">IF(A5158="","",IF(OR(L5158="ENTREGADA",L5158="RETORNADA",L5158="ENTREGA DIGITAL"),0,MAX(0,5-NETWORKDAYS(H5158+1,TODAY()))))</f>
        <v/>
      </c>
      <c r="L5158" t="str">
        <f>IF(A5158="","",IFERROR(LOOKUP(2,1/(#REF!=Z5158),#REF!),Y5158))</f>
        <v/>
      </c>
      <c r="Z5158" t="str">
        <f>IF(A5158="","",TEXT(A5158,"0")&amp;"|"&amp;TEXT(H5158,"0"))</f>
        <v/>
      </c>
      <c r="AA5158" t="str">
        <f>IF(Z5158="","",IFERROR(LOOKUP(2,1/(#REF!=Z5158),#REF!),""))</f>
        <v/>
      </c>
      <c r="AB5158" t="str">
        <f>IF(Z5158="","",IFERROR(LOOKUP(2,1/(#REF!=Z5158),#REF!),""))</f>
        <v/>
      </c>
      <c r="AC5158" t="str">
        <f>IF(Z5158="","",COUNTIF(#REF!,Z5158))</f>
        <v/>
      </c>
      <c r="AD5158" t="str">
        <f>IF(A5158="","",IF(AC5158&gt;1,"REVISAR DUPLICADO",IF(AA5158&lt;&gt;"","ACTUALIZADO POR EYR","SIN REPORTE EYR")))</f>
        <v/>
      </c>
    </row>
    <row r="5159" spans="11:30" x14ac:dyDescent="0.3">
      <c r="K5159" s="1" t="str">
        <f ca="1">IF(A5159="","",IF(OR(L5159="ENTREGADA",L5159="RETORNADA",L5159="ENTREGA DIGITAL"),0,MAX(0,5-NETWORKDAYS(H5159+1,TODAY()))))</f>
        <v/>
      </c>
      <c r="L5159" t="str">
        <f>IF(A5159="","",IFERROR(LOOKUP(2,1/(#REF!=Z5159),#REF!),Y5159))</f>
        <v/>
      </c>
      <c r="Z5159" t="str">
        <f>IF(A5159="","",TEXT(A5159,"0")&amp;"|"&amp;TEXT(H5159,"0"))</f>
        <v/>
      </c>
      <c r="AA5159" t="str">
        <f>IF(Z5159="","",IFERROR(LOOKUP(2,1/(#REF!=Z5159),#REF!),""))</f>
        <v/>
      </c>
      <c r="AB5159" t="str">
        <f>IF(Z5159="","",IFERROR(LOOKUP(2,1/(#REF!=Z5159),#REF!),""))</f>
        <v/>
      </c>
      <c r="AC5159" t="str">
        <f>IF(Z5159="","",COUNTIF(#REF!,Z5159))</f>
        <v/>
      </c>
      <c r="AD5159" t="str">
        <f>IF(A5159="","",IF(AC5159&gt;1,"REVISAR DUPLICADO",IF(AA5159&lt;&gt;"","ACTUALIZADO POR EYR","SIN REPORTE EYR")))</f>
        <v/>
      </c>
    </row>
    <row r="5160" spans="11:30" x14ac:dyDescent="0.3">
      <c r="K5160" s="1" t="str">
        <f ca="1">IF(A5160="","",IF(OR(L5160="ENTREGADA",L5160="RETORNADA",L5160="ENTREGA DIGITAL"),0,MAX(0,5-NETWORKDAYS(H5160+1,TODAY()))))</f>
        <v/>
      </c>
      <c r="L5160" t="str">
        <f>IF(A5160="","",IFERROR(LOOKUP(2,1/(#REF!=Z5160),#REF!),Y5160))</f>
        <v/>
      </c>
      <c r="Z5160" t="str">
        <f>IF(A5160="","",TEXT(A5160,"0")&amp;"|"&amp;TEXT(H5160,"0"))</f>
        <v/>
      </c>
      <c r="AA5160" t="str">
        <f>IF(Z5160="","",IFERROR(LOOKUP(2,1/(#REF!=Z5160),#REF!),""))</f>
        <v/>
      </c>
      <c r="AB5160" t="str">
        <f>IF(Z5160="","",IFERROR(LOOKUP(2,1/(#REF!=Z5160),#REF!),""))</f>
        <v/>
      </c>
      <c r="AC5160" t="str">
        <f>IF(Z5160="","",COUNTIF(#REF!,Z5160))</f>
        <v/>
      </c>
      <c r="AD5160" t="str">
        <f>IF(A5160="","",IF(AC5160&gt;1,"REVISAR DUPLICADO",IF(AA5160&lt;&gt;"","ACTUALIZADO POR EYR","SIN REPORTE EYR")))</f>
        <v/>
      </c>
    </row>
    <row r="5161" spans="11:30" x14ac:dyDescent="0.3">
      <c r="K5161" s="1" t="str">
        <f ca="1">IF(A5161="","",IF(OR(L5161="ENTREGADA",L5161="RETORNADA",L5161="ENTREGA DIGITAL"),0,MAX(0,5-NETWORKDAYS(H5161+1,TODAY()))))</f>
        <v/>
      </c>
      <c r="L5161" t="str">
        <f>IF(A5161="","",IFERROR(LOOKUP(2,1/(#REF!=Z5161),#REF!),Y5161))</f>
        <v/>
      </c>
      <c r="Z5161" t="str">
        <f>IF(A5161="","",TEXT(A5161,"0")&amp;"|"&amp;TEXT(H5161,"0"))</f>
        <v/>
      </c>
      <c r="AA5161" t="str">
        <f>IF(Z5161="","",IFERROR(LOOKUP(2,1/(#REF!=Z5161),#REF!),""))</f>
        <v/>
      </c>
      <c r="AB5161" t="str">
        <f>IF(Z5161="","",IFERROR(LOOKUP(2,1/(#REF!=Z5161),#REF!),""))</f>
        <v/>
      </c>
      <c r="AC5161" t="str">
        <f>IF(Z5161="","",COUNTIF(#REF!,Z5161))</f>
        <v/>
      </c>
      <c r="AD5161" t="str">
        <f>IF(A5161="","",IF(AC5161&gt;1,"REVISAR DUPLICADO",IF(AA5161&lt;&gt;"","ACTUALIZADO POR EYR","SIN REPORTE EYR")))</f>
        <v/>
      </c>
    </row>
    <row r="5162" spans="11:30" x14ac:dyDescent="0.3">
      <c r="K5162" s="1" t="str">
        <f ca="1">IF(A5162="","",IF(OR(L5162="ENTREGADA",L5162="RETORNADA",L5162="ENTREGA DIGITAL"),0,MAX(0,5-NETWORKDAYS(H5162+1,TODAY()))))</f>
        <v/>
      </c>
      <c r="L5162" t="str">
        <f>IF(A5162="","",IFERROR(LOOKUP(2,1/(#REF!=Z5162),#REF!),Y5162))</f>
        <v/>
      </c>
      <c r="Z5162" t="str">
        <f>IF(A5162="","",TEXT(A5162,"0")&amp;"|"&amp;TEXT(H5162,"0"))</f>
        <v/>
      </c>
      <c r="AA5162" t="str">
        <f>IF(Z5162="","",IFERROR(LOOKUP(2,1/(#REF!=Z5162),#REF!),""))</f>
        <v/>
      </c>
      <c r="AB5162" t="str">
        <f>IF(Z5162="","",IFERROR(LOOKUP(2,1/(#REF!=Z5162),#REF!),""))</f>
        <v/>
      </c>
      <c r="AC5162" t="str">
        <f>IF(Z5162="","",COUNTIF(#REF!,Z5162))</f>
        <v/>
      </c>
      <c r="AD5162" t="str">
        <f>IF(A5162="","",IF(AC5162&gt;1,"REVISAR DUPLICADO",IF(AA5162&lt;&gt;"","ACTUALIZADO POR EYR","SIN REPORTE EYR")))</f>
        <v/>
      </c>
    </row>
    <row r="5163" spans="11:30" x14ac:dyDescent="0.3">
      <c r="K5163" s="1" t="str">
        <f ca="1">IF(A5163="","",IF(OR(L5163="ENTREGADA",L5163="RETORNADA",L5163="ENTREGA DIGITAL"),0,MAX(0,5-NETWORKDAYS(H5163+1,TODAY()))))</f>
        <v/>
      </c>
      <c r="L5163" t="str">
        <f>IF(A5163="","",IFERROR(LOOKUP(2,1/(#REF!=Z5163),#REF!),Y5163))</f>
        <v/>
      </c>
      <c r="Z5163" t="str">
        <f>IF(A5163="","",TEXT(A5163,"0")&amp;"|"&amp;TEXT(H5163,"0"))</f>
        <v/>
      </c>
      <c r="AA5163" t="str">
        <f>IF(Z5163="","",IFERROR(LOOKUP(2,1/(#REF!=Z5163),#REF!),""))</f>
        <v/>
      </c>
      <c r="AB5163" t="str">
        <f>IF(Z5163="","",IFERROR(LOOKUP(2,1/(#REF!=Z5163),#REF!),""))</f>
        <v/>
      </c>
      <c r="AC5163" t="str">
        <f>IF(Z5163="","",COUNTIF(#REF!,Z5163))</f>
        <v/>
      </c>
      <c r="AD5163" t="str">
        <f>IF(A5163="","",IF(AC5163&gt;1,"REVISAR DUPLICADO",IF(AA5163&lt;&gt;"","ACTUALIZADO POR EYR","SIN REPORTE EYR")))</f>
        <v/>
      </c>
    </row>
    <row r="5164" spans="11:30" x14ac:dyDescent="0.3">
      <c r="K5164" s="1" t="str">
        <f ca="1">IF(A5164="","",IF(OR(L5164="ENTREGADA",L5164="RETORNADA",L5164="ENTREGA DIGITAL"),0,MAX(0,5-NETWORKDAYS(H5164+1,TODAY()))))</f>
        <v/>
      </c>
      <c r="L5164" t="str">
        <f>IF(A5164="","",IFERROR(LOOKUP(2,1/(#REF!=Z5164),#REF!),Y5164))</f>
        <v/>
      </c>
      <c r="Z5164" t="str">
        <f>IF(A5164="","",TEXT(A5164,"0")&amp;"|"&amp;TEXT(H5164,"0"))</f>
        <v/>
      </c>
      <c r="AA5164" t="str">
        <f>IF(Z5164="","",IFERROR(LOOKUP(2,1/(#REF!=Z5164),#REF!),""))</f>
        <v/>
      </c>
      <c r="AB5164" t="str">
        <f>IF(Z5164="","",IFERROR(LOOKUP(2,1/(#REF!=Z5164),#REF!),""))</f>
        <v/>
      </c>
      <c r="AC5164" t="str">
        <f>IF(Z5164="","",COUNTIF(#REF!,Z5164))</f>
        <v/>
      </c>
      <c r="AD5164" t="str">
        <f>IF(A5164="","",IF(AC5164&gt;1,"REVISAR DUPLICADO",IF(AA5164&lt;&gt;"","ACTUALIZADO POR EYR","SIN REPORTE EYR")))</f>
        <v/>
      </c>
    </row>
    <row r="5165" spans="11:30" x14ac:dyDescent="0.3">
      <c r="K5165" s="1" t="str">
        <f ca="1">IF(A5165="","",IF(OR(L5165="ENTREGADA",L5165="RETORNADA",L5165="ENTREGA DIGITAL"),0,MAX(0,5-NETWORKDAYS(H5165+1,TODAY()))))</f>
        <v/>
      </c>
      <c r="L5165" t="str">
        <f>IF(A5165="","",IFERROR(LOOKUP(2,1/(#REF!=Z5165),#REF!),Y5165))</f>
        <v/>
      </c>
      <c r="Z5165" t="str">
        <f>IF(A5165="","",TEXT(A5165,"0")&amp;"|"&amp;TEXT(H5165,"0"))</f>
        <v/>
      </c>
      <c r="AA5165" t="str">
        <f>IF(Z5165="","",IFERROR(LOOKUP(2,1/(#REF!=Z5165),#REF!),""))</f>
        <v/>
      </c>
      <c r="AB5165" t="str">
        <f>IF(Z5165="","",IFERROR(LOOKUP(2,1/(#REF!=Z5165),#REF!),""))</f>
        <v/>
      </c>
      <c r="AC5165" t="str">
        <f>IF(Z5165="","",COUNTIF(#REF!,Z5165))</f>
        <v/>
      </c>
      <c r="AD5165" t="str">
        <f>IF(A5165="","",IF(AC5165&gt;1,"REVISAR DUPLICADO",IF(AA5165&lt;&gt;"","ACTUALIZADO POR EYR","SIN REPORTE EYR")))</f>
        <v/>
      </c>
    </row>
    <row r="5166" spans="11:30" x14ac:dyDescent="0.3">
      <c r="K5166" s="1" t="str">
        <f ca="1">IF(A5166="","",IF(OR(L5166="ENTREGADA",L5166="RETORNADA",L5166="ENTREGA DIGITAL"),0,MAX(0,5-NETWORKDAYS(H5166+1,TODAY()))))</f>
        <v/>
      </c>
      <c r="L5166" t="str">
        <f>IF(A5166="","",IFERROR(LOOKUP(2,1/(#REF!=Z5166),#REF!),Y5166))</f>
        <v/>
      </c>
      <c r="Z5166" t="str">
        <f>IF(A5166="","",TEXT(A5166,"0")&amp;"|"&amp;TEXT(H5166,"0"))</f>
        <v/>
      </c>
      <c r="AA5166" t="str">
        <f>IF(Z5166="","",IFERROR(LOOKUP(2,1/(#REF!=Z5166),#REF!),""))</f>
        <v/>
      </c>
      <c r="AB5166" t="str">
        <f>IF(Z5166="","",IFERROR(LOOKUP(2,1/(#REF!=Z5166),#REF!),""))</f>
        <v/>
      </c>
      <c r="AC5166" t="str">
        <f>IF(Z5166="","",COUNTIF(#REF!,Z5166))</f>
        <v/>
      </c>
      <c r="AD5166" t="str">
        <f>IF(A5166="","",IF(AC5166&gt;1,"REVISAR DUPLICADO",IF(AA5166&lt;&gt;"","ACTUALIZADO POR EYR","SIN REPORTE EYR")))</f>
        <v/>
      </c>
    </row>
    <row r="5167" spans="11:30" x14ac:dyDescent="0.3">
      <c r="K5167" s="1" t="str">
        <f ca="1">IF(A5167="","",IF(OR(L5167="ENTREGADA",L5167="RETORNADA",L5167="ENTREGA DIGITAL"),0,MAX(0,5-NETWORKDAYS(H5167+1,TODAY()))))</f>
        <v/>
      </c>
      <c r="L5167" t="str">
        <f>IF(A5167="","",IFERROR(LOOKUP(2,1/(#REF!=Z5167),#REF!),Y5167))</f>
        <v/>
      </c>
      <c r="Z5167" t="str">
        <f>IF(A5167="","",TEXT(A5167,"0")&amp;"|"&amp;TEXT(H5167,"0"))</f>
        <v/>
      </c>
      <c r="AA5167" t="str">
        <f>IF(Z5167="","",IFERROR(LOOKUP(2,1/(#REF!=Z5167),#REF!),""))</f>
        <v/>
      </c>
      <c r="AB5167" t="str">
        <f>IF(Z5167="","",IFERROR(LOOKUP(2,1/(#REF!=Z5167),#REF!),""))</f>
        <v/>
      </c>
      <c r="AC5167" t="str">
        <f>IF(Z5167="","",COUNTIF(#REF!,Z5167))</f>
        <v/>
      </c>
      <c r="AD5167" t="str">
        <f>IF(A5167="","",IF(AC5167&gt;1,"REVISAR DUPLICADO",IF(AA5167&lt;&gt;"","ACTUALIZADO POR EYR","SIN REPORTE EYR")))</f>
        <v/>
      </c>
    </row>
    <row r="5168" spans="11:30" x14ac:dyDescent="0.3">
      <c r="K5168" s="1" t="str">
        <f ca="1">IF(A5168="","",IF(OR(L5168="ENTREGADA",L5168="RETORNADA",L5168="ENTREGA DIGITAL"),0,MAX(0,5-NETWORKDAYS(H5168+1,TODAY()))))</f>
        <v/>
      </c>
      <c r="L5168" t="str">
        <f>IF(A5168="","",IFERROR(LOOKUP(2,1/(#REF!=Z5168),#REF!),Y5168))</f>
        <v/>
      </c>
      <c r="Z5168" t="str">
        <f>IF(A5168="","",TEXT(A5168,"0")&amp;"|"&amp;TEXT(H5168,"0"))</f>
        <v/>
      </c>
      <c r="AA5168" t="str">
        <f>IF(Z5168="","",IFERROR(LOOKUP(2,1/(#REF!=Z5168),#REF!),""))</f>
        <v/>
      </c>
      <c r="AB5168" t="str">
        <f>IF(Z5168="","",IFERROR(LOOKUP(2,1/(#REF!=Z5168),#REF!),""))</f>
        <v/>
      </c>
      <c r="AC5168" t="str">
        <f>IF(Z5168="","",COUNTIF(#REF!,Z5168))</f>
        <v/>
      </c>
      <c r="AD5168" t="str">
        <f>IF(A5168="","",IF(AC5168&gt;1,"REVISAR DUPLICADO",IF(AA5168&lt;&gt;"","ACTUALIZADO POR EYR","SIN REPORTE EYR")))</f>
        <v/>
      </c>
    </row>
    <row r="5169" spans="11:30" x14ac:dyDescent="0.3">
      <c r="K5169" s="1" t="str">
        <f ca="1">IF(A5169="","",IF(OR(L5169="ENTREGADA",L5169="RETORNADA",L5169="ENTREGA DIGITAL"),0,MAX(0,5-NETWORKDAYS(H5169+1,TODAY()))))</f>
        <v/>
      </c>
      <c r="L5169" t="str">
        <f>IF(A5169="","",IFERROR(LOOKUP(2,1/(#REF!=Z5169),#REF!),Y5169))</f>
        <v/>
      </c>
      <c r="Z5169" t="str">
        <f>IF(A5169="","",TEXT(A5169,"0")&amp;"|"&amp;TEXT(H5169,"0"))</f>
        <v/>
      </c>
      <c r="AA5169" t="str">
        <f>IF(Z5169="","",IFERROR(LOOKUP(2,1/(#REF!=Z5169),#REF!),""))</f>
        <v/>
      </c>
      <c r="AB5169" t="str">
        <f>IF(Z5169="","",IFERROR(LOOKUP(2,1/(#REF!=Z5169),#REF!),""))</f>
        <v/>
      </c>
      <c r="AC5169" t="str">
        <f>IF(Z5169="","",COUNTIF(#REF!,Z5169))</f>
        <v/>
      </c>
      <c r="AD5169" t="str">
        <f>IF(A5169="","",IF(AC5169&gt;1,"REVISAR DUPLICADO",IF(AA5169&lt;&gt;"","ACTUALIZADO POR EYR","SIN REPORTE EYR")))</f>
        <v/>
      </c>
    </row>
    <row r="5170" spans="11:30" x14ac:dyDescent="0.3">
      <c r="K5170" s="1" t="str">
        <f ca="1">IF(A5170="","",IF(OR(L5170="ENTREGADA",L5170="RETORNADA",L5170="ENTREGA DIGITAL"),0,MAX(0,5-NETWORKDAYS(H5170+1,TODAY()))))</f>
        <v/>
      </c>
      <c r="L5170" t="str">
        <f>IF(A5170="","",IFERROR(LOOKUP(2,1/(#REF!=Z5170),#REF!),Y5170))</f>
        <v/>
      </c>
      <c r="Z5170" t="str">
        <f>IF(A5170="","",TEXT(A5170,"0")&amp;"|"&amp;TEXT(H5170,"0"))</f>
        <v/>
      </c>
      <c r="AA5170" t="str">
        <f>IF(Z5170="","",IFERROR(LOOKUP(2,1/(#REF!=Z5170),#REF!),""))</f>
        <v/>
      </c>
      <c r="AB5170" t="str">
        <f>IF(Z5170="","",IFERROR(LOOKUP(2,1/(#REF!=Z5170),#REF!),""))</f>
        <v/>
      </c>
      <c r="AC5170" t="str">
        <f>IF(Z5170="","",COUNTIF(#REF!,Z5170))</f>
        <v/>
      </c>
      <c r="AD5170" t="str">
        <f>IF(A5170="","",IF(AC5170&gt;1,"REVISAR DUPLICADO",IF(AA5170&lt;&gt;"","ACTUALIZADO POR EYR","SIN REPORTE EYR")))</f>
        <v/>
      </c>
    </row>
    <row r="5171" spans="11:30" x14ac:dyDescent="0.3">
      <c r="K5171" s="1" t="str">
        <f ca="1">IF(A5171="","",IF(OR(L5171="ENTREGADA",L5171="RETORNADA",L5171="ENTREGA DIGITAL"),0,MAX(0,5-NETWORKDAYS(H5171+1,TODAY()))))</f>
        <v/>
      </c>
      <c r="L5171" t="str">
        <f>IF(A5171="","",IFERROR(LOOKUP(2,1/(#REF!=Z5171),#REF!),Y5171))</f>
        <v/>
      </c>
      <c r="Z5171" t="str">
        <f>IF(A5171="","",TEXT(A5171,"0")&amp;"|"&amp;TEXT(H5171,"0"))</f>
        <v/>
      </c>
      <c r="AA5171" t="str">
        <f>IF(Z5171="","",IFERROR(LOOKUP(2,1/(#REF!=Z5171),#REF!),""))</f>
        <v/>
      </c>
      <c r="AB5171" t="str">
        <f>IF(Z5171="","",IFERROR(LOOKUP(2,1/(#REF!=Z5171),#REF!),""))</f>
        <v/>
      </c>
      <c r="AC5171" t="str">
        <f>IF(Z5171="","",COUNTIF(#REF!,Z5171))</f>
        <v/>
      </c>
      <c r="AD5171" t="str">
        <f>IF(A5171="","",IF(AC5171&gt;1,"REVISAR DUPLICADO",IF(AA5171&lt;&gt;"","ACTUALIZADO POR EYR","SIN REPORTE EYR")))</f>
        <v/>
      </c>
    </row>
    <row r="5172" spans="11:30" x14ac:dyDescent="0.3">
      <c r="K5172" s="1" t="str">
        <f ca="1">IF(A5172="","",IF(OR(L5172="ENTREGADA",L5172="RETORNADA",L5172="ENTREGA DIGITAL"),0,MAX(0,5-NETWORKDAYS(H5172+1,TODAY()))))</f>
        <v/>
      </c>
      <c r="L5172" t="str">
        <f>IF(A5172="","",IFERROR(LOOKUP(2,1/(#REF!=Z5172),#REF!),Y5172))</f>
        <v/>
      </c>
      <c r="Z5172" t="str">
        <f>IF(A5172="","",TEXT(A5172,"0")&amp;"|"&amp;TEXT(H5172,"0"))</f>
        <v/>
      </c>
      <c r="AA5172" t="str">
        <f>IF(Z5172="","",IFERROR(LOOKUP(2,1/(#REF!=Z5172),#REF!),""))</f>
        <v/>
      </c>
      <c r="AB5172" t="str">
        <f>IF(Z5172="","",IFERROR(LOOKUP(2,1/(#REF!=Z5172),#REF!),""))</f>
        <v/>
      </c>
      <c r="AC5172" t="str">
        <f>IF(Z5172="","",COUNTIF(#REF!,Z5172))</f>
        <v/>
      </c>
      <c r="AD5172" t="str">
        <f>IF(A5172="","",IF(AC5172&gt;1,"REVISAR DUPLICADO",IF(AA5172&lt;&gt;"","ACTUALIZADO POR EYR","SIN REPORTE EYR")))</f>
        <v/>
      </c>
    </row>
    <row r="5173" spans="11:30" x14ac:dyDescent="0.3">
      <c r="K5173" s="1" t="str">
        <f ca="1">IF(A5173="","",IF(OR(L5173="ENTREGADA",L5173="RETORNADA",L5173="ENTREGA DIGITAL"),0,MAX(0,5-NETWORKDAYS(H5173+1,TODAY()))))</f>
        <v/>
      </c>
      <c r="L5173" t="str">
        <f>IF(A5173="","",IFERROR(LOOKUP(2,1/(#REF!=Z5173),#REF!),Y5173))</f>
        <v/>
      </c>
      <c r="Z5173" t="str">
        <f>IF(A5173="","",TEXT(A5173,"0")&amp;"|"&amp;TEXT(H5173,"0"))</f>
        <v/>
      </c>
      <c r="AA5173" t="str">
        <f>IF(Z5173="","",IFERROR(LOOKUP(2,1/(#REF!=Z5173),#REF!),""))</f>
        <v/>
      </c>
      <c r="AB5173" t="str">
        <f>IF(Z5173="","",IFERROR(LOOKUP(2,1/(#REF!=Z5173),#REF!),""))</f>
        <v/>
      </c>
      <c r="AC5173" t="str">
        <f>IF(Z5173="","",COUNTIF(#REF!,Z5173))</f>
        <v/>
      </c>
      <c r="AD5173" t="str">
        <f>IF(A5173="","",IF(AC5173&gt;1,"REVISAR DUPLICADO",IF(AA5173&lt;&gt;"","ACTUALIZADO POR EYR","SIN REPORTE EYR")))</f>
        <v/>
      </c>
    </row>
    <row r="5174" spans="11:30" x14ac:dyDescent="0.3">
      <c r="K5174" s="1" t="str">
        <f ca="1">IF(A5174="","",IF(OR(L5174="ENTREGADA",L5174="RETORNADA",L5174="ENTREGA DIGITAL"),0,MAX(0,5-NETWORKDAYS(H5174+1,TODAY()))))</f>
        <v/>
      </c>
      <c r="L5174" t="str">
        <f>IF(A5174="","",IFERROR(LOOKUP(2,1/(#REF!=Z5174),#REF!),Y5174))</f>
        <v/>
      </c>
      <c r="Z5174" t="str">
        <f>IF(A5174="","",TEXT(A5174,"0")&amp;"|"&amp;TEXT(H5174,"0"))</f>
        <v/>
      </c>
      <c r="AA5174" t="str">
        <f>IF(Z5174="","",IFERROR(LOOKUP(2,1/(#REF!=Z5174),#REF!),""))</f>
        <v/>
      </c>
      <c r="AB5174" t="str">
        <f>IF(Z5174="","",IFERROR(LOOKUP(2,1/(#REF!=Z5174),#REF!),""))</f>
        <v/>
      </c>
      <c r="AC5174" t="str">
        <f>IF(Z5174="","",COUNTIF(#REF!,Z5174))</f>
        <v/>
      </c>
      <c r="AD5174" t="str">
        <f>IF(A5174="","",IF(AC5174&gt;1,"REVISAR DUPLICADO",IF(AA5174&lt;&gt;"","ACTUALIZADO POR EYR","SIN REPORTE EYR")))</f>
        <v/>
      </c>
    </row>
    <row r="5175" spans="11:30" x14ac:dyDescent="0.3">
      <c r="K5175" s="1" t="str">
        <f ca="1">IF(A5175="","",IF(OR(L5175="ENTREGADA",L5175="RETORNADA",L5175="ENTREGA DIGITAL"),0,MAX(0,5-NETWORKDAYS(H5175+1,TODAY()))))</f>
        <v/>
      </c>
      <c r="L5175" t="str">
        <f>IF(A5175="","",IFERROR(LOOKUP(2,1/(#REF!=Z5175),#REF!),Y5175))</f>
        <v/>
      </c>
      <c r="Z5175" t="str">
        <f>IF(A5175="","",TEXT(A5175,"0")&amp;"|"&amp;TEXT(H5175,"0"))</f>
        <v/>
      </c>
      <c r="AA5175" t="str">
        <f>IF(Z5175="","",IFERROR(LOOKUP(2,1/(#REF!=Z5175),#REF!),""))</f>
        <v/>
      </c>
      <c r="AB5175" t="str">
        <f>IF(Z5175="","",IFERROR(LOOKUP(2,1/(#REF!=Z5175),#REF!),""))</f>
        <v/>
      </c>
      <c r="AC5175" t="str">
        <f>IF(Z5175="","",COUNTIF(#REF!,Z5175))</f>
        <v/>
      </c>
      <c r="AD5175" t="str">
        <f>IF(A5175="","",IF(AC5175&gt;1,"REVISAR DUPLICADO",IF(AA5175&lt;&gt;"","ACTUALIZADO POR EYR","SIN REPORTE EYR")))</f>
        <v/>
      </c>
    </row>
    <row r="5176" spans="11:30" x14ac:dyDescent="0.3">
      <c r="K5176" s="1" t="str">
        <f ca="1">IF(A5176="","",IF(OR(L5176="ENTREGADA",L5176="RETORNADA",L5176="ENTREGA DIGITAL"),0,MAX(0,5-NETWORKDAYS(H5176+1,TODAY()))))</f>
        <v/>
      </c>
      <c r="L5176" t="str">
        <f>IF(A5176="","",IFERROR(LOOKUP(2,1/(#REF!=Z5176),#REF!),Y5176))</f>
        <v/>
      </c>
      <c r="Z5176" t="str">
        <f>IF(A5176="","",TEXT(A5176,"0")&amp;"|"&amp;TEXT(H5176,"0"))</f>
        <v/>
      </c>
      <c r="AA5176" t="str">
        <f>IF(Z5176="","",IFERROR(LOOKUP(2,1/(#REF!=Z5176),#REF!),""))</f>
        <v/>
      </c>
      <c r="AB5176" t="str">
        <f>IF(Z5176="","",IFERROR(LOOKUP(2,1/(#REF!=Z5176),#REF!),""))</f>
        <v/>
      </c>
      <c r="AC5176" t="str">
        <f>IF(Z5176="","",COUNTIF(#REF!,Z5176))</f>
        <v/>
      </c>
      <c r="AD5176" t="str">
        <f>IF(A5176="","",IF(AC5176&gt;1,"REVISAR DUPLICADO",IF(AA5176&lt;&gt;"","ACTUALIZADO POR EYR","SIN REPORTE EYR")))</f>
        <v/>
      </c>
    </row>
    <row r="5177" spans="11:30" x14ac:dyDescent="0.3">
      <c r="K5177" s="1" t="str">
        <f ca="1">IF(A5177="","",IF(OR(L5177="ENTREGADA",L5177="RETORNADA",L5177="ENTREGA DIGITAL"),0,MAX(0,5-NETWORKDAYS(H5177+1,TODAY()))))</f>
        <v/>
      </c>
      <c r="L5177" t="str">
        <f>IF(A5177="","",IFERROR(LOOKUP(2,1/(#REF!=Z5177),#REF!),Y5177))</f>
        <v/>
      </c>
      <c r="Z5177" t="str">
        <f>IF(A5177="","",TEXT(A5177,"0")&amp;"|"&amp;TEXT(H5177,"0"))</f>
        <v/>
      </c>
      <c r="AA5177" t="str">
        <f>IF(Z5177="","",IFERROR(LOOKUP(2,1/(#REF!=Z5177),#REF!),""))</f>
        <v/>
      </c>
      <c r="AB5177" t="str">
        <f>IF(Z5177="","",IFERROR(LOOKUP(2,1/(#REF!=Z5177),#REF!),""))</f>
        <v/>
      </c>
      <c r="AC5177" t="str">
        <f>IF(Z5177="","",COUNTIF(#REF!,Z5177))</f>
        <v/>
      </c>
      <c r="AD5177" t="str">
        <f>IF(A5177="","",IF(AC5177&gt;1,"REVISAR DUPLICADO",IF(AA5177&lt;&gt;"","ACTUALIZADO POR EYR","SIN REPORTE EYR")))</f>
        <v/>
      </c>
    </row>
    <row r="5178" spans="11:30" x14ac:dyDescent="0.3">
      <c r="K5178" s="1" t="str">
        <f ca="1">IF(A5178="","",IF(OR(L5178="ENTREGADA",L5178="RETORNADA",L5178="ENTREGA DIGITAL"),0,MAX(0,5-NETWORKDAYS(H5178+1,TODAY()))))</f>
        <v/>
      </c>
      <c r="L5178" t="str">
        <f>IF(A5178="","",IFERROR(LOOKUP(2,1/(#REF!=Z5178),#REF!),Y5178))</f>
        <v/>
      </c>
      <c r="Z5178" t="str">
        <f>IF(A5178="","",TEXT(A5178,"0")&amp;"|"&amp;TEXT(H5178,"0"))</f>
        <v/>
      </c>
      <c r="AA5178" t="str">
        <f>IF(Z5178="","",IFERROR(LOOKUP(2,1/(#REF!=Z5178),#REF!),""))</f>
        <v/>
      </c>
      <c r="AB5178" t="str">
        <f>IF(Z5178="","",IFERROR(LOOKUP(2,1/(#REF!=Z5178),#REF!),""))</f>
        <v/>
      </c>
      <c r="AC5178" t="str">
        <f>IF(Z5178="","",COUNTIF(#REF!,Z5178))</f>
        <v/>
      </c>
      <c r="AD5178" t="str">
        <f>IF(A5178="","",IF(AC5178&gt;1,"REVISAR DUPLICADO",IF(AA5178&lt;&gt;"","ACTUALIZADO POR EYR","SIN REPORTE EYR")))</f>
        <v/>
      </c>
    </row>
    <row r="5179" spans="11:30" x14ac:dyDescent="0.3">
      <c r="K5179" s="1" t="str">
        <f ca="1">IF(A5179="","",IF(OR(L5179="ENTREGADA",L5179="RETORNADA",L5179="ENTREGA DIGITAL"),0,MAX(0,5-NETWORKDAYS(H5179+1,TODAY()))))</f>
        <v/>
      </c>
      <c r="L5179" t="str">
        <f>IF(A5179="","",IFERROR(LOOKUP(2,1/(#REF!=Z5179),#REF!),Y5179))</f>
        <v/>
      </c>
      <c r="Z5179" t="str">
        <f>IF(A5179="","",TEXT(A5179,"0")&amp;"|"&amp;TEXT(H5179,"0"))</f>
        <v/>
      </c>
      <c r="AA5179" t="str">
        <f>IF(Z5179="","",IFERROR(LOOKUP(2,1/(#REF!=Z5179),#REF!),""))</f>
        <v/>
      </c>
      <c r="AB5179" t="str">
        <f>IF(Z5179="","",IFERROR(LOOKUP(2,1/(#REF!=Z5179),#REF!),""))</f>
        <v/>
      </c>
      <c r="AC5179" t="str">
        <f>IF(Z5179="","",COUNTIF(#REF!,Z5179))</f>
        <v/>
      </c>
      <c r="AD5179" t="str">
        <f>IF(A5179="","",IF(AC5179&gt;1,"REVISAR DUPLICADO",IF(AA5179&lt;&gt;"","ACTUALIZADO POR EYR","SIN REPORTE EYR")))</f>
        <v/>
      </c>
    </row>
    <row r="5180" spans="11:30" x14ac:dyDescent="0.3">
      <c r="K5180" s="1" t="str">
        <f ca="1">IF(A5180="","",IF(OR(L5180="ENTREGADA",L5180="RETORNADA",L5180="ENTREGA DIGITAL"),0,MAX(0,5-NETWORKDAYS(H5180+1,TODAY()))))</f>
        <v/>
      </c>
      <c r="L5180" t="str">
        <f>IF(A5180="","",IFERROR(LOOKUP(2,1/(#REF!=Z5180),#REF!),Y5180))</f>
        <v/>
      </c>
      <c r="Z5180" t="str">
        <f>IF(A5180="","",TEXT(A5180,"0")&amp;"|"&amp;TEXT(H5180,"0"))</f>
        <v/>
      </c>
      <c r="AA5180" t="str">
        <f>IF(Z5180="","",IFERROR(LOOKUP(2,1/(#REF!=Z5180),#REF!),""))</f>
        <v/>
      </c>
      <c r="AB5180" t="str">
        <f>IF(Z5180="","",IFERROR(LOOKUP(2,1/(#REF!=Z5180),#REF!),""))</f>
        <v/>
      </c>
      <c r="AC5180" t="str">
        <f>IF(Z5180="","",COUNTIF(#REF!,Z5180))</f>
        <v/>
      </c>
      <c r="AD5180" t="str">
        <f>IF(A5180="","",IF(AC5180&gt;1,"REVISAR DUPLICADO",IF(AA5180&lt;&gt;"","ACTUALIZADO POR EYR","SIN REPORTE EYR")))</f>
        <v/>
      </c>
    </row>
    <row r="5181" spans="11:30" x14ac:dyDescent="0.3">
      <c r="K5181" s="1" t="str">
        <f ca="1">IF(A5181="","",IF(OR(L5181="ENTREGADA",L5181="RETORNADA",L5181="ENTREGA DIGITAL"),0,MAX(0,5-NETWORKDAYS(H5181+1,TODAY()))))</f>
        <v/>
      </c>
      <c r="L5181" t="str">
        <f>IF(A5181="","",IFERROR(LOOKUP(2,1/(#REF!=Z5181),#REF!),Y5181))</f>
        <v/>
      </c>
      <c r="Z5181" t="str">
        <f>IF(A5181="","",TEXT(A5181,"0")&amp;"|"&amp;TEXT(H5181,"0"))</f>
        <v/>
      </c>
      <c r="AA5181" t="str">
        <f>IF(Z5181="","",IFERROR(LOOKUP(2,1/(#REF!=Z5181),#REF!),""))</f>
        <v/>
      </c>
      <c r="AB5181" t="str">
        <f>IF(Z5181="","",IFERROR(LOOKUP(2,1/(#REF!=Z5181),#REF!),""))</f>
        <v/>
      </c>
      <c r="AC5181" t="str">
        <f>IF(Z5181="","",COUNTIF(#REF!,Z5181))</f>
        <v/>
      </c>
      <c r="AD5181" t="str">
        <f>IF(A5181="","",IF(AC5181&gt;1,"REVISAR DUPLICADO",IF(AA5181&lt;&gt;"","ACTUALIZADO POR EYR","SIN REPORTE EYR")))</f>
        <v/>
      </c>
    </row>
    <row r="5182" spans="11:30" x14ac:dyDescent="0.3">
      <c r="K5182" s="1" t="str">
        <f ca="1">IF(A5182="","",IF(OR(L5182="ENTREGADA",L5182="RETORNADA",L5182="ENTREGA DIGITAL"),0,MAX(0,5-NETWORKDAYS(H5182+1,TODAY()))))</f>
        <v/>
      </c>
      <c r="L5182" t="str">
        <f>IF(A5182="","",IFERROR(LOOKUP(2,1/(#REF!=Z5182),#REF!),Y5182))</f>
        <v/>
      </c>
      <c r="Z5182" t="str">
        <f>IF(A5182="","",TEXT(A5182,"0")&amp;"|"&amp;TEXT(H5182,"0"))</f>
        <v/>
      </c>
      <c r="AA5182" t="str">
        <f>IF(Z5182="","",IFERROR(LOOKUP(2,1/(#REF!=Z5182),#REF!),""))</f>
        <v/>
      </c>
      <c r="AB5182" t="str">
        <f>IF(Z5182="","",IFERROR(LOOKUP(2,1/(#REF!=Z5182),#REF!),""))</f>
        <v/>
      </c>
      <c r="AC5182" t="str">
        <f>IF(Z5182="","",COUNTIF(#REF!,Z5182))</f>
        <v/>
      </c>
      <c r="AD5182" t="str">
        <f>IF(A5182="","",IF(AC5182&gt;1,"REVISAR DUPLICADO",IF(AA5182&lt;&gt;"","ACTUALIZADO POR EYR","SIN REPORTE EYR")))</f>
        <v/>
      </c>
    </row>
    <row r="5183" spans="11:30" x14ac:dyDescent="0.3">
      <c r="K5183" s="1" t="str">
        <f ca="1">IF(A5183="","",IF(OR(L5183="ENTREGADA",L5183="RETORNADA",L5183="ENTREGA DIGITAL"),0,MAX(0,5-NETWORKDAYS(H5183+1,TODAY()))))</f>
        <v/>
      </c>
      <c r="L5183" t="str">
        <f>IF(A5183="","",IFERROR(LOOKUP(2,1/(#REF!=Z5183),#REF!),Y5183))</f>
        <v/>
      </c>
      <c r="Z5183" t="str">
        <f>IF(A5183="","",TEXT(A5183,"0")&amp;"|"&amp;TEXT(H5183,"0"))</f>
        <v/>
      </c>
      <c r="AA5183" t="str">
        <f>IF(Z5183="","",IFERROR(LOOKUP(2,1/(#REF!=Z5183),#REF!),""))</f>
        <v/>
      </c>
      <c r="AB5183" t="str">
        <f>IF(Z5183="","",IFERROR(LOOKUP(2,1/(#REF!=Z5183),#REF!),""))</f>
        <v/>
      </c>
      <c r="AC5183" t="str">
        <f>IF(Z5183="","",COUNTIF(#REF!,Z5183))</f>
        <v/>
      </c>
      <c r="AD5183" t="str">
        <f>IF(A5183="","",IF(AC5183&gt;1,"REVISAR DUPLICADO",IF(AA5183&lt;&gt;"","ACTUALIZADO POR EYR","SIN REPORTE EYR")))</f>
        <v/>
      </c>
    </row>
    <row r="5184" spans="11:30" x14ac:dyDescent="0.3">
      <c r="K5184" s="1" t="str">
        <f ca="1">IF(A5184="","",IF(OR(L5184="ENTREGADA",L5184="RETORNADA",L5184="ENTREGA DIGITAL"),0,MAX(0,5-NETWORKDAYS(H5184+1,TODAY()))))</f>
        <v/>
      </c>
      <c r="L5184" t="str">
        <f>IF(A5184="","",IFERROR(LOOKUP(2,1/(#REF!=Z5184),#REF!),Y5184))</f>
        <v/>
      </c>
      <c r="Z5184" t="str">
        <f>IF(A5184="","",TEXT(A5184,"0")&amp;"|"&amp;TEXT(H5184,"0"))</f>
        <v/>
      </c>
      <c r="AA5184" t="str">
        <f>IF(Z5184="","",IFERROR(LOOKUP(2,1/(#REF!=Z5184),#REF!),""))</f>
        <v/>
      </c>
      <c r="AB5184" t="str">
        <f>IF(Z5184="","",IFERROR(LOOKUP(2,1/(#REF!=Z5184),#REF!),""))</f>
        <v/>
      </c>
      <c r="AC5184" t="str">
        <f>IF(Z5184="","",COUNTIF(#REF!,Z5184))</f>
        <v/>
      </c>
      <c r="AD5184" t="str">
        <f>IF(A5184="","",IF(AC5184&gt;1,"REVISAR DUPLICADO",IF(AA5184&lt;&gt;"","ACTUALIZADO POR EYR","SIN REPORTE EYR")))</f>
        <v/>
      </c>
    </row>
    <row r="5185" spans="11:30" x14ac:dyDescent="0.3">
      <c r="K5185" s="1" t="str">
        <f ca="1">IF(A5185="","",IF(OR(L5185="ENTREGADA",L5185="RETORNADA",L5185="ENTREGA DIGITAL"),0,MAX(0,5-NETWORKDAYS(H5185+1,TODAY()))))</f>
        <v/>
      </c>
      <c r="L5185" t="str">
        <f>IF(A5185="","",IFERROR(LOOKUP(2,1/(#REF!=Z5185),#REF!),Y5185))</f>
        <v/>
      </c>
      <c r="Z5185" t="str">
        <f>IF(A5185="","",TEXT(A5185,"0")&amp;"|"&amp;TEXT(H5185,"0"))</f>
        <v/>
      </c>
      <c r="AA5185" t="str">
        <f>IF(Z5185="","",IFERROR(LOOKUP(2,1/(#REF!=Z5185),#REF!),""))</f>
        <v/>
      </c>
      <c r="AB5185" t="str">
        <f>IF(Z5185="","",IFERROR(LOOKUP(2,1/(#REF!=Z5185),#REF!),""))</f>
        <v/>
      </c>
      <c r="AC5185" t="str">
        <f>IF(Z5185="","",COUNTIF(#REF!,Z5185))</f>
        <v/>
      </c>
      <c r="AD5185" t="str">
        <f>IF(A5185="","",IF(AC5185&gt;1,"REVISAR DUPLICADO",IF(AA5185&lt;&gt;"","ACTUALIZADO POR EYR","SIN REPORTE EYR")))</f>
        <v/>
      </c>
    </row>
    <row r="5186" spans="11:30" x14ac:dyDescent="0.3">
      <c r="K5186" s="1" t="str">
        <f ca="1">IF(A5186="","",IF(OR(L5186="ENTREGADA",L5186="RETORNADA",L5186="ENTREGA DIGITAL"),0,MAX(0,5-NETWORKDAYS(H5186+1,TODAY()))))</f>
        <v/>
      </c>
      <c r="L5186" t="str">
        <f>IF(A5186="","",IFERROR(LOOKUP(2,1/(#REF!=Z5186),#REF!),Y5186))</f>
        <v/>
      </c>
      <c r="Z5186" t="str">
        <f>IF(A5186="","",TEXT(A5186,"0")&amp;"|"&amp;TEXT(H5186,"0"))</f>
        <v/>
      </c>
      <c r="AA5186" t="str">
        <f>IF(Z5186="","",IFERROR(LOOKUP(2,1/(#REF!=Z5186),#REF!),""))</f>
        <v/>
      </c>
      <c r="AB5186" t="str">
        <f>IF(Z5186="","",IFERROR(LOOKUP(2,1/(#REF!=Z5186),#REF!),""))</f>
        <v/>
      </c>
      <c r="AC5186" t="str">
        <f>IF(Z5186="","",COUNTIF(#REF!,Z5186))</f>
        <v/>
      </c>
      <c r="AD5186" t="str">
        <f>IF(A5186="","",IF(AC5186&gt;1,"REVISAR DUPLICADO",IF(AA5186&lt;&gt;"","ACTUALIZADO POR EYR","SIN REPORTE EYR")))</f>
        <v/>
      </c>
    </row>
    <row r="5187" spans="11:30" x14ac:dyDescent="0.3">
      <c r="K5187" s="1" t="str">
        <f ca="1">IF(A5187="","",IF(OR(L5187="ENTREGADA",L5187="RETORNADA",L5187="ENTREGA DIGITAL"),0,MAX(0,5-NETWORKDAYS(H5187+1,TODAY()))))</f>
        <v/>
      </c>
      <c r="L5187" t="str">
        <f>IF(A5187="","",IFERROR(LOOKUP(2,1/(#REF!=Z5187),#REF!),Y5187))</f>
        <v/>
      </c>
      <c r="Z5187" t="str">
        <f>IF(A5187="","",TEXT(A5187,"0")&amp;"|"&amp;TEXT(H5187,"0"))</f>
        <v/>
      </c>
      <c r="AA5187" t="str">
        <f>IF(Z5187="","",IFERROR(LOOKUP(2,1/(#REF!=Z5187),#REF!),""))</f>
        <v/>
      </c>
      <c r="AB5187" t="str">
        <f>IF(Z5187="","",IFERROR(LOOKUP(2,1/(#REF!=Z5187),#REF!),""))</f>
        <v/>
      </c>
      <c r="AC5187" t="str">
        <f>IF(Z5187="","",COUNTIF(#REF!,Z5187))</f>
        <v/>
      </c>
      <c r="AD5187" t="str">
        <f>IF(A5187="","",IF(AC5187&gt;1,"REVISAR DUPLICADO",IF(AA5187&lt;&gt;"","ACTUALIZADO POR EYR","SIN REPORTE EYR")))</f>
        <v/>
      </c>
    </row>
    <row r="5188" spans="11:30" x14ac:dyDescent="0.3">
      <c r="K5188" s="1" t="str">
        <f ca="1">IF(A5188="","",IF(OR(L5188="ENTREGADA",L5188="RETORNADA",L5188="ENTREGA DIGITAL"),0,MAX(0,5-NETWORKDAYS(H5188+1,TODAY()))))</f>
        <v/>
      </c>
      <c r="L5188" t="str">
        <f>IF(A5188="","",IFERROR(LOOKUP(2,1/(#REF!=Z5188),#REF!),Y5188))</f>
        <v/>
      </c>
      <c r="Z5188" t="str">
        <f>IF(A5188="","",TEXT(A5188,"0")&amp;"|"&amp;TEXT(H5188,"0"))</f>
        <v/>
      </c>
      <c r="AA5188" t="str">
        <f>IF(Z5188="","",IFERROR(LOOKUP(2,1/(#REF!=Z5188),#REF!),""))</f>
        <v/>
      </c>
      <c r="AB5188" t="str">
        <f>IF(Z5188="","",IFERROR(LOOKUP(2,1/(#REF!=Z5188),#REF!),""))</f>
        <v/>
      </c>
      <c r="AC5188" t="str">
        <f>IF(Z5188="","",COUNTIF(#REF!,Z5188))</f>
        <v/>
      </c>
      <c r="AD5188" t="str">
        <f>IF(A5188="","",IF(AC5188&gt;1,"REVISAR DUPLICADO",IF(AA5188&lt;&gt;"","ACTUALIZADO POR EYR","SIN REPORTE EYR")))</f>
        <v/>
      </c>
    </row>
    <row r="5189" spans="11:30" x14ac:dyDescent="0.3">
      <c r="K5189" s="1" t="str">
        <f ca="1">IF(A5189="","",IF(OR(L5189="ENTREGADA",L5189="RETORNADA",L5189="ENTREGA DIGITAL"),0,MAX(0,5-NETWORKDAYS(H5189+1,TODAY()))))</f>
        <v/>
      </c>
      <c r="L5189" t="str">
        <f>IF(A5189="","",IFERROR(LOOKUP(2,1/(#REF!=Z5189),#REF!),Y5189))</f>
        <v/>
      </c>
      <c r="Z5189" t="str">
        <f>IF(A5189="","",TEXT(A5189,"0")&amp;"|"&amp;TEXT(H5189,"0"))</f>
        <v/>
      </c>
      <c r="AA5189" t="str">
        <f>IF(Z5189="","",IFERROR(LOOKUP(2,1/(#REF!=Z5189),#REF!),""))</f>
        <v/>
      </c>
      <c r="AB5189" t="str">
        <f>IF(Z5189="","",IFERROR(LOOKUP(2,1/(#REF!=Z5189),#REF!),""))</f>
        <v/>
      </c>
      <c r="AC5189" t="str">
        <f>IF(Z5189="","",COUNTIF(#REF!,Z5189))</f>
        <v/>
      </c>
      <c r="AD5189" t="str">
        <f>IF(A5189="","",IF(AC5189&gt;1,"REVISAR DUPLICADO",IF(AA5189&lt;&gt;"","ACTUALIZADO POR EYR","SIN REPORTE EYR")))</f>
        <v/>
      </c>
    </row>
    <row r="5190" spans="11:30" x14ac:dyDescent="0.3">
      <c r="K5190" s="1" t="str">
        <f ca="1">IF(A5190="","",IF(OR(L5190="ENTREGADA",L5190="RETORNADA",L5190="ENTREGA DIGITAL"),0,MAX(0,5-NETWORKDAYS(H5190+1,TODAY()))))</f>
        <v/>
      </c>
      <c r="L5190" t="str">
        <f>IF(A5190="","",IFERROR(LOOKUP(2,1/(#REF!=Z5190),#REF!),Y5190))</f>
        <v/>
      </c>
      <c r="Z5190" t="str">
        <f>IF(A5190="","",TEXT(A5190,"0")&amp;"|"&amp;TEXT(H5190,"0"))</f>
        <v/>
      </c>
      <c r="AA5190" t="str">
        <f>IF(Z5190="","",IFERROR(LOOKUP(2,1/(#REF!=Z5190),#REF!),""))</f>
        <v/>
      </c>
      <c r="AB5190" t="str">
        <f>IF(Z5190="","",IFERROR(LOOKUP(2,1/(#REF!=Z5190),#REF!),""))</f>
        <v/>
      </c>
      <c r="AC5190" t="str">
        <f>IF(Z5190="","",COUNTIF(#REF!,Z5190))</f>
        <v/>
      </c>
      <c r="AD5190" t="str">
        <f>IF(A5190="","",IF(AC5190&gt;1,"REVISAR DUPLICADO",IF(AA5190&lt;&gt;"","ACTUALIZADO POR EYR","SIN REPORTE EYR")))</f>
        <v/>
      </c>
    </row>
    <row r="5191" spans="11:30" x14ac:dyDescent="0.3">
      <c r="K5191" s="1" t="str">
        <f ca="1">IF(A5191="","",IF(OR(L5191="ENTREGADA",L5191="RETORNADA",L5191="ENTREGA DIGITAL"),0,MAX(0,5-NETWORKDAYS(H5191+1,TODAY()))))</f>
        <v/>
      </c>
      <c r="L5191" t="str">
        <f>IF(A5191="","",IFERROR(LOOKUP(2,1/(#REF!=Z5191),#REF!),Y5191))</f>
        <v/>
      </c>
      <c r="Z5191" t="str">
        <f>IF(A5191="","",TEXT(A5191,"0")&amp;"|"&amp;TEXT(H5191,"0"))</f>
        <v/>
      </c>
      <c r="AA5191" t="str">
        <f>IF(Z5191="","",IFERROR(LOOKUP(2,1/(#REF!=Z5191),#REF!),""))</f>
        <v/>
      </c>
      <c r="AB5191" t="str">
        <f>IF(Z5191="","",IFERROR(LOOKUP(2,1/(#REF!=Z5191),#REF!),""))</f>
        <v/>
      </c>
      <c r="AC5191" t="str">
        <f>IF(Z5191="","",COUNTIF(#REF!,Z5191))</f>
        <v/>
      </c>
      <c r="AD5191" t="str">
        <f>IF(A5191="","",IF(AC5191&gt;1,"REVISAR DUPLICADO",IF(AA5191&lt;&gt;"","ACTUALIZADO POR EYR","SIN REPORTE EYR")))</f>
        <v/>
      </c>
    </row>
    <row r="5192" spans="11:30" x14ac:dyDescent="0.3">
      <c r="K5192" s="1" t="str">
        <f ca="1">IF(A5192="","",IF(OR(L5192="ENTREGADA",L5192="RETORNADA",L5192="ENTREGA DIGITAL"),0,MAX(0,5-NETWORKDAYS(H5192+1,TODAY()))))</f>
        <v/>
      </c>
      <c r="L5192" t="str">
        <f>IF(A5192="","",IFERROR(LOOKUP(2,1/(#REF!=Z5192),#REF!),Y5192))</f>
        <v/>
      </c>
      <c r="Z5192" t="str">
        <f>IF(A5192="","",TEXT(A5192,"0")&amp;"|"&amp;TEXT(H5192,"0"))</f>
        <v/>
      </c>
      <c r="AA5192" t="str">
        <f>IF(Z5192="","",IFERROR(LOOKUP(2,1/(#REF!=Z5192),#REF!),""))</f>
        <v/>
      </c>
      <c r="AB5192" t="str">
        <f>IF(Z5192="","",IFERROR(LOOKUP(2,1/(#REF!=Z5192),#REF!),""))</f>
        <v/>
      </c>
      <c r="AC5192" t="str">
        <f>IF(Z5192="","",COUNTIF(#REF!,Z5192))</f>
        <v/>
      </c>
      <c r="AD5192" t="str">
        <f>IF(A5192="","",IF(AC5192&gt;1,"REVISAR DUPLICADO",IF(AA5192&lt;&gt;"","ACTUALIZADO POR EYR","SIN REPORTE EYR")))</f>
        <v/>
      </c>
    </row>
    <row r="5193" spans="11:30" x14ac:dyDescent="0.3">
      <c r="K5193" s="1" t="str">
        <f ca="1">IF(A5193="","",IF(OR(L5193="ENTREGADA",L5193="RETORNADA",L5193="ENTREGA DIGITAL"),0,MAX(0,5-NETWORKDAYS(H5193+1,TODAY()))))</f>
        <v/>
      </c>
      <c r="L5193" t="str">
        <f>IF(A5193="","",IFERROR(LOOKUP(2,1/(#REF!=Z5193),#REF!),Y5193))</f>
        <v/>
      </c>
      <c r="Z5193" t="str">
        <f>IF(A5193="","",TEXT(A5193,"0")&amp;"|"&amp;TEXT(H5193,"0"))</f>
        <v/>
      </c>
      <c r="AA5193" t="str">
        <f>IF(Z5193="","",IFERROR(LOOKUP(2,1/(#REF!=Z5193),#REF!),""))</f>
        <v/>
      </c>
      <c r="AB5193" t="str">
        <f>IF(Z5193="","",IFERROR(LOOKUP(2,1/(#REF!=Z5193),#REF!),""))</f>
        <v/>
      </c>
      <c r="AC5193" t="str">
        <f>IF(Z5193="","",COUNTIF(#REF!,Z5193))</f>
        <v/>
      </c>
      <c r="AD5193" t="str">
        <f>IF(A5193="","",IF(AC5193&gt;1,"REVISAR DUPLICADO",IF(AA5193&lt;&gt;"","ACTUALIZADO POR EYR","SIN REPORTE EYR")))</f>
        <v/>
      </c>
    </row>
    <row r="5194" spans="11:30" x14ac:dyDescent="0.3">
      <c r="K5194" s="1" t="str">
        <f ca="1">IF(A5194="","",IF(OR(L5194="ENTREGADA",L5194="RETORNADA",L5194="ENTREGA DIGITAL"),0,MAX(0,5-NETWORKDAYS(H5194+1,TODAY()))))</f>
        <v/>
      </c>
      <c r="L5194" t="str">
        <f>IF(A5194="","",IFERROR(LOOKUP(2,1/(#REF!=Z5194),#REF!),Y5194))</f>
        <v/>
      </c>
      <c r="Z5194" t="str">
        <f>IF(A5194="","",TEXT(A5194,"0")&amp;"|"&amp;TEXT(H5194,"0"))</f>
        <v/>
      </c>
      <c r="AA5194" t="str">
        <f>IF(Z5194="","",IFERROR(LOOKUP(2,1/(#REF!=Z5194),#REF!),""))</f>
        <v/>
      </c>
      <c r="AB5194" t="str">
        <f>IF(Z5194="","",IFERROR(LOOKUP(2,1/(#REF!=Z5194),#REF!),""))</f>
        <v/>
      </c>
      <c r="AC5194" t="str">
        <f>IF(Z5194="","",COUNTIF(#REF!,Z5194))</f>
        <v/>
      </c>
      <c r="AD5194" t="str">
        <f>IF(A5194="","",IF(AC5194&gt;1,"REVISAR DUPLICADO",IF(AA5194&lt;&gt;"","ACTUALIZADO POR EYR","SIN REPORTE EYR")))</f>
        <v/>
      </c>
    </row>
    <row r="5195" spans="11:30" x14ac:dyDescent="0.3">
      <c r="K5195" s="1" t="str">
        <f ca="1">IF(A5195="","",IF(OR(L5195="ENTREGADA",L5195="RETORNADA",L5195="ENTREGA DIGITAL"),0,MAX(0,5-NETWORKDAYS(H5195+1,TODAY()))))</f>
        <v/>
      </c>
      <c r="L5195" t="str">
        <f>IF(A5195="","",IFERROR(LOOKUP(2,1/(#REF!=Z5195),#REF!),Y5195))</f>
        <v/>
      </c>
      <c r="Z5195" t="str">
        <f>IF(A5195="","",TEXT(A5195,"0")&amp;"|"&amp;TEXT(H5195,"0"))</f>
        <v/>
      </c>
      <c r="AA5195" t="str">
        <f>IF(Z5195="","",IFERROR(LOOKUP(2,1/(#REF!=Z5195),#REF!),""))</f>
        <v/>
      </c>
      <c r="AB5195" t="str">
        <f>IF(Z5195="","",IFERROR(LOOKUP(2,1/(#REF!=Z5195),#REF!),""))</f>
        <v/>
      </c>
      <c r="AC5195" t="str">
        <f>IF(Z5195="","",COUNTIF(#REF!,Z5195))</f>
        <v/>
      </c>
      <c r="AD5195" t="str">
        <f>IF(A5195="","",IF(AC5195&gt;1,"REVISAR DUPLICADO",IF(AA5195&lt;&gt;"","ACTUALIZADO POR EYR","SIN REPORTE EYR")))</f>
        <v/>
      </c>
    </row>
    <row r="5196" spans="11:30" x14ac:dyDescent="0.3">
      <c r="K5196" s="1" t="str">
        <f ca="1">IF(A5196="","",IF(OR(L5196="ENTREGADA",L5196="RETORNADA",L5196="ENTREGA DIGITAL"),0,MAX(0,5-NETWORKDAYS(H5196+1,TODAY()))))</f>
        <v/>
      </c>
      <c r="L5196" t="str">
        <f>IF(A5196="","",IFERROR(LOOKUP(2,1/(#REF!=Z5196),#REF!),Y5196))</f>
        <v/>
      </c>
      <c r="Z5196" t="str">
        <f>IF(A5196="","",TEXT(A5196,"0")&amp;"|"&amp;TEXT(H5196,"0"))</f>
        <v/>
      </c>
      <c r="AA5196" t="str">
        <f>IF(Z5196="","",IFERROR(LOOKUP(2,1/(#REF!=Z5196),#REF!),""))</f>
        <v/>
      </c>
      <c r="AB5196" t="str">
        <f>IF(Z5196="","",IFERROR(LOOKUP(2,1/(#REF!=Z5196),#REF!),""))</f>
        <v/>
      </c>
      <c r="AC5196" t="str">
        <f>IF(Z5196="","",COUNTIF(#REF!,Z5196))</f>
        <v/>
      </c>
      <c r="AD5196" t="str">
        <f>IF(A5196="","",IF(AC5196&gt;1,"REVISAR DUPLICADO",IF(AA5196&lt;&gt;"","ACTUALIZADO POR EYR","SIN REPORTE EYR")))</f>
        <v/>
      </c>
    </row>
    <row r="5197" spans="11:30" x14ac:dyDescent="0.3">
      <c r="K5197" s="1" t="str">
        <f ca="1">IF(A5197="","",IF(OR(L5197="ENTREGADA",L5197="RETORNADA",L5197="ENTREGA DIGITAL"),0,MAX(0,5-NETWORKDAYS(H5197+1,TODAY()))))</f>
        <v/>
      </c>
      <c r="L5197" t="str">
        <f>IF(A5197="","",IFERROR(LOOKUP(2,1/(#REF!=Z5197),#REF!),Y5197))</f>
        <v/>
      </c>
      <c r="Z5197" t="str">
        <f>IF(A5197="","",TEXT(A5197,"0")&amp;"|"&amp;TEXT(H5197,"0"))</f>
        <v/>
      </c>
      <c r="AA5197" t="str">
        <f>IF(Z5197="","",IFERROR(LOOKUP(2,1/(#REF!=Z5197),#REF!),""))</f>
        <v/>
      </c>
      <c r="AB5197" t="str">
        <f>IF(Z5197="","",IFERROR(LOOKUP(2,1/(#REF!=Z5197),#REF!),""))</f>
        <v/>
      </c>
      <c r="AC5197" t="str">
        <f>IF(Z5197="","",COUNTIF(#REF!,Z5197))</f>
        <v/>
      </c>
      <c r="AD5197" t="str">
        <f>IF(A5197="","",IF(AC5197&gt;1,"REVISAR DUPLICADO",IF(AA5197&lt;&gt;"","ACTUALIZADO POR EYR","SIN REPORTE EYR")))</f>
        <v/>
      </c>
    </row>
    <row r="5198" spans="11:30" x14ac:dyDescent="0.3">
      <c r="K5198" s="1" t="str">
        <f ca="1">IF(A5198="","",IF(OR(L5198="ENTREGADA",L5198="RETORNADA",L5198="ENTREGA DIGITAL"),0,MAX(0,5-NETWORKDAYS(H5198+1,TODAY()))))</f>
        <v/>
      </c>
      <c r="L5198" t="str">
        <f>IF(A5198="","",IFERROR(LOOKUP(2,1/(#REF!=Z5198),#REF!),Y5198))</f>
        <v/>
      </c>
      <c r="Z5198" t="str">
        <f>IF(A5198="","",TEXT(A5198,"0")&amp;"|"&amp;TEXT(H5198,"0"))</f>
        <v/>
      </c>
      <c r="AA5198" t="str">
        <f>IF(Z5198="","",IFERROR(LOOKUP(2,1/(#REF!=Z5198),#REF!),""))</f>
        <v/>
      </c>
      <c r="AB5198" t="str">
        <f>IF(Z5198="","",IFERROR(LOOKUP(2,1/(#REF!=Z5198),#REF!),""))</f>
        <v/>
      </c>
      <c r="AC5198" t="str">
        <f>IF(Z5198="","",COUNTIF(#REF!,Z5198))</f>
        <v/>
      </c>
      <c r="AD5198" t="str">
        <f>IF(A5198="","",IF(AC5198&gt;1,"REVISAR DUPLICADO",IF(AA5198&lt;&gt;"","ACTUALIZADO POR EYR","SIN REPORTE EYR")))</f>
        <v/>
      </c>
    </row>
    <row r="5199" spans="11:30" x14ac:dyDescent="0.3">
      <c r="K5199" s="1" t="str">
        <f ca="1">IF(A5199="","",IF(OR(L5199="ENTREGADA",L5199="RETORNADA",L5199="ENTREGA DIGITAL"),0,MAX(0,5-NETWORKDAYS(H5199+1,TODAY()))))</f>
        <v/>
      </c>
      <c r="L5199" t="str">
        <f>IF(A5199="","",IFERROR(LOOKUP(2,1/(#REF!=Z5199),#REF!),Y5199))</f>
        <v/>
      </c>
      <c r="Z5199" t="str">
        <f>IF(A5199="","",TEXT(A5199,"0")&amp;"|"&amp;TEXT(H5199,"0"))</f>
        <v/>
      </c>
      <c r="AA5199" t="str">
        <f>IF(Z5199="","",IFERROR(LOOKUP(2,1/(#REF!=Z5199),#REF!),""))</f>
        <v/>
      </c>
      <c r="AB5199" t="str">
        <f>IF(Z5199="","",IFERROR(LOOKUP(2,1/(#REF!=Z5199),#REF!),""))</f>
        <v/>
      </c>
      <c r="AC5199" t="str">
        <f>IF(Z5199="","",COUNTIF(#REF!,Z5199))</f>
        <v/>
      </c>
      <c r="AD5199" t="str">
        <f>IF(A5199="","",IF(AC5199&gt;1,"REVISAR DUPLICADO",IF(AA5199&lt;&gt;"","ACTUALIZADO POR EYR","SIN REPORTE EYR")))</f>
        <v/>
      </c>
    </row>
    <row r="5200" spans="11:30" x14ac:dyDescent="0.3">
      <c r="K5200" s="1" t="str">
        <f ca="1">IF(A5200="","",IF(OR(L5200="ENTREGADA",L5200="RETORNADA",L5200="ENTREGA DIGITAL"),0,MAX(0,5-NETWORKDAYS(H5200+1,TODAY()))))</f>
        <v/>
      </c>
      <c r="L5200" t="str">
        <f>IF(A5200="","",IFERROR(LOOKUP(2,1/(#REF!=Z5200),#REF!),Y5200))</f>
        <v/>
      </c>
      <c r="Z5200" t="str">
        <f>IF(A5200="","",TEXT(A5200,"0")&amp;"|"&amp;TEXT(H5200,"0"))</f>
        <v/>
      </c>
      <c r="AA5200" t="str">
        <f>IF(Z5200="","",IFERROR(LOOKUP(2,1/(#REF!=Z5200),#REF!),""))</f>
        <v/>
      </c>
      <c r="AB5200" t="str">
        <f>IF(Z5200="","",IFERROR(LOOKUP(2,1/(#REF!=Z5200),#REF!),""))</f>
        <v/>
      </c>
      <c r="AC5200" t="str">
        <f>IF(Z5200="","",COUNTIF(#REF!,Z5200))</f>
        <v/>
      </c>
      <c r="AD5200" t="str">
        <f>IF(A5200="","",IF(AC5200&gt;1,"REVISAR DUPLICADO",IF(AA5200&lt;&gt;"","ACTUALIZADO POR EYR","SIN REPORTE EYR")))</f>
        <v/>
      </c>
    </row>
    <row r="5201" spans="11:30" x14ac:dyDescent="0.3">
      <c r="K5201" s="1" t="str">
        <f ca="1">IF(A5201="","",IF(OR(L5201="ENTREGADA",L5201="RETORNADA",L5201="ENTREGA DIGITAL"),0,MAX(0,5-NETWORKDAYS(H5201+1,TODAY()))))</f>
        <v/>
      </c>
      <c r="L5201" t="str">
        <f>IF(A5201="","",IFERROR(LOOKUP(2,1/(#REF!=Z5201),#REF!),Y5201))</f>
        <v/>
      </c>
      <c r="Z5201" t="str">
        <f>IF(A5201="","",TEXT(A5201,"0")&amp;"|"&amp;TEXT(H5201,"0"))</f>
        <v/>
      </c>
      <c r="AA5201" t="str">
        <f>IF(Z5201="","",IFERROR(LOOKUP(2,1/(#REF!=Z5201),#REF!),""))</f>
        <v/>
      </c>
      <c r="AB5201" t="str">
        <f>IF(Z5201="","",IFERROR(LOOKUP(2,1/(#REF!=Z5201),#REF!),""))</f>
        <v/>
      </c>
      <c r="AC5201" t="str">
        <f>IF(Z5201="","",COUNTIF(#REF!,Z5201))</f>
        <v/>
      </c>
      <c r="AD5201" t="str">
        <f>IF(A5201="","",IF(AC5201&gt;1,"REVISAR DUPLICADO",IF(AA5201&lt;&gt;"","ACTUALIZADO POR EYR","SIN REPORTE EYR")))</f>
        <v/>
      </c>
    </row>
    <row r="5202" spans="11:30" x14ac:dyDescent="0.3">
      <c r="K5202" s="1" t="str">
        <f ca="1">IF(A5202="","",IF(OR(L5202="ENTREGADA",L5202="RETORNADA",L5202="ENTREGA DIGITAL"),0,MAX(0,5-NETWORKDAYS(H5202+1,TODAY()))))</f>
        <v/>
      </c>
      <c r="L5202" t="str">
        <f>IF(A5202="","",IFERROR(LOOKUP(2,1/(#REF!=Z5202),#REF!),Y5202))</f>
        <v/>
      </c>
      <c r="Z5202" t="str">
        <f>IF(A5202="","",TEXT(A5202,"0")&amp;"|"&amp;TEXT(H5202,"0"))</f>
        <v/>
      </c>
      <c r="AA5202" t="str">
        <f>IF(Z5202="","",IFERROR(LOOKUP(2,1/(#REF!=Z5202),#REF!),""))</f>
        <v/>
      </c>
      <c r="AB5202" t="str">
        <f>IF(Z5202="","",IFERROR(LOOKUP(2,1/(#REF!=Z5202),#REF!),""))</f>
        <v/>
      </c>
      <c r="AC5202" t="str">
        <f>IF(Z5202="","",COUNTIF(#REF!,Z5202))</f>
        <v/>
      </c>
      <c r="AD5202" t="str">
        <f>IF(A5202="","",IF(AC5202&gt;1,"REVISAR DUPLICADO",IF(AA5202&lt;&gt;"","ACTUALIZADO POR EYR","SIN REPORTE EYR")))</f>
        <v/>
      </c>
    </row>
    <row r="5203" spans="11:30" x14ac:dyDescent="0.3">
      <c r="K5203" s="1" t="str">
        <f ca="1">IF(A5203="","",IF(OR(L5203="ENTREGADA",L5203="RETORNADA",L5203="ENTREGA DIGITAL"),0,MAX(0,5-NETWORKDAYS(H5203+1,TODAY()))))</f>
        <v/>
      </c>
      <c r="L5203" t="str">
        <f>IF(A5203="","",IFERROR(LOOKUP(2,1/(#REF!=Z5203),#REF!),Y5203))</f>
        <v/>
      </c>
      <c r="Z5203" t="str">
        <f>IF(A5203="","",TEXT(A5203,"0")&amp;"|"&amp;TEXT(H5203,"0"))</f>
        <v/>
      </c>
      <c r="AA5203" t="str">
        <f>IF(Z5203="","",IFERROR(LOOKUP(2,1/(#REF!=Z5203),#REF!),""))</f>
        <v/>
      </c>
      <c r="AB5203" t="str">
        <f>IF(Z5203="","",IFERROR(LOOKUP(2,1/(#REF!=Z5203),#REF!),""))</f>
        <v/>
      </c>
      <c r="AC5203" t="str">
        <f>IF(Z5203="","",COUNTIF(#REF!,Z5203))</f>
        <v/>
      </c>
      <c r="AD5203" t="str">
        <f>IF(A5203="","",IF(AC5203&gt;1,"REVISAR DUPLICADO",IF(AA5203&lt;&gt;"","ACTUALIZADO POR EYR","SIN REPORTE EYR")))</f>
        <v/>
      </c>
    </row>
    <row r="5204" spans="11:30" x14ac:dyDescent="0.3">
      <c r="K5204" s="1" t="str">
        <f ca="1">IF(A5204="","",IF(OR(L5204="ENTREGADA",L5204="RETORNADA",L5204="ENTREGA DIGITAL"),0,MAX(0,5-NETWORKDAYS(H5204+1,TODAY()))))</f>
        <v/>
      </c>
      <c r="L5204" t="str">
        <f>IF(A5204="","",IFERROR(LOOKUP(2,1/(#REF!=Z5204),#REF!),Y5204))</f>
        <v/>
      </c>
      <c r="Z5204" t="str">
        <f>IF(A5204="","",TEXT(A5204,"0")&amp;"|"&amp;TEXT(H5204,"0"))</f>
        <v/>
      </c>
      <c r="AA5204" t="str">
        <f>IF(Z5204="","",IFERROR(LOOKUP(2,1/(#REF!=Z5204),#REF!),""))</f>
        <v/>
      </c>
      <c r="AB5204" t="str">
        <f>IF(Z5204="","",IFERROR(LOOKUP(2,1/(#REF!=Z5204),#REF!),""))</f>
        <v/>
      </c>
      <c r="AC5204" t="str">
        <f>IF(Z5204="","",COUNTIF(#REF!,Z5204))</f>
        <v/>
      </c>
      <c r="AD5204" t="str">
        <f>IF(A5204="","",IF(AC5204&gt;1,"REVISAR DUPLICADO",IF(AA5204&lt;&gt;"","ACTUALIZADO POR EYR","SIN REPORTE EYR")))</f>
        <v/>
      </c>
    </row>
    <row r="5205" spans="11:30" x14ac:dyDescent="0.3">
      <c r="K5205" s="1" t="str">
        <f ca="1">IF(A5205="","",IF(OR(L5205="ENTREGADA",L5205="RETORNADA",L5205="ENTREGA DIGITAL"),0,MAX(0,5-NETWORKDAYS(H5205+1,TODAY()))))</f>
        <v/>
      </c>
      <c r="L5205" t="str">
        <f>IF(A5205="","",IFERROR(LOOKUP(2,1/(#REF!=Z5205),#REF!),Y5205))</f>
        <v/>
      </c>
      <c r="Z5205" t="str">
        <f>IF(A5205="","",TEXT(A5205,"0")&amp;"|"&amp;TEXT(H5205,"0"))</f>
        <v/>
      </c>
      <c r="AA5205" t="str">
        <f>IF(Z5205="","",IFERROR(LOOKUP(2,1/(#REF!=Z5205),#REF!),""))</f>
        <v/>
      </c>
      <c r="AB5205" t="str">
        <f>IF(Z5205="","",IFERROR(LOOKUP(2,1/(#REF!=Z5205),#REF!),""))</f>
        <v/>
      </c>
      <c r="AC5205" t="str">
        <f>IF(Z5205="","",COUNTIF(#REF!,Z5205))</f>
        <v/>
      </c>
      <c r="AD5205" t="str">
        <f>IF(A5205="","",IF(AC5205&gt;1,"REVISAR DUPLICADO",IF(AA5205&lt;&gt;"","ACTUALIZADO POR EYR","SIN REPORTE EYR")))</f>
        <v/>
      </c>
    </row>
    <row r="5206" spans="11:30" x14ac:dyDescent="0.3">
      <c r="K5206" s="1" t="str">
        <f ca="1">IF(A5206="","",IF(OR(L5206="ENTREGADA",L5206="RETORNADA",L5206="ENTREGA DIGITAL"),0,MAX(0,5-NETWORKDAYS(H5206+1,TODAY()))))</f>
        <v/>
      </c>
      <c r="L5206" t="str">
        <f>IF(A5206="","",IFERROR(LOOKUP(2,1/(#REF!=Z5206),#REF!),Y5206))</f>
        <v/>
      </c>
      <c r="Z5206" t="str">
        <f>IF(A5206="","",TEXT(A5206,"0")&amp;"|"&amp;TEXT(H5206,"0"))</f>
        <v/>
      </c>
      <c r="AA5206" t="str">
        <f>IF(Z5206="","",IFERROR(LOOKUP(2,1/(#REF!=Z5206),#REF!),""))</f>
        <v/>
      </c>
      <c r="AB5206" t="str">
        <f>IF(Z5206="","",IFERROR(LOOKUP(2,1/(#REF!=Z5206),#REF!),""))</f>
        <v/>
      </c>
      <c r="AC5206" t="str">
        <f>IF(Z5206="","",COUNTIF(#REF!,Z5206))</f>
        <v/>
      </c>
      <c r="AD5206" t="str">
        <f>IF(A5206="","",IF(AC5206&gt;1,"REVISAR DUPLICADO",IF(AA5206&lt;&gt;"","ACTUALIZADO POR EYR","SIN REPORTE EYR")))</f>
        <v/>
      </c>
    </row>
    <row r="5207" spans="11:30" x14ac:dyDescent="0.3">
      <c r="K5207" s="1" t="str">
        <f ca="1">IF(A5207="","",IF(OR(L5207="ENTREGADA",L5207="RETORNADA",L5207="ENTREGA DIGITAL"),0,MAX(0,5-NETWORKDAYS(H5207+1,TODAY()))))</f>
        <v/>
      </c>
      <c r="L5207" t="str">
        <f>IF(A5207="","",IFERROR(LOOKUP(2,1/(#REF!=Z5207),#REF!),Y5207))</f>
        <v/>
      </c>
      <c r="Z5207" t="str">
        <f>IF(A5207="","",TEXT(A5207,"0")&amp;"|"&amp;TEXT(H5207,"0"))</f>
        <v/>
      </c>
      <c r="AA5207" t="str">
        <f>IF(Z5207="","",IFERROR(LOOKUP(2,1/(#REF!=Z5207),#REF!),""))</f>
        <v/>
      </c>
      <c r="AB5207" t="str">
        <f>IF(Z5207="","",IFERROR(LOOKUP(2,1/(#REF!=Z5207),#REF!),""))</f>
        <v/>
      </c>
      <c r="AC5207" t="str">
        <f>IF(Z5207="","",COUNTIF(#REF!,Z5207))</f>
        <v/>
      </c>
      <c r="AD5207" t="str">
        <f>IF(A5207="","",IF(AC5207&gt;1,"REVISAR DUPLICADO",IF(AA5207&lt;&gt;"","ACTUALIZADO POR EYR","SIN REPORTE EYR")))</f>
        <v/>
      </c>
    </row>
    <row r="5208" spans="11:30" x14ac:dyDescent="0.3">
      <c r="K5208" s="1" t="str">
        <f ca="1">IF(A5208="","",IF(OR(L5208="ENTREGADA",L5208="RETORNADA",L5208="ENTREGA DIGITAL"),0,MAX(0,5-NETWORKDAYS(H5208+1,TODAY()))))</f>
        <v/>
      </c>
      <c r="L5208" t="str">
        <f>IF(A5208="","",IFERROR(LOOKUP(2,1/(#REF!=Z5208),#REF!),Y5208))</f>
        <v/>
      </c>
      <c r="Z5208" t="str">
        <f>IF(A5208="","",TEXT(A5208,"0")&amp;"|"&amp;TEXT(H5208,"0"))</f>
        <v/>
      </c>
      <c r="AA5208" t="str">
        <f>IF(Z5208="","",IFERROR(LOOKUP(2,1/(#REF!=Z5208),#REF!),""))</f>
        <v/>
      </c>
      <c r="AB5208" t="str">
        <f>IF(Z5208="","",IFERROR(LOOKUP(2,1/(#REF!=Z5208),#REF!),""))</f>
        <v/>
      </c>
      <c r="AC5208" t="str">
        <f>IF(Z5208="","",COUNTIF(#REF!,Z5208))</f>
        <v/>
      </c>
      <c r="AD5208" t="str">
        <f>IF(A5208="","",IF(AC5208&gt;1,"REVISAR DUPLICADO",IF(AA5208&lt;&gt;"","ACTUALIZADO POR EYR","SIN REPORTE EYR")))</f>
        <v/>
      </c>
    </row>
    <row r="5209" spans="11:30" x14ac:dyDescent="0.3">
      <c r="K5209" s="1" t="str">
        <f ca="1">IF(A5209="","",IF(OR(L5209="ENTREGADA",L5209="RETORNADA",L5209="ENTREGA DIGITAL"),0,MAX(0,5-NETWORKDAYS(H5209+1,TODAY()))))</f>
        <v/>
      </c>
      <c r="L5209" t="str">
        <f>IF(A5209="","",IFERROR(LOOKUP(2,1/(#REF!=Z5209),#REF!),Y5209))</f>
        <v/>
      </c>
      <c r="Z5209" t="str">
        <f>IF(A5209="","",TEXT(A5209,"0")&amp;"|"&amp;TEXT(H5209,"0"))</f>
        <v/>
      </c>
      <c r="AA5209" t="str">
        <f>IF(Z5209="","",IFERROR(LOOKUP(2,1/(#REF!=Z5209),#REF!),""))</f>
        <v/>
      </c>
      <c r="AB5209" t="str">
        <f>IF(Z5209="","",IFERROR(LOOKUP(2,1/(#REF!=Z5209),#REF!),""))</f>
        <v/>
      </c>
      <c r="AC5209" t="str">
        <f>IF(Z5209="","",COUNTIF(#REF!,Z5209))</f>
        <v/>
      </c>
      <c r="AD5209" t="str">
        <f>IF(A5209="","",IF(AC5209&gt;1,"REVISAR DUPLICADO",IF(AA5209&lt;&gt;"","ACTUALIZADO POR EYR","SIN REPORTE EYR")))</f>
        <v/>
      </c>
    </row>
    <row r="5210" spans="11:30" x14ac:dyDescent="0.3">
      <c r="K5210" s="1" t="str">
        <f ca="1">IF(A5210="","",IF(OR(L5210="ENTREGADA",L5210="RETORNADA",L5210="ENTREGA DIGITAL"),0,MAX(0,5-NETWORKDAYS(H5210+1,TODAY()))))</f>
        <v/>
      </c>
      <c r="L5210" t="str">
        <f>IF(A5210="","",IFERROR(LOOKUP(2,1/(#REF!=Z5210),#REF!),Y5210))</f>
        <v/>
      </c>
      <c r="Z5210" t="str">
        <f>IF(A5210="","",TEXT(A5210,"0")&amp;"|"&amp;TEXT(H5210,"0"))</f>
        <v/>
      </c>
      <c r="AA5210" t="str">
        <f>IF(Z5210="","",IFERROR(LOOKUP(2,1/(#REF!=Z5210),#REF!),""))</f>
        <v/>
      </c>
      <c r="AB5210" t="str">
        <f>IF(Z5210="","",IFERROR(LOOKUP(2,1/(#REF!=Z5210),#REF!),""))</f>
        <v/>
      </c>
      <c r="AC5210" t="str">
        <f>IF(Z5210="","",COUNTIF(#REF!,Z5210))</f>
        <v/>
      </c>
      <c r="AD5210" t="str">
        <f>IF(A5210="","",IF(AC5210&gt;1,"REVISAR DUPLICADO",IF(AA5210&lt;&gt;"","ACTUALIZADO POR EYR","SIN REPORTE EYR")))</f>
        <v/>
      </c>
    </row>
    <row r="5211" spans="11:30" x14ac:dyDescent="0.3">
      <c r="K5211" s="1" t="str">
        <f ca="1">IF(A5211="","",IF(OR(L5211="ENTREGADA",L5211="RETORNADA",L5211="ENTREGA DIGITAL"),0,MAX(0,5-NETWORKDAYS(H5211+1,TODAY()))))</f>
        <v/>
      </c>
      <c r="L5211" t="str">
        <f>IF(A5211="","",IFERROR(LOOKUP(2,1/(#REF!=Z5211),#REF!),Y5211))</f>
        <v/>
      </c>
      <c r="Z5211" t="str">
        <f>IF(A5211="","",TEXT(A5211,"0")&amp;"|"&amp;TEXT(H5211,"0"))</f>
        <v/>
      </c>
      <c r="AA5211" t="str">
        <f>IF(Z5211="","",IFERROR(LOOKUP(2,1/(#REF!=Z5211),#REF!),""))</f>
        <v/>
      </c>
      <c r="AB5211" t="str">
        <f>IF(Z5211="","",IFERROR(LOOKUP(2,1/(#REF!=Z5211),#REF!),""))</f>
        <v/>
      </c>
      <c r="AC5211" t="str">
        <f>IF(Z5211="","",COUNTIF(#REF!,Z5211))</f>
        <v/>
      </c>
      <c r="AD5211" t="str">
        <f>IF(A5211="","",IF(AC5211&gt;1,"REVISAR DUPLICADO",IF(AA5211&lt;&gt;"","ACTUALIZADO POR EYR","SIN REPORTE EYR")))</f>
        <v/>
      </c>
    </row>
    <row r="5212" spans="11:30" x14ac:dyDescent="0.3">
      <c r="K5212" s="1" t="str">
        <f ca="1">IF(A5212="","",IF(OR(L5212="ENTREGADA",L5212="RETORNADA",L5212="ENTREGA DIGITAL"),0,MAX(0,5-NETWORKDAYS(H5212+1,TODAY()))))</f>
        <v/>
      </c>
      <c r="L5212" t="str">
        <f>IF(A5212="","",IFERROR(LOOKUP(2,1/(#REF!=Z5212),#REF!),Y5212))</f>
        <v/>
      </c>
      <c r="Z5212" t="str">
        <f>IF(A5212="","",TEXT(A5212,"0")&amp;"|"&amp;TEXT(H5212,"0"))</f>
        <v/>
      </c>
      <c r="AA5212" t="str">
        <f>IF(Z5212="","",IFERROR(LOOKUP(2,1/(#REF!=Z5212),#REF!),""))</f>
        <v/>
      </c>
      <c r="AB5212" t="str">
        <f>IF(Z5212="","",IFERROR(LOOKUP(2,1/(#REF!=Z5212),#REF!),""))</f>
        <v/>
      </c>
      <c r="AC5212" t="str">
        <f>IF(Z5212="","",COUNTIF(#REF!,Z5212))</f>
        <v/>
      </c>
      <c r="AD5212" t="str">
        <f>IF(A5212="","",IF(AC5212&gt;1,"REVISAR DUPLICADO",IF(AA5212&lt;&gt;"","ACTUALIZADO POR EYR","SIN REPORTE EYR")))</f>
        <v/>
      </c>
    </row>
    <row r="5213" spans="11:30" x14ac:dyDescent="0.3">
      <c r="K5213" s="1" t="str">
        <f ca="1">IF(A5213="","",IF(OR(L5213="ENTREGADA",L5213="RETORNADA",L5213="ENTREGA DIGITAL"),0,MAX(0,5-NETWORKDAYS(H5213+1,TODAY()))))</f>
        <v/>
      </c>
      <c r="L5213" t="str">
        <f>IF(A5213="","",IFERROR(LOOKUP(2,1/(#REF!=Z5213),#REF!),Y5213))</f>
        <v/>
      </c>
      <c r="Z5213" t="str">
        <f>IF(A5213="","",TEXT(A5213,"0")&amp;"|"&amp;TEXT(H5213,"0"))</f>
        <v/>
      </c>
      <c r="AA5213" t="str">
        <f>IF(Z5213="","",IFERROR(LOOKUP(2,1/(#REF!=Z5213),#REF!),""))</f>
        <v/>
      </c>
      <c r="AB5213" t="str">
        <f>IF(Z5213="","",IFERROR(LOOKUP(2,1/(#REF!=Z5213),#REF!),""))</f>
        <v/>
      </c>
      <c r="AC5213" t="str">
        <f>IF(Z5213="","",COUNTIF(#REF!,Z5213))</f>
        <v/>
      </c>
      <c r="AD5213" t="str">
        <f>IF(A5213="","",IF(AC5213&gt;1,"REVISAR DUPLICADO",IF(AA5213&lt;&gt;"","ACTUALIZADO POR EYR","SIN REPORTE EYR")))</f>
        <v/>
      </c>
    </row>
    <row r="5214" spans="11:30" x14ac:dyDescent="0.3">
      <c r="K5214" s="1" t="str">
        <f ca="1">IF(A5214="","",IF(OR(L5214="ENTREGADA",L5214="RETORNADA",L5214="ENTREGA DIGITAL"),0,MAX(0,5-NETWORKDAYS(H5214+1,TODAY()))))</f>
        <v/>
      </c>
      <c r="L5214" t="str">
        <f>IF(A5214="","",IFERROR(LOOKUP(2,1/(#REF!=Z5214),#REF!),Y5214))</f>
        <v/>
      </c>
      <c r="Z5214" t="str">
        <f>IF(A5214="","",TEXT(A5214,"0")&amp;"|"&amp;TEXT(H5214,"0"))</f>
        <v/>
      </c>
      <c r="AA5214" t="str">
        <f>IF(Z5214="","",IFERROR(LOOKUP(2,1/(#REF!=Z5214),#REF!),""))</f>
        <v/>
      </c>
      <c r="AB5214" t="str">
        <f>IF(Z5214="","",IFERROR(LOOKUP(2,1/(#REF!=Z5214),#REF!),""))</f>
        <v/>
      </c>
      <c r="AC5214" t="str">
        <f>IF(Z5214="","",COUNTIF(#REF!,Z5214))</f>
        <v/>
      </c>
      <c r="AD5214" t="str">
        <f>IF(A5214="","",IF(AC5214&gt;1,"REVISAR DUPLICADO",IF(AA5214&lt;&gt;"","ACTUALIZADO POR EYR","SIN REPORTE EYR")))</f>
        <v/>
      </c>
    </row>
    <row r="5215" spans="11:30" x14ac:dyDescent="0.3">
      <c r="K5215" s="1" t="str">
        <f ca="1">IF(A5215="","",IF(OR(L5215="ENTREGADA",L5215="RETORNADA",L5215="ENTREGA DIGITAL"),0,MAX(0,5-NETWORKDAYS(H5215+1,TODAY()))))</f>
        <v/>
      </c>
      <c r="L5215" t="str">
        <f>IF(A5215="","",IFERROR(LOOKUP(2,1/(#REF!=Z5215),#REF!),Y5215))</f>
        <v/>
      </c>
      <c r="Z5215" t="str">
        <f>IF(A5215="","",TEXT(A5215,"0")&amp;"|"&amp;TEXT(H5215,"0"))</f>
        <v/>
      </c>
      <c r="AA5215" t="str">
        <f>IF(Z5215="","",IFERROR(LOOKUP(2,1/(#REF!=Z5215),#REF!),""))</f>
        <v/>
      </c>
      <c r="AB5215" t="str">
        <f>IF(Z5215="","",IFERROR(LOOKUP(2,1/(#REF!=Z5215),#REF!),""))</f>
        <v/>
      </c>
      <c r="AC5215" t="str">
        <f>IF(Z5215="","",COUNTIF(#REF!,Z5215))</f>
        <v/>
      </c>
      <c r="AD5215" t="str">
        <f>IF(A5215="","",IF(AC5215&gt;1,"REVISAR DUPLICADO",IF(AA5215&lt;&gt;"","ACTUALIZADO POR EYR","SIN REPORTE EYR")))</f>
        <v/>
      </c>
    </row>
    <row r="5216" spans="11:30" x14ac:dyDescent="0.3">
      <c r="K5216" s="1" t="str">
        <f ca="1">IF(A5216="","",IF(OR(L5216="ENTREGADA",L5216="RETORNADA",L5216="ENTREGA DIGITAL"),0,MAX(0,5-NETWORKDAYS(H5216+1,TODAY()))))</f>
        <v/>
      </c>
      <c r="L5216" t="str">
        <f>IF(A5216="","",IFERROR(LOOKUP(2,1/(#REF!=Z5216),#REF!),Y5216))</f>
        <v/>
      </c>
      <c r="Z5216" t="str">
        <f>IF(A5216="","",TEXT(A5216,"0")&amp;"|"&amp;TEXT(H5216,"0"))</f>
        <v/>
      </c>
      <c r="AA5216" t="str">
        <f>IF(Z5216="","",IFERROR(LOOKUP(2,1/(#REF!=Z5216),#REF!),""))</f>
        <v/>
      </c>
      <c r="AB5216" t="str">
        <f>IF(Z5216="","",IFERROR(LOOKUP(2,1/(#REF!=Z5216),#REF!),""))</f>
        <v/>
      </c>
      <c r="AC5216" t="str">
        <f>IF(Z5216="","",COUNTIF(#REF!,Z5216))</f>
        <v/>
      </c>
      <c r="AD5216" t="str">
        <f>IF(A5216="","",IF(AC5216&gt;1,"REVISAR DUPLICADO",IF(AA5216&lt;&gt;"","ACTUALIZADO POR EYR","SIN REPORTE EYR")))</f>
        <v/>
      </c>
    </row>
    <row r="5217" spans="11:30" x14ac:dyDescent="0.3">
      <c r="K5217" s="1" t="str">
        <f ca="1">IF(A5217="","",IF(OR(L5217="ENTREGADA",L5217="RETORNADA",L5217="ENTREGA DIGITAL"),0,MAX(0,5-NETWORKDAYS(H5217+1,TODAY()))))</f>
        <v/>
      </c>
      <c r="L5217" t="str">
        <f>IF(A5217="","",IFERROR(LOOKUP(2,1/(#REF!=Z5217),#REF!),Y5217))</f>
        <v/>
      </c>
      <c r="Z5217" t="str">
        <f>IF(A5217="","",TEXT(A5217,"0")&amp;"|"&amp;TEXT(H5217,"0"))</f>
        <v/>
      </c>
      <c r="AA5217" t="str">
        <f>IF(Z5217="","",IFERROR(LOOKUP(2,1/(#REF!=Z5217),#REF!),""))</f>
        <v/>
      </c>
      <c r="AB5217" t="str">
        <f>IF(Z5217="","",IFERROR(LOOKUP(2,1/(#REF!=Z5217),#REF!),""))</f>
        <v/>
      </c>
      <c r="AC5217" t="str">
        <f>IF(Z5217="","",COUNTIF(#REF!,Z5217))</f>
        <v/>
      </c>
      <c r="AD5217" t="str">
        <f>IF(A5217="","",IF(AC5217&gt;1,"REVISAR DUPLICADO",IF(AA5217&lt;&gt;"","ACTUALIZADO POR EYR","SIN REPORTE EYR")))</f>
        <v/>
      </c>
    </row>
    <row r="5218" spans="11:30" x14ac:dyDescent="0.3">
      <c r="K5218" s="1" t="str">
        <f ca="1">IF(A5218="","",IF(OR(L5218="ENTREGADA",L5218="RETORNADA",L5218="ENTREGA DIGITAL"),0,MAX(0,5-NETWORKDAYS(H5218+1,TODAY()))))</f>
        <v/>
      </c>
      <c r="L5218" t="str">
        <f>IF(A5218="","",IFERROR(LOOKUP(2,1/(#REF!=Z5218),#REF!),Y5218))</f>
        <v/>
      </c>
      <c r="Z5218" t="str">
        <f>IF(A5218="","",TEXT(A5218,"0")&amp;"|"&amp;TEXT(H5218,"0"))</f>
        <v/>
      </c>
      <c r="AA5218" t="str">
        <f>IF(Z5218="","",IFERROR(LOOKUP(2,1/(#REF!=Z5218),#REF!),""))</f>
        <v/>
      </c>
      <c r="AB5218" t="str">
        <f>IF(Z5218="","",IFERROR(LOOKUP(2,1/(#REF!=Z5218),#REF!),""))</f>
        <v/>
      </c>
      <c r="AC5218" t="str">
        <f>IF(Z5218="","",COUNTIF(#REF!,Z5218))</f>
        <v/>
      </c>
      <c r="AD5218" t="str">
        <f>IF(A5218="","",IF(AC5218&gt;1,"REVISAR DUPLICADO",IF(AA5218&lt;&gt;"","ACTUALIZADO POR EYR","SIN REPORTE EYR")))</f>
        <v/>
      </c>
    </row>
    <row r="5219" spans="11:30" x14ac:dyDescent="0.3">
      <c r="K5219" s="1" t="str">
        <f ca="1">IF(A5219="","",IF(OR(L5219="ENTREGADA",L5219="RETORNADA",L5219="ENTREGA DIGITAL"),0,MAX(0,5-NETWORKDAYS(H5219+1,TODAY()))))</f>
        <v/>
      </c>
      <c r="L5219" t="str">
        <f>IF(A5219="","",IFERROR(LOOKUP(2,1/(#REF!=Z5219),#REF!),Y5219))</f>
        <v/>
      </c>
      <c r="Z5219" t="str">
        <f>IF(A5219="","",TEXT(A5219,"0")&amp;"|"&amp;TEXT(H5219,"0"))</f>
        <v/>
      </c>
      <c r="AA5219" t="str">
        <f>IF(Z5219="","",IFERROR(LOOKUP(2,1/(#REF!=Z5219),#REF!),""))</f>
        <v/>
      </c>
      <c r="AB5219" t="str">
        <f>IF(Z5219="","",IFERROR(LOOKUP(2,1/(#REF!=Z5219),#REF!),""))</f>
        <v/>
      </c>
      <c r="AC5219" t="str">
        <f>IF(Z5219="","",COUNTIF(#REF!,Z5219))</f>
        <v/>
      </c>
      <c r="AD5219" t="str">
        <f>IF(A5219="","",IF(AC5219&gt;1,"REVISAR DUPLICADO",IF(AA5219&lt;&gt;"","ACTUALIZADO POR EYR","SIN REPORTE EYR")))</f>
        <v/>
      </c>
    </row>
    <row r="5220" spans="11:30" x14ac:dyDescent="0.3">
      <c r="K5220" s="1" t="str">
        <f ca="1">IF(A5220="","",IF(OR(L5220="ENTREGADA",L5220="RETORNADA",L5220="ENTREGA DIGITAL"),0,MAX(0,5-NETWORKDAYS(H5220+1,TODAY()))))</f>
        <v/>
      </c>
      <c r="L5220" t="str">
        <f>IF(A5220="","",IFERROR(LOOKUP(2,1/(#REF!=Z5220),#REF!),Y5220))</f>
        <v/>
      </c>
      <c r="Z5220" t="str">
        <f>IF(A5220="","",TEXT(A5220,"0")&amp;"|"&amp;TEXT(H5220,"0"))</f>
        <v/>
      </c>
      <c r="AA5220" t="str">
        <f>IF(Z5220="","",IFERROR(LOOKUP(2,1/(#REF!=Z5220),#REF!),""))</f>
        <v/>
      </c>
      <c r="AB5220" t="str">
        <f>IF(Z5220="","",IFERROR(LOOKUP(2,1/(#REF!=Z5220),#REF!),""))</f>
        <v/>
      </c>
      <c r="AC5220" t="str">
        <f>IF(Z5220="","",COUNTIF(#REF!,Z5220))</f>
        <v/>
      </c>
      <c r="AD5220" t="str">
        <f>IF(A5220="","",IF(AC5220&gt;1,"REVISAR DUPLICADO",IF(AA5220&lt;&gt;"","ACTUALIZADO POR EYR","SIN REPORTE EYR")))</f>
        <v/>
      </c>
    </row>
    <row r="5221" spans="11:30" x14ac:dyDescent="0.3">
      <c r="K5221" s="1" t="str">
        <f ca="1">IF(A5221="","",IF(OR(L5221="ENTREGADA",L5221="RETORNADA",L5221="ENTREGA DIGITAL"),0,MAX(0,5-NETWORKDAYS(H5221+1,TODAY()))))</f>
        <v/>
      </c>
      <c r="L5221" t="str">
        <f>IF(A5221="","",IFERROR(LOOKUP(2,1/(#REF!=Z5221),#REF!),Y5221))</f>
        <v/>
      </c>
      <c r="Z5221" t="str">
        <f>IF(A5221="","",TEXT(A5221,"0")&amp;"|"&amp;TEXT(H5221,"0"))</f>
        <v/>
      </c>
      <c r="AA5221" t="str">
        <f>IF(Z5221="","",IFERROR(LOOKUP(2,1/(#REF!=Z5221),#REF!),""))</f>
        <v/>
      </c>
      <c r="AB5221" t="str">
        <f>IF(Z5221="","",IFERROR(LOOKUP(2,1/(#REF!=Z5221),#REF!),""))</f>
        <v/>
      </c>
      <c r="AC5221" t="str">
        <f>IF(Z5221="","",COUNTIF(#REF!,Z5221))</f>
        <v/>
      </c>
      <c r="AD5221" t="str">
        <f>IF(A5221="","",IF(AC5221&gt;1,"REVISAR DUPLICADO",IF(AA5221&lt;&gt;"","ACTUALIZADO POR EYR","SIN REPORTE EYR")))</f>
        <v/>
      </c>
    </row>
    <row r="5222" spans="11:30" x14ac:dyDescent="0.3">
      <c r="K5222" s="1" t="str">
        <f ca="1">IF(A5222="","",IF(OR(L5222="ENTREGADA",L5222="RETORNADA",L5222="ENTREGA DIGITAL"),0,MAX(0,5-NETWORKDAYS(H5222+1,TODAY()))))</f>
        <v/>
      </c>
      <c r="L5222" t="str">
        <f>IF(A5222="","",IFERROR(LOOKUP(2,1/(#REF!=Z5222),#REF!),Y5222))</f>
        <v/>
      </c>
      <c r="Z5222" t="str">
        <f>IF(A5222="","",TEXT(A5222,"0")&amp;"|"&amp;TEXT(H5222,"0"))</f>
        <v/>
      </c>
      <c r="AA5222" t="str">
        <f>IF(Z5222="","",IFERROR(LOOKUP(2,1/(#REF!=Z5222),#REF!),""))</f>
        <v/>
      </c>
      <c r="AB5222" t="str">
        <f>IF(Z5222="","",IFERROR(LOOKUP(2,1/(#REF!=Z5222),#REF!),""))</f>
        <v/>
      </c>
      <c r="AC5222" t="str">
        <f>IF(Z5222="","",COUNTIF(#REF!,Z5222))</f>
        <v/>
      </c>
      <c r="AD5222" t="str">
        <f>IF(A5222="","",IF(AC5222&gt;1,"REVISAR DUPLICADO",IF(AA5222&lt;&gt;"","ACTUALIZADO POR EYR","SIN REPORTE EYR")))</f>
        <v/>
      </c>
    </row>
    <row r="5223" spans="11:30" x14ac:dyDescent="0.3">
      <c r="K5223" s="1" t="str">
        <f ca="1">IF(A5223="","",IF(OR(L5223="ENTREGADA",L5223="RETORNADA",L5223="ENTREGA DIGITAL"),0,MAX(0,5-NETWORKDAYS(H5223+1,TODAY()))))</f>
        <v/>
      </c>
      <c r="L5223" t="str">
        <f>IF(A5223="","",IFERROR(LOOKUP(2,1/(#REF!=Z5223),#REF!),Y5223))</f>
        <v/>
      </c>
      <c r="Z5223" t="str">
        <f>IF(A5223="","",TEXT(A5223,"0")&amp;"|"&amp;TEXT(H5223,"0"))</f>
        <v/>
      </c>
      <c r="AA5223" t="str">
        <f>IF(Z5223="","",IFERROR(LOOKUP(2,1/(#REF!=Z5223),#REF!),""))</f>
        <v/>
      </c>
      <c r="AB5223" t="str">
        <f>IF(Z5223="","",IFERROR(LOOKUP(2,1/(#REF!=Z5223),#REF!),""))</f>
        <v/>
      </c>
      <c r="AC5223" t="str">
        <f>IF(Z5223="","",COUNTIF(#REF!,Z5223))</f>
        <v/>
      </c>
      <c r="AD5223" t="str">
        <f>IF(A5223="","",IF(AC5223&gt;1,"REVISAR DUPLICADO",IF(AA5223&lt;&gt;"","ACTUALIZADO POR EYR","SIN REPORTE EYR")))</f>
        <v/>
      </c>
    </row>
    <row r="5224" spans="11:30" x14ac:dyDescent="0.3">
      <c r="K5224" s="1" t="str">
        <f ca="1">IF(A5224="","",IF(OR(L5224="ENTREGADA",L5224="RETORNADA",L5224="ENTREGA DIGITAL"),0,MAX(0,5-NETWORKDAYS(H5224+1,TODAY()))))</f>
        <v/>
      </c>
      <c r="L5224" t="str">
        <f>IF(A5224="","",IFERROR(LOOKUP(2,1/(#REF!=Z5224),#REF!),Y5224))</f>
        <v/>
      </c>
      <c r="Z5224" t="str">
        <f>IF(A5224="","",TEXT(A5224,"0")&amp;"|"&amp;TEXT(H5224,"0"))</f>
        <v/>
      </c>
      <c r="AA5224" t="str">
        <f>IF(Z5224="","",IFERROR(LOOKUP(2,1/(#REF!=Z5224),#REF!),""))</f>
        <v/>
      </c>
      <c r="AB5224" t="str">
        <f>IF(Z5224="","",IFERROR(LOOKUP(2,1/(#REF!=Z5224),#REF!),""))</f>
        <v/>
      </c>
      <c r="AC5224" t="str">
        <f>IF(Z5224="","",COUNTIF(#REF!,Z5224))</f>
        <v/>
      </c>
      <c r="AD5224" t="str">
        <f>IF(A5224="","",IF(AC5224&gt;1,"REVISAR DUPLICADO",IF(AA5224&lt;&gt;"","ACTUALIZADO POR EYR","SIN REPORTE EYR")))</f>
        <v/>
      </c>
    </row>
    <row r="5225" spans="11:30" x14ac:dyDescent="0.3">
      <c r="K5225" s="1" t="str">
        <f ca="1">IF(A5225="","",IF(OR(L5225="ENTREGADA",L5225="RETORNADA",L5225="ENTREGA DIGITAL"),0,MAX(0,5-NETWORKDAYS(H5225+1,TODAY()))))</f>
        <v/>
      </c>
      <c r="L5225" t="str">
        <f>IF(A5225="","",IFERROR(LOOKUP(2,1/(#REF!=Z5225),#REF!),Y5225))</f>
        <v/>
      </c>
      <c r="Z5225" t="str">
        <f>IF(A5225="","",TEXT(A5225,"0")&amp;"|"&amp;TEXT(H5225,"0"))</f>
        <v/>
      </c>
      <c r="AA5225" t="str">
        <f>IF(Z5225="","",IFERROR(LOOKUP(2,1/(#REF!=Z5225),#REF!),""))</f>
        <v/>
      </c>
      <c r="AB5225" t="str">
        <f>IF(Z5225="","",IFERROR(LOOKUP(2,1/(#REF!=Z5225),#REF!),""))</f>
        <v/>
      </c>
      <c r="AC5225" t="str">
        <f>IF(Z5225="","",COUNTIF(#REF!,Z5225))</f>
        <v/>
      </c>
      <c r="AD5225" t="str">
        <f>IF(A5225="","",IF(AC5225&gt;1,"REVISAR DUPLICADO",IF(AA5225&lt;&gt;"","ACTUALIZADO POR EYR","SIN REPORTE EYR")))</f>
        <v/>
      </c>
    </row>
    <row r="5226" spans="11:30" x14ac:dyDescent="0.3">
      <c r="K5226" s="1" t="str">
        <f ca="1">IF(A5226="","",IF(OR(L5226="ENTREGADA",L5226="RETORNADA",L5226="ENTREGA DIGITAL"),0,MAX(0,5-NETWORKDAYS(H5226+1,TODAY()))))</f>
        <v/>
      </c>
      <c r="L5226" t="str">
        <f>IF(A5226="","",IFERROR(LOOKUP(2,1/(#REF!=Z5226),#REF!),Y5226))</f>
        <v/>
      </c>
      <c r="Z5226" t="str">
        <f>IF(A5226="","",TEXT(A5226,"0")&amp;"|"&amp;TEXT(H5226,"0"))</f>
        <v/>
      </c>
      <c r="AA5226" t="str">
        <f>IF(Z5226="","",IFERROR(LOOKUP(2,1/(#REF!=Z5226),#REF!),""))</f>
        <v/>
      </c>
      <c r="AB5226" t="str">
        <f>IF(Z5226="","",IFERROR(LOOKUP(2,1/(#REF!=Z5226),#REF!),""))</f>
        <v/>
      </c>
      <c r="AC5226" t="str">
        <f>IF(Z5226="","",COUNTIF(#REF!,Z5226))</f>
        <v/>
      </c>
      <c r="AD5226" t="str">
        <f>IF(A5226="","",IF(AC5226&gt;1,"REVISAR DUPLICADO",IF(AA5226&lt;&gt;"","ACTUALIZADO POR EYR","SIN REPORTE EYR")))</f>
        <v/>
      </c>
    </row>
    <row r="5227" spans="11:30" x14ac:dyDescent="0.3">
      <c r="K5227" s="1" t="str">
        <f ca="1">IF(A5227="","",IF(OR(L5227="ENTREGADA",L5227="RETORNADA",L5227="ENTREGA DIGITAL"),0,MAX(0,5-NETWORKDAYS(H5227+1,TODAY()))))</f>
        <v/>
      </c>
      <c r="L5227" t="str">
        <f>IF(A5227="","",IFERROR(LOOKUP(2,1/(#REF!=Z5227),#REF!),Y5227))</f>
        <v/>
      </c>
      <c r="Z5227" t="str">
        <f>IF(A5227="","",TEXT(A5227,"0")&amp;"|"&amp;TEXT(H5227,"0"))</f>
        <v/>
      </c>
      <c r="AA5227" t="str">
        <f>IF(Z5227="","",IFERROR(LOOKUP(2,1/(#REF!=Z5227),#REF!),""))</f>
        <v/>
      </c>
      <c r="AB5227" t="str">
        <f>IF(Z5227="","",IFERROR(LOOKUP(2,1/(#REF!=Z5227),#REF!),""))</f>
        <v/>
      </c>
      <c r="AC5227" t="str">
        <f>IF(Z5227="","",COUNTIF(#REF!,Z5227))</f>
        <v/>
      </c>
      <c r="AD5227" t="str">
        <f>IF(A5227="","",IF(AC5227&gt;1,"REVISAR DUPLICADO",IF(AA5227&lt;&gt;"","ACTUALIZADO POR EYR","SIN REPORTE EYR")))</f>
        <v/>
      </c>
    </row>
    <row r="5228" spans="11:30" x14ac:dyDescent="0.3">
      <c r="K5228" s="1" t="str">
        <f ca="1">IF(A5228="","",IF(OR(L5228="ENTREGADA",L5228="RETORNADA",L5228="ENTREGA DIGITAL"),0,MAX(0,5-NETWORKDAYS(H5228+1,TODAY()))))</f>
        <v/>
      </c>
      <c r="L5228" t="str">
        <f>IF(A5228="","",IFERROR(LOOKUP(2,1/(#REF!=Z5228),#REF!),Y5228))</f>
        <v/>
      </c>
      <c r="Z5228" t="str">
        <f>IF(A5228="","",TEXT(A5228,"0")&amp;"|"&amp;TEXT(H5228,"0"))</f>
        <v/>
      </c>
      <c r="AA5228" t="str">
        <f>IF(Z5228="","",IFERROR(LOOKUP(2,1/(#REF!=Z5228),#REF!),""))</f>
        <v/>
      </c>
      <c r="AB5228" t="str">
        <f>IF(Z5228="","",IFERROR(LOOKUP(2,1/(#REF!=Z5228),#REF!),""))</f>
        <v/>
      </c>
      <c r="AC5228" t="str">
        <f>IF(Z5228="","",COUNTIF(#REF!,Z5228))</f>
        <v/>
      </c>
      <c r="AD5228" t="str">
        <f>IF(A5228="","",IF(AC5228&gt;1,"REVISAR DUPLICADO",IF(AA5228&lt;&gt;"","ACTUALIZADO POR EYR","SIN REPORTE EYR")))</f>
        <v/>
      </c>
    </row>
    <row r="5229" spans="11:30" x14ac:dyDescent="0.3">
      <c r="K5229" s="1" t="str">
        <f ca="1">IF(A5229="","",IF(OR(L5229="ENTREGADA",L5229="RETORNADA",L5229="ENTREGA DIGITAL"),0,MAX(0,5-NETWORKDAYS(H5229+1,TODAY()))))</f>
        <v/>
      </c>
      <c r="L5229" t="str">
        <f>IF(A5229="","",IFERROR(LOOKUP(2,1/(#REF!=Z5229),#REF!),Y5229))</f>
        <v/>
      </c>
      <c r="Z5229" t="str">
        <f>IF(A5229="","",TEXT(A5229,"0")&amp;"|"&amp;TEXT(H5229,"0"))</f>
        <v/>
      </c>
      <c r="AA5229" t="str">
        <f>IF(Z5229="","",IFERROR(LOOKUP(2,1/(#REF!=Z5229),#REF!),""))</f>
        <v/>
      </c>
      <c r="AB5229" t="str">
        <f>IF(Z5229="","",IFERROR(LOOKUP(2,1/(#REF!=Z5229),#REF!),""))</f>
        <v/>
      </c>
      <c r="AC5229" t="str">
        <f>IF(Z5229="","",COUNTIF(#REF!,Z5229))</f>
        <v/>
      </c>
      <c r="AD5229" t="str">
        <f>IF(A5229="","",IF(AC5229&gt;1,"REVISAR DUPLICADO",IF(AA5229&lt;&gt;"","ACTUALIZADO POR EYR","SIN REPORTE EYR")))</f>
        <v/>
      </c>
    </row>
    <row r="5230" spans="11:30" x14ac:dyDescent="0.3">
      <c r="K5230" s="1" t="str">
        <f ca="1">IF(A5230="","",IF(OR(L5230="ENTREGADA",L5230="RETORNADA",L5230="ENTREGA DIGITAL"),0,MAX(0,5-NETWORKDAYS(H5230+1,TODAY()))))</f>
        <v/>
      </c>
      <c r="L5230" t="str">
        <f>IF(A5230="","",IFERROR(LOOKUP(2,1/(#REF!=Z5230),#REF!),Y5230))</f>
        <v/>
      </c>
      <c r="Z5230" t="str">
        <f>IF(A5230="","",TEXT(A5230,"0")&amp;"|"&amp;TEXT(H5230,"0"))</f>
        <v/>
      </c>
      <c r="AA5230" t="str">
        <f>IF(Z5230="","",IFERROR(LOOKUP(2,1/(#REF!=Z5230),#REF!),""))</f>
        <v/>
      </c>
      <c r="AB5230" t="str">
        <f>IF(Z5230="","",IFERROR(LOOKUP(2,1/(#REF!=Z5230),#REF!),""))</f>
        <v/>
      </c>
      <c r="AC5230" t="str">
        <f>IF(Z5230="","",COUNTIF(#REF!,Z5230))</f>
        <v/>
      </c>
      <c r="AD5230" t="str">
        <f>IF(A5230="","",IF(AC5230&gt;1,"REVISAR DUPLICADO",IF(AA5230&lt;&gt;"","ACTUALIZADO POR EYR","SIN REPORTE EYR")))</f>
        <v/>
      </c>
    </row>
    <row r="5231" spans="11:30" x14ac:dyDescent="0.3">
      <c r="K5231" s="1" t="str">
        <f ca="1">IF(A5231="","",IF(OR(L5231="ENTREGADA",L5231="RETORNADA",L5231="ENTREGA DIGITAL"),0,MAX(0,5-NETWORKDAYS(H5231+1,TODAY()))))</f>
        <v/>
      </c>
      <c r="L5231" t="str">
        <f>IF(A5231="","",IFERROR(LOOKUP(2,1/(#REF!=Z5231),#REF!),Y5231))</f>
        <v/>
      </c>
      <c r="Z5231" t="str">
        <f>IF(A5231="","",TEXT(A5231,"0")&amp;"|"&amp;TEXT(H5231,"0"))</f>
        <v/>
      </c>
      <c r="AA5231" t="str">
        <f>IF(Z5231="","",IFERROR(LOOKUP(2,1/(#REF!=Z5231),#REF!),""))</f>
        <v/>
      </c>
      <c r="AB5231" t="str">
        <f>IF(Z5231="","",IFERROR(LOOKUP(2,1/(#REF!=Z5231),#REF!),""))</f>
        <v/>
      </c>
      <c r="AC5231" t="str">
        <f>IF(Z5231="","",COUNTIF(#REF!,Z5231))</f>
        <v/>
      </c>
      <c r="AD5231" t="str">
        <f>IF(A5231="","",IF(AC5231&gt;1,"REVISAR DUPLICADO",IF(AA5231&lt;&gt;"","ACTUALIZADO POR EYR","SIN REPORTE EYR")))</f>
        <v/>
      </c>
    </row>
    <row r="5232" spans="11:30" x14ac:dyDescent="0.3">
      <c r="K5232" s="1" t="str">
        <f ca="1">IF(A5232="","",IF(OR(L5232="ENTREGADA",L5232="RETORNADA",L5232="ENTREGA DIGITAL"),0,MAX(0,5-NETWORKDAYS(H5232+1,TODAY()))))</f>
        <v/>
      </c>
      <c r="L5232" t="str">
        <f>IF(A5232="","",IFERROR(LOOKUP(2,1/(#REF!=Z5232),#REF!),Y5232))</f>
        <v/>
      </c>
      <c r="Z5232" t="str">
        <f>IF(A5232="","",TEXT(A5232,"0")&amp;"|"&amp;TEXT(H5232,"0"))</f>
        <v/>
      </c>
      <c r="AA5232" t="str">
        <f>IF(Z5232="","",IFERROR(LOOKUP(2,1/(#REF!=Z5232),#REF!),""))</f>
        <v/>
      </c>
      <c r="AB5232" t="str">
        <f>IF(Z5232="","",IFERROR(LOOKUP(2,1/(#REF!=Z5232),#REF!),""))</f>
        <v/>
      </c>
      <c r="AC5232" t="str">
        <f>IF(Z5232="","",COUNTIF(#REF!,Z5232))</f>
        <v/>
      </c>
      <c r="AD5232" t="str">
        <f>IF(A5232="","",IF(AC5232&gt;1,"REVISAR DUPLICADO",IF(AA5232&lt;&gt;"","ACTUALIZADO POR EYR","SIN REPORTE EYR")))</f>
        <v/>
      </c>
    </row>
    <row r="5233" spans="11:30" x14ac:dyDescent="0.3">
      <c r="K5233" s="1" t="str">
        <f ca="1">IF(A5233="","",IF(OR(L5233="ENTREGADA",L5233="RETORNADA",L5233="ENTREGA DIGITAL"),0,MAX(0,5-NETWORKDAYS(H5233+1,TODAY()))))</f>
        <v/>
      </c>
      <c r="L5233" t="str">
        <f>IF(A5233="","",IFERROR(LOOKUP(2,1/(#REF!=Z5233),#REF!),Y5233))</f>
        <v/>
      </c>
      <c r="Z5233" t="str">
        <f>IF(A5233="","",TEXT(A5233,"0")&amp;"|"&amp;TEXT(H5233,"0"))</f>
        <v/>
      </c>
      <c r="AA5233" t="str">
        <f>IF(Z5233="","",IFERROR(LOOKUP(2,1/(#REF!=Z5233),#REF!),""))</f>
        <v/>
      </c>
      <c r="AB5233" t="str">
        <f>IF(Z5233="","",IFERROR(LOOKUP(2,1/(#REF!=Z5233),#REF!),""))</f>
        <v/>
      </c>
      <c r="AC5233" t="str">
        <f>IF(Z5233="","",COUNTIF(#REF!,Z5233))</f>
        <v/>
      </c>
      <c r="AD5233" t="str">
        <f>IF(A5233="","",IF(AC5233&gt;1,"REVISAR DUPLICADO",IF(AA5233&lt;&gt;"","ACTUALIZADO POR EYR","SIN REPORTE EYR")))</f>
        <v/>
      </c>
    </row>
    <row r="5234" spans="11:30" x14ac:dyDescent="0.3">
      <c r="K5234" s="1" t="str">
        <f ca="1">IF(A5234="","",IF(OR(L5234="ENTREGADA",L5234="RETORNADA",L5234="ENTREGA DIGITAL"),0,MAX(0,5-NETWORKDAYS(H5234+1,TODAY()))))</f>
        <v/>
      </c>
      <c r="L5234" t="str">
        <f>IF(A5234="","",IFERROR(LOOKUP(2,1/(#REF!=Z5234),#REF!),Y5234))</f>
        <v/>
      </c>
      <c r="Z5234" t="str">
        <f>IF(A5234="","",TEXT(A5234,"0")&amp;"|"&amp;TEXT(H5234,"0"))</f>
        <v/>
      </c>
      <c r="AA5234" t="str">
        <f>IF(Z5234="","",IFERROR(LOOKUP(2,1/(#REF!=Z5234),#REF!),""))</f>
        <v/>
      </c>
      <c r="AB5234" t="str">
        <f>IF(Z5234="","",IFERROR(LOOKUP(2,1/(#REF!=Z5234),#REF!),""))</f>
        <v/>
      </c>
      <c r="AC5234" t="str">
        <f>IF(Z5234="","",COUNTIF(#REF!,Z5234))</f>
        <v/>
      </c>
      <c r="AD5234" t="str">
        <f>IF(A5234="","",IF(AC5234&gt;1,"REVISAR DUPLICADO",IF(AA5234&lt;&gt;"","ACTUALIZADO POR EYR","SIN REPORTE EYR")))</f>
        <v/>
      </c>
    </row>
    <row r="5235" spans="11:30" x14ac:dyDescent="0.3">
      <c r="K5235" s="1" t="str">
        <f ca="1">IF(A5235="","",IF(OR(L5235="ENTREGADA",L5235="RETORNADA",L5235="ENTREGA DIGITAL"),0,MAX(0,5-NETWORKDAYS(H5235+1,TODAY()))))</f>
        <v/>
      </c>
      <c r="L5235" t="str">
        <f>IF(A5235="","",IFERROR(LOOKUP(2,1/(#REF!=Z5235),#REF!),Y5235))</f>
        <v/>
      </c>
      <c r="Z5235" t="str">
        <f>IF(A5235="","",TEXT(A5235,"0")&amp;"|"&amp;TEXT(H5235,"0"))</f>
        <v/>
      </c>
      <c r="AA5235" t="str">
        <f>IF(Z5235="","",IFERROR(LOOKUP(2,1/(#REF!=Z5235),#REF!),""))</f>
        <v/>
      </c>
      <c r="AB5235" t="str">
        <f>IF(Z5235="","",IFERROR(LOOKUP(2,1/(#REF!=Z5235),#REF!),""))</f>
        <v/>
      </c>
      <c r="AC5235" t="str">
        <f>IF(Z5235="","",COUNTIF(#REF!,Z5235))</f>
        <v/>
      </c>
      <c r="AD5235" t="str">
        <f>IF(A5235="","",IF(AC5235&gt;1,"REVISAR DUPLICADO",IF(AA5235&lt;&gt;"","ACTUALIZADO POR EYR","SIN REPORTE EYR")))</f>
        <v/>
      </c>
    </row>
    <row r="5236" spans="11:30" x14ac:dyDescent="0.3">
      <c r="K5236" s="1" t="str">
        <f ca="1">IF(A5236="","",IF(OR(L5236="ENTREGADA",L5236="RETORNADA",L5236="ENTREGA DIGITAL"),0,MAX(0,5-NETWORKDAYS(H5236+1,TODAY()))))</f>
        <v/>
      </c>
      <c r="L5236" t="str">
        <f>IF(A5236="","",IFERROR(LOOKUP(2,1/(#REF!=Z5236),#REF!),Y5236))</f>
        <v/>
      </c>
      <c r="Z5236" t="str">
        <f>IF(A5236="","",TEXT(A5236,"0")&amp;"|"&amp;TEXT(H5236,"0"))</f>
        <v/>
      </c>
      <c r="AA5236" t="str">
        <f>IF(Z5236="","",IFERROR(LOOKUP(2,1/(#REF!=Z5236),#REF!),""))</f>
        <v/>
      </c>
      <c r="AB5236" t="str">
        <f>IF(Z5236="","",IFERROR(LOOKUP(2,1/(#REF!=Z5236),#REF!),""))</f>
        <v/>
      </c>
      <c r="AC5236" t="str">
        <f>IF(Z5236="","",COUNTIF(#REF!,Z5236))</f>
        <v/>
      </c>
      <c r="AD5236" t="str">
        <f>IF(A5236="","",IF(AC5236&gt;1,"REVISAR DUPLICADO",IF(AA5236&lt;&gt;"","ACTUALIZADO POR EYR","SIN REPORTE EYR")))</f>
        <v/>
      </c>
    </row>
    <row r="5237" spans="11:30" x14ac:dyDescent="0.3">
      <c r="K5237" s="1" t="str">
        <f ca="1">IF(A5237="","",IF(OR(L5237="ENTREGADA",L5237="RETORNADA",L5237="ENTREGA DIGITAL"),0,MAX(0,5-NETWORKDAYS(H5237+1,TODAY()))))</f>
        <v/>
      </c>
      <c r="L5237" t="str">
        <f>IF(A5237="","",IFERROR(LOOKUP(2,1/(#REF!=Z5237),#REF!),Y5237))</f>
        <v/>
      </c>
      <c r="Z5237" t="str">
        <f>IF(A5237="","",TEXT(A5237,"0")&amp;"|"&amp;TEXT(H5237,"0"))</f>
        <v/>
      </c>
      <c r="AA5237" t="str">
        <f>IF(Z5237="","",IFERROR(LOOKUP(2,1/(#REF!=Z5237),#REF!),""))</f>
        <v/>
      </c>
      <c r="AB5237" t="str">
        <f>IF(Z5237="","",IFERROR(LOOKUP(2,1/(#REF!=Z5237),#REF!),""))</f>
        <v/>
      </c>
      <c r="AC5237" t="str">
        <f>IF(Z5237="","",COUNTIF(#REF!,Z5237))</f>
        <v/>
      </c>
      <c r="AD5237" t="str">
        <f>IF(A5237="","",IF(AC5237&gt;1,"REVISAR DUPLICADO",IF(AA5237&lt;&gt;"","ACTUALIZADO POR EYR","SIN REPORTE EYR")))</f>
        <v/>
      </c>
    </row>
    <row r="5238" spans="11:30" x14ac:dyDescent="0.3">
      <c r="K5238" s="1" t="str">
        <f ca="1">IF(A5238="","",IF(OR(L5238="ENTREGADA",L5238="RETORNADA",L5238="ENTREGA DIGITAL"),0,MAX(0,5-NETWORKDAYS(H5238+1,TODAY()))))</f>
        <v/>
      </c>
      <c r="L5238" t="str">
        <f>IF(A5238="","",IFERROR(LOOKUP(2,1/(#REF!=Z5238),#REF!),Y5238))</f>
        <v/>
      </c>
      <c r="Z5238" t="str">
        <f>IF(A5238="","",TEXT(A5238,"0")&amp;"|"&amp;TEXT(H5238,"0"))</f>
        <v/>
      </c>
      <c r="AA5238" t="str">
        <f>IF(Z5238="","",IFERROR(LOOKUP(2,1/(#REF!=Z5238),#REF!),""))</f>
        <v/>
      </c>
      <c r="AB5238" t="str">
        <f>IF(Z5238="","",IFERROR(LOOKUP(2,1/(#REF!=Z5238),#REF!),""))</f>
        <v/>
      </c>
      <c r="AC5238" t="str">
        <f>IF(Z5238="","",COUNTIF(#REF!,Z5238))</f>
        <v/>
      </c>
      <c r="AD5238" t="str">
        <f>IF(A5238="","",IF(AC5238&gt;1,"REVISAR DUPLICADO",IF(AA5238&lt;&gt;"","ACTUALIZADO POR EYR","SIN REPORTE EYR")))</f>
        <v/>
      </c>
    </row>
    <row r="5239" spans="11:30" x14ac:dyDescent="0.3">
      <c r="K5239" s="1" t="str">
        <f ca="1">IF(A5239="","",IF(OR(L5239="ENTREGADA",L5239="RETORNADA",L5239="ENTREGA DIGITAL"),0,MAX(0,5-NETWORKDAYS(H5239+1,TODAY()))))</f>
        <v/>
      </c>
      <c r="L5239" t="str">
        <f>IF(A5239="","",IFERROR(LOOKUP(2,1/(#REF!=Z5239),#REF!),Y5239))</f>
        <v/>
      </c>
      <c r="Z5239" t="str">
        <f>IF(A5239="","",TEXT(A5239,"0")&amp;"|"&amp;TEXT(H5239,"0"))</f>
        <v/>
      </c>
      <c r="AA5239" t="str">
        <f>IF(Z5239="","",IFERROR(LOOKUP(2,1/(#REF!=Z5239),#REF!),""))</f>
        <v/>
      </c>
      <c r="AB5239" t="str">
        <f>IF(Z5239="","",IFERROR(LOOKUP(2,1/(#REF!=Z5239),#REF!),""))</f>
        <v/>
      </c>
      <c r="AC5239" t="str">
        <f>IF(Z5239="","",COUNTIF(#REF!,Z5239))</f>
        <v/>
      </c>
      <c r="AD5239" t="str">
        <f>IF(A5239="","",IF(AC5239&gt;1,"REVISAR DUPLICADO",IF(AA5239&lt;&gt;"","ACTUALIZADO POR EYR","SIN REPORTE EYR")))</f>
        <v/>
      </c>
    </row>
    <row r="5240" spans="11:30" x14ac:dyDescent="0.3">
      <c r="K5240" s="1" t="str">
        <f ca="1">IF(A5240="","",IF(OR(L5240="ENTREGADA",L5240="RETORNADA",L5240="ENTREGA DIGITAL"),0,MAX(0,5-NETWORKDAYS(H5240+1,TODAY()))))</f>
        <v/>
      </c>
      <c r="L5240" t="str">
        <f>IF(A5240="","",IFERROR(LOOKUP(2,1/(#REF!=Z5240),#REF!),Y5240))</f>
        <v/>
      </c>
      <c r="Z5240" t="str">
        <f>IF(A5240="","",TEXT(A5240,"0")&amp;"|"&amp;TEXT(H5240,"0"))</f>
        <v/>
      </c>
      <c r="AA5240" t="str">
        <f>IF(Z5240="","",IFERROR(LOOKUP(2,1/(#REF!=Z5240),#REF!),""))</f>
        <v/>
      </c>
      <c r="AB5240" t="str">
        <f>IF(Z5240="","",IFERROR(LOOKUP(2,1/(#REF!=Z5240),#REF!),""))</f>
        <v/>
      </c>
      <c r="AC5240" t="str">
        <f>IF(Z5240="","",COUNTIF(#REF!,Z5240))</f>
        <v/>
      </c>
      <c r="AD5240" t="str">
        <f>IF(A5240="","",IF(AC5240&gt;1,"REVISAR DUPLICADO",IF(AA5240&lt;&gt;"","ACTUALIZADO POR EYR","SIN REPORTE EYR")))</f>
        <v/>
      </c>
    </row>
    <row r="5241" spans="11:30" x14ac:dyDescent="0.3">
      <c r="K5241" s="1" t="str">
        <f ca="1">IF(A5241="","",IF(OR(L5241="ENTREGADA",L5241="RETORNADA",L5241="ENTREGA DIGITAL"),0,MAX(0,5-NETWORKDAYS(H5241+1,TODAY()))))</f>
        <v/>
      </c>
      <c r="L5241" t="str">
        <f>IF(A5241="","",IFERROR(LOOKUP(2,1/(#REF!=Z5241),#REF!),Y5241))</f>
        <v/>
      </c>
      <c r="Z5241" t="str">
        <f>IF(A5241="","",TEXT(A5241,"0")&amp;"|"&amp;TEXT(H5241,"0"))</f>
        <v/>
      </c>
      <c r="AA5241" t="str">
        <f>IF(Z5241="","",IFERROR(LOOKUP(2,1/(#REF!=Z5241),#REF!),""))</f>
        <v/>
      </c>
      <c r="AB5241" t="str">
        <f>IF(Z5241="","",IFERROR(LOOKUP(2,1/(#REF!=Z5241),#REF!),""))</f>
        <v/>
      </c>
      <c r="AC5241" t="str">
        <f>IF(Z5241="","",COUNTIF(#REF!,Z5241))</f>
        <v/>
      </c>
      <c r="AD5241" t="str">
        <f>IF(A5241="","",IF(AC5241&gt;1,"REVISAR DUPLICADO",IF(AA5241&lt;&gt;"","ACTUALIZADO POR EYR","SIN REPORTE EYR")))</f>
        <v/>
      </c>
    </row>
    <row r="5242" spans="11:30" x14ac:dyDescent="0.3">
      <c r="K5242" s="1" t="str">
        <f ca="1">IF(A5242="","",IF(OR(L5242="ENTREGADA",L5242="RETORNADA",L5242="ENTREGA DIGITAL"),0,MAX(0,5-NETWORKDAYS(H5242+1,TODAY()))))</f>
        <v/>
      </c>
      <c r="L5242" t="str">
        <f>IF(A5242="","",IFERROR(LOOKUP(2,1/(#REF!=Z5242),#REF!),Y5242))</f>
        <v/>
      </c>
      <c r="Z5242" t="str">
        <f>IF(A5242="","",TEXT(A5242,"0")&amp;"|"&amp;TEXT(H5242,"0"))</f>
        <v/>
      </c>
      <c r="AA5242" t="str">
        <f>IF(Z5242="","",IFERROR(LOOKUP(2,1/(#REF!=Z5242),#REF!),""))</f>
        <v/>
      </c>
      <c r="AB5242" t="str">
        <f>IF(Z5242="","",IFERROR(LOOKUP(2,1/(#REF!=Z5242),#REF!),""))</f>
        <v/>
      </c>
      <c r="AC5242" t="str">
        <f>IF(Z5242="","",COUNTIF(#REF!,Z5242))</f>
        <v/>
      </c>
      <c r="AD5242" t="str">
        <f>IF(A5242="","",IF(AC5242&gt;1,"REVISAR DUPLICADO",IF(AA5242&lt;&gt;"","ACTUALIZADO POR EYR","SIN REPORTE EYR")))</f>
        <v/>
      </c>
    </row>
    <row r="5243" spans="11:30" x14ac:dyDescent="0.3">
      <c r="K5243" s="1" t="str">
        <f ca="1">IF(A5243="","",IF(OR(L5243="ENTREGADA",L5243="RETORNADA",L5243="ENTREGA DIGITAL"),0,MAX(0,5-NETWORKDAYS(H5243+1,TODAY()))))</f>
        <v/>
      </c>
      <c r="L5243" t="str">
        <f>IF(A5243="","",IFERROR(LOOKUP(2,1/(#REF!=Z5243),#REF!),Y5243))</f>
        <v/>
      </c>
      <c r="Z5243" t="str">
        <f>IF(A5243="","",TEXT(A5243,"0")&amp;"|"&amp;TEXT(H5243,"0"))</f>
        <v/>
      </c>
      <c r="AA5243" t="str">
        <f>IF(Z5243="","",IFERROR(LOOKUP(2,1/(#REF!=Z5243),#REF!),""))</f>
        <v/>
      </c>
      <c r="AB5243" t="str">
        <f>IF(Z5243="","",IFERROR(LOOKUP(2,1/(#REF!=Z5243),#REF!),""))</f>
        <v/>
      </c>
      <c r="AC5243" t="str">
        <f>IF(Z5243="","",COUNTIF(#REF!,Z5243))</f>
        <v/>
      </c>
      <c r="AD5243" t="str">
        <f>IF(A5243="","",IF(AC5243&gt;1,"REVISAR DUPLICADO",IF(AA5243&lt;&gt;"","ACTUALIZADO POR EYR","SIN REPORTE EYR")))</f>
        <v/>
      </c>
    </row>
    <row r="5244" spans="11:30" x14ac:dyDescent="0.3">
      <c r="K5244" s="1" t="str">
        <f ca="1">IF(A5244="","",IF(OR(L5244="ENTREGADA",L5244="RETORNADA",L5244="ENTREGA DIGITAL"),0,MAX(0,5-NETWORKDAYS(H5244+1,TODAY()))))</f>
        <v/>
      </c>
      <c r="L5244" t="str">
        <f>IF(A5244="","",IFERROR(LOOKUP(2,1/(#REF!=Z5244),#REF!),Y5244))</f>
        <v/>
      </c>
      <c r="Z5244" t="str">
        <f>IF(A5244="","",TEXT(A5244,"0")&amp;"|"&amp;TEXT(H5244,"0"))</f>
        <v/>
      </c>
      <c r="AA5244" t="str">
        <f>IF(Z5244="","",IFERROR(LOOKUP(2,1/(#REF!=Z5244),#REF!),""))</f>
        <v/>
      </c>
      <c r="AB5244" t="str">
        <f>IF(Z5244="","",IFERROR(LOOKUP(2,1/(#REF!=Z5244),#REF!),""))</f>
        <v/>
      </c>
      <c r="AC5244" t="str">
        <f>IF(Z5244="","",COUNTIF(#REF!,Z5244))</f>
        <v/>
      </c>
      <c r="AD5244" t="str">
        <f>IF(A5244="","",IF(AC5244&gt;1,"REVISAR DUPLICADO",IF(AA5244&lt;&gt;"","ACTUALIZADO POR EYR","SIN REPORTE EYR")))</f>
        <v/>
      </c>
    </row>
    <row r="5245" spans="11:30" x14ac:dyDescent="0.3">
      <c r="K5245" s="1" t="str">
        <f ca="1">IF(A5245="","",IF(OR(L5245="ENTREGADA",L5245="RETORNADA",L5245="ENTREGA DIGITAL"),0,MAX(0,5-NETWORKDAYS(H5245+1,TODAY()))))</f>
        <v/>
      </c>
      <c r="L5245" t="str">
        <f>IF(A5245="","",IFERROR(LOOKUP(2,1/(#REF!=Z5245),#REF!),Y5245))</f>
        <v/>
      </c>
      <c r="Z5245" t="str">
        <f>IF(A5245="","",TEXT(A5245,"0")&amp;"|"&amp;TEXT(H5245,"0"))</f>
        <v/>
      </c>
      <c r="AA5245" t="str">
        <f>IF(Z5245="","",IFERROR(LOOKUP(2,1/(#REF!=Z5245),#REF!),""))</f>
        <v/>
      </c>
      <c r="AB5245" t="str">
        <f>IF(Z5245="","",IFERROR(LOOKUP(2,1/(#REF!=Z5245),#REF!),""))</f>
        <v/>
      </c>
      <c r="AC5245" t="str">
        <f>IF(Z5245="","",COUNTIF(#REF!,Z5245))</f>
        <v/>
      </c>
      <c r="AD5245" t="str">
        <f>IF(A5245="","",IF(AC5245&gt;1,"REVISAR DUPLICADO",IF(AA5245&lt;&gt;"","ACTUALIZADO POR EYR","SIN REPORTE EYR")))</f>
        <v/>
      </c>
    </row>
    <row r="5246" spans="11:30" x14ac:dyDescent="0.3">
      <c r="K5246" s="1" t="str">
        <f ca="1">IF(A5246="","",IF(OR(L5246="ENTREGADA",L5246="RETORNADA",L5246="ENTREGA DIGITAL"),0,MAX(0,5-NETWORKDAYS(H5246+1,TODAY()))))</f>
        <v/>
      </c>
      <c r="L5246" t="str">
        <f>IF(A5246="","",IFERROR(LOOKUP(2,1/(#REF!=Z5246),#REF!),Y5246))</f>
        <v/>
      </c>
      <c r="Z5246" t="str">
        <f>IF(A5246="","",TEXT(A5246,"0")&amp;"|"&amp;TEXT(H5246,"0"))</f>
        <v/>
      </c>
      <c r="AA5246" t="str">
        <f>IF(Z5246="","",IFERROR(LOOKUP(2,1/(#REF!=Z5246),#REF!),""))</f>
        <v/>
      </c>
      <c r="AB5246" t="str">
        <f>IF(Z5246="","",IFERROR(LOOKUP(2,1/(#REF!=Z5246),#REF!),""))</f>
        <v/>
      </c>
      <c r="AC5246" t="str">
        <f>IF(Z5246="","",COUNTIF(#REF!,Z5246))</f>
        <v/>
      </c>
      <c r="AD5246" t="str">
        <f>IF(A5246="","",IF(AC5246&gt;1,"REVISAR DUPLICADO",IF(AA5246&lt;&gt;"","ACTUALIZADO POR EYR","SIN REPORTE EYR")))</f>
        <v/>
      </c>
    </row>
    <row r="5247" spans="11:30" x14ac:dyDescent="0.3">
      <c r="K5247" s="1" t="str">
        <f ca="1">IF(A5247="","",IF(OR(L5247="ENTREGADA",L5247="RETORNADA",L5247="ENTREGA DIGITAL"),0,MAX(0,5-NETWORKDAYS(H5247+1,TODAY()))))</f>
        <v/>
      </c>
      <c r="L5247" t="str">
        <f>IF(A5247="","",IFERROR(LOOKUP(2,1/(#REF!=Z5247),#REF!),Y5247))</f>
        <v/>
      </c>
      <c r="Z5247" t="str">
        <f>IF(A5247="","",TEXT(A5247,"0")&amp;"|"&amp;TEXT(H5247,"0"))</f>
        <v/>
      </c>
      <c r="AA5247" t="str">
        <f>IF(Z5247="","",IFERROR(LOOKUP(2,1/(#REF!=Z5247),#REF!),""))</f>
        <v/>
      </c>
      <c r="AB5247" t="str">
        <f>IF(Z5247="","",IFERROR(LOOKUP(2,1/(#REF!=Z5247),#REF!),""))</f>
        <v/>
      </c>
      <c r="AC5247" t="str">
        <f>IF(Z5247="","",COUNTIF(#REF!,Z5247))</f>
        <v/>
      </c>
      <c r="AD5247" t="str">
        <f>IF(A5247="","",IF(AC5247&gt;1,"REVISAR DUPLICADO",IF(AA5247&lt;&gt;"","ACTUALIZADO POR EYR","SIN REPORTE EYR")))</f>
        <v/>
      </c>
    </row>
    <row r="5248" spans="11:30" x14ac:dyDescent="0.3">
      <c r="K5248" s="1" t="str">
        <f ca="1">IF(A5248="","",IF(OR(L5248="ENTREGADA",L5248="RETORNADA",L5248="ENTREGA DIGITAL"),0,MAX(0,5-NETWORKDAYS(H5248+1,TODAY()))))</f>
        <v/>
      </c>
      <c r="L5248" t="str">
        <f>IF(A5248="","",IFERROR(LOOKUP(2,1/(#REF!=Z5248),#REF!),Y5248))</f>
        <v/>
      </c>
      <c r="Z5248" t="str">
        <f>IF(A5248="","",TEXT(A5248,"0")&amp;"|"&amp;TEXT(H5248,"0"))</f>
        <v/>
      </c>
      <c r="AA5248" t="str">
        <f>IF(Z5248="","",IFERROR(LOOKUP(2,1/(#REF!=Z5248),#REF!),""))</f>
        <v/>
      </c>
      <c r="AB5248" t="str">
        <f>IF(Z5248="","",IFERROR(LOOKUP(2,1/(#REF!=Z5248),#REF!),""))</f>
        <v/>
      </c>
      <c r="AC5248" t="str">
        <f>IF(Z5248="","",COUNTIF(#REF!,Z5248))</f>
        <v/>
      </c>
      <c r="AD5248" t="str">
        <f>IF(A5248="","",IF(AC5248&gt;1,"REVISAR DUPLICADO",IF(AA5248&lt;&gt;"","ACTUALIZADO POR EYR","SIN REPORTE EYR")))</f>
        <v/>
      </c>
    </row>
    <row r="5249" spans="11:30" x14ac:dyDescent="0.3">
      <c r="K5249" s="1" t="str">
        <f ca="1">IF(A5249="","",IF(OR(L5249="ENTREGADA",L5249="RETORNADA",L5249="ENTREGA DIGITAL"),0,MAX(0,5-NETWORKDAYS(H5249+1,TODAY()))))</f>
        <v/>
      </c>
      <c r="L5249" t="str">
        <f>IF(A5249="","",IFERROR(LOOKUP(2,1/(#REF!=Z5249),#REF!),Y5249))</f>
        <v/>
      </c>
      <c r="Z5249" t="str">
        <f>IF(A5249="","",TEXT(A5249,"0")&amp;"|"&amp;TEXT(H5249,"0"))</f>
        <v/>
      </c>
      <c r="AA5249" t="str">
        <f>IF(Z5249="","",IFERROR(LOOKUP(2,1/(#REF!=Z5249),#REF!),""))</f>
        <v/>
      </c>
      <c r="AB5249" t="str">
        <f>IF(Z5249="","",IFERROR(LOOKUP(2,1/(#REF!=Z5249),#REF!),""))</f>
        <v/>
      </c>
      <c r="AC5249" t="str">
        <f>IF(Z5249="","",COUNTIF(#REF!,Z5249))</f>
        <v/>
      </c>
      <c r="AD5249" t="str">
        <f>IF(A5249="","",IF(AC5249&gt;1,"REVISAR DUPLICADO",IF(AA5249&lt;&gt;"","ACTUALIZADO POR EYR","SIN REPORTE EYR")))</f>
        <v/>
      </c>
    </row>
    <row r="5250" spans="11:30" x14ac:dyDescent="0.3">
      <c r="K5250" s="1" t="str">
        <f ca="1">IF(A5250="","",IF(OR(L5250="ENTREGADA",L5250="RETORNADA",L5250="ENTREGA DIGITAL"),0,MAX(0,5-NETWORKDAYS(H5250+1,TODAY()))))</f>
        <v/>
      </c>
      <c r="L5250" t="str">
        <f>IF(A5250="","",IFERROR(LOOKUP(2,1/(#REF!=Z5250),#REF!),Y5250))</f>
        <v/>
      </c>
      <c r="Z5250" t="str">
        <f>IF(A5250="","",TEXT(A5250,"0")&amp;"|"&amp;TEXT(H5250,"0"))</f>
        <v/>
      </c>
      <c r="AA5250" t="str">
        <f>IF(Z5250="","",IFERROR(LOOKUP(2,1/(#REF!=Z5250),#REF!),""))</f>
        <v/>
      </c>
      <c r="AB5250" t="str">
        <f>IF(Z5250="","",IFERROR(LOOKUP(2,1/(#REF!=Z5250),#REF!),""))</f>
        <v/>
      </c>
      <c r="AC5250" t="str">
        <f>IF(Z5250="","",COUNTIF(#REF!,Z5250))</f>
        <v/>
      </c>
      <c r="AD5250" t="str">
        <f>IF(A5250="","",IF(AC5250&gt;1,"REVISAR DUPLICADO",IF(AA5250&lt;&gt;"","ACTUALIZADO POR EYR","SIN REPORTE EYR")))</f>
        <v/>
      </c>
    </row>
    <row r="5251" spans="11:30" x14ac:dyDescent="0.3">
      <c r="K5251" s="1" t="str">
        <f ca="1">IF(A5251="","",IF(OR(L5251="ENTREGADA",L5251="RETORNADA",L5251="ENTREGA DIGITAL"),0,MAX(0,5-NETWORKDAYS(H5251+1,TODAY()))))</f>
        <v/>
      </c>
      <c r="L5251" t="str">
        <f>IF(A5251="","",IFERROR(LOOKUP(2,1/(#REF!=Z5251),#REF!),Y5251))</f>
        <v/>
      </c>
      <c r="Z5251" t="str">
        <f>IF(A5251="","",TEXT(A5251,"0")&amp;"|"&amp;TEXT(H5251,"0"))</f>
        <v/>
      </c>
      <c r="AA5251" t="str">
        <f>IF(Z5251="","",IFERROR(LOOKUP(2,1/(#REF!=Z5251),#REF!),""))</f>
        <v/>
      </c>
      <c r="AB5251" t="str">
        <f>IF(Z5251="","",IFERROR(LOOKUP(2,1/(#REF!=Z5251),#REF!),""))</f>
        <v/>
      </c>
      <c r="AC5251" t="str">
        <f>IF(Z5251="","",COUNTIF(#REF!,Z5251))</f>
        <v/>
      </c>
      <c r="AD5251" t="str">
        <f>IF(A5251="","",IF(AC5251&gt;1,"REVISAR DUPLICADO",IF(AA5251&lt;&gt;"","ACTUALIZADO POR EYR","SIN REPORTE EYR")))</f>
        <v/>
      </c>
    </row>
    <row r="5252" spans="11:30" x14ac:dyDescent="0.3">
      <c r="K5252" s="1" t="str">
        <f ca="1">IF(A5252="","",IF(OR(L5252="ENTREGADA",L5252="RETORNADA",L5252="ENTREGA DIGITAL"),0,MAX(0,5-NETWORKDAYS(H5252+1,TODAY()))))</f>
        <v/>
      </c>
      <c r="L5252" t="str">
        <f>IF(A5252="","",IFERROR(LOOKUP(2,1/(#REF!=Z5252),#REF!),Y5252))</f>
        <v/>
      </c>
      <c r="Z5252" t="str">
        <f>IF(A5252="","",TEXT(A5252,"0")&amp;"|"&amp;TEXT(H5252,"0"))</f>
        <v/>
      </c>
      <c r="AA5252" t="str">
        <f>IF(Z5252="","",IFERROR(LOOKUP(2,1/(#REF!=Z5252),#REF!),""))</f>
        <v/>
      </c>
      <c r="AB5252" t="str">
        <f>IF(Z5252="","",IFERROR(LOOKUP(2,1/(#REF!=Z5252),#REF!),""))</f>
        <v/>
      </c>
      <c r="AC5252" t="str">
        <f>IF(Z5252="","",COUNTIF(#REF!,Z5252))</f>
        <v/>
      </c>
      <c r="AD5252" t="str">
        <f>IF(A5252="","",IF(AC5252&gt;1,"REVISAR DUPLICADO",IF(AA5252&lt;&gt;"","ACTUALIZADO POR EYR","SIN REPORTE EYR")))</f>
        <v/>
      </c>
    </row>
    <row r="5253" spans="11:30" x14ac:dyDescent="0.3">
      <c r="K5253" s="1" t="str">
        <f ca="1">IF(A5253="","",IF(OR(L5253="ENTREGADA",L5253="RETORNADA",L5253="ENTREGA DIGITAL"),0,MAX(0,5-NETWORKDAYS(H5253+1,TODAY()))))</f>
        <v/>
      </c>
      <c r="L5253" t="str">
        <f>IF(A5253="","",IFERROR(LOOKUP(2,1/(#REF!=Z5253),#REF!),Y5253))</f>
        <v/>
      </c>
      <c r="Z5253" t="str">
        <f>IF(A5253="","",TEXT(A5253,"0")&amp;"|"&amp;TEXT(H5253,"0"))</f>
        <v/>
      </c>
      <c r="AA5253" t="str">
        <f>IF(Z5253="","",IFERROR(LOOKUP(2,1/(#REF!=Z5253),#REF!),""))</f>
        <v/>
      </c>
      <c r="AB5253" t="str">
        <f>IF(Z5253="","",IFERROR(LOOKUP(2,1/(#REF!=Z5253),#REF!),""))</f>
        <v/>
      </c>
      <c r="AC5253" t="str">
        <f>IF(Z5253="","",COUNTIF(#REF!,Z5253))</f>
        <v/>
      </c>
      <c r="AD5253" t="str">
        <f>IF(A5253="","",IF(AC5253&gt;1,"REVISAR DUPLICADO",IF(AA5253&lt;&gt;"","ACTUALIZADO POR EYR","SIN REPORTE EYR")))</f>
        <v/>
      </c>
    </row>
    <row r="5254" spans="11:30" x14ac:dyDescent="0.3">
      <c r="K5254" s="1" t="str">
        <f ca="1">IF(A5254="","",IF(OR(L5254="ENTREGADA",L5254="RETORNADA",L5254="ENTREGA DIGITAL"),0,MAX(0,5-NETWORKDAYS(H5254+1,TODAY()))))</f>
        <v/>
      </c>
      <c r="L5254" t="str">
        <f>IF(A5254="","",IFERROR(LOOKUP(2,1/(#REF!=Z5254),#REF!),Y5254))</f>
        <v/>
      </c>
      <c r="Z5254" t="str">
        <f>IF(A5254="","",TEXT(A5254,"0")&amp;"|"&amp;TEXT(H5254,"0"))</f>
        <v/>
      </c>
      <c r="AA5254" t="str">
        <f>IF(Z5254="","",IFERROR(LOOKUP(2,1/(#REF!=Z5254),#REF!),""))</f>
        <v/>
      </c>
      <c r="AB5254" t="str">
        <f>IF(Z5254="","",IFERROR(LOOKUP(2,1/(#REF!=Z5254),#REF!),""))</f>
        <v/>
      </c>
      <c r="AC5254" t="str">
        <f>IF(Z5254="","",COUNTIF(#REF!,Z5254))</f>
        <v/>
      </c>
      <c r="AD5254" t="str">
        <f>IF(A5254="","",IF(AC5254&gt;1,"REVISAR DUPLICADO",IF(AA5254&lt;&gt;"","ACTUALIZADO POR EYR","SIN REPORTE EYR")))</f>
        <v/>
      </c>
    </row>
    <row r="5255" spans="11:30" x14ac:dyDescent="0.3">
      <c r="K5255" s="1" t="str">
        <f ca="1">IF(A5255="","",IF(OR(L5255="ENTREGADA",L5255="RETORNADA",L5255="ENTREGA DIGITAL"),0,MAX(0,5-NETWORKDAYS(H5255+1,TODAY()))))</f>
        <v/>
      </c>
      <c r="L5255" t="str">
        <f>IF(A5255="","",IFERROR(LOOKUP(2,1/(#REF!=Z5255),#REF!),Y5255))</f>
        <v/>
      </c>
      <c r="Z5255" t="str">
        <f>IF(A5255="","",TEXT(A5255,"0")&amp;"|"&amp;TEXT(H5255,"0"))</f>
        <v/>
      </c>
      <c r="AA5255" t="str">
        <f>IF(Z5255="","",IFERROR(LOOKUP(2,1/(#REF!=Z5255),#REF!),""))</f>
        <v/>
      </c>
      <c r="AB5255" t="str">
        <f>IF(Z5255="","",IFERROR(LOOKUP(2,1/(#REF!=Z5255),#REF!),""))</f>
        <v/>
      </c>
      <c r="AC5255" t="str">
        <f>IF(Z5255="","",COUNTIF(#REF!,Z5255))</f>
        <v/>
      </c>
      <c r="AD5255" t="str">
        <f>IF(A5255="","",IF(AC5255&gt;1,"REVISAR DUPLICADO",IF(AA5255&lt;&gt;"","ACTUALIZADO POR EYR","SIN REPORTE EYR")))</f>
        <v/>
      </c>
    </row>
    <row r="5256" spans="11:30" x14ac:dyDescent="0.3">
      <c r="K5256" s="1" t="str">
        <f ca="1">IF(A5256="","",IF(OR(L5256="ENTREGADA",L5256="RETORNADA",L5256="ENTREGA DIGITAL"),0,MAX(0,5-NETWORKDAYS(H5256+1,TODAY()))))</f>
        <v/>
      </c>
      <c r="L5256" t="str">
        <f>IF(A5256="","",IFERROR(LOOKUP(2,1/(#REF!=Z5256),#REF!),Y5256))</f>
        <v/>
      </c>
      <c r="Z5256" t="str">
        <f>IF(A5256="","",TEXT(A5256,"0")&amp;"|"&amp;TEXT(H5256,"0"))</f>
        <v/>
      </c>
      <c r="AA5256" t="str">
        <f>IF(Z5256="","",IFERROR(LOOKUP(2,1/(#REF!=Z5256),#REF!),""))</f>
        <v/>
      </c>
      <c r="AB5256" t="str">
        <f>IF(Z5256="","",IFERROR(LOOKUP(2,1/(#REF!=Z5256),#REF!),""))</f>
        <v/>
      </c>
      <c r="AC5256" t="str">
        <f>IF(Z5256="","",COUNTIF(#REF!,Z5256))</f>
        <v/>
      </c>
      <c r="AD5256" t="str">
        <f>IF(A5256="","",IF(AC5256&gt;1,"REVISAR DUPLICADO",IF(AA5256&lt;&gt;"","ACTUALIZADO POR EYR","SIN REPORTE EYR")))</f>
        <v/>
      </c>
    </row>
    <row r="5257" spans="11:30" x14ac:dyDescent="0.3">
      <c r="K5257" s="1" t="str">
        <f ca="1">IF(A5257="","",IF(OR(L5257="ENTREGADA",L5257="RETORNADA",L5257="ENTREGA DIGITAL"),0,MAX(0,5-NETWORKDAYS(H5257+1,TODAY()))))</f>
        <v/>
      </c>
      <c r="L5257" t="str">
        <f>IF(A5257="","",IFERROR(LOOKUP(2,1/(#REF!=Z5257),#REF!),Y5257))</f>
        <v/>
      </c>
      <c r="Z5257" t="str">
        <f>IF(A5257="","",TEXT(A5257,"0")&amp;"|"&amp;TEXT(H5257,"0"))</f>
        <v/>
      </c>
      <c r="AA5257" t="str">
        <f>IF(Z5257="","",IFERROR(LOOKUP(2,1/(#REF!=Z5257),#REF!),""))</f>
        <v/>
      </c>
      <c r="AB5257" t="str">
        <f>IF(Z5257="","",IFERROR(LOOKUP(2,1/(#REF!=Z5257),#REF!),""))</f>
        <v/>
      </c>
      <c r="AC5257" t="str">
        <f>IF(Z5257="","",COUNTIF(#REF!,Z5257))</f>
        <v/>
      </c>
      <c r="AD5257" t="str">
        <f>IF(A5257="","",IF(AC5257&gt;1,"REVISAR DUPLICADO",IF(AA5257&lt;&gt;"","ACTUALIZADO POR EYR","SIN REPORTE EYR")))</f>
        <v/>
      </c>
    </row>
    <row r="5258" spans="11:30" x14ac:dyDescent="0.3">
      <c r="K5258" s="1" t="str">
        <f ca="1">IF(A5258="","",IF(OR(L5258="ENTREGADA",L5258="RETORNADA",L5258="ENTREGA DIGITAL"),0,MAX(0,5-NETWORKDAYS(H5258+1,TODAY()))))</f>
        <v/>
      </c>
      <c r="L5258" t="str">
        <f>IF(A5258="","",IFERROR(LOOKUP(2,1/(#REF!=Z5258),#REF!),Y5258))</f>
        <v/>
      </c>
      <c r="Z5258" t="str">
        <f>IF(A5258="","",TEXT(A5258,"0")&amp;"|"&amp;TEXT(H5258,"0"))</f>
        <v/>
      </c>
      <c r="AA5258" t="str">
        <f>IF(Z5258="","",IFERROR(LOOKUP(2,1/(#REF!=Z5258),#REF!),""))</f>
        <v/>
      </c>
      <c r="AB5258" t="str">
        <f>IF(Z5258="","",IFERROR(LOOKUP(2,1/(#REF!=Z5258),#REF!),""))</f>
        <v/>
      </c>
      <c r="AC5258" t="str">
        <f>IF(Z5258="","",COUNTIF(#REF!,Z5258))</f>
        <v/>
      </c>
      <c r="AD5258" t="str">
        <f>IF(A5258="","",IF(AC5258&gt;1,"REVISAR DUPLICADO",IF(AA5258&lt;&gt;"","ACTUALIZADO POR EYR","SIN REPORTE EYR")))</f>
        <v/>
      </c>
    </row>
    <row r="5259" spans="11:30" x14ac:dyDescent="0.3">
      <c r="K5259" s="1" t="str">
        <f ca="1">IF(A5259="","",IF(OR(L5259="ENTREGADA",L5259="RETORNADA",L5259="ENTREGA DIGITAL"),0,MAX(0,5-NETWORKDAYS(H5259+1,TODAY()))))</f>
        <v/>
      </c>
      <c r="L5259" t="str">
        <f>IF(A5259="","",IFERROR(LOOKUP(2,1/(#REF!=Z5259),#REF!),Y5259))</f>
        <v/>
      </c>
      <c r="Z5259" t="str">
        <f>IF(A5259="","",TEXT(A5259,"0")&amp;"|"&amp;TEXT(H5259,"0"))</f>
        <v/>
      </c>
      <c r="AA5259" t="str">
        <f>IF(Z5259="","",IFERROR(LOOKUP(2,1/(#REF!=Z5259),#REF!),""))</f>
        <v/>
      </c>
      <c r="AB5259" t="str">
        <f>IF(Z5259="","",IFERROR(LOOKUP(2,1/(#REF!=Z5259),#REF!),""))</f>
        <v/>
      </c>
      <c r="AC5259" t="str">
        <f>IF(Z5259="","",COUNTIF(#REF!,Z5259))</f>
        <v/>
      </c>
      <c r="AD5259" t="str">
        <f>IF(A5259="","",IF(AC5259&gt;1,"REVISAR DUPLICADO",IF(AA5259&lt;&gt;"","ACTUALIZADO POR EYR","SIN REPORTE EYR")))</f>
        <v/>
      </c>
    </row>
    <row r="5260" spans="11:30" x14ac:dyDescent="0.3">
      <c r="K5260" s="1" t="str">
        <f ca="1">IF(A5260="","",IF(OR(L5260="ENTREGADA",L5260="RETORNADA",L5260="ENTREGA DIGITAL"),0,MAX(0,5-NETWORKDAYS(H5260+1,TODAY()))))</f>
        <v/>
      </c>
      <c r="L5260" t="str">
        <f>IF(A5260="","",IFERROR(LOOKUP(2,1/(#REF!=Z5260),#REF!),Y5260))</f>
        <v/>
      </c>
      <c r="Z5260" t="str">
        <f>IF(A5260="","",TEXT(A5260,"0")&amp;"|"&amp;TEXT(H5260,"0"))</f>
        <v/>
      </c>
      <c r="AA5260" t="str">
        <f>IF(Z5260="","",IFERROR(LOOKUP(2,1/(#REF!=Z5260),#REF!),""))</f>
        <v/>
      </c>
      <c r="AB5260" t="str">
        <f>IF(Z5260="","",IFERROR(LOOKUP(2,1/(#REF!=Z5260),#REF!),""))</f>
        <v/>
      </c>
      <c r="AC5260" t="str">
        <f>IF(Z5260="","",COUNTIF(#REF!,Z5260))</f>
        <v/>
      </c>
      <c r="AD5260" t="str">
        <f>IF(A5260="","",IF(AC5260&gt;1,"REVISAR DUPLICADO",IF(AA5260&lt;&gt;"","ACTUALIZADO POR EYR","SIN REPORTE EYR")))</f>
        <v/>
      </c>
    </row>
    <row r="5261" spans="11:30" x14ac:dyDescent="0.3">
      <c r="K5261" s="1" t="str">
        <f ca="1">IF(A5261="","",IF(OR(L5261="ENTREGADA",L5261="RETORNADA",L5261="ENTREGA DIGITAL"),0,MAX(0,5-NETWORKDAYS(H5261+1,TODAY()))))</f>
        <v/>
      </c>
      <c r="L5261" t="str">
        <f>IF(A5261="","",IFERROR(LOOKUP(2,1/(#REF!=Z5261),#REF!),Y5261))</f>
        <v/>
      </c>
      <c r="Z5261" t="str">
        <f>IF(A5261="","",TEXT(A5261,"0")&amp;"|"&amp;TEXT(H5261,"0"))</f>
        <v/>
      </c>
      <c r="AA5261" t="str">
        <f>IF(Z5261="","",IFERROR(LOOKUP(2,1/(#REF!=Z5261),#REF!),""))</f>
        <v/>
      </c>
      <c r="AB5261" t="str">
        <f>IF(Z5261="","",IFERROR(LOOKUP(2,1/(#REF!=Z5261),#REF!),""))</f>
        <v/>
      </c>
      <c r="AC5261" t="str">
        <f>IF(Z5261="","",COUNTIF(#REF!,Z5261))</f>
        <v/>
      </c>
      <c r="AD5261" t="str">
        <f>IF(A5261="","",IF(AC5261&gt;1,"REVISAR DUPLICADO",IF(AA5261&lt;&gt;"","ACTUALIZADO POR EYR","SIN REPORTE EYR")))</f>
        <v/>
      </c>
    </row>
    <row r="5262" spans="11:30" x14ac:dyDescent="0.3">
      <c r="K5262" s="1" t="str">
        <f ca="1">IF(A5262="","",IF(OR(L5262="ENTREGADA",L5262="RETORNADA",L5262="ENTREGA DIGITAL"),0,MAX(0,5-NETWORKDAYS(H5262+1,TODAY()))))</f>
        <v/>
      </c>
      <c r="L5262" t="str">
        <f>IF(A5262="","",IFERROR(LOOKUP(2,1/(#REF!=Z5262),#REF!),Y5262))</f>
        <v/>
      </c>
      <c r="Z5262" t="str">
        <f>IF(A5262="","",TEXT(A5262,"0")&amp;"|"&amp;TEXT(H5262,"0"))</f>
        <v/>
      </c>
      <c r="AA5262" t="str">
        <f>IF(Z5262="","",IFERROR(LOOKUP(2,1/(#REF!=Z5262),#REF!),""))</f>
        <v/>
      </c>
      <c r="AB5262" t="str">
        <f>IF(Z5262="","",IFERROR(LOOKUP(2,1/(#REF!=Z5262),#REF!),""))</f>
        <v/>
      </c>
      <c r="AC5262" t="str">
        <f>IF(Z5262="","",COUNTIF(#REF!,Z5262))</f>
        <v/>
      </c>
      <c r="AD5262" t="str">
        <f>IF(A5262="","",IF(AC5262&gt;1,"REVISAR DUPLICADO",IF(AA5262&lt;&gt;"","ACTUALIZADO POR EYR","SIN REPORTE EYR")))</f>
        <v/>
      </c>
    </row>
    <row r="5263" spans="11:30" x14ac:dyDescent="0.3">
      <c r="K5263" s="1" t="str">
        <f ca="1">IF(A5263="","",IF(OR(L5263="ENTREGADA",L5263="RETORNADA",L5263="ENTREGA DIGITAL"),0,MAX(0,5-NETWORKDAYS(H5263+1,TODAY()))))</f>
        <v/>
      </c>
      <c r="L5263" t="str">
        <f>IF(A5263="","",IFERROR(LOOKUP(2,1/(#REF!=Z5263),#REF!),Y5263))</f>
        <v/>
      </c>
      <c r="Z5263" t="str">
        <f>IF(A5263="","",TEXT(A5263,"0")&amp;"|"&amp;TEXT(H5263,"0"))</f>
        <v/>
      </c>
      <c r="AA5263" t="str">
        <f>IF(Z5263="","",IFERROR(LOOKUP(2,1/(#REF!=Z5263),#REF!),""))</f>
        <v/>
      </c>
      <c r="AB5263" t="str">
        <f>IF(Z5263="","",IFERROR(LOOKUP(2,1/(#REF!=Z5263),#REF!),""))</f>
        <v/>
      </c>
      <c r="AC5263" t="str">
        <f>IF(Z5263="","",COUNTIF(#REF!,Z5263))</f>
        <v/>
      </c>
      <c r="AD5263" t="str">
        <f>IF(A5263="","",IF(AC5263&gt;1,"REVISAR DUPLICADO",IF(AA5263&lt;&gt;"","ACTUALIZADO POR EYR","SIN REPORTE EYR")))</f>
        <v/>
      </c>
    </row>
    <row r="5264" spans="11:30" x14ac:dyDescent="0.3">
      <c r="K5264" s="1" t="str">
        <f ca="1">IF(A5264="","",IF(OR(L5264="ENTREGADA",L5264="RETORNADA",L5264="ENTREGA DIGITAL"),0,MAX(0,5-NETWORKDAYS(H5264+1,TODAY()))))</f>
        <v/>
      </c>
      <c r="L5264" t="str">
        <f>IF(A5264="","",IFERROR(LOOKUP(2,1/(#REF!=Z5264),#REF!),Y5264))</f>
        <v/>
      </c>
      <c r="Z5264" t="str">
        <f>IF(A5264="","",TEXT(A5264,"0")&amp;"|"&amp;TEXT(H5264,"0"))</f>
        <v/>
      </c>
      <c r="AA5264" t="str">
        <f>IF(Z5264="","",IFERROR(LOOKUP(2,1/(#REF!=Z5264),#REF!),""))</f>
        <v/>
      </c>
      <c r="AB5264" t="str">
        <f>IF(Z5264="","",IFERROR(LOOKUP(2,1/(#REF!=Z5264),#REF!),""))</f>
        <v/>
      </c>
      <c r="AC5264" t="str">
        <f>IF(Z5264="","",COUNTIF(#REF!,Z5264))</f>
        <v/>
      </c>
      <c r="AD5264" t="str">
        <f>IF(A5264="","",IF(AC5264&gt;1,"REVISAR DUPLICADO",IF(AA5264&lt;&gt;"","ACTUALIZADO POR EYR","SIN REPORTE EYR")))</f>
        <v/>
      </c>
    </row>
    <row r="5265" spans="11:30" x14ac:dyDescent="0.3">
      <c r="K5265" s="1" t="str">
        <f ca="1">IF(A5265="","",IF(OR(L5265="ENTREGADA",L5265="RETORNADA",L5265="ENTREGA DIGITAL"),0,MAX(0,5-NETWORKDAYS(H5265+1,TODAY()))))</f>
        <v/>
      </c>
      <c r="L5265" t="str">
        <f>IF(A5265="","",IFERROR(LOOKUP(2,1/(#REF!=Z5265),#REF!),Y5265))</f>
        <v/>
      </c>
      <c r="Z5265" t="str">
        <f>IF(A5265="","",TEXT(A5265,"0")&amp;"|"&amp;TEXT(H5265,"0"))</f>
        <v/>
      </c>
      <c r="AA5265" t="str">
        <f>IF(Z5265="","",IFERROR(LOOKUP(2,1/(#REF!=Z5265),#REF!),""))</f>
        <v/>
      </c>
      <c r="AB5265" t="str">
        <f>IF(Z5265="","",IFERROR(LOOKUP(2,1/(#REF!=Z5265),#REF!),""))</f>
        <v/>
      </c>
      <c r="AC5265" t="str">
        <f>IF(Z5265="","",COUNTIF(#REF!,Z5265))</f>
        <v/>
      </c>
      <c r="AD5265" t="str">
        <f>IF(A5265="","",IF(AC5265&gt;1,"REVISAR DUPLICADO",IF(AA5265&lt;&gt;"","ACTUALIZADO POR EYR","SIN REPORTE EYR")))</f>
        <v/>
      </c>
    </row>
    <row r="5266" spans="11:30" x14ac:dyDescent="0.3">
      <c r="K5266" s="1" t="str">
        <f ca="1">IF(A5266="","",IF(OR(L5266="ENTREGADA",L5266="RETORNADA",L5266="ENTREGA DIGITAL"),0,MAX(0,5-NETWORKDAYS(H5266+1,TODAY()))))</f>
        <v/>
      </c>
      <c r="L5266" t="str">
        <f>IF(A5266="","",IFERROR(LOOKUP(2,1/(#REF!=Z5266),#REF!),Y5266))</f>
        <v/>
      </c>
      <c r="Z5266" t="str">
        <f>IF(A5266="","",TEXT(A5266,"0")&amp;"|"&amp;TEXT(H5266,"0"))</f>
        <v/>
      </c>
      <c r="AA5266" t="str">
        <f>IF(Z5266="","",IFERROR(LOOKUP(2,1/(#REF!=Z5266),#REF!),""))</f>
        <v/>
      </c>
      <c r="AB5266" t="str">
        <f>IF(Z5266="","",IFERROR(LOOKUP(2,1/(#REF!=Z5266),#REF!),""))</f>
        <v/>
      </c>
      <c r="AC5266" t="str">
        <f>IF(Z5266="","",COUNTIF(#REF!,Z5266))</f>
        <v/>
      </c>
      <c r="AD5266" t="str">
        <f>IF(A5266="","",IF(AC5266&gt;1,"REVISAR DUPLICADO",IF(AA5266&lt;&gt;"","ACTUALIZADO POR EYR","SIN REPORTE EYR")))</f>
        <v/>
      </c>
    </row>
    <row r="5267" spans="11:30" x14ac:dyDescent="0.3">
      <c r="K5267" s="1" t="str">
        <f ca="1">IF(A5267="","",IF(OR(L5267="ENTREGADA",L5267="RETORNADA",L5267="ENTREGA DIGITAL"),0,MAX(0,5-NETWORKDAYS(H5267+1,TODAY()))))</f>
        <v/>
      </c>
      <c r="L5267" t="str">
        <f>IF(A5267="","",IFERROR(LOOKUP(2,1/(#REF!=Z5267),#REF!),Y5267))</f>
        <v/>
      </c>
      <c r="Z5267" t="str">
        <f>IF(A5267="","",TEXT(A5267,"0")&amp;"|"&amp;TEXT(H5267,"0"))</f>
        <v/>
      </c>
      <c r="AA5267" t="str">
        <f>IF(Z5267="","",IFERROR(LOOKUP(2,1/(#REF!=Z5267),#REF!),""))</f>
        <v/>
      </c>
      <c r="AB5267" t="str">
        <f>IF(Z5267="","",IFERROR(LOOKUP(2,1/(#REF!=Z5267),#REF!),""))</f>
        <v/>
      </c>
      <c r="AC5267" t="str">
        <f>IF(Z5267="","",COUNTIF(#REF!,Z5267))</f>
        <v/>
      </c>
      <c r="AD5267" t="str">
        <f>IF(A5267="","",IF(AC5267&gt;1,"REVISAR DUPLICADO",IF(AA5267&lt;&gt;"","ACTUALIZADO POR EYR","SIN REPORTE EYR")))</f>
        <v/>
      </c>
    </row>
    <row r="5268" spans="11:30" x14ac:dyDescent="0.3">
      <c r="K5268" s="1" t="str">
        <f ca="1">IF(A5268="","",IF(OR(L5268="ENTREGADA",L5268="RETORNADA",L5268="ENTREGA DIGITAL"),0,MAX(0,5-NETWORKDAYS(H5268+1,TODAY()))))</f>
        <v/>
      </c>
      <c r="L5268" t="str">
        <f>IF(A5268="","",IFERROR(LOOKUP(2,1/(#REF!=Z5268),#REF!),Y5268))</f>
        <v/>
      </c>
      <c r="Z5268" t="str">
        <f>IF(A5268="","",TEXT(A5268,"0")&amp;"|"&amp;TEXT(H5268,"0"))</f>
        <v/>
      </c>
      <c r="AA5268" t="str">
        <f>IF(Z5268="","",IFERROR(LOOKUP(2,1/(#REF!=Z5268),#REF!),""))</f>
        <v/>
      </c>
      <c r="AB5268" t="str">
        <f>IF(Z5268="","",IFERROR(LOOKUP(2,1/(#REF!=Z5268),#REF!),""))</f>
        <v/>
      </c>
      <c r="AC5268" t="str">
        <f>IF(Z5268="","",COUNTIF(#REF!,Z5268))</f>
        <v/>
      </c>
      <c r="AD5268" t="str">
        <f>IF(A5268="","",IF(AC5268&gt;1,"REVISAR DUPLICADO",IF(AA5268&lt;&gt;"","ACTUALIZADO POR EYR","SIN REPORTE EYR")))</f>
        <v/>
      </c>
    </row>
    <row r="5269" spans="11:30" x14ac:dyDescent="0.3">
      <c r="K5269" s="1" t="str">
        <f ca="1">IF(A5269="","",IF(OR(L5269="ENTREGADA",L5269="RETORNADA",L5269="ENTREGA DIGITAL"),0,MAX(0,5-NETWORKDAYS(H5269+1,TODAY()))))</f>
        <v/>
      </c>
      <c r="L5269" t="str">
        <f>IF(A5269="","",IFERROR(LOOKUP(2,1/(#REF!=Z5269),#REF!),Y5269))</f>
        <v/>
      </c>
      <c r="Z5269" t="str">
        <f>IF(A5269="","",TEXT(A5269,"0")&amp;"|"&amp;TEXT(H5269,"0"))</f>
        <v/>
      </c>
      <c r="AA5269" t="str">
        <f>IF(Z5269="","",IFERROR(LOOKUP(2,1/(#REF!=Z5269),#REF!),""))</f>
        <v/>
      </c>
      <c r="AB5269" t="str">
        <f>IF(Z5269="","",IFERROR(LOOKUP(2,1/(#REF!=Z5269),#REF!),""))</f>
        <v/>
      </c>
      <c r="AC5269" t="str">
        <f>IF(Z5269="","",COUNTIF(#REF!,Z5269))</f>
        <v/>
      </c>
      <c r="AD5269" t="str">
        <f>IF(A5269="","",IF(AC5269&gt;1,"REVISAR DUPLICADO",IF(AA5269&lt;&gt;"","ACTUALIZADO POR EYR","SIN REPORTE EYR")))</f>
        <v/>
      </c>
    </row>
    <row r="5270" spans="11:30" x14ac:dyDescent="0.3">
      <c r="K5270" s="1" t="str">
        <f ca="1">IF(A5270="","",IF(OR(L5270="ENTREGADA",L5270="RETORNADA",L5270="ENTREGA DIGITAL"),0,MAX(0,5-NETWORKDAYS(H5270+1,TODAY()))))</f>
        <v/>
      </c>
      <c r="L5270" t="str">
        <f>IF(A5270="","",IFERROR(LOOKUP(2,1/(#REF!=Z5270),#REF!),Y5270))</f>
        <v/>
      </c>
      <c r="Z5270" t="str">
        <f>IF(A5270="","",TEXT(A5270,"0")&amp;"|"&amp;TEXT(H5270,"0"))</f>
        <v/>
      </c>
      <c r="AA5270" t="str">
        <f>IF(Z5270="","",IFERROR(LOOKUP(2,1/(#REF!=Z5270),#REF!),""))</f>
        <v/>
      </c>
      <c r="AB5270" t="str">
        <f>IF(Z5270="","",IFERROR(LOOKUP(2,1/(#REF!=Z5270),#REF!),""))</f>
        <v/>
      </c>
      <c r="AC5270" t="str">
        <f>IF(Z5270="","",COUNTIF(#REF!,Z5270))</f>
        <v/>
      </c>
      <c r="AD5270" t="str">
        <f>IF(A5270="","",IF(AC5270&gt;1,"REVISAR DUPLICADO",IF(AA5270&lt;&gt;"","ACTUALIZADO POR EYR","SIN REPORTE EYR")))</f>
        <v/>
      </c>
    </row>
    <row r="5271" spans="11:30" x14ac:dyDescent="0.3">
      <c r="K5271" s="1" t="str">
        <f ca="1">IF(A5271="","",IF(OR(L5271="ENTREGADA",L5271="RETORNADA",L5271="ENTREGA DIGITAL"),0,MAX(0,5-NETWORKDAYS(H5271+1,TODAY()))))</f>
        <v/>
      </c>
      <c r="L5271" t="str">
        <f>IF(A5271="","",IFERROR(LOOKUP(2,1/(#REF!=Z5271),#REF!),Y5271))</f>
        <v/>
      </c>
      <c r="Z5271" t="str">
        <f>IF(A5271="","",TEXT(A5271,"0")&amp;"|"&amp;TEXT(H5271,"0"))</f>
        <v/>
      </c>
      <c r="AA5271" t="str">
        <f>IF(Z5271="","",IFERROR(LOOKUP(2,1/(#REF!=Z5271),#REF!),""))</f>
        <v/>
      </c>
      <c r="AB5271" t="str">
        <f>IF(Z5271="","",IFERROR(LOOKUP(2,1/(#REF!=Z5271),#REF!),""))</f>
        <v/>
      </c>
      <c r="AC5271" t="str">
        <f>IF(Z5271="","",COUNTIF(#REF!,Z5271))</f>
        <v/>
      </c>
      <c r="AD5271" t="str">
        <f>IF(A5271="","",IF(AC5271&gt;1,"REVISAR DUPLICADO",IF(AA5271&lt;&gt;"","ACTUALIZADO POR EYR","SIN REPORTE EYR")))</f>
        <v/>
      </c>
    </row>
    <row r="5272" spans="11:30" x14ac:dyDescent="0.3">
      <c r="K5272" s="1" t="str">
        <f ca="1">IF(A5272="","",IF(OR(L5272="ENTREGADA",L5272="RETORNADA",L5272="ENTREGA DIGITAL"),0,MAX(0,5-NETWORKDAYS(H5272+1,TODAY()))))</f>
        <v/>
      </c>
      <c r="L5272" t="str">
        <f>IF(A5272="","",IFERROR(LOOKUP(2,1/(#REF!=Z5272),#REF!),Y5272))</f>
        <v/>
      </c>
      <c r="Z5272" t="str">
        <f>IF(A5272="","",TEXT(A5272,"0")&amp;"|"&amp;TEXT(H5272,"0"))</f>
        <v/>
      </c>
      <c r="AA5272" t="str">
        <f>IF(Z5272="","",IFERROR(LOOKUP(2,1/(#REF!=Z5272),#REF!),""))</f>
        <v/>
      </c>
      <c r="AB5272" t="str">
        <f>IF(Z5272="","",IFERROR(LOOKUP(2,1/(#REF!=Z5272),#REF!),""))</f>
        <v/>
      </c>
      <c r="AC5272" t="str">
        <f>IF(Z5272="","",COUNTIF(#REF!,Z5272))</f>
        <v/>
      </c>
      <c r="AD5272" t="str">
        <f>IF(A5272="","",IF(AC5272&gt;1,"REVISAR DUPLICADO",IF(AA5272&lt;&gt;"","ACTUALIZADO POR EYR","SIN REPORTE EYR")))</f>
        <v/>
      </c>
    </row>
    <row r="5273" spans="11:30" x14ac:dyDescent="0.3">
      <c r="K5273" s="1" t="str">
        <f ca="1">IF(A5273="","",IF(OR(L5273="ENTREGADA",L5273="RETORNADA",L5273="ENTREGA DIGITAL"),0,MAX(0,5-NETWORKDAYS(H5273+1,TODAY()))))</f>
        <v/>
      </c>
      <c r="L5273" t="str">
        <f>IF(A5273="","",IFERROR(LOOKUP(2,1/(#REF!=Z5273),#REF!),Y5273))</f>
        <v/>
      </c>
      <c r="Z5273" t="str">
        <f>IF(A5273="","",TEXT(A5273,"0")&amp;"|"&amp;TEXT(H5273,"0"))</f>
        <v/>
      </c>
      <c r="AA5273" t="str">
        <f>IF(Z5273="","",IFERROR(LOOKUP(2,1/(#REF!=Z5273),#REF!),""))</f>
        <v/>
      </c>
      <c r="AB5273" t="str">
        <f>IF(Z5273="","",IFERROR(LOOKUP(2,1/(#REF!=Z5273),#REF!),""))</f>
        <v/>
      </c>
      <c r="AC5273" t="str">
        <f>IF(Z5273="","",COUNTIF(#REF!,Z5273))</f>
        <v/>
      </c>
      <c r="AD5273" t="str">
        <f>IF(A5273="","",IF(AC5273&gt;1,"REVISAR DUPLICADO",IF(AA5273&lt;&gt;"","ACTUALIZADO POR EYR","SIN REPORTE EYR")))</f>
        <v/>
      </c>
    </row>
    <row r="5274" spans="11:30" x14ac:dyDescent="0.3">
      <c r="K5274" s="1" t="str">
        <f ca="1">IF(A5274="","",IF(OR(L5274="ENTREGADA",L5274="RETORNADA",L5274="ENTREGA DIGITAL"),0,MAX(0,5-NETWORKDAYS(H5274+1,TODAY()))))</f>
        <v/>
      </c>
      <c r="L5274" t="str">
        <f>IF(A5274="","",IFERROR(LOOKUP(2,1/(#REF!=Z5274),#REF!),Y5274))</f>
        <v/>
      </c>
      <c r="Z5274" t="str">
        <f>IF(A5274="","",TEXT(A5274,"0")&amp;"|"&amp;TEXT(H5274,"0"))</f>
        <v/>
      </c>
      <c r="AA5274" t="str">
        <f>IF(Z5274="","",IFERROR(LOOKUP(2,1/(#REF!=Z5274),#REF!),""))</f>
        <v/>
      </c>
      <c r="AB5274" t="str">
        <f>IF(Z5274="","",IFERROR(LOOKUP(2,1/(#REF!=Z5274),#REF!),""))</f>
        <v/>
      </c>
      <c r="AC5274" t="str">
        <f>IF(Z5274="","",COUNTIF(#REF!,Z5274))</f>
        <v/>
      </c>
      <c r="AD5274" t="str">
        <f>IF(A5274="","",IF(AC5274&gt;1,"REVISAR DUPLICADO",IF(AA5274&lt;&gt;"","ACTUALIZADO POR EYR","SIN REPORTE EYR")))</f>
        <v/>
      </c>
    </row>
    <row r="5275" spans="11:30" x14ac:dyDescent="0.3">
      <c r="K5275" s="1" t="str">
        <f ca="1">IF(A5275="","",IF(OR(L5275="ENTREGADA",L5275="RETORNADA",L5275="ENTREGA DIGITAL"),0,MAX(0,5-NETWORKDAYS(H5275+1,TODAY()))))</f>
        <v/>
      </c>
      <c r="L5275" t="str">
        <f>IF(A5275="","",IFERROR(LOOKUP(2,1/(#REF!=Z5275),#REF!),Y5275))</f>
        <v/>
      </c>
      <c r="Z5275" t="str">
        <f>IF(A5275="","",TEXT(A5275,"0")&amp;"|"&amp;TEXT(H5275,"0"))</f>
        <v/>
      </c>
      <c r="AA5275" t="str">
        <f>IF(Z5275="","",IFERROR(LOOKUP(2,1/(#REF!=Z5275),#REF!),""))</f>
        <v/>
      </c>
      <c r="AB5275" t="str">
        <f>IF(Z5275="","",IFERROR(LOOKUP(2,1/(#REF!=Z5275),#REF!),""))</f>
        <v/>
      </c>
      <c r="AC5275" t="str">
        <f>IF(Z5275="","",COUNTIF(#REF!,Z5275))</f>
        <v/>
      </c>
      <c r="AD5275" t="str">
        <f>IF(A5275="","",IF(AC5275&gt;1,"REVISAR DUPLICADO",IF(AA5275&lt;&gt;"","ACTUALIZADO POR EYR","SIN REPORTE EYR")))</f>
        <v/>
      </c>
    </row>
    <row r="5276" spans="11:30" x14ac:dyDescent="0.3">
      <c r="K5276" s="1" t="str">
        <f ca="1">IF(A5276="","",IF(OR(L5276="ENTREGADA",L5276="RETORNADA",L5276="ENTREGA DIGITAL"),0,MAX(0,5-NETWORKDAYS(H5276+1,TODAY()))))</f>
        <v/>
      </c>
      <c r="L5276" t="str">
        <f>IF(A5276="","",IFERROR(LOOKUP(2,1/(#REF!=Z5276),#REF!),Y5276))</f>
        <v/>
      </c>
      <c r="Z5276" t="str">
        <f>IF(A5276="","",TEXT(A5276,"0")&amp;"|"&amp;TEXT(H5276,"0"))</f>
        <v/>
      </c>
      <c r="AA5276" t="str">
        <f>IF(Z5276="","",IFERROR(LOOKUP(2,1/(#REF!=Z5276),#REF!),""))</f>
        <v/>
      </c>
      <c r="AB5276" t="str">
        <f>IF(Z5276="","",IFERROR(LOOKUP(2,1/(#REF!=Z5276),#REF!),""))</f>
        <v/>
      </c>
      <c r="AC5276" t="str">
        <f>IF(Z5276="","",COUNTIF(#REF!,Z5276))</f>
        <v/>
      </c>
      <c r="AD5276" t="str">
        <f>IF(A5276="","",IF(AC5276&gt;1,"REVISAR DUPLICADO",IF(AA5276&lt;&gt;"","ACTUALIZADO POR EYR","SIN REPORTE EYR")))</f>
        <v/>
      </c>
    </row>
    <row r="5277" spans="11:30" x14ac:dyDescent="0.3">
      <c r="K5277" s="1" t="str">
        <f ca="1">IF(A5277="","",IF(OR(L5277="ENTREGADA",L5277="RETORNADA",L5277="ENTREGA DIGITAL"),0,MAX(0,5-NETWORKDAYS(H5277+1,TODAY()))))</f>
        <v/>
      </c>
      <c r="L5277" t="str">
        <f>IF(A5277="","",IFERROR(LOOKUP(2,1/(#REF!=Z5277),#REF!),Y5277))</f>
        <v/>
      </c>
      <c r="Z5277" t="str">
        <f>IF(A5277="","",TEXT(A5277,"0")&amp;"|"&amp;TEXT(H5277,"0"))</f>
        <v/>
      </c>
      <c r="AA5277" t="str">
        <f>IF(Z5277="","",IFERROR(LOOKUP(2,1/(#REF!=Z5277),#REF!),""))</f>
        <v/>
      </c>
      <c r="AB5277" t="str">
        <f>IF(Z5277="","",IFERROR(LOOKUP(2,1/(#REF!=Z5277),#REF!),""))</f>
        <v/>
      </c>
      <c r="AC5277" t="str">
        <f>IF(Z5277="","",COUNTIF(#REF!,Z5277))</f>
        <v/>
      </c>
      <c r="AD5277" t="str">
        <f>IF(A5277="","",IF(AC5277&gt;1,"REVISAR DUPLICADO",IF(AA5277&lt;&gt;"","ACTUALIZADO POR EYR","SIN REPORTE EYR")))</f>
        <v/>
      </c>
    </row>
    <row r="5278" spans="11:30" x14ac:dyDescent="0.3">
      <c r="K5278" s="1" t="str">
        <f ca="1">IF(A5278="","",IF(OR(L5278="ENTREGADA",L5278="RETORNADA",L5278="ENTREGA DIGITAL"),0,MAX(0,5-NETWORKDAYS(H5278+1,TODAY()))))</f>
        <v/>
      </c>
      <c r="L5278" t="str">
        <f>IF(A5278="","",IFERROR(LOOKUP(2,1/(#REF!=Z5278),#REF!),Y5278))</f>
        <v/>
      </c>
      <c r="Z5278" t="str">
        <f>IF(A5278="","",TEXT(A5278,"0")&amp;"|"&amp;TEXT(H5278,"0"))</f>
        <v/>
      </c>
      <c r="AA5278" t="str">
        <f>IF(Z5278="","",IFERROR(LOOKUP(2,1/(#REF!=Z5278),#REF!),""))</f>
        <v/>
      </c>
      <c r="AB5278" t="str">
        <f>IF(Z5278="","",IFERROR(LOOKUP(2,1/(#REF!=Z5278),#REF!),""))</f>
        <v/>
      </c>
      <c r="AC5278" t="str">
        <f>IF(Z5278="","",COUNTIF(#REF!,Z5278))</f>
        <v/>
      </c>
      <c r="AD5278" t="str">
        <f>IF(A5278="","",IF(AC5278&gt;1,"REVISAR DUPLICADO",IF(AA5278&lt;&gt;"","ACTUALIZADO POR EYR","SIN REPORTE EYR")))</f>
        <v/>
      </c>
    </row>
    <row r="5279" spans="11:30" x14ac:dyDescent="0.3">
      <c r="K5279" s="1" t="str">
        <f ca="1">IF(A5279="","",IF(OR(L5279="ENTREGADA",L5279="RETORNADA",L5279="ENTREGA DIGITAL"),0,MAX(0,5-NETWORKDAYS(H5279+1,TODAY()))))</f>
        <v/>
      </c>
      <c r="L5279" t="str">
        <f>IF(A5279="","",IFERROR(LOOKUP(2,1/(#REF!=Z5279),#REF!),Y5279))</f>
        <v/>
      </c>
      <c r="Z5279" t="str">
        <f>IF(A5279="","",TEXT(A5279,"0")&amp;"|"&amp;TEXT(H5279,"0"))</f>
        <v/>
      </c>
      <c r="AA5279" t="str">
        <f>IF(Z5279="","",IFERROR(LOOKUP(2,1/(#REF!=Z5279),#REF!),""))</f>
        <v/>
      </c>
      <c r="AB5279" t="str">
        <f>IF(Z5279="","",IFERROR(LOOKUP(2,1/(#REF!=Z5279),#REF!),""))</f>
        <v/>
      </c>
      <c r="AC5279" t="str">
        <f>IF(Z5279="","",COUNTIF(#REF!,Z5279))</f>
        <v/>
      </c>
      <c r="AD5279" t="str">
        <f>IF(A5279="","",IF(AC5279&gt;1,"REVISAR DUPLICADO",IF(AA5279&lt;&gt;"","ACTUALIZADO POR EYR","SIN REPORTE EYR")))</f>
        <v/>
      </c>
    </row>
    <row r="5280" spans="11:30" x14ac:dyDescent="0.3">
      <c r="K5280" s="1" t="str">
        <f ca="1">IF(A5280="","",IF(OR(L5280="ENTREGADA",L5280="RETORNADA",L5280="ENTREGA DIGITAL"),0,MAX(0,5-NETWORKDAYS(H5280+1,TODAY()))))</f>
        <v/>
      </c>
      <c r="L5280" t="str">
        <f>IF(A5280="","",IFERROR(LOOKUP(2,1/(#REF!=Z5280),#REF!),Y5280))</f>
        <v/>
      </c>
      <c r="Z5280" t="str">
        <f>IF(A5280="","",TEXT(A5280,"0")&amp;"|"&amp;TEXT(H5280,"0"))</f>
        <v/>
      </c>
      <c r="AA5280" t="str">
        <f>IF(Z5280="","",IFERROR(LOOKUP(2,1/(#REF!=Z5280),#REF!),""))</f>
        <v/>
      </c>
      <c r="AB5280" t="str">
        <f>IF(Z5280="","",IFERROR(LOOKUP(2,1/(#REF!=Z5280),#REF!),""))</f>
        <v/>
      </c>
      <c r="AC5280" t="str">
        <f>IF(Z5280="","",COUNTIF(#REF!,Z5280))</f>
        <v/>
      </c>
      <c r="AD5280" t="str">
        <f>IF(A5280="","",IF(AC5280&gt;1,"REVISAR DUPLICADO",IF(AA5280&lt;&gt;"","ACTUALIZADO POR EYR","SIN REPORTE EYR")))</f>
        <v/>
      </c>
    </row>
    <row r="5281" spans="11:30" x14ac:dyDescent="0.3">
      <c r="K5281" s="1" t="str">
        <f ca="1">IF(A5281="","",IF(OR(L5281="ENTREGADA",L5281="RETORNADA",L5281="ENTREGA DIGITAL"),0,MAX(0,5-NETWORKDAYS(H5281+1,TODAY()))))</f>
        <v/>
      </c>
      <c r="L5281" t="str">
        <f>IF(A5281="","",IFERROR(LOOKUP(2,1/(#REF!=Z5281),#REF!),Y5281))</f>
        <v/>
      </c>
      <c r="Z5281" t="str">
        <f>IF(A5281="","",TEXT(A5281,"0")&amp;"|"&amp;TEXT(H5281,"0"))</f>
        <v/>
      </c>
      <c r="AA5281" t="str">
        <f>IF(Z5281="","",IFERROR(LOOKUP(2,1/(#REF!=Z5281),#REF!),""))</f>
        <v/>
      </c>
      <c r="AB5281" t="str">
        <f>IF(Z5281="","",IFERROR(LOOKUP(2,1/(#REF!=Z5281),#REF!),""))</f>
        <v/>
      </c>
      <c r="AC5281" t="str">
        <f>IF(Z5281="","",COUNTIF(#REF!,Z5281))</f>
        <v/>
      </c>
      <c r="AD5281" t="str">
        <f>IF(A5281="","",IF(AC5281&gt;1,"REVISAR DUPLICADO",IF(AA5281&lt;&gt;"","ACTUALIZADO POR EYR","SIN REPORTE EYR")))</f>
        <v/>
      </c>
    </row>
    <row r="5282" spans="11:30" x14ac:dyDescent="0.3">
      <c r="K5282" s="1" t="str">
        <f ca="1">IF(A5282="","",IF(OR(L5282="ENTREGADA",L5282="RETORNADA",L5282="ENTREGA DIGITAL"),0,MAX(0,5-NETWORKDAYS(H5282+1,TODAY()))))</f>
        <v/>
      </c>
      <c r="L5282" t="str">
        <f>IF(A5282="","",IFERROR(LOOKUP(2,1/(#REF!=Z5282),#REF!),Y5282))</f>
        <v/>
      </c>
      <c r="Z5282" t="str">
        <f>IF(A5282="","",TEXT(A5282,"0")&amp;"|"&amp;TEXT(H5282,"0"))</f>
        <v/>
      </c>
      <c r="AA5282" t="str">
        <f>IF(Z5282="","",IFERROR(LOOKUP(2,1/(#REF!=Z5282),#REF!),""))</f>
        <v/>
      </c>
      <c r="AB5282" t="str">
        <f>IF(Z5282="","",IFERROR(LOOKUP(2,1/(#REF!=Z5282),#REF!),""))</f>
        <v/>
      </c>
      <c r="AC5282" t="str">
        <f>IF(Z5282="","",COUNTIF(#REF!,Z5282))</f>
        <v/>
      </c>
      <c r="AD5282" t="str">
        <f>IF(A5282="","",IF(AC5282&gt;1,"REVISAR DUPLICADO",IF(AA5282&lt;&gt;"","ACTUALIZADO POR EYR","SIN REPORTE EYR")))</f>
        <v/>
      </c>
    </row>
    <row r="5283" spans="11:30" x14ac:dyDescent="0.3">
      <c r="K5283" s="1" t="str">
        <f ca="1">IF(A5283="","",IF(OR(L5283="ENTREGADA",L5283="RETORNADA",L5283="ENTREGA DIGITAL"),0,MAX(0,5-NETWORKDAYS(H5283+1,TODAY()))))</f>
        <v/>
      </c>
      <c r="L5283" t="str">
        <f>IF(A5283="","",IFERROR(LOOKUP(2,1/(#REF!=Z5283),#REF!),Y5283))</f>
        <v/>
      </c>
      <c r="Z5283" t="str">
        <f>IF(A5283="","",TEXT(A5283,"0")&amp;"|"&amp;TEXT(H5283,"0"))</f>
        <v/>
      </c>
      <c r="AA5283" t="str">
        <f>IF(Z5283="","",IFERROR(LOOKUP(2,1/(#REF!=Z5283),#REF!),""))</f>
        <v/>
      </c>
      <c r="AB5283" t="str">
        <f>IF(Z5283="","",IFERROR(LOOKUP(2,1/(#REF!=Z5283),#REF!),""))</f>
        <v/>
      </c>
      <c r="AC5283" t="str">
        <f>IF(Z5283="","",COUNTIF(#REF!,Z5283))</f>
        <v/>
      </c>
      <c r="AD5283" t="str">
        <f>IF(A5283="","",IF(AC5283&gt;1,"REVISAR DUPLICADO",IF(AA5283&lt;&gt;"","ACTUALIZADO POR EYR","SIN REPORTE EYR")))</f>
        <v/>
      </c>
    </row>
    <row r="5284" spans="11:30" x14ac:dyDescent="0.3">
      <c r="K5284" s="1" t="str">
        <f ca="1">IF(A5284="","",IF(OR(L5284="ENTREGADA",L5284="RETORNADA",L5284="ENTREGA DIGITAL"),0,MAX(0,5-NETWORKDAYS(H5284+1,TODAY()))))</f>
        <v/>
      </c>
      <c r="L5284" t="str">
        <f>IF(A5284="","",IFERROR(LOOKUP(2,1/(#REF!=Z5284),#REF!),Y5284))</f>
        <v/>
      </c>
      <c r="Z5284" t="str">
        <f>IF(A5284="","",TEXT(A5284,"0")&amp;"|"&amp;TEXT(H5284,"0"))</f>
        <v/>
      </c>
      <c r="AA5284" t="str">
        <f>IF(Z5284="","",IFERROR(LOOKUP(2,1/(#REF!=Z5284),#REF!),""))</f>
        <v/>
      </c>
      <c r="AB5284" t="str">
        <f>IF(Z5284="","",IFERROR(LOOKUP(2,1/(#REF!=Z5284),#REF!),""))</f>
        <v/>
      </c>
      <c r="AC5284" t="str">
        <f>IF(Z5284="","",COUNTIF(#REF!,Z5284))</f>
        <v/>
      </c>
      <c r="AD5284" t="str">
        <f>IF(A5284="","",IF(AC5284&gt;1,"REVISAR DUPLICADO",IF(AA5284&lt;&gt;"","ACTUALIZADO POR EYR","SIN REPORTE EYR")))</f>
        <v/>
      </c>
    </row>
    <row r="5285" spans="11:30" x14ac:dyDescent="0.3">
      <c r="K5285" s="1" t="str">
        <f ca="1">IF(A5285="","",IF(OR(L5285="ENTREGADA",L5285="RETORNADA",L5285="ENTREGA DIGITAL"),0,MAX(0,5-NETWORKDAYS(H5285+1,TODAY()))))</f>
        <v/>
      </c>
      <c r="L5285" t="str">
        <f>IF(A5285="","",IFERROR(LOOKUP(2,1/(#REF!=Z5285),#REF!),Y5285))</f>
        <v/>
      </c>
      <c r="Z5285" t="str">
        <f>IF(A5285="","",TEXT(A5285,"0")&amp;"|"&amp;TEXT(H5285,"0"))</f>
        <v/>
      </c>
      <c r="AA5285" t="str">
        <f>IF(Z5285="","",IFERROR(LOOKUP(2,1/(#REF!=Z5285),#REF!),""))</f>
        <v/>
      </c>
      <c r="AB5285" t="str">
        <f>IF(Z5285="","",IFERROR(LOOKUP(2,1/(#REF!=Z5285),#REF!),""))</f>
        <v/>
      </c>
      <c r="AC5285" t="str">
        <f>IF(Z5285="","",COUNTIF(#REF!,Z5285))</f>
        <v/>
      </c>
      <c r="AD5285" t="str">
        <f>IF(A5285="","",IF(AC5285&gt;1,"REVISAR DUPLICADO",IF(AA5285&lt;&gt;"","ACTUALIZADO POR EYR","SIN REPORTE EYR")))</f>
        <v/>
      </c>
    </row>
    <row r="5286" spans="11:30" x14ac:dyDescent="0.3">
      <c r="K5286" s="1" t="str">
        <f ca="1">IF(A5286="","",IF(OR(L5286="ENTREGADA",L5286="RETORNADA",L5286="ENTREGA DIGITAL"),0,MAX(0,5-NETWORKDAYS(H5286+1,TODAY()))))</f>
        <v/>
      </c>
      <c r="L5286" t="str">
        <f>IF(A5286="","",IFERROR(LOOKUP(2,1/(#REF!=Z5286),#REF!),Y5286))</f>
        <v/>
      </c>
      <c r="Z5286" t="str">
        <f>IF(A5286="","",TEXT(A5286,"0")&amp;"|"&amp;TEXT(H5286,"0"))</f>
        <v/>
      </c>
      <c r="AA5286" t="str">
        <f>IF(Z5286="","",IFERROR(LOOKUP(2,1/(#REF!=Z5286),#REF!),""))</f>
        <v/>
      </c>
      <c r="AB5286" t="str">
        <f>IF(Z5286="","",IFERROR(LOOKUP(2,1/(#REF!=Z5286),#REF!),""))</f>
        <v/>
      </c>
      <c r="AC5286" t="str">
        <f>IF(Z5286="","",COUNTIF(#REF!,Z5286))</f>
        <v/>
      </c>
      <c r="AD5286" t="str">
        <f>IF(A5286="","",IF(AC5286&gt;1,"REVISAR DUPLICADO",IF(AA5286&lt;&gt;"","ACTUALIZADO POR EYR","SIN REPORTE EYR")))</f>
        <v/>
      </c>
    </row>
    <row r="5287" spans="11:30" x14ac:dyDescent="0.3">
      <c r="K5287" s="1" t="str">
        <f ca="1">IF(A5287="","",IF(OR(L5287="ENTREGADA",L5287="RETORNADA",L5287="ENTREGA DIGITAL"),0,MAX(0,5-NETWORKDAYS(H5287+1,TODAY()))))</f>
        <v/>
      </c>
      <c r="L5287" t="str">
        <f>IF(A5287="","",IFERROR(LOOKUP(2,1/(#REF!=Z5287),#REF!),Y5287))</f>
        <v/>
      </c>
      <c r="Z5287" t="str">
        <f>IF(A5287="","",TEXT(A5287,"0")&amp;"|"&amp;TEXT(H5287,"0"))</f>
        <v/>
      </c>
      <c r="AA5287" t="str">
        <f>IF(Z5287="","",IFERROR(LOOKUP(2,1/(#REF!=Z5287),#REF!),""))</f>
        <v/>
      </c>
      <c r="AB5287" t="str">
        <f>IF(Z5287="","",IFERROR(LOOKUP(2,1/(#REF!=Z5287),#REF!),""))</f>
        <v/>
      </c>
      <c r="AC5287" t="str">
        <f>IF(Z5287="","",COUNTIF(#REF!,Z5287))</f>
        <v/>
      </c>
      <c r="AD5287" t="str">
        <f>IF(A5287="","",IF(AC5287&gt;1,"REVISAR DUPLICADO",IF(AA5287&lt;&gt;"","ACTUALIZADO POR EYR","SIN REPORTE EYR")))</f>
        <v/>
      </c>
    </row>
    <row r="5288" spans="11:30" x14ac:dyDescent="0.3">
      <c r="K5288" s="1" t="str">
        <f ca="1">IF(A5288="","",IF(OR(L5288="ENTREGADA",L5288="RETORNADA",L5288="ENTREGA DIGITAL"),0,MAX(0,5-NETWORKDAYS(H5288+1,TODAY()))))</f>
        <v/>
      </c>
      <c r="L5288" t="str">
        <f>IF(A5288="","",IFERROR(LOOKUP(2,1/(#REF!=Z5288),#REF!),Y5288))</f>
        <v/>
      </c>
      <c r="Z5288" t="str">
        <f>IF(A5288="","",TEXT(A5288,"0")&amp;"|"&amp;TEXT(H5288,"0"))</f>
        <v/>
      </c>
      <c r="AA5288" t="str">
        <f>IF(Z5288="","",IFERROR(LOOKUP(2,1/(#REF!=Z5288),#REF!),""))</f>
        <v/>
      </c>
      <c r="AB5288" t="str">
        <f>IF(Z5288="","",IFERROR(LOOKUP(2,1/(#REF!=Z5288),#REF!),""))</f>
        <v/>
      </c>
      <c r="AC5288" t="str">
        <f>IF(Z5288="","",COUNTIF(#REF!,Z5288))</f>
        <v/>
      </c>
      <c r="AD5288" t="str">
        <f>IF(A5288="","",IF(AC5288&gt;1,"REVISAR DUPLICADO",IF(AA5288&lt;&gt;"","ACTUALIZADO POR EYR","SIN REPORTE EYR")))</f>
        <v/>
      </c>
    </row>
    <row r="5289" spans="11:30" x14ac:dyDescent="0.3">
      <c r="K5289" s="1" t="str">
        <f ca="1">IF(A5289="","",IF(OR(L5289="ENTREGADA",L5289="RETORNADA",L5289="ENTREGA DIGITAL"),0,MAX(0,5-NETWORKDAYS(H5289+1,TODAY()))))</f>
        <v/>
      </c>
      <c r="L5289" t="str">
        <f>IF(A5289="","",IFERROR(LOOKUP(2,1/(#REF!=Z5289),#REF!),Y5289))</f>
        <v/>
      </c>
      <c r="Z5289" t="str">
        <f>IF(A5289="","",TEXT(A5289,"0")&amp;"|"&amp;TEXT(H5289,"0"))</f>
        <v/>
      </c>
      <c r="AA5289" t="str">
        <f>IF(Z5289="","",IFERROR(LOOKUP(2,1/(#REF!=Z5289),#REF!),""))</f>
        <v/>
      </c>
      <c r="AB5289" t="str">
        <f>IF(Z5289="","",IFERROR(LOOKUP(2,1/(#REF!=Z5289),#REF!),""))</f>
        <v/>
      </c>
      <c r="AC5289" t="str">
        <f>IF(Z5289="","",COUNTIF(#REF!,Z5289))</f>
        <v/>
      </c>
      <c r="AD5289" t="str">
        <f>IF(A5289="","",IF(AC5289&gt;1,"REVISAR DUPLICADO",IF(AA5289&lt;&gt;"","ACTUALIZADO POR EYR","SIN REPORTE EYR")))</f>
        <v/>
      </c>
    </row>
    <row r="5290" spans="11:30" x14ac:dyDescent="0.3">
      <c r="K5290" s="1" t="str">
        <f ca="1">IF(A5290="","",IF(OR(L5290="ENTREGADA",L5290="RETORNADA",L5290="ENTREGA DIGITAL"),0,MAX(0,5-NETWORKDAYS(H5290+1,TODAY()))))</f>
        <v/>
      </c>
      <c r="L5290" t="str">
        <f>IF(A5290="","",IFERROR(LOOKUP(2,1/(#REF!=Z5290),#REF!),Y5290))</f>
        <v/>
      </c>
      <c r="Z5290" t="str">
        <f>IF(A5290="","",TEXT(A5290,"0")&amp;"|"&amp;TEXT(H5290,"0"))</f>
        <v/>
      </c>
      <c r="AA5290" t="str">
        <f>IF(Z5290="","",IFERROR(LOOKUP(2,1/(#REF!=Z5290),#REF!),""))</f>
        <v/>
      </c>
      <c r="AB5290" t="str">
        <f>IF(Z5290="","",IFERROR(LOOKUP(2,1/(#REF!=Z5290),#REF!),""))</f>
        <v/>
      </c>
      <c r="AC5290" t="str">
        <f>IF(Z5290="","",COUNTIF(#REF!,Z5290))</f>
        <v/>
      </c>
      <c r="AD5290" t="str">
        <f>IF(A5290="","",IF(AC5290&gt;1,"REVISAR DUPLICADO",IF(AA5290&lt;&gt;"","ACTUALIZADO POR EYR","SIN REPORTE EYR")))</f>
        <v/>
      </c>
    </row>
    <row r="5291" spans="11:30" x14ac:dyDescent="0.3">
      <c r="K5291" s="1" t="str">
        <f ca="1">IF(A5291="","",IF(OR(L5291="ENTREGADA",L5291="RETORNADA",L5291="ENTREGA DIGITAL"),0,MAX(0,5-NETWORKDAYS(H5291+1,TODAY()))))</f>
        <v/>
      </c>
      <c r="L5291" t="str">
        <f>IF(A5291="","",IFERROR(LOOKUP(2,1/(#REF!=Z5291),#REF!),Y5291))</f>
        <v/>
      </c>
      <c r="Z5291" t="str">
        <f>IF(A5291="","",TEXT(A5291,"0")&amp;"|"&amp;TEXT(H5291,"0"))</f>
        <v/>
      </c>
      <c r="AA5291" t="str">
        <f>IF(Z5291="","",IFERROR(LOOKUP(2,1/(#REF!=Z5291),#REF!),""))</f>
        <v/>
      </c>
      <c r="AB5291" t="str">
        <f>IF(Z5291="","",IFERROR(LOOKUP(2,1/(#REF!=Z5291),#REF!),""))</f>
        <v/>
      </c>
      <c r="AC5291" t="str">
        <f>IF(Z5291="","",COUNTIF(#REF!,Z5291))</f>
        <v/>
      </c>
      <c r="AD5291" t="str">
        <f>IF(A5291="","",IF(AC5291&gt;1,"REVISAR DUPLICADO",IF(AA5291&lt;&gt;"","ACTUALIZADO POR EYR","SIN REPORTE EYR")))</f>
        <v/>
      </c>
    </row>
    <row r="5292" spans="11:30" x14ac:dyDescent="0.3">
      <c r="K5292" s="1" t="str">
        <f ca="1">IF(A5292="","",IF(OR(L5292="ENTREGADA",L5292="RETORNADA",L5292="ENTREGA DIGITAL"),0,MAX(0,5-NETWORKDAYS(H5292+1,TODAY()))))</f>
        <v/>
      </c>
      <c r="L5292" t="str">
        <f>IF(A5292="","",IFERROR(LOOKUP(2,1/(#REF!=Z5292),#REF!),Y5292))</f>
        <v/>
      </c>
      <c r="Z5292" t="str">
        <f>IF(A5292="","",TEXT(A5292,"0")&amp;"|"&amp;TEXT(H5292,"0"))</f>
        <v/>
      </c>
      <c r="AA5292" t="str">
        <f>IF(Z5292="","",IFERROR(LOOKUP(2,1/(#REF!=Z5292),#REF!),""))</f>
        <v/>
      </c>
      <c r="AB5292" t="str">
        <f>IF(Z5292="","",IFERROR(LOOKUP(2,1/(#REF!=Z5292),#REF!),""))</f>
        <v/>
      </c>
      <c r="AC5292" t="str">
        <f>IF(Z5292="","",COUNTIF(#REF!,Z5292))</f>
        <v/>
      </c>
      <c r="AD5292" t="str">
        <f>IF(A5292="","",IF(AC5292&gt;1,"REVISAR DUPLICADO",IF(AA5292&lt;&gt;"","ACTUALIZADO POR EYR","SIN REPORTE EYR")))</f>
        <v/>
      </c>
    </row>
    <row r="5293" spans="11:30" x14ac:dyDescent="0.3">
      <c r="K5293" s="1" t="str">
        <f ca="1">IF(A5293="","",IF(OR(L5293="ENTREGADA",L5293="RETORNADA",L5293="ENTREGA DIGITAL"),0,MAX(0,5-NETWORKDAYS(H5293+1,TODAY()))))</f>
        <v/>
      </c>
      <c r="L5293" t="str">
        <f>IF(A5293="","",IFERROR(LOOKUP(2,1/(#REF!=Z5293),#REF!),Y5293))</f>
        <v/>
      </c>
      <c r="Z5293" t="str">
        <f>IF(A5293="","",TEXT(A5293,"0")&amp;"|"&amp;TEXT(H5293,"0"))</f>
        <v/>
      </c>
      <c r="AA5293" t="str">
        <f>IF(Z5293="","",IFERROR(LOOKUP(2,1/(#REF!=Z5293),#REF!),""))</f>
        <v/>
      </c>
      <c r="AB5293" t="str">
        <f>IF(Z5293="","",IFERROR(LOOKUP(2,1/(#REF!=Z5293),#REF!),""))</f>
        <v/>
      </c>
      <c r="AC5293" t="str">
        <f>IF(Z5293="","",COUNTIF(#REF!,Z5293))</f>
        <v/>
      </c>
      <c r="AD5293" t="str">
        <f>IF(A5293="","",IF(AC5293&gt;1,"REVISAR DUPLICADO",IF(AA5293&lt;&gt;"","ACTUALIZADO POR EYR","SIN REPORTE EYR")))</f>
        <v/>
      </c>
    </row>
    <row r="5294" spans="11:30" x14ac:dyDescent="0.3">
      <c r="K5294" s="1" t="str">
        <f ca="1">IF(A5294="","",IF(OR(L5294="ENTREGADA",L5294="RETORNADA",L5294="ENTREGA DIGITAL"),0,MAX(0,5-NETWORKDAYS(H5294+1,TODAY()))))</f>
        <v/>
      </c>
      <c r="L5294" t="str">
        <f>IF(A5294="","",IFERROR(LOOKUP(2,1/(#REF!=Z5294),#REF!),Y5294))</f>
        <v/>
      </c>
      <c r="Z5294" t="str">
        <f>IF(A5294="","",TEXT(A5294,"0")&amp;"|"&amp;TEXT(H5294,"0"))</f>
        <v/>
      </c>
      <c r="AA5294" t="str">
        <f>IF(Z5294="","",IFERROR(LOOKUP(2,1/(#REF!=Z5294),#REF!),""))</f>
        <v/>
      </c>
      <c r="AB5294" t="str">
        <f>IF(Z5294="","",IFERROR(LOOKUP(2,1/(#REF!=Z5294),#REF!),""))</f>
        <v/>
      </c>
      <c r="AC5294" t="str">
        <f>IF(Z5294="","",COUNTIF(#REF!,Z5294))</f>
        <v/>
      </c>
      <c r="AD5294" t="str">
        <f>IF(A5294="","",IF(AC5294&gt;1,"REVISAR DUPLICADO",IF(AA5294&lt;&gt;"","ACTUALIZADO POR EYR","SIN REPORTE EYR")))</f>
        <v/>
      </c>
    </row>
    <row r="5295" spans="11:30" x14ac:dyDescent="0.3">
      <c r="K5295" s="1" t="str">
        <f ca="1">IF(A5295="","",IF(OR(L5295="ENTREGADA",L5295="RETORNADA",L5295="ENTREGA DIGITAL"),0,MAX(0,5-NETWORKDAYS(H5295+1,TODAY()))))</f>
        <v/>
      </c>
      <c r="L5295" t="str">
        <f>IF(A5295="","",IFERROR(LOOKUP(2,1/(#REF!=Z5295),#REF!),Y5295))</f>
        <v/>
      </c>
      <c r="Z5295" t="str">
        <f>IF(A5295="","",TEXT(A5295,"0")&amp;"|"&amp;TEXT(H5295,"0"))</f>
        <v/>
      </c>
      <c r="AA5295" t="str">
        <f>IF(Z5295="","",IFERROR(LOOKUP(2,1/(#REF!=Z5295),#REF!),""))</f>
        <v/>
      </c>
      <c r="AB5295" t="str">
        <f>IF(Z5295="","",IFERROR(LOOKUP(2,1/(#REF!=Z5295),#REF!),""))</f>
        <v/>
      </c>
      <c r="AC5295" t="str">
        <f>IF(Z5295="","",COUNTIF(#REF!,Z5295))</f>
        <v/>
      </c>
      <c r="AD5295" t="str">
        <f>IF(A5295="","",IF(AC5295&gt;1,"REVISAR DUPLICADO",IF(AA5295&lt;&gt;"","ACTUALIZADO POR EYR","SIN REPORTE EYR")))</f>
        <v/>
      </c>
    </row>
    <row r="5296" spans="11:30" x14ac:dyDescent="0.3">
      <c r="K5296" s="1" t="str">
        <f ca="1">IF(A5296="","",IF(OR(L5296="ENTREGADA",L5296="RETORNADA",L5296="ENTREGA DIGITAL"),0,MAX(0,5-NETWORKDAYS(H5296+1,TODAY()))))</f>
        <v/>
      </c>
      <c r="L5296" t="str">
        <f>IF(A5296="","",IFERROR(LOOKUP(2,1/(#REF!=Z5296),#REF!),Y5296))</f>
        <v/>
      </c>
      <c r="Z5296" t="str">
        <f>IF(A5296="","",TEXT(A5296,"0")&amp;"|"&amp;TEXT(H5296,"0"))</f>
        <v/>
      </c>
      <c r="AA5296" t="str">
        <f>IF(Z5296="","",IFERROR(LOOKUP(2,1/(#REF!=Z5296),#REF!),""))</f>
        <v/>
      </c>
      <c r="AB5296" t="str">
        <f>IF(Z5296="","",IFERROR(LOOKUP(2,1/(#REF!=Z5296),#REF!),""))</f>
        <v/>
      </c>
      <c r="AC5296" t="str">
        <f>IF(Z5296="","",COUNTIF(#REF!,Z5296))</f>
        <v/>
      </c>
      <c r="AD5296" t="str">
        <f>IF(A5296="","",IF(AC5296&gt;1,"REVISAR DUPLICADO",IF(AA5296&lt;&gt;"","ACTUALIZADO POR EYR","SIN REPORTE EYR")))</f>
        <v/>
      </c>
    </row>
    <row r="5297" spans="11:30" x14ac:dyDescent="0.3">
      <c r="K5297" s="1" t="str">
        <f ca="1">IF(A5297="","",IF(OR(L5297="ENTREGADA",L5297="RETORNADA",L5297="ENTREGA DIGITAL"),0,MAX(0,5-NETWORKDAYS(H5297+1,TODAY()))))</f>
        <v/>
      </c>
      <c r="L5297" t="str">
        <f>IF(A5297="","",IFERROR(LOOKUP(2,1/(#REF!=Z5297),#REF!),Y5297))</f>
        <v/>
      </c>
      <c r="Z5297" t="str">
        <f>IF(A5297="","",TEXT(A5297,"0")&amp;"|"&amp;TEXT(H5297,"0"))</f>
        <v/>
      </c>
      <c r="AA5297" t="str">
        <f>IF(Z5297="","",IFERROR(LOOKUP(2,1/(#REF!=Z5297),#REF!),""))</f>
        <v/>
      </c>
      <c r="AB5297" t="str">
        <f>IF(Z5297="","",IFERROR(LOOKUP(2,1/(#REF!=Z5297),#REF!),""))</f>
        <v/>
      </c>
      <c r="AC5297" t="str">
        <f>IF(Z5297="","",COUNTIF(#REF!,Z5297))</f>
        <v/>
      </c>
      <c r="AD5297" t="str">
        <f>IF(A5297="","",IF(AC5297&gt;1,"REVISAR DUPLICADO",IF(AA5297&lt;&gt;"","ACTUALIZADO POR EYR","SIN REPORTE EYR")))</f>
        <v/>
      </c>
    </row>
    <row r="5298" spans="11:30" x14ac:dyDescent="0.3">
      <c r="K5298" s="1" t="str">
        <f ca="1">IF(A5298="","",IF(OR(L5298="ENTREGADA",L5298="RETORNADA",L5298="ENTREGA DIGITAL"),0,MAX(0,5-NETWORKDAYS(H5298+1,TODAY()))))</f>
        <v/>
      </c>
      <c r="L5298" t="str">
        <f>IF(A5298="","",IFERROR(LOOKUP(2,1/(#REF!=Z5298),#REF!),Y5298))</f>
        <v/>
      </c>
      <c r="Z5298" t="str">
        <f>IF(A5298="","",TEXT(A5298,"0")&amp;"|"&amp;TEXT(H5298,"0"))</f>
        <v/>
      </c>
      <c r="AA5298" t="str">
        <f>IF(Z5298="","",IFERROR(LOOKUP(2,1/(#REF!=Z5298),#REF!),""))</f>
        <v/>
      </c>
      <c r="AB5298" t="str">
        <f>IF(Z5298="","",IFERROR(LOOKUP(2,1/(#REF!=Z5298),#REF!),""))</f>
        <v/>
      </c>
      <c r="AC5298" t="str">
        <f>IF(Z5298="","",COUNTIF(#REF!,Z5298))</f>
        <v/>
      </c>
      <c r="AD5298" t="str">
        <f>IF(A5298="","",IF(AC5298&gt;1,"REVISAR DUPLICADO",IF(AA5298&lt;&gt;"","ACTUALIZADO POR EYR","SIN REPORTE EYR")))</f>
        <v/>
      </c>
    </row>
    <row r="5299" spans="11:30" x14ac:dyDescent="0.3">
      <c r="K5299" s="1" t="str">
        <f ca="1">IF(A5299="","",IF(OR(L5299="ENTREGADA",L5299="RETORNADA",L5299="ENTREGA DIGITAL"),0,MAX(0,5-NETWORKDAYS(H5299+1,TODAY()))))</f>
        <v/>
      </c>
      <c r="L5299" t="str">
        <f>IF(A5299="","",IFERROR(LOOKUP(2,1/(#REF!=Z5299),#REF!),Y5299))</f>
        <v/>
      </c>
      <c r="Z5299" t="str">
        <f>IF(A5299="","",TEXT(A5299,"0")&amp;"|"&amp;TEXT(H5299,"0"))</f>
        <v/>
      </c>
      <c r="AA5299" t="str">
        <f>IF(Z5299="","",IFERROR(LOOKUP(2,1/(#REF!=Z5299),#REF!),""))</f>
        <v/>
      </c>
      <c r="AB5299" t="str">
        <f>IF(Z5299="","",IFERROR(LOOKUP(2,1/(#REF!=Z5299),#REF!),""))</f>
        <v/>
      </c>
      <c r="AC5299" t="str">
        <f>IF(Z5299="","",COUNTIF(#REF!,Z5299))</f>
        <v/>
      </c>
      <c r="AD5299" t="str">
        <f>IF(A5299="","",IF(AC5299&gt;1,"REVISAR DUPLICADO",IF(AA5299&lt;&gt;"","ACTUALIZADO POR EYR","SIN REPORTE EYR")))</f>
        <v/>
      </c>
    </row>
    <row r="5300" spans="11:30" x14ac:dyDescent="0.3">
      <c r="K5300" s="1" t="str">
        <f ca="1">IF(A5300="","",IF(OR(L5300="ENTREGADA",L5300="RETORNADA",L5300="ENTREGA DIGITAL"),0,MAX(0,5-NETWORKDAYS(H5300+1,TODAY()))))</f>
        <v/>
      </c>
      <c r="L5300" t="str">
        <f>IF(A5300="","",IFERROR(LOOKUP(2,1/(#REF!=Z5300),#REF!),Y5300))</f>
        <v/>
      </c>
      <c r="Z5300" t="str">
        <f>IF(A5300="","",TEXT(A5300,"0")&amp;"|"&amp;TEXT(H5300,"0"))</f>
        <v/>
      </c>
      <c r="AA5300" t="str">
        <f>IF(Z5300="","",IFERROR(LOOKUP(2,1/(#REF!=Z5300),#REF!),""))</f>
        <v/>
      </c>
      <c r="AB5300" t="str">
        <f>IF(Z5300="","",IFERROR(LOOKUP(2,1/(#REF!=Z5300),#REF!),""))</f>
        <v/>
      </c>
      <c r="AC5300" t="str">
        <f>IF(Z5300="","",COUNTIF(#REF!,Z5300))</f>
        <v/>
      </c>
      <c r="AD5300" t="str">
        <f>IF(A5300="","",IF(AC5300&gt;1,"REVISAR DUPLICADO",IF(AA5300&lt;&gt;"","ACTUALIZADO POR EYR","SIN REPORTE EYR")))</f>
        <v/>
      </c>
    </row>
    <row r="5301" spans="11:30" x14ac:dyDescent="0.3">
      <c r="K5301" s="1" t="str">
        <f ca="1">IF(A5301="","",IF(OR(L5301="ENTREGADA",L5301="RETORNADA",L5301="ENTREGA DIGITAL"),0,MAX(0,5-NETWORKDAYS(H5301+1,TODAY()))))</f>
        <v/>
      </c>
      <c r="L5301" t="str">
        <f>IF(A5301="","",IFERROR(LOOKUP(2,1/(#REF!=Z5301),#REF!),Y5301))</f>
        <v/>
      </c>
      <c r="Z5301" t="str">
        <f>IF(A5301="","",TEXT(A5301,"0")&amp;"|"&amp;TEXT(H5301,"0"))</f>
        <v/>
      </c>
      <c r="AA5301" t="str">
        <f>IF(Z5301="","",IFERROR(LOOKUP(2,1/(#REF!=Z5301),#REF!),""))</f>
        <v/>
      </c>
      <c r="AB5301" t="str">
        <f>IF(Z5301="","",IFERROR(LOOKUP(2,1/(#REF!=Z5301),#REF!),""))</f>
        <v/>
      </c>
      <c r="AC5301" t="str">
        <f>IF(Z5301="","",COUNTIF(#REF!,Z5301))</f>
        <v/>
      </c>
      <c r="AD5301" t="str">
        <f>IF(A5301="","",IF(AC5301&gt;1,"REVISAR DUPLICADO",IF(AA5301&lt;&gt;"","ACTUALIZADO POR EYR","SIN REPORTE EYR")))</f>
        <v/>
      </c>
    </row>
    <row r="5302" spans="11:30" x14ac:dyDescent="0.3">
      <c r="K5302" s="1" t="str">
        <f ca="1">IF(A5302="","",IF(OR(L5302="ENTREGADA",L5302="RETORNADA",L5302="ENTREGA DIGITAL"),0,MAX(0,5-NETWORKDAYS(H5302+1,TODAY()))))</f>
        <v/>
      </c>
      <c r="L5302" t="str">
        <f>IF(A5302="","",IFERROR(LOOKUP(2,1/(#REF!=Z5302),#REF!),Y5302))</f>
        <v/>
      </c>
      <c r="Z5302" t="str">
        <f>IF(A5302="","",TEXT(A5302,"0")&amp;"|"&amp;TEXT(H5302,"0"))</f>
        <v/>
      </c>
      <c r="AA5302" t="str">
        <f>IF(Z5302="","",IFERROR(LOOKUP(2,1/(#REF!=Z5302),#REF!),""))</f>
        <v/>
      </c>
      <c r="AB5302" t="str">
        <f>IF(Z5302="","",IFERROR(LOOKUP(2,1/(#REF!=Z5302),#REF!),""))</f>
        <v/>
      </c>
      <c r="AC5302" t="str">
        <f>IF(Z5302="","",COUNTIF(#REF!,Z5302))</f>
        <v/>
      </c>
      <c r="AD5302" t="str">
        <f>IF(A5302="","",IF(AC5302&gt;1,"REVISAR DUPLICADO",IF(AA5302&lt;&gt;"","ACTUALIZADO POR EYR","SIN REPORTE EYR")))</f>
        <v/>
      </c>
    </row>
    <row r="5303" spans="11:30" x14ac:dyDescent="0.3">
      <c r="K5303" s="1" t="str">
        <f ca="1">IF(A5303="","",IF(OR(L5303="ENTREGADA",L5303="RETORNADA",L5303="ENTREGA DIGITAL"),0,MAX(0,5-NETWORKDAYS(H5303+1,TODAY()))))</f>
        <v/>
      </c>
      <c r="L5303" t="str">
        <f>IF(A5303="","",IFERROR(LOOKUP(2,1/(#REF!=Z5303),#REF!),Y5303))</f>
        <v/>
      </c>
      <c r="Z5303" t="str">
        <f>IF(A5303="","",TEXT(A5303,"0")&amp;"|"&amp;TEXT(H5303,"0"))</f>
        <v/>
      </c>
      <c r="AA5303" t="str">
        <f>IF(Z5303="","",IFERROR(LOOKUP(2,1/(#REF!=Z5303),#REF!),""))</f>
        <v/>
      </c>
      <c r="AB5303" t="str">
        <f>IF(Z5303="","",IFERROR(LOOKUP(2,1/(#REF!=Z5303),#REF!),""))</f>
        <v/>
      </c>
      <c r="AC5303" t="str">
        <f>IF(Z5303="","",COUNTIF(#REF!,Z5303))</f>
        <v/>
      </c>
      <c r="AD5303" t="str">
        <f>IF(A5303="","",IF(AC5303&gt;1,"REVISAR DUPLICADO",IF(AA5303&lt;&gt;"","ACTUALIZADO POR EYR","SIN REPORTE EYR")))</f>
        <v/>
      </c>
    </row>
    <row r="5304" spans="11:30" x14ac:dyDescent="0.3">
      <c r="K5304" s="1" t="str">
        <f ca="1">IF(A5304="","",IF(OR(L5304="ENTREGADA",L5304="RETORNADA",L5304="ENTREGA DIGITAL"),0,MAX(0,5-NETWORKDAYS(H5304+1,TODAY()))))</f>
        <v/>
      </c>
      <c r="L5304" t="str">
        <f>IF(A5304="","",IFERROR(LOOKUP(2,1/(#REF!=Z5304),#REF!),Y5304))</f>
        <v/>
      </c>
      <c r="Z5304" t="str">
        <f>IF(A5304="","",TEXT(A5304,"0")&amp;"|"&amp;TEXT(H5304,"0"))</f>
        <v/>
      </c>
      <c r="AA5304" t="str">
        <f>IF(Z5304="","",IFERROR(LOOKUP(2,1/(#REF!=Z5304),#REF!),""))</f>
        <v/>
      </c>
      <c r="AB5304" t="str">
        <f>IF(Z5304="","",IFERROR(LOOKUP(2,1/(#REF!=Z5304),#REF!),""))</f>
        <v/>
      </c>
      <c r="AC5304" t="str">
        <f>IF(Z5304="","",COUNTIF(#REF!,Z5304))</f>
        <v/>
      </c>
      <c r="AD5304" t="str">
        <f>IF(A5304="","",IF(AC5304&gt;1,"REVISAR DUPLICADO",IF(AA5304&lt;&gt;"","ACTUALIZADO POR EYR","SIN REPORTE EYR")))</f>
        <v/>
      </c>
    </row>
    <row r="5305" spans="11:30" x14ac:dyDescent="0.3">
      <c r="K5305" s="1" t="str">
        <f ca="1">IF(A5305="","",IF(OR(L5305="ENTREGADA",L5305="RETORNADA",L5305="ENTREGA DIGITAL"),0,MAX(0,5-NETWORKDAYS(H5305+1,TODAY()))))</f>
        <v/>
      </c>
      <c r="L5305" t="str">
        <f>IF(A5305="","",IFERROR(LOOKUP(2,1/(#REF!=Z5305),#REF!),Y5305))</f>
        <v/>
      </c>
      <c r="Z5305" t="str">
        <f>IF(A5305="","",TEXT(A5305,"0")&amp;"|"&amp;TEXT(H5305,"0"))</f>
        <v/>
      </c>
      <c r="AA5305" t="str">
        <f>IF(Z5305="","",IFERROR(LOOKUP(2,1/(#REF!=Z5305),#REF!),""))</f>
        <v/>
      </c>
      <c r="AB5305" t="str">
        <f>IF(Z5305="","",IFERROR(LOOKUP(2,1/(#REF!=Z5305),#REF!),""))</f>
        <v/>
      </c>
      <c r="AC5305" t="str">
        <f>IF(Z5305="","",COUNTIF(#REF!,Z5305))</f>
        <v/>
      </c>
      <c r="AD5305" t="str">
        <f>IF(A5305="","",IF(AC5305&gt;1,"REVISAR DUPLICADO",IF(AA5305&lt;&gt;"","ACTUALIZADO POR EYR","SIN REPORTE EYR")))</f>
        <v/>
      </c>
    </row>
    <row r="5306" spans="11:30" x14ac:dyDescent="0.3">
      <c r="K5306" s="1" t="str">
        <f ca="1">IF(A5306="","",IF(OR(L5306="ENTREGADA",L5306="RETORNADA",L5306="ENTREGA DIGITAL"),0,MAX(0,5-NETWORKDAYS(H5306+1,TODAY()))))</f>
        <v/>
      </c>
      <c r="L5306" t="str">
        <f>IF(A5306="","",IFERROR(LOOKUP(2,1/(#REF!=Z5306),#REF!),Y5306))</f>
        <v/>
      </c>
      <c r="Z5306" t="str">
        <f>IF(A5306="","",TEXT(A5306,"0")&amp;"|"&amp;TEXT(H5306,"0"))</f>
        <v/>
      </c>
      <c r="AA5306" t="str">
        <f>IF(Z5306="","",IFERROR(LOOKUP(2,1/(#REF!=Z5306),#REF!),""))</f>
        <v/>
      </c>
      <c r="AB5306" t="str">
        <f>IF(Z5306="","",IFERROR(LOOKUP(2,1/(#REF!=Z5306),#REF!),""))</f>
        <v/>
      </c>
      <c r="AC5306" t="str">
        <f>IF(Z5306="","",COUNTIF(#REF!,Z5306))</f>
        <v/>
      </c>
      <c r="AD5306" t="str">
        <f>IF(A5306="","",IF(AC5306&gt;1,"REVISAR DUPLICADO",IF(AA5306&lt;&gt;"","ACTUALIZADO POR EYR","SIN REPORTE EYR")))</f>
        <v/>
      </c>
    </row>
    <row r="5307" spans="11:30" x14ac:dyDescent="0.3">
      <c r="K5307" s="1" t="str">
        <f ca="1">IF(A5307="","",IF(OR(L5307="ENTREGADA",L5307="RETORNADA",L5307="ENTREGA DIGITAL"),0,MAX(0,5-NETWORKDAYS(H5307+1,TODAY()))))</f>
        <v/>
      </c>
      <c r="L5307" t="str">
        <f>IF(A5307="","",IFERROR(LOOKUP(2,1/(#REF!=Z5307),#REF!),Y5307))</f>
        <v/>
      </c>
      <c r="Z5307" t="str">
        <f>IF(A5307="","",TEXT(A5307,"0")&amp;"|"&amp;TEXT(H5307,"0"))</f>
        <v/>
      </c>
      <c r="AA5307" t="str">
        <f>IF(Z5307="","",IFERROR(LOOKUP(2,1/(#REF!=Z5307),#REF!),""))</f>
        <v/>
      </c>
      <c r="AB5307" t="str">
        <f>IF(Z5307="","",IFERROR(LOOKUP(2,1/(#REF!=Z5307),#REF!),""))</f>
        <v/>
      </c>
      <c r="AC5307" t="str">
        <f>IF(Z5307="","",COUNTIF(#REF!,Z5307))</f>
        <v/>
      </c>
      <c r="AD5307" t="str">
        <f>IF(A5307="","",IF(AC5307&gt;1,"REVISAR DUPLICADO",IF(AA5307&lt;&gt;"","ACTUALIZADO POR EYR","SIN REPORTE EYR")))</f>
        <v/>
      </c>
    </row>
    <row r="5308" spans="11:30" x14ac:dyDescent="0.3">
      <c r="K5308" s="1" t="str">
        <f ca="1">IF(A5308="","",IF(OR(L5308="ENTREGADA",L5308="RETORNADA",L5308="ENTREGA DIGITAL"),0,MAX(0,5-NETWORKDAYS(H5308+1,TODAY()))))</f>
        <v/>
      </c>
      <c r="L5308" t="str">
        <f>IF(A5308="","",IFERROR(LOOKUP(2,1/(#REF!=Z5308),#REF!),Y5308))</f>
        <v/>
      </c>
      <c r="Z5308" t="str">
        <f>IF(A5308="","",TEXT(A5308,"0")&amp;"|"&amp;TEXT(H5308,"0"))</f>
        <v/>
      </c>
      <c r="AA5308" t="str">
        <f>IF(Z5308="","",IFERROR(LOOKUP(2,1/(#REF!=Z5308),#REF!),""))</f>
        <v/>
      </c>
      <c r="AB5308" t="str">
        <f>IF(Z5308="","",IFERROR(LOOKUP(2,1/(#REF!=Z5308),#REF!),""))</f>
        <v/>
      </c>
      <c r="AC5308" t="str">
        <f>IF(Z5308="","",COUNTIF(#REF!,Z5308))</f>
        <v/>
      </c>
      <c r="AD5308" t="str">
        <f>IF(A5308="","",IF(AC5308&gt;1,"REVISAR DUPLICADO",IF(AA5308&lt;&gt;"","ACTUALIZADO POR EYR","SIN REPORTE EYR")))</f>
        <v/>
      </c>
    </row>
    <row r="5309" spans="11:30" x14ac:dyDescent="0.3">
      <c r="K5309" s="1" t="str">
        <f ca="1">IF(A5309="","",IF(OR(L5309="ENTREGADA",L5309="RETORNADA",L5309="ENTREGA DIGITAL"),0,MAX(0,5-NETWORKDAYS(H5309+1,TODAY()))))</f>
        <v/>
      </c>
      <c r="L5309" t="str">
        <f>IF(A5309="","",IFERROR(LOOKUP(2,1/(#REF!=Z5309),#REF!),Y5309))</f>
        <v/>
      </c>
      <c r="Z5309" t="str">
        <f>IF(A5309="","",TEXT(A5309,"0")&amp;"|"&amp;TEXT(H5309,"0"))</f>
        <v/>
      </c>
      <c r="AA5309" t="str">
        <f>IF(Z5309="","",IFERROR(LOOKUP(2,1/(#REF!=Z5309),#REF!),""))</f>
        <v/>
      </c>
      <c r="AB5309" t="str">
        <f>IF(Z5309="","",IFERROR(LOOKUP(2,1/(#REF!=Z5309),#REF!),""))</f>
        <v/>
      </c>
      <c r="AC5309" t="str">
        <f>IF(Z5309="","",COUNTIF(#REF!,Z5309))</f>
        <v/>
      </c>
      <c r="AD5309" t="str">
        <f>IF(A5309="","",IF(AC5309&gt;1,"REVISAR DUPLICADO",IF(AA5309&lt;&gt;"","ACTUALIZADO POR EYR","SIN REPORTE EYR")))</f>
        <v/>
      </c>
    </row>
    <row r="5310" spans="11:30" x14ac:dyDescent="0.3">
      <c r="K5310" s="1" t="str">
        <f ca="1">IF(A5310="","",IF(OR(L5310="ENTREGADA",L5310="RETORNADA",L5310="ENTREGA DIGITAL"),0,MAX(0,5-NETWORKDAYS(H5310+1,TODAY()))))</f>
        <v/>
      </c>
      <c r="L5310" t="str">
        <f>IF(A5310="","",IFERROR(LOOKUP(2,1/(#REF!=Z5310),#REF!),Y5310))</f>
        <v/>
      </c>
      <c r="Z5310" t="str">
        <f>IF(A5310="","",TEXT(A5310,"0")&amp;"|"&amp;TEXT(H5310,"0"))</f>
        <v/>
      </c>
      <c r="AA5310" t="str">
        <f>IF(Z5310="","",IFERROR(LOOKUP(2,1/(#REF!=Z5310),#REF!),""))</f>
        <v/>
      </c>
      <c r="AB5310" t="str">
        <f>IF(Z5310="","",IFERROR(LOOKUP(2,1/(#REF!=Z5310),#REF!),""))</f>
        <v/>
      </c>
      <c r="AC5310" t="str">
        <f>IF(Z5310="","",COUNTIF(#REF!,Z5310))</f>
        <v/>
      </c>
      <c r="AD5310" t="str">
        <f>IF(A5310="","",IF(AC5310&gt;1,"REVISAR DUPLICADO",IF(AA5310&lt;&gt;"","ACTUALIZADO POR EYR","SIN REPORTE EYR")))</f>
        <v/>
      </c>
    </row>
    <row r="5311" spans="11:30" x14ac:dyDescent="0.3">
      <c r="K5311" s="1" t="str">
        <f ca="1">IF(A5311="","",IF(OR(L5311="ENTREGADA",L5311="RETORNADA",L5311="ENTREGA DIGITAL"),0,MAX(0,5-NETWORKDAYS(H5311+1,TODAY()))))</f>
        <v/>
      </c>
      <c r="L5311" t="str">
        <f>IF(A5311="","",IFERROR(LOOKUP(2,1/(#REF!=Z5311),#REF!),Y5311))</f>
        <v/>
      </c>
      <c r="Z5311" t="str">
        <f>IF(A5311="","",TEXT(A5311,"0")&amp;"|"&amp;TEXT(H5311,"0"))</f>
        <v/>
      </c>
      <c r="AA5311" t="str">
        <f>IF(Z5311="","",IFERROR(LOOKUP(2,1/(#REF!=Z5311),#REF!),""))</f>
        <v/>
      </c>
      <c r="AB5311" t="str">
        <f>IF(Z5311="","",IFERROR(LOOKUP(2,1/(#REF!=Z5311),#REF!),""))</f>
        <v/>
      </c>
      <c r="AC5311" t="str">
        <f>IF(Z5311="","",COUNTIF(#REF!,Z5311))</f>
        <v/>
      </c>
      <c r="AD5311" t="str">
        <f>IF(A5311="","",IF(AC5311&gt;1,"REVISAR DUPLICADO",IF(AA5311&lt;&gt;"","ACTUALIZADO POR EYR","SIN REPORTE EYR")))</f>
        <v/>
      </c>
    </row>
    <row r="5312" spans="11:30" x14ac:dyDescent="0.3">
      <c r="K5312" s="1" t="str">
        <f ca="1">IF(A5312="","",IF(OR(L5312="ENTREGADA",L5312="RETORNADA",L5312="ENTREGA DIGITAL"),0,MAX(0,5-NETWORKDAYS(H5312+1,TODAY()))))</f>
        <v/>
      </c>
      <c r="L5312" t="str">
        <f>IF(A5312="","",IFERROR(LOOKUP(2,1/(#REF!=Z5312),#REF!),Y5312))</f>
        <v/>
      </c>
      <c r="Z5312" t="str">
        <f>IF(A5312="","",TEXT(A5312,"0")&amp;"|"&amp;TEXT(H5312,"0"))</f>
        <v/>
      </c>
      <c r="AA5312" t="str">
        <f>IF(Z5312="","",IFERROR(LOOKUP(2,1/(#REF!=Z5312),#REF!),""))</f>
        <v/>
      </c>
      <c r="AB5312" t="str">
        <f>IF(Z5312="","",IFERROR(LOOKUP(2,1/(#REF!=Z5312),#REF!),""))</f>
        <v/>
      </c>
      <c r="AC5312" t="str">
        <f>IF(Z5312="","",COUNTIF(#REF!,Z5312))</f>
        <v/>
      </c>
      <c r="AD5312" t="str">
        <f>IF(A5312="","",IF(AC5312&gt;1,"REVISAR DUPLICADO",IF(AA5312&lt;&gt;"","ACTUALIZADO POR EYR","SIN REPORTE EYR")))</f>
        <v/>
      </c>
    </row>
    <row r="5313" spans="11:30" x14ac:dyDescent="0.3">
      <c r="K5313" s="1" t="str">
        <f ca="1">IF(A5313="","",IF(OR(L5313="ENTREGADA",L5313="RETORNADA",L5313="ENTREGA DIGITAL"),0,MAX(0,5-NETWORKDAYS(H5313+1,TODAY()))))</f>
        <v/>
      </c>
      <c r="L5313" t="str">
        <f>IF(A5313="","",IFERROR(LOOKUP(2,1/(#REF!=Z5313),#REF!),Y5313))</f>
        <v/>
      </c>
      <c r="Z5313" t="str">
        <f>IF(A5313="","",TEXT(A5313,"0")&amp;"|"&amp;TEXT(H5313,"0"))</f>
        <v/>
      </c>
      <c r="AA5313" t="str">
        <f>IF(Z5313="","",IFERROR(LOOKUP(2,1/(#REF!=Z5313),#REF!),""))</f>
        <v/>
      </c>
      <c r="AB5313" t="str">
        <f>IF(Z5313="","",IFERROR(LOOKUP(2,1/(#REF!=Z5313),#REF!),""))</f>
        <v/>
      </c>
      <c r="AC5313" t="str">
        <f>IF(Z5313="","",COUNTIF(#REF!,Z5313))</f>
        <v/>
      </c>
      <c r="AD5313" t="str">
        <f>IF(A5313="","",IF(AC5313&gt;1,"REVISAR DUPLICADO",IF(AA5313&lt;&gt;"","ACTUALIZADO POR EYR","SIN REPORTE EYR")))</f>
        <v/>
      </c>
    </row>
    <row r="5314" spans="11:30" x14ac:dyDescent="0.3">
      <c r="K5314" s="1" t="str">
        <f ca="1">IF(A5314="","",IF(OR(L5314="ENTREGADA",L5314="RETORNADA",L5314="ENTREGA DIGITAL"),0,MAX(0,5-NETWORKDAYS(H5314+1,TODAY()))))</f>
        <v/>
      </c>
      <c r="L5314" t="str">
        <f>IF(A5314="","",IFERROR(LOOKUP(2,1/(#REF!=Z5314),#REF!),Y5314))</f>
        <v/>
      </c>
      <c r="Z5314" t="str">
        <f>IF(A5314="","",TEXT(A5314,"0")&amp;"|"&amp;TEXT(H5314,"0"))</f>
        <v/>
      </c>
      <c r="AA5314" t="str">
        <f>IF(Z5314="","",IFERROR(LOOKUP(2,1/(#REF!=Z5314),#REF!),""))</f>
        <v/>
      </c>
      <c r="AB5314" t="str">
        <f>IF(Z5314="","",IFERROR(LOOKUP(2,1/(#REF!=Z5314),#REF!),""))</f>
        <v/>
      </c>
      <c r="AC5314" t="str">
        <f>IF(Z5314="","",COUNTIF(#REF!,Z5314))</f>
        <v/>
      </c>
      <c r="AD5314" t="str">
        <f>IF(A5314="","",IF(AC5314&gt;1,"REVISAR DUPLICADO",IF(AA5314&lt;&gt;"","ACTUALIZADO POR EYR","SIN REPORTE EYR")))</f>
        <v/>
      </c>
    </row>
    <row r="5315" spans="11:30" x14ac:dyDescent="0.3">
      <c r="K5315" s="1" t="str">
        <f ca="1">IF(A5315="","",IF(OR(L5315="ENTREGADA",L5315="RETORNADA",L5315="ENTREGA DIGITAL"),0,MAX(0,5-NETWORKDAYS(H5315+1,TODAY()))))</f>
        <v/>
      </c>
      <c r="L5315" t="str">
        <f>IF(A5315="","",IFERROR(LOOKUP(2,1/(#REF!=Z5315),#REF!),Y5315))</f>
        <v/>
      </c>
      <c r="Z5315" t="str">
        <f>IF(A5315="","",TEXT(A5315,"0")&amp;"|"&amp;TEXT(H5315,"0"))</f>
        <v/>
      </c>
      <c r="AA5315" t="str">
        <f>IF(Z5315="","",IFERROR(LOOKUP(2,1/(#REF!=Z5315),#REF!),""))</f>
        <v/>
      </c>
      <c r="AB5315" t="str">
        <f>IF(Z5315="","",IFERROR(LOOKUP(2,1/(#REF!=Z5315),#REF!),""))</f>
        <v/>
      </c>
      <c r="AC5315" t="str">
        <f>IF(Z5315="","",COUNTIF(#REF!,Z5315))</f>
        <v/>
      </c>
      <c r="AD5315" t="str">
        <f>IF(A5315="","",IF(AC5315&gt;1,"REVISAR DUPLICADO",IF(AA5315&lt;&gt;"","ACTUALIZADO POR EYR","SIN REPORTE EYR")))</f>
        <v/>
      </c>
    </row>
    <row r="5316" spans="11:30" x14ac:dyDescent="0.3">
      <c r="K5316" s="1" t="str">
        <f ca="1">IF(A5316="","",IF(OR(L5316="ENTREGADA",L5316="RETORNADA",L5316="ENTREGA DIGITAL"),0,MAX(0,5-NETWORKDAYS(H5316+1,TODAY()))))</f>
        <v/>
      </c>
      <c r="L5316" t="str">
        <f>IF(A5316="","",IFERROR(LOOKUP(2,1/(#REF!=Z5316),#REF!),Y5316))</f>
        <v/>
      </c>
      <c r="Z5316" t="str">
        <f>IF(A5316="","",TEXT(A5316,"0")&amp;"|"&amp;TEXT(H5316,"0"))</f>
        <v/>
      </c>
      <c r="AA5316" t="str">
        <f>IF(Z5316="","",IFERROR(LOOKUP(2,1/(#REF!=Z5316),#REF!),""))</f>
        <v/>
      </c>
      <c r="AB5316" t="str">
        <f>IF(Z5316="","",IFERROR(LOOKUP(2,1/(#REF!=Z5316),#REF!),""))</f>
        <v/>
      </c>
      <c r="AC5316" t="str">
        <f>IF(Z5316="","",COUNTIF(#REF!,Z5316))</f>
        <v/>
      </c>
      <c r="AD5316" t="str">
        <f>IF(A5316="","",IF(AC5316&gt;1,"REVISAR DUPLICADO",IF(AA5316&lt;&gt;"","ACTUALIZADO POR EYR","SIN REPORTE EYR")))</f>
        <v/>
      </c>
    </row>
    <row r="5317" spans="11:30" x14ac:dyDescent="0.3">
      <c r="K5317" s="1" t="str">
        <f ca="1">IF(A5317="","",IF(OR(L5317="ENTREGADA",L5317="RETORNADA",L5317="ENTREGA DIGITAL"),0,MAX(0,5-NETWORKDAYS(H5317+1,TODAY()))))</f>
        <v/>
      </c>
      <c r="L5317" t="str">
        <f>IF(A5317="","",IFERROR(LOOKUP(2,1/(#REF!=Z5317),#REF!),Y5317))</f>
        <v/>
      </c>
      <c r="Z5317" t="str">
        <f>IF(A5317="","",TEXT(A5317,"0")&amp;"|"&amp;TEXT(H5317,"0"))</f>
        <v/>
      </c>
      <c r="AA5317" t="str">
        <f>IF(Z5317="","",IFERROR(LOOKUP(2,1/(#REF!=Z5317),#REF!),""))</f>
        <v/>
      </c>
      <c r="AB5317" t="str">
        <f>IF(Z5317="","",IFERROR(LOOKUP(2,1/(#REF!=Z5317),#REF!),""))</f>
        <v/>
      </c>
      <c r="AC5317" t="str">
        <f>IF(Z5317="","",COUNTIF(#REF!,Z5317))</f>
        <v/>
      </c>
      <c r="AD5317" t="str">
        <f>IF(A5317="","",IF(AC5317&gt;1,"REVISAR DUPLICADO",IF(AA5317&lt;&gt;"","ACTUALIZADO POR EYR","SIN REPORTE EYR")))</f>
        <v/>
      </c>
    </row>
    <row r="5318" spans="11:30" x14ac:dyDescent="0.3">
      <c r="K5318" s="1" t="str">
        <f ca="1">IF(A5318="","",IF(OR(L5318="ENTREGADA",L5318="RETORNADA",L5318="ENTREGA DIGITAL"),0,MAX(0,5-NETWORKDAYS(H5318+1,TODAY()))))</f>
        <v/>
      </c>
      <c r="L5318" t="str">
        <f>IF(A5318="","",IFERROR(LOOKUP(2,1/(#REF!=Z5318),#REF!),Y5318))</f>
        <v/>
      </c>
      <c r="Z5318" t="str">
        <f>IF(A5318="","",TEXT(A5318,"0")&amp;"|"&amp;TEXT(H5318,"0"))</f>
        <v/>
      </c>
      <c r="AA5318" t="str">
        <f>IF(Z5318="","",IFERROR(LOOKUP(2,1/(#REF!=Z5318),#REF!),""))</f>
        <v/>
      </c>
      <c r="AB5318" t="str">
        <f>IF(Z5318="","",IFERROR(LOOKUP(2,1/(#REF!=Z5318),#REF!),""))</f>
        <v/>
      </c>
      <c r="AC5318" t="str">
        <f>IF(Z5318="","",COUNTIF(#REF!,Z5318))</f>
        <v/>
      </c>
      <c r="AD5318" t="str">
        <f>IF(A5318="","",IF(AC5318&gt;1,"REVISAR DUPLICADO",IF(AA5318&lt;&gt;"","ACTUALIZADO POR EYR","SIN REPORTE EYR")))</f>
        <v/>
      </c>
    </row>
    <row r="5319" spans="11:30" x14ac:dyDescent="0.3">
      <c r="K5319" s="1" t="str">
        <f ca="1">IF(A5319="","",IF(OR(L5319="ENTREGADA",L5319="RETORNADA",L5319="ENTREGA DIGITAL"),0,MAX(0,5-NETWORKDAYS(H5319+1,TODAY()))))</f>
        <v/>
      </c>
      <c r="L5319" t="str">
        <f>IF(A5319="","",IFERROR(LOOKUP(2,1/(#REF!=Z5319),#REF!),Y5319))</f>
        <v/>
      </c>
      <c r="Z5319" t="str">
        <f>IF(A5319="","",TEXT(A5319,"0")&amp;"|"&amp;TEXT(H5319,"0"))</f>
        <v/>
      </c>
      <c r="AA5319" t="str">
        <f>IF(Z5319="","",IFERROR(LOOKUP(2,1/(#REF!=Z5319),#REF!),""))</f>
        <v/>
      </c>
      <c r="AB5319" t="str">
        <f>IF(Z5319="","",IFERROR(LOOKUP(2,1/(#REF!=Z5319),#REF!),""))</f>
        <v/>
      </c>
      <c r="AC5319" t="str">
        <f>IF(Z5319="","",COUNTIF(#REF!,Z5319))</f>
        <v/>
      </c>
      <c r="AD5319" t="str">
        <f>IF(A5319="","",IF(AC5319&gt;1,"REVISAR DUPLICADO",IF(AA5319&lt;&gt;"","ACTUALIZADO POR EYR","SIN REPORTE EYR")))</f>
        <v/>
      </c>
    </row>
    <row r="5320" spans="11:30" x14ac:dyDescent="0.3">
      <c r="K5320" s="1" t="str">
        <f ca="1">IF(A5320="","",IF(OR(L5320="ENTREGADA",L5320="RETORNADA",L5320="ENTREGA DIGITAL"),0,MAX(0,5-NETWORKDAYS(H5320+1,TODAY()))))</f>
        <v/>
      </c>
      <c r="L5320" t="str">
        <f>IF(A5320="","",IFERROR(LOOKUP(2,1/(#REF!=Z5320),#REF!),Y5320))</f>
        <v/>
      </c>
      <c r="Z5320" t="str">
        <f>IF(A5320="","",TEXT(A5320,"0")&amp;"|"&amp;TEXT(H5320,"0"))</f>
        <v/>
      </c>
      <c r="AA5320" t="str">
        <f>IF(Z5320="","",IFERROR(LOOKUP(2,1/(#REF!=Z5320),#REF!),""))</f>
        <v/>
      </c>
      <c r="AB5320" t="str">
        <f>IF(Z5320="","",IFERROR(LOOKUP(2,1/(#REF!=Z5320),#REF!),""))</f>
        <v/>
      </c>
      <c r="AC5320" t="str">
        <f>IF(Z5320="","",COUNTIF(#REF!,Z5320))</f>
        <v/>
      </c>
      <c r="AD5320" t="str">
        <f>IF(A5320="","",IF(AC5320&gt;1,"REVISAR DUPLICADO",IF(AA5320&lt;&gt;"","ACTUALIZADO POR EYR","SIN REPORTE EYR")))</f>
        <v/>
      </c>
    </row>
    <row r="5321" spans="11:30" x14ac:dyDescent="0.3">
      <c r="K5321" s="1" t="str">
        <f ca="1">IF(A5321="","",IF(OR(L5321="ENTREGADA",L5321="RETORNADA",L5321="ENTREGA DIGITAL"),0,MAX(0,5-NETWORKDAYS(H5321+1,TODAY()))))</f>
        <v/>
      </c>
      <c r="L5321" t="str">
        <f>IF(A5321="","",IFERROR(LOOKUP(2,1/(#REF!=Z5321),#REF!),Y5321))</f>
        <v/>
      </c>
      <c r="Z5321" t="str">
        <f>IF(A5321="","",TEXT(A5321,"0")&amp;"|"&amp;TEXT(H5321,"0"))</f>
        <v/>
      </c>
      <c r="AA5321" t="str">
        <f>IF(Z5321="","",IFERROR(LOOKUP(2,1/(#REF!=Z5321),#REF!),""))</f>
        <v/>
      </c>
      <c r="AB5321" t="str">
        <f>IF(Z5321="","",IFERROR(LOOKUP(2,1/(#REF!=Z5321),#REF!),""))</f>
        <v/>
      </c>
      <c r="AC5321" t="str">
        <f>IF(Z5321="","",COUNTIF(#REF!,Z5321))</f>
        <v/>
      </c>
      <c r="AD5321" t="str">
        <f>IF(A5321="","",IF(AC5321&gt;1,"REVISAR DUPLICADO",IF(AA5321&lt;&gt;"","ACTUALIZADO POR EYR","SIN REPORTE EYR")))</f>
        <v/>
      </c>
    </row>
    <row r="5322" spans="11:30" x14ac:dyDescent="0.3">
      <c r="K5322" s="1" t="str">
        <f ca="1">IF(A5322="","",IF(OR(L5322="ENTREGADA",L5322="RETORNADA",L5322="ENTREGA DIGITAL"),0,MAX(0,5-NETWORKDAYS(H5322+1,TODAY()))))</f>
        <v/>
      </c>
      <c r="L5322" t="str">
        <f>IF(A5322="","",IFERROR(LOOKUP(2,1/(#REF!=Z5322),#REF!),Y5322))</f>
        <v/>
      </c>
      <c r="Z5322" t="str">
        <f>IF(A5322="","",TEXT(A5322,"0")&amp;"|"&amp;TEXT(H5322,"0"))</f>
        <v/>
      </c>
      <c r="AA5322" t="str">
        <f>IF(Z5322="","",IFERROR(LOOKUP(2,1/(#REF!=Z5322),#REF!),""))</f>
        <v/>
      </c>
      <c r="AB5322" t="str">
        <f>IF(Z5322="","",IFERROR(LOOKUP(2,1/(#REF!=Z5322),#REF!),""))</f>
        <v/>
      </c>
      <c r="AC5322" t="str">
        <f>IF(Z5322="","",COUNTIF(#REF!,Z5322))</f>
        <v/>
      </c>
      <c r="AD5322" t="str">
        <f>IF(A5322="","",IF(AC5322&gt;1,"REVISAR DUPLICADO",IF(AA5322&lt;&gt;"","ACTUALIZADO POR EYR","SIN REPORTE EYR")))</f>
        <v/>
      </c>
    </row>
    <row r="5323" spans="11:30" x14ac:dyDescent="0.3">
      <c r="K5323" s="1" t="str">
        <f ca="1">IF(A5323="","",IF(OR(L5323="ENTREGADA",L5323="RETORNADA",L5323="ENTREGA DIGITAL"),0,MAX(0,5-NETWORKDAYS(H5323+1,TODAY()))))</f>
        <v/>
      </c>
      <c r="L5323" t="str">
        <f>IF(A5323="","",IFERROR(LOOKUP(2,1/(#REF!=Z5323),#REF!),Y5323))</f>
        <v/>
      </c>
      <c r="Z5323" t="str">
        <f>IF(A5323="","",TEXT(A5323,"0")&amp;"|"&amp;TEXT(H5323,"0"))</f>
        <v/>
      </c>
      <c r="AA5323" t="str">
        <f>IF(Z5323="","",IFERROR(LOOKUP(2,1/(#REF!=Z5323),#REF!),""))</f>
        <v/>
      </c>
      <c r="AB5323" t="str">
        <f>IF(Z5323="","",IFERROR(LOOKUP(2,1/(#REF!=Z5323),#REF!),""))</f>
        <v/>
      </c>
      <c r="AC5323" t="str">
        <f>IF(Z5323="","",COUNTIF(#REF!,Z5323))</f>
        <v/>
      </c>
      <c r="AD5323" t="str">
        <f>IF(A5323="","",IF(AC5323&gt;1,"REVISAR DUPLICADO",IF(AA5323&lt;&gt;"","ACTUALIZADO POR EYR","SIN REPORTE EYR")))</f>
        <v/>
      </c>
    </row>
    <row r="5324" spans="11:30" x14ac:dyDescent="0.3">
      <c r="K5324" s="1" t="str">
        <f ca="1">IF(A5324="","",IF(OR(L5324="ENTREGADA",L5324="RETORNADA",L5324="ENTREGA DIGITAL"),0,MAX(0,5-NETWORKDAYS(H5324+1,TODAY()))))</f>
        <v/>
      </c>
      <c r="L5324" t="str">
        <f>IF(A5324="","",IFERROR(LOOKUP(2,1/(#REF!=Z5324),#REF!),Y5324))</f>
        <v/>
      </c>
      <c r="Z5324" t="str">
        <f>IF(A5324="","",TEXT(A5324,"0")&amp;"|"&amp;TEXT(H5324,"0"))</f>
        <v/>
      </c>
      <c r="AA5324" t="str">
        <f>IF(Z5324="","",IFERROR(LOOKUP(2,1/(#REF!=Z5324),#REF!),""))</f>
        <v/>
      </c>
      <c r="AB5324" t="str">
        <f>IF(Z5324="","",IFERROR(LOOKUP(2,1/(#REF!=Z5324),#REF!),""))</f>
        <v/>
      </c>
      <c r="AC5324" t="str">
        <f>IF(Z5324="","",COUNTIF(#REF!,Z5324))</f>
        <v/>
      </c>
      <c r="AD5324" t="str">
        <f>IF(A5324="","",IF(AC5324&gt;1,"REVISAR DUPLICADO",IF(AA5324&lt;&gt;"","ACTUALIZADO POR EYR","SIN REPORTE EYR")))</f>
        <v/>
      </c>
    </row>
    <row r="5325" spans="11:30" x14ac:dyDescent="0.3">
      <c r="K5325" s="1" t="str">
        <f ca="1">IF(A5325="","",IF(OR(L5325="ENTREGADA",L5325="RETORNADA",L5325="ENTREGA DIGITAL"),0,MAX(0,5-NETWORKDAYS(H5325+1,TODAY()))))</f>
        <v/>
      </c>
      <c r="L5325" t="str">
        <f>IF(A5325="","",IFERROR(LOOKUP(2,1/(#REF!=Z5325),#REF!),Y5325))</f>
        <v/>
      </c>
      <c r="Z5325" t="str">
        <f>IF(A5325="","",TEXT(A5325,"0")&amp;"|"&amp;TEXT(H5325,"0"))</f>
        <v/>
      </c>
      <c r="AA5325" t="str">
        <f>IF(Z5325="","",IFERROR(LOOKUP(2,1/(#REF!=Z5325),#REF!),""))</f>
        <v/>
      </c>
      <c r="AB5325" t="str">
        <f>IF(Z5325="","",IFERROR(LOOKUP(2,1/(#REF!=Z5325),#REF!),""))</f>
        <v/>
      </c>
      <c r="AC5325" t="str">
        <f>IF(Z5325="","",COUNTIF(#REF!,Z5325))</f>
        <v/>
      </c>
      <c r="AD5325" t="str">
        <f>IF(A5325="","",IF(AC5325&gt;1,"REVISAR DUPLICADO",IF(AA5325&lt;&gt;"","ACTUALIZADO POR EYR","SIN REPORTE EYR")))</f>
        <v/>
      </c>
    </row>
    <row r="5326" spans="11:30" x14ac:dyDescent="0.3">
      <c r="K5326" s="1" t="str">
        <f ca="1">IF(A5326="","",IF(OR(L5326="ENTREGADA",L5326="RETORNADA",L5326="ENTREGA DIGITAL"),0,MAX(0,5-NETWORKDAYS(H5326+1,TODAY()))))</f>
        <v/>
      </c>
      <c r="L5326" t="str">
        <f>IF(A5326="","",IFERROR(LOOKUP(2,1/(#REF!=Z5326),#REF!),Y5326))</f>
        <v/>
      </c>
      <c r="Z5326" t="str">
        <f>IF(A5326="","",TEXT(A5326,"0")&amp;"|"&amp;TEXT(H5326,"0"))</f>
        <v/>
      </c>
      <c r="AA5326" t="str">
        <f>IF(Z5326="","",IFERROR(LOOKUP(2,1/(#REF!=Z5326),#REF!),""))</f>
        <v/>
      </c>
      <c r="AB5326" t="str">
        <f>IF(Z5326="","",IFERROR(LOOKUP(2,1/(#REF!=Z5326),#REF!),""))</f>
        <v/>
      </c>
      <c r="AC5326" t="str">
        <f>IF(Z5326="","",COUNTIF(#REF!,Z5326))</f>
        <v/>
      </c>
      <c r="AD5326" t="str">
        <f>IF(A5326="","",IF(AC5326&gt;1,"REVISAR DUPLICADO",IF(AA5326&lt;&gt;"","ACTUALIZADO POR EYR","SIN REPORTE EYR")))</f>
        <v/>
      </c>
    </row>
    <row r="5327" spans="11:30" x14ac:dyDescent="0.3">
      <c r="K5327" s="1" t="str">
        <f ca="1">IF(A5327="","",IF(OR(L5327="ENTREGADA",L5327="RETORNADA",L5327="ENTREGA DIGITAL"),0,MAX(0,5-NETWORKDAYS(H5327+1,TODAY()))))</f>
        <v/>
      </c>
      <c r="L5327" t="str">
        <f>IF(A5327="","",IFERROR(LOOKUP(2,1/(#REF!=Z5327),#REF!),Y5327))</f>
        <v/>
      </c>
      <c r="Z5327" t="str">
        <f>IF(A5327="","",TEXT(A5327,"0")&amp;"|"&amp;TEXT(H5327,"0"))</f>
        <v/>
      </c>
      <c r="AA5327" t="str">
        <f>IF(Z5327="","",IFERROR(LOOKUP(2,1/(#REF!=Z5327),#REF!),""))</f>
        <v/>
      </c>
      <c r="AB5327" t="str">
        <f>IF(Z5327="","",IFERROR(LOOKUP(2,1/(#REF!=Z5327),#REF!),""))</f>
        <v/>
      </c>
      <c r="AC5327" t="str">
        <f>IF(Z5327="","",COUNTIF(#REF!,Z5327))</f>
        <v/>
      </c>
      <c r="AD5327" t="str">
        <f>IF(A5327="","",IF(AC5327&gt;1,"REVISAR DUPLICADO",IF(AA5327&lt;&gt;"","ACTUALIZADO POR EYR","SIN REPORTE EYR")))</f>
        <v/>
      </c>
    </row>
    <row r="5328" spans="11:30" x14ac:dyDescent="0.3">
      <c r="K5328" s="1" t="str">
        <f ca="1">IF(A5328="","",IF(OR(L5328="ENTREGADA",L5328="RETORNADA",L5328="ENTREGA DIGITAL"),0,MAX(0,5-NETWORKDAYS(H5328+1,TODAY()))))</f>
        <v/>
      </c>
      <c r="L5328" t="str">
        <f>IF(A5328="","",IFERROR(LOOKUP(2,1/(#REF!=Z5328),#REF!),Y5328))</f>
        <v/>
      </c>
      <c r="Z5328" t="str">
        <f>IF(A5328="","",TEXT(A5328,"0")&amp;"|"&amp;TEXT(H5328,"0"))</f>
        <v/>
      </c>
      <c r="AA5328" t="str">
        <f>IF(Z5328="","",IFERROR(LOOKUP(2,1/(#REF!=Z5328),#REF!),""))</f>
        <v/>
      </c>
      <c r="AB5328" t="str">
        <f>IF(Z5328="","",IFERROR(LOOKUP(2,1/(#REF!=Z5328),#REF!),""))</f>
        <v/>
      </c>
      <c r="AC5328" t="str">
        <f>IF(Z5328="","",COUNTIF(#REF!,Z5328))</f>
        <v/>
      </c>
      <c r="AD5328" t="str">
        <f>IF(A5328="","",IF(AC5328&gt;1,"REVISAR DUPLICADO",IF(AA5328&lt;&gt;"","ACTUALIZADO POR EYR","SIN REPORTE EYR")))</f>
        <v/>
      </c>
    </row>
    <row r="5329" spans="11:30" x14ac:dyDescent="0.3">
      <c r="K5329" s="1" t="str">
        <f ca="1">IF(A5329="","",IF(OR(L5329="ENTREGADA",L5329="RETORNADA",L5329="ENTREGA DIGITAL"),0,MAX(0,5-NETWORKDAYS(H5329+1,TODAY()))))</f>
        <v/>
      </c>
      <c r="L5329" t="str">
        <f>IF(A5329="","",IFERROR(LOOKUP(2,1/(#REF!=Z5329),#REF!),Y5329))</f>
        <v/>
      </c>
      <c r="Z5329" t="str">
        <f>IF(A5329="","",TEXT(A5329,"0")&amp;"|"&amp;TEXT(H5329,"0"))</f>
        <v/>
      </c>
      <c r="AA5329" t="str">
        <f>IF(Z5329="","",IFERROR(LOOKUP(2,1/(#REF!=Z5329),#REF!),""))</f>
        <v/>
      </c>
      <c r="AB5329" t="str">
        <f>IF(Z5329="","",IFERROR(LOOKUP(2,1/(#REF!=Z5329),#REF!),""))</f>
        <v/>
      </c>
      <c r="AC5329" t="str">
        <f>IF(Z5329="","",COUNTIF(#REF!,Z5329))</f>
        <v/>
      </c>
      <c r="AD5329" t="str">
        <f>IF(A5329="","",IF(AC5329&gt;1,"REVISAR DUPLICADO",IF(AA5329&lt;&gt;"","ACTUALIZADO POR EYR","SIN REPORTE EYR")))</f>
        <v/>
      </c>
    </row>
    <row r="5330" spans="11:30" x14ac:dyDescent="0.3">
      <c r="K5330" s="1" t="str">
        <f ca="1">IF(A5330="","",IF(OR(L5330="ENTREGADA",L5330="RETORNADA",L5330="ENTREGA DIGITAL"),0,MAX(0,5-NETWORKDAYS(H5330+1,TODAY()))))</f>
        <v/>
      </c>
      <c r="L5330" t="str">
        <f>IF(A5330="","",IFERROR(LOOKUP(2,1/(#REF!=Z5330),#REF!),Y5330))</f>
        <v/>
      </c>
      <c r="Z5330" t="str">
        <f>IF(A5330="","",TEXT(A5330,"0")&amp;"|"&amp;TEXT(H5330,"0"))</f>
        <v/>
      </c>
      <c r="AA5330" t="str">
        <f>IF(Z5330="","",IFERROR(LOOKUP(2,1/(#REF!=Z5330),#REF!),""))</f>
        <v/>
      </c>
      <c r="AB5330" t="str">
        <f>IF(Z5330="","",IFERROR(LOOKUP(2,1/(#REF!=Z5330),#REF!),""))</f>
        <v/>
      </c>
      <c r="AC5330" t="str">
        <f>IF(Z5330="","",COUNTIF(#REF!,Z5330))</f>
        <v/>
      </c>
      <c r="AD5330" t="str">
        <f>IF(A5330="","",IF(AC5330&gt;1,"REVISAR DUPLICADO",IF(AA5330&lt;&gt;"","ACTUALIZADO POR EYR","SIN REPORTE EYR")))</f>
        <v/>
      </c>
    </row>
    <row r="5331" spans="11:30" x14ac:dyDescent="0.3">
      <c r="K5331" s="1" t="str">
        <f ca="1">IF(A5331="","",IF(OR(L5331="ENTREGADA",L5331="RETORNADA",L5331="ENTREGA DIGITAL"),0,MAX(0,5-NETWORKDAYS(H5331+1,TODAY()))))</f>
        <v/>
      </c>
      <c r="L5331" t="str">
        <f>IF(A5331="","",IFERROR(LOOKUP(2,1/(#REF!=Z5331),#REF!),Y5331))</f>
        <v/>
      </c>
      <c r="Z5331" t="str">
        <f>IF(A5331="","",TEXT(A5331,"0")&amp;"|"&amp;TEXT(H5331,"0"))</f>
        <v/>
      </c>
      <c r="AA5331" t="str">
        <f>IF(Z5331="","",IFERROR(LOOKUP(2,1/(#REF!=Z5331),#REF!),""))</f>
        <v/>
      </c>
      <c r="AB5331" t="str">
        <f>IF(Z5331="","",IFERROR(LOOKUP(2,1/(#REF!=Z5331),#REF!),""))</f>
        <v/>
      </c>
      <c r="AC5331" t="str">
        <f>IF(Z5331="","",COUNTIF(#REF!,Z5331))</f>
        <v/>
      </c>
      <c r="AD5331" t="str">
        <f>IF(A5331="","",IF(AC5331&gt;1,"REVISAR DUPLICADO",IF(AA5331&lt;&gt;"","ACTUALIZADO POR EYR","SIN REPORTE EYR")))</f>
        <v/>
      </c>
    </row>
    <row r="5332" spans="11:30" x14ac:dyDescent="0.3">
      <c r="K5332" s="1" t="str">
        <f ca="1">IF(A5332="","",IF(OR(L5332="ENTREGADA",L5332="RETORNADA",L5332="ENTREGA DIGITAL"),0,MAX(0,5-NETWORKDAYS(H5332+1,TODAY()))))</f>
        <v/>
      </c>
      <c r="L5332" t="str">
        <f>IF(A5332="","",IFERROR(LOOKUP(2,1/(#REF!=Z5332),#REF!),Y5332))</f>
        <v/>
      </c>
      <c r="Z5332" t="str">
        <f>IF(A5332="","",TEXT(A5332,"0")&amp;"|"&amp;TEXT(H5332,"0"))</f>
        <v/>
      </c>
      <c r="AA5332" t="str">
        <f>IF(Z5332="","",IFERROR(LOOKUP(2,1/(#REF!=Z5332),#REF!),""))</f>
        <v/>
      </c>
      <c r="AB5332" t="str">
        <f>IF(Z5332="","",IFERROR(LOOKUP(2,1/(#REF!=Z5332),#REF!),""))</f>
        <v/>
      </c>
      <c r="AC5332" t="str">
        <f>IF(Z5332="","",COUNTIF(#REF!,Z5332))</f>
        <v/>
      </c>
      <c r="AD5332" t="str">
        <f>IF(A5332="","",IF(AC5332&gt;1,"REVISAR DUPLICADO",IF(AA5332&lt;&gt;"","ACTUALIZADO POR EYR","SIN REPORTE EYR")))</f>
        <v/>
      </c>
    </row>
    <row r="5333" spans="11:30" x14ac:dyDescent="0.3">
      <c r="K5333" s="1" t="str">
        <f ca="1">IF(A5333="","",IF(OR(L5333="ENTREGADA",L5333="RETORNADA",L5333="ENTREGA DIGITAL"),0,MAX(0,5-NETWORKDAYS(H5333+1,TODAY()))))</f>
        <v/>
      </c>
      <c r="L5333" t="str">
        <f>IF(A5333="","",IFERROR(LOOKUP(2,1/(#REF!=Z5333),#REF!),Y5333))</f>
        <v/>
      </c>
      <c r="Z5333" t="str">
        <f>IF(A5333="","",TEXT(A5333,"0")&amp;"|"&amp;TEXT(H5333,"0"))</f>
        <v/>
      </c>
      <c r="AA5333" t="str">
        <f>IF(Z5333="","",IFERROR(LOOKUP(2,1/(#REF!=Z5333),#REF!),""))</f>
        <v/>
      </c>
      <c r="AB5333" t="str">
        <f>IF(Z5333="","",IFERROR(LOOKUP(2,1/(#REF!=Z5333),#REF!),""))</f>
        <v/>
      </c>
      <c r="AC5333" t="str">
        <f>IF(Z5333="","",COUNTIF(#REF!,Z5333))</f>
        <v/>
      </c>
      <c r="AD5333" t="str">
        <f>IF(A5333="","",IF(AC5333&gt;1,"REVISAR DUPLICADO",IF(AA5333&lt;&gt;"","ACTUALIZADO POR EYR","SIN REPORTE EYR")))</f>
        <v/>
      </c>
    </row>
    <row r="5334" spans="11:30" x14ac:dyDescent="0.3">
      <c r="K5334" s="1" t="str">
        <f ca="1">IF(A5334="","",IF(OR(L5334="ENTREGADA",L5334="RETORNADA",L5334="ENTREGA DIGITAL"),0,MAX(0,5-NETWORKDAYS(H5334+1,TODAY()))))</f>
        <v/>
      </c>
      <c r="L5334" t="str">
        <f>IF(A5334="","",IFERROR(LOOKUP(2,1/(#REF!=Z5334),#REF!),Y5334))</f>
        <v/>
      </c>
      <c r="Z5334" t="str">
        <f>IF(A5334="","",TEXT(A5334,"0")&amp;"|"&amp;TEXT(H5334,"0"))</f>
        <v/>
      </c>
      <c r="AA5334" t="str">
        <f>IF(Z5334="","",IFERROR(LOOKUP(2,1/(#REF!=Z5334),#REF!),""))</f>
        <v/>
      </c>
      <c r="AB5334" t="str">
        <f>IF(Z5334="","",IFERROR(LOOKUP(2,1/(#REF!=Z5334),#REF!),""))</f>
        <v/>
      </c>
      <c r="AC5334" t="str">
        <f>IF(Z5334="","",COUNTIF(#REF!,Z5334))</f>
        <v/>
      </c>
      <c r="AD5334" t="str">
        <f>IF(A5334="","",IF(AC5334&gt;1,"REVISAR DUPLICADO",IF(AA5334&lt;&gt;"","ACTUALIZADO POR EYR","SIN REPORTE EYR")))</f>
        <v/>
      </c>
    </row>
    <row r="5335" spans="11:30" x14ac:dyDescent="0.3">
      <c r="K5335" s="1" t="str">
        <f ca="1">IF(A5335="","",IF(OR(L5335="ENTREGADA",L5335="RETORNADA",L5335="ENTREGA DIGITAL"),0,MAX(0,5-NETWORKDAYS(H5335+1,TODAY()))))</f>
        <v/>
      </c>
      <c r="L5335" t="str">
        <f>IF(A5335="","",IFERROR(LOOKUP(2,1/(#REF!=Z5335),#REF!),Y5335))</f>
        <v/>
      </c>
      <c r="Z5335" t="str">
        <f>IF(A5335="","",TEXT(A5335,"0")&amp;"|"&amp;TEXT(H5335,"0"))</f>
        <v/>
      </c>
      <c r="AA5335" t="str">
        <f>IF(Z5335="","",IFERROR(LOOKUP(2,1/(#REF!=Z5335),#REF!),""))</f>
        <v/>
      </c>
      <c r="AB5335" t="str">
        <f>IF(Z5335="","",IFERROR(LOOKUP(2,1/(#REF!=Z5335),#REF!),""))</f>
        <v/>
      </c>
      <c r="AC5335" t="str">
        <f>IF(Z5335="","",COUNTIF(#REF!,Z5335))</f>
        <v/>
      </c>
      <c r="AD5335" t="str">
        <f>IF(A5335="","",IF(AC5335&gt;1,"REVISAR DUPLICADO",IF(AA5335&lt;&gt;"","ACTUALIZADO POR EYR","SIN REPORTE EYR")))</f>
        <v/>
      </c>
    </row>
    <row r="5336" spans="11:30" x14ac:dyDescent="0.3">
      <c r="K5336" s="1" t="str">
        <f ca="1">IF(A5336="","",IF(OR(L5336="ENTREGADA",L5336="RETORNADA",L5336="ENTREGA DIGITAL"),0,MAX(0,5-NETWORKDAYS(H5336+1,TODAY()))))</f>
        <v/>
      </c>
      <c r="L5336" t="str">
        <f>IF(A5336="","",IFERROR(LOOKUP(2,1/(#REF!=Z5336),#REF!),Y5336))</f>
        <v/>
      </c>
      <c r="Z5336" t="str">
        <f>IF(A5336="","",TEXT(A5336,"0")&amp;"|"&amp;TEXT(H5336,"0"))</f>
        <v/>
      </c>
      <c r="AA5336" t="str">
        <f>IF(Z5336="","",IFERROR(LOOKUP(2,1/(#REF!=Z5336),#REF!),""))</f>
        <v/>
      </c>
      <c r="AB5336" t="str">
        <f>IF(Z5336="","",IFERROR(LOOKUP(2,1/(#REF!=Z5336),#REF!),""))</f>
        <v/>
      </c>
      <c r="AC5336" t="str">
        <f>IF(Z5336="","",COUNTIF(#REF!,Z5336))</f>
        <v/>
      </c>
      <c r="AD5336" t="str">
        <f>IF(A5336="","",IF(AC5336&gt;1,"REVISAR DUPLICADO",IF(AA5336&lt;&gt;"","ACTUALIZADO POR EYR","SIN REPORTE EYR")))</f>
        <v/>
      </c>
    </row>
    <row r="5337" spans="11:30" x14ac:dyDescent="0.3">
      <c r="K5337" s="1" t="str">
        <f ca="1">IF(A5337="","",IF(OR(L5337="ENTREGADA",L5337="RETORNADA",L5337="ENTREGA DIGITAL"),0,MAX(0,5-NETWORKDAYS(H5337+1,TODAY()))))</f>
        <v/>
      </c>
      <c r="L5337" t="str">
        <f>IF(A5337="","",IFERROR(LOOKUP(2,1/(#REF!=Z5337),#REF!),Y5337))</f>
        <v/>
      </c>
      <c r="Z5337" t="str">
        <f>IF(A5337="","",TEXT(A5337,"0")&amp;"|"&amp;TEXT(H5337,"0"))</f>
        <v/>
      </c>
      <c r="AA5337" t="str">
        <f>IF(Z5337="","",IFERROR(LOOKUP(2,1/(#REF!=Z5337),#REF!),""))</f>
        <v/>
      </c>
      <c r="AB5337" t="str">
        <f>IF(Z5337="","",IFERROR(LOOKUP(2,1/(#REF!=Z5337),#REF!),""))</f>
        <v/>
      </c>
      <c r="AC5337" t="str">
        <f>IF(Z5337="","",COUNTIF(#REF!,Z5337))</f>
        <v/>
      </c>
      <c r="AD5337" t="str">
        <f>IF(A5337="","",IF(AC5337&gt;1,"REVISAR DUPLICADO",IF(AA5337&lt;&gt;"","ACTUALIZADO POR EYR","SIN REPORTE EYR")))</f>
        <v/>
      </c>
    </row>
    <row r="5338" spans="11:30" x14ac:dyDescent="0.3">
      <c r="K5338" s="1" t="str">
        <f ca="1">IF(A5338="","",IF(OR(L5338="ENTREGADA",L5338="RETORNADA",L5338="ENTREGA DIGITAL"),0,MAX(0,5-NETWORKDAYS(H5338+1,TODAY()))))</f>
        <v/>
      </c>
      <c r="L5338" t="str">
        <f>IF(A5338="","",IFERROR(LOOKUP(2,1/(#REF!=Z5338),#REF!),Y5338))</f>
        <v/>
      </c>
      <c r="Z5338" t="str">
        <f>IF(A5338="","",TEXT(A5338,"0")&amp;"|"&amp;TEXT(H5338,"0"))</f>
        <v/>
      </c>
      <c r="AA5338" t="str">
        <f>IF(Z5338="","",IFERROR(LOOKUP(2,1/(#REF!=Z5338),#REF!),""))</f>
        <v/>
      </c>
      <c r="AB5338" t="str">
        <f>IF(Z5338="","",IFERROR(LOOKUP(2,1/(#REF!=Z5338),#REF!),""))</f>
        <v/>
      </c>
      <c r="AC5338" t="str">
        <f>IF(Z5338="","",COUNTIF(#REF!,Z5338))</f>
        <v/>
      </c>
      <c r="AD5338" t="str">
        <f>IF(A5338="","",IF(AC5338&gt;1,"REVISAR DUPLICADO",IF(AA5338&lt;&gt;"","ACTUALIZADO POR EYR","SIN REPORTE EYR")))</f>
        <v/>
      </c>
    </row>
    <row r="5339" spans="11:30" x14ac:dyDescent="0.3">
      <c r="K5339" s="1" t="str">
        <f ca="1">IF(A5339="","",IF(OR(L5339="ENTREGADA",L5339="RETORNADA",L5339="ENTREGA DIGITAL"),0,MAX(0,5-NETWORKDAYS(H5339+1,TODAY()))))</f>
        <v/>
      </c>
      <c r="L5339" t="str">
        <f>IF(A5339="","",IFERROR(LOOKUP(2,1/(#REF!=Z5339),#REF!),Y5339))</f>
        <v/>
      </c>
      <c r="Z5339" t="str">
        <f>IF(A5339="","",TEXT(A5339,"0")&amp;"|"&amp;TEXT(H5339,"0"))</f>
        <v/>
      </c>
      <c r="AA5339" t="str">
        <f>IF(Z5339="","",IFERROR(LOOKUP(2,1/(#REF!=Z5339),#REF!),""))</f>
        <v/>
      </c>
      <c r="AB5339" t="str">
        <f>IF(Z5339="","",IFERROR(LOOKUP(2,1/(#REF!=Z5339),#REF!),""))</f>
        <v/>
      </c>
      <c r="AC5339" t="str">
        <f>IF(Z5339="","",COUNTIF(#REF!,Z5339))</f>
        <v/>
      </c>
      <c r="AD5339" t="str">
        <f>IF(A5339="","",IF(AC5339&gt;1,"REVISAR DUPLICADO",IF(AA5339&lt;&gt;"","ACTUALIZADO POR EYR","SIN REPORTE EYR")))</f>
        <v/>
      </c>
    </row>
    <row r="5340" spans="11:30" x14ac:dyDescent="0.3">
      <c r="K5340" s="1" t="str">
        <f ca="1">IF(A5340="","",IF(OR(L5340="ENTREGADA",L5340="RETORNADA",L5340="ENTREGA DIGITAL"),0,MAX(0,5-NETWORKDAYS(H5340+1,TODAY()))))</f>
        <v/>
      </c>
      <c r="L5340" t="str">
        <f>IF(A5340="","",IFERROR(LOOKUP(2,1/(#REF!=Z5340),#REF!),Y5340))</f>
        <v/>
      </c>
      <c r="Z5340" t="str">
        <f>IF(A5340="","",TEXT(A5340,"0")&amp;"|"&amp;TEXT(H5340,"0"))</f>
        <v/>
      </c>
      <c r="AA5340" t="str">
        <f>IF(Z5340="","",IFERROR(LOOKUP(2,1/(#REF!=Z5340),#REF!),""))</f>
        <v/>
      </c>
      <c r="AB5340" t="str">
        <f>IF(Z5340="","",IFERROR(LOOKUP(2,1/(#REF!=Z5340),#REF!),""))</f>
        <v/>
      </c>
      <c r="AC5340" t="str">
        <f>IF(Z5340="","",COUNTIF(#REF!,Z5340))</f>
        <v/>
      </c>
      <c r="AD5340" t="str">
        <f>IF(A5340="","",IF(AC5340&gt;1,"REVISAR DUPLICADO",IF(AA5340&lt;&gt;"","ACTUALIZADO POR EYR","SIN REPORTE EYR")))</f>
        <v/>
      </c>
    </row>
    <row r="5341" spans="11:30" x14ac:dyDescent="0.3">
      <c r="K5341" s="1" t="str">
        <f ca="1">IF(A5341="","",IF(OR(L5341="ENTREGADA",L5341="RETORNADA",L5341="ENTREGA DIGITAL"),0,MAX(0,5-NETWORKDAYS(H5341+1,TODAY()))))</f>
        <v/>
      </c>
      <c r="L5341" t="str">
        <f>IF(A5341="","",IFERROR(LOOKUP(2,1/(#REF!=Z5341),#REF!),Y5341))</f>
        <v/>
      </c>
      <c r="Z5341" t="str">
        <f>IF(A5341="","",TEXT(A5341,"0")&amp;"|"&amp;TEXT(H5341,"0"))</f>
        <v/>
      </c>
      <c r="AA5341" t="str">
        <f>IF(Z5341="","",IFERROR(LOOKUP(2,1/(#REF!=Z5341),#REF!),""))</f>
        <v/>
      </c>
      <c r="AB5341" t="str">
        <f>IF(Z5341="","",IFERROR(LOOKUP(2,1/(#REF!=Z5341),#REF!),""))</f>
        <v/>
      </c>
      <c r="AC5341" t="str">
        <f>IF(Z5341="","",COUNTIF(#REF!,Z5341))</f>
        <v/>
      </c>
      <c r="AD5341" t="str">
        <f>IF(A5341="","",IF(AC5341&gt;1,"REVISAR DUPLICADO",IF(AA5341&lt;&gt;"","ACTUALIZADO POR EYR","SIN REPORTE EYR")))</f>
        <v/>
      </c>
    </row>
    <row r="5342" spans="11:30" x14ac:dyDescent="0.3">
      <c r="K5342" s="1" t="str">
        <f ca="1">IF(A5342="","",IF(OR(L5342="ENTREGADA",L5342="RETORNADA",L5342="ENTREGA DIGITAL"),0,MAX(0,5-NETWORKDAYS(H5342+1,TODAY()))))</f>
        <v/>
      </c>
      <c r="L5342" t="str">
        <f>IF(A5342="","",IFERROR(LOOKUP(2,1/(#REF!=Z5342),#REF!),Y5342))</f>
        <v/>
      </c>
      <c r="Z5342" t="str">
        <f>IF(A5342="","",TEXT(A5342,"0")&amp;"|"&amp;TEXT(H5342,"0"))</f>
        <v/>
      </c>
      <c r="AA5342" t="str">
        <f>IF(Z5342="","",IFERROR(LOOKUP(2,1/(#REF!=Z5342),#REF!),""))</f>
        <v/>
      </c>
      <c r="AB5342" t="str">
        <f>IF(Z5342="","",IFERROR(LOOKUP(2,1/(#REF!=Z5342),#REF!),""))</f>
        <v/>
      </c>
      <c r="AC5342" t="str">
        <f>IF(Z5342="","",COUNTIF(#REF!,Z5342))</f>
        <v/>
      </c>
      <c r="AD5342" t="str">
        <f>IF(A5342="","",IF(AC5342&gt;1,"REVISAR DUPLICADO",IF(AA5342&lt;&gt;"","ACTUALIZADO POR EYR","SIN REPORTE EYR")))</f>
        <v/>
      </c>
    </row>
    <row r="5343" spans="11:30" x14ac:dyDescent="0.3">
      <c r="K5343" s="1" t="str">
        <f ca="1">IF(A5343="","",IF(OR(L5343="ENTREGADA",L5343="RETORNADA",L5343="ENTREGA DIGITAL"),0,MAX(0,5-NETWORKDAYS(H5343+1,TODAY()))))</f>
        <v/>
      </c>
      <c r="L5343" t="str">
        <f>IF(A5343="","",IFERROR(LOOKUP(2,1/(#REF!=Z5343),#REF!),Y5343))</f>
        <v/>
      </c>
      <c r="Z5343" t="str">
        <f>IF(A5343="","",TEXT(A5343,"0")&amp;"|"&amp;TEXT(H5343,"0"))</f>
        <v/>
      </c>
      <c r="AA5343" t="str">
        <f>IF(Z5343="","",IFERROR(LOOKUP(2,1/(#REF!=Z5343),#REF!),""))</f>
        <v/>
      </c>
      <c r="AB5343" t="str">
        <f>IF(Z5343="","",IFERROR(LOOKUP(2,1/(#REF!=Z5343),#REF!),""))</f>
        <v/>
      </c>
      <c r="AC5343" t="str">
        <f>IF(Z5343="","",COUNTIF(#REF!,Z5343))</f>
        <v/>
      </c>
      <c r="AD5343" t="str">
        <f>IF(A5343="","",IF(AC5343&gt;1,"REVISAR DUPLICADO",IF(AA5343&lt;&gt;"","ACTUALIZADO POR EYR","SIN REPORTE EYR")))</f>
        <v/>
      </c>
    </row>
    <row r="5344" spans="11:30" x14ac:dyDescent="0.3">
      <c r="K5344" s="1" t="str">
        <f ca="1">IF(A5344="","",IF(OR(L5344="ENTREGADA",L5344="RETORNADA",L5344="ENTREGA DIGITAL"),0,MAX(0,5-NETWORKDAYS(H5344+1,TODAY()))))</f>
        <v/>
      </c>
      <c r="L5344" t="str">
        <f>IF(A5344="","",IFERROR(LOOKUP(2,1/(#REF!=Z5344),#REF!),Y5344))</f>
        <v/>
      </c>
      <c r="Z5344" t="str">
        <f>IF(A5344="","",TEXT(A5344,"0")&amp;"|"&amp;TEXT(H5344,"0"))</f>
        <v/>
      </c>
      <c r="AA5344" t="str">
        <f>IF(Z5344="","",IFERROR(LOOKUP(2,1/(#REF!=Z5344),#REF!),""))</f>
        <v/>
      </c>
      <c r="AB5344" t="str">
        <f>IF(Z5344="","",IFERROR(LOOKUP(2,1/(#REF!=Z5344),#REF!),""))</f>
        <v/>
      </c>
      <c r="AC5344" t="str">
        <f>IF(Z5344="","",COUNTIF(#REF!,Z5344))</f>
        <v/>
      </c>
      <c r="AD5344" t="str">
        <f>IF(A5344="","",IF(AC5344&gt;1,"REVISAR DUPLICADO",IF(AA5344&lt;&gt;"","ACTUALIZADO POR EYR","SIN REPORTE EYR")))</f>
        <v/>
      </c>
    </row>
    <row r="5345" spans="11:30" x14ac:dyDescent="0.3">
      <c r="K5345" s="1" t="str">
        <f ca="1">IF(A5345="","",IF(OR(L5345="ENTREGADA",L5345="RETORNADA",L5345="ENTREGA DIGITAL"),0,MAX(0,5-NETWORKDAYS(H5345+1,TODAY()))))</f>
        <v/>
      </c>
      <c r="L5345" t="str">
        <f>IF(A5345="","",IFERROR(LOOKUP(2,1/(#REF!=Z5345),#REF!),Y5345))</f>
        <v/>
      </c>
      <c r="Z5345" t="str">
        <f>IF(A5345="","",TEXT(A5345,"0")&amp;"|"&amp;TEXT(H5345,"0"))</f>
        <v/>
      </c>
      <c r="AA5345" t="str">
        <f>IF(Z5345="","",IFERROR(LOOKUP(2,1/(#REF!=Z5345),#REF!),""))</f>
        <v/>
      </c>
      <c r="AB5345" t="str">
        <f>IF(Z5345="","",IFERROR(LOOKUP(2,1/(#REF!=Z5345),#REF!),""))</f>
        <v/>
      </c>
      <c r="AC5345" t="str">
        <f>IF(Z5345="","",COUNTIF(#REF!,Z5345))</f>
        <v/>
      </c>
      <c r="AD5345" t="str">
        <f>IF(A5345="","",IF(AC5345&gt;1,"REVISAR DUPLICADO",IF(AA5345&lt;&gt;"","ACTUALIZADO POR EYR","SIN REPORTE EYR")))</f>
        <v/>
      </c>
    </row>
    <row r="5346" spans="11:30" x14ac:dyDescent="0.3">
      <c r="K5346" s="1" t="str">
        <f ca="1">IF(A5346="","",IF(OR(L5346="ENTREGADA",L5346="RETORNADA",L5346="ENTREGA DIGITAL"),0,MAX(0,5-NETWORKDAYS(H5346+1,TODAY()))))</f>
        <v/>
      </c>
      <c r="L5346" t="str">
        <f>IF(A5346="","",IFERROR(LOOKUP(2,1/(#REF!=Z5346),#REF!),Y5346))</f>
        <v/>
      </c>
      <c r="Z5346" t="str">
        <f>IF(A5346="","",TEXT(A5346,"0")&amp;"|"&amp;TEXT(H5346,"0"))</f>
        <v/>
      </c>
      <c r="AA5346" t="str">
        <f>IF(Z5346="","",IFERROR(LOOKUP(2,1/(#REF!=Z5346),#REF!),""))</f>
        <v/>
      </c>
      <c r="AB5346" t="str">
        <f>IF(Z5346="","",IFERROR(LOOKUP(2,1/(#REF!=Z5346),#REF!),""))</f>
        <v/>
      </c>
      <c r="AC5346" t="str">
        <f>IF(Z5346="","",COUNTIF(#REF!,Z5346))</f>
        <v/>
      </c>
      <c r="AD5346" t="str">
        <f>IF(A5346="","",IF(AC5346&gt;1,"REVISAR DUPLICADO",IF(AA5346&lt;&gt;"","ACTUALIZADO POR EYR","SIN REPORTE EYR")))</f>
        <v/>
      </c>
    </row>
    <row r="5347" spans="11:30" x14ac:dyDescent="0.3">
      <c r="K5347" s="1" t="str">
        <f ca="1">IF(A5347="","",IF(OR(L5347="ENTREGADA",L5347="RETORNADA",L5347="ENTREGA DIGITAL"),0,MAX(0,5-NETWORKDAYS(H5347+1,TODAY()))))</f>
        <v/>
      </c>
      <c r="L5347" t="str">
        <f>IF(A5347="","",IFERROR(LOOKUP(2,1/(#REF!=Z5347),#REF!),Y5347))</f>
        <v/>
      </c>
      <c r="Z5347" t="str">
        <f>IF(A5347="","",TEXT(A5347,"0")&amp;"|"&amp;TEXT(H5347,"0"))</f>
        <v/>
      </c>
      <c r="AA5347" t="str">
        <f>IF(Z5347="","",IFERROR(LOOKUP(2,1/(#REF!=Z5347),#REF!),""))</f>
        <v/>
      </c>
      <c r="AB5347" t="str">
        <f>IF(Z5347="","",IFERROR(LOOKUP(2,1/(#REF!=Z5347),#REF!),""))</f>
        <v/>
      </c>
      <c r="AC5347" t="str">
        <f>IF(Z5347="","",COUNTIF(#REF!,Z5347))</f>
        <v/>
      </c>
      <c r="AD5347" t="str">
        <f>IF(A5347="","",IF(AC5347&gt;1,"REVISAR DUPLICADO",IF(AA5347&lt;&gt;"","ACTUALIZADO POR EYR","SIN REPORTE EYR")))</f>
        <v/>
      </c>
    </row>
    <row r="5348" spans="11:30" x14ac:dyDescent="0.3">
      <c r="K5348" s="1" t="str">
        <f ca="1">IF(A5348="","",IF(OR(L5348="ENTREGADA",L5348="RETORNADA",L5348="ENTREGA DIGITAL"),0,MAX(0,5-NETWORKDAYS(H5348+1,TODAY()))))</f>
        <v/>
      </c>
      <c r="L5348" t="str">
        <f>IF(A5348="","",IFERROR(LOOKUP(2,1/(#REF!=Z5348),#REF!),Y5348))</f>
        <v/>
      </c>
      <c r="Z5348" t="str">
        <f>IF(A5348="","",TEXT(A5348,"0")&amp;"|"&amp;TEXT(H5348,"0"))</f>
        <v/>
      </c>
      <c r="AA5348" t="str">
        <f>IF(Z5348="","",IFERROR(LOOKUP(2,1/(#REF!=Z5348),#REF!),""))</f>
        <v/>
      </c>
      <c r="AB5348" t="str">
        <f>IF(Z5348="","",IFERROR(LOOKUP(2,1/(#REF!=Z5348),#REF!),""))</f>
        <v/>
      </c>
      <c r="AC5348" t="str">
        <f>IF(Z5348="","",COUNTIF(#REF!,Z5348))</f>
        <v/>
      </c>
      <c r="AD5348" t="str">
        <f>IF(A5348="","",IF(AC5348&gt;1,"REVISAR DUPLICADO",IF(AA5348&lt;&gt;"","ACTUALIZADO POR EYR","SIN REPORTE EYR")))</f>
        <v/>
      </c>
    </row>
    <row r="5349" spans="11:30" x14ac:dyDescent="0.3">
      <c r="K5349" s="1" t="str">
        <f ca="1">IF(A5349="","",IF(OR(L5349="ENTREGADA",L5349="RETORNADA",L5349="ENTREGA DIGITAL"),0,MAX(0,5-NETWORKDAYS(H5349+1,TODAY()))))</f>
        <v/>
      </c>
      <c r="L5349" t="str">
        <f>IF(A5349="","",IFERROR(LOOKUP(2,1/(#REF!=Z5349),#REF!),Y5349))</f>
        <v/>
      </c>
      <c r="Z5349" t="str">
        <f>IF(A5349="","",TEXT(A5349,"0")&amp;"|"&amp;TEXT(H5349,"0"))</f>
        <v/>
      </c>
      <c r="AA5349" t="str">
        <f>IF(Z5349="","",IFERROR(LOOKUP(2,1/(#REF!=Z5349),#REF!),""))</f>
        <v/>
      </c>
      <c r="AB5349" t="str">
        <f>IF(Z5349="","",IFERROR(LOOKUP(2,1/(#REF!=Z5349),#REF!),""))</f>
        <v/>
      </c>
      <c r="AC5349" t="str">
        <f>IF(Z5349="","",COUNTIF(#REF!,Z5349))</f>
        <v/>
      </c>
      <c r="AD5349" t="str">
        <f>IF(A5349="","",IF(AC5349&gt;1,"REVISAR DUPLICADO",IF(AA5349&lt;&gt;"","ACTUALIZADO POR EYR","SIN REPORTE EYR")))</f>
        <v/>
      </c>
    </row>
    <row r="5350" spans="11:30" x14ac:dyDescent="0.3">
      <c r="K5350" s="1" t="str">
        <f ca="1">IF(A5350="","",IF(OR(L5350="ENTREGADA",L5350="RETORNADA",L5350="ENTREGA DIGITAL"),0,MAX(0,5-NETWORKDAYS(H5350+1,TODAY()))))</f>
        <v/>
      </c>
      <c r="L5350" t="str">
        <f>IF(A5350="","",IFERROR(LOOKUP(2,1/(#REF!=Z5350),#REF!),Y5350))</f>
        <v/>
      </c>
      <c r="Z5350" t="str">
        <f>IF(A5350="","",TEXT(A5350,"0")&amp;"|"&amp;TEXT(H5350,"0"))</f>
        <v/>
      </c>
      <c r="AA5350" t="str">
        <f>IF(Z5350="","",IFERROR(LOOKUP(2,1/(#REF!=Z5350),#REF!),""))</f>
        <v/>
      </c>
      <c r="AB5350" t="str">
        <f>IF(Z5350="","",IFERROR(LOOKUP(2,1/(#REF!=Z5350),#REF!),""))</f>
        <v/>
      </c>
      <c r="AC5350" t="str">
        <f>IF(Z5350="","",COUNTIF(#REF!,Z5350))</f>
        <v/>
      </c>
      <c r="AD5350" t="str">
        <f>IF(A5350="","",IF(AC5350&gt;1,"REVISAR DUPLICADO",IF(AA5350&lt;&gt;"","ACTUALIZADO POR EYR","SIN REPORTE EYR")))</f>
        <v/>
      </c>
    </row>
    <row r="5351" spans="11:30" x14ac:dyDescent="0.3">
      <c r="K5351" s="1" t="str">
        <f ca="1">IF(A5351="","",IF(OR(L5351="ENTREGADA",L5351="RETORNADA",L5351="ENTREGA DIGITAL"),0,MAX(0,5-NETWORKDAYS(H5351+1,TODAY()))))</f>
        <v/>
      </c>
      <c r="L5351" t="str">
        <f>IF(A5351="","",IFERROR(LOOKUP(2,1/(#REF!=Z5351),#REF!),Y5351))</f>
        <v/>
      </c>
      <c r="Z5351" t="str">
        <f>IF(A5351="","",TEXT(A5351,"0")&amp;"|"&amp;TEXT(H5351,"0"))</f>
        <v/>
      </c>
      <c r="AA5351" t="str">
        <f>IF(Z5351="","",IFERROR(LOOKUP(2,1/(#REF!=Z5351),#REF!),""))</f>
        <v/>
      </c>
      <c r="AB5351" t="str">
        <f>IF(Z5351="","",IFERROR(LOOKUP(2,1/(#REF!=Z5351),#REF!),""))</f>
        <v/>
      </c>
      <c r="AC5351" t="str">
        <f>IF(Z5351="","",COUNTIF(#REF!,Z5351))</f>
        <v/>
      </c>
      <c r="AD5351" t="str">
        <f>IF(A5351="","",IF(AC5351&gt;1,"REVISAR DUPLICADO",IF(AA5351&lt;&gt;"","ACTUALIZADO POR EYR","SIN REPORTE EYR")))</f>
        <v/>
      </c>
    </row>
    <row r="5352" spans="11:30" x14ac:dyDescent="0.3">
      <c r="K5352" s="1" t="str">
        <f ca="1">IF(A5352="","",IF(OR(L5352="ENTREGADA",L5352="RETORNADA",L5352="ENTREGA DIGITAL"),0,MAX(0,5-NETWORKDAYS(H5352+1,TODAY()))))</f>
        <v/>
      </c>
      <c r="L5352" t="str">
        <f>IF(A5352="","",IFERROR(LOOKUP(2,1/(#REF!=Z5352),#REF!),Y5352))</f>
        <v/>
      </c>
      <c r="Z5352" t="str">
        <f>IF(A5352="","",TEXT(A5352,"0")&amp;"|"&amp;TEXT(H5352,"0"))</f>
        <v/>
      </c>
      <c r="AA5352" t="str">
        <f>IF(Z5352="","",IFERROR(LOOKUP(2,1/(#REF!=Z5352),#REF!),""))</f>
        <v/>
      </c>
      <c r="AB5352" t="str">
        <f>IF(Z5352="","",IFERROR(LOOKUP(2,1/(#REF!=Z5352),#REF!),""))</f>
        <v/>
      </c>
      <c r="AC5352" t="str">
        <f>IF(Z5352="","",COUNTIF(#REF!,Z5352))</f>
        <v/>
      </c>
      <c r="AD5352" t="str">
        <f>IF(A5352="","",IF(AC5352&gt;1,"REVISAR DUPLICADO",IF(AA5352&lt;&gt;"","ACTUALIZADO POR EYR","SIN REPORTE EYR")))</f>
        <v/>
      </c>
    </row>
    <row r="5353" spans="11:30" x14ac:dyDescent="0.3">
      <c r="K5353" s="1" t="str">
        <f ca="1">IF(A5353="","",IF(OR(L5353="ENTREGADA",L5353="RETORNADA",L5353="ENTREGA DIGITAL"),0,MAX(0,5-NETWORKDAYS(H5353+1,TODAY()))))</f>
        <v/>
      </c>
      <c r="L5353" t="str">
        <f>IF(A5353="","",IFERROR(LOOKUP(2,1/(#REF!=Z5353),#REF!),Y5353))</f>
        <v/>
      </c>
      <c r="Z5353" t="str">
        <f>IF(A5353="","",TEXT(A5353,"0")&amp;"|"&amp;TEXT(H5353,"0"))</f>
        <v/>
      </c>
      <c r="AA5353" t="str">
        <f>IF(Z5353="","",IFERROR(LOOKUP(2,1/(#REF!=Z5353),#REF!),""))</f>
        <v/>
      </c>
      <c r="AB5353" t="str">
        <f>IF(Z5353="","",IFERROR(LOOKUP(2,1/(#REF!=Z5353),#REF!),""))</f>
        <v/>
      </c>
      <c r="AC5353" t="str">
        <f>IF(Z5353="","",COUNTIF(#REF!,Z5353))</f>
        <v/>
      </c>
      <c r="AD5353" t="str">
        <f>IF(A5353="","",IF(AC5353&gt;1,"REVISAR DUPLICADO",IF(AA5353&lt;&gt;"","ACTUALIZADO POR EYR","SIN REPORTE EYR")))</f>
        <v/>
      </c>
    </row>
    <row r="5354" spans="11:30" x14ac:dyDescent="0.3">
      <c r="K5354" s="1" t="str">
        <f ca="1">IF(A5354="","",IF(OR(L5354="ENTREGADA",L5354="RETORNADA",L5354="ENTREGA DIGITAL"),0,MAX(0,5-NETWORKDAYS(H5354+1,TODAY()))))</f>
        <v/>
      </c>
      <c r="L5354" t="str">
        <f>IF(A5354="","",IFERROR(LOOKUP(2,1/(#REF!=Z5354),#REF!),Y5354))</f>
        <v/>
      </c>
      <c r="Z5354" t="str">
        <f>IF(A5354="","",TEXT(A5354,"0")&amp;"|"&amp;TEXT(H5354,"0"))</f>
        <v/>
      </c>
      <c r="AA5354" t="str">
        <f>IF(Z5354="","",IFERROR(LOOKUP(2,1/(#REF!=Z5354),#REF!),""))</f>
        <v/>
      </c>
      <c r="AB5354" t="str">
        <f>IF(Z5354="","",IFERROR(LOOKUP(2,1/(#REF!=Z5354),#REF!),""))</f>
        <v/>
      </c>
      <c r="AC5354" t="str">
        <f>IF(Z5354="","",COUNTIF(#REF!,Z5354))</f>
        <v/>
      </c>
      <c r="AD5354" t="str">
        <f>IF(A5354="","",IF(AC5354&gt;1,"REVISAR DUPLICADO",IF(AA5354&lt;&gt;"","ACTUALIZADO POR EYR","SIN REPORTE EYR")))</f>
        <v/>
      </c>
    </row>
    <row r="5355" spans="11:30" x14ac:dyDescent="0.3">
      <c r="K5355" s="1" t="str">
        <f ca="1">IF(A5355="","",IF(OR(L5355="ENTREGADA",L5355="RETORNADA",L5355="ENTREGA DIGITAL"),0,MAX(0,5-NETWORKDAYS(H5355+1,TODAY()))))</f>
        <v/>
      </c>
      <c r="L5355" t="str">
        <f>IF(A5355="","",IFERROR(LOOKUP(2,1/(#REF!=Z5355),#REF!),Y5355))</f>
        <v/>
      </c>
      <c r="Z5355" t="str">
        <f>IF(A5355="","",TEXT(A5355,"0")&amp;"|"&amp;TEXT(H5355,"0"))</f>
        <v/>
      </c>
      <c r="AA5355" t="str">
        <f>IF(Z5355="","",IFERROR(LOOKUP(2,1/(#REF!=Z5355),#REF!),""))</f>
        <v/>
      </c>
      <c r="AB5355" t="str">
        <f>IF(Z5355="","",IFERROR(LOOKUP(2,1/(#REF!=Z5355),#REF!),""))</f>
        <v/>
      </c>
      <c r="AC5355" t="str">
        <f>IF(Z5355="","",COUNTIF(#REF!,Z5355))</f>
        <v/>
      </c>
      <c r="AD5355" t="str">
        <f>IF(A5355="","",IF(AC5355&gt;1,"REVISAR DUPLICADO",IF(AA5355&lt;&gt;"","ACTUALIZADO POR EYR","SIN REPORTE EYR")))</f>
        <v/>
      </c>
    </row>
    <row r="5356" spans="11:30" x14ac:dyDescent="0.3">
      <c r="K5356" s="1" t="str">
        <f ca="1">IF(A5356="","",IF(OR(L5356="ENTREGADA",L5356="RETORNADA",L5356="ENTREGA DIGITAL"),0,MAX(0,5-NETWORKDAYS(H5356+1,TODAY()))))</f>
        <v/>
      </c>
      <c r="L5356" t="str">
        <f>IF(A5356="","",IFERROR(LOOKUP(2,1/(#REF!=Z5356),#REF!),Y5356))</f>
        <v/>
      </c>
      <c r="Z5356" t="str">
        <f>IF(A5356="","",TEXT(A5356,"0")&amp;"|"&amp;TEXT(H5356,"0"))</f>
        <v/>
      </c>
      <c r="AA5356" t="str">
        <f>IF(Z5356="","",IFERROR(LOOKUP(2,1/(#REF!=Z5356),#REF!),""))</f>
        <v/>
      </c>
      <c r="AB5356" t="str">
        <f>IF(Z5356="","",IFERROR(LOOKUP(2,1/(#REF!=Z5356),#REF!),""))</f>
        <v/>
      </c>
      <c r="AC5356" t="str">
        <f>IF(Z5356="","",COUNTIF(#REF!,Z5356))</f>
        <v/>
      </c>
      <c r="AD5356" t="str">
        <f>IF(A5356="","",IF(AC5356&gt;1,"REVISAR DUPLICADO",IF(AA5356&lt;&gt;"","ACTUALIZADO POR EYR","SIN REPORTE EYR")))</f>
        <v/>
      </c>
    </row>
    <row r="5357" spans="11:30" x14ac:dyDescent="0.3">
      <c r="K5357" s="1" t="str">
        <f ca="1">IF(A5357="","",IF(OR(L5357="ENTREGADA",L5357="RETORNADA",L5357="ENTREGA DIGITAL"),0,MAX(0,5-NETWORKDAYS(H5357+1,TODAY()))))</f>
        <v/>
      </c>
      <c r="L5357" t="str">
        <f>IF(A5357="","",IFERROR(LOOKUP(2,1/(#REF!=Z5357),#REF!),Y5357))</f>
        <v/>
      </c>
      <c r="Z5357" t="str">
        <f>IF(A5357="","",TEXT(A5357,"0")&amp;"|"&amp;TEXT(H5357,"0"))</f>
        <v/>
      </c>
      <c r="AA5357" t="str">
        <f>IF(Z5357="","",IFERROR(LOOKUP(2,1/(#REF!=Z5357),#REF!),""))</f>
        <v/>
      </c>
      <c r="AB5357" t="str">
        <f>IF(Z5357="","",IFERROR(LOOKUP(2,1/(#REF!=Z5357),#REF!),""))</f>
        <v/>
      </c>
      <c r="AC5357" t="str">
        <f>IF(Z5357="","",COUNTIF(#REF!,Z5357))</f>
        <v/>
      </c>
      <c r="AD5357" t="str">
        <f>IF(A5357="","",IF(AC5357&gt;1,"REVISAR DUPLICADO",IF(AA5357&lt;&gt;"","ACTUALIZADO POR EYR","SIN REPORTE EYR")))</f>
        <v/>
      </c>
    </row>
    <row r="5358" spans="11:30" x14ac:dyDescent="0.3">
      <c r="K5358" s="1" t="str">
        <f ca="1">IF(A5358="","",IF(OR(L5358="ENTREGADA",L5358="RETORNADA",L5358="ENTREGA DIGITAL"),0,MAX(0,5-NETWORKDAYS(H5358+1,TODAY()))))</f>
        <v/>
      </c>
      <c r="L5358" t="str">
        <f>IF(A5358="","",IFERROR(LOOKUP(2,1/(#REF!=Z5358),#REF!),Y5358))</f>
        <v/>
      </c>
      <c r="Z5358" t="str">
        <f>IF(A5358="","",TEXT(A5358,"0")&amp;"|"&amp;TEXT(H5358,"0"))</f>
        <v/>
      </c>
      <c r="AA5358" t="str">
        <f>IF(Z5358="","",IFERROR(LOOKUP(2,1/(#REF!=Z5358),#REF!),""))</f>
        <v/>
      </c>
      <c r="AB5358" t="str">
        <f>IF(Z5358="","",IFERROR(LOOKUP(2,1/(#REF!=Z5358),#REF!),""))</f>
        <v/>
      </c>
      <c r="AC5358" t="str">
        <f>IF(Z5358="","",COUNTIF(#REF!,Z5358))</f>
        <v/>
      </c>
      <c r="AD5358" t="str">
        <f>IF(A5358="","",IF(AC5358&gt;1,"REVISAR DUPLICADO",IF(AA5358&lt;&gt;"","ACTUALIZADO POR EYR","SIN REPORTE EYR")))</f>
        <v/>
      </c>
    </row>
    <row r="5359" spans="11:30" x14ac:dyDescent="0.3">
      <c r="K5359" s="1" t="str">
        <f ca="1">IF(A5359="","",IF(OR(L5359="ENTREGADA",L5359="RETORNADA",L5359="ENTREGA DIGITAL"),0,MAX(0,5-NETWORKDAYS(H5359+1,TODAY()))))</f>
        <v/>
      </c>
      <c r="L5359" t="str">
        <f>IF(A5359="","",IFERROR(LOOKUP(2,1/(#REF!=Z5359),#REF!),Y5359))</f>
        <v/>
      </c>
      <c r="Z5359" t="str">
        <f>IF(A5359="","",TEXT(A5359,"0")&amp;"|"&amp;TEXT(H5359,"0"))</f>
        <v/>
      </c>
      <c r="AA5359" t="str">
        <f>IF(Z5359="","",IFERROR(LOOKUP(2,1/(#REF!=Z5359),#REF!),""))</f>
        <v/>
      </c>
      <c r="AB5359" t="str">
        <f>IF(Z5359="","",IFERROR(LOOKUP(2,1/(#REF!=Z5359),#REF!),""))</f>
        <v/>
      </c>
      <c r="AC5359" t="str">
        <f>IF(Z5359="","",COUNTIF(#REF!,Z5359))</f>
        <v/>
      </c>
      <c r="AD5359" t="str">
        <f>IF(A5359="","",IF(AC5359&gt;1,"REVISAR DUPLICADO",IF(AA5359&lt;&gt;"","ACTUALIZADO POR EYR","SIN REPORTE EYR")))</f>
        <v/>
      </c>
    </row>
    <row r="5360" spans="11:30" x14ac:dyDescent="0.3">
      <c r="K5360" s="1" t="str">
        <f ca="1">IF(A5360="","",IF(OR(L5360="ENTREGADA",L5360="RETORNADA",L5360="ENTREGA DIGITAL"),0,MAX(0,5-NETWORKDAYS(H5360+1,TODAY()))))</f>
        <v/>
      </c>
      <c r="L5360" t="str">
        <f>IF(A5360="","",IFERROR(LOOKUP(2,1/(#REF!=Z5360),#REF!),Y5360))</f>
        <v/>
      </c>
      <c r="Z5360" t="str">
        <f>IF(A5360="","",TEXT(A5360,"0")&amp;"|"&amp;TEXT(H5360,"0"))</f>
        <v/>
      </c>
      <c r="AA5360" t="str">
        <f>IF(Z5360="","",IFERROR(LOOKUP(2,1/(#REF!=Z5360),#REF!),""))</f>
        <v/>
      </c>
      <c r="AB5360" t="str">
        <f>IF(Z5360="","",IFERROR(LOOKUP(2,1/(#REF!=Z5360),#REF!),""))</f>
        <v/>
      </c>
      <c r="AC5360" t="str">
        <f>IF(Z5360="","",COUNTIF(#REF!,Z5360))</f>
        <v/>
      </c>
      <c r="AD5360" t="str">
        <f>IF(A5360="","",IF(AC5360&gt;1,"REVISAR DUPLICADO",IF(AA5360&lt;&gt;"","ACTUALIZADO POR EYR","SIN REPORTE EYR")))</f>
        <v/>
      </c>
    </row>
    <row r="5361" spans="11:30" x14ac:dyDescent="0.3">
      <c r="K5361" s="1" t="str">
        <f ca="1">IF(A5361="","",IF(OR(L5361="ENTREGADA",L5361="RETORNADA",L5361="ENTREGA DIGITAL"),0,MAX(0,5-NETWORKDAYS(H5361+1,TODAY()))))</f>
        <v/>
      </c>
      <c r="L5361" t="str">
        <f>IF(A5361="","",IFERROR(LOOKUP(2,1/(#REF!=Z5361),#REF!),Y5361))</f>
        <v/>
      </c>
      <c r="Z5361" t="str">
        <f>IF(A5361="","",TEXT(A5361,"0")&amp;"|"&amp;TEXT(H5361,"0"))</f>
        <v/>
      </c>
      <c r="AA5361" t="str">
        <f>IF(Z5361="","",IFERROR(LOOKUP(2,1/(#REF!=Z5361),#REF!),""))</f>
        <v/>
      </c>
      <c r="AB5361" t="str">
        <f>IF(Z5361="","",IFERROR(LOOKUP(2,1/(#REF!=Z5361),#REF!),""))</f>
        <v/>
      </c>
      <c r="AC5361" t="str">
        <f>IF(Z5361="","",COUNTIF(#REF!,Z5361))</f>
        <v/>
      </c>
      <c r="AD5361" t="str">
        <f>IF(A5361="","",IF(AC5361&gt;1,"REVISAR DUPLICADO",IF(AA5361&lt;&gt;"","ACTUALIZADO POR EYR","SIN REPORTE EYR")))</f>
        <v/>
      </c>
    </row>
    <row r="5362" spans="11:30" x14ac:dyDescent="0.3">
      <c r="K5362" s="1" t="str">
        <f ca="1">IF(A5362="","",IF(OR(L5362="ENTREGADA",L5362="RETORNADA",L5362="ENTREGA DIGITAL"),0,MAX(0,5-NETWORKDAYS(H5362+1,TODAY()))))</f>
        <v/>
      </c>
      <c r="L5362" t="str">
        <f>IF(A5362="","",IFERROR(LOOKUP(2,1/(#REF!=Z5362),#REF!),Y5362))</f>
        <v/>
      </c>
      <c r="Z5362" t="str">
        <f>IF(A5362="","",TEXT(A5362,"0")&amp;"|"&amp;TEXT(H5362,"0"))</f>
        <v/>
      </c>
      <c r="AA5362" t="str">
        <f>IF(Z5362="","",IFERROR(LOOKUP(2,1/(#REF!=Z5362),#REF!),""))</f>
        <v/>
      </c>
      <c r="AB5362" t="str">
        <f>IF(Z5362="","",IFERROR(LOOKUP(2,1/(#REF!=Z5362),#REF!),""))</f>
        <v/>
      </c>
      <c r="AC5362" t="str">
        <f>IF(Z5362="","",COUNTIF(#REF!,Z5362))</f>
        <v/>
      </c>
      <c r="AD5362" t="str">
        <f>IF(A5362="","",IF(AC5362&gt;1,"REVISAR DUPLICADO",IF(AA5362&lt;&gt;"","ACTUALIZADO POR EYR","SIN REPORTE EYR")))</f>
        <v/>
      </c>
    </row>
    <row r="5363" spans="11:30" x14ac:dyDescent="0.3">
      <c r="K5363" s="1" t="str">
        <f ca="1">IF(A5363="","",IF(OR(L5363="ENTREGADA",L5363="RETORNADA",L5363="ENTREGA DIGITAL"),0,MAX(0,5-NETWORKDAYS(H5363+1,TODAY()))))</f>
        <v/>
      </c>
      <c r="L5363" t="str">
        <f>IF(A5363="","",IFERROR(LOOKUP(2,1/(#REF!=Z5363),#REF!),Y5363))</f>
        <v/>
      </c>
      <c r="Z5363" t="str">
        <f>IF(A5363="","",TEXT(A5363,"0")&amp;"|"&amp;TEXT(H5363,"0"))</f>
        <v/>
      </c>
      <c r="AA5363" t="str">
        <f>IF(Z5363="","",IFERROR(LOOKUP(2,1/(#REF!=Z5363),#REF!),""))</f>
        <v/>
      </c>
      <c r="AB5363" t="str">
        <f>IF(Z5363="","",IFERROR(LOOKUP(2,1/(#REF!=Z5363),#REF!),""))</f>
        <v/>
      </c>
      <c r="AC5363" t="str">
        <f>IF(Z5363="","",COUNTIF(#REF!,Z5363))</f>
        <v/>
      </c>
      <c r="AD5363" t="str">
        <f>IF(A5363="","",IF(AC5363&gt;1,"REVISAR DUPLICADO",IF(AA5363&lt;&gt;"","ACTUALIZADO POR EYR","SIN REPORTE EYR")))</f>
        <v/>
      </c>
    </row>
    <row r="5364" spans="11:30" x14ac:dyDescent="0.3">
      <c r="K5364" s="1" t="str">
        <f ca="1">IF(A5364="","",IF(OR(L5364="ENTREGADA",L5364="RETORNADA",L5364="ENTREGA DIGITAL"),0,MAX(0,5-NETWORKDAYS(H5364+1,TODAY()))))</f>
        <v/>
      </c>
      <c r="L5364" t="str">
        <f>IF(A5364="","",IFERROR(LOOKUP(2,1/(#REF!=Z5364),#REF!),Y5364))</f>
        <v/>
      </c>
      <c r="Z5364" t="str">
        <f>IF(A5364="","",TEXT(A5364,"0")&amp;"|"&amp;TEXT(H5364,"0"))</f>
        <v/>
      </c>
      <c r="AA5364" t="str">
        <f>IF(Z5364="","",IFERROR(LOOKUP(2,1/(#REF!=Z5364),#REF!),""))</f>
        <v/>
      </c>
      <c r="AB5364" t="str">
        <f>IF(Z5364="","",IFERROR(LOOKUP(2,1/(#REF!=Z5364),#REF!),""))</f>
        <v/>
      </c>
      <c r="AC5364" t="str">
        <f>IF(Z5364="","",COUNTIF(#REF!,Z5364))</f>
        <v/>
      </c>
      <c r="AD5364" t="str">
        <f>IF(A5364="","",IF(AC5364&gt;1,"REVISAR DUPLICADO",IF(AA5364&lt;&gt;"","ACTUALIZADO POR EYR","SIN REPORTE EYR")))</f>
        <v/>
      </c>
    </row>
    <row r="5365" spans="11:30" x14ac:dyDescent="0.3">
      <c r="K5365" s="1" t="str">
        <f ca="1">IF(A5365="","",IF(OR(L5365="ENTREGADA",L5365="RETORNADA",L5365="ENTREGA DIGITAL"),0,MAX(0,5-NETWORKDAYS(H5365+1,TODAY()))))</f>
        <v/>
      </c>
      <c r="L5365" t="str">
        <f>IF(A5365="","",IFERROR(LOOKUP(2,1/(#REF!=Z5365),#REF!),Y5365))</f>
        <v/>
      </c>
      <c r="Z5365" t="str">
        <f>IF(A5365="","",TEXT(A5365,"0")&amp;"|"&amp;TEXT(H5365,"0"))</f>
        <v/>
      </c>
      <c r="AA5365" t="str">
        <f>IF(Z5365="","",IFERROR(LOOKUP(2,1/(#REF!=Z5365),#REF!),""))</f>
        <v/>
      </c>
      <c r="AB5365" t="str">
        <f>IF(Z5365="","",IFERROR(LOOKUP(2,1/(#REF!=Z5365),#REF!),""))</f>
        <v/>
      </c>
      <c r="AC5365" t="str">
        <f>IF(Z5365="","",COUNTIF(#REF!,Z5365))</f>
        <v/>
      </c>
      <c r="AD5365" t="str">
        <f>IF(A5365="","",IF(AC5365&gt;1,"REVISAR DUPLICADO",IF(AA5365&lt;&gt;"","ACTUALIZADO POR EYR","SIN REPORTE EYR")))</f>
        <v/>
      </c>
    </row>
    <row r="5366" spans="11:30" x14ac:dyDescent="0.3">
      <c r="K5366" s="1" t="str">
        <f ca="1">IF(A5366="","",IF(OR(L5366="ENTREGADA",L5366="RETORNADA",L5366="ENTREGA DIGITAL"),0,MAX(0,5-NETWORKDAYS(H5366+1,TODAY()))))</f>
        <v/>
      </c>
      <c r="L5366" t="str">
        <f>IF(A5366="","",IFERROR(LOOKUP(2,1/(#REF!=Z5366),#REF!),Y5366))</f>
        <v/>
      </c>
      <c r="Z5366" t="str">
        <f>IF(A5366="","",TEXT(A5366,"0")&amp;"|"&amp;TEXT(H5366,"0"))</f>
        <v/>
      </c>
      <c r="AA5366" t="str">
        <f>IF(Z5366="","",IFERROR(LOOKUP(2,1/(#REF!=Z5366),#REF!),""))</f>
        <v/>
      </c>
      <c r="AB5366" t="str">
        <f>IF(Z5366="","",IFERROR(LOOKUP(2,1/(#REF!=Z5366),#REF!),""))</f>
        <v/>
      </c>
      <c r="AC5366" t="str">
        <f>IF(Z5366="","",COUNTIF(#REF!,Z5366))</f>
        <v/>
      </c>
      <c r="AD5366" t="str">
        <f>IF(A5366="","",IF(AC5366&gt;1,"REVISAR DUPLICADO",IF(AA5366&lt;&gt;"","ACTUALIZADO POR EYR","SIN REPORTE EYR")))</f>
        <v/>
      </c>
    </row>
    <row r="5367" spans="11:30" x14ac:dyDescent="0.3">
      <c r="K5367" s="1" t="str">
        <f ca="1">IF(A5367="","",IF(OR(L5367="ENTREGADA",L5367="RETORNADA",L5367="ENTREGA DIGITAL"),0,MAX(0,5-NETWORKDAYS(H5367+1,TODAY()))))</f>
        <v/>
      </c>
      <c r="L5367" t="str">
        <f>IF(A5367="","",IFERROR(LOOKUP(2,1/(#REF!=Z5367),#REF!),Y5367))</f>
        <v/>
      </c>
      <c r="Z5367" t="str">
        <f>IF(A5367="","",TEXT(A5367,"0")&amp;"|"&amp;TEXT(H5367,"0"))</f>
        <v/>
      </c>
      <c r="AA5367" t="str">
        <f>IF(Z5367="","",IFERROR(LOOKUP(2,1/(#REF!=Z5367),#REF!),""))</f>
        <v/>
      </c>
      <c r="AB5367" t="str">
        <f>IF(Z5367="","",IFERROR(LOOKUP(2,1/(#REF!=Z5367),#REF!),""))</f>
        <v/>
      </c>
      <c r="AC5367" t="str">
        <f>IF(Z5367="","",COUNTIF(#REF!,Z5367))</f>
        <v/>
      </c>
      <c r="AD5367" t="str">
        <f>IF(A5367="","",IF(AC5367&gt;1,"REVISAR DUPLICADO",IF(AA5367&lt;&gt;"","ACTUALIZADO POR EYR","SIN REPORTE EYR")))</f>
        <v/>
      </c>
    </row>
    <row r="5368" spans="11:30" x14ac:dyDescent="0.3">
      <c r="K5368" s="1" t="str">
        <f ca="1">IF(A5368="","",IF(OR(L5368="ENTREGADA",L5368="RETORNADA",L5368="ENTREGA DIGITAL"),0,MAX(0,5-NETWORKDAYS(H5368+1,TODAY()))))</f>
        <v/>
      </c>
      <c r="L5368" t="str">
        <f>IF(A5368="","",IFERROR(LOOKUP(2,1/(#REF!=Z5368),#REF!),Y5368))</f>
        <v/>
      </c>
      <c r="Z5368" t="str">
        <f>IF(A5368="","",TEXT(A5368,"0")&amp;"|"&amp;TEXT(H5368,"0"))</f>
        <v/>
      </c>
      <c r="AA5368" t="str">
        <f>IF(Z5368="","",IFERROR(LOOKUP(2,1/(#REF!=Z5368),#REF!),""))</f>
        <v/>
      </c>
      <c r="AB5368" t="str">
        <f>IF(Z5368="","",IFERROR(LOOKUP(2,1/(#REF!=Z5368),#REF!),""))</f>
        <v/>
      </c>
      <c r="AC5368" t="str">
        <f>IF(Z5368="","",COUNTIF(#REF!,Z5368))</f>
        <v/>
      </c>
      <c r="AD5368" t="str">
        <f>IF(A5368="","",IF(AC5368&gt;1,"REVISAR DUPLICADO",IF(AA5368&lt;&gt;"","ACTUALIZADO POR EYR","SIN REPORTE EYR")))</f>
        <v/>
      </c>
    </row>
    <row r="5369" spans="11:30" x14ac:dyDescent="0.3">
      <c r="K5369" s="1" t="str">
        <f ca="1">IF(A5369="","",IF(OR(L5369="ENTREGADA",L5369="RETORNADA",L5369="ENTREGA DIGITAL"),0,MAX(0,5-NETWORKDAYS(H5369+1,TODAY()))))</f>
        <v/>
      </c>
      <c r="L5369" t="str">
        <f>IF(A5369="","",IFERROR(LOOKUP(2,1/(#REF!=Z5369),#REF!),Y5369))</f>
        <v/>
      </c>
      <c r="Z5369" t="str">
        <f>IF(A5369="","",TEXT(A5369,"0")&amp;"|"&amp;TEXT(H5369,"0"))</f>
        <v/>
      </c>
      <c r="AA5369" t="str">
        <f>IF(Z5369="","",IFERROR(LOOKUP(2,1/(#REF!=Z5369),#REF!),""))</f>
        <v/>
      </c>
      <c r="AB5369" t="str">
        <f>IF(Z5369="","",IFERROR(LOOKUP(2,1/(#REF!=Z5369),#REF!),""))</f>
        <v/>
      </c>
      <c r="AC5369" t="str">
        <f>IF(Z5369="","",COUNTIF(#REF!,Z5369))</f>
        <v/>
      </c>
      <c r="AD5369" t="str">
        <f>IF(A5369="","",IF(AC5369&gt;1,"REVISAR DUPLICADO",IF(AA5369&lt;&gt;"","ACTUALIZADO POR EYR","SIN REPORTE EYR")))</f>
        <v/>
      </c>
    </row>
    <row r="5370" spans="11:30" x14ac:dyDescent="0.3">
      <c r="K5370" s="1" t="str">
        <f ca="1">IF(A5370="","",IF(OR(L5370="ENTREGADA",L5370="RETORNADA",L5370="ENTREGA DIGITAL"),0,MAX(0,5-NETWORKDAYS(H5370+1,TODAY()))))</f>
        <v/>
      </c>
      <c r="L5370" t="str">
        <f>IF(A5370="","",IFERROR(LOOKUP(2,1/(#REF!=Z5370),#REF!),Y5370))</f>
        <v/>
      </c>
      <c r="Z5370" t="str">
        <f>IF(A5370="","",TEXT(A5370,"0")&amp;"|"&amp;TEXT(H5370,"0"))</f>
        <v/>
      </c>
      <c r="AA5370" t="str">
        <f>IF(Z5370="","",IFERROR(LOOKUP(2,1/(#REF!=Z5370),#REF!),""))</f>
        <v/>
      </c>
      <c r="AB5370" t="str">
        <f>IF(Z5370="","",IFERROR(LOOKUP(2,1/(#REF!=Z5370),#REF!),""))</f>
        <v/>
      </c>
      <c r="AC5370" t="str">
        <f>IF(Z5370="","",COUNTIF(#REF!,Z5370))</f>
        <v/>
      </c>
      <c r="AD5370" t="str">
        <f>IF(A5370="","",IF(AC5370&gt;1,"REVISAR DUPLICADO",IF(AA5370&lt;&gt;"","ACTUALIZADO POR EYR","SIN REPORTE EYR")))</f>
        <v/>
      </c>
    </row>
    <row r="5371" spans="11:30" x14ac:dyDescent="0.3">
      <c r="K5371" s="1" t="str">
        <f ca="1">IF(A5371="","",IF(OR(L5371="ENTREGADA",L5371="RETORNADA",L5371="ENTREGA DIGITAL"),0,MAX(0,5-NETWORKDAYS(H5371+1,TODAY()))))</f>
        <v/>
      </c>
      <c r="L5371" t="str">
        <f>IF(A5371="","",IFERROR(LOOKUP(2,1/(#REF!=Z5371),#REF!),Y5371))</f>
        <v/>
      </c>
      <c r="Z5371" t="str">
        <f>IF(A5371="","",TEXT(A5371,"0")&amp;"|"&amp;TEXT(H5371,"0"))</f>
        <v/>
      </c>
      <c r="AA5371" t="str">
        <f>IF(Z5371="","",IFERROR(LOOKUP(2,1/(#REF!=Z5371),#REF!),""))</f>
        <v/>
      </c>
      <c r="AB5371" t="str">
        <f>IF(Z5371="","",IFERROR(LOOKUP(2,1/(#REF!=Z5371),#REF!),""))</f>
        <v/>
      </c>
      <c r="AC5371" t="str">
        <f>IF(Z5371="","",COUNTIF(#REF!,Z5371))</f>
        <v/>
      </c>
      <c r="AD5371" t="str">
        <f>IF(A5371="","",IF(AC5371&gt;1,"REVISAR DUPLICADO",IF(AA5371&lt;&gt;"","ACTUALIZADO POR EYR","SIN REPORTE EYR")))</f>
        <v/>
      </c>
    </row>
    <row r="5372" spans="11:30" x14ac:dyDescent="0.3">
      <c r="K5372" s="1" t="str">
        <f ca="1">IF(A5372="","",IF(OR(L5372="ENTREGADA",L5372="RETORNADA",L5372="ENTREGA DIGITAL"),0,MAX(0,5-NETWORKDAYS(H5372+1,TODAY()))))</f>
        <v/>
      </c>
      <c r="L5372" t="str">
        <f>IF(A5372="","",IFERROR(LOOKUP(2,1/(#REF!=Z5372),#REF!),Y5372))</f>
        <v/>
      </c>
      <c r="Z5372" t="str">
        <f>IF(A5372="","",TEXT(A5372,"0")&amp;"|"&amp;TEXT(H5372,"0"))</f>
        <v/>
      </c>
      <c r="AA5372" t="str">
        <f>IF(Z5372="","",IFERROR(LOOKUP(2,1/(#REF!=Z5372),#REF!),""))</f>
        <v/>
      </c>
      <c r="AB5372" t="str">
        <f>IF(Z5372="","",IFERROR(LOOKUP(2,1/(#REF!=Z5372),#REF!),""))</f>
        <v/>
      </c>
      <c r="AC5372" t="str">
        <f>IF(Z5372="","",COUNTIF(#REF!,Z5372))</f>
        <v/>
      </c>
      <c r="AD5372" t="str">
        <f>IF(A5372="","",IF(AC5372&gt;1,"REVISAR DUPLICADO",IF(AA5372&lt;&gt;"","ACTUALIZADO POR EYR","SIN REPORTE EYR")))</f>
        <v/>
      </c>
    </row>
    <row r="5373" spans="11:30" x14ac:dyDescent="0.3">
      <c r="K5373" s="1" t="str">
        <f ca="1">IF(A5373="","",IF(OR(L5373="ENTREGADA",L5373="RETORNADA",L5373="ENTREGA DIGITAL"),0,MAX(0,5-NETWORKDAYS(H5373+1,TODAY()))))</f>
        <v/>
      </c>
      <c r="L5373" t="str">
        <f>IF(A5373="","",IFERROR(LOOKUP(2,1/(#REF!=Z5373),#REF!),Y5373))</f>
        <v/>
      </c>
      <c r="Z5373" t="str">
        <f>IF(A5373="","",TEXT(A5373,"0")&amp;"|"&amp;TEXT(H5373,"0"))</f>
        <v/>
      </c>
      <c r="AA5373" t="str">
        <f>IF(Z5373="","",IFERROR(LOOKUP(2,1/(#REF!=Z5373),#REF!),""))</f>
        <v/>
      </c>
      <c r="AB5373" t="str">
        <f>IF(Z5373="","",IFERROR(LOOKUP(2,1/(#REF!=Z5373),#REF!),""))</f>
        <v/>
      </c>
      <c r="AC5373" t="str">
        <f>IF(Z5373="","",COUNTIF(#REF!,Z5373))</f>
        <v/>
      </c>
      <c r="AD5373" t="str">
        <f>IF(A5373="","",IF(AC5373&gt;1,"REVISAR DUPLICADO",IF(AA5373&lt;&gt;"","ACTUALIZADO POR EYR","SIN REPORTE EYR")))</f>
        <v/>
      </c>
    </row>
    <row r="5374" spans="11:30" x14ac:dyDescent="0.3">
      <c r="K5374" s="1" t="str">
        <f ca="1">IF(A5374="","",IF(OR(L5374="ENTREGADA",L5374="RETORNADA",L5374="ENTREGA DIGITAL"),0,MAX(0,5-NETWORKDAYS(H5374+1,TODAY()))))</f>
        <v/>
      </c>
      <c r="L5374" t="str">
        <f>IF(A5374="","",IFERROR(LOOKUP(2,1/(#REF!=Z5374),#REF!),Y5374))</f>
        <v/>
      </c>
      <c r="Z5374" t="str">
        <f>IF(A5374="","",TEXT(A5374,"0")&amp;"|"&amp;TEXT(H5374,"0"))</f>
        <v/>
      </c>
      <c r="AA5374" t="str">
        <f>IF(Z5374="","",IFERROR(LOOKUP(2,1/(#REF!=Z5374),#REF!),""))</f>
        <v/>
      </c>
      <c r="AB5374" t="str">
        <f>IF(Z5374="","",IFERROR(LOOKUP(2,1/(#REF!=Z5374),#REF!),""))</f>
        <v/>
      </c>
      <c r="AC5374" t="str">
        <f>IF(Z5374="","",COUNTIF(#REF!,Z5374))</f>
        <v/>
      </c>
      <c r="AD5374" t="str">
        <f>IF(A5374="","",IF(AC5374&gt;1,"REVISAR DUPLICADO",IF(AA5374&lt;&gt;"","ACTUALIZADO POR EYR","SIN REPORTE EYR")))</f>
        <v/>
      </c>
    </row>
    <row r="5375" spans="11:30" x14ac:dyDescent="0.3">
      <c r="K5375" s="1" t="str">
        <f ca="1">IF(A5375="","",IF(OR(L5375="ENTREGADA",L5375="RETORNADA",L5375="ENTREGA DIGITAL"),0,MAX(0,5-NETWORKDAYS(H5375+1,TODAY()))))</f>
        <v/>
      </c>
      <c r="L5375" t="str">
        <f>IF(A5375="","",IFERROR(LOOKUP(2,1/(#REF!=Z5375),#REF!),Y5375))</f>
        <v/>
      </c>
      <c r="Z5375" t="str">
        <f>IF(A5375="","",TEXT(A5375,"0")&amp;"|"&amp;TEXT(H5375,"0"))</f>
        <v/>
      </c>
      <c r="AA5375" t="str">
        <f>IF(Z5375="","",IFERROR(LOOKUP(2,1/(#REF!=Z5375),#REF!),""))</f>
        <v/>
      </c>
      <c r="AB5375" t="str">
        <f>IF(Z5375="","",IFERROR(LOOKUP(2,1/(#REF!=Z5375),#REF!),""))</f>
        <v/>
      </c>
      <c r="AC5375" t="str">
        <f>IF(Z5375="","",COUNTIF(#REF!,Z5375))</f>
        <v/>
      </c>
      <c r="AD5375" t="str">
        <f>IF(A5375="","",IF(AC5375&gt;1,"REVISAR DUPLICADO",IF(AA5375&lt;&gt;"","ACTUALIZADO POR EYR","SIN REPORTE EYR")))</f>
        <v/>
      </c>
    </row>
    <row r="5376" spans="11:30" x14ac:dyDescent="0.3">
      <c r="K5376" s="1" t="str">
        <f ca="1">IF(A5376="","",IF(OR(L5376="ENTREGADA",L5376="RETORNADA",L5376="ENTREGA DIGITAL"),0,MAX(0,5-NETWORKDAYS(H5376+1,TODAY()))))</f>
        <v/>
      </c>
      <c r="L5376" t="str">
        <f>IF(A5376="","",IFERROR(LOOKUP(2,1/(#REF!=Z5376),#REF!),Y5376))</f>
        <v/>
      </c>
      <c r="Z5376" t="str">
        <f>IF(A5376="","",TEXT(A5376,"0")&amp;"|"&amp;TEXT(H5376,"0"))</f>
        <v/>
      </c>
      <c r="AA5376" t="str">
        <f>IF(Z5376="","",IFERROR(LOOKUP(2,1/(#REF!=Z5376),#REF!),""))</f>
        <v/>
      </c>
      <c r="AB5376" t="str">
        <f>IF(Z5376="","",IFERROR(LOOKUP(2,1/(#REF!=Z5376),#REF!),""))</f>
        <v/>
      </c>
      <c r="AC5376" t="str">
        <f>IF(Z5376="","",COUNTIF(#REF!,Z5376))</f>
        <v/>
      </c>
      <c r="AD5376" t="str">
        <f>IF(A5376="","",IF(AC5376&gt;1,"REVISAR DUPLICADO",IF(AA5376&lt;&gt;"","ACTUALIZADO POR EYR","SIN REPORTE EYR")))</f>
        <v/>
      </c>
    </row>
    <row r="5377" spans="11:30" x14ac:dyDescent="0.3">
      <c r="K5377" s="1" t="str">
        <f ca="1">IF(A5377="","",IF(OR(L5377="ENTREGADA",L5377="RETORNADA",L5377="ENTREGA DIGITAL"),0,MAX(0,5-NETWORKDAYS(H5377+1,TODAY()))))</f>
        <v/>
      </c>
      <c r="L5377" t="str">
        <f>IF(A5377="","",IFERROR(LOOKUP(2,1/(#REF!=Z5377),#REF!),Y5377))</f>
        <v/>
      </c>
      <c r="Z5377" t="str">
        <f>IF(A5377="","",TEXT(A5377,"0")&amp;"|"&amp;TEXT(H5377,"0"))</f>
        <v/>
      </c>
      <c r="AA5377" t="str">
        <f>IF(Z5377="","",IFERROR(LOOKUP(2,1/(#REF!=Z5377),#REF!),""))</f>
        <v/>
      </c>
      <c r="AB5377" t="str">
        <f>IF(Z5377="","",IFERROR(LOOKUP(2,1/(#REF!=Z5377),#REF!),""))</f>
        <v/>
      </c>
      <c r="AC5377" t="str">
        <f>IF(Z5377="","",COUNTIF(#REF!,Z5377))</f>
        <v/>
      </c>
      <c r="AD5377" t="str">
        <f>IF(A5377="","",IF(AC5377&gt;1,"REVISAR DUPLICADO",IF(AA5377&lt;&gt;"","ACTUALIZADO POR EYR","SIN REPORTE EYR")))</f>
        <v/>
      </c>
    </row>
    <row r="5378" spans="11:30" x14ac:dyDescent="0.3">
      <c r="K5378" s="1" t="str">
        <f ca="1">IF(A5378="","",IF(OR(L5378="ENTREGADA",L5378="RETORNADA",L5378="ENTREGA DIGITAL"),0,MAX(0,5-NETWORKDAYS(H5378+1,TODAY()))))</f>
        <v/>
      </c>
      <c r="L5378" t="str">
        <f>IF(A5378="","",IFERROR(LOOKUP(2,1/(#REF!=Z5378),#REF!),Y5378))</f>
        <v/>
      </c>
      <c r="Z5378" t="str">
        <f>IF(A5378="","",TEXT(A5378,"0")&amp;"|"&amp;TEXT(H5378,"0"))</f>
        <v/>
      </c>
      <c r="AA5378" t="str">
        <f>IF(Z5378="","",IFERROR(LOOKUP(2,1/(#REF!=Z5378),#REF!),""))</f>
        <v/>
      </c>
      <c r="AB5378" t="str">
        <f>IF(Z5378="","",IFERROR(LOOKUP(2,1/(#REF!=Z5378),#REF!),""))</f>
        <v/>
      </c>
      <c r="AC5378" t="str">
        <f>IF(Z5378="","",COUNTIF(#REF!,Z5378))</f>
        <v/>
      </c>
      <c r="AD5378" t="str">
        <f>IF(A5378="","",IF(AC5378&gt;1,"REVISAR DUPLICADO",IF(AA5378&lt;&gt;"","ACTUALIZADO POR EYR","SIN REPORTE EYR")))</f>
        <v/>
      </c>
    </row>
    <row r="5379" spans="11:30" x14ac:dyDescent="0.3">
      <c r="K5379" s="1" t="str">
        <f ca="1">IF(A5379="","",IF(OR(L5379="ENTREGADA",L5379="RETORNADA",L5379="ENTREGA DIGITAL"),0,MAX(0,5-NETWORKDAYS(H5379+1,TODAY()))))</f>
        <v/>
      </c>
      <c r="L5379" t="str">
        <f>IF(A5379="","",IFERROR(LOOKUP(2,1/(#REF!=Z5379),#REF!),Y5379))</f>
        <v/>
      </c>
      <c r="Z5379" t="str">
        <f>IF(A5379="","",TEXT(A5379,"0")&amp;"|"&amp;TEXT(H5379,"0"))</f>
        <v/>
      </c>
      <c r="AA5379" t="str">
        <f>IF(Z5379="","",IFERROR(LOOKUP(2,1/(#REF!=Z5379),#REF!),""))</f>
        <v/>
      </c>
      <c r="AB5379" t="str">
        <f>IF(Z5379="","",IFERROR(LOOKUP(2,1/(#REF!=Z5379),#REF!),""))</f>
        <v/>
      </c>
      <c r="AC5379" t="str">
        <f>IF(Z5379="","",COUNTIF(#REF!,Z5379))</f>
        <v/>
      </c>
      <c r="AD5379" t="str">
        <f>IF(A5379="","",IF(AC5379&gt;1,"REVISAR DUPLICADO",IF(AA5379&lt;&gt;"","ACTUALIZADO POR EYR","SIN REPORTE EYR")))</f>
        <v/>
      </c>
    </row>
    <row r="5380" spans="11:30" x14ac:dyDescent="0.3">
      <c r="K5380" s="1" t="str">
        <f ca="1">IF(A5380="","",IF(OR(L5380="ENTREGADA",L5380="RETORNADA",L5380="ENTREGA DIGITAL"),0,MAX(0,5-NETWORKDAYS(H5380+1,TODAY()))))</f>
        <v/>
      </c>
      <c r="L5380" t="str">
        <f>IF(A5380="","",IFERROR(LOOKUP(2,1/(#REF!=Z5380),#REF!),Y5380))</f>
        <v/>
      </c>
      <c r="Z5380" t="str">
        <f>IF(A5380="","",TEXT(A5380,"0")&amp;"|"&amp;TEXT(H5380,"0"))</f>
        <v/>
      </c>
      <c r="AA5380" t="str">
        <f>IF(Z5380="","",IFERROR(LOOKUP(2,1/(#REF!=Z5380),#REF!),""))</f>
        <v/>
      </c>
      <c r="AB5380" t="str">
        <f>IF(Z5380="","",IFERROR(LOOKUP(2,1/(#REF!=Z5380),#REF!),""))</f>
        <v/>
      </c>
      <c r="AC5380" t="str">
        <f>IF(Z5380="","",COUNTIF(#REF!,Z5380))</f>
        <v/>
      </c>
      <c r="AD5380" t="str">
        <f>IF(A5380="","",IF(AC5380&gt;1,"REVISAR DUPLICADO",IF(AA5380&lt;&gt;"","ACTUALIZADO POR EYR","SIN REPORTE EYR")))</f>
        <v/>
      </c>
    </row>
    <row r="5381" spans="11:30" x14ac:dyDescent="0.3">
      <c r="K5381" s="1" t="str">
        <f ca="1">IF(A5381="","",IF(OR(L5381="ENTREGADA",L5381="RETORNADA",L5381="ENTREGA DIGITAL"),0,MAX(0,5-NETWORKDAYS(H5381+1,TODAY()))))</f>
        <v/>
      </c>
      <c r="L5381" t="str">
        <f>IF(A5381="","",IFERROR(LOOKUP(2,1/(#REF!=Z5381),#REF!),Y5381))</f>
        <v/>
      </c>
      <c r="Z5381" t="str">
        <f>IF(A5381="","",TEXT(A5381,"0")&amp;"|"&amp;TEXT(H5381,"0"))</f>
        <v/>
      </c>
      <c r="AA5381" t="str">
        <f>IF(Z5381="","",IFERROR(LOOKUP(2,1/(#REF!=Z5381),#REF!),""))</f>
        <v/>
      </c>
      <c r="AB5381" t="str">
        <f>IF(Z5381="","",IFERROR(LOOKUP(2,1/(#REF!=Z5381),#REF!),""))</f>
        <v/>
      </c>
      <c r="AC5381" t="str">
        <f>IF(Z5381="","",COUNTIF(#REF!,Z5381))</f>
        <v/>
      </c>
      <c r="AD5381" t="str">
        <f>IF(A5381="","",IF(AC5381&gt;1,"REVISAR DUPLICADO",IF(AA5381&lt;&gt;"","ACTUALIZADO POR EYR","SIN REPORTE EYR")))</f>
        <v/>
      </c>
    </row>
    <row r="5382" spans="11:30" x14ac:dyDescent="0.3">
      <c r="K5382" s="1" t="str">
        <f ca="1">IF(A5382="","",IF(OR(L5382="ENTREGADA",L5382="RETORNADA",L5382="ENTREGA DIGITAL"),0,MAX(0,5-NETWORKDAYS(H5382+1,TODAY()))))</f>
        <v/>
      </c>
      <c r="L5382" t="str">
        <f>IF(A5382="","",IFERROR(LOOKUP(2,1/(#REF!=Z5382),#REF!),Y5382))</f>
        <v/>
      </c>
      <c r="Z5382" t="str">
        <f>IF(A5382="","",TEXT(A5382,"0")&amp;"|"&amp;TEXT(H5382,"0"))</f>
        <v/>
      </c>
      <c r="AA5382" t="str">
        <f>IF(Z5382="","",IFERROR(LOOKUP(2,1/(#REF!=Z5382),#REF!),""))</f>
        <v/>
      </c>
      <c r="AB5382" t="str">
        <f>IF(Z5382="","",IFERROR(LOOKUP(2,1/(#REF!=Z5382),#REF!),""))</f>
        <v/>
      </c>
      <c r="AC5382" t="str">
        <f>IF(Z5382="","",COUNTIF(#REF!,Z5382))</f>
        <v/>
      </c>
      <c r="AD5382" t="str">
        <f>IF(A5382="","",IF(AC5382&gt;1,"REVISAR DUPLICADO",IF(AA5382&lt;&gt;"","ACTUALIZADO POR EYR","SIN REPORTE EYR")))</f>
        <v/>
      </c>
    </row>
    <row r="5383" spans="11:30" x14ac:dyDescent="0.3">
      <c r="K5383" s="1" t="str">
        <f ca="1">IF(A5383="","",IF(OR(L5383="ENTREGADA",L5383="RETORNADA",L5383="ENTREGA DIGITAL"),0,MAX(0,5-NETWORKDAYS(H5383+1,TODAY()))))</f>
        <v/>
      </c>
      <c r="L5383" t="str">
        <f>IF(A5383="","",IFERROR(LOOKUP(2,1/(#REF!=Z5383),#REF!),Y5383))</f>
        <v/>
      </c>
      <c r="Z5383" t="str">
        <f>IF(A5383="","",TEXT(A5383,"0")&amp;"|"&amp;TEXT(H5383,"0"))</f>
        <v/>
      </c>
      <c r="AA5383" t="str">
        <f>IF(Z5383="","",IFERROR(LOOKUP(2,1/(#REF!=Z5383),#REF!),""))</f>
        <v/>
      </c>
      <c r="AB5383" t="str">
        <f>IF(Z5383="","",IFERROR(LOOKUP(2,1/(#REF!=Z5383),#REF!),""))</f>
        <v/>
      </c>
      <c r="AC5383" t="str">
        <f>IF(Z5383="","",COUNTIF(#REF!,Z5383))</f>
        <v/>
      </c>
      <c r="AD5383" t="str">
        <f>IF(A5383="","",IF(AC5383&gt;1,"REVISAR DUPLICADO",IF(AA5383&lt;&gt;"","ACTUALIZADO POR EYR","SIN REPORTE EYR")))</f>
        <v/>
      </c>
    </row>
    <row r="5384" spans="11:30" x14ac:dyDescent="0.3">
      <c r="K5384" s="1" t="str">
        <f ca="1">IF(A5384="","",IF(OR(L5384="ENTREGADA",L5384="RETORNADA",L5384="ENTREGA DIGITAL"),0,MAX(0,5-NETWORKDAYS(H5384+1,TODAY()))))</f>
        <v/>
      </c>
      <c r="L5384" t="str">
        <f>IF(A5384="","",IFERROR(LOOKUP(2,1/(#REF!=Z5384),#REF!),Y5384))</f>
        <v/>
      </c>
      <c r="Z5384" t="str">
        <f>IF(A5384="","",TEXT(A5384,"0")&amp;"|"&amp;TEXT(H5384,"0"))</f>
        <v/>
      </c>
      <c r="AA5384" t="str">
        <f>IF(Z5384="","",IFERROR(LOOKUP(2,1/(#REF!=Z5384),#REF!),""))</f>
        <v/>
      </c>
      <c r="AB5384" t="str">
        <f>IF(Z5384="","",IFERROR(LOOKUP(2,1/(#REF!=Z5384),#REF!),""))</f>
        <v/>
      </c>
      <c r="AC5384" t="str">
        <f>IF(Z5384="","",COUNTIF(#REF!,Z5384))</f>
        <v/>
      </c>
      <c r="AD5384" t="str">
        <f>IF(A5384="","",IF(AC5384&gt;1,"REVISAR DUPLICADO",IF(AA5384&lt;&gt;"","ACTUALIZADO POR EYR","SIN REPORTE EYR")))</f>
        <v/>
      </c>
    </row>
    <row r="5385" spans="11:30" x14ac:dyDescent="0.3">
      <c r="K5385" s="1" t="str">
        <f ca="1">IF(A5385="","",IF(OR(L5385="ENTREGADA",L5385="RETORNADA",L5385="ENTREGA DIGITAL"),0,MAX(0,5-NETWORKDAYS(H5385+1,TODAY()))))</f>
        <v/>
      </c>
      <c r="L5385" t="str">
        <f>IF(A5385="","",IFERROR(LOOKUP(2,1/(#REF!=Z5385),#REF!),Y5385))</f>
        <v/>
      </c>
      <c r="Z5385" t="str">
        <f>IF(A5385="","",TEXT(A5385,"0")&amp;"|"&amp;TEXT(H5385,"0"))</f>
        <v/>
      </c>
      <c r="AA5385" t="str">
        <f>IF(Z5385="","",IFERROR(LOOKUP(2,1/(#REF!=Z5385),#REF!),""))</f>
        <v/>
      </c>
      <c r="AB5385" t="str">
        <f>IF(Z5385="","",IFERROR(LOOKUP(2,1/(#REF!=Z5385),#REF!),""))</f>
        <v/>
      </c>
      <c r="AC5385" t="str">
        <f>IF(Z5385="","",COUNTIF(#REF!,Z5385))</f>
        <v/>
      </c>
      <c r="AD5385" t="str">
        <f>IF(A5385="","",IF(AC5385&gt;1,"REVISAR DUPLICADO",IF(AA5385&lt;&gt;"","ACTUALIZADO POR EYR","SIN REPORTE EYR")))</f>
        <v/>
      </c>
    </row>
    <row r="5386" spans="11:30" x14ac:dyDescent="0.3">
      <c r="K5386" s="1" t="str">
        <f ca="1">IF(A5386="","",IF(OR(L5386="ENTREGADA",L5386="RETORNADA",L5386="ENTREGA DIGITAL"),0,MAX(0,5-NETWORKDAYS(H5386+1,TODAY()))))</f>
        <v/>
      </c>
      <c r="L5386" t="str">
        <f>IF(A5386="","",IFERROR(LOOKUP(2,1/(#REF!=Z5386),#REF!),Y5386))</f>
        <v/>
      </c>
      <c r="Z5386" t="str">
        <f>IF(A5386="","",TEXT(A5386,"0")&amp;"|"&amp;TEXT(H5386,"0"))</f>
        <v/>
      </c>
      <c r="AA5386" t="str">
        <f>IF(Z5386="","",IFERROR(LOOKUP(2,1/(#REF!=Z5386),#REF!),""))</f>
        <v/>
      </c>
      <c r="AB5386" t="str">
        <f>IF(Z5386="","",IFERROR(LOOKUP(2,1/(#REF!=Z5386),#REF!),""))</f>
        <v/>
      </c>
      <c r="AC5386" t="str">
        <f>IF(Z5386="","",COUNTIF(#REF!,Z5386))</f>
        <v/>
      </c>
      <c r="AD5386" t="str">
        <f>IF(A5386="","",IF(AC5386&gt;1,"REVISAR DUPLICADO",IF(AA5386&lt;&gt;"","ACTUALIZADO POR EYR","SIN REPORTE EYR")))</f>
        <v/>
      </c>
    </row>
    <row r="5387" spans="11:30" x14ac:dyDescent="0.3">
      <c r="K5387" s="1" t="str">
        <f ca="1">IF(A5387="","",IF(OR(L5387="ENTREGADA",L5387="RETORNADA",L5387="ENTREGA DIGITAL"),0,MAX(0,5-NETWORKDAYS(H5387+1,TODAY()))))</f>
        <v/>
      </c>
      <c r="L5387" t="str">
        <f>IF(A5387="","",IFERROR(LOOKUP(2,1/(#REF!=Z5387),#REF!),Y5387))</f>
        <v/>
      </c>
      <c r="Z5387" t="str">
        <f>IF(A5387="","",TEXT(A5387,"0")&amp;"|"&amp;TEXT(H5387,"0"))</f>
        <v/>
      </c>
      <c r="AA5387" t="str">
        <f>IF(Z5387="","",IFERROR(LOOKUP(2,1/(#REF!=Z5387),#REF!),""))</f>
        <v/>
      </c>
      <c r="AB5387" t="str">
        <f>IF(Z5387="","",IFERROR(LOOKUP(2,1/(#REF!=Z5387),#REF!),""))</f>
        <v/>
      </c>
      <c r="AC5387" t="str">
        <f>IF(Z5387="","",COUNTIF(#REF!,Z5387))</f>
        <v/>
      </c>
      <c r="AD5387" t="str">
        <f>IF(A5387="","",IF(AC5387&gt;1,"REVISAR DUPLICADO",IF(AA5387&lt;&gt;"","ACTUALIZADO POR EYR","SIN REPORTE EYR")))</f>
        <v/>
      </c>
    </row>
    <row r="5388" spans="11:30" x14ac:dyDescent="0.3">
      <c r="K5388" s="1" t="str">
        <f ca="1">IF(A5388="","",IF(OR(L5388="ENTREGADA",L5388="RETORNADA",L5388="ENTREGA DIGITAL"),0,MAX(0,5-NETWORKDAYS(H5388+1,TODAY()))))</f>
        <v/>
      </c>
      <c r="L5388" t="str">
        <f>IF(A5388="","",IFERROR(LOOKUP(2,1/(#REF!=Z5388),#REF!),Y5388))</f>
        <v/>
      </c>
      <c r="Z5388" t="str">
        <f>IF(A5388="","",TEXT(A5388,"0")&amp;"|"&amp;TEXT(H5388,"0"))</f>
        <v/>
      </c>
      <c r="AA5388" t="str">
        <f>IF(Z5388="","",IFERROR(LOOKUP(2,1/(#REF!=Z5388),#REF!),""))</f>
        <v/>
      </c>
      <c r="AB5388" t="str">
        <f>IF(Z5388="","",IFERROR(LOOKUP(2,1/(#REF!=Z5388),#REF!),""))</f>
        <v/>
      </c>
      <c r="AC5388" t="str">
        <f>IF(Z5388="","",COUNTIF(#REF!,Z5388))</f>
        <v/>
      </c>
      <c r="AD5388" t="str">
        <f>IF(A5388="","",IF(AC5388&gt;1,"REVISAR DUPLICADO",IF(AA5388&lt;&gt;"","ACTUALIZADO POR EYR","SIN REPORTE EYR")))</f>
        <v/>
      </c>
    </row>
    <row r="5389" spans="11:30" x14ac:dyDescent="0.3">
      <c r="K5389" s="1" t="str">
        <f ca="1">IF(A5389="","",IF(OR(L5389="ENTREGADA",L5389="RETORNADA",L5389="ENTREGA DIGITAL"),0,MAX(0,5-NETWORKDAYS(H5389+1,TODAY()))))</f>
        <v/>
      </c>
      <c r="L5389" t="str">
        <f>IF(A5389="","",IFERROR(LOOKUP(2,1/(#REF!=Z5389),#REF!),Y5389))</f>
        <v/>
      </c>
      <c r="Z5389" t="str">
        <f>IF(A5389="","",TEXT(A5389,"0")&amp;"|"&amp;TEXT(H5389,"0"))</f>
        <v/>
      </c>
      <c r="AA5389" t="str">
        <f>IF(Z5389="","",IFERROR(LOOKUP(2,1/(#REF!=Z5389),#REF!),""))</f>
        <v/>
      </c>
      <c r="AB5389" t="str">
        <f>IF(Z5389="","",IFERROR(LOOKUP(2,1/(#REF!=Z5389),#REF!),""))</f>
        <v/>
      </c>
      <c r="AC5389" t="str">
        <f>IF(Z5389="","",COUNTIF(#REF!,Z5389))</f>
        <v/>
      </c>
      <c r="AD5389" t="str">
        <f>IF(A5389="","",IF(AC5389&gt;1,"REVISAR DUPLICADO",IF(AA5389&lt;&gt;"","ACTUALIZADO POR EYR","SIN REPORTE EYR")))</f>
        <v/>
      </c>
    </row>
    <row r="5390" spans="11:30" x14ac:dyDescent="0.3">
      <c r="K5390" s="1" t="str">
        <f ca="1">IF(A5390="","",IF(OR(L5390="ENTREGADA",L5390="RETORNADA",L5390="ENTREGA DIGITAL"),0,MAX(0,5-NETWORKDAYS(H5390+1,TODAY()))))</f>
        <v/>
      </c>
      <c r="L5390" t="str">
        <f>IF(A5390="","",IFERROR(LOOKUP(2,1/(#REF!=Z5390),#REF!),Y5390))</f>
        <v/>
      </c>
      <c r="Z5390" t="str">
        <f>IF(A5390="","",TEXT(A5390,"0")&amp;"|"&amp;TEXT(H5390,"0"))</f>
        <v/>
      </c>
      <c r="AA5390" t="str">
        <f>IF(Z5390="","",IFERROR(LOOKUP(2,1/(#REF!=Z5390),#REF!),""))</f>
        <v/>
      </c>
      <c r="AB5390" t="str">
        <f>IF(Z5390="","",IFERROR(LOOKUP(2,1/(#REF!=Z5390),#REF!),""))</f>
        <v/>
      </c>
      <c r="AC5390" t="str">
        <f>IF(Z5390="","",COUNTIF(#REF!,Z5390))</f>
        <v/>
      </c>
      <c r="AD5390" t="str">
        <f>IF(A5390="","",IF(AC5390&gt;1,"REVISAR DUPLICADO",IF(AA5390&lt;&gt;"","ACTUALIZADO POR EYR","SIN REPORTE EYR")))</f>
        <v/>
      </c>
    </row>
    <row r="5391" spans="11:30" x14ac:dyDescent="0.3">
      <c r="K5391" s="1" t="str">
        <f ca="1">IF(A5391="","",IF(OR(L5391="ENTREGADA",L5391="RETORNADA",L5391="ENTREGA DIGITAL"),0,MAX(0,5-NETWORKDAYS(H5391+1,TODAY()))))</f>
        <v/>
      </c>
      <c r="L5391" t="str">
        <f>IF(A5391="","",IFERROR(LOOKUP(2,1/(#REF!=Z5391),#REF!),Y5391))</f>
        <v/>
      </c>
      <c r="Z5391" t="str">
        <f>IF(A5391="","",TEXT(A5391,"0")&amp;"|"&amp;TEXT(H5391,"0"))</f>
        <v/>
      </c>
      <c r="AA5391" t="str">
        <f>IF(Z5391="","",IFERROR(LOOKUP(2,1/(#REF!=Z5391),#REF!),""))</f>
        <v/>
      </c>
      <c r="AB5391" t="str">
        <f>IF(Z5391="","",IFERROR(LOOKUP(2,1/(#REF!=Z5391),#REF!),""))</f>
        <v/>
      </c>
      <c r="AC5391" t="str">
        <f>IF(Z5391="","",COUNTIF(#REF!,Z5391))</f>
        <v/>
      </c>
      <c r="AD5391" t="str">
        <f>IF(A5391="","",IF(AC5391&gt;1,"REVISAR DUPLICADO",IF(AA5391&lt;&gt;"","ACTUALIZADO POR EYR","SIN REPORTE EYR")))</f>
        <v/>
      </c>
    </row>
    <row r="5392" spans="11:30" x14ac:dyDescent="0.3">
      <c r="K5392" s="1" t="str">
        <f ca="1">IF(A5392="","",IF(OR(L5392="ENTREGADA",L5392="RETORNADA",L5392="ENTREGA DIGITAL"),0,MAX(0,5-NETWORKDAYS(H5392+1,TODAY()))))</f>
        <v/>
      </c>
      <c r="L5392" t="str">
        <f>IF(A5392="","",IFERROR(LOOKUP(2,1/(#REF!=Z5392),#REF!),Y5392))</f>
        <v/>
      </c>
      <c r="Z5392" t="str">
        <f>IF(A5392="","",TEXT(A5392,"0")&amp;"|"&amp;TEXT(H5392,"0"))</f>
        <v/>
      </c>
      <c r="AA5392" t="str">
        <f>IF(Z5392="","",IFERROR(LOOKUP(2,1/(#REF!=Z5392),#REF!),""))</f>
        <v/>
      </c>
      <c r="AB5392" t="str">
        <f>IF(Z5392="","",IFERROR(LOOKUP(2,1/(#REF!=Z5392),#REF!),""))</f>
        <v/>
      </c>
      <c r="AC5392" t="str">
        <f>IF(Z5392="","",COUNTIF(#REF!,Z5392))</f>
        <v/>
      </c>
      <c r="AD5392" t="str">
        <f>IF(A5392="","",IF(AC5392&gt;1,"REVISAR DUPLICADO",IF(AA5392&lt;&gt;"","ACTUALIZADO POR EYR","SIN REPORTE EYR")))</f>
        <v/>
      </c>
    </row>
    <row r="5393" spans="11:30" x14ac:dyDescent="0.3">
      <c r="K5393" s="1" t="str">
        <f ca="1">IF(A5393="","",IF(OR(L5393="ENTREGADA",L5393="RETORNADA",L5393="ENTREGA DIGITAL"),0,MAX(0,5-NETWORKDAYS(H5393+1,TODAY()))))</f>
        <v/>
      </c>
      <c r="L5393" t="str">
        <f>IF(A5393="","",IFERROR(LOOKUP(2,1/(#REF!=Z5393),#REF!),Y5393))</f>
        <v/>
      </c>
      <c r="Z5393" t="str">
        <f>IF(A5393="","",TEXT(A5393,"0")&amp;"|"&amp;TEXT(H5393,"0"))</f>
        <v/>
      </c>
      <c r="AA5393" t="str">
        <f>IF(Z5393="","",IFERROR(LOOKUP(2,1/(#REF!=Z5393),#REF!),""))</f>
        <v/>
      </c>
      <c r="AB5393" t="str">
        <f>IF(Z5393="","",IFERROR(LOOKUP(2,1/(#REF!=Z5393),#REF!),""))</f>
        <v/>
      </c>
      <c r="AC5393" t="str">
        <f>IF(Z5393="","",COUNTIF(#REF!,Z5393))</f>
        <v/>
      </c>
      <c r="AD5393" t="str">
        <f>IF(A5393="","",IF(AC5393&gt;1,"REVISAR DUPLICADO",IF(AA5393&lt;&gt;"","ACTUALIZADO POR EYR","SIN REPORTE EYR")))</f>
        <v/>
      </c>
    </row>
    <row r="5394" spans="11:30" x14ac:dyDescent="0.3">
      <c r="K5394" s="1" t="str">
        <f ca="1">IF(A5394="","",IF(OR(L5394="ENTREGADA",L5394="RETORNADA",L5394="ENTREGA DIGITAL"),0,MAX(0,5-NETWORKDAYS(H5394+1,TODAY()))))</f>
        <v/>
      </c>
      <c r="L5394" t="str">
        <f>IF(A5394="","",IFERROR(LOOKUP(2,1/(#REF!=Z5394),#REF!),Y5394))</f>
        <v/>
      </c>
      <c r="Z5394" t="str">
        <f>IF(A5394="","",TEXT(A5394,"0")&amp;"|"&amp;TEXT(H5394,"0"))</f>
        <v/>
      </c>
      <c r="AA5394" t="str">
        <f>IF(Z5394="","",IFERROR(LOOKUP(2,1/(#REF!=Z5394),#REF!),""))</f>
        <v/>
      </c>
      <c r="AB5394" t="str">
        <f>IF(Z5394="","",IFERROR(LOOKUP(2,1/(#REF!=Z5394),#REF!),""))</f>
        <v/>
      </c>
      <c r="AC5394" t="str">
        <f>IF(Z5394="","",COUNTIF(#REF!,Z5394))</f>
        <v/>
      </c>
      <c r="AD5394" t="str">
        <f>IF(A5394="","",IF(AC5394&gt;1,"REVISAR DUPLICADO",IF(AA5394&lt;&gt;"","ACTUALIZADO POR EYR","SIN REPORTE EYR")))</f>
        <v/>
      </c>
    </row>
    <row r="5395" spans="11:30" x14ac:dyDescent="0.3">
      <c r="K5395" s="1" t="str">
        <f ca="1">IF(A5395="","",IF(OR(L5395="ENTREGADA",L5395="RETORNADA",L5395="ENTREGA DIGITAL"),0,MAX(0,5-NETWORKDAYS(H5395+1,TODAY()))))</f>
        <v/>
      </c>
      <c r="L5395" t="str">
        <f>IF(A5395="","",IFERROR(LOOKUP(2,1/(#REF!=Z5395),#REF!),Y5395))</f>
        <v/>
      </c>
      <c r="Z5395" t="str">
        <f>IF(A5395="","",TEXT(A5395,"0")&amp;"|"&amp;TEXT(H5395,"0"))</f>
        <v/>
      </c>
      <c r="AA5395" t="str">
        <f>IF(Z5395="","",IFERROR(LOOKUP(2,1/(#REF!=Z5395),#REF!),""))</f>
        <v/>
      </c>
      <c r="AB5395" t="str">
        <f>IF(Z5395="","",IFERROR(LOOKUP(2,1/(#REF!=Z5395),#REF!),""))</f>
        <v/>
      </c>
      <c r="AC5395" t="str">
        <f>IF(Z5395="","",COUNTIF(#REF!,Z5395))</f>
        <v/>
      </c>
      <c r="AD5395" t="str">
        <f>IF(A5395="","",IF(AC5395&gt;1,"REVISAR DUPLICADO",IF(AA5395&lt;&gt;"","ACTUALIZADO POR EYR","SIN REPORTE EYR")))</f>
        <v/>
      </c>
    </row>
    <row r="5396" spans="11:30" x14ac:dyDescent="0.3">
      <c r="K5396" s="1" t="str">
        <f ca="1">IF(A5396="","",IF(OR(L5396="ENTREGADA",L5396="RETORNADA",L5396="ENTREGA DIGITAL"),0,MAX(0,5-NETWORKDAYS(H5396+1,TODAY()))))</f>
        <v/>
      </c>
      <c r="L5396" t="str">
        <f>IF(A5396="","",IFERROR(LOOKUP(2,1/(#REF!=Z5396),#REF!),Y5396))</f>
        <v/>
      </c>
      <c r="Z5396" t="str">
        <f>IF(A5396="","",TEXT(A5396,"0")&amp;"|"&amp;TEXT(H5396,"0"))</f>
        <v/>
      </c>
      <c r="AA5396" t="str">
        <f>IF(Z5396="","",IFERROR(LOOKUP(2,1/(#REF!=Z5396),#REF!),""))</f>
        <v/>
      </c>
      <c r="AB5396" t="str">
        <f>IF(Z5396="","",IFERROR(LOOKUP(2,1/(#REF!=Z5396),#REF!),""))</f>
        <v/>
      </c>
      <c r="AC5396" t="str">
        <f>IF(Z5396="","",COUNTIF(#REF!,Z5396))</f>
        <v/>
      </c>
      <c r="AD5396" t="str">
        <f>IF(A5396="","",IF(AC5396&gt;1,"REVISAR DUPLICADO",IF(AA5396&lt;&gt;"","ACTUALIZADO POR EYR","SIN REPORTE EYR")))</f>
        <v/>
      </c>
    </row>
    <row r="5397" spans="11:30" x14ac:dyDescent="0.3">
      <c r="K5397" s="1" t="str">
        <f ca="1">IF(A5397="","",IF(OR(L5397="ENTREGADA",L5397="RETORNADA",L5397="ENTREGA DIGITAL"),0,MAX(0,5-NETWORKDAYS(H5397+1,TODAY()))))</f>
        <v/>
      </c>
      <c r="L5397" t="str">
        <f>IF(A5397="","",IFERROR(LOOKUP(2,1/(#REF!=Z5397),#REF!),Y5397))</f>
        <v/>
      </c>
      <c r="Z5397" t="str">
        <f>IF(A5397="","",TEXT(A5397,"0")&amp;"|"&amp;TEXT(H5397,"0"))</f>
        <v/>
      </c>
      <c r="AA5397" t="str">
        <f>IF(Z5397="","",IFERROR(LOOKUP(2,1/(#REF!=Z5397),#REF!),""))</f>
        <v/>
      </c>
      <c r="AB5397" t="str">
        <f>IF(Z5397="","",IFERROR(LOOKUP(2,1/(#REF!=Z5397),#REF!),""))</f>
        <v/>
      </c>
      <c r="AC5397" t="str">
        <f>IF(Z5397="","",COUNTIF(#REF!,Z5397))</f>
        <v/>
      </c>
      <c r="AD5397" t="str">
        <f>IF(A5397="","",IF(AC5397&gt;1,"REVISAR DUPLICADO",IF(AA5397&lt;&gt;"","ACTUALIZADO POR EYR","SIN REPORTE EYR")))</f>
        <v/>
      </c>
    </row>
    <row r="5398" spans="11:30" x14ac:dyDescent="0.3">
      <c r="K5398" s="1" t="str">
        <f ca="1">IF(A5398="","",IF(OR(L5398="ENTREGADA",L5398="RETORNADA",L5398="ENTREGA DIGITAL"),0,MAX(0,5-NETWORKDAYS(H5398+1,TODAY()))))</f>
        <v/>
      </c>
      <c r="L5398" t="str">
        <f>IF(A5398="","",IFERROR(LOOKUP(2,1/(#REF!=Z5398),#REF!),Y5398))</f>
        <v/>
      </c>
      <c r="Z5398" t="str">
        <f>IF(A5398="","",TEXT(A5398,"0")&amp;"|"&amp;TEXT(H5398,"0"))</f>
        <v/>
      </c>
      <c r="AA5398" t="str">
        <f>IF(Z5398="","",IFERROR(LOOKUP(2,1/(#REF!=Z5398),#REF!),""))</f>
        <v/>
      </c>
      <c r="AB5398" t="str">
        <f>IF(Z5398="","",IFERROR(LOOKUP(2,1/(#REF!=Z5398),#REF!),""))</f>
        <v/>
      </c>
      <c r="AC5398" t="str">
        <f>IF(Z5398="","",COUNTIF(#REF!,Z5398))</f>
        <v/>
      </c>
      <c r="AD5398" t="str">
        <f>IF(A5398="","",IF(AC5398&gt;1,"REVISAR DUPLICADO",IF(AA5398&lt;&gt;"","ACTUALIZADO POR EYR","SIN REPORTE EYR")))</f>
        <v/>
      </c>
    </row>
    <row r="5399" spans="11:30" x14ac:dyDescent="0.3">
      <c r="K5399" s="1" t="str">
        <f ca="1">IF(A5399="","",IF(OR(L5399="ENTREGADA",L5399="RETORNADA",L5399="ENTREGA DIGITAL"),0,MAX(0,5-NETWORKDAYS(H5399+1,TODAY()))))</f>
        <v/>
      </c>
      <c r="L5399" t="str">
        <f>IF(A5399="","",IFERROR(LOOKUP(2,1/(#REF!=Z5399),#REF!),Y5399))</f>
        <v/>
      </c>
      <c r="Z5399" t="str">
        <f>IF(A5399="","",TEXT(A5399,"0")&amp;"|"&amp;TEXT(H5399,"0"))</f>
        <v/>
      </c>
      <c r="AA5399" t="str">
        <f>IF(Z5399="","",IFERROR(LOOKUP(2,1/(#REF!=Z5399),#REF!),""))</f>
        <v/>
      </c>
      <c r="AB5399" t="str">
        <f>IF(Z5399="","",IFERROR(LOOKUP(2,1/(#REF!=Z5399),#REF!),""))</f>
        <v/>
      </c>
      <c r="AC5399" t="str">
        <f>IF(Z5399="","",COUNTIF(#REF!,Z5399))</f>
        <v/>
      </c>
      <c r="AD5399" t="str">
        <f>IF(A5399="","",IF(AC5399&gt;1,"REVISAR DUPLICADO",IF(AA5399&lt;&gt;"","ACTUALIZADO POR EYR","SIN REPORTE EYR")))</f>
        <v/>
      </c>
    </row>
    <row r="5400" spans="11:30" x14ac:dyDescent="0.3">
      <c r="K5400" s="1" t="str">
        <f ca="1">IF(A5400="","",IF(OR(L5400="ENTREGADA",L5400="RETORNADA",L5400="ENTREGA DIGITAL"),0,MAX(0,5-NETWORKDAYS(H5400+1,TODAY()))))</f>
        <v/>
      </c>
      <c r="L5400" t="str">
        <f>IF(A5400="","",IFERROR(LOOKUP(2,1/(#REF!=Z5400),#REF!),Y5400))</f>
        <v/>
      </c>
      <c r="Z5400" t="str">
        <f>IF(A5400="","",TEXT(A5400,"0")&amp;"|"&amp;TEXT(H5400,"0"))</f>
        <v/>
      </c>
      <c r="AA5400" t="str">
        <f>IF(Z5400="","",IFERROR(LOOKUP(2,1/(#REF!=Z5400),#REF!),""))</f>
        <v/>
      </c>
      <c r="AB5400" t="str">
        <f>IF(Z5400="","",IFERROR(LOOKUP(2,1/(#REF!=Z5400),#REF!),""))</f>
        <v/>
      </c>
      <c r="AC5400" t="str">
        <f>IF(Z5400="","",COUNTIF(#REF!,Z5400))</f>
        <v/>
      </c>
      <c r="AD5400" t="str">
        <f>IF(A5400="","",IF(AC5400&gt;1,"REVISAR DUPLICADO",IF(AA5400&lt;&gt;"","ACTUALIZADO POR EYR","SIN REPORTE EYR")))</f>
        <v/>
      </c>
    </row>
    <row r="5401" spans="11:30" x14ac:dyDescent="0.3">
      <c r="K5401" s="1" t="str">
        <f ca="1">IF(A5401="","",IF(OR(L5401="ENTREGADA",L5401="RETORNADA",L5401="ENTREGA DIGITAL"),0,MAX(0,5-NETWORKDAYS(H5401+1,TODAY()))))</f>
        <v/>
      </c>
      <c r="L5401" t="str">
        <f>IF(A5401="","",IFERROR(LOOKUP(2,1/(#REF!=Z5401),#REF!),Y5401))</f>
        <v/>
      </c>
      <c r="Z5401" t="str">
        <f>IF(A5401="","",TEXT(A5401,"0")&amp;"|"&amp;TEXT(H5401,"0"))</f>
        <v/>
      </c>
      <c r="AA5401" t="str">
        <f>IF(Z5401="","",IFERROR(LOOKUP(2,1/(#REF!=Z5401),#REF!),""))</f>
        <v/>
      </c>
      <c r="AB5401" t="str">
        <f>IF(Z5401="","",IFERROR(LOOKUP(2,1/(#REF!=Z5401),#REF!),""))</f>
        <v/>
      </c>
      <c r="AC5401" t="str">
        <f>IF(Z5401="","",COUNTIF(#REF!,Z5401))</f>
        <v/>
      </c>
      <c r="AD5401" t="str">
        <f>IF(A5401="","",IF(AC5401&gt;1,"REVISAR DUPLICADO",IF(AA5401&lt;&gt;"","ACTUALIZADO POR EYR","SIN REPORTE EYR")))</f>
        <v/>
      </c>
    </row>
    <row r="5402" spans="11:30" x14ac:dyDescent="0.3">
      <c r="K5402" s="1" t="str">
        <f ca="1">IF(A5402="","",IF(OR(L5402="ENTREGADA",L5402="RETORNADA",L5402="ENTREGA DIGITAL"),0,MAX(0,5-NETWORKDAYS(H5402+1,TODAY()))))</f>
        <v/>
      </c>
      <c r="L5402" t="str">
        <f>IF(A5402="","",IFERROR(LOOKUP(2,1/(#REF!=Z5402),#REF!),Y5402))</f>
        <v/>
      </c>
      <c r="Z5402" t="str">
        <f>IF(A5402="","",TEXT(A5402,"0")&amp;"|"&amp;TEXT(H5402,"0"))</f>
        <v/>
      </c>
      <c r="AA5402" t="str">
        <f>IF(Z5402="","",IFERROR(LOOKUP(2,1/(#REF!=Z5402),#REF!),""))</f>
        <v/>
      </c>
      <c r="AB5402" t="str">
        <f>IF(Z5402="","",IFERROR(LOOKUP(2,1/(#REF!=Z5402),#REF!),""))</f>
        <v/>
      </c>
      <c r="AC5402" t="str">
        <f>IF(Z5402="","",COUNTIF(#REF!,Z5402))</f>
        <v/>
      </c>
      <c r="AD5402" t="str">
        <f>IF(A5402="","",IF(AC5402&gt;1,"REVISAR DUPLICADO",IF(AA5402&lt;&gt;"","ACTUALIZADO POR EYR","SIN REPORTE EYR")))</f>
        <v/>
      </c>
    </row>
    <row r="5403" spans="11:30" x14ac:dyDescent="0.3">
      <c r="K5403" s="1" t="str">
        <f ca="1">IF(A5403="","",IF(OR(L5403="ENTREGADA",L5403="RETORNADA",L5403="ENTREGA DIGITAL"),0,MAX(0,5-NETWORKDAYS(H5403+1,TODAY()))))</f>
        <v/>
      </c>
      <c r="L5403" t="str">
        <f>IF(A5403="","",IFERROR(LOOKUP(2,1/(#REF!=Z5403),#REF!),Y5403))</f>
        <v/>
      </c>
      <c r="Z5403" t="str">
        <f>IF(A5403="","",TEXT(A5403,"0")&amp;"|"&amp;TEXT(H5403,"0"))</f>
        <v/>
      </c>
      <c r="AA5403" t="str">
        <f>IF(Z5403="","",IFERROR(LOOKUP(2,1/(#REF!=Z5403),#REF!),""))</f>
        <v/>
      </c>
      <c r="AB5403" t="str">
        <f>IF(Z5403="","",IFERROR(LOOKUP(2,1/(#REF!=Z5403),#REF!),""))</f>
        <v/>
      </c>
      <c r="AC5403" t="str">
        <f>IF(Z5403="","",COUNTIF(#REF!,Z5403))</f>
        <v/>
      </c>
      <c r="AD5403" t="str">
        <f>IF(A5403="","",IF(AC5403&gt;1,"REVISAR DUPLICADO",IF(AA5403&lt;&gt;"","ACTUALIZADO POR EYR","SIN REPORTE EYR")))</f>
        <v/>
      </c>
    </row>
    <row r="5404" spans="11:30" x14ac:dyDescent="0.3">
      <c r="K5404" s="1" t="str">
        <f ca="1">IF(A5404="","",IF(OR(L5404="ENTREGADA",L5404="RETORNADA",L5404="ENTREGA DIGITAL"),0,MAX(0,5-NETWORKDAYS(H5404+1,TODAY()))))</f>
        <v/>
      </c>
      <c r="L5404" t="str">
        <f>IF(A5404="","",IFERROR(LOOKUP(2,1/(#REF!=Z5404),#REF!),Y5404))</f>
        <v/>
      </c>
      <c r="Z5404" t="str">
        <f>IF(A5404="","",TEXT(A5404,"0")&amp;"|"&amp;TEXT(H5404,"0"))</f>
        <v/>
      </c>
      <c r="AA5404" t="str">
        <f>IF(Z5404="","",IFERROR(LOOKUP(2,1/(#REF!=Z5404),#REF!),""))</f>
        <v/>
      </c>
      <c r="AB5404" t="str">
        <f>IF(Z5404="","",IFERROR(LOOKUP(2,1/(#REF!=Z5404),#REF!),""))</f>
        <v/>
      </c>
      <c r="AC5404" t="str">
        <f>IF(Z5404="","",COUNTIF(#REF!,Z5404))</f>
        <v/>
      </c>
      <c r="AD5404" t="str">
        <f>IF(A5404="","",IF(AC5404&gt;1,"REVISAR DUPLICADO",IF(AA5404&lt;&gt;"","ACTUALIZADO POR EYR","SIN REPORTE EYR")))</f>
        <v/>
      </c>
    </row>
    <row r="5405" spans="11:30" x14ac:dyDescent="0.3">
      <c r="K5405" s="1" t="str">
        <f ca="1">IF(A5405="","",IF(OR(L5405="ENTREGADA",L5405="RETORNADA",L5405="ENTREGA DIGITAL"),0,MAX(0,5-NETWORKDAYS(H5405+1,TODAY()))))</f>
        <v/>
      </c>
      <c r="L5405" t="str">
        <f>IF(A5405="","",IFERROR(LOOKUP(2,1/(#REF!=Z5405),#REF!),Y5405))</f>
        <v/>
      </c>
      <c r="Z5405" t="str">
        <f>IF(A5405="","",TEXT(A5405,"0")&amp;"|"&amp;TEXT(H5405,"0"))</f>
        <v/>
      </c>
      <c r="AA5405" t="str">
        <f>IF(Z5405="","",IFERROR(LOOKUP(2,1/(#REF!=Z5405),#REF!),""))</f>
        <v/>
      </c>
      <c r="AB5405" t="str">
        <f>IF(Z5405="","",IFERROR(LOOKUP(2,1/(#REF!=Z5405),#REF!),""))</f>
        <v/>
      </c>
      <c r="AC5405" t="str">
        <f>IF(Z5405="","",COUNTIF(#REF!,Z5405))</f>
        <v/>
      </c>
      <c r="AD5405" t="str">
        <f>IF(A5405="","",IF(AC5405&gt;1,"REVISAR DUPLICADO",IF(AA5405&lt;&gt;"","ACTUALIZADO POR EYR","SIN REPORTE EYR")))</f>
        <v/>
      </c>
    </row>
    <row r="5406" spans="11:30" x14ac:dyDescent="0.3">
      <c r="K5406" s="1" t="str">
        <f ca="1">IF(A5406="","",IF(OR(L5406="ENTREGADA",L5406="RETORNADA",L5406="ENTREGA DIGITAL"),0,MAX(0,5-NETWORKDAYS(H5406+1,TODAY()))))</f>
        <v/>
      </c>
      <c r="L5406" t="str">
        <f>IF(A5406="","",IFERROR(LOOKUP(2,1/(#REF!=Z5406),#REF!),Y5406))</f>
        <v/>
      </c>
      <c r="Z5406" t="str">
        <f>IF(A5406="","",TEXT(A5406,"0")&amp;"|"&amp;TEXT(H5406,"0"))</f>
        <v/>
      </c>
      <c r="AA5406" t="str">
        <f>IF(Z5406="","",IFERROR(LOOKUP(2,1/(#REF!=Z5406),#REF!),""))</f>
        <v/>
      </c>
      <c r="AB5406" t="str">
        <f>IF(Z5406="","",IFERROR(LOOKUP(2,1/(#REF!=Z5406),#REF!),""))</f>
        <v/>
      </c>
      <c r="AC5406" t="str">
        <f>IF(Z5406="","",COUNTIF(#REF!,Z5406))</f>
        <v/>
      </c>
      <c r="AD5406" t="str">
        <f>IF(A5406="","",IF(AC5406&gt;1,"REVISAR DUPLICADO",IF(AA5406&lt;&gt;"","ACTUALIZADO POR EYR","SIN REPORTE EYR")))</f>
        <v/>
      </c>
    </row>
    <row r="5407" spans="11:30" x14ac:dyDescent="0.3">
      <c r="K5407" s="1" t="str">
        <f ca="1">IF(A5407="","",IF(OR(L5407="ENTREGADA",L5407="RETORNADA",L5407="ENTREGA DIGITAL"),0,MAX(0,5-NETWORKDAYS(H5407+1,TODAY()))))</f>
        <v/>
      </c>
      <c r="L5407" t="str">
        <f>IF(A5407="","",IFERROR(LOOKUP(2,1/(#REF!=Z5407),#REF!),Y5407))</f>
        <v/>
      </c>
      <c r="Z5407" t="str">
        <f>IF(A5407="","",TEXT(A5407,"0")&amp;"|"&amp;TEXT(H5407,"0"))</f>
        <v/>
      </c>
      <c r="AA5407" t="str">
        <f>IF(Z5407="","",IFERROR(LOOKUP(2,1/(#REF!=Z5407),#REF!),""))</f>
        <v/>
      </c>
      <c r="AB5407" t="str">
        <f>IF(Z5407="","",IFERROR(LOOKUP(2,1/(#REF!=Z5407),#REF!),""))</f>
        <v/>
      </c>
      <c r="AC5407" t="str">
        <f>IF(Z5407="","",COUNTIF(#REF!,Z5407))</f>
        <v/>
      </c>
      <c r="AD5407" t="str">
        <f>IF(A5407="","",IF(AC5407&gt;1,"REVISAR DUPLICADO",IF(AA5407&lt;&gt;"","ACTUALIZADO POR EYR","SIN REPORTE EYR")))</f>
        <v/>
      </c>
    </row>
    <row r="5408" spans="11:30" x14ac:dyDescent="0.3">
      <c r="K5408" s="1" t="str">
        <f ca="1">IF(A5408="","",IF(OR(L5408="ENTREGADA",L5408="RETORNADA",L5408="ENTREGA DIGITAL"),0,MAX(0,5-NETWORKDAYS(H5408+1,TODAY()))))</f>
        <v/>
      </c>
      <c r="L5408" t="str">
        <f>IF(A5408="","",IFERROR(LOOKUP(2,1/(#REF!=Z5408),#REF!),Y5408))</f>
        <v/>
      </c>
      <c r="Z5408" t="str">
        <f>IF(A5408="","",TEXT(A5408,"0")&amp;"|"&amp;TEXT(H5408,"0"))</f>
        <v/>
      </c>
      <c r="AA5408" t="str">
        <f>IF(Z5408="","",IFERROR(LOOKUP(2,1/(#REF!=Z5408),#REF!),""))</f>
        <v/>
      </c>
      <c r="AB5408" t="str">
        <f>IF(Z5408="","",IFERROR(LOOKUP(2,1/(#REF!=Z5408),#REF!),""))</f>
        <v/>
      </c>
      <c r="AC5408" t="str">
        <f>IF(Z5408="","",COUNTIF(#REF!,Z5408))</f>
        <v/>
      </c>
      <c r="AD5408" t="str">
        <f>IF(A5408="","",IF(AC5408&gt;1,"REVISAR DUPLICADO",IF(AA5408&lt;&gt;"","ACTUALIZADO POR EYR","SIN REPORTE EYR")))</f>
        <v/>
      </c>
    </row>
    <row r="5409" spans="11:30" x14ac:dyDescent="0.3">
      <c r="K5409" s="1" t="str">
        <f ca="1">IF(A5409="","",IF(OR(L5409="ENTREGADA",L5409="RETORNADA",L5409="ENTREGA DIGITAL"),0,MAX(0,5-NETWORKDAYS(H5409+1,TODAY()))))</f>
        <v/>
      </c>
      <c r="L5409" t="str">
        <f>IF(A5409="","",IFERROR(LOOKUP(2,1/(#REF!=Z5409),#REF!),Y5409))</f>
        <v/>
      </c>
      <c r="Z5409" t="str">
        <f>IF(A5409="","",TEXT(A5409,"0")&amp;"|"&amp;TEXT(H5409,"0"))</f>
        <v/>
      </c>
      <c r="AA5409" t="str">
        <f>IF(Z5409="","",IFERROR(LOOKUP(2,1/(#REF!=Z5409),#REF!),""))</f>
        <v/>
      </c>
      <c r="AB5409" t="str">
        <f>IF(Z5409="","",IFERROR(LOOKUP(2,1/(#REF!=Z5409),#REF!),""))</f>
        <v/>
      </c>
      <c r="AC5409" t="str">
        <f>IF(Z5409="","",COUNTIF(#REF!,Z5409))</f>
        <v/>
      </c>
      <c r="AD5409" t="str">
        <f>IF(A5409="","",IF(AC5409&gt;1,"REVISAR DUPLICADO",IF(AA5409&lt;&gt;"","ACTUALIZADO POR EYR","SIN REPORTE EYR")))</f>
        <v/>
      </c>
    </row>
    <row r="5410" spans="11:30" x14ac:dyDescent="0.3">
      <c r="K5410" s="1" t="str">
        <f ca="1">IF(A5410="","",IF(OR(L5410="ENTREGADA",L5410="RETORNADA",L5410="ENTREGA DIGITAL"),0,MAX(0,5-NETWORKDAYS(H5410+1,TODAY()))))</f>
        <v/>
      </c>
      <c r="L5410" t="str">
        <f>IF(A5410="","",IFERROR(LOOKUP(2,1/(#REF!=Z5410),#REF!),Y5410))</f>
        <v/>
      </c>
      <c r="Z5410" t="str">
        <f>IF(A5410="","",TEXT(A5410,"0")&amp;"|"&amp;TEXT(H5410,"0"))</f>
        <v/>
      </c>
      <c r="AA5410" t="str">
        <f>IF(Z5410="","",IFERROR(LOOKUP(2,1/(#REF!=Z5410),#REF!),""))</f>
        <v/>
      </c>
      <c r="AB5410" t="str">
        <f>IF(Z5410="","",IFERROR(LOOKUP(2,1/(#REF!=Z5410),#REF!),""))</f>
        <v/>
      </c>
      <c r="AC5410" t="str">
        <f>IF(Z5410="","",COUNTIF(#REF!,Z5410))</f>
        <v/>
      </c>
      <c r="AD5410" t="str">
        <f>IF(A5410="","",IF(AC5410&gt;1,"REVISAR DUPLICADO",IF(AA5410&lt;&gt;"","ACTUALIZADO POR EYR","SIN REPORTE EYR")))</f>
        <v/>
      </c>
    </row>
    <row r="5411" spans="11:30" x14ac:dyDescent="0.3">
      <c r="K5411" s="1" t="str">
        <f ca="1">IF(A5411="","",IF(OR(L5411="ENTREGADA",L5411="RETORNADA",L5411="ENTREGA DIGITAL"),0,MAX(0,5-NETWORKDAYS(H5411+1,TODAY()))))</f>
        <v/>
      </c>
      <c r="L5411" t="str">
        <f>IF(A5411="","",IFERROR(LOOKUP(2,1/(#REF!=Z5411),#REF!),Y5411))</f>
        <v/>
      </c>
      <c r="Z5411" t="str">
        <f>IF(A5411="","",TEXT(A5411,"0")&amp;"|"&amp;TEXT(H5411,"0"))</f>
        <v/>
      </c>
      <c r="AA5411" t="str">
        <f>IF(Z5411="","",IFERROR(LOOKUP(2,1/(#REF!=Z5411),#REF!),""))</f>
        <v/>
      </c>
      <c r="AB5411" t="str">
        <f>IF(Z5411="","",IFERROR(LOOKUP(2,1/(#REF!=Z5411),#REF!),""))</f>
        <v/>
      </c>
      <c r="AC5411" t="str">
        <f>IF(Z5411="","",COUNTIF(#REF!,Z5411))</f>
        <v/>
      </c>
      <c r="AD5411" t="str">
        <f>IF(A5411="","",IF(AC5411&gt;1,"REVISAR DUPLICADO",IF(AA5411&lt;&gt;"","ACTUALIZADO POR EYR","SIN REPORTE EYR")))</f>
        <v/>
      </c>
    </row>
    <row r="5412" spans="11:30" x14ac:dyDescent="0.3">
      <c r="K5412" s="1" t="str">
        <f ca="1">IF(A5412="","",IF(OR(L5412="ENTREGADA",L5412="RETORNADA",L5412="ENTREGA DIGITAL"),0,MAX(0,5-NETWORKDAYS(H5412+1,TODAY()))))</f>
        <v/>
      </c>
      <c r="L5412" t="str">
        <f>IF(A5412="","",IFERROR(LOOKUP(2,1/(#REF!=Z5412),#REF!),Y5412))</f>
        <v/>
      </c>
      <c r="Z5412" t="str">
        <f>IF(A5412="","",TEXT(A5412,"0")&amp;"|"&amp;TEXT(H5412,"0"))</f>
        <v/>
      </c>
      <c r="AA5412" t="str">
        <f>IF(Z5412="","",IFERROR(LOOKUP(2,1/(#REF!=Z5412),#REF!),""))</f>
        <v/>
      </c>
      <c r="AB5412" t="str">
        <f>IF(Z5412="","",IFERROR(LOOKUP(2,1/(#REF!=Z5412),#REF!),""))</f>
        <v/>
      </c>
      <c r="AC5412" t="str">
        <f>IF(Z5412="","",COUNTIF(#REF!,Z5412))</f>
        <v/>
      </c>
      <c r="AD5412" t="str">
        <f>IF(A5412="","",IF(AC5412&gt;1,"REVISAR DUPLICADO",IF(AA5412&lt;&gt;"","ACTUALIZADO POR EYR","SIN REPORTE EYR")))</f>
        <v/>
      </c>
    </row>
    <row r="5413" spans="11:30" x14ac:dyDescent="0.3">
      <c r="K5413" s="1" t="str">
        <f ca="1">IF(A5413="","",IF(OR(L5413="ENTREGADA",L5413="RETORNADA",L5413="ENTREGA DIGITAL"),0,MAX(0,5-NETWORKDAYS(H5413+1,TODAY()))))</f>
        <v/>
      </c>
      <c r="L5413" t="str">
        <f>IF(A5413="","",IFERROR(LOOKUP(2,1/(#REF!=Z5413),#REF!),Y5413))</f>
        <v/>
      </c>
      <c r="Z5413" t="str">
        <f>IF(A5413="","",TEXT(A5413,"0")&amp;"|"&amp;TEXT(H5413,"0"))</f>
        <v/>
      </c>
      <c r="AA5413" t="str">
        <f>IF(Z5413="","",IFERROR(LOOKUP(2,1/(#REF!=Z5413),#REF!),""))</f>
        <v/>
      </c>
      <c r="AB5413" t="str">
        <f>IF(Z5413="","",IFERROR(LOOKUP(2,1/(#REF!=Z5413),#REF!),""))</f>
        <v/>
      </c>
      <c r="AC5413" t="str">
        <f>IF(Z5413="","",COUNTIF(#REF!,Z5413))</f>
        <v/>
      </c>
      <c r="AD5413" t="str">
        <f>IF(A5413="","",IF(AC5413&gt;1,"REVISAR DUPLICADO",IF(AA5413&lt;&gt;"","ACTUALIZADO POR EYR","SIN REPORTE EYR")))</f>
        <v/>
      </c>
    </row>
    <row r="5414" spans="11:30" x14ac:dyDescent="0.3">
      <c r="K5414" s="1" t="str">
        <f ca="1">IF(A5414="","",IF(OR(L5414="ENTREGADA",L5414="RETORNADA",L5414="ENTREGA DIGITAL"),0,MAX(0,5-NETWORKDAYS(H5414+1,TODAY()))))</f>
        <v/>
      </c>
      <c r="L5414" t="str">
        <f>IF(A5414="","",IFERROR(LOOKUP(2,1/(#REF!=Z5414),#REF!),Y5414))</f>
        <v/>
      </c>
      <c r="Z5414" t="str">
        <f>IF(A5414="","",TEXT(A5414,"0")&amp;"|"&amp;TEXT(H5414,"0"))</f>
        <v/>
      </c>
      <c r="AA5414" t="str">
        <f>IF(Z5414="","",IFERROR(LOOKUP(2,1/(#REF!=Z5414),#REF!),""))</f>
        <v/>
      </c>
      <c r="AB5414" t="str">
        <f>IF(Z5414="","",IFERROR(LOOKUP(2,1/(#REF!=Z5414),#REF!),""))</f>
        <v/>
      </c>
      <c r="AC5414" t="str">
        <f>IF(Z5414="","",COUNTIF(#REF!,Z5414))</f>
        <v/>
      </c>
      <c r="AD5414" t="str">
        <f>IF(A5414="","",IF(AC5414&gt;1,"REVISAR DUPLICADO",IF(AA5414&lt;&gt;"","ACTUALIZADO POR EYR","SIN REPORTE EYR")))</f>
        <v/>
      </c>
    </row>
    <row r="5415" spans="11:30" x14ac:dyDescent="0.3">
      <c r="K5415" s="1" t="str">
        <f ca="1">IF(A5415="","",IF(OR(L5415="ENTREGADA",L5415="RETORNADA",L5415="ENTREGA DIGITAL"),0,MAX(0,5-NETWORKDAYS(H5415+1,TODAY()))))</f>
        <v/>
      </c>
      <c r="L5415" t="str">
        <f>IF(A5415="","",IFERROR(LOOKUP(2,1/(#REF!=Z5415),#REF!),Y5415))</f>
        <v/>
      </c>
      <c r="Z5415" t="str">
        <f>IF(A5415="","",TEXT(A5415,"0")&amp;"|"&amp;TEXT(H5415,"0"))</f>
        <v/>
      </c>
      <c r="AA5415" t="str">
        <f>IF(Z5415="","",IFERROR(LOOKUP(2,1/(#REF!=Z5415),#REF!),""))</f>
        <v/>
      </c>
      <c r="AB5415" t="str">
        <f>IF(Z5415="","",IFERROR(LOOKUP(2,1/(#REF!=Z5415),#REF!),""))</f>
        <v/>
      </c>
      <c r="AC5415" t="str">
        <f>IF(Z5415="","",COUNTIF(#REF!,Z5415))</f>
        <v/>
      </c>
      <c r="AD5415" t="str">
        <f>IF(A5415="","",IF(AC5415&gt;1,"REVISAR DUPLICADO",IF(AA5415&lt;&gt;"","ACTUALIZADO POR EYR","SIN REPORTE EYR")))</f>
        <v/>
      </c>
    </row>
    <row r="5416" spans="11:30" x14ac:dyDescent="0.3">
      <c r="K5416" s="1" t="str">
        <f ca="1">IF(A5416="","",IF(OR(L5416="ENTREGADA",L5416="RETORNADA",L5416="ENTREGA DIGITAL"),0,MAX(0,5-NETWORKDAYS(H5416+1,TODAY()))))</f>
        <v/>
      </c>
      <c r="L5416" t="str">
        <f>IF(A5416="","",IFERROR(LOOKUP(2,1/(#REF!=Z5416),#REF!),Y5416))</f>
        <v/>
      </c>
      <c r="Z5416" t="str">
        <f>IF(A5416="","",TEXT(A5416,"0")&amp;"|"&amp;TEXT(H5416,"0"))</f>
        <v/>
      </c>
      <c r="AA5416" t="str">
        <f>IF(Z5416="","",IFERROR(LOOKUP(2,1/(#REF!=Z5416),#REF!),""))</f>
        <v/>
      </c>
      <c r="AB5416" t="str">
        <f>IF(Z5416="","",IFERROR(LOOKUP(2,1/(#REF!=Z5416),#REF!),""))</f>
        <v/>
      </c>
      <c r="AC5416" t="str">
        <f>IF(Z5416="","",COUNTIF(#REF!,Z5416))</f>
        <v/>
      </c>
      <c r="AD5416" t="str">
        <f>IF(A5416="","",IF(AC5416&gt;1,"REVISAR DUPLICADO",IF(AA5416&lt;&gt;"","ACTUALIZADO POR EYR","SIN REPORTE EYR")))</f>
        <v/>
      </c>
    </row>
    <row r="5417" spans="11:30" x14ac:dyDescent="0.3">
      <c r="K5417" s="1" t="str">
        <f ca="1">IF(A5417="","",IF(OR(L5417="ENTREGADA",L5417="RETORNADA",L5417="ENTREGA DIGITAL"),0,MAX(0,5-NETWORKDAYS(H5417+1,TODAY()))))</f>
        <v/>
      </c>
      <c r="L5417" t="str">
        <f>IF(A5417="","",IFERROR(LOOKUP(2,1/(#REF!=Z5417),#REF!),Y5417))</f>
        <v/>
      </c>
      <c r="Z5417" t="str">
        <f>IF(A5417="","",TEXT(A5417,"0")&amp;"|"&amp;TEXT(H5417,"0"))</f>
        <v/>
      </c>
      <c r="AA5417" t="str">
        <f>IF(Z5417="","",IFERROR(LOOKUP(2,1/(#REF!=Z5417),#REF!),""))</f>
        <v/>
      </c>
      <c r="AB5417" t="str">
        <f>IF(Z5417="","",IFERROR(LOOKUP(2,1/(#REF!=Z5417),#REF!),""))</f>
        <v/>
      </c>
      <c r="AC5417" t="str">
        <f>IF(Z5417="","",COUNTIF(#REF!,Z5417))</f>
        <v/>
      </c>
      <c r="AD5417" t="str">
        <f>IF(A5417="","",IF(AC5417&gt;1,"REVISAR DUPLICADO",IF(AA5417&lt;&gt;"","ACTUALIZADO POR EYR","SIN REPORTE EYR")))</f>
        <v/>
      </c>
    </row>
    <row r="5418" spans="11:30" x14ac:dyDescent="0.3">
      <c r="K5418" s="1" t="str">
        <f ca="1">IF(A5418="","",IF(OR(L5418="ENTREGADA",L5418="RETORNADA",L5418="ENTREGA DIGITAL"),0,MAX(0,5-NETWORKDAYS(H5418+1,TODAY()))))</f>
        <v/>
      </c>
      <c r="L5418" t="str">
        <f>IF(A5418="","",IFERROR(LOOKUP(2,1/(#REF!=Z5418),#REF!),Y5418))</f>
        <v/>
      </c>
      <c r="Z5418" t="str">
        <f>IF(A5418="","",TEXT(A5418,"0")&amp;"|"&amp;TEXT(H5418,"0"))</f>
        <v/>
      </c>
      <c r="AA5418" t="str">
        <f>IF(Z5418="","",IFERROR(LOOKUP(2,1/(#REF!=Z5418),#REF!),""))</f>
        <v/>
      </c>
      <c r="AB5418" t="str">
        <f>IF(Z5418="","",IFERROR(LOOKUP(2,1/(#REF!=Z5418),#REF!),""))</f>
        <v/>
      </c>
      <c r="AC5418" t="str">
        <f>IF(Z5418="","",COUNTIF(#REF!,Z5418))</f>
        <v/>
      </c>
      <c r="AD5418" t="str">
        <f>IF(A5418="","",IF(AC5418&gt;1,"REVISAR DUPLICADO",IF(AA5418&lt;&gt;"","ACTUALIZADO POR EYR","SIN REPORTE EYR")))</f>
        <v/>
      </c>
    </row>
    <row r="5419" spans="11:30" x14ac:dyDescent="0.3">
      <c r="K5419" s="1" t="str">
        <f ca="1">IF(A5419="","",IF(OR(L5419="ENTREGADA",L5419="RETORNADA",L5419="ENTREGA DIGITAL"),0,MAX(0,5-NETWORKDAYS(H5419+1,TODAY()))))</f>
        <v/>
      </c>
      <c r="L5419" t="str">
        <f>IF(A5419="","",IFERROR(LOOKUP(2,1/(#REF!=Z5419),#REF!),Y5419))</f>
        <v/>
      </c>
      <c r="Z5419" t="str">
        <f>IF(A5419="","",TEXT(A5419,"0")&amp;"|"&amp;TEXT(H5419,"0"))</f>
        <v/>
      </c>
      <c r="AA5419" t="str">
        <f>IF(Z5419="","",IFERROR(LOOKUP(2,1/(#REF!=Z5419),#REF!),""))</f>
        <v/>
      </c>
      <c r="AB5419" t="str">
        <f>IF(Z5419="","",IFERROR(LOOKUP(2,1/(#REF!=Z5419),#REF!),""))</f>
        <v/>
      </c>
      <c r="AC5419" t="str">
        <f>IF(Z5419="","",COUNTIF(#REF!,Z5419))</f>
        <v/>
      </c>
      <c r="AD5419" t="str">
        <f>IF(A5419="","",IF(AC5419&gt;1,"REVISAR DUPLICADO",IF(AA5419&lt;&gt;"","ACTUALIZADO POR EYR","SIN REPORTE EYR")))</f>
        <v/>
      </c>
    </row>
    <row r="5420" spans="11:30" x14ac:dyDescent="0.3">
      <c r="K5420" s="1" t="str">
        <f ca="1">IF(A5420="","",IF(OR(L5420="ENTREGADA",L5420="RETORNADA",L5420="ENTREGA DIGITAL"),0,MAX(0,5-NETWORKDAYS(H5420+1,TODAY()))))</f>
        <v/>
      </c>
      <c r="L5420" t="str">
        <f>IF(A5420="","",IFERROR(LOOKUP(2,1/(#REF!=Z5420),#REF!),Y5420))</f>
        <v/>
      </c>
      <c r="Z5420" t="str">
        <f>IF(A5420="","",TEXT(A5420,"0")&amp;"|"&amp;TEXT(H5420,"0"))</f>
        <v/>
      </c>
      <c r="AA5420" t="str">
        <f>IF(Z5420="","",IFERROR(LOOKUP(2,1/(#REF!=Z5420),#REF!),""))</f>
        <v/>
      </c>
      <c r="AB5420" t="str">
        <f>IF(Z5420="","",IFERROR(LOOKUP(2,1/(#REF!=Z5420),#REF!),""))</f>
        <v/>
      </c>
      <c r="AC5420" t="str">
        <f>IF(Z5420="","",COUNTIF(#REF!,Z5420))</f>
        <v/>
      </c>
      <c r="AD5420" t="str">
        <f>IF(A5420="","",IF(AC5420&gt;1,"REVISAR DUPLICADO",IF(AA5420&lt;&gt;"","ACTUALIZADO POR EYR","SIN REPORTE EYR")))</f>
        <v/>
      </c>
    </row>
    <row r="5421" spans="11:30" x14ac:dyDescent="0.3">
      <c r="K5421" s="1" t="str">
        <f ca="1">IF(A5421="","",IF(OR(L5421="ENTREGADA",L5421="RETORNADA",L5421="ENTREGA DIGITAL"),0,MAX(0,5-NETWORKDAYS(H5421+1,TODAY()))))</f>
        <v/>
      </c>
      <c r="L5421" t="str">
        <f>IF(A5421="","",IFERROR(LOOKUP(2,1/(#REF!=Z5421),#REF!),Y5421))</f>
        <v/>
      </c>
      <c r="Z5421" t="str">
        <f>IF(A5421="","",TEXT(A5421,"0")&amp;"|"&amp;TEXT(H5421,"0"))</f>
        <v/>
      </c>
      <c r="AA5421" t="str">
        <f>IF(Z5421="","",IFERROR(LOOKUP(2,1/(#REF!=Z5421),#REF!),""))</f>
        <v/>
      </c>
      <c r="AB5421" t="str">
        <f>IF(Z5421="","",IFERROR(LOOKUP(2,1/(#REF!=Z5421),#REF!),""))</f>
        <v/>
      </c>
      <c r="AC5421" t="str">
        <f>IF(Z5421="","",COUNTIF(#REF!,Z5421))</f>
        <v/>
      </c>
      <c r="AD5421" t="str">
        <f>IF(A5421="","",IF(AC5421&gt;1,"REVISAR DUPLICADO",IF(AA5421&lt;&gt;"","ACTUALIZADO POR EYR","SIN REPORTE EYR")))</f>
        <v/>
      </c>
    </row>
    <row r="5422" spans="11:30" x14ac:dyDescent="0.3">
      <c r="K5422" s="1" t="str">
        <f ca="1">IF(A5422="","",IF(OR(L5422="ENTREGADA",L5422="RETORNADA",L5422="ENTREGA DIGITAL"),0,MAX(0,5-NETWORKDAYS(H5422+1,TODAY()))))</f>
        <v/>
      </c>
      <c r="L5422" t="str">
        <f>IF(A5422="","",IFERROR(LOOKUP(2,1/(#REF!=Z5422),#REF!),Y5422))</f>
        <v/>
      </c>
      <c r="Z5422" t="str">
        <f>IF(A5422="","",TEXT(A5422,"0")&amp;"|"&amp;TEXT(H5422,"0"))</f>
        <v/>
      </c>
      <c r="AA5422" t="str">
        <f>IF(Z5422="","",IFERROR(LOOKUP(2,1/(#REF!=Z5422),#REF!),""))</f>
        <v/>
      </c>
      <c r="AB5422" t="str">
        <f>IF(Z5422="","",IFERROR(LOOKUP(2,1/(#REF!=Z5422),#REF!),""))</f>
        <v/>
      </c>
      <c r="AC5422" t="str">
        <f>IF(Z5422="","",COUNTIF(#REF!,Z5422))</f>
        <v/>
      </c>
      <c r="AD5422" t="str">
        <f>IF(A5422="","",IF(AC5422&gt;1,"REVISAR DUPLICADO",IF(AA5422&lt;&gt;"","ACTUALIZADO POR EYR","SIN REPORTE EYR")))</f>
        <v/>
      </c>
    </row>
    <row r="5423" spans="11:30" x14ac:dyDescent="0.3">
      <c r="K5423" s="1" t="str">
        <f ca="1">IF(A5423="","",IF(OR(L5423="ENTREGADA",L5423="RETORNADA",L5423="ENTREGA DIGITAL"),0,MAX(0,5-NETWORKDAYS(H5423+1,TODAY()))))</f>
        <v/>
      </c>
      <c r="L5423" t="str">
        <f>IF(A5423="","",IFERROR(LOOKUP(2,1/(#REF!=Z5423),#REF!),Y5423))</f>
        <v/>
      </c>
      <c r="Z5423" t="str">
        <f>IF(A5423="","",TEXT(A5423,"0")&amp;"|"&amp;TEXT(H5423,"0"))</f>
        <v/>
      </c>
      <c r="AA5423" t="str">
        <f>IF(Z5423="","",IFERROR(LOOKUP(2,1/(#REF!=Z5423),#REF!),""))</f>
        <v/>
      </c>
      <c r="AB5423" t="str">
        <f>IF(Z5423="","",IFERROR(LOOKUP(2,1/(#REF!=Z5423),#REF!),""))</f>
        <v/>
      </c>
      <c r="AC5423" t="str">
        <f>IF(Z5423="","",COUNTIF(#REF!,Z5423))</f>
        <v/>
      </c>
      <c r="AD5423" t="str">
        <f>IF(A5423="","",IF(AC5423&gt;1,"REVISAR DUPLICADO",IF(AA5423&lt;&gt;"","ACTUALIZADO POR EYR","SIN REPORTE EYR")))</f>
        <v/>
      </c>
    </row>
    <row r="5424" spans="11:30" x14ac:dyDescent="0.3">
      <c r="K5424" s="1" t="str">
        <f ca="1">IF(A5424="","",IF(OR(L5424="ENTREGADA",L5424="RETORNADA",L5424="ENTREGA DIGITAL"),0,MAX(0,5-NETWORKDAYS(H5424+1,TODAY()))))</f>
        <v/>
      </c>
      <c r="L5424" t="str">
        <f>IF(A5424="","",IFERROR(LOOKUP(2,1/(#REF!=Z5424),#REF!),Y5424))</f>
        <v/>
      </c>
      <c r="Z5424" t="str">
        <f>IF(A5424="","",TEXT(A5424,"0")&amp;"|"&amp;TEXT(H5424,"0"))</f>
        <v/>
      </c>
      <c r="AA5424" t="str">
        <f>IF(Z5424="","",IFERROR(LOOKUP(2,1/(#REF!=Z5424),#REF!),""))</f>
        <v/>
      </c>
      <c r="AB5424" t="str">
        <f>IF(Z5424="","",IFERROR(LOOKUP(2,1/(#REF!=Z5424),#REF!),""))</f>
        <v/>
      </c>
      <c r="AC5424" t="str">
        <f>IF(Z5424="","",COUNTIF(#REF!,Z5424))</f>
        <v/>
      </c>
      <c r="AD5424" t="str">
        <f>IF(A5424="","",IF(AC5424&gt;1,"REVISAR DUPLICADO",IF(AA5424&lt;&gt;"","ACTUALIZADO POR EYR","SIN REPORTE EYR")))</f>
        <v/>
      </c>
    </row>
    <row r="5425" spans="11:30" x14ac:dyDescent="0.3">
      <c r="K5425" s="1" t="str">
        <f ca="1">IF(A5425="","",IF(OR(L5425="ENTREGADA",L5425="RETORNADA",L5425="ENTREGA DIGITAL"),0,MAX(0,5-NETWORKDAYS(H5425+1,TODAY()))))</f>
        <v/>
      </c>
      <c r="L5425" t="str">
        <f>IF(A5425="","",IFERROR(LOOKUP(2,1/(#REF!=Z5425),#REF!),Y5425))</f>
        <v/>
      </c>
      <c r="Z5425" t="str">
        <f>IF(A5425="","",TEXT(A5425,"0")&amp;"|"&amp;TEXT(H5425,"0"))</f>
        <v/>
      </c>
      <c r="AA5425" t="str">
        <f>IF(Z5425="","",IFERROR(LOOKUP(2,1/(#REF!=Z5425),#REF!),""))</f>
        <v/>
      </c>
      <c r="AB5425" t="str">
        <f>IF(Z5425="","",IFERROR(LOOKUP(2,1/(#REF!=Z5425),#REF!),""))</f>
        <v/>
      </c>
      <c r="AC5425" t="str">
        <f>IF(Z5425="","",COUNTIF(#REF!,Z5425))</f>
        <v/>
      </c>
      <c r="AD5425" t="str">
        <f>IF(A5425="","",IF(AC5425&gt;1,"REVISAR DUPLICADO",IF(AA5425&lt;&gt;"","ACTUALIZADO POR EYR","SIN REPORTE EYR")))</f>
        <v/>
      </c>
    </row>
    <row r="5426" spans="11:30" x14ac:dyDescent="0.3">
      <c r="K5426" s="1" t="str">
        <f ca="1">IF(A5426="","",IF(OR(L5426="ENTREGADA",L5426="RETORNADA",L5426="ENTREGA DIGITAL"),0,MAX(0,5-NETWORKDAYS(H5426+1,TODAY()))))</f>
        <v/>
      </c>
      <c r="L5426" t="str">
        <f>IF(A5426="","",IFERROR(LOOKUP(2,1/(#REF!=Z5426),#REF!),Y5426))</f>
        <v/>
      </c>
      <c r="Z5426" t="str">
        <f>IF(A5426="","",TEXT(A5426,"0")&amp;"|"&amp;TEXT(H5426,"0"))</f>
        <v/>
      </c>
      <c r="AA5426" t="str">
        <f>IF(Z5426="","",IFERROR(LOOKUP(2,1/(#REF!=Z5426),#REF!),""))</f>
        <v/>
      </c>
      <c r="AB5426" t="str">
        <f>IF(Z5426="","",IFERROR(LOOKUP(2,1/(#REF!=Z5426),#REF!),""))</f>
        <v/>
      </c>
      <c r="AC5426" t="str">
        <f>IF(Z5426="","",COUNTIF(#REF!,Z5426))</f>
        <v/>
      </c>
      <c r="AD5426" t="str">
        <f>IF(A5426="","",IF(AC5426&gt;1,"REVISAR DUPLICADO",IF(AA5426&lt;&gt;"","ACTUALIZADO POR EYR","SIN REPORTE EYR")))</f>
        <v/>
      </c>
    </row>
    <row r="5427" spans="11:30" x14ac:dyDescent="0.3">
      <c r="K5427" s="1" t="str">
        <f ca="1">IF(A5427="","",IF(OR(L5427="ENTREGADA",L5427="RETORNADA",L5427="ENTREGA DIGITAL"),0,MAX(0,5-NETWORKDAYS(H5427+1,TODAY()))))</f>
        <v/>
      </c>
      <c r="L5427" t="str">
        <f>IF(A5427="","",IFERROR(LOOKUP(2,1/(#REF!=Z5427),#REF!),Y5427))</f>
        <v/>
      </c>
      <c r="Z5427" t="str">
        <f>IF(A5427="","",TEXT(A5427,"0")&amp;"|"&amp;TEXT(H5427,"0"))</f>
        <v/>
      </c>
      <c r="AA5427" t="str">
        <f>IF(Z5427="","",IFERROR(LOOKUP(2,1/(#REF!=Z5427),#REF!),""))</f>
        <v/>
      </c>
      <c r="AB5427" t="str">
        <f>IF(Z5427="","",IFERROR(LOOKUP(2,1/(#REF!=Z5427),#REF!),""))</f>
        <v/>
      </c>
      <c r="AC5427" t="str">
        <f>IF(Z5427="","",COUNTIF(#REF!,Z5427))</f>
        <v/>
      </c>
      <c r="AD5427" t="str">
        <f>IF(A5427="","",IF(AC5427&gt;1,"REVISAR DUPLICADO",IF(AA5427&lt;&gt;"","ACTUALIZADO POR EYR","SIN REPORTE EYR")))</f>
        <v/>
      </c>
    </row>
    <row r="5428" spans="11:30" x14ac:dyDescent="0.3">
      <c r="K5428" s="1" t="str">
        <f ca="1">IF(A5428="","",IF(OR(L5428="ENTREGADA",L5428="RETORNADA",L5428="ENTREGA DIGITAL"),0,MAX(0,5-NETWORKDAYS(H5428+1,TODAY()))))</f>
        <v/>
      </c>
      <c r="L5428" t="str">
        <f>IF(A5428="","",IFERROR(LOOKUP(2,1/(#REF!=Z5428),#REF!),Y5428))</f>
        <v/>
      </c>
      <c r="Z5428" t="str">
        <f>IF(A5428="","",TEXT(A5428,"0")&amp;"|"&amp;TEXT(H5428,"0"))</f>
        <v/>
      </c>
      <c r="AA5428" t="str">
        <f>IF(Z5428="","",IFERROR(LOOKUP(2,1/(#REF!=Z5428),#REF!),""))</f>
        <v/>
      </c>
      <c r="AB5428" t="str">
        <f>IF(Z5428="","",IFERROR(LOOKUP(2,1/(#REF!=Z5428),#REF!),""))</f>
        <v/>
      </c>
      <c r="AC5428" t="str">
        <f>IF(Z5428="","",COUNTIF(#REF!,Z5428))</f>
        <v/>
      </c>
      <c r="AD5428" t="str">
        <f>IF(A5428="","",IF(AC5428&gt;1,"REVISAR DUPLICADO",IF(AA5428&lt;&gt;"","ACTUALIZADO POR EYR","SIN REPORTE EYR")))</f>
        <v/>
      </c>
    </row>
    <row r="5429" spans="11:30" x14ac:dyDescent="0.3">
      <c r="K5429" s="1" t="str">
        <f ca="1">IF(A5429="","",IF(OR(L5429="ENTREGADA",L5429="RETORNADA",L5429="ENTREGA DIGITAL"),0,MAX(0,5-NETWORKDAYS(H5429+1,TODAY()))))</f>
        <v/>
      </c>
      <c r="L5429" t="str">
        <f>IF(A5429="","",IFERROR(LOOKUP(2,1/(#REF!=Z5429),#REF!),Y5429))</f>
        <v/>
      </c>
      <c r="Z5429" t="str">
        <f>IF(A5429="","",TEXT(A5429,"0")&amp;"|"&amp;TEXT(H5429,"0"))</f>
        <v/>
      </c>
      <c r="AA5429" t="str">
        <f>IF(Z5429="","",IFERROR(LOOKUP(2,1/(#REF!=Z5429),#REF!),""))</f>
        <v/>
      </c>
      <c r="AB5429" t="str">
        <f>IF(Z5429="","",IFERROR(LOOKUP(2,1/(#REF!=Z5429),#REF!),""))</f>
        <v/>
      </c>
      <c r="AC5429" t="str">
        <f>IF(Z5429="","",COUNTIF(#REF!,Z5429))</f>
        <v/>
      </c>
      <c r="AD5429" t="str">
        <f>IF(A5429="","",IF(AC5429&gt;1,"REVISAR DUPLICADO",IF(AA5429&lt;&gt;"","ACTUALIZADO POR EYR","SIN REPORTE EYR")))</f>
        <v/>
      </c>
    </row>
    <row r="5430" spans="11:30" x14ac:dyDescent="0.3">
      <c r="K5430" s="1" t="str">
        <f ca="1">IF(A5430="","",IF(OR(L5430="ENTREGADA",L5430="RETORNADA",L5430="ENTREGA DIGITAL"),0,MAX(0,5-NETWORKDAYS(H5430+1,TODAY()))))</f>
        <v/>
      </c>
      <c r="L5430" t="str">
        <f>IF(A5430="","",IFERROR(LOOKUP(2,1/(#REF!=Z5430),#REF!),Y5430))</f>
        <v/>
      </c>
      <c r="Z5430" t="str">
        <f>IF(A5430="","",TEXT(A5430,"0")&amp;"|"&amp;TEXT(H5430,"0"))</f>
        <v/>
      </c>
      <c r="AA5430" t="str">
        <f>IF(Z5430="","",IFERROR(LOOKUP(2,1/(#REF!=Z5430),#REF!),""))</f>
        <v/>
      </c>
      <c r="AB5430" t="str">
        <f>IF(Z5430="","",IFERROR(LOOKUP(2,1/(#REF!=Z5430),#REF!),""))</f>
        <v/>
      </c>
      <c r="AC5430" t="str">
        <f>IF(Z5430="","",COUNTIF(#REF!,Z5430))</f>
        <v/>
      </c>
      <c r="AD5430" t="str">
        <f>IF(A5430="","",IF(AC5430&gt;1,"REVISAR DUPLICADO",IF(AA5430&lt;&gt;"","ACTUALIZADO POR EYR","SIN REPORTE EYR")))</f>
        <v/>
      </c>
    </row>
    <row r="5431" spans="11:30" x14ac:dyDescent="0.3">
      <c r="K5431" s="1" t="str">
        <f ca="1">IF(A5431="","",IF(OR(L5431="ENTREGADA",L5431="RETORNADA",L5431="ENTREGA DIGITAL"),0,MAX(0,5-NETWORKDAYS(H5431+1,TODAY()))))</f>
        <v/>
      </c>
      <c r="L5431" t="str">
        <f>IF(A5431="","",IFERROR(LOOKUP(2,1/(#REF!=Z5431),#REF!),Y5431))</f>
        <v/>
      </c>
      <c r="Z5431" t="str">
        <f>IF(A5431="","",TEXT(A5431,"0")&amp;"|"&amp;TEXT(H5431,"0"))</f>
        <v/>
      </c>
      <c r="AA5431" t="str">
        <f>IF(Z5431="","",IFERROR(LOOKUP(2,1/(#REF!=Z5431),#REF!),""))</f>
        <v/>
      </c>
      <c r="AB5431" t="str">
        <f>IF(Z5431="","",IFERROR(LOOKUP(2,1/(#REF!=Z5431),#REF!),""))</f>
        <v/>
      </c>
      <c r="AC5431" t="str">
        <f>IF(Z5431="","",COUNTIF(#REF!,Z5431))</f>
        <v/>
      </c>
      <c r="AD5431" t="str">
        <f>IF(A5431="","",IF(AC5431&gt;1,"REVISAR DUPLICADO",IF(AA5431&lt;&gt;"","ACTUALIZADO POR EYR","SIN REPORTE EYR")))</f>
        <v/>
      </c>
    </row>
    <row r="5432" spans="11:30" x14ac:dyDescent="0.3">
      <c r="K5432" s="1" t="str">
        <f ca="1">IF(A5432="","",IF(OR(L5432="ENTREGADA",L5432="RETORNADA",L5432="ENTREGA DIGITAL"),0,MAX(0,5-NETWORKDAYS(H5432+1,TODAY()))))</f>
        <v/>
      </c>
      <c r="L5432" t="str">
        <f>IF(A5432="","",IFERROR(LOOKUP(2,1/(#REF!=Z5432),#REF!),Y5432))</f>
        <v/>
      </c>
      <c r="Z5432" t="str">
        <f>IF(A5432="","",TEXT(A5432,"0")&amp;"|"&amp;TEXT(H5432,"0"))</f>
        <v/>
      </c>
      <c r="AA5432" t="str">
        <f>IF(Z5432="","",IFERROR(LOOKUP(2,1/(#REF!=Z5432),#REF!),""))</f>
        <v/>
      </c>
      <c r="AB5432" t="str">
        <f>IF(Z5432="","",IFERROR(LOOKUP(2,1/(#REF!=Z5432),#REF!),""))</f>
        <v/>
      </c>
      <c r="AC5432" t="str">
        <f>IF(Z5432="","",COUNTIF(#REF!,Z5432))</f>
        <v/>
      </c>
      <c r="AD5432" t="str">
        <f>IF(A5432="","",IF(AC5432&gt;1,"REVISAR DUPLICADO",IF(AA5432&lt;&gt;"","ACTUALIZADO POR EYR","SIN REPORTE EYR")))</f>
        <v/>
      </c>
    </row>
    <row r="5433" spans="11:30" x14ac:dyDescent="0.3">
      <c r="K5433" s="1" t="str">
        <f ca="1">IF(A5433="","",IF(OR(L5433="ENTREGADA",L5433="RETORNADA",L5433="ENTREGA DIGITAL"),0,MAX(0,5-NETWORKDAYS(H5433+1,TODAY()))))</f>
        <v/>
      </c>
      <c r="L5433" t="str">
        <f>IF(A5433="","",IFERROR(LOOKUP(2,1/(#REF!=Z5433),#REF!),Y5433))</f>
        <v/>
      </c>
      <c r="Z5433" t="str">
        <f>IF(A5433="","",TEXT(A5433,"0")&amp;"|"&amp;TEXT(H5433,"0"))</f>
        <v/>
      </c>
      <c r="AA5433" t="str">
        <f>IF(Z5433="","",IFERROR(LOOKUP(2,1/(#REF!=Z5433),#REF!),""))</f>
        <v/>
      </c>
      <c r="AB5433" t="str">
        <f>IF(Z5433="","",IFERROR(LOOKUP(2,1/(#REF!=Z5433),#REF!),""))</f>
        <v/>
      </c>
      <c r="AC5433" t="str">
        <f>IF(Z5433="","",COUNTIF(#REF!,Z5433))</f>
        <v/>
      </c>
      <c r="AD5433" t="str">
        <f>IF(A5433="","",IF(AC5433&gt;1,"REVISAR DUPLICADO",IF(AA5433&lt;&gt;"","ACTUALIZADO POR EYR","SIN REPORTE EYR")))</f>
        <v/>
      </c>
    </row>
    <row r="5434" spans="11:30" x14ac:dyDescent="0.3">
      <c r="K5434" s="1" t="str">
        <f ca="1">IF(A5434="","",IF(OR(L5434="ENTREGADA",L5434="RETORNADA",L5434="ENTREGA DIGITAL"),0,MAX(0,5-NETWORKDAYS(H5434+1,TODAY()))))</f>
        <v/>
      </c>
      <c r="L5434" t="str">
        <f>IF(A5434="","",IFERROR(LOOKUP(2,1/(#REF!=Z5434),#REF!),Y5434))</f>
        <v/>
      </c>
      <c r="Z5434" t="str">
        <f>IF(A5434="","",TEXT(A5434,"0")&amp;"|"&amp;TEXT(H5434,"0"))</f>
        <v/>
      </c>
      <c r="AA5434" t="str">
        <f>IF(Z5434="","",IFERROR(LOOKUP(2,1/(#REF!=Z5434),#REF!),""))</f>
        <v/>
      </c>
      <c r="AB5434" t="str">
        <f>IF(Z5434="","",IFERROR(LOOKUP(2,1/(#REF!=Z5434),#REF!),""))</f>
        <v/>
      </c>
      <c r="AC5434" t="str">
        <f>IF(Z5434="","",COUNTIF(#REF!,Z5434))</f>
        <v/>
      </c>
      <c r="AD5434" t="str">
        <f>IF(A5434="","",IF(AC5434&gt;1,"REVISAR DUPLICADO",IF(AA5434&lt;&gt;"","ACTUALIZADO POR EYR","SIN REPORTE EYR")))</f>
        <v/>
      </c>
    </row>
    <row r="5435" spans="11:30" x14ac:dyDescent="0.3">
      <c r="K5435" s="1" t="str">
        <f ca="1">IF(A5435="","",IF(OR(L5435="ENTREGADA",L5435="RETORNADA",L5435="ENTREGA DIGITAL"),0,MAX(0,5-NETWORKDAYS(H5435+1,TODAY()))))</f>
        <v/>
      </c>
      <c r="L5435" t="str">
        <f>IF(A5435="","",IFERROR(LOOKUP(2,1/(#REF!=Z5435),#REF!),Y5435))</f>
        <v/>
      </c>
      <c r="Z5435" t="str">
        <f>IF(A5435="","",TEXT(A5435,"0")&amp;"|"&amp;TEXT(H5435,"0"))</f>
        <v/>
      </c>
      <c r="AA5435" t="str">
        <f>IF(Z5435="","",IFERROR(LOOKUP(2,1/(#REF!=Z5435),#REF!),""))</f>
        <v/>
      </c>
      <c r="AB5435" t="str">
        <f>IF(Z5435="","",IFERROR(LOOKUP(2,1/(#REF!=Z5435),#REF!),""))</f>
        <v/>
      </c>
      <c r="AC5435" t="str">
        <f>IF(Z5435="","",COUNTIF(#REF!,Z5435))</f>
        <v/>
      </c>
      <c r="AD5435" t="str">
        <f>IF(A5435="","",IF(AC5435&gt;1,"REVISAR DUPLICADO",IF(AA5435&lt;&gt;"","ACTUALIZADO POR EYR","SIN REPORTE EYR")))</f>
        <v/>
      </c>
    </row>
    <row r="5436" spans="11:30" x14ac:dyDescent="0.3">
      <c r="K5436" s="1" t="str">
        <f ca="1">IF(A5436="","",IF(OR(L5436="ENTREGADA",L5436="RETORNADA",L5436="ENTREGA DIGITAL"),0,MAX(0,5-NETWORKDAYS(H5436+1,TODAY()))))</f>
        <v/>
      </c>
      <c r="L5436" t="str">
        <f>IF(A5436="","",IFERROR(LOOKUP(2,1/(#REF!=Z5436),#REF!),Y5436))</f>
        <v/>
      </c>
      <c r="Z5436" t="str">
        <f>IF(A5436="","",TEXT(A5436,"0")&amp;"|"&amp;TEXT(H5436,"0"))</f>
        <v/>
      </c>
      <c r="AA5436" t="str">
        <f>IF(Z5436="","",IFERROR(LOOKUP(2,1/(#REF!=Z5436),#REF!),""))</f>
        <v/>
      </c>
      <c r="AB5436" t="str">
        <f>IF(Z5436="","",IFERROR(LOOKUP(2,1/(#REF!=Z5436),#REF!),""))</f>
        <v/>
      </c>
      <c r="AC5436" t="str">
        <f>IF(Z5436="","",COUNTIF(#REF!,Z5436))</f>
        <v/>
      </c>
      <c r="AD5436" t="str">
        <f>IF(A5436="","",IF(AC5436&gt;1,"REVISAR DUPLICADO",IF(AA5436&lt;&gt;"","ACTUALIZADO POR EYR","SIN REPORTE EYR")))</f>
        <v/>
      </c>
    </row>
    <row r="5437" spans="11:30" x14ac:dyDescent="0.3">
      <c r="K5437" s="1" t="str">
        <f ca="1">IF(A5437="","",IF(OR(L5437="ENTREGADA",L5437="RETORNADA",L5437="ENTREGA DIGITAL"),0,MAX(0,5-NETWORKDAYS(H5437+1,TODAY()))))</f>
        <v/>
      </c>
      <c r="L5437" t="str">
        <f>IF(A5437="","",IFERROR(LOOKUP(2,1/(#REF!=Z5437),#REF!),Y5437))</f>
        <v/>
      </c>
      <c r="Z5437" t="str">
        <f>IF(A5437="","",TEXT(A5437,"0")&amp;"|"&amp;TEXT(H5437,"0"))</f>
        <v/>
      </c>
      <c r="AA5437" t="str">
        <f>IF(Z5437="","",IFERROR(LOOKUP(2,1/(#REF!=Z5437),#REF!),""))</f>
        <v/>
      </c>
      <c r="AB5437" t="str">
        <f>IF(Z5437="","",IFERROR(LOOKUP(2,1/(#REF!=Z5437),#REF!),""))</f>
        <v/>
      </c>
      <c r="AC5437" t="str">
        <f>IF(Z5437="","",COUNTIF(#REF!,Z5437))</f>
        <v/>
      </c>
      <c r="AD5437" t="str">
        <f>IF(A5437="","",IF(AC5437&gt;1,"REVISAR DUPLICADO",IF(AA5437&lt;&gt;"","ACTUALIZADO POR EYR","SIN REPORTE EYR")))</f>
        <v/>
      </c>
    </row>
    <row r="5438" spans="11:30" x14ac:dyDescent="0.3">
      <c r="K5438" s="1" t="str">
        <f ca="1">IF(A5438="","",IF(OR(L5438="ENTREGADA",L5438="RETORNADA",L5438="ENTREGA DIGITAL"),0,MAX(0,5-NETWORKDAYS(H5438+1,TODAY()))))</f>
        <v/>
      </c>
      <c r="L5438" t="str">
        <f>IF(A5438="","",IFERROR(LOOKUP(2,1/(#REF!=Z5438),#REF!),Y5438))</f>
        <v/>
      </c>
      <c r="Z5438" t="str">
        <f>IF(A5438="","",TEXT(A5438,"0")&amp;"|"&amp;TEXT(H5438,"0"))</f>
        <v/>
      </c>
      <c r="AA5438" t="str">
        <f>IF(Z5438="","",IFERROR(LOOKUP(2,1/(#REF!=Z5438),#REF!),""))</f>
        <v/>
      </c>
      <c r="AB5438" t="str">
        <f>IF(Z5438="","",IFERROR(LOOKUP(2,1/(#REF!=Z5438),#REF!),""))</f>
        <v/>
      </c>
      <c r="AC5438" t="str">
        <f>IF(Z5438="","",COUNTIF(#REF!,Z5438))</f>
        <v/>
      </c>
      <c r="AD5438" t="str">
        <f>IF(A5438="","",IF(AC5438&gt;1,"REVISAR DUPLICADO",IF(AA5438&lt;&gt;"","ACTUALIZADO POR EYR","SIN REPORTE EYR")))</f>
        <v/>
      </c>
    </row>
    <row r="5439" spans="11:30" x14ac:dyDescent="0.3">
      <c r="K5439" s="1" t="str">
        <f ca="1">IF(A5439="","",IF(OR(L5439="ENTREGADA",L5439="RETORNADA",L5439="ENTREGA DIGITAL"),0,MAX(0,5-NETWORKDAYS(H5439+1,TODAY()))))</f>
        <v/>
      </c>
      <c r="L5439" t="str">
        <f>IF(A5439="","",IFERROR(LOOKUP(2,1/(#REF!=Z5439),#REF!),Y5439))</f>
        <v/>
      </c>
      <c r="Z5439" t="str">
        <f>IF(A5439="","",TEXT(A5439,"0")&amp;"|"&amp;TEXT(H5439,"0"))</f>
        <v/>
      </c>
      <c r="AA5439" t="str">
        <f>IF(Z5439="","",IFERROR(LOOKUP(2,1/(#REF!=Z5439),#REF!),""))</f>
        <v/>
      </c>
      <c r="AB5439" t="str">
        <f>IF(Z5439="","",IFERROR(LOOKUP(2,1/(#REF!=Z5439),#REF!),""))</f>
        <v/>
      </c>
      <c r="AC5439" t="str">
        <f>IF(Z5439="","",COUNTIF(#REF!,Z5439))</f>
        <v/>
      </c>
      <c r="AD5439" t="str">
        <f>IF(A5439="","",IF(AC5439&gt;1,"REVISAR DUPLICADO",IF(AA5439&lt;&gt;"","ACTUALIZADO POR EYR","SIN REPORTE EYR")))</f>
        <v/>
      </c>
    </row>
    <row r="5440" spans="11:30" x14ac:dyDescent="0.3">
      <c r="K5440" s="1" t="str">
        <f ca="1">IF(A5440="","",IF(OR(L5440="ENTREGADA",L5440="RETORNADA",L5440="ENTREGA DIGITAL"),0,MAX(0,5-NETWORKDAYS(H5440+1,TODAY()))))</f>
        <v/>
      </c>
      <c r="L5440" t="str">
        <f>IF(A5440="","",IFERROR(LOOKUP(2,1/(#REF!=Z5440),#REF!),Y5440))</f>
        <v/>
      </c>
      <c r="Z5440" t="str">
        <f>IF(A5440="","",TEXT(A5440,"0")&amp;"|"&amp;TEXT(H5440,"0"))</f>
        <v/>
      </c>
      <c r="AA5440" t="str">
        <f>IF(Z5440="","",IFERROR(LOOKUP(2,1/(#REF!=Z5440),#REF!),""))</f>
        <v/>
      </c>
      <c r="AB5440" t="str">
        <f>IF(Z5440="","",IFERROR(LOOKUP(2,1/(#REF!=Z5440),#REF!),""))</f>
        <v/>
      </c>
      <c r="AC5440" t="str">
        <f>IF(Z5440="","",COUNTIF(#REF!,Z5440))</f>
        <v/>
      </c>
      <c r="AD5440" t="str">
        <f>IF(A5440="","",IF(AC5440&gt;1,"REVISAR DUPLICADO",IF(AA5440&lt;&gt;"","ACTUALIZADO POR EYR","SIN REPORTE EYR")))</f>
        <v/>
      </c>
    </row>
    <row r="5441" spans="11:30" x14ac:dyDescent="0.3">
      <c r="K5441" s="1" t="str">
        <f ca="1">IF(A5441="","",IF(OR(L5441="ENTREGADA",L5441="RETORNADA",L5441="ENTREGA DIGITAL"),0,MAX(0,5-NETWORKDAYS(H5441+1,TODAY()))))</f>
        <v/>
      </c>
      <c r="L5441" t="str">
        <f>IF(A5441="","",IFERROR(LOOKUP(2,1/(#REF!=Z5441),#REF!),Y5441))</f>
        <v/>
      </c>
      <c r="Z5441" t="str">
        <f>IF(A5441="","",TEXT(A5441,"0")&amp;"|"&amp;TEXT(H5441,"0"))</f>
        <v/>
      </c>
      <c r="AA5441" t="str">
        <f>IF(Z5441="","",IFERROR(LOOKUP(2,1/(#REF!=Z5441),#REF!),""))</f>
        <v/>
      </c>
      <c r="AB5441" t="str">
        <f>IF(Z5441="","",IFERROR(LOOKUP(2,1/(#REF!=Z5441),#REF!),""))</f>
        <v/>
      </c>
      <c r="AC5441" t="str">
        <f>IF(Z5441="","",COUNTIF(#REF!,Z5441))</f>
        <v/>
      </c>
      <c r="AD5441" t="str">
        <f>IF(A5441="","",IF(AC5441&gt;1,"REVISAR DUPLICADO",IF(AA5441&lt;&gt;"","ACTUALIZADO POR EYR","SIN REPORTE EYR")))</f>
        <v/>
      </c>
    </row>
    <row r="5442" spans="11:30" x14ac:dyDescent="0.3">
      <c r="K5442" s="1" t="str">
        <f ca="1">IF(A5442="","",IF(OR(L5442="ENTREGADA",L5442="RETORNADA",L5442="ENTREGA DIGITAL"),0,MAX(0,5-NETWORKDAYS(H5442+1,TODAY()))))</f>
        <v/>
      </c>
      <c r="L5442" t="str">
        <f>IF(A5442="","",IFERROR(LOOKUP(2,1/(#REF!=Z5442),#REF!),Y5442))</f>
        <v/>
      </c>
      <c r="Z5442" t="str">
        <f>IF(A5442="","",TEXT(A5442,"0")&amp;"|"&amp;TEXT(H5442,"0"))</f>
        <v/>
      </c>
      <c r="AA5442" t="str">
        <f>IF(Z5442="","",IFERROR(LOOKUP(2,1/(#REF!=Z5442),#REF!),""))</f>
        <v/>
      </c>
      <c r="AB5442" t="str">
        <f>IF(Z5442="","",IFERROR(LOOKUP(2,1/(#REF!=Z5442),#REF!),""))</f>
        <v/>
      </c>
      <c r="AC5442" t="str">
        <f>IF(Z5442="","",COUNTIF(#REF!,Z5442))</f>
        <v/>
      </c>
      <c r="AD5442" t="str">
        <f>IF(A5442="","",IF(AC5442&gt;1,"REVISAR DUPLICADO",IF(AA5442&lt;&gt;"","ACTUALIZADO POR EYR","SIN REPORTE EYR")))</f>
        <v/>
      </c>
    </row>
    <row r="5443" spans="11:30" x14ac:dyDescent="0.3">
      <c r="K5443" s="1" t="str">
        <f ca="1">IF(A5443="","",IF(OR(L5443="ENTREGADA",L5443="RETORNADA",L5443="ENTREGA DIGITAL"),0,MAX(0,5-NETWORKDAYS(H5443+1,TODAY()))))</f>
        <v/>
      </c>
      <c r="L5443" t="str">
        <f>IF(A5443="","",IFERROR(LOOKUP(2,1/(#REF!=Z5443),#REF!),Y5443))</f>
        <v/>
      </c>
      <c r="Z5443" t="str">
        <f>IF(A5443="","",TEXT(A5443,"0")&amp;"|"&amp;TEXT(H5443,"0"))</f>
        <v/>
      </c>
      <c r="AA5443" t="str">
        <f>IF(Z5443="","",IFERROR(LOOKUP(2,1/(#REF!=Z5443),#REF!),""))</f>
        <v/>
      </c>
      <c r="AB5443" t="str">
        <f>IF(Z5443="","",IFERROR(LOOKUP(2,1/(#REF!=Z5443),#REF!),""))</f>
        <v/>
      </c>
      <c r="AC5443" t="str">
        <f>IF(Z5443="","",COUNTIF(#REF!,Z5443))</f>
        <v/>
      </c>
      <c r="AD5443" t="str">
        <f>IF(A5443="","",IF(AC5443&gt;1,"REVISAR DUPLICADO",IF(AA5443&lt;&gt;"","ACTUALIZADO POR EYR","SIN REPORTE EYR")))</f>
        <v/>
      </c>
    </row>
    <row r="5444" spans="11:30" x14ac:dyDescent="0.3">
      <c r="K5444" s="1" t="str">
        <f ca="1">IF(A5444="","",IF(OR(L5444="ENTREGADA",L5444="RETORNADA",L5444="ENTREGA DIGITAL"),0,MAX(0,5-NETWORKDAYS(H5444+1,TODAY()))))</f>
        <v/>
      </c>
      <c r="L5444" t="str">
        <f>IF(A5444="","",IFERROR(LOOKUP(2,1/(#REF!=Z5444),#REF!),Y5444))</f>
        <v/>
      </c>
      <c r="Z5444" t="str">
        <f>IF(A5444="","",TEXT(A5444,"0")&amp;"|"&amp;TEXT(H5444,"0"))</f>
        <v/>
      </c>
      <c r="AA5444" t="str">
        <f>IF(Z5444="","",IFERROR(LOOKUP(2,1/(#REF!=Z5444),#REF!),""))</f>
        <v/>
      </c>
      <c r="AB5444" t="str">
        <f>IF(Z5444="","",IFERROR(LOOKUP(2,1/(#REF!=Z5444),#REF!),""))</f>
        <v/>
      </c>
      <c r="AC5444" t="str">
        <f>IF(Z5444="","",COUNTIF(#REF!,Z5444))</f>
        <v/>
      </c>
      <c r="AD5444" t="str">
        <f>IF(A5444="","",IF(AC5444&gt;1,"REVISAR DUPLICADO",IF(AA5444&lt;&gt;"","ACTUALIZADO POR EYR","SIN REPORTE EYR")))</f>
        <v/>
      </c>
    </row>
    <row r="5445" spans="11:30" x14ac:dyDescent="0.3">
      <c r="K5445" s="1" t="str">
        <f ca="1">IF(A5445="","",IF(OR(L5445="ENTREGADA",L5445="RETORNADA",L5445="ENTREGA DIGITAL"),0,MAX(0,5-NETWORKDAYS(H5445+1,TODAY()))))</f>
        <v/>
      </c>
      <c r="L5445" t="str">
        <f>IF(A5445="","",IFERROR(LOOKUP(2,1/(#REF!=Z5445),#REF!),Y5445))</f>
        <v/>
      </c>
      <c r="Z5445" t="str">
        <f>IF(A5445="","",TEXT(A5445,"0")&amp;"|"&amp;TEXT(H5445,"0"))</f>
        <v/>
      </c>
      <c r="AA5445" t="str">
        <f>IF(Z5445="","",IFERROR(LOOKUP(2,1/(#REF!=Z5445),#REF!),""))</f>
        <v/>
      </c>
      <c r="AB5445" t="str">
        <f>IF(Z5445="","",IFERROR(LOOKUP(2,1/(#REF!=Z5445),#REF!),""))</f>
        <v/>
      </c>
      <c r="AC5445" t="str">
        <f>IF(Z5445="","",COUNTIF(#REF!,Z5445))</f>
        <v/>
      </c>
      <c r="AD5445" t="str">
        <f>IF(A5445="","",IF(AC5445&gt;1,"REVISAR DUPLICADO",IF(AA5445&lt;&gt;"","ACTUALIZADO POR EYR","SIN REPORTE EYR")))</f>
        <v/>
      </c>
    </row>
    <row r="5446" spans="11:30" x14ac:dyDescent="0.3">
      <c r="K5446" s="1" t="str">
        <f ca="1">IF(A5446="","",IF(OR(L5446="ENTREGADA",L5446="RETORNADA",L5446="ENTREGA DIGITAL"),0,MAX(0,5-NETWORKDAYS(H5446+1,TODAY()))))</f>
        <v/>
      </c>
      <c r="L5446" t="str">
        <f>IF(A5446="","",IFERROR(LOOKUP(2,1/(#REF!=Z5446),#REF!),Y5446))</f>
        <v/>
      </c>
      <c r="Z5446" t="str">
        <f>IF(A5446="","",TEXT(A5446,"0")&amp;"|"&amp;TEXT(H5446,"0"))</f>
        <v/>
      </c>
      <c r="AA5446" t="str">
        <f>IF(Z5446="","",IFERROR(LOOKUP(2,1/(#REF!=Z5446),#REF!),""))</f>
        <v/>
      </c>
      <c r="AB5446" t="str">
        <f>IF(Z5446="","",IFERROR(LOOKUP(2,1/(#REF!=Z5446),#REF!),""))</f>
        <v/>
      </c>
      <c r="AC5446" t="str">
        <f>IF(Z5446="","",COUNTIF(#REF!,Z5446))</f>
        <v/>
      </c>
      <c r="AD5446" t="str">
        <f>IF(A5446="","",IF(AC5446&gt;1,"REVISAR DUPLICADO",IF(AA5446&lt;&gt;"","ACTUALIZADO POR EYR","SIN REPORTE EYR")))</f>
        <v/>
      </c>
    </row>
    <row r="5447" spans="11:30" x14ac:dyDescent="0.3">
      <c r="K5447" s="1" t="str">
        <f ca="1">IF(A5447="","",IF(OR(L5447="ENTREGADA",L5447="RETORNADA",L5447="ENTREGA DIGITAL"),0,MAX(0,5-NETWORKDAYS(H5447+1,TODAY()))))</f>
        <v/>
      </c>
      <c r="L5447" t="str">
        <f>IF(A5447="","",IFERROR(LOOKUP(2,1/(#REF!=Z5447),#REF!),Y5447))</f>
        <v/>
      </c>
      <c r="Z5447" t="str">
        <f>IF(A5447="","",TEXT(A5447,"0")&amp;"|"&amp;TEXT(H5447,"0"))</f>
        <v/>
      </c>
      <c r="AA5447" t="str">
        <f>IF(Z5447="","",IFERROR(LOOKUP(2,1/(#REF!=Z5447),#REF!),""))</f>
        <v/>
      </c>
      <c r="AB5447" t="str">
        <f>IF(Z5447="","",IFERROR(LOOKUP(2,1/(#REF!=Z5447),#REF!),""))</f>
        <v/>
      </c>
      <c r="AC5447" t="str">
        <f>IF(Z5447="","",COUNTIF(#REF!,Z5447))</f>
        <v/>
      </c>
      <c r="AD5447" t="str">
        <f>IF(A5447="","",IF(AC5447&gt;1,"REVISAR DUPLICADO",IF(AA5447&lt;&gt;"","ACTUALIZADO POR EYR","SIN REPORTE EYR")))</f>
        <v/>
      </c>
    </row>
    <row r="5448" spans="11:30" x14ac:dyDescent="0.3">
      <c r="K5448" s="1" t="str">
        <f ca="1">IF(A5448="","",IF(OR(L5448="ENTREGADA",L5448="RETORNADA",L5448="ENTREGA DIGITAL"),0,MAX(0,5-NETWORKDAYS(H5448+1,TODAY()))))</f>
        <v/>
      </c>
      <c r="L5448" t="str">
        <f>IF(A5448="","",IFERROR(LOOKUP(2,1/(#REF!=Z5448),#REF!),Y5448))</f>
        <v/>
      </c>
      <c r="Z5448" t="str">
        <f>IF(A5448="","",TEXT(A5448,"0")&amp;"|"&amp;TEXT(H5448,"0"))</f>
        <v/>
      </c>
      <c r="AA5448" t="str">
        <f>IF(Z5448="","",IFERROR(LOOKUP(2,1/(#REF!=Z5448),#REF!),""))</f>
        <v/>
      </c>
      <c r="AB5448" t="str">
        <f>IF(Z5448="","",IFERROR(LOOKUP(2,1/(#REF!=Z5448),#REF!),""))</f>
        <v/>
      </c>
      <c r="AC5448" t="str">
        <f>IF(Z5448="","",COUNTIF(#REF!,Z5448))</f>
        <v/>
      </c>
      <c r="AD5448" t="str">
        <f>IF(A5448="","",IF(AC5448&gt;1,"REVISAR DUPLICADO",IF(AA5448&lt;&gt;"","ACTUALIZADO POR EYR","SIN REPORTE EYR")))</f>
        <v/>
      </c>
    </row>
    <row r="5449" spans="11:30" x14ac:dyDescent="0.3">
      <c r="K5449" s="1" t="str">
        <f ca="1">IF(A5449="","",IF(OR(L5449="ENTREGADA",L5449="RETORNADA",L5449="ENTREGA DIGITAL"),0,MAX(0,5-NETWORKDAYS(H5449+1,TODAY()))))</f>
        <v/>
      </c>
      <c r="L5449" t="str">
        <f>IF(A5449="","",IFERROR(LOOKUP(2,1/(#REF!=Z5449),#REF!),Y5449))</f>
        <v/>
      </c>
      <c r="Z5449" t="str">
        <f>IF(A5449="","",TEXT(A5449,"0")&amp;"|"&amp;TEXT(H5449,"0"))</f>
        <v/>
      </c>
      <c r="AA5449" t="str">
        <f>IF(Z5449="","",IFERROR(LOOKUP(2,1/(#REF!=Z5449),#REF!),""))</f>
        <v/>
      </c>
      <c r="AB5449" t="str">
        <f>IF(Z5449="","",IFERROR(LOOKUP(2,1/(#REF!=Z5449),#REF!),""))</f>
        <v/>
      </c>
      <c r="AC5449" t="str">
        <f>IF(Z5449="","",COUNTIF(#REF!,Z5449))</f>
        <v/>
      </c>
      <c r="AD5449" t="str">
        <f>IF(A5449="","",IF(AC5449&gt;1,"REVISAR DUPLICADO",IF(AA5449&lt;&gt;"","ACTUALIZADO POR EYR","SIN REPORTE EYR")))</f>
        <v/>
      </c>
    </row>
    <row r="5450" spans="11:30" x14ac:dyDescent="0.3">
      <c r="K5450" s="1" t="str">
        <f ca="1">IF(A5450="","",IF(OR(L5450="ENTREGADA",L5450="RETORNADA",L5450="ENTREGA DIGITAL"),0,MAX(0,5-NETWORKDAYS(H5450+1,TODAY()))))</f>
        <v/>
      </c>
      <c r="L5450" t="str">
        <f>IF(A5450="","",IFERROR(LOOKUP(2,1/(#REF!=Z5450),#REF!),Y5450))</f>
        <v/>
      </c>
      <c r="Z5450" t="str">
        <f>IF(A5450="","",TEXT(A5450,"0")&amp;"|"&amp;TEXT(H5450,"0"))</f>
        <v/>
      </c>
      <c r="AA5450" t="str">
        <f>IF(Z5450="","",IFERROR(LOOKUP(2,1/(#REF!=Z5450),#REF!),""))</f>
        <v/>
      </c>
      <c r="AB5450" t="str">
        <f>IF(Z5450="","",IFERROR(LOOKUP(2,1/(#REF!=Z5450),#REF!),""))</f>
        <v/>
      </c>
      <c r="AC5450" t="str">
        <f>IF(Z5450="","",COUNTIF(#REF!,Z5450))</f>
        <v/>
      </c>
      <c r="AD5450" t="str">
        <f>IF(A5450="","",IF(AC5450&gt;1,"REVISAR DUPLICADO",IF(AA5450&lt;&gt;"","ACTUALIZADO POR EYR","SIN REPORTE EYR")))</f>
        <v/>
      </c>
    </row>
    <row r="5451" spans="11:30" x14ac:dyDescent="0.3">
      <c r="K5451" s="1" t="str">
        <f ca="1">IF(A5451="","",IF(OR(L5451="ENTREGADA",L5451="RETORNADA",L5451="ENTREGA DIGITAL"),0,MAX(0,5-NETWORKDAYS(H5451+1,TODAY()))))</f>
        <v/>
      </c>
      <c r="L5451" t="str">
        <f>IF(A5451="","",IFERROR(LOOKUP(2,1/(#REF!=Z5451),#REF!),Y5451))</f>
        <v/>
      </c>
      <c r="Z5451" t="str">
        <f>IF(A5451="","",TEXT(A5451,"0")&amp;"|"&amp;TEXT(H5451,"0"))</f>
        <v/>
      </c>
      <c r="AA5451" t="str">
        <f>IF(Z5451="","",IFERROR(LOOKUP(2,1/(#REF!=Z5451),#REF!),""))</f>
        <v/>
      </c>
      <c r="AB5451" t="str">
        <f>IF(Z5451="","",IFERROR(LOOKUP(2,1/(#REF!=Z5451),#REF!),""))</f>
        <v/>
      </c>
      <c r="AC5451" t="str">
        <f>IF(Z5451="","",COUNTIF(#REF!,Z5451))</f>
        <v/>
      </c>
      <c r="AD5451" t="str">
        <f>IF(A5451="","",IF(AC5451&gt;1,"REVISAR DUPLICADO",IF(AA5451&lt;&gt;"","ACTUALIZADO POR EYR","SIN REPORTE EYR")))</f>
        <v/>
      </c>
    </row>
    <row r="5452" spans="11:30" x14ac:dyDescent="0.3">
      <c r="K5452" s="1" t="str">
        <f ca="1">IF(A5452="","",IF(OR(L5452="ENTREGADA",L5452="RETORNADA",L5452="ENTREGA DIGITAL"),0,MAX(0,5-NETWORKDAYS(H5452+1,TODAY()))))</f>
        <v/>
      </c>
      <c r="L5452" t="str">
        <f>IF(A5452="","",IFERROR(LOOKUP(2,1/(#REF!=Z5452),#REF!),Y5452))</f>
        <v/>
      </c>
      <c r="Z5452" t="str">
        <f>IF(A5452="","",TEXT(A5452,"0")&amp;"|"&amp;TEXT(H5452,"0"))</f>
        <v/>
      </c>
      <c r="AA5452" t="str">
        <f>IF(Z5452="","",IFERROR(LOOKUP(2,1/(#REF!=Z5452),#REF!),""))</f>
        <v/>
      </c>
      <c r="AB5452" t="str">
        <f>IF(Z5452="","",IFERROR(LOOKUP(2,1/(#REF!=Z5452),#REF!),""))</f>
        <v/>
      </c>
      <c r="AC5452" t="str">
        <f>IF(Z5452="","",COUNTIF(#REF!,Z5452))</f>
        <v/>
      </c>
      <c r="AD5452" t="str">
        <f>IF(A5452="","",IF(AC5452&gt;1,"REVISAR DUPLICADO",IF(AA5452&lt;&gt;"","ACTUALIZADO POR EYR","SIN REPORTE EYR")))</f>
        <v/>
      </c>
    </row>
    <row r="5453" spans="11:30" x14ac:dyDescent="0.3">
      <c r="K5453" s="1" t="str">
        <f ca="1">IF(A5453="","",IF(OR(L5453="ENTREGADA",L5453="RETORNADA",L5453="ENTREGA DIGITAL"),0,MAX(0,5-NETWORKDAYS(H5453+1,TODAY()))))</f>
        <v/>
      </c>
      <c r="L5453" t="str">
        <f>IF(A5453="","",IFERROR(LOOKUP(2,1/(#REF!=Z5453),#REF!),Y5453))</f>
        <v/>
      </c>
      <c r="Z5453" t="str">
        <f>IF(A5453="","",TEXT(A5453,"0")&amp;"|"&amp;TEXT(H5453,"0"))</f>
        <v/>
      </c>
      <c r="AA5453" t="str">
        <f>IF(Z5453="","",IFERROR(LOOKUP(2,1/(#REF!=Z5453),#REF!),""))</f>
        <v/>
      </c>
      <c r="AB5453" t="str">
        <f>IF(Z5453="","",IFERROR(LOOKUP(2,1/(#REF!=Z5453),#REF!),""))</f>
        <v/>
      </c>
      <c r="AC5453" t="str">
        <f>IF(Z5453="","",COUNTIF(#REF!,Z5453))</f>
        <v/>
      </c>
      <c r="AD5453" t="str">
        <f>IF(A5453="","",IF(AC5453&gt;1,"REVISAR DUPLICADO",IF(AA5453&lt;&gt;"","ACTUALIZADO POR EYR","SIN REPORTE EYR")))</f>
        <v/>
      </c>
    </row>
    <row r="5454" spans="11:30" x14ac:dyDescent="0.3">
      <c r="K5454" s="1" t="str">
        <f ca="1">IF(A5454="","",IF(OR(L5454="ENTREGADA",L5454="RETORNADA",L5454="ENTREGA DIGITAL"),0,MAX(0,5-NETWORKDAYS(H5454+1,TODAY()))))</f>
        <v/>
      </c>
      <c r="L5454" t="str">
        <f>IF(A5454="","",IFERROR(LOOKUP(2,1/(#REF!=Z5454),#REF!),Y5454))</f>
        <v/>
      </c>
      <c r="Z5454" t="str">
        <f>IF(A5454="","",TEXT(A5454,"0")&amp;"|"&amp;TEXT(H5454,"0"))</f>
        <v/>
      </c>
      <c r="AA5454" t="str">
        <f>IF(Z5454="","",IFERROR(LOOKUP(2,1/(#REF!=Z5454),#REF!),""))</f>
        <v/>
      </c>
      <c r="AB5454" t="str">
        <f>IF(Z5454="","",IFERROR(LOOKUP(2,1/(#REF!=Z5454),#REF!),""))</f>
        <v/>
      </c>
      <c r="AC5454" t="str">
        <f>IF(Z5454="","",COUNTIF(#REF!,Z5454))</f>
        <v/>
      </c>
      <c r="AD5454" t="str">
        <f>IF(A5454="","",IF(AC5454&gt;1,"REVISAR DUPLICADO",IF(AA5454&lt;&gt;"","ACTUALIZADO POR EYR","SIN REPORTE EYR")))</f>
        <v/>
      </c>
    </row>
    <row r="5455" spans="11:30" x14ac:dyDescent="0.3">
      <c r="K5455" s="1" t="str">
        <f ca="1">IF(A5455="","",IF(OR(L5455="ENTREGADA",L5455="RETORNADA",L5455="ENTREGA DIGITAL"),0,MAX(0,5-NETWORKDAYS(H5455+1,TODAY()))))</f>
        <v/>
      </c>
      <c r="L5455" t="str">
        <f>IF(A5455="","",IFERROR(LOOKUP(2,1/(#REF!=Z5455),#REF!),Y5455))</f>
        <v/>
      </c>
      <c r="Z5455" t="str">
        <f>IF(A5455="","",TEXT(A5455,"0")&amp;"|"&amp;TEXT(H5455,"0"))</f>
        <v/>
      </c>
      <c r="AA5455" t="str">
        <f>IF(Z5455="","",IFERROR(LOOKUP(2,1/(#REF!=Z5455),#REF!),""))</f>
        <v/>
      </c>
      <c r="AB5455" t="str">
        <f>IF(Z5455="","",IFERROR(LOOKUP(2,1/(#REF!=Z5455),#REF!),""))</f>
        <v/>
      </c>
      <c r="AC5455" t="str">
        <f>IF(Z5455="","",COUNTIF(#REF!,Z5455))</f>
        <v/>
      </c>
      <c r="AD5455" t="str">
        <f>IF(A5455="","",IF(AC5455&gt;1,"REVISAR DUPLICADO",IF(AA5455&lt;&gt;"","ACTUALIZADO POR EYR","SIN REPORTE EYR")))</f>
        <v/>
      </c>
    </row>
    <row r="5456" spans="11:30" x14ac:dyDescent="0.3">
      <c r="K5456" s="1" t="str">
        <f ca="1">IF(A5456="","",IF(OR(L5456="ENTREGADA",L5456="RETORNADA",L5456="ENTREGA DIGITAL"),0,MAX(0,5-NETWORKDAYS(H5456+1,TODAY()))))</f>
        <v/>
      </c>
      <c r="L5456" t="str">
        <f>IF(A5456="","",IFERROR(LOOKUP(2,1/(#REF!=Z5456),#REF!),Y5456))</f>
        <v/>
      </c>
      <c r="Z5456" t="str">
        <f>IF(A5456="","",TEXT(A5456,"0")&amp;"|"&amp;TEXT(H5456,"0"))</f>
        <v/>
      </c>
      <c r="AA5456" t="str">
        <f>IF(Z5456="","",IFERROR(LOOKUP(2,1/(#REF!=Z5456),#REF!),""))</f>
        <v/>
      </c>
      <c r="AB5456" t="str">
        <f>IF(Z5456="","",IFERROR(LOOKUP(2,1/(#REF!=Z5456),#REF!),""))</f>
        <v/>
      </c>
      <c r="AC5456" t="str">
        <f>IF(Z5456="","",COUNTIF(#REF!,Z5456))</f>
        <v/>
      </c>
      <c r="AD5456" t="str">
        <f>IF(A5456="","",IF(AC5456&gt;1,"REVISAR DUPLICADO",IF(AA5456&lt;&gt;"","ACTUALIZADO POR EYR","SIN REPORTE EYR")))</f>
        <v/>
      </c>
    </row>
    <row r="5457" spans="11:30" x14ac:dyDescent="0.3">
      <c r="K5457" s="1" t="str">
        <f ca="1">IF(A5457="","",IF(OR(L5457="ENTREGADA",L5457="RETORNADA",L5457="ENTREGA DIGITAL"),0,MAX(0,5-NETWORKDAYS(H5457+1,TODAY()))))</f>
        <v/>
      </c>
      <c r="L5457" t="str">
        <f>IF(A5457="","",IFERROR(LOOKUP(2,1/(#REF!=Z5457),#REF!),Y5457))</f>
        <v/>
      </c>
      <c r="Z5457" t="str">
        <f>IF(A5457="","",TEXT(A5457,"0")&amp;"|"&amp;TEXT(H5457,"0"))</f>
        <v/>
      </c>
      <c r="AA5457" t="str">
        <f>IF(Z5457="","",IFERROR(LOOKUP(2,1/(#REF!=Z5457),#REF!),""))</f>
        <v/>
      </c>
      <c r="AB5457" t="str">
        <f>IF(Z5457="","",IFERROR(LOOKUP(2,1/(#REF!=Z5457),#REF!),""))</f>
        <v/>
      </c>
      <c r="AC5457" t="str">
        <f>IF(Z5457="","",COUNTIF(#REF!,Z5457))</f>
        <v/>
      </c>
      <c r="AD5457" t="str">
        <f>IF(A5457="","",IF(AC5457&gt;1,"REVISAR DUPLICADO",IF(AA5457&lt;&gt;"","ACTUALIZADO POR EYR","SIN REPORTE EYR")))</f>
        <v/>
      </c>
    </row>
    <row r="5458" spans="11:30" x14ac:dyDescent="0.3">
      <c r="K5458" s="1" t="str">
        <f ca="1">IF(A5458="","",IF(OR(L5458="ENTREGADA",L5458="RETORNADA",L5458="ENTREGA DIGITAL"),0,MAX(0,5-NETWORKDAYS(H5458+1,TODAY()))))</f>
        <v/>
      </c>
      <c r="L5458" t="str">
        <f>IF(A5458="","",IFERROR(LOOKUP(2,1/(#REF!=Z5458),#REF!),Y5458))</f>
        <v/>
      </c>
      <c r="Z5458" t="str">
        <f>IF(A5458="","",TEXT(A5458,"0")&amp;"|"&amp;TEXT(H5458,"0"))</f>
        <v/>
      </c>
      <c r="AA5458" t="str">
        <f>IF(Z5458="","",IFERROR(LOOKUP(2,1/(#REF!=Z5458),#REF!),""))</f>
        <v/>
      </c>
      <c r="AB5458" t="str">
        <f>IF(Z5458="","",IFERROR(LOOKUP(2,1/(#REF!=Z5458),#REF!),""))</f>
        <v/>
      </c>
      <c r="AC5458" t="str">
        <f>IF(Z5458="","",COUNTIF(#REF!,Z5458))</f>
        <v/>
      </c>
      <c r="AD5458" t="str">
        <f>IF(A5458="","",IF(AC5458&gt;1,"REVISAR DUPLICADO",IF(AA5458&lt;&gt;"","ACTUALIZADO POR EYR","SIN REPORTE EYR")))</f>
        <v/>
      </c>
    </row>
    <row r="5459" spans="11:30" x14ac:dyDescent="0.3">
      <c r="K5459" s="1" t="str">
        <f ca="1">IF(A5459="","",IF(OR(L5459="ENTREGADA",L5459="RETORNADA",L5459="ENTREGA DIGITAL"),0,MAX(0,5-NETWORKDAYS(H5459+1,TODAY()))))</f>
        <v/>
      </c>
      <c r="L5459" t="str">
        <f>IF(A5459="","",IFERROR(LOOKUP(2,1/(#REF!=Z5459),#REF!),Y5459))</f>
        <v/>
      </c>
      <c r="Z5459" t="str">
        <f>IF(A5459="","",TEXT(A5459,"0")&amp;"|"&amp;TEXT(H5459,"0"))</f>
        <v/>
      </c>
      <c r="AA5459" t="str">
        <f>IF(Z5459="","",IFERROR(LOOKUP(2,1/(#REF!=Z5459),#REF!),""))</f>
        <v/>
      </c>
      <c r="AB5459" t="str">
        <f>IF(Z5459="","",IFERROR(LOOKUP(2,1/(#REF!=Z5459),#REF!),""))</f>
        <v/>
      </c>
      <c r="AC5459" t="str">
        <f>IF(Z5459="","",COUNTIF(#REF!,Z5459))</f>
        <v/>
      </c>
      <c r="AD5459" t="str">
        <f>IF(A5459="","",IF(AC5459&gt;1,"REVISAR DUPLICADO",IF(AA5459&lt;&gt;"","ACTUALIZADO POR EYR","SIN REPORTE EYR")))</f>
        <v/>
      </c>
    </row>
    <row r="5460" spans="11:30" x14ac:dyDescent="0.3">
      <c r="K5460" s="1" t="str">
        <f ca="1">IF(A5460="","",IF(OR(L5460="ENTREGADA",L5460="RETORNADA",L5460="ENTREGA DIGITAL"),0,MAX(0,5-NETWORKDAYS(H5460+1,TODAY()))))</f>
        <v/>
      </c>
      <c r="L5460" t="str">
        <f>IF(A5460="","",IFERROR(LOOKUP(2,1/(#REF!=Z5460),#REF!),Y5460))</f>
        <v/>
      </c>
      <c r="Z5460" t="str">
        <f>IF(A5460="","",TEXT(A5460,"0")&amp;"|"&amp;TEXT(H5460,"0"))</f>
        <v/>
      </c>
      <c r="AA5460" t="str">
        <f>IF(Z5460="","",IFERROR(LOOKUP(2,1/(#REF!=Z5460),#REF!),""))</f>
        <v/>
      </c>
      <c r="AB5460" t="str">
        <f>IF(Z5460="","",IFERROR(LOOKUP(2,1/(#REF!=Z5460),#REF!),""))</f>
        <v/>
      </c>
      <c r="AC5460" t="str">
        <f>IF(Z5460="","",COUNTIF(#REF!,Z5460))</f>
        <v/>
      </c>
      <c r="AD5460" t="str">
        <f>IF(A5460="","",IF(AC5460&gt;1,"REVISAR DUPLICADO",IF(AA5460&lt;&gt;"","ACTUALIZADO POR EYR","SIN REPORTE EYR")))</f>
        <v/>
      </c>
    </row>
    <row r="5461" spans="11:30" x14ac:dyDescent="0.3">
      <c r="K5461" s="1" t="str">
        <f ca="1">IF(A5461="","",IF(OR(L5461="ENTREGADA",L5461="RETORNADA",L5461="ENTREGA DIGITAL"),0,MAX(0,5-NETWORKDAYS(H5461+1,TODAY()))))</f>
        <v/>
      </c>
      <c r="L5461" t="str">
        <f>IF(A5461="","",IFERROR(LOOKUP(2,1/(#REF!=Z5461),#REF!),Y5461))</f>
        <v/>
      </c>
      <c r="Z5461" t="str">
        <f>IF(A5461="","",TEXT(A5461,"0")&amp;"|"&amp;TEXT(H5461,"0"))</f>
        <v/>
      </c>
      <c r="AA5461" t="str">
        <f>IF(Z5461="","",IFERROR(LOOKUP(2,1/(#REF!=Z5461),#REF!),""))</f>
        <v/>
      </c>
      <c r="AB5461" t="str">
        <f>IF(Z5461="","",IFERROR(LOOKUP(2,1/(#REF!=Z5461),#REF!),""))</f>
        <v/>
      </c>
      <c r="AC5461" t="str">
        <f>IF(Z5461="","",COUNTIF(#REF!,Z5461))</f>
        <v/>
      </c>
      <c r="AD5461" t="str">
        <f>IF(A5461="","",IF(AC5461&gt;1,"REVISAR DUPLICADO",IF(AA5461&lt;&gt;"","ACTUALIZADO POR EYR","SIN REPORTE EYR")))</f>
        <v/>
      </c>
    </row>
    <row r="5462" spans="11:30" x14ac:dyDescent="0.3">
      <c r="K5462" s="1" t="str">
        <f ca="1">IF(A5462="","",IF(OR(L5462="ENTREGADA",L5462="RETORNADA",L5462="ENTREGA DIGITAL"),0,MAX(0,5-NETWORKDAYS(H5462+1,TODAY()))))</f>
        <v/>
      </c>
      <c r="L5462" t="str">
        <f>IF(A5462="","",IFERROR(LOOKUP(2,1/(#REF!=Z5462),#REF!),Y5462))</f>
        <v/>
      </c>
      <c r="Z5462" t="str">
        <f>IF(A5462="","",TEXT(A5462,"0")&amp;"|"&amp;TEXT(H5462,"0"))</f>
        <v/>
      </c>
      <c r="AA5462" t="str">
        <f>IF(Z5462="","",IFERROR(LOOKUP(2,1/(#REF!=Z5462),#REF!),""))</f>
        <v/>
      </c>
      <c r="AB5462" t="str">
        <f>IF(Z5462="","",IFERROR(LOOKUP(2,1/(#REF!=Z5462),#REF!),""))</f>
        <v/>
      </c>
      <c r="AC5462" t="str">
        <f>IF(Z5462="","",COUNTIF(#REF!,Z5462))</f>
        <v/>
      </c>
      <c r="AD5462" t="str">
        <f>IF(A5462="","",IF(AC5462&gt;1,"REVISAR DUPLICADO",IF(AA5462&lt;&gt;"","ACTUALIZADO POR EYR","SIN REPORTE EYR")))</f>
        <v/>
      </c>
    </row>
    <row r="5463" spans="11:30" x14ac:dyDescent="0.3">
      <c r="K5463" s="1" t="str">
        <f ca="1">IF(A5463="","",IF(OR(L5463="ENTREGADA",L5463="RETORNADA",L5463="ENTREGA DIGITAL"),0,MAX(0,5-NETWORKDAYS(H5463+1,TODAY()))))</f>
        <v/>
      </c>
      <c r="L5463" t="str">
        <f>IF(A5463="","",IFERROR(LOOKUP(2,1/(#REF!=Z5463),#REF!),Y5463))</f>
        <v/>
      </c>
      <c r="Z5463" t="str">
        <f>IF(A5463="","",TEXT(A5463,"0")&amp;"|"&amp;TEXT(H5463,"0"))</f>
        <v/>
      </c>
      <c r="AA5463" t="str">
        <f>IF(Z5463="","",IFERROR(LOOKUP(2,1/(#REF!=Z5463),#REF!),""))</f>
        <v/>
      </c>
      <c r="AB5463" t="str">
        <f>IF(Z5463="","",IFERROR(LOOKUP(2,1/(#REF!=Z5463),#REF!),""))</f>
        <v/>
      </c>
      <c r="AC5463" t="str">
        <f>IF(Z5463="","",COUNTIF(#REF!,Z5463))</f>
        <v/>
      </c>
      <c r="AD5463" t="str">
        <f>IF(A5463="","",IF(AC5463&gt;1,"REVISAR DUPLICADO",IF(AA5463&lt;&gt;"","ACTUALIZADO POR EYR","SIN REPORTE EYR")))</f>
        <v/>
      </c>
    </row>
    <row r="5464" spans="11:30" x14ac:dyDescent="0.3">
      <c r="K5464" s="1" t="str">
        <f ca="1">IF(A5464="","",IF(OR(L5464="ENTREGADA",L5464="RETORNADA",L5464="ENTREGA DIGITAL"),0,MAX(0,5-NETWORKDAYS(H5464+1,TODAY()))))</f>
        <v/>
      </c>
      <c r="L5464" t="str">
        <f>IF(A5464="","",IFERROR(LOOKUP(2,1/(#REF!=Z5464),#REF!),Y5464))</f>
        <v/>
      </c>
      <c r="Z5464" t="str">
        <f>IF(A5464="","",TEXT(A5464,"0")&amp;"|"&amp;TEXT(H5464,"0"))</f>
        <v/>
      </c>
      <c r="AA5464" t="str">
        <f>IF(Z5464="","",IFERROR(LOOKUP(2,1/(#REF!=Z5464),#REF!),""))</f>
        <v/>
      </c>
      <c r="AB5464" t="str">
        <f>IF(Z5464="","",IFERROR(LOOKUP(2,1/(#REF!=Z5464),#REF!),""))</f>
        <v/>
      </c>
      <c r="AC5464" t="str">
        <f>IF(Z5464="","",COUNTIF(#REF!,Z5464))</f>
        <v/>
      </c>
      <c r="AD5464" t="str">
        <f>IF(A5464="","",IF(AC5464&gt;1,"REVISAR DUPLICADO",IF(AA5464&lt;&gt;"","ACTUALIZADO POR EYR","SIN REPORTE EYR")))</f>
        <v/>
      </c>
    </row>
    <row r="5465" spans="11:30" x14ac:dyDescent="0.3">
      <c r="K5465" s="1" t="str">
        <f ca="1">IF(A5465="","",IF(OR(L5465="ENTREGADA",L5465="RETORNADA",L5465="ENTREGA DIGITAL"),0,MAX(0,5-NETWORKDAYS(H5465+1,TODAY()))))</f>
        <v/>
      </c>
      <c r="L5465" t="str">
        <f>IF(A5465="","",IFERROR(LOOKUP(2,1/(#REF!=Z5465),#REF!),Y5465))</f>
        <v/>
      </c>
      <c r="Z5465" t="str">
        <f>IF(A5465="","",TEXT(A5465,"0")&amp;"|"&amp;TEXT(H5465,"0"))</f>
        <v/>
      </c>
      <c r="AA5465" t="str">
        <f>IF(Z5465="","",IFERROR(LOOKUP(2,1/(#REF!=Z5465),#REF!),""))</f>
        <v/>
      </c>
      <c r="AB5465" t="str">
        <f>IF(Z5465="","",IFERROR(LOOKUP(2,1/(#REF!=Z5465),#REF!),""))</f>
        <v/>
      </c>
      <c r="AC5465" t="str">
        <f>IF(Z5465="","",COUNTIF(#REF!,Z5465))</f>
        <v/>
      </c>
      <c r="AD5465" t="str">
        <f>IF(A5465="","",IF(AC5465&gt;1,"REVISAR DUPLICADO",IF(AA5465&lt;&gt;"","ACTUALIZADO POR EYR","SIN REPORTE EYR")))</f>
        <v/>
      </c>
    </row>
    <row r="5466" spans="11:30" x14ac:dyDescent="0.3">
      <c r="K5466" s="1" t="str">
        <f ca="1">IF(A5466="","",IF(OR(L5466="ENTREGADA",L5466="RETORNADA",L5466="ENTREGA DIGITAL"),0,MAX(0,5-NETWORKDAYS(H5466+1,TODAY()))))</f>
        <v/>
      </c>
      <c r="L5466" t="str">
        <f>IF(A5466="","",IFERROR(LOOKUP(2,1/(#REF!=Z5466),#REF!),Y5466))</f>
        <v/>
      </c>
      <c r="Z5466" t="str">
        <f>IF(A5466="","",TEXT(A5466,"0")&amp;"|"&amp;TEXT(H5466,"0"))</f>
        <v/>
      </c>
      <c r="AA5466" t="str">
        <f>IF(Z5466="","",IFERROR(LOOKUP(2,1/(#REF!=Z5466),#REF!),""))</f>
        <v/>
      </c>
      <c r="AB5466" t="str">
        <f>IF(Z5466="","",IFERROR(LOOKUP(2,1/(#REF!=Z5466),#REF!),""))</f>
        <v/>
      </c>
      <c r="AC5466" t="str">
        <f>IF(Z5466="","",COUNTIF(#REF!,Z5466))</f>
        <v/>
      </c>
      <c r="AD5466" t="str">
        <f>IF(A5466="","",IF(AC5466&gt;1,"REVISAR DUPLICADO",IF(AA5466&lt;&gt;"","ACTUALIZADO POR EYR","SIN REPORTE EYR")))</f>
        <v/>
      </c>
    </row>
    <row r="5467" spans="11:30" x14ac:dyDescent="0.3">
      <c r="K5467" s="1" t="str">
        <f ca="1">IF(A5467="","",IF(OR(L5467="ENTREGADA",L5467="RETORNADA",L5467="ENTREGA DIGITAL"),0,MAX(0,5-NETWORKDAYS(H5467+1,TODAY()))))</f>
        <v/>
      </c>
      <c r="L5467" t="str">
        <f>IF(A5467="","",IFERROR(LOOKUP(2,1/(#REF!=Z5467),#REF!),Y5467))</f>
        <v/>
      </c>
      <c r="Z5467" t="str">
        <f>IF(A5467="","",TEXT(A5467,"0")&amp;"|"&amp;TEXT(H5467,"0"))</f>
        <v/>
      </c>
      <c r="AA5467" t="str">
        <f>IF(Z5467="","",IFERROR(LOOKUP(2,1/(#REF!=Z5467),#REF!),""))</f>
        <v/>
      </c>
      <c r="AB5467" t="str">
        <f>IF(Z5467="","",IFERROR(LOOKUP(2,1/(#REF!=Z5467),#REF!),""))</f>
        <v/>
      </c>
      <c r="AC5467" t="str">
        <f>IF(Z5467="","",COUNTIF(#REF!,Z5467))</f>
        <v/>
      </c>
      <c r="AD5467" t="str">
        <f>IF(A5467="","",IF(AC5467&gt;1,"REVISAR DUPLICADO",IF(AA5467&lt;&gt;"","ACTUALIZADO POR EYR","SIN REPORTE EYR")))</f>
        <v/>
      </c>
    </row>
    <row r="5468" spans="11:30" x14ac:dyDescent="0.3">
      <c r="K5468" s="1" t="str">
        <f ca="1">IF(A5468="","",IF(OR(L5468="ENTREGADA",L5468="RETORNADA",L5468="ENTREGA DIGITAL"),0,MAX(0,5-NETWORKDAYS(H5468+1,TODAY()))))</f>
        <v/>
      </c>
      <c r="L5468" t="str">
        <f>IF(A5468="","",IFERROR(LOOKUP(2,1/(#REF!=Z5468),#REF!),Y5468))</f>
        <v/>
      </c>
      <c r="Z5468" t="str">
        <f>IF(A5468="","",TEXT(A5468,"0")&amp;"|"&amp;TEXT(H5468,"0"))</f>
        <v/>
      </c>
      <c r="AA5468" t="str">
        <f>IF(Z5468="","",IFERROR(LOOKUP(2,1/(#REF!=Z5468),#REF!),""))</f>
        <v/>
      </c>
      <c r="AB5468" t="str">
        <f>IF(Z5468="","",IFERROR(LOOKUP(2,1/(#REF!=Z5468),#REF!),""))</f>
        <v/>
      </c>
      <c r="AC5468" t="str">
        <f>IF(Z5468="","",COUNTIF(#REF!,Z5468))</f>
        <v/>
      </c>
      <c r="AD5468" t="str">
        <f>IF(A5468="","",IF(AC5468&gt;1,"REVISAR DUPLICADO",IF(AA5468&lt;&gt;"","ACTUALIZADO POR EYR","SIN REPORTE EYR")))</f>
        <v/>
      </c>
    </row>
    <row r="5469" spans="11:30" x14ac:dyDescent="0.3">
      <c r="K5469" s="1" t="str">
        <f ca="1">IF(A5469="","",IF(OR(L5469="ENTREGADA",L5469="RETORNADA",L5469="ENTREGA DIGITAL"),0,MAX(0,5-NETWORKDAYS(H5469+1,TODAY()))))</f>
        <v/>
      </c>
      <c r="L5469" t="str">
        <f>IF(A5469="","",IFERROR(LOOKUP(2,1/(#REF!=Z5469),#REF!),Y5469))</f>
        <v/>
      </c>
      <c r="Z5469" t="str">
        <f>IF(A5469="","",TEXT(A5469,"0")&amp;"|"&amp;TEXT(H5469,"0"))</f>
        <v/>
      </c>
      <c r="AA5469" t="str">
        <f>IF(Z5469="","",IFERROR(LOOKUP(2,1/(#REF!=Z5469),#REF!),""))</f>
        <v/>
      </c>
      <c r="AB5469" t="str">
        <f>IF(Z5469="","",IFERROR(LOOKUP(2,1/(#REF!=Z5469),#REF!),""))</f>
        <v/>
      </c>
      <c r="AC5469" t="str">
        <f>IF(Z5469="","",COUNTIF(#REF!,Z5469))</f>
        <v/>
      </c>
      <c r="AD5469" t="str">
        <f>IF(A5469="","",IF(AC5469&gt;1,"REVISAR DUPLICADO",IF(AA5469&lt;&gt;"","ACTUALIZADO POR EYR","SIN REPORTE EYR")))</f>
        <v/>
      </c>
    </row>
    <row r="5470" spans="11:30" x14ac:dyDescent="0.3">
      <c r="K5470" s="1" t="str">
        <f ca="1">IF(A5470="","",IF(OR(L5470="ENTREGADA",L5470="RETORNADA",L5470="ENTREGA DIGITAL"),0,MAX(0,5-NETWORKDAYS(H5470+1,TODAY()))))</f>
        <v/>
      </c>
      <c r="L5470" t="str">
        <f>IF(A5470="","",IFERROR(LOOKUP(2,1/(#REF!=Z5470),#REF!),Y5470))</f>
        <v/>
      </c>
      <c r="Z5470" t="str">
        <f>IF(A5470="","",TEXT(A5470,"0")&amp;"|"&amp;TEXT(H5470,"0"))</f>
        <v/>
      </c>
      <c r="AA5470" t="str">
        <f>IF(Z5470="","",IFERROR(LOOKUP(2,1/(#REF!=Z5470),#REF!),""))</f>
        <v/>
      </c>
      <c r="AB5470" t="str">
        <f>IF(Z5470="","",IFERROR(LOOKUP(2,1/(#REF!=Z5470),#REF!),""))</f>
        <v/>
      </c>
      <c r="AC5470" t="str">
        <f>IF(Z5470="","",COUNTIF(#REF!,Z5470))</f>
        <v/>
      </c>
      <c r="AD5470" t="str">
        <f>IF(A5470="","",IF(AC5470&gt;1,"REVISAR DUPLICADO",IF(AA5470&lt;&gt;"","ACTUALIZADO POR EYR","SIN REPORTE EYR")))</f>
        <v/>
      </c>
    </row>
    <row r="5471" spans="11:30" x14ac:dyDescent="0.3">
      <c r="K5471" s="1" t="str">
        <f ca="1">IF(A5471="","",IF(OR(L5471="ENTREGADA",L5471="RETORNADA",L5471="ENTREGA DIGITAL"),0,MAX(0,5-NETWORKDAYS(H5471+1,TODAY()))))</f>
        <v/>
      </c>
      <c r="L5471" t="str">
        <f>IF(A5471="","",IFERROR(LOOKUP(2,1/(#REF!=Z5471),#REF!),Y5471))</f>
        <v/>
      </c>
      <c r="Z5471" t="str">
        <f>IF(A5471="","",TEXT(A5471,"0")&amp;"|"&amp;TEXT(H5471,"0"))</f>
        <v/>
      </c>
      <c r="AA5471" t="str">
        <f>IF(Z5471="","",IFERROR(LOOKUP(2,1/(#REF!=Z5471),#REF!),""))</f>
        <v/>
      </c>
      <c r="AB5471" t="str">
        <f>IF(Z5471="","",IFERROR(LOOKUP(2,1/(#REF!=Z5471),#REF!),""))</f>
        <v/>
      </c>
      <c r="AC5471" t="str">
        <f>IF(Z5471="","",COUNTIF(#REF!,Z5471))</f>
        <v/>
      </c>
      <c r="AD5471" t="str">
        <f>IF(A5471="","",IF(AC5471&gt;1,"REVISAR DUPLICADO",IF(AA5471&lt;&gt;"","ACTUALIZADO POR EYR","SIN REPORTE EYR")))</f>
        <v/>
      </c>
    </row>
    <row r="5472" spans="11:30" x14ac:dyDescent="0.3">
      <c r="K5472" s="1" t="str">
        <f ca="1">IF(A5472="","",IF(OR(L5472="ENTREGADA",L5472="RETORNADA",L5472="ENTREGA DIGITAL"),0,MAX(0,5-NETWORKDAYS(H5472+1,TODAY()))))</f>
        <v/>
      </c>
      <c r="L5472" t="str">
        <f>IF(A5472="","",IFERROR(LOOKUP(2,1/(#REF!=Z5472),#REF!),Y5472))</f>
        <v/>
      </c>
      <c r="Z5472" t="str">
        <f>IF(A5472="","",TEXT(A5472,"0")&amp;"|"&amp;TEXT(H5472,"0"))</f>
        <v/>
      </c>
      <c r="AA5472" t="str">
        <f>IF(Z5472="","",IFERROR(LOOKUP(2,1/(#REF!=Z5472),#REF!),""))</f>
        <v/>
      </c>
      <c r="AB5472" t="str">
        <f>IF(Z5472="","",IFERROR(LOOKUP(2,1/(#REF!=Z5472),#REF!),""))</f>
        <v/>
      </c>
      <c r="AC5472" t="str">
        <f>IF(Z5472="","",COUNTIF(#REF!,Z5472))</f>
        <v/>
      </c>
      <c r="AD5472" t="str">
        <f>IF(A5472="","",IF(AC5472&gt;1,"REVISAR DUPLICADO",IF(AA5472&lt;&gt;"","ACTUALIZADO POR EYR","SIN REPORTE EYR")))</f>
        <v/>
      </c>
    </row>
    <row r="5473" spans="11:30" x14ac:dyDescent="0.3">
      <c r="K5473" s="1" t="str">
        <f ca="1">IF(A5473="","",IF(OR(L5473="ENTREGADA",L5473="RETORNADA",L5473="ENTREGA DIGITAL"),0,MAX(0,5-NETWORKDAYS(H5473+1,TODAY()))))</f>
        <v/>
      </c>
      <c r="L5473" t="str">
        <f>IF(A5473="","",IFERROR(LOOKUP(2,1/(#REF!=Z5473),#REF!),Y5473))</f>
        <v/>
      </c>
      <c r="Z5473" t="str">
        <f>IF(A5473="","",TEXT(A5473,"0")&amp;"|"&amp;TEXT(H5473,"0"))</f>
        <v/>
      </c>
      <c r="AA5473" t="str">
        <f>IF(Z5473="","",IFERROR(LOOKUP(2,1/(#REF!=Z5473),#REF!),""))</f>
        <v/>
      </c>
      <c r="AB5473" t="str">
        <f>IF(Z5473="","",IFERROR(LOOKUP(2,1/(#REF!=Z5473),#REF!),""))</f>
        <v/>
      </c>
      <c r="AC5473" t="str">
        <f>IF(Z5473="","",COUNTIF(#REF!,Z5473))</f>
        <v/>
      </c>
      <c r="AD5473" t="str">
        <f>IF(A5473="","",IF(AC5473&gt;1,"REVISAR DUPLICADO",IF(AA5473&lt;&gt;"","ACTUALIZADO POR EYR","SIN REPORTE EYR")))</f>
        <v/>
      </c>
    </row>
    <row r="5474" spans="11:30" x14ac:dyDescent="0.3">
      <c r="K5474" s="1" t="str">
        <f ca="1">IF(A5474="","",IF(OR(L5474="ENTREGADA",L5474="RETORNADA",L5474="ENTREGA DIGITAL"),0,MAX(0,5-NETWORKDAYS(H5474+1,TODAY()))))</f>
        <v/>
      </c>
      <c r="L5474" t="str">
        <f>IF(A5474="","",IFERROR(LOOKUP(2,1/(#REF!=Z5474),#REF!),Y5474))</f>
        <v/>
      </c>
      <c r="Z5474" t="str">
        <f>IF(A5474="","",TEXT(A5474,"0")&amp;"|"&amp;TEXT(H5474,"0"))</f>
        <v/>
      </c>
      <c r="AA5474" t="str">
        <f>IF(Z5474="","",IFERROR(LOOKUP(2,1/(#REF!=Z5474),#REF!),""))</f>
        <v/>
      </c>
      <c r="AB5474" t="str">
        <f>IF(Z5474="","",IFERROR(LOOKUP(2,1/(#REF!=Z5474),#REF!),""))</f>
        <v/>
      </c>
      <c r="AC5474" t="str">
        <f>IF(Z5474="","",COUNTIF(#REF!,Z5474))</f>
        <v/>
      </c>
      <c r="AD5474" t="str">
        <f>IF(A5474="","",IF(AC5474&gt;1,"REVISAR DUPLICADO",IF(AA5474&lt;&gt;"","ACTUALIZADO POR EYR","SIN REPORTE EYR")))</f>
        <v/>
      </c>
    </row>
    <row r="5475" spans="11:30" x14ac:dyDescent="0.3">
      <c r="K5475" s="1" t="str">
        <f ca="1">IF(A5475="","",IF(OR(L5475="ENTREGADA",L5475="RETORNADA",L5475="ENTREGA DIGITAL"),0,MAX(0,5-NETWORKDAYS(H5475+1,TODAY()))))</f>
        <v/>
      </c>
      <c r="L5475" t="str">
        <f>IF(A5475="","",IFERROR(LOOKUP(2,1/(#REF!=Z5475),#REF!),Y5475))</f>
        <v/>
      </c>
      <c r="Z5475" t="str">
        <f>IF(A5475="","",TEXT(A5475,"0")&amp;"|"&amp;TEXT(H5475,"0"))</f>
        <v/>
      </c>
      <c r="AA5475" t="str">
        <f>IF(Z5475="","",IFERROR(LOOKUP(2,1/(#REF!=Z5475),#REF!),""))</f>
        <v/>
      </c>
      <c r="AB5475" t="str">
        <f>IF(Z5475="","",IFERROR(LOOKUP(2,1/(#REF!=Z5475),#REF!),""))</f>
        <v/>
      </c>
      <c r="AC5475" t="str">
        <f>IF(Z5475="","",COUNTIF(#REF!,Z5475))</f>
        <v/>
      </c>
      <c r="AD5475" t="str">
        <f>IF(A5475="","",IF(AC5475&gt;1,"REVISAR DUPLICADO",IF(AA5475&lt;&gt;"","ACTUALIZADO POR EYR","SIN REPORTE EYR")))</f>
        <v/>
      </c>
    </row>
    <row r="5476" spans="11:30" x14ac:dyDescent="0.3">
      <c r="K5476" s="1" t="str">
        <f ca="1">IF(A5476="","",IF(OR(L5476="ENTREGADA",L5476="RETORNADA",L5476="ENTREGA DIGITAL"),0,MAX(0,5-NETWORKDAYS(H5476+1,TODAY()))))</f>
        <v/>
      </c>
      <c r="L5476" t="str">
        <f>IF(A5476="","",IFERROR(LOOKUP(2,1/(#REF!=Z5476),#REF!),Y5476))</f>
        <v/>
      </c>
      <c r="Z5476" t="str">
        <f>IF(A5476="","",TEXT(A5476,"0")&amp;"|"&amp;TEXT(H5476,"0"))</f>
        <v/>
      </c>
      <c r="AA5476" t="str">
        <f>IF(Z5476="","",IFERROR(LOOKUP(2,1/(#REF!=Z5476),#REF!),""))</f>
        <v/>
      </c>
      <c r="AB5476" t="str">
        <f>IF(Z5476="","",IFERROR(LOOKUP(2,1/(#REF!=Z5476),#REF!),""))</f>
        <v/>
      </c>
      <c r="AC5476" t="str">
        <f>IF(Z5476="","",COUNTIF(#REF!,Z5476))</f>
        <v/>
      </c>
      <c r="AD5476" t="str">
        <f>IF(A5476="","",IF(AC5476&gt;1,"REVISAR DUPLICADO",IF(AA5476&lt;&gt;"","ACTUALIZADO POR EYR","SIN REPORTE EYR")))</f>
        <v/>
      </c>
    </row>
    <row r="5477" spans="11:30" x14ac:dyDescent="0.3">
      <c r="K5477" s="1" t="str">
        <f ca="1">IF(A5477="","",IF(OR(L5477="ENTREGADA",L5477="RETORNADA",L5477="ENTREGA DIGITAL"),0,MAX(0,5-NETWORKDAYS(H5477+1,TODAY()))))</f>
        <v/>
      </c>
      <c r="L5477" t="str">
        <f>IF(A5477="","",IFERROR(LOOKUP(2,1/(#REF!=Z5477),#REF!),Y5477))</f>
        <v/>
      </c>
      <c r="Z5477" t="str">
        <f>IF(A5477="","",TEXT(A5477,"0")&amp;"|"&amp;TEXT(H5477,"0"))</f>
        <v/>
      </c>
      <c r="AA5477" t="str">
        <f>IF(Z5477="","",IFERROR(LOOKUP(2,1/(#REF!=Z5477),#REF!),""))</f>
        <v/>
      </c>
      <c r="AB5477" t="str">
        <f>IF(Z5477="","",IFERROR(LOOKUP(2,1/(#REF!=Z5477),#REF!),""))</f>
        <v/>
      </c>
      <c r="AC5477" t="str">
        <f>IF(Z5477="","",COUNTIF(#REF!,Z5477))</f>
        <v/>
      </c>
      <c r="AD5477" t="str">
        <f>IF(A5477="","",IF(AC5477&gt;1,"REVISAR DUPLICADO",IF(AA5477&lt;&gt;"","ACTUALIZADO POR EYR","SIN REPORTE EYR")))</f>
        <v/>
      </c>
    </row>
    <row r="5478" spans="11:30" x14ac:dyDescent="0.3">
      <c r="K5478" s="1" t="str">
        <f ca="1">IF(A5478="","",IF(OR(L5478="ENTREGADA",L5478="RETORNADA",L5478="ENTREGA DIGITAL"),0,MAX(0,5-NETWORKDAYS(H5478+1,TODAY()))))</f>
        <v/>
      </c>
      <c r="L5478" t="str">
        <f>IF(A5478="","",IFERROR(LOOKUP(2,1/(#REF!=Z5478),#REF!),Y5478))</f>
        <v/>
      </c>
      <c r="Z5478" t="str">
        <f>IF(A5478="","",TEXT(A5478,"0")&amp;"|"&amp;TEXT(H5478,"0"))</f>
        <v/>
      </c>
      <c r="AA5478" t="str">
        <f>IF(Z5478="","",IFERROR(LOOKUP(2,1/(#REF!=Z5478),#REF!),""))</f>
        <v/>
      </c>
      <c r="AB5478" t="str">
        <f>IF(Z5478="","",IFERROR(LOOKUP(2,1/(#REF!=Z5478),#REF!),""))</f>
        <v/>
      </c>
      <c r="AC5478" t="str">
        <f>IF(Z5478="","",COUNTIF(#REF!,Z5478))</f>
        <v/>
      </c>
      <c r="AD5478" t="str">
        <f>IF(A5478="","",IF(AC5478&gt;1,"REVISAR DUPLICADO",IF(AA5478&lt;&gt;"","ACTUALIZADO POR EYR","SIN REPORTE EYR")))</f>
        <v/>
      </c>
    </row>
    <row r="5479" spans="11:30" x14ac:dyDescent="0.3">
      <c r="K5479" s="1" t="str">
        <f ca="1">IF(A5479="","",IF(OR(L5479="ENTREGADA",L5479="RETORNADA",L5479="ENTREGA DIGITAL"),0,MAX(0,5-NETWORKDAYS(H5479+1,TODAY()))))</f>
        <v/>
      </c>
      <c r="L5479" t="str">
        <f>IF(A5479="","",IFERROR(LOOKUP(2,1/(#REF!=Z5479),#REF!),Y5479))</f>
        <v/>
      </c>
      <c r="Z5479" t="str">
        <f>IF(A5479="","",TEXT(A5479,"0")&amp;"|"&amp;TEXT(H5479,"0"))</f>
        <v/>
      </c>
      <c r="AA5479" t="str">
        <f>IF(Z5479="","",IFERROR(LOOKUP(2,1/(#REF!=Z5479),#REF!),""))</f>
        <v/>
      </c>
      <c r="AB5479" t="str">
        <f>IF(Z5479="","",IFERROR(LOOKUP(2,1/(#REF!=Z5479),#REF!),""))</f>
        <v/>
      </c>
      <c r="AC5479" t="str">
        <f>IF(Z5479="","",COUNTIF(#REF!,Z5479))</f>
        <v/>
      </c>
      <c r="AD5479" t="str">
        <f>IF(A5479="","",IF(AC5479&gt;1,"REVISAR DUPLICADO",IF(AA5479&lt;&gt;"","ACTUALIZADO POR EYR","SIN REPORTE EYR")))</f>
        <v/>
      </c>
    </row>
    <row r="5480" spans="11:30" x14ac:dyDescent="0.3">
      <c r="K5480" s="1" t="str">
        <f ca="1">IF(A5480="","",IF(OR(L5480="ENTREGADA",L5480="RETORNADA",L5480="ENTREGA DIGITAL"),0,MAX(0,5-NETWORKDAYS(H5480+1,TODAY()))))</f>
        <v/>
      </c>
      <c r="L5480" t="str">
        <f>IF(A5480="","",IFERROR(LOOKUP(2,1/(#REF!=Z5480),#REF!),Y5480))</f>
        <v/>
      </c>
      <c r="Z5480" t="str">
        <f>IF(A5480="","",TEXT(A5480,"0")&amp;"|"&amp;TEXT(H5480,"0"))</f>
        <v/>
      </c>
      <c r="AA5480" t="str">
        <f>IF(Z5480="","",IFERROR(LOOKUP(2,1/(#REF!=Z5480),#REF!),""))</f>
        <v/>
      </c>
      <c r="AB5480" t="str">
        <f>IF(Z5480="","",IFERROR(LOOKUP(2,1/(#REF!=Z5480),#REF!),""))</f>
        <v/>
      </c>
      <c r="AC5480" t="str">
        <f>IF(Z5480="","",COUNTIF(#REF!,Z5480))</f>
        <v/>
      </c>
      <c r="AD5480" t="str">
        <f>IF(A5480="","",IF(AC5480&gt;1,"REVISAR DUPLICADO",IF(AA5480&lt;&gt;"","ACTUALIZADO POR EYR","SIN REPORTE EYR")))</f>
        <v/>
      </c>
    </row>
    <row r="5481" spans="11:30" x14ac:dyDescent="0.3">
      <c r="K5481" s="1" t="str">
        <f ca="1">IF(A5481="","",IF(OR(L5481="ENTREGADA",L5481="RETORNADA",L5481="ENTREGA DIGITAL"),0,MAX(0,5-NETWORKDAYS(H5481+1,TODAY()))))</f>
        <v/>
      </c>
      <c r="L5481" t="str">
        <f>IF(A5481="","",IFERROR(LOOKUP(2,1/(#REF!=Z5481),#REF!),Y5481))</f>
        <v/>
      </c>
      <c r="Z5481" t="str">
        <f>IF(A5481="","",TEXT(A5481,"0")&amp;"|"&amp;TEXT(H5481,"0"))</f>
        <v/>
      </c>
      <c r="AA5481" t="str">
        <f>IF(Z5481="","",IFERROR(LOOKUP(2,1/(#REF!=Z5481),#REF!),""))</f>
        <v/>
      </c>
      <c r="AB5481" t="str">
        <f>IF(Z5481="","",IFERROR(LOOKUP(2,1/(#REF!=Z5481),#REF!),""))</f>
        <v/>
      </c>
      <c r="AC5481" t="str">
        <f>IF(Z5481="","",COUNTIF(#REF!,Z5481))</f>
        <v/>
      </c>
      <c r="AD5481" t="str">
        <f>IF(A5481="","",IF(AC5481&gt;1,"REVISAR DUPLICADO",IF(AA5481&lt;&gt;"","ACTUALIZADO POR EYR","SIN REPORTE EYR")))</f>
        <v/>
      </c>
    </row>
    <row r="5482" spans="11:30" x14ac:dyDescent="0.3">
      <c r="K5482" s="1" t="str">
        <f ca="1">IF(A5482="","",IF(OR(L5482="ENTREGADA",L5482="RETORNADA",L5482="ENTREGA DIGITAL"),0,MAX(0,5-NETWORKDAYS(H5482+1,TODAY()))))</f>
        <v/>
      </c>
      <c r="L5482" t="str">
        <f>IF(A5482="","",IFERROR(LOOKUP(2,1/(#REF!=Z5482),#REF!),Y5482))</f>
        <v/>
      </c>
      <c r="Z5482" t="str">
        <f>IF(A5482="","",TEXT(A5482,"0")&amp;"|"&amp;TEXT(H5482,"0"))</f>
        <v/>
      </c>
      <c r="AA5482" t="str">
        <f>IF(Z5482="","",IFERROR(LOOKUP(2,1/(#REF!=Z5482),#REF!),""))</f>
        <v/>
      </c>
      <c r="AB5482" t="str">
        <f>IF(Z5482="","",IFERROR(LOOKUP(2,1/(#REF!=Z5482),#REF!),""))</f>
        <v/>
      </c>
      <c r="AC5482" t="str">
        <f>IF(Z5482="","",COUNTIF(#REF!,Z5482))</f>
        <v/>
      </c>
      <c r="AD5482" t="str">
        <f>IF(A5482="","",IF(AC5482&gt;1,"REVISAR DUPLICADO",IF(AA5482&lt;&gt;"","ACTUALIZADO POR EYR","SIN REPORTE EYR")))</f>
        <v/>
      </c>
    </row>
    <row r="5483" spans="11:30" x14ac:dyDescent="0.3">
      <c r="K5483" s="1" t="str">
        <f ca="1">IF(A5483="","",IF(OR(L5483="ENTREGADA",L5483="RETORNADA",L5483="ENTREGA DIGITAL"),0,MAX(0,5-NETWORKDAYS(H5483+1,TODAY()))))</f>
        <v/>
      </c>
      <c r="L5483" t="str">
        <f>IF(A5483="","",IFERROR(LOOKUP(2,1/(#REF!=Z5483),#REF!),Y5483))</f>
        <v/>
      </c>
      <c r="Z5483" t="str">
        <f>IF(A5483="","",TEXT(A5483,"0")&amp;"|"&amp;TEXT(H5483,"0"))</f>
        <v/>
      </c>
      <c r="AA5483" t="str">
        <f>IF(Z5483="","",IFERROR(LOOKUP(2,1/(#REF!=Z5483),#REF!),""))</f>
        <v/>
      </c>
      <c r="AB5483" t="str">
        <f>IF(Z5483="","",IFERROR(LOOKUP(2,1/(#REF!=Z5483),#REF!),""))</f>
        <v/>
      </c>
      <c r="AC5483" t="str">
        <f>IF(Z5483="","",COUNTIF(#REF!,Z5483))</f>
        <v/>
      </c>
      <c r="AD5483" t="str">
        <f>IF(A5483="","",IF(AC5483&gt;1,"REVISAR DUPLICADO",IF(AA5483&lt;&gt;"","ACTUALIZADO POR EYR","SIN REPORTE EYR")))</f>
        <v/>
      </c>
    </row>
    <row r="5484" spans="11:30" x14ac:dyDescent="0.3">
      <c r="K5484" s="1" t="str">
        <f ca="1">IF(A5484="","",IF(OR(L5484="ENTREGADA",L5484="RETORNADA",L5484="ENTREGA DIGITAL"),0,MAX(0,5-NETWORKDAYS(H5484+1,TODAY()))))</f>
        <v/>
      </c>
      <c r="L5484" t="str">
        <f>IF(A5484="","",IFERROR(LOOKUP(2,1/(#REF!=Z5484),#REF!),Y5484))</f>
        <v/>
      </c>
      <c r="Z5484" t="str">
        <f>IF(A5484="","",TEXT(A5484,"0")&amp;"|"&amp;TEXT(H5484,"0"))</f>
        <v/>
      </c>
      <c r="AA5484" t="str">
        <f>IF(Z5484="","",IFERROR(LOOKUP(2,1/(#REF!=Z5484),#REF!),""))</f>
        <v/>
      </c>
      <c r="AB5484" t="str">
        <f>IF(Z5484="","",IFERROR(LOOKUP(2,1/(#REF!=Z5484),#REF!),""))</f>
        <v/>
      </c>
      <c r="AC5484" t="str">
        <f>IF(Z5484="","",COUNTIF(#REF!,Z5484))</f>
        <v/>
      </c>
      <c r="AD5484" t="str">
        <f>IF(A5484="","",IF(AC5484&gt;1,"REVISAR DUPLICADO",IF(AA5484&lt;&gt;"","ACTUALIZADO POR EYR","SIN REPORTE EYR")))</f>
        <v/>
      </c>
    </row>
    <row r="5485" spans="11:30" x14ac:dyDescent="0.3">
      <c r="K5485" s="1" t="str">
        <f ca="1">IF(A5485="","",IF(OR(L5485="ENTREGADA",L5485="RETORNADA",L5485="ENTREGA DIGITAL"),0,MAX(0,5-NETWORKDAYS(H5485+1,TODAY()))))</f>
        <v/>
      </c>
      <c r="L5485" t="str">
        <f>IF(A5485="","",IFERROR(LOOKUP(2,1/(#REF!=Z5485),#REF!),Y5485))</f>
        <v/>
      </c>
      <c r="Z5485" t="str">
        <f>IF(A5485="","",TEXT(A5485,"0")&amp;"|"&amp;TEXT(H5485,"0"))</f>
        <v/>
      </c>
      <c r="AA5485" t="str">
        <f>IF(Z5485="","",IFERROR(LOOKUP(2,1/(#REF!=Z5485),#REF!),""))</f>
        <v/>
      </c>
      <c r="AB5485" t="str">
        <f>IF(Z5485="","",IFERROR(LOOKUP(2,1/(#REF!=Z5485),#REF!),""))</f>
        <v/>
      </c>
      <c r="AC5485" t="str">
        <f>IF(Z5485="","",COUNTIF(#REF!,Z5485))</f>
        <v/>
      </c>
      <c r="AD5485" t="str">
        <f>IF(A5485="","",IF(AC5485&gt;1,"REVISAR DUPLICADO",IF(AA5485&lt;&gt;"","ACTUALIZADO POR EYR","SIN REPORTE EYR")))</f>
        <v/>
      </c>
    </row>
    <row r="5486" spans="11:30" x14ac:dyDescent="0.3">
      <c r="K5486" s="1" t="str">
        <f ca="1">IF(A5486="","",IF(OR(L5486="ENTREGADA",L5486="RETORNADA",L5486="ENTREGA DIGITAL"),0,MAX(0,5-NETWORKDAYS(H5486+1,TODAY()))))</f>
        <v/>
      </c>
      <c r="L5486" t="str">
        <f>IF(A5486="","",IFERROR(LOOKUP(2,1/(#REF!=Z5486),#REF!),Y5486))</f>
        <v/>
      </c>
      <c r="Z5486" t="str">
        <f>IF(A5486="","",TEXT(A5486,"0")&amp;"|"&amp;TEXT(H5486,"0"))</f>
        <v/>
      </c>
      <c r="AA5486" t="str">
        <f>IF(Z5486="","",IFERROR(LOOKUP(2,1/(#REF!=Z5486),#REF!),""))</f>
        <v/>
      </c>
      <c r="AB5486" t="str">
        <f>IF(Z5486="","",IFERROR(LOOKUP(2,1/(#REF!=Z5486),#REF!),""))</f>
        <v/>
      </c>
      <c r="AC5486" t="str">
        <f>IF(Z5486="","",COUNTIF(#REF!,Z5486))</f>
        <v/>
      </c>
      <c r="AD5486" t="str">
        <f>IF(A5486="","",IF(AC5486&gt;1,"REVISAR DUPLICADO",IF(AA5486&lt;&gt;"","ACTUALIZADO POR EYR","SIN REPORTE EYR")))</f>
        <v/>
      </c>
    </row>
    <row r="5487" spans="11:30" x14ac:dyDescent="0.3">
      <c r="K5487" s="1" t="str">
        <f ca="1">IF(A5487="","",IF(OR(L5487="ENTREGADA",L5487="RETORNADA",L5487="ENTREGA DIGITAL"),0,MAX(0,5-NETWORKDAYS(H5487+1,TODAY()))))</f>
        <v/>
      </c>
      <c r="L5487" t="str">
        <f>IF(A5487="","",IFERROR(LOOKUP(2,1/(#REF!=Z5487),#REF!),Y5487))</f>
        <v/>
      </c>
      <c r="Z5487" t="str">
        <f>IF(A5487="","",TEXT(A5487,"0")&amp;"|"&amp;TEXT(H5487,"0"))</f>
        <v/>
      </c>
      <c r="AA5487" t="str">
        <f>IF(Z5487="","",IFERROR(LOOKUP(2,1/(#REF!=Z5487),#REF!),""))</f>
        <v/>
      </c>
      <c r="AB5487" t="str">
        <f>IF(Z5487="","",IFERROR(LOOKUP(2,1/(#REF!=Z5487),#REF!),""))</f>
        <v/>
      </c>
      <c r="AC5487" t="str">
        <f>IF(Z5487="","",COUNTIF(#REF!,Z5487))</f>
        <v/>
      </c>
      <c r="AD5487" t="str">
        <f>IF(A5487="","",IF(AC5487&gt;1,"REVISAR DUPLICADO",IF(AA5487&lt;&gt;"","ACTUALIZADO POR EYR","SIN REPORTE EYR")))</f>
        <v/>
      </c>
    </row>
    <row r="5488" spans="11:30" x14ac:dyDescent="0.3">
      <c r="K5488" s="1" t="str">
        <f ca="1">IF(A5488="","",IF(OR(L5488="ENTREGADA",L5488="RETORNADA",L5488="ENTREGA DIGITAL"),0,MAX(0,5-NETWORKDAYS(H5488+1,TODAY()))))</f>
        <v/>
      </c>
      <c r="L5488" t="str">
        <f>IF(A5488="","",IFERROR(LOOKUP(2,1/(#REF!=Z5488),#REF!),Y5488))</f>
        <v/>
      </c>
      <c r="Z5488" t="str">
        <f>IF(A5488="","",TEXT(A5488,"0")&amp;"|"&amp;TEXT(H5488,"0"))</f>
        <v/>
      </c>
      <c r="AA5488" t="str">
        <f>IF(Z5488="","",IFERROR(LOOKUP(2,1/(#REF!=Z5488),#REF!),""))</f>
        <v/>
      </c>
      <c r="AB5488" t="str">
        <f>IF(Z5488="","",IFERROR(LOOKUP(2,1/(#REF!=Z5488),#REF!),""))</f>
        <v/>
      </c>
      <c r="AC5488" t="str">
        <f>IF(Z5488="","",COUNTIF(#REF!,Z5488))</f>
        <v/>
      </c>
      <c r="AD5488" t="str">
        <f>IF(A5488="","",IF(AC5488&gt;1,"REVISAR DUPLICADO",IF(AA5488&lt;&gt;"","ACTUALIZADO POR EYR","SIN REPORTE EYR")))</f>
        <v/>
      </c>
    </row>
    <row r="5489" spans="11:30" x14ac:dyDescent="0.3">
      <c r="K5489" s="1" t="str">
        <f ca="1">IF(A5489="","",IF(OR(L5489="ENTREGADA",L5489="RETORNADA",L5489="ENTREGA DIGITAL"),0,MAX(0,5-NETWORKDAYS(H5489+1,TODAY()))))</f>
        <v/>
      </c>
      <c r="L5489" t="str">
        <f>IF(A5489="","",IFERROR(LOOKUP(2,1/(#REF!=Z5489),#REF!),Y5489))</f>
        <v/>
      </c>
      <c r="Z5489" t="str">
        <f>IF(A5489="","",TEXT(A5489,"0")&amp;"|"&amp;TEXT(H5489,"0"))</f>
        <v/>
      </c>
      <c r="AA5489" t="str">
        <f>IF(Z5489="","",IFERROR(LOOKUP(2,1/(#REF!=Z5489),#REF!),""))</f>
        <v/>
      </c>
      <c r="AB5489" t="str">
        <f>IF(Z5489="","",IFERROR(LOOKUP(2,1/(#REF!=Z5489),#REF!),""))</f>
        <v/>
      </c>
      <c r="AC5489" t="str">
        <f>IF(Z5489="","",COUNTIF(#REF!,Z5489))</f>
        <v/>
      </c>
      <c r="AD5489" t="str">
        <f>IF(A5489="","",IF(AC5489&gt;1,"REVISAR DUPLICADO",IF(AA5489&lt;&gt;"","ACTUALIZADO POR EYR","SIN REPORTE EYR")))</f>
        <v/>
      </c>
    </row>
    <row r="5490" spans="11:30" x14ac:dyDescent="0.3">
      <c r="K5490" s="1" t="str">
        <f ca="1">IF(A5490="","",IF(OR(L5490="ENTREGADA",L5490="RETORNADA",L5490="ENTREGA DIGITAL"),0,MAX(0,5-NETWORKDAYS(H5490+1,TODAY()))))</f>
        <v/>
      </c>
      <c r="L5490" t="str">
        <f>IF(A5490="","",IFERROR(LOOKUP(2,1/(#REF!=Z5490),#REF!),Y5490))</f>
        <v/>
      </c>
      <c r="Z5490" t="str">
        <f>IF(A5490="","",TEXT(A5490,"0")&amp;"|"&amp;TEXT(H5490,"0"))</f>
        <v/>
      </c>
      <c r="AA5490" t="str">
        <f>IF(Z5490="","",IFERROR(LOOKUP(2,1/(#REF!=Z5490),#REF!),""))</f>
        <v/>
      </c>
      <c r="AB5490" t="str">
        <f>IF(Z5490="","",IFERROR(LOOKUP(2,1/(#REF!=Z5490),#REF!),""))</f>
        <v/>
      </c>
      <c r="AC5490" t="str">
        <f>IF(Z5490="","",COUNTIF(#REF!,Z5490))</f>
        <v/>
      </c>
      <c r="AD5490" t="str">
        <f>IF(A5490="","",IF(AC5490&gt;1,"REVISAR DUPLICADO",IF(AA5490&lt;&gt;"","ACTUALIZADO POR EYR","SIN REPORTE EYR")))</f>
        <v/>
      </c>
    </row>
    <row r="5491" spans="11:30" x14ac:dyDescent="0.3">
      <c r="K5491" s="1" t="str">
        <f ca="1">IF(A5491="","",IF(OR(L5491="ENTREGADA",L5491="RETORNADA",L5491="ENTREGA DIGITAL"),0,MAX(0,5-NETWORKDAYS(H5491+1,TODAY()))))</f>
        <v/>
      </c>
      <c r="L5491" t="str">
        <f>IF(A5491="","",IFERROR(LOOKUP(2,1/(#REF!=Z5491),#REF!),Y5491))</f>
        <v/>
      </c>
      <c r="Z5491" t="str">
        <f>IF(A5491="","",TEXT(A5491,"0")&amp;"|"&amp;TEXT(H5491,"0"))</f>
        <v/>
      </c>
      <c r="AA5491" t="str">
        <f>IF(Z5491="","",IFERROR(LOOKUP(2,1/(#REF!=Z5491),#REF!),""))</f>
        <v/>
      </c>
      <c r="AB5491" t="str">
        <f>IF(Z5491="","",IFERROR(LOOKUP(2,1/(#REF!=Z5491),#REF!),""))</f>
        <v/>
      </c>
      <c r="AC5491" t="str">
        <f>IF(Z5491="","",COUNTIF(#REF!,Z5491))</f>
        <v/>
      </c>
      <c r="AD5491" t="str">
        <f>IF(A5491="","",IF(AC5491&gt;1,"REVISAR DUPLICADO",IF(AA5491&lt;&gt;"","ACTUALIZADO POR EYR","SIN REPORTE EYR")))</f>
        <v/>
      </c>
    </row>
    <row r="5492" spans="11:30" x14ac:dyDescent="0.3">
      <c r="K5492" s="1" t="str">
        <f ca="1">IF(A5492="","",IF(OR(L5492="ENTREGADA",L5492="RETORNADA",L5492="ENTREGA DIGITAL"),0,MAX(0,5-NETWORKDAYS(H5492+1,TODAY()))))</f>
        <v/>
      </c>
      <c r="L5492" t="str">
        <f>IF(A5492="","",IFERROR(LOOKUP(2,1/(#REF!=Z5492),#REF!),Y5492))</f>
        <v/>
      </c>
      <c r="Z5492" t="str">
        <f>IF(A5492="","",TEXT(A5492,"0")&amp;"|"&amp;TEXT(H5492,"0"))</f>
        <v/>
      </c>
      <c r="AA5492" t="str">
        <f>IF(Z5492="","",IFERROR(LOOKUP(2,1/(#REF!=Z5492),#REF!),""))</f>
        <v/>
      </c>
      <c r="AB5492" t="str">
        <f>IF(Z5492="","",IFERROR(LOOKUP(2,1/(#REF!=Z5492),#REF!),""))</f>
        <v/>
      </c>
      <c r="AC5492" t="str">
        <f>IF(Z5492="","",COUNTIF(#REF!,Z5492))</f>
        <v/>
      </c>
      <c r="AD5492" t="str">
        <f>IF(A5492="","",IF(AC5492&gt;1,"REVISAR DUPLICADO",IF(AA5492&lt;&gt;"","ACTUALIZADO POR EYR","SIN REPORTE EYR")))</f>
        <v/>
      </c>
    </row>
    <row r="5493" spans="11:30" x14ac:dyDescent="0.3">
      <c r="K5493" s="1" t="str">
        <f ca="1">IF(A5493="","",IF(OR(L5493="ENTREGADA",L5493="RETORNADA",L5493="ENTREGA DIGITAL"),0,MAX(0,5-NETWORKDAYS(H5493+1,TODAY()))))</f>
        <v/>
      </c>
      <c r="L5493" t="str">
        <f>IF(A5493="","",IFERROR(LOOKUP(2,1/(#REF!=Z5493),#REF!),Y5493))</f>
        <v/>
      </c>
      <c r="Z5493" t="str">
        <f>IF(A5493="","",TEXT(A5493,"0")&amp;"|"&amp;TEXT(H5493,"0"))</f>
        <v/>
      </c>
      <c r="AA5493" t="str">
        <f>IF(Z5493="","",IFERROR(LOOKUP(2,1/(#REF!=Z5493),#REF!),""))</f>
        <v/>
      </c>
      <c r="AB5493" t="str">
        <f>IF(Z5493="","",IFERROR(LOOKUP(2,1/(#REF!=Z5493),#REF!),""))</f>
        <v/>
      </c>
      <c r="AC5493" t="str">
        <f>IF(Z5493="","",COUNTIF(#REF!,Z5493))</f>
        <v/>
      </c>
      <c r="AD5493" t="str">
        <f>IF(A5493="","",IF(AC5493&gt;1,"REVISAR DUPLICADO",IF(AA5493&lt;&gt;"","ACTUALIZADO POR EYR","SIN REPORTE EYR")))</f>
        <v/>
      </c>
    </row>
    <row r="5494" spans="11:30" x14ac:dyDescent="0.3">
      <c r="K5494" s="1" t="str">
        <f ca="1">IF(A5494="","",IF(OR(L5494="ENTREGADA",L5494="RETORNADA",L5494="ENTREGA DIGITAL"),0,MAX(0,5-NETWORKDAYS(H5494+1,TODAY()))))</f>
        <v/>
      </c>
      <c r="L5494" t="str">
        <f>IF(A5494="","",IFERROR(LOOKUP(2,1/(#REF!=Z5494),#REF!),Y5494))</f>
        <v/>
      </c>
      <c r="Z5494" t="str">
        <f>IF(A5494="","",TEXT(A5494,"0")&amp;"|"&amp;TEXT(H5494,"0"))</f>
        <v/>
      </c>
      <c r="AA5494" t="str">
        <f>IF(Z5494="","",IFERROR(LOOKUP(2,1/(#REF!=Z5494),#REF!),""))</f>
        <v/>
      </c>
      <c r="AB5494" t="str">
        <f>IF(Z5494="","",IFERROR(LOOKUP(2,1/(#REF!=Z5494),#REF!),""))</f>
        <v/>
      </c>
      <c r="AC5494" t="str">
        <f>IF(Z5494="","",COUNTIF(#REF!,Z5494))</f>
        <v/>
      </c>
      <c r="AD5494" t="str">
        <f>IF(A5494="","",IF(AC5494&gt;1,"REVISAR DUPLICADO",IF(AA5494&lt;&gt;"","ACTUALIZADO POR EYR","SIN REPORTE EYR")))</f>
        <v/>
      </c>
    </row>
    <row r="5495" spans="11:30" x14ac:dyDescent="0.3">
      <c r="K5495" s="1" t="str">
        <f ca="1">IF(A5495="","",IF(OR(L5495="ENTREGADA",L5495="RETORNADA",L5495="ENTREGA DIGITAL"),0,MAX(0,5-NETWORKDAYS(H5495+1,TODAY()))))</f>
        <v/>
      </c>
      <c r="L5495" t="str">
        <f>IF(A5495="","",IFERROR(LOOKUP(2,1/(#REF!=Z5495),#REF!),Y5495))</f>
        <v/>
      </c>
      <c r="Z5495" t="str">
        <f>IF(A5495="","",TEXT(A5495,"0")&amp;"|"&amp;TEXT(H5495,"0"))</f>
        <v/>
      </c>
      <c r="AA5495" t="str">
        <f>IF(Z5495="","",IFERROR(LOOKUP(2,1/(#REF!=Z5495),#REF!),""))</f>
        <v/>
      </c>
      <c r="AB5495" t="str">
        <f>IF(Z5495="","",IFERROR(LOOKUP(2,1/(#REF!=Z5495),#REF!),""))</f>
        <v/>
      </c>
      <c r="AC5495" t="str">
        <f>IF(Z5495="","",COUNTIF(#REF!,Z5495))</f>
        <v/>
      </c>
      <c r="AD5495" t="str">
        <f>IF(A5495="","",IF(AC5495&gt;1,"REVISAR DUPLICADO",IF(AA5495&lt;&gt;"","ACTUALIZADO POR EYR","SIN REPORTE EYR")))</f>
        <v/>
      </c>
    </row>
    <row r="5496" spans="11:30" x14ac:dyDescent="0.3">
      <c r="K5496" s="1" t="str">
        <f ca="1">IF(A5496="","",IF(OR(L5496="ENTREGADA",L5496="RETORNADA",L5496="ENTREGA DIGITAL"),0,MAX(0,5-NETWORKDAYS(H5496+1,TODAY()))))</f>
        <v/>
      </c>
      <c r="L5496" t="str">
        <f>IF(A5496="","",IFERROR(LOOKUP(2,1/(#REF!=Z5496),#REF!),Y5496))</f>
        <v/>
      </c>
      <c r="Z5496" t="str">
        <f>IF(A5496="","",TEXT(A5496,"0")&amp;"|"&amp;TEXT(H5496,"0"))</f>
        <v/>
      </c>
      <c r="AA5496" t="str">
        <f>IF(Z5496="","",IFERROR(LOOKUP(2,1/(#REF!=Z5496),#REF!),""))</f>
        <v/>
      </c>
      <c r="AB5496" t="str">
        <f>IF(Z5496="","",IFERROR(LOOKUP(2,1/(#REF!=Z5496),#REF!),""))</f>
        <v/>
      </c>
      <c r="AC5496" t="str">
        <f>IF(Z5496="","",COUNTIF(#REF!,Z5496))</f>
        <v/>
      </c>
      <c r="AD5496" t="str">
        <f>IF(A5496="","",IF(AC5496&gt;1,"REVISAR DUPLICADO",IF(AA5496&lt;&gt;"","ACTUALIZADO POR EYR","SIN REPORTE EYR")))</f>
        <v/>
      </c>
    </row>
    <row r="5497" spans="11:30" x14ac:dyDescent="0.3">
      <c r="K5497" s="1" t="str">
        <f ca="1">IF(A5497="","",IF(OR(L5497="ENTREGADA",L5497="RETORNADA",L5497="ENTREGA DIGITAL"),0,MAX(0,5-NETWORKDAYS(H5497+1,TODAY()))))</f>
        <v/>
      </c>
      <c r="L5497" t="str">
        <f>IF(A5497="","",IFERROR(LOOKUP(2,1/(#REF!=Z5497),#REF!),Y5497))</f>
        <v/>
      </c>
      <c r="Z5497" t="str">
        <f>IF(A5497="","",TEXT(A5497,"0")&amp;"|"&amp;TEXT(H5497,"0"))</f>
        <v/>
      </c>
      <c r="AA5497" t="str">
        <f>IF(Z5497="","",IFERROR(LOOKUP(2,1/(#REF!=Z5497),#REF!),""))</f>
        <v/>
      </c>
      <c r="AB5497" t="str">
        <f>IF(Z5497="","",IFERROR(LOOKUP(2,1/(#REF!=Z5497),#REF!),""))</f>
        <v/>
      </c>
      <c r="AC5497" t="str">
        <f>IF(Z5497="","",COUNTIF(#REF!,Z5497))</f>
        <v/>
      </c>
      <c r="AD5497" t="str">
        <f>IF(A5497="","",IF(AC5497&gt;1,"REVISAR DUPLICADO",IF(AA5497&lt;&gt;"","ACTUALIZADO POR EYR","SIN REPORTE EYR")))</f>
        <v/>
      </c>
    </row>
    <row r="5498" spans="11:30" x14ac:dyDescent="0.3">
      <c r="K5498" s="1" t="str">
        <f ca="1">IF(A5498="","",IF(OR(L5498="ENTREGADA",L5498="RETORNADA",L5498="ENTREGA DIGITAL"),0,MAX(0,5-NETWORKDAYS(H5498+1,TODAY()))))</f>
        <v/>
      </c>
      <c r="L5498" t="str">
        <f>IF(A5498="","",IFERROR(LOOKUP(2,1/(#REF!=Z5498),#REF!),Y5498))</f>
        <v/>
      </c>
      <c r="Z5498" t="str">
        <f>IF(A5498="","",TEXT(A5498,"0")&amp;"|"&amp;TEXT(H5498,"0"))</f>
        <v/>
      </c>
      <c r="AA5498" t="str">
        <f>IF(Z5498="","",IFERROR(LOOKUP(2,1/(#REF!=Z5498),#REF!),""))</f>
        <v/>
      </c>
      <c r="AB5498" t="str">
        <f>IF(Z5498="","",IFERROR(LOOKUP(2,1/(#REF!=Z5498),#REF!),""))</f>
        <v/>
      </c>
      <c r="AC5498" t="str">
        <f>IF(Z5498="","",COUNTIF(#REF!,Z5498))</f>
        <v/>
      </c>
      <c r="AD5498" t="str">
        <f>IF(A5498="","",IF(AC5498&gt;1,"REVISAR DUPLICADO",IF(AA5498&lt;&gt;"","ACTUALIZADO POR EYR","SIN REPORTE EYR")))</f>
        <v/>
      </c>
    </row>
    <row r="5499" spans="11:30" x14ac:dyDescent="0.3">
      <c r="K5499" s="1" t="str">
        <f ca="1">IF(A5499="","",IF(OR(L5499="ENTREGADA",L5499="RETORNADA",L5499="ENTREGA DIGITAL"),0,MAX(0,5-NETWORKDAYS(H5499+1,TODAY()))))</f>
        <v/>
      </c>
      <c r="L5499" t="str">
        <f>IF(A5499="","",IFERROR(LOOKUP(2,1/(#REF!=Z5499),#REF!),Y5499))</f>
        <v/>
      </c>
      <c r="Z5499" t="str">
        <f>IF(A5499="","",TEXT(A5499,"0")&amp;"|"&amp;TEXT(H5499,"0"))</f>
        <v/>
      </c>
      <c r="AA5499" t="str">
        <f>IF(Z5499="","",IFERROR(LOOKUP(2,1/(#REF!=Z5499),#REF!),""))</f>
        <v/>
      </c>
      <c r="AB5499" t="str">
        <f>IF(Z5499="","",IFERROR(LOOKUP(2,1/(#REF!=Z5499),#REF!),""))</f>
        <v/>
      </c>
      <c r="AC5499" t="str">
        <f>IF(Z5499="","",COUNTIF(#REF!,Z5499))</f>
        <v/>
      </c>
      <c r="AD5499" t="str">
        <f>IF(A5499="","",IF(AC5499&gt;1,"REVISAR DUPLICADO",IF(AA5499&lt;&gt;"","ACTUALIZADO POR EYR","SIN REPORTE EYR")))</f>
        <v/>
      </c>
    </row>
    <row r="5500" spans="11:30" x14ac:dyDescent="0.3">
      <c r="K5500" s="1" t="str">
        <f ca="1">IF(A5500="","",IF(OR(L5500="ENTREGADA",L5500="RETORNADA",L5500="ENTREGA DIGITAL"),0,MAX(0,5-NETWORKDAYS(H5500+1,TODAY()))))</f>
        <v/>
      </c>
      <c r="L5500" t="str">
        <f>IF(A5500="","",IFERROR(LOOKUP(2,1/(#REF!=Z5500),#REF!),Y5500))</f>
        <v/>
      </c>
      <c r="Z5500" t="str">
        <f>IF(A5500="","",TEXT(A5500,"0")&amp;"|"&amp;TEXT(H5500,"0"))</f>
        <v/>
      </c>
      <c r="AA5500" t="str">
        <f>IF(Z5500="","",IFERROR(LOOKUP(2,1/(#REF!=Z5500),#REF!),""))</f>
        <v/>
      </c>
      <c r="AB5500" t="str">
        <f>IF(Z5500="","",IFERROR(LOOKUP(2,1/(#REF!=Z5500),#REF!),""))</f>
        <v/>
      </c>
      <c r="AC5500" t="str">
        <f>IF(Z5500="","",COUNTIF(#REF!,Z5500))</f>
        <v/>
      </c>
      <c r="AD5500" t="str">
        <f>IF(A5500="","",IF(AC5500&gt;1,"REVISAR DUPLICADO",IF(AA5500&lt;&gt;"","ACTUALIZADO POR EYR","SIN REPORTE EYR")))</f>
        <v/>
      </c>
    </row>
    <row r="5501" spans="11:30" x14ac:dyDescent="0.3">
      <c r="K5501" s="1" t="str">
        <f ca="1">IF(A5501="","",IF(OR(L5501="ENTREGADA",L5501="RETORNADA",L5501="ENTREGA DIGITAL"),0,MAX(0,5-NETWORKDAYS(H5501+1,TODAY()))))</f>
        <v/>
      </c>
      <c r="L5501" t="str">
        <f>IF(A5501="","",IFERROR(LOOKUP(2,1/(#REF!=Z5501),#REF!),Y5501))</f>
        <v/>
      </c>
      <c r="Z5501" t="str">
        <f>IF(A5501="","",TEXT(A5501,"0")&amp;"|"&amp;TEXT(H5501,"0"))</f>
        <v/>
      </c>
      <c r="AA5501" t="str">
        <f>IF(Z5501="","",IFERROR(LOOKUP(2,1/(#REF!=Z5501),#REF!),""))</f>
        <v/>
      </c>
      <c r="AB5501" t="str">
        <f>IF(Z5501="","",IFERROR(LOOKUP(2,1/(#REF!=Z5501),#REF!),""))</f>
        <v/>
      </c>
      <c r="AC5501" t="str">
        <f>IF(Z5501="","",COUNTIF(#REF!,Z5501))</f>
        <v/>
      </c>
      <c r="AD5501" t="str">
        <f>IF(A5501="","",IF(AC5501&gt;1,"REVISAR DUPLICADO",IF(AA5501&lt;&gt;"","ACTUALIZADO POR EYR","SIN REPORTE EYR")))</f>
        <v/>
      </c>
    </row>
    <row r="5502" spans="11:30" x14ac:dyDescent="0.3">
      <c r="K5502" s="1" t="str">
        <f ca="1">IF(A5502="","",IF(OR(L5502="ENTREGADA",L5502="RETORNADA",L5502="ENTREGA DIGITAL"),0,MAX(0,5-NETWORKDAYS(H5502+1,TODAY()))))</f>
        <v/>
      </c>
      <c r="L5502" t="str">
        <f>IF(A5502="","",IFERROR(LOOKUP(2,1/(#REF!=Z5502),#REF!),Y5502))</f>
        <v/>
      </c>
      <c r="Z5502" t="str">
        <f>IF(A5502="","",TEXT(A5502,"0")&amp;"|"&amp;TEXT(H5502,"0"))</f>
        <v/>
      </c>
      <c r="AA5502" t="str">
        <f>IF(Z5502="","",IFERROR(LOOKUP(2,1/(#REF!=Z5502),#REF!),""))</f>
        <v/>
      </c>
      <c r="AB5502" t="str">
        <f>IF(Z5502="","",IFERROR(LOOKUP(2,1/(#REF!=Z5502),#REF!),""))</f>
        <v/>
      </c>
      <c r="AC5502" t="str">
        <f>IF(Z5502="","",COUNTIF(#REF!,Z5502))</f>
        <v/>
      </c>
      <c r="AD5502" t="str">
        <f>IF(A5502="","",IF(AC5502&gt;1,"REVISAR DUPLICADO",IF(AA5502&lt;&gt;"","ACTUALIZADO POR EYR","SIN REPORTE EYR")))</f>
        <v/>
      </c>
    </row>
    <row r="5503" spans="11:30" x14ac:dyDescent="0.3">
      <c r="K5503" s="1" t="str">
        <f ca="1">IF(A5503="","",IF(OR(L5503="ENTREGADA",L5503="RETORNADA",L5503="ENTREGA DIGITAL"),0,MAX(0,5-NETWORKDAYS(H5503+1,TODAY()))))</f>
        <v/>
      </c>
      <c r="L5503" t="str">
        <f>IF(A5503="","",IFERROR(LOOKUP(2,1/(#REF!=Z5503),#REF!),Y5503))</f>
        <v/>
      </c>
      <c r="Z5503" t="str">
        <f>IF(A5503="","",TEXT(A5503,"0")&amp;"|"&amp;TEXT(H5503,"0"))</f>
        <v/>
      </c>
      <c r="AA5503" t="str">
        <f>IF(Z5503="","",IFERROR(LOOKUP(2,1/(#REF!=Z5503),#REF!),""))</f>
        <v/>
      </c>
      <c r="AB5503" t="str">
        <f>IF(Z5503="","",IFERROR(LOOKUP(2,1/(#REF!=Z5503),#REF!),""))</f>
        <v/>
      </c>
      <c r="AC5503" t="str">
        <f>IF(Z5503="","",COUNTIF(#REF!,Z5503))</f>
        <v/>
      </c>
      <c r="AD5503" t="str">
        <f>IF(A5503="","",IF(AC5503&gt;1,"REVISAR DUPLICADO",IF(AA5503&lt;&gt;"","ACTUALIZADO POR EYR","SIN REPORTE EYR")))</f>
        <v/>
      </c>
    </row>
    <row r="5504" spans="11:30" x14ac:dyDescent="0.3">
      <c r="K5504" s="1" t="str">
        <f ca="1">IF(A5504="","",IF(OR(L5504="ENTREGADA",L5504="RETORNADA",L5504="ENTREGA DIGITAL"),0,MAX(0,5-NETWORKDAYS(H5504+1,TODAY()))))</f>
        <v/>
      </c>
      <c r="L5504" t="str">
        <f>IF(A5504="","",IFERROR(LOOKUP(2,1/(#REF!=Z5504),#REF!),Y5504))</f>
        <v/>
      </c>
      <c r="Z5504" t="str">
        <f>IF(A5504="","",TEXT(A5504,"0")&amp;"|"&amp;TEXT(H5504,"0"))</f>
        <v/>
      </c>
      <c r="AA5504" t="str">
        <f>IF(Z5504="","",IFERROR(LOOKUP(2,1/(#REF!=Z5504),#REF!),""))</f>
        <v/>
      </c>
      <c r="AB5504" t="str">
        <f>IF(Z5504="","",IFERROR(LOOKUP(2,1/(#REF!=Z5504),#REF!),""))</f>
        <v/>
      </c>
      <c r="AC5504" t="str">
        <f>IF(Z5504="","",COUNTIF(#REF!,Z5504))</f>
        <v/>
      </c>
      <c r="AD5504" t="str">
        <f>IF(A5504="","",IF(AC5504&gt;1,"REVISAR DUPLICADO",IF(AA5504&lt;&gt;"","ACTUALIZADO POR EYR","SIN REPORTE EYR")))</f>
        <v/>
      </c>
    </row>
    <row r="5505" spans="11:30" x14ac:dyDescent="0.3">
      <c r="K5505" s="1" t="str">
        <f ca="1">IF(A5505="","",IF(OR(L5505="ENTREGADA",L5505="RETORNADA",L5505="ENTREGA DIGITAL"),0,MAX(0,5-NETWORKDAYS(H5505+1,TODAY()))))</f>
        <v/>
      </c>
      <c r="L5505" t="str">
        <f>IF(A5505="","",IFERROR(LOOKUP(2,1/(#REF!=Z5505),#REF!),Y5505))</f>
        <v/>
      </c>
      <c r="Z5505" t="str">
        <f>IF(A5505="","",TEXT(A5505,"0")&amp;"|"&amp;TEXT(H5505,"0"))</f>
        <v/>
      </c>
      <c r="AA5505" t="str">
        <f>IF(Z5505="","",IFERROR(LOOKUP(2,1/(#REF!=Z5505),#REF!),""))</f>
        <v/>
      </c>
      <c r="AB5505" t="str">
        <f>IF(Z5505="","",IFERROR(LOOKUP(2,1/(#REF!=Z5505),#REF!),""))</f>
        <v/>
      </c>
      <c r="AC5505" t="str">
        <f>IF(Z5505="","",COUNTIF(#REF!,Z5505))</f>
        <v/>
      </c>
      <c r="AD5505" t="str">
        <f>IF(A5505="","",IF(AC5505&gt;1,"REVISAR DUPLICADO",IF(AA5505&lt;&gt;"","ACTUALIZADO POR EYR","SIN REPORTE EYR")))</f>
        <v/>
      </c>
    </row>
    <row r="5506" spans="11:30" x14ac:dyDescent="0.3">
      <c r="K5506" s="1" t="str">
        <f ca="1">IF(A5506="","",IF(OR(L5506="ENTREGADA",L5506="RETORNADA",L5506="ENTREGA DIGITAL"),0,MAX(0,5-NETWORKDAYS(H5506+1,TODAY()))))</f>
        <v/>
      </c>
      <c r="L5506" t="str">
        <f>IF(A5506="","",IFERROR(LOOKUP(2,1/(#REF!=Z5506),#REF!),Y5506))</f>
        <v/>
      </c>
      <c r="Z5506" t="str">
        <f>IF(A5506="","",TEXT(A5506,"0")&amp;"|"&amp;TEXT(H5506,"0"))</f>
        <v/>
      </c>
      <c r="AA5506" t="str">
        <f>IF(Z5506="","",IFERROR(LOOKUP(2,1/(#REF!=Z5506),#REF!),""))</f>
        <v/>
      </c>
      <c r="AB5506" t="str">
        <f>IF(Z5506="","",IFERROR(LOOKUP(2,1/(#REF!=Z5506),#REF!),""))</f>
        <v/>
      </c>
      <c r="AC5506" t="str">
        <f>IF(Z5506="","",COUNTIF(#REF!,Z5506))</f>
        <v/>
      </c>
      <c r="AD5506" t="str">
        <f>IF(A5506="","",IF(AC5506&gt;1,"REVISAR DUPLICADO",IF(AA5506&lt;&gt;"","ACTUALIZADO POR EYR","SIN REPORTE EYR")))</f>
        <v/>
      </c>
    </row>
    <row r="5507" spans="11:30" x14ac:dyDescent="0.3">
      <c r="K5507" s="1" t="str">
        <f ca="1">IF(A5507="","",IF(OR(L5507="ENTREGADA",L5507="RETORNADA",L5507="ENTREGA DIGITAL"),0,MAX(0,5-NETWORKDAYS(H5507+1,TODAY()))))</f>
        <v/>
      </c>
      <c r="L5507" t="str">
        <f>IF(A5507="","",IFERROR(LOOKUP(2,1/(#REF!=Z5507),#REF!),Y5507))</f>
        <v/>
      </c>
      <c r="Z5507" t="str">
        <f>IF(A5507="","",TEXT(A5507,"0")&amp;"|"&amp;TEXT(H5507,"0"))</f>
        <v/>
      </c>
      <c r="AA5507" t="str">
        <f>IF(Z5507="","",IFERROR(LOOKUP(2,1/(#REF!=Z5507),#REF!),""))</f>
        <v/>
      </c>
      <c r="AB5507" t="str">
        <f>IF(Z5507="","",IFERROR(LOOKUP(2,1/(#REF!=Z5507),#REF!),""))</f>
        <v/>
      </c>
      <c r="AC5507" t="str">
        <f>IF(Z5507="","",COUNTIF(#REF!,Z5507))</f>
        <v/>
      </c>
      <c r="AD5507" t="str">
        <f>IF(A5507="","",IF(AC5507&gt;1,"REVISAR DUPLICADO",IF(AA5507&lt;&gt;"","ACTUALIZADO POR EYR","SIN REPORTE EYR")))</f>
        <v/>
      </c>
    </row>
    <row r="5508" spans="11:30" x14ac:dyDescent="0.3">
      <c r="K5508" s="1" t="str">
        <f ca="1">IF(A5508="","",IF(OR(L5508="ENTREGADA",L5508="RETORNADA",L5508="ENTREGA DIGITAL"),0,MAX(0,5-NETWORKDAYS(H5508+1,TODAY()))))</f>
        <v/>
      </c>
      <c r="L5508" t="str">
        <f>IF(A5508="","",IFERROR(LOOKUP(2,1/(#REF!=Z5508),#REF!),Y5508))</f>
        <v/>
      </c>
      <c r="Z5508" t="str">
        <f>IF(A5508="","",TEXT(A5508,"0")&amp;"|"&amp;TEXT(H5508,"0"))</f>
        <v/>
      </c>
      <c r="AA5508" t="str">
        <f>IF(Z5508="","",IFERROR(LOOKUP(2,1/(#REF!=Z5508),#REF!),""))</f>
        <v/>
      </c>
      <c r="AB5508" t="str">
        <f>IF(Z5508="","",IFERROR(LOOKUP(2,1/(#REF!=Z5508),#REF!),""))</f>
        <v/>
      </c>
      <c r="AC5508" t="str">
        <f>IF(Z5508="","",COUNTIF(#REF!,Z5508))</f>
        <v/>
      </c>
      <c r="AD5508" t="str">
        <f>IF(A5508="","",IF(AC5508&gt;1,"REVISAR DUPLICADO",IF(AA5508&lt;&gt;"","ACTUALIZADO POR EYR","SIN REPORTE EYR")))</f>
        <v/>
      </c>
    </row>
    <row r="5509" spans="11:30" x14ac:dyDescent="0.3">
      <c r="K5509" s="1" t="str">
        <f ca="1">IF(A5509="","",IF(OR(L5509="ENTREGADA",L5509="RETORNADA",L5509="ENTREGA DIGITAL"),0,MAX(0,5-NETWORKDAYS(H5509+1,TODAY()))))</f>
        <v/>
      </c>
      <c r="L5509" t="str">
        <f>IF(A5509="","",IFERROR(LOOKUP(2,1/(#REF!=Z5509),#REF!),Y5509))</f>
        <v/>
      </c>
      <c r="Z5509" t="str">
        <f>IF(A5509="","",TEXT(A5509,"0")&amp;"|"&amp;TEXT(H5509,"0"))</f>
        <v/>
      </c>
      <c r="AA5509" t="str">
        <f>IF(Z5509="","",IFERROR(LOOKUP(2,1/(#REF!=Z5509),#REF!),""))</f>
        <v/>
      </c>
      <c r="AB5509" t="str">
        <f>IF(Z5509="","",IFERROR(LOOKUP(2,1/(#REF!=Z5509),#REF!),""))</f>
        <v/>
      </c>
      <c r="AC5509" t="str">
        <f>IF(Z5509="","",COUNTIF(#REF!,Z5509))</f>
        <v/>
      </c>
      <c r="AD5509" t="str">
        <f>IF(A5509="","",IF(AC5509&gt;1,"REVISAR DUPLICADO",IF(AA5509&lt;&gt;"","ACTUALIZADO POR EYR","SIN REPORTE EYR")))</f>
        <v/>
      </c>
    </row>
    <row r="5510" spans="11:30" x14ac:dyDescent="0.3">
      <c r="K5510" s="1" t="str">
        <f ca="1">IF(A5510="","",IF(OR(L5510="ENTREGADA",L5510="RETORNADA",L5510="ENTREGA DIGITAL"),0,MAX(0,5-NETWORKDAYS(H5510+1,TODAY()))))</f>
        <v/>
      </c>
      <c r="L5510" t="str">
        <f>IF(A5510="","",IFERROR(LOOKUP(2,1/(#REF!=Z5510),#REF!),Y5510))</f>
        <v/>
      </c>
      <c r="Z5510" t="str">
        <f>IF(A5510="","",TEXT(A5510,"0")&amp;"|"&amp;TEXT(H5510,"0"))</f>
        <v/>
      </c>
      <c r="AA5510" t="str">
        <f>IF(Z5510="","",IFERROR(LOOKUP(2,1/(#REF!=Z5510),#REF!),""))</f>
        <v/>
      </c>
      <c r="AB5510" t="str">
        <f>IF(Z5510="","",IFERROR(LOOKUP(2,1/(#REF!=Z5510),#REF!),""))</f>
        <v/>
      </c>
      <c r="AC5510" t="str">
        <f>IF(Z5510="","",COUNTIF(#REF!,Z5510))</f>
        <v/>
      </c>
      <c r="AD5510" t="str">
        <f>IF(A5510="","",IF(AC5510&gt;1,"REVISAR DUPLICADO",IF(AA5510&lt;&gt;"","ACTUALIZADO POR EYR","SIN REPORTE EYR")))</f>
        <v/>
      </c>
    </row>
    <row r="5511" spans="11:30" x14ac:dyDescent="0.3">
      <c r="K5511" s="1" t="str">
        <f ca="1">IF(A5511="","",IF(OR(L5511="ENTREGADA",L5511="RETORNADA",L5511="ENTREGA DIGITAL"),0,MAX(0,5-NETWORKDAYS(H5511+1,TODAY()))))</f>
        <v/>
      </c>
      <c r="L5511" t="str">
        <f>IF(A5511="","",IFERROR(LOOKUP(2,1/(#REF!=Z5511),#REF!),Y5511))</f>
        <v/>
      </c>
      <c r="Z5511" t="str">
        <f>IF(A5511="","",TEXT(A5511,"0")&amp;"|"&amp;TEXT(H5511,"0"))</f>
        <v/>
      </c>
      <c r="AA5511" t="str">
        <f>IF(Z5511="","",IFERROR(LOOKUP(2,1/(#REF!=Z5511),#REF!),""))</f>
        <v/>
      </c>
      <c r="AB5511" t="str">
        <f>IF(Z5511="","",IFERROR(LOOKUP(2,1/(#REF!=Z5511),#REF!),""))</f>
        <v/>
      </c>
      <c r="AC5511" t="str">
        <f>IF(Z5511="","",COUNTIF(#REF!,Z5511))</f>
        <v/>
      </c>
      <c r="AD5511" t="str">
        <f>IF(A5511="","",IF(AC5511&gt;1,"REVISAR DUPLICADO",IF(AA5511&lt;&gt;"","ACTUALIZADO POR EYR","SIN REPORTE EYR")))</f>
        <v/>
      </c>
    </row>
    <row r="5512" spans="11:30" x14ac:dyDescent="0.3">
      <c r="K5512" s="1" t="str">
        <f ca="1">IF(A5512="","",IF(OR(L5512="ENTREGADA",L5512="RETORNADA",L5512="ENTREGA DIGITAL"),0,MAX(0,5-NETWORKDAYS(H5512+1,TODAY()))))</f>
        <v/>
      </c>
      <c r="L5512" t="str">
        <f>IF(A5512="","",IFERROR(LOOKUP(2,1/(#REF!=Z5512),#REF!),Y5512))</f>
        <v/>
      </c>
      <c r="Z5512" t="str">
        <f>IF(A5512="","",TEXT(A5512,"0")&amp;"|"&amp;TEXT(H5512,"0"))</f>
        <v/>
      </c>
      <c r="AA5512" t="str">
        <f>IF(Z5512="","",IFERROR(LOOKUP(2,1/(#REF!=Z5512),#REF!),""))</f>
        <v/>
      </c>
      <c r="AB5512" t="str">
        <f>IF(Z5512="","",IFERROR(LOOKUP(2,1/(#REF!=Z5512),#REF!),""))</f>
        <v/>
      </c>
      <c r="AC5512" t="str">
        <f>IF(Z5512="","",COUNTIF(#REF!,Z5512))</f>
        <v/>
      </c>
      <c r="AD5512" t="str">
        <f>IF(A5512="","",IF(AC5512&gt;1,"REVISAR DUPLICADO",IF(AA5512&lt;&gt;"","ACTUALIZADO POR EYR","SIN REPORTE EYR")))</f>
        <v/>
      </c>
    </row>
    <row r="5513" spans="11:30" x14ac:dyDescent="0.3">
      <c r="K5513" s="1" t="str">
        <f ca="1">IF(A5513="","",IF(OR(L5513="ENTREGADA",L5513="RETORNADA",L5513="ENTREGA DIGITAL"),0,MAX(0,5-NETWORKDAYS(H5513+1,TODAY()))))</f>
        <v/>
      </c>
      <c r="L5513" t="str">
        <f>IF(A5513="","",IFERROR(LOOKUP(2,1/(#REF!=Z5513),#REF!),Y5513))</f>
        <v/>
      </c>
      <c r="Z5513" t="str">
        <f>IF(A5513="","",TEXT(A5513,"0")&amp;"|"&amp;TEXT(H5513,"0"))</f>
        <v/>
      </c>
      <c r="AA5513" t="str">
        <f>IF(Z5513="","",IFERROR(LOOKUP(2,1/(#REF!=Z5513),#REF!),""))</f>
        <v/>
      </c>
      <c r="AB5513" t="str">
        <f>IF(Z5513="","",IFERROR(LOOKUP(2,1/(#REF!=Z5513),#REF!),""))</f>
        <v/>
      </c>
      <c r="AC5513" t="str">
        <f>IF(Z5513="","",COUNTIF(#REF!,Z5513))</f>
        <v/>
      </c>
      <c r="AD5513" t="str">
        <f>IF(A5513="","",IF(AC5513&gt;1,"REVISAR DUPLICADO",IF(AA5513&lt;&gt;"","ACTUALIZADO POR EYR","SIN REPORTE EYR")))</f>
        <v/>
      </c>
    </row>
    <row r="5514" spans="11:30" x14ac:dyDescent="0.3">
      <c r="K5514" s="1" t="str">
        <f ca="1">IF(A5514="","",IF(OR(L5514="ENTREGADA",L5514="RETORNADA",L5514="ENTREGA DIGITAL"),0,MAX(0,5-NETWORKDAYS(H5514+1,TODAY()))))</f>
        <v/>
      </c>
      <c r="L5514" t="str">
        <f>IF(A5514="","",IFERROR(LOOKUP(2,1/(#REF!=Z5514),#REF!),Y5514))</f>
        <v/>
      </c>
      <c r="Z5514" t="str">
        <f>IF(A5514="","",TEXT(A5514,"0")&amp;"|"&amp;TEXT(H5514,"0"))</f>
        <v/>
      </c>
      <c r="AA5514" t="str">
        <f>IF(Z5514="","",IFERROR(LOOKUP(2,1/(#REF!=Z5514),#REF!),""))</f>
        <v/>
      </c>
      <c r="AB5514" t="str">
        <f>IF(Z5514="","",IFERROR(LOOKUP(2,1/(#REF!=Z5514),#REF!),""))</f>
        <v/>
      </c>
      <c r="AC5514" t="str">
        <f>IF(Z5514="","",COUNTIF(#REF!,Z5514))</f>
        <v/>
      </c>
      <c r="AD5514" t="str">
        <f>IF(A5514="","",IF(AC5514&gt;1,"REVISAR DUPLICADO",IF(AA5514&lt;&gt;"","ACTUALIZADO POR EYR","SIN REPORTE EYR")))</f>
        <v/>
      </c>
    </row>
    <row r="5515" spans="11:30" x14ac:dyDescent="0.3">
      <c r="K5515" s="1" t="str">
        <f ca="1">IF(A5515="","",IF(OR(L5515="ENTREGADA",L5515="RETORNADA",L5515="ENTREGA DIGITAL"),0,MAX(0,5-NETWORKDAYS(H5515+1,TODAY()))))</f>
        <v/>
      </c>
      <c r="L5515" t="str">
        <f>IF(A5515="","",IFERROR(LOOKUP(2,1/(#REF!=Z5515),#REF!),Y5515))</f>
        <v/>
      </c>
      <c r="Z5515" t="str">
        <f>IF(A5515="","",TEXT(A5515,"0")&amp;"|"&amp;TEXT(H5515,"0"))</f>
        <v/>
      </c>
      <c r="AA5515" t="str">
        <f>IF(Z5515="","",IFERROR(LOOKUP(2,1/(#REF!=Z5515),#REF!),""))</f>
        <v/>
      </c>
      <c r="AB5515" t="str">
        <f>IF(Z5515="","",IFERROR(LOOKUP(2,1/(#REF!=Z5515),#REF!),""))</f>
        <v/>
      </c>
      <c r="AC5515" t="str">
        <f>IF(Z5515="","",COUNTIF(#REF!,Z5515))</f>
        <v/>
      </c>
      <c r="AD5515" t="str">
        <f>IF(A5515="","",IF(AC5515&gt;1,"REVISAR DUPLICADO",IF(AA5515&lt;&gt;"","ACTUALIZADO POR EYR","SIN REPORTE EYR")))</f>
        <v/>
      </c>
    </row>
    <row r="5516" spans="11:30" x14ac:dyDescent="0.3">
      <c r="K5516" s="1" t="str">
        <f ca="1">IF(A5516="","",IF(OR(L5516="ENTREGADA",L5516="RETORNADA",L5516="ENTREGA DIGITAL"),0,MAX(0,5-NETWORKDAYS(H5516+1,TODAY()))))</f>
        <v/>
      </c>
      <c r="L5516" t="str">
        <f>IF(A5516="","",IFERROR(LOOKUP(2,1/(#REF!=Z5516),#REF!),Y5516))</f>
        <v/>
      </c>
      <c r="Z5516" t="str">
        <f>IF(A5516="","",TEXT(A5516,"0")&amp;"|"&amp;TEXT(H5516,"0"))</f>
        <v/>
      </c>
      <c r="AA5516" t="str">
        <f>IF(Z5516="","",IFERROR(LOOKUP(2,1/(#REF!=Z5516),#REF!),""))</f>
        <v/>
      </c>
      <c r="AB5516" t="str">
        <f>IF(Z5516="","",IFERROR(LOOKUP(2,1/(#REF!=Z5516),#REF!),""))</f>
        <v/>
      </c>
      <c r="AC5516" t="str">
        <f>IF(Z5516="","",COUNTIF(#REF!,Z5516))</f>
        <v/>
      </c>
      <c r="AD5516" t="str">
        <f>IF(A5516="","",IF(AC5516&gt;1,"REVISAR DUPLICADO",IF(AA5516&lt;&gt;"","ACTUALIZADO POR EYR","SIN REPORTE EYR")))</f>
        <v/>
      </c>
    </row>
    <row r="5517" spans="11:30" x14ac:dyDescent="0.3">
      <c r="K5517" s="1" t="str">
        <f ca="1">IF(A5517="","",IF(OR(L5517="ENTREGADA",L5517="RETORNADA",L5517="ENTREGA DIGITAL"),0,MAX(0,5-NETWORKDAYS(H5517+1,TODAY()))))</f>
        <v/>
      </c>
      <c r="L5517" t="str">
        <f>IF(A5517="","",IFERROR(LOOKUP(2,1/(#REF!=Z5517),#REF!),Y5517))</f>
        <v/>
      </c>
      <c r="Z5517" t="str">
        <f>IF(A5517="","",TEXT(A5517,"0")&amp;"|"&amp;TEXT(H5517,"0"))</f>
        <v/>
      </c>
      <c r="AA5517" t="str">
        <f>IF(Z5517="","",IFERROR(LOOKUP(2,1/(#REF!=Z5517),#REF!),""))</f>
        <v/>
      </c>
      <c r="AB5517" t="str">
        <f>IF(Z5517="","",IFERROR(LOOKUP(2,1/(#REF!=Z5517),#REF!),""))</f>
        <v/>
      </c>
      <c r="AC5517" t="str">
        <f>IF(Z5517="","",COUNTIF(#REF!,Z5517))</f>
        <v/>
      </c>
      <c r="AD5517" t="str">
        <f>IF(A5517="","",IF(AC5517&gt;1,"REVISAR DUPLICADO",IF(AA5517&lt;&gt;"","ACTUALIZADO POR EYR","SIN REPORTE EYR")))</f>
        <v/>
      </c>
    </row>
    <row r="5518" spans="11:30" x14ac:dyDescent="0.3">
      <c r="K5518" s="1" t="str">
        <f ca="1">IF(A5518="","",IF(OR(L5518="ENTREGADA",L5518="RETORNADA",L5518="ENTREGA DIGITAL"),0,MAX(0,5-NETWORKDAYS(H5518+1,TODAY()))))</f>
        <v/>
      </c>
      <c r="L5518" t="str">
        <f>IF(A5518="","",IFERROR(LOOKUP(2,1/(#REF!=Z5518),#REF!),Y5518))</f>
        <v/>
      </c>
      <c r="Z5518" t="str">
        <f>IF(A5518="","",TEXT(A5518,"0")&amp;"|"&amp;TEXT(H5518,"0"))</f>
        <v/>
      </c>
      <c r="AA5518" t="str">
        <f>IF(Z5518="","",IFERROR(LOOKUP(2,1/(#REF!=Z5518),#REF!),""))</f>
        <v/>
      </c>
      <c r="AB5518" t="str">
        <f>IF(Z5518="","",IFERROR(LOOKUP(2,1/(#REF!=Z5518),#REF!),""))</f>
        <v/>
      </c>
      <c r="AC5518" t="str">
        <f>IF(Z5518="","",COUNTIF(#REF!,Z5518))</f>
        <v/>
      </c>
      <c r="AD5518" t="str">
        <f>IF(A5518="","",IF(AC5518&gt;1,"REVISAR DUPLICADO",IF(AA5518&lt;&gt;"","ACTUALIZADO POR EYR","SIN REPORTE EYR")))</f>
        <v/>
      </c>
    </row>
    <row r="5519" spans="11:30" x14ac:dyDescent="0.3">
      <c r="K5519" s="1" t="str">
        <f ca="1">IF(A5519="","",IF(OR(L5519="ENTREGADA",L5519="RETORNADA",L5519="ENTREGA DIGITAL"),0,MAX(0,5-NETWORKDAYS(H5519+1,TODAY()))))</f>
        <v/>
      </c>
      <c r="L5519" t="str">
        <f>IF(A5519="","",IFERROR(LOOKUP(2,1/(#REF!=Z5519),#REF!),Y5519))</f>
        <v/>
      </c>
      <c r="Z5519" t="str">
        <f>IF(A5519="","",TEXT(A5519,"0")&amp;"|"&amp;TEXT(H5519,"0"))</f>
        <v/>
      </c>
      <c r="AA5519" t="str">
        <f>IF(Z5519="","",IFERROR(LOOKUP(2,1/(#REF!=Z5519),#REF!),""))</f>
        <v/>
      </c>
      <c r="AB5519" t="str">
        <f>IF(Z5519="","",IFERROR(LOOKUP(2,1/(#REF!=Z5519),#REF!),""))</f>
        <v/>
      </c>
      <c r="AC5519" t="str">
        <f>IF(Z5519="","",COUNTIF(#REF!,Z5519))</f>
        <v/>
      </c>
      <c r="AD5519" t="str">
        <f>IF(A5519="","",IF(AC5519&gt;1,"REVISAR DUPLICADO",IF(AA5519&lt;&gt;"","ACTUALIZADO POR EYR","SIN REPORTE EYR")))</f>
        <v/>
      </c>
    </row>
    <row r="5520" spans="11:30" x14ac:dyDescent="0.3">
      <c r="K5520" s="1" t="str">
        <f ca="1">IF(A5520="","",IF(OR(L5520="ENTREGADA",L5520="RETORNADA",L5520="ENTREGA DIGITAL"),0,MAX(0,5-NETWORKDAYS(H5520+1,TODAY()))))</f>
        <v/>
      </c>
      <c r="L5520" t="str">
        <f>IF(A5520="","",IFERROR(LOOKUP(2,1/(#REF!=Z5520),#REF!),Y5520))</f>
        <v/>
      </c>
      <c r="Z5520" t="str">
        <f>IF(A5520="","",TEXT(A5520,"0")&amp;"|"&amp;TEXT(H5520,"0"))</f>
        <v/>
      </c>
      <c r="AA5520" t="str">
        <f>IF(Z5520="","",IFERROR(LOOKUP(2,1/(#REF!=Z5520),#REF!),""))</f>
        <v/>
      </c>
      <c r="AB5520" t="str">
        <f>IF(Z5520="","",IFERROR(LOOKUP(2,1/(#REF!=Z5520),#REF!),""))</f>
        <v/>
      </c>
      <c r="AC5520" t="str">
        <f>IF(Z5520="","",COUNTIF(#REF!,Z5520))</f>
        <v/>
      </c>
      <c r="AD5520" t="str">
        <f>IF(A5520="","",IF(AC5520&gt;1,"REVISAR DUPLICADO",IF(AA5520&lt;&gt;"","ACTUALIZADO POR EYR","SIN REPORTE EYR")))</f>
        <v/>
      </c>
    </row>
    <row r="5521" spans="11:30" x14ac:dyDescent="0.3">
      <c r="K5521" s="1" t="str">
        <f ca="1">IF(A5521="","",IF(OR(L5521="ENTREGADA",L5521="RETORNADA",L5521="ENTREGA DIGITAL"),0,MAX(0,5-NETWORKDAYS(H5521+1,TODAY()))))</f>
        <v/>
      </c>
      <c r="L5521" t="str">
        <f>IF(A5521="","",IFERROR(LOOKUP(2,1/(#REF!=Z5521),#REF!),Y5521))</f>
        <v/>
      </c>
      <c r="Z5521" t="str">
        <f>IF(A5521="","",TEXT(A5521,"0")&amp;"|"&amp;TEXT(H5521,"0"))</f>
        <v/>
      </c>
      <c r="AA5521" t="str">
        <f>IF(Z5521="","",IFERROR(LOOKUP(2,1/(#REF!=Z5521),#REF!),""))</f>
        <v/>
      </c>
      <c r="AB5521" t="str">
        <f>IF(Z5521="","",IFERROR(LOOKUP(2,1/(#REF!=Z5521),#REF!),""))</f>
        <v/>
      </c>
      <c r="AC5521" t="str">
        <f>IF(Z5521="","",COUNTIF(#REF!,Z5521))</f>
        <v/>
      </c>
      <c r="AD5521" t="str">
        <f>IF(A5521="","",IF(AC5521&gt;1,"REVISAR DUPLICADO",IF(AA5521&lt;&gt;"","ACTUALIZADO POR EYR","SIN REPORTE EYR")))</f>
        <v/>
      </c>
    </row>
    <row r="5522" spans="11:30" x14ac:dyDescent="0.3">
      <c r="K5522" s="1" t="str">
        <f ca="1">IF(A5522="","",IF(OR(L5522="ENTREGADA",L5522="RETORNADA",L5522="ENTREGA DIGITAL"),0,MAX(0,5-NETWORKDAYS(H5522+1,TODAY()))))</f>
        <v/>
      </c>
      <c r="L5522" t="str">
        <f>IF(A5522="","",IFERROR(LOOKUP(2,1/(#REF!=Z5522),#REF!),Y5522))</f>
        <v/>
      </c>
      <c r="Z5522" t="str">
        <f>IF(A5522="","",TEXT(A5522,"0")&amp;"|"&amp;TEXT(H5522,"0"))</f>
        <v/>
      </c>
      <c r="AA5522" t="str">
        <f>IF(Z5522="","",IFERROR(LOOKUP(2,1/(#REF!=Z5522),#REF!),""))</f>
        <v/>
      </c>
      <c r="AB5522" t="str">
        <f>IF(Z5522="","",IFERROR(LOOKUP(2,1/(#REF!=Z5522),#REF!),""))</f>
        <v/>
      </c>
      <c r="AC5522" t="str">
        <f>IF(Z5522="","",COUNTIF(#REF!,Z5522))</f>
        <v/>
      </c>
      <c r="AD5522" t="str">
        <f>IF(A5522="","",IF(AC5522&gt;1,"REVISAR DUPLICADO",IF(AA5522&lt;&gt;"","ACTUALIZADO POR EYR","SIN REPORTE EYR")))</f>
        <v/>
      </c>
    </row>
    <row r="5523" spans="11:30" x14ac:dyDescent="0.3">
      <c r="K5523" s="1" t="str">
        <f ca="1">IF(A5523="","",IF(OR(L5523="ENTREGADA",L5523="RETORNADA",L5523="ENTREGA DIGITAL"),0,MAX(0,5-NETWORKDAYS(H5523+1,TODAY()))))</f>
        <v/>
      </c>
      <c r="L5523" t="str">
        <f>IF(A5523="","",IFERROR(LOOKUP(2,1/(#REF!=Z5523),#REF!),Y5523))</f>
        <v/>
      </c>
      <c r="Z5523" t="str">
        <f>IF(A5523="","",TEXT(A5523,"0")&amp;"|"&amp;TEXT(H5523,"0"))</f>
        <v/>
      </c>
      <c r="AA5523" t="str">
        <f>IF(Z5523="","",IFERROR(LOOKUP(2,1/(#REF!=Z5523),#REF!),""))</f>
        <v/>
      </c>
      <c r="AB5523" t="str">
        <f>IF(Z5523="","",IFERROR(LOOKUP(2,1/(#REF!=Z5523),#REF!),""))</f>
        <v/>
      </c>
      <c r="AC5523" t="str">
        <f>IF(Z5523="","",COUNTIF(#REF!,Z5523))</f>
        <v/>
      </c>
      <c r="AD5523" t="str">
        <f>IF(A5523="","",IF(AC5523&gt;1,"REVISAR DUPLICADO",IF(AA5523&lt;&gt;"","ACTUALIZADO POR EYR","SIN REPORTE EYR")))</f>
        <v/>
      </c>
    </row>
    <row r="5524" spans="11:30" x14ac:dyDescent="0.3">
      <c r="K5524" s="1" t="str">
        <f ca="1">IF(A5524="","",IF(OR(L5524="ENTREGADA",L5524="RETORNADA",L5524="ENTREGA DIGITAL"),0,MAX(0,5-NETWORKDAYS(H5524+1,TODAY()))))</f>
        <v/>
      </c>
      <c r="L5524" t="str">
        <f>IF(A5524="","",IFERROR(LOOKUP(2,1/(#REF!=Z5524),#REF!),Y5524))</f>
        <v/>
      </c>
      <c r="Z5524" t="str">
        <f>IF(A5524="","",TEXT(A5524,"0")&amp;"|"&amp;TEXT(H5524,"0"))</f>
        <v/>
      </c>
      <c r="AA5524" t="str">
        <f>IF(Z5524="","",IFERROR(LOOKUP(2,1/(#REF!=Z5524),#REF!),""))</f>
        <v/>
      </c>
      <c r="AB5524" t="str">
        <f>IF(Z5524="","",IFERROR(LOOKUP(2,1/(#REF!=Z5524),#REF!),""))</f>
        <v/>
      </c>
      <c r="AC5524" t="str">
        <f>IF(Z5524="","",COUNTIF(#REF!,Z5524))</f>
        <v/>
      </c>
      <c r="AD5524" t="str">
        <f>IF(A5524="","",IF(AC5524&gt;1,"REVISAR DUPLICADO",IF(AA5524&lt;&gt;"","ACTUALIZADO POR EYR","SIN REPORTE EYR")))</f>
        <v/>
      </c>
    </row>
    <row r="5525" spans="11:30" x14ac:dyDescent="0.3">
      <c r="K5525" s="1" t="str">
        <f ca="1">IF(A5525="","",IF(OR(L5525="ENTREGADA",L5525="RETORNADA",L5525="ENTREGA DIGITAL"),0,MAX(0,5-NETWORKDAYS(H5525+1,TODAY()))))</f>
        <v/>
      </c>
      <c r="L5525" t="str">
        <f>IF(A5525="","",IFERROR(LOOKUP(2,1/(#REF!=Z5525),#REF!),Y5525))</f>
        <v/>
      </c>
      <c r="Z5525" t="str">
        <f>IF(A5525="","",TEXT(A5525,"0")&amp;"|"&amp;TEXT(H5525,"0"))</f>
        <v/>
      </c>
      <c r="AA5525" t="str">
        <f>IF(Z5525="","",IFERROR(LOOKUP(2,1/(#REF!=Z5525),#REF!),""))</f>
        <v/>
      </c>
      <c r="AB5525" t="str">
        <f>IF(Z5525="","",IFERROR(LOOKUP(2,1/(#REF!=Z5525),#REF!),""))</f>
        <v/>
      </c>
      <c r="AC5525" t="str">
        <f>IF(Z5525="","",COUNTIF(#REF!,Z5525))</f>
        <v/>
      </c>
      <c r="AD5525" t="str">
        <f>IF(A5525="","",IF(AC5525&gt;1,"REVISAR DUPLICADO",IF(AA5525&lt;&gt;"","ACTUALIZADO POR EYR","SIN REPORTE EYR")))</f>
        <v/>
      </c>
    </row>
    <row r="5526" spans="11:30" x14ac:dyDescent="0.3">
      <c r="K5526" s="1" t="str">
        <f ca="1">IF(A5526="","",IF(OR(L5526="ENTREGADA",L5526="RETORNADA",L5526="ENTREGA DIGITAL"),0,MAX(0,5-NETWORKDAYS(H5526+1,TODAY()))))</f>
        <v/>
      </c>
      <c r="L5526" t="str">
        <f>IF(A5526="","",IFERROR(LOOKUP(2,1/(#REF!=Z5526),#REF!),Y5526))</f>
        <v/>
      </c>
      <c r="Z5526" t="str">
        <f>IF(A5526="","",TEXT(A5526,"0")&amp;"|"&amp;TEXT(H5526,"0"))</f>
        <v/>
      </c>
      <c r="AA5526" t="str">
        <f>IF(Z5526="","",IFERROR(LOOKUP(2,1/(#REF!=Z5526),#REF!),""))</f>
        <v/>
      </c>
      <c r="AB5526" t="str">
        <f>IF(Z5526="","",IFERROR(LOOKUP(2,1/(#REF!=Z5526),#REF!),""))</f>
        <v/>
      </c>
      <c r="AC5526" t="str">
        <f>IF(Z5526="","",COUNTIF(#REF!,Z5526))</f>
        <v/>
      </c>
      <c r="AD5526" t="str">
        <f>IF(A5526="","",IF(AC5526&gt;1,"REVISAR DUPLICADO",IF(AA5526&lt;&gt;"","ACTUALIZADO POR EYR","SIN REPORTE EYR")))</f>
        <v/>
      </c>
    </row>
    <row r="5527" spans="11:30" x14ac:dyDescent="0.3">
      <c r="K5527" s="1" t="str">
        <f ca="1">IF(A5527="","",IF(OR(L5527="ENTREGADA",L5527="RETORNADA",L5527="ENTREGA DIGITAL"),0,MAX(0,5-NETWORKDAYS(H5527+1,TODAY()))))</f>
        <v/>
      </c>
      <c r="L5527" t="str">
        <f>IF(A5527="","",IFERROR(LOOKUP(2,1/(#REF!=Z5527),#REF!),Y5527))</f>
        <v/>
      </c>
      <c r="Z5527" t="str">
        <f>IF(A5527="","",TEXT(A5527,"0")&amp;"|"&amp;TEXT(H5527,"0"))</f>
        <v/>
      </c>
      <c r="AA5527" t="str">
        <f>IF(Z5527="","",IFERROR(LOOKUP(2,1/(#REF!=Z5527),#REF!),""))</f>
        <v/>
      </c>
      <c r="AB5527" t="str">
        <f>IF(Z5527="","",IFERROR(LOOKUP(2,1/(#REF!=Z5527),#REF!),""))</f>
        <v/>
      </c>
      <c r="AC5527" t="str">
        <f>IF(Z5527="","",COUNTIF(#REF!,Z5527))</f>
        <v/>
      </c>
      <c r="AD5527" t="str">
        <f>IF(A5527="","",IF(AC5527&gt;1,"REVISAR DUPLICADO",IF(AA5527&lt;&gt;"","ACTUALIZADO POR EYR","SIN REPORTE EYR")))</f>
        <v/>
      </c>
    </row>
    <row r="5528" spans="11:30" x14ac:dyDescent="0.3">
      <c r="K5528" s="1" t="str">
        <f ca="1">IF(A5528="","",IF(OR(L5528="ENTREGADA",L5528="RETORNADA",L5528="ENTREGA DIGITAL"),0,MAX(0,5-NETWORKDAYS(H5528+1,TODAY()))))</f>
        <v/>
      </c>
      <c r="L5528" t="str">
        <f>IF(A5528="","",IFERROR(LOOKUP(2,1/(#REF!=Z5528),#REF!),Y5528))</f>
        <v/>
      </c>
      <c r="Z5528" t="str">
        <f>IF(A5528="","",TEXT(A5528,"0")&amp;"|"&amp;TEXT(H5528,"0"))</f>
        <v/>
      </c>
      <c r="AA5528" t="str">
        <f>IF(Z5528="","",IFERROR(LOOKUP(2,1/(#REF!=Z5528),#REF!),""))</f>
        <v/>
      </c>
      <c r="AB5528" t="str">
        <f>IF(Z5528="","",IFERROR(LOOKUP(2,1/(#REF!=Z5528),#REF!),""))</f>
        <v/>
      </c>
      <c r="AC5528" t="str">
        <f>IF(Z5528="","",COUNTIF(#REF!,Z5528))</f>
        <v/>
      </c>
      <c r="AD5528" t="str">
        <f>IF(A5528="","",IF(AC5528&gt;1,"REVISAR DUPLICADO",IF(AA5528&lt;&gt;"","ACTUALIZADO POR EYR","SIN REPORTE EYR")))</f>
        <v/>
      </c>
    </row>
    <row r="5529" spans="11:30" x14ac:dyDescent="0.3">
      <c r="K5529" s="1" t="str">
        <f ca="1">IF(A5529="","",IF(OR(L5529="ENTREGADA",L5529="RETORNADA",L5529="ENTREGA DIGITAL"),0,MAX(0,5-NETWORKDAYS(H5529+1,TODAY()))))</f>
        <v/>
      </c>
      <c r="L5529" t="str">
        <f>IF(A5529="","",IFERROR(LOOKUP(2,1/(#REF!=Z5529),#REF!),Y5529))</f>
        <v/>
      </c>
      <c r="Z5529" t="str">
        <f>IF(A5529="","",TEXT(A5529,"0")&amp;"|"&amp;TEXT(H5529,"0"))</f>
        <v/>
      </c>
      <c r="AA5529" t="str">
        <f>IF(Z5529="","",IFERROR(LOOKUP(2,1/(#REF!=Z5529),#REF!),""))</f>
        <v/>
      </c>
      <c r="AB5529" t="str">
        <f>IF(Z5529="","",IFERROR(LOOKUP(2,1/(#REF!=Z5529),#REF!),""))</f>
        <v/>
      </c>
      <c r="AC5529" t="str">
        <f>IF(Z5529="","",COUNTIF(#REF!,Z5529))</f>
        <v/>
      </c>
      <c r="AD5529" t="str">
        <f>IF(A5529="","",IF(AC5529&gt;1,"REVISAR DUPLICADO",IF(AA5529&lt;&gt;"","ACTUALIZADO POR EYR","SIN REPORTE EYR")))</f>
        <v/>
      </c>
    </row>
    <row r="5530" spans="11:30" x14ac:dyDescent="0.3">
      <c r="K5530" s="1" t="str">
        <f ca="1">IF(A5530="","",IF(OR(L5530="ENTREGADA",L5530="RETORNADA",L5530="ENTREGA DIGITAL"),0,MAX(0,5-NETWORKDAYS(H5530+1,TODAY()))))</f>
        <v/>
      </c>
      <c r="L5530" t="str">
        <f>IF(A5530="","",IFERROR(LOOKUP(2,1/(#REF!=Z5530),#REF!),Y5530))</f>
        <v/>
      </c>
      <c r="Z5530" t="str">
        <f>IF(A5530="","",TEXT(A5530,"0")&amp;"|"&amp;TEXT(H5530,"0"))</f>
        <v/>
      </c>
      <c r="AA5530" t="str">
        <f>IF(Z5530="","",IFERROR(LOOKUP(2,1/(#REF!=Z5530),#REF!),""))</f>
        <v/>
      </c>
      <c r="AB5530" t="str">
        <f>IF(Z5530="","",IFERROR(LOOKUP(2,1/(#REF!=Z5530),#REF!),""))</f>
        <v/>
      </c>
      <c r="AC5530" t="str">
        <f>IF(Z5530="","",COUNTIF(#REF!,Z5530))</f>
        <v/>
      </c>
      <c r="AD5530" t="str">
        <f>IF(A5530="","",IF(AC5530&gt;1,"REVISAR DUPLICADO",IF(AA5530&lt;&gt;"","ACTUALIZADO POR EYR","SIN REPORTE EYR")))</f>
        <v/>
      </c>
    </row>
    <row r="5531" spans="11:30" x14ac:dyDescent="0.3">
      <c r="K5531" s="1" t="str">
        <f ca="1">IF(A5531="","",IF(OR(L5531="ENTREGADA",L5531="RETORNADA",L5531="ENTREGA DIGITAL"),0,MAX(0,5-NETWORKDAYS(H5531+1,TODAY()))))</f>
        <v/>
      </c>
      <c r="L5531" t="str">
        <f>IF(A5531="","",IFERROR(LOOKUP(2,1/(#REF!=Z5531),#REF!),Y5531))</f>
        <v/>
      </c>
      <c r="Z5531" t="str">
        <f>IF(A5531="","",TEXT(A5531,"0")&amp;"|"&amp;TEXT(H5531,"0"))</f>
        <v/>
      </c>
      <c r="AA5531" t="str">
        <f>IF(Z5531="","",IFERROR(LOOKUP(2,1/(#REF!=Z5531),#REF!),""))</f>
        <v/>
      </c>
      <c r="AB5531" t="str">
        <f>IF(Z5531="","",IFERROR(LOOKUP(2,1/(#REF!=Z5531),#REF!),""))</f>
        <v/>
      </c>
      <c r="AC5531" t="str">
        <f>IF(Z5531="","",COUNTIF(#REF!,Z5531))</f>
        <v/>
      </c>
      <c r="AD5531" t="str">
        <f>IF(A5531="","",IF(AC5531&gt;1,"REVISAR DUPLICADO",IF(AA5531&lt;&gt;"","ACTUALIZADO POR EYR","SIN REPORTE EYR")))</f>
        <v/>
      </c>
    </row>
    <row r="5532" spans="11:30" x14ac:dyDescent="0.3">
      <c r="K5532" s="1" t="str">
        <f ca="1">IF(A5532="","",IF(OR(L5532="ENTREGADA",L5532="RETORNADA",L5532="ENTREGA DIGITAL"),0,MAX(0,5-NETWORKDAYS(H5532+1,TODAY()))))</f>
        <v/>
      </c>
      <c r="L5532" t="str">
        <f>IF(A5532="","",IFERROR(LOOKUP(2,1/(#REF!=Z5532),#REF!),Y5532))</f>
        <v/>
      </c>
      <c r="Z5532" t="str">
        <f>IF(A5532="","",TEXT(A5532,"0")&amp;"|"&amp;TEXT(H5532,"0"))</f>
        <v/>
      </c>
      <c r="AA5532" t="str">
        <f>IF(Z5532="","",IFERROR(LOOKUP(2,1/(#REF!=Z5532),#REF!),""))</f>
        <v/>
      </c>
      <c r="AB5532" t="str">
        <f>IF(Z5532="","",IFERROR(LOOKUP(2,1/(#REF!=Z5532),#REF!),""))</f>
        <v/>
      </c>
      <c r="AC5532" t="str">
        <f>IF(Z5532="","",COUNTIF(#REF!,Z5532))</f>
        <v/>
      </c>
      <c r="AD5532" t="str">
        <f>IF(A5532="","",IF(AC5532&gt;1,"REVISAR DUPLICADO",IF(AA5532&lt;&gt;"","ACTUALIZADO POR EYR","SIN REPORTE EYR")))</f>
        <v/>
      </c>
    </row>
    <row r="5533" spans="11:30" x14ac:dyDescent="0.3">
      <c r="K5533" s="1" t="str">
        <f ca="1">IF(A5533="","",IF(OR(L5533="ENTREGADA",L5533="RETORNADA",L5533="ENTREGA DIGITAL"),0,MAX(0,5-NETWORKDAYS(H5533+1,TODAY()))))</f>
        <v/>
      </c>
      <c r="L5533" t="str">
        <f>IF(A5533="","",IFERROR(LOOKUP(2,1/(#REF!=Z5533),#REF!),Y5533))</f>
        <v/>
      </c>
      <c r="Z5533" t="str">
        <f>IF(A5533="","",TEXT(A5533,"0")&amp;"|"&amp;TEXT(H5533,"0"))</f>
        <v/>
      </c>
      <c r="AA5533" t="str">
        <f>IF(Z5533="","",IFERROR(LOOKUP(2,1/(#REF!=Z5533),#REF!),""))</f>
        <v/>
      </c>
      <c r="AB5533" t="str">
        <f>IF(Z5533="","",IFERROR(LOOKUP(2,1/(#REF!=Z5533),#REF!),""))</f>
        <v/>
      </c>
      <c r="AC5533" t="str">
        <f>IF(Z5533="","",COUNTIF(#REF!,Z5533))</f>
        <v/>
      </c>
      <c r="AD5533" t="str">
        <f>IF(A5533="","",IF(AC5533&gt;1,"REVISAR DUPLICADO",IF(AA5533&lt;&gt;"","ACTUALIZADO POR EYR","SIN REPORTE EYR")))</f>
        <v/>
      </c>
    </row>
    <row r="5534" spans="11:30" x14ac:dyDescent="0.3">
      <c r="K5534" s="1" t="str">
        <f ca="1">IF(A5534="","",IF(OR(L5534="ENTREGADA",L5534="RETORNADA",L5534="ENTREGA DIGITAL"),0,MAX(0,5-NETWORKDAYS(H5534+1,TODAY()))))</f>
        <v/>
      </c>
      <c r="L5534" t="str">
        <f>IF(A5534="","",IFERROR(LOOKUP(2,1/(#REF!=Z5534),#REF!),Y5534))</f>
        <v/>
      </c>
      <c r="Z5534" t="str">
        <f>IF(A5534="","",TEXT(A5534,"0")&amp;"|"&amp;TEXT(H5534,"0"))</f>
        <v/>
      </c>
      <c r="AA5534" t="str">
        <f>IF(Z5534="","",IFERROR(LOOKUP(2,1/(#REF!=Z5534),#REF!),""))</f>
        <v/>
      </c>
      <c r="AB5534" t="str">
        <f>IF(Z5534="","",IFERROR(LOOKUP(2,1/(#REF!=Z5534),#REF!),""))</f>
        <v/>
      </c>
      <c r="AC5534" t="str">
        <f>IF(Z5534="","",COUNTIF(#REF!,Z5534))</f>
        <v/>
      </c>
      <c r="AD5534" t="str">
        <f>IF(A5534="","",IF(AC5534&gt;1,"REVISAR DUPLICADO",IF(AA5534&lt;&gt;"","ACTUALIZADO POR EYR","SIN REPORTE EYR")))</f>
        <v/>
      </c>
    </row>
    <row r="5535" spans="11:30" x14ac:dyDescent="0.3">
      <c r="K5535" s="1" t="str">
        <f ca="1">IF(A5535="","",IF(OR(L5535="ENTREGADA",L5535="RETORNADA",L5535="ENTREGA DIGITAL"),0,MAX(0,5-NETWORKDAYS(H5535+1,TODAY()))))</f>
        <v/>
      </c>
      <c r="L5535" t="str">
        <f>IF(A5535="","",IFERROR(LOOKUP(2,1/(#REF!=Z5535),#REF!),Y5535))</f>
        <v/>
      </c>
      <c r="Z5535" t="str">
        <f>IF(A5535="","",TEXT(A5535,"0")&amp;"|"&amp;TEXT(H5535,"0"))</f>
        <v/>
      </c>
      <c r="AA5535" t="str">
        <f>IF(Z5535="","",IFERROR(LOOKUP(2,1/(#REF!=Z5535),#REF!),""))</f>
        <v/>
      </c>
      <c r="AB5535" t="str">
        <f>IF(Z5535="","",IFERROR(LOOKUP(2,1/(#REF!=Z5535),#REF!),""))</f>
        <v/>
      </c>
      <c r="AC5535" t="str">
        <f>IF(Z5535="","",COUNTIF(#REF!,Z5535))</f>
        <v/>
      </c>
      <c r="AD5535" t="str">
        <f>IF(A5535="","",IF(AC5535&gt;1,"REVISAR DUPLICADO",IF(AA5535&lt;&gt;"","ACTUALIZADO POR EYR","SIN REPORTE EYR")))</f>
        <v/>
      </c>
    </row>
    <row r="5536" spans="11:30" x14ac:dyDescent="0.3">
      <c r="K5536" s="1" t="str">
        <f ca="1">IF(A5536="","",IF(OR(L5536="ENTREGADA",L5536="RETORNADA",L5536="ENTREGA DIGITAL"),0,MAX(0,5-NETWORKDAYS(H5536+1,TODAY()))))</f>
        <v/>
      </c>
      <c r="L5536" t="str">
        <f>IF(A5536="","",IFERROR(LOOKUP(2,1/(#REF!=Z5536),#REF!),Y5536))</f>
        <v/>
      </c>
      <c r="Z5536" t="str">
        <f>IF(A5536="","",TEXT(A5536,"0")&amp;"|"&amp;TEXT(H5536,"0"))</f>
        <v/>
      </c>
      <c r="AA5536" t="str">
        <f>IF(Z5536="","",IFERROR(LOOKUP(2,1/(#REF!=Z5536),#REF!),""))</f>
        <v/>
      </c>
      <c r="AB5536" t="str">
        <f>IF(Z5536="","",IFERROR(LOOKUP(2,1/(#REF!=Z5536),#REF!),""))</f>
        <v/>
      </c>
      <c r="AC5536" t="str">
        <f>IF(Z5536="","",COUNTIF(#REF!,Z5536))</f>
        <v/>
      </c>
      <c r="AD5536" t="str">
        <f>IF(A5536="","",IF(AC5536&gt;1,"REVISAR DUPLICADO",IF(AA5536&lt;&gt;"","ACTUALIZADO POR EYR","SIN REPORTE EYR")))</f>
        <v/>
      </c>
    </row>
    <row r="5537" spans="11:30" x14ac:dyDescent="0.3">
      <c r="K5537" s="1" t="str">
        <f ca="1">IF(A5537="","",IF(OR(L5537="ENTREGADA",L5537="RETORNADA",L5537="ENTREGA DIGITAL"),0,MAX(0,5-NETWORKDAYS(H5537+1,TODAY()))))</f>
        <v/>
      </c>
      <c r="L5537" t="str">
        <f>IF(A5537="","",IFERROR(LOOKUP(2,1/(#REF!=Z5537),#REF!),Y5537))</f>
        <v/>
      </c>
      <c r="Z5537" t="str">
        <f>IF(A5537="","",TEXT(A5537,"0")&amp;"|"&amp;TEXT(H5537,"0"))</f>
        <v/>
      </c>
      <c r="AA5537" t="str">
        <f>IF(Z5537="","",IFERROR(LOOKUP(2,1/(#REF!=Z5537),#REF!),""))</f>
        <v/>
      </c>
      <c r="AB5537" t="str">
        <f>IF(Z5537="","",IFERROR(LOOKUP(2,1/(#REF!=Z5537),#REF!),""))</f>
        <v/>
      </c>
      <c r="AC5537" t="str">
        <f>IF(Z5537="","",COUNTIF(#REF!,Z5537))</f>
        <v/>
      </c>
      <c r="AD5537" t="str">
        <f>IF(A5537="","",IF(AC5537&gt;1,"REVISAR DUPLICADO",IF(AA5537&lt;&gt;"","ACTUALIZADO POR EYR","SIN REPORTE EYR")))</f>
        <v/>
      </c>
    </row>
    <row r="5538" spans="11:30" x14ac:dyDescent="0.3">
      <c r="K5538" s="1" t="str">
        <f ca="1">IF(A5538="","",IF(OR(L5538="ENTREGADA",L5538="RETORNADA",L5538="ENTREGA DIGITAL"),0,MAX(0,5-NETWORKDAYS(H5538+1,TODAY()))))</f>
        <v/>
      </c>
      <c r="L5538" t="str">
        <f>IF(A5538="","",IFERROR(LOOKUP(2,1/(#REF!=Z5538),#REF!),Y5538))</f>
        <v/>
      </c>
      <c r="Z5538" t="str">
        <f>IF(A5538="","",TEXT(A5538,"0")&amp;"|"&amp;TEXT(H5538,"0"))</f>
        <v/>
      </c>
      <c r="AA5538" t="str">
        <f>IF(Z5538="","",IFERROR(LOOKUP(2,1/(#REF!=Z5538),#REF!),""))</f>
        <v/>
      </c>
      <c r="AB5538" t="str">
        <f>IF(Z5538="","",IFERROR(LOOKUP(2,1/(#REF!=Z5538),#REF!),""))</f>
        <v/>
      </c>
      <c r="AC5538" t="str">
        <f>IF(Z5538="","",COUNTIF(#REF!,Z5538))</f>
        <v/>
      </c>
      <c r="AD5538" t="str">
        <f>IF(A5538="","",IF(AC5538&gt;1,"REVISAR DUPLICADO",IF(AA5538&lt;&gt;"","ACTUALIZADO POR EYR","SIN REPORTE EYR")))</f>
        <v/>
      </c>
    </row>
    <row r="5539" spans="11:30" x14ac:dyDescent="0.3">
      <c r="K5539" s="1" t="str">
        <f ca="1">IF(A5539="","",IF(OR(L5539="ENTREGADA",L5539="RETORNADA",L5539="ENTREGA DIGITAL"),0,MAX(0,5-NETWORKDAYS(H5539+1,TODAY()))))</f>
        <v/>
      </c>
      <c r="L5539" t="str">
        <f>IF(A5539="","",IFERROR(LOOKUP(2,1/(#REF!=Z5539),#REF!),Y5539))</f>
        <v/>
      </c>
      <c r="Z5539" t="str">
        <f>IF(A5539="","",TEXT(A5539,"0")&amp;"|"&amp;TEXT(H5539,"0"))</f>
        <v/>
      </c>
      <c r="AA5539" t="str">
        <f>IF(Z5539="","",IFERROR(LOOKUP(2,1/(#REF!=Z5539),#REF!),""))</f>
        <v/>
      </c>
      <c r="AB5539" t="str">
        <f>IF(Z5539="","",IFERROR(LOOKUP(2,1/(#REF!=Z5539),#REF!),""))</f>
        <v/>
      </c>
      <c r="AC5539" t="str">
        <f>IF(Z5539="","",COUNTIF(#REF!,Z5539))</f>
        <v/>
      </c>
      <c r="AD5539" t="str">
        <f>IF(A5539="","",IF(AC5539&gt;1,"REVISAR DUPLICADO",IF(AA5539&lt;&gt;"","ACTUALIZADO POR EYR","SIN REPORTE EYR")))</f>
        <v/>
      </c>
    </row>
    <row r="5540" spans="11:30" x14ac:dyDescent="0.3">
      <c r="K5540" s="1" t="str">
        <f ca="1">IF(A5540="","",IF(OR(L5540="ENTREGADA",L5540="RETORNADA",L5540="ENTREGA DIGITAL"),0,MAX(0,5-NETWORKDAYS(H5540+1,TODAY()))))</f>
        <v/>
      </c>
      <c r="L5540" t="str">
        <f>IF(A5540="","",IFERROR(LOOKUP(2,1/(#REF!=Z5540),#REF!),Y5540))</f>
        <v/>
      </c>
      <c r="Z5540" t="str">
        <f>IF(A5540="","",TEXT(A5540,"0")&amp;"|"&amp;TEXT(H5540,"0"))</f>
        <v/>
      </c>
      <c r="AA5540" t="str">
        <f>IF(Z5540="","",IFERROR(LOOKUP(2,1/(#REF!=Z5540),#REF!),""))</f>
        <v/>
      </c>
      <c r="AB5540" t="str">
        <f>IF(Z5540="","",IFERROR(LOOKUP(2,1/(#REF!=Z5540),#REF!),""))</f>
        <v/>
      </c>
      <c r="AC5540" t="str">
        <f>IF(Z5540="","",COUNTIF(#REF!,Z5540))</f>
        <v/>
      </c>
      <c r="AD5540" t="str">
        <f>IF(A5540="","",IF(AC5540&gt;1,"REVISAR DUPLICADO",IF(AA5540&lt;&gt;"","ACTUALIZADO POR EYR","SIN REPORTE EYR")))</f>
        <v/>
      </c>
    </row>
    <row r="5541" spans="11:30" x14ac:dyDescent="0.3">
      <c r="K5541" s="1" t="str">
        <f ca="1">IF(A5541="","",IF(OR(L5541="ENTREGADA",L5541="RETORNADA",L5541="ENTREGA DIGITAL"),0,MAX(0,5-NETWORKDAYS(H5541+1,TODAY()))))</f>
        <v/>
      </c>
      <c r="L5541" t="str">
        <f>IF(A5541="","",IFERROR(LOOKUP(2,1/(#REF!=Z5541),#REF!),Y5541))</f>
        <v/>
      </c>
      <c r="Z5541" t="str">
        <f>IF(A5541="","",TEXT(A5541,"0")&amp;"|"&amp;TEXT(H5541,"0"))</f>
        <v/>
      </c>
      <c r="AA5541" t="str">
        <f>IF(Z5541="","",IFERROR(LOOKUP(2,1/(#REF!=Z5541),#REF!),""))</f>
        <v/>
      </c>
      <c r="AB5541" t="str">
        <f>IF(Z5541="","",IFERROR(LOOKUP(2,1/(#REF!=Z5541),#REF!),""))</f>
        <v/>
      </c>
      <c r="AC5541" t="str">
        <f>IF(Z5541="","",COUNTIF(#REF!,Z5541))</f>
        <v/>
      </c>
      <c r="AD5541" t="str">
        <f>IF(A5541="","",IF(AC5541&gt;1,"REVISAR DUPLICADO",IF(AA5541&lt;&gt;"","ACTUALIZADO POR EYR","SIN REPORTE EYR")))</f>
        <v/>
      </c>
    </row>
    <row r="5542" spans="11:30" x14ac:dyDescent="0.3">
      <c r="K5542" s="1" t="str">
        <f ca="1">IF(A5542="","",IF(OR(L5542="ENTREGADA",L5542="RETORNADA",L5542="ENTREGA DIGITAL"),0,MAX(0,5-NETWORKDAYS(H5542+1,TODAY()))))</f>
        <v/>
      </c>
      <c r="L5542" t="str">
        <f>IF(A5542="","",IFERROR(LOOKUP(2,1/(#REF!=Z5542),#REF!),Y5542))</f>
        <v/>
      </c>
      <c r="Z5542" t="str">
        <f>IF(A5542="","",TEXT(A5542,"0")&amp;"|"&amp;TEXT(H5542,"0"))</f>
        <v/>
      </c>
      <c r="AA5542" t="str">
        <f>IF(Z5542="","",IFERROR(LOOKUP(2,1/(#REF!=Z5542),#REF!),""))</f>
        <v/>
      </c>
      <c r="AB5542" t="str">
        <f>IF(Z5542="","",IFERROR(LOOKUP(2,1/(#REF!=Z5542),#REF!),""))</f>
        <v/>
      </c>
      <c r="AC5542" t="str">
        <f>IF(Z5542="","",COUNTIF(#REF!,Z5542))</f>
        <v/>
      </c>
      <c r="AD5542" t="str">
        <f>IF(A5542="","",IF(AC5542&gt;1,"REVISAR DUPLICADO",IF(AA5542&lt;&gt;"","ACTUALIZADO POR EYR","SIN REPORTE EYR")))</f>
        <v/>
      </c>
    </row>
    <row r="5543" spans="11:30" x14ac:dyDescent="0.3">
      <c r="K5543" s="1" t="str">
        <f ca="1">IF(A5543="","",IF(OR(L5543="ENTREGADA",L5543="RETORNADA",L5543="ENTREGA DIGITAL"),0,MAX(0,5-NETWORKDAYS(H5543+1,TODAY()))))</f>
        <v/>
      </c>
      <c r="L5543" t="str">
        <f>IF(A5543="","",IFERROR(LOOKUP(2,1/(#REF!=Z5543),#REF!),Y5543))</f>
        <v/>
      </c>
      <c r="Z5543" t="str">
        <f>IF(A5543="","",TEXT(A5543,"0")&amp;"|"&amp;TEXT(H5543,"0"))</f>
        <v/>
      </c>
      <c r="AA5543" t="str">
        <f>IF(Z5543="","",IFERROR(LOOKUP(2,1/(#REF!=Z5543),#REF!),""))</f>
        <v/>
      </c>
      <c r="AB5543" t="str">
        <f>IF(Z5543="","",IFERROR(LOOKUP(2,1/(#REF!=Z5543),#REF!),""))</f>
        <v/>
      </c>
      <c r="AC5543" t="str">
        <f>IF(Z5543="","",COUNTIF(#REF!,Z5543))</f>
        <v/>
      </c>
      <c r="AD5543" t="str">
        <f>IF(A5543="","",IF(AC5543&gt;1,"REVISAR DUPLICADO",IF(AA5543&lt;&gt;"","ACTUALIZADO POR EYR","SIN REPORTE EYR")))</f>
        <v/>
      </c>
    </row>
    <row r="5544" spans="11:30" x14ac:dyDescent="0.3">
      <c r="K5544" s="1" t="str">
        <f ca="1">IF(A5544="","",IF(OR(L5544="ENTREGADA",L5544="RETORNADA",L5544="ENTREGA DIGITAL"),0,MAX(0,5-NETWORKDAYS(H5544+1,TODAY()))))</f>
        <v/>
      </c>
      <c r="L5544" t="str">
        <f>IF(A5544="","",IFERROR(LOOKUP(2,1/(#REF!=Z5544),#REF!),Y5544))</f>
        <v/>
      </c>
      <c r="Z5544" t="str">
        <f>IF(A5544="","",TEXT(A5544,"0")&amp;"|"&amp;TEXT(H5544,"0"))</f>
        <v/>
      </c>
      <c r="AA5544" t="str">
        <f>IF(Z5544="","",IFERROR(LOOKUP(2,1/(#REF!=Z5544),#REF!),""))</f>
        <v/>
      </c>
      <c r="AB5544" t="str">
        <f>IF(Z5544="","",IFERROR(LOOKUP(2,1/(#REF!=Z5544),#REF!),""))</f>
        <v/>
      </c>
      <c r="AC5544" t="str">
        <f>IF(Z5544="","",COUNTIF(#REF!,Z5544))</f>
        <v/>
      </c>
      <c r="AD5544" t="str">
        <f>IF(A5544="","",IF(AC5544&gt;1,"REVISAR DUPLICADO",IF(AA5544&lt;&gt;"","ACTUALIZADO POR EYR","SIN REPORTE EYR")))</f>
        <v/>
      </c>
    </row>
    <row r="5545" spans="11:30" x14ac:dyDescent="0.3">
      <c r="K5545" s="1" t="str">
        <f ca="1">IF(A5545="","",IF(OR(L5545="ENTREGADA",L5545="RETORNADA",L5545="ENTREGA DIGITAL"),0,MAX(0,5-NETWORKDAYS(H5545+1,TODAY()))))</f>
        <v/>
      </c>
      <c r="L5545" t="str">
        <f>IF(A5545="","",IFERROR(LOOKUP(2,1/(#REF!=Z5545),#REF!),Y5545))</f>
        <v/>
      </c>
      <c r="Z5545" t="str">
        <f>IF(A5545="","",TEXT(A5545,"0")&amp;"|"&amp;TEXT(H5545,"0"))</f>
        <v/>
      </c>
      <c r="AA5545" t="str">
        <f>IF(Z5545="","",IFERROR(LOOKUP(2,1/(#REF!=Z5545),#REF!),""))</f>
        <v/>
      </c>
      <c r="AB5545" t="str">
        <f>IF(Z5545="","",IFERROR(LOOKUP(2,1/(#REF!=Z5545),#REF!),""))</f>
        <v/>
      </c>
      <c r="AC5545" t="str">
        <f>IF(Z5545="","",COUNTIF(#REF!,Z5545))</f>
        <v/>
      </c>
      <c r="AD5545" t="str">
        <f>IF(A5545="","",IF(AC5545&gt;1,"REVISAR DUPLICADO",IF(AA5545&lt;&gt;"","ACTUALIZADO POR EYR","SIN REPORTE EYR")))</f>
        <v/>
      </c>
    </row>
    <row r="5546" spans="11:30" x14ac:dyDescent="0.3">
      <c r="K5546" s="1" t="str">
        <f ca="1">IF(A5546="","",IF(OR(L5546="ENTREGADA",L5546="RETORNADA",L5546="ENTREGA DIGITAL"),0,MAX(0,5-NETWORKDAYS(H5546+1,TODAY()))))</f>
        <v/>
      </c>
      <c r="L5546" t="str">
        <f>IF(A5546="","",IFERROR(LOOKUP(2,1/(#REF!=Z5546),#REF!),Y5546))</f>
        <v/>
      </c>
      <c r="Z5546" t="str">
        <f>IF(A5546="","",TEXT(A5546,"0")&amp;"|"&amp;TEXT(H5546,"0"))</f>
        <v/>
      </c>
      <c r="AA5546" t="str">
        <f>IF(Z5546="","",IFERROR(LOOKUP(2,1/(#REF!=Z5546),#REF!),""))</f>
        <v/>
      </c>
      <c r="AB5546" t="str">
        <f>IF(Z5546="","",IFERROR(LOOKUP(2,1/(#REF!=Z5546),#REF!),""))</f>
        <v/>
      </c>
      <c r="AC5546" t="str">
        <f>IF(Z5546="","",COUNTIF(#REF!,Z5546))</f>
        <v/>
      </c>
      <c r="AD5546" t="str">
        <f>IF(A5546="","",IF(AC5546&gt;1,"REVISAR DUPLICADO",IF(AA5546&lt;&gt;"","ACTUALIZADO POR EYR","SIN REPORTE EYR")))</f>
        <v/>
      </c>
    </row>
    <row r="5547" spans="11:30" x14ac:dyDescent="0.3">
      <c r="K5547" s="1" t="str">
        <f ca="1">IF(A5547="","",IF(OR(L5547="ENTREGADA",L5547="RETORNADA",L5547="ENTREGA DIGITAL"),0,MAX(0,5-NETWORKDAYS(H5547+1,TODAY()))))</f>
        <v/>
      </c>
      <c r="L5547" t="str">
        <f>IF(A5547="","",IFERROR(LOOKUP(2,1/(#REF!=Z5547),#REF!),Y5547))</f>
        <v/>
      </c>
      <c r="Z5547" t="str">
        <f>IF(A5547="","",TEXT(A5547,"0")&amp;"|"&amp;TEXT(H5547,"0"))</f>
        <v/>
      </c>
      <c r="AA5547" t="str">
        <f>IF(Z5547="","",IFERROR(LOOKUP(2,1/(#REF!=Z5547),#REF!),""))</f>
        <v/>
      </c>
      <c r="AB5547" t="str">
        <f>IF(Z5547="","",IFERROR(LOOKUP(2,1/(#REF!=Z5547),#REF!),""))</f>
        <v/>
      </c>
      <c r="AC5547" t="str">
        <f>IF(Z5547="","",COUNTIF(#REF!,Z5547))</f>
        <v/>
      </c>
      <c r="AD5547" t="str">
        <f>IF(A5547="","",IF(AC5547&gt;1,"REVISAR DUPLICADO",IF(AA5547&lt;&gt;"","ACTUALIZADO POR EYR","SIN REPORTE EYR")))</f>
        <v/>
      </c>
    </row>
    <row r="5548" spans="11:30" x14ac:dyDescent="0.3">
      <c r="K5548" s="1" t="str">
        <f ca="1">IF(A5548="","",IF(OR(L5548="ENTREGADA",L5548="RETORNADA",L5548="ENTREGA DIGITAL"),0,MAX(0,5-NETWORKDAYS(H5548+1,TODAY()))))</f>
        <v/>
      </c>
      <c r="L5548" t="str">
        <f>IF(A5548="","",IFERROR(LOOKUP(2,1/(#REF!=Z5548),#REF!),Y5548))</f>
        <v/>
      </c>
      <c r="Z5548" t="str">
        <f>IF(A5548="","",TEXT(A5548,"0")&amp;"|"&amp;TEXT(H5548,"0"))</f>
        <v/>
      </c>
      <c r="AA5548" t="str">
        <f>IF(Z5548="","",IFERROR(LOOKUP(2,1/(#REF!=Z5548),#REF!),""))</f>
        <v/>
      </c>
      <c r="AB5548" t="str">
        <f>IF(Z5548="","",IFERROR(LOOKUP(2,1/(#REF!=Z5548),#REF!),""))</f>
        <v/>
      </c>
      <c r="AC5548" t="str">
        <f>IF(Z5548="","",COUNTIF(#REF!,Z5548))</f>
        <v/>
      </c>
      <c r="AD5548" t="str">
        <f>IF(A5548="","",IF(AC5548&gt;1,"REVISAR DUPLICADO",IF(AA5548&lt;&gt;"","ACTUALIZADO POR EYR","SIN REPORTE EYR")))</f>
        <v/>
      </c>
    </row>
    <row r="5549" spans="11:30" x14ac:dyDescent="0.3">
      <c r="K5549" s="1" t="str">
        <f ca="1">IF(A5549="","",IF(OR(L5549="ENTREGADA",L5549="RETORNADA",L5549="ENTREGA DIGITAL"),0,MAX(0,5-NETWORKDAYS(H5549+1,TODAY()))))</f>
        <v/>
      </c>
      <c r="L5549" t="str">
        <f>IF(A5549="","",IFERROR(LOOKUP(2,1/(#REF!=Z5549),#REF!),Y5549))</f>
        <v/>
      </c>
      <c r="Z5549" t="str">
        <f>IF(A5549="","",TEXT(A5549,"0")&amp;"|"&amp;TEXT(H5549,"0"))</f>
        <v/>
      </c>
      <c r="AA5549" t="str">
        <f>IF(Z5549="","",IFERROR(LOOKUP(2,1/(#REF!=Z5549),#REF!),""))</f>
        <v/>
      </c>
      <c r="AB5549" t="str">
        <f>IF(Z5549="","",IFERROR(LOOKUP(2,1/(#REF!=Z5549),#REF!),""))</f>
        <v/>
      </c>
      <c r="AC5549" t="str">
        <f>IF(Z5549="","",COUNTIF(#REF!,Z5549))</f>
        <v/>
      </c>
      <c r="AD5549" t="str">
        <f>IF(A5549="","",IF(AC5549&gt;1,"REVISAR DUPLICADO",IF(AA5549&lt;&gt;"","ACTUALIZADO POR EYR","SIN REPORTE EYR")))</f>
        <v/>
      </c>
    </row>
    <row r="5550" spans="11:30" x14ac:dyDescent="0.3">
      <c r="K5550" s="1" t="str">
        <f ca="1">IF(A5550="","",IF(OR(L5550="ENTREGADA",L5550="RETORNADA",L5550="ENTREGA DIGITAL"),0,MAX(0,5-NETWORKDAYS(H5550+1,TODAY()))))</f>
        <v/>
      </c>
      <c r="L5550" t="str">
        <f>IF(A5550="","",IFERROR(LOOKUP(2,1/(#REF!=Z5550),#REF!),Y5550))</f>
        <v/>
      </c>
      <c r="Z5550" t="str">
        <f>IF(A5550="","",TEXT(A5550,"0")&amp;"|"&amp;TEXT(H5550,"0"))</f>
        <v/>
      </c>
      <c r="AA5550" t="str">
        <f>IF(Z5550="","",IFERROR(LOOKUP(2,1/(#REF!=Z5550),#REF!),""))</f>
        <v/>
      </c>
      <c r="AB5550" t="str">
        <f>IF(Z5550="","",IFERROR(LOOKUP(2,1/(#REF!=Z5550),#REF!),""))</f>
        <v/>
      </c>
      <c r="AC5550" t="str">
        <f>IF(Z5550="","",COUNTIF(#REF!,Z5550))</f>
        <v/>
      </c>
      <c r="AD5550" t="str">
        <f>IF(A5550="","",IF(AC5550&gt;1,"REVISAR DUPLICADO",IF(AA5550&lt;&gt;"","ACTUALIZADO POR EYR","SIN REPORTE EYR")))</f>
        <v/>
      </c>
    </row>
    <row r="5551" spans="11:30" x14ac:dyDescent="0.3">
      <c r="K5551" s="1" t="str">
        <f ca="1">IF(A5551="","",IF(OR(L5551="ENTREGADA",L5551="RETORNADA",L5551="ENTREGA DIGITAL"),0,MAX(0,5-NETWORKDAYS(H5551+1,TODAY()))))</f>
        <v/>
      </c>
      <c r="L5551" t="str">
        <f>IF(A5551="","",IFERROR(LOOKUP(2,1/(#REF!=Z5551),#REF!),Y5551))</f>
        <v/>
      </c>
      <c r="Z5551" t="str">
        <f>IF(A5551="","",TEXT(A5551,"0")&amp;"|"&amp;TEXT(H5551,"0"))</f>
        <v/>
      </c>
      <c r="AA5551" t="str">
        <f>IF(Z5551="","",IFERROR(LOOKUP(2,1/(#REF!=Z5551),#REF!),""))</f>
        <v/>
      </c>
      <c r="AB5551" t="str">
        <f>IF(Z5551="","",IFERROR(LOOKUP(2,1/(#REF!=Z5551),#REF!),""))</f>
        <v/>
      </c>
      <c r="AC5551" t="str">
        <f>IF(Z5551="","",COUNTIF(#REF!,Z5551))</f>
        <v/>
      </c>
      <c r="AD5551" t="str">
        <f>IF(A5551="","",IF(AC5551&gt;1,"REVISAR DUPLICADO",IF(AA5551&lt;&gt;"","ACTUALIZADO POR EYR","SIN REPORTE EYR")))</f>
        <v/>
      </c>
    </row>
    <row r="5552" spans="11:30" x14ac:dyDescent="0.3">
      <c r="K5552" s="1" t="str">
        <f ca="1">IF(A5552="","",IF(OR(L5552="ENTREGADA",L5552="RETORNADA",L5552="ENTREGA DIGITAL"),0,MAX(0,5-NETWORKDAYS(H5552+1,TODAY()))))</f>
        <v/>
      </c>
      <c r="L5552" t="str">
        <f>IF(A5552="","",IFERROR(LOOKUP(2,1/(#REF!=Z5552),#REF!),Y5552))</f>
        <v/>
      </c>
      <c r="Z5552" t="str">
        <f>IF(A5552="","",TEXT(A5552,"0")&amp;"|"&amp;TEXT(H5552,"0"))</f>
        <v/>
      </c>
      <c r="AA5552" t="str">
        <f>IF(Z5552="","",IFERROR(LOOKUP(2,1/(#REF!=Z5552),#REF!),""))</f>
        <v/>
      </c>
      <c r="AB5552" t="str">
        <f>IF(Z5552="","",IFERROR(LOOKUP(2,1/(#REF!=Z5552),#REF!),""))</f>
        <v/>
      </c>
      <c r="AC5552" t="str">
        <f>IF(Z5552="","",COUNTIF(#REF!,Z5552))</f>
        <v/>
      </c>
      <c r="AD5552" t="str">
        <f>IF(A5552="","",IF(AC5552&gt;1,"REVISAR DUPLICADO",IF(AA5552&lt;&gt;"","ACTUALIZADO POR EYR","SIN REPORTE EYR")))</f>
        <v/>
      </c>
    </row>
    <row r="5553" spans="11:30" x14ac:dyDescent="0.3">
      <c r="K5553" s="1" t="str">
        <f ca="1">IF(A5553="","",IF(OR(L5553="ENTREGADA",L5553="RETORNADA",L5553="ENTREGA DIGITAL"),0,MAX(0,5-NETWORKDAYS(H5553+1,TODAY()))))</f>
        <v/>
      </c>
      <c r="L5553" t="str">
        <f>IF(A5553="","",IFERROR(LOOKUP(2,1/(#REF!=Z5553),#REF!),Y5553))</f>
        <v/>
      </c>
      <c r="Z5553" t="str">
        <f>IF(A5553="","",TEXT(A5553,"0")&amp;"|"&amp;TEXT(H5553,"0"))</f>
        <v/>
      </c>
      <c r="AA5553" t="str">
        <f>IF(Z5553="","",IFERROR(LOOKUP(2,1/(#REF!=Z5553),#REF!),""))</f>
        <v/>
      </c>
      <c r="AB5553" t="str">
        <f>IF(Z5553="","",IFERROR(LOOKUP(2,1/(#REF!=Z5553),#REF!),""))</f>
        <v/>
      </c>
      <c r="AC5553" t="str">
        <f>IF(Z5553="","",COUNTIF(#REF!,Z5553))</f>
        <v/>
      </c>
      <c r="AD5553" t="str">
        <f>IF(A5553="","",IF(AC5553&gt;1,"REVISAR DUPLICADO",IF(AA5553&lt;&gt;"","ACTUALIZADO POR EYR","SIN REPORTE EYR")))</f>
        <v/>
      </c>
    </row>
    <row r="5554" spans="11:30" x14ac:dyDescent="0.3">
      <c r="K5554" s="1" t="str">
        <f ca="1">IF(A5554="","",IF(OR(L5554="ENTREGADA",L5554="RETORNADA",L5554="ENTREGA DIGITAL"),0,MAX(0,5-NETWORKDAYS(H5554+1,TODAY()))))</f>
        <v/>
      </c>
      <c r="L5554" t="str">
        <f>IF(A5554="","",IFERROR(LOOKUP(2,1/(#REF!=Z5554),#REF!),Y5554))</f>
        <v/>
      </c>
      <c r="Z5554" t="str">
        <f>IF(A5554="","",TEXT(A5554,"0")&amp;"|"&amp;TEXT(H5554,"0"))</f>
        <v/>
      </c>
      <c r="AA5554" t="str">
        <f>IF(Z5554="","",IFERROR(LOOKUP(2,1/(#REF!=Z5554),#REF!),""))</f>
        <v/>
      </c>
      <c r="AB5554" t="str">
        <f>IF(Z5554="","",IFERROR(LOOKUP(2,1/(#REF!=Z5554),#REF!),""))</f>
        <v/>
      </c>
      <c r="AC5554" t="str">
        <f>IF(Z5554="","",COUNTIF(#REF!,Z5554))</f>
        <v/>
      </c>
      <c r="AD5554" t="str">
        <f>IF(A5554="","",IF(AC5554&gt;1,"REVISAR DUPLICADO",IF(AA5554&lt;&gt;"","ACTUALIZADO POR EYR","SIN REPORTE EYR")))</f>
        <v/>
      </c>
    </row>
    <row r="5555" spans="11:30" x14ac:dyDescent="0.3">
      <c r="K5555" s="1" t="str">
        <f ca="1">IF(A5555="","",IF(OR(L5555="ENTREGADA",L5555="RETORNADA",L5555="ENTREGA DIGITAL"),0,MAX(0,5-NETWORKDAYS(H5555+1,TODAY()))))</f>
        <v/>
      </c>
      <c r="L5555" t="str">
        <f>IF(A5555="","",IFERROR(LOOKUP(2,1/(#REF!=Z5555),#REF!),Y5555))</f>
        <v/>
      </c>
      <c r="Z5555" t="str">
        <f>IF(A5555="","",TEXT(A5555,"0")&amp;"|"&amp;TEXT(H5555,"0"))</f>
        <v/>
      </c>
      <c r="AA5555" t="str">
        <f>IF(Z5555="","",IFERROR(LOOKUP(2,1/(#REF!=Z5555),#REF!),""))</f>
        <v/>
      </c>
      <c r="AB5555" t="str">
        <f>IF(Z5555="","",IFERROR(LOOKUP(2,1/(#REF!=Z5555),#REF!),""))</f>
        <v/>
      </c>
      <c r="AC5555" t="str">
        <f>IF(Z5555="","",COUNTIF(#REF!,Z5555))</f>
        <v/>
      </c>
      <c r="AD5555" t="str">
        <f>IF(A5555="","",IF(AC5555&gt;1,"REVISAR DUPLICADO",IF(AA5555&lt;&gt;"","ACTUALIZADO POR EYR","SIN REPORTE EYR")))</f>
        <v/>
      </c>
    </row>
    <row r="5556" spans="11:30" x14ac:dyDescent="0.3">
      <c r="K5556" s="1" t="str">
        <f ca="1">IF(A5556="","",IF(OR(L5556="ENTREGADA",L5556="RETORNADA",L5556="ENTREGA DIGITAL"),0,MAX(0,5-NETWORKDAYS(H5556+1,TODAY()))))</f>
        <v/>
      </c>
      <c r="L5556" t="str">
        <f>IF(A5556="","",IFERROR(LOOKUP(2,1/(#REF!=Z5556),#REF!),Y5556))</f>
        <v/>
      </c>
      <c r="Z5556" t="str">
        <f>IF(A5556="","",TEXT(A5556,"0")&amp;"|"&amp;TEXT(H5556,"0"))</f>
        <v/>
      </c>
      <c r="AA5556" t="str">
        <f>IF(Z5556="","",IFERROR(LOOKUP(2,1/(#REF!=Z5556),#REF!),""))</f>
        <v/>
      </c>
      <c r="AB5556" t="str">
        <f>IF(Z5556="","",IFERROR(LOOKUP(2,1/(#REF!=Z5556),#REF!),""))</f>
        <v/>
      </c>
      <c r="AC5556" t="str">
        <f>IF(Z5556="","",COUNTIF(#REF!,Z5556))</f>
        <v/>
      </c>
      <c r="AD5556" t="str">
        <f>IF(A5556="","",IF(AC5556&gt;1,"REVISAR DUPLICADO",IF(AA5556&lt;&gt;"","ACTUALIZADO POR EYR","SIN REPORTE EYR")))</f>
        <v/>
      </c>
    </row>
    <row r="5557" spans="11:30" x14ac:dyDescent="0.3">
      <c r="K5557" s="1" t="str">
        <f ca="1">IF(A5557="","",IF(OR(L5557="ENTREGADA",L5557="RETORNADA",L5557="ENTREGA DIGITAL"),0,MAX(0,5-NETWORKDAYS(H5557+1,TODAY()))))</f>
        <v/>
      </c>
      <c r="L5557" t="str">
        <f>IF(A5557="","",IFERROR(LOOKUP(2,1/(#REF!=Z5557),#REF!),Y5557))</f>
        <v/>
      </c>
      <c r="Z5557" t="str">
        <f>IF(A5557="","",TEXT(A5557,"0")&amp;"|"&amp;TEXT(H5557,"0"))</f>
        <v/>
      </c>
      <c r="AA5557" t="str">
        <f>IF(Z5557="","",IFERROR(LOOKUP(2,1/(#REF!=Z5557),#REF!),""))</f>
        <v/>
      </c>
      <c r="AB5557" t="str">
        <f>IF(Z5557="","",IFERROR(LOOKUP(2,1/(#REF!=Z5557),#REF!),""))</f>
        <v/>
      </c>
      <c r="AC5557" t="str">
        <f>IF(Z5557="","",COUNTIF(#REF!,Z5557))</f>
        <v/>
      </c>
      <c r="AD5557" t="str">
        <f>IF(A5557="","",IF(AC5557&gt;1,"REVISAR DUPLICADO",IF(AA5557&lt;&gt;"","ACTUALIZADO POR EYR","SIN REPORTE EYR")))</f>
        <v/>
      </c>
    </row>
    <row r="5558" spans="11:30" x14ac:dyDescent="0.3">
      <c r="K5558" s="1" t="str">
        <f ca="1">IF(A5558="","",IF(OR(L5558="ENTREGADA",L5558="RETORNADA",L5558="ENTREGA DIGITAL"),0,MAX(0,5-NETWORKDAYS(H5558+1,TODAY()))))</f>
        <v/>
      </c>
      <c r="L5558" t="str">
        <f>IF(A5558="","",IFERROR(LOOKUP(2,1/(#REF!=Z5558),#REF!),Y5558))</f>
        <v/>
      </c>
      <c r="Z5558" t="str">
        <f>IF(A5558="","",TEXT(A5558,"0")&amp;"|"&amp;TEXT(H5558,"0"))</f>
        <v/>
      </c>
      <c r="AA5558" t="str">
        <f>IF(Z5558="","",IFERROR(LOOKUP(2,1/(#REF!=Z5558),#REF!),""))</f>
        <v/>
      </c>
      <c r="AB5558" t="str">
        <f>IF(Z5558="","",IFERROR(LOOKUP(2,1/(#REF!=Z5558),#REF!),""))</f>
        <v/>
      </c>
      <c r="AC5558" t="str">
        <f>IF(Z5558="","",COUNTIF(#REF!,Z5558))</f>
        <v/>
      </c>
      <c r="AD5558" t="str">
        <f>IF(A5558="","",IF(AC5558&gt;1,"REVISAR DUPLICADO",IF(AA5558&lt;&gt;"","ACTUALIZADO POR EYR","SIN REPORTE EYR")))</f>
        <v/>
      </c>
    </row>
    <row r="5559" spans="11:30" x14ac:dyDescent="0.3">
      <c r="K5559" s="1" t="str">
        <f ca="1">IF(A5559="","",IF(OR(L5559="ENTREGADA",L5559="RETORNADA",L5559="ENTREGA DIGITAL"),0,MAX(0,5-NETWORKDAYS(H5559+1,TODAY()))))</f>
        <v/>
      </c>
      <c r="L5559" t="str">
        <f>IF(A5559="","",IFERROR(LOOKUP(2,1/(#REF!=Z5559),#REF!),Y5559))</f>
        <v/>
      </c>
      <c r="Z5559" t="str">
        <f>IF(A5559="","",TEXT(A5559,"0")&amp;"|"&amp;TEXT(H5559,"0"))</f>
        <v/>
      </c>
      <c r="AA5559" t="str">
        <f>IF(Z5559="","",IFERROR(LOOKUP(2,1/(#REF!=Z5559),#REF!),""))</f>
        <v/>
      </c>
      <c r="AB5559" t="str">
        <f>IF(Z5559="","",IFERROR(LOOKUP(2,1/(#REF!=Z5559),#REF!),""))</f>
        <v/>
      </c>
      <c r="AC5559" t="str">
        <f>IF(Z5559="","",COUNTIF(#REF!,Z5559))</f>
        <v/>
      </c>
      <c r="AD5559" t="str">
        <f>IF(A5559="","",IF(AC5559&gt;1,"REVISAR DUPLICADO",IF(AA5559&lt;&gt;"","ACTUALIZADO POR EYR","SIN REPORTE EYR")))</f>
        <v/>
      </c>
    </row>
    <row r="5560" spans="11:30" x14ac:dyDescent="0.3">
      <c r="K5560" s="1" t="str">
        <f ca="1">IF(A5560="","",IF(OR(L5560="ENTREGADA",L5560="RETORNADA",L5560="ENTREGA DIGITAL"),0,MAX(0,5-NETWORKDAYS(H5560+1,TODAY()))))</f>
        <v/>
      </c>
      <c r="L5560" t="str">
        <f>IF(A5560="","",IFERROR(LOOKUP(2,1/(#REF!=Z5560),#REF!),Y5560))</f>
        <v/>
      </c>
      <c r="Z5560" t="str">
        <f>IF(A5560="","",TEXT(A5560,"0")&amp;"|"&amp;TEXT(H5560,"0"))</f>
        <v/>
      </c>
      <c r="AA5560" t="str">
        <f>IF(Z5560="","",IFERROR(LOOKUP(2,1/(#REF!=Z5560),#REF!),""))</f>
        <v/>
      </c>
      <c r="AB5560" t="str">
        <f>IF(Z5560="","",IFERROR(LOOKUP(2,1/(#REF!=Z5560),#REF!),""))</f>
        <v/>
      </c>
      <c r="AC5560" t="str">
        <f>IF(Z5560="","",COUNTIF(#REF!,Z5560))</f>
        <v/>
      </c>
      <c r="AD5560" t="str">
        <f>IF(A5560="","",IF(AC5560&gt;1,"REVISAR DUPLICADO",IF(AA5560&lt;&gt;"","ACTUALIZADO POR EYR","SIN REPORTE EYR")))</f>
        <v/>
      </c>
    </row>
    <row r="5561" spans="11:30" x14ac:dyDescent="0.3">
      <c r="K5561" s="1" t="str">
        <f ca="1">IF(A5561="","",IF(OR(L5561="ENTREGADA",L5561="RETORNADA",L5561="ENTREGA DIGITAL"),0,MAX(0,5-NETWORKDAYS(H5561+1,TODAY()))))</f>
        <v/>
      </c>
      <c r="L5561" t="str">
        <f>IF(A5561="","",IFERROR(LOOKUP(2,1/(#REF!=Z5561),#REF!),Y5561))</f>
        <v/>
      </c>
      <c r="Z5561" t="str">
        <f>IF(A5561="","",TEXT(A5561,"0")&amp;"|"&amp;TEXT(H5561,"0"))</f>
        <v/>
      </c>
      <c r="AA5561" t="str">
        <f>IF(Z5561="","",IFERROR(LOOKUP(2,1/(#REF!=Z5561),#REF!),""))</f>
        <v/>
      </c>
      <c r="AB5561" t="str">
        <f>IF(Z5561="","",IFERROR(LOOKUP(2,1/(#REF!=Z5561),#REF!),""))</f>
        <v/>
      </c>
      <c r="AC5561" t="str">
        <f>IF(Z5561="","",COUNTIF(#REF!,Z5561))</f>
        <v/>
      </c>
      <c r="AD5561" t="str">
        <f>IF(A5561="","",IF(AC5561&gt;1,"REVISAR DUPLICADO",IF(AA5561&lt;&gt;"","ACTUALIZADO POR EYR","SIN REPORTE EYR")))</f>
        <v/>
      </c>
    </row>
    <row r="5562" spans="11:30" x14ac:dyDescent="0.3">
      <c r="K5562" s="1" t="str">
        <f ca="1">IF(A5562="","",IF(OR(L5562="ENTREGADA",L5562="RETORNADA",L5562="ENTREGA DIGITAL"),0,MAX(0,5-NETWORKDAYS(H5562+1,TODAY()))))</f>
        <v/>
      </c>
      <c r="L5562" t="str">
        <f>IF(A5562="","",IFERROR(LOOKUP(2,1/(#REF!=Z5562),#REF!),Y5562))</f>
        <v/>
      </c>
      <c r="Z5562" t="str">
        <f>IF(A5562="","",TEXT(A5562,"0")&amp;"|"&amp;TEXT(H5562,"0"))</f>
        <v/>
      </c>
      <c r="AA5562" t="str">
        <f>IF(Z5562="","",IFERROR(LOOKUP(2,1/(#REF!=Z5562),#REF!),""))</f>
        <v/>
      </c>
      <c r="AB5562" t="str">
        <f>IF(Z5562="","",IFERROR(LOOKUP(2,1/(#REF!=Z5562),#REF!),""))</f>
        <v/>
      </c>
      <c r="AC5562" t="str">
        <f>IF(Z5562="","",COUNTIF(#REF!,Z5562))</f>
        <v/>
      </c>
      <c r="AD5562" t="str">
        <f>IF(A5562="","",IF(AC5562&gt;1,"REVISAR DUPLICADO",IF(AA5562&lt;&gt;"","ACTUALIZADO POR EYR","SIN REPORTE EYR")))</f>
        <v/>
      </c>
    </row>
    <row r="5563" spans="11:30" x14ac:dyDescent="0.3">
      <c r="K5563" s="1" t="str">
        <f ca="1">IF(A5563="","",IF(OR(L5563="ENTREGADA",L5563="RETORNADA",L5563="ENTREGA DIGITAL"),0,MAX(0,5-NETWORKDAYS(H5563+1,TODAY()))))</f>
        <v/>
      </c>
      <c r="L5563" t="str">
        <f>IF(A5563="","",IFERROR(LOOKUP(2,1/(#REF!=Z5563),#REF!),Y5563))</f>
        <v/>
      </c>
      <c r="Z5563" t="str">
        <f>IF(A5563="","",TEXT(A5563,"0")&amp;"|"&amp;TEXT(H5563,"0"))</f>
        <v/>
      </c>
      <c r="AA5563" t="str">
        <f>IF(Z5563="","",IFERROR(LOOKUP(2,1/(#REF!=Z5563),#REF!),""))</f>
        <v/>
      </c>
      <c r="AB5563" t="str">
        <f>IF(Z5563="","",IFERROR(LOOKUP(2,1/(#REF!=Z5563),#REF!),""))</f>
        <v/>
      </c>
      <c r="AC5563" t="str">
        <f>IF(Z5563="","",COUNTIF(#REF!,Z5563))</f>
        <v/>
      </c>
      <c r="AD5563" t="str">
        <f>IF(A5563="","",IF(AC5563&gt;1,"REVISAR DUPLICADO",IF(AA5563&lt;&gt;"","ACTUALIZADO POR EYR","SIN REPORTE EYR")))</f>
        <v/>
      </c>
    </row>
    <row r="5564" spans="11:30" x14ac:dyDescent="0.3">
      <c r="K5564" s="1" t="str">
        <f ca="1">IF(A5564="","",IF(OR(L5564="ENTREGADA",L5564="RETORNADA",L5564="ENTREGA DIGITAL"),0,MAX(0,5-NETWORKDAYS(H5564+1,TODAY()))))</f>
        <v/>
      </c>
      <c r="L5564" t="str">
        <f>IF(A5564="","",IFERROR(LOOKUP(2,1/(#REF!=Z5564),#REF!),Y5564))</f>
        <v/>
      </c>
      <c r="Z5564" t="str">
        <f>IF(A5564="","",TEXT(A5564,"0")&amp;"|"&amp;TEXT(H5564,"0"))</f>
        <v/>
      </c>
      <c r="AA5564" t="str">
        <f>IF(Z5564="","",IFERROR(LOOKUP(2,1/(#REF!=Z5564),#REF!),""))</f>
        <v/>
      </c>
      <c r="AB5564" t="str">
        <f>IF(Z5564="","",IFERROR(LOOKUP(2,1/(#REF!=Z5564),#REF!),""))</f>
        <v/>
      </c>
      <c r="AC5564" t="str">
        <f>IF(Z5564="","",COUNTIF(#REF!,Z5564))</f>
        <v/>
      </c>
      <c r="AD5564" t="str">
        <f>IF(A5564="","",IF(AC5564&gt;1,"REVISAR DUPLICADO",IF(AA5564&lt;&gt;"","ACTUALIZADO POR EYR","SIN REPORTE EYR")))</f>
        <v/>
      </c>
    </row>
    <row r="5565" spans="11:30" x14ac:dyDescent="0.3">
      <c r="K5565" s="1" t="str">
        <f ca="1">IF(A5565="","",IF(OR(L5565="ENTREGADA",L5565="RETORNADA",L5565="ENTREGA DIGITAL"),0,MAX(0,5-NETWORKDAYS(H5565+1,TODAY()))))</f>
        <v/>
      </c>
      <c r="L5565" t="str">
        <f>IF(A5565="","",IFERROR(LOOKUP(2,1/(#REF!=Z5565),#REF!),Y5565))</f>
        <v/>
      </c>
      <c r="Z5565" t="str">
        <f>IF(A5565="","",TEXT(A5565,"0")&amp;"|"&amp;TEXT(H5565,"0"))</f>
        <v/>
      </c>
      <c r="AA5565" t="str">
        <f>IF(Z5565="","",IFERROR(LOOKUP(2,1/(#REF!=Z5565),#REF!),""))</f>
        <v/>
      </c>
      <c r="AB5565" t="str">
        <f>IF(Z5565="","",IFERROR(LOOKUP(2,1/(#REF!=Z5565),#REF!),""))</f>
        <v/>
      </c>
      <c r="AC5565" t="str">
        <f>IF(Z5565="","",COUNTIF(#REF!,Z5565))</f>
        <v/>
      </c>
      <c r="AD5565" t="str">
        <f>IF(A5565="","",IF(AC5565&gt;1,"REVISAR DUPLICADO",IF(AA5565&lt;&gt;"","ACTUALIZADO POR EYR","SIN REPORTE EYR")))</f>
        <v/>
      </c>
    </row>
    <row r="5566" spans="11:30" x14ac:dyDescent="0.3">
      <c r="K5566" s="1" t="str">
        <f ca="1">IF(A5566="","",IF(OR(L5566="ENTREGADA",L5566="RETORNADA",L5566="ENTREGA DIGITAL"),0,MAX(0,5-NETWORKDAYS(H5566+1,TODAY()))))</f>
        <v/>
      </c>
      <c r="L5566" t="str">
        <f>IF(A5566="","",IFERROR(LOOKUP(2,1/(#REF!=Z5566),#REF!),Y5566))</f>
        <v/>
      </c>
      <c r="Z5566" t="str">
        <f>IF(A5566="","",TEXT(A5566,"0")&amp;"|"&amp;TEXT(H5566,"0"))</f>
        <v/>
      </c>
      <c r="AA5566" t="str">
        <f>IF(Z5566="","",IFERROR(LOOKUP(2,1/(#REF!=Z5566),#REF!),""))</f>
        <v/>
      </c>
      <c r="AB5566" t="str">
        <f>IF(Z5566="","",IFERROR(LOOKUP(2,1/(#REF!=Z5566),#REF!),""))</f>
        <v/>
      </c>
      <c r="AC5566" t="str">
        <f>IF(Z5566="","",COUNTIF(#REF!,Z5566))</f>
        <v/>
      </c>
      <c r="AD5566" t="str">
        <f>IF(A5566="","",IF(AC5566&gt;1,"REVISAR DUPLICADO",IF(AA5566&lt;&gt;"","ACTUALIZADO POR EYR","SIN REPORTE EYR")))</f>
        <v/>
      </c>
    </row>
    <row r="5567" spans="11:30" x14ac:dyDescent="0.3">
      <c r="K5567" s="1" t="str">
        <f ca="1">IF(A5567="","",IF(OR(L5567="ENTREGADA",L5567="RETORNADA",L5567="ENTREGA DIGITAL"),0,MAX(0,5-NETWORKDAYS(H5567+1,TODAY()))))</f>
        <v/>
      </c>
      <c r="L5567" t="str">
        <f>IF(A5567="","",IFERROR(LOOKUP(2,1/(#REF!=Z5567),#REF!),Y5567))</f>
        <v/>
      </c>
      <c r="Z5567" t="str">
        <f>IF(A5567="","",TEXT(A5567,"0")&amp;"|"&amp;TEXT(H5567,"0"))</f>
        <v/>
      </c>
      <c r="AA5567" t="str">
        <f>IF(Z5567="","",IFERROR(LOOKUP(2,1/(#REF!=Z5567),#REF!),""))</f>
        <v/>
      </c>
      <c r="AB5567" t="str">
        <f>IF(Z5567="","",IFERROR(LOOKUP(2,1/(#REF!=Z5567),#REF!),""))</f>
        <v/>
      </c>
      <c r="AC5567" t="str">
        <f>IF(Z5567="","",COUNTIF(#REF!,Z5567))</f>
        <v/>
      </c>
      <c r="AD5567" t="str">
        <f>IF(A5567="","",IF(AC5567&gt;1,"REVISAR DUPLICADO",IF(AA5567&lt;&gt;"","ACTUALIZADO POR EYR","SIN REPORTE EYR")))</f>
        <v/>
      </c>
    </row>
    <row r="5568" spans="11:30" x14ac:dyDescent="0.3">
      <c r="K5568" s="1" t="str">
        <f ca="1">IF(A5568="","",IF(OR(L5568="ENTREGADA",L5568="RETORNADA",L5568="ENTREGA DIGITAL"),0,MAX(0,5-NETWORKDAYS(H5568+1,TODAY()))))</f>
        <v/>
      </c>
      <c r="L5568" t="str">
        <f>IF(A5568="","",IFERROR(LOOKUP(2,1/(#REF!=Z5568),#REF!),Y5568))</f>
        <v/>
      </c>
      <c r="Z5568" t="str">
        <f>IF(A5568="","",TEXT(A5568,"0")&amp;"|"&amp;TEXT(H5568,"0"))</f>
        <v/>
      </c>
      <c r="AA5568" t="str">
        <f>IF(Z5568="","",IFERROR(LOOKUP(2,1/(#REF!=Z5568),#REF!),""))</f>
        <v/>
      </c>
      <c r="AB5568" t="str">
        <f>IF(Z5568="","",IFERROR(LOOKUP(2,1/(#REF!=Z5568),#REF!),""))</f>
        <v/>
      </c>
      <c r="AC5568" t="str">
        <f>IF(Z5568="","",COUNTIF(#REF!,Z5568))</f>
        <v/>
      </c>
      <c r="AD5568" t="str">
        <f>IF(A5568="","",IF(AC5568&gt;1,"REVISAR DUPLICADO",IF(AA5568&lt;&gt;"","ACTUALIZADO POR EYR","SIN REPORTE EYR")))</f>
        <v/>
      </c>
    </row>
    <row r="5569" spans="11:30" x14ac:dyDescent="0.3">
      <c r="K5569" s="1" t="str">
        <f ca="1">IF(A5569="","",IF(OR(L5569="ENTREGADA",L5569="RETORNADA",L5569="ENTREGA DIGITAL"),0,MAX(0,5-NETWORKDAYS(H5569+1,TODAY()))))</f>
        <v/>
      </c>
      <c r="L5569" t="str">
        <f>IF(A5569="","",IFERROR(LOOKUP(2,1/(#REF!=Z5569),#REF!),Y5569))</f>
        <v/>
      </c>
      <c r="Z5569" t="str">
        <f>IF(A5569="","",TEXT(A5569,"0")&amp;"|"&amp;TEXT(H5569,"0"))</f>
        <v/>
      </c>
      <c r="AA5569" t="str">
        <f>IF(Z5569="","",IFERROR(LOOKUP(2,1/(#REF!=Z5569),#REF!),""))</f>
        <v/>
      </c>
      <c r="AB5569" t="str">
        <f>IF(Z5569="","",IFERROR(LOOKUP(2,1/(#REF!=Z5569),#REF!),""))</f>
        <v/>
      </c>
      <c r="AC5569" t="str">
        <f>IF(Z5569="","",COUNTIF(#REF!,Z5569))</f>
        <v/>
      </c>
      <c r="AD5569" t="str">
        <f>IF(A5569="","",IF(AC5569&gt;1,"REVISAR DUPLICADO",IF(AA5569&lt;&gt;"","ACTUALIZADO POR EYR","SIN REPORTE EYR")))</f>
        <v/>
      </c>
    </row>
    <row r="5570" spans="11:30" x14ac:dyDescent="0.3">
      <c r="K5570" s="1" t="str">
        <f ca="1">IF(A5570="","",IF(OR(L5570="ENTREGADA",L5570="RETORNADA",L5570="ENTREGA DIGITAL"),0,MAX(0,5-NETWORKDAYS(H5570+1,TODAY()))))</f>
        <v/>
      </c>
      <c r="L5570" t="str">
        <f>IF(A5570="","",IFERROR(LOOKUP(2,1/(#REF!=Z5570),#REF!),Y5570))</f>
        <v/>
      </c>
      <c r="Z5570" t="str">
        <f>IF(A5570="","",TEXT(A5570,"0")&amp;"|"&amp;TEXT(H5570,"0"))</f>
        <v/>
      </c>
      <c r="AA5570" t="str">
        <f>IF(Z5570="","",IFERROR(LOOKUP(2,1/(#REF!=Z5570),#REF!),""))</f>
        <v/>
      </c>
      <c r="AB5570" t="str">
        <f>IF(Z5570="","",IFERROR(LOOKUP(2,1/(#REF!=Z5570),#REF!),""))</f>
        <v/>
      </c>
      <c r="AC5570" t="str">
        <f>IF(Z5570="","",COUNTIF(#REF!,Z5570))</f>
        <v/>
      </c>
      <c r="AD5570" t="str">
        <f>IF(A5570="","",IF(AC5570&gt;1,"REVISAR DUPLICADO",IF(AA5570&lt;&gt;"","ACTUALIZADO POR EYR","SIN REPORTE EYR")))</f>
        <v/>
      </c>
    </row>
    <row r="5571" spans="11:30" x14ac:dyDescent="0.3">
      <c r="K5571" s="1" t="str">
        <f ca="1">IF(A5571="","",IF(OR(L5571="ENTREGADA",L5571="RETORNADA",L5571="ENTREGA DIGITAL"),0,MAX(0,5-NETWORKDAYS(H5571+1,TODAY()))))</f>
        <v/>
      </c>
      <c r="L5571" t="str">
        <f>IF(A5571="","",IFERROR(LOOKUP(2,1/(#REF!=Z5571),#REF!),Y5571))</f>
        <v/>
      </c>
      <c r="Z5571" t="str">
        <f>IF(A5571="","",TEXT(A5571,"0")&amp;"|"&amp;TEXT(H5571,"0"))</f>
        <v/>
      </c>
      <c r="AA5571" t="str">
        <f>IF(Z5571="","",IFERROR(LOOKUP(2,1/(#REF!=Z5571),#REF!),""))</f>
        <v/>
      </c>
      <c r="AB5571" t="str">
        <f>IF(Z5571="","",IFERROR(LOOKUP(2,1/(#REF!=Z5571),#REF!),""))</f>
        <v/>
      </c>
      <c r="AC5571" t="str">
        <f>IF(Z5571="","",COUNTIF(#REF!,Z5571))</f>
        <v/>
      </c>
      <c r="AD5571" t="str">
        <f>IF(A5571="","",IF(AC5571&gt;1,"REVISAR DUPLICADO",IF(AA5571&lt;&gt;"","ACTUALIZADO POR EYR","SIN REPORTE EYR")))</f>
        <v/>
      </c>
    </row>
    <row r="5572" spans="11:30" x14ac:dyDescent="0.3">
      <c r="K5572" s="1" t="str">
        <f ca="1">IF(A5572="","",IF(OR(L5572="ENTREGADA",L5572="RETORNADA",L5572="ENTREGA DIGITAL"),0,MAX(0,5-NETWORKDAYS(H5572+1,TODAY()))))</f>
        <v/>
      </c>
      <c r="L5572" t="str">
        <f>IF(A5572="","",IFERROR(LOOKUP(2,1/(#REF!=Z5572),#REF!),Y5572))</f>
        <v/>
      </c>
      <c r="Z5572" t="str">
        <f>IF(A5572="","",TEXT(A5572,"0")&amp;"|"&amp;TEXT(H5572,"0"))</f>
        <v/>
      </c>
      <c r="AA5572" t="str">
        <f>IF(Z5572="","",IFERROR(LOOKUP(2,1/(#REF!=Z5572),#REF!),""))</f>
        <v/>
      </c>
      <c r="AB5572" t="str">
        <f>IF(Z5572="","",IFERROR(LOOKUP(2,1/(#REF!=Z5572),#REF!),""))</f>
        <v/>
      </c>
      <c r="AC5572" t="str">
        <f>IF(Z5572="","",COUNTIF(#REF!,Z5572))</f>
        <v/>
      </c>
      <c r="AD5572" t="str">
        <f>IF(A5572="","",IF(AC5572&gt;1,"REVISAR DUPLICADO",IF(AA5572&lt;&gt;"","ACTUALIZADO POR EYR","SIN REPORTE EYR")))</f>
        <v/>
      </c>
    </row>
    <row r="5573" spans="11:30" x14ac:dyDescent="0.3">
      <c r="K5573" s="1" t="str">
        <f ca="1">IF(A5573="","",IF(OR(L5573="ENTREGADA",L5573="RETORNADA",L5573="ENTREGA DIGITAL"),0,MAX(0,5-NETWORKDAYS(H5573+1,TODAY()))))</f>
        <v/>
      </c>
      <c r="L5573" t="str">
        <f>IF(A5573="","",IFERROR(LOOKUP(2,1/(#REF!=Z5573),#REF!),Y5573))</f>
        <v/>
      </c>
      <c r="Z5573" t="str">
        <f>IF(A5573="","",TEXT(A5573,"0")&amp;"|"&amp;TEXT(H5573,"0"))</f>
        <v/>
      </c>
      <c r="AA5573" t="str">
        <f>IF(Z5573="","",IFERROR(LOOKUP(2,1/(#REF!=Z5573),#REF!),""))</f>
        <v/>
      </c>
      <c r="AB5573" t="str">
        <f>IF(Z5573="","",IFERROR(LOOKUP(2,1/(#REF!=Z5573),#REF!),""))</f>
        <v/>
      </c>
      <c r="AC5573" t="str">
        <f>IF(Z5573="","",COUNTIF(#REF!,Z5573))</f>
        <v/>
      </c>
      <c r="AD5573" t="str">
        <f>IF(A5573="","",IF(AC5573&gt;1,"REVISAR DUPLICADO",IF(AA5573&lt;&gt;"","ACTUALIZADO POR EYR","SIN REPORTE EYR")))</f>
        <v/>
      </c>
    </row>
    <row r="5574" spans="11:30" x14ac:dyDescent="0.3">
      <c r="K5574" s="1" t="str">
        <f ca="1">IF(A5574="","",IF(OR(L5574="ENTREGADA",L5574="RETORNADA",L5574="ENTREGA DIGITAL"),0,MAX(0,5-NETWORKDAYS(H5574+1,TODAY()))))</f>
        <v/>
      </c>
      <c r="L5574" t="str">
        <f>IF(A5574="","",IFERROR(LOOKUP(2,1/(#REF!=Z5574),#REF!),Y5574))</f>
        <v/>
      </c>
      <c r="Z5574" t="str">
        <f>IF(A5574="","",TEXT(A5574,"0")&amp;"|"&amp;TEXT(H5574,"0"))</f>
        <v/>
      </c>
      <c r="AA5574" t="str">
        <f>IF(Z5574="","",IFERROR(LOOKUP(2,1/(#REF!=Z5574),#REF!),""))</f>
        <v/>
      </c>
      <c r="AB5574" t="str">
        <f>IF(Z5574="","",IFERROR(LOOKUP(2,1/(#REF!=Z5574),#REF!),""))</f>
        <v/>
      </c>
      <c r="AC5574" t="str">
        <f>IF(Z5574="","",COUNTIF(#REF!,Z5574))</f>
        <v/>
      </c>
      <c r="AD5574" t="str">
        <f>IF(A5574="","",IF(AC5574&gt;1,"REVISAR DUPLICADO",IF(AA5574&lt;&gt;"","ACTUALIZADO POR EYR","SIN REPORTE EYR")))</f>
        <v/>
      </c>
    </row>
    <row r="5575" spans="11:30" x14ac:dyDescent="0.3">
      <c r="K5575" s="1" t="str">
        <f ca="1">IF(A5575="","",IF(OR(L5575="ENTREGADA",L5575="RETORNADA",L5575="ENTREGA DIGITAL"),0,MAX(0,5-NETWORKDAYS(H5575+1,TODAY()))))</f>
        <v/>
      </c>
      <c r="L5575" t="str">
        <f>IF(A5575="","",IFERROR(LOOKUP(2,1/(#REF!=Z5575),#REF!),Y5575))</f>
        <v/>
      </c>
      <c r="Z5575" t="str">
        <f>IF(A5575="","",TEXT(A5575,"0")&amp;"|"&amp;TEXT(H5575,"0"))</f>
        <v/>
      </c>
      <c r="AA5575" t="str">
        <f>IF(Z5575="","",IFERROR(LOOKUP(2,1/(#REF!=Z5575),#REF!),""))</f>
        <v/>
      </c>
      <c r="AB5575" t="str">
        <f>IF(Z5575="","",IFERROR(LOOKUP(2,1/(#REF!=Z5575),#REF!),""))</f>
        <v/>
      </c>
      <c r="AC5575" t="str">
        <f>IF(Z5575="","",COUNTIF(#REF!,Z5575))</f>
        <v/>
      </c>
      <c r="AD5575" t="str">
        <f>IF(A5575="","",IF(AC5575&gt;1,"REVISAR DUPLICADO",IF(AA5575&lt;&gt;"","ACTUALIZADO POR EYR","SIN REPORTE EYR")))</f>
        <v/>
      </c>
    </row>
    <row r="5576" spans="11:30" x14ac:dyDescent="0.3">
      <c r="K5576" s="1" t="str">
        <f ca="1">IF(A5576="","",IF(OR(L5576="ENTREGADA",L5576="RETORNADA",L5576="ENTREGA DIGITAL"),0,MAX(0,5-NETWORKDAYS(H5576+1,TODAY()))))</f>
        <v/>
      </c>
      <c r="L5576" t="str">
        <f>IF(A5576="","",IFERROR(LOOKUP(2,1/(#REF!=Z5576),#REF!),Y5576))</f>
        <v/>
      </c>
      <c r="Z5576" t="str">
        <f>IF(A5576="","",TEXT(A5576,"0")&amp;"|"&amp;TEXT(H5576,"0"))</f>
        <v/>
      </c>
      <c r="AA5576" t="str">
        <f>IF(Z5576="","",IFERROR(LOOKUP(2,1/(#REF!=Z5576),#REF!),""))</f>
        <v/>
      </c>
      <c r="AB5576" t="str">
        <f>IF(Z5576="","",IFERROR(LOOKUP(2,1/(#REF!=Z5576),#REF!),""))</f>
        <v/>
      </c>
      <c r="AC5576" t="str">
        <f>IF(Z5576="","",COUNTIF(#REF!,Z5576))</f>
        <v/>
      </c>
      <c r="AD5576" t="str">
        <f>IF(A5576="","",IF(AC5576&gt;1,"REVISAR DUPLICADO",IF(AA5576&lt;&gt;"","ACTUALIZADO POR EYR","SIN REPORTE EYR")))</f>
        <v/>
      </c>
    </row>
    <row r="5577" spans="11:30" x14ac:dyDescent="0.3">
      <c r="K5577" s="1" t="str">
        <f ca="1">IF(A5577="","",IF(OR(L5577="ENTREGADA",L5577="RETORNADA",L5577="ENTREGA DIGITAL"),0,MAX(0,5-NETWORKDAYS(H5577+1,TODAY()))))</f>
        <v/>
      </c>
      <c r="L5577" t="str">
        <f>IF(A5577="","",IFERROR(LOOKUP(2,1/(#REF!=Z5577),#REF!),Y5577))</f>
        <v/>
      </c>
      <c r="Z5577" t="str">
        <f>IF(A5577="","",TEXT(A5577,"0")&amp;"|"&amp;TEXT(H5577,"0"))</f>
        <v/>
      </c>
      <c r="AA5577" t="str">
        <f>IF(Z5577="","",IFERROR(LOOKUP(2,1/(#REF!=Z5577),#REF!),""))</f>
        <v/>
      </c>
      <c r="AB5577" t="str">
        <f>IF(Z5577="","",IFERROR(LOOKUP(2,1/(#REF!=Z5577),#REF!),""))</f>
        <v/>
      </c>
      <c r="AC5577" t="str">
        <f>IF(Z5577="","",COUNTIF(#REF!,Z5577))</f>
        <v/>
      </c>
      <c r="AD5577" t="str">
        <f>IF(A5577="","",IF(AC5577&gt;1,"REVISAR DUPLICADO",IF(AA5577&lt;&gt;"","ACTUALIZADO POR EYR","SIN REPORTE EYR")))</f>
        <v/>
      </c>
    </row>
    <row r="5578" spans="11:30" x14ac:dyDescent="0.3">
      <c r="K5578" s="1" t="str">
        <f ca="1">IF(A5578="","",IF(OR(L5578="ENTREGADA",L5578="RETORNADA",L5578="ENTREGA DIGITAL"),0,MAX(0,5-NETWORKDAYS(H5578+1,TODAY()))))</f>
        <v/>
      </c>
      <c r="L5578" t="str">
        <f>IF(A5578="","",IFERROR(LOOKUP(2,1/(#REF!=Z5578),#REF!),Y5578))</f>
        <v/>
      </c>
      <c r="Z5578" t="str">
        <f>IF(A5578="","",TEXT(A5578,"0")&amp;"|"&amp;TEXT(H5578,"0"))</f>
        <v/>
      </c>
      <c r="AA5578" t="str">
        <f>IF(Z5578="","",IFERROR(LOOKUP(2,1/(#REF!=Z5578),#REF!),""))</f>
        <v/>
      </c>
      <c r="AB5578" t="str">
        <f>IF(Z5578="","",IFERROR(LOOKUP(2,1/(#REF!=Z5578),#REF!),""))</f>
        <v/>
      </c>
      <c r="AC5578" t="str">
        <f>IF(Z5578="","",COUNTIF(#REF!,Z5578))</f>
        <v/>
      </c>
      <c r="AD5578" t="str">
        <f>IF(A5578="","",IF(AC5578&gt;1,"REVISAR DUPLICADO",IF(AA5578&lt;&gt;"","ACTUALIZADO POR EYR","SIN REPORTE EYR")))</f>
        <v/>
      </c>
    </row>
    <row r="5579" spans="11:30" x14ac:dyDescent="0.3">
      <c r="K5579" s="1" t="str">
        <f ca="1">IF(A5579="","",IF(OR(L5579="ENTREGADA",L5579="RETORNADA",L5579="ENTREGA DIGITAL"),0,MAX(0,5-NETWORKDAYS(H5579+1,TODAY()))))</f>
        <v/>
      </c>
      <c r="L5579" t="str">
        <f>IF(A5579="","",IFERROR(LOOKUP(2,1/(#REF!=Z5579),#REF!),Y5579))</f>
        <v/>
      </c>
      <c r="Z5579" t="str">
        <f>IF(A5579="","",TEXT(A5579,"0")&amp;"|"&amp;TEXT(H5579,"0"))</f>
        <v/>
      </c>
      <c r="AA5579" t="str">
        <f>IF(Z5579="","",IFERROR(LOOKUP(2,1/(#REF!=Z5579),#REF!),""))</f>
        <v/>
      </c>
      <c r="AB5579" t="str">
        <f>IF(Z5579="","",IFERROR(LOOKUP(2,1/(#REF!=Z5579),#REF!),""))</f>
        <v/>
      </c>
      <c r="AC5579" t="str">
        <f>IF(Z5579="","",COUNTIF(#REF!,Z5579))</f>
        <v/>
      </c>
      <c r="AD5579" t="str">
        <f>IF(A5579="","",IF(AC5579&gt;1,"REVISAR DUPLICADO",IF(AA5579&lt;&gt;"","ACTUALIZADO POR EYR","SIN REPORTE EYR")))</f>
        <v/>
      </c>
    </row>
    <row r="5580" spans="11:30" x14ac:dyDescent="0.3">
      <c r="K5580" s="1" t="str">
        <f ca="1">IF(A5580="","",IF(OR(L5580="ENTREGADA",L5580="RETORNADA",L5580="ENTREGA DIGITAL"),0,MAX(0,5-NETWORKDAYS(H5580+1,TODAY()))))</f>
        <v/>
      </c>
      <c r="L5580" t="str">
        <f>IF(A5580="","",IFERROR(LOOKUP(2,1/(#REF!=Z5580),#REF!),Y5580))</f>
        <v/>
      </c>
      <c r="Z5580" t="str">
        <f>IF(A5580="","",TEXT(A5580,"0")&amp;"|"&amp;TEXT(H5580,"0"))</f>
        <v/>
      </c>
      <c r="AA5580" t="str">
        <f>IF(Z5580="","",IFERROR(LOOKUP(2,1/(#REF!=Z5580),#REF!),""))</f>
        <v/>
      </c>
      <c r="AB5580" t="str">
        <f>IF(Z5580="","",IFERROR(LOOKUP(2,1/(#REF!=Z5580),#REF!),""))</f>
        <v/>
      </c>
      <c r="AC5580" t="str">
        <f>IF(Z5580="","",COUNTIF(#REF!,Z5580))</f>
        <v/>
      </c>
      <c r="AD5580" t="str">
        <f>IF(A5580="","",IF(AC5580&gt;1,"REVISAR DUPLICADO",IF(AA5580&lt;&gt;"","ACTUALIZADO POR EYR","SIN REPORTE EYR")))</f>
        <v/>
      </c>
    </row>
    <row r="5581" spans="11:30" x14ac:dyDescent="0.3">
      <c r="K5581" s="1" t="str">
        <f ca="1">IF(A5581="","",IF(OR(L5581="ENTREGADA",L5581="RETORNADA",L5581="ENTREGA DIGITAL"),0,MAX(0,5-NETWORKDAYS(H5581+1,TODAY()))))</f>
        <v/>
      </c>
      <c r="L5581" t="str">
        <f>IF(A5581="","",IFERROR(LOOKUP(2,1/(#REF!=Z5581),#REF!),Y5581))</f>
        <v/>
      </c>
      <c r="Z5581" t="str">
        <f>IF(A5581="","",TEXT(A5581,"0")&amp;"|"&amp;TEXT(H5581,"0"))</f>
        <v/>
      </c>
      <c r="AA5581" t="str">
        <f>IF(Z5581="","",IFERROR(LOOKUP(2,1/(#REF!=Z5581),#REF!),""))</f>
        <v/>
      </c>
      <c r="AB5581" t="str">
        <f>IF(Z5581="","",IFERROR(LOOKUP(2,1/(#REF!=Z5581),#REF!),""))</f>
        <v/>
      </c>
      <c r="AC5581" t="str">
        <f>IF(Z5581="","",COUNTIF(#REF!,Z5581))</f>
        <v/>
      </c>
      <c r="AD5581" t="str">
        <f>IF(A5581="","",IF(AC5581&gt;1,"REVISAR DUPLICADO",IF(AA5581&lt;&gt;"","ACTUALIZADO POR EYR","SIN REPORTE EYR")))</f>
        <v/>
      </c>
    </row>
    <row r="5582" spans="11:30" x14ac:dyDescent="0.3">
      <c r="K5582" s="1" t="str">
        <f ca="1">IF(A5582="","",IF(OR(L5582="ENTREGADA",L5582="RETORNADA",L5582="ENTREGA DIGITAL"),0,MAX(0,5-NETWORKDAYS(H5582+1,TODAY()))))</f>
        <v/>
      </c>
      <c r="L5582" t="str">
        <f>IF(A5582="","",IFERROR(LOOKUP(2,1/(#REF!=Z5582),#REF!),Y5582))</f>
        <v/>
      </c>
      <c r="Z5582" t="str">
        <f>IF(A5582="","",TEXT(A5582,"0")&amp;"|"&amp;TEXT(H5582,"0"))</f>
        <v/>
      </c>
      <c r="AA5582" t="str">
        <f>IF(Z5582="","",IFERROR(LOOKUP(2,1/(#REF!=Z5582),#REF!),""))</f>
        <v/>
      </c>
      <c r="AB5582" t="str">
        <f>IF(Z5582="","",IFERROR(LOOKUP(2,1/(#REF!=Z5582),#REF!),""))</f>
        <v/>
      </c>
      <c r="AC5582" t="str">
        <f>IF(Z5582="","",COUNTIF(#REF!,Z5582))</f>
        <v/>
      </c>
      <c r="AD5582" t="str">
        <f>IF(A5582="","",IF(AC5582&gt;1,"REVISAR DUPLICADO",IF(AA5582&lt;&gt;"","ACTUALIZADO POR EYR","SIN REPORTE EYR")))</f>
        <v/>
      </c>
    </row>
    <row r="5583" spans="11:30" x14ac:dyDescent="0.3">
      <c r="K5583" s="1" t="str">
        <f ca="1">IF(A5583="","",IF(OR(L5583="ENTREGADA",L5583="RETORNADA",L5583="ENTREGA DIGITAL"),0,MAX(0,5-NETWORKDAYS(H5583+1,TODAY()))))</f>
        <v/>
      </c>
      <c r="L5583" t="str">
        <f>IF(A5583="","",IFERROR(LOOKUP(2,1/(#REF!=Z5583),#REF!),Y5583))</f>
        <v/>
      </c>
      <c r="Z5583" t="str">
        <f>IF(A5583="","",TEXT(A5583,"0")&amp;"|"&amp;TEXT(H5583,"0"))</f>
        <v/>
      </c>
      <c r="AA5583" t="str">
        <f>IF(Z5583="","",IFERROR(LOOKUP(2,1/(#REF!=Z5583),#REF!),""))</f>
        <v/>
      </c>
      <c r="AB5583" t="str">
        <f>IF(Z5583="","",IFERROR(LOOKUP(2,1/(#REF!=Z5583),#REF!),""))</f>
        <v/>
      </c>
      <c r="AC5583" t="str">
        <f>IF(Z5583="","",COUNTIF(#REF!,Z5583))</f>
        <v/>
      </c>
      <c r="AD5583" t="str">
        <f>IF(A5583="","",IF(AC5583&gt;1,"REVISAR DUPLICADO",IF(AA5583&lt;&gt;"","ACTUALIZADO POR EYR","SIN REPORTE EYR")))</f>
        <v/>
      </c>
    </row>
    <row r="5584" spans="11:30" x14ac:dyDescent="0.3">
      <c r="K5584" s="1" t="str">
        <f ca="1">IF(A5584="","",IF(OR(L5584="ENTREGADA",L5584="RETORNADA",L5584="ENTREGA DIGITAL"),0,MAX(0,5-NETWORKDAYS(H5584+1,TODAY()))))</f>
        <v/>
      </c>
      <c r="L5584" t="str">
        <f>IF(A5584="","",IFERROR(LOOKUP(2,1/(#REF!=Z5584),#REF!),Y5584))</f>
        <v/>
      </c>
      <c r="Z5584" t="str">
        <f>IF(A5584="","",TEXT(A5584,"0")&amp;"|"&amp;TEXT(H5584,"0"))</f>
        <v/>
      </c>
      <c r="AA5584" t="str">
        <f>IF(Z5584="","",IFERROR(LOOKUP(2,1/(#REF!=Z5584),#REF!),""))</f>
        <v/>
      </c>
      <c r="AB5584" t="str">
        <f>IF(Z5584="","",IFERROR(LOOKUP(2,1/(#REF!=Z5584),#REF!),""))</f>
        <v/>
      </c>
      <c r="AC5584" t="str">
        <f>IF(Z5584="","",COUNTIF(#REF!,Z5584))</f>
        <v/>
      </c>
      <c r="AD5584" t="str">
        <f>IF(A5584="","",IF(AC5584&gt;1,"REVISAR DUPLICADO",IF(AA5584&lt;&gt;"","ACTUALIZADO POR EYR","SIN REPORTE EYR")))</f>
        <v/>
      </c>
    </row>
    <row r="5585" spans="11:30" x14ac:dyDescent="0.3">
      <c r="K5585" s="1" t="str">
        <f ca="1">IF(A5585="","",IF(OR(L5585="ENTREGADA",L5585="RETORNADA",L5585="ENTREGA DIGITAL"),0,MAX(0,5-NETWORKDAYS(H5585+1,TODAY()))))</f>
        <v/>
      </c>
      <c r="L5585" t="str">
        <f>IF(A5585="","",IFERROR(LOOKUP(2,1/(#REF!=Z5585),#REF!),Y5585))</f>
        <v/>
      </c>
      <c r="Z5585" t="str">
        <f>IF(A5585="","",TEXT(A5585,"0")&amp;"|"&amp;TEXT(H5585,"0"))</f>
        <v/>
      </c>
      <c r="AA5585" t="str">
        <f>IF(Z5585="","",IFERROR(LOOKUP(2,1/(#REF!=Z5585),#REF!),""))</f>
        <v/>
      </c>
      <c r="AB5585" t="str">
        <f>IF(Z5585="","",IFERROR(LOOKUP(2,1/(#REF!=Z5585),#REF!),""))</f>
        <v/>
      </c>
      <c r="AC5585" t="str">
        <f>IF(Z5585="","",COUNTIF(#REF!,Z5585))</f>
        <v/>
      </c>
      <c r="AD5585" t="str">
        <f>IF(A5585="","",IF(AC5585&gt;1,"REVISAR DUPLICADO",IF(AA5585&lt;&gt;"","ACTUALIZADO POR EYR","SIN REPORTE EYR")))</f>
        <v/>
      </c>
    </row>
    <row r="5586" spans="11:30" x14ac:dyDescent="0.3">
      <c r="K5586" s="1" t="str">
        <f ca="1">IF(A5586="","",IF(OR(L5586="ENTREGADA",L5586="RETORNADA",L5586="ENTREGA DIGITAL"),0,MAX(0,5-NETWORKDAYS(H5586+1,TODAY()))))</f>
        <v/>
      </c>
      <c r="L5586" t="str">
        <f>IF(A5586="","",IFERROR(LOOKUP(2,1/(#REF!=Z5586),#REF!),Y5586))</f>
        <v/>
      </c>
      <c r="Z5586" t="str">
        <f>IF(A5586="","",TEXT(A5586,"0")&amp;"|"&amp;TEXT(H5586,"0"))</f>
        <v/>
      </c>
      <c r="AA5586" t="str">
        <f>IF(Z5586="","",IFERROR(LOOKUP(2,1/(#REF!=Z5586),#REF!),""))</f>
        <v/>
      </c>
      <c r="AB5586" t="str">
        <f>IF(Z5586="","",IFERROR(LOOKUP(2,1/(#REF!=Z5586),#REF!),""))</f>
        <v/>
      </c>
      <c r="AC5586" t="str">
        <f>IF(Z5586="","",COUNTIF(#REF!,Z5586))</f>
        <v/>
      </c>
      <c r="AD5586" t="str">
        <f>IF(A5586="","",IF(AC5586&gt;1,"REVISAR DUPLICADO",IF(AA5586&lt;&gt;"","ACTUALIZADO POR EYR","SIN REPORTE EYR")))</f>
        <v/>
      </c>
    </row>
    <row r="5587" spans="11:30" x14ac:dyDescent="0.3">
      <c r="K5587" s="1" t="str">
        <f ca="1">IF(A5587="","",IF(OR(L5587="ENTREGADA",L5587="RETORNADA",L5587="ENTREGA DIGITAL"),0,MAX(0,5-NETWORKDAYS(H5587+1,TODAY()))))</f>
        <v/>
      </c>
      <c r="L5587" t="str">
        <f>IF(A5587="","",IFERROR(LOOKUP(2,1/(#REF!=Z5587),#REF!),Y5587))</f>
        <v/>
      </c>
      <c r="Z5587" t="str">
        <f>IF(A5587="","",TEXT(A5587,"0")&amp;"|"&amp;TEXT(H5587,"0"))</f>
        <v/>
      </c>
      <c r="AA5587" t="str">
        <f>IF(Z5587="","",IFERROR(LOOKUP(2,1/(#REF!=Z5587),#REF!),""))</f>
        <v/>
      </c>
      <c r="AB5587" t="str">
        <f>IF(Z5587="","",IFERROR(LOOKUP(2,1/(#REF!=Z5587),#REF!),""))</f>
        <v/>
      </c>
      <c r="AC5587" t="str">
        <f>IF(Z5587="","",COUNTIF(#REF!,Z5587))</f>
        <v/>
      </c>
      <c r="AD5587" t="str">
        <f>IF(A5587="","",IF(AC5587&gt;1,"REVISAR DUPLICADO",IF(AA5587&lt;&gt;"","ACTUALIZADO POR EYR","SIN REPORTE EYR")))</f>
        <v/>
      </c>
    </row>
    <row r="5588" spans="11:30" x14ac:dyDescent="0.3">
      <c r="K5588" s="1" t="str">
        <f ca="1">IF(A5588="","",IF(OR(L5588="ENTREGADA",L5588="RETORNADA",L5588="ENTREGA DIGITAL"),0,MAX(0,5-NETWORKDAYS(H5588+1,TODAY()))))</f>
        <v/>
      </c>
      <c r="L5588" t="str">
        <f>IF(A5588="","",IFERROR(LOOKUP(2,1/(#REF!=Z5588),#REF!),Y5588))</f>
        <v/>
      </c>
      <c r="Z5588" t="str">
        <f>IF(A5588="","",TEXT(A5588,"0")&amp;"|"&amp;TEXT(H5588,"0"))</f>
        <v/>
      </c>
      <c r="AA5588" t="str">
        <f>IF(Z5588="","",IFERROR(LOOKUP(2,1/(#REF!=Z5588),#REF!),""))</f>
        <v/>
      </c>
      <c r="AB5588" t="str">
        <f>IF(Z5588="","",IFERROR(LOOKUP(2,1/(#REF!=Z5588),#REF!),""))</f>
        <v/>
      </c>
      <c r="AC5588" t="str">
        <f>IF(Z5588="","",COUNTIF(#REF!,Z5588))</f>
        <v/>
      </c>
      <c r="AD5588" t="str">
        <f>IF(A5588="","",IF(AC5588&gt;1,"REVISAR DUPLICADO",IF(AA5588&lt;&gt;"","ACTUALIZADO POR EYR","SIN REPORTE EYR")))</f>
        <v/>
      </c>
    </row>
    <row r="5589" spans="11:30" x14ac:dyDescent="0.3">
      <c r="K5589" s="1" t="str">
        <f ca="1">IF(A5589="","",IF(OR(L5589="ENTREGADA",L5589="RETORNADA",L5589="ENTREGA DIGITAL"),0,MAX(0,5-NETWORKDAYS(H5589+1,TODAY()))))</f>
        <v/>
      </c>
      <c r="L5589" t="str">
        <f>IF(A5589="","",IFERROR(LOOKUP(2,1/(#REF!=Z5589),#REF!),Y5589))</f>
        <v/>
      </c>
      <c r="Z5589" t="str">
        <f>IF(A5589="","",TEXT(A5589,"0")&amp;"|"&amp;TEXT(H5589,"0"))</f>
        <v/>
      </c>
      <c r="AA5589" t="str">
        <f>IF(Z5589="","",IFERROR(LOOKUP(2,1/(#REF!=Z5589),#REF!),""))</f>
        <v/>
      </c>
      <c r="AB5589" t="str">
        <f>IF(Z5589="","",IFERROR(LOOKUP(2,1/(#REF!=Z5589),#REF!),""))</f>
        <v/>
      </c>
      <c r="AC5589" t="str">
        <f>IF(Z5589="","",COUNTIF(#REF!,Z5589))</f>
        <v/>
      </c>
      <c r="AD5589" t="str">
        <f>IF(A5589="","",IF(AC5589&gt;1,"REVISAR DUPLICADO",IF(AA5589&lt;&gt;"","ACTUALIZADO POR EYR","SIN REPORTE EYR")))</f>
        <v/>
      </c>
    </row>
    <row r="5590" spans="11:30" x14ac:dyDescent="0.3">
      <c r="K5590" s="1" t="str">
        <f ca="1">IF(A5590="","",IF(OR(L5590="ENTREGADA",L5590="RETORNADA",L5590="ENTREGA DIGITAL"),0,MAX(0,5-NETWORKDAYS(H5590+1,TODAY()))))</f>
        <v/>
      </c>
      <c r="L5590" t="str">
        <f>IF(A5590="","",IFERROR(LOOKUP(2,1/(#REF!=Z5590),#REF!),Y5590))</f>
        <v/>
      </c>
      <c r="Z5590" t="str">
        <f>IF(A5590="","",TEXT(A5590,"0")&amp;"|"&amp;TEXT(H5590,"0"))</f>
        <v/>
      </c>
      <c r="AA5590" t="str">
        <f>IF(Z5590="","",IFERROR(LOOKUP(2,1/(#REF!=Z5590),#REF!),""))</f>
        <v/>
      </c>
      <c r="AB5590" t="str">
        <f>IF(Z5590="","",IFERROR(LOOKUP(2,1/(#REF!=Z5590),#REF!),""))</f>
        <v/>
      </c>
      <c r="AC5590" t="str">
        <f>IF(Z5590="","",COUNTIF(#REF!,Z5590))</f>
        <v/>
      </c>
      <c r="AD5590" t="str">
        <f>IF(A5590="","",IF(AC5590&gt;1,"REVISAR DUPLICADO",IF(AA5590&lt;&gt;"","ACTUALIZADO POR EYR","SIN REPORTE EYR")))</f>
        <v/>
      </c>
    </row>
    <row r="5591" spans="11:30" x14ac:dyDescent="0.3">
      <c r="K5591" s="1" t="str">
        <f ca="1">IF(A5591="","",IF(OR(L5591="ENTREGADA",L5591="RETORNADA",L5591="ENTREGA DIGITAL"),0,MAX(0,5-NETWORKDAYS(H5591+1,TODAY()))))</f>
        <v/>
      </c>
      <c r="L5591" t="str">
        <f>IF(A5591="","",IFERROR(LOOKUP(2,1/(#REF!=Z5591),#REF!),Y5591))</f>
        <v/>
      </c>
      <c r="Z5591" t="str">
        <f>IF(A5591="","",TEXT(A5591,"0")&amp;"|"&amp;TEXT(H5591,"0"))</f>
        <v/>
      </c>
      <c r="AA5591" t="str">
        <f>IF(Z5591="","",IFERROR(LOOKUP(2,1/(#REF!=Z5591),#REF!),""))</f>
        <v/>
      </c>
      <c r="AB5591" t="str">
        <f>IF(Z5591="","",IFERROR(LOOKUP(2,1/(#REF!=Z5591),#REF!),""))</f>
        <v/>
      </c>
      <c r="AC5591" t="str">
        <f>IF(Z5591="","",COUNTIF(#REF!,Z5591))</f>
        <v/>
      </c>
      <c r="AD5591" t="str">
        <f>IF(A5591="","",IF(AC5591&gt;1,"REVISAR DUPLICADO",IF(AA5591&lt;&gt;"","ACTUALIZADO POR EYR","SIN REPORTE EYR")))</f>
        <v/>
      </c>
    </row>
    <row r="5592" spans="11:30" x14ac:dyDescent="0.3">
      <c r="K5592" s="1" t="str">
        <f ca="1">IF(A5592="","",IF(OR(L5592="ENTREGADA",L5592="RETORNADA",L5592="ENTREGA DIGITAL"),0,MAX(0,5-NETWORKDAYS(H5592+1,TODAY()))))</f>
        <v/>
      </c>
      <c r="L5592" t="str">
        <f>IF(A5592="","",IFERROR(LOOKUP(2,1/(#REF!=Z5592),#REF!),Y5592))</f>
        <v/>
      </c>
      <c r="Z5592" t="str">
        <f>IF(A5592="","",TEXT(A5592,"0")&amp;"|"&amp;TEXT(H5592,"0"))</f>
        <v/>
      </c>
      <c r="AA5592" t="str">
        <f>IF(Z5592="","",IFERROR(LOOKUP(2,1/(#REF!=Z5592),#REF!),""))</f>
        <v/>
      </c>
      <c r="AB5592" t="str">
        <f>IF(Z5592="","",IFERROR(LOOKUP(2,1/(#REF!=Z5592),#REF!),""))</f>
        <v/>
      </c>
      <c r="AC5592" t="str">
        <f>IF(Z5592="","",COUNTIF(#REF!,Z5592))</f>
        <v/>
      </c>
      <c r="AD5592" t="str">
        <f>IF(A5592="","",IF(AC5592&gt;1,"REVISAR DUPLICADO",IF(AA5592&lt;&gt;"","ACTUALIZADO POR EYR","SIN REPORTE EYR")))</f>
        <v/>
      </c>
    </row>
    <row r="5593" spans="11:30" x14ac:dyDescent="0.3">
      <c r="K5593" s="1" t="str">
        <f ca="1">IF(A5593="","",IF(OR(L5593="ENTREGADA",L5593="RETORNADA",L5593="ENTREGA DIGITAL"),0,MAX(0,5-NETWORKDAYS(H5593+1,TODAY()))))</f>
        <v/>
      </c>
      <c r="L5593" t="str">
        <f>IF(A5593="","",IFERROR(LOOKUP(2,1/(#REF!=Z5593),#REF!),Y5593))</f>
        <v/>
      </c>
      <c r="Z5593" t="str">
        <f>IF(A5593="","",TEXT(A5593,"0")&amp;"|"&amp;TEXT(H5593,"0"))</f>
        <v/>
      </c>
      <c r="AA5593" t="str">
        <f>IF(Z5593="","",IFERROR(LOOKUP(2,1/(#REF!=Z5593),#REF!),""))</f>
        <v/>
      </c>
      <c r="AB5593" t="str">
        <f>IF(Z5593="","",IFERROR(LOOKUP(2,1/(#REF!=Z5593),#REF!),""))</f>
        <v/>
      </c>
      <c r="AC5593" t="str">
        <f>IF(Z5593="","",COUNTIF(#REF!,Z5593))</f>
        <v/>
      </c>
      <c r="AD5593" t="str">
        <f>IF(A5593="","",IF(AC5593&gt;1,"REVISAR DUPLICADO",IF(AA5593&lt;&gt;"","ACTUALIZADO POR EYR","SIN REPORTE EYR")))</f>
        <v/>
      </c>
    </row>
    <row r="5594" spans="11:30" x14ac:dyDescent="0.3">
      <c r="K5594" s="1" t="str">
        <f ca="1">IF(A5594="","",IF(OR(L5594="ENTREGADA",L5594="RETORNADA",L5594="ENTREGA DIGITAL"),0,MAX(0,5-NETWORKDAYS(H5594+1,TODAY()))))</f>
        <v/>
      </c>
      <c r="L5594" t="str">
        <f>IF(A5594="","",IFERROR(LOOKUP(2,1/(#REF!=Z5594),#REF!),Y5594))</f>
        <v/>
      </c>
      <c r="Z5594" t="str">
        <f>IF(A5594="","",TEXT(A5594,"0")&amp;"|"&amp;TEXT(H5594,"0"))</f>
        <v/>
      </c>
      <c r="AA5594" t="str">
        <f>IF(Z5594="","",IFERROR(LOOKUP(2,1/(#REF!=Z5594),#REF!),""))</f>
        <v/>
      </c>
      <c r="AB5594" t="str">
        <f>IF(Z5594="","",IFERROR(LOOKUP(2,1/(#REF!=Z5594),#REF!),""))</f>
        <v/>
      </c>
      <c r="AC5594" t="str">
        <f>IF(Z5594="","",COUNTIF(#REF!,Z5594))</f>
        <v/>
      </c>
      <c r="AD5594" t="str">
        <f>IF(A5594="","",IF(AC5594&gt;1,"REVISAR DUPLICADO",IF(AA5594&lt;&gt;"","ACTUALIZADO POR EYR","SIN REPORTE EYR")))</f>
        <v/>
      </c>
    </row>
    <row r="5595" spans="11:30" x14ac:dyDescent="0.3">
      <c r="K5595" s="1" t="str">
        <f ca="1">IF(A5595="","",IF(OR(L5595="ENTREGADA",L5595="RETORNADA",L5595="ENTREGA DIGITAL"),0,MAX(0,5-NETWORKDAYS(H5595+1,TODAY()))))</f>
        <v/>
      </c>
      <c r="L5595" t="str">
        <f>IF(A5595="","",IFERROR(LOOKUP(2,1/(#REF!=Z5595),#REF!),Y5595))</f>
        <v/>
      </c>
      <c r="Z5595" t="str">
        <f>IF(A5595="","",TEXT(A5595,"0")&amp;"|"&amp;TEXT(H5595,"0"))</f>
        <v/>
      </c>
      <c r="AA5595" t="str">
        <f>IF(Z5595="","",IFERROR(LOOKUP(2,1/(#REF!=Z5595),#REF!),""))</f>
        <v/>
      </c>
      <c r="AB5595" t="str">
        <f>IF(Z5595="","",IFERROR(LOOKUP(2,1/(#REF!=Z5595),#REF!),""))</f>
        <v/>
      </c>
      <c r="AC5595" t="str">
        <f>IF(Z5595="","",COUNTIF(#REF!,Z5595))</f>
        <v/>
      </c>
      <c r="AD5595" t="str">
        <f>IF(A5595="","",IF(AC5595&gt;1,"REVISAR DUPLICADO",IF(AA5595&lt;&gt;"","ACTUALIZADO POR EYR","SIN REPORTE EYR")))</f>
        <v/>
      </c>
    </row>
    <row r="5596" spans="11:30" x14ac:dyDescent="0.3">
      <c r="K5596" s="1" t="str">
        <f ca="1">IF(A5596="","",IF(OR(L5596="ENTREGADA",L5596="RETORNADA",L5596="ENTREGA DIGITAL"),0,MAX(0,5-NETWORKDAYS(H5596+1,TODAY()))))</f>
        <v/>
      </c>
      <c r="L5596" t="str">
        <f>IF(A5596="","",IFERROR(LOOKUP(2,1/(#REF!=Z5596),#REF!),Y5596))</f>
        <v/>
      </c>
      <c r="Z5596" t="str">
        <f>IF(A5596="","",TEXT(A5596,"0")&amp;"|"&amp;TEXT(H5596,"0"))</f>
        <v/>
      </c>
      <c r="AA5596" t="str">
        <f>IF(Z5596="","",IFERROR(LOOKUP(2,1/(#REF!=Z5596),#REF!),""))</f>
        <v/>
      </c>
      <c r="AB5596" t="str">
        <f>IF(Z5596="","",IFERROR(LOOKUP(2,1/(#REF!=Z5596),#REF!),""))</f>
        <v/>
      </c>
      <c r="AC5596" t="str">
        <f>IF(Z5596="","",COUNTIF(#REF!,Z5596))</f>
        <v/>
      </c>
      <c r="AD5596" t="str">
        <f>IF(A5596="","",IF(AC5596&gt;1,"REVISAR DUPLICADO",IF(AA5596&lt;&gt;"","ACTUALIZADO POR EYR","SIN REPORTE EYR")))</f>
        <v/>
      </c>
    </row>
    <row r="5597" spans="11:30" x14ac:dyDescent="0.3">
      <c r="K5597" s="1" t="str">
        <f ca="1">IF(A5597="","",IF(OR(L5597="ENTREGADA",L5597="RETORNADA",L5597="ENTREGA DIGITAL"),0,MAX(0,5-NETWORKDAYS(H5597+1,TODAY()))))</f>
        <v/>
      </c>
      <c r="L5597" t="str">
        <f>IF(A5597="","",IFERROR(LOOKUP(2,1/(#REF!=Z5597),#REF!),Y5597))</f>
        <v/>
      </c>
      <c r="Z5597" t="str">
        <f>IF(A5597="","",TEXT(A5597,"0")&amp;"|"&amp;TEXT(H5597,"0"))</f>
        <v/>
      </c>
      <c r="AA5597" t="str">
        <f>IF(Z5597="","",IFERROR(LOOKUP(2,1/(#REF!=Z5597),#REF!),""))</f>
        <v/>
      </c>
      <c r="AB5597" t="str">
        <f>IF(Z5597="","",IFERROR(LOOKUP(2,1/(#REF!=Z5597),#REF!),""))</f>
        <v/>
      </c>
      <c r="AC5597" t="str">
        <f>IF(Z5597="","",COUNTIF(#REF!,Z5597))</f>
        <v/>
      </c>
      <c r="AD5597" t="str">
        <f>IF(A5597="","",IF(AC5597&gt;1,"REVISAR DUPLICADO",IF(AA5597&lt;&gt;"","ACTUALIZADO POR EYR","SIN REPORTE EYR")))</f>
        <v/>
      </c>
    </row>
    <row r="5598" spans="11:30" x14ac:dyDescent="0.3">
      <c r="K5598" s="1" t="str">
        <f ca="1">IF(A5598="","",IF(OR(L5598="ENTREGADA",L5598="RETORNADA",L5598="ENTREGA DIGITAL"),0,MAX(0,5-NETWORKDAYS(H5598+1,TODAY()))))</f>
        <v/>
      </c>
      <c r="L5598" t="str">
        <f>IF(A5598="","",IFERROR(LOOKUP(2,1/(#REF!=Z5598),#REF!),Y5598))</f>
        <v/>
      </c>
      <c r="Z5598" t="str">
        <f>IF(A5598="","",TEXT(A5598,"0")&amp;"|"&amp;TEXT(H5598,"0"))</f>
        <v/>
      </c>
      <c r="AA5598" t="str">
        <f>IF(Z5598="","",IFERROR(LOOKUP(2,1/(#REF!=Z5598),#REF!),""))</f>
        <v/>
      </c>
      <c r="AB5598" t="str">
        <f>IF(Z5598="","",IFERROR(LOOKUP(2,1/(#REF!=Z5598),#REF!),""))</f>
        <v/>
      </c>
      <c r="AC5598" t="str">
        <f>IF(Z5598="","",COUNTIF(#REF!,Z5598))</f>
        <v/>
      </c>
      <c r="AD5598" t="str">
        <f>IF(A5598="","",IF(AC5598&gt;1,"REVISAR DUPLICADO",IF(AA5598&lt;&gt;"","ACTUALIZADO POR EYR","SIN REPORTE EYR")))</f>
        <v/>
      </c>
    </row>
    <row r="5599" spans="11:30" x14ac:dyDescent="0.3">
      <c r="K5599" s="1" t="str">
        <f ca="1">IF(A5599="","",IF(OR(L5599="ENTREGADA",L5599="RETORNADA",L5599="ENTREGA DIGITAL"),0,MAX(0,5-NETWORKDAYS(H5599+1,TODAY()))))</f>
        <v/>
      </c>
      <c r="L5599" t="str">
        <f>IF(A5599="","",IFERROR(LOOKUP(2,1/(#REF!=Z5599),#REF!),Y5599))</f>
        <v/>
      </c>
      <c r="Z5599" t="str">
        <f>IF(A5599="","",TEXT(A5599,"0")&amp;"|"&amp;TEXT(H5599,"0"))</f>
        <v/>
      </c>
      <c r="AA5599" t="str">
        <f>IF(Z5599="","",IFERROR(LOOKUP(2,1/(#REF!=Z5599),#REF!),""))</f>
        <v/>
      </c>
      <c r="AB5599" t="str">
        <f>IF(Z5599="","",IFERROR(LOOKUP(2,1/(#REF!=Z5599),#REF!),""))</f>
        <v/>
      </c>
      <c r="AC5599" t="str">
        <f>IF(Z5599="","",COUNTIF(#REF!,Z5599))</f>
        <v/>
      </c>
      <c r="AD5599" t="str">
        <f>IF(A5599="","",IF(AC5599&gt;1,"REVISAR DUPLICADO",IF(AA5599&lt;&gt;"","ACTUALIZADO POR EYR","SIN REPORTE EYR")))</f>
        <v/>
      </c>
    </row>
    <row r="5600" spans="11:30" x14ac:dyDescent="0.3">
      <c r="K5600" s="1" t="str">
        <f ca="1">IF(A5600="","",IF(OR(L5600="ENTREGADA",L5600="RETORNADA",L5600="ENTREGA DIGITAL"),0,MAX(0,5-NETWORKDAYS(H5600+1,TODAY()))))</f>
        <v/>
      </c>
      <c r="L5600" t="str">
        <f>IF(A5600="","",IFERROR(LOOKUP(2,1/(#REF!=Z5600),#REF!),Y5600))</f>
        <v/>
      </c>
      <c r="Z5600" t="str">
        <f>IF(A5600="","",TEXT(A5600,"0")&amp;"|"&amp;TEXT(H5600,"0"))</f>
        <v/>
      </c>
      <c r="AA5600" t="str">
        <f>IF(Z5600="","",IFERROR(LOOKUP(2,1/(#REF!=Z5600),#REF!),""))</f>
        <v/>
      </c>
      <c r="AB5600" t="str">
        <f>IF(Z5600="","",IFERROR(LOOKUP(2,1/(#REF!=Z5600),#REF!),""))</f>
        <v/>
      </c>
      <c r="AC5600" t="str">
        <f>IF(Z5600="","",COUNTIF(#REF!,Z5600))</f>
        <v/>
      </c>
      <c r="AD5600" t="str">
        <f>IF(A5600="","",IF(AC5600&gt;1,"REVISAR DUPLICADO",IF(AA5600&lt;&gt;"","ACTUALIZADO POR EYR","SIN REPORTE EYR")))</f>
        <v/>
      </c>
    </row>
    <row r="5601" spans="11:30" x14ac:dyDescent="0.3">
      <c r="K5601" s="1" t="str">
        <f ca="1">IF(A5601="","",IF(OR(L5601="ENTREGADA",L5601="RETORNADA",L5601="ENTREGA DIGITAL"),0,MAX(0,5-NETWORKDAYS(H5601+1,TODAY()))))</f>
        <v/>
      </c>
      <c r="L5601" t="str">
        <f>IF(A5601="","",IFERROR(LOOKUP(2,1/(#REF!=Z5601),#REF!),Y5601))</f>
        <v/>
      </c>
      <c r="Z5601" t="str">
        <f>IF(A5601="","",TEXT(A5601,"0")&amp;"|"&amp;TEXT(H5601,"0"))</f>
        <v/>
      </c>
      <c r="AA5601" t="str">
        <f>IF(Z5601="","",IFERROR(LOOKUP(2,1/(#REF!=Z5601),#REF!),""))</f>
        <v/>
      </c>
      <c r="AB5601" t="str">
        <f>IF(Z5601="","",IFERROR(LOOKUP(2,1/(#REF!=Z5601),#REF!),""))</f>
        <v/>
      </c>
      <c r="AC5601" t="str">
        <f>IF(Z5601="","",COUNTIF(#REF!,Z5601))</f>
        <v/>
      </c>
      <c r="AD5601" t="str">
        <f>IF(A5601="","",IF(AC5601&gt;1,"REVISAR DUPLICADO",IF(AA5601&lt;&gt;"","ACTUALIZADO POR EYR","SIN REPORTE EYR")))</f>
        <v/>
      </c>
    </row>
    <row r="5602" spans="11:30" x14ac:dyDescent="0.3">
      <c r="K5602" s="1" t="str">
        <f ca="1">IF(A5602="","",IF(OR(L5602="ENTREGADA",L5602="RETORNADA",L5602="ENTREGA DIGITAL"),0,MAX(0,5-NETWORKDAYS(H5602+1,TODAY()))))</f>
        <v/>
      </c>
      <c r="L5602" t="str">
        <f>IF(A5602="","",IFERROR(LOOKUP(2,1/(#REF!=Z5602),#REF!),Y5602))</f>
        <v/>
      </c>
      <c r="Z5602" t="str">
        <f>IF(A5602="","",TEXT(A5602,"0")&amp;"|"&amp;TEXT(H5602,"0"))</f>
        <v/>
      </c>
      <c r="AA5602" t="str">
        <f>IF(Z5602="","",IFERROR(LOOKUP(2,1/(#REF!=Z5602),#REF!),""))</f>
        <v/>
      </c>
      <c r="AB5602" t="str">
        <f>IF(Z5602="","",IFERROR(LOOKUP(2,1/(#REF!=Z5602),#REF!),""))</f>
        <v/>
      </c>
      <c r="AC5602" t="str">
        <f>IF(Z5602="","",COUNTIF(#REF!,Z5602))</f>
        <v/>
      </c>
      <c r="AD5602" t="str">
        <f>IF(A5602="","",IF(AC5602&gt;1,"REVISAR DUPLICADO",IF(AA5602&lt;&gt;"","ACTUALIZADO POR EYR","SIN REPORTE EYR")))</f>
        <v/>
      </c>
    </row>
    <row r="5603" spans="11:30" x14ac:dyDescent="0.3">
      <c r="K5603" s="1" t="str">
        <f ca="1">IF(A5603="","",IF(OR(L5603="ENTREGADA",L5603="RETORNADA",L5603="ENTREGA DIGITAL"),0,MAX(0,5-NETWORKDAYS(H5603+1,TODAY()))))</f>
        <v/>
      </c>
      <c r="L5603" t="str">
        <f>IF(A5603="","",IFERROR(LOOKUP(2,1/(#REF!=Z5603),#REF!),Y5603))</f>
        <v/>
      </c>
      <c r="Z5603" t="str">
        <f>IF(A5603="","",TEXT(A5603,"0")&amp;"|"&amp;TEXT(H5603,"0"))</f>
        <v/>
      </c>
      <c r="AA5603" t="str">
        <f>IF(Z5603="","",IFERROR(LOOKUP(2,1/(#REF!=Z5603),#REF!),""))</f>
        <v/>
      </c>
      <c r="AB5603" t="str">
        <f>IF(Z5603="","",IFERROR(LOOKUP(2,1/(#REF!=Z5603),#REF!),""))</f>
        <v/>
      </c>
      <c r="AC5603" t="str">
        <f>IF(Z5603="","",COUNTIF(#REF!,Z5603))</f>
        <v/>
      </c>
      <c r="AD5603" t="str">
        <f>IF(A5603="","",IF(AC5603&gt;1,"REVISAR DUPLICADO",IF(AA5603&lt;&gt;"","ACTUALIZADO POR EYR","SIN REPORTE EYR")))</f>
        <v/>
      </c>
    </row>
    <row r="5604" spans="11:30" x14ac:dyDescent="0.3">
      <c r="K5604" s="1" t="str">
        <f ca="1">IF(A5604="","",IF(OR(L5604="ENTREGADA",L5604="RETORNADA",L5604="ENTREGA DIGITAL"),0,MAX(0,5-NETWORKDAYS(H5604+1,TODAY()))))</f>
        <v/>
      </c>
      <c r="L5604" t="str">
        <f>IF(A5604="","",IFERROR(LOOKUP(2,1/(#REF!=Z5604),#REF!),Y5604))</f>
        <v/>
      </c>
      <c r="Z5604" t="str">
        <f>IF(A5604="","",TEXT(A5604,"0")&amp;"|"&amp;TEXT(H5604,"0"))</f>
        <v/>
      </c>
      <c r="AA5604" t="str">
        <f>IF(Z5604="","",IFERROR(LOOKUP(2,1/(#REF!=Z5604),#REF!),""))</f>
        <v/>
      </c>
      <c r="AB5604" t="str">
        <f>IF(Z5604="","",IFERROR(LOOKUP(2,1/(#REF!=Z5604),#REF!),""))</f>
        <v/>
      </c>
      <c r="AC5604" t="str">
        <f>IF(Z5604="","",COUNTIF(#REF!,Z5604))</f>
        <v/>
      </c>
      <c r="AD5604" t="str">
        <f>IF(A5604="","",IF(AC5604&gt;1,"REVISAR DUPLICADO",IF(AA5604&lt;&gt;"","ACTUALIZADO POR EYR","SIN REPORTE EYR")))</f>
        <v/>
      </c>
    </row>
    <row r="5605" spans="11:30" x14ac:dyDescent="0.3">
      <c r="K5605" s="1" t="str">
        <f ca="1">IF(A5605="","",IF(OR(L5605="ENTREGADA",L5605="RETORNADA",L5605="ENTREGA DIGITAL"),0,MAX(0,5-NETWORKDAYS(H5605+1,TODAY()))))</f>
        <v/>
      </c>
      <c r="L5605" t="str">
        <f>IF(A5605="","",IFERROR(LOOKUP(2,1/(#REF!=Z5605),#REF!),Y5605))</f>
        <v/>
      </c>
      <c r="Z5605" t="str">
        <f>IF(A5605="","",TEXT(A5605,"0")&amp;"|"&amp;TEXT(H5605,"0"))</f>
        <v/>
      </c>
      <c r="AA5605" t="str">
        <f>IF(Z5605="","",IFERROR(LOOKUP(2,1/(#REF!=Z5605),#REF!),""))</f>
        <v/>
      </c>
      <c r="AB5605" t="str">
        <f>IF(Z5605="","",IFERROR(LOOKUP(2,1/(#REF!=Z5605),#REF!),""))</f>
        <v/>
      </c>
      <c r="AC5605" t="str">
        <f>IF(Z5605="","",COUNTIF(#REF!,Z5605))</f>
        <v/>
      </c>
      <c r="AD5605" t="str">
        <f>IF(A5605="","",IF(AC5605&gt;1,"REVISAR DUPLICADO",IF(AA5605&lt;&gt;"","ACTUALIZADO POR EYR","SIN REPORTE EYR")))</f>
        <v/>
      </c>
    </row>
    <row r="5606" spans="11:30" x14ac:dyDescent="0.3">
      <c r="K5606" s="1" t="str">
        <f ca="1">IF(A5606="","",IF(OR(L5606="ENTREGADA",L5606="RETORNADA",L5606="ENTREGA DIGITAL"),0,MAX(0,5-NETWORKDAYS(H5606+1,TODAY()))))</f>
        <v/>
      </c>
      <c r="L5606" t="str">
        <f>IF(A5606="","",IFERROR(LOOKUP(2,1/(#REF!=Z5606),#REF!),Y5606))</f>
        <v/>
      </c>
      <c r="Z5606" t="str">
        <f>IF(A5606="","",TEXT(A5606,"0")&amp;"|"&amp;TEXT(H5606,"0"))</f>
        <v/>
      </c>
      <c r="AA5606" t="str">
        <f>IF(Z5606="","",IFERROR(LOOKUP(2,1/(#REF!=Z5606),#REF!),""))</f>
        <v/>
      </c>
      <c r="AB5606" t="str">
        <f>IF(Z5606="","",IFERROR(LOOKUP(2,1/(#REF!=Z5606),#REF!),""))</f>
        <v/>
      </c>
      <c r="AC5606" t="str">
        <f>IF(Z5606="","",COUNTIF(#REF!,Z5606))</f>
        <v/>
      </c>
      <c r="AD5606" t="str">
        <f>IF(A5606="","",IF(AC5606&gt;1,"REVISAR DUPLICADO",IF(AA5606&lt;&gt;"","ACTUALIZADO POR EYR","SIN REPORTE EYR")))</f>
        <v/>
      </c>
    </row>
    <row r="5607" spans="11:30" x14ac:dyDescent="0.3">
      <c r="K5607" s="1" t="str">
        <f ca="1">IF(A5607="","",IF(OR(L5607="ENTREGADA",L5607="RETORNADA",L5607="ENTREGA DIGITAL"),0,MAX(0,5-NETWORKDAYS(H5607+1,TODAY()))))</f>
        <v/>
      </c>
      <c r="L5607" t="str">
        <f>IF(A5607="","",IFERROR(LOOKUP(2,1/(#REF!=Z5607),#REF!),Y5607))</f>
        <v/>
      </c>
      <c r="Z5607" t="str">
        <f>IF(A5607="","",TEXT(A5607,"0")&amp;"|"&amp;TEXT(H5607,"0"))</f>
        <v/>
      </c>
      <c r="AA5607" t="str">
        <f>IF(Z5607="","",IFERROR(LOOKUP(2,1/(#REF!=Z5607),#REF!),""))</f>
        <v/>
      </c>
      <c r="AB5607" t="str">
        <f>IF(Z5607="","",IFERROR(LOOKUP(2,1/(#REF!=Z5607),#REF!),""))</f>
        <v/>
      </c>
      <c r="AC5607" t="str">
        <f>IF(Z5607="","",COUNTIF(#REF!,Z5607))</f>
        <v/>
      </c>
      <c r="AD5607" t="str">
        <f>IF(A5607="","",IF(AC5607&gt;1,"REVISAR DUPLICADO",IF(AA5607&lt;&gt;"","ACTUALIZADO POR EYR","SIN REPORTE EYR")))</f>
        <v/>
      </c>
    </row>
    <row r="5608" spans="11:30" x14ac:dyDescent="0.3">
      <c r="K5608" s="1" t="str">
        <f ca="1">IF(A5608="","",IF(OR(L5608="ENTREGADA",L5608="RETORNADA",L5608="ENTREGA DIGITAL"),0,MAX(0,5-NETWORKDAYS(H5608+1,TODAY()))))</f>
        <v/>
      </c>
      <c r="L5608" t="str">
        <f>IF(A5608="","",IFERROR(LOOKUP(2,1/(#REF!=Z5608),#REF!),Y5608))</f>
        <v/>
      </c>
      <c r="Z5608" t="str">
        <f>IF(A5608="","",TEXT(A5608,"0")&amp;"|"&amp;TEXT(H5608,"0"))</f>
        <v/>
      </c>
      <c r="AA5608" t="str">
        <f>IF(Z5608="","",IFERROR(LOOKUP(2,1/(#REF!=Z5608),#REF!),""))</f>
        <v/>
      </c>
      <c r="AB5608" t="str">
        <f>IF(Z5608="","",IFERROR(LOOKUP(2,1/(#REF!=Z5608),#REF!),""))</f>
        <v/>
      </c>
      <c r="AC5608" t="str">
        <f>IF(Z5608="","",COUNTIF(#REF!,Z5608))</f>
        <v/>
      </c>
      <c r="AD5608" t="str">
        <f>IF(A5608="","",IF(AC5608&gt;1,"REVISAR DUPLICADO",IF(AA5608&lt;&gt;"","ACTUALIZADO POR EYR","SIN REPORTE EYR")))</f>
        <v/>
      </c>
    </row>
    <row r="5609" spans="11:30" x14ac:dyDescent="0.3">
      <c r="K5609" s="1" t="str">
        <f ca="1">IF(A5609="","",IF(OR(L5609="ENTREGADA",L5609="RETORNADA",L5609="ENTREGA DIGITAL"),0,MAX(0,5-NETWORKDAYS(H5609+1,TODAY()))))</f>
        <v/>
      </c>
      <c r="L5609" t="str">
        <f>IF(A5609="","",IFERROR(LOOKUP(2,1/(#REF!=Z5609),#REF!),Y5609))</f>
        <v/>
      </c>
      <c r="Z5609" t="str">
        <f>IF(A5609="","",TEXT(A5609,"0")&amp;"|"&amp;TEXT(H5609,"0"))</f>
        <v/>
      </c>
      <c r="AA5609" t="str">
        <f>IF(Z5609="","",IFERROR(LOOKUP(2,1/(#REF!=Z5609),#REF!),""))</f>
        <v/>
      </c>
      <c r="AB5609" t="str">
        <f>IF(Z5609="","",IFERROR(LOOKUP(2,1/(#REF!=Z5609),#REF!),""))</f>
        <v/>
      </c>
      <c r="AC5609" t="str">
        <f>IF(Z5609="","",COUNTIF(#REF!,Z5609))</f>
        <v/>
      </c>
      <c r="AD5609" t="str">
        <f>IF(A5609="","",IF(AC5609&gt;1,"REVISAR DUPLICADO",IF(AA5609&lt;&gt;"","ACTUALIZADO POR EYR","SIN REPORTE EYR")))</f>
        <v/>
      </c>
    </row>
    <row r="5610" spans="11:30" x14ac:dyDescent="0.3">
      <c r="K5610" s="1" t="str">
        <f ca="1">IF(A5610="","",IF(OR(L5610="ENTREGADA",L5610="RETORNADA",L5610="ENTREGA DIGITAL"),0,MAX(0,5-NETWORKDAYS(H5610+1,TODAY()))))</f>
        <v/>
      </c>
      <c r="L5610" t="str">
        <f>IF(A5610="","",IFERROR(LOOKUP(2,1/(#REF!=Z5610),#REF!),Y5610))</f>
        <v/>
      </c>
      <c r="Z5610" t="str">
        <f>IF(A5610="","",TEXT(A5610,"0")&amp;"|"&amp;TEXT(H5610,"0"))</f>
        <v/>
      </c>
      <c r="AA5610" t="str">
        <f>IF(Z5610="","",IFERROR(LOOKUP(2,1/(#REF!=Z5610),#REF!),""))</f>
        <v/>
      </c>
      <c r="AB5610" t="str">
        <f>IF(Z5610="","",IFERROR(LOOKUP(2,1/(#REF!=Z5610),#REF!),""))</f>
        <v/>
      </c>
      <c r="AC5610" t="str">
        <f>IF(Z5610="","",COUNTIF(#REF!,Z5610))</f>
        <v/>
      </c>
      <c r="AD5610" t="str">
        <f>IF(A5610="","",IF(AC5610&gt;1,"REVISAR DUPLICADO",IF(AA5610&lt;&gt;"","ACTUALIZADO POR EYR","SIN REPORTE EYR")))</f>
        <v/>
      </c>
    </row>
    <row r="5611" spans="11:30" x14ac:dyDescent="0.3">
      <c r="K5611" s="1" t="str">
        <f ca="1">IF(A5611="","",IF(OR(L5611="ENTREGADA",L5611="RETORNADA",L5611="ENTREGA DIGITAL"),0,MAX(0,5-NETWORKDAYS(H5611+1,TODAY()))))</f>
        <v/>
      </c>
      <c r="L5611" t="str">
        <f>IF(A5611="","",IFERROR(LOOKUP(2,1/(#REF!=Z5611),#REF!),Y5611))</f>
        <v/>
      </c>
      <c r="Z5611" t="str">
        <f>IF(A5611="","",TEXT(A5611,"0")&amp;"|"&amp;TEXT(H5611,"0"))</f>
        <v/>
      </c>
      <c r="AA5611" t="str">
        <f>IF(Z5611="","",IFERROR(LOOKUP(2,1/(#REF!=Z5611),#REF!),""))</f>
        <v/>
      </c>
      <c r="AB5611" t="str">
        <f>IF(Z5611="","",IFERROR(LOOKUP(2,1/(#REF!=Z5611),#REF!),""))</f>
        <v/>
      </c>
      <c r="AC5611" t="str">
        <f>IF(Z5611="","",COUNTIF(#REF!,Z5611))</f>
        <v/>
      </c>
      <c r="AD5611" t="str">
        <f>IF(A5611="","",IF(AC5611&gt;1,"REVISAR DUPLICADO",IF(AA5611&lt;&gt;"","ACTUALIZADO POR EYR","SIN REPORTE EYR")))</f>
        <v/>
      </c>
    </row>
    <row r="5612" spans="11:30" x14ac:dyDescent="0.3">
      <c r="K5612" s="1" t="str">
        <f ca="1">IF(A5612="","",IF(OR(L5612="ENTREGADA",L5612="RETORNADA",L5612="ENTREGA DIGITAL"),0,MAX(0,5-NETWORKDAYS(H5612+1,TODAY()))))</f>
        <v/>
      </c>
      <c r="L5612" t="str">
        <f>IF(A5612="","",IFERROR(LOOKUP(2,1/(#REF!=Z5612),#REF!),Y5612))</f>
        <v/>
      </c>
      <c r="Z5612" t="str">
        <f>IF(A5612="","",TEXT(A5612,"0")&amp;"|"&amp;TEXT(H5612,"0"))</f>
        <v/>
      </c>
      <c r="AA5612" t="str">
        <f>IF(Z5612="","",IFERROR(LOOKUP(2,1/(#REF!=Z5612),#REF!),""))</f>
        <v/>
      </c>
      <c r="AB5612" t="str">
        <f>IF(Z5612="","",IFERROR(LOOKUP(2,1/(#REF!=Z5612),#REF!),""))</f>
        <v/>
      </c>
      <c r="AC5612" t="str">
        <f>IF(Z5612="","",COUNTIF(#REF!,Z5612))</f>
        <v/>
      </c>
      <c r="AD5612" t="str">
        <f>IF(A5612="","",IF(AC5612&gt;1,"REVISAR DUPLICADO",IF(AA5612&lt;&gt;"","ACTUALIZADO POR EYR","SIN REPORTE EYR")))</f>
        <v/>
      </c>
    </row>
    <row r="5613" spans="11:30" x14ac:dyDescent="0.3">
      <c r="K5613" s="1" t="str">
        <f ca="1">IF(A5613="","",IF(OR(L5613="ENTREGADA",L5613="RETORNADA",L5613="ENTREGA DIGITAL"),0,MAX(0,5-NETWORKDAYS(H5613+1,TODAY()))))</f>
        <v/>
      </c>
      <c r="L5613" t="str">
        <f>IF(A5613="","",IFERROR(LOOKUP(2,1/(#REF!=Z5613),#REF!),Y5613))</f>
        <v/>
      </c>
      <c r="Z5613" t="str">
        <f>IF(A5613="","",TEXT(A5613,"0")&amp;"|"&amp;TEXT(H5613,"0"))</f>
        <v/>
      </c>
      <c r="AA5613" t="str">
        <f>IF(Z5613="","",IFERROR(LOOKUP(2,1/(#REF!=Z5613),#REF!),""))</f>
        <v/>
      </c>
      <c r="AB5613" t="str">
        <f>IF(Z5613="","",IFERROR(LOOKUP(2,1/(#REF!=Z5613),#REF!),""))</f>
        <v/>
      </c>
      <c r="AC5613" t="str">
        <f>IF(Z5613="","",COUNTIF(#REF!,Z5613))</f>
        <v/>
      </c>
      <c r="AD5613" t="str">
        <f>IF(A5613="","",IF(AC5613&gt;1,"REVISAR DUPLICADO",IF(AA5613&lt;&gt;"","ACTUALIZADO POR EYR","SIN REPORTE EYR")))</f>
        <v/>
      </c>
    </row>
    <row r="5614" spans="11:30" x14ac:dyDescent="0.3">
      <c r="K5614" s="1" t="str">
        <f ca="1">IF(A5614="","",IF(OR(L5614="ENTREGADA",L5614="RETORNADA",L5614="ENTREGA DIGITAL"),0,MAX(0,5-NETWORKDAYS(H5614+1,TODAY()))))</f>
        <v/>
      </c>
      <c r="L5614" t="str">
        <f>IF(A5614="","",IFERROR(LOOKUP(2,1/(#REF!=Z5614),#REF!),Y5614))</f>
        <v/>
      </c>
      <c r="Z5614" t="str">
        <f>IF(A5614="","",TEXT(A5614,"0")&amp;"|"&amp;TEXT(H5614,"0"))</f>
        <v/>
      </c>
      <c r="AA5614" t="str">
        <f>IF(Z5614="","",IFERROR(LOOKUP(2,1/(#REF!=Z5614),#REF!),""))</f>
        <v/>
      </c>
      <c r="AB5614" t="str">
        <f>IF(Z5614="","",IFERROR(LOOKUP(2,1/(#REF!=Z5614),#REF!),""))</f>
        <v/>
      </c>
      <c r="AC5614" t="str">
        <f>IF(Z5614="","",COUNTIF(#REF!,Z5614))</f>
        <v/>
      </c>
      <c r="AD5614" t="str">
        <f>IF(A5614="","",IF(AC5614&gt;1,"REVISAR DUPLICADO",IF(AA5614&lt;&gt;"","ACTUALIZADO POR EYR","SIN REPORTE EYR")))</f>
        <v/>
      </c>
    </row>
    <row r="5615" spans="11:30" x14ac:dyDescent="0.3">
      <c r="K5615" s="1" t="str">
        <f ca="1">IF(A5615="","",IF(OR(L5615="ENTREGADA",L5615="RETORNADA",L5615="ENTREGA DIGITAL"),0,MAX(0,5-NETWORKDAYS(H5615+1,TODAY()))))</f>
        <v/>
      </c>
      <c r="L5615" t="str">
        <f>IF(A5615="","",IFERROR(LOOKUP(2,1/(#REF!=Z5615),#REF!),Y5615))</f>
        <v/>
      </c>
      <c r="Z5615" t="str">
        <f>IF(A5615="","",TEXT(A5615,"0")&amp;"|"&amp;TEXT(H5615,"0"))</f>
        <v/>
      </c>
      <c r="AA5615" t="str">
        <f>IF(Z5615="","",IFERROR(LOOKUP(2,1/(#REF!=Z5615),#REF!),""))</f>
        <v/>
      </c>
      <c r="AB5615" t="str">
        <f>IF(Z5615="","",IFERROR(LOOKUP(2,1/(#REF!=Z5615),#REF!),""))</f>
        <v/>
      </c>
      <c r="AC5615" t="str">
        <f>IF(Z5615="","",COUNTIF(#REF!,Z5615))</f>
        <v/>
      </c>
      <c r="AD5615" t="str">
        <f>IF(A5615="","",IF(AC5615&gt;1,"REVISAR DUPLICADO",IF(AA5615&lt;&gt;"","ACTUALIZADO POR EYR","SIN REPORTE EYR")))</f>
        <v/>
      </c>
    </row>
    <row r="5616" spans="11:30" x14ac:dyDescent="0.3">
      <c r="K5616" s="1" t="str">
        <f ca="1">IF(A5616="","",IF(OR(L5616="ENTREGADA",L5616="RETORNADA",L5616="ENTREGA DIGITAL"),0,MAX(0,5-NETWORKDAYS(H5616+1,TODAY()))))</f>
        <v/>
      </c>
      <c r="L5616" t="str">
        <f>IF(A5616="","",IFERROR(LOOKUP(2,1/(#REF!=Z5616),#REF!),Y5616))</f>
        <v/>
      </c>
      <c r="Z5616" t="str">
        <f>IF(A5616="","",TEXT(A5616,"0")&amp;"|"&amp;TEXT(H5616,"0"))</f>
        <v/>
      </c>
      <c r="AA5616" t="str">
        <f>IF(Z5616="","",IFERROR(LOOKUP(2,1/(#REF!=Z5616),#REF!),""))</f>
        <v/>
      </c>
      <c r="AB5616" t="str">
        <f>IF(Z5616="","",IFERROR(LOOKUP(2,1/(#REF!=Z5616),#REF!),""))</f>
        <v/>
      </c>
      <c r="AC5616" t="str">
        <f>IF(Z5616="","",COUNTIF(#REF!,Z5616))</f>
        <v/>
      </c>
      <c r="AD5616" t="str">
        <f>IF(A5616="","",IF(AC5616&gt;1,"REVISAR DUPLICADO",IF(AA5616&lt;&gt;"","ACTUALIZADO POR EYR","SIN REPORTE EYR")))</f>
        <v/>
      </c>
    </row>
    <row r="5617" spans="11:30" x14ac:dyDescent="0.3">
      <c r="K5617" s="1" t="str">
        <f ca="1">IF(A5617="","",IF(OR(L5617="ENTREGADA",L5617="RETORNADA",L5617="ENTREGA DIGITAL"),0,MAX(0,5-NETWORKDAYS(H5617+1,TODAY()))))</f>
        <v/>
      </c>
      <c r="L5617" t="str">
        <f>IF(A5617="","",IFERROR(LOOKUP(2,1/(#REF!=Z5617),#REF!),Y5617))</f>
        <v/>
      </c>
      <c r="Z5617" t="str">
        <f>IF(A5617="","",TEXT(A5617,"0")&amp;"|"&amp;TEXT(H5617,"0"))</f>
        <v/>
      </c>
      <c r="AA5617" t="str">
        <f>IF(Z5617="","",IFERROR(LOOKUP(2,1/(#REF!=Z5617),#REF!),""))</f>
        <v/>
      </c>
      <c r="AB5617" t="str">
        <f>IF(Z5617="","",IFERROR(LOOKUP(2,1/(#REF!=Z5617),#REF!),""))</f>
        <v/>
      </c>
      <c r="AC5617" t="str">
        <f>IF(Z5617="","",COUNTIF(#REF!,Z5617))</f>
        <v/>
      </c>
      <c r="AD5617" t="str">
        <f>IF(A5617="","",IF(AC5617&gt;1,"REVISAR DUPLICADO",IF(AA5617&lt;&gt;"","ACTUALIZADO POR EYR","SIN REPORTE EYR")))</f>
        <v/>
      </c>
    </row>
    <row r="5618" spans="11:30" x14ac:dyDescent="0.3">
      <c r="K5618" s="1" t="str">
        <f ca="1">IF(A5618="","",IF(OR(L5618="ENTREGADA",L5618="RETORNADA",L5618="ENTREGA DIGITAL"),0,MAX(0,5-NETWORKDAYS(H5618+1,TODAY()))))</f>
        <v/>
      </c>
      <c r="L5618" t="str">
        <f>IF(A5618="","",IFERROR(LOOKUP(2,1/(#REF!=Z5618),#REF!),Y5618))</f>
        <v/>
      </c>
      <c r="Z5618" t="str">
        <f>IF(A5618="","",TEXT(A5618,"0")&amp;"|"&amp;TEXT(H5618,"0"))</f>
        <v/>
      </c>
      <c r="AA5618" t="str">
        <f>IF(Z5618="","",IFERROR(LOOKUP(2,1/(#REF!=Z5618),#REF!),""))</f>
        <v/>
      </c>
      <c r="AB5618" t="str">
        <f>IF(Z5618="","",IFERROR(LOOKUP(2,1/(#REF!=Z5618),#REF!),""))</f>
        <v/>
      </c>
      <c r="AC5618" t="str">
        <f>IF(Z5618="","",COUNTIF(#REF!,Z5618))</f>
        <v/>
      </c>
      <c r="AD5618" t="str">
        <f>IF(A5618="","",IF(AC5618&gt;1,"REVISAR DUPLICADO",IF(AA5618&lt;&gt;"","ACTUALIZADO POR EYR","SIN REPORTE EYR")))</f>
        <v/>
      </c>
    </row>
    <row r="5619" spans="11:30" x14ac:dyDescent="0.3">
      <c r="K5619" s="1" t="str">
        <f ca="1">IF(A5619="","",IF(OR(L5619="ENTREGADA",L5619="RETORNADA",L5619="ENTREGA DIGITAL"),0,MAX(0,5-NETWORKDAYS(H5619+1,TODAY()))))</f>
        <v/>
      </c>
      <c r="L5619" t="str">
        <f>IF(A5619="","",IFERROR(LOOKUP(2,1/(#REF!=Z5619),#REF!),Y5619))</f>
        <v/>
      </c>
      <c r="Z5619" t="str">
        <f>IF(A5619="","",TEXT(A5619,"0")&amp;"|"&amp;TEXT(H5619,"0"))</f>
        <v/>
      </c>
      <c r="AA5619" t="str">
        <f>IF(Z5619="","",IFERROR(LOOKUP(2,1/(#REF!=Z5619),#REF!),""))</f>
        <v/>
      </c>
      <c r="AB5619" t="str">
        <f>IF(Z5619="","",IFERROR(LOOKUP(2,1/(#REF!=Z5619),#REF!),""))</f>
        <v/>
      </c>
      <c r="AC5619" t="str">
        <f>IF(Z5619="","",COUNTIF(#REF!,Z5619))</f>
        <v/>
      </c>
      <c r="AD5619" t="str">
        <f>IF(A5619="","",IF(AC5619&gt;1,"REVISAR DUPLICADO",IF(AA5619&lt;&gt;"","ACTUALIZADO POR EYR","SIN REPORTE EYR")))</f>
        <v/>
      </c>
    </row>
    <row r="5620" spans="11:30" x14ac:dyDescent="0.3">
      <c r="K5620" s="1" t="str">
        <f ca="1">IF(A5620="","",IF(OR(L5620="ENTREGADA",L5620="RETORNADA",L5620="ENTREGA DIGITAL"),0,MAX(0,5-NETWORKDAYS(H5620+1,TODAY()))))</f>
        <v/>
      </c>
      <c r="L5620" t="str">
        <f>IF(A5620="","",IFERROR(LOOKUP(2,1/(#REF!=Z5620),#REF!),Y5620))</f>
        <v/>
      </c>
      <c r="Z5620" t="str">
        <f>IF(A5620="","",TEXT(A5620,"0")&amp;"|"&amp;TEXT(H5620,"0"))</f>
        <v/>
      </c>
      <c r="AA5620" t="str">
        <f>IF(Z5620="","",IFERROR(LOOKUP(2,1/(#REF!=Z5620),#REF!),""))</f>
        <v/>
      </c>
      <c r="AB5620" t="str">
        <f>IF(Z5620="","",IFERROR(LOOKUP(2,1/(#REF!=Z5620),#REF!),""))</f>
        <v/>
      </c>
      <c r="AC5620" t="str">
        <f>IF(Z5620="","",COUNTIF(#REF!,Z5620))</f>
        <v/>
      </c>
      <c r="AD5620" t="str">
        <f>IF(A5620="","",IF(AC5620&gt;1,"REVISAR DUPLICADO",IF(AA5620&lt;&gt;"","ACTUALIZADO POR EYR","SIN REPORTE EYR")))</f>
        <v/>
      </c>
    </row>
    <row r="5621" spans="11:30" x14ac:dyDescent="0.3">
      <c r="K5621" s="1" t="str">
        <f ca="1">IF(A5621="","",IF(OR(L5621="ENTREGADA",L5621="RETORNADA",L5621="ENTREGA DIGITAL"),0,MAX(0,5-NETWORKDAYS(H5621+1,TODAY()))))</f>
        <v/>
      </c>
      <c r="L5621" t="str">
        <f>IF(A5621="","",IFERROR(LOOKUP(2,1/(#REF!=Z5621),#REF!),Y5621))</f>
        <v/>
      </c>
      <c r="Z5621" t="str">
        <f>IF(A5621="","",TEXT(A5621,"0")&amp;"|"&amp;TEXT(H5621,"0"))</f>
        <v/>
      </c>
      <c r="AA5621" t="str">
        <f>IF(Z5621="","",IFERROR(LOOKUP(2,1/(#REF!=Z5621),#REF!),""))</f>
        <v/>
      </c>
      <c r="AB5621" t="str">
        <f>IF(Z5621="","",IFERROR(LOOKUP(2,1/(#REF!=Z5621),#REF!),""))</f>
        <v/>
      </c>
      <c r="AC5621" t="str">
        <f>IF(Z5621="","",COUNTIF(#REF!,Z5621))</f>
        <v/>
      </c>
      <c r="AD5621" t="str">
        <f>IF(A5621="","",IF(AC5621&gt;1,"REVISAR DUPLICADO",IF(AA5621&lt;&gt;"","ACTUALIZADO POR EYR","SIN REPORTE EYR")))</f>
        <v/>
      </c>
    </row>
    <row r="5622" spans="11:30" x14ac:dyDescent="0.3">
      <c r="K5622" s="1" t="str">
        <f ca="1">IF(A5622="","",IF(OR(L5622="ENTREGADA",L5622="RETORNADA",L5622="ENTREGA DIGITAL"),0,MAX(0,5-NETWORKDAYS(H5622+1,TODAY()))))</f>
        <v/>
      </c>
      <c r="L5622" t="str">
        <f>IF(A5622="","",IFERROR(LOOKUP(2,1/(#REF!=Z5622),#REF!),Y5622))</f>
        <v/>
      </c>
      <c r="Z5622" t="str">
        <f>IF(A5622="","",TEXT(A5622,"0")&amp;"|"&amp;TEXT(H5622,"0"))</f>
        <v/>
      </c>
      <c r="AA5622" t="str">
        <f>IF(Z5622="","",IFERROR(LOOKUP(2,1/(#REF!=Z5622),#REF!),""))</f>
        <v/>
      </c>
      <c r="AB5622" t="str">
        <f>IF(Z5622="","",IFERROR(LOOKUP(2,1/(#REF!=Z5622),#REF!),""))</f>
        <v/>
      </c>
      <c r="AC5622" t="str">
        <f>IF(Z5622="","",COUNTIF(#REF!,Z5622))</f>
        <v/>
      </c>
      <c r="AD5622" t="str">
        <f>IF(A5622="","",IF(AC5622&gt;1,"REVISAR DUPLICADO",IF(AA5622&lt;&gt;"","ACTUALIZADO POR EYR","SIN REPORTE EYR")))</f>
        <v/>
      </c>
    </row>
    <row r="5623" spans="11:30" x14ac:dyDescent="0.3">
      <c r="K5623" s="1" t="str">
        <f ca="1">IF(A5623="","",IF(OR(L5623="ENTREGADA",L5623="RETORNADA",L5623="ENTREGA DIGITAL"),0,MAX(0,5-NETWORKDAYS(H5623+1,TODAY()))))</f>
        <v/>
      </c>
      <c r="L5623" t="str">
        <f>IF(A5623="","",IFERROR(LOOKUP(2,1/(#REF!=Z5623),#REF!),Y5623))</f>
        <v/>
      </c>
      <c r="Z5623" t="str">
        <f>IF(A5623="","",TEXT(A5623,"0")&amp;"|"&amp;TEXT(H5623,"0"))</f>
        <v/>
      </c>
      <c r="AA5623" t="str">
        <f>IF(Z5623="","",IFERROR(LOOKUP(2,1/(#REF!=Z5623),#REF!),""))</f>
        <v/>
      </c>
      <c r="AB5623" t="str">
        <f>IF(Z5623="","",IFERROR(LOOKUP(2,1/(#REF!=Z5623),#REF!),""))</f>
        <v/>
      </c>
      <c r="AC5623" t="str">
        <f>IF(Z5623="","",COUNTIF(#REF!,Z5623))</f>
        <v/>
      </c>
      <c r="AD5623" t="str">
        <f>IF(A5623="","",IF(AC5623&gt;1,"REVISAR DUPLICADO",IF(AA5623&lt;&gt;"","ACTUALIZADO POR EYR","SIN REPORTE EYR")))</f>
        <v/>
      </c>
    </row>
    <row r="5624" spans="11:30" x14ac:dyDescent="0.3">
      <c r="K5624" s="1" t="str">
        <f ca="1">IF(A5624="","",IF(OR(L5624="ENTREGADA",L5624="RETORNADA",L5624="ENTREGA DIGITAL"),0,MAX(0,5-NETWORKDAYS(H5624+1,TODAY()))))</f>
        <v/>
      </c>
      <c r="L5624" t="str">
        <f>IF(A5624="","",IFERROR(LOOKUP(2,1/(#REF!=Z5624),#REF!),Y5624))</f>
        <v/>
      </c>
      <c r="Z5624" t="str">
        <f>IF(A5624="","",TEXT(A5624,"0")&amp;"|"&amp;TEXT(H5624,"0"))</f>
        <v/>
      </c>
      <c r="AA5624" t="str">
        <f>IF(Z5624="","",IFERROR(LOOKUP(2,1/(#REF!=Z5624),#REF!),""))</f>
        <v/>
      </c>
      <c r="AB5624" t="str">
        <f>IF(Z5624="","",IFERROR(LOOKUP(2,1/(#REF!=Z5624),#REF!),""))</f>
        <v/>
      </c>
      <c r="AC5624" t="str">
        <f>IF(Z5624="","",COUNTIF(#REF!,Z5624))</f>
        <v/>
      </c>
      <c r="AD5624" t="str">
        <f>IF(A5624="","",IF(AC5624&gt;1,"REVISAR DUPLICADO",IF(AA5624&lt;&gt;"","ACTUALIZADO POR EYR","SIN REPORTE EYR")))</f>
        <v/>
      </c>
    </row>
    <row r="5625" spans="11:30" x14ac:dyDescent="0.3">
      <c r="K5625" s="1" t="str">
        <f ca="1">IF(A5625="","",IF(OR(L5625="ENTREGADA",L5625="RETORNADA",L5625="ENTREGA DIGITAL"),0,MAX(0,5-NETWORKDAYS(H5625+1,TODAY()))))</f>
        <v/>
      </c>
      <c r="L5625" t="str">
        <f>IF(A5625="","",IFERROR(LOOKUP(2,1/(#REF!=Z5625),#REF!),Y5625))</f>
        <v/>
      </c>
      <c r="Z5625" t="str">
        <f>IF(A5625="","",TEXT(A5625,"0")&amp;"|"&amp;TEXT(H5625,"0"))</f>
        <v/>
      </c>
      <c r="AA5625" t="str">
        <f>IF(Z5625="","",IFERROR(LOOKUP(2,1/(#REF!=Z5625),#REF!),""))</f>
        <v/>
      </c>
      <c r="AB5625" t="str">
        <f>IF(Z5625="","",IFERROR(LOOKUP(2,1/(#REF!=Z5625),#REF!),""))</f>
        <v/>
      </c>
      <c r="AC5625" t="str">
        <f>IF(Z5625="","",COUNTIF(#REF!,Z5625))</f>
        <v/>
      </c>
      <c r="AD5625" t="str">
        <f>IF(A5625="","",IF(AC5625&gt;1,"REVISAR DUPLICADO",IF(AA5625&lt;&gt;"","ACTUALIZADO POR EYR","SIN REPORTE EYR")))</f>
        <v/>
      </c>
    </row>
    <row r="5626" spans="11:30" x14ac:dyDescent="0.3">
      <c r="K5626" s="1" t="str">
        <f ca="1">IF(A5626="","",IF(OR(L5626="ENTREGADA",L5626="RETORNADA",L5626="ENTREGA DIGITAL"),0,MAX(0,5-NETWORKDAYS(H5626+1,TODAY()))))</f>
        <v/>
      </c>
      <c r="L5626" t="str">
        <f>IF(A5626="","",IFERROR(LOOKUP(2,1/(#REF!=Z5626),#REF!),Y5626))</f>
        <v/>
      </c>
      <c r="Z5626" t="str">
        <f>IF(A5626="","",TEXT(A5626,"0")&amp;"|"&amp;TEXT(H5626,"0"))</f>
        <v/>
      </c>
      <c r="AA5626" t="str">
        <f>IF(Z5626="","",IFERROR(LOOKUP(2,1/(#REF!=Z5626),#REF!),""))</f>
        <v/>
      </c>
      <c r="AB5626" t="str">
        <f>IF(Z5626="","",IFERROR(LOOKUP(2,1/(#REF!=Z5626),#REF!),""))</f>
        <v/>
      </c>
      <c r="AC5626" t="str">
        <f>IF(Z5626="","",COUNTIF(#REF!,Z5626))</f>
        <v/>
      </c>
      <c r="AD5626" t="str">
        <f>IF(A5626="","",IF(AC5626&gt;1,"REVISAR DUPLICADO",IF(AA5626&lt;&gt;"","ACTUALIZADO POR EYR","SIN REPORTE EYR")))</f>
        <v/>
      </c>
    </row>
    <row r="5627" spans="11:30" x14ac:dyDescent="0.3">
      <c r="K5627" s="1" t="str">
        <f ca="1">IF(A5627="","",IF(OR(L5627="ENTREGADA",L5627="RETORNADA",L5627="ENTREGA DIGITAL"),0,MAX(0,5-NETWORKDAYS(H5627+1,TODAY()))))</f>
        <v/>
      </c>
      <c r="L5627" t="str">
        <f>IF(A5627="","",IFERROR(LOOKUP(2,1/(#REF!=Z5627),#REF!),Y5627))</f>
        <v/>
      </c>
      <c r="Z5627" t="str">
        <f>IF(A5627="","",TEXT(A5627,"0")&amp;"|"&amp;TEXT(H5627,"0"))</f>
        <v/>
      </c>
      <c r="AA5627" t="str">
        <f>IF(Z5627="","",IFERROR(LOOKUP(2,1/(#REF!=Z5627),#REF!),""))</f>
        <v/>
      </c>
      <c r="AB5627" t="str">
        <f>IF(Z5627="","",IFERROR(LOOKUP(2,1/(#REF!=Z5627),#REF!),""))</f>
        <v/>
      </c>
      <c r="AC5627" t="str">
        <f>IF(Z5627="","",COUNTIF(#REF!,Z5627))</f>
        <v/>
      </c>
      <c r="AD5627" t="str">
        <f>IF(A5627="","",IF(AC5627&gt;1,"REVISAR DUPLICADO",IF(AA5627&lt;&gt;"","ACTUALIZADO POR EYR","SIN REPORTE EYR")))</f>
        <v/>
      </c>
    </row>
    <row r="5628" spans="11:30" x14ac:dyDescent="0.3">
      <c r="K5628" s="1" t="str">
        <f ca="1">IF(A5628="","",IF(OR(L5628="ENTREGADA",L5628="RETORNADA",L5628="ENTREGA DIGITAL"),0,MAX(0,5-NETWORKDAYS(H5628+1,TODAY()))))</f>
        <v/>
      </c>
      <c r="L5628" t="str">
        <f>IF(A5628="","",IFERROR(LOOKUP(2,1/(#REF!=Z5628),#REF!),Y5628))</f>
        <v/>
      </c>
      <c r="Z5628" t="str">
        <f>IF(A5628="","",TEXT(A5628,"0")&amp;"|"&amp;TEXT(H5628,"0"))</f>
        <v/>
      </c>
      <c r="AA5628" t="str">
        <f>IF(Z5628="","",IFERROR(LOOKUP(2,1/(#REF!=Z5628),#REF!),""))</f>
        <v/>
      </c>
      <c r="AB5628" t="str">
        <f>IF(Z5628="","",IFERROR(LOOKUP(2,1/(#REF!=Z5628),#REF!),""))</f>
        <v/>
      </c>
      <c r="AC5628" t="str">
        <f>IF(Z5628="","",COUNTIF(#REF!,Z5628))</f>
        <v/>
      </c>
      <c r="AD5628" t="str">
        <f>IF(A5628="","",IF(AC5628&gt;1,"REVISAR DUPLICADO",IF(AA5628&lt;&gt;"","ACTUALIZADO POR EYR","SIN REPORTE EYR")))</f>
        <v/>
      </c>
    </row>
    <row r="5629" spans="11:30" x14ac:dyDescent="0.3">
      <c r="K5629" s="1" t="str">
        <f ca="1">IF(A5629="","",IF(OR(L5629="ENTREGADA",L5629="RETORNADA",L5629="ENTREGA DIGITAL"),0,MAX(0,5-NETWORKDAYS(H5629+1,TODAY()))))</f>
        <v/>
      </c>
      <c r="L5629" t="str">
        <f>IF(A5629="","",IFERROR(LOOKUP(2,1/(#REF!=Z5629),#REF!),Y5629))</f>
        <v/>
      </c>
      <c r="Z5629" t="str">
        <f>IF(A5629="","",TEXT(A5629,"0")&amp;"|"&amp;TEXT(H5629,"0"))</f>
        <v/>
      </c>
      <c r="AA5629" t="str">
        <f>IF(Z5629="","",IFERROR(LOOKUP(2,1/(#REF!=Z5629),#REF!),""))</f>
        <v/>
      </c>
      <c r="AB5629" t="str">
        <f>IF(Z5629="","",IFERROR(LOOKUP(2,1/(#REF!=Z5629),#REF!),""))</f>
        <v/>
      </c>
      <c r="AC5629" t="str">
        <f>IF(Z5629="","",COUNTIF(#REF!,Z5629))</f>
        <v/>
      </c>
      <c r="AD5629" t="str">
        <f>IF(A5629="","",IF(AC5629&gt;1,"REVISAR DUPLICADO",IF(AA5629&lt;&gt;"","ACTUALIZADO POR EYR","SIN REPORTE EYR")))</f>
        <v/>
      </c>
    </row>
    <row r="5630" spans="11:30" x14ac:dyDescent="0.3">
      <c r="K5630" s="1" t="str">
        <f ca="1">IF(A5630="","",IF(OR(L5630="ENTREGADA",L5630="RETORNADA",L5630="ENTREGA DIGITAL"),0,MAX(0,5-NETWORKDAYS(H5630+1,TODAY()))))</f>
        <v/>
      </c>
      <c r="L5630" t="str">
        <f>IF(A5630="","",IFERROR(LOOKUP(2,1/(#REF!=Z5630),#REF!),Y5630))</f>
        <v/>
      </c>
      <c r="Z5630" t="str">
        <f>IF(A5630="","",TEXT(A5630,"0")&amp;"|"&amp;TEXT(H5630,"0"))</f>
        <v/>
      </c>
      <c r="AA5630" t="str">
        <f>IF(Z5630="","",IFERROR(LOOKUP(2,1/(#REF!=Z5630),#REF!),""))</f>
        <v/>
      </c>
      <c r="AB5630" t="str">
        <f>IF(Z5630="","",IFERROR(LOOKUP(2,1/(#REF!=Z5630),#REF!),""))</f>
        <v/>
      </c>
      <c r="AC5630" t="str">
        <f>IF(Z5630="","",COUNTIF(#REF!,Z5630))</f>
        <v/>
      </c>
      <c r="AD5630" t="str">
        <f>IF(A5630="","",IF(AC5630&gt;1,"REVISAR DUPLICADO",IF(AA5630&lt;&gt;"","ACTUALIZADO POR EYR","SIN REPORTE EYR")))</f>
        <v/>
      </c>
    </row>
    <row r="5631" spans="11:30" x14ac:dyDescent="0.3">
      <c r="K5631" s="1" t="str">
        <f ca="1">IF(A5631="","",IF(OR(L5631="ENTREGADA",L5631="RETORNADA",L5631="ENTREGA DIGITAL"),0,MAX(0,5-NETWORKDAYS(H5631+1,TODAY()))))</f>
        <v/>
      </c>
      <c r="L5631" t="str">
        <f>IF(A5631="","",IFERROR(LOOKUP(2,1/(#REF!=Z5631),#REF!),Y5631))</f>
        <v/>
      </c>
      <c r="Z5631" t="str">
        <f>IF(A5631="","",TEXT(A5631,"0")&amp;"|"&amp;TEXT(H5631,"0"))</f>
        <v/>
      </c>
      <c r="AA5631" t="str">
        <f>IF(Z5631="","",IFERROR(LOOKUP(2,1/(#REF!=Z5631),#REF!),""))</f>
        <v/>
      </c>
      <c r="AB5631" t="str">
        <f>IF(Z5631="","",IFERROR(LOOKUP(2,1/(#REF!=Z5631),#REF!),""))</f>
        <v/>
      </c>
      <c r="AC5631" t="str">
        <f>IF(Z5631="","",COUNTIF(#REF!,Z5631))</f>
        <v/>
      </c>
      <c r="AD5631" t="str">
        <f>IF(A5631="","",IF(AC5631&gt;1,"REVISAR DUPLICADO",IF(AA5631&lt;&gt;"","ACTUALIZADO POR EYR","SIN REPORTE EYR")))</f>
        <v/>
      </c>
    </row>
    <row r="5632" spans="11:30" x14ac:dyDescent="0.3">
      <c r="K5632" s="1" t="str">
        <f ca="1">IF(A5632="","",IF(OR(L5632="ENTREGADA",L5632="RETORNADA",L5632="ENTREGA DIGITAL"),0,MAX(0,5-NETWORKDAYS(H5632+1,TODAY()))))</f>
        <v/>
      </c>
      <c r="L5632" t="str">
        <f>IF(A5632="","",IFERROR(LOOKUP(2,1/(#REF!=Z5632),#REF!),Y5632))</f>
        <v/>
      </c>
      <c r="Z5632" t="str">
        <f>IF(A5632="","",TEXT(A5632,"0")&amp;"|"&amp;TEXT(H5632,"0"))</f>
        <v/>
      </c>
      <c r="AA5632" t="str">
        <f>IF(Z5632="","",IFERROR(LOOKUP(2,1/(#REF!=Z5632),#REF!),""))</f>
        <v/>
      </c>
      <c r="AB5632" t="str">
        <f>IF(Z5632="","",IFERROR(LOOKUP(2,1/(#REF!=Z5632),#REF!),""))</f>
        <v/>
      </c>
      <c r="AC5632" t="str">
        <f>IF(Z5632="","",COUNTIF(#REF!,Z5632))</f>
        <v/>
      </c>
      <c r="AD5632" t="str">
        <f>IF(A5632="","",IF(AC5632&gt;1,"REVISAR DUPLICADO",IF(AA5632&lt;&gt;"","ACTUALIZADO POR EYR","SIN REPORTE EYR")))</f>
        <v/>
      </c>
    </row>
    <row r="5633" spans="11:30" x14ac:dyDescent="0.3">
      <c r="K5633" s="1" t="str">
        <f ca="1">IF(A5633="","",IF(OR(L5633="ENTREGADA",L5633="RETORNADA",L5633="ENTREGA DIGITAL"),0,MAX(0,5-NETWORKDAYS(H5633+1,TODAY()))))</f>
        <v/>
      </c>
      <c r="L5633" t="str">
        <f>IF(A5633="","",IFERROR(LOOKUP(2,1/(#REF!=Z5633),#REF!),Y5633))</f>
        <v/>
      </c>
      <c r="Z5633" t="str">
        <f>IF(A5633="","",TEXT(A5633,"0")&amp;"|"&amp;TEXT(H5633,"0"))</f>
        <v/>
      </c>
      <c r="AA5633" t="str">
        <f>IF(Z5633="","",IFERROR(LOOKUP(2,1/(#REF!=Z5633),#REF!),""))</f>
        <v/>
      </c>
      <c r="AB5633" t="str">
        <f>IF(Z5633="","",IFERROR(LOOKUP(2,1/(#REF!=Z5633),#REF!),""))</f>
        <v/>
      </c>
      <c r="AC5633" t="str">
        <f>IF(Z5633="","",COUNTIF(#REF!,Z5633))</f>
        <v/>
      </c>
      <c r="AD5633" t="str">
        <f>IF(A5633="","",IF(AC5633&gt;1,"REVISAR DUPLICADO",IF(AA5633&lt;&gt;"","ACTUALIZADO POR EYR","SIN REPORTE EYR")))</f>
        <v/>
      </c>
    </row>
    <row r="5634" spans="11:30" x14ac:dyDescent="0.3">
      <c r="K5634" s="1" t="str">
        <f ca="1">IF(A5634="","",IF(OR(L5634="ENTREGADA",L5634="RETORNADA",L5634="ENTREGA DIGITAL"),0,MAX(0,5-NETWORKDAYS(H5634+1,TODAY()))))</f>
        <v/>
      </c>
      <c r="L5634" t="str">
        <f>IF(A5634="","",IFERROR(LOOKUP(2,1/(#REF!=Z5634),#REF!),Y5634))</f>
        <v/>
      </c>
      <c r="Z5634" t="str">
        <f>IF(A5634="","",TEXT(A5634,"0")&amp;"|"&amp;TEXT(H5634,"0"))</f>
        <v/>
      </c>
      <c r="AA5634" t="str">
        <f>IF(Z5634="","",IFERROR(LOOKUP(2,1/(#REF!=Z5634),#REF!),""))</f>
        <v/>
      </c>
      <c r="AB5634" t="str">
        <f>IF(Z5634="","",IFERROR(LOOKUP(2,1/(#REF!=Z5634),#REF!),""))</f>
        <v/>
      </c>
      <c r="AC5634" t="str">
        <f>IF(Z5634="","",COUNTIF(#REF!,Z5634))</f>
        <v/>
      </c>
      <c r="AD5634" t="str">
        <f>IF(A5634="","",IF(AC5634&gt;1,"REVISAR DUPLICADO",IF(AA5634&lt;&gt;"","ACTUALIZADO POR EYR","SIN REPORTE EYR")))</f>
        <v/>
      </c>
    </row>
    <row r="5635" spans="11:30" x14ac:dyDescent="0.3">
      <c r="K5635" s="1" t="str">
        <f ca="1">IF(A5635="","",IF(OR(L5635="ENTREGADA",L5635="RETORNADA",L5635="ENTREGA DIGITAL"),0,MAX(0,5-NETWORKDAYS(H5635+1,TODAY()))))</f>
        <v/>
      </c>
      <c r="L5635" t="str">
        <f>IF(A5635="","",IFERROR(LOOKUP(2,1/(#REF!=Z5635),#REF!),Y5635))</f>
        <v/>
      </c>
      <c r="Z5635" t="str">
        <f>IF(A5635="","",TEXT(A5635,"0")&amp;"|"&amp;TEXT(H5635,"0"))</f>
        <v/>
      </c>
      <c r="AA5635" t="str">
        <f>IF(Z5635="","",IFERROR(LOOKUP(2,1/(#REF!=Z5635),#REF!),""))</f>
        <v/>
      </c>
      <c r="AB5635" t="str">
        <f>IF(Z5635="","",IFERROR(LOOKUP(2,1/(#REF!=Z5635),#REF!),""))</f>
        <v/>
      </c>
      <c r="AC5635" t="str">
        <f>IF(Z5635="","",COUNTIF(#REF!,Z5635))</f>
        <v/>
      </c>
      <c r="AD5635" t="str">
        <f>IF(A5635="","",IF(AC5635&gt;1,"REVISAR DUPLICADO",IF(AA5635&lt;&gt;"","ACTUALIZADO POR EYR","SIN REPORTE EYR")))</f>
        <v/>
      </c>
    </row>
    <row r="5636" spans="11:30" x14ac:dyDescent="0.3">
      <c r="K5636" s="1" t="str">
        <f ca="1">IF(A5636="","",IF(OR(L5636="ENTREGADA",L5636="RETORNADA",L5636="ENTREGA DIGITAL"),0,MAX(0,5-NETWORKDAYS(H5636+1,TODAY()))))</f>
        <v/>
      </c>
      <c r="L5636" t="str">
        <f>IF(A5636="","",IFERROR(LOOKUP(2,1/(#REF!=Z5636),#REF!),Y5636))</f>
        <v/>
      </c>
      <c r="Z5636" t="str">
        <f>IF(A5636="","",TEXT(A5636,"0")&amp;"|"&amp;TEXT(H5636,"0"))</f>
        <v/>
      </c>
      <c r="AA5636" t="str">
        <f>IF(Z5636="","",IFERROR(LOOKUP(2,1/(#REF!=Z5636),#REF!),""))</f>
        <v/>
      </c>
      <c r="AB5636" t="str">
        <f>IF(Z5636="","",IFERROR(LOOKUP(2,1/(#REF!=Z5636),#REF!),""))</f>
        <v/>
      </c>
      <c r="AC5636" t="str">
        <f>IF(Z5636="","",COUNTIF(#REF!,Z5636))</f>
        <v/>
      </c>
      <c r="AD5636" t="str">
        <f>IF(A5636="","",IF(AC5636&gt;1,"REVISAR DUPLICADO",IF(AA5636&lt;&gt;"","ACTUALIZADO POR EYR","SIN REPORTE EYR")))</f>
        <v/>
      </c>
    </row>
    <row r="5637" spans="11:30" x14ac:dyDescent="0.3">
      <c r="K5637" s="1" t="str">
        <f ca="1">IF(A5637="","",IF(OR(L5637="ENTREGADA",L5637="RETORNADA",L5637="ENTREGA DIGITAL"),0,MAX(0,5-NETWORKDAYS(H5637+1,TODAY()))))</f>
        <v/>
      </c>
      <c r="L5637" t="str">
        <f>IF(A5637="","",IFERROR(LOOKUP(2,1/(#REF!=Z5637),#REF!),Y5637))</f>
        <v/>
      </c>
      <c r="Z5637" t="str">
        <f>IF(A5637="","",TEXT(A5637,"0")&amp;"|"&amp;TEXT(H5637,"0"))</f>
        <v/>
      </c>
      <c r="AA5637" t="str">
        <f>IF(Z5637="","",IFERROR(LOOKUP(2,1/(#REF!=Z5637),#REF!),""))</f>
        <v/>
      </c>
      <c r="AB5637" t="str">
        <f>IF(Z5637="","",IFERROR(LOOKUP(2,1/(#REF!=Z5637),#REF!),""))</f>
        <v/>
      </c>
      <c r="AC5637" t="str">
        <f>IF(Z5637="","",COUNTIF(#REF!,Z5637))</f>
        <v/>
      </c>
      <c r="AD5637" t="str">
        <f>IF(A5637="","",IF(AC5637&gt;1,"REVISAR DUPLICADO",IF(AA5637&lt;&gt;"","ACTUALIZADO POR EYR","SIN REPORTE EYR")))</f>
        <v/>
      </c>
    </row>
    <row r="5638" spans="11:30" x14ac:dyDescent="0.3">
      <c r="K5638" s="1" t="str">
        <f ca="1">IF(A5638="","",IF(OR(L5638="ENTREGADA",L5638="RETORNADA",L5638="ENTREGA DIGITAL"),0,MAX(0,5-NETWORKDAYS(H5638+1,TODAY()))))</f>
        <v/>
      </c>
      <c r="L5638" t="str">
        <f>IF(A5638="","",IFERROR(LOOKUP(2,1/(#REF!=Z5638),#REF!),Y5638))</f>
        <v/>
      </c>
      <c r="Z5638" t="str">
        <f>IF(A5638="","",TEXT(A5638,"0")&amp;"|"&amp;TEXT(H5638,"0"))</f>
        <v/>
      </c>
      <c r="AA5638" t="str">
        <f>IF(Z5638="","",IFERROR(LOOKUP(2,1/(#REF!=Z5638),#REF!),""))</f>
        <v/>
      </c>
      <c r="AB5638" t="str">
        <f>IF(Z5638="","",IFERROR(LOOKUP(2,1/(#REF!=Z5638),#REF!),""))</f>
        <v/>
      </c>
      <c r="AC5638" t="str">
        <f>IF(Z5638="","",COUNTIF(#REF!,Z5638))</f>
        <v/>
      </c>
      <c r="AD5638" t="str">
        <f>IF(A5638="","",IF(AC5638&gt;1,"REVISAR DUPLICADO",IF(AA5638&lt;&gt;"","ACTUALIZADO POR EYR","SIN REPORTE EYR")))</f>
        <v/>
      </c>
    </row>
    <row r="5639" spans="11:30" x14ac:dyDescent="0.3">
      <c r="K5639" s="1" t="str">
        <f ca="1">IF(A5639="","",IF(OR(L5639="ENTREGADA",L5639="RETORNADA",L5639="ENTREGA DIGITAL"),0,MAX(0,5-NETWORKDAYS(H5639+1,TODAY()))))</f>
        <v/>
      </c>
      <c r="L5639" t="str">
        <f>IF(A5639="","",IFERROR(LOOKUP(2,1/(#REF!=Z5639),#REF!),Y5639))</f>
        <v/>
      </c>
      <c r="Z5639" t="str">
        <f>IF(A5639="","",TEXT(A5639,"0")&amp;"|"&amp;TEXT(H5639,"0"))</f>
        <v/>
      </c>
      <c r="AA5639" t="str">
        <f>IF(Z5639="","",IFERROR(LOOKUP(2,1/(#REF!=Z5639),#REF!),""))</f>
        <v/>
      </c>
      <c r="AB5639" t="str">
        <f>IF(Z5639="","",IFERROR(LOOKUP(2,1/(#REF!=Z5639),#REF!),""))</f>
        <v/>
      </c>
      <c r="AC5639" t="str">
        <f>IF(Z5639="","",COUNTIF(#REF!,Z5639))</f>
        <v/>
      </c>
      <c r="AD5639" t="str">
        <f>IF(A5639="","",IF(AC5639&gt;1,"REVISAR DUPLICADO",IF(AA5639&lt;&gt;"","ACTUALIZADO POR EYR","SIN REPORTE EYR")))</f>
        <v/>
      </c>
    </row>
    <row r="5640" spans="11:30" x14ac:dyDescent="0.3">
      <c r="K5640" s="1" t="str">
        <f ca="1">IF(A5640="","",IF(OR(L5640="ENTREGADA",L5640="RETORNADA",L5640="ENTREGA DIGITAL"),0,MAX(0,5-NETWORKDAYS(H5640+1,TODAY()))))</f>
        <v/>
      </c>
      <c r="L5640" t="str">
        <f>IF(A5640="","",IFERROR(LOOKUP(2,1/(#REF!=Z5640),#REF!),Y5640))</f>
        <v/>
      </c>
      <c r="Z5640" t="str">
        <f>IF(A5640="","",TEXT(A5640,"0")&amp;"|"&amp;TEXT(H5640,"0"))</f>
        <v/>
      </c>
      <c r="AA5640" t="str">
        <f>IF(Z5640="","",IFERROR(LOOKUP(2,1/(#REF!=Z5640),#REF!),""))</f>
        <v/>
      </c>
      <c r="AB5640" t="str">
        <f>IF(Z5640="","",IFERROR(LOOKUP(2,1/(#REF!=Z5640),#REF!),""))</f>
        <v/>
      </c>
      <c r="AC5640" t="str">
        <f>IF(Z5640="","",COUNTIF(#REF!,Z5640))</f>
        <v/>
      </c>
      <c r="AD5640" t="str">
        <f>IF(A5640="","",IF(AC5640&gt;1,"REVISAR DUPLICADO",IF(AA5640&lt;&gt;"","ACTUALIZADO POR EYR","SIN REPORTE EYR")))</f>
        <v/>
      </c>
    </row>
    <row r="5641" spans="11:30" x14ac:dyDescent="0.3">
      <c r="K5641" s="1" t="str">
        <f ca="1">IF(A5641="","",IF(OR(L5641="ENTREGADA",L5641="RETORNADA",L5641="ENTREGA DIGITAL"),0,MAX(0,5-NETWORKDAYS(H5641+1,TODAY()))))</f>
        <v/>
      </c>
      <c r="L5641" t="str">
        <f>IF(A5641="","",IFERROR(LOOKUP(2,1/(#REF!=Z5641),#REF!),Y5641))</f>
        <v/>
      </c>
      <c r="Z5641" t="str">
        <f>IF(A5641="","",TEXT(A5641,"0")&amp;"|"&amp;TEXT(H5641,"0"))</f>
        <v/>
      </c>
      <c r="AA5641" t="str">
        <f>IF(Z5641="","",IFERROR(LOOKUP(2,1/(#REF!=Z5641),#REF!),""))</f>
        <v/>
      </c>
      <c r="AB5641" t="str">
        <f>IF(Z5641="","",IFERROR(LOOKUP(2,1/(#REF!=Z5641),#REF!),""))</f>
        <v/>
      </c>
      <c r="AC5641" t="str">
        <f>IF(Z5641="","",COUNTIF(#REF!,Z5641))</f>
        <v/>
      </c>
      <c r="AD5641" t="str">
        <f>IF(A5641="","",IF(AC5641&gt;1,"REVISAR DUPLICADO",IF(AA5641&lt;&gt;"","ACTUALIZADO POR EYR","SIN REPORTE EYR")))</f>
        <v/>
      </c>
    </row>
    <row r="5642" spans="11:30" x14ac:dyDescent="0.3">
      <c r="K5642" s="1" t="str">
        <f ca="1">IF(A5642="","",IF(OR(L5642="ENTREGADA",L5642="RETORNADA",L5642="ENTREGA DIGITAL"),0,MAX(0,5-NETWORKDAYS(H5642+1,TODAY()))))</f>
        <v/>
      </c>
      <c r="L5642" t="str">
        <f>IF(A5642="","",IFERROR(LOOKUP(2,1/(#REF!=Z5642),#REF!),Y5642))</f>
        <v/>
      </c>
      <c r="Z5642" t="str">
        <f>IF(A5642="","",TEXT(A5642,"0")&amp;"|"&amp;TEXT(H5642,"0"))</f>
        <v/>
      </c>
      <c r="AA5642" t="str">
        <f>IF(Z5642="","",IFERROR(LOOKUP(2,1/(#REF!=Z5642),#REF!),""))</f>
        <v/>
      </c>
      <c r="AB5642" t="str">
        <f>IF(Z5642="","",IFERROR(LOOKUP(2,1/(#REF!=Z5642),#REF!),""))</f>
        <v/>
      </c>
      <c r="AC5642" t="str">
        <f>IF(Z5642="","",COUNTIF(#REF!,Z5642))</f>
        <v/>
      </c>
      <c r="AD5642" t="str">
        <f>IF(A5642="","",IF(AC5642&gt;1,"REVISAR DUPLICADO",IF(AA5642&lt;&gt;"","ACTUALIZADO POR EYR","SIN REPORTE EYR")))</f>
        <v/>
      </c>
    </row>
    <row r="5643" spans="11:30" x14ac:dyDescent="0.3">
      <c r="K5643" s="1" t="str">
        <f ca="1">IF(A5643="","",IF(OR(L5643="ENTREGADA",L5643="RETORNADA",L5643="ENTREGA DIGITAL"),0,MAX(0,5-NETWORKDAYS(H5643+1,TODAY()))))</f>
        <v/>
      </c>
      <c r="L5643" t="str">
        <f>IF(A5643="","",IFERROR(LOOKUP(2,1/(#REF!=Z5643),#REF!),Y5643))</f>
        <v/>
      </c>
      <c r="Z5643" t="str">
        <f>IF(A5643="","",TEXT(A5643,"0")&amp;"|"&amp;TEXT(H5643,"0"))</f>
        <v/>
      </c>
      <c r="AA5643" t="str">
        <f>IF(Z5643="","",IFERROR(LOOKUP(2,1/(#REF!=Z5643),#REF!),""))</f>
        <v/>
      </c>
      <c r="AB5643" t="str">
        <f>IF(Z5643="","",IFERROR(LOOKUP(2,1/(#REF!=Z5643),#REF!),""))</f>
        <v/>
      </c>
      <c r="AC5643" t="str">
        <f>IF(Z5643="","",COUNTIF(#REF!,Z5643))</f>
        <v/>
      </c>
      <c r="AD5643" t="str">
        <f>IF(A5643="","",IF(AC5643&gt;1,"REVISAR DUPLICADO",IF(AA5643&lt;&gt;"","ACTUALIZADO POR EYR","SIN REPORTE EYR")))</f>
        <v/>
      </c>
    </row>
    <row r="5644" spans="11:30" x14ac:dyDescent="0.3">
      <c r="K5644" s="1" t="str">
        <f ca="1">IF(A5644="","",IF(OR(L5644="ENTREGADA",L5644="RETORNADA",L5644="ENTREGA DIGITAL"),0,MAX(0,5-NETWORKDAYS(H5644+1,TODAY()))))</f>
        <v/>
      </c>
      <c r="L5644" t="str">
        <f>IF(A5644="","",IFERROR(LOOKUP(2,1/(#REF!=Z5644),#REF!),Y5644))</f>
        <v/>
      </c>
      <c r="Z5644" t="str">
        <f>IF(A5644="","",TEXT(A5644,"0")&amp;"|"&amp;TEXT(H5644,"0"))</f>
        <v/>
      </c>
      <c r="AA5644" t="str">
        <f>IF(Z5644="","",IFERROR(LOOKUP(2,1/(#REF!=Z5644),#REF!),""))</f>
        <v/>
      </c>
      <c r="AB5644" t="str">
        <f>IF(Z5644="","",IFERROR(LOOKUP(2,1/(#REF!=Z5644),#REF!),""))</f>
        <v/>
      </c>
      <c r="AC5644" t="str">
        <f>IF(Z5644="","",COUNTIF(#REF!,Z5644))</f>
        <v/>
      </c>
      <c r="AD5644" t="str">
        <f>IF(A5644="","",IF(AC5644&gt;1,"REVISAR DUPLICADO",IF(AA5644&lt;&gt;"","ACTUALIZADO POR EYR","SIN REPORTE EYR")))</f>
        <v/>
      </c>
    </row>
    <row r="5645" spans="11:30" x14ac:dyDescent="0.3">
      <c r="K5645" s="1" t="str">
        <f ca="1">IF(A5645="","",IF(OR(L5645="ENTREGADA",L5645="RETORNADA",L5645="ENTREGA DIGITAL"),0,MAX(0,5-NETWORKDAYS(H5645+1,TODAY()))))</f>
        <v/>
      </c>
      <c r="L5645" t="str">
        <f>IF(A5645="","",IFERROR(LOOKUP(2,1/(#REF!=Z5645),#REF!),Y5645))</f>
        <v/>
      </c>
      <c r="Z5645" t="str">
        <f>IF(A5645="","",TEXT(A5645,"0")&amp;"|"&amp;TEXT(H5645,"0"))</f>
        <v/>
      </c>
      <c r="AA5645" t="str">
        <f>IF(Z5645="","",IFERROR(LOOKUP(2,1/(#REF!=Z5645),#REF!),""))</f>
        <v/>
      </c>
      <c r="AB5645" t="str">
        <f>IF(Z5645="","",IFERROR(LOOKUP(2,1/(#REF!=Z5645),#REF!),""))</f>
        <v/>
      </c>
      <c r="AC5645" t="str">
        <f>IF(Z5645="","",COUNTIF(#REF!,Z5645))</f>
        <v/>
      </c>
      <c r="AD5645" t="str">
        <f>IF(A5645="","",IF(AC5645&gt;1,"REVISAR DUPLICADO",IF(AA5645&lt;&gt;"","ACTUALIZADO POR EYR","SIN REPORTE EYR")))</f>
        <v/>
      </c>
    </row>
    <row r="5646" spans="11:30" x14ac:dyDescent="0.3">
      <c r="K5646" s="1" t="str">
        <f ca="1">IF(A5646="","",IF(OR(L5646="ENTREGADA",L5646="RETORNADA",L5646="ENTREGA DIGITAL"),0,MAX(0,5-NETWORKDAYS(H5646+1,TODAY()))))</f>
        <v/>
      </c>
      <c r="L5646" t="str">
        <f>IF(A5646="","",IFERROR(LOOKUP(2,1/(#REF!=Z5646),#REF!),Y5646))</f>
        <v/>
      </c>
      <c r="Z5646" t="str">
        <f>IF(A5646="","",TEXT(A5646,"0")&amp;"|"&amp;TEXT(H5646,"0"))</f>
        <v/>
      </c>
      <c r="AA5646" t="str">
        <f>IF(Z5646="","",IFERROR(LOOKUP(2,1/(#REF!=Z5646),#REF!),""))</f>
        <v/>
      </c>
      <c r="AB5646" t="str">
        <f>IF(Z5646="","",IFERROR(LOOKUP(2,1/(#REF!=Z5646),#REF!),""))</f>
        <v/>
      </c>
      <c r="AC5646" t="str">
        <f>IF(Z5646="","",COUNTIF(#REF!,Z5646))</f>
        <v/>
      </c>
      <c r="AD5646" t="str">
        <f>IF(A5646="","",IF(AC5646&gt;1,"REVISAR DUPLICADO",IF(AA5646&lt;&gt;"","ACTUALIZADO POR EYR","SIN REPORTE EYR")))</f>
        <v/>
      </c>
    </row>
    <row r="5647" spans="11:30" x14ac:dyDescent="0.3">
      <c r="K5647" s="1" t="str">
        <f ca="1">IF(A5647="","",IF(OR(L5647="ENTREGADA",L5647="RETORNADA",L5647="ENTREGA DIGITAL"),0,MAX(0,5-NETWORKDAYS(H5647+1,TODAY()))))</f>
        <v/>
      </c>
      <c r="L5647" t="str">
        <f>IF(A5647="","",IFERROR(LOOKUP(2,1/(#REF!=Z5647),#REF!),Y5647))</f>
        <v/>
      </c>
      <c r="Z5647" t="str">
        <f>IF(A5647="","",TEXT(A5647,"0")&amp;"|"&amp;TEXT(H5647,"0"))</f>
        <v/>
      </c>
      <c r="AA5647" t="str">
        <f>IF(Z5647="","",IFERROR(LOOKUP(2,1/(#REF!=Z5647),#REF!),""))</f>
        <v/>
      </c>
      <c r="AB5647" t="str">
        <f>IF(Z5647="","",IFERROR(LOOKUP(2,1/(#REF!=Z5647),#REF!),""))</f>
        <v/>
      </c>
      <c r="AC5647" t="str">
        <f>IF(Z5647="","",COUNTIF(#REF!,Z5647))</f>
        <v/>
      </c>
      <c r="AD5647" t="str">
        <f>IF(A5647="","",IF(AC5647&gt;1,"REVISAR DUPLICADO",IF(AA5647&lt;&gt;"","ACTUALIZADO POR EYR","SIN REPORTE EYR")))</f>
        <v/>
      </c>
    </row>
    <row r="5648" spans="11:30" x14ac:dyDescent="0.3">
      <c r="K5648" s="1" t="str">
        <f ca="1">IF(A5648="","",IF(OR(L5648="ENTREGADA",L5648="RETORNADA",L5648="ENTREGA DIGITAL"),0,MAX(0,5-NETWORKDAYS(H5648+1,TODAY()))))</f>
        <v/>
      </c>
      <c r="L5648" t="str">
        <f>IF(A5648="","",IFERROR(LOOKUP(2,1/(#REF!=Z5648),#REF!),Y5648))</f>
        <v/>
      </c>
      <c r="Z5648" t="str">
        <f>IF(A5648="","",TEXT(A5648,"0")&amp;"|"&amp;TEXT(H5648,"0"))</f>
        <v/>
      </c>
      <c r="AA5648" t="str">
        <f>IF(Z5648="","",IFERROR(LOOKUP(2,1/(#REF!=Z5648),#REF!),""))</f>
        <v/>
      </c>
      <c r="AB5648" t="str">
        <f>IF(Z5648="","",IFERROR(LOOKUP(2,1/(#REF!=Z5648),#REF!),""))</f>
        <v/>
      </c>
      <c r="AC5648" t="str">
        <f>IF(Z5648="","",COUNTIF(#REF!,Z5648))</f>
        <v/>
      </c>
      <c r="AD5648" t="str">
        <f>IF(A5648="","",IF(AC5648&gt;1,"REVISAR DUPLICADO",IF(AA5648&lt;&gt;"","ACTUALIZADO POR EYR","SIN REPORTE EYR")))</f>
        <v/>
      </c>
    </row>
    <row r="5649" spans="11:30" x14ac:dyDescent="0.3">
      <c r="K5649" s="1" t="str">
        <f ca="1">IF(A5649="","",IF(OR(L5649="ENTREGADA",L5649="RETORNADA",L5649="ENTREGA DIGITAL"),0,MAX(0,5-NETWORKDAYS(H5649+1,TODAY()))))</f>
        <v/>
      </c>
      <c r="L5649" t="str">
        <f>IF(A5649="","",IFERROR(LOOKUP(2,1/(#REF!=Z5649),#REF!),Y5649))</f>
        <v/>
      </c>
      <c r="Z5649" t="str">
        <f>IF(A5649="","",TEXT(A5649,"0")&amp;"|"&amp;TEXT(H5649,"0"))</f>
        <v/>
      </c>
      <c r="AA5649" t="str">
        <f>IF(Z5649="","",IFERROR(LOOKUP(2,1/(#REF!=Z5649),#REF!),""))</f>
        <v/>
      </c>
      <c r="AB5649" t="str">
        <f>IF(Z5649="","",IFERROR(LOOKUP(2,1/(#REF!=Z5649),#REF!),""))</f>
        <v/>
      </c>
      <c r="AC5649" t="str">
        <f>IF(Z5649="","",COUNTIF(#REF!,Z5649))</f>
        <v/>
      </c>
      <c r="AD5649" t="str">
        <f>IF(A5649="","",IF(AC5649&gt;1,"REVISAR DUPLICADO",IF(AA5649&lt;&gt;"","ACTUALIZADO POR EYR","SIN REPORTE EYR")))</f>
        <v/>
      </c>
    </row>
    <row r="5650" spans="11:30" x14ac:dyDescent="0.3">
      <c r="K5650" s="1" t="str">
        <f ca="1">IF(A5650="","",IF(OR(L5650="ENTREGADA",L5650="RETORNADA",L5650="ENTREGA DIGITAL"),0,MAX(0,5-NETWORKDAYS(H5650+1,TODAY()))))</f>
        <v/>
      </c>
      <c r="L5650" t="str">
        <f>IF(A5650="","",IFERROR(LOOKUP(2,1/(#REF!=Z5650),#REF!),Y5650))</f>
        <v/>
      </c>
      <c r="Z5650" t="str">
        <f>IF(A5650="","",TEXT(A5650,"0")&amp;"|"&amp;TEXT(H5650,"0"))</f>
        <v/>
      </c>
      <c r="AA5650" t="str">
        <f>IF(Z5650="","",IFERROR(LOOKUP(2,1/(#REF!=Z5650),#REF!),""))</f>
        <v/>
      </c>
      <c r="AB5650" t="str">
        <f>IF(Z5650="","",IFERROR(LOOKUP(2,1/(#REF!=Z5650),#REF!),""))</f>
        <v/>
      </c>
      <c r="AC5650" t="str">
        <f>IF(Z5650="","",COUNTIF(#REF!,Z5650))</f>
        <v/>
      </c>
      <c r="AD5650" t="str">
        <f>IF(A5650="","",IF(AC5650&gt;1,"REVISAR DUPLICADO",IF(AA5650&lt;&gt;"","ACTUALIZADO POR EYR","SIN REPORTE EYR")))</f>
        <v/>
      </c>
    </row>
    <row r="5651" spans="11:30" x14ac:dyDescent="0.3">
      <c r="K5651" s="1" t="str">
        <f ca="1">IF(A5651="","",IF(OR(L5651="ENTREGADA",L5651="RETORNADA",L5651="ENTREGA DIGITAL"),0,MAX(0,5-NETWORKDAYS(H5651+1,TODAY()))))</f>
        <v/>
      </c>
      <c r="L5651" t="str">
        <f>IF(A5651="","",IFERROR(LOOKUP(2,1/(#REF!=Z5651),#REF!),Y5651))</f>
        <v/>
      </c>
      <c r="Z5651" t="str">
        <f>IF(A5651="","",TEXT(A5651,"0")&amp;"|"&amp;TEXT(H5651,"0"))</f>
        <v/>
      </c>
      <c r="AA5651" t="str">
        <f>IF(Z5651="","",IFERROR(LOOKUP(2,1/(#REF!=Z5651),#REF!),""))</f>
        <v/>
      </c>
      <c r="AB5651" t="str">
        <f>IF(Z5651="","",IFERROR(LOOKUP(2,1/(#REF!=Z5651),#REF!),""))</f>
        <v/>
      </c>
      <c r="AC5651" t="str">
        <f>IF(Z5651="","",COUNTIF(#REF!,Z5651))</f>
        <v/>
      </c>
      <c r="AD5651" t="str">
        <f>IF(A5651="","",IF(AC5651&gt;1,"REVISAR DUPLICADO",IF(AA5651&lt;&gt;"","ACTUALIZADO POR EYR","SIN REPORTE EYR")))</f>
        <v/>
      </c>
    </row>
    <row r="5652" spans="11:30" x14ac:dyDescent="0.3">
      <c r="K5652" s="1" t="str">
        <f ca="1">IF(A5652="","",IF(OR(L5652="ENTREGADA",L5652="RETORNADA",L5652="ENTREGA DIGITAL"),0,MAX(0,5-NETWORKDAYS(H5652+1,TODAY()))))</f>
        <v/>
      </c>
      <c r="L5652" t="str">
        <f>IF(A5652="","",IFERROR(LOOKUP(2,1/(#REF!=Z5652),#REF!),Y5652))</f>
        <v/>
      </c>
      <c r="Z5652" t="str">
        <f>IF(A5652="","",TEXT(A5652,"0")&amp;"|"&amp;TEXT(H5652,"0"))</f>
        <v/>
      </c>
      <c r="AA5652" t="str">
        <f>IF(Z5652="","",IFERROR(LOOKUP(2,1/(#REF!=Z5652),#REF!),""))</f>
        <v/>
      </c>
      <c r="AB5652" t="str">
        <f>IF(Z5652="","",IFERROR(LOOKUP(2,1/(#REF!=Z5652),#REF!),""))</f>
        <v/>
      </c>
      <c r="AC5652" t="str">
        <f>IF(Z5652="","",COUNTIF(#REF!,Z5652))</f>
        <v/>
      </c>
      <c r="AD5652" t="str">
        <f>IF(A5652="","",IF(AC5652&gt;1,"REVISAR DUPLICADO",IF(AA5652&lt;&gt;"","ACTUALIZADO POR EYR","SIN REPORTE EYR")))</f>
        <v/>
      </c>
    </row>
    <row r="5653" spans="11:30" x14ac:dyDescent="0.3">
      <c r="K5653" s="1" t="str">
        <f ca="1">IF(A5653="","",IF(OR(L5653="ENTREGADA",L5653="RETORNADA",L5653="ENTREGA DIGITAL"),0,MAX(0,5-NETWORKDAYS(H5653+1,TODAY()))))</f>
        <v/>
      </c>
      <c r="L5653" t="str">
        <f>IF(A5653="","",IFERROR(LOOKUP(2,1/(#REF!=Z5653),#REF!),Y5653))</f>
        <v/>
      </c>
      <c r="Z5653" t="str">
        <f>IF(A5653="","",TEXT(A5653,"0")&amp;"|"&amp;TEXT(H5653,"0"))</f>
        <v/>
      </c>
      <c r="AA5653" t="str">
        <f>IF(Z5653="","",IFERROR(LOOKUP(2,1/(#REF!=Z5653),#REF!),""))</f>
        <v/>
      </c>
      <c r="AB5653" t="str">
        <f>IF(Z5653="","",IFERROR(LOOKUP(2,1/(#REF!=Z5653),#REF!),""))</f>
        <v/>
      </c>
      <c r="AC5653" t="str">
        <f>IF(Z5653="","",COUNTIF(#REF!,Z5653))</f>
        <v/>
      </c>
      <c r="AD5653" t="str">
        <f>IF(A5653="","",IF(AC5653&gt;1,"REVISAR DUPLICADO",IF(AA5653&lt;&gt;"","ACTUALIZADO POR EYR","SIN REPORTE EYR")))</f>
        <v/>
      </c>
    </row>
    <row r="5654" spans="11:30" x14ac:dyDescent="0.3">
      <c r="K5654" s="1" t="str">
        <f ca="1">IF(A5654="","",IF(OR(L5654="ENTREGADA",L5654="RETORNADA",L5654="ENTREGA DIGITAL"),0,MAX(0,5-NETWORKDAYS(H5654+1,TODAY()))))</f>
        <v/>
      </c>
      <c r="L5654" t="str">
        <f>IF(A5654="","",IFERROR(LOOKUP(2,1/(#REF!=Z5654),#REF!),Y5654))</f>
        <v/>
      </c>
      <c r="Z5654" t="str">
        <f>IF(A5654="","",TEXT(A5654,"0")&amp;"|"&amp;TEXT(H5654,"0"))</f>
        <v/>
      </c>
      <c r="AA5654" t="str">
        <f>IF(Z5654="","",IFERROR(LOOKUP(2,1/(#REF!=Z5654),#REF!),""))</f>
        <v/>
      </c>
      <c r="AB5654" t="str">
        <f>IF(Z5654="","",IFERROR(LOOKUP(2,1/(#REF!=Z5654),#REF!),""))</f>
        <v/>
      </c>
      <c r="AC5654" t="str">
        <f>IF(Z5654="","",COUNTIF(#REF!,Z5654))</f>
        <v/>
      </c>
      <c r="AD5654" t="str">
        <f>IF(A5654="","",IF(AC5654&gt;1,"REVISAR DUPLICADO",IF(AA5654&lt;&gt;"","ACTUALIZADO POR EYR","SIN REPORTE EYR")))</f>
        <v/>
      </c>
    </row>
    <row r="5655" spans="11:30" x14ac:dyDescent="0.3">
      <c r="K5655" s="1" t="str">
        <f ca="1">IF(A5655="","",IF(OR(L5655="ENTREGADA",L5655="RETORNADA",L5655="ENTREGA DIGITAL"),0,MAX(0,5-NETWORKDAYS(H5655+1,TODAY()))))</f>
        <v/>
      </c>
      <c r="L5655" t="str">
        <f>IF(A5655="","",IFERROR(LOOKUP(2,1/(#REF!=Z5655),#REF!),Y5655))</f>
        <v/>
      </c>
      <c r="Z5655" t="str">
        <f>IF(A5655="","",TEXT(A5655,"0")&amp;"|"&amp;TEXT(H5655,"0"))</f>
        <v/>
      </c>
      <c r="AA5655" t="str">
        <f>IF(Z5655="","",IFERROR(LOOKUP(2,1/(#REF!=Z5655),#REF!),""))</f>
        <v/>
      </c>
      <c r="AB5655" t="str">
        <f>IF(Z5655="","",IFERROR(LOOKUP(2,1/(#REF!=Z5655),#REF!),""))</f>
        <v/>
      </c>
      <c r="AC5655" t="str">
        <f>IF(Z5655="","",COUNTIF(#REF!,Z5655))</f>
        <v/>
      </c>
      <c r="AD5655" t="str">
        <f>IF(A5655="","",IF(AC5655&gt;1,"REVISAR DUPLICADO",IF(AA5655&lt;&gt;"","ACTUALIZADO POR EYR","SIN REPORTE EYR")))</f>
        <v/>
      </c>
    </row>
    <row r="5656" spans="11:30" x14ac:dyDescent="0.3">
      <c r="K5656" s="1" t="str">
        <f ca="1">IF(A5656="","",IF(OR(L5656="ENTREGADA",L5656="RETORNADA",L5656="ENTREGA DIGITAL"),0,MAX(0,5-NETWORKDAYS(H5656+1,TODAY()))))</f>
        <v/>
      </c>
      <c r="L5656" t="str">
        <f>IF(A5656="","",IFERROR(LOOKUP(2,1/(#REF!=Z5656),#REF!),Y5656))</f>
        <v/>
      </c>
      <c r="Z5656" t="str">
        <f>IF(A5656="","",TEXT(A5656,"0")&amp;"|"&amp;TEXT(H5656,"0"))</f>
        <v/>
      </c>
      <c r="AA5656" t="str">
        <f>IF(Z5656="","",IFERROR(LOOKUP(2,1/(#REF!=Z5656),#REF!),""))</f>
        <v/>
      </c>
      <c r="AB5656" t="str">
        <f>IF(Z5656="","",IFERROR(LOOKUP(2,1/(#REF!=Z5656),#REF!),""))</f>
        <v/>
      </c>
      <c r="AC5656" t="str">
        <f>IF(Z5656="","",COUNTIF(#REF!,Z5656))</f>
        <v/>
      </c>
      <c r="AD5656" t="str">
        <f>IF(A5656="","",IF(AC5656&gt;1,"REVISAR DUPLICADO",IF(AA5656&lt;&gt;"","ACTUALIZADO POR EYR","SIN REPORTE EYR")))</f>
        <v/>
      </c>
    </row>
    <row r="5657" spans="11:30" x14ac:dyDescent="0.3">
      <c r="K5657" s="1" t="str">
        <f ca="1">IF(A5657="","",IF(OR(L5657="ENTREGADA",L5657="RETORNADA",L5657="ENTREGA DIGITAL"),0,MAX(0,5-NETWORKDAYS(H5657+1,TODAY()))))</f>
        <v/>
      </c>
      <c r="L5657" t="str">
        <f>IF(A5657="","",IFERROR(LOOKUP(2,1/(#REF!=Z5657),#REF!),Y5657))</f>
        <v/>
      </c>
      <c r="Z5657" t="str">
        <f>IF(A5657="","",TEXT(A5657,"0")&amp;"|"&amp;TEXT(H5657,"0"))</f>
        <v/>
      </c>
      <c r="AA5657" t="str">
        <f>IF(Z5657="","",IFERROR(LOOKUP(2,1/(#REF!=Z5657),#REF!),""))</f>
        <v/>
      </c>
      <c r="AB5657" t="str">
        <f>IF(Z5657="","",IFERROR(LOOKUP(2,1/(#REF!=Z5657),#REF!),""))</f>
        <v/>
      </c>
      <c r="AC5657" t="str">
        <f>IF(Z5657="","",COUNTIF(#REF!,Z5657))</f>
        <v/>
      </c>
      <c r="AD5657" t="str">
        <f>IF(A5657="","",IF(AC5657&gt;1,"REVISAR DUPLICADO",IF(AA5657&lt;&gt;"","ACTUALIZADO POR EYR","SIN REPORTE EYR")))</f>
        <v/>
      </c>
    </row>
    <row r="5658" spans="11:30" x14ac:dyDescent="0.3">
      <c r="K5658" s="1" t="str">
        <f ca="1">IF(A5658="","",IF(OR(L5658="ENTREGADA",L5658="RETORNADA",L5658="ENTREGA DIGITAL"),0,MAX(0,5-NETWORKDAYS(H5658+1,TODAY()))))</f>
        <v/>
      </c>
      <c r="L5658" t="str">
        <f>IF(A5658="","",IFERROR(LOOKUP(2,1/(#REF!=Z5658),#REF!),Y5658))</f>
        <v/>
      </c>
      <c r="Z5658" t="str">
        <f>IF(A5658="","",TEXT(A5658,"0")&amp;"|"&amp;TEXT(H5658,"0"))</f>
        <v/>
      </c>
      <c r="AA5658" t="str">
        <f>IF(Z5658="","",IFERROR(LOOKUP(2,1/(#REF!=Z5658),#REF!),""))</f>
        <v/>
      </c>
      <c r="AB5658" t="str">
        <f>IF(Z5658="","",IFERROR(LOOKUP(2,1/(#REF!=Z5658),#REF!),""))</f>
        <v/>
      </c>
      <c r="AC5658" t="str">
        <f>IF(Z5658="","",COUNTIF(#REF!,Z5658))</f>
        <v/>
      </c>
      <c r="AD5658" t="str">
        <f>IF(A5658="","",IF(AC5658&gt;1,"REVISAR DUPLICADO",IF(AA5658&lt;&gt;"","ACTUALIZADO POR EYR","SIN REPORTE EYR")))</f>
        <v/>
      </c>
    </row>
    <row r="5659" spans="11:30" x14ac:dyDescent="0.3">
      <c r="K5659" s="1" t="str">
        <f ca="1">IF(A5659="","",IF(OR(L5659="ENTREGADA",L5659="RETORNADA",L5659="ENTREGA DIGITAL"),0,MAX(0,5-NETWORKDAYS(H5659+1,TODAY()))))</f>
        <v/>
      </c>
      <c r="L5659" t="str">
        <f>IF(A5659="","",IFERROR(LOOKUP(2,1/(#REF!=Z5659),#REF!),Y5659))</f>
        <v/>
      </c>
      <c r="Z5659" t="str">
        <f>IF(A5659="","",TEXT(A5659,"0")&amp;"|"&amp;TEXT(H5659,"0"))</f>
        <v/>
      </c>
      <c r="AA5659" t="str">
        <f>IF(Z5659="","",IFERROR(LOOKUP(2,1/(#REF!=Z5659),#REF!),""))</f>
        <v/>
      </c>
      <c r="AB5659" t="str">
        <f>IF(Z5659="","",IFERROR(LOOKUP(2,1/(#REF!=Z5659),#REF!),""))</f>
        <v/>
      </c>
      <c r="AC5659" t="str">
        <f>IF(Z5659="","",COUNTIF(#REF!,Z5659))</f>
        <v/>
      </c>
      <c r="AD5659" t="str">
        <f>IF(A5659="","",IF(AC5659&gt;1,"REVISAR DUPLICADO",IF(AA5659&lt;&gt;"","ACTUALIZADO POR EYR","SIN REPORTE EYR")))</f>
        <v/>
      </c>
    </row>
    <row r="5660" spans="11:30" x14ac:dyDescent="0.3">
      <c r="K5660" s="1" t="str">
        <f ca="1">IF(A5660="","",IF(OR(L5660="ENTREGADA",L5660="RETORNADA",L5660="ENTREGA DIGITAL"),0,MAX(0,5-NETWORKDAYS(H5660+1,TODAY()))))</f>
        <v/>
      </c>
      <c r="L5660" t="str">
        <f>IF(A5660="","",IFERROR(LOOKUP(2,1/(#REF!=Z5660),#REF!),Y5660))</f>
        <v/>
      </c>
      <c r="Z5660" t="str">
        <f>IF(A5660="","",TEXT(A5660,"0")&amp;"|"&amp;TEXT(H5660,"0"))</f>
        <v/>
      </c>
      <c r="AA5660" t="str">
        <f>IF(Z5660="","",IFERROR(LOOKUP(2,1/(#REF!=Z5660),#REF!),""))</f>
        <v/>
      </c>
      <c r="AB5660" t="str">
        <f>IF(Z5660="","",IFERROR(LOOKUP(2,1/(#REF!=Z5660),#REF!),""))</f>
        <v/>
      </c>
      <c r="AC5660" t="str">
        <f>IF(Z5660="","",COUNTIF(#REF!,Z5660))</f>
        <v/>
      </c>
      <c r="AD5660" t="str">
        <f>IF(A5660="","",IF(AC5660&gt;1,"REVISAR DUPLICADO",IF(AA5660&lt;&gt;"","ACTUALIZADO POR EYR","SIN REPORTE EYR")))</f>
        <v/>
      </c>
    </row>
    <row r="5661" spans="11:30" x14ac:dyDescent="0.3">
      <c r="K5661" s="1" t="str">
        <f ca="1">IF(A5661="","",IF(OR(L5661="ENTREGADA",L5661="RETORNADA",L5661="ENTREGA DIGITAL"),0,MAX(0,5-NETWORKDAYS(H5661+1,TODAY()))))</f>
        <v/>
      </c>
      <c r="L5661" t="str">
        <f>IF(A5661="","",IFERROR(LOOKUP(2,1/(#REF!=Z5661),#REF!),Y5661))</f>
        <v/>
      </c>
      <c r="Z5661" t="str">
        <f>IF(A5661="","",TEXT(A5661,"0")&amp;"|"&amp;TEXT(H5661,"0"))</f>
        <v/>
      </c>
      <c r="AA5661" t="str">
        <f>IF(Z5661="","",IFERROR(LOOKUP(2,1/(#REF!=Z5661),#REF!),""))</f>
        <v/>
      </c>
      <c r="AB5661" t="str">
        <f>IF(Z5661="","",IFERROR(LOOKUP(2,1/(#REF!=Z5661),#REF!),""))</f>
        <v/>
      </c>
      <c r="AC5661" t="str">
        <f>IF(Z5661="","",COUNTIF(#REF!,Z5661))</f>
        <v/>
      </c>
      <c r="AD5661" t="str">
        <f>IF(A5661="","",IF(AC5661&gt;1,"REVISAR DUPLICADO",IF(AA5661&lt;&gt;"","ACTUALIZADO POR EYR","SIN REPORTE EYR")))</f>
        <v/>
      </c>
    </row>
    <row r="5662" spans="11:30" x14ac:dyDescent="0.3">
      <c r="K5662" s="1" t="str">
        <f ca="1">IF(A5662="","",IF(OR(L5662="ENTREGADA",L5662="RETORNADA",L5662="ENTREGA DIGITAL"),0,MAX(0,5-NETWORKDAYS(H5662+1,TODAY()))))</f>
        <v/>
      </c>
      <c r="L5662" t="str">
        <f>IF(A5662="","",IFERROR(LOOKUP(2,1/(#REF!=Z5662),#REF!),Y5662))</f>
        <v/>
      </c>
      <c r="Z5662" t="str">
        <f>IF(A5662="","",TEXT(A5662,"0")&amp;"|"&amp;TEXT(H5662,"0"))</f>
        <v/>
      </c>
      <c r="AA5662" t="str">
        <f>IF(Z5662="","",IFERROR(LOOKUP(2,1/(#REF!=Z5662),#REF!),""))</f>
        <v/>
      </c>
      <c r="AB5662" t="str">
        <f>IF(Z5662="","",IFERROR(LOOKUP(2,1/(#REF!=Z5662),#REF!),""))</f>
        <v/>
      </c>
      <c r="AC5662" t="str">
        <f>IF(Z5662="","",COUNTIF(#REF!,Z5662))</f>
        <v/>
      </c>
      <c r="AD5662" t="str">
        <f>IF(A5662="","",IF(AC5662&gt;1,"REVISAR DUPLICADO",IF(AA5662&lt;&gt;"","ACTUALIZADO POR EYR","SIN REPORTE EYR")))</f>
        <v/>
      </c>
    </row>
    <row r="5663" spans="11:30" x14ac:dyDescent="0.3">
      <c r="K5663" s="1" t="str">
        <f ca="1">IF(A5663="","",IF(OR(L5663="ENTREGADA",L5663="RETORNADA",L5663="ENTREGA DIGITAL"),0,MAX(0,5-NETWORKDAYS(H5663+1,TODAY()))))</f>
        <v/>
      </c>
      <c r="L5663" t="str">
        <f>IF(A5663="","",IFERROR(LOOKUP(2,1/(#REF!=Z5663),#REF!),Y5663))</f>
        <v/>
      </c>
      <c r="Z5663" t="str">
        <f>IF(A5663="","",TEXT(A5663,"0")&amp;"|"&amp;TEXT(H5663,"0"))</f>
        <v/>
      </c>
      <c r="AA5663" t="str">
        <f>IF(Z5663="","",IFERROR(LOOKUP(2,1/(#REF!=Z5663),#REF!),""))</f>
        <v/>
      </c>
      <c r="AB5663" t="str">
        <f>IF(Z5663="","",IFERROR(LOOKUP(2,1/(#REF!=Z5663),#REF!),""))</f>
        <v/>
      </c>
      <c r="AC5663" t="str">
        <f>IF(Z5663="","",COUNTIF(#REF!,Z5663))</f>
        <v/>
      </c>
      <c r="AD5663" t="str">
        <f>IF(A5663="","",IF(AC5663&gt;1,"REVISAR DUPLICADO",IF(AA5663&lt;&gt;"","ACTUALIZADO POR EYR","SIN REPORTE EYR")))</f>
        <v/>
      </c>
    </row>
    <row r="5664" spans="11:30" x14ac:dyDescent="0.3">
      <c r="K5664" s="1" t="str">
        <f ca="1">IF(A5664="","",IF(OR(L5664="ENTREGADA",L5664="RETORNADA",L5664="ENTREGA DIGITAL"),0,MAX(0,5-NETWORKDAYS(H5664+1,TODAY()))))</f>
        <v/>
      </c>
      <c r="L5664" t="str">
        <f>IF(A5664="","",IFERROR(LOOKUP(2,1/(#REF!=Z5664),#REF!),Y5664))</f>
        <v/>
      </c>
      <c r="Z5664" t="str">
        <f>IF(A5664="","",TEXT(A5664,"0")&amp;"|"&amp;TEXT(H5664,"0"))</f>
        <v/>
      </c>
      <c r="AA5664" t="str">
        <f>IF(Z5664="","",IFERROR(LOOKUP(2,1/(#REF!=Z5664),#REF!),""))</f>
        <v/>
      </c>
      <c r="AB5664" t="str">
        <f>IF(Z5664="","",IFERROR(LOOKUP(2,1/(#REF!=Z5664),#REF!),""))</f>
        <v/>
      </c>
      <c r="AC5664" t="str">
        <f>IF(Z5664="","",COUNTIF(#REF!,Z5664))</f>
        <v/>
      </c>
      <c r="AD5664" t="str">
        <f>IF(A5664="","",IF(AC5664&gt;1,"REVISAR DUPLICADO",IF(AA5664&lt;&gt;"","ACTUALIZADO POR EYR","SIN REPORTE EYR")))</f>
        <v/>
      </c>
    </row>
    <row r="5665" spans="11:30" x14ac:dyDescent="0.3">
      <c r="K5665" s="1" t="str">
        <f ca="1">IF(A5665="","",IF(OR(L5665="ENTREGADA",L5665="RETORNADA",L5665="ENTREGA DIGITAL"),0,MAX(0,5-NETWORKDAYS(H5665+1,TODAY()))))</f>
        <v/>
      </c>
      <c r="L5665" t="str">
        <f>IF(A5665="","",IFERROR(LOOKUP(2,1/(#REF!=Z5665),#REF!),Y5665))</f>
        <v/>
      </c>
      <c r="Z5665" t="str">
        <f>IF(A5665="","",TEXT(A5665,"0")&amp;"|"&amp;TEXT(H5665,"0"))</f>
        <v/>
      </c>
      <c r="AA5665" t="str">
        <f>IF(Z5665="","",IFERROR(LOOKUP(2,1/(#REF!=Z5665),#REF!),""))</f>
        <v/>
      </c>
      <c r="AB5665" t="str">
        <f>IF(Z5665="","",IFERROR(LOOKUP(2,1/(#REF!=Z5665),#REF!),""))</f>
        <v/>
      </c>
      <c r="AC5665" t="str">
        <f>IF(Z5665="","",COUNTIF(#REF!,Z5665))</f>
        <v/>
      </c>
      <c r="AD5665" t="str">
        <f>IF(A5665="","",IF(AC5665&gt;1,"REVISAR DUPLICADO",IF(AA5665&lt;&gt;"","ACTUALIZADO POR EYR","SIN REPORTE EYR")))</f>
        <v/>
      </c>
    </row>
    <row r="5666" spans="11:30" x14ac:dyDescent="0.3">
      <c r="K5666" s="1" t="str">
        <f ca="1">IF(A5666="","",IF(OR(L5666="ENTREGADA",L5666="RETORNADA",L5666="ENTREGA DIGITAL"),0,MAX(0,5-NETWORKDAYS(H5666+1,TODAY()))))</f>
        <v/>
      </c>
      <c r="L5666" t="str">
        <f>IF(A5666="","",IFERROR(LOOKUP(2,1/(#REF!=Z5666),#REF!),Y5666))</f>
        <v/>
      </c>
      <c r="Z5666" t="str">
        <f>IF(A5666="","",TEXT(A5666,"0")&amp;"|"&amp;TEXT(H5666,"0"))</f>
        <v/>
      </c>
      <c r="AA5666" t="str">
        <f>IF(Z5666="","",IFERROR(LOOKUP(2,1/(#REF!=Z5666),#REF!),""))</f>
        <v/>
      </c>
      <c r="AB5666" t="str">
        <f>IF(Z5666="","",IFERROR(LOOKUP(2,1/(#REF!=Z5666),#REF!),""))</f>
        <v/>
      </c>
      <c r="AC5666" t="str">
        <f>IF(Z5666="","",COUNTIF(#REF!,Z5666))</f>
        <v/>
      </c>
      <c r="AD5666" t="str">
        <f>IF(A5666="","",IF(AC5666&gt;1,"REVISAR DUPLICADO",IF(AA5666&lt;&gt;"","ACTUALIZADO POR EYR","SIN REPORTE EYR")))</f>
        <v/>
      </c>
    </row>
    <row r="5667" spans="11:30" x14ac:dyDescent="0.3">
      <c r="K5667" s="1" t="str">
        <f ca="1">IF(A5667="","",IF(OR(L5667="ENTREGADA",L5667="RETORNADA",L5667="ENTREGA DIGITAL"),0,MAX(0,5-NETWORKDAYS(H5667+1,TODAY()))))</f>
        <v/>
      </c>
      <c r="L5667" t="str">
        <f>IF(A5667="","",IFERROR(LOOKUP(2,1/(#REF!=Z5667),#REF!),Y5667))</f>
        <v/>
      </c>
      <c r="Z5667" t="str">
        <f>IF(A5667="","",TEXT(A5667,"0")&amp;"|"&amp;TEXT(H5667,"0"))</f>
        <v/>
      </c>
      <c r="AA5667" t="str">
        <f>IF(Z5667="","",IFERROR(LOOKUP(2,1/(#REF!=Z5667),#REF!),""))</f>
        <v/>
      </c>
      <c r="AB5667" t="str">
        <f>IF(Z5667="","",IFERROR(LOOKUP(2,1/(#REF!=Z5667),#REF!),""))</f>
        <v/>
      </c>
      <c r="AC5667" t="str">
        <f>IF(Z5667="","",COUNTIF(#REF!,Z5667))</f>
        <v/>
      </c>
      <c r="AD5667" t="str">
        <f>IF(A5667="","",IF(AC5667&gt;1,"REVISAR DUPLICADO",IF(AA5667&lt;&gt;"","ACTUALIZADO POR EYR","SIN REPORTE EYR")))</f>
        <v/>
      </c>
    </row>
    <row r="5668" spans="11:30" x14ac:dyDescent="0.3">
      <c r="K5668" s="1" t="str">
        <f ca="1">IF(A5668="","",IF(OR(L5668="ENTREGADA",L5668="RETORNADA",L5668="ENTREGA DIGITAL"),0,MAX(0,5-NETWORKDAYS(H5668+1,TODAY()))))</f>
        <v/>
      </c>
      <c r="L5668" t="str">
        <f>IF(A5668="","",IFERROR(LOOKUP(2,1/(#REF!=Z5668),#REF!),Y5668))</f>
        <v/>
      </c>
      <c r="Z5668" t="str">
        <f>IF(A5668="","",TEXT(A5668,"0")&amp;"|"&amp;TEXT(H5668,"0"))</f>
        <v/>
      </c>
      <c r="AA5668" t="str">
        <f>IF(Z5668="","",IFERROR(LOOKUP(2,1/(#REF!=Z5668),#REF!),""))</f>
        <v/>
      </c>
      <c r="AB5668" t="str">
        <f>IF(Z5668="","",IFERROR(LOOKUP(2,1/(#REF!=Z5668),#REF!),""))</f>
        <v/>
      </c>
      <c r="AC5668" t="str">
        <f>IF(Z5668="","",COUNTIF(#REF!,Z5668))</f>
        <v/>
      </c>
      <c r="AD5668" t="str">
        <f>IF(A5668="","",IF(AC5668&gt;1,"REVISAR DUPLICADO",IF(AA5668&lt;&gt;"","ACTUALIZADO POR EYR","SIN REPORTE EYR")))</f>
        <v/>
      </c>
    </row>
    <row r="5669" spans="11:30" x14ac:dyDescent="0.3">
      <c r="K5669" s="1" t="str">
        <f ca="1">IF(A5669="","",IF(OR(L5669="ENTREGADA",L5669="RETORNADA",L5669="ENTREGA DIGITAL"),0,MAX(0,5-NETWORKDAYS(H5669+1,TODAY()))))</f>
        <v/>
      </c>
      <c r="L5669" t="str">
        <f>IF(A5669="","",IFERROR(LOOKUP(2,1/(#REF!=Z5669),#REF!),Y5669))</f>
        <v/>
      </c>
      <c r="Z5669" t="str">
        <f>IF(A5669="","",TEXT(A5669,"0")&amp;"|"&amp;TEXT(H5669,"0"))</f>
        <v/>
      </c>
      <c r="AA5669" t="str">
        <f>IF(Z5669="","",IFERROR(LOOKUP(2,1/(#REF!=Z5669),#REF!),""))</f>
        <v/>
      </c>
      <c r="AB5669" t="str">
        <f>IF(Z5669="","",IFERROR(LOOKUP(2,1/(#REF!=Z5669),#REF!),""))</f>
        <v/>
      </c>
      <c r="AC5669" t="str">
        <f>IF(Z5669="","",COUNTIF(#REF!,Z5669))</f>
        <v/>
      </c>
      <c r="AD5669" t="str">
        <f>IF(A5669="","",IF(AC5669&gt;1,"REVISAR DUPLICADO",IF(AA5669&lt;&gt;"","ACTUALIZADO POR EYR","SIN REPORTE EYR")))</f>
        <v/>
      </c>
    </row>
    <row r="5670" spans="11:30" x14ac:dyDescent="0.3">
      <c r="K5670" s="1" t="str">
        <f ca="1">IF(A5670="","",IF(OR(L5670="ENTREGADA",L5670="RETORNADA",L5670="ENTREGA DIGITAL"),0,MAX(0,5-NETWORKDAYS(H5670+1,TODAY()))))</f>
        <v/>
      </c>
      <c r="L5670" t="str">
        <f>IF(A5670="","",IFERROR(LOOKUP(2,1/(#REF!=Z5670),#REF!),Y5670))</f>
        <v/>
      </c>
      <c r="Z5670" t="str">
        <f>IF(A5670="","",TEXT(A5670,"0")&amp;"|"&amp;TEXT(H5670,"0"))</f>
        <v/>
      </c>
      <c r="AA5670" t="str">
        <f>IF(Z5670="","",IFERROR(LOOKUP(2,1/(#REF!=Z5670),#REF!),""))</f>
        <v/>
      </c>
      <c r="AB5670" t="str">
        <f>IF(Z5670="","",IFERROR(LOOKUP(2,1/(#REF!=Z5670),#REF!),""))</f>
        <v/>
      </c>
      <c r="AC5670" t="str">
        <f>IF(Z5670="","",COUNTIF(#REF!,Z5670))</f>
        <v/>
      </c>
      <c r="AD5670" t="str">
        <f>IF(A5670="","",IF(AC5670&gt;1,"REVISAR DUPLICADO",IF(AA5670&lt;&gt;"","ACTUALIZADO POR EYR","SIN REPORTE EYR")))</f>
        <v/>
      </c>
    </row>
    <row r="5671" spans="11:30" x14ac:dyDescent="0.3">
      <c r="K5671" s="1" t="str">
        <f ca="1">IF(A5671="","",IF(OR(L5671="ENTREGADA",L5671="RETORNADA",L5671="ENTREGA DIGITAL"),0,MAX(0,5-NETWORKDAYS(H5671+1,TODAY()))))</f>
        <v/>
      </c>
      <c r="L5671" t="str">
        <f>IF(A5671="","",IFERROR(LOOKUP(2,1/(#REF!=Z5671),#REF!),Y5671))</f>
        <v/>
      </c>
      <c r="Z5671" t="str">
        <f>IF(A5671="","",TEXT(A5671,"0")&amp;"|"&amp;TEXT(H5671,"0"))</f>
        <v/>
      </c>
      <c r="AA5671" t="str">
        <f>IF(Z5671="","",IFERROR(LOOKUP(2,1/(#REF!=Z5671),#REF!),""))</f>
        <v/>
      </c>
      <c r="AB5671" t="str">
        <f>IF(Z5671="","",IFERROR(LOOKUP(2,1/(#REF!=Z5671),#REF!),""))</f>
        <v/>
      </c>
      <c r="AC5671" t="str">
        <f>IF(Z5671="","",COUNTIF(#REF!,Z5671))</f>
        <v/>
      </c>
      <c r="AD5671" t="str">
        <f>IF(A5671="","",IF(AC5671&gt;1,"REVISAR DUPLICADO",IF(AA5671&lt;&gt;"","ACTUALIZADO POR EYR","SIN REPORTE EYR")))</f>
        <v/>
      </c>
    </row>
    <row r="5672" spans="11:30" x14ac:dyDescent="0.3">
      <c r="K5672" s="1" t="str">
        <f ca="1">IF(A5672="","",IF(OR(L5672="ENTREGADA",L5672="RETORNADA",L5672="ENTREGA DIGITAL"),0,MAX(0,5-NETWORKDAYS(H5672+1,TODAY()))))</f>
        <v/>
      </c>
      <c r="L5672" t="str">
        <f>IF(A5672="","",IFERROR(LOOKUP(2,1/(#REF!=Z5672),#REF!),Y5672))</f>
        <v/>
      </c>
      <c r="Z5672" t="str">
        <f>IF(A5672="","",TEXT(A5672,"0")&amp;"|"&amp;TEXT(H5672,"0"))</f>
        <v/>
      </c>
      <c r="AA5672" t="str">
        <f>IF(Z5672="","",IFERROR(LOOKUP(2,1/(#REF!=Z5672),#REF!),""))</f>
        <v/>
      </c>
      <c r="AB5672" t="str">
        <f>IF(Z5672="","",IFERROR(LOOKUP(2,1/(#REF!=Z5672),#REF!),""))</f>
        <v/>
      </c>
      <c r="AC5672" t="str">
        <f>IF(Z5672="","",COUNTIF(#REF!,Z5672))</f>
        <v/>
      </c>
      <c r="AD5672" t="str">
        <f>IF(A5672="","",IF(AC5672&gt;1,"REVISAR DUPLICADO",IF(AA5672&lt;&gt;"","ACTUALIZADO POR EYR","SIN REPORTE EYR")))</f>
        <v/>
      </c>
    </row>
    <row r="5673" spans="11:30" x14ac:dyDescent="0.3">
      <c r="K5673" s="1" t="str">
        <f ca="1">IF(A5673="","",IF(OR(L5673="ENTREGADA",L5673="RETORNADA",L5673="ENTREGA DIGITAL"),0,MAX(0,5-NETWORKDAYS(H5673+1,TODAY()))))</f>
        <v/>
      </c>
      <c r="L5673" t="str">
        <f>IF(A5673="","",IFERROR(LOOKUP(2,1/(#REF!=Z5673),#REF!),Y5673))</f>
        <v/>
      </c>
      <c r="Z5673" t="str">
        <f>IF(A5673="","",TEXT(A5673,"0")&amp;"|"&amp;TEXT(H5673,"0"))</f>
        <v/>
      </c>
      <c r="AA5673" t="str">
        <f>IF(Z5673="","",IFERROR(LOOKUP(2,1/(#REF!=Z5673),#REF!),""))</f>
        <v/>
      </c>
      <c r="AB5673" t="str">
        <f>IF(Z5673="","",IFERROR(LOOKUP(2,1/(#REF!=Z5673),#REF!),""))</f>
        <v/>
      </c>
      <c r="AC5673" t="str">
        <f>IF(Z5673="","",COUNTIF(#REF!,Z5673))</f>
        <v/>
      </c>
      <c r="AD5673" t="str">
        <f>IF(A5673="","",IF(AC5673&gt;1,"REVISAR DUPLICADO",IF(AA5673&lt;&gt;"","ACTUALIZADO POR EYR","SIN REPORTE EYR")))</f>
        <v/>
      </c>
    </row>
    <row r="5674" spans="11:30" x14ac:dyDescent="0.3">
      <c r="K5674" s="1" t="str">
        <f ca="1">IF(A5674="","",IF(OR(L5674="ENTREGADA",L5674="RETORNADA",L5674="ENTREGA DIGITAL"),0,MAX(0,5-NETWORKDAYS(H5674+1,TODAY()))))</f>
        <v/>
      </c>
      <c r="L5674" t="str">
        <f>IF(A5674="","",IFERROR(LOOKUP(2,1/(#REF!=Z5674),#REF!),Y5674))</f>
        <v/>
      </c>
      <c r="Z5674" t="str">
        <f>IF(A5674="","",TEXT(A5674,"0")&amp;"|"&amp;TEXT(H5674,"0"))</f>
        <v/>
      </c>
      <c r="AA5674" t="str">
        <f>IF(Z5674="","",IFERROR(LOOKUP(2,1/(#REF!=Z5674),#REF!),""))</f>
        <v/>
      </c>
      <c r="AB5674" t="str">
        <f>IF(Z5674="","",IFERROR(LOOKUP(2,1/(#REF!=Z5674),#REF!),""))</f>
        <v/>
      </c>
      <c r="AC5674" t="str">
        <f>IF(Z5674="","",COUNTIF(#REF!,Z5674))</f>
        <v/>
      </c>
      <c r="AD5674" t="str">
        <f>IF(A5674="","",IF(AC5674&gt;1,"REVISAR DUPLICADO",IF(AA5674&lt;&gt;"","ACTUALIZADO POR EYR","SIN REPORTE EYR")))</f>
        <v/>
      </c>
    </row>
    <row r="5675" spans="11:30" x14ac:dyDescent="0.3">
      <c r="K5675" s="1" t="str">
        <f ca="1">IF(A5675="","",IF(OR(L5675="ENTREGADA",L5675="RETORNADA",L5675="ENTREGA DIGITAL"),0,MAX(0,5-NETWORKDAYS(H5675+1,TODAY()))))</f>
        <v/>
      </c>
      <c r="L5675" t="str">
        <f>IF(A5675="","",IFERROR(LOOKUP(2,1/(#REF!=Z5675),#REF!),Y5675))</f>
        <v/>
      </c>
      <c r="Z5675" t="str">
        <f>IF(A5675="","",TEXT(A5675,"0")&amp;"|"&amp;TEXT(H5675,"0"))</f>
        <v/>
      </c>
      <c r="AA5675" t="str">
        <f>IF(Z5675="","",IFERROR(LOOKUP(2,1/(#REF!=Z5675),#REF!),""))</f>
        <v/>
      </c>
      <c r="AB5675" t="str">
        <f>IF(Z5675="","",IFERROR(LOOKUP(2,1/(#REF!=Z5675),#REF!),""))</f>
        <v/>
      </c>
      <c r="AC5675" t="str">
        <f>IF(Z5675="","",COUNTIF(#REF!,Z5675))</f>
        <v/>
      </c>
      <c r="AD5675" t="str">
        <f>IF(A5675="","",IF(AC5675&gt;1,"REVISAR DUPLICADO",IF(AA5675&lt;&gt;"","ACTUALIZADO POR EYR","SIN REPORTE EYR")))</f>
        <v/>
      </c>
    </row>
    <row r="5676" spans="11:30" x14ac:dyDescent="0.3">
      <c r="K5676" s="1" t="str">
        <f ca="1">IF(A5676="","",IF(OR(L5676="ENTREGADA",L5676="RETORNADA",L5676="ENTREGA DIGITAL"),0,MAX(0,5-NETWORKDAYS(H5676+1,TODAY()))))</f>
        <v/>
      </c>
      <c r="L5676" t="str">
        <f>IF(A5676="","",IFERROR(LOOKUP(2,1/(#REF!=Z5676),#REF!),Y5676))</f>
        <v/>
      </c>
      <c r="Z5676" t="str">
        <f>IF(A5676="","",TEXT(A5676,"0")&amp;"|"&amp;TEXT(H5676,"0"))</f>
        <v/>
      </c>
      <c r="AA5676" t="str">
        <f>IF(Z5676="","",IFERROR(LOOKUP(2,1/(#REF!=Z5676),#REF!),""))</f>
        <v/>
      </c>
      <c r="AB5676" t="str">
        <f>IF(Z5676="","",IFERROR(LOOKUP(2,1/(#REF!=Z5676),#REF!),""))</f>
        <v/>
      </c>
      <c r="AC5676" t="str">
        <f>IF(Z5676="","",COUNTIF(#REF!,Z5676))</f>
        <v/>
      </c>
      <c r="AD5676" t="str">
        <f>IF(A5676="","",IF(AC5676&gt;1,"REVISAR DUPLICADO",IF(AA5676&lt;&gt;"","ACTUALIZADO POR EYR","SIN REPORTE EYR")))</f>
        <v/>
      </c>
    </row>
    <row r="5677" spans="11:30" x14ac:dyDescent="0.3">
      <c r="K5677" s="1" t="str">
        <f ca="1">IF(A5677="","",IF(OR(L5677="ENTREGADA",L5677="RETORNADA",L5677="ENTREGA DIGITAL"),0,MAX(0,5-NETWORKDAYS(H5677+1,TODAY()))))</f>
        <v/>
      </c>
      <c r="L5677" t="str">
        <f>IF(A5677="","",IFERROR(LOOKUP(2,1/(#REF!=Z5677),#REF!),Y5677))</f>
        <v/>
      </c>
      <c r="Z5677" t="str">
        <f>IF(A5677="","",TEXT(A5677,"0")&amp;"|"&amp;TEXT(H5677,"0"))</f>
        <v/>
      </c>
      <c r="AA5677" t="str">
        <f>IF(Z5677="","",IFERROR(LOOKUP(2,1/(#REF!=Z5677),#REF!),""))</f>
        <v/>
      </c>
      <c r="AB5677" t="str">
        <f>IF(Z5677="","",IFERROR(LOOKUP(2,1/(#REF!=Z5677),#REF!),""))</f>
        <v/>
      </c>
      <c r="AC5677" t="str">
        <f>IF(Z5677="","",COUNTIF(#REF!,Z5677))</f>
        <v/>
      </c>
      <c r="AD5677" t="str">
        <f>IF(A5677="","",IF(AC5677&gt;1,"REVISAR DUPLICADO",IF(AA5677&lt;&gt;"","ACTUALIZADO POR EYR","SIN REPORTE EYR")))</f>
        <v/>
      </c>
    </row>
    <row r="5678" spans="11:30" x14ac:dyDescent="0.3">
      <c r="K5678" s="1" t="str">
        <f ca="1">IF(A5678="","",IF(OR(L5678="ENTREGADA",L5678="RETORNADA",L5678="ENTREGA DIGITAL"),0,MAX(0,5-NETWORKDAYS(H5678+1,TODAY()))))</f>
        <v/>
      </c>
      <c r="L5678" t="str">
        <f>IF(A5678="","",IFERROR(LOOKUP(2,1/(#REF!=Z5678),#REF!),Y5678))</f>
        <v/>
      </c>
      <c r="Z5678" t="str">
        <f>IF(A5678="","",TEXT(A5678,"0")&amp;"|"&amp;TEXT(H5678,"0"))</f>
        <v/>
      </c>
      <c r="AA5678" t="str">
        <f>IF(Z5678="","",IFERROR(LOOKUP(2,1/(#REF!=Z5678),#REF!),""))</f>
        <v/>
      </c>
      <c r="AB5678" t="str">
        <f>IF(Z5678="","",IFERROR(LOOKUP(2,1/(#REF!=Z5678),#REF!),""))</f>
        <v/>
      </c>
      <c r="AC5678" t="str">
        <f>IF(Z5678="","",COUNTIF(#REF!,Z5678))</f>
        <v/>
      </c>
      <c r="AD5678" t="str">
        <f>IF(A5678="","",IF(AC5678&gt;1,"REVISAR DUPLICADO",IF(AA5678&lt;&gt;"","ACTUALIZADO POR EYR","SIN REPORTE EYR")))</f>
        <v/>
      </c>
    </row>
    <row r="5679" spans="11:30" x14ac:dyDescent="0.3">
      <c r="K5679" s="1" t="str">
        <f ca="1">IF(A5679="","",IF(OR(L5679="ENTREGADA",L5679="RETORNADA",L5679="ENTREGA DIGITAL"),0,MAX(0,5-NETWORKDAYS(H5679+1,TODAY()))))</f>
        <v/>
      </c>
      <c r="L5679" t="str">
        <f>IF(A5679="","",IFERROR(LOOKUP(2,1/(#REF!=Z5679),#REF!),Y5679))</f>
        <v/>
      </c>
      <c r="Z5679" t="str">
        <f>IF(A5679="","",TEXT(A5679,"0")&amp;"|"&amp;TEXT(H5679,"0"))</f>
        <v/>
      </c>
      <c r="AA5679" t="str">
        <f>IF(Z5679="","",IFERROR(LOOKUP(2,1/(#REF!=Z5679),#REF!),""))</f>
        <v/>
      </c>
      <c r="AB5679" t="str">
        <f>IF(Z5679="","",IFERROR(LOOKUP(2,1/(#REF!=Z5679),#REF!),""))</f>
        <v/>
      </c>
      <c r="AC5679" t="str">
        <f>IF(Z5679="","",COUNTIF(#REF!,Z5679))</f>
        <v/>
      </c>
      <c r="AD5679" t="str">
        <f>IF(A5679="","",IF(AC5679&gt;1,"REVISAR DUPLICADO",IF(AA5679&lt;&gt;"","ACTUALIZADO POR EYR","SIN REPORTE EYR")))</f>
        <v/>
      </c>
    </row>
    <row r="5680" spans="11:30" x14ac:dyDescent="0.3">
      <c r="K5680" s="1" t="str">
        <f ca="1">IF(A5680="","",IF(OR(L5680="ENTREGADA",L5680="RETORNADA",L5680="ENTREGA DIGITAL"),0,MAX(0,5-NETWORKDAYS(H5680+1,TODAY()))))</f>
        <v/>
      </c>
      <c r="L5680" t="str">
        <f>IF(A5680="","",IFERROR(LOOKUP(2,1/(#REF!=Z5680),#REF!),Y5680))</f>
        <v/>
      </c>
      <c r="Z5680" t="str">
        <f>IF(A5680="","",TEXT(A5680,"0")&amp;"|"&amp;TEXT(H5680,"0"))</f>
        <v/>
      </c>
      <c r="AA5680" t="str">
        <f>IF(Z5680="","",IFERROR(LOOKUP(2,1/(#REF!=Z5680),#REF!),""))</f>
        <v/>
      </c>
      <c r="AB5680" t="str">
        <f>IF(Z5680="","",IFERROR(LOOKUP(2,1/(#REF!=Z5680),#REF!),""))</f>
        <v/>
      </c>
      <c r="AC5680" t="str">
        <f>IF(Z5680="","",COUNTIF(#REF!,Z5680))</f>
        <v/>
      </c>
      <c r="AD5680" t="str">
        <f>IF(A5680="","",IF(AC5680&gt;1,"REVISAR DUPLICADO",IF(AA5680&lt;&gt;"","ACTUALIZADO POR EYR","SIN REPORTE EYR")))</f>
        <v/>
      </c>
    </row>
    <row r="5681" spans="11:30" x14ac:dyDescent="0.3">
      <c r="K5681" s="1" t="str">
        <f ca="1">IF(A5681="","",IF(OR(L5681="ENTREGADA",L5681="RETORNADA",L5681="ENTREGA DIGITAL"),0,MAX(0,5-NETWORKDAYS(H5681+1,TODAY()))))</f>
        <v/>
      </c>
      <c r="L5681" t="str">
        <f>IF(A5681="","",IFERROR(LOOKUP(2,1/(#REF!=Z5681),#REF!),Y5681))</f>
        <v/>
      </c>
      <c r="Z5681" t="str">
        <f>IF(A5681="","",TEXT(A5681,"0")&amp;"|"&amp;TEXT(H5681,"0"))</f>
        <v/>
      </c>
      <c r="AA5681" t="str">
        <f>IF(Z5681="","",IFERROR(LOOKUP(2,1/(#REF!=Z5681),#REF!),""))</f>
        <v/>
      </c>
      <c r="AB5681" t="str">
        <f>IF(Z5681="","",IFERROR(LOOKUP(2,1/(#REF!=Z5681),#REF!),""))</f>
        <v/>
      </c>
      <c r="AC5681" t="str">
        <f>IF(Z5681="","",COUNTIF(#REF!,Z5681))</f>
        <v/>
      </c>
      <c r="AD5681" t="str">
        <f>IF(A5681="","",IF(AC5681&gt;1,"REVISAR DUPLICADO",IF(AA5681&lt;&gt;"","ACTUALIZADO POR EYR","SIN REPORTE EYR")))</f>
        <v/>
      </c>
    </row>
    <row r="5682" spans="11:30" x14ac:dyDescent="0.3">
      <c r="K5682" s="1" t="str">
        <f ca="1">IF(A5682="","",IF(OR(L5682="ENTREGADA",L5682="RETORNADA",L5682="ENTREGA DIGITAL"),0,MAX(0,5-NETWORKDAYS(H5682+1,TODAY()))))</f>
        <v/>
      </c>
      <c r="L5682" t="str">
        <f>IF(A5682="","",IFERROR(LOOKUP(2,1/(#REF!=Z5682),#REF!),Y5682))</f>
        <v/>
      </c>
      <c r="Z5682" t="str">
        <f>IF(A5682="","",TEXT(A5682,"0")&amp;"|"&amp;TEXT(H5682,"0"))</f>
        <v/>
      </c>
      <c r="AA5682" t="str">
        <f>IF(Z5682="","",IFERROR(LOOKUP(2,1/(#REF!=Z5682),#REF!),""))</f>
        <v/>
      </c>
      <c r="AB5682" t="str">
        <f>IF(Z5682="","",IFERROR(LOOKUP(2,1/(#REF!=Z5682),#REF!),""))</f>
        <v/>
      </c>
      <c r="AC5682" t="str">
        <f>IF(Z5682="","",COUNTIF(#REF!,Z5682))</f>
        <v/>
      </c>
      <c r="AD5682" t="str">
        <f>IF(A5682="","",IF(AC5682&gt;1,"REVISAR DUPLICADO",IF(AA5682&lt;&gt;"","ACTUALIZADO POR EYR","SIN REPORTE EYR")))</f>
        <v/>
      </c>
    </row>
    <row r="5683" spans="11:30" x14ac:dyDescent="0.3">
      <c r="K5683" s="1" t="str">
        <f ca="1">IF(A5683="","",IF(OR(L5683="ENTREGADA",L5683="RETORNADA",L5683="ENTREGA DIGITAL"),0,MAX(0,5-NETWORKDAYS(H5683+1,TODAY()))))</f>
        <v/>
      </c>
      <c r="L5683" t="str">
        <f>IF(A5683="","",IFERROR(LOOKUP(2,1/(#REF!=Z5683),#REF!),Y5683))</f>
        <v/>
      </c>
      <c r="Z5683" t="str">
        <f>IF(A5683="","",TEXT(A5683,"0")&amp;"|"&amp;TEXT(H5683,"0"))</f>
        <v/>
      </c>
      <c r="AA5683" t="str">
        <f>IF(Z5683="","",IFERROR(LOOKUP(2,1/(#REF!=Z5683),#REF!),""))</f>
        <v/>
      </c>
      <c r="AB5683" t="str">
        <f>IF(Z5683="","",IFERROR(LOOKUP(2,1/(#REF!=Z5683),#REF!),""))</f>
        <v/>
      </c>
      <c r="AC5683" t="str">
        <f>IF(Z5683="","",COUNTIF(#REF!,Z5683))</f>
        <v/>
      </c>
      <c r="AD5683" t="str">
        <f>IF(A5683="","",IF(AC5683&gt;1,"REVISAR DUPLICADO",IF(AA5683&lt;&gt;"","ACTUALIZADO POR EYR","SIN REPORTE EYR")))</f>
        <v/>
      </c>
    </row>
    <row r="5684" spans="11:30" x14ac:dyDescent="0.3">
      <c r="K5684" s="1" t="str">
        <f ca="1">IF(A5684="","",IF(OR(L5684="ENTREGADA",L5684="RETORNADA",L5684="ENTREGA DIGITAL"),0,MAX(0,5-NETWORKDAYS(H5684+1,TODAY()))))</f>
        <v/>
      </c>
      <c r="L5684" t="str">
        <f>IF(A5684="","",IFERROR(LOOKUP(2,1/(#REF!=Z5684),#REF!),Y5684))</f>
        <v/>
      </c>
      <c r="Z5684" t="str">
        <f>IF(A5684="","",TEXT(A5684,"0")&amp;"|"&amp;TEXT(H5684,"0"))</f>
        <v/>
      </c>
      <c r="AA5684" t="str">
        <f>IF(Z5684="","",IFERROR(LOOKUP(2,1/(#REF!=Z5684),#REF!),""))</f>
        <v/>
      </c>
      <c r="AB5684" t="str">
        <f>IF(Z5684="","",IFERROR(LOOKUP(2,1/(#REF!=Z5684),#REF!),""))</f>
        <v/>
      </c>
      <c r="AC5684" t="str">
        <f>IF(Z5684="","",COUNTIF(#REF!,Z5684))</f>
        <v/>
      </c>
      <c r="AD5684" t="str">
        <f>IF(A5684="","",IF(AC5684&gt;1,"REVISAR DUPLICADO",IF(AA5684&lt;&gt;"","ACTUALIZADO POR EYR","SIN REPORTE EYR")))</f>
        <v/>
      </c>
    </row>
    <row r="5685" spans="11:30" x14ac:dyDescent="0.3">
      <c r="K5685" s="1" t="str">
        <f ca="1">IF(A5685="","",IF(OR(L5685="ENTREGADA",L5685="RETORNADA",L5685="ENTREGA DIGITAL"),0,MAX(0,5-NETWORKDAYS(H5685+1,TODAY()))))</f>
        <v/>
      </c>
      <c r="L5685" t="str">
        <f>IF(A5685="","",IFERROR(LOOKUP(2,1/(#REF!=Z5685),#REF!),Y5685))</f>
        <v/>
      </c>
      <c r="Z5685" t="str">
        <f>IF(A5685="","",TEXT(A5685,"0")&amp;"|"&amp;TEXT(H5685,"0"))</f>
        <v/>
      </c>
      <c r="AA5685" t="str">
        <f>IF(Z5685="","",IFERROR(LOOKUP(2,1/(#REF!=Z5685),#REF!),""))</f>
        <v/>
      </c>
      <c r="AB5685" t="str">
        <f>IF(Z5685="","",IFERROR(LOOKUP(2,1/(#REF!=Z5685),#REF!),""))</f>
        <v/>
      </c>
      <c r="AC5685" t="str">
        <f>IF(Z5685="","",COUNTIF(#REF!,Z5685))</f>
        <v/>
      </c>
      <c r="AD5685" t="str">
        <f>IF(A5685="","",IF(AC5685&gt;1,"REVISAR DUPLICADO",IF(AA5685&lt;&gt;"","ACTUALIZADO POR EYR","SIN REPORTE EYR")))</f>
        <v/>
      </c>
    </row>
    <row r="5686" spans="11:30" x14ac:dyDescent="0.3">
      <c r="K5686" s="1" t="str">
        <f ca="1">IF(A5686="","",IF(OR(L5686="ENTREGADA",L5686="RETORNADA",L5686="ENTREGA DIGITAL"),0,MAX(0,5-NETWORKDAYS(H5686+1,TODAY()))))</f>
        <v/>
      </c>
      <c r="L5686" t="str">
        <f>IF(A5686="","",IFERROR(LOOKUP(2,1/(#REF!=Z5686),#REF!),Y5686))</f>
        <v/>
      </c>
      <c r="Z5686" t="str">
        <f>IF(A5686="","",TEXT(A5686,"0")&amp;"|"&amp;TEXT(H5686,"0"))</f>
        <v/>
      </c>
      <c r="AA5686" t="str">
        <f>IF(Z5686="","",IFERROR(LOOKUP(2,1/(#REF!=Z5686),#REF!),""))</f>
        <v/>
      </c>
      <c r="AB5686" t="str">
        <f>IF(Z5686="","",IFERROR(LOOKUP(2,1/(#REF!=Z5686),#REF!),""))</f>
        <v/>
      </c>
      <c r="AC5686" t="str">
        <f>IF(Z5686="","",COUNTIF(#REF!,Z5686))</f>
        <v/>
      </c>
      <c r="AD5686" t="str">
        <f>IF(A5686="","",IF(AC5686&gt;1,"REVISAR DUPLICADO",IF(AA5686&lt;&gt;"","ACTUALIZADO POR EYR","SIN REPORTE EYR")))</f>
        <v/>
      </c>
    </row>
    <row r="5687" spans="11:30" x14ac:dyDescent="0.3">
      <c r="K5687" s="1" t="str">
        <f ca="1">IF(A5687="","",IF(OR(L5687="ENTREGADA",L5687="RETORNADA",L5687="ENTREGA DIGITAL"),0,MAX(0,5-NETWORKDAYS(H5687+1,TODAY()))))</f>
        <v/>
      </c>
      <c r="L5687" t="str">
        <f>IF(A5687="","",IFERROR(LOOKUP(2,1/(#REF!=Z5687),#REF!),Y5687))</f>
        <v/>
      </c>
      <c r="Z5687" t="str">
        <f>IF(A5687="","",TEXT(A5687,"0")&amp;"|"&amp;TEXT(H5687,"0"))</f>
        <v/>
      </c>
      <c r="AA5687" t="str">
        <f>IF(Z5687="","",IFERROR(LOOKUP(2,1/(#REF!=Z5687),#REF!),""))</f>
        <v/>
      </c>
      <c r="AB5687" t="str">
        <f>IF(Z5687="","",IFERROR(LOOKUP(2,1/(#REF!=Z5687),#REF!),""))</f>
        <v/>
      </c>
      <c r="AC5687" t="str">
        <f>IF(Z5687="","",COUNTIF(#REF!,Z5687))</f>
        <v/>
      </c>
      <c r="AD5687" t="str">
        <f>IF(A5687="","",IF(AC5687&gt;1,"REVISAR DUPLICADO",IF(AA5687&lt;&gt;"","ACTUALIZADO POR EYR","SIN REPORTE EYR")))</f>
        <v/>
      </c>
    </row>
    <row r="5688" spans="11:30" x14ac:dyDescent="0.3">
      <c r="K5688" s="1" t="str">
        <f ca="1">IF(A5688="","",IF(OR(L5688="ENTREGADA",L5688="RETORNADA",L5688="ENTREGA DIGITAL"),0,MAX(0,5-NETWORKDAYS(H5688+1,TODAY()))))</f>
        <v/>
      </c>
      <c r="L5688" t="str">
        <f>IF(A5688="","",IFERROR(LOOKUP(2,1/(#REF!=Z5688),#REF!),Y5688))</f>
        <v/>
      </c>
      <c r="Z5688" t="str">
        <f>IF(A5688="","",TEXT(A5688,"0")&amp;"|"&amp;TEXT(H5688,"0"))</f>
        <v/>
      </c>
      <c r="AA5688" t="str">
        <f>IF(Z5688="","",IFERROR(LOOKUP(2,1/(#REF!=Z5688),#REF!),""))</f>
        <v/>
      </c>
      <c r="AB5688" t="str">
        <f>IF(Z5688="","",IFERROR(LOOKUP(2,1/(#REF!=Z5688),#REF!),""))</f>
        <v/>
      </c>
      <c r="AC5688" t="str">
        <f>IF(Z5688="","",COUNTIF(#REF!,Z5688))</f>
        <v/>
      </c>
      <c r="AD5688" t="str">
        <f>IF(A5688="","",IF(AC5688&gt;1,"REVISAR DUPLICADO",IF(AA5688&lt;&gt;"","ACTUALIZADO POR EYR","SIN REPORTE EYR")))</f>
        <v/>
      </c>
    </row>
    <row r="5689" spans="11:30" x14ac:dyDescent="0.3">
      <c r="K5689" s="1" t="str">
        <f ca="1">IF(A5689="","",IF(OR(L5689="ENTREGADA",L5689="RETORNADA",L5689="ENTREGA DIGITAL"),0,MAX(0,5-NETWORKDAYS(H5689+1,TODAY()))))</f>
        <v/>
      </c>
      <c r="L5689" t="str">
        <f>IF(A5689="","",IFERROR(LOOKUP(2,1/(#REF!=Z5689),#REF!),Y5689))</f>
        <v/>
      </c>
      <c r="Z5689" t="str">
        <f>IF(A5689="","",TEXT(A5689,"0")&amp;"|"&amp;TEXT(H5689,"0"))</f>
        <v/>
      </c>
      <c r="AA5689" t="str">
        <f>IF(Z5689="","",IFERROR(LOOKUP(2,1/(#REF!=Z5689),#REF!),""))</f>
        <v/>
      </c>
      <c r="AB5689" t="str">
        <f>IF(Z5689="","",IFERROR(LOOKUP(2,1/(#REF!=Z5689),#REF!),""))</f>
        <v/>
      </c>
      <c r="AC5689" t="str">
        <f>IF(Z5689="","",COUNTIF(#REF!,Z5689))</f>
        <v/>
      </c>
      <c r="AD5689" t="str">
        <f>IF(A5689="","",IF(AC5689&gt;1,"REVISAR DUPLICADO",IF(AA5689&lt;&gt;"","ACTUALIZADO POR EYR","SIN REPORTE EYR")))</f>
        <v/>
      </c>
    </row>
    <row r="5690" spans="11:30" x14ac:dyDescent="0.3">
      <c r="K5690" s="1" t="str">
        <f ca="1">IF(A5690="","",IF(OR(L5690="ENTREGADA",L5690="RETORNADA",L5690="ENTREGA DIGITAL"),0,MAX(0,5-NETWORKDAYS(H5690+1,TODAY()))))</f>
        <v/>
      </c>
      <c r="L5690" t="str">
        <f>IF(A5690="","",IFERROR(LOOKUP(2,1/(#REF!=Z5690),#REF!),Y5690))</f>
        <v/>
      </c>
      <c r="Z5690" t="str">
        <f>IF(A5690="","",TEXT(A5690,"0")&amp;"|"&amp;TEXT(H5690,"0"))</f>
        <v/>
      </c>
      <c r="AA5690" t="str">
        <f>IF(Z5690="","",IFERROR(LOOKUP(2,1/(#REF!=Z5690),#REF!),""))</f>
        <v/>
      </c>
      <c r="AB5690" t="str">
        <f>IF(Z5690="","",IFERROR(LOOKUP(2,1/(#REF!=Z5690),#REF!),""))</f>
        <v/>
      </c>
      <c r="AC5690" t="str">
        <f>IF(Z5690="","",COUNTIF(#REF!,Z5690))</f>
        <v/>
      </c>
      <c r="AD5690" t="str">
        <f>IF(A5690="","",IF(AC5690&gt;1,"REVISAR DUPLICADO",IF(AA5690&lt;&gt;"","ACTUALIZADO POR EYR","SIN REPORTE EYR")))</f>
        <v/>
      </c>
    </row>
    <row r="5691" spans="11:30" x14ac:dyDescent="0.3">
      <c r="K5691" s="1" t="str">
        <f ca="1">IF(A5691="","",IF(OR(L5691="ENTREGADA",L5691="RETORNADA",L5691="ENTREGA DIGITAL"),0,MAX(0,5-NETWORKDAYS(H5691+1,TODAY()))))</f>
        <v/>
      </c>
      <c r="L5691" t="str">
        <f>IF(A5691="","",IFERROR(LOOKUP(2,1/(#REF!=Z5691),#REF!),Y5691))</f>
        <v/>
      </c>
      <c r="Z5691" t="str">
        <f>IF(A5691="","",TEXT(A5691,"0")&amp;"|"&amp;TEXT(H5691,"0"))</f>
        <v/>
      </c>
      <c r="AA5691" t="str">
        <f>IF(Z5691="","",IFERROR(LOOKUP(2,1/(#REF!=Z5691),#REF!),""))</f>
        <v/>
      </c>
      <c r="AB5691" t="str">
        <f>IF(Z5691="","",IFERROR(LOOKUP(2,1/(#REF!=Z5691),#REF!),""))</f>
        <v/>
      </c>
      <c r="AC5691" t="str">
        <f>IF(Z5691="","",COUNTIF(#REF!,Z5691))</f>
        <v/>
      </c>
      <c r="AD5691" t="str">
        <f>IF(A5691="","",IF(AC5691&gt;1,"REVISAR DUPLICADO",IF(AA5691&lt;&gt;"","ACTUALIZADO POR EYR","SIN REPORTE EYR")))</f>
        <v/>
      </c>
    </row>
    <row r="5692" spans="11:30" x14ac:dyDescent="0.3">
      <c r="K5692" s="1" t="str">
        <f ca="1">IF(A5692="","",IF(OR(L5692="ENTREGADA",L5692="RETORNADA",L5692="ENTREGA DIGITAL"),0,MAX(0,5-NETWORKDAYS(H5692+1,TODAY()))))</f>
        <v/>
      </c>
      <c r="L5692" t="str">
        <f>IF(A5692="","",IFERROR(LOOKUP(2,1/(#REF!=Z5692),#REF!),Y5692))</f>
        <v/>
      </c>
      <c r="Z5692" t="str">
        <f>IF(A5692="","",TEXT(A5692,"0")&amp;"|"&amp;TEXT(H5692,"0"))</f>
        <v/>
      </c>
      <c r="AA5692" t="str">
        <f>IF(Z5692="","",IFERROR(LOOKUP(2,1/(#REF!=Z5692),#REF!),""))</f>
        <v/>
      </c>
      <c r="AB5692" t="str">
        <f>IF(Z5692="","",IFERROR(LOOKUP(2,1/(#REF!=Z5692),#REF!),""))</f>
        <v/>
      </c>
      <c r="AC5692" t="str">
        <f>IF(Z5692="","",COUNTIF(#REF!,Z5692))</f>
        <v/>
      </c>
      <c r="AD5692" t="str">
        <f>IF(A5692="","",IF(AC5692&gt;1,"REVISAR DUPLICADO",IF(AA5692&lt;&gt;"","ACTUALIZADO POR EYR","SIN REPORTE EYR")))</f>
        <v/>
      </c>
    </row>
    <row r="5693" spans="11:30" x14ac:dyDescent="0.3">
      <c r="K5693" s="1" t="str">
        <f ca="1">IF(A5693="","",IF(OR(L5693="ENTREGADA",L5693="RETORNADA",L5693="ENTREGA DIGITAL"),0,MAX(0,5-NETWORKDAYS(H5693+1,TODAY()))))</f>
        <v/>
      </c>
      <c r="L5693" t="str">
        <f>IF(A5693="","",IFERROR(LOOKUP(2,1/(#REF!=Z5693),#REF!),Y5693))</f>
        <v/>
      </c>
      <c r="Z5693" t="str">
        <f>IF(A5693="","",TEXT(A5693,"0")&amp;"|"&amp;TEXT(H5693,"0"))</f>
        <v/>
      </c>
      <c r="AA5693" t="str">
        <f>IF(Z5693="","",IFERROR(LOOKUP(2,1/(#REF!=Z5693),#REF!),""))</f>
        <v/>
      </c>
      <c r="AB5693" t="str">
        <f>IF(Z5693="","",IFERROR(LOOKUP(2,1/(#REF!=Z5693),#REF!),""))</f>
        <v/>
      </c>
      <c r="AC5693" t="str">
        <f>IF(Z5693="","",COUNTIF(#REF!,Z5693))</f>
        <v/>
      </c>
      <c r="AD5693" t="str">
        <f>IF(A5693="","",IF(AC5693&gt;1,"REVISAR DUPLICADO",IF(AA5693&lt;&gt;"","ACTUALIZADO POR EYR","SIN REPORTE EYR")))</f>
        <v/>
      </c>
    </row>
    <row r="5694" spans="11:30" x14ac:dyDescent="0.3">
      <c r="K5694" s="1" t="str">
        <f ca="1">IF(A5694="","",IF(OR(L5694="ENTREGADA",L5694="RETORNADA",L5694="ENTREGA DIGITAL"),0,MAX(0,5-NETWORKDAYS(H5694+1,TODAY()))))</f>
        <v/>
      </c>
      <c r="L5694" t="str">
        <f>IF(A5694="","",IFERROR(LOOKUP(2,1/(#REF!=Z5694),#REF!),Y5694))</f>
        <v/>
      </c>
      <c r="Z5694" t="str">
        <f>IF(A5694="","",TEXT(A5694,"0")&amp;"|"&amp;TEXT(H5694,"0"))</f>
        <v/>
      </c>
      <c r="AA5694" t="str">
        <f>IF(Z5694="","",IFERROR(LOOKUP(2,1/(#REF!=Z5694),#REF!),""))</f>
        <v/>
      </c>
      <c r="AB5694" t="str">
        <f>IF(Z5694="","",IFERROR(LOOKUP(2,1/(#REF!=Z5694),#REF!),""))</f>
        <v/>
      </c>
      <c r="AC5694" t="str">
        <f>IF(Z5694="","",COUNTIF(#REF!,Z5694))</f>
        <v/>
      </c>
      <c r="AD5694" t="str">
        <f>IF(A5694="","",IF(AC5694&gt;1,"REVISAR DUPLICADO",IF(AA5694&lt;&gt;"","ACTUALIZADO POR EYR","SIN REPORTE EYR")))</f>
        <v/>
      </c>
    </row>
    <row r="5695" spans="11:30" x14ac:dyDescent="0.3">
      <c r="K5695" s="1" t="str">
        <f ca="1">IF(A5695="","",IF(OR(L5695="ENTREGADA",L5695="RETORNADA",L5695="ENTREGA DIGITAL"),0,MAX(0,5-NETWORKDAYS(H5695+1,TODAY()))))</f>
        <v/>
      </c>
      <c r="L5695" t="str">
        <f>IF(A5695="","",IFERROR(LOOKUP(2,1/(#REF!=Z5695),#REF!),Y5695))</f>
        <v/>
      </c>
      <c r="Z5695" t="str">
        <f>IF(A5695="","",TEXT(A5695,"0")&amp;"|"&amp;TEXT(H5695,"0"))</f>
        <v/>
      </c>
      <c r="AA5695" t="str">
        <f>IF(Z5695="","",IFERROR(LOOKUP(2,1/(#REF!=Z5695),#REF!),""))</f>
        <v/>
      </c>
      <c r="AB5695" t="str">
        <f>IF(Z5695="","",IFERROR(LOOKUP(2,1/(#REF!=Z5695),#REF!),""))</f>
        <v/>
      </c>
      <c r="AC5695" t="str">
        <f>IF(Z5695="","",COUNTIF(#REF!,Z5695))</f>
        <v/>
      </c>
      <c r="AD5695" t="str">
        <f>IF(A5695="","",IF(AC5695&gt;1,"REVISAR DUPLICADO",IF(AA5695&lt;&gt;"","ACTUALIZADO POR EYR","SIN REPORTE EYR")))</f>
        <v/>
      </c>
    </row>
    <row r="5696" spans="11:30" x14ac:dyDescent="0.3">
      <c r="K5696" s="1" t="str">
        <f ca="1">IF(A5696="","",IF(OR(L5696="ENTREGADA",L5696="RETORNADA",L5696="ENTREGA DIGITAL"),0,MAX(0,5-NETWORKDAYS(H5696+1,TODAY()))))</f>
        <v/>
      </c>
      <c r="L5696" t="str">
        <f>IF(A5696="","",IFERROR(LOOKUP(2,1/(#REF!=Z5696),#REF!),Y5696))</f>
        <v/>
      </c>
      <c r="Z5696" t="str">
        <f>IF(A5696="","",TEXT(A5696,"0")&amp;"|"&amp;TEXT(H5696,"0"))</f>
        <v/>
      </c>
      <c r="AA5696" t="str">
        <f>IF(Z5696="","",IFERROR(LOOKUP(2,1/(#REF!=Z5696),#REF!),""))</f>
        <v/>
      </c>
      <c r="AB5696" t="str">
        <f>IF(Z5696="","",IFERROR(LOOKUP(2,1/(#REF!=Z5696),#REF!),""))</f>
        <v/>
      </c>
      <c r="AC5696" t="str">
        <f>IF(Z5696="","",COUNTIF(#REF!,Z5696))</f>
        <v/>
      </c>
      <c r="AD5696" t="str">
        <f>IF(A5696="","",IF(AC5696&gt;1,"REVISAR DUPLICADO",IF(AA5696&lt;&gt;"","ACTUALIZADO POR EYR","SIN REPORTE EYR")))</f>
        <v/>
      </c>
    </row>
    <row r="5697" spans="11:30" x14ac:dyDescent="0.3">
      <c r="K5697" s="1" t="str">
        <f ca="1">IF(A5697="","",IF(OR(L5697="ENTREGADA",L5697="RETORNADA",L5697="ENTREGA DIGITAL"),0,MAX(0,5-NETWORKDAYS(H5697+1,TODAY()))))</f>
        <v/>
      </c>
      <c r="L5697" t="str">
        <f>IF(A5697="","",IFERROR(LOOKUP(2,1/(#REF!=Z5697),#REF!),Y5697))</f>
        <v/>
      </c>
      <c r="Z5697" t="str">
        <f>IF(A5697="","",TEXT(A5697,"0")&amp;"|"&amp;TEXT(H5697,"0"))</f>
        <v/>
      </c>
      <c r="AA5697" t="str">
        <f>IF(Z5697="","",IFERROR(LOOKUP(2,1/(#REF!=Z5697),#REF!),""))</f>
        <v/>
      </c>
      <c r="AB5697" t="str">
        <f>IF(Z5697="","",IFERROR(LOOKUP(2,1/(#REF!=Z5697),#REF!),""))</f>
        <v/>
      </c>
      <c r="AC5697" t="str">
        <f>IF(Z5697="","",COUNTIF(#REF!,Z5697))</f>
        <v/>
      </c>
      <c r="AD5697" t="str">
        <f>IF(A5697="","",IF(AC5697&gt;1,"REVISAR DUPLICADO",IF(AA5697&lt;&gt;"","ACTUALIZADO POR EYR","SIN REPORTE EYR")))</f>
        <v/>
      </c>
    </row>
    <row r="5698" spans="11:30" x14ac:dyDescent="0.3">
      <c r="K5698" s="1" t="str">
        <f ca="1">IF(A5698="","",IF(OR(L5698="ENTREGADA",L5698="RETORNADA",L5698="ENTREGA DIGITAL"),0,MAX(0,5-NETWORKDAYS(H5698+1,TODAY()))))</f>
        <v/>
      </c>
      <c r="L5698" t="str">
        <f>IF(A5698="","",IFERROR(LOOKUP(2,1/(#REF!=Z5698),#REF!),Y5698))</f>
        <v/>
      </c>
      <c r="Z5698" t="str">
        <f>IF(A5698="","",TEXT(A5698,"0")&amp;"|"&amp;TEXT(H5698,"0"))</f>
        <v/>
      </c>
      <c r="AA5698" t="str">
        <f>IF(Z5698="","",IFERROR(LOOKUP(2,1/(#REF!=Z5698),#REF!),""))</f>
        <v/>
      </c>
      <c r="AB5698" t="str">
        <f>IF(Z5698="","",IFERROR(LOOKUP(2,1/(#REF!=Z5698),#REF!),""))</f>
        <v/>
      </c>
      <c r="AC5698" t="str">
        <f>IF(Z5698="","",COUNTIF(#REF!,Z5698))</f>
        <v/>
      </c>
      <c r="AD5698" t="str">
        <f>IF(A5698="","",IF(AC5698&gt;1,"REVISAR DUPLICADO",IF(AA5698&lt;&gt;"","ACTUALIZADO POR EYR","SIN REPORTE EYR")))</f>
        <v/>
      </c>
    </row>
    <row r="5699" spans="11:30" x14ac:dyDescent="0.3">
      <c r="K5699" s="1" t="str">
        <f ca="1">IF(A5699="","",IF(OR(L5699="ENTREGADA",L5699="RETORNADA",L5699="ENTREGA DIGITAL"),0,MAX(0,5-NETWORKDAYS(H5699+1,TODAY()))))</f>
        <v/>
      </c>
      <c r="L5699" t="str">
        <f>IF(A5699="","",IFERROR(LOOKUP(2,1/(#REF!=Z5699),#REF!),Y5699))</f>
        <v/>
      </c>
      <c r="Z5699" t="str">
        <f>IF(A5699="","",TEXT(A5699,"0")&amp;"|"&amp;TEXT(H5699,"0"))</f>
        <v/>
      </c>
      <c r="AA5699" t="str">
        <f>IF(Z5699="","",IFERROR(LOOKUP(2,1/(#REF!=Z5699),#REF!),""))</f>
        <v/>
      </c>
      <c r="AB5699" t="str">
        <f>IF(Z5699="","",IFERROR(LOOKUP(2,1/(#REF!=Z5699),#REF!),""))</f>
        <v/>
      </c>
      <c r="AC5699" t="str">
        <f>IF(Z5699="","",COUNTIF(#REF!,Z5699))</f>
        <v/>
      </c>
      <c r="AD5699" t="str">
        <f>IF(A5699="","",IF(AC5699&gt;1,"REVISAR DUPLICADO",IF(AA5699&lt;&gt;"","ACTUALIZADO POR EYR","SIN REPORTE EYR")))</f>
        <v/>
      </c>
    </row>
    <row r="5700" spans="11:30" x14ac:dyDescent="0.3">
      <c r="K5700" s="1" t="str">
        <f ca="1">IF(A5700="","",IF(OR(L5700="ENTREGADA",L5700="RETORNADA",L5700="ENTREGA DIGITAL"),0,MAX(0,5-NETWORKDAYS(H5700+1,TODAY()))))</f>
        <v/>
      </c>
      <c r="L5700" t="str">
        <f>IF(A5700="","",IFERROR(LOOKUP(2,1/(#REF!=Z5700),#REF!),Y5700))</f>
        <v/>
      </c>
      <c r="Z5700" t="str">
        <f>IF(A5700="","",TEXT(A5700,"0")&amp;"|"&amp;TEXT(H5700,"0"))</f>
        <v/>
      </c>
      <c r="AA5700" t="str">
        <f>IF(Z5700="","",IFERROR(LOOKUP(2,1/(#REF!=Z5700),#REF!),""))</f>
        <v/>
      </c>
      <c r="AB5700" t="str">
        <f>IF(Z5700="","",IFERROR(LOOKUP(2,1/(#REF!=Z5700),#REF!),""))</f>
        <v/>
      </c>
      <c r="AC5700" t="str">
        <f>IF(Z5700="","",COUNTIF(#REF!,Z5700))</f>
        <v/>
      </c>
      <c r="AD5700" t="str">
        <f>IF(A5700="","",IF(AC5700&gt;1,"REVISAR DUPLICADO",IF(AA5700&lt;&gt;"","ACTUALIZADO POR EYR","SIN REPORTE EYR")))</f>
        <v/>
      </c>
    </row>
    <row r="5701" spans="11:30" x14ac:dyDescent="0.3">
      <c r="K5701" s="1" t="str">
        <f ca="1">IF(A5701="","",IF(OR(L5701="ENTREGADA",L5701="RETORNADA",L5701="ENTREGA DIGITAL"),0,MAX(0,5-NETWORKDAYS(H5701+1,TODAY()))))</f>
        <v/>
      </c>
      <c r="L5701" t="str">
        <f>IF(A5701="","",IFERROR(LOOKUP(2,1/(#REF!=Z5701),#REF!),Y5701))</f>
        <v/>
      </c>
      <c r="Z5701" t="str">
        <f>IF(A5701="","",TEXT(A5701,"0")&amp;"|"&amp;TEXT(H5701,"0"))</f>
        <v/>
      </c>
      <c r="AA5701" t="str">
        <f>IF(Z5701="","",IFERROR(LOOKUP(2,1/(#REF!=Z5701),#REF!),""))</f>
        <v/>
      </c>
      <c r="AB5701" t="str">
        <f>IF(Z5701="","",IFERROR(LOOKUP(2,1/(#REF!=Z5701),#REF!),""))</f>
        <v/>
      </c>
      <c r="AC5701" t="str">
        <f>IF(Z5701="","",COUNTIF(#REF!,Z5701))</f>
        <v/>
      </c>
      <c r="AD5701" t="str">
        <f>IF(A5701="","",IF(AC5701&gt;1,"REVISAR DUPLICADO",IF(AA5701&lt;&gt;"","ACTUALIZADO POR EYR","SIN REPORTE EYR")))</f>
        <v/>
      </c>
    </row>
    <row r="5702" spans="11:30" x14ac:dyDescent="0.3">
      <c r="K5702" s="1" t="str">
        <f ca="1">IF(A5702="","",IF(OR(L5702="ENTREGADA",L5702="RETORNADA",L5702="ENTREGA DIGITAL"),0,MAX(0,5-NETWORKDAYS(H5702+1,TODAY()))))</f>
        <v/>
      </c>
      <c r="L5702" t="str">
        <f>IF(A5702="","",IFERROR(LOOKUP(2,1/(#REF!=Z5702),#REF!),Y5702))</f>
        <v/>
      </c>
      <c r="Z5702" t="str">
        <f>IF(A5702="","",TEXT(A5702,"0")&amp;"|"&amp;TEXT(H5702,"0"))</f>
        <v/>
      </c>
      <c r="AA5702" t="str">
        <f>IF(Z5702="","",IFERROR(LOOKUP(2,1/(#REF!=Z5702),#REF!),""))</f>
        <v/>
      </c>
      <c r="AB5702" t="str">
        <f>IF(Z5702="","",IFERROR(LOOKUP(2,1/(#REF!=Z5702),#REF!),""))</f>
        <v/>
      </c>
      <c r="AC5702" t="str">
        <f>IF(Z5702="","",COUNTIF(#REF!,Z5702))</f>
        <v/>
      </c>
      <c r="AD5702" t="str">
        <f>IF(A5702="","",IF(AC5702&gt;1,"REVISAR DUPLICADO",IF(AA5702&lt;&gt;"","ACTUALIZADO POR EYR","SIN REPORTE EYR")))</f>
        <v/>
      </c>
    </row>
    <row r="5703" spans="11:30" x14ac:dyDescent="0.3">
      <c r="K5703" s="1" t="str">
        <f ca="1">IF(A5703="","",IF(OR(L5703="ENTREGADA",L5703="RETORNADA",L5703="ENTREGA DIGITAL"),0,MAX(0,5-NETWORKDAYS(H5703+1,TODAY()))))</f>
        <v/>
      </c>
      <c r="L5703" t="str">
        <f>IF(A5703="","",IFERROR(LOOKUP(2,1/(#REF!=Z5703),#REF!),Y5703))</f>
        <v/>
      </c>
      <c r="Z5703" t="str">
        <f>IF(A5703="","",TEXT(A5703,"0")&amp;"|"&amp;TEXT(H5703,"0"))</f>
        <v/>
      </c>
      <c r="AA5703" t="str">
        <f>IF(Z5703="","",IFERROR(LOOKUP(2,1/(#REF!=Z5703),#REF!),""))</f>
        <v/>
      </c>
      <c r="AB5703" t="str">
        <f>IF(Z5703="","",IFERROR(LOOKUP(2,1/(#REF!=Z5703),#REF!),""))</f>
        <v/>
      </c>
      <c r="AC5703" t="str">
        <f>IF(Z5703="","",COUNTIF(#REF!,Z5703))</f>
        <v/>
      </c>
      <c r="AD5703" t="str">
        <f>IF(A5703="","",IF(AC5703&gt;1,"REVISAR DUPLICADO",IF(AA5703&lt;&gt;"","ACTUALIZADO POR EYR","SIN REPORTE EYR")))</f>
        <v/>
      </c>
    </row>
    <row r="5704" spans="11:30" x14ac:dyDescent="0.3">
      <c r="K5704" s="1" t="str">
        <f ca="1">IF(A5704="","",IF(OR(L5704="ENTREGADA",L5704="RETORNADA",L5704="ENTREGA DIGITAL"),0,MAX(0,5-NETWORKDAYS(H5704+1,TODAY()))))</f>
        <v/>
      </c>
      <c r="L5704" t="str">
        <f>IF(A5704="","",IFERROR(LOOKUP(2,1/(#REF!=Z5704),#REF!),Y5704))</f>
        <v/>
      </c>
      <c r="Z5704" t="str">
        <f>IF(A5704="","",TEXT(A5704,"0")&amp;"|"&amp;TEXT(H5704,"0"))</f>
        <v/>
      </c>
      <c r="AA5704" t="str">
        <f>IF(Z5704="","",IFERROR(LOOKUP(2,1/(#REF!=Z5704),#REF!),""))</f>
        <v/>
      </c>
      <c r="AB5704" t="str">
        <f>IF(Z5704="","",IFERROR(LOOKUP(2,1/(#REF!=Z5704),#REF!),""))</f>
        <v/>
      </c>
      <c r="AC5704" t="str">
        <f>IF(Z5704="","",COUNTIF(#REF!,Z5704))</f>
        <v/>
      </c>
      <c r="AD5704" t="str">
        <f>IF(A5704="","",IF(AC5704&gt;1,"REVISAR DUPLICADO",IF(AA5704&lt;&gt;"","ACTUALIZADO POR EYR","SIN REPORTE EYR")))</f>
        <v/>
      </c>
    </row>
    <row r="5705" spans="11:30" x14ac:dyDescent="0.3">
      <c r="K5705" s="1" t="str">
        <f ca="1">IF(A5705="","",IF(OR(L5705="ENTREGADA",L5705="RETORNADA",L5705="ENTREGA DIGITAL"),0,MAX(0,5-NETWORKDAYS(H5705+1,TODAY()))))</f>
        <v/>
      </c>
      <c r="L5705" t="str">
        <f>IF(A5705="","",IFERROR(LOOKUP(2,1/(#REF!=Z5705),#REF!),Y5705))</f>
        <v/>
      </c>
      <c r="Z5705" t="str">
        <f>IF(A5705="","",TEXT(A5705,"0")&amp;"|"&amp;TEXT(H5705,"0"))</f>
        <v/>
      </c>
      <c r="AA5705" t="str">
        <f>IF(Z5705="","",IFERROR(LOOKUP(2,1/(#REF!=Z5705),#REF!),""))</f>
        <v/>
      </c>
      <c r="AB5705" t="str">
        <f>IF(Z5705="","",IFERROR(LOOKUP(2,1/(#REF!=Z5705),#REF!),""))</f>
        <v/>
      </c>
      <c r="AC5705" t="str">
        <f>IF(Z5705="","",COUNTIF(#REF!,Z5705))</f>
        <v/>
      </c>
      <c r="AD5705" t="str">
        <f>IF(A5705="","",IF(AC5705&gt;1,"REVISAR DUPLICADO",IF(AA5705&lt;&gt;"","ACTUALIZADO POR EYR","SIN REPORTE EYR")))</f>
        <v/>
      </c>
    </row>
    <row r="5706" spans="11:30" x14ac:dyDescent="0.3">
      <c r="K5706" s="1" t="str">
        <f ca="1">IF(A5706="","",IF(OR(L5706="ENTREGADA",L5706="RETORNADA",L5706="ENTREGA DIGITAL"),0,MAX(0,5-NETWORKDAYS(H5706+1,TODAY()))))</f>
        <v/>
      </c>
      <c r="L5706" t="str">
        <f>IF(A5706="","",IFERROR(LOOKUP(2,1/(#REF!=Z5706),#REF!),Y5706))</f>
        <v/>
      </c>
      <c r="Z5706" t="str">
        <f>IF(A5706="","",TEXT(A5706,"0")&amp;"|"&amp;TEXT(H5706,"0"))</f>
        <v/>
      </c>
      <c r="AA5706" t="str">
        <f>IF(Z5706="","",IFERROR(LOOKUP(2,1/(#REF!=Z5706),#REF!),""))</f>
        <v/>
      </c>
      <c r="AB5706" t="str">
        <f>IF(Z5706="","",IFERROR(LOOKUP(2,1/(#REF!=Z5706),#REF!),""))</f>
        <v/>
      </c>
      <c r="AC5706" t="str">
        <f>IF(Z5706="","",COUNTIF(#REF!,Z5706))</f>
        <v/>
      </c>
      <c r="AD5706" t="str">
        <f>IF(A5706="","",IF(AC5706&gt;1,"REVISAR DUPLICADO",IF(AA5706&lt;&gt;"","ACTUALIZADO POR EYR","SIN REPORTE EYR")))</f>
        <v/>
      </c>
    </row>
    <row r="5707" spans="11:30" x14ac:dyDescent="0.3">
      <c r="K5707" s="1" t="str">
        <f ca="1">IF(A5707="","",IF(OR(L5707="ENTREGADA",L5707="RETORNADA",L5707="ENTREGA DIGITAL"),0,MAX(0,5-NETWORKDAYS(H5707+1,TODAY()))))</f>
        <v/>
      </c>
      <c r="L5707" t="str">
        <f>IF(A5707="","",IFERROR(LOOKUP(2,1/(#REF!=Z5707),#REF!),Y5707))</f>
        <v/>
      </c>
      <c r="Z5707" t="str">
        <f>IF(A5707="","",TEXT(A5707,"0")&amp;"|"&amp;TEXT(H5707,"0"))</f>
        <v/>
      </c>
      <c r="AA5707" t="str">
        <f>IF(Z5707="","",IFERROR(LOOKUP(2,1/(#REF!=Z5707),#REF!),""))</f>
        <v/>
      </c>
      <c r="AB5707" t="str">
        <f>IF(Z5707="","",IFERROR(LOOKUP(2,1/(#REF!=Z5707),#REF!),""))</f>
        <v/>
      </c>
      <c r="AC5707" t="str">
        <f>IF(Z5707="","",COUNTIF(#REF!,Z5707))</f>
        <v/>
      </c>
      <c r="AD5707" t="str">
        <f>IF(A5707="","",IF(AC5707&gt;1,"REVISAR DUPLICADO",IF(AA5707&lt;&gt;"","ACTUALIZADO POR EYR","SIN REPORTE EYR")))</f>
        <v/>
      </c>
    </row>
    <row r="5708" spans="11:30" x14ac:dyDescent="0.3">
      <c r="K5708" s="1" t="str">
        <f ca="1">IF(A5708="","",IF(OR(L5708="ENTREGADA",L5708="RETORNADA",L5708="ENTREGA DIGITAL"),0,MAX(0,5-NETWORKDAYS(H5708+1,TODAY()))))</f>
        <v/>
      </c>
      <c r="L5708" t="str">
        <f>IF(A5708="","",IFERROR(LOOKUP(2,1/(#REF!=Z5708),#REF!),Y5708))</f>
        <v/>
      </c>
      <c r="Z5708" t="str">
        <f>IF(A5708="","",TEXT(A5708,"0")&amp;"|"&amp;TEXT(H5708,"0"))</f>
        <v/>
      </c>
      <c r="AA5708" t="str">
        <f>IF(Z5708="","",IFERROR(LOOKUP(2,1/(#REF!=Z5708),#REF!),""))</f>
        <v/>
      </c>
      <c r="AB5708" t="str">
        <f>IF(Z5708="","",IFERROR(LOOKUP(2,1/(#REF!=Z5708),#REF!),""))</f>
        <v/>
      </c>
      <c r="AC5708" t="str">
        <f>IF(Z5708="","",COUNTIF(#REF!,Z5708))</f>
        <v/>
      </c>
      <c r="AD5708" t="str">
        <f>IF(A5708="","",IF(AC5708&gt;1,"REVISAR DUPLICADO",IF(AA5708&lt;&gt;"","ACTUALIZADO POR EYR","SIN REPORTE EYR")))</f>
        <v/>
      </c>
    </row>
    <row r="5709" spans="11:30" x14ac:dyDescent="0.3">
      <c r="K5709" s="1" t="str">
        <f ca="1">IF(A5709="","",IF(OR(L5709="ENTREGADA",L5709="RETORNADA",L5709="ENTREGA DIGITAL"),0,MAX(0,5-NETWORKDAYS(H5709+1,TODAY()))))</f>
        <v/>
      </c>
      <c r="L5709" t="str">
        <f>IF(A5709="","",IFERROR(LOOKUP(2,1/(#REF!=Z5709),#REF!),Y5709))</f>
        <v/>
      </c>
      <c r="Z5709" t="str">
        <f>IF(A5709="","",TEXT(A5709,"0")&amp;"|"&amp;TEXT(H5709,"0"))</f>
        <v/>
      </c>
      <c r="AA5709" t="str">
        <f>IF(Z5709="","",IFERROR(LOOKUP(2,1/(#REF!=Z5709),#REF!),""))</f>
        <v/>
      </c>
      <c r="AB5709" t="str">
        <f>IF(Z5709="","",IFERROR(LOOKUP(2,1/(#REF!=Z5709),#REF!),""))</f>
        <v/>
      </c>
      <c r="AC5709" t="str">
        <f>IF(Z5709="","",COUNTIF(#REF!,Z5709))</f>
        <v/>
      </c>
      <c r="AD5709" t="str">
        <f>IF(A5709="","",IF(AC5709&gt;1,"REVISAR DUPLICADO",IF(AA5709&lt;&gt;"","ACTUALIZADO POR EYR","SIN REPORTE EYR")))</f>
        <v/>
      </c>
    </row>
    <row r="5710" spans="11:30" x14ac:dyDescent="0.3">
      <c r="K5710" s="1" t="str">
        <f ca="1">IF(A5710="","",IF(OR(L5710="ENTREGADA",L5710="RETORNADA",L5710="ENTREGA DIGITAL"),0,MAX(0,5-NETWORKDAYS(H5710+1,TODAY()))))</f>
        <v/>
      </c>
      <c r="L5710" t="str">
        <f>IF(A5710="","",IFERROR(LOOKUP(2,1/(#REF!=Z5710),#REF!),Y5710))</f>
        <v/>
      </c>
      <c r="Z5710" t="str">
        <f>IF(A5710="","",TEXT(A5710,"0")&amp;"|"&amp;TEXT(H5710,"0"))</f>
        <v/>
      </c>
      <c r="AA5710" t="str">
        <f>IF(Z5710="","",IFERROR(LOOKUP(2,1/(#REF!=Z5710),#REF!),""))</f>
        <v/>
      </c>
      <c r="AB5710" t="str">
        <f>IF(Z5710="","",IFERROR(LOOKUP(2,1/(#REF!=Z5710),#REF!),""))</f>
        <v/>
      </c>
      <c r="AC5710" t="str">
        <f>IF(Z5710="","",COUNTIF(#REF!,Z5710))</f>
        <v/>
      </c>
      <c r="AD5710" t="str">
        <f>IF(A5710="","",IF(AC5710&gt;1,"REVISAR DUPLICADO",IF(AA5710&lt;&gt;"","ACTUALIZADO POR EYR","SIN REPORTE EYR")))</f>
        <v/>
      </c>
    </row>
    <row r="5711" spans="11:30" x14ac:dyDescent="0.3">
      <c r="K5711" s="1" t="str">
        <f ca="1">IF(A5711="","",IF(OR(L5711="ENTREGADA",L5711="RETORNADA",L5711="ENTREGA DIGITAL"),0,MAX(0,5-NETWORKDAYS(H5711+1,TODAY()))))</f>
        <v/>
      </c>
      <c r="L5711" t="str">
        <f>IF(A5711="","",IFERROR(LOOKUP(2,1/(#REF!=Z5711),#REF!),Y5711))</f>
        <v/>
      </c>
      <c r="Z5711" t="str">
        <f>IF(A5711="","",TEXT(A5711,"0")&amp;"|"&amp;TEXT(H5711,"0"))</f>
        <v/>
      </c>
      <c r="AA5711" t="str">
        <f>IF(Z5711="","",IFERROR(LOOKUP(2,1/(#REF!=Z5711),#REF!),""))</f>
        <v/>
      </c>
      <c r="AB5711" t="str">
        <f>IF(Z5711="","",IFERROR(LOOKUP(2,1/(#REF!=Z5711),#REF!),""))</f>
        <v/>
      </c>
      <c r="AC5711" t="str">
        <f>IF(Z5711="","",COUNTIF(#REF!,Z5711))</f>
        <v/>
      </c>
      <c r="AD5711" t="str">
        <f>IF(A5711="","",IF(AC5711&gt;1,"REVISAR DUPLICADO",IF(AA5711&lt;&gt;"","ACTUALIZADO POR EYR","SIN REPORTE EYR")))</f>
        <v/>
      </c>
    </row>
    <row r="5712" spans="11:30" x14ac:dyDescent="0.3">
      <c r="K5712" s="1" t="str">
        <f ca="1">IF(A5712="","",IF(OR(L5712="ENTREGADA",L5712="RETORNADA",L5712="ENTREGA DIGITAL"),0,MAX(0,5-NETWORKDAYS(H5712+1,TODAY()))))</f>
        <v/>
      </c>
      <c r="L5712" t="str">
        <f>IF(A5712="","",IFERROR(LOOKUP(2,1/(#REF!=Z5712),#REF!),Y5712))</f>
        <v/>
      </c>
      <c r="Z5712" t="str">
        <f>IF(A5712="","",TEXT(A5712,"0")&amp;"|"&amp;TEXT(H5712,"0"))</f>
        <v/>
      </c>
      <c r="AA5712" t="str">
        <f>IF(Z5712="","",IFERROR(LOOKUP(2,1/(#REF!=Z5712),#REF!),""))</f>
        <v/>
      </c>
      <c r="AB5712" t="str">
        <f>IF(Z5712="","",IFERROR(LOOKUP(2,1/(#REF!=Z5712),#REF!),""))</f>
        <v/>
      </c>
      <c r="AC5712" t="str">
        <f>IF(Z5712="","",COUNTIF(#REF!,Z5712))</f>
        <v/>
      </c>
      <c r="AD5712" t="str">
        <f>IF(A5712="","",IF(AC5712&gt;1,"REVISAR DUPLICADO",IF(AA5712&lt;&gt;"","ACTUALIZADO POR EYR","SIN REPORTE EYR")))</f>
        <v/>
      </c>
    </row>
    <row r="5713" spans="11:30" x14ac:dyDescent="0.3">
      <c r="K5713" s="1" t="str">
        <f ca="1">IF(A5713="","",IF(OR(L5713="ENTREGADA",L5713="RETORNADA",L5713="ENTREGA DIGITAL"),0,MAX(0,5-NETWORKDAYS(H5713+1,TODAY()))))</f>
        <v/>
      </c>
      <c r="L5713" t="str">
        <f>IF(A5713="","",IFERROR(LOOKUP(2,1/(#REF!=Z5713),#REF!),Y5713))</f>
        <v/>
      </c>
      <c r="Z5713" t="str">
        <f>IF(A5713="","",TEXT(A5713,"0")&amp;"|"&amp;TEXT(H5713,"0"))</f>
        <v/>
      </c>
      <c r="AA5713" t="str">
        <f>IF(Z5713="","",IFERROR(LOOKUP(2,1/(#REF!=Z5713),#REF!),""))</f>
        <v/>
      </c>
      <c r="AB5713" t="str">
        <f>IF(Z5713="","",IFERROR(LOOKUP(2,1/(#REF!=Z5713),#REF!),""))</f>
        <v/>
      </c>
      <c r="AC5713" t="str">
        <f>IF(Z5713="","",COUNTIF(#REF!,Z5713))</f>
        <v/>
      </c>
      <c r="AD5713" t="str">
        <f>IF(A5713="","",IF(AC5713&gt;1,"REVISAR DUPLICADO",IF(AA5713&lt;&gt;"","ACTUALIZADO POR EYR","SIN REPORTE EYR")))</f>
        <v/>
      </c>
    </row>
    <row r="5714" spans="11:30" x14ac:dyDescent="0.3">
      <c r="K5714" s="1" t="str">
        <f ca="1">IF(A5714="","",IF(OR(L5714="ENTREGADA",L5714="RETORNADA",L5714="ENTREGA DIGITAL"),0,MAX(0,5-NETWORKDAYS(H5714+1,TODAY()))))</f>
        <v/>
      </c>
      <c r="L5714" t="str">
        <f>IF(A5714="","",IFERROR(LOOKUP(2,1/(#REF!=Z5714),#REF!),Y5714))</f>
        <v/>
      </c>
      <c r="Z5714" t="str">
        <f>IF(A5714="","",TEXT(A5714,"0")&amp;"|"&amp;TEXT(H5714,"0"))</f>
        <v/>
      </c>
      <c r="AA5714" t="str">
        <f>IF(Z5714="","",IFERROR(LOOKUP(2,1/(#REF!=Z5714),#REF!),""))</f>
        <v/>
      </c>
      <c r="AB5714" t="str">
        <f>IF(Z5714="","",IFERROR(LOOKUP(2,1/(#REF!=Z5714),#REF!),""))</f>
        <v/>
      </c>
      <c r="AC5714" t="str">
        <f>IF(Z5714="","",COUNTIF(#REF!,Z5714))</f>
        <v/>
      </c>
      <c r="AD5714" t="str">
        <f>IF(A5714="","",IF(AC5714&gt;1,"REVISAR DUPLICADO",IF(AA5714&lt;&gt;"","ACTUALIZADO POR EYR","SIN REPORTE EYR")))</f>
        <v/>
      </c>
    </row>
    <row r="5715" spans="11:30" x14ac:dyDescent="0.3">
      <c r="K5715" s="1" t="str">
        <f ca="1">IF(A5715="","",IF(OR(L5715="ENTREGADA",L5715="RETORNADA",L5715="ENTREGA DIGITAL"),0,MAX(0,5-NETWORKDAYS(H5715+1,TODAY()))))</f>
        <v/>
      </c>
      <c r="L5715" t="str">
        <f>IF(A5715="","",IFERROR(LOOKUP(2,1/(#REF!=Z5715),#REF!),Y5715))</f>
        <v/>
      </c>
      <c r="Z5715" t="str">
        <f>IF(A5715="","",TEXT(A5715,"0")&amp;"|"&amp;TEXT(H5715,"0"))</f>
        <v/>
      </c>
      <c r="AA5715" t="str">
        <f>IF(Z5715="","",IFERROR(LOOKUP(2,1/(#REF!=Z5715),#REF!),""))</f>
        <v/>
      </c>
      <c r="AB5715" t="str">
        <f>IF(Z5715="","",IFERROR(LOOKUP(2,1/(#REF!=Z5715),#REF!),""))</f>
        <v/>
      </c>
      <c r="AC5715" t="str">
        <f>IF(Z5715="","",COUNTIF(#REF!,Z5715))</f>
        <v/>
      </c>
      <c r="AD5715" t="str">
        <f>IF(A5715="","",IF(AC5715&gt;1,"REVISAR DUPLICADO",IF(AA5715&lt;&gt;"","ACTUALIZADO POR EYR","SIN REPORTE EYR")))</f>
        <v/>
      </c>
    </row>
    <row r="5716" spans="11:30" x14ac:dyDescent="0.3">
      <c r="K5716" s="1" t="str">
        <f ca="1">IF(A5716="","",IF(OR(L5716="ENTREGADA",L5716="RETORNADA",L5716="ENTREGA DIGITAL"),0,MAX(0,5-NETWORKDAYS(H5716+1,TODAY()))))</f>
        <v/>
      </c>
      <c r="L5716" t="str">
        <f>IF(A5716="","",IFERROR(LOOKUP(2,1/(#REF!=Z5716),#REF!),Y5716))</f>
        <v/>
      </c>
      <c r="Z5716" t="str">
        <f>IF(A5716="","",TEXT(A5716,"0")&amp;"|"&amp;TEXT(H5716,"0"))</f>
        <v/>
      </c>
      <c r="AA5716" t="str">
        <f>IF(Z5716="","",IFERROR(LOOKUP(2,1/(#REF!=Z5716),#REF!),""))</f>
        <v/>
      </c>
      <c r="AB5716" t="str">
        <f>IF(Z5716="","",IFERROR(LOOKUP(2,1/(#REF!=Z5716),#REF!),""))</f>
        <v/>
      </c>
      <c r="AC5716" t="str">
        <f>IF(Z5716="","",COUNTIF(#REF!,Z5716))</f>
        <v/>
      </c>
      <c r="AD5716" t="str">
        <f>IF(A5716="","",IF(AC5716&gt;1,"REVISAR DUPLICADO",IF(AA5716&lt;&gt;"","ACTUALIZADO POR EYR","SIN REPORTE EYR")))</f>
        <v/>
      </c>
    </row>
    <row r="5717" spans="11:30" x14ac:dyDescent="0.3">
      <c r="K5717" s="1" t="str">
        <f ca="1">IF(A5717="","",IF(OR(L5717="ENTREGADA",L5717="RETORNADA",L5717="ENTREGA DIGITAL"),0,MAX(0,5-NETWORKDAYS(H5717+1,TODAY()))))</f>
        <v/>
      </c>
      <c r="L5717" t="str">
        <f>IF(A5717="","",IFERROR(LOOKUP(2,1/(#REF!=Z5717),#REF!),Y5717))</f>
        <v/>
      </c>
      <c r="Z5717" t="str">
        <f>IF(A5717="","",TEXT(A5717,"0")&amp;"|"&amp;TEXT(H5717,"0"))</f>
        <v/>
      </c>
      <c r="AA5717" t="str">
        <f>IF(Z5717="","",IFERROR(LOOKUP(2,1/(#REF!=Z5717),#REF!),""))</f>
        <v/>
      </c>
      <c r="AB5717" t="str">
        <f>IF(Z5717="","",IFERROR(LOOKUP(2,1/(#REF!=Z5717),#REF!),""))</f>
        <v/>
      </c>
      <c r="AC5717" t="str">
        <f>IF(Z5717="","",COUNTIF(#REF!,Z5717))</f>
        <v/>
      </c>
      <c r="AD5717" t="str">
        <f>IF(A5717="","",IF(AC5717&gt;1,"REVISAR DUPLICADO",IF(AA5717&lt;&gt;"","ACTUALIZADO POR EYR","SIN REPORTE EYR")))</f>
        <v/>
      </c>
    </row>
    <row r="5718" spans="11:30" x14ac:dyDescent="0.3">
      <c r="K5718" s="1" t="str">
        <f ca="1">IF(A5718="","",IF(OR(L5718="ENTREGADA",L5718="RETORNADA",L5718="ENTREGA DIGITAL"),0,MAX(0,5-NETWORKDAYS(H5718+1,TODAY()))))</f>
        <v/>
      </c>
      <c r="L5718" t="str">
        <f>IF(A5718="","",IFERROR(LOOKUP(2,1/(#REF!=Z5718),#REF!),Y5718))</f>
        <v/>
      </c>
      <c r="Z5718" t="str">
        <f>IF(A5718="","",TEXT(A5718,"0")&amp;"|"&amp;TEXT(H5718,"0"))</f>
        <v/>
      </c>
      <c r="AA5718" t="str">
        <f>IF(Z5718="","",IFERROR(LOOKUP(2,1/(#REF!=Z5718),#REF!),""))</f>
        <v/>
      </c>
      <c r="AB5718" t="str">
        <f>IF(Z5718="","",IFERROR(LOOKUP(2,1/(#REF!=Z5718),#REF!),""))</f>
        <v/>
      </c>
      <c r="AC5718" t="str">
        <f>IF(Z5718="","",COUNTIF(#REF!,Z5718))</f>
        <v/>
      </c>
      <c r="AD5718" t="str">
        <f>IF(A5718="","",IF(AC5718&gt;1,"REVISAR DUPLICADO",IF(AA5718&lt;&gt;"","ACTUALIZADO POR EYR","SIN REPORTE EYR")))</f>
        <v/>
      </c>
    </row>
    <row r="5719" spans="11:30" x14ac:dyDescent="0.3">
      <c r="K5719" s="1" t="str">
        <f ca="1">IF(A5719="","",IF(OR(L5719="ENTREGADA",L5719="RETORNADA",L5719="ENTREGA DIGITAL"),0,MAX(0,5-NETWORKDAYS(H5719+1,TODAY()))))</f>
        <v/>
      </c>
      <c r="L5719" t="str">
        <f>IF(A5719="","",IFERROR(LOOKUP(2,1/(#REF!=Z5719),#REF!),Y5719))</f>
        <v/>
      </c>
      <c r="Z5719" t="str">
        <f>IF(A5719="","",TEXT(A5719,"0")&amp;"|"&amp;TEXT(H5719,"0"))</f>
        <v/>
      </c>
      <c r="AA5719" t="str">
        <f>IF(Z5719="","",IFERROR(LOOKUP(2,1/(#REF!=Z5719),#REF!),""))</f>
        <v/>
      </c>
      <c r="AB5719" t="str">
        <f>IF(Z5719="","",IFERROR(LOOKUP(2,1/(#REF!=Z5719),#REF!),""))</f>
        <v/>
      </c>
      <c r="AC5719" t="str">
        <f>IF(Z5719="","",COUNTIF(#REF!,Z5719))</f>
        <v/>
      </c>
      <c r="AD5719" t="str">
        <f>IF(A5719="","",IF(AC5719&gt;1,"REVISAR DUPLICADO",IF(AA5719&lt;&gt;"","ACTUALIZADO POR EYR","SIN REPORTE EYR")))</f>
        <v/>
      </c>
    </row>
    <row r="5720" spans="11:30" x14ac:dyDescent="0.3">
      <c r="K5720" s="1" t="str">
        <f ca="1">IF(A5720="","",IF(OR(L5720="ENTREGADA",L5720="RETORNADA",L5720="ENTREGA DIGITAL"),0,MAX(0,5-NETWORKDAYS(H5720+1,TODAY()))))</f>
        <v/>
      </c>
      <c r="L5720" t="str">
        <f>IF(A5720="","",IFERROR(LOOKUP(2,1/(#REF!=Z5720),#REF!),Y5720))</f>
        <v/>
      </c>
      <c r="Z5720" t="str">
        <f>IF(A5720="","",TEXT(A5720,"0")&amp;"|"&amp;TEXT(H5720,"0"))</f>
        <v/>
      </c>
      <c r="AA5720" t="str">
        <f>IF(Z5720="","",IFERROR(LOOKUP(2,1/(#REF!=Z5720),#REF!),""))</f>
        <v/>
      </c>
      <c r="AB5720" t="str">
        <f>IF(Z5720="","",IFERROR(LOOKUP(2,1/(#REF!=Z5720),#REF!),""))</f>
        <v/>
      </c>
      <c r="AC5720" t="str">
        <f>IF(Z5720="","",COUNTIF(#REF!,Z5720))</f>
        <v/>
      </c>
      <c r="AD5720" t="str">
        <f>IF(A5720="","",IF(AC5720&gt;1,"REVISAR DUPLICADO",IF(AA5720&lt;&gt;"","ACTUALIZADO POR EYR","SIN REPORTE EYR")))</f>
        <v/>
      </c>
    </row>
    <row r="5721" spans="11:30" x14ac:dyDescent="0.3">
      <c r="K5721" s="1" t="str">
        <f ca="1">IF(A5721="","",IF(OR(L5721="ENTREGADA",L5721="RETORNADA",L5721="ENTREGA DIGITAL"),0,MAX(0,5-NETWORKDAYS(H5721+1,TODAY()))))</f>
        <v/>
      </c>
      <c r="L5721" t="str">
        <f>IF(A5721="","",IFERROR(LOOKUP(2,1/(#REF!=Z5721),#REF!),Y5721))</f>
        <v/>
      </c>
      <c r="Z5721" t="str">
        <f>IF(A5721="","",TEXT(A5721,"0")&amp;"|"&amp;TEXT(H5721,"0"))</f>
        <v/>
      </c>
      <c r="AA5721" t="str">
        <f>IF(Z5721="","",IFERROR(LOOKUP(2,1/(#REF!=Z5721),#REF!),""))</f>
        <v/>
      </c>
      <c r="AB5721" t="str">
        <f>IF(Z5721="","",IFERROR(LOOKUP(2,1/(#REF!=Z5721),#REF!),""))</f>
        <v/>
      </c>
      <c r="AC5721" t="str">
        <f>IF(Z5721="","",COUNTIF(#REF!,Z5721))</f>
        <v/>
      </c>
      <c r="AD5721" t="str">
        <f>IF(A5721="","",IF(AC5721&gt;1,"REVISAR DUPLICADO",IF(AA5721&lt;&gt;"","ACTUALIZADO POR EYR","SIN REPORTE EYR")))</f>
        <v/>
      </c>
    </row>
    <row r="5722" spans="11:30" x14ac:dyDescent="0.3">
      <c r="K5722" s="1" t="str">
        <f ca="1">IF(A5722="","",IF(OR(L5722="ENTREGADA",L5722="RETORNADA",L5722="ENTREGA DIGITAL"),0,MAX(0,5-NETWORKDAYS(H5722+1,TODAY()))))</f>
        <v/>
      </c>
      <c r="L5722" t="str">
        <f>IF(A5722="","",IFERROR(LOOKUP(2,1/(#REF!=Z5722),#REF!),Y5722))</f>
        <v/>
      </c>
      <c r="Z5722" t="str">
        <f>IF(A5722="","",TEXT(A5722,"0")&amp;"|"&amp;TEXT(H5722,"0"))</f>
        <v/>
      </c>
      <c r="AA5722" t="str">
        <f>IF(Z5722="","",IFERROR(LOOKUP(2,1/(#REF!=Z5722),#REF!),""))</f>
        <v/>
      </c>
      <c r="AB5722" t="str">
        <f>IF(Z5722="","",IFERROR(LOOKUP(2,1/(#REF!=Z5722),#REF!),""))</f>
        <v/>
      </c>
      <c r="AC5722" t="str">
        <f>IF(Z5722="","",COUNTIF(#REF!,Z5722))</f>
        <v/>
      </c>
      <c r="AD5722" t="str">
        <f>IF(A5722="","",IF(AC5722&gt;1,"REVISAR DUPLICADO",IF(AA5722&lt;&gt;"","ACTUALIZADO POR EYR","SIN REPORTE EYR")))</f>
        <v/>
      </c>
    </row>
    <row r="5723" spans="11:30" x14ac:dyDescent="0.3">
      <c r="K5723" s="1" t="str">
        <f ca="1">IF(A5723="","",IF(OR(L5723="ENTREGADA",L5723="RETORNADA",L5723="ENTREGA DIGITAL"),0,MAX(0,5-NETWORKDAYS(H5723+1,TODAY()))))</f>
        <v/>
      </c>
      <c r="L5723" t="str">
        <f>IF(A5723="","",IFERROR(LOOKUP(2,1/(#REF!=Z5723),#REF!),Y5723))</f>
        <v/>
      </c>
      <c r="Z5723" t="str">
        <f>IF(A5723="","",TEXT(A5723,"0")&amp;"|"&amp;TEXT(H5723,"0"))</f>
        <v/>
      </c>
      <c r="AA5723" t="str">
        <f>IF(Z5723="","",IFERROR(LOOKUP(2,1/(#REF!=Z5723),#REF!),""))</f>
        <v/>
      </c>
      <c r="AB5723" t="str">
        <f>IF(Z5723="","",IFERROR(LOOKUP(2,1/(#REF!=Z5723),#REF!),""))</f>
        <v/>
      </c>
      <c r="AC5723" t="str">
        <f>IF(Z5723="","",COUNTIF(#REF!,Z5723))</f>
        <v/>
      </c>
      <c r="AD5723" t="str">
        <f>IF(A5723="","",IF(AC5723&gt;1,"REVISAR DUPLICADO",IF(AA5723&lt;&gt;"","ACTUALIZADO POR EYR","SIN REPORTE EYR")))</f>
        <v/>
      </c>
    </row>
    <row r="5724" spans="11:30" x14ac:dyDescent="0.3">
      <c r="K5724" s="1" t="str">
        <f ca="1">IF(A5724="","",IF(OR(L5724="ENTREGADA",L5724="RETORNADA",L5724="ENTREGA DIGITAL"),0,MAX(0,5-NETWORKDAYS(H5724+1,TODAY()))))</f>
        <v/>
      </c>
      <c r="L5724" t="str">
        <f>IF(A5724="","",IFERROR(LOOKUP(2,1/(#REF!=Z5724),#REF!),Y5724))</f>
        <v/>
      </c>
      <c r="Z5724" t="str">
        <f>IF(A5724="","",TEXT(A5724,"0")&amp;"|"&amp;TEXT(H5724,"0"))</f>
        <v/>
      </c>
      <c r="AA5724" t="str">
        <f>IF(Z5724="","",IFERROR(LOOKUP(2,1/(#REF!=Z5724),#REF!),""))</f>
        <v/>
      </c>
      <c r="AB5724" t="str">
        <f>IF(Z5724="","",IFERROR(LOOKUP(2,1/(#REF!=Z5724),#REF!),""))</f>
        <v/>
      </c>
      <c r="AC5724" t="str">
        <f>IF(Z5724="","",COUNTIF(#REF!,Z5724))</f>
        <v/>
      </c>
      <c r="AD5724" t="str">
        <f>IF(A5724="","",IF(AC5724&gt;1,"REVISAR DUPLICADO",IF(AA5724&lt;&gt;"","ACTUALIZADO POR EYR","SIN REPORTE EYR")))</f>
        <v/>
      </c>
    </row>
    <row r="5725" spans="11:30" x14ac:dyDescent="0.3">
      <c r="K5725" s="1" t="str">
        <f ca="1">IF(A5725="","",IF(OR(L5725="ENTREGADA",L5725="RETORNADA",L5725="ENTREGA DIGITAL"),0,MAX(0,5-NETWORKDAYS(H5725+1,TODAY()))))</f>
        <v/>
      </c>
      <c r="L5725" t="str">
        <f>IF(A5725="","",IFERROR(LOOKUP(2,1/(#REF!=Z5725),#REF!),Y5725))</f>
        <v/>
      </c>
      <c r="Z5725" t="str">
        <f>IF(A5725="","",TEXT(A5725,"0")&amp;"|"&amp;TEXT(H5725,"0"))</f>
        <v/>
      </c>
      <c r="AA5725" t="str">
        <f>IF(Z5725="","",IFERROR(LOOKUP(2,1/(#REF!=Z5725),#REF!),""))</f>
        <v/>
      </c>
      <c r="AB5725" t="str">
        <f>IF(Z5725="","",IFERROR(LOOKUP(2,1/(#REF!=Z5725),#REF!),""))</f>
        <v/>
      </c>
      <c r="AC5725" t="str">
        <f>IF(Z5725="","",COUNTIF(#REF!,Z5725))</f>
        <v/>
      </c>
      <c r="AD5725" t="str">
        <f>IF(A5725="","",IF(AC5725&gt;1,"REVISAR DUPLICADO",IF(AA5725&lt;&gt;"","ACTUALIZADO POR EYR","SIN REPORTE EYR")))</f>
        <v/>
      </c>
    </row>
    <row r="5726" spans="11:30" x14ac:dyDescent="0.3">
      <c r="K5726" s="1" t="str">
        <f ca="1">IF(A5726="","",IF(OR(L5726="ENTREGADA",L5726="RETORNADA",L5726="ENTREGA DIGITAL"),0,MAX(0,5-NETWORKDAYS(H5726+1,TODAY()))))</f>
        <v/>
      </c>
      <c r="L5726" t="str">
        <f>IF(A5726="","",IFERROR(LOOKUP(2,1/(#REF!=Z5726),#REF!),Y5726))</f>
        <v/>
      </c>
      <c r="Z5726" t="str">
        <f>IF(A5726="","",TEXT(A5726,"0")&amp;"|"&amp;TEXT(H5726,"0"))</f>
        <v/>
      </c>
      <c r="AA5726" t="str">
        <f>IF(Z5726="","",IFERROR(LOOKUP(2,1/(#REF!=Z5726),#REF!),""))</f>
        <v/>
      </c>
      <c r="AB5726" t="str">
        <f>IF(Z5726="","",IFERROR(LOOKUP(2,1/(#REF!=Z5726),#REF!),""))</f>
        <v/>
      </c>
      <c r="AC5726" t="str">
        <f>IF(Z5726="","",COUNTIF(#REF!,Z5726))</f>
        <v/>
      </c>
      <c r="AD5726" t="str">
        <f>IF(A5726="","",IF(AC5726&gt;1,"REVISAR DUPLICADO",IF(AA5726&lt;&gt;"","ACTUALIZADO POR EYR","SIN REPORTE EYR")))</f>
        <v/>
      </c>
    </row>
    <row r="5727" spans="11:30" x14ac:dyDescent="0.3">
      <c r="K5727" s="1" t="str">
        <f ca="1">IF(A5727="","",IF(OR(L5727="ENTREGADA",L5727="RETORNADA",L5727="ENTREGA DIGITAL"),0,MAX(0,5-NETWORKDAYS(H5727+1,TODAY()))))</f>
        <v/>
      </c>
      <c r="L5727" t="str">
        <f>IF(A5727="","",IFERROR(LOOKUP(2,1/(#REF!=Z5727),#REF!),Y5727))</f>
        <v/>
      </c>
      <c r="Z5727" t="str">
        <f>IF(A5727="","",TEXT(A5727,"0")&amp;"|"&amp;TEXT(H5727,"0"))</f>
        <v/>
      </c>
      <c r="AA5727" t="str">
        <f>IF(Z5727="","",IFERROR(LOOKUP(2,1/(#REF!=Z5727),#REF!),""))</f>
        <v/>
      </c>
      <c r="AB5727" t="str">
        <f>IF(Z5727="","",IFERROR(LOOKUP(2,1/(#REF!=Z5727),#REF!),""))</f>
        <v/>
      </c>
      <c r="AC5727" t="str">
        <f>IF(Z5727="","",COUNTIF(#REF!,Z5727))</f>
        <v/>
      </c>
      <c r="AD5727" t="str">
        <f>IF(A5727="","",IF(AC5727&gt;1,"REVISAR DUPLICADO",IF(AA5727&lt;&gt;"","ACTUALIZADO POR EYR","SIN REPORTE EYR")))</f>
        <v/>
      </c>
    </row>
    <row r="5728" spans="11:30" x14ac:dyDescent="0.3">
      <c r="K5728" s="1" t="str">
        <f ca="1">IF(A5728="","",IF(OR(L5728="ENTREGADA",L5728="RETORNADA",L5728="ENTREGA DIGITAL"),0,MAX(0,5-NETWORKDAYS(H5728+1,TODAY()))))</f>
        <v/>
      </c>
      <c r="L5728" t="str">
        <f>IF(A5728="","",IFERROR(LOOKUP(2,1/(#REF!=Z5728),#REF!),Y5728))</f>
        <v/>
      </c>
      <c r="Z5728" t="str">
        <f>IF(A5728="","",TEXT(A5728,"0")&amp;"|"&amp;TEXT(H5728,"0"))</f>
        <v/>
      </c>
      <c r="AA5728" t="str">
        <f>IF(Z5728="","",IFERROR(LOOKUP(2,1/(#REF!=Z5728),#REF!),""))</f>
        <v/>
      </c>
      <c r="AB5728" t="str">
        <f>IF(Z5728="","",IFERROR(LOOKUP(2,1/(#REF!=Z5728),#REF!),""))</f>
        <v/>
      </c>
      <c r="AC5728" t="str">
        <f>IF(Z5728="","",COUNTIF(#REF!,Z5728))</f>
        <v/>
      </c>
      <c r="AD5728" t="str">
        <f>IF(A5728="","",IF(AC5728&gt;1,"REVISAR DUPLICADO",IF(AA5728&lt;&gt;"","ACTUALIZADO POR EYR","SIN REPORTE EYR")))</f>
        <v/>
      </c>
    </row>
    <row r="5729" spans="11:30" x14ac:dyDescent="0.3">
      <c r="K5729" s="1" t="str">
        <f ca="1">IF(A5729="","",IF(OR(L5729="ENTREGADA",L5729="RETORNADA",L5729="ENTREGA DIGITAL"),0,MAX(0,5-NETWORKDAYS(H5729+1,TODAY()))))</f>
        <v/>
      </c>
      <c r="L5729" t="str">
        <f>IF(A5729="","",IFERROR(LOOKUP(2,1/(#REF!=Z5729),#REF!),Y5729))</f>
        <v/>
      </c>
      <c r="Z5729" t="str">
        <f>IF(A5729="","",TEXT(A5729,"0")&amp;"|"&amp;TEXT(H5729,"0"))</f>
        <v/>
      </c>
      <c r="AA5729" t="str">
        <f>IF(Z5729="","",IFERROR(LOOKUP(2,1/(#REF!=Z5729),#REF!),""))</f>
        <v/>
      </c>
      <c r="AB5729" t="str">
        <f>IF(Z5729="","",IFERROR(LOOKUP(2,1/(#REF!=Z5729),#REF!),""))</f>
        <v/>
      </c>
      <c r="AC5729" t="str">
        <f>IF(Z5729="","",COUNTIF(#REF!,Z5729))</f>
        <v/>
      </c>
      <c r="AD5729" t="str">
        <f>IF(A5729="","",IF(AC5729&gt;1,"REVISAR DUPLICADO",IF(AA5729&lt;&gt;"","ACTUALIZADO POR EYR","SIN REPORTE EYR")))</f>
        <v/>
      </c>
    </row>
    <row r="5730" spans="11:30" x14ac:dyDescent="0.3">
      <c r="K5730" s="1" t="str">
        <f ca="1">IF(A5730="","",IF(OR(L5730="ENTREGADA",L5730="RETORNADA",L5730="ENTREGA DIGITAL"),0,MAX(0,5-NETWORKDAYS(H5730+1,TODAY()))))</f>
        <v/>
      </c>
      <c r="L5730" t="str">
        <f>IF(A5730="","",IFERROR(LOOKUP(2,1/(#REF!=Z5730),#REF!),Y5730))</f>
        <v/>
      </c>
      <c r="Z5730" t="str">
        <f>IF(A5730="","",TEXT(A5730,"0")&amp;"|"&amp;TEXT(H5730,"0"))</f>
        <v/>
      </c>
      <c r="AA5730" t="str">
        <f>IF(Z5730="","",IFERROR(LOOKUP(2,1/(#REF!=Z5730),#REF!),""))</f>
        <v/>
      </c>
      <c r="AB5730" t="str">
        <f>IF(Z5730="","",IFERROR(LOOKUP(2,1/(#REF!=Z5730),#REF!),""))</f>
        <v/>
      </c>
      <c r="AC5730" t="str">
        <f>IF(Z5730="","",COUNTIF(#REF!,Z5730))</f>
        <v/>
      </c>
      <c r="AD5730" t="str">
        <f>IF(A5730="","",IF(AC5730&gt;1,"REVISAR DUPLICADO",IF(AA5730&lt;&gt;"","ACTUALIZADO POR EYR","SIN REPORTE EYR")))</f>
        <v/>
      </c>
    </row>
    <row r="5731" spans="11:30" x14ac:dyDescent="0.3">
      <c r="K5731" s="1" t="str">
        <f ca="1">IF(A5731="","",IF(OR(L5731="ENTREGADA",L5731="RETORNADA",L5731="ENTREGA DIGITAL"),0,MAX(0,5-NETWORKDAYS(H5731+1,TODAY()))))</f>
        <v/>
      </c>
      <c r="L5731" t="str">
        <f>IF(A5731="","",IFERROR(LOOKUP(2,1/(#REF!=Z5731),#REF!),Y5731))</f>
        <v/>
      </c>
      <c r="Z5731" t="str">
        <f>IF(A5731="","",TEXT(A5731,"0")&amp;"|"&amp;TEXT(H5731,"0"))</f>
        <v/>
      </c>
      <c r="AA5731" t="str">
        <f>IF(Z5731="","",IFERROR(LOOKUP(2,1/(#REF!=Z5731),#REF!),""))</f>
        <v/>
      </c>
      <c r="AB5731" t="str">
        <f>IF(Z5731="","",IFERROR(LOOKUP(2,1/(#REF!=Z5731),#REF!),""))</f>
        <v/>
      </c>
      <c r="AC5731" t="str">
        <f>IF(Z5731="","",COUNTIF(#REF!,Z5731))</f>
        <v/>
      </c>
      <c r="AD5731" t="str">
        <f>IF(A5731="","",IF(AC5731&gt;1,"REVISAR DUPLICADO",IF(AA5731&lt;&gt;"","ACTUALIZADO POR EYR","SIN REPORTE EYR")))</f>
        <v/>
      </c>
    </row>
    <row r="5732" spans="11:30" x14ac:dyDescent="0.3">
      <c r="K5732" s="1" t="str">
        <f ca="1">IF(A5732="","",IF(OR(L5732="ENTREGADA",L5732="RETORNADA",L5732="ENTREGA DIGITAL"),0,MAX(0,5-NETWORKDAYS(H5732+1,TODAY()))))</f>
        <v/>
      </c>
      <c r="L5732" t="str">
        <f>IF(A5732="","",IFERROR(LOOKUP(2,1/(#REF!=Z5732),#REF!),Y5732))</f>
        <v/>
      </c>
      <c r="Z5732" t="str">
        <f>IF(A5732="","",TEXT(A5732,"0")&amp;"|"&amp;TEXT(H5732,"0"))</f>
        <v/>
      </c>
      <c r="AA5732" t="str">
        <f>IF(Z5732="","",IFERROR(LOOKUP(2,1/(#REF!=Z5732),#REF!),""))</f>
        <v/>
      </c>
      <c r="AB5732" t="str">
        <f>IF(Z5732="","",IFERROR(LOOKUP(2,1/(#REF!=Z5732),#REF!),""))</f>
        <v/>
      </c>
      <c r="AC5732" t="str">
        <f>IF(Z5732="","",COUNTIF(#REF!,Z5732))</f>
        <v/>
      </c>
      <c r="AD5732" t="str">
        <f>IF(A5732="","",IF(AC5732&gt;1,"REVISAR DUPLICADO",IF(AA5732&lt;&gt;"","ACTUALIZADO POR EYR","SIN REPORTE EYR")))</f>
        <v/>
      </c>
    </row>
    <row r="5733" spans="11:30" x14ac:dyDescent="0.3">
      <c r="K5733" s="1" t="str">
        <f ca="1">IF(A5733="","",IF(OR(L5733="ENTREGADA",L5733="RETORNADA",L5733="ENTREGA DIGITAL"),0,MAX(0,5-NETWORKDAYS(H5733+1,TODAY()))))</f>
        <v/>
      </c>
      <c r="L5733" t="str">
        <f>IF(A5733="","",IFERROR(LOOKUP(2,1/(#REF!=Z5733),#REF!),Y5733))</f>
        <v/>
      </c>
      <c r="Z5733" t="str">
        <f>IF(A5733="","",TEXT(A5733,"0")&amp;"|"&amp;TEXT(H5733,"0"))</f>
        <v/>
      </c>
      <c r="AA5733" t="str">
        <f>IF(Z5733="","",IFERROR(LOOKUP(2,1/(#REF!=Z5733),#REF!),""))</f>
        <v/>
      </c>
      <c r="AB5733" t="str">
        <f>IF(Z5733="","",IFERROR(LOOKUP(2,1/(#REF!=Z5733),#REF!),""))</f>
        <v/>
      </c>
      <c r="AC5733" t="str">
        <f>IF(Z5733="","",COUNTIF(#REF!,Z5733))</f>
        <v/>
      </c>
      <c r="AD5733" t="str">
        <f>IF(A5733="","",IF(AC5733&gt;1,"REVISAR DUPLICADO",IF(AA5733&lt;&gt;"","ACTUALIZADO POR EYR","SIN REPORTE EYR")))</f>
        <v/>
      </c>
    </row>
    <row r="5734" spans="11:30" x14ac:dyDescent="0.3">
      <c r="K5734" s="1" t="str">
        <f ca="1">IF(A5734="","",IF(OR(L5734="ENTREGADA",L5734="RETORNADA",L5734="ENTREGA DIGITAL"),0,MAX(0,5-NETWORKDAYS(H5734+1,TODAY()))))</f>
        <v/>
      </c>
      <c r="L5734" t="str">
        <f>IF(A5734="","",IFERROR(LOOKUP(2,1/(#REF!=Z5734),#REF!),Y5734))</f>
        <v/>
      </c>
      <c r="Z5734" t="str">
        <f>IF(A5734="","",TEXT(A5734,"0")&amp;"|"&amp;TEXT(H5734,"0"))</f>
        <v/>
      </c>
      <c r="AA5734" t="str">
        <f>IF(Z5734="","",IFERROR(LOOKUP(2,1/(#REF!=Z5734),#REF!),""))</f>
        <v/>
      </c>
      <c r="AB5734" t="str">
        <f>IF(Z5734="","",IFERROR(LOOKUP(2,1/(#REF!=Z5734),#REF!),""))</f>
        <v/>
      </c>
      <c r="AC5734" t="str">
        <f>IF(Z5734="","",COUNTIF(#REF!,Z5734))</f>
        <v/>
      </c>
      <c r="AD5734" t="str">
        <f>IF(A5734="","",IF(AC5734&gt;1,"REVISAR DUPLICADO",IF(AA5734&lt;&gt;"","ACTUALIZADO POR EYR","SIN REPORTE EYR")))</f>
        <v/>
      </c>
    </row>
    <row r="5735" spans="11:30" x14ac:dyDescent="0.3">
      <c r="K5735" s="1" t="str">
        <f ca="1">IF(A5735="","",IF(OR(L5735="ENTREGADA",L5735="RETORNADA",L5735="ENTREGA DIGITAL"),0,MAX(0,5-NETWORKDAYS(H5735+1,TODAY()))))</f>
        <v/>
      </c>
      <c r="L5735" t="str">
        <f>IF(A5735="","",IFERROR(LOOKUP(2,1/(#REF!=Z5735),#REF!),Y5735))</f>
        <v/>
      </c>
      <c r="Z5735" t="str">
        <f>IF(A5735="","",TEXT(A5735,"0")&amp;"|"&amp;TEXT(H5735,"0"))</f>
        <v/>
      </c>
      <c r="AA5735" t="str">
        <f>IF(Z5735="","",IFERROR(LOOKUP(2,1/(#REF!=Z5735),#REF!),""))</f>
        <v/>
      </c>
      <c r="AB5735" t="str">
        <f>IF(Z5735="","",IFERROR(LOOKUP(2,1/(#REF!=Z5735),#REF!),""))</f>
        <v/>
      </c>
      <c r="AC5735" t="str">
        <f>IF(Z5735="","",COUNTIF(#REF!,Z5735))</f>
        <v/>
      </c>
      <c r="AD5735" t="str">
        <f>IF(A5735="","",IF(AC5735&gt;1,"REVISAR DUPLICADO",IF(AA5735&lt;&gt;"","ACTUALIZADO POR EYR","SIN REPORTE EYR")))</f>
        <v/>
      </c>
    </row>
    <row r="5736" spans="11:30" x14ac:dyDescent="0.3">
      <c r="K5736" s="1" t="str">
        <f ca="1">IF(A5736="","",IF(OR(L5736="ENTREGADA",L5736="RETORNADA",L5736="ENTREGA DIGITAL"),0,MAX(0,5-NETWORKDAYS(H5736+1,TODAY()))))</f>
        <v/>
      </c>
      <c r="L5736" t="str">
        <f>IF(A5736="","",IFERROR(LOOKUP(2,1/(#REF!=Z5736),#REF!),Y5736))</f>
        <v/>
      </c>
      <c r="Z5736" t="str">
        <f>IF(A5736="","",TEXT(A5736,"0")&amp;"|"&amp;TEXT(H5736,"0"))</f>
        <v/>
      </c>
      <c r="AA5736" t="str">
        <f>IF(Z5736="","",IFERROR(LOOKUP(2,1/(#REF!=Z5736),#REF!),""))</f>
        <v/>
      </c>
      <c r="AB5736" t="str">
        <f>IF(Z5736="","",IFERROR(LOOKUP(2,1/(#REF!=Z5736),#REF!),""))</f>
        <v/>
      </c>
      <c r="AC5736" t="str">
        <f>IF(Z5736="","",COUNTIF(#REF!,Z5736))</f>
        <v/>
      </c>
      <c r="AD5736" t="str">
        <f>IF(A5736="","",IF(AC5736&gt;1,"REVISAR DUPLICADO",IF(AA5736&lt;&gt;"","ACTUALIZADO POR EYR","SIN REPORTE EYR")))</f>
        <v/>
      </c>
    </row>
    <row r="5737" spans="11:30" x14ac:dyDescent="0.3">
      <c r="K5737" s="1" t="str">
        <f ca="1">IF(A5737="","",IF(OR(L5737="ENTREGADA",L5737="RETORNADA",L5737="ENTREGA DIGITAL"),0,MAX(0,5-NETWORKDAYS(H5737+1,TODAY()))))</f>
        <v/>
      </c>
      <c r="L5737" t="str">
        <f>IF(A5737="","",IFERROR(LOOKUP(2,1/(#REF!=Z5737),#REF!),Y5737))</f>
        <v/>
      </c>
      <c r="Z5737" t="str">
        <f>IF(A5737="","",TEXT(A5737,"0")&amp;"|"&amp;TEXT(H5737,"0"))</f>
        <v/>
      </c>
      <c r="AA5737" t="str">
        <f>IF(Z5737="","",IFERROR(LOOKUP(2,1/(#REF!=Z5737),#REF!),""))</f>
        <v/>
      </c>
      <c r="AB5737" t="str">
        <f>IF(Z5737="","",IFERROR(LOOKUP(2,1/(#REF!=Z5737),#REF!),""))</f>
        <v/>
      </c>
      <c r="AC5737" t="str">
        <f>IF(Z5737="","",COUNTIF(#REF!,Z5737))</f>
        <v/>
      </c>
      <c r="AD5737" t="str">
        <f>IF(A5737="","",IF(AC5737&gt;1,"REVISAR DUPLICADO",IF(AA5737&lt;&gt;"","ACTUALIZADO POR EYR","SIN REPORTE EYR")))</f>
        <v/>
      </c>
    </row>
    <row r="5738" spans="11:30" x14ac:dyDescent="0.3">
      <c r="K5738" s="1" t="str">
        <f ca="1">IF(A5738="","",IF(OR(L5738="ENTREGADA",L5738="RETORNADA",L5738="ENTREGA DIGITAL"),0,MAX(0,5-NETWORKDAYS(H5738+1,TODAY()))))</f>
        <v/>
      </c>
      <c r="L5738" t="str">
        <f>IF(A5738="","",IFERROR(LOOKUP(2,1/(#REF!=Z5738),#REF!),Y5738))</f>
        <v/>
      </c>
      <c r="Z5738" t="str">
        <f>IF(A5738="","",TEXT(A5738,"0")&amp;"|"&amp;TEXT(H5738,"0"))</f>
        <v/>
      </c>
      <c r="AA5738" t="str">
        <f>IF(Z5738="","",IFERROR(LOOKUP(2,1/(#REF!=Z5738),#REF!),""))</f>
        <v/>
      </c>
      <c r="AB5738" t="str">
        <f>IF(Z5738="","",IFERROR(LOOKUP(2,1/(#REF!=Z5738),#REF!),""))</f>
        <v/>
      </c>
      <c r="AC5738" t="str">
        <f>IF(Z5738="","",COUNTIF(#REF!,Z5738))</f>
        <v/>
      </c>
      <c r="AD5738" t="str">
        <f>IF(A5738="","",IF(AC5738&gt;1,"REVISAR DUPLICADO",IF(AA5738&lt;&gt;"","ACTUALIZADO POR EYR","SIN REPORTE EYR")))</f>
        <v/>
      </c>
    </row>
    <row r="5739" spans="11:30" x14ac:dyDescent="0.3">
      <c r="K5739" s="1" t="str">
        <f ca="1">IF(A5739="","",IF(OR(L5739="ENTREGADA",L5739="RETORNADA",L5739="ENTREGA DIGITAL"),0,MAX(0,5-NETWORKDAYS(H5739+1,TODAY()))))</f>
        <v/>
      </c>
      <c r="L5739" t="str">
        <f>IF(A5739="","",IFERROR(LOOKUP(2,1/(#REF!=Z5739),#REF!),Y5739))</f>
        <v/>
      </c>
      <c r="Z5739" t="str">
        <f>IF(A5739="","",TEXT(A5739,"0")&amp;"|"&amp;TEXT(H5739,"0"))</f>
        <v/>
      </c>
      <c r="AA5739" t="str">
        <f>IF(Z5739="","",IFERROR(LOOKUP(2,1/(#REF!=Z5739),#REF!),""))</f>
        <v/>
      </c>
      <c r="AB5739" t="str">
        <f>IF(Z5739="","",IFERROR(LOOKUP(2,1/(#REF!=Z5739),#REF!),""))</f>
        <v/>
      </c>
      <c r="AC5739" t="str">
        <f>IF(Z5739="","",COUNTIF(#REF!,Z5739))</f>
        <v/>
      </c>
      <c r="AD5739" t="str">
        <f>IF(A5739="","",IF(AC5739&gt;1,"REVISAR DUPLICADO",IF(AA5739&lt;&gt;"","ACTUALIZADO POR EYR","SIN REPORTE EYR")))</f>
        <v/>
      </c>
    </row>
    <row r="5740" spans="11:30" x14ac:dyDescent="0.3">
      <c r="K5740" s="1" t="str">
        <f ca="1">IF(A5740="","",IF(OR(L5740="ENTREGADA",L5740="RETORNADA",L5740="ENTREGA DIGITAL"),0,MAX(0,5-NETWORKDAYS(H5740+1,TODAY()))))</f>
        <v/>
      </c>
      <c r="L5740" t="str">
        <f>IF(A5740="","",IFERROR(LOOKUP(2,1/(#REF!=Z5740),#REF!),Y5740))</f>
        <v/>
      </c>
      <c r="Z5740" t="str">
        <f>IF(A5740="","",TEXT(A5740,"0")&amp;"|"&amp;TEXT(H5740,"0"))</f>
        <v/>
      </c>
      <c r="AA5740" t="str">
        <f>IF(Z5740="","",IFERROR(LOOKUP(2,1/(#REF!=Z5740),#REF!),""))</f>
        <v/>
      </c>
      <c r="AB5740" t="str">
        <f>IF(Z5740="","",IFERROR(LOOKUP(2,1/(#REF!=Z5740),#REF!),""))</f>
        <v/>
      </c>
      <c r="AC5740" t="str">
        <f>IF(Z5740="","",COUNTIF(#REF!,Z5740))</f>
        <v/>
      </c>
      <c r="AD5740" t="str">
        <f>IF(A5740="","",IF(AC5740&gt;1,"REVISAR DUPLICADO",IF(AA5740&lt;&gt;"","ACTUALIZADO POR EYR","SIN REPORTE EYR")))</f>
        <v/>
      </c>
    </row>
    <row r="5741" spans="11:30" x14ac:dyDescent="0.3">
      <c r="K5741" s="1" t="str">
        <f ca="1">IF(A5741="","",IF(OR(L5741="ENTREGADA",L5741="RETORNADA",L5741="ENTREGA DIGITAL"),0,MAX(0,5-NETWORKDAYS(H5741+1,TODAY()))))</f>
        <v/>
      </c>
      <c r="L5741" t="str">
        <f>IF(A5741="","",IFERROR(LOOKUP(2,1/(#REF!=Z5741),#REF!),Y5741))</f>
        <v/>
      </c>
      <c r="Z5741" t="str">
        <f>IF(A5741="","",TEXT(A5741,"0")&amp;"|"&amp;TEXT(H5741,"0"))</f>
        <v/>
      </c>
      <c r="AA5741" t="str">
        <f>IF(Z5741="","",IFERROR(LOOKUP(2,1/(#REF!=Z5741),#REF!),""))</f>
        <v/>
      </c>
      <c r="AB5741" t="str">
        <f>IF(Z5741="","",IFERROR(LOOKUP(2,1/(#REF!=Z5741),#REF!),""))</f>
        <v/>
      </c>
      <c r="AC5741" t="str">
        <f>IF(Z5741="","",COUNTIF(#REF!,Z5741))</f>
        <v/>
      </c>
      <c r="AD5741" t="str">
        <f>IF(A5741="","",IF(AC5741&gt;1,"REVISAR DUPLICADO",IF(AA5741&lt;&gt;"","ACTUALIZADO POR EYR","SIN REPORTE EYR")))</f>
        <v/>
      </c>
    </row>
    <row r="5742" spans="11:30" x14ac:dyDescent="0.3">
      <c r="K5742" s="1" t="str">
        <f ca="1">IF(A5742="","",IF(OR(L5742="ENTREGADA",L5742="RETORNADA",L5742="ENTREGA DIGITAL"),0,MAX(0,5-NETWORKDAYS(H5742+1,TODAY()))))</f>
        <v/>
      </c>
      <c r="L5742" t="str">
        <f>IF(A5742="","",IFERROR(LOOKUP(2,1/(#REF!=Z5742),#REF!),Y5742))</f>
        <v/>
      </c>
      <c r="Z5742" t="str">
        <f>IF(A5742="","",TEXT(A5742,"0")&amp;"|"&amp;TEXT(H5742,"0"))</f>
        <v/>
      </c>
      <c r="AA5742" t="str">
        <f>IF(Z5742="","",IFERROR(LOOKUP(2,1/(#REF!=Z5742),#REF!),""))</f>
        <v/>
      </c>
      <c r="AB5742" t="str">
        <f>IF(Z5742="","",IFERROR(LOOKUP(2,1/(#REF!=Z5742),#REF!),""))</f>
        <v/>
      </c>
      <c r="AC5742" t="str">
        <f>IF(Z5742="","",COUNTIF(#REF!,Z5742))</f>
        <v/>
      </c>
      <c r="AD5742" t="str">
        <f>IF(A5742="","",IF(AC5742&gt;1,"REVISAR DUPLICADO",IF(AA5742&lt;&gt;"","ACTUALIZADO POR EYR","SIN REPORTE EYR")))</f>
        <v/>
      </c>
    </row>
    <row r="5743" spans="11:30" x14ac:dyDescent="0.3">
      <c r="K5743" s="1" t="str">
        <f ca="1">IF(A5743="","",IF(OR(L5743="ENTREGADA",L5743="RETORNADA",L5743="ENTREGA DIGITAL"),0,MAX(0,5-NETWORKDAYS(H5743+1,TODAY()))))</f>
        <v/>
      </c>
      <c r="L5743" t="str">
        <f>IF(A5743="","",IFERROR(LOOKUP(2,1/(#REF!=Z5743),#REF!),Y5743))</f>
        <v/>
      </c>
      <c r="Z5743" t="str">
        <f>IF(A5743="","",TEXT(A5743,"0")&amp;"|"&amp;TEXT(H5743,"0"))</f>
        <v/>
      </c>
      <c r="AA5743" t="str">
        <f>IF(Z5743="","",IFERROR(LOOKUP(2,1/(#REF!=Z5743),#REF!),""))</f>
        <v/>
      </c>
      <c r="AB5743" t="str">
        <f>IF(Z5743="","",IFERROR(LOOKUP(2,1/(#REF!=Z5743),#REF!),""))</f>
        <v/>
      </c>
      <c r="AC5743" t="str">
        <f>IF(Z5743="","",COUNTIF(#REF!,Z5743))</f>
        <v/>
      </c>
      <c r="AD5743" t="str">
        <f>IF(A5743="","",IF(AC5743&gt;1,"REVISAR DUPLICADO",IF(AA5743&lt;&gt;"","ACTUALIZADO POR EYR","SIN REPORTE EYR")))</f>
        <v/>
      </c>
    </row>
    <row r="5744" spans="11:30" x14ac:dyDescent="0.3">
      <c r="K5744" s="1" t="str">
        <f ca="1">IF(A5744="","",IF(OR(L5744="ENTREGADA",L5744="RETORNADA",L5744="ENTREGA DIGITAL"),0,MAX(0,5-NETWORKDAYS(H5744+1,TODAY()))))</f>
        <v/>
      </c>
      <c r="L5744" t="str">
        <f>IF(A5744="","",IFERROR(LOOKUP(2,1/(#REF!=Z5744),#REF!),Y5744))</f>
        <v/>
      </c>
      <c r="Z5744" t="str">
        <f>IF(A5744="","",TEXT(A5744,"0")&amp;"|"&amp;TEXT(H5744,"0"))</f>
        <v/>
      </c>
      <c r="AA5744" t="str">
        <f>IF(Z5744="","",IFERROR(LOOKUP(2,1/(#REF!=Z5744),#REF!),""))</f>
        <v/>
      </c>
      <c r="AB5744" t="str">
        <f>IF(Z5744="","",IFERROR(LOOKUP(2,1/(#REF!=Z5744),#REF!),""))</f>
        <v/>
      </c>
      <c r="AC5744" t="str">
        <f>IF(Z5744="","",COUNTIF(#REF!,Z5744))</f>
        <v/>
      </c>
      <c r="AD5744" t="str">
        <f>IF(A5744="","",IF(AC5744&gt;1,"REVISAR DUPLICADO",IF(AA5744&lt;&gt;"","ACTUALIZADO POR EYR","SIN REPORTE EYR")))</f>
        <v/>
      </c>
    </row>
    <row r="5745" spans="11:30" x14ac:dyDescent="0.3">
      <c r="K5745" s="1" t="str">
        <f ca="1">IF(A5745="","",IF(OR(L5745="ENTREGADA",L5745="RETORNADA",L5745="ENTREGA DIGITAL"),0,MAX(0,5-NETWORKDAYS(H5745+1,TODAY()))))</f>
        <v/>
      </c>
      <c r="L5745" t="str">
        <f>IF(A5745="","",IFERROR(LOOKUP(2,1/(#REF!=Z5745),#REF!),Y5745))</f>
        <v/>
      </c>
      <c r="Z5745" t="str">
        <f>IF(A5745="","",TEXT(A5745,"0")&amp;"|"&amp;TEXT(H5745,"0"))</f>
        <v/>
      </c>
      <c r="AA5745" t="str">
        <f>IF(Z5745="","",IFERROR(LOOKUP(2,1/(#REF!=Z5745),#REF!),""))</f>
        <v/>
      </c>
      <c r="AB5745" t="str">
        <f>IF(Z5745="","",IFERROR(LOOKUP(2,1/(#REF!=Z5745),#REF!),""))</f>
        <v/>
      </c>
      <c r="AC5745" t="str">
        <f>IF(Z5745="","",COUNTIF(#REF!,Z5745))</f>
        <v/>
      </c>
      <c r="AD5745" t="str">
        <f>IF(A5745="","",IF(AC5745&gt;1,"REVISAR DUPLICADO",IF(AA5745&lt;&gt;"","ACTUALIZADO POR EYR","SIN REPORTE EYR")))</f>
        <v/>
      </c>
    </row>
    <row r="5746" spans="11:30" x14ac:dyDescent="0.3">
      <c r="K5746" s="1" t="str">
        <f ca="1">IF(A5746="","",IF(OR(L5746="ENTREGADA",L5746="RETORNADA",L5746="ENTREGA DIGITAL"),0,MAX(0,5-NETWORKDAYS(H5746+1,TODAY()))))</f>
        <v/>
      </c>
      <c r="L5746" t="str">
        <f>IF(A5746="","",IFERROR(LOOKUP(2,1/(#REF!=Z5746),#REF!),Y5746))</f>
        <v/>
      </c>
      <c r="Z5746" t="str">
        <f>IF(A5746="","",TEXT(A5746,"0")&amp;"|"&amp;TEXT(H5746,"0"))</f>
        <v/>
      </c>
      <c r="AA5746" t="str">
        <f>IF(Z5746="","",IFERROR(LOOKUP(2,1/(#REF!=Z5746),#REF!),""))</f>
        <v/>
      </c>
      <c r="AB5746" t="str">
        <f>IF(Z5746="","",IFERROR(LOOKUP(2,1/(#REF!=Z5746),#REF!),""))</f>
        <v/>
      </c>
      <c r="AC5746" t="str">
        <f>IF(Z5746="","",COUNTIF(#REF!,Z5746))</f>
        <v/>
      </c>
      <c r="AD5746" t="str">
        <f>IF(A5746="","",IF(AC5746&gt;1,"REVISAR DUPLICADO",IF(AA5746&lt;&gt;"","ACTUALIZADO POR EYR","SIN REPORTE EYR")))</f>
        <v/>
      </c>
    </row>
    <row r="5747" spans="11:30" x14ac:dyDescent="0.3">
      <c r="K5747" s="1" t="str">
        <f ca="1">IF(A5747="","",IF(OR(L5747="ENTREGADA",L5747="RETORNADA",L5747="ENTREGA DIGITAL"),0,MAX(0,5-NETWORKDAYS(H5747+1,TODAY()))))</f>
        <v/>
      </c>
      <c r="L5747" t="str">
        <f>IF(A5747="","",IFERROR(LOOKUP(2,1/(#REF!=Z5747),#REF!),Y5747))</f>
        <v/>
      </c>
      <c r="Z5747" t="str">
        <f>IF(A5747="","",TEXT(A5747,"0")&amp;"|"&amp;TEXT(H5747,"0"))</f>
        <v/>
      </c>
      <c r="AA5747" t="str">
        <f>IF(Z5747="","",IFERROR(LOOKUP(2,1/(#REF!=Z5747),#REF!),""))</f>
        <v/>
      </c>
      <c r="AB5747" t="str">
        <f>IF(Z5747="","",IFERROR(LOOKUP(2,1/(#REF!=Z5747),#REF!),""))</f>
        <v/>
      </c>
      <c r="AC5747" t="str">
        <f>IF(Z5747="","",COUNTIF(#REF!,Z5747))</f>
        <v/>
      </c>
      <c r="AD5747" t="str">
        <f>IF(A5747="","",IF(AC5747&gt;1,"REVISAR DUPLICADO",IF(AA5747&lt;&gt;"","ACTUALIZADO POR EYR","SIN REPORTE EYR")))</f>
        <v/>
      </c>
    </row>
    <row r="5748" spans="11:30" x14ac:dyDescent="0.3">
      <c r="K5748" s="1" t="str">
        <f ca="1">IF(A5748="","",IF(OR(L5748="ENTREGADA",L5748="RETORNADA",L5748="ENTREGA DIGITAL"),0,MAX(0,5-NETWORKDAYS(H5748+1,TODAY()))))</f>
        <v/>
      </c>
      <c r="L5748" t="str">
        <f>IF(A5748="","",IFERROR(LOOKUP(2,1/(#REF!=Z5748),#REF!),Y5748))</f>
        <v/>
      </c>
      <c r="Z5748" t="str">
        <f>IF(A5748="","",TEXT(A5748,"0")&amp;"|"&amp;TEXT(H5748,"0"))</f>
        <v/>
      </c>
      <c r="AA5748" t="str">
        <f>IF(Z5748="","",IFERROR(LOOKUP(2,1/(#REF!=Z5748),#REF!),""))</f>
        <v/>
      </c>
      <c r="AB5748" t="str">
        <f>IF(Z5748="","",IFERROR(LOOKUP(2,1/(#REF!=Z5748),#REF!),""))</f>
        <v/>
      </c>
      <c r="AC5748" t="str">
        <f>IF(Z5748="","",COUNTIF(#REF!,Z5748))</f>
        <v/>
      </c>
      <c r="AD5748" t="str">
        <f>IF(A5748="","",IF(AC5748&gt;1,"REVISAR DUPLICADO",IF(AA5748&lt;&gt;"","ACTUALIZADO POR EYR","SIN REPORTE EYR")))</f>
        <v/>
      </c>
    </row>
    <row r="5749" spans="11:30" x14ac:dyDescent="0.3">
      <c r="K5749" s="1" t="str">
        <f ca="1">IF(A5749="","",IF(OR(L5749="ENTREGADA",L5749="RETORNADA",L5749="ENTREGA DIGITAL"),0,MAX(0,5-NETWORKDAYS(H5749+1,TODAY()))))</f>
        <v/>
      </c>
      <c r="L5749" t="str">
        <f>IF(A5749="","",IFERROR(LOOKUP(2,1/(#REF!=Z5749),#REF!),Y5749))</f>
        <v/>
      </c>
      <c r="Z5749" t="str">
        <f>IF(A5749="","",TEXT(A5749,"0")&amp;"|"&amp;TEXT(H5749,"0"))</f>
        <v/>
      </c>
      <c r="AA5749" t="str">
        <f>IF(Z5749="","",IFERROR(LOOKUP(2,1/(#REF!=Z5749),#REF!),""))</f>
        <v/>
      </c>
      <c r="AB5749" t="str">
        <f>IF(Z5749="","",IFERROR(LOOKUP(2,1/(#REF!=Z5749),#REF!),""))</f>
        <v/>
      </c>
      <c r="AC5749" t="str">
        <f>IF(Z5749="","",COUNTIF(#REF!,Z5749))</f>
        <v/>
      </c>
      <c r="AD5749" t="str">
        <f>IF(A5749="","",IF(AC5749&gt;1,"REVISAR DUPLICADO",IF(AA5749&lt;&gt;"","ACTUALIZADO POR EYR","SIN REPORTE EYR")))</f>
        <v/>
      </c>
    </row>
    <row r="5750" spans="11:30" x14ac:dyDescent="0.3">
      <c r="K5750" s="1" t="str">
        <f ca="1">IF(A5750="","",IF(OR(L5750="ENTREGADA",L5750="RETORNADA",L5750="ENTREGA DIGITAL"),0,MAX(0,5-NETWORKDAYS(H5750+1,TODAY()))))</f>
        <v/>
      </c>
      <c r="L5750" t="str">
        <f>IF(A5750="","",IFERROR(LOOKUP(2,1/(#REF!=Z5750),#REF!),Y5750))</f>
        <v/>
      </c>
      <c r="Z5750" t="str">
        <f>IF(A5750="","",TEXT(A5750,"0")&amp;"|"&amp;TEXT(H5750,"0"))</f>
        <v/>
      </c>
      <c r="AA5750" t="str">
        <f>IF(Z5750="","",IFERROR(LOOKUP(2,1/(#REF!=Z5750),#REF!),""))</f>
        <v/>
      </c>
      <c r="AB5750" t="str">
        <f>IF(Z5750="","",IFERROR(LOOKUP(2,1/(#REF!=Z5750),#REF!),""))</f>
        <v/>
      </c>
      <c r="AC5750" t="str">
        <f>IF(Z5750="","",COUNTIF(#REF!,Z5750))</f>
        <v/>
      </c>
      <c r="AD5750" t="str">
        <f>IF(A5750="","",IF(AC5750&gt;1,"REVISAR DUPLICADO",IF(AA5750&lt;&gt;"","ACTUALIZADO POR EYR","SIN REPORTE EYR")))</f>
        <v/>
      </c>
    </row>
    <row r="5751" spans="11:30" x14ac:dyDescent="0.3">
      <c r="K5751" s="1" t="str">
        <f ca="1">IF(A5751="","",IF(OR(L5751="ENTREGADA",L5751="RETORNADA",L5751="ENTREGA DIGITAL"),0,MAX(0,5-NETWORKDAYS(H5751+1,TODAY()))))</f>
        <v/>
      </c>
      <c r="L5751" t="str">
        <f>IF(A5751="","",IFERROR(LOOKUP(2,1/(#REF!=Z5751),#REF!),Y5751))</f>
        <v/>
      </c>
      <c r="Z5751" t="str">
        <f>IF(A5751="","",TEXT(A5751,"0")&amp;"|"&amp;TEXT(H5751,"0"))</f>
        <v/>
      </c>
      <c r="AA5751" t="str">
        <f>IF(Z5751="","",IFERROR(LOOKUP(2,1/(#REF!=Z5751),#REF!),""))</f>
        <v/>
      </c>
      <c r="AB5751" t="str">
        <f>IF(Z5751="","",IFERROR(LOOKUP(2,1/(#REF!=Z5751),#REF!),""))</f>
        <v/>
      </c>
      <c r="AC5751" t="str">
        <f>IF(Z5751="","",COUNTIF(#REF!,Z5751))</f>
        <v/>
      </c>
      <c r="AD5751" t="str">
        <f>IF(A5751="","",IF(AC5751&gt;1,"REVISAR DUPLICADO",IF(AA5751&lt;&gt;"","ACTUALIZADO POR EYR","SIN REPORTE EYR")))</f>
        <v/>
      </c>
    </row>
    <row r="5752" spans="11:30" x14ac:dyDescent="0.3">
      <c r="K5752" s="1" t="str">
        <f ca="1">IF(A5752="","",IF(OR(L5752="ENTREGADA",L5752="RETORNADA",L5752="ENTREGA DIGITAL"),0,MAX(0,5-NETWORKDAYS(H5752+1,TODAY()))))</f>
        <v/>
      </c>
      <c r="L5752" t="str">
        <f>IF(A5752="","",IFERROR(LOOKUP(2,1/(#REF!=Z5752),#REF!),Y5752))</f>
        <v/>
      </c>
      <c r="Z5752" t="str">
        <f>IF(A5752="","",TEXT(A5752,"0")&amp;"|"&amp;TEXT(H5752,"0"))</f>
        <v/>
      </c>
      <c r="AA5752" t="str">
        <f>IF(Z5752="","",IFERROR(LOOKUP(2,1/(#REF!=Z5752),#REF!),""))</f>
        <v/>
      </c>
      <c r="AB5752" t="str">
        <f>IF(Z5752="","",IFERROR(LOOKUP(2,1/(#REF!=Z5752),#REF!),""))</f>
        <v/>
      </c>
      <c r="AC5752" t="str">
        <f>IF(Z5752="","",COUNTIF(#REF!,Z5752))</f>
        <v/>
      </c>
      <c r="AD5752" t="str">
        <f>IF(A5752="","",IF(AC5752&gt;1,"REVISAR DUPLICADO",IF(AA5752&lt;&gt;"","ACTUALIZADO POR EYR","SIN REPORTE EYR")))</f>
        <v/>
      </c>
    </row>
    <row r="5753" spans="11:30" x14ac:dyDescent="0.3">
      <c r="K5753" s="1" t="str">
        <f ca="1">IF(A5753="","",IF(OR(L5753="ENTREGADA",L5753="RETORNADA",L5753="ENTREGA DIGITAL"),0,MAX(0,5-NETWORKDAYS(H5753+1,TODAY()))))</f>
        <v/>
      </c>
      <c r="L5753" t="str">
        <f>IF(A5753="","",IFERROR(LOOKUP(2,1/(#REF!=Z5753),#REF!),Y5753))</f>
        <v/>
      </c>
      <c r="Z5753" t="str">
        <f>IF(A5753="","",TEXT(A5753,"0")&amp;"|"&amp;TEXT(H5753,"0"))</f>
        <v/>
      </c>
      <c r="AA5753" t="str">
        <f>IF(Z5753="","",IFERROR(LOOKUP(2,1/(#REF!=Z5753),#REF!),""))</f>
        <v/>
      </c>
      <c r="AB5753" t="str">
        <f>IF(Z5753="","",IFERROR(LOOKUP(2,1/(#REF!=Z5753),#REF!),""))</f>
        <v/>
      </c>
      <c r="AC5753" t="str">
        <f>IF(Z5753="","",COUNTIF(#REF!,Z5753))</f>
        <v/>
      </c>
      <c r="AD5753" t="str">
        <f>IF(A5753="","",IF(AC5753&gt;1,"REVISAR DUPLICADO",IF(AA5753&lt;&gt;"","ACTUALIZADO POR EYR","SIN REPORTE EYR")))</f>
        <v/>
      </c>
    </row>
    <row r="5754" spans="11:30" x14ac:dyDescent="0.3">
      <c r="K5754" s="1" t="str">
        <f ca="1">IF(A5754="","",IF(OR(L5754="ENTREGADA",L5754="RETORNADA",L5754="ENTREGA DIGITAL"),0,MAX(0,5-NETWORKDAYS(H5754+1,TODAY()))))</f>
        <v/>
      </c>
      <c r="L5754" t="str">
        <f>IF(A5754="","",IFERROR(LOOKUP(2,1/(#REF!=Z5754),#REF!),Y5754))</f>
        <v/>
      </c>
      <c r="Z5754" t="str">
        <f>IF(A5754="","",TEXT(A5754,"0")&amp;"|"&amp;TEXT(H5754,"0"))</f>
        <v/>
      </c>
      <c r="AA5754" t="str">
        <f>IF(Z5754="","",IFERROR(LOOKUP(2,1/(#REF!=Z5754),#REF!),""))</f>
        <v/>
      </c>
      <c r="AB5754" t="str">
        <f>IF(Z5754="","",IFERROR(LOOKUP(2,1/(#REF!=Z5754),#REF!),""))</f>
        <v/>
      </c>
      <c r="AC5754" t="str">
        <f>IF(Z5754="","",COUNTIF(#REF!,Z5754))</f>
        <v/>
      </c>
      <c r="AD5754" t="str">
        <f>IF(A5754="","",IF(AC5754&gt;1,"REVISAR DUPLICADO",IF(AA5754&lt;&gt;"","ACTUALIZADO POR EYR","SIN REPORTE EYR")))</f>
        <v/>
      </c>
    </row>
    <row r="5755" spans="11:30" x14ac:dyDescent="0.3">
      <c r="K5755" s="1" t="str">
        <f ca="1">IF(A5755="","",IF(OR(L5755="ENTREGADA",L5755="RETORNADA",L5755="ENTREGA DIGITAL"),0,MAX(0,5-NETWORKDAYS(H5755+1,TODAY()))))</f>
        <v/>
      </c>
      <c r="L5755" t="str">
        <f>IF(A5755="","",IFERROR(LOOKUP(2,1/(#REF!=Z5755),#REF!),Y5755))</f>
        <v/>
      </c>
      <c r="Z5755" t="str">
        <f>IF(A5755="","",TEXT(A5755,"0")&amp;"|"&amp;TEXT(H5755,"0"))</f>
        <v/>
      </c>
      <c r="AA5755" t="str">
        <f>IF(Z5755="","",IFERROR(LOOKUP(2,1/(#REF!=Z5755),#REF!),""))</f>
        <v/>
      </c>
      <c r="AB5755" t="str">
        <f>IF(Z5755="","",IFERROR(LOOKUP(2,1/(#REF!=Z5755),#REF!),""))</f>
        <v/>
      </c>
      <c r="AC5755" t="str">
        <f>IF(Z5755="","",COUNTIF(#REF!,Z5755))</f>
        <v/>
      </c>
      <c r="AD5755" t="str">
        <f>IF(A5755="","",IF(AC5755&gt;1,"REVISAR DUPLICADO",IF(AA5755&lt;&gt;"","ACTUALIZADO POR EYR","SIN REPORTE EYR")))</f>
        <v/>
      </c>
    </row>
    <row r="5756" spans="11:30" x14ac:dyDescent="0.3">
      <c r="K5756" s="1" t="str">
        <f ca="1">IF(A5756="","",IF(OR(L5756="ENTREGADA",L5756="RETORNADA",L5756="ENTREGA DIGITAL"),0,MAX(0,5-NETWORKDAYS(H5756+1,TODAY()))))</f>
        <v/>
      </c>
      <c r="L5756" t="str">
        <f>IF(A5756="","",IFERROR(LOOKUP(2,1/(#REF!=Z5756),#REF!),Y5756))</f>
        <v/>
      </c>
      <c r="Z5756" t="str">
        <f>IF(A5756="","",TEXT(A5756,"0")&amp;"|"&amp;TEXT(H5756,"0"))</f>
        <v/>
      </c>
      <c r="AA5756" t="str">
        <f>IF(Z5756="","",IFERROR(LOOKUP(2,1/(#REF!=Z5756),#REF!),""))</f>
        <v/>
      </c>
      <c r="AB5756" t="str">
        <f>IF(Z5756="","",IFERROR(LOOKUP(2,1/(#REF!=Z5756),#REF!),""))</f>
        <v/>
      </c>
      <c r="AC5756" t="str">
        <f>IF(Z5756="","",COUNTIF(#REF!,Z5756))</f>
        <v/>
      </c>
      <c r="AD5756" t="str">
        <f>IF(A5756="","",IF(AC5756&gt;1,"REVISAR DUPLICADO",IF(AA5756&lt;&gt;"","ACTUALIZADO POR EYR","SIN REPORTE EYR")))</f>
        <v/>
      </c>
    </row>
    <row r="5757" spans="11:30" x14ac:dyDescent="0.3">
      <c r="K5757" s="1" t="str">
        <f ca="1">IF(A5757="","",IF(OR(L5757="ENTREGADA",L5757="RETORNADA",L5757="ENTREGA DIGITAL"),0,MAX(0,5-NETWORKDAYS(H5757+1,TODAY()))))</f>
        <v/>
      </c>
      <c r="L5757" t="str">
        <f>IF(A5757="","",IFERROR(LOOKUP(2,1/(#REF!=Z5757),#REF!),Y5757))</f>
        <v/>
      </c>
      <c r="Z5757" t="str">
        <f>IF(A5757="","",TEXT(A5757,"0")&amp;"|"&amp;TEXT(H5757,"0"))</f>
        <v/>
      </c>
      <c r="AA5757" t="str">
        <f>IF(Z5757="","",IFERROR(LOOKUP(2,1/(#REF!=Z5757),#REF!),""))</f>
        <v/>
      </c>
      <c r="AB5757" t="str">
        <f>IF(Z5757="","",IFERROR(LOOKUP(2,1/(#REF!=Z5757),#REF!),""))</f>
        <v/>
      </c>
      <c r="AC5757" t="str">
        <f>IF(Z5757="","",COUNTIF(#REF!,Z5757))</f>
        <v/>
      </c>
      <c r="AD5757" t="str">
        <f>IF(A5757="","",IF(AC5757&gt;1,"REVISAR DUPLICADO",IF(AA5757&lt;&gt;"","ACTUALIZADO POR EYR","SIN REPORTE EYR")))</f>
        <v/>
      </c>
    </row>
    <row r="5758" spans="11:30" x14ac:dyDescent="0.3">
      <c r="K5758" s="1" t="str">
        <f ca="1">IF(A5758="","",IF(OR(L5758="ENTREGADA",L5758="RETORNADA",L5758="ENTREGA DIGITAL"),0,MAX(0,5-NETWORKDAYS(H5758+1,TODAY()))))</f>
        <v/>
      </c>
      <c r="L5758" t="str">
        <f>IF(A5758="","",IFERROR(LOOKUP(2,1/(#REF!=Z5758),#REF!),Y5758))</f>
        <v/>
      </c>
      <c r="Z5758" t="str">
        <f>IF(A5758="","",TEXT(A5758,"0")&amp;"|"&amp;TEXT(H5758,"0"))</f>
        <v/>
      </c>
      <c r="AA5758" t="str">
        <f>IF(Z5758="","",IFERROR(LOOKUP(2,1/(#REF!=Z5758),#REF!),""))</f>
        <v/>
      </c>
      <c r="AB5758" t="str">
        <f>IF(Z5758="","",IFERROR(LOOKUP(2,1/(#REF!=Z5758),#REF!),""))</f>
        <v/>
      </c>
      <c r="AC5758" t="str">
        <f>IF(Z5758="","",COUNTIF(#REF!,Z5758))</f>
        <v/>
      </c>
      <c r="AD5758" t="str">
        <f>IF(A5758="","",IF(AC5758&gt;1,"REVISAR DUPLICADO",IF(AA5758&lt;&gt;"","ACTUALIZADO POR EYR","SIN REPORTE EYR")))</f>
        <v/>
      </c>
    </row>
    <row r="5759" spans="11:30" x14ac:dyDescent="0.3">
      <c r="K5759" s="1" t="str">
        <f ca="1">IF(A5759="","",IF(OR(L5759="ENTREGADA",L5759="RETORNADA",L5759="ENTREGA DIGITAL"),0,MAX(0,5-NETWORKDAYS(H5759+1,TODAY()))))</f>
        <v/>
      </c>
      <c r="L5759" t="str">
        <f>IF(A5759="","",IFERROR(LOOKUP(2,1/(#REF!=Z5759),#REF!),Y5759))</f>
        <v/>
      </c>
      <c r="Z5759" t="str">
        <f>IF(A5759="","",TEXT(A5759,"0")&amp;"|"&amp;TEXT(H5759,"0"))</f>
        <v/>
      </c>
      <c r="AA5759" t="str">
        <f>IF(Z5759="","",IFERROR(LOOKUP(2,1/(#REF!=Z5759),#REF!),""))</f>
        <v/>
      </c>
      <c r="AB5759" t="str">
        <f>IF(Z5759="","",IFERROR(LOOKUP(2,1/(#REF!=Z5759),#REF!),""))</f>
        <v/>
      </c>
      <c r="AC5759" t="str">
        <f>IF(Z5759="","",COUNTIF(#REF!,Z5759))</f>
        <v/>
      </c>
      <c r="AD5759" t="str">
        <f>IF(A5759="","",IF(AC5759&gt;1,"REVISAR DUPLICADO",IF(AA5759&lt;&gt;"","ACTUALIZADO POR EYR","SIN REPORTE EYR")))</f>
        <v/>
      </c>
    </row>
    <row r="5760" spans="11:30" x14ac:dyDescent="0.3">
      <c r="K5760" s="1" t="str">
        <f ca="1">IF(A5760="","",IF(OR(L5760="ENTREGADA",L5760="RETORNADA",L5760="ENTREGA DIGITAL"),0,MAX(0,5-NETWORKDAYS(H5760+1,TODAY()))))</f>
        <v/>
      </c>
      <c r="L5760" t="str">
        <f>IF(A5760="","",IFERROR(LOOKUP(2,1/(#REF!=Z5760),#REF!),Y5760))</f>
        <v/>
      </c>
      <c r="Z5760" t="str">
        <f>IF(A5760="","",TEXT(A5760,"0")&amp;"|"&amp;TEXT(H5760,"0"))</f>
        <v/>
      </c>
      <c r="AA5760" t="str">
        <f>IF(Z5760="","",IFERROR(LOOKUP(2,1/(#REF!=Z5760),#REF!),""))</f>
        <v/>
      </c>
      <c r="AB5760" t="str">
        <f>IF(Z5760="","",IFERROR(LOOKUP(2,1/(#REF!=Z5760),#REF!),""))</f>
        <v/>
      </c>
      <c r="AC5760" t="str">
        <f>IF(Z5760="","",COUNTIF(#REF!,Z5760))</f>
        <v/>
      </c>
      <c r="AD5760" t="str">
        <f>IF(A5760="","",IF(AC5760&gt;1,"REVISAR DUPLICADO",IF(AA5760&lt;&gt;"","ACTUALIZADO POR EYR","SIN REPORTE EYR")))</f>
        <v/>
      </c>
    </row>
    <row r="5761" spans="11:30" x14ac:dyDescent="0.3">
      <c r="K5761" s="1" t="str">
        <f ca="1">IF(A5761="","",IF(OR(L5761="ENTREGADA",L5761="RETORNADA",L5761="ENTREGA DIGITAL"),0,MAX(0,5-NETWORKDAYS(H5761+1,TODAY()))))</f>
        <v/>
      </c>
      <c r="L5761" t="str">
        <f>IF(A5761="","",IFERROR(LOOKUP(2,1/(#REF!=Z5761),#REF!),Y5761))</f>
        <v/>
      </c>
      <c r="Z5761" t="str">
        <f>IF(A5761="","",TEXT(A5761,"0")&amp;"|"&amp;TEXT(H5761,"0"))</f>
        <v/>
      </c>
      <c r="AA5761" t="str">
        <f>IF(Z5761="","",IFERROR(LOOKUP(2,1/(#REF!=Z5761),#REF!),""))</f>
        <v/>
      </c>
      <c r="AB5761" t="str">
        <f>IF(Z5761="","",IFERROR(LOOKUP(2,1/(#REF!=Z5761),#REF!),""))</f>
        <v/>
      </c>
      <c r="AC5761" t="str">
        <f>IF(Z5761="","",COUNTIF(#REF!,Z5761))</f>
        <v/>
      </c>
      <c r="AD5761" t="str">
        <f>IF(A5761="","",IF(AC5761&gt;1,"REVISAR DUPLICADO",IF(AA5761&lt;&gt;"","ACTUALIZADO POR EYR","SIN REPORTE EYR")))</f>
        <v/>
      </c>
    </row>
    <row r="5762" spans="11:30" x14ac:dyDescent="0.3">
      <c r="K5762" s="1" t="str">
        <f ca="1">IF(A5762="","",IF(OR(L5762="ENTREGADA",L5762="RETORNADA",L5762="ENTREGA DIGITAL"),0,MAX(0,5-NETWORKDAYS(H5762+1,TODAY()))))</f>
        <v/>
      </c>
      <c r="L5762" t="str">
        <f>IF(A5762="","",IFERROR(LOOKUP(2,1/(#REF!=Z5762),#REF!),Y5762))</f>
        <v/>
      </c>
      <c r="Z5762" t="str">
        <f>IF(A5762="","",TEXT(A5762,"0")&amp;"|"&amp;TEXT(H5762,"0"))</f>
        <v/>
      </c>
      <c r="AA5762" t="str">
        <f>IF(Z5762="","",IFERROR(LOOKUP(2,1/(#REF!=Z5762),#REF!),""))</f>
        <v/>
      </c>
      <c r="AB5762" t="str">
        <f>IF(Z5762="","",IFERROR(LOOKUP(2,1/(#REF!=Z5762),#REF!),""))</f>
        <v/>
      </c>
      <c r="AC5762" t="str">
        <f>IF(Z5762="","",COUNTIF(#REF!,Z5762))</f>
        <v/>
      </c>
      <c r="AD5762" t="str">
        <f>IF(A5762="","",IF(AC5762&gt;1,"REVISAR DUPLICADO",IF(AA5762&lt;&gt;"","ACTUALIZADO POR EYR","SIN REPORTE EYR")))</f>
        <v/>
      </c>
    </row>
    <row r="5763" spans="11:30" x14ac:dyDescent="0.3">
      <c r="K5763" s="1" t="str">
        <f ca="1">IF(A5763="","",IF(OR(L5763="ENTREGADA",L5763="RETORNADA",L5763="ENTREGA DIGITAL"),0,MAX(0,5-NETWORKDAYS(H5763+1,TODAY()))))</f>
        <v/>
      </c>
      <c r="L5763" t="str">
        <f>IF(A5763="","",IFERROR(LOOKUP(2,1/(#REF!=Z5763),#REF!),Y5763))</f>
        <v/>
      </c>
      <c r="Z5763" t="str">
        <f>IF(A5763="","",TEXT(A5763,"0")&amp;"|"&amp;TEXT(H5763,"0"))</f>
        <v/>
      </c>
      <c r="AA5763" t="str">
        <f>IF(Z5763="","",IFERROR(LOOKUP(2,1/(#REF!=Z5763),#REF!),""))</f>
        <v/>
      </c>
      <c r="AB5763" t="str">
        <f>IF(Z5763="","",IFERROR(LOOKUP(2,1/(#REF!=Z5763),#REF!),""))</f>
        <v/>
      </c>
      <c r="AC5763" t="str">
        <f>IF(Z5763="","",COUNTIF(#REF!,Z5763))</f>
        <v/>
      </c>
      <c r="AD5763" t="str">
        <f>IF(A5763="","",IF(AC5763&gt;1,"REVISAR DUPLICADO",IF(AA5763&lt;&gt;"","ACTUALIZADO POR EYR","SIN REPORTE EYR")))</f>
        <v/>
      </c>
    </row>
    <row r="5764" spans="11:30" x14ac:dyDescent="0.3">
      <c r="K5764" s="1" t="str">
        <f ca="1">IF(A5764="","",IF(OR(L5764="ENTREGADA",L5764="RETORNADA",L5764="ENTREGA DIGITAL"),0,MAX(0,5-NETWORKDAYS(H5764+1,TODAY()))))</f>
        <v/>
      </c>
      <c r="L5764" t="str">
        <f>IF(A5764="","",IFERROR(LOOKUP(2,1/(#REF!=Z5764),#REF!),Y5764))</f>
        <v/>
      </c>
      <c r="Z5764" t="str">
        <f>IF(A5764="","",TEXT(A5764,"0")&amp;"|"&amp;TEXT(H5764,"0"))</f>
        <v/>
      </c>
      <c r="AA5764" t="str">
        <f>IF(Z5764="","",IFERROR(LOOKUP(2,1/(#REF!=Z5764),#REF!),""))</f>
        <v/>
      </c>
      <c r="AB5764" t="str">
        <f>IF(Z5764="","",IFERROR(LOOKUP(2,1/(#REF!=Z5764),#REF!),""))</f>
        <v/>
      </c>
      <c r="AC5764" t="str">
        <f>IF(Z5764="","",COUNTIF(#REF!,Z5764))</f>
        <v/>
      </c>
      <c r="AD5764" t="str">
        <f>IF(A5764="","",IF(AC5764&gt;1,"REVISAR DUPLICADO",IF(AA5764&lt;&gt;"","ACTUALIZADO POR EYR","SIN REPORTE EYR")))</f>
        <v/>
      </c>
    </row>
    <row r="5765" spans="11:30" x14ac:dyDescent="0.3">
      <c r="K5765" s="1" t="str">
        <f ca="1">IF(A5765="","",IF(OR(L5765="ENTREGADA",L5765="RETORNADA",L5765="ENTREGA DIGITAL"),0,MAX(0,5-NETWORKDAYS(H5765+1,TODAY()))))</f>
        <v/>
      </c>
      <c r="L5765" t="str">
        <f>IF(A5765="","",IFERROR(LOOKUP(2,1/(#REF!=Z5765),#REF!),Y5765))</f>
        <v/>
      </c>
      <c r="Z5765" t="str">
        <f>IF(A5765="","",TEXT(A5765,"0")&amp;"|"&amp;TEXT(H5765,"0"))</f>
        <v/>
      </c>
      <c r="AA5765" t="str">
        <f>IF(Z5765="","",IFERROR(LOOKUP(2,1/(#REF!=Z5765),#REF!),""))</f>
        <v/>
      </c>
      <c r="AB5765" t="str">
        <f>IF(Z5765="","",IFERROR(LOOKUP(2,1/(#REF!=Z5765),#REF!),""))</f>
        <v/>
      </c>
      <c r="AC5765" t="str">
        <f>IF(Z5765="","",COUNTIF(#REF!,Z5765))</f>
        <v/>
      </c>
      <c r="AD5765" t="str">
        <f>IF(A5765="","",IF(AC5765&gt;1,"REVISAR DUPLICADO",IF(AA5765&lt;&gt;"","ACTUALIZADO POR EYR","SIN REPORTE EYR")))</f>
        <v/>
      </c>
    </row>
    <row r="5766" spans="11:30" x14ac:dyDescent="0.3">
      <c r="K5766" s="1" t="str">
        <f ca="1">IF(A5766="","",IF(OR(L5766="ENTREGADA",L5766="RETORNADA",L5766="ENTREGA DIGITAL"),0,MAX(0,5-NETWORKDAYS(H5766+1,TODAY()))))</f>
        <v/>
      </c>
      <c r="L5766" t="str">
        <f>IF(A5766="","",IFERROR(LOOKUP(2,1/(#REF!=Z5766),#REF!),Y5766))</f>
        <v/>
      </c>
      <c r="Z5766" t="str">
        <f>IF(A5766="","",TEXT(A5766,"0")&amp;"|"&amp;TEXT(H5766,"0"))</f>
        <v/>
      </c>
      <c r="AA5766" t="str">
        <f>IF(Z5766="","",IFERROR(LOOKUP(2,1/(#REF!=Z5766),#REF!),""))</f>
        <v/>
      </c>
      <c r="AB5766" t="str">
        <f>IF(Z5766="","",IFERROR(LOOKUP(2,1/(#REF!=Z5766),#REF!),""))</f>
        <v/>
      </c>
      <c r="AC5766" t="str">
        <f>IF(Z5766="","",COUNTIF(#REF!,Z5766))</f>
        <v/>
      </c>
      <c r="AD5766" t="str">
        <f>IF(A5766="","",IF(AC5766&gt;1,"REVISAR DUPLICADO",IF(AA5766&lt;&gt;"","ACTUALIZADO POR EYR","SIN REPORTE EYR")))</f>
        <v/>
      </c>
    </row>
    <row r="5767" spans="11:30" x14ac:dyDescent="0.3">
      <c r="K5767" s="1" t="str">
        <f ca="1">IF(A5767="","",IF(OR(L5767="ENTREGADA",L5767="RETORNADA",L5767="ENTREGA DIGITAL"),0,MAX(0,5-NETWORKDAYS(H5767+1,TODAY()))))</f>
        <v/>
      </c>
      <c r="L5767" t="str">
        <f>IF(A5767="","",IFERROR(LOOKUP(2,1/(#REF!=Z5767),#REF!),Y5767))</f>
        <v/>
      </c>
      <c r="Z5767" t="str">
        <f>IF(A5767="","",TEXT(A5767,"0")&amp;"|"&amp;TEXT(H5767,"0"))</f>
        <v/>
      </c>
      <c r="AA5767" t="str">
        <f>IF(Z5767="","",IFERROR(LOOKUP(2,1/(#REF!=Z5767),#REF!),""))</f>
        <v/>
      </c>
      <c r="AB5767" t="str">
        <f>IF(Z5767="","",IFERROR(LOOKUP(2,1/(#REF!=Z5767),#REF!),""))</f>
        <v/>
      </c>
      <c r="AC5767" t="str">
        <f>IF(Z5767="","",COUNTIF(#REF!,Z5767))</f>
        <v/>
      </c>
      <c r="AD5767" t="str">
        <f>IF(A5767="","",IF(AC5767&gt;1,"REVISAR DUPLICADO",IF(AA5767&lt;&gt;"","ACTUALIZADO POR EYR","SIN REPORTE EYR")))</f>
        <v/>
      </c>
    </row>
    <row r="5768" spans="11:30" x14ac:dyDescent="0.3">
      <c r="K5768" s="1" t="str">
        <f ca="1">IF(A5768="","",IF(OR(L5768="ENTREGADA",L5768="RETORNADA",L5768="ENTREGA DIGITAL"),0,MAX(0,5-NETWORKDAYS(H5768+1,TODAY()))))</f>
        <v/>
      </c>
      <c r="L5768" t="str">
        <f>IF(A5768="","",IFERROR(LOOKUP(2,1/(#REF!=Z5768),#REF!),Y5768))</f>
        <v/>
      </c>
      <c r="Z5768" t="str">
        <f>IF(A5768="","",TEXT(A5768,"0")&amp;"|"&amp;TEXT(H5768,"0"))</f>
        <v/>
      </c>
      <c r="AA5768" t="str">
        <f>IF(Z5768="","",IFERROR(LOOKUP(2,1/(#REF!=Z5768),#REF!),""))</f>
        <v/>
      </c>
      <c r="AB5768" t="str">
        <f>IF(Z5768="","",IFERROR(LOOKUP(2,1/(#REF!=Z5768),#REF!),""))</f>
        <v/>
      </c>
      <c r="AC5768" t="str">
        <f>IF(Z5768="","",COUNTIF(#REF!,Z5768))</f>
        <v/>
      </c>
      <c r="AD5768" t="str">
        <f>IF(A5768="","",IF(AC5768&gt;1,"REVISAR DUPLICADO",IF(AA5768&lt;&gt;"","ACTUALIZADO POR EYR","SIN REPORTE EYR")))</f>
        <v/>
      </c>
    </row>
    <row r="5769" spans="11:30" x14ac:dyDescent="0.3">
      <c r="K5769" s="1" t="str">
        <f ca="1">IF(A5769="","",IF(OR(L5769="ENTREGADA",L5769="RETORNADA",L5769="ENTREGA DIGITAL"),0,MAX(0,5-NETWORKDAYS(H5769+1,TODAY()))))</f>
        <v/>
      </c>
      <c r="L5769" t="str">
        <f>IF(A5769="","",IFERROR(LOOKUP(2,1/(#REF!=Z5769),#REF!),Y5769))</f>
        <v/>
      </c>
      <c r="Z5769" t="str">
        <f>IF(A5769="","",TEXT(A5769,"0")&amp;"|"&amp;TEXT(H5769,"0"))</f>
        <v/>
      </c>
      <c r="AA5769" t="str">
        <f>IF(Z5769="","",IFERROR(LOOKUP(2,1/(#REF!=Z5769),#REF!),""))</f>
        <v/>
      </c>
      <c r="AB5769" t="str">
        <f>IF(Z5769="","",IFERROR(LOOKUP(2,1/(#REF!=Z5769),#REF!),""))</f>
        <v/>
      </c>
      <c r="AC5769" t="str">
        <f>IF(Z5769="","",COUNTIF(#REF!,Z5769))</f>
        <v/>
      </c>
      <c r="AD5769" t="str">
        <f>IF(A5769="","",IF(AC5769&gt;1,"REVISAR DUPLICADO",IF(AA5769&lt;&gt;"","ACTUALIZADO POR EYR","SIN REPORTE EYR")))</f>
        <v/>
      </c>
    </row>
    <row r="5770" spans="11:30" x14ac:dyDescent="0.3">
      <c r="K5770" s="1" t="str">
        <f ca="1">IF(A5770="","",IF(OR(L5770="ENTREGADA",L5770="RETORNADA",L5770="ENTREGA DIGITAL"),0,MAX(0,5-NETWORKDAYS(H5770+1,TODAY()))))</f>
        <v/>
      </c>
      <c r="L5770" t="str">
        <f>IF(A5770="","",IFERROR(LOOKUP(2,1/(#REF!=Z5770),#REF!),Y5770))</f>
        <v/>
      </c>
      <c r="Z5770" t="str">
        <f>IF(A5770="","",TEXT(A5770,"0")&amp;"|"&amp;TEXT(H5770,"0"))</f>
        <v/>
      </c>
      <c r="AA5770" t="str">
        <f>IF(Z5770="","",IFERROR(LOOKUP(2,1/(#REF!=Z5770),#REF!),""))</f>
        <v/>
      </c>
      <c r="AB5770" t="str">
        <f>IF(Z5770="","",IFERROR(LOOKUP(2,1/(#REF!=Z5770),#REF!),""))</f>
        <v/>
      </c>
      <c r="AC5770" t="str">
        <f>IF(Z5770="","",COUNTIF(#REF!,Z5770))</f>
        <v/>
      </c>
      <c r="AD5770" t="str">
        <f>IF(A5770="","",IF(AC5770&gt;1,"REVISAR DUPLICADO",IF(AA5770&lt;&gt;"","ACTUALIZADO POR EYR","SIN REPORTE EYR")))</f>
        <v/>
      </c>
    </row>
    <row r="5771" spans="11:30" x14ac:dyDescent="0.3">
      <c r="K5771" s="1" t="str">
        <f ca="1">IF(A5771="","",IF(OR(L5771="ENTREGADA",L5771="RETORNADA",L5771="ENTREGA DIGITAL"),0,MAX(0,5-NETWORKDAYS(H5771+1,TODAY()))))</f>
        <v/>
      </c>
      <c r="L5771" t="str">
        <f>IF(A5771="","",IFERROR(LOOKUP(2,1/(#REF!=Z5771),#REF!),Y5771))</f>
        <v/>
      </c>
      <c r="Z5771" t="str">
        <f>IF(A5771="","",TEXT(A5771,"0")&amp;"|"&amp;TEXT(H5771,"0"))</f>
        <v/>
      </c>
      <c r="AA5771" t="str">
        <f>IF(Z5771="","",IFERROR(LOOKUP(2,1/(#REF!=Z5771),#REF!),""))</f>
        <v/>
      </c>
      <c r="AB5771" t="str">
        <f>IF(Z5771="","",IFERROR(LOOKUP(2,1/(#REF!=Z5771),#REF!),""))</f>
        <v/>
      </c>
      <c r="AC5771" t="str">
        <f>IF(Z5771="","",COUNTIF(#REF!,Z5771))</f>
        <v/>
      </c>
      <c r="AD5771" t="str">
        <f>IF(A5771="","",IF(AC5771&gt;1,"REVISAR DUPLICADO",IF(AA5771&lt;&gt;"","ACTUALIZADO POR EYR","SIN REPORTE EYR")))</f>
        <v/>
      </c>
    </row>
    <row r="5772" spans="11:30" x14ac:dyDescent="0.3">
      <c r="K5772" s="1" t="str">
        <f ca="1">IF(A5772="","",IF(OR(L5772="ENTREGADA",L5772="RETORNADA",L5772="ENTREGA DIGITAL"),0,MAX(0,5-NETWORKDAYS(H5772+1,TODAY()))))</f>
        <v/>
      </c>
      <c r="L5772" t="str">
        <f>IF(A5772="","",IFERROR(LOOKUP(2,1/(#REF!=Z5772),#REF!),Y5772))</f>
        <v/>
      </c>
      <c r="Z5772" t="str">
        <f>IF(A5772="","",TEXT(A5772,"0")&amp;"|"&amp;TEXT(H5772,"0"))</f>
        <v/>
      </c>
      <c r="AA5772" t="str">
        <f>IF(Z5772="","",IFERROR(LOOKUP(2,1/(#REF!=Z5772),#REF!),""))</f>
        <v/>
      </c>
      <c r="AB5772" t="str">
        <f>IF(Z5772="","",IFERROR(LOOKUP(2,1/(#REF!=Z5772),#REF!),""))</f>
        <v/>
      </c>
      <c r="AC5772" t="str">
        <f>IF(Z5772="","",COUNTIF(#REF!,Z5772))</f>
        <v/>
      </c>
      <c r="AD5772" t="str">
        <f>IF(A5772="","",IF(AC5772&gt;1,"REVISAR DUPLICADO",IF(AA5772&lt;&gt;"","ACTUALIZADO POR EYR","SIN REPORTE EYR")))</f>
        <v/>
      </c>
    </row>
    <row r="5773" spans="11:30" x14ac:dyDescent="0.3">
      <c r="K5773" s="1" t="str">
        <f ca="1">IF(A5773="","",IF(OR(L5773="ENTREGADA",L5773="RETORNADA",L5773="ENTREGA DIGITAL"),0,MAX(0,5-NETWORKDAYS(H5773+1,TODAY()))))</f>
        <v/>
      </c>
      <c r="L5773" t="str">
        <f>IF(A5773="","",IFERROR(LOOKUP(2,1/(#REF!=Z5773),#REF!),Y5773))</f>
        <v/>
      </c>
      <c r="Z5773" t="str">
        <f>IF(A5773="","",TEXT(A5773,"0")&amp;"|"&amp;TEXT(H5773,"0"))</f>
        <v/>
      </c>
      <c r="AA5773" t="str">
        <f>IF(Z5773="","",IFERROR(LOOKUP(2,1/(#REF!=Z5773),#REF!),""))</f>
        <v/>
      </c>
      <c r="AB5773" t="str">
        <f>IF(Z5773="","",IFERROR(LOOKUP(2,1/(#REF!=Z5773),#REF!),""))</f>
        <v/>
      </c>
      <c r="AC5773" t="str">
        <f>IF(Z5773="","",COUNTIF(#REF!,Z5773))</f>
        <v/>
      </c>
      <c r="AD5773" t="str">
        <f>IF(A5773="","",IF(AC5773&gt;1,"REVISAR DUPLICADO",IF(AA5773&lt;&gt;"","ACTUALIZADO POR EYR","SIN REPORTE EYR")))</f>
        <v/>
      </c>
    </row>
    <row r="5774" spans="11:30" x14ac:dyDescent="0.3">
      <c r="K5774" s="1" t="str">
        <f ca="1">IF(A5774="","",IF(OR(L5774="ENTREGADA",L5774="RETORNADA",L5774="ENTREGA DIGITAL"),0,MAX(0,5-NETWORKDAYS(H5774+1,TODAY()))))</f>
        <v/>
      </c>
      <c r="L5774" t="str">
        <f>IF(A5774="","",IFERROR(LOOKUP(2,1/(#REF!=Z5774),#REF!),Y5774))</f>
        <v/>
      </c>
      <c r="Z5774" t="str">
        <f>IF(A5774="","",TEXT(A5774,"0")&amp;"|"&amp;TEXT(H5774,"0"))</f>
        <v/>
      </c>
      <c r="AA5774" t="str">
        <f>IF(Z5774="","",IFERROR(LOOKUP(2,1/(#REF!=Z5774),#REF!),""))</f>
        <v/>
      </c>
      <c r="AB5774" t="str">
        <f>IF(Z5774="","",IFERROR(LOOKUP(2,1/(#REF!=Z5774),#REF!),""))</f>
        <v/>
      </c>
      <c r="AC5774" t="str">
        <f>IF(Z5774="","",COUNTIF(#REF!,Z5774))</f>
        <v/>
      </c>
      <c r="AD5774" t="str">
        <f>IF(A5774="","",IF(AC5774&gt;1,"REVISAR DUPLICADO",IF(AA5774&lt;&gt;"","ACTUALIZADO POR EYR","SIN REPORTE EYR")))</f>
        <v/>
      </c>
    </row>
    <row r="5775" spans="11:30" x14ac:dyDescent="0.3">
      <c r="K5775" s="1" t="str">
        <f ca="1">IF(A5775="","",IF(OR(L5775="ENTREGADA",L5775="RETORNADA",L5775="ENTREGA DIGITAL"),0,MAX(0,5-NETWORKDAYS(H5775+1,TODAY()))))</f>
        <v/>
      </c>
      <c r="L5775" t="str">
        <f>IF(A5775="","",IFERROR(LOOKUP(2,1/(#REF!=Z5775),#REF!),Y5775))</f>
        <v/>
      </c>
      <c r="Z5775" t="str">
        <f>IF(A5775="","",TEXT(A5775,"0")&amp;"|"&amp;TEXT(H5775,"0"))</f>
        <v/>
      </c>
      <c r="AA5775" t="str">
        <f>IF(Z5775="","",IFERROR(LOOKUP(2,1/(#REF!=Z5775),#REF!),""))</f>
        <v/>
      </c>
      <c r="AB5775" t="str">
        <f>IF(Z5775="","",IFERROR(LOOKUP(2,1/(#REF!=Z5775),#REF!),""))</f>
        <v/>
      </c>
      <c r="AC5775" t="str">
        <f>IF(Z5775="","",COUNTIF(#REF!,Z5775))</f>
        <v/>
      </c>
      <c r="AD5775" t="str">
        <f>IF(A5775="","",IF(AC5775&gt;1,"REVISAR DUPLICADO",IF(AA5775&lt;&gt;"","ACTUALIZADO POR EYR","SIN REPORTE EYR")))</f>
        <v/>
      </c>
    </row>
    <row r="5776" spans="11:30" x14ac:dyDescent="0.3">
      <c r="K5776" s="1" t="str">
        <f ca="1">IF(A5776="","",IF(OR(L5776="ENTREGADA",L5776="RETORNADA",L5776="ENTREGA DIGITAL"),0,MAX(0,5-NETWORKDAYS(H5776+1,TODAY()))))</f>
        <v/>
      </c>
      <c r="L5776" t="str">
        <f>IF(A5776="","",IFERROR(LOOKUP(2,1/(#REF!=Z5776),#REF!),Y5776))</f>
        <v/>
      </c>
      <c r="Z5776" t="str">
        <f>IF(A5776="","",TEXT(A5776,"0")&amp;"|"&amp;TEXT(H5776,"0"))</f>
        <v/>
      </c>
      <c r="AA5776" t="str">
        <f>IF(Z5776="","",IFERROR(LOOKUP(2,1/(#REF!=Z5776),#REF!),""))</f>
        <v/>
      </c>
      <c r="AB5776" t="str">
        <f>IF(Z5776="","",IFERROR(LOOKUP(2,1/(#REF!=Z5776),#REF!),""))</f>
        <v/>
      </c>
      <c r="AC5776" t="str">
        <f>IF(Z5776="","",COUNTIF(#REF!,Z5776))</f>
        <v/>
      </c>
      <c r="AD5776" t="str">
        <f>IF(A5776="","",IF(AC5776&gt;1,"REVISAR DUPLICADO",IF(AA5776&lt;&gt;"","ACTUALIZADO POR EYR","SIN REPORTE EYR")))</f>
        <v/>
      </c>
    </row>
    <row r="5777" spans="11:30" x14ac:dyDescent="0.3">
      <c r="K5777" s="1" t="str">
        <f ca="1">IF(A5777="","",IF(OR(L5777="ENTREGADA",L5777="RETORNADA",L5777="ENTREGA DIGITAL"),0,MAX(0,5-NETWORKDAYS(H5777+1,TODAY()))))</f>
        <v/>
      </c>
      <c r="L5777" t="str">
        <f>IF(A5777="","",IFERROR(LOOKUP(2,1/(#REF!=Z5777),#REF!),Y5777))</f>
        <v/>
      </c>
      <c r="Z5777" t="str">
        <f>IF(A5777="","",TEXT(A5777,"0")&amp;"|"&amp;TEXT(H5777,"0"))</f>
        <v/>
      </c>
      <c r="AA5777" t="str">
        <f>IF(Z5777="","",IFERROR(LOOKUP(2,1/(#REF!=Z5777),#REF!),""))</f>
        <v/>
      </c>
      <c r="AB5777" t="str">
        <f>IF(Z5777="","",IFERROR(LOOKUP(2,1/(#REF!=Z5777),#REF!),""))</f>
        <v/>
      </c>
      <c r="AC5777" t="str">
        <f>IF(Z5777="","",COUNTIF(#REF!,Z5777))</f>
        <v/>
      </c>
      <c r="AD5777" t="str">
        <f>IF(A5777="","",IF(AC5777&gt;1,"REVISAR DUPLICADO",IF(AA5777&lt;&gt;"","ACTUALIZADO POR EYR","SIN REPORTE EYR")))</f>
        <v/>
      </c>
    </row>
    <row r="5778" spans="11:30" x14ac:dyDescent="0.3">
      <c r="K5778" s="1" t="str">
        <f ca="1">IF(A5778="","",IF(OR(L5778="ENTREGADA",L5778="RETORNADA",L5778="ENTREGA DIGITAL"),0,MAX(0,5-NETWORKDAYS(H5778+1,TODAY()))))</f>
        <v/>
      </c>
      <c r="L5778" t="str">
        <f>IF(A5778="","",IFERROR(LOOKUP(2,1/(#REF!=Z5778),#REF!),Y5778))</f>
        <v/>
      </c>
      <c r="Z5778" t="str">
        <f>IF(A5778="","",TEXT(A5778,"0")&amp;"|"&amp;TEXT(H5778,"0"))</f>
        <v/>
      </c>
      <c r="AA5778" t="str">
        <f>IF(Z5778="","",IFERROR(LOOKUP(2,1/(#REF!=Z5778),#REF!),""))</f>
        <v/>
      </c>
      <c r="AB5778" t="str">
        <f>IF(Z5778="","",IFERROR(LOOKUP(2,1/(#REF!=Z5778),#REF!),""))</f>
        <v/>
      </c>
      <c r="AC5778" t="str">
        <f>IF(Z5778="","",COUNTIF(#REF!,Z5778))</f>
        <v/>
      </c>
      <c r="AD5778" t="str">
        <f>IF(A5778="","",IF(AC5778&gt;1,"REVISAR DUPLICADO",IF(AA5778&lt;&gt;"","ACTUALIZADO POR EYR","SIN REPORTE EYR")))</f>
        <v/>
      </c>
    </row>
    <row r="5779" spans="11:30" x14ac:dyDescent="0.3">
      <c r="K5779" s="1" t="str">
        <f ca="1">IF(A5779="","",IF(OR(L5779="ENTREGADA",L5779="RETORNADA",L5779="ENTREGA DIGITAL"),0,MAX(0,5-NETWORKDAYS(H5779+1,TODAY()))))</f>
        <v/>
      </c>
      <c r="L5779" t="str">
        <f>IF(A5779="","",IFERROR(LOOKUP(2,1/(#REF!=Z5779),#REF!),Y5779))</f>
        <v/>
      </c>
      <c r="Z5779" t="str">
        <f>IF(A5779="","",TEXT(A5779,"0")&amp;"|"&amp;TEXT(H5779,"0"))</f>
        <v/>
      </c>
      <c r="AA5779" t="str">
        <f>IF(Z5779="","",IFERROR(LOOKUP(2,1/(#REF!=Z5779),#REF!),""))</f>
        <v/>
      </c>
      <c r="AB5779" t="str">
        <f>IF(Z5779="","",IFERROR(LOOKUP(2,1/(#REF!=Z5779),#REF!),""))</f>
        <v/>
      </c>
      <c r="AC5779" t="str">
        <f>IF(Z5779="","",COUNTIF(#REF!,Z5779))</f>
        <v/>
      </c>
      <c r="AD5779" t="str">
        <f>IF(A5779="","",IF(AC5779&gt;1,"REVISAR DUPLICADO",IF(AA5779&lt;&gt;"","ACTUALIZADO POR EYR","SIN REPORTE EYR")))</f>
        <v/>
      </c>
    </row>
    <row r="5780" spans="11:30" x14ac:dyDescent="0.3">
      <c r="K5780" s="1" t="str">
        <f ca="1">IF(A5780="","",IF(OR(L5780="ENTREGADA",L5780="RETORNADA",L5780="ENTREGA DIGITAL"),0,MAX(0,5-NETWORKDAYS(H5780+1,TODAY()))))</f>
        <v/>
      </c>
      <c r="L5780" t="str">
        <f>IF(A5780="","",IFERROR(LOOKUP(2,1/(#REF!=Z5780),#REF!),Y5780))</f>
        <v/>
      </c>
      <c r="Z5780" t="str">
        <f>IF(A5780="","",TEXT(A5780,"0")&amp;"|"&amp;TEXT(H5780,"0"))</f>
        <v/>
      </c>
      <c r="AA5780" t="str">
        <f>IF(Z5780="","",IFERROR(LOOKUP(2,1/(#REF!=Z5780),#REF!),""))</f>
        <v/>
      </c>
      <c r="AB5780" t="str">
        <f>IF(Z5780="","",IFERROR(LOOKUP(2,1/(#REF!=Z5780),#REF!),""))</f>
        <v/>
      </c>
      <c r="AC5780" t="str">
        <f>IF(Z5780="","",COUNTIF(#REF!,Z5780))</f>
        <v/>
      </c>
      <c r="AD5780" t="str">
        <f>IF(A5780="","",IF(AC5780&gt;1,"REVISAR DUPLICADO",IF(AA5780&lt;&gt;"","ACTUALIZADO POR EYR","SIN REPORTE EYR")))</f>
        <v/>
      </c>
    </row>
    <row r="5781" spans="11:30" x14ac:dyDescent="0.3">
      <c r="K5781" s="1" t="str">
        <f ca="1">IF(A5781="","",IF(OR(L5781="ENTREGADA",L5781="RETORNADA",L5781="ENTREGA DIGITAL"),0,MAX(0,5-NETWORKDAYS(H5781+1,TODAY()))))</f>
        <v/>
      </c>
      <c r="L5781" t="str">
        <f>IF(A5781="","",IFERROR(LOOKUP(2,1/(#REF!=Z5781),#REF!),Y5781))</f>
        <v/>
      </c>
      <c r="Z5781" t="str">
        <f>IF(A5781="","",TEXT(A5781,"0")&amp;"|"&amp;TEXT(H5781,"0"))</f>
        <v/>
      </c>
      <c r="AA5781" t="str">
        <f>IF(Z5781="","",IFERROR(LOOKUP(2,1/(#REF!=Z5781),#REF!),""))</f>
        <v/>
      </c>
      <c r="AB5781" t="str">
        <f>IF(Z5781="","",IFERROR(LOOKUP(2,1/(#REF!=Z5781),#REF!),""))</f>
        <v/>
      </c>
      <c r="AC5781" t="str">
        <f>IF(Z5781="","",COUNTIF(#REF!,Z5781))</f>
        <v/>
      </c>
      <c r="AD5781" t="str">
        <f>IF(A5781="","",IF(AC5781&gt;1,"REVISAR DUPLICADO",IF(AA5781&lt;&gt;"","ACTUALIZADO POR EYR","SIN REPORTE EYR")))</f>
        <v/>
      </c>
    </row>
    <row r="5782" spans="11:30" x14ac:dyDescent="0.3">
      <c r="K5782" s="1" t="str">
        <f ca="1">IF(A5782="","",IF(OR(L5782="ENTREGADA",L5782="RETORNADA",L5782="ENTREGA DIGITAL"),0,MAX(0,5-NETWORKDAYS(H5782+1,TODAY()))))</f>
        <v/>
      </c>
      <c r="L5782" t="str">
        <f>IF(A5782="","",IFERROR(LOOKUP(2,1/(#REF!=Z5782),#REF!),Y5782))</f>
        <v/>
      </c>
      <c r="Z5782" t="str">
        <f>IF(A5782="","",TEXT(A5782,"0")&amp;"|"&amp;TEXT(H5782,"0"))</f>
        <v/>
      </c>
      <c r="AA5782" t="str">
        <f>IF(Z5782="","",IFERROR(LOOKUP(2,1/(#REF!=Z5782),#REF!),""))</f>
        <v/>
      </c>
      <c r="AB5782" t="str">
        <f>IF(Z5782="","",IFERROR(LOOKUP(2,1/(#REF!=Z5782),#REF!),""))</f>
        <v/>
      </c>
      <c r="AC5782" t="str">
        <f>IF(Z5782="","",COUNTIF(#REF!,Z5782))</f>
        <v/>
      </c>
      <c r="AD5782" t="str">
        <f>IF(A5782="","",IF(AC5782&gt;1,"REVISAR DUPLICADO",IF(AA5782&lt;&gt;"","ACTUALIZADO POR EYR","SIN REPORTE EYR")))</f>
        <v/>
      </c>
    </row>
    <row r="5783" spans="11:30" x14ac:dyDescent="0.3">
      <c r="K5783" s="1" t="str">
        <f ca="1">IF(A5783="","",IF(OR(L5783="ENTREGADA",L5783="RETORNADA",L5783="ENTREGA DIGITAL"),0,MAX(0,5-NETWORKDAYS(H5783+1,TODAY()))))</f>
        <v/>
      </c>
      <c r="L5783" t="str">
        <f>IF(A5783="","",IFERROR(LOOKUP(2,1/(#REF!=Z5783),#REF!),Y5783))</f>
        <v/>
      </c>
      <c r="Z5783" t="str">
        <f>IF(A5783="","",TEXT(A5783,"0")&amp;"|"&amp;TEXT(H5783,"0"))</f>
        <v/>
      </c>
      <c r="AA5783" t="str">
        <f>IF(Z5783="","",IFERROR(LOOKUP(2,1/(#REF!=Z5783),#REF!),""))</f>
        <v/>
      </c>
      <c r="AB5783" t="str">
        <f>IF(Z5783="","",IFERROR(LOOKUP(2,1/(#REF!=Z5783),#REF!),""))</f>
        <v/>
      </c>
      <c r="AC5783" t="str">
        <f>IF(Z5783="","",COUNTIF(#REF!,Z5783))</f>
        <v/>
      </c>
      <c r="AD5783" t="str">
        <f>IF(A5783="","",IF(AC5783&gt;1,"REVISAR DUPLICADO",IF(AA5783&lt;&gt;"","ACTUALIZADO POR EYR","SIN REPORTE EYR")))</f>
        <v/>
      </c>
    </row>
    <row r="5784" spans="11:30" x14ac:dyDescent="0.3">
      <c r="K5784" s="1" t="str">
        <f ca="1">IF(A5784="","",IF(OR(L5784="ENTREGADA",L5784="RETORNADA",L5784="ENTREGA DIGITAL"),0,MAX(0,5-NETWORKDAYS(H5784+1,TODAY()))))</f>
        <v/>
      </c>
      <c r="L5784" t="str">
        <f>IF(A5784="","",IFERROR(LOOKUP(2,1/(#REF!=Z5784),#REF!),Y5784))</f>
        <v/>
      </c>
      <c r="Z5784" t="str">
        <f>IF(A5784="","",TEXT(A5784,"0")&amp;"|"&amp;TEXT(H5784,"0"))</f>
        <v/>
      </c>
      <c r="AA5784" t="str">
        <f>IF(Z5784="","",IFERROR(LOOKUP(2,1/(#REF!=Z5784),#REF!),""))</f>
        <v/>
      </c>
      <c r="AB5784" t="str">
        <f>IF(Z5784="","",IFERROR(LOOKUP(2,1/(#REF!=Z5784),#REF!),""))</f>
        <v/>
      </c>
      <c r="AC5784" t="str">
        <f>IF(Z5784="","",COUNTIF(#REF!,Z5784))</f>
        <v/>
      </c>
      <c r="AD5784" t="str">
        <f>IF(A5784="","",IF(AC5784&gt;1,"REVISAR DUPLICADO",IF(AA5784&lt;&gt;"","ACTUALIZADO POR EYR","SIN REPORTE EYR")))</f>
        <v/>
      </c>
    </row>
    <row r="5785" spans="11:30" x14ac:dyDescent="0.3">
      <c r="K5785" s="1" t="str">
        <f ca="1">IF(A5785="","",IF(OR(L5785="ENTREGADA",L5785="RETORNADA",L5785="ENTREGA DIGITAL"),0,MAX(0,5-NETWORKDAYS(H5785+1,TODAY()))))</f>
        <v/>
      </c>
      <c r="L5785" t="str">
        <f>IF(A5785="","",IFERROR(LOOKUP(2,1/(#REF!=Z5785),#REF!),Y5785))</f>
        <v/>
      </c>
      <c r="Z5785" t="str">
        <f>IF(A5785="","",TEXT(A5785,"0")&amp;"|"&amp;TEXT(H5785,"0"))</f>
        <v/>
      </c>
      <c r="AA5785" t="str">
        <f>IF(Z5785="","",IFERROR(LOOKUP(2,1/(#REF!=Z5785),#REF!),""))</f>
        <v/>
      </c>
      <c r="AB5785" t="str">
        <f>IF(Z5785="","",IFERROR(LOOKUP(2,1/(#REF!=Z5785),#REF!),""))</f>
        <v/>
      </c>
      <c r="AC5785" t="str">
        <f>IF(Z5785="","",COUNTIF(#REF!,Z5785))</f>
        <v/>
      </c>
      <c r="AD5785" t="str">
        <f>IF(A5785="","",IF(AC5785&gt;1,"REVISAR DUPLICADO",IF(AA5785&lt;&gt;"","ACTUALIZADO POR EYR","SIN REPORTE EYR")))</f>
        <v/>
      </c>
    </row>
    <row r="5786" spans="11:30" x14ac:dyDescent="0.3">
      <c r="K5786" s="1" t="str">
        <f ca="1">IF(A5786="","",IF(OR(L5786="ENTREGADA",L5786="RETORNADA",L5786="ENTREGA DIGITAL"),0,MAX(0,5-NETWORKDAYS(H5786+1,TODAY()))))</f>
        <v/>
      </c>
      <c r="L5786" t="str">
        <f>IF(A5786="","",IFERROR(LOOKUP(2,1/(#REF!=Z5786),#REF!),Y5786))</f>
        <v/>
      </c>
      <c r="Z5786" t="str">
        <f>IF(A5786="","",TEXT(A5786,"0")&amp;"|"&amp;TEXT(H5786,"0"))</f>
        <v/>
      </c>
      <c r="AA5786" t="str">
        <f>IF(Z5786="","",IFERROR(LOOKUP(2,1/(#REF!=Z5786),#REF!),""))</f>
        <v/>
      </c>
      <c r="AB5786" t="str">
        <f>IF(Z5786="","",IFERROR(LOOKUP(2,1/(#REF!=Z5786),#REF!),""))</f>
        <v/>
      </c>
      <c r="AC5786" t="str">
        <f>IF(Z5786="","",COUNTIF(#REF!,Z5786))</f>
        <v/>
      </c>
      <c r="AD5786" t="str">
        <f>IF(A5786="","",IF(AC5786&gt;1,"REVISAR DUPLICADO",IF(AA5786&lt;&gt;"","ACTUALIZADO POR EYR","SIN REPORTE EYR")))</f>
        <v/>
      </c>
    </row>
    <row r="5787" spans="11:30" x14ac:dyDescent="0.3">
      <c r="K5787" s="1" t="str">
        <f ca="1">IF(A5787="","",IF(OR(L5787="ENTREGADA",L5787="RETORNADA",L5787="ENTREGA DIGITAL"),0,MAX(0,5-NETWORKDAYS(H5787+1,TODAY()))))</f>
        <v/>
      </c>
      <c r="L5787" t="str">
        <f>IF(A5787="","",IFERROR(LOOKUP(2,1/(#REF!=Z5787),#REF!),Y5787))</f>
        <v/>
      </c>
      <c r="Z5787" t="str">
        <f>IF(A5787="","",TEXT(A5787,"0")&amp;"|"&amp;TEXT(H5787,"0"))</f>
        <v/>
      </c>
      <c r="AA5787" t="str">
        <f>IF(Z5787="","",IFERROR(LOOKUP(2,1/(#REF!=Z5787),#REF!),""))</f>
        <v/>
      </c>
      <c r="AB5787" t="str">
        <f>IF(Z5787="","",IFERROR(LOOKUP(2,1/(#REF!=Z5787),#REF!),""))</f>
        <v/>
      </c>
      <c r="AC5787" t="str">
        <f>IF(Z5787="","",COUNTIF(#REF!,Z5787))</f>
        <v/>
      </c>
      <c r="AD5787" t="str">
        <f>IF(A5787="","",IF(AC5787&gt;1,"REVISAR DUPLICADO",IF(AA5787&lt;&gt;"","ACTUALIZADO POR EYR","SIN REPORTE EYR")))</f>
        <v/>
      </c>
    </row>
    <row r="5788" spans="11:30" x14ac:dyDescent="0.3">
      <c r="K5788" s="1" t="str">
        <f ca="1">IF(A5788="","",IF(OR(L5788="ENTREGADA",L5788="RETORNADA",L5788="ENTREGA DIGITAL"),0,MAX(0,5-NETWORKDAYS(H5788+1,TODAY()))))</f>
        <v/>
      </c>
      <c r="L5788" t="str">
        <f>IF(A5788="","",IFERROR(LOOKUP(2,1/(#REF!=Z5788),#REF!),Y5788))</f>
        <v/>
      </c>
      <c r="Z5788" t="str">
        <f>IF(A5788="","",TEXT(A5788,"0")&amp;"|"&amp;TEXT(H5788,"0"))</f>
        <v/>
      </c>
      <c r="AA5788" t="str">
        <f>IF(Z5788="","",IFERROR(LOOKUP(2,1/(#REF!=Z5788),#REF!),""))</f>
        <v/>
      </c>
      <c r="AB5788" t="str">
        <f>IF(Z5788="","",IFERROR(LOOKUP(2,1/(#REF!=Z5788),#REF!),""))</f>
        <v/>
      </c>
      <c r="AC5788" t="str">
        <f>IF(Z5788="","",COUNTIF(#REF!,Z5788))</f>
        <v/>
      </c>
      <c r="AD5788" t="str">
        <f>IF(A5788="","",IF(AC5788&gt;1,"REVISAR DUPLICADO",IF(AA5788&lt;&gt;"","ACTUALIZADO POR EYR","SIN REPORTE EYR")))</f>
        <v/>
      </c>
    </row>
    <row r="5789" spans="11:30" x14ac:dyDescent="0.3">
      <c r="K5789" s="1" t="str">
        <f ca="1">IF(A5789="","",IF(OR(L5789="ENTREGADA",L5789="RETORNADA",L5789="ENTREGA DIGITAL"),0,MAX(0,5-NETWORKDAYS(H5789+1,TODAY()))))</f>
        <v/>
      </c>
      <c r="L5789" t="str">
        <f>IF(A5789="","",IFERROR(LOOKUP(2,1/(#REF!=Z5789),#REF!),Y5789))</f>
        <v/>
      </c>
      <c r="Z5789" t="str">
        <f>IF(A5789="","",TEXT(A5789,"0")&amp;"|"&amp;TEXT(H5789,"0"))</f>
        <v/>
      </c>
      <c r="AA5789" t="str">
        <f>IF(Z5789="","",IFERROR(LOOKUP(2,1/(#REF!=Z5789),#REF!),""))</f>
        <v/>
      </c>
      <c r="AB5789" t="str">
        <f>IF(Z5789="","",IFERROR(LOOKUP(2,1/(#REF!=Z5789),#REF!),""))</f>
        <v/>
      </c>
      <c r="AC5789" t="str">
        <f>IF(Z5789="","",COUNTIF(#REF!,Z5789))</f>
        <v/>
      </c>
      <c r="AD5789" t="str">
        <f>IF(A5789="","",IF(AC5789&gt;1,"REVISAR DUPLICADO",IF(AA5789&lt;&gt;"","ACTUALIZADO POR EYR","SIN REPORTE EYR")))</f>
        <v/>
      </c>
    </row>
    <row r="5790" spans="11:30" x14ac:dyDescent="0.3">
      <c r="K5790" s="1" t="str">
        <f ca="1">IF(A5790="","",IF(OR(L5790="ENTREGADA",L5790="RETORNADA",L5790="ENTREGA DIGITAL"),0,MAX(0,5-NETWORKDAYS(H5790+1,TODAY()))))</f>
        <v/>
      </c>
      <c r="L5790" t="str">
        <f>IF(A5790="","",IFERROR(LOOKUP(2,1/(#REF!=Z5790),#REF!),Y5790))</f>
        <v/>
      </c>
      <c r="Z5790" t="str">
        <f>IF(A5790="","",TEXT(A5790,"0")&amp;"|"&amp;TEXT(H5790,"0"))</f>
        <v/>
      </c>
      <c r="AA5790" t="str">
        <f>IF(Z5790="","",IFERROR(LOOKUP(2,1/(#REF!=Z5790),#REF!),""))</f>
        <v/>
      </c>
      <c r="AB5790" t="str">
        <f>IF(Z5790="","",IFERROR(LOOKUP(2,1/(#REF!=Z5790),#REF!),""))</f>
        <v/>
      </c>
      <c r="AC5790" t="str">
        <f>IF(Z5790="","",COUNTIF(#REF!,Z5790))</f>
        <v/>
      </c>
      <c r="AD5790" t="str">
        <f>IF(A5790="","",IF(AC5790&gt;1,"REVISAR DUPLICADO",IF(AA5790&lt;&gt;"","ACTUALIZADO POR EYR","SIN REPORTE EYR")))</f>
        <v/>
      </c>
    </row>
    <row r="5791" spans="11:30" x14ac:dyDescent="0.3">
      <c r="K5791" s="1" t="str">
        <f ca="1">IF(A5791="","",IF(OR(L5791="ENTREGADA",L5791="RETORNADA",L5791="ENTREGA DIGITAL"),0,MAX(0,5-NETWORKDAYS(H5791+1,TODAY()))))</f>
        <v/>
      </c>
      <c r="L5791" t="str">
        <f>IF(A5791="","",IFERROR(LOOKUP(2,1/(#REF!=Z5791),#REF!),Y5791))</f>
        <v/>
      </c>
      <c r="Z5791" t="str">
        <f>IF(A5791="","",TEXT(A5791,"0")&amp;"|"&amp;TEXT(H5791,"0"))</f>
        <v/>
      </c>
      <c r="AA5791" t="str">
        <f>IF(Z5791="","",IFERROR(LOOKUP(2,1/(#REF!=Z5791),#REF!),""))</f>
        <v/>
      </c>
      <c r="AB5791" t="str">
        <f>IF(Z5791="","",IFERROR(LOOKUP(2,1/(#REF!=Z5791),#REF!),""))</f>
        <v/>
      </c>
      <c r="AC5791" t="str">
        <f>IF(Z5791="","",COUNTIF(#REF!,Z5791))</f>
        <v/>
      </c>
      <c r="AD5791" t="str">
        <f>IF(A5791="","",IF(AC5791&gt;1,"REVISAR DUPLICADO",IF(AA5791&lt;&gt;"","ACTUALIZADO POR EYR","SIN REPORTE EYR")))</f>
        <v/>
      </c>
    </row>
    <row r="5792" spans="11:30" x14ac:dyDescent="0.3">
      <c r="K5792" s="1" t="str">
        <f ca="1">IF(A5792="","",IF(OR(L5792="ENTREGADA",L5792="RETORNADA",L5792="ENTREGA DIGITAL"),0,MAX(0,5-NETWORKDAYS(H5792+1,TODAY()))))</f>
        <v/>
      </c>
      <c r="L5792" t="str">
        <f>IF(A5792="","",IFERROR(LOOKUP(2,1/(#REF!=Z5792),#REF!),Y5792))</f>
        <v/>
      </c>
      <c r="Z5792" t="str">
        <f>IF(A5792="","",TEXT(A5792,"0")&amp;"|"&amp;TEXT(H5792,"0"))</f>
        <v/>
      </c>
      <c r="AA5792" t="str">
        <f>IF(Z5792="","",IFERROR(LOOKUP(2,1/(#REF!=Z5792),#REF!),""))</f>
        <v/>
      </c>
      <c r="AB5792" t="str">
        <f>IF(Z5792="","",IFERROR(LOOKUP(2,1/(#REF!=Z5792),#REF!),""))</f>
        <v/>
      </c>
      <c r="AC5792" t="str">
        <f>IF(Z5792="","",COUNTIF(#REF!,Z5792))</f>
        <v/>
      </c>
      <c r="AD5792" t="str">
        <f>IF(A5792="","",IF(AC5792&gt;1,"REVISAR DUPLICADO",IF(AA5792&lt;&gt;"","ACTUALIZADO POR EYR","SIN REPORTE EYR")))</f>
        <v/>
      </c>
    </row>
    <row r="5793" spans="11:30" x14ac:dyDescent="0.3">
      <c r="K5793" s="1" t="str">
        <f ca="1">IF(A5793="","",IF(OR(L5793="ENTREGADA",L5793="RETORNADA",L5793="ENTREGA DIGITAL"),0,MAX(0,5-NETWORKDAYS(H5793+1,TODAY()))))</f>
        <v/>
      </c>
      <c r="L5793" t="str">
        <f>IF(A5793="","",IFERROR(LOOKUP(2,1/(#REF!=Z5793),#REF!),Y5793))</f>
        <v/>
      </c>
      <c r="Z5793" t="str">
        <f>IF(A5793="","",TEXT(A5793,"0")&amp;"|"&amp;TEXT(H5793,"0"))</f>
        <v/>
      </c>
      <c r="AA5793" t="str">
        <f>IF(Z5793="","",IFERROR(LOOKUP(2,1/(#REF!=Z5793),#REF!),""))</f>
        <v/>
      </c>
      <c r="AB5793" t="str">
        <f>IF(Z5793="","",IFERROR(LOOKUP(2,1/(#REF!=Z5793),#REF!),""))</f>
        <v/>
      </c>
      <c r="AC5793" t="str">
        <f>IF(Z5793="","",COUNTIF(#REF!,Z5793))</f>
        <v/>
      </c>
      <c r="AD5793" t="str">
        <f>IF(A5793="","",IF(AC5793&gt;1,"REVISAR DUPLICADO",IF(AA5793&lt;&gt;"","ACTUALIZADO POR EYR","SIN REPORTE EYR")))</f>
        <v/>
      </c>
    </row>
    <row r="5794" spans="11:30" x14ac:dyDescent="0.3">
      <c r="K5794" s="1" t="str">
        <f ca="1">IF(A5794="","",IF(OR(L5794="ENTREGADA",L5794="RETORNADA",L5794="ENTREGA DIGITAL"),0,MAX(0,5-NETWORKDAYS(H5794+1,TODAY()))))</f>
        <v/>
      </c>
      <c r="L5794" t="str">
        <f>IF(A5794="","",IFERROR(LOOKUP(2,1/(#REF!=Z5794),#REF!),Y5794))</f>
        <v/>
      </c>
      <c r="Z5794" t="str">
        <f>IF(A5794="","",TEXT(A5794,"0")&amp;"|"&amp;TEXT(H5794,"0"))</f>
        <v/>
      </c>
      <c r="AA5794" t="str">
        <f>IF(Z5794="","",IFERROR(LOOKUP(2,1/(#REF!=Z5794),#REF!),""))</f>
        <v/>
      </c>
      <c r="AB5794" t="str">
        <f>IF(Z5794="","",IFERROR(LOOKUP(2,1/(#REF!=Z5794),#REF!),""))</f>
        <v/>
      </c>
      <c r="AC5794" t="str">
        <f>IF(Z5794="","",COUNTIF(#REF!,Z5794))</f>
        <v/>
      </c>
      <c r="AD5794" t="str">
        <f>IF(A5794="","",IF(AC5794&gt;1,"REVISAR DUPLICADO",IF(AA5794&lt;&gt;"","ACTUALIZADO POR EYR","SIN REPORTE EYR")))</f>
        <v/>
      </c>
    </row>
    <row r="5795" spans="11:30" x14ac:dyDescent="0.3">
      <c r="K5795" s="1" t="str">
        <f ca="1">IF(A5795="","",IF(OR(L5795="ENTREGADA",L5795="RETORNADA",L5795="ENTREGA DIGITAL"),0,MAX(0,5-NETWORKDAYS(H5795+1,TODAY()))))</f>
        <v/>
      </c>
      <c r="L5795" t="str">
        <f>IF(A5795="","",IFERROR(LOOKUP(2,1/(#REF!=Z5795),#REF!),Y5795))</f>
        <v/>
      </c>
      <c r="Z5795" t="str">
        <f>IF(A5795="","",TEXT(A5795,"0")&amp;"|"&amp;TEXT(H5795,"0"))</f>
        <v/>
      </c>
      <c r="AA5795" t="str">
        <f>IF(Z5795="","",IFERROR(LOOKUP(2,1/(#REF!=Z5795),#REF!),""))</f>
        <v/>
      </c>
      <c r="AB5795" t="str">
        <f>IF(Z5795="","",IFERROR(LOOKUP(2,1/(#REF!=Z5795),#REF!),""))</f>
        <v/>
      </c>
      <c r="AC5795" t="str">
        <f>IF(Z5795="","",COUNTIF(#REF!,Z5795))</f>
        <v/>
      </c>
      <c r="AD5795" t="str">
        <f>IF(A5795="","",IF(AC5795&gt;1,"REVISAR DUPLICADO",IF(AA5795&lt;&gt;"","ACTUALIZADO POR EYR","SIN REPORTE EYR")))</f>
        <v/>
      </c>
    </row>
    <row r="5796" spans="11:30" x14ac:dyDescent="0.3">
      <c r="K5796" s="1" t="str">
        <f ca="1">IF(A5796="","",IF(OR(L5796="ENTREGADA",L5796="RETORNADA",L5796="ENTREGA DIGITAL"),0,MAX(0,5-NETWORKDAYS(H5796+1,TODAY()))))</f>
        <v/>
      </c>
      <c r="L5796" t="str">
        <f>IF(A5796="","",IFERROR(LOOKUP(2,1/(#REF!=Z5796),#REF!),Y5796))</f>
        <v/>
      </c>
      <c r="Z5796" t="str">
        <f>IF(A5796="","",TEXT(A5796,"0")&amp;"|"&amp;TEXT(H5796,"0"))</f>
        <v/>
      </c>
      <c r="AA5796" t="str">
        <f>IF(Z5796="","",IFERROR(LOOKUP(2,1/(#REF!=Z5796),#REF!),""))</f>
        <v/>
      </c>
      <c r="AB5796" t="str">
        <f>IF(Z5796="","",IFERROR(LOOKUP(2,1/(#REF!=Z5796),#REF!),""))</f>
        <v/>
      </c>
      <c r="AC5796" t="str">
        <f>IF(Z5796="","",COUNTIF(#REF!,Z5796))</f>
        <v/>
      </c>
      <c r="AD5796" t="str">
        <f>IF(A5796="","",IF(AC5796&gt;1,"REVISAR DUPLICADO",IF(AA5796&lt;&gt;"","ACTUALIZADO POR EYR","SIN REPORTE EYR")))</f>
        <v/>
      </c>
    </row>
    <row r="5797" spans="11:30" x14ac:dyDescent="0.3">
      <c r="K5797" s="1" t="str">
        <f ca="1">IF(A5797="","",IF(OR(L5797="ENTREGADA",L5797="RETORNADA",L5797="ENTREGA DIGITAL"),0,MAX(0,5-NETWORKDAYS(H5797+1,TODAY()))))</f>
        <v/>
      </c>
      <c r="L5797" t="str">
        <f>IF(A5797="","",IFERROR(LOOKUP(2,1/(#REF!=Z5797),#REF!),Y5797))</f>
        <v/>
      </c>
      <c r="Z5797" t="str">
        <f>IF(A5797="","",TEXT(A5797,"0")&amp;"|"&amp;TEXT(H5797,"0"))</f>
        <v/>
      </c>
      <c r="AA5797" t="str">
        <f>IF(Z5797="","",IFERROR(LOOKUP(2,1/(#REF!=Z5797),#REF!),""))</f>
        <v/>
      </c>
      <c r="AB5797" t="str">
        <f>IF(Z5797="","",IFERROR(LOOKUP(2,1/(#REF!=Z5797),#REF!),""))</f>
        <v/>
      </c>
      <c r="AC5797" t="str">
        <f>IF(Z5797="","",COUNTIF(#REF!,Z5797))</f>
        <v/>
      </c>
      <c r="AD5797" t="str">
        <f>IF(A5797="","",IF(AC5797&gt;1,"REVISAR DUPLICADO",IF(AA5797&lt;&gt;"","ACTUALIZADO POR EYR","SIN REPORTE EYR")))</f>
        <v/>
      </c>
    </row>
    <row r="5798" spans="11:30" x14ac:dyDescent="0.3">
      <c r="K5798" s="1" t="str">
        <f ca="1">IF(A5798="","",IF(OR(L5798="ENTREGADA",L5798="RETORNADA",L5798="ENTREGA DIGITAL"),0,MAX(0,5-NETWORKDAYS(H5798+1,TODAY()))))</f>
        <v/>
      </c>
      <c r="L5798" t="str">
        <f>IF(A5798="","",IFERROR(LOOKUP(2,1/(#REF!=Z5798),#REF!),Y5798))</f>
        <v/>
      </c>
      <c r="Z5798" t="str">
        <f>IF(A5798="","",TEXT(A5798,"0")&amp;"|"&amp;TEXT(H5798,"0"))</f>
        <v/>
      </c>
      <c r="AA5798" t="str">
        <f>IF(Z5798="","",IFERROR(LOOKUP(2,1/(#REF!=Z5798),#REF!),""))</f>
        <v/>
      </c>
      <c r="AB5798" t="str">
        <f>IF(Z5798="","",IFERROR(LOOKUP(2,1/(#REF!=Z5798),#REF!),""))</f>
        <v/>
      </c>
      <c r="AC5798" t="str">
        <f>IF(Z5798="","",COUNTIF(#REF!,Z5798))</f>
        <v/>
      </c>
      <c r="AD5798" t="str">
        <f>IF(A5798="","",IF(AC5798&gt;1,"REVISAR DUPLICADO",IF(AA5798&lt;&gt;"","ACTUALIZADO POR EYR","SIN REPORTE EYR")))</f>
        <v/>
      </c>
    </row>
    <row r="5799" spans="11:30" x14ac:dyDescent="0.3">
      <c r="K5799" s="1" t="str">
        <f ca="1">IF(A5799="","",IF(OR(L5799="ENTREGADA",L5799="RETORNADA",L5799="ENTREGA DIGITAL"),0,MAX(0,5-NETWORKDAYS(H5799+1,TODAY()))))</f>
        <v/>
      </c>
      <c r="L5799" t="str">
        <f>IF(A5799="","",IFERROR(LOOKUP(2,1/(#REF!=Z5799),#REF!),Y5799))</f>
        <v/>
      </c>
      <c r="Z5799" t="str">
        <f>IF(A5799="","",TEXT(A5799,"0")&amp;"|"&amp;TEXT(H5799,"0"))</f>
        <v/>
      </c>
      <c r="AA5799" t="str">
        <f>IF(Z5799="","",IFERROR(LOOKUP(2,1/(#REF!=Z5799),#REF!),""))</f>
        <v/>
      </c>
      <c r="AB5799" t="str">
        <f>IF(Z5799="","",IFERROR(LOOKUP(2,1/(#REF!=Z5799),#REF!),""))</f>
        <v/>
      </c>
      <c r="AC5799" t="str">
        <f>IF(Z5799="","",COUNTIF(#REF!,Z5799))</f>
        <v/>
      </c>
      <c r="AD5799" t="str">
        <f>IF(A5799="","",IF(AC5799&gt;1,"REVISAR DUPLICADO",IF(AA5799&lt;&gt;"","ACTUALIZADO POR EYR","SIN REPORTE EYR")))</f>
        <v/>
      </c>
    </row>
    <row r="5800" spans="11:30" x14ac:dyDescent="0.3">
      <c r="K5800" s="1" t="str">
        <f ca="1">IF(A5800="","",IF(OR(L5800="ENTREGADA",L5800="RETORNADA",L5800="ENTREGA DIGITAL"),0,MAX(0,5-NETWORKDAYS(H5800+1,TODAY()))))</f>
        <v/>
      </c>
      <c r="L5800" t="str">
        <f>IF(A5800="","",IFERROR(LOOKUP(2,1/(#REF!=Z5800),#REF!),Y5800))</f>
        <v/>
      </c>
      <c r="Z5800" t="str">
        <f>IF(A5800="","",TEXT(A5800,"0")&amp;"|"&amp;TEXT(H5800,"0"))</f>
        <v/>
      </c>
      <c r="AA5800" t="str">
        <f>IF(Z5800="","",IFERROR(LOOKUP(2,1/(#REF!=Z5800),#REF!),""))</f>
        <v/>
      </c>
      <c r="AB5800" t="str">
        <f>IF(Z5800="","",IFERROR(LOOKUP(2,1/(#REF!=Z5800),#REF!),""))</f>
        <v/>
      </c>
      <c r="AC5800" t="str">
        <f>IF(Z5800="","",COUNTIF(#REF!,Z5800))</f>
        <v/>
      </c>
      <c r="AD5800" t="str">
        <f>IF(A5800="","",IF(AC5800&gt;1,"REVISAR DUPLICADO",IF(AA5800&lt;&gt;"","ACTUALIZADO POR EYR","SIN REPORTE EYR")))</f>
        <v/>
      </c>
    </row>
    <row r="5801" spans="11:30" x14ac:dyDescent="0.3">
      <c r="K5801" s="1" t="str">
        <f ca="1">IF(A5801="","",IF(OR(L5801="ENTREGADA",L5801="RETORNADA",L5801="ENTREGA DIGITAL"),0,MAX(0,5-NETWORKDAYS(H5801+1,TODAY()))))</f>
        <v/>
      </c>
      <c r="L5801" t="str">
        <f>IF(A5801="","",IFERROR(LOOKUP(2,1/(#REF!=Z5801),#REF!),Y5801))</f>
        <v/>
      </c>
      <c r="Z5801" t="str">
        <f>IF(A5801="","",TEXT(A5801,"0")&amp;"|"&amp;TEXT(H5801,"0"))</f>
        <v/>
      </c>
      <c r="AA5801" t="str">
        <f>IF(Z5801="","",IFERROR(LOOKUP(2,1/(#REF!=Z5801),#REF!),""))</f>
        <v/>
      </c>
      <c r="AB5801" t="str">
        <f>IF(Z5801="","",IFERROR(LOOKUP(2,1/(#REF!=Z5801),#REF!),""))</f>
        <v/>
      </c>
      <c r="AC5801" t="str">
        <f>IF(Z5801="","",COUNTIF(#REF!,Z5801))</f>
        <v/>
      </c>
      <c r="AD5801" t="str">
        <f>IF(A5801="","",IF(AC5801&gt;1,"REVISAR DUPLICADO",IF(AA5801&lt;&gt;"","ACTUALIZADO POR EYR","SIN REPORTE EYR")))</f>
        <v/>
      </c>
    </row>
    <row r="5802" spans="11:30" x14ac:dyDescent="0.3">
      <c r="K5802" s="1" t="str">
        <f ca="1">IF(A5802="","",IF(OR(L5802="ENTREGADA",L5802="RETORNADA",L5802="ENTREGA DIGITAL"),0,MAX(0,5-NETWORKDAYS(H5802+1,TODAY()))))</f>
        <v/>
      </c>
      <c r="L5802" t="str">
        <f>IF(A5802="","",IFERROR(LOOKUP(2,1/(#REF!=Z5802),#REF!),Y5802))</f>
        <v/>
      </c>
      <c r="Z5802" t="str">
        <f>IF(A5802="","",TEXT(A5802,"0")&amp;"|"&amp;TEXT(H5802,"0"))</f>
        <v/>
      </c>
      <c r="AA5802" t="str">
        <f>IF(Z5802="","",IFERROR(LOOKUP(2,1/(#REF!=Z5802),#REF!),""))</f>
        <v/>
      </c>
      <c r="AB5802" t="str">
        <f>IF(Z5802="","",IFERROR(LOOKUP(2,1/(#REF!=Z5802),#REF!),""))</f>
        <v/>
      </c>
      <c r="AC5802" t="str">
        <f>IF(Z5802="","",COUNTIF(#REF!,Z5802))</f>
        <v/>
      </c>
      <c r="AD5802" t="str">
        <f>IF(A5802="","",IF(AC5802&gt;1,"REVISAR DUPLICADO",IF(AA5802&lt;&gt;"","ACTUALIZADO POR EYR","SIN REPORTE EYR")))</f>
        <v/>
      </c>
    </row>
    <row r="5803" spans="11:30" x14ac:dyDescent="0.3">
      <c r="K5803" s="1" t="str">
        <f ca="1">IF(A5803="","",IF(OR(L5803="ENTREGADA",L5803="RETORNADA",L5803="ENTREGA DIGITAL"),0,MAX(0,5-NETWORKDAYS(H5803+1,TODAY()))))</f>
        <v/>
      </c>
      <c r="L5803" t="str">
        <f>IF(A5803="","",IFERROR(LOOKUP(2,1/(#REF!=Z5803),#REF!),Y5803))</f>
        <v/>
      </c>
      <c r="Z5803" t="str">
        <f>IF(A5803="","",TEXT(A5803,"0")&amp;"|"&amp;TEXT(H5803,"0"))</f>
        <v/>
      </c>
      <c r="AA5803" t="str">
        <f>IF(Z5803="","",IFERROR(LOOKUP(2,1/(#REF!=Z5803),#REF!),""))</f>
        <v/>
      </c>
      <c r="AB5803" t="str">
        <f>IF(Z5803="","",IFERROR(LOOKUP(2,1/(#REF!=Z5803),#REF!),""))</f>
        <v/>
      </c>
      <c r="AC5803" t="str">
        <f>IF(Z5803="","",COUNTIF(#REF!,Z5803))</f>
        <v/>
      </c>
      <c r="AD5803" t="str">
        <f>IF(A5803="","",IF(AC5803&gt;1,"REVISAR DUPLICADO",IF(AA5803&lt;&gt;"","ACTUALIZADO POR EYR","SIN REPORTE EYR")))</f>
        <v/>
      </c>
    </row>
    <row r="5804" spans="11:30" x14ac:dyDescent="0.3">
      <c r="K5804" s="1" t="str">
        <f ca="1">IF(A5804="","",IF(OR(L5804="ENTREGADA",L5804="RETORNADA",L5804="ENTREGA DIGITAL"),0,MAX(0,5-NETWORKDAYS(H5804+1,TODAY()))))</f>
        <v/>
      </c>
      <c r="L5804" t="str">
        <f>IF(A5804="","",IFERROR(LOOKUP(2,1/(#REF!=Z5804),#REF!),Y5804))</f>
        <v/>
      </c>
      <c r="Z5804" t="str">
        <f>IF(A5804="","",TEXT(A5804,"0")&amp;"|"&amp;TEXT(H5804,"0"))</f>
        <v/>
      </c>
      <c r="AA5804" t="str">
        <f>IF(Z5804="","",IFERROR(LOOKUP(2,1/(#REF!=Z5804),#REF!),""))</f>
        <v/>
      </c>
      <c r="AB5804" t="str">
        <f>IF(Z5804="","",IFERROR(LOOKUP(2,1/(#REF!=Z5804),#REF!),""))</f>
        <v/>
      </c>
      <c r="AC5804" t="str">
        <f>IF(Z5804="","",COUNTIF(#REF!,Z5804))</f>
        <v/>
      </c>
      <c r="AD5804" t="str">
        <f>IF(A5804="","",IF(AC5804&gt;1,"REVISAR DUPLICADO",IF(AA5804&lt;&gt;"","ACTUALIZADO POR EYR","SIN REPORTE EYR")))</f>
        <v/>
      </c>
    </row>
    <row r="5805" spans="11:30" x14ac:dyDescent="0.3">
      <c r="K5805" s="1" t="str">
        <f ca="1">IF(A5805="","",IF(OR(L5805="ENTREGADA",L5805="RETORNADA",L5805="ENTREGA DIGITAL"),0,MAX(0,5-NETWORKDAYS(H5805+1,TODAY()))))</f>
        <v/>
      </c>
      <c r="L5805" t="str">
        <f>IF(A5805="","",IFERROR(LOOKUP(2,1/(#REF!=Z5805),#REF!),Y5805))</f>
        <v/>
      </c>
      <c r="Z5805" t="str">
        <f>IF(A5805="","",TEXT(A5805,"0")&amp;"|"&amp;TEXT(H5805,"0"))</f>
        <v/>
      </c>
      <c r="AA5805" t="str">
        <f>IF(Z5805="","",IFERROR(LOOKUP(2,1/(#REF!=Z5805),#REF!),""))</f>
        <v/>
      </c>
      <c r="AB5805" t="str">
        <f>IF(Z5805="","",IFERROR(LOOKUP(2,1/(#REF!=Z5805),#REF!),""))</f>
        <v/>
      </c>
      <c r="AC5805" t="str">
        <f>IF(Z5805="","",COUNTIF(#REF!,Z5805))</f>
        <v/>
      </c>
      <c r="AD5805" t="str">
        <f>IF(A5805="","",IF(AC5805&gt;1,"REVISAR DUPLICADO",IF(AA5805&lt;&gt;"","ACTUALIZADO POR EYR","SIN REPORTE EYR")))</f>
        <v/>
      </c>
    </row>
    <row r="5806" spans="11:30" x14ac:dyDescent="0.3">
      <c r="K5806" s="1" t="str">
        <f ca="1">IF(A5806="","",IF(OR(L5806="ENTREGADA",L5806="RETORNADA",L5806="ENTREGA DIGITAL"),0,MAX(0,5-NETWORKDAYS(H5806+1,TODAY()))))</f>
        <v/>
      </c>
      <c r="L5806" t="str">
        <f>IF(A5806="","",IFERROR(LOOKUP(2,1/(#REF!=Z5806),#REF!),Y5806))</f>
        <v/>
      </c>
      <c r="Z5806" t="str">
        <f>IF(A5806="","",TEXT(A5806,"0")&amp;"|"&amp;TEXT(H5806,"0"))</f>
        <v/>
      </c>
      <c r="AA5806" t="str">
        <f>IF(Z5806="","",IFERROR(LOOKUP(2,1/(#REF!=Z5806),#REF!),""))</f>
        <v/>
      </c>
      <c r="AB5806" t="str">
        <f>IF(Z5806="","",IFERROR(LOOKUP(2,1/(#REF!=Z5806),#REF!),""))</f>
        <v/>
      </c>
      <c r="AC5806" t="str">
        <f>IF(Z5806="","",COUNTIF(#REF!,Z5806))</f>
        <v/>
      </c>
      <c r="AD5806" t="str">
        <f>IF(A5806="","",IF(AC5806&gt;1,"REVISAR DUPLICADO",IF(AA5806&lt;&gt;"","ACTUALIZADO POR EYR","SIN REPORTE EYR")))</f>
        <v/>
      </c>
    </row>
    <row r="5807" spans="11:30" x14ac:dyDescent="0.3">
      <c r="K5807" s="1" t="str">
        <f ca="1">IF(A5807="","",IF(OR(L5807="ENTREGADA",L5807="RETORNADA",L5807="ENTREGA DIGITAL"),0,MAX(0,5-NETWORKDAYS(H5807+1,TODAY()))))</f>
        <v/>
      </c>
      <c r="L5807" t="str">
        <f>IF(A5807="","",IFERROR(LOOKUP(2,1/(#REF!=Z5807),#REF!),Y5807))</f>
        <v/>
      </c>
      <c r="Z5807" t="str">
        <f>IF(A5807="","",TEXT(A5807,"0")&amp;"|"&amp;TEXT(H5807,"0"))</f>
        <v/>
      </c>
      <c r="AA5807" t="str">
        <f>IF(Z5807="","",IFERROR(LOOKUP(2,1/(#REF!=Z5807),#REF!),""))</f>
        <v/>
      </c>
      <c r="AB5807" t="str">
        <f>IF(Z5807="","",IFERROR(LOOKUP(2,1/(#REF!=Z5807),#REF!),""))</f>
        <v/>
      </c>
      <c r="AC5807" t="str">
        <f>IF(Z5807="","",COUNTIF(#REF!,Z5807))</f>
        <v/>
      </c>
      <c r="AD5807" t="str">
        <f>IF(A5807="","",IF(AC5807&gt;1,"REVISAR DUPLICADO",IF(AA5807&lt;&gt;"","ACTUALIZADO POR EYR","SIN REPORTE EYR")))</f>
        <v/>
      </c>
    </row>
    <row r="5808" spans="11:30" x14ac:dyDescent="0.3">
      <c r="K5808" s="1" t="str">
        <f ca="1">IF(A5808="","",IF(OR(L5808="ENTREGADA",L5808="RETORNADA",L5808="ENTREGA DIGITAL"),0,MAX(0,5-NETWORKDAYS(H5808+1,TODAY()))))</f>
        <v/>
      </c>
      <c r="L5808" t="str">
        <f>IF(A5808="","",IFERROR(LOOKUP(2,1/(#REF!=Z5808),#REF!),Y5808))</f>
        <v/>
      </c>
      <c r="Z5808" t="str">
        <f>IF(A5808="","",TEXT(A5808,"0")&amp;"|"&amp;TEXT(H5808,"0"))</f>
        <v/>
      </c>
      <c r="AA5808" t="str">
        <f>IF(Z5808="","",IFERROR(LOOKUP(2,1/(#REF!=Z5808),#REF!),""))</f>
        <v/>
      </c>
      <c r="AB5808" t="str">
        <f>IF(Z5808="","",IFERROR(LOOKUP(2,1/(#REF!=Z5808),#REF!),""))</f>
        <v/>
      </c>
      <c r="AC5808" t="str">
        <f>IF(Z5808="","",COUNTIF(#REF!,Z5808))</f>
        <v/>
      </c>
      <c r="AD5808" t="str">
        <f>IF(A5808="","",IF(AC5808&gt;1,"REVISAR DUPLICADO",IF(AA5808&lt;&gt;"","ACTUALIZADO POR EYR","SIN REPORTE EYR")))</f>
        <v/>
      </c>
    </row>
    <row r="5809" spans="11:30" x14ac:dyDescent="0.3">
      <c r="K5809" s="1" t="str">
        <f ca="1">IF(A5809="","",IF(OR(L5809="ENTREGADA",L5809="RETORNADA",L5809="ENTREGA DIGITAL"),0,MAX(0,5-NETWORKDAYS(H5809+1,TODAY()))))</f>
        <v/>
      </c>
      <c r="L5809" t="str">
        <f>IF(A5809="","",IFERROR(LOOKUP(2,1/(#REF!=Z5809),#REF!),Y5809))</f>
        <v/>
      </c>
      <c r="Z5809" t="str">
        <f>IF(A5809="","",TEXT(A5809,"0")&amp;"|"&amp;TEXT(H5809,"0"))</f>
        <v/>
      </c>
      <c r="AA5809" t="str">
        <f>IF(Z5809="","",IFERROR(LOOKUP(2,1/(#REF!=Z5809),#REF!),""))</f>
        <v/>
      </c>
      <c r="AB5809" t="str">
        <f>IF(Z5809="","",IFERROR(LOOKUP(2,1/(#REF!=Z5809),#REF!),""))</f>
        <v/>
      </c>
      <c r="AC5809" t="str">
        <f>IF(Z5809="","",COUNTIF(#REF!,Z5809))</f>
        <v/>
      </c>
      <c r="AD5809" t="str">
        <f>IF(A5809="","",IF(AC5809&gt;1,"REVISAR DUPLICADO",IF(AA5809&lt;&gt;"","ACTUALIZADO POR EYR","SIN REPORTE EYR")))</f>
        <v/>
      </c>
    </row>
    <row r="5810" spans="11:30" x14ac:dyDescent="0.3">
      <c r="K5810" s="1" t="str">
        <f ca="1">IF(A5810="","",IF(OR(L5810="ENTREGADA",L5810="RETORNADA",L5810="ENTREGA DIGITAL"),0,MAX(0,5-NETWORKDAYS(H5810+1,TODAY()))))</f>
        <v/>
      </c>
      <c r="L5810" t="str">
        <f>IF(A5810="","",IFERROR(LOOKUP(2,1/(#REF!=Z5810),#REF!),Y5810))</f>
        <v/>
      </c>
      <c r="Z5810" t="str">
        <f>IF(A5810="","",TEXT(A5810,"0")&amp;"|"&amp;TEXT(H5810,"0"))</f>
        <v/>
      </c>
      <c r="AA5810" t="str">
        <f>IF(Z5810="","",IFERROR(LOOKUP(2,1/(#REF!=Z5810),#REF!),""))</f>
        <v/>
      </c>
      <c r="AB5810" t="str">
        <f>IF(Z5810="","",IFERROR(LOOKUP(2,1/(#REF!=Z5810),#REF!),""))</f>
        <v/>
      </c>
      <c r="AC5810" t="str">
        <f>IF(Z5810="","",COUNTIF(#REF!,Z5810))</f>
        <v/>
      </c>
      <c r="AD5810" t="str">
        <f>IF(A5810="","",IF(AC5810&gt;1,"REVISAR DUPLICADO",IF(AA5810&lt;&gt;"","ACTUALIZADO POR EYR","SIN REPORTE EYR")))</f>
        <v/>
      </c>
    </row>
    <row r="5811" spans="11:30" x14ac:dyDescent="0.3">
      <c r="K5811" s="1" t="str">
        <f ca="1">IF(A5811="","",IF(OR(L5811="ENTREGADA",L5811="RETORNADA",L5811="ENTREGA DIGITAL"),0,MAX(0,5-NETWORKDAYS(H5811+1,TODAY()))))</f>
        <v/>
      </c>
      <c r="L5811" t="str">
        <f>IF(A5811="","",IFERROR(LOOKUP(2,1/(#REF!=Z5811),#REF!),Y5811))</f>
        <v/>
      </c>
      <c r="Z5811" t="str">
        <f>IF(A5811="","",TEXT(A5811,"0")&amp;"|"&amp;TEXT(H5811,"0"))</f>
        <v/>
      </c>
      <c r="AA5811" t="str">
        <f>IF(Z5811="","",IFERROR(LOOKUP(2,1/(#REF!=Z5811),#REF!),""))</f>
        <v/>
      </c>
      <c r="AB5811" t="str">
        <f>IF(Z5811="","",IFERROR(LOOKUP(2,1/(#REF!=Z5811),#REF!),""))</f>
        <v/>
      </c>
      <c r="AC5811" t="str">
        <f>IF(Z5811="","",COUNTIF(#REF!,Z5811))</f>
        <v/>
      </c>
      <c r="AD5811" t="str">
        <f>IF(A5811="","",IF(AC5811&gt;1,"REVISAR DUPLICADO",IF(AA5811&lt;&gt;"","ACTUALIZADO POR EYR","SIN REPORTE EYR")))</f>
        <v/>
      </c>
    </row>
    <row r="5812" spans="11:30" x14ac:dyDescent="0.3">
      <c r="K5812" s="1" t="str">
        <f ca="1">IF(A5812="","",IF(OR(L5812="ENTREGADA",L5812="RETORNADA",L5812="ENTREGA DIGITAL"),0,MAX(0,5-NETWORKDAYS(H5812+1,TODAY()))))</f>
        <v/>
      </c>
      <c r="L5812" t="str">
        <f>IF(A5812="","",IFERROR(LOOKUP(2,1/(#REF!=Z5812),#REF!),Y5812))</f>
        <v/>
      </c>
      <c r="Z5812" t="str">
        <f>IF(A5812="","",TEXT(A5812,"0")&amp;"|"&amp;TEXT(H5812,"0"))</f>
        <v/>
      </c>
      <c r="AA5812" t="str">
        <f>IF(Z5812="","",IFERROR(LOOKUP(2,1/(#REF!=Z5812),#REF!),""))</f>
        <v/>
      </c>
      <c r="AB5812" t="str">
        <f>IF(Z5812="","",IFERROR(LOOKUP(2,1/(#REF!=Z5812),#REF!),""))</f>
        <v/>
      </c>
      <c r="AC5812" t="str">
        <f>IF(Z5812="","",COUNTIF(#REF!,Z5812))</f>
        <v/>
      </c>
      <c r="AD5812" t="str">
        <f>IF(A5812="","",IF(AC5812&gt;1,"REVISAR DUPLICADO",IF(AA5812&lt;&gt;"","ACTUALIZADO POR EYR","SIN REPORTE EYR")))</f>
        <v/>
      </c>
    </row>
    <row r="5813" spans="11:30" x14ac:dyDescent="0.3">
      <c r="K5813" s="1" t="str">
        <f ca="1">IF(A5813="","",IF(OR(L5813="ENTREGADA",L5813="RETORNADA",L5813="ENTREGA DIGITAL"),0,MAX(0,5-NETWORKDAYS(H5813+1,TODAY()))))</f>
        <v/>
      </c>
      <c r="L5813" t="str">
        <f>IF(A5813="","",IFERROR(LOOKUP(2,1/(#REF!=Z5813),#REF!),Y5813))</f>
        <v/>
      </c>
      <c r="Z5813" t="str">
        <f>IF(A5813="","",TEXT(A5813,"0")&amp;"|"&amp;TEXT(H5813,"0"))</f>
        <v/>
      </c>
      <c r="AA5813" t="str">
        <f>IF(Z5813="","",IFERROR(LOOKUP(2,1/(#REF!=Z5813),#REF!),""))</f>
        <v/>
      </c>
      <c r="AB5813" t="str">
        <f>IF(Z5813="","",IFERROR(LOOKUP(2,1/(#REF!=Z5813),#REF!),""))</f>
        <v/>
      </c>
      <c r="AC5813" t="str">
        <f>IF(Z5813="","",COUNTIF(#REF!,Z5813))</f>
        <v/>
      </c>
      <c r="AD5813" t="str">
        <f>IF(A5813="","",IF(AC5813&gt;1,"REVISAR DUPLICADO",IF(AA5813&lt;&gt;"","ACTUALIZADO POR EYR","SIN REPORTE EYR")))</f>
        <v/>
      </c>
    </row>
    <row r="5814" spans="11:30" x14ac:dyDescent="0.3">
      <c r="K5814" s="1" t="str">
        <f ca="1">IF(A5814="","",IF(OR(L5814="ENTREGADA",L5814="RETORNADA",L5814="ENTREGA DIGITAL"),0,MAX(0,5-NETWORKDAYS(H5814+1,TODAY()))))</f>
        <v/>
      </c>
      <c r="L5814" t="str">
        <f>IF(A5814="","",IFERROR(LOOKUP(2,1/(#REF!=Z5814),#REF!),Y5814))</f>
        <v/>
      </c>
      <c r="Z5814" t="str">
        <f>IF(A5814="","",TEXT(A5814,"0")&amp;"|"&amp;TEXT(H5814,"0"))</f>
        <v/>
      </c>
      <c r="AA5814" t="str">
        <f>IF(Z5814="","",IFERROR(LOOKUP(2,1/(#REF!=Z5814),#REF!),""))</f>
        <v/>
      </c>
      <c r="AB5814" t="str">
        <f>IF(Z5814="","",IFERROR(LOOKUP(2,1/(#REF!=Z5814),#REF!),""))</f>
        <v/>
      </c>
      <c r="AC5814" t="str">
        <f>IF(Z5814="","",COUNTIF(#REF!,Z5814))</f>
        <v/>
      </c>
      <c r="AD5814" t="str">
        <f>IF(A5814="","",IF(AC5814&gt;1,"REVISAR DUPLICADO",IF(AA5814&lt;&gt;"","ACTUALIZADO POR EYR","SIN REPORTE EYR")))</f>
        <v/>
      </c>
    </row>
    <row r="5815" spans="11:30" x14ac:dyDescent="0.3">
      <c r="K5815" s="1" t="str">
        <f ca="1">IF(A5815="","",IF(OR(L5815="ENTREGADA",L5815="RETORNADA",L5815="ENTREGA DIGITAL"),0,MAX(0,5-NETWORKDAYS(H5815+1,TODAY()))))</f>
        <v/>
      </c>
      <c r="L5815" t="str">
        <f>IF(A5815="","",IFERROR(LOOKUP(2,1/(#REF!=Z5815),#REF!),Y5815))</f>
        <v/>
      </c>
      <c r="Z5815" t="str">
        <f>IF(A5815="","",TEXT(A5815,"0")&amp;"|"&amp;TEXT(H5815,"0"))</f>
        <v/>
      </c>
      <c r="AA5815" t="str">
        <f>IF(Z5815="","",IFERROR(LOOKUP(2,1/(#REF!=Z5815),#REF!),""))</f>
        <v/>
      </c>
      <c r="AB5815" t="str">
        <f>IF(Z5815="","",IFERROR(LOOKUP(2,1/(#REF!=Z5815),#REF!),""))</f>
        <v/>
      </c>
      <c r="AC5815" t="str">
        <f>IF(Z5815="","",COUNTIF(#REF!,Z5815))</f>
        <v/>
      </c>
      <c r="AD5815" t="str">
        <f>IF(A5815="","",IF(AC5815&gt;1,"REVISAR DUPLICADO",IF(AA5815&lt;&gt;"","ACTUALIZADO POR EYR","SIN REPORTE EYR")))</f>
        <v/>
      </c>
    </row>
    <row r="5816" spans="11:30" x14ac:dyDescent="0.3">
      <c r="K5816" s="1" t="str">
        <f ca="1">IF(A5816="","",IF(OR(L5816="ENTREGADA",L5816="RETORNADA",L5816="ENTREGA DIGITAL"),0,MAX(0,5-NETWORKDAYS(H5816+1,TODAY()))))</f>
        <v/>
      </c>
      <c r="L5816" t="str">
        <f>IF(A5816="","",IFERROR(LOOKUP(2,1/(#REF!=Z5816),#REF!),Y5816))</f>
        <v/>
      </c>
      <c r="Z5816" t="str">
        <f>IF(A5816="","",TEXT(A5816,"0")&amp;"|"&amp;TEXT(H5816,"0"))</f>
        <v/>
      </c>
      <c r="AA5816" t="str">
        <f>IF(Z5816="","",IFERROR(LOOKUP(2,1/(#REF!=Z5816),#REF!),""))</f>
        <v/>
      </c>
      <c r="AB5816" t="str">
        <f>IF(Z5816="","",IFERROR(LOOKUP(2,1/(#REF!=Z5816),#REF!),""))</f>
        <v/>
      </c>
      <c r="AC5816" t="str">
        <f>IF(Z5816="","",COUNTIF(#REF!,Z5816))</f>
        <v/>
      </c>
      <c r="AD5816" t="str">
        <f>IF(A5816="","",IF(AC5816&gt;1,"REVISAR DUPLICADO",IF(AA5816&lt;&gt;"","ACTUALIZADO POR EYR","SIN REPORTE EYR")))</f>
        <v/>
      </c>
    </row>
    <row r="5817" spans="11:30" x14ac:dyDescent="0.3">
      <c r="K5817" s="1" t="str">
        <f ca="1">IF(A5817="","",IF(OR(L5817="ENTREGADA",L5817="RETORNADA",L5817="ENTREGA DIGITAL"),0,MAX(0,5-NETWORKDAYS(H5817+1,TODAY()))))</f>
        <v/>
      </c>
      <c r="L5817" t="str">
        <f>IF(A5817="","",IFERROR(LOOKUP(2,1/(#REF!=Z5817),#REF!),Y5817))</f>
        <v/>
      </c>
      <c r="Z5817" t="str">
        <f>IF(A5817="","",TEXT(A5817,"0")&amp;"|"&amp;TEXT(H5817,"0"))</f>
        <v/>
      </c>
      <c r="AA5817" t="str">
        <f>IF(Z5817="","",IFERROR(LOOKUP(2,1/(#REF!=Z5817),#REF!),""))</f>
        <v/>
      </c>
      <c r="AB5817" t="str">
        <f>IF(Z5817="","",IFERROR(LOOKUP(2,1/(#REF!=Z5817),#REF!),""))</f>
        <v/>
      </c>
      <c r="AC5817" t="str">
        <f>IF(Z5817="","",COUNTIF(#REF!,Z5817))</f>
        <v/>
      </c>
      <c r="AD5817" t="str">
        <f>IF(A5817="","",IF(AC5817&gt;1,"REVISAR DUPLICADO",IF(AA5817&lt;&gt;"","ACTUALIZADO POR EYR","SIN REPORTE EYR")))</f>
        <v/>
      </c>
    </row>
    <row r="5818" spans="11:30" x14ac:dyDescent="0.3">
      <c r="K5818" s="1" t="str">
        <f ca="1">IF(A5818="","",IF(OR(L5818="ENTREGADA",L5818="RETORNADA",L5818="ENTREGA DIGITAL"),0,MAX(0,5-NETWORKDAYS(H5818+1,TODAY()))))</f>
        <v/>
      </c>
      <c r="L5818" t="str">
        <f>IF(A5818="","",IFERROR(LOOKUP(2,1/(#REF!=Z5818),#REF!),Y5818))</f>
        <v/>
      </c>
      <c r="Z5818" t="str">
        <f>IF(A5818="","",TEXT(A5818,"0")&amp;"|"&amp;TEXT(H5818,"0"))</f>
        <v/>
      </c>
      <c r="AA5818" t="str">
        <f>IF(Z5818="","",IFERROR(LOOKUP(2,1/(#REF!=Z5818),#REF!),""))</f>
        <v/>
      </c>
      <c r="AB5818" t="str">
        <f>IF(Z5818="","",IFERROR(LOOKUP(2,1/(#REF!=Z5818),#REF!),""))</f>
        <v/>
      </c>
      <c r="AC5818" t="str">
        <f>IF(Z5818="","",COUNTIF(#REF!,Z5818))</f>
        <v/>
      </c>
      <c r="AD5818" t="str">
        <f>IF(A5818="","",IF(AC5818&gt;1,"REVISAR DUPLICADO",IF(AA5818&lt;&gt;"","ACTUALIZADO POR EYR","SIN REPORTE EYR")))</f>
        <v/>
      </c>
    </row>
    <row r="5819" spans="11:30" x14ac:dyDescent="0.3">
      <c r="K5819" s="1" t="str">
        <f ca="1">IF(A5819="","",IF(OR(L5819="ENTREGADA",L5819="RETORNADA",L5819="ENTREGA DIGITAL"),0,MAX(0,5-NETWORKDAYS(H5819+1,TODAY()))))</f>
        <v/>
      </c>
      <c r="L5819" t="str">
        <f>IF(A5819="","",IFERROR(LOOKUP(2,1/(#REF!=Z5819),#REF!),Y5819))</f>
        <v/>
      </c>
      <c r="Z5819" t="str">
        <f>IF(A5819="","",TEXT(A5819,"0")&amp;"|"&amp;TEXT(H5819,"0"))</f>
        <v/>
      </c>
      <c r="AA5819" t="str">
        <f>IF(Z5819="","",IFERROR(LOOKUP(2,1/(#REF!=Z5819),#REF!),""))</f>
        <v/>
      </c>
      <c r="AB5819" t="str">
        <f>IF(Z5819="","",IFERROR(LOOKUP(2,1/(#REF!=Z5819),#REF!),""))</f>
        <v/>
      </c>
      <c r="AC5819" t="str">
        <f>IF(Z5819="","",COUNTIF(#REF!,Z5819))</f>
        <v/>
      </c>
      <c r="AD5819" t="str">
        <f>IF(A5819="","",IF(AC5819&gt;1,"REVISAR DUPLICADO",IF(AA5819&lt;&gt;"","ACTUALIZADO POR EYR","SIN REPORTE EYR")))</f>
        <v/>
      </c>
    </row>
    <row r="5820" spans="11:30" x14ac:dyDescent="0.3">
      <c r="K5820" s="1" t="str">
        <f ca="1">IF(A5820="","",IF(OR(L5820="ENTREGADA",L5820="RETORNADA",L5820="ENTREGA DIGITAL"),0,MAX(0,5-NETWORKDAYS(H5820+1,TODAY()))))</f>
        <v/>
      </c>
      <c r="L5820" t="str">
        <f>IF(A5820="","",IFERROR(LOOKUP(2,1/(#REF!=Z5820),#REF!),Y5820))</f>
        <v/>
      </c>
      <c r="Z5820" t="str">
        <f>IF(A5820="","",TEXT(A5820,"0")&amp;"|"&amp;TEXT(H5820,"0"))</f>
        <v/>
      </c>
      <c r="AA5820" t="str">
        <f>IF(Z5820="","",IFERROR(LOOKUP(2,1/(#REF!=Z5820),#REF!),""))</f>
        <v/>
      </c>
      <c r="AB5820" t="str">
        <f>IF(Z5820="","",IFERROR(LOOKUP(2,1/(#REF!=Z5820),#REF!),""))</f>
        <v/>
      </c>
      <c r="AC5820" t="str">
        <f>IF(Z5820="","",COUNTIF(#REF!,Z5820))</f>
        <v/>
      </c>
      <c r="AD5820" t="str">
        <f>IF(A5820="","",IF(AC5820&gt;1,"REVISAR DUPLICADO",IF(AA5820&lt;&gt;"","ACTUALIZADO POR EYR","SIN REPORTE EYR")))</f>
        <v/>
      </c>
    </row>
    <row r="5821" spans="11:30" x14ac:dyDescent="0.3">
      <c r="K5821" s="1" t="str">
        <f ca="1">IF(A5821="","",IF(OR(L5821="ENTREGADA",L5821="RETORNADA",L5821="ENTREGA DIGITAL"),0,MAX(0,5-NETWORKDAYS(H5821+1,TODAY()))))</f>
        <v/>
      </c>
      <c r="L5821" t="str">
        <f>IF(A5821="","",IFERROR(LOOKUP(2,1/(#REF!=Z5821),#REF!),Y5821))</f>
        <v/>
      </c>
      <c r="Z5821" t="str">
        <f>IF(A5821="","",TEXT(A5821,"0")&amp;"|"&amp;TEXT(H5821,"0"))</f>
        <v/>
      </c>
      <c r="AA5821" t="str">
        <f>IF(Z5821="","",IFERROR(LOOKUP(2,1/(#REF!=Z5821),#REF!),""))</f>
        <v/>
      </c>
      <c r="AB5821" t="str">
        <f>IF(Z5821="","",IFERROR(LOOKUP(2,1/(#REF!=Z5821),#REF!),""))</f>
        <v/>
      </c>
      <c r="AC5821" t="str">
        <f>IF(Z5821="","",COUNTIF(#REF!,Z5821))</f>
        <v/>
      </c>
      <c r="AD5821" t="str">
        <f>IF(A5821="","",IF(AC5821&gt;1,"REVISAR DUPLICADO",IF(AA5821&lt;&gt;"","ACTUALIZADO POR EYR","SIN REPORTE EYR")))</f>
        <v/>
      </c>
    </row>
    <row r="5822" spans="11:30" x14ac:dyDescent="0.3">
      <c r="K5822" s="1" t="str">
        <f ca="1">IF(A5822="","",IF(OR(L5822="ENTREGADA",L5822="RETORNADA",L5822="ENTREGA DIGITAL"),0,MAX(0,5-NETWORKDAYS(H5822+1,TODAY()))))</f>
        <v/>
      </c>
      <c r="L5822" t="str">
        <f>IF(A5822="","",IFERROR(LOOKUP(2,1/(#REF!=Z5822),#REF!),Y5822))</f>
        <v/>
      </c>
      <c r="Z5822" t="str">
        <f>IF(A5822="","",TEXT(A5822,"0")&amp;"|"&amp;TEXT(H5822,"0"))</f>
        <v/>
      </c>
      <c r="AA5822" t="str">
        <f>IF(Z5822="","",IFERROR(LOOKUP(2,1/(#REF!=Z5822),#REF!),""))</f>
        <v/>
      </c>
      <c r="AB5822" t="str">
        <f>IF(Z5822="","",IFERROR(LOOKUP(2,1/(#REF!=Z5822),#REF!),""))</f>
        <v/>
      </c>
      <c r="AC5822" t="str">
        <f>IF(Z5822="","",COUNTIF(#REF!,Z5822))</f>
        <v/>
      </c>
      <c r="AD5822" t="str">
        <f>IF(A5822="","",IF(AC5822&gt;1,"REVISAR DUPLICADO",IF(AA5822&lt;&gt;"","ACTUALIZADO POR EYR","SIN REPORTE EYR")))</f>
        <v/>
      </c>
    </row>
    <row r="5823" spans="11:30" x14ac:dyDescent="0.3">
      <c r="K5823" s="1" t="str">
        <f ca="1">IF(A5823="","",IF(OR(L5823="ENTREGADA",L5823="RETORNADA",L5823="ENTREGA DIGITAL"),0,MAX(0,5-NETWORKDAYS(H5823+1,TODAY()))))</f>
        <v/>
      </c>
      <c r="L5823" t="str">
        <f>IF(A5823="","",IFERROR(LOOKUP(2,1/(#REF!=Z5823),#REF!),Y5823))</f>
        <v/>
      </c>
      <c r="Z5823" t="str">
        <f>IF(A5823="","",TEXT(A5823,"0")&amp;"|"&amp;TEXT(H5823,"0"))</f>
        <v/>
      </c>
      <c r="AA5823" t="str">
        <f>IF(Z5823="","",IFERROR(LOOKUP(2,1/(#REF!=Z5823),#REF!),""))</f>
        <v/>
      </c>
      <c r="AB5823" t="str">
        <f>IF(Z5823="","",IFERROR(LOOKUP(2,1/(#REF!=Z5823),#REF!),""))</f>
        <v/>
      </c>
      <c r="AC5823" t="str">
        <f>IF(Z5823="","",COUNTIF(#REF!,Z5823))</f>
        <v/>
      </c>
      <c r="AD5823" t="str">
        <f>IF(A5823="","",IF(AC5823&gt;1,"REVISAR DUPLICADO",IF(AA5823&lt;&gt;"","ACTUALIZADO POR EYR","SIN REPORTE EYR")))</f>
        <v/>
      </c>
    </row>
    <row r="5824" spans="11:30" x14ac:dyDescent="0.3">
      <c r="K5824" s="1" t="str">
        <f ca="1">IF(A5824="","",IF(OR(L5824="ENTREGADA",L5824="RETORNADA",L5824="ENTREGA DIGITAL"),0,MAX(0,5-NETWORKDAYS(H5824+1,TODAY()))))</f>
        <v/>
      </c>
      <c r="L5824" t="str">
        <f>IF(A5824="","",IFERROR(LOOKUP(2,1/(#REF!=Z5824),#REF!),Y5824))</f>
        <v/>
      </c>
      <c r="Z5824" t="str">
        <f>IF(A5824="","",TEXT(A5824,"0")&amp;"|"&amp;TEXT(H5824,"0"))</f>
        <v/>
      </c>
      <c r="AA5824" t="str">
        <f>IF(Z5824="","",IFERROR(LOOKUP(2,1/(#REF!=Z5824),#REF!),""))</f>
        <v/>
      </c>
      <c r="AB5824" t="str">
        <f>IF(Z5824="","",IFERROR(LOOKUP(2,1/(#REF!=Z5824),#REF!),""))</f>
        <v/>
      </c>
      <c r="AC5824" t="str">
        <f>IF(Z5824="","",COUNTIF(#REF!,Z5824))</f>
        <v/>
      </c>
      <c r="AD5824" t="str">
        <f>IF(A5824="","",IF(AC5824&gt;1,"REVISAR DUPLICADO",IF(AA5824&lt;&gt;"","ACTUALIZADO POR EYR","SIN REPORTE EYR")))</f>
        <v/>
      </c>
    </row>
    <row r="5825" spans="11:30" x14ac:dyDescent="0.3">
      <c r="K5825" s="1" t="str">
        <f ca="1">IF(A5825="","",IF(OR(L5825="ENTREGADA",L5825="RETORNADA",L5825="ENTREGA DIGITAL"),0,MAX(0,5-NETWORKDAYS(H5825+1,TODAY()))))</f>
        <v/>
      </c>
      <c r="L5825" t="str">
        <f>IF(A5825="","",IFERROR(LOOKUP(2,1/(#REF!=Z5825),#REF!),Y5825))</f>
        <v/>
      </c>
      <c r="Z5825" t="str">
        <f>IF(A5825="","",TEXT(A5825,"0")&amp;"|"&amp;TEXT(H5825,"0"))</f>
        <v/>
      </c>
      <c r="AA5825" t="str">
        <f>IF(Z5825="","",IFERROR(LOOKUP(2,1/(#REF!=Z5825),#REF!),""))</f>
        <v/>
      </c>
      <c r="AB5825" t="str">
        <f>IF(Z5825="","",IFERROR(LOOKUP(2,1/(#REF!=Z5825),#REF!),""))</f>
        <v/>
      </c>
      <c r="AC5825" t="str">
        <f>IF(Z5825="","",COUNTIF(#REF!,Z5825))</f>
        <v/>
      </c>
      <c r="AD5825" t="str">
        <f>IF(A5825="","",IF(AC5825&gt;1,"REVISAR DUPLICADO",IF(AA5825&lt;&gt;"","ACTUALIZADO POR EYR","SIN REPORTE EYR")))</f>
        <v/>
      </c>
    </row>
    <row r="5826" spans="11:30" x14ac:dyDescent="0.3">
      <c r="K5826" s="1" t="str">
        <f ca="1">IF(A5826="","",IF(OR(L5826="ENTREGADA",L5826="RETORNADA",L5826="ENTREGA DIGITAL"),0,MAX(0,5-NETWORKDAYS(H5826+1,TODAY()))))</f>
        <v/>
      </c>
      <c r="L5826" t="str">
        <f>IF(A5826="","",IFERROR(LOOKUP(2,1/(#REF!=Z5826),#REF!),Y5826))</f>
        <v/>
      </c>
      <c r="Z5826" t="str">
        <f>IF(A5826="","",TEXT(A5826,"0")&amp;"|"&amp;TEXT(H5826,"0"))</f>
        <v/>
      </c>
      <c r="AA5826" t="str">
        <f>IF(Z5826="","",IFERROR(LOOKUP(2,1/(#REF!=Z5826),#REF!),""))</f>
        <v/>
      </c>
      <c r="AB5826" t="str">
        <f>IF(Z5826="","",IFERROR(LOOKUP(2,1/(#REF!=Z5826),#REF!),""))</f>
        <v/>
      </c>
      <c r="AC5826" t="str">
        <f>IF(Z5826="","",COUNTIF(#REF!,Z5826))</f>
        <v/>
      </c>
      <c r="AD5826" t="str">
        <f>IF(A5826="","",IF(AC5826&gt;1,"REVISAR DUPLICADO",IF(AA5826&lt;&gt;"","ACTUALIZADO POR EYR","SIN REPORTE EYR")))</f>
        <v/>
      </c>
    </row>
    <row r="5827" spans="11:30" x14ac:dyDescent="0.3">
      <c r="K5827" s="1" t="str">
        <f ca="1">IF(A5827="","",IF(OR(L5827="ENTREGADA",L5827="RETORNADA",L5827="ENTREGA DIGITAL"),0,MAX(0,5-NETWORKDAYS(H5827+1,TODAY()))))</f>
        <v/>
      </c>
      <c r="L5827" t="str">
        <f>IF(A5827="","",IFERROR(LOOKUP(2,1/(#REF!=Z5827),#REF!),Y5827))</f>
        <v/>
      </c>
      <c r="Z5827" t="str">
        <f>IF(A5827="","",TEXT(A5827,"0")&amp;"|"&amp;TEXT(H5827,"0"))</f>
        <v/>
      </c>
      <c r="AA5827" t="str">
        <f>IF(Z5827="","",IFERROR(LOOKUP(2,1/(#REF!=Z5827),#REF!),""))</f>
        <v/>
      </c>
      <c r="AB5827" t="str">
        <f>IF(Z5827="","",IFERROR(LOOKUP(2,1/(#REF!=Z5827),#REF!),""))</f>
        <v/>
      </c>
      <c r="AC5827" t="str">
        <f>IF(Z5827="","",COUNTIF(#REF!,Z5827))</f>
        <v/>
      </c>
      <c r="AD5827" t="str">
        <f>IF(A5827="","",IF(AC5827&gt;1,"REVISAR DUPLICADO",IF(AA5827&lt;&gt;"","ACTUALIZADO POR EYR","SIN REPORTE EYR")))</f>
        <v/>
      </c>
    </row>
    <row r="5828" spans="11:30" x14ac:dyDescent="0.3">
      <c r="K5828" s="1" t="str">
        <f ca="1">IF(A5828="","",IF(OR(L5828="ENTREGADA",L5828="RETORNADA",L5828="ENTREGA DIGITAL"),0,MAX(0,5-NETWORKDAYS(H5828+1,TODAY()))))</f>
        <v/>
      </c>
      <c r="L5828" t="str">
        <f>IF(A5828="","",IFERROR(LOOKUP(2,1/(#REF!=Z5828),#REF!),Y5828))</f>
        <v/>
      </c>
      <c r="Z5828" t="str">
        <f>IF(A5828="","",TEXT(A5828,"0")&amp;"|"&amp;TEXT(H5828,"0"))</f>
        <v/>
      </c>
      <c r="AA5828" t="str">
        <f>IF(Z5828="","",IFERROR(LOOKUP(2,1/(#REF!=Z5828),#REF!),""))</f>
        <v/>
      </c>
      <c r="AB5828" t="str">
        <f>IF(Z5828="","",IFERROR(LOOKUP(2,1/(#REF!=Z5828),#REF!),""))</f>
        <v/>
      </c>
      <c r="AC5828" t="str">
        <f>IF(Z5828="","",COUNTIF(#REF!,Z5828))</f>
        <v/>
      </c>
      <c r="AD5828" t="str">
        <f>IF(A5828="","",IF(AC5828&gt;1,"REVISAR DUPLICADO",IF(AA5828&lt;&gt;"","ACTUALIZADO POR EYR","SIN REPORTE EYR")))</f>
        <v/>
      </c>
    </row>
    <row r="5829" spans="11:30" x14ac:dyDescent="0.3">
      <c r="K5829" s="1" t="str">
        <f ca="1">IF(A5829="","",IF(OR(L5829="ENTREGADA",L5829="RETORNADA",L5829="ENTREGA DIGITAL"),0,MAX(0,5-NETWORKDAYS(H5829+1,TODAY()))))</f>
        <v/>
      </c>
      <c r="L5829" t="str">
        <f>IF(A5829="","",IFERROR(LOOKUP(2,1/(#REF!=Z5829),#REF!),Y5829))</f>
        <v/>
      </c>
      <c r="Z5829" t="str">
        <f>IF(A5829="","",TEXT(A5829,"0")&amp;"|"&amp;TEXT(H5829,"0"))</f>
        <v/>
      </c>
      <c r="AA5829" t="str">
        <f>IF(Z5829="","",IFERROR(LOOKUP(2,1/(#REF!=Z5829),#REF!),""))</f>
        <v/>
      </c>
      <c r="AB5829" t="str">
        <f>IF(Z5829="","",IFERROR(LOOKUP(2,1/(#REF!=Z5829),#REF!),""))</f>
        <v/>
      </c>
      <c r="AC5829" t="str">
        <f>IF(Z5829="","",COUNTIF(#REF!,Z5829))</f>
        <v/>
      </c>
      <c r="AD5829" t="str">
        <f>IF(A5829="","",IF(AC5829&gt;1,"REVISAR DUPLICADO",IF(AA5829&lt;&gt;"","ACTUALIZADO POR EYR","SIN REPORTE EYR")))</f>
        <v/>
      </c>
    </row>
    <row r="5830" spans="11:30" x14ac:dyDescent="0.3">
      <c r="K5830" s="1" t="str">
        <f ca="1">IF(A5830="","",IF(OR(L5830="ENTREGADA",L5830="RETORNADA",L5830="ENTREGA DIGITAL"),0,MAX(0,5-NETWORKDAYS(H5830+1,TODAY()))))</f>
        <v/>
      </c>
      <c r="L5830" t="str">
        <f>IF(A5830="","",IFERROR(LOOKUP(2,1/(#REF!=Z5830),#REF!),Y5830))</f>
        <v/>
      </c>
      <c r="Z5830" t="str">
        <f>IF(A5830="","",TEXT(A5830,"0")&amp;"|"&amp;TEXT(H5830,"0"))</f>
        <v/>
      </c>
      <c r="AA5830" t="str">
        <f>IF(Z5830="","",IFERROR(LOOKUP(2,1/(#REF!=Z5830),#REF!),""))</f>
        <v/>
      </c>
      <c r="AB5830" t="str">
        <f>IF(Z5830="","",IFERROR(LOOKUP(2,1/(#REF!=Z5830),#REF!),""))</f>
        <v/>
      </c>
      <c r="AC5830" t="str">
        <f>IF(Z5830="","",COUNTIF(#REF!,Z5830))</f>
        <v/>
      </c>
      <c r="AD5830" t="str">
        <f>IF(A5830="","",IF(AC5830&gt;1,"REVISAR DUPLICADO",IF(AA5830&lt;&gt;"","ACTUALIZADO POR EYR","SIN REPORTE EYR")))</f>
        <v/>
      </c>
    </row>
    <row r="5831" spans="11:30" x14ac:dyDescent="0.3">
      <c r="K5831" s="1" t="str">
        <f ca="1">IF(A5831="","",IF(OR(L5831="ENTREGADA",L5831="RETORNADA",L5831="ENTREGA DIGITAL"),0,MAX(0,5-NETWORKDAYS(H5831+1,TODAY()))))</f>
        <v/>
      </c>
      <c r="L5831" t="str">
        <f>IF(A5831="","",IFERROR(LOOKUP(2,1/(#REF!=Z5831),#REF!),Y5831))</f>
        <v/>
      </c>
      <c r="Z5831" t="str">
        <f>IF(A5831="","",TEXT(A5831,"0")&amp;"|"&amp;TEXT(H5831,"0"))</f>
        <v/>
      </c>
      <c r="AA5831" t="str">
        <f>IF(Z5831="","",IFERROR(LOOKUP(2,1/(#REF!=Z5831),#REF!),""))</f>
        <v/>
      </c>
      <c r="AB5831" t="str">
        <f>IF(Z5831="","",IFERROR(LOOKUP(2,1/(#REF!=Z5831),#REF!),""))</f>
        <v/>
      </c>
      <c r="AC5831" t="str">
        <f>IF(Z5831="","",COUNTIF(#REF!,Z5831))</f>
        <v/>
      </c>
      <c r="AD5831" t="str">
        <f>IF(A5831="","",IF(AC5831&gt;1,"REVISAR DUPLICADO",IF(AA5831&lt;&gt;"","ACTUALIZADO POR EYR","SIN REPORTE EYR")))</f>
        <v/>
      </c>
    </row>
    <row r="5832" spans="11:30" x14ac:dyDescent="0.3">
      <c r="K5832" s="1" t="str">
        <f ca="1">IF(A5832="","",IF(OR(L5832="ENTREGADA",L5832="RETORNADA",L5832="ENTREGA DIGITAL"),0,MAX(0,5-NETWORKDAYS(H5832+1,TODAY()))))</f>
        <v/>
      </c>
      <c r="L5832" t="str">
        <f>IF(A5832="","",IFERROR(LOOKUP(2,1/(#REF!=Z5832),#REF!),Y5832))</f>
        <v/>
      </c>
      <c r="Z5832" t="str">
        <f>IF(A5832="","",TEXT(A5832,"0")&amp;"|"&amp;TEXT(H5832,"0"))</f>
        <v/>
      </c>
      <c r="AA5832" t="str">
        <f>IF(Z5832="","",IFERROR(LOOKUP(2,1/(#REF!=Z5832),#REF!),""))</f>
        <v/>
      </c>
      <c r="AB5832" t="str">
        <f>IF(Z5832="","",IFERROR(LOOKUP(2,1/(#REF!=Z5832),#REF!),""))</f>
        <v/>
      </c>
      <c r="AC5832" t="str">
        <f>IF(Z5832="","",COUNTIF(#REF!,Z5832))</f>
        <v/>
      </c>
      <c r="AD5832" t="str">
        <f>IF(A5832="","",IF(AC5832&gt;1,"REVISAR DUPLICADO",IF(AA5832&lt;&gt;"","ACTUALIZADO POR EYR","SIN REPORTE EYR")))</f>
        <v/>
      </c>
    </row>
    <row r="5833" spans="11:30" x14ac:dyDescent="0.3">
      <c r="K5833" s="1" t="str">
        <f ca="1">IF(A5833="","",IF(OR(L5833="ENTREGADA",L5833="RETORNADA",L5833="ENTREGA DIGITAL"),0,MAX(0,5-NETWORKDAYS(H5833+1,TODAY()))))</f>
        <v/>
      </c>
      <c r="L5833" t="str">
        <f>IF(A5833="","",IFERROR(LOOKUP(2,1/(#REF!=Z5833),#REF!),Y5833))</f>
        <v/>
      </c>
      <c r="Z5833" t="str">
        <f>IF(A5833="","",TEXT(A5833,"0")&amp;"|"&amp;TEXT(H5833,"0"))</f>
        <v/>
      </c>
      <c r="AA5833" t="str">
        <f>IF(Z5833="","",IFERROR(LOOKUP(2,1/(#REF!=Z5833),#REF!),""))</f>
        <v/>
      </c>
      <c r="AB5833" t="str">
        <f>IF(Z5833="","",IFERROR(LOOKUP(2,1/(#REF!=Z5833),#REF!),""))</f>
        <v/>
      </c>
      <c r="AC5833" t="str">
        <f>IF(Z5833="","",COUNTIF(#REF!,Z5833))</f>
        <v/>
      </c>
      <c r="AD5833" t="str">
        <f>IF(A5833="","",IF(AC5833&gt;1,"REVISAR DUPLICADO",IF(AA5833&lt;&gt;"","ACTUALIZADO POR EYR","SIN REPORTE EYR")))</f>
        <v/>
      </c>
    </row>
    <row r="5834" spans="11:30" x14ac:dyDescent="0.3">
      <c r="K5834" s="1" t="str">
        <f ca="1">IF(A5834="","",IF(OR(L5834="ENTREGADA",L5834="RETORNADA",L5834="ENTREGA DIGITAL"),0,MAX(0,5-NETWORKDAYS(H5834+1,TODAY()))))</f>
        <v/>
      </c>
      <c r="L5834" t="str">
        <f>IF(A5834="","",IFERROR(LOOKUP(2,1/(#REF!=Z5834),#REF!),Y5834))</f>
        <v/>
      </c>
      <c r="Z5834" t="str">
        <f>IF(A5834="","",TEXT(A5834,"0")&amp;"|"&amp;TEXT(H5834,"0"))</f>
        <v/>
      </c>
      <c r="AA5834" t="str">
        <f>IF(Z5834="","",IFERROR(LOOKUP(2,1/(#REF!=Z5834),#REF!),""))</f>
        <v/>
      </c>
      <c r="AB5834" t="str">
        <f>IF(Z5834="","",IFERROR(LOOKUP(2,1/(#REF!=Z5834),#REF!),""))</f>
        <v/>
      </c>
      <c r="AC5834" t="str">
        <f>IF(Z5834="","",COUNTIF(#REF!,Z5834))</f>
        <v/>
      </c>
      <c r="AD5834" t="str">
        <f>IF(A5834="","",IF(AC5834&gt;1,"REVISAR DUPLICADO",IF(AA5834&lt;&gt;"","ACTUALIZADO POR EYR","SIN REPORTE EYR")))</f>
        <v/>
      </c>
    </row>
    <row r="5835" spans="11:30" x14ac:dyDescent="0.3">
      <c r="K5835" s="1" t="str">
        <f ca="1">IF(A5835="","",IF(OR(L5835="ENTREGADA",L5835="RETORNADA",L5835="ENTREGA DIGITAL"),0,MAX(0,5-NETWORKDAYS(H5835+1,TODAY()))))</f>
        <v/>
      </c>
      <c r="L5835" t="str">
        <f>IF(A5835="","",IFERROR(LOOKUP(2,1/(#REF!=Z5835),#REF!),Y5835))</f>
        <v/>
      </c>
      <c r="Z5835" t="str">
        <f>IF(A5835="","",TEXT(A5835,"0")&amp;"|"&amp;TEXT(H5835,"0"))</f>
        <v/>
      </c>
      <c r="AA5835" t="str">
        <f>IF(Z5835="","",IFERROR(LOOKUP(2,1/(#REF!=Z5835),#REF!),""))</f>
        <v/>
      </c>
      <c r="AB5835" t="str">
        <f>IF(Z5835="","",IFERROR(LOOKUP(2,1/(#REF!=Z5835),#REF!),""))</f>
        <v/>
      </c>
      <c r="AC5835" t="str">
        <f>IF(Z5835="","",COUNTIF(#REF!,Z5835))</f>
        <v/>
      </c>
      <c r="AD5835" t="str">
        <f>IF(A5835="","",IF(AC5835&gt;1,"REVISAR DUPLICADO",IF(AA5835&lt;&gt;"","ACTUALIZADO POR EYR","SIN REPORTE EYR")))</f>
        <v/>
      </c>
    </row>
    <row r="5836" spans="11:30" x14ac:dyDescent="0.3">
      <c r="K5836" s="1" t="str">
        <f ca="1">IF(A5836="","",IF(OR(L5836="ENTREGADA",L5836="RETORNADA",L5836="ENTREGA DIGITAL"),0,MAX(0,5-NETWORKDAYS(H5836+1,TODAY()))))</f>
        <v/>
      </c>
      <c r="L5836" t="str">
        <f>IF(A5836="","",IFERROR(LOOKUP(2,1/(#REF!=Z5836),#REF!),Y5836))</f>
        <v/>
      </c>
      <c r="Z5836" t="str">
        <f>IF(A5836="","",TEXT(A5836,"0")&amp;"|"&amp;TEXT(H5836,"0"))</f>
        <v/>
      </c>
      <c r="AA5836" t="str">
        <f>IF(Z5836="","",IFERROR(LOOKUP(2,1/(#REF!=Z5836),#REF!),""))</f>
        <v/>
      </c>
      <c r="AB5836" t="str">
        <f>IF(Z5836="","",IFERROR(LOOKUP(2,1/(#REF!=Z5836),#REF!),""))</f>
        <v/>
      </c>
      <c r="AC5836" t="str">
        <f>IF(Z5836="","",COUNTIF(#REF!,Z5836))</f>
        <v/>
      </c>
      <c r="AD5836" t="str">
        <f>IF(A5836="","",IF(AC5836&gt;1,"REVISAR DUPLICADO",IF(AA5836&lt;&gt;"","ACTUALIZADO POR EYR","SIN REPORTE EYR")))</f>
        <v/>
      </c>
    </row>
    <row r="5837" spans="11:30" x14ac:dyDescent="0.3">
      <c r="K5837" s="1" t="str">
        <f ca="1">IF(A5837="","",IF(OR(L5837="ENTREGADA",L5837="RETORNADA",L5837="ENTREGA DIGITAL"),0,MAX(0,5-NETWORKDAYS(H5837+1,TODAY()))))</f>
        <v/>
      </c>
      <c r="L5837" t="str">
        <f>IF(A5837="","",IFERROR(LOOKUP(2,1/(#REF!=Z5837),#REF!),Y5837))</f>
        <v/>
      </c>
      <c r="Z5837" t="str">
        <f>IF(A5837="","",TEXT(A5837,"0")&amp;"|"&amp;TEXT(H5837,"0"))</f>
        <v/>
      </c>
      <c r="AA5837" t="str">
        <f>IF(Z5837="","",IFERROR(LOOKUP(2,1/(#REF!=Z5837),#REF!),""))</f>
        <v/>
      </c>
      <c r="AB5837" t="str">
        <f>IF(Z5837="","",IFERROR(LOOKUP(2,1/(#REF!=Z5837),#REF!),""))</f>
        <v/>
      </c>
      <c r="AC5837" t="str">
        <f>IF(Z5837="","",COUNTIF(#REF!,Z5837))</f>
        <v/>
      </c>
      <c r="AD5837" t="str">
        <f>IF(A5837="","",IF(AC5837&gt;1,"REVISAR DUPLICADO",IF(AA5837&lt;&gt;"","ACTUALIZADO POR EYR","SIN REPORTE EYR")))</f>
        <v/>
      </c>
    </row>
    <row r="5838" spans="11:30" x14ac:dyDescent="0.3">
      <c r="K5838" s="1" t="str">
        <f ca="1">IF(A5838="","",IF(OR(L5838="ENTREGADA",L5838="RETORNADA",L5838="ENTREGA DIGITAL"),0,MAX(0,5-NETWORKDAYS(H5838+1,TODAY()))))</f>
        <v/>
      </c>
      <c r="L5838" t="str">
        <f>IF(A5838="","",IFERROR(LOOKUP(2,1/(#REF!=Z5838),#REF!),Y5838))</f>
        <v/>
      </c>
      <c r="Z5838" t="str">
        <f>IF(A5838="","",TEXT(A5838,"0")&amp;"|"&amp;TEXT(H5838,"0"))</f>
        <v/>
      </c>
      <c r="AA5838" t="str">
        <f>IF(Z5838="","",IFERROR(LOOKUP(2,1/(#REF!=Z5838),#REF!),""))</f>
        <v/>
      </c>
      <c r="AB5838" t="str">
        <f>IF(Z5838="","",IFERROR(LOOKUP(2,1/(#REF!=Z5838),#REF!),""))</f>
        <v/>
      </c>
      <c r="AC5838" t="str">
        <f>IF(Z5838="","",COUNTIF(#REF!,Z5838))</f>
        <v/>
      </c>
      <c r="AD5838" t="str">
        <f>IF(A5838="","",IF(AC5838&gt;1,"REVISAR DUPLICADO",IF(AA5838&lt;&gt;"","ACTUALIZADO POR EYR","SIN REPORTE EYR")))</f>
        <v/>
      </c>
    </row>
    <row r="5839" spans="11:30" x14ac:dyDescent="0.3">
      <c r="K5839" s="1" t="str">
        <f ca="1">IF(A5839="","",IF(OR(L5839="ENTREGADA",L5839="RETORNADA",L5839="ENTREGA DIGITAL"),0,MAX(0,5-NETWORKDAYS(H5839+1,TODAY()))))</f>
        <v/>
      </c>
      <c r="L5839" t="str">
        <f>IF(A5839="","",IFERROR(LOOKUP(2,1/(#REF!=Z5839),#REF!),Y5839))</f>
        <v/>
      </c>
      <c r="Z5839" t="str">
        <f>IF(A5839="","",TEXT(A5839,"0")&amp;"|"&amp;TEXT(H5839,"0"))</f>
        <v/>
      </c>
      <c r="AA5839" t="str">
        <f>IF(Z5839="","",IFERROR(LOOKUP(2,1/(#REF!=Z5839),#REF!),""))</f>
        <v/>
      </c>
      <c r="AB5839" t="str">
        <f>IF(Z5839="","",IFERROR(LOOKUP(2,1/(#REF!=Z5839),#REF!),""))</f>
        <v/>
      </c>
      <c r="AC5839" t="str">
        <f>IF(Z5839="","",COUNTIF(#REF!,Z5839))</f>
        <v/>
      </c>
      <c r="AD5839" t="str">
        <f>IF(A5839="","",IF(AC5839&gt;1,"REVISAR DUPLICADO",IF(AA5839&lt;&gt;"","ACTUALIZADO POR EYR","SIN REPORTE EYR")))</f>
        <v/>
      </c>
    </row>
    <row r="5840" spans="11:30" x14ac:dyDescent="0.3">
      <c r="K5840" s="1" t="str">
        <f ca="1">IF(A5840="","",IF(OR(L5840="ENTREGADA",L5840="RETORNADA",L5840="ENTREGA DIGITAL"),0,MAX(0,5-NETWORKDAYS(H5840+1,TODAY()))))</f>
        <v/>
      </c>
      <c r="L5840" t="str">
        <f>IF(A5840="","",IFERROR(LOOKUP(2,1/(#REF!=Z5840),#REF!),Y5840))</f>
        <v/>
      </c>
      <c r="Z5840" t="str">
        <f>IF(A5840="","",TEXT(A5840,"0")&amp;"|"&amp;TEXT(H5840,"0"))</f>
        <v/>
      </c>
      <c r="AA5840" t="str">
        <f>IF(Z5840="","",IFERROR(LOOKUP(2,1/(#REF!=Z5840),#REF!),""))</f>
        <v/>
      </c>
      <c r="AB5840" t="str">
        <f>IF(Z5840="","",IFERROR(LOOKUP(2,1/(#REF!=Z5840),#REF!),""))</f>
        <v/>
      </c>
      <c r="AC5840" t="str">
        <f>IF(Z5840="","",COUNTIF(#REF!,Z5840))</f>
        <v/>
      </c>
      <c r="AD5840" t="str">
        <f>IF(A5840="","",IF(AC5840&gt;1,"REVISAR DUPLICADO",IF(AA5840&lt;&gt;"","ACTUALIZADO POR EYR","SIN REPORTE EYR")))</f>
        <v/>
      </c>
    </row>
    <row r="5841" spans="11:30" x14ac:dyDescent="0.3">
      <c r="K5841" s="1" t="str">
        <f ca="1">IF(A5841="","",IF(OR(L5841="ENTREGADA",L5841="RETORNADA",L5841="ENTREGA DIGITAL"),0,MAX(0,5-NETWORKDAYS(H5841+1,TODAY()))))</f>
        <v/>
      </c>
      <c r="L5841" t="str">
        <f>IF(A5841="","",IFERROR(LOOKUP(2,1/(#REF!=Z5841),#REF!),Y5841))</f>
        <v/>
      </c>
      <c r="Z5841" t="str">
        <f>IF(A5841="","",TEXT(A5841,"0")&amp;"|"&amp;TEXT(H5841,"0"))</f>
        <v/>
      </c>
      <c r="AA5841" t="str">
        <f>IF(Z5841="","",IFERROR(LOOKUP(2,1/(#REF!=Z5841),#REF!),""))</f>
        <v/>
      </c>
      <c r="AB5841" t="str">
        <f>IF(Z5841="","",IFERROR(LOOKUP(2,1/(#REF!=Z5841),#REF!),""))</f>
        <v/>
      </c>
      <c r="AC5841" t="str">
        <f>IF(Z5841="","",COUNTIF(#REF!,Z5841))</f>
        <v/>
      </c>
      <c r="AD5841" t="str">
        <f>IF(A5841="","",IF(AC5841&gt;1,"REVISAR DUPLICADO",IF(AA5841&lt;&gt;"","ACTUALIZADO POR EYR","SIN REPORTE EYR")))</f>
        <v/>
      </c>
    </row>
    <row r="5842" spans="11:30" x14ac:dyDescent="0.3">
      <c r="K5842" s="1" t="str">
        <f ca="1">IF(A5842="","",IF(OR(L5842="ENTREGADA",L5842="RETORNADA",L5842="ENTREGA DIGITAL"),0,MAX(0,5-NETWORKDAYS(H5842+1,TODAY()))))</f>
        <v/>
      </c>
      <c r="L5842" t="str">
        <f>IF(A5842="","",IFERROR(LOOKUP(2,1/(#REF!=Z5842),#REF!),Y5842))</f>
        <v/>
      </c>
      <c r="Z5842" t="str">
        <f>IF(A5842="","",TEXT(A5842,"0")&amp;"|"&amp;TEXT(H5842,"0"))</f>
        <v/>
      </c>
      <c r="AA5842" t="str">
        <f>IF(Z5842="","",IFERROR(LOOKUP(2,1/(#REF!=Z5842),#REF!),""))</f>
        <v/>
      </c>
      <c r="AB5842" t="str">
        <f>IF(Z5842="","",IFERROR(LOOKUP(2,1/(#REF!=Z5842),#REF!),""))</f>
        <v/>
      </c>
      <c r="AC5842" t="str">
        <f>IF(Z5842="","",COUNTIF(#REF!,Z5842))</f>
        <v/>
      </c>
      <c r="AD5842" t="str">
        <f>IF(A5842="","",IF(AC5842&gt;1,"REVISAR DUPLICADO",IF(AA5842&lt;&gt;"","ACTUALIZADO POR EYR","SIN REPORTE EYR")))</f>
        <v/>
      </c>
    </row>
    <row r="5843" spans="11:30" x14ac:dyDescent="0.3">
      <c r="K5843" s="1" t="str">
        <f ca="1">IF(A5843="","",IF(OR(L5843="ENTREGADA",L5843="RETORNADA",L5843="ENTREGA DIGITAL"),0,MAX(0,5-NETWORKDAYS(H5843+1,TODAY()))))</f>
        <v/>
      </c>
      <c r="L5843" t="str">
        <f>IF(A5843="","",IFERROR(LOOKUP(2,1/(#REF!=Z5843),#REF!),Y5843))</f>
        <v/>
      </c>
      <c r="Z5843" t="str">
        <f>IF(A5843="","",TEXT(A5843,"0")&amp;"|"&amp;TEXT(H5843,"0"))</f>
        <v/>
      </c>
      <c r="AA5843" t="str">
        <f>IF(Z5843="","",IFERROR(LOOKUP(2,1/(#REF!=Z5843),#REF!),""))</f>
        <v/>
      </c>
      <c r="AB5843" t="str">
        <f>IF(Z5843="","",IFERROR(LOOKUP(2,1/(#REF!=Z5843),#REF!),""))</f>
        <v/>
      </c>
      <c r="AC5843" t="str">
        <f>IF(Z5843="","",COUNTIF(#REF!,Z5843))</f>
        <v/>
      </c>
      <c r="AD5843" t="str">
        <f>IF(A5843="","",IF(AC5843&gt;1,"REVISAR DUPLICADO",IF(AA5843&lt;&gt;"","ACTUALIZADO POR EYR","SIN REPORTE EYR")))</f>
        <v/>
      </c>
    </row>
    <row r="5844" spans="11:30" x14ac:dyDescent="0.3">
      <c r="K5844" s="1" t="str">
        <f ca="1">IF(A5844="","",IF(OR(L5844="ENTREGADA",L5844="RETORNADA",L5844="ENTREGA DIGITAL"),0,MAX(0,5-NETWORKDAYS(H5844+1,TODAY()))))</f>
        <v/>
      </c>
      <c r="L5844" t="str">
        <f>IF(A5844="","",IFERROR(LOOKUP(2,1/(#REF!=Z5844),#REF!),Y5844))</f>
        <v/>
      </c>
      <c r="Z5844" t="str">
        <f>IF(A5844="","",TEXT(A5844,"0")&amp;"|"&amp;TEXT(H5844,"0"))</f>
        <v/>
      </c>
      <c r="AA5844" t="str">
        <f>IF(Z5844="","",IFERROR(LOOKUP(2,1/(#REF!=Z5844),#REF!),""))</f>
        <v/>
      </c>
      <c r="AB5844" t="str">
        <f>IF(Z5844="","",IFERROR(LOOKUP(2,1/(#REF!=Z5844),#REF!),""))</f>
        <v/>
      </c>
      <c r="AC5844" t="str">
        <f>IF(Z5844="","",COUNTIF(#REF!,Z5844))</f>
        <v/>
      </c>
      <c r="AD5844" t="str">
        <f>IF(A5844="","",IF(AC5844&gt;1,"REVISAR DUPLICADO",IF(AA5844&lt;&gt;"","ACTUALIZADO POR EYR","SIN REPORTE EYR")))</f>
        <v/>
      </c>
    </row>
    <row r="5845" spans="11:30" x14ac:dyDescent="0.3">
      <c r="K5845" s="1" t="str">
        <f ca="1">IF(A5845="","",IF(OR(L5845="ENTREGADA",L5845="RETORNADA",L5845="ENTREGA DIGITAL"),0,MAX(0,5-NETWORKDAYS(H5845+1,TODAY()))))</f>
        <v/>
      </c>
      <c r="L5845" t="str">
        <f>IF(A5845="","",IFERROR(LOOKUP(2,1/(#REF!=Z5845),#REF!),Y5845))</f>
        <v/>
      </c>
      <c r="Z5845" t="str">
        <f>IF(A5845="","",TEXT(A5845,"0")&amp;"|"&amp;TEXT(H5845,"0"))</f>
        <v/>
      </c>
      <c r="AA5845" t="str">
        <f>IF(Z5845="","",IFERROR(LOOKUP(2,1/(#REF!=Z5845),#REF!),""))</f>
        <v/>
      </c>
      <c r="AB5845" t="str">
        <f>IF(Z5845="","",IFERROR(LOOKUP(2,1/(#REF!=Z5845),#REF!),""))</f>
        <v/>
      </c>
      <c r="AC5845" t="str">
        <f>IF(Z5845="","",COUNTIF(#REF!,Z5845))</f>
        <v/>
      </c>
      <c r="AD5845" t="str">
        <f>IF(A5845="","",IF(AC5845&gt;1,"REVISAR DUPLICADO",IF(AA5845&lt;&gt;"","ACTUALIZADO POR EYR","SIN REPORTE EYR")))</f>
        <v/>
      </c>
    </row>
    <row r="5846" spans="11:30" x14ac:dyDescent="0.3">
      <c r="K5846" s="1" t="str">
        <f ca="1">IF(A5846="","",IF(OR(L5846="ENTREGADA",L5846="RETORNADA",L5846="ENTREGA DIGITAL"),0,MAX(0,5-NETWORKDAYS(H5846+1,TODAY()))))</f>
        <v/>
      </c>
      <c r="L5846" t="str">
        <f>IF(A5846="","",IFERROR(LOOKUP(2,1/(#REF!=Z5846),#REF!),Y5846))</f>
        <v/>
      </c>
      <c r="Z5846" t="str">
        <f>IF(A5846="","",TEXT(A5846,"0")&amp;"|"&amp;TEXT(H5846,"0"))</f>
        <v/>
      </c>
      <c r="AA5846" t="str">
        <f>IF(Z5846="","",IFERROR(LOOKUP(2,1/(#REF!=Z5846),#REF!),""))</f>
        <v/>
      </c>
      <c r="AB5846" t="str">
        <f>IF(Z5846="","",IFERROR(LOOKUP(2,1/(#REF!=Z5846),#REF!),""))</f>
        <v/>
      </c>
      <c r="AC5846" t="str">
        <f>IF(Z5846="","",COUNTIF(#REF!,Z5846))</f>
        <v/>
      </c>
      <c r="AD5846" t="str">
        <f>IF(A5846="","",IF(AC5846&gt;1,"REVISAR DUPLICADO",IF(AA5846&lt;&gt;"","ACTUALIZADO POR EYR","SIN REPORTE EYR")))</f>
        <v/>
      </c>
    </row>
    <row r="5847" spans="11:30" x14ac:dyDescent="0.3">
      <c r="K5847" s="1" t="str">
        <f ca="1">IF(A5847="","",IF(OR(L5847="ENTREGADA",L5847="RETORNADA",L5847="ENTREGA DIGITAL"),0,MAX(0,5-NETWORKDAYS(H5847+1,TODAY()))))</f>
        <v/>
      </c>
      <c r="L5847" t="str">
        <f>IF(A5847="","",IFERROR(LOOKUP(2,1/(#REF!=Z5847),#REF!),Y5847))</f>
        <v/>
      </c>
      <c r="Z5847" t="str">
        <f>IF(A5847="","",TEXT(A5847,"0")&amp;"|"&amp;TEXT(H5847,"0"))</f>
        <v/>
      </c>
      <c r="AA5847" t="str">
        <f>IF(Z5847="","",IFERROR(LOOKUP(2,1/(#REF!=Z5847),#REF!),""))</f>
        <v/>
      </c>
      <c r="AB5847" t="str">
        <f>IF(Z5847="","",IFERROR(LOOKUP(2,1/(#REF!=Z5847),#REF!),""))</f>
        <v/>
      </c>
      <c r="AC5847" t="str">
        <f>IF(Z5847="","",COUNTIF(#REF!,Z5847))</f>
        <v/>
      </c>
      <c r="AD5847" t="str">
        <f>IF(A5847="","",IF(AC5847&gt;1,"REVISAR DUPLICADO",IF(AA5847&lt;&gt;"","ACTUALIZADO POR EYR","SIN REPORTE EYR")))</f>
        <v/>
      </c>
    </row>
    <row r="5848" spans="11:30" x14ac:dyDescent="0.3">
      <c r="K5848" s="1" t="str">
        <f ca="1">IF(A5848="","",IF(OR(L5848="ENTREGADA",L5848="RETORNADA",L5848="ENTREGA DIGITAL"),0,MAX(0,5-NETWORKDAYS(H5848+1,TODAY()))))</f>
        <v/>
      </c>
      <c r="L5848" t="str">
        <f>IF(A5848="","",IFERROR(LOOKUP(2,1/(#REF!=Z5848),#REF!),Y5848))</f>
        <v/>
      </c>
      <c r="Z5848" t="str">
        <f>IF(A5848="","",TEXT(A5848,"0")&amp;"|"&amp;TEXT(H5848,"0"))</f>
        <v/>
      </c>
      <c r="AA5848" t="str">
        <f>IF(Z5848="","",IFERROR(LOOKUP(2,1/(#REF!=Z5848),#REF!),""))</f>
        <v/>
      </c>
      <c r="AB5848" t="str">
        <f>IF(Z5848="","",IFERROR(LOOKUP(2,1/(#REF!=Z5848),#REF!),""))</f>
        <v/>
      </c>
      <c r="AC5848" t="str">
        <f>IF(Z5848="","",COUNTIF(#REF!,Z5848))</f>
        <v/>
      </c>
      <c r="AD5848" t="str">
        <f>IF(A5848="","",IF(AC5848&gt;1,"REVISAR DUPLICADO",IF(AA5848&lt;&gt;"","ACTUALIZADO POR EYR","SIN REPORTE EYR")))</f>
        <v/>
      </c>
    </row>
    <row r="5849" spans="11:30" x14ac:dyDescent="0.3">
      <c r="K5849" s="1" t="str">
        <f ca="1">IF(A5849="","",IF(OR(L5849="ENTREGADA",L5849="RETORNADA",L5849="ENTREGA DIGITAL"),0,MAX(0,5-NETWORKDAYS(H5849+1,TODAY()))))</f>
        <v/>
      </c>
      <c r="L5849" t="str">
        <f>IF(A5849="","",IFERROR(LOOKUP(2,1/(#REF!=Z5849),#REF!),Y5849))</f>
        <v/>
      </c>
      <c r="Z5849" t="str">
        <f>IF(A5849="","",TEXT(A5849,"0")&amp;"|"&amp;TEXT(H5849,"0"))</f>
        <v/>
      </c>
      <c r="AA5849" t="str">
        <f>IF(Z5849="","",IFERROR(LOOKUP(2,1/(#REF!=Z5849),#REF!),""))</f>
        <v/>
      </c>
      <c r="AB5849" t="str">
        <f>IF(Z5849="","",IFERROR(LOOKUP(2,1/(#REF!=Z5849),#REF!),""))</f>
        <v/>
      </c>
      <c r="AC5849" t="str">
        <f>IF(Z5849="","",COUNTIF(#REF!,Z5849))</f>
        <v/>
      </c>
      <c r="AD5849" t="str">
        <f>IF(A5849="","",IF(AC5849&gt;1,"REVISAR DUPLICADO",IF(AA5849&lt;&gt;"","ACTUALIZADO POR EYR","SIN REPORTE EYR")))</f>
        <v/>
      </c>
    </row>
    <row r="5850" spans="11:30" x14ac:dyDescent="0.3">
      <c r="K5850" s="1" t="str">
        <f ca="1">IF(A5850="","",IF(OR(L5850="ENTREGADA",L5850="RETORNADA",L5850="ENTREGA DIGITAL"),0,MAX(0,5-NETWORKDAYS(H5850+1,TODAY()))))</f>
        <v/>
      </c>
      <c r="L5850" t="str">
        <f>IF(A5850="","",IFERROR(LOOKUP(2,1/(#REF!=Z5850),#REF!),Y5850))</f>
        <v/>
      </c>
      <c r="Z5850" t="str">
        <f>IF(A5850="","",TEXT(A5850,"0")&amp;"|"&amp;TEXT(H5850,"0"))</f>
        <v/>
      </c>
      <c r="AA5850" t="str">
        <f>IF(Z5850="","",IFERROR(LOOKUP(2,1/(#REF!=Z5850),#REF!),""))</f>
        <v/>
      </c>
      <c r="AB5850" t="str">
        <f>IF(Z5850="","",IFERROR(LOOKUP(2,1/(#REF!=Z5850),#REF!),""))</f>
        <v/>
      </c>
      <c r="AC5850" t="str">
        <f>IF(Z5850="","",COUNTIF(#REF!,Z5850))</f>
        <v/>
      </c>
      <c r="AD5850" t="str">
        <f>IF(A5850="","",IF(AC5850&gt;1,"REVISAR DUPLICADO",IF(AA5850&lt;&gt;"","ACTUALIZADO POR EYR","SIN REPORTE EYR")))</f>
        <v/>
      </c>
    </row>
    <row r="5851" spans="11:30" x14ac:dyDescent="0.3">
      <c r="K5851" s="1" t="str">
        <f ca="1">IF(A5851="","",IF(OR(L5851="ENTREGADA",L5851="RETORNADA",L5851="ENTREGA DIGITAL"),0,MAX(0,5-NETWORKDAYS(H5851+1,TODAY()))))</f>
        <v/>
      </c>
      <c r="L5851" t="str">
        <f>IF(A5851="","",IFERROR(LOOKUP(2,1/(#REF!=Z5851),#REF!),Y5851))</f>
        <v/>
      </c>
      <c r="Z5851" t="str">
        <f>IF(A5851="","",TEXT(A5851,"0")&amp;"|"&amp;TEXT(H5851,"0"))</f>
        <v/>
      </c>
      <c r="AA5851" t="str">
        <f>IF(Z5851="","",IFERROR(LOOKUP(2,1/(#REF!=Z5851),#REF!),""))</f>
        <v/>
      </c>
      <c r="AB5851" t="str">
        <f>IF(Z5851="","",IFERROR(LOOKUP(2,1/(#REF!=Z5851),#REF!),""))</f>
        <v/>
      </c>
      <c r="AC5851" t="str">
        <f>IF(Z5851="","",COUNTIF(#REF!,Z5851))</f>
        <v/>
      </c>
      <c r="AD5851" t="str">
        <f>IF(A5851="","",IF(AC5851&gt;1,"REVISAR DUPLICADO",IF(AA5851&lt;&gt;"","ACTUALIZADO POR EYR","SIN REPORTE EYR")))</f>
        <v/>
      </c>
    </row>
    <row r="5852" spans="11:30" x14ac:dyDescent="0.3">
      <c r="K5852" s="1" t="str">
        <f ca="1">IF(A5852="","",IF(OR(L5852="ENTREGADA",L5852="RETORNADA",L5852="ENTREGA DIGITAL"),0,MAX(0,5-NETWORKDAYS(H5852+1,TODAY()))))</f>
        <v/>
      </c>
      <c r="L5852" t="str">
        <f>IF(A5852="","",IFERROR(LOOKUP(2,1/(#REF!=Z5852),#REF!),Y5852))</f>
        <v/>
      </c>
      <c r="Z5852" t="str">
        <f>IF(A5852="","",TEXT(A5852,"0")&amp;"|"&amp;TEXT(H5852,"0"))</f>
        <v/>
      </c>
      <c r="AA5852" t="str">
        <f>IF(Z5852="","",IFERROR(LOOKUP(2,1/(#REF!=Z5852),#REF!),""))</f>
        <v/>
      </c>
      <c r="AB5852" t="str">
        <f>IF(Z5852="","",IFERROR(LOOKUP(2,1/(#REF!=Z5852),#REF!),""))</f>
        <v/>
      </c>
      <c r="AC5852" t="str">
        <f>IF(Z5852="","",COUNTIF(#REF!,Z5852))</f>
        <v/>
      </c>
      <c r="AD5852" t="str">
        <f>IF(A5852="","",IF(AC5852&gt;1,"REVISAR DUPLICADO",IF(AA5852&lt;&gt;"","ACTUALIZADO POR EYR","SIN REPORTE EYR")))</f>
        <v/>
      </c>
    </row>
    <row r="5853" spans="11:30" x14ac:dyDescent="0.3">
      <c r="K5853" s="1" t="str">
        <f ca="1">IF(A5853="","",IF(OR(L5853="ENTREGADA",L5853="RETORNADA",L5853="ENTREGA DIGITAL"),0,MAX(0,5-NETWORKDAYS(H5853+1,TODAY()))))</f>
        <v/>
      </c>
      <c r="L5853" t="str">
        <f>IF(A5853="","",IFERROR(LOOKUP(2,1/(#REF!=Z5853),#REF!),Y5853))</f>
        <v/>
      </c>
      <c r="Z5853" t="str">
        <f>IF(A5853="","",TEXT(A5853,"0")&amp;"|"&amp;TEXT(H5853,"0"))</f>
        <v/>
      </c>
      <c r="AA5853" t="str">
        <f>IF(Z5853="","",IFERROR(LOOKUP(2,1/(#REF!=Z5853),#REF!),""))</f>
        <v/>
      </c>
      <c r="AB5853" t="str">
        <f>IF(Z5853="","",IFERROR(LOOKUP(2,1/(#REF!=Z5853),#REF!),""))</f>
        <v/>
      </c>
      <c r="AC5853" t="str">
        <f>IF(Z5853="","",COUNTIF(#REF!,Z5853))</f>
        <v/>
      </c>
      <c r="AD5853" t="str">
        <f>IF(A5853="","",IF(AC5853&gt;1,"REVISAR DUPLICADO",IF(AA5853&lt;&gt;"","ACTUALIZADO POR EYR","SIN REPORTE EYR")))</f>
        <v/>
      </c>
    </row>
    <row r="5854" spans="11:30" x14ac:dyDescent="0.3">
      <c r="K5854" s="1" t="str">
        <f ca="1">IF(A5854="","",IF(OR(L5854="ENTREGADA",L5854="RETORNADA",L5854="ENTREGA DIGITAL"),0,MAX(0,5-NETWORKDAYS(H5854+1,TODAY()))))</f>
        <v/>
      </c>
      <c r="L5854" t="str">
        <f>IF(A5854="","",IFERROR(LOOKUP(2,1/(#REF!=Z5854),#REF!),Y5854))</f>
        <v/>
      </c>
      <c r="Z5854" t="str">
        <f>IF(A5854="","",TEXT(A5854,"0")&amp;"|"&amp;TEXT(H5854,"0"))</f>
        <v/>
      </c>
      <c r="AA5854" t="str">
        <f>IF(Z5854="","",IFERROR(LOOKUP(2,1/(#REF!=Z5854),#REF!),""))</f>
        <v/>
      </c>
      <c r="AB5854" t="str">
        <f>IF(Z5854="","",IFERROR(LOOKUP(2,1/(#REF!=Z5854),#REF!),""))</f>
        <v/>
      </c>
      <c r="AC5854" t="str">
        <f>IF(Z5854="","",COUNTIF(#REF!,Z5854))</f>
        <v/>
      </c>
      <c r="AD5854" t="str">
        <f>IF(A5854="","",IF(AC5854&gt;1,"REVISAR DUPLICADO",IF(AA5854&lt;&gt;"","ACTUALIZADO POR EYR","SIN REPORTE EYR")))</f>
        <v/>
      </c>
    </row>
    <row r="5855" spans="11:30" x14ac:dyDescent="0.3">
      <c r="K5855" s="1" t="str">
        <f ca="1">IF(A5855="","",IF(OR(L5855="ENTREGADA",L5855="RETORNADA",L5855="ENTREGA DIGITAL"),0,MAX(0,5-NETWORKDAYS(H5855+1,TODAY()))))</f>
        <v/>
      </c>
      <c r="L5855" t="str">
        <f>IF(A5855="","",IFERROR(LOOKUP(2,1/(#REF!=Z5855),#REF!),Y5855))</f>
        <v/>
      </c>
      <c r="Z5855" t="str">
        <f>IF(A5855="","",TEXT(A5855,"0")&amp;"|"&amp;TEXT(H5855,"0"))</f>
        <v/>
      </c>
      <c r="AA5855" t="str">
        <f>IF(Z5855="","",IFERROR(LOOKUP(2,1/(#REF!=Z5855),#REF!),""))</f>
        <v/>
      </c>
      <c r="AB5855" t="str">
        <f>IF(Z5855="","",IFERROR(LOOKUP(2,1/(#REF!=Z5855),#REF!),""))</f>
        <v/>
      </c>
      <c r="AC5855" t="str">
        <f>IF(Z5855="","",COUNTIF(#REF!,Z5855))</f>
        <v/>
      </c>
      <c r="AD5855" t="str">
        <f>IF(A5855="","",IF(AC5855&gt;1,"REVISAR DUPLICADO",IF(AA5855&lt;&gt;"","ACTUALIZADO POR EYR","SIN REPORTE EYR")))</f>
        <v/>
      </c>
    </row>
    <row r="5856" spans="11:30" x14ac:dyDescent="0.3">
      <c r="K5856" s="1" t="str">
        <f ca="1">IF(A5856="","",IF(OR(L5856="ENTREGADA",L5856="RETORNADA",L5856="ENTREGA DIGITAL"),0,MAX(0,5-NETWORKDAYS(H5856+1,TODAY()))))</f>
        <v/>
      </c>
      <c r="L5856" t="str">
        <f>IF(A5856="","",IFERROR(LOOKUP(2,1/(#REF!=Z5856),#REF!),Y5856))</f>
        <v/>
      </c>
      <c r="Z5856" t="str">
        <f>IF(A5856="","",TEXT(A5856,"0")&amp;"|"&amp;TEXT(H5856,"0"))</f>
        <v/>
      </c>
      <c r="AA5856" t="str">
        <f>IF(Z5856="","",IFERROR(LOOKUP(2,1/(#REF!=Z5856),#REF!),""))</f>
        <v/>
      </c>
      <c r="AB5856" t="str">
        <f>IF(Z5856="","",IFERROR(LOOKUP(2,1/(#REF!=Z5856),#REF!),""))</f>
        <v/>
      </c>
      <c r="AC5856" t="str">
        <f>IF(Z5856="","",COUNTIF(#REF!,Z5856))</f>
        <v/>
      </c>
      <c r="AD5856" t="str">
        <f>IF(A5856="","",IF(AC5856&gt;1,"REVISAR DUPLICADO",IF(AA5856&lt;&gt;"","ACTUALIZADO POR EYR","SIN REPORTE EYR")))</f>
        <v/>
      </c>
    </row>
    <row r="5857" spans="11:30" x14ac:dyDescent="0.3">
      <c r="K5857" s="1" t="str">
        <f ca="1">IF(A5857="","",IF(OR(L5857="ENTREGADA",L5857="RETORNADA",L5857="ENTREGA DIGITAL"),0,MAX(0,5-NETWORKDAYS(H5857+1,TODAY()))))</f>
        <v/>
      </c>
      <c r="L5857" t="str">
        <f>IF(A5857="","",IFERROR(LOOKUP(2,1/(#REF!=Z5857),#REF!),Y5857))</f>
        <v/>
      </c>
      <c r="Z5857" t="str">
        <f>IF(A5857="","",TEXT(A5857,"0")&amp;"|"&amp;TEXT(H5857,"0"))</f>
        <v/>
      </c>
      <c r="AA5857" t="str">
        <f>IF(Z5857="","",IFERROR(LOOKUP(2,1/(#REF!=Z5857),#REF!),""))</f>
        <v/>
      </c>
      <c r="AB5857" t="str">
        <f>IF(Z5857="","",IFERROR(LOOKUP(2,1/(#REF!=Z5857),#REF!),""))</f>
        <v/>
      </c>
      <c r="AC5857" t="str">
        <f>IF(Z5857="","",COUNTIF(#REF!,Z5857))</f>
        <v/>
      </c>
      <c r="AD5857" t="str">
        <f>IF(A5857="","",IF(AC5857&gt;1,"REVISAR DUPLICADO",IF(AA5857&lt;&gt;"","ACTUALIZADO POR EYR","SIN REPORTE EYR")))</f>
        <v/>
      </c>
    </row>
    <row r="5858" spans="11:30" x14ac:dyDescent="0.3">
      <c r="K5858" s="1" t="str">
        <f ca="1">IF(A5858="","",IF(OR(L5858="ENTREGADA",L5858="RETORNADA",L5858="ENTREGA DIGITAL"),0,MAX(0,5-NETWORKDAYS(H5858+1,TODAY()))))</f>
        <v/>
      </c>
      <c r="L5858" t="str">
        <f>IF(A5858="","",IFERROR(LOOKUP(2,1/(#REF!=Z5858),#REF!),Y5858))</f>
        <v/>
      </c>
      <c r="Z5858" t="str">
        <f>IF(A5858="","",TEXT(A5858,"0")&amp;"|"&amp;TEXT(H5858,"0"))</f>
        <v/>
      </c>
      <c r="AA5858" t="str">
        <f>IF(Z5858="","",IFERROR(LOOKUP(2,1/(#REF!=Z5858),#REF!),""))</f>
        <v/>
      </c>
      <c r="AB5858" t="str">
        <f>IF(Z5858="","",IFERROR(LOOKUP(2,1/(#REF!=Z5858),#REF!),""))</f>
        <v/>
      </c>
      <c r="AC5858" t="str">
        <f>IF(Z5858="","",COUNTIF(#REF!,Z5858))</f>
        <v/>
      </c>
      <c r="AD5858" t="str">
        <f>IF(A5858="","",IF(AC5858&gt;1,"REVISAR DUPLICADO",IF(AA5858&lt;&gt;"","ACTUALIZADO POR EYR","SIN REPORTE EYR")))</f>
        <v/>
      </c>
    </row>
    <row r="5859" spans="11:30" x14ac:dyDescent="0.3">
      <c r="K5859" s="1" t="str">
        <f ca="1">IF(A5859="","",IF(OR(L5859="ENTREGADA",L5859="RETORNADA",L5859="ENTREGA DIGITAL"),0,MAX(0,5-NETWORKDAYS(H5859+1,TODAY()))))</f>
        <v/>
      </c>
      <c r="L5859" t="str">
        <f>IF(A5859="","",IFERROR(LOOKUP(2,1/(#REF!=Z5859),#REF!),Y5859))</f>
        <v/>
      </c>
      <c r="Z5859" t="str">
        <f>IF(A5859="","",TEXT(A5859,"0")&amp;"|"&amp;TEXT(H5859,"0"))</f>
        <v/>
      </c>
      <c r="AA5859" t="str">
        <f>IF(Z5859="","",IFERROR(LOOKUP(2,1/(#REF!=Z5859),#REF!),""))</f>
        <v/>
      </c>
      <c r="AB5859" t="str">
        <f>IF(Z5859="","",IFERROR(LOOKUP(2,1/(#REF!=Z5859),#REF!),""))</f>
        <v/>
      </c>
      <c r="AC5859" t="str">
        <f>IF(Z5859="","",COUNTIF(#REF!,Z5859))</f>
        <v/>
      </c>
      <c r="AD5859" t="str">
        <f>IF(A5859="","",IF(AC5859&gt;1,"REVISAR DUPLICADO",IF(AA5859&lt;&gt;"","ACTUALIZADO POR EYR","SIN REPORTE EYR")))</f>
        <v/>
      </c>
    </row>
    <row r="5860" spans="11:30" x14ac:dyDescent="0.3">
      <c r="K5860" s="1" t="str">
        <f ca="1">IF(A5860="","",IF(OR(L5860="ENTREGADA",L5860="RETORNADA",L5860="ENTREGA DIGITAL"),0,MAX(0,5-NETWORKDAYS(H5860+1,TODAY()))))</f>
        <v/>
      </c>
      <c r="L5860" t="str">
        <f>IF(A5860="","",IFERROR(LOOKUP(2,1/(#REF!=Z5860),#REF!),Y5860))</f>
        <v/>
      </c>
      <c r="Z5860" t="str">
        <f>IF(A5860="","",TEXT(A5860,"0")&amp;"|"&amp;TEXT(H5860,"0"))</f>
        <v/>
      </c>
      <c r="AA5860" t="str">
        <f>IF(Z5860="","",IFERROR(LOOKUP(2,1/(#REF!=Z5860),#REF!),""))</f>
        <v/>
      </c>
      <c r="AB5860" t="str">
        <f>IF(Z5860="","",IFERROR(LOOKUP(2,1/(#REF!=Z5860),#REF!),""))</f>
        <v/>
      </c>
      <c r="AC5860" t="str">
        <f>IF(Z5860="","",COUNTIF(#REF!,Z5860))</f>
        <v/>
      </c>
      <c r="AD5860" t="str">
        <f>IF(A5860="","",IF(AC5860&gt;1,"REVISAR DUPLICADO",IF(AA5860&lt;&gt;"","ACTUALIZADO POR EYR","SIN REPORTE EYR")))</f>
        <v/>
      </c>
    </row>
    <row r="5861" spans="11:30" x14ac:dyDescent="0.3">
      <c r="K5861" s="1" t="str">
        <f ca="1">IF(A5861="","",IF(OR(L5861="ENTREGADA",L5861="RETORNADA",L5861="ENTREGA DIGITAL"),0,MAX(0,5-NETWORKDAYS(H5861+1,TODAY()))))</f>
        <v/>
      </c>
      <c r="L5861" t="str">
        <f>IF(A5861="","",IFERROR(LOOKUP(2,1/(#REF!=Z5861),#REF!),Y5861))</f>
        <v/>
      </c>
      <c r="Z5861" t="str">
        <f>IF(A5861="","",TEXT(A5861,"0")&amp;"|"&amp;TEXT(H5861,"0"))</f>
        <v/>
      </c>
      <c r="AA5861" t="str">
        <f>IF(Z5861="","",IFERROR(LOOKUP(2,1/(#REF!=Z5861),#REF!),""))</f>
        <v/>
      </c>
      <c r="AB5861" t="str">
        <f>IF(Z5861="","",IFERROR(LOOKUP(2,1/(#REF!=Z5861),#REF!),""))</f>
        <v/>
      </c>
      <c r="AC5861" t="str">
        <f>IF(Z5861="","",COUNTIF(#REF!,Z5861))</f>
        <v/>
      </c>
      <c r="AD5861" t="str">
        <f>IF(A5861="","",IF(AC5861&gt;1,"REVISAR DUPLICADO",IF(AA5861&lt;&gt;"","ACTUALIZADO POR EYR","SIN REPORTE EYR")))</f>
        <v/>
      </c>
    </row>
    <row r="5862" spans="11:30" x14ac:dyDescent="0.3">
      <c r="K5862" s="1" t="str">
        <f ca="1">IF(A5862="","",IF(OR(L5862="ENTREGADA",L5862="RETORNADA",L5862="ENTREGA DIGITAL"),0,MAX(0,5-NETWORKDAYS(H5862+1,TODAY()))))</f>
        <v/>
      </c>
      <c r="L5862" t="str">
        <f>IF(A5862="","",IFERROR(LOOKUP(2,1/(#REF!=Z5862),#REF!),Y5862))</f>
        <v/>
      </c>
      <c r="Z5862" t="str">
        <f>IF(A5862="","",TEXT(A5862,"0")&amp;"|"&amp;TEXT(H5862,"0"))</f>
        <v/>
      </c>
      <c r="AA5862" t="str">
        <f>IF(Z5862="","",IFERROR(LOOKUP(2,1/(#REF!=Z5862),#REF!),""))</f>
        <v/>
      </c>
      <c r="AB5862" t="str">
        <f>IF(Z5862="","",IFERROR(LOOKUP(2,1/(#REF!=Z5862),#REF!),""))</f>
        <v/>
      </c>
      <c r="AC5862" t="str">
        <f>IF(Z5862="","",COUNTIF(#REF!,Z5862))</f>
        <v/>
      </c>
      <c r="AD5862" t="str">
        <f>IF(A5862="","",IF(AC5862&gt;1,"REVISAR DUPLICADO",IF(AA5862&lt;&gt;"","ACTUALIZADO POR EYR","SIN REPORTE EYR")))</f>
        <v/>
      </c>
    </row>
    <row r="5863" spans="11:30" x14ac:dyDescent="0.3">
      <c r="K5863" s="1" t="str">
        <f ca="1">IF(A5863="","",IF(OR(L5863="ENTREGADA",L5863="RETORNADA",L5863="ENTREGA DIGITAL"),0,MAX(0,5-NETWORKDAYS(H5863+1,TODAY()))))</f>
        <v/>
      </c>
      <c r="L5863" t="str">
        <f>IF(A5863="","",IFERROR(LOOKUP(2,1/(#REF!=Z5863),#REF!),Y5863))</f>
        <v/>
      </c>
      <c r="Z5863" t="str">
        <f>IF(A5863="","",TEXT(A5863,"0")&amp;"|"&amp;TEXT(H5863,"0"))</f>
        <v/>
      </c>
      <c r="AA5863" t="str">
        <f>IF(Z5863="","",IFERROR(LOOKUP(2,1/(#REF!=Z5863),#REF!),""))</f>
        <v/>
      </c>
      <c r="AB5863" t="str">
        <f>IF(Z5863="","",IFERROR(LOOKUP(2,1/(#REF!=Z5863),#REF!),""))</f>
        <v/>
      </c>
      <c r="AC5863" t="str">
        <f>IF(Z5863="","",COUNTIF(#REF!,Z5863))</f>
        <v/>
      </c>
      <c r="AD5863" t="str">
        <f>IF(A5863="","",IF(AC5863&gt;1,"REVISAR DUPLICADO",IF(AA5863&lt;&gt;"","ACTUALIZADO POR EYR","SIN REPORTE EYR")))</f>
        <v/>
      </c>
    </row>
    <row r="5864" spans="11:30" x14ac:dyDescent="0.3">
      <c r="K5864" s="1" t="str">
        <f ca="1">IF(A5864="","",IF(OR(L5864="ENTREGADA",L5864="RETORNADA",L5864="ENTREGA DIGITAL"),0,MAX(0,5-NETWORKDAYS(H5864+1,TODAY()))))</f>
        <v/>
      </c>
      <c r="L5864" t="str">
        <f>IF(A5864="","",IFERROR(LOOKUP(2,1/(#REF!=Z5864),#REF!),Y5864))</f>
        <v/>
      </c>
      <c r="Z5864" t="str">
        <f>IF(A5864="","",TEXT(A5864,"0")&amp;"|"&amp;TEXT(H5864,"0"))</f>
        <v/>
      </c>
      <c r="AA5864" t="str">
        <f>IF(Z5864="","",IFERROR(LOOKUP(2,1/(#REF!=Z5864),#REF!),""))</f>
        <v/>
      </c>
      <c r="AB5864" t="str">
        <f>IF(Z5864="","",IFERROR(LOOKUP(2,1/(#REF!=Z5864),#REF!),""))</f>
        <v/>
      </c>
      <c r="AC5864" t="str">
        <f>IF(Z5864="","",COUNTIF(#REF!,Z5864))</f>
        <v/>
      </c>
      <c r="AD5864" t="str">
        <f>IF(A5864="","",IF(AC5864&gt;1,"REVISAR DUPLICADO",IF(AA5864&lt;&gt;"","ACTUALIZADO POR EYR","SIN REPORTE EYR")))</f>
        <v/>
      </c>
    </row>
    <row r="5865" spans="11:30" x14ac:dyDescent="0.3">
      <c r="K5865" s="1" t="str">
        <f ca="1">IF(A5865="","",IF(OR(L5865="ENTREGADA",L5865="RETORNADA",L5865="ENTREGA DIGITAL"),0,MAX(0,5-NETWORKDAYS(H5865+1,TODAY()))))</f>
        <v/>
      </c>
      <c r="L5865" t="str">
        <f>IF(A5865="","",IFERROR(LOOKUP(2,1/(#REF!=Z5865),#REF!),Y5865))</f>
        <v/>
      </c>
      <c r="Z5865" t="str">
        <f>IF(A5865="","",TEXT(A5865,"0")&amp;"|"&amp;TEXT(H5865,"0"))</f>
        <v/>
      </c>
      <c r="AA5865" t="str">
        <f>IF(Z5865="","",IFERROR(LOOKUP(2,1/(#REF!=Z5865),#REF!),""))</f>
        <v/>
      </c>
      <c r="AB5865" t="str">
        <f>IF(Z5865="","",IFERROR(LOOKUP(2,1/(#REF!=Z5865),#REF!),""))</f>
        <v/>
      </c>
      <c r="AC5865" t="str">
        <f>IF(Z5865="","",COUNTIF(#REF!,Z5865))</f>
        <v/>
      </c>
      <c r="AD5865" t="str">
        <f>IF(A5865="","",IF(AC5865&gt;1,"REVISAR DUPLICADO",IF(AA5865&lt;&gt;"","ACTUALIZADO POR EYR","SIN REPORTE EYR")))</f>
        <v/>
      </c>
    </row>
    <row r="5866" spans="11:30" x14ac:dyDescent="0.3">
      <c r="K5866" s="1" t="str">
        <f ca="1">IF(A5866="","",IF(OR(L5866="ENTREGADA",L5866="RETORNADA",L5866="ENTREGA DIGITAL"),0,MAX(0,5-NETWORKDAYS(H5866+1,TODAY()))))</f>
        <v/>
      </c>
      <c r="L5866" t="str">
        <f>IF(A5866="","",IFERROR(LOOKUP(2,1/(#REF!=Z5866),#REF!),Y5866))</f>
        <v/>
      </c>
      <c r="Z5866" t="str">
        <f>IF(A5866="","",TEXT(A5866,"0")&amp;"|"&amp;TEXT(H5866,"0"))</f>
        <v/>
      </c>
      <c r="AA5866" t="str">
        <f>IF(Z5866="","",IFERROR(LOOKUP(2,1/(#REF!=Z5866),#REF!),""))</f>
        <v/>
      </c>
      <c r="AB5866" t="str">
        <f>IF(Z5866="","",IFERROR(LOOKUP(2,1/(#REF!=Z5866),#REF!),""))</f>
        <v/>
      </c>
      <c r="AC5866" t="str">
        <f>IF(Z5866="","",COUNTIF(#REF!,Z5866))</f>
        <v/>
      </c>
      <c r="AD5866" t="str">
        <f>IF(A5866="","",IF(AC5866&gt;1,"REVISAR DUPLICADO",IF(AA5866&lt;&gt;"","ACTUALIZADO POR EYR","SIN REPORTE EYR")))</f>
        <v/>
      </c>
    </row>
    <row r="5867" spans="11:30" x14ac:dyDescent="0.3">
      <c r="K5867" s="1" t="str">
        <f ca="1">IF(A5867="","",IF(OR(L5867="ENTREGADA",L5867="RETORNADA",L5867="ENTREGA DIGITAL"),0,MAX(0,5-NETWORKDAYS(H5867+1,TODAY()))))</f>
        <v/>
      </c>
      <c r="L5867" t="str">
        <f>IF(A5867="","",IFERROR(LOOKUP(2,1/(#REF!=Z5867),#REF!),Y5867))</f>
        <v/>
      </c>
      <c r="Z5867" t="str">
        <f>IF(A5867="","",TEXT(A5867,"0")&amp;"|"&amp;TEXT(H5867,"0"))</f>
        <v/>
      </c>
      <c r="AA5867" t="str">
        <f>IF(Z5867="","",IFERROR(LOOKUP(2,1/(#REF!=Z5867),#REF!),""))</f>
        <v/>
      </c>
      <c r="AB5867" t="str">
        <f>IF(Z5867="","",IFERROR(LOOKUP(2,1/(#REF!=Z5867),#REF!),""))</f>
        <v/>
      </c>
      <c r="AC5867" t="str">
        <f>IF(Z5867="","",COUNTIF(#REF!,Z5867))</f>
        <v/>
      </c>
      <c r="AD5867" t="str">
        <f>IF(A5867="","",IF(AC5867&gt;1,"REVISAR DUPLICADO",IF(AA5867&lt;&gt;"","ACTUALIZADO POR EYR","SIN REPORTE EYR")))</f>
        <v/>
      </c>
    </row>
    <row r="5868" spans="11:30" x14ac:dyDescent="0.3">
      <c r="K5868" s="1" t="str">
        <f ca="1">IF(A5868="","",IF(OR(L5868="ENTREGADA",L5868="RETORNADA",L5868="ENTREGA DIGITAL"),0,MAX(0,5-NETWORKDAYS(H5868+1,TODAY()))))</f>
        <v/>
      </c>
      <c r="L5868" t="str">
        <f>IF(A5868="","",IFERROR(LOOKUP(2,1/(#REF!=Z5868),#REF!),Y5868))</f>
        <v/>
      </c>
      <c r="Z5868" t="str">
        <f>IF(A5868="","",TEXT(A5868,"0")&amp;"|"&amp;TEXT(H5868,"0"))</f>
        <v/>
      </c>
      <c r="AA5868" t="str">
        <f>IF(Z5868="","",IFERROR(LOOKUP(2,1/(#REF!=Z5868),#REF!),""))</f>
        <v/>
      </c>
      <c r="AB5868" t="str">
        <f>IF(Z5868="","",IFERROR(LOOKUP(2,1/(#REF!=Z5868),#REF!),""))</f>
        <v/>
      </c>
      <c r="AC5868" t="str">
        <f>IF(Z5868="","",COUNTIF(#REF!,Z5868))</f>
        <v/>
      </c>
      <c r="AD5868" t="str">
        <f>IF(A5868="","",IF(AC5868&gt;1,"REVISAR DUPLICADO",IF(AA5868&lt;&gt;"","ACTUALIZADO POR EYR","SIN REPORTE EYR")))</f>
        <v/>
      </c>
    </row>
    <row r="5869" spans="11:30" x14ac:dyDescent="0.3">
      <c r="K5869" s="1" t="str">
        <f ca="1">IF(A5869="","",IF(OR(L5869="ENTREGADA",L5869="RETORNADA",L5869="ENTREGA DIGITAL"),0,MAX(0,5-NETWORKDAYS(H5869+1,TODAY()))))</f>
        <v/>
      </c>
      <c r="L5869" t="str">
        <f>IF(A5869="","",IFERROR(LOOKUP(2,1/(#REF!=Z5869),#REF!),Y5869))</f>
        <v/>
      </c>
      <c r="Z5869" t="str">
        <f>IF(A5869="","",TEXT(A5869,"0")&amp;"|"&amp;TEXT(H5869,"0"))</f>
        <v/>
      </c>
      <c r="AA5869" t="str">
        <f>IF(Z5869="","",IFERROR(LOOKUP(2,1/(#REF!=Z5869),#REF!),""))</f>
        <v/>
      </c>
      <c r="AB5869" t="str">
        <f>IF(Z5869="","",IFERROR(LOOKUP(2,1/(#REF!=Z5869),#REF!),""))</f>
        <v/>
      </c>
      <c r="AC5869" t="str">
        <f>IF(Z5869="","",COUNTIF(#REF!,Z5869))</f>
        <v/>
      </c>
      <c r="AD5869" t="str">
        <f>IF(A5869="","",IF(AC5869&gt;1,"REVISAR DUPLICADO",IF(AA5869&lt;&gt;"","ACTUALIZADO POR EYR","SIN REPORTE EYR")))</f>
        <v/>
      </c>
    </row>
    <row r="5870" spans="11:30" x14ac:dyDescent="0.3">
      <c r="K5870" s="1" t="str">
        <f ca="1">IF(A5870="","",IF(OR(L5870="ENTREGADA",L5870="RETORNADA",L5870="ENTREGA DIGITAL"),0,MAX(0,5-NETWORKDAYS(H5870+1,TODAY()))))</f>
        <v/>
      </c>
      <c r="L5870" t="str">
        <f>IF(A5870="","",IFERROR(LOOKUP(2,1/(#REF!=Z5870),#REF!),Y5870))</f>
        <v/>
      </c>
      <c r="Z5870" t="str">
        <f>IF(A5870="","",TEXT(A5870,"0")&amp;"|"&amp;TEXT(H5870,"0"))</f>
        <v/>
      </c>
      <c r="AA5870" t="str">
        <f>IF(Z5870="","",IFERROR(LOOKUP(2,1/(#REF!=Z5870),#REF!),""))</f>
        <v/>
      </c>
      <c r="AB5870" t="str">
        <f>IF(Z5870="","",IFERROR(LOOKUP(2,1/(#REF!=Z5870),#REF!),""))</f>
        <v/>
      </c>
      <c r="AC5870" t="str">
        <f>IF(Z5870="","",COUNTIF(#REF!,Z5870))</f>
        <v/>
      </c>
      <c r="AD5870" t="str">
        <f>IF(A5870="","",IF(AC5870&gt;1,"REVISAR DUPLICADO",IF(AA5870&lt;&gt;"","ACTUALIZADO POR EYR","SIN REPORTE EYR")))</f>
        <v/>
      </c>
    </row>
    <row r="5871" spans="11:30" x14ac:dyDescent="0.3">
      <c r="K5871" s="1" t="str">
        <f ca="1">IF(A5871="","",IF(OR(L5871="ENTREGADA",L5871="RETORNADA",L5871="ENTREGA DIGITAL"),0,MAX(0,5-NETWORKDAYS(H5871+1,TODAY()))))</f>
        <v/>
      </c>
      <c r="L5871" t="str">
        <f>IF(A5871="","",IFERROR(LOOKUP(2,1/(#REF!=Z5871),#REF!),Y5871))</f>
        <v/>
      </c>
      <c r="Z5871" t="str">
        <f>IF(A5871="","",TEXT(A5871,"0")&amp;"|"&amp;TEXT(H5871,"0"))</f>
        <v/>
      </c>
      <c r="AA5871" t="str">
        <f>IF(Z5871="","",IFERROR(LOOKUP(2,1/(#REF!=Z5871),#REF!),""))</f>
        <v/>
      </c>
      <c r="AB5871" t="str">
        <f>IF(Z5871="","",IFERROR(LOOKUP(2,1/(#REF!=Z5871),#REF!),""))</f>
        <v/>
      </c>
      <c r="AC5871" t="str">
        <f>IF(Z5871="","",COUNTIF(#REF!,Z5871))</f>
        <v/>
      </c>
      <c r="AD5871" t="str">
        <f>IF(A5871="","",IF(AC5871&gt;1,"REVISAR DUPLICADO",IF(AA5871&lt;&gt;"","ACTUALIZADO POR EYR","SIN REPORTE EYR")))</f>
        <v/>
      </c>
    </row>
    <row r="5872" spans="11:30" x14ac:dyDescent="0.3">
      <c r="K5872" s="1" t="str">
        <f ca="1">IF(A5872="","",IF(OR(L5872="ENTREGADA",L5872="RETORNADA",L5872="ENTREGA DIGITAL"),0,MAX(0,5-NETWORKDAYS(H5872+1,TODAY()))))</f>
        <v/>
      </c>
      <c r="L5872" t="str">
        <f>IF(A5872="","",IFERROR(LOOKUP(2,1/(#REF!=Z5872),#REF!),Y5872))</f>
        <v/>
      </c>
      <c r="Z5872" t="str">
        <f>IF(A5872="","",TEXT(A5872,"0")&amp;"|"&amp;TEXT(H5872,"0"))</f>
        <v/>
      </c>
      <c r="AA5872" t="str">
        <f>IF(Z5872="","",IFERROR(LOOKUP(2,1/(#REF!=Z5872),#REF!),""))</f>
        <v/>
      </c>
      <c r="AB5872" t="str">
        <f>IF(Z5872="","",IFERROR(LOOKUP(2,1/(#REF!=Z5872),#REF!),""))</f>
        <v/>
      </c>
      <c r="AC5872" t="str">
        <f>IF(Z5872="","",COUNTIF(#REF!,Z5872))</f>
        <v/>
      </c>
      <c r="AD5872" t="str">
        <f>IF(A5872="","",IF(AC5872&gt;1,"REVISAR DUPLICADO",IF(AA5872&lt;&gt;"","ACTUALIZADO POR EYR","SIN REPORTE EYR")))</f>
        <v/>
      </c>
    </row>
    <row r="5873" spans="11:30" x14ac:dyDescent="0.3">
      <c r="K5873" s="1" t="str">
        <f ca="1">IF(A5873="","",IF(OR(L5873="ENTREGADA",L5873="RETORNADA",L5873="ENTREGA DIGITAL"),0,MAX(0,5-NETWORKDAYS(H5873+1,TODAY()))))</f>
        <v/>
      </c>
      <c r="L5873" t="str">
        <f>IF(A5873="","",IFERROR(LOOKUP(2,1/(#REF!=Z5873),#REF!),Y5873))</f>
        <v/>
      </c>
      <c r="Z5873" t="str">
        <f>IF(A5873="","",TEXT(A5873,"0")&amp;"|"&amp;TEXT(H5873,"0"))</f>
        <v/>
      </c>
      <c r="AA5873" t="str">
        <f>IF(Z5873="","",IFERROR(LOOKUP(2,1/(#REF!=Z5873),#REF!),""))</f>
        <v/>
      </c>
      <c r="AB5873" t="str">
        <f>IF(Z5873="","",IFERROR(LOOKUP(2,1/(#REF!=Z5873),#REF!),""))</f>
        <v/>
      </c>
      <c r="AC5873" t="str">
        <f>IF(Z5873="","",COUNTIF(#REF!,Z5873))</f>
        <v/>
      </c>
      <c r="AD5873" t="str">
        <f>IF(A5873="","",IF(AC5873&gt;1,"REVISAR DUPLICADO",IF(AA5873&lt;&gt;"","ACTUALIZADO POR EYR","SIN REPORTE EYR")))</f>
        <v/>
      </c>
    </row>
    <row r="5874" spans="11:30" x14ac:dyDescent="0.3">
      <c r="K5874" s="1" t="str">
        <f ca="1">IF(A5874="","",IF(OR(L5874="ENTREGADA",L5874="RETORNADA",L5874="ENTREGA DIGITAL"),0,MAX(0,5-NETWORKDAYS(H5874+1,TODAY()))))</f>
        <v/>
      </c>
      <c r="L5874" t="str">
        <f>IF(A5874="","",IFERROR(LOOKUP(2,1/(#REF!=Z5874),#REF!),Y5874))</f>
        <v/>
      </c>
      <c r="Z5874" t="str">
        <f>IF(A5874="","",TEXT(A5874,"0")&amp;"|"&amp;TEXT(H5874,"0"))</f>
        <v/>
      </c>
      <c r="AA5874" t="str">
        <f>IF(Z5874="","",IFERROR(LOOKUP(2,1/(#REF!=Z5874),#REF!),""))</f>
        <v/>
      </c>
      <c r="AB5874" t="str">
        <f>IF(Z5874="","",IFERROR(LOOKUP(2,1/(#REF!=Z5874),#REF!),""))</f>
        <v/>
      </c>
      <c r="AC5874" t="str">
        <f>IF(Z5874="","",COUNTIF(#REF!,Z5874))</f>
        <v/>
      </c>
      <c r="AD5874" t="str">
        <f>IF(A5874="","",IF(AC5874&gt;1,"REVISAR DUPLICADO",IF(AA5874&lt;&gt;"","ACTUALIZADO POR EYR","SIN REPORTE EYR")))</f>
        <v/>
      </c>
    </row>
    <row r="5875" spans="11:30" x14ac:dyDescent="0.3">
      <c r="K5875" s="1" t="str">
        <f ca="1">IF(A5875="","",IF(OR(L5875="ENTREGADA",L5875="RETORNADA",L5875="ENTREGA DIGITAL"),0,MAX(0,5-NETWORKDAYS(H5875+1,TODAY()))))</f>
        <v/>
      </c>
      <c r="L5875" t="str">
        <f>IF(A5875="","",IFERROR(LOOKUP(2,1/(#REF!=Z5875),#REF!),Y5875))</f>
        <v/>
      </c>
      <c r="Z5875" t="str">
        <f>IF(A5875="","",TEXT(A5875,"0")&amp;"|"&amp;TEXT(H5875,"0"))</f>
        <v/>
      </c>
      <c r="AA5875" t="str">
        <f>IF(Z5875="","",IFERROR(LOOKUP(2,1/(#REF!=Z5875),#REF!),""))</f>
        <v/>
      </c>
      <c r="AB5875" t="str">
        <f>IF(Z5875="","",IFERROR(LOOKUP(2,1/(#REF!=Z5875),#REF!),""))</f>
        <v/>
      </c>
      <c r="AC5875" t="str">
        <f>IF(Z5875="","",COUNTIF(#REF!,Z5875))</f>
        <v/>
      </c>
      <c r="AD5875" t="str">
        <f>IF(A5875="","",IF(AC5875&gt;1,"REVISAR DUPLICADO",IF(AA5875&lt;&gt;"","ACTUALIZADO POR EYR","SIN REPORTE EYR")))</f>
        <v/>
      </c>
    </row>
    <row r="5876" spans="11:30" x14ac:dyDescent="0.3">
      <c r="K5876" s="1" t="str">
        <f ca="1">IF(A5876="","",IF(OR(L5876="ENTREGADA",L5876="RETORNADA",L5876="ENTREGA DIGITAL"),0,MAX(0,5-NETWORKDAYS(H5876+1,TODAY()))))</f>
        <v/>
      </c>
      <c r="L5876" t="str">
        <f>IF(A5876="","",IFERROR(LOOKUP(2,1/(#REF!=Z5876),#REF!),Y5876))</f>
        <v/>
      </c>
      <c r="Z5876" t="str">
        <f>IF(A5876="","",TEXT(A5876,"0")&amp;"|"&amp;TEXT(H5876,"0"))</f>
        <v/>
      </c>
      <c r="AA5876" t="str">
        <f>IF(Z5876="","",IFERROR(LOOKUP(2,1/(#REF!=Z5876),#REF!),""))</f>
        <v/>
      </c>
      <c r="AB5876" t="str">
        <f>IF(Z5876="","",IFERROR(LOOKUP(2,1/(#REF!=Z5876),#REF!),""))</f>
        <v/>
      </c>
      <c r="AC5876" t="str">
        <f>IF(Z5876="","",COUNTIF(#REF!,Z5876))</f>
        <v/>
      </c>
      <c r="AD5876" t="str">
        <f>IF(A5876="","",IF(AC5876&gt;1,"REVISAR DUPLICADO",IF(AA5876&lt;&gt;"","ACTUALIZADO POR EYR","SIN REPORTE EYR")))</f>
        <v/>
      </c>
    </row>
    <row r="5877" spans="11:30" x14ac:dyDescent="0.3">
      <c r="K5877" s="1" t="str">
        <f ca="1">IF(A5877="","",IF(OR(L5877="ENTREGADA",L5877="RETORNADA",L5877="ENTREGA DIGITAL"),0,MAX(0,5-NETWORKDAYS(H5877+1,TODAY()))))</f>
        <v/>
      </c>
      <c r="L5877" t="str">
        <f>IF(A5877="","",IFERROR(LOOKUP(2,1/(#REF!=Z5877),#REF!),Y5877))</f>
        <v/>
      </c>
      <c r="Z5877" t="str">
        <f>IF(A5877="","",TEXT(A5877,"0")&amp;"|"&amp;TEXT(H5877,"0"))</f>
        <v/>
      </c>
      <c r="AA5877" t="str">
        <f>IF(Z5877="","",IFERROR(LOOKUP(2,1/(#REF!=Z5877),#REF!),""))</f>
        <v/>
      </c>
      <c r="AB5877" t="str">
        <f>IF(Z5877="","",IFERROR(LOOKUP(2,1/(#REF!=Z5877),#REF!),""))</f>
        <v/>
      </c>
      <c r="AC5877" t="str">
        <f>IF(Z5877="","",COUNTIF(#REF!,Z5877))</f>
        <v/>
      </c>
      <c r="AD5877" t="str">
        <f>IF(A5877="","",IF(AC5877&gt;1,"REVISAR DUPLICADO",IF(AA5877&lt;&gt;"","ACTUALIZADO POR EYR","SIN REPORTE EYR")))</f>
        <v/>
      </c>
    </row>
    <row r="5878" spans="11:30" x14ac:dyDescent="0.3">
      <c r="K5878" s="1" t="str">
        <f ca="1">IF(A5878="","",IF(OR(L5878="ENTREGADA",L5878="RETORNADA",L5878="ENTREGA DIGITAL"),0,MAX(0,5-NETWORKDAYS(H5878+1,TODAY()))))</f>
        <v/>
      </c>
      <c r="L5878" t="str">
        <f>IF(A5878="","",IFERROR(LOOKUP(2,1/(#REF!=Z5878),#REF!),Y5878))</f>
        <v/>
      </c>
      <c r="Z5878" t="str">
        <f>IF(A5878="","",TEXT(A5878,"0")&amp;"|"&amp;TEXT(H5878,"0"))</f>
        <v/>
      </c>
      <c r="AA5878" t="str">
        <f>IF(Z5878="","",IFERROR(LOOKUP(2,1/(#REF!=Z5878),#REF!),""))</f>
        <v/>
      </c>
      <c r="AB5878" t="str">
        <f>IF(Z5878="","",IFERROR(LOOKUP(2,1/(#REF!=Z5878),#REF!),""))</f>
        <v/>
      </c>
      <c r="AC5878" t="str">
        <f>IF(Z5878="","",COUNTIF(#REF!,Z5878))</f>
        <v/>
      </c>
      <c r="AD5878" t="str">
        <f>IF(A5878="","",IF(AC5878&gt;1,"REVISAR DUPLICADO",IF(AA5878&lt;&gt;"","ACTUALIZADO POR EYR","SIN REPORTE EYR")))</f>
        <v/>
      </c>
    </row>
    <row r="5879" spans="11:30" x14ac:dyDescent="0.3">
      <c r="K5879" s="1" t="str">
        <f ca="1">IF(A5879="","",IF(OR(L5879="ENTREGADA",L5879="RETORNADA",L5879="ENTREGA DIGITAL"),0,MAX(0,5-NETWORKDAYS(H5879+1,TODAY()))))</f>
        <v/>
      </c>
      <c r="L5879" t="str">
        <f>IF(A5879="","",IFERROR(LOOKUP(2,1/(#REF!=Z5879),#REF!),Y5879))</f>
        <v/>
      </c>
      <c r="Z5879" t="str">
        <f>IF(A5879="","",TEXT(A5879,"0")&amp;"|"&amp;TEXT(H5879,"0"))</f>
        <v/>
      </c>
      <c r="AA5879" t="str">
        <f>IF(Z5879="","",IFERROR(LOOKUP(2,1/(#REF!=Z5879),#REF!),""))</f>
        <v/>
      </c>
      <c r="AB5879" t="str">
        <f>IF(Z5879="","",IFERROR(LOOKUP(2,1/(#REF!=Z5879),#REF!),""))</f>
        <v/>
      </c>
      <c r="AC5879" t="str">
        <f>IF(Z5879="","",COUNTIF(#REF!,Z5879))</f>
        <v/>
      </c>
      <c r="AD5879" t="str">
        <f>IF(A5879="","",IF(AC5879&gt;1,"REVISAR DUPLICADO",IF(AA5879&lt;&gt;"","ACTUALIZADO POR EYR","SIN REPORTE EYR")))</f>
        <v/>
      </c>
    </row>
    <row r="5880" spans="11:30" x14ac:dyDescent="0.3">
      <c r="K5880" s="1" t="str">
        <f ca="1">IF(A5880="","",IF(OR(L5880="ENTREGADA",L5880="RETORNADA",L5880="ENTREGA DIGITAL"),0,MAX(0,5-NETWORKDAYS(H5880+1,TODAY()))))</f>
        <v/>
      </c>
      <c r="L5880" t="str">
        <f>IF(A5880="","",IFERROR(LOOKUP(2,1/(#REF!=Z5880),#REF!),Y5880))</f>
        <v/>
      </c>
      <c r="Z5880" t="str">
        <f>IF(A5880="","",TEXT(A5880,"0")&amp;"|"&amp;TEXT(H5880,"0"))</f>
        <v/>
      </c>
      <c r="AA5880" t="str">
        <f>IF(Z5880="","",IFERROR(LOOKUP(2,1/(#REF!=Z5880),#REF!),""))</f>
        <v/>
      </c>
      <c r="AB5880" t="str">
        <f>IF(Z5880="","",IFERROR(LOOKUP(2,1/(#REF!=Z5880),#REF!),""))</f>
        <v/>
      </c>
      <c r="AC5880" t="str">
        <f>IF(Z5880="","",COUNTIF(#REF!,Z5880))</f>
        <v/>
      </c>
      <c r="AD5880" t="str">
        <f>IF(A5880="","",IF(AC5880&gt;1,"REVISAR DUPLICADO",IF(AA5880&lt;&gt;"","ACTUALIZADO POR EYR","SIN REPORTE EYR")))</f>
        <v/>
      </c>
    </row>
    <row r="5881" spans="11:30" x14ac:dyDescent="0.3">
      <c r="K5881" s="1" t="str">
        <f ca="1">IF(A5881="","",IF(OR(L5881="ENTREGADA",L5881="RETORNADA",L5881="ENTREGA DIGITAL"),0,MAX(0,5-NETWORKDAYS(H5881+1,TODAY()))))</f>
        <v/>
      </c>
      <c r="L5881" t="str">
        <f>IF(A5881="","",IFERROR(LOOKUP(2,1/(#REF!=Z5881),#REF!),Y5881))</f>
        <v/>
      </c>
      <c r="Z5881" t="str">
        <f>IF(A5881="","",TEXT(A5881,"0")&amp;"|"&amp;TEXT(H5881,"0"))</f>
        <v/>
      </c>
      <c r="AA5881" t="str">
        <f>IF(Z5881="","",IFERROR(LOOKUP(2,1/(#REF!=Z5881),#REF!),""))</f>
        <v/>
      </c>
      <c r="AB5881" t="str">
        <f>IF(Z5881="","",IFERROR(LOOKUP(2,1/(#REF!=Z5881),#REF!),""))</f>
        <v/>
      </c>
      <c r="AC5881" t="str">
        <f>IF(Z5881="","",COUNTIF(#REF!,Z5881))</f>
        <v/>
      </c>
      <c r="AD5881" t="str">
        <f>IF(A5881="","",IF(AC5881&gt;1,"REVISAR DUPLICADO",IF(AA5881&lt;&gt;"","ACTUALIZADO POR EYR","SIN REPORTE EYR")))</f>
        <v/>
      </c>
    </row>
    <row r="5882" spans="11:30" x14ac:dyDescent="0.3">
      <c r="K5882" s="1" t="str">
        <f ca="1">IF(A5882="","",IF(OR(L5882="ENTREGADA",L5882="RETORNADA",L5882="ENTREGA DIGITAL"),0,MAX(0,5-NETWORKDAYS(H5882+1,TODAY()))))</f>
        <v/>
      </c>
      <c r="L5882" t="str">
        <f>IF(A5882="","",IFERROR(LOOKUP(2,1/(#REF!=Z5882),#REF!),Y5882))</f>
        <v/>
      </c>
      <c r="Z5882" t="str">
        <f>IF(A5882="","",TEXT(A5882,"0")&amp;"|"&amp;TEXT(H5882,"0"))</f>
        <v/>
      </c>
      <c r="AA5882" t="str">
        <f>IF(Z5882="","",IFERROR(LOOKUP(2,1/(#REF!=Z5882),#REF!),""))</f>
        <v/>
      </c>
      <c r="AB5882" t="str">
        <f>IF(Z5882="","",IFERROR(LOOKUP(2,1/(#REF!=Z5882),#REF!),""))</f>
        <v/>
      </c>
      <c r="AC5882" t="str">
        <f>IF(Z5882="","",COUNTIF(#REF!,Z5882))</f>
        <v/>
      </c>
      <c r="AD5882" t="str">
        <f>IF(A5882="","",IF(AC5882&gt;1,"REVISAR DUPLICADO",IF(AA5882&lt;&gt;"","ACTUALIZADO POR EYR","SIN REPORTE EYR")))</f>
        <v/>
      </c>
    </row>
    <row r="5883" spans="11:30" x14ac:dyDescent="0.3">
      <c r="K5883" s="1" t="str">
        <f ca="1">IF(A5883="","",IF(OR(L5883="ENTREGADA",L5883="RETORNADA",L5883="ENTREGA DIGITAL"),0,MAX(0,5-NETWORKDAYS(H5883+1,TODAY()))))</f>
        <v/>
      </c>
      <c r="L5883" t="str">
        <f>IF(A5883="","",IFERROR(LOOKUP(2,1/(#REF!=Z5883),#REF!),Y5883))</f>
        <v/>
      </c>
      <c r="Z5883" t="str">
        <f>IF(A5883="","",TEXT(A5883,"0")&amp;"|"&amp;TEXT(H5883,"0"))</f>
        <v/>
      </c>
      <c r="AA5883" t="str">
        <f>IF(Z5883="","",IFERROR(LOOKUP(2,1/(#REF!=Z5883),#REF!),""))</f>
        <v/>
      </c>
      <c r="AB5883" t="str">
        <f>IF(Z5883="","",IFERROR(LOOKUP(2,1/(#REF!=Z5883),#REF!),""))</f>
        <v/>
      </c>
      <c r="AC5883" t="str">
        <f>IF(Z5883="","",COUNTIF(#REF!,Z5883))</f>
        <v/>
      </c>
      <c r="AD5883" t="str">
        <f>IF(A5883="","",IF(AC5883&gt;1,"REVISAR DUPLICADO",IF(AA5883&lt;&gt;"","ACTUALIZADO POR EYR","SIN REPORTE EYR")))</f>
        <v/>
      </c>
    </row>
    <row r="5884" spans="11:30" x14ac:dyDescent="0.3">
      <c r="K5884" s="1" t="str">
        <f ca="1">IF(A5884="","",IF(OR(L5884="ENTREGADA",L5884="RETORNADA",L5884="ENTREGA DIGITAL"),0,MAX(0,5-NETWORKDAYS(H5884+1,TODAY()))))</f>
        <v/>
      </c>
      <c r="L5884" t="str">
        <f>IF(A5884="","",IFERROR(LOOKUP(2,1/(#REF!=Z5884),#REF!),Y5884))</f>
        <v/>
      </c>
      <c r="Z5884" t="str">
        <f>IF(A5884="","",TEXT(A5884,"0")&amp;"|"&amp;TEXT(H5884,"0"))</f>
        <v/>
      </c>
      <c r="AA5884" t="str">
        <f>IF(Z5884="","",IFERROR(LOOKUP(2,1/(#REF!=Z5884),#REF!),""))</f>
        <v/>
      </c>
      <c r="AB5884" t="str">
        <f>IF(Z5884="","",IFERROR(LOOKUP(2,1/(#REF!=Z5884),#REF!),""))</f>
        <v/>
      </c>
      <c r="AC5884" t="str">
        <f>IF(Z5884="","",COUNTIF(#REF!,Z5884))</f>
        <v/>
      </c>
      <c r="AD5884" t="str">
        <f>IF(A5884="","",IF(AC5884&gt;1,"REVISAR DUPLICADO",IF(AA5884&lt;&gt;"","ACTUALIZADO POR EYR","SIN REPORTE EYR")))</f>
        <v/>
      </c>
    </row>
    <row r="5885" spans="11:30" x14ac:dyDescent="0.3">
      <c r="K5885" s="1" t="str">
        <f ca="1">IF(A5885="","",IF(OR(L5885="ENTREGADA",L5885="RETORNADA",L5885="ENTREGA DIGITAL"),0,MAX(0,5-NETWORKDAYS(H5885+1,TODAY()))))</f>
        <v/>
      </c>
      <c r="L5885" t="str">
        <f>IF(A5885="","",IFERROR(LOOKUP(2,1/(#REF!=Z5885),#REF!),Y5885))</f>
        <v/>
      </c>
      <c r="Z5885" t="str">
        <f>IF(A5885="","",TEXT(A5885,"0")&amp;"|"&amp;TEXT(H5885,"0"))</f>
        <v/>
      </c>
      <c r="AA5885" t="str">
        <f>IF(Z5885="","",IFERROR(LOOKUP(2,1/(#REF!=Z5885),#REF!),""))</f>
        <v/>
      </c>
      <c r="AB5885" t="str">
        <f>IF(Z5885="","",IFERROR(LOOKUP(2,1/(#REF!=Z5885),#REF!),""))</f>
        <v/>
      </c>
      <c r="AC5885" t="str">
        <f>IF(Z5885="","",COUNTIF(#REF!,Z5885))</f>
        <v/>
      </c>
      <c r="AD5885" t="str">
        <f>IF(A5885="","",IF(AC5885&gt;1,"REVISAR DUPLICADO",IF(AA5885&lt;&gt;"","ACTUALIZADO POR EYR","SIN REPORTE EYR")))</f>
        <v/>
      </c>
    </row>
    <row r="5886" spans="11:30" x14ac:dyDescent="0.3">
      <c r="K5886" s="1" t="str">
        <f ca="1">IF(A5886="","",IF(OR(L5886="ENTREGADA",L5886="RETORNADA",L5886="ENTREGA DIGITAL"),0,MAX(0,5-NETWORKDAYS(H5886+1,TODAY()))))</f>
        <v/>
      </c>
      <c r="L5886" t="str">
        <f>IF(A5886="","",IFERROR(LOOKUP(2,1/(#REF!=Z5886),#REF!),Y5886))</f>
        <v/>
      </c>
      <c r="Z5886" t="str">
        <f>IF(A5886="","",TEXT(A5886,"0")&amp;"|"&amp;TEXT(H5886,"0"))</f>
        <v/>
      </c>
      <c r="AA5886" t="str">
        <f>IF(Z5886="","",IFERROR(LOOKUP(2,1/(#REF!=Z5886),#REF!),""))</f>
        <v/>
      </c>
      <c r="AB5886" t="str">
        <f>IF(Z5886="","",IFERROR(LOOKUP(2,1/(#REF!=Z5886),#REF!),""))</f>
        <v/>
      </c>
      <c r="AC5886" t="str">
        <f>IF(Z5886="","",COUNTIF(#REF!,Z5886))</f>
        <v/>
      </c>
      <c r="AD5886" t="str">
        <f>IF(A5886="","",IF(AC5886&gt;1,"REVISAR DUPLICADO",IF(AA5886&lt;&gt;"","ACTUALIZADO POR EYR","SIN REPORTE EYR")))</f>
        <v/>
      </c>
    </row>
    <row r="5887" spans="11:30" x14ac:dyDescent="0.3">
      <c r="K5887" s="1" t="str">
        <f ca="1">IF(A5887="","",IF(OR(L5887="ENTREGADA",L5887="RETORNADA",L5887="ENTREGA DIGITAL"),0,MAX(0,5-NETWORKDAYS(H5887+1,TODAY()))))</f>
        <v/>
      </c>
      <c r="L5887" t="str">
        <f>IF(A5887="","",IFERROR(LOOKUP(2,1/(#REF!=Z5887),#REF!),Y5887))</f>
        <v/>
      </c>
      <c r="Z5887" t="str">
        <f>IF(A5887="","",TEXT(A5887,"0")&amp;"|"&amp;TEXT(H5887,"0"))</f>
        <v/>
      </c>
      <c r="AA5887" t="str">
        <f>IF(Z5887="","",IFERROR(LOOKUP(2,1/(#REF!=Z5887),#REF!),""))</f>
        <v/>
      </c>
      <c r="AB5887" t="str">
        <f>IF(Z5887="","",IFERROR(LOOKUP(2,1/(#REF!=Z5887),#REF!),""))</f>
        <v/>
      </c>
      <c r="AC5887" t="str">
        <f>IF(Z5887="","",COUNTIF(#REF!,Z5887))</f>
        <v/>
      </c>
      <c r="AD5887" t="str">
        <f>IF(A5887="","",IF(AC5887&gt;1,"REVISAR DUPLICADO",IF(AA5887&lt;&gt;"","ACTUALIZADO POR EYR","SIN REPORTE EYR")))</f>
        <v/>
      </c>
    </row>
    <row r="5888" spans="11:30" x14ac:dyDescent="0.3">
      <c r="K5888" s="1" t="str">
        <f ca="1">IF(A5888="","",IF(OR(L5888="ENTREGADA",L5888="RETORNADA",L5888="ENTREGA DIGITAL"),0,MAX(0,5-NETWORKDAYS(H5888+1,TODAY()))))</f>
        <v/>
      </c>
      <c r="L5888" t="str">
        <f>IF(A5888="","",IFERROR(LOOKUP(2,1/(#REF!=Z5888),#REF!),Y5888))</f>
        <v/>
      </c>
      <c r="Z5888" t="str">
        <f>IF(A5888="","",TEXT(A5888,"0")&amp;"|"&amp;TEXT(H5888,"0"))</f>
        <v/>
      </c>
      <c r="AA5888" t="str">
        <f>IF(Z5888="","",IFERROR(LOOKUP(2,1/(#REF!=Z5888),#REF!),""))</f>
        <v/>
      </c>
      <c r="AB5888" t="str">
        <f>IF(Z5888="","",IFERROR(LOOKUP(2,1/(#REF!=Z5888),#REF!),""))</f>
        <v/>
      </c>
      <c r="AC5888" t="str">
        <f>IF(Z5888="","",COUNTIF(#REF!,Z5888))</f>
        <v/>
      </c>
      <c r="AD5888" t="str">
        <f>IF(A5888="","",IF(AC5888&gt;1,"REVISAR DUPLICADO",IF(AA5888&lt;&gt;"","ACTUALIZADO POR EYR","SIN REPORTE EYR")))</f>
        <v/>
      </c>
    </row>
    <row r="5889" spans="11:30" x14ac:dyDescent="0.3">
      <c r="K5889" s="1" t="str">
        <f ca="1">IF(A5889="","",IF(OR(L5889="ENTREGADA",L5889="RETORNADA",L5889="ENTREGA DIGITAL"),0,MAX(0,5-NETWORKDAYS(H5889+1,TODAY()))))</f>
        <v/>
      </c>
      <c r="L5889" t="str">
        <f>IF(A5889="","",IFERROR(LOOKUP(2,1/(#REF!=Z5889),#REF!),Y5889))</f>
        <v/>
      </c>
      <c r="Z5889" t="str">
        <f>IF(A5889="","",TEXT(A5889,"0")&amp;"|"&amp;TEXT(H5889,"0"))</f>
        <v/>
      </c>
      <c r="AA5889" t="str">
        <f>IF(Z5889="","",IFERROR(LOOKUP(2,1/(#REF!=Z5889),#REF!),""))</f>
        <v/>
      </c>
      <c r="AB5889" t="str">
        <f>IF(Z5889="","",IFERROR(LOOKUP(2,1/(#REF!=Z5889),#REF!),""))</f>
        <v/>
      </c>
      <c r="AC5889" t="str">
        <f>IF(Z5889="","",COUNTIF(#REF!,Z5889))</f>
        <v/>
      </c>
      <c r="AD5889" t="str">
        <f>IF(A5889="","",IF(AC5889&gt;1,"REVISAR DUPLICADO",IF(AA5889&lt;&gt;"","ACTUALIZADO POR EYR","SIN REPORTE EYR")))</f>
        <v/>
      </c>
    </row>
    <row r="5890" spans="11:30" x14ac:dyDescent="0.3">
      <c r="K5890" s="1" t="str">
        <f ca="1">IF(A5890="","",IF(OR(L5890="ENTREGADA",L5890="RETORNADA",L5890="ENTREGA DIGITAL"),0,MAX(0,5-NETWORKDAYS(H5890+1,TODAY()))))</f>
        <v/>
      </c>
      <c r="L5890" t="str">
        <f>IF(A5890="","",IFERROR(LOOKUP(2,1/(#REF!=Z5890),#REF!),Y5890))</f>
        <v/>
      </c>
      <c r="Z5890" t="str">
        <f>IF(A5890="","",TEXT(A5890,"0")&amp;"|"&amp;TEXT(H5890,"0"))</f>
        <v/>
      </c>
      <c r="AA5890" t="str">
        <f>IF(Z5890="","",IFERROR(LOOKUP(2,1/(#REF!=Z5890),#REF!),""))</f>
        <v/>
      </c>
      <c r="AB5890" t="str">
        <f>IF(Z5890="","",IFERROR(LOOKUP(2,1/(#REF!=Z5890),#REF!),""))</f>
        <v/>
      </c>
      <c r="AC5890" t="str">
        <f>IF(Z5890="","",COUNTIF(#REF!,Z5890))</f>
        <v/>
      </c>
      <c r="AD5890" t="str">
        <f>IF(A5890="","",IF(AC5890&gt;1,"REVISAR DUPLICADO",IF(AA5890&lt;&gt;"","ACTUALIZADO POR EYR","SIN REPORTE EYR")))</f>
        <v/>
      </c>
    </row>
    <row r="5891" spans="11:30" x14ac:dyDescent="0.3">
      <c r="K5891" s="1" t="str">
        <f ca="1">IF(A5891="","",IF(OR(L5891="ENTREGADA",L5891="RETORNADA",L5891="ENTREGA DIGITAL"),0,MAX(0,5-NETWORKDAYS(H5891+1,TODAY()))))</f>
        <v/>
      </c>
      <c r="L5891" t="str">
        <f>IF(A5891="","",IFERROR(LOOKUP(2,1/(#REF!=Z5891),#REF!),Y5891))</f>
        <v/>
      </c>
      <c r="Z5891" t="str">
        <f>IF(A5891="","",TEXT(A5891,"0")&amp;"|"&amp;TEXT(H5891,"0"))</f>
        <v/>
      </c>
      <c r="AA5891" t="str">
        <f>IF(Z5891="","",IFERROR(LOOKUP(2,1/(#REF!=Z5891),#REF!),""))</f>
        <v/>
      </c>
      <c r="AB5891" t="str">
        <f>IF(Z5891="","",IFERROR(LOOKUP(2,1/(#REF!=Z5891),#REF!),""))</f>
        <v/>
      </c>
      <c r="AC5891" t="str">
        <f>IF(Z5891="","",COUNTIF(#REF!,Z5891))</f>
        <v/>
      </c>
      <c r="AD5891" t="str">
        <f>IF(A5891="","",IF(AC5891&gt;1,"REVISAR DUPLICADO",IF(AA5891&lt;&gt;"","ACTUALIZADO POR EYR","SIN REPORTE EYR")))</f>
        <v/>
      </c>
    </row>
    <row r="5892" spans="11:30" x14ac:dyDescent="0.3">
      <c r="K5892" s="1" t="str">
        <f ca="1">IF(A5892="","",IF(OR(L5892="ENTREGADA",L5892="RETORNADA",L5892="ENTREGA DIGITAL"),0,MAX(0,5-NETWORKDAYS(H5892+1,TODAY()))))</f>
        <v/>
      </c>
      <c r="L5892" t="str">
        <f>IF(A5892="","",IFERROR(LOOKUP(2,1/(#REF!=Z5892),#REF!),Y5892))</f>
        <v/>
      </c>
      <c r="Z5892" t="str">
        <f>IF(A5892="","",TEXT(A5892,"0")&amp;"|"&amp;TEXT(H5892,"0"))</f>
        <v/>
      </c>
      <c r="AA5892" t="str">
        <f>IF(Z5892="","",IFERROR(LOOKUP(2,1/(#REF!=Z5892),#REF!),""))</f>
        <v/>
      </c>
      <c r="AB5892" t="str">
        <f>IF(Z5892="","",IFERROR(LOOKUP(2,1/(#REF!=Z5892),#REF!),""))</f>
        <v/>
      </c>
      <c r="AC5892" t="str">
        <f>IF(Z5892="","",COUNTIF(#REF!,Z5892))</f>
        <v/>
      </c>
      <c r="AD5892" t="str">
        <f>IF(A5892="","",IF(AC5892&gt;1,"REVISAR DUPLICADO",IF(AA5892&lt;&gt;"","ACTUALIZADO POR EYR","SIN REPORTE EYR")))</f>
        <v/>
      </c>
    </row>
    <row r="5893" spans="11:30" x14ac:dyDescent="0.3">
      <c r="K5893" s="1" t="str">
        <f ca="1">IF(A5893="","",IF(OR(L5893="ENTREGADA",L5893="RETORNADA",L5893="ENTREGA DIGITAL"),0,MAX(0,5-NETWORKDAYS(H5893+1,TODAY()))))</f>
        <v/>
      </c>
      <c r="L5893" t="str">
        <f>IF(A5893="","",IFERROR(LOOKUP(2,1/(#REF!=Z5893),#REF!),Y5893))</f>
        <v/>
      </c>
      <c r="Z5893" t="str">
        <f>IF(A5893="","",TEXT(A5893,"0")&amp;"|"&amp;TEXT(H5893,"0"))</f>
        <v/>
      </c>
      <c r="AA5893" t="str">
        <f>IF(Z5893="","",IFERROR(LOOKUP(2,1/(#REF!=Z5893),#REF!),""))</f>
        <v/>
      </c>
      <c r="AB5893" t="str">
        <f>IF(Z5893="","",IFERROR(LOOKUP(2,1/(#REF!=Z5893),#REF!),""))</f>
        <v/>
      </c>
      <c r="AC5893" t="str">
        <f>IF(Z5893="","",COUNTIF(#REF!,Z5893))</f>
        <v/>
      </c>
      <c r="AD5893" t="str">
        <f>IF(A5893="","",IF(AC5893&gt;1,"REVISAR DUPLICADO",IF(AA5893&lt;&gt;"","ACTUALIZADO POR EYR","SIN REPORTE EYR")))</f>
        <v/>
      </c>
    </row>
    <row r="5894" spans="11:30" x14ac:dyDescent="0.3">
      <c r="K5894" s="1" t="str">
        <f ca="1">IF(A5894="","",IF(OR(L5894="ENTREGADA",L5894="RETORNADA",L5894="ENTREGA DIGITAL"),0,MAX(0,5-NETWORKDAYS(H5894+1,TODAY()))))</f>
        <v/>
      </c>
      <c r="L5894" t="str">
        <f>IF(A5894="","",IFERROR(LOOKUP(2,1/(#REF!=Z5894),#REF!),Y5894))</f>
        <v/>
      </c>
      <c r="Z5894" t="str">
        <f>IF(A5894="","",TEXT(A5894,"0")&amp;"|"&amp;TEXT(H5894,"0"))</f>
        <v/>
      </c>
      <c r="AA5894" t="str">
        <f>IF(Z5894="","",IFERROR(LOOKUP(2,1/(#REF!=Z5894),#REF!),""))</f>
        <v/>
      </c>
      <c r="AB5894" t="str">
        <f>IF(Z5894="","",IFERROR(LOOKUP(2,1/(#REF!=Z5894),#REF!),""))</f>
        <v/>
      </c>
      <c r="AC5894" t="str">
        <f>IF(Z5894="","",COUNTIF(#REF!,Z5894))</f>
        <v/>
      </c>
      <c r="AD5894" t="str">
        <f>IF(A5894="","",IF(AC5894&gt;1,"REVISAR DUPLICADO",IF(AA5894&lt;&gt;"","ACTUALIZADO POR EYR","SIN REPORTE EYR")))</f>
        <v/>
      </c>
    </row>
    <row r="5895" spans="11:30" x14ac:dyDescent="0.3">
      <c r="K5895" s="1" t="str">
        <f ca="1">IF(A5895="","",IF(OR(L5895="ENTREGADA",L5895="RETORNADA",L5895="ENTREGA DIGITAL"),0,MAX(0,5-NETWORKDAYS(H5895+1,TODAY()))))</f>
        <v/>
      </c>
      <c r="L5895" t="str">
        <f>IF(A5895="","",IFERROR(LOOKUP(2,1/(#REF!=Z5895),#REF!),Y5895))</f>
        <v/>
      </c>
      <c r="Z5895" t="str">
        <f>IF(A5895="","",TEXT(A5895,"0")&amp;"|"&amp;TEXT(H5895,"0"))</f>
        <v/>
      </c>
      <c r="AA5895" t="str">
        <f>IF(Z5895="","",IFERROR(LOOKUP(2,1/(#REF!=Z5895),#REF!),""))</f>
        <v/>
      </c>
      <c r="AB5895" t="str">
        <f>IF(Z5895="","",IFERROR(LOOKUP(2,1/(#REF!=Z5895),#REF!),""))</f>
        <v/>
      </c>
      <c r="AC5895" t="str">
        <f>IF(Z5895="","",COUNTIF(#REF!,Z5895))</f>
        <v/>
      </c>
      <c r="AD5895" t="str">
        <f>IF(A5895="","",IF(AC5895&gt;1,"REVISAR DUPLICADO",IF(AA5895&lt;&gt;"","ACTUALIZADO POR EYR","SIN REPORTE EYR")))</f>
        <v/>
      </c>
    </row>
    <row r="5896" spans="11:30" x14ac:dyDescent="0.3">
      <c r="K5896" s="1" t="str">
        <f ca="1">IF(A5896="","",IF(OR(L5896="ENTREGADA",L5896="RETORNADA",L5896="ENTREGA DIGITAL"),0,MAX(0,5-NETWORKDAYS(H5896+1,TODAY()))))</f>
        <v/>
      </c>
      <c r="L5896" t="str">
        <f>IF(A5896="","",IFERROR(LOOKUP(2,1/(#REF!=Z5896),#REF!),Y5896))</f>
        <v/>
      </c>
      <c r="Z5896" t="str">
        <f>IF(A5896="","",TEXT(A5896,"0")&amp;"|"&amp;TEXT(H5896,"0"))</f>
        <v/>
      </c>
      <c r="AA5896" t="str">
        <f>IF(Z5896="","",IFERROR(LOOKUP(2,1/(#REF!=Z5896),#REF!),""))</f>
        <v/>
      </c>
      <c r="AB5896" t="str">
        <f>IF(Z5896="","",IFERROR(LOOKUP(2,1/(#REF!=Z5896),#REF!),""))</f>
        <v/>
      </c>
      <c r="AC5896" t="str">
        <f>IF(Z5896="","",COUNTIF(#REF!,Z5896))</f>
        <v/>
      </c>
      <c r="AD5896" t="str">
        <f>IF(A5896="","",IF(AC5896&gt;1,"REVISAR DUPLICADO",IF(AA5896&lt;&gt;"","ACTUALIZADO POR EYR","SIN REPORTE EYR")))</f>
        <v/>
      </c>
    </row>
    <row r="5897" spans="11:30" x14ac:dyDescent="0.3">
      <c r="K5897" s="1" t="str">
        <f ca="1">IF(A5897="","",IF(OR(L5897="ENTREGADA",L5897="RETORNADA",L5897="ENTREGA DIGITAL"),0,MAX(0,5-NETWORKDAYS(H5897+1,TODAY()))))</f>
        <v/>
      </c>
      <c r="L5897" t="str">
        <f>IF(A5897="","",IFERROR(LOOKUP(2,1/(#REF!=Z5897),#REF!),Y5897))</f>
        <v/>
      </c>
      <c r="Z5897" t="str">
        <f>IF(A5897="","",TEXT(A5897,"0")&amp;"|"&amp;TEXT(H5897,"0"))</f>
        <v/>
      </c>
      <c r="AA5897" t="str">
        <f>IF(Z5897="","",IFERROR(LOOKUP(2,1/(#REF!=Z5897),#REF!),""))</f>
        <v/>
      </c>
      <c r="AB5897" t="str">
        <f>IF(Z5897="","",IFERROR(LOOKUP(2,1/(#REF!=Z5897),#REF!),""))</f>
        <v/>
      </c>
      <c r="AC5897" t="str">
        <f>IF(Z5897="","",COUNTIF(#REF!,Z5897))</f>
        <v/>
      </c>
      <c r="AD5897" t="str">
        <f>IF(A5897="","",IF(AC5897&gt;1,"REVISAR DUPLICADO",IF(AA5897&lt;&gt;"","ACTUALIZADO POR EYR","SIN REPORTE EYR")))</f>
        <v/>
      </c>
    </row>
    <row r="5898" spans="11:30" x14ac:dyDescent="0.3">
      <c r="K5898" s="1" t="str">
        <f ca="1">IF(A5898="","",IF(OR(L5898="ENTREGADA",L5898="RETORNADA",L5898="ENTREGA DIGITAL"),0,MAX(0,5-NETWORKDAYS(H5898+1,TODAY()))))</f>
        <v/>
      </c>
      <c r="L5898" t="str">
        <f>IF(A5898="","",IFERROR(LOOKUP(2,1/(#REF!=Z5898),#REF!),Y5898))</f>
        <v/>
      </c>
      <c r="Z5898" t="str">
        <f>IF(A5898="","",TEXT(A5898,"0")&amp;"|"&amp;TEXT(H5898,"0"))</f>
        <v/>
      </c>
      <c r="AA5898" t="str">
        <f>IF(Z5898="","",IFERROR(LOOKUP(2,1/(#REF!=Z5898),#REF!),""))</f>
        <v/>
      </c>
      <c r="AB5898" t="str">
        <f>IF(Z5898="","",IFERROR(LOOKUP(2,1/(#REF!=Z5898),#REF!),""))</f>
        <v/>
      </c>
      <c r="AC5898" t="str">
        <f>IF(Z5898="","",COUNTIF(#REF!,Z5898))</f>
        <v/>
      </c>
      <c r="AD5898" t="str">
        <f>IF(A5898="","",IF(AC5898&gt;1,"REVISAR DUPLICADO",IF(AA5898&lt;&gt;"","ACTUALIZADO POR EYR","SIN REPORTE EYR")))</f>
        <v/>
      </c>
    </row>
    <row r="5899" spans="11:30" x14ac:dyDescent="0.3">
      <c r="K5899" s="1" t="str">
        <f ca="1">IF(A5899="","",IF(OR(L5899="ENTREGADA",L5899="RETORNADA",L5899="ENTREGA DIGITAL"),0,MAX(0,5-NETWORKDAYS(H5899+1,TODAY()))))</f>
        <v/>
      </c>
      <c r="L5899" t="str">
        <f>IF(A5899="","",IFERROR(LOOKUP(2,1/(#REF!=Z5899),#REF!),Y5899))</f>
        <v/>
      </c>
      <c r="Z5899" t="str">
        <f>IF(A5899="","",TEXT(A5899,"0")&amp;"|"&amp;TEXT(H5899,"0"))</f>
        <v/>
      </c>
      <c r="AA5899" t="str">
        <f>IF(Z5899="","",IFERROR(LOOKUP(2,1/(#REF!=Z5899),#REF!),""))</f>
        <v/>
      </c>
      <c r="AB5899" t="str">
        <f>IF(Z5899="","",IFERROR(LOOKUP(2,1/(#REF!=Z5899),#REF!),""))</f>
        <v/>
      </c>
      <c r="AC5899" t="str">
        <f>IF(Z5899="","",COUNTIF(#REF!,Z5899))</f>
        <v/>
      </c>
      <c r="AD5899" t="str">
        <f>IF(A5899="","",IF(AC5899&gt;1,"REVISAR DUPLICADO",IF(AA5899&lt;&gt;"","ACTUALIZADO POR EYR","SIN REPORTE EYR")))</f>
        <v/>
      </c>
    </row>
    <row r="5900" spans="11:30" x14ac:dyDescent="0.3">
      <c r="K5900" s="1" t="str">
        <f ca="1">IF(A5900="","",IF(OR(L5900="ENTREGADA",L5900="RETORNADA",L5900="ENTREGA DIGITAL"),0,MAX(0,5-NETWORKDAYS(H5900+1,TODAY()))))</f>
        <v/>
      </c>
      <c r="L5900" t="str">
        <f>IF(A5900="","",IFERROR(LOOKUP(2,1/(#REF!=Z5900),#REF!),Y5900))</f>
        <v/>
      </c>
      <c r="Z5900" t="str">
        <f>IF(A5900="","",TEXT(A5900,"0")&amp;"|"&amp;TEXT(H5900,"0"))</f>
        <v/>
      </c>
      <c r="AA5900" t="str">
        <f>IF(Z5900="","",IFERROR(LOOKUP(2,1/(#REF!=Z5900),#REF!),""))</f>
        <v/>
      </c>
      <c r="AB5900" t="str">
        <f>IF(Z5900="","",IFERROR(LOOKUP(2,1/(#REF!=Z5900),#REF!),""))</f>
        <v/>
      </c>
      <c r="AC5900" t="str">
        <f>IF(Z5900="","",COUNTIF(#REF!,Z5900))</f>
        <v/>
      </c>
      <c r="AD5900" t="str">
        <f>IF(A5900="","",IF(AC5900&gt;1,"REVISAR DUPLICADO",IF(AA5900&lt;&gt;"","ACTUALIZADO POR EYR","SIN REPORTE EYR")))</f>
        <v/>
      </c>
    </row>
    <row r="5901" spans="11:30" x14ac:dyDescent="0.3">
      <c r="K5901" s="1" t="str">
        <f ca="1">IF(A5901="","",IF(OR(L5901="ENTREGADA",L5901="RETORNADA",L5901="ENTREGA DIGITAL"),0,MAX(0,5-NETWORKDAYS(H5901+1,TODAY()))))</f>
        <v/>
      </c>
      <c r="L5901" t="str">
        <f>IF(A5901="","",IFERROR(LOOKUP(2,1/(#REF!=Z5901),#REF!),Y5901))</f>
        <v/>
      </c>
      <c r="Z5901" t="str">
        <f>IF(A5901="","",TEXT(A5901,"0")&amp;"|"&amp;TEXT(H5901,"0"))</f>
        <v/>
      </c>
      <c r="AA5901" t="str">
        <f>IF(Z5901="","",IFERROR(LOOKUP(2,1/(#REF!=Z5901),#REF!),""))</f>
        <v/>
      </c>
      <c r="AB5901" t="str">
        <f>IF(Z5901="","",IFERROR(LOOKUP(2,1/(#REF!=Z5901),#REF!),""))</f>
        <v/>
      </c>
      <c r="AC5901" t="str">
        <f>IF(Z5901="","",COUNTIF(#REF!,Z5901))</f>
        <v/>
      </c>
      <c r="AD5901" t="str">
        <f>IF(A5901="","",IF(AC5901&gt;1,"REVISAR DUPLICADO",IF(AA5901&lt;&gt;"","ACTUALIZADO POR EYR","SIN REPORTE EYR")))</f>
        <v/>
      </c>
    </row>
    <row r="5902" spans="11:30" x14ac:dyDescent="0.3">
      <c r="K5902" s="1" t="str">
        <f ca="1">IF(A5902="","",IF(OR(L5902="ENTREGADA",L5902="RETORNADA",L5902="ENTREGA DIGITAL"),0,MAX(0,5-NETWORKDAYS(H5902+1,TODAY()))))</f>
        <v/>
      </c>
      <c r="L5902" t="str">
        <f>IF(A5902="","",IFERROR(LOOKUP(2,1/(#REF!=Z5902),#REF!),Y5902))</f>
        <v/>
      </c>
      <c r="Z5902" t="str">
        <f>IF(A5902="","",TEXT(A5902,"0")&amp;"|"&amp;TEXT(H5902,"0"))</f>
        <v/>
      </c>
      <c r="AA5902" t="str">
        <f>IF(Z5902="","",IFERROR(LOOKUP(2,1/(#REF!=Z5902),#REF!),""))</f>
        <v/>
      </c>
      <c r="AB5902" t="str">
        <f>IF(Z5902="","",IFERROR(LOOKUP(2,1/(#REF!=Z5902),#REF!),""))</f>
        <v/>
      </c>
      <c r="AC5902" t="str">
        <f>IF(Z5902="","",COUNTIF(#REF!,Z5902))</f>
        <v/>
      </c>
      <c r="AD5902" t="str">
        <f>IF(A5902="","",IF(AC5902&gt;1,"REVISAR DUPLICADO",IF(AA5902&lt;&gt;"","ACTUALIZADO POR EYR","SIN REPORTE EYR")))</f>
        <v/>
      </c>
    </row>
    <row r="5903" spans="11:30" x14ac:dyDescent="0.3">
      <c r="K5903" s="1" t="str">
        <f ca="1">IF(A5903="","",IF(OR(L5903="ENTREGADA",L5903="RETORNADA",L5903="ENTREGA DIGITAL"),0,MAX(0,5-NETWORKDAYS(H5903+1,TODAY()))))</f>
        <v/>
      </c>
      <c r="L5903" t="str">
        <f>IF(A5903="","",IFERROR(LOOKUP(2,1/(#REF!=Z5903),#REF!),Y5903))</f>
        <v/>
      </c>
      <c r="Z5903" t="str">
        <f>IF(A5903="","",TEXT(A5903,"0")&amp;"|"&amp;TEXT(H5903,"0"))</f>
        <v/>
      </c>
      <c r="AA5903" t="str">
        <f>IF(Z5903="","",IFERROR(LOOKUP(2,1/(#REF!=Z5903),#REF!),""))</f>
        <v/>
      </c>
      <c r="AB5903" t="str">
        <f>IF(Z5903="","",IFERROR(LOOKUP(2,1/(#REF!=Z5903),#REF!),""))</f>
        <v/>
      </c>
      <c r="AC5903" t="str">
        <f>IF(Z5903="","",COUNTIF(#REF!,Z5903))</f>
        <v/>
      </c>
      <c r="AD5903" t="str">
        <f>IF(A5903="","",IF(AC5903&gt;1,"REVISAR DUPLICADO",IF(AA5903&lt;&gt;"","ACTUALIZADO POR EYR","SIN REPORTE EYR")))</f>
        <v/>
      </c>
    </row>
    <row r="5904" spans="11:30" x14ac:dyDescent="0.3">
      <c r="K5904" s="1" t="str">
        <f ca="1">IF(A5904="","",IF(OR(L5904="ENTREGADA",L5904="RETORNADA",L5904="ENTREGA DIGITAL"),0,MAX(0,5-NETWORKDAYS(H5904+1,TODAY()))))</f>
        <v/>
      </c>
      <c r="L5904" t="str">
        <f>IF(A5904="","",IFERROR(LOOKUP(2,1/(#REF!=Z5904),#REF!),Y5904))</f>
        <v/>
      </c>
      <c r="Z5904" t="str">
        <f>IF(A5904="","",TEXT(A5904,"0")&amp;"|"&amp;TEXT(H5904,"0"))</f>
        <v/>
      </c>
      <c r="AA5904" t="str">
        <f>IF(Z5904="","",IFERROR(LOOKUP(2,1/(#REF!=Z5904),#REF!),""))</f>
        <v/>
      </c>
      <c r="AB5904" t="str">
        <f>IF(Z5904="","",IFERROR(LOOKUP(2,1/(#REF!=Z5904),#REF!),""))</f>
        <v/>
      </c>
      <c r="AC5904" t="str">
        <f>IF(Z5904="","",COUNTIF(#REF!,Z5904))</f>
        <v/>
      </c>
      <c r="AD5904" t="str">
        <f>IF(A5904="","",IF(AC5904&gt;1,"REVISAR DUPLICADO",IF(AA5904&lt;&gt;"","ACTUALIZADO POR EYR","SIN REPORTE EYR")))</f>
        <v/>
      </c>
    </row>
    <row r="5905" spans="11:30" x14ac:dyDescent="0.3">
      <c r="K5905" s="1" t="str">
        <f ca="1">IF(A5905="","",IF(OR(L5905="ENTREGADA",L5905="RETORNADA",L5905="ENTREGA DIGITAL"),0,MAX(0,5-NETWORKDAYS(H5905+1,TODAY()))))</f>
        <v/>
      </c>
      <c r="L5905" t="str">
        <f>IF(A5905="","",IFERROR(LOOKUP(2,1/(#REF!=Z5905),#REF!),Y5905))</f>
        <v/>
      </c>
      <c r="Z5905" t="str">
        <f>IF(A5905="","",TEXT(A5905,"0")&amp;"|"&amp;TEXT(H5905,"0"))</f>
        <v/>
      </c>
      <c r="AA5905" t="str">
        <f>IF(Z5905="","",IFERROR(LOOKUP(2,1/(#REF!=Z5905),#REF!),""))</f>
        <v/>
      </c>
      <c r="AB5905" t="str">
        <f>IF(Z5905="","",IFERROR(LOOKUP(2,1/(#REF!=Z5905),#REF!),""))</f>
        <v/>
      </c>
      <c r="AC5905" t="str">
        <f>IF(Z5905="","",COUNTIF(#REF!,Z5905))</f>
        <v/>
      </c>
      <c r="AD5905" t="str">
        <f>IF(A5905="","",IF(AC5905&gt;1,"REVISAR DUPLICADO",IF(AA5905&lt;&gt;"","ACTUALIZADO POR EYR","SIN REPORTE EYR")))</f>
        <v/>
      </c>
    </row>
    <row r="5906" spans="11:30" x14ac:dyDescent="0.3">
      <c r="K5906" s="1" t="str">
        <f ca="1">IF(A5906="","",IF(OR(L5906="ENTREGADA",L5906="RETORNADA",L5906="ENTREGA DIGITAL"),0,MAX(0,5-NETWORKDAYS(H5906+1,TODAY()))))</f>
        <v/>
      </c>
      <c r="L5906" t="str">
        <f>IF(A5906="","",IFERROR(LOOKUP(2,1/(#REF!=Z5906),#REF!),Y5906))</f>
        <v/>
      </c>
      <c r="Z5906" t="str">
        <f>IF(A5906="","",TEXT(A5906,"0")&amp;"|"&amp;TEXT(H5906,"0"))</f>
        <v/>
      </c>
      <c r="AA5906" t="str">
        <f>IF(Z5906="","",IFERROR(LOOKUP(2,1/(#REF!=Z5906),#REF!),""))</f>
        <v/>
      </c>
      <c r="AB5906" t="str">
        <f>IF(Z5906="","",IFERROR(LOOKUP(2,1/(#REF!=Z5906),#REF!),""))</f>
        <v/>
      </c>
      <c r="AC5906" t="str">
        <f>IF(Z5906="","",COUNTIF(#REF!,Z5906))</f>
        <v/>
      </c>
      <c r="AD5906" t="str">
        <f>IF(A5906="","",IF(AC5906&gt;1,"REVISAR DUPLICADO",IF(AA5906&lt;&gt;"","ACTUALIZADO POR EYR","SIN REPORTE EYR")))</f>
        <v/>
      </c>
    </row>
    <row r="5907" spans="11:30" x14ac:dyDescent="0.3">
      <c r="K5907" s="1" t="str">
        <f ca="1">IF(A5907="","",IF(OR(L5907="ENTREGADA",L5907="RETORNADA",L5907="ENTREGA DIGITAL"),0,MAX(0,5-NETWORKDAYS(H5907+1,TODAY()))))</f>
        <v/>
      </c>
      <c r="L5907" t="str">
        <f>IF(A5907="","",IFERROR(LOOKUP(2,1/(#REF!=Z5907),#REF!),Y5907))</f>
        <v/>
      </c>
      <c r="Z5907" t="str">
        <f>IF(A5907="","",TEXT(A5907,"0")&amp;"|"&amp;TEXT(H5907,"0"))</f>
        <v/>
      </c>
      <c r="AA5907" t="str">
        <f>IF(Z5907="","",IFERROR(LOOKUP(2,1/(#REF!=Z5907),#REF!),""))</f>
        <v/>
      </c>
      <c r="AB5907" t="str">
        <f>IF(Z5907="","",IFERROR(LOOKUP(2,1/(#REF!=Z5907),#REF!),""))</f>
        <v/>
      </c>
      <c r="AC5907" t="str">
        <f>IF(Z5907="","",COUNTIF(#REF!,Z5907))</f>
        <v/>
      </c>
      <c r="AD5907" t="str">
        <f>IF(A5907="","",IF(AC5907&gt;1,"REVISAR DUPLICADO",IF(AA5907&lt;&gt;"","ACTUALIZADO POR EYR","SIN REPORTE EYR")))</f>
        <v/>
      </c>
    </row>
    <row r="5908" spans="11:30" x14ac:dyDescent="0.3">
      <c r="K5908" s="1" t="str">
        <f ca="1">IF(A5908="","",IF(OR(L5908="ENTREGADA",L5908="RETORNADA",L5908="ENTREGA DIGITAL"),0,MAX(0,5-NETWORKDAYS(H5908+1,TODAY()))))</f>
        <v/>
      </c>
      <c r="L5908" t="str">
        <f>IF(A5908="","",IFERROR(LOOKUP(2,1/(#REF!=Z5908),#REF!),Y5908))</f>
        <v/>
      </c>
      <c r="Z5908" t="str">
        <f>IF(A5908="","",TEXT(A5908,"0")&amp;"|"&amp;TEXT(H5908,"0"))</f>
        <v/>
      </c>
      <c r="AA5908" t="str">
        <f>IF(Z5908="","",IFERROR(LOOKUP(2,1/(#REF!=Z5908),#REF!),""))</f>
        <v/>
      </c>
      <c r="AB5908" t="str">
        <f>IF(Z5908="","",IFERROR(LOOKUP(2,1/(#REF!=Z5908),#REF!),""))</f>
        <v/>
      </c>
      <c r="AC5908" t="str">
        <f>IF(Z5908="","",COUNTIF(#REF!,Z5908))</f>
        <v/>
      </c>
      <c r="AD5908" t="str">
        <f>IF(A5908="","",IF(AC5908&gt;1,"REVISAR DUPLICADO",IF(AA5908&lt;&gt;"","ACTUALIZADO POR EYR","SIN REPORTE EYR")))</f>
        <v/>
      </c>
    </row>
    <row r="5909" spans="11:30" x14ac:dyDescent="0.3">
      <c r="K5909" s="1" t="str">
        <f ca="1">IF(A5909="","",IF(OR(L5909="ENTREGADA",L5909="RETORNADA",L5909="ENTREGA DIGITAL"),0,MAX(0,5-NETWORKDAYS(H5909+1,TODAY()))))</f>
        <v/>
      </c>
      <c r="L5909" t="str">
        <f>IF(A5909="","",IFERROR(LOOKUP(2,1/(#REF!=Z5909),#REF!),Y5909))</f>
        <v/>
      </c>
      <c r="Z5909" t="str">
        <f>IF(A5909="","",TEXT(A5909,"0")&amp;"|"&amp;TEXT(H5909,"0"))</f>
        <v/>
      </c>
      <c r="AA5909" t="str">
        <f>IF(Z5909="","",IFERROR(LOOKUP(2,1/(#REF!=Z5909),#REF!),""))</f>
        <v/>
      </c>
      <c r="AB5909" t="str">
        <f>IF(Z5909="","",IFERROR(LOOKUP(2,1/(#REF!=Z5909),#REF!),""))</f>
        <v/>
      </c>
      <c r="AC5909" t="str">
        <f>IF(Z5909="","",COUNTIF(#REF!,Z5909))</f>
        <v/>
      </c>
      <c r="AD5909" t="str">
        <f>IF(A5909="","",IF(AC5909&gt;1,"REVISAR DUPLICADO",IF(AA5909&lt;&gt;"","ACTUALIZADO POR EYR","SIN REPORTE EYR")))</f>
        <v/>
      </c>
    </row>
    <row r="5910" spans="11:30" x14ac:dyDescent="0.3">
      <c r="K5910" s="1" t="str">
        <f ca="1">IF(A5910="","",IF(OR(L5910="ENTREGADA",L5910="RETORNADA",L5910="ENTREGA DIGITAL"),0,MAX(0,5-NETWORKDAYS(H5910+1,TODAY()))))</f>
        <v/>
      </c>
      <c r="L5910" t="str">
        <f>IF(A5910="","",IFERROR(LOOKUP(2,1/(#REF!=Z5910),#REF!),Y5910))</f>
        <v/>
      </c>
      <c r="Z5910" t="str">
        <f>IF(A5910="","",TEXT(A5910,"0")&amp;"|"&amp;TEXT(H5910,"0"))</f>
        <v/>
      </c>
      <c r="AA5910" t="str">
        <f>IF(Z5910="","",IFERROR(LOOKUP(2,1/(#REF!=Z5910),#REF!),""))</f>
        <v/>
      </c>
      <c r="AB5910" t="str">
        <f>IF(Z5910="","",IFERROR(LOOKUP(2,1/(#REF!=Z5910),#REF!),""))</f>
        <v/>
      </c>
      <c r="AC5910" t="str">
        <f>IF(Z5910="","",COUNTIF(#REF!,Z5910))</f>
        <v/>
      </c>
      <c r="AD5910" t="str">
        <f>IF(A5910="","",IF(AC5910&gt;1,"REVISAR DUPLICADO",IF(AA5910&lt;&gt;"","ACTUALIZADO POR EYR","SIN REPORTE EYR")))</f>
        <v/>
      </c>
    </row>
    <row r="5911" spans="11:30" x14ac:dyDescent="0.3">
      <c r="K5911" s="1" t="str">
        <f ca="1">IF(A5911="","",IF(OR(L5911="ENTREGADA",L5911="RETORNADA",L5911="ENTREGA DIGITAL"),0,MAX(0,5-NETWORKDAYS(H5911+1,TODAY()))))</f>
        <v/>
      </c>
      <c r="L5911" t="str">
        <f>IF(A5911="","",IFERROR(LOOKUP(2,1/(#REF!=Z5911),#REF!),Y5911))</f>
        <v/>
      </c>
      <c r="Z5911" t="str">
        <f>IF(A5911="","",TEXT(A5911,"0")&amp;"|"&amp;TEXT(H5911,"0"))</f>
        <v/>
      </c>
      <c r="AA5911" t="str">
        <f>IF(Z5911="","",IFERROR(LOOKUP(2,1/(#REF!=Z5911),#REF!),""))</f>
        <v/>
      </c>
      <c r="AB5911" t="str">
        <f>IF(Z5911="","",IFERROR(LOOKUP(2,1/(#REF!=Z5911),#REF!),""))</f>
        <v/>
      </c>
      <c r="AC5911" t="str">
        <f>IF(Z5911="","",COUNTIF(#REF!,Z5911))</f>
        <v/>
      </c>
      <c r="AD5911" t="str">
        <f>IF(A5911="","",IF(AC5911&gt;1,"REVISAR DUPLICADO",IF(AA5911&lt;&gt;"","ACTUALIZADO POR EYR","SIN REPORTE EYR")))</f>
        <v/>
      </c>
    </row>
    <row r="5912" spans="11:30" x14ac:dyDescent="0.3">
      <c r="K5912" s="1" t="str">
        <f ca="1">IF(A5912="","",IF(OR(L5912="ENTREGADA",L5912="RETORNADA",L5912="ENTREGA DIGITAL"),0,MAX(0,5-NETWORKDAYS(H5912+1,TODAY()))))</f>
        <v/>
      </c>
      <c r="L5912" t="str">
        <f>IF(A5912="","",IFERROR(LOOKUP(2,1/(#REF!=Z5912),#REF!),Y5912))</f>
        <v/>
      </c>
      <c r="Z5912" t="str">
        <f>IF(A5912="","",TEXT(A5912,"0")&amp;"|"&amp;TEXT(H5912,"0"))</f>
        <v/>
      </c>
      <c r="AA5912" t="str">
        <f>IF(Z5912="","",IFERROR(LOOKUP(2,1/(#REF!=Z5912),#REF!),""))</f>
        <v/>
      </c>
      <c r="AB5912" t="str">
        <f>IF(Z5912="","",IFERROR(LOOKUP(2,1/(#REF!=Z5912),#REF!),""))</f>
        <v/>
      </c>
      <c r="AC5912" t="str">
        <f>IF(Z5912="","",COUNTIF(#REF!,Z5912))</f>
        <v/>
      </c>
      <c r="AD5912" t="str">
        <f>IF(A5912="","",IF(AC5912&gt;1,"REVISAR DUPLICADO",IF(AA5912&lt;&gt;"","ACTUALIZADO POR EYR","SIN REPORTE EYR")))</f>
        <v/>
      </c>
    </row>
    <row r="5913" spans="11:30" x14ac:dyDescent="0.3">
      <c r="K5913" s="1" t="str">
        <f ca="1">IF(A5913="","",IF(OR(L5913="ENTREGADA",L5913="RETORNADA",L5913="ENTREGA DIGITAL"),0,MAX(0,5-NETWORKDAYS(H5913+1,TODAY()))))</f>
        <v/>
      </c>
      <c r="L5913" t="str">
        <f>IF(A5913="","",IFERROR(LOOKUP(2,1/(#REF!=Z5913),#REF!),Y5913))</f>
        <v/>
      </c>
      <c r="Z5913" t="str">
        <f>IF(A5913="","",TEXT(A5913,"0")&amp;"|"&amp;TEXT(H5913,"0"))</f>
        <v/>
      </c>
      <c r="AA5913" t="str">
        <f>IF(Z5913="","",IFERROR(LOOKUP(2,1/(#REF!=Z5913),#REF!),""))</f>
        <v/>
      </c>
      <c r="AB5913" t="str">
        <f>IF(Z5913="","",IFERROR(LOOKUP(2,1/(#REF!=Z5913),#REF!),""))</f>
        <v/>
      </c>
      <c r="AC5913" t="str">
        <f>IF(Z5913="","",COUNTIF(#REF!,Z5913))</f>
        <v/>
      </c>
      <c r="AD5913" t="str">
        <f>IF(A5913="","",IF(AC5913&gt;1,"REVISAR DUPLICADO",IF(AA5913&lt;&gt;"","ACTUALIZADO POR EYR","SIN REPORTE EYR")))</f>
        <v/>
      </c>
    </row>
    <row r="5914" spans="11:30" x14ac:dyDescent="0.3">
      <c r="K5914" s="1" t="str">
        <f ca="1">IF(A5914="","",IF(OR(L5914="ENTREGADA",L5914="RETORNADA",L5914="ENTREGA DIGITAL"),0,MAX(0,5-NETWORKDAYS(H5914+1,TODAY()))))</f>
        <v/>
      </c>
      <c r="L5914" t="str">
        <f>IF(A5914="","",IFERROR(LOOKUP(2,1/(#REF!=Z5914),#REF!),Y5914))</f>
        <v/>
      </c>
      <c r="Z5914" t="str">
        <f>IF(A5914="","",TEXT(A5914,"0")&amp;"|"&amp;TEXT(H5914,"0"))</f>
        <v/>
      </c>
      <c r="AA5914" t="str">
        <f>IF(Z5914="","",IFERROR(LOOKUP(2,1/(#REF!=Z5914),#REF!),""))</f>
        <v/>
      </c>
      <c r="AB5914" t="str">
        <f>IF(Z5914="","",IFERROR(LOOKUP(2,1/(#REF!=Z5914),#REF!),""))</f>
        <v/>
      </c>
      <c r="AC5914" t="str">
        <f>IF(Z5914="","",COUNTIF(#REF!,Z5914))</f>
        <v/>
      </c>
      <c r="AD5914" t="str">
        <f>IF(A5914="","",IF(AC5914&gt;1,"REVISAR DUPLICADO",IF(AA5914&lt;&gt;"","ACTUALIZADO POR EYR","SIN REPORTE EYR")))</f>
        <v/>
      </c>
    </row>
    <row r="5915" spans="11:30" x14ac:dyDescent="0.3">
      <c r="K5915" s="1" t="str">
        <f ca="1">IF(A5915="","",IF(OR(L5915="ENTREGADA",L5915="RETORNADA",L5915="ENTREGA DIGITAL"),0,MAX(0,5-NETWORKDAYS(H5915+1,TODAY()))))</f>
        <v/>
      </c>
      <c r="L5915" t="str">
        <f>IF(A5915="","",IFERROR(LOOKUP(2,1/(#REF!=Z5915),#REF!),Y5915))</f>
        <v/>
      </c>
      <c r="Z5915" t="str">
        <f>IF(A5915="","",TEXT(A5915,"0")&amp;"|"&amp;TEXT(H5915,"0"))</f>
        <v/>
      </c>
      <c r="AA5915" t="str">
        <f>IF(Z5915="","",IFERROR(LOOKUP(2,1/(#REF!=Z5915),#REF!),""))</f>
        <v/>
      </c>
      <c r="AB5915" t="str">
        <f>IF(Z5915="","",IFERROR(LOOKUP(2,1/(#REF!=Z5915),#REF!),""))</f>
        <v/>
      </c>
      <c r="AC5915" t="str">
        <f>IF(Z5915="","",COUNTIF(#REF!,Z5915))</f>
        <v/>
      </c>
      <c r="AD5915" t="str">
        <f>IF(A5915="","",IF(AC5915&gt;1,"REVISAR DUPLICADO",IF(AA5915&lt;&gt;"","ACTUALIZADO POR EYR","SIN REPORTE EYR")))</f>
        <v/>
      </c>
    </row>
    <row r="5916" spans="11:30" x14ac:dyDescent="0.3">
      <c r="K5916" s="1" t="str">
        <f ca="1">IF(A5916="","",IF(OR(L5916="ENTREGADA",L5916="RETORNADA",L5916="ENTREGA DIGITAL"),0,MAX(0,5-NETWORKDAYS(H5916+1,TODAY()))))</f>
        <v/>
      </c>
      <c r="L5916" t="str">
        <f>IF(A5916="","",IFERROR(LOOKUP(2,1/(#REF!=Z5916),#REF!),Y5916))</f>
        <v/>
      </c>
      <c r="Z5916" t="str">
        <f>IF(A5916="","",TEXT(A5916,"0")&amp;"|"&amp;TEXT(H5916,"0"))</f>
        <v/>
      </c>
      <c r="AA5916" t="str">
        <f>IF(Z5916="","",IFERROR(LOOKUP(2,1/(#REF!=Z5916),#REF!),""))</f>
        <v/>
      </c>
      <c r="AB5916" t="str">
        <f>IF(Z5916="","",IFERROR(LOOKUP(2,1/(#REF!=Z5916),#REF!),""))</f>
        <v/>
      </c>
      <c r="AC5916" t="str">
        <f>IF(Z5916="","",COUNTIF(#REF!,Z5916))</f>
        <v/>
      </c>
      <c r="AD5916" t="str">
        <f>IF(A5916="","",IF(AC5916&gt;1,"REVISAR DUPLICADO",IF(AA5916&lt;&gt;"","ACTUALIZADO POR EYR","SIN REPORTE EYR")))</f>
        <v/>
      </c>
    </row>
    <row r="5917" spans="11:30" x14ac:dyDescent="0.3">
      <c r="K5917" s="1" t="str">
        <f ca="1">IF(A5917="","",IF(OR(L5917="ENTREGADA",L5917="RETORNADA",L5917="ENTREGA DIGITAL"),0,MAX(0,5-NETWORKDAYS(H5917+1,TODAY()))))</f>
        <v/>
      </c>
      <c r="L5917" t="str">
        <f>IF(A5917="","",IFERROR(LOOKUP(2,1/(#REF!=Z5917),#REF!),Y5917))</f>
        <v/>
      </c>
      <c r="Z5917" t="str">
        <f>IF(A5917="","",TEXT(A5917,"0")&amp;"|"&amp;TEXT(H5917,"0"))</f>
        <v/>
      </c>
      <c r="AA5917" t="str">
        <f>IF(Z5917="","",IFERROR(LOOKUP(2,1/(#REF!=Z5917),#REF!),""))</f>
        <v/>
      </c>
      <c r="AB5917" t="str">
        <f>IF(Z5917="","",IFERROR(LOOKUP(2,1/(#REF!=Z5917),#REF!),""))</f>
        <v/>
      </c>
      <c r="AC5917" t="str">
        <f>IF(Z5917="","",COUNTIF(#REF!,Z5917))</f>
        <v/>
      </c>
      <c r="AD5917" t="str">
        <f>IF(A5917="","",IF(AC5917&gt;1,"REVISAR DUPLICADO",IF(AA5917&lt;&gt;"","ACTUALIZADO POR EYR","SIN REPORTE EYR")))</f>
        <v/>
      </c>
    </row>
    <row r="5918" spans="11:30" x14ac:dyDescent="0.3">
      <c r="K5918" s="1" t="str">
        <f ca="1">IF(A5918="","",IF(OR(L5918="ENTREGADA",L5918="RETORNADA",L5918="ENTREGA DIGITAL"),0,MAX(0,5-NETWORKDAYS(H5918+1,TODAY()))))</f>
        <v/>
      </c>
      <c r="L5918" t="str">
        <f>IF(A5918="","",IFERROR(LOOKUP(2,1/(#REF!=Z5918),#REF!),Y5918))</f>
        <v/>
      </c>
      <c r="Z5918" t="str">
        <f>IF(A5918="","",TEXT(A5918,"0")&amp;"|"&amp;TEXT(H5918,"0"))</f>
        <v/>
      </c>
      <c r="AA5918" t="str">
        <f>IF(Z5918="","",IFERROR(LOOKUP(2,1/(#REF!=Z5918),#REF!),""))</f>
        <v/>
      </c>
      <c r="AB5918" t="str">
        <f>IF(Z5918="","",IFERROR(LOOKUP(2,1/(#REF!=Z5918),#REF!),""))</f>
        <v/>
      </c>
      <c r="AC5918" t="str">
        <f>IF(Z5918="","",COUNTIF(#REF!,Z5918))</f>
        <v/>
      </c>
      <c r="AD5918" t="str">
        <f>IF(A5918="","",IF(AC5918&gt;1,"REVISAR DUPLICADO",IF(AA5918&lt;&gt;"","ACTUALIZADO POR EYR","SIN REPORTE EYR")))</f>
        <v/>
      </c>
    </row>
    <row r="5919" spans="11:30" x14ac:dyDescent="0.3">
      <c r="K5919" s="1" t="str">
        <f ca="1">IF(A5919="","",IF(OR(L5919="ENTREGADA",L5919="RETORNADA",L5919="ENTREGA DIGITAL"),0,MAX(0,5-NETWORKDAYS(H5919+1,TODAY()))))</f>
        <v/>
      </c>
      <c r="L5919" t="str">
        <f>IF(A5919="","",IFERROR(LOOKUP(2,1/(#REF!=Z5919),#REF!),Y5919))</f>
        <v/>
      </c>
      <c r="Z5919" t="str">
        <f>IF(A5919="","",TEXT(A5919,"0")&amp;"|"&amp;TEXT(H5919,"0"))</f>
        <v/>
      </c>
      <c r="AA5919" t="str">
        <f>IF(Z5919="","",IFERROR(LOOKUP(2,1/(#REF!=Z5919),#REF!),""))</f>
        <v/>
      </c>
      <c r="AB5919" t="str">
        <f>IF(Z5919="","",IFERROR(LOOKUP(2,1/(#REF!=Z5919),#REF!),""))</f>
        <v/>
      </c>
      <c r="AC5919" t="str">
        <f>IF(Z5919="","",COUNTIF(#REF!,Z5919))</f>
        <v/>
      </c>
      <c r="AD5919" t="str">
        <f>IF(A5919="","",IF(AC5919&gt;1,"REVISAR DUPLICADO",IF(AA5919&lt;&gt;"","ACTUALIZADO POR EYR","SIN REPORTE EYR")))</f>
        <v/>
      </c>
    </row>
    <row r="5920" spans="11:30" x14ac:dyDescent="0.3">
      <c r="K5920" s="1" t="str">
        <f ca="1">IF(A5920="","",IF(OR(L5920="ENTREGADA",L5920="RETORNADA",L5920="ENTREGA DIGITAL"),0,MAX(0,5-NETWORKDAYS(H5920+1,TODAY()))))</f>
        <v/>
      </c>
      <c r="L5920" t="str">
        <f>IF(A5920="","",IFERROR(LOOKUP(2,1/(#REF!=Z5920),#REF!),Y5920))</f>
        <v/>
      </c>
      <c r="Z5920" t="str">
        <f>IF(A5920="","",TEXT(A5920,"0")&amp;"|"&amp;TEXT(H5920,"0"))</f>
        <v/>
      </c>
      <c r="AA5920" t="str">
        <f>IF(Z5920="","",IFERROR(LOOKUP(2,1/(#REF!=Z5920),#REF!),""))</f>
        <v/>
      </c>
      <c r="AB5920" t="str">
        <f>IF(Z5920="","",IFERROR(LOOKUP(2,1/(#REF!=Z5920),#REF!),""))</f>
        <v/>
      </c>
      <c r="AC5920" t="str">
        <f>IF(Z5920="","",COUNTIF(#REF!,Z5920))</f>
        <v/>
      </c>
      <c r="AD5920" t="str">
        <f>IF(A5920="","",IF(AC5920&gt;1,"REVISAR DUPLICADO",IF(AA5920&lt;&gt;"","ACTUALIZADO POR EYR","SIN REPORTE EYR")))</f>
        <v/>
      </c>
    </row>
    <row r="5921" spans="11:30" x14ac:dyDescent="0.3">
      <c r="K5921" s="1" t="str">
        <f ca="1">IF(A5921="","",IF(OR(L5921="ENTREGADA",L5921="RETORNADA",L5921="ENTREGA DIGITAL"),0,MAX(0,5-NETWORKDAYS(H5921+1,TODAY()))))</f>
        <v/>
      </c>
      <c r="L5921" t="str">
        <f>IF(A5921="","",IFERROR(LOOKUP(2,1/(#REF!=Z5921),#REF!),Y5921))</f>
        <v/>
      </c>
      <c r="Z5921" t="str">
        <f>IF(A5921="","",TEXT(A5921,"0")&amp;"|"&amp;TEXT(H5921,"0"))</f>
        <v/>
      </c>
      <c r="AA5921" t="str">
        <f>IF(Z5921="","",IFERROR(LOOKUP(2,1/(#REF!=Z5921),#REF!),""))</f>
        <v/>
      </c>
      <c r="AB5921" t="str">
        <f>IF(Z5921="","",IFERROR(LOOKUP(2,1/(#REF!=Z5921),#REF!),""))</f>
        <v/>
      </c>
      <c r="AC5921" t="str">
        <f>IF(Z5921="","",COUNTIF(#REF!,Z5921))</f>
        <v/>
      </c>
      <c r="AD5921" t="str">
        <f>IF(A5921="","",IF(AC5921&gt;1,"REVISAR DUPLICADO",IF(AA5921&lt;&gt;"","ACTUALIZADO POR EYR","SIN REPORTE EYR")))</f>
        <v/>
      </c>
    </row>
    <row r="5922" spans="11:30" x14ac:dyDescent="0.3">
      <c r="K5922" s="1" t="str">
        <f ca="1">IF(A5922="","",IF(OR(L5922="ENTREGADA",L5922="RETORNADA",L5922="ENTREGA DIGITAL"),0,MAX(0,5-NETWORKDAYS(H5922+1,TODAY()))))</f>
        <v/>
      </c>
      <c r="L5922" t="str">
        <f>IF(A5922="","",IFERROR(LOOKUP(2,1/(#REF!=Z5922),#REF!),Y5922))</f>
        <v/>
      </c>
      <c r="Z5922" t="str">
        <f>IF(A5922="","",TEXT(A5922,"0")&amp;"|"&amp;TEXT(H5922,"0"))</f>
        <v/>
      </c>
      <c r="AA5922" t="str">
        <f>IF(Z5922="","",IFERROR(LOOKUP(2,1/(#REF!=Z5922),#REF!),""))</f>
        <v/>
      </c>
      <c r="AB5922" t="str">
        <f>IF(Z5922="","",IFERROR(LOOKUP(2,1/(#REF!=Z5922),#REF!),""))</f>
        <v/>
      </c>
      <c r="AC5922" t="str">
        <f>IF(Z5922="","",COUNTIF(#REF!,Z5922))</f>
        <v/>
      </c>
      <c r="AD5922" t="str">
        <f>IF(A5922="","",IF(AC5922&gt;1,"REVISAR DUPLICADO",IF(AA5922&lt;&gt;"","ACTUALIZADO POR EYR","SIN REPORTE EYR")))</f>
        <v/>
      </c>
    </row>
    <row r="5923" spans="11:30" x14ac:dyDescent="0.3">
      <c r="K5923" s="1" t="str">
        <f ca="1">IF(A5923="","",IF(OR(L5923="ENTREGADA",L5923="RETORNADA",L5923="ENTREGA DIGITAL"),0,MAX(0,5-NETWORKDAYS(H5923+1,TODAY()))))</f>
        <v/>
      </c>
      <c r="L5923" t="str">
        <f>IF(A5923="","",IFERROR(LOOKUP(2,1/(#REF!=Z5923),#REF!),Y5923))</f>
        <v/>
      </c>
      <c r="Z5923" t="str">
        <f>IF(A5923="","",TEXT(A5923,"0")&amp;"|"&amp;TEXT(H5923,"0"))</f>
        <v/>
      </c>
      <c r="AA5923" t="str">
        <f>IF(Z5923="","",IFERROR(LOOKUP(2,1/(#REF!=Z5923),#REF!),""))</f>
        <v/>
      </c>
      <c r="AB5923" t="str">
        <f>IF(Z5923="","",IFERROR(LOOKUP(2,1/(#REF!=Z5923),#REF!),""))</f>
        <v/>
      </c>
      <c r="AC5923" t="str">
        <f>IF(Z5923="","",COUNTIF(#REF!,Z5923))</f>
        <v/>
      </c>
      <c r="AD5923" t="str">
        <f>IF(A5923="","",IF(AC5923&gt;1,"REVISAR DUPLICADO",IF(AA5923&lt;&gt;"","ACTUALIZADO POR EYR","SIN REPORTE EYR")))</f>
        <v/>
      </c>
    </row>
    <row r="5924" spans="11:30" x14ac:dyDescent="0.3">
      <c r="K5924" s="1" t="str">
        <f ca="1">IF(A5924="","",IF(OR(L5924="ENTREGADA",L5924="RETORNADA",L5924="ENTREGA DIGITAL"),0,MAX(0,5-NETWORKDAYS(H5924+1,TODAY()))))</f>
        <v/>
      </c>
      <c r="L5924" t="str">
        <f>IF(A5924="","",IFERROR(LOOKUP(2,1/(#REF!=Z5924),#REF!),Y5924))</f>
        <v/>
      </c>
      <c r="Z5924" t="str">
        <f>IF(A5924="","",TEXT(A5924,"0")&amp;"|"&amp;TEXT(H5924,"0"))</f>
        <v/>
      </c>
      <c r="AA5924" t="str">
        <f>IF(Z5924="","",IFERROR(LOOKUP(2,1/(#REF!=Z5924),#REF!),""))</f>
        <v/>
      </c>
      <c r="AB5924" t="str">
        <f>IF(Z5924="","",IFERROR(LOOKUP(2,1/(#REF!=Z5924),#REF!),""))</f>
        <v/>
      </c>
      <c r="AC5924" t="str">
        <f>IF(Z5924="","",COUNTIF(#REF!,Z5924))</f>
        <v/>
      </c>
      <c r="AD5924" t="str">
        <f>IF(A5924="","",IF(AC5924&gt;1,"REVISAR DUPLICADO",IF(AA5924&lt;&gt;"","ACTUALIZADO POR EYR","SIN REPORTE EYR")))</f>
        <v/>
      </c>
    </row>
    <row r="5925" spans="11:30" x14ac:dyDescent="0.3">
      <c r="K5925" s="1" t="str">
        <f ca="1">IF(A5925="","",IF(OR(L5925="ENTREGADA",L5925="RETORNADA",L5925="ENTREGA DIGITAL"),0,MAX(0,5-NETWORKDAYS(H5925+1,TODAY()))))</f>
        <v/>
      </c>
      <c r="L5925" t="str">
        <f>IF(A5925="","",IFERROR(LOOKUP(2,1/(#REF!=Z5925),#REF!),Y5925))</f>
        <v/>
      </c>
      <c r="Z5925" t="str">
        <f>IF(A5925="","",TEXT(A5925,"0")&amp;"|"&amp;TEXT(H5925,"0"))</f>
        <v/>
      </c>
      <c r="AA5925" t="str">
        <f>IF(Z5925="","",IFERROR(LOOKUP(2,1/(#REF!=Z5925),#REF!),""))</f>
        <v/>
      </c>
      <c r="AB5925" t="str">
        <f>IF(Z5925="","",IFERROR(LOOKUP(2,1/(#REF!=Z5925),#REF!),""))</f>
        <v/>
      </c>
      <c r="AC5925" t="str">
        <f>IF(Z5925="","",COUNTIF(#REF!,Z5925))</f>
        <v/>
      </c>
      <c r="AD5925" t="str">
        <f>IF(A5925="","",IF(AC5925&gt;1,"REVISAR DUPLICADO",IF(AA5925&lt;&gt;"","ACTUALIZADO POR EYR","SIN REPORTE EYR")))</f>
        <v/>
      </c>
    </row>
    <row r="5926" spans="11:30" x14ac:dyDescent="0.3">
      <c r="K5926" s="1" t="str">
        <f ca="1">IF(A5926="","",IF(OR(L5926="ENTREGADA",L5926="RETORNADA",L5926="ENTREGA DIGITAL"),0,MAX(0,5-NETWORKDAYS(H5926+1,TODAY()))))</f>
        <v/>
      </c>
      <c r="L5926" t="str">
        <f>IF(A5926="","",IFERROR(LOOKUP(2,1/(#REF!=Z5926),#REF!),Y5926))</f>
        <v/>
      </c>
      <c r="Z5926" t="str">
        <f>IF(A5926="","",TEXT(A5926,"0")&amp;"|"&amp;TEXT(H5926,"0"))</f>
        <v/>
      </c>
      <c r="AA5926" t="str">
        <f>IF(Z5926="","",IFERROR(LOOKUP(2,1/(#REF!=Z5926),#REF!),""))</f>
        <v/>
      </c>
      <c r="AB5926" t="str">
        <f>IF(Z5926="","",IFERROR(LOOKUP(2,1/(#REF!=Z5926),#REF!),""))</f>
        <v/>
      </c>
      <c r="AC5926" t="str">
        <f>IF(Z5926="","",COUNTIF(#REF!,Z5926))</f>
        <v/>
      </c>
      <c r="AD5926" t="str">
        <f>IF(A5926="","",IF(AC5926&gt;1,"REVISAR DUPLICADO",IF(AA5926&lt;&gt;"","ACTUALIZADO POR EYR","SIN REPORTE EYR")))</f>
        <v/>
      </c>
    </row>
    <row r="5927" spans="11:30" x14ac:dyDescent="0.3">
      <c r="K5927" s="1" t="str">
        <f ca="1">IF(A5927="","",IF(OR(L5927="ENTREGADA",L5927="RETORNADA",L5927="ENTREGA DIGITAL"),0,MAX(0,5-NETWORKDAYS(H5927+1,TODAY()))))</f>
        <v/>
      </c>
      <c r="L5927" t="str">
        <f>IF(A5927="","",IFERROR(LOOKUP(2,1/(#REF!=Z5927),#REF!),Y5927))</f>
        <v/>
      </c>
      <c r="Z5927" t="str">
        <f>IF(A5927="","",TEXT(A5927,"0")&amp;"|"&amp;TEXT(H5927,"0"))</f>
        <v/>
      </c>
      <c r="AA5927" t="str">
        <f>IF(Z5927="","",IFERROR(LOOKUP(2,1/(#REF!=Z5927),#REF!),""))</f>
        <v/>
      </c>
      <c r="AB5927" t="str">
        <f>IF(Z5927="","",IFERROR(LOOKUP(2,1/(#REF!=Z5927),#REF!),""))</f>
        <v/>
      </c>
      <c r="AC5927" t="str">
        <f>IF(Z5927="","",COUNTIF(#REF!,Z5927))</f>
        <v/>
      </c>
      <c r="AD5927" t="str">
        <f>IF(A5927="","",IF(AC5927&gt;1,"REVISAR DUPLICADO",IF(AA5927&lt;&gt;"","ACTUALIZADO POR EYR","SIN REPORTE EYR")))</f>
        <v/>
      </c>
    </row>
    <row r="5928" spans="11:30" x14ac:dyDescent="0.3">
      <c r="K5928" s="1" t="str">
        <f ca="1">IF(A5928="","",IF(OR(L5928="ENTREGADA",L5928="RETORNADA",L5928="ENTREGA DIGITAL"),0,MAX(0,5-NETWORKDAYS(H5928+1,TODAY()))))</f>
        <v/>
      </c>
      <c r="L5928" t="str">
        <f>IF(A5928="","",IFERROR(LOOKUP(2,1/(#REF!=Z5928),#REF!),Y5928))</f>
        <v/>
      </c>
      <c r="Z5928" t="str">
        <f>IF(A5928="","",TEXT(A5928,"0")&amp;"|"&amp;TEXT(H5928,"0"))</f>
        <v/>
      </c>
      <c r="AA5928" t="str">
        <f>IF(Z5928="","",IFERROR(LOOKUP(2,1/(#REF!=Z5928),#REF!),""))</f>
        <v/>
      </c>
      <c r="AB5928" t="str">
        <f>IF(Z5928="","",IFERROR(LOOKUP(2,1/(#REF!=Z5928),#REF!),""))</f>
        <v/>
      </c>
      <c r="AC5928" t="str">
        <f>IF(Z5928="","",COUNTIF(#REF!,Z5928))</f>
        <v/>
      </c>
      <c r="AD5928" t="str">
        <f>IF(A5928="","",IF(AC5928&gt;1,"REVISAR DUPLICADO",IF(AA5928&lt;&gt;"","ACTUALIZADO POR EYR","SIN REPORTE EYR")))</f>
        <v/>
      </c>
    </row>
    <row r="5929" spans="11:30" x14ac:dyDescent="0.3">
      <c r="K5929" s="1" t="str">
        <f ca="1">IF(A5929="","",IF(OR(L5929="ENTREGADA",L5929="RETORNADA",L5929="ENTREGA DIGITAL"),0,MAX(0,5-NETWORKDAYS(H5929+1,TODAY()))))</f>
        <v/>
      </c>
      <c r="L5929" t="str">
        <f>IF(A5929="","",IFERROR(LOOKUP(2,1/(#REF!=Z5929),#REF!),Y5929))</f>
        <v/>
      </c>
      <c r="Z5929" t="str">
        <f>IF(A5929="","",TEXT(A5929,"0")&amp;"|"&amp;TEXT(H5929,"0"))</f>
        <v/>
      </c>
      <c r="AA5929" t="str">
        <f>IF(Z5929="","",IFERROR(LOOKUP(2,1/(#REF!=Z5929),#REF!),""))</f>
        <v/>
      </c>
      <c r="AB5929" t="str">
        <f>IF(Z5929="","",IFERROR(LOOKUP(2,1/(#REF!=Z5929),#REF!),""))</f>
        <v/>
      </c>
      <c r="AC5929" t="str">
        <f>IF(Z5929="","",COUNTIF(#REF!,Z5929))</f>
        <v/>
      </c>
      <c r="AD5929" t="str">
        <f>IF(A5929="","",IF(AC5929&gt;1,"REVISAR DUPLICADO",IF(AA5929&lt;&gt;"","ACTUALIZADO POR EYR","SIN REPORTE EYR")))</f>
        <v/>
      </c>
    </row>
    <row r="5930" spans="11:30" x14ac:dyDescent="0.3">
      <c r="K5930" s="1" t="str">
        <f ca="1">IF(A5930="","",IF(OR(L5930="ENTREGADA",L5930="RETORNADA",L5930="ENTREGA DIGITAL"),0,MAX(0,5-NETWORKDAYS(H5930+1,TODAY()))))</f>
        <v/>
      </c>
      <c r="L5930" t="str">
        <f>IF(A5930="","",IFERROR(LOOKUP(2,1/(#REF!=Z5930),#REF!),Y5930))</f>
        <v/>
      </c>
      <c r="Z5930" t="str">
        <f>IF(A5930="","",TEXT(A5930,"0")&amp;"|"&amp;TEXT(H5930,"0"))</f>
        <v/>
      </c>
      <c r="AA5930" t="str">
        <f>IF(Z5930="","",IFERROR(LOOKUP(2,1/(#REF!=Z5930),#REF!),""))</f>
        <v/>
      </c>
      <c r="AB5930" t="str">
        <f>IF(Z5930="","",IFERROR(LOOKUP(2,1/(#REF!=Z5930),#REF!),""))</f>
        <v/>
      </c>
      <c r="AC5930" t="str">
        <f>IF(Z5930="","",COUNTIF(#REF!,Z5930))</f>
        <v/>
      </c>
      <c r="AD5930" t="str">
        <f>IF(A5930="","",IF(AC5930&gt;1,"REVISAR DUPLICADO",IF(AA5930&lt;&gt;"","ACTUALIZADO POR EYR","SIN REPORTE EYR")))</f>
        <v/>
      </c>
    </row>
    <row r="5931" spans="11:30" x14ac:dyDescent="0.3">
      <c r="K5931" s="1" t="str">
        <f ca="1">IF(A5931="","",IF(OR(L5931="ENTREGADA",L5931="RETORNADA",L5931="ENTREGA DIGITAL"),0,MAX(0,5-NETWORKDAYS(H5931+1,TODAY()))))</f>
        <v/>
      </c>
      <c r="L5931" t="str">
        <f>IF(A5931="","",IFERROR(LOOKUP(2,1/(#REF!=Z5931),#REF!),Y5931))</f>
        <v/>
      </c>
      <c r="Z5931" t="str">
        <f>IF(A5931="","",TEXT(A5931,"0")&amp;"|"&amp;TEXT(H5931,"0"))</f>
        <v/>
      </c>
      <c r="AA5931" t="str">
        <f>IF(Z5931="","",IFERROR(LOOKUP(2,1/(#REF!=Z5931),#REF!),""))</f>
        <v/>
      </c>
      <c r="AB5931" t="str">
        <f>IF(Z5931="","",IFERROR(LOOKUP(2,1/(#REF!=Z5931),#REF!),""))</f>
        <v/>
      </c>
      <c r="AC5931" t="str">
        <f>IF(Z5931="","",COUNTIF(#REF!,Z5931))</f>
        <v/>
      </c>
      <c r="AD5931" t="str">
        <f>IF(A5931="","",IF(AC5931&gt;1,"REVISAR DUPLICADO",IF(AA5931&lt;&gt;"","ACTUALIZADO POR EYR","SIN REPORTE EYR")))</f>
        <v/>
      </c>
    </row>
    <row r="5932" spans="11:30" x14ac:dyDescent="0.3">
      <c r="K5932" s="1" t="str">
        <f ca="1">IF(A5932="","",IF(OR(L5932="ENTREGADA",L5932="RETORNADA",L5932="ENTREGA DIGITAL"),0,MAX(0,5-NETWORKDAYS(H5932+1,TODAY()))))</f>
        <v/>
      </c>
      <c r="L5932" t="str">
        <f>IF(A5932="","",IFERROR(LOOKUP(2,1/(#REF!=Z5932),#REF!),Y5932))</f>
        <v/>
      </c>
      <c r="Z5932" t="str">
        <f>IF(A5932="","",TEXT(A5932,"0")&amp;"|"&amp;TEXT(H5932,"0"))</f>
        <v/>
      </c>
      <c r="AA5932" t="str">
        <f>IF(Z5932="","",IFERROR(LOOKUP(2,1/(#REF!=Z5932),#REF!),""))</f>
        <v/>
      </c>
      <c r="AB5932" t="str">
        <f>IF(Z5932="","",IFERROR(LOOKUP(2,1/(#REF!=Z5932),#REF!),""))</f>
        <v/>
      </c>
      <c r="AC5932" t="str">
        <f>IF(Z5932="","",COUNTIF(#REF!,Z5932))</f>
        <v/>
      </c>
      <c r="AD5932" t="str">
        <f>IF(A5932="","",IF(AC5932&gt;1,"REVISAR DUPLICADO",IF(AA5932&lt;&gt;"","ACTUALIZADO POR EYR","SIN REPORTE EYR")))</f>
        <v/>
      </c>
    </row>
    <row r="5933" spans="11:30" x14ac:dyDescent="0.3">
      <c r="K5933" s="1" t="str">
        <f ca="1">IF(A5933="","",IF(OR(L5933="ENTREGADA",L5933="RETORNADA",L5933="ENTREGA DIGITAL"),0,MAX(0,5-NETWORKDAYS(H5933+1,TODAY()))))</f>
        <v/>
      </c>
      <c r="L5933" t="str">
        <f>IF(A5933="","",IFERROR(LOOKUP(2,1/(#REF!=Z5933),#REF!),Y5933))</f>
        <v/>
      </c>
      <c r="Z5933" t="str">
        <f>IF(A5933="","",TEXT(A5933,"0")&amp;"|"&amp;TEXT(H5933,"0"))</f>
        <v/>
      </c>
      <c r="AA5933" t="str">
        <f>IF(Z5933="","",IFERROR(LOOKUP(2,1/(#REF!=Z5933),#REF!),""))</f>
        <v/>
      </c>
      <c r="AB5933" t="str">
        <f>IF(Z5933="","",IFERROR(LOOKUP(2,1/(#REF!=Z5933),#REF!),""))</f>
        <v/>
      </c>
      <c r="AC5933" t="str">
        <f>IF(Z5933="","",COUNTIF(#REF!,Z5933))</f>
        <v/>
      </c>
      <c r="AD5933" t="str">
        <f>IF(A5933="","",IF(AC5933&gt;1,"REVISAR DUPLICADO",IF(AA5933&lt;&gt;"","ACTUALIZADO POR EYR","SIN REPORTE EYR")))</f>
        <v/>
      </c>
    </row>
    <row r="5934" spans="11:30" x14ac:dyDescent="0.3">
      <c r="K5934" s="1" t="str">
        <f ca="1">IF(A5934="","",IF(OR(L5934="ENTREGADA",L5934="RETORNADA",L5934="ENTREGA DIGITAL"),0,MAX(0,5-NETWORKDAYS(H5934+1,TODAY()))))</f>
        <v/>
      </c>
      <c r="L5934" t="str">
        <f>IF(A5934="","",IFERROR(LOOKUP(2,1/(#REF!=Z5934),#REF!),Y5934))</f>
        <v/>
      </c>
      <c r="Z5934" t="str">
        <f>IF(A5934="","",TEXT(A5934,"0")&amp;"|"&amp;TEXT(H5934,"0"))</f>
        <v/>
      </c>
      <c r="AA5934" t="str">
        <f>IF(Z5934="","",IFERROR(LOOKUP(2,1/(#REF!=Z5934),#REF!),""))</f>
        <v/>
      </c>
      <c r="AB5934" t="str">
        <f>IF(Z5934="","",IFERROR(LOOKUP(2,1/(#REF!=Z5934),#REF!),""))</f>
        <v/>
      </c>
      <c r="AC5934" t="str">
        <f>IF(Z5934="","",COUNTIF(#REF!,Z5934))</f>
        <v/>
      </c>
      <c r="AD5934" t="str">
        <f>IF(A5934="","",IF(AC5934&gt;1,"REVISAR DUPLICADO",IF(AA5934&lt;&gt;"","ACTUALIZADO POR EYR","SIN REPORTE EYR")))</f>
        <v/>
      </c>
    </row>
    <row r="5935" spans="11:30" x14ac:dyDescent="0.3">
      <c r="K5935" s="1" t="str">
        <f ca="1">IF(A5935="","",IF(OR(L5935="ENTREGADA",L5935="RETORNADA",L5935="ENTREGA DIGITAL"),0,MAX(0,5-NETWORKDAYS(H5935+1,TODAY()))))</f>
        <v/>
      </c>
      <c r="L5935" t="str">
        <f>IF(A5935="","",IFERROR(LOOKUP(2,1/(#REF!=Z5935),#REF!),Y5935))</f>
        <v/>
      </c>
      <c r="Z5935" t="str">
        <f>IF(A5935="","",TEXT(A5935,"0")&amp;"|"&amp;TEXT(H5935,"0"))</f>
        <v/>
      </c>
      <c r="AA5935" t="str">
        <f>IF(Z5935="","",IFERROR(LOOKUP(2,1/(#REF!=Z5935),#REF!),""))</f>
        <v/>
      </c>
      <c r="AB5935" t="str">
        <f>IF(Z5935="","",IFERROR(LOOKUP(2,1/(#REF!=Z5935),#REF!),""))</f>
        <v/>
      </c>
      <c r="AC5935" t="str">
        <f>IF(Z5935="","",COUNTIF(#REF!,Z5935))</f>
        <v/>
      </c>
      <c r="AD5935" t="str">
        <f>IF(A5935="","",IF(AC5935&gt;1,"REVISAR DUPLICADO",IF(AA5935&lt;&gt;"","ACTUALIZADO POR EYR","SIN REPORTE EYR")))</f>
        <v/>
      </c>
    </row>
    <row r="5936" spans="11:30" x14ac:dyDescent="0.3">
      <c r="K5936" s="1" t="str">
        <f ca="1">IF(A5936="","",IF(OR(L5936="ENTREGADA",L5936="RETORNADA",L5936="ENTREGA DIGITAL"),0,MAX(0,5-NETWORKDAYS(H5936+1,TODAY()))))</f>
        <v/>
      </c>
      <c r="L5936" t="str">
        <f>IF(A5936="","",IFERROR(LOOKUP(2,1/(#REF!=Z5936),#REF!),Y5936))</f>
        <v/>
      </c>
      <c r="Z5936" t="str">
        <f>IF(A5936="","",TEXT(A5936,"0")&amp;"|"&amp;TEXT(H5936,"0"))</f>
        <v/>
      </c>
      <c r="AA5936" t="str">
        <f>IF(Z5936="","",IFERROR(LOOKUP(2,1/(#REF!=Z5936),#REF!),""))</f>
        <v/>
      </c>
      <c r="AB5936" t="str">
        <f>IF(Z5936="","",IFERROR(LOOKUP(2,1/(#REF!=Z5936),#REF!),""))</f>
        <v/>
      </c>
      <c r="AC5936" t="str">
        <f>IF(Z5936="","",COUNTIF(#REF!,Z5936))</f>
        <v/>
      </c>
      <c r="AD5936" t="str">
        <f>IF(A5936="","",IF(AC5936&gt;1,"REVISAR DUPLICADO",IF(AA5936&lt;&gt;"","ACTUALIZADO POR EYR","SIN REPORTE EYR")))</f>
        <v/>
      </c>
    </row>
    <row r="5937" spans="11:30" x14ac:dyDescent="0.3">
      <c r="K5937" s="1" t="str">
        <f ca="1">IF(A5937="","",IF(OR(L5937="ENTREGADA",L5937="RETORNADA",L5937="ENTREGA DIGITAL"),0,MAX(0,5-NETWORKDAYS(H5937+1,TODAY()))))</f>
        <v/>
      </c>
      <c r="L5937" t="str">
        <f>IF(A5937="","",IFERROR(LOOKUP(2,1/(#REF!=Z5937),#REF!),Y5937))</f>
        <v/>
      </c>
      <c r="Z5937" t="str">
        <f>IF(A5937="","",TEXT(A5937,"0")&amp;"|"&amp;TEXT(H5937,"0"))</f>
        <v/>
      </c>
      <c r="AA5937" t="str">
        <f>IF(Z5937="","",IFERROR(LOOKUP(2,1/(#REF!=Z5937),#REF!),""))</f>
        <v/>
      </c>
      <c r="AB5937" t="str">
        <f>IF(Z5937="","",IFERROR(LOOKUP(2,1/(#REF!=Z5937),#REF!),""))</f>
        <v/>
      </c>
      <c r="AC5937" t="str">
        <f>IF(Z5937="","",COUNTIF(#REF!,Z5937))</f>
        <v/>
      </c>
      <c r="AD5937" t="str">
        <f>IF(A5937="","",IF(AC5937&gt;1,"REVISAR DUPLICADO",IF(AA5937&lt;&gt;"","ACTUALIZADO POR EYR","SIN REPORTE EYR")))</f>
        <v/>
      </c>
    </row>
    <row r="5938" spans="11:30" x14ac:dyDescent="0.3">
      <c r="K5938" s="1" t="str">
        <f ca="1">IF(A5938="","",IF(OR(L5938="ENTREGADA",L5938="RETORNADA",L5938="ENTREGA DIGITAL"),0,MAX(0,5-NETWORKDAYS(H5938+1,TODAY()))))</f>
        <v/>
      </c>
      <c r="L5938" t="str">
        <f>IF(A5938="","",IFERROR(LOOKUP(2,1/(#REF!=Z5938),#REF!),Y5938))</f>
        <v/>
      </c>
      <c r="Z5938" t="str">
        <f>IF(A5938="","",TEXT(A5938,"0")&amp;"|"&amp;TEXT(H5938,"0"))</f>
        <v/>
      </c>
      <c r="AA5938" t="str">
        <f>IF(Z5938="","",IFERROR(LOOKUP(2,1/(#REF!=Z5938),#REF!),""))</f>
        <v/>
      </c>
      <c r="AB5938" t="str">
        <f>IF(Z5938="","",IFERROR(LOOKUP(2,1/(#REF!=Z5938),#REF!),""))</f>
        <v/>
      </c>
      <c r="AC5938" t="str">
        <f>IF(Z5938="","",COUNTIF(#REF!,Z5938))</f>
        <v/>
      </c>
      <c r="AD5938" t="str">
        <f>IF(A5938="","",IF(AC5938&gt;1,"REVISAR DUPLICADO",IF(AA5938&lt;&gt;"","ACTUALIZADO POR EYR","SIN REPORTE EYR")))</f>
        <v/>
      </c>
    </row>
    <row r="5939" spans="11:30" x14ac:dyDescent="0.3">
      <c r="K5939" s="1" t="str">
        <f ca="1">IF(A5939="","",IF(OR(L5939="ENTREGADA",L5939="RETORNADA",L5939="ENTREGA DIGITAL"),0,MAX(0,5-NETWORKDAYS(H5939+1,TODAY()))))</f>
        <v/>
      </c>
      <c r="L5939" t="str">
        <f>IF(A5939="","",IFERROR(LOOKUP(2,1/(#REF!=Z5939),#REF!),Y5939))</f>
        <v/>
      </c>
      <c r="Z5939" t="str">
        <f>IF(A5939="","",TEXT(A5939,"0")&amp;"|"&amp;TEXT(H5939,"0"))</f>
        <v/>
      </c>
      <c r="AA5939" t="str">
        <f>IF(Z5939="","",IFERROR(LOOKUP(2,1/(#REF!=Z5939),#REF!),""))</f>
        <v/>
      </c>
      <c r="AB5939" t="str">
        <f>IF(Z5939="","",IFERROR(LOOKUP(2,1/(#REF!=Z5939),#REF!),""))</f>
        <v/>
      </c>
      <c r="AC5939" t="str">
        <f>IF(Z5939="","",COUNTIF(#REF!,Z5939))</f>
        <v/>
      </c>
      <c r="AD5939" t="str">
        <f>IF(A5939="","",IF(AC5939&gt;1,"REVISAR DUPLICADO",IF(AA5939&lt;&gt;"","ACTUALIZADO POR EYR","SIN REPORTE EYR")))</f>
        <v/>
      </c>
    </row>
    <row r="5940" spans="11:30" x14ac:dyDescent="0.3">
      <c r="K5940" s="1" t="str">
        <f ca="1">IF(A5940="","",IF(OR(L5940="ENTREGADA",L5940="RETORNADA",L5940="ENTREGA DIGITAL"),0,MAX(0,5-NETWORKDAYS(H5940+1,TODAY()))))</f>
        <v/>
      </c>
      <c r="L5940" t="str">
        <f>IF(A5940="","",IFERROR(LOOKUP(2,1/(#REF!=Z5940),#REF!),Y5940))</f>
        <v/>
      </c>
      <c r="Z5940" t="str">
        <f>IF(A5940="","",TEXT(A5940,"0")&amp;"|"&amp;TEXT(H5940,"0"))</f>
        <v/>
      </c>
      <c r="AA5940" t="str">
        <f>IF(Z5940="","",IFERROR(LOOKUP(2,1/(#REF!=Z5940),#REF!),""))</f>
        <v/>
      </c>
      <c r="AB5940" t="str">
        <f>IF(Z5940="","",IFERROR(LOOKUP(2,1/(#REF!=Z5940),#REF!),""))</f>
        <v/>
      </c>
      <c r="AC5940" t="str">
        <f>IF(Z5940="","",COUNTIF(#REF!,Z5940))</f>
        <v/>
      </c>
      <c r="AD5940" t="str">
        <f>IF(A5940="","",IF(AC5940&gt;1,"REVISAR DUPLICADO",IF(AA5940&lt;&gt;"","ACTUALIZADO POR EYR","SIN REPORTE EYR")))</f>
        <v/>
      </c>
    </row>
    <row r="5941" spans="11:30" x14ac:dyDescent="0.3">
      <c r="K5941" s="1" t="str">
        <f ca="1">IF(A5941="","",IF(OR(L5941="ENTREGADA",L5941="RETORNADA",L5941="ENTREGA DIGITAL"),0,MAX(0,5-NETWORKDAYS(H5941+1,TODAY()))))</f>
        <v/>
      </c>
      <c r="L5941" t="str">
        <f>IF(A5941="","",IFERROR(LOOKUP(2,1/(#REF!=Z5941),#REF!),Y5941))</f>
        <v/>
      </c>
      <c r="Z5941" t="str">
        <f>IF(A5941="","",TEXT(A5941,"0")&amp;"|"&amp;TEXT(H5941,"0"))</f>
        <v/>
      </c>
      <c r="AA5941" t="str">
        <f>IF(Z5941="","",IFERROR(LOOKUP(2,1/(#REF!=Z5941),#REF!),""))</f>
        <v/>
      </c>
      <c r="AB5941" t="str">
        <f>IF(Z5941="","",IFERROR(LOOKUP(2,1/(#REF!=Z5941),#REF!),""))</f>
        <v/>
      </c>
      <c r="AC5941" t="str">
        <f>IF(Z5941="","",COUNTIF(#REF!,Z5941))</f>
        <v/>
      </c>
      <c r="AD5941" t="str">
        <f>IF(A5941="","",IF(AC5941&gt;1,"REVISAR DUPLICADO",IF(AA5941&lt;&gt;"","ACTUALIZADO POR EYR","SIN REPORTE EYR")))</f>
        <v/>
      </c>
    </row>
    <row r="5942" spans="11:30" x14ac:dyDescent="0.3">
      <c r="K5942" s="1" t="str">
        <f ca="1">IF(A5942="","",IF(OR(L5942="ENTREGADA",L5942="RETORNADA",L5942="ENTREGA DIGITAL"),0,MAX(0,5-NETWORKDAYS(H5942+1,TODAY()))))</f>
        <v/>
      </c>
      <c r="L5942" t="str">
        <f>IF(A5942="","",IFERROR(LOOKUP(2,1/(#REF!=Z5942),#REF!),Y5942))</f>
        <v/>
      </c>
      <c r="Z5942" t="str">
        <f>IF(A5942="","",TEXT(A5942,"0")&amp;"|"&amp;TEXT(H5942,"0"))</f>
        <v/>
      </c>
      <c r="AA5942" t="str">
        <f>IF(Z5942="","",IFERROR(LOOKUP(2,1/(#REF!=Z5942),#REF!),""))</f>
        <v/>
      </c>
      <c r="AB5942" t="str">
        <f>IF(Z5942="","",IFERROR(LOOKUP(2,1/(#REF!=Z5942),#REF!),""))</f>
        <v/>
      </c>
      <c r="AC5942" t="str">
        <f>IF(Z5942="","",COUNTIF(#REF!,Z5942))</f>
        <v/>
      </c>
      <c r="AD5942" t="str">
        <f>IF(A5942="","",IF(AC5942&gt;1,"REVISAR DUPLICADO",IF(AA5942&lt;&gt;"","ACTUALIZADO POR EYR","SIN REPORTE EYR")))</f>
        <v/>
      </c>
    </row>
    <row r="5943" spans="11:30" x14ac:dyDescent="0.3">
      <c r="K5943" s="1" t="str">
        <f ca="1">IF(A5943="","",IF(OR(L5943="ENTREGADA",L5943="RETORNADA",L5943="ENTREGA DIGITAL"),0,MAX(0,5-NETWORKDAYS(H5943+1,TODAY()))))</f>
        <v/>
      </c>
      <c r="L5943" t="str">
        <f>IF(A5943="","",IFERROR(LOOKUP(2,1/(#REF!=Z5943),#REF!),Y5943))</f>
        <v/>
      </c>
      <c r="Z5943" t="str">
        <f>IF(A5943="","",TEXT(A5943,"0")&amp;"|"&amp;TEXT(H5943,"0"))</f>
        <v/>
      </c>
      <c r="AA5943" t="str">
        <f>IF(Z5943="","",IFERROR(LOOKUP(2,1/(#REF!=Z5943),#REF!),""))</f>
        <v/>
      </c>
      <c r="AB5943" t="str">
        <f>IF(Z5943="","",IFERROR(LOOKUP(2,1/(#REF!=Z5943),#REF!),""))</f>
        <v/>
      </c>
      <c r="AC5943" t="str">
        <f>IF(Z5943="","",COUNTIF(#REF!,Z5943))</f>
        <v/>
      </c>
      <c r="AD5943" t="str">
        <f>IF(A5943="","",IF(AC5943&gt;1,"REVISAR DUPLICADO",IF(AA5943&lt;&gt;"","ACTUALIZADO POR EYR","SIN REPORTE EYR")))</f>
        <v/>
      </c>
    </row>
    <row r="5944" spans="11:30" x14ac:dyDescent="0.3">
      <c r="K5944" s="1" t="str">
        <f ca="1">IF(A5944="","",IF(OR(L5944="ENTREGADA",L5944="RETORNADA",L5944="ENTREGA DIGITAL"),0,MAX(0,5-NETWORKDAYS(H5944+1,TODAY()))))</f>
        <v/>
      </c>
      <c r="L5944" t="str">
        <f>IF(A5944="","",IFERROR(LOOKUP(2,1/(#REF!=Z5944),#REF!),Y5944))</f>
        <v/>
      </c>
      <c r="Z5944" t="str">
        <f>IF(A5944="","",TEXT(A5944,"0")&amp;"|"&amp;TEXT(H5944,"0"))</f>
        <v/>
      </c>
      <c r="AA5944" t="str">
        <f>IF(Z5944="","",IFERROR(LOOKUP(2,1/(#REF!=Z5944),#REF!),""))</f>
        <v/>
      </c>
      <c r="AB5944" t="str">
        <f>IF(Z5944="","",IFERROR(LOOKUP(2,1/(#REF!=Z5944),#REF!),""))</f>
        <v/>
      </c>
      <c r="AC5944" t="str">
        <f>IF(Z5944="","",COUNTIF(#REF!,Z5944))</f>
        <v/>
      </c>
      <c r="AD5944" t="str">
        <f>IF(A5944="","",IF(AC5944&gt;1,"REVISAR DUPLICADO",IF(AA5944&lt;&gt;"","ACTUALIZADO POR EYR","SIN REPORTE EYR")))</f>
        <v/>
      </c>
    </row>
    <row r="5945" spans="11:30" x14ac:dyDescent="0.3">
      <c r="K5945" s="1" t="str">
        <f ca="1">IF(A5945="","",IF(OR(L5945="ENTREGADA",L5945="RETORNADA",L5945="ENTREGA DIGITAL"),0,MAX(0,5-NETWORKDAYS(H5945+1,TODAY()))))</f>
        <v/>
      </c>
      <c r="L5945" t="str">
        <f>IF(A5945="","",IFERROR(LOOKUP(2,1/(#REF!=Z5945),#REF!),Y5945))</f>
        <v/>
      </c>
      <c r="Z5945" t="str">
        <f>IF(A5945="","",TEXT(A5945,"0")&amp;"|"&amp;TEXT(H5945,"0"))</f>
        <v/>
      </c>
      <c r="AA5945" t="str">
        <f>IF(Z5945="","",IFERROR(LOOKUP(2,1/(#REF!=Z5945),#REF!),""))</f>
        <v/>
      </c>
      <c r="AB5945" t="str">
        <f>IF(Z5945="","",IFERROR(LOOKUP(2,1/(#REF!=Z5945),#REF!),""))</f>
        <v/>
      </c>
      <c r="AC5945" t="str">
        <f>IF(Z5945="","",COUNTIF(#REF!,Z5945))</f>
        <v/>
      </c>
      <c r="AD5945" t="str">
        <f>IF(A5945="","",IF(AC5945&gt;1,"REVISAR DUPLICADO",IF(AA5945&lt;&gt;"","ACTUALIZADO POR EYR","SIN REPORTE EYR")))</f>
        <v/>
      </c>
    </row>
    <row r="5946" spans="11:30" x14ac:dyDescent="0.3">
      <c r="K5946" s="1" t="str">
        <f ca="1">IF(A5946="","",IF(OR(L5946="ENTREGADA",L5946="RETORNADA",L5946="ENTREGA DIGITAL"),0,MAX(0,5-NETWORKDAYS(H5946+1,TODAY()))))</f>
        <v/>
      </c>
      <c r="L5946" t="str">
        <f>IF(A5946="","",IFERROR(LOOKUP(2,1/(#REF!=Z5946),#REF!),Y5946))</f>
        <v/>
      </c>
      <c r="Z5946" t="str">
        <f>IF(A5946="","",TEXT(A5946,"0")&amp;"|"&amp;TEXT(H5946,"0"))</f>
        <v/>
      </c>
      <c r="AA5946" t="str">
        <f>IF(Z5946="","",IFERROR(LOOKUP(2,1/(#REF!=Z5946),#REF!),""))</f>
        <v/>
      </c>
      <c r="AB5946" t="str">
        <f>IF(Z5946="","",IFERROR(LOOKUP(2,1/(#REF!=Z5946),#REF!),""))</f>
        <v/>
      </c>
      <c r="AC5946" t="str">
        <f>IF(Z5946="","",COUNTIF(#REF!,Z5946))</f>
        <v/>
      </c>
      <c r="AD5946" t="str">
        <f>IF(A5946="","",IF(AC5946&gt;1,"REVISAR DUPLICADO",IF(AA5946&lt;&gt;"","ACTUALIZADO POR EYR","SIN REPORTE EYR")))</f>
        <v/>
      </c>
    </row>
    <row r="5947" spans="11:30" x14ac:dyDescent="0.3">
      <c r="K5947" s="1" t="str">
        <f ca="1">IF(A5947="","",IF(OR(L5947="ENTREGADA",L5947="RETORNADA",L5947="ENTREGA DIGITAL"),0,MAX(0,5-NETWORKDAYS(H5947+1,TODAY()))))</f>
        <v/>
      </c>
      <c r="L5947" t="str">
        <f>IF(A5947="","",IFERROR(LOOKUP(2,1/(#REF!=Z5947),#REF!),Y5947))</f>
        <v/>
      </c>
      <c r="Z5947" t="str">
        <f>IF(A5947="","",TEXT(A5947,"0")&amp;"|"&amp;TEXT(H5947,"0"))</f>
        <v/>
      </c>
      <c r="AA5947" t="str">
        <f>IF(Z5947="","",IFERROR(LOOKUP(2,1/(#REF!=Z5947),#REF!),""))</f>
        <v/>
      </c>
      <c r="AB5947" t="str">
        <f>IF(Z5947="","",IFERROR(LOOKUP(2,1/(#REF!=Z5947),#REF!),""))</f>
        <v/>
      </c>
      <c r="AC5947" t="str">
        <f>IF(Z5947="","",COUNTIF(#REF!,Z5947))</f>
        <v/>
      </c>
      <c r="AD5947" t="str">
        <f>IF(A5947="","",IF(AC5947&gt;1,"REVISAR DUPLICADO",IF(AA5947&lt;&gt;"","ACTUALIZADO POR EYR","SIN REPORTE EYR")))</f>
        <v/>
      </c>
    </row>
    <row r="5948" spans="11:30" x14ac:dyDescent="0.3">
      <c r="K5948" s="1" t="str">
        <f ca="1">IF(A5948="","",IF(OR(L5948="ENTREGADA",L5948="RETORNADA",L5948="ENTREGA DIGITAL"),0,MAX(0,5-NETWORKDAYS(H5948+1,TODAY()))))</f>
        <v/>
      </c>
      <c r="L5948" t="str">
        <f>IF(A5948="","",IFERROR(LOOKUP(2,1/(#REF!=Z5948),#REF!),Y5948))</f>
        <v/>
      </c>
      <c r="Z5948" t="str">
        <f>IF(A5948="","",TEXT(A5948,"0")&amp;"|"&amp;TEXT(H5948,"0"))</f>
        <v/>
      </c>
      <c r="AA5948" t="str">
        <f>IF(Z5948="","",IFERROR(LOOKUP(2,1/(#REF!=Z5948),#REF!),""))</f>
        <v/>
      </c>
      <c r="AB5948" t="str">
        <f>IF(Z5948="","",IFERROR(LOOKUP(2,1/(#REF!=Z5948),#REF!),""))</f>
        <v/>
      </c>
      <c r="AC5948" t="str">
        <f>IF(Z5948="","",COUNTIF(#REF!,Z5948))</f>
        <v/>
      </c>
      <c r="AD5948" t="str">
        <f>IF(A5948="","",IF(AC5948&gt;1,"REVISAR DUPLICADO",IF(AA5948&lt;&gt;"","ACTUALIZADO POR EYR","SIN REPORTE EYR")))</f>
        <v/>
      </c>
    </row>
    <row r="5949" spans="11:30" x14ac:dyDescent="0.3">
      <c r="K5949" s="1" t="str">
        <f ca="1">IF(A5949="","",IF(OR(L5949="ENTREGADA",L5949="RETORNADA",L5949="ENTREGA DIGITAL"),0,MAX(0,5-NETWORKDAYS(H5949+1,TODAY()))))</f>
        <v/>
      </c>
      <c r="L5949" t="str">
        <f>IF(A5949="","",IFERROR(LOOKUP(2,1/(#REF!=Z5949),#REF!),Y5949))</f>
        <v/>
      </c>
      <c r="Z5949" t="str">
        <f>IF(A5949="","",TEXT(A5949,"0")&amp;"|"&amp;TEXT(H5949,"0"))</f>
        <v/>
      </c>
      <c r="AA5949" t="str">
        <f>IF(Z5949="","",IFERROR(LOOKUP(2,1/(#REF!=Z5949),#REF!),""))</f>
        <v/>
      </c>
      <c r="AB5949" t="str">
        <f>IF(Z5949="","",IFERROR(LOOKUP(2,1/(#REF!=Z5949),#REF!),""))</f>
        <v/>
      </c>
      <c r="AC5949" t="str">
        <f>IF(Z5949="","",COUNTIF(#REF!,Z5949))</f>
        <v/>
      </c>
      <c r="AD5949" t="str">
        <f>IF(A5949="","",IF(AC5949&gt;1,"REVISAR DUPLICADO",IF(AA5949&lt;&gt;"","ACTUALIZADO POR EYR","SIN REPORTE EYR")))</f>
        <v/>
      </c>
    </row>
    <row r="5950" spans="11:30" x14ac:dyDescent="0.3">
      <c r="K5950" s="1" t="str">
        <f ca="1">IF(A5950="","",IF(OR(L5950="ENTREGADA",L5950="RETORNADA",L5950="ENTREGA DIGITAL"),0,MAX(0,5-NETWORKDAYS(H5950+1,TODAY()))))</f>
        <v/>
      </c>
      <c r="L5950" t="str">
        <f>IF(A5950="","",IFERROR(LOOKUP(2,1/(#REF!=Z5950),#REF!),Y5950))</f>
        <v/>
      </c>
      <c r="Z5950" t="str">
        <f>IF(A5950="","",TEXT(A5950,"0")&amp;"|"&amp;TEXT(H5950,"0"))</f>
        <v/>
      </c>
      <c r="AA5950" t="str">
        <f>IF(Z5950="","",IFERROR(LOOKUP(2,1/(#REF!=Z5950),#REF!),""))</f>
        <v/>
      </c>
      <c r="AB5950" t="str">
        <f>IF(Z5950="","",IFERROR(LOOKUP(2,1/(#REF!=Z5950),#REF!),""))</f>
        <v/>
      </c>
      <c r="AC5950" t="str">
        <f>IF(Z5950="","",COUNTIF(#REF!,Z5950))</f>
        <v/>
      </c>
      <c r="AD5950" t="str">
        <f>IF(A5950="","",IF(AC5950&gt;1,"REVISAR DUPLICADO",IF(AA5950&lt;&gt;"","ACTUALIZADO POR EYR","SIN REPORTE EYR")))</f>
        <v/>
      </c>
    </row>
    <row r="5951" spans="11:30" x14ac:dyDescent="0.3">
      <c r="K5951" s="1" t="str">
        <f ca="1">IF(A5951="","",IF(OR(L5951="ENTREGADA",L5951="RETORNADA",L5951="ENTREGA DIGITAL"),0,MAX(0,5-NETWORKDAYS(H5951+1,TODAY()))))</f>
        <v/>
      </c>
      <c r="L5951" t="str">
        <f>IF(A5951="","",IFERROR(LOOKUP(2,1/(#REF!=Z5951),#REF!),Y5951))</f>
        <v/>
      </c>
      <c r="Z5951" t="str">
        <f>IF(A5951="","",TEXT(A5951,"0")&amp;"|"&amp;TEXT(H5951,"0"))</f>
        <v/>
      </c>
      <c r="AA5951" t="str">
        <f>IF(Z5951="","",IFERROR(LOOKUP(2,1/(#REF!=Z5951),#REF!),""))</f>
        <v/>
      </c>
      <c r="AB5951" t="str">
        <f>IF(Z5951="","",IFERROR(LOOKUP(2,1/(#REF!=Z5951),#REF!),""))</f>
        <v/>
      </c>
      <c r="AC5951" t="str">
        <f>IF(Z5951="","",COUNTIF(#REF!,Z5951))</f>
        <v/>
      </c>
      <c r="AD5951" t="str">
        <f>IF(A5951="","",IF(AC5951&gt;1,"REVISAR DUPLICADO",IF(AA5951&lt;&gt;"","ACTUALIZADO POR EYR","SIN REPORTE EYR")))</f>
        <v/>
      </c>
    </row>
    <row r="5952" spans="11:30" x14ac:dyDescent="0.3">
      <c r="K5952" s="1" t="str">
        <f ca="1">IF(A5952="","",IF(OR(L5952="ENTREGADA",L5952="RETORNADA",L5952="ENTREGA DIGITAL"),0,MAX(0,5-NETWORKDAYS(H5952+1,TODAY()))))</f>
        <v/>
      </c>
      <c r="L5952" t="str">
        <f>IF(A5952="","",IFERROR(LOOKUP(2,1/(#REF!=Z5952),#REF!),Y5952))</f>
        <v/>
      </c>
      <c r="Z5952" t="str">
        <f>IF(A5952="","",TEXT(A5952,"0")&amp;"|"&amp;TEXT(H5952,"0"))</f>
        <v/>
      </c>
      <c r="AA5952" t="str">
        <f>IF(Z5952="","",IFERROR(LOOKUP(2,1/(#REF!=Z5952),#REF!),""))</f>
        <v/>
      </c>
      <c r="AB5952" t="str">
        <f>IF(Z5952="","",IFERROR(LOOKUP(2,1/(#REF!=Z5952),#REF!),""))</f>
        <v/>
      </c>
      <c r="AC5952" t="str">
        <f>IF(Z5952="","",COUNTIF(#REF!,Z5952))</f>
        <v/>
      </c>
      <c r="AD5952" t="str">
        <f>IF(A5952="","",IF(AC5952&gt;1,"REVISAR DUPLICADO",IF(AA5952&lt;&gt;"","ACTUALIZADO POR EYR","SIN REPORTE EYR")))</f>
        <v/>
      </c>
    </row>
    <row r="5953" spans="11:30" x14ac:dyDescent="0.3">
      <c r="K5953" s="1" t="str">
        <f ca="1">IF(A5953="","",IF(OR(L5953="ENTREGADA",L5953="RETORNADA",L5953="ENTREGA DIGITAL"),0,MAX(0,5-NETWORKDAYS(H5953+1,TODAY()))))</f>
        <v/>
      </c>
      <c r="L5953" t="str">
        <f>IF(A5953="","",IFERROR(LOOKUP(2,1/(#REF!=Z5953),#REF!),Y5953))</f>
        <v/>
      </c>
      <c r="Z5953" t="str">
        <f>IF(A5953="","",TEXT(A5953,"0")&amp;"|"&amp;TEXT(H5953,"0"))</f>
        <v/>
      </c>
      <c r="AA5953" t="str">
        <f>IF(Z5953="","",IFERROR(LOOKUP(2,1/(#REF!=Z5953),#REF!),""))</f>
        <v/>
      </c>
      <c r="AB5953" t="str">
        <f>IF(Z5953="","",IFERROR(LOOKUP(2,1/(#REF!=Z5953),#REF!),""))</f>
        <v/>
      </c>
      <c r="AC5953" t="str">
        <f>IF(Z5953="","",COUNTIF(#REF!,Z5953))</f>
        <v/>
      </c>
      <c r="AD5953" t="str">
        <f>IF(A5953="","",IF(AC5953&gt;1,"REVISAR DUPLICADO",IF(AA5953&lt;&gt;"","ACTUALIZADO POR EYR","SIN REPORTE EYR")))</f>
        <v/>
      </c>
    </row>
    <row r="5954" spans="11:30" x14ac:dyDescent="0.3">
      <c r="K5954" s="1" t="str">
        <f ca="1">IF(A5954="","",IF(OR(L5954="ENTREGADA",L5954="RETORNADA",L5954="ENTREGA DIGITAL"),0,MAX(0,5-NETWORKDAYS(H5954+1,TODAY()))))</f>
        <v/>
      </c>
      <c r="L5954" t="str">
        <f>IF(A5954="","",IFERROR(LOOKUP(2,1/(#REF!=Z5954),#REF!),Y5954))</f>
        <v/>
      </c>
      <c r="Z5954" t="str">
        <f>IF(A5954="","",TEXT(A5954,"0")&amp;"|"&amp;TEXT(H5954,"0"))</f>
        <v/>
      </c>
      <c r="AA5954" t="str">
        <f>IF(Z5954="","",IFERROR(LOOKUP(2,1/(#REF!=Z5954),#REF!),""))</f>
        <v/>
      </c>
      <c r="AB5954" t="str">
        <f>IF(Z5954="","",IFERROR(LOOKUP(2,1/(#REF!=Z5954),#REF!),""))</f>
        <v/>
      </c>
      <c r="AC5954" t="str">
        <f>IF(Z5954="","",COUNTIF(#REF!,Z5954))</f>
        <v/>
      </c>
      <c r="AD5954" t="str">
        <f>IF(A5954="","",IF(AC5954&gt;1,"REVISAR DUPLICADO",IF(AA5954&lt;&gt;"","ACTUALIZADO POR EYR","SIN REPORTE EYR")))</f>
        <v/>
      </c>
    </row>
    <row r="5955" spans="11:30" x14ac:dyDescent="0.3">
      <c r="K5955" s="1" t="str">
        <f ca="1">IF(A5955="","",IF(OR(L5955="ENTREGADA",L5955="RETORNADA",L5955="ENTREGA DIGITAL"),0,MAX(0,5-NETWORKDAYS(H5955+1,TODAY()))))</f>
        <v/>
      </c>
      <c r="L5955" t="str">
        <f>IF(A5955="","",IFERROR(LOOKUP(2,1/(#REF!=Z5955),#REF!),Y5955))</f>
        <v/>
      </c>
      <c r="Z5955" t="str">
        <f>IF(A5955="","",TEXT(A5955,"0")&amp;"|"&amp;TEXT(H5955,"0"))</f>
        <v/>
      </c>
      <c r="AA5955" t="str">
        <f>IF(Z5955="","",IFERROR(LOOKUP(2,1/(#REF!=Z5955),#REF!),""))</f>
        <v/>
      </c>
      <c r="AB5955" t="str">
        <f>IF(Z5955="","",IFERROR(LOOKUP(2,1/(#REF!=Z5955),#REF!),""))</f>
        <v/>
      </c>
      <c r="AC5955" t="str">
        <f>IF(Z5955="","",COUNTIF(#REF!,Z5955))</f>
        <v/>
      </c>
      <c r="AD5955" t="str">
        <f>IF(A5955="","",IF(AC5955&gt;1,"REVISAR DUPLICADO",IF(AA5955&lt;&gt;"","ACTUALIZADO POR EYR","SIN REPORTE EYR")))</f>
        <v/>
      </c>
    </row>
    <row r="5956" spans="11:30" x14ac:dyDescent="0.3">
      <c r="K5956" s="1" t="str">
        <f ca="1">IF(A5956="","",IF(OR(L5956="ENTREGADA",L5956="RETORNADA",L5956="ENTREGA DIGITAL"),0,MAX(0,5-NETWORKDAYS(H5956+1,TODAY()))))</f>
        <v/>
      </c>
      <c r="L5956" t="str">
        <f>IF(A5956="","",IFERROR(LOOKUP(2,1/(#REF!=Z5956),#REF!),Y5956))</f>
        <v/>
      </c>
      <c r="Z5956" t="str">
        <f>IF(A5956="","",TEXT(A5956,"0")&amp;"|"&amp;TEXT(H5956,"0"))</f>
        <v/>
      </c>
      <c r="AA5956" t="str">
        <f>IF(Z5956="","",IFERROR(LOOKUP(2,1/(#REF!=Z5956),#REF!),""))</f>
        <v/>
      </c>
      <c r="AB5956" t="str">
        <f>IF(Z5956="","",IFERROR(LOOKUP(2,1/(#REF!=Z5956),#REF!),""))</f>
        <v/>
      </c>
      <c r="AC5956" t="str">
        <f>IF(Z5956="","",COUNTIF(#REF!,Z5956))</f>
        <v/>
      </c>
      <c r="AD5956" t="str">
        <f>IF(A5956="","",IF(AC5956&gt;1,"REVISAR DUPLICADO",IF(AA5956&lt;&gt;"","ACTUALIZADO POR EYR","SIN REPORTE EYR")))</f>
        <v/>
      </c>
    </row>
    <row r="5957" spans="11:30" x14ac:dyDescent="0.3">
      <c r="K5957" s="1" t="str">
        <f ca="1">IF(A5957="","",IF(OR(L5957="ENTREGADA",L5957="RETORNADA",L5957="ENTREGA DIGITAL"),0,MAX(0,5-NETWORKDAYS(H5957+1,TODAY()))))</f>
        <v/>
      </c>
      <c r="L5957" t="str">
        <f>IF(A5957="","",IFERROR(LOOKUP(2,1/(#REF!=Z5957),#REF!),Y5957))</f>
        <v/>
      </c>
      <c r="Z5957" t="str">
        <f>IF(A5957="","",TEXT(A5957,"0")&amp;"|"&amp;TEXT(H5957,"0"))</f>
        <v/>
      </c>
      <c r="AA5957" t="str">
        <f>IF(Z5957="","",IFERROR(LOOKUP(2,1/(#REF!=Z5957),#REF!),""))</f>
        <v/>
      </c>
      <c r="AB5957" t="str">
        <f>IF(Z5957="","",IFERROR(LOOKUP(2,1/(#REF!=Z5957),#REF!),""))</f>
        <v/>
      </c>
      <c r="AC5957" t="str">
        <f>IF(Z5957="","",COUNTIF(#REF!,Z5957))</f>
        <v/>
      </c>
      <c r="AD5957" t="str">
        <f>IF(A5957="","",IF(AC5957&gt;1,"REVISAR DUPLICADO",IF(AA5957&lt;&gt;"","ACTUALIZADO POR EYR","SIN REPORTE EYR")))</f>
        <v/>
      </c>
    </row>
    <row r="5958" spans="11:30" x14ac:dyDescent="0.3">
      <c r="K5958" s="1" t="str">
        <f ca="1">IF(A5958="","",IF(OR(L5958="ENTREGADA",L5958="RETORNADA",L5958="ENTREGA DIGITAL"),0,MAX(0,5-NETWORKDAYS(H5958+1,TODAY()))))</f>
        <v/>
      </c>
      <c r="L5958" t="str">
        <f>IF(A5958="","",IFERROR(LOOKUP(2,1/(#REF!=Z5958),#REF!),Y5958))</f>
        <v/>
      </c>
      <c r="Z5958" t="str">
        <f>IF(A5958="","",TEXT(A5958,"0")&amp;"|"&amp;TEXT(H5958,"0"))</f>
        <v/>
      </c>
      <c r="AA5958" t="str">
        <f>IF(Z5958="","",IFERROR(LOOKUP(2,1/(#REF!=Z5958),#REF!),""))</f>
        <v/>
      </c>
      <c r="AB5958" t="str">
        <f>IF(Z5958="","",IFERROR(LOOKUP(2,1/(#REF!=Z5958),#REF!),""))</f>
        <v/>
      </c>
      <c r="AC5958" t="str">
        <f>IF(Z5958="","",COUNTIF(#REF!,Z5958))</f>
        <v/>
      </c>
      <c r="AD5958" t="str">
        <f>IF(A5958="","",IF(AC5958&gt;1,"REVISAR DUPLICADO",IF(AA5958&lt;&gt;"","ACTUALIZADO POR EYR","SIN REPORTE EYR")))</f>
        <v/>
      </c>
    </row>
    <row r="5959" spans="11:30" x14ac:dyDescent="0.3">
      <c r="K5959" s="1" t="str">
        <f ca="1">IF(A5959="","",IF(OR(L5959="ENTREGADA",L5959="RETORNADA",L5959="ENTREGA DIGITAL"),0,MAX(0,5-NETWORKDAYS(H5959+1,TODAY()))))</f>
        <v/>
      </c>
      <c r="L5959" t="str">
        <f>IF(A5959="","",IFERROR(LOOKUP(2,1/(#REF!=Z5959),#REF!),Y5959))</f>
        <v/>
      </c>
      <c r="Z5959" t="str">
        <f>IF(A5959="","",TEXT(A5959,"0")&amp;"|"&amp;TEXT(H5959,"0"))</f>
        <v/>
      </c>
      <c r="AA5959" t="str">
        <f>IF(Z5959="","",IFERROR(LOOKUP(2,1/(#REF!=Z5959),#REF!),""))</f>
        <v/>
      </c>
      <c r="AB5959" t="str">
        <f>IF(Z5959="","",IFERROR(LOOKUP(2,1/(#REF!=Z5959),#REF!),""))</f>
        <v/>
      </c>
      <c r="AC5959" t="str">
        <f>IF(Z5959="","",COUNTIF(#REF!,Z5959))</f>
        <v/>
      </c>
      <c r="AD5959" t="str">
        <f>IF(A5959="","",IF(AC5959&gt;1,"REVISAR DUPLICADO",IF(AA5959&lt;&gt;"","ACTUALIZADO POR EYR","SIN REPORTE EYR")))</f>
        <v/>
      </c>
    </row>
    <row r="5960" spans="11:30" x14ac:dyDescent="0.3">
      <c r="K5960" s="1" t="str">
        <f ca="1">IF(A5960="","",IF(OR(L5960="ENTREGADA",L5960="RETORNADA",L5960="ENTREGA DIGITAL"),0,MAX(0,5-NETWORKDAYS(H5960+1,TODAY()))))</f>
        <v/>
      </c>
      <c r="L5960" t="str">
        <f>IF(A5960="","",IFERROR(LOOKUP(2,1/(#REF!=Z5960),#REF!),Y5960))</f>
        <v/>
      </c>
      <c r="Z5960" t="str">
        <f>IF(A5960="","",TEXT(A5960,"0")&amp;"|"&amp;TEXT(H5960,"0"))</f>
        <v/>
      </c>
      <c r="AA5960" t="str">
        <f>IF(Z5960="","",IFERROR(LOOKUP(2,1/(#REF!=Z5960),#REF!),""))</f>
        <v/>
      </c>
      <c r="AB5960" t="str">
        <f>IF(Z5960="","",IFERROR(LOOKUP(2,1/(#REF!=Z5960),#REF!),""))</f>
        <v/>
      </c>
      <c r="AC5960" t="str">
        <f>IF(Z5960="","",COUNTIF(#REF!,Z5960))</f>
        <v/>
      </c>
      <c r="AD5960" t="str">
        <f>IF(A5960="","",IF(AC5960&gt;1,"REVISAR DUPLICADO",IF(AA5960&lt;&gt;"","ACTUALIZADO POR EYR","SIN REPORTE EYR")))</f>
        <v/>
      </c>
    </row>
    <row r="5961" spans="11:30" x14ac:dyDescent="0.3">
      <c r="K5961" s="1" t="str">
        <f ca="1">IF(A5961="","",IF(OR(L5961="ENTREGADA",L5961="RETORNADA",L5961="ENTREGA DIGITAL"),0,MAX(0,5-NETWORKDAYS(H5961+1,TODAY()))))</f>
        <v/>
      </c>
      <c r="L5961" t="str">
        <f>IF(A5961="","",IFERROR(LOOKUP(2,1/(#REF!=Z5961),#REF!),Y5961))</f>
        <v/>
      </c>
      <c r="Z5961" t="str">
        <f>IF(A5961="","",TEXT(A5961,"0")&amp;"|"&amp;TEXT(H5961,"0"))</f>
        <v/>
      </c>
      <c r="AA5961" t="str">
        <f>IF(Z5961="","",IFERROR(LOOKUP(2,1/(#REF!=Z5961),#REF!),""))</f>
        <v/>
      </c>
      <c r="AB5961" t="str">
        <f>IF(Z5961="","",IFERROR(LOOKUP(2,1/(#REF!=Z5961),#REF!),""))</f>
        <v/>
      </c>
      <c r="AC5961" t="str">
        <f>IF(Z5961="","",COUNTIF(#REF!,Z5961))</f>
        <v/>
      </c>
      <c r="AD5961" t="str">
        <f>IF(A5961="","",IF(AC5961&gt;1,"REVISAR DUPLICADO",IF(AA5961&lt;&gt;"","ACTUALIZADO POR EYR","SIN REPORTE EYR")))</f>
        <v/>
      </c>
    </row>
    <row r="5962" spans="11:30" x14ac:dyDescent="0.3">
      <c r="K5962" s="1" t="str">
        <f ca="1">IF(A5962="","",IF(OR(L5962="ENTREGADA",L5962="RETORNADA",L5962="ENTREGA DIGITAL"),0,MAX(0,5-NETWORKDAYS(H5962+1,TODAY()))))</f>
        <v/>
      </c>
      <c r="L5962" t="str">
        <f>IF(A5962="","",IFERROR(LOOKUP(2,1/(#REF!=Z5962),#REF!),Y5962))</f>
        <v/>
      </c>
      <c r="Z5962" t="str">
        <f>IF(A5962="","",TEXT(A5962,"0")&amp;"|"&amp;TEXT(H5962,"0"))</f>
        <v/>
      </c>
      <c r="AA5962" t="str">
        <f>IF(Z5962="","",IFERROR(LOOKUP(2,1/(#REF!=Z5962),#REF!),""))</f>
        <v/>
      </c>
      <c r="AB5962" t="str">
        <f>IF(Z5962="","",IFERROR(LOOKUP(2,1/(#REF!=Z5962),#REF!),""))</f>
        <v/>
      </c>
      <c r="AC5962" t="str">
        <f>IF(Z5962="","",COUNTIF(#REF!,Z5962))</f>
        <v/>
      </c>
      <c r="AD5962" t="str">
        <f>IF(A5962="","",IF(AC5962&gt;1,"REVISAR DUPLICADO",IF(AA5962&lt;&gt;"","ACTUALIZADO POR EYR","SIN REPORTE EYR")))</f>
        <v/>
      </c>
    </row>
    <row r="5963" spans="11:30" x14ac:dyDescent="0.3">
      <c r="K5963" s="1" t="str">
        <f ca="1">IF(A5963="","",IF(OR(L5963="ENTREGADA",L5963="RETORNADA",L5963="ENTREGA DIGITAL"),0,MAX(0,5-NETWORKDAYS(H5963+1,TODAY()))))</f>
        <v/>
      </c>
      <c r="L5963" t="str">
        <f>IF(A5963="","",IFERROR(LOOKUP(2,1/(#REF!=Z5963),#REF!),Y5963))</f>
        <v/>
      </c>
      <c r="Z5963" t="str">
        <f>IF(A5963="","",TEXT(A5963,"0")&amp;"|"&amp;TEXT(H5963,"0"))</f>
        <v/>
      </c>
      <c r="AA5963" t="str">
        <f>IF(Z5963="","",IFERROR(LOOKUP(2,1/(#REF!=Z5963),#REF!),""))</f>
        <v/>
      </c>
      <c r="AB5963" t="str">
        <f>IF(Z5963="","",IFERROR(LOOKUP(2,1/(#REF!=Z5963),#REF!),""))</f>
        <v/>
      </c>
      <c r="AC5963" t="str">
        <f>IF(Z5963="","",COUNTIF(#REF!,Z5963))</f>
        <v/>
      </c>
      <c r="AD5963" t="str">
        <f>IF(A5963="","",IF(AC5963&gt;1,"REVISAR DUPLICADO",IF(AA5963&lt;&gt;"","ACTUALIZADO POR EYR","SIN REPORTE EYR")))</f>
        <v/>
      </c>
    </row>
    <row r="5964" spans="11:30" x14ac:dyDescent="0.3">
      <c r="K5964" s="1" t="str">
        <f ca="1">IF(A5964="","",IF(OR(L5964="ENTREGADA",L5964="RETORNADA",L5964="ENTREGA DIGITAL"),0,MAX(0,5-NETWORKDAYS(H5964+1,TODAY()))))</f>
        <v/>
      </c>
      <c r="L5964" t="str">
        <f>IF(A5964="","",IFERROR(LOOKUP(2,1/(#REF!=Z5964),#REF!),Y5964))</f>
        <v/>
      </c>
      <c r="Z5964" t="str">
        <f>IF(A5964="","",TEXT(A5964,"0")&amp;"|"&amp;TEXT(H5964,"0"))</f>
        <v/>
      </c>
      <c r="AA5964" t="str">
        <f>IF(Z5964="","",IFERROR(LOOKUP(2,1/(#REF!=Z5964),#REF!),""))</f>
        <v/>
      </c>
      <c r="AB5964" t="str">
        <f>IF(Z5964="","",IFERROR(LOOKUP(2,1/(#REF!=Z5964),#REF!),""))</f>
        <v/>
      </c>
      <c r="AC5964" t="str">
        <f>IF(Z5964="","",COUNTIF(#REF!,Z5964))</f>
        <v/>
      </c>
      <c r="AD5964" t="str">
        <f>IF(A5964="","",IF(AC5964&gt;1,"REVISAR DUPLICADO",IF(AA5964&lt;&gt;"","ACTUALIZADO POR EYR","SIN REPORTE EYR")))</f>
        <v/>
      </c>
    </row>
    <row r="5965" spans="11:30" x14ac:dyDescent="0.3">
      <c r="K5965" s="1" t="str">
        <f ca="1">IF(A5965="","",IF(OR(L5965="ENTREGADA",L5965="RETORNADA",L5965="ENTREGA DIGITAL"),0,MAX(0,5-NETWORKDAYS(H5965+1,TODAY()))))</f>
        <v/>
      </c>
      <c r="L5965" t="str">
        <f>IF(A5965="","",IFERROR(LOOKUP(2,1/(#REF!=Z5965),#REF!),Y5965))</f>
        <v/>
      </c>
      <c r="Z5965" t="str">
        <f>IF(A5965="","",TEXT(A5965,"0")&amp;"|"&amp;TEXT(H5965,"0"))</f>
        <v/>
      </c>
      <c r="AA5965" t="str">
        <f>IF(Z5965="","",IFERROR(LOOKUP(2,1/(#REF!=Z5965),#REF!),""))</f>
        <v/>
      </c>
      <c r="AB5965" t="str">
        <f>IF(Z5965="","",IFERROR(LOOKUP(2,1/(#REF!=Z5965),#REF!),""))</f>
        <v/>
      </c>
      <c r="AC5965" t="str">
        <f>IF(Z5965="","",COUNTIF(#REF!,Z5965))</f>
        <v/>
      </c>
      <c r="AD5965" t="str">
        <f>IF(A5965="","",IF(AC5965&gt;1,"REVISAR DUPLICADO",IF(AA5965&lt;&gt;"","ACTUALIZADO POR EYR","SIN REPORTE EYR")))</f>
        <v/>
      </c>
    </row>
    <row r="5966" spans="11:30" x14ac:dyDescent="0.3">
      <c r="K5966" s="1" t="str">
        <f ca="1">IF(A5966="","",IF(OR(L5966="ENTREGADA",L5966="RETORNADA",L5966="ENTREGA DIGITAL"),0,MAX(0,5-NETWORKDAYS(H5966+1,TODAY()))))</f>
        <v/>
      </c>
      <c r="L5966" t="str">
        <f>IF(A5966="","",IFERROR(LOOKUP(2,1/(#REF!=Z5966),#REF!),Y5966))</f>
        <v/>
      </c>
      <c r="Z5966" t="str">
        <f>IF(A5966="","",TEXT(A5966,"0")&amp;"|"&amp;TEXT(H5966,"0"))</f>
        <v/>
      </c>
      <c r="AA5966" t="str">
        <f>IF(Z5966="","",IFERROR(LOOKUP(2,1/(#REF!=Z5966),#REF!),""))</f>
        <v/>
      </c>
      <c r="AB5966" t="str">
        <f>IF(Z5966="","",IFERROR(LOOKUP(2,1/(#REF!=Z5966),#REF!),""))</f>
        <v/>
      </c>
      <c r="AC5966" t="str">
        <f>IF(Z5966="","",COUNTIF(#REF!,Z5966))</f>
        <v/>
      </c>
      <c r="AD5966" t="str">
        <f>IF(A5966="","",IF(AC5966&gt;1,"REVISAR DUPLICADO",IF(AA5966&lt;&gt;"","ACTUALIZADO POR EYR","SIN REPORTE EYR")))</f>
        <v/>
      </c>
    </row>
    <row r="5967" spans="11:30" x14ac:dyDescent="0.3">
      <c r="K5967" s="1" t="str">
        <f ca="1">IF(A5967="","",IF(OR(L5967="ENTREGADA",L5967="RETORNADA",L5967="ENTREGA DIGITAL"),0,MAX(0,5-NETWORKDAYS(H5967+1,TODAY()))))</f>
        <v/>
      </c>
      <c r="L5967" t="str">
        <f>IF(A5967="","",IFERROR(LOOKUP(2,1/(#REF!=Z5967),#REF!),Y5967))</f>
        <v/>
      </c>
      <c r="Z5967" t="str">
        <f>IF(A5967="","",TEXT(A5967,"0")&amp;"|"&amp;TEXT(H5967,"0"))</f>
        <v/>
      </c>
      <c r="AA5967" t="str">
        <f>IF(Z5967="","",IFERROR(LOOKUP(2,1/(#REF!=Z5967),#REF!),""))</f>
        <v/>
      </c>
      <c r="AB5967" t="str">
        <f>IF(Z5967="","",IFERROR(LOOKUP(2,1/(#REF!=Z5967),#REF!),""))</f>
        <v/>
      </c>
      <c r="AC5967" t="str">
        <f>IF(Z5967="","",COUNTIF(#REF!,Z5967))</f>
        <v/>
      </c>
      <c r="AD5967" t="str">
        <f>IF(A5967="","",IF(AC5967&gt;1,"REVISAR DUPLICADO",IF(AA5967&lt;&gt;"","ACTUALIZADO POR EYR","SIN REPORTE EYR")))</f>
        <v/>
      </c>
    </row>
    <row r="5968" spans="11:30" x14ac:dyDescent="0.3">
      <c r="K5968" s="1" t="str">
        <f ca="1">IF(A5968="","",IF(OR(L5968="ENTREGADA",L5968="RETORNADA",L5968="ENTREGA DIGITAL"),0,MAX(0,5-NETWORKDAYS(H5968+1,TODAY()))))</f>
        <v/>
      </c>
      <c r="L5968" t="str">
        <f>IF(A5968="","",IFERROR(LOOKUP(2,1/(#REF!=Z5968),#REF!),Y5968))</f>
        <v/>
      </c>
      <c r="Z5968" t="str">
        <f>IF(A5968="","",TEXT(A5968,"0")&amp;"|"&amp;TEXT(H5968,"0"))</f>
        <v/>
      </c>
      <c r="AA5968" t="str">
        <f>IF(Z5968="","",IFERROR(LOOKUP(2,1/(#REF!=Z5968),#REF!),""))</f>
        <v/>
      </c>
      <c r="AB5968" t="str">
        <f>IF(Z5968="","",IFERROR(LOOKUP(2,1/(#REF!=Z5968),#REF!),""))</f>
        <v/>
      </c>
      <c r="AC5968" t="str">
        <f>IF(Z5968="","",COUNTIF(#REF!,Z5968))</f>
        <v/>
      </c>
      <c r="AD5968" t="str">
        <f>IF(A5968="","",IF(AC5968&gt;1,"REVISAR DUPLICADO",IF(AA5968&lt;&gt;"","ACTUALIZADO POR EYR","SIN REPORTE EYR")))</f>
        <v/>
      </c>
    </row>
    <row r="5969" spans="11:30" x14ac:dyDescent="0.3">
      <c r="K5969" s="1" t="str">
        <f ca="1">IF(A5969="","",IF(OR(L5969="ENTREGADA",L5969="RETORNADA",L5969="ENTREGA DIGITAL"),0,MAX(0,5-NETWORKDAYS(H5969+1,TODAY()))))</f>
        <v/>
      </c>
      <c r="L5969" t="str">
        <f>IF(A5969="","",IFERROR(LOOKUP(2,1/(#REF!=Z5969),#REF!),Y5969))</f>
        <v/>
      </c>
      <c r="Z5969" t="str">
        <f>IF(A5969="","",TEXT(A5969,"0")&amp;"|"&amp;TEXT(H5969,"0"))</f>
        <v/>
      </c>
      <c r="AA5969" t="str">
        <f>IF(Z5969="","",IFERROR(LOOKUP(2,1/(#REF!=Z5969),#REF!),""))</f>
        <v/>
      </c>
      <c r="AB5969" t="str">
        <f>IF(Z5969="","",IFERROR(LOOKUP(2,1/(#REF!=Z5969),#REF!),""))</f>
        <v/>
      </c>
      <c r="AC5969" t="str">
        <f>IF(Z5969="","",COUNTIF(#REF!,Z5969))</f>
        <v/>
      </c>
      <c r="AD5969" t="str">
        <f>IF(A5969="","",IF(AC5969&gt;1,"REVISAR DUPLICADO",IF(AA5969&lt;&gt;"","ACTUALIZADO POR EYR","SIN REPORTE EYR")))</f>
        <v/>
      </c>
    </row>
    <row r="5970" spans="11:30" x14ac:dyDescent="0.3">
      <c r="K5970" s="1" t="str">
        <f ca="1">IF(A5970="","",IF(OR(L5970="ENTREGADA",L5970="RETORNADA",L5970="ENTREGA DIGITAL"),0,MAX(0,5-NETWORKDAYS(H5970+1,TODAY()))))</f>
        <v/>
      </c>
      <c r="L5970" t="str">
        <f>IF(A5970="","",IFERROR(LOOKUP(2,1/(#REF!=Z5970),#REF!),Y5970))</f>
        <v/>
      </c>
      <c r="Z5970" t="str">
        <f>IF(A5970="","",TEXT(A5970,"0")&amp;"|"&amp;TEXT(H5970,"0"))</f>
        <v/>
      </c>
      <c r="AA5970" t="str">
        <f>IF(Z5970="","",IFERROR(LOOKUP(2,1/(#REF!=Z5970),#REF!),""))</f>
        <v/>
      </c>
      <c r="AB5970" t="str">
        <f>IF(Z5970="","",IFERROR(LOOKUP(2,1/(#REF!=Z5970),#REF!),""))</f>
        <v/>
      </c>
      <c r="AC5970" t="str">
        <f>IF(Z5970="","",COUNTIF(#REF!,Z5970))</f>
        <v/>
      </c>
      <c r="AD5970" t="str">
        <f>IF(A5970="","",IF(AC5970&gt;1,"REVISAR DUPLICADO",IF(AA5970&lt;&gt;"","ACTUALIZADO POR EYR","SIN REPORTE EYR")))</f>
        <v/>
      </c>
    </row>
    <row r="5971" spans="11:30" x14ac:dyDescent="0.3">
      <c r="K5971" s="1" t="str">
        <f ca="1">IF(A5971="","",IF(OR(L5971="ENTREGADA",L5971="RETORNADA",L5971="ENTREGA DIGITAL"),0,MAX(0,5-NETWORKDAYS(H5971+1,TODAY()))))</f>
        <v/>
      </c>
      <c r="L5971" t="str">
        <f>IF(A5971="","",IFERROR(LOOKUP(2,1/(#REF!=Z5971),#REF!),Y5971))</f>
        <v/>
      </c>
      <c r="Z5971" t="str">
        <f>IF(A5971="","",TEXT(A5971,"0")&amp;"|"&amp;TEXT(H5971,"0"))</f>
        <v/>
      </c>
      <c r="AA5971" t="str">
        <f>IF(Z5971="","",IFERROR(LOOKUP(2,1/(#REF!=Z5971),#REF!),""))</f>
        <v/>
      </c>
      <c r="AB5971" t="str">
        <f>IF(Z5971="","",IFERROR(LOOKUP(2,1/(#REF!=Z5971),#REF!),""))</f>
        <v/>
      </c>
      <c r="AC5971" t="str">
        <f>IF(Z5971="","",COUNTIF(#REF!,Z5971))</f>
        <v/>
      </c>
      <c r="AD5971" t="str">
        <f>IF(A5971="","",IF(AC5971&gt;1,"REVISAR DUPLICADO",IF(AA5971&lt;&gt;"","ACTUALIZADO POR EYR","SIN REPORTE EYR")))</f>
        <v/>
      </c>
    </row>
    <row r="5972" spans="11:30" x14ac:dyDescent="0.3">
      <c r="K5972" s="1" t="str">
        <f ca="1">IF(A5972="","",IF(OR(L5972="ENTREGADA",L5972="RETORNADA",L5972="ENTREGA DIGITAL"),0,MAX(0,5-NETWORKDAYS(H5972+1,TODAY()))))</f>
        <v/>
      </c>
      <c r="L5972" t="str">
        <f>IF(A5972="","",IFERROR(LOOKUP(2,1/(#REF!=Z5972),#REF!),Y5972))</f>
        <v/>
      </c>
      <c r="Z5972" t="str">
        <f>IF(A5972="","",TEXT(A5972,"0")&amp;"|"&amp;TEXT(H5972,"0"))</f>
        <v/>
      </c>
      <c r="AA5972" t="str">
        <f>IF(Z5972="","",IFERROR(LOOKUP(2,1/(#REF!=Z5972),#REF!),""))</f>
        <v/>
      </c>
      <c r="AB5972" t="str">
        <f>IF(Z5972="","",IFERROR(LOOKUP(2,1/(#REF!=Z5972),#REF!),""))</f>
        <v/>
      </c>
      <c r="AC5972" t="str">
        <f>IF(Z5972="","",COUNTIF(#REF!,Z5972))</f>
        <v/>
      </c>
      <c r="AD5972" t="str">
        <f>IF(A5972="","",IF(AC5972&gt;1,"REVISAR DUPLICADO",IF(AA5972&lt;&gt;"","ACTUALIZADO POR EYR","SIN REPORTE EYR")))</f>
        <v/>
      </c>
    </row>
    <row r="5973" spans="11:30" x14ac:dyDescent="0.3">
      <c r="K5973" s="1" t="str">
        <f ca="1">IF(A5973="","",IF(OR(L5973="ENTREGADA",L5973="RETORNADA",L5973="ENTREGA DIGITAL"),0,MAX(0,5-NETWORKDAYS(H5973+1,TODAY()))))</f>
        <v/>
      </c>
      <c r="L5973" t="str">
        <f>IF(A5973="","",IFERROR(LOOKUP(2,1/(#REF!=Z5973),#REF!),Y5973))</f>
        <v/>
      </c>
      <c r="Z5973" t="str">
        <f>IF(A5973="","",TEXT(A5973,"0")&amp;"|"&amp;TEXT(H5973,"0"))</f>
        <v/>
      </c>
      <c r="AA5973" t="str">
        <f>IF(Z5973="","",IFERROR(LOOKUP(2,1/(#REF!=Z5973),#REF!),""))</f>
        <v/>
      </c>
      <c r="AB5973" t="str">
        <f>IF(Z5973="","",IFERROR(LOOKUP(2,1/(#REF!=Z5973),#REF!),""))</f>
        <v/>
      </c>
      <c r="AC5973" t="str">
        <f>IF(Z5973="","",COUNTIF(#REF!,Z5973))</f>
        <v/>
      </c>
      <c r="AD5973" t="str">
        <f>IF(A5973="","",IF(AC5973&gt;1,"REVISAR DUPLICADO",IF(AA5973&lt;&gt;"","ACTUALIZADO POR EYR","SIN REPORTE EYR")))</f>
        <v/>
      </c>
    </row>
    <row r="5974" spans="11:30" x14ac:dyDescent="0.3">
      <c r="K5974" s="1" t="str">
        <f ca="1">IF(A5974="","",IF(OR(L5974="ENTREGADA",L5974="RETORNADA",L5974="ENTREGA DIGITAL"),0,MAX(0,5-NETWORKDAYS(H5974+1,TODAY()))))</f>
        <v/>
      </c>
      <c r="L5974" t="str">
        <f>IF(A5974="","",IFERROR(LOOKUP(2,1/(#REF!=Z5974),#REF!),Y5974))</f>
        <v/>
      </c>
      <c r="Z5974" t="str">
        <f>IF(A5974="","",TEXT(A5974,"0")&amp;"|"&amp;TEXT(H5974,"0"))</f>
        <v/>
      </c>
      <c r="AA5974" t="str">
        <f>IF(Z5974="","",IFERROR(LOOKUP(2,1/(#REF!=Z5974),#REF!),""))</f>
        <v/>
      </c>
      <c r="AB5974" t="str">
        <f>IF(Z5974="","",IFERROR(LOOKUP(2,1/(#REF!=Z5974),#REF!),""))</f>
        <v/>
      </c>
      <c r="AC5974" t="str">
        <f>IF(Z5974="","",COUNTIF(#REF!,Z5974))</f>
        <v/>
      </c>
      <c r="AD5974" t="str">
        <f>IF(A5974="","",IF(AC5974&gt;1,"REVISAR DUPLICADO",IF(AA5974&lt;&gt;"","ACTUALIZADO POR EYR","SIN REPORTE EYR")))</f>
        <v/>
      </c>
    </row>
    <row r="5975" spans="11:30" x14ac:dyDescent="0.3">
      <c r="K5975" s="1" t="str">
        <f ca="1">IF(A5975="","",IF(OR(L5975="ENTREGADA",L5975="RETORNADA",L5975="ENTREGA DIGITAL"),0,MAX(0,5-NETWORKDAYS(H5975+1,TODAY()))))</f>
        <v/>
      </c>
      <c r="L5975" t="str">
        <f>IF(A5975="","",IFERROR(LOOKUP(2,1/(#REF!=Z5975),#REF!),Y5975))</f>
        <v/>
      </c>
      <c r="Z5975" t="str">
        <f>IF(A5975="","",TEXT(A5975,"0")&amp;"|"&amp;TEXT(H5975,"0"))</f>
        <v/>
      </c>
      <c r="AA5975" t="str">
        <f>IF(Z5975="","",IFERROR(LOOKUP(2,1/(#REF!=Z5975),#REF!),""))</f>
        <v/>
      </c>
      <c r="AB5975" t="str">
        <f>IF(Z5975="","",IFERROR(LOOKUP(2,1/(#REF!=Z5975),#REF!),""))</f>
        <v/>
      </c>
      <c r="AC5975" t="str">
        <f>IF(Z5975="","",COUNTIF(#REF!,Z5975))</f>
        <v/>
      </c>
      <c r="AD5975" t="str">
        <f>IF(A5975="","",IF(AC5975&gt;1,"REVISAR DUPLICADO",IF(AA5975&lt;&gt;"","ACTUALIZADO POR EYR","SIN REPORTE EYR")))</f>
        <v/>
      </c>
    </row>
    <row r="5976" spans="11:30" x14ac:dyDescent="0.3">
      <c r="K5976" s="1" t="str">
        <f ca="1">IF(A5976="","",IF(OR(L5976="ENTREGADA",L5976="RETORNADA",L5976="ENTREGA DIGITAL"),0,MAX(0,5-NETWORKDAYS(H5976+1,TODAY()))))</f>
        <v/>
      </c>
      <c r="L5976" t="str">
        <f>IF(A5976="","",IFERROR(LOOKUP(2,1/(#REF!=Z5976),#REF!),Y5976))</f>
        <v/>
      </c>
      <c r="Z5976" t="str">
        <f>IF(A5976="","",TEXT(A5976,"0")&amp;"|"&amp;TEXT(H5976,"0"))</f>
        <v/>
      </c>
      <c r="AA5976" t="str">
        <f>IF(Z5976="","",IFERROR(LOOKUP(2,1/(#REF!=Z5976),#REF!),""))</f>
        <v/>
      </c>
      <c r="AB5976" t="str">
        <f>IF(Z5976="","",IFERROR(LOOKUP(2,1/(#REF!=Z5976),#REF!),""))</f>
        <v/>
      </c>
      <c r="AC5976" t="str">
        <f>IF(Z5976="","",COUNTIF(#REF!,Z5976))</f>
        <v/>
      </c>
      <c r="AD5976" t="str">
        <f>IF(A5976="","",IF(AC5976&gt;1,"REVISAR DUPLICADO",IF(AA5976&lt;&gt;"","ACTUALIZADO POR EYR","SIN REPORTE EYR")))</f>
        <v/>
      </c>
    </row>
    <row r="5977" spans="11:30" x14ac:dyDescent="0.3">
      <c r="K5977" s="1" t="str">
        <f ca="1">IF(A5977="","",IF(OR(L5977="ENTREGADA",L5977="RETORNADA",L5977="ENTREGA DIGITAL"),0,MAX(0,5-NETWORKDAYS(H5977+1,TODAY()))))</f>
        <v/>
      </c>
      <c r="L5977" t="str">
        <f>IF(A5977="","",IFERROR(LOOKUP(2,1/(#REF!=Z5977),#REF!),Y5977))</f>
        <v/>
      </c>
      <c r="Z5977" t="str">
        <f>IF(A5977="","",TEXT(A5977,"0")&amp;"|"&amp;TEXT(H5977,"0"))</f>
        <v/>
      </c>
      <c r="AA5977" t="str">
        <f>IF(Z5977="","",IFERROR(LOOKUP(2,1/(#REF!=Z5977),#REF!),""))</f>
        <v/>
      </c>
      <c r="AB5977" t="str">
        <f>IF(Z5977="","",IFERROR(LOOKUP(2,1/(#REF!=Z5977),#REF!),""))</f>
        <v/>
      </c>
      <c r="AC5977" t="str">
        <f>IF(Z5977="","",COUNTIF(#REF!,Z5977))</f>
        <v/>
      </c>
      <c r="AD5977" t="str">
        <f>IF(A5977="","",IF(AC5977&gt;1,"REVISAR DUPLICADO",IF(AA5977&lt;&gt;"","ACTUALIZADO POR EYR","SIN REPORTE EYR")))</f>
        <v/>
      </c>
    </row>
    <row r="5978" spans="11:30" x14ac:dyDescent="0.3">
      <c r="K5978" s="1" t="str">
        <f ca="1">IF(A5978="","",IF(OR(L5978="ENTREGADA",L5978="RETORNADA",L5978="ENTREGA DIGITAL"),0,MAX(0,5-NETWORKDAYS(H5978+1,TODAY()))))</f>
        <v/>
      </c>
      <c r="L5978" t="str">
        <f>IF(A5978="","",IFERROR(LOOKUP(2,1/(#REF!=Z5978),#REF!),Y5978))</f>
        <v/>
      </c>
      <c r="Z5978" t="str">
        <f>IF(A5978="","",TEXT(A5978,"0")&amp;"|"&amp;TEXT(H5978,"0"))</f>
        <v/>
      </c>
      <c r="AA5978" t="str">
        <f>IF(Z5978="","",IFERROR(LOOKUP(2,1/(#REF!=Z5978),#REF!),""))</f>
        <v/>
      </c>
      <c r="AB5978" t="str">
        <f>IF(Z5978="","",IFERROR(LOOKUP(2,1/(#REF!=Z5978),#REF!),""))</f>
        <v/>
      </c>
      <c r="AC5978" t="str">
        <f>IF(Z5978="","",COUNTIF(#REF!,Z5978))</f>
        <v/>
      </c>
      <c r="AD5978" t="str">
        <f>IF(A5978="","",IF(AC5978&gt;1,"REVISAR DUPLICADO",IF(AA5978&lt;&gt;"","ACTUALIZADO POR EYR","SIN REPORTE EYR")))</f>
        <v/>
      </c>
    </row>
    <row r="5979" spans="11:30" x14ac:dyDescent="0.3">
      <c r="K5979" s="1" t="str">
        <f ca="1">IF(A5979="","",IF(OR(L5979="ENTREGADA",L5979="RETORNADA",L5979="ENTREGA DIGITAL"),0,MAX(0,5-NETWORKDAYS(H5979+1,TODAY()))))</f>
        <v/>
      </c>
      <c r="L5979" t="str">
        <f>IF(A5979="","",IFERROR(LOOKUP(2,1/(#REF!=Z5979),#REF!),Y5979))</f>
        <v/>
      </c>
      <c r="Z5979" t="str">
        <f>IF(A5979="","",TEXT(A5979,"0")&amp;"|"&amp;TEXT(H5979,"0"))</f>
        <v/>
      </c>
      <c r="AA5979" t="str">
        <f>IF(Z5979="","",IFERROR(LOOKUP(2,1/(#REF!=Z5979),#REF!),""))</f>
        <v/>
      </c>
      <c r="AB5979" t="str">
        <f>IF(Z5979="","",IFERROR(LOOKUP(2,1/(#REF!=Z5979),#REF!),""))</f>
        <v/>
      </c>
      <c r="AC5979" t="str">
        <f>IF(Z5979="","",COUNTIF(#REF!,Z5979))</f>
        <v/>
      </c>
      <c r="AD5979" t="str">
        <f>IF(A5979="","",IF(AC5979&gt;1,"REVISAR DUPLICADO",IF(AA5979&lt;&gt;"","ACTUALIZADO POR EYR","SIN REPORTE EYR")))</f>
        <v/>
      </c>
    </row>
    <row r="5980" spans="11:30" x14ac:dyDescent="0.3">
      <c r="K5980" s="1" t="str">
        <f ca="1">IF(A5980="","",IF(OR(L5980="ENTREGADA",L5980="RETORNADA",L5980="ENTREGA DIGITAL"),0,MAX(0,5-NETWORKDAYS(H5980+1,TODAY()))))</f>
        <v/>
      </c>
      <c r="L5980" t="str">
        <f>IF(A5980="","",IFERROR(LOOKUP(2,1/(#REF!=Z5980),#REF!),Y5980))</f>
        <v/>
      </c>
      <c r="Z5980" t="str">
        <f>IF(A5980="","",TEXT(A5980,"0")&amp;"|"&amp;TEXT(H5980,"0"))</f>
        <v/>
      </c>
      <c r="AA5980" t="str">
        <f>IF(Z5980="","",IFERROR(LOOKUP(2,1/(#REF!=Z5980),#REF!),""))</f>
        <v/>
      </c>
      <c r="AB5980" t="str">
        <f>IF(Z5980="","",IFERROR(LOOKUP(2,1/(#REF!=Z5980),#REF!),""))</f>
        <v/>
      </c>
      <c r="AC5980" t="str">
        <f>IF(Z5980="","",COUNTIF(#REF!,Z5980))</f>
        <v/>
      </c>
      <c r="AD5980" t="str">
        <f>IF(A5980="","",IF(AC5980&gt;1,"REVISAR DUPLICADO",IF(AA5980&lt;&gt;"","ACTUALIZADO POR EYR","SIN REPORTE EYR")))</f>
        <v/>
      </c>
    </row>
    <row r="5981" spans="11:30" x14ac:dyDescent="0.3">
      <c r="K5981" s="1" t="str">
        <f ca="1">IF(A5981="","",IF(OR(L5981="ENTREGADA",L5981="RETORNADA",L5981="ENTREGA DIGITAL"),0,MAX(0,5-NETWORKDAYS(H5981+1,TODAY()))))</f>
        <v/>
      </c>
      <c r="L5981" t="str">
        <f>IF(A5981="","",IFERROR(LOOKUP(2,1/(#REF!=Z5981),#REF!),Y5981))</f>
        <v/>
      </c>
      <c r="Z5981" t="str">
        <f>IF(A5981="","",TEXT(A5981,"0")&amp;"|"&amp;TEXT(H5981,"0"))</f>
        <v/>
      </c>
      <c r="AA5981" t="str">
        <f>IF(Z5981="","",IFERROR(LOOKUP(2,1/(#REF!=Z5981),#REF!),""))</f>
        <v/>
      </c>
      <c r="AB5981" t="str">
        <f>IF(Z5981="","",IFERROR(LOOKUP(2,1/(#REF!=Z5981),#REF!),""))</f>
        <v/>
      </c>
      <c r="AC5981" t="str">
        <f>IF(Z5981="","",COUNTIF(#REF!,Z5981))</f>
        <v/>
      </c>
      <c r="AD5981" t="str">
        <f>IF(A5981="","",IF(AC5981&gt;1,"REVISAR DUPLICADO",IF(AA5981&lt;&gt;"","ACTUALIZADO POR EYR","SIN REPORTE EYR")))</f>
        <v/>
      </c>
    </row>
    <row r="5982" spans="11:30" x14ac:dyDescent="0.3">
      <c r="K5982" s="1" t="str">
        <f ca="1">IF(A5982="","",IF(OR(L5982="ENTREGADA",L5982="RETORNADA",L5982="ENTREGA DIGITAL"),0,MAX(0,5-NETWORKDAYS(H5982+1,TODAY()))))</f>
        <v/>
      </c>
      <c r="L5982" t="str">
        <f>IF(A5982="","",IFERROR(LOOKUP(2,1/(#REF!=Z5982),#REF!),Y5982))</f>
        <v/>
      </c>
      <c r="Z5982" t="str">
        <f>IF(A5982="","",TEXT(A5982,"0")&amp;"|"&amp;TEXT(H5982,"0"))</f>
        <v/>
      </c>
      <c r="AA5982" t="str">
        <f>IF(Z5982="","",IFERROR(LOOKUP(2,1/(#REF!=Z5982),#REF!),""))</f>
        <v/>
      </c>
      <c r="AB5982" t="str">
        <f>IF(Z5982="","",IFERROR(LOOKUP(2,1/(#REF!=Z5982),#REF!),""))</f>
        <v/>
      </c>
      <c r="AC5982" t="str">
        <f>IF(Z5982="","",COUNTIF(#REF!,Z5982))</f>
        <v/>
      </c>
      <c r="AD5982" t="str">
        <f>IF(A5982="","",IF(AC5982&gt;1,"REVISAR DUPLICADO",IF(AA5982&lt;&gt;"","ACTUALIZADO POR EYR","SIN REPORTE EYR")))</f>
        <v/>
      </c>
    </row>
    <row r="5983" spans="11:30" x14ac:dyDescent="0.3">
      <c r="K5983" s="1" t="str">
        <f ca="1">IF(A5983="","",IF(OR(L5983="ENTREGADA",L5983="RETORNADA",L5983="ENTREGA DIGITAL"),0,MAX(0,5-NETWORKDAYS(H5983+1,TODAY()))))</f>
        <v/>
      </c>
      <c r="L5983" t="str">
        <f>IF(A5983="","",IFERROR(LOOKUP(2,1/(#REF!=Z5983),#REF!),Y5983))</f>
        <v/>
      </c>
      <c r="Z5983" t="str">
        <f>IF(A5983="","",TEXT(A5983,"0")&amp;"|"&amp;TEXT(H5983,"0"))</f>
        <v/>
      </c>
      <c r="AA5983" t="str">
        <f>IF(Z5983="","",IFERROR(LOOKUP(2,1/(#REF!=Z5983),#REF!),""))</f>
        <v/>
      </c>
      <c r="AB5983" t="str">
        <f>IF(Z5983="","",IFERROR(LOOKUP(2,1/(#REF!=Z5983),#REF!),""))</f>
        <v/>
      </c>
      <c r="AC5983" t="str">
        <f>IF(Z5983="","",COUNTIF(#REF!,Z5983))</f>
        <v/>
      </c>
      <c r="AD5983" t="str">
        <f>IF(A5983="","",IF(AC5983&gt;1,"REVISAR DUPLICADO",IF(AA5983&lt;&gt;"","ACTUALIZADO POR EYR","SIN REPORTE EYR")))</f>
        <v/>
      </c>
    </row>
    <row r="5984" spans="11:30" x14ac:dyDescent="0.3">
      <c r="K5984" s="1" t="str">
        <f ca="1">IF(A5984="","",IF(OR(L5984="ENTREGADA",L5984="RETORNADA",L5984="ENTREGA DIGITAL"),0,MAX(0,5-NETWORKDAYS(H5984+1,TODAY()))))</f>
        <v/>
      </c>
      <c r="L5984" t="str">
        <f>IF(A5984="","",IFERROR(LOOKUP(2,1/(#REF!=Z5984),#REF!),Y5984))</f>
        <v/>
      </c>
      <c r="Z5984" t="str">
        <f>IF(A5984="","",TEXT(A5984,"0")&amp;"|"&amp;TEXT(H5984,"0"))</f>
        <v/>
      </c>
      <c r="AA5984" t="str">
        <f>IF(Z5984="","",IFERROR(LOOKUP(2,1/(#REF!=Z5984),#REF!),""))</f>
        <v/>
      </c>
      <c r="AB5984" t="str">
        <f>IF(Z5984="","",IFERROR(LOOKUP(2,1/(#REF!=Z5984),#REF!),""))</f>
        <v/>
      </c>
      <c r="AC5984" t="str">
        <f>IF(Z5984="","",COUNTIF(#REF!,Z5984))</f>
        <v/>
      </c>
      <c r="AD5984" t="str">
        <f>IF(A5984="","",IF(AC5984&gt;1,"REVISAR DUPLICADO",IF(AA5984&lt;&gt;"","ACTUALIZADO POR EYR","SIN REPORTE EYR")))</f>
        <v/>
      </c>
    </row>
    <row r="5985" spans="11:30" x14ac:dyDescent="0.3">
      <c r="K5985" s="1" t="str">
        <f ca="1">IF(A5985="","",IF(OR(L5985="ENTREGADA",L5985="RETORNADA",L5985="ENTREGA DIGITAL"),0,MAX(0,5-NETWORKDAYS(H5985+1,TODAY()))))</f>
        <v/>
      </c>
      <c r="L5985" t="str">
        <f>IF(A5985="","",IFERROR(LOOKUP(2,1/(#REF!=Z5985),#REF!),Y5985))</f>
        <v/>
      </c>
      <c r="Z5985" t="str">
        <f>IF(A5985="","",TEXT(A5985,"0")&amp;"|"&amp;TEXT(H5985,"0"))</f>
        <v/>
      </c>
      <c r="AA5985" t="str">
        <f>IF(Z5985="","",IFERROR(LOOKUP(2,1/(#REF!=Z5985),#REF!),""))</f>
        <v/>
      </c>
      <c r="AB5985" t="str">
        <f>IF(Z5985="","",IFERROR(LOOKUP(2,1/(#REF!=Z5985),#REF!),""))</f>
        <v/>
      </c>
      <c r="AC5985" t="str">
        <f>IF(Z5985="","",COUNTIF(#REF!,Z5985))</f>
        <v/>
      </c>
      <c r="AD5985" t="str">
        <f>IF(A5985="","",IF(AC5985&gt;1,"REVISAR DUPLICADO",IF(AA5985&lt;&gt;"","ACTUALIZADO POR EYR","SIN REPORTE EYR")))</f>
        <v/>
      </c>
    </row>
    <row r="5986" spans="11:30" x14ac:dyDescent="0.3">
      <c r="K5986" s="1" t="str">
        <f ca="1">IF(A5986="","",IF(OR(L5986="ENTREGADA",L5986="RETORNADA",L5986="ENTREGA DIGITAL"),0,MAX(0,5-NETWORKDAYS(H5986+1,TODAY()))))</f>
        <v/>
      </c>
      <c r="L5986" t="str">
        <f>IF(A5986="","",IFERROR(LOOKUP(2,1/(#REF!=Z5986),#REF!),Y5986))</f>
        <v/>
      </c>
      <c r="Z5986" t="str">
        <f>IF(A5986="","",TEXT(A5986,"0")&amp;"|"&amp;TEXT(H5986,"0"))</f>
        <v/>
      </c>
      <c r="AA5986" t="str">
        <f>IF(Z5986="","",IFERROR(LOOKUP(2,1/(#REF!=Z5986),#REF!),""))</f>
        <v/>
      </c>
      <c r="AB5986" t="str">
        <f>IF(Z5986="","",IFERROR(LOOKUP(2,1/(#REF!=Z5986),#REF!),""))</f>
        <v/>
      </c>
      <c r="AC5986" t="str">
        <f>IF(Z5986="","",COUNTIF(#REF!,Z5986))</f>
        <v/>
      </c>
      <c r="AD5986" t="str">
        <f>IF(A5986="","",IF(AC5986&gt;1,"REVISAR DUPLICADO",IF(AA5986&lt;&gt;"","ACTUALIZADO POR EYR","SIN REPORTE EYR")))</f>
        <v/>
      </c>
    </row>
    <row r="5987" spans="11:30" x14ac:dyDescent="0.3">
      <c r="K5987" s="1" t="str">
        <f ca="1">IF(A5987="","",IF(OR(L5987="ENTREGADA",L5987="RETORNADA",L5987="ENTREGA DIGITAL"),0,MAX(0,5-NETWORKDAYS(H5987+1,TODAY()))))</f>
        <v/>
      </c>
      <c r="L5987" t="str">
        <f>IF(A5987="","",IFERROR(LOOKUP(2,1/(#REF!=Z5987),#REF!),Y5987))</f>
        <v/>
      </c>
      <c r="Z5987" t="str">
        <f>IF(A5987="","",TEXT(A5987,"0")&amp;"|"&amp;TEXT(H5987,"0"))</f>
        <v/>
      </c>
      <c r="AA5987" t="str">
        <f>IF(Z5987="","",IFERROR(LOOKUP(2,1/(#REF!=Z5987),#REF!),""))</f>
        <v/>
      </c>
      <c r="AB5987" t="str">
        <f>IF(Z5987="","",IFERROR(LOOKUP(2,1/(#REF!=Z5987),#REF!),""))</f>
        <v/>
      </c>
      <c r="AC5987" t="str">
        <f>IF(Z5987="","",COUNTIF(#REF!,Z5987))</f>
        <v/>
      </c>
      <c r="AD5987" t="str">
        <f>IF(A5987="","",IF(AC5987&gt;1,"REVISAR DUPLICADO",IF(AA5987&lt;&gt;"","ACTUALIZADO POR EYR","SIN REPORTE EYR")))</f>
        <v/>
      </c>
    </row>
    <row r="5988" spans="11:30" x14ac:dyDescent="0.3">
      <c r="K5988" s="1" t="str">
        <f ca="1">IF(A5988="","",IF(OR(L5988="ENTREGADA",L5988="RETORNADA",L5988="ENTREGA DIGITAL"),0,MAX(0,5-NETWORKDAYS(H5988+1,TODAY()))))</f>
        <v/>
      </c>
      <c r="L5988" t="str">
        <f>IF(A5988="","",IFERROR(LOOKUP(2,1/(#REF!=Z5988),#REF!),Y5988))</f>
        <v/>
      </c>
      <c r="Z5988" t="str">
        <f>IF(A5988="","",TEXT(A5988,"0")&amp;"|"&amp;TEXT(H5988,"0"))</f>
        <v/>
      </c>
      <c r="AA5988" t="str">
        <f>IF(Z5988="","",IFERROR(LOOKUP(2,1/(#REF!=Z5988),#REF!),""))</f>
        <v/>
      </c>
      <c r="AB5988" t="str">
        <f>IF(Z5988="","",IFERROR(LOOKUP(2,1/(#REF!=Z5988),#REF!),""))</f>
        <v/>
      </c>
      <c r="AC5988" t="str">
        <f>IF(Z5988="","",COUNTIF(#REF!,Z5988))</f>
        <v/>
      </c>
      <c r="AD5988" t="str">
        <f>IF(A5988="","",IF(AC5988&gt;1,"REVISAR DUPLICADO",IF(AA5988&lt;&gt;"","ACTUALIZADO POR EYR","SIN REPORTE EYR")))</f>
        <v/>
      </c>
    </row>
    <row r="5989" spans="11:30" x14ac:dyDescent="0.3">
      <c r="K5989" s="1" t="str">
        <f ca="1">IF(A5989="","",IF(OR(L5989="ENTREGADA",L5989="RETORNADA",L5989="ENTREGA DIGITAL"),0,MAX(0,5-NETWORKDAYS(H5989+1,TODAY()))))</f>
        <v/>
      </c>
      <c r="L5989" t="str">
        <f>IF(A5989="","",IFERROR(LOOKUP(2,1/(#REF!=Z5989),#REF!),Y5989))</f>
        <v/>
      </c>
      <c r="Z5989" t="str">
        <f>IF(A5989="","",TEXT(A5989,"0")&amp;"|"&amp;TEXT(H5989,"0"))</f>
        <v/>
      </c>
      <c r="AA5989" t="str">
        <f>IF(Z5989="","",IFERROR(LOOKUP(2,1/(#REF!=Z5989),#REF!),""))</f>
        <v/>
      </c>
      <c r="AB5989" t="str">
        <f>IF(Z5989="","",IFERROR(LOOKUP(2,1/(#REF!=Z5989),#REF!),""))</f>
        <v/>
      </c>
      <c r="AC5989" t="str">
        <f>IF(Z5989="","",COUNTIF(#REF!,Z5989))</f>
        <v/>
      </c>
      <c r="AD5989" t="str">
        <f>IF(A5989="","",IF(AC5989&gt;1,"REVISAR DUPLICADO",IF(AA5989&lt;&gt;"","ACTUALIZADO POR EYR","SIN REPORTE EYR")))</f>
        <v/>
      </c>
    </row>
    <row r="5990" spans="11:30" x14ac:dyDescent="0.3">
      <c r="K5990" s="1" t="str">
        <f ca="1">IF(A5990="","",IF(OR(L5990="ENTREGADA",L5990="RETORNADA",L5990="ENTREGA DIGITAL"),0,MAX(0,5-NETWORKDAYS(H5990+1,TODAY()))))</f>
        <v/>
      </c>
      <c r="L5990" t="str">
        <f>IF(A5990="","",IFERROR(LOOKUP(2,1/(#REF!=Z5990),#REF!),Y5990))</f>
        <v/>
      </c>
      <c r="Z5990" t="str">
        <f>IF(A5990="","",TEXT(A5990,"0")&amp;"|"&amp;TEXT(H5990,"0"))</f>
        <v/>
      </c>
      <c r="AA5990" t="str">
        <f>IF(Z5990="","",IFERROR(LOOKUP(2,1/(#REF!=Z5990),#REF!),""))</f>
        <v/>
      </c>
      <c r="AB5990" t="str">
        <f>IF(Z5990="","",IFERROR(LOOKUP(2,1/(#REF!=Z5990),#REF!),""))</f>
        <v/>
      </c>
      <c r="AC5990" t="str">
        <f>IF(Z5990="","",COUNTIF(#REF!,Z5990))</f>
        <v/>
      </c>
      <c r="AD5990" t="str">
        <f>IF(A5990="","",IF(AC5990&gt;1,"REVISAR DUPLICADO",IF(AA5990&lt;&gt;"","ACTUALIZADO POR EYR","SIN REPORTE EYR")))</f>
        <v/>
      </c>
    </row>
    <row r="5991" spans="11:30" x14ac:dyDescent="0.3">
      <c r="K5991" s="1" t="str">
        <f ca="1">IF(A5991="","",IF(OR(L5991="ENTREGADA",L5991="RETORNADA",L5991="ENTREGA DIGITAL"),0,MAX(0,5-NETWORKDAYS(H5991+1,TODAY()))))</f>
        <v/>
      </c>
      <c r="L5991" t="str">
        <f>IF(A5991="","",IFERROR(LOOKUP(2,1/(#REF!=Z5991),#REF!),Y5991))</f>
        <v/>
      </c>
      <c r="Z5991" t="str">
        <f>IF(A5991="","",TEXT(A5991,"0")&amp;"|"&amp;TEXT(H5991,"0"))</f>
        <v/>
      </c>
      <c r="AA5991" t="str">
        <f>IF(Z5991="","",IFERROR(LOOKUP(2,1/(#REF!=Z5991),#REF!),""))</f>
        <v/>
      </c>
      <c r="AB5991" t="str">
        <f>IF(Z5991="","",IFERROR(LOOKUP(2,1/(#REF!=Z5991),#REF!),""))</f>
        <v/>
      </c>
      <c r="AC5991" t="str">
        <f>IF(Z5991="","",COUNTIF(#REF!,Z5991))</f>
        <v/>
      </c>
      <c r="AD5991" t="str">
        <f>IF(A5991="","",IF(AC5991&gt;1,"REVISAR DUPLICADO",IF(AA5991&lt;&gt;"","ACTUALIZADO POR EYR","SIN REPORTE EYR")))</f>
        <v/>
      </c>
    </row>
    <row r="5992" spans="11:30" x14ac:dyDescent="0.3">
      <c r="K5992" s="1" t="str">
        <f ca="1">IF(A5992="","",IF(OR(L5992="ENTREGADA",L5992="RETORNADA",L5992="ENTREGA DIGITAL"),0,MAX(0,5-NETWORKDAYS(H5992+1,TODAY()))))</f>
        <v/>
      </c>
      <c r="L5992" t="str">
        <f>IF(A5992="","",IFERROR(LOOKUP(2,1/(#REF!=Z5992),#REF!),Y5992))</f>
        <v/>
      </c>
      <c r="Z5992" t="str">
        <f>IF(A5992="","",TEXT(A5992,"0")&amp;"|"&amp;TEXT(H5992,"0"))</f>
        <v/>
      </c>
      <c r="AA5992" t="str">
        <f>IF(Z5992="","",IFERROR(LOOKUP(2,1/(#REF!=Z5992),#REF!),""))</f>
        <v/>
      </c>
      <c r="AB5992" t="str">
        <f>IF(Z5992="","",IFERROR(LOOKUP(2,1/(#REF!=Z5992),#REF!),""))</f>
        <v/>
      </c>
      <c r="AC5992" t="str">
        <f>IF(Z5992="","",COUNTIF(#REF!,Z5992))</f>
        <v/>
      </c>
      <c r="AD5992" t="str">
        <f>IF(A5992="","",IF(AC5992&gt;1,"REVISAR DUPLICADO",IF(AA5992&lt;&gt;"","ACTUALIZADO POR EYR","SIN REPORTE EYR")))</f>
        <v/>
      </c>
    </row>
    <row r="5993" spans="11:30" x14ac:dyDescent="0.3">
      <c r="K5993" s="1" t="str">
        <f ca="1">IF(A5993="","",IF(OR(L5993="ENTREGADA",L5993="RETORNADA",L5993="ENTREGA DIGITAL"),0,MAX(0,5-NETWORKDAYS(H5993+1,TODAY()))))</f>
        <v/>
      </c>
      <c r="L5993" t="str">
        <f>IF(A5993="","",IFERROR(LOOKUP(2,1/(#REF!=Z5993),#REF!),Y5993))</f>
        <v/>
      </c>
      <c r="Z5993" t="str">
        <f>IF(A5993="","",TEXT(A5993,"0")&amp;"|"&amp;TEXT(H5993,"0"))</f>
        <v/>
      </c>
      <c r="AA5993" t="str">
        <f>IF(Z5993="","",IFERROR(LOOKUP(2,1/(#REF!=Z5993),#REF!),""))</f>
        <v/>
      </c>
      <c r="AB5993" t="str">
        <f>IF(Z5993="","",IFERROR(LOOKUP(2,1/(#REF!=Z5993),#REF!),""))</f>
        <v/>
      </c>
      <c r="AC5993" t="str">
        <f>IF(Z5993="","",COUNTIF(#REF!,Z5993))</f>
        <v/>
      </c>
      <c r="AD5993" t="str">
        <f>IF(A5993="","",IF(AC5993&gt;1,"REVISAR DUPLICADO",IF(AA5993&lt;&gt;"","ACTUALIZADO POR EYR","SIN REPORTE EYR")))</f>
        <v/>
      </c>
    </row>
    <row r="5994" spans="11:30" x14ac:dyDescent="0.3">
      <c r="K5994" s="1" t="str">
        <f ca="1">IF(A5994="","",IF(OR(L5994="ENTREGADA",L5994="RETORNADA",L5994="ENTREGA DIGITAL"),0,MAX(0,5-NETWORKDAYS(H5994+1,TODAY()))))</f>
        <v/>
      </c>
      <c r="L5994" t="str">
        <f>IF(A5994="","",IFERROR(LOOKUP(2,1/(#REF!=Z5994),#REF!),Y5994))</f>
        <v/>
      </c>
      <c r="Z5994" t="str">
        <f>IF(A5994="","",TEXT(A5994,"0")&amp;"|"&amp;TEXT(H5994,"0"))</f>
        <v/>
      </c>
      <c r="AA5994" t="str">
        <f>IF(Z5994="","",IFERROR(LOOKUP(2,1/(#REF!=Z5994),#REF!),""))</f>
        <v/>
      </c>
      <c r="AB5994" t="str">
        <f>IF(Z5994="","",IFERROR(LOOKUP(2,1/(#REF!=Z5994),#REF!),""))</f>
        <v/>
      </c>
      <c r="AC5994" t="str">
        <f>IF(Z5994="","",COUNTIF(#REF!,Z5994))</f>
        <v/>
      </c>
      <c r="AD5994" t="str">
        <f>IF(A5994="","",IF(AC5994&gt;1,"REVISAR DUPLICADO",IF(AA5994&lt;&gt;"","ACTUALIZADO POR EYR","SIN REPORTE EYR")))</f>
        <v/>
      </c>
    </row>
    <row r="5995" spans="11:30" x14ac:dyDescent="0.3">
      <c r="K5995" s="1" t="str">
        <f ca="1">IF(A5995="","",IF(OR(L5995="ENTREGADA",L5995="RETORNADA",L5995="ENTREGA DIGITAL"),0,MAX(0,5-NETWORKDAYS(H5995+1,TODAY()))))</f>
        <v/>
      </c>
      <c r="L5995" t="str">
        <f>IF(A5995="","",IFERROR(LOOKUP(2,1/(#REF!=Z5995),#REF!),Y5995))</f>
        <v/>
      </c>
      <c r="Z5995" t="str">
        <f>IF(A5995="","",TEXT(A5995,"0")&amp;"|"&amp;TEXT(H5995,"0"))</f>
        <v/>
      </c>
      <c r="AA5995" t="str">
        <f>IF(Z5995="","",IFERROR(LOOKUP(2,1/(#REF!=Z5995),#REF!),""))</f>
        <v/>
      </c>
      <c r="AB5995" t="str">
        <f>IF(Z5995="","",IFERROR(LOOKUP(2,1/(#REF!=Z5995),#REF!),""))</f>
        <v/>
      </c>
      <c r="AC5995" t="str">
        <f>IF(Z5995="","",COUNTIF(#REF!,Z5995))</f>
        <v/>
      </c>
      <c r="AD5995" t="str">
        <f>IF(A5995="","",IF(AC5995&gt;1,"REVISAR DUPLICADO",IF(AA5995&lt;&gt;"","ACTUALIZADO POR EYR","SIN REPORTE EYR")))</f>
        <v/>
      </c>
    </row>
    <row r="5996" spans="11:30" x14ac:dyDescent="0.3">
      <c r="K5996" s="1" t="str">
        <f ca="1">IF(A5996="","",IF(OR(L5996="ENTREGADA",L5996="RETORNADA",L5996="ENTREGA DIGITAL"),0,MAX(0,5-NETWORKDAYS(H5996+1,TODAY()))))</f>
        <v/>
      </c>
      <c r="L5996" t="str">
        <f>IF(A5996="","",IFERROR(LOOKUP(2,1/(#REF!=Z5996),#REF!),Y5996))</f>
        <v/>
      </c>
      <c r="Z5996" t="str">
        <f>IF(A5996="","",TEXT(A5996,"0")&amp;"|"&amp;TEXT(H5996,"0"))</f>
        <v/>
      </c>
      <c r="AA5996" t="str">
        <f>IF(Z5996="","",IFERROR(LOOKUP(2,1/(#REF!=Z5996),#REF!),""))</f>
        <v/>
      </c>
      <c r="AB5996" t="str">
        <f>IF(Z5996="","",IFERROR(LOOKUP(2,1/(#REF!=Z5996),#REF!),""))</f>
        <v/>
      </c>
      <c r="AC5996" t="str">
        <f>IF(Z5996="","",COUNTIF(#REF!,Z5996))</f>
        <v/>
      </c>
      <c r="AD5996" t="str">
        <f>IF(A5996="","",IF(AC5996&gt;1,"REVISAR DUPLICADO",IF(AA5996&lt;&gt;"","ACTUALIZADO POR EYR","SIN REPORTE EYR")))</f>
        <v/>
      </c>
    </row>
    <row r="5997" spans="11:30" x14ac:dyDescent="0.3">
      <c r="K5997" s="1" t="str">
        <f ca="1">IF(A5997="","",IF(OR(L5997="ENTREGADA",L5997="RETORNADA",L5997="ENTREGA DIGITAL"),0,MAX(0,5-NETWORKDAYS(H5997+1,TODAY()))))</f>
        <v/>
      </c>
      <c r="L5997" t="str">
        <f>IF(A5997="","",IFERROR(LOOKUP(2,1/(#REF!=Z5997),#REF!),Y5997))</f>
        <v/>
      </c>
      <c r="Z5997" t="str">
        <f>IF(A5997="","",TEXT(A5997,"0")&amp;"|"&amp;TEXT(H5997,"0"))</f>
        <v/>
      </c>
      <c r="AA5997" t="str">
        <f>IF(Z5997="","",IFERROR(LOOKUP(2,1/(#REF!=Z5997),#REF!),""))</f>
        <v/>
      </c>
      <c r="AB5997" t="str">
        <f>IF(Z5997="","",IFERROR(LOOKUP(2,1/(#REF!=Z5997),#REF!),""))</f>
        <v/>
      </c>
      <c r="AC5997" t="str">
        <f>IF(Z5997="","",COUNTIF(#REF!,Z5997))</f>
        <v/>
      </c>
      <c r="AD5997" t="str">
        <f>IF(A5997="","",IF(AC5997&gt;1,"REVISAR DUPLICADO",IF(AA5997&lt;&gt;"","ACTUALIZADO POR EYR","SIN REPORTE EYR")))</f>
        <v/>
      </c>
    </row>
    <row r="5998" spans="11:30" x14ac:dyDescent="0.3">
      <c r="K5998" s="1" t="str">
        <f ca="1">IF(A5998="","",IF(OR(L5998="ENTREGADA",L5998="RETORNADA",L5998="ENTREGA DIGITAL"),0,MAX(0,5-NETWORKDAYS(H5998+1,TODAY()))))</f>
        <v/>
      </c>
      <c r="L5998" t="str">
        <f>IF(A5998="","",IFERROR(LOOKUP(2,1/(#REF!=Z5998),#REF!),Y5998))</f>
        <v/>
      </c>
      <c r="Z5998" t="str">
        <f>IF(A5998="","",TEXT(A5998,"0")&amp;"|"&amp;TEXT(H5998,"0"))</f>
        <v/>
      </c>
      <c r="AA5998" t="str">
        <f>IF(Z5998="","",IFERROR(LOOKUP(2,1/(#REF!=Z5998),#REF!),""))</f>
        <v/>
      </c>
      <c r="AB5998" t="str">
        <f>IF(Z5998="","",IFERROR(LOOKUP(2,1/(#REF!=Z5998),#REF!),""))</f>
        <v/>
      </c>
      <c r="AC5998" t="str">
        <f>IF(Z5998="","",COUNTIF(#REF!,Z5998))</f>
        <v/>
      </c>
      <c r="AD5998" t="str">
        <f>IF(A5998="","",IF(AC5998&gt;1,"REVISAR DUPLICADO",IF(AA5998&lt;&gt;"","ACTUALIZADO POR EYR","SIN REPORTE EYR")))</f>
        <v/>
      </c>
    </row>
    <row r="5999" spans="11:30" x14ac:dyDescent="0.3">
      <c r="K5999" s="1" t="str">
        <f ca="1">IF(A5999="","",IF(OR(L5999="ENTREGADA",L5999="RETORNADA",L5999="ENTREGA DIGITAL"),0,MAX(0,5-NETWORKDAYS(H5999+1,TODAY()))))</f>
        <v/>
      </c>
      <c r="L5999" t="str">
        <f>IF(A5999="","",IFERROR(LOOKUP(2,1/(#REF!=Z5999),#REF!),Y5999))</f>
        <v/>
      </c>
      <c r="Z5999" t="str">
        <f>IF(A5999="","",TEXT(A5999,"0")&amp;"|"&amp;TEXT(H5999,"0"))</f>
        <v/>
      </c>
      <c r="AA5999" t="str">
        <f>IF(Z5999="","",IFERROR(LOOKUP(2,1/(#REF!=Z5999),#REF!),""))</f>
        <v/>
      </c>
      <c r="AB5999" t="str">
        <f>IF(Z5999="","",IFERROR(LOOKUP(2,1/(#REF!=Z5999),#REF!),""))</f>
        <v/>
      </c>
      <c r="AC5999" t="str">
        <f>IF(Z5999="","",COUNTIF(#REF!,Z5999))</f>
        <v/>
      </c>
      <c r="AD5999" t="str">
        <f>IF(A5999="","",IF(AC5999&gt;1,"REVISAR DUPLICADO",IF(AA5999&lt;&gt;"","ACTUALIZADO POR EYR","SIN REPORTE EYR")))</f>
        <v/>
      </c>
    </row>
    <row r="6000" spans="11:30" x14ac:dyDescent="0.3">
      <c r="K6000" s="1" t="str">
        <f ca="1">IF(A6000="","",IF(OR(L6000="ENTREGADA",L6000="RETORNADA",L6000="ENTREGA DIGITAL"),0,MAX(0,5-NETWORKDAYS(H6000+1,TODAY()))))</f>
        <v/>
      </c>
      <c r="L6000" t="str">
        <f>IF(A6000="","",IFERROR(LOOKUP(2,1/(#REF!=Z6000),#REF!),Y6000))</f>
        <v/>
      </c>
      <c r="Z6000" t="str">
        <f>IF(A6000="","",TEXT(A6000,"0")&amp;"|"&amp;TEXT(H6000,"0"))</f>
        <v/>
      </c>
      <c r="AA6000" t="str">
        <f>IF(Z6000="","",IFERROR(LOOKUP(2,1/(#REF!=Z6000),#REF!),""))</f>
        <v/>
      </c>
      <c r="AB6000" t="str">
        <f>IF(Z6000="","",IFERROR(LOOKUP(2,1/(#REF!=Z6000),#REF!),""))</f>
        <v/>
      </c>
      <c r="AC6000" t="str">
        <f>IF(Z6000="","",COUNTIF(#REF!,Z6000))</f>
        <v/>
      </c>
      <c r="AD6000" t="str">
        <f>IF(A6000="","",IF(AC6000&gt;1,"REVISAR DUPLICADO",IF(AA6000&lt;&gt;"","ACTUALIZADO POR EYR","SIN REPORTE EYR")))</f>
        <v/>
      </c>
    </row>
    <row r="6001" spans="11:30" x14ac:dyDescent="0.3">
      <c r="K6001" s="1" t="str">
        <f ca="1">IF(A6001="","",IF(OR(L6001="ENTREGADA",L6001="RETORNADA",L6001="ENTREGA DIGITAL"),0,MAX(0,5-NETWORKDAYS(H6001+1,TODAY()))))</f>
        <v/>
      </c>
      <c r="L6001" t="str">
        <f>IF(A6001="","",IFERROR(LOOKUP(2,1/(#REF!=Z6001),#REF!),Y6001))</f>
        <v/>
      </c>
      <c r="Z6001" t="str">
        <f>IF(A6001="","",TEXT(A6001,"0")&amp;"|"&amp;TEXT(H6001,"0"))</f>
        <v/>
      </c>
      <c r="AA6001" t="str">
        <f>IF(Z6001="","",IFERROR(LOOKUP(2,1/(#REF!=Z6001),#REF!),""))</f>
        <v/>
      </c>
      <c r="AB6001" t="str">
        <f>IF(Z6001="","",IFERROR(LOOKUP(2,1/(#REF!=Z6001),#REF!),""))</f>
        <v/>
      </c>
      <c r="AC6001" t="str">
        <f>IF(Z6001="","",COUNTIF(#REF!,Z6001))</f>
        <v/>
      </c>
      <c r="AD6001" t="str">
        <f>IF(A6001="","",IF(AC6001&gt;1,"REVISAR DUPLICADO",IF(AA6001&lt;&gt;"","ACTUALIZADO POR EYR","SIN REPORTE EYR")))</f>
        <v/>
      </c>
    </row>
    <row r="6002" spans="11:30" x14ac:dyDescent="0.3">
      <c r="K6002" s="1" t="str">
        <f ca="1">IF(A6002="","",IF(OR(L6002="ENTREGADA",L6002="RETORNADA",L6002="ENTREGA DIGITAL"),0,MAX(0,5-NETWORKDAYS(H6002+1,TODAY()))))</f>
        <v/>
      </c>
      <c r="L6002" t="str">
        <f>IF(A6002="","",IFERROR(LOOKUP(2,1/(#REF!=Z6002),#REF!),Y6002))</f>
        <v/>
      </c>
      <c r="Z6002" t="str">
        <f>IF(A6002="","",TEXT(A6002,"0")&amp;"|"&amp;TEXT(H6002,"0"))</f>
        <v/>
      </c>
      <c r="AA6002" t="str">
        <f>IF(Z6002="","",IFERROR(LOOKUP(2,1/(#REF!=Z6002),#REF!),""))</f>
        <v/>
      </c>
      <c r="AB6002" t="str">
        <f>IF(Z6002="","",IFERROR(LOOKUP(2,1/(#REF!=Z6002),#REF!),""))</f>
        <v/>
      </c>
      <c r="AC6002" t="str">
        <f>IF(Z6002="","",COUNTIF(#REF!,Z6002))</f>
        <v/>
      </c>
      <c r="AD6002" t="str">
        <f>IF(A6002="","",IF(AC6002&gt;1,"REVISAR DUPLICADO",IF(AA6002&lt;&gt;"","ACTUALIZADO POR EYR","SIN REPORTE EYR")))</f>
        <v/>
      </c>
    </row>
    <row r="6003" spans="11:30" x14ac:dyDescent="0.3">
      <c r="K6003" s="1" t="str">
        <f ca="1">IF(A6003="","",IF(OR(L6003="ENTREGADA",L6003="RETORNADA",L6003="ENTREGA DIGITAL"),0,MAX(0,5-NETWORKDAYS(H6003+1,TODAY()))))</f>
        <v/>
      </c>
      <c r="L6003" t="str">
        <f>IF(A6003="","",IFERROR(LOOKUP(2,1/(#REF!=Z6003),#REF!),Y6003))</f>
        <v/>
      </c>
      <c r="Z6003" t="str">
        <f>IF(A6003="","",TEXT(A6003,"0")&amp;"|"&amp;TEXT(H6003,"0"))</f>
        <v/>
      </c>
      <c r="AA6003" t="str">
        <f>IF(Z6003="","",IFERROR(LOOKUP(2,1/(#REF!=Z6003),#REF!),""))</f>
        <v/>
      </c>
      <c r="AB6003" t="str">
        <f>IF(Z6003="","",IFERROR(LOOKUP(2,1/(#REF!=Z6003),#REF!),""))</f>
        <v/>
      </c>
      <c r="AC6003" t="str">
        <f>IF(Z6003="","",COUNTIF(#REF!,Z6003))</f>
        <v/>
      </c>
      <c r="AD6003" t="str">
        <f>IF(A6003="","",IF(AC6003&gt;1,"REVISAR DUPLICADO",IF(AA6003&lt;&gt;"","ACTUALIZADO POR EYR","SIN REPORTE EYR")))</f>
        <v/>
      </c>
    </row>
    <row r="6004" spans="11:30" x14ac:dyDescent="0.3">
      <c r="K6004" s="1" t="str">
        <f ca="1">IF(A6004="","",IF(OR(L6004="ENTREGADA",L6004="RETORNADA",L6004="ENTREGA DIGITAL"),0,MAX(0,5-NETWORKDAYS(H6004+1,TODAY()))))</f>
        <v/>
      </c>
      <c r="L6004" t="str">
        <f>IF(A6004="","",IFERROR(LOOKUP(2,1/(#REF!=Z6004),#REF!),Y6004))</f>
        <v/>
      </c>
      <c r="Z6004" t="str">
        <f>IF(A6004="","",TEXT(A6004,"0")&amp;"|"&amp;TEXT(H6004,"0"))</f>
        <v/>
      </c>
      <c r="AA6004" t="str">
        <f>IF(Z6004="","",IFERROR(LOOKUP(2,1/(#REF!=Z6004),#REF!),""))</f>
        <v/>
      </c>
      <c r="AB6004" t="str">
        <f>IF(Z6004="","",IFERROR(LOOKUP(2,1/(#REF!=Z6004),#REF!),""))</f>
        <v/>
      </c>
      <c r="AC6004" t="str">
        <f>IF(Z6004="","",COUNTIF(#REF!,Z6004))</f>
        <v/>
      </c>
      <c r="AD6004" t="str">
        <f>IF(A6004="","",IF(AC6004&gt;1,"REVISAR DUPLICADO",IF(AA6004&lt;&gt;"","ACTUALIZADO POR EYR","SIN REPORTE EYR")))</f>
        <v/>
      </c>
    </row>
    <row r="6005" spans="11:30" x14ac:dyDescent="0.3">
      <c r="K6005" s="1" t="str">
        <f ca="1">IF(A6005="","",IF(OR(L6005="ENTREGADA",L6005="RETORNADA",L6005="ENTREGA DIGITAL"),0,MAX(0,5-NETWORKDAYS(H6005+1,TODAY()))))</f>
        <v/>
      </c>
      <c r="L6005" t="str">
        <f>IF(A6005="","",IFERROR(LOOKUP(2,1/(#REF!=Z6005),#REF!),Y6005))</f>
        <v/>
      </c>
      <c r="Z6005" t="str">
        <f>IF(A6005="","",TEXT(A6005,"0")&amp;"|"&amp;TEXT(H6005,"0"))</f>
        <v/>
      </c>
      <c r="AA6005" t="str">
        <f>IF(Z6005="","",IFERROR(LOOKUP(2,1/(#REF!=Z6005),#REF!),""))</f>
        <v/>
      </c>
      <c r="AB6005" t="str">
        <f>IF(Z6005="","",IFERROR(LOOKUP(2,1/(#REF!=Z6005),#REF!),""))</f>
        <v/>
      </c>
      <c r="AC6005" t="str">
        <f>IF(Z6005="","",COUNTIF(#REF!,Z6005))</f>
        <v/>
      </c>
      <c r="AD6005" t="str">
        <f>IF(A6005="","",IF(AC6005&gt;1,"REVISAR DUPLICADO",IF(AA6005&lt;&gt;"","ACTUALIZADO POR EYR","SIN REPORTE EYR")))</f>
        <v/>
      </c>
    </row>
    <row r="6006" spans="11:30" x14ac:dyDescent="0.3">
      <c r="K6006" s="1" t="str">
        <f ca="1">IF(A6006="","",IF(OR(L6006="ENTREGADA",L6006="RETORNADA",L6006="ENTREGA DIGITAL"),0,MAX(0,5-NETWORKDAYS(H6006+1,TODAY()))))</f>
        <v/>
      </c>
      <c r="L6006" t="str">
        <f>IF(A6006="","",IFERROR(LOOKUP(2,1/(#REF!=Z6006),#REF!),Y6006))</f>
        <v/>
      </c>
      <c r="Z6006" t="str">
        <f>IF(A6006="","",TEXT(A6006,"0")&amp;"|"&amp;TEXT(H6006,"0"))</f>
        <v/>
      </c>
      <c r="AA6006" t="str">
        <f>IF(Z6006="","",IFERROR(LOOKUP(2,1/(#REF!=Z6006),#REF!),""))</f>
        <v/>
      </c>
      <c r="AB6006" t="str">
        <f>IF(Z6006="","",IFERROR(LOOKUP(2,1/(#REF!=Z6006),#REF!),""))</f>
        <v/>
      </c>
      <c r="AC6006" t="str">
        <f>IF(Z6006="","",COUNTIF(#REF!,Z6006))</f>
        <v/>
      </c>
      <c r="AD6006" t="str">
        <f>IF(A6006="","",IF(AC6006&gt;1,"REVISAR DUPLICADO",IF(AA6006&lt;&gt;"","ACTUALIZADO POR EYR","SIN REPORTE EYR")))</f>
        <v/>
      </c>
    </row>
    <row r="6007" spans="11:30" x14ac:dyDescent="0.3">
      <c r="K6007" s="1" t="str">
        <f ca="1">IF(A6007="","",IF(OR(L6007="ENTREGADA",L6007="RETORNADA",L6007="ENTREGA DIGITAL"),0,MAX(0,5-NETWORKDAYS(H6007+1,TODAY()))))</f>
        <v/>
      </c>
      <c r="L6007" t="str">
        <f>IF(A6007="","",IFERROR(LOOKUP(2,1/(#REF!=Z6007),#REF!),Y6007))</f>
        <v/>
      </c>
      <c r="Z6007" t="str">
        <f>IF(A6007="","",TEXT(A6007,"0")&amp;"|"&amp;TEXT(H6007,"0"))</f>
        <v/>
      </c>
      <c r="AA6007" t="str">
        <f>IF(Z6007="","",IFERROR(LOOKUP(2,1/(#REF!=Z6007),#REF!),""))</f>
        <v/>
      </c>
      <c r="AB6007" t="str">
        <f>IF(Z6007="","",IFERROR(LOOKUP(2,1/(#REF!=Z6007),#REF!),""))</f>
        <v/>
      </c>
      <c r="AC6007" t="str">
        <f>IF(Z6007="","",COUNTIF(#REF!,Z6007))</f>
        <v/>
      </c>
      <c r="AD6007" t="str">
        <f>IF(A6007="","",IF(AC6007&gt;1,"REVISAR DUPLICADO",IF(AA6007&lt;&gt;"","ACTUALIZADO POR EYR","SIN REPORTE EYR")))</f>
        <v/>
      </c>
    </row>
    <row r="6008" spans="11:30" x14ac:dyDescent="0.3">
      <c r="K6008" s="1" t="str">
        <f ca="1">IF(A6008="","",IF(OR(L6008="ENTREGADA",L6008="RETORNADA",L6008="ENTREGA DIGITAL"),0,MAX(0,5-NETWORKDAYS(H6008+1,TODAY()))))</f>
        <v/>
      </c>
      <c r="L6008" t="str">
        <f>IF(A6008="","",IFERROR(LOOKUP(2,1/(#REF!=Z6008),#REF!),Y6008))</f>
        <v/>
      </c>
      <c r="Z6008" t="str">
        <f>IF(A6008="","",TEXT(A6008,"0")&amp;"|"&amp;TEXT(H6008,"0"))</f>
        <v/>
      </c>
      <c r="AA6008" t="str">
        <f>IF(Z6008="","",IFERROR(LOOKUP(2,1/(#REF!=Z6008),#REF!),""))</f>
        <v/>
      </c>
      <c r="AB6008" t="str">
        <f>IF(Z6008="","",IFERROR(LOOKUP(2,1/(#REF!=Z6008),#REF!),""))</f>
        <v/>
      </c>
      <c r="AC6008" t="str">
        <f>IF(Z6008="","",COUNTIF(#REF!,Z6008))</f>
        <v/>
      </c>
      <c r="AD6008" t="str">
        <f>IF(A6008="","",IF(AC6008&gt;1,"REVISAR DUPLICADO",IF(AA6008&lt;&gt;"","ACTUALIZADO POR EYR","SIN REPORTE EYR")))</f>
        <v/>
      </c>
    </row>
    <row r="6009" spans="11:30" x14ac:dyDescent="0.3">
      <c r="K6009" s="1" t="str">
        <f ca="1">IF(A6009="","",IF(OR(L6009="ENTREGADA",L6009="RETORNADA",L6009="ENTREGA DIGITAL"),0,MAX(0,5-NETWORKDAYS(H6009+1,TODAY()))))</f>
        <v/>
      </c>
      <c r="L6009" t="str">
        <f>IF(A6009="","",IFERROR(LOOKUP(2,1/(#REF!=Z6009),#REF!),Y6009))</f>
        <v/>
      </c>
      <c r="Z6009" t="str">
        <f>IF(A6009="","",TEXT(A6009,"0")&amp;"|"&amp;TEXT(H6009,"0"))</f>
        <v/>
      </c>
      <c r="AA6009" t="str">
        <f>IF(Z6009="","",IFERROR(LOOKUP(2,1/(#REF!=Z6009),#REF!),""))</f>
        <v/>
      </c>
      <c r="AB6009" t="str">
        <f>IF(Z6009="","",IFERROR(LOOKUP(2,1/(#REF!=Z6009),#REF!),""))</f>
        <v/>
      </c>
      <c r="AC6009" t="str">
        <f>IF(Z6009="","",COUNTIF(#REF!,Z6009))</f>
        <v/>
      </c>
      <c r="AD6009" t="str">
        <f>IF(A6009="","",IF(AC6009&gt;1,"REVISAR DUPLICADO",IF(AA6009&lt;&gt;"","ACTUALIZADO POR EYR","SIN REPORTE EYR")))</f>
        <v/>
      </c>
    </row>
    <row r="6010" spans="11:30" x14ac:dyDescent="0.3">
      <c r="K6010" s="1" t="str">
        <f ca="1">IF(A6010="","",IF(OR(L6010="ENTREGADA",L6010="RETORNADA",L6010="ENTREGA DIGITAL"),0,MAX(0,5-NETWORKDAYS(H6010+1,TODAY()))))</f>
        <v/>
      </c>
      <c r="L6010" t="str">
        <f>IF(A6010="","",IFERROR(LOOKUP(2,1/(#REF!=Z6010),#REF!),Y6010))</f>
        <v/>
      </c>
      <c r="Z6010" t="str">
        <f>IF(A6010="","",TEXT(A6010,"0")&amp;"|"&amp;TEXT(H6010,"0"))</f>
        <v/>
      </c>
      <c r="AA6010" t="str">
        <f>IF(Z6010="","",IFERROR(LOOKUP(2,1/(#REF!=Z6010),#REF!),""))</f>
        <v/>
      </c>
      <c r="AB6010" t="str">
        <f>IF(Z6010="","",IFERROR(LOOKUP(2,1/(#REF!=Z6010),#REF!),""))</f>
        <v/>
      </c>
      <c r="AC6010" t="str">
        <f>IF(Z6010="","",COUNTIF(#REF!,Z6010))</f>
        <v/>
      </c>
      <c r="AD6010" t="str">
        <f>IF(A6010="","",IF(AC6010&gt;1,"REVISAR DUPLICADO",IF(AA6010&lt;&gt;"","ACTUALIZADO POR EYR","SIN REPORTE EYR")))</f>
        <v/>
      </c>
    </row>
    <row r="6011" spans="11:30" x14ac:dyDescent="0.3">
      <c r="K6011" s="1" t="str">
        <f ca="1">IF(A6011="","",IF(OR(L6011="ENTREGADA",L6011="RETORNADA",L6011="ENTREGA DIGITAL"),0,MAX(0,5-NETWORKDAYS(H6011+1,TODAY()))))</f>
        <v/>
      </c>
      <c r="L6011" t="str">
        <f>IF(A6011="","",IFERROR(LOOKUP(2,1/(#REF!=Z6011),#REF!),Y6011))</f>
        <v/>
      </c>
      <c r="Z6011" t="str">
        <f>IF(A6011="","",TEXT(A6011,"0")&amp;"|"&amp;TEXT(H6011,"0"))</f>
        <v/>
      </c>
      <c r="AA6011" t="str">
        <f>IF(Z6011="","",IFERROR(LOOKUP(2,1/(#REF!=Z6011),#REF!),""))</f>
        <v/>
      </c>
      <c r="AB6011" t="str">
        <f>IF(Z6011="","",IFERROR(LOOKUP(2,1/(#REF!=Z6011),#REF!),""))</f>
        <v/>
      </c>
      <c r="AC6011" t="str">
        <f>IF(Z6011="","",COUNTIF(#REF!,Z6011))</f>
        <v/>
      </c>
      <c r="AD6011" t="str">
        <f>IF(A6011="","",IF(AC6011&gt;1,"REVISAR DUPLICADO",IF(AA6011&lt;&gt;"","ACTUALIZADO POR EYR","SIN REPORTE EYR")))</f>
        <v/>
      </c>
    </row>
    <row r="6012" spans="11:30" x14ac:dyDescent="0.3">
      <c r="K6012" s="1" t="str">
        <f ca="1">IF(A6012="","",IF(OR(L6012="ENTREGADA",L6012="RETORNADA",L6012="ENTREGA DIGITAL"),0,MAX(0,5-NETWORKDAYS(H6012+1,TODAY()))))</f>
        <v/>
      </c>
      <c r="L6012" t="str">
        <f>IF(A6012="","",IFERROR(LOOKUP(2,1/(#REF!=Z6012),#REF!),Y6012))</f>
        <v/>
      </c>
      <c r="Z6012" t="str">
        <f>IF(A6012="","",TEXT(A6012,"0")&amp;"|"&amp;TEXT(H6012,"0"))</f>
        <v/>
      </c>
      <c r="AA6012" t="str">
        <f>IF(Z6012="","",IFERROR(LOOKUP(2,1/(#REF!=Z6012),#REF!),""))</f>
        <v/>
      </c>
      <c r="AB6012" t="str">
        <f>IF(Z6012="","",IFERROR(LOOKUP(2,1/(#REF!=Z6012),#REF!),""))</f>
        <v/>
      </c>
      <c r="AC6012" t="str">
        <f>IF(Z6012="","",COUNTIF(#REF!,Z6012))</f>
        <v/>
      </c>
      <c r="AD6012" t="str">
        <f>IF(A6012="","",IF(AC6012&gt;1,"REVISAR DUPLICADO",IF(AA6012&lt;&gt;"","ACTUALIZADO POR EYR","SIN REPORTE EYR")))</f>
        <v/>
      </c>
    </row>
    <row r="6013" spans="11:30" x14ac:dyDescent="0.3">
      <c r="K6013" s="1" t="str">
        <f ca="1">IF(A6013="","",IF(OR(L6013="ENTREGADA",L6013="RETORNADA",L6013="ENTREGA DIGITAL"),0,MAX(0,5-NETWORKDAYS(H6013+1,TODAY()))))</f>
        <v/>
      </c>
      <c r="L6013" t="str">
        <f>IF(A6013="","",IFERROR(LOOKUP(2,1/(#REF!=Z6013),#REF!),Y6013))</f>
        <v/>
      </c>
      <c r="Z6013" t="str">
        <f>IF(A6013="","",TEXT(A6013,"0")&amp;"|"&amp;TEXT(H6013,"0"))</f>
        <v/>
      </c>
      <c r="AA6013" t="str">
        <f>IF(Z6013="","",IFERROR(LOOKUP(2,1/(#REF!=Z6013),#REF!),""))</f>
        <v/>
      </c>
      <c r="AB6013" t="str">
        <f>IF(Z6013="","",IFERROR(LOOKUP(2,1/(#REF!=Z6013),#REF!),""))</f>
        <v/>
      </c>
      <c r="AC6013" t="str">
        <f>IF(Z6013="","",COUNTIF(#REF!,Z6013))</f>
        <v/>
      </c>
      <c r="AD6013" t="str">
        <f>IF(A6013="","",IF(AC6013&gt;1,"REVISAR DUPLICADO",IF(AA6013&lt;&gt;"","ACTUALIZADO POR EYR","SIN REPORTE EYR")))</f>
        <v/>
      </c>
    </row>
    <row r="6014" spans="11:30" x14ac:dyDescent="0.3">
      <c r="K6014" s="1" t="str">
        <f ca="1">IF(A6014="","",IF(OR(L6014="ENTREGADA",L6014="RETORNADA",L6014="ENTREGA DIGITAL"),0,MAX(0,5-NETWORKDAYS(H6014+1,TODAY()))))</f>
        <v/>
      </c>
      <c r="L6014" t="str">
        <f>IF(A6014="","",IFERROR(LOOKUP(2,1/(#REF!=Z6014),#REF!),Y6014))</f>
        <v/>
      </c>
      <c r="Z6014" t="str">
        <f>IF(A6014="","",TEXT(A6014,"0")&amp;"|"&amp;TEXT(H6014,"0"))</f>
        <v/>
      </c>
      <c r="AA6014" t="str">
        <f>IF(Z6014="","",IFERROR(LOOKUP(2,1/(#REF!=Z6014),#REF!),""))</f>
        <v/>
      </c>
      <c r="AB6014" t="str">
        <f>IF(Z6014="","",IFERROR(LOOKUP(2,1/(#REF!=Z6014),#REF!),""))</f>
        <v/>
      </c>
      <c r="AC6014" t="str">
        <f>IF(Z6014="","",COUNTIF(#REF!,Z6014))</f>
        <v/>
      </c>
      <c r="AD6014" t="str">
        <f>IF(A6014="","",IF(AC6014&gt;1,"REVISAR DUPLICADO",IF(AA6014&lt;&gt;"","ACTUALIZADO POR EYR","SIN REPORTE EYR")))</f>
        <v/>
      </c>
    </row>
    <row r="6015" spans="11:30" x14ac:dyDescent="0.3">
      <c r="K6015" s="1" t="str">
        <f ca="1">IF(A6015="","",IF(OR(L6015="ENTREGADA",L6015="RETORNADA",L6015="ENTREGA DIGITAL"),0,MAX(0,5-NETWORKDAYS(H6015+1,TODAY()))))</f>
        <v/>
      </c>
      <c r="L6015" t="str">
        <f>IF(A6015="","",IFERROR(LOOKUP(2,1/(#REF!=Z6015),#REF!),Y6015))</f>
        <v/>
      </c>
      <c r="Z6015" t="str">
        <f>IF(A6015="","",TEXT(A6015,"0")&amp;"|"&amp;TEXT(H6015,"0"))</f>
        <v/>
      </c>
      <c r="AA6015" t="str">
        <f>IF(Z6015="","",IFERROR(LOOKUP(2,1/(#REF!=Z6015),#REF!),""))</f>
        <v/>
      </c>
      <c r="AB6015" t="str">
        <f>IF(Z6015="","",IFERROR(LOOKUP(2,1/(#REF!=Z6015),#REF!),""))</f>
        <v/>
      </c>
      <c r="AC6015" t="str">
        <f>IF(Z6015="","",COUNTIF(#REF!,Z6015))</f>
        <v/>
      </c>
      <c r="AD6015" t="str">
        <f>IF(A6015="","",IF(AC6015&gt;1,"REVISAR DUPLICADO",IF(AA6015&lt;&gt;"","ACTUALIZADO POR EYR","SIN REPORTE EYR")))</f>
        <v/>
      </c>
    </row>
    <row r="6016" spans="11:30" x14ac:dyDescent="0.3">
      <c r="K6016" s="1" t="str">
        <f ca="1">IF(A6016="","",IF(OR(L6016="ENTREGADA",L6016="RETORNADA",L6016="ENTREGA DIGITAL"),0,MAX(0,5-NETWORKDAYS(H6016+1,TODAY()))))</f>
        <v/>
      </c>
      <c r="L6016" t="str">
        <f>IF(A6016="","",IFERROR(LOOKUP(2,1/(#REF!=Z6016),#REF!),Y6016))</f>
        <v/>
      </c>
      <c r="Z6016" t="str">
        <f>IF(A6016="","",TEXT(A6016,"0")&amp;"|"&amp;TEXT(H6016,"0"))</f>
        <v/>
      </c>
      <c r="AA6016" t="str">
        <f>IF(Z6016="","",IFERROR(LOOKUP(2,1/(#REF!=Z6016),#REF!),""))</f>
        <v/>
      </c>
      <c r="AB6016" t="str">
        <f>IF(Z6016="","",IFERROR(LOOKUP(2,1/(#REF!=Z6016),#REF!),""))</f>
        <v/>
      </c>
      <c r="AC6016" t="str">
        <f>IF(Z6016="","",COUNTIF(#REF!,Z6016))</f>
        <v/>
      </c>
      <c r="AD6016" t="str">
        <f>IF(A6016="","",IF(AC6016&gt;1,"REVISAR DUPLICADO",IF(AA6016&lt;&gt;"","ACTUALIZADO POR EYR","SIN REPORTE EYR")))</f>
        <v/>
      </c>
    </row>
    <row r="6017" spans="11:30" x14ac:dyDescent="0.3">
      <c r="K6017" s="1" t="str">
        <f ca="1">IF(A6017="","",IF(OR(L6017="ENTREGADA",L6017="RETORNADA",L6017="ENTREGA DIGITAL"),0,MAX(0,5-NETWORKDAYS(H6017+1,TODAY()))))</f>
        <v/>
      </c>
      <c r="L6017" t="str">
        <f>IF(A6017="","",IFERROR(LOOKUP(2,1/(#REF!=Z6017),#REF!),Y6017))</f>
        <v/>
      </c>
      <c r="Z6017" t="str">
        <f>IF(A6017="","",TEXT(A6017,"0")&amp;"|"&amp;TEXT(H6017,"0"))</f>
        <v/>
      </c>
      <c r="AA6017" t="str">
        <f>IF(Z6017="","",IFERROR(LOOKUP(2,1/(#REF!=Z6017),#REF!),""))</f>
        <v/>
      </c>
      <c r="AB6017" t="str">
        <f>IF(Z6017="","",IFERROR(LOOKUP(2,1/(#REF!=Z6017),#REF!),""))</f>
        <v/>
      </c>
      <c r="AC6017" t="str">
        <f>IF(Z6017="","",COUNTIF(#REF!,Z6017))</f>
        <v/>
      </c>
      <c r="AD6017" t="str">
        <f>IF(A6017="","",IF(AC6017&gt;1,"REVISAR DUPLICADO",IF(AA6017&lt;&gt;"","ACTUALIZADO POR EYR","SIN REPORTE EYR")))</f>
        <v/>
      </c>
    </row>
    <row r="6018" spans="11:30" x14ac:dyDescent="0.3">
      <c r="K6018" s="1" t="str">
        <f ca="1">IF(A6018="","",IF(OR(L6018="ENTREGADA",L6018="RETORNADA",L6018="ENTREGA DIGITAL"),0,MAX(0,5-NETWORKDAYS(H6018+1,TODAY()))))</f>
        <v/>
      </c>
      <c r="L6018" t="str">
        <f>IF(A6018="","",IFERROR(LOOKUP(2,1/(#REF!=Z6018),#REF!),Y6018))</f>
        <v/>
      </c>
      <c r="Z6018" t="str">
        <f>IF(A6018="","",TEXT(A6018,"0")&amp;"|"&amp;TEXT(H6018,"0"))</f>
        <v/>
      </c>
      <c r="AA6018" t="str">
        <f>IF(Z6018="","",IFERROR(LOOKUP(2,1/(#REF!=Z6018),#REF!),""))</f>
        <v/>
      </c>
      <c r="AB6018" t="str">
        <f>IF(Z6018="","",IFERROR(LOOKUP(2,1/(#REF!=Z6018),#REF!),""))</f>
        <v/>
      </c>
      <c r="AC6018" t="str">
        <f>IF(Z6018="","",COUNTIF(#REF!,Z6018))</f>
        <v/>
      </c>
      <c r="AD6018" t="str">
        <f>IF(A6018="","",IF(AC6018&gt;1,"REVISAR DUPLICADO",IF(AA6018&lt;&gt;"","ACTUALIZADO POR EYR","SIN REPORTE EYR")))</f>
        <v/>
      </c>
    </row>
    <row r="6019" spans="11:30" x14ac:dyDescent="0.3">
      <c r="K6019" s="1" t="str">
        <f ca="1">IF(A6019="","",IF(OR(L6019="ENTREGADA",L6019="RETORNADA",L6019="ENTREGA DIGITAL"),0,MAX(0,5-NETWORKDAYS(H6019+1,TODAY()))))</f>
        <v/>
      </c>
      <c r="L6019" t="str">
        <f>IF(A6019="","",IFERROR(LOOKUP(2,1/(#REF!=Z6019),#REF!),Y6019))</f>
        <v/>
      </c>
      <c r="Z6019" t="str">
        <f>IF(A6019="","",TEXT(A6019,"0")&amp;"|"&amp;TEXT(H6019,"0"))</f>
        <v/>
      </c>
      <c r="AA6019" t="str">
        <f>IF(Z6019="","",IFERROR(LOOKUP(2,1/(#REF!=Z6019),#REF!),""))</f>
        <v/>
      </c>
      <c r="AB6019" t="str">
        <f>IF(Z6019="","",IFERROR(LOOKUP(2,1/(#REF!=Z6019),#REF!),""))</f>
        <v/>
      </c>
      <c r="AC6019" t="str">
        <f>IF(Z6019="","",COUNTIF(#REF!,Z6019))</f>
        <v/>
      </c>
      <c r="AD6019" t="str">
        <f>IF(A6019="","",IF(AC6019&gt;1,"REVISAR DUPLICADO",IF(AA6019&lt;&gt;"","ACTUALIZADO POR EYR","SIN REPORTE EYR")))</f>
        <v/>
      </c>
    </row>
    <row r="6020" spans="11:30" x14ac:dyDescent="0.3">
      <c r="K6020" s="1" t="str">
        <f ca="1">IF(A6020="","",IF(OR(L6020="ENTREGADA",L6020="RETORNADA",L6020="ENTREGA DIGITAL"),0,MAX(0,5-NETWORKDAYS(H6020+1,TODAY()))))</f>
        <v/>
      </c>
      <c r="L6020" t="str">
        <f>IF(A6020="","",IFERROR(LOOKUP(2,1/(#REF!=Z6020),#REF!),Y6020))</f>
        <v/>
      </c>
      <c r="Z6020" t="str">
        <f>IF(A6020="","",TEXT(A6020,"0")&amp;"|"&amp;TEXT(H6020,"0"))</f>
        <v/>
      </c>
      <c r="AA6020" t="str">
        <f>IF(Z6020="","",IFERROR(LOOKUP(2,1/(#REF!=Z6020),#REF!),""))</f>
        <v/>
      </c>
      <c r="AB6020" t="str">
        <f>IF(Z6020="","",IFERROR(LOOKUP(2,1/(#REF!=Z6020),#REF!),""))</f>
        <v/>
      </c>
      <c r="AC6020" t="str">
        <f>IF(Z6020="","",COUNTIF(#REF!,Z6020))</f>
        <v/>
      </c>
      <c r="AD6020" t="str">
        <f>IF(A6020="","",IF(AC6020&gt;1,"REVISAR DUPLICADO",IF(AA6020&lt;&gt;"","ACTUALIZADO POR EYR","SIN REPORTE EYR")))</f>
        <v/>
      </c>
    </row>
    <row r="6021" spans="11:30" x14ac:dyDescent="0.3">
      <c r="K6021" s="1" t="str">
        <f ca="1">IF(A6021="","",IF(OR(L6021="ENTREGADA",L6021="RETORNADA",L6021="ENTREGA DIGITAL"),0,MAX(0,5-NETWORKDAYS(H6021+1,TODAY()))))</f>
        <v/>
      </c>
      <c r="L6021" t="str">
        <f>IF(A6021="","",IFERROR(LOOKUP(2,1/(#REF!=Z6021),#REF!),Y6021))</f>
        <v/>
      </c>
      <c r="Z6021" t="str">
        <f>IF(A6021="","",TEXT(A6021,"0")&amp;"|"&amp;TEXT(H6021,"0"))</f>
        <v/>
      </c>
      <c r="AA6021" t="str">
        <f>IF(Z6021="","",IFERROR(LOOKUP(2,1/(#REF!=Z6021),#REF!),""))</f>
        <v/>
      </c>
      <c r="AB6021" t="str">
        <f>IF(Z6021="","",IFERROR(LOOKUP(2,1/(#REF!=Z6021),#REF!),""))</f>
        <v/>
      </c>
      <c r="AC6021" t="str">
        <f>IF(Z6021="","",COUNTIF(#REF!,Z6021))</f>
        <v/>
      </c>
      <c r="AD6021" t="str">
        <f>IF(A6021="","",IF(AC6021&gt;1,"REVISAR DUPLICADO",IF(AA6021&lt;&gt;"","ACTUALIZADO POR EYR","SIN REPORTE EYR")))</f>
        <v/>
      </c>
    </row>
    <row r="6022" spans="11:30" x14ac:dyDescent="0.3">
      <c r="K6022" s="1" t="str">
        <f ca="1">IF(A6022="","",IF(OR(L6022="ENTREGADA",L6022="RETORNADA",L6022="ENTREGA DIGITAL"),0,MAX(0,5-NETWORKDAYS(H6022+1,TODAY()))))</f>
        <v/>
      </c>
      <c r="L6022" t="str">
        <f>IF(A6022="","",IFERROR(LOOKUP(2,1/(#REF!=Z6022),#REF!),Y6022))</f>
        <v/>
      </c>
      <c r="Z6022" t="str">
        <f>IF(A6022="","",TEXT(A6022,"0")&amp;"|"&amp;TEXT(H6022,"0"))</f>
        <v/>
      </c>
      <c r="AA6022" t="str">
        <f>IF(Z6022="","",IFERROR(LOOKUP(2,1/(#REF!=Z6022),#REF!),""))</f>
        <v/>
      </c>
      <c r="AB6022" t="str">
        <f>IF(Z6022="","",IFERROR(LOOKUP(2,1/(#REF!=Z6022),#REF!),""))</f>
        <v/>
      </c>
      <c r="AC6022" t="str">
        <f>IF(Z6022="","",COUNTIF(#REF!,Z6022))</f>
        <v/>
      </c>
      <c r="AD6022" t="str">
        <f>IF(A6022="","",IF(AC6022&gt;1,"REVISAR DUPLICADO",IF(AA6022&lt;&gt;"","ACTUALIZADO POR EYR","SIN REPORTE EYR")))</f>
        <v/>
      </c>
    </row>
    <row r="6023" spans="11:30" x14ac:dyDescent="0.3">
      <c r="K6023" s="1" t="str">
        <f ca="1">IF(A6023="","",IF(OR(L6023="ENTREGADA",L6023="RETORNADA",L6023="ENTREGA DIGITAL"),0,MAX(0,5-NETWORKDAYS(H6023+1,TODAY()))))</f>
        <v/>
      </c>
      <c r="L6023" t="str">
        <f>IF(A6023="","",IFERROR(LOOKUP(2,1/(#REF!=Z6023),#REF!),Y6023))</f>
        <v/>
      </c>
      <c r="Z6023" t="str">
        <f>IF(A6023="","",TEXT(A6023,"0")&amp;"|"&amp;TEXT(H6023,"0"))</f>
        <v/>
      </c>
      <c r="AA6023" t="str">
        <f>IF(Z6023="","",IFERROR(LOOKUP(2,1/(#REF!=Z6023),#REF!),""))</f>
        <v/>
      </c>
      <c r="AB6023" t="str">
        <f>IF(Z6023="","",IFERROR(LOOKUP(2,1/(#REF!=Z6023),#REF!),""))</f>
        <v/>
      </c>
      <c r="AC6023" t="str">
        <f>IF(Z6023="","",COUNTIF(#REF!,Z6023))</f>
        <v/>
      </c>
      <c r="AD6023" t="str">
        <f>IF(A6023="","",IF(AC6023&gt;1,"REVISAR DUPLICADO",IF(AA6023&lt;&gt;"","ACTUALIZADO POR EYR","SIN REPORTE EYR")))</f>
        <v/>
      </c>
    </row>
    <row r="6024" spans="11:30" x14ac:dyDescent="0.3">
      <c r="K6024" s="1" t="str">
        <f ca="1">IF(A6024="","",IF(OR(L6024="ENTREGADA",L6024="RETORNADA",L6024="ENTREGA DIGITAL"),0,MAX(0,5-NETWORKDAYS(H6024+1,TODAY()))))</f>
        <v/>
      </c>
      <c r="L6024" t="str">
        <f>IF(A6024="","",IFERROR(LOOKUP(2,1/(#REF!=Z6024),#REF!),Y6024))</f>
        <v/>
      </c>
      <c r="Z6024" t="str">
        <f>IF(A6024="","",TEXT(A6024,"0")&amp;"|"&amp;TEXT(H6024,"0"))</f>
        <v/>
      </c>
      <c r="AA6024" t="str">
        <f>IF(Z6024="","",IFERROR(LOOKUP(2,1/(#REF!=Z6024),#REF!),""))</f>
        <v/>
      </c>
      <c r="AB6024" t="str">
        <f>IF(Z6024="","",IFERROR(LOOKUP(2,1/(#REF!=Z6024),#REF!),""))</f>
        <v/>
      </c>
      <c r="AC6024" t="str">
        <f>IF(Z6024="","",COUNTIF(#REF!,Z6024))</f>
        <v/>
      </c>
      <c r="AD6024" t="str">
        <f>IF(A6024="","",IF(AC6024&gt;1,"REVISAR DUPLICADO",IF(AA6024&lt;&gt;"","ACTUALIZADO POR EYR","SIN REPORTE EYR")))</f>
        <v/>
      </c>
    </row>
    <row r="6025" spans="11:30" x14ac:dyDescent="0.3">
      <c r="K6025" s="1" t="str">
        <f ca="1">IF(A6025="","",IF(OR(L6025="ENTREGADA",L6025="RETORNADA",L6025="ENTREGA DIGITAL"),0,MAX(0,5-NETWORKDAYS(H6025+1,TODAY()))))</f>
        <v/>
      </c>
      <c r="L6025" t="str">
        <f>IF(A6025="","",IFERROR(LOOKUP(2,1/(#REF!=Z6025),#REF!),Y6025))</f>
        <v/>
      </c>
      <c r="Z6025" t="str">
        <f>IF(A6025="","",TEXT(A6025,"0")&amp;"|"&amp;TEXT(H6025,"0"))</f>
        <v/>
      </c>
      <c r="AA6025" t="str">
        <f>IF(Z6025="","",IFERROR(LOOKUP(2,1/(#REF!=Z6025),#REF!),""))</f>
        <v/>
      </c>
      <c r="AB6025" t="str">
        <f>IF(Z6025="","",IFERROR(LOOKUP(2,1/(#REF!=Z6025),#REF!),""))</f>
        <v/>
      </c>
      <c r="AC6025" t="str">
        <f>IF(Z6025="","",COUNTIF(#REF!,Z6025))</f>
        <v/>
      </c>
      <c r="AD6025" t="str">
        <f>IF(A6025="","",IF(AC6025&gt;1,"REVISAR DUPLICADO",IF(AA6025&lt;&gt;"","ACTUALIZADO POR EYR","SIN REPORTE EYR")))</f>
        <v/>
      </c>
    </row>
    <row r="6026" spans="11:30" x14ac:dyDescent="0.3">
      <c r="K6026" s="1" t="str">
        <f ca="1">IF(A6026="","",IF(OR(L6026="ENTREGADA",L6026="RETORNADA",L6026="ENTREGA DIGITAL"),0,MAX(0,5-NETWORKDAYS(H6026+1,TODAY()))))</f>
        <v/>
      </c>
      <c r="L6026" t="str">
        <f>IF(A6026="","",IFERROR(LOOKUP(2,1/(#REF!=Z6026),#REF!),Y6026))</f>
        <v/>
      </c>
      <c r="Z6026" t="str">
        <f>IF(A6026="","",TEXT(A6026,"0")&amp;"|"&amp;TEXT(H6026,"0"))</f>
        <v/>
      </c>
      <c r="AA6026" t="str">
        <f>IF(Z6026="","",IFERROR(LOOKUP(2,1/(#REF!=Z6026),#REF!),""))</f>
        <v/>
      </c>
      <c r="AB6026" t="str">
        <f>IF(Z6026="","",IFERROR(LOOKUP(2,1/(#REF!=Z6026),#REF!),""))</f>
        <v/>
      </c>
      <c r="AC6026" t="str">
        <f>IF(Z6026="","",COUNTIF(#REF!,Z6026))</f>
        <v/>
      </c>
      <c r="AD6026" t="str">
        <f>IF(A6026="","",IF(AC6026&gt;1,"REVISAR DUPLICADO",IF(AA6026&lt;&gt;"","ACTUALIZADO POR EYR","SIN REPORTE EYR")))</f>
        <v/>
      </c>
    </row>
    <row r="6027" spans="11:30" x14ac:dyDescent="0.3">
      <c r="K6027" s="1" t="str">
        <f ca="1">IF(A6027="","",IF(OR(L6027="ENTREGADA",L6027="RETORNADA",L6027="ENTREGA DIGITAL"),0,MAX(0,5-NETWORKDAYS(H6027+1,TODAY()))))</f>
        <v/>
      </c>
      <c r="L6027" t="str">
        <f>IF(A6027="","",IFERROR(LOOKUP(2,1/(#REF!=Z6027),#REF!),Y6027))</f>
        <v/>
      </c>
      <c r="Z6027" t="str">
        <f>IF(A6027="","",TEXT(A6027,"0")&amp;"|"&amp;TEXT(H6027,"0"))</f>
        <v/>
      </c>
      <c r="AA6027" t="str">
        <f>IF(Z6027="","",IFERROR(LOOKUP(2,1/(#REF!=Z6027),#REF!),""))</f>
        <v/>
      </c>
      <c r="AB6027" t="str">
        <f>IF(Z6027="","",IFERROR(LOOKUP(2,1/(#REF!=Z6027),#REF!),""))</f>
        <v/>
      </c>
      <c r="AC6027" t="str">
        <f>IF(Z6027="","",COUNTIF(#REF!,Z6027))</f>
        <v/>
      </c>
      <c r="AD6027" t="str">
        <f>IF(A6027="","",IF(AC6027&gt;1,"REVISAR DUPLICADO",IF(AA6027&lt;&gt;"","ACTUALIZADO POR EYR","SIN REPORTE EYR")))</f>
        <v/>
      </c>
    </row>
    <row r="6028" spans="11:30" x14ac:dyDescent="0.3">
      <c r="K6028" s="1" t="str">
        <f ca="1">IF(A6028="","",IF(OR(L6028="ENTREGADA",L6028="RETORNADA",L6028="ENTREGA DIGITAL"),0,MAX(0,5-NETWORKDAYS(H6028+1,TODAY()))))</f>
        <v/>
      </c>
      <c r="L6028" t="str">
        <f>IF(A6028="","",IFERROR(LOOKUP(2,1/(#REF!=Z6028),#REF!),Y6028))</f>
        <v/>
      </c>
      <c r="Z6028" t="str">
        <f>IF(A6028="","",TEXT(A6028,"0")&amp;"|"&amp;TEXT(H6028,"0"))</f>
        <v/>
      </c>
      <c r="AA6028" t="str">
        <f>IF(Z6028="","",IFERROR(LOOKUP(2,1/(#REF!=Z6028),#REF!),""))</f>
        <v/>
      </c>
      <c r="AB6028" t="str">
        <f>IF(Z6028="","",IFERROR(LOOKUP(2,1/(#REF!=Z6028),#REF!),""))</f>
        <v/>
      </c>
      <c r="AC6028" t="str">
        <f>IF(Z6028="","",COUNTIF(#REF!,Z6028))</f>
        <v/>
      </c>
      <c r="AD6028" t="str">
        <f>IF(A6028="","",IF(AC6028&gt;1,"REVISAR DUPLICADO",IF(AA6028&lt;&gt;"","ACTUALIZADO POR EYR","SIN REPORTE EYR")))</f>
        <v/>
      </c>
    </row>
    <row r="6029" spans="11:30" x14ac:dyDescent="0.3">
      <c r="K6029" s="1" t="str">
        <f ca="1">IF(A6029="","",IF(OR(L6029="ENTREGADA",L6029="RETORNADA",L6029="ENTREGA DIGITAL"),0,MAX(0,5-NETWORKDAYS(H6029+1,TODAY()))))</f>
        <v/>
      </c>
      <c r="L6029" t="str">
        <f>IF(A6029="","",IFERROR(LOOKUP(2,1/(#REF!=Z6029),#REF!),Y6029))</f>
        <v/>
      </c>
      <c r="Z6029" t="str">
        <f>IF(A6029="","",TEXT(A6029,"0")&amp;"|"&amp;TEXT(H6029,"0"))</f>
        <v/>
      </c>
      <c r="AA6029" t="str">
        <f>IF(Z6029="","",IFERROR(LOOKUP(2,1/(#REF!=Z6029),#REF!),""))</f>
        <v/>
      </c>
      <c r="AB6029" t="str">
        <f>IF(Z6029="","",IFERROR(LOOKUP(2,1/(#REF!=Z6029),#REF!),""))</f>
        <v/>
      </c>
      <c r="AC6029" t="str">
        <f>IF(Z6029="","",COUNTIF(#REF!,Z6029))</f>
        <v/>
      </c>
      <c r="AD6029" t="str">
        <f>IF(A6029="","",IF(AC6029&gt;1,"REVISAR DUPLICADO",IF(AA6029&lt;&gt;"","ACTUALIZADO POR EYR","SIN REPORTE EYR")))</f>
        <v/>
      </c>
    </row>
    <row r="6030" spans="11:30" x14ac:dyDescent="0.3">
      <c r="K6030" s="1" t="str">
        <f ca="1">IF(A6030="","",IF(OR(L6030="ENTREGADA",L6030="RETORNADA",L6030="ENTREGA DIGITAL"),0,MAX(0,5-NETWORKDAYS(H6030+1,TODAY()))))</f>
        <v/>
      </c>
      <c r="L6030" t="str">
        <f>IF(A6030="","",IFERROR(LOOKUP(2,1/(#REF!=Z6030),#REF!),Y6030))</f>
        <v/>
      </c>
      <c r="Z6030" t="str">
        <f>IF(A6030="","",TEXT(A6030,"0")&amp;"|"&amp;TEXT(H6030,"0"))</f>
        <v/>
      </c>
      <c r="AA6030" t="str">
        <f>IF(Z6030="","",IFERROR(LOOKUP(2,1/(#REF!=Z6030),#REF!),""))</f>
        <v/>
      </c>
      <c r="AB6030" t="str">
        <f>IF(Z6030="","",IFERROR(LOOKUP(2,1/(#REF!=Z6030),#REF!),""))</f>
        <v/>
      </c>
      <c r="AC6030" t="str">
        <f>IF(Z6030="","",COUNTIF(#REF!,Z6030))</f>
        <v/>
      </c>
      <c r="AD6030" t="str">
        <f>IF(A6030="","",IF(AC6030&gt;1,"REVISAR DUPLICADO",IF(AA6030&lt;&gt;"","ACTUALIZADO POR EYR","SIN REPORTE EYR")))</f>
        <v/>
      </c>
    </row>
    <row r="6031" spans="11:30" x14ac:dyDescent="0.3">
      <c r="K6031" s="1" t="str">
        <f ca="1">IF(A6031="","",IF(OR(L6031="ENTREGADA",L6031="RETORNADA",L6031="ENTREGA DIGITAL"),0,MAX(0,5-NETWORKDAYS(H6031+1,TODAY()))))</f>
        <v/>
      </c>
      <c r="L6031" t="str">
        <f>IF(A6031="","",IFERROR(LOOKUP(2,1/(#REF!=Z6031),#REF!),Y6031))</f>
        <v/>
      </c>
      <c r="Z6031" t="str">
        <f>IF(A6031="","",TEXT(A6031,"0")&amp;"|"&amp;TEXT(H6031,"0"))</f>
        <v/>
      </c>
      <c r="AA6031" t="str">
        <f>IF(Z6031="","",IFERROR(LOOKUP(2,1/(#REF!=Z6031),#REF!),""))</f>
        <v/>
      </c>
      <c r="AB6031" t="str">
        <f>IF(Z6031="","",IFERROR(LOOKUP(2,1/(#REF!=Z6031),#REF!),""))</f>
        <v/>
      </c>
      <c r="AC6031" t="str">
        <f>IF(Z6031="","",COUNTIF(#REF!,Z6031))</f>
        <v/>
      </c>
      <c r="AD6031" t="str">
        <f>IF(A6031="","",IF(AC6031&gt;1,"REVISAR DUPLICADO",IF(AA6031&lt;&gt;"","ACTUALIZADO POR EYR","SIN REPORTE EYR")))</f>
        <v/>
      </c>
    </row>
    <row r="6032" spans="11:30" x14ac:dyDescent="0.3">
      <c r="K6032" s="1" t="str">
        <f ca="1">IF(A6032="","",IF(OR(L6032="ENTREGADA",L6032="RETORNADA",L6032="ENTREGA DIGITAL"),0,MAX(0,5-NETWORKDAYS(H6032+1,TODAY()))))</f>
        <v/>
      </c>
      <c r="L6032" t="str">
        <f>IF(A6032="","",IFERROR(LOOKUP(2,1/(#REF!=Z6032),#REF!),Y6032))</f>
        <v/>
      </c>
      <c r="Z6032" t="str">
        <f>IF(A6032="","",TEXT(A6032,"0")&amp;"|"&amp;TEXT(H6032,"0"))</f>
        <v/>
      </c>
      <c r="AA6032" t="str">
        <f>IF(Z6032="","",IFERROR(LOOKUP(2,1/(#REF!=Z6032),#REF!),""))</f>
        <v/>
      </c>
      <c r="AB6032" t="str">
        <f>IF(Z6032="","",IFERROR(LOOKUP(2,1/(#REF!=Z6032),#REF!),""))</f>
        <v/>
      </c>
      <c r="AC6032" t="str">
        <f>IF(Z6032="","",COUNTIF(#REF!,Z6032))</f>
        <v/>
      </c>
      <c r="AD6032" t="str">
        <f>IF(A6032="","",IF(AC6032&gt;1,"REVISAR DUPLICADO",IF(AA6032&lt;&gt;"","ACTUALIZADO POR EYR","SIN REPORTE EYR")))</f>
        <v/>
      </c>
    </row>
    <row r="6033" spans="11:30" x14ac:dyDescent="0.3">
      <c r="K6033" s="1" t="str">
        <f ca="1">IF(A6033="","",IF(OR(L6033="ENTREGADA",L6033="RETORNADA",L6033="ENTREGA DIGITAL"),0,MAX(0,5-NETWORKDAYS(H6033+1,TODAY()))))</f>
        <v/>
      </c>
      <c r="L6033" t="str">
        <f>IF(A6033="","",IFERROR(LOOKUP(2,1/(#REF!=Z6033),#REF!),Y6033))</f>
        <v/>
      </c>
      <c r="Z6033" t="str">
        <f>IF(A6033="","",TEXT(A6033,"0")&amp;"|"&amp;TEXT(H6033,"0"))</f>
        <v/>
      </c>
      <c r="AA6033" t="str">
        <f>IF(Z6033="","",IFERROR(LOOKUP(2,1/(#REF!=Z6033),#REF!),""))</f>
        <v/>
      </c>
      <c r="AB6033" t="str">
        <f>IF(Z6033="","",IFERROR(LOOKUP(2,1/(#REF!=Z6033),#REF!),""))</f>
        <v/>
      </c>
      <c r="AC6033" t="str">
        <f>IF(Z6033="","",COUNTIF(#REF!,Z6033))</f>
        <v/>
      </c>
      <c r="AD6033" t="str">
        <f>IF(A6033="","",IF(AC6033&gt;1,"REVISAR DUPLICADO",IF(AA6033&lt;&gt;"","ACTUALIZADO POR EYR","SIN REPORTE EYR")))</f>
        <v/>
      </c>
    </row>
    <row r="6034" spans="11:30" x14ac:dyDescent="0.3">
      <c r="K6034" s="1" t="str">
        <f ca="1">IF(A6034="","",IF(OR(L6034="ENTREGADA",L6034="RETORNADA",L6034="ENTREGA DIGITAL"),0,MAX(0,5-NETWORKDAYS(H6034+1,TODAY()))))</f>
        <v/>
      </c>
      <c r="L6034" t="str">
        <f>IF(A6034="","",IFERROR(LOOKUP(2,1/(#REF!=Z6034),#REF!),Y6034))</f>
        <v/>
      </c>
      <c r="Z6034" t="str">
        <f>IF(A6034="","",TEXT(A6034,"0")&amp;"|"&amp;TEXT(H6034,"0"))</f>
        <v/>
      </c>
      <c r="AA6034" t="str">
        <f>IF(Z6034="","",IFERROR(LOOKUP(2,1/(#REF!=Z6034),#REF!),""))</f>
        <v/>
      </c>
      <c r="AB6034" t="str">
        <f>IF(Z6034="","",IFERROR(LOOKUP(2,1/(#REF!=Z6034),#REF!),""))</f>
        <v/>
      </c>
      <c r="AC6034" t="str">
        <f>IF(Z6034="","",COUNTIF(#REF!,Z6034))</f>
        <v/>
      </c>
      <c r="AD6034" t="str">
        <f>IF(A6034="","",IF(AC6034&gt;1,"REVISAR DUPLICADO",IF(AA6034&lt;&gt;"","ACTUALIZADO POR EYR","SIN REPORTE EYR")))</f>
        <v/>
      </c>
    </row>
    <row r="6035" spans="11:30" x14ac:dyDescent="0.3">
      <c r="K6035" s="1" t="str">
        <f ca="1">IF(A6035="","",IF(OR(L6035="ENTREGADA",L6035="RETORNADA",L6035="ENTREGA DIGITAL"),0,MAX(0,5-NETWORKDAYS(H6035+1,TODAY()))))</f>
        <v/>
      </c>
      <c r="L6035" t="str">
        <f>IF(A6035="","",IFERROR(LOOKUP(2,1/(#REF!=Z6035),#REF!),Y6035))</f>
        <v/>
      </c>
      <c r="Z6035" t="str">
        <f>IF(A6035="","",TEXT(A6035,"0")&amp;"|"&amp;TEXT(H6035,"0"))</f>
        <v/>
      </c>
      <c r="AA6035" t="str">
        <f>IF(Z6035="","",IFERROR(LOOKUP(2,1/(#REF!=Z6035),#REF!),""))</f>
        <v/>
      </c>
      <c r="AB6035" t="str">
        <f>IF(Z6035="","",IFERROR(LOOKUP(2,1/(#REF!=Z6035),#REF!),""))</f>
        <v/>
      </c>
      <c r="AC6035" t="str">
        <f>IF(Z6035="","",COUNTIF(#REF!,Z6035))</f>
        <v/>
      </c>
      <c r="AD6035" t="str">
        <f>IF(A6035="","",IF(AC6035&gt;1,"REVISAR DUPLICADO",IF(AA6035&lt;&gt;"","ACTUALIZADO POR EYR","SIN REPORTE EYR")))</f>
        <v/>
      </c>
    </row>
    <row r="6036" spans="11:30" x14ac:dyDescent="0.3">
      <c r="K6036" s="1" t="str">
        <f ca="1">IF(A6036="","",IF(OR(L6036="ENTREGADA",L6036="RETORNADA",L6036="ENTREGA DIGITAL"),0,MAX(0,5-NETWORKDAYS(H6036+1,TODAY()))))</f>
        <v/>
      </c>
      <c r="L6036" t="str">
        <f>IF(A6036="","",IFERROR(LOOKUP(2,1/(#REF!=Z6036),#REF!),Y6036))</f>
        <v/>
      </c>
      <c r="Z6036" t="str">
        <f>IF(A6036="","",TEXT(A6036,"0")&amp;"|"&amp;TEXT(H6036,"0"))</f>
        <v/>
      </c>
      <c r="AA6036" t="str">
        <f>IF(Z6036="","",IFERROR(LOOKUP(2,1/(#REF!=Z6036),#REF!),""))</f>
        <v/>
      </c>
      <c r="AB6036" t="str">
        <f>IF(Z6036="","",IFERROR(LOOKUP(2,1/(#REF!=Z6036),#REF!),""))</f>
        <v/>
      </c>
      <c r="AC6036" t="str">
        <f>IF(Z6036="","",COUNTIF(#REF!,Z6036))</f>
        <v/>
      </c>
      <c r="AD6036" t="str">
        <f>IF(A6036="","",IF(AC6036&gt;1,"REVISAR DUPLICADO",IF(AA6036&lt;&gt;"","ACTUALIZADO POR EYR","SIN REPORTE EYR")))</f>
        <v/>
      </c>
    </row>
    <row r="6037" spans="11:30" x14ac:dyDescent="0.3">
      <c r="K6037" s="1" t="str">
        <f ca="1">IF(A6037="","",IF(OR(L6037="ENTREGADA",L6037="RETORNADA",L6037="ENTREGA DIGITAL"),0,MAX(0,5-NETWORKDAYS(H6037+1,TODAY()))))</f>
        <v/>
      </c>
      <c r="L6037" t="str">
        <f>IF(A6037="","",IFERROR(LOOKUP(2,1/(#REF!=Z6037),#REF!),Y6037))</f>
        <v/>
      </c>
      <c r="Z6037" t="str">
        <f>IF(A6037="","",TEXT(A6037,"0")&amp;"|"&amp;TEXT(H6037,"0"))</f>
        <v/>
      </c>
      <c r="AA6037" t="str">
        <f>IF(Z6037="","",IFERROR(LOOKUP(2,1/(#REF!=Z6037),#REF!),""))</f>
        <v/>
      </c>
      <c r="AB6037" t="str">
        <f>IF(Z6037="","",IFERROR(LOOKUP(2,1/(#REF!=Z6037),#REF!),""))</f>
        <v/>
      </c>
      <c r="AC6037" t="str">
        <f>IF(Z6037="","",COUNTIF(#REF!,Z6037))</f>
        <v/>
      </c>
      <c r="AD6037" t="str">
        <f>IF(A6037="","",IF(AC6037&gt;1,"REVISAR DUPLICADO",IF(AA6037&lt;&gt;"","ACTUALIZADO POR EYR","SIN REPORTE EYR")))</f>
        <v/>
      </c>
    </row>
    <row r="6038" spans="11:30" x14ac:dyDescent="0.3">
      <c r="K6038" s="1" t="str">
        <f ca="1">IF(A6038="","",IF(OR(L6038="ENTREGADA",L6038="RETORNADA",L6038="ENTREGA DIGITAL"),0,MAX(0,5-NETWORKDAYS(H6038+1,TODAY()))))</f>
        <v/>
      </c>
      <c r="L6038" t="str">
        <f>IF(A6038="","",IFERROR(LOOKUP(2,1/(#REF!=Z6038),#REF!),Y6038))</f>
        <v/>
      </c>
      <c r="Z6038" t="str">
        <f>IF(A6038="","",TEXT(A6038,"0")&amp;"|"&amp;TEXT(H6038,"0"))</f>
        <v/>
      </c>
      <c r="AA6038" t="str">
        <f>IF(Z6038="","",IFERROR(LOOKUP(2,1/(#REF!=Z6038),#REF!),""))</f>
        <v/>
      </c>
      <c r="AB6038" t="str">
        <f>IF(Z6038="","",IFERROR(LOOKUP(2,1/(#REF!=Z6038),#REF!),""))</f>
        <v/>
      </c>
      <c r="AC6038" t="str">
        <f>IF(Z6038="","",COUNTIF(#REF!,Z6038))</f>
        <v/>
      </c>
      <c r="AD6038" t="str">
        <f>IF(A6038="","",IF(AC6038&gt;1,"REVISAR DUPLICADO",IF(AA6038&lt;&gt;"","ACTUALIZADO POR EYR","SIN REPORTE EYR")))</f>
        <v/>
      </c>
    </row>
    <row r="6039" spans="11:30" x14ac:dyDescent="0.3">
      <c r="K6039" s="1" t="str">
        <f ca="1">IF(A6039="","",IF(OR(L6039="ENTREGADA",L6039="RETORNADA",L6039="ENTREGA DIGITAL"),0,MAX(0,5-NETWORKDAYS(H6039+1,TODAY()))))</f>
        <v/>
      </c>
      <c r="L6039" t="str">
        <f>IF(A6039="","",IFERROR(LOOKUP(2,1/(#REF!=Z6039),#REF!),Y6039))</f>
        <v/>
      </c>
      <c r="Z6039" t="str">
        <f>IF(A6039="","",TEXT(A6039,"0")&amp;"|"&amp;TEXT(H6039,"0"))</f>
        <v/>
      </c>
      <c r="AA6039" t="str">
        <f>IF(Z6039="","",IFERROR(LOOKUP(2,1/(#REF!=Z6039),#REF!),""))</f>
        <v/>
      </c>
      <c r="AB6039" t="str">
        <f>IF(Z6039="","",IFERROR(LOOKUP(2,1/(#REF!=Z6039),#REF!),""))</f>
        <v/>
      </c>
      <c r="AC6039" t="str">
        <f>IF(Z6039="","",COUNTIF(#REF!,Z6039))</f>
        <v/>
      </c>
      <c r="AD6039" t="str">
        <f>IF(A6039="","",IF(AC6039&gt;1,"REVISAR DUPLICADO",IF(AA6039&lt;&gt;"","ACTUALIZADO POR EYR","SIN REPORTE EYR")))</f>
        <v/>
      </c>
    </row>
    <row r="6040" spans="11:30" x14ac:dyDescent="0.3">
      <c r="K6040" s="1" t="str">
        <f ca="1">IF(A6040="","",IF(OR(L6040="ENTREGADA",L6040="RETORNADA",L6040="ENTREGA DIGITAL"),0,MAX(0,5-NETWORKDAYS(H6040+1,TODAY()))))</f>
        <v/>
      </c>
      <c r="L6040" t="str">
        <f>IF(A6040="","",IFERROR(LOOKUP(2,1/(#REF!=Z6040),#REF!),Y6040))</f>
        <v/>
      </c>
      <c r="Z6040" t="str">
        <f>IF(A6040="","",TEXT(A6040,"0")&amp;"|"&amp;TEXT(H6040,"0"))</f>
        <v/>
      </c>
      <c r="AA6040" t="str">
        <f>IF(Z6040="","",IFERROR(LOOKUP(2,1/(#REF!=Z6040),#REF!),""))</f>
        <v/>
      </c>
      <c r="AB6040" t="str">
        <f>IF(Z6040="","",IFERROR(LOOKUP(2,1/(#REF!=Z6040),#REF!),""))</f>
        <v/>
      </c>
      <c r="AC6040" t="str">
        <f>IF(Z6040="","",COUNTIF(#REF!,Z6040))</f>
        <v/>
      </c>
      <c r="AD6040" t="str">
        <f>IF(A6040="","",IF(AC6040&gt;1,"REVISAR DUPLICADO",IF(AA6040&lt;&gt;"","ACTUALIZADO POR EYR","SIN REPORTE EYR")))</f>
        <v/>
      </c>
    </row>
    <row r="6041" spans="11:30" x14ac:dyDescent="0.3">
      <c r="K6041" s="1" t="str">
        <f ca="1">IF(A6041="","",IF(OR(L6041="ENTREGADA",L6041="RETORNADA",L6041="ENTREGA DIGITAL"),0,MAX(0,5-NETWORKDAYS(H6041+1,TODAY()))))</f>
        <v/>
      </c>
      <c r="L6041" t="str">
        <f>IF(A6041="","",IFERROR(LOOKUP(2,1/(#REF!=Z6041),#REF!),Y6041))</f>
        <v/>
      </c>
      <c r="Z6041" t="str">
        <f>IF(A6041="","",TEXT(A6041,"0")&amp;"|"&amp;TEXT(H6041,"0"))</f>
        <v/>
      </c>
      <c r="AA6041" t="str">
        <f>IF(Z6041="","",IFERROR(LOOKUP(2,1/(#REF!=Z6041),#REF!),""))</f>
        <v/>
      </c>
      <c r="AB6041" t="str">
        <f>IF(Z6041="","",IFERROR(LOOKUP(2,1/(#REF!=Z6041),#REF!),""))</f>
        <v/>
      </c>
      <c r="AC6041" t="str">
        <f>IF(Z6041="","",COUNTIF(#REF!,Z6041))</f>
        <v/>
      </c>
      <c r="AD6041" t="str">
        <f>IF(A6041="","",IF(AC6041&gt;1,"REVISAR DUPLICADO",IF(AA6041&lt;&gt;"","ACTUALIZADO POR EYR","SIN REPORTE EYR")))</f>
        <v/>
      </c>
    </row>
    <row r="6042" spans="11:30" x14ac:dyDescent="0.3">
      <c r="K6042" s="1" t="str">
        <f ca="1">IF(A6042="","",IF(OR(L6042="ENTREGADA",L6042="RETORNADA",L6042="ENTREGA DIGITAL"),0,MAX(0,5-NETWORKDAYS(H6042+1,TODAY()))))</f>
        <v/>
      </c>
      <c r="L6042" t="str">
        <f>IF(A6042="","",IFERROR(LOOKUP(2,1/(#REF!=Z6042),#REF!),Y6042))</f>
        <v/>
      </c>
      <c r="Z6042" t="str">
        <f>IF(A6042="","",TEXT(A6042,"0")&amp;"|"&amp;TEXT(H6042,"0"))</f>
        <v/>
      </c>
      <c r="AA6042" t="str">
        <f>IF(Z6042="","",IFERROR(LOOKUP(2,1/(#REF!=Z6042),#REF!),""))</f>
        <v/>
      </c>
      <c r="AB6042" t="str">
        <f>IF(Z6042="","",IFERROR(LOOKUP(2,1/(#REF!=Z6042),#REF!),""))</f>
        <v/>
      </c>
      <c r="AC6042" t="str">
        <f>IF(Z6042="","",COUNTIF(#REF!,Z6042))</f>
        <v/>
      </c>
      <c r="AD6042" t="str">
        <f>IF(A6042="","",IF(AC6042&gt;1,"REVISAR DUPLICADO",IF(AA6042&lt;&gt;"","ACTUALIZADO POR EYR","SIN REPORTE EYR")))</f>
        <v/>
      </c>
    </row>
    <row r="6043" spans="11:30" x14ac:dyDescent="0.3">
      <c r="K6043" s="1" t="str">
        <f ca="1">IF(A6043="","",IF(OR(L6043="ENTREGADA",L6043="RETORNADA",L6043="ENTREGA DIGITAL"),0,MAX(0,5-NETWORKDAYS(H6043+1,TODAY()))))</f>
        <v/>
      </c>
      <c r="L6043" t="str">
        <f>IF(A6043="","",IFERROR(LOOKUP(2,1/(#REF!=Z6043),#REF!),Y6043))</f>
        <v/>
      </c>
      <c r="Z6043" t="str">
        <f>IF(A6043="","",TEXT(A6043,"0")&amp;"|"&amp;TEXT(H6043,"0"))</f>
        <v/>
      </c>
      <c r="AA6043" t="str">
        <f>IF(Z6043="","",IFERROR(LOOKUP(2,1/(#REF!=Z6043),#REF!),""))</f>
        <v/>
      </c>
      <c r="AB6043" t="str">
        <f>IF(Z6043="","",IFERROR(LOOKUP(2,1/(#REF!=Z6043),#REF!),""))</f>
        <v/>
      </c>
      <c r="AC6043" t="str">
        <f>IF(Z6043="","",COUNTIF(#REF!,Z6043))</f>
        <v/>
      </c>
      <c r="AD6043" t="str">
        <f>IF(A6043="","",IF(AC6043&gt;1,"REVISAR DUPLICADO",IF(AA6043&lt;&gt;"","ACTUALIZADO POR EYR","SIN REPORTE EYR")))</f>
        <v/>
      </c>
    </row>
    <row r="6044" spans="11:30" x14ac:dyDescent="0.3">
      <c r="K6044" s="1" t="str">
        <f ca="1">IF(A6044="","",IF(OR(L6044="ENTREGADA",L6044="RETORNADA",L6044="ENTREGA DIGITAL"),0,MAX(0,5-NETWORKDAYS(H6044+1,TODAY()))))</f>
        <v/>
      </c>
      <c r="L6044" t="str">
        <f>IF(A6044="","",IFERROR(LOOKUP(2,1/(#REF!=Z6044),#REF!),Y6044))</f>
        <v/>
      </c>
      <c r="Z6044" t="str">
        <f>IF(A6044="","",TEXT(A6044,"0")&amp;"|"&amp;TEXT(H6044,"0"))</f>
        <v/>
      </c>
      <c r="AA6044" t="str">
        <f>IF(Z6044="","",IFERROR(LOOKUP(2,1/(#REF!=Z6044),#REF!),""))</f>
        <v/>
      </c>
      <c r="AB6044" t="str">
        <f>IF(Z6044="","",IFERROR(LOOKUP(2,1/(#REF!=Z6044),#REF!),""))</f>
        <v/>
      </c>
      <c r="AC6044" t="str">
        <f>IF(Z6044="","",COUNTIF(#REF!,Z6044))</f>
        <v/>
      </c>
      <c r="AD6044" t="str">
        <f>IF(A6044="","",IF(AC6044&gt;1,"REVISAR DUPLICADO",IF(AA6044&lt;&gt;"","ACTUALIZADO POR EYR","SIN REPORTE EYR")))</f>
        <v/>
      </c>
    </row>
    <row r="6045" spans="11:30" x14ac:dyDescent="0.3">
      <c r="K6045" s="1" t="str">
        <f ca="1">IF(A6045="","",IF(OR(L6045="ENTREGADA",L6045="RETORNADA",L6045="ENTREGA DIGITAL"),0,MAX(0,5-NETWORKDAYS(H6045+1,TODAY()))))</f>
        <v/>
      </c>
      <c r="L6045" t="str">
        <f>IF(A6045="","",IFERROR(LOOKUP(2,1/(#REF!=Z6045),#REF!),Y6045))</f>
        <v/>
      </c>
      <c r="Z6045" t="str">
        <f>IF(A6045="","",TEXT(A6045,"0")&amp;"|"&amp;TEXT(H6045,"0"))</f>
        <v/>
      </c>
      <c r="AA6045" t="str">
        <f>IF(Z6045="","",IFERROR(LOOKUP(2,1/(#REF!=Z6045),#REF!),""))</f>
        <v/>
      </c>
      <c r="AB6045" t="str">
        <f>IF(Z6045="","",IFERROR(LOOKUP(2,1/(#REF!=Z6045),#REF!),""))</f>
        <v/>
      </c>
      <c r="AC6045" t="str">
        <f>IF(Z6045="","",COUNTIF(#REF!,Z6045))</f>
        <v/>
      </c>
      <c r="AD6045" t="str">
        <f>IF(A6045="","",IF(AC6045&gt;1,"REVISAR DUPLICADO",IF(AA6045&lt;&gt;"","ACTUALIZADO POR EYR","SIN REPORTE EYR")))</f>
        <v/>
      </c>
    </row>
    <row r="6046" spans="11:30" x14ac:dyDescent="0.3">
      <c r="K6046" s="1" t="str">
        <f ca="1">IF(A6046="","",IF(OR(L6046="ENTREGADA",L6046="RETORNADA",L6046="ENTREGA DIGITAL"),0,MAX(0,5-NETWORKDAYS(H6046+1,TODAY()))))</f>
        <v/>
      </c>
      <c r="L6046" t="str">
        <f>IF(A6046="","",IFERROR(LOOKUP(2,1/(#REF!=Z6046),#REF!),Y6046))</f>
        <v/>
      </c>
      <c r="Z6046" t="str">
        <f>IF(A6046="","",TEXT(A6046,"0")&amp;"|"&amp;TEXT(H6046,"0"))</f>
        <v/>
      </c>
      <c r="AA6046" t="str">
        <f>IF(Z6046="","",IFERROR(LOOKUP(2,1/(#REF!=Z6046),#REF!),""))</f>
        <v/>
      </c>
      <c r="AB6046" t="str">
        <f>IF(Z6046="","",IFERROR(LOOKUP(2,1/(#REF!=Z6046),#REF!),""))</f>
        <v/>
      </c>
      <c r="AC6046" t="str">
        <f>IF(Z6046="","",COUNTIF(#REF!,Z6046))</f>
        <v/>
      </c>
      <c r="AD6046" t="str">
        <f>IF(A6046="","",IF(AC6046&gt;1,"REVISAR DUPLICADO",IF(AA6046&lt;&gt;"","ACTUALIZADO POR EYR","SIN REPORTE EYR")))</f>
        <v/>
      </c>
    </row>
    <row r="6047" spans="11:30" x14ac:dyDescent="0.3">
      <c r="K6047" s="1" t="str">
        <f ca="1">IF(A6047="","",IF(OR(L6047="ENTREGADA",L6047="RETORNADA",L6047="ENTREGA DIGITAL"),0,MAX(0,5-NETWORKDAYS(H6047+1,TODAY()))))</f>
        <v/>
      </c>
      <c r="L6047" t="str">
        <f>IF(A6047="","",IFERROR(LOOKUP(2,1/(#REF!=Z6047),#REF!),Y6047))</f>
        <v/>
      </c>
      <c r="Z6047" t="str">
        <f>IF(A6047="","",TEXT(A6047,"0")&amp;"|"&amp;TEXT(H6047,"0"))</f>
        <v/>
      </c>
      <c r="AA6047" t="str">
        <f>IF(Z6047="","",IFERROR(LOOKUP(2,1/(#REF!=Z6047),#REF!),""))</f>
        <v/>
      </c>
      <c r="AB6047" t="str">
        <f>IF(Z6047="","",IFERROR(LOOKUP(2,1/(#REF!=Z6047),#REF!),""))</f>
        <v/>
      </c>
      <c r="AC6047" t="str">
        <f>IF(Z6047="","",COUNTIF(#REF!,Z6047))</f>
        <v/>
      </c>
      <c r="AD6047" t="str">
        <f>IF(A6047="","",IF(AC6047&gt;1,"REVISAR DUPLICADO",IF(AA6047&lt;&gt;"","ACTUALIZADO POR EYR","SIN REPORTE EYR")))</f>
        <v/>
      </c>
    </row>
    <row r="6048" spans="11:30" x14ac:dyDescent="0.3">
      <c r="K6048" s="1" t="str">
        <f ca="1">IF(A6048="","",IF(OR(L6048="ENTREGADA",L6048="RETORNADA",L6048="ENTREGA DIGITAL"),0,MAX(0,5-NETWORKDAYS(H6048+1,TODAY()))))</f>
        <v/>
      </c>
      <c r="L6048" t="str">
        <f>IF(A6048="","",IFERROR(LOOKUP(2,1/(#REF!=Z6048),#REF!),Y6048))</f>
        <v/>
      </c>
      <c r="Z6048" t="str">
        <f>IF(A6048="","",TEXT(A6048,"0")&amp;"|"&amp;TEXT(H6048,"0"))</f>
        <v/>
      </c>
      <c r="AA6048" t="str">
        <f>IF(Z6048="","",IFERROR(LOOKUP(2,1/(#REF!=Z6048),#REF!),""))</f>
        <v/>
      </c>
      <c r="AB6048" t="str">
        <f>IF(Z6048="","",IFERROR(LOOKUP(2,1/(#REF!=Z6048),#REF!),""))</f>
        <v/>
      </c>
      <c r="AC6048" t="str">
        <f>IF(Z6048="","",COUNTIF(#REF!,Z6048))</f>
        <v/>
      </c>
      <c r="AD6048" t="str">
        <f>IF(A6048="","",IF(AC6048&gt;1,"REVISAR DUPLICADO",IF(AA6048&lt;&gt;"","ACTUALIZADO POR EYR","SIN REPORTE EYR")))</f>
        <v/>
      </c>
    </row>
    <row r="6049" spans="11:30" x14ac:dyDescent="0.3">
      <c r="K6049" s="1" t="str">
        <f ca="1">IF(A6049="","",IF(OR(L6049="ENTREGADA",L6049="RETORNADA",L6049="ENTREGA DIGITAL"),0,MAX(0,5-NETWORKDAYS(H6049+1,TODAY()))))</f>
        <v/>
      </c>
      <c r="L6049" t="str">
        <f>IF(A6049="","",IFERROR(LOOKUP(2,1/(#REF!=Z6049),#REF!),Y6049))</f>
        <v/>
      </c>
      <c r="Z6049" t="str">
        <f>IF(A6049="","",TEXT(A6049,"0")&amp;"|"&amp;TEXT(H6049,"0"))</f>
        <v/>
      </c>
      <c r="AA6049" t="str">
        <f>IF(Z6049="","",IFERROR(LOOKUP(2,1/(#REF!=Z6049),#REF!),""))</f>
        <v/>
      </c>
      <c r="AB6049" t="str">
        <f>IF(Z6049="","",IFERROR(LOOKUP(2,1/(#REF!=Z6049),#REF!),""))</f>
        <v/>
      </c>
      <c r="AC6049" t="str">
        <f>IF(Z6049="","",COUNTIF(#REF!,Z6049))</f>
        <v/>
      </c>
      <c r="AD6049" t="str">
        <f>IF(A6049="","",IF(AC6049&gt;1,"REVISAR DUPLICADO",IF(AA6049&lt;&gt;"","ACTUALIZADO POR EYR","SIN REPORTE EYR")))</f>
        <v/>
      </c>
    </row>
    <row r="6050" spans="11:30" x14ac:dyDescent="0.3">
      <c r="K6050" s="1" t="str">
        <f ca="1">IF(A6050="","",IF(OR(L6050="ENTREGADA",L6050="RETORNADA",L6050="ENTREGA DIGITAL"),0,MAX(0,5-NETWORKDAYS(H6050+1,TODAY()))))</f>
        <v/>
      </c>
      <c r="L6050" t="str">
        <f>IF(A6050="","",IFERROR(LOOKUP(2,1/(#REF!=Z6050),#REF!),Y6050))</f>
        <v/>
      </c>
      <c r="Z6050" t="str">
        <f>IF(A6050="","",TEXT(A6050,"0")&amp;"|"&amp;TEXT(H6050,"0"))</f>
        <v/>
      </c>
      <c r="AA6050" t="str">
        <f>IF(Z6050="","",IFERROR(LOOKUP(2,1/(#REF!=Z6050),#REF!),""))</f>
        <v/>
      </c>
      <c r="AB6050" t="str">
        <f>IF(Z6050="","",IFERROR(LOOKUP(2,1/(#REF!=Z6050),#REF!),""))</f>
        <v/>
      </c>
      <c r="AC6050" t="str">
        <f>IF(Z6050="","",COUNTIF(#REF!,Z6050))</f>
        <v/>
      </c>
      <c r="AD6050" t="str">
        <f>IF(A6050="","",IF(AC6050&gt;1,"REVISAR DUPLICADO",IF(AA6050&lt;&gt;"","ACTUALIZADO POR EYR","SIN REPORTE EYR")))</f>
        <v/>
      </c>
    </row>
    <row r="6051" spans="11:30" x14ac:dyDescent="0.3">
      <c r="K6051" s="1" t="str">
        <f ca="1">IF(A6051="","",IF(OR(L6051="ENTREGADA",L6051="RETORNADA",L6051="ENTREGA DIGITAL"),0,MAX(0,5-NETWORKDAYS(H6051+1,TODAY()))))</f>
        <v/>
      </c>
      <c r="L6051" t="str">
        <f>IF(A6051="","",IFERROR(LOOKUP(2,1/(#REF!=Z6051),#REF!),Y6051))</f>
        <v/>
      </c>
      <c r="Z6051" t="str">
        <f>IF(A6051="","",TEXT(A6051,"0")&amp;"|"&amp;TEXT(H6051,"0"))</f>
        <v/>
      </c>
      <c r="AA6051" t="str">
        <f>IF(Z6051="","",IFERROR(LOOKUP(2,1/(#REF!=Z6051),#REF!),""))</f>
        <v/>
      </c>
      <c r="AB6051" t="str">
        <f>IF(Z6051="","",IFERROR(LOOKUP(2,1/(#REF!=Z6051),#REF!),""))</f>
        <v/>
      </c>
      <c r="AC6051" t="str">
        <f>IF(Z6051="","",COUNTIF(#REF!,Z6051))</f>
        <v/>
      </c>
      <c r="AD6051" t="str">
        <f>IF(A6051="","",IF(AC6051&gt;1,"REVISAR DUPLICADO",IF(AA6051&lt;&gt;"","ACTUALIZADO POR EYR","SIN REPORTE EYR")))</f>
        <v/>
      </c>
    </row>
    <row r="6052" spans="11:30" x14ac:dyDescent="0.3">
      <c r="K6052" s="1" t="str">
        <f ca="1">IF(A6052="","",IF(OR(L6052="ENTREGADA",L6052="RETORNADA",L6052="ENTREGA DIGITAL"),0,MAX(0,5-NETWORKDAYS(H6052+1,TODAY()))))</f>
        <v/>
      </c>
      <c r="L6052" t="str">
        <f>IF(A6052="","",IFERROR(LOOKUP(2,1/(#REF!=Z6052),#REF!),Y6052))</f>
        <v/>
      </c>
      <c r="Z6052" t="str">
        <f>IF(A6052="","",TEXT(A6052,"0")&amp;"|"&amp;TEXT(H6052,"0"))</f>
        <v/>
      </c>
      <c r="AA6052" t="str">
        <f>IF(Z6052="","",IFERROR(LOOKUP(2,1/(#REF!=Z6052),#REF!),""))</f>
        <v/>
      </c>
      <c r="AB6052" t="str">
        <f>IF(Z6052="","",IFERROR(LOOKUP(2,1/(#REF!=Z6052),#REF!),""))</f>
        <v/>
      </c>
      <c r="AC6052" t="str">
        <f>IF(Z6052="","",COUNTIF(#REF!,Z6052))</f>
        <v/>
      </c>
      <c r="AD6052" t="str">
        <f>IF(A6052="","",IF(AC6052&gt;1,"REVISAR DUPLICADO",IF(AA6052&lt;&gt;"","ACTUALIZADO POR EYR","SIN REPORTE EYR")))</f>
        <v/>
      </c>
    </row>
    <row r="6053" spans="11:30" x14ac:dyDescent="0.3">
      <c r="K6053" s="1" t="str">
        <f ca="1">IF(A6053="","",IF(OR(L6053="ENTREGADA",L6053="RETORNADA",L6053="ENTREGA DIGITAL"),0,MAX(0,5-NETWORKDAYS(H6053+1,TODAY()))))</f>
        <v/>
      </c>
      <c r="L6053" t="str">
        <f>IF(A6053="","",IFERROR(LOOKUP(2,1/(#REF!=Z6053),#REF!),Y6053))</f>
        <v/>
      </c>
      <c r="Z6053" t="str">
        <f>IF(A6053="","",TEXT(A6053,"0")&amp;"|"&amp;TEXT(H6053,"0"))</f>
        <v/>
      </c>
      <c r="AA6053" t="str">
        <f>IF(Z6053="","",IFERROR(LOOKUP(2,1/(#REF!=Z6053),#REF!),""))</f>
        <v/>
      </c>
      <c r="AB6053" t="str">
        <f>IF(Z6053="","",IFERROR(LOOKUP(2,1/(#REF!=Z6053),#REF!),""))</f>
        <v/>
      </c>
      <c r="AC6053" t="str">
        <f>IF(Z6053="","",COUNTIF(#REF!,Z6053))</f>
        <v/>
      </c>
      <c r="AD6053" t="str">
        <f>IF(A6053="","",IF(AC6053&gt;1,"REVISAR DUPLICADO",IF(AA6053&lt;&gt;"","ACTUALIZADO POR EYR","SIN REPORTE EYR")))</f>
        <v/>
      </c>
    </row>
    <row r="6054" spans="11:30" x14ac:dyDescent="0.3">
      <c r="K6054" s="1" t="str">
        <f ca="1">IF(A6054="","",IF(OR(L6054="ENTREGADA",L6054="RETORNADA",L6054="ENTREGA DIGITAL"),0,MAX(0,5-NETWORKDAYS(H6054+1,TODAY()))))</f>
        <v/>
      </c>
      <c r="L6054" t="str">
        <f>IF(A6054="","",IFERROR(LOOKUP(2,1/(#REF!=Z6054),#REF!),Y6054))</f>
        <v/>
      </c>
      <c r="Z6054" t="str">
        <f>IF(A6054="","",TEXT(A6054,"0")&amp;"|"&amp;TEXT(H6054,"0"))</f>
        <v/>
      </c>
      <c r="AA6054" t="str">
        <f>IF(Z6054="","",IFERROR(LOOKUP(2,1/(#REF!=Z6054),#REF!),""))</f>
        <v/>
      </c>
      <c r="AB6054" t="str">
        <f>IF(Z6054="","",IFERROR(LOOKUP(2,1/(#REF!=Z6054),#REF!),""))</f>
        <v/>
      </c>
      <c r="AC6054" t="str">
        <f>IF(Z6054="","",COUNTIF(#REF!,Z6054))</f>
        <v/>
      </c>
      <c r="AD6054" t="str">
        <f>IF(A6054="","",IF(AC6054&gt;1,"REVISAR DUPLICADO",IF(AA6054&lt;&gt;"","ACTUALIZADO POR EYR","SIN REPORTE EYR")))</f>
        <v/>
      </c>
    </row>
    <row r="6055" spans="11:30" x14ac:dyDescent="0.3">
      <c r="K6055" s="1" t="str">
        <f ca="1">IF(A6055="","",IF(OR(L6055="ENTREGADA",L6055="RETORNADA",L6055="ENTREGA DIGITAL"),0,MAX(0,5-NETWORKDAYS(H6055+1,TODAY()))))</f>
        <v/>
      </c>
      <c r="L6055" t="str">
        <f>IF(A6055="","",IFERROR(LOOKUP(2,1/(#REF!=Z6055),#REF!),Y6055))</f>
        <v/>
      </c>
      <c r="Z6055" t="str">
        <f>IF(A6055="","",TEXT(A6055,"0")&amp;"|"&amp;TEXT(H6055,"0"))</f>
        <v/>
      </c>
      <c r="AA6055" t="str">
        <f>IF(Z6055="","",IFERROR(LOOKUP(2,1/(#REF!=Z6055),#REF!),""))</f>
        <v/>
      </c>
      <c r="AB6055" t="str">
        <f>IF(Z6055="","",IFERROR(LOOKUP(2,1/(#REF!=Z6055),#REF!),""))</f>
        <v/>
      </c>
      <c r="AC6055" t="str">
        <f>IF(Z6055="","",COUNTIF(#REF!,Z6055))</f>
        <v/>
      </c>
      <c r="AD6055" t="str">
        <f>IF(A6055="","",IF(AC6055&gt;1,"REVISAR DUPLICADO",IF(AA6055&lt;&gt;"","ACTUALIZADO POR EYR","SIN REPORTE EYR")))</f>
        <v/>
      </c>
    </row>
    <row r="6056" spans="11:30" x14ac:dyDescent="0.3">
      <c r="K6056" s="1" t="str">
        <f ca="1">IF(A6056="","",IF(OR(L6056="ENTREGADA",L6056="RETORNADA",L6056="ENTREGA DIGITAL"),0,MAX(0,5-NETWORKDAYS(H6056+1,TODAY()))))</f>
        <v/>
      </c>
      <c r="L6056" t="str">
        <f>IF(A6056="","",IFERROR(LOOKUP(2,1/(#REF!=Z6056),#REF!),Y6056))</f>
        <v/>
      </c>
      <c r="Z6056" t="str">
        <f>IF(A6056="","",TEXT(A6056,"0")&amp;"|"&amp;TEXT(H6056,"0"))</f>
        <v/>
      </c>
      <c r="AA6056" t="str">
        <f>IF(Z6056="","",IFERROR(LOOKUP(2,1/(#REF!=Z6056),#REF!),""))</f>
        <v/>
      </c>
      <c r="AB6056" t="str">
        <f>IF(Z6056="","",IFERROR(LOOKUP(2,1/(#REF!=Z6056),#REF!),""))</f>
        <v/>
      </c>
      <c r="AC6056" t="str">
        <f>IF(Z6056="","",COUNTIF(#REF!,Z6056))</f>
        <v/>
      </c>
      <c r="AD6056" t="str">
        <f>IF(A6056="","",IF(AC6056&gt;1,"REVISAR DUPLICADO",IF(AA6056&lt;&gt;"","ACTUALIZADO POR EYR","SIN REPORTE EYR")))</f>
        <v/>
      </c>
    </row>
    <row r="6057" spans="11:30" x14ac:dyDescent="0.3">
      <c r="K6057" s="1" t="str">
        <f ca="1">IF(A6057="","",IF(OR(L6057="ENTREGADA",L6057="RETORNADA",L6057="ENTREGA DIGITAL"),0,MAX(0,5-NETWORKDAYS(H6057+1,TODAY()))))</f>
        <v/>
      </c>
      <c r="L6057" t="str">
        <f>IF(A6057="","",IFERROR(LOOKUP(2,1/(#REF!=Z6057),#REF!),Y6057))</f>
        <v/>
      </c>
      <c r="Z6057" t="str">
        <f>IF(A6057="","",TEXT(A6057,"0")&amp;"|"&amp;TEXT(H6057,"0"))</f>
        <v/>
      </c>
      <c r="AA6057" t="str">
        <f>IF(Z6057="","",IFERROR(LOOKUP(2,1/(#REF!=Z6057),#REF!),""))</f>
        <v/>
      </c>
      <c r="AB6057" t="str">
        <f>IF(Z6057="","",IFERROR(LOOKUP(2,1/(#REF!=Z6057),#REF!),""))</f>
        <v/>
      </c>
      <c r="AC6057" t="str">
        <f>IF(Z6057="","",COUNTIF(#REF!,Z6057))</f>
        <v/>
      </c>
      <c r="AD6057" t="str">
        <f>IF(A6057="","",IF(AC6057&gt;1,"REVISAR DUPLICADO",IF(AA6057&lt;&gt;"","ACTUALIZADO POR EYR","SIN REPORTE EYR")))</f>
        <v/>
      </c>
    </row>
    <row r="6058" spans="11:30" x14ac:dyDescent="0.3">
      <c r="K6058" s="1" t="str">
        <f ca="1">IF(A6058="","",IF(OR(L6058="ENTREGADA",L6058="RETORNADA",L6058="ENTREGA DIGITAL"),0,MAX(0,5-NETWORKDAYS(H6058+1,TODAY()))))</f>
        <v/>
      </c>
      <c r="L6058" t="str">
        <f>IF(A6058="","",IFERROR(LOOKUP(2,1/(#REF!=Z6058),#REF!),Y6058))</f>
        <v/>
      </c>
      <c r="Z6058" t="str">
        <f>IF(A6058="","",TEXT(A6058,"0")&amp;"|"&amp;TEXT(H6058,"0"))</f>
        <v/>
      </c>
      <c r="AA6058" t="str">
        <f>IF(Z6058="","",IFERROR(LOOKUP(2,1/(#REF!=Z6058),#REF!),""))</f>
        <v/>
      </c>
      <c r="AB6058" t="str">
        <f>IF(Z6058="","",IFERROR(LOOKUP(2,1/(#REF!=Z6058),#REF!),""))</f>
        <v/>
      </c>
      <c r="AC6058" t="str">
        <f>IF(Z6058="","",COUNTIF(#REF!,Z6058))</f>
        <v/>
      </c>
      <c r="AD6058" t="str">
        <f>IF(A6058="","",IF(AC6058&gt;1,"REVISAR DUPLICADO",IF(AA6058&lt;&gt;"","ACTUALIZADO POR EYR","SIN REPORTE EYR")))</f>
        <v/>
      </c>
    </row>
    <row r="6059" spans="11:30" x14ac:dyDescent="0.3">
      <c r="K6059" s="1" t="str">
        <f ca="1">IF(A6059="","",IF(OR(L6059="ENTREGADA",L6059="RETORNADA",L6059="ENTREGA DIGITAL"),0,MAX(0,5-NETWORKDAYS(H6059+1,TODAY()))))</f>
        <v/>
      </c>
      <c r="L6059" t="str">
        <f>IF(A6059="","",IFERROR(LOOKUP(2,1/(#REF!=Z6059),#REF!),Y6059))</f>
        <v/>
      </c>
      <c r="Z6059" t="str">
        <f>IF(A6059="","",TEXT(A6059,"0")&amp;"|"&amp;TEXT(H6059,"0"))</f>
        <v/>
      </c>
      <c r="AA6059" t="str">
        <f>IF(Z6059="","",IFERROR(LOOKUP(2,1/(#REF!=Z6059),#REF!),""))</f>
        <v/>
      </c>
      <c r="AB6059" t="str">
        <f>IF(Z6059="","",IFERROR(LOOKUP(2,1/(#REF!=Z6059),#REF!),""))</f>
        <v/>
      </c>
      <c r="AC6059" t="str">
        <f>IF(Z6059="","",COUNTIF(#REF!,Z6059))</f>
        <v/>
      </c>
      <c r="AD6059" t="str">
        <f>IF(A6059="","",IF(AC6059&gt;1,"REVISAR DUPLICADO",IF(AA6059&lt;&gt;"","ACTUALIZADO POR EYR","SIN REPORTE EYR")))</f>
        <v/>
      </c>
    </row>
    <row r="6060" spans="11:30" x14ac:dyDescent="0.3">
      <c r="K6060" s="1" t="str">
        <f ca="1">IF(A6060="","",IF(OR(L6060="ENTREGADA",L6060="RETORNADA",L6060="ENTREGA DIGITAL"),0,MAX(0,5-NETWORKDAYS(H6060+1,TODAY()))))</f>
        <v/>
      </c>
      <c r="L6060" t="str">
        <f>IF(A6060="","",IFERROR(LOOKUP(2,1/(#REF!=Z6060),#REF!),Y6060))</f>
        <v/>
      </c>
      <c r="Z6060" t="str">
        <f>IF(A6060="","",TEXT(A6060,"0")&amp;"|"&amp;TEXT(H6060,"0"))</f>
        <v/>
      </c>
      <c r="AA6060" t="str">
        <f>IF(Z6060="","",IFERROR(LOOKUP(2,1/(#REF!=Z6060),#REF!),""))</f>
        <v/>
      </c>
      <c r="AB6060" t="str">
        <f>IF(Z6060="","",IFERROR(LOOKUP(2,1/(#REF!=Z6060),#REF!),""))</f>
        <v/>
      </c>
      <c r="AC6060" t="str">
        <f>IF(Z6060="","",COUNTIF(#REF!,Z6060))</f>
        <v/>
      </c>
      <c r="AD6060" t="str">
        <f>IF(A6060="","",IF(AC6060&gt;1,"REVISAR DUPLICADO",IF(AA6060&lt;&gt;"","ACTUALIZADO POR EYR","SIN REPORTE EYR")))</f>
        <v/>
      </c>
    </row>
    <row r="6061" spans="11:30" x14ac:dyDescent="0.3">
      <c r="K6061" s="1" t="str">
        <f ca="1">IF(A6061="","",IF(OR(L6061="ENTREGADA",L6061="RETORNADA",L6061="ENTREGA DIGITAL"),0,MAX(0,5-NETWORKDAYS(H6061+1,TODAY()))))</f>
        <v/>
      </c>
      <c r="L6061" t="str">
        <f>IF(A6061="","",IFERROR(LOOKUP(2,1/(#REF!=Z6061),#REF!),Y6061))</f>
        <v/>
      </c>
      <c r="Z6061" t="str">
        <f>IF(A6061="","",TEXT(A6061,"0")&amp;"|"&amp;TEXT(H6061,"0"))</f>
        <v/>
      </c>
      <c r="AA6061" t="str">
        <f>IF(Z6061="","",IFERROR(LOOKUP(2,1/(#REF!=Z6061),#REF!),""))</f>
        <v/>
      </c>
      <c r="AB6061" t="str">
        <f>IF(Z6061="","",IFERROR(LOOKUP(2,1/(#REF!=Z6061),#REF!),""))</f>
        <v/>
      </c>
      <c r="AC6061" t="str">
        <f>IF(Z6061="","",COUNTIF(#REF!,Z6061))</f>
        <v/>
      </c>
      <c r="AD6061" t="str">
        <f>IF(A6061="","",IF(AC6061&gt;1,"REVISAR DUPLICADO",IF(AA6061&lt;&gt;"","ACTUALIZADO POR EYR","SIN REPORTE EYR")))</f>
        <v/>
      </c>
    </row>
    <row r="6062" spans="11:30" x14ac:dyDescent="0.3">
      <c r="K6062" s="1" t="str">
        <f ca="1">IF(A6062="","",IF(OR(L6062="ENTREGADA",L6062="RETORNADA",L6062="ENTREGA DIGITAL"),0,MAX(0,5-NETWORKDAYS(H6062+1,TODAY()))))</f>
        <v/>
      </c>
      <c r="L6062" t="str">
        <f>IF(A6062="","",IFERROR(LOOKUP(2,1/(#REF!=Z6062),#REF!),Y6062))</f>
        <v/>
      </c>
      <c r="Z6062" t="str">
        <f>IF(A6062="","",TEXT(A6062,"0")&amp;"|"&amp;TEXT(H6062,"0"))</f>
        <v/>
      </c>
      <c r="AA6062" t="str">
        <f>IF(Z6062="","",IFERROR(LOOKUP(2,1/(#REF!=Z6062),#REF!),""))</f>
        <v/>
      </c>
      <c r="AB6062" t="str">
        <f>IF(Z6062="","",IFERROR(LOOKUP(2,1/(#REF!=Z6062),#REF!),""))</f>
        <v/>
      </c>
      <c r="AC6062" t="str">
        <f>IF(Z6062="","",COUNTIF(#REF!,Z6062))</f>
        <v/>
      </c>
      <c r="AD6062" t="str">
        <f>IF(A6062="","",IF(AC6062&gt;1,"REVISAR DUPLICADO",IF(AA6062&lt;&gt;"","ACTUALIZADO POR EYR","SIN REPORTE EYR")))</f>
        <v/>
      </c>
    </row>
    <row r="6063" spans="11:30" x14ac:dyDescent="0.3">
      <c r="K6063" s="1" t="str">
        <f ca="1">IF(A6063="","",IF(OR(L6063="ENTREGADA",L6063="RETORNADA",L6063="ENTREGA DIGITAL"),0,MAX(0,5-NETWORKDAYS(H6063+1,TODAY()))))</f>
        <v/>
      </c>
      <c r="L6063" t="str">
        <f>IF(A6063="","",IFERROR(LOOKUP(2,1/(#REF!=Z6063),#REF!),Y6063))</f>
        <v/>
      </c>
      <c r="Z6063" t="str">
        <f>IF(A6063="","",TEXT(A6063,"0")&amp;"|"&amp;TEXT(H6063,"0"))</f>
        <v/>
      </c>
      <c r="AA6063" t="str">
        <f>IF(Z6063="","",IFERROR(LOOKUP(2,1/(#REF!=Z6063),#REF!),""))</f>
        <v/>
      </c>
      <c r="AB6063" t="str">
        <f>IF(Z6063="","",IFERROR(LOOKUP(2,1/(#REF!=Z6063),#REF!),""))</f>
        <v/>
      </c>
      <c r="AC6063" t="str">
        <f>IF(Z6063="","",COUNTIF(#REF!,Z6063))</f>
        <v/>
      </c>
      <c r="AD6063" t="str">
        <f>IF(A6063="","",IF(AC6063&gt;1,"REVISAR DUPLICADO",IF(AA6063&lt;&gt;"","ACTUALIZADO POR EYR","SIN REPORTE EYR")))</f>
        <v/>
      </c>
    </row>
    <row r="6064" spans="11:30" x14ac:dyDescent="0.3">
      <c r="K6064" s="1" t="str">
        <f ca="1">IF(A6064="","",IF(OR(L6064="ENTREGADA",L6064="RETORNADA",L6064="ENTREGA DIGITAL"),0,MAX(0,5-NETWORKDAYS(H6064+1,TODAY()))))</f>
        <v/>
      </c>
      <c r="L6064" t="str">
        <f>IF(A6064="","",IFERROR(LOOKUP(2,1/(#REF!=Z6064),#REF!),Y6064))</f>
        <v/>
      </c>
      <c r="Z6064" t="str">
        <f>IF(A6064="","",TEXT(A6064,"0")&amp;"|"&amp;TEXT(H6064,"0"))</f>
        <v/>
      </c>
      <c r="AA6064" t="str">
        <f>IF(Z6064="","",IFERROR(LOOKUP(2,1/(#REF!=Z6064),#REF!),""))</f>
        <v/>
      </c>
      <c r="AB6064" t="str">
        <f>IF(Z6064="","",IFERROR(LOOKUP(2,1/(#REF!=Z6064),#REF!),""))</f>
        <v/>
      </c>
      <c r="AC6064" t="str">
        <f>IF(Z6064="","",COUNTIF(#REF!,Z6064))</f>
        <v/>
      </c>
      <c r="AD6064" t="str">
        <f>IF(A6064="","",IF(AC6064&gt;1,"REVISAR DUPLICADO",IF(AA6064&lt;&gt;"","ACTUALIZADO POR EYR","SIN REPORTE EYR")))</f>
        <v/>
      </c>
    </row>
    <row r="6065" spans="11:30" x14ac:dyDescent="0.3">
      <c r="K6065" s="1" t="str">
        <f ca="1">IF(A6065="","",IF(OR(L6065="ENTREGADA",L6065="RETORNADA",L6065="ENTREGA DIGITAL"),0,MAX(0,5-NETWORKDAYS(H6065+1,TODAY()))))</f>
        <v/>
      </c>
      <c r="L6065" t="str">
        <f>IF(A6065="","",IFERROR(LOOKUP(2,1/(#REF!=Z6065),#REF!),Y6065))</f>
        <v/>
      </c>
      <c r="Z6065" t="str">
        <f>IF(A6065="","",TEXT(A6065,"0")&amp;"|"&amp;TEXT(H6065,"0"))</f>
        <v/>
      </c>
      <c r="AA6065" t="str">
        <f>IF(Z6065="","",IFERROR(LOOKUP(2,1/(#REF!=Z6065),#REF!),""))</f>
        <v/>
      </c>
      <c r="AB6065" t="str">
        <f>IF(Z6065="","",IFERROR(LOOKUP(2,1/(#REF!=Z6065),#REF!),""))</f>
        <v/>
      </c>
      <c r="AC6065" t="str">
        <f>IF(Z6065="","",COUNTIF(#REF!,Z6065))</f>
        <v/>
      </c>
      <c r="AD6065" t="str">
        <f>IF(A6065="","",IF(AC6065&gt;1,"REVISAR DUPLICADO",IF(AA6065&lt;&gt;"","ACTUALIZADO POR EYR","SIN REPORTE EYR")))</f>
        <v/>
      </c>
    </row>
    <row r="6066" spans="11:30" x14ac:dyDescent="0.3">
      <c r="K6066" s="1" t="str">
        <f ca="1">IF(A6066="","",IF(OR(L6066="ENTREGADA",L6066="RETORNADA",L6066="ENTREGA DIGITAL"),0,MAX(0,5-NETWORKDAYS(H6066+1,TODAY()))))</f>
        <v/>
      </c>
      <c r="L6066" t="str">
        <f>IF(A6066="","",IFERROR(LOOKUP(2,1/(#REF!=Z6066),#REF!),Y6066))</f>
        <v/>
      </c>
      <c r="Z6066" t="str">
        <f>IF(A6066="","",TEXT(A6066,"0")&amp;"|"&amp;TEXT(H6066,"0"))</f>
        <v/>
      </c>
      <c r="AA6066" t="str">
        <f>IF(Z6066="","",IFERROR(LOOKUP(2,1/(#REF!=Z6066),#REF!),""))</f>
        <v/>
      </c>
      <c r="AB6066" t="str">
        <f>IF(Z6066="","",IFERROR(LOOKUP(2,1/(#REF!=Z6066),#REF!),""))</f>
        <v/>
      </c>
      <c r="AC6066" t="str">
        <f>IF(Z6066="","",COUNTIF(#REF!,Z6066))</f>
        <v/>
      </c>
      <c r="AD6066" t="str">
        <f>IF(A6066="","",IF(AC6066&gt;1,"REVISAR DUPLICADO",IF(AA6066&lt;&gt;"","ACTUALIZADO POR EYR","SIN REPORTE EYR")))</f>
        <v/>
      </c>
    </row>
    <row r="6067" spans="11:30" x14ac:dyDescent="0.3">
      <c r="K6067" s="1" t="str">
        <f ca="1">IF(A6067="","",IF(OR(L6067="ENTREGADA",L6067="RETORNADA",L6067="ENTREGA DIGITAL"),0,MAX(0,5-NETWORKDAYS(H6067+1,TODAY()))))</f>
        <v/>
      </c>
      <c r="L6067" t="str">
        <f>IF(A6067="","",IFERROR(LOOKUP(2,1/(#REF!=Z6067),#REF!),Y6067))</f>
        <v/>
      </c>
      <c r="Z6067" t="str">
        <f>IF(A6067="","",TEXT(A6067,"0")&amp;"|"&amp;TEXT(H6067,"0"))</f>
        <v/>
      </c>
      <c r="AA6067" t="str">
        <f>IF(Z6067="","",IFERROR(LOOKUP(2,1/(#REF!=Z6067),#REF!),""))</f>
        <v/>
      </c>
      <c r="AB6067" t="str">
        <f>IF(Z6067="","",IFERROR(LOOKUP(2,1/(#REF!=Z6067),#REF!),""))</f>
        <v/>
      </c>
      <c r="AC6067" t="str">
        <f>IF(Z6067="","",COUNTIF(#REF!,Z6067))</f>
        <v/>
      </c>
      <c r="AD6067" t="str">
        <f>IF(A6067="","",IF(AC6067&gt;1,"REVISAR DUPLICADO",IF(AA6067&lt;&gt;"","ACTUALIZADO POR EYR","SIN REPORTE EYR")))</f>
        <v/>
      </c>
    </row>
    <row r="6068" spans="11:30" x14ac:dyDescent="0.3">
      <c r="K6068" s="1" t="str">
        <f ca="1">IF(A6068="","",IF(OR(L6068="ENTREGADA",L6068="RETORNADA",L6068="ENTREGA DIGITAL"),0,MAX(0,5-NETWORKDAYS(H6068+1,TODAY()))))</f>
        <v/>
      </c>
      <c r="L6068" t="str">
        <f>IF(A6068="","",IFERROR(LOOKUP(2,1/(#REF!=Z6068),#REF!),Y6068))</f>
        <v/>
      </c>
      <c r="Z6068" t="str">
        <f>IF(A6068="","",TEXT(A6068,"0")&amp;"|"&amp;TEXT(H6068,"0"))</f>
        <v/>
      </c>
      <c r="AA6068" t="str">
        <f>IF(Z6068="","",IFERROR(LOOKUP(2,1/(#REF!=Z6068),#REF!),""))</f>
        <v/>
      </c>
      <c r="AB6068" t="str">
        <f>IF(Z6068="","",IFERROR(LOOKUP(2,1/(#REF!=Z6068),#REF!),""))</f>
        <v/>
      </c>
      <c r="AC6068" t="str">
        <f>IF(Z6068="","",COUNTIF(#REF!,Z6068))</f>
        <v/>
      </c>
      <c r="AD6068" t="str">
        <f>IF(A6068="","",IF(AC6068&gt;1,"REVISAR DUPLICADO",IF(AA6068&lt;&gt;"","ACTUALIZADO POR EYR","SIN REPORTE EYR")))</f>
        <v/>
      </c>
    </row>
    <row r="6069" spans="11:30" x14ac:dyDescent="0.3">
      <c r="K6069" s="1" t="str">
        <f ca="1">IF(A6069="","",IF(OR(L6069="ENTREGADA",L6069="RETORNADA",L6069="ENTREGA DIGITAL"),0,MAX(0,5-NETWORKDAYS(H6069+1,TODAY()))))</f>
        <v/>
      </c>
      <c r="L6069" t="str">
        <f>IF(A6069="","",IFERROR(LOOKUP(2,1/(#REF!=Z6069),#REF!),Y6069))</f>
        <v/>
      </c>
      <c r="Z6069" t="str">
        <f>IF(A6069="","",TEXT(A6069,"0")&amp;"|"&amp;TEXT(H6069,"0"))</f>
        <v/>
      </c>
      <c r="AA6069" t="str">
        <f>IF(Z6069="","",IFERROR(LOOKUP(2,1/(#REF!=Z6069),#REF!),""))</f>
        <v/>
      </c>
      <c r="AB6069" t="str">
        <f>IF(Z6069="","",IFERROR(LOOKUP(2,1/(#REF!=Z6069),#REF!),""))</f>
        <v/>
      </c>
      <c r="AC6069" t="str">
        <f>IF(Z6069="","",COUNTIF(#REF!,Z6069))</f>
        <v/>
      </c>
      <c r="AD6069" t="str">
        <f>IF(A6069="","",IF(AC6069&gt;1,"REVISAR DUPLICADO",IF(AA6069&lt;&gt;"","ACTUALIZADO POR EYR","SIN REPORTE EYR")))</f>
        <v/>
      </c>
    </row>
    <row r="6070" spans="11:30" x14ac:dyDescent="0.3">
      <c r="K6070" s="1" t="str">
        <f ca="1">IF(A6070="","",IF(OR(L6070="ENTREGADA",L6070="RETORNADA",L6070="ENTREGA DIGITAL"),0,MAX(0,5-NETWORKDAYS(H6070+1,TODAY()))))</f>
        <v/>
      </c>
      <c r="L6070" t="str">
        <f>IF(A6070="","",IFERROR(LOOKUP(2,1/(#REF!=Z6070),#REF!),Y6070))</f>
        <v/>
      </c>
      <c r="Z6070" t="str">
        <f>IF(A6070="","",TEXT(A6070,"0")&amp;"|"&amp;TEXT(H6070,"0"))</f>
        <v/>
      </c>
      <c r="AA6070" t="str">
        <f>IF(Z6070="","",IFERROR(LOOKUP(2,1/(#REF!=Z6070),#REF!),""))</f>
        <v/>
      </c>
      <c r="AB6070" t="str">
        <f>IF(Z6070="","",IFERROR(LOOKUP(2,1/(#REF!=Z6070),#REF!),""))</f>
        <v/>
      </c>
      <c r="AC6070" t="str">
        <f>IF(Z6070="","",COUNTIF(#REF!,Z6070))</f>
        <v/>
      </c>
      <c r="AD6070" t="str">
        <f>IF(A6070="","",IF(AC6070&gt;1,"REVISAR DUPLICADO",IF(AA6070&lt;&gt;"","ACTUALIZADO POR EYR","SIN REPORTE EYR")))</f>
        <v/>
      </c>
    </row>
    <row r="6071" spans="11:30" x14ac:dyDescent="0.3">
      <c r="K6071" s="1" t="str">
        <f ca="1">IF(A6071="","",IF(OR(L6071="ENTREGADA",L6071="RETORNADA",L6071="ENTREGA DIGITAL"),0,MAX(0,5-NETWORKDAYS(H6071+1,TODAY()))))</f>
        <v/>
      </c>
      <c r="L6071" t="str">
        <f>IF(A6071="","",IFERROR(LOOKUP(2,1/(#REF!=Z6071),#REF!),Y6071))</f>
        <v/>
      </c>
      <c r="Z6071" t="str">
        <f>IF(A6071="","",TEXT(A6071,"0")&amp;"|"&amp;TEXT(H6071,"0"))</f>
        <v/>
      </c>
      <c r="AA6071" t="str">
        <f>IF(Z6071="","",IFERROR(LOOKUP(2,1/(#REF!=Z6071),#REF!),""))</f>
        <v/>
      </c>
      <c r="AB6071" t="str">
        <f>IF(Z6071="","",IFERROR(LOOKUP(2,1/(#REF!=Z6071),#REF!),""))</f>
        <v/>
      </c>
      <c r="AC6071" t="str">
        <f>IF(Z6071="","",COUNTIF(#REF!,Z6071))</f>
        <v/>
      </c>
      <c r="AD6071" t="str">
        <f>IF(A6071="","",IF(AC6071&gt;1,"REVISAR DUPLICADO",IF(AA6071&lt;&gt;"","ACTUALIZADO POR EYR","SIN REPORTE EYR")))</f>
        <v/>
      </c>
    </row>
    <row r="6072" spans="11:30" x14ac:dyDescent="0.3">
      <c r="K6072" s="1" t="str">
        <f ca="1">IF(A6072="","",IF(OR(L6072="ENTREGADA",L6072="RETORNADA",L6072="ENTREGA DIGITAL"),0,MAX(0,5-NETWORKDAYS(H6072+1,TODAY()))))</f>
        <v/>
      </c>
      <c r="L6072" t="str">
        <f>IF(A6072="","",IFERROR(LOOKUP(2,1/(#REF!=Z6072),#REF!),Y6072))</f>
        <v/>
      </c>
      <c r="Z6072" t="str">
        <f>IF(A6072="","",TEXT(A6072,"0")&amp;"|"&amp;TEXT(H6072,"0"))</f>
        <v/>
      </c>
      <c r="AA6072" t="str">
        <f>IF(Z6072="","",IFERROR(LOOKUP(2,1/(#REF!=Z6072),#REF!),""))</f>
        <v/>
      </c>
      <c r="AB6072" t="str">
        <f>IF(Z6072="","",IFERROR(LOOKUP(2,1/(#REF!=Z6072),#REF!),""))</f>
        <v/>
      </c>
      <c r="AC6072" t="str">
        <f>IF(Z6072="","",COUNTIF(#REF!,Z6072))</f>
        <v/>
      </c>
      <c r="AD6072" t="str">
        <f>IF(A6072="","",IF(AC6072&gt;1,"REVISAR DUPLICADO",IF(AA6072&lt;&gt;"","ACTUALIZADO POR EYR","SIN REPORTE EYR")))</f>
        <v/>
      </c>
    </row>
    <row r="6073" spans="11:30" x14ac:dyDescent="0.3">
      <c r="K6073" s="1" t="str">
        <f ca="1">IF(A6073="","",IF(OR(L6073="ENTREGADA",L6073="RETORNADA",L6073="ENTREGA DIGITAL"),0,MAX(0,5-NETWORKDAYS(H6073+1,TODAY()))))</f>
        <v/>
      </c>
      <c r="L6073" t="str">
        <f>IF(A6073="","",IFERROR(LOOKUP(2,1/(#REF!=Z6073),#REF!),Y6073))</f>
        <v/>
      </c>
      <c r="Z6073" t="str">
        <f>IF(A6073="","",TEXT(A6073,"0")&amp;"|"&amp;TEXT(H6073,"0"))</f>
        <v/>
      </c>
      <c r="AA6073" t="str">
        <f>IF(Z6073="","",IFERROR(LOOKUP(2,1/(#REF!=Z6073),#REF!),""))</f>
        <v/>
      </c>
      <c r="AB6073" t="str">
        <f>IF(Z6073="","",IFERROR(LOOKUP(2,1/(#REF!=Z6073),#REF!),""))</f>
        <v/>
      </c>
      <c r="AC6073" t="str">
        <f>IF(Z6073="","",COUNTIF(#REF!,Z6073))</f>
        <v/>
      </c>
      <c r="AD6073" t="str">
        <f>IF(A6073="","",IF(AC6073&gt;1,"REVISAR DUPLICADO",IF(AA6073&lt;&gt;"","ACTUALIZADO POR EYR","SIN REPORTE EYR")))</f>
        <v/>
      </c>
    </row>
    <row r="6074" spans="11:30" x14ac:dyDescent="0.3">
      <c r="K6074" s="1" t="str">
        <f ca="1">IF(A6074="","",IF(OR(L6074="ENTREGADA",L6074="RETORNADA",L6074="ENTREGA DIGITAL"),0,MAX(0,5-NETWORKDAYS(H6074+1,TODAY()))))</f>
        <v/>
      </c>
      <c r="L6074" t="str">
        <f>IF(A6074="","",IFERROR(LOOKUP(2,1/(#REF!=Z6074),#REF!),Y6074))</f>
        <v/>
      </c>
      <c r="Z6074" t="str">
        <f>IF(A6074="","",TEXT(A6074,"0")&amp;"|"&amp;TEXT(H6074,"0"))</f>
        <v/>
      </c>
      <c r="AA6074" t="str">
        <f>IF(Z6074="","",IFERROR(LOOKUP(2,1/(#REF!=Z6074),#REF!),""))</f>
        <v/>
      </c>
      <c r="AB6074" t="str">
        <f>IF(Z6074="","",IFERROR(LOOKUP(2,1/(#REF!=Z6074),#REF!),""))</f>
        <v/>
      </c>
      <c r="AC6074" t="str">
        <f>IF(Z6074="","",COUNTIF(#REF!,Z6074))</f>
        <v/>
      </c>
      <c r="AD6074" t="str">
        <f>IF(A6074="","",IF(AC6074&gt;1,"REVISAR DUPLICADO",IF(AA6074&lt;&gt;"","ACTUALIZADO POR EYR","SIN REPORTE EYR")))</f>
        <v/>
      </c>
    </row>
    <row r="6075" spans="11:30" x14ac:dyDescent="0.3">
      <c r="K6075" s="1" t="str">
        <f ca="1">IF(A6075="","",IF(OR(L6075="ENTREGADA",L6075="RETORNADA",L6075="ENTREGA DIGITAL"),0,MAX(0,5-NETWORKDAYS(H6075+1,TODAY()))))</f>
        <v/>
      </c>
      <c r="L6075" t="str">
        <f>IF(A6075="","",IFERROR(LOOKUP(2,1/(#REF!=Z6075),#REF!),Y6075))</f>
        <v/>
      </c>
      <c r="Z6075" t="str">
        <f>IF(A6075="","",TEXT(A6075,"0")&amp;"|"&amp;TEXT(H6075,"0"))</f>
        <v/>
      </c>
      <c r="AA6075" t="str">
        <f>IF(Z6075="","",IFERROR(LOOKUP(2,1/(#REF!=Z6075),#REF!),""))</f>
        <v/>
      </c>
      <c r="AB6075" t="str">
        <f>IF(Z6075="","",IFERROR(LOOKUP(2,1/(#REF!=Z6075),#REF!),""))</f>
        <v/>
      </c>
      <c r="AC6075" t="str">
        <f>IF(Z6075="","",COUNTIF(#REF!,Z6075))</f>
        <v/>
      </c>
      <c r="AD6075" t="str">
        <f>IF(A6075="","",IF(AC6075&gt;1,"REVISAR DUPLICADO",IF(AA6075&lt;&gt;"","ACTUALIZADO POR EYR","SIN REPORTE EYR")))</f>
        <v/>
      </c>
    </row>
    <row r="6076" spans="11:30" x14ac:dyDescent="0.3">
      <c r="K6076" s="1" t="str">
        <f ca="1">IF(A6076="","",IF(OR(L6076="ENTREGADA",L6076="RETORNADA",L6076="ENTREGA DIGITAL"),0,MAX(0,5-NETWORKDAYS(H6076+1,TODAY()))))</f>
        <v/>
      </c>
      <c r="L6076" t="str">
        <f>IF(A6076="","",IFERROR(LOOKUP(2,1/(#REF!=Z6076),#REF!),Y6076))</f>
        <v/>
      </c>
      <c r="Z6076" t="str">
        <f>IF(A6076="","",TEXT(A6076,"0")&amp;"|"&amp;TEXT(H6076,"0"))</f>
        <v/>
      </c>
      <c r="AA6076" t="str">
        <f>IF(Z6076="","",IFERROR(LOOKUP(2,1/(#REF!=Z6076),#REF!),""))</f>
        <v/>
      </c>
      <c r="AB6076" t="str">
        <f>IF(Z6076="","",IFERROR(LOOKUP(2,1/(#REF!=Z6076),#REF!),""))</f>
        <v/>
      </c>
      <c r="AC6076" t="str">
        <f>IF(Z6076="","",COUNTIF(#REF!,Z6076))</f>
        <v/>
      </c>
      <c r="AD6076" t="str">
        <f>IF(A6076="","",IF(AC6076&gt;1,"REVISAR DUPLICADO",IF(AA6076&lt;&gt;"","ACTUALIZADO POR EYR","SIN REPORTE EYR")))</f>
        <v/>
      </c>
    </row>
    <row r="6077" spans="11:30" x14ac:dyDescent="0.3">
      <c r="K6077" s="1" t="str">
        <f ca="1">IF(A6077="","",IF(OR(L6077="ENTREGADA",L6077="RETORNADA",L6077="ENTREGA DIGITAL"),0,MAX(0,5-NETWORKDAYS(H6077+1,TODAY()))))</f>
        <v/>
      </c>
      <c r="L6077" t="str">
        <f>IF(A6077="","",IFERROR(LOOKUP(2,1/(#REF!=Z6077),#REF!),Y6077))</f>
        <v/>
      </c>
      <c r="Z6077" t="str">
        <f>IF(A6077="","",TEXT(A6077,"0")&amp;"|"&amp;TEXT(H6077,"0"))</f>
        <v/>
      </c>
      <c r="AA6077" t="str">
        <f>IF(Z6077="","",IFERROR(LOOKUP(2,1/(#REF!=Z6077),#REF!),""))</f>
        <v/>
      </c>
      <c r="AB6077" t="str">
        <f>IF(Z6077="","",IFERROR(LOOKUP(2,1/(#REF!=Z6077),#REF!),""))</f>
        <v/>
      </c>
      <c r="AC6077" t="str">
        <f>IF(Z6077="","",COUNTIF(#REF!,Z6077))</f>
        <v/>
      </c>
      <c r="AD6077" t="str">
        <f>IF(A6077="","",IF(AC6077&gt;1,"REVISAR DUPLICADO",IF(AA6077&lt;&gt;"","ACTUALIZADO POR EYR","SIN REPORTE EYR")))</f>
        <v/>
      </c>
    </row>
    <row r="6078" spans="11:30" x14ac:dyDescent="0.3">
      <c r="K6078" s="1" t="str">
        <f ca="1">IF(A6078="","",IF(OR(L6078="ENTREGADA",L6078="RETORNADA",L6078="ENTREGA DIGITAL"),0,MAX(0,5-NETWORKDAYS(H6078+1,TODAY()))))</f>
        <v/>
      </c>
      <c r="L6078" t="str">
        <f>IF(A6078="","",IFERROR(LOOKUP(2,1/(#REF!=Z6078),#REF!),Y6078))</f>
        <v/>
      </c>
      <c r="Z6078" t="str">
        <f>IF(A6078="","",TEXT(A6078,"0")&amp;"|"&amp;TEXT(H6078,"0"))</f>
        <v/>
      </c>
      <c r="AA6078" t="str">
        <f>IF(Z6078="","",IFERROR(LOOKUP(2,1/(#REF!=Z6078),#REF!),""))</f>
        <v/>
      </c>
      <c r="AB6078" t="str">
        <f>IF(Z6078="","",IFERROR(LOOKUP(2,1/(#REF!=Z6078),#REF!),""))</f>
        <v/>
      </c>
      <c r="AC6078" t="str">
        <f>IF(Z6078="","",COUNTIF(#REF!,Z6078))</f>
        <v/>
      </c>
      <c r="AD6078" t="str">
        <f>IF(A6078="","",IF(AC6078&gt;1,"REVISAR DUPLICADO",IF(AA6078&lt;&gt;"","ACTUALIZADO POR EYR","SIN REPORTE EYR")))</f>
        <v/>
      </c>
    </row>
    <row r="6079" spans="11:30" x14ac:dyDescent="0.3">
      <c r="K6079" s="1" t="str">
        <f ca="1">IF(A6079="","",IF(OR(L6079="ENTREGADA",L6079="RETORNADA",L6079="ENTREGA DIGITAL"),0,MAX(0,5-NETWORKDAYS(H6079+1,TODAY()))))</f>
        <v/>
      </c>
      <c r="L6079" t="str">
        <f>IF(A6079="","",IFERROR(LOOKUP(2,1/(#REF!=Z6079),#REF!),Y6079))</f>
        <v/>
      </c>
      <c r="Z6079" t="str">
        <f>IF(A6079="","",TEXT(A6079,"0")&amp;"|"&amp;TEXT(H6079,"0"))</f>
        <v/>
      </c>
      <c r="AA6079" t="str">
        <f>IF(Z6079="","",IFERROR(LOOKUP(2,1/(#REF!=Z6079),#REF!),""))</f>
        <v/>
      </c>
      <c r="AB6079" t="str">
        <f>IF(Z6079="","",IFERROR(LOOKUP(2,1/(#REF!=Z6079),#REF!),""))</f>
        <v/>
      </c>
      <c r="AC6079" t="str">
        <f>IF(Z6079="","",COUNTIF(#REF!,Z6079))</f>
        <v/>
      </c>
      <c r="AD6079" t="str">
        <f>IF(A6079="","",IF(AC6079&gt;1,"REVISAR DUPLICADO",IF(AA6079&lt;&gt;"","ACTUALIZADO POR EYR","SIN REPORTE EYR")))</f>
        <v/>
      </c>
    </row>
    <row r="6080" spans="11:30" x14ac:dyDescent="0.3">
      <c r="K6080" s="1" t="str">
        <f ca="1">IF(A6080="","",IF(OR(L6080="ENTREGADA",L6080="RETORNADA",L6080="ENTREGA DIGITAL"),0,MAX(0,5-NETWORKDAYS(H6080+1,TODAY()))))</f>
        <v/>
      </c>
      <c r="L6080" t="str">
        <f>IF(A6080="","",IFERROR(LOOKUP(2,1/(#REF!=Z6080),#REF!),Y6080))</f>
        <v/>
      </c>
      <c r="Z6080" t="str">
        <f>IF(A6080="","",TEXT(A6080,"0")&amp;"|"&amp;TEXT(H6080,"0"))</f>
        <v/>
      </c>
      <c r="AA6080" t="str">
        <f>IF(Z6080="","",IFERROR(LOOKUP(2,1/(#REF!=Z6080),#REF!),""))</f>
        <v/>
      </c>
      <c r="AB6080" t="str">
        <f>IF(Z6080="","",IFERROR(LOOKUP(2,1/(#REF!=Z6080),#REF!),""))</f>
        <v/>
      </c>
      <c r="AC6080" t="str">
        <f>IF(Z6080="","",COUNTIF(#REF!,Z6080))</f>
        <v/>
      </c>
      <c r="AD6080" t="str">
        <f>IF(A6080="","",IF(AC6080&gt;1,"REVISAR DUPLICADO",IF(AA6080&lt;&gt;"","ACTUALIZADO POR EYR","SIN REPORTE EYR")))</f>
        <v/>
      </c>
    </row>
    <row r="6081" spans="11:30" x14ac:dyDescent="0.3">
      <c r="K6081" s="1" t="str">
        <f ca="1">IF(A6081="","",IF(OR(L6081="ENTREGADA",L6081="RETORNADA",L6081="ENTREGA DIGITAL"),0,MAX(0,5-NETWORKDAYS(H6081+1,TODAY()))))</f>
        <v/>
      </c>
      <c r="L6081" t="str">
        <f>IF(A6081="","",IFERROR(LOOKUP(2,1/(#REF!=Z6081),#REF!),Y6081))</f>
        <v/>
      </c>
      <c r="Z6081" t="str">
        <f>IF(A6081="","",TEXT(A6081,"0")&amp;"|"&amp;TEXT(H6081,"0"))</f>
        <v/>
      </c>
      <c r="AA6081" t="str">
        <f>IF(Z6081="","",IFERROR(LOOKUP(2,1/(#REF!=Z6081),#REF!),""))</f>
        <v/>
      </c>
      <c r="AB6081" t="str">
        <f>IF(Z6081="","",IFERROR(LOOKUP(2,1/(#REF!=Z6081),#REF!),""))</f>
        <v/>
      </c>
      <c r="AC6081" t="str">
        <f>IF(Z6081="","",COUNTIF(#REF!,Z6081))</f>
        <v/>
      </c>
      <c r="AD6081" t="str">
        <f>IF(A6081="","",IF(AC6081&gt;1,"REVISAR DUPLICADO",IF(AA6081&lt;&gt;"","ACTUALIZADO POR EYR","SIN REPORTE EYR")))</f>
        <v/>
      </c>
    </row>
    <row r="6082" spans="11:30" x14ac:dyDescent="0.3">
      <c r="K6082" s="1" t="str">
        <f ca="1">IF(A6082="","",IF(OR(L6082="ENTREGADA",L6082="RETORNADA",L6082="ENTREGA DIGITAL"),0,MAX(0,5-NETWORKDAYS(H6082+1,TODAY()))))</f>
        <v/>
      </c>
      <c r="L6082" t="str">
        <f>IF(A6082="","",IFERROR(LOOKUP(2,1/(#REF!=Z6082),#REF!),Y6082))</f>
        <v/>
      </c>
      <c r="Z6082" t="str">
        <f>IF(A6082="","",TEXT(A6082,"0")&amp;"|"&amp;TEXT(H6082,"0"))</f>
        <v/>
      </c>
      <c r="AA6082" t="str">
        <f>IF(Z6082="","",IFERROR(LOOKUP(2,1/(#REF!=Z6082),#REF!),""))</f>
        <v/>
      </c>
      <c r="AB6082" t="str">
        <f>IF(Z6082="","",IFERROR(LOOKUP(2,1/(#REF!=Z6082),#REF!),""))</f>
        <v/>
      </c>
      <c r="AC6082" t="str">
        <f>IF(Z6082="","",COUNTIF(#REF!,Z6082))</f>
        <v/>
      </c>
      <c r="AD6082" t="str">
        <f>IF(A6082="","",IF(AC6082&gt;1,"REVISAR DUPLICADO",IF(AA6082&lt;&gt;"","ACTUALIZADO POR EYR","SIN REPORTE EYR")))</f>
        <v/>
      </c>
    </row>
    <row r="6083" spans="11:30" x14ac:dyDescent="0.3">
      <c r="K6083" s="1" t="str">
        <f ca="1">IF(A6083="","",IF(OR(L6083="ENTREGADA",L6083="RETORNADA",L6083="ENTREGA DIGITAL"),0,MAX(0,5-NETWORKDAYS(H6083+1,TODAY()))))</f>
        <v/>
      </c>
      <c r="L6083" t="str">
        <f>IF(A6083="","",IFERROR(LOOKUP(2,1/(#REF!=Z6083),#REF!),Y6083))</f>
        <v/>
      </c>
      <c r="Z6083" t="str">
        <f>IF(A6083="","",TEXT(A6083,"0")&amp;"|"&amp;TEXT(H6083,"0"))</f>
        <v/>
      </c>
      <c r="AA6083" t="str">
        <f>IF(Z6083="","",IFERROR(LOOKUP(2,1/(#REF!=Z6083),#REF!),""))</f>
        <v/>
      </c>
      <c r="AB6083" t="str">
        <f>IF(Z6083="","",IFERROR(LOOKUP(2,1/(#REF!=Z6083),#REF!),""))</f>
        <v/>
      </c>
      <c r="AC6083" t="str">
        <f>IF(Z6083="","",COUNTIF(#REF!,Z6083))</f>
        <v/>
      </c>
      <c r="AD6083" t="str">
        <f>IF(A6083="","",IF(AC6083&gt;1,"REVISAR DUPLICADO",IF(AA6083&lt;&gt;"","ACTUALIZADO POR EYR","SIN REPORTE EYR")))</f>
        <v/>
      </c>
    </row>
    <row r="6084" spans="11:30" x14ac:dyDescent="0.3">
      <c r="K6084" s="1" t="str">
        <f ca="1">IF(A6084="","",IF(OR(L6084="ENTREGADA",L6084="RETORNADA",L6084="ENTREGA DIGITAL"),0,MAX(0,5-NETWORKDAYS(H6084+1,TODAY()))))</f>
        <v/>
      </c>
      <c r="L6084" t="str">
        <f>IF(A6084="","",IFERROR(LOOKUP(2,1/(#REF!=Z6084),#REF!),Y6084))</f>
        <v/>
      </c>
      <c r="Z6084" t="str">
        <f>IF(A6084="","",TEXT(A6084,"0")&amp;"|"&amp;TEXT(H6084,"0"))</f>
        <v/>
      </c>
      <c r="AA6084" t="str">
        <f>IF(Z6084="","",IFERROR(LOOKUP(2,1/(#REF!=Z6084),#REF!),""))</f>
        <v/>
      </c>
      <c r="AB6084" t="str">
        <f>IF(Z6084="","",IFERROR(LOOKUP(2,1/(#REF!=Z6084),#REF!),""))</f>
        <v/>
      </c>
      <c r="AC6084" t="str">
        <f>IF(Z6084="","",COUNTIF(#REF!,Z6084))</f>
        <v/>
      </c>
      <c r="AD6084" t="str">
        <f>IF(A6084="","",IF(AC6084&gt;1,"REVISAR DUPLICADO",IF(AA6084&lt;&gt;"","ACTUALIZADO POR EYR","SIN REPORTE EYR")))</f>
        <v/>
      </c>
    </row>
    <row r="6085" spans="11:30" x14ac:dyDescent="0.3">
      <c r="K6085" s="1" t="str">
        <f ca="1">IF(A6085="","",IF(OR(L6085="ENTREGADA",L6085="RETORNADA",L6085="ENTREGA DIGITAL"),0,MAX(0,5-NETWORKDAYS(H6085+1,TODAY()))))</f>
        <v/>
      </c>
      <c r="L6085" t="str">
        <f>IF(A6085="","",IFERROR(LOOKUP(2,1/(#REF!=Z6085),#REF!),Y6085))</f>
        <v/>
      </c>
      <c r="Z6085" t="str">
        <f>IF(A6085="","",TEXT(A6085,"0")&amp;"|"&amp;TEXT(H6085,"0"))</f>
        <v/>
      </c>
      <c r="AA6085" t="str">
        <f>IF(Z6085="","",IFERROR(LOOKUP(2,1/(#REF!=Z6085),#REF!),""))</f>
        <v/>
      </c>
      <c r="AB6085" t="str">
        <f>IF(Z6085="","",IFERROR(LOOKUP(2,1/(#REF!=Z6085),#REF!),""))</f>
        <v/>
      </c>
      <c r="AC6085" t="str">
        <f>IF(Z6085="","",COUNTIF(#REF!,Z6085))</f>
        <v/>
      </c>
      <c r="AD6085" t="str">
        <f>IF(A6085="","",IF(AC6085&gt;1,"REVISAR DUPLICADO",IF(AA6085&lt;&gt;"","ACTUALIZADO POR EYR","SIN REPORTE EYR")))</f>
        <v/>
      </c>
    </row>
    <row r="6086" spans="11:30" x14ac:dyDescent="0.3">
      <c r="K6086" s="1" t="str">
        <f ca="1">IF(A6086="","",IF(OR(L6086="ENTREGADA",L6086="RETORNADA",L6086="ENTREGA DIGITAL"),0,MAX(0,5-NETWORKDAYS(H6086+1,TODAY()))))</f>
        <v/>
      </c>
      <c r="L6086" t="str">
        <f>IF(A6086="","",IFERROR(LOOKUP(2,1/(#REF!=Z6086),#REF!),Y6086))</f>
        <v/>
      </c>
      <c r="Z6086" t="str">
        <f>IF(A6086="","",TEXT(A6086,"0")&amp;"|"&amp;TEXT(H6086,"0"))</f>
        <v/>
      </c>
      <c r="AA6086" t="str">
        <f>IF(Z6086="","",IFERROR(LOOKUP(2,1/(#REF!=Z6086),#REF!),""))</f>
        <v/>
      </c>
      <c r="AB6086" t="str">
        <f>IF(Z6086="","",IFERROR(LOOKUP(2,1/(#REF!=Z6086),#REF!),""))</f>
        <v/>
      </c>
      <c r="AC6086" t="str">
        <f>IF(Z6086="","",COUNTIF(#REF!,Z6086))</f>
        <v/>
      </c>
      <c r="AD6086" t="str">
        <f>IF(A6086="","",IF(AC6086&gt;1,"REVISAR DUPLICADO",IF(AA6086&lt;&gt;"","ACTUALIZADO POR EYR","SIN REPORTE EYR")))</f>
        <v/>
      </c>
    </row>
    <row r="6087" spans="11:30" x14ac:dyDescent="0.3">
      <c r="K6087" s="1" t="str">
        <f ca="1">IF(A6087="","",IF(OR(L6087="ENTREGADA",L6087="RETORNADA",L6087="ENTREGA DIGITAL"),0,MAX(0,5-NETWORKDAYS(H6087+1,TODAY()))))</f>
        <v/>
      </c>
      <c r="L6087" t="str">
        <f>IF(A6087="","",IFERROR(LOOKUP(2,1/(#REF!=Z6087),#REF!),Y6087))</f>
        <v/>
      </c>
      <c r="Z6087" t="str">
        <f>IF(A6087="","",TEXT(A6087,"0")&amp;"|"&amp;TEXT(H6087,"0"))</f>
        <v/>
      </c>
      <c r="AA6087" t="str">
        <f>IF(Z6087="","",IFERROR(LOOKUP(2,1/(#REF!=Z6087),#REF!),""))</f>
        <v/>
      </c>
      <c r="AB6087" t="str">
        <f>IF(Z6087="","",IFERROR(LOOKUP(2,1/(#REF!=Z6087),#REF!),""))</f>
        <v/>
      </c>
      <c r="AC6087" t="str">
        <f>IF(Z6087="","",COUNTIF(#REF!,Z6087))</f>
        <v/>
      </c>
      <c r="AD6087" t="str">
        <f>IF(A6087="","",IF(AC6087&gt;1,"REVISAR DUPLICADO",IF(AA6087&lt;&gt;"","ACTUALIZADO POR EYR","SIN REPORTE EYR")))</f>
        <v/>
      </c>
    </row>
    <row r="6088" spans="11:30" x14ac:dyDescent="0.3">
      <c r="K6088" s="1" t="str">
        <f ca="1">IF(A6088="","",IF(OR(L6088="ENTREGADA",L6088="RETORNADA",L6088="ENTREGA DIGITAL"),0,MAX(0,5-NETWORKDAYS(H6088+1,TODAY()))))</f>
        <v/>
      </c>
      <c r="L6088" t="str">
        <f>IF(A6088="","",IFERROR(LOOKUP(2,1/(#REF!=Z6088),#REF!),Y6088))</f>
        <v/>
      </c>
      <c r="Z6088" t="str">
        <f>IF(A6088="","",TEXT(A6088,"0")&amp;"|"&amp;TEXT(H6088,"0"))</f>
        <v/>
      </c>
      <c r="AA6088" t="str">
        <f>IF(Z6088="","",IFERROR(LOOKUP(2,1/(#REF!=Z6088),#REF!),""))</f>
        <v/>
      </c>
      <c r="AB6088" t="str">
        <f>IF(Z6088="","",IFERROR(LOOKUP(2,1/(#REF!=Z6088),#REF!),""))</f>
        <v/>
      </c>
      <c r="AC6088" t="str">
        <f>IF(Z6088="","",COUNTIF(#REF!,Z6088))</f>
        <v/>
      </c>
      <c r="AD6088" t="str">
        <f>IF(A6088="","",IF(AC6088&gt;1,"REVISAR DUPLICADO",IF(AA6088&lt;&gt;"","ACTUALIZADO POR EYR","SIN REPORTE EYR")))</f>
        <v/>
      </c>
    </row>
    <row r="6089" spans="11:30" x14ac:dyDescent="0.3">
      <c r="K6089" s="1" t="str">
        <f ca="1">IF(A6089="","",IF(OR(L6089="ENTREGADA",L6089="RETORNADA",L6089="ENTREGA DIGITAL"),0,MAX(0,5-NETWORKDAYS(H6089+1,TODAY()))))</f>
        <v/>
      </c>
      <c r="L6089" t="str">
        <f>IF(A6089="","",IFERROR(LOOKUP(2,1/(#REF!=Z6089),#REF!),Y6089))</f>
        <v/>
      </c>
      <c r="Z6089" t="str">
        <f>IF(A6089="","",TEXT(A6089,"0")&amp;"|"&amp;TEXT(H6089,"0"))</f>
        <v/>
      </c>
      <c r="AA6089" t="str">
        <f>IF(Z6089="","",IFERROR(LOOKUP(2,1/(#REF!=Z6089),#REF!),""))</f>
        <v/>
      </c>
      <c r="AB6089" t="str">
        <f>IF(Z6089="","",IFERROR(LOOKUP(2,1/(#REF!=Z6089),#REF!),""))</f>
        <v/>
      </c>
      <c r="AC6089" t="str">
        <f>IF(Z6089="","",COUNTIF(#REF!,Z6089))</f>
        <v/>
      </c>
      <c r="AD6089" t="str">
        <f>IF(A6089="","",IF(AC6089&gt;1,"REVISAR DUPLICADO",IF(AA6089&lt;&gt;"","ACTUALIZADO POR EYR","SIN REPORTE EYR")))</f>
        <v/>
      </c>
    </row>
    <row r="6090" spans="11:30" x14ac:dyDescent="0.3">
      <c r="K6090" s="1" t="str">
        <f ca="1">IF(A6090="","",IF(OR(L6090="ENTREGADA",L6090="RETORNADA",L6090="ENTREGA DIGITAL"),0,MAX(0,5-NETWORKDAYS(H6090+1,TODAY()))))</f>
        <v/>
      </c>
      <c r="L6090" t="str">
        <f>IF(A6090="","",IFERROR(LOOKUP(2,1/(#REF!=Z6090),#REF!),Y6090))</f>
        <v/>
      </c>
      <c r="Z6090" t="str">
        <f>IF(A6090="","",TEXT(A6090,"0")&amp;"|"&amp;TEXT(H6090,"0"))</f>
        <v/>
      </c>
      <c r="AA6090" t="str">
        <f>IF(Z6090="","",IFERROR(LOOKUP(2,1/(#REF!=Z6090),#REF!),""))</f>
        <v/>
      </c>
      <c r="AB6090" t="str">
        <f>IF(Z6090="","",IFERROR(LOOKUP(2,1/(#REF!=Z6090),#REF!),""))</f>
        <v/>
      </c>
      <c r="AC6090" t="str">
        <f>IF(Z6090="","",COUNTIF(#REF!,Z6090))</f>
        <v/>
      </c>
      <c r="AD6090" t="str">
        <f>IF(A6090="","",IF(AC6090&gt;1,"REVISAR DUPLICADO",IF(AA6090&lt;&gt;"","ACTUALIZADO POR EYR","SIN REPORTE EYR")))</f>
        <v/>
      </c>
    </row>
    <row r="6091" spans="11:30" x14ac:dyDescent="0.3">
      <c r="K6091" s="1" t="str">
        <f ca="1">IF(A6091="","",IF(OR(L6091="ENTREGADA",L6091="RETORNADA",L6091="ENTREGA DIGITAL"),0,MAX(0,5-NETWORKDAYS(H6091+1,TODAY()))))</f>
        <v/>
      </c>
      <c r="L6091" t="str">
        <f>IF(A6091="","",IFERROR(LOOKUP(2,1/(#REF!=Z6091),#REF!),Y6091))</f>
        <v/>
      </c>
      <c r="Z6091" t="str">
        <f>IF(A6091="","",TEXT(A6091,"0")&amp;"|"&amp;TEXT(H6091,"0"))</f>
        <v/>
      </c>
      <c r="AA6091" t="str">
        <f>IF(Z6091="","",IFERROR(LOOKUP(2,1/(#REF!=Z6091),#REF!),""))</f>
        <v/>
      </c>
      <c r="AB6091" t="str">
        <f>IF(Z6091="","",IFERROR(LOOKUP(2,1/(#REF!=Z6091),#REF!),""))</f>
        <v/>
      </c>
      <c r="AC6091" t="str">
        <f>IF(Z6091="","",COUNTIF(#REF!,Z6091))</f>
        <v/>
      </c>
      <c r="AD6091" t="str">
        <f>IF(A6091="","",IF(AC6091&gt;1,"REVISAR DUPLICADO",IF(AA6091&lt;&gt;"","ACTUALIZADO POR EYR","SIN REPORTE EYR")))</f>
        <v/>
      </c>
    </row>
    <row r="6092" spans="11:30" x14ac:dyDescent="0.3">
      <c r="K6092" s="1" t="str">
        <f ca="1">IF(A6092="","",IF(OR(L6092="ENTREGADA",L6092="RETORNADA",L6092="ENTREGA DIGITAL"),0,MAX(0,5-NETWORKDAYS(H6092+1,TODAY()))))</f>
        <v/>
      </c>
      <c r="L6092" t="str">
        <f>IF(A6092="","",IFERROR(LOOKUP(2,1/(#REF!=Z6092),#REF!),Y6092))</f>
        <v/>
      </c>
      <c r="Z6092" t="str">
        <f>IF(A6092="","",TEXT(A6092,"0")&amp;"|"&amp;TEXT(H6092,"0"))</f>
        <v/>
      </c>
      <c r="AA6092" t="str">
        <f>IF(Z6092="","",IFERROR(LOOKUP(2,1/(#REF!=Z6092),#REF!),""))</f>
        <v/>
      </c>
      <c r="AB6092" t="str">
        <f>IF(Z6092="","",IFERROR(LOOKUP(2,1/(#REF!=Z6092),#REF!),""))</f>
        <v/>
      </c>
      <c r="AC6092" t="str">
        <f>IF(Z6092="","",COUNTIF(#REF!,Z6092))</f>
        <v/>
      </c>
      <c r="AD6092" t="str">
        <f>IF(A6092="","",IF(AC6092&gt;1,"REVISAR DUPLICADO",IF(AA6092&lt;&gt;"","ACTUALIZADO POR EYR","SIN REPORTE EYR")))</f>
        <v/>
      </c>
    </row>
    <row r="6093" spans="11:30" x14ac:dyDescent="0.3">
      <c r="K6093" s="1" t="str">
        <f ca="1">IF(A6093="","",IF(OR(L6093="ENTREGADA",L6093="RETORNADA",L6093="ENTREGA DIGITAL"),0,MAX(0,5-NETWORKDAYS(H6093+1,TODAY()))))</f>
        <v/>
      </c>
      <c r="L6093" t="str">
        <f>IF(A6093="","",IFERROR(LOOKUP(2,1/(#REF!=Z6093),#REF!),Y6093))</f>
        <v/>
      </c>
      <c r="Z6093" t="str">
        <f>IF(A6093="","",TEXT(A6093,"0")&amp;"|"&amp;TEXT(H6093,"0"))</f>
        <v/>
      </c>
      <c r="AA6093" t="str">
        <f>IF(Z6093="","",IFERROR(LOOKUP(2,1/(#REF!=Z6093),#REF!),""))</f>
        <v/>
      </c>
      <c r="AB6093" t="str">
        <f>IF(Z6093="","",IFERROR(LOOKUP(2,1/(#REF!=Z6093),#REF!),""))</f>
        <v/>
      </c>
      <c r="AC6093" t="str">
        <f>IF(Z6093="","",COUNTIF(#REF!,Z6093))</f>
        <v/>
      </c>
      <c r="AD6093" t="str">
        <f>IF(A6093="","",IF(AC6093&gt;1,"REVISAR DUPLICADO",IF(AA6093&lt;&gt;"","ACTUALIZADO POR EYR","SIN REPORTE EYR")))</f>
        <v/>
      </c>
    </row>
    <row r="6094" spans="11:30" x14ac:dyDescent="0.3">
      <c r="K6094" s="1" t="str">
        <f ca="1">IF(A6094="","",IF(OR(L6094="ENTREGADA",L6094="RETORNADA",L6094="ENTREGA DIGITAL"),0,MAX(0,5-NETWORKDAYS(H6094+1,TODAY()))))</f>
        <v/>
      </c>
      <c r="L6094" t="str">
        <f>IF(A6094="","",IFERROR(LOOKUP(2,1/(#REF!=Z6094),#REF!),Y6094))</f>
        <v/>
      </c>
      <c r="Z6094" t="str">
        <f>IF(A6094="","",TEXT(A6094,"0")&amp;"|"&amp;TEXT(H6094,"0"))</f>
        <v/>
      </c>
      <c r="AA6094" t="str">
        <f>IF(Z6094="","",IFERROR(LOOKUP(2,1/(#REF!=Z6094),#REF!),""))</f>
        <v/>
      </c>
      <c r="AB6094" t="str">
        <f>IF(Z6094="","",IFERROR(LOOKUP(2,1/(#REF!=Z6094),#REF!),""))</f>
        <v/>
      </c>
      <c r="AC6094" t="str">
        <f>IF(Z6094="","",COUNTIF(#REF!,Z6094))</f>
        <v/>
      </c>
      <c r="AD6094" t="str">
        <f>IF(A6094="","",IF(AC6094&gt;1,"REVISAR DUPLICADO",IF(AA6094&lt;&gt;"","ACTUALIZADO POR EYR","SIN REPORTE EYR")))</f>
        <v/>
      </c>
    </row>
    <row r="6095" spans="11:30" x14ac:dyDescent="0.3">
      <c r="K6095" s="1" t="str">
        <f ca="1">IF(A6095="","",IF(OR(L6095="ENTREGADA",L6095="RETORNADA",L6095="ENTREGA DIGITAL"),0,MAX(0,5-NETWORKDAYS(H6095+1,TODAY()))))</f>
        <v/>
      </c>
      <c r="L6095" t="str">
        <f>IF(A6095="","",IFERROR(LOOKUP(2,1/(#REF!=Z6095),#REF!),Y6095))</f>
        <v/>
      </c>
      <c r="Z6095" t="str">
        <f>IF(A6095="","",TEXT(A6095,"0")&amp;"|"&amp;TEXT(H6095,"0"))</f>
        <v/>
      </c>
      <c r="AA6095" t="str">
        <f>IF(Z6095="","",IFERROR(LOOKUP(2,1/(#REF!=Z6095),#REF!),""))</f>
        <v/>
      </c>
      <c r="AB6095" t="str">
        <f>IF(Z6095="","",IFERROR(LOOKUP(2,1/(#REF!=Z6095),#REF!),""))</f>
        <v/>
      </c>
      <c r="AC6095" t="str">
        <f>IF(Z6095="","",COUNTIF(#REF!,Z6095))</f>
        <v/>
      </c>
      <c r="AD6095" t="str">
        <f>IF(A6095="","",IF(AC6095&gt;1,"REVISAR DUPLICADO",IF(AA6095&lt;&gt;"","ACTUALIZADO POR EYR","SIN REPORTE EYR")))</f>
        <v/>
      </c>
    </row>
    <row r="6096" spans="11:30" x14ac:dyDescent="0.3">
      <c r="K6096" s="1" t="str">
        <f ca="1">IF(A6096="","",IF(OR(L6096="ENTREGADA",L6096="RETORNADA",L6096="ENTREGA DIGITAL"),0,MAX(0,5-NETWORKDAYS(H6096+1,TODAY()))))</f>
        <v/>
      </c>
      <c r="L6096" t="str">
        <f>IF(A6096="","",IFERROR(LOOKUP(2,1/(#REF!=Z6096),#REF!),Y6096))</f>
        <v/>
      </c>
      <c r="Z6096" t="str">
        <f>IF(A6096="","",TEXT(A6096,"0")&amp;"|"&amp;TEXT(H6096,"0"))</f>
        <v/>
      </c>
      <c r="AA6096" t="str">
        <f>IF(Z6096="","",IFERROR(LOOKUP(2,1/(#REF!=Z6096),#REF!),""))</f>
        <v/>
      </c>
      <c r="AB6096" t="str">
        <f>IF(Z6096="","",IFERROR(LOOKUP(2,1/(#REF!=Z6096),#REF!),""))</f>
        <v/>
      </c>
      <c r="AC6096" t="str">
        <f>IF(Z6096="","",COUNTIF(#REF!,Z6096))</f>
        <v/>
      </c>
      <c r="AD6096" t="str">
        <f>IF(A6096="","",IF(AC6096&gt;1,"REVISAR DUPLICADO",IF(AA6096&lt;&gt;"","ACTUALIZADO POR EYR","SIN REPORTE EYR")))</f>
        <v/>
      </c>
    </row>
    <row r="6097" spans="11:30" x14ac:dyDescent="0.3">
      <c r="K6097" s="1" t="str">
        <f ca="1">IF(A6097="","",IF(OR(L6097="ENTREGADA",L6097="RETORNADA",L6097="ENTREGA DIGITAL"),0,MAX(0,5-NETWORKDAYS(H6097+1,TODAY()))))</f>
        <v/>
      </c>
      <c r="L6097" t="str">
        <f>IF(A6097="","",IFERROR(LOOKUP(2,1/(#REF!=Z6097),#REF!),Y6097))</f>
        <v/>
      </c>
      <c r="Z6097" t="str">
        <f>IF(A6097="","",TEXT(A6097,"0")&amp;"|"&amp;TEXT(H6097,"0"))</f>
        <v/>
      </c>
      <c r="AA6097" t="str">
        <f>IF(Z6097="","",IFERROR(LOOKUP(2,1/(#REF!=Z6097),#REF!),""))</f>
        <v/>
      </c>
      <c r="AB6097" t="str">
        <f>IF(Z6097="","",IFERROR(LOOKUP(2,1/(#REF!=Z6097),#REF!),""))</f>
        <v/>
      </c>
      <c r="AC6097" t="str">
        <f>IF(Z6097="","",COUNTIF(#REF!,Z6097))</f>
        <v/>
      </c>
      <c r="AD6097" t="str">
        <f>IF(A6097="","",IF(AC6097&gt;1,"REVISAR DUPLICADO",IF(AA6097&lt;&gt;"","ACTUALIZADO POR EYR","SIN REPORTE EYR")))</f>
        <v/>
      </c>
    </row>
    <row r="6098" spans="11:30" x14ac:dyDescent="0.3">
      <c r="K6098" s="1" t="str">
        <f ca="1">IF(A6098="","",IF(OR(L6098="ENTREGADA",L6098="RETORNADA",L6098="ENTREGA DIGITAL"),0,MAX(0,5-NETWORKDAYS(H6098+1,TODAY()))))</f>
        <v/>
      </c>
      <c r="L6098" t="str">
        <f>IF(A6098="","",IFERROR(LOOKUP(2,1/(#REF!=Z6098),#REF!),Y6098))</f>
        <v/>
      </c>
      <c r="Z6098" t="str">
        <f>IF(A6098="","",TEXT(A6098,"0")&amp;"|"&amp;TEXT(H6098,"0"))</f>
        <v/>
      </c>
      <c r="AA6098" t="str">
        <f>IF(Z6098="","",IFERROR(LOOKUP(2,1/(#REF!=Z6098),#REF!),""))</f>
        <v/>
      </c>
      <c r="AB6098" t="str">
        <f>IF(Z6098="","",IFERROR(LOOKUP(2,1/(#REF!=Z6098),#REF!),""))</f>
        <v/>
      </c>
      <c r="AC6098" t="str">
        <f>IF(Z6098="","",COUNTIF(#REF!,Z6098))</f>
        <v/>
      </c>
      <c r="AD6098" t="str">
        <f>IF(A6098="","",IF(AC6098&gt;1,"REVISAR DUPLICADO",IF(AA6098&lt;&gt;"","ACTUALIZADO POR EYR","SIN REPORTE EYR")))</f>
        <v/>
      </c>
    </row>
    <row r="6099" spans="11:30" x14ac:dyDescent="0.3">
      <c r="K6099" s="1" t="str">
        <f ca="1">IF(A6099="","",IF(OR(L6099="ENTREGADA",L6099="RETORNADA",L6099="ENTREGA DIGITAL"),0,MAX(0,5-NETWORKDAYS(H6099+1,TODAY()))))</f>
        <v/>
      </c>
      <c r="L6099" t="str">
        <f>IF(A6099="","",IFERROR(LOOKUP(2,1/(#REF!=Z6099),#REF!),Y6099))</f>
        <v/>
      </c>
      <c r="Z6099" t="str">
        <f>IF(A6099="","",TEXT(A6099,"0")&amp;"|"&amp;TEXT(H6099,"0"))</f>
        <v/>
      </c>
      <c r="AA6099" t="str">
        <f>IF(Z6099="","",IFERROR(LOOKUP(2,1/(#REF!=Z6099),#REF!),""))</f>
        <v/>
      </c>
      <c r="AB6099" t="str">
        <f>IF(Z6099="","",IFERROR(LOOKUP(2,1/(#REF!=Z6099),#REF!),""))</f>
        <v/>
      </c>
      <c r="AC6099" t="str">
        <f>IF(Z6099="","",COUNTIF(#REF!,Z6099))</f>
        <v/>
      </c>
      <c r="AD6099" t="str">
        <f>IF(A6099="","",IF(AC6099&gt;1,"REVISAR DUPLICADO",IF(AA6099&lt;&gt;"","ACTUALIZADO POR EYR","SIN REPORTE EYR")))</f>
        <v/>
      </c>
    </row>
    <row r="6100" spans="11:30" x14ac:dyDescent="0.3">
      <c r="K6100" s="1" t="str">
        <f ca="1">IF(A6100="","",IF(OR(L6100="ENTREGADA",L6100="RETORNADA",L6100="ENTREGA DIGITAL"),0,MAX(0,5-NETWORKDAYS(H6100+1,TODAY()))))</f>
        <v/>
      </c>
      <c r="L6100" t="str">
        <f>IF(A6100="","",IFERROR(LOOKUP(2,1/(#REF!=Z6100),#REF!),Y6100))</f>
        <v/>
      </c>
      <c r="Z6100" t="str">
        <f>IF(A6100="","",TEXT(A6100,"0")&amp;"|"&amp;TEXT(H6100,"0"))</f>
        <v/>
      </c>
      <c r="AA6100" t="str">
        <f>IF(Z6100="","",IFERROR(LOOKUP(2,1/(#REF!=Z6100),#REF!),""))</f>
        <v/>
      </c>
      <c r="AB6100" t="str">
        <f>IF(Z6100="","",IFERROR(LOOKUP(2,1/(#REF!=Z6100),#REF!),""))</f>
        <v/>
      </c>
      <c r="AC6100" t="str">
        <f>IF(Z6100="","",COUNTIF(#REF!,Z6100))</f>
        <v/>
      </c>
      <c r="AD6100" t="str">
        <f>IF(A6100="","",IF(AC6100&gt;1,"REVISAR DUPLICADO",IF(AA6100&lt;&gt;"","ACTUALIZADO POR EYR","SIN REPORTE EYR")))</f>
        <v/>
      </c>
    </row>
    <row r="6101" spans="11:30" x14ac:dyDescent="0.3">
      <c r="K6101" s="1" t="str">
        <f ca="1">IF(A6101="","",IF(OR(L6101="ENTREGADA",L6101="RETORNADA",L6101="ENTREGA DIGITAL"),0,MAX(0,5-NETWORKDAYS(H6101+1,TODAY()))))</f>
        <v/>
      </c>
      <c r="L6101" t="str">
        <f>IF(A6101="","",IFERROR(LOOKUP(2,1/(#REF!=Z6101),#REF!),Y6101))</f>
        <v/>
      </c>
      <c r="Z6101" t="str">
        <f>IF(A6101="","",TEXT(A6101,"0")&amp;"|"&amp;TEXT(H6101,"0"))</f>
        <v/>
      </c>
      <c r="AA6101" t="str">
        <f>IF(Z6101="","",IFERROR(LOOKUP(2,1/(#REF!=Z6101),#REF!),""))</f>
        <v/>
      </c>
      <c r="AB6101" t="str">
        <f>IF(Z6101="","",IFERROR(LOOKUP(2,1/(#REF!=Z6101),#REF!),""))</f>
        <v/>
      </c>
      <c r="AC6101" t="str">
        <f>IF(Z6101="","",COUNTIF(#REF!,Z6101))</f>
        <v/>
      </c>
      <c r="AD6101" t="str">
        <f>IF(A6101="","",IF(AC6101&gt;1,"REVISAR DUPLICADO",IF(AA6101&lt;&gt;"","ACTUALIZADO POR EYR","SIN REPORTE EYR")))</f>
        <v/>
      </c>
    </row>
    <row r="6102" spans="11:30" x14ac:dyDescent="0.3">
      <c r="K6102" s="1" t="str">
        <f ca="1">IF(A6102="","",IF(OR(L6102="ENTREGADA",L6102="RETORNADA",L6102="ENTREGA DIGITAL"),0,MAX(0,5-NETWORKDAYS(H6102+1,TODAY()))))</f>
        <v/>
      </c>
      <c r="L6102" t="str">
        <f>IF(A6102="","",IFERROR(LOOKUP(2,1/(#REF!=Z6102),#REF!),Y6102))</f>
        <v/>
      </c>
      <c r="Z6102" t="str">
        <f>IF(A6102="","",TEXT(A6102,"0")&amp;"|"&amp;TEXT(H6102,"0"))</f>
        <v/>
      </c>
      <c r="AA6102" t="str">
        <f>IF(Z6102="","",IFERROR(LOOKUP(2,1/(#REF!=Z6102),#REF!),""))</f>
        <v/>
      </c>
      <c r="AB6102" t="str">
        <f>IF(Z6102="","",IFERROR(LOOKUP(2,1/(#REF!=Z6102),#REF!),""))</f>
        <v/>
      </c>
      <c r="AC6102" t="str">
        <f>IF(Z6102="","",COUNTIF(#REF!,Z6102))</f>
        <v/>
      </c>
      <c r="AD6102" t="str">
        <f>IF(A6102="","",IF(AC6102&gt;1,"REVISAR DUPLICADO",IF(AA6102&lt;&gt;"","ACTUALIZADO POR EYR","SIN REPORTE EYR")))</f>
        <v/>
      </c>
    </row>
    <row r="6103" spans="11:30" x14ac:dyDescent="0.3">
      <c r="K6103" s="1" t="str">
        <f ca="1">IF(A6103="","",IF(OR(L6103="ENTREGADA",L6103="RETORNADA",L6103="ENTREGA DIGITAL"),0,MAX(0,5-NETWORKDAYS(H6103+1,TODAY()))))</f>
        <v/>
      </c>
      <c r="L6103" t="str">
        <f>IF(A6103="","",IFERROR(LOOKUP(2,1/(#REF!=Z6103),#REF!),Y6103))</f>
        <v/>
      </c>
      <c r="Z6103" t="str">
        <f>IF(A6103="","",TEXT(A6103,"0")&amp;"|"&amp;TEXT(H6103,"0"))</f>
        <v/>
      </c>
      <c r="AA6103" t="str">
        <f>IF(Z6103="","",IFERROR(LOOKUP(2,1/(#REF!=Z6103),#REF!),""))</f>
        <v/>
      </c>
      <c r="AB6103" t="str">
        <f>IF(Z6103="","",IFERROR(LOOKUP(2,1/(#REF!=Z6103),#REF!),""))</f>
        <v/>
      </c>
      <c r="AC6103" t="str">
        <f>IF(Z6103="","",COUNTIF(#REF!,Z6103))</f>
        <v/>
      </c>
      <c r="AD6103" t="str">
        <f>IF(A6103="","",IF(AC6103&gt;1,"REVISAR DUPLICADO",IF(AA6103&lt;&gt;"","ACTUALIZADO POR EYR","SIN REPORTE EYR")))</f>
        <v/>
      </c>
    </row>
    <row r="6104" spans="11:30" x14ac:dyDescent="0.3">
      <c r="K6104" s="1" t="str">
        <f ca="1">IF(A6104="","",IF(OR(L6104="ENTREGADA",L6104="RETORNADA",L6104="ENTREGA DIGITAL"),0,MAX(0,5-NETWORKDAYS(H6104+1,TODAY()))))</f>
        <v/>
      </c>
      <c r="L6104" t="str">
        <f>IF(A6104="","",IFERROR(LOOKUP(2,1/(#REF!=Z6104),#REF!),Y6104))</f>
        <v/>
      </c>
      <c r="Z6104" t="str">
        <f>IF(A6104="","",TEXT(A6104,"0")&amp;"|"&amp;TEXT(H6104,"0"))</f>
        <v/>
      </c>
      <c r="AA6104" t="str">
        <f>IF(Z6104="","",IFERROR(LOOKUP(2,1/(#REF!=Z6104),#REF!),""))</f>
        <v/>
      </c>
      <c r="AB6104" t="str">
        <f>IF(Z6104="","",IFERROR(LOOKUP(2,1/(#REF!=Z6104),#REF!),""))</f>
        <v/>
      </c>
      <c r="AC6104" t="str">
        <f>IF(Z6104="","",COUNTIF(#REF!,Z6104))</f>
        <v/>
      </c>
      <c r="AD6104" t="str">
        <f>IF(A6104="","",IF(AC6104&gt;1,"REVISAR DUPLICADO",IF(AA6104&lt;&gt;"","ACTUALIZADO POR EYR","SIN REPORTE EYR")))</f>
        <v/>
      </c>
    </row>
    <row r="6105" spans="11:30" x14ac:dyDescent="0.3">
      <c r="K6105" s="1" t="str">
        <f ca="1">IF(A6105="","",IF(OR(L6105="ENTREGADA",L6105="RETORNADA",L6105="ENTREGA DIGITAL"),0,MAX(0,5-NETWORKDAYS(H6105+1,TODAY()))))</f>
        <v/>
      </c>
      <c r="L6105" t="str">
        <f>IF(A6105="","",IFERROR(LOOKUP(2,1/(#REF!=Z6105),#REF!),Y6105))</f>
        <v/>
      </c>
      <c r="Z6105" t="str">
        <f>IF(A6105="","",TEXT(A6105,"0")&amp;"|"&amp;TEXT(H6105,"0"))</f>
        <v/>
      </c>
      <c r="AA6105" t="str">
        <f>IF(Z6105="","",IFERROR(LOOKUP(2,1/(#REF!=Z6105),#REF!),""))</f>
        <v/>
      </c>
      <c r="AB6105" t="str">
        <f>IF(Z6105="","",IFERROR(LOOKUP(2,1/(#REF!=Z6105),#REF!),""))</f>
        <v/>
      </c>
      <c r="AC6105" t="str">
        <f>IF(Z6105="","",COUNTIF(#REF!,Z6105))</f>
        <v/>
      </c>
      <c r="AD6105" t="str">
        <f>IF(A6105="","",IF(AC6105&gt;1,"REVISAR DUPLICADO",IF(AA6105&lt;&gt;"","ACTUALIZADO POR EYR","SIN REPORTE EYR")))</f>
        <v/>
      </c>
    </row>
    <row r="6106" spans="11:30" x14ac:dyDescent="0.3">
      <c r="K6106" s="1" t="str">
        <f ca="1">IF(A6106="","",IF(OR(L6106="ENTREGADA",L6106="RETORNADA",L6106="ENTREGA DIGITAL"),0,MAX(0,5-NETWORKDAYS(H6106+1,TODAY()))))</f>
        <v/>
      </c>
      <c r="L6106" t="str">
        <f>IF(A6106="","",IFERROR(LOOKUP(2,1/(#REF!=Z6106),#REF!),Y6106))</f>
        <v/>
      </c>
      <c r="Z6106" t="str">
        <f>IF(A6106="","",TEXT(A6106,"0")&amp;"|"&amp;TEXT(H6106,"0"))</f>
        <v/>
      </c>
      <c r="AA6106" t="str">
        <f>IF(Z6106="","",IFERROR(LOOKUP(2,1/(#REF!=Z6106),#REF!),""))</f>
        <v/>
      </c>
      <c r="AB6106" t="str">
        <f>IF(Z6106="","",IFERROR(LOOKUP(2,1/(#REF!=Z6106),#REF!),""))</f>
        <v/>
      </c>
      <c r="AC6106" t="str">
        <f>IF(Z6106="","",COUNTIF(#REF!,Z6106))</f>
        <v/>
      </c>
      <c r="AD6106" t="str">
        <f>IF(A6106="","",IF(AC6106&gt;1,"REVISAR DUPLICADO",IF(AA6106&lt;&gt;"","ACTUALIZADO POR EYR","SIN REPORTE EYR")))</f>
        <v/>
      </c>
    </row>
    <row r="6107" spans="11:30" x14ac:dyDescent="0.3">
      <c r="K6107" s="1" t="str">
        <f ca="1">IF(A6107="","",IF(OR(L6107="ENTREGADA",L6107="RETORNADA",L6107="ENTREGA DIGITAL"),0,MAX(0,5-NETWORKDAYS(H6107+1,TODAY()))))</f>
        <v/>
      </c>
      <c r="L6107" t="str">
        <f>IF(A6107="","",IFERROR(LOOKUP(2,1/(#REF!=Z6107),#REF!),Y6107))</f>
        <v/>
      </c>
      <c r="Z6107" t="str">
        <f>IF(A6107="","",TEXT(A6107,"0")&amp;"|"&amp;TEXT(H6107,"0"))</f>
        <v/>
      </c>
      <c r="AA6107" t="str">
        <f>IF(Z6107="","",IFERROR(LOOKUP(2,1/(#REF!=Z6107),#REF!),""))</f>
        <v/>
      </c>
      <c r="AB6107" t="str">
        <f>IF(Z6107="","",IFERROR(LOOKUP(2,1/(#REF!=Z6107),#REF!),""))</f>
        <v/>
      </c>
      <c r="AC6107" t="str">
        <f>IF(Z6107="","",COUNTIF(#REF!,Z6107))</f>
        <v/>
      </c>
      <c r="AD6107" t="str">
        <f>IF(A6107="","",IF(AC6107&gt;1,"REVISAR DUPLICADO",IF(AA6107&lt;&gt;"","ACTUALIZADO POR EYR","SIN REPORTE EYR")))</f>
        <v/>
      </c>
    </row>
    <row r="6108" spans="11:30" x14ac:dyDescent="0.3">
      <c r="K6108" s="1" t="str">
        <f ca="1">IF(A6108="","",IF(OR(L6108="ENTREGADA",L6108="RETORNADA",L6108="ENTREGA DIGITAL"),0,MAX(0,5-NETWORKDAYS(H6108+1,TODAY()))))</f>
        <v/>
      </c>
      <c r="L6108" t="str">
        <f>IF(A6108="","",IFERROR(LOOKUP(2,1/(#REF!=Z6108),#REF!),Y6108))</f>
        <v/>
      </c>
      <c r="Z6108" t="str">
        <f>IF(A6108="","",TEXT(A6108,"0")&amp;"|"&amp;TEXT(H6108,"0"))</f>
        <v/>
      </c>
      <c r="AA6108" t="str">
        <f>IF(Z6108="","",IFERROR(LOOKUP(2,1/(#REF!=Z6108),#REF!),""))</f>
        <v/>
      </c>
      <c r="AB6108" t="str">
        <f>IF(Z6108="","",IFERROR(LOOKUP(2,1/(#REF!=Z6108),#REF!),""))</f>
        <v/>
      </c>
      <c r="AC6108" t="str">
        <f>IF(Z6108="","",COUNTIF(#REF!,Z6108))</f>
        <v/>
      </c>
      <c r="AD6108" t="str">
        <f>IF(A6108="","",IF(AC6108&gt;1,"REVISAR DUPLICADO",IF(AA6108&lt;&gt;"","ACTUALIZADO POR EYR","SIN REPORTE EYR")))</f>
        <v/>
      </c>
    </row>
    <row r="6109" spans="11:30" x14ac:dyDescent="0.3">
      <c r="K6109" s="1" t="str">
        <f ca="1">IF(A6109="","",IF(OR(L6109="ENTREGADA",L6109="RETORNADA",L6109="ENTREGA DIGITAL"),0,MAX(0,5-NETWORKDAYS(H6109+1,TODAY()))))</f>
        <v/>
      </c>
      <c r="L6109" t="str">
        <f>IF(A6109="","",IFERROR(LOOKUP(2,1/(#REF!=Z6109),#REF!),Y6109))</f>
        <v/>
      </c>
      <c r="Z6109" t="str">
        <f>IF(A6109="","",TEXT(A6109,"0")&amp;"|"&amp;TEXT(H6109,"0"))</f>
        <v/>
      </c>
      <c r="AA6109" t="str">
        <f>IF(Z6109="","",IFERROR(LOOKUP(2,1/(#REF!=Z6109),#REF!),""))</f>
        <v/>
      </c>
      <c r="AB6109" t="str">
        <f>IF(Z6109="","",IFERROR(LOOKUP(2,1/(#REF!=Z6109),#REF!),""))</f>
        <v/>
      </c>
      <c r="AC6109" t="str">
        <f>IF(Z6109="","",COUNTIF(#REF!,Z6109))</f>
        <v/>
      </c>
      <c r="AD6109" t="str">
        <f>IF(A6109="","",IF(AC6109&gt;1,"REVISAR DUPLICADO",IF(AA6109&lt;&gt;"","ACTUALIZADO POR EYR","SIN REPORTE EYR")))</f>
        <v/>
      </c>
    </row>
    <row r="6110" spans="11:30" x14ac:dyDescent="0.3">
      <c r="K6110" s="1" t="str">
        <f ca="1">IF(A6110="","",IF(OR(L6110="ENTREGADA",L6110="RETORNADA",L6110="ENTREGA DIGITAL"),0,MAX(0,5-NETWORKDAYS(H6110+1,TODAY()))))</f>
        <v/>
      </c>
      <c r="L6110" t="str">
        <f>IF(A6110="","",IFERROR(LOOKUP(2,1/(#REF!=Z6110),#REF!),Y6110))</f>
        <v/>
      </c>
      <c r="Z6110" t="str">
        <f>IF(A6110="","",TEXT(A6110,"0")&amp;"|"&amp;TEXT(H6110,"0"))</f>
        <v/>
      </c>
      <c r="AA6110" t="str">
        <f>IF(Z6110="","",IFERROR(LOOKUP(2,1/(#REF!=Z6110),#REF!),""))</f>
        <v/>
      </c>
      <c r="AB6110" t="str">
        <f>IF(Z6110="","",IFERROR(LOOKUP(2,1/(#REF!=Z6110),#REF!),""))</f>
        <v/>
      </c>
      <c r="AC6110" t="str">
        <f>IF(Z6110="","",COUNTIF(#REF!,Z6110))</f>
        <v/>
      </c>
      <c r="AD6110" t="str">
        <f>IF(A6110="","",IF(AC6110&gt;1,"REVISAR DUPLICADO",IF(AA6110&lt;&gt;"","ACTUALIZADO POR EYR","SIN REPORTE EYR")))</f>
        <v/>
      </c>
    </row>
    <row r="6111" spans="11:30" x14ac:dyDescent="0.3">
      <c r="K6111" s="1" t="str">
        <f ca="1">IF(A6111="","",IF(OR(L6111="ENTREGADA",L6111="RETORNADA",L6111="ENTREGA DIGITAL"),0,MAX(0,5-NETWORKDAYS(H6111+1,TODAY()))))</f>
        <v/>
      </c>
      <c r="L6111" t="str">
        <f>IF(A6111="","",IFERROR(LOOKUP(2,1/(#REF!=Z6111),#REF!),Y6111))</f>
        <v/>
      </c>
      <c r="Z6111" t="str">
        <f>IF(A6111="","",TEXT(A6111,"0")&amp;"|"&amp;TEXT(H6111,"0"))</f>
        <v/>
      </c>
      <c r="AA6111" t="str">
        <f>IF(Z6111="","",IFERROR(LOOKUP(2,1/(#REF!=Z6111),#REF!),""))</f>
        <v/>
      </c>
      <c r="AB6111" t="str">
        <f>IF(Z6111="","",IFERROR(LOOKUP(2,1/(#REF!=Z6111),#REF!),""))</f>
        <v/>
      </c>
      <c r="AC6111" t="str">
        <f>IF(Z6111="","",COUNTIF(#REF!,Z6111))</f>
        <v/>
      </c>
      <c r="AD6111" t="str">
        <f>IF(A6111="","",IF(AC6111&gt;1,"REVISAR DUPLICADO",IF(AA6111&lt;&gt;"","ACTUALIZADO POR EYR","SIN REPORTE EYR")))</f>
        <v/>
      </c>
    </row>
    <row r="6112" spans="11:30" x14ac:dyDescent="0.3">
      <c r="K6112" s="1" t="str">
        <f ca="1">IF(A6112="","",IF(OR(L6112="ENTREGADA",L6112="RETORNADA",L6112="ENTREGA DIGITAL"),0,MAX(0,5-NETWORKDAYS(H6112+1,TODAY()))))</f>
        <v/>
      </c>
      <c r="L6112" t="str">
        <f>IF(A6112="","",IFERROR(LOOKUP(2,1/(#REF!=Z6112),#REF!),Y6112))</f>
        <v/>
      </c>
      <c r="Z6112" t="str">
        <f>IF(A6112="","",TEXT(A6112,"0")&amp;"|"&amp;TEXT(H6112,"0"))</f>
        <v/>
      </c>
      <c r="AA6112" t="str">
        <f>IF(Z6112="","",IFERROR(LOOKUP(2,1/(#REF!=Z6112),#REF!),""))</f>
        <v/>
      </c>
      <c r="AB6112" t="str">
        <f>IF(Z6112="","",IFERROR(LOOKUP(2,1/(#REF!=Z6112),#REF!),""))</f>
        <v/>
      </c>
      <c r="AC6112" t="str">
        <f>IF(Z6112="","",COUNTIF(#REF!,Z6112))</f>
        <v/>
      </c>
      <c r="AD6112" t="str">
        <f>IF(A6112="","",IF(AC6112&gt;1,"REVISAR DUPLICADO",IF(AA6112&lt;&gt;"","ACTUALIZADO POR EYR","SIN REPORTE EYR")))</f>
        <v/>
      </c>
    </row>
    <row r="6113" spans="11:30" x14ac:dyDescent="0.3">
      <c r="K6113" s="1" t="str">
        <f ca="1">IF(A6113="","",IF(OR(L6113="ENTREGADA",L6113="RETORNADA",L6113="ENTREGA DIGITAL"),0,MAX(0,5-NETWORKDAYS(H6113+1,TODAY()))))</f>
        <v/>
      </c>
      <c r="L6113" t="str">
        <f>IF(A6113="","",IFERROR(LOOKUP(2,1/(#REF!=Z6113),#REF!),Y6113))</f>
        <v/>
      </c>
      <c r="Z6113" t="str">
        <f>IF(A6113="","",TEXT(A6113,"0")&amp;"|"&amp;TEXT(H6113,"0"))</f>
        <v/>
      </c>
      <c r="AA6113" t="str">
        <f>IF(Z6113="","",IFERROR(LOOKUP(2,1/(#REF!=Z6113),#REF!),""))</f>
        <v/>
      </c>
      <c r="AB6113" t="str">
        <f>IF(Z6113="","",IFERROR(LOOKUP(2,1/(#REF!=Z6113),#REF!),""))</f>
        <v/>
      </c>
      <c r="AC6113" t="str">
        <f>IF(Z6113="","",COUNTIF(#REF!,Z6113))</f>
        <v/>
      </c>
      <c r="AD6113" t="str">
        <f>IF(A6113="","",IF(AC6113&gt;1,"REVISAR DUPLICADO",IF(AA6113&lt;&gt;"","ACTUALIZADO POR EYR","SIN REPORTE EYR")))</f>
        <v/>
      </c>
    </row>
    <row r="6114" spans="11:30" x14ac:dyDescent="0.3">
      <c r="K6114" s="1" t="str">
        <f ca="1">IF(A6114="","",IF(OR(L6114="ENTREGADA",L6114="RETORNADA",L6114="ENTREGA DIGITAL"),0,MAX(0,5-NETWORKDAYS(H6114+1,TODAY()))))</f>
        <v/>
      </c>
      <c r="L6114" t="str">
        <f>IF(A6114="","",IFERROR(LOOKUP(2,1/(#REF!=Z6114),#REF!),Y6114))</f>
        <v/>
      </c>
      <c r="Z6114" t="str">
        <f>IF(A6114="","",TEXT(A6114,"0")&amp;"|"&amp;TEXT(H6114,"0"))</f>
        <v/>
      </c>
      <c r="AA6114" t="str">
        <f>IF(Z6114="","",IFERROR(LOOKUP(2,1/(#REF!=Z6114),#REF!),""))</f>
        <v/>
      </c>
      <c r="AB6114" t="str">
        <f>IF(Z6114="","",IFERROR(LOOKUP(2,1/(#REF!=Z6114),#REF!),""))</f>
        <v/>
      </c>
      <c r="AC6114" t="str">
        <f>IF(Z6114="","",COUNTIF(#REF!,Z6114))</f>
        <v/>
      </c>
      <c r="AD6114" t="str">
        <f>IF(A6114="","",IF(AC6114&gt;1,"REVISAR DUPLICADO",IF(AA6114&lt;&gt;"","ACTUALIZADO POR EYR","SIN REPORTE EYR")))</f>
        <v/>
      </c>
    </row>
    <row r="6115" spans="11:30" x14ac:dyDescent="0.3">
      <c r="K6115" s="1" t="str">
        <f ca="1">IF(A6115="","",IF(OR(L6115="ENTREGADA",L6115="RETORNADA",L6115="ENTREGA DIGITAL"),0,MAX(0,5-NETWORKDAYS(H6115+1,TODAY()))))</f>
        <v/>
      </c>
      <c r="L6115" t="str">
        <f>IF(A6115="","",IFERROR(LOOKUP(2,1/(#REF!=Z6115),#REF!),Y6115))</f>
        <v/>
      </c>
      <c r="Z6115" t="str">
        <f>IF(A6115="","",TEXT(A6115,"0")&amp;"|"&amp;TEXT(H6115,"0"))</f>
        <v/>
      </c>
      <c r="AA6115" t="str">
        <f>IF(Z6115="","",IFERROR(LOOKUP(2,1/(#REF!=Z6115),#REF!),""))</f>
        <v/>
      </c>
      <c r="AB6115" t="str">
        <f>IF(Z6115="","",IFERROR(LOOKUP(2,1/(#REF!=Z6115),#REF!),""))</f>
        <v/>
      </c>
      <c r="AC6115" t="str">
        <f>IF(Z6115="","",COUNTIF(#REF!,Z6115))</f>
        <v/>
      </c>
      <c r="AD6115" t="str">
        <f>IF(A6115="","",IF(AC6115&gt;1,"REVISAR DUPLICADO",IF(AA6115&lt;&gt;"","ACTUALIZADO POR EYR","SIN REPORTE EYR")))</f>
        <v/>
      </c>
    </row>
    <row r="6116" spans="11:30" x14ac:dyDescent="0.3">
      <c r="K6116" s="1" t="str">
        <f ca="1">IF(A6116="","",IF(OR(L6116="ENTREGADA",L6116="RETORNADA",L6116="ENTREGA DIGITAL"),0,MAX(0,5-NETWORKDAYS(H6116+1,TODAY()))))</f>
        <v/>
      </c>
      <c r="L6116" t="str">
        <f>IF(A6116="","",IFERROR(LOOKUP(2,1/(#REF!=Z6116),#REF!),Y6116))</f>
        <v/>
      </c>
      <c r="Z6116" t="str">
        <f>IF(A6116="","",TEXT(A6116,"0")&amp;"|"&amp;TEXT(H6116,"0"))</f>
        <v/>
      </c>
      <c r="AA6116" t="str">
        <f>IF(Z6116="","",IFERROR(LOOKUP(2,1/(#REF!=Z6116),#REF!),""))</f>
        <v/>
      </c>
      <c r="AB6116" t="str">
        <f>IF(Z6116="","",IFERROR(LOOKUP(2,1/(#REF!=Z6116),#REF!),""))</f>
        <v/>
      </c>
      <c r="AC6116" t="str">
        <f>IF(Z6116="","",COUNTIF(#REF!,Z6116))</f>
        <v/>
      </c>
      <c r="AD6116" t="str">
        <f>IF(A6116="","",IF(AC6116&gt;1,"REVISAR DUPLICADO",IF(AA6116&lt;&gt;"","ACTUALIZADO POR EYR","SIN REPORTE EYR")))</f>
        <v/>
      </c>
    </row>
    <row r="6117" spans="11:30" x14ac:dyDescent="0.3">
      <c r="K6117" s="1" t="str">
        <f ca="1">IF(A6117="","",IF(OR(L6117="ENTREGADA",L6117="RETORNADA",L6117="ENTREGA DIGITAL"),0,MAX(0,5-NETWORKDAYS(H6117+1,TODAY()))))</f>
        <v/>
      </c>
      <c r="L6117" t="str">
        <f>IF(A6117="","",IFERROR(LOOKUP(2,1/(#REF!=Z6117),#REF!),Y6117))</f>
        <v/>
      </c>
      <c r="Z6117" t="str">
        <f>IF(A6117="","",TEXT(A6117,"0")&amp;"|"&amp;TEXT(H6117,"0"))</f>
        <v/>
      </c>
      <c r="AA6117" t="str">
        <f>IF(Z6117="","",IFERROR(LOOKUP(2,1/(#REF!=Z6117),#REF!),""))</f>
        <v/>
      </c>
      <c r="AB6117" t="str">
        <f>IF(Z6117="","",IFERROR(LOOKUP(2,1/(#REF!=Z6117),#REF!),""))</f>
        <v/>
      </c>
      <c r="AC6117" t="str">
        <f>IF(Z6117="","",COUNTIF(#REF!,Z6117))</f>
        <v/>
      </c>
      <c r="AD6117" t="str">
        <f>IF(A6117="","",IF(AC6117&gt;1,"REVISAR DUPLICADO",IF(AA6117&lt;&gt;"","ACTUALIZADO POR EYR","SIN REPORTE EYR")))</f>
        <v/>
      </c>
    </row>
    <row r="6118" spans="11:30" x14ac:dyDescent="0.3">
      <c r="K6118" s="1" t="str">
        <f ca="1">IF(A6118="","",IF(OR(L6118="ENTREGADA",L6118="RETORNADA",L6118="ENTREGA DIGITAL"),0,MAX(0,5-NETWORKDAYS(H6118+1,TODAY()))))</f>
        <v/>
      </c>
      <c r="L6118" t="str">
        <f>IF(A6118="","",IFERROR(LOOKUP(2,1/(#REF!=Z6118),#REF!),Y6118))</f>
        <v/>
      </c>
      <c r="Z6118" t="str">
        <f>IF(A6118="","",TEXT(A6118,"0")&amp;"|"&amp;TEXT(H6118,"0"))</f>
        <v/>
      </c>
      <c r="AA6118" t="str">
        <f>IF(Z6118="","",IFERROR(LOOKUP(2,1/(#REF!=Z6118),#REF!),""))</f>
        <v/>
      </c>
      <c r="AB6118" t="str">
        <f>IF(Z6118="","",IFERROR(LOOKUP(2,1/(#REF!=Z6118),#REF!),""))</f>
        <v/>
      </c>
      <c r="AC6118" t="str">
        <f>IF(Z6118="","",COUNTIF(#REF!,Z6118))</f>
        <v/>
      </c>
      <c r="AD6118" t="str">
        <f>IF(A6118="","",IF(AC6118&gt;1,"REVISAR DUPLICADO",IF(AA6118&lt;&gt;"","ACTUALIZADO POR EYR","SIN REPORTE EYR")))</f>
        <v/>
      </c>
    </row>
    <row r="6119" spans="11:30" x14ac:dyDescent="0.3">
      <c r="K6119" s="1" t="str">
        <f ca="1">IF(A6119="","",IF(OR(L6119="ENTREGADA",L6119="RETORNADA",L6119="ENTREGA DIGITAL"),0,MAX(0,5-NETWORKDAYS(H6119+1,TODAY()))))</f>
        <v/>
      </c>
      <c r="L6119" t="str">
        <f>IF(A6119="","",IFERROR(LOOKUP(2,1/(#REF!=Z6119),#REF!),Y6119))</f>
        <v/>
      </c>
      <c r="Z6119" t="str">
        <f>IF(A6119="","",TEXT(A6119,"0")&amp;"|"&amp;TEXT(H6119,"0"))</f>
        <v/>
      </c>
      <c r="AA6119" t="str">
        <f>IF(Z6119="","",IFERROR(LOOKUP(2,1/(#REF!=Z6119),#REF!),""))</f>
        <v/>
      </c>
      <c r="AB6119" t="str">
        <f>IF(Z6119="","",IFERROR(LOOKUP(2,1/(#REF!=Z6119),#REF!),""))</f>
        <v/>
      </c>
      <c r="AC6119" t="str">
        <f>IF(Z6119="","",COUNTIF(#REF!,Z6119))</f>
        <v/>
      </c>
      <c r="AD6119" t="str">
        <f>IF(A6119="","",IF(AC6119&gt;1,"REVISAR DUPLICADO",IF(AA6119&lt;&gt;"","ACTUALIZADO POR EYR","SIN REPORTE EYR")))</f>
        <v/>
      </c>
    </row>
    <row r="6120" spans="11:30" x14ac:dyDescent="0.3">
      <c r="K6120" s="1" t="str">
        <f ca="1">IF(A6120="","",IF(OR(L6120="ENTREGADA",L6120="RETORNADA",L6120="ENTREGA DIGITAL"),0,MAX(0,5-NETWORKDAYS(H6120+1,TODAY()))))</f>
        <v/>
      </c>
      <c r="L6120" t="str">
        <f>IF(A6120="","",IFERROR(LOOKUP(2,1/(#REF!=Z6120),#REF!),Y6120))</f>
        <v/>
      </c>
      <c r="Z6120" t="str">
        <f>IF(A6120="","",TEXT(A6120,"0")&amp;"|"&amp;TEXT(H6120,"0"))</f>
        <v/>
      </c>
      <c r="AA6120" t="str">
        <f>IF(Z6120="","",IFERROR(LOOKUP(2,1/(#REF!=Z6120),#REF!),""))</f>
        <v/>
      </c>
      <c r="AB6120" t="str">
        <f>IF(Z6120="","",IFERROR(LOOKUP(2,1/(#REF!=Z6120),#REF!),""))</f>
        <v/>
      </c>
      <c r="AC6120" t="str">
        <f>IF(Z6120="","",COUNTIF(#REF!,Z6120))</f>
        <v/>
      </c>
      <c r="AD6120" t="str">
        <f>IF(A6120="","",IF(AC6120&gt;1,"REVISAR DUPLICADO",IF(AA6120&lt;&gt;"","ACTUALIZADO POR EYR","SIN REPORTE EYR")))</f>
        <v/>
      </c>
    </row>
    <row r="6121" spans="11:30" x14ac:dyDescent="0.3">
      <c r="K6121" s="1" t="str">
        <f ca="1">IF(A6121="","",IF(OR(L6121="ENTREGADA",L6121="RETORNADA",L6121="ENTREGA DIGITAL"),0,MAX(0,5-NETWORKDAYS(H6121+1,TODAY()))))</f>
        <v/>
      </c>
      <c r="L6121" t="str">
        <f>IF(A6121="","",IFERROR(LOOKUP(2,1/(#REF!=Z6121),#REF!),Y6121))</f>
        <v/>
      </c>
      <c r="Z6121" t="str">
        <f>IF(A6121="","",TEXT(A6121,"0")&amp;"|"&amp;TEXT(H6121,"0"))</f>
        <v/>
      </c>
      <c r="AA6121" t="str">
        <f>IF(Z6121="","",IFERROR(LOOKUP(2,1/(#REF!=Z6121),#REF!),""))</f>
        <v/>
      </c>
      <c r="AB6121" t="str">
        <f>IF(Z6121="","",IFERROR(LOOKUP(2,1/(#REF!=Z6121),#REF!),""))</f>
        <v/>
      </c>
      <c r="AC6121" t="str">
        <f>IF(Z6121="","",COUNTIF(#REF!,Z6121))</f>
        <v/>
      </c>
      <c r="AD6121" t="str">
        <f>IF(A6121="","",IF(AC6121&gt;1,"REVISAR DUPLICADO",IF(AA6121&lt;&gt;"","ACTUALIZADO POR EYR","SIN REPORTE EYR")))</f>
        <v/>
      </c>
    </row>
    <row r="6122" spans="11:30" x14ac:dyDescent="0.3">
      <c r="K6122" s="1" t="str">
        <f ca="1">IF(A6122="","",IF(OR(L6122="ENTREGADA",L6122="RETORNADA",L6122="ENTREGA DIGITAL"),0,MAX(0,5-NETWORKDAYS(H6122+1,TODAY()))))</f>
        <v/>
      </c>
      <c r="L6122" t="str">
        <f>IF(A6122="","",IFERROR(LOOKUP(2,1/(#REF!=Z6122),#REF!),Y6122))</f>
        <v/>
      </c>
      <c r="Z6122" t="str">
        <f>IF(A6122="","",TEXT(A6122,"0")&amp;"|"&amp;TEXT(H6122,"0"))</f>
        <v/>
      </c>
      <c r="AA6122" t="str">
        <f>IF(Z6122="","",IFERROR(LOOKUP(2,1/(#REF!=Z6122),#REF!),""))</f>
        <v/>
      </c>
      <c r="AB6122" t="str">
        <f>IF(Z6122="","",IFERROR(LOOKUP(2,1/(#REF!=Z6122),#REF!),""))</f>
        <v/>
      </c>
      <c r="AC6122" t="str">
        <f>IF(Z6122="","",COUNTIF(#REF!,Z6122))</f>
        <v/>
      </c>
      <c r="AD6122" t="str">
        <f>IF(A6122="","",IF(AC6122&gt;1,"REVISAR DUPLICADO",IF(AA6122&lt;&gt;"","ACTUALIZADO POR EYR","SIN REPORTE EYR")))</f>
        <v/>
      </c>
    </row>
    <row r="6123" spans="11:30" x14ac:dyDescent="0.3">
      <c r="K6123" s="1" t="str">
        <f ca="1">IF(A6123="","",IF(OR(L6123="ENTREGADA",L6123="RETORNADA",L6123="ENTREGA DIGITAL"),0,MAX(0,5-NETWORKDAYS(H6123+1,TODAY()))))</f>
        <v/>
      </c>
      <c r="L6123" t="str">
        <f>IF(A6123="","",IFERROR(LOOKUP(2,1/(#REF!=Z6123),#REF!),Y6123))</f>
        <v/>
      </c>
      <c r="Z6123" t="str">
        <f>IF(A6123="","",TEXT(A6123,"0")&amp;"|"&amp;TEXT(H6123,"0"))</f>
        <v/>
      </c>
      <c r="AA6123" t="str">
        <f>IF(Z6123="","",IFERROR(LOOKUP(2,1/(#REF!=Z6123),#REF!),""))</f>
        <v/>
      </c>
      <c r="AB6123" t="str">
        <f>IF(Z6123="","",IFERROR(LOOKUP(2,1/(#REF!=Z6123),#REF!),""))</f>
        <v/>
      </c>
      <c r="AC6123" t="str">
        <f>IF(Z6123="","",COUNTIF(#REF!,Z6123))</f>
        <v/>
      </c>
      <c r="AD6123" t="str">
        <f>IF(A6123="","",IF(AC6123&gt;1,"REVISAR DUPLICADO",IF(AA6123&lt;&gt;"","ACTUALIZADO POR EYR","SIN REPORTE EYR")))</f>
        <v/>
      </c>
    </row>
    <row r="6124" spans="11:30" x14ac:dyDescent="0.3">
      <c r="K6124" s="1" t="str">
        <f ca="1">IF(A6124="","",IF(OR(L6124="ENTREGADA",L6124="RETORNADA",L6124="ENTREGA DIGITAL"),0,MAX(0,5-NETWORKDAYS(H6124+1,TODAY()))))</f>
        <v/>
      </c>
      <c r="L6124" t="str">
        <f>IF(A6124="","",IFERROR(LOOKUP(2,1/(#REF!=Z6124),#REF!),Y6124))</f>
        <v/>
      </c>
      <c r="Z6124" t="str">
        <f>IF(A6124="","",TEXT(A6124,"0")&amp;"|"&amp;TEXT(H6124,"0"))</f>
        <v/>
      </c>
      <c r="AA6124" t="str">
        <f>IF(Z6124="","",IFERROR(LOOKUP(2,1/(#REF!=Z6124),#REF!),""))</f>
        <v/>
      </c>
      <c r="AB6124" t="str">
        <f>IF(Z6124="","",IFERROR(LOOKUP(2,1/(#REF!=Z6124),#REF!),""))</f>
        <v/>
      </c>
      <c r="AC6124" t="str">
        <f>IF(Z6124="","",COUNTIF(#REF!,Z6124))</f>
        <v/>
      </c>
      <c r="AD6124" t="str">
        <f>IF(A6124="","",IF(AC6124&gt;1,"REVISAR DUPLICADO",IF(AA6124&lt;&gt;"","ACTUALIZADO POR EYR","SIN REPORTE EYR")))</f>
        <v/>
      </c>
    </row>
    <row r="6125" spans="11:30" x14ac:dyDescent="0.3">
      <c r="K6125" s="1" t="str">
        <f ca="1">IF(A6125="","",IF(OR(L6125="ENTREGADA",L6125="RETORNADA",L6125="ENTREGA DIGITAL"),0,MAX(0,5-NETWORKDAYS(H6125+1,TODAY()))))</f>
        <v/>
      </c>
      <c r="L6125" t="str">
        <f>IF(A6125="","",IFERROR(LOOKUP(2,1/(#REF!=Z6125),#REF!),Y6125))</f>
        <v/>
      </c>
      <c r="Z6125" t="str">
        <f>IF(A6125="","",TEXT(A6125,"0")&amp;"|"&amp;TEXT(H6125,"0"))</f>
        <v/>
      </c>
      <c r="AA6125" t="str">
        <f>IF(Z6125="","",IFERROR(LOOKUP(2,1/(#REF!=Z6125),#REF!),""))</f>
        <v/>
      </c>
      <c r="AB6125" t="str">
        <f>IF(Z6125="","",IFERROR(LOOKUP(2,1/(#REF!=Z6125),#REF!),""))</f>
        <v/>
      </c>
      <c r="AC6125" t="str">
        <f>IF(Z6125="","",COUNTIF(#REF!,Z6125))</f>
        <v/>
      </c>
      <c r="AD6125" t="str">
        <f>IF(A6125="","",IF(AC6125&gt;1,"REVISAR DUPLICADO",IF(AA6125&lt;&gt;"","ACTUALIZADO POR EYR","SIN REPORTE EYR")))</f>
        <v/>
      </c>
    </row>
    <row r="6126" spans="11:30" x14ac:dyDescent="0.3">
      <c r="K6126" s="1" t="str">
        <f ca="1">IF(A6126="","",IF(OR(L6126="ENTREGADA",L6126="RETORNADA",L6126="ENTREGA DIGITAL"),0,MAX(0,5-NETWORKDAYS(H6126+1,TODAY()))))</f>
        <v/>
      </c>
      <c r="L6126" t="str">
        <f>IF(A6126="","",IFERROR(LOOKUP(2,1/(#REF!=Z6126),#REF!),Y6126))</f>
        <v/>
      </c>
      <c r="Z6126" t="str">
        <f>IF(A6126="","",TEXT(A6126,"0")&amp;"|"&amp;TEXT(H6126,"0"))</f>
        <v/>
      </c>
      <c r="AA6126" t="str">
        <f>IF(Z6126="","",IFERROR(LOOKUP(2,1/(#REF!=Z6126),#REF!),""))</f>
        <v/>
      </c>
      <c r="AB6126" t="str">
        <f>IF(Z6126="","",IFERROR(LOOKUP(2,1/(#REF!=Z6126),#REF!),""))</f>
        <v/>
      </c>
      <c r="AC6126" t="str">
        <f>IF(Z6126="","",COUNTIF(#REF!,Z6126))</f>
        <v/>
      </c>
      <c r="AD6126" t="str">
        <f>IF(A6126="","",IF(AC6126&gt;1,"REVISAR DUPLICADO",IF(AA6126&lt;&gt;"","ACTUALIZADO POR EYR","SIN REPORTE EYR")))</f>
        <v/>
      </c>
    </row>
    <row r="6127" spans="11:30" x14ac:dyDescent="0.3">
      <c r="K6127" s="1" t="str">
        <f ca="1">IF(A6127="","",IF(OR(L6127="ENTREGADA",L6127="RETORNADA",L6127="ENTREGA DIGITAL"),0,MAX(0,5-NETWORKDAYS(H6127+1,TODAY()))))</f>
        <v/>
      </c>
      <c r="L6127" t="str">
        <f>IF(A6127="","",IFERROR(LOOKUP(2,1/(#REF!=Z6127),#REF!),Y6127))</f>
        <v/>
      </c>
      <c r="Z6127" t="str">
        <f>IF(A6127="","",TEXT(A6127,"0")&amp;"|"&amp;TEXT(H6127,"0"))</f>
        <v/>
      </c>
      <c r="AA6127" t="str">
        <f>IF(Z6127="","",IFERROR(LOOKUP(2,1/(#REF!=Z6127),#REF!),""))</f>
        <v/>
      </c>
      <c r="AB6127" t="str">
        <f>IF(Z6127="","",IFERROR(LOOKUP(2,1/(#REF!=Z6127),#REF!),""))</f>
        <v/>
      </c>
      <c r="AC6127" t="str">
        <f>IF(Z6127="","",COUNTIF(#REF!,Z6127))</f>
        <v/>
      </c>
      <c r="AD6127" t="str">
        <f>IF(A6127="","",IF(AC6127&gt;1,"REVISAR DUPLICADO",IF(AA6127&lt;&gt;"","ACTUALIZADO POR EYR","SIN REPORTE EYR")))</f>
        <v/>
      </c>
    </row>
    <row r="6128" spans="11:30" x14ac:dyDescent="0.3">
      <c r="K6128" s="1" t="str">
        <f ca="1">IF(A6128="","",IF(OR(L6128="ENTREGADA",L6128="RETORNADA",L6128="ENTREGA DIGITAL"),0,MAX(0,5-NETWORKDAYS(H6128+1,TODAY()))))</f>
        <v/>
      </c>
      <c r="L6128" t="str">
        <f>IF(A6128="","",IFERROR(LOOKUP(2,1/(#REF!=Z6128),#REF!),Y6128))</f>
        <v/>
      </c>
      <c r="Z6128" t="str">
        <f>IF(A6128="","",TEXT(A6128,"0")&amp;"|"&amp;TEXT(H6128,"0"))</f>
        <v/>
      </c>
      <c r="AA6128" t="str">
        <f>IF(Z6128="","",IFERROR(LOOKUP(2,1/(#REF!=Z6128),#REF!),""))</f>
        <v/>
      </c>
      <c r="AB6128" t="str">
        <f>IF(Z6128="","",IFERROR(LOOKUP(2,1/(#REF!=Z6128),#REF!),""))</f>
        <v/>
      </c>
      <c r="AC6128" t="str">
        <f>IF(Z6128="","",COUNTIF(#REF!,Z6128))</f>
        <v/>
      </c>
      <c r="AD6128" t="str">
        <f>IF(A6128="","",IF(AC6128&gt;1,"REVISAR DUPLICADO",IF(AA6128&lt;&gt;"","ACTUALIZADO POR EYR","SIN REPORTE EYR")))</f>
        <v/>
      </c>
    </row>
    <row r="6129" spans="11:30" x14ac:dyDescent="0.3">
      <c r="K6129" s="1" t="str">
        <f ca="1">IF(A6129="","",IF(OR(L6129="ENTREGADA",L6129="RETORNADA",L6129="ENTREGA DIGITAL"),0,MAX(0,5-NETWORKDAYS(H6129+1,TODAY()))))</f>
        <v/>
      </c>
      <c r="L6129" t="str">
        <f>IF(A6129="","",IFERROR(LOOKUP(2,1/(#REF!=Z6129),#REF!),Y6129))</f>
        <v/>
      </c>
      <c r="Z6129" t="str">
        <f>IF(A6129="","",TEXT(A6129,"0")&amp;"|"&amp;TEXT(H6129,"0"))</f>
        <v/>
      </c>
      <c r="AA6129" t="str">
        <f>IF(Z6129="","",IFERROR(LOOKUP(2,1/(#REF!=Z6129),#REF!),""))</f>
        <v/>
      </c>
      <c r="AB6129" t="str">
        <f>IF(Z6129="","",IFERROR(LOOKUP(2,1/(#REF!=Z6129),#REF!),""))</f>
        <v/>
      </c>
      <c r="AC6129" t="str">
        <f>IF(Z6129="","",COUNTIF(#REF!,Z6129))</f>
        <v/>
      </c>
      <c r="AD6129" t="str">
        <f>IF(A6129="","",IF(AC6129&gt;1,"REVISAR DUPLICADO",IF(AA6129&lt;&gt;"","ACTUALIZADO POR EYR","SIN REPORTE EYR")))</f>
        <v/>
      </c>
    </row>
    <row r="6130" spans="11:30" x14ac:dyDescent="0.3">
      <c r="K6130" s="1" t="str">
        <f ca="1">IF(A6130="","",IF(OR(L6130="ENTREGADA",L6130="RETORNADA",L6130="ENTREGA DIGITAL"),0,MAX(0,5-NETWORKDAYS(H6130+1,TODAY()))))</f>
        <v/>
      </c>
      <c r="L6130" t="str">
        <f>IF(A6130="","",IFERROR(LOOKUP(2,1/(#REF!=Z6130),#REF!),Y6130))</f>
        <v/>
      </c>
      <c r="Z6130" t="str">
        <f>IF(A6130="","",TEXT(A6130,"0")&amp;"|"&amp;TEXT(H6130,"0"))</f>
        <v/>
      </c>
      <c r="AA6130" t="str">
        <f>IF(Z6130="","",IFERROR(LOOKUP(2,1/(#REF!=Z6130),#REF!),""))</f>
        <v/>
      </c>
      <c r="AB6130" t="str">
        <f>IF(Z6130="","",IFERROR(LOOKUP(2,1/(#REF!=Z6130),#REF!),""))</f>
        <v/>
      </c>
      <c r="AC6130" t="str">
        <f>IF(Z6130="","",COUNTIF(#REF!,Z6130))</f>
        <v/>
      </c>
      <c r="AD6130" t="str">
        <f>IF(A6130="","",IF(AC6130&gt;1,"REVISAR DUPLICADO",IF(AA6130&lt;&gt;"","ACTUALIZADO POR EYR","SIN REPORTE EYR")))</f>
        <v/>
      </c>
    </row>
    <row r="6131" spans="11:30" x14ac:dyDescent="0.3">
      <c r="K6131" s="1" t="str">
        <f ca="1">IF(A6131="","",IF(OR(L6131="ENTREGADA",L6131="RETORNADA",L6131="ENTREGA DIGITAL"),0,MAX(0,5-NETWORKDAYS(H6131+1,TODAY()))))</f>
        <v/>
      </c>
      <c r="L6131" t="str">
        <f>IF(A6131="","",IFERROR(LOOKUP(2,1/(#REF!=Z6131),#REF!),Y6131))</f>
        <v/>
      </c>
      <c r="Z6131" t="str">
        <f>IF(A6131="","",TEXT(A6131,"0")&amp;"|"&amp;TEXT(H6131,"0"))</f>
        <v/>
      </c>
      <c r="AA6131" t="str">
        <f>IF(Z6131="","",IFERROR(LOOKUP(2,1/(#REF!=Z6131),#REF!),""))</f>
        <v/>
      </c>
      <c r="AB6131" t="str">
        <f>IF(Z6131="","",IFERROR(LOOKUP(2,1/(#REF!=Z6131),#REF!),""))</f>
        <v/>
      </c>
      <c r="AC6131" t="str">
        <f>IF(Z6131="","",COUNTIF(#REF!,Z6131))</f>
        <v/>
      </c>
      <c r="AD6131" t="str">
        <f>IF(A6131="","",IF(AC6131&gt;1,"REVISAR DUPLICADO",IF(AA6131&lt;&gt;"","ACTUALIZADO POR EYR","SIN REPORTE EYR")))</f>
        <v/>
      </c>
    </row>
    <row r="6132" spans="11:30" x14ac:dyDescent="0.3">
      <c r="K6132" s="1" t="str">
        <f ca="1">IF(A6132="","",IF(OR(L6132="ENTREGADA",L6132="RETORNADA",L6132="ENTREGA DIGITAL"),0,MAX(0,5-NETWORKDAYS(H6132+1,TODAY()))))</f>
        <v/>
      </c>
      <c r="L6132" t="str">
        <f>IF(A6132="","",IFERROR(LOOKUP(2,1/(#REF!=Z6132),#REF!),Y6132))</f>
        <v/>
      </c>
      <c r="Z6132" t="str">
        <f>IF(A6132="","",TEXT(A6132,"0")&amp;"|"&amp;TEXT(H6132,"0"))</f>
        <v/>
      </c>
      <c r="AA6132" t="str">
        <f>IF(Z6132="","",IFERROR(LOOKUP(2,1/(#REF!=Z6132),#REF!),""))</f>
        <v/>
      </c>
      <c r="AB6132" t="str">
        <f>IF(Z6132="","",IFERROR(LOOKUP(2,1/(#REF!=Z6132),#REF!),""))</f>
        <v/>
      </c>
      <c r="AC6132" t="str">
        <f>IF(Z6132="","",COUNTIF(#REF!,Z6132))</f>
        <v/>
      </c>
      <c r="AD6132" t="str">
        <f>IF(A6132="","",IF(AC6132&gt;1,"REVISAR DUPLICADO",IF(AA6132&lt;&gt;"","ACTUALIZADO POR EYR","SIN REPORTE EYR")))</f>
        <v/>
      </c>
    </row>
    <row r="6133" spans="11:30" x14ac:dyDescent="0.3">
      <c r="K6133" s="1" t="str">
        <f ca="1">IF(A6133="","",IF(OR(L6133="ENTREGADA",L6133="RETORNADA",L6133="ENTREGA DIGITAL"),0,MAX(0,5-NETWORKDAYS(H6133+1,TODAY()))))</f>
        <v/>
      </c>
      <c r="L6133" t="str">
        <f>IF(A6133="","",IFERROR(LOOKUP(2,1/(#REF!=Z6133),#REF!),Y6133))</f>
        <v/>
      </c>
      <c r="Z6133" t="str">
        <f>IF(A6133="","",TEXT(A6133,"0")&amp;"|"&amp;TEXT(H6133,"0"))</f>
        <v/>
      </c>
      <c r="AA6133" t="str">
        <f>IF(Z6133="","",IFERROR(LOOKUP(2,1/(#REF!=Z6133),#REF!),""))</f>
        <v/>
      </c>
      <c r="AB6133" t="str">
        <f>IF(Z6133="","",IFERROR(LOOKUP(2,1/(#REF!=Z6133),#REF!),""))</f>
        <v/>
      </c>
      <c r="AC6133" t="str">
        <f>IF(Z6133="","",COUNTIF(#REF!,Z6133))</f>
        <v/>
      </c>
      <c r="AD6133" t="str">
        <f>IF(A6133="","",IF(AC6133&gt;1,"REVISAR DUPLICADO",IF(AA6133&lt;&gt;"","ACTUALIZADO POR EYR","SIN REPORTE EYR")))</f>
        <v/>
      </c>
    </row>
    <row r="6134" spans="11:30" x14ac:dyDescent="0.3">
      <c r="K6134" s="1" t="str">
        <f ca="1">IF(A6134="","",IF(OR(L6134="ENTREGADA",L6134="RETORNADA",L6134="ENTREGA DIGITAL"),0,MAX(0,5-NETWORKDAYS(H6134+1,TODAY()))))</f>
        <v/>
      </c>
      <c r="L6134" t="str">
        <f>IF(A6134="","",IFERROR(LOOKUP(2,1/(#REF!=Z6134),#REF!),Y6134))</f>
        <v/>
      </c>
      <c r="Z6134" t="str">
        <f>IF(A6134="","",TEXT(A6134,"0")&amp;"|"&amp;TEXT(H6134,"0"))</f>
        <v/>
      </c>
      <c r="AA6134" t="str">
        <f>IF(Z6134="","",IFERROR(LOOKUP(2,1/(#REF!=Z6134),#REF!),""))</f>
        <v/>
      </c>
      <c r="AB6134" t="str">
        <f>IF(Z6134="","",IFERROR(LOOKUP(2,1/(#REF!=Z6134),#REF!),""))</f>
        <v/>
      </c>
      <c r="AC6134" t="str">
        <f>IF(Z6134="","",COUNTIF(#REF!,Z6134))</f>
        <v/>
      </c>
      <c r="AD6134" t="str">
        <f>IF(A6134="","",IF(AC6134&gt;1,"REVISAR DUPLICADO",IF(AA6134&lt;&gt;"","ACTUALIZADO POR EYR","SIN REPORTE EYR")))</f>
        <v/>
      </c>
    </row>
    <row r="6135" spans="11:30" x14ac:dyDescent="0.3">
      <c r="K6135" s="1" t="str">
        <f ca="1">IF(A6135="","",IF(OR(L6135="ENTREGADA",L6135="RETORNADA",L6135="ENTREGA DIGITAL"),0,MAX(0,5-NETWORKDAYS(H6135+1,TODAY()))))</f>
        <v/>
      </c>
      <c r="L6135" t="str">
        <f>IF(A6135="","",IFERROR(LOOKUP(2,1/(#REF!=Z6135),#REF!),Y6135))</f>
        <v/>
      </c>
      <c r="Z6135" t="str">
        <f>IF(A6135="","",TEXT(A6135,"0")&amp;"|"&amp;TEXT(H6135,"0"))</f>
        <v/>
      </c>
      <c r="AA6135" t="str">
        <f>IF(Z6135="","",IFERROR(LOOKUP(2,1/(#REF!=Z6135),#REF!),""))</f>
        <v/>
      </c>
      <c r="AB6135" t="str">
        <f>IF(Z6135="","",IFERROR(LOOKUP(2,1/(#REF!=Z6135),#REF!),""))</f>
        <v/>
      </c>
      <c r="AC6135" t="str">
        <f>IF(Z6135="","",COUNTIF(#REF!,Z6135))</f>
        <v/>
      </c>
      <c r="AD6135" t="str">
        <f>IF(A6135="","",IF(AC6135&gt;1,"REVISAR DUPLICADO",IF(AA6135&lt;&gt;"","ACTUALIZADO POR EYR","SIN REPORTE EYR")))</f>
        <v/>
      </c>
    </row>
    <row r="6136" spans="11:30" x14ac:dyDescent="0.3">
      <c r="K6136" s="1" t="str">
        <f ca="1">IF(A6136="","",IF(OR(L6136="ENTREGADA",L6136="RETORNADA",L6136="ENTREGA DIGITAL"),0,MAX(0,5-NETWORKDAYS(H6136+1,TODAY()))))</f>
        <v/>
      </c>
      <c r="L6136" t="str">
        <f>IF(A6136="","",IFERROR(LOOKUP(2,1/(#REF!=Z6136),#REF!),Y6136))</f>
        <v/>
      </c>
      <c r="Z6136" t="str">
        <f>IF(A6136="","",TEXT(A6136,"0")&amp;"|"&amp;TEXT(H6136,"0"))</f>
        <v/>
      </c>
      <c r="AA6136" t="str">
        <f>IF(Z6136="","",IFERROR(LOOKUP(2,1/(#REF!=Z6136),#REF!),""))</f>
        <v/>
      </c>
      <c r="AB6136" t="str">
        <f>IF(Z6136="","",IFERROR(LOOKUP(2,1/(#REF!=Z6136),#REF!),""))</f>
        <v/>
      </c>
      <c r="AC6136" t="str">
        <f>IF(Z6136="","",COUNTIF(#REF!,Z6136))</f>
        <v/>
      </c>
      <c r="AD6136" t="str">
        <f>IF(A6136="","",IF(AC6136&gt;1,"REVISAR DUPLICADO",IF(AA6136&lt;&gt;"","ACTUALIZADO POR EYR","SIN REPORTE EYR")))</f>
        <v/>
      </c>
    </row>
    <row r="6137" spans="11:30" x14ac:dyDescent="0.3">
      <c r="K6137" s="1" t="str">
        <f ca="1">IF(A6137="","",IF(OR(L6137="ENTREGADA",L6137="RETORNADA",L6137="ENTREGA DIGITAL"),0,MAX(0,5-NETWORKDAYS(H6137+1,TODAY()))))</f>
        <v/>
      </c>
      <c r="L6137" t="str">
        <f>IF(A6137="","",IFERROR(LOOKUP(2,1/(#REF!=Z6137),#REF!),Y6137))</f>
        <v/>
      </c>
      <c r="Z6137" t="str">
        <f>IF(A6137="","",TEXT(A6137,"0")&amp;"|"&amp;TEXT(H6137,"0"))</f>
        <v/>
      </c>
      <c r="AA6137" t="str">
        <f>IF(Z6137="","",IFERROR(LOOKUP(2,1/(#REF!=Z6137),#REF!),""))</f>
        <v/>
      </c>
      <c r="AB6137" t="str">
        <f>IF(Z6137="","",IFERROR(LOOKUP(2,1/(#REF!=Z6137),#REF!),""))</f>
        <v/>
      </c>
      <c r="AC6137" t="str">
        <f>IF(Z6137="","",COUNTIF(#REF!,Z6137))</f>
        <v/>
      </c>
      <c r="AD6137" t="str">
        <f>IF(A6137="","",IF(AC6137&gt;1,"REVISAR DUPLICADO",IF(AA6137&lt;&gt;"","ACTUALIZADO POR EYR","SIN REPORTE EYR")))</f>
        <v/>
      </c>
    </row>
    <row r="6138" spans="11:30" x14ac:dyDescent="0.3">
      <c r="K6138" s="1" t="str">
        <f ca="1">IF(A6138="","",IF(OR(L6138="ENTREGADA",L6138="RETORNADA",L6138="ENTREGA DIGITAL"),0,MAX(0,5-NETWORKDAYS(H6138+1,TODAY()))))</f>
        <v/>
      </c>
      <c r="L6138" t="str">
        <f>IF(A6138="","",IFERROR(LOOKUP(2,1/(#REF!=Z6138),#REF!),Y6138))</f>
        <v/>
      </c>
      <c r="Z6138" t="str">
        <f>IF(A6138="","",TEXT(A6138,"0")&amp;"|"&amp;TEXT(H6138,"0"))</f>
        <v/>
      </c>
      <c r="AA6138" t="str">
        <f>IF(Z6138="","",IFERROR(LOOKUP(2,1/(#REF!=Z6138),#REF!),""))</f>
        <v/>
      </c>
      <c r="AB6138" t="str">
        <f>IF(Z6138="","",IFERROR(LOOKUP(2,1/(#REF!=Z6138),#REF!),""))</f>
        <v/>
      </c>
      <c r="AC6138" t="str">
        <f>IF(Z6138="","",COUNTIF(#REF!,Z6138))</f>
        <v/>
      </c>
      <c r="AD6138" t="str">
        <f>IF(A6138="","",IF(AC6138&gt;1,"REVISAR DUPLICADO",IF(AA6138&lt;&gt;"","ACTUALIZADO POR EYR","SIN REPORTE EYR")))</f>
        <v/>
      </c>
    </row>
    <row r="6139" spans="11:30" x14ac:dyDescent="0.3">
      <c r="K6139" s="1" t="str">
        <f ca="1">IF(A6139="","",IF(OR(L6139="ENTREGADA",L6139="RETORNADA",L6139="ENTREGA DIGITAL"),0,MAX(0,5-NETWORKDAYS(H6139+1,TODAY()))))</f>
        <v/>
      </c>
      <c r="L6139" t="str">
        <f>IF(A6139="","",IFERROR(LOOKUP(2,1/(#REF!=Z6139),#REF!),Y6139))</f>
        <v/>
      </c>
      <c r="Z6139" t="str">
        <f>IF(A6139="","",TEXT(A6139,"0")&amp;"|"&amp;TEXT(H6139,"0"))</f>
        <v/>
      </c>
      <c r="AA6139" t="str">
        <f>IF(Z6139="","",IFERROR(LOOKUP(2,1/(#REF!=Z6139),#REF!),""))</f>
        <v/>
      </c>
      <c r="AB6139" t="str">
        <f>IF(Z6139="","",IFERROR(LOOKUP(2,1/(#REF!=Z6139),#REF!),""))</f>
        <v/>
      </c>
      <c r="AC6139" t="str">
        <f>IF(Z6139="","",COUNTIF(#REF!,Z6139))</f>
        <v/>
      </c>
      <c r="AD6139" t="str">
        <f>IF(A6139="","",IF(AC6139&gt;1,"REVISAR DUPLICADO",IF(AA6139&lt;&gt;"","ACTUALIZADO POR EYR","SIN REPORTE EYR")))</f>
        <v/>
      </c>
    </row>
    <row r="6140" spans="11:30" x14ac:dyDescent="0.3">
      <c r="K6140" s="1" t="str">
        <f ca="1">IF(A6140="","",IF(OR(L6140="ENTREGADA",L6140="RETORNADA",L6140="ENTREGA DIGITAL"),0,MAX(0,5-NETWORKDAYS(H6140+1,TODAY()))))</f>
        <v/>
      </c>
      <c r="L6140" t="str">
        <f>IF(A6140="","",IFERROR(LOOKUP(2,1/(#REF!=Z6140),#REF!),Y6140))</f>
        <v/>
      </c>
      <c r="Z6140" t="str">
        <f>IF(A6140="","",TEXT(A6140,"0")&amp;"|"&amp;TEXT(H6140,"0"))</f>
        <v/>
      </c>
      <c r="AA6140" t="str">
        <f>IF(Z6140="","",IFERROR(LOOKUP(2,1/(#REF!=Z6140),#REF!),""))</f>
        <v/>
      </c>
      <c r="AB6140" t="str">
        <f>IF(Z6140="","",IFERROR(LOOKUP(2,1/(#REF!=Z6140),#REF!),""))</f>
        <v/>
      </c>
      <c r="AC6140" t="str">
        <f>IF(Z6140="","",COUNTIF(#REF!,Z6140))</f>
        <v/>
      </c>
      <c r="AD6140" t="str">
        <f>IF(A6140="","",IF(AC6140&gt;1,"REVISAR DUPLICADO",IF(AA6140&lt;&gt;"","ACTUALIZADO POR EYR","SIN REPORTE EYR")))</f>
        <v/>
      </c>
    </row>
    <row r="6141" spans="11:30" x14ac:dyDescent="0.3">
      <c r="K6141" s="1" t="str">
        <f ca="1">IF(A6141="","",IF(OR(L6141="ENTREGADA",L6141="RETORNADA",L6141="ENTREGA DIGITAL"),0,MAX(0,5-NETWORKDAYS(H6141+1,TODAY()))))</f>
        <v/>
      </c>
      <c r="L6141" t="str">
        <f>IF(A6141="","",IFERROR(LOOKUP(2,1/(#REF!=Z6141),#REF!),Y6141))</f>
        <v/>
      </c>
      <c r="Z6141" t="str">
        <f>IF(A6141="","",TEXT(A6141,"0")&amp;"|"&amp;TEXT(H6141,"0"))</f>
        <v/>
      </c>
      <c r="AA6141" t="str">
        <f>IF(Z6141="","",IFERROR(LOOKUP(2,1/(#REF!=Z6141),#REF!),""))</f>
        <v/>
      </c>
      <c r="AB6141" t="str">
        <f>IF(Z6141="","",IFERROR(LOOKUP(2,1/(#REF!=Z6141),#REF!),""))</f>
        <v/>
      </c>
      <c r="AC6141" t="str">
        <f>IF(Z6141="","",COUNTIF(#REF!,Z6141))</f>
        <v/>
      </c>
      <c r="AD6141" t="str">
        <f>IF(A6141="","",IF(AC6141&gt;1,"REVISAR DUPLICADO",IF(AA6141&lt;&gt;"","ACTUALIZADO POR EYR","SIN REPORTE EYR")))</f>
        <v/>
      </c>
    </row>
    <row r="6142" spans="11:30" x14ac:dyDescent="0.3">
      <c r="K6142" s="1" t="str">
        <f ca="1">IF(A6142="","",IF(OR(L6142="ENTREGADA",L6142="RETORNADA",L6142="ENTREGA DIGITAL"),0,MAX(0,5-NETWORKDAYS(H6142+1,TODAY()))))</f>
        <v/>
      </c>
      <c r="L6142" t="str">
        <f>IF(A6142="","",IFERROR(LOOKUP(2,1/(#REF!=Z6142),#REF!),Y6142))</f>
        <v/>
      </c>
      <c r="Z6142" t="str">
        <f>IF(A6142="","",TEXT(A6142,"0")&amp;"|"&amp;TEXT(H6142,"0"))</f>
        <v/>
      </c>
      <c r="AA6142" t="str">
        <f>IF(Z6142="","",IFERROR(LOOKUP(2,1/(#REF!=Z6142),#REF!),""))</f>
        <v/>
      </c>
      <c r="AB6142" t="str">
        <f>IF(Z6142="","",IFERROR(LOOKUP(2,1/(#REF!=Z6142),#REF!),""))</f>
        <v/>
      </c>
      <c r="AC6142" t="str">
        <f>IF(Z6142="","",COUNTIF(#REF!,Z6142))</f>
        <v/>
      </c>
      <c r="AD6142" t="str">
        <f>IF(A6142="","",IF(AC6142&gt;1,"REVISAR DUPLICADO",IF(AA6142&lt;&gt;"","ACTUALIZADO POR EYR","SIN REPORTE EYR")))</f>
        <v/>
      </c>
    </row>
    <row r="6143" spans="11:30" x14ac:dyDescent="0.3">
      <c r="K6143" s="1" t="str">
        <f ca="1">IF(A6143="","",IF(OR(L6143="ENTREGADA",L6143="RETORNADA",L6143="ENTREGA DIGITAL"),0,MAX(0,5-NETWORKDAYS(H6143+1,TODAY()))))</f>
        <v/>
      </c>
      <c r="L6143" t="str">
        <f>IF(A6143="","",IFERROR(LOOKUP(2,1/(#REF!=Z6143),#REF!),Y6143))</f>
        <v/>
      </c>
      <c r="Z6143" t="str">
        <f>IF(A6143="","",TEXT(A6143,"0")&amp;"|"&amp;TEXT(H6143,"0"))</f>
        <v/>
      </c>
      <c r="AA6143" t="str">
        <f>IF(Z6143="","",IFERROR(LOOKUP(2,1/(#REF!=Z6143),#REF!),""))</f>
        <v/>
      </c>
      <c r="AB6143" t="str">
        <f>IF(Z6143="","",IFERROR(LOOKUP(2,1/(#REF!=Z6143),#REF!),""))</f>
        <v/>
      </c>
      <c r="AC6143" t="str">
        <f>IF(Z6143="","",COUNTIF(#REF!,Z6143))</f>
        <v/>
      </c>
      <c r="AD6143" t="str">
        <f>IF(A6143="","",IF(AC6143&gt;1,"REVISAR DUPLICADO",IF(AA6143&lt;&gt;"","ACTUALIZADO POR EYR","SIN REPORTE EYR")))</f>
        <v/>
      </c>
    </row>
    <row r="6144" spans="11:30" x14ac:dyDescent="0.3">
      <c r="K6144" s="1" t="str">
        <f ca="1">IF(A6144="","",IF(OR(L6144="ENTREGADA",L6144="RETORNADA",L6144="ENTREGA DIGITAL"),0,MAX(0,5-NETWORKDAYS(H6144+1,TODAY()))))</f>
        <v/>
      </c>
      <c r="L6144" t="str">
        <f>IF(A6144="","",IFERROR(LOOKUP(2,1/(#REF!=Z6144),#REF!),Y6144))</f>
        <v/>
      </c>
      <c r="Z6144" t="str">
        <f>IF(A6144="","",TEXT(A6144,"0")&amp;"|"&amp;TEXT(H6144,"0"))</f>
        <v/>
      </c>
      <c r="AA6144" t="str">
        <f>IF(Z6144="","",IFERROR(LOOKUP(2,1/(#REF!=Z6144),#REF!),""))</f>
        <v/>
      </c>
      <c r="AB6144" t="str">
        <f>IF(Z6144="","",IFERROR(LOOKUP(2,1/(#REF!=Z6144),#REF!),""))</f>
        <v/>
      </c>
      <c r="AC6144" t="str">
        <f>IF(Z6144="","",COUNTIF(#REF!,Z6144))</f>
        <v/>
      </c>
      <c r="AD6144" t="str">
        <f>IF(A6144="","",IF(AC6144&gt;1,"REVISAR DUPLICADO",IF(AA6144&lt;&gt;"","ACTUALIZADO POR EYR","SIN REPORTE EYR")))</f>
        <v/>
      </c>
    </row>
    <row r="6145" spans="11:30" x14ac:dyDescent="0.3">
      <c r="K6145" s="1" t="str">
        <f ca="1">IF(A6145="","",IF(OR(L6145="ENTREGADA",L6145="RETORNADA",L6145="ENTREGA DIGITAL"),0,MAX(0,5-NETWORKDAYS(H6145+1,TODAY()))))</f>
        <v/>
      </c>
      <c r="L6145" t="str">
        <f>IF(A6145="","",IFERROR(LOOKUP(2,1/(#REF!=Z6145),#REF!),Y6145))</f>
        <v/>
      </c>
      <c r="Z6145" t="str">
        <f>IF(A6145="","",TEXT(A6145,"0")&amp;"|"&amp;TEXT(H6145,"0"))</f>
        <v/>
      </c>
      <c r="AA6145" t="str">
        <f>IF(Z6145="","",IFERROR(LOOKUP(2,1/(#REF!=Z6145),#REF!),""))</f>
        <v/>
      </c>
      <c r="AB6145" t="str">
        <f>IF(Z6145="","",IFERROR(LOOKUP(2,1/(#REF!=Z6145),#REF!),""))</f>
        <v/>
      </c>
      <c r="AC6145" t="str">
        <f>IF(Z6145="","",COUNTIF(#REF!,Z6145))</f>
        <v/>
      </c>
      <c r="AD6145" t="str">
        <f>IF(A6145="","",IF(AC6145&gt;1,"REVISAR DUPLICADO",IF(AA6145&lt;&gt;"","ACTUALIZADO POR EYR","SIN REPORTE EYR")))</f>
        <v/>
      </c>
    </row>
    <row r="6146" spans="11:30" x14ac:dyDescent="0.3">
      <c r="K6146" s="1" t="str">
        <f ca="1">IF(A6146="","",IF(OR(L6146="ENTREGADA",L6146="RETORNADA",L6146="ENTREGA DIGITAL"),0,MAX(0,5-NETWORKDAYS(H6146+1,TODAY()))))</f>
        <v/>
      </c>
      <c r="L6146" t="str">
        <f>IF(A6146="","",IFERROR(LOOKUP(2,1/(#REF!=Z6146),#REF!),Y6146))</f>
        <v/>
      </c>
      <c r="Z6146" t="str">
        <f>IF(A6146="","",TEXT(A6146,"0")&amp;"|"&amp;TEXT(H6146,"0"))</f>
        <v/>
      </c>
      <c r="AA6146" t="str">
        <f>IF(Z6146="","",IFERROR(LOOKUP(2,1/(#REF!=Z6146),#REF!),""))</f>
        <v/>
      </c>
      <c r="AB6146" t="str">
        <f>IF(Z6146="","",IFERROR(LOOKUP(2,1/(#REF!=Z6146),#REF!),""))</f>
        <v/>
      </c>
      <c r="AC6146" t="str">
        <f>IF(Z6146="","",COUNTIF(#REF!,Z6146))</f>
        <v/>
      </c>
      <c r="AD6146" t="str">
        <f>IF(A6146="","",IF(AC6146&gt;1,"REVISAR DUPLICADO",IF(AA6146&lt;&gt;"","ACTUALIZADO POR EYR","SIN REPORTE EYR")))</f>
        <v/>
      </c>
    </row>
    <row r="6147" spans="11:30" x14ac:dyDescent="0.3">
      <c r="K6147" s="1" t="str">
        <f ca="1">IF(A6147="","",IF(OR(L6147="ENTREGADA",L6147="RETORNADA",L6147="ENTREGA DIGITAL"),0,MAX(0,5-NETWORKDAYS(H6147+1,TODAY()))))</f>
        <v/>
      </c>
      <c r="L6147" t="str">
        <f>IF(A6147="","",IFERROR(LOOKUP(2,1/(#REF!=Z6147),#REF!),Y6147))</f>
        <v/>
      </c>
      <c r="Z6147" t="str">
        <f>IF(A6147="","",TEXT(A6147,"0")&amp;"|"&amp;TEXT(H6147,"0"))</f>
        <v/>
      </c>
      <c r="AA6147" t="str">
        <f>IF(Z6147="","",IFERROR(LOOKUP(2,1/(#REF!=Z6147),#REF!),""))</f>
        <v/>
      </c>
      <c r="AB6147" t="str">
        <f>IF(Z6147="","",IFERROR(LOOKUP(2,1/(#REF!=Z6147),#REF!),""))</f>
        <v/>
      </c>
      <c r="AC6147" t="str">
        <f>IF(Z6147="","",COUNTIF(#REF!,Z6147))</f>
        <v/>
      </c>
      <c r="AD6147" t="str">
        <f>IF(A6147="","",IF(AC6147&gt;1,"REVISAR DUPLICADO",IF(AA6147&lt;&gt;"","ACTUALIZADO POR EYR","SIN REPORTE EYR")))</f>
        <v/>
      </c>
    </row>
    <row r="6148" spans="11:30" x14ac:dyDescent="0.3">
      <c r="K6148" s="1" t="str">
        <f ca="1">IF(A6148="","",IF(OR(L6148="ENTREGADA",L6148="RETORNADA",L6148="ENTREGA DIGITAL"),0,MAX(0,5-NETWORKDAYS(H6148+1,TODAY()))))</f>
        <v/>
      </c>
      <c r="L6148" t="str">
        <f>IF(A6148="","",IFERROR(LOOKUP(2,1/(#REF!=Z6148),#REF!),Y6148))</f>
        <v/>
      </c>
      <c r="Z6148" t="str">
        <f>IF(A6148="","",TEXT(A6148,"0")&amp;"|"&amp;TEXT(H6148,"0"))</f>
        <v/>
      </c>
      <c r="AA6148" t="str">
        <f>IF(Z6148="","",IFERROR(LOOKUP(2,1/(#REF!=Z6148),#REF!),""))</f>
        <v/>
      </c>
      <c r="AB6148" t="str">
        <f>IF(Z6148="","",IFERROR(LOOKUP(2,1/(#REF!=Z6148),#REF!),""))</f>
        <v/>
      </c>
      <c r="AC6148" t="str">
        <f>IF(Z6148="","",COUNTIF(#REF!,Z6148))</f>
        <v/>
      </c>
      <c r="AD6148" t="str">
        <f>IF(A6148="","",IF(AC6148&gt;1,"REVISAR DUPLICADO",IF(AA6148&lt;&gt;"","ACTUALIZADO POR EYR","SIN REPORTE EYR")))</f>
        <v/>
      </c>
    </row>
    <row r="6149" spans="11:30" x14ac:dyDescent="0.3">
      <c r="K6149" s="1" t="str">
        <f ca="1">IF(A6149="","",IF(OR(L6149="ENTREGADA",L6149="RETORNADA",L6149="ENTREGA DIGITAL"),0,MAX(0,5-NETWORKDAYS(H6149+1,TODAY()))))</f>
        <v/>
      </c>
      <c r="L6149" t="str">
        <f>IF(A6149="","",IFERROR(LOOKUP(2,1/(#REF!=Z6149),#REF!),Y6149))</f>
        <v/>
      </c>
      <c r="Z6149" t="str">
        <f>IF(A6149="","",TEXT(A6149,"0")&amp;"|"&amp;TEXT(H6149,"0"))</f>
        <v/>
      </c>
      <c r="AA6149" t="str">
        <f>IF(Z6149="","",IFERROR(LOOKUP(2,1/(#REF!=Z6149),#REF!),""))</f>
        <v/>
      </c>
      <c r="AB6149" t="str">
        <f>IF(Z6149="","",IFERROR(LOOKUP(2,1/(#REF!=Z6149),#REF!),""))</f>
        <v/>
      </c>
      <c r="AC6149" t="str">
        <f>IF(Z6149="","",COUNTIF(#REF!,Z6149))</f>
        <v/>
      </c>
      <c r="AD6149" t="str">
        <f>IF(A6149="","",IF(AC6149&gt;1,"REVISAR DUPLICADO",IF(AA6149&lt;&gt;"","ACTUALIZADO POR EYR","SIN REPORTE EYR")))</f>
        <v/>
      </c>
    </row>
    <row r="6150" spans="11:30" x14ac:dyDescent="0.3">
      <c r="K6150" s="1" t="str">
        <f ca="1">IF(A6150="","",IF(OR(L6150="ENTREGADA",L6150="RETORNADA",L6150="ENTREGA DIGITAL"),0,MAX(0,5-NETWORKDAYS(H6150+1,TODAY()))))</f>
        <v/>
      </c>
      <c r="L6150" t="str">
        <f>IF(A6150="","",IFERROR(LOOKUP(2,1/(#REF!=Z6150),#REF!),Y6150))</f>
        <v/>
      </c>
      <c r="Z6150" t="str">
        <f>IF(A6150="","",TEXT(A6150,"0")&amp;"|"&amp;TEXT(H6150,"0"))</f>
        <v/>
      </c>
      <c r="AA6150" t="str">
        <f>IF(Z6150="","",IFERROR(LOOKUP(2,1/(#REF!=Z6150),#REF!),""))</f>
        <v/>
      </c>
      <c r="AB6150" t="str">
        <f>IF(Z6150="","",IFERROR(LOOKUP(2,1/(#REF!=Z6150),#REF!),""))</f>
        <v/>
      </c>
      <c r="AC6150" t="str">
        <f>IF(Z6150="","",COUNTIF(#REF!,Z6150))</f>
        <v/>
      </c>
      <c r="AD6150" t="str">
        <f>IF(A6150="","",IF(AC6150&gt;1,"REVISAR DUPLICADO",IF(AA6150&lt;&gt;"","ACTUALIZADO POR EYR","SIN REPORTE EYR")))</f>
        <v/>
      </c>
    </row>
    <row r="6151" spans="11:30" x14ac:dyDescent="0.3">
      <c r="K6151" s="1" t="str">
        <f ca="1">IF(A6151="","",IF(OR(L6151="ENTREGADA",L6151="RETORNADA",L6151="ENTREGA DIGITAL"),0,MAX(0,5-NETWORKDAYS(H6151+1,TODAY()))))</f>
        <v/>
      </c>
      <c r="L6151" t="str">
        <f>IF(A6151="","",IFERROR(LOOKUP(2,1/(#REF!=Z6151),#REF!),Y6151))</f>
        <v/>
      </c>
      <c r="Z6151" t="str">
        <f>IF(A6151="","",TEXT(A6151,"0")&amp;"|"&amp;TEXT(H6151,"0"))</f>
        <v/>
      </c>
      <c r="AA6151" t="str">
        <f>IF(Z6151="","",IFERROR(LOOKUP(2,1/(#REF!=Z6151),#REF!),""))</f>
        <v/>
      </c>
      <c r="AB6151" t="str">
        <f>IF(Z6151="","",IFERROR(LOOKUP(2,1/(#REF!=Z6151),#REF!),""))</f>
        <v/>
      </c>
      <c r="AC6151" t="str">
        <f>IF(Z6151="","",COUNTIF(#REF!,Z6151))</f>
        <v/>
      </c>
      <c r="AD6151" t="str">
        <f>IF(A6151="","",IF(AC6151&gt;1,"REVISAR DUPLICADO",IF(AA6151&lt;&gt;"","ACTUALIZADO POR EYR","SIN REPORTE EYR")))</f>
        <v/>
      </c>
    </row>
    <row r="6152" spans="11:30" x14ac:dyDescent="0.3">
      <c r="K6152" s="1" t="str">
        <f ca="1">IF(A6152="","",IF(OR(L6152="ENTREGADA",L6152="RETORNADA",L6152="ENTREGA DIGITAL"),0,MAX(0,5-NETWORKDAYS(H6152+1,TODAY()))))</f>
        <v/>
      </c>
      <c r="L6152" t="str">
        <f>IF(A6152="","",IFERROR(LOOKUP(2,1/(#REF!=Z6152),#REF!),Y6152))</f>
        <v/>
      </c>
      <c r="Z6152" t="str">
        <f>IF(A6152="","",TEXT(A6152,"0")&amp;"|"&amp;TEXT(H6152,"0"))</f>
        <v/>
      </c>
      <c r="AA6152" t="str">
        <f>IF(Z6152="","",IFERROR(LOOKUP(2,1/(#REF!=Z6152),#REF!),""))</f>
        <v/>
      </c>
      <c r="AB6152" t="str">
        <f>IF(Z6152="","",IFERROR(LOOKUP(2,1/(#REF!=Z6152),#REF!),""))</f>
        <v/>
      </c>
      <c r="AC6152" t="str">
        <f>IF(Z6152="","",COUNTIF(#REF!,Z6152))</f>
        <v/>
      </c>
      <c r="AD6152" t="str">
        <f>IF(A6152="","",IF(AC6152&gt;1,"REVISAR DUPLICADO",IF(AA6152&lt;&gt;"","ACTUALIZADO POR EYR","SIN REPORTE EYR")))</f>
        <v/>
      </c>
    </row>
    <row r="6153" spans="11:30" x14ac:dyDescent="0.3">
      <c r="K6153" s="1" t="str">
        <f ca="1">IF(A6153="","",IF(OR(L6153="ENTREGADA",L6153="RETORNADA",L6153="ENTREGA DIGITAL"),0,MAX(0,5-NETWORKDAYS(H6153+1,TODAY()))))</f>
        <v/>
      </c>
      <c r="L6153" t="str">
        <f>IF(A6153="","",IFERROR(LOOKUP(2,1/(#REF!=Z6153),#REF!),Y6153))</f>
        <v/>
      </c>
      <c r="Z6153" t="str">
        <f>IF(A6153="","",TEXT(A6153,"0")&amp;"|"&amp;TEXT(H6153,"0"))</f>
        <v/>
      </c>
      <c r="AA6153" t="str">
        <f>IF(Z6153="","",IFERROR(LOOKUP(2,1/(#REF!=Z6153),#REF!),""))</f>
        <v/>
      </c>
      <c r="AB6153" t="str">
        <f>IF(Z6153="","",IFERROR(LOOKUP(2,1/(#REF!=Z6153),#REF!),""))</f>
        <v/>
      </c>
      <c r="AC6153" t="str">
        <f>IF(Z6153="","",COUNTIF(#REF!,Z6153))</f>
        <v/>
      </c>
      <c r="AD6153" t="str">
        <f>IF(A6153="","",IF(AC6153&gt;1,"REVISAR DUPLICADO",IF(AA6153&lt;&gt;"","ACTUALIZADO POR EYR","SIN REPORTE EYR")))</f>
        <v/>
      </c>
    </row>
    <row r="6154" spans="11:30" x14ac:dyDescent="0.3">
      <c r="K6154" s="1" t="str">
        <f ca="1">IF(A6154="","",IF(OR(L6154="ENTREGADA",L6154="RETORNADA",L6154="ENTREGA DIGITAL"),0,MAX(0,5-NETWORKDAYS(H6154+1,TODAY()))))</f>
        <v/>
      </c>
      <c r="L6154" t="str">
        <f>IF(A6154="","",IFERROR(LOOKUP(2,1/(#REF!=Z6154),#REF!),Y6154))</f>
        <v/>
      </c>
      <c r="Z6154" t="str">
        <f>IF(A6154="","",TEXT(A6154,"0")&amp;"|"&amp;TEXT(H6154,"0"))</f>
        <v/>
      </c>
      <c r="AA6154" t="str">
        <f>IF(Z6154="","",IFERROR(LOOKUP(2,1/(#REF!=Z6154),#REF!),""))</f>
        <v/>
      </c>
      <c r="AB6154" t="str">
        <f>IF(Z6154="","",IFERROR(LOOKUP(2,1/(#REF!=Z6154),#REF!),""))</f>
        <v/>
      </c>
      <c r="AC6154" t="str">
        <f>IF(Z6154="","",COUNTIF(#REF!,Z6154))</f>
        <v/>
      </c>
      <c r="AD6154" t="str">
        <f>IF(A6154="","",IF(AC6154&gt;1,"REVISAR DUPLICADO",IF(AA6154&lt;&gt;"","ACTUALIZADO POR EYR","SIN REPORTE EYR")))</f>
        <v/>
      </c>
    </row>
    <row r="6155" spans="11:30" x14ac:dyDescent="0.3">
      <c r="K6155" s="1" t="str">
        <f ca="1">IF(A6155="","",IF(OR(L6155="ENTREGADA",L6155="RETORNADA",L6155="ENTREGA DIGITAL"),0,MAX(0,5-NETWORKDAYS(H6155+1,TODAY()))))</f>
        <v/>
      </c>
      <c r="L6155" t="str">
        <f>IF(A6155="","",IFERROR(LOOKUP(2,1/(#REF!=Z6155),#REF!),Y6155))</f>
        <v/>
      </c>
      <c r="Z6155" t="str">
        <f>IF(A6155="","",TEXT(A6155,"0")&amp;"|"&amp;TEXT(H6155,"0"))</f>
        <v/>
      </c>
      <c r="AA6155" t="str">
        <f>IF(Z6155="","",IFERROR(LOOKUP(2,1/(#REF!=Z6155),#REF!),""))</f>
        <v/>
      </c>
      <c r="AB6155" t="str">
        <f>IF(Z6155="","",IFERROR(LOOKUP(2,1/(#REF!=Z6155),#REF!),""))</f>
        <v/>
      </c>
      <c r="AC6155" t="str">
        <f>IF(Z6155="","",COUNTIF(#REF!,Z6155))</f>
        <v/>
      </c>
      <c r="AD6155" t="str">
        <f>IF(A6155="","",IF(AC6155&gt;1,"REVISAR DUPLICADO",IF(AA6155&lt;&gt;"","ACTUALIZADO POR EYR","SIN REPORTE EYR")))</f>
        <v/>
      </c>
    </row>
    <row r="6156" spans="11:30" x14ac:dyDescent="0.3">
      <c r="K6156" s="1" t="str">
        <f ca="1">IF(A6156="","",IF(OR(L6156="ENTREGADA",L6156="RETORNADA",L6156="ENTREGA DIGITAL"),0,MAX(0,5-NETWORKDAYS(H6156+1,TODAY()))))</f>
        <v/>
      </c>
      <c r="L6156" t="str">
        <f>IF(A6156="","",IFERROR(LOOKUP(2,1/(#REF!=Z6156),#REF!),Y6156))</f>
        <v/>
      </c>
      <c r="Z6156" t="str">
        <f>IF(A6156="","",TEXT(A6156,"0")&amp;"|"&amp;TEXT(H6156,"0"))</f>
        <v/>
      </c>
      <c r="AA6156" t="str">
        <f>IF(Z6156="","",IFERROR(LOOKUP(2,1/(#REF!=Z6156),#REF!),""))</f>
        <v/>
      </c>
      <c r="AB6156" t="str">
        <f>IF(Z6156="","",IFERROR(LOOKUP(2,1/(#REF!=Z6156),#REF!),""))</f>
        <v/>
      </c>
      <c r="AC6156" t="str">
        <f>IF(Z6156="","",COUNTIF(#REF!,Z6156))</f>
        <v/>
      </c>
      <c r="AD6156" t="str">
        <f>IF(A6156="","",IF(AC6156&gt;1,"REVISAR DUPLICADO",IF(AA6156&lt;&gt;"","ACTUALIZADO POR EYR","SIN REPORTE EYR")))</f>
        <v/>
      </c>
    </row>
    <row r="6157" spans="11:30" x14ac:dyDescent="0.3">
      <c r="K6157" s="1" t="str">
        <f ca="1">IF(A6157="","",IF(OR(L6157="ENTREGADA",L6157="RETORNADA",L6157="ENTREGA DIGITAL"),0,MAX(0,5-NETWORKDAYS(H6157+1,TODAY()))))</f>
        <v/>
      </c>
      <c r="L6157" t="str">
        <f>IF(A6157="","",IFERROR(LOOKUP(2,1/(#REF!=Z6157),#REF!),Y6157))</f>
        <v/>
      </c>
      <c r="Z6157" t="str">
        <f>IF(A6157="","",TEXT(A6157,"0")&amp;"|"&amp;TEXT(H6157,"0"))</f>
        <v/>
      </c>
      <c r="AA6157" t="str">
        <f>IF(Z6157="","",IFERROR(LOOKUP(2,1/(#REF!=Z6157),#REF!),""))</f>
        <v/>
      </c>
      <c r="AB6157" t="str">
        <f>IF(Z6157="","",IFERROR(LOOKUP(2,1/(#REF!=Z6157),#REF!),""))</f>
        <v/>
      </c>
      <c r="AC6157" t="str">
        <f>IF(Z6157="","",COUNTIF(#REF!,Z6157))</f>
        <v/>
      </c>
      <c r="AD6157" t="str">
        <f>IF(A6157="","",IF(AC6157&gt;1,"REVISAR DUPLICADO",IF(AA6157&lt;&gt;"","ACTUALIZADO POR EYR","SIN REPORTE EYR")))</f>
        <v/>
      </c>
    </row>
    <row r="6158" spans="11:30" x14ac:dyDescent="0.3">
      <c r="K6158" s="1" t="str">
        <f ca="1">IF(A6158="","",IF(OR(L6158="ENTREGADA",L6158="RETORNADA",L6158="ENTREGA DIGITAL"),0,MAX(0,5-NETWORKDAYS(H6158+1,TODAY()))))</f>
        <v/>
      </c>
      <c r="L6158" t="str">
        <f>IF(A6158="","",IFERROR(LOOKUP(2,1/(#REF!=Z6158),#REF!),Y6158))</f>
        <v/>
      </c>
      <c r="Z6158" t="str">
        <f>IF(A6158="","",TEXT(A6158,"0")&amp;"|"&amp;TEXT(H6158,"0"))</f>
        <v/>
      </c>
      <c r="AA6158" t="str">
        <f>IF(Z6158="","",IFERROR(LOOKUP(2,1/(#REF!=Z6158),#REF!),""))</f>
        <v/>
      </c>
      <c r="AB6158" t="str">
        <f>IF(Z6158="","",IFERROR(LOOKUP(2,1/(#REF!=Z6158),#REF!),""))</f>
        <v/>
      </c>
      <c r="AC6158" t="str">
        <f>IF(Z6158="","",COUNTIF(#REF!,Z6158))</f>
        <v/>
      </c>
      <c r="AD6158" t="str">
        <f>IF(A6158="","",IF(AC6158&gt;1,"REVISAR DUPLICADO",IF(AA6158&lt;&gt;"","ACTUALIZADO POR EYR","SIN REPORTE EYR")))</f>
        <v/>
      </c>
    </row>
    <row r="6159" spans="11:30" x14ac:dyDescent="0.3">
      <c r="K6159" s="1" t="str">
        <f ca="1">IF(A6159="","",IF(OR(L6159="ENTREGADA",L6159="RETORNADA",L6159="ENTREGA DIGITAL"),0,MAX(0,5-NETWORKDAYS(H6159+1,TODAY()))))</f>
        <v/>
      </c>
      <c r="L6159" t="str">
        <f>IF(A6159="","",IFERROR(LOOKUP(2,1/(#REF!=Z6159),#REF!),Y6159))</f>
        <v/>
      </c>
      <c r="Z6159" t="str">
        <f>IF(A6159="","",TEXT(A6159,"0")&amp;"|"&amp;TEXT(H6159,"0"))</f>
        <v/>
      </c>
      <c r="AA6159" t="str">
        <f>IF(Z6159="","",IFERROR(LOOKUP(2,1/(#REF!=Z6159),#REF!),""))</f>
        <v/>
      </c>
      <c r="AB6159" t="str">
        <f>IF(Z6159="","",IFERROR(LOOKUP(2,1/(#REF!=Z6159),#REF!),""))</f>
        <v/>
      </c>
      <c r="AC6159" t="str">
        <f>IF(Z6159="","",COUNTIF(#REF!,Z6159))</f>
        <v/>
      </c>
      <c r="AD6159" t="str">
        <f>IF(A6159="","",IF(AC6159&gt;1,"REVISAR DUPLICADO",IF(AA6159&lt;&gt;"","ACTUALIZADO POR EYR","SIN REPORTE EYR")))</f>
        <v/>
      </c>
    </row>
    <row r="6160" spans="11:30" x14ac:dyDescent="0.3">
      <c r="K6160" s="1" t="str">
        <f ca="1">IF(A6160="","",IF(OR(L6160="ENTREGADA",L6160="RETORNADA",L6160="ENTREGA DIGITAL"),0,MAX(0,5-NETWORKDAYS(H6160+1,TODAY()))))</f>
        <v/>
      </c>
      <c r="L6160" t="str">
        <f>IF(A6160="","",IFERROR(LOOKUP(2,1/(#REF!=Z6160),#REF!),Y6160))</f>
        <v/>
      </c>
      <c r="Z6160" t="str">
        <f>IF(A6160="","",TEXT(A6160,"0")&amp;"|"&amp;TEXT(H6160,"0"))</f>
        <v/>
      </c>
      <c r="AA6160" t="str">
        <f>IF(Z6160="","",IFERROR(LOOKUP(2,1/(#REF!=Z6160),#REF!),""))</f>
        <v/>
      </c>
      <c r="AB6160" t="str">
        <f>IF(Z6160="","",IFERROR(LOOKUP(2,1/(#REF!=Z6160),#REF!),""))</f>
        <v/>
      </c>
      <c r="AC6160" t="str">
        <f>IF(Z6160="","",COUNTIF(#REF!,Z6160))</f>
        <v/>
      </c>
      <c r="AD6160" t="str">
        <f>IF(A6160="","",IF(AC6160&gt;1,"REVISAR DUPLICADO",IF(AA6160&lt;&gt;"","ACTUALIZADO POR EYR","SIN REPORTE EYR")))</f>
        <v/>
      </c>
    </row>
    <row r="6161" spans="11:30" x14ac:dyDescent="0.3">
      <c r="K6161" s="1" t="str">
        <f ca="1">IF(A6161="","",IF(OR(L6161="ENTREGADA",L6161="RETORNADA",L6161="ENTREGA DIGITAL"),0,MAX(0,5-NETWORKDAYS(H6161+1,TODAY()))))</f>
        <v/>
      </c>
      <c r="L6161" t="str">
        <f>IF(A6161="","",IFERROR(LOOKUP(2,1/(#REF!=Z6161),#REF!),Y6161))</f>
        <v/>
      </c>
      <c r="Z6161" t="str">
        <f>IF(A6161="","",TEXT(A6161,"0")&amp;"|"&amp;TEXT(H6161,"0"))</f>
        <v/>
      </c>
      <c r="AA6161" t="str">
        <f>IF(Z6161="","",IFERROR(LOOKUP(2,1/(#REF!=Z6161),#REF!),""))</f>
        <v/>
      </c>
      <c r="AB6161" t="str">
        <f>IF(Z6161="","",IFERROR(LOOKUP(2,1/(#REF!=Z6161),#REF!),""))</f>
        <v/>
      </c>
      <c r="AC6161" t="str">
        <f>IF(Z6161="","",COUNTIF(#REF!,Z6161))</f>
        <v/>
      </c>
      <c r="AD6161" t="str">
        <f>IF(A6161="","",IF(AC6161&gt;1,"REVISAR DUPLICADO",IF(AA6161&lt;&gt;"","ACTUALIZADO POR EYR","SIN REPORTE EYR")))</f>
        <v/>
      </c>
    </row>
    <row r="6162" spans="11:30" x14ac:dyDescent="0.3">
      <c r="K6162" s="1" t="str">
        <f ca="1">IF(A6162="","",IF(OR(L6162="ENTREGADA",L6162="RETORNADA",L6162="ENTREGA DIGITAL"),0,MAX(0,5-NETWORKDAYS(H6162+1,TODAY()))))</f>
        <v/>
      </c>
      <c r="L6162" t="str">
        <f>IF(A6162="","",IFERROR(LOOKUP(2,1/(#REF!=Z6162),#REF!),Y6162))</f>
        <v/>
      </c>
      <c r="Z6162" t="str">
        <f>IF(A6162="","",TEXT(A6162,"0")&amp;"|"&amp;TEXT(H6162,"0"))</f>
        <v/>
      </c>
      <c r="AA6162" t="str">
        <f>IF(Z6162="","",IFERROR(LOOKUP(2,1/(#REF!=Z6162),#REF!),""))</f>
        <v/>
      </c>
      <c r="AB6162" t="str">
        <f>IF(Z6162="","",IFERROR(LOOKUP(2,1/(#REF!=Z6162),#REF!),""))</f>
        <v/>
      </c>
      <c r="AC6162" t="str">
        <f>IF(Z6162="","",COUNTIF(#REF!,Z6162))</f>
        <v/>
      </c>
      <c r="AD6162" t="str">
        <f>IF(A6162="","",IF(AC6162&gt;1,"REVISAR DUPLICADO",IF(AA6162&lt;&gt;"","ACTUALIZADO POR EYR","SIN REPORTE EYR")))</f>
        <v/>
      </c>
    </row>
    <row r="6163" spans="11:30" x14ac:dyDescent="0.3">
      <c r="K6163" s="1" t="str">
        <f ca="1">IF(A6163="","",IF(OR(L6163="ENTREGADA",L6163="RETORNADA",L6163="ENTREGA DIGITAL"),0,MAX(0,5-NETWORKDAYS(H6163+1,TODAY()))))</f>
        <v/>
      </c>
      <c r="L6163" t="str">
        <f>IF(A6163="","",IFERROR(LOOKUP(2,1/(#REF!=Z6163),#REF!),Y6163))</f>
        <v/>
      </c>
      <c r="Z6163" t="str">
        <f>IF(A6163="","",TEXT(A6163,"0")&amp;"|"&amp;TEXT(H6163,"0"))</f>
        <v/>
      </c>
      <c r="AA6163" t="str">
        <f>IF(Z6163="","",IFERROR(LOOKUP(2,1/(#REF!=Z6163),#REF!),""))</f>
        <v/>
      </c>
      <c r="AB6163" t="str">
        <f>IF(Z6163="","",IFERROR(LOOKUP(2,1/(#REF!=Z6163),#REF!),""))</f>
        <v/>
      </c>
      <c r="AC6163" t="str">
        <f>IF(Z6163="","",COUNTIF(#REF!,Z6163))</f>
        <v/>
      </c>
      <c r="AD6163" t="str">
        <f>IF(A6163="","",IF(AC6163&gt;1,"REVISAR DUPLICADO",IF(AA6163&lt;&gt;"","ACTUALIZADO POR EYR","SIN REPORTE EYR")))</f>
        <v/>
      </c>
    </row>
    <row r="6164" spans="11:30" x14ac:dyDescent="0.3">
      <c r="K6164" s="1" t="str">
        <f ca="1">IF(A6164="","",IF(OR(L6164="ENTREGADA",L6164="RETORNADA",L6164="ENTREGA DIGITAL"),0,MAX(0,5-NETWORKDAYS(H6164+1,TODAY()))))</f>
        <v/>
      </c>
      <c r="L6164" t="str">
        <f>IF(A6164="","",IFERROR(LOOKUP(2,1/(#REF!=Z6164),#REF!),Y6164))</f>
        <v/>
      </c>
      <c r="Z6164" t="str">
        <f>IF(A6164="","",TEXT(A6164,"0")&amp;"|"&amp;TEXT(H6164,"0"))</f>
        <v/>
      </c>
      <c r="AA6164" t="str">
        <f>IF(Z6164="","",IFERROR(LOOKUP(2,1/(#REF!=Z6164),#REF!),""))</f>
        <v/>
      </c>
      <c r="AB6164" t="str">
        <f>IF(Z6164="","",IFERROR(LOOKUP(2,1/(#REF!=Z6164),#REF!),""))</f>
        <v/>
      </c>
      <c r="AC6164" t="str">
        <f>IF(Z6164="","",COUNTIF(#REF!,Z6164))</f>
        <v/>
      </c>
      <c r="AD6164" t="str">
        <f>IF(A6164="","",IF(AC6164&gt;1,"REVISAR DUPLICADO",IF(AA6164&lt;&gt;"","ACTUALIZADO POR EYR","SIN REPORTE EYR")))</f>
        <v/>
      </c>
    </row>
    <row r="6165" spans="11:30" x14ac:dyDescent="0.3">
      <c r="K6165" s="1" t="str">
        <f ca="1">IF(A6165="","",IF(OR(L6165="ENTREGADA",L6165="RETORNADA",L6165="ENTREGA DIGITAL"),0,MAX(0,5-NETWORKDAYS(H6165+1,TODAY()))))</f>
        <v/>
      </c>
      <c r="L6165" t="str">
        <f>IF(A6165="","",IFERROR(LOOKUP(2,1/(#REF!=Z6165),#REF!),Y6165))</f>
        <v/>
      </c>
      <c r="Z6165" t="str">
        <f>IF(A6165="","",TEXT(A6165,"0")&amp;"|"&amp;TEXT(H6165,"0"))</f>
        <v/>
      </c>
      <c r="AA6165" t="str">
        <f>IF(Z6165="","",IFERROR(LOOKUP(2,1/(#REF!=Z6165),#REF!),""))</f>
        <v/>
      </c>
      <c r="AB6165" t="str">
        <f>IF(Z6165="","",IFERROR(LOOKUP(2,1/(#REF!=Z6165),#REF!),""))</f>
        <v/>
      </c>
      <c r="AC6165" t="str">
        <f>IF(Z6165="","",COUNTIF(#REF!,Z6165))</f>
        <v/>
      </c>
      <c r="AD6165" t="str">
        <f>IF(A6165="","",IF(AC6165&gt;1,"REVISAR DUPLICADO",IF(AA6165&lt;&gt;"","ACTUALIZADO POR EYR","SIN REPORTE EYR")))</f>
        <v/>
      </c>
    </row>
    <row r="6166" spans="11:30" x14ac:dyDescent="0.3">
      <c r="K6166" s="1" t="str">
        <f ca="1">IF(A6166="","",IF(OR(L6166="ENTREGADA",L6166="RETORNADA",L6166="ENTREGA DIGITAL"),0,MAX(0,5-NETWORKDAYS(H6166+1,TODAY()))))</f>
        <v/>
      </c>
      <c r="L6166" t="str">
        <f>IF(A6166="","",IFERROR(LOOKUP(2,1/(#REF!=Z6166),#REF!),Y6166))</f>
        <v/>
      </c>
      <c r="Z6166" t="str">
        <f>IF(A6166="","",TEXT(A6166,"0")&amp;"|"&amp;TEXT(H6166,"0"))</f>
        <v/>
      </c>
      <c r="AA6166" t="str">
        <f>IF(Z6166="","",IFERROR(LOOKUP(2,1/(#REF!=Z6166),#REF!),""))</f>
        <v/>
      </c>
      <c r="AB6166" t="str">
        <f>IF(Z6166="","",IFERROR(LOOKUP(2,1/(#REF!=Z6166),#REF!),""))</f>
        <v/>
      </c>
      <c r="AC6166" t="str">
        <f>IF(Z6166="","",COUNTIF(#REF!,Z6166))</f>
        <v/>
      </c>
      <c r="AD6166" t="str">
        <f>IF(A6166="","",IF(AC6166&gt;1,"REVISAR DUPLICADO",IF(AA6166&lt;&gt;"","ACTUALIZADO POR EYR","SIN REPORTE EYR")))</f>
        <v/>
      </c>
    </row>
    <row r="6167" spans="11:30" x14ac:dyDescent="0.3">
      <c r="K6167" s="1" t="str">
        <f ca="1">IF(A6167="","",IF(OR(L6167="ENTREGADA",L6167="RETORNADA",L6167="ENTREGA DIGITAL"),0,MAX(0,5-NETWORKDAYS(H6167+1,TODAY()))))</f>
        <v/>
      </c>
      <c r="L6167" t="str">
        <f>IF(A6167="","",IFERROR(LOOKUP(2,1/(#REF!=Z6167),#REF!),Y6167))</f>
        <v/>
      </c>
      <c r="Z6167" t="str">
        <f>IF(A6167="","",TEXT(A6167,"0")&amp;"|"&amp;TEXT(H6167,"0"))</f>
        <v/>
      </c>
      <c r="AA6167" t="str">
        <f>IF(Z6167="","",IFERROR(LOOKUP(2,1/(#REF!=Z6167),#REF!),""))</f>
        <v/>
      </c>
      <c r="AB6167" t="str">
        <f>IF(Z6167="","",IFERROR(LOOKUP(2,1/(#REF!=Z6167),#REF!),""))</f>
        <v/>
      </c>
      <c r="AC6167" t="str">
        <f>IF(Z6167="","",COUNTIF(#REF!,Z6167))</f>
        <v/>
      </c>
      <c r="AD6167" t="str">
        <f>IF(A6167="","",IF(AC6167&gt;1,"REVISAR DUPLICADO",IF(AA6167&lt;&gt;"","ACTUALIZADO POR EYR","SIN REPORTE EYR")))</f>
        <v/>
      </c>
    </row>
    <row r="6168" spans="11:30" x14ac:dyDescent="0.3">
      <c r="K6168" s="1" t="str">
        <f ca="1">IF(A6168="","",IF(OR(L6168="ENTREGADA",L6168="RETORNADA",L6168="ENTREGA DIGITAL"),0,MAX(0,5-NETWORKDAYS(H6168+1,TODAY()))))</f>
        <v/>
      </c>
      <c r="L6168" t="str">
        <f>IF(A6168="","",IFERROR(LOOKUP(2,1/(#REF!=Z6168),#REF!),Y6168))</f>
        <v/>
      </c>
      <c r="Z6168" t="str">
        <f>IF(A6168="","",TEXT(A6168,"0")&amp;"|"&amp;TEXT(H6168,"0"))</f>
        <v/>
      </c>
      <c r="AA6168" t="str">
        <f>IF(Z6168="","",IFERROR(LOOKUP(2,1/(#REF!=Z6168),#REF!),""))</f>
        <v/>
      </c>
      <c r="AB6168" t="str">
        <f>IF(Z6168="","",IFERROR(LOOKUP(2,1/(#REF!=Z6168),#REF!),""))</f>
        <v/>
      </c>
      <c r="AC6168" t="str">
        <f>IF(Z6168="","",COUNTIF(#REF!,Z6168))</f>
        <v/>
      </c>
      <c r="AD6168" t="str">
        <f>IF(A6168="","",IF(AC6168&gt;1,"REVISAR DUPLICADO",IF(AA6168&lt;&gt;"","ACTUALIZADO POR EYR","SIN REPORTE EYR")))</f>
        <v/>
      </c>
    </row>
    <row r="6169" spans="11:30" x14ac:dyDescent="0.3">
      <c r="K6169" s="1" t="str">
        <f ca="1">IF(A6169="","",IF(OR(L6169="ENTREGADA",L6169="RETORNADA",L6169="ENTREGA DIGITAL"),0,MAX(0,5-NETWORKDAYS(H6169+1,TODAY()))))</f>
        <v/>
      </c>
      <c r="L6169" t="str">
        <f>IF(A6169="","",IFERROR(LOOKUP(2,1/(#REF!=Z6169),#REF!),Y6169))</f>
        <v/>
      </c>
      <c r="Z6169" t="str">
        <f>IF(A6169="","",TEXT(A6169,"0")&amp;"|"&amp;TEXT(H6169,"0"))</f>
        <v/>
      </c>
      <c r="AA6169" t="str">
        <f>IF(Z6169="","",IFERROR(LOOKUP(2,1/(#REF!=Z6169),#REF!),""))</f>
        <v/>
      </c>
      <c r="AB6169" t="str">
        <f>IF(Z6169="","",IFERROR(LOOKUP(2,1/(#REF!=Z6169),#REF!),""))</f>
        <v/>
      </c>
      <c r="AC6169" t="str">
        <f>IF(Z6169="","",COUNTIF(#REF!,Z6169))</f>
        <v/>
      </c>
      <c r="AD6169" t="str">
        <f>IF(A6169="","",IF(AC6169&gt;1,"REVISAR DUPLICADO",IF(AA6169&lt;&gt;"","ACTUALIZADO POR EYR","SIN REPORTE EYR")))</f>
        <v/>
      </c>
    </row>
    <row r="6170" spans="11:30" x14ac:dyDescent="0.3">
      <c r="K6170" s="1" t="str">
        <f ca="1">IF(A6170="","",IF(OR(L6170="ENTREGADA",L6170="RETORNADA",L6170="ENTREGA DIGITAL"),0,MAX(0,5-NETWORKDAYS(H6170+1,TODAY()))))</f>
        <v/>
      </c>
      <c r="L6170" t="str">
        <f>IF(A6170="","",IFERROR(LOOKUP(2,1/(#REF!=Z6170),#REF!),Y6170))</f>
        <v/>
      </c>
      <c r="Z6170" t="str">
        <f>IF(A6170="","",TEXT(A6170,"0")&amp;"|"&amp;TEXT(H6170,"0"))</f>
        <v/>
      </c>
      <c r="AA6170" t="str">
        <f>IF(Z6170="","",IFERROR(LOOKUP(2,1/(#REF!=Z6170),#REF!),""))</f>
        <v/>
      </c>
      <c r="AB6170" t="str">
        <f>IF(Z6170="","",IFERROR(LOOKUP(2,1/(#REF!=Z6170),#REF!),""))</f>
        <v/>
      </c>
      <c r="AC6170" t="str">
        <f>IF(Z6170="","",COUNTIF(#REF!,Z6170))</f>
        <v/>
      </c>
      <c r="AD6170" t="str">
        <f>IF(A6170="","",IF(AC6170&gt;1,"REVISAR DUPLICADO",IF(AA6170&lt;&gt;"","ACTUALIZADO POR EYR","SIN REPORTE EYR")))</f>
        <v/>
      </c>
    </row>
    <row r="6171" spans="11:30" x14ac:dyDescent="0.3">
      <c r="K6171" s="1" t="str">
        <f ca="1">IF(A6171="","",IF(OR(L6171="ENTREGADA",L6171="RETORNADA",L6171="ENTREGA DIGITAL"),0,MAX(0,5-NETWORKDAYS(H6171+1,TODAY()))))</f>
        <v/>
      </c>
      <c r="L6171" t="str">
        <f>IF(A6171="","",IFERROR(LOOKUP(2,1/(#REF!=Z6171),#REF!),Y6171))</f>
        <v/>
      </c>
      <c r="Z6171" t="str">
        <f>IF(A6171="","",TEXT(A6171,"0")&amp;"|"&amp;TEXT(H6171,"0"))</f>
        <v/>
      </c>
      <c r="AA6171" t="str">
        <f>IF(Z6171="","",IFERROR(LOOKUP(2,1/(#REF!=Z6171),#REF!),""))</f>
        <v/>
      </c>
      <c r="AB6171" t="str">
        <f>IF(Z6171="","",IFERROR(LOOKUP(2,1/(#REF!=Z6171),#REF!),""))</f>
        <v/>
      </c>
      <c r="AC6171" t="str">
        <f>IF(Z6171="","",COUNTIF(#REF!,Z6171))</f>
        <v/>
      </c>
      <c r="AD6171" t="str">
        <f>IF(A6171="","",IF(AC6171&gt;1,"REVISAR DUPLICADO",IF(AA6171&lt;&gt;"","ACTUALIZADO POR EYR","SIN REPORTE EYR")))</f>
        <v/>
      </c>
    </row>
    <row r="6172" spans="11:30" x14ac:dyDescent="0.3">
      <c r="K6172" s="1" t="str">
        <f ca="1">IF(A6172="","",IF(OR(L6172="ENTREGADA",L6172="RETORNADA",L6172="ENTREGA DIGITAL"),0,MAX(0,5-NETWORKDAYS(H6172+1,TODAY()))))</f>
        <v/>
      </c>
      <c r="L6172" t="str">
        <f>IF(A6172="","",IFERROR(LOOKUP(2,1/(#REF!=Z6172),#REF!),Y6172))</f>
        <v/>
      </c>
      <c r="Z6172" t="str">
        <f>IF(A6172="","",TEXT(A6172,"0")&amp;"|"&amp;TEXT(H6172,"0"))</f>
        <v/>
      </c>
      <c r="AA6172" t="str">
        <f>IF(Z6172="","",IFERROR(LOOKUP(2,1/(#REF!=Z6172),#REF!),""))</f>
        <v/>
      </c>
      <c r="AB6172" t="str">
        <f>IF(Z6172="","",IFERROR(LOOKUP(2,1/(#REF!=Z6172),#REF!),""))</f>
        <v/>
      </c>
      <c r="AC6172" t="str">
        <f>IF(Z6172="","",COUNTIF(#REF!,Z6172))</f>
        <v/>
      </c>
      <c r="AD6172" t="str">
        <f>IF(A6172="","",IF(AC6172&gt;1,"REVISAR DUPLICADO",IF(AA6172&lt;&gt;"","ACTUALIZADO POR EYR","SIN REPORTE EYR")))</f>
        <v/>
      </c>
    </row>
    <row r="6173" spans="11:30" x14ac:dyDescent="0.3">
      <c r="K6173" s="1" t="str">
        <f ca="1">IF(A6173="","",IF(OR(L6173="ENTREGADA",L6173="RETORNADA",L6173="ENTREGA DIGITAL"),0,MAX(0,5-NETWORKDAYS(H6173+1,TODAY()))))</f>
        <v/>
      </c>
      <c r="L6173" t="str">
        <f>IF(A6173="","",IFERROR(LOOKUP(2,1/(#REF!=Z6173),#REF!),Y6173))</f>
        <v/>
      </c>
      <c r="Z6173" t="str">
        <f>IF(A6173="","",TEXT(A6173,"0")&amp;"|"&amp;TEXT(H6173,"0"))</f>
        <v/>
      </c>
      <c r="AA6173" t="str">
        <f>IF(Z6173="","",IFERROR(LOOKUP(2,1/(#REF!=Z6173),#REF!),""))</f>
        <v/>
      </c>
      <c r="AB6173" t="str">
        <f>IF(Z6173="","",IFERROR(LOOKUP(2,1/(#REF!=Z6173),#REF!),""))</f>
        <v/>
      </c>
      <c r="AC6173" t="str">
        <f>IF(Z6173="","",COUNTIF(#REF!,Z6173))</f>
        <v/>
      </c>
      <c r="AD6173" t="str">
        <f>IF(A6173="","",IF(AC6173&gt;1,"REVISAR DUPLICADO",IF(AA6173&lt;&gt;"","ACTUALIZADO POR EYR","SIN REPORTE EYR")))</f>
        <v/>
      </c>
    </row>
    <row r="6174" spans="11:30" x14ac:dyDescent="0.3">
      <c r="K6174" s="1" t="str">
        <f ca="1">IF(A6174="","",IF(OR(L6174="ENTREGADA",L6174="RETORNADA",L6174="ENTREGA DIGITAL"),0,MAX(0,5-NETWORKDAYS(H6174+1,TODAY()))))</f>
        <v/>
      </c>
      <c r="L6174" t="str">
        <f>IF(A6174="","",IFERROR(LOOKUP(2,1/(#REF!=Z6174),#REF!),Y6174))</f>
        <v/>
      </c>
      <c r="Z6174" t="str">
        <f>IF(A6174="","",TEXT(A6174,"0")&amp;"|"&amp;TEXT(H6174,"0"))</f>
        <v/>
      </c>
      <c r="AA6174" t="str">
        <f>IF(Z6174="","",IFERROR(LOOKUP(2,1/(#REF!=Z6174),#REF!),""))</f>
        <v/>
      </c>
      <c r="AB6174" t="str">
        <f>IF(Z6174="","",IFERROR(LOOKUP(2,1/(#REF!=Z6174),#REF!),""))</f>
        <v/>
      </c>
      <c r="AC6174" t="str">
        <f>IF(Z6174="","",COUNTIF(#REF!,Z6174))</f>
        <v/>
      </c>
      <c r="AD6174" t="str">
        <f>IF(A6174="","",IF(AC6174&gt;1,"REVISAR DUPLICADO",IF(AA6174&lt;&gt;"","ACTUALIZADO POR EYR","SIN REPORTE EYR")))</f>
        <v/>
      </c>
    </row>
    <row r="6175" spans="11:30" x14ac:dyDescent="0.3">
      <c r="K6175" s="1" t="str">
        <f ca="1">IF(A6175="","",IF(OR(L6175="ENTREGADA",L6175="RETORNADA",L6175="ENTREGA DIGITAL"),0,MAX(0,5-NETWORKDAYS(H6175+1,TODAY()))))</f>
        <v/>
      </c>
      <c r="L6175" t="str">
        <f>IF(A6175="","",IFERROR(LOOKUP(2,1/(#REF!=Z6175),#REF!),Y6175))</f>
        <v/>
      </c>
      <c r="Z6175" t="str">
        <f>IF(A6175="","",TEXT(A6175,"0")&amp;"|"&amp;TEXT(H6175,"0"))</f>
        <v/>
      </c>
      <c r="AA6175" t="str">
        <f>IF(Z6175="","",IFERROR(LOOKUP(2,1/(#REF!=Z6175),#REF!),""))</f>
        <v/>
      </c>
      <c r="AB6175" t="str">
        <f>IF(Z6175="","",IFERROR(LOOKUP(2,1/(#REF!=Z6175),#REF!),""))</f>
        <v/>
      </c>
      <c r="AC6175" t="str">
        <f>IF(Z6175="","",COUNTIF(#REF!,Z6175))</f>
        <v/>
      </c>
      <c r="AD6175" t="str">
        <f>IF(A6175="","",IF(AC6175&gt;1,"REVISAR DUPLICADO",IF(AA6175&lt;&gt;"","ACTUALIZADO POR EYR","SIN REPORTE EYR")))</f>
        <v/>
      </c>
    </row>
    <row r="6176" spans="11:30" x14ac:dyDescent="0.3">
      <c r="K6176" s="1" t="str">
        <f ca="1">IF(A6176="","",IF(OR(L6176="ENTREGADA",L6176="RETORNADA",L6176="ENTREGA DIGITAL"),0,MAX(0,5-NETWORKDAYS(H6176+1,TODAY()))))</f>
        <v/>
      </c>
      <c r="L6176" t="str">
        <f>IF(A6176="","",IFERROR(LOOKUP(2,1/(#REF!=Z6176),#REF!),Y6176))</f>
        <v/>
      </c>
      <c r="Z6176" t="str">
        <f>IF(A6176="","",TEXT(A6176,"0")&amp;"|"&amp;TEXT(H6176,"0"))</f>
        <v/>
      </c>
      <c r="AA6176" t="str">
        <f>IF(Z6176="","",IFERROR(LOOKUP(2,1/(#REF!=Z6176),#REF!),""))</f>
        <v/>
      </c>
      <c r="AB6176" t="str">
        <f>IF(Z6176="","",IFERROR(LOOKUP(2,1/(#REF!=Z6176),#REF!),""))</f>
        <v/>
      </c>
      <c r="AC6176" t="str">
        <f>IF(Z6176="","",COUNTIF(#REF!,Z6176))</f>
        <v/>
      </c>
      <c r="AD6176" t="str">
        <f>IF(A6176="","",IF(AC6176&gt;1,"REVISAR DUPLICADO",IF(AA6176&lt;&gt;"","ACTUALIZADO POR EYR","SIN REPORTE EYR")))</f>
        <v/>
      </c>
    </row>
    <row r="6177" spans="11:30" x14ac:dyDescent="0.3">
      <c r="K6177" s="1" t="str">
        <f ca="1">IF(A6177="","",IF(OR(L6177="ENTREGADA",L6177="RETORNADA",L6177="ENTREGA DIGITAL"),0,MAX(0,5-NETWORKDAYS(H6177+1,TODAY()))))</f>
        <v/>
      </c>
      <c r="L6177" t="str">
        <f>IF(A6177="","",IFERROR(LOOKUP(2,1/(#REF!=Z6177),#REF!),Y6177))</f>
        <v/>
      </c>
      <c r="Z6177" t="str">
        <f>IF(A6177="","",TEXT(A6177,"0")&amp;"|"&amp;TEXT(H6177,"0"))</f>
        <v/>
      </c>
      <c r="AA6177" t="str">
        <f>IF(Z6177="","",IFERROR(LOOKUP(2,1/(#REF!=Z6177),#REF!),""))</f>
        <v/>
      </c>
      <c r="AB6177" t="str">
        <f>IF(Z6177="","",IFERROR(LOOKUP(2,1/(#REF!=Z6177),#REF!),""))</f>
        <v/>
      </c>
      <c r="AC6177" t="str">
        <f>IF(Z6177="","",COUNTIF(#REF!,Z6177))</f>
        <v/>
      </c>
      <c r="AD6177" t="str">
        <f>IF(A6177="","",IF(AC6177&gt;1,"REVISAR DUPLICADO",IF(AA6177&lt;&gt;"","ACTUALIZADO POR EYR","SIN REPORTE EYR")))</f>
        <v/>
      </c>
    </row>
    <row r="6178" spans="11:30" x14ac:dyDescent="0.3">
      <c r="K6178" s="1" t="str">
        <f ca="1">IF(A6178="","",IF(OR(L6178="ENTREGADA",L6178="RETORNADA",L6178="ENTREGA DIGITAL"),0,MAX(0,5-NETWORKDAYS(H6178+1,TODAY()))))</f>
        <v/>
      </c>
      <c r="L6178" t="str">
        <f>IF(A6178="","",IFERROR(LOOKUP(2,1/(#REF!=Z6178),#REF!),Y6178))</f>
        <v/>
      </c>
      <c r="Z6178" t="str">
        <f>IF(A6178="","",TEXT(A6178,"0")&amp;"|"&amp;TEXT(H6178,"0"))</f>
        <v/>
      </c>
      <c r="AA6178" t="str">
        <f>IF(Z6178="","",IFERROR(LOOKUP(2,1/(#REF!=Z6178),#REF!),""))</f>
        <v/>
      </c>
      <c r="AB6178" t="str">
        <f>IF(Z6178="","",IFERROR(LOOKUP(2,1/(#REF!=Z6178),#REF!),""))</f>
        <v/>
      </c>
      <c r="AC6178" t="str">
        <f>IF(Z6178="","",COUNTIF(#REF!,Z6178))</f>
        <v/>
      </c>
      <c r="AD6178" t="str">
        <f>IF(A6178="","",IF(AC6178&gt;1,"REVISAR DUPLICADO",IF(AA6178&lt;&gt;"","ACTUALIZADO POR EYR","SIN REPORTE EYR")))</f>
        <v/>
      </c>
    </row>
    <row r="6179" spans="11:30" x14ac:dyDescent="0.3">
      <c r="K6179" s="1" t="str">
        <f ca="1">IF(A6179="","",IF(OR(L6179="ENTREGADA",L6179="RETORNADA",L6179="ENTREGA DIGITAL"),0,MAX(0,5-NETWORKDAYS(H6179+1,TODAY()))))</f>
        <v/>
      </c>
      <c r="L6179" t="str">
        <f>IF(A6179="","",IFERROR(LOOKUP(2,1/(#REF!=Z6179),#REF!),Y6179))</f>
        <v/>
      </c>
      <c r="Z6179" t="str">
        <f>IF(A6179="","",TEXT(A6179,"0")&amp;"|"&amp;TEXT(H6179,"0"))</f>
        <v/>
      </c>
      <c r="AA6179" t="str">
        <f>IF(Z6179="","",IFERROR(LOOKUP(2,1/(#REF!=Z6179),#REF!),""))</f>
        <v/>
      </c>
      <c r="AB6179" t="str">
        <f>IF(Z6179="","",IFERROR(LOOKUP(2,1/(#REF!=Z6179),#REF!),""))</f>
        <v/>
      </c>
      <c r="AC6179" t="str">
        <f>IF(Z6179="","",COUNTIF(#REF!,Z6179))</f>
        <v/>
      </c>
      <c r="AD6179" t="str">
        <f>IF(A6179="","",IF(AC6179&gt;1,"REVISAR DUPLICADO",IF(AA6179&lt;&gt;"","ACTUALIZADO POR EYR","SIN REPORTE EYR")))</f>
        <v/>
      </c>
    </row>
    <row r="6180" spans="11:30" x14ac:dyDescent="0.3">
      <c r="K6180" s="1" t="str">
        <f ca="1">IF(A6180="","",IF(OR(L6180="ENTREGADA",L6180="RETORNADA",L6180="ENTREGA DIGITAL"),0,MAX(0,5-NETWORKDAYS(H6180+1,TODAY()))))</f>
        <v/>
      </c>
      <c r="L6180" t="str">
        <f>IF(A6180="","",IFERROR(LOOKUP(2,1/(#REF!=Z6180),#REF!),Y6180))</f>
        <v/>
      </c>
      <c r="Z6180" t="str">
        <f>IF(A6180="","",TEXT(A6180,"0")&amp;"|"&amp;TEXT(H6180,"0"))</f>
        <v/>
      </c>
      <c r="AA6180" t="str">
        <f>IF(Z6180="","",IFERROR(LOOKUP(2,1/(#REF!=Z6180),#REF!),""))</f>
        <v/>
      </c>
      <c r="AB6180" t="str">
        <f>IF(Z6180="","",IFERROR(LOOKUP(2,1/(#REF!=Z6180),#REF!),""))</f>
        <v/>
      </c>
      <c r="AC6180" t="str">
        <f>IF(Z6180="","",COUNTIF(#REF!,Z6180))</f>
        <v/>
      </c>
      <c r="AD6180" t="str">
        <f>IF(A6180="","",IF(AC6180&gt;1,"REVISAR DUPLICADO",IF(AA6180&lt;&gt;"","ACTUALIZADO POR EYR","SIN REPORTE EYR")))</f>
        <v/>
      </c>
    </row>
    <row r="6181" spans="11:30" x14ac:dyDescent="0.3">
      <c r="K6181" s="1" t="str">
        <f ca="1">IF(A6181="","",IF(OR(L6181="ENTREGADA",L6181="RETORNADA",L6181="ENTREGA DIGITAL"),0,MAX(0,5-NETWORKDAYS(H6181+1,TODAY()))))</f>
        <v/>
      </c>
      <c r="L6181" t="str">
        <f>IF(A6181="","",IFERROR(LOOKUP(2,1/(#REF!=Z6181),#REF!),Y6181))</f>
        <v/>
      </c>
      <c r="Z6181" t="str">
        <f>IF(A6181="","",TEXT(A6181,"0")&amp;"|"&amp;TEXT(H6181,"0"))</f>
        <v/>
      </c>
      <c r="AA6181" t="str">
        <f>IF(Z6181="","",IFERROR(LOOKUP(2,1/(#REF!=Z6181),#REF!),""))</f>
        <v/>
      </c>
      <c r="AB6181" t="str">
        <f>IF(Z6181="","",IFERROR(LOOKUP(2,1/(#REF!=Z6181),#REF!),""))</f>
        <v/>
      </c>
      <c r="AC6181" t="str">
        <f>IF(Z6181="","",COUNTIF(#REF!,Z6181))</f>
        <v/>
      </c>
      <c r="AD6181" t="str">
        <f>IF(A6181="","",IF(AC6181&gt;1,"REVISAR DUPLICADO",IF(AA6181&lt;&gt;"","ACTUALIZADO POR EYR","SIN REPORTE EYR")))</f>
        <v/>
      </c>
    </row>
    <row r="6182" spans="11:30" x14ac:dyDescent="0.3">
      <c r="K6182" s="1" t="str">
        <f ca="1">IF(A6182="","",IF(OR(L6182="ENTREGADA",L6182="RETORNADA",L6182="ENTREGA DIGITAL"),0,MAX(0,5-NETWORKDAYS(H6182+1,TODAY()))))</f>
        <v/>
      </c>
      <c r="L6182" t="str">
        <f>IF(A6182="","",IFERROR(LOOKUP(2,1/(#REF!=Z6182),#REF!),Y6182))</f>
        <v/>
      </c>
      <c r="Z6182" t="str">
        <f>IF(A6182="","",TEXT(A6182,"0")&amp;"|"&amp;TEXT(H6182,"0"))</f>
        <v/>
      </c>
      <c r="AA6182" t="str">
        <f>IF(Z6182="","",IFERROR(LOOKUP(2,1/(#REF!=Z6182),#REF!),""))</f>
        <v/>
      </c>
      <c r="AB6182" t="str">
        <f>IF(Z6182="","",IFERROR(LOOKUP(2,1/(#REF!=Z6182),#REF!),""))</f>
        <v/>
      </c>
      <c r="AC6182" t="str">
        <f>IF(Z6182="","",COUNTIF(#REF!,Z6182))</f>
        <v/>
      </c>
      <c r="AD6182" t="str">
        <f>IF(A6182="","",IF(AC6182&gt;1,"REVISAR DUPLICADO",IF(AA6182&lt;&gt;"","ACTUALIZADO POR EYR","SIN REPORTE EYR")))</f>
        <v/>
      </c>
    </row>
    <row r="6183" spans="11:30" x14ac:dyDescent="0.3">
      <c r="K6183" s="1" t="str">
        <f ca="1">IF(A6183="","",IF(OR(L6183="ENTREGADA",L6183="RETORNADA",L6183="ENTREGA DIGITAL"),0,MAX(0,5-NETWORKDAYS(H6183+1,TODAY()))))</f>
        <v/>
      </c>
      <c r="L6183" t="str">
        <f>IF(A6183="","",IFERROR(LOOKUP(2,1/(#REF!=Z6183),#REF!),Y6183))</f>
        <v/>
      </c>
      <c r="Z6183" t="str">
        <f>IF(A6183="","",TEXT(A6183,"0")&amp;"|"&amp;TEXT(H6183,"0"))</f>
        <v/>
      </c>
      <c r="AA6183" t="str">
        <f>IF(Z6183="","",IFERROR(LOOKUP(2,1/(#REF!=Z6183),#REF!),""))</f>
        <v/>
      </c>
      <c r="AB6183" t="str">
        <f>IF(Z6183="","",IFERROR(LOOKUP(2,1/(#REF!=Z6183),#REF!),""))</f>
        <v/>
      </c>
      <c r="AC6183" t="str">
        <f>IF(Z6183="","",COUNTIF(#REF!,Z6183))</f>
        <v/>
      </c>
      <c r="AD6183" t="str">
        <f>IF(A6183="","",IF(AC6183&gt;1,"REVISAR DUPLICADO",IF(AA6183&lt;&gt;"","ACTUALIZADO POR EYR","SIN REPORTE EYR")))</f>
        <v/>
      </c>
    </row>
    <row r="6184" spans="11:30" x14ac:dyDescent="0.3">
      <c r="K6184" s="1" t="str">
        <f ca="1">IF(A6184="","",IF(OR(L6184="ENTREGADA",L6184="RETORNADA",L6184="ENTREGA DIGITAL"),0,MAX(0,5-NETWORKDAYS(H6184+1,TODAY()))))</f>
        <v/>
      </c>
      <c r="L6184" t="str">
        <f>IF(A6184="","",IFERROR(LOOKUP(2,1/(#REF!=Z6184),#REF!),Y6184))</f>
        <v/>
      </c>
      <c r="Z6184" t="str">
        <f>IF(A6184="","",TEXT(A6184,"0")&amp;"|"&amp;TEXT(H6184,"0"))</f>
        <v/>
      </c>
      <c r="AA6184" t="str">
        <f>IF(Z6184="","",IFERROR(LOOKUP(2,1/(#REF!=Z6184),#REF!),""))</f>
        <v/>
      </c>
      <c r="AB6184" t="str">
        <f>IF(Z6184="","",IFERROR(LOOKUP(2,1/(#REF!=Z6184),#REF!),""))</f>
        <v/>
      </c>
      <c r="AC6184" t="str">
        <f>IF(Z6184="","",COUNTIF(#REF!,Z6184))</f>
        <v/>
      </c>
      <c r="AD6184" t="str">
        <f>IF(A6184="","",IF(AC6184&gt;1,"REVISAR DUPLICADO",IF(AA6184&lt;&gt;"","ACTUALIZADO POR EYR","SIN REPORTE EYR")))</f>
        <v/>
      </c>
    </row>
    <row r="6185" spans="11:30" x14ac:dyDescent="0.3">
      <c r="K6185" s="1" t="str">
        <f ca="1">IF(A6185="","",IF(OR(L6185="ENTREGADA",L6185="RETORNADA",L6185="ENTREGA DIGITAL"),0,MAX(0,5-NETWORKDAYS(H6185+1,TODAY()))))</f>
        <v/>
      </c>
      <c r="L6185" t="str">
        <f>IF(A6185="","",IFERROR(LOOKUP(2,1/(#REF!=Z6185),#REF!),Y6185))</f>
        <v/>
      </c>
      <c r="Z6185" t="str">
        <f>IF(A6185="","",TEXT(A6185,"0")&amp;"|"&amp;TEXT(H6185,"0"))</f>
        <v/>
      </c>
      <c r="AA6185" t="str">
        <f>IF(Z6185="","",IFERROR(LOOKUP(2,1/(#REF!=Z6185),#REF!),""))</f>
        <v/>
      </c>
      <c r="AB6185" t="str">
        <f>IF(Z6185="","",IFERROR(LOOKUP(2,1/(#REF!=Z6185),#REF!),""))</f>
        <v/>
      </c>
      <c r="AC6185" t="str">
        <f>IF(Z6185="","",COUNTIF(#REF!,Z6185))</f>
        <v/>
      </c>
      <c r="AD6185" t="str">
        <f>IF(A6185="","",IF(AC6185&gt;1,"REVISAR DUPLICADO",IF(AA6185&lt;&gt;"","ACTUALIZADO POR EYR","SIN REPORTE EYR")))</f>
        <v/>
      </c>
    </row>
    <row r="6186" spans="11:30" x14ac:dyDescent="0.3">
      <c r="K6186" s="1" t="str">
        <f ca="1">IF(A6186="","",IF(OR(L6186="ENTREGADA",L6186="RETORNADA",L6186="ENTREGA DIGITAL"),0,MAX(0,5-NETWORKDAYS(H6186+1,TODAY()))))</f>
        <v/>
      </c>
      <c r="L6186" t="str">
        <f>IF(A6186="","",IFERROR(LOOKUP(2,1/(#REF!=Z6186),#REF!),Y6186))</f>
        <v/>
      </c>
      <c r="Z6186" t="str">
        <f>IF(A6186="","",TEXT(A6186,"0")&amp;"|"&amp;TEXT(H6186,"0"))</f>
        <v/>
      </c>
      <c r="AA6186" t="str">
        <f>IF(Z6186="","",IFERROR(LOOKUP(2,1/(#REF!=Z6186),#REF!),""))</f>
        <v/>
      </c>
      <c r="AB6186" t="str">
        <f>IF(Z6186="","",IFERROR(LOOKUP(2,1/(#REF!=Z6186),#REF!),""))</f>
        <v/>
      </c>
      <c r="AC6186" t="str">
        <f>IF(Z6186="","",COUNTIF(#REF!,Z6186))</f>
        <v/>
      </c>
      <c r="AD6186" t="str">
        <f>IF(A6186="","",IF(AC6186&gt;1,"REVISAR DUPLICADO",IF(AA6186&lt;&gt;"","ACTUALIZADO POR EYR","SIN REPORTE EYR")))</f>
        <v/>
      </c>
    </row>
    <row r="6187" spans="11:30" x14ac:dyDescent="0.3">
      <c r="K6187" s="1" t="str">
        <f ca="1">IF(A6187="","",IF(OR(L6187="ENTREGADA",L6187="RETORNADA",L6187="ENTREGA DIGITAL"),0,MAX(0,5-NETWORKDAYS(H6187+1,TODAY()))))</f>
        <v/>
      </c>
      <c r="L6187" t="str">
        <f>IF(A6187="","",IFERROR(LOOKUP(2,1/(#REF!=Z6187),#REF!),Y6187))</f>
        <v/>
      </c>
      <c r="Z6187" t="str">
        <f>IF(A6187="","",TEXT(A6187,"0")&amp;"|"&amp;TEXT(H6187,"0"))</f>
        <v/>
      </c>
      <c r="AA6187" t="str">
        <f>IF(Z6187="","",IFERROR(LOOKUP(2,1/(#REF!=Z6187),#REF!),""))</f>
        <v/>
      </c>
      <c r="AB6187" t="str">
        <f>IF(Z6187="","",IFERROR(LOOKUP(2,1/(#REF!=Z6187),#REF!),""))</f>
        <v/>
      </c>
      <c r="AC6187" t="str">
        <f>IF(Z6187="","",COUNTIF(#REF!,Z6187))</f>
        <v/>
      </c>
      <c r="AD6187" t="str">
        <f>IF(A6187="","",IF(AC6187&gt;1,"REVISAR DUPLICADO",IF(AA6187&lt;&gt;"","ACTUALIZADO POR EYR","SIN REPORTE EYR")))</f>
        <v/>
      </c>
    </row>
    <row r="6188" spans="11:30" x14ac:dyDescent="0.3">
      <c r="K6188" s="1" t="str">
        <f ca="1">IF(A6188="","",IF(OR(L6188="ENTREGADA",L6188="RETORNADA",L6188="ENTREGA DIGITAL"),0,MAX(0,5-NETWORKDAYS(H6188+1,TODAY()))))</f>
        <v/>
      </c>
      <c r="L6188" t="str">
        <f>IF(A6188="","",IFERROR(LOOKUP(2,1/(#REF!=Z6188),#REF!),Y6188))</f>
        <v/>
      </c>
      <c r="Z6188" t="str">
        <f>IF(A6188="","",TEXT(A6188,"0")&amp;"|"&amp;TEXT(H6188,"0"))</f>
        <v/>
      </c>
      <c r="AA6188" t="str">
        <f>IF(Z6188="","",IFERROR(LOOKUP(2,1/(#REF!=Z6188),#REF!),""))</f>
        <v/>
      </c>
      <c r="AB6188" t="str">
        <f>IF(Z6188="","",IFERROR(LOOKUP(2,1/(#REF!=Z6188),#REF!),""))</f>
        <v/>
      </c>
      <c r="AC6188" t="str">
        <f>IF(Z6188="","",COUNTIF(#REF!,Z6188))</f>
        <v/>
      </c>
      <c r="AD6188" t="str">
        <f>IF(A6188="","",IF(AC6188&gt;1,"REVISAR DUPLICADO",IF(AA6188&lt;&gt;"","ACTUALIZADO POR EYR","SIN REPORTE EYR")))</f>
        <v/>
      </c>
    </row>
    <row r="6189" spans="11:30" x14ac:dyDescent="0.3">
      <c r="K6189" s="1" t="str">
        <f ca="1">IF(A6189="","",IF(OR(L6189="ENTREGADA",L6189="RETORNADA",L6189="ENTREGA DIGITAL"),0,MAX(0,5-NETWORKDAYS(H6189+1,TODAY()))))</f>
        <v/>
      </c>
      <c r="L6189" t="str">
        <f>IF(A6189="","",IFERROR(LOOKUP(2,1/(#REF!=Z6189),#REF!),Y6189))</f>
        <v/>
      </c>
      <c r="Z6189" t="str">
        <f>IF(A6189="","",TEXT(A6189,"0")&amp;"|"&amp;TEXT(H6189,"0"))</f>
        <v/>
      </c>
      <c r="AA6189" t="str">
        <f>IF(Z6189="","",IFERROR(LOOKUP(2,1/(#REF!=Z6189),#REF!),""))</f>
        <v/>
      </c>
      <c r="AB6189" t="str">
        <f>IF(Z6189="","",IFERROR(LOOKUP(2,1/(#REF!=Z6189),#REF!),""))</f>
        <v/>
      </c>
      <c r="AC6189" t="str">
        <f>IF(Z6189="","",COUNTIF(#REF!,Z6189))</f>
        <v/>
      </c>
      <c r="AD6189" t="str">
        <f>IF(A6189="","",IF(AC6189&gt;1,"REVISAR DUPLICADO",IF(AA6189&lt;&gt;"","ACTUALIZADO POR EYR","SIN REPORTE EYR")))</f>
        <v/>
      </c>
    </row>
    <row r="6190" spans="11:30" x14ac:dyDescent="0.3">
      <c r="K6190" s="1" t="str">
        <f ca="1">IF(A6190="","",IF(OR(L6190="ENTREGADA",L6190="RETORNADA",L6190="ENTREGA DIGITAL"),0,MAX(0,5-NETWORKDAYS(H6190+1,TODAY()))))</f>
        <v/>
      </c>
      <c r="L6190" t="str">
        <f>IF(A6190="","",IFERROR(LOOKUP(2,1/(#REF!=Z6190),#REF!),Y6190))</f>
        <v/>
      </c>
      <c r="Z6190" t="str">
        <f>IF(A6190="","",TEXT(A6190,"0")&amp;"|"&amp;TEXT(H6190,"0"))</f>
        <v/>
      </c>
      <c r="AA6190" t="str">
        <f>IF(Z6190="","",IFERROR(LOOKUP(2,1/(#REF!=Z6190),#REF!),""))</f>
        <v/>
      </c>
      <c r="AB6190" t="str">
        <f>IF(Z6190="","",IFERROR(LOOKUP(2,1/(#REF!=Z6190),#REF!),""))</f>
        <v/>
      </c>
      <c r="AC6190" t="str">
        <f>IF(Z6190="","",COUNTIF(#REF!,Z6190))</f>
        <v/>
      </c>
      <c r="AD6190" t="str">
        <f>IF(A6190="","",IF(AC6190&gt;1,"REVISAR DUPLICADO",IF(AA6190&lt;&gt;"","ACTUALIZADO POR EYR","SIN REPORTE EYR")))</f>
        <v/>
      </c>
    </row>
    <row r="6191" spans="11:30" x14ac:dyDescent="0.3">
      <c r="K6191" s="1" t="str">
        <f ca="1">IF(A6191="","",IF(OR(L6191="ENTREGADA",L6191="RETORNADA",L6191="ENTREGA DIGITAL"),0,MAX(0,5-NETWORKDAYS(H6191+1,TODAY()))))</f>
        <v/>
      </c>
      <c r="L6191" t="str">
        <f>IF(A6191="","",IFERROR(LOOKUP(2,1/(#REF!=Z6191),#REF!),Y6191))</f>
        <v/>
      </c>
      <c r="Z6191" t="str">
        <f>IF(A6191="","",TEXT(A6191,"0")&amp;"|"&amp;TEXT(H6191,"0"))</f>
        <v/>
      </c>
      <c r="AA6191" t="str">
        <f>IF(Z6191="","",IFERROR(LOOKUP(2,1/(#REF!=Z6191),#REF!),""))</f>
        <v/>
      </c>
      <c r="AB6191" t="str">
        <f>IF(Z6191="","",IFERROR(LOOKUP(2,1/(#REF!=Z6191),#REF!),""))</f>
        <v/>
      </c>
      <c r="AC6191" t="str">
        <f>IF(Z6191="","",COUNTIF(#REF!,Z6191))</f>
        <v/>
      </c>
      <c r="AD6191" t="str">
        <f>IF(A6191="","",IF(AC6191&gt;1,"REVISAR DUPLICADO",IF(AA6191&lt;&gt;"","ACTUALIZADO POR EYR","SIN REPORTE EYR")))</f>
        <v/>
      </c>
    </row>
    <row r="6192" spans="11:30" x14ac:dyDescent="0.3">
      <c r="K6192" s="1" t="str">
        <f ca="1">IF(A6192="","",IF(OR(L6192="ENTREGADA",L6192="RETORNADA",L6192="ENTREGA DIGITAL"),0,MAX(0,5-NETWORKDAYS(H6192+1,TODAY()))))</f>
        <v/>
      </c>
      <c r="L6192" t="str">
        <f>IF(A6192="","",IFERROR(LOOKUP(2,1/(#REF!=Z6192),#REF!),Y6192))</f>
        <v/>
      </c>
      <c r="Z6192" t="str">
        <f>IF(A6192="","",TEXT(A6192,"0")&amp;"|"&amp;TEXT(H6192,"0"))</f>
        <v/>
      </c>
      <c r="AA6192" t="str">
        <f>IF(Z6192="","",IFERROR(LOOKUP(2,1/(#REF!=Z6192),#REF!),""))</f>
        <v/>
      </c>
      <c r="AB6192" t="str">
        <f>IF(Z6192="","",IFERROR(LOOKUP(2,1/(#REF!=Z6192),#REF!),""))</f>
        <v/>
      </c>
      <c r="AC6192" t="str">
        <f>IF(Z6192="","",COUNTIF(#REF!,Z6192))</f>
        <v/>
      </c>
      <c r="AD6192" t="str">
        <f>IF(A6192="","",IF(AC6192&gt;1,"REVISAR DUPLICADO",IF(AA6192&lt;&gt;"","ACTUALIZADO POR EYR","SIN REPORTE EYR")))</f>
        <v/>
      </c>
    </row>
    <row r="6193" spans="11:30" x14ac:dyDescent="0.3">
      <c r="K6193" s="1" t="str">
        <f ca="1">IF(A6193="","",IF(OR(L6193="ENTREGADA",L6193="RETORNADA",L6193="ENTREGA DIGITAL"),0,MAX(0,5-NETWORKDAYS(H6193+1,TODAY()))))</f>
        <v/>
      </c>
      <c r="L6193" t="str">
        <f>IF(A6193="","",IFERROR(LOOKUP(2,1/(#REF!=Z6193),#REF!),Y6193))</f>
        <v/>
      </c>
      <c r="Z6193" t="str">
        <f>IF(A6193="","",TEXT(A6193,"0")&amp;"|"&amp;TEXT(H6193,"0"))</f>
        <v/>
      </c>
      <c r="AA6193" t="str">
        <f>IF(Z6193="","",IFERROR(LOOKUP(2,1/(#REF!=Z6193),#REF!),""))</f>
        <v/>
      </c>
      <c r="AB6193" t="str">
        <f>IF(Z6193="","",IFERROR(LOOKUP(2,1/(#REF!=Z6193),#REF!),""))</f>
        <v/>
      </c>
      <c r="AC6193" t="str">
        <f>IF(Z6193="","",COUNTIF(#REF!,Z6193))</f>
        <v/>
      </c>
      <c r="AD6193" t="str">
        <f>IF(A6193="","",IF(AC6193&gt;1,"REVISAR DUPLICADO",IF(AA6193&lt;&gt;"","ACTUALIZADO POR EYR","SIN REPORTE EYR")))</f>
        <v/>
      </c>
    </row>
    <row r="6194" spans="11:30" x14ac:dyDescent="0.3">
      <c r="K6194" s="1" t="str">
        <f ca="1">IF(A6194="","",IF(OR(L6194="ENTREGADA",L6194="RETORNADA",L6194="ENTREGA DIGITAL"),0,MAX(0,5-NETWORKDAYS(H6194+1,TODAY()))))</f>
        <v/>
      </c>
      <c r="L6194" t="str">
        <f>IF(A6194="","",IFERROR(LOOKUP(2,1/(#REF!=Z6194),#REF!),Y6194))</f>
        <v/>
      </c>
      <c r="Z6194" t="str">
        <f>IF(A6194="","",TEXT(A6194,"0")&amp;"|"&amp;TEXT(H6194,"0"))</f>
        <v/>
      </c>
      <c r="AA6194" t="str">
        <f>IF(Z6194="","",IFERROR(LOOKUP(2,1/(#REF!=Z6194),#REF!),""))</f>
        <v/>
      </c>
      <c r="AB6194" t="str">
        <f>IF(Z6194="","",IFERROR(LOOKUP(2,1/(#REF!=Z6194),#REF!),""))</f>
        <v/>
      </c>
      <c r="AC6194" t="str">
        <f>IF(Z6194="","",COUNTIF(#REF!,Z6194))</f>
        <v/>
      </c>
      <c r="AD6194" t="str">
        <f>IF(A6194="","",IF(AC6194&gt;1,"REVISAR DUPLICADO",IF(AA6194&lt;&gt;"","ACTUALIZADO POR EYR","SIN REPORTE EYR")))</f>
        <v/>
      </c>
    </row>
    <row r="6195" spans="11:30" x14ac:dyDescent="0.3">
      <c r="K6195" s="1" t="str">
        <f ca="1">IF(A6195="","",IF(OR(L6195="ENTREGADA",L6195="RETORNADA",L6195="ENTREGA DIGITAL"),0,MAX(0,5-NETWORKDAYS(H6195+1,TODAY()))))</f>
        <v/>
      </c>
      <c r="L6195" t="str">
        <f>IF(A6195="","",IFERROR(LOOKUP(2,1/(#REF!=Z6195),#REF!),Y6195))</f>
        <v/>
      </c>
      <c r="Z6195" t="str">
        <f>IF(A6195="","",TEXT(A6195,"0")&amp;"|"&amp;TEXT(H6195,"0"))</f>
        <v/>
      </c>
      <c r="AA6195" t="str">
        <f>IF(Z6195="","",IFERROR(LOOKUP(2,1/(#REF!=Z6195),#REF!),""))</f>
        <v/>
      </c>
      <c r="AB6195" t="str">
        <f>IF(Z6195="","",IFERROR(LOOKUP(2,1/(#REF!=Z6195),#REF!),""))</f>
        <v/>
      </c>
      <c r="AC6195" t="str">
        <f>IF(Z6195="","",COUNTIF(#REF!,Z6195))</f>
        <v/>
      </c>
      <c r="AD6195" t="str">
        <f>IF(A6195="","",IF(AC6195&gt;1,"REVISAR DUPLICADO",IF(AA6195&lt;&gt;"","ACTUALIZADO POR EYR","SIN REPORTE EYR")))</f>
        <v/>
      </c>
    </row>
    <row r="6196" spans="11:30" x14ac:dyDescent="0.3">
      <c r="K6196" s="1" t="str">
        <f ca="1">IF(A6196="","",IF(OR(L6196="ENTREGADA",L6196="RETORNADA",L6196="ENTREGA DIGITAL"),0,MAX(0,5-NETWORKDAYS(H6196+1,TODAY()))))</f>
        <v/>
      </c>
      <c r="L6196" t="str">
        <f>IF(A6196="","",IFERROR(LOOKUP(2,1/(#REF!=Z6196),#REF!),Y6196))</f>
        <v/>
      </c>
      <c r="Z6196" t="str">
        <f>IF(A6196="","",TEXT(A6196,"0")&amp;"|"&amp;TEXT(H6196,"0"))</f>
        <v/>
      </c>
      <c r="AA6196" t="str">
        <f>IF(Z6196="","",IFERROR(LOOKUP(2,1/(#REF!=Z6196),#REF!),""))</f>
        <v/>
      </c>
      <c r="AB6196" t="str">
        <f>IF(Z6196="","",IFERROR(LOOKUP(2,1/(#REF!=Z6196),#REF!),""))</f>
        <v/>
      </c>
      <c r="AC6196" t="str">
        <f>IF(Z6196="","",COUNTIF(#REF!,Z6196))</f>
        <v/>
      </c>
      <c r="AD6196" t="str">
        <f>IF(A6196="","",IF(AC6196&gt;1,"REVISAR DUPLICADO",IF(AA6196&lt;&gt;"","ACTUALIZADO POR EYR","SIN REPORTE EYR")))</f>
        <v/>
      </c>
    </row>
    <row r="6197" spans="11:30" x14ac:dyDescent="0.3">
      <c r="K6197" s="1" t="str">
        <f ca="1">IF(A6197="","",IF(OR(L6197="ENTREGADA",L6197="RETORNADA",L6197="ENTREGA DIGITAL"),0,MAX(0,5-NETWORKDAYS(H6197+1,TODAY()))))</f>
        <v/>
      </c>
      <c r="L6197" t="str">
        <f>IF(A6197="","",IFERROR(LOOKUP(2,1/(#REF!=Z6197),#REF!),Y6197))</f>
        <v/>
      </c>
      <c r="Z6197" t="str">
        <f>IF(A6197="","",TEXT(A6197,"0")&amp;"|"&amp;TEXT(H6197,"0"))</f>
        <v/>
      </c>
      <c r="AA6197" t="str">
        <f>IF(Z6197="","",IFERROR(LOOKUP(2,1/(#REF!=Z6197),#REF!),""))</f>
        <v/>
      </c>
      <c r="AB6197" t="str">
        <f>IF(Z6197="","",IFERROR(LOOKUP(2,1/(#REF!=Z6197),#REF!),""))</f>
        <v/>
      </c>
      <c r="AC6197" t="str">
        <f>IF(Z6197="","",COUNTIF(#REF!,Z6197))</f>
        <v/>
      </c>
      <c r="AD6197" t="str">
        <f>IF(A6197="","",IF(AC6197&gt;1,"REVISAR DUPLICADO",IF(AA6197&lt;&gt;"","ACTUALIZADO POR EYR","SIN REPORTE EYR")))</f>
        <v/>
      </c>
    </row>
    <row r="6198" spans="11:30" x14ac:dyDescent="0.3">
      <c r="K6198" s="1" t="str">
        <f ca="1">IF(A6198="","",IF(OR(L6198="ENTREGADA",L6198="RETORNADA",L6198="ENTREGA DIGITAL"),0,MAX(0,5-NETWORKDAYS(H6198+1,TODAY()))))</f>
        <v/>
      </c>
      <c r="L6198" t="str">
        <f>IF(A6198="","",IFERROR(LOOKUP(2,1/(#REF!=Z6198),#REF!),Y6198))</f>
        <v/>
      </c>
      <c r="Z6198" t="str">
        <f>IF(A6198="","",TEXT(A6198,"0")&amp;"|"&amp;TEXT(H6198,"0"))</f>
        <v/>
      </c>
      <c r="AA6198" t="str">
        <f>IF(Z6198="","",IFERROR(LOOKUP(2,1/(#REF!=Z6198),#REF!),""))</f>
        <v/>
      </c>
      <c r="AB6198" t="str">
        <f>IF(Z6198="","",IFERROR(LOOKUP(2,1/(#REF!=Z6198),#REF!),""))</f>
        <v/>
      </c>
      <c r="AC6198" t="str">
        <f>IF(Z6198="","",COUNTIF(#REF!,Z6198))</f>
        <v/>
      </c>
      <c r="AD6198" t="str">
        <f>IF(A6198="","",IF(AC6198&gt;1,"REVISAR DUPLICADO",IF(AA6198&lt;&gt;"","ACTUALIZADO POR EYR","SIN REPORTE EYR")))</f>
        <v/>
      </c>
    </row>
    <row r="6199" spans="11:30" x14ac:dyDescent="0.3">
      <c r="K6199" s="1" t="str">
        <f ca="1">IF(A6199="","",IF(OR(L6199="ENTREGADA",L6199="RETORNADA",L6199="ENTREGA DIGITAL"),0,MAX(0,5-NETWORKDAYS(H6199+1,TODAY()))))</f>
        <v/>
      </c>
      <c r="L6199" t="str">
        <f>IF(A6199="","",IFERROR(LOOKUP(2,1/(#REF!=Z6199),#REF!),Y6199))</f>
        <v/>
      </c>
      <c r="Z6199" t="str">
        <f>IF(A6199="","",TEXT(A6199,"0")&amp;"|"&amp;TEXT(H6199,"0"))</f>
        <v/>
      </c>
      <c r="AA6199" t="str">
        <f>IF(Z6199="","",IFERROR(LOOKUP(2,1/(#REF!=Z6199),#REF!),""))</f>
        <v/>
      </c>
      <c r="AB6199" t="str">
        <f>IF(Z6199="","",IFERROR(LOOKUP(2,1/(#REF!=Z6199),#REF!),""))</f>
        <v/>
      </c>
      <c r="AC6199" t="str">
        <f>IF(Z6199="","",COUNTIF(#REF!,Z6199))</f>
        <v/>
      </c>
      <c r="AD6199" t="str">
        <f>IF(A6199="","",IF(AC6199&gt;1,"REVISAR DUPLICADO",IF(AA6199&lt;&gt;"","ACTUALIZADO POR EYR","SIN REPORTE EYR")))</f>
        <v/>
      </c>
    </row>
    <row r="6200" spans="11:30" x14ac:dyDescent="0.3">
      <c r="K6200" s="1" t="str">
        <f ca="1">IF(A6200="","",IF(OR(L6200="ENTREGADA",L6200="RETORNADA",L6200="ENTREGA DIGITAL"),0,MAX(0,5-NETWORKDAYS(H6200+1,TODAY()))))</f>
        <v/>
      </c>
      <c r="L6200" t="str">
        <f>IF(A6200="","",IFERROR(LOOKUP(2,1/(#REF!=Z6200),#REF!),Y6200))</f>
        <v/>
      </c>
      <c r="Z6200" t="str">
        <f>IF(A6200="","",TEXT(A6200,"0")&amp;"|"&amp;TEXT(H6200,"0"))</f>
        <v/>
      </c>
      <c r="AA6200" t="str">
        <f>IF(Z6200="","",IFERROR(LOOKUP(2,1/(#REF!=Z6200),#REF!),""))</f>
        <v/>
      </c>
      <c r="AB6200" t="str">
        <f>IF(Z6200="","",IFERROR(LOOKUP(2,1/(#REF!=Z6200),#REF!),""))</f>
        <v/>
      </c>
      <c r="AC6200" t="str">
        <f>IF(Z6200="","",COUNTIF(#REF!,Z6200))</f>
        <v/>
      </c>
      <c r="AD6200" t="str">
        <f>IF(A6200="","",IF(AC6200&gt;1,"REVISAR DUPLICADO",IF(AA6200&lt;&gt;"","ACTUALIZADO POR EYR","SIN REPORTE EYR")))</f>
        <v/>
      </c>
    </row>
    <row r="6201" spans="11:30" x14ac:dyDescent="0.3">
      <c r="K6201" s="1" t="str">
        <f ca="1">IF(A6201="","",IF(OR(L6201="ENTREGADA",L6201="RETORNADA",L6201="ENTREGA DIGITAL"),0,MAX(0,5-NETWORKDAYS(H6201+1,TODAY()))))</f>
        <v/>
      </c>
      <c r="L6201" t="str">
        <f>IF(A6201="","",IFERROR(LOOKUP(2,1/(#REF!=Z6201),#REF!),Y6201))</f>
        <v/>
      </c>
      <c r="Z6201" t="str">
        <f>IF(A6201="","",TEXT(A6201,"0")&amp;"|"&amp;TEXT(H6201,"0"))</f>
        <v/>
      </c>
      <c r="AA6201" t="str">
        <f>IF(Z6201="","",IFERROR(LOOKUP(2,1/(#REF!=Z6201),#REF!),""))</f>
        <v/>
      </c>
      <c r="AB6201" t="str">
        <f>IF(Z6201="","",IFERROR(LOOKUP(2,1/(#REF!=Z6201),#REF!),""))</f>
        <v/>
      </c>
      <c r="AC6201" t="str">
        <f>IF(Z6201="","",COUNTIF(#REF!,Z6201))</f>
        <v/>
      </c>
      <c r="AD6201" t="str">
        <f>IF(A6201="","",IF(AC6201&gt;1,"REVISAR DUPLICADO",IF(AA6201&lt;&gt;"","ACTUALIZADO POR EYR","SIN REPORTE EYR")))</f>
        <v/>
      </c>
    </row>
    <row r="6202" spans="11:30" x14ac:dyDescent="0.3">
      <c r="K6202" s="1" t="str">
        <f ca="1">IF(A6202="","",IF(OR(L6202="ENTREGADA",L6202="RETORNADA",L6202="ENTREGA DIGITAL"),0,MAX(0,5-NETWORKDAYS(H6202+1,TODAY()))))</f>
        <v/>
      </c>
      <c r="L6202" t="str">
        <f>IF(A6202="","",IFERROR(LOOKUP(2,1/(#REF!=Z6202),#REF!),Y6202))</f>
        <v/>
      </c>
      <c r="Z6202" t="str">
        <f>IF(A6202="","",TEXT(A6202,"0")&amp;"|"&amp;TEXT(H6202,"0"))</f>
        <v/>
      </c>
      <c r="AA6202" t="str">
        <f>IF(Z6202="","",IFERROR(LOOKUP(2,1/(#REF!=Z6202),#REF!),""))</f>
        <v/>
      </c>
      <c r="AB6202" t="str">
        <f>IF(Z6202="","",IFERROR(LOOKUP(2,1/(#REF!=Z6202),#REF!),""))</f>
        <v/>
      </c>
      <c r="AC6202" t="str">
        <f>IF(Z6202="","",COUNTIF(#REF!,Z6202))</f>
        <v/>
      </c>
      <c r="AD6202" t="str">
        <f>IF(A6202="","",IF(AC6202&gt;1,"REVISAR DUPLICADO",IF(AA6202&lt;&gt;"","ACTUALIZADO POR EYR","SIN REPORTE EYR")))</f>
        <v/>
      </c>
    </row>
    <row r="6203" spans="11:30" x14ac:dyDescent="0.3">
      <c r="K6203" s="1" t="str">
        <f ca="1">IF(A6203="","",IF(OR(L6203="ENTREGADA",L6203="RETORNADA",L6203="ENTREGA DIGITAL"),0,MAX(0,5-NETWORKDAYS(H6203+1,TODAY()))))</f>
        <v/>
      </c>
      <c r="L6203" t="str">
        <f>IF(A6203="","",IFERROR(LOOKUP(2,1/(#REF!=Z6203),#REF!),Y6203))</f>
        <v/>
      </c>
      <c r="Z6203" t="str">
        <f>IF(A6203="","",TEXT(A6203,"0")&amp;"|"&amp;TEXT(H6203,"0"))</f>
        <v/>
      </c>
      <c r="AA6203" t="str">
        <f>IF(Z6203="","",IFERROR(LOOKUP(2,1/(#REF!=Z6203),#REF!),""))</f>
        <v/>
      </c>
      <c r="AB6203" t="str">
        <f>IF(Z6203="","",IFERROR(LOOKUP(2,1/(#REF!=Z6203),#REF!),""))</f>
        <v/>
      </c>
      <c r="AC6203" t="str">
        <f>IF(Z6203="","",COUNTIF(#REF!,Z6203))</f>
        <v/>
      </c>
      <c r="AD6203" t="str">
        <f>IF(A6203="","",IF(AC6203&gt;1,"REVISAR DUPLICADO",IF(AA6203&lt;&gt;"","ACTUALIZADO POR EYR","SIN REPORTE EYR")))</f>
        <v/>
      </c>
    </row>
    <row r="6204" spans="11:30" x14ac:dyDescent="0.3">
      <c r="K6204" s="1" t="str">
        <f ca="1">IF(A6204="","",IF(OR(L6204="ENTREGADA",L6204="RETORNADA",L6204="ENTREGA DIGITAL"),0,MAX(0,5-NETWORKDAYS(H6204+1,TODAY()))))</f>
        <v/>
      </c>
      <c r="L6204" t="str">
        <f>IF(A6204="","",IFERROR(LOOKUP(2,1/(#REF!=Z6204),#REF!),Y6204))</f>
        <v/>
      </c>
      <c r="Z6204" t="str">
        <f>IF(A6204="","",TEXT(A6204,"0")&amp;"|"&amp;TEXT(H6204,"0"))</f>
        <v/>
      </c>
      <c r="AA6204" t="str">
        <f>IF(Z6204="","",IFERROR(LOOKUP(2,1/(#REF!=Z6204),#REF!),""))</f>
        <v/>
      </c>
      <c r="AB6204" t="str">
        <f>IF(Z6204="","",IFERROR(LOOKUP(2,1/(#REF!=Z6204),#REF!),""))</f>
        <v/>
      </c>
      <c r="AC6204" t="str">
        <f>IF(Z6204="","",COUNTIF(#REF!,Z6204))</f>
        <v/>
      </c>
      <c r="AD6204" t="str">
        <f>IF(A6204="","",IF(AC6204&gt;1,"REVISAR DUPLICADO",IF(AA6204&lt;&gt;"","ACTUALIZADO POR EYR","SIN REPORTE EYR")))</f>
        <v/>
      </c>
    </row>
    <row r="6205" spans="11:30" x14ac:dyDescent="0.3">
      <c r="K6205" s="1" t="str">
        <f ca="1">IF(A6205="","",IF(OR(L6205="ENTREGADA",L6205="RETORNADA",L6205="ENTREGA DIGITAL"),0,MAX(0,5-NETWORKDAYS(H6205+1,TODAY()))))</f>
        <v/>
      </c>
      <c r="L6205" t="str">
        <f>IF(A6205="","",IFERROR(LOOKUP(2,1/(#REF!=Z6205),#REF!),Y6205))</f>
        <v/>
      </c>
      <c r="Z6205" t="str">
        <f>IF(A6205="","",TEXT(A6205,"0")&amp;"|"&amp;TEXT(H6205,"0"))</f>
        <v/>
      </c>
      <c r="AA6205" t="str">
        <f>IF(Z6205="","",IFERROR(LOOKUP(2,1/(#REF!=Z6205),#REF!),""))</f>
        <v/>
      </c>
      <c r="AB6205" t="str">
        <f>IF(Z6205="","",IFERROR(LOOKUP(2,1/(#REF!=Z6205),#REF!),""))</f>
        <v/>
      </c>
      <c r="AC6205" t="str">
        <f>IF(Z6205="","",COUNTIF(#REF!,Z6205))</f>
        <v/>
      </c>
      <c r="AD6205" t="str">
        <f>IF(A6205="","",IF(AC6205&gt;1,"REVISAR DUPLICADO",IF(AA6205&lt;&gt;"","ACTUALIZADO POR EYR","SIN REPORTE EYR")))</f>
        <v/>
      </c>
    </row>
    <row r="6206" spans="11:30" x14ac:dyDescent="0.3">
      <c r="K6206" s="1" t="str">
        <f ca="1">IF(A6206="","",IF(OR(L6206="ENTREGADA",L6206="RETORNADA",L6206="ENTREGA DIGITAL"),0,MAX(0,5-NETWORKDAYS(H6206+1,TODAY()))))</f>
        <v/>
      </c>
      <c r="L6206" t="str">
        <f>IF(A6206="","",IFERROR(LOOKUP(2,1/(#REF!=Z6206),#REF!),Y6206))</f>
        <v/>
      </c>
      <c r="Z6206" t="str">
        <f>IF(A6206="","",TEXT(A6206,"0")&amp;"|"&amp;TEXT(H6206,"0"))</f>
        <v/>
      </c>
      <c r="AA6206" t="str">
        <f>IF(Z6206="","",IFERROR(LOOKUP(2,1/(#REF!=Z6206),#REF!),""))</f>
        <v/>
      </c>
      <c r="AB6206" t="str">
        <f>IF(Z6206="","",IFERROR(LOOKUP(2,1/(#REF!=Z6206),#REF!),""))</f>
        <v/>
      </c>
      <c r="AC6206" t="str">
        <f>IF(Z6206="","",COUNTIF(#REF!,Z6206))</f>
        <v/>
      </c>
      <c r="AD6206" t="str">
        <f>IF(A6206="","",IF(AC6206&gt;1,"REVISAR DUPLICADO",IF(AA6206&lt;&gt;"","ACTUALIZADO POR EYR","SIN REPORTE EYR")))</f>
        <v/>
      </c>
    </row>
    <row r="6207" spans="11:30" x14ac:dyDescent="0.3">
      <c r="K6207" s="1" t="str">
        <f ca="1">IF(A6207="","",IF(OR(L6207="ENTREGADA",L6207="RETORNADA",L6207="ENTREGA DIGITAL"),0,MAX(0,5-NETWORKDAYS(H6207+1,TODAY()))))</f>
        <v/>
      </c>
      <c r="L6207" t="str">
        <f>IF(A6207="","",IFERROR(LOOKUP(2,1/(#REF!=Z6207),#REF!),Y6207))</f>
        <v/>
      </c>
      <c r="Z6207" t="str">
        <f>IF(A6207="","",TEXT(A6207,"0")&amp;"|"&amp;TEXT(H6207,"0"))</f>
        <v/>
      </c>
      <c r="AA6207" t="str">
        <f>IF(Z6207="","",IFERROR(LOOKUP(2,1/(#REF!=Z6207),#REF!),""))</f>
        <v/>
      </c>
      <c r="AB6207" t="str">
        <f>IF(Z6207="","",IFERROR(LOOKUP(2,1/(#REF!=Z6207),#REF!),""))</f>
        <v/>
      </c>
      <c r="AC6207" t="str">
        <f>IF(Z6207="","",COUNTIF(#REF!,Z6207))</f>
        <v/>
      </c>
      <c r="AD6207" t="str">
        <f>IF(A6207="","",IF(AC6207&gt;1,"REVISAR DUPLICADO",IF(AA6207&lt;&gt;"","ACTUALIZADO POR EYR","SIN REPORTE EYR")))</f>
        <v/>
      </c>
    </row>
    <row r="6208" spans="11:30" x14ac:dyDescent="0.3">
      <c r="K6208" s="1" t="str">
        <f ca="1">IF(A6208="","",IF(OR(L6208="ENTREGADA",L6208="RETORNADA",L6208="ENTREGA DIGITAL"),0,MAX(0,5-NETWORKDAYS(H6208+1,TODAY()))))</f>
        <v/>
      </c>
      <c r="L6208" t="str">
        <f>IF(A6208="","",IFERROR(LOOKUP(2,1/(#REF!=Z6208),#REF!),Y6208))</f>
        <v/>
      </c>
      <c r="Z6208" t="str">
        <f>IF(A6208="","",TEXT(A6208,"0")&amp;"|"&amp;TEXT(H6208,"0"))</f>
        <v/>
      </c>
      <c r="AA6208" t="str">
        <f>IF(Z6208="","",IFERROR(LOOKUP(2,1/(#REF!=Z6208),#REF!),""))</f>
        <v/>
      </c>
      <c r="AB6208" t="str">
        <f>IF(Z6208="","",IFERROR(LOOKUP(2,1/(#REF!=Z6208),#REF!),""))</f>
        <v/>
      </c>
      <c r="AC6208" t="str">
        <f>IF(Z6208="","",COUNTIF(#REF!,Z6208))</f>
        <v/>
      </c>
      <c r="AD6208" t="str">
        <f>IF(A6208="","",IF(AC6208&gt;1,"REVISAR DUPLICADO",IF(AA6208&lt;&gt;"","ACTUALIZADO POR EYR","SIN REPORTE EYR")))</f>
        <v/>
      </c>
    </row>
    <row r="6209" spans="11:30" x14ac:dyDescent="0.3">
      <c r="K6209" s="1" t="str">
        <f ca="1">IF(A6209="","",IF(OR(L6209="ENTREGADA",L6209="RETORNADA",L6209="ENTREGA DIGITAL"),0,MAX(0,5-NETWORKDAYS(H6209+1,TODAY()))))</f>
        <v/>
      </c>
      <c r="L6209" t="str">
        <f>IF(A6209="","",IFERROR(LOOKUP(2,1/(#REF!=Z6209),#REF!),Y6209))</f>
        <v/>
      </c>
      <c r="Z6209" t="str">
        <f>IF(A6209="","",TEXT(A6209,"0")&amp;"|"&amp;TEXT(H6209,"0"))</f>
        <v/>
      </c>
      <c r="AA6209" t="str">
        <f>IF(Z6209="","",IFERROR(LOOKUP(2,1/(#REF!=Z6209),#REF!),""))</f>
        <v/>
      </c>
      <c r="AB6209" t="str">
        <f>IF(Z6209="","",IFERROR(LOOKUP(2,1/(#REF!=Z6209),#REF!),""))</f>
        <v/>
      </c>
      <c r="AC6209" t="str">
        <f>IF(Z6209="","",COUNTIF(#REF!,Z6209))</f>
        <v/>
      </c>
      <c r="AD6209" t="str">
        <f>IF(A6209="","",IF(AC6209&gt;1,"REVISAR DUPLICADO",IF(AA6209&lt;&gt;"","ACTUALIZADO POR EYR","SIN REPORTE EYR")))</f>
        <v/>
      </c>
    </row>
    <row r="6210" spans="11:30" x14ac:dyDescent="0.3">
      <c r="K6210" s="1" t="str">
        <f ca="1">IF(A6210="","",IF(OR(L6210="ENTREGADA",L6210="RETORNADA",L6210="ENTREGA DIGITAL"),0,MAX(0,5-NETWORKDAYS(H6210+1,TODAY()))))</f>
        <v/>
      </c>
      <c r="L6210" t="str">
        <f>IF(A6210="","",IFERROR(LOOKUP(2,1/(#REF!=Z6210),#REF!),Y6210))</f>
        <v/>
      </c>
      <c r="Z6210" t="str">
        <f>IF(A6210="","",TEXT(A6210,"0")&amp;"|"&amp;TEXT(H6210,"0"))</f>
        <v/>
      </c>
      <c r="AA6210" t="str">
        <f>IF(Z6210="","",IFERROR(LOOKUP(2,1/(#REF!=Z6210),#REF!),""))</f>
        <v/>
      </c>
      <c r="AB6210" t="str">
        <f>IF(Z6210="","",IFERROR(LOOKUP(2,1/(#REF!=Z6210),#REF!),""))</f>
        <v/>
      </c>
      <c r="AC6210" t="str">
        <f>IF(Z6210="","",COUNTIF(#REF!,Z6210))</f>
        <v/>
      </c>
      <c r="AD6210" t="str">
        <f>IF(A6210="","",IF(AC6210&gt;1,"REVISAR DUPLICADO",IF(AA6210&lt;&gt;"","ACTUALIZADO POR EYR","SIN REPORTE EYR")))</f>
        <v/>
      </c>
    </row>
    <row r="6211" spans="11:30" x14ac:dyDescent="0.3">
      <c r="K6211" s="1" t="str">
        <f ca="1">IF(A6211="","",IF(OR(L6211="ENTREGADA",L6211="RETORNADA",L6211="ENTREGA DIGITAL"),0,MAX(0,5-NETWORKDAYS(H6211+1,TODAY()))))</f>
        <v/>
      </c>
      <c r="L6211" t="str">
        <f>IF(A6211="","",IFERROR(LOOKUP(2,1/(#REF!=Z6211),#REF!),Y6211))</f>
        <v/>
      </c>
      <c r="Z6211" t="str">
        <f>IF(A6211="","",TEXT(A6211,"0")&amp;"|"&amp;TEXT(H6211,"0"))</f>
        <v/>
      </c>
      <c r="AA6211" t="str">
        <f>IF(Z6211="","",IFERROR(LOOKUP(2,1/(#REF!=Z6211),#REF!),""))</f>
        <v/>
      </c>
      <c r="AB6211" t="str">
        <f>IF(Z6211="","",IFERROR(LOOKUP(2,1/(#REF!=Z6211),#REF!),""))</f>
        <v/>
      </c>
      <c r="AC6211" t="str">
        <f>IF(Z6211="","",COUNTIF(#REF!,Z6211))</f>
        <v/>
      </c>
      <c r="AD6211" t="str">
        <f>IF(A6211="","",IF(AC6211&gt;1,"REVISAR DUPLICADO",IF(AA6211&lt;&gt;"","ACTUALIZADO POR EYR","SIN REPORTE EYR")))</f>
        <v/>
      </c>
    </row>
    <row r="6212" spans="11:30" x14ac:dyDescent="0.3">
      <c r="K6212" s="1" t="str">
        <f ca="1">IF(A6212="","",IF(OR(L6212="ENTREGADA",L6212="RETORNADA",L6212="ENTREGA DIGITAL"),0,MAX(0,5-NETWORKDAYS(H6212+1,TODAY()))))</f>
        <v/>
      </c>
      <c r="L6212" t="str">
        <f>IF(A6212="","",IFERROR(LOOKUP(2,1/(#REF!=Z6212),#REF!),Y6212))</f>
        <v/>
      </c>
      <c r="Z6212" t="str">
        <f>IF(A6212="","",TEXT(A6212,"0")&amp;"|"&amp;TEXT(H6212,"0"))</f>
        <v/>
      </c>
      <c r="AA6212" t="str">
        <f>IF(Z6212="","",IFERROR(LOOKUP(2,1/(#REF!=Z6212),#REF!),""))</f>
        <v/>
      </c>
      <c r="AB6212" t="str">
        <f>IF(Z6212="","",IFERROR(LOOKUP(2,1/(#REF!=Z6212),#REF!),""))</f>
        <v/>
      </c>
      <c r="AC6212" t="str">
        <f>IF(Z6212="","",COUNTIF(#REF!,Z6212))</f>
        <v/>
      </c>
      <c r="AD6212" t="str">
        <f>IF(A6212="","",IF(AC6212&gt;1,"REVISAR DUPLICADO",IF(AA6212&lt;&gt;"","ACTUALIZADO POR EYR","SIN REPORTE EYR")))</f>
        <v/>
      </c>
    </row>
    <row r="6213" spans="11:30" x14ac:dyDescent="0.3">
      <c r="K6213" s="1" t="str">
        <f ca="1">IF(A6213="","",IF(OR(L6213="ENTREGADA",L6213="RETORNADA",L6213="ENTREGA DIGITAL"),0,MAX(0,5-NETWORKDAYS(H6213+1,TODAY()))))</f>
        <v/>
      </c>
      <c r="L6213" t="str">
        <f>IF(A6213="","",IFERROR(LOOKUP(2,1/(#REF!=Z6213),#REF!),Y6213))</f>
        <v/>
      </c>
      <c r="Z6213" t="str">
        <f>IF(A6213="","",TEXT(A6213,"0")&amp;"|"&amp;TEXT(H6213,"0"))</f>
        <v/>
      </c>
      <c r="AA6213" t="str">
        <f>IF(Z6213="","",IFERROR(LOOKUP(2,1/(#REF!=Z6213),#REF!),""))</f>
        <v/>
      </c>
      <c r="AB6213" t="str">
        <f>IF(Z6213="","",IFERROR(LOOKUP(2,1/(#REF!=Z6213),#REF!),""))</f>
        <v/>
      </c>
      <c r="AC6213" t="str">
        <f>IF(Z6213="","",COUNTIF(#REF!,Z6213))</f>
        <v/>
      </c>
      <c r="AD6213" t="str">
        <f>IF(A6213="","",IF(AC6213&gt;1,"REVISAR DUPLICADO",IF(AA6213&lt;&gt;"","ACTUALIZADO POR EYR","SIN REPORTE EYR")))</f>
        <v/>
      </c>
    </row>
    <row r="6214" spans="11:30" x14ac:dyDescent="0.3">
      <c r="K6214" s="1" t="str">
        <f ca="1">IF(A6214="","",IF(OR(L6214="ENTREGADA",L6214="RETORNADA",L6214="ENTREGA DIGITAL"),0,MAX(0,5-NETWORKDAYS(H6214+1,TODAY()))))</f>
        <v/>
      </c>
      <c r="L6214" t="str">
        <f>IF(A6214="","",IFERROR(LOOKUP(2,1/(#REF!=Z6214),#REF!),Y6214))</f>
        <v/>
      </c>
      <c r="Z6214" t="str">
        <f>IF(A6214="","",TEXT(A6214,"0")&amp;"|"&amp;TEXT(H6214,"0"))</f>
        <v/>
      </c>
      <c r="AA6214" t="str">
        <f>IF(Z6214="","",IFERROR(LOOKUP(2,1/(#REF!=Z6214),#REF!),""))</f>
        <v/>
      </c>
      <c r="AB6214" t="str">
        <f>IF(Z6214="","",IFERROR(LOOKUP(2,1/(#REF!=Z6214),#REF!),""))</f>
        <v/>
      </c>
      <c r="AC6214" t="str">
        <f>IF(Z6214="","",COUNTIF(#REF!,Z6214))</f>
        <v/>
      </c>
      <c r="AD6214" t="str">
        <f>IF(A6214="","",IF(AC6214&gt;1,"REVISAR DUPLICADO",IF(AA6214&lt;&gt;"","ACTUALIZADO POR EYR","SIN REPORTE EYR")))</f>
        <v/>
      </c>
    </row>
    <row r="6215" spans="11:30" x14ac:dyDescent="0.3">
      <c r="K6215" s="1" t="str">
        <f ca="1">IF(A6215="","",IF(OR(L6215="ENTREGADA",L6215="RETORNADA",L6215="ENTREGA DIGITAL"),0,MAX(0,5-NETWORKDAYS(H6215+1,TODAY()))))</f>
        <v/>
      </c>
      <c r="L6215" t="str">
        <f>IF(A6215="","",IFERROR(LOOKUP(2,1/(#REF!=Z6215),#REF!),Y6215))</f>
        <v/>
      </c>
      <c r="Z6215" t="str">
        <f>IF(A6215="","",TEXT(A6215,"0")&amp;"|"&amp;TEXT(H6215,"0"))</f>
        <v/>
      </c>
      <c r="AA6215" t="str">
        <f>IF(Z6215="","",IFERROR(LOOKUP(2,1/(#REF!=Z6215),#REF!),""))</f>
        <v/>
      </c>
      <c r="AB6215" t="str">
        <f>IF(Z6215="","",IFERROR(LOOKUP(2,1/(#REF!=Z6215),#REF!),""))</f>
        <v/>
      </c>
      <c r="AC6215" t="str">
        <f>IF(Z6215="","",COUNTIF(#REF!,Z6215))</f>
        <v/>
      </c>
      <c r="AD6215" t="str">
        <f>IF(A6215="","",IF(AC6215&gt;1,"REVISAR DUPLICADO",IF(AA6215&lt;&gt;"","ACTUALIZADO POR EYR","SIN REPORTE EYR")))</f>
        <v/>
      </c>
    </row>
    <row r="6216" spans="11:30" x14ac:dyDescent="0.3">
      <c r="K6216" s="1" t="str">
        <f ca="1">IF(A6216="","",IF(OR(L6216="ENTREGADA",L6216="RETORNADA",L6216="ENTREGA DIGITAL"),0,MAX(0,5-NETWORKDAYS(H6216+1,TODAY()))))</f>
        <v/>
      </c>
      <c r="L6216" t="str">
        <f>IF(A6216="","",IFERROR(LOOKUP(2,1/(#REF!=Z6216),#REF!),Y6216))</f>
        <v/>
      </c>
      <c r="Z6216" t="str">
        <f>IF(A6216="","",TEXT(A6216,"0")&amp;"|"&amp;TEXT(H6216,"0"))</f>
        <v/>
      </c>
      <c r="AA6216" t="str">
        <f>IF(Z6216="","",IFERROR(LOOKUP(2,1/(#REF!=Z6216),#REF!),""))</f>
        <v/>
      </c>
      <c r="AB6216" t="str">
        <f>IF(Z6216="","",IFERROR(LOOKUP(2,1/(#REF!=Z6216),#REF!),""))</f>
        <v/>
      </c>
      <c r="AC6216" t="str">
        <f>IF(Z6216="","",COUNTIF(#REF!,Z6216))</f>
        <v/>
      </c>
      <c r="AD6216" t="str">
        <f>IF(A6216="","",IF(AC6216&gt;1,"REVISAR DUPLICADO",IF(AA6216&lt;&gt;"","ACTUALIZADO POR EYR","SIN REPORTE EYR")))</f>
        <v/>
      </c>
    </row>
    <row r="6217" spans="11:30" x14ac:dyDescent="0.3">
      <c r="K6217" s="1" t="str">
        <f ca="1">IF(A6217="","",IF(OR(L6217="ENTREGADA",L6217="RETORNADA",L6217="ENTREGA DIGITAL"),0,MAX(0,5-NETWORKDAYS(H6217+1,TODAY()))))</f>
        <v/>
      </c>
      <c r="L6217" t="str">
        <f>IF(A6217="","",IFERROR(LOOKUP(2,1/(#REF!=Z6217),#REF!),Y6217))</f>
        <v/>
      </c>
      <c r="Z6217" t="str">
        <f>IF(A6217="","",TEXT(A6217,"0")&amp;"|"&amp;TEXT(H6217,"0"))</f>
        <v/>
      </c>
      <c r="AA6217" t="str">
        <f>IF(Z6217="","",IFERROR(LOOKUP(2,1/(#REF!=Z6217),#REF!),""))</f>
        <v/>
      </c>
      <c r="AB6217" t="str">
        <f>IF(Z6217="","",IFERROR(LOOKUP(2,1/(#REF!=Z6217),#REF!),""))</f>
        <v/>
      </c>
      <c r="AC6217" t="str">
        <f>IF(Z6217="","",COUNTIF(#REF!,Z6217))</f>
        <v/>
      </c>
      <c r="AD6217" t="str">
        <f>IF(A6217="","",IF(AC6217&gt;1,"REVISAR DUPLICADO",IF(AA6217&lt;&gt;"","ACTUALIZADO POR EYR","SIN REPORTE EYR")))</f>
        <v/>
      </c>
    </row>
    <row r="6218" spans="11:30" x14ac:dyDescent="0.3">
      <c r="K6218" s="1" t="str">
        <f ca="1">IF(A6218="","",IF(OR(L6218="ENTREGADA",L6218="RETORNADA",L6218="ENTREGA DIGITAL"),0,MAX(0,5-NETWORKDAYS(H6218+1,TODAY()))))</f>
        <v/>
      </c>
      <c r="L6218" t="str">
        <f>IF(A6218="","",IFERROR(LOOKUP(2,1/(#REF!=Z6218),#REF!),Y6218))</f>
        <v/>
      </c>
      <c r="Z6218" t="str">
        <f>IF(A6218="","",TEXT(A6218,"0")&amp;"|"&amp;TEXT(H6218,"0"))</f>
        <v/>
      </c>
      <c r="AA6218" t="str">
        <f>IF(Z6218="","",IFERROR(LOOKUP(2,1/(#REF!=Z6218),#REF!),""))</f>
        <v/>
      </c>
      <c r="AB6218" t="str">
        <f>IF(Z6218="","",IFERROR(LOOKUP(2,1/(#REF!=Z6218),#REF!),""))</f>
        <v/>
      </c>
      <c r="AC6218" t="str">
        <f>IF(Z6218="","",COUNTIF(#REF!,Z6218))</f>
        <v/>
      </c>
      <c r="AD6218" t="str">
        <f>IF(A6218="","",IF(AC6218&gt;1,"REVISAR DUPLICADO",IF(AA6218&lt;&gt;"","ACTUALIZADO POR EYR","SIN REPORTE EYR")))</f>
        <v/>
      </c>
    </row>
    <row r="6219" spans="11:30" x14ac:dyDescent="0.3">
      <c r="K6219" s="1" t="str">
        <f ca="1">IF(A6219="","",IF(OR(L6219="ENTREGADA",L6219="RETORNADA",L6219="ENTREGA DIGITAL"),0,MAX(0,5-NETWORKDAYS(H6219+1,TODAY()))))</f>
        <v/>
      </c>
      <c r="L6219" t="str">
        <f>IF(A6219="","",IFERROR(LOOKUP(2,1/(#REF!=Z6219),#REF!),Y6219))</f>
        <v/>
      </c>
      <c r="Z6219" t="str">
        <f>IF(A6219="","",TEXT(A6219,"0")&amp;"|"&amp;TEXT(H6219,"0"))</f>
        <v/>
      </c>
      <c r="AA6219" t="str">
        <f>IF(Z6219="","",IFERROR(LOOKUP(2,1/(#REF!=Z6219),#REF!),""))</f>
        <v/>
      </c>
      <c r="AB6219" t="str">
        <f>IF(Z6219="","",IFERROR(LOOKUP(2,1/(#REF!=Z6219),#REF!),""))</f>
        <v/>
      </c>
      <c r="AC6219" t="str">
        <f>IF(Z6219="","",COUNTIF(#REF!,Z6219))</f>
        <v/>
      </c>
      <c r="AD6219" t="str">
        <f>IF(A6219="","",IF(AC6219&gt;1,"REVISAR DUPLICADO",IF(AA6219&lt;&gt;"","ACTUALIZADO POR EYR","SIN REPORTE EYR")))</f>
        <v/>
      </c>
    </row>
    <row r="6220" spans="11:30" x14ac:dyDescent="0.3">
      <c r="K6220" s="1" t="str">
        <f ca="1">IF(A6220="","",IF(OR(L6220="ENTREGADA",L6220="RETORNADA",L6220="ENTREGA DIGITAL"),0,MAX(0,5-NETWORKDAYS(H6220+1,TODAY()))))</f>
        <v/>
      </c>
      <c r="L6220" t="str">
        <f>IF(A6220="","",IFERROR(LOOKUP(2,1/(#REF!=Z6220),#REF!),Y6220))</f>
        <v/>
      </c>
      <c r="Z6220" t="str">
        <f>IF(A6220="","",TEXT(A6220,"0")&amp;"|"&amp;TEXT(H6220,"0"))</f>
        <v/>
      </c>
      <c r="AA6220" t="str">
        <f>IF(Z6220="","",IFERROR(LOOKUP(2,1/(#REF!=Z6220),#REF!),""))</f>
        <v/>
      </c>
      <c r="AB6220" t="str">
        <f>IF(Z6220="","",IFERROR(LOOKUP(2,1/(#REF!=Z6220),#REF!),""))</f>
        <v/>
      </c>
      <c r="AC6220" t="str">
        <f>IF(Z6220="","",COUNTIF(#REF!,Z6220))</f>
        <v/>
      </c>
      <c r="AD6220" t="str">
        <f>IF(A6220="","",IF(AC6220&gt;1,"REVISAR DUPLICADO",IF(AA6220&lt;&gt;"","ACTUALIZADO POR EYR","SIN REPORTE EYR")))</f>
        <v/>
      </c>
    </row>
    <row r="6221" spans="11:30" x14ac:dyDescent="0.3">
      <c r="K6221" s="1" t="str">
        <f ca="1">IF(A6221="","",IF(OR(L6221="ENTREGADA",L6221="RETORNADA",L6221="ENTREGA DIGITAL"),0,MAX(0,5-NETWORKDAYS(H6221+1,TODAY()))))</f>
        <v/>
      </c>
      <c r="L6221" t="str">
        <f>IF(A6221="","",IFERROR(LOOKUP(2,1/(#REF!=Z6221),#REF!),Y6221))</f>
        <v/>
      </c>
      <c r="Z6221" t="str">
        <f>IF(A6221="","",TEXT(A6221,"0")&amp;"|"&amp;TEXT(H6221,"0"))</f>
        <v/>
      </c>
      <c r="AA6221" t="str">
        <f>IF(Z6221="","",IFERROR(LOOKUP(2,1/(#REF!=Z6221),#REF!),""))</f>
        <v/>
      </c>
      <c r="AB6221" t="str">
        <f>IF(Z6221="","",IFERROR(LOOKUP(2,1/(#REF!=Z6221),#REF!),""))</f>
        <v/>
      </c>
      <c r="AC6221" t="str">
        <f>IF(Z6221="","",COUNTIF(#REF!,Z6221))</f>
        <v/>
      </c>
      <c r="AD6221" t="str">
        <f>IF(A6221="","",IF(AC6221&gt;1,"REVISAR DUPLICADO",IF(AA6221&lt;&gt;"","ACTUALIZADO POR EYR","SIN REPORTE EYR")))</f>
        <v/>
      </c>
    </row>
    <row r="6222" spans="11:30" x14ac:dyDescent="0.3">
      <c r="K6222" s="1" t="str">
        <f ca="1">IF(A6222="","",IF(OR(L6222="ENTREGADA",L6222="RETORNADA",L6222="ENTREGA DIGITAL"),0,MAX(0,5-NETWORKDAYS(H6222+1,TODAY()))))</f>
        <v/>
      </c>
      <c r="L6222" t="str">
        <f>IF(A6222="","",IFERROR(LOOKUP(2,1/(#REF!=Z6222),#REF!),Y6222))</f>
        <v/>
      </c>
      <c r="Z6222" t="str">
        <f>IF(A6222="","",TEXT(A6222,"0")&amp;"|"&amp;TEXT(H6222,"0"))</f>
        <v/>
      </c>
      <c r="AA6222" t="str">
        <f>IF(Z6222="","",IFERROR(LOOKUP(2,1/(#REF!=Z6222),#REF!),""))</f>
        <v/>
      </c>
      <c r="AB6222" t="str">
        <f>IF(Z6222="","",IFERROR(LOOKUP(2,1/(#REF!=Z6222),#REF!),""))</f>
        <v/>
      </c>
      <c r="AC6222" t="str">
        <f>IF(Z6222="","",COUNTIF(#REF!,Z6222))</f>
        <v/>
      </c>
      <c r="AD6222" t="str">
        <f>IF(A6222="","",IF(AC6222&gt;1,"REVISAR DUPLICADO",IF(AA6222&lt;&gt;"","ACTUALIZADO POR EYR","SIN REPORTE EYR")))</f>
        <v/>
      </c>
    </row>
    <row r="6223" spans="11:30" x14ac:dyDescent="0.3">
      <c r="K6223" s="1" t="str">
        <f ca="1">IF(A6223="","",IF(OR(L6223="ENTREGADA",L6223="RETORNADA",L6223="ENTREGA DIGITAL"),0,MAX(0,5-NETWORKDAYS(H6223+1,TODAY()))))</f>
        <v/>
      </c>
      <c r="L6223" t="str">
        <f>IF(A6223="","",IFERROR(LOOKUP(2,1/(#REF!=Z6223),#REF!),Y6223))</f>
        <v/>
      </c>
      <c r="Z6223" t="str">
        <f>IF(A6223="","",TEXT(A6223,"0")&amp;"|"&amp;TEXT(H6223,"0"))</f>
        <v/>
      </c>
      <c r="AA6223" t="str">
        <f>IF(Z6223="","",IFERROR(LOOKUP(2,1/(#REF!=Z6223),#REF!),""))</f>
        <v/>
      </c>
      <c r="AB6223" t="str">
        <f>IF(Z6223="","",IFERROR(LOOKUP(2,1/(#REF!=Z6223),#REF!),""))</f>
        <v/>
      </c>
      <c r="AC6223" t="str">
        <f>IF(Z6223="","",COUNTIF(#REF!,Z6223))</f>
        <v/>
      </c>
      <c r="AD6223" t="str">
        <f>IF(A6223="","",IF(AC6223&gt;1,"REVISAR DUPLICADO",IF(AA6223&lt;&gt;"","ACTUALIZADO POR EYR","SIN REPORTE EYR")))</f>
        <v/>
      </c>
    </row>
    <row r="6224" spans="11:30" x14ac:dyDescent="0.3">
      <c r="K6224" s="1" t="str">
        <f ca="1">IF(A6224="","",IF(OR(L6224="ENTREGADA",L6224="RETORNADA",L6224="ENTREGA DIGITAL"),0,MAX(0,5-NETWORKDAYS(H6224+1,TODAY()))))</f>
        <v/>
      </c>
      <c r="L6224" t="str">
        <f>IF(A6224="","",IFERROR(LOOKUP(2,1/(#REF!=Z6224),#REF!),Y6224))</f>
        <v/>
      </c>
      <c r="Z6224" t="str">
        <f>IF(A6224="","",TEXT(A6224,"0")&amp;"|"&amp;TEXT(H6224,"0"))</f>
        <v/>
      </c>
      <c r="AA6224" t="str">
        <f>IF(Z6224="","",IFERROR(LOOKUP(2,1/(#REF!=Z6224),#REF!),""))</f>
        <v/>
      </c>
      <c r="AB6224" t="str">
        <f>IF(Z6224="","",IFERROR(LOOKUP(2,1/(#REF!=Z6224),#REF!),""))</f>
        <v/>
      </c>
      <c r="AC6224" t="str">
        <f>IF(Z6224="","",COUNTIF(#REF!,Z6224))</f>
        <v/>
      </c>
      <c r="AD6224" t="str">
        <f>IF(A6224="","",IF(AC6224&gt;1,"REVISAR DUPLICADO",IF(AA6224&lt;&gt;"","ACTUALIZADO POR EYR","SIN REPORTE EYR")))</f>
        <v/>
      </c>
    </row>
    <row r="6225" spans="11:30" x14ac:dyDescent="0.3">
      <c r="K6225" s="1" t="str">
        <f ca="1">IF(A6225="","",IF(OR(L6225="ENTREGADA",L6225="RETORNADA",L6225="ENTREGA DIGITAL"),0,MAX(0,5-NETWORKDAYS(H6225+1,TODAY()))))</f>
        <v/>
      </c>
      <c r="L6225" t="str">
        <f>IF(A6225="","",IFERROR(LOOKUP(2,1/(#REF!=Z6225),#REF!),Y6225))</f>
        <v/>
      </c>
      <c r="Z6225" t="str">
        <f>IF(A6225="","",TEXT(A6225,"0")&amp;"|"&amp;TEXT(H6225,"0"))</f>
        <v/>
      </c>
      <c r="AA6225" t="str">
        <f>IF(Z6225="","",IFERROR(LOOKUP(2,1/(#REF!=Z6225),#REF!),""))</f>
        <v/>
      </c>
      <c r="AB6225" t="str">
        <f>IF(Z6225="","",IFERROR(LOOKUP(2,1/(#REF!=Z6225),#REF!),""))</f>
        <v/>
      </c>
      <c r="AC6225" t="str">
        <f>IF(Z6225="","",COUNTIF(#REF!,Z6225))</f>
        <v/>
      </c>
      <c r="AD6225" t="str">
        <f>IF(A6225="","",IF(AC6225&gt;1,"REVISAR DUPLICADO",IF(AA6225&lt;&gt;"","ACTUALIZADO POR EYR","SIN REPORTE EYR")))</f>
        <v/>
      </c>
    </row>
    <row r="6226" spans="11:30" x14ac:dyDescent="0.3">
      <c r="K6226" s="1" t="str">
        <f ca="1">IF(A6226="","",IF(OR(L6226="ENTREGADA",L6226="RETORNADA",L6226="ENTREGA DIGITAL"),0,MAX(0,5-NETWORKDAYS(H6226+1,TODAY()))))</f>
        <v/>
      </c>
      <c r="L6226" t="str">
        <f>IF(A6226="","",IFERROR(LOOKUP(2,1/(#REF!=Z6226),#REF!),Y6226))</f>
        <v/>
      </c>
      <c r="Z6226" t="str">
        <f>IF(A6226="","",TEXT(A6226,"0")&amp;"|"&amp;TEXT(H6226,"0"))</f>
        <v/>
      </c>
      <c r="AA6226" t="str">
        <f>IF(Z6226="","",IFERROR(LOOKUP(2,1/(#REF!=Z6226),#REF!),""))</f>
        <v/>
      </c>
      <c r="AB6226" t="str">
        <f>IF(Z6226="","",IFERROR(LOOKUP(2,1/(#REF!=Z6226),#REF!),""))</f>
        <v/>
      </c>
      <c r="AC6226" t="str">
        <f>IF(Z6226="","",COUNTIF(#REF!,Z6226))</f>
        <v/>
      </c>
      <c r="AD6226" t="str">
        <f>IF(A6226="","",IF(AC6226&gt;1,"REVISAR DUPLICADO",IF(AA6226&lt;&gt;"","ACTUALIZADO POR EYR","SIN REPORTE EYR")))</f>
        <v/>
      </c>
    </row>
    <row r="6227" spans="11:30" x14ac:dyDescent="0.3">
      <c r="K6227" s="1" t="str">
        <f ca="1">IF(A6227="","",IF(OR(L6227="ENTREGADA",L6227="RETORNADA",L6227="ENTREGA DIGITAL"),0,MAX(0,5-NETWORKDAYS(H6227+1,TODAY()))))</f>
        <v/>
      </c>
      <c r="L6227" t="str">
        <f>IF(A6227="","",IFERROR(LOOKUP(2,1/(#REF!=Z6227),#REF!),Y6227))</f>
        <v/>
      </c>
      <c r="Z6227" t="str">
        <f>IF(A6227="","",TEXT(A6227,"0")&amp;"|"&amp;TEXT(H6227,"0"))</f>
        <v/>
      </c>
      <c r="AA6227" t="str">
        <f>IF(Z6227="","",IFERROR(LOOKUP(2,1/(#REF!=Z6227),#REF!),""))</f>
        <v/>
      </c>
      <c r="AB6227" t="str">
        <f>IF(Z6227="","",IFERROR(LOOKUP(2,1/(#REF!=Z6227),#REF!),""))</f>
        <v/>
      </c>
      <c r="AC6227" t="str">
        <f>IF(Z6227="","",COUNTIF(#REF!,Z6227))</f>
        <v/>
      </c>
      <c r="AD6227" t="str">
        <f>IF(A6227="","",IF(AC6227&gt;1,"REVISAR DUPLICADO",IF(AA6227&lt;&gt;"","ACTUALIZADO POR EYR","SIN REPORTE EYR")))</f>
        <v/>
      </c>
    </row>
    <row r="6228" spans="11:30" x14ac:dyDescent="0.3">
      <c r="K6228" s="1" t="str">
        <f ca="1">IF(A6228="","",IF(OR(L6228="ENTREGADA",L6228="RETORNADA",L6228="ENTREGA DIGITAL"),0,MAX(0,5-NETWORKDAYS(H6228+1,TODAY()))))</f>
        <v/>
      </c>
      <c r="L6228" t="str">
        <f>IF(A6228="","",IFERROR(LOOKUP(2,1/(#REF!=Z6228),#REF!),Y6228))</f>
        <v/>
      </c>
      <c r="Z6228" t="str">
        <f>IF(A6228="","",TEXT(A6228,"0")&amp;"|"&amp;TEXT(H6228,"0"))</f>
        <v/>
      </c>
      <c r="AA6228" t="str">
        <f>IF(Z6228="","",IFERROR(LOOKUP(2,1/(#REF!=Z6228),#REF!),""))</f>
        <v/>
      </c>
      <c r="AB6228" t="str">
        <f>IF(Z6228="","",IFERROR(LOOKUP(2,1/(#REF!=Z6228),#REF!),""))</f>
        <v/>
      </c>
      <c r="AC6228" t="str">
        <f>IF(Z6228="","",COUNTIF(#REF!,Z6228))</f>
        <v/>
      </c>
      <c r="AD6228" t="str">
        <f>IF(A6228="","",IF(AC6228&gt;1,"REVISAR DUPLICADO",IF(AA6228&lt;&gt;"","ACTUALIZADO POR EYR","SIN REPORTE EYR")))</f>
        <v/>
      </c>
    </row>
    <row r="6229" spans="11:30" x14ac:dyDescent="0.3">
      <c r="K6229" s="1" t="str">
        <f ca="1">IF(A6229="","",IF(OR(L6229="ENTREGADA",L6229="RETORNADA",L6229="ENTREGA DIGITAL"),0,MAX(0,5-NETWORKDAYS(H6229+1,TODAY()))))</f>
        <v/>
      </c>
      <c r="L6229" t="str">
        <f>IF(A6229="","",IFERROR(LOOKUP(2,1/(#REF!=Z6229),#REF!),Y6229))</f>
        <v/>
      </c>
      <c r="Z6229" t="str">
        <f>IF(A6229="","",TEXT(A6229,"0")&amp;"|"&amp;TEXT(H6229,"0"))</f>
        <v/>
      </c>
      <c r="AA6229" t="str">
        <f>IF(Z6229="","",IFERROR(LOOKUP(2,1/(#REF!=Z6229),#REF!),""))</f>
        <v/>
      </c>
      <c r="AB6229" t="str">
        <f>IF(Z6229="","",IFERROR(LOOKUP(2,1/(#REF!=Z6229),#REF!),""))</f>
        <v/>
      </c>
      <c r="AC6229" t="str">
        <f>IF(Z6229="","",COUNTIF(#REF!,Z6229))</f>
        <v/>
      </c>
      <c r="AD6229" t="str">
        <f>IF(A6229="","",IF(AC6229&gt;1,"REVISAR DUPLICADO",IF(AA6229&lt;&gt;"","ACTUALIZADO POR EYR","SIN REPORTE EYR")))</f>
        <v/>
      </c>
    </row>
    <row r="6230" spans="11:30" x14ac:dyDescent="0.3">
      <c r="K6230" s="1" t="str">
        <f ca="1">IF(A6230="","",IF(OR(L6230="ENTREGADA",L6230="RETORNADA",L6230="ENTREGA DIGITAL"),0,MAX(0,5-NETWORKDAYS(H6230+1,TODAY()))))</f>
        <v/>
      </c>
      <c r="L6230" t="str">
        <f>IF(A6230="","",IFERROR(LOOKUP(2,1/(#REF!=Z6230),#REF!),Y6230))</f>
        <v/>
      </c>
      <c r="Z6230" t="str">
        <f>IF(A6230="","",TEXT(A6230,"0")&amp;"|"&amp;TEXT(H6230,"0"))</f>
        <v/>
      </c>
      <c r="AA6230" t="str">
        <f>IF(Z6230="","",IFERROR(LOOKUP(2,1/(#REF!=Z6230),#REF!),""))</f>
        <v/>
      </c>
      <c r="AB6230" t="str">
        <f>IF(Z6230="","",IFERROR(LOOKUP(2,1/(#REF!=Z6230),#REF!),""))</f>
        <v/>
      </c>
      <c r="AC6230" t="str">
        <f>IF(Z6230="","",COUNTIF(#REF!,Z6230))</f>
        <v/>
      </c>
      <c r="AD6230" t="str">
        <f>IF(A6230="","",IF(AC6230&gt;1,"REVISAR DUPLICADO",IF(AA6230&lt;&gt;"","ACTUALIZADO POR EYR","SIN REPORTE EYR")))</f>
        <v/>
      </c>
    </row>
    <row r="6231" spans="11:30" x14ac:dyDescent="0.3">
      <c r="K6231" s="1" t="str">
        <f ca="1">IF(A6231="","",IF(OR(L6231="ENTREGADA",L6231="RETORNADA",L6231="ENTREGA DIGITAL"),0,MAX(0,5-NETWORKDAYS(H6231+1,TODAY()))))</f>
        <v/>
      </c>
      <c r="L6231" t="str">
        <f>IF(A6231="","",IFERROR(LOOKUP(2,1/(#REF!=Z6231),#REF!),Y6231))</f>
        <v/>
      </c>
      <c r="Z6231" t="str">
        <f>IF(A6231="","",TEXT(A6231,"0")&amp;"|"&amp;TEXT(H6231,"0"))</f>
        <v/>
      </c>
      <c r="AA6231" t="str">
        <f>IF(Z6231="","",IFERROR(LOOKUP(2,1/(#REF!=Z6231),#REF!),""))</f>
        <v/>
      </c>
      <c r="AB6231" t="str">
        <f>IF(Z6231="","",IFERROR(LOOKUP(2,1/(#REF!=Z6231),#REF!),""))</f>
        <v/>
      </c>
      <c r="AC6231" t="str">
        <f>IF(Z6231="","",COUNTIF(#REF!,Z6231))</f>
        <v/>
      </c>
      <c r="AD6231" t="str">
        <f>IF(A6231="","",IF(AC6231&gt;1,"REVISAR DUPLICADO",IF(AA6231&lt;&gt;"","ACTUALIZADO POR EYR","SIN REPORTE EYR")))</f>
        <v/>
      </c>
    </row>
    <row r="6232" spans="11:30" x14ac:dyDescent="0.3">
      <c r="K6232" s="1" t="str">
        <f ca="1">IF(A6232="","",IF(OR(L6232="ENTREGADA",L6232="RETORNADA",L6232="ENTREGA DIGITAL"),0,MAX(0,5-NETWORKDAYS(H6232+1,TODAY()))))</f>
        <v/>
      </c>
      <c r="L6232" t="str">
        <f>IF(A6232="","",IFERROR(LOOKUP(2,1/(#REF!=Z6232),#REF!),Y6232))</f>
        <v/>
      </c>
      <c r="Z6232" t="str">
        <f>IF(A6232="","",TEXT(A6232,"0")&amp;"|"&amp;TEXT(H6232,"0"))</f>
        <v/>
      </c>
      <c r="AA6232" t="str">
        <f>IF(Z6232="","",IFERROR(LOOKUP(2,1/(#REF!=Z6232),#REF!),""))</f>
        <v/>
      </c>
      <c r="AB6232" t="str">
        <f>IF(Z6232="","",IFERROR(LOOKUP(2,1/(#REF!=Z6232),#REF!),""))</f>
        <v/>
      </c>
      <c r="AC6232" t="str">
        <f>IF(Z6232="","",COUNTIF(#REF!,Z6232))</f>
        <v/>
      </c>
      <c r="AD6232" t="str">
        <f>IF(A6232="","",IF(AC6232&gt;1,"REVISAR DUPLICADO",IF(AA6232&lt;&gt;"","ACTUALIZADO POR EYR","SIN REPORTE EYR")))</f>
        <v/>
      </c>
    </row>
    <row r="6233" spans="11:30" x14ac:dyDescent="0.3">
      <c r="K6233" s="1" t="str">
        <f ca="1">IF(A6233="","",IF(OR(L6233="ENTREGADA",L6233="RETORNADA",L6233="ENTREGA DIGITAL"),0,MAX(0,5-NETWORKDAYS(H6233+1,TODAY()))))</f>
        <v/>
      </c>
      <c r="L6233" t="str">
        <f>IF(A6233="","",IFERROR(LOOKUP(2,1/(#REF!=Z6233),#REF!),Y6233))</f>
        <v/>
      </c>
      <c r="Z6233" t="str">
        <f>IF(A6233="","",TEXT(A6233,"0")&amp;"|"&amp;TEXT(H6233,"0"))</f>
        <v/>
      </c>
      <c r="AA6233" t="str">
        <f>IF(Z6233="","",IFERROR(LOOKUP(2,1/(#REF!=Z6233),#REF!),""))</f>
        <v/>
      </c>
      <c r="AB6233" t="str">
        <f>IF(Z6233="","",IFERROR(LOOKUP(2,1/(#REF!=Z6233),#REF!),""))</f>
        <v/>
      </c>
      <c r="AC6233" t="str">
        <f>IF(Z6233="","",COUNTIF(#REF!,Z6233))</f>
        <v/>
      </c>
      <c r="AD6233" t="str">
        <f>IF(A6233="","",IF(AC6233&gt;1,"REVISAR DUPLICADO",IF(AA6233&lt;&gt;"","ACTUALIZADO POR EYR","SIN REPORTE EYR")))</f>
        <v/>
      </c>
    </row>
    <row r="6234" spans="11:30" x14ac:dyDescent="0.3">
      <c r="K6234" s="1" t="str">
        <f ca="1">IF(A6234="","",IF(OR(L6234="ENTREGADA",L6234="RETORNADA",L6234="ENTREGA DIGITAL"),0,MAX(0,5-NETWORKDAYS(H6234+1,TODAY()))))</f>
        <v/>
      </c>
      <c r="L6234" t="str">
        <f>IF(A6234="","",IFERROR(LOOKUP(2,1/(#REF!=Z6234),#REF!),Y6234))</f>
        <v/>
      </c>
      <c r="Z6234" t="str">
        <f>IF(A6234="","",TEXT(A6234,"0")&amp;"|"&amp;TEXT(H6234,"0"))</f>
        <v/>
      </c>
      <c r="AA6234" t="str">
        <f>IF(Z6234="","",IFERROR(LOOKUP(2,1/(#REF!=Z6234),#REF!),""))</f>
        <v/>
      </c>
      <c r="AB6234" t="str">
        <f>IF(Z6234="","",IFERROR(LOOKUP(2,1/(#REF!=Z6234),#REF!),""))</f>
        <v/>
      </c>
      <c r="AC6234" t="str">
        <f>IF(Z6234="","",COUNTIF(#REF!,Z6234))</f>
        <v/>
      </c>
      <c r="AD6234" t="str">
        <f>IF(A6234="","",IF(AC6234&gt;1,"REVISAR DUPLICADO",IF(AA6234&lt;&gt;"","ACTUALIZADO POR EYR","SIN REPORTE EYR")))</f>
        <v/>
      </c>
    </row>
    <row r="6235" spans="11:30" x14ac:dyDescent="0.3">
      <c r="K6235" s="1" t="str">
        <f ca="1">IF(A6235="","",IF(OR(L6235="ENTREGADA",L6235="RETORNADA",L6235="ENTREGA DIGITAL"),0,MAX(0,5-NETWORKDAYS(H6235+1,TODAY()))))</f>
        <v/>
      </c>
      <c r="L6235" t="str">
        <f>IF(A6235="","",IFERROR(LOOKUP(2,1/(#REF!=Z6235),#REF!),Y6235))</f>
        <v/>
      </c>
      <c r="Z6235" t="str">
        <f>IF(A6235="","",TEXT(A6235,"0")&amp;"|"&amp;TEXT(H6235,"0"))</f>
        <v/>
      </c>
      <c r="AA6235" t="str">
        <f>IF(Z6235="","",IFERROR(LOOKUP(2,1/(#REF!=Z6235),#REF!),""))</f>
        <v/>
      </c>
      <c r="AB6235" t="str">
        <f>IF(Z6235="","",IFERROR(LOOKUP(2,1/(#REF!=Z6235),#REF!),""))</f>
        <v/>
      </c>
      <c r="AC6235" t="str">
        <f>IF(Z6235="","",COUNTIF(#REF!,Z6235))</f>
        <v/>
      </c>
      <c r="AD6235" t="str">
        <f>IF(A6235="","",IF(AC6235&gt;1,"REVISAR DUPLICADO",IF(AA6235&lt;&gt;"","ACTUALIZADO POR EYR","SIN REPORTE EYR")))</f>
        <v/>
      </c>
    </row>
    <row r="6236" spans="11:30" x14ac:dyDescent="0.3">
      <c r="K6236" s="1" t="str">
        <f ca="1">IF(A6236="","",IF(OR(L6236="ENTREGADA",L6236="RETORNADA",L6236="ENTREGA DIGITAL"),0,MAX(0,5-NETWORKDAYS(H6236+1,TODAY()))))</f>
        <v/>
      </c>
      <c r="L6236" t="str">
        <f>IF(A6236="","",IFERROR(LOOKUP(2,1/(#REF!=Z6236),#REF!),Y6236))</f>
        <v/>
      </c>
      <c r="Z6236" t="str">
        <f>IF(A6236="","",TEXT(A6236,"0")&amp;"|"&amp;TEXT(H6236,"0"))</f>
        <v/>
      </c>
      <c r="AA6236" t="str">
        <f>IF(Z6236="","",IFERROR(LOOKUP(2,1/(#REF!=Z6236),#REF!),""))</f>
        <v/>
      </c>
      <c r="AB6236" t="str">
        <f>IF(Z6236="","",IFERROR(LOOKUP(2,1/(#REF!=Z6236),#REF!),""))</f>
        <v/>
      </c>
      <c r="AC6236" t="str">
        <f>IF(Z6236="","",COUNTIF(#REF!,Z6236))</f>
        <v/>
      </c>
      <c r="AD6236" t="str">
        <f>IF(A6236="","",IF(AC6236&gt;1,"REVISAR DUPLICADO",IF(AA6236&lt;&gt;"","ACTUALIZADO POR EYR","SIN REPORTE EYR")))</f>
        <v/>
      </c>
    </row>
    <row r="6237" spans="11:30" x14ac:dyDescent="0.3">
      <c r="K6237" s="1" t="str">
        <f ca="1">IF(A6237="","",IF(OR(L6237="ENTREGADA",L6237="RETORNADA",L6237="ENTREGA DIGITAL"),0,MAX(0,5-NETWORKDAYS(H6237+1,TODAY()))))</f>
        <v/>
      </c>
      <c r="L6237" t="str">
        <f>IF(A6237="","",IFERROR(LOOKUP(2,1/(#REF!=Z6237),#REF!),Y6237))</f>
        <v/>
      </c>
      <c r="Z6237" t="str">
        <f>IF(A6237="","",TEXT(A6237,"0")&amp;"|"&amp;TEXT(H6237,"0"))</f>
        <v/>
      </c>
      <c r="AA6237" t="str">
        <f>IF(Z6237="","",IFERROR(LOOKUP(2,1/(#REF!=Z6237),#REF!),""))</f>
        <v/>
      </c>
      <c r="AB6237" t="str">
        <f>IF(Z6237="","",IFERROR(LOOKUP(2,1/(#REF!=Z6237),#REF!),""))</f>
        <v/>
      </c>
      <c r="AC6237" t="str">
        <f>IF(Z6237="","",COUNTIF(#REF!,Z6237))</f>
        <v/>
      </c>
      <c r="AD6237" t="str">
        <f>IF(A6237="","",IF(AC6237&gt;1,"REVISAR DUPLICADO",IF(AA6237&lt;&gt;"","ACTUALIZADO POR EYR","SIN REPORTE EYR")))</f>
        <v/>
      </c>
    </row>
    <row r="6238" spans="11:30" x14ac:dyDescent="0.3">
      <c r="K6238" s="1" t="str">
        <f ca="1">IF(A6238="","",IF(OR(L6238="ENTREGADA",L6238="RETORNADA",L6238="ENTREGA DIGITAL"),0,MAX(0,5-NETWORKDAYS(H6238+1,TODAY()))))</f>
        <v/>
      </c>
      <c r="L6238" t="str">
        <f>IF(A6238="","",IFERROR(LOOKUP(2,1/(#REF!=Z6238),#REF!),Y6238))</f>
        <v/>
      </c>
      <c r="Z6238" t="str">
        <f>IF(A6238="","",TEXT(A6238,"0")&amp;"|"&amp;TEXT(H6238,"0"))</f>
        <v/>
      </c>
      <c r="AA6238" t="str">
        <f>IF(Z6238="","",IFERROR(LOOKUP(2,1/(#REF!=Z6238),#REF!),""))</f>
        <v/>
      </c>
      <c r="AB6238" t="str">
        <f>IF(Z6238="","",IFERROR(LOOKUP(2,1/(#REF!=Z6238),#REF!),""))</f>
        <v/>
      </c>
      <c r="AC6238" t="str">
        <f>IF(Z6238="","",COUNTIF(#REF!,Z6238))</f>
        <v/>
      </c>
      <c r="AD6238" t="str">
        <f>IF(A6238="","",IF(AC6238&gt;1,"REVISAR DUPLICADO",IF(AA6238&lt;&gt;"","ACTUALIZADO POR EYR","SIN REPORTE EYR")))</f>
        <v/>
      </c>
    </row>
    <row r="6239" spans="11:30" x14ac:dyDescent="0.3">
      <c r="K6239" s="1" t="str">
        <f ca="1">IF(A6239="","",IF(OR(L6239="ENTREGADA",L6239="RETORNADA",L6239="ENTREGA DIGITAL"),0,MAX(0,5-NETWORKDAYS(H6239+1,TODAY()))))</f>
        <v/>
      </c>
      <c r="L6239" t="str">
        <f>IF(A6239="","",IFERROR(LOOKUP(2,1/(#REF!=Z6239),#REF!),Y6239))</f>
        <v/>
      </c>
      <c r="Z6239" t="str">
        <f>IF(A6239="","",TEXT(A6239,"0")&amp;"|"&amp;TEXT(H6239,"0"))</f>
        <v/>
      </c>
      <c r="AA6239" t="str">
        <f>IF(Z6239="","",IFERROR(LOOKUP(2,1/(#REF!=Z6239),#REF!),""))</f>
        <v/>
      </c>
      <c r="AB6239" t="str">
        <f>IF(Z6239="","",IFERROR(LOOKUP(2,1/(#REF!=Z6239),#REF!),""))</f>
        <v/>
      </c>
      <c r="AC6239" t="str">
        <f>IF(Z6239="","",COUNTIF(#REF!,Z6239))</f>
        <v/>
      </c>
      <c r="AD6239" t="str">
        <f>IF(A6239="","",IF(AC6239&gt;1,"REVISAR DUPLICADO",IF(AA6239&lt;&gt;"","ACTUALIZADO POR EYR","SIN REPORTE EYR")))</f>
        <v/>
      </c>
    </row>
    <row r="6240" spans="11:30" x14ac:dyDescent="0.3">
      <c r="K6240" s="1" t="str">
        <f ca="1">IF(A6240="","",IF(OR(L6240="ENTREGADA",L6240="RETORNADA",L6240="ENTREGA DIGITAL"),0,MAX(0,5-NETWORKDAYS(H6240+1,TODAY()))))</f>
        <v/>
      </c>
      <c r="L6240" t="str">
        <f>IF(A6240="","",IFERROR(LOOKUP(2,1/(#REF!=Z6240),#REF!),Y6240))</f>
        <v/>
      </c>
      <c r="Z6240" t="str">
        <f>IF(A6240="","",TEXT(A6240,"0")&amp;"|"&amp;TEXT(H6240,"0"))</f>
        <v/>
      </c>
      <c r="AA6240" t="str">
        <f>IF(Z6240="","",IFERROR(LOOKUP(2,1/(#REF!=Z6240),#REF!),""))</f>
        <v/>
      </c>
      <c r="AB6240" t="str">
        <f>IF(Z6240="","",IFERROR(LOOKUP(2,1/(#REF!=Z6240),#REF!),""))</f>
        <v/>
      </c>
      <c r="AC6240" t="str">
        <f>IF(Z6240="","",COUNTIF(#REF!,Z6240))</f>
        <v/>
      </c>
      <c r="AD6240" t="str">
        <f>IF(A6240="","",IF(AC6240&gt;1,"REVISAR DUPLICADO",IF(AA6240&lt;&gt;"","ACTUALIZADO POR EYR","SIN REPORTE EYR")))</f>
        <v/>
      </c>
    </row>
    <row r="6241" spans="11:30" x14ac:dyDescent="0.3">
      <c r="K6241" s="1" t="str">
        <f ca="1">IF(A6241="","",IF(OR(L6241="ENTREGADA",L6241="RETORNADA",L6241="ENTREGA DIGITAL"),0,MAX(0,5-NETWORKDAYS(H6241+1,TODAY()))))</f>
        <v/>
      </c>
      <c r="L6241" t="str">
        <f>IF(A6241="","",IFERROR(LOOKUP(2,1/(#REF!=Z6241),#REF!),Y6241))</f>
        <v/>
      </c>
      <c r="Z6241" t="str">
        <f>IF(A6241="","",TEXT(A6241,"0")&amp;"|"&amp;TEXT(H6241,"0"))</f>
        <v/>
      </c>
      <c r="AA6241" t="str">
        <f>IF(Z6241="","",IFERROR(LOOKUP(2,1/(#REF!=Z6241),#REF!),""))</f>
        <v/>
      </c>
      <c r="AB6241" t="str">
        <f>IF(Z6241="","",IFERROR(LOOKUP(2,1/(#REF!=Z6241),#REF!),""))</f>
        <v/>
      </c>
      <c r="AC6241" t="str">
        <f>IF(Z6241="","",COUNTIF(#REF!,Z6241))</f>
        <v/>
      </c>
      <c r="AD6241" t="str">
        <f>IF(A6241="","",IF(AC6241&gt;1,"REVISAR DUPLICADO",IF(AA6241&lt;&gt;"","ACTUALIZADO POR EYR","SIN REPORTE EYR")))</f>
        <v/>
      </c>
    </row>
    <row r="6242" spans="11:30" x14ac:dyDescent="0.3">
      <c r="K6242" s="1" t="str">
        <f ca="1">IF(A6242="","",IF(OR(L6242="ENTREGADA",L6242="RETORNADA",L6242="ENTREGA DIGITAL"),0,MAX(0,5-NETWORKDAYS(H6242+1,TODAY()))))</f>
        <v/>
      </c>
      <c r="L6242" t="str">
        <f>IF(A6242="","",IFERROR(LOOKUP(2,1/(#REF!=Z6242),#REF!),Y6242))</f>
        <v/>
      </c>
      <c r="Z6242" t="str">
        <f>IF(A6242="","",TEXT(A6242,"0")&amp;"|"&amp;TEXT(H6242,"0"))</f>
        <v/>
      </c>
      <c r="AA6242" t="str">
        <f>IF(Z6242="","",IFERROR(LOOKUP(2,1/(#REF!=Z6242),#REF!),""))</f>
        <v/>
      </c>
      <c r="AB6242" t="str">
        <f>IF(Z6242="","",IFERROR(LOOKUP(2,1/(#REF!=Z6242),#REF!),""))</f>
        <v/>
      </c>
      <c r="AC6242" t="str">
        <f>IF(Z6242="","",COUNTIF(#REF!,Z6242))</f>
        <v/>
      </c>
      <c r="AD6242" t="str">
        <f>IF(A6242="","",IF(AC6242&gt;1,"REVISAR DUPLICADO",IF(AA6242&lt;&gt;"","ACTUALIZADO POR EYR","SIN REPORTE EYR")))</f>
        <v/>
      </c>
    </row>
    <row r="6243" spans="11:30" x14ac:dyDescent="0.3">
      <c r="K6243" s="1" t="str">
        <f ca="1">IF(A6243="","",IF(OR(L6243="ENTREGADA",L6243="RETORNADA",L6243="ENTREGA DIGITAL"),0,MAX(0,5-NETWORKDAYS(H6243+1,TODAY()))))</f>
        <v/>
      </c>
      <c r="L6243" t="str">
        <f>IF(A6243="","",IFERROR(LOOKUP(2,1/(#REF!=Z6243),#REF!),Y6243))</f>
        <v/>
      </c>
      <c r="Z6243" t="str">
        <f>IF(A6243="","",TEXT(A6243,"0")&amp;"|"&amp;TEXT(H6243,"0"))</f>
        <v/>
      </c>
      <c r="AA6243" t="str">
        <f>IF(Z6243="","",IFERROR(LOOKUP(2,1/(#REF!=Z6243),#REF!),""))</f>
        <v/>
      </c>
      <c r="AB6243" t="str">
        <f>IF(Z6243="","",IFERROR(LOOKUP(2,1/(#REF!=Z6243),#REF!),""))</f>
        <v/>
      </c>
      <c r="AC6243" t="str">
        <f>IF(Z6243="","",COUNTIF(#REF!,Z6243))</f>
        <v/>
      </c>
      <c r="AD6243" t="str">
        <f>IF(A6243="","",IF(AC6243&gt;1,"REVISAR DUPLICADO",IF(AA6243&lt;&gt;"","ACTUALIZADO POR EYR","SIN REPORTE EYR")))</f>
        <v/>
      </c>
    </row>
    <row r="6244" spans="11:30" x14ac:dyDescent="0.3">
      <c r="K6244" s="1" t="str">
        <f ca="1">IF(A6244="","",IF(OR(L6244="ENTREGADA",L6244="RETORNADA",L6244="ENTREGA DIGITAL"),0,MAX(0,5-NETWORKDAYS(H6244+1,TODAY()))))</f>
        <v/>
      </c>
      <c r="L6244" t="str">
        <f>IF(A6244="","",IFERROR(LOOKUP(2,1/(#REF!=Z6244),#REF!),Y6244))</f>
        <v/>
      </c>
      <c r="Z6244" t="str">
        <f>IF(A6244="","",TEXT(A6244,"0")&amp;"|"&amp;TEXT(H6244,"0"))</f>
        <v/>
      </c>
      <c r="AA6244" t="str">
        <f>IF(Z6244="","",IFERROR(LOOKUP(2,1/(#REF!=Z6244),#REF!),""))</f>
        <v/>
      </c>
      <c r="AB6244" t="str">
        <f>IF(Z6244="","",IFERROR(LOOKUP(2,1/(#REF!=Z6244),#REF!),""))</f>
        <v/>
      </c>
      <c r="AC6244" t="str">
        <f>IF(Z6244="","",COUNTIF(#REF!,Z6244))</f>
        <v/>
      </c>
      <c r="AD6244" t="str">
        <f>IF(A6244="","",IF(AC6244&gt;1,"REVISAR DUPLICADO",IF(AA6244&lt;&gt;"","ACTUALIZADO POR EYR","SIN REPORTE EYR")))</f>
        <v/>
      </c>
    </row>
    <row r="6245" spans="11:30" x14ac:dyDescent="0.3">
      <c r="K6245" s="1" t="str">
        <f ca="1">IF(A6245="","",IF(OR(L6245="ENTREGADA",L6245="RETORNADA",L6245="ENTREGA DIGITAL"),0,MAX(0,5-NETWORKDAYS(H6245+1,TODAY()))))</f>
        <v/>
      </c>
      <c r="L6245" t="str">
        <f>IF(A6245="","",IFERROR(LOOKUP(2,1/(#REF!=Z6245),#REF!),Y6245))</f>
        <v/>
      </c>
      <c r="Z6245" t="str">
        <f>IF(A6245="","",TEXT(A6245,"0")&amp;"|"&amp;TEXT(H6245,"0"))</f>
        <v/>
      </c>
      <c r="AA6245" t="str">
        <f>IF(Z6245="","",IFERROR(LOOKUP(2,1/(#REF!=Z6245),#REF!),""))</f>
        <v/>
      </c>
      <c r="AB6245" t="str">
        <f>IF(Z6245="","",IFERROR(LOOKUP(2,1/(#REF!=Z6245),#REF!),""))</f>
        <v/>
      </c>
      <c r="AC6245" t="str">
        <f>IF(Z6245="","",COUNTIF(#REF!,Z6245))</f>
        <v/>
      </c>
      <c r="AD6245" t="str">
        <f>IF(A6245="","",IF(AC6245&gt;1,"REVISAR DUPLICADO",IF(AA6245&lt;&gt;"","ACTUALIZADO POR EYR","SIN REPORTE EYR")))</f>
        <v/>
      </c>
    </row>
    <row r="6246" spans="11:30" x14ac:dyDescent="0.3">
      <c r="K6246" s="1" t="str">
        <f ca="1">IF(A6246="","",IF(OR(L6246="ENTREGADA",L6246="RETORNADA",L6246="ENTREGA DIGITAL"),0,MAX(0,5-NETWORKDAYS(H6246+1,TODAY()))))</f>
        <v/>
      </c>
      <c r="L6246" t="str">
        <f>IF(A6246="","",IFERROR(LOOKUP(2,1/(#REF!=Z6246),#REF!),Y6246))</f>
        <v/>
      </c>
      <c r="Z6246" t="str">
        <f>IF(A6246="","",TEXT(A6246,"0")&amp;"|"&amp;TEXT(H6246,"0"))</f>
        <v/>
      </c>
      <c r="AA6246" t="str">
        <f>IF(Z6246="","",IFERROR(LOOKUP(2,1/(#REF!=Z6246),#REF!),""))</f>
        <v/>
      </c>
      <c r="AB6246" t="str">
        <f>IF(Z6246="","",IFERROR(LOOKUP(2,1/(#REF!=Z6246),#REF!),""))</f>
        <v/>
      </c>
      <c r="AC6246" t="str">
        <f>IF(Z6246="","",COUNTIF(#REF!,Z6246))</f>
        <v/>
      </c>
      <c r="AD6246" t="str">
        <f>IF(A6246="","",IF(AC6246&gt;1,"REVISAR DUPLICADO",IF(AA6246&lt;&gt;"","ACTUALIZADO POR EYR","SIN REPORTE EYR")))</f>
        <v/>
      </c>
    </row>
    <row r="6247" spans="11:30" x14ac:dyDescent="0.3">
      <c r="K6247" s="1" t="str">
        <f ca="1">IF(A6247="","",IF(OR(L6247="ENTREGADA",L6247="RETORNADA",L6247="ENTREGA DIGITAL"),0,MAX(0,5-NETWORKDAYS(H6247+1,TODAY()))))</f>
        <v/>
      </c>
      <c r="L6247" t="str">
        <f>IF(A6247="","",IFERROR(LOOKUP(2,1/(#REF!=Z6247),#REF!),Y6247))</f>
        <v/>
      </c>
      <c r="Z6247" t="str">
        <f>IF(A6247="","",TEXT(A6247,"0")&amp;"|"&amp;TEXT(H6247,"0"))</f>
        <v/>
      </c>
      <c r="AA6247" t="str">
        <f>IF(Z6247="","",IFERROR(LOOKUP(2,1/(#REF!=Z6247),#REF!),""))</f>
        <v/>
      </c>
      <c r="AB6247" t="str">
        <f>IF(Z6247="","",IFERROR(LOOKUP(2,1/(#REF!=Z6247),#REF!),""))</f>
        <v/>
      </c>
      <c r="AC6247" t="str">
        <f>IF(Z6247="","",COUNTIF(#REF!,Z6247))</f>
        <v/>
      </c>
      <c r="AD6247" t="str">
        <f>IF(A6247="","",IF(AC6247&gt;1,"REVISAR DUPLICADO",IF(AA6247&lt;&gt;"","ACTUALIZADO POR EYR","SIN REPORTE EYR")))</f>
        <v/>
      </c>
    </row>
    <row r="6248" spans="11:30" x14ac:dyDescent="0.3">
      <c r="K6248" s="1" t="str">
        <f ca="1">IF(A6248="","",IF(OR(L6248="ENTREGADA",L6248="RETORNADA",L6248="ENTREGA DIGITAL"),0,MAX(0,5-NETWORKDAYS(H6248+1,TODAY()))))</f>
        <v/>
      </c>
      <c r="L6248" t="str">
        <f>IF(A6248="","",IFERROR(LOOKUP(2,1/(#REF!=Z6248),#REF!),Y6248))</f>
        <v/>
      </c>
      <c r="Z6248" t="str">
        <f>IF(A6248="","",TEXT(A6248,"0")&amp;"|"&amp;TEXT(H6248,"0"))</f>
        <v/>
      </c>
      <c r="AA6248" t="str">
        <f>IF(Z6248="","",IFERROR(LOOKUP(2,1/(#REF!=Z6248),#REF!),""))</f>
        <v/>
      </c>
      <c r="AB6248" t="str">
        <f>IF(Z6248="","",IFERROR(LOOKUP(2,1/(#REF!=Z6248),#REF!),""))</f>
        <v/>
      </c>
      <c r="AC6248" t="str">
        <f>IF(Z6248="","",COUNTIF(#REF!,Z6248))</f>
        <v/>
      </c>
      <c r="AD6248" t="str">
        <f>IF(A6248="","",IF(AC6248&gt;1,"REVISAR DUPLICADO",IF(AA6248&lt;&gt;"","ACTUALIZADO POR EYR","SIN REPORTE EYR")))</f>
        <v/>
      </c>
    </row>
    <row r="6249" spans="11:30" x14ac:dyDescent="0.3">
      <c r="K6249" s="1" t="str">
        <f ca="1">IF(A6249="","",IF(OR(L6249="ENTREGADA",L6249="RETORNADA",L6249="ENTREGA DIGITAL"),0,MAX(0,5-NETWORKDAYS(H6249+1,TODAY()))))</f>
        <v/>
      </c>
      <c r="L6249" t="str">
        <f>IF(A6249="","",IFERROR(LOOKUP(2,1/(#REF!=Z6249),#REF!),Y6249))</f>
        <v/>
      </c>
      <c r="Z6249" t="str">
        <f>IF(A6249="","",TEXT(A6249,"0")&amp;"|"&amp;TEXT(H6249,"0"))</f>
        <v/>
      </c>
      <c r="AA6249" t="str">
        <f>IF(Z6249="","",IFERROR(LOOKUP(2,1/(#REF!=Z6249),#REF!),""))</f>
        <v/>
      </c>
      <c r="AB6249" t="str">
        <f>IF(Z6249="","",IFERROR(LOOKUP(2,1/(#REF!=Z6249),#REF!),""))</f>
        <v/>
      </c>
      <c r="AC6249" t="str">
        <f>IF(Z6249="","",COUNTIF(#REF!,Z6249))</f>
        <v/>
      </c>
      <c r="AD6249" t="str">
        <f>IF(A6249="","",IF(AC6249&gt;1,"REVISAR DUPLICADO",IF(AA6249&lt;&gt;"","ACTUALIZADO POR EYR","SIN REPORTE EYR")))</f>
        <v/>
      </c>
    </row>
    <row r="6250" spans="11:30" x14ac:dyDescent="0.3">
      <c r="K6250" s="1" t="str">
        <f ca="1">IF(A6250="","",IF(OR(L6250="ENTREGADA",L6250="RETORNADA",L6250="ENTREGA DIGITAL"),0,MAX(0,5-NETWORKDAYS(H6250+1,TODAY()))))</f>
        <v/>
      </c>
      <c r="L6250" t="str">
        <f>IF(A6250="","",IFERROR(LOOKUP(2,1/(#REF!=Z6250),#REF!),Y6250))</f>
        <v/>
      </c>
      <c r="Z6250" t="str">
        <f>IF(A6250="","",TEXT(A6250,"0")&amp;"|"&amp;TEXT(H6250,"0"))</f>
        <v/>
      </c>
      <c r="AA6250" t="str">
        <f>IF(Z6250="","",IFERROR(LOOKUP(2,1/(#REF!=Z6250),#REF!),""))</f>
        <v/>
      </c>
      <c r="AB6250" t="str">
        <f>IF(Z6250="","",IFERROR(LOOKUP(2,1/(#REF!=Z6250),#REF!),""))</f>
        <v/>
      </c>
      <c r="AC6250" t="str">
        <f>IF(Z6250="","",COUNTIF(#REF!,Z6250))</f>
        <v/>
      </c>
      <c r="AD6250" t="str">
        <f>IF(A6250="","",IF(AC6250&gt;1,"REVISAR DUPLICADO",IF(AA6250&lt;&gt;"","ACTUALIZADO POR EYR","SIN REPORTE EYR")))</f>
        <v/>
      </c>
    </row>
    <row r="6251" spans="11:30" x14ac:dyDescent="0.3">
      <c r="K6251" s="1" t="str">
        <f ca="1">IF(A6251="","",IF(OR(L6251="ENTREGADA",L6251="RETORNADA",L6251="ENTREGA DIGITAL"),0,MAX(0,5-NETWORKDAYS(H6251+1,TODAY()))))</f>
        <v/>
      </c>
      <c r="L6251" t="str">
        <f>IF(A6251="","",IFERROR(LOOKUP(2,1/(#REF!=Z6251),#REF!),Y6251))</f>
        <v/>
      </c>
      <c r="Z6251" t="str">
        <f>IF(A6251="","",TEXT(A6251,"0")&amp;"|"&amp;TEXT(H6251,"0"))</f>
        <v/>
      </c>
      <c r="AA6251" t="str">
        <f>IF(Z6251="","",IFERROR(LOOKUP(2,1/(#REF!=Z6251),#REF!),""))</f>
        <v/>
      </c>
      <c r="AB6251" t="str">
        <f>IF(Z6251="","",IFERROR(LOOKUP(2,1/(#REF!=Z6251),#REF!),""))</f>
        <v/>
      </c>
      <c r="AC6251" t="str">
        <f>IF(Z6251="","",COUNTIF(#REF!,Z6251))</f>
        <v/>
      </c>
      <c r="AD6251" t="str">
        <f>IF(A6251="","",IF(AC6251&gt;1,"REVISAR DUPLICADO",IF(AA6251&lt;&gt;"","ACTUALIZADO POR EYR","SIN REPORTE EYR")))</f>
        <v/>
      </c>
    </row>
    <row r="6252" spans="11:30" x14ac:dyDescent="0.3">
      <c r="K6252" s="1" t="str">
        <f ca="1">IF(A6252="","",IF(OR(L6252="ENTREGADA",L6252="RETORNADA",L6252="ENTREGA DIGITAL"),0,MAX(0,5-NETWORKDAYS(H6252+1,TODAY()))))</f>
        <v/>
      </c>
      <c r="L6252" t="str">
        <f>IF(A6252="","",IFERROR(LOOKUP(2,1/(#REF!=Z6252),#REF!),Y6252))</f>
        <v/>
      </c>
      <c r="Z6252" t="str">
        <f>IF(A6252="","",TEXT(A6252,"0")&amp;"|"&amp;TEXT(H6252,"0"))</f>
        <v/>
      </c>
      <c r="AA6252" t="str">
        <f>IF(Z6252="","",IFERROR(LOOKUP(2,1/(#REF!=Z6252),#REF!),""))</f>
        <v/>
      </c>
      <c r="AB6252" t="str">
        <f>IF(Z6252="","",IFERROR(LOOKUP(2,1/(#REF!=Z6252),#REF!),""))</f>
        <v/>
      </c>
      <c r="AC6252" t="str">
        <f>IF(Z6252="","",COUNTIF(#REF!,Z6252))</f>
        <v/>
      </c>
      <c r="AD6252" t="str">
        <f>IF(A6252="","",IF(AC6252&gt;1,"REVISAR DUPLICADO",IF(AA6252&lt;&gt;"","ACTUALIZADO POR EYR","SIN REPORTE EYR")))</f>
        <v/>
      </c>
    </row>
    <row r="6253" spans="11:30" x14ac:dyDescent="0.3">
      <c r="K6253" s="1" t="str">
        <f ca="1">IF(A6253="","",IF(OR(L6253="ENTREGADA",L6253="RETORNADA",L6253="ENTREGA DIGITAL"),0,MAX(0,5-NETWORKDAYS(H6253+1,TODAY()))))</f>
        <v/>
      </c>
      <c r="L6253" t="str">
        <f>IF(A6253="","",IFERROR(LOOKUP(2,1/(#REF!=Z6253),#REF!),Y6253))</f>
        <v/>
      </c>
      <c r="Z6253" t="str">
        <f>IF(A6253="","",TEXT(A6253,"0")&amp;"|"&amp;TEXT(H6253,"0"))</f>
        <v/>
      </c>
      <c r="AA6253" t="str">
        <f>IF(Z6253="","",IFERROR(LOOKUP(2,1/(#REF!=Z6253),#REF!),""))</f>
        <v/>
      </c>
      <c r="AB6253" t="str">
        <f>IF(Z6253="","",IFERROR(LOOKUP(2,1/(#REF!=Z6253),#REF!),""))</f>
        <v/>
      </c>
      <c r="AC6253" t="str">
        <f>IF(Z6253="","",COUNTIF(#REF!,Z6253))</f>
        <v/>
      </c>
      <c r="AD6253" t="str">
        <f>IF(A6253="","",IF(AC6253&gt;1,"REVISAR DUPLICADO",IF(AA6253&lt;&gt;"","ACTUALIZADO POR EYR","SIN REPORTE EYR")))</f>
        <v/>
      </c>
    </row>
    <row r="6254" spans="11:30" x14ac:dyDescent="0.3">
      <c r="K6254" s="1" t="str">
        <f ca="1">IF(A6254="","",IF(OR(L6254="ENTREGADA",L6254="RETORNADA",L6254="ENTREGA DIGITAL"),0,MAX(0,5-NETWORKDAYS(H6254+1,TODAY()))))</f>
        <v/>
      </c>
      <c r="L6254" t="str">
        <f>IF(A6254="","",IFERROR(LOOKUP(2,1/(#REF!=Z6254),#REF!),Y6254))</f>
        <v/>
      </c>
      <c r="Z6254" t="str">
        <f>IF(A6254="","",TEXT(A6254,"0")&amp;"|"&amp;TEXT(H6254,"0"))</f>
        <v/>
      </c>
      <c r="AA6254" t="str">
        <f>IF(Z6254="","",IFERROR(LOOKUP(2,1/(#REF!=Z6254),#REF!),""))</f>
        <v/>
      </c>
      <c r="AB6254" t="str">
        <f>IF(Z6254="","",IFERROR(LOOKUP(2,1/(#REF!=Z6254),#REF!),""))</f>
        <v/>
      </c>
      <c r="AC6254" t="str">
        <f>IF(Z6254="","",COUNTIF(#REF!,Z6254))</f>
        <v/>
      </c>
      <c r="AD6254" t="str">
        <f>IF(A6254="","",IF(AC6254&gt;1,"REVISAR DUPLICADO",IF(AA6254&lt;&gt;"","ACTUALIZADO POR EYR","SIN REPORTE EYR")))</f>
        <v/>
      </c>
    </row>
    <row r="6255" spans="11:30" x14ac:dyDescent="0.3">
      <c r="K6255" s="1" t="str">
        <f ca="1">IF(A6255="","",IF(OR(L6255="ENTREGADA",L6255="RETORNADA",L6255="ENTREGA DIGITAL"),0,MAX(0,5-NETWORKDAYS(H6255+1,TODAY()))))</f>
        <v/>
      </c>
      <c r="L6255" t="str">
        <f>IF(A6255="","",IFERROR(LOOKUP(2,1/(#REF!=Z6255),#REF!),Y6255))</f>
        <v/>
      </c>
      <c r="Z6255" t="str">
        <f>IF(A6255="","",TEXT(A6255,"0")&amp;"|"&amp;TEXT(H6255,"0"))</f>
        <v/>
      </c>
      <c r="AA6255" t="str">
        <f>IF(Z6255="","",IFERROR(LOOKUP(2,1/(#REF!=Z6255),#REF!),""))</f>
        <v/>
      </c>
      <c r="AB6255" t="str">
        <f>IF(Z6255="","",IFERROR(LOOKUP(2,1/(#REF!=Z6255),#REF!),""))</f>
        <v/>
      </c>
      <c r="AC6255" t="str">
        <f>IF(Z6255="","",COUNTIF(#REF!,Z6255))</f>
        <v/>
      </c>
      <c r="AD6255" t="str">
        <f>IF(A6255="","",IF(AC6255&gt;1,"REVISAR DUPLICADO",IF(AA6255&lt;&gt;"","ACTUALIZADO POR EYR","SIN REPORTE EYR")))</f>
        <v/>
      </c>
    </row>
    <row r="6256" spans="11:30" x14ac:dyDescent="0.3">
      <c r="K6256" s="1" t="str">
        <f ca="1">IF(A6256="","",IF(OR(L6256="ENTREGADA",L6256="RETORNADA",L6256="ENTREGA DIGITAL"),0,MAX(0,5-NETWORKDAYS(H6256+1,TODAY()))))</f>
        <v/>
      </c>
      <c r="L6256" t="str">
        <f>IF(A6256="","",IFERROR(LOOKUP(2,1/(#REF!=Z6256),#REF!),Y6256))</f>
        <v/>
      </c>
      <c r="Z6256" t="str">
        <f>IF(A6256="","",TEXT(A6256,"0")&amp;"|"&amp;TEXT(H6256,"0"))</f>
        <v/>
      </c>
      <c r="AA6256" t="str">
        <f>IF(Z6256="","",IFERROR(LOOKUP(2,1/(#REF!=Z6256),#REF!),""))</f>
        <v/>
      </c>
      <c r="AB6256" t="str">
        <f>IF(Z6256="","",IFERROR(LOOKUP(2,1/(#REF!=Z6256),#REF!),""))</f>
        <v/>
      </c>
      <c r="AC6256" t="str">
        <f>IF(Z6256="","",COUNTIF(#REF!,Z6256))</f>
        <v/>
      </c>
      <c r="AD6256" t="str">
        <f>IF(A6256="","",IF(AC6256&gt;1,"REVISAR DUPLICADO",IF(AA6256&lt;&gt;"","ACTUALIZADO POR EYR","SIN REPORTE EYR")))</f>
        <v/>
      </c>
    </row>
    <row r="6257" spans="11:30" x14ac:dyDescent="0.3">
      <c r="K6257" s="1" t="str">
        <f ca="1">IF(A6257="","",IF(OR(L6257="ENTREGADA",L6257="RETORNADA",L6257="ENTREGA DIGITAL"),0,MAX(0,5-NETWORKDAYS(H6257+1,TODAY()))))</f>
        <v/>
      </c>
      <c r="L6257" t="str">
        <f>IF(A6257="","",IFERROR(LOOKUP(2,1/(#REF!=Z6257),#REF!),Y6257))</f>
        <v/>
      </c>
      <c r="Z6257" t="str">
        <f>IF(A6257="","",TEXT(A6257,"0")&amp;"|"&amp;TEXT(H6257,"0"))</f>
        <v/>
      </c>
      <c r="AA6257" t="str">
        <f>IF(Z6257="","",IFERROR(LOOKUP(2,1/(#REF!=Z6257),#REF!),""))</f>
        <v/>
      </c>
      <c r="AB6257" t="str">
        <f>IF(Z6257="","",IFERROR(LOOKUP(2,1/(#REF!=Z6257),#REF!),""))</f>
        <v/>
      </c>
      <c r="AC6257" t="str">
        <f>IF(Z6257="","",COUNTIF(#REF!,Z6257))</f>
        <v/>
      </c>
      <c r="AD6257" t="str">
        <f>IF(A6257="","",IF(AC6257&gt;1,"REVISAR DUPLICADO",IF(AA6257&lt;&gt;"","ACTUALIZADO POR EYR","SIN REPORTE EYR")))</f>
        <v/>
      </c>
    </row>
    <row r="6258" spans="11:30" x14ac:dyDescent="0.3">
      <c r="K6258" s="1" t="str">
        <f ca="1">IF(A6258="","",IF(OR(L6258="ENTREGADA",L6258="RETORNADA",L6258="ENTREGA DIGITAL"),0,MAX(0,5-NETWORKDAYS(H6258+1,TODAY()))))</f>
        <v/>
      </c>
      <c r="L6258" t="str">
        <f>IF(A6258="","",IFERROR(LOOKUP(2,1/(#REF!=Z6258),#REF!),Y6258))</f>
        <v/>
      </c>
      <c r="Z6258" t="str">
        <f>IF(A6258="","",TEXT(A6258,"0")&amp;"|"&amp;TEXT(H6258,"0"))</f>
        <v/>
      </c>
      <c r="AA6258" t="str">
        <f>IF(Z6258="","",IFERROR(LOOKUP(2,1/(#REF!=Z6258),#REF!),""))</f>
        <v/>
      </c>
      <c r="AB6258" t="str">
        <f>IF(Z6258="","",IFERROR(LOOKUP(2,1/(#REF!=Z6258),#REF!),""))</f>
        <v/>
      </c>
      <c r="AC6258" t="str">
        <f>IF(Z6258="","",COUNTIF(#REF!,Z6258))</f>
        <v/>
      </c>
      <c r="AD6258" t="str">
        <f>IF(A6258="","",IF(AC6258&gt;1,"REVISAR DUPLICADO",IF(AA6258&lt;&gt;"","ACTUALIZADO POR EYR","SIN REPORTE EYR")))</f>
        <v/>
      </c>
    </row>
    <row r="6259" spans="11:30" x14ac:dyDescent="0.3">
      <c r="K6259" s="1" t="str">
        <f ca="1">IF(A6259="","",IF(OR(L6259="ENTREGADA",L6259="RETORNADA",L6259="ENTREGA DIGITAL"),0,MAX(0,5-NETWORKDAYS(H6259+1,TODAY()))))</f>
        <v/>
      </c>
      <c r="L6259" t="str">
        <f>IF(A6259="","",IFERROR(LOOKUP(2,1/(#REF!=Z6259),#REF!),Y6259))</f>
        <v/>
      </c>
      <c r="Z6259" t="str">
        <f>IF(A6259="","",TEXT(A6259,"0")&amp;"|"&amp;TEXT(H6259,"0"))</f>
        <v/>
      </c>
      <c r="AA6259" t="str">
        <f>IF(Z6259="","",IFERROR(LOOKUP(2,1/(#REF!=Z6259),#REF!),""))</f>
        <v/>
      </c>
      <c r="AB6259" t="str">
        <f>IF(Z6259="","",IFERROR(LOOKUP(2,1/(#REF!=Z6259),#REF!),""))</f>
        <v/>
      </c>
      <c r="AC6259" t="str">
        <f>IF(Z6259="","",COUNTIF(#REF!,Z6259))</f>
        <v/>
      </c>
      <c r="AD6259" t="str">
        <f>IF(A6259="","",IF(AC6259&gt;1,"REVISAR DUPLICADO",IF(AA6259&lt;&gt;"","ACTUALIZADO POR EYR","SIN REPORTE EYR")))</f>
        <v/>
      </c>
    </row>
    <row r="6260" spans="11:30" x14ac:dyDescent="0.3">
      <c r="K6260" s="1" t="str">
        <f ca="1">IF(A6260="","",IF(OR(L6260="ENTREGADA",L6260="RETORNADA",L6260="ENTREGA DIGITAL"),0,MAX(0,5-NETWORKDAYS(H6260+1,TODAY()))))</f>
        <v/>
      </c>
      <c r="L6260" t="str">
        <f>IF(A6260="","",IFERROR(LOOKUP(2,1/(#REF!=Z6260),#REF!),Y6260))</f>
        <v/>
      </c>
      <c r="Z6260" t="str">
        <f>IF(A6260="","",TEXT(A6260,"0")&amp;"|"&amp;TEXT(H6260,"0"))</f>
        <v/>
      </c>
      <c r="AA6260" t="str">
        <f>IF(Z6260="","",IFERROR(LOOKUP(2,1/(#REF!=Z6260),#REF!),""))</f>
        <v/>
      </c>
      <c r="AB6260" t="str">
        <f>IF(Z6260="","",IFERROR(LOOKUP(2,1/(#REF!=Z6260),#REF!),""))</f>
        <v/>
      </c>
      <c r="AC6260" t="str">
        <f>IF(Z6260="","",COUNTIF(#REF!,Z6260))</f>
        <v/>
      </c>
      <c r="AD6260" t="str">
        <f>IF(A6260="","",IF(AC6260&gt;1,"REVISAR DUPLICADO",IF(AA6260&lt;&gt;"","ACTUALIZADO POR EYR","SIN REPORTE EYR")))</f>
        <v/>
      </c>
    </row>
    <row r="6261" spans="11:30" x14ac:dyDescent="0.3">
      <c r="K6261" s="1" t="str">
        <f ca="1">IF(A6261="","",IF(OR(L6261="ENTREGADA",L6261="RETORNADA",L6261="ENTREGA DIGITAL"),0,MAX(0,5-NETWORKDAYS(H6261+1,TODAY()))))</f>
        <v/>
      </c>
      <c r="L6261" t="str">
        <f>IF(A6261="","",IFERROR(LOOKUP(2,1/(#REF!=Z6261),#REF!),Y6261))</f>
        <v/>
      </c>
      <c r="Z6261" t="str">
        <f>IF(A6261="","",TEXT(A6261,"0")&amp;"|"&amp;TEXT(H6261,"0"))</f>
        <v/>
      </c>
      <c r="AA6261" t="str">
        <f>IF(Z6261="","",IFERROR(LOOKUP(2,1/(#REF!=Z6261),#REF!),""))</f>
        <v/>
      </c>
      <c r="AB6261" t="str">
        <f>IF(Z6261="","",IFERROR(LOOKUP(2,1/(#REF!=Z6261),#REF!),""))</f>
        <v/>
      </c>
      <c r="AC6261" t="str">
        <f>IF(Z6261="","",COUNTIF(#REF!,Z6261))</f>
        <v/>
      </c>
      <c r="AD6261" t="str">
        <f>IF(A6261="","",IF(AC6261&gt;1,"REVISAR DUPLICADO",IF(AA6261&lt;&gt;"","ACTUALIZADO POR EYR","SIN REPORTE EYR")))</f>
        <v/>
      </c>
    </row>
    <row r="6262" spans="11:30" x14ac:dyDescent="0.3">
      <c r="K6262" s="1" t="str">
        <f ca="1">IF(A6262="","",IF(OR(L6262="ENTREGADA",L6262="RETORNADA",L6262="ENTREGA DIGITAL"),0,MAX(0,5-NETWORKDAYS(H6262+1,TODAY()))))</f>
        <v/>
      </c>
      <c r="L6262" t="str">
        <f>IF(A6262="","",IFERROR(LOOKUP(2,1/(#REF!=Z6262),#REF!),Y6262))</f>
        <v/>
      </c>
      <c r="Z6262" t="str">
        <f>IF(A6262="","",TEXT(A6262,"0")&amp;"|"&amp;TEXT(H6262,"0"))</f>
        <v/>
      </c>
      <c r="AA6262" t="str">
        <f>IF(Z6262="","",IFERROR(LOOKUP(2,1/(#REF!=Z6262),#REF!),""))</f>
        <v/>
      </c>
      <c r="AB6262" t="str">
        <f>IF(Z6262="","",IFERROR(LOOKUP(2,1/(#REF!=Z6262),#REF!),""))</f>
        <v/>
      </c>
      <c r="AC6262" t="str">
        <f>IF(Z6262="","",COUNTIF(#REF!,Z6262))</f>
        <v/>
      </c>
      <c r="AD6262" t="str">
        <f>IF(A6262="","",IF(AC6262&gt;1,"REVISAR DUPLICADO",IF(AA6262&lt;&gt;"","ACTUALIZADO POR EYR","SIN REPORTE EYR")))</f>
        <v/>
      </c>
    </row>
    <row r="6263" spans="11:30" x14ac:dyDescent="0.3">
      <c r="K6263" s="1" t="str">
        <f ca="1">IF(A6263="","",IF(OR(L6263="ENTREGADA",L6263="RETORNADA",L6263="ENTREGA DIGITAL"),0,MAX(0,5-NETWORKDAYS(H6263+1,TODAY()))))</f>
        <v/>
      </c>
      <c r="L6263" t="str">
        <f>IF(A6263="","",IFERROR(LOOKUP(2,1/(#REF!=Z6263),#REF!),Y6263))</f>
        <v/>
      </c>
      <c r="Z6263" t="str">
        <f>IF(A6263="","",TEXT(A6263,"0")&amp;"|"&amp;TEXT(H6263,"0"))</f>
        <v/>
      </c>
      <c r="AA6263" t="str">
        <f>IF(Z6263="","",IFERROR(LOOKUP(2,1/(#REF!=Z6263),#REF!),""))</f>
        <v/>
      </c>
      <c r="AB6263" t="str">
        <f>IF(Z6263="","",IFERROR(LOOKUP(2,1/(#REF!=Z6263),#REF!),""))</f>
        <v/>
      </c>
      <c r="AC6263" t="str">
        <f>IF(Z6263="","",COUNTIF(#REF!,Z6263))</f>
        <v/>
      </c>
      <c r="AD6263" t="str">
        <f>IF(A6263="","",IF(AC6263&gt;1,"REVISAR DUPLICADO",IF(AA6263&lt;&gt;"","ACTUALIZADO POR EYR","SIN REPORTE EYR")))</f>
        <v/>
      </c>
    </row>
    <row r="6264" spans="11:30" x14ac:dyDescent="0.3">
      <c r="K6264" s="1" t="str">
        <f ca="1">IF(A6264="","",IF(OR(L6264="ENTREGADA",L6264="RETORNADA",L6264="ENTREGA DIGITAL"),0,MAX(0,5-NETWORKDAYS(H6264+1,TODAY()))))</f>
        <v/>
      </c>
      <c r="L6264" t="str">
        <f>IF(A6264="","",IFERROR(LOOKUP(2,1/(#REF!=Z6264),#REF!),Y6264))</f>
        <v/>
      </c>
      <c r="Z6264" t="str">
        <f>IF(A6264="","",TEXT(A6264,"0")&amp;"|"&amp;TEXT(H6264,"0"))</f>
        <v/>
      </c>
      <c r="AA6264" t="str">
        <f>IF(Z6264="","",IFERROR(LOOKUP(2,1/(#REF!=Z6264),#REF!),""))</f>
        <v/>
      </c>
      <c r="AB6264" t="str">
        <f>IF(Z6264="","",IFERROR(LOOKUP(2,1/(#REF!=Z6264),#REF!),""))</f>
        <v/>
      </c>
      <c r="AC6264" t="str">
        <f>IF(Z6264="","",COUNTIF(#REF!,Z6264))</f>
        <v/>
      </c>
      <c r="AD6264" t="str">
        <f>IF(A6264="","",IF(AC6264&gt;1,"REVISAR DUPLICADO",IF(AA6264&lt;&gt;"","ACTUALIZADO POR EYR","SIN REPORTE EYR")))</f>
        <v/>
      </c>
    </row>
    <row r="6265" spans="11:30" x14ac:dyDescent="0.3">
      <c r="K6265" s="1" t="str">
        <f ca="1">IF(A6265="","",IF(OR(L6265="ENTREGADA",L6265="RETORNADA",L6265="ENTREGA DIGITAL"),0,MAX(0,5-NETWORKDAYS(H6265+1,TODAY()))))</f>
        <v/>
      </c>
      <c r="L6265" t="str">
        <f>IF(A6265="","",IFERROR(LOOKUP(2,1/(#REF!=Z6265),#REF!),Y6265))</f>
        <v/>
      </c>
      <c r="Z6265" t="str">
        <f>IF(A6265="","",TEXT(A6265,"0")&amp;"|"&amp;TEXT(H6265,"0"))</f>
        <v/>
      </c>
      <c r="AA6265" t="str">
        <f>IF(Z6265="","",IFERROR(LOOKUP(2,1/(#REF!=Z6265),#REF!),""))</f>
        <v/>
      </c>
      <c r="AB6265" t="str">
        <f>IF(Z6265="","",IFERROR(LOOKUP(2,1/(#REF!=Z6265),#REF!),""))</f>
        <v/>
      </c>
      <c r="AC6265" t="str">
        <f>IF(Z6265="","",COUNTIF(#REF!,Z6265))</f>
        <v/>
      </c>
      <c r="AD6265" t="str">
        <f>IF(A6265="","",IF(AC6265&gt;1,"REVISAR DUPLICADO",IF(AA6265&lt;&gt;"","ACTUALIZADO POR EYR","SIN REPORTE EYR")))</f>
        <v/>
      </c>
    </row>
    <row r="6266" spans="11:30" x14ac:dyDescent="0.3">
      <c r="K6266" s="1" t="str">
        <f ca="1">IF(A6266="","",IF(OR(L6266="ENTREGADA",L6266="RETORNADA",L6266="ENTREGA DIGITAL"),0,MAX(0,5-NETWORKDAYS(H6266+1,TODAY()))))</f>
        <v/>
      </c>
      <c r="L6266" t="str">
        <f>IF(A6266="","",IFERROR(LOOKUP(2,1/(#REF!=Z6266),#REF!),Y6266))</f>
        <v/>
      </c>
      <c r="Z6266" t="str">
        <f>IF(A6266="","",TEXT(A6266,"0")&amp;"|"&amp;TEXT(H6266,"0"))</f>
        <v/>
      </c>
      <c r="AA6266" t="str">
        <f>IF(Z6266="","",IFERROR(LOOKUP(2,1/(#REF!=Z6266),#REF!),""))</f>
        <v/>
      </c>
      <c r="AB6266" t="str">
        <f>IF(Z6266="","",IFERROR(LOOKUP(2,1/(#REF!=Z6266),#REF!),""))</f>
        <v/>
      </c>
      <c r="AC6266" t="str">
        <f>IF(Z6266="","",COUNTIF(#REF!,Z6266))</f>
        <v/>
      </c>
      <c r="AD6266" t="str">
        <f>IF(A6266="","",IF(AC6266&gt;1,"REVISAR DUPLICADO",IF(AA6266&lt;&gt;"","ACTUALIZADO POR EYR","SIN REPORTE EYR")))</f>
        <v/>
      </c>
    </row>
    <row r="6267" spans="11:30" x14ac:dyDescent="0.3">
      <c r="K6267" s="1" t="str">
        <f ca="1">IF(A6267="","",IF(OR(L6267="ENTREGADA",L6267="RETORNADA",L6267="ENTREGA DIGITAL"),0,MAX(0,5-NETWORKDAYS(H6267+1,TODAY()))))</f>
        <v/>
      </c>
      <c r="L6267" t="str">
        <f>IF(A6267="","",IFERROR(LOOKUP(2,1/(#REF!=Z6267),#REF!),Y6267))</f>
        <v/>
      </c>
      <c r="Z6267" t="str">
        <f>IF(A6267="","",TEXT(A6267,"0")&amp;"|"&amp;TEXT(H6267,"0"))</f>
        <v/>
      </c>
      <c r="AA6267" t="str">
        <f>IF(Z6267="","",IFERROR(LOOKUP(2,1/(#REF!=Z6267),#REF!),""))</f>
        <v/>
      </c>
      <c r="AB6267" t="str">
        <f>IF(Z6267="","",IFERROR(LOOKUP(2,1/(#REF!=Z6267),#REF!),""))</f>
        <v/>
      </c>
      <c r="AC6267" t="str">
        <f>IF(Z6267="","",COUNTIF(#REF!,Z6267))</f>
        <v/>
      </c>
      <c r="AD6267" t="str">
        <f>IF(A6267="","",IF(AC6267&gt;1,"REVISAR DUPLICADO",IF(AA6267&lt;&gt;"","ACTUALIZADO POR EYR","SIN REPORTE EYR")))</f>
        <v/>
      </c>
    </row>
    <row r="6268" spans="11:30" x14ac:dyDescent="0.3">
      <c r="K6268" s="1" t="str">
        <f ca="1">IF(A6268="","",IF(OR(L6268="ENTREGADA",L6268="RETORNADA",L6268="ENTREGA DIGITAL"),0,MAX(0,5-NETWORKDAYS(H6268+1,TODAY()))))</f>
        <v/>
      </c>
      <c r="L6268" t="str">
        <f>IF(A6268="","",IFERROR(LOOKUP(2,1/(#REF!=Z6268),#REF!),Y6268))</f>
        <v/>
      </c>
      <c r="Z6268" t="str">
        <f>IF(A6268="","",TEXT(A6268,"0")&amp;"|"&amp;TEXT(H6268,"0"))</f>
        <v/>
      </c>
      <c r="AA6268" t="str">
        <f>IF(Z6268="","",IFERROR(LOOKUP(2,1/(#REF!=Z6268),#REF!),""))</f>
        <v/>
      </c>
      <c r="AB6268" t="str">
        <f>IF(Z6268="","",IFERROR(LOOKUP(2,1/(#REF!=Z6268),#REF!),""))</f>
        <v/>
      </c>
      <c r="AC6268" t="str">
        <f>IF(Z6268="","",COUNTIF(#REF!,Z6268))</f>
        <v/>
      </c>
      <c r="AD6268" t="str">
        <f>IF(A6268="","",IF(AC6268&gt;1,"REVISAR DUPLICADO",IF(AA6268&lt;&gt;"","ACTUALIZADO POR EYR","SIN REPORTE EYR")))</f>
        <v/>
      </c>
    </row>
    <row r="6269" spans="11:30" x14ac:dyDescent="0.3">
      <c r="K6269" s="1" t="str">
        <f ca="1">IF(A6269="","",IF(OR(L6269="ENTREGADA",L6269="RETORNADA",L6269="ENTREGA DIGITAL"),0,MAX(0,5-NETWORKDAYS(H6269+1,TODAY()))))</f>
        <v/>
      </c>
      <c r="L6269" t="str">
        <f>IF(A6269="","",IFERROR(LOOKUP(2,1/(#REF!=Z6269),#REF!),Y6269))</f>
        <v/>
      </c>
      <c r="Z6269" t="str">
        <f>IF(A6269="","",TEXT(A6269,"0")&amp;"|"&amp;TEXT(H6269,"0"))</f>
        <v/>
      </c>
      <c r="AA6269" t="str">
        <f>IF(Z6269="","",IFERROR(LOOKUP(2,1/(#REF!=Z6269),#REF!),""))</f>
        <v/>
      </c>
      <c r="AB6269" t="str">
        <f>IF(Z6269="","",IFERROR(LOOKUP(2,1/(#REF!=Z6269),#REF!),""))</f>
        <v/>
      </c>
      <c r="AC6269" t="str">
        <f>IF(Z6269="","",COUNTIF(#REF!,Z6269))</f>
        <v/>
      </c>
      <c r="AD6269" t="str">
        <f>IF(A6269="","",IF(AC6269&gt;1,"REVISAR DUPLICADO",IF(AA6269&lt;&gt;"","ACTUALIZADO POR EYR","SIN REPORTE EYR")))</f>
        <v/>
      </c>
    </row>
    <row r="6270" spans="11:30" x14ac:dyDescent="0.3">
      <c r="K6270" s="1" t="str">
        <f ca="1">IF(A6270="","",IF(OR(L6270="ENTREGADA",L6270="RETORNADA",L6270="ENTREGA DIGITAL"),0,MAX(0,5-NETWORKDAYS(H6270+1,TODAY()))))</f>
        <v/>
      </c>
      <c r="L6270" t="str">
        <f>IF(A6270="","",IFERROR(LOOKUP(2,1/(#REF!=Z6270),#REF!),Y6270))</f>
        <v/>
      </c>
      <c r="Z6270" t="str">
        <f>IF(A6270="","",TEXT(A6270,"0")&amp;"|"&amp;TEXT(H6270,"0"))</f>
        <v/>
      </c>
      <c r="AA6270" t="str">
        <f>IF(Z6270="","",IFERROR(LOOKUP(2,1/(#REF!=Z6270),#REF!),""))</f>
        <v/>
      </c>
      <c r="AB6270" t="str">
        <f>IF(Z6270="","",IFERROR(LOOKUP(2,1/(#REF!=Z6270),#REF!),""))</f>
        <v/>
      </c>
      <c r="AC6270" t="str">
        <f>IF(Z6270="","",COUNTIF(#REF!,Z6270))</f>
        <v/>
      </c>
      <c r="AD6270" t="str">
        <f>IF(A6270="","",IF(AC6270&gt;1,"REVISAR DUPLICADO",IF(AA6270&lt;&gt;"","ACTUALIZADO POR EYR","SIN REPORTE EYR")))</f>
        <v/>
      </c>
    </row>
    <row r="6271" spans="11:30" x14ac:dyDescent="0.3">
      <c r="K6271" s="1" t="str">
        <f ca="1">IF(A6271="","",IF(OR(L6271="ENTREGADA",L6271="RETORNADA",L6271="ENTREGA DIGITAL"),0,MAX(0,5-NETWORKDAYS(H6271+1,TODAY()))))</f>
        <v/>
      </c>
      <c r="L6271" t="str">
        <f>IF(A6271="","",IFERROR(LOOKUP(2,1/(#REF!=Z6271),#REF!),Y6271))</f>
        <v/>
      </c>
      <c r="Z6271" t="str">
        <f>IF(A6271="","",TEXT(A6271,"0")&amp;"|"&amp;TEXT(H6271,"0"))</f>
        <v/>
      </c>
      <c r="AA6271" t="str">
        <f>IF(Z6271="","",IFERROR(LOOKUP(2,1/(#REF!=Z6271),#REF!),""))</f>
        <v/>
      </c>
      <c r="AB6271" t="str">
        <f>IF(Z6271="","",IFERROR(LOOKUP(2,1/(#REF!=Z6271),#REF!),""))</f>
        <v/>
      </c>
      <c r="AC6271" t="str">
        <f>IF(Z6271="","",COUNTIF(#REF!,Z6271))</f>
        <v/>
      </c>
      <c r="AD6271" t="str">
        <f>IF(A6271="","",IF(AC6271&gt;1,"REVISAR DUPLICADO",IF(AA6271&lt;&gt;"","ACTUALIZADO POR EYR","SIN REPORTE EYR")))</f>
        <v/>
      </c>
    </row>
    <row r="6272" spans="11:30" x14ac:dyDescent="0.3">
      <c r="K6272" s="1" t="str">
        <f ca="1">IF(A6272="","",IF(OR(L6272="ENTREGADA",L6272="RETORNADA",L6272="ENTREGA DIGITAL"),0,MAX(0,5-NETWORKDAYS(H6272+1,TODAY()))))</f>
        <v/>
      </c>
      <c r="L6272" t="str">
        <f>IF(A6272="","",IFERROR(LOOKUP(2,1/(#REF!=Z6272),#REF!),Y6272))</f>
        <v/>
      </c>
      <c r="Z6272" t="str">
        <f>IF(A6272="","",TEXT(A6272,"0")&amp;"|"&amp;TEXT(H6272,"0"))</f>
        <v/>
      </c>
      <c r="AA6272" t="str">
        <f>IF(Z6272="","",IFERROR(LOOKUP(2,1/(#REF!=Z6272),#REF!),""))</f>
        <v/>
      </c>
      <c r="AB6272" t="str">
        <f>IF(Z6272="","",IFERROR(LOOKUP(2,1/(#REF!=Z6272),#REF!),""))</f>
        <v/>
      </c>
      <c r="AC6272" t="str">
        <f>IF(Z6272="","",COUNTIF(#REF!,Z6272))</f>
        <v/>
      </c>
      <c r="AD6272" t="str">
        <f>IF(A6272="","",IF(AC6272&gt;1,"REVISAR DUPLICADO",IF(AA6272&lt;&gt;"","ACTUALIZADO POR EYR","SIN REPORTE EYR")))</f>
        <v/>
      </c>
    </row>
    <row r="6273" spans="11:30" x14ac:dyDescent="0.3">
      <c r="K6273" s="1" t="str">
        <f ca="1">IF(A6273="","",IF(OR(L6273="ENTREGADA",L6273="RETORNADA",L6273="ENTREGA DIGITAL"),0,MAX(0,5-NETWORKDAYS(H6273+1,TODAY()))))</f>
        <v/>
      </c>
      <c r="L6273" t="str">
        <f>IF(A6273="","",IFERROR(LOOKUP(2,1/(#REF!=Z6273),#REF!),Y6273))</f>
        <v/>
      </c>
      <c r="Z6273" t="str">
        <f>IF(A6273="","",TEXT(A6273,"0")&amp;"|"&amp;TEXT(H6273,"0"))</f>
        <v/>
      </c>
      <c r="AA6273" t="str">
        <f>IF(Z6273="","",IFERROR(LOOKUP(2,1/(#REF!=Z6273),#REF!),""))</f>
        <v/>
      </c>
      <c r="AB6273" t="str">
        <f>IF(Z6273="","",IFERROR(LOOKUP(2,1/(#REF!=Z6273),#REF!),""))</f>
        <v/>
      </c>
      <c r="AC6273" t="str">
        <f>IF(Z6273="","",COUNTIF(#REF!,Z6273))</f>
        <v/>
      </c>
      <c r="AD6273" t="str">
        <f>IF(A6273="","",IF(AC6273&gt;1,"REVISAR DUPLICADO",IF(AA6273&lt;&gt;"","ACTUALIZADO POR EYR","SIN REPORTE EYR")))</f>
        <v/>
      </c>
    </row>
    <row r="6274" spans="11:30" x14ac:dyDescent="0.3">
      <c r="K6274" s="1" t="str">
        <f ca="1">IF(A6274="","",IF(OR(L6274="ENTREGADA",L6274="RETORNADA",L6274="ENTREGA DIGITAL"),0,MAX(0,5-NETWORKDAYS(H6274+1,TODAY()))))</f>
        <v/>
      </c>
      <c r="L6274" t="str">
        <f>IF(A6274="","",IFERROR(LOOKUP(2,1/(#REF!=Z6274),#REF!),Y6274))</f>
        <v/>
      </c>
      <c r="Z6274" t="str">
        <f>IF(A6274="","",TEXT(A6274,"0")&amp;"|"&amp;TEXT(H6274,"0"))</f>
        <v/>
      </c>
      <c r="AA6274" t="str">
        <f>IF(Z6274="","",IFERROR(LOOKUP(2,1/(#REF!=Z6274),#REF!),""))</f>
        <v/>
      </c>
      <c r="AB6274" t="str">
        <f>IF(Z6274="","",IFERROR(LOOKUP(2,1/(#REF!=Z6274),#REF!),""))</f>
        <v/>
      </c>
      <c r="AC6274" t="str">
        <f>IF(Z6274="","",COUNTIF(#REF!,Z6274))</f>
        <v/>
      </c>
      <c r="AD6274" t="str">
        <f>IF(A6274="","",IF(AC6274&gt;1,"REVISAR DUPLICADO",IF(AA6274&lt;&gt;"","ACTUALIZADO POR EYR","SIN REPORTE EYR")))</f>
        <v/>
      </c>
    </row>
    <row r="6275" spans="11:30" x14ac:dyDescent="0.3">
      <c r="K6275" s="1" t="str">
        <f ca="1">IF(A6275="","",IF(OR(L6275="ENTREGADA",L6275="RETORNADA",L6275="ENTREGA DIGITAL"),0,MAX(0,5-NETWORKDAYS(H6275+1,TODAY()))))</f>
        <v/>
      </c>
      <c r="L6275" t="str">
        <f>IF(A6275="","",IFERROR(LOOKUP(2,1/(#REF!=Z6275),#REF!),Y6275))</f>
        <v/>
      </c>
      <c r="Z6275" t="str">
        <f>IF(A6275="","",TEXT(A6275,"0")&amp;"|"&amp;TEXT(H6275,"0"))</f>
        <v/>
      </c>
      <c r="AA6275" t="str">
        <f>IF(Z6275="","",IFERROR(LOOKUP(2,1/(#REF!=Z6275),#REF!),""))</f>
        <v/>
      </c>
      <c r="AB6275" t="str">
        <f>IF(Z6275="","",IFERROR(LOOKUP(2,1/(#REF!=Z6275),#REF!),""))</f>
        <v/>
      </c>
      <c r="AC6275" t="str">
        <f>IF(Z6275="","",COUNTIF(#REF!,Z6275))</f>
        <v/>
      </c>
      <c r="AD6275" t="str">
        <f>IF(A6275="","",IF(AC6275&gt;1,"REVISAR DUPLICADO",IF(AA6275&lt;&gt;"","ACTUALIZADO POR EYR","SIN REPORTE EYR")))</f>
        <v/>
      </c>
    </row>
    <row r="6276" spans="11:30" x14ac:dyDescent="0.3">
      <c r="K6276" s="1" t="str">
        <f ca="1">IF(A6276="","",IF(OR(L6276="ENTREGADA",L6276="RETORNADA",L6276="ENTREGA DIGITAL"),0,MAX(0,5-NETWORKDAYS(H6276+1,TODAY()))))</f>
        <v/>
      </c>
      <c r="L6276" t="str">
        <f>IF(A6276="","",IFERROR(LOOKUP(2,1/(#REF!=Z6276),#REF!),Y6276))</f>
        <v/>
      </c>
      <c r="Z6276" t="str">
        <f>IF(A6276="","",TEXT(A6276,"0")&amp;"|"&amp;TEXT(H6276,"0"))</f>
        <v/>
      </c>
      <c r="AA6276" t="str">
        <f>IF(Z6276="","",IFERROR(LOOKUP(2,1/(#REF!=Z6276),#REF!),""))</f>
        <v/>
      </c>
      <c r="AB6276" t="str">
        <f>IF(Z6276="","",IFERROR(LOOKUP(2,1/(#REF!=Z6276),#REF!),""))</f>
        <v/>
      </c>
      <c r="AC6276" t="str">
        <f>IF(Z6276="","",COUNTIF(#REF!,Z6276))</f>
        <v/>
      </c>
      <c r="AD6276" t="str">
        <f>IF(A6276="","",IF(AC6276&gt;1,"REVISAR DUPLICADO",IF(AA6276&lt;&gt;"","ACTUALIZADO POR EYR","SIN REPORTE EYR")))</f>
        <v/>
      </c>
    </row>
    <row r="6277" spans="11:30" x14ac:dyDescent="0.3">
      <c r="K6277" s="1" t="str">
        <f ca="1">IF(A6277="","",IF(OR(L6277="ENTREGADA",L6277="RETORNADA",L6277="ENTREGA DIGITAL"),0,MAX(0,5-NETWORKDAYS(H6277+1,TODAY()))))</f>
        <v/>
      </c>
      <c r="L6277" t="str">
        <f>IF(A6277="","",IFERROR(LOOKUP(2,1/(#REF!=Z6277),#REF!),Y6277))</f>
        <v/>
      </c>
      <c r="Z6277" t="str">
        <f>IF(A6277="","",TEXT(A6277,"0")&amp;"|"&amp;TEXT(H6277,"0"))</f>
        <v/>
      </c>
      <c r="AA6277" t="str">
        <f>IF(Z6277="","",IFERROR(LOOKUP(2,1/(#REF!=Z6277),#REF!),""))</f>
        <v/>
      </c>
      <c r="AB6277" t="str">
        <f>IF(Z6277="","",IFERROR(LOOKUP(2,1/(#REF!=Z6277),#REF!),""))</f>
        <v/>
      </c>
      <c r="AC6277" t="str">
        <f>IF(Z6277="","",COUNTIF(#REF!,Z6277))</f>
        <v/>
      </c>
      <c r="AD6277" t="str">
        <f>IF(A6277="","",IF(AC6277&gt;1,"REVISAR DUPLICADO",IF(AA6277&lt;&gt;"","ACTUALIZADO POR EYR","SIN REPORTE EYR")))</f>
        <v/>
      </c>
    </row>
    <row r="6278" spans="11:30" x14ac:dyDescent="0.3">
      <c r="K6278" s="1" t="str">
        <f ca="1">IF(A6278="","",IF(OR(L6278="ENTREGADA",L6278="RETORNADA",L6278="ENTREGA DIGITAL"),0,MAX(0,5-NETWORKDAYS(H6278+1,TODAY()))))</f>
        <v/>
      </c>
      <c r="L6278" t="str">
        <f>IF(A6278="","",IFERROR(LOOKUP(2,1/(#REF!=Z6278),#REF!),Y6278))</f>
        <v/>
      </c>
      <c r="Z6278" t="str">
        <f>IF(A6278="","",TEXT(A6278,"0")&amp;"|"&amp;TEXT(H6278,"0"))</f>
        <v/>
      </c>
      <c r="AA6278" t="str">
        <f>IF(Z6278="","",IFERROR(LOOKUP(2,1/(#REF!=Z6278),#REF!),""))</f>
        <v/>
      </c>
      <c r="AB6278" t="str">
        <f>IF(Z6278="","",IFERROR(LOOKUP(2,1/(#REF!=Z6278),#REF!),""))</f>
        <v/>
      </c>
      <c r="AC6278" t="str">
        <f>IF(Z6278="","",COUNTIF(#REF!,Z6278))</f>
        <v/>
      </c>
      <c r="AD6278" t="str">
        <f>IF(A6278="","",IF(AC6278&gt;1,"REVISAR DUPLICADO",IF(AA6278&lt;&gt;"","ACTUALIZADO POR EYR","SIN REPORTE EYR")))</f>
        <v/>
      </c>
    </row>
    <row r="6279" spans="11:30" x14ac:dyDescent="0.3">
      <c r="K6279" s="1" t="str">
        <f ca="1">IF(A6279="","",IF(OR(L6279="ENTREGADA",L6279="RETORNADA",L6279="ENTREGA DIGITAL"),0,MAX(0,5-NETWORKDAYS(H6279+1,TODAY()))))</f>
        <v/>
      </c>
      <c r="L6279" t="str">
        <f>IF(A6279="","",IFERROR(LOOKUP(2,1/(#REF!=Z6279),#REF!),Y6279))</f>
        <v/>
      </c>
      <c r="Z6279" t="str">
        <f>IF(A6279="","",TEXT(A6279,"0")&amp;"|"&amp;TEXT(H6279,"0"))</f>
        <v/>
      </c>
      <c r="AA6279" t="str">
        <f>IF(Z6279="","",IFERROR(LOOKUP(2,1/(#REF!=Z6279),#REF!),""))</f>
        <v/>
      </c>
      <c r="AB6279" t="str">
        <f>IF(Z6279="","",IFERROR(LOOKUP(2,1/(#REF!=Z6279),#REF!),""))</f>
        <v/>
      </c>
      <c r="AC6279" t="str">
        <f>IF(Z6279="","",COUNTIF(#REF!,Z6279))</f>
        <v/>
      </c>
      <c r="AD6279" t="str">
        <f>IF(A6279="","",IF(AC6279&gt;1,"REVISAR DUPLICADO",IF(AA6279&lt;&gt;"","ACTUALIZADO POR EYR","SIN REPORTE EYR")))</f>
        <v/>
      </c>
    </row>
    <row r="6280" spans="11:30" x14ac:dyDescent="0.3">
      <c r="K6280" s="1" t="str">
        <f ca="1">IF(A6280="","",IF(OR(L6280="ENTREGADA",L6280="RETORNADA",L6280="ENTREGA DIGITAL"),0,MAX(0,5-NETWORKDAYS(H6280+1,TODAY()))))</f>
        <v/>
      </c>
      <c r="L6280" t="str">
        <f>IF(A6280="","",IFERROR(LOOKUP(2,1/(#REF!=Z6280),#REF!),Y6280))</f>
        <v/>
      </c>
      <c r="Z6280" t="str">
        <f>IF(A6280="","",TEXT(A6280,"0")&amp;"|"&amp;TEXT(H6280,"0"))</f>
        <v/>
      </c>
      <c r="AA6280" t="str">
        <f>IF(Z6280="","",IFERROR(LOOKUP(2,1/(#REF!=Z6280),#REF!),""))</f>
        <v/>
      </c>
      <c r="AB6280" t="str">
        <f>IF(Z6280="","",IFERROR(LOOKUP(2,1/(#REF!=Z6280),#REF!),""))</f>
        <v/>
      </c>
      <c r="AC6280" t="str">
        <f>IF(Z6280="","",COUNTIF(#REF!,Z6280))</f>
        <v/>
      </c>
      <c r="AD6280" t="str">
        <f>IF(A6280="","",IF(AC6280&gt;1,"REVISAR DUPLICADO",IF(AA6280&lt;&gt;"","ACTUALIZADO POR EYR","SIN REPORTE EYR")))</f>
        <v/>
      </c>
    </row>
    <row r="6281" spans="11:30" x14ac:dyDescent="0.3">
      <c r="K6281" s="1" t="str">
        <f ca="1">IF(A6281="","",IF(OR(L6281="ENTREGADA",L6281="RETORNADA",L6281="ENTREGA DIGITAL"),0,MAX(0,5-NETWORKDAYS(H6281+1,TODAY()))))</f>
        <v/>
      </c>
      <c r="L6281" t="str">
        <f>IF(A6281="","",IFERROR(LOOKUP(2,1/(#REF!=Z6281),#REF!),Y6281))</f>
        <v/>
      </c>
      <c r="Z6281" t="str">
        <f>IF(A6281="","",TEXT(A6281,"0")&amp;"|"&amp;TEXT(H6281,"0"))</f>
        <v/>
      </c>
      <c r="AA6281" t="str">
        <f>IF(Z6281="","",IFERROR(LOOKUP(2,1/(#REF!=Z6281),#REF!),""))</f>
        <v/>
      </c>
      <c r="AB6281" t="str">
        <f>IF(Z6281="","",IFERROR(LOOKUP(2,1/(#REF!=Z6281),#REF!),""))</f>
        <v/>
      </c>
      <c r="AC6281" t="str">
        <f>IF(Z6281="","",COUNTIF(#REF!,Z6281))</f>
        <v/>
      </c>
      <c r="AD6281" t="str">
        <f>IF(A6281="","",IF(AC6281&gt;1,"REVISAR DUPLICADO",IF(AA6281&lt;&gt;"","ACTUALIZADO POR EYR","SIN REPORTE EYR")))</f>
        <v/>
      </c>
    </row>
    <row r="6282" spans="11:30" x14ac:dyDescent="0.3">
      <c r="K6282" s="1" t="str">
        <f ca="1">IF(A6282="","",IF(OR(L6282="ENTREGADA",L6282="RETORNADA",L6282="ENTREGA DIGITAL"),0,MAX(0,5-NETWORKDAYS(H6282+1,TODAY()))))</f>
        <v/>
      </c>
      <c r="L6282" t="str">
        <f>IF(A6282="","",IFERROR(LOOKUP(2,1/(#REF!=Z6282),#REF!),Y6282))</f>
        <v/>
      </c>
      <c r="Z6282" t="str">
        <f>IF(A6282="","",TEXT(A6282,"0")&amp;"|"&amp;TEXT(H6282,"0"))</f>
        <v/>
      </c>
      <c r="AA6282" t="str">
        <f>IF(Z6282="","",IFERROR(LOOKUP(2,1/(#REF!=Z6282),#REF!),""))</f>
        <v/>
      </c>
      <c r="AB6282" t="str">
        <f>IF(Z6282="","",IFERROR(LOOKUP(2,1/(#REF!=Z6282),#REF!),""))</f>
        <v/>
      </c>
      <c r="AC6282" t="str">
        <f>IF(Z6282="","",COUNTIF(#REF!,Z6282))</f>
        <v/>
      </c>
      <c r="AD6282" t="str">
        <f>IF(A6282="","",IF(AC6282&gt;1,"REVISAR DUPLICADO",IF(AA6282&lt;&gt;"","ACTUALIZADO POR EYR","SIN REPORTE EYR")))</f>
        <v/>
      </c>
    </row>
    <row r="6283" spans="11:30" x14ac:dyDescent="0.3">
      <c r="K6283" s="1" t="str">
        <f ca="1">IF(A6283="","",IF(OR(L6283="ENTREGADA",L6283="RETORNADA",L6283="ENTREGA DIGITAL"),0,MAX(0,5-NETWORKDAYS(H6283+1,TODAY()))))</f>
        <v/>
      </c>
      <c r="L6283" t="str">
        <f>IF(A6283="","",IFERROR(LOOKUP(2,1/(#REF!=Z6283),#REF!),Y6283))</f>
        <v/>
      </c>
      <c r="Z6283" t="str">
        <f>IF(A6283="","",TEXT(A6283,"0")&amp;"|"&amp;TEXT(H6283,"0"))</f>
        <v/>
      </c>
      <c r="AA6283" t="str">
        <f>IF(Z6283="","",IFERROR(LOOKUP(2,1/(#REF!=Z6283),#REF!),""))</f>
        <v/>
      </c>
      <c r="AB6283" t="str">
        <f>IF(Z6283="","",IFERROR(LOOKUP(2,1/(#REF!=Z6283),#REF!),""))</f>
        <v/>
      </c>
      <c r="AC6283" t="str">
        <f>IF(Z6283="","",COUNTIF(#REF!,Z6283))</f>
        <v/>
      </c>
      <c r="AD6283" t="str">
        <f>IF(A6283="","",IF(AC6283&gt;1,"REVISAR DUPLICADO",IF(AA6283&lt;&gt;"","ACTUALIZADO POR EYR","SIN REPORTE EYR")))</f>
        <v/>
      </c>
    </row>
    <row r="6284" spans="11:30" x14ac:dyDescent="0.3">
      <c r="K6284" s="1" t="str">
        <f ca="1">IF(A6284="","",IF(OR(L6284="ENTREGADA",L6284="RETORNADA",L6284="ENTREGA DIGITAL"),0,MAX(0,5-NETWORKDAYS(H6284+1,TODAY()))))</f>
        <v/>
      </c>
      <c r="L6284" t="str">
        <f>IF(A6284="","",IFERROR(LOOKUP(2,1/(#REF!=Z6284),#REF!),Y6284))</f>
        <v/>
      </c>
      <c r="Z6284" t="str">
        <f>IF(A6284="","",TEXT(A6284,"0")&amp;"|"&amp;TEXT(H6284,"0"))</f>
        <v/>
      </c>
      <c r="AA6284" t="str">
        <f>IF(Z6284="","",IFERROR(LOOKUP(2,1/(#REF!=Z6284),#REF!),""))</f>
        <v/>
      </c>
      <c r="AB6284" t="str">
        <f>IF(Z6284="","",IFERROR(LOOKUP(2,1/(#REF!=Z6284),#REF!),""))</f>
        <v/>
      </c>
      <c r="AC6284" t="str">
        <f>IF(Z6284="","",COUNTIF(#REF!,Z6284))</f>
        <v/>
      </c>
      <c r="AD6284" t="str">
        <f>IF(A6284="","",IF(AC6284&gt;1,"REVISAR DUPLICADO",IF(AA6284&lt;&gt;"","ACTUALIZADO POR EYR","SIN REPORTE EYR")))</f>
        <v/>
      </c>
    </row>
    <row r="6285" spans="11:30" x14ac:dyDescent="0.3">
      <c r="K6285" s="1" t="str">
        <f ca="1">IF(A6285="","",IF(OR(L6285="ENTREGADA",L6285="RETORNADA",L6285="ENTREGA DIGITAL"),0,MAX(0,5-NETWORKDAYS(H6285+1,TODAY()))))</f>
        <v/>
      </c>
      <c r="L6285" t="str">
        <f>IF(A6285="","",IFERROR(LOOKUP(2,1/(#REF!=Z6285),#REF!),Y6285))</f>
        <v/>
      </c>
      <c r="Z6285" t="str">
        <f>IF(A6285="","",TEXT(A6285,"0")&amp;"|"&amp;TEXT(H6285,"0"))</f>
        <v/>
      </c>
      <c r="AA6285" t="str">
        <f>IF(Z6285="","",IFERROR(LOOKUP(2,1/(#REF!=Z6285),#REF!),""))</f>
        <v/>
      </c>
      <c r="AB6285" t="str">
        <f>IF(Z6285="","",IFERROR(LOOKUP(2,1/(#REF!=Z6285),#REF!),""))</f>
        <v/>
      </c>
      <c r="AC6285" t="str">
        <f>IF(Z6285="","",COUNTIF(#REF!,Z6285))</f>
        <v/>
      </c>
      <c r="AD6285" t="str">
        <f>IF(A6285="","",IF(AC6285&gt;1,"REVISAR DUPLICADO",IF(AA6285&lt;&gt;"","ACTUALIZADO POR EYR","SIN REPORTE EYR")))</f>
        <v/>
      </c>
    </row>
    <row r="6286" spans="11:30" x14ac:dyDescent="0.3">
      <c r="K6286" s="1" t="str">
        <f ca="1">IF(A6286="","",IF(OR(L6286="ENTREGADA",L6286="RETORNADA",L6286="ENTREGA DIGITAL"),0,MAX(0,5-NETWORKDAYS(H6286+1,TODAY()))))</f>
        <v/>
      </c>
      <c r="L6286" t="str">
        <f>IF(A6286="","",IFERROR(LOOKUP(2,1/(#REF!=Z6286),#REF!),Y6286))</f>
        <v/>
      </c>
      <c r="Z6286" t="str">
        <f>IF(A6286="","",TEXT(A6286,"0")&amp;"|"&amp;TEXT(H6286,"0"))</f>
        <v/>
      </c>
      <c r="AA6286" t="str">
        <f>IF(Z6286="","",IFERROR(LOOKUP(2,1/(#REF!=Z6286),#REF!),""))</f>
        <v/>
      </c>
      <c r="AB6286" t="str">
        <f>IF(Z6286="","",IFERROR(LOOKUP(2,1/(#REF!=Z6286),#REF!),""))</f>
        <v/>
      </c>
      <c r="AC6286" t="str">
        <f>IF(Z6286="","",COUNTIF(#REF!,Z6286))</f>
        <v/>
      </c>
      <c r="AD6286" t="str">
        <f>IF(A6286="","",IF(AC6286&gt;1,"REVISAR DUPLICADO",IF(AA6286&lt;&gt;"","ACTUALIZADO POR EYR","SIN REPORTE EYR")))</f>
        <v/>
      </c>
    </row>
    <row r="6287" spans="11:30" x14ac:dyDescent="0.3">
      <c r="K6287" s="1" t="str">
        <f ca="1">IF(A6287="","",IF(OR(L6287="ENTREGADA",L6287="RETORNADA",L6287="ENTREGA DIGITAL"),0,MAX(0,5-NETWORKDAYS(H6287+1,TODAY()))))</f>
        <v/>
      </c>
      <c r="L6287" t="str">
        <f>IF(A6287="","",IFERROR(LOOKUP(2,1/(#REF!=Z6287),#REF!),Y6287))</f>
        <v/>
      </c>
      <c r="Z6287" t="str">
        <f>IF(A6287="","",TEXT(A6287,"0")&amp;"|"&amp;TEXT(H6287,"0"))</f>
        <v/>
      </c>
      <c r="AA6287" t="str">
        <f>IF(Z6287="","",IFERROR(LOOKUP(2,1/(#REF!=Z6287),#REF!),""))</f>
        <v/>
      </c>
      <c r="AB6287" t="str">
        <f>IF(Z6287="","",IFERROR(LOOKUP(2,1/(#REF!=Z6287),#REF!),""))</f>
        <v/>
      </c>
      <c r="AC6287" t="str">
        <f>IF(Z6287="","",COUNTIF(#REF!,Z6287))</f>
        <v/>
      </c>
      <c r="AD6287" t="str">
        <f>IF(A6287="","",IF(AC6287&gt;1,"REVISAR DUPLICADO",IF(AA6287&lt;&gt;"","ACTUALIZADO POR EYR","SIN REPORTE EYR")))</f>
        <v/>
      </c>
    </row>
    <row r="6288" spans="11:30" x14ac:dyDescent="0.3">
      <c r="K6288" s="1" t="str">
        <f ca="1">IF(A6288="","",IF(OR(L6288="ENTREGADA",L6288="RETORNADA",L6288="ENTREGA DIGITAL"),0,MAX(0,5-NETWORKDAYS(H6288+1,TODAY()))))</f>
        <v/>
      </c>
      <c r="L6288" t="str">
        <f>IF(A6288="","",IFERROR(LOOKUP(2,1/(#REF!=Z6288),#REF!),Y6288))</f>
        <v/>
      </c>
      <c r="Z6288" t="str">
        <f>IF(A6288="","",TEXT(A6288,"0")&amp;"|"&amp;TEXT(H6288,"0"))</f>
        <v/>
      </c>
      <c r="AA6288" t="str">
        <f>IF(Z6288="","",IFERROR(LOOKUP(2,1/(#REF!=Z6288),#REF!),""))</f>
        <v/>
      </c>
      <c r="AB6288" t="str">
        <f>IF(Z6288="","",IFERROR(LOOKUP(2,1/(#REF!=Z6288),#REF!),""))</f>
        <v/>
      </c>
      <c r="AC6288" t="str">
        <f>IF(Z6288="","",COUNTIF(#REF!,Z6288))</f>
        <v/>
      </c>
      <c r="AD6288" t="str">
        <f>IF(A6288="","",IF(AC6288&gt;1,"REVISAR DUPLICADO",IF(AA6288&lt;&gt;"","ACTUALIZADO POR EYR","SIN REPORTE EYR")))</f>
        <v/>
      </c>
    </row>
    <row r="6289" spans="11:30" x14ac:dyDescent="0.3">
      <c r="K6289" s="1" t="str">
        <f ca="1">IF(A6289="","",IF(OR(L6289="ENTREGADA",L6289="RETORNADA",L6289="ENTREGA DIGITAL"),0,MAX(0,5-NETWORKDAYS(H6289+1,TODAY()))))</f>
        <v/>
      </c>
      <c r="L6289" t="str">
        <f>IF(A6289="","",IFERROR(LOOKUP(2,1/(#REF!=Z6289),#REF!),Y6289))</f>
        <v/>
      </c>
      <c r="Z6289" t="str">
        <f>IF(A6289="","",TEXT(A6289,"0")&amp;"|"&amp;TEXT(H6289,"0"))</f>
        <v/>
      </c>
      <c r="AA6289" t="str">
        <f>IF(Z6289="","",IFERROR(LOOKUP(2,1/(#REF!=Z6289),#REF!),""))</f>
        <v/>
      </c>
      <c r="AB6289" t="str">
        <f>IF(Z6289="","",IFERROR(LOOKUP(2,1/(#REF!=Z6289),#REF!),""))</f>
        <v/>
      </c>
      <c r="AC6289" t="str">
        <f>IF(Z6289="","",COUNTIF(#REF!,Z6289))</f>
        <v/>
      </c>
      <c r="AD6289" t="str">
        <f>IF(A6289="","",IF(AC6289&gt;1,"REVISAR DUPLICADO",IF(AA6289&lt;&gt;"","ACTUALIZADO POR EYR","SIN REPORTE EYR")))</f>
        <v/>
      </c>
    </row>
    <row r="6290" spans="11:30" x14ac:dyDescent="0.3">
      <c r="K6290" s="1" t="str">
        <f ca="1">IF(A6290="","",IF(OR(L6290="ENTREGADA",L6290="RETORNADA",L6290="ENTREGA DIGITAL"),0,MAX(0,5-NETWORKDAYS(H6290+1,TODAY()))))</f>
        <v/>
      </c>
      <c r="L6290" t="str">
        <f>IF(A6290="","",IFERROR(LOOKUP(2,1/(#REF!=Z6290),#REF!),Y6290))</f>
        <v/>
      </c>
      <c r="Z6290" t="str">
        <f>IF(A6290="","",TEXT(A6290,"0")&amp;"|"&amp;TEXT(H6290,"0"))</f>
        <v/>
      </c>
      <c r="AA6290" t="str">
        <f>IF(Z6290="","",IFERROR(LOOKUP(2,1/(#REF!=Z6290),#REF!),""))</f>
        <v/>
      </c>
      <c r="AB6290" t="str">
        <f>IF(Z6290="","",IFERROR(LOOKUP(2,1/(#REF!=Z6290),#REF!),""))</f>
        <v/>
      </c>
      <c r="AC6290" t="str">
        <f>IF(Z6290="","",COUNTIF(#REF!,Z6290))</f>
        <v/>
      </c>
      <c r="AD6290" t="str">
        <f>IF(A6290="","",IF(AC6290&gt;1,"REVISAR DUPLICADO",IF(AA6290&lt;&gt;"","ACTUALIZADO POR EYR","SIN REPORTE EYR")))</f>
        <v/>
      </c>
    </row>
    <row r="6291" spans="11:30" x14ac:dyDescent="0.3">
      <c r="K6291" s="1" t="str">
        <f ca="1">IF(A6291="","",IF(OR(L6291="ENTREGADA",L6291="RETORNADA",L6291="ENTREGA DIGITAL"),0,MAX(0,5-NETWORKDAYS(H6291+1,TODAY()))))</f>
        <v/>
      </c>
      <c r="L6291" t="str">
        <f>IF(A6291="","",IFERROR(LOOKUP(2,1/(#REF!=Z6291),#REF!),Y6291))</f>
        <v/>
      </c>
      <c r="Z6291" t="str">
        <f>IF(A6291="","",TEXT(A6291,"0")&amp;"|"&amp;TEXT(H6291,"0"))</f>
        <v/>
      </c>
      <c r="AA6291" t="str">
        <f>IF(Z6291="","",IFERROR(LOOKUP(2,1/(#REF!=Z6291),#REF!),""))</f>
        <v/>
      </c>
      <c r="AB6291" t="str">
        <f>IF(Z6291="","",IFERROR(LOOKUP(2,1/(#REF!=Z6291),#REF!),""))</f>
        <v/>
      </c>
      <c r="AC6291" t="str">
        <f>IF(Z6291="","",COUNTIF(#REF!,Z6291))</f>
        <v/>
      </c>
      <c r="AD6291" t="str">
        <f>IF(A6291="","",IF(AC6291&gt;1,"REVISAR DUPLICADO",IF(AA6291&lt;&gt;"","ACTUALIZADO POR EYR","SIN REPORTE EYR")))</f>
        <v/>
      </c>
    </row>
    <row r="6292" spans="11:30" x14ac:dyDescent="0.3">
      <c r="K6292" s="1" t="str">
        <f ca="1">IF(A6292="","",IF(OR(L6292="ENTREGADA",L6292="RETORNADA",L6292="ENTREGA DIGITAL"),0,MAX(0,5-NETWORKDAYS(H6292+1,TODAY()))))</f>
        <v/>
      </c>
      <c r="L6292" t="str">
        <f>IF(A6292="","",IFERROR(LOOKUP(2,1/(#REF!=Z6292),#REF!),Y6292))</f>
        <v/>
      </c>
      <c r="Z6292" t="str">
        <f>IF(A6292="","",TEXT(A6292,"0")&amp;"|"&amp;TEXT(H6292,"0"))</f>
        <v/>
      </c>
      <c r="AA6292" t="str">
        <f>IF(Z6292="","",IFERROR(LOOKUP(2,1/(#REF!=Z6292),#REF!),""))</f>
        <v/>
      </c>
      <c r="AB6292" t="str">
        <f>IF(Z6292="","",IFERROR(LOOKUP(2,1/(#REF!=Z6292),#REF!),""))</f>
        <v/>
      </c>
      <c r="AC6292" t="str">
        <f>IF(Z6292="","",COUNTIF(#REF!,Z6292))</f>
        <v/>
      </c>
      <c r="AD6292" t="str">
        <f>IF(A6292="","",IF(AC6292&gt;1,"REVISAR DUPLICADO",IF(AA6292&lt;&gt;"","ACTUALIZADO POR EYR","SIN REPORTE EYR")))</f>
        <v/>
      </c>
    </row>
    <row r="6293" spans="11:30" x14ac:dyDescent="0.3">
      <c r="K6293" s="1" t="str">
        <f ca="1">IF(A6293="","",IF(OR(L6293="ENTREGADA",L6293="RETORNADA",L6293="ENTREGA DIGITAL"),0,MAX(0,5-NETWORKDAYS(H6293+1,TODAY()))))</f>
        <v/>
      </c>
      <c r="L6293" t="str">
        <f>IF(A6293="","",IFERROR(LOOKUP(2,1/(#REF!=Z6293),#REF!),Y6293))</f>
        <v/>
      </c>
      <c r="Z6293" t="str">
        <f>IF(A6293="","",TEXT(A6293,"0")&amp;"|"&amp;TEXT(H6293,"0"))</f>
        <v/>
      </c>
      <c r="AA6293" t="str">
        <f>IF(Z6293="","",IFERROR(LOOKUP(2,1/(#REF!=Z6293),#REF!),""))</f>
        <v/>
      </c>
      <c r="AB6293" t="str">
        <f>IF(Z6293="","",IFERROR(LOOKUP(2,1/(#REF!=Z6293),#REF!),""))</f>
        <v/>
      </c>
      <c r="AC6293" t="str">
        <f>IF(Z6293="","",COUNTIF(#REF!,Z6293))</f>
        <v/>
      </c>
      <c r="AD6293" t="str">
        <f>IF(A6293="","",IF(AC6293&gt;1,"REVISAR DUPLICADO",IF(AA6293&lt;&gt;"","ACTUALIZADO POR EYR","SIN REPORTE EYR")))</f>
        <v/>
      </c>
    </row>
    <row r="6294" spans="11:30" x14ac:dyDescent="0.3">
      <c r="K6294" s="1" t="str">
        <f ca="1">IF(A6294="","",IF(OR(L6294="ENTREGADA",L6294="RETORNADA",L6294="ENTREGA DIGITAL"),0,MAX(0,5-NETWORKDAYS(H6294+1,TODAY()))))</f>
        <v/>
      </c>
      <c r="L6294" t="str">
        <f>IF(A6294="","",IFERROR(LOOKUP(2,1/(#REF!=Z6294),#REF!),Y6294))</f>
        <v/>
      </c>
      <c r="Z6294" t="str">
        <f>IF(A6294="","",TEXT(A6294,"0")&amp;"|"&amp;TEXT(H6294,"0"))</f>
        <v/>
      </c>
      <c r="AA6294" t="str">
        <f>IF(Z6294="","",IFERROR(LOOKUP(2,1/(#REF!=Z6294),#REF!),""))</f>
        <v/>
      </c>
      <c r="AB6294" t="str">
        <f>IF(Z6294="","",IFERROR(LOOKUP(2,1/(#REF!=Z6294),#REF!),""))</f>
        <v/>
      </c>
      <c r="AC6294" t="str">
        <f>IF(Z6294="","",COUNTIF(#REF!,Z6294))</f>
        <v/>
      </c>
      <c r="AD6294" t="str">
        <f>IF(A6294="","",IF(AC6294&gt;1,"REVISAR DUPLICADO",IF(AA6294&lt;&gt;"","ACTUALIZADO POR EYR","SIN REPORTE EYR")))</f>
        <v/>
      </c>
    </row>
    <row r="6295" spans="11:30" x14ac:dyDescent="0.3">
      <c r="K6295" s="1" t="str">
        <f ca="1">IF(A6295="","",IF(OR(L6295="ENTREGADA",L6295="RETORNADA",L6295="ENTREGA DIGITAL"),0,MAX(0,5-NETWORKDAYS(H6295+1,TODAY()))))</f>
        <v/>
      </c>
      <c r="L6295" t="str">
        <f>IF(A6295="","",IFERROR(LOOKUP(2,1/(#REF!=Z6295),#REF!),Y6295))</f>
        <v/>
      </c>
      <c r="Z6295" t="str">
        <f>IF(A6295="","",TEXT(A6295,"0")&amp;"|"&amp;TEXT(H6295,"0"))</f>
        <v/>
      </c>
      <c r="AA6295" t="str">
        <f>IF(Z6295="","",IFERROR(LOOKUP(2,1/(#REF!=Z6295),#REF!),""))</f>
        <v/>
      </c>
      <c r="AB6295" t="str">
        <f>IF(Z6295="","",IFERROR(LOOKUP(2,1/(#REF!=Z6295),#REF!),""))</f>
        <v/>
      </c>
      <c r="AC6295" t="str">
        <f>IF(Z6295="","",COUNTIF(#REF!,Z6295))</f>
        <v/>
      </c>
      <c r="AD6295" t="str">
        <f>IF(A6295="","",IF(AC6295&gt;1,"REVISAR DUPLICADO",IF(AA6295&lt;&gt;"","ACTUALIZADO POR EYR","SIN REPORTE EYR")))</f>
        <v/>
      </c>
    </row>
    <row r="6296" spans="11:30" x14ac:dyDescent="0.3">
      <c r="K6296" s="1" t="str">
        <f ca="1">IF(A6296="","",IF(OR(L6296="ENTREGADA",L6296="RETORNADA",L6296="ENTREGA DIGITAL"),0,MAX(0,5-NETWORKDAYS(H6296+1,TODAY()))))</f>
        <v/>
      </c>
      <c r="L6296" t="str">
        <f>IF(A6296="","",IFERROR(LOOKUP(2,1/(#REF!=Z6296),#REF!),Y6296))</f>
        <v/>
      </c>
      <c r="Z6296" t="str">
        <f>IF(A6296="","",TEXT(A6296,"0")&amp;"|"&amp;TEXT(H6296,"0"))</f>
        <v/>
      </c>
      <c r="AA6296" t="str">
        <f>IF(Z6296="","",IFERROR(LOOKUP(2,1/(#REF!=Z6296),#REF!),""))</f>
        <v/>
      </c>
      <c r="AB6296" t="str">
        <f>IF(Z6296="","",IFERROR(LOOKUP(2,1/(#REF!=Z6296),#REF!),""))</f>
        <v/>
      </c>
      <c r="AC6296" t="str">
        <f>IF(Z6296="","",COUNTIF(#REF!,Z6296))</f>
        <v/>
      </c>
      <c r="AD6296" t="str">
        <f>IF(A6296="","",IF(AC6296&gt;1,"REVISAR DUPLICADO",IF(AA6296&lt;&gt;"","ACTUALIZADO POR EYR","SIN REPORTE EYR")))</f>
        <v/>
      </c>
    </row>
    <row r="6297" spans="11:30" x14ac:dyDescent="0.3">
      <c r="K6297" s="1" t="str">
        <f ca="1">IF(A6297="","",IF(OR(L6297="ENTREGADA",L6297="RETORNADA",L6297="ENTREGA DIGITAL"),0,MAX(0,5-NETWORKDAYS(H6297+1,TODAY()))))</f>
        <v/>
      </c>
      <c r="L6297" t="str">
        <f>IF(A6297="","",IFERROR(LOOKUP(2,1/(#REF!=Z6297),#REF!),Y6297))</f>
        <v/>
      </c>
      <c r="Z6297" t="str">
        <f>IF(A6297="","",TEXT(A6297,"0")&amp;"|"&amp;TEXT(H6297,"0"))</f>
        <v/>
      </c>
      <c r="AA6297" t="str">
        <f>IF(Z6297="","",IFERROR(LOOKUP(2,1/(#REF!=Z6297),#REF!),""))</f>
        <v/>
      </c>
      <c r="AB6297" t="str">
        <f>IF(Z6297="","",IFERROR(LOOKUP(2,1/(#REF!=Z6297),#REF!),""))</f>
        <v/>
      </c>
      <c r="AC6297" t="str">
        <f>IF(Z6297="","",COUNTIF(#REF!,Z6297))</f>
        <v/>
      </c>
      <c r="AD6297" t="str">
        <f>IF(A6297="","",IF(AC6297&gt;1,"REVISAR DUPLICADO",IF(AA6297&lt;&gt;"","ACTUALIZADO POR EYR","SIN REPORTE EYR")))</f>
        <v/>
      </c>
    </row>
    <row r="6298" spans="11:30" x14ac:dyDescent="0.3">
      <c r="K6298" s="1" t="str">
        <f ca="1">IF(A6298="","",IF(OR(L6298="ENTREGADA",L6298="RETORNADA",L6298="ENTREGA DIGITAL"),0,MAX(0,5-NETWORKDAYS(H6298+1,TODAY()))))</f>
        <v/>
      </c>
      <c r="L6298" t="str">
        <f>IF(A6298="","",IFERROR(LOOKUP(2,1/(#REF!=Z6298),#REF!),Y6298))</f>
        <v/>
      </c>
      <c r="Z6298" t="str">
        <f>IF(A6298="","",TEXT(A6298,"0")&amp;"|"&amp;TEXT(H6298,"0"))</f>
        <v/>
      </c>
      <c r="AA6298" t="str">
        <f>IF(Z6298="","",IFERROR(LOOKUP(2,1/(#REF!=Z6298),#REF!),""))</f>
        <v/>
      </c>
      <c r="AB6298" t="str">
        <f>IF(Z6298="","",IFERROR(LOOKUP(2,1/(#REF!=Z6298),#REF!),""))</f>
        <v/>
      </c>
      <c r="AC6298" t="str">
        <f>IF(Z6298="","",COUNTIF(#REF!,Z6298))</f>
        <v/>
      </c>
      <c r="AD6298" t="str">
        <f>IF(A6298="","",IF(AC6298&gt;1,"REVISAR DUPLICADO",IF(AA6298&lt;&gt;"","ACTUALIZADO POR EYR","SIN REPORTE EYR")))</f>
        <v/>
      </c>
    </row>
    <row r="6299" spans="11:30" x14ac:dyDescent="0.3">
      <c r="K6299" s="1" t="str">
        <f ca="1">IF(A6299="","",IF(OR(L6299="ENTREGADA",L6299="RETORNADA",L6299="ENTREGA DIGITAL"),0,MAX(0,5-NETWORKDAYS(H6299+1,TODAY()))))</f>
        <v/>
      </c>
      <c r="L6299" t="str">
        <f>IF(A6299="","",IFERROR(LOOKUP(2,1/(#REF!=Z6299),#REF!),Y6299))</f>
        <v/>
      </c>
      <c r="Z6299" t="str">
        <f>IF(A6299="","",TEXT(A6299,"0")&amp;"|"&amp;TEXT(H6299,"0"))</f>
        <v/>
      </c>
      <c r="AA6299" t="str">
        <f>IF(Z6299="","",IFERROR(LOOKUP(2,1/(#REF!=Z6299),#REF!),""))</f>
        <v/>
      </c>
      <c r="AB6299" t="str">
        <f>IF(Z6299="","",IFERROR(LOOKUP(2,1/(#REF!=Z6299),#REF!),""))</f>
        <v/>
      </c>
      <c r="AC6299" t="str">
        <f>IF(Z6299="","",COUNTIF(#REF!,Z6299))</f>
        <v/>
      </c>
      <c r="AD6299" t="str">
        <f>IF(A6299="","",IF(AC6299&gt;1,"REVISAR DUPLICADO",IF(AA6299&lt;&gt;"","ACTUALIZADO POR EYR","SIN REPORTE EYR")))</f>
        <v/>
      </c>
    </row>
    <row r="6300" spans="11:30" x14ac:dyDescent="0.3">
      <c r="K6300" s="1" t="str">
        <f ca="1">IF(A6300="","",IF(OR(L6300="ENTREGADA",L6300="RETORNADA",L6300="ENTREGA DIGITAL"),0,MAX(0,5-NETWORKDAYS(H6300+1,TODAY()))))</f>
        <v/>
      </c>
      <c r="L6300" t="str">
        <f>IF(A6300="","",IFERROR(LOOKUP(2,1/(#REF!=Z6300),#REF!),Y6300))</f>
        <v/>
      </c>
      <c r="Z6300" t="str">
        <f>IF(A6300="","",TEXT(A6300,"0")&amp;"|"&amp;TEXT(H6300,"0"))</f>
        <v/>
      </c>
      <c r="AA6300" t="str">
        <f>IF(Z6300="","",IFERROR(LOOKUP(2,1/(#REF!=Z6300),#REF!),""))</f>
        <v/>
      </c>
      <c r="AB6300" t="str">
        <f>IF(Z6300="","",IFERROR(LOOKUP(2,1/(#REF!=Z6300),#REF!),""))</f>
        <v/>
      </c>
      <c r="AC6300" t="str">
        <f>IF(Z6300="","",COUNTIF(#REF!,Z6300))</f>
        <v/>
      </c>
      <c r="AD6300" t="str">
        <f>IF(A6300="","",IF(AC6300&gt;1,"REVISAR DUPLICADO",IF(AA6300&lt;&gt;"","ACTUALIZADO POR EYR","SIN REPORTE EYR")))</f>
        <v/>
      </c>
    </row>
    <row r="6301" spans="11:30" x14ac:dyDescent="0.3">
      <c r="K6301" s="1" t="str">
        <f ca="1">IF(A6301="","",IF(OR(L6301="ENTREGADA",L6301="RETORNADA",L6301="ENTREGA DIGITAL"),0,MAX(0,5-NETWORKDAYS(H6301+1,TODAY()))))</f>
        <v/>
      </c>
      <c r="L6301" t="str">
        <f>IF(A6301="","",IFERROR(LOOKUP(2,1/(#REF!=Z6301),#REF!),Y6301))</f>
        <v/>
      </c>
      <c r="Z6301" t="str">
        <f>IF(A6301="","",TEXT(A6301,"0")&amp;"|"&amp;TEXT(H6301,"0"))</f>
        <v/>
      </c>
      <c r="AA6301" t="str">
        <f>IF(Z6301="","",IFERROR(LOOKUP(2,1/(#REF!=Z6301),#REF!),""))</f>
        <v/>
      </c>
      <c r="AB6301" t="str">
        <f>IF(Z6301="","",IFERROR(LOOKUP(2,1/(#REF!=Z6301),#REF!),""))</f>
        <v/>
      </c>
      <c r="AC6301" t="str">
        <f>IF(Z6301="","",COUNTIF(#REF!,Z6301))</f>
        <v/>
      </c>
      <c r="AD6301" t="str">
        <f>IF(A6301="","",IF(AC6301&gt;1,"REVISAR DUPLICADO",IF(AA6301&lt;&gt;"","ACTUALIZADO POR EYR","SIN REPORTE EYR")))</f>
        <v/>
      </c>
    </row>
    <row r="6302" spans="11:30" x14ac:dyDescent="0.3">
      <c r="K6302" s="1" t="str">
        <f ca="1">IF(A6302="","",IF(OR(L6302="ENTREGADA",L6302="RETORNADA",L6302="ENTREGA DIGITAL"),0,MAX(0,5-NETWORKDAYS(H6302+1,TODAY()))))</f>
        <v/>
      </c>
      <c r="L6302" t="str">
        <f>IF(A6302="","",IFERROR(LOOKUP(2,1/(#REF!=Z6302),#REF!),Y6302))</f>
        <v/>
      </c>
      <c r="Z6302" t="str">
        <f>IF(A6302="","",TEXT(A6302,"0")&amp;"|"&amp;TEXT(H6302,"0"))</f>
        <v/>
      </c>
      <c r="AA6302" t="str">
        <f>IF(Z6302="","",IFERROR(LOOKUP(2,1/(#REF!=Z6302),#REF!),""))</f>
        <v/>
      </c>
      <c r="AB6302" t="str">
        <f>IF(Z6302="","",IFERROR(LOOKUP(2,1/(#REF!=Z6302),#REF!),""))</f>
        <v/>
      </c>
      <c r="AC6302" t="str">
        <f>IF(Z6302="","",COUNTIF(#REF!,Z6302))</f>
        <v/>
      </c>
      <c r="AD6302" t="str">
        <f>IF(A6302="","",IF(AC6302&gt;1,"REVISAR DUPLICADO",IF(AA6302&lt;&gt;"","ACTUALIZADO POR EYR","SIN REPORTE EYR")))</f>
        <v/>
      </c>
    </row>
    <row r="6303" spans="11:30" x14ac:dyDescent="0.3">
      <c r="K6303" s="1" t="str">
        <f ca="1">IF(A6303="","",IF(OR(L6303="ENTREGADA",L6303="RETORNADA",L6303="ENTREGA DIGITAL"),0,MAX(0,5-NETWORKDAYS(H6303+1,TODAY()))))</f>
        <v/>
      </c>
      <c r="L6303" t="str">
        <f>IF(A6303="","",IFERROR(LOOKUP(2,1/(#REF!=Z6303),#REF!),Y6303))</f>
        <v/>
      </c>
      <c r="Z6303" t="str">
        <f>IF(A6303="","",TEXT(A6303,"0")&amp;"|"&amp;TEXT(H6303,"0"))</f>
        <v/>
      </c>
      <c r="AA6303" t="str">
        <f>IF(Z6303="","",IFERROR(LOOKUP(2,1/(#REF!=Z6303),#REF!),""))</f>
        <v/>
      </c>
      <c r="AB6303" t="str">
        <f>IF(Z6303="","",IFERROR(LOOKUP(2,1/(#REF!=Z6303),#REF!),""))</f>
        <v/>
      </c>
      <c r="AC6303" t="str">
        <f>IF(Z6303="","",COUNTIF(#REF!,Z6303))</f>
        <v/>
      </c>
      <c r="AD6303" t="str">
        <f>IF(A6303="","",IF(AC6303&gt;1,"REVISAR DUPLICADO",IF(AA6303&lt;&gt;"","ACTUALIZADO POR EYR","SIN REPORTE EYR")))</f>
        <v/>
      </c>
    </row>
    <row r="6304" spans="11:30" x14ac:dyDescent="0.3">
      <c r="K6304" s="1" t="str">
        <f ca="1">IF(A6304="","",IF(OR(L6304="ENTREGADA",L6304="RETORNADA",L6304="ENTREGA DIGITAL"),0,MAX(0,5-NETWORKDAYS(H6304+1,TODAY()))))</f>
        <v/>
      </c>
      <c r="L6304" t="str">
        <f>IF(A6304="","",IFERROR(LOOKUP(2,1/(#REF!=Z6304),#REF!),Y6304))</f>
        <v/>
      </c>
      <c r="Z6304" t="str">
        <f>IF(A6304="","",TEXT(A6304,"0")&amp;"|"&amp;TEXT(H6304,"0"))</f>
        <v/>
      </c>
      <c r="AA6304" t="str">
        <f>IF(Z6304="","",IFERROR(LOOKUP(2,1/(#REF!=Z6304),#REF!),""))</f>
        <v/>
      </c>
      <c r="AB6304" t="str">
        <f>IF(Z6304="","",IFERROR(LOOKUP(2,1/(#REF!=Z6304),#REF!),""))</f>
        <v/>
      </c>
      <c r="AC6304" t="str">
        <f>IF(Z6304="","",COUNTIF(#REF!,Z6304))</f>
        <v/>
      </c>
      <c r="AD6304" t="str">
        <f>IF(A6304="","",IF(AC6304&gt;1,"REVISAR DUPLICADO",IF(AA6304&lt;&gt;"","ACTUALIZADO POR EYR","SIN REPORTE EYR")))</f>
        <v/>
      </c>
    </row>
    <row r="6305" spans="11:30" x14ac:dyDescent="0.3">
      <c r="K6305" s="1" t="str">
        <f ca="1">IF(A6305="","",IF(OR(L6305="ENTREGADA",L6305="RETORNADA",L6305="ENTREGA DIGITAL"),0,MAX(0,5-NETWORKDAYS(H6305+1,TODAY()))))</f>
        <v/>
      </c>
      <c r="L6305" t="str">
        <f>IF(A6305="","",IFERROR(LOOKUP(2,1/(#REF!=Z6305),#REF!),Y6305))</f>
        <v/>
      </c>
      <c r="Z6305" t="str">
        <f>IF(A6305="","",TEXT(A6305,"0")&amp;"|"&amp;TEXT(H6305,"0"))</f>
        <v/>
      </c>
      <c r="AA6305" t="str">
        <f>IF(Z6305="","",IFERROR(LOOKUP(2,1/(#REF!=Z6305),#REF!),""))</f>
        <v/>
      </c>
      <c r="AB6305" t="str">
        <f>IF(Z6305="","",IFERROR(LOOKUP(2,1/(#REF!=Z6305),#REF!),""))</f>
        <v/>
      </c>
      <c r="AC6305" t="str">
        <f>IF(Z6305="","",COUNTIF(#REF!,Z6305))</f>
        <v/>
      </c>
      <c r="AD6305" t="str">
        <f>IF(A6305="","",IF(AC6305&gt;1,"REVISAR DUPLICADO",IF(AA6305&lt;&gt;"","ACTUALIZADO POR EYR","SIN REPORTE EYR")))</f>
        <v/>
      </c>
    </row>
    <row r="6306" spans="11:30" x14ac:dyDescent="0.3">
      <c r="K6306" s="1" t="str">
        <f ca="1">IF(A6306="","",IF(OR(L6306="ENTREGADA",L6306="RETORNADA",L6306="ENTREGA DIGITAL"),0,MAX(0,5-NETWORKDAYS(H6306+1,TODAY()))))</f>
        <v/>
      </c>
      <c r="L6306" t="str">
        <f>IF(A6306="","",IFERROR(LOOKUP(2,1/(#REF!=Z6306),#REF!),Y6306))</f>
        <v/>
      </c>
      <c r="Z6306" t="str">
        <f>IF(A6306="","",TEXT(A6306,"0")&amp;"|"&amp;TEXT(H6306,"0"))</f>
        <v/>
      </c>
      <c r="AA6306" t="str">
        <f>IF(Z6306="","",IFERROR(LOOKUP(2,1/(#REF!=Z6306),#REF!),""))</f>
        <v/>
      </c>
      <c r="AB6306" t="str">
        <f>IF(Z6306="","",IFERROR(LOOKUP(2,1/(#REF!=Z6306),#REF!),""))</f>
        <v/>
      </c>
      <c r="AC6306" t="str">
        <f>IF(Z6306="","",COUNTIF(#REF!,Z6306))</f>
        <v/>
      </c>
      <c r="AD6306" t="str">
        <f>IF(A6306="","",IF(AC6306&gt;1,"REVISAR DUPLICADO",IF(AA6306&lt;&gt;"","ACTUALIZADO POR EYR","SIN REPORTE EYR")))</f>
        <v/>
      </c>
    </row>
    <row r="6307" spans="11:30" x14ac:dyDescent="0.3">
      <c r="K6307" s="1" t="str">
        <f ca="1">IF(A6307="","",IF(OR(L6307="ENTREGADA",L6307="RETORNADA",L6307="ENTREGA DIGITAL"),0,MAX(0,5-NETWORKDAYS(H6307+1,TODAY()))))</f>
        <v/>
      </c>
      <c r="L6307" t="str">
        <f>IF(A6307="","",IFERROR(LOOKUP(2,1/(#REF!=Z6307),#REF!),Y6307))</f>
        <v/>
      </c>
      <c r="Z6307" t="str">
        <f>IF(A6307="","",TEXT(A6307,"0")&amp;"|"&amp;TEXT(H6307,"0"))</f>
        <v/>
      </c>
      <c r="AA6307" t="str">
        <f>IF(Z6307="","",IFERROR(LOOKUP(2,1/(#REF!=Z6307),#REF!),""))</f>
        <v/>
      </c>
      <c r="AB6307" t="str">
        <f>IF(Z6307="","",IFERROR(LOOKUP(2,1/(#REF!=Z6307),#REF!),""))</f>
        <v/>
      </c>
      <c r="AC6307" t="str">
        <f>IF(Z6307="","",COUNTIF(#REF!,Z6307))</f>
        <v/>
      </c>
      <c r="AD6307" t="str">
        <f>IF(A6307="","",IF(AC6307&gt;1,"REVISAR DUPLICADO",IF(AA6307&lt;&gt;"","ACTUALIZADO POR EYR","SIN REPORTE EYR")))</f>
        <v/>
      </c>
    </row>
    <row r="6308" spans="11:30" x14ac:dyDescent="0.3">
      <c r="K6308" s="1" t="str">
        <f ca="1">IF(A6308="","",IF(OR(L6308="ENTREGADA",L6308="RETORNADA",L6308="ENTREGA DIGITAL"),0,MAX(0,5-NETWORKDAYS(H6308+1,TODAY()))))</f>
        <v/>
      </c>
      <c r="L6308" t="str">
        <f>IF(A6308="","",IFERROR(LOOKUP(2,1/(#REF!=Z6308),#REF!),Y6308))</f>
        <v/>
      </c>
      <c r="Z6308" t="str">
        <f>IF(A6308="","",TEXT(A6308,"0")&amp;"|"&amp;TEXT(H6308,"0"))</f>
        <v/>
      </c>
      <c r="AA6308" t="str">
        <f>IF(Z6308="","",IFERROR(LOOKUP(2,1/(#REF!=Z6308),#REF!),""))</f>
        <v/>
      </c>
      <c r="AB6308" t="str">
        <f>IF(Z6308="","",IFERROR(LOOKUP(2,1/(#REF!=Z6308),#REF!),""))</f>
        <v/>
      </c>
      <c r="AC6308" t="str">
        <f>IF(Z6308="","",COUNTIF(#REF!,Z6308))</f>
        <v/>
      </c>
      <c r="AD6308" t="str">
        <f>IF(A6308="","",IF(AC6308&gt;1,"REVISAR DUPLICADO",IF(AA6308&lt;&gt;"","ACTUALIZADO POR EYR","SIN REPORTE EYR")))</f>
        <v/>
      </c>
    </row>
    <row r="6309" spans="11:30" x14ac:dyDescent="0.3">
      <c r="K6309" s="1" t="str">
        <f ca="1">IF(A6309="","",IF(OR(L6309="ENTREGADA",L6309="RETORNADA",L6309="ENTREGA DIGITAL"),0,MAX(0,5-NETWORKDAYS(H6309+1,TODAY()))))</f>
        <v/>
      </c>
      <c r="L6309" t="str">
        <f>IF(A6309="","",IFERROR(LOOKUP(2,1/(#REF!=Z6309),#REF!),Y6309))</f>
        <v/>
      </c>
      <c r="Z6309" t="str">
        <f>IF(A6309="","",TEXT(A6309,"0")&amp;"|"&amp;TEXT(H6309,"0"))</f>
        <v/>
      </c>
      <c r="AA6309" t="str">
        <f>IF(Z6309="","",IFERROR(LOOKUP(2,1/(#REF!=Z6309),#REF!),""))</f>
        <v/>
      </c>
      <c r="AB6309" t="str">
        <f>IF(Z6309="","",IFERROR(LOOKUP(2,1/(#REF!=Z6309),#REF!),""))</f>
        <v/>
      </c>
      <c r="AC6309" t="str">
        <f>IF(Z6309="","",COUNTIF(#REF!,Z6309))</f>
        <v/>
      </c>
      <c r="AD6309" t="str">
        <f>IF(A6309="","",IF(AC6309&gt;1,"REVISAR DUPLICADO",IF(AA6309&lt;&gt;"","ACTUALIZADO POR EYR","SIN REPORTE EYR")))</f>
        <v/>
      </c>
    </row>
    <row r="6310" spans="11:30" x14ac:dyDescent="0.3">
      <c r="K6310" s="1" t="str">
        <f ca="1">IF(A6310="","",IF(OR(L6310="ENTREGADA",L6310="RETORNADA",L6310="ENTREGA DIGITAL"),0,MAX(0,5-NETWORKDAYS(H6310+1,TODAY()))))</f>
        <v/>
      </c>
      <c r="L6310" t="str">
        <f>IF(A6310="","",IFERROR(LOOKUP(2,1/(#REF!=Z6310),#REF!),Y6310))</f>
        <v/>
      </c>
      <c r="Z6310" t="str">
        <f>IF(A6310="","",TEXT(A6310,"0")&amp;"|"&amp;TEXT(H6310,"0"))</f>
        <v/>
      </c>
      <c r="AA6310" t="str">
        <f>IF(Z6310="","",IFERROR(LOOKUP(2,1/(#REF!=Z6310),#REF!),""))</f>
        <v/>
      </c>
      <c r="AB6310" t="str">
        <f>IF(Z6310="","",IFERROR(LOOKUP(2,1/(#REF!=Z6310),#REF!),""))</f>
        <v/>
      </c>
      <c r="AC6310" t="str">
        <f>IF(Z6310="","",COUNTIF(#REF!,Z6310))</f>
        <v/>
      </c>
      <c r="AD6310" t="str">
        <f>IF(A6310="","",IF(AC6310&gt;1,"REVISAR DUPLICADO",IF(AA6310&lt;&gt;"","ACTUALIZADO POR EYR","SIN REPORTE EYR")))</f>
        <v/>
      </c>
    </row>
    <row r="6311" spans="11:30" x14ac:dyDescent="0.3">
      <c r="K6311" s="1" t="str">
        <f ca="1">IF(A6311="","",IF(OR(L6311="ENTREGADA",L6311="RETORNADA",L6311="ENTREGA DIGITAL"),0,MAX(0,5-NETWORKDAYS(H6311+1,TODAY()))))</f>
        <v/>
      </c>
      <c r="L6311" t="str">
        <f>IF(A6311="","",IFERROR(LOOKUP(2,1/(#REF!=Z6311),#REF!),Y6311))</f>
        <v/>
      </c>
      <c r="Z6311" t="str">
        <f>IF(A6311="","",TEXT(A6311,"0")&amp;"|"&amp;TEXT(H6311,"0"))</f>
        <v/>
      </c>
      <c r="AA6311" t="str">
        <f>IF(Z6311="","",IFERROR(LOOKUP(2,1/(#REF!=Z6311),#REF!),""))</f>
        <v/>
      </c>
      <c r="AB6311" t="str">
        <f>IF(Z6311="","",IFERROR(LOOKUP(2,1/(#REF!=Z6311),#REF!),""))</f>
        <v/>
      </c>
      <c r="AC6311" t="str">
        <f>IF(Z6311="","",COUNTIF(#REF!,Z6311))</f>
        <v/>
      </c>
      <c r="AD6311" t="str">
        <f>IF(A6311="","",IF(AC6311&gt;1,"REVISAR DUPLICADO",IF(AA6311&lt;&gt;"","ACTUALIZADO POR EYR","SIN REPORTE EYR")))</f>
        <v/>
      </c>
    </row>
    <row r="6312" spans="11:30" x14ac:dyDescent="0.3">
      <c r="K6312" s="1" t="str">
        <f ca="1">IF(A6312="","",IF(OR(L6312="ENTREGADA",L6312="RETORNADA",L6312="ENTREGA DIGITAL"),0,MAX(0,5-NETWORKDAYS(H6312+1,TODAY()))))</f>
        <v/>
      </c>
      <c r="L6312" t="str">
        <f>IF(A6312="","",IFERROR(LOOKUP(2,1/(#REF!=Z6312),#REF!),Y6312))</f>
        <v/>
      </c>
      <c r="Z6312" t="str">
        <f>IF(A6312="","",TEXT(A6312,"0")&amp;"|"&amp;TEXT(H6312,"0"))</f>
        <v/>
      </c>
      <c r="AA6312" t="str">
        <f>IF(Z6312="","",IFERROR(LOOKUP(2,1/(#REF!=Z6312),#REF!),""))</f>
        <v/>
      </c>
      <c r="AB6312" t="str">
        <f>IF(Z6312="","",IFERROR(LOOKUP(2,1/(#REF!=Z6312),#REF!),""))</f>
        <v/>
      </c>
      <c r="AC6312" t="str">
        <f>IF(Z6312="","",COUNTIF(#REF!,Z6312))</f>
        <v/>
      </c>
      <c r="AD6312" t="str">
        <f>IF(A6312="","",IF(AC6312&gt;1,"REVISAR DUPLICADO",IF(AA6312&lt;&gt;"","ACTUALIZADO POR EYR","SIN REPORTE EYR")))</f>
        <v/>
      </c>
    </row>
    <row r="6313" spans="11:30" x14ac:dyDescent="0.3">
      <c r="K6313" s="1" t="str">
        <f ca="1">IF(A6313="","",IF(OR(L6313="ENTREGADA",L6313="RETORNADA",L6313="ENTREGA DIGITAL"),0,MAX(0,5-NETWORKDAYS(H6313+1,TODAY()))))</f>
        <v/>
      </c>
      <c r="L6313" t="str">
        <f>IF(A6313="","",IFERROR(LOOKUP(2,1/(#REF!=Z6313),#REF!),Y6313))</f>
        <v/>
      </c>
      <c r="Z6313" t="str">
        <f>IF(A6313="","",TEXT(A6313,"0")&amp;"|"&amp;TEXT(H6313,"0"))</f>
        <v/>
      </c>
      <c r="AA6313" t="str">
        <f>IF(Z6313="","",IFERROR(LOOKUP(2,1/(#REF!=Z6313),#REF!),""))</f>
        <v/>
      </c>
      <c r="AB6313" t="str">
        <f>IF(Z6313="","",IFERROR(LOOKUP(2,1/(#REF!=Z6313),#REF!),""))</f>
        <v/>
      </c>
      <c r="AC6313" t="str">
        <f>IF(Z6313="","",COUNTIF(#REF!,Z6313))</f>
        <v/>
      </c>
      <c r="AD6313" t="str">
        <f>IF(A6313="","",IF(AC6313&gt;1,"REVISAR DUPLICADO",IF(AA6313&lt;&gt;"","ACTUALIZADO POR EYR","SIN REPORTE EYR")))</f>
        <v/>
      </c>
    </row>
    <row r="6314" spans="11:30" x14ac:dyDescent="0.3">
      <c r="K6314" s="1" t="str">
        <f ca="1">IF(A6314="","",IF(OR(L6314="ENTREGADA",L6314="RETORNADA",L6314="ENTREGA DIGITAL"),0,MAX(0,5-NETWORKDAYS(H6314+1,TODAY()))))</f>
        <v/>
      </c>
      <c r="L6314" t="str">
        <f>IF(A6314="","",IFERROR(LOOKUP(2,1/(#REF!=Z6314),#REF!),Y6314))</f>
        <v/>
      </c>
      <c r="Z6314" t="str">
        <f>IF(A6314="","",TEXT(A6314,"0")&amp;"|"&amp;TEXT(H6314,"0"))</f>
        <v/>
      </c>
      <c r="AA6314" t="str">
        <f>IF(Z6314="","",IFERROR(LOOKUP(2,1/(#REF!=Z6314),#REF!),""))</f>
        <v/>
      </c>
      <c r="AB6314" t="str">
        <f>IF(Z6314="","",IFERROR(LOOKUP(2,1/(#REF!=Z6314),#REF!),""))</f>
        <v/>
      </c>
      <c r="AC6314" t="str">
        <f>IF(Z6314="","",COUNTIF(#REF!,Z6314))</f>
        <v/>
      </c>
      <c r="AD6314" t="str">
        <f>IF(A6314="","",IF(AC6314&gt;1,"REVISAR DUPLICADO",IF(AA6314&lt;&gt;"","ACTUALIZADO POR EYR","SIN REPORTE EYR")))</f>
        <v/>
      </c>
    </row>
    <row r="6315" spans="11:30" x14ac:dyDescent="0.3">
      <c r="K6315" s="1" t="str">
        <f ca="1">IF(A6315="","",IF(OR(L6315="ENTREGADA",L6315="RETORNADA",L6315="ENTREGA DIGITAL"),0,MAX(0,5-NETWORKDAYS(H6315+1,TODAY()))))</f>
        <v/>
      </c>
      <c r="L6315" t="str">
        <f>IF(A6315="","",IFERROR(LOOKUP(2,1/(#REF!=Z6315),#REF!),Y6315))</f>
        <v/>
      </c>
      <c r="Z6315" t="str">
        <f>IF(A6315="","",TEXT(A6315,"0")&amp;"|"&amp;TEXT(H6315,"0"))</f>
        <v/>
      </c>
      <c r="AA6315" t="str">
        <f>IF(Z6315="","",IFERROR(LOOKUP(2,1/(#REF!=Z6315),#REF!),""))</f>
        <v/>
      </c>
      <c r="AB6315" t="str">
        <f>IF(Z6315="","",IFERROR(LOOKUP(2,1/(#REF!=Z6315),#REF!),""))</f>
        <v/>
      </c>
      <c r="AC6315" t="str">
        <f>IF(Z6315="","",COUNTIF(#REF!,Z6315))</f>
        <v/>
      </c>
      <c r="AD6315" t="str">
        <f>IF(A6315="","",IF(AC6315&gt;1,"REVISAR DUPLICADO",IF(AA6315&lt;&gt;"","ACTUALIZADO POR EYR","SIN REPORTE EYR")))</f>
        <v/>
      </c>
    </row>
    <row r="6316" spans="11:30" x14ac:dyDescent="0.3">
      <c r="K6316" s="1" t="str">
        <f ca="1">IF(A6316="","",IF(OR(L6316="ENTREGADA",L6316="RETORNADA",L6316="ENTREGA DIGITAL"),0,MAX(0,5-NETWORKDAYS(H6316+1,TODAY()))))</f>
        <v/>
      </c>
      <c r="L6316" t="str">
        <f>IF(A6316="","",IFERROR(LOOKUP(2,1/(#REF!=Z6316),#REF!),Y6316))</f>
        <v/>
      </c>
      <c r="Z6316" t="str">
        <f>IF(A6316="","",TEXT(A6316,"0")&amp;"|"&amp;TEXT(H6316,"0"))</f>
        <v/>
      </c>
      <c r="AA6316" t="str">
        <f>IF(Z6316="","",IFERROR(LOOKUP(2,1/(#REF!=Z6316),#REF!),""))</f>
        <v/>
      </c>
      <c r="AB6316" t="str">
        <f>IF(Z6316="","",IFERROR(LOOKUP(2,1/(#REF!=Z6316),#REF!),""))</f>
        <v/>
      </c>
      <c r="AC6316" t="str">
        <f>IF(Z6316="","",COUNTIF(#REF!,Z6316))</f>
        <v/>
      </c>
      <c r="AD6316" t="str">
        <f>IF(A6316="","",IF(AC6316&gt;1,"REVISAR DUPLICADO",IF(AA6316&lt;&gt;"","ACTUALIZADO POR EYR","SIN REPORTE EYR")))</f>
        <v/>
      </c>
    </row>
    <row r="6317" spans="11:30" x14ac:dyDescent="0.3">
      <c r="K6317" s="1" t="str">
        <f ca="1">IF(A6317="","",IF(OR(L6317="ENTREGADA",L6317="RETORNADA",L6317="ENTREGA DIGITAL"),0,MAX(0,5-NETWORKDAYS(H6317+1,TODAY()))))</f>
        <v/>
      </c>
      <c r="L6317" t="str">
        <f>IF(A6317="","",IFERROR(LOOKUP(2,1/(#REF!=Z6317),#REF!),Y6317))</f>
        <v/>
      </c>
      <c r="Z6317" t="str">
        <f>IF(A6317="","",TEXT(A6317,"0")&amp;"|"&amp;TEXT(H6317,"0"))</f>
        <v/>
      </c>
      <c r="AA6317" t="str">
        <f>IF(Z6317="","",IFERROR(LOOKUP(2,1/(#REF!=Z6317),#REF!),""))</f>
        <v/>
      </c>
      <c r="AB6317" t="str">
        <f>IF(Z6317="","",IFERROR(LOOKUP(2,1/(#REF!=Z6317),#REF!),""))</f>
        <v/>
      </c>
      <c r="AC6317" t="str">
        <f>IF(Z6317="","",COUNTIF(#REF!,Z6317))</f>
        <v/>
      </c>
      <c r="AD6317" t="str">
        <f>IF(A6317="","",IF(AC6317&gt;1,"REVISAR DUPLICADO",IF(AA6317&lt;&gt;"","ACTUALIZADO POR EYR","SIN REPORTE EYR")))</f>
        <v/>
      </c>
    </row>
    <row r="6318" spans="11:30" x14ac:dyDescent="0.3">
      <c r="K6318" s="1" t="str">
        <f ca="1">IF(A6318="","",IF(OR(L6318="ENTREGADA",L6318="RETORNADA",L6318="ENTREGA DIGITAL"),0,MAX(0,5-NETWORKDAYS(H6318+1,TODAY()))))</f>
        <v/>
      </c>
      <c r="L6318" t="str">
        <f>IF(A6318="","",IFERROR(LOOKUP(2,1/(#REF!=Z6318),#REF!),Y6318))</f>
        <v/>
      </c>
      <c r="Z6318" t="str">
        <f>IF(A6318="","",TEXT(A6318,"0")&amp;"|"&amp;TEXT(H6318,"0"))</f>
        <v/>
      </c>
      <c r="AA6318" t="str">
        <f>IF(Z6318="","",IFERROR(LOOKUP(2,1/(#REF!=Z6318),#REF!),""))</f>
        <v/>
      </c>
      <c r="AB6318" t="str">
        <f>IF(Z6318="","",IFERROR(LOOKUP(2,1/(#REF!=Z6318),#REF!),""))</f>
        <v/>
      </c>
      <c r="AC6318" t="str">
        <f>IF(Z6318="","",COUNTIF(#REF!,Z6318))</f>
        <v/>
      </c>
      <c r="AD6318" t="str">
        <f>IF(A6318="","",IF(AC6318&gt;1,"REVISAR DUPLICADO",IF(AA6318&lt;&gt;"","ACTUALIZADO POR EYR","SIN REPORTE EYR")))</f>
        <v/>
      </c>
    </row>
    <row r="6319" spans="11:30" x14ac:dyDescent="0.3">
      <c r="K6319" s="1" t="str">
        <f ca="1">IF(A6319="","",IF(OR(L6319="ENTREGADA",L6319="RETORNADA",L6319="ENTREGA DIGITAL"),0,MAX(0,5-NETWORKDAYS(H6319+1,TODAY()))))</f>
        <v/>
      </c>
      <c r="L6319" t="str">
        <f>IF(A6319="","",IFERROR(LOOKUP(2,1/(#REF!=Z6319),#REF!),Y6319))</f>
        <v/>
      </c>
      <c r="Z6319" t="str">
        <f>IF(A6319="","",TEXT(A6319,"0")&amp;"|"&amp;TEXT(H6319,"0"))</f>
        <v/>
      </c>
      <c r="AA6319" t="str">
        <f>IF(Z6319="","",IFERROR(LOOKUP(2,1/(#REF!=Z6319),#REF!),""))</f>
        <v/>
      </c>
      <c r="AB6319" t="str">
        <f>IF(Z6319="","",IFERROR(LOOKUP(2,1/(#REF!=Z6319),#REF!),""))</f>
        <v/>
      </c>
      <c r="AC6319" t="str">
        <f>IF(Z6319="","",COUNTIF(#REF!,Z6319))</f>
        <v/>
      </c>
      <c r="AD6319" t="str">
        <f>IF(A6319="","",IF(AC6319&gt;1,"REVISAR DUPLICADO",IF(AA6319&lt;&gt;"","ACTUALIZADO POR EYR","SIN REPORTE EYR")))</f>
        <v/>
      </c>
    </row>
    <row r="6320" spans="11:30" x14ac:dyDescent="0.3">
      <c r="K6320" s="1" t="str">
        <f ca="1">IF(A6320="","",IF(OR(L6320="ENTREGADA",L6320="RETORNADA",L6320="ENTREGA DIGITAL"),0,MAX(0,5-NETWORKDAYS(H6320+1,TODAY()))))</f>
        <v/>
      </c>
      <c r="L6320" t="str">
        <f>IF(A6320="","",IFERROR(LOOKUP(2,1/(#REF!=Z6320),#REF!),Y6320))</f>
        <v/>
      </c>
      <c r="Z6320" t="str">
        <f>IF(A6320="","",TEXT(A6320,"0")&amp;"|"&amp;TEXT(H6320,"0"))</f>
        <v/>
      </c>
      <c r="AA6320" t="str">
        <f>IF(Z6320="","",IFERROR(LOOKUP(2,1/(#REF!=Z6320),#REF!),""))</f>
        <v/>
      </c>
      <c r="AB6320" t="str">
        <f>IF(Z6320="","",IFERROR(LOOKUP(2,1/(#REF!=Z6320),#REF!),""))</f>
        <v/>
      </c>
      <c r="AC6320" t="str">
        <f>IF(Z6320="","",COUNTIF(#REF!,Z6320))</f>
        <v/>
      </c>
      <c r="AD6320" t="str">
        <f>IF(A6320="","",IF(AC6320&gt;1,"REVISAR DUPLICADO",IF(AA6320&lt;&gt;"","ACTUALIZADO POR EYR","SIN REPORTE EYR")))</f>
        <v/>
      </c>
    </row>
    <row r="6321" spans="11:30" x14ac:dyDescent="0.3">
      <c r="K6321" s="1" t="str">
        <f ca="1">IF(A6321="","",IF(OR(L6321="ENTREGADA",L6321="RETORNADA",L6321="ENTREGA DIGITAL"),0,MAX(0,5-NETWORKDAYS(H6321+1,TODAY()))))</f>
        <v/>
      </c>
      <c r="L6321" t="str">
        <f>IF(A6321="","",IFERROR(LOOKUP(2,1/(#REF!=Z6321),#REF!),Y6321))</f>
        <v/>
      </c>
      <c r="Z6321" t="str">
        <f>IF(A6321="","",TEXT(A6321,"0")&amp;"|"&amp;TEXT(H6321,"0"))</f>
        <v/>
      </c>
      <c r="AA6321" t="str">
        <f>IF(Z6321="","",IFERROR(LOOKUP(2,1/(#REF!=Z6321),#REF!),""))</f>
        <v/>
      </c>
      <c r="AB6321" t="str">
        <f>IF(Z6321="","",IFERROR(LOOKUP(2,1/(#REF!=Z6321),#REF!),""))</f>
        <v/>
      </c>
      <c r="AC6321" t="str">
        <f>IF(Z6321="","",COUNTIF(#REF!,Z6321))</f>
        <v/>
      </c>
      <c r="AD6321" t="str">
        <f>IF(A6321="","",IF(AC6321&gt;1,"REVISAR DUPLICADO",IF(AA6321&lt;&gt;"","ACTUALIZADO POR EYR","SIN REPORTE EYR")))</f>
        <v/>
      </c>
    </row>
    <row r="6322" spans="11:30" x14ac:dyDescent="0.3">
      <c r="K6322" s="1" t="str">
        <f ca="1">IF(A6322="","",IF(OR(L6322="ENTREGADA",L6322="RETORNADA",L6322="ENTREGA DIGITAL"),0,MAX(0,5-NETWORKDAYS(H6322+1,TODAY()))))</f>
        <v/>
      </c>
      <c r="L6322" t="str">
        <f>IF(A6322="","",IFERROR(LOOKUP(2,1/(#REF!=Z6322),#REF!),Y6322))</f>
        <v/>
      </c>
      <c r="Z6322" t="str">
        <f>IF(A6322="","",TEXT(A6322,"0")&amp;"|"&amp;TEXT(H6322,"0"))</f>
        <v/>
      </c>
      <c r="AA6322" t="str">
        <f>IF(Z6322="","",IFERROR(LOOKUP(2,1/(#REF!=Z6322),#REF!),""))</f>
        <v/>
      </c>
      <c r="AB6322" t="str">
        <f>IF(Z6322="","",IFERROR(LOOKUP(2,1/(#REF!=Z6322),#REF!),""))</f>
        <v/>
      </c>
      <c r="AC6322" t="str">
        <f>IF(Z6322="","",COUNTIF(#REF!,Z6322))</f>
        <v/>
      </c>
      <c r="AD6322" t="str">
        <f>IF(A6322="","",IF(AC6322&gt;1,"REVISAR DUPLICADO",IF(AA6322&lt;&gt;"","ACTUALIZADO POR EYR","SIN REPORTE EYR")))</f>
        <v/>
      </c>
    </row>
    <row r="6323" spans="11:30" x14ac:dyDescent="0.3">
      <c r="K6323" s="1" t="str">
        <f ca="1">IF(A6323="","",IF(OR(L6323="ENTREGADA",L6323="RETORNADA",L6323="ENTREGA DIGITAL"),0,MAX(0,5-NETWORKDAYS(H6323+1,TODAY()))))</f>
        <v/>
      </c>
      <c r="L6323" t="str">
        <f>IF(A6323="","",IFERROR(LOOKUP(2,1/(#REF!=Z6323),#REF!),Y6323))</f>
        <v/>
      </c>
      <c r="Z6323" t="str">
        <f>IF(A6323="","",TEXT(A6323,"0")&amp;"|"&amp;TEXT(H6323,"0"))</f>
        <v/>
      </c>
      <c r="AA6323" t="str">
        <f>IF(Z6323="","",IFERROR(LOOKUP(2,1/(#REF!=Z6323),#REF!),""))</f>
        <v/>
      </c>
      <c r="AB6323" t="str">
        <f>IF(Z6323="","",IFERROR(LOOKUP(2,1/(#REF!=Z6323),#REF!),""))</f>
        <v/>
      </c>
      <c r="AC6323" t="str">
        <f>IF(Z6323="","",COUNTIF(#REF!,Z6323))</f>
        <v/>
      </c>
      <c r="AD6323" t="str">
        <f>IF(A6323="","",IF(AC6323&gt;1,"REVISAR DUPLICADO",IF(AA6323&lt;&gt;"","ACTUALIZADO POR EYR","SIN REPORTE EYR")))</f>
        <v/>
      </c>
    </row>
    <row r="6324" spans="11:30" x14ac:dyDescent="0.3">
      <c r="K6324" s="1" t="str">
        <f ca="1">IF(A6324="","",IF(OR(L6324="ENTREGADA",L6324="RETORNADA",L6324="ENTREGA DIGITAL"),0,MAX(0,5-NETWORKDAYS(H6324+1,TODAY()))))</f>
        <v/>
      </c>
      <c r="L6324" t="str">
        <f>IF(A6324="","",IFERROR(LOOKUP(2,1/(#REF!=Z6324),#REF!),Y6324))</f>
        <v/>
      </c>
      <c r="Z6324" t="str">
        <f>IF(A6324="","",TEXT(A6324,"0")&amp;"|"&amp;TEXT(H6324,"0"))</f>
        <v/>
      </c>
      <c r="AA6324" t="str">
        <f>IF(Z6324="","",IFERROR(LOOKUP(2,1/(#REF!=Z6324),#REF!),""))</f>
        <v/>
      </c>
      <c r="AB6324" t="str">
        <f>IF(Z6324="","",IFERROR(LOOKUP(2,1/(#REF!=Z6324),#REF!),""))</f>
        <v/>
      </c>
      <c r="AC6324" t="str">
        <f>IF(Z6324="","",COUNTIF(#REF!,Z6324))</f>
        <v/>
      </c>
      <c r="AD6324" t="str">
        <f>IF(A6324="","",IF(AC6324&gt;1,"REVISAR DUPLICADO",IF(AA6324&lt;&gt;"","ACTUALIZADO POR EYR","SIN REPORTE EYR")))</f>
        <v/>
      </c>
    </row>
    <row r="6325" spans="11:30" x14ac:dyDescent="0.3">
      <c r="K6325" s="1" t="str">
        <f ca="1">IF(A6325="","",IF(OR(L6325="ENTREGADA",L6325="RETORNADA",L6325="ENTREGA DIGITAL"),0,MAX(0,5-NETWORKDAYS(H6325+1,TODAY()))))</f>
        <v/>
      </c>
      <c r="L6325" t="str">
        <f>IF(A6325="","",IFERROR(LOOKUP(2,1/(#REF!=Z6325),#REF!),Y6325))</f>
        <v/>
      </c>
      <c r="Z6325" t="str">
        <f>IF(A6325="","",TEXT(A6325,"0")&amp;"|"&amp;TEXT(H6325,"0"))</f>
        <v/>
      </c>
      <c r="AA6325" t="str">
        <f>IF(Z6325="","",IFERROR(LOOKUP(2,1/(#REF!=Z6325),#REF!),""))</f>
        <v/>
      </c>
      <c r="AB6325" t="str">
        <f>IF(Z6325="","",IFERROR(LOOKUP(2,1/(#REF!=Z6325),#REF!),""))</f>
        <v/>
      </c>
      <c r="AC6325" t="str">
        <f>IF(Z6325="","",COUNTIF(#REF!,Z6325))</f>
        <v/>
      </c>
      <c r="AD6325" t="str">
        <f>IF(A6325="","",IF(AC6325&gt;1,"REVISAR DUPLICADO",IF(AA6325&lt;&gt;"","ACTUALIZADO POR EYR","SIN REPORTE EYR")))</f>
        <v/>
      </c>
    </row>
    <row r="6326" spans="11:30" x14ac:dyDescent="0.3">
      <c r="K6326" s="1" t="str">
        <f ca="1">IF(A6326="","",IF(OR(L6326="ENTREGADA",L6326="RETORNADA",L6326="ENTREGA DIGITAL"),0,MAX(0,5-NETWORKDAYS(H6326+1,TODAY()))))</f>
        <v/>
      </c>
      <c r="L6326" t="str">
        <f>IF(A6326="","",IFERROR(LOOKUP(2,1/(#REF!=Z6326),#REF!),Y6326))</f>
        <v/>
      </c>
      <c r="Z6326" t="str">
        <f>IF(A6326="","",TEXT(A6326,"0")&amp;"|"&amp;TEXT(H6326,"0"))</f>
        <v/>
      </c>
      <c r="AA6326" t="str">
        <f>IF(Z6326="","",IFERROR(LOOKUP(2,1/(#REF!=Z6326),#REF!),""))</f>
        <v/>
      </c>
      <c r="AB6326" t="str">
        <f>IF(Z6326="","",IFERROR(LOOKUP(2,1/(#REF!=Z6326),#REF!),""))</f>
        <v/>
      </c>
      <c r="AC6326" t="str">
        <f>IF(Z6326="","",COUNTIF(#REF!,Z6326))</f>
        <v/>
      </c>
      <c r="AD6326" t="str">
        <f>IF(A6326="","",IF(AC6326&gt;1,"REVISAR DUPLICADO",IF(AA6326&lt;&gt;"","ACTUALIZADO POR EYR","SIN REPORTE EYR")))</f>
        <v/>
      </c>
    </row>
    <row r="6327" spans="11:30" x14ac:dyDescent="0.3">
      <c r="K6327" s="1" t="str">
        <f ca="1">IF(A6327="","",IF(OR(L6327="ENTREGADA",L6327="RETORNADA",L6327="ENTREGA DIGITAL"),0,MAX(0,5-NETWORKDAYS(H6327+1,TODAY()))))</f>
        <v/>
      </c>
      <c r="L6327" t="str">
        <f>IF(A6327="","",IFERROR(LOOKUP(2,1/(#REF!=Z6327),#REF!),Y6327))</f>
        <v/>
      </c>
      <c r="Z6327" t="str">
        <f>IF(A6327="","",TEXT(A6327,"0")&amp;"|"&amp;TEXT(H6327,"0"))</f>
        <v/>
      </c>
      <c r="AA6327" t="str">
        <f>IF(Z6327="","",IFERROR(LOOKUP(2,1/(#REF!=Z6327),#REF!),""))</f>
        <v/>
      </c>
      <c r="AB6327" t="str">
        <f>IF(Z6327="","",IFERROR(LOOKUP(2,1/(#REF!=Z6327),#REF!),""))</f>
        <v/>
      </c>
      <c r="AC6327" t="str">
        <f>IF(Z6327="","",COUNTIF(#REF!,Z6327))</f>
        <v/>
      </c>
      <c r="AD6327" t="str">
        <f>IF(A6327="","",IF(AC6327&gt;1,"REVISAR DUPLICADO",IF(AA6327&lt;&gt;"","ACTUALIZADO POR EYR","SIN REPORTE EYR")))</f>
        <v/>
      </c>
    </row>
    <row r="6328" spans="11:30" x14ac:dyDescent="0.3">
      <c r="K6328" s="1" t="str">
        <f ca="1">IF(A6328="","",IF(OR(L6328="ENTREGADA",L6328="RETORNADA",L6328="ENTREGA DIGITAL"),0,MAX(0,5-NETWORKDAYS(H6328+1,TODAY()))))</f>
        <v/>
      </c>
      <c r="L6328" t="str">
        <f>IF(A6328="","",IFERROR(LOOKUP(2,1/(#REF!=Z6328),#REF!),Y6328))</f>
        <v/>
      </c>
      <c r="Z6328" t="str">
        <f>IF(A6328="","",TEXT(A6328,"0")&amp;"|"&amp;TEXT(H6328,"0"))</f>
        <v/>
      </c>
      <c r="AA6328" t="str">
        <f>IF(Z6328="","",IFERROR(LOOKUP(2,1/(#REF!=Z6328),#REF!),""))</f>
        <v/>
      </c>
      <c r="AB6328" t="str">
        <f>IF(Z6328="","",IFERROR(LOOKUP(2,1/(#REF!=Z6328),#REF!),""))</f>
        <v/>
      </c>
      <c r="AC6328" t="str">
        <f>IF(Z6328="","",COUNTIF(#REF!,Z6328))</f>
        <v/>
      </c>
      <c r="AD6328" t="str">
        <f>IF(A6328="","",IF(AC6328&gt;1,"REVISAR DUPLICADO",IF(AA6328&lt;&gt;"","ACTUALIZADO POR EYR","SIN REPORTE EYR")))</f>
        <v/>
      </c>
    </row>
    <row r="6329" spans="11:30" x14ac:dyDescent="0.3">
      <c r="K6329" s="1" t="str">
        <f ca="1">IF(A6329="","",IF(OR(L6329="ENTREGADA",L6329="RETORNADA",L6329="ENTREGA DIGITAL"),0,MAX(0,5-NETWORKDAYS(H6329+1,TODAY()))))</f>
        <v/>
      </c>
      <c r="L6329" t="str">
        <f>IF(A6329="","",IFERROR(LOOKUP(2,1/(#REF!=Z6329),#REF!),Y6329))</f>
        <v/>
      </c>
      <c r="Z6329" t="str">
        <f>IF(A6329="","",TEXT(A6329,"0")&amp;"|"&amp;TEXT(H6329,"0"))</f>
        <v/>
      </c>
      <c r="AA6329" t="str">
        <f>IF(Z6329="","",IFERROR(LOOKUP(2,1/(#REF!=Z6329),#REF!),""))</f>
        <v/>
      </c>
      <c r="AB6329" t="str">
        <f>IF(Z6329="","",IFERROR(LOOKUP(2,1/(#REF!=Z6329),#REF!),""))</f>
        <v/>
      </c>
      <c r="AC6329" t="str">
        <f>IF(Z6329="","",COUNTIF(#REF!,Z6329))</f>
        <v/>
      </c>
      <c r="AD6329" t="str">
        <f>IF(A6329="","",IF(AC6329&gt;1,"REVISAR DUPLICADO",IF(AA6329&lt;&gt;"","ACTUALIZADO POR EYR","SIN REPORTE EYR")))</f>
        <v/>
      </c>
    </row>
    <row r="6330" spans="11:30" x14ac:dyDescent="0.3">
      <c r="K6330" s="1" t="str">
        <f ca="1">IF(A6330="","",IF(OR(L6330="ENTREGADA",L6330="RETORNADA",L6330="ENTREGA DIGITAL"),0,MAX(0,5-NETWORKDAYS(H6330+1,TODAY()))))</f>
        <v/>
      </c>
      <c r="L6330" t="str">
        <f>IF(A6330="","",IFERROR(LOOKUP(2,1/(#REF!=Z6330),#REF!),Y6330))</f>
        <v/>
      </c>
      <c r="Z6330" t="str">
        <f>IF(A6330="","",TEXT(A6330,"0")&amp;"|"&amp;TEXT(H6330,"0"))</f>
        <v/>
      </c>
      <c r="AA6330" t="str">
        <f>IF(Z6330="","",IFERROR(LOOKUP(2,1/(#REF!=Z6330),#REF!),""))</f>
        <v/>
      </c>
      <c r="AB6330" t="str">
        <f>IF(Z6330="","",IFERROR(LOOKUP(2,1/(#REF!=Z6330),#REF!),""))</f>
        <v/>
      </c>
      <c r="AC6330" t="str">
        <f>IF(Z6330="","",COUNTIF(#REF!,Z6330))</f>
        <v/>
      </c>
      <c r="AD6330" t="str">
        <f>IF(A6330="","",IF(AC6330&gt;1,"REVISAR DUPLICADO",IF(AA6330&lt;&gt;"","ACTUALIZADO POR EYR","SIN REPORTE EYR")))</f>
        <v/>
      </c>
    </row>
    <row r="6331" spans="11:30" x14ac:dyDescent="0.3">
      <c r="K6331" s="1" t="str">
        <f ca="1">IF(A6331="","",IF(OR(L6331="ENTREGADA",L6331="RETORNADA",L6331="ENTREGA DIGITAL"),0,MAX(0,5-NETWORKDAYS(H6331+1,TODAY()))))</f>
        <v/>
      </c>
      <c r="L6331" t="str">
        <f>IF(A6331="","",IFERROR(LOOKUP(2,1/(#REF!=Z6331),#REF!),Y6331))</f>
        <v/>
      </c>
      <c r="Z6331" t="str">
        <f>IF(A6331="","",TEXT(A6331,"0")&amp;"|"&amp;TEXT(H6331,"0"))</f>
        <v/>
      </c>
      <c r="AA6331" t="str">
        <f>IF(Z6331="","",IFERROR(LOOKUP(2,1/(#REF!=Z6331),#REF!),""))</f>
        <v/>
      </c>
      <c r="AB6331" t="str">
        <f>IF(Z6331="","",IFERROR(LOOKUP(2,1/(#REF!=Z6331),#REF!),""))</f>
        <v/>
      </c>
      <c r="AC6331" t="str">
        <f>IF(Z6331="","",COUNTIF(#REF!,Z6331))</f>
        <v/>
      </c>
      <c r="AD6331" t="str">
        <f>IF(A6331="","",IF(AC6331&gt;1,"REVISAR DUPLICADO",IF(AA6331&lt;&gt;"","ACTUALIZADO POR EYR","SIN REPORTE EYR")))</f>
        <v/>
      </c>
    </row>
    <row r="6332" spans="11:30" x14ac:dyDescent="0.3">
      <c r="K6332" s="1" t="str">
        <f ca="1">IF(A6332="","",IF(OR(L6332="ENTREGADA",L6332="RETORNADA",L6332="ENTREGA DIGITAL"),0,MAX(0,5-NETWORKDAYS(H6332+1,TODAY()))))</f>
        <v/>
      </c>
      <c r="L6332" t="str">
        <f>IF(A6332="","",IFERROR(LOOKUP(2,1/(#REF!=Z6332),#REF!),Y6332))</f>
        <v/>
      </c>
      <c r="Z6332" t="str">
        <f>IF(A6332="","",TEXT(A6332,"0")&amp;"|"&amp;TEXT(H6332,"0"))</f>
        <v/>
      </c>
      <c r="AA6332" t="str">
        <f>IF(Z6332="","",IFERROR(LOOKUP(2,1/(#REF!=Z6332),#REF!),""))</f>
        <v/>
      </c>
      <c r="AB6332" t="str">
        <f>IF(Z6332="","",IFERROR(LOOKUP(2,1/(#REF!=Z6332),#REF!),""))</f>
        <v/>
      </c>
      <c r="AC6332" t="str">
        <f>IF(Z6332="","",COUNTIF(#REF!,Z6332))</f>
        <v/>
      </c>
      <c r="AD6332" t="str">
        <f>IF(A6332="","",IF(AC6332&gt;1,"REVISAR DUPLICADO",IF(AA6332&lt;&gt;"","ACTUALIZADO POR EYR","SIN REPORTE EYR")))</f>
        <v/>
      </c>
    </row>
    <row r="6333" spans="11:30" x14ac:dyDescent="0.3">
      <c r="K6333" s="1" t="str">
        <f ca="1">IF(A6333="","",IF(OR(L6333="ENTREGADA",L6333="RETORNADA",L6333="ENTREGA DIGITAL"),0,MAX(0,5-NETWORKDAYS(H6333+1,TODAY()))))</f>
        <v/>
      </c>
      <c r="L6333" t="str">
        <f>IF(A6333="","",IFERROR(LOOKUP(2,1/(#REF!=Z6333),#REF!),Y6333))</f>
        <v/>
      </c>
      <c r="Z6333" t="str">
        <f>IF(A6333="","",TEXT(A6333,"0")&amp;"|"&amp;TEXT(H6333,"0"))</f>
        <v/>
      </c>
      <c r="AA6333" t="str">
        <f>IF(Z6333="","",IFERROR(LOOKUP(2,1/(#REF!=Z6333),#REF!),""))</f>
        <v/>
      </c>
      <c r="AB6333" t="str">
        <f>IF(Z6333="","",IFERROR(LOOKUP(2,1/(#REF!=Z6333),#REF!),""))</f>
        <v/>
      </c>
      <c r="AC6333" t="str">
        <f>IF(Z6333="","",COUNTIF(#REF!,Z6333))</f>
        <v/>
      </c>
      <c r="AD6333" t="str">
        <f>IF(A6333="","",IF(AC6333&gt;1,"REVISAR DUPLICADO",IF(AA6333&lt;&gt;"","ACTUALIZADO POR EYR","SIN REPORTE EYR")))</f>
        <v/>
      </c>
    </row>
    <row r="6334" spans="11:30" x14ac:dyDescent="0.3">
      <c r="K6334" s="1" t="str">
        <f ca="1">IF(A6334="","",IF(OR(L6334="ENTREGADA",L6334="RETORNADA",L6334="ENTREGA DIGITAL"),0,MAX(0,5-NETWORKDAYS(H6334+1,TODAY()))))</f>
        <v/>
      </c>
      <c r="L6334" t="str">
        <f>IF(A6334="","",IFERROR(LOOKUP(2,1/(#REF!=Z6334),#REF!),Y6334))</f>
        <v/>
      </c>
      <c r="Z6334" t="str">
        <f>IF(A6334="","",TEXT(A6334,"0")&amp;"|"&amp;TEXT(H6334,"0"))</f>
        <v/>
      </c>
      <c r="AA6334" t="str">
        <f>IF(Z6334="","",IFERROR(LOOKUP(2,1/(#REF!=Z6334),#REF!),""))</f>
        <v/>
      </c>
      <c r="AB6334" t="str">
        <f>IF(Z6334="","",IFERROR(LOOKUP(2,1/(#REF!=Z6334),#REF!),""))</f>
        <v/>
      </c>
      <c r="AC6334" t="str">
        <f>IF(Z6334="","",COUNTIF(#REF!,Z6334))</f>
        <v/>
      </c>
      <c r="AD6334" t="str">
        <f>IF(A6334="","",IF(AC6334&gt;1,"REVISAR DUPLICADO",IF(AA6334&lt;&gt;"","ACTUALIZADO POR EYR","SIN REPORTE EYR")))</f>
        <v/>
      </c>
    </row>
    <row r="6335" spans="11:30" x14ac:dyDescent="0.3">
      <c r="K6335" s="1" t="str">
        <f ca="1">IF(A6335="","",IF(OR(L6335="ENTREGADA",L6335="RETORNADA",L6335="ENTREGA DIGITAL"),0,MAX(0,5-NETWORKDAYS(H6335+1,TODAY()))))</f>
        <v/>
      </c>
      <c r="L6335" t="str">
        <f>IF(A6335="","",IFERROR(LOOKUP(2,1/(#REF!=Z6335),#REF!),Y6335))</f>
        <v/>
      </c>
      <c r="Z6335" t="str">
        <f>IF(A6335="","",TEXT(A6335,"0")&amp;"|"&amp;TEXT(H6335,"0"))</f>
        <v/>
      </c>
      <c r="AA6335" t="str">
        <f>IF(Z6335="","",IFERROR(LOOKUP(2,1/(#REF!=Z6335),#REF!),""))</f>
        <v/>
      </c>
      <c r="AB6335" t="str">
        <f>IF(Z6335="","",IFERROR(LOOKUP(2,1/(#REF!=Z6335),#REF!),""))</f>
        <v/>
      </c>
      <c r="AC6335" t="str">
        <f>IF(Z6335="","",COUNTIF(#REF!,Z6335))</f>
        <v/>
      </c>
      <c r="AD6335" t="str">
        <f>IF(A6335="","",IF(AC6335&gt;1,"REVISAR DUPLICADO",IF(AA6335&lt;&gt;"","ACTUALIZADO POR EYR","SIN REPORTE EYR")))</f>
        <v/>
      </c>
    </row>
    <row r="6336" spans="11:30" x14ac:dyDescent="0.3">
      <c r="K6336" s="1" t="str">
        <f ca="1">IF(A6336="","",IF(OR(L6336="ENTREGADA",L6336="RETORNADA",L6336="ENTREGA DIGITAL"),0,MAX(0,5-NETWORKDAYS(H6336+1,TODAY()))))</f>
        <v/>
      </c>
      <c r="L6336" t="str">
        <f>IF(A6336="","",IFERROR(LOOKUP(2,1/(#REF!=Z6336),#REF!),Y6336))</f>
        <v/>
      </c>
      <c r="Z6336" t="str">
        <f>IF(A6336="","",TEXT(A6336,"0")&amp;"|"&amp;TEXT(H6336,"0"))</f>
        <v/>
      </c>
      <c r="AA6336" t="str">
        <f>IF(Z6336="","",IFERROR(LOOKUP(2,1/(#REF!=Z6336),#REF!),""))</f>
        <v/>
      </c>
      <c r="AB6336" t="str">
        <f>IF(Z6336="","",IFERROR(LOOKUP(2,1/(#REF!=Z6336),#REF!),""))</f>
        <v/>
      </c>
      <c r="AC6336" t="str">
        <f>IF(Z6336="","",COUNTIF(#REF!,Z6336))</f>
        <v/>
      </c>
      <c r="AD6336" t="str">
        <f>IF(A6336="","",IF(AC6336&gt;1,"REVISAR DUPLICADO",IF(AA6336&lt;&gt;"","ACTUALIZADO POR EYR","SIN REPORTE EYR")))</f>
        <v/>
      </c>
    </row>
    <row r="6337" spans="11:30" x14ac:dyDescent="0.3">
      <c r="K6337" s="1" t="str">
        <f ca="1">IF(A6337="","",IF(OR(L6337="ENTREGADA",L6337="RETORNADA",L6337="ENTREGA DIGITAL"),0,MAX(0,5-NETWORKDAYS(H6337+1,TODAY()))))</f>
        <v/>
      </c>
      <c r="L6337" t="str">
        <f>IF(A6337="","",IFERROR(LOOKUP(2,1/(#REF!=Z6337),#REF!),Y6337))</f>
        <v/>
      </c>
      <c r="Z6337" t="str">
        <f>IF(A6337="","",TEXT(A6337,"0")&amp;"|"&amp;TEXT(H6337,"0"))</f>
        <v/>
      </c>
      <c r="AA6337" t="str">
        <f>IF(Z6337="","",IFERROR(LOOKUP(2,1/(#REF!=Z6337),#REF!),""))</f>
        <v/>
      </c>
      <c r="AB6337" t="str">
        <f>IF(Z6337="","",IFERROR(LOOKUP(2,1/(#REF!=Z6337),#REF!),""))</f>
        <v/>
      </c>
      <c r="AC6337" t="str">
        <f>IF(Z6337="","",COUNTIF(#REF!,Z6337))</f>
        <v/>
      </c>
      <c r="AD6337" t="str">
        <f>IF(A6337="","",IF(AC6337&gt;1,"REVISAR DUPLICADO",IF(AA6337&lt;&gt;"","ACTUALIZADO POR EYR","SIN REPORTE EYR")))</f>
        <v/>
      </c>
    </row>
    <row r="6338" spans="11:30" x14ac:dyDescent="0.3">
      <c r="K6338" s="1" t="str">
        <f ca="1">IF(A6338="","",IF(OR(L6338="ENTREGADA",L6338="RETORNADA",L6338="ENTREGA DIGITAL"),0,MAX(0,5-NETWORKDAYS(H6338+1,TODAY()))))</f>
        <v/>
      </c>
      <c r="L6338" t="str">
        <f>IF(A6338="","",IFERROR(LOOKUP(2,1/(#REF!=Z6338),#REF!),Y6338))</f>
        <v/>
      </c>
      <c r="Z6338" t="str">
        <f>IF(A6338="","",TEXT(A6338,"0")&amp;"|"&amp;TEXT(H6338,"0"))</f>
        <v/>
      </c>
      <c r="AA6338" t="str">
        <f>IF(Z6338="","",IFERROR(LOOKUP(2,1/(#REF!=Z6338),#REF!),""))</f>
        <v/>
      </c>
      <c r="AB6338" t="str">
        <f>IF(Z6338="","",IFERROR(LOOKUP(2,1/(#REF!=Z6338),#REF!),""))</f>
        <v/>
      </c>
      <c r="AC6338" t="str">
        <f>IF(Z6338="","",COUNTIF(#REF!,Z6338))</f>
        <v/>
      </c>
      <c r="AD6338" t="str">
        <f>IF(A6338="","",IF(AC6338&gt;1,"REVISAR DUPLICADO",IF(AA6338&lt;&gt;"","ACTUALIZADO POR EYR","SIN REPORTE EYR")))</f>
        <v/>
      </c>
    </row>
    <row r="6339" spans="11:30" x14ac:dyDescent="0.3">
      <c r="K6339" s="1" t="str">
        <f ca="1">IF(A6339="","",IF(OR(L6339="ENTREGADA",L6339="RETORNADA",L6339="ENTREGA DIGITAL"),0,MAX(0,5-NETWORKDAYS(H6339+1,TODAY()))))</f>
        <v/>
      </c>
      <c r="L6339" t="str">
        <f>IF(A6339="","",IFERROR(LOOKUP(2,1/(#REF!=Z6339),#REF!),Y6339))</f>
        <v/>
      </c>
      <c r="Z6339" t="str">
        <f>IF(A6339="","",TEXT(A6339,"0")&amp;"|"&amp;TEXT(H6339,"0"))</f>
        <v/>
      </c>
      <c r="AA6339" t="str">
        <f>IF(Z6339="","",IFERROR(LOOKUP(2,1/(#REF!=Z6339),#REF!),""))</f>
        <v/>
      </c>
      <c r="AB6339" t="str">
        <f>IF(Z6339="","",IFERROR(LOOKUP(2,1/(#REF!=Z6339),#REF!),""))</f>
        <v/>
      </c>
      <c r="AC6339" t="str">
        <f>IF(Z6339="","",COUNTIF(#REF!,Z6339))</f>
        <v/>
      </c>
      <c r="AD6339" t="str">
        <f>IF(A6339="","",IF(AC6339&gt;1,"REVISAR DUPLICADO",IF(AA6339&lt;&gt;"","ACTUALIZADO POR EYR","SIN REPORTE EYR")))</f>
        <v/>
      </c>
    </row>
    <row r="6340" spans="11:30" x14ac:dyDescent="0.3">
      <c r="K6340" s="1" t="str">
        <f ca="1">IF(A6340="","",IF(OR(L6340="ENTREGADA",L6340="RETORNADA",L6340="ENTREGA DIGITAL"),0,MAX(0,5-NETWORKDAYS(H6340+1,TODAY()))))</f>
        <v/>
      </c>
      <c r="L6340" t="str">
        <f>IF(A6340="","",IFERROR(LOOKUP(2,1/(#REF!=Z6340),#REF!),Y6340))</f>
        <v/>
      </c>
      <c r="Z6340" t="str">
        <f>IF(A6340="","",TEXT(A6340,"0")&amp;"|"&amp;TEXT(H6340,"0"))</f>
        <v/>
      </c>
      <c r="AA6340" t="str">
        <f>IF(Z6340="","",IFERROR(LOOKUP(2,1/(#REF!=Z6340),#REF!),""))</f>
        <v/>
      </c>
      <c r="AB6340" t="str">
        <f>IF(Z6340="","",IFERROR(LOOKUP(2,1/(#REF!=Z6340),#REF!),""))</f>
        <v/>
      </c>
      <c r="AC6340" t="str">
        <f>IF(Z6340="","",COUNTIF(#REF!,Z6340))</f>
        <v/>
      </c>
      <c r="AD6340" t="str">
        <f>IF(A6340="","",IF(AC6340&gt;1,"REVISAR DUPLICADO",IF(AA6340&lt;&gt;"","ACTUALIZADO POR EYR","SIN REPORTE EYR")))</f>
        <v/>
      </c>
    </row>
    <row r="6341" spans="11:30" x14ac:dyDescent="0.3">
      <c r="K6341" s="1" t="str">
        <f ca="1">IF(A6341="","",IF(OR(L6341="ENTREGADA",L6341="RETORNADA",L6341="ENTREGA DIGITAL"),0,MAX(0,5-NETWORKDAYS(H6341+1,TODAY()))))</f>
        <v/>
      </c>
      <c r="L6341" t="str">
        <f>IF(A6341="","",IFERROR(LOOKUP(2,1/(#REF!=Z6341),#REF!),Y6341))</f>
        <v/>
      </c>
      <c r="Z6341" t="str">
        <f>IF(A6341="","",TEXT(A6341,"0")&amp;"|"&amp;TEXT(H6341,"0"))</f>
        <v/>
      </c>
      <c r="AA6341" t="str">
        <f>IF(Z6341="","",IFERROR(LOOKUP(2,1/(#REF!=Z6341),#REF!),""))</f>
        <v/>
      </c>
      <c r="AB6341" t="str">
        <f>IF(Z6341="","",IFERROR(LOOKUP(2,1/(#REF!=Z6341),#REF!),""))</f>
        <v/>
      </c>
      <c r="AC6341" t="str">
        <f>IF(Z6341="","",COUNTIF(#REF!,Z6341))</f>
        <v/>
      </c>
      <c r="AD6341" t="str">
        <f>IF(A6341="","",IF(AC6341&gt;1,"REVISAR DUPLICADO",IF(AA6341&lt;&gt;"","ACTUALIZADO POR EYR","SIN REPORTE EYR")))</f>
        <v/>
      </c>
    </row>
    <row r="6342" spans="11:30" x14ac:dyDescent="0.3">
      <c r="K6342" s="1" t="str">
        <f ca="1">IF(A6342="","",IF(OR(L6342="ENTREGADA",L6342="RETORNADA",L6342="ENTREGA DIGITAL"),0,MAX(0,5-NETWORKDAYS(H6342+1,TODAY()))))</f>
        <v/>
      </c>
      <c r="L6342" t="str">
        <f>IF(A6342="","",IFERROR(LOOKUP(2,1/(#REF!=Z6342),#REF!),Y6342))</f>
        <v/>
      </c>
      <c r="Z6342" t="str">
        <f>IF(A6342="","",TEXT(A6342,"0")&amp;"|"&amp;TEXT(H6342,"0"))</f>
        <v/>
      </c>
      <c r="AA6342" t="str">
        <f>IF(Z6342="","",IFERROR(LOOKUP(2,1/(#REF!=Z6342),#REF!),""))</f>
        <v/>
      </c>
      <c r="AB6342" t="str">
        <f>IF(Z6342="","",IFERROR(LOOKUP(2,1/(#REF!=Z6342),#REF!),""))</f>
        <v/>
      </c>
      <c r="AC6342" t="str">
        <f>IF(Z6342="","",COUNTIF(#REF!,Z6342))</f>
        <v/>
      </c>
      <c r="AD6342" t="str">
        <f>IF(A6342="","",IF(AC6342&gt;1,"REVISAR DUPLICADO",IF(AA6342&lt;&gt;"","ACTUALIZADO POR EYR","SIN REPORTE EYR")))</f>
        <v/>
      </c>
    </row>
    <row r="6343" spans="11:30" x14ac:dyDescent="0.3">
      <c r="K6343" s="1" t="str">
        <f ca="1">IF(A6343="","",IF(OR(L6343="ENTREGADA",L6343="RETORNADA",L6343="ENTREGA DIGITAL"),0,MAX(0,5-NETWORKDAYS(H6343+1,TODAY()))))</f>
        <v/>
      </c>
      <c r="L6343" t="str">
        <f>IF(A6343="","",IFERROR(LOOKUP(2,1/(#REF!=Z6343),#REF!),Y6343))</f>
        <v/>
      </c>
      <c r="Z6343" t="str">
        <f>IF(A6343="","",TEXT(A6343,"0")&amp;"|"&amp;TEXT(H6343,"0"))</f>
        <v/>
      </c>
      <c r="AA6343" t="str">
        <f>IF(Z6343="","",IFERROR(LOOKUP(2,1/(#REF!=Z6343),#REF!),""))</f>
        <v/>
      </c>
      <c r="AB6343" t="str">
        <f>IF(Z6343="","",IFERROR(LOOKUP(2,1/(#REF!=Z6343),#REF!),""))</f>
        <v/>
      </c>
      <c r="AC6343" t="str">
        <f>IF(Z6343="","",COUNTIF(#REF!,Z6343))</f>
        <v/>
      </c>
      <c r="AD6343" t="str">
        <f>IF(A6343="","",IF(AC6343&gt;1,"REVISAR DUPLICADO",IF(AA6343&lt;&gt;"","ACTUALIZADO POR EYR","SIN REPORTE EYR")))</f>
        <v/>
      </c>
    </row>
    <row r="6344" spans="11:30" x14ac:dyDescent="0.3">
      <c r="K6344" s="1" t="str">
        <f ca="1">IF(A6344="","",IF(OR(L6344="ENTREGADA",L6344="RETORNADA",L6344="ENTREGA DIGITAL"),0,MAX(0,5-NETWORKDAYS(H6344+1,TODAY()))))</f>
        <v/>
      </c>
      <c r="L6344" t="str">
        <f>IF(A6344="","",IFERROR(LOOKUP(2,1/(#REF!=Z6344),#REF!),Y6344))</f>
        <v/>
      </c>
      <c r="Z6344" t="str">
        <f>IF(A6344="","",TEXT(A6344,"0")&amp;"|"&amp;TEXT(H6344,"0"))</f>
        <v/>
      </c>
      <c r="AA6344" t="str">
        <f>IF(Z6344="","",IFERROR(LOOKUP(2,1/(#REF!=Z6344),#REF!),""))</f>
        <v/>
      </c>
      <c r="AB6344" t="str">
        <f>IF(Z6344="","",IFERROR(LOOKUP(2,1/(#REF!=Z6344),#REF!),""))</f>
        <v/>
      </c>
      <c r="AC6344" t="str">
        <f>IF(Z6344="","",COUNTIF(#REF!,Z6344))</f>
        <v/>
      </c>
      <c r="AD6344" t="str">
        <f>IF(A6344="","",IF(AC6344&gt;1,"REVISAR DUPLICADO",IF(AA6344&lt;&gt;"","ACTUALIZADO POR EYR","SIN REPORTE EYR")))</f>
        <v/>
      </c>
    </row>
    <row r="6345" spans="11:30" x14ac:dyDescent="0.3">
      <c r="K6345" s="1" t="str">
        <f ca="1">IF(A6345="","",IF(OR(L6345="ENTREGADA",L6345="RETORNADA",L6345="ENTREGA DIGITAL"),0,MAX(0,5-NETWORKDAYS(H6345+1,TODAY()))))</f>
        <v/>
      </c>
      <c r="L6345" t="str">
        <f>IF(A6345="","",IFERROR(LOOKUP(2,1/(#REF!=Z6345),#REF!),Y6345))</f>
        <v/>
      </c>
      <c r="Z6345" t="str">
        <f>IF(A6345="","",TEXT(A6345,"0")&amp;"|"&amp;TEXT(H6345,"0"))</f>
        <v/>
      </c>
      <c r="AA6345" t="str">
        <f>IF(Z6345="","",IFERROR(LOOKUP(2,1/(#REF!=Z6345),#REF!),""))</f>
        <v/>
      </c>
      <c r="AB6345" t="str">
        <f>IF(Z6345="","",IFERROR(LOOKUP(2,1/(#REF!=Z6345),#REF!),""))</f>
        <v/>
      </c>
      <c r="AC6345" t="str">
        <f>IF(Z6345="","",COUNTIF(#REF!,Z6345))</f>
        <v/>
      </c>
      <c r="AD6345" t="str">
        <f>IF(A6345="","",IF(AC6345&gt;1,"REVISAR DUPLICADO",IF(AA6345&lt;&gt;"","ACTUALIZADO POR EYR","SIN REPORTE EYR")))</f>
        <v/>
      </c>
    </row>
    <row r="6346" spans="11:30" x14ac:dyDescent="0.3">
      <c r="K6346" s="1" t="str">
        <f ca="1">IF(A6346="","",IF(OR(L6346="ENTREGADA",L6346="RETORNADA",L6346="ENTREGA DIGITAL"),0,MAX(0,5-NETWORKDAYS(H6346+1,TODAY()))))</f>
        <v/>
      </c>
      <c r="L6346" t="str">
        <f>IF(A6346="","",IFERROR(LOOKUP(2,1/(#REF!=Z6346),#REF!),Y6346))</f>
        <v/>
      </c>
      <c r="Z6346" t="str">
        <f>IF(A6346="","",TEXT(A6346,"0")&amp;"|"&amp;TEXT(H6346,"0"))</f>
        <v/>
      </c>
      <c r="AA6346" t="str">
        <f>IF(Z6346="","",IFERROR(LOOKUP(2,1/(#REF!=Z6346),#REF!),""))</f>
        <v/>
      </c>
      <c r="AB6346" t="str">
        <f>IF(Z6346="","",IFERROR(LOOKUP(2,1/(#REF!=Z6346),#REF!),""))</f>
        <v/>
      </c>
      <c r="AC6346" t="str">
        <f>IF(Z6346="","",COUNTIF(#REF!,Z6346))</f>
        <v/>
      </c>
      <c r="AD6346" t="str">
        <f>IF(A6346="","",IF(AC6346&gt;1,"REVISAR DUPLICADO",IF(AA6346&lt;&gt;"","ACTUALIZADO POR EYR","SIN REPORTE EYR")))</f>
        <v/>
      </c>
    </row>
    <row r="6347" spans="11:30" x14ac:dyDescent="0.3">
      <c r="K6347" s="1" t="str">
        <f ca="1">IF(A6347="","",IF(OR(L6347="ENTREGADA",L6347="RETORNADA",L6347="ENTREGA DIGITAL"),0,MAX(0,5-NETWORKDAYS(H6347+1,TODAY()))))</f>
        <v/>
      </c>
      <c r="L6347" t="str">
        <f>IF(A6347="","",IFERROR(LOOKUP(2,1/(#REF!=Z6347),#REF!),Y6347))</f>
        <v/>
      </c>
      <c r="Z6347" t="str">
        <f>IF(A6347="","",TEXT(A6347,"0")&amp;"|"&amp;TEXT(H6347,"0"))</f>
        <v/>
      </c>
      <c r="AA6347" t="str">
        <f>IF(Z6347="","",IFERROR(LOOKUP(2,1/(#REF!=Z6347),#REF!),""))</f>
        <v/>
      </c>
      <c r="AB6347" t="str">
        <f>IF(Z6347="","",IFERROR(LOOKUP(2,1/(#REF!=Z6347),#REF!),""))</f>
        <v/>
      </c>
      <c r="AC6347" t="str">
        <f>IF(Z6347="","",COUNTIF(#REF!,Z6347))</f>
        <v/>
      </c>
      <c r="AD6347" t="str">
        <f>IF(A6347="","",IF(AC6347&gt;1,"REVISAR DUPLICADO",IF(AA6347&lt;&gt;"","ACTUALIZADO POR EYR","SIN REPORTE EYR")))</f>
        <v/>
      </c>
    </row>
    <row r="6348" spans="11:30" x14ac:dyDescent="0.3">
      <c r="K6348" s="1" t="str">
        <f ca="1">IF(A6348="","",IF(OR(L6348="ENTREGADA",L6348="RETORNADA",L6348="ENTREGA DIGITAL"),0,MAX(0,5-NETWORKDAYS(H6348+1,TODAY()))))</f>
        <v/>
      </c>
      <c r="L6348" t="str">
        <f>IF(A6348="","",IFERROR(LOOKUP(2,1/(#REF!=Z6348),#REF!),Y6348))</f>
        <v/>
      </c>
      <c r="Z6348" t="str">
        <f>IF(A6348="","",TEXT(A6348,"0")&amp;"|"&amp;TEXT(H6348,"0"))</f>
        <v/>
      </c>
      <c r="AA6348" t="str">
        <f>IF(Z6348="","",IFERROR(LOOKUP(2,1/(#REF!=Z6348),#REF!),""))</f>
        <v/>
      </c>
      <c r="AB6348" t="str">
        <f>IF(Z6348="","",IFERROR(LOOKUP(2,1/(#REF!=Z6348),#REF!),""))</f>
        <v/>
      </c>
      <c r="AC6348" t="str">
        <f>IF(Z6348="","",COUNTIF(#REF!,Z6348))</f>
        <v/>
      </c>
      <c r="AD6348" t="str">
        <f>IF(A6348="","",IF(AC6348&gt;1,"REVISAR DUPLICADO",IF(AA6348&lt;&gt;"","ACTUALIZADO POR EYR","SIN REPORTE EYR")))</f>
        <v/>
      </c>
    </row>
    <row r="6349" spans="11:30" x14ac:dyDescent="0.3">
      <c r="K6349" s="1" t="str">
        <f ca="1">IF(A6349="","",IF(OR(L6349="ENTREGADA",L6349="RETORNADA",L6349="ENTREGA DIGITAL"),0,MAX(0,5-NETWORKDAYS(H6349+1,TODAY()))))</f>
        <v/>
      </c>
      <c r="L6349" t="str">
        <f>IF(A6349="","",IFERROR(LOOKUP(2,1/(#REF!=Z6349),#REF!),Y6349))</f>
        <v/>
      </c>
      <c r="Z6349" t="str">
        <f>IF(A6349="","",TEXT(A6349,"0")&amp;"|"&amp;TEXT(H6349,"0"))</f>
        <v/>
      </c>
      <c r="AA6349" t="str">
        <f>IF(Z6349="","",IFERROR(LOOKUP(2,1/(#REF!=Z6349),#REF!),""))</f>
        <v/>
      </c>
      <c r="AB6349" t="str">
        <f>IF(Z6349="","",IFERROR(LOOKUP(2,1/(#REF!=Z6349),#REF!),""))</f>
        <v/>
      </c>
      <c r="AC6349" t="str">
        <f>IF(Z6349="","",COUNTIF(#REF!,Z6349))</f>
        <v/>
      </c>
      <c r="AD6349" t="str">
        <f>IF(A6349="","",IF(AC6349&gt;1,"REVISAR DUPLICADO",IF(AA6349&lt;&gt;"","ACTUALIZADO POR EYR","SIN REPORTE EYR")))</f>
        <v/>
      </c>
    </row>
    <row r="6350" spans="11:30" x14ac:dyDescent="0.3">
      <c r="K6350" s="1" t="str">
        <f ca="1">IF(A6350="","",IF(OR(L6350="ENTREGADA",L6350="RETORNADA",L6350="ENTREGA DIGITAL"),0,MAX(0,5-NETWORKDAYS(H6350+1,TODAY()))))</f>
        <v/>
      </c>
      <c r="L6350" t="str">
        <f>IF(A6350="","",IFERROR(LOOKUP(2,1/(#REF!=Z6350),#REF!),Y6350))</f>
        <v/>
      </c>
      <c r="Z6350" t="str">
        <f>IF(A6350="","",TEXT(A6350,"0")&amp;"|"&amp;TEXT(H6350,"0"))</f>
        <v/>
      </c>
      <c r="AA6350" t="str">
        <f>IF(Z6350="","",IFERROR(LOOKUP(2,1/(#REF!=Z6350),#REF!),""))</f>
        <v/>
      </c>
      <c r="AB6350" t="str">
        <f>IF(Z6350="","",IFERROR(LOOKUP(2,1/(#REF!=Z6350),#REF!),""))</f>
        <v/>
      </c>
      <c r="AC6350" t="str">
        <f>IF(Z6350="","",COUNTIF(#REF!,Z6350))</f>
        <v/>
      </c>
      <c r="AD6350" t="str">
        <f>IF(A6350="","",IF(AC6350&gt;1,"REVISAR DUPLICADO",IF(AA6350&lt;&gt;"","ACTUALIZADO POR EYR","SIN REPORTE EYR")))</f>
        <v/>
      </c>
    </row>
    <row r="6351" spans="11:30" x14ac:dyDescent="0.3">
      <c r="K6351" s="1" t="str">
        <f ca="1">IF(A6351="","",IF(OR(L6351="ENTREGADA",L6351="RETORNADA",L6351="ENTREGA DIGITAL"),0,MAX(0,5-NETWORKDAYS(H6351+1,TODAY()))))</f>
        <v/>
      </c>
      <c r="L6351" t="str">
        <f>IF(A6351="","",IFERROR(LOOKUP(2,1/(#REF!=Z6351),#REF!),Y6351))</f>
        <v/>
      </c>
      <c r="Z6351" t="str">
        <f>IF(A6351="","",TEXT(A6351,"0")&amp;"|"&amp;TEXT(H6351,"0"))</f>
        <v/>
      </c>
      <c r="AA6351" t="str">
        <f>IF(Z6351="","",IFERROR(LOOKUP(2,1/(#REF!=Z6351),#REF!),""))</f>
        <v/>
      </c>
      <c r="AB6351" t="str">
        <f>IF(Z6351="","",IFERROR(LOOKUP(2,1/(#REF!=Z6351),#REF!),""))</f>
        <v/>
      </c>
      <c r="AC6351" t="str">
        <f>IF(Z6351="","",COUNTIF(#REF!,Z6351))</f>
        <v/>
      </c>
      <c r="AD6351" t="str">
        <f>IF(A6351="","",IF(AC6351&gt;1,"REVISAR DUPLICADO",IF(AA6351&lt;&gt;"","ACTUALIZADO POR EYR","SIN REPORTE EYR")))</f>
        <v/>
      </c>
    </row>
    <row r="6352" spans="11:30" x14ac:dyDescent="0.3">
      <c r="K6352" s="1" t="str">
        <f ca="1">IF(A6352="","",IF(OR(L6352="ENTREGADA",L6352="RETORNADA",L6352="ENTREGA DIGITAL"),0,MAX(0,5-NETWORKDAYS(H6352+1,TODAY()))))</f>
        <v/>
      </c>
      <c r="L6352" t="str">
        <f>IF(A6352="","",IFERROR(LOOKUP(2,1/(#REF!=Z6352),#REF!),Y6352))</f>
        <v/>
      </c>
      <c r="Z6352" t="str">
        <f>IF(A6352="","",TEXT(A6352,"0")&amp;"|"&amp;TEXT(H6352,"0"))</f>
        <v/>
      </c>
      <c r="AA6352" t="str">
        <f>IF(Z6352="","",IFERROR(LOOKUP(2,1/(#REF!=Z6352),#REF!),""))</f>
        <v/>
      </c>
      <c r="AB6352" t="str">
        <f>IF(Z6352="","",IFERROR(LOOKUP(2,1/(#REF!=Z6352),#REF!),""))</f>
        <v/>
      </c>
      <c r="AC6352" t="str">
        <f>IF(Z6352="","",COUNTIF(#REF!,Z6352))</f>
        <v/>
      </c>
      <c r="AD6352" t="str">
        <f>IF(A6352="","",IF(AC6352&gt;1,"REVISAR DUPLICADO",IF(AA6352&lt;&gt;"","ACTUALIZADO POR EYR","SIN REPORTE EYR")))</f>
        <v/>
      </c>
    </row>
    <row r="6353" spans="11:30" x14ac:dyDescent="0.3">
      <c r="K6353" s="1" t="str">
        <f ca="1">IF(A6353="","",IF(OR(L6353="ENTREGADA",L6353="RETORNADA",L6353="ENTREGA DIGITAL"),0,MAX(0,5-NETWORKDAYS(H6353+1,TODAY()))))</f>
        <v/>
      </c>
      <c r="L6353" t="str">
        <f>IF(A6353="","",IFERROR(LOOKUP(2,1/(#REF!=Z6353),#REF!),Y6353))</f>
        <v/>
      </c>
      <c r="Z6353" t="str">
        <f>IF(A6353="","",TEXT(A6353,"0")&amp;"|"&amp;TEXT(H6353,"0"))</f>
        <v/>
      </c>
      <c r="AA6353" t="str">
        <f>IF(Z6353="","",IFERROR(LOOKUP(2,1/(#REF!=Z6353),#REF!),""))</f>
        <v/>
      </c>
      <c r="AB6353" t="str">
        <f>IF(Z6353="","",IFERROR(LOOKUP(2,1/(#REF!=Z6353),#REF!),""))</f>
        <v/>
      </c>
      <c r="AC6353" t="str">
        <f>IF(Z6353="","",COUNTIF(#REF!,Z6353))</f>
        <v/>
      </c>
      <c r="AD6353" t="str">
        <f>IF(A6353="","",IF(AC6353&gt;1,"REVISAR DUPLICADO",IF(AA6353&lt;&gt;"","ACTUALIZADO POR EYR","SIN REPORTE EYR")))</f>
        <v/>
      </c>
    </row>
    <row r="6354" spans="11:30" x14ac:dyDescent="0.3">
      <c r="K6354" s="1" t="str">
        <f ca="1">IF(A6354="","",IF(OR(L6354="ENTREGADA",L6354="RETORNADA",L6354="ENTREGA DIGITAL"),0,MAX(0,5-NETWORKDAYS(H6354+1,TODAY()))))</f>
        <v/>
      </c>
      <c r="L6354" t="str">
        <f>IF(A6354="","",IFERROR(LOOKUP(2,1/(#REF!=Z6354),#REF!),Y6354))</f>
        <v/>
      </c>
      <c r="Z6354" t="str">
        <f>IF(A6354="","",TEXT(A6354,"0")&amp;"|"&amp;TEXT(H6354,"0"))</f>
        <v/>
      </c>
      <c r="AA6354" t="str">
        <f>IF(Z6354="","",IFERROR(LOOKUP(2,1/(#REF!=Z6354),#REF!),""))</f>
        <v/>
      </c>
      <c r="AB6354" t="str">
        <f>IF(Z6354="","",IFERROR(LOOKUP(2,1/(#REF!=Z6354),#REF!),""))</f>
        <v/>
      </c>
      <c r="AC6354" t="str">
        <f>IF(Z6354="","",COUNTIF(#REF!,Z6354))</f>
        <v/>
      </c>
      <c r="AD6354" t="str">
        <f>IF(A6354="","",IF(AC6354&gt;1,"REVISAR DUPLICADO",IF(AA6354&lt;&gt;"","ACTUALIZADO POR EYR","SIN REPORTE EYR")))</f>
        <v/>
      </c>
    </row>
    <row r="6355" spans="11:30" x14ac:dyDescent="0.3">
      <c r="K6355" s="1" t="str">
        <f ca="1">IF(A6355="","",IF(OR(L6355="ENTREGADA",L6355="RETORNADA",L6355="ENTREGA DIGITAL"),0,MAX(0,5-NETWORKDAYS(H6355+1,TODAY()))))</f>
        <v/>
      </c>
      <c r="L6355" t="str">
        <f>IF(A6355="","",IFERROR(LOOKUP(2,1/(#REF!=Z6355),#REF!),Y6355))</f>
        <v/>
      </c>
      <c r="Z6355" t="str">
        <f>IF(A6355="","",TEXT(A6355,"0")&amp;"|"&amp;TEXT(H6355,"0"))</f>
        <v/>
      </c>
      <c r="AA6355" t="str">
        <f>IF(Z6355="","",IFERROR(LOOKUP(2,1/(#REF!=Z6355),#REF!),""))</f>
        <v/>
      </c>
      <c r="AB6355" t="str">
        <f>IF(Z6355="","",IFERROR(LOOKUP(2,1/(#REF!=Z6355),#REF!),""))</f>
        <v/>
      </c>
      <c r="AC6355" t="str">
        <f>IF(Z6355="","",COUNTIF(#REF!,Z6355))</f>
        <v/>
      </c>
      <c r="AD6355" t="str">
        <f>IF(A6355="","",IF(AC6355&gt;1,"REVISAR DUPLICADO",IF(AA6355&lt;&gt;"","ACTUALIZADO POR EYR","SIN REPORTE EYR")))</f>
        <v/>
      </c>
    </row>
    <row r="6356" spans="11:30" x14ac:dyDescent="0.3">
      <c r="K6356" s="1" t="str">
        <f ca="1">IF(A6356="","",IF(OR(L6356="ENTREGADA",L6356="RETORNADA",L6356="ENTREGA DIGITAL"),0,MAX(0,5-NETWORKDAYS(H6356+1,TODAY()))))</f>
        <v/>
      </c>
      <c r="L6356" t="str">
        <f>IF(A6356="","",IFERROR(LOOKUP(2,1/(#REF!=Z6356),#REF!),Y6356))</f>
        <v/>
      </c>
      <c r="Z6356" t="str">
        <f>IF(A6356="","",TEXT(A6356,"0")&amp;"|"&amp;TEXT(H6356,"0"))</f>
        <v/>
      </c>
      <c r="AA6356" t="str">
        <f>IF(Z6356="","",IFERROR(LOOKUP(2,1/(#REF!=Z6356),#REF!),""))</f>
        <v/>
      </c>
      <c r="AB6356" t="str">
        <f>IF(Z6356="","",IFERROR(LOOKUP(2,1/(#REF!=Z6356),#REF!),""))</f>
        <v/>
      </c>
      <c r="AC6356" t="str">
        <f>IF(Z6356="","",COUNTIF(#REF!,Z6356))</f>
        <v/>
      </c>
      <c r="AD6356" t="str">
        <f>IF(A6356="","",IF(AC6356&gt;1,"REVISAR DUPLICADO",IF(AA6356&lt;&gt;"","ACTUALIZADO POR EYR","SIN REPORTE EYR")))</f>
        <v/>
      </c>
    </row>
    <row r="6357" spans="11:30" x14ac:dyDescent="0.3">
      <c r="K6357" s="1" t="str">
        <f ca="1">IF(A6357="","",IF(OR(L6357="ENTREGADA",L6357="RETORNADA",L6357="ENTREGA DIGITAL"),0,MAX(0,5-NETWORKDAYS(H6357+1,TODAY()))))</f>
        <v/>
      </c>
      <c r="L6357" t="str">
        <f>IF(A6357="","",IFERROR(LOOKUP(2,1/(#REF!=Z6357),#REF!),Y6357))</f>
        <v/>
      </c>
      <c r="Z6357" t="str">
        <f>IF(A6357="","",TEXT(A6357,"0")&amp;"|"&amp;TEXT(H6357,"0"))</f>
        <v/>
      </c>
      <c r="AA6357" t="str">
        <f>IF(Z6357="","",IFERROR(LOOKUP(2,1/(#REF!=Z6357),#REF!),""))</f>
        <v/>
      </c>
      <c r="AB6357" t="str">
        <f>IF(Z6357="","",IFERROR(LOOKUP(2,1/(#REF!=Z6357),#REF!),""))</f>
        <v/>
      </c>
      <c r="AC6357" t="str">
        <f>IF(Z6357="","",COUNTIF(#REF!,Z6357))</f>
        <v/>
      </c>
      <c r="AD6357" t="str">
        <f>IF(A6357="","",IF(AC6357&gt;1,"REVISAR DUPLICADO",IF(AA6357&lt;&gt;"","ACTUALIZADO POR EYR","SIN REPORTE EYR")))</f>
        <v/>
      </c>
    </row>
    <row r="6358" spans="11:30" x14ac:dyDescent="0.3">
      <c r="K6358" s="1" t="str">
        <f ca="1">IF(A6358="","",IF(OR(L6358="ENTREGADA",L6358="RETORNADA",L6358="ENTREGA DIGITAL"),0,MAX(0,5-NETWORKDAYS(H6358+1,TODAY()))))</f>
        <v/>
      </c>
      <c r="L6358" t="str">
        <f>IF(A6358="","",IFERROR(LOOKUP(2,1/(#REF!=Z6358),#REF!),Y6358))</f>
        <v/>
      </c>
      <c r="Z6358" t="str">
        <f>IF(A6358="","",TEXT(A6358,"0")&amp;"|"&amp;TEXT(H6358,"0"))</f>
        <v/>
      </c>
      <c r="AA6358" t="str">
        <f>IF(Z6358="","",IFERROR(LOOKUP(2,1/(#REF!=Z6358),#REF!),""))</f>
        <v/>
      </c>
      <c r="AB6358" t="str">
        <f>IF(Z6358="","",IFERROR(LOOKUP(2,1/(#REF!=Z6358),#REF!),""))</f>
        <v/>
      </c>
      <c r="AC6358" t="str">
        <f>IF(Z6358="","",COUNTIF(#REF!,Z6358))</f>
        <v/>
      </c>
      <c r="AD6358" t="str">
        <f>IF(A6358="","",IF(AC6358&gt;1,"REVISAR DUPLICADO",IF(AA6358&lt;&gt;"","ACTUALIZADO POR EYR","SIN REPORTE EYR")))</f>
        <v/>
      </c>
    </row>
    <row r="6359" spans="11:30" x14ac:dyDescent="0.3">
      <c r="K6359" s="1" t="str">
        <f ca="1">IF(A6359="","",IF(OR(L6359="ENTREGADA",L6359="RETORNADA",L6359="ENTREGA DIGITAL"),0,MAX(0,5-NETWORKDAYS(H6359+1,TODAY()))))</f>
        <v/>
      </c>
      <c r="L6359" t="str">
        <f>IF(A6359="","",IFERROR(LOOKUP(2,1/(#REF!=Z6359),#REF!),Y6359))</f>
        <v/>
      </c>
      <c r="Z6359" t="str">
        <f>IF(A6359="","",TEXT(A6359,"0")&amp;"|"&amp;TEXT(H6359,"0"))</f>
        <v/>
      </c>
      <c r="AA6359" t="str">
        <f>IF(Z6359="","",IFERROR(LOOKUP(2,1/(#REF!=Z6359),#REF!),""))</f>
        <v/>
      </c>
      <c r="AB6359" t="str">
        <f>IF(Z6359="","",IFERROR(LOOKUP(2,1/(#REF!=Z6359),#REF!),""))</f>
        <v/>
      </c>
      <c r="AC6359" t="str">
        <f>IF(Z6359="","",COUNTIF(#REF!,Z6359))</f>
        <v/>
      </c>
      <c r="AD6359" t="str">
        <f>IF(A6359="","",IF(AC6359&gt;1,"REVISAR DUPLICADO",IF(AA6359&lt;&gt;"","ACTUALIZADO POR EYR","SIN REPORTE EYR")))</f>
        <v/>
      </c>
    </row>
    <row r="6360" spans="11:30" x14ac:dyDescent="0.3">
      <c r="K6360" s="1" t="str">
        <f ca="1">IF(A6360="","",IF(OR(L6360="ENTREGADA",L6360="RETORNADA",L6360="ENTREGA DIGITAL"),0,MAX(0,5-NETWORKDAYS(H6360+1,TODAY()))))</f>
        <v/>
      </c>
      <c r="L6360" t="str">
        <f>IF(A6360="","",IFERROR(LOOKUP(2,1/(#REF!=Z6360),#REF!),Y6360))</f>
        <v/>
      </c>
      <c r="Z6360" t="str">
        <f>IF(A6360="","",TEXT(A6360,"0")&amp;"|"&amp;TEXT(H6360,"0"))</f>
        <v/>
      </c>
      <c r="AA6360" t="str">
        <f>IF(Z6360="","",IFERROR(LOOKUP(2,1/(#REF!=Z6360),#REF!),""))</f>
        <v/>
      </c>
      <c r="AB6360" t="str">
        <f>IF(Z6360="","",IFERROR(LOOKUP(2,1/(#REF!=Z6360),#REF!),""))</f>
        <v/>
      </c>
      <c r="AC6360" t="str">
        <f>IF(Z6360="","",COUNTIF(#REF!,Z6360))</f>
        <v/>
      </c>
      <c r="AD6360" t="str">
        <f>IF(A6360="","",IF(AC6360&gt;1,"REVISAR DUPLICADO",IF(AA6360&lt;&gt;"","ACTUALIZADO POR EYR","SIN REPORTE EYR")))</f>
        <v/>
      </c>
    </row>
    <row r="6361" spans="11:30" x14ac:dyDescent="0.3">
      <c r="K6361" s="1" t="str">
        <f ca="1">IF(A6361="","",IF(OR(L6361="ENTREGADA",L6361="RETORNADA",L6361="ENTREGA DIGITAL"),0,MAX(0,5-NETWORKDAYS(H6361+1,TODAY()))))</f>
        <v/>
      </c>
      <c r="L6361" t="str">
        <f>IF(A6361="","",IFERROR(LOOKUP(2,1/(#REF!=Z6361),#REF!),Y6361))</f>
        <v/>
      </c>
      <c r="Z6361" t="str">
        <f>IF(A6361="","",TEXT(A6361,"0")&amp;"|"&amp;TEXT(H6361,"0"))</f>
        <v/>
      </c>
      <c r="AA6361" t="str">
        <f>IF(Z6361="","",IFERROR(LOOKUP(2,1/(#REF!=Z6361),#REF!),""))</f>
        <v/>
      </c>
      <c r="AB6361" t="str">
        <f>IF(Z6361="","",IFERROR(LOOKUP(2,1/(#REF!=Z6361),#REF!),""))</f>
        <v/>
      </c>
      <c r="AC6361" t="str">
        <f>IF(Z6361="","",COUNTIF(#REF!,Z6361))</f>
        <v/>
      </c>
      <c r="AD6361" t="str">
        <f>IF(A6361="","",IF(AC6361&gt;1,"REVISAR DUPLICADO",IF(AA6361&lt;&gt;"","ACTUALIZADO POR EYR","SIN REPORTE EYR")))</f>
        <v/>
      </c>
    </row>
    <row r="6362" spans="11:30" x14ac:dyDescent="0.3">
      <c r="K6362" s="1" t="str">
        <f ca="1">IF(A6362="","",IF(OR(L6362="ENTREGADA",L6362="RETORNADA",L6362="ENTREGA DIGITAL"),0,MAX(0,5-NETWORKDAYS(H6362+1,TODAY()))))</f>
        <v/>
      </c>
      <c r="L6362" t="str">
        <f>IF(A6362="","",IFERROR(LOOKUP(2,1/(#REF!=Z6362),#REF!),Y6362))</f>
        <v/>
      </c>
      <c r="Z6362" t="str">
        <f>IF(A6362="","",TEXT(A6362,"0")&amp;"|"&amp;TEXT(H6362,"0"))</f>
        <v/>
      </c>
      <c r="AA6362" t="str">
        <f>IF(Z6362="","",IFERROR(LOOKUP(2,1/(#REF!=Z6362),#REF!),""))</f>
        <v/>
      </c>
      <c r="AB6362" t="str">
        <f>IF(Z6362="","",IFERROR(LOOKUP(2,1/(#REF!=Z6362),#REF!),""))</f>
        <v/>
      </c>
      <c r="AC6362" t="str">
        <f>IF(Z6362="","",COUNTIF(#REF!,Z6362))</f>
        <v/>
      </c>
      <c r="AD6362" t="str">
        <f>IF(A6362="","",IF(AC6362&gt;1,"REVISAR DUPLICADO",IF(AA6362&lt;&gt;"","ACTUALIZADO POR EYR","SIN REPORTE EYR")))</f>
        <v/>
      </c>
    </row>
    <row r="6363" spans="11:30" x14ac:dyDescent="0.3">
      <c r="K6363" s="1" t="str">
        <f ca="1">IF(A6363="","",IF(OR(L6363="ENTREGADA",L6363="RETORNADA",L6363="ENTREGA DIGITAL"),0,MAX(0,5-NETWORKDAYS(H6363+1,TODAY()))))</f>
        <v/>
      </c>
      <c r="L6363" t="str">
        <f>IF(A6363="","",IFERROR(LOOKUP(2,1/(#REF!=Z6363),#REF!),Y6363))</f>
        <v/>
      </c>
      <c r="Z6363" t="str">
        <f>IF(A6363="","",TEXT(A6363,"0")&amp;"|"&amp;TEXT(H6363,"0"))</f>
        <v/>
      </c>
      <c r="AA6363" t="str">
        <f>IF(Z6363="","",IFERROR(LOOKUP(2,1/(#REF!=Z6363),#REF!),""))</f>
        <v/>
      </c>
      <c r="AB6363" t="str">
        <f>IF(Z6363="","",IFERROR(LOOKUP(2,1/(#REF!=Z6363),#REF!),""))</f>
        <v/>
      </c>
      <c r="AC6363" t="str">
        <f>IF(Z6363="","",COUNTIF(#REF!,Z6363))</f>
        <v/>
      </c>
      <c r="AD6363" t="str">
        <f>IF(A6363="","",IF(AC6363&gt;1,"REVISAR DUPLICADO",IF(AA6363&lt;&gt;"","ACTUALIZADO POR EYR","SIN REPORTE EYR")))</f>
        <v/>
      </c>
    </row>
    <row r="6364" spans="11:30" x14ac:dyDescent="0.3">
      <c r="K6364" s="1" t="str">
        <f ca="1">IF(A6364="","",IF(OR(L6364="ENTREGADA",L6364="RETORNADA",L6364="ENTREGA DIGITAL"),0,MAX(0,5-NETWORKDAYS(H6364+1,TODAY()))))</f>
        <v/>
      </c>
      <c r="L6364" t="str">
        <f>IF(A6364="","",IFERROR(LOOKUP(2,1/(#REF!=Z6364),#REF!),Y6364))</f>
        <v/>
      </c>
      <c r="Z6364" t="str">
        <f>IF(A6364="","",TEXT(A6364,"0")&amp;"|"&amp;TEXT(H6364,"0"))</f>
        <v/>
      </c>
      <c r="AA6364" t="str">
        <f>IF(Z6364="","",IFERROR(LOOKUP(2,1/(#REF!=Z6364),#REF!),""))</f>
        <v/>
      </c>
      <c r="AB6364" t="str">
        <f>IF(Z6364="","",IFERROR(LOOKUP(2,1/(#REF!=Z6364),#REF!),""))</f>
        <v/>
      </c>
      <c r="AC6364" t="str">
        <f>IF(Z6364="","",COUNTIF(#REF!,Z6364))</f>
        <v/>
      </c>
      <c r="AD6364" t="str">
        <f>IF(A6364="","",IF(AC6364&gt;1,"REVISAR DUPLICADO",IF(AA6364&lt;&gt;"","ACTUALIZADO POR EYR","SIN REPORTE EYR")))</f>
        <v/>
      </c>
    </row>
    <row r="6365" spans="11:30" x14ac:dyDescent="0.3">
      <c r="K6365" s="1" t="str">
        <f ca="1">IF(A6365="","",IF(OR(L6365="ENTREGADA",L6365="RETORNADA",L6365="ENTREGA DIGITAL"),0,MAX(0,5-NETWORKDAYS(H6365+1,TODAY()))))</f>
        <v/>
      </c>
      <c r="L6365" t="str">
        <f>IF(A6365="","",IFERROR(LOOKUP(2,1/(#REF!=Z6365),#REF!),Y6365))</f>
        <v/>
      </c>
      <c r="Z6365" t="str">
        <f>IF(A6365="","",TEXT(A6365,"0")&amp;"|"&amp;TEXT(H6365,"0"))</f>
        <v/>
      </c>
      <c r="AA6365" t="str">
        <f>IF(Z6365="","",IFERROR(LOOKUP(2,1/(#REF!=Z6365),#REF!),""))</f>
        <v/>
      </c>
      <c r="AB6365" t="str">
        <f>IF(Z6365="","",IFERROR(LOOKUP(2,1/(#REF!=Z6365),#REF!),""))</f>
        <v/>
      </c>
      <c r="AC6365" t="str">
        <f>IF(Z6365="","",COUNTIF(#REF!,Z6365))</f>
        <v/>
      </c>
      <c r="AD6365" t="str">
        <f>IF(A6365="","",IF(AC6365&gt;1,"REVISAR DUPLICADO",IF(AA6365&lt;&gt;"","ACTUALIZADO POR EYR","SIN REPORTE EYR")))</f>
        <v/>
      </c>
    </row>
    <row r="6366" spans="11:30" x14ac:dyDescent="0.3">
      <c r="K6366" s="1" t="str">
        <f ca="1">IF(A6366="","",IF(OR(L6366="ENTREGADA",L6366="RETORNADA",L6366="ENTREGA DIGITAL"),0,MAX(0,5-NETWORKDAYS(H6366+1,TODAY()))))</f>
        <v/>
      </c>
      <c r="L6366" t="str">
        <f>IF(A6366="","",IFERROR(LOOKUP(2,1/(#REF!=Z6366),#REF!),Y6366))</f>
        <v/>
      </c>
      <c r="Z6366" t="str">
        <f>IF(A6366="","",TEXT(A6366,"0")&amp;"|"&amp;TEXT(H6366,"0"))</f>
        <v/>
      </c>
      <c r="AA6366" t="str">
        <f>IF(Z6366="","",IFERROR(LOOKUP(2,1/(#REF!=Z6366),#REF!),""))</f>
        <v/>
      </c>
      <c r="AB6366" t="str">
        <f>IF(Z6366="","",IFERROR(LOOKUP(2,1/(#REF!=Z6366),#REF!),""))</f>
        <v/>
      </c>
      <c r="AC6366" t="str">
        <f>IF(Z6366="","",COUNTIF(#REF!,Z6366))</f>
        <v/>
      </c>
      <c r="AD6366" t="str">
        <f>IF(A6366="","",IF(AC6366&gt;1,"REVISAR DUPLICADO",IF(AA6366&lt;&gt;"","ACTUALIZADO POR EYR","SIN REPORTE EYR")))</f>
        <v/>
      </c>
    </row>
    <row r="6367" spans="11:30" x14ac:dyDescent="0.3">
      <c r="K6367" s="1" t="str">
        <f ca="1">IF(A6367="","",IF(OR(L6367="ENTREGADA",L6367="RETORNADA",L6367="ENTREGA DIGITAL"),0,MAX(0,5-NETWORKDAYS(H6367+1,TODAY()))))</f>
        <v/>
      </c>
      <c r="L6367" t="str">
        <f>IF(A6367="","",IFERROR(LOOKUP(2,1/(#REF!=Z6367),#REF!),Y6367))</f>
        <v/>
      </c>
      <c r="Z6367" t="str">
        <f>IF(A6367="","",TEXT(A6367,"0")&amp;"|"&amp;TEXT(H6367,"0"))</f>
        <v/>
      </c>
      <c r="AA6367" t="str">
        <f>IF(Z6367="","",IFERROR(LOOKUP(2,1/(#REF!=Z6367),#REF!),""))</f>
        <v/>
      </c>
      <c r="AB6367" t="str">
        <f>IF(Z6367="","",IFERROR(LOOKUP(2,1/(#REF!=Z6367),#REF!),""))</f>
        <v/>
      </c>
      <c r="AC6367" t="str">
        <f>IF(Z6367="","",COUNTIF(#REF!,Z6367))</f>
        <v/>
      </c>
      <c r="AD6367" t="str">
        <f>IF(A6367="","",IF(AC6367&gt;1,"REVISAR DUPLICADO",IF(AA6367&lt;&gt;"","ACTUALIZADO POR EYR","SIN REPORTE EYR")))</f>
        <v/>
      </c>
    </row>
    <row r="6368" spans="11:30" x14ac:dyDescent="0.3">
      <c r="K6368" s="1" t="str">
        <f ca="1">IF(A6368="","",IF(OR(L6368="ENTREGADA",L6368="RETORNADA",L6368="ENTREGA DIGITAL"),0,MAX(0,5-NETWORKDAYS(H6368+1,TODAY()))))</f>
        <v/>
      </c>
      <c r="L6368" t="str">
        <f>IF(A6368="","",IFERROR(LOOKUP(2,1/(#REF!=Z6368),#REF!),Y6368))</f>
        <v/>
      </c>
      <c r="Z6368" t="str">
        <f>IF(A6368="","",TEXT(A6368,"0")&amp;"|"&amp;TEXT(H6368,"0"))</f>
        <v/>
      </c>
      <c r="AA6368" t="str">
        <f>IF(Z6368="","",IFERROR(LOOKUP(2,1/(#REF!=Z6368),#REF!),""))</f>
        <v/>
      </c>
      <c r="AB6368" t="str">
        <f>IF(Z6368="","",IFERROR(LOOKUP(2,1/(#REF!=Z6368),#REF!),""))</f>
        <v/>
      </c>
      <c r="AC6368" t="str">
        <f>IF(Z6368="","",COUNTIF(#REF!,Z6368))</f>
        <v/>
      </c>
      <c r="AD6368" t="str">
        <f>IF(A6368="","",IF(AC6368&gt;1,"REVISAR DUPLICADO",IF(AA6368&lt;&gt;"","ACTUALIZADO POR EYR","SIN REPORTE EYR")))</f>
        <v/>
      </c>
    </row>
    <row r="6369" spans="11:30" x14ac:dyDescent="0.3">
      <c r="K6369" s="1" t="str">
        <f ca="1">IF(A6369="","",IF(OR(L6369="ENTREGADA",L6369="RETORNADA",L6369="ENTREGA DIGITAL"),0,MAX(0,5-NETWORKDAYS(H6369+1,TODAY()))))</f>
        <v/>
      </c>
      <c r="L6369" t="str">
        <f>IF(A6369="","",IFERROR(LOOKUP(2,1/(#REF!=Z6369),#REF!),Y6369))</f>
        <v/>
      </c>
      <c r="Z6369" t="str">
        <f>IF(A6369="","",TEXT(A6369,"0")&amp;"|"&amp;TEXT(H6369,"0"))</f>
        <v/>
      </c>
      <c r="AA6369" t="str">
        <f>IF(Z6369="","",IFERROR(LOOKUP(2,1/(#REF!=Z6369),#REF!),""))</f>
        <v/>
      </c>
      <c r="AB6369" t="str">
        <f>IF(Z6369="","",IFERROR(LOOKUP(2,1/(#REF!=Z6369),#REF!),""))</f>
        <v/>
      </c>
      <c r="AC6369" t="str">
        <f>IF(Z6369="","",COUNTIF(#REF!,Z6369))</f>
        <v/>
      </c>
      <c r="AD6369" t="str">
        <f>IF(A6369="","",IF(AC6369&gt;1,"REVISAR DUPLICADO",IF(AA6369&lt;&gt;"","ACTUALIZADO POR EYR","SIN REPORTE EYR")))</f>
        <v/>
      </c>
    </row>
    <row r="6370" spans="11:30" x14ac:dyDescent="0.3">
      <c r="K6370" s="1" t="str">
        <f ca="1">IF(A6370="","",IF(OR(L6370="ENTREGADA",L6370="RETORNADA",L6370="ENTREGA DIGITAL"),0,MAX(0,5-NETWORKDAYS(H6370+1,TODAY()))))</f>
        <v/>
      </c>
      <c r="L6370" t="str">
        <f>IF(A6370="","",IFERROR(LOOKUP(2,1/(#REF!=Z6370),#REF!),Y6370))</f>
        <v/>
      </c>
      <c r="Z6370" t="str">
        <f>IF(A6370="","",TEXT(A6370,"0")&amp;"|"&amp;TEXT(H6370,"0"))</f>
        <v/>
      </c>
      <c r="AA6370" t="str">
        <f>IF(Z6370="","",IFERROR(LOOKUP(2,1/(#REF!=Z6370),#REF!),""))</f>
        <v/>
      </c>
      <c r="AB6370" t="str">
        <f>IF(Z6370="","",IFERROR(LOOKUP(2,1/(#REF!=Z6370),#REF!),""))</f>
        <v/>
      </c>
      <c r="AC6370" t="str">
        <f>IF(Z6370="","",COUNTIF(#REF!,Z6370))</f>
        <v/>
      </c>
      <c r="AD6370" t="str">
        <f>IF(A6370="","",IF(AC6370&gt;1,"REVISAR DUPLICADO",IF(AA6370&lt;&gt;"","ACTUALIZADO POR EYR","SIN REPORTE EYR")))</f>
        <v/>
      </c>
    </row>
    <row r="6371" spans="11:30" x14ac:dyDescent="0.3">
      <c r="K6371" s="1" t="str">
        <f ca="1">IF(A6371="","",IF(OR(L6371="ENTREGADA",L6371="RETORNADA",L6371="ENTREGA DIGITAL"),0,MAX(0,5-NETWORKDAYS(H6371+1,TODAY()))))</f>
        <v/>
      </c>
      <c r="L6371" t="str">
        <f>IF(A6371="","",IFERROR(LOOKUP(2,1/(#REF!=Z6371),#REF!),Y6371))</f>
        <v/>
      </c>
      <c r="Z6371" t="str">
        <f>IF(A6371="","",TEXT(A6371,"0")&amp;"|"&amp;TEXT(H6371,"0"))</f>
        <v/>
      </c>
      <c r="AA6371" t="str">
        <f>IF(Z6371="","",IFERROR(LOOKUP(2,1/(#REF!=Z6371),#REF!),""))</f>
        <v/>
      </c>
      <c r="AB6371" t="str">
        <f>IF(Z6371="","",IFERROR(LOOKUP(2,1/(#REF!=Z6371),#REF!),""))</f>
        <v/>
      </c>
      <c r="AC6371" t="str">
        <f>IF(Z6371="","",COUNTIF(#REF!,Z6371))</f>
        <v/>
      </c>
      <c r="AD6371" t="str">
        <f>IF(A6371="","",IF(AC6371&gt;1,"REVISAR DUPLICADO",IF(AA6371&lt;&gt;"","ACTUALIZADO POR EYR","SIN REPORTE EYR")))</f>
        <v/>
      </c>
    </row>
    <row r="6372" spans="11:30" x14ac:dyDescent="0.3">
      <c r="K6372" s="1" t="str">
        <f ca="1">IF(A6372="","",IF(OR(L6372="ENTREGADA",L6372="RETORNADA",L6372="ENTREGA DIGITAL"),0,MAX(0,5-NETWORKDAYS(H6372+1,TODAY()))))</f>
        <v/>
      </c>
      <c r="L6372" t="str">
        <f>IF(A6372="","",IFERROR(LOOKUP(2,1/(#REF!=Z6372),#REF!),Y6372))</f>
        <v/>
      </c>
      <c r="Z6372" t="str">
        <f>IF(A6372="","",TEXT(A6372,"0")&amp;"|"&amp;TEXT(H6372,"0"))</f>
        <v/>
      </c>
      <c r="AA6372" t="str">
        <f>IF(Z6372="","",IFERROR(LOOKUP(2,1/(#REF!=Z6372),#REF!),""))</f>
        <v/>
      </c>
      <c r="AB6372" t="str">
        <f>IF(Z6372="","",IFERROR(LOOKUP(2,1/(#REF!=Z6372),#REF!),""))</f>
        <v/>
      </c>
      <c r="AC6372" t="str">
        <f>IF(Z6372="","",COUNTIF(#REF!,Z6372))</f>
        <v/>
      </c>
      <c r="AD6372" t="str">
        <f>IF(A6372="","",IF(AC6372&gt;1,"REVISAR DUPLICADO",IF(AA6372&lt;&gt;"","ACTUALIZADO POR EYR","SIN REPORTE EYR")))</f>
        <v/>
      </c>
    </row>
    <row r="6373" spans="11:30" x14ac:dyDescent="0.3">
      <c r="K6373" s="1" t="str">
        <f ca="1">IF(A6373="","",IF(OR(L6373="ENTREGADA",L6373="RETORNADA",L6373="ENTREGA DIGITAL"),0,MAX(0,5-NETWORKDAYS(H6373+1,TODAY()))))</f>
        <v/>
      </c>
      <c r="L6373" t="str">
        <f>IF(A6373="","",IFERROR(LOOKUP(2,1/(#REF!=Z6373),#REF!),Y6373))</f>
        <v/>
      </c>
      <c r="Z6373" t="str">
        <f>IF(A6373="","",TEXT(A6373,"0")&amp;"|"&amp;TEXT(H6373,"0"))</f>
        <v/>
      </c>
      <c r="AA6373" t="str">
        <f>IF(Z6373="","",IFERROR(LOOKUP(2,1/(#REF!=Z6373),#REF!),""))</f>
        <v/>
      </c>
      <c r="AB6373" t="str">
        <f>IF(Z6373="","",IFERROR(LOOKUP(2,1/(#REF!=Z6373),#REF!),""))</f>
        <v/>
      </c>
      <c r="AC6373" t="str">
        <f>IF(Z6373="","",COUNTIF(#REF!,Z6373))</f>
        <v/>
      </c>
      <c r="AD6373" t="str">
        <f>IF(A6373="","",IF(AC6373&gt;1,"REVISAR DUPLICADO",IF(AA6373&lt;&gt;"","ACTUALIZADO POR EYR","SIN REPORTE EYR")))</f>
        <v/>
      </c>
    </row>
    <row r="6374" spans="11:30" x14ac:dyDescent="0.3">
      <c r="K6374" s="1" t="str">
        <f ca="1">IF(A6374="","",IF(OR(L6374="ENTREGADA",L6374="RETORNADA",L6374="ENTREGA DIGITAL"),0,MAX(0,5-NETWORKDAYS(H6374+1,TODAY()))))</f>
        <v/>
      </c>
      <c r="L6374" t="str">
        <f>IF(A6374="","",IFERROR(LOOKUP(2,1/(#REF!=Z6374),#REF!),Y6374))</f>
        <v/>
      </c>
      <c r="Z6374" t="str">
        <f>IF(A6374="","",TEXT(A6374,"0")&amp;"|"&amp;TEXT(H6374,"0"))</f>
        <v/>
      </c>
      <c r="AA6374" t="str">
        <f>IF(Z6374="","",IFERROR(LOOKUP(2,1/(#REF!=Z6374),#REF!),""))</f>
        <v/>
      </c>
      <c r="AB6374" t="str">
        <f>IF(Z6374="","",IFERROR(LOOKUP(2,1/(#REF!=Z6374),#REF!),""))</f>
        <v/>
      </c>
      <c r="AC6374" t="str">
        <f>IF(Z6374="","",COUNTIF(#REF!,Z6374))</f>
        <v/>
      </c>
      <c r="AD6374" t="str">
        <f>IF(A6374="","",IF(AC6374&gt;1,"REVISAR DUPLICADO",IF(AA6374&lt;&gt;"","ACTUALIZADO POR EYR","SIN REPORTE EYR")))</f>
        <v/>
      </c>
    </row>
    <row r="6375" spans="11:30" x14ac:dyDescent="0.3">
      <c r="K6375" s="1" t="str">
        <f ca="1">IF(A6375="","",IF(OR(L6375="ENTREGADA",L6375="RETORNADA",L6375="ENTREGA DIGITAL"),0,MAX(0,5-NETWORKDAYS(H6375+1,TODAY()))))</f>
        <v/>
      </c>
      <c r="L6375" t="str">
        <f>IF(A6375="","",IFERROR(LOOKUP(2,1/(#REF!=Z6375),#REF!),Y6375))</f>
        <v/>
      </c>
      <c r="Z6375" t="str">
        <f>IF(A6375="","",TEXT(A6375,"0")&amp;"|"&amp;TEXT(H6375,"0"))</f>
        <v/>
      </c>
      <c r="AA6375" t="str">
        <f>IF(Z6375="","",IFERROR(LOOKUP(2,1/(#REF!=Z6375),#REF!),""))</f>
        <v/>
      </c>
      <c r="AB6375" t="str">
        <f>IF(Z6375="","",IFERROR(LOOKUP(2,1/(#REF!=Z6375),#REF!),""))</f>
        <v/>
      </c>
      <c r="AC6375" t="str">
        <f>IF(Z6375="","",COUNTIF(#REF!,Z6375))</f>
        <v/>
      </c>
      <c r="AD6375" t="str">
        <f>IF(A6375="","",IF(AC6375&gt;1,"REVISAR DUPLICADO",IF(AA6375&lt;&gt;"","ACTUALIZADO POR EYR","SIN REPORTE EYR")))</f>
        <v/>
      </c>
    </row>
    <row r="6376" spans="11:30" x14ac:dyDescent="0.3">
      <c r="K6376" s="1" t="str">
        <f ca="1">IF(A6376="","",IF(OR(L6376="ENTREGADA",L6376="RETORNADA",L6376="ENTREGA DIGITAL"),0,MAX(0,5-NETWORKDAYS(H6376+1,TODAY()))))</f>
        <v/>
      </c>
      <c r="L6376" t="str">
        <f>IF(A6376="","",IFERROR(LOOKUP(2,1/(#REF!=Z6376),#REF!),Y6376))</f>
        <v/>
      </c>
      <c r="Z6376" t="str">
        <f>IF(A6376="","",TEXT(A6376,"0")&amp;"|"&amp;TEXT(H6376,"0"))</f>
        <v/>
      </c>
      <c r="AA6376" t="str">
        <f>IF(Z6376="","",IFERROR(LOOKUP(2,1/(#REF!=Z6376),#REF!),""))</f>
        <v/>
      </c>
      <c r="AB6376" t="str">
        <f>IF(Z6376="","",IFERROR(LOOKUP(2,1/(#REF!=Z6376),#REF!),""))</f>
        <v/>
      </c>
      <c r="AC6376" t="str">
        <f>IF(Z6376="","",COUNTIF(#REF!,Z6376))</f>
        <v/>
      </c>
      <c r="AD6376" t="str">
        <f>IF(A6376="","",IF(AC6376&gt;1,"REVISAR DUPLICADO",IF(AA6376&lt;&gt;"","ACTUALIZADO POR EYR","SIN REPORTE EYR")))</f>
        <v/>
      </c>
    </row>
    <row r="6377" spans="11:30" x14ac:dyDescent="0.3">
      <c r="K6377" s="1" t="str">
        <f ca="1">IF(A6377="","",IF(OR(L6377="ENTREGADA",L6377="RETORNADA",L6377="ENTREGA DIGITAL"),0,MAX(0,5-NETWORKDAYS(H6377+1,TODAY()))))</f>
        <v/>
      </c>
      <c r="L6377" t="str">
        <f>IF(A6377="","",IFERROR(LOOKUP(2,1/(#REF!=Z6377),#REF!),Y6377))</f>
        <v/>
      </c>
      <c r="Z6377" t="str">
        <f>IF(A6377="","",TEXT(A6377,"0")&amp;"|"&amp;TEXT(H6377,"0"))</f>
        <v/>
      </c>
      <c r="AA6377" t="str">
        <f>IF(Z6377="","",IFERROR(LOOKUP(2,1/(#REF!=Z6377),#REF!),""))</f>
        <v/>
      </c>
      <c r="AB6377" t="str">
        <f>IF(Z6377="","",IFERROR(LOOKUP(2,1/(#REF!=Z6377),#REF!),""))</f>
        <v/>
      </c>
      <c r="AC6377" t="str">
        <f>IF(Z6377="","",COUNTIF(#REF!,Z6377))</f>
        <v/>
      </c>
      <c r="AD6377" t="str">
        <f>IF(A6377="","",IF(AC6377&gt;1,"REVISAR DUPLICADO",IF(AA6377&lt;&gt;"","ACTUALIZADO POR EYR","SIN REPORTE EYR")))</f>
        <v/>
      </c>
    </row>
    <row r="6378" spans="11:30" x14ac:dyDescent="0.3">
      <c r="K6378" s="1" t="str">
        <f ca="1">IF(A6378="","",IF(OR(L6378="ENTREGADA",L6378="RETORNADA",L6378="ENTREGA DIGITAL"),0,MAX(0,5-NETWORKDAYS(H6378+1,TODAY()))))</f>
        <v/>
      </c>
      <c r="L6378" t="str">
        <f>IF(A6378="","",IFERROR(LOOKUP(2,1/(#REF!=Z6378),#REF!),Y6378))</f>
        <v/>
      </c>
      <c r="Z6378" t="str">
        <f>IF(A6378="","",TEXT(A6378,"0")&amp;"|"&amp;TEXT(H6378,"0"))</f>
        <v/>
      </c>
      <c r="AA6378" t="str">
        <f>IF(Z6378="","",IFERROR(LOOKUP(2,1/(#REF!=Z6378),#REF!),""))</f>
        <v/>
      </c>
      <c r="AB6378" t="str">
        <f>IF(Z6378="","",IFERROR(LOOKUP(2,1/(#REF!=Z6378),#REF!),""))</f>
        <v/>
      </c>
      <c r="AC6378" t="str">
        <f>IF(Z6378="","",COUNTIF(#REF!,Z6378))</f>
        <v/>
      </c>
      <c r="AD6378" t="str">
        <f>IF(A6378="","",IF(AC6378&gt;1,"REVISAR DUPLICADO",IF(AA6378&lt;&gt;"","ACTUALIZADO POR EYR","SIN REPORTE EYR")))</f>
        <v/>
      </c>
    </row>
    <row r="6379" spans="11:30" x14ac:dyDescent="0.3">
      <c r="K6379" s="1" t="str">
        <f ca="1">IF(A6379="","",IF(OR(L6379="ENTREGADA",L6379="RETORNADA",L6379="ENTREGA DIGITAL"),0,MAX(0,5-NETWORKDAYS(H6379+1,TODAY()))))</f>
        <v/>
      </c>
      <c r="L6379" t="str">
        <f>IF(A6379="","",IFERROR(LOOKUP(2,1/(#REF!=Z6379),#REF!),Y6379))</f>
        <v/>
      </c>
      <c r="Z6379" t="str">
        <f>IF(A6379="","",TEXT(A6379,"0")&amp;"|"&amp;TEXT(H6379,"0"))</f>
        <v/>
      </c>
      <c r="AA6379" t="str">
        <f>IF(Z6379="","",IFERROR(LOOKUP(2,1/(#REF!=Z6379),#REF!),""))</f>
        <v/>
      </c>
      <c r="AB6379" t="str">
        <f>IF(Z6379="","",IFERROR(LOOKUP(2,1/(#REF!=Z6379),#REF!),""))</f>
        <v/>
      </c>
      <c r="AC6379" t="str">
        <f>IF(Z6379="","",COUNTIF(#REF!,Z6379))</f>
        <v/>
      </c>
      <c r="AD6379" t="str">
        <f>IF(A6379="","",IF(AC6379&gt;1,"REVISAR DUPLICADO",IF(AA6379&lt;&gt;"","ACTUALIZADO POR EYR","SIN REPORTE EYR")))</f>
        <v/>
      </c>
    </row>
    <row r="6380" spans="11:30" x14ac:dyDescent="0.3">
      <c r="K6380" s="1" t="str">
        <f ca="1">IF(A6380="","",IF(OR(L6380="ENTREGADA",L6380="RETORNADA",L6380="ENTREGA DIGITAL"),0,MAX(0,5-NETWORKDAYS(H6380+1,TODAY()))))</f>
        <v/>
      </c>
      <c r="L6380" t="str">
        <f>IF(A6380="","",IFERROR(LOOKUP(2,1/(#REF!=Z6380),#REF!),Y6380))</f>
        <v/>
      </c>
      <c r="Z6380" t="str">
        <f>IF(A6380="","",TEXT(A6380,"0")&amp;"|"&amp;TEXT(H6380,"0"))</f>
        <v/>
      </c>
      <c r="AA6380" t="str">
        <f>IF(Z6380="","",IFERROR(LOOKUP(2,1/(#REF!=Z6380),#REF!),""))</f>
        <v/>
      </c>
      <c r="AB6380" t="str">
        <f>IF(Z6380="","",IFERROR(LOOKUP(2,1/(#REF!=Z6380),#REF!),""))</f>
        <v/>
      </c>
      <c r="AC6380" t="str">
        <f>IF(Z6380="","",COUNTIF(#REF!,Z6380))</f>
        <v/>
      </c>
      <c r="AD6380" t="str">
        <f>IF(A6380="","",IF(AC6380&gt;1,"REVISAR DUPLICADO",IF(AA6380&lt;&gt;"","ACTUALIZADO POR EYR","SIN REPORTE EYR")))</f>
        <v/>
      </c>
    </row>
    <row r="6381" spans="11:30" x14ac:dyDescent="0.3">
      <c r="K6381" s="1" t="str">
        <f ca="1">IF(A6381="","",IF(OR(L6381="ENTREGADA",L6381="RETORNADA",L6381="ENTREGA DIGITAL"),0,MAX(0,5-NETWORKDAYS(H6381+1,TODAY()))))</f>
        <v/>
      </c>
      <c r="L6381" t="str">
        <f>IF(A6381="","",IFERROR(LOOKUP(2,1/(#REF!=Z6381),#REF!),Y6381))</f>
        <v/>
      </c>
      <c r="Z6381" t="str">
        <f>IF(A6381="","",TEXT(A6381,"0")&amp;"|"&amp;TEXT(H6381,"0"))</f>
        <v/>
      </c>
      <c r="AA6381" t="str">
        <f>IF(Z6381="","",IFERROR(LOOKUP(2,1/(#REF!=Z6381),#REF!),""))</f>
        <v/>
      </c>
      <c r="AB6381" t="str">
        <f>IF(Z6381="","",IFERROR(LOOKUP(2,1/(#REF!=Z6381),#REF!),""))</f>
        <v/>
      </c>
      <c r="AC6381" t="str">
        <f>IF(Z6381="","",COUNTIF(#REF!,Z6381))</f>
        <v/>
      </c>
      <c r="AD6381" t="str">
        <f>IF(A6381="","",IF(AC6381&gt;1,"REVISAR DUPLICADO",IF(AA6381&lt;&gt;"","ACTUALIZADO POR EYR","SIN REPORTE EYR")))</f>
        <v/>
      </c>
    </row>
    <row r="6382" spans="11:30" x14ac:dyDescent="0.3">
      <c r="K6382" s="1" t="str">
        <f ca="1">IF(A6382="","",IF(OR(L6382="ENTREGADA",L6382="RETORNADA",L6382="ENTREGA DIGITAL"),0,MAX(0,5-NETWORKDAYS(H6382+1,TODAY()))))</f>
        <v/>
      </c>
      <c r="L6382" t="str">
        <f>IF(A6382="","",IFERROR(LOOKUP(2,1/(#REF!=Z6382),#REF!),Y6382))</f>
        <v/>
      </c>
      <c r="Z6382" t="str">
        <f>IF(A6382="","",TEXT(A6382,"0")&amp;"|"&amp;TEXT(H6382,"0"))</f>
        <v/>
      </c>
      <c r="AA6382" t="str">
        <f>IF(Z6382="","",IFERROR(LOOKUP(2,1/(#REF!=Z6382),#REF!),""))</f>
        <v/>
      </c>
      <c r="AB6382" t="str">
        <f>IF(Z6382="","",IFERROR(LOOKUP(2,1/(#REF!=Z6382),#REF!),""))</f>
        <v/>
      </c>
      <c r="AC6382" t="str">
        <f>IF(Z6382="","",COUNTIF(#REF!,Z6382))</f>
        <v/>
      </c>
      <c r="AD6382" t="str">
        <f>IF(A6382="","",IF(AC6382&gt;1,"REVISAR DUPLICADO",IF(AA6382&lt;&gt;"","ACTUALIZADO POR EYR","SIN REPORTE EYR")))</f>
        <v/>
      </c>
    </row>
    <row r="6383" spans="11:30" x14ac:dyDescent="0.3">
      <c r="K6383" s="1" t="str">
        <f ca="1">IF(A6383="","",IF(OR(L6383="ENTREGADA",L6383="RETORNADA",L6383="ENTREGA DIGITAL"),0,MAX(0,5-NETWORKDAYS(H6383+1,TODAY()))))</f>
        <v/>
      </c>
      <c r="L6383" t="str">
        <f>IF(A6383="","",IFERROR(LOOKUP(2,1/(#REF!=Z6383),#REF!),Y6383))</f>
        <v/>
      </c>
      <c r="Z6383" t="str">
        <f>IF(A6383="","",TEXT(A6383,"0")&amp;"|"&amp;TEXT(H6383,"0"))</f>
        <v/>
      </c>
      <c r="AA6383" t="str">
        <f>IF(Z6383="","",IFERROR(LOOKUP(2,1/(#REF!=Z6383),#REF!),""))</f>
        <v/>
      </c>
      <c r="AB6383" t="str">
        <f>IF(Z6383="","",IFERROR(LOOKUP(2,1/(#REF!=Z6383),#REF!),""))</f>
        <v/>
      </c>
      <c r="AC6383" t="str">
        <f>IF(Z6383="","",COUNTIF(#REF!,Z6383))</f>
        <v/>
      </c>
      <c r="AD6383" t="str">
        <f>IF(A6383="","",IF(AC6383&gt;1,"REVISAR DUPLICADO",IF(AA6383&lt;&gt;"","ACTUALIZADO POR EYR","SIN REPORTE EYR")))</f>
        <v/>
      </c>
    </row>
    <row r="6384" spans="11:30" x14ac:dyDescent="0.3">
      <c r="K6384" s="1" t="str">
        <f ca="1">IF(A6384="","",IF(OR(L6384="ENTREGADA",L6384="RETORNADA",L6384="ENTREGA DIGITAL"),0,MAX(0,5-NETWORKDAYS(H6384+1,TODAY()))))</f>
        <v/>
      </c>
      <c r="L6384" t="str">
        <f>IF(A6384="","",IFERROR(LOOKUP(2,1/(#REF!=Z6384),#REF!),Y6384))</f>
        <v/>
      </c>
      <c r="Z6384" t="str">
        <f>IF(A6384="","",TEXT(A6384,"0")&amp;"|"&amp;TEXT(H6384,"0"))</f>
        <v/>
      </c>
      <c r="AA6384" t="str">
        <f>IF(Z6384="","",IFERROR(LOOKUP(2,1/(#REF!=Z6384),#REF!),""))</f>
        <v/>
      </c>
      <c r="AB6384" t="str">
        <f>IF(Z6384="","",IFERROR(LOOKUP(2,1/(#REF!=Z6384),#REF!),""))</f>
        <v/>
      </c>
      <c r="AC6384" t="str">
        <f>IF(Z6384="","",COUNTIF(#REF!,Z6384))</f>
        <v/>
      </c>
      <c r="AD6384" t="str">
        <f>IF(A6384="","",IF(AC6384&gt;1,"REVISAR DUPLICADO",IF(AA6384&lt;&gt;"","ACTUALIZADO POR EYR","SIN REPORTE EYR")))</f>
        <v/>
      </c>
    </row>
    <row r="6385" spans="11:30" x14ac:dyDescent="0.3">
      <c r="K6385" s="1" t="str">
        <f ca="1">IF(A6385="","",IF(OR(L6385="ENTREGADA",L6385="RETORNADA",L6385="ENTREGA DIGITAL"),0,MAX(0,5-NETWORKDAYS(H6385+1,TODAY()))))</f>
        <v/>
      </c>
      <c r="L6385" t="str">
        <f>IF(A6385="","",IFERROR(LOOKUP(2,1/(#REF!=Z6385),#REF!),Y6385))</f>
        <v/>
      </c>
      <c r="Z6385" t="str">
        <f>IF(A6385="","",TEXT(A6385,"0")&amp;"|"&amp;TEXT(H6385,"0"))</f>
        <v/>
      </c>
      <c r="AA6385" t="str">
        <f>IF(Z6385="","",IFERROR(LOOKUP(2,1/(#REF!=Z6385),#REF!),""))</f>
        <v/>
      </c>
      <c r="AB6385" t="str">
        <f>IF(Z6385="","",IFERROR(LOOKUP(2,1/(#REF!=Z6385),#REF!),""))</f>
        <v/>
      </c>
      <c r="AC6385" t="str">
        <f>IF(Z6385="","",COUNTIF(#REF!,Z6385))</f>
        <v/>
      </c>
      <c r="AD6385" t="str">
        <f>IF(A6385="","",IF(AC6385&gt;1,"REVISAR DUPLICADO",IF(AA6385&lt;&gt;"","ACTUALIZADO POR EYR","SIN REPORTE EYR")))</f>
        <v/>
      </c>
    </row>
    <row r="6386" spans="11:30" x14ac:dyDescent="0.3">
      <c r="K6386" s="1" t="str">
        <f ca="1">IF(A6386="","",IF(OR(L6386="ENTREGADA",L6386="RETORNADA",L6386="ENTREGA DIGITAL"),0,MAX(0,5-NETWORKDAYS(H6386+1,TODAY()))))</f>
        <v/>
      </c>
      <c r="L6386" t="str">
        <f>IF(A6386="","",IFERROR(LOOKUP(2,1/(#REF!=Z6386),#REF!),Y6386))</f>
        <v/>
      </c>
      <c r="Z6386" t="str">
        <f>IF(A6386="","",TEXT(A6386,"0")&amp;"|"&amp;TEXT(H6386,"0"))</f>
        <v/>
      </c>
      <c r="AA6386" t="str">
        <f>IF(Z6386="","",IFERROR(LOOKUP(2,1/(#REF!=Z6386),#REF!),""))</f>
        <v/>
      </c>
      <c r="AB6386" t="str">
        <f>IF(Z6386="","",IFERROR(LOOKUP(2,1/(#REF!=Z6386),#REF!),""))</f>
        <v/>
      </c>
      <c r="AC6386" t="str">
        <f>IF(Z6386="","",COUNTIF(#REF!,Z6386))</f>
        <v/>
      </c>
      <c r="AD6386" t="str">
        <f>IF(A6386="","",IF(AC6386&gt;1,"REVISAR DUPLICADO",IF(AA6386&lt;&gt;"","ACTUALIZADO POR EYR","SIN REPORTE EYR")))</f>
        <v/>
      </c>
    </row>
    <row r="6387" spans="11:30" x14ac:dyDescent="0.3">
      <c r="K6387" s="1" t="str">
        <f ca="1">IF(A6387="","",IF(OR(L6387="ENTREGADA",L6387="RETORNADA",L6387="ENTREGA DIGITAL"),0,MAX(0,5-NETWORKDAYS(H6387+1,TODAY()))))</f>
        <v/>
      </c>
      <c r="L6387" t="str">
        <f>IF(A6387="","",IFERROR(LOOKUP(2,1/(#REF!=Z6387),#REF!),Y6387))</f>
        <v/>
      </c>
      <c r="Z6387" t="str">
        <f>IF(A6387="","",TEXT(A6387,"0")&amp;"|"&amp;TEXT(H6387,"0"))</f>
        <v/>
      </c>
      <c r="AA6387" t="str">
        <f>IF(Z6387="","",IFERROR(LOOKUP(2,1/(#REF!=Z6387),#REF!),""))</f>
        <v/>
      </c>
      <c r="AB6387" t="str">
        <f>IF(Z6387="","",IFERROR(LOOKUP(2,1/(#REF!=Z6387),#REF!),""))</f>
        <v/>
      </c>
      <c r="AC6387" t="str">
        <f>IF(Z6387="","",COUNTIF(#REF!,Z6387))</f>
        <v/>
      </c>
      <c r="AD6387" t="str">
        <f>IF(A6387="","",IF(AC6387&gt;1,"REVISAR DUPLICADO",IF(AA6387&lt;&gt;"","ACTUALIZADO POR EYR","SIN REPORTE EYR")))</f>
        <v/>
      </c>
    </row>
    <row r="6388" spans="11:30" x14ac:dyDescent="0.3">
      <c r="K6388" s="1" t="str">
        <f ca="1">IF(A6388="","",IF(OR(L6388="ENTREGADA",L6388="RETORNADA",L6388="ENTREGA DIGITAL"),0,MAX(0,5-NETWORKDAYS(H6388+1,TODAY()))))</f>
        <v/>
      </c>
      <c r="L6388" t="str">
        <f>IF(A6388="","",IFERROR(LOOKUP(2,1/(#REF!=Z6388),#REF!),Y6388))</f>
        <v/>
      </c>
      <c r="Z6388" t="str">
        <f>IF(A6388="","",TEXT(A6388,"0")&amp;"|"&amp;TEXT(H6388,"0"))</f>
        <v/>
      </c>
      <c r="AA6388" t="str">
        <f>IF(Z6388="","",IFERROR(LOOKUP(2,1/(#REF!=Z6388),#REF!),""))</f>
        <v/>
      </c>
      <c r="AB6388" t="str">
        <f>IF(Z6388="","",IFERROR(LOOKUP(2,1/(#REF!=Z6388),#REF!),""))</f>
        <v/>
      </c>
      <c r="AC6388" t="str">
        <f>IF(Z6388="","",COUNTIF(#REF!,Z6388))</f>
        <v/>
      </c>
      <c r="AD6388" t="str">
        <f>IF(A6388="","",IF(AC6388&gt;1,"REVISAR DUPLICADO",IF(AA6388&lt;&gt;"","ACTUALIZADO POR EYR","SIN REPORTE EYR")))</f>
        <v/>
      </c>
    </row>
    <row r="6389" spans="11:30" x14ac:dyDescent="0.3">
      <c r="K6389" s="1" t="str">
        <f ca="1">IF(A6389="","",IF(OR(L6389="ENTREGADA",L6389="RETORNADA",L6389="ENTREGA DIGITAL"),0,MAX(0,5-NETWORKDAYS(H6389+1,TODAY()))))</f>
        <v/>
      </c>
      <c r="L6389" t="str">
        <f>IF(A6389="","",IFERROR(LOOKUP(2,1/(#REF!=Z6389),#REF!),Y6389))</f>
        <v/>
      </c>
      <c r="Z6389" t="str">
        <f>IF(A6389="","",TEXT(A6389,"0")&amp;"|"&amp;TEXT(H6389,"0"))</f>
        <v/>
      </c>
      <c r="AA6389" t="str">
        <f>IF(Z6389="","",IFERROR(LOOKUP(2,1/(#REF!=Z6389),#REF!),""))</f>
        <v/>
      </c>
      <c r="AB6389" t="str">
        <f>IF(Z6389="","",IFERROR(LOOKUP(2,1/(#REF!=Z6389),#REF!),""))</f>
        <v/>
      </c>
      <c r="AC6389" t="str">
        <f>IF(Z6389="","",COUNTIF(#REF!,Z6389))</f>
        <v/>
      </c>
      <c r="AD6389" t="str">
        <f>IF(A6389="","",IF(AC6389&gt;1,"REVISAR DUPLICADO",IF(AA6389&lt;&gt;"","ACTUALIZADO POR EYR","SIN REPORTE EYR")))</f>
        <v/>
      </c>
    </row>
    <row r="6390" spans="11:30" x14ac:dyDescent="0.3">
      <c r="K6390" s="1" t="str">
        <f ca="1">IF(A6390="","",IF(OR(L6390="ENTREGADA",L6390="RETORNADA",L6390="ENTREGA DIGITAL"),0,MAX(0,5-NETWORKDAYS(H6390+1,TODAY()))))</f>
        <v/>
      </c>
      <c r="L6390" t="str">
        <f>IF(A6390="","",IFERROR(LOOKUP(2,1/(#REF!=Z6390),#REF!),Y6390))</f>
        <v/>
      </c>
      <c r="Z6390" t="str">
        <f>IF(A6390="","",TEXT(A6390,"0")&amp;"|"&amp;TEXT(H6390,"0"))</f>
        <v/>
      </c>
      <c r="AA6390" t="str">
        <f>IF(Z6390="","",IFERROR(LOOKUP(2,1/(#REF!=Z6390),#REF!),""))</f>
        <v/>
      </c>
      <c r="AB6390" t="str">
        <f>IF(Z6390="","",IFERROR(LOOKUP(2,1/(#REF!=Z6390),#REF!),""))</f>
        <v/>
      </c>
      <c r="AC6390" t="str">
        <f>IF(Z6390="","",COUNTIF(#REF!,Z6390))</f>
        <v/>
      </c>
      <c r="AD6390" t="str">
        <f>IF(A6390="","",IF(AC6390&gt;1,"REVISAR DUPLICADO",IF(AA6390&lt;&gt;"","ACTUALIZADO POR EYR","SIN REPORTE EYR")))</f>
        <v/>
      </c>
    </row>
    <row r="6391" spans="11:30" x14ac:dyDescent="0.3">
      <c r="K6391" s="1" t="str">
        <f ca="1">IF(A6391="","",IF(OR(L6391="ENTREGADA",L6391="RETORNADA",L6391="ENTREGA DIGITAL"),0,MAX(0,5-NETWORKDAYS(H6391+1,TODAY()))))</f>
        <v/>
      </c>
      <c r="L6391" t="str">
        <f>IF(A6391="","",IFERROR(LOOKUP(2,1/(#REF!=Z6391),#REF!),Y6391))</f>
        <v/>
      </c>
      <c r="Z6391" t="str">
        <f>IF(A6391="","",TEXT(A6391,"0")&amp;"|"&amp;TEXT(H6391,"0"))</f>
        <v/>
      </c>
      <c r="AA6391" t="str">
        <f>IF(Z6391="","",IFERROR(LOOKUP(2,1/(#REF!=Z6391),#REF!),""))</f>
        <v/>
      </c>
      <c r="AB6391" t="str">
        <f>IF(Z6391="","",IFERROR(LOOKUP(2,1/(#REF!=Z6391),#REF!),""))</f>
        <v/>
      </c>
      <c r="AC6391" t="str">
        <f>IF(Z6391="","",COUNTIF(#REF!,Z6391))</f>
        <v/>
      </c>
      <c r="AD6391" t="str">
        <f>IF(A6391="","",IF(AC6391&gt;1,"REVISAR DUPLICADO",IF(AA6391&lt;&gt;"","ACTUALIZADO POR EYR","SIN REPORTE EYR")))</f>
        <v/>
      </c>
    </row>
    <row r="6392" spans="11:30" x14ac:dyDescent="0.3">
      <c r="K6392" s="1" t="str">
        <f ca="1">IF(A6392="","",IF(OR(L6392="ENTREGADA",L6392="RETORNADA",L6392="ENTREGA DIGITAL"),0,MAX(0,5-NETWORKDAYS(H6392+1,TODAY()))))</f>
        <v/>
      </c>
      <c r="L6392" t="str">
        <f>IF(A6392="","",IFERROR(LOOKUP(2,1/(#REF!=Z6392),#REF!),Y6392))</f>
        <v/>
      </c>
      <c r="Z6392" t="str">
        <f>IF(A6392="","",TEXT(A6392,"0")&amp;"|"&amp;TEXT(H6392,"0"))</f>
        <v/>
      </c>
      <c r="AA6392" t="str">
        <f>IF(Z6392="","",IFERROR(LOOKUP(2,1/(#REF!=Z6392),#REF!),""))</f>
        <v/>
      </c>
      <c r="AB6392" t="str">
        <f>IF(Z6392="","",IFERROR(LOOKUP(2,1/(#REF!=Z6392),#REF!),""))</f>
        <v/>
      </c>
      <c r="AC6392" t="str">
        <f>IF(Z6392="","",COUNTIF(#REF!,Z6392))</f>
        <v/>
      </c>
      <c r="AD6392" t="str">
        <f>IF(A6392="","",IF(AC6392&gt;1,"REVISAR DUPLICADO",IF(AA6392&lt;&gt;"","ACTUALIZADO POR EYR","SIN REPORTE EYR")))</f>
        <v/>
      </c>
    </row>
    <row r="6393" spans="11:30" x14ac:dyDescent="0.3">
      <c r="K6393" s="1" t="str">
        <f ca="1">IF(A6393="","",IF(OR(L6393="ENTREGADA",L6393="RETORNADA",L6393="ENTREGA DIGITAL"),0,MAX(0,5-NETWORKDAYS(H6393+1,TODAY()))))</f>
        <v/>
      </c>
      <c r="L6393" t="str">
        <f>IF(A6393="","",IFERROR(LOOKUP(2,1/(#REF!=Z6393),#REF!),Y6393))</f>
        <v/>
      </c>
      <c r="Z6393" t="str">
        <f>IF(A6393="","",TEXT(A6393,"0")&amp;"|"&amp;TEXT(H6393,"0"))</f>
        <v/>
      </c>
      <c r="AA6393" t="str">
        <f>IF(Z6393="","",IFERROR(LOOKUP(2,1/(#REF!=Z6393),#REF!),""))</f>
        <v/>
      </c>
      <c r="AB6393" t="str">
        <f>IF(Z6393="","",IFERROR(LOOKUP(2,1/(#REF!=Z6393),#REF!),""))</f>
        <v/>
      </c>
      <c r="AC6393" t="str">
        <f>IF(Z6393="","",COUNTIF(#REF!,Z6393))</f>
        <v/>
      </c>
      <c r="AD6393" t="str">
        <f>IF(A6393="","",IF(AC6393&gt;1,"REVISAR DUPLICADO",IF(AA6393&lt;&gt;"","ACTUALIZADO POR EYR","SIN REPORTE EYR")))</f>
        <v/>
      </c>
    </row>
    <row r="6394" spans="11:30" x14ac:dyDescent="0.3">
      <c r="K6394" s="1" t="str">
        <f ca="1">IF(A6394="","",IF(OR(L6394="ENTREGADA",L6394="RETORNADA",L6394="ENTREGA DIGITAL"),0,MAX(0,5-NETWORKDAYS(H6394+1,TODAY()))))</f>
        <v/>
      </c>
      <c r="L6394" t="str">
        <f>IF(A6394="","",IFERROR(LOOKUP(2,1/(#REF!=Z6394),#REF!),Y6394))</f>
        <v/>
      </c>
      <c r="Z6394" t="str">
        <f>IF(A6394="","",TEXT(A6394,"0")&amp;"|"&amp;TEXT(H6394,"0"))</f>
        <v/>
      </c>
      <c r="AA6394" t="str">
        <f>IF(Z6394="","",IFERROR(LOOKUP(2,1/(#REF!=Z6394),#REF!),""))</f>
        <v/>
      </c>
      <c r="AB6394" t="str">
        <f>IF(Z6394="","",IFERROR(LOOKUP(2,1/(#REF!=Z6394),#REF!),""))</f>
        <v/>
      </c>
      <c r="AC6394" t="str">
        <f>IF(Z6394="","",COUNTIF(#REF!,Z6394))</f>
        <v/>
      </c>
      <c r="AD6394" t="str">
        <f>IF(A6394="","",IF(AC6394&gt;1,"REVISAR DUPLICADO",IF(AA6394&lt;&gt;"","ACTUALIZADO POR EYR","SIN REPORTE EYR")))</f>
        <v/>
      </c>
    </row>
    <row r="6395" spans="11:30" x14ac:dyDescent="0.3">
      <c r="K6395" s="1" t="str">
        <f ca="1">IF(A6395="","",IF(OR(L6395="ENTREGADA",L6395="RETORNADA",L6395="ENTREGA DIGITAL"),0,MAX(0,5-NETWORKDAYS(H6395+1,TODAY()))))</f>
        <v/>
      </c>
      <c r="L6395" t="str">
        <f>IF(A6395="","",IFERROR(LOOKUP(2,1/(#REF!=Z6395),#REF!),Y6395))</f>
        <v/>
      </c>
      <c r="Z6395" t="str">
        <f>IF(A6395="","",TEXT(A6395,"0")&amp;"|"&amp;TEXT(H6395,"0"))</f>
        <v/>
      </c>
      <c r="AA6395" t="str">
        <f>IF(Z6395="","",IFERROR(LOOKUP(2,1/(#REF!=Z6395),#REF!),""))</f>
        <v/>
      </c>
      <c r="AB6395" t="str">
        <f>IF(Z6395="","",IFERROR(LOOKUP(2,1/(#REF!=Z6395),#REF!),""))</f>
        <v/>
      </c>
      <c r="AC6395" t="str">
        <f>IF(Z6395="","",COUNTIF(#REF!,Z6395))</f>
        <v/>
      </c>
      <c r="AD6395" t="str">
        <f>IF(A6395="","",IF(AC6395&gt;1,"REVISAR DUPLICADO",IF(AA6395&lt;&gt;"","ACTUALIZADO POR EYR","SIN REPORTE EYR")))</f>
        <v/>
      </c>
    </row>
    <row r="6396" spans="11:30" x14ac:dyDescent="0.3">
      <c r="K6396" s="1" t="str">
        <f ca="1">IF(A6396="","",IF(OR(L6396="ENTREGADA",L6396="RETORNADA",L6396="ENTREGA DIGITAL"),0,MAX(0,5-NETWORKDAYS(H6396+1,TODAY()))))</f>
        <v/>
      </c>
      <c r="L6396" t="str">
        <f>IF(A6396="","",IFERROR(LOOKUP(2,1/(#REF!=Z6396),#REF!),Y6396))</f>
        <v/>
      </c>
      <c r="Z6396" t="str">
        <f>IF(A6396="","",TEXT(A6396,"0")&amp;"|"&amp;TEXT(H6396,"0"))</f>
        <v/>
      </c>
      <c r="AA6396" t="str">
        <f>IF(Z6396="","",IFERROR(LOOKUP(2,1/(#REF!=Z6396),#REF!),""))</f>
        <v/>
      </c>
      <c r="AB6396" t="str">
        <f>IF(Z6396="","",IFERROR(LOOKUP(2,1/(#REF!=Z6396),#REF!),""))</f>
        <v/>
      </c>
      <c r="AC6396" t="str">
        <f>IF(Z6396="","",COUNTIF(#REF!,Z6396))</f>
        <v/>
      </c>
      <c r="AD6396" t="str">
        <f>IF(A6396="","",IF(AC6396&gt;1,"REVISAR DUPLICADO",IF(AA6396&lt;&gt;"","ACTUALIZADO POR EYR","SIN REPORTE EYR")))</f>
        <v/>
      </c>
    </row>
    <row r="6397" spans="11:30" x14ac:dyDescent="0.3">
      <c r="K6397" s="1" t="str">
        <f ca="1">IF(A6397="","",IF(OR(L6397="ENTREGADA",L6397="RETORNADA",L6397="ENTREGA DIGITAL"),0,MAX(0,5-NETWORKDAYS(H6397+1,TODAY()))))</f>
        <v/>
      </c>
      <c r="L6397" t="str">
        <f>IF(A6397="","",IFERROR(LOOKUP(2,1/(#REF!=Z6397),#REF!),Y6397))</f>
        <v/>
      </c>
      <c r="Z6397" t="str">
        <f>IF(A6397="","",TEXT(A6397,"0")&amp;"|"&amp;TEXT(H6397,"0"))</f>
        <v/>
      </c>
      <c r="AA6397" t="str">
        <f>IF(Z6397="","",IFERROR(LOOKUP(2,1/(#REF!=Z6397),#REF!),""))</f>
        <v/>
      </c>
      <c r="AB6397" t="str">
        <f>IF(Z6397="","",IFERROR(LOOKUP(2,1/(#REF!=Z6397),#REF!),""))</f>
        <v/>
      </c>
      <c r="AC6397" t="str">
        <f>IF(Z6397="","",COUNTIF(#REF!,Z6397))</f>
        <v/>
      </c>
      <c r="AD6397" t="str">
        <f>IF(A6397="","",IF(AC6397&gt;1,"REVISAR DUPLICADO",IF(AA6397&lt;&gt;"","ACTUALIZADO POR EYR","SIN REPORTE EYR")))</f>
        <v/>
      </c>
    </row>
    <row r="6398" spans="11:30" x14ac:dyDescent="0.3">
      <c r="K6398" s="1" t="str">
        <f ca="1">IF(A6398="","",IF(OR(L6398="ENTREGADA",L6398="RETORNADA",L6398="ENTREGA DIGITAL"),0,MAX(0,5-NETWORKDAYS(H6398+1,TODAY()))))</f>
        <v/>
      </c>
      <c r="L6398" t="str">
        <f>IF(A6398="","",IFERROR(LOOKUP(2,1/(#REF!=Z6398),#REF!),Y6398))</f>
        <v/>
      </c>
      <c r="Z6398" t="str">
        <f>IF(A6398="","",TEXT(A6398,"0")&amp;"|"&amp;TEXT(H6398,"0"))</f>
        <v/>
      </c>
      <c r="AA6398" t="str">
        <f>IF(Z6398="","",IFERROR(LOOKUP(2,1/(#REF!=Z6398),#REF!),""))</f>
        <v/>
      </c>
      <c r="AB6398" t="str">
        <f>IF(Z6398="","",IFERROR(LOOKUP(2,1/(#REF!=Z6398),#REF!),""))</f>
        <v/>
      </c>
      <c r="AC6398" t="str">
        <f>IF(Z6398="","",COUNTIF(#REF!,Z6398))</f>
        <v/>
      </c>
      <c r="AD6398" t="str">
        <f>IF(A6398="","",IF(AC6398&gt;1,"REVISAR DUPLICADO",IF(AA6398&lt;&gt;"","ACTUALIZADO POR EYR","SIN REPORTE EYR")))</f>
        <v/>
      </c>
    </row>
    <row r="6399" spans="11:30" x14ac:dyDescent="0.3">
      <c r="K6399" s="1" t="str">
        <f ca="1">IF(A6399="","",IF(OR(L6399="ENTREGADA",L6399="RETORNADA",L6399="ENTREGA DIGITAL"),0,MAX(0,5-NETWORKDAYS(H6399+1,TODAY()))))</f>
        <v/>
      </c>
      <c r="L6399" t="str">
        <f>IF(A6399="","",IFERROR(LOOKUP(2,1/(#REF!=Z6399),#REF!),Y6399))</f>
        <v/>
      </c>
      <c r="Z6399" t="str">
        <f>IF(A6399="","",TEXT(A6399,"0")&amp;"|"&amp;TEXT(H6399,"0"))</f>
        <v/>
      </c>
      <c r="AA6399" t="str">
        <f>IF(Z6399="","",IFERROR(LOOKUP(2,1/(#REF!=Z6399),#REF!),""))</f>
        <v/>
      </c>
      <c r="AB6399" t="str">
        <f>IF(Z6399="","",IFERROR(LOOKUP(2,1/(#REF!=Z6399),#REF!),""))</f>
        <v/>
      </c>
      <c r="AC6399" t="str">
        <f>IF(Z6399="","",COUNTIF(#REF!,Z6399))</f>
        <v/>
      </c>
      <c r="AD6399" t="str">
        <f>IF(A6399="","",IF(AC6399&gt;1,"REVISAR DUPLICADO",IF(AA6399&lt;&gt;"","ACTUALIZADO POR EYR","SIN REPORTE EYR")))</f>
        <v/>
      </c>
    </row>
    <row r="6400" spans="11:30" x14ac:dyDescent="0.3">
      <c r="K6400" s="1" t="str">
        <f ca="1">IF(A6400="","",IF(OR(L6400="ENTREGADA",L6400="RETORNADA",L6400="ENTREGA DIGITAL"),0,MAX(0,5-NETWORKDAYS(H6400+1,TODAY()))))</f>
        <v/>
      </c>
      <c r="L6400" t="str">
        <f>IF(A6400="","",IFERROR(LOOKUP(2,1/(#REF!=Z6400),#REF!),Y6400))</f>
        <v/>
      </c>
      <c r="Z6400" t="str">
        <f>IF(A6400="","",TEXT(A6400,"0")&amp;"|"&amp;TEXT(H6400,"0"))</f>
        <v/>
      </c>
      <c r="AA6400" t="str">
        <f>IF(Z6400="","",IFERROR(LOOKUP(2,1/(#REF!=Z6400),#REF!),""))</f>
        <v/>
      </c>
      <c r="AB6400" t="str">
        <f>IF(Z6400="","",IFERROR(LOOKUP(2,1/(#REF!=Z6400),#REF!),""))</f>
        <v/>
      </c>
      <c r="AC6400" t="str">
        <f>IF(Z6400="","",COUNTIF(#REF!,Z6400))</f>
        <v/>
      </c>
      <c r="AD6400" t="str">
        <f>IF(A6400="","",IF(AC6400&gt;1,"REVISAR DUPLICADO",IF(AA6400&lt;&gt;"","ACTUALIZADO POR EYR","SIN REPORTE EYR")))</f>
        <v/>
      </c>
    </row>
    <row r="6401" spans="11:30" x14ac:dyDescent="0.3">
      <c r="K6401" s="1" t="str">
        <f ca="1">IF(A6401="","",IF(OR(L6401="ENTREGADA",L6401="RETORNADA",L6401="ENTREGA DIGITAL"),0,MAX(0,5-NETWORKDAYS(H6401+1,TODAY()))))</f>
        <v/>
      </c>
      <c r="L6401" t="str">
        <f>IF(A6401="","",IFERROR(LOOKUP(2,1/(#REF!=Z6401),#REF!),Y6401))</f>
        <v/>
      </c>
      <c r="Z6401" t="str">
        <f>IF(A6401="","",TEXT(A6401,"0")&amp;"|"&amp;TEXT(H6401,"0"))</f>
        <v/>
      </c>
      <c r="AA6401" t="str">
        <f>IF(Z6401="","",IFERROR(LOOKUP(2,1/(#REF!=Z6401),#REF!),""))</f>
        <v/>
      </c>
      <c r="AB6401" t="str">
        <f>IF(Z6401="","",IFERROR(LOOKUP(2,1/(#REF!=Z6401),#REF!),""))</f>
        <v/>
      </c>
      <c r="AC6401" t="str">
        <f>IF(Z6401="","",COUNTIF(#REF!,Z6401))</f>
        <v/>
      </c>
      <c r="AD6401" t="str">
        <f>IF(A6401="","",IF(AC6401&gt;1,"REVISAR DUPLICADO",IF(AA6401&lt;&gt;"","ACTUALIZADO POR EYR","SIN REPORTE EYR")))</f>
        <v/>
      </c>
    </row>
    <row r="6402" spans="11:30" x14ac:dyDescent="0.3">
      <c r="K6402" s="1" t="str">
        <f ca="1">IF(A6402="","",IF(OR(L6402="ENTREGADA",L6402="RETORNADA",L6402="ENTREGA DIGITAL"),0,MAX(0,5-NETWORKDAYS(H6402+1,TODAY()))))</f>
        <v/>
      </c>
      <c r="L6402" t="str">
        <f>IF(A6402="","",IFERROR(LOOKUP(2,1/(#REF!=Z6402),#REF!),Y6402))</f>
        <v/>
      </c>
      <c r="Z6402" t="str">
        <f>IF(A6402="","",TEXT(A6402,"0")&amp;"|"&amp;TEXT(H6402,"0"))</f>
        <v/>
      </c>
      <c r="AA6402" t="str">
        <f>IF(Z6402="","",IFERROR(LOOKUP(2,1/(#REF!=Z6402),#REF!),""))</f>
        <v/>
      </c>
      <c r="AB6402" t="str">
        <f>IF(Z6402="","",IFERROR(LOOKUP(2,1/(#REF!=Z6402),#REF!),""))</f>
        <v/>
      </c>
      <c r="AC6402" t="str">
        <f>IF(Z6402="","",COUNTIF(#REF!,Z6402))</f>
        <v/>
      </c>
      <c r="AD6402" t="str">
        <f>IF(A6402="","",IF(AC6402&gt;1,"REVISAR DUPLICADO",IF(AA6402&lt;&gt;"","ACTUALIZADO POR EYR","SIN REPORTE EYR")))</f>
        <v/>
      </c>
    </row>
    <row r="6403" spans="11:30" x14ac:dyDescent="0.3">
      <c r="K6403" s="1" t="str">
        <f ca="1">IF(A6403="","",IF(OR(L6403="ENTREGADA",L6403="RETORNADA",L6403="ENTREGA DIGITAL"),0,MAX(0,5-NETWORKDAYS(H6403+1,TODAY()))))</f>
        <v/>
      </c>
      <c r="L6403" t="str">
        <f>IF(A6403="","",IFERROR(LOOKUP(2,1/(#REF!=Z6403),#REF!),Y6403))</f>
        <v/>
      </c>
      <c r="Z6403" t="str">
        <f>IF(A6403="","",TEXT(A6403,"0")&amp;"|"&amp;TEXT(H6403,"0"))</f>
        <v/>
      </c>
      <c r="AA6403" t="str">
        <f>IF(Z6403="","",IFERROR(LOOKUP(2,1/(#REF!=Z6403),#REF!),""))</f>
        <v/>
      </c>
      <c r="AB6403" t="str">
        <f>IF(Z6403="","",IFERROR(LOOKUP(2,1/(#REF!=Z6403),#REF!),""))</f>
        <v/>
      </c>
      <c r="AC6403" t="str">
        <f>IF(Z6403="","",COUNTIF(#REF!,Z6403))</f>
        <v/>
      </c>
      <c r="AD6403" t="str">
        <f>IF(A6403="","",IF(AC6403&gt;1,"REVISAR DUPLICADO",IF(AA6403&lt;&gt;"","ACTUALIZADO POR EYR","SIN REPORTE EYR")))</f>
        <v/>
      </c>
    </row>
    <row r="6404" spans="11:30" x14ac:dyDescent="0.3">
      <c r="K6404" s="1" t="str">
        <f ca="1">IF(A6404="","",IF(OR(L6404="ENTREGADA",L6404="RETORNADA",L6404="ENTREGA DIGITAL"),0,MAX(0,5-NETWORKDAYS(H6404+1,TODAY()))))</f>
        <v/>
      </c>
      <c r="L6404" t="str">
        <f>IF(A6404="","",IFERROR(LOOKUP(2,1/(#REF!=Z6404),#REF!),Y6404))</f>
        <v/>
      </c>
      <c r="Z6404" t="str">
        <f>IF(A6404="","",TEXT(A6404,"0")&amp;"|"&amp;TEXT(H6404,"0"))</f>
        <v/>
      </c>
      <c r="AA6404" t="str">
        <f>IF(Z6404="","",IFERROR(LOOKUP(2,1/(#REF!=Z6404),#REF!),""))</f>
        <v/>
      </c>
      <c r="AB6404" t="str">
        <f>IF(Z6404="","",IFERROR(LOOKUP(2,1/(#REF!=Z6404),#REF!),""))</f>
        <v/>
      </c>
      <c r="AC6404" t="str">
        <f>IF(Z6404="","",COUNTIF(#REF!,Z6404))</f>
        <v/>
      </c>
      <c r="AD6404" t="str">
        <f>IF(A6404="","",IF(AC6404&gt;1,"REVISAR DUPLICADO",IF(AA6404&lt;&gt;"","ACTUALIZADO POR EYR","SIN REPORTE EYR")))</f>
        <v/>
      </c>
    </row>
    <row r="6405" spans="11:30" x14ac:dyDescent="0.3">
      <c r="K6405" s="1" t="str">
        <f ca="1">IF(A6405="","",IF(OR(L6405="ENTREGADA",L6405="RETORNADA",L6405="ENTREGA DIGITAL"),0,MAX(0,5-NETWORKDAYS(H6405+1,TODAY()))))</f>
        <v/>
      </c>
      <c r="L6405" t="str">
        <f>IF(A6405="","",IFERROR(LOOKUP(2,1/(#REF!=Z6405),#REF!),Y6405))</f>
        <v/>
      </c>
      <c r="Z6405" t="str">
        <f>IF(A6405="","",TEXT(A6405,"0")&amp;"|"&amp;TEXT(H6405,"0"))</f>
        <v/>
      </c>
      <c r="AA6405" t="str">
        <f>IF(Z6405="","",IFERROR(LOOKUP(2,1/(#REF!=Z6405),#REF!),""))</f>
        <v/>
      </c>
      <c r="AB6405" t="str">
        <f>IF(Z6405="","",IFERROR(LOOKUP(2,1/(#REF!=Z6405),#REF!),""))</f>
        <v/>
      </c>
      <c r="AC6405" t="str">
        <f>IF(Z6405="","",COUNTIF(#REF!,Z6405))</f>
        <v/>
      </c>
      <c r="AD6405" t="str">
        <f>IF(A6405="","",IF(AC6405&gt;1,"REVISAR DUPLICADO",IF(AA6405&lt;&gt;"","ACTUALIZADO POR EYR","SIN REPORTE EYR")))</f>
        <v/>
      </c>
    </row>
    <row r="6406" spans="11:30" x14ac:dyDescent="0.3">
      <c r="K6406" s="1" t="str">
        <f ca="1">IF(A6406="","",IF(OR(L6406="ENTREGADA",L6406="RETORNADA",L6406="ENTREGA DIGITAL"),0,MAX(0,5-NETWORKDAYS(H6406+1,TODAY()))))</f>
        <v/>
      </c>
      <c r="L6406" t="str">
        <f>IF(A6406="","",IFERROR(LOOKUP(2,1/(#REF!=Z6406),#REF!),Y6406))</f>
        <v/>
      </c>
      <c r="Z6406" t="str">
        <f>IF(A6406="","",TEXT(A6406,"0")&amp;"|"&amp;TEXT(H6406,"0"))</f>
        <v/>
      </c>
      <c r="AA6406" t="str">
        <f>IF(Z6406="","",IFERROR(LOOKUP(2,1/(#REF!=Z6406),#REF!),""))</f>
        <v/>
      </c>
      <c r="AB6406" t="str">
        <f>IF(Z6406="","",IFERROR(LOOKUP(2,1/(#REF!=Z6406),#REF!),""))</f>
        <v/>
      </c>
      <c r="AC6406" t="str">
        <f>IF(Z6406="","",COUNTIF(#REF!,Z6406))</f>
        <v/>
      </c>
      <c r="AD6406" t="str">
        <f>IF(A6406="","",IF(AC6406&gt;1,"REVISAR DUPLICADO",IF(AA6406&lt;&gt;"","ACTUALIZADO POR EYR","SIN REPORTE EYR")))</f>
        <v/>
      </c>
    </row>
    <row r="6407" spans="11:30" x14ac:dyDescent="0.3">
      <c r="K6407" s="1" t="str">
        <f ca="1">IF(A6407="","",IF(OR(L6407="ENTREGADA",L6407="RETORNADA",L6407="ENTREGA DIGITAL"),0,MAX(0,5-NETWORKDAYS(H6407+1,TODAY()))))</f>
        <v/>
      </c>
      <c r="L6407" t="str">
        <f>IF(A6407="","",IFERROR(LOOKUP(2,1/(#REF!=Z6407),#REF!),Y6407))</f>
        <v/>
      </c>
      <c r="Z6407" t="str">
        <f>IF(A6407="","",TEXT(A6407,"0")&amp;"|"&amp;TEXT(H6407,"0"))</f>
        <v/>
      </c>
      <c r="AA6407" t="str">
        <f>IF(Z6407="","",IFERROR(LOOKUP(2,1/(#REF!=Z6407),#REF!),""))</f>
        <v/>
      </c>
      <c r="AB6407" t="str">
        <f>IF(Z6407="","",IFERROR(LOOKUP(2,1/(#REF!=Z6407),#REF!),""))</f>
        <v/>
      </c>
      <c r="AC6407" t="str">
        <f>IF(Z6407="","",COUNTIF(#REF!,Z6407))</f>
        <v/>
      </c>
      <c r="AD6407" t="str">
        <f>IF(A6407="","",IF(AC6407&gt;1,"REVISAR DUPLICADO",IF(AA6407&lt;&gt;"","ACTUALIZADO POR EYR","SIN REPORTE EYR")))</f>
        <v/>
      </c>
    </row>
    <row r="6408" spans="11:30" x14ac:dyDescent="0.3">
      <c r="K6408" s="1" t="str">
        <f ca="1">IF(A6408="","",IF(OR(L6408="ENTREGADA",L6408="RETORNADA",L6408="ENTREGA DIGITAL"),0,MAX(0,5-NETWORKDAYS(H6408+1,TODAY()))))</f>
        <v/>
      </c>
      <c r="L6408" t="str">
        <f>IF(A6408="","",IFERROR(LOOKUP(2,1/(#REF!=Z6408),#REF!),Y6408))</f>
        <v/>
      </c>
      <c r="Z6408" t="str">
        <f>IF(A6408="","",TEXT(A6408,"0")&amp;"|"&amp;TEXT(H6408,"0"))</f>
        <v/>
      </c>
      <c r="AA6408" t="str">
        <f>IF(Z6408="","",IFERROR(LOOKUP(2,1/(#REF!=Z6408),#REF!),""))</f>
        <v/>
      </c>
      <c r="AB6408" t="str">
        <f>IF(Z6408="","",IFERROR(LOOKUP(2,1/(#REF!=Z6408),#REF!),""))</f>
        <v/>
      </c>
      <c r="AC6408" t="str">
        <f>IF(Z6408="","",COUNTIF(#REF!,Z6408))</f>
        <v/>
      </c>
      <c r="AD6408" t="str">
        <f>IF(A6408="","",IF(AC6408&gt;1,"REVISAR DUPLICADO",IF(AA6408&lt;&gt;"","ACTUALIZADO POR EYR","SIN REPORTE EYR")))</f>
        <v/>
      </c>
    </row>
    <row r="6409" spans="11:30" x14ac:dyDescent="0.3">
      <c r="K6409" s="1" t="str">
        <f ca="1">IF(A6409="","",IF(OR(L6409="ENTREGADA",L6409="RETORNADA",L6409="ENTREGA DIGITAL"),0,MAX(0,5-NETWORKDAYS(H6409+1,TODAY()))))</f>
        <v/>
      </c>
      <c r="L6409" t="str">
        <f>IF(A6409="","",IFERROR(LOOKUP(2,1/(#REF!=Z6409),#REF!),Y6409))</f>
        <v/>
      </c>
      <c r="Z6409" t="str">
        <f>IF(A6409="","",TEXT(A6409,"0")&amp;"|"&amp;TEXT(H6409,"0"))</f>
        <v/>
      </c>
      <c r="AA6409" t="str">
        <f>IF(Z6409="","",IFERROR(LOOKUP(2,1/(#REF!=Z6409),#REF!),""))</f>
        <v/>
      </c>
      <c r="AB6409" t="str">
        <f>IF(Z6409="","",IFERROR(LOOKUP(2,1/(#REF!=Z6409),#REF!),""))</f>
        <v/>
      </c>
      <c r="AC6409" t="str">
        <f>IF(Z6409="","",COUNTIF(#REF!,Z6409))</f>
        <v/>
      </c>
      <c r="AD6409" t="str">
        <f>IF(A6409="","",IF(AC6409&gt;1,"REVISAR DUPLICADO",IF(AA6409&lt;&gt;"","ACTUALIZADO POR EYR","SIN REPORTE EYR")))</f>
        <v/>
      </c>
    </row>
    <row r="6410" spans="11:30" x14ac:dyDescent="0.3">
      <c r="K6410" s="1" t="str">
        <f ca="1">IF(A6410="","",IF(OR(L6410="ENTREGADA",L6410="RETORNADA",L6410="ENTREGA DIGITAL"),0,MAX(0,5-NETWORKDAYS(H6410+1,TODAY()))))</f>
        <v/>
      </c>
      <c r="L6410" t="str">
        <f>IF(A6410="","",IFERROR(LOOKUP(2,1/(#REF!=Z6410),#REF!),Y6410))</f>
        <v/>
      </c>
      <c r="Z6410" t="str">
        <f>IF(A6410="","",TEXT(A6410,"0")&amp;"|"&amp;TEXT(H6410,"0"))</f>
        <v/>
      </c>
      <c r="AA6410" t="str">
        <f>IF(Z6410="","",IFERROR(LOOKUP(2,1/(#REF!=Z6410),#REF!),""))</f>
        <v/>
      </c>
      <c r="AB6410" t="str">
        <f>IF(Z6410="","",IFERROR(LOOKUP(2,1/(#REF!=Z6410),#REF!),""))</f>
        <v/>
      </c>
      <c r="AC6410" t="str">
        <f>IF(Z6410="","",COUNTIF(#REF!,Z6410))</f>
        <v/>
      </c>
      <c r="AD6410" t="str">
        <f>IF(A6410="","",IF(AC6410&gt;1,"REVISAR DUPLICADO",IF(AA6410&lt;&gt;"","ACTUALIZADO POR EYR","SIN REPORTE EYR")))</f>
        <v/>
      </c>
    </row>
    <row r="6411" spans="11:30" x14ac:dyDescent="0.3">
      <c r="K6411" s="1" t="str">
        <f ca="1">IF(A6411="","",IF(OR(L6411="ENTREGADA",L6411="RETORNADA",L6411="ENTREGA DIGITAL"),0,MAX(0,5-NETWORKDAYS(H6411+1,TODAY()))))</f>
        <v/>
      </c>
      <c r="L6411" t="str">
        <f>IF(A6411="","",IFERROR(LOOKUP(2,1/(#REF!=Z6411),#REF!),Y6411))</f>
        <v/>
      </c>
      <c r="Z6411" t="str">
        <f>IF(A6411="","",TEXT(A6411,"0")&amp;"|"&amp;TEXT(H6411,"0"))</f>
        <v/>
      </c>
      <c r="AA6411" t="str">
        <f>IF(Z6411="","",IFERROR(LOOKUP(2,1/(#REF!=Z6411),#REF!),""))</f>
        <v/>
      </c>
      <c r="AB6411" t="str">
        <f>IF(Z6411="","",IFERROR(LOOKUP(2,1/(#REF!=Z6411),#REF!),""))</f>
        <v/>
      </c>
      <c r="AC6411" t="str">
        <f>IF(Z6411="","",COUNTIF(#REF!,Z6411))</f>
        <v/>
      </c>
      <c r="AD6411" t="str">
        <f>IF(A6411="","",IF(AC6411&gt;1,"REVISAR DUPLICADO",IF(AA6411&lt;&gt;"","ACTUALIZADO POR EYR","SIN REPORTE EYR")))</f>
        <v/>
      </c>
    </row>
    <row r="6412" spans="11:30" x14ac:dyDescent="0.3">
      <c r="K6412" s="1" t="str">
        <f ca="1">IF(A6412="","",IF(OR(L6412="ENTREGADA",L6412="RETORNADA",L6412="ENTREGA DIGITAL"),0,MAX(0,5-NETWORKDAYS(H6412+1,TODAY()))))</f>
        <v/>
      </c>
      <c r="L6412" t="str">
        <f>IF(A6412="","",IFERROR(LOOKUP(2,1/(#REF!=Z6412),#REF!),Y6412))</f>
        <v/>
      </c>
      <c r="Z6412" t="str">
        <f>IF(A6412="","",TEXT(A6412,"0")&amp;"|"&amp;TEXT(H6412,"0"))</f>
        <v/>
      </c>
      <c r="AA6412" t="str">
        <f>IF(Z6412="","",IFERROR(LOOKUP(2,1/(#REF!=Z6412),#REF!),""))</f>
        <v/>
      </c>
      <c r="AB6412" t="str">
        <f>IF(Z6412="","",IFERROR(LOOKUP(2,1/(#REF!=Z6412),#REF!),""))</f>
        <v/>
      </c>
      <c r="AC6412" t="str">
        <f>IF(Z6412="","",COUNTIF(#REF!,Z6412))</f>
        <v/>
      </c>
      <c r="AD6412" t="str">
        <f>IF(A6412="","",IF(AC6412&gt;1,"REVISAR DUPLICADO",IF(AA6412&lt;&gt;"","ACTUALIZADO POR EYR","SIN REPORTE EYR")))</f>
        <v/>
      </c>
    </row>
    <row r="6413" spans="11:30" x14ac:dyDescent="0.3">
      <c r="K6413" s="1" t="str">
        <f ca="1">IF(A6413="","",IF(OR(L6413="ENTREGADA",L6413="RETORNADA",L6413="ENTREGA DIGITAL"),0,MAX(0,5-NETWORKDAYS(H6413+1,TODAY()))))</f>
        <v/>
      </c>
      <c r="L6413" t="str">
        <f>IF(A6413="","",IFERROR(LOOKUP(2,1/(#REF!=Z6413),#REF!),Y6413))</f>
        <v/>
      </c>
      <c r="Z6413" t="str">
        <f>IF(A6413="","",TEXT(A6413,"0")&amp;"|"&amp;TEXT(H6413,"0"))</f>
        <v/>
      </c>
      <c r="AA6413" t="str">
        <f>IF(Z6413="","",IFERROR(LOOKUP(2,1/(#REF!=Z6413),#REF!),""))</f>
        <v/>
      </c>
      <c r="AB6413" t="str">
        <f>IF(Z6413="","",IFERROR(LOOKUP(2,1/(#REF!=Z6413),#REF!),""))</f>
        <v/>
      </c>
      <c r="AC6413" t="str">
        <f>IF(Z6413="","",COUNTIF(#REF!,Z6413))</f>
        <v/>
      </c>
      <c r="AD6413" t="str">
        <f>IF(A6413="","",IF(AC6413&gt;1,"REVISAR DUPLICADO",IF(AA6413&lt;&gt;"","ACTUALIZADO POR EYR","SIN REPORTE EYR")))</f>
        <v/>
      </c>
    </row>
    <row r="6414" spans="11:30" x14ac:dyDescent="0.3">
      <c r="K6414" s="1" t="str">
        <f ca="1">IF(A6414="","",IF(OR(L6414="ENTREGADA",L6414="RETORNADA",L6414="ENTREGA DIGITAL"),0,MAX(0,5-NETWORKDAYS(H6414+1,TODAY()))))</f>
        <v/>
      </c>
      <c r="L6414" t="str">
        <f>IF(A6414="","",IFERROR(LOOKUP(2,1/(#REF!=Z6414),#REF!),Y6414))</f>
        <v/>
      </c>
      <c r="Z6414" t="str">
        <f>IF(A6414="","",TEXT(A6414,"0")&amp;"|"&amp;TEXT(H6414,"0"))</f>
        <v/>
      </c>
      <c r="AA6414" t="str">
        <f>IF(Z6414="","",IFERROR(LOOKUP(2,1/(#REF!=Z6414),#REF!),""))</f>
        <v/>
      </c>
      <c r="AB6414" t="str">
        <f>IF(Z6414="","",IFERROR(LOOKUP(2,1/(#REF!=Z6414),#REF!),""))</f>
        <v/>
      </c>
      <c r="AC6414" t="str">
        <f>IF(Z6414="","",COUNTIF(#REF!,Z6414))</f>
        <v/>
      </c>
      <c r="AD6414" t="str">
        <f>IF(A6414="","",IF(AC6414&gt;1,"REVISAR DUPLICADO",IF(AA6414&lt;&gt;"","ACTUALIZADO POR EYR","SIN REPORTE EYR")))</f>
        <v/>
      </c>
    </row>
    <row r="6415" spans="11:30" x14ac:dyDescent="0.3">
      <c r="K6415" s="1" t="str">
        <f ca="1">IF(A6415="","",IF(OR(L6415="ENTREGADA",L6415="RETORNADA",L6415="ENTREGA DIGITAL"),0,MAX(0,5-NETWORKDAYS(H6415+1,TODAY()))))</f>
        <v/>
      </c>
      <c r="L6415" t="str">
        <f>IF(A6415="","",IFERROR(LOOKUP(2,1/(#REF!=Z6415),#REF!),Y6415))</f>
        <v/>
      </c>
      <c r="Z6415" t="str">
        <f>IF(A6415="","",TEXT(A6415,"0")&amp;"|"&amp;TEXT(H6415,"0"))</f>
        <v/>
      </c>
      <c r="AA6415" t="str">
        <f>IF(Z6415="","",IFERROR(LOOKUP(2,1/(#REF!=Z6415),#REF!),""))</f>
        <v/>
      </c>
      <c r="AB6415" t="str">
        <f>IF(Z6415="","",IFERROR(LOOKUP(2,1/(#REF!=Z6415),#REF!),""))</f>
        <v/>
      </c>
      <c r="AC6415" t="str">
        <f>IF(Z6415="","",COUNTIF(#REF!,Z6415))</f>
        <v/>
      </c>
      <c r="AD6415" t="str">
        <f>IF(A6415="","",IF(AC6415&gt;1,"REVISAR DUPLICADO",IF(AA6415&lt;&gt;"","ACTUALIZADO POR EYR","SIN REPORTE EYR")))</f>
        <v/>
      </c>
    </row>
    <row r="6416" spans="11:30" x14ac:dyDescent="0.3">
      <c r="K6416" s="1" t="str">
        <f ca="1">IF(A6416="","",IF(OR(L6416="ENTREGADA",L6416="RETORNADA",L6416="ENTREGA DIGITAL"),0,MAX(0,5-NETWORKDAYS(H6416+1,TODAY()))))</f>
        <v/>
      </c>
      <c r="L6416" t="str">
        <f>IF(A6416="","",IFERROR(LOOKUP(2,1/(#REF!=Z6416),#REF!),Y6416))</f>
        <v/>
      </c>
      <c r="Z6416" t="str">
        <f>IF(A6416="","",TEXT(A6416,"0")&amp;"|"&amp;TEXT(H6416,"0"))</f>
        <v/>
      </c>
      <c r="AA6416" t="str">
        <f>IF(Z6416="","",IFERROR(LOOKUP(2,1/(#REF!=Z6416),#REF!),""))</f>
        <v/>
      </c>
      <c r="AB6416" t="str">
        <f>IF(Z6416="","",IFERROR(LOOKUP(2,1/(#REF!=Z6416),#REF!),""))</f>
        <v/>
      </c>
      <c r="AC6416" t="str">
        <f>IF(Z6416="","",COUNTIF(#REF!,Z6416))</f>
        <v/>
      </c>
      <c r="AD6416" t="str">
        <f>IF(A6416="","",IF(AC6416&gt;1,"REVISAR DUPLICADO",IF(AA6416&lt;&gt;"","ACTUALIZADO POR EYR","SIN REPORTE EYR")))</f>
        <v/>
      </c>
    </row>
    <row r="6417" spans="11:30" x14ac:dyDescent="0.3">
      <c r="K6417" s="1" t="str">
        <f ca="1">IF(A6417="","",IF(OR(L6417="ENTREGADA",L6417="RETORNADA",L6417="ENTREGA DIGITAL"),0,MAX(0,5-NETWORKDAYS(H6417+1,TODAY()))))</f>
        <v/>
      </c>
      <c r="L6417" t="str">
        <f>IF(A6417="","",IFERROR(LOOKUP(2,1/(#REF!=Z6417),#REF!),Y6417))</f>
        <v/>
      </c>
      <c r="Z6417" t="str">
        <f>IF(A6417="","",TEXT(A6417,"0")&amp;"|"&amp;TEXT(H6417,"0"))</f>
        <v/>
      </c>
      <c r="AA6417" t="str">
        <f>IF(Z6417="","",IFERROR(LOOKUP(2,1/(#REF!=Z6417),#REF!),""))</f>
        <v/>
      </c>
      <c r="AB6417" t="str">
        <f>IF(Z6417="","",IFERROR(LOOKUP(2,1/(#REF!=Z6417),#REF!),""))</f>
        <v/>
      </c>
      <c r="AC6417" t="str">
        <f>IF(Z6417="","",COUNTIF(#REF!,Z6417))</f>
        <v/>
      </c>
      <c r="AD6417" t="str">
        <f>IF(A6417="","",IF(AC6417&gt;1,"REVISAR DUPLICADO",IF(AA6417&lt;&gt;"","ACTUALIZADO POR EYR","SIN REPORTE EYR")))</f>
        <v/>
      </c>
    </row>
    <row r="6418" spans="11:30" x14ac:dyDescent="0.3">
      <c r="K6418" s="1" t="str">
        <f ca="1">IF(A6418="","",IF(OR(L6418="ENTREGADA",L6418="RETORNADA",L6418="ENTREGA DIGITAL"),0,MAX(0,5-NETWORKDAYS(H6418+1,TODAY()))))</f>
        <v/>
      </c>
      <c r="L6418" t="str">
        <f>IF(A6418="","",IFERROR(LOOKUP(2,1/(#REF!=Z6418),#REF!),Y6418))</f>
        <v/>
      </c>
      <c r="Z6418" t="str">
        <f>IF(A6418="","",TEXT(A6418,"0")&amp;"|"&amp;TEXT(H6418,"0"))</f>
        <v/>
      </c>
      <c r="AA6418" t="str">
        <f>IF(Z6418="","",IFERROR(LOOKUP(2,1/(#REF!=Z6418),#REF!),""))</f>
        <v/>
      </c>
      <c r="AB6418" t="str">
        <f>IF(Z6418="","",IFERROR(LOOKUP(2,1/(#REF!=Z6418),#REF!),""))</f>
        <v/>
      </c>
      <c r="AC6418" t="str">
        <f>IF(Z6418="","",COUNTIF(#REF!,Z6418))</f>
        <v/>
      </c>
      <c r="AD6418" t="str">
        <f>IF(A6418="","",IF(AC6418&gt;1,"REVISAR DUPLICADO",IF(AA6418&lt;&gt;"","ACTUALIZADO POR EYR","SIN REPORTE EYR")))</f>
        <v/>
      </c>
    </row>
    <row r="6419" spans="11:30" x14ac:dyDescent="0.3">
      <c r="K6419" s="1" t="str">
        <f ca="1">IF(A6419="","",IF(OR(L6419="ENTREGADA",L6419="RETORNADA",L6419="ENTREGA DIGITAL"),0,MAX(0,5-NETWORKDAYS(H6419+1,TODAY()))))</f>
        <v/>
      </c>
      <c r="L6419" t="str">
        <f>IF(A6419="","",IFERROR(LOOKUP(2,1/(#REF!=Z6419),#REF!),Y6419))</f>
        <v/>
      </c>
      <c r="Z6419" t="str">
        <f>IF(A6419="","",TEXT(A6419,"0")&amp;"|"&amp;TEXT(H6419,"0"))</f>
        <v/>
      </c>
      <c r="AA6419" t="str">
        <f>IF(Z6419="","",IFERROR(LOOKUP(2,1/(#REF!=Z6419),#REF!),""))</f>
        <v/>
      </c>
      <c r="AB6419" t="str">
        <f>IF(Z6419="","",IFERROR(LOOKUP(2,1/(#REF!=Z6419),#REF!),""))</f>
        <v/>
      </c>
      <c r="AC6419" t="str">
        <f>IF(Z6419="","",COUNTIF(#REF!,Z6419))</f>
        <v/>
      </c>
      <c r="AD6419" t="str">
        <f>IF(A6419="","",IF(AC6419&gt;1,"REVISAR DUPLICADO",IF(AA6419&lt;&gt;"","ACTUALIZADO POR EYR","SIN REPORTE EYR")))</f>
        <v/>
      </c>
    </row>
    <row r="6420" spans="11:30" x14ac:dyDescent="0.3">
      <c r="K6420" s="1" t="str">
        <f ca="1">IF(A6420="","",IF(OR(L6420="ENTREGADA",L6420="RETORNADA",L6420="ENTREGA DIGITAL"),0,MAX(0,5-NETWORKDAYS(H6420+1,TODAY()))))</f>
        <v/>
      </c>
      <c r="L6420" t="str">
        <f>IF(A6420="","",IFERROR(LOOKUP(2,1/(#REF!=Z6420),#REF!),Y6420))</f>
        <v/>
      </c>
      <c r="Z6420" t="str">
        <f>IF(A6420="","",TEXT(A6420,"0")&amp;"|"&amp;TEXT(H6420,"0"))</f>
        <v/>
      </c>
      <c r="AA6420" t="str">
        <f>IF(Z6420="","",IFERROR(LOOKUP(2,1/(#REF!=Z6420),#REF!),""))</f>
        <v/>
      </c>
      <c r="AB6420" t="str">
        <f>IF(Z6420="","",IFERROR(LOOKUP(2,1/(#REF!=Z6420),#REF!),""))</f>
        <v/>
      </c>
      <c r="AC6420" t="str">
        <f>IF(Z6420="","",COUNTIF(#REF!,Z6420))</f>
        <v/>
      </c>
      <c r="AD6420" t="str">
        <f>IF(A6420="","",IF(AC6420&gt;1,"REVISAR DUPLICADO",IF(AA6420&lt;&gt;"","ACTUALIZADO POR EYR","SIN REPORTE EYR")))</f>
        <v/>
      </c>
    </row>
    <row r="6421" spans="11:30" x14ac:dyDescent="0.3">
      <c r="K6421" s="1" t="str">
        <f ca="1">IF(A6421="","",IF(OR(L6421="ENTREGADA",L6421="RETORNADA",L6421="ENTREGA DIGITAL"),0,MAX(0,5-NETWORKDAYS(H6421+1,TODAY()))))</f>
        <v/>
      </c>
      <c r="L6421" t="str">
        <f>IF(A6421="","",IFERROR(LOOKUP(2,1/(#REF!=Z6421),#REF!),Y6421))</f>
        <v/>
      </c>
      <c r="Z6421" t="str">
        <f>IF(A6421="","",TEXT(A6421,"0")&amp;"|"&amp;TEXT(H6421,"0"))</f>
        <v/>
      </c>
      <c r="AA6421" t="str">
        <f>IF(Z6421="","",IFERROR(LOOKUP(2,1/(#REF!=Z6421),#REF!),""))</f>
        <v/>
      </c>
      <c r="AB6421" t="str">
        <f>IF(Z6421="","",IFERROR(LOOKUP(2,1/(#REF!=Z6421),#REF!),""))</f>
        <v/>
      </c>
      <c r="AC6421" t="str">
        <f>IF(Z6421="","",COUNTIF(#REF!,Z6421))</f>
        <v/>
      </c>
      <c r="AD6421" t="str">
        <f>IF(A6421="","",IF(AC6421&gt;1,"REVISAR DUPLICADO",IF(AA6421&lt;&gt;"","ACTUALIZADO POR EYR","SIN REPORTE EYR")))</f>
        <v/>
      </c>
    </row>
    <row r="6422" spans="11:30" x14ac:dyDescent="0.3">
      <c r="K6422" s="1" t="str">
        <f ca="1">IF(A6422="","",IF(OR(L6422="ENTREGADA",L6422="RETORNADA",L6422="ENTREGA DIGITAL"),0,MAX(0,5-NETWORKDAYS(H6422+1,TODAY()))))</f>
        <v/>
      </c>
      <c r="L6422" t="str">
        <f>IF(A6422="","",IFERROR(LOOKUP(2,1/(#REF!=Z6422),#REF!),Y6422))</f>
        <v/>
      </c>
      <c r="Z6422" t="str">
        <f>IF(A6422="","",TEXT(A6422,"0")&amp;"|"&amp;TEXT(H6422,"0"))</f>
        <v/>
      </c>
      <c r="AA6422" t="str">
        <f>IF(Z6422="","",IFERROR(LOOKUP(2,1/(#REF!=Z6422),#REF!),""))</f>
        <v/>
      </c>
      <c r="AB6422" t="str">
        <f>IF(Z6422="","",IFERROR(LOOKUP(2,1/(#REF!=Z6422),#REF!),""))</f>
        <v/>
      </c>
      <c r="AC6422" t="str">
        <f>IF(Z6422="","",COUNTIF(#REF!,Z6422))</f>
        <v/>
      </c>
      <c r="AD6422" t="str">
        <f>IF(A6422="","",IF(AC6422&gt;1,"REVISAR DUPLICADO",IF(AA6422&lt;&gt;"","ACTUALIZADO POR EYR","SIN REPORTE EYR")))</f>
        <v/>
      </c>
    </row>
    <row r="6423" spans="11:30" x14ac:dyDescent="0.3">
      <c r="K6423" s="1" t="str">
        <f ca="1">IF(A6423="","",IF(OR(L6423="ENTREGADA",L6423="RETORNADA",L6423="ENTREGA DIGITAL"),0,MAX(0,5-NETWORKDAYS(H6423+1,TODAY()))))</f>
        <v/>
      </c>
      <c r="L6423" t="str">
        <f>IF(A6423="","",IFERROR(LOOKUP(2,1/(#REF!=Z6423),#REF!),Y6423))</f>
        <v/>
      </c>
      <c r="Z6423" t="str">
        <f>IF(A6423="","",TEXT(A6423,"0")&amp;"|"&amp;TEXT(H6423,"0"))</f>
        <v/>
      </c>
      <c r="AA6423" t="str">
        <f>IF(Z6423="","",IFERROR(LOOKUP(2,1/(#REF!=Z6423),#REF!),""))</f>
        <v/>
      </c>
      <c r="AB6423" t="str">
        <f>IF(Z6423="","",IFERROR(LOOKUP(2,1/(#REF!=Z6423),#REF!),""))</f>
        <v/>
      </c>
      <c r="AC6423" t="str">
        <f>IF(Z6423="","",COUNTIF(#REF!,Z6423))</f>
        <v/>
      </c>
      <c r="AD6423" t="str">
        <f>IF(A6423="","",IF(AC6423&gt;1,"REVISAR DUPLICADO",IF(AA6423&lt;&gt;"","ACTUALIZADO POR EYR","SIN REPORTE EYR")))</f>
        <v/>
      </c>
    </row>
    <row r="6424" spans="11:30" x14ac:dyDescent="0.3">
      <c r="K6424" s="1" t="str">
        <f ca="1">IF(A6424="","",IF(OR(L6424="ENTREGADA",L6424="RETORNADA",L6424="ENTREGA DIGITAL"),0,MAX(0,5-NETWORKDAYS(H6424+1,TODAY()))))</f>
        <v/>
      </c>
      <c r="L6424" t="str">
        <f>IF(A6424="","",IFERROR(LOOKUP(2,1/(#REF!=Z6424),#REF!),Y6424))</f>
        <v/>
      </c>
      <c r="Z6424" t="str">
        <f>IF(A6424="","",TEXT(A6424,"0")&amp;"|"&amp;TEXT(H6424,"0"))</f>
        <v/>
      </c>
      <c r="AA6424" t="str">
        <f>IF(Z6424="","",IFERROR(LOOKUP(2,1/(#REF!=Z6424),#REF!),""))</f>
        <v/>
      </c>
      <c r="AB6424" t="str">
        <f>IF(Z6424="","",IFERROR(LOOKUP(2,1/(#REF!=Z6424),#REF!),""))</f>
        <v/>
      </c>
      <c r="AC6424" t="str">
        <f>IF(Z6424="","",COUNTIF(#REF!,Z6424))</f>
        <v/>
      </c>
      <c r="AD6424" t="str">
        <f>IF(A6424="","",IF(AC6424&gt;1,"REVISAR DUPLICADO",IF(AA6424&lt;&gt;"","ACTUALIZADO POR EYR","SIN REPORTE EYR")))</f>
        <v/>
      </c>
    </row>
    <row r="6425" spans="11:30" x14ac:dyDescent="0.3">
      <c r="K6425" s="1" t="str">
        <f ca="1">IF(A6425="","",IF(OR(L6425="ENTREGADA",L6425="RETORNADA",L6425="ENTREGA DIGITAL"),0,MAX(0,5-NETWORKDAYS(H6425+1,TODAY()))))</f>
        <v/>
      </c>
      <c r="L6425" t="str">
        <f>IF(A6425="","",IFERROR(LOOKUP(2,1/(#REF!=Z6425),#REF!),Y6425))</f>
        <v/>
      </c>
      <c r="Z6425" t="str">
        <f>IF(A6425="","",TEXT(A6425,"0")&amp;"|"&amp;TEXT(H6425,"0"))</f>
        <v/>
      </c>
      <c r="AA6425" t="str">
        <f>IF(Z6425="","",IFERROR(LOOKUP(2,1/(#REF!=Z6425),#REF!),""))</f>
        <v/>
      </c>
      <c r="AB6425" t="str">
        <f>IF(Z6425="","",IFERROR(LOOKUP(2,1/(#REF!=Z6425),#REF!),""))</f>
        <v/>
      </c>
      <c r="AC6425" t="str">
        <f>IF(Z6425="","",COUNTIF(#REF!,Z6425))</f>
        <v/>
      </c>
      <c r="AD6425" t="str">
        <f>IF(A6425="","",IF(AC6425&gt;1,"REVISAR DUPLICADO",IF(AA6425&lt;&gt;"","ACTUALIZADO POR EYR","SIN REPORTE EYR")))</f>
        <v/>
      </c>
    </row>
    <row r="6426" spans="11:30" x14ac:dyDescent="0.3">
      <c r="K6426" s="1" t="str">
        <f ca="1">IF(A6426="","",IF(OR(L6426="ENTREGADA",L6426="RETORNADA",L6426="ENTREGA DIGITAL"),0,MAX(0,5-NETWORKDAYS(H6426+1,TODAY()))))</f>
        <v/>
      </c>
      <c r="L6426" t="str">
        <f>IF(A6426="","",IFERROR(LOOKUP(2,1/(#REF!=Z6426),#REF!),Y6426))</f>
        <v/>
      </c>
      <c r="Z6426" t="str">
        <f>IF(A6426="","",TEXT(A6426,"0")&amp;"|"&amp;TEXT(H6426,"0"))</f>
        <v/>
      </c>
      <c r="AA6426" t="str">
        <f>IF(Z6426="","",IFERROR(LOOKUP(2,1/(#REF!=Z6426),#REF!),""))</f>
        <v/>
      </c>
      <c r="AB6426" t="str">
        <f>IF(Z6426="","",IFERROR(LOOKUP(2,1/(#REF!=Z6426),#REF!),""))</f>
        <v/>
      </c>
      <c r="AC6426" t="str">
        <f>IF(Z6426="","",COUNTIF(#REF!,Z6426))</f>
        <v/>
      </c>
      <c r="AD6426" t="str">
        <f>IF(A6426="","",IF(AC6426&gt;1,"REVISAR DUPLICADO",IF(AA6426&lt;&gt;"","ACTUALIZADO POR EYR","SIN REPORTE EYR")))</f>
        <v/>
      </c>
    </row>
    <row r="6427" spans="11:30" x14ac:dyDescent="0.3">
      <c r="K6427" s="1" t="str">
        <f ca="1">IF(A6427="","",IF(OR(L6427="ENTREGADA",L6427="RETORNADA",L6427="ENTREGA DIGITAL"),0,MAX(0,5-NETWORKDAYS(H6427+1,TODAY()))))</f>
        <v/>
      </c>
      <c r="L6427" t="str">
        <f>IF(A6427="","",IFERROR(LOOKUP(2,1/(#REF!=Z6427),#REF!),Y6427))</f>
        <v/>
      </c>
      <c r="Z6427" t="str">
        <f>IF(A6427="","",TEXT(A6427,"0")&amp;"|"&amp;TEXT(H6427,"0"))</f>
        <v/>
      </c>
      <c r="AA6427" t="str">
        <f>IF(Z6427="","",IFERROR(LOOKUP(2,1/(#REF!=Z6427),#REF!),""))</f>
        <v/>
      </c>
      <c r="AB6427" t="str">
        <f>IF(Z6427="","",IFERROR(LOOKUP(2,1/(#REF!=Z6427),#REF!),""))</f>
        <v/>
      </c>
      <c r="AC6427" t="str">
        <f>IF(Z6427="","",COUNTIF(#REF!,Z6427))</f>
        <v/>
      </c>
      <c r="AD6427" t="str">
        <f>IF(A6427="","",IF(AC6427&gt;1,"REVISAR DUPLICADO",IF(AA6427&lt;&gt;"","ACTUALIZADO POR EYR","SIN REPORTE EYR")))</f>
        <v/>
      </c>
    </row>
    <row r="6428" spans="11:30" x14ac:dyDescent="0.3">
      <c r="K6428" s="1" t="str">
        <f ca="1">IF(A6428="","",IF(OR(L6428="ENTREGADA",L6428="RETORNADA",L6428="ENTREGA DIGITAL"),0,MAX(0,5-NETWORKDAYS(H6428+1,TODAY()))))</f>
        <v/>
      </c>
      <c r="L6428" t="str">
        <f>IF(A6428="","",IFERROR(LOOKUP(2,1/(#REF!=Z6428),#REF!),Y6428))</f>
        <v/>
      </c>
      <c r="Z6428" t="str">
        <f>IF(A6428="","",TEXT(A6428,"0")&amp;"|"&amp;TEXT(H6428,"0"))</f>
        <v/>
      </c>
      <c r="AA6428" t="str">
        <f>IF(Z6428="","",IFERROR(LOOKUP(2,1/(#REF!=Z6428),#REF!),""))</f>
        <v/>
      </c>
      <c r="AB6428" t="str">
        <f>IF(Z6428="","",IFERROR(LOOKUP(2,1/(#REF!=Z6428),#REF!),""))</f>
        <v/>
      </c>
      <c r="AC6428" t="str">
        <f>IF(Z6428="","",COUNTIF(#REF!,Z6428))</f>
        <v/>
      </c>
      <c r="AD6428" t="str">
        <f>IF(A6428="","",IF(AC6428&gt;1,"REVISAR DUPLICADO",IF(AA6428&lt;&gt;"","ACTUALIZADO POR EYR","SIN REPORTE EYR")))</f>
        <v/>
      </c>
    </row>
    <row r="6429" spans="11:30" x14ac:dyDescent="0.3">
      <c r="K6429" s="1" t="str">
        <f ca="1">IF(A6429="","",IF(OR(L6429="ENTREGADA",L6429="RETORNADA",L6429="ENTREGA DIGITAL"),0,MAX(0,5-NETWORKDAYS(H6429+1,TODAY()))))</f>
        <v/>
      </c>
      <c r="L6429" t="str">
        <f>IF(A6429="","",IFERROR(LOOKUP(2,1/(#REF!=Z6429),#REF!),Y6429))</f>
        <v/>
      </c>
      <c r="Z6429" t="str">
        <f>IF(A6429="","",TEXT(A6429,"0")&amp;"|"&amp;TEXT(H6429,"0"))</f>
        <v/>
      </c>
      <c r="AA6429" t="str">
        <f>IF(Z6429="","",IFERROR(LOOKUP(2,1/(#REF!=Z6429),#REF!),""))</f>
        <v/>
      </c>
      <c r="AB6429" t="str">
        <f>IF(Z6429="","",IFERROR(LOOKUP(2,1/(#REF!=Z6429),#REF!),""))</f>
        <v/>
      </c>
      <c r="AC6429" t="str">
        <f>IF(Z6429="","",COUNTIF(#REF!,Z6429))</f>
        <v/>
      </c>
      <c r="AD6429" t="str">
        <f>IF(A6429="","",IF(AC6429&gt;1,"REVISAR DUPLICADO",IF(AA6429&lt;&gt;"","ACTUALIZADO POR EYR","SIN REPORTE EYR")))</f>
        <v/>
      </c>
    </row>
    <row r="6430" spans="11:30" x14ac:dyDescent="0.3">
      <c r="K6430" s="1" t="str">
        <f ca="1">IF(A6430="","",IF(OR(L6430="ENTREGADA",L6430="RETORNADA",L6430="ENTREGA DIGITAL"),0,MAX(0,5-NETWORKDAYS(H6430+1,TODAY()))))</f>
        <v/>
      </c>
      <c r="L6430" t="str">
        <f>IF(A6430="","",IFERROR(LOOKUP(2,1/(#REF!=Z6430),#REF!),Y6430))</f>
        <v/>
      </c>
      <c r="Z6430" t="str">
        <f>IF(A6430="","",TEXT(A6430,"0")&amp;"|"&amp;TEXT(H6430,"0"))</f>
        <v/>
      </c>
      <c r="AA6430" t="str">
        <f>IF(Z6430="","",IFERROR(LOOKUP(2,1/(#REF!=Z6430),#REF!),""))</f>
        <v/>
      </c>
      <c r="AB6430" t="str">
        <f>IF(Z6430="","",IFERROR(LOOKUP(2,1/(#REF!=Z6430),#REF!),""))</f>
        <v/>
      </c>
      <c r="AC6430" t="str">
        <f>IF(Z6430="","",COUNTIF(#REF!,Z6430))</f>
        <v/>
      </c>
      <c r="AD6430" t="str">
        <f>IF(A6430="","",IF(AC6430&gt;1,"REVISAR DUPLICADO",IF(AA6430&lt;&gt;"","ACTUALIZADO POR EYR","SIN REPORTE EYR")))</f>
        <v/>
      </c>
    </row>
    <row r="6431" spans="11:30" x14ac:dyDescent="0.3">
      <c r="K6431" s="1" t="str">
        <f ca="1">IF(A6431="","",IF(OR(L6431="ENTREGADA",L6431="RETORNADA",L6431="ENTREGA DIGITAL"),0,MAX(0,5-NETWORKDAYS(H6431+1,TODAY()))))</f>
        <v/>
      </c>
      <c r="L6431" t="str">
        <f>IF(A6431="","",IFERROR(LOOKUP(2,1/(#REF!=Z6431),#REF!),Y6431))</f>
        <v/>
      </c>
      <c r="Z6431" t="str">
        <f>IF(A6431="","",TEXT(A6431,"0")&amp;"|"&amp;TEXT(H6431,"0"))</f>
        <v/>
      </c>
      <c r="AA6431" t="str">
        <f>IF(Z6431="","",IFERROR(LOOKUP(2,1/(#REF!=Z6431),#REF!),""))</f>
        <v/>
      </c>
      <c r="AB6431" t="str">
        <f>IF(Z6431="","",IFERROR(LOOKUP(2,1/(#REF!=Z6431),#REF!),""))</f>
        <v/>
      </c>
      <c r="AC6431" t="str">
        <f>IF(Z6431="","",COUNTIF(#REF!,Z6431))</f>
        <v/>
      </c>
      <c r="AD6431" t="str">
        <f>IF(A6431="","",IF(AC6431&gt;1,"REVISAR DUPLICADO",IF(AA6431&lt;&gt;"","ACTUALIZADO POR EYR","SIN REPORTE EYR")))</f>
        <v/>
      </c>
    </row>
    <row r="6432" spans="11:30" x14ac:dyDescent="0.3">
      <c r="K6432" s="1" t="str">
        <f ca="1">IF(A6432="","",IF(OR(L6432="ENTREGADA",L6432="RETORNADA",L6432="ENTREGA DIGITAL"),0,MAX(0,5-NETWORKDAYS(H6432+1,TODAY()))))</f>
        <v/>
      </c>
      <c r="L6432" t="str">
        <f>IF(A6432="","",IFERROR(LOOKUP(2,1/(#REF!=Z6432),#REF!),Y6432))</f>
        <v/>
      </c>
      <c r="Z6432" t="str">
        <f>IF(A6432="","",TEXT(A6432,"0")&amp;"|"&amp;TEXT(H6432,"0"))</f>
        <v/>
      </c>
      <c r="AA6432" t="str">
        <f>IF(Z6432="","",IFERROR(LOOKUP(2,1/(#REF!=Z6432),#REF!),""))</f>
        <v/>
      </c>
      <c r="AB6432" t="str">
        <f>IF(Z6432="","",IFERROR(LOOKUP(2,1/(#REF!=Z6432),#REF!),""))</f>
        <v/>
      </c>
      <c r="AC6432" t="str">
        <f>IF(Z6432="","",COUNTIF(#REF!,Z6432))</f>
        <v/>
      </c>
      <c r="AD6432" t="str">
        <f>IF(A6432="","",IF(AC6432&gt;1,"REVISAR DUPLICADO",IF(AA6432&lt;&gt;"","ACTUALIZADO POR EYR","SIN REPORTE EYR")))</f>
        <v/>
      </c>
    </row>
    <row r="6433" spans="11:30" x14ac:dyDescent="0.3">
      <c r="K6433" s="1" t="str">
        <f ca="1">IF(A6433="","",IF(OR(L6433="ENTREGADA",L6433="RETORNADA",L6433="ENTREGA DIGITAL"),0,MAX(0,5-NETWORKDAYS(H6433+1,TODAY()))))</f>
        <v/>
      </c>
      <c r="L6433" t="str">
        <f>IF(A6433="","",IFERROR(LOOKUP(2,1/(#REF!=Z6433),#REF!),Y6433))</f>
        <v/>
      </c>
      <c r="Z6433" t="str">
        <f>IF(A6433="","",TEXT(A6433,"0")&amp;"|"&amp;TEXT(H6433,"0"))</f>
        <v/>
      </c>
      <c r="AA6433" t="str">
        <f>IF(Z6433="","",IFERROR(LOOKUP(2,1/(#REF!=Z6433),#REF!),""))</f>
        <v/>
      </c>
      <c r="AB6433" t="str">
        <f>IF(Z6433="","",IFERROR(LOOKUP(2,1/(#REF!=Z6433),#REF!),""))</f>
        <v/>
      </c>
      <c r="AC6433" t="str">
        <f>IF(Z6433="","",COUNTIF(#REF!,Z6433))</f>
        <v/>
      </c>
      <c r="AD6433" t="str">
        <f>IF(A6433="","",IF(AC6433&gt;1,"REVISAR DUPLICADO",IF(AA6433&lt;&gt;"","ACTUALIZADO POR EYR","SIN REPORTE EYR")))</f>
        <v/>
      </c>
    </row>
    <row r="6434" spans="11:30" x14ac:dyDescent="0.3">
      <c r="K6434" s="1" t="str">
        <f ca="1">IF(A6434="","",IF(OR(L6434="ENTREGADA",L6434="RETORNADA",L6434="ENTREGA DIGITAL"),0,MAX(0,5-NETWORKDAYS(H6434+1,TODAY()))))</f>
        <v/>
      </c>
      <c r="L6434" t="str">
        <f>IF(A6434="","",IFERROR(LOOKUP(2,1/(#REF!=Z6434),#REF!),Y6434))</f>
        <v/>
      </c>
      <c r="Z6434" t="str">
        <f>IF(A6434="","",TEXT(A6434,"0")&amp;"|"&amp;TEXT(H6434,"0"))</f>
        <v/>
      </c>
      <c r="AA6434" t="str">
        <f>IF(Z6434="","",IFERROR(LOOKUP(2,1/(#REF!=Z6434),#REF!),""))</f>
        <v/>
      </c>
      <c r="AB6434" t="str">
        <f>IF(Z6434="","",IFERROR(LOOKUP(2,1/(#REF!=Z6434),#REF!),""))</f>
        <v/>
      </c>
      <c r="AC6434" t="str">
        <f>IF(Z6434="","",COUNTIF(#REF!,Z6434))</f>
        <v/>
      </c>
      <c r="AD6434" t="str">
        <f>IF(A6434="","",IF(AC6434&gt;1,"REVISAR DUPLICADO",IF(AA6434&lt;&gt;"","ACTUALIZADO POR EYR","SIN REPORTE EYR")))</f>
        <v/>
      </c>
    </row>
    <row r="6435" spans="11:30" x14ac:dyDescent="0.3">
      <c r="K6435" s="1" t="str">
        <f ca="1">IF(A6435="","",IF(OR(L6435="ENTREGADA",L6435="RETORNADA",L6435="ENTREGA DIGITAL"),0,MAX(0,5-NETWORKDAYS(H6435+1,TODAY()))))</f>
        <v/>
      </c>
      <c r="L6435" t="str">
        <f>IF(A6435="","",IFERROR(LOOKUP(2,1/(#REF!=Z6435),#REF!),Y6435))</f>
        <v/>
      </c>
      <c r="Z6435" t="str">
        <f>IF(A6435="","",TEXT(A6435,"0")&amp;"|"&amp;TEXT(H6435,"0"))</f>
        <v/>
      </c>
      <c r="AA6435" t="str">
        <f>IF(Z6435="","",IFERROR(LOOKUP(2,1/(#REF!=Z6435),#REF!),""))</f>
        <v/>
      </c>
      <c r="AB6435" t="str">
        <f>IF(Z6435="","",IFERROR(LOOKUP(2,1/(#REF!=Z6435),#REF!),""))</f>
        <v/>
      </c>
      <c r="AC6435" t="str">
        <f>IF(Z6435="","",COUNTIF(#REF!,Z6435))</f>
        <v/>
      </c>
      <c r="AD6435" t="str">
        <f>IF(A6435="","",IF(AC6435&gt;1,"REVISAR DUPLICADO",IF(AA6435&lt;&gt;"","ACTUALIZADO POR EYR","SIN REPORTE EYR")))</f>
        <v/>
      </c>
    </row>
    <row r="6436" spans="11:30" x14ac:dyDescent="0.3">
      <c r="K6436" s="1" t="str">
        <f ca="1">IF(A6436="","",IF(OR(L6436="ENTREGADA",L6436="RETORNADA",L6436="ENTREGA DIGITAL"),0,MAX(0,5-NETWORKDAYS(H6436+1,TODAY()))))</f>
        <v/>
      </c>
      <c r="L6436" t="str">
        <f>IF(A6436="","",IFERROR(LOOKUP(2,1/(#REF!=Z6436),#REF!),Y6436))</f>
        <v/>
      </c>
      <c r="Z6436" t="str">
        <f>IF(A6436="","",TEXT(A6436,"0")&amp;"|"&amp;TEXT(H6436,"0"))</f>
        <v/>
      </c>
      <c r="AA6436" t="str">
        <f>IF(Z6436="","",IFERROR(LOOKUP(2,1/(#REF!=Z6436),#REF!),""))</f>
        <v/>
      </c>
      <c r="AB6436" t="str">
        <f>IF(Z6436="","",IFERROR(LOOKUP(2,1/(#REF!=Z6436),#REF!),""))</f>
        <v/>
      </c>
      <c r="AC6436" t="str">
        <f>IF(Z6436="","",COUNTIF(#REF!,Z6436))</f>
        <v/>
      </c>
      <c r="AD6436" t="str">
        <f>IF(A6436="","",IF(AC6436&gt;1,"REVISAR DUPLICADO",IF(AA6436&lt;&gt;"","ACTUALIZADO POR EYR","SIN REPORTE EYR")))</f>
        <v/>
      </c>
    </row>
    <row r="6437" spans="11:30" x14ac:dyDescent="0.3">
      <c r="K6437" s="1" t="str">
        <f ca="1">IF(A6437="","",IF(OR(L6437="ENTREGADA",L6437="RETORNADA",L6437="ENTREGA DIGITAL"),0,MAX(0,5-NETWORKDAYS(H6437+1,TODAY()))))</f>
        <v/>
      </c>
      <c r="L6437" t="str">
        <f>IF(A6437="","",IFERROR(LOOKUP(2,1/(#REF!=Z6437),#REF!),Y6437))</f>
        <v/>
      </c>
      <c r="Z6437" t="str">
        <f>IF(A6437="","",TEXT(A6437,"0")&amp;"|"&amp;TEXT(H6437,"0"))</f>
        <v/>
      </c>
      <c r="AA6437" t="str">
        <f>IF(Z6437="","",IFERROR(LOOKUP(2,1/(#REF!=Z6437),#REF!),""))</f>
        <v/>
      </c>
      <c r="AB6437" t="str">
        <f>IF(Z6437="","",IFERROR(LOOKUP(2,1/(#REF!=Z6437),#REF!),""))</f>
        <v/>
      </c>
      <c r="AC6437" t="str">
        <f>IF(Z6437="","",COUNTIF(#REF!,Z6437))</f>
        <v/>
      </c>
      <c r="AD6437" t="str">
        <f>IF(A6437="","",IF(AC6437&gt;1,"REVISAR DUPLICADO",IF(AA6437&lt;&gt;"","ACTUALIZADO POR EYR","SIN REPORTE EYR")))</f>
        <v/>
      </c>
    </row>
    <row r="6438" spans="11:30" x14ac:dyDescent="0.3">
      <c r="K6438" s="1" t="str">
        <f ca="1">IF(A6438="","",IF(OR(L6438="ENTREGADA",L6438="RETORNADA",L6438="ENTREGA DIGITAL"),0,MAX(0,5-NETWORKDAYS(H6438+1,TODAY()))))</f>
        <v/>
      </c>
      <c r="L6438" t="str">
        <f>IF(A6438="","",IFERROR(LOOKUP(2,1/(#REF!=Z6438),#REF!),Y6438))</f>
        <v/>
      </c>
      <c r="Z6438" t="str">
        <f>IF(A6438="","",TEXT(A6438,"0")&amp;"|"&amp;TEXT(H6438,"0"))</f>
        <v/>
      </c>
      <c r="AA6438" t="str">
        <f>IF(Z6438="","",IFERROR(LOOKUP(2,1/(#REF!=Z6438),#REF!),""))</f>
        <v/>
      </c>
      <c r="AB6438" t="str">
        <f>IF(Z6438="","",IFERROR(LOOKUP(2,1/(#REF!=Z6438),#REF!),""))</f>
        <v/>
      </c>
      <c r="AC6438" t="str">
        <f>IF(Z6438="","",COUNTIF(#REF!,Z6438))</f>
        <v/>
      </c>
      <c r="AD6438" t="str">
        <f>IF(A6438="","",IF(AC6438&gt;1,"REVISAR DUPLICADO",IF(AA6438&lt;&gt;"","ACTUALIZADO POR EYR","SIN REPORTE EYR")))</f>
        <v/>
      </c>
    </row>
    <row r="6439" spans="11:30" x14ac:dyDescent="0.3">
      <c r="K6439" s="1" t="str">
        <f ca="1">IF(A6439="","",IF(OR(L6439="ENTREGADA",L6439="RETORNADA",L6439="ENTREGA DIGITAL"),0,MAX(0,5-NETWORKDAYS(H6439+1,TODAY()))))</f>
        <v/>
      </c>
      <c r="L6439" t="str">
        <f>IF(A6439="","",IFERROR(LOOKUP(2,1/(#REF!=Z6439),#REF!),Y6439))</f>
        <v/>
      </c>
      <c r="Z6439" t="str">
        <f>IF(A6439="","",TEXT(A6439,"0")&amp;"|"&amp;TEXT(H6439,"0"))</f>
        <v/>
      </c>
      <c r="AA6439" t="str">
        <f>IF(Z6439="","",IFERROR(LOOKUP(2,1/(#REF!=Z6439),#REF!),""))</f>
        <v/>
      </c>
      <c r="AB6439" t="str">
        <f>IF(Z6439="","",IFERROR(LOOKUP(2,1/(#REF!=Z6439),#REF!),""))</f>
        <v/>
      </c>
      <c r="AC6439" t="str">
        <f>IF(Z6439="","",COUNTIF(#REF!,Z6439))</f>
        <v/>
      </c>
      <c r="AD6439" t="str">
        <f>IF(A6439="","",IF(AC6439&gt;1,"REVISAR DUPLICADO",IF(AA6439&lt;&gt;"","ACTUALIZADO POR EYR","SIN REPORTE EYR")))</f>
        <v/>
      </c>
    </row>
    <row r="6440" spans="11:30" x14ac:dyDescent="0.3">
      <c r="K6440" s="1" t="str">
        <f ca="1">IF(A6440="","",IF(OR(L6440="ENTREGADA",L6440="RETORNADA",L6440="ENTREGA DIGITAL"),0,MAX(0,5-NETWORKDAYS(H6440+1,TODAY()))))</f>
        <v/>
      </c>
      <c r="L6440" t="str">
        <f>IF(A6440="","",IFERROR(LOOKUP(2,1/(#REF!=Z6440),#REF!),Y6440))</f>
        <v/>
      </c>
      <c r="Z6440" t="str">
        <f>IF(A6440="","",TEXT(A6440,"0")&amp;"|"&amp;TEXT(H6440,"0"))</f>
        <v/>
      </c>
      <c r="AA6440" t="str">
        <f>IF(Z6440="","",IFERROR(LOOKUP(2,1/(#REF!=Z6440),#REF!),""))</f>
        <v/>
      </c>
      <c r="AB6440" t="str">
        <f>IF(Z6440="","",IFERROR(LOOKUP(2,1/(#REF!=Z6440),#REF!),""))</f>
        <v/>
      </c>
      <c r="AC6440" t="str">
        <f>IF(Z6440="","",COUNTIF(#REF!,Z6440))</f>
        <v/>
      </c>
      <c r="AD6440" t="str">
        <f>IF(A6440="","",IF(AC6440&gt;1,"REVISAR DUPLICADO",IF(AA6440&lt;&gt;"","ACTUALIZADO POR EYR","SIN REPORTE EYR")))</f>
        <v/>
      </c>
    </row>
    <row r="6441" spans="11:30" x14ac:dyDescent="0.3">
      <c r="K6441" s="1" t="str">
        <f ca="1">IF(A6441="","",IF(OR(L6441="ENTREGADA",L6441="RETORNADA",L6441="ENTREGA DIGITAL"),0,MAX(0,5-NETWORKDAYS(H6441+1,TODAY()))))</f>
        <v/>
      </c>
      <c r="L6441" t="str">
        <f>IF(A6441="","",IFERROR(LOOKUP(2,1/(#REF!=Z6441),#REF!),Y6441))</f>
        <v/>
      </c>
      <c r="Z6441" t="str">
        <f>IF(A6441="","",TEXT(A6441,"0")&amp;"|"&amp;TEXT(H6441,"0"))</f>
        <v/>
      </c>
      <c r="AA6441" t="str">
        <f>IF(Z6441="","",IFERROR(LOOKUP(2,1/(#REF!=Z6441),#REF!),""))</f>
        <v/>
      </c>
      <c r="AB6441" t="str">
        <f>IF(Z6441="","",IFERROR(LOOKUP(2,1/(#REF!=Z6441),#REF!),""))</f>
        <v/>
      </c>
      <c r="AC6441" t="str">
        <f>IF(Z6441="","",COUNTIF(#REF!,Z6441))</f>
        <v/>
      </c>
      <c r="AD6441" t="str">
        <f>IF(A6441="","",IF(AC6441&gt;1,"REVISAR DUPLICADO",IF(AA6441&lt;&gt;"","ACTUALIZADO POR EYR","SIN REPORTE EYR")))</f>
        <v/>
      </c>
    </row>
    <row r="6442" spans="11:30" x14ac:dyDescent="0.3">
      <c r="K6442" s="1" t="str">
        <f ca="1">IF(A6442="","",IF(OR(L6442="ENTREGADA",L6442="RETORNADA",L6442="ENTREGA DIGITAL"),0,MAX(0,5-NETWORKDAYS(H6442+1,TODAY()))))</f>
        <v/>
      </c>
      <c r="L6442" t="str">
        <f>IF(A6442="","",IFERROR(LOOKUP(2,1/(#REF!=Z6442),#REF!),Y6442))</f>
        <v/>
      </c>
      <c r="Z6442" t="str">
        <f>IF(A6442="","",TEXT(A6442,"0")&amp;"|"&amp;TEXT(H6442,"0"))</f>
        <v/>
      </c>
      <c r="AA6442" t="str">
        <f>IF(Z6442="","",IFERROR(LOOKUP(2,1/(#REF!=Z6442),#REF!),""))</f>
        <v/>
      </c>
      <c r="AB6442" t="str">
        <f>IF(Z6442="","",IFERROR(LOOKUP(2,1/(#REF!=Z6442),#REF!),""))</f>
        <v/>
      </c>
      <c r="AC6442" t="str">
        <f>IF(Z6442="","",COUNTIF(#REF!,Z6442))</f>
        <v/>
      </c>
      <c r="AD6442" t="str">
        <f>IF(A6442="","",IF(AC6442&gt;1,"REVISAR DUPLICADO",IF(AA6442&lt;&gt;"","ACTUALIZADO POR EYR","SIN REPORTE EYR")))</f>
        <v/>
      </c>
    </row>
    <row r="6443" spans="11:30" x14ac:dyDescent="0.3">
      <c r="K6443" s="1" t="str">
        <f ca="1">IF(A6443="","",IF(OR(L6443="ENTREGADA",L6443="RETORNADA",L6443="ENTREGA DIGITAL"),0,MAX(0,5-NETWORKDAYS(H6443+1,TODAY()))))</f>
        <v/>
      </c>
      <c r="L6443" t="str">
        <f>IF(A6443="","",IFERROR(LOOKUP(2,1/(#REF!=Z6443),#REF!),Y6443))</f>
        <v/>
      </c>
      <c r="Z6443" t="str">
        <f>IF(A6443="","",TEXT(A6443,"0")&amp;"|"&amp;TEXT(H6443,"0"))</f>
        <v/>
      </c>
      <c r="AA6443" t="str">
        <f>IF(Z6443="","",IFERROR(LOOKUP(2,1/(#REF!=Z6443),#REF!),""))</f>
        <v/>
      </c>
      <c r="AB6443" t="str">
        <f>IF(Z6443="","",IFERROR(LOOKUP(2,1/(#REF!=Z6443),#REF!),""))</f>
        <v/>
      </c>
      <c r="AC6443" t="str">
        <f>IF(Z6443="","",COUNTIF(#REF!,Z6443))</f>
        <v/>
      </c>
      <c r="AD6443" t="str">
        <f>IF(A6443="","",IF(AC6443&gt;1,"REVISAR DUPLICADO",IF(AA6443&lt;&gt;"","ACTUALIZADO POR EYR","SIN REPORTE EYR")))</f>
        <v/>
      </c>
    </row>
    <row r="6444" spans="11:30" x14ac:dyDescent="0.3">
      <c r="K6444" s="1" t="str">
        <f ca="1">IF(A6444="","",IF(OR(L6444="ENTREGADA",L6444="RETORNADA",L6444="ENTREGA DIGITAL"),0,MAX(0,5-NETWORKDAYS(H6444+1,TODAY()))))</f>
        <v/>
      </c>
      <c r="L6444" t="str">
        <f>IF(A6444="","",IFERROR(LOOKUP(2,1/(#REF!=Z6444),#REF!),Y6444))</f>
        <v/>
      </c>
      <c r="Z6444" t="str">
        <f>IF(A6444="","",TEXT(A6444,"0")&amp;"|"&amp;TEXT(H6444,"0"))</f>
        <v/>
      </c>
      <c r="AA6444" t="str">
        <f>IF(Z6444="","",IFERROR(LOOKUP(2,1/(#REF!=Z6444),#REF!),""))</f>
        <v/>
      </c>
      <c r="AB6444" t="str">
        <f>IF(Z6444="","",IFERROR(LOOKUP(2,1/(#REF!=Z6444),#REF!),""))</f>
        <v/>
      </c>
      <c r="AC6444" t="str">
        <f>IF(Z6444="","",COUNTIF(#REF!,Z6444))</f>
        <v/>
      </c>
      <c r="AD6444" t="str">
        <f>IF(A6444="","",IF(AC6444&gt;1,"REVISAR DUPLICADO",IF(AA6444&lt;&gt;"","ACTUALIZADO POR EYR","SIN REPORTE EYR")))</f>
        <v/>
      </c>
    </row>
    <row r="6445" spans="11:30" x14ac:dyDescent="0.3">
      <c r="K6445" s="1" t="str">
        <f ca="1">IF(A6445="","",IF(OR(L6445="ENTREGADA",L6445="RETORNADA",L6445="ENTREGA DIGITAL"),0,MAX(0,5-NETWORKDAYS(H6445+1,TODAY()))))</f>
        <v/>
      </c>
      <c r="L6445" t="str">
        <f>IF(A6445="","",IFERROR(LOOKUP(2,1/(#REF!=Z6445),#REF!),Y6445))</f>
        <v/>
      </c>
      <c r="Z6445" t="str">
        <f>IF(A6445="","",TEXT(A6445,"0")&amp;"|"&amp;TEXT(H6445,"0"))</f>
        <v/>
      </c>
      <c r="AA6445" t="str">
        <f>IF(Z6445="","",IFERROR(LOOKUP(2,1/(#REF!=Z6445),#REF!),""))</f>
        <v/>
      </c>
      <c r="AB6445" t="str">
        <f>IF(Z6445="","",IFERROR(LOOKUP(2,1/(#REF!=Z6445),#REF!),""))</f>
        <v/>
      </c>
      <c r="AC6445" t="str">
        <f>IF(Z6445="","",COUNTIF(#REF!,Z6445))</f>
        <v/>
      </c>
      <c r="AD6445" t="str">
        <f>IF(A6445="","",IF(AC6445&gt;1,"REVISAR DUPLICADO",IF(AA6445&lt;&gt;"","ACTUALIZADO POR EYR","SIN REPORTE EYR")))</f>
        <v/>
      </c>
    </row>
    <row r="6446" spans="11:30" x14ac:dyDescent="0.3">
      <c r="K6446" s="1" t="str">
        <f ca="1">IF(A6446="","",IF(OR(L6446="ENTREGADA",L6446="RETORNADA",L6446="ENTREGA DIGITAL"),0,MAX(0,5-NETWORKDAYS(H6446+1,TODAY()))))</f>
        <v/>
      </c>
      <c r="L6446" t="str">
        <f>IF(A6446="","",IFERROR(LOOKUP(2,1/(#REF!=Z6446),#REF!),Y6446))</f>
        <v/>
      </c>
      <c r="Z6446" t="str">
        <f>IF(A6446="","",TEXT(A6446,"0")&amp;"|"&amp;TEXT(H6446,"0"))</f>
        <v/>
      </c>
      <c r="AA6446" t="str">
        <f>IF(Z6446="","",IFERROR(LOOKUP(2,1/(#REF!=Z6446),#REF!),""))</f>
        <v/>
      </c>
      <c r="AB6446" t="str">
        <f>IF(Z6446="","",IFERROR(LOOKUP(2,1/(#REF!=Z6446),#REF!),""))</f>
        <v/>
      </c>
      <c r="AC6446" t="str">
        <f>IF(Z6446="","",COUNTIF(#REF!,Z6446))</f>
        <v/>
      </c>
      <c r="AD6446" t="str">
        <f>IF(A6446="","",IF(AC6446&gt;1,"REVISAR DUPLICADO",IF(AA6446&lt;&gt;"","ACTUALIZADO POR EYR","SIN REPORTE EYR")))</f>
        <v/>
      </c>
    </row>
    <row r="6447" spans="11:30" x14ac:dyDescent="0.3">
      <c r="K6447" s="1" t="str">
        <f ca="1">IF(A6447="","",IF(OR(L6447="ENTREGADA",L6447="RETORNADA",L6447="ENTREGA DIGITAL"),0,MAX(0,5-NETWORKDAYS(H6447+1,TODAY()))))</f>
        <v/>
      </c>
      <c r="L6447" t="str">
        <f>IF(A6447="","",IFERROR(LOOKUP(2,1/(#REF!=Z6447),#REF!),Y6447))</f>
        <v/>
      </c>
      <c r="Z6447" t="str">
        <f>IF(A6447="","",TEXT(A6447,"0")&amp;"|"&amp;TEXT(H6447,"0"))</f>
        <v/>
      </c>
      <c r="AA6447" t="str">
        <f>IF(Z6447="","",IFERROR(LOOKUP(2,1/(#REF!=Z6447),#REF!),""))</f>
        <v/>
      </c>
      <c r="AB6447" t="str">
        <f>IF(Z6447="","",IFERROR(LOOKUP(2,1/(#REF!=Z6447),#REF!),""))</f>
        <v/>
      </c>
      <c r="AC6447" t="str">
        <f>IF(Z6447="","",COUNTIF(#REF!,Z6447))</f>
        <v/>
      </c>
      <c r="AD6447" t="str">
        <f>IF(A6447="","",IF(AC6447&gt;1,"REVISAR DUPLICADO",IF(AA6447&lt;&gt;"","ACTUALIZADO POR EYR","SIN REPORTE EYR")))</f>
        <v/>
      </c>
    </row>
    <row r="6448" spans="11:30" x14ac:dyDescent="0.3">
      <c r="K6448" s="1" t="str">
        <f ca="1">IF(A6448="","",IF(OR(L6448="ENTREGADA",L6448="RETORNADA",L6448="ENTREGA DIGITAL"),0,MAX(0,5-NETWORKDAYS(H6448+1,TODAY()))))</f>
        <v/>
      </c>
      <c r="L6448" t="str">
        <f>IF(A6448="","",IFERROR(LOOKUP(2,1/(#REF!=Z6448),#REF!),Y6448))</f>
        <v/>
      </c>
      <c r="Z6448" t="str">
        <f>IF(A6448="","",TEXT(A6448,"0")&amp;"|"&amp;TEXT(H6448,"0"))</f>
        <v/>
      </c>
      <c r="AA6448" t="str">
        <f>IF(Z6448="","",IFERROR(LOOKUP(2,1/(#REF!=Z6448),#REF!),""))</f>
        <v/>
      </c>
      <c r="AB6448" t="str">
        <f>IF(Z6448="","",IFERROR(LOOKUP(2,1/(#REF!=Z6448),#REF!),""))</f>
        <v/>
      </c>
      <c r="AC6448" t="str">
        <f>IF(Z6448="","",COUNTIF(#REF!,Z6448))</f>
        <v/>
      </c>
      <c r="AD6448" t="str">
        <f>IF(A6448="","",IF(AC6448&gt;1,"REVISAR DUPLICADO",IF(AA6448&lt;&gt;"","ACTUALIZADO POR EYR","SIN REPORTE EYR")))</f>
        <v/>
      </c>
    </row>
    <row r="6449" spans="11:30" x14ac:dyDescent="0.3">
      <c r="K6449" s="1" t="str">
        <f ca="1">IF(A6449="","",IF(OR(L6449="ENTREGADA",L6449="RETORNADA",L6449="ENTREGA DIGITAL"),0,MAX(0,5-NETWORKDAYS(H6449+1,TODAY()))))</f>
        <v/>
      </c>
      <c r="L6449" t="str">
        <f>IF(A6449="","",IFERROR(LOOKUP(2,1/(#REF!=Z6449),#REF!),Y6449))</f>
        <v/>
      </c>
      <c r="Z6449" t="str">
        <f>IF(A6449="","",TEXT(A6449,"0")&amp;"|"&amp;TEXT(H6449,"0"))</f>
        <v/>
      </c>
      <c r="AA6449" t="str">
        <f>IF(Z6449="","",IFERROR(LOOKUP(2,1/(#REF!=Z6449),#REF!),""))</f>
        <v/>
      </c>
      <c r="AB6449" t="str">
        <f>IF(Z6449="","",IFERROR(LOOKUP(2,1/(#REF!=Z6449),#REF!),""))</f>
        <v/>
      </c>
      <c r="AC6449" t="str">
        <f>IF(Z6449="","",COUNTIF(#REF!,Z6449))</f>
        <v/>
      </c>
      <c r="AD6449" t="str">
        <f>IF(A6449="","",IF(AC6449&gt;1,"REVISAR DUPLICADO",IF(AA6449&lt;&gt;"","ACTUALIZADO POR EYR","SIN REPORTE EYR")))</f>
        <v/>
      </c>
    </row>
    <row r="6450" spans="11:30" x14ac:dyDescent="0.3">
      <c r="K6450" s="1" t="str">
        <f ca="1">IF(A6450="","",IF(OR(L6450="ENTREGADA",L6450="RETORNADA",L6450="ENTREGA DIGITAL"),0,MAX(0,5-NETWORKDAYS(H6450+1,TODAY()))))</f>
        <v/>
      </c>
      <c r="L6450" t="str">
        <f>IF(A6450="","",IFERROR(LOOKUP(2,1/(#REF!=Z6450),#REF!),Y6450))</f>
        <v/>
      </c>
      <c r="Z6450" t="str">
        <f>IF(A6450="","",TEXT(A6450,"0")&amp;"|"&amp;TEXT(H6450,"0"))</f>
        <v/>
      </c>
      <c r="AA6450" t="str">
        <f>IF(Z6450="","",IFERROR(LOOKUP(2,1/(#REF!=Z6450),#REF!),""))</f>
        <v/>
      </c>
      <c r="AB6450" t="str">
        <f>IF(Z6450="","",IFERROR(LOOKUP(2,1/(#REF!=Z6450),#REF!),""))</f>
        <v/>
      </c>
      <c r="AC6450" t="str">
        <f>IF(Z6450="","",COUNTIF(#REF!,Z6450))</f>
        <v/>
      </c>
      <c r="AD6450" t="str">
        <f>IF(A6450="","",IF(AC6450&gt;1,"REVISAR DUPLICADO",IF(AA6450&lt;&gt;"","ACTUALIZADO POR EYR","SIN REPORTE EYR")))</f>
        <v/>
      </c>
    </row>
    <row r="6451" spans="11:30" x14ac:dyDescent="0.3">
      <c r="K6451" s="1" t="str">
        <f ca="1">IF(A6451="","",IF(OR(L6451="ENTREGADA",L6451="RETORNADA",L6451="ENTREGA DIGITAL"),0,MAX(0,5-NETWORKDAYS(H6451+1,TODAY()))))</f>
        <v/>
      </c>
      <c r="L6451" t="str">
        <f>IF(A6451="","",IFERROR(LOOKUP(2,1/(#REF!=Z6451),#REF!),Y6451))</f>
        <v/>
      </c>
      <c r="Z6451" t="str">
        <f>IF(A6451="","",TEXT(A6451,"0")&amp;"|"&amp;TEXT(H6451,"0"))</f>
        <v/>
      </c>
      <c r="AA6451" t="str">
        <f>IF(Z6451="","",IFERROR(LOOKUP(2,1/(#REF!=Z6451),#REF!),""))</f>
        <v/>
      </c>
      <c r="AB6451" t="str">
        <f>IF(Z6451="","",IFERROR(LOOKUP(2,1/(#REF!=Z6451),#REF!),""))</f>
        <v/>
      </c>
      <c r="AC6451" t="str">
        <f>IF(Z6451="","",COUNTIF(#REF!,Z6451))</f>
        <v/>
      </c>
      <c r="AD6451" t="str">
        <f>IF(A6451="","",IF(AC6451&gt;1,"REVISAR DUPLICADO",IF(AA6451&lt;&gt;"","ACTUALIZADO POR EYR","SIN REPORTE EYR")))</f>
        <v/>
      </c>
    </row>
    <row r="6452" spans="11:30" x14ac:dyDescent="0.3">
      <c r="K6452" s="1" t="str">
        <f ca="1">IF(A6452="","",IF(OR(L6452="ENTREGADA",L6452="RETORNADA",L6452="ENTREGA DIGITAL"),0,MAX(0,5-NETWORKDAYS(H6452+1,TODAY()))))</f>
        <v/>
      </c>
      <c r="L6452" t="str">
        <f>IF(A6452="","",IFERROR(LOOKUP(2,1/(#REF!=Z6452),#REF!),Y6452))</f>
        <v/>
      </c>
      <c r="Z6452" t="str">
        <f>IF(A6452="","",TEXT(A6452,"0")&amp;"|"&amp;TEXT(H6452,"0"))</f>
        <v/>
      </c>
      <c r="AA6452" t="str">
        <f>IF(Z6452="","",IFERROR(LOOKUP(2,1/(#REF!=Z6452),#REF!),""))</f>
        <v/>
      </c>
      <c r="AB6452" t="str">
        <f>IF(Z6452="","",IFERROR(LOOKUP(2,1/(#REF!=Z6452),#REF!),""))</f>
        <v/>
      </c>
      <c r="AC6452" t="str">
        <f>IF(Z6452="","",COUNTIF(#REF!,Z6452))</f>
        <v/>
      </c>
      <c r="AD6452" t="str">
        <f>IF(A6452="","",IF(AC6452&gt;1,"REVISAR DUPLICADO",IF(AA6452&lt;&gt;"","ACTUALIZADO POR EYR","SIN REPORTE EYR")))</f>
        <v/>
      </c>
    </row>
    <row r="6453" spans="11:30" x14ac:dyDescent="0.3">
      <c r="K6453" s="1" t="str">
        <f ca="1">IF(A6453="","",IF(OR(L6453="ENTREGADA",L6453="RETORNADA",L6453="ENTREGA DIGITAL"),0,MAX(0,5-NETWORKDAYS(H6453+1,TODAY()))))</f>
        <v/>
      </c>
      <c r="L6453" t="str">
        <f>IF(A6453="","",IFERROR(LOOKUP(2,1/(#REF!=Z6453),#REF!),Y6453))</f>
        <v/>
      </c>
      <c r="Z6453" t="str">
        <f>IF(A6453="","",TEXT(A6453,"0")&amp;"|"&amp;TEXT(H6453,"0"))</f>
        <v/>
      </c>
      <c r="AA6453" t="str">
        <f>IF(Z6453="","",IFERROR(LOOKUP(2,1/(#REF!=Z6453),#REF!),""))</f>
        <v/>
      </c>
      <c r="AB6453" t="str">
        <f>IF(Z6453="","",IFERROR(LOOKUP(2,1/(#REF!=Z6453),#REF!),""))</f>
        <v/>
      </c>
      <c r="AC6453" t="str">
        <f>IF(Z6453="","",COUNTIF(#REF!,Z6453))</f>
        <v/>
      </c>
      <c r="AD6453" t="str">
        <f>IF(A6453="","",IF(AC6453&gt;1,"REVISAR DUPLICADO",IF(AA6453&lt;&gt;"","ACTUALIZADO POR EYR","SIN REPORTE EYR")))</f>
        <v/>
      </c>
    </row>
    <row r="6454" spans="11:30" x14ac:dyDescent="0.3">
      <c r="K6454" s="1" t="str">
        <f ca="1">IF(A6454="","",IF(OR(L6454="ENTREGADA",L6454="RETORNADA",L6454="ENTREGA DIGITAL"),0,MAX(0,5-NETWORKDAYS(H6454+1,TODAY()))))</f>
        <v/>
      </c>
      <c r="L6454" t="str">
        <f>IF(A6454="","",IFERROR(LOOKUP(2,1/(#REF!=Z6454),#REF!),Y6454))</f>
        <v/>
      </c>
      <c r="Z6454" t="str">
        <f>IF(A6454="","",TEXT(A6454,"0")&amp;"|"&amp;TEXT(H6454,"0"))</f>
        <v/>
      </c>
      <c r="AA6454" t="str">
        <f>IF(Z6454="","",IFERROR(LOOKUP(2,1/(#REF!=Z6454),#REF!),""))</f>
        <v/>
      </c>
      <c r="AB6454" t="str">
        <f>IF(Z6454="","",IFERROR(LOOKUP(2,1/(#REF!=Z6454),#REF!),""))</f>
        <v/>
      </c>
      <c r="AC6454" t="str">
        <f>IF(Z6454="","",COUNTIF(#REF!,Z6454))</f>
        <v/>
      </c>
      <c r="AD6454" t="str">
        <f>IF(A6454="","",IF(AC6454&gt;1,"REVISAR DUPLICADO",IF(AA6454&lt;&gt;"","ACTUALIZADO POR EYR","SIN REPORTE EYR")))</f>
        <v/>
      </c>
    </row>
    <row r="6455" spans="11:30" x14ac:dyDescent="0.3">
      <c r="K6455" s="1" t="str">
        <f ca="1">IF(A6455="","",IF(OR(L6455="ENTREGADA",L6455="RETORNADA",L6455="ENTREGA DIGITAL"),0,MAX(0,5-NETWORKDAYS(H6455+1,TODAY()))))</f>
        <v/>
      </c>
      <c r="L6455" t="str">
        <f>IF(A6455="","",IFERROR(LOOKUP(2,1/(#REF!=Z6455),#REF!),Y6455))</f>
        <v/>
      </c>
      <c r="Z6455" t="str">
        <f>IF(A6455="","",TEXT(A6455,"0")&amp;"|"&amp;TEXT(H6455,"0"))</f>
        <v/>
      </c>
      <c r="AA6455" t="str">
        <f>IF(Z6455="","",IFERROR(LOOKUP(2,1/(#REF!=Z6455),#REF!),""))</f>
        <v/>
      </c>
      <c r="AB6455" t="str">
        <f>IF(Z6455="","",IFERROR(LOOKUP(2,1/(#REF!=Z6455),#REF!),""))</f>
        <v/>
      </c>
      <c r="AC6455" t="str">
        <f>IF(Z6455="","",COUNTIF(#REF!,Z6455))</f>
        <v/>
      </c>
      <c r="AD6455" t="str">
        <f>IF(A6455="","",IF(AC6455&gt;1,"REVISAR DUPLICADO",IF(AA6455&lt;&gt;"","ACTUALIZADO POR EYR","SIN REPORTE EYR")))</f>
        <v/>
      </c>
    </row>
    <row r="6456" spans="11:30" x14ac:dyDescent="0.3">
      <c r="K6456" s="1" t="str">
        <f ca="1">IF(A6456="","",IF(OR(L6456="ENTREGADA",L6456="RETORNADA",L6456="ENTREGA DIGITAL"),0,MAX(0,5-NETWORKDAYS(H6456+1,TODAY()))))</f>
        <v/>
      </c>
      <c r="L6456" t="str">
        <f>IF(A6456="","",IFERROR(LOOKUP(2,1/(#REF!=Z6456),#REF!),Y6456))</f>
        <v/>
      </c>
      <c r="Z6456" t="str">
        <f>IF(A6456="","",TEXT(A6456,"0")&amp;"|"&amp;TEXT(H6456,"0"))</f>
        <v/>
      </c>
      <c r="AA6456" t="str">
        <f>IF(Z6456="","",IFERROR(LOOKUP(2,1/(#REF!=Z6456),#REF!),""))</f>
        <v/>
      </c>
      <c r="AB6456" t="str">
        <f>IF(Z6456="","",IFERROR(LOOKUP(2,1/(#REF!=Z6456),#REF!),""))</f>
        <v/>
      </c>
      <c r="AC6456" t="str">
        <f>IF(Z6456="","",COUNTIF(#REF!,Z6456))</f>
        <v/>
      </c>
      <c r="AD6456" t="str">
        <f>IF(A6456="","",IF(AC6456&gt;1,"REVISAR DUPLICADO",IF(AA6456&lt;&gt;"","ACTUALIZADO POR EYR","SIN REPORTE EYR")))</f>
        <v/>
      </c>
    </row>
    <row r="6457" spans="11:30" x14ac:dyDescent="0.3">
      <c r="K6457" s="1" t="str">
        <f ca="1">IF(A6457="","",IF(OR(L6457="ENTREGADA",L6457="RETORNADA",L6457="ENTREGA DIGITAL"),0,MAX(0,5-NETWORKDAYS(H6457+1,TODAY()))))</f>
        <v/>
      </c>
      <c r="L6457" t="str">
        <f>IF(A6457="","",IFERROR(LOOKUP(2,1/(#REF!=Z6457),#REF!),Y6457))</f>
        <v/>
      </c>
      <c r="Z6457" t="str">
        <f>IF(A6457="","",TEXT(A6457,"0")&amp;"|"&amp;TEXT(H6457,"0"))</f>
        <v/>
      </c>
      <c r="AA6457" t="str">
        <f>IF(Z6457="","",IFERROR(LOOKUP(2,1/(#REF!=Z6457),#REF!),""))</f>
        <v/>
      </c>
      <c r="AB6457" t="str">
        <f>IF(Z6457="","",IFERROR(LOOKUP(2,1/(#REF!=Z6457),#REF!),""))</f>
        <v/>
      </c>
      <c r="AC6457" t="str">
        <f>IF(Z6457="","",COUNTIF(#REF!,Z6457))</f>
        <v/>
      </c>
      <c r="AD6457" t="str">
        <f>IF(A6457="","",IF(AC6457&gt;1,"REVISAR DUPLICADO",IF(AA6457&lt;&gt;"","ACTUALIZADO POR EYR","SIN REPORTE EYR")))</f>
        <v/>
      </c>
    </row>
    <row r="6458" spans="11:30" x14ac:dyDescent="0.3">
      <c r="K6458" s="1" t="str">
        <f ca="1">IF(A6458="","",IF(OR(L6458="ENTREGADA",L6458="RETORNADA",L6458="ENTREGA DIGITAL"),0,MAX(0,5-NETWORKDAYS(H6458+1,TODAY()))))</f>
        <v/>
      </c>
      <c r="L6458" t="str">
        <f>IF(A6458="","",IFERROR(LOOKUP(2,1/(#REF!=Z6458),#REF!),Y6458))</f>
        <v/>
      </c>
      <c r="Z6458" t="str">
        <f>IF(A6458="","",TEXT(A6458,"0")&amp;"|"&amp;TEXT(H6458,"0"))</f>
        <v/>
      </c>
      <c r="AA6458" t="str">
        <f>IF(Z6458="","",IFERROR(LOOKUP(2,1/(#REF!=Z6458),#REF!),""))</f>
        <v/>
      </c>
      <c r="AB6458" t="str">
        <f>IF(Z6458="","",IFERROR(LOOKUP(2,1/(#REF!=Z6458),#REF!),""))</f>
        <v/>
      </c>
      <c r="AC6458" t="str">
        <f>IF(Z6458="","",COUNTIF(#REF!,Z6458))</f>
        <v/>
      </c>
      <c r="AD6458" t="str">
        <f>IF(A6458="","",IF(AC6458&gt;1,"REVISAR DUPLICADO",IF(AA6458&lt;&gt;"","ACTUALIZADO POR EYR","SIN REPORTE EYR")))</f>
        <v/>
      </c>
    </row>
    <row r="6459" spans="11:30" x14ac:dyDescent="0.3">
      <c r="K6459" s="1" t="str">
        <f ca="1">IF(A6459="","",IF(OR(L6459="ENTREGADA",L6459="RETORNADA",L6459="ENTREGA DIGITAL"),0,MAX(0,5-NETWORKDAYS(H6459+1,TODAY()))))</f>
        <v/>
      </c>
      <c r="L6459" t="str">
        <f>IF(A6459="","",IFERROR(LOOKUP(2,1/(#REF!=Z6459),#REF!),Y6459))</f>
        <v/>
      </c>
      <c r="Z6459" t="str">
        <f>IF(A6459="","",TEXT(A6459,"0")&amp;"|"&amp;TEXT(H6459,"0"))</f>
        <v/>
      </c>
      <c r="AA6459" t="str">
        <f>IF(Z6459="","",IFERROR(LOOKUP(2,1/(#REF!=Z6459),#REF!),""))</f>
        <v/>
      </c>
      <c r="AB6459" t="str">
        <f>IF(Z6459="","",IFERROR(LOOKUP(2,1/(#REF!=Z6459),#REF!),""))</f>
        <v/>
      </c>
      <c r="AC6459" t="str">
        <f>IF(Z6459="","",COUNTIF(#REF!,Z6459))</f>
        <v/>
      </c>
      <c r="AD6459" t="str">
        <f>IF(A6459="","",IF(AC6459&gt;1,"REVISAR DUPLICADO",IF(AA6459&lt;&gt;"","ACTUALIZADO POR EYR","SIN REPORTE EYR")))</f>
        <v/>
      </c>
    </row>
    <row r="6460" spans="11:30" x14ac:dyDescent="0.3">
      <c r="K6460" s="1" t="str">
        <f ca="1">IF(A6460="","",IF(OR(L6460="ENTREGADA",L6460="RETORNADA",L6460="ENTREGA DIGITAL"),0,MAX(0,5-NETWORKDAYS(H6460+1,TODAY()))))</f>
        <v/>
      </c>
      <c r="L6460" t="str">
        <f>IF(A6460="","",IFERROR(LOOKUP(2,1/(#REF!=Z6460),#REF!),Y6460))</f>
        <v/>
      </c>
      <c r="Z6460" t="str">
        <f>IF(A6460="","",TEXT(A6460,"0")&amp;"|"&amp;TEXT(H6460,"0"))</f>
        <v/>
      </c>
      <c r="AA6460" t="str">
        <f>IF(Z6460="","",IFERROR(LOOKUP(2,1/(#REF!=Z6460),#REF!),""))</f>
        <v/>
      </c>
      <c r="AB6460" t="str">
        <f>IF(Z6460="","",IFERROR(LOOKUP(2,1/(#REF!=Z6460),#REF!),""))</f>
        <v/>
      </c>
      <c r="AC6460" t="str">
        <f>IF(Z6460="","",COUNTIF(#REF!,Z6460))</f>
        <v/>
      </c>
      <c r="AD6460" t="str">
        <f>IF(A6460="","",IF(AC6460&gt;1,"REVISAR DUPLICADO",IF(AA6460&lt;&gt;"","ACTUALIZADO POR EYR","SIN REPORTE EYR")))</f>
        <v/>
      </c>
    </row>
    <row r="6461" spans="11:30" x14ac:dyDescent="0.3">
      <c r="K6461" s="1" t="str">
        <f ca="1">IF(A6461="","",IF(OR(L6461="ENTREGADA",L6461="RETORNADA",L6461="ENTREGA DIGITAL"),0,MAX(0,5-NETWORKDAYS(H6461+1,TODAY()))))</f>
        <v/>
      </c>
      <c r="L6461" t="str">
        <f>IF(A6461="","",IFERROR(LOOKUP(2,1/(#REF!=Z6461),#REF!),Y6461))</f>
        <v/>
      </c>
      <c r="Z6461" t="str">
        <f>IF(A6461="","",TEXT(A6461,"0")&amp;"|"&amp;TEXT(H6461,"0"))</f>
        <v/>
      </c>
      <c r="AA6461" t="str">
        <f>IF(Z6461="","",IFERROR(LOOKUP(2,1/(#REF!=Z6461),#REF!),""))</f>
        <v/>
      </c>
      <c r="AB6461" t="str">
        <f>IF(Z6461="","",IFERROR(LOOKUP(2,1/(#REF!=Z6461),#REF!),""))</f>
        <v/>
      </c>
      <c r="AC6461" t="str">
        <f>IF(Z6461="","",COUNTIF(#REF!,Z6461))</f>
        <v/>
      </c>
      <c r="AD6461" t="str">
        <f>IF(A6461="","",IF(AC6461&gt;1,"REVISAR DUPLICADO",IF(AA6461&lt;&gt;"","ACTUALIZADO POR EYR","SIN REPORTE EYR")))</f>
        <v/>
      </c>
    </row>
    <row r="6462" spans="11:30" x14ac:dyDescent="0.3">
      <c r="K6462" s="1" t="str">
        <f ca="1">IF(A6462="","",IF(OR(L6462="ENTREGADA",L6462="RETORNADA",L6462="ENTREGA DIGITAL"),0,MAX(0,5-NETWORKDAYS(H6462+1,TODAY()))))</f>
        <v/>
      </c>
      <c r="L6462" t="str">
        <f>IF(A6462="","",IFERROR(LOOKUP(2,1/(#REF!=Z6462),#REF!),Y6462))</f>
        <v/>
      </c>
      <c r="Z6462" t="str">
        <f>IF(A6462="","",TEXT(A6462,"0")&amp;"|"&amp;TEXT(H6462,"0"))</f>
        <v/>
      </c>
      <c r="AA6462" t="str">
        <f>IF(Z6462="","",IFERROR(LOOKUP(2,1/(#REF!=Z6462),#REF!),""))</f>
        <v/>
      </c>
      <c r="AB6462" t="str">
        <f>IF(Z6462="","",IFERROR(LOOKUP(2,1/(#REF!=Z6462),#REF!),""))</f>
        <v/>
      </c>
      <c r="AC6462" t="str">
        <f>IF(Z6462="","",COUNTIF(#REF!,Z6462))</f>
        <v/>
      </c>
      <c r="AD6462" t="str">
        <f>IF(A6462="","",IF(AC6462&gt;1,"REVISAR DUPLICADO",IF(AA6462&lt;&gt;"","ACTUALIZADO POR EYR","SIN REPORTE EYR")))</f>
        <v/>
      </c>
    </row>
    <row r="6463" spans="11:30" x14ac:dyDescent="0.3">
      <c r="K6463" s="1" t="str">
        <f ca="1">IF(A6463="","",IF(OR(L6463="ENTREGADA",L6463="RETORNADA",L6463="ENTREGA DIGITAL"),0,MAX(0,5-NETWORKDAYS(H6463+1,TODAY()))))</f>
        <v/>
      </c>
      <c r="L6463" t="str">
        <f>IF(A6463="","",IFERROR(LOOKUP(2,1/(#REF!=Z6463),#REF!),Y6463))</f>
        <v/>
      </c>
      <c r="Z6463" t="str">
        <f>IF(A6463="","",TEXT(A6463,"0")&amp;"|"&amp;TEXT(H6463,"0"))</f>
        <v/>
      </c>
      <c r="AA6463" t="str">
        <f>IF(Z6463="","",IFERROR(LOOKUP(2,1/(#REF!=Z6463),#REF!),""))</f>
        <v/>
      </c>
      <c r="AB6463" t="str">
        <f>IF(Z6463="","",IFERROR(LOOKUP(2,1/(#REF!=Z6463),#REF!),""))</f>
        <v/>
      </c>
      <c r="AC6463" t="str">
        <f>IF(Z6463="","",COUNTIF(#REF!,Z6463))</f>
        <v/>
      </c>
      <c r="AD6463" t="str">
        <f>IF(A6463="","",IF(AC6463&gt;1,"REVISAR DUPLICADO",IF(AA6463&lt;&gt;"","ACTUALIZADO POR EYR","SIN REPORTE EYR")))</f>
        <v/>
      </c>
    </row>
    <row r="6464" spans="11:30" x14ac:dyDescent="0.3">
      <c r="K6464" s="1" t="str">
        <f ca="1">IF(A6464="","",IF(OR(L6464="ENTREGADA",L6464="RETORNADA",L6464="ENTREGA DIGITAL"),0,MAX(0,5-NETWORKDAYS(H6464+1,TODAY()))))</f>
        <v/>
      </c>
      <c r="L6464" t="str">
        <f>IF(A6464="","",IFERROR(LOOKUP(2,1/(#REF!=Z6464),#REF!),Y6464))</f>
        <v/>
      </c>
      <c r="Z6464" t="str">
        <f>IF(A6464="","",TEXT(A6464,"0")&amp;"|"&amp;TEXT(H6464,"0"))</f>
        <v/>
      </c>
      <c r="AA6464" t="str">
        <f>IF(Z6464="","",IFERROR(LOOKUP(2,1/(#REF!=Z6464),#REF!),""))</f>
        <v/>
      </c>
      <c r="AB6464" t="str">
        <f>IF(Z6464="","",IFERROR(LOOKUP(2,1/(#REF!=Z6464),#REF!),""))</f>
        <v/>
      </c>
      <c r="AC6464" t="str">
        <f>IF(Z6464="","",COUNTIF(#REF!,Z6464))</f>
        <v/>
      </c>
      <c r="AD6464" t="str">
        <f>IF(A6464="","",IF(AC6464&gt;1,"REVISAR DUPLICADO",IF(AA6464&lt;&gt;"","ACTUALIZADO POR EYR","SIN REPORTE EYR")))</f>
        <v/>
      </c>
    </row>
    <row r="6465" spans="11:30" x14ac:dyDescent="0.3">
      <c r="K6465" s="1" t="str">
        <f ca="1">IF(A6465="","",IF(OR(L6465="ENTREGADA",L6465="RETORNADA",L6465="ENTREGA DIGITAL"),0,MAX(0,5-NETWORKDAYS(H6465+1,TODAY()))))</f>
        <v/>
      </c>
      <c r="L6465" t="str">
        <f>IF(A6465="","",IFERROR(LOOKUP(2,1/(#REF!=Z6465),#REF!),Y6465))</f>
        <v/>
      </c>
      <c r="Z6465" t="str">
        <f>IF(A6465="","",TEXT(A6465,"0")&amp;"|"&amp;TEXT(H6465,"0"))</f>
        <v/>
      </c>
      <c r="AA6465" t="str">
        <f>IF(Z6465="","",IFERROR(LOOKUP(2,1/(#REF!=Z6465),#REF!),""))</f>
        <v/>
      </c>
      <c r="AB6465" t="str">
        <f>IF(Z6465="","",IFERROR(LOOKUP(2,1/(#REF!=Z6465),#REF!),""))</f>
        <v/>
      </c>
      <c r="AC6465" t="str">
        <f>IF(Z6465="","",COUNTIF(#REF!,Z6465))</f>
        <v/>
      </c>
      <c r="AD6465" t="str">
        <f>IF(A6465="","",IF(AC6465&gt;1,"REVISAR DUPLICADO",IF(AA6465&lt;&gt;"","ACTUALIZADO POR EYR","SIN REPORTE EYR")))</f>
        <v/>
      </c>
    </row>
    <row r="6466" spans="11:30" x14ac:dyDescent="0.3">
      <c r="K6466" s="1" t="str">
        <f ca="1">IF(A6466="","",IF(OR(L6466="ENTREGADA",L6466="RETORNADA",L6466="ENTREGA DIGITAL"),0,MAX(0,5-NETWORKDAYS(H6466+1,TODAY()))))</f>
        <v/>
      </c>
      <c r="L6466" t="str">
        <f>IF(A6466="","",IFERROR(LOOKUP(2,1/(#REF!=Z6466),#REF!),Y6466))</f>
        <v/>
      </c>
      <c r="Z6466" t="str">
        <f>IF(A6466="","",TEXT(A6466,"0")&amp;"|"&amp;TEXT(H6466,"0"))</f>
        <v/>
      </c>
      <c r="AA6466" t="str">
        <f>IF(Z6466="","",IFERROR(LOOKUP(2,1/(#REF!=Z6466),#REF!),""))</f>
        <v/>
      </c>
      <c r="AB6466" t="str">
        <f>IF(Z6466="","",IFERROR(LOOKUP(2,1/(#REF!=Z6466),#REF!),""))</f>
        <v/>
      </c>
      <c r="AC6466" t="str">
        <f>IF(Z6466="","",COUNTIF(#REF!,Z6466))</f>
        <v/>
      </c>
      <c r="AD6466" t="str">
        <f>IF(A6466="","",IF(AC6466&gt;1,"REVISAR DUPLICADO",IF(AA6466&lt;&gt;"","ACTUALIZADO POR EYR","SIN REPORTE EYR")))</f>
        <v/>
      </c>
    </row>
    <row r="6467" spans="11:30" x14ac:dyDescent="0.3">
      <c r="K6467" s="1" t="str">
        <f ca="1">IF(A6467="","",IF(OR(L6467="ENTREGADA",L6467="RETORNADA",L6467="ENTREGA DIGITAL"),0,MAX(0,5-NETWORKDAYS(H6467+1,TODAY()))))</f>
        <v/>
      </c>
      <c r="L6467" t="str">
        <f>IF(A6467="","",IFERROR(LOOKUP(2,1/(#REF!=Z6467),#REF!),Y6467))</f>
        <v/>
      </c>
      <c r="Z6467" t="str">
        <f>IF(A6467="","",TEXT(A6467,"0")&amp;"|"&amp;TEXT(H6467,"0"))</f>
        <v/>
      </c>
      <c r="AA6467" t="str">
        <f>IF(Z6467="","",IFERROR(LOOKUP(2,1/(#REF!=Z6467),#REF!),""))</f>
        <v/>
      </c>
      <c r="AB6467" t="str">
        <f>IF(Z6467="","",IFERROR(LOOKUP(2,1/(#REF!=Z6467),#REF!),""))</f>
        <v/>
      </c>
      <c r="AC6467" t="str">
        <f>IF(Z6467="","",COUNTIF(#REF!,Z6467))</f>
        <v/>
      </c>
      <c r="AD6467" t="str">
        <f>IF(A6467="","",IF(AC6467&gt;1,"REVISAR DUPLICADO",IF(AA6467&lt;&gt;"","ACTUALIZADO POR EYR","SIN REPORTE EYR")))</f>
        <v/>
      </c>
    </row>
    <row r="6468" spans="11:30" x14ac:dyDescent="0.3">
      <c r="K6468" s="1" t="str">
        <f ca="1">IF(A6468="","",IF(OR(L6468="ENTREGADA",L6468="RETORNADA",L6468="ENTREGA DIGITAL"),0,MAX(0,5-NETWORKDAYS(H6468+1,TODAY()))))</f>
        <v/>
      </c>
      <c r="L6468" t="str">
        <f>IF(A6468="","",IFERROR(LOOKUP(2,1/(#REF!=Z6468),#REF!),Y6468))</f>
        <v/>
      </c>
      <c r="Z6468" t="str">
        <f>IF(A6468="","",TEXT(A6468,"0")&amp;"|"&amp;TEXT(H6468,"0"))</f>
        <v/>
      </c>
      <c r="AA6468" t="str">
        <f>IF(Z6468="","",IFERROR(LOOKUP(2,1/(#REF!=Z6468),#REF!),""))</f>
        <v/>
      </c>
      <c r="AB6468" t="str">
        <f>IF(Z6468="","",IFERROR(LOOKUP(2,1/(#REF!=Z6468),#REF!),""))</f>
        <v/>
      </c>
      <c r="AC6468" t="str">
        <f>IF(Z6468="","",COUNTIF(#REF!,Z6468))</f>
        <v/>
      </c>
      <c r="AD6468" t="str">
        <f>IF(A6468="","",IF(AC6468&gt;1,"REVISAR DUPLICADO",IF(AA6468&lt;&gt;"","ACTUALIZADO POR EYR","SIN REPORTE EYR")))</f>
        <v/>
      </c>
    </row>
    <row r="6469" spans="11:30" x14ac:dyDescent="0.3">
      <c r="K6469" s="1" t="str">
        <f ca="1">IF(A6469="","",IF(OR(L6469="ENTREGADA",L6469="RETORNADA",L6469="ENTREGA DIGITAL"),0,MAX(0,5-NETWORKDAYS(H6469+1,TODAY()))))</f>
        <v/>
      </c>
      <c r="L6469" t="str">
        <f>IF(A6469="","",IFERROR(LOOKUP(2,1/(#REF!=Z6469),#REF!),Y6469))</f>
        <v/>
      </c>
      <c r="Z6469" t="str">
        <f>IF(A6469="","",TEXT(A6469,"0")&amp;"|"&amp;TEXT(H6469,"0"))</f>
        <v/>
      </c>
      <c r="AA6469" t="str">
        <f>IF(Z6469="","",IFERROR(LOOKUP(2,1/(#REF!=Z6469),#REF!),""))</f>
        <v/>
      </c>
      <c r="AB6469" t="str">
        <f>IF(Z6469="","",IFERROR(LOOKUP(2,1/(#REF!=Z6469),#REF!),""))</f>
        <v/>
      </c>
      <c r="AC6469" t="str">
        <f>IF(Z6469="","",COUNTIF(#REF!,Z6469))</f>
        <v/>
      </c>
      <c r="AD6469" t="str">
        <f>IF(A6469="","",IF(AC6469&gt;1,"REVISAR DUPLICADO",IF(AA6469&lt;&gt;"","ACTUALIZADO POR EYR","SIN REPORTE EYR")))</f>
        <v/>
      </c>
    </row>
    <row r="6470" spans="11:30" x14ac:dyDescent="0.3">
      <c r="K6470" s="1" t="str">
        <f ca="1">IF(A6470="","",IF(OR(L6470="ENTREGADA",L6470="RETORNADA",L6470="ENTREGA DIGITAL"),0,MAX(0,5-NETWORKDAYS(H6470+1,TODAY()))))</f>
        <v/>
      </c>
      <c r="L6470" t="str">
        <f>IF(A6470="","",IFERROR(LOOKUP(2,1/(#REF!=Z6470),#REF!),Y6470))</f>
        <v/>
      </c>
      <c r="Z6470" t="str">
        <f>IF(A6470="","",TEXT(A6470,"0")&amp;"|"&amp;TEXT(H6470,"0"))</f>
        <v/>
      </c>
      <c r="AA6470" t="str">
        <f>IF(Z6470="","",IFERROR(LOOKUP(2,1/(#REF!=Z6470),#REF!),""))</f>
        <v/>
      </c>
      <c r="AB6470" t="str">
        <f>IF(Z6470="","",IFERROR(LOOKUP(2,1/(#REF!=Z6470),#REF!),""))</f>
        <v/>
      </c>
      <c r="AC6470" t="str">
        <f>IF(Z6470="","",COUNTIF(#REF!,Z6470))</f>
        <v/>
      </c>
      <c r="AD6470" t="str">
        <f>IF(A6470="","",IF(AC6470&gt;1,"REVISAR DUPLICADO",IF(AA6470&lt;&gt;"","ACTUALIZADO POR EYR","SIN REPORTE EYR")))</f>
        <v/>
      </c>
    </row>
    <row r="6471" spans="11:30" x14ac:dyDescent="0.3">
      <c r="K6471" s="1" t="str">
        <f ca="1">IF(A6471="","",IF(OR(L6471="ENTREGADA",L6471="RETORNADA",L6471="ENTREGA DIGITAL"),0,MAX(0,5-NETWORKDAYS(H6471+1,TODAY()))))</f>
        <v/>
      </c>
      <c r="L6471" t="str">
        <f>IF(A6471="","",IFERROR(LOOKUP(2,1/(#REF!=Z6471),#REF!),Y6471))</f>
        <v/>
      </c>
      <c r="Z6471" t="str">
        <f>IF(A6471="","",TEXT(A6471,"0")&amp;"|"&amp;TEXT(H6471,"0"))</f>
        <v/>
      </c>
      <c r="AA6471" t="str">
        <f>IF(Z6471="","",IFERROR(LOOKUP(2,1/(#REF!=Z6471),#REF!),""))</f>
        <v/>
      </c>
      <c r="AB6471" t="str">
        <f>IF(Z6471="","",IFERROR(LOOKUP(2,1/(#REF!=Z6471),#REF!),""))</f>
        <v/>
      </c>
      <c r="AC6471" t="str">
        <f>IF(Z6471="","",COUNTIF(#REF!,Z6471))</f>
        <v/>
      </c>
      <c r="AD6471" t="str">
        <f>IF(A6471="","",IF(AC6471&gt;1,"REVISAR DUPLICADO",IF(AA6471&lt;&gt;"","ACTUALIZADO POR EYR","SIN REPORTE EYR")))</f>
        <v/>
      </c>
    </row>
    <row r="6472" spans="11:30" x14ac:dyDescent="0.3">
      <c r="K6472" s="1" t="str">
        <f ca="1">IF(A6472="","",IF(OR(L6472="ENTREGADA",L6472="RETORNADA",L6472="ENTREGA DIGITAL"),0,MAX(0,5-NETWORKDAYS(H6472+1,TODAY()))))</f>
        <v/>
      </c>
      <c r="L6472" t="str">
        <f>IF(A6472="","",IFERROR(LOOKUP(2,1/(#REF!=Z6472),#REF!),Y6472))</f>
        <v/>
      </c>
      <c r="Z6472" t="str">
        <f>IF(A6472="","",TEXT(A6472,"0")&amp;"|"&amp;TEXT(H6472,"0"))</f>
        <v/>
      </c>
      <c r="AA6472" t="str">
        <f>IF(Z6472="","",IFERROR(LOOKUP(2,1/(#REF!=Z6472),#REF!),""))</f>
        <v/>
      </c>
      <c r="AB6472" t="str">
        <f>IF(Z6472="","",IFERROR(LOOKUP(2,1/(#REF!=Z6472),#REF!),""))</f>
        <v/>
      </c>
      <c r="AC6472" t="str">
        <f>IF(Z6472="","",COUNTIF(#REF!,Z6472))</f>
        <v/>
      </c>
      <c r="AD6472" t="str">
        <f>IF(A6472="","",IF(AC6472&gt;1,"REVISAR DUPLICADO",IF(AA6472&lt;&gt;"","ACTUALIZADO POR EYR","SIN REPORTE EYR")))</f>
        <v/>
      </c>
    </row>
    <row r="6473" spans="11:30" x14ac:dyDescent="0.3">
      <c r="K6473" s="1" t="str">
        <f ca="1">IF(A6473="","",IF(OR(L6473="ENTREGADA",L6473="RETORNADA",L6473="ENTREGA DIGITAL"),0,MAX(0,5-NETWORKDAYS(H6473+1,TODAY()))))</f>
        <v/>
      </c>
      <c r="L6473" t="str">
        <f>IF(A6473="","",IFERROR(LOOKUP(2,1/(#REF!=Z6473),#REF!),Y6473))</f>
        <v/>
      </c>
      <c r="Z6473" t="str">
        <f>IF(A6473="","",TEXT(A6473,"0")&amp;"|"&amp;TEXT(H6473,"0"))</f>
        <v/>
      </c>
      <c r="AA6473" t="str">
        <f>IF(Z6473="","",IFERROR(LOOKUP(2,1/(#REF!=Z6473),#REF!),""))</f>
        <v/>
      </c>
      <c r="AB6473" t="str">
        <f>IF(Z6473="","",IFERROR(LOOKUP(2,1/(#REF!=Z6473),#REF!),""))</f>
        <v/>
      </c>
      <c r="AC6473" t="str">
        <f>IF(Z6473="","",COUNTIF(#REF!,Z6473))</f>
        <v/>
      </c>
      <c r="AD6473" t="str">
        <f>IF(A6473="","",IF(AC6473&gt;1,"REVISAR DUPLICADO",IF(AA6473&lt;&gt;"","ACTUALIZADO POR EYR","SIN REPORTE EYR")))</f>
        <v/>
      </c>
    </row>
    <row r="6474" spans="11:30" x14ac:dyDescent="0.3">
      <c r="K6474" s="1" t="str">
        <f ca="1">IF(A6474="","",IF(OR(L6474="ENTREGADA",L6474="RETORNADA",L6474="ENTREGA DIGITAL"),0,MAX(0,5-NETWORKDAYS(H6474+1,TODAY()))))</f>
        <v/>
      </c>
      <c r="L6474" t="str">
        <f>IF(A6474="","",IFERROR(LOOKUP(2,1/(#REF!=Z6474),#REF!),Y6474))</f>
        <v/>
      </c>
      <c r="Z6474" t="str">
        <f>IF(A6474="","",TEXT(A6474,"0")&amp;"|"&amp;TEXT(H6474,"0"))</f>
        <v/>
      </c>
      <c r="AA6474" t="str">
        <f>IF(Z6474="","",IFERROR(LOOKUP(2,1/(#REF!=Z6474),#REF!),""))</f>
        <v/>
      </c>
      <c r="AB6474" t="str">
        <f>IF(Z6474="","",IFERROR(LOOKUP(2,1/(#REF!=Z6474),#REF!),""))</f>
        <v/>
      </c>
      <c r="AC6474" t="str">
        <f>IF(Z6474="","",COUNTIF(#REF!,Z6474))</f>
        <v/>
      </c>
      <c r="AD6474" t="str">
        <f>IF(A6474="","",IF(AC6474&gt;1,"REVISAR DUPLICADO",IF(AA6474&lt;&gt;"","ACTUALIZADO POR EYR","SIN REPORTE EYR")))</f>
        <v/>
      </c>
    </row>
    <row r="6475" spans="11:30" x14ac:dyDescent="0.3">
      <c r="K6475" s="1" t="str">
        <f ca="1">IF(A6475="","",IF(OR(L6475="ENTREGADA",L6475="RETORNADA",L6475="ENTREGA DIGITAL"),0,MAX(0,5-NETWORKDAYS(H6475+1,TODAY()))))</f>
        <v/>
      </c>
      <c r="L6475" t="str">
        <f>IF(A6475="","",IFERROR(LOOKUP(2,1/(#REF!=Z6475),#REF!),Y6475))</f>
        <v/>
      </c>
      <c r="Z6475" t="str">
        <f>IF(A6475="","",TEXT(A6475,"0")&amp;"|"&amp;TEXT(H6475,"0"))</f>
        <v/>
      </c>
      <c r="AA6475" t="str">
        <f>IF(Z6475="","",IFERROR(LOOKUP(2,1/(#REF!=Z6475),#REF!),""))</f>
        <v/>
      </c>
      <c r="AB6475" t="str">
        <f>IF(Z6475="","",IFERROR(LOOKUP(2,1/(#REF!=Z6475),#REF!),""))</f>
        <v/>
      </c>
      <c r="AC6475" t="str">
        <f>IF(Z6475="","",COUNTIF(#REF!,Z6475))</f>
        <v/>
      </c>
      <c r="AD6475" t="str">
        <f>IF(A6475="","",IF(AC6475&gt;1,"REVISAR DUPLICADO",IF(AA6475&lt;&gt;"","ACTUALIZADO POR EYR","SIN REPORTE EYR")))</f>
        <v/>
      </c>
    </row>
    <row r="6476" spans="11:30" x14ac:dyDescent="0.3">
      <c r="K6476" s="1" t="str">
        <f ca="1">IF(A6476="","",IF(OR(L6476="ENTREGADA",L6476="RETORNADA",L6476="ENTREGA DIGITAL"),0,MAX(0,5-NETWORKDAYS(H6476+1,TODAY()))))</f>
        <v/>
      </c>
      <c r="L6476" t="str">
        <f>IF(A6476="","",IFERROR(LOOKUP(2,1/(#REF!=Z6476),#REF!),Y6476))</f>
        <v/>
      </c>
      <c r="Z6476" t="str">
        <f>IF(A6476="","",TEXT(A6476,"0")&amp;"|"&amp;TEXT(H6476,"0"))</f>
        <v/>
      </c>
      <c r="AA6476" t="str">
        <f>IF(Z6476="","",IFERROR(LOOKUP(2,1/(#REF!=Z6476),#REF!),""))</f>
        <v/>
      </c>
      <c r="AB6476" t="str">
        <f>IF(Z6476="","",IFERROR(LOOKUP(2,1/(#REF!=Z6476),#REF!),""))</f>
        <v/>
      </c>
      <c r="AC6476" t="str">
        <f>IF(Z6476="","",COUNTIF(#REF!,Z6476))</f>
        <v/>
      </c>
      <c r="AD6476" t="str">
        <f>IF(A6476="","",IF(AC6476&gt;1,"REVISAR DUPLICADO",IF(AA6476&lt;&gt;"","ACTUALIZADO POR EYR","SIN REPORTE EYR")))</f>
        <v/>
      </c>
    </row>
    <row r="6477" spans="11:30" x14ac:dyDescent="0.3">
      <c r="K6477" s="1" t="str">
        <f ca="1">IF(A6477="","",IF(OR(L6477="ENTREGADA",L6477="RETORNADA",L6477="ENTREGA DIGITAL"),0,MAX(0,5-NETWORKDAYS(H6477+1,TODAY()))))</f>
        <v/>
      </c>
      <c r="L6477" t="str">
        <f>IF(A6477="","",IFERROR(LOOKUP(2,1/(#REF!=Z6477),#REF!),Y6477))</f>
        <v/>
      </c>
      <c r="Z6477" t="str">
        <f>IF(A6477="","",TEXT(A6477,"0")&amp;"|"&amp;TEXT(H6477,"0"))</f>
        <v/>
      </c>
      <c r="AA6477" t="str">
        <f>IF(Z6477="","",IFERROR(LOOKUP(2,1/(#REF!=Z6477),#REF!),""))</f>
        <v/>
      </c>
      <c r="AB6477" t="str">
        <f>IF(Z6477="","",IFERROR(LOOKUP(2,1/(#REF!=Z6477),#REF!),""))</f>
        <v/>
      </c>
      <c r="AC6477" t="str">
        <f>IF(Z6477="","",COUNTIF(#REF!,Z6477))</f>
        <v/>
      </c>
      <c r="AD6477" t="str">
        <f>IF(A6477="","",IF(AC6477&gt;1,"REVISAR DUPLICADO",IF(AA6477&lt;&gt;"","ACTUALIZADO POR EYR","SIN REPORTE EYR")))</f>
        <v/>
      </c>
    </row>
    <row r="6478" spans="11:30" x14ac:dyDescent="0.3">
      <c r="K6478" s="1" t="str">
        <f ca="1">IF(A6478="","",IF(OR(L6478="ENTREGADA",L6478="RETORNADA",L6478="ENTREGA DIGITAL"),0,MAX(0,5-NETWORKDAYS(H6478+1,TODAY()))))</f>
        <v/>
      </c>
      <c r="L6478" t="str">
        <f>IF(A6478="","",IFERROR(LOOKUP(2,1/(#REF!=Z6478),#REF!),Y6478))</f>
        <v/>
      </c>
      <c r="Z6478" t="str">
        <f>IF(A6478="","",TEXT(A6478,"0")&amp;"|"&amp;TEXT(H6478,"0"))</f>
        <v/>
      </c>
      <c r="AA6478" t="str">
        <f>IF(Z6478="","",IFERROR(LOOKUP(2,1/(#REF!=Z6478),#REF!),""))</f>
        <v/>
      </c>
      <c r="AB6478" t="str">
        <f>IF(Z6478="","",IFERROR(LOOKUP(2,1/(#REF!=Z6478),#REF!),""))</f>
        <v/>
      </c>
      <c r="AC6478" t="str">
        <f>IF(Z6478="","",COUNTIF(#REF!,Z6478))</f>
        <v/>
      </c>
      <c r="AD6478" t="str">
        <f>IF(A6478="","",IF(AC6478&gt;1,"REVISAR DUPLICADO",IF(AA6478&lt;&gt;"","ACTUALIZADO POR EYR","SIN REPORTE EYR")))</f>
        <v/>
      </c>
    </row>
    <row r="6479" spans="11:30" x14ac:dyDescent="0.3">
      <c r="K6479" s="1" t="str">
        <f ca="1">IF(A6479="","",IF(OR(L6479="ENTREGADA",L6479="RETORNADA",L6479="ENTREGA DIGITAL"),0,MAX(0,5-NETWORKDAYS(H6479+1,TODAY()))))</f>
        <v/>
      </c>
      <c r="L6479" t="str">
        <f>IF(A6479="","",IFERROR(LOOKUP(2,1/(#REF!=Z6479),#REF!),Y6479))</f>
        <v/>
      </c>
      <c r="Z6479" t="str">
        <f>IF(A6479="","",TEXT(A6479,"0")&amp;"|"&amp;TEXT(H6479,"0"))</f>
        <v/>
      </c>
      <c r="AA6479" t="str">
        <f>IF(Z6479="","",IFERROR(LOOKUP(2,1/(#REF!=Z6479),#REF!),""))</f>
        <v/>
      </c>
      <c r="AB6479" t="str">
        <f>IF(Z6479="","",IFERROR(LOOKUP(2,1/(#REF!=Z6479),#REF!),""))</f>
        <v/>
      </c>
      <c r="AC6479" t="str">
        <f>IF(Z6479="","",COUNTIF(#REF!,Z6479))</f>
        <v/>
      </c>
      <c r="AD6479" t="str">
        <f>IF(A6479="","",IF(AC6479&gt;1,"REVISAR DUPLICADO",IF(AA6479&lt;&gt;"","ACTUALIZADO POR EYR","SIN REPORTE EYR")))</f>
        <v/>
      </c>
    </row>
    <row r="6480" spans="11:30" x14ac:dyDescent="0.3">
      <c r="K6480" s="1" t="str">
        <f ca="1">IF(A6480="","",IF(OR(L6480="ENTREGADA",L6480="RETORNADA",L6480="ENTREGA DIGITAL"),0,MAX(0,5-NETWORKDAYS(H6480+1,TODAY()))))</f>
        <v/>
      </c>
      <c r="L6480" t="str">
        <f>IF(A6480="","",IFERROR(LOOKUP(2,1/(#REF!=Z6480),#REF!),Y6480))</f>
        <v/>
      </c>
      <c r="Z6480" t="str">
        <f>IF(A6480="","",TEXT(A6480,"0")&amp;"|"&amp;TEXT(H6480,"0"))</f>
        <v/>
      </c>
      <c r="AA6480" t="str">
        <f>IF(Z6480="","",IFERROR(LOOKUP(2,1/(#REF!=Z6480),#REF!),""))</f>
        <v/>
      </c>
      <c r="AB6480" t="str">
        <f>IF(Z6480="","",IFERROR(LOOKUP(2,1/(#REF!=Z6480),#REF!),""))</f>
        <v/>
      </c>
      <c r="AC6480" t="str">
        <f>IF(Z6480="","",COUNTIF(#REF!,Z6480))</f>
        <v/>
      </c>
      <c r="AD6480" t="str">
        <f>IF(A6480="","",IF(AC6480&gt;1,"REVISAR DUPLICADO",IF(AA6480&lt;&gt;"","ACTUALIZADO POR EYR","SIN REPORTE EYR")))</f>
        <v/>
      </c>
    </row>
    <row r="6481" spans="11:30" x14ac:dyDescent="0.3">
      <c r="K6481" s="1" t="str">
        <f ca="1">IF(A6481="","",IF(OR(L6481="ENTREGADA",L6481="RETORNADA",L6481="ENTREGA DIGITAL"),0,MAX(0,5-NETWORKDAYS(H6481+1,TODAY()))))</f>
        <v/>
      </c>
      <c r="L6481" t="str">
        <f>IF(A6481="","",IFERROR(LOOKUP(2,1/(#REF!=Z6481),#REF!),Y6481))</f>
        <v/>
      </c>
      <c r="Z6481" t="str">
        <f>IF(A6481="","",TEXT(A6481,"0")&amp;"|"&amp;TEXT(H6481,"0"))</f>
        <v/>
      </c>
      <c r="AA6481" t="str">
        <f>IF(Z6481="","",IFERROR(LOOKUP(2,1/(#REF!=Z6481),#REF!),""))</f>
        <v/>
      </c>
      <c r="AB6481" t="str">
        <f>IF(Z6481="","",IFERROR(LOOKUP(2,1/(#REF!=Z6481),#REF!),""))</f>
        <v/>
      </c>
      <c r="AC6481" t="str">
        <f>IF(Z6481="","",COUNTIF(#REF!,Z6481))</f>
        <v/>
      </c>
      <c r="AD6481" t="str">
        <f>IF(A6481="","",IF(AC6481&gt;1,"REVISAR DUPLICADO",IF(AA6481&lt;&gt;"","ACTUALIZADO POR EYR","SIN REPORTE EYR")))</f>
        <v/>
      </c>
    </row>
    <row r="6482" spans="11:30" x14ac:dyDescent="0.3">
      <c r="K6482" s="1" t="str">
        <f ca="1">IF(A6482="","",IF(OR(L6482="ENTREGADA",L6482="RETORNADA",L6482="ENTREGA DIGITAL"),0,MAX(0,5-NETWORKDAYS(H6482+1,TODAY()))))</f>
        <v/>
      </c>
      <c r="L6482" t="str">
        <f>IF(A6482="","",IFERROR(LOOKUP(2,1/(#REF!=Z6482),#REF!),Y6482))</f>
        <v/>
      </c>
      <c r="Z6482" t="str">
        <f>IF(A6482="","",TEXT(A6482,"0")&amp;"|"&amp;TEXT(H6482,"0"))</f>
        <v/>
      </c>
      <c r="AA6482" t="str">
        <f>IF(Z6482="","",IFERROR(LOOKUP(2,1/(#REF!=Z6482),#REF!),""))</f>
        <v/>
      </c>
      <c r="AB6482" t="str">
        <f>IF(Z6482="","",IFERROR(LOOKUP(2,1/(#REF!=Z6482),#REF!),""))</f>
        <v/>
      </c>
      <c r="AC6482" t="str">
        <f>IF(Z6482="","",COUNTIF(#REF!,Z6482))</f>
        <v/>
      </c>
      <c r="AD6482" t="str">
        <f>IF(A6482="","",IF(AC6482&gt;1,"REVISAR DUPLICADO",IF(AA6482&lt;&gt;"","ACTUALIZADO POR EYR","SIN REPORTE EYR")))</f>
        <v/>
      </c>
    </row>
    <row r="6483" spans="11:30" x14ac:dyDescent="0.3">
      <c r="K6483" s="1" t="str">
        <f ca="1">IF(A6483="","",IF(OR(L6483="ENTREGADA",L6483="RETORNADA",L6483="ENTREGA DIGITAL"),0,MAX(0,5-NETWORKDAYS(H6483+1,TODAY()))))</f>
        <v/>
      </c>
      <c r="L6483" t="str">
        <f>IF(A6483="","",IFERROR(LOOKUP(2,1/(#REF!=Z6483),#REF!),Y6483))</f>
        <v/>
      </c>
      <c r="Z6483" t="str">
        <f>IF(A6483="","",TEXT(A6483,"0")&amp;"|"&amp;TEXT(H6483,"0"))</f>
        <v/>
      </c>
      <c r="AA6483" t="str">
        <f>IF(Z6483="","",IFERROR(LOOKUP(2,1/(#REF!=Z6483),#REF!),""))</f>
        <v/>
      </c>
      <c r="AB6483" t="str">
        <f>IF(Z6483="","",IFERROR(LOOKUP(2,1/(#REF!=Z6483),#REF!),""))</f>
        <v/>
      </c>
      <c r="AC6483" t="str">
        <f>IF(Z6483="","",COUNTIF(#REF!,Z6483))</f>
        <v/>
      </c>
      <c r="AD6483" t="str">
        <f>IF(A6483="","",IF(AC6483&gt;1,"REVISAR DUPLICADO",IF(AA6483&lt;&gt;"","ACTUALIZADO POR EYR","SIN REPORTE EYR")))</f>
        <v/>
      </c>
    </row>
    <row r="6484" spans="11:30" x14ac:dyDescent="0.3">
      <c r="K6484" s="1" t="str">
        <f ca="1">IF(A6484="","",IF(OR(L6484="ENTREGADA",L6484="RETORNADA",L6484="ENTREGA DIGITAL"),0,MAX(0,5-NETWORKDAYS(H6484+1,TODAY()))))</f>
        <v/>
      </c>
      <c r="L6484" t="str">
        <f>IF(A6484="","",IFERROR(LOOKUP(2,1/(#REF!=Z6484),#REF!),Y6484))</f>
        <v/>
      </c>
      <c r="Z6484" t="str">
        <f>IF(A6484="","",TEXT(A6484,"0")&amp;"|"&amp;TEXT(H6484,"0"))</f>
        <v/>
      </c>
      <c r="AA6484" t="str">
        <f>IF(Z6484="","",IFERROR(LOOKUP(2,1/(#REF!=Z6484),#REF!),""))</f>
        <v/>
      </c>
      <c r="AB6484" t="str">
        <f>IF(Z6484="","",IFERROR(LOOKUP(2,1/(#REF!=Z6484),#REF!),""))</f>
        <v/>
      </c>
      <c r="AC6484" t="str">
        <f>IF(Z6484="","",COUNTIF(#REF!,Z6484))</f>
        <v/>
      </c>
      <c r="AD6484" t="str">
        <f>IF(A6484="","",IF(AC6484&gt;1,"REVISAR DUPLICADO",IF(AA6484&lt;&gt;"","ACTUALIZADO POR EYR","SIN REPORTE EYR")))</f>
        <v/>
      </c>
    </row>
    <row r="6485" spans="11:30" x14ac:dyDescent="0.3">
      <c r="K6485" s="1" t="str">
        <f ca="1">IF(A6485="","",IF(OR(L6485="ENTREGADA",L6485="RETORNADA",L6485="ENTREGA DIGITAL"),0,MAX(0,5-NETWORKDAYS(H6485+1,TODAY()))))</f>
        <v/>
      </c>
      <c r="L6485" t="str">
        <f>IF(A6485="","",IFERROR(LOOKUP(2,1/(#REF!=Z6485),#REF!),Y6485))</f>
        <v/>
      </c>
      <c r="Z6485" t="str">
        <f>IF(A6485="","",TEXT(A6485,"0")&amp;"|"&amp;TEXT(H6485,"0"))</f>
        <v/>
      </c>
      <c r="AA6485" t="str">
        <f>IF(Z6485="","",IFERROR(LOOKUP(2,1/(#REF!=Z6485),#REF!),""))</f>
        <v/>
      </c>
      <c r="AB6485" t="str">
        <f>IF(Z6485="","",IFERROR(LOOKUP(2,1/(#REF!=Z6485),#REF!),""))</f>
        <v/>
      </c>
      <c r="AC6485" t="str">
        <f>IF(Z6485="","",COUNTIF(#REF!,Z6485))</f>
        <v/>
      </c>
      <c r="AD6485" t="str">
        <f>IF(A6485="","",IF(AC6485&gt;1,"REVISAR DUPLICADO",IF(AA6485&lt;&gt;"","ACTUALIZADO POR EYR","SIN REPORTE EYR")))</f>
        <v/>
      </c>
    </row>
    <row r="6486" spans="11:30" x14ac:dyDescent="0.3">
      <c r="K6486" s="1" t="str">
        <f ca="1">IF(A6486="","",IF(OR(L6486="ENTREGADA",L6486="RETORNADA",L6486="ENTREGA DIGITAL"),0,MAX(0,5-NETWORKDAYS(H6486+1,TODAY()))))</f>
        <v/>
      </c>
      <c r="L6486" t="str">
        <f>IF(A6486="","",IFERROR(LOOKUP(2,1/(#REF!=Z6486),#REF!),Y6486))</f>
        <v/>
      </c>
      <c r="Z6486" t="str">
        <f>IF(A6486="","",TEXT(A6486,"0")&amp;"|"&amp;TEXT(H6486,"0"))</f>
        <v/>
      </c>
      <c r="AA6486" t="str">
        <f>IF(Z6486="","",IFERROR(LOOKUP(2,1/(#REF!=Z6486),#REF!),""))</f>
        <v/>
      </c>
      <c r="AB6486" t="str">
        <f>IF(Z6486="","",IFERROR(LOOKUP(2,1/(#REF!=Z6486),#REF!),""))</f>
        <v/>
      </c>
      <c r="AC6486" t="str">
        <f>IF(Z6486="","",COUNTIF(#REF!,Z6486))</f>
        <v/>
      </c>
      <c r="AD6486" t="str">
        <f>IF(A6486="","",IF(AC6486&gt;1,"REVISAR DUPLICADO",IF(AA6486&lt;&gt;"","ACTUALIZADO POR EYR","SIN REPORTE EYR")))</f>
        <v/>
      </c>
    </row>
    <row r="6487" spans="11:30" x14ac:dyDescent="0.3">
      <c r="K6487" s="1" t="str">
        <f ca="1">IF(A6487="","",IF(OR(L6487="ENTREGADA",L6487="RETORNADA",L6487="ENTREGA DIGITAL"),0,MAX(0,5-NETWORKDAYS(H6487+1,TODAY()))))</f>
        <v/>
      </c>
      <c r="L6487" t="str">
        <f>IF(A6487="","",IFERROR(LOOKUP(2,1/(#REF!=Z6487),#REF!),Y6487))</f>
        <v/>
      </c>
      <c r="Z6487" t="str">
        <f>IF(A6487="","",TEXT(A6487,"0")&amp;"|"&amp;TEXT(H6487,"0"))</f>
        <v/>
      </c>
      <c r="AA6487" t="str">
        <f>IF(Z6487="","",IFERROR(LOOKUP(2,1/(#REF!=Z6487),#REF!),""))</f>
        <v/>
      </c>
      <c r="AB6487" t="str">
        <f>IF(Z6487="","",IFERROR(LOOKUP(2,1/(#REF!=Z6487),#REF!),""))</f>
        <v/>
      </c>
      <c r="AC6487" t="str">
        <f>IF(Z6487="","",COUNTIF(#REF!,Z6487))</f>
        <v/>
      </c>
      <c r="AD6487" t="str">
        <f>IF(A6487="","",IF(AC6487&gt;1,"REVISAR DUPLICADO",IF(AA6487&lt;&gt;"","ACTUALIZADO POR EYR","SIN REPORTE EYR")))</f>
        <v/>
      </c>
    </row>
    <row r="6488" spans="11:30" x14ac:dyDescent="0.3">
      <c r="K6488" s="1" t="str">
        <f ca="1">IF(A6488="","",IF(OR(L6488="ENTREGADA",L6488="RETORNADA",L6488="ENTREGA DIGITAL"),0,MAX(0,5-NETWORKDAYS(H6488+1,TODAY()))))</f>
        <v/>
      </c>
      <c r="L6488" t="str">
        <f>IF(A6488="","",IFERROR(LOOKUP(2,1/(#REF!=Z6488),#REF!),Y6488))</f>
        <v/>
      </c>
      <c r="Z6488" t="str">
        <f>IF(A6488="","",TEXT(A6488,"0")&amp;"|"&amp;TEXT(H6488,"0"))</f>
        <v/>
      </c>
      <c r="AA6488" t="str">
        <f>IF(Z6488="","",IFERROR(LOOKUP(2,1/(#REF!=Z6488),#REF!),""))</f>
        <v/>
      </c>
      <c r="AB6488" t="str">
        <f>IF(Z6488="","",IFERROR(LOOKUP(2,1/(#REF!=Z6488),#REF!),""))</f>
        <v/>
      </c>
      <c r="AC6488" t="str">
        <f>IF(Z6488="","",COUNTIF(#REF!,Z6488))</f>
        <v/>
      </c>
      <c r="AD6488" t="str">
        <f>IF(A6488="","",IF(AC6488&gt;1,"REVISAR DUPLICADO",IF(AA6488&lt;&gt;"","ACTUALIZADO POR EYR","SIN REPORTE EYR")))</f>
        <v/>
      </c>
    </row>
    <row r="6489" spans="11:30" x14ac:dyDescent="0.3">
      <c r="K6489" s="1" t="str">
        <f ca="1">IF(A6489="","",IF(OR(L6489="ENTREGADA",L6489="RETORNADA",L6489="ENTREGA DIGITAL"),0,MAX(0,5-NETWORKDAYS(H6489+1,TODAY()))))</f>
        <v/>
      </c>
      <c r="L6489" t="str">
        <f>IF(A6489="","",IFERROR(LOOKUP(2,1/(#REF!=Z6489),#REF!),Y6489))</f>
        <v/>
      </c>
      <c r="Z6489" t="str">
        <f>IF(A6489="","",TEXT(A6489,"0")&amp;"|"&amp;TEXT(H6489,"0"))</f>
        <v/>
      </c>
      <c r="AA6489" t="str">
        <f>IF(Z6489="","",IFERROR(LOOKUP(2,1/(#REF!=Z6489),#REF!),""))</f>
        <v/>
      </c>
      <c r="AB6489" t="str">
        <f>IF(Z6489="","",IFERROR(LOOKUP(2,1/(#REF!=Z6489),#REF!),""))</f>
        <v/>
      </c>
      <c r="AC6489" t="str">
        <f>IF(Z6489="","",COUNTIF(#REF!,Z6489))</f>
        <v/>
      </c>
      <c r="AD6489" t="str">
        <f>IF(A6489="","",IF(AC6489&gt;1,"REVISAR DUPLICADO",IF(AA6489&lt;&gt;"","ACTUALIZADO POR EYR","SIN REPORTE EYR")))</f>
        <v/>
      </c>
    </row>
    <row r="6490" spans="11:30" x14ac:dyDescent="0.3">
      <c r="K6490" s="1" t="str">
        <f ca="1">IF(A6490="","",IF(OR(L6490="ENTREGADA",L6490="RETORNADA",L6490="ENTREGA DIGITAL"),0,MAX(0,5-NETWORKDAYS(H6490+1,TODAY()))))</f>
        <v/>
      </c>
      <c r="L6490" t="str">
        <f>IF(A6490="","",IFERROR(LOOKUP(2,1/(#REF!=Z6490),#REF!),Y6490))</f>
        <v/>
      </c>
      <c r="Z6490" t="str">
        <f>IF(A6490="","",TEXT(A6490,"0")&amp;"|"&amp;TEXT(H6490,"0"))</f>
        <v/>
      </c>
      <c r="AA6490" t="str">
        <f>IF(Z6490="","",IFERROR(LOOKUP(2,1/(#REF!=Z6490),#REF!),""))</f>
        <v/>
      </c>
      <c r="AB6490" t="str">
        <f>IF(Z6490="","",IFERROR(LOOKUP(2,1/(#REF!=Z6490),#REF!),""))</f>
        <v/>
      </c>
      <c r="AC6490" t="str">
        <f>IF(Z6490="","",COUNTIF(#REF!,Z6490))</f>
        <v/>
      </c>
      <c r="AD6490" t="str">
        <f>IF(A6490="","",IF(AC6490&gt;1,"REVISAR DUPLICADO",IF(AA6490&lt;&gt;"","ACTUALIZADO POR EYR","SIN REPORTE EYR")))</f>
        <v/>
      </c>
    </row>
    <row r="6491" spans="11:30" x14ac:dyDescent="0.3">
      <c r="K6491" s="1" t="str">
        <f ca="1">IF(A6491="","",IF(OR(L6491="ENTREGADA",L6491="RETORNADA",L6491="ENTREGA DIGITAL"),0,MAX(0,5-NETWORKDAYS(H6491+1,TODAY()))))</f>
        <v/>
      </c>
      <c r="L6491" t="str">
        <f>IF(A6491="","",IFERROR(LOOKUP(2,1/(#REF!=Z6491),#REF!),Y6491))</f>
        <v/>
      </c>
      <c r="Z6491" t="str">
        <f>IF(A6491="","",TEXT(A6491,"0")&amp;"|"&amp;TEXT(H6491,"0"))</f>
        <v/>
      </c>
      <c r="AA6491" t="str">
        <f>IF(Z6491="","",IFERROR(LOOKUP(2,1/(#REF!=Z6491),#REF!),""))</f>
        <v/>
      </c>
      <c r="AB6491" t="str">
        <f>IF(Z6491="","",IFERROR(LOOKUP(2,1/(#REF!=Z6491),#REF!),""))</f>
        <v/>
      </c>
      <c r="AC6491" t="str">
        <f>IF(Z6491="","",COUNTIF(#REF!,Z6491))</f>
        <v/>
      </c>
      <c r="AD6491" t="str">
        <f>IF(A6491="","",IF(AC6491&gt;1,"REVISAR DUPLICADO",IF(AA6491&lt;&gt;"","ACTUALIZADO POR EYR","SIN REPORTE EYR")))</f>
        <v/>
      </c>
    </row>
    <row r="6492" spans="11:30" x14ac:dyDescent="0.3">
      <c r="K6492" s="1" t="str">
        <f ca="1">IF(A6492="","",IF(OR(L6492="ENTREGADA",L6492="RETORNADA",L6492="ENTREGA DIGITAL"),0,MAX(0,5-NETWORKDAYS(H6492+1,TODAY()))))</f>
        <v/>
      </c>
      <c r="L6492" t="str">
        <f>IF(A6492="","",IFERROR(LOOKUP(2,1/(#REF!=Z6492),#REF!),Y6492))</f>
        <v/>
      </c>
      <c r="Z6492" t="str">
        <f>IF(A6492="","",TEXT(A6492,"0")&amp;"|"&amp;TEXT(H6492,"0"))</f>
        <v/>
      </c>
      <c r="AA6492" t="str">
        <f>IF(Z6492="","",IFERROR(LOOKUP(2,1/(#REF!=Z6492),#REF!),""))</f>
        <v/>
      </c>
      <c r="AB6492" t="str">
        <f>IF(Z6492="","",IFERROR(LOOKUP(2,1/(#REF!=Z6492),#REF!),""))</f>
        <v/>
      </c>
      <c r="AC6492" t="str">
        <f>IF(Z6492="","",COUNTIF(#REF!,Z6492))</f>
        <v/>
      </c>
      <c r="AD6492" t="str">
        <f>IF(A6492="","",IF(AC6492&gt;1,"REVISAR DUPLICADO",IF(AA6492&lt;&gt;"","ACTUALIZADO POR EYR","SIN REPORTE EYR")))</f>
        <v/>
      </c>
    </row>
    <row r="6493" spans="11:30" x14ac:dyDescent="0.3">
      <c r="K6493" s="1" t="str">
        <f ca="1">IF(A6493="","",IF(OR(L6493="ENTREGADA",L6493="RETORNADA",L6493="ENTREGA DIGITAL"),0,MAX(0,5-NETWORKDAYS(H6493+1,TODAY()))))</f>
        <v/>
      </c>
      <c r="L6493" t="str">
        <f>IF(A6493="","",IFERROR(LOOKUP(2,1/(#REF!=Z6493),#REF!),Y6493))</f>
        <v/>
      </c>
      <c r="Z6493" t="str">
        <f>IF(A6493="","",TEXT(A6493,"0")&amp;"|"&amp;TEXT(H6493,"0"))</f>
        <v/>
      </c>
      <c r="AA6493" t="str">
        <f>IF(Z6493="","",IFERROR(LOOKUP(2,1/(#REF!=Z6493),#REF!),""))</f>
        <v/>
      </c>
      <c r="AB6493" t="str">
        <f>IF(Z6493="","",IFERROR(LOOKUP(2,1/(#REF!=Z6493),#REF!),""))</f>
        <v/>
      </c>
      <c r="AC6493" t="str">
        <f>IF(Z6493="","",COUNTIF(#REF!,Z6493))</f>
        <v/>
      </c>
      <c r="AD6493" t="str">
        <f>IF(A6493="","",IF(AC6493&gt;1,"REVISAR DUPLICADO",IF(AA6493&lt;&gt;"","ACTUALIZADO POR EYR","SIN REPORTE EYR")))</f>
        <v/>
      </c>
    </row>
    <row r="6494" spans="11:30" x14ac:dyDescent="0.3">
      <c r="K6494" s="1" t="str">
        <f ca="1">IF(A6494="","",IF(OR(L6494="ENTREGADA",L6494="RETORNADA",L6494="ENTREGA DIGITAL"),0,MAX(0,5-NETWORKDAYS(H6494+1,TODAY()))))</f>
        <v/>
      </c>
      <c r="L6494" t="str">
        <f>IF(A6494="","",IFERROR(LOOKUP(2,1/(#REF!=Z6494),#REF!),Y6494))</f>
        <v/>
      </c>
      <c r="Z6494" t="str">
        <f>IF(A6494="","",TEXT(A6494,"0")&amp;"|"&amp;TEXT(H6494,"0"))</f>
        <v/>
      </c>
      <c r="AA6494" t="str">
        <f>IF(Z6494="","",IFERROR(LOOKUP(2,1/(#REF!=Z6494),#REF!),""))</f>
        <v/>
      </c>
      <c r="AB6494" t="str">
        <f>IF(Z6494="","",IFERROR(LOOKUP(2,1/(#REF!=Z6494),#REF!),""))</f>
        <v/>
      </c>
      <c r="AC6494" t="str">
        <f>IF(Z6494="","",COUNTIF(#REF!,Z6494))</f>
        <v/>
      </c>
      <c r="AD6494" t="str">
        <f>IF(A6494="","",IF(AC6494&gt;1,"REVISAR DUPLICADO",IF(AA6494&lt;&gt;"","ACTUALIZADO POR EYR","SIN REPORTE EYR")))</f>
        <v/>
      </c>
    </row>
    <row r="6495" spans="11:30" x14ac:dyDescent="0.3">
      <c r="K6495" s="1" t="str">
        <f ca="1">IF(A6495="","",IF(OR(L6495="ENTREGADA",L6495="RETORNADA",L6495="ENTREGA DIGITAL"),0,MAX(0,5-NETWORKDAYS(H6495+1,TODAY()))))</f>
        <v/>
      </c>
      <c r="L6495" t="str">
        <f>IF(A6495="","",IFERROR(LOOKUP(2,1/(#REF!=Z6495),#REF!),Y6495))</f>
        <v/>
      </c>
      <c r="Z6495" t="str">
        <f>IF(A6495="","",TEXT(A6495,"0")&amp;"|"&amp;TEXT(H6495,"0"))</f>
        <v/>
      </c>
      <c r="AA6495" t="str">
        <f>IF(Z6495="","",IFERROR(LOOKUP(2,1/(#REF!=Z6495),#REF!),""))</f>
        <v/>
      </c>
      <c r="AB6495" t="str">
        <f>IF(Z6495="","",IFERROR(LOOKUP(2,1/(#REF!=Z6495),#REF!),""))</f>
        <v/>
      </c>
      <c r="AC6495" t="str">
        <f>IF(Z6495="","",COUNTIF(#REF!,Z6495))</f>
        <v/>
      </c>
      <c r="AD6495" t="str">
        <f>IF(A6495="","",IF(AC6495&gt;1,"REVISAR DUPLICADO",IF(AA6495&lt;&gt;"","ACTUALIZADO POR EYR","SIN REPORTE EYR")))</f>
        <v/>
      </c>
    </row>
    <row r="6496" spans="11:30" x14ac:dyDescent="0.3">
      <c r="K6496" s="1" t="str">
        <f ca="1">IF(A6496="","",IF(OR(L6496="ENTREGADA",L6496="RETORNADA",L6496="ENTREGA DIGITAL"),0,MAX(0,5-NETWORKDAYS(H6496+1,TODAY()))))</f>
        <v/>
      </c>
      <c r="L6496" t="str">
        <f>IF(A6496="","",IFERROR(LOOKUP(2,1/(#REF!=Z6496),#REF!),Y6496))</f>
        <v/>
      </c>
      <c r="Z6496" t="str">
        <f>IF(A6496="","",TEXT(A6496,"0")&amp;"|"&amp;TEXT(H6496,"0"))</f>
        <v/>
      </c>
      <c r="AA6496" t="str">
        <f>IF(Z6496="","",IFERROR(LOOKUP(2,1/(#REF!=Z6496),#REF!),""))</f>
        <v/>
      </c>
      <c r="AB6496" t="str">
        <f>IF(Z6496="","",IFERROR(LOOKUP(2,1/(#REF!=Z6496),#REF!),""))</f>
        <v/>
      </c>
      <c r="AC6496" t="str">
        <f>IF(Z6496="","",COUNTIF(#REF!,Z6496))</f>
        <v/>
      </c>
      <c r="AD6496" t="str">
        <f>IF(A6496="","",IF(AC6496&gt;1,"REVISAR DUPLICADO",IF(AA6496&lt;&gt;"","ACTUALIZADO POR EYR","SIN REPORTE EYR")))</f>
        <v/>
      </c>
    </row>
    <row r="6497" spans="11:30" x14ac:dyDescent="0.3">
      <c r="K6497" s="1" t="str">
        <f ca="1">IF(A6497="","",IF(OR(L6497="ENTREGADA",L6497="RETORNADA",L6497="ENTREGA DIGITAL"),0,MAX(0,5-NETWORKDAYS(H6497+1,TODAY()))))</f>
        <v/>
      </c>
      <c r="L6497" t="str">
        <f>IF(A6497="","",IFERROR(LOOKUP(2,1/(#REF!=Z6497),#REF!),Y6497))</f>
        <v/>
      </c>
      <c r="Z6497" t="str">
        <f>IF(A6497="","",TEXT(A6497,"0")&amp;"|"&amp;TEXT(H6497,"0"))</f>
        <v/>
      </c>
      <c r="AA6497" t="str">
        <f>IF(Z6497="","",IFERROR(LOOKUP(2,1/(#REF!=Z6497),#REF!),""))</f>
        <v/>
      </c>
      <c r="AB6497" t="str">
        <f>IF(Z6497="","",IFERROR(LOOKUP(2,1/(#REF!=Z6497),#REF!),""))</f>
        <v/>
      </c>
      <c r="AC6497" t="str">
        <f>IF(Z6497="","",COUNTIF(#REF!,Z6497))</f>
        <v/>
      </c>
      <c r="AD6497" t="str">
        <f>IF(A6497="","",IF(AC6497&gt;1,"REVISAR DUPLICADO",IF(AA6497&lt;&gt;"","ACTUALIZADO POR EYR","SIN REPORTE EYR")))</f>
        <v/>
      </c>
    </row>
    <row r="6498" spans="11:30" x14ac:dyDescent="0.3">
      <c r="K6498" s="1" t="str">
        <f ca="1">IF(A6498="","",IF(OR(L6498="ENTREGADA",L6498="RETORNADA",L6498="ENTREGA DIGITAL"),0,MAX(0,5-NETWORKDAYS(H6498+1,TODAY()))))</f>
        <v/>
      </c>
      <c r="L6498" t="str">
        <f>IF(A6498="","",IFERROR(LOOKUP(2,1/(#REF!=Z6498),#REF!),Y6498))</f>
        <v/>
      </c>
      <c r="Z6498" t="str">
        <f>IF(A6498="","",TEXT(A6498,"0")&amp;"|"&amp;TEXT(H6498,"0"))</f>
        <v/>
      </c>
      <c r="AA6498" t="str">
        <f>IF(Z6498="","",IFERROR(LOOKUP(2,1/(#REF!=Z6498),#REF!),""))</f>
        <v/>
      </c>
      <c r="AB6498" t="str">
        <f>IF(Z6498="","",IFERROR(LOOKUP(2,1/(#REF!=Z6498),#REF!),""))</f>
        <v/>
      </c>
      <c r="AC6498" t="str">
        <f>IF(Z6498="","",COUNTIF(#REF!,Z6498))</f>
        <v/>
      </c>
      <c r="AD6498" t="str">
        <f>IF(A6498="","",IF(AC6498&gt;1,"REVISAR DUPLICADO",IF(AA6498&lt;&gt;"","ACTUALIZADO POR EYR","SIN REPORTE EYR")))</f>
        <v/>
      </c>
    </row>
    <row r="6499" spans="11:30" x14ac:dyDescent="0.3">
      <c r="K6499" s="1" t="str">
        <f ca="1">IF(A6499="","",IF(OR(L6499="ENTREGADA",L6499="RETORNADA",L6499="ENTREGA DIGITAL"),0,MAX(0,5-NETWORKDAYS(H6499+1,TODAY()))))</f>
        <v/>
      </c>
      <c r="L6499" t="str">
        <f>IF(A6499="","",IFERROR(LOOKUP(2,1/(#REF!=Z6499),#REF!),Y6499))</f>
        <v/>
      </c>
      <c r="Z6499" t="str">
        <f>IF(A6499="","",TEXT(A6499,"0")&amp;"|"&amp;TEXT(H6499,"0"))</f>
        <v/>
      </c>
      <c r="AA6499" t="str">
        <f>IF(Z6499="","",IFERROR(LOOKUP(2,1/(#REF!=Z6499),#REF!),""))</f>
        <v/>
      </c>
      <c r="AB6499" t="str">
        <f>IF(Z6499="","",IFERROR(LOOKUP(2,1/(#REF!=Z6499),#REF!),""))</f>
        <v/>
      </c>
      <c r="AC6499" t="str">
        <f>IF(Z6499="","",COUNTIF(#REF!,Z6499))</f>
        <v/>
      </c>
      <c r="AD6499" t="str">
        <f>IF(A6499="","",IF(AC6499&gt;1,"REVISAR DUPLICADO",IF(AA6499&lt;&gt;"","ACTUALIZADO POR EYR","SIN REPORTE EYR")))</f>
        <v/>
      </c>
    </row>
    <row r="6500" spans="11:30" x14ac:dyDescent="0.3">
      <c r="K6500" s="1" t="str">
        <f ca="1">IF(A6500="","",IF(OR(L6500="ENTREGADA",L6500="RETORNADA",L6500="ENTREGA DIGITAL"),0,MAX(0,5-NETWORKDAYS(H6500+1,TODAY()))))</f>
        <v/>
      </c>
      <c r="L6500" t="str">
        <f>IF(A6500="","",IFERROR(LOOKUP(2,1/(#REF!=Z6500),#REF!),Y6500))</f>
        <v/>
      </c>
      <c r="Z6500" t="str">
        <f>IF(A6500="","",TEXT(A6500,"0")&amp;"|"&amp;TEXT(H6500,"0"))</f>
        <v/>
      </c>
      <c r="AA6500" t="str">
        <f>IF(Z6500="","",IFERROR(LOOKUP(2,1/(#REF!=Z6500),#REF!),""))</f>
        <v/>
      </c>
      <c r="AB6500" t="str">
        <f>IF(Z6500="","",IFERROR(LOOKUP(2,1/(#REF!=Z6500),#REF!),""))</f>
        <v/>
      </c>
      <c r="AC6500" t="str">
        <f>IF(Z6500="","",COUNTIF(#REF!,Z6500))</f>
        <v/>
      </c>
      <c r="AD6500" t="str">
        <f>IF(A6500="","",IF(AC6500&gt;1,"REVISAR DUPLICADO",IF(AA6500&lt;&gt;"","ACTUALIZADO POR EYR","SIN REPORTE EYR")))</f>
        <v/>
      </c>
    </row>
    <row r="6501" spans="11:30" x14ac:dyDescent="0.3">
      <c r="K6501" s="1" t="str">
        <f ca="1">IF(A6501="","",IF(OR(L6501="ENTREGADA",L6501="RETORNADA",L6501="ENTREGA DIGITAL"),0,MAX(0,5-NETWORKDAYS(H6501+1,TODAY()))))</f>
        <v/>
      </c>
      <c r="L6501" t="str">
        <f>IF(A6501="","",IFERROR(LOOKUP(2,1/(#REF!=Z6501),#REF!),Y6501))</f>
        <v/>
      </c>
      <c r="Z6501" t="str">
        <f>IF(A6501="","",TEXT(A6501,"0")&amp;"|"&amp;TEXT(H6501,"0"))</f>
        <v/>
      </c>
      <c r="AA6501" t="str">
        <f>IF(Z6501="","",IFERROR(LOOKUP(2,1/(#REF!=Z6501),#REF!),""))</f>
        <v/>
      </c>
      <c r="AB6501" t="str">
        <f>IF(Z6501="","",IFERROR(LOOKUP(2,1/(#REF!=Z6501),#REF!),""))</f>
        <v/>
      </c>
      <c r="AC6501" t="str">
        <f>IF(Z6501="","",COUNTIF(#REF!,Z6501))</f>
        <v/>
      </c>
      <c r="AD6501" t="str">
        <f>IF(A6501="","",IF(AC6501&gt;1,"REVISAR DUPLICADO",IF(AA6501&lt;&gt;"","ACTUALIZADO POR EYR","SIN REPORTE EYR")))</f>
        <v/>
      </c>
    </row>
    <row r="6502" spans="11:30" x14ac:dyDescent="0.3">
      <c r="K6502" s="1" t="str">
        <f ca="1">IF(A6502="","",IF(OR(L6502="ENTREGADA",L6502="RETORNADA",L6502="ENTREGA DIGITAL"),0,MAX(0,5-NETWORKDAYS(H6502+1,TODAY()))))</f>
        <v/>
      </c>
      <c r="L6502" t="str">
        <f>IF(A6502="","",IFERROR(LOOKUP(2,1/(#REF!=Z6502),#REF!),Y6502))</f>
        <v/>
      </c>
      <c r="Z6502" t="str">
        <f>IF(A6502="","",TEXT(A6502,"0")&amp;"|"&amp;TEXT(H6502,"0"))</f>
        <v/>
      </c>
      <c r="AA6502" t="str">
        <f>IF(Z6502="","",IFERROR(LOOKUP(2,1/(#REF!=Z6502),#REF!),""))</f>
        <v/>
      </c>
      <c r="AB6502" t="str">
        <f>IF(Z6502="","",IFERROR(LOOKUP(2,1/(#REF!=Z6502),#REF!),""))</f>
        <v/>
      </c>
      <c r="AC6502" t="str">
        <f>IF(Z6502="","",COUNTIF(#REF!,Z6502))</f>
        <v/>
      </c>
      <c r="AD6502" t="str">
        <f>IF(A6502="","",IF(AC6502&gt;1,"REVISAR DUPLICADO",IF(AA6502&lt;&gt;"","ACTUALIZADO POR EYR","SIN REPORTE EYR")))</f>
        <v/>
      </c>
    </row>
    <row r="6503" spans="11:30" x14ac:dyDescent="0.3">
      <c r="K6503" s="1" t="str">
        <f ca="1">IF(A6503="","",IF(OR(L6503="ENTREGADA",L6503="RETORNADA",L6503="ENTREGA DIGITAL"),0,MAX(0,5-NETWORKDAYS(H6503+1,TODAY()))))</f>
        <v/>
      </c>
      <c r="L6503" t="str">
        <f>IF(A6503="","",IFERROR(LOOKUP(2,1/(#REF!=Z6503),#REF!),Y6503))</f>
        <v/>
      </c>
      <c r="Z6503" t="str">
        <f>IF(A6503="","",TEXT(A6503,"0")&amp;"|"&amp;TEXT(H6503,"0"))</f>
        <v/>
      </c>
      <c r="AA6503" t="str">
        <f>IF(Z6503="","",IFERROR(LOOKUP(2,1/(#REF!=Z6503),#REF!),""))</f>
        <v/>
      </c>
      <c r="AB6503" t="str">
        <f>IF(Z6503="","",IFERROR(LOOKUP(2,1/(#REF!=Z6503),#REF!),""))</f>
        <v/>
      </c>
      <c r="AC6503" t="str">
        <f>IF(Z6503="","",COUNTIF(#REF!,Z6503))</f>
        <v/>
      </c>
      <c r="AD6503" t="str">
        <f>IF(A6503="","",IF(AC6503&gt;1,"REVISAR DUPLICADO",IF(AA6503&lt;&gt;"","ACTUALIZADO POR EYR","SIN REPORTE EYR")))</f>
        <v/>
      </c>
    </row>
    <row r="6504" spans="11:30" x14ac:dyDescent="0.3">
      <c r="K6504" s="1" t="str">
        <f ca="1">IF(A6504="","",IF(OR(L6504="ENTREGADA",L6504="RETORNADA",L6504="ENTREGA DIGITAL"),0,MAX(0,5-NETWORKDAYS(H6504+1,TODAY()))))</f>
        <v/>
      </c>
      <c r="L6504" t="str">
        <f>IF(A6504="","",IFERROR(LOOKUP(2,1/(#REF!=Z6504),#REF!),Y6504))</f>
        <v/>
      </c>
      <c r="Z6504" t="str">
        <f>IF(A6504="","",TEXT(A6504,"0")&amp;"|"&amp;TEXT(H6504,"0"))</f>
        <v/>
      </c>
      <c r="AA6504" t="str">
        <f>IF(Z6504="","",IFERROR(LOOKUP(2,1/(#REF!=Z6504),#REF!),""))</f>
        <v/>
      </c>
      <c r="AB6504" t="str">
        <f>IF(Z6504="","",IFERROR(LOOKUP(2,1/(#REF!=Z6504),#REF!),""))</f>
        <v/>
      </c>
      <c r="AC6504" t="str">
        <f>IF(Z6504="","",COUNTIF(#REF!,Z6504))</f>
        <v/>
      </c>
      <c r="AD6504" t="str">
        <f>IF(A6504="","",IF(AC6504&gt;1,"REVISAR DUPLICADO",IF(AA6504&lt;&gt;"","ACTUALIZADO POR EYR","SIN REPORTE EYR")))</f>
        <v/>
      </c>
    </row>
    <row r="6505" spans="11:30" x14ac:dyDescent="0.3">
      <c r="K6505" s="1" t="str">
        <f ca="1">IF(A6505="","",IF(OR(L6505="ENTREGADA",L6505="RETORNADA",L6505="ENTREGA DIGITAL"),0,MAX(0,5-NETWORKDAYS(H6505+1,TODAY()))))</f>
        <v/>
      </c>
      <c r="L6505" t="str">
        <f>IF(A6505="","",IFERROR(LOOKUP(2,1/(#REF!=Z6505),#REF!),Y6505))</f>
        <v/>
      </c>
      <c r="Z6505" t="str">
        <f>IF(A6505="","",TEXT(A6505,"0")&amp;"|"&amp;TEXT(H6505,"0"))</f>
        <v/>
      </c>
      <c r="AA6505" t="str">
        <f>IF(Z6505="","",IFERROR(LOOKUP(2,1/(#REF!=Z6505),#REF!),""))</f>
        <v/>
      </c>
      <c r="AB6505" t="str">
        <f>IF(Z6505="","",IFERROR(LOOKUP(2,1/(#REF!=Z6505),#REF!),""))</f>
        <v/>
      </c>
      <c r="AC6505" t="str">
        <f>IF(Z6505="","",COUNTIF(#REF!,Z6505))</f>
        <v/>
      </c>
      <c r="AD6505" t="str">
        <f>IF(A6505="","",IF(AC6505&gt;1,"REVISAR DUPLICADO",IF(AA6505&lt;&gt;"","ACTUALIZADO POR EYR","SIN REPORTE EYR")))</f>
        <v/>
      </c>
    </row>
    <row r="6506" spans="11:30" x14ac:dyDescent="0.3">
      <c r="K6506" s="1" t="str">
        <f ca="1">IF(A6506="","",IF(OR(L6506="ENTREGADA",L6506="RETORNADA",L6506="ENTREGA DIGITAL"),0,MAX(0,5-NETWORKDAYS(H6506+1,TODAY()))))</f>
        <v/>
      </c>
      <c r="L6506" t="str">
        <f>IF(A6506="","",IFERROR(LOOKUP(2,1/(#REF!=Z6506),#REF!),Y6506))</f>
        <v/>
      </c>
      <c r="Z6506" t="str">
        <f>IF(A6506="","",TEXT(A6506,"0")&amp;"|"&amp;TEXT(H6506,"0"))</f>
        <v/>
      </c>
      <c r="AA6506" t="str">
        <f>IF(Z6506="","",IFERROR(LOOKUP(2,1/(#REF!=Z6506),#REF!),""))</f>
        <v/>
      </c>
      <c r="AB6506" t="str">
        <f>IF(Z6506="","",IFERROR(LOOKUP(2,1/(#REF!=Z6506),#REF!),""))</f>
        <v/>
      </c>
      <c r="AC6506" t="str">
        <f>IF(Z6506="","",COUNTIF(#REF!,Z6506))</f>
        <v/>
      </c>
      <c r="AD6506" t="str">
        <f>IF(A6506="","",IF(AC6506&gt;1,"REVISAR DUPLICADO",IF(AA6506&lt;&gt;"","ACTUALIZADO POR EYR","SIN REPORTE EYR")))</f>
        <v/>
      </c>
    </row>
    <row r="6507" spans="11:30" x14ac:dyDescent="0.3">
      <c r="K6507" s="1" t="str">
        <f ca="1">IF(A6507="","",IF(OR(L6507="ENTREGADA",L6507="RETORNADA",L6507="ENTREGA DIGITAL"),0,MAX(0,5-NETWORKDAYS(H6507+1,TODAY()))))</f>
        <v/>
      </c>
      <c r="L6507" t="str">
        <f>IF(A6507="","",IFERROR(LOOKUP(2,1/(#REF!=Z6507),#REF!),Y6507))</f>
        <v/>
      </c>
      <c r="Z6507" t="str">
        <f>IF(A6507="","",TEXT(A6507,"0")&amp;"|"&amp;TEXT(H6507,"0"))</f>
        <v/>
      </c>
      <c r="AA6507" t="str">
        <f>IF(Z6507="","",IFERROR(LOOKUP(2,1/(#REF!=Z6507),#REF!),""))</f>
        <v/>
      </c>
      <c r="AB6507" t="str">
        <f>IF(Z6507="","",IFERROR(LOOKUP(2,1/(#REF!=Z6507),#REF!),""))</f>
        <v/>
      </c>
      <c r="AC6507" t="str">
        <f>IF(Z6507="","",COUNTIF(#REF!,Z6507))</f>
        <v/>
      </c>
      <c r="AD6507" t="str">
        <f>IF(A6507="","",IF(AC6507&gt;1,"REVISAR DUPLICADO",IF(AA6507&lt;&gt;"","ACTUALIZADO POR EYR","SIN REPORTE EYR")))</f>
        <v/>
      </c>
    </row>
    <row r="6508" spans="11:30" x14ac:dyDescent="0.3">
      <c r="K6508" s="1" t="str">
        <f ca="1">IF(A6508="","",IF(OR(L6508="ENTREGADA",L6508="RETORNADA",L6508="ENTREGA DIGITAL"),0,MAX(0,5-NETWORKDAYS(H6508+1,TODAY()))))</f>
        <v/>
      </c>
      <c r="L6508" t="str">
        <f>IF(A6508="","",IFERROR(LOOKUP(2,1/(#REF!=Z6508),#REF!),Y6508))</f>
        <v/>
      </c>
      <c r="Z6508" t="str">
        <f>IF(A6508="","",TEXT(A6508,"0")&amp;"|"&amp;TEXT(H6508,"0"))</f>
        <v/>
      </c>
      <c r="AA6508" t="str">
        <f>IF(Z6508="","",IFERROR(LOOKUP(2,1/(#REF!=Z6508),#REF!),""))</f>
        <v/>
      </c>
      <c r="AB6508" t="str">
        <f>IF(Z6508="","",IFERROR(LOOKUP(2,1/(#REF!=Z6508),#REF!),""))</f>
        <v/>
      </c>
      <c r="AC6508" t="str">
        <f>IF(Z6508="","",COUNTIF(#REF!,Z6508))</f>
        <v/>
      </c>
      <c r="AD6508" t="str">
        <f>IF(A6508="","",IF(AC6508&gt;1,"REVISAR DUPLICADO",IF(AA6508&lt;&gt;"","ACTUALIZADO POR EYR","SIN REPORTE EYR")))</f>
        <v/>
      </c>
    </row>
    <row r="6509" spans="11:30" x14ac:dyDescent="0.3">
      <c r="K6509" s="1" t="str">
        <f ca="1">IF(A6509="","",IF(OR(L6509="ENTREGADA",L6509="RETORNADA",L6509="ENTREGA DIGITAL"),0,MAX(0,5-NETWORKDAYS(H6509+1,TODAY()))))</f>
        <v/>
      </c>
      <c r="L6509" t="str">
        <f>IF(A6509="","",IFERROR(LOOKUP(2,1/(#REF!=Z6509),#REF!),Y6509))</f>
        <v/>
      </c>
      <c r="Z6509" t="str">
        <f>IF(A6509="","",TEXT(A6509,"0")&amp;"|"&amp;TEXT(H6509,"0"))</f>
        <v/>
      </c>
      <c r="AA6509" t="str">
        <f>IF(Z6509="","",IFERROR(LOOKUP(2,1/(#REF!=Z6509),#REF!),""))</f>
        <v/>
      </c>
      <c r="AB6509" t="str">
        <f>IF(Z6509="","",IFERROR(LOOKUP(2,1/(#REF!=Z6509),#REF!),""))</f>
        <v/>
      </c>
      <c r="AC6509" t="str">
        <f>IF(Z6509="","",COUNTIF(#REF!,Z6509))</f>
        <v/>
      </c>
      <c r="AD6509" t="str">
        <f>IF(A6509="","",IF(AC6509&gt;1,"REVISAR DUPLICADO",IF(AA6509&lt;&gt;"","ACTUALIZADO POR EYR","SIN REPORTE EYR")))</f>
        <v/>
      </c>
    </row>
    <row r="6510" spans="11:30" x14ac:dyDescent="0.3">
      <c r="K6510" s="1" t="str">
        <f ca="1">IF(A6510="","",IF(OR(L6510="ENTREGADA",L6510="RETORNADA",L6510="ENTREGA DIGITAL"),0,MAX(0,5-NETWORKDAYS(H6510+1,TODAY()))))</f>
        <v/>
      </c>
      <c r="L6510" t="str">
        <f>IF(A6510="","",IFERROR(LOOKUP(2,1/(#REF!=Z6510),#REF!),Y6510))</f>
        <v/>
      </c>
      <c r="Z6510" t="str">
        <f>IF(A6510="","",TEXT(A6510,"0")&amp;"|"&amp;TEXT(H6510,"0"))</f>
        <v/>
      </c>
      <c r="AA6510" t="str">
        <f>IF(Z6510="","",IFERROR(LOOKUP(2,1/(#REF!=Z6510),#REF!),""))</f>
        <v/>
      </c>
      <c r="AB6510" t="str">
        <f>IF(Z6510="","",IFERROR(LOOKUP(2,1/(#REF!=Z6510),#REF!),""))</f>
        <v/>
      </c>
      <c r="AC6510" t="str">
        <f>IF(Z6510="","",COUNTIF(#REF!,Z6510))</f>
        <v/>
      </c>
      <c r="AD6510" t="str">
        <f>IF(A6510="","",IF(AC6510&gt;1,"REVISAR DUPLICADO",IF(AA6510&lt;&gt;"","ACTUALIZADO POR EYR","SIN REPORTE EYR")))</f>
        <v/>
      </c>
    </row>
    <row r="6511" spans="11:30" x14ac:dyDescent="0.3">
      <c r="K6511" s="1" t="str">
        <f ca="1">IF(A6511="","",IF(OR(L6511="ENTREGADA",L6511="RETORNADA",L6511="ENTREGA DIGITAL"),0,MAX(0,5-NETWORKDAYS(H6511+1,TODAY()))))</f>
        <v/>
      </c>
      <c r="L6511" t="str">
        <f>IF(A6511="","",IFERROR(LOOKUP(2,1/(#REF!=Z6511),#REF!),Y6511))</f>
        <v/>
      </c>
      <c r="Z6511" t="str">
        <f>IF(A6511="","",TEXT(A6511,"0")&amp;"|"&amp;TEXT(H6511,"0"))</f>
        <v/>
      </c>
      <c r="AA6511" t="str">
        <f>IF(Z6511="","",IFERROR(LOOKUP(2,1/(#REF!=Z6511),#REF!),""))</f>
        <v/>
      </c>
      <c r="AB6511" t="str">
        <f>IF(Z6511="","",IFERROR(LOOKUP(2,1/(#REF!=Z6511),#REF!),""))</f>
        <v/>
      </c>
      <c r="AC6511" t="str">
        <f>IF(Z6511="","",COUNTIF(#REF!,Z6511))</f>
        <v/>
      </c>
      <c r="AD6511" t="str">
        <f>IF(A6511="","",IF(AC6511&gt;1,"REVISAR DUPLICADO",IF(AA6511&lt;&gt;"","ACTUALIZADO POR EYR","SIN REPORTE EYR")))</f>
        <v/>
      </c>
    </row>
    <row r="6512" spans="11:30" x14ac:dyDescent="0.3">
      <c r="K6512" s="1" t="str">
        <f ca="1">IF(A6512="","",IF(OR(L6512="ENTREGADA",L6512="RETORNADA",L6512="ENTREGA DIGITAL"),0,MAX(0,5-NETWORKDAYS(H6512+1,TODAY()))))</f>
        <v/>
      </c>
      <c r="L6512" t="str">
        <f>IF(A6512="","",IFERROR(LOOKUP(2,1/(#REF!=Z6512),#REF!),Y6512))</f>
        <v/>
      </c>
      <c r="Z6512" t="str">
        <f>IF(A6512="","",TEXT(A6512,"0")&amp;"|"&amp;TEXT(H6512,"0"))</f>
        <v/>
      </c>
      <c r="AA6512" t="str">
        <f>IF(Z6512="","",IFERROR(LOOKUP(2,1/(#REF!=Z6512),#REF!),""))</f>
        <v/>
      </c>
      <c r="AB6512" t="str">
        <f>IF(Z6512="","",IFERROR(LOOKUP(2,1/(#REF!=Z6512),#REF!),""))</f>
        <v/>
      </c>
      <c r="AC6512" t="str">
        <f>IF(Z6512="","",COUNTIF(#REF!,Z6512))</f>
        <v/>
      </c>
      <c r="AD6512" t="str">
        <f>IF(A6512="","",IF(AC6512&gt;1,"REVISAR DUPLICADO",IF(AA6512&lt;&gt;"","ACTUALIZADO POR EYR","SIN REPORTE EYR")))</f>
        <v/>
      </c>
    </row>
    <row r="6513" spans="11:30" x14ac:dyDescent="0.3">
      <c r="K6513" s="1" t="str">
        <f ca="1">IF(A6513="","",IF(OR(L6513="ENTREGADA",L6513="RETORNADA",L6513="ENTREGA DIGITAL"),0,MAX(0,5-NETWORKDAYS(H6513+1,TODAY()))))</f>
        <v/>
      </c>
      <c r="L6513" t="str">
        <f>IF(A6513="","",IFERROR(LOOKUP(2,1/(#REF!=Z6513),#REF!),Y6513))</f>
        <v/>
      </c>
      <c r="Z6513" t="str">
        <f>IF(A6513="","",TEXT(A6513,"0")&amp;"|"&amp;TEXT(H6513,"0"))</f>
        <v/>
      </c>
      <c r="AA6513" t="str">
        <f>IF(Z6513="","",IFERROR(LOOKUP(2,1/(#REF!=Z6513),#REF!),""))</f>
        <v/>
      </c>
      <c r="AB6513" t="str">
        <f>IF(Z6513="","",IFERROR(LOOKUP(2,1/(#REF!=Z6513),#REF!),""))</f>
        <v/>
      </c>
      <c r="AC6513" t="str">
        <f>IF(Z6513="","",COUNTIF(#REF!,Z6513))</f>
        <v/>
      </c>
      <c r="AD6513" t="str">
        <f>IF(A6513="","",IF(AC6513&gt;1,"REVISAR DUPLICADO",IF(AA6513&lt;&gt;"","ACTUALIZADO POR EYR","SIN REPORTE EYR")))</f>
        <v/>
      </c>
    </row>
    <row r="6514" spans="11:30" x14ac:dyDescent="0.3">
      <c r="K6514" s="1" t="str">
        <f ca="1">IF(A6514="","",IF(OR(L6514="ENTREGADA",L6514="RETORNADA",L6514="ENTREGA DIGITAL"),0,MAX(0,5-NETWORKDAYS(H6514+1,TODAY()))))</f>
        <v/>
      </c>
      <c r="L6514" t="str">
        <f>IF(A6514="","",IFERROR(LOOKUP(2,1/(#REF!=Z6514),#REF!),Y6514))</f>
        <v/>
      </c>
      <c r="Z6514" t="str">
        <f>IF(A6514="","",TEXT(A6514,"0")&amp;"|"&amp;TEXT(H6514,"0"))</f>
        <v/>
      </c>
      <c r="AA6514" t="str">
        <f>IF(Z6514="","",IFERROR(LOOKUP(2,1/(#REF!=Z6514),#REF!),""))</f>
        <v/>
      </c>
      <c r="AB6514" t="str">
        <f>IF(Z6514="","",IFERROR(LOOKUP(2,1/(#REF!=Z6514),#REF!),""))</f>
        <v/>
      </c>
      <c r="AC6514" t="str">
        <f>IF(Z6514="","",COUNTIF(#REF!,Z6514))</f>
        <v/>
      </c>
      <c r="AD6514" t="str">
        <f>IF(A6514="","",IF(AC6514&gt;1,"REVISAR DUPLICADO",IF(AA6514&lt;&gt;"","ACTUALIZADO POR EYR","SIN REPORTE EYR")))</f>
        <v/>
      </c>
    </row>
    <row r="6515" spans="11:30" x14ac:dyDescent="0.3">
      <c r="K6515" s="1" t="str">
        <f ca="1">IF(A6515="","",IF(OR(L6515="ENTREGADA",L6515="RETORNADA",L6515="ENTREGA DIGITAL"),0,MAX(0,5-NETWORKDAYS(H6515+1,TODAY()))))</f>
        <v/>
      </c>
      <c r="L6515" t="str">
        <f>IF(A6515="","",IFERROR(LOOKUP(2,1/(#REF!=Z6515),#REF!),Y6515))</f>
        <v/>
      </c>
      <c r="Z6515" t="str">
        <f>IF(A6515="","",TEXT(A6515,"0")&amp;"|"&amp;TEXT(H6515,"0"))</f>
        <v/>
      </c>
      <c r="AA6515" t="str">
        <f>IF(Z6515="","",IFERROR(LOOKUP(2,1/(#REF!=Z6515),#REF!),""))</f>
        <v/>
      </c>
      <c r="AB6515" t="str">
        <f>IF(Z6515="","",IFERROR(LOOKUP(2,1/(#REF!=Z6515),#REF!),""))</f>
        <v/>
      </c>
      <c r="AC6515" t="str">
        <f>IF(Z6515="","",COUNTIF(#REF!,Z6515))</f>
        <v/>
      </c>
      <c r="AD6515" t="str">
        <f>IF(A6515="","",IF(AC6515&gt;1,"REVISAR DUPLICADO",IF(AA6515&lt;&gt;"","ACTUALIZADO POR EYR","SIN REPORTE EYR")))</f>
        <v/>
      </c>
    </row>
    <row r="6516" spans="11:30" x14ac:dyDescent="0.3">
      <c r="K6516" s="1" t="str">
        <f ca="1">IF(A6516="","",IF(OR(L6516="ENTREGADA",L6516="RETORNADA",L6516="ENTREGA DIGITAL"),0,MAX(0,5-NETWORKDAYS(H6516+1,TODAY()))))</f>
        <v/>
      </c>
      <c r="L6516" t="str">
        <f>IF(A6516="","",IFERROR(LOOKUP(2,1/(#REF!=Z6516),#REF!),Y6516))</f>
        <v/>
      </c>
      <c r="Z6516" t="str">
        <f>IF(A6516="","",TEXT(A6516,"0")&amp;"|"&amp;TEXT(H6516,"0"))</f>
        <v/>
      </c>
      <c r="AA6516" t="str">
        <f>IF(Z6516="","",IFERROR(LOOKUP(2,1/(#REF!=Z6516),#REF!),""))</f>
        <v/>
      </c>
      <c r="AB6516" t="str">
        <f>IF(Z6516="","",IFERROR(LOOKUP(2,1/(#REF!=Z6516),#REF!),""))</f>
        <v/>
      </c>
      <c r="AC6516" t="str">
        <f>IF(Z6516="","",COUNTIF(#REF!,Z6516))</f>
        <v/>
      </c>
      <c r="AD6516" t="str">
        <f>IF(A6516="","",IF(AC6516&gt;1,"REVISAR DUPLICADO",IF(AA6516&lt;&gt;"","ACTUALIZADO POR EYR","SIN REPORTE EYR")))</f>
        <v/>
      </c>
    </row>
    <row r="6517" spans="11:30" x14ac:dyDescent="0.3">
      <c r="K6517" s="1" t="str">
        <f ca="1">IF(A6517="","",IF(OR(L6517="ENTREGADA",L6517="RETORNADA",L6517="ENTREGA DIGITAL"),0,MAX(0,5-NETWORKDAYS(H6517+1,TODAY()))))</f>
        <v/>
      </c>
      <c r="L6517" t="str">
        <f>IF(A6517="","",IFERROR(LOOKUP(2,1/(#REF!=Z6517),#REF!),Y6517))</f>
        <v/>
      </c>
      <c r="Z6517" t="str">
        <f>IF(A6517="","",TEXT(A6517,"0")&amp;"|"&amp;TEXT(H6517,"0"))</f>
        <v/>
      </c>
      <c r="AA6517" t="str">
        <f>IF(Z6517="","",IFERROR(LOOKUP(2,1/(#REF!=Z6517),#REF!),""))</f>
        <v/>
      </c>
      <c r="AB6517" t="str">
        <f>IF(Z6517="","",IFERROR(LOOKUP(2,1/(#REF!=Z6517),#REF!),""))</f>
        <v/>
      </c>
      <c r="AC6517" t="str">
        <f>IF(Z6517="","",COUNTIF(#REF!,Z6517))</f>
        <v/>
      </c>
      <c r="AD6517" t="str">
        <f>IF(A6517="","",IF(AC6517&gt;1,"REVISAR DUPLICADO",IF(AA6517&lt;&gt;"","ACTUALIZADO POR EYR","SIN REPORTE EYR")))</f>
        <v/>
      </c>
    </row>
    <row r="6518" spans="11:30" x14ac:dyDescent="0.3">
      <c r="K6518" s="1" t="str">
        <f ca="1">IF(A6518="","",IF(OR(L6518="ENTREGADA",L6518="RETORNADA",L6518="ENTREGA DIGITAL"),0,MAX(0,5-NETWORKDAYS(H6518+1,TODAY()))))</f>
        <v/>
      </c>
      <c r="L6518" t="str">
        <f>IF(A6518="","",IFERROR(LOOKUP(2,1/(#REF!=Z6518),#REF!),Y6518))</f>
        <v/>
      </c>
      <c r="Z6518" t="str">
        <f>IF(A6518="","",TEXT(A6518,"0")&amp;"|"&amp;TEXT(H6518,"0"))</f>
        <v/>
      </c>
      <c r="AA6518" t="str">
        <f>IF(Z6518="","",IFERROR(LOOKUP(2,1/(#REF!=Z6518),#REF!),""))</f>
        <v/>
      </c>
      <c r="AB6518" t="str">
        <f>IF(Z6518="","",IFERROR(LOOKUP(2,1/(#REF!=Z6518),#REF!),""))</f>
        <v/>
      </c>
      <c r="AC6518" t="str">
        <f>IF(Z6518="","",COUNTIF(#REF!,Z6518))</f>
        <v/>
      </c>
      <c r="AD6518" t="str">
        <f>IF(A6518="","",IF(AC6518&gt;1,"REVISAR DUPLICADO",IF(AA6518&lt;&gt;"","ACTUALIZADO POR EYR","SIN REPORTE EYR")))</f>
        <v/>
      </c>
    </row>
    <row r="6519" spans="11:30" x14ac:dyDescent="0.3">
      <c r="K6519" s="1" t="str">
        <f ca="1">IF(A6519="","",IF(OR(L6519="ENTREGADA",L6519="RETORNADA",L6519="ENTREGA DIGITAL"),0,MAX(0,5-NETWORKDAYS(H6519+1,TODAY()))))</f>
        <v/>
      </c>
      <c r="L6519" t="str">
        <f>IF(A6519="","",IFERROR(LOOKUP(2,1/(#REF!=Z6519),#REF!),Y6519))</f>
        <v/>
      </c>
      <c r="Z6519" t="str">
        <f>IF(A6519="","",TEXT(A6519,"0")&amp;"|"&amp;TEXT(H6519,"0"))</f>
        <v/>
      </c>
      <c r="AA6519" t="str">
        <f>IF(Z6519="","",IFERROR(LOOKUP(2,1/(#REF!=Z6519),#REF!),""))</f>
        <v/>
      </c>
      <c r="AB6519" t="str">
        <f>IF(Z6519="","",IFERROR(LOOKUP(2,1/(#REF!=Z6519),#REF!),""))</f>
        <v/>
      </c>
      <c r="AC6519" t="str">
        <f>IF(Z6519="","",COUNTIF(#REF!,Z6519))</f>
        <v/>
      </c>
      <c r="AD6519" t="str">
        <f>IF(A6519="","",IF(AC6519&gt;1,"REVISAR DUPLICADO",IF(AA6519&lt;&gt;"","ACTUALIZADO POR EYR","SIN REPORTE EYR")))</f>
        <v/>
      </c>
    </row>
    <row r="6520" spans="11:30" x14ac:dyDescent="0.3">
      <c r="K6520" s="1" t="str">
        <f ca="1">IF(A6520="","",IF(OR(L6520="ENTREGADA",L6520="RETORNADA",L6520="ENTREGA DIGITAL"),0,MAX(0,5-NETWORKDAYS(H6520+1,TODAY()))))</f>
        <v/>
      </c>
      <c r="L6520" t="str">
        <f>IF(A6520="","",IFERROR(LOOKUP(2,1/(#REF!=Z6520),#REF!),Y6520))</f>
        <v/>
      </c>
      <c r="Z6520" t="str">
        <f>IF(A6520="","",TEXT(A6520,"0")&amp;"|"&amp;TEXT(H6520,"0"))</f>
        <v/>
      </c>
      <c r="AA6520" t="str">
        <f>IF(Z6520="","",IFERROR(LOOKUP(2,1/(#REF!=Z6520),#REF!),""))</f>
        <v/>
      </c>
      <c r="AB6520" t="str">
        <f>IF(Z6520="","",IFERROR(LOOKUP(2,1/(#REF!=Z6520),#REF!),""))</f>
        <v/>
      </c>
      <c r="AC6520" t="str">
        <f>IF(Z6520="","",COUNTIF(#REF!,Z6520))</f>
        <v/>
      </c>
      <c r="AD6520" t="str">
        <f>IF(A6520="","",IF(AC6520&gt;1,"REVISAR DUPLICADO",IF(AA6520&lt;&gt;"","ACTUALIZADO POR EYR","SIN REPORTE EYR")))</f>
        <v/>
      </c>
    </row>
    <row r="6521" spans="11:30" x14ac:dyDescent="0.3">
      <c r="K6521" s="1" t="str">
        <f ca="1">IF(A6521="","",IF(OR(L6521="ENTREGADA",L6521="RETORNADA",L6521="ENTREGA DIGITAL"),0,MAX(0,5-NETWORKDAYS(H6521+1,TODAY()))))</f>
        <v/>
      </c>
      <c r="L6521" t="str">
        <f>IF(A6521="","",IFERROR(LOOKUP(2,1/(#REF!=Z6521),#REF!),Y6521))</f>
        <v/>
      </c>
      <c r="Z6521" t="str">
        <f>IF(A6521="","",TEXT(A6521,"0")&amp;"|"&amp;TEXT(H6521,"0"))</f>
        <v/>
      </c>
      <c r="AA6521" t="str">
        <f>IF(Z6521="","",IFERROR(LOOKUP(2,1/(#REF!=Z6521),#REF!),""))</f>
        <v/>
      </c>
      <c r="AB6521" t="str">
        <f>IF(Z6521="","",IFERROR(LOOKUP(2,1/(#REF!=Z6521),#REF!),""))</f>
        <v/>
      </c>
      <c r="AC6521" t="str">
        <f>IF(Z6521="","",COUNTIF(#REF!,Z6521))</f>
        <v/>
      </c>
      <c r="AD6521" t="str">
        <f>IF(A6521="","",IF(AC6521&gt;1,"REVISAR DUPLICADO",IF(AA6521&lt;&gt;"","ACTUALIZADO POR EYR","SIN REPORTE EYR")))</f>
        <v/>
      </c>
    </row>
    <row r="6522" spans="11:30" x14ac:dyDescent="0.3">
      <c r="K6522" s="1" t="str">
        <f ca="1">IF(A6522="","",IF(OR(L6522="ENTREGADA",L6522="RETORNADA",L6522="ENTREGA DIGITAL"),0,MAX(0,5-NETWORKDAYS(H6522+1,TODAY()))))</f>
        <v/>
      </c>
      <c r="L6522" t="str">
        <f>IF(A6522="","",IFERROR(LOOKUP(2,1/(#REF!=Z6522),#REF!),Y6522))</f>
        <v/>
      </c>
      <c r="Z6522" t="str">
        <f>IF(A6522="","",TEXT(A6522,"0")&amp;"|"&amp;TEXT(H6522,"0"))</f>
        <v/>
      </c>
      <c r="AA6522" t="str">
        <f>IF(Z6522="","",IFERROR(LOOKUP(2,1/(#REF!=Z6522),#REF!),""))</f>
        <v/>
      </c>
      <c r="AB6522" t="str">
        <f>IF(Z6522="","",IFERROR(LOOKUP(2,1/(#REF!=Z6522),#REF!),""))</f>
        <v/>
      </c>
      <c r="AC6522" t="str">
        <f>IF(Z6522="","",COUNTIF(#REF!,Z6522))</f>
        <v/>
      </c>
      <c r="AD6522" t="str">
        <f>IF(A6522="","",IF(AC6522&gt;1,"REVISAR DUPLICADO",IF(AA6522&lt;&gt;"","ACTUALIZADO POR EYR","SIN REPORTE EYR")))</f>
        <v/>
      </c>
    </row>
    <row r="6523" spans="11:30" x14ac:dyDescent="0.3">
      <c r="K6523" s="1" t="str">
        <f ca="1">IF(A6523="","",IF(OR(L6523="ENTREGADA",L6523="RETORNADA",L6523="ENTREGA DIGITAL"),0,MAX(0,5-NETWORKDAYS(H6523+1,TODAY()))))</f>
        <v/>
      </c>
      <c r="L6523" t="str">
        <f>IF(A6523="","",IFERROR(LOOKUP(2,1/(#REF!=Z6523),#REF!),Y6523))</f>
        <v/>
      </c>
      <c r="Z6523" t="str">
        <f>IF(A6523="","",TEXT(A6523,"0")&amp;"|"&amp;TEXT(H6523,"0"))</f>
        <v/>
      </c>
      <c r="AA6523" t="str">
        <f>IF(Z6523="","",IFERROR(LOOKUP(2,1/(#REF!=Z6523),#REF!),""))</f>
        <v/>
      </c>
      <c r="AB6523" t="str">
        <f>IF(Z6523="","",IFERROR(LOOKUP(2,1/(#REF!=Z6523),#REF!),""))</f>
        <v/>
      </c>
      <c r="AC6523" t="str">
        <f>IF(Z6523="","",COUNTIF(#REF!,Z6523))</f>
        <v/>
      </c>
      <c r="AD6523" t="str">
        <f>IF(A6523="","",IF(AC6523&gt;1,"REVISAR DUPLICADO",IF(AA6523&lt;&gt;"","ACTUALIZADO POR EYR","SIN REPORTE EYR")))</f>
        <v/>
      </c>
    </row>
    <row r="6524" spans="11:30" x14ac:dyDescent="0.3">
      <c r="K6524" s="1" t="str">
        <f ca="1">IF(A6524="","",IF(OR(L6524="ENTREGADA",L6524="RETORNADA",L6524="ENTREGA DIGITAL"),0,MAX(0,5-NETWORKDAYS(H6524+1,TODAY()))))</f>
        <v/>
      </c>
      <c r="L6524" t="str">
        <f>IF(A6524="","",IFERROR(LOOKUP(2,1/(#REF!=Z6524),#REF!),Y6524))</f>
        <v/>
      </c>
      <c r="Z6524" t="str">
        <f>IF(A6524="","",TEXT(A6524,"0")&amp;"|"&amp;TEXT(H6524,"0"))</f>
        <v/>
      </c>
      <c r="AA6524" t="str">
        <f>IF(Z6524="","",IFERROR(LOOKUP(2,1/(#REF!=Z6524),#REF!),""))</f>
        <v/>
      </c>
      <c r="AB6524" t="str">
        <f>IF(Z6524="","",IFERROR(LOOKUP(2,1/(#REF!=Z6524),#REF!),""))</f>
        <v/>
      </c>
      <c r="AC6524" t="str">
        <f>IF(Z6524="","",COUNTIF(#REF!,Z6524))</f>
        <v/>
      </c>
      <c r="AD6524" t="str">
        <f>IF(A6524="","",IF(AC6524&gt;1,"REVISAR DUPLICADO",IF(AA6524&lt;&gt;"","ACTUALIZADO POR EYR","SIN REPORTE EYR")))</f>
        <v/>
      </c>
    </row>
    <row r="6525" spans="11:30" x14ac:dyDescent="0.3">
      <c r="K6525" s="1" t="str">
        <f ca="1">IF(A6525="","",IF(OR(L6525="ENTREGADA",L6525="RETORNADA",L6525="ENTREGA DIGITAL"),0,MAX(0,5-NETWORKDAYS(H6525+1,TODAY()))))</f>
        <v/>
      </c>
      <c r="L6525" t="str">
        <f>IF(A6525="","",IFERROR(LOOKUP(2,1/(#REF!=Z6525),#REF!),Y6525))</f>
        <v/>
      </c>
      <c r="Z6525" t="str">
        <f>IF(A6525="","",TEXT(A6525,"0")&amp;"|"&amp;TEXT(H6525,"0"))</f>
        <v/>
      </c>
      <c r="AA6525" t="str">
        <f>IF(Z6525="","",IFERROR(LOOKUP(2,1/(#REF!=Z6525),#REF!),""))</f>
        <v/>
      </c>
      <c r="AB6525" t="str">
        <f>IF(Z6525="","",IFERROR(LOOKUP(2,1/(#REF!=Z6525),#REF!),""))</f>
        <v/>
      </c>
      <c r="AC6525" t="str">
        <f>IF(Z6525="","",COUNTIF(#REF!,Z6525))</f>
        <v/>
      </c>
      <c r="AD6525" t="str">
        <f>IF(A6525="","",IF(AC6525&gt;1,"REVISAR DUPLICADO",IF(AA6525&lt;&gt;"","ACTUALIZADO POR EYR","SIN REPORTE EYR")))</f>
        <v/>
      </c>
    </row>
    <row r="6526" spans="11:30" x14ac:dyDescent="0.3">
      <c r="K6526" s="1" t="str">
        <f ca="1">IF(A6526="","",IF(OR(L6526="ENTREGADA",L6526="RETORNADA",L6526="ENTREGA DIGITAL"),0,MAX(0,5-NETWORKDAYS(H6526+1,TODAY()))))</f>
        <v/>
      </c>
      <c r="L6526" t="str">
        <f>IF(A6526="","",IFERROR(LOOKUP(2,1/(#REF!=Z6526),#REF!),Y6526))</f>
        <v/>
      </c>
      <c r="Z6526" t="str">
        <f>IF(A6526="","",TEXT(A6526,"0")&amp;"|"&amp;TEXT(H6526,"0"))</f>
        <v/>
      </c>
      <c r="AA6526" t="str">
        <f>IF(Z6526="","",IFERROR(LOOKUP(2,1/(#REF!=Z6526),#REF!),""))</f>
        <v/>
      </c>
      <c r="AB6526" t="str">
        <f>IF(Z6526="","",IFERROR(LOOKUP(2,1/(#REF!=Z6526),#REF!),""))</f>
        <v/>
      </c>
      <c r="AC6526" t="str">
        <f>IF(Z6526="","",COUNTIF(#REF!,Z6526))</f>
        <v/>
      </c>
      <c r="AD6526" t="str">
        <f>IF(A6526="","",IF(AC6526&gt;1,"REVISAR DUPLICADO",IF(AA6526&lt;&gt;"","ACTUALIZADO POR EYR","SIN REPORTE EYR")))</f>
        <v/>
      </c>
    </row>
    <row r="6527" spans="11:30" x14ac:dyDescent="0.3">
      <c r="K6527" s="1" t="str">
        <f ca="1">IF(A6527="","",IF(OR(L6527="ENTREGADA",L6527="RETORNADA",L6527="ENTREGA DIGITAL"),0,MAX(0,5-NETWORKDAYS(H6527+1,TODAY()))))</f>
        <v/>
      </c>
      <c r="L6527" t="str">
        <f>IF(A6527="","",IFERROR(LOOKUP(2,1/(#REF!=Z6527),#REF!),Y6527))</f>
        <v/>
      </c>
      <c r="Z6527" t="str">
        <f>IF(A6527="","",TEXT(A6527,"0")&amp;"|"&amp;TEXT(H6527,"0"))</f>
        <v/>
      </c>
      <c r="AA6527" t="str">
        <f>IF(Z6527="","",IFERROR(LOOKUP(2,1/(#REF!=Z6527),#REF!),""))</f>
        <v/>
      </c>
      <c r="AB6527" t="str">
        <f>IF(Z6527="","",IFERROR(LOOKUP(2,1/(#REF!=Z6527),#REF!),""))</f>
        <v/>
      </c>
      <c r="AC6527" t="str">
        <f>IF(Z6527="","",COUNTIF(#REF!,Z6527))</f>
        <v/>
      </c>
      <c r="AD6527" t="str">
        <f>IF(A6527="","",IF(AC6527&gt;1,"REVISAR DUPLICADO",IF(AA6527&lt;&gt;"","ACTUALIZADO POR EYR","SIN REPORTE EYR")))</f>
        <v/>
      </c>
    </row>
    <row r="6528" spans="11:30" x14ac:dyDescent="0.3">
      <c r="K6528" s="1" t="str">
        <f ca="1">IF(A6528="","",IF(OR(L6528="ENTREGADA",L6528="RETORNADA",L6528="ENTREGA DIGITAL"),0,MAX(0,5-NETWORKDAYS(H6528+1,TODAY()))))</f>
        <v/>
      </c>
      <c r="L6528" t="str">
        <f>IF(A6528="","",IFERROR(LOOKUP(2,1/(#REF!=Z6528),#REF!),Y6528))</f>
        <v/>
      </c>
      <c r="Z6528" t="str">
        <f>IF(A6528="","",TEXT(A6528,"0")&amp;"|"&amp;TEXT(H6528,"0"))</f>
        <v/>
      </c>
      <c r="AA6528" t="str">
        <f>IF(Z6528="","",IFERROR(LOOKUP(2,1/(#REF!=Z6528),#REF!),""))</f>
        <v/>
      </c>
      <c r="AB6528" t="str">
        <f>IF(Z6528="","",IFERROR(LOOKUP(2,1/(#REF!=Z6528),#REF!),""))</f>
        <v/>
      </c>
      <c r="AC6528" t="str">
        <f>IF(Z6528="","",COUNTIF(#REF!,Z6528))</f>
        <v/>
      </c>
      <c r="AD6528" t="str">
        <f>IF(A6528="","",IF(AC6528&gt;1,"REVISAR DUPLICADO",IF(AA6528&lt;&gt;"","ACTUALIZADO POR EYR","SIN REPORTE EYR")))</f>
        <v/>
      </c>
    </row>
    <row r="6529" spans="11:30" x14ac:dyDescent="0.3">
      <c r="K6529" s="1" t="str">
        <f ca="1">IF(A6529="","",IF(OR(L6529="ENTREGADA",L6529="RETORNADA",L6529="ENTREGA DIGITAL"),0,MAX(0,5-NETWORKDAYS(H6529+1,TODAY()))))</f>
        <v/>
      </c>
      <c r="L6529" t="str">
        <f>IF(A6529="","",IFERROR(LOOKUP(2,1/(#REF!=Z6529),#REF!),Y6529))</f>
        <v/>
      </c>
      <c r="Z6529" t="str">
        <f>IF(A6529="","",TEXT(A6529,"0")&amp;"|"&amp;TEXT(H6529,"0"))</f>
        <v/>
      </c>
      <c r="AA6529" t="str">
        <f>IF(Z6529="","",IFERROR(LOOKUP(2,1/(#REF!=Z6529),#REF!),""))</f>
        <v/>
      </c>
      <c r="AB6529" t="str">
        <f>IF(Z6529="","",IFERROR(LOOKUP(2,1/(#REF!=Z6529),#REF!),""))</f>
        <v/>
      </c>
      <c r="AC6529" t="str">
        <f>IF(Z6529="","",COUNTIF(#REF!,Z6529))</f>
        <v/>
      </c>
      <c r="AD6529" t="str">
        <f>IF(A6529="","",IF(AC6529&gt;1,"REVISAR DUPLICADO",IF(AA6529&lt;&gt;"","ACTUALIZADO POR EYR","SIN REPORTE EYR")))</f>
        <v/>
      </c>
    </row>
    <row r="6530" spans="11:30" x14ac:dyDescent="0.3">
      <c r="K6530" s="1" t="str">
        <f ca="1">IF(A6530="","",IF(OR(L6530="ENTREGADA",L6530="RETORNADA",L6530="ENTREGA DIGITAL"),0,MAX(0,5-NETWORKDAYS(H6530+1,TODAY()))))</f>
        <v/>
      </c>
      <c r="L6530" t="str">
        <f>IF(A6530="","",IFERROR(LOOKUP(2,1/(#REF!=Z6530),#REF!),Y6530))</f>
        <v/>
      </c>
      <c r="Z6530" t="str">
        <f>IF(A6530="","",TEXT(A6530,"0")&amp;"|"&amp;TEXT(H6530,"0"))</f>
        <v/>
      </c>
      <c r="AA6530" t="str">
        <f>IF(Z6530="","",IFERROR(LOOKUP(2,1/(#REF!=Z6530),#REF!),""))</f>
        <v/>
      </c>
      <c r="AB6530" t="str">
        <f>IF(Z6530="","",IFERROR(LOOKUP(2,1/(#REF!=Z6530),#REF!),""))</f>
        <v/>
      </c>
      <c r="AC6530" t="str">
        <f>IF(Z6530="","",COUNTIF(#REF!,Z6530))</f>
        <v/>
      </c>
      <c r="AD6530" t="str">
        <f>IF(A6530="","",IF(AC6530&gt;1,"REVISAR DUPLICADO",IF(AA6530&lt;&gt;"","ACTUALIZADO POR EYR","SIN REPORTE EYR")))</f>
        <v/>
      </c>
    </row>
    <row r="6531" spans="11:30" x14ac:dyDescent="0.3">
      <c r="K6531" s="1" t="str">
        <f ca="1">IF(A6531="","",IF(OR(L6531="ENTREGADA",L6531="RETORNADA",L6531="ENTREGA DIGITAL"),0,MAX(0,5-NETWORKDAYS(H6531+1,TODAY()))))</f>
        <v/>
      </c>
      <c r="L6531" t="str">
        <f>IF(A6531="","",IFERROR(LOOKUP(2,1/(#REF!=Z6531),#REF!),Y6531))</f>
        <v/>
      </c>
      <c r="Z6531" t="str">
        <f>IF(A6531="","",TEXT(A6531,"0")&amp;"|"&amp;TEXT(H6531,"0"))</f>
        <v/>
      </c>
      <c r="AA6531" t="str">
        <f>IF(Z6531="","",IFERROR(LOOKUP(2,1/(#REF!=Z6531),#REF!),""))</f>
        <v/>
      </c>
      <c r="AB6531" t="str">
        <f>IF(Z6531="","",IFERROR(LOOKUP(2,1/(#REF!=Z6531),#REF!),""))</f>
        <v/>
      </c>
      <c r="AC6531" t="str">
        <f>IF(Z6531="","",COUNTIF(#REF!,Z6531))</f>
        <v/>
      </c>
      <c r="AD6531" t="str">
        <f>IF(A6531="","",IF(AC6531&gt;1,"REVISAR DUPLICADO",IF(AA6531&lt;&gt;"","ACTUALIZADO POR EYR","SIN REPORTE EYR")))</f>
        <v/>
      </c>
    </row>
    <row r="6532" spans="11:30" x14ac:dyDescent="0.3">
      <c r="K6532" s="1" t="str">
        <f ca="1">IF(A6532="","",IF(OR(L6532="ENTREGADA",L6532="RETORNADA",L6532="ENTREGA DIGITAL"),0,MAX(0,5-NETWORKDAYS(H6532+1,TODAY()))))</f>
        <v/>
      </c>
      <c r="L6532" t="str">
        <f>IF(A6532="","",IFERROR(LOOKUP(2,1/(#REF!=Z6532),#REF!),Y6532))</f>
        <v/>
      </c>
      <c r="Z6532" t="str">
        <f>IF(A6532="","",TEXT(A6532,"0")&amp;"|"&amp;TEXT(H6532,"0"))</f>
        <v/>
      </c>
      <c r="AA6532" t="str">
        <f>IF(Z6532="","",IFERROR(LOOKUP(2,1/(#REF!=Z6532),#REF!),""))</f>
        <v/>
      </c>
      <c r="AB6532" t="str">
        <f>IF(Z6532="","",IFERROR(LOOKUP(2,1/(#REF!=Z6532),#REF!),""))</f>
        <v/>
      </c>
      <c r="AC6532" t="str">
        <f>IF(Z6532="","",COUNTIF(#REF!,Z6532))</f>
        <v/>
      </c>
      <c r="AD6532" t="str">
        <f>IF(A6532="","",IF(AC6532&gt;1,"REVISAR DUPLICADO",IF(AA6532&lt;&gt;"","ACTUALIZADO POR EYR","SIN REPORTE EYR")))</f>
        <v/>
      </c>
    </row>
    <row r="6533" spans="11:30" x14ac:dyDescent="0.3">
      <c r="K6533" s="1" t="str">
        <f ca="1">IF(A6533="","",IF(OR(L6533="ENTREGADA",L6533="RETORNADA",L6533="ENTREGA DIGITAL"),0,MAX(0,5-NETWORKDAYS(H6533+1,TODAY()))))</f>
        <v/>
      </c>
      <c r="L6533" t="str">
        <f>IF(A6533="","",IFERROR(LOOKUP(2,1/(#REF!=Z6533),#REF!),Y6533))</f>
        <v/>
      </c>
      <c r="Z6533" t="str">
        <f>IF(A6533="","",TEXT(A6533,"0")&amp;"|"&amp;TEXT(H6533,"0"))</f>
        <v/>
      </c>
      <c r="AA6533" t="str">
        <f>IF(Z6533="","",IFERROR(LOOKUP(2,1/(#REF!=Z6533),#REF!),""))</f>
        <v/>
      </c>
      <c r="AB6533" t="str">
        <f>IF(Z6533="","",IFERROR(LOOKUP(2,1/(#REF!=Z6533),#REF!),""))</f>
        <v/>
      </c>
      <c r="AC6533" t="str">
        <f>IF(Z6533="","",COUNTIF(#REF!,Z6533))</f>
        <v/>
      </c>
      <c r="AD6533" t="str">
        <f>IF(A6533="","",IF(AC6533&gt;1,"REVISAR DUPLICADO",IF(AA6533&lt;&gt;"","ACTUALIZADO POR EYR","SIN REPORTE EYR")))</f>
        <v/>
      </c>
    </row>
    <row r="6534" spans="11:30" x14ac:dyDescent="0.3">
      <c r="K6534" s="1" t="str">
        <f ca="1">IF(A6534="","",IF(OR(L6534="ENTREGADA",L6534="RETORNADA",L6534="ENTREGA DIGITAL"),0,MAX(0,5-NETWORKDAYS(H6534+1,TODAY()))))</f>
        <v/>
      </c>
      <c r="L6534" t="str">
        <f>IF(A6534="","",IFERROR(LOOKUP(2,1/(#REF!=Z6534),#REF!),Y6534))</f>
        <v/>
      </c>
      <c r="Z6534" t="str">
        <f>IF(A6534="","",TEXT(A6534,"0")&amp;"|"&amp;TEXT(H6534,"0"))</f>
        <v/>
      </c>
      <c r="AA6534" t="str">
        <f>IF(Z6534="","",IFERROR(LOOKUP(2,1/(#REF!=Z6534),#REF!),""))</f>
        <v/>
      </c>
      <c r="AB6534" t="str">
        <f>IF(Z6534="","",IFERROR(LOOKUP(2,1/(#REF!=Z6534),#REF!),""))</f>
        <v/>
      </c>
      <c r="AC6534" t="str">
        <f>IF(Z6534="","",COUNTIF(#REF!,Z6534))</f>
        <v/>
      </c>
      <c r="AD6534" t="str">
        <f>IF(A6534="","",IF(AC6534&gt;1,"REVISAR DUPLICADO",IF(AA6534&lt;&gt;"","ACTUALIZADO POR EYR","SIN REPORTE EYR")))</f>
        <v/>
      </c>
    </row>
    <row r="6535" spans="11:30" x14ac:dyDescent="0.3">
      <c r="K6535" s="1" t="str">
        <f ca="1">IF(A6535="","",IF(OR(L6535="ENTREGADA",L6535="RETORNADA",L6535="ENTREGA DIGITAL"),0,MAX(0,5-NETWORKDAYS(H6535+1,TODAY()))))</f>
        <v/>
      </c>
      <c r="L6535" t="str">
        <f>IF(A6535="","",IFERROR(LOOKUP(2,1/(#REF!=Z6535),#REF!),Y6535))</f>
        <v/>
      </c>
      <c r="Z6535" t="str">
        <f>IF(A6535="","",TEXT(A6535,"0")&amp;"|"&amp;TEXT(H6535,"0"))</f>
        <v/>
      </c>
      <c r="AA6535" t="str">
        <f>IF(Z6535="","",IFERROR(LOOKUP(2,1/(#REF!=Z6535),#REF!),""))</f>
        <v/>
      </c>
      <c r="AB6535" t="str">
        <f>IF(Z6535="","",IFERROR(LOOKUP(2,1/(#REF!=Z6535),#REF!),""))</f>
        <v/>
      </c>
      <c r="AC6535" t="str">
        <f>IF(Z6535="","",COUNTIF(#REF!,Z6535))</f>
        <v/>
      </c>
      <c r="AD6535" t="str">
        <f>IF(A6535="","",IF(AC6535&gt;1,"REVISAR DUPLICADO",IF(AA6535&lt;&gt;"","ACTUALIZADO POR EYR","SIN REPORTE EYR")))</f>
        <v/>
      </c>
    </row>
    <row r="6536" spans="11:30" x14ac:dyDescent="0.3">
      <c r="K6536" s="1" t="str">
        <f ca="1">IF(A6536="","",IF(OR(L6536="ENTREGADA",L6536="RETORNADA",L6536="ENTREGA DIGITAL"),0,MAX(0,5-NETWORKDAYS(H6536+1,TODAY()))))</f>
        <v/>
      </c>
      <c r="L6536" t="str">
        <f>IF(A6536="","",IFERROR(LOOKUP(2,1/(#REF!=Z6536),#REF!),Y6536))</f>
        <v/>
      </c>
      <c r="Z6536" t="str">
        <f>IF(A6536="","",TEXT(A6536,"0")&amp;"|"&amp;TEXT(H6536,"0"))</f>
        <v/>
      </c>
      <c r="AA6536" t="str">
        <f>IF(Z6536="","",IFERROR(LOOKUP(2,1/(#REF!=Z6536),#REF!),""))</f>
        <v/>
      </c>
      <c r="AB6536" t="str">
        <f>IF(Z6536="","",IFERROR(LOOKUP(2,1/(#REF!=Z6536),#REF!),""))</f>
        <v/>
      </c>
      <c r="AC6536" t="str">
        <f>IF(Z6536="","",COUNTIF(#REF!,Z6536))</f>
        <v/>
      </c>
      <c r="AD6536" t="str">
        <f>IF(A6536="","",IF(AC6536&gt;1,"REVISAR DUPLICADO",IF(AA6536&lt;&gt;"","ACTUALIZADO POR EYR","SIN REPORTE EYR")))</f>
        <v/>
      </c>
    </row>
    <row r="6537" spans="11:30" x14ac:dyDescent="0.3">
      <c r="K6537" s="1" t="str">
        <f ca="1">IF(A6537="","",IF(OR(L6537="ENTREGADA",L6537="RETORNADA",L6537="ENTREGA DIGITAL"),0,MAX(0,5-NETWORKDAYS(H6537+1,TODAY()))))</f>
        <v/>
      </c>
      <c r="L6537" t="str">
        <f>IF(A6537="","",IFERROR(LOOKUP(2,1/(#REF!=Z6537),#REF!),Y6537))</f>
        <v/>
      </c>
      <c r="Z6537" t="str">
        <f>IF(A6537="","",TEXT(A6537,"0")&amp;"|"&amp;TEXT(H6537,"0"))</f>
        <v/>
      </c>
      <c r="AA6537" t="str">
        <f>IF(Z6537="","",IFERROR(LOOKUP(2,1/(#REF!=Z6537),#REF!),""))</f>
        <v/>
      </c>
      <c r="AB6537" t="str">
        <f>IF(Z6537="","",IFERROR(LOOKUP(2,1/(#REF!=Z6537),#REF!),""))</f>
        <v/>
      </c>
      <c r="AC6537" t="str">
        <f>IF(Z6537="","",COUNTIF(#REF!,Z6537))</f>
        <v/>
      </c>
      <c r="AD6537" t="str">
        <f>IF(A6537="","",IF(AC6537&gt;1,"REVISAR DUPLICADO",IF(AA6537&lt;&gt;"","ACTUALIZADO POR EYR","SIN REPORTE EYR")))</f>
        <v/>
      </c>
    </row>
    <row r="6538" spans="11:30" x14ac:dyDescent="0.3">
      <c r="K6538" s="1" t="str">
        <f ca="1">IF(A6538="","",IF(OR(L6538="ENTREGADA",L6538="RETORNADA",L6538="ENTREGA DIGITAL"),0,MAX(0,5-NETWORKDAYS(H6538+1,TODAY()))))</f>
        <v/>
      </c>
      <c r="L6538" t="str">
        <f>IF(A6538="","",IFERROR(LOOKUP(2,1/(#REF!=Z6538),#REF!),Y6538))</f>
        <v/>
      </c>
      <c r="Z6538" t="str">
        <f>IF(A6538="","",TEXT(A6538,"0")&amp;"|"&amp;TEXT(H6538,"0"))</f>
        <v/>
      </c>
      <c r="AA6538" t="str">
        <f>IF(Z6538="","",IFERROR(LOOKUP(2,1/(#REF!=Z6538),#REF!),""))</f>
        <v/>
      </c>
      <c r="AB6538" t="str">
        <f>IF(Z6538="","",IFERROR(LOOKUP(2,1/(#REF!=Z6538),#REF!),""))</f>
        <v/>
      </c>
      <c r="AC6538" t="str">
        <f>IF(Z6538="","",COUNTIF(#REF!,Z6538))</f>
        <v/>
      </c>
      <c r="AD6538" t="str">
        <f>IF(A6538="","",IF(AC6538&gt;1,"REVISAR DUPLICADO",IF(AA6538&lt;&gt;"","ACTUALIZADO POR EYR","SIN REPORTE EYR")))</f>
        <v/>
      </c>
    </row>
    <row r="6539" spans="11:30" x14ac:dyDescent="0.3">
      <c r="K6539" s="1" t="str">
        <f ca="1">IF(A6539="","",IF(OR(L6539="ENTREGADA",L6539="RETORNADA",L6539="ENTREGA DIGITAL"),0,MAX(0,5-NETWORKDAYS(H6539+1,TODAY()))))</f>
        <v/>
      </c>
      <c r="L6539" t="str">
        <f>IF(A6539="","",IFERROR(LOOKUP(2,1/(#REF!=Z6539),#REF!),Y6539))</f>
        <v/>
      </c>
      <c r="Z6539" t="str">
        <f>IF(A6539="","",TEXT(A6539,"0")&amp;"|"&amp;TEXT(H6539,"0"))</f>
        <v/>
      </c>
      <c r="AA6539" t="str">
        <f>IF(Z6539="","",IFERROR(LOOKUP(2,1/(#REF!=Z6539),#REF!),""))</f>
        <v/>
      </c>
      <c r="AB6539" t="str">
        <f>IF(Z6539="","",IFERROR(LOOKUP(2,1/(#REF!=Z6539),#REF!),""))</f>
        <v/>
      </c>
      <c r="AC6539" t="str">
        <f>IF(Z6539="","",COUNTIF(#REF!,Z6539))</f>
        <v/>
      </c>
      <c r="AD6539" t="str">
        <f>IF(A6539="","",IF(AC6539&gt;1,"REVISAR DUPLICADO",IF(AA6539&lt;&gt;"","ACTUALIZADO POR EYR","SIN REPORTE EYR")))</f>
        <v/>
      </c>
    </row>
    <row r="6540" spans="11:30" x14ac:dyDescent="0.3">
      <c r="K6540" s="1" t="str">
        <f ca="1">IF(A6540="","",IF(OR(L6540="ENTREGADA",L6540="RETORNADA",L6540="ENTREGA DIGITAL"),0,MAX(0,5-NETWORKDAYS(H6540+1,TODAY()))))</f>
        <v/>
      </c>
      <c r="L6540" t="str">
        <f>IF(A6540="","",IFERROR(LOOKUP(2,1/(#REF!=Z6540),#REF!),Y6540))</f>
        <v/>
      </c>
      <c r="Z6540" t="str">
        <f>IF(A6540="","",TEXT(A6540,"0")&amp;"|"&amp;TEXT(H6540,"0"))</f>
        <v/>
      </c>
      <c r="AA6540" t="str">
        <f>IF(Z6540="","",IFERROR(LOOKUP(2,1/(#REF!=Z6540),#REF!),""))</f>
        <v/>
      </c>
      <c r="AB6540" t="str">
        <f>IF(Z6540="","",IFERROR(LOOKUP(2,1/(#REF!=Z6540),#REF!),""))</f>
        <v/>
      </c>
      <c r="AC6540" t="str">
        <f>IF(Z6540="","",COUNTIF(#REF!,Z6540))</f>
        <v/>
      </c>
      <c r="AD6540" t="str">
        <f>IF(A6540="","",IF(AC6540&gt;1,"REVISAR DUPLICADO",IF(AA6540&lt;&gt;"","ACTUALIZADO POR EYR","SIN REPORTE EYR")))</f>
        <v/>
      </c>
    </row>
    <row r="6541" spans="11:30" x14ac:dyDescent="0.3">
      <c r="K6541" s="1" t="str">
        <f ca="1">IF(A6541="","",IF(OR(L6541="ENTREGADA",L6541="RETORNADA",L6541="ENTREGA DIGITAL"),0,MAX(0,5-NETWORKDAYS(H6541+1,TODAY()))))</f>
        <v/>
      </c>
      <c r="L6541" t="str">
        <f>IF(A6541="","",IFERROR(LOOKUP(2,1/(#REF!=Z6541),#REF!),Y6541))</f>
        <v/>
      </c>
      <c r="Z6541" t="str">
        <f>IF(A6541="","",TEXT(A6541,"0")&amp;"|"&amp;TEXT(H6541,"0"))</f>
        <v/>
      </c>
      <c r="AA6541" t="str">
        <f>IF(Z6541="","",IFERROR(LOOKUP(2,1/(#REF!=Z6541),#REF!),""))</f>
        <v/>
      </c>
      <c r="AB6541" t="str">
        <f>IF(Z6541="","",IFERROR(LOOKUP(2,1/(#REF!=Z6541),#REF!),""))</f>
        <v/>
      </c>
      <c r="AC6541" t="str">
        <f>IF(Z6541="","",COUNTIF(#REF!,Z6541))</f>
        <v/>
      </c>
      <c r="AD6541" t="str">
        <f>IF(A6541="","",IF(AC6541&gt;1,"REVISAR DUPLICADO",IF(AA6541&lt;&gt;"","ACTUALIZADO POR EYR","SIN REPORTE EYR")))</f>
        <v/>
      </c>
    </row>
    <row r="6542" spans="11:30" x14ac:dyDescent="0.3">
      <c r="K6542" s="1" t="str">
        <f ca="1">IF(A6542="","",IF(OR(L6542="ENTREGADA",L6542="RETORNADA",L6542="ENTREGA DIGITAL"),0,MAX(0,5-NETWORKDAYS(H6542+1,TODAY()))))</f>
        <v/>
      </c>
      <c r="L6542" t="str">
        <f>IF(A6542="","",IFERROR(LOOKUP(2,1/(#REF!=Z6542),#REF!),Y6542))</f>
        <v/>
      </c>
      <c r="Z6542" t="str">
        <f>IF(A6542="","",TEXT(A6542,"0")&amp;"|"&amp;TEXT(H6542,"0"))</f>
        <v/>
      </c>
      <c r="AA6542" t="str">
        <f>IF(Z6542="","",IFERROR(LOOKUP(2,1/(#REF!=Z6542),#REF!),""))</f>
        <v/>
      </c>
      <c r="AB6542" t="str">
        <f>IF(Z6542="","",IFERROR(LOOKUP(2,1/(#REF!=Z6542),#REF!),""))</f>
        <v/>
      </c>
      <c r="AC6542" t="str">
        <f>IF(Z6542="","",COUNTIF(#REF!,Z6542))</f>
        <v/>
      </c>
      <c r="AD6542" t="str">
        <f>IF(A6542="","",IF(AC6542&gt;1,"REVISAR DUPLICADO",IF(AA6542&lt;&gt;"","ACTUALIZADO POR EYR","SIN REPORTE EYR")))</f>
        <v/>
      </c>
    </row>
    <row r="6543" spans="11:30" x14ac:dyDescent="0.3">
      <c r="K6543" s="1" t="str">
        <f ca="1">IF(A6543="","",IF(OR(L6543="ENTREGADA",L6543="RETORNADA",L6543="ENTREGA DIGITAL"),0,MAX(0,5-NETWORKDAYS(H6543+1,TODAY()))))</f>
        <v/>
      </c>
      <c r="L6543" t="str">
        <f>IF(A6543="","",IFERROR(LOOKUP(2,1/(#REF!=Z6543),#REF!),Y6543))</f>
        <v/>
      </c>
      <c r="Z6543" t="str">
        <f>IF(A6543="","",TEXT(A6543,"0")&amp;"|"&amp;TEXT(H6543,"0"))</f>
        <v/>
      </c>
      <c r="AA6543" t="str">
        <f>IF(Z6543="","",IFERROR(LOOKUP(2,1/(#REF!=Z6543),#REF!),""))</f>
        <v/>
      </c>
      <c r="AB6543" t="str">
        <f>IF(Z6543="","",IFERROR(LOOKUP(2,1/(#REF!=Z6543),#REF!),""))</f>
        <v/>
      </c>
      <c r="AC6543" t="str">
        <f>IF(Z6543="","",COUNTIF(#REF!,Z6543))</f>
        <v/>
      </c>
      <c r="AD6543" t="str">
        <f>IF(A6543="","",IF(AC6543&gt;1,"REVISAR DUPLICADO",IF(AA6543&lt;&gt;"","ACTUALIZADO POR EYR","SIN REPORTE EYR")))</f>
        <v/>
      </c>
    </row>
    <row r="6544" spans="11:30" x14ac:dyDescent="0.3">
      <c r="K6544" s="1" t="str">
        <f ca="1">IF(A6544="","",IF(OR(L6544="ENTREGADA",L6544="RETORNADA",L6544="ENTREGA DIGITAL"),0,MAX(0,5-NETWORKDAYS(H6544+1,TODAY()))))</f>
        <v/>
      </c>
      <c r="L6544" t="str">
        <f>IF(A6544="","",IFERROR(LOOKUP(2,1/(#REF!=Z6544),#REF!),Y6544))</f>
        <v/>
      </c>
      <c r="Z6544" t="str">
        <f>IF(A6544="","",TEXT(A6544,"0")&amp;"|"&amp;TEXT(H6544,"0"))</f>
        <v/>
      </c>
      <c r="AA6544" t="str">
        <f>IF(Z6544="","",IFERROR(LOOKUP(2,1/(#REF!=Z6544),#REF!),""))</f>
        <v/>
      </c>
      <c r="AB6544" t="str">
        <f>IF(Z6544="","",IFERROR(LOOKUP(2,1/(#REF!=Z6544),#REF!),""))</f>
        <v/>
      </c>
      <c r="AC6544" t="str">
        <f>IF(Z6544="","",COUNTIF(#REF!,Z6544))</f>
        <v/>
      </c>
      <c r="AD6544" t="str">
        <f>IF(A6544="","",IF(AC6544&gt;1,"REVISAR DUPLICADO",IF(AA6544&lt;&gt;"","ACTUALIZADO POR EYR","SIN REPORTE EYR")))</f>
        <v/>
      </c>
    </row>
    <row r="6545" spans="11:30" x14ac:dyDescent="0.3">
      <c r="K6545" s="1" t="str">
        <f ca="1">IF(A6545="","",IF(OR(L6545="ENTREGADA",L6545="RETORNADA",L6545="ENTREGA DIGITAL"),0,MAX(0,5-NETWORKDAYS(H6545+1,TODAY()))))</f>
        <v/>
      </c>
      <c r="L6545" t="str">
        <f>IF(A6545="","",IFERROR(LOOKUP(2,1/(#REF!=Z6545),#REF!),Y6545))</f>
        <v/>
      </c>
      <c r="Z6545" t="str">
        <f>IF(A6545="","",TEXT(A6545,"0")&amp;"|"&amp;TEXT(H6545,"0"))</f>
        <v/>
      </c>
      <c r="AA6545" t="str">
        <f>IF(Z6545="","",IFERROR(LOOKUP(2,1/(#REF!=Z6545),#REF!),""))</f>
        <v/>
      </c>
      <c r="AB6545" t="str">
        <f>IF(Z6545="","",IFERROR(LOOKUP(2,1/(#REF!=Z6545),#REF!),""))</f>
        <v/>
      </c>
      <c r="AC6545" t="str">
        <f>IF(Z6545="","",COUNTIF(#REF!,Z6545))</f>
        <v/>
      </c>
      <c r="AD6545" t="str">
        <f>IF(A6545="","",IF(AC6545&gt;1,"REVISAR DUPLICADO",IF(AA6545&lt;&gt;"","ACTUALIZADO POR EYR","SIN REPORTE EYR")))</f>
        <v/>
      </c>
    </row>
    <row r="6546" spans="11:30" x14ac:dyDescent="0.3">
      <c r="K6546" s="1" t="str">
        <f ca="1">IF(A6546="","",IF(OR(L6546="ENTREGADA",L6546="RETORNADA",L6546="ENTREGA DIGITAL"),0,MAX(0,5-NETWORKDAYS(H6546+1,TODAY()))))</f>
        <v/>
      </c>
      <c r="L6546" t="str">
        <f>IF(A6546="","",IFERROR(LOOKUP(2,1/(#REF!=Z6546),#REF!),Y6546))</f>
        <v/>
      </c>
      <c r="Z6546" t="str">
        <f>IF(A6546="","",TEXT(A6546,"0")&amp;"|"&amp;TEXT(H6546,"0"))</f>
        <v/>
      </c>
      <c r="AA6546" t="str">
        <f>IF(Z6546="","",IFERROR(LOOKUP(2,1/(#REF!=Z6546),#REF!),""))</f>
        <v/>
      </c>
      <c r="AB6546" t="str">
        <f>IF(Z6546="","",IFERROR(LOOKUP(2,1/(#REF!=Z6546),#REF!),""))</f>
        <v/>
      </c>
      <c r="AC6546" t="str">
        <f>IF(Z6546="","",COUNTIF(#REF!,Z6546))</f>
        <v/>
      </c>
      <c r="AD6546" t="str">
        <f>IF(A6546="","",IF(AC6546&gt;1,"REVISAR DUPLICADO",IF(AA6546&lt;&gt;"","ACTUALIZADO POR EYR","SIN REPORTE EYR")))</f>
        <v/>
      </c>
    </row>
    <row r="6547" spans="11:30" x14ac:dyDescent="0.3">
      <c r="K6547" s="1" t="str">
        <f ca="1">IF(A6547="","",IF(OR(L6547="ENTREGADA",L6547="RETORNADA",L6547="ENTREGA DIGITAL"),0,MAX(0,5-NETWORKDAYS(H6547+1,TODAY()))))</f>
        <v/>
      </c>
      <c r="L6547" t="str">
        <f>IF(A6547="","",IFERROR(LOOKUP(2,1/(#REF!=Z6547),#REF!),Y6547))</f>
        <v/>
      </c>
      <c r="Z6547" t="str">
        <f>IF(A6547="","",TEXT(A6547,"0")&amp;"|"&amp;TEXT(H6547,"0"))</f>
        <v/>
      </c>
      <c r="AA6547" t="str">
        <f>IF(Z6547="","",IFERROR(LOOKUP(2,1/(#REF!=Z6547),#REF!),""))</f>
        <v/>
      </c>
      <c r="AB6547" t="str">
        <f>IF(Z6547="","",IFERROR(LOOKUP(2,1/(#REF!=Z6547),#REF!),""))</f>
        <v/>
      </c>
      <c r="AC6547" t="str">
        <f>IF(Z6547="","",COUNTIF(#REF!,Z6547))</f>
        <v/>
      </c>
      <c r="AD6547" t="str">
        <f>IF(A6547="","",IF(AC6547&gt;1,"REVISAR DUPLICADO",IF(AA6547&lt;&gt;"","ACTUALIZADO POR EYR","SIN REPORTE EYR")))</f>
        <v/>
      </c>
    </row>
    <row r="6548" spans="11:30" x14ac:dyDescent="0.3">
      <c r="K6548" s="1" t="str">
        <f ca="1">IF(A6548="","",IF(OR(L6548="ENTREGADA",L6548="RETORNADA",L6548="ENTREGA DIGITAL"),0,MAX(0,5-NETWORKDAYS(H6548+1,TODAY()))))</f>
        <v/>
      </c>
      <c r="L6548" t="str">
        <f>IF(A6548="","",IFERROR(LOOKUP(2,1/(#REF!=Z6548),#REF!),Y6548))</f>
        <v/>
      </c>
      <c r="Z6548" t="str">
        <f>IF(A6548="","",TEXT(A6548,"0")&amp;"|"&amp;TEXT(H6548,"0"))</f>
        <v/>
      </c>
      <c r="AA6548" t="str">
        <f>IF(Z6548="","",IFERROR(LOOKUP(2,1/(#REF!=Z6548),#REF!),""))</f>
        <v/>
      </c>
      <c r="AB6548" t="str">
        <f>IF(Z6548="","",IFERROR(LOOKUP(2,1/(#REF!=Z6548),#REF!),""))</f>
        <v/>
      </c>
      <c r="AC6548" t="str">
        <f>IF(Z6548="","",COUNTIF(#REF!,Z6548))</f>
        <v/>
      </c>
      <c r="AD6548" t="str">
        <f>IF(A6548="","",IF(AC6548&gt;1,"REVISAR DUPLICADO",IF(AA6548&lt;&gt;"","ACTUALIZADO POR EYR","SIN REPORTE EYR")))</f>
        <v/>
      </c>
    </row>
    <row r="6549" spans="11:30" x14ac:dyDescent="0.3">
      <c r="K6549" s="1" t="str">
        <f ca="1">IF(A6549="","",IF(OR(L6549="ENTREGADA",L6549="RETORNADA",L6549="ENTREGA DIGITAL"),0,MAX(0,5-NETWORKDAYS(H6549+1,TODAY()))))</f>
        <v/>
      </c>
      <c r="L6549" t="str">
        <f>IF(A6549="","",IFERROR(LOOKUP(2,1/(#REF!=Z6549),#REF!),Y6549))</f>
        <v/>
      </c>
      <c r="Z6549" t="str">
        <f>IF(A6549="","",TEXT(A6549,"0")&amp;"|"&amp;TEXT(H6549,"0"))</f>
        <v/>
      </c>
      <c r="AA6549" t="str">
        <f>IF(Z6549="","",IFERROR(LOOKUP(2,1/(#REF!=Z6549),#REF!),""))</f>
        <v/>
      </c>
      <c r="AB6549" t="str">
        <f>IF(Z6549="","",IFERROR(LOOKUP(2,1/(#REF!=Z6549),#REF!),""))</f>
        <v/>
      </c>
      <c r="AC6549" t="str">
        <f>IF(Z6549="","",COUNTIF(#REF!,Z6549))</f>
        <v/>
      </c>
      <c r="AD6549" t="str">
        <f>IF(A6549="","",IF(AC6549&gt;1,"REVISAR DUPLICADO",IF(AA6549&lt;&gt;"","ACTUALIZADO POR EYR","SIN REPORTE EYR")))</f>
        <v/>
      </c>
    </row>
    <row r="6550" spans="11:30" x14ac:dyDescent="0.3">
      <c r="K6550" s="1" t="str">
        <f ca="1">IF(A6550="","",IF(OR(L6550="ENTREGADA",L6550="RETORNADA",L6550="ENTREGA DIGITAL"),0,MAX(0,5-NETWORKDAYS(H6550+1,TODAY()))))</f>
        <v/>
      </c>
      <c r="L6550" t="str">
        <f>IF(A6550="","",IFERROR(LOOKUP(2,1/(#REF!=Z6550),#REF!),Y6550))</f>
        <v/>
      </c>
      <c r="Z6550" t="str">
        <f>IF(A6550="","",TEXT(A6550,"0")&amp;"|"&amp;TEXT(H6550,"0"))</f>
        <v/>
      </c>
      <c r="AA6550" t="str">
        <f>IF(Z6550="","",IFERROR(LOOKUP(2,1/(#REF!=Z6550),#REF!),""))</f>
        <v/>
      </c>
      <c r="AB6550" t="str">
        <f>IF(Z6550="","",IFERROR(LOOKUP(2,1/(#REF!=Z6550),#REF!),""))</f>
        <v/>
      </c>
      <c r="AC6550" t="str">
        <f>IF(Z6550="","",COUNTIF(#REF!,Z6550))</f>
        <v/>
      </c>
      <c r="AD6550" t="str">
        <f>IF(A6550="","",IF(AC6550&gt;1,"REVISAR DUPLICADO",IF(AA6550&lt;&gt;"","ACTUALIZADO POR EYR","SIN REPORTE EYR")))</f>
        <v/>
      </c>
    </row>
    <row r="6551" spans="11:30" x14ac:dyDescent="0.3">
      <c r="K6551" s="1" t="str">
        <f ca="1">IF(A6551="","",IF(OR(L6551="ENTREGADA",L6551="RETORNADA",L6551="ENTREGA DIGITAL"),0,MAX(0,5-NETWORKDAYS(H6551+1,TODAY()))))</f>
        <v/>
      </c>
      <c r="L6551" t="str">
        <f>IF(A6551="","",IFERROR(LOOKUP(2,1/(#REF!=Z6551),#REF!),Y6551))</f>
        <v/>
      </c>
      <c r="Z6551" t="str">
        <f>IF(A6551="","",TEXT(A6551,"0")&amp;"|"&amp;TEXT(H6551,"0"))</f>
        <v/>
      </c>
      <c r="AA6551" t="str">
        <f>IF(Z6551="","",IFERROR(LOOKUP(2,1/(#REF!=Z6551),#REF!),""))</f>
        <v/>
      </c>
      <c r="AB6551" t="str">
        <f>IF(Z6551="","",IFERROR(LOOKUP(2,1/(#REF!=Z6551),#REF!),""))</f>
        <v/>
      </c>
      <c r="AC6551" t="str">
        <f>IF(Z6551="","",COUNTIF(#REF!,Z6551))</f>
        <v/>
      </c>
      <c r="AD6551" t="str">
        <f>IF(A6551="","",IF(AC6551&gt;1,"REVISAR DUPLICADO",IF(AA6551&lt;&gt;"","ACTUALIZADO POR EYR","SIN REPORTE EYR")))</f>
        <v/>
      </c>
    </row>
    <row r="6552" spans="11:30" x14ac:dyDescent="0.3">
      <c r="K6552" s="1" t="str">
        <f ca="1">IF(A6552="","",IF(OR(L6552="ENTREGADA",L6552="RETORNADA",L6552="ENTREGA DIGITAL"),0,MAX(0,5-NETWORKDAYS(H6552+1,TODAY()))))</f>
        <v/>
      </c>
      <c r="L6552" t="str">
        <f>IF(A6552="","",IFERROR(LOOKUP(2,1/(#REF!=Z6552),#REF!),Y6552))</f>
        <v/>
      </c>
      <c r="Z6552" t="str">
        <f>IF(A6552="","",TEXT(A6552,"0")&amp;"|"&amp;TEXT(H6552,"0"))</f>
        <v/>
      </c>
      <c r="AA6552" t="str">
        <f>IF(Z6552="","",IFERROR(LOOKUP(2,1/(#REF!=Z6552),#REF!),""))</f>
        <v/>
      </c>
      <c r="AB6552" t="str">
        <f>IF(Z6552="","",IFERROR(LOOKUP(2,1/(#REF!=Z6552),#REF!),""))</f>
        <v/>
      </c>
      <c r="AC6552" t="str">
        <f>IF(Z6552="","",COUNTIF(#REF!,Z6552))</f>
        <v/>
      </c>
      <c r="AD6552" t="str">
        <f>IF(A6552="","",IF(AC6552&gt;1,"REVISAR DUPLICADO",IF(AA6552&lt;&gt;"","ACTUALIZADO POR EYR","SIN REPORTE EYR")))</f>
        <v/>
      </c>
    </row>
    <row r="6553" spans="11:30" x14ac:dyDescent="0.3">
      <c r="K6553" s="1" t="str">
        <f ca="1">IF(A6553="","",IF(OR(L6553="ENTREGADA",L6553="RETORNADA",L6553="ENTREGA DIGITAL"),0,MAX(0,5-NETWORKDAYS(H6553+1,TODAY()))))</f>
        <v/>
      </c>
      <c r="L6553" t="str">
        <f>IF(A6553="","",IFERROR(LOOKUP(2,1/(#REF!=Z6553),#REF!),Y6553))</f>
        <v/>
      </c>
      <c r="Z6553" t="str">
        <f>IF(A6553="","",TEXT(A6553,"0")&amp;"|"&amp;TEXT(H6553,"0"))</f>
        <v/>
      </c>
      <c r="AA6553" t="str">
        <f>IF(Z6553="","",IFERROR(LOOKUP(2,1/(#REF!=Z6553),#REF!),""))</f>
        <v/>
      </c>
      <c r="AB6553" t="str">
        <f>IF(Z6553="","",IFERROR(LOOKUP(2,1/(#REF!=Z6553),#REF!),""))</f>
        <v/>
      </c>
      <c r="AC6553" t="str">
        <f>IF(Z6553="","",COUNTIF(#REF!,Z6553))</f>
        <v/>
      </c>
      <c r="AD6553" t="str">
        <f>IF(A6553="","",IF(AC6553&gt;1,"REVISAR DUPLICADO",IF(AA6553&lt;&gt;"","ACTUALIZADO POR EYR","SIN REPORTE EYR")))</f>
        <v/>
      </c>
    </row>
    <row r="6554" spans="11:30" x14ac:dyDescent="0.3">
      <c r="K6554" s="1" t="str">
        <f ca="1">IF(A6554="","",IF(OR(L6554="ENTREGADA",L6554="RETORNADA",L6554="ENTREGA DIGITAL"),0,MAX(0,5-NETWORKDAYS(H6554+1,TODAY()))))</f>
        <v/>
      </c>
      <c r="L6554" t="str">
        <f>IF(A6554="","",IFERROR(LOOKUP(2,1/(#REF!=Z6554),#REF!),Y6554))</f>
        <v/>
      </c>
      <c r="Z6554" t="str">
        <f>IF(A6554="","",TEXT(A6554,"0")&amp;"|"&amp;TEXT(H6554,"0"))</f>
        <v/>
      </c>
      <c r="AA6554" t="str">
        <f>IF(Z6554="","",IFERROR(LOOKUP(2,1/(#REF!=Z6554),#REF!),""))</f>
        <v/>
      </c>
      <c r="AB6554" t="str">
        <f>IF(Z6554="","",IFERROR(LOOKUP(2,1/(#REF!=Z6554),#REF!),""))</f>
        <v/>
      </c>
      <c r="AC6554" t="str">
        <f>IF(Z6554="","",COUNTIF(#REF!,Z6554))</f>
        <v/>
      </c>
      <c r="AD6554" t="str">
        <f>IF(A6554="","",IF(AC6554&gt;1,"REVISAR DUPLICADO",IF(AA6554&lt;&gt;"","ACTUALIZADO POR EYR","SIN REPORTE EYR")))</f>
        <v/>
      </c>
    </row>
    <row r="6555" spans="11:30" x14ac:dyDescent="0.3">
      <c r="K6555" s="1" t="str">
        <f ca="1">IF(A6555="","",IF(OR(L6555="ENTREGADA",L6555="RETORNADA",L6555="ENTREGA DIGITAL"),0,MAX(0,5-NETWORKDAYS(H6555+1,TODAY()))))</f>
        <v/>
      </c>
      <c r="L6555" t="str">
        <f>IF(A6555="","",IFERROR(LOOKUP(2,1/(#REF!=Z6555),#REF!),Y6555))</f>
        <v/>
      </c>
      <c r="Z6555" t="str">
        <f>IF(A6555="","",TEXT(A6555,"0")&amp;"|"&amp;TEXT(H6555,"0"))</f>
        <v/>
      </c>
      <c r="AA6555" t="str">
        <f>IF(Z6555="","",IFERROR(LOOKUP(2,1/(#REF!=Z6555),#REF!),""))</f>
        <v/>
      </c>
      <c r="AB6555" t="str">
        <f>IF(Z6555="","",IFERROR(LOOKUP(2,1/(#REF!=Z6555),#REF!),""))</f>
        <v/>
      </c>
      <c r="AC6555" t="str">
        <f>IF(Z6555="","",COUNTIF(#REF!,Z6555))</f>
        <v/>
      </c>
      <c r="AD6555" t="str">
        <f>IF(A6555="","",IF(AC6555&gt;1,"REVISAR DUPLICADO",IF(AA6555&lt;&gt;"","ACTUALIZADO POR EYR","SIN REPORTE EYR")))</f>
        <v/>
      </c>
    </row>
    <row r="6556" spans="11:30" x14ac:dyDescent="0.3">
      <c r="K6556" s="1" t="str">
        <f ca="1">IF(A6556="","",IF(OR(L6556="ENTREGADA",L6556="RETORNADA",L6556="ENTREGA DIGITAL"),0,MAX(0,5-NETWORKDAYS(H6556+1,TODAY()))))</f>
        <v/>
      </c>
      <c r="L6556" t="str">
        <f>IF(A6556="","",IFERROR(LOOKUP(2,1/(#REF!=Z6556),#REF!),Y6556))</f>
        <v/>
      </c>
      <c r="Z6556" t="str">
        <f>IF(A6556="","",TEXT(A6556,"0")&amp;"|"&amp;TEXT(H6556,"0"))</f>
        <v/>
      </c>
      <c r="AA6556" t="str">
        <f>IF(Z6556="","",IFERROR(LOOKUP(2,1/(#REF!=Z6556),#REF!),""))</f>
        <v/>
      </c>
      <c r="AB6556" t="str">
        <f>IF(Z6556="","",IFERROR(LOOKUP(2,1/(#REF!=Z6556),#REF!),""))</f>
        <v/>
      </c>
      <c r="AC6556" t="str">
        <f>IF(Z6556="","",COUNTIF(#REF!,Z6556))</f>
        <v/>
      </c>
      <c r="AD6556" t="str">
        <f>IF(A6556="","",IF(AC6556&gt;1,"REVISAR DUPLICADO",IF(AA6556&lt;&gt;"","ACTUALIZADO POR EYR","SIN REPORTE EYR")))</f>
        <v/>
      </c>
    </row>
    <row r="6557" spans="11:30" x14ac:dyDescent="0.3">
      <c r="K6557" s="1" t="str">
        <f ca="1">IF(A6557="","",IF(OR(L6557="ENTREGADA",L6557="RETORNADA",L6557="ENTREGA DIGITAL"),0,MAX(0,5-NETWORKDAYS(H6557+1,TODAY()))))</f>
        <v/>
      </c>
      <c r="L6557" t="str">
        <f>IF(A6557="","",IFERROR(LOOKUP(2,1/(#REF!=Z6557),#REF!),Y6557))</f>
        <v/>
      </c>
      <c r="Z6557" t="str">
        <f>IF(A6557="","",TEXT(A6557,"0")&amp;"|"&amp;TEXT(H6557,"0"))</f>
        <v/>
      </c>
      <c r="AA6557" t="str">
        <f>IF(Z6557="","",IFERROR(LOOKUP(2,1/(#REF!=Z6557),#REF!),""))</f>
        <v/>
      </c>
      <c r="AB6557" t="str">
        <f>IF(Z6557="","",IFERROR(LOOKUP(2,1/(#REF!=Z6557),#REF!),""))</f>
        <v/>
      </c>
      <c r="AC6557" t="str">
        <f>IF(Z6557="","",COUNTIF(#REF!,Z6557))</f>
        <v/>
      </c>
      <c r="AD6557" t="str">
        <f>IF(A6557="","",IF(AC6557&gt;1,"REVISAR DUPLICADO",IF(AA6557&lt;&gt;"","ACTUALIZADO POR EYR","SIN REPORTE EYR")))</f>
        <v/>
      </c>
    </row>
    <row r="6558" spans="11:30" x14ac:dyDescent="0.3">
      <c r="K6558" s="1" t="str">
        <f ca="1">IF(A6558="","",IF(OR(L6558="ENTREGADA",L6558="RETORNADA",L6558="ENTREGA DIGITAL"),0,MAX(0,5-NETWORKDAYS(H6558+1,TODAY()))))</f>
        <v/>
      </c>
      <c r="L6558" t="str">
        <f>IF(A6558="","",IFERROR(LOOKUP(2,1/(#REF!=Z6558),#REF!),Y6558))</f>
        <v/>
      </c>
      <c r="Z6558" t="str">
        <f>IF(A6558="","",TEXT(A6558,"0")&amp;"|"&amp;TEXT(H6558,"0"))</f>
        <v/>
      </c>
      <c r="AA6558" t="str">
        <f>IF(Z6558="","",IFERROR(LOOKUP(2,1/(#REF!=Z6558),#REF!),""))</f>
        <v/>
      </c>
      <c r="AB6558" t="str">
        <f>IF(Z6558="","",IFERROR(LOOKUP(2,1/(#REF!=Z6558),#REF!),""))</f>
        <v/>
      </c>
      <c r="AC6558" t="str">
        <f>IF(Z6558="","",COUNTIF(#REF!,Z6558))</f>
        <v/>
      </c>
      <c r="AD6558" t="str">
        <f>IF(A6558="","",IF(AC6558&gt;1,"REVISAR DUPLICADO",IF(AA6558&lt;&gt;"","ACTUALIZADO POR EYR","SIN REPORTE EYR")))</f>
        <v/>
      </c>
    </row>
    <row r="6559" spans="11:30" x14ac:dyDescent="0.3">
      <c r="K6559" s="1" t="str">
        <f ca="1">IF(A6559="","",IF(OR(L6559="ENTREGADA",L6559="RETORNADA",L6559="ENTREGA DIGITAL"),0,MAX(0,5-NETWORKDAYS(H6559+1,TODAY()))))</f>
        <v/>
      </c>
      <c r="L6559" t="str">
        <f>IF(A6559="","",IFERROR(LOOKUP(2,1/(#REF!=Z6559),#REF!),Y6559))</f>
        <v/>
      </c>
      <c r="Z6559" t="str">
        <f>IF(A6559="","",TEXT(A6559,"0")&amp;"|"&amp;TEXT(H6559,"0"))</f>
        <v/>
      </c>
      <c r="AA6559" t="str">
        <f>IF(Z6559="","",IFERROR(LOOKUP(2,1/(#REF!=Z6559),#REF!),""))</f>
        <v/>
      </c>
      <c r="AB6559" t="str">
        <f>IF(Z6559="","",IFERROR(LOOKUP(2,1/(#REF!=Z6559),#REF!),""))</f>
        <v/>
      </c>
      <c r="AC6559" t="str">
        <f>IF(Z6559="","",COUNTIF(#REF!,Z6559))</f>
        <v/>
      </c>
      <c r="AD6559" t="str">
        <f>IF(A6559="","",IF(AC6559&gt;1,"REVISAR DUPLICADO",IF(AA6559&lt;&gt;"","ACTUALIZADO POR EYR","SIN REPORTE EYR")))</f>
        <v/>
      </c>
    </row>
    <row r="6560" spans="11:30" x14ac:dyDescent="0.3">
      <c r="K6560" s="1" t="str">
        <f ca="1">IF(A6560="","",IF(OR(L6560="ENTREGADA",L6560="RETORNADA",L6560="ENTREGA DIGITAL"),0,MAX(0,5-NETWORKDAYS(H6560+1,TODAY()))))</f>
        <v/>
      </c>
      <c r="L6560" t="str">
        <f>IF(A6560="","",IFERROR(LOOKUP(2,1/(#REF!=Z6560),#REF!),Y6560))</f>
        <v/>
      </c>
      <c r="Z6560" t="str">
        <f>IF(A6560="","",TEXT(A6560,"0")&amp;"|"&amp;TEXT(H6560,"0"))</f>
        <v/>
      </c>
      <c r="AA6560" t="str">
        <f>IF(Z6560="","",IFERROR(LOOKUP(2,1/(#REF!=Z6560),#REF!),""))</f>
        <v/>
      </c>
      <c r="AB6560" t="str">
        <f>IF(Z6560="","",IFERROR(LOOKUP(2,1/(#REF!=Z6560),#REF!),""))</f>
        <v/>
      </c>
      <c r="AC6560" t="str">
        <f>IF(Z6560="","",COUNTIF(#REF!,Z6560))</f>
        <v/>
      </c>
      <c r="AD6560" t="str">
        <f>IF(A6560="","",IF(AC6560&gt;1,"REVISAR DUPLICADO",IF(AA6560&lt;&gt;"","ACTUALIZADO POR EYR","SIN REPORTE EYR")))</f>
        <v/>
      </c>
    </row>
    <row r="6561" spans="11:30" x14ac:dyDescent="0.3">
      <c r="K6561" s="1" t="str">
        <f ca="1">IF(A6561="","",IF(OR(L6561="ENTREGADA",L6561="RETORNADA",L6561="ENTREGA DIGITAL"),0,MAX(0,5-NETWORKDAYS(H6561+1,TODAY()))))</f>
        <v/>
      </c>
      <c r="L6561" t="str">
        <f>IF(A6561="","",IFERROR(LOOKUP(2,1/(#REF!=Z6561),#REF!),Y6561))</f>
        <v/>
      </c>
      <c r="Z6561" t="str">
        <f>IF(A6561="","",TEXT(A6561,"0")&amp;"|"&amp;TEXT(H6561,"0"))</f>
        <v/>
      </c>
      <c r="AA6561" t="str">
        <f>IF(Z6561="","",IFERROR(LOOKUP(2,1/(#REF!=Z6561),#REF!),""))</f>
        <v/>
      </c>
      <c r="AB6561" t="str">
        <f>IF(Z6561="","",IFERROR(LOOKUP(2,1/(#REF!=Z6561),#REF!),""))</f>
        <v/>
      </c>
      <c r="AC6561" t="str">
        <f>IF(Z6561="","",COUNTIF(#REF!,Z6561))</f>
        <v/>
      </c>
      <c r="AD6561" t="str">
        <f>IF(A6561="","",IF(AC6561&gt;1,"REVISAR DUPLICADO",IF(AA6561&lt;&gt;"","ACTUALIZADO POR EYR","SIN REPORTE EYR")))</f>
        <v/>
      </c>
    </row>
    <row r="6562" spans="11:30" x14ac:dyDescent="0.3">
      <c r="K6562" s="1" t="str">
        <f ca="1">IF(A6562="","",IF(OR(L6562="ENTREGADA",L6562="RETORNADA",L6562="ENTREGA DIGITAL"),0,MAX(0,5-NETWORKDAYS(H6562+1,TODAY()))))</f>
        <v/>
      </c>
      <c r="L6562" t="str">
        <f>IF(A6562="","",IFERROR(LOOKUP(2,1/(#REF!=Z6562),#REF!),Y6562))</f>
        <v/>
      </c>
      <c r="Z6562" t="str">
        <f>IF(A6562="","",TEXT(A6562,"0")&amp;"|"&amp;TEXT(H6562,"0"))</f>
        <v/>
      </c>
      <c r="AA6562" t="str">
        <f>IF(Z6562="","",IFERROR(LOOKUP(2,1/(#REF!=Z6562),#REF!),""))</f>
        <v/>
      </c>
      <c r="AB6562" t="str">
        <f>IF(Z6562="","",IFERROR(LOOKUP(2,1/(#REF!=Z6562),#REF!),""))</f>
        <v/>
      </c>
      <c r="AC6562" t="str">
        <f>IF(Z6562="","",COUNTIF(#REF!,Z6562))</f>
        <v/>
      </c>
      <c r="AD6562" t="str">
        <f>IF(A6562="","",IF(AC6562&gt;1,"REVISAR DUPLICADO",IF(AA6562&lt;&gt;"","ACTUALIZADO POR EYR","SIN REPORTE EYR")))</f>
        <v/>
      </c>
    </row>
    <row r="6563" spans="11:30" x14ac:dyDescent="0.3">
      <c r="K6563" s="1" t="str">
        <f ca="1">IF(A6563="","",IF(OR(L6563="ENTREGADA",L6563="RETORNADA",L6563="ENTREGA DIGITAL"),0,MAX(0,5-NETWORKDAYS(H6563+1,TODAY()))))</f>
        <v/>
      </c>
      <c r="L6563" t="str">
        <f>IF(A6563="","",IFERROR(LOOKUP(2,1/(#REF!=Z6563),#REF!),Y6563))</f>
        <v/>
      </c>
      <c r="Z6563" t="str">
        <f>IF(A6563="","",TEXT(A6563,"0")&amp;"|"&amp;TEXT(H6563,"0"))</f>
        <v/>
      </c>
      <c r="AA6563" t="str">
        <f>IF(Z6563="","",IFERROR(LOOKUP(2,1/(#REF!=Z6563),#REF!),""))</f>
        <v/>
      </c>
      <c r="AB6563" t="str">
        <f>IF(Z6563="","",IFERROR(LOOKUP(2,1/(#REF!=Z6563),#REF!),""))</f>
        <v/>
      </c>
      <c r="AC6563" t="str">
        <f>IF(Z6563="","",COUNTIF(#REF!,Z6563))</f>
        <v/>
      </c>
      <c r="AD6563" t="str">
        <f>IF(A6563="","",IF(AC6563&gt;1,"REVISAR DUPLICADO",IF(AA6563&lt;&gt;"","ACTUALIZADO POR EYR","SIN REPORTE EYR")))</f>
        <v/>
      </c>
    </row>
    <row r="6564" spans="11:30" x14ac:dyDescent="0.3">
      <c r="K6564" s="1" t="str">
        <f ca="1">IF(A6564="","",IF(OR(L6564="ENTREGADA",L6564="RETORNADA",L6564="ENTREGA DIGITAL"),0,MAX(0,5-NETWORKDAYS(H6564+1,TODAY()))))</f>
        <v/>
      </c>
      <c r="L6564" t="str">
        <f>IF(A6564="","",IFERROR(LOOKUP(2,1/(#REF!=Z6564),#REF!),Y6564))</f>
        <v/>
      </c>
      <c r="Z6564" t="str">
        <f>IF(A6564="","",TEXT(A6564,"0")&amp;"|"&amp;TEXT(H6564,"0"))</f>
        <v/>
      </c>
      <c r="AA6564" t="str">
        <f>IF(Z6564="","",IFERROR(LOOKUP(2,1/(#REF!=Z6564),#REF!),""))</f>
        <v/>
      </c>
      <c r="AB6564" t="str">
        <f>IF(Z6564="","",IFERROR(LOOKUP(2,1/(#REF!=Z6564),#REF!),""))</f>
        <v/>
      </c>
      <c r="AC6564" t="str">
        <f>IF(Z6564="","",COUNTIF(#REF!,Z6564))</f>
        <v/>
      </c>
      <c r="AD6564" t="str">
        <f>IF(A6564="","",IF(AC6564&gt;1,"REVISAR DUPLICADO",IF(AA6564&lt;&gt;"","ACTUALIZADO POR EYR","SIN REPORTE EYR")))</f>
        <v/>
      </c>
    </row>
    <row r="6565" spans="11:30" x14ac:dyDescent="0.3">
      <c r="K6565" s="1" t="str">
        <f ca="1">IF(A6565="","",IF(OR(L6565="ENTREGADA",L6565="RETORNADA",L6565="ENTREGA DIGITAL"),0,MAX(0,5-NETWORKDAYS(H6565+1,TODAY()))))</f>
        <v/>
      </c>
      <c r="L6565" t="str">
        <f>IF(A6565="","",IFERROR(LOOKUP(2,1/(#REF!=Z6565),#REF!),Y6565))</f>
        <v/>
      </c>
      <c r="Z6565" t="str">
        <f>IF(A6565="","",TEXT(A6565,"0")&amp;"|"&amp;TEXT(H6565,"0"))</f>
        <v/>
      </c>
      <c r="AA6565" t="str">
        <f>IF(Z6565="","",IFERROR(LOOKUP(2,1/(#REF!=Z6565),#REF!),""))</f>
        <v/>
      </c>
      <c r="AB6565" t="str">
        <f>IF(Z6565="","",IFERROR(LOOKUP(2,1/(#REF!=Z6565),#REF!),""))</f>
        <v/>
      </c>
      <c r="AC6565" t="str">
        <f>IF(Z6565="","",COUNTIF(#REF!,Z6565))</f>
        <v/>
      </c>
      <c r="AD6565" t="str">
        <f>IF(A6565="","",IF(AC6565&gt;1,"REVISAR DUPLICADO",IF(AA6565&lt;&gt;"","ACTUALIZADO POR EYR","SIN REPORTE EYR")))</f>
        <v/>
      </c>
    </row>
    <row r="6566" spans="11:30" x14ac:dyDescent="0.3">
      <c r="K6566" s="1" t="str">
        <f ca="1">IF(A6566="","",IF(OR(L6566="ENTREGADA",L6566="RETORNADA",L6566="ENTREGA DIGITAL"),0,MAX(0,5-NETWORKDAYS(H6566+1,TODAY()))))</f>
        <v/>
      </c>
      <c r="L6566" t="str">
        <f>IF(A6566="","",IFERROR(LOOKUP(2,1/(#REF!=Z6566),#REF!),Y6566))</f>
        <v/>
      </c>
      <c r="Z6566" t="str">
        <f>IF(A6566="","",TEXT(A6566,"0")&amp;"|"&amp;TEXT(H6566,"0"))</f>
        <v/>
      </c>
      <c r="AA6566" t="str">
        <f>IF(Z6566="","",IFERROR(LOOKUP(2,1/(#REF!=Z6566),#REF!),""))</f>
        <v/>
      </c>
      <c r="AB6566" t="str">
        <f>IF(Z6566="","",IFERROR(LOOKUP(2,1/(#REF!=Z6566),#REF!),""))</f>
        <v/>
      </c>
      <c r="AC6566" t="str">
        <f>IF(Z6566="","",COUNTIF(#REF!,Z6566))</f>
        <v/>
      </c>
      <c r="AD6566" t="str">
        <f>IF(A6566="","",IF(AC6566&gt;1,"REVISAR DUPLICADO",IF(AA6566&lt;&gt;"","ACTUALIZADO POR EYR","SIN REPORTE EYR")))</f>
        <v/>
      </c>
    </row>
    <row r="6567" spans="11:30" x14ac:dyDescent="0.3">
      <c r="K6567" s="1" t="str">
        <f ca="1">IF(A6567="","",IF(OR(L6567="ENTREGADA",L6567="RETORNADA",L6567="ENTREGA DIGITAL"),0,MAX(0,5-NETWORKDAYS(H6567+1,TODAY()))))</f>
        <v/>
      </c>
      <c r="L6567" t="str">
        <f>IF(A6567="","",IFERROR(LOOKUP(2,1/(#REF!=Z6567),#REF!),Y6567))</f>
        <v/>
      </c>
      <c r="Z6567" t="str">
        <f>IF(A6567="","",TEXT(A6567,"0")&amp;"|"&amp;TEXT(H6567,"0"))</f>
        <v/>
      </c>
      <c r="AA6567" t="str">
        <f>IF(Z6567="","",IFERROR(LOOKUP(2,1/(#REF!=Z6567),#REF!),""))</f>
        <v/>
      </c>
      <c r="AB6567" t="str">
        <f>IF(Z6567="","",IFERROR(LOOKUP(2,1/(#REF!=Z6567),#REF!),""))</f>
        <v/>
      </c>
      <c r="AC6567" t="str">
        <f>IF(Z6567="","",COUNTIF(#REF!,Z6567))</f>
        <v/>
      </c>
      <c r="AD6567" t="str">
        <f>IF(A6567="","",IF(AC6567&gt;1,"REVISAR DUPLICADO",IF(AA6567&lt;&gt;"","ACTUALIZADO POR EYR","SIN REPORTE EYR")))</f>
        <v/>
      </c>
    </row>
    <row r="6568" spans="11:30" x14ac:dyDescent="0.3">
      <c r="K6568" s="1" t="str">
        <f ca="1">IF(A6568="","",IF(OR(L6568="ENTREGADA",L6568="RETORNADA",L6568="ENTREGA DIGITAL"),0,MAX(0,5-NETWORKDAYS(H6568+1,TODAY()))))</f>
        <v/>
      </c>
      <c r="L6568" t="str">
        <f>IF(A6568="","",IFERROR(LOOKUP(2,1/(#REF!=Z6568),#REF!),Y6568))</f>
        <v/>
      </c>
      <c r="Z6568" t="str">
        <f>IF(A6568="","",TEXT(A6568,"0")&amp;"|"&amp;TEXT(H6568,"0"))</f>
        <v/>
      </c>
      <c r="AA6568" t="str">
        <f>IF(Z6568="","",IFERROR(LOOKUP(2,1/(#REF!=Z6568),#REF!),""))</f>
        <v/>
      </c>
      <c r="AB6568" t="str">
        <f>IF(Z6568="","",IFERROR(LOOKUP(2,1/(#REF!=Z6568),#REF!),""))</f>
        <v/>
      </c>
      <c r="AC6568" t="str">
        <f>IF(Z6568="","",COUNTIF(#REF!,Z6568))</f>
        <v/>
      </c>
      <c r="AD6568" t="str">
        <f>IF(A6568="","",IF(AC6568&gt;1,"REVISAR DUPLICADO",IF(AA6568&lt;&gt;"","ACTUALIZADO POR EYR","SIN REPORTE EYR")))</f>
        <v/>
      </c>
    </row>
    <row r="6569" spans="11:30" x14ac:dyDescent="0.3">
      <c r="K6569" s="1" t="str">
        <f ca="1">IF(A6569="","",IF(OR(L6569="ENTREGADA",L6569="RETORNADA",L6569="ENTREGA DIGITAL"),0,MAX(0,5-NETWORKDAYS(H6569+1,TODAY()))))</f>
        <v/>
      </c>
      <c r="L6569" t="str">
        <f>IF(A6569="","",IFERROR(LOOKUP(2,1/(#REF!=Z6569),#REF!),Y6569))</f>
        <v/>
      </c>
      <c r="Z6569" t="str">
        <f>IF(A6569="","",TEXT(A6569,"0")&amp;"|"&amp;TEXT(H6569,"0"))</f>
        <v/>
      </c>
      <c r="AA6569" t="str">
        <f>IF(Z6569="","",IFERROR(LOOKUP(2,1/(#REF!=Z6569),#REF!),""))</f>
        <v/>
      </c>
      <c r="AB6569" t="str">
        <f>IF(Z6569="","",IFERROR(LOOKUP(2,1/(#REF!=Z6569),#REF!),""))</f>
        <v/>
      </c>
      <c r="AC6569" t="str">
        <f>IF(Z6569="","",COUNTIF(#REF!,Z6569))</f>
        <v/>
      </c>
      <c r="AD6569" t="str">
        <f>IF(A6569="","",IF(AC6569&gt;1,"REVISAR DUPLICADO",IF(AA6569&lt;&gt;"","ACTUALIZADO POR EYR","SIN REPORTE EYR")))</f>
        <v/>
      </c>
    </row>
    <row r="6570" spans="11:30" x14ac:dyDescent="0.3">
      <c r="K6570" s="1" t="str">
        <f ca="1">IF(A6570="","",IF(OR(L6570="ENTREGADA",L6570="RETORNADA",L6570="ENTREGA DIGITAL"),0,MAX(0,5-NETWORKDAYS(H6570+1,TODAY()))))</f>
        <v/>
      </c>
      <c r="L6570" t="str">
        <f>IF(A6570="","",IFERROR(LOOKUP(2,1/(#REF!=Z6570),#REF!),Y6570))</f>
        <v/>
      </c>
      <c r="Z6570" t="str">
        <f>IF(A6570="","",TEXT(A6570,"0")&amp;"|"&amp;TEXT(H6570,"0"))</f>
        <v/>
      </c>
      <c r="AA6570" t="str">
        <f>IF(Z6570="","",IFERROR(LOOKUP(2,1/(#REF!=Z6570),#REF!),""))</f>
        <v/>
      </c>
      <c r="AB6570" t="str">
        <f>IF(Z6570="","",IFERROR(LOOKUP(2,1/(#REF!=Z6570),#REF!),""))</f>
        <v/>
      </c>
      <c r="AC6570" t="str">
        <f>IF(Z6570="","",COUNTIF(#REF!,Z6570))</f>
        <v/>
      </c>
      <c r="AD6570" t="str">
        <f>IF(A6570="","",IF(AC6570&gt;1,"REVISAR DUPLICADO",IF(AA6570&lt;&gt;"","ACTUALIZADO POR EYR","SIN REPORTE EYR")))</f>
        <v/>
      </c>
    </row>
    <row r="6571" spans="11:30" x14ac:dyDescent="0.3">
      <c r="K6571" s="1" t="str">
        <f ca="1">IF(A6571="","",IF(OR(L6571="ENTREGADA",L6571="RETORNADA",L6571="ENTREGA DIGITAL"),0,MAX(0,5-NETWORKDAYS(H6571+1,TODAY()))))</f>
        <v/>
      </c>
      <c r="L6571" t="str">
        <f>IF(A6571="","",IFERROR(LOOKUP(2,1/(#REF!=Z6571),#REF!),Y6571))</f>
        <v/>
      </c>
      <c r="Z6571" t="str">
        <f>IF(A6571="","",TEXT(A6571,"0")&amp;"|"&amp;TEXT(H6571,"0"))</f>
        <v/>
      </c>
      <c r="AA6571" t="str">
        <f>IF(Z6571="","",IFERROR(LOOKUP(2,1/(#REF!=Z6571),#REF!),""))</f>
        <v/>
      </c>
      <c r="AB6571" t="str">
        <f>IF(Z6571="","",IFERROR(LOOKUP(2,1/(#REF!=Z6571),#REF!),""))</f>
        <v/>
      </c>
      <c r="AC6571" t="str">
        <f>IF(Z6571="","",COUNTIF(#REF!,Z6571))</f>
        <v/>
      </c>
      <c r="AD6571" t="str">
        <f>IF(A6571="","",IF(AC6571&gt;1,"REVISAR DUPLICADO",IF(AA6571&lt;&gt;"","ACTUALIZADO POR EYR","SIN REPORTE EYR")))</f>
        <v/>
      </c>
    </row>
    <row r="6572" spans="11:30" x14ac:dyDescent="0.3">
      <c r="K6572" s="1" t="str">
        <f ca="1">IF(A6572="","",IF(OR(L6572="ENTREGADA",L6572="RETORNADA",L6572="ENTREGA DIGITAL"),0,MAX(0,5-NETWORKDAYS(H6572+1,TODAY()))))</f>
        <v/>
      </c>
      <c r="L6572" t="str">
        <f>IF(A6572="","",IFERROR(LOOKUP(2,1/(#REF!=Z6572),#REF!),Y6572))</f>
        <v/>
      </c>
      <c r="Z6572" t="str">
        <f>IF(A6572="","",TEXT(A6572,"0")&amp;"|"&amp;TEXT(H6572,"0"))</f>
        <v/>
      </c>
      <c r="AA6572" t="str">
        <f>IF(Z6572="","",IFERROR(LOOKUP(2,1/(#REF!=Z6572),#REF!),""))</f>
        <v/>
      </c>
      <c r="AB6572" t="str">
        <f>IF(Z6572="","",IFERROR(LOOKUP(2,1/(#REF!=Z6572),#REF!),""))</f>
        <v/>
      </c>
      <c r="AC6572" t="str">
        <f>IF(Z6572="","",COUNTIF(#REF!,Z6572))</f>
        <v/>
      </c>
      <c r="AD6572" t="str">
        <f>IF(A6572="","",IF(AC6572&gt;1,"REVISAR DUPLICADO",IF(AA6572&lt;&gt;"","ACTUALIZADO POR EYR","SIN REPORTE EYR")))</f>
        <v/>
      </c>
    </row>
    <row r="6573" spans="11:30" x14ac:dyDescent="0.3">
      <c r="K6573" s="1" t="str">
        <f ca="1">IF(A6573="","",IF(OR(L6573="ENTREGADA",L6573="RETORNADA",L6573="ENTREGA DIGITAL"),0,MAX(0,5-NETWORKDAYS(H6573+1,TODAY()))))</f>
        <v/>
      </c>
      <c r="L6573" t="str">
        <f>IF(A6573="","",IFERROR(LOOKUP(2,1/(#REF!=Z6573),#REF!),Y6573))</f>
        <v/>
      </c>
      <c r="Z6573" t="str">
        <f>IF(A6573="","",TEXT(A6573,"0")&amp;"|"&amp;TEXT(H6573,"0"))</f>
        <v/>
      </c>
      <c r="AA6573" t="str">
        <f>IF(Z6573="","",IFERROR(LOOKUP(2,1/(#REF!=Z6573),#REF!),""))</f>
        <v/>
      </c>
      <c r="AB6573" t="str">
        <f>IF(Z6573="","",IFERROR(LOOKUP(2,1/(#REF!=Z6573),#REF!),""))</f>
        <v/>
      </c>
      <c r="AC6573" t="str">
        <f>IF(Z6573="","",COUNTIF(#REF!,Z6573))</f>
        <v/>
      </c>
      <c r="AD6573" t="str">
        <f>IF(A6573="","",IF(AC6573&gt;1,"REVISAR DUPLICADO",IF(AA6573&lt;&gt;"","ACTUALIZADO POR EYR","SIN REPORTE EYR")))</f>
        <v/>
      </c>
    </row>
    <row r="6574" spans="11:30" x14ac:dyDescent="0.3">
      <c r="K6574" s="1" t="str">
        <f ca="1">IF(A6574="","",IF(OR(L6574="ENTREGADA",L6574="RETORNADA",L6574="ENTREGA DIGITAL"),0,MAX(0,5-NETWORKDAYS(H6574+1,TODAY()))))</f>
        <v/>
      </c>
      <c r="L6574" t="str">
        <f>IF(A6574="","",IFERROR(LOOKUP(2,1/(#REF!=Z6574),#REF!),Y6574))</f>
        <v/>
      </c>
      <c r="Z6574" t="str">
        <f>IF(A6574="","",TEXT(A6574,"0")&amp;"|"&amp;TEXT(H6574,"0"))</f>
        <v/>
      </c>
      <c r="AA6574" t="str">
        <f>IF(Z6574="","",IFERROR(LOOKUP(2,1/(#REF!=Z6574),#REF!),""))</f>
        <v/>
      </c>
      <c r="AB6574" t="str">
        <f>IF(Z6574="","",IFERROR(LOOKUP(2,1/(#REF!=Z6574),#REF!),""))</f>
        <v/>
      </c>
      <c r="AC6574" t="str">
        <f>IF(Z6574="","",COUNTIF(#REF!,Z6574))</f>
        <v/>
      </c>
      <c r="AD6574" t="str">
        <f>IF(A6574="","",IF(AC6574&gt;1,"REVISAR DUPLICADO",IF(AA6574&lt;&gt;"","ACTUALIZADO POR EYR","SIN REPORTE EYR")))</f>
        <v/>
      </c>
    </row>
    <row r="6575" spans="11:30" x14ac:dyDescent="0.3">
      <c r="K6575" s="1" t="str">
        <f ca="1">IF(A6575="","",IF(OR(L6575="ENTREGADA",L6575="RETORNADA",L6575="ENTREGA DIGITAL"),0,MAX(0,5-NETWORKDAYS(H6575+1,TODAY()))))</f>
        <v/>
      </c>
      <c r="L6575" t="str">
        <f>IF(A6575="","",IFERROR(LOOKUP(2,1/(#REF!=Z6575),#REF!),Y6575))</f>
        <v/>
      </c>
      <c r="Z6575" t="str">
        <f>IF(A6575="","",TEXT(A6575,"0")&amp;"|"&amp;TEXT(H6575,"0"))</f>
        <v/>
      </c>
      <c r="AA6575" t="str">
        <f>IF(Z6575="","",IFERROR(LOOKUP(2,1/(#REF!=Z6575),#REF!),""))</f>
        <v/>
      </c>
      <c r="AB6575" t="str">
        <f>IF(Z6575="","",IFERROR(LOOKUP(2,1/(#REF!=Z6575),#REF!),""))</f>
        <v/>
      </c>
      <c r="AC6575" t="str">
        <f>IF(Z6575="","",COUNTIF(#REF!,Z6575))</f>
        <v/>
      </c>
      <c r="AD6575" t="str">
        <f>IF(A6575="","",IF(AC6575&gt;1,"REVISAR DUPLICADO",IF(AA6575&lt;&gt;"","ACTUALIZADO POR EYR","SIN REPORTE EYR")))</f>
        <v/>
      </c>
    </row>
    <row r="6576" spans="11:30" x14ac:dyDescent="0.3">
      <c r="K6576" s="1" t="str">
        <f ca="1">IF(A6576="","",IF(OR(L6576="ENTREGADA",L6576="RETORNADA",L6576="ENTREGA DIGITAL"),0,MAX(0,5-NETWORKDAYS(H6576+1,TODAY()))))</f>
        <v/>
      </c>
      <c r="L6576" t="str">
        <f>IF(A6576="","",IFERROR(LOOKUP(2,1/(#REF!=Z6576),#REF!),Y6576))</f>
        <v/>
      </c>
      <c r="Z6576" t="str">
        <f>IF(A6576="","",TEXT(A6576,"0")&amp;"|"&amp;TEXT(H6576,"0"))</f>
        <v/>
      </c>
      <c r="AA6576" t="str">
        <f>IF(Z6576="","",IFERROR(LOOKUP(2,1/(#REF!=Z6576),#REF!),""))</f>
        <v/>
      </c>
      <c r="AB6576" t="str">
        <f>IF(Z6576="","",IFERROR(LOOKUP(2,1/(#REF!=Z6576),#REF!),""))</f>
        <v/>
      </c>
      <c r="AC6576" t="str">
        <f>IF(Z6576="","",COUNTIF(#REF!,Z6576))</f>
        <v/>
      </c>
      <c r="AD6576" t="str">
        <f>IF(A6576="","",IF(AC6576&gt;1,"REVISAR DUPLICADO",IF(AA6576&lt;&gt;"","ACTUALIZADO POR EYR","SIN REPORTE EYR")))</f>
        <v/>
      </c>
    </row>
    <row r="6577" spans="11:30" x14ac:dyDescent="0.3">
      <c r="K6577" s="1" t="str">
        <f ca="1">IF(A6577="","",IF(OR(L6577="ENTREGADA",L6577="RETORNADA",L6577="ENTREGA DIGITAL"),0,MAX(0,5-NETWORKDAYS(H6577+1,TODAY()))))</f>
        <v/>
      </c>
      <c r="L6577" t="str">
        <f>IF(A6577="","",IFERROR(LOOKUP(2,1/(#REF!=Z6577),#REF!),Y6577))</f>
        <v/>
      </c>
      <c r="Z6577" t="str">
        <f>IF(A6577="","",TEXT(A6577,"0")&amp;"|"&amp;TEXT(H6577,"0"))</f>
        <v/>
      </c>
      <c r="AA6577" t="str">
        <f>IF(Z6577="","",IFERROR(LOOKUP(2,1/(#REF!=Z6577),#REF!),""))</f>
        <v/>
      </c>
      <c r="AB6577" t="str">
        <f>IF(Z6577="","",IFERROR(LOOKUP(2,1/(#REF!=Z6577),#REF!),""))</f>
        <v/>
      </c>
      <c r="AC6577" t="str">
        <f>IF(Z6577="","",COUNTIF(#REF!,Z6577))</f>
        <v/>
      </c>
      <c r="AD6577" t="str">
        <f>IF(A6577="","",IF(AC6577&gt;1,"REVISAR DUPLICADO",IF(AA6577&lt;&gt;"","ACTUALIZADO POR EYR","SIN REPORTE EYR")))</f>
        <v/>
      </c>
    </row>
    <row r="6578" spans="11:30" x14ac:dyDescent="0.3">
      <c r="K6578" s="1" t="str">
        <f ca="1">IF(A6578="","",IF(OR(L6578="ENTREGADA",L6578="RETORNADA",L6578="ENTREGA DIGITAL"),0,MAX(0,5-NETWORKDAYS(H6578+1,TODAY()))))</f>
        <v/>
      </c>
      <c r="L6578" t="str">
        <f>IF(A6578="","",IFERROR(LOOKUP(2,1/(#REF!=Z6578),#REF!),Y6578))</f>
        <v/>
      </c>
      <c r="Z6578" t="str">
        <f>IF(A6578="","",TEXT(A6578,"0")&amp;"|"&amp;TEXT(H6578,"0"))</f>
        <v/>
      </c>
      <c r="AA6578" t="str">
        <f>IF(Z6578="","",IFERROR(LOOKUP(2,1/(#REF!=Z6578),#REF!),""))</f>
        <v/>
      </c>
      <c r="AB6578" t="str">
        <f>IF(Z6578="","",IFERROR(LOOKUP(2,1/(#REF!=Z6578),#REF!),""))</f>
        <v/>
      </c>
      <c r="AC6578" t="str">
        <f>IF(Z6578="","",COUNTIF(#REF!,Z6578))</f>
        <v/>
      </c>
      <c r="AD6578" t="str">
        <f>IF(A6578="","",IF(AC6578&gt;1,"REVISAR DUPLICADO",IF(AA6578&lt;&gt;"","ACTUALIZADO POR EYR","SIN REPORTE EYR")))</f>
        <v/>
      </c>
    </row>
    <row r="6579" spans="11:30" x14ac:dyDescent="0.3">
      <c r="K6579" s="1" t="str">
        <f ca="1">IF(A6579="","",IF(OR(L6579="ENTREGADA",L6579="RETORNADA",L6579="ENTREGA DIGITAL"),0,MAX(0,5-NETWORKDAYS(H6579+1,TODAY()))))</f>
        <v/>
      </c>
      <c r="L6579" t="str">
        <f>IF(A6579="","",IFERROR(LOOKUP(2,1/(#REF!=Z6579),#REF!),Y6579))</f>
        <v/>
      </c>
      <c r="Z6579" t="str">
        <f>IF(A6579="","",TEXT(A6579,"0")&amp;"|"&amp;TEXT(H6579,"0"))</f>
        <v/>
      </c>
      <c r="AA6579" t="str">
        <f>IF(Z6579="","",IFERROR(LOOKUP(2,1/(#REF!=Z6579),#REF!),""))</f>
        <v/>
      </c>
      <c r="AB6579" t="str">
        <f>IF(Z6579="","",IFERROR(LOOKUP(2,1/(#REF!=Z6579),#REF!),""))</f>
        <v/>
      </c>
      <c r="AC6579" t="str">
        <f>IF(Z6579="","",COUNTIF(#REF!,Z6579))</f>
        <v/>
      </c>
      <c r="AD6579" t="str">
        <f>IF(A6579="","",IF(AC6579&gt;1,"REVISAR DUPLICADO",IF(AA6579&lt;&gt;"","ACTUALIZADO POR EYR","SIN REPORTE EYR")))</f>
        <v/>
      </c>
    </row>
    <row r="6580" spans="11:30" x14ac:dyDescent="0.3">
      <c r="K6580" s="1" t="str">
        <f ca="1">IF(A6580="","",IF(OR(L6580="ENTREGADA",L6580="RETORNADA",L6580="ENTREGA DIGITAL"),0,MAX(0,5-NETWORKDAYS(H6580+1,TODAY()))))</f>
        <v/>
      </c>
      <c r="L6580" t="str">
        <f>IF(A6580="","",IFERROR(LOOKUP(2,1/(#REF!=Z6580),#REF!),Y6580))</f>
        <v/>
      </c>
      <c r="Z6580" t="str">
        <f>IF(A6580="","",TEXT(A6580,"0")&amp;"|"&amp;TEXT(H6580,"0"))</f>
        <v/>
      </c>
      <c r="AA6580" t="str">
        <f>IF(Z6580="","",IFERROR(LOOKUP(2,1/(#REF!=Z6580),#REF!),""))</f>
        <v/>
      </c>
      <c r="AB6580" t="str">
        <f>IF(Z6580="","",IFERROR(LOOKUP(2,1/(#REF!=Z6580),#REF!),""))</f>
        <v/>
      </c>
      <c r="AC6580" t="str">
        <f>IF(Z6580="","",COUNTIF(#REF!,Z6580))</f>
        <v/>
      </c>
      <c r="AD6580" t="str">
        <f>IF(A6580="","",IF(AC6580&gt;1,"REVISAR DUPLICADO",IF(AA6580&lt;&gt;"","ACTUALIZADO POR EYR","SIN REPORTE EYR")))</f>
        <v/>
      </c>
    </row>
    <row r="6581" spans="11:30" x14ac:dyDescent="0.3">
      <c r="K6581" s="1" t="str">
        <f ca="1">IF(A6581="","",IF(OR(L6581="ENTREGADA",L6581="RETORNADA",L6581="ENTREGA DIGITAL"),0,MAX(0,5-NETWORKDAYS(H6581+1,TODAY()))))</f>
        <v/>
      </c>
      <c r="L6581" t="str">
        <f>IF(A6581="","",IFERROR(LOOKUP(2,1/(#REF!=Z6581),#REF!),Y6581))</f>
        <v/>
      </c>
      <c r="Z6581" t="str">
        <f>IF(A6581="","",TEXT(A6581,"0")&amp;"|"&amp;TEXT(H6581,"0"))</f>
        <v/>
      </c>
      <c r="AA6581" t="str">
        <f>IF(Z6581="","",IFERROR(LOOKUP(2,1/(#REF!=Z6581),#REF!),""))</f>
        <v/>
      </c>
      <c r="AB6581" t="str">
        <f>IF(Z6581="","",IFERROR(LOOKUP(2,1/(#REF!=Z6581),#REF!),""))</f>
        <v/>
      </c>
      <c r="AC6581" t="str">
        <f>IF(Z6581="","",COUNTIF(#REF!,Z6581))</f>
        <v/>
      </c>
      <c r="AD6581" t="str">
        <f>IF(A6581="","",IF(AC6581&gt;1,"REVISAR DUPLICADO",IF(AA6581&lt;&gt;"","ACTUALIZADO POR EYR","SIN REPORTE EYR")))</f>
        <v/>
      </c>
    </row>
    <row r="6582" spans="11:30" x14ac:dyDescent="0.3">
      <c r="K6582" s="1" t="str">
        <f ca="1">IF(A6582="","",IF(OR(L6582="ENTREGADA",L6582="RETORNADA",L6582="ENTREGA DIGITAL"),0,MAX(0,5-NETWORKDAYS(H6582+1,TODAY()))))</f>
        <v/>
      </c>
      <c r="L6582" t="str">
        <f>IF(A6582="","",IFERROR(LOOKUP(2,1/(#REF!=Z6582),#REF!),Y6582))</f>
        <v/>
      </c>
      <c r="Z6582" t="str">
        <f>IF(A6582="","",TEXT(A6582,"0")&amp;"|"&amp;TEXT(H6582,"0"))</f>
        <v/>
      </c>
      <c r="AA6582" t="str">
        <f>IF(Z6582="","",IFERROR(LOOKUP(2,1/(#REF!=Z6582),#REF!),""))</f>
        <v/>
      </c>
      <c r="AB6582" t="str">
        <f>IF(Z6582="","",IFERROR(LOOKUP(2,1/(#REF!=Z6582),#REF!),""))</f>
        <v/>
      </c>
      <c r="AC6582" t="str">
        <f>IF(Z6582="","",COUNTIF(#REF!,Z6582))</f>
        <v/>
      </c>
      <c r="AD6582" t="str">
        <f>IF(A6582="","",IF(AC6582&gt;1,"REVISAR DUPLICADO",IF(AA6582&lt;&gt;"","ACTUALIZADO POR EYR","SIN REPORTE EYR")))</f>
        <v/>
      </c>
    </row>
    <row r="6583" spans="11:30" x14ac:dyDescent="0.3">
      <c r="K6583" s="1" t="str">
        <f ca="1">IF(A6583="","",IF(OR(L6583="ENTREGADA",L6583="RETORNADA",L6583="ENTREGA DIGITAL"),0,MAX(0,5-NETWORKDAYS(H6583+1,TODAY()))))</f>
        <v/>
      </c>
      <c r="L6583" t="str">
        <f>IF(A6583="","",IFERROR(LOOKUP(2,1/(#REF!=Z6583),#REF!),Y6583))</f>
        <v/>
      </c>
      <c r="Z6583" t="str">
        <f>IF(A6583="","",TEXT(A6583,"0")&amp;"|"&amp;TEXT(H6583,"0"))</f>
        <v/>
      </c>
      <c r="AA6583" t="str">
        <f>IF(Z6583="","",IFERROR(LOOKUP(2,1/(#REF!=Z6583),#REF!),""))</f>
        <v/>
      </c>
      <c r="AB6583" t="str">
        <f>IF(Z6583="","",IFERROR(LOOKUP(2,1/(#REF!=Z6583),#REF!),""))</f>
        <v/>
      </c>
      <c r="AC6583" t="str">
        <f>IF(Z6583="","",COUNTIF(#REF!,Z6583))</f>
        <v/>
      </c>
      <c r="AD6583" t="str">
        <f>IF(A6583="","",IF(AC6583&gt;1,"REVISAR DUPLICADO",IF(AA6583&lt;&gt;"","ACTUALIZADO POR EYR","SIN REPORTE EYR")))</f>
        <v/>
      </c>
    </row>
    <row r="6584" spans="11:30" x14ac:dyDescent="0.3">
      <c r="K6584" s="1" t="str">
        <f ca="1">IF(A6584="","",IF(OR(L6584="ENTREGADA",L6584="RETORNADA",L6584="ENTREGA DIGITAL"),0,MAX(0,5-NETWORKDAYS(H6584+1,TODAY()))))</f>
        <v/>
      </c>
      <c r="L6584" t="str">
        <f>IF(A6584="","",IFERROR(LOOKUP(2,1/(#REF!=Z6584),#REF!),Y6584))</f>
        <v/>
      </c>
      <c r="Z6584" t="str">
        <f>IF(A6584="","",TEXT(A6584,"0")&amp;"|"&amp;TEXT(H6584,"0"))</f>
        <v/>
      </c>
      <c r="AA6584" t="str">
        <f>IF(Z6584="","",IFERROR(LOOKUP(2,1/(#REF!=Z6584),#REF!),""))</f>
        <v/>
      </c>
      <c r="AB6584" t="str">
        <f>IF(Z6584="","",IFERROR(LOOKUP(2,1/(#REF!=Z6584),#REF!),""))</f>
        <v/>
      </c>
      <c r="AC6584" t="str">
        <f>IF(Z6584="","",COUNTIF(#REF!,Z6584))</f>
        <v/>
      </c>
      <c r="AD6584" t="str">
        <f>IF(A6584="","",IF(AC6584&gt;1,"REVISAR DUPLICADO",IF(AA6584&lt;&gt;"","ACTUALIZADO POR EYR","SIN REPORTE EYR")))</f>
        <v/>
      </c>
    </row>
    <row r="6585" spans="11:30" x14ac:dyDescent="0.3">
      <c r="K6585" s="1" t="str">
        <f ca="1">IF(A6585="","",IF(OR(L6585="ENTREGADA",L6585="RETORNADA",L6585="ENTREGA DIGITAL"),0,MAX(0,5-NETWORKDAYS(H6585+1,TODAY()))))</f>
        <v/>
      </c>
      <c r="L6585" t="str">
        <f>IF(A6585="","",IFERROR(LOOKUP(2,1/(#REF!=Z6585),#REF!),Y6585))</f>
        <v/>
      </c>
      <c r="Z6585" t="str">
        <f>IF(A6585="","",TEXT(A6585,"0")&amp;"|"&amp;TEXT(H6585,"0"))</f>
        <v/>
      </c>
      <c r="AA6585" t="str">
        <f>IF(Z6585="","",IFERROR(LOOKUP(2,1/(#REF!=Z6585),#REF!),""))</f>
        <v/>
      </c>
      <c r="AB6585" t="str">
        <f>IF(Z6585="","",IFERROR(LOOKUP(2,1/(#REF!=Z6585),#REF!),""))</f>
        <v/>
      </c>
      <c r="AC6585" t="str">
        <f>IF(Z6585="","",COUNTIF(#REF!,Z6585))</f>
        <v/>
      </c>
      <c r="AD6585" t="str">
        <f>IF(A6585="","",IF(AC6585&gt;1,"REVISAR DUPLICADO",IF(AA6585&lt;&gt;"","ACTUALIZADO POR EYR","SIN REPORTE EYR")))</f>
        <v/>
      </c>
    </row>
    <row r="6586" spans="11:30" x14ac:dyDescent="0.3">
      <c r="K6586" s="1" t="str">
        <f ca="1">IF(A6586="","",IF(OR(L6586="ENTREGADA",L6586="RETORNADA",L6586="ENTREGA DIGITAL"),0,MAX(0,5-NETWORKDAYS(H6586+1,TODAY()))))</f>
        <v/>
      </c>
      <c r="L6586" t="str">
        <f>IF(A6586="","",IFERROR(LOOKUP(2,1/(#REF!=Z6586),#REF!),Y6586))</f>
        <v/>
      </c>
      <c r="Z6586" t="str">
        <f>IF(A6586="","",TEXT(A6586,"0")&amp;"|"&amp;TEXT(H6586,"0"))</f>
        <v/>
      </c>
      <c r="AA6586" t="str">
        <f>IF(Z6586="","",IFERROR(LOOKUP(2,1/(#REF!=Z6586),#REF!),""))</f>
        <v/>
      </c>
      <c r="AB6586" t="str">
        <f>IF(Z6586="","",IFERROR(LOOKUP(2,1/(#REF!=Z6586),#REF!),""))</f>
        <v/>
      </c>
      <c r="AC6586" t="str">
        <f>IF(Z6586="","",COUNTIF(#REF!,Z6586))</f>
        <v/>
      </c>
      <c r="AD6586" t="str">
        <f>IF(A6586="","",IF(AC6586&gt;1,"REVISAR DUPLICADO",IF(AA6586&lt;&gt;"","ACTUALIZADO POR EYR","SIN REPORTE EYR")))</f>
        <v/>
      </c>
    </row>
    <row r="6587" spans="11:30" x14ac:dyDescent="0.3">
      <c r="K6587" s="1" t="str">
        <f ca="1">IF(A6587="","",IF(OR(L6587="ENTREGADA",L6587="RETORNADA",L6587="ENTREGA DIGITAL"),0,MAX(0,5-NETWORKDAYS(H6587+1,TODAY()))))</f>
        <v/>
      </c>
      <c r="L6587" t="str">
        <f>IF(A6587="","",IFERROR(LOOKUP(2,1/(#REF!=Z6587),#REF!),Y6587))</f>
        <v/>
      </c>
      <c r="Z6587" t="str">
        <f>IF(A6587="","",TEXT(A6587,"0")&amp;"|"&amp;TEXT(H6587,"0"))</f>
        <v/>
      </c>
      <c r="AA6587" t="str">
        <f>IF(Z6587="","",IFERROR(LOOKUP(2,1/(#REF!=Z6587),#REF!),""))</f>
        <v/>
      </c>
      <c r="AB6587" t="str">
        <f>IF(Z6587="","",IFERROR(LOOKUP(2,1/(#REF!=Z6587),#REF!),""))</f>
        <v/>
      </c>
      <c r="AC6587" t="str">
        <f>IF(Z6587="","",COUNTIF(#REF!,Z6587))</f>
        <v/>
      </c>
      <c r="AD6587" t="str">
        <f>IF(A6587="","",IF(AC6587&gt;1,"REVISAR DUPLICADO",IF(AA6587&lt;&gt;"","ACTUALIZADO POR EYR","SIN REPORTE EYR")))</f>
        <v/>
      </c>
    </row>
    <row r="6588" spans="11:30" x14ac:dyDescent="0.3">
      <c r="K6588" s="1" t="str">
        <f ca="1">IF(A6588="","",IF(OR(L6588="ENTREGADA",L6588="RETORNADA",L6588="ENTREGA DIGITAL"),0,MAX(0,5-NETWORKDAYS(H6588+1,TODAY()))))</f>
        <v/>
      </c>
      <c r="L6588" t="str">
        <f>IF(A6588="","",IFERROR(LOOKUP(2,1/(#REF!=Z6588),#REF!),Y6588))</f>
        <v/>
      </c>
      <c r="Z6588" t="str">
        <f>IF(A6588="","",TEXT(A6588,"0")&amp;"|"&amp;TEXT(H6588,"0"))</f>
        <v/>
      </c>
      <c r="AA6588" t="str">
        <f>IF(Z6588="","",IFERROR(LOOKUP(2,1/(#REF!=Z6588),#REF!),""))</f>
        <v/>
      </c>
      <c r="AB6588" t="str">
        <f>IF(Z6588="","",IFERROR(LOOKUP(2,1/(#REF!=Z6588),#REF!),""))</f>
        <v/>
      </c>
      <c r="AC6588" t="str">
        <f>IF(Z6588="","",COUNTIF(#REF!,Z6588))</f>
        <v/>
      </c>
      <c r="AD6588" t="str">
        <f>IF(A6588="","",IF(AC6588&gt;1,"REVISAR DUPLICADO",IF(AA6588&lt;&gt;"","ACTUALIZADO POR EYR","SIN REPORTE EYR")))</f>
        <v/>
      </c>
    </row>
    <row r="6589" spans="11:30" x14ac:dyDescent="0.3">
      <c r="K6589" s="1" t="str">
        <f ca="1">IF(A6589="","",IF(OR(L6589="ENTREGADA",L6589="RETORNADA",L6589="ENTREGA DIGITAL"),0,MAX(0,5-NETWORKDAYS(H6589+1,TODAY()))))</f>
        <v/>
      </c>
      <c r="L6589" t="str">
        <f>IF(A6589="","",IFERROR(LOOKUP(2,1/(#REF!=Z6589),#REF!),Y6589))</f>
        <v/>
      </c>
      <c r="Z6589" t="str">
        <f>IF(A6589="","",TEXT(A6589,"0")&amp;"|"&amp;TEXT(H6589,"0"))</f>
        <v/>
      </c>
      <c r="AA6589" t="str">
        <f>IF(Z6589="","",IFERROR(LOOKUP(2,1/(#REF!=Z6589),#REF!),""))</f>
        <v/>
      </c>
      <c r="AB6589" t="str">
        <f>IF(Z6589="","",IFERROR(LOOKUP(2,1/(#REF!=Z6589),#REF!),""))</f>
        <v/>
      </c>
      <c r="AC6589" t="str">
        <f>IF(Z6589="","",COUNTIF(#REF!,Z6589))</f>
        <v/>
      </c>
      <c r="AD6589" t="str">
        <f>IF(A6589="","",IF(AC6589&gt;1,"REVISAR DUPLICADO",IF(AA6589&lt;&gt;"","ACTUALIZADO POR EYR","SIN REPORTE EYR")))</f>
        <v/>
      </c>
    </row>
    <row r="6590" spans="11:30" x14ac:dyDescent="0.3">
      <c r="K6590" s="1" t="str">
        <f ca="1">IF(A6590="","",IF(OR(L6590="ENTREGADA",L6590="RETORNADA",L6590="ENTREGA DIGITAL"),0,MAX(0,5-NETWORKDAYS(H6590+1,TODAY()))))</f>
        <v/>
      </c>
      <c r="L6590" t="str">
        <f>IF(A6590="","",IFERROR(LOOKUP(2,1/(#REF!=Z6590),#REF!),Y6590))</f>
        <v/>
      </c>
      <c r="Z6590" t="str">
        <f>IF(A6590="","",TEXT(A6590,"0")&amp;"|"&amp;TEXT(H6590,"0"))</f>
        <v/>
      </c>
      <c r="AA6590" t="str">
        <f>IF(Z6590="","",IFERROR(LOOKUP(2,1/(#REF!=Z6590),#REF!),""))</f>
        <v/>
      </c>
      <c r="AB6590" t="str">
        <f>IF(Z6590="","",IFERROR(LOOKUP(2,1/(#REF!=Z6590),#REF!),""))</f>
        <v/>
      </c>
      <c r="AC6590" t="str">
        <f>IF(Z6590="","",COUNTIF(#REF!,Z6590))</f>
        <v/>
      </c>
      <c r="AD6590" t="str">
        <f>IF(A6590="","",IF(AC6590&gt;1,"REVISAR DUPLICADO",IF(AA6590&lt;&gt;"","ACTUALIZADO POR EYR","SIN REPORTE EYR")))</f>
        <v/>
      </c>
    </row>
    <row r="6591" spans="11:30" x14ac:dyDescent="0.3">
      <c r="K6591" s="1" t="str">
        <f ca="1">IF(A6591="","",IF(OR(L6591="ENTREGADA",L6591="RETORNADA",L6591="ENTREGA DIGITAL"),0,MAX(0,5-NETWORKDAYS(H6591+1,TODAY()))))</f>
        <v/>
      </c>
      <c r="L6591" t="str">
        <f>IF(A6591="","",IFERROR(LOOKUP(2,1/(#REF!=Z6591),#REF!),Y6591))</f>
        <v/>
      </c>
      <c r="Z6591" t="str">
        <f>IF(A6591="","",TEXT(A6591,"0")&amp;"|"&amp;TEXT(H6591,"0"))</f>
        <v/>
      </c>
      <c r="AA6591" t="str">
        <f>IF(Z6591="","",IFERROR(LOOKUP(2,1/(#REF!=Z6591),#REF!),""))</f>
        <v/>
      </c>
      <c r="AB6591" t="str">
        <f>IF(Z6591="","",IFERROR(LOOKUP(2,1/(#REF!=Z6591),#REF!),""))</f>
        <v/>
      </c>
      <c r="AC6591" t="str">
        <f>IF(Z6591="","",COUNTIF(#REF!,Z6591))</f>
        <v/>
      </c>
      <c r="AD6591" t="str">
        <f>IF(A6591="","",IF(AC6591&gt;1,"REVISAR DUPLICADO",IF(AA6591&lt;&gt;"","ACTUALIZADO POR EYR","SIN REPORTE EYR")))</f>
        <v/>
      </c>
    </row>
    <row r="6592" spans="11:30" x14ac:dyDescent="0.3">
      <c r="K6592" s="1" t="str">
        <f ca="1">IF(A6592="","",IF(OR(L6592="ENTREGADA",L6592="RETORNADA",L6592="ENTREGA DIGITAL"),0,MAX(0,5-NETWORKDAYS(H6592+1,TODAY()))))</f>
        <v/>
      </c>
      <c r="L6592" t="str">
        <f>IF(A6592="","",IFERROR(LOOKUP(2,1/(#REF!=Z6592),#REF!),Y6592))</f>
        <v/>
      </c>
      <c r="Z6592" t="str">
        <f>IF(A6592="","",TEXT(A6592,"0")&amp;"|"&amp;TEXT(H6592,"0"))</f>
        <v/>
      </c>
      <c r="AA6592" t="str">
        <f>IF(Z6592="","",IFERROR(LOOKUP(2,1/(#REF!=Z6592),#REF!),""))</f>
        <v/>
      </c>
      <c r="AB6592" t="str">
        <f>IF(Z6592="","",IFERROR(LOOKUP(2,1/(#REF!=Z6592),#REF!),""))</f>
        <v/>
      </c>
      <c r="AC6592" t="str">
        <f>IF(Z6592="","",COUNTIF(#REF!,Z6592))</f>
        <v/>
      </c>
      <c r="AD6592" t="str">
        <f>IF(A6592="","",IF(AC6592&gt;1,"REVISAR DUPLICADO",IF(AA6592&lt;&gt;"","ACTUALIZADO POR EYR","SIN REPORTE EYR")))</f>
        <v/>
      </c>
    </row>
    <row r="6593" spans="11:30" x14ac:dyDescent="0.3">
      <c r="K6593" s="1" t="str">
        <f ca="1">IF(A6593="","",IF(OR(L6593="ENTREGADA",L6593="RETORNADA",L6593="ENTREGA DIGITAL"),0,MAX(0,5-NETWORKDAYS(H6593+1,TODAY()))))</f>
        <v/>
      </c>
      <c r="L6593" t="str">
        <f>IF(A6593="","",IFERROR(LOOKUP(2,1/(#REF!=Z6593),#REF!),Y6593))</f>
        <v/>
      </c>
      <c r="Z6593" t="str">
        <f>IF(A6593="","",TEXT(A6593,"0")&amp;"|"&amp;TEXT(H6593,"0"))</f>
        <v/>
      </c>
      <c r="AA6593" t="str">
        <f>IF(Z6593="","",IFERROR(LOOKUP(2,1/(#REF!=Z6593),#REF!),""))</f>
        <v/>
      </c>
      <c r="AB6593" t="str">
        <f>IF(Z6593="","",IFERROR(LOOKUP(2,1/(#REF!=Z6593),#REF!),""))</f>
        <v/>
      </c>
      <c r="AC6593" t="str">
        <f>IF(Z6593="","",COUNTIF(#REF!,Z6593))</f>
        <v/>
      </c>
      <c r="AD6593" t="str">
        <f>IF(A6593="","",IF(AC6593&gt;1,"REVISAR DUPLICADO",IF(AA6593&lt;&gt;"","ACTUALIZADO POR EYR","SIN REPORTE EYR")))</f>
        <v/>
      </c>
    </row>
    <row r="6594" spans="11:30" x14ac:dyDescent="0.3">
      <c r="K6594" s="1" t="str">
        <f ca="1">IF(A6594="","",IF(OR(L6594="ENTREGADA",L6594="RETORNADA",L6594="ENTREGA DIGITAL"),0,MAX(0,5-NETWORKDAYS(H6594+1,TODAY()))))</f>
        <v/>
      </c>
      <c r="L6594" t="str">
        <f>IF(A6594="","",IFERROR(LOOKUP(2,1/(#REF!=Z6594),#REF!),Y6594))</f>
        <v/>
      </c>
      <c r="Z6594" t="str">
        <f>IF(A6594="","",TEXT(A6594,"0")&amp;"|"&amp;TEXT(H6594,"0"))</f>
        <v/>
      </c>
      <c r="AA6594" t="str">
        <f>IF(Z6594="","",IFERROR(LOOKUP(2,1/(#REF!=Z6594),#REF!),""))</f>
        <v/>
      </c>
      <c r="AB6594" t="str">
        <f>IF(Z6594="","",IFERROR(LOOKUP(2,1/(#REF!=Z6594),#REF!),""))</f>
        <v/>
      </c>
      <c r="AC6594" t="str">
        <f>IF(Z6594="","",COUNTIF(#REF!,Z6594))</f>
        <v/>
      </c>
      <c r="AD6594" t="str">
        <f>IF(A6594="","",IF(AC6594&gt;1,"REVISAR DUPLICADO",IF(AA6594&lt;&gt;"","ACTUALIZADO POR EYR","SIN REPORTE EYR")))</f>
        <v/>
      </c>
    </row>
    <row r="6595" spans="11:30" x14ac:dyDescent="0.3">
      <c r="K6595" s="1" t="str">
        <f ca="1">IF(A6595="","",IF(OR(L6595="ENTREGADA",L6595="RETORNADA",L6595="ENTREGA DIGITAL"),0,MAX(0,5-NETWORKDAYS(H6595+1,TODAY()))))</f>
        <v/>
      </c>
      <c r="L6595" t="str">
        <f>IF(A6595="","",IFERROR(LOOKUP(2,1/(#REF!=Z6595),#REF!),Y6595))</f>
        <v/>
      </c>
      <c r="Z6595" t="str">
        <f>IF(A6595="","",TEXT(A6595,"0")&amp;"|"&amp;TEXT(H6595,"0"))</f>
        <v/>
      </c>
      <c r="AA6595" t="str">
        <f>IF(Z6595="","",IFERROR(LOOKUP(2,1/(#REF!=Z6595),#REF!),""))</f>
        <v/>
      </c>
      <c r="AB6595" t="str">
        <f>IF(Z6595="","",IFERROR(LOOKUP(2,1/(#REF!=Z6595),#REF!),""))</f>
        <v/>
      </c>
      <c r="AC6595" t="str">
        <f>IF(Z6595="","",COUNTIF(#REF!,Z6595))</f>
        <v/>
      </c>
      <c r="AD6595" t="str">
        <f>IF(A6595="","",IF(AC6595&gt;1,"REVISAR DUPLICADO",IF(AA6595&lt;&gt;"","ACTUALIZADO POR EYR","SIN REPORTE EYR")))</f>
        <v/>
      </c>
    </row>
    <row r="6596" spans="11:30" x14ac:dyDescent="0.3">
      <c r="K6596" s="1" t="str">
        <f ca="1">IF(A6596="","",IF(OR(L6596="ENTREGADA",L6596="RETORNADA",L6596="ENTREGA DIGITAL"),0,MAX(0,5-NETWORKDAYS(H6596+1,TODAY()))))</f>
        <v/>
      </c>
      <c r="L6596" t="str">
        <f>IF(A6596="","",IFERROR(LOOKUP(2,1/(#REF!=Z6596),#REF!),Y6596))</f>
        <v/>
      </c>
      <c r="Z6596" t="str">
        <f>IF(A6596="","",TEXT(A6596,"0")&amp;"|"&amp;TEXT(H6596,"0"))</f>
        <v/>
      </c>
      <c r="AA6596" t="str">
        <f>IF(Z6596="","",IFERROR(LOOKUP(2,1/(#REF!=Z6596),#REF!),""))</f>
        <v/>
      </c>
      <c r="AB6596" t="str">
        <f>IF(Z6596="","",IFERROR(LOOKUP(2,1/(#REF!=Z6596),#REF!),""))</f>
        <v/>
      </c>
      <c r="AC6596" t="str">
        <f>IF(Z6596="","",COUNTIF(#REF!,Z6596))</f>
        <v/>
      </c>
      <c r="AD6596" t="str">
        <f>IF(A6596="","",IF(AC6596&gt;1,"REVISAR DUPLICADO",IF(AA6596&lt;&gt;"","ACTUALIZADO POR EYR","SIN REPORTE EYR")))</f>
        <v/>
      </c>
    </row>
    <row r="6597" spans="11:30" x14ac:dyDescent="0.3">
      <c r="K6597" s="1" t="str">
        <f ca="1">IF(A6597="","",IF(OR(L6597="ENTREGADA",L6597="RETORNADA",L6597="ENTREGA DIGITAL"),0,MAX(0,5-NETWORKDAYS(H6597+1,TODAY()))))</f>
        <v/>
      </c>
      <c r="L6597" t="str">
        <f>IF(A6597="","",IFERROR(LOOKUP(2,1/(#REF!=Z6597),#REF!),Y6597))</f>
        <v/>
      </c>
      <c r="Z6597" t="str">
        <f>IF(A6597="","",TEXT(A6597,"0")&amp;"|"&amp;TEXT(H6597,"0"))</f>
        <v/>
      </c>
      <c r="AA6597" t="str">
        <f>IF(Z6597="","",IFERROR(LOOKUP(2,1/(#REF!=Z6597),#REF!),""))</f>
        <v/>
      </c>
      <c r="AB6597" t="str">
        <f>IF(Z6597="","",IFERROR(LOOKUP(2,1/(#REF!=Z6597),#REF!),""))</f>
        <v/>
      </c>
      <c r="AC6597" t="str">
        <f>IF(Z6597="","",COUNTIF(#REF!,Z6597))</f>
        <v/>
      </c>
      <c r="AD6597" t="str">
        <f>IF(A6597="","",IF(AC6597&gt;1,"REVISAR DUPLICADO",IF(AA6597&lt;&gt;"","ACTUALIZADO POR EYR","SIN REPORTE EYR")))</f>
        <v/>
      </c>
    </row>
    <row r="6598" spans="11:30" x14ac:dyDescent="0.3">
      <c r="K6598" s="1" t="str">
        <f ca="1">IF(A6598="","",IF(OR(L6598="ENTREGADA",L6598="RETORNADA",L6598="ENTREGA DIGITAL"),0,MAX(0,5-NETWORKDAYS(H6598+1,TODAY()))))</f>
        <v/>
      </c>
      <c r="L6598" t="str">
        <f>IF(A6598="","",IFERROR(LOOKUP(2,1/(#REF!=Z6598),#REF!),Y6598))</f>
        <v/>
      </c>
      <c r="Z6598" t="str">
        <f>IF(A6598="","",TEXT(A6598,"0")&amp;"|"&amp;TEXT(H6598,"0"))</f>
        <v/>
      </c>
      <c r="AA6598" t="str">
        <f>IF(Z6598="","",IFERROR(LOOKUP(2,1/(#REF!=Z6598),#REF!),""))</f>
        <v/>
      </c>
      <c r="AB6598" t="str">
        <f>IF(Z6598="","",IFERROR(LOOKUP(2,1/(#REF!=Z6598),#REF!),""))</f>
        <v/>
      </c>
      <c r="AC6598" t="str">
        <f>IF(Z6598="","",COUNTIF(#REF!,Z6598))</f>
        <v/>
      </c>
      <c r="AD6598" t="str">
        <f>IF(A6598="","",IF(AC6598&gt;1,"REVISAR DUPLICADO",IF(AA6598&lt;&gt;"","ACTUALIZADO POR EYR","SIN REPORTE EYR")))</f>
        <v/>
      </c>
    </row>
    <row r="6599" spans="11:30" x14ac:dyDescent="0.3">
      <c r="K6599" s="1" t="str">
        <f ca="1">IF(A6599="","",IF(OR(L6599="ENTREGADA",L6599="RETORNADA",L6599="ENTREGA DIGITAL"),0,MAX(0,5-NETWORKDAYS(H6599+1,TODAY()))))</f>
        <v/>
      </c>
      <c r="L6599" t="str">
        <f>IF(A6599="","",IFERROR(LOOKUP(2,1/(#REF!=Z6599),#REF!),Y6599))</f>
        <v/>
      </c>
      <c r="Z6599" t="str">
        <f>IF(A6599="","",TEXT(A6599,"0")&amp;"|"&amp;TEXT(H6599,"0"))</f>
        <v/>
      </c>
      <c r="AA6599" t="str">
        <f>IF(Z6599="","",IFERROR(LOOKUP(2,1/(#REF!=Z6599),#REF!),""))</f>
        <v/>
      </c>
      <c r="AB6599" t="str">
        <f>IF(Z6599="","",IFERROR(LOOKUP(2,1/(#REF!=Z6599),#REF!),""))</f>
        <v/>
      </c>
      <c r="AC6599" t="str">
        <f>IF(Z6599="","",COUNTIF(#REF!,Z6599))</f>
        <v/>
      </c>
      <c r="AD6599" t="str">
        <f>IF(A6599="","",IF(AC6599&gt;1,"REVISAR DUPLICADO",IF(AA6599&lt;&gt;"","ACTUALIZADO POR EYR","SIN REPORTE EYR")))</f>
        <v/>
      </c>
    </row>
    <row r="6600" spans="11:30" x14ac:dyDescent="0.3">
      <c r="K6600" s="1" t="str">
        <f ca="1">IF(A6600="","",IF(OR(L6600="ENTREGADA",L6600="RETORNADA",L6600="ENTREGA DIGITAL"),0,MAX(0,5-NETWORKDAYS(H6600+1,TODAY()))))</f>
        <v/>
      </c>
      <c r="L6600" t="str">
        <f>IF(A6600="","",IFERROR(LOOKUP(2,1/(#REF!=Z6600),#REF!),Y6600))</f>
        <v/>
      </c>
      <c r="Z6600" t="str">
        <f>IF(A6600="","",TEXT(A6600,"0")&amp;"|"&amp;TEXT(H6600,"0"))</f>
        <v/>
      </c>
      <c r="AA6600" t="str">
        <f>IF(Z6600="","",IFERROR(LOOKUP(2,1/(#REF!=Z6600),#REF!),""))</f>
        <v/>
      </c>
      <c r="AB6600" t="str">
        <f>IF(Z6600="","",IFERROR(LOOKUP(2,1/(#REF!=Z6600),#REF!),""))</f>
        <v/>
      </c>
      <c r="AC6600" t="str">
        <f>IF(Z6600="","",COUNTIF(#REF!,Z6600))</f>
        <v/>
      </c>
      <c r="AD6600" t="str">
        <f>IF(A6600="","",IF(AC6600&gt;1,"REVISAR DUPLICADO",IF(AA6600&lt;&gt;"","ACTUALIZADO POR EYR","SIN REPORTE EYR")))</f>
        <v/>
      </c>
    </row>
    <row r="6601" spans="11:30" x14ac:dyDescent="0.3">
      <c r="K6601" s="1" t="str">
        <f ca="1">IF(A6601="","",IF(OR(L6601="ENTREGADA",L6601="RETORNADA",L6601="ENTREGA DIGITAL"),0,MAX(0,5-NETWORKDAYS(H6601+1,TODAY()))))</f>
        <v/>
      </c>
      <c r="L6601" t="str">
        <f>IF(A6601="","",IFERROR(LOOKUP(2,1/(#REF!=Z6601),#REF!),Y6601))</f>
        <v/>
      </c>
      <c r="Z6601" t="str">
        <f>IF(A6601="","",TEXT(A6601,"0")&amp;"|"&amp;TEXT(H6601,"0"))</f>
        <v/>
      </c>
      <c r="AA6601" t="str">
        <f>IF(Z6601="","",IFERROR(LOOKUP(2,1/(#REF!=Z6601),#REF!),""))</f>
        <v/>
      </c>
      <c r="AB6601" t="str">
        <f>IF(Z6601="","",IFERROR(LOOKUP(2,1/(#REF!=Z6601),#REF!),""))</f>
        <v/>
      </c>
      <c r="AC6601" t="str">
        <f>IF(Z6601="","",COUNTIF(#REF!,Z6601))</f>
        <v/>
      </c>
      <c r="AD6601" t="str">
        <f>IF(A6601="","",IF(AC6601&gt;1,"REVISAR DUPLICADO",IF(AA6601&lt;&gt;"","ACTUALIZADO POR EYR","SIN REPORTE EYR")))</f>
        <v/>
      </c>
    </row>
    <row r="6602" spans="11:30" x14ac:dyDescent="0.3">
      <c r="K6602" s="1" t="str">
        <f ca="1">IF(A6602="","",IF(OR(L6602="ENTREGADA",L6602="RETORNADA",L6602="ENTREGA DIGITAL"),0,MAX(0,5-NETWORKDAYS(H6602+1,TODAY()))))</f>
        <v/>
      </c>
      <c r="L6602" t="str">
        <f>IF(A6602="","",IFERROR(LOOKUP(2,1/(#REF!=Z6602),#REF!),Y6602))</f>
        <v/>
      </c>
      <c r="Z6602" t="str">
        <f>IF(A6602="","",TEXT(A6602,"0")&amp;"|"&amp;TEXT(H6602,"0"))</f>
        <v/>
      </c>
      <c r="AA6602" t="str">
        <f>IF(Z6602="","",IFERROR(LOOKUP(2,1/(#REF!=Z6602),#REF!),""))</f>
        <v/>
      </c>
      <c r="AB6602" t="str">
        <f>IF(Z6602="","",IFERROR(LOOKUP(2,1/(#REF!=Z6602),#REF!),""))</f>
        <v/>
      </c>
      <c r="AC6602" t="str">
        <f>IF(Z6602="","",COUNTIF(#REF!,Z6602))</f>
        <v/>
      </c>
      <c r="AD6602" t="str">
        <f>IF(A6602="","",IF(AC6602&gt;1,"REVISAR DUPLICADO",IF(AA6602&lt;&gt;"","ACTUALIZADO POR EYR","SIN REPORTE EYR")))</f>
        <v/>
      </c>
    </row>
    <row r="6603" spans="11:30" x14ac:dyDescent="0.3">
      <c r="K6603" s="1" t="str">
        <f ca="1">IF(A6603="","",IF(OR(L6603="ENTREGADA",L6603="RETORNADA",L6603="ENTREGA DIGITAL"),0,MAX(0,5-NETWORKDAYS(H6603+1,TODAY()))))</f>
        <v/>
      </c>
      <c r="L6603" t="str">
        <f>IF(A6603="","",IFERROR(LOOKUP(2,1/(#REF!=Z6603),#REF!),Y6603))</f>
        <v/>
      </c>
      <c r="Z6603" t="str">
        <f>IF(A6603="","",TEXT(A6603,"0")&amp;"|"&amp;TEXT(H6603,"0"))</f>
        <v/>
      </c>
      <c r="AA6603" t="str">
        <f>IF(Z6603="","",IFERROR(LOOKUP(2,1/(#REF!=Z6603),#REF!),""))</f>
        <v/>
      </c>
      <c r="AB6603" t="str">
        <f>IF(Z6603="","",IFERROR(LOOKUP(2,1/(#REF!=Z6603),#REF!),""))</f>
        <v/>
      </c>
      <c r="AC6603" t="str">
        <f>IF(Z6603="","",COUNTIF(#REF!,Z6603))</f>
        <v/>
      </c>
      <c r="AD6603" t="str">
        <f>IF(A6603="","",IF(AC6603&gt;1,"REVISAR DUPLICADO",IF(AA6603&lt;&gt;"","ACTUALIZADO POR EYR","SIN REPORTE EYR")))</f>
        <v/>
      </c>
    </row>
    <row r="6604" spans="11:30" x14ac:dyDescent="0.3">
      <c r="K6604" s="1" t="str">
        <f ca="1">IF(A6604="","",IF(OR(L6604="ENTREGADA",L6604="RETORNADA",L6604="ENTREGA DIGITAL"),0,MAX(0,5-NETWORKDAYS(H6604+1,TODAY()))))</f>
        <v/>
      </c>
      <c r="L6604" t="str">
        <f>IF(A6604="","",IFERROR(LOOKUP(2,1/(#REF!=Z6604),#REF!),Y6604))</f>
        <v/>
      </c>
      <c r="Z6604" t="str">
        <f>IF(A6604="","",TEXT(A6604,"0")&amp;"|"&amp;TEXT(H6604,"0"))</f>
        <v/>
      </c>
      <c r="AA6604" t="str">
        <f>IF(Z6604="","",IFERROR(LOOKUP(2,1/(#REF!=Z6604),#REF!),""))</f>
        <v/>
      </c>
      <c r="AB6604" t="str">
        <f>IF(Z6604="","",IFERROR(LOOKUP(2,1/(#REF!=Z6604),#REF!),""))</f>
        <v/>
      </c>
      <c r="AC6604" t="str">
        <f>IF(Z6604="","",COUNTIF(#REF!,Z6604))</f>
        <v/>
      </c>
      <c r="AD6604" t="str">
        <f>IF(A6604="","",IF(AC6604&gt;1,"REVISAR DUPLICADO",IF(AA6604&lt;&gt;"","ACTUALIZADO POR EYR","SIN REPORTE EYR")))</f>
        <v/>
      </c>
    </row>
    <row r="6605" spans="11:30" x14ac:dyDescent="0.3">
      <c r="K6605" s="1" t="str">
        <f ca="1">IF(A6605="","",IF(OR(L6605="ENTREGADA",L6605="RETORNADA",L6605="ENTREGA DIGITAL"),0,MAX(0,5-NETWORKDAYS(H6605+1,TODAY()))))</f>
        <v/>
      </c>
      <c r="L6605" t="str">
        <f>IF(A6605="","",IFERROR(LOOKUP(2,1/(#REF!=Z6605),#REF!),Y6605))</f>
        <v/>
      </c>
      <c r="Z6605" t="str">
        <f>IF(A6605="","",TEXT(A6605,"0")&amp;"|"&amp;TEXT(H6605,"0"))</f>
        <v/>
      </c>
      <c r="AA6605" t="str">
        <f>IF(Z6605="","",IFERROR(LOOKUP(2,1/(#REF!=Z6605),#REF!),""))</f>
        <v/>
      </c>
      <c r="AB6605" t="str">
        <f>IF(Z6605="","",IFERROR(LOOKUP(2,1/(#REF!=Z6605),#REF!),""))</f>
        <v/>
      </c>
      <c r="AC6605" t="str">
        <f>IF(Z6605="","",COUNTIF(#REF!,Z6605))</f>
        <v/>
      </c>
      <c r="AD6605" t="str">
        <f>IF(A6605="","",IF(AC6605&gt;1,"REVISAR DUPLICADO",IF(AA6605&lt;&gt;"","ACTUALIZADO POR EYR","SIN REPORTE EYR")))</f>
        <v/>
      </c>
    </row>
    <row r="6606" spans="11:30" x14ac:dyDescent="0.3">
      <c r="K6606" s="1" t="str">
        <f ca="1">IF(A6606="","",IF(OR(L6606="ENTREGADA",L6606="RETORNADA",L6606="ENTREGA DIGITAL"),0,MAX(0,5-NETWORKDAYS(H6606+1,TODAY()))))</f>
        <v/>
      </c>
      <c r="L6606" t="str">
        <f>IF(A6606="","",IFERROR(LOOKUP(2,1/(#REF!=Z6606),#REF!),Y6606))</f>
        <v/>
      </c>
      <c r="Z6606" t="str">
        <f>IF(A6606="","",TEXT(A6606,"0")&amp;"|"&amp;TEXT(H6606,"0"))</f>
        <v/>
      </c>
      <c r="AA6606" t="str">
        <f>IF(Z6606="","",IFERROR(LOOKUP(2,1/(#REF!=Z6606),#REF!),""))</f>
        <v/>
      </c>
      <c r="AB6606" t="str">
        <f>IF(Z6606="","",IFERROR(LOOKUP(2,1/(#REF!=Z6606),#REF!),""))</f>
        <v/>
      </c>
      <c r="AC6606" t="str">
        <f>IF(Z6606="","",COUNTIF(#REF!,Z6606))</f>
        <v/>
      </c>
      <c r="AD6606" t="str">
        <f>IF(A6606="","",IF(AC6606&gt;1,"REVISAR DUPLICADO",IF(AA6606&lt;&gt;"","ACTUALIZADO POR EYR","SIN REPORTE EYR")))</f>
        <v/>
      </c>
    </row>
    <row r="6607" spans="11:30" x14ac:dyDescent="0.3">
      <c r="K6607" s="1" t="str">
        <f ca="1">IF(A6607="","",IF(OR(L6607="ENTREGADA",L6607="RETORNADA",L6607="ENTREGA DIGITAL"),0,MAX(0,5-NETWORKDAYS(H6607+1,TODAY()))))</f>
        <v/>
      </c>
      <c r="L6607" t="str">
        <f>IF(A6607="","",IFERROR(LOOKUP(2,1/(#REF!=Z6607),#REF!),Y6607))</f>
        <v/>
      </c>
      <c r="Z6607" t="str">
        <f>IF(A6607="","",TEXT(A6607,"0")&amp;"|"&amp;TEXT(H6607,"0"))</f>
        <v/>
      </c>
      <c r="AA6607" t="str">
        <f>IF(Z6607="","",IFERROR(LOOKUP(2,1/(#REF!=Z6607),#REF!),""))</f>
        <v/>
      </c>
      <c r="AB6607" t="str">
        <f>IF(Z6607="","",IFERROR(LOOKUP(2,1/(#REF!=Z6607),#REF!),""))</f>
        <v/>
      </c>
      <c r="AC6607" t="str">
        <f>IF(Z6607="","",COUNTIF(#REF!,Z6607))</f>
        <v/>
      </c>
      <c r="AD6607" t="str">
        <f>IF(A6607="","",IF(AC6607&gt;1,"REVISAR DUPLICADO",IF(AA6607&lt;&gt;"","ACTUALIZADO POR EYR","SIN REPORTE EYR")))</f>
        <v/>
      </c>
    </row>
    <row r="6608" spans="11:30" x14ac:dyDescent="0.3">
      <c r="K6608" s="1" t="str">
        <f ca="1">IF(A6608="","",IF(OR(L6608="ENTREGADA",L6608="RETORNADA",L6608="ENTREGA DIGITAL"),0,MAX(0,5-NETWORKDAYS(H6608+1,TODAY()))))</f>
        <v/>
      </c>
      <c r="L6608" t="str">
        <f>IF(A6608="","",IFERROR(LOOKUP(2,1/(#REF!=Z6608),#REF!),Y6608))</f>
        <v/>
      </c>
      <c r="Z6608" t="str">
        <f>IF(A6608="","",TEXT(A6608,"0")&amp;"|"&amp;TEXT(H6608,"0"))</f>
        <v/>
      </c>
      <c r="AA6608" t="str">
        <f>IF(Z6608="","",IFERROR(LOOKUP(2,1/(#REF!=Z6608),#REF!),""))</f>
        <v/>
      </c>
      <c r="AB6608" t="str">
        <f>IF(Z6608="","",IFERROR(LOOKUP(2,1/(#REF!=Z6608),#REF!),""))</f>
        <v/>
      </c>
      <c r="AC6608" t="str">
        <f>IF(Z6608="","",COUNTIF(#REF!,Z6608))</f>
        <v/>
      </c>
      <c r="AD6608" t="str">
        <f>IF(A6608="","",IF(AC6608&gt;1,"REVISAR DUPLICADO",IF(AA6608&lt;&gt;"","ACTUALIZADO POR EYR","SIN REPORTE EYR")))</f>
        <v/>
      </c>
    </row>
    <row r="6609" spans="11:30" x14ac:dyDescent="0.3">
      <c r="K6609" s="1" t="str">
        <f ca="1">IF(A6609="","",IF(OR(L6609="ENTREGADA",L6609="RETORNADA",L6609="ENTREGA DIGITAL"),0,MAX(0,5-NETWORKDAYS(H6609+1,TODAY()))))</f>
        <v/>
      </c>
      <c r="L6609" t="str">
        <f>IF(A6609="","",IFERROR(LOOKUP(2,1/(#REF!=Z6609),#REF!),Y6609))</f>
        <v/>
      </c>
      <c r="Z6609" t="str">
        <f>IF(A6609="","",TEXT(A6609,"0")&amp;"|"&amp;TEXT(H6609,"0"))</f>
        <v/>
      </c>
      <c r="AA6609" t="str">
        <f>IF(Z6609="","",IFERROR(LOOKUP(2,1/(#REF!=Z6609),#REF!),""))</f>
        <v/>
      </c>
      <c r="AB6609" t="str">
        <f>IF(Z6609="","",IFERROR(LOOKUP(2,1/(#REF!=Z6609),#REF!),""))</f>
        <v/>
      </c>
      <c r="AC6609" t="str">
        <f>IF(Z6609="","",COUNTIF(#REF!,Z6609))</f>
        <v/>
      </c>
      <c r="AD6609" t="str">
        <f>IF(A6609="","",IF(AC6609&gt;1,"REVISAR DUPLICADO",IF(AA6609&lt;&gt;"","ACTUALIZADO POR EYR","SIN REPORTE EYR")))</f>
        <v/>
      </c>
    </row>
    <row r="6610" spans="11:30" x14ac:dyDescent="0.3">
      <c r="K6610" s="1" t="str">
        <f ca="1">IF(A6610="","",IF(OR(L6610="ENTREGADA",L6610="RETORNADA",L6610="ENTREGA DIGITAL"),0,MAX(0,5-NETWORKDAYS(H6610+1,TODAY()))))</f>
        <v/>
      </c>
      <c r="L6610" t="str">
        <f>IF(A6610="","",IFERROR(LOOKUP(2,1/(#REF!=Z6610),#REF!),Y6610))</f>
        <v/>
      </c>
      <c r="Z6610" t="str">
        <f>IF(A6610="","",TEXT(A6610,"0")&amp;"|"&amp;TEXT(H6610,"0"))</f>
        <v/>
      </c>
      <c r="AA6610" t="str">
        <f>IF(Z6610="","",IFERROR(LOOKUP(2,1/(#REF!=Z6610),#REF!),""))</f>
        <v/>
      </c>
      <c r="AB6610" t="str">
        <f>IF(Z6610="","",IFERROR(LOOKUP(2,1/(#REF!=Z6610),#REF!),""))</f>
        <v/>
      </c>
      <c r="AC6610" t="str">
        <f>IF(Z6610="","",COUNTIF(#REF!,Z6610))</f>
        <v/>
      </c>
      <c r="AD6610" t="str">
        <f>IF(A6610="","",IF(AC6610&gt;1,"REVISAR DUPLICADO",IF(AA6610&lt;&gt;"","ACTUALIZADO POR EYR","SIN REPORTE EYR")))</f>
        <v/>
      </c>
    </row>
    <row r="6611" spans="11:30" x14ac:dyDescent="0.3">
      <c r="K6611" s="1" t="str">
        <f ca="1">IF(A6611="","",IF(OR(L6611="ENTREGADA",L6611="RETORNADA",L6611="ENTREGA DIGITAL"),0,MAX(0,5-NETWORKDAYS(H6611+1,TODAY()))))</f>
        <v/>
      </c>
      <c r="L6611" t="str">
        <f>IF(A6611="","",IFERROR(LOOKUP(2,1/(#REF!=Z6611),#REF!),Y6611))</f>
        <v/>
      </c>
      <c r="Z6611" t="str">
        <f>IF(A6611="","",TEXT(A6611,"0")&amp;"|"&amp;TEXT(H6611,"0"))</f>
        <v/>
      </c>
      <c r="AA6611" t="str">
        <f>IF(Z6611="","",IFERROR(LOOKUP(2,1/(#REF!=Z6611),#REF!),""))</f>
        <v/>
      </c>
      <c r="AB6611" t="str">
        <f>IF(Z6611="","",IFERROR(LOOKUP(2,1/(#REF!=Z6611),#REF!),""))</f>
        <v/>
      </c>
      <c r="AC6611" t="str">
        <f>IF(Z6611="","",COUNTIF(#REF!,Z6611))</f>
        <v/>
      </c>
      <c r="AD6611" t="str">
        <f>IF(A6611="","",IF(AC6611&gt;1,"REVISAR DUPLICADO",IF(AA6611&lt;&gt;"","ACTUALIZADO POR EYR","SIN REPORTE EYR")))</f>
        <v/>
      </c>
    </row>
    <row r="6612" spans="11:30" x14ac:dyDescent="0.3">
      <c r="K6612" s="1" t="str">
        <f ca="1">IF(A6612="","",IF(OR(L6612="ENTREGADA",L6612="RETORNADA",L6612="ENTREGA DIGITAL"),0,MAX(0,5-NETWORKDAYS(H6612+1,TODAY()))))</f>
        <v/>
      </c>
      <c r="L6612" t="str">
        <f>IF(A6612="","",IFERROR(LOOKUP(2,1/(#REF!=Z6612),#REF!),Y6612))</f>
        <v/>
      </c>
      <c r="Z6612" t="str">
        <f>IF(A6612="","",TEXT(A6612,"0")&amp;"|"&amp;TEXT(H6612,"0"))</f>
        <v/>
      </c>
      <c r="AA6612" t="str">
        <f>IF(Z6612="","",IFERROR(LOOKUP(2,1/(#REF!=Z6612),#REF!),""))</f>
        <v/>
      </c>
      <c r="AB6612" t="str">
        <f>IF(Z6612="","",IFERROR(LOOKUP(2,1/(#REF!=Z6612),#REF!),""))</f>
        <v/>
      </c>
      <c r="AC6612" t="str">
        <f>IF(Z6612="","",COUNTIF(#REF!,Z6612))</f>
        <v/>
      </c>
      <c r="AD6612" t="str">
        <f>IF(A6612="","",IF(AC6612&gt;1,"REVISAR DUPLICADO",IF(AA6612&lt;&gt;"","ACTUALIZADO POR EYR","SIN REPORTE EYR")))</f>
        <v/>
      </c>
    </row>
    <row r="6613" spans="11:30" x14ac:dyDescent="0.3">
      <c r="K6613" s="1" t="str">
        <f ca="1">IF(A6613="","",IF(OR(L6613="ENTREGADA",L6613="RETORNADA",L6613="ENTREGA DIGITAL"),0,MAX(0,5-NETWORKDAYS(H6613+1,TODAY()))))</f>
        <v/>
      </c>
      <c r="L6613" t="str">
        <f>IF(A6613="","",IFERROR(LOOKUP(2,1/(#REF!=Z6613),#REF!),Y6613))</f>
        <v/>
      </c>
      <c r="Z6613" t="str">
        <f>IF(A6613="","",TEXT(A6613,"0")&amp;"|"&amp;TEXT(H6613,"0"))</f>
        <v/>
      </c>
      <c r="AA6613" t="str">
        <f>IF(Z6613="","",IFERROR(LOOKUP(2,1/(#REF!=Z6613),#REF!),""))</f>
        <v/>
      </c>
      <c r="AB6613" t="str">
        <f>IF(Z6613="","",IFERROR(LOOKUP(2,1/(#REF!=Z6613),#REF!),""))</f>
        <v/>
      </c>
      <c r="AC6613" t="str">
        <f>IF(Z6613="","",COUNTIF(#REF!,Z6613))</f>
        <v/>
      </c>
      <c r="AD6613" t="str">
        <f>IF(A6613="","",IF(AC6613&gt;1,"REVISAR DUPLICADO",IF(AA6613&lt;&gt;"","ACTUALIZADO POR EYR","SIN REPORTE EYR")))</f>
        <v/>
      </c>
    </row>
    <row r="6614" spans="11:30" x14ac:dyDescent="0.3">
      <c r="K6614" s="1" t="str">
        <f ca="1">IF(A6614="","",IF(OR(L6614="ENTREGADA",L6614="RETORNADA",L6614="ENTREGA DIGITAL"),0,MAX(0,5-NETWORKDAYS(H6614+1,TODAY()))))</f>
        <v/>
      </c>
      <c r="L6614" t="str">
        <f>IF(A6614="","",IFERROR(LOOKUP(2,1/(#REF!=Z6614),#REF!),Y6614))</f>
        <v/>
      </c>
      <c r="Z6614" t="str">
        <f>IF(A6614="","",TEXT(A6614,"0")&amp;"|"&amp;TEXT(H6614,"0"))</f>
        <v/>
      </c>
      <c r="AA6614" t="str">
        <f>IF(Z6614="","",IFERROR(LOOKUP(2,1/(#REF!=Z6614),#REF!),""))</f>
        <v/>
      </c>
      <c r="AB6614" t="str">
        <f>IF(Z6614="","",IFERROR(LOOKUP(2,1/(#REF!=Z6614),#REF!),""))</f>
        <v/>
      </c>
      <c r="AC6614" t="str">
        <f>IF(Z6614="","",COUNTIF(#REF!,Z6614))</f>
        <v/>
      </c>
      <c r="AD6614" t="str">
        <f>IF(A6614="","",IF(AC6614&gt;1,"REVISAR DUPLICADO",IF(AA6614&lt;&gt;"","ACTUALIZADO POR EYR","SIN REPORTE EYR")))</f>
        <v/>
      </c>
    </row>
    <row r="6615" spans="11:30" x14ac:dyDescent="0.3">
      <c r="K6615" s="1" t="str">
        <f ca="1">IF(A6615="","",IF(OR(L6615="ENTREGADA",L6615="RETORNADA",L6615="ENTREGA DIGITAL"),0,MAX(0,5-NETWORKDAYS(H6615+1,TODAY()))))</f>
        <v/>
      </c>
      <c r="L6615" t="str">
        <f>IF(A6615="","",IFERROR(LOOKUP(2,1/(#REF!=Z6615),#REF!),Y6615))</f>
        <v/>
      </c>
      <c r="Z6615" t="str">
        <f>IF(A6615="","",TEXT(A6615,"0")&amp;"|"&amp;TEXT(H6615,"0"))</f>
        <v/>
      </c>
      <c r="AA6615" t="str">
        <f>IF(Z6615="","",IFERROR(LOOKUP(2,1/(#REF!=Z6615),#REF!),""))</f>
        <v/>
      </c>
      <c r="AB6615" t="str">
        <f>IF(Z6615="","",IFERROR(LOOKUP(2,1/(#REF!=Z6615),#REF!),""))</f>
        <v/>
      </c>
      <c r="AC6615" t="str">
        <f>IF(Z6615="","",COUNTIF(#REF!,Z6615))</f>
        <v/>
      </c>
      <c r="AD6615" t="str">
        <f>IF(A6615="","",IF(AC6615&gt;1,"REVISAR DUPLICADO",IF(AA6615&lt;&gt;"","ACTUALIZADO POR EYR","SIN REPORTE EYR")))</f>
        <v/>
      </c>
    </row>
    <row r="6616" spans="11:30" x14ac:dyDescent="0.3">
      <c r="K6616" s="1" t="str">
        <f ca="1">IF(A6616="","",IF(OR(L6616="ENTREGADA",L6616="RETORNADA",L6616="ENTREGA DIGITAL"),0,MAX(0,5-NETWORKDAYS(H6616+1,TODAY()))))</f>
        <v/>
      </c>
      <c r="L6616" t="str">
        <f>IF(A6616="","",IFERROR(LOOKUP(2,1/(#REF!=Z6616),#REF!),Y6616))</f>
        <v/>
      </c>
      <c r="Z6616" t="str">
        <f>IF(A6616="","",TEXT(A6616,"0")&amp;"|"&amp;TEXT(H6616,"0"))</f>
        <v/>
      </c>
      <c r="AA6616" t="str">
        <f>IF(Z6616="","",IFERROR(LOOKUP(2,1/(#REF!=Z6616),#REF!),""))</f>
        <v/>
      </c>
      <c r="AB6616" t="str">
        <f>IF(Z6616="","",IFERROR(LOOKUP(2,1/(#REF!=Z6616),#REF!),""))</f>
        <v/>
      </c>
      <c r="AC6616" t="str">
        <f>IF(Z6616="","",COUNTIF(#REF!,Z6616))</f>
        <v/>
      </c>
      <c r="AD6616" t="str">
        <f>IF(A6616="","",IF(AC6616&gt;1,"REVISAR DUPLICADO",IF(AA6616&lt;&gt;"","ACTUALIZADO POR EYR","SIN REPORTE EYR")))</f>
        <v/>
      </c>
    </row>
    <row r="6617" spans="11:30" x14ac:dyDescent="0.3">
      <c r="K6617" s="1" t="str">
        <f ca="1">IF(A6617="","",IF(OR(L6617="ENTREGADA",L6617="RETORNADA",L6617="ENTREGA DIGITAL"),0,MAX(0,5-NETWORKDAYS(H6617+1,TODAY()))))</f>
        <v/>
      </c>
      <c r="L6617" t="str">
        <f>IF(A6617="","",IFERROR(LOOKUP(2,1/(#REF!=Z6617),#REF!),Y6617))</f>
        <v/>
      </c>
      <c r="Z6617" t="str">
        <f>IF(A6617="","",TEXT(A6617,"0")&amp;"|"&amp;TEXT(H6617,"0"))</f>
        <v/>
      </c>
      <c r="AA6617" t="str">
        <f>IF(Z6617="","",IFERROR(LOOKUP(2,1/(#REF!=Z6617),#REF!),""))</f>
        <v/>
      </c>
      <c r="AB6617" t="str">
        <f>IF(Z6617="","",IFERROR(LOOKUP(2,1/(#REF!=Z6617),#REF!),""))</f>
        <v/>
      </c>
      <c r="AC6617" t="str">
        <f>IF(Z6617="","",COUNTIF(#REF!,Z6617))</f>
        <v/>
      </c>
      <c r="AD6617" t="str">
        <f>IF(A6617="","",IF(AC6617&gt;1,"REVISAR DUPLICADO",IF(AA6617&lt;&gt;"","ACTUALIZADO POR EYR","SIN REPORTE EYR")))</f>
        <v/>
      </c>
    </row>
    <row r="6618" spans="11:30" x14ac:dyDescent="0.3">
      <c r="K6618" s="1" t="str">
        <f ca="1">IF(A6618="","",IF(OR(L6618="ENTREGADA",L6618="RETORNADA",L6618="ENTREGA DIGITAL"),0,MAX(0,5-NETWORKDAYS(H6618+1,TODAY()))))</f>
        <v/>
      </c>
      <c r="L6618" t="str">
        <f>IF(A6618="","",IFERROR(LOOKUP(2,1/(#REF!=Z6618),#REF!),Y6618))</f>
        <v/>
      </c>
      <c r="Z6618" t="str">
        <f>IF(A6618="","",TEXT(A6618,"0")&amp;"|"&amp;TEXT(H6618,"0"))</f>
        <v/>
      </c>
      <c r="AA6618" t="str">
        <f>IF(Z6618="","",IFERROR(LOOKUP(2,1/(#REF!=Z6618),#REF!),""))</f>
        <v/>
      </c>
      <c r="AB6618" t="str">
        <f>IF(Z6618="","",IFERROR(LOOKUP(2,1/(#REF!=Z6618),#REF!),""))</f>
        <v/>
      </c>
      <c r="AC6618" t="str">
        <f>IF(Z6618="","",COUNTIF(#REF!,Z6618))</f>
        <v/>
      </c>
      <c r="AD6618" t="str">
        <f>IF(A6618="","",IF(AC6618&gt;1,"REVISAR DUPLICADO",IF(AA6618&lt;&gt;"","ACTUALIZADO POR EYR","SIN REPORTE EYR")))</f>
        <v/>
      </c>
    </row>
    <row r="6619" spans="11:30" x14ac:dyDescent="0.3">
      <c r="K6619" s="1" t="str">
        <f ca="1">IF(A6619="","",IF(OR(L6619="ENTREGADA",L6619="RETORNADA",L6619="ENTREGA DIGITAL"),0,MAX(0,5-NETWORKDAYS(H6619+1,TODAY()))))</f>
        <v/>
      </c>
      <c r="L6619" t="str">
        <f>IF(A6619="","",IFERROR(LOOKUP(2,1/(#REF!=Z6619),#REF!),Y6619))</f>
        <v/>
      </c>
      <c r="Z6619" t="str">
        <f>IF(A6619="","",TEXT(A6619,"0")&amp;"|"&amp;TEXT(H6619,"0"))</f>
        <v/>
      </c>
      <c r="AA6619" t="str">
        <f>IF(Z6619="","",IFERROR(LOOKUP(2,1/(#REF!=Z6619),#REF!),""))</f>
        <v/>
      </c>
      <c r="AB6619" t="str">
        <f>IF(Z6619="","",IFERROR(LOOKUP(2,1/(#REF!=Z6619),#REF!),""))</f>
        <v/>
      </c>
      <c r="AC6619" t="str">
        <f>IF(Z6619="","",COUNTIF(#REF!,Z6619))</f>
        <v/>
      </c>
      <c r="AD6619" t="str">
        <f>IF(A6619="","",IF(AC6619&gt;1,"REVISAR DUPLICADO",IF(AA6619&lt;&gt;"","ACTUALIZADO POR EYR","SIN REPORTE EYR")))</f>
        <v/>
      </c>
    </row>
    <row r="6620" spans="11:30" x14ac:dyDescent="0.3">
      <c r="K6620" s="1" t="str">
        <f ca="1">IF(A6620="","",IF(OR(L6620="ENTREGADA",L6620="RETORNADA",L6620="ENTREGA DIGITAL"),0,MAX(0,5-NETWORKDAYS(H6620+1,TODAY()))))</f>
        <v/>
      </c>
      <c r="L6620" t="str">
        <f>IF(A6620="","",IFERROR(LOOKUP(2,1/(#REF!=Z6620),#REF!),Y6620))</f>
        <v/>
      </c>
      <c r="Z6620" t="str">
        <f>IF(A6620="","",TEXT(A6620,"0")&amp;"|"&amp;TEXT(H6620,"0"))</f>
        <v/>
      </c>
      <c r="AA6620" t="str">
        <f>IF(Z6620="","",IFERROR(LOOKUP(2,1/(#REF!=Z6620),#REF!),""))</f>
        <v/>
      </c>
      <c r="AB6620" t="str">
        <f>IF(Z6620="","",IFERROR(LOOKUP(2,1/(#REF!=Z6620),#REF!),""))</f>
        <v/>
      </c>
      <c r="AC6620" t="str">
        <f>IF(Z6620="","",COUNTIF(#REF!,Z6620))</f>
        <v/>
      </c>
      <c r="AD6620" t="str">
        <f>IF(A6620="","",IF(AC6620&gt;1,"REVISAR DUPLICADO",IF(AA6620&lt;&gt;"","ACTUALIZADO POR EYR","SIN REPORTE EYR")))</f>
        <v/>
      </c>
    </row>
    <row r="6621" spans="11:30" x14ac:dyDescent="0.3">
      <c r="K6621" s="1" t="str">
        <f ca="1">IF(A6621="","",IF(OR(L6621="ENTREGADA",L6621="RETORNADA",L6621="ENTREGA DIGITAL"),0,MAX(0,5-NETWORKDAYS(H6621+1,TODAY()))))</f>
        <v/>
      </c>
      <c r="L6621" t="str">
        <f>IF(A6621="","",IFERROR(LOOKUP(2,1/(#REF!=Z6621),#REF!),Y6621))</f>
        <v/>
      </c>
      <c r="Z6621" t="str">
        <f>IF(A6621="","",TEXT(A6621,"0")&amp;"|"&amp;TEXT(H6621,"0"))</f>
        <v/>
      </c>
      <c r="AA6621" t="str">
        <f>IF(Z6621="","",IFERROR(LOOKUP(2,1/(#REF!=Z6621),#REF!),""))</f>
        <v/>
      </c>
      <c r="AB6621" t="str">
        <f>IF(Z6621="","",IFERROR(LOOKUP(2,1/(#REF!=Z6621),#REF!),""))</f>
        <v/>
      </c>
      <c r="AC6621" t="str">
        <f>IF(Z6621="","",COUNTIF(#REF!,Z6621))</f>
        <v/>
      </c>
      <c r="AD6621" t="str">
        <f>IF(A6621="","",IF(AC6621&gt;1,"REVISAR DUPLICADO",IF(AA6621&lt;&gt;"","ACTUALIZADO POR EYR","SIN REPORTE EYR")))</f>
        <v/>
      </c>
    </row>
    <row r="6622" spans="11:30" x14ac:dyDescent="0.3">
      <c r="K6622" s="1" t="str">
        <f ca="1">IF(A6622="","",IF(OR(L6622="ENTREGADA",L6622="RETORNADA",L6622="ENTREGA DIGITAL"),0,MAX(0,5-NETWORKDAYS(H6622+1,TODAY()))))</f>
        <v/>
      </c>
      <c r="L6622" t="str">
        <f>IF(A6622="","",IFERROR(LOOKUP(2,1/(#REF!=Z6622),#REF!),Y6622))</f>
        <v/>
      </c>
      <c r="Z6622" t="str">
        <f>IF(A6622="","",TEXT(A6622,"0")&amp;"|"&amp;TEXT(H6622,"0"))</f>
        <v/>
      </c>
      <c r="AA6622" t="str">
        <f>IF(Z6622="","",IFERROR(LOOKUP(2,1/(#REF!=Z6622),#REF!),""))</f>
        <v/>
      </c>
      <c r="AB6622" t="str">
        <f>IF(Z6622="","",IFERROR(LOOKUP(2,1/(#REF!=Z6622),#REF!),""))</f>
        <v/>
      </c>
      <c r="AC6622" t="str">
        <f>IF(Z6622="","",COUNTIF(#REF!,Z6622))</f>
        <v/>
      </c>
      <c r="AD6622" t="str">
        <f>IF(A6622="","",IF(AC6622&gt;1,"REVISAR DUPLICADO",IF(AA6622&lt;&gt;"","ACTUALIZADO POR EYR","SIN REPORTE EYR")))</f>
        <v/>
      </c>
    </row>
    <row r="6623" spans="11:30" x14ac:dyDescent="0.3">
      <c r="K6623" s="1" t="str">
        <f ca="1">IF(A6623="","",IF(OR(L6623="ENTREGADA",L6623="RETORNADA",L6623="ENTREGA DIGITAL"),0,MAX(0,5-NETWORKDAYS(H6623+1,TODAY()))))</f>
        <v/>
      </c>
      <c r="L6623" t="str">
        <f>IF(A6623="","",IFERROR(LOOKUP(2,1/(#REF!=Z6623),#REF!),Y6623))</f>
        <v/>
      </c>
      <c r="Z6623" t="str">
        <f>IF(A6623="","",TEXT(A6623,"0")&amp;"|"&amp;TEXT(H6623,"0"))</f>
        <v/>
      </c>
      <c r="AA6623" t="str">
        <f>IF(Z6623="","",IFERROR(LOOKUP(2,1/(#REF!=Z6623),#REF!),""))</f>
        <v/>
      </c>
      <c r="AB6623" t="str">
        <f>IF(Z6623="","",IFERROR(LOOKUP(2,1/(#REF!=Z6623),#REF!),""))</f>
        <v/>
      </c>
      <c r="AC6623" t="str">
        <f>IF(Z6623="","",COUNTIF(#REF!,Z6623))</f>
        <v/>
      </c>
      <c r="AD6623" t="str">
        <f>IF(A6623="","",IF(AC6623&gt;1,"REVISAR DUPLICADO",IF(AA6623&lt;&gt;"","ACTUALIZADO POR EYR","SIN REPORTE EYR")))</f>
        <v/>
      </c>
    </row>
    <row r="6624" spans="11:30" x14ac:dyDescent="0.3">
      <c r="K6624" s="1" t="str">
        <f ca="1">IF(A6624="","",IF(OR(L6624="ENTREGADA",L6624="RETORNADA",L6624="ENTREGA DIGITAL"),0,MAX(0,5-NETWORKDAYS(H6624+1,TODAY()))))</f>
        <v/>
      </c>
      <c r="L6624" t="str">
        <f>IF(A6624="","",IFERROR(LOOKUP(2,1/(#REF!=Z6624),#REF!),Y6624))</f>
        <v/>
      </c>
      <c r="Z6624" t="str">
        <f>IF(A6624="","",TEXT(A6624,"0")&amp;"|"&amp;TEXT(H6624,"0"))</f>
        <v/>
      </c>
      <c r="AA6624" t="str">
        <f>IF(Z6624="","",IFERROR(LOOKUP(2,1/(#REF!=Z6624),#REF!),""))</f>
        <v/>
      </c>
      <c r="AB6624" t="str">
        <f>IF(Z6624="","",IFERROR(LOOKUP(2,1/(#REF!=Z6624),#REF!),""))</f>
        <v/>
      </c>
      <c r="AC6624" t="str">
        <f>IF(Z6624="","",COUNTIF(#REF!,Z6624))</f>
        <v/>
      </c>
      <c r="AD6624" t="str">
        <f>IF(A6624="","",IF(AC6624&gt;1,"REVISAR DUPLICADO",IF(AA6624&lt;&gt;"","ACTUALIZADO POR EYR","SIN REPORTE EYR")))</f>
        <v/>
      </c>
    </row>
    <row r="6625" spans="11:30" x14ac:dyDescent="0.3">
      <c r="K6625" s="1" t="str">
        <f ca="1">IF(A6625="","",IF(OR(L6625="ENTREGADA",L6625="RETORNADA",L6625="ENTREGA DIGITAL"),0,MAX(0,5-NETWORKDAYS(H6625+1,TODAY()))))</f>
        <v/>
      </c>
      <c r="L6625" t="str">
        <f>IF(A6625="","",IFERROR(LOOKUP(2,1/(#REF!=Z6625),#REF!),Y6625))</f>
        <v/>
      </c>
      <c r="Z6625" t="str">
        <f>IF(A6625="","",TEXT(A6625,"0")&amp;"|"&amp;TEXT(H6625,"0"))</f>
        <v/>
      </c>
      <c r="AA6625" t="str">
        <f>IF(Z6625="","",IFERROR(LOOKUP(2,1/(#REF!=Z6625),#REF!),""))</f>
        <v/>
      </c>
      <c r="AB6625" t="str">
        <f>IF(Z6625="","",IFERROR(LOOKUP(2,1/(#REF!=Z6625),#REF!),""))</f>
        <v/>
      </c>
      <c r="AC6625" t="str">
        <f>IF(Z6625="","",COUNTIF(#REF!,Z6625))</f>
        <v/>
      </c>
      <c r="AD6625" t="str">
        <f>IF(A6625="","",IF(AC6625&gt;1,"REVISAR DUPLICADO",IF(AA6625&lt;&gt;"","ACTUALIZADO POR EYR","SIN REPORTE EYR")))</f>
        <v/>
      </c>
    </row>
    <row r="6626" spans="11:30" x14ac:dyDescent="0.3">
      <c r="K6626" s="1" t="str">
        <f ca="1">IF(A6626="","",IF(OR(L6626="ENTREGADA",L6626="RETORNADA",L6626="ENTREGA DIGITAL"),0,MAX(0,5-NETWORKDAYS(H6626+1,TODAY()))))</f>
        <v/>
      </c>
      <c r="L6626" t="str">
        <f>IF(A6626="","",IFERROR(LOOKUP(2,1/(#REF!=Z6626),#REF!),Y6626))</f>
        <v/>
      </c>
      <c r="Z6626" t="str">
        <f>IF(A6626="","",TEXT(A6626,"0")&amp;"|"&amp;TEXT(H6626,"0"))</f>
        <v/>
      </c>
      <c r="AA6626" t="str">
        <f>IF(Z6626="","",IFERROR(LOOKUP(2,1/(#REF!=Z6626),#REF!),""))</f>
        <v/>
      </c>
      <c r="AB6626" t="str">
        <f>IF(Z6626="","",IFERROR(LOOKUP(2,1/(#REF!=Z6626),#REF!),""))</f>
        <v/>
      </c>
      <c r="AC6626" t="str">
        <f>IF(Z6626="","",COUNTIF(#REF!,Z6626))</f>
        <v/>
      </c>
      <c r="AD6626" t="str">
        <f>IF(A6626="","",IF(AC6626&gt;1,"REVISAR DUPLICADO",IF(AA6626&lt;&gt;"","ACTUALIZADO POR EYR","SIN REPORTE EYR")))</f>
        <v/>
      </c>
    </row>
    <row r="6627" spans="11:30" x14ac:dyDescent="0.3">
      <c r="K6627" s="1" t="str">
        <f ca="1">IF(A6627="","",IF(OR(L6627="ENTREGADA",L6627="RETORNADA",L6627="ENTREGA DIGITAL"),0,MAX(0,5-NETWORKDAYS(H6627+1,TODAY()))))</f>
        <v/>
      </c>
      <c r="L6627" t="str">
        <f>IF(A6627="","",IFERROR(LOOKUP(2,1/(#REF!=Z6627),#REF!),Y6627))</f>
        <v/>
      </c>
      <c r="Z6627" t="str">
        <f>IF(A6627="","",TEXT(A6627,"0")&amp;"|"&amp;TEXT(H6627,"0"))</f>
        <v/>
      </c>
      <c r="AA6627" t="str">
        <f>IF(Z6627="","",IFERROR(LOOKUP(2,1/(#REF!=Z6627),#REF!),""))</f>
        <v/>
      </c>
      <c r="AB6627" t="str">
        <f>IF(Z6627="","",IFERROR(LOOKUP(2,1/(#REF!=Z6627),#REF!),""))</f>
        <v/>
      </c>
      <c r="AC6627" t="str">
        <f>IF(Z6627="","",COUNTIF(#REF!,Z6627))</f>
        <v/>
      </c>
      <c r="AD6627" t="str">
        <f>IF(A6627="","",IF(AC6627&gt;1,"REVISAR DUPLICADO",IF(AA6627&lt;&gt;"","ACTUALIZADO POR EYR","SIN REPORTE EYR")))</f>
        <v/>
      </c>
    </row>
    <row r="6628" spans="11:30" x14ac:dyDescent="0.3">
      <c r="K6628" s="1" t="str">
        <f ca="1">IF(A6628="","",IF(OR(L6628="ENTREGADA",L6628="RETORNADA",L6628="ENTREGA DIGITAL"),0,MAX(0,5-NETWORKDAYS(H6628+1,TODAY()))))</f>
        <v/>
      </c>
      <c r="L6628" t="str">
        <f>IF(A6628="","",IFERROR(LOOKUP(2,1/(#REF!=Z6628),#REF!),Y6628))</f>
        <v/>
      </c>
      <c r="Z6628" t="str">
        <f>IF(A6628="","",TEXT(A6628,"0")&amp;"|"&amp;TEXT(H6628,"0"))</f>
        <v/>
      </c>
      <c r="AA6628" t="str">
        <f>IF(Z6628="","",IFERROR(LOOKUP(2,1/(#REF!=Z6628),#REF!),""))</f>
        <v/>
      </c>
      <c r="AB6628" t="str">
        <f>IF(Z6628="","",IFERROR(LOOKUP(2,1/(#REF!=Z6628),#REF!),""))</f>
        <v/>
      </c>
      <c r="AC6628" t="str">
        <f>IF(Z6628="","",COUNTIF(#REF!,Z6628))</f>
        <v/>
      </c>
      <c r="AD6628" t="str">
        <f>IF(A6628="","",IF(AC6628&gt;1,"REVISAR DUPLICADO",IF(AA6628&lt;&gt;"","ACTUALIZADO POR EYR","SIN REPORTE EYR")))</f>
        <v/>
      </c>
    </row>
    <row r="6629" spans="11:30" x14ac:dyDescent="0.3">
      <c r="K6629" s="1" t="str">
        <f ca="1">IF(A6629="","",IF(OR(L6629="ENTREGADA",L6629="RETORNADA",L6629="ENTREGA DIGITAL"),0,MAX(0,5-NETWORKDAYS(H6629+1,TODAY()))))</f>
        <v/>
      </c>
      <c r="L6629" t="str">
        <f>IF(A6629="","",IFERROR(LOOKUP(2,1/(#REF!=Z6629),#REF!),Y6629))</f>
        <v/>
      </c>
      <c r="Z6629" t="str">
        <f>IF(A6629="","",TEXT(A6629,"0")&amp;"|"&amp;TEXT(H6629,"0"))</f>
        <v/>
      </c>
      <c r="AA6629" t="str">
        <f>IF(Z6629="","",IFERROR(LOOKUP(2,1/(#REF!=Z6629),#REF!),""))</f>
        <v/>
      </c>
      <c r="AB6629" t="str">
        <f>IF(Z6629="","",IFERROR(LOOKUP(2,1/(#REF!=Z6629),#REF!),""))</f>
        <v/>
      </c>
      <c r="AC6629" t="str">
        <f>IF(Z6629="","",COUNTIF(#REF!,Z6629))</f>
        <v/>
      </c>
      <c r="AD6629" t="str">
        <f>IF(A6629="","",IF(AC6629&gt;1,"REVISAR DUPLICADO",IF(AA6629&lt;&gt;"","ACTUALIZADO POR EYR","SIN REPORTE EYR")))</f>
        <v/>
      </c>
    </row>
    <row r="6630" spans="11:30" x14ac:dyDescent="0.3">
      <c r="K6630" s="1" t="str">
        <f ca="1">IF(A6630="","",IF(OR(L6630="ENTREGADA",L6630="RETORNADA",L6630="ENTREGA DIGITAL"),0,MAX(0,5-NETWORKDAYS(H6630+1,TODAY()))))</f>
        <v/>
      </c>
      <c r="L6630" t="str">
        <f>IF(A6630="","",IFERROR(LOOKUP(2,1/(#REF!=Z6630),#REF!),Y6630))</f>
        <v/>
      </c>
      <c r="Z6630" t="str">
        <f>IF(A6630="","",TEXT(A6630,"0")&amp;"|"&amp;TEXT(H6630,"0"))</f>
        <v/>
      </c>
      <c r="AA6630" t="str">
        <f>IF(Z6630="","",IFERROR(LOOKUP(2,1/(#REF!=Z6630),#REF!),""))</f>
        <v/>
      </c>
      <c r="AB6630" t="str">
        <f>IF(Z6630="","",IFERROR(LOOKUP(2,1/(#REF!=Z6630),#REF!),""))</f>
        <v/>
      </c>
      <c r="AC6630" t="str">
        <f>IF(Z6630="","",COUNTIF(#REF!,Z6630))</f>
        <v/>
      </c>
      <c r="AD6630" t="str">
        <f>IF(A6630="","",IF(AC6630&gt;1,"REVISAR DUPLICADO",IF(AA6630&lt;&gt;"","ACTUALIZADO POR EYR","SIN REPORTE EYR")))</f>
        <v/>
      </c>
    </row>
    <row r="6631" spans="11:30" x14ac:dyDescent="0.3">
      <c r="K6631" s="1" t="str">
        <f ca="1">IF(A6631="","",IF(OR(L6631="ENTREGADA",L6631="RETORNADA",L6631="ENTREGA DIGITAL"),0,MAX(0,5-NETWORKDAYS(H6631+1,TODAY()))))</f>
        <v/>
      </c>
      <c r="L6631" t="str">
        <f>IF(A6631="","",IFERROR(LOOKUP(2,1/(#REF!=Z6631),#REF!),Y6631))</f>
        <v/>
      </c>
      <c r="Z6631" t="str">
        <f>IF(A6631="","",TEXT(A6631,"0")&amp;"|"&amp;TEXT(H6631,"0"))</f>
        <v/>
      </c>
      <c r="AA6631" t="str">
        <f>IF(Z6631="","",IFERROR(LOOKUP(2,1/(#REF!=Z6631),#REF!),""))</f>
        <v/>
      </c>
      <c r="AB6631" t="str">
        <f>IF(Z6631="","",IFERROR(LOOKUP(2,1/(#REF!=Z6631),#REF!),""))</f>
        <v/>
      </c>
      <c r="AC6631" t="str">
        <f>IF(Z6631="","",COUNTIF(#REF!,Z6631))</f>
        <v/>
      </c>
      <c r="AD6631" t="str">
        <f>IF(A6631="","",IF(AC6631&gt;1,"REVISAR DUPLICADO",IF(AA6631&lt;&gt;"","ACTUALIZADO POR EYR","SIN REPORTE EYR")))</f>
        <v/>
      </c>
    </row>
    <row r="6632" spans="11:30" x14ac:dyDescent="0.3">
      <c r="K6632" s="1" t="str">
        <f ca="1">IF(A6632="","",IF(OR(L6632="ENTREGADA",L6632="RETORNADA",L6632="ENTREGA DIGITAL"),0,MAX(0,5-NETWORKDAYS(H6632+1,TODAY()))))</f>
        <v/>
      </c>
      <c r="L6632" t="str">
        <f>IF(A6632="","",IFERROR(LOOKUP(2,1/(#REF!=Z6632),#REF!),Y6632))</f>
        <v/>
      </c>
      <c r="Z6632" t="str">
        <f>IF(A6632="","",TEXT(A6632,"0")&amp;"|"&amp;TEXT(H6632,"0"))</f>
        <v/>
      </c>
      <c r="AA6632" t="str">
        <f>IF(Z6632="","",IFERROR(LOOKUP(2,1/(#REF!=Z6632),#REF!),""))</f>
        <v/>
      </c>
      <c r="AB6632" t="str">
        <f>IF(Z6632="","",IFERROR(LOOKUP(2,1/(#REF!=Z6632),#REF!),""))</f>
        <v/>
      </c>
      <c r="AC6632" t="str">
        <f>IF(Z6632="","",COUNTIF(#REF!,Z6632))</f>
        <v/>
      </c>
      <c r="AD6632" t="str">
        <f>IF(A6632="","",IF(AC6632&gt;1,"REVISAR DUPLICADO",IF(AA6632&lt;&gt;"","ACTUALIZADO POR EYR","SIN REPORTE EYR")))</f>
        <v/>
      </c>
    </row>
    <row r="6633" spans="11:30" x14ac:dyDescent="0.3">
      <c r="K6633" s="1" t="str">
        <f ca="1">IF(A6633="","",IF(OR(L6633="ENTREGADA",L6633="RETORNADA",L6633="ENTREGA DIGITAL"),0,MAX(0,5-NETWORKDAYS(H6633+1,TODAY()))))</f>
        <v/>
      </c>
      <c r="L6633" t="str">
        <f>IF(A6633="","",IFERROR(LOOKUP(2,1/(#REF!=Z6633),#REF!),Y6633))</f>
        <v/>
      </c>
      <c r="Z6633" t="str">
        <f>IF(A6633="","",TEXT(A6633,"0")&amp;"|"&amp;TEXT(H6633,"0"))</f>
        <v/>
      </c>
      <c r="AA6633" t="str">
        <f>IF(Z6633="","",IFERROR(LOOKUP(2,1/(#REF!=Z6633),#REF!),""))</f>
        <v/>
      </c>
      <c r="AB6633" t="str">
        <f>IF(Z6633="","",IFERROR(LOOKUP(2,1/(#REF!=Z6633),#REF!),""))</f>
        <v/>
      </c>
      <c r="AC6633" t="str">
        <f>IF(Z6633="","",COUNTIF(#REF!,Z6633))</f>
        <v/>
      </c>
      <c r="AD6633" t="str">
        <f>IF(A6633="","",IF(AC6633&gt;1,"REVISAR DUPLICADO",IF(AA6633&lt;&gt;"","ACTUALIZADO POR EYR","SIN REPORTE EYR")))</f>
        <v/>
      </c>
    </row>
    <row r="6634" spans="11:30" x14ac:dyDescent="0.3">
      <c r="K6634" s="1" t="str">
        <f ca="1">IF(A6634="","",IF(OR(L6634="ENTREGADA",L6634="RETORNADA",L6634="ENTREGA DIGITAL"),0,MAX(0,5-NETWORKDAYS(H6634+1,TODAY()))))</f>
        <v/>
      </c>
      <c r="L6634" t="str">
        <f>IF(A6634="","",IFERROR(LOOKUP(2,1/(#REF!=Z6634),#REF!),Y6634))</f>
        <v/>
      </c>
      <c r="Z6634" t="str">
        <f>IF(A6634="","",TEXT(A6634,"0")&amp;"|"&amp;TEXT(H6634,"0"))</f>
        <v/>
      </c>
      <c r="AA6634" t="str">
        <f>IF(Z6634="","",IFERROR(LOOKUP(2,1/(#REF!=Z6634),#REF!),""))</f>
        <v/>
      </c>
      <c r="AB6634" t="str">
        <f>IF(Z6634="","",IFERROR(LOOKUP(2,1/(#REF!=Z6634),#REF!),""))</f>
        <v/>
      </c>
      <c r="AC6634" t="str">
        <f>IF(Z6634="","",COUNTIF(#REF!,Z6634))</f>
        <v/>
      </c>
      <c r="AD6634" t="str">
        <f>IF(A6634="","",IF(AC6634&gt;1,"REVISAR DUPLICADO",IF(AA6634&lt;&gt;"","ACTUALIZADO POR EYR","SIN REPORTE EYR")))</f>
        <v/>
      </c>
    </row>
    <row r="6635" spans="11:30" x14ac:dyDescent="0.3">
      <c r="K6635" s="1" t="str">
        <f ca="1">IF(A6635="","",IF(OR(L6635="ENTREGADA",L6635="RETORNADA",L6635="ENTREGA DIGITAL"),0,MAX(0,5-NETWORKDAYS(H6635+1,TODAY()))))</f>
        <v/>
      </c>
      <c r="L6635" t="str">
        <f>IF(A6635="","",IFERROR(LOOKUP(2,1/(#REF!=Z6635),#REF!),Y6635))</f>
        <v/>
      </c>
      <c r="Z6635" t="str">
        <f>IF(A6635="","",TEXT(A6635,"0")&amp;"|"&amp;TEXT(H6635,"0"))</f>
        <v/>
      </c>
      <c r="AA6635" t="str">
        <f>IF(Z6635="","",IFERROR(LOOKUP(2,1/(#REF!=Z6635),#REF!),""))</f>
        <v/>
      </c>
      <c r="AB6635" t="str">
        <f>IF(Z6635="","",IFERROR(LOOKUP(2,1/(#REF!=Z6635),#REF!),""))</f>
        <v/>
      </c>
      <c r="AC6635" t="str">
        <f>IF(Z6635="","",COUNTIF(#REF!,Z6635))</f>
        <v/>
      </c>
      <c r="AD6635" t="str">
        <f>IF(A6635="","",IF(AC6635&gt;1,"REVISAR DUPLICADO",IF(AA6635&lt;&gt;"","ACTUALIZADO POR EYR","SIN REPORTE EYR")))</f>
        <v/>
      </c>
    </row>
    <row r="6636" spans="11:30" x14ac:dyDescent="0.3">
      <c r="K6636" s="1" t="str">
        <f ca="1">IF(A6636="","",IF(OR(L6636="ENTREGADA",L6636="RETORNADA",L6636="ENTREGA DIGITAL"),0,MAX(0,5-NETWORKDAYS(H6636+1,TODAY()))))</f>
        <v/>
      </c>
      <c r="L6636" t="str">
        <f>IF(A6636="","",IFERROR(LOOKUP(2,1/(#REF!=Z6636),#REF!),Y6636))</f>
        <v/>
      </c>
      <c r="Z6636" t="str">
        <f>IF(A6636="","",TEXT(A6636,"0")&amp;"|"&amp;TEXT(H6636,"0"))</f>
        <v/>
      </c>
      <c r="AA6636" t="str">
        <f>IF(Z6636="","",IFERROR(LOOKUP(2,1/(#REF!=Z6636),#REF!),""))</f>
        <v/>
      </c>
      <c r="AB6636" t="str">
        <f>IF(Z6636="","",IFERROR(LOOKUP(2,1/(#REF!=Z6636),#REF!),""))</f>
        <v/>
      </c>
      <c r="AC6636" t="str">
        <f>IF(Z6636="","",COUNTIF(#REF!,Z6636))</f>
        <v/>
      </c>
      <c r="AD6636" t="str">
        <f>IF(A6636="","",IF(AC6636&gt;1,"REVISAR DUPLICADO",IF(AA6636&lt;&gt;"","ACTUALIZADO POR EYR","SIN REPORTE EYR")))</f>
        <v/>
      </c>
    </row>
    <row r="6637" spans="11:30" x14ac:dyDescent="0.3">
      <c r="K6637" s="1" t="str">
        <f ca="1">IF(A6637="","",IF(OR(L6637="ENTREGADA",L6637="RETORNADA",L6637="ENTREGA DIGITAL"),0,MAX(0,5-NETWORKDAYS(H6637+1,TODAY()))))</f>
        <v/>
      </c>
      <c r="L6637" t="str">
        <f>IF(A6637="","",IFERROR(LOOKUP(2,1/(#REF!=Z6637),#REF!),Y6637))</f>
        <v/>
      </c>
      <c r="Z6637" t="str">
        <f>IF(A6637="","",TEXT(A6637,"0")&amp;"|"&amp;TEXT(H6637,"0"))</f>
        <v/>
      </c>
      <c r="AA6637" t="str">
        <f>IF(Z6637="","",IFERROR(LOOKUP(2,1/(#REF!=Z6637),#REF!),""))</f>
        <v/>
      </c>
      <c r="AB6637" t="str">
        <f>IF(Z6637="","",IFERROR(LOOKUP(2,1/(#REF!=Z6637),#REF!),""))</f>
        <v/>
      </c>
      <c r="AC6637" t="str">
        <f>IF(Z6637="","",COUNTIF(#REF!,Z6637))</f>
        <v/>
      </c>
      <c r="AD6637" t="str">
        <f>IF(A6637="","",IF(AC6637&gt;1,"REVISAR DUPLICADO",IF(AA6637&lt;&gt;"","ACTUALIZADO POR EYR","SIN REPORTE EYR")))</f>
        <v/>
      </c>
    </row>
    <row r="6638" spans="11:30" x14ac:dyDescent="0.3">
      <c r="K6638" s="1" t="str">
        <f ca="1">IF(A6638="","",IF(OR(L6638="ENTREGADA",L6638="RETORNADA",L6638="ENTREGA DIGITAL"),0,MAX(0,5-NETWORKDAYS(H6638+1,TODAY()))))</f>
        <v/>
      </c>
      <c r="L6638" t="str">
        <f>IF(A6638="","",IFERROR(LOOKUP(2,1/(#REF!=Z6638),#REF!),Y6638))</f>
        <v/>
      </c>
      <c r="Z6638" t="str">
        <f>IF(A6638="","",TEXT(A6638,"0")&amp;"|"&amp;TEXT(H6638,"0"))</f>
        <v/>
      </c>
      <c r="AA6638" t="str">
        <f>IF(Z6638="","",IFERROR(LOOKUP(2,1/(#REF!=Z6638),#REF!),""))</f>
        <v/>
      </c>
      <c r="AB6638" t="str">
        <f>IF(Z6638="","",IFERROR(LOOKUP(2,1/(#REF!=Z6638),#REF!),""))</f>
        <v/>
      </c>
      <c r="AC6638" t="str">
        <f>IF(Z6638="","",COUNTIF(#REF!,Z6638))</f>
        <v/>
      </c>
      <c r="AD6638" t="str">
        <f>IF(A6638="","",IF(AC6638&gt;1,"REVISAR DUPLICADO",IF(AA6638&lt;&gt;"","ACTUALIZADO POR EYR","SIN REPORTE EYR")))</f>
        <v/>
      </c>
    </row>
    <row r="6639" spans="11:30" x14ac:dyDescent="0.3">
      <c r="K6639" s="1" t="str">
        <f ca="1">IF(A6639="","",IF(OR(L6639="ENTREGADA",L6639="RETORNADA",L6639="ENTREGA DIGITAL"),0,MAX(0,5-NETWORKDAYS(H6639+1,TODAY()))))</f>
        <v/>
      </c>
      <c r="L6639" t="str">
        <f>IF(A6639="","",IFERROR(LOOKUP(2,1/(#REF!=Z6639),#REF!),Y6639))</f>
        <v/>
      </c>
      <c r="Z6639" t="str">
        <f>IF(A6639="","",TEXT(A6639,"0")&amp;"|"&amp;TEXT(H6639,"0"))</f>
        <v/>
      </c>
      <c r="AA6639" t="str">
        <f>IF(Z6639="","",IFERROR(LOOKUP(2,1/(#REF!=Z6639),#REF!),""))</f>
        <v/>
      </c>
      <c r="AB6639" t="str">
        <f>IF(Z6639="","",IFERROR(LOOKUP(2,1/(#REF!=Z6639),#REF!),""))</f>
        <v/>
      </c>
      <c r="AC6639" t="str">
        <f>IF(Z6639="","",COUNTIF(#REF!,Z6639))</f>
        <v/>
      </c>
      <c r="AD6639" t="str">
        <f>IF(A6639="","",IF(AC6639&gt;1,"REVISAR DUPLICADO",IF(AA6639&lt;&gt;"","ACTUALIZADO POR EYR","SIN REPORTE EYR")))</f>
        <v/>
      </c>
    </row>
    <row r="6640" spans="11:30" x14ac:dyDescent="0.3">
      <c r="K6640" s="1" t="str">
        <f ca="1">IF(A6640="","",IF(OR(L6640="ENTREGADA",L6640="RETORNADA",L6640="ENTREGA DIGITAL"),0,MAX(0,5-NETWORKDAYS(H6640+1,TODAY()))))</f>
        <v/>
      </c>
      <c r="L6640" t="str">
        <f>IF(A6640="","",IFERROR(LOOKUP(2,1/(#REF!=Z6640),#REF!),Y6640))</f>
        <v/>
      </c>
      <c r="Z6640" t="str">
        <f>IF(A6640="","",TEXT(A6640,"0")&amp;"|"&amp;TEXT(H6640,"0"))</f>
        <v/>
      </c>
      <c r="AA6640" t="str">
        <f>IF(Z6640="","",IFERROR(LOOKUP(2,1/(#REF!=Z6640),#REF!),""))</f>
        <v/>
      </c>
      <c r="AB6640" t="str">
        <f>IF(Z6640="","",IFERROR(LOOKUP(2,1/(#REF!=Z6640),#REF!),""))</f>
        <v/>
      </c>
      <c r="AC6640" t="str">
        <f>IF(Z6640="","",COUNTIF(#REF!,Z6640))</f>
        <v/>
      </c>
      <c r="AD6640" t="str">
        <f>IF(A6640="","",IF(AC6640&gt;1,"REVISAR DUPLICADO",IF(AA6640&lt;&gt;"","ACTUALIZADO POR EYR","SIN REPORTE EYR")))</f>
        <v/>
      </c>
    </row>
    <row r="6641" spans="11:30" x14ac:dyDescent="0.3">
      <c r="K6641" s="1" t="str">
        <f ca="1">IF(A6641="","",IF(OR(L6641="ENTREGADA",L6641="RETORNADA",L6641="ENTREGA DIGITAL"),0,MAX(0,5-NETWORKDAYS(H6641+1,TODAY()))))</f>
        <v/>
      </c>
      <c r="L6641" t="str">
        <f>IF(A6641="","",IFERROR(LOOKUP(2,1/(#REF!=Z6641),#REF!),Y6641))</f>
        <v/>
      </c>
      <c r="Z6641" t="str">
        <f>IF(A6641="","",TEXT(A6641,"0")&amp;"|"&amp;TEXT(H6641,"0"))</f>
        <v/>
      </c>
      <c r="AA6641" t="str">
        <f>IF(Z6641="","",IFERROR(LOOKUP(2,1/(#REF!=Z6641),#REF!),""))</f>
        <v/>
      </c>
      <c r="AB6641" t="str">
        <f>IF(Z6641="","",IFERROR(LOOKUP(2,1/(#REF!=Z6641),#REF!),""))</f>
        <v/>
      </c>
      <c r="AC6641" t="str">
        <f>IF(Z6641="","",COUNTIF(#REF!,Z6641))</f>
        <v/>
      </c>
      <c r="AD6641" t="str">
        <f>IF(A6641="","",IF(AC6641&gt;1,"REVISAR DUPLICADO",IF(AA6641&lt;&gt;"","ACTUALIZADO POR EYR","SIN REPORTE EYR")))</f>
        <v/>
      </c>
    </row>
    <row r="6642" spans="11:30" x14ac:dyDescent="0.3">
      <c r="K6642" s="1" t="str">
        <f ca="1">IF(A6642="","",IF(OR(L6642="ENTREGADA",L6642="RETORNADA",L6642="ENTREGA DIGITAL"),0,MAX(0,5-NETWORKDAYS(H6642+1,TODAY()))))</f>
        <v/>
      </c>
      <c r="L6642" t="str">
        <f>IF(A6642="","",IFERROR(LOOKUP(2,1/(#REF!=Z6642),#REF!),Y6642))</f>
        <v/>
      </c>
      <c r="Z6642" t="str">
        <f>IF(A6642="","",TEXT(A6642,"0")&amp;"|"&amp;TEXT(H6642,"0"))</f>
        <v/>
      </c>
      <c r="AA6642" t="str">
        <f>IF(Z6642="","",IFERROR(LOOKUP(2,1/(#REF!=Z6642),#REF!),""))</f>
        <v/>
      </c>
      <c r="AB6642" t="str">
        <f>IF(Z6642="","",IFERROR(LOOKUP(2,1/(#REF!=Z6642),#REF!),""))</f>
        <v/>
      </c>
      <c r="AC6642" t="str">
        <f>IF(Z6642="","",COUNTIF(#REF!,Z6642))</f>
        <v/>
      </c>
      <c r="AD6642" t="str">
        <f>IF(A6642="","",IF(AC6642&gt;1,"REVISAR DUPLICADO",IF(AA6642&lt;&gt;"","ACTUALIZADO POR EYR","SIN REPORTE EYR")))</f>
        <v/>
      </c>
    </row>
    <row r="6643" spans="11:30" x14ac:dyDescent="0.3">
      <c r="K6643" s="1" t="str">
        <f ca="1">IF(A6643="","",IF(OR(L6643="ENTREGADA",L6643="RETORNADA",L6643="ENTREGA DIGITAL"),0,MAX(0,5-NETWORKDAYS(H6643+1,TODAY()))))</f>
        <v/>
      </c>
      <c r="L6643" t="str">
        <f>IF(A6643="","",IFERROR(LOOKUP(2,1/(#REF!=Z6643),#REF!),Y6643))</f>
        <v/>
      </c>
      <c r="Z6643" t="str">
        <f>IF(A6643="","",TEXT(A6643,"0")&amp;"|"&amp;TEXT(H6643,"0"))</f>
        <v/>
      </c>
      <c r="AA6643" t="str">
        <f>IF(Z6643="","",IFERROR(LOOKUP(2,1/(#REF!=Z6643),#REF!),""))</f>
        <v/>
      </c>
      <c r="AB6643" t="str">
        <f>IF(Z6643="","",IFERROR(LOOKUP(2,1/(#REF!=Z6643),#REF!),""))</f>
        <v/>
      </c>
      <c r="AC6643" t="str">
        <f>IF(Z6643="","",COUNTIF(#REF!,Z6643))</f>
        <v/>
      </c>
      <c r="AD6643" t="str">
        <f>IF(A6643="","",IF(AC6643&gt;1,"REVISAR DUPLICADO",IF(AA6643&lt;&gt;"","ACTUALIZADO POR EYR","SIN REPORTE EYR")))</f>
        <v/>
      </c>
    </row>
    <row r="6644" spans="11:30" x14ac:dyDescent="0.3">
      <c r="K6644" s="1" t="str">
        <f ca="1">IF(A6644="","",IF(OR(L6644="ENTREGADA",L6644="RETORNADA",L6644="ENTREGA DIGITAL"),0,MAX(0,5-NETWORKDAYS(H6644+1,TODAY()))))</f>
        <v/>
      </c>
      <c r="L6644" t="str">
        <f>IF(A6644="","",IFERROR(LOOKUP(2,1/(#REF!=Z6644),#REF!),Y6644))</f>
        <v/>
      </c>
      <c r="Z6644" t="str">
        <f>IF(A6644="","",TEXT(A6644,"0")&amp;"|"&amp;TEXT(H6644,"0"))</f>
        <v/>
      </c>
      <c r="AA6644" t="str">
        <f>IF(Z6644="","",IFERROR(LOOKUP(2,1/(#REF!=Z6644),#REF!),""))</f>
        <v/>
      </c>
      <c r="AB6644" t="str">
        <f>IF(Z6644="","",IFERROR(LOOKUP(2,1/(#REF!=Z6644),#REF!),""))</f>
        <v/>
      </c>
      <c r="AC6644" t="str">
        <f>IF(Z6644="","",COUNTIF(#REF!,Z6644))</f>
        <v/>
      </c>
      <c r="AD6644" t="str">
        <f>IF(A6644="","",IF(AC6644&gt;1,"REVISAR DUPLICADO",IF(AA6644&lt;&gt;"","ACTUALIZADO POR EYR","SIN REPORTE EYR")))</f>
        <v/>
      </c>
    </row>
    <row r="6645" spans="11:30" x14ac:dyDescent="0.3">
      <c r="K6645" s="1" t="str">
        <f ca="1">IF(A6645="","",IF(OR(L6645="ENTREGADA",L6645="RETORNADA",L6645="ENTREGA DIGITAL"),0,MAX(0,5-NETWORKDAYS(H6645+1,TODAY()))))</f>
        <v/>
      </c>
      <c r="L6645" t="str">
        <f>IF(A6645="","",IFERROR(LOOKUP(2,1/(#REF!=Z6645),#REF!),Y6645))</f>
        <v/>
      </c>
      <c r="Z6645" t="str">
        <f>IF(A6645="","",TEXT(A6645,"0")&amp;"|"&amp;TEXT(H6645,"0"))</f>
        <v/>
      </c>
      <c r="AA6645" t="str">
        <f>IF(Z6645="","",IFERROR(LOOKUP(2,1/(#REF!=Z6645),#REF!),""))</f>
        <v/>
      </c>
      <c r="AB6645" t="str">
        <f>IF(Z6645="","",IFERROR(LOOKUP(2,1/(#REF!=Z6645),#REF!),""))</f>
        <v/>
      </c>
      <c r="AC6645" t="str">
        <f>IF(Z6645="","",COUNTIF(#REF!,Z6645))</f>
        <v/>
      </c>
      <c r="AD6645" t="str">
        <f>IF(A6645="","",IF(AC6645&gt;1,"REVISAR DUPLICADO",IF(AA6645&lt;&gt;"","ACTUALIZADO POR EYR","SIN REPORTE EYR")))</f>
        <v/>
      </c>
    </row>
    <row r="6646" spans="11:30" x14ac:dyDescent="0.3">
      <c r="K6646" s="1" t="str">
        <f ca="1">IF(A6646="","",IF(OR(L6646="ENTREGADA",L6646="RETORNADA",L6646="ENTREGA DIGITAL"),0,MAX(0,5-NETWORKDAYS(H6646+1,TODAY()))))</f>
        <v/>
      </c>
      <c r="L6646" t="str">
        <f>IF(A6646="","",IFERROR(LOOKUP(2,1/(#REF!=Z6646),#REF!),Y6646))</f>
        <v/>
      </c>
      <c r="Z6646" t="str">
        <f>IF(A6646="","",TEXT(A6646,"0")&amp;"|"&amp;TEXT(H6646,"0"))</f>
        <v/>
      </c>
      <c r="AA6646" t="str">
        <f>IF(Z6646="","",IFERROR(LOOKUP(2,1/(#REF!=Z6646),#REF!),""))</f>
        <v/>
      </c>
      <c r="AB6646" t="str">
        <f>IF(Z6646="","",IFERROR(LOOKUP(2,1/(#REF!=Z6646),#REF!),""))</f>
        <v/>
      </c>
      <c r="AC6646" t="str">
        <f>IF(Z6646="","",COUNTIF(#REF!,Z6646))</f>
        <v/>
      </c>
      <c r="AD6646" t="str">
        <f>IF(A6646="","",IF(AC6646&gt;1,"REVISAR DUPLICADO",IF(AA6646&lt;&gt;"","ACTUALIZADO POR EYR","SIN REPORTE EYR")))</f>
        <v/>
      </c>
    </row>
    <row r="6647" spans="11:30" x14ac:dyDescent="0.3">
      <c r="K6647" s="1" t="str">
        <f ca="1">IF(A6647="","",IF(OR(L6647="ENTREGADA",L6647="RETORNADA",L6647="ENTREGA DIGITAL"),0,MAX(0,5-NETWORKDAYS(H6647+1,TODAY()))))</f>
        <v/>
      </c>
      <c r="L6647" t="str">
        <f>IF(A6647="","",IFERROR(LOOKUP(2,1/(#REF!=Z6647),#REF!),Y6647))</f>
        <v/>
      </c>
      <c r="Z6647" t="str">
        <f>IF(A6647="","",TEXT(A6647,"0")&amp;"|"&amp;TEXT(H6647,"0"))</f>
        <v/>
      </c>
      <c r="AA6647" t="str">
        <f>IF(Z6647="","",IFERROR(LOOKUP(2,1/(#REF!=Z6647),#REF!),""))</f>
        <v/>
      </c>
      <c r="AB6647" t="str">
        <f>IF(Z6647="","",IFERROR(LOOKUP(2,1/(#REF!=Z6647),#REF!),""))</f>
        <v/>
      </c>
      <c r="AC6647" t="str">
        <f>IF(Z6647="","",COUNTIF(#REF!,Z6647))</f>
        <v/>
      </c>
      <c r="AD6647" t="str">
        <f>IF(A6647="","",IF(AC6647&gt;1,"REVISAR DUPLICADO",IF(AA6647&lt;&gt;"","ACTUALIZADO POR EYR","SIN REPORTE EYR")))</f>
        <v/>
      </c>
    </row>
    <row r="6648" spans="11:30" x14ac:dyDescent="0.3">
      <c r="K6648" s="1" t="str">
        <f ca="1">IF(A6648="","",IF(OR(L6648="ENTREGADA",L6648="RETORNADA",L6648="ENTREGA DIGITAL"),0,MAX(0,5-NETWORKDAYS(H6648+1,TODAY()))))</f>
        <v/>
      </c>
      <c r="L6648" t="str">
        <f>IF(A6648="","",IFERROR(LOOKUP(2,1/(#REF!=Z6648),#REF!),Y6648))</f>
        <v/>
      </c>
      <c r="Z6648" t="str">
        <f>IF(A6648="","",TEXT(A6648,"0")&amp;"|"&amp;TEXT(H6648,"0"))</f>
        <v/>
      </c>
      <c r="AA6648" t="str">
        <f>IF(Z6648="","",IFERROR(LOOKUP(2,1/(#REF!=Z6648),#REF!),""))</f>
        <v/>
      </c>
      <c r="AB6648" t="str">
        <f>IF(Z6648="","",IFERROR(LOOKUP(2,1/(#REF!=Z6648),#REF!),""))</f>
        <v/>
      </c>
      <c r="AC6648" t="str">
        <f>IF(Z6648="","",COUNTIF(#REF!,Z6648))</f>
        <v/>
      </c>
      <c r="AD6648" t="str">
        <f>IF(A6648="","",IF(AC6648&gt;1,"REVISAR DUPLICADO",IF(AA6648&lt;&gt;"","ACTUALIZADO POR EYR","SIN REPORTE EYR")))</f>
        <v/>
      </c>
    </row>
    <row r="6649" spans="11:30" x14ac:dyDescent="0.3">
      <c r="K6649" s="1" t="str">
        <f ca="1">IF(A6649="","",IF(OR(L6649="ENTREGADA",L6649="RETORNADA",L6649="ENTREGA DIGITAL"),0,MAX(0,5-NETWORKDAYS(H6649+1,TODAY()))))</f>
        <v/>
      </c>
      <c r="L6649" t="str">
        <f>IF(A6649="","",IFERROR(LOOKUP(2,1/(#REF!=Z6649),#REF!),Y6649))</f>
        <v/>
      </c>
      <c r="Z6649" t="str">
        <f>IF(A6649="","",TEXT(A6649,"0")&amp;"|"&amp;TEXT(H6649,"0"))</f>
        <v/>
      </c>
      <c r="AA6649" t="str">
        <f>IF(Z6649="","",IFERROR(LOOKUP(2,1/(#REF!=Z6649),#REF!),""))</f>
        <v/>
      </c>
      <c r="AB6649" t="str">
        <f>IF(Z6649="","",IFERROR(LOOKUP(2,1/(#REF!=Z6649),#REF!),""))</f>
        <v/>
      </c>
      <c r="AC6649" t="str">
        <f>IF(Z6649="","",COUNTIF(#REF!,Z6649))</f>
        <v/>
      </c>
      <c r="AD6649" t="str">
        <f>IF(A6649="","",IF(AC6649&gt;1,"REVISAR DUPLICADO",IF(AA6649&lt;&gt;"","ACTUALIZADO POR EYR","SIN REPORTE EYR")))</f>
        <v/>
      </c>
    </row>
    <row r="6650" spans="11:30" x14ac:dyDescent="0.3">
      <c r="K6650" s="1" t="str">
        <f ca="1">IF(A6650="","",IF(OR(L6650="ENTREGADA",L6650="RETORNADA",L6650="ENTREGA DIGITAL"),0,MAX(0,5-NETWORKDAYS(H6650+1,TODAY()))))</f>
        <v/>
      </c>
      <c r="L6650" t="str">
        <f>IF(A6650="","",IFERROR(LOOKUP(2,1/(#REF!=Z6650),#REF!),Y6650))</f>
        <v/>
      </c>
      <c r="Z6650" t="str">
        <f>IF(A6650="","",TEXT(A6650,"0")&amp;"|"&amp;TEXT(H6650,"0"))</f>
        <v/>
      </c>
      <c r="AA6650" t="str">
        <f>IF(Z6650="","",IFERROR(LOOKUP(2,1/(#REF!=Z6650),#REF!),""))</f>
        <v/>
      </c>
      <c r="AB6650" t="str">
        <f>IF(Z6650="","",IFERROR(LOOKUP(2,1/(#REF!=Z6650),#REF!),""))</f>
        <v/>
      </c>
      <c r="AC6650" t="str">
        <f>IF(Z6650="","",COUNTIF(#REF!,Z6650))</f>
        <v/>
      </c>
      <c r="AD6650" t="str">
        <f>IF(A6650="","",IF(AC6650&gt;1,"REVISAR DUPLICADO",IF(AA6650&lt;&gt;"","ACTUALIZADO POR EYR","SIN REPORTE EYR")))</f>
        <v/>
      </c>
    </row>
    <row r="6651" spans="11:30" x14ac:dyDescent="0.3">
      <c r="K6651" s="1" t="str">
        <f ca="1">IF(A6651="","",IF(OR(L6651="ENTREGADA",L6651="RETORNADA",L6651="ENTREGA DIGITAL"),0,MAX(0,5-NETWORKDAYS(H6651+1,TODAY()))))</f>
        <v/>
      </c>
      <c r="L6651" t="str">
        <f>IF(A6651="","",IFERROR(LOOKUP(2,1/(#REF!=Z6651),#REF!),Y6651))</f>
        <v/>
      </c>
      <c r="Z6651" t="str">
        <f>IF(A6651="","",TEXT(A6651,"0")&amp;"|"&amp;TEXT(H6651,"0"))</f>
        <v/>
      </c>
      <c r="AA6651" t="str">
        <f>IF(Z6651="","",IFERROR(LOOKUP(2,1/(#REF!=Z6651),#REF!),""))</f>
        <v/>
      </c>
      <c r="AB6651" t="str">
        <f>IF(Z6651="","",IFERROR(LOOKUP(2,1/(#REF!=Z6651),#REF!),""))</f>
        <v/>
      </c>
      <c r="AC6651" t="str">
        <f>IF(Z6651="","",COUNTIF(#REF!,Z6651))</f>
        <v/>
      </c>
      <c r="AD6651" t="str">
        <f>IF(A6651="","",IF(AC6651&gt;1,"REVISAR DUPLICADO",IF(AA6651&lt;&gt;"","ACTUALIZADO POR EYR","SIN REPORTE EYR")))</f>
        <v/>
      </c>
    </row>
    <row r="6652" spans="11:30" x14ac:dyDescent="0.3">
      <c r="K6652" s="1" t="str">
        <f ca="1">IF(A6652="","",IF(OR(L6652="ENTREGADA",L6652="RETORNADA",L6652="ENTREGA DIGITAL"),0,MAX(0,5-NETWORKDAYS(H6652+1,TODAY()))))</f>
        <v/>
      </c>
      <c r="L6652" t="str">
        <f>IF(A6652="","",IFERROR(LOOKUP(2,1/(#REF!=Z6652),#REF!),Y6652))</f>
        <v/>
      </c>
      <c r="Z6652" t="str">
        <f>IF(A6652="","",TEXT(A6652,"0")&amp;"|"&amp;TEXT(H6652,"0"))</f>
        <v/>
      </c>
      <c r="AA6652" t="str">
        <f>IF(Z6652="","",IFERROR(LOOKUP(2,1/(#REF!=Z6652),#REF!),""))</f>
        <v/>
      </c>
      <c r="AB6652" t="str">
        <f>IF(Z6652="","",IFERROR(LOOKUP(2,1/(#REF!=Z6652),#REF!),""))</f>
        <v/>
      </c>
      <c r="AC6652" t="str">
        <f>IF(Z6652="","",COUNTIF(#REF!,Z6652))</f>
        <v/>
      </c>
      <c r="AD6652" t="str">
        <f>IF(A6652="","",IF(AC6652&gt;1,"REVISAR DUPLICADO",IF(AA6652&lt;&gt;"","ACTUALIZADO POR EYR","SIN REPORTE EYR")))</f>
        <v/>
      </c>
    </row>
    <row r="6653" spans="11:30" x14ac:dyDescent="0.3">
      <c r="K6653" s="1" t="str">
        <f ca="1">IF(A6653="","",IF(OR(L6653="ENTREGADA",L6653="RETORNADA",L6653="ENTREGA DIGITAL"),0,MAX(0,5-NETWORKDAYS(H6653+1,TODAY()))))</f>
        <v/>
      </c>
      <c r="L6653" t="str">
        <f>IF(A6653="","",IFERROR(LOOKUP(2,1/(#REF!=Z6653),#REF!),Y6653))</f>
        <v/>
      </c>
      <c r="Z6653" t="str">
        <f>IF(A6653="","",TEXT(A6653,"0")&amp;"|"&amp;TEXT(H6653,"0"))</f>
        <v/>
      </c>
      <c r="AA6653" t="str">
        <f>IF(Z6653="","",IFERROR(LOOKUP(2,1/(#REF!=Z6653),#REF!),""))</f>
        <v/>
      </c>
      <c r="AB6653" t="str">
        <f>IF(Z6653="","",IFERROR(LOOKUP(2,1/(#REF!=Z6653),#REF!),""))</f>
        <v/>
      </c>
      <c r="AC6653" t="str">
        <f>IF(Z6653="","",COUNTIF(#REF!,Z6653))</f>
        <v/>
      </c>
      <c r="AD6653" t="str">
        <f>IF(A6653="","",IF(AC6653&gt;1,"REVISAR DUPLICADO",IF(AA6653&lt;&gt;"","ACTUALIZADO POR EYR","SIN REPORTE EYR")))</f>
        <v/>
      </c>
    </row>
    <row r="6654" spans="11:30" x14ac:dyDescent="0.3">
      <c r="K6654" s="1" t="str">
        <f ca="1">IF(A6654="","",IF(OR(L6654="ENTREGADA",L6654="RETORNADA",L6654="ENTREGA DIGITAL"),0,MAX(0,5-NETWORKDAYS(H6654+1,TODAY()))))</f>
        <v/>
      </c>
      <c r="L6654" t="str">
        <f>IF(A6654="","",IFERROR(LOOKUP(2,1/(#REF!=Z6654),#REF!),Y6654))</f>
        <v/>
      </c>
      <c r="Z6654" t="str">
        <f>IF(A6654="","",TEXT(A6654,"0")&amp;"|"&amp;TEXT(H6654,"0"))</f>
        <v/>
      </c>
      <c r="AA6654" t="str">
        <f>IF(Z6654="","",IFERROR(LOOKUP(2,1/(#REF!=Z6654),#REF!),""))</f>
        <v/>
      </c>
      <c r="AB6654" t="str">
        <f>IF(Z6654="","",IFERROR(LOOKUP(2,1/(#REF!=Z6654),#REF!),""))</f>
        <v/>
      </c>
      <c r="AC6654" t="str">
        <f>IF(Z6654="","",COUNTIF(#REF!,Z6654))</f>
        <v/>
      </c>
      <c r="AD6654" t="str">
        <f>IF(A6654="","",IF(AC6654&gt;1,"REVISAR DUPLICADO",IF(AA6654&lt;&gt;"","ACTUALIZADO POR EYR","SIN REPORTE EYR")))</f>
        <v/>
      </c>
    </row>
    <row r="6655" spans="11:30" x14ac:dyDescent="0.3">
      <c r="K6655" s="1" t="str">
        <f ca="1">IF(A6655="","",IF(OR(L6655="ENTREGADA",L6655="RETORNADA",L6655="ENTREGA DIGITAL"),0,MAX(0,5-NETWORKDAYS(H6655+1,TODAY()))))</f>
        <v/>
      </c>
      <c r="L6655" t="str">
        <f>IF(A6655="","",IFERROR(LOOKUP(2,1/(#REF!=Z6655),#REF!),Y6655))</f>
        <v/>
      </c>
      <c r="Z6655" t="str">
        <f>IF(A6655="","",TEXT(A6655,"0")&amp;"|"&amp;TEXT(H6655,"0"))</f>
        <v/>
      </c>
      <c r="AA6655" t="str">
        <f>IF(Z6655="","",IFERROR(LOOKUP(2,1/(#REF!=Z6655),#REF!),""))</f>
        <v/>
      </c>
      <c r="AB6655" t="str">
        <f>IF(Z6655="","",IFERROR(LOOKUP(2,1/(#REF!=Z6655),#REF!),""))</f>
        <v/>
      </c>
      <c r="AC6655" t="str">
        <f>IF(Z6655="","",COUNTIF(#REF!,Z6655))</f>
        <v/>
      </c>
      <c r="AD6655" t="str">
        <f>IF(A6655="","",IF(AC6655&gt;1,"REVISAR DUPLICADO",IF(AA6655&lt;&gt;"","ACTUALIZADO POR EYR","SIN REPORTE EYR")))</f>
        <v/>
      </c>
    </row>
    <row r="6656" spans="11:30" x14ac:dyDescent="0.3">
      <c r="K6656" s="1" t="str">
        <f ca="1">IF(A6656="","",IF(OR(L6656="ENTREGADA",L6656="RETORNADA",L6656="ENTREGA DIGITAL"),0,MAX(0,5-NETWORKDAYS(H6656+1,TODAY()))))</f>
        <v/>
      </c>
      <c r="L6656" t="str">
        <f>IF(A6656="","",IFERROR(LOOKUP(2,1/(#REF!=Z6656),#REF!),Y6656))</f>
        <v/>
      </c>
      <c r="Z6656" t="str">
        <f>IF(A6656="","",TEXT(A6656,"0")&amp;"|"&amp;TEXT(H6656,"0"))</f>
        <v/>
      </c>
      <c r="AA6656" t="str">
        <f>IF(Z6656="","",IFERROR(LOOKUP(2,1/(#REF!=Z6656),#REF!),""))</f>
        <v/>
      </c>
      <c r="AB6656" t="str">
        <f>IF(Z6656="","",IFERROR(LOOKUP(2,1/(#REF!=Z6656),#REF!),""))</f>
        <v/>
      </c>
      <c r="AC6656" t="str">
        <f>IF(Z6656="","",COUNTIF(#REF!,Z6656))</f>
        <v/>
      </c>
      <c r="AD6656" t="str">
        <f>IF(A6656="","",IF(AC6656&gt;1,"REVISAR DUPLICADO",IF(AA6656&lt;&gt;"","ACTUALIZADO POR EYR","SIN REPORTE EYR")))</f>
        <v/>
      </c>
    </row>
    <row r="6657" spans="11:30" x14ac:dyDescent="0.3">
      <c r="K6657" s="1" t="str">
        <f ca="1">IF(A6657="","",IF(OR(L6657="ENTREGADA",L6657="RETORNADA",L6657="ENTREGA DIGITAL"),0,MAX(0,5-NETWORKDAYS(H6657+1,TODAY()))))</f>
        <v/>
      </c>
      <c r="L6657" t="str">
        <f>IF(A6657="","",IFERROR(LOOKUP(2,1/(#REF!=Z6657),#REF!),Y6657))</f>
        <v/>
      </c>
      <c r="Z6657" t="str">
        <f>IF(A6657="","",TEXT(A6657,"0")&amp;"|"&amp;TEXT(H6657,"0"))</f>
        <v/>
      </c>
      <c r="AA6657" t="str">
        <f>IF(Z6657="","",IFERROR(LOOKUP(2,1/(#REF!=Z6657),#REF!),""))</f>
        <v/>
      </c>
      <c r="AB6657" t="str">
        <f>IF(Z6657="","",IFERROR(LOOKUP(2,1/(#REF!=Z6657),#REF!),""))</f>
        <v/>
      </c>
      <c r="AC6657" t="str">
        <f>IF(Z6657="","",COUNTIF(#REF!,Z6657))</f>
        <v/>
      </c>
      <c r="AD6657" t="str">
        <f>IF(A6657="","",IF(AC6657&gt;1,"REVISAR DUPLICADO",IF(AA6657&lt;&gt;"","ACTUALIZADO POR EYR","SIN REPORTE EYR")))</f>
        <v/>
      </c>
    </row>
    <row r="6658" spans="11:30" x14ac:dyDescent="0.3">
      <c r="K6658" s="1" t="str">
        <f ca="1">IF(A6658="","",IF(OR(L6658="ENTREGADA",L6658="RETORNADA",L6658="ENTREGA DIGITAL"),0,MAX(0,5-NETWORKDAYS(H6658+1,TODAY()))))</f>
        <v/>
      </c>
      <c r="L6658" t="str">
        <f>IF(A6658="","",IFERROR(LOOKUP(2,1/(#REF!=Z6658),#REF!),Y6658))</f>
        <v/>
      </c>
      <c r="Z6658" t="str">
        <f>IF(A6658="","",TEXT(A6658,"0")&amp;"|"&amp;TEXT(H6658,"0"))</f>
        <v/>
      </c>
      <c r="AA6658" t="str">
        <f>IF(Z6658="","",IFERROR(LOOKUP(2,1/(#REF!=Z6658),#REF!),""))</f>
        <v/>
      </c>
      <c r="AB6658" t="str">
        <f>IF(Z6658="","",IFERROR(LOOKUP(2,1/(#REF!=Z6658),#REF!),""))</f>
        <v/>
      </c>
      <c r="AC6658" t="str">
        <f>IF(Z6658="","",COUNTIF(#REF!,Z6658))</f>
        <v/>
      </c>
      <c r="AD6658" t="str">
        <f>IF(A6658="","",IF(AC6658&gt;1,"REVISAR DUPLICADO",IF(AA6658&lt;&gt;"","ACTUALIZADO POR EYR","SIN REPORTE EYR")))</f>
        <v/>
      </c>
    </row>
    <row r="6659" spans="11:30" x14ac:dyDescent="0.3">
      <c r="K6659" s="1" t="str">
        <f ca="1">IF(A6659="","",IF(OR(L6659="ENTREGADA",L6659="RETORNADA",L6659="ENTREGA DIGITAL"),0,MAX(0,5-NETWORKDAYS(H6659+1,TODAY()))))</f>
        <v/>
      </c>
      <c r="L6659" t="str">
        <f>IF(A6659="","",IFERROR(LOOKUP(2,1/(#REF!=Z6659),#REF!),Y6659))</f>
        <v/>
      </c>
      <c r="Z6659" t="str">
        <f>IF(A6659="","",TEXT(A6659,"0")&amp;"|"&amp;TEXT(H6659,"0"))</f>
        <v/>
      </c>
      <c r="AA6659" t="str">
        <f>IF(Z6659="","",IFERROR(LOOKUP(2,1/(#REF!=Z6659),#REF!),""))</f>
        <v/>
      </c>
      <c r="AB6659" t="str">
        <f>IF(Z6659="","",IFERROR(LOOKUP(2,1/(#REF!=Z6659),#REF!),""))</f>
        <v/>
      </c>
      <c r="AC6659" t="str">
        <f>IF(Z6659="","",COUNTIF(#REF!,Z6659))</f>
        <v/>
      </c>
      <c r="AD6659" t="str">
        <f>IF(A6659="","",IF(AC6659&gt;1,"REVISAR DUPLICADO",IF(AA6659&lt;&gt;"","ACTUALIZADO POR EYR","SIN REPORTE EYR")))</f>
        <v/>
      </c>
    </row>
    <row r="6660" spans="11:30" x14ac:dyDescent="0.3">
      <c r="K6660" s="1" t="str">
        <f ca="1">IF(A6660="","",IF(OR(L6660="ENTREGADA",L6660="RETORNADA",L6660="ENTREGA DIGITAL"),0,MAX(0,5-NETWORKDAYS(H6660+1,TODAY()))))</f>
        <v/>
      </c>
      <c r="L6660" t="str">
        <f>IF(A6660="","",IFERROR(LOOKUP(2,1/(#REF!=Z6660),#REF!),Y6660))</f>
        <v/>
      </c>
      <c r="Z6660" t="str">
        <f>IF(A6660="","",TEXT(A6660,"0")&amp;"|"&amp;TEXT(H6660,"0"))</f>
        <v/>
      </c>
      <c r="AA6660" t="str">
        <f>IF(Z6660="","",IFERROR(LOOKUP(2,1/(#REF!=Z6660),#REF!),""))</f>
        <v/>
      </c>
      <c r="AB6660" t="str">
        <f>IF(Z6660="","",IFERROR(LOOKUP(2,1/(#REF!=Z6660),#REF!),""))</f>
        <v/>
      </c>
      <c r="AC6660" t="str">
        <f>IF(Z6660="","",COUNTIF(#REF!,Z6660))</f>
        <v/>
      </c>
      <c r="AD6660" t="str">
        <f>IF(A6660="","",IF(AC6660&gt;1,"REVISAR DUPLICADO",IF(AA6660&lt;&gt;"","ACTUALIZADO POR EYR","SIN REPORTE EYR")))</f>
        <v/>
      </c>
    </row>
    <row r="6661" spans="11:30" x14ac:dyDescent="0.3">
      <c r="K6661" s="1" t="str">
        <f ca="1">IF(A6661="","",IF(OR(L6661="ENTREGADA",L6661="RETORNADA",L6661="ENTREGA DIGITAL"),0,MAX(0,5-NETWORKDAYS(H6661+1,TODAY()))))</f>
        <v/>
      </c>
      <c r="L6661" t="str">
        <f>IF(A6661="","",IFERROR(LOOKUP(2,1/(#REF!=Z6661),#REF!),Y6661))</f>
        <v/>
      </c>
      <c r="Z6661" t="str">
        <f>IF(A6661="","",TEXT(A6661,"0")&amp;"|"&amp;TEXT(H6661,"0"))</f>
        <v/>
      </c>
      <c r="AA6661" t="str">
        <f>IF(Z6661="","",IFERROR(LOOKUP(2,1/(#REF!=Z6661),#REF!),""))</f>
        <v/>
      </c>
      <c r="AB6661" t="str">
        <f>IF(Z6661="","",IFERROR(LOOKUP(2,1/(#REF!=Z6661),#REF!),""))</f>
        <v/>
      </c>
      <c r="AC6661" t="str">
        <f>IF(Z6661="","",COUNTIF(#REF!,Z6661))</f>
        <v/>
      </c>
      <c r="AD6661" t="str">
        <f>IF(A6661="","",IF(AC6661&gt;1,"REVISAR DUPLICADO",IF(AA6661&lt;&gt;"","ACTUALIZADO POR EYR","SIN REPORTE EYR")))</f>
        <v/>
      </c>
    </row>
    <row r="6662" spans="11:30" x14ac:dyDescent="0.3">
      <c r="K6662" s="1" t="str">
        <f ca="1">IF(A6662="","",IF(OR(L6662="ENTREGADA",L6662="RETORNADA",L6662="ENTREGA DIGITAL"),0,MAX(0,5-NETWORKDAYS(H6662+1,TODAY()))))</f>
        <v/>
      </c>
      <c r="L6662" t="str">
        <f>IF(A6662="","",IFERROR(LOOKUP(2,1/(#REF!=Z6662),#REF!),Y6662))</f>
        <v/>
      </c>
      <c r="Z6662" t="str">
        <f>IF(A6662="","",TEXT(A6662,"0")&amp;"|"&amp;TEXT(H6662,"0"))</f>
        <v/>
      </c>
      <c r="AA6662" t="str">
        <f>IF(Z6662="","",IFERROR(LOOKUP(2,1/(#REF!=Z6662),#REF!),""))</f>
        <v/>
      </c>
      <c r="AB6662" t="str">
        <f>IF(Z6662="","",IFERROR(LOOKUP(2,1/(#REF!=Z6662),#REF!),""))</f>
        <v/>
      </c>
      <c r="AC6662" t="str">
        <f>IF(Z6662="","",COUNTIF(#REF!,Z6662))</f>
        <v/>
      </c>
      <c r="AD6662" t="str">
        <f>IF(A6662="","",IF(AC6662&gt;1,"REVISAR DUPLICADO",IF(AA6662&lt;&gt;"","ACTUALIZADO POR EYR","SIN REPORTE EYR")))</f>
        <v/>
      </c>
    </row>
    <row r="6663" spans="11:30" x14ac:dyDescent="0.3">
      <c r="K6663" s="1" t="str">
        <f ca="1">IF(A6663="","",IF(OR(L6663="ENTREGADA",L6663="RETORNADA",L6663="ENTREGA DIGITAL"),0,MAX(0,5-NETWORKDAYS(H6663+1,TODAY()))))</f>
        <v/>
      </c>
      <c r="L6663" t="str">
        <f>IF(A6663="","",IFERROR(LOOKUP(2,1/(#REF!=Z6663),#REF!),Y6663))</f>
        <v/>
      </c>
      <c r="Z6663" t="str">
        <f>IF(A6663="","",TEXT(A6663,"0")&amp;"|"&amp;TEXT(H6663,"0"))</f>
        <v/>
      </c>
      <c r="AA6663" t="str">
        <f>IF(Z6663="","",IFERROR(LOOKUP(2,1/(#REF!=Z6663),#REF!),""))</f>
        <v/>
      </c>
      <c r="AB6663" t="str">
        <f>IF(Z6663="","",IFERROR(LOOKUP(2,1/(#REF!=Z6663),#REF!),""))</f>
        <v/>
      </c>
      <c r="AC6663" t="str">
        <f>IF(Z6663="","",COUNTIF(#REF!,Z6663))</f>
        <v/>
      </c>
      <c r="AD6663" t="str">
        <f>IF(A6663="","",IF(AC6663&gt;1,"REVISAR DUPLICADO",IF(AA6663&lt;&gt;"","ACTUALIZADO POR EYR","SIN REPORTE EYR")))</f>
        <v/>
      </c>
    </row>
    <row r="6664" spans="11:30" x14ac:dyDescent="0.3">
      <c r="K6664" s="1" t="str">
        <f ca="1">IF(A6664="","",IF(OR(L6664="ENTREGADA",L6664="RETORNADA",L6664="ENTREGA DIGITAL"),0,MAX(0,5-NETWORKDAYS(H6664+1,TODAY()))))</f>
        <v/>
      </c>
      <c r="L6664" t="str">
        <f>IF(A6664="","",IFERROR(LOOKUP(2,1/(#REF!=Z6664),#REF!),Y6664))</f>
        <v/>
      </c>
      <c r="Z6664" t="str">
        <f>IF(A6664="","",TEXT(A6664,"0")&amp;"|"&amp;TEXT(H6664,"0"))</f>
        <v/>
      </c>
      <c r="AA6664" t="str">
        <f>IF(Z6664="","",IFERROR(LOOKUP(2,1/(#REF!=Z6664),#REF!),""))</f>
        <v/>
      </c>
      <c r="AB6664" t="str">
        <f>IF(Z6664="","",IFERROR(LOOKUP(2,1/(#REF!=Z6664),#REF!),""))</f>
        <v/>
      </c>
      <c r="AC6664" t="str">
        <f>IF(Z6664="","",COUNTIF(#REF!,Z6664))</f>
        <v/>
      </c>
      <c r="AD6664" t="str">
        <f>IF(A6664="","",IF(AC6664&gt;1,"REVISAR DUPLICADO",IF(AA6664&lt;&gt;"","ACTUALIZADO POR EYR","SIN REPORTE EYR")))</f>
        <v/>
      </c>
    </row>
    <row r="6665" spans="11:30" x14ac:dyDescent="0.3">
      <c r="K6665" s="1" t="str">
        <f ca="1">IF(A6665="","",IF(OR(L6665="ENTREGADA",L6665="RETORNADA",L6665="ENTREGA DIGITAL"),0,MAX(0,5-NETWORKDAYS(H6665+1,TODAY()))))</f>
        <v/>
      </c>
      <c r="L6665" t="str">
        <f>IF(A6665="","",IFERROR(LOOKUP(2,1/(#REF!=Z6665),#REF!),Y6665))</f>
        <v/>
      </c>
      <c r="Z6665" t="str">
        <f>IF(A6665="","",TEXT(A6665,"0")&amp;"|"&amp;TEXT(H6665,"0"))</f>
        <v/>
      </c>
      <c r="AA6665" t="str">
        <f>IF(Z6665="","",IFERROR(LOOKUP(2,1/(#REF!=Z6665),#REF!),""))</f>
        <v/>
      </c>
      <c r="AB6665" t="str">
        <f>IF(Z6665="","",IFERROR(LOOKUP(2,1/(#REF!=Z6665),#REF!),""))</f>
        <v/>
      </c>
      <c r="AC6665" t="str">
        <f>IF(Z6665="","",COUNTIF(#REF!,Z6665))</f>
        <v/>
      </c>
      <c r="AD6665" t="str">
        <f>IF(A6665="","",IF(AC6665&gt;1,"REVISAR DUPLICADO",IF(AA6665&lt;&gt;"","ACTUALIZADO POR EYR","SIN REPORTE EYR")))</f>
        <v/>
      </c>
    </row>
    <row r="6666" spans="11:30" x14ac:dyDescent="0.3">
      <c r="K6666" s="1" t="str">
        <f ca="1">IF(A6666="","",IF(OR(L6666="ENTREGADA",L6666="RETORNADA",L6666="ENTREGA DIGITAL"),0,MAX(0,5-NETWORKDAYS(H6666+1,TODAY()))))</f>
        <v/>
      </c>
      <c r="L6666" t="str">
        <f>IF(A6666="","",IFERROR(LOOKUP(2,1/(#REF!=Z6666),#REF!),Y6666))</f>
        <v/>
      </c>
      <c r="Z6666" t="str">
        <f>IF(A6666="","",TEXT(A6666,"0")&amp;"|"&amp;TEXT(H6666,"0"))</f>
        <v/>
      </c>
      <c r="AA6666" t="str">
        <f>IF(Z6666="","",IFERROR(LOOKUP(2,1/(#REF!=Z6666),#REF!),""))</f>
        <v/>
      </c>
      <c r="AB6666" t="str">
        <f>IF(Z6666="","",IFERROR(LOOKUP(2,1/(#REF!=Z6666),#REF!),""))</f>
        <v/>
      </c>
      <c r="AC6666" t="str">
        <f>IF(Z6666="","",COUNTIF(#REF!,Z6666))</f>
        <v/>
      </c>
      <c r="AD6666" t="str">
        <f>IF(A6666="","",IF(AC6666&gt;1,"REVISAR DUPLICADO",IF(AA6666&lt;&gt;"","ACTUALIZADO POR EYR","SIN REPORTE EYR")))</f>
        <v/>
      </c>
    </row>
    <row r="6667" spans="11:30" x14ac:dyDescent="0.3">
      <c r="K6667" s="1" t="str">
        <f ca="1">IF(A6667="","",IF(OR(L6667="ENTREGADA",L6667="RETORNADA",L6667="ENTREGA DIGITAL"),0,MAX(0,5-NETWORKDAYS(H6667+1,TODAY()))))</f>
        <v/>
      </c>
      <c r="L6667" t="str">
        <f>IF(A6667="","",IFERROR(LOOKUP(2,1/(#REF!=Z6667),#REF!),Y6667))</f>
        <v/>
      </c>
      <c r="Z6667" t="str">
        <f>IF(A6667="","",TEXT(A6667,"0")&amp;"|"&amp;TEXT(H6667,"0"))</f>
        <v/>
      </c>
      <c r="AA6667" t="str">
        <f>IF(Z6667="","",IFERROR(LOOKUP(2,1/(#REF!=Z6667),#REF!),""))</f>
        <v/>
      </c>
      <c r="AB6667" t="str">
        <f>IF(Z6667="","",IFERROR(LOOKUP(2,1/(#REF!=Z6667),#REF!),""))</f>
        <v/>
      </c>
      <c r="AC6667" t="str">
        <f>IF(Z6667="","",COUNTIF(#REF!,Z6667))</f>
        <v/>
      </c>
      <c r="AD6667" t="str">
        <f>IF(A6667="","",IF(AC6667&gt;1,"REVISAR DUPLICADO",IF(AA6667&lt;&gt;"","ACTUALIZADO POR EYR","SIN REPORTE EYR")))</f>
        <v/>
      </c>
    </row>
    <row r="6668" spans="11:30" x14ac:dyDescent="0.3">
      <c r="K6668" s="1" t="str">
        <f ca="1">IF(A6668="","",IF(OR(L6668="ENTREGADA",L6668="RETORNADA",L6668="ENTREGA DIGITAL"),0,MAX(0,5-NETWORKDAYS(H6668+1,TODAY()))))</f>
        <v/>
      </c>
      <c r="L6668" t="str">
        <f>IF(A6668="","",IFERROR(LOOKUP(2,1/(#REF!=Z6668),#REF!),Y6668))</f>
        <v/>
      </c>
      <c r="Z6668" t="str">
        <f>IF(A6668="","",TEXT(A6668,"0")&amp;"|"&amp;TEXT(H6668,"0"))</f>
        <v/>
      </c>
      <c r="AA6668" t="str">
        <f>IF(Z6668="","",IFERROR(LOOKUP(2,1/(#REF!=Z6668),#REF!),""))</f>
        <v/>
      </c>
      <c r="AB6668" t="str">
        <f>IF(Z6668="","",IFERROR(LOOKUP(2,1/(#REF!=Z6668),#REF!),""))</f>
        <v/>
      </c>
      <c r="AC6668" t="str">
        <f>IF(Z6668="","",COUNTIF(#REF!,Z6668))</f>
        <v/>
      </c>
      <c r="AD6668" t="str">
        <f>IF(A6668="","",IF(AC6668&gt;1,"REVISAR DUPLICADO",IF(AA6668&lt;&gt;"","ACTUALIZADO POR EYR","SIN REPORTE EYR")))</f>
        <v/>
      </c>
    </row>
    <row r="6669" spans="11:30" x14ac:dyDescent="0.3">
      <c r="K6669" s="1" t="str">
        <f ca="1">IF(A6669="","",IF(OR(L6669="ENTREGADA",L6669="RETORNADA",L6669="ENTREGA DIGITAL"),0,MAX(0,5-NETWORKDAYS(H6669+1,TODAY()))))</f>
        <v/>
      </c>
      <c r="L6669" t="str">
        <f>IF(A6669="","",IFERROR(LOOKUP(2,1/(#REF!=Z6669),#REF!),Y6669))</f>
        <v/>
      </c>
      <c r="Z6669" t="str">
        <f>IF(A6669="","",TEXT(A6669,"0")&amp;"|"&amp;TEXT(H6669,"0"))</f>
        <v/>
      </c>
      <c r="AA6669" t="str">
        <f>IF(Z6669="","",IFERROR(LOOKUP(2,1/(#REF!=Z6669),#REF!),""))</f>
        <v/>
      </c>
      <c r="AB6669" t="str">
        <f>IF(Z6669="","",IFERROR(LOOKUP(2,1/(#REF!=Z6669),#REF!),""))</f>
        <v/>
      </c>
      <c r="AC6669" t="str">
        <f>IF(Z6669="","",COUNTIF(#REF!,Z6669))</f>
        <v/>
      </c>
      <c r="AD6669" t="str">
        <f>IF(A6669="","",IF(AC6669&gt;1,"REVISAR DUPLICADO",IF(AA6669&lt;&gt;"","ACTUALIZADO POR EYR","SIN REPORTE EYR")))</f>
        <v/>
      </c>
    </row>
    <row r="6670" spans="11:30" x14ac:dyDescent="0.3">
      <c r="K6670" s="1" t="str">
        <f ca="1">IF(A6670="","",IF(OR(L6670="ENTREGADA",L6670="RETORNADA",L6670="ENTREGA DIGITAL"),0,MAX(0,5-NETWORKDAYS(H6670+1,TODAY()))))</f>
        <v/>
      </c>
      <c r="L6670" t="str">
        <f>IF(A6670="","",IFERROR(LOOKUP(2,1/(#REF!=Z6670),#REF!),Y6670))</f>
        <v/>
      </c>
      <c r="Z6670" t="str">
        <f>IF(A6670="","",TEXT(A6670,"0")&amp;"|"&amp;TEXT(H6670,"0"))</f>
        <v/>
      </c>
      <c r="AA6670" t="str">
        <f>IF(Z6670="","",IFERROR(LOOKUP(2,1/(#REF!=Z6670),#REF!),""))</f>
        <v/>
      </c>
      <c r="AB6670" t="str">
        <f>IF(Z6670="","",IFERROR(LOOKUP(2,1/(#REF!=Z6670),#REF!),""))</f>
        <v/>
      </c>
      <c r="AC6670" t="str">
        <f>IF(Z6670="","",COUNTIF(#REF!,Z6670))</f>
        <v/>
      </c>
      <c r="AD6670" t="str">
        <f>IF(A6670="","",IF(AC6670&gt;1,"REVISAR DUPLICADO",IF(AA6670&lt;&gt;"","ACTUALIZADO POR EYR","SIN REPORTE EYR")))</f>
        <v/>
      </c>
    </row>
    <row r="6671" spans="11:30" x14ac:dyDescent="0.3">
      <c r="K6671" s="1" t="str">
        <f ca="1">IF(A6671="","",IF(OR(L6671="ENTREGADA",L6671="RETORNADA",L6671="ENTREGA DIGITAL"),0,MAX(0,5-NETWORKDAYS(H6671+1,TODAY()))))</f>
        <v/>
      </c>
      <c r="L6671" t="str">
        <f>IF(A6671="","",IFERROR(LOOKUP(2,1/(#REF!=Z6671),#REF!),Y6671))</f>
        <v/>
      </c>
      <c r="Z6671" t="str">
        <f>IF(A6671="","",TEXT(A6671,"0")&amp;"|"&amp;TEXT(H6671,"0"))</f>
        <v/>
      </c>
      <c r="AA6671" t="str">
        <f>IF(Z6671="","",IFERROR(LOOKUP(2,1/(#REF!=Z6671),#REF!),""))</f>
        <v/>
      </c>
      <c r="AB6671" t="str">
        <f>IF(Z6671="","",IFERROR(LOOKUP(2,1/(#REF!=Z6671),#REF!),""))</f>
        <v/>
      </c>
      <c r="AC6671" t="str">
        <f>IF(Z6671="","",COUNTIF(#REF!,Z6671))</f>
        <v/>
      </c>
      <c r="AD6671" t="str">
        <f>IF(A6671="","",IF(AC6671&gt;1,"REVISAR DUPLICADO",IF(AA6671&lt;&gt;"","ACTUALIZADO POR EYR","SIN REPORTE EYR")))</f>
        <v/>
      </c>
    </row>
    <row r="6672" spans="11:30" x14ac:dyDescent="0.3">
      <c r="K6672" s="1" t="str">
        <f ca="1">IF(A6672="","",IF(OR(L6672="ENTREGADA",L6672="RETORNADA",L6672="ENTREGA DIGITAL"),0,MAX(0,5-NETWORKDAYS(H6672+1,TODAY()))))</f>
        <v/>
      </c>
      <c r="L6672" t="str">
        <f>IF(A6672="","",IFERROR(LOOKUP(2,1/(#REF!=Z6672),#REF!),Y6672))</f>
        <v/>
      </c>
      <c r="Z6672" t="str">
        <f>IF(A6672="","",TEXT(A6672,"0")&amp;"|"&amp;TEXT(H6672,"0"))</f>
        <v/>
      </c>
      <c r="AA6672" t="str">
        <f>IF(Z6672="","",IFERROR(LOOKUP(2,1/(#REF!=Z6672),#REF!),""))</f>
        <v/>
      </c>
      <c r="AB6672" t="str">
        <f>IF(Z6672="","",IFERROR(LOOKUP(2,1/(#REF!=Z6672),#REF!),""))</f>
        <v/>
      </c>
      <c r="AC6672" t="str">
        <f>IF(Z6672="","",COUNTIF(#REF!,Z6672))</f>
        <v/>
      </c>
      <c r="AD6672" t="str">
        <f>IF(A6672="","",IF(AC6672&gt;1,"REVISAR DUPLICADO",IF(AA6672&lt;&gt;"","ACTUALIZADO POR EYR","SIN REPORTE EYR")))</f>
        <v/>
      </c>
    </row>
    <row r="6673" spans="11:30" x14ac:dyDescent="0.3">
      <c r="K6673" s="1" t="str">
        <f ca="1">IF(A6673="","",IF(OR(L6673="ENTREGADA",L6673="RETORNADA",L6673="ENTREGA DIGITAL"),0,MAX(0,5-NETWORKDAYS(H6673+1,TODAY()))))</f>
        <v/>
      </c>
      <c r="L6673" t="str">
        <f>IF(A6673="","",IFERROR(LOOKUP(2,1/(#REF!=Z6673),#REF!),Y6673))</f>
        <v/>
      </c>
      <c r="Z6673" t="str">
        <f>IF(A6673="","",TEXT(A6673,"0")&amp;"|"&amp;TEXT(H6673,"0"))</f>
        <v/>
      </c>
      <c r="AA6673" t="str">
        <f>IF(Z6673="","",IFERROR(LOOKUP(2,1/(#REF!=Z6673),#REF!),""))</f>
        <v/>
      </c>
      <c r="AB6673" t="str">
        <f>IF(Z6673="","",IFERROR(LOOKUP(2,1/(#REF!=Z6673),#REF!),""))</f>
        <v/>
      </c>
      <c r="AC6673" t="str">
        <f>IF(Z6673="","",COUNTIF(#REF!,Z6673))</f>
        <v/>
      </c>
      <c r="AD6673" t="str">
        <f>IF(A6673="","",IF(AC6673&gt;1,"REVISAR DUPLICADO",IF(AA6673&lt;&gt;"","ACTUALIZADO POR EYR","SIN REPORTE EYR")))</f>
        <v/>
      </c>
    </row>
    <row r="6674" spans="11:30" x14ac:dyDescent="0.3">
      <c r="K6674" s="1" t="str">
        <f ca="1">IF(A6674="","",IF(OR(L6674="ENTREGADA",L6674="RETORNADA",L6674="ENTREGA DIGITAL"),0,MAX(0,5-NETWORKDAYS(H6674+1,TODAY()))))</f>
        <v/>
      </c>
      <c r="L6674" t="str">
        <f>IF(A6674="","",IFERROR(LOOKUP(2,1/(#REF!=Z6674),#REF!),Y6674))</f>
        <v/>
      </c>
      <c r="Z6674" t="str">
        <f>IF(A6674="","",TEXT(A6674,"0")&amp;"|"&amp;TEXT(H6674,"0"))</f>
        <v/>
      </c>
      <c r="AA6674" t="str">
        <f>IF(Z6674="","",IFERROR(LOOKUP(2,1/(#REF!=Z6674),#REF!),""))</f>
        <v/>
      </c>
      <c r="AB6674" t="str">
        <f>IF(Z6674="","",IFERROR(LOOKUP(2,1/(#REF!=Z6674),#REF!),""))</f>
        <v/>
      </c>
      <c r="AC6674" t="str">
        <f>IF(Z6674="","",COUNTIF(#REF!,Z6674))</f>
        <v/>
      </c>
      <c r="AD6674" t="str">
        <f>IF(A6674="","",IF(AC6674&gt;1,"REVISAR DUPLICADO",IF(AA6674&lt;&gt;"","ACTUALIZADO POR EYR","SIN REPORTE EYR")))</f>
        <v/>
      </c>
    </row>
    <row r="6675" spans="11:30" x14ac:dyDescent="0.3">
      <c r="K6675" s="1" t="str">
        <f ca="1">IF(A6675="","",IF(OR(L6675="ENTREGADA",L6675="RETORNADA",L6675="ENTREGA DIGITAL"),0,MAX(0,5-NETWORKDAYS(H6675+1,TODAY()))))</f>
        <v/>
      </c>
      <c r="L6675" t="str">
        <f>IF(A6675="","",IFERROR(LOOKUP(2,1/(#REF!=Z6675),#REF!),Y6675))</f>
        <v/>
      </c>
      <c r="Z6675" t="str">
        <f>IF(A6675="","",TEXT(A6675,"0")&amp;"|"&amp;TEXT(H6675,"0"))</f>
        <v/>
      </c>
      <c r="AA6675" t="str">
        <f>IF(Z6675="","",IFERROR(LOOKUP(2,1/(#REF!=Z6675),#REF!),""))</f>
        <v/>
      </c>
      <c r="AB6675" t="str">
        <f>IF(Z6675="","",IFERROR(LOOKUP(2,1/(#REF!=Z6675),#REF!),""))</f>
        <v/>
      </c>
      <c r="AC6675" t="str">
        <f>IF(Z6675="","",COUNTIF(#REF!,Z6675))</f>
        <v/>
      </c>
      <c r="AD6675" t="str">
        <f>IF(A6675="","",IF(AC6675&gt;1,"REVISAR DUPLICADO",IF(AA6675&lt;&gt;"","ACTUALIZADO POR EYR","SIN REPORTE EYR")))</f>
        <v/>
      </c>
    </row>
    <row r="6676" spans="11:30" x14ac:dyDescent="0.3">
      <c r="K6676" s="1" t="str">
        <f ca="1">IF(A6676="","",IF(OR(L6676="ENTREGADA",L6676="RETORNADA",L6676="ENTREGA DIGITAL"),0,MAX(0,5-NETWORKDAYS(H6676+1,TODAY()))))</f>
        <v/>
      </c>
      <c r="L6676" t="str">
        <f>IF(A6676="","",IFERROR(LOOKUP(2,1/(#REF!=Z6676),#REF!),Y6676))</f>
        <v/>
      </c>
      <c r="Z6676" t="str">
        <f>IF(A6676="","",TEXT(A6676,"0")&amp;"|"&amp;TEXT(H6676,"0"))</f>
        <v/>
      </c>
      <c r="AA6676" t="str">
        <f>IF(Z6676="","",IFERROR(LOOKUP(2,1/(#REF!=Z6676),#REF!),""))</f>
        <v/>
      </c>
      <c r="AB6676" t="str">
        <f>IF(Z6676="","",IFERROR(LOOKUP(2,1/(#REF!=Z6676),#REF!),""))</f>
        <v/>
      </c>
      <c r="AC6676" t="str">
        <f>IF(Z6676="","",COUNTIF(#REF!,Z6676))</f>
        <v/>
      </c>
      <c r="AD6676" t="str">
        <f>IF(A6676="","",IF(AC6676&gt;1,"REVISAR DUPLICADO",IF(AA6676&lt;&gt;"","ACTUALIZADO POR EYR","SIN REPORTE EYR")))</f>
        <v/>
      </c>
    </row>
    <row r="6677" spans="11:30" x14ac:dyDescent="0.3">
      <c r="K6677" s="1" t="str">
        <f ca="1">IF(A6677="","",IF(OR(L6677="ENTREGADA",L6677="RETORNADA",L6677="ENTREGA DIGITAL"),0,MAX(0,5-NETWORKDAYS(H6677+1,TODAY()))))</f>
        <v/>
      </c>
      <c r="L6677" t="str">
        <f>IF(A6677="","",IFERROR(LOOKUP(2,1/(#REF!=Z6677),#REF!),Y6677))</f>
        <v/>
      </c>
      <c r="Z6677" t="str">
        <f>IF(A6677="","",TEXT(A6677,"0")&amp;"|"&amp;TEXT(H6677,"0"))</f>
        <v/>
      </c>
      <c r="AA6677" t="str">
        <f>IF(Z6677="","",IFERROR(LOOKUP(2,1/(#REF!=Z6677),#REF!),""))</f>
        <v/>
      </c>
      <c r="AB6677" t="str">
        <f>IF(Z6677="","",IFERROR(LOOKUP(2,1/(#REF!=Z6677),#REF!),""))</f>
        <v/>
      </c>
      <c r="AC6677" t="str">
        <f>IF(Z6677="","",COUNTIF(#REF!,Z6677))</f>
        <v/>
      </c>
      <c r="AD6677" t="str">
        <f>IF(A6677="","",IF(AC6677&gt;1,"REVISAR DUPLICADO",IF(AA6677&lt;&gt;"","ACTUALIZADO POR EYR","SIN REPORTE EYR")))</f>
        <v/>
      </c>
    </row>
    <row r="6678" spans="11:30" x14ac:dyDescent="0.3">
      <c r="K6678" s="1" t="str">
        <f ca="1">IF(A6678="","",IF(OR(L6678="ENTREGADA",L6678="RETORNADA",L6678="ENTREGA DIGITAL"),0,MAX(0,5-NETWORKDAYS(H6678+1,TODAY()))))</f>
        <v/>
      </c>
      <c r="L6678" t="str">
        <f>IF(A6678="","",IFERROR(LOOKUP(2,1/(#REF!=Z6678),#REF!),Y6678))</f>
        <v/>
      </c>
      <c r="Z6678" t="str">
        <f>IF(A6678="","",TEXT(A6678,"0")&amp;"|"&amp;TEXT(H6678,"0"))</f>
        <v/>
      </c>
      <c r="AA6678" t="str">
        <f>IF(Z6678="","",IFERROR(LOOKUP(2,1/(#REF!=Z6678),#REF!),""))</f>
        <v/>
      </c>
      <c r="AB6678" t="str">
        <f>IF(Z6678="","",IFERROR(LOOKUP(2,1/(#REF!=Z6678),#REF!),""))</f>
        <v/>
      </c>
      <c r="AC6678" t="str">
        <f>IF(Z6678="","",COUNTIF(#REF!,Z6678))</f>
        <v/>
      </c>
      <c r="AD6678" t="str">
        <f>IF(A6678="","",IF(AC6678&gt;1,"REVISAR DUPLICADO",IF(AA6678&lt;&gt;"","ACTUALIZADO POR EYR","SIN REPORTE EYR")))</f>
        <v/>
      </c>
    </row>
    <row r="6679" spans="11:30" x14ac:dyDescent="0.3">
      <c r="K6679" s="1" t="str">
        <f ca="1">IF(A6679="","",IF(OR(L6679="ENTREGADA",L6679="RETORNADA",L6679="ENTREGA DIGITAL"),0,MAX(0,5-NETWORKDAYS(H6679+1,TODAY()))))</f>
        <v/>
      </c>
      <c r="L6679" t="str">
        <f>IF(A6679="","",IFERROR(LOOKUP(2,1/(#REF!=Z6679),#REF!),Y6679))</f>
        <v/>
      </c>
      <c r="Z6679" t="str">
        <f>IF(A6679="","",TEXT(A6679,"0")&amp;"|"&amp;TEXT(H6679,"0"))</f>
        <v/>
      </c>
      <c r="AA6679" t="str">
        <f>IF(Z6679="","",IFERROR(LOOKUP(2,1/(#REF!=Z6679),#REF!),""))</f>
        <v/>
      </c>
      <c r="AB6679" t="str">
        <f>IF(Z6679="","",IFERROR(LOOKUP(2,1/(#REF!=Z6679),#REF!),""))</f>
        <v/>
      </c>
      <c r="AC6679" t="str">
        <f>IF(Z6679="","",COUNTIF(#REF!,Z6679))</f>
        <v/>
      </c>
      <c r="AD6679" t="str">
        <f>IF(A6679="","",IF(AC6679&gt;1,"REVISAR DUPLICADO",IF(AA6679&lt;&gt;"","ACTUALIZADO POR EYR","SIN REPORTE EYR")))</f>
        <v/>
      </c>
    </row>
    <row r="6680" spans="11:30" x14ac:dyDescent="0.3">
      <c r="K6680" s="1" t="str">
        <f ca="1">IF(A6680="","",IF(OR(L6680="ENTREGADA",L6680="RETORNADA",L6680="ENTREGA DIGITAL"),0,MAX(0,5-NETWORKDAYS(H6680+1,TODAY()))))</f>
        <v/>
      </c>
      <c r="L6680" t="str">
        <f>IF(A6680="","",IFERROR(LOOKUP(2,1/(#REF!=Z6680),#REF!),Y6680))</f>
        <v/>
      </c>
      <c r="Z6680" t="str">
        <f>IF(A6680="","",TEXT(A6680,"0")&amp;"|"&amp;TEXT(H6680,"0"))</f>
        <v/>
      </c>
      <c r="AA6680" t="str">
        <f>IF(Z6680="","",IFERROR(LOOKUP(2,1/(#REF!=Z6680),#REF!),""))</f>
        <v/>
      </c>
      <c r="AB6680" t="str">
        <f>IF(Z6680="","",IFERROR(LOOKUP(2,1/(#REF!=Z6680),#REF!),""))</f>
        <v/>
      </c>
      <c r="AC6680" t="str">
        <f>IF(Z6680="","",COUNTIF(#REF!,Z6680))</f>
        <v/>
      </c>
      <c r="AD6680" t="str">
        <f>IF(A6680="","",IF(AC6680&gt;1,"REVISAR DUPLICADO",IF(AA6680&lt;&gt;"","ACTUALIZADO POR EYR","SIN REPORTE EYR")))</f>
        <v/>
      </c>
    </row>
    <row r="6681" spans="11:30" x14ac:dyDescent="0.3">
      <c r="K6681" s="1" t="str">
        <f ca="1">IF(A6681="","",IF(OR(L6681="ENTREGADA",L6681="RETORNADA",L6681="ENTREGA DIGITAL"),0,MAX(0,5-NETWORKDAYS(H6681+1,TODAY()))))</f>
        <v/>
      </c>
      <c r="L6681" t="str">
        <f>IF(A6681="","",IFERROR(LOOKUP(2,1/(#REF!=Z6681),#REF!),Y6681))</f>
        <v/>
      </c>
      <c r="Z6681" t="str">
        <f>IF(A6681="","",TEXT(A6681,"0")&amp;"|"&amp;TEXT(H6681,"0"))</f>
        <v/>
      </c>
      <c r="AA6681" t="str">
        <f>IF(Z6681="","",IFERROR(LOOKUP(2,1/(#REF!=Z6681),#REF!),""))</f>
        <v/>
      </c>
      <c r="AB6681" t="str">
        <f>IF(Z6681="","",IFERROR(LOOKUP(2,1/(#REF!=Z6681),#REF!),""))</f>
        <v/>
      </c>
      <c r="AC6681" t="str">
        <f>IF(Z6681="","",COUNTIF(#REF!,Z6681))</f>
        <v/>
      </c>
      <c r="AD6681" t="str">
        <f>IF(A6681="","",IF(AC6681&gt;1,"REVISAR DUPLICADO",IF(AA6681&lt;&gt;"","ACTUALIZADO POR EYR","SIN REPORTE EYR")))</f>
        <v/>
      </c>
    </row>
    <row r="6682" spans="11:30" x14ac:dyDescent="0.3">
      <c r="K6682" s="1" t="str">
        <f ca="1">IF(A6682="","",IF(OR(L6682="ENTREGADA",L6682="RETORNADA",L6682="ENTREGA DIGITAL"),0,MAX(0,5-NETWORKDAYS(H6682+1,TODAY()))))</f>
        <v/>
      </c>
      <c r="L6682" t="str">
        <f>IF(A6682="","",IFERROR(LOOKUP(2,1/(#REF!=Z6682),#REF!),Y6682))</f>
        <v/>
      </c>
      <c r="Z6682" t="str">
        <f>IF(A6682="","",TEXT(A6682,"0")&amp;"|"&amp;TEXT(H6682,"0"))</f>
        <v/>
      </c>
      <c r="AA6682" t="str">
        <f>IF(Z6682="","",IFERROR(LOOKUP(2,1/(#REF!=Z6682),#REF!),""))</f>
        <v/>
      </c>
      <c r="AB6682" t="str">
        <f>IF(Z6682="","",IFERROR(LOOKUP(2,1/(#REF!=Z6682),#REF!),""))</f>
        <v/>
      </c>
      <c r="AC6682" t="str">
        <f>IF(Z6682="","",COUNTIF(#REF!,Z6682))</f>
        <v/>
      </c>
      <c r="AD6682" t="str">
        <f>IF(A6682="","",IF(AC6682&gt;1,"REVISAR DUPLICADO",IF(AA6682&lt;&gt;"","ACTUALIZADO POR EYR","SIN REPORTE EYR")))</f>
        <v/>
      </c>
    </row>
    <row r="6683" spans="11:30" x14ac:dyDescent="0.3">
      <c r="K6683" s="1" t="str">
        <f ca="1">IF(A6683="","",IF(OR(L6683="ENTREGADA",L6683="RETORNADA",L6683="ENTREGA DIGITAL"),0,MAX(0,5-NETWORKDAYS(H6683+1,TODAY()))))</f>
        <v/>
      </c>
      <c r="L6683" t="str">
        <f>IF(A6683="","",IFERROR(LOOKUP(2,1/(#REF!=Z6683),#REF!),Y6683))</f>
        <v/>
      </c>
      <c r="Z6683" t="str">
        <f>IF(A6683="","",TEXT(A6683,"0")&amp;"|"&amp;TEXT(H6683,"0"))</f>
        <v/>
      </c>
      <c r="AA6683" t="str">
        <f>IF(Z6683="","",IFERROR(LOOKUP(2,1/(#REF!=Z6683),#REF!),""))</f>
        <v/>
      </c>
      <c r="AB6683" t="str">
        <f>IF(Z6683="","",IFERROR(LOOKUP(2,1/(#REF!=Z6683),#REF!),""))</f>
        <v/>
      </c>
      <c r="AC6683" t="str">
        <f>IF(Z6683="","",COUNTIF(#REF!,Z6683))</f>
        <v/>
      </c>
      <c r="AD6683" t="str">
        <f>IF(A6683="","",IF(AC6683&gt;1,"REVISAR DUPLICADO",IF(AA6683&lt;&gt;"","ACTUALIZADO POR EYR","SIN REPORTE EYR")))</f>
        <v/>
      </c>
    </row>
    <row r="6684" spans="11:30" x14ac:dyDescent="0.3">
      <c r="K6684" s="1" t="str">
        <f ca="1">IF(A6684="","",IF(OR(L6684="ENTREGADA",L6684="RETORNADA",L6684="ENTREGA DIGITAL"),0,MAX(0,5-NETWORKDAYS(H6684+1,TODAY()))))</f>
        <v/>
      </c>
      <c r="L6684" t="str">
        <f>IF(A6684="","",IFERROR(LOOKUP(2,1/(#REF!=Z6684),#REF!),Y6684))</f>
        <v/>
      </c>
      <c r="Z6684" t="str">
        <f>IF(A6684="","",TEXT(A6684,"0")&amp;"|"&amp;TEXT(H6684,"0"))</f>
        <v/>
      </c>
      <c r="AA6684" t="str">
        <f>IF(Z6684="","",IFERROR(LOOKUP(2,1/(#REF!=Z6684),#REF!),""))</f>
        <v/>
      </c>
      <c r="AB6684" t="str">
        <f>IF(Z6684="","",IFERROR(LOOKUP(2,1/(#REF!=Z6684),#REF!),""))</f>
        <v/>
      </c>
      <c r="AC6684" t="str">
        <f>IF(Z6684="","",COUNTIF(#REF!,Z6684))</f>
        <v/>
      </c>
      <c r="AD6684" t="str">
        <f>IF(A6684="","",IF(AC6684&gt;1,"REVISAR DUPLICADO",IF(AA6684&lt;&gt;"","ACTUALIZADO POR EYR","SIN REPORTE EYR")))</f>
        <v/>
      </c>
    </row>
    <row r="6685" spans="11:30" x14ac:dyDescent="0.3">
      <c r="K6685" s="1" t="str">
        <f ca="1">IF(A6685="","",IF(OR(L6685="ENTREGADA",L6685="RETORNADA",L6685="ENTREGA DIGITAL"),0,MAX(0,5-NETWORKDAYS(H6685+1,TODAY()))))</f>
        <v/>
      </c>
      <c r="L6685" t="str">
        <f>IF(A6685="","",IFERROR(LOOKUP(2,1/(#REF!=Z6685),#REF!),Y6685))</f>
        <v/>
      </c>
      <c r="Z6685" t="str">
        <f>IF(A6685="","",TEXT(A6685,"0")&amp;"|"&amp;TEXT(H6685,"0"))</f>
        <v/>
      </c>
      <c r="AA6685" t="str">
        <f>IF(Z6685="","",IFERROR(LOOKUP(2,1/(#REF!=Z6685),#REF!),""))</f>
        <v/>
      </c>
      <c r="AB6685" t="str">
        <f>IF(Z6685="","",IFERROR(LOOKUP(2,1/(#REF!=Z6685),#REF!),""))</f>
        <v/>
      </c>
      <c r="AC6685" t="str">
        <f>IF(Z6685="","",COUNTIF(#REF!,Z6685))</f>
        <v/>
      </c>
      <c r="AD6685" t="str">
        <f>IF(A6685="","",IF(AC6685&gt;1,"REVISAR DUPLICADO",IF(AA6685&lt;&gt;"","ACTUALIZADO POR EYR","SIN REPORTE EYR")))</f>
        <v/>
      </c>
    </row>
    <row r="6686" spans="11:30" x14ac:dyDescent="0.3">
      <c r="K6686" s="1" t="str">
        <f ca="1">IF(A6686="","",IF(OR(L6686="ENTREGADA",L6686="RETORNADA",L6686="ENTREGA DIGITAL"),0,MAX(0,5-NETWORKDAYS(H6686+1,TODAY()))))</f>
        <v/>
      </c>
      <c r="L6686" t="str">
        <f>IF(A6686="","",IFERROR(LOOKUP(2,1/(#REF!=Z6686),#REF!),Y6686))</f>
        <v/>
      </c>
      <c r="Z6686" t="str">
        <f>IF(A6686="","",TEXT(A6686,"0")&amp;"|"&amp;TEXT(H6686,"0"))</f>
        <v/>
      </c>
      <c r="AA6686" t="str">
        <f>IF(Z6686="","",IFERROR(LOOKUP(2,1/(#REF!=Z6686),#REF!),""))</f>
        <v/>
      </c>
      <c r="AB6686" t="str">
        <f>IF(Z6686="","",IFERROR(LOOKUP(2,1/(#REF!=Z6686),#REF!),""))</f>
        <v/>
      </c>
      <c r="AC6686" t="str">
        <f>IF(Z6686="","",COUNTIF(#REF!,Z6686))</f>
        <v/>
      </c>
      <c r="AD6686" t="str">
        <f>IF(A6686="","",IF(AC6686&gt;1,"REVISAR DUPLICADO",IF(AA6686&lt;&gt;"","ACTUALIZADO POR EYR","SIN REPORTE EYR")))</f>
        <v/>
      </c>
    </row>
    <row r="6687" spans="11:30" x14ac:dyDescent="0.3">
      <c r="K6687" s="1" t="str">
        <f ca="1">IF(A6687="","",IF(OR(L6687="ENTREGADA",L6687="RETORNADA",L6687="ENTREGA DIGITAL"),0,MAX(0,5-NETWORKDAYS(H6687+1,TODAY()))))</f>
        <v/>
      </c>
      <c r="L6687" t="str">
        <f>IF(A6687="","",IFERROR(LOOKUP(2,1/(#REF!=Z6687),#REF!),Y6687))</f>
        <v/>
      </c>
      <c r="Z6687" t="str">
        <f>IF(A6687="","",TEXT(A6687,"0")&amp;"|"&amp;TEXT(H6687,"0"))</f>
        <v/>
      </c>
      <c r="AA6687" t="str">
        <f>IF(Z6687="","",IFERROR(LOOKUP(2,1/(#REF!=Z6687),#REF!),""))</f>
        <v/>
      </c>
      <c r="AB6687" t="str">
        <f>IF(Z6687="","",IFERROR(LOOKUP(2,1/(#REF!=Z6687),#REF!),""))</f>
        <v/>
      </c>
      <c r="AC6687" t="str">
        <f>IF(Z6687="","",COUNTIF(#REF!,Z6687))</f>
        <v/>
      </c>
      <c r="AD6687" t="str">
        <f>IF(A6687="","",IF(AC6687&gt;1,"REVISAR DUPLICADO",IF(AA6687&lt;&gt;"","ACTUALIZADO POR EYR","SIN REPORTE EYR")))</f>
        <v/>
      </c>
    </row>
    <row r="6688" spans="11:30" x14ac:dyDescent="0.3">
      <c r="K6688" s="1" t="str">
        <f ca="1">IF(A6688="","",IF(OR(L6688="ENTREGADA",L6688="RETORNADA",L6688="ENTREGA DIGITAL"),0,MAX(0,5-NETWORKDAYS(H6688+1,TODAY()))))</f>
        <v/>
      </c>
      <c r="L6688" t="str">
        <f>IF(A6688="","",IFERROR(LOOKUP(2,1/(#REF!=Z6688),#REF!),Y6688))</f>
        <v/>
      </c>
      <c r="Z6688" t="str">
        <f>IF(A6688="","",TEXT(A6688,"0")&amp;"|"&amp;TEXT(H6688,"0"))</f>
        <v/>
      </c>
      <c r="AA6688" t="str">
        <f>IF(Z6688="","",IFERROR(LOOKUP(2,1/(#REF!=Z6688),#REF!),""))</f>
        <v/>
      </c>
      <c r="AB6688" t="str">
        <f>IF(Z6688="","",IFERROR(LOOKUP(2,1/(#REF!=Z6688),#REF!),""))</f>
        <v/>
      </c>
      <c r="AC6688" t="str">
        <f>IF(Z6688="","",COUNTIF(#REF!,Z6688))</f>
        <v/>
      </c>
      <c r="AD6688" t="str">
        <f>IF(A6688="","",IF(AC6688&gt;1,"REVISAR DUPLICADO",IF(AA6688&lt;&gt;"","ACTUALIZADO POR EYR","SIN REPORTE EYR")))</f>
        <v/>
      </c>
    </row>
    <row r="6689" spans="11:30" x14ac:dyDescent="0.3">
      <c r="K6689" s="1" t="str">
        <f ca="1">IF(A6689="","",IF(OR(L6689="ENTREGADA",L6689="RETORNADA",L6689="ENTREGA DIGITAL"),0,MAX(0,5-NETWORKDAYS(H6689+1,TODAY()))))</f>
        <v/>
      </c>
      <c r="L6689" t="str">
        <f>IF(A6689="","",IFERROR(LOOKUP(2,1/(#REF!=Z6689),#REF!),Y6689))</f>
        <v/>
      </c>
      <c r="Z6689" t="str">
        <f>IF(A6689="","",TEXT(A6689,"0")&amp;"|"&amp;TEXT(H6689,"0"))</f>
        <v/>
      </c>
      <c r="AA6689" t="str">
        <f>IF(Z6689="","",IFERROR(LOOKUP(2,1/(#REF!=Z6689),#REF!),""))</f>
        <v/>
      </c>
      <c r="AB6689" t="str">
        <f>IF(Z6689="","",IFERROR(LOOKUP(2,1/(#REF!=Z6689),#REF!),""))</f>
        <v/>
      </c>
      <c r="AC6689" t="str">
        <f>IF(Z6689="","",COUNTIF(#REF!,Z6689))</f>
        <v/>
      </c>
      <c r="AD6689" t="str">
        <f>IF(A6689="","",IF(AC6689&gt;1,"REVISAR DUPLICADO",IF(AA6689&lt;&gt;"","ACTUALIZADO POR EYR","SIN REPORTE EYR")))</f>
        <v/>
      </c>
    </row>
    <row r="6690" spans="11:30" x14ac:dyDescent="0.3">
      <c r="K6690" s="1" t="str">
        <f ca="1">IF(A6690="","",IF(OR(L6690="ENTREGADA",L6690="RETORNADA",L6690="ENTREGA DIGITAL"),0,MAX(0,5-NETWORKDAYS(H6690+1,TODAY()))))</f>
        <v/>
      </c>
      <c r="L6690" t="str">
        <f>IF(A6690="","",IFERROR(LOOKUP(2,1/(#REF!=Z6690),#REF!),Y6690))</f>
        <v/>
      </c>
      <c r="Z6690" t="str">
        <f>IF(A6690="","",TEXT(A6690,"0")&amp;"|"&amp;TEXT(H6690,"0"))</f>
        <v/>
      </c>
      <c r="AA6690" t="str">
        <f>IF(Z6690="","",IFERROR(LOOKUP(2,1/(#REF!=Z6690),#REF!),""))</f>
        <v/>
      </c>
      <c r="AB6690" t="str">
        <f>IF(Z6690="","",IFERROR(LOOKUP(2,1/(#REF!=Z6690),#REF!),""))</f>
        <v/>
      </c>
      <c r="AC6690" t="str">
        <f>IF(Z6690="","",COUNTIF(#REF!,Z6690))</f>
        <v/>
      </c>
      <c r="AD6690" t="str">
        <f>IF(A6690="","",IF(AC6690&gt;1,"REVISAR DUPLICADO",IF(AA6690&lt;&gt;"","ACTUALIZADO POR EYR","SIN REPORTE EYR")))</f>
        <v/>
      </c>
    </row>
    <row r="6691" spans="11:30" x14ac:dyDescent="0.3">
      <c r="K6691" s="1" t="str">
        <f ca="1">IF(A6691="","",IF(OR(L6691="ENTREGADA",L6691="RETORNADA",L6691="ENTREGA DIGITAL"),0,MAX(0,5-NETWORKDAYS(H6691+1,TODAY()))))</f>
        <v/>
      </c>
      <c r="L6691" t="str">
        <f>IF(A6691="","",IFERROR(LOOKUP(2,1/(#REF!=Z6691),#REF!),Y6691))</f>
        <v/>
      </c>
      <c r="Z6691" t="str">
        <f>IF(A6691="","",TEXT(A6691,"0")&amp;"|"&amp;TEXT(H6691,"0"))</f>
        <v/>
      </c>
      <c r="AA6691" t="str">
        <f>IF(Z6691="","",IFERROR(LOOKUP(2,1/(#REF!=Z6691),#REF!),""))</f>
        <v/>
      </c>
      <c r="AB6691" t="str">
        <f>IF(Z6691="","",IFERROR(LOOKUP(2,1/(#REF!=Z6691),#REF!),""))</f>
        <v/>
      </c>
      <c r="AC6691" t="str">
        <f>IF(Z6691="","",COUNTIF(#REF!,Z6691))</f>
        <v/>
      </c>
      <c r="AD6691" t="str">
        <f>IF(A6691="","",IF(AC6691&gt;1,"REVISAR DUPLICADO",IF(AA6691&lt;&gt;"","ACTUALIZADO POR EYR","SIN REPORTE EYR")))</f>
        <v/>
      </c>
    </row>
    <row r="6692" spans="11:30" x14ac:dyDescent="0.3">
      <c r="K6692" s="1" t="str">
        <f ca="1">IF(A6692="","",IF(OR(L6692="ENTREGADA",L6692="RETORNADA",L6692="ENTREGA DIGITAL"),0,MAX(0,5-NETWORKDAYS(H6692+1,TODAY()))))</f>
        <v/>
      </c>
      <c r="L6692" t="str">
        <f>IF(A6692="","",IFERROR(LOOKUP(2,1/(#REF!=Z6692),#REF!),Y6692))</f>
        <v/>
      </c>
      <c r="Z6692" t="str">
        <f>IF(A6692="","",TEXT(A6692,"0")&amp;"|"&amp;TEXT(H6692,"0"))</f>
        <v/>
      </c>
      <c r="AA6692" t="str">
        <f>IF(Z6692="","",IFERROR(LOOKUP(2,1/(#REF!=Z6692),#REF!),""))</f>
        <v/>
      </c>
      <c r="AB6692" t="str">
        <f>IF(Z6692="","",IFERROR(LOOKUP(2,1/(#REF!=Z6692),#REF!),""))</f>
        <v/>
      </c>
      <c r="AC6692" t="str">
        <f>IF(Z6692="","",COUNTIF(#REF!,Z6692))</f>
        <v/>
      </c>
      <c r="AD6692" t="str">
        <f>IF(A6692="","",IF(AC6692&gt;1,"REVISAR DUPLICADO",IF(AA6692&lt;&gt;"","ACTUALIZADO POR EYR","SIN REPORTE EYR")))</f>
        <v/>
      </c>
    </row>
    <row r="6693" spans="11:30" x14ac:dyDescent="0.3">
      <c r="K6693" s="1" t="str">
        <f ca="1">IF(A6693="","",IF(OR(L6693="ENTREGADA",L6693="RETORNADA",L6693="ENTREGA DIGITAL"),0,MAX(0,5-NETWORKDAYS(H6693+1,TODAY()))))</f>
        <v/>
      </c>
      <c r="L6693" t="str">
        <f>IF(A6693="","",IFERROR(LOOKUP(2,1/(#REF!=Z6693),#REF!),Y6693))</f>
        <v/>
      </c>
      <c r="Z6693" t="str">
        <f>IF(A6693="","",TEXT(A6693,"0")&amp;"|"&amp;TEXT(H6693,"0"))</f>
        <v/>
      </c>
      <c r="AA6693" t="str">
        <f>IF(Z6693="","",IFERROR(LOOKUP(2,1/(#REF!=Z6693),#REF!),""))</f>
        <v/>
      </c>
      <c r="AB6693" t="str">
        <f>IF(Z6693="","",IFERROR(LOOKUP(2,1/(#REF!=Z6693),#REF!),""))</f>
        <v/>
      </c>
      <c r="AC6693" t="str">
        <f>IF(Z6693="","",COUNTIF(#REF!,Z6693))</f>
        <v/>
      </c>
      <c r="AD6693" t="str">
        <f>IF(A6693="","",IF(AC6693&gt;1,"REVISAR DUPLICADO",IF(AA6693&lt;&gt;"","ACTUALIZADO POR EYR","SIN REPORTE EYR")))</f>
        <v/>
      </c>
    </row>
    <row r="6694" spans="11:30" x14ac:dyDescent="0.3">
      <c r="K6694" s="1" t="str">
        <f ca="1">IF(A6694="","",IF(OR(L6694="ENTREGADA",L6694="RETORNADA",L6694="ENTREGA DIGITAL"),0,MAX(0,5-NETWORKDAYS(H6694+1,TODAY()))))</f>
        <v/>
      </c>
      <c r="L6694" t="str">
        <f>IF(A6694="","",IFERROR(LOOKUP(2,1/(#REF!=Z6694),#REF!),Y6694))</f>
        <v/>
      </c>
      <c r="Z6694" t="str">
        <f>IF(A6694="","",TEXT(A6694,"0")&amp;"|"&amp;TEXT(H6694,"0"))</f>
        <v/>
      </c>
      <c r="AA6694" t="str">
        <f>IF(Z6694="","",IFERROR(LOOKUP(2,1/(#REF!=Z6694),#REF!),""))</f>
        <v/>
      </c>
      <c r="AB6694" t="str">
        <f>IF(Z6694="","",IFERROR(LOOKUP(2,1/(#REF!=Z6694),#REF!),""))</f>
        <v/>
      </c>
      <c r="AC6694" t="str">
        <f>IF(Z6694="","",COUNTIF(#REF!,Z6694))</f>
        <v/>
      </c>
      <c r="AD6694" t="str">
        <f>IF(A6694="","",IF(AC6694&gt;1,"REVISAR DUPLICADO",IF(AA6694&lt;&gt;"","ACTUALIZADO POR EYR","SIN REPORTE EYR")))</f>
        <v/>
      </c>
    </row>
    <row r="6695" spans="11:30" x14ac:dyDescent="0.3">
      <c r="K6695" s="1" t="str">
        <f ca="1">IF(A6695="","",IF(OR(L6695="ENTREGADA",L6695="RETORNADA",L6695="ENTREGA DIGITAL"),0,MAX(0,5-NETWORKDAYS(H6695+1,TODAY()))))</f>
        <v/>
      </c>
      <c r="L6695" t="str">
        <f>IF(A6695="","",IFERROR(LOOKUP(2,1/(#REF!=Z6695),#REF!),Y6695))</f>
        <v/>
      </c>
      <c r="Z6695" t="str">
        <f>IF(A6695="","",TEXT(A6695,"0")&amp;"|"&amp;TEXT(H6695,"0"))</f>
        <v/>
      </c>
      <c r="AA6695" t="str">
        <f>IF(Z6695="","",IFERROR(LOOKUP(2,1/(#REF!=Z6695),#REF!),""))</f>
        <v/>
      </c>
      <c r="AB6695" t="str">
        <f>IF(Z6695="","",IFERROR(LOOKUP(2,1/(#REF!=Z6695),#REF!),""))</f>
        <v/>
      </c>
      <c r="AC6695" t="str">
        <f>IF(Z6695="","",COUNTIF(#REF!,Z6695))</f>
        <v/>
      </c>
      <c r="AD6695" t="str">
        <f>IF(A6695="","",IF(AC6695&gt;1,"REVISAR DUPLICADO",IF(AA6695&lt;&gt;"","ACTUALIZADO POR EYR","SIN REPORTE EYR")))</f>
        <v/>
      </c>
    </row>
    <row r="6696" spans="11:30" x14ac:dyDescent="0.3">
      <c r="K6696" s="1" t="str">
        <f ca="1">IF(A6696="","",IF(OR(L6696="ENTREGADA",L6696="RETORNADA",L6696="ENTREGA DIGITAL"),0,MAX(0,5-NETWORKDAYS(H6696+1,TODAY()))))</f>
        <v/>
      </c>
      <c r="L6696" t="str">
        <f>IF(A6696="","",IFERROR(LOOKUP(2,1/(#REF!=Z6696),#REF!),Y6696))</f>
        <v/>
      </c>
      <c r="Z6696" t="str">
        <f>IF(A6696="","",TEXT(A6696,"0")&amp;"|"&amp;TEXT(H6696,"0"))</f>
        <v/>
      </c>
      <c r="AA6696" t="str">
        <f>IF(Z6696="","",IFERROR(LOOKUP(2,1/(#REF!=Z6696),#REF!),""))</f>
        <v/>
      </c>
      <c r="AB6696" t="str">
        <f>IF(Z6696="","",IFERROR(LOOKUP(2,1/(#REF!=Z6696),#REF!),""))</f>
        <v/>
      </c>
      <c r="AC6696" t="str">
        <f>IF(Z6696="","",COUNTIF(#REF!,Z6696))</f>
        <v/>
      </c>
      <c r="AD6696" t="str">
        <f>IF(A6696="","",IF(AC6696&gt;1,"REVISAR DUPLICADO",IF(AA6696&lt;&gt;"","ACTUALIZADO POR EYR","SIN REPORTE EYR")))</f>
        <v/>
      </c>
    </row>
    <row r="6697" spans="11:30" x14ac:dyDescent="0.3">
      <c r="K6697" s="1" t="str">
        <f ca="1">IF(A6697="","",IF(OR(L6697="ENTREGADA",L6697="RETORNADA",L6697="ENTREGA DIGITAL"),0,MAX(0,5-NETWORKDAYS(H6697+1,TODAY()))))</f>
        <v/>
      </c>
      <c r="L6697" t="str">
        <f>IF(A6697="","",IFERROR(LOOKUP(2,1/(#REF!=Z6697),#REF!),Y6697))</f>
        <v/>
      </c>
      <c r="Z6697" t="str">
        <f>IF(A6697="","",TEXT(A6697,"0")&amp;"|"&amp;TEXT(H6697,"0"))</f>
        <v/>
      </c>
      <c r="AA6697" t="str">
        <f>IF(Z6697="","",IFERROR(LOOKUP(2,1/(#REF!=Z6697),#REF!),""))</f>
        <v/>
      </c>
      <c r="AB6697" t="str">
        <f>IF(Z6697="","",IFERROR(LOOKUP(2,1/(#REF!=Z6697),#REF!),""))</f>
        <v/>
      </c>
      <c r="AC6697" t="str">
        <f>IF(Z6697="","",COUNTIF(#REF!,Z6697))</f>
        <v/>
      </c>
      <c r="AD6697" t="str">
        <f>IF(A6697="","",IF(AC6697&gt;1,"REVISAR DUPLICADO",IF(AA6697&lt;&gt;"","ACTUALIZADO POR EYR","SIN REPORTE EYR")))</f>
        <v/>
      </c>
    </row>
    <row r="6698" spans="11:30" x14ac:dyDescent="0.3">
      <c r="K6698" s="1" t="str">
        <f ca="1">IF(A6698="","",IF(OR(L6698="ENTREGADA",L6698="RETORNADA",L6698="ENTREGA DIGITAL"),0,MAX(0,5-NETWORKDAYS(H6698+1,TODAY()))))</f>
        <v/>
      </c>
      <c r="L6698" t="str">
        <f>IF(A6698="","",IFERROR(LOOKUP(2,1/(#REF!=Z6698),#REF!),Y6698))</f>
        <v/>
      </c>
      <c r="Z6698" t="str">
        <f>IF(A6698="","",TEXT(A6698,"0")&amp;"|"&amp;TEXT(H6698,"0"))</f>
        <v/>
      </c>
      <c r="AA6698" t="str">
        <f>IF(Z6698="","",IFERROR(LOOKUP(2,1/(#REF!=Z6698),#REF!),""))</f>
        <v/>
      </c>
      <c r="AB6698" t="str">
        <f>IF(Z6698="","",IFERROR(LOOKUP(2,1/(#REF!=Z6698),#REF!),""))</f>
        <v/>
      </c>
      <c r="AC6698" t="str">
        <f>IF(Z6698="","",COUNTIF(#REF!,Z6698))</f>
        <v/>
      </c>
      <c r="AD6698" t="str">
        <f>IF(A6698="","",IF(AC6698&gt;1,"REVISAR DUPLICADO",IF(AA6698&lt;&gt;"","ACTUALIZADO POR EYR","SIN REPORTE EYR")))</f>
        <v/>
      </c>
    </row>
    <row r="6699" spans="11:30" x14ac:dyDescent="0.3">
      <c r="K6699" s="1" t="str">
        <f ca="1">IF(A6699="","",IF(OR(L6699="ENTREGADA",L6699="RETORNADA",L6699="ENTREGA DIGITAL"),0,MAX(0,5-NETWORKDAYS(H6699+1,TODAY()))))</f>
        <v/>
      </c>
      <c r="L6699" t="str">
        <f>IF(A6699="","",IFERROR(LOOKUP(2,1/(#REF!=Z6699),#REF!),Y6699))</f>
        <v/>
      </c>
      <c r="Z6699" t="str">
        <f>IF(A6699="","",TEXT(A6699,"0")&amp;"|"&amp;TEXT(H6699,"0"))</f>
        <v/>
      </c>
      <c r="AA6699" t="str">
        <f>IF(Z6699="","",IFERROR(LOOKUP(2,1/(#REF!=Z6699),#REF!),""))</f>
        <v/>
      </c>
      <c r="AB6699" t="str">
        <f>IF(Z6699="","",IFERROR(LOOKUP(2,1/(#REF!=Z6699),#REF!),""))</f>
        <v/>
      </c>
      <c r="AC6699" t="str">
        <f>IF(Z6699="","",COUNTIF(#REF!,Z6699))</f>
        <v/>
      </c>
      <c r="AD6699" t="str">
        <f>IF(A6699="","",IF(AC6699&gt;1,"REVISAR DUPLICADO",IF(AA6699&lt;&gt;"","ACTUALIZADO POR EYR","SIN REPORTE EYR")))</f>
        <v/>
      </c>
    </row>
    <row r="6700" spans="11:30" x14ac:dyDescent="0.3">
      <c r="K6700" s="1" t="str">
        <f ca="1">IF(A6700="","",IF(OR(L6700="ENTREGADA",L6700="RETORNADA",L6700="ENTREGA DIGITAL"),0,MAX(0,5-NETWORKDAYS(H6700+1,TODAY()))))</f>
        <v/>
      </c>
      <c r="L6700" t="str">
        <f>IF(A6700="","",IFERROR(LOOKUP(2,1/(#REF!=Z6700),#REF!),Y6700))</f>
        <v/>
      </c>
      <c r="Z6700" t="str">
        <f>IF(A6700="","",TEXT(A6700,"0")&amp;"|"&amp;TEXT(H6700,"0"))</f>
        <v/>
      </c>
      <c r="AA6700" t="str">
        <f>IF(Z6700="","",IFERROR(LOOKUP(2,1/(#REF!=Z6700),#REF!),""))</f>
        <v/>
      </c>
      <c r="AB6700" t="str">
        <f>IF(Z6700="","",IFERROR(LOOKUP(2,1/(#REF!=Z6700),#REF!),""))</f>
        <v/>
      </c>
      <c r="AC6700" t="str">
        <f>IF(Z6700="","",COUNTIF(#REF!,Z6700))</f>
        <v/>
      </c>
      <c r="AD6700" t="str">
        <f>IF(A6700="","",IF(AC6700&gt;1,"REVISAR DUPLICADO",IF(AA6700&lt;&gt;"","ACTUALIZADO POR EYR","SIN REPORTE EYR")))</f>
        <v/>
      </c>
    </row>
    <row r="6701" spans="11:30" x14ac:dyDescent="0.3">
      <c r="K6701" s="1" t="str">
        <f ca="1">IF(A6701="","",IF(OR(L6701="ENTREGADA",L6701="RETORNADA",L6701="ENTREGA DIGITAL"),0,MAX(0,5-NETWORKDAYS(H6701+1,TODAY()))))</f>
        <v/>
      </c>
      <c r="L6701" t="str">
        <f>IF(A6701="","",IFERROR(LOOKUP(2,1/(#REF!=Z6701),#REF!),Y6701))</f>
        <v/>
      </c>
      <c r="Z6701" t="str">
        <f>IF(A6701="","",TEXT(A6701,"0")&amp;"|"&amp;TEXT(H6701,"0"))</f>
        <v/>
      </c>
      <c r="AA6701" t="str">
        <f>IF(Z6701="","",IFERROR(LOOKUP(2,1/(#REF!=Z6701),#REF!),""))</f>
        <v/>
      </c>
      <c r="AB6701" t="str">
        <f>IF(Z6701="","",IFERROR(LOOKUP(2,1/(#REF!=Z6701),#REF!),""))</f>
        <v/>
      </c>
      <c r="AC6701" t="str">
        <f>IF(Z6701="","",COUNTIF(#REF!,Z6701))</f>
        <v/>
      </c>
      <c r="AD6701" t="str">
        <f>IF(A6701="","",IF(AC6701&gt;1,"REVISAR DUPLICADO",IF(AA6701&lt;&gt;"","ACTUALIZADO POR EYR","SIN REPORTE EYR")))</f>
        <v/>
      </c>
    </row>
    <row r="6702" spans="11:30" x14ac:dyDescent="0.3">
      <c r="K6702" s="1" t="str">
        <f ca="1">IF(A6702="","",IF(OR(L6702="ENTREGADA",L6702="RETORNADA",L6702="ENTREGA DIGITAL"),0,MAX(0,5-NETWORKDAYS(H6702+1,TODAY()))))</f>
        <v/>
      </c>
      <c r="L6702" t="str">
        <f>IF(A6702="","",IFERROR(LOOKUP(2,1/(#REF!=Z6702),#REF!),Y6702))</f>
        <v/>
      </c>
      <c r="Z6702" t="str">
        <f>IF(A6702="","",TEXT(A6702,"0")&amp;"|"&amp;TEXT(H6702,"0"))</f>
        <v/>
      </c>
      <c r="AA6702" t="str">
        <f>IF(Z6702="","",IFERROR(LOOKUP(2,1/(#REF!=Z6702),#REF!),""))</f>
        <v/>
      </c>
      <c r="AB6702" t="str">
        <f>IF(Z6702="","",IFERROR(LOOKUP(2,1/(#REF!=Z6702),#REF!),""))</f>
        <v/>
      </c>
      <c r="AC6702" t="str">
        <f>IF(Z6702="","",COUNTIF(#REF!,Z6702))</f>
        <v/>
      </c>
      <c r="AD6702" t="str">
        <f>IF(A6702="","",IF(AC6702&gt;1,"REVISAR DUPLICADO",IF(AA6702&lt;&gt;"","ACTUALIZADO POR EYR","SIN REPORTE EYR")))</f>
        <v/>
      </c>
    </row>
    <row r="6703" spans="11:30" x14ac:dyDescent="0.3">
      <c r="K6703" s="1" t="str">
        <f ca="1">IF(A6703="","",IF(OR(L6703="ENTREGADA",L6703="RETORNADA",L6703="ENTREGA DIGITAL"),0,MAX(0,5-NETWORKDAYS(H6703+1,TODAY()))))</f>
        <v/>
      </c>
      <c r="L6703" t="str">
        <f>IF(A6703="","",IFERROR(LOOKUP(2,1/(#REF!=Z6703),#REF!),Y6703))</f>
        <v/>
      </c>
      <c r="Z6703" t="str">
        <f>IF(A6703="","",TEXT(A6703,"0")&amp;"|"&amp;TEXT(H6703,"0"))</f>
        <v/>
      </c>
      <c r="AA6703" t="str">
        <f>IF(Z6703="","",IFERROR(LOOKUP(2,1/(#REF!=Z6703),#REF!),""))</f>
        <v/>
      </c>
      <c r="AB6703" t="str">
        <f>IF(Z6703="","",IFERROR(LOOKUP(2,1/(#REF!=Z6703),#REF!),""))</f>
        <v/>
      </c>
      <c r="AC6703" t="str">
        <f>IF(Z6703="","",COUNTIF(#REF!,Z6703))</f>
        <v/>
      </c>
      <c r="AD6703" t="str">
        <f>IF(A6703="","",IF(AC6703&gt;1,"REVISAR DUPLICADO",IF(AA6703&lt;&gt;"","ACTUALIZADO POR EYR","SIN REPORTE EYR")))</f>
        <v/>
      </c>
    </row>
    <row r="6704" spans="11:30" x14ac:dyDescent="0.3">
      <c r="K6704" s="1" t="str">
        <f ca="1">IF(A6704="","",IF(OR(L6704="ENTREGADA",L6704="RETORNADA",L6704="ENTREGA DIGITAL"),0,MAX(0,5-NETWORKDAYS(H6704+1,TODAY()))))</f>
        <v/>
      </c>
      <c r="L6704" t="str">
        <f>IF(A6704="","",IFERROR(LOOKUP(2,1/(#REF!=Z6704),#REF!),Y6704))</f>
        <v/>
      </c>
      <c r="Z6704" t="str">
        <f>IF(A6704="","",TEXT(A6704,"0")&amp;"|"&amp;TEXT(H6704,"0"))</f>
        <v/>
      </c>
      <c r="AA6704" t="str">
        <f>IF(Z6704="","",IFERROR(LOOKUP(2,1/(#REF!=Z6704),#REF!),""))</f>
        <v/>
      </c>
      <c r="AB6704" t="str">
        <f>IF(Z6704="","",IFERROR(LOOKUP(2,1/(#REF!=Z6704),#REF!),""))</f>
        <v/>
      </c>
      <c r="AC6704" t="str">
        <f>IF(Z6704="","",COUNTIF(#REF!,Z6704))</f>
        <v/>
      </c>
      <c r="AD6704" t="str">
        <f>IF(A6704="","",IF(AC6704&gt;1,"REVISAR DUPLICADO",IF(AA6704&lt;&gt;"","ACTUALIZADO POR EYR","SIN REPORTE EYR")))</f>
        <v/>
      </c>
    </row>
    <row r="6705" spans="11:30" x14ac:dyDescent="0.3">
      <c r="K6705" s="1" t="str">
        <f ca="1">IF(A6705="","",IF(OR(L6705="ENTREGADA",L6705="RETORNADA",L6705="ENTREGA DIGITAL"),0,MAX(0,5-NETWORKDAYS(H6705+1,TODAY()))))</f>
        <v/>
      </c>
      <c r="L6705" t="str">
        <f>IF(A6705="","",IFERROR(LOOKUP(2,1/(#REF!=Z6705),#REF!),Y6705))</f>
        <v/>
      </c>
      <c r="Z6705" t="str">
        <f>IF(A6705="","",TEXT(A6705,"0")&amp;"|"&amp;TEXT(H6705,"0"))</f>
        <v/>
      </c>
      <c r="AA6705" t="str">
        <f>IF(Z6705="","",IFERROR(LOOKUP(2,1/(#REF!=Z6705),#REF!),""))</f>
        <v/>
      </c>
      <c r="AB6705" t="str">
        <f>IF(Z6705="","",IFERROR(LOOKUP(2,1/(#REF!=Z6705),#REF!),""))</f>
        <v/>
      </c>
      <c r="AC6705" t="str">
        <f>IF(Z6705="","",COUNTIF(#REF!,Z6705))</f>
        <v/>
      </c>
      <c r="AD6705" t="str">
        <f>IF(A6705="","",IF(AC6705&gt;1,"REVISAR DUPLICADO",IF(AA6705&lt;&gt;"","ACTUALIZADO POR EYR","SIN REPORTE EYR")))</f>
        <v/>
      </c>
    </row>
    <row r="6706" spans="11:30" x14ac:dyDescent="0.3">
      <c r="K6706" s="1" t="str">
        <f ca="1">IF(A6706="","",IF(OR(L6706="ENTREGADA",L6706="RETORNADA",L6706="ENTREGA DIGITAL"),0,MAX(0,5-NETWORKDAYS(H6706+1,TODAY()))))</f>
        <v/>
      </c>
      <c r="L6706" t="str">
        <f>IF(A6706="","",IFERROR(LOOKUP(2,1/(#REF!=Z6706),#REF!),Y6706))</f>
        <v/>
      </c>
      <c r="Z6706" t="str">
        <f>IF(A6706="","",TEXT(A6706,"0")&amp;"|"&amp;TEXT(H6706,"0"))</f>
        <v/>
      </c>
      <c r="AA6706" t="str">
        <f>IF(Z6706="","",IFERROR(LOOKUP(2,1/(#REF!=Z6706),#REF!),""))</f>
        <v/>
      </c>
      <c r="AB6706" t="str">
        <f>IF(Z6706="","",IFERROR(LOOKUP(2,1/(#REF!=Z6706),#REF!),""))</f>
        <v/>
      </c>
      <c r="AC6706" t="str">
        <f>IF(Z6706="","",COUNTIF(#REF!,Z6706))</f>
        <v/>
      </c>
      <c r="AD6706" t="str">
        <f>IF(A6706="","",IF(AC6706&gt;1,"REVISAR DUPLICADO",IF(AA6706&lt;&gt;"","ACTUALIZADO POR EYR","SIN REPORTE EYR")))</f>
        <v/>
      </c>
    </row>
    <row r="6707" spans="11:30" x14ac:dyDescent="0.3">
      <c r="K6707" s="1" t="str">
        <f ca="1">IF(A6707="","",IF(OR(L6707="ENTREGADA",L6707="RETORNADA",L6707="ENTREGA DIGITAL"),0,MAX(0,5-NETWORKDAYS(H6707+1,TODAY()))))</f>
        <v/>
      </c>
      <c r="L6707" t="str">
        <f>IF(A6707="","",IFERROR(LOOKUP(2,1/(#REF!=Z6707),#REF!),Y6707))</f>
        <v/>
      </c>
      <c r="Z6707" t="str">
        <f>IF(A6707="","",TEXT(A6707,"0")&amp;"|"&amp;TEXT(H6707,"0"))</f>
        <v/>
      </c>
      <c r="AA6707" t="str">
        <f>IF(Z6707="","",IFERROR(LOOKUP(2,1/(#REF!=Z6707),#REF!),""))</f>
        <v/>
      </c>
      <c r="AB6707" t="str">
        <f>IF(Z6707="","",IFERROR(LOOKUP(2,1/(#REF!=Z6707),#REF!),""))</f>
        <v/>
      </c>
      <c r="AC6707" t="str">
        <f>IF(Z6707="","",COUNTIF(#REF!,Z6707))</f>
        <v/>
      </c>
      <c r="AD6707" t="str">
        <f>IF(A6707="","",IF(AC6707&gt;1,"REVISAR DUPLICADO",IF(AA6707&lt;&gt;"","ACTUALIZADO POR EYR","SIN REPORTE EYR")))</f>
        <v/>
      </c>
    </row>
    <row r="6708" spans="11:30" x14ac:dyDescent="0.3">
      <c r="K6708" s="1" t="str">
        <f ca="1">IF(A6708="","",IF(OR(L6708="ENTREGADA",L6708="RETORNADA",L6708="ENTREGA DIGITAL"),0,MAX(0,5-NETWORKDAYS(H6708+1,TODAY()))))</f>
        <v/>
      </c>
      <c r="L6708" t="str">
        <f>IF(A6708="","",IFERROR(LOOKUP(2,1/(#REF!=Z6708),#REF!),Y6708))</f>
        <v/>
      </c>
      <c r="Z6708" t="str">
        <f>IF(A6708="","",TEXT(A6708,"0")&amp;"|"&amp;TEXT(H6708,"0"))</f>
        <v/>
      </c>
      <c r="AA6708" t="str">
        <f>IF(Z6708="","",IFERROR(LOOKUP(2,1/(#REF!=Z6708),#REF!),""))</f>
        <v/>
      </c>
      <c r="AB6708" t="str">
        <f>IF(Z6708="","",IFERROR(LOOKUP(2,1/(#REF!=Z6708),#REF!),""))</f>
        <v/>
      </c>
      <c r="AC6708" t="str">
        <f>IF(Z6708="","",COUNTIF(#REF!,Z6708))</f>
        <v/>
      </c>
      <c r="AD6708" t="str">
        <f>IF(A6708="","",IF(AC6708&gt;1,"REVISAR DUPLICADO",IF(AA6708&lt;&gt;"","ACTUALIZADO POR EYR","SIN REPORTE EYR")))</f>
        <v/>
      </c>
    </row>
    <row r="6709" spans="11:30" x14ac:dyDescent="0.3">
      <c r="K6709" s="1" t="str">
        <f ca="1">IF(A6709="","",IF(OR(L6709="ENTREGADA",L6709="RETORNADA",L6709="ENTREGA DIGITAL"),0,MAX(0,5-NETWORKDAYS(H6709+1,TODAY()))))</f>
        <v/>
      </c>
      <c r="L6709" t="str">
        <f>IF(A6709="","",IFERROR(LOOKUP(2,1/(#REF!=Z6709),#REF!),Y6709))</f>
        <v/>
      </c>
      <c r="Z6709" t="str">
        <f>IF(A6709="","",TEXT(A6709,"0")&amp;"|"&amp;TEXT(H6709,"0"))</f>
        <v/>
      </c>
      <c r="AA6709" t="str">
        <f>IF(Z6709="","",IFERROR(LOOKUP(2,1/(#REF!=Z6709),#REF!),""))</f>
        <v/>
      </c>
      <c r="AB6709" t="str">
        <f>IF(Z6709="","",IFERROR(LOOKUP(2,1/(#REF!=Z6709),#REF!),""))</f>
        <v/>
      </c>
      <c r="AC6709" t="str">
        <f>IF(Z6709="","",COUNTIF(#REF!,Z6709))</f>
        <v/>
      </c>
      <c r="AD6709" t="str">
        <f>IF(A6709="","",IF(AC6709&gt;1,"REVISAR DUPLICADO",IF(AA6709&lt;&gt;"","ACTUALIZADO POR EYR","SIN REPORTE EYR")))</f>
        <v/>
      </c>
    </row>
    <row r="6710" spans="11:30" x14ac:dyDescent="0.3">
      <c r="K6710" s="1" t="str">
        <f ca="1">IF(A6710="","",IF(OR(L6710="ENTREGADA",L6710="RETORNADA",L6710="ENTREGA DIGITAL"),0,MAX(0,5-NETWORKDAYS(H6710+1,TODAY()))))</f>
        <v/>
      </c>
      <c r="L6710" t="str">
        <f>IF(A6710="","",IFERROR(LOOKUP(2,1/(#REF!=Z6710),#REF!),Y6710))</f>
        <v/>
      </c>
      <c r="Z6710" t="str">
        <f>IF(A6710="","",TEXT(A6710,"0")&amp;"|"&amp;TEXT(H6710,"0"))</f>
        <v/>
      </c>
      <c r="AA6710" t="str">
        <f>IF(Z6710="","",IFERROR(LOOKUP(2,1/(#REF!=Z6710),#REF!),""))</f>
        <v/>
      </c>
      <c r="AB6710" t="str">
        <f>IF(Z6710="","",IFERROR(LOOKUP(2,1/(#REF!=Z6710),#REF!),""))</f>
        <v/>
      </c>
      <c r="AC6710" t="str">
        <f>IF(Z6710="","",COUNTIF(#REF!,Z6710))</f>
        <v/>
      </c>
      <c r="AD6710" t="str">
        <f>IF(A6710="","",IF(AC6710&gt;1,"REVISAR DUPLICADO",IF(AA6710&lt;&gt;"","ACTUALIZADO POR EYR","SIN REPORTE EYR")))</f>
        <v/>
      </c>
    </row>
    <row r="6711" spans="11:30" x14ac:dyDescent="0.3">
      <c r="K6711" s="1" t="str">
        <f ca="1">IF(A6711="","",IF(OR(L6711="ENTREGADA",L6711="RETORNADA",L6711="ENTREGA DIGITAL"),0,MAX(0,5-NETWORKDAYS(H6711+1,TODAY()))))</f>
        <v/>
      </c>
      <c r="L6711" t="str">
        <f>IF(A6711="","",IFERROR(LOOKUP(2,1/(#REF!=Z6711),#REF!),Y6711))</f>
        <v/>
      </c>
      <c r="Z6711" t="str">
        <f>IF(A6711="","",TEXT(A6711,"0")&amp;"|"&amp;TEXT(H6711,"0"))</f>
        <v/>
      </c>
      <c r="AA6711" t="str">
        <f>IF(Z6711="","",IFERROR(LOOKUP(2,1/(#REF!=Z6711),#REF!),""))</f>
        <v/>
      </c>
      <c r="AB6711" t="str">
        <f>IF(Z6711="","",IFERROR(LOOKUP(2,1/(#REF!=Z6711),#REF!),""))</f>
        <v/>
      </c>
      <c r="AC6711" t="str">
        <f>IF(Z6711="","",COUNTIF(#REF!,Z6711))</f>
        <v/>
      </c>
      <c r="AD6711" t="str">
        <f>IF(A6711="","",IF(AC6711&gt;1,"REVISAR DUPLICADO",IF(AA6711&lt;&gt;"","ACTUALIZADO POR EYR","SIN REPORTE EYR")))</f>
        <v/>
      </c>
    </row>
    <row r="6712" spans="11:30" x14ac:dyDescent="0.3">
      <c r="K6712" s="1" t="str">
        <f ca="1">IF(A6712="","",IF(OR(L6712="ENTREGADA",L6712="RETORNADA",L6712="ENTREGA DIGITAL"),0,MAX(0,5-NETWORKDAYS(H6712+1,TODAY()))))</f>
        <v/>
      </c>
      <c r="L6712" t="str">
        <f>IF(A6712="","",IFERROR(LOOKUP(2,1/(#REF!=Z6712),#REF!),Y6712))</f>
        <v/>
      </c>
      <c r="Z6712" t="str">
        <f>IF(A6712="","",TEXT(A6712,"0")&amp;"|"&amp;TEXT(H6712,"0"))</f>
        <v/>
      </c>
      <c r="AA6712" t="str">
        <f>IF(Z6712="","",IFERROR(LOOKUP(2,1/(#REF!=Z6712),#REF!),""))</f>
        <v/>
      </c>
      <c r="AB6712" t="str">
        <f>IF(Z6712="","",IFERROR(LOOKUP(2,1/(#REF!=Z6712),#REF!),""))</f>
        <v/>
      </c>
      <c r="AC6712" t="str">
        <f>IF(Z6712="","",COUNTIF(#REF!,Z6712))</f>
        <v/>
      </c>
      <c r="AD6712" t="str">
        <f>IF(A6712="","",IF(AC6712&gt;1,"REVISAR DUPLICADO",IF(AA6712&lt;&gt;"","ACTUALIZADO POR EYR","SIN REPORTE EYR")))</f>
        <v/>
      </c>
    </row>
    <row r="6713" spans="11:30" x14ac:dyDescent="0.3">
      <c r="K6713" s="1" t="str">
        <f ca="1">IF(A6713="","",IF(OR(L6713="ENTREGADA",L6713="RETORNADA",L6713="ENTREGA DIGITAL"),0,MAX(0,5-NETWORKDAYS(H6713+1,TODAY()))))</f>
        <v/>
      </c>
      <c r="L6713" t="str">
        <f>IF(A6713="","",IFERROR(LOOKUP(2,1/(#REF!=Z6713),#REF!),Y6713))</f>
        <v/>
      </c>
      <c r="Z6713" t="str">
        <f>IF(A6713="","",TEXT(A6713,"0")&amp;"|"&amp;TEXT(H6713,"0"))</f>
        <v/>
      </c>
      <c r="AA6713" t="str">
        <f>IF(Z6713="","",IFERROR(LOOKUP(2,1/(#REF!=Z6713),#REF!),""))</f>
        <v/>
      </c>
      <c r="AB6713" t="str">
        <f>IF(Z6713="","",IFERROR(LOOKUP(2,1/(#REF!=Z6713),#REF!),""))</f>
        <v/>
      </c>
      <c r="AC6713" t="str">
        <f>IF(Z6713="","",COUNTIF(#REF!,Z6713))</f>
        <v/>
      </c>
      <c r="AD6713" t="str">
        <f>IF(A6713="","",IF(AC6713&gt;1,"REVISAR DUPLICADO",IF(AA6713&lt;&gt;"","ACTUALIZADO POR EYR","SIN REPORTE EYR")))</f>
        <v/>
      </c>
    </row>
    <row r="6714" spans="11:30" x14ac:dyDescent="0.3">
      <c r="K6714" s="1" t="str">
        <f ca="1">IF(A6714="","",IF(OR(L6714="ENTREGADA",L6714="RETORNADA",L6714="ENTREGA DIGITAL"),0,MAX(0,5-NETWORKDAYS(H6714+1,TODAY()))))</f>
        <v/>
      </c>
      <c r="L6714" t="str">
        <f>IF(A6714="","",IFERROR(LOOKUP(2,1/(#REF!=Z6714),#REF!),Y6714))</f>
        <v/>
      </c>
      <c r="Z6714" t="str">
        <f>IF(A6714="","",TEXT(A6714,"0")&amp;"|"&amp;TEXT(H6714,"0"))</f>
        <v/>
      </c>
      <c r="AA6714" t="str">
        <f>IF(Z6714="","",IFERROR(LOOKUP(2,1/(#REF!=Z6714),#REF!),""))</f>
        <v/>
      </c>
      <c r="AB6714" t="str">
        <f>IF(Z6714="","",IFERROR(LOOKUP(2,1/(#REF!=Z6714),#REF!),""))</f>
        <v/>
      </c>
      <c r="AC6714" t="str">
        <f>IF(Z6714="","",COUNTIF(#REF!,Z6714))</f>
        <v/>
      </c>
      <c r="AD6714" t="str">
        <f>IF(A6714="","",IF(AC6714&gt;1,"REVISAR DUPLICADO",IF(AA6714&lt;&gt;"","ACTUALIZADO POR EYR","SIN REPORTE EYR")))</f>
        <v/>
      </c>
    </row>
    <row r="6715" spans="11:30" x14ac:dyDescent="0.3">
      <c r="K6715" s="1" t="str">
        <f ca="1">IF(A6715="","",IF(OR(L6715="ENTREGADA",L6715="RETORNADA",L6715="ENTREGA DIGITAL"),0,MAX(0,5-NETWORKDAYS(H6715+1,TODAY()))))</f>
        <v/>
      </c>
      <c r="L6715" t="str">
        <f>IF(A6715="","",IFERROR(LOOKUP(2,1/(#REF!=Z6715),#REF!),Y6715))</f>
        <v/>
      </c>
      <c r="Z6715" t="str">
        <f>IF(A6715="","",TEXT(A6715,"0")&amp;"|"&amp;TEXT(H6715,"0"))</f>
        <v/>
      </c>
      <c r="AA6715" t="str">
        <f>IF(Z6715="","",IFERROR(LOOKUP(2,1/(#REF!=Z6715),#REF!),""))</f>
        <v/>
      </c>
      <c r="AB6715" t="str">
        <f>IF(Z6715="","",IFERROR(LOOKUP(2,1/(#REF!=Z6715),#REF!),""))</f>
        <v/>
      </c>
      <c r="AC6715" t="str">
        <f>IF(Z6715="","",COUNTIF(#REF!,Z6715))</f>
        <v/>
      </c>
      <c r="AD6715" t="str">
        <f>IF(A6715="","",IF(AC6715&gt;1,"REVISAR DUPLICADO",IF(AA6715&lt;&gt;"","ACTUALIZADO POR EYR","SIN REPORTE EYR")))</f>
        <v/>
      </c>
    </row>
    <row r="6716" spans="11:30" x14ac:dyDescent="0.3">
      <c r="K6716" s="1" t="str">
        <f ca="1">IF(A6716="","",IF(OR(L6716="ENTREGADA",L6716="RETORNADA",L6716="ENTREGA DIGITAL"),0,MAX(0,5-NETWORKDAYS(H6716+1,TODAY()))))</f>
        <v/>
      </c>
      <c r="L6716" t="str">
        <f>IF(A6716="","",IFERROR(LOOKUP(2,1/(#REF!=Z6716),#REF!),Y6716))</f>
        <v/>
      </c>
      <c r="Z6716" t="str">
        <f>IF(A6716="","",TEXT(A6716,"0")&amp;"|"&amp;TEXT(H6716,"0"))</f>
        <v/>
      </c>
      <c r="AA6716" t="str">
        <f>IF(Z6716="","",IFERROR(LOOKUP(2,1/(#REF!=Z6716),#REF!),""))</f>
        <v/>
      </c>
      <c r="AB6716" t="str">
        <f>IF(Z6716="","",IFERROR(LOOKUP(2,1/(#REF!=Z6716),#REF!),""))</f>
        <v/>
      </c>
      <c r="AC6716" t="str">
        <f>IF(Z6716="","",COUNTIF(#REF!,Z6716))</f>
        <v/>
      </c>
      <c r="AD6716" t="str">
        <f>IF(A6716="","",IF(AC6716&gt;1,"REVISAR DUPLICADO",IF(AA6716&lt;&gt;"","ACTUALIZADO POR EYR","SIN REPORTE EYR")))</f>
        <v/>
      </c>
    </row>
    <row r="6717" spans="11:30" x14ac:dyDescent="0.3">
      <c r="K6717" s="1" t="str">
        <f ca="1">IF(A6717="","",IF(OR(L6717="ENTREGADA",L6717="RETORNADA",L6717="ENTREGA DIGITAL"),0,MAX(0,5-NETWORKDAYS(H6717+1,TODAY()))))</f>
        <v/>
      </c>
      <c r="L6717" t="str">
        <f>IF(A6717="","",IFERROR(LOOKUP(2,1/(#REF!=Z6717),#REF!),Y6717))</f>
        <v/>
      </c>
      <c r="Z6717" t="str">
        <f>IF(A6717="","",TEXT(A6717,"0")&amp;"|"&amp;TEXT(H6717,"0"))</f>
        <v/>
      </c>
      <c r="AA6717" t="str">
        <f>IF(Z6717="","",IFERROR(LOOKUP(2,1/(#REF!=Z6717),#REF!),""))</f>
        <v/>
      </c>
      <c r="AB6717" t="str">
        <f>IF(Z6717="","",IFERROR(LOOKUP(2,1/(#REF!=Z6717),#REF!),""))</f>
        <v/>
      </c>
      <c r="AC6717" t="str">
        <f>IF(Z6717="","",COUNTIF(#REF!,Z6717))</f>
        <v/>
      </c>
      <c r="AD6717" t="str">
        <f>IF(A6717="","",IF(AC6717&gt;1,"REVISAR DUPLICADO",IF(AA6717&lt;&gt;"","ACTUALIZADO POR EYR","SIN REPORTE EYR")))</f>
        <v/>
      </c>
    </row>
    <row r="6718" spans="11:30" x14ac:dyDescent="0.3">
      <c r="K6718" s="1" t="str">
        <f ca="1">IF(A6718="","",IF(OR(L6718="ENTREGADA",L6718="RETORNADA",L6718="ENTREGA DIGITAL"),0,MAX(0,5-NETWORKDAYS(H6718+1,TODAY()))))</f>
        <v/>
      </c>
      <c r="L6718" t="str">
        <f>IF(A6718="","",IFERROR(LOOKUP(2,1/(#REF!=Z6718),#REF!),Y6718))</f>
        <v/>
      </c>
      <c r="Z6718" t="str">
        <f>IF(A6718="","",TEXT(A6718,"0")&amp;"|"&amp;TEXT(H6718,"0"))</f>
        <v/>
      </c>
      <c r="AA6718" t="str">
        <f>IF(Z6718="","",IFERROR(LOOKUP(2,1/(#REF!=Z6718),#REF!),""))</f>
        <v/>
      </c>
      <c r="AB6718" t="str">
        <f>IF(Z6718="","",IFERROR(LOOKUP(2,1/(#REF!=Z6718),#REF!),""))</f>
        <v/>
      </c>
      <c r="AC6718" t="str">
        <f>IF(Z6718="","",COUNTIF(#REF!,Z6718))</f>
        <v/>
      </c>
      <c r="AD6718" t="str">
        <f>IF(A6718="","",IF(AC6718&gt;1,"REVISAR DUPLICADO",IF(AA6718&lt;&gt;"","ACTUALIZADO POR EYR","SIN REPORTE EYR")))</f>
        <v/>
      </c>
    </row>
    <row r="6719" spans="11:30" x14ac:dyDescent="0.3">
      <c r="K6719" s="1" t="str">
        <f ca="1">IF(A6719="","",IF(OR(L6719="ENTREGADA",L6719="RETORNADA",L6719="ENTREGA DIGITAL"),0,MAX(0,5-NETWORKDAYS(H6719+1,TODAY()))))</f>
        <v/>
      </c>
      <c r="L6719" t="str">
        <f>IF(A6719="","",IFERROR(LOOKUP(2,1/(#REF!=Z6719),#REF!),Y6719))</f>
        <v/>
      </c>
      <c r="Z6719" t="str">
        <f>IF(A6719="","",TEXT(A6719,"0")&amp;"|"&amp;TEXT(H6719,"0"))</f>
        <v/>
      </c>
      <c r="AA6719" t="str">
        <f>IF(Z6719="","",IFERROR(LOOKUP(2,1/(#REF!=Z6719),#REF!),""))</f>
        <v/>
      </c>
      <c r="AB6719" t="str">
        <f>IF(Z6719="","",IFERROR(LOOKUP(2,1/(#REF!=Z6719),#REF!),""))</f>
        <v/>
      </c>
      <c r="AC6719" t="str">
        <f>IF(Z6719="","",COUNTIF(#REF!,Z6719))</f>
        <v/>
      </c>
      <c r="AD6719" t="str">
        <f>IF(A6719="","",IF(AC6719&gt;1,"REVISAR DUPLICADO",IF(AA6719&lt;&gt;"","ACTUALIZADO POR EYR","SIN REPORTE EYR")))</f>
        <v/>
      </c>
    </row>
    <row r="6720" spans="11:30" x14ac:dyDescent="0.3">
      <c r="K6720" s="1" t="str">
        <f ca="1">IF(A6720="","",IF(OR(L6720="ENTREGADA",L6720="RETORNADA",L6720="ENTREGA DIGITAL"),0,MAX(0,5-NETWORKDAYS(H6720+1,TODAY()))))</f>
        <v/>
      </c>
      <c r="L6720" t="str">
        <f>IF(A6720="","",IFERROR(LOOKUP(2,1/(#REF!=Z6720),#REF!),Y6720))</f>
        <v/>
      </c>
      <c r="Z6720" t="str">
        <f>IF(A6720="","",TEXT(A6720,"0")&amp;"|"&amp;TEXT(H6720,"0"))</f>
        <v/>
      </c>
      <c r="AA6720" t="str">
        <f>IF(Z6720="","",IFERROR(LOOKUP(2,1/(#REF!=Z6720),#REF!),""))</f>
        <v/>
      </c>
      <c r="AB6720" t="str">
        <f>IF(Z6720="","",IFERROR(LOOKUP(2,1/(#REF!=Z6720),#REF!),""))</f>
        <v/>
      </c>
      <c r="AC6720" t="str">
        <f>IF(Z6720="","",COUNTIF(#REF!,Z6720))</f>
        <v/>
      </c>
      <c r="AD6720" t="str">
        <f>IF(A6720="","",IF(AC6720&gt;1,"REVISAR DUPLICADO",IF(AA6720&lt;&gt;"","ACTUALIZADO POR EYR","SIN REPORTE EYR")))</f>
        <v/>
      </c>
    </row>
    <row r="6721" spans="11:30" x14ac:dyDescent="0.3">
      <c r="K6721" s="1" t="str">
        <f ca="1">IF(A6721="","",IF(OR(L6721="ENTREGADA",L6721="RETORNADA",L6721="ENTREGA DIGITAL"),0,MAX(0,5-NETWORKDAYS(H6721+1,TODAY()))))</f>
        <v/>
      </c>
      <c r="L6721" t="str">
        <f>IF(A6721="","",IFERROR(LOOKUP(2,1/(#REF!=Z6721),#REF!),Y6721))</f>
        <v/>
      </c>
      <c r="Z6721" t="str">
        <f>IF(A6721="","",TEXT(A6721,"0")&amp;"|"&amp;TEXT(H6721,"0"))</f>
        <v/>
      </c>
      <c r="AA6721" t="str">
        <f>IF(Z6721="","",IFERROR(LOOKUP(2,1/(#REF!=Z6721),#REF!),""))</f>
        <v/>
      </c>
      <c r="AB6721" t="str">
        <f>IF(Z6721="","",IFERROR(LOOKUP(2,1/(#REF!=Z6721),#REF!),""))</f>
        <v/>
      </c>
      <c r="AC6721" t="str">
        <f>IF(Z6721="","",COUNTIF(#REF!,Z6721))</f>
        <v/>
      </c>
      <c r="AD6721" t="str">
        <f>IF(A6721="","",IF(AC6721&gt;1,"REVISAR DUPLICADO",IF(AA6721&lt;&gt;"","ACTUALIZADO POR EYR","SIN REPORTE EYR")))</f>
        <v/>
      </c>
    </row>
    <row r="6722" spans="11:30" x14ac:dyDescent="0.3">
      <c r="K6722" s="1" t="str">
        <f ca="1">IF(A6722="","",IF(OR(L6722="ENTREGADA",L6722="RETORNADA",L6722="ENTREGA DIGITAL"),0,MAX(0,5-NETWORKDAYS(H6722+1,TODAY()))))</f>
        <v/>
      </c>
      <c r="L6722" t="str">
        <f>IF(A6722="","",IFERROR(LOOKUP(2,1/(#REF!=Z6722),#REF!),Y6722))</f>
        <v/>
      </c>
      <c r="Z6722" t="str">
        <f>IF(A6722="","",TEXT(A6722,"0")&amp;"|"&amp;TEXT(H6722,"0"))</f>
        <v/>
      </c>
      <c r="AA6722" t="str">
        <f>IF(Z6722="","",IFERROR(LOOKUP(2,1/(#REF!=Z6722),#REF!),""))</f>
        <v/>
      </c>
      <c r="AB6722" t="str">
        <f>IF(Z6722="","",IFERROR(LOOKUP(2,1/(#REF!=Z6722),#REF!),""))</f>
        <v/>
      </c>
      <c r="AC6722" t="str">
        <f>IF(Z6722="","",COUNTIF(#REF!,Z6722))</f>
        <v/>
      </c>
      <c r="AD6722" t="str">
        <f>IF(A6722="","",IF(AC6722&gt;1,"REVISAR DUPLICADO",IF(AA6722&lt;&gt;"","ACTUALIZADO POR EYR","SIN REPORTE EYR")))</f>
        <v/>
      </c>
    </row>
    <row r="6723" spans="11:30" x14ac:dyDescent="0.3">
      <c r="K6723" s="1" t="str">
        <f ca="1">IF(A6723="","",IF(OR(L6723="ENTREGADA",L6723="RETORNADA",L6723="ENTREGA DIGITAL"),0,MAX(0,5-NETWORKDAYS(H6723+1,TODAY()))))</f>
        <v/>
      </c>
      <c r="L6723" t="str">
        <f>IF(A6723="","",IFERROR(LOOKUP(2,1/(#REF!=Z6723),#REF!),Y6723))</f>
        <v/>
      </c>
      <c r="Z6723" t="str">
        <f>IF(A6723="","",TEXT(A6723,"0")&amp;"|"&amp;TEXT(H6723,"0"))</f>
        <v/>
      </c>
      <c r="AA6723" t="str">
        <f>IF(Z6723="","",IFERROR(LOOKUP(2,1/(#REF!=Z6723),#REF!),""))</f>
        <v/>
      </c>
      <c r="AB6723" t="str">
        <f>IF(Z6723="","",IFERROR(LOOKUP(2,1/(#REF!=Z6723),#REF!),""))</f>
        <v/>
      </c>
      <c r="AC6723" t="str">
        <f>IF(Z6723="","",COUNTIF(#REF!,Z6723))</f>
        <v/>
      </c>
      <c r="AD6723" t="str">
        <f>IF(A6723="","",IF(AC6723&gt;1,"REVISAR DUPLICADO",IF(AA6723&lt;&gt;"","ACTUALIZADO POR EYR","SIN REPORTE EYR")))</f>
        <v/>
      </c>
    </row>
    <row r="6724" spans="11:30" x14ac:dyDescent="0.3">
      <c r="K6724" s="1" t="str">
        <f ca="1">IF(A6724="","",IF(OR(L6724="ENTREGADA",L6724="RETORNADA",L6724="ENTREGA DIGITAL"),0,MAX(0,5-NETWORKDAYS(H6724+1,TODAY()))))</f>
        <v/>
      </c>
      <c r="L6724" t="str">
        <f>IF(A6724="","",IFERROR(LOOKUP(2,1/(#REF!=Z6724),#REF!),Y6724))</f>
        <v/>
      </c>
      <c r="Z6724" t="str">
        <f>IF(A6724="","",TEXT(A6724,"0")&amp;"|"&amp;TEXT(H6724,"0"))</f>
        <v/>
      </c>
      <c r="AA6724" t="str">
        <f>IF(Z6724="","",IFERROR(LOOKUP(2,1/(#REF!=Z6724),#REF!),""))</f>
        <v/>
      </c>
      <c r="AB6724" t="str">
        <f>IF(Z6724="","",IFERROR(LOOKUP(2,1/(#REF!=Z6724),#REF!),""))</f>
        <v/>
      </c>
      <c r="AC6724" t="str">
        <f>IF(Z6724="","",COUNTIF(#REF!,Z6724))</f>
        <v/>
      </c>
      <c r="AD6724" t="str">
        <f>IF(A6724="","",IF(AC6724&gt;1,"REVISAR DUPLICADO",IF(AA6724&lt;&gt;"","ACTUALIZADO POR EYR","SIN REPORTE EYR")))</f>
        <v/>
      </c>
    </row>
  </sheetData>
  <autoFilter ref="A1:N6724" xr:uid="{00000000-0009-0000-0000-000004000000}"/>
  <mergeCells count="1">
    <mergeCell ref="P2:T2"/>
  </mergeCells>
  <conditionalFormatting sqref="L2:L1310 L1315 L1318 L1327 L1344 L1350 L1352:L1353 L1359 L1364 L1377 L1379:L1048576">
    <cfRule type="cellIs" dxfId="52" priority="48" operator="equal">
      <formula>"RETORNADA"</formula>
    </cfRule>
    <cfRule type="cellIs" dxfId="51" priority="49" operator="equal">
      <formula>"ENTREGA DIGITAL"</formula>
    </cfRule>
    <cfRule type="cellIs" dxfId="50" priority="50" operator="equal">
      <formula>"ENTREGADA"</formula>
    </cfRule>
  </conditionalFormatting>
  <conditionalFormatting sqref="K6725:K1048576">
    <cfRule type="cellIs" dxfId="49" priority="42" operator="equal">
      <formula>"RETORNADA"</formula>
    </cfRule>
    <cfRule type="cellIs" dxfId="48" priority="43" operator="equal">
      <formula>"ENTREGA DIGITAL"</formula>
    </cfRule>
    <cfRule type="cellIs" dxfId="47" priority="44" operator="equal">
      <formula>"ENTREGADA"</formula>
    </cfRule>
    <cfRule type="cellIs" dxfId="46" priority="45" operator="equal">
      <formula>"RETORNADA"</formula>
    </cfRule>
    <cfRule type="cellIs" dxfId="45" priority="46" operator="equal">
      <formula>"ENTREGA DIGITAL"</formula>
    </cfRule>
    <cfRule type="cellIs" dxfId="44" priority="47" operator="equal">
      <formula>"ENTREGADA"</formula>
    </cfRule>
  </conditionalFormatting>
  <conditionalFormatting sqref="K2:K981 K983:K984 K986:K998 K1000:K6724">
    <cfRule type="expression" dxfId="43" priority="39">
      <formula>AND($K2&lt;=2,$K2&gt;0,$L2="")</formula>
    </cfRule>
    <cfRule type="expression" dxfId="42" priority="40">
      <formula>AND($K2=0,$L2="")</formula>
    </cfRule>
    <cfRule type="expression" dxfId="41" priority="41" stopIfTrue="1">
      <formula>OR($L2="ENTREGADA",$L2="RETORNADA",$L2="ENTREGA DIGITAL")</formula>
    </cfRule>
  </conditionalFormatting>
  <conditionalFormatting sqref="K982 K985 K999">
    <cfRule type="expression" dxfId="40" priority="51">
      <formula>AND($K982&lt;=2,$K982&gt;0,$L1068="")</formula>
    </cfRule>
    <cfRule type="expression" dxfId="39" priority="52">
      <formula>AND($K982=0,$L1068="")</formula>
    </cfRule>
    <cfRule type="expression" dxfId="38" priority="53" stopIfTrue="1">
      <formula>OR($L1068="ENTREGADA",$L1068="RETORNADA",$L1068="ENTREGA DIGITAL")</formula>
    </cfRule>
  </conditionalFormatting>
  <conditionalFormatting sqref="A1:A71 A73:A146 A148:A1655 A1706:A1048576">
    <cfRule type="duplicateValues" dxfId="37" priority="36"/>
  </conditionalFormatting>
  <conditionalFormatting sqref="A1:A1655 A1706:A1048576">
    <cfRule type="duplicateValues" dxfId="36" priority="1"/>
    <cfRule type="duplicateValues" dxfId="35" priority="2"/>
    <cfRule type="duplicateValues" dxfId="34" priority="3"/>
    <cfRule type="duplicateValues" dxfId="33" priority="4"/>
    <cfRule type="duplicateValues" dxfId="32" priority="5"/>
    <cfRule type="duplicateValues" dxfId="31" priority="6"/>
    <cfRule type="duplicateValues" dxfId="30" priority="13"/>
    <cfRule type="duplicateValues" dxfId="29" priority="35"/>
  </conditionalFormatting>
  <conditionalFormatting sqref="L1316 L1321">
    <cfRule type="cellIs" dxfId="28" priority="32" operator="equal">
      <formula>"RETORNADA"</formula>
    </cfRule>
    <cfRule type="cellIs" dxfId="27" priority="33" operator="equal">
      <formula>"ENTREGA DIGITAL"</formula>
    </cfRule>
    <cfRule type="cellIs" dxfId="26" priority="34" operator="equal">
      <formula>"ENTREGADA"</formula>
    </cfRule>
  </conditionalFormatting>
  <conditionalFormatting sqref="L1334">
    <cfRule type="cellIs" dxfId="25" priority="29" operator="equal">
      <formula>"RETORNADA"</formula>
    </cfRule>
    <cfRule type="cellIs" dxfId="24" priority="30" operator="equal">
      <formula>"ENTREGA DIGITAL"</formula>
    </cfRule>
    <cfRule type="cellIs" dxfId="23" priority="31" operator="equal">
      <formula>"ENTREGADA"</formula>
    </cfRule>
  </conditionalFormatting>
  <conditionalFormatting sqref="L1340:L1341">
    <cfRule type="cellIs" dxfId="22" priority="26" operator="equal">
      <formula>"RETORNADA"</formula>
    </cfRule>
    <cfRule type="cellIs" dxfId="21" priority="27" operator="equal">
      <formula>"ENTREGA DIGITAL"</formula>
    </cfRule>
    <cfRule type="cellIs" dxfId="20" priority="28" operator="equal">
      <formula>"ENTREGADA"</formula>
    </cfRule>
  </conditionalFormatting>
  <conditionalFormatting sqref="L1347">
    <cfRule type="cellIs" dxfId="19" priority="23" operator="equal">
      <formula>"RETORNADA"</formula>
    </cfRule>
    <cfRule type="cellIs" dxfId="18" priority="24" operator="equal">
      <formula>"ENTREGA DIGITAL"</formula>
    </cfRule>
    <cfRule type="cellIs" dxfId="17" priority="25" operator="equal">
      <formula>"ENTREGADA"</formula>
    </cfRule>
  </conditionalFormatting>
  <conditionalFormatting sqref="L1354:L1355">
    <cfRule type="cellIs" dxfId="16" priority="20" operator="equal">
      <formula>"RETORNADA"</formula>
    </cfRule>
    <cfRule type="cellIs" dxfId="15" priority="21" operator="equal">
      <formula>"ENTREGA DIGITAL"</formula>
    </cfRule>
    <cfRule type="cellIs" dxfId="14" priority="22" operator="equal">
      <formula>"ENTREGADA"</formula>
    </cfRule>
  </conditionalFormatting>
  <conditionalFormatting sqref="L1357">
    <cfRule type="cellIs" dxfId="13" priority="17" operator="equal">
      <formula>"RETORNADA"</formula>
    </cfRule>
    <cfRule type="cellIs" dxfId="12" priority="18" operator="equal">
      <formula>"ENTREGA DIGITAL"</formula>
    </cfRule>
    <cfRule type="cellIs" dxfId="11" priority="19" operator="equal">
      <formula>"ENTREGADA"</formula>
    </cfRule>
  </conditionalFormatting>
  <conditionalFormatting sqref="L1362:L1363">
    <cfRule type="cellIs" dxfId="10" priority="14" operator="equal">
      <formula>"RETORNADA"</formula>
    </cfRule>
    <cfRule type="cellIs" dxfId="9" priority="15" operator="equal">
      <formula>"ENTREGA DIGITAL"</formula>
    </cfRule>
    <cfRule type="cellIs" dxfId="8" priority="16" operator="equal">
      <formula>"ENTREGADA"</formula>
    </cfRule>
  </conditionalFormatting>
  <conditionalFormatting sqref="L1320">
    <cfRule type="cellIs" dxfId="7" priority="10" operator="equal">
      <formula>"RETORNADA"</formula>
    </cfRule>
    <cfRule type="cellIs" dxfId="6" priority="11" operator="equal">
      <formula>"ENTREGA DIGITAL"</formula>
    </cfRule>
    <cfRule type="cellIs" dxfId="5" priority="12" operator="equal">
      <formula>"ENTREGADA"</formula>
    </cfRule>
  </conditionalFormatting>
  <conditionalFormatting sqref="L1329">
    <cfRule type="cellIs" dxfId="4" priority="7" operator="equal">
      <formula>"RETORNADA"</formula>
    </cfRule>
    <cfRule type="cellIs" dxfId="3" priority="8" operator="equal">
      <formula>"ENTREGA DIGITAL"</formula>
    </cfRule>
    <cfRule type="cellIs" dxfId="2" priority="9" operator="equal">
      <formula>"ENTREGADA"</formula>
    </cfRule>
  </conditionalFormatting>
  <conditionalFormatting sqref="L2:L1931">
    <cfRule type="expression" dxfId="1" priority="37">
      <formula>$AA2&lt;&gt;""</formula>
    </cfRule>
    <cfRule type="expression" dxfId="0" priority="38">
      <formula>$AD2="REVISAR DUPLICADO"</formula>
    </cfRule>
  </conditionalFormatting>
  <dataValidations count="1">
    <dataValidation type="list" allowBlank="1" sqref="L2:L6724" xr:uid="{00000000-0002-0000-0400-000000000000}">
      <formula1>"ENTREGADA,RETORNADA,ENTREGA DIGITAL,TRANSITO"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C069-5F67-4C5A-AE25-382C44BAD26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BASE_GENERAL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Ramses Gonzalez</dc:creator>
  <cp:lastModifiedBy>Ramses Gonzalez</cp:lastModifiedBy>
  <dcterms:created xsi:type="dcterms:W3CDTF">2026-05-03T03:48:56Z</dcterms:created>
  <dcterms:modified xsi:type="dcterms:W3CDTF">2026-05-03T03:49:43Z</dcterms:modified>
</cp:coreProperties>
</file>